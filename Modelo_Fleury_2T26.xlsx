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  <numFmt numFmtId="190" formatCode="0.00x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b val="1"/>
    </font>
    <font>
      <name val="Verdana"/>
      <color rgb="FF808080"/>
      <sz val="10"/>
    </font>
    <font>
      <color rgb="FF80808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0" fontId="23" fillId="0" borderId="0" pivotButton="0" quotePrefix="0" xfId="0"/>
    <xf numFmtId="186" fontId="0" fillId="0" borderId="0" pivotButton="0" quotePrefix="0" xfId="0"/>
    <xf numFmtId="0" fontId="24" fillId="0" borderId="0" applyAlignment="1" pivotButton="0" quotePrefix="0" xfId="2">
      <alignment horizontal="center"/>
    </xf>
    <xf numFmtId="168" fontId="24" fillId="5" borderId="0" applyAlignment="1" pivotButton="0" quotePrefix="0" xfId="2">
      <alignment horizontal="center"/>
    </xf>
    <xf numFmtId="0" fontId="25" fillId="13" borderId="3" applyAlignment="1" pivotButton="0" quotePrefix="0" xfId="5">
      <alignment horizontal="centerContinuous"/>
    </xf>
    <xf numFmtId="1" fontId="25" fillId="0" borderId="0" applyAlignment="1" pivotButton="0" quotePrefix="0" xfId="5">
      <alignment horizontal="center"/>
    </xf>
    <xf numFmtId="186" fontId="0" fillId="0" borderId="0" pivotButton="0" quotePrefix="0" xfId="0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3" fontId="0" fillId="0" borderId="0" pivotButton="0" quotePrefix="0" xfId="0"/>
    <xf numFmtId="189" fontId="0" fillId="0" borderId="0" pivotButton="0" quotePrefix="0" xfId="0"/>
    <xf numFmtId="2" fontId="0" fillId="0" borderId="0" pivotButton="0" quotePrefix="0" xfId="0"/>
    <xf numFmtId="2" fontId="5" fillId="2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0" fontId="26" fillId="3" borderId="0" pivotButton="0" quotePrefix="0" xfId="1"/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190" fontId="4" fillId="7" borderId="0" applyAlignment="1" pivotButton="0" quotePrefix="0" xfId="0">
      <alignment horizontal="center"/>
    </xf>
    <xf numFmtId="190" fontId="4" fillId="0" borderId="0" applyAlignment="1" pivotButton="0" quotePrefix="0" xfId="0">
      <alignment horizontal="center"/>
    </xf>
    <xf numFmtId="0" fontId="0" fillId="16" borderId="0" pivotButton="0" quotePrefix="0" xfId="0"/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90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3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Fleury S.A. (FLRY3) - fonte: "Dados Historicos - 2T26.xlsm" (RI Fleury), consolidado contabil. Abas "Fleury" ate 1T23; abas "Combinada" (colunas contabeis) a partir do 2T23. Moeda: BRL. Unidade dos brutos: R$ mil. Fator converte p/ R$ milhoes.</t>
        </is>
      </c>
    </row>
    <row r="2">
      <c r="J2" t="inlineStr">
        <is>
          <t>Aba de origem</t>
        </is>
      </c>
      <c r="K2" t="inlineStr">
        <is>
          <t>Fleury</t>
        </is>
      </c>
      <c r="L2" t="inlineStr">
        <is>
          <t>Fleury</t>
        </is>
      </c>
      <c r="M2" t="inlineStr">
        <is>
          <t>Fleury</t>
        </is>
      </c>
      <c r="N2" t="inlineStr">
        <is>
          <t>Fleury</t>
        </is>
      </c>
      <c r="O2" t="inlineStr">
        <is>
          <t>Fleury</t>
        </is>
      </c>
      <c r="P2" t="inlineStr">
        <is>
          <t>Fleury</t>
        </is>
      </c>
      <c r="Q2" t="inlineStr">
        <is>
          <t>Fleury</t>
        </is>
      </c>
      <c r="R2" t="inlineStr">
        <is>
          <t>Fleury</t>
        </is>
      </c>
      <c r="S2" t="inlineStr">
        <is>
          <t>Fleury</t>
        </is>
      </c>
      <c r="T2" t="inlineStr">
        <is>
          <t>Fleury</t>
        </is>
      </c>
      <c r="U2" t="inlineStr">
        <is>
          <t>Fleury</t>
        </is>
      </c>
      <c r="V2" t="inlineStr">
        <is>
          <t>Fleury</t>
        </is>
      </c>
      <c r="W2" t="inlineStr">
        <is>
          <t>Fleury</t>
        </is>
      </c>
      <c r="X2" t="inlineStr">
        <is>
          <t>Combinada</t>
        </is>
      </c>
      <c r="Y2" t="inlineStr">
        <is>
          <t>Combinada</t>
        </is>
      </c>
      <c r="Z2" t="inlineStr">
        <is>
          <t>Combinada</t>
        </is>
      </c>
      <c r="AA2" t="inlineStr">
        <is>
          <t>Combinada</t>
        </is>
      </c>
      <c r="AB2" t="inlineStr">
        <is>
          <t>Combinada</t>
        </is>
      </c>
      <c r="AC2" t="inlineStr">
        <is>
          <t>Combinada</t>
        </is>
      </c>
      <c r="AD2" t="inlineStr">
        <is>
          <t>Combinada</t>
        </is>
      </c>
      <c r="AE2" t="inlineStr">
        <is>
          <t>Combinada</t>
        </is>
      </c>
      <c r="AF2" t="inlineStr">
        <is>
          <t>Combinada</t>
        </is>
      </c>
      <c r="AG2" t="inlineStr">
        <is>
          <t>Combinada</t>
        </is>
      </c>
      <c r="AH2" t="inlineStr">
        <is>
          <t>Combinada</t>
        </is>
      </c>
      <c r="AI2" t="inlineStr">
        <is>
          <t>Combinada</t>
        </is>
      </c>
      <c r="AJ2" t="inlineStr">
        <is>
          <t>Combinada</t>
        </is>
      </c>
    </row>
    <row r="3">
      <c r="J3" t="inlineStr">
        <is>
          <t>Coluna lida (BP)</t>
        </is>
      </c>
      <c r="K3" t="inlineStr">
        <is>
          <t>1T20</t>
        </is>
      </c>
      <c r="L3" t="inlineStr">
        <is>
          <t>2T20</t>
        </is>
      </c>
      <c r="M3" t="inlineStr">
        <is>
          <t>3T20</t>
        </is>
      </c>
      <c r="N3" t="inlineStr">
        <is>
          <t>2020</t>
        </is>
      </c>
      <c r="O3" t="inlineStr">
        <is>
          <t>1T21</t>
        </is>
      </c>
      <c r="P3" t="inlineStr">
        <is>
          <t>2T21</t>
        </is>
      </c>
      <c r="Q3" t="inlineStr">
        <is>
          <t>3T21</t>
        </is>
      </c>
      <c r="R3" t="inlineStr">
        <is>
          <t>2021</t>
        </is>
      </c>
      <c r="S3" t="inlineStr">
        <is>
          <t>1T22</t>
        </is>
      </c>
      <c r="T3" t="inlineStr">
        <is>
          <t>2T22</t>
        </is>
      </c>
      <c r="U3" t="inlineStr">
        <is>
          <t>3T22</t>
        </is>
      </c>
      <c r="V3" t="inlineStr">
        <is>
          <t>2022</t>
        </is>
      </c>
      <c r="W3" t="inlineStr">
        <is>
          <t>1T23</t>
        </is>
      </c>
      <c r="X3" t="inlineStr">
        <is>
          <t>2T23</t>
        </is>
      </c>
      <c r="Y3" t="inlineStr">
        <is>
          <t>3T23</t>
        </is>
      </c>
      <c r="Z3" t="inlineStr">
        <is>
          <t>4T23</t>
        </is>
      </c>
      <c r="AA3" t="inlineStr">
        <is>
          <t>1T24</t>
        </is>
      </c>
      <c r="AB3" t="inlineStr">
        <is>
          <t>2T24</t>
        </is>
      </c>
      <c r="AC3" t="inlineStr">
        <is>
          <t>3T24</t>
        </is>
      </c>
      <c r="AD3" t="inlineStr">
        <is>
          <t>4T24</t>
        </is>
      </c>
      <c r="AE3" t="inlineStr">
        <is>
          <t>1T25</t>
        </is>
      </c>
      <c r="AF3" t="inlineStr">
        <is>
          <t>2T25</t>
        </is>
      </c>
      <c r="AG3" t="inlineStr">
        <is>
          <t>3T25</t>
        </is>
      </c>
      <c r="AH3" t="inlineStr">
        <is>
          <t>4T25</t>
        </is>
      </c>
      <c r="AI3" t="inlineStr">
        <is>
          <t>1T26</t>
        </is>
      </c>
      <c r="AJ3" t="inlineStr">
        <is>
          <t>2T26</t>
        </is>
      </c>
    </row>
    <row r="4">
      <c r="A4" s="250" t="inlineStr">
        <is>
          <t>COD1</t>
        </is>
      </c>
      <c r="B4" s="250" t="inlineStr">
        <is>
          <t>SINAL1</t>
        </is>
      </c>
      <c r="C4" s="250" t="inlineStr">
        <is>
          <t>COD2</t>
        </is>
      </c>
      <c r="D4" s="250" t="inlineStr">
        <is>
          <t>SINAL2</t>
        </is>
      </c>
      <c r="E4" s="250" t="inlineStr">
        <is>
          <t>COD3</t>
        </is>
      </c>
      <c r="F4" s="250" t="inlineStr">
        <is>
          <t>SINAL3</t>
        </is>
      </c>
      <c r="G4" s="250" t="inlineStr">
        <is>
          <t>UNID</t>
        </is>
      </c>
      <c r="H4" s="250" t="inlineStr">
        <is>
          <t>Conta (PT) / origem</t>
        </is>
      </c>
      <c r="I4" s="250" t="inlineStr">
        <is>
          <t>Account (EN)</t>
        </is>
      </c>
      <c r="J4" s="250" t="inlineStr">
        <is>
          <t>ORIGEM</t>
        </is>
      </c>
      <c r="K4" s="250" t="inlineStr">
        <is>
          <t>1Q20</t>
        </is>
      </c>
      <c r="L4" s="250" t="inlineStr">
        <is>
          <t>2Q20</t>
        </is>
      </c>
      <c r="M4" s="250" t="inlineStr">
        <is>
          <t>3Q20</t>
        </is>
      </c>
      <c r="N4" s="250" t="inlineStr">
        <is>
          <t>4Q20</t>
        </is>
      </c>
      <c r="O4" s="250" t="inlineStr">
        <is>
          <t>1Q21</t>
        </is>
      </c>
      <c r="P4" s="250" t="inlineStr">
        <is>
          <t>2Q21</t>
        </is>
      </c>
      <c r="Q4" s="250" t="inlineStr">
        <is>
          <t>3Q21</t>
        </is>
      </c>
      <c r="R4" s="250" t="inlineStr">
        <is>
          <t>4Q21</t>
        </is>
      </c>
      <c r="S4" s="250" t="inlineStr">
        <is>
          <t>1Q22</t>
        </is>
      </c>
      <c r="T4" s="250" t="inlineStr">
        <is>
          <t>2Q22</t>
        </is>
      </c>
      <c r="U4" s="250" t="inlineStr">
        <is>
          <t>3Q22</t>
        </is>
      </c>
      <c r="V4" s="250" t="inlineStr">
        <is>
          <t>4Q22</t>
        </is>
      </c>
      <c r="W4" s="250" t="inlineStr">
        <is>
          <t>1Q23</t>
        </is>
      </c>
      <c r="X4" s="250" t="inlineStr">
        <is>
          <t>2Q23</t>
        </is>
      </c>
      <c r="Y4" s="250" t="inlineStr">
        <is>
          <t>3Q23</t>
        </is>
      </c>
      <c r="Z4" s="250" t="inlineStr">
        <is>
          <t>4Q23</t>
        </is>
      </c>
      <c r="AA4" s="250" t="inlineStr">
        <is>
          <t>1Q24</t>
        </is>
      </c>
      <c r="AB4" s="250" t="inlineStr">
        <is>
          <t>2Q24</t>
        </is>
      </c>
      <c r="AC4" s="250" t="inlineStr">
        <is>
          <t>3Q24</t>
        </is>
      </c>
      <c r="AD4" s="250" t="inlineStr">
        <is>
          <t>4Q24</t>
        </is>
      </c>
      <c r="AE4" s="250" t="inlineStr">
        <is>
          <t>1Q25</t>
        </is>
      </c>
      <c r="AF4" s="250" t="inlineStr">
        <is>
          <t>2Q25</t>
        </is>
      </c>
      <c r="AG4" s="250" t="inlineStr">
        <is>
          <t>3Q25</t>
        </is>
      </c>
      <c r="AH4" s="250" t="inlineStr">
        <is>
          <t>4Q25</t>
        </is>
      </c>
      <c r="AI4" s="250" t="inlineStr">
        <is>
          <t>1Q26</t>
        </is>
      </c>
      <c r="AJ4" s="250" t="inlineStr">
        <is>
          <t>2Q26</t>
        </is>
      </c>
    </row>
    <row r="5">
      <c r="H5" s="250" t="inlineStr">
        <is>
          <t>DRE (R$ mil, trimestre isolado como divulgado; custos e despesas ja negativos na fonte)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Fleury DRE: Receita Líquida (l.15) | Combinada DRE: Receita Líquida (l.13)</t>
        </is>
      </c>
      <c r="J6" t="inlineStr">
        <is>
          <t>fonte</t>
        </is>
      </c>
      <c r="K6" s="256" t="n">
        <v>713933.873516418</v>
      </c>
      <c r="L6" s="256" t="n">
        <v>454943.8953210876</v>
      </c>
      <c r="M6" s="256" t="n">
        <v>874583.0704359853</v>
      </c>
      <c r="N6" s="256" t="n">
        <v>928154.7435300009</v>
      </c>
      <c r="O6" s="256" t="n">
        <v>893807.9758099994</v>
      </c>
      <c r="P6" s="256" t="n">
        <v>932066.355889999</v>
      </c>
      <c r="Q6" s="256" t="n">
        <v>1028829.86343</v>
      </c>
      <c r="R6" s="256" t="n">
        <v>1017946.42707</v>
      </c>
      <c r="S6" s="256" t="n">
        <v>1089912.570079443</v>
      </c>
      <c r="T6" s="256" t="n">
        <v>1111745.961258051</v>
      </c>
      <c r="U6" s="256" t="n">
        <v>1146634.87622</v>
      </c>
      <c r="V6" s="256" t="n">
        <v>1114746.76428</v>
      </c>
      <c r="W6" s="256" t="n">
        <v>1236823.29968</v>
      </c>
      <c r="X6" s="256" t="n">
        <v>1659541</v>
      </c>
      <c r="Y6" s="256" t="n">
        <v>1870045</v>
      </c>
      <c r="Z6" s="256" t="n">
        <v>1704440.70032</v>
      </c>
      <c r="AA6" s="256" t="n">
        <v>1904448.4785</v>
      </c>
      <c r="AB6" s="256" t="n">
        <v>1978202</v>
      </c>
      <c r="AC6" s="256" t="n">
        <v>1962671.474</v>
      </c>
      <c r="AD6" s="256" t="n">
        <v>1839337.047499999</v>
      </c>
      <c r="AE6" s="256" t="n">
        <v>2015074</v>
      </c>
      <c r="AF6" s="256" t="n">
        <v>2024533</v>
      </c>
      <c r="AG6" s="256" t="n">
        <v>2190979.18382714</v>
      </c>
      <c r="AH6" s="256" t="n">
        <v>2060595.33814</v>
      </c>
      <c r="AI6" s="256" t="n">
        <v>2223117.81868</v>
      </c>
      <c r="AJ6" s="256" t="n">
        <v>2316653.662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Fleury DRE: Pessoal e Serviços Médicos (l.18) | Combinada DRE: Pessoal e Serviços Médicos (l.16)</t>
        </is>
      </c>
      <c r="J7" t="inlineStr">
        <is>
          <t>fonte</t>
        </is>
      </c>
      <c r="K7" s="256" t="n">
        <v>-260074</v>
      </c>
      <c r="L7" s="256" t="n">
        <v>-195123.13597</v>
      </c>
      <c r="M7" s="256" t="n">
        <v>-253006.62764</v>
      </c>
      <c r="N7" s="256" t="n">
        <v>-279294.71621</v>
      </c>
      <c r="O7" s="256" t="n">
        <v>-283198.1646399999</v>
      </c>
      <c r="P7" s="256" t="n">
        <v>-316306.2003600001</v>
      </c>
      <c r="Q7" s="256" t="n">
        <v>-339155.8487599999</v>
      </c>
      <c r="R7" s="256" t="n">
        <v>-357590.13146</v>
      </c>
      <c r="S7" s="256" t="n">
        <v>-363945.8280700001</v>
      </c>
      <c r="T7" s="256" t="n">
        <v>-382157.20466</v>
      </c>
      <c r="U7" s="256" t="n">
        <v>-387841.05179</v>
      </c>
      <c r="V7" s="256" t="n">
        <v>-409434.77865</v>
      </c>
      <c r="W7" s="256" t="n">
        <v>-415399</v>
      </c>
      <c r="X7" s="256" t="n">
        <v>-528450</v>
      </c>
      <c r="Y7" s="256" t="n">
        <v>-583227</v>
      </c>
      <c r="Z7" s="256" t="n">
        <v>-558411</v>
      </c>
      <c r="AA7" s="256" t="n">
        <v>-558172</v>
      </c>
      <c r="AB7" s="256" t="n">
        <v>-593782</v>
      </c>
      <c r="AC7" s="256" t="n">
        <v>-584497</v>
      </c>
      <c r="AD7" s="256" t="n">
        <v>-597559</v>
      </c>
      <c r="AE7" s="256" t="n">
        <v>-576724</v>
      </c>
      <c r="AF7" s="256" t="n">
        <v>-628800</v>
      </c>
      <c r="AG7" s="256" t="n">
        <v>-653924</v>
      </c>
      <c r="AH7" s="256" t="n">
        <v>-658396</v>
      </c>
      <c r="AI7" s="256" t="n">
        <v>-675490</v>
      </c>
      <c r="AJ7" s="256" t="n">
        <v>-693259</v>
      </c>
    </row>
    <row r="8">
      <c r="A8" t="n">
        <v>2</v>
      </c>
      <c r="B8" t="n">
        <v>1</v>
      </c>
      <c r="G8" t="inlineStr">
        <is>
          <t>moeda</t>
        </is>
      </c>
      <c r="H8" t="inlineStr">
        <is>
          <t>Fleury DRE: Aluguéis, Serviços com Ocupação e Utilidades (l.19) | Combinada DRE: Aluguéis, Serviços com Ocupação e Utilidades (l.17)</t>
        </is>
      </c>
      <c r="J8" t="inlineStr">
        <is>
          <t>fonte</t>
        </is>
      </c>
      <c r="K8" s="256" t="n">
        <v>-112173</v>
      </c>
      <c r="L8" s="256" t="n">
        <v>-100145.94584</v>
      </c>
      <c r="M8" s="256" t="n">
        <v>-110722.45702</v>
      </c>
      <c r="N8" s="256" t="n">
        <v>-123285.78427</v>
      </c>
      <c r="O8" s="256" t="n">
        <v>-127743.6042</v>
      </c>
      <c r="P8" s="256" t="n">
        <v>-139249.29594</v>
      </c>
      <c r="Q8" s="256" t="n">
        <v>-143291.91475</v>
      </c>
      <c r="R8" s="256" t="n">
        <v>-133736.8259999999</v>
      </c>
      <c r="S8" s="256" t="n">
        <v>-143814.67313</v>
      </c>
      <c r="T8" s="256" t="n">
        <v>-155664.60617</v>
      </c>
      <c r="U8" s="256" t="n">
        <v>-150945.28427</v>
      </c>
      <c r="V8" s="256" t="n">
        <v>-145879.32341</v>
      </c>
      <c r="W8" s="256" t="n">
        <v>-157275</v>
      </c>
      <c r="X8" s="256" t="n">
        <v>-215279</v>
      </c>
      <c r="Y8" s="256" t="n">
        <v>-233578</v>
      </c>
      <c r="Z8" s="256" t="n">
        <v>-238413</v>
      </c>
      <c r="AA8" s="256" t="n">
        <v>-232772</v>
      </c>
      <c r="AB8" s="256" t="n">
        <v>-243374</v>
      </c>
      <c r="AC8" s="256" t="n">
        <v>-248722</v>
      </c>
      <c r="AD8" s="256" t="n">
        <v>-254094</v>
      </c>
      <c r="AE8" s="256" t="n">
        <v>-260595</v>
      </c>
      <c r="AF8" s="256" t="n">
        <v>-268355</v>
      </c>
      <c r="AG8" s="256" t="n">
        <v>-290252</v>
      </c>
      <c r="AH8" s="256" t="n">
        <v>-279230</v>
      </c>
      <c r="AI8" s="256" t="n">
        <v>-285077</v>
      </c>
      <c r="AJ8" s="256" t="n">
        <v>-321874</v>
      </c>
    </row>
    <row r="9">
      <c r="A9" t="n">
        <v>2</v>
      </c>
      <c r="B9" t="n">
        <v>1</v>
      </c>
      <c r="G9" t="inlineStr">
        <is>
          <t>moeda</t>
        </is>
      </c>
      <c r="H9" t="inlineStr">
        <is>
          <t>Fleury DRE: Material Direto e Intermediação de Exames (l.20) | Combinada DRE: Material Direto e Intermediação de Exames (l.18)</t>
        </is>
      </c>
      <c r="J9" t="inlineStr">
        <is>
          <t>fonte</t>
        </is>
      </c>
      <c r="K9" s="256" t="n">
        <v>-81237</v>
      </c>
      <c r="L9" s="256" t="n">
        <v>-87384.56641</v>
      </c>
      <c r="M9" s="256" t="n">
        <v>-124293.78483</v>
      </c>
      <c r="N9" s="256" t="n">
        <v>-133945.14328</v>
      </c>
      <c r="O9" s="256" t="n">
        <v>-122595.91533</v>
      </c>
      <c r="P9" s="256" t="n">
        <v>-141464.99492</v>
      </c>
      <c r="Q9" s="256" t="n">
        <v>-153105.15959</v>
      </c>
      <c r="R9" s="256" t="n">
        <v>-157149.8889899999</v>
      </c>
      <c r="S9" s="256" t="n">
        <v>-163674.3688900006</v>
      </c>
      <c r="T9" s="256" t="n">
        <v>-172449.53282</v>
      </c>
      <c r="U9" s="256" t="n">
        <v>-171594.51997</v>
      </c>
      <c r="V9" s="256" t="n">
        <v>-200344.3389499999</v>
      </c>
      <c r="W9" s="256" t="n">
        <v>-200613.64322</v>
      </c>
      <c r="X9" s="256" t="n">
        <v>-327996</v>
      </c>
      <c r="Y9" s="256" t="n">
        <v>-377692.5646619406</v>
      </c>
      <c r="Z9" s="256" t="n">
        <v>-358028</v>
      </c>
      <c r="AA9" s="256" t="n">
        <v>-397723</v>
      </c>
      <c r="AB9" s="256" t="n">
        <v>-418959</v>
      </c>
      <c r="AC9" s="256" t="n">
        <v>-408903</v>
      </c>
      <c r="AD9" s="256" t="n">
        <v>-382625</v>
      </c>
      <c r="AE9" s="256" t="n">
        <v>-437908</v>
      </c>
      <c r="AF9" s="256" t="n">
        <v>-424918</v>
      </c>
      <c r="AG9" s="256" t="n">
        <v>-451367</v>
      </c>
      <c r="AH9" s="256" t="n">
        <v>-450906</v>
      </c>
      <c r="AI9" s="256" t="n">
        <v>-450940</v>
      </c>
      <c r="AJ9" s="256" t="n">
        <v>-484625</v>
      </c>
    </row>
    <row r="10">
      <c r="A10" t="n">
        <v>2</v>
      </c>
      <c r="B10" t="n">
        <v>1</v>
      </c>
      <c r="G10" t="inlineStr">
        <is>
          <t>moeda</t>
        </is>
      </c>
      <c r="H10" t="inlineStr">
        <is>
          <t>Fleury DRE: Gastos Gerais (l.22) | Combinada DRE: Gastos Gerais (l.20)</t>
        </is>
      </c>
      <c r="J10" t="inlineStr">
        <is>
          <t>fonte</t>
        </is>
      </c>
      <c r="K10" s="256" t="n">
        <v>-1149</v>
      </c>
      <c r="L10" s="256" t="n">
        <v>-629.67313</v>
      </c>
      <c r="M10" s="256" t="n">
        <v>-1027.32124</v>
      </c>
      <c r="N10" s="256" t="n">
        <v>-2034.76015</v>
      </c>
      <c r="O10" s="256" t="n">
        <v>-1142.65368</v>
      </c>
      <c r="P10" s="256" t="n">
        <v>-1835.1811</v>
      </c>
      <c r="Q10" s="256" t="n">
        <v>-1513.76547</v>
      </c>
      <c r="R10" s="256" t="n">
        <v>-1702.9396</v>
      </c>
      <c r="S10" s="256" t="n">
        <v>-1602.86962</v>
      </c>
      <c r="T10" s="256" t="n">
        <v>-2717.73914</v>
      </c>
      <c r="U10" s="256" t="n">
        <v>-2032.64154</v>
      </c>
      <c r="V10" s="256" t="n">
        <v>-3281.929090000001</v>
      </c>
      <c r="W10" s="256" t="n">
        <v>-3145</v>
      </c>
      <c r="X10" s="256" t="n">
        <v>-3454</v>
      </c>
      <c r="Y10" s="256" t="n">
        <v>-3570</v>
      </c>
      <c r="Z10" s="256" t="n">
        <v>-2819</v>
      </c>
      <c r="AA10" s="256" t="n">
        <v>-3425</v>
      </c>
      <c r="AB10" s="256" t="n">
        <v>-4724</v>
      </c>
      <c r="AC10" s="256" t="n">
        <v>-9762</v>
      </c>
      <c r="AD10" s="256" t="n">
        <v>2890</v>
      </c>
      <c r="AE10" s="256" t="n">
        <v>-6855</v>
      </c>
      <c r="AF10" s="256" t="n">
        <v>-4443</v>
      </c>
      <c r="AG10" s="256" t="n">
        <v>-4162</v>
      </c>
      <c r="AH10" s="256" t="n">
        <v>-5525</v>
      </c>
      <c r="AI10" s="256" t="n">
        <v>-6136</v>
      </c>
      <c r="AJ10" s="256" t="n">
        <v>-8422</v>
      </c>
    </row>
    <row r="11">
      <c r="A11" t="n">
        <v>4</v>
      </c>
      <c r="B11" t="n">
        <v>1</v>
      </c>
      <c r="G11" t="inlineStr">
        <is>
          <t>moeda</t>
        </is>
      </c>
      <c r="H11" t="inlineStr">
        <is>
          <t>Fleury DRE: Depreciação e Amortização Custos (l.21) | Combinada DRE: Depreciação e Amortização Custos (l.19)</t>
        </is>
      </c>
      <c r="J11" t="inlineStr">
        <is>
          <t>fonte</t>
        </is>
      </c>
      <c r="K11" s="256" t="n">
        <v>-71713.21518000001</v>
      </c>
      <c r="L11" s="256" t="n">
        <v>-69081.03359000001</v>
      </c>
      <c r="M11" s="256" t="n">
        <v>-72351.60991999999</v>
      </c>
      <c r="N11" s="256" t="n">
        <v>-83214.00241</v>
      </c>
      <c r="O11" s="256" t="n">
        <v>-71869.52937000002</v>
      </c>
      <c r="P11" s="256" t="n">
        <v>-74966.50411000001</v>
      </c>
      <c r="Q11" s="256" t="n">
        <v>-85222.83483000001</v>
      </c>
      <c r="R11" s="256" t="n">
        <v>-92917.14043000001</v>
      </c>
      <c r="S11" s="256" t="n">
        <v>-92124.97173000002</v>
      </c>
      <c r="T11" s="256" t="n">
        <v>-98401.39643000002</v>
      </c>
      <c r="U11" s="256" t="n">
        <v>-99149.98273</v>
      </c>
      <c r="V11" s="256" t="n">
        <v>-105872.62601</v>
      </c>
      <c r="W11" s="256" t="n">
        <v>-103719.58673</v>
      </c>
      <c r="X11" s="256" t="n">
        <v>-129263</v>
      </c>
      <c r="Y11" s="256" t="n">
        <v>-144412</v>
      </c>
      <c r="Z11" s="256" t="n">
        <v>-146171</v>
      </c>
      <c r="AA11" s="256" t="n">
        <v>-147107</v>
      </c>
      <c r="AB11" s="256" t="n">
        <v>-150040</v>
      </c>
      <c r="AC11" s="256" t="n">
        <v>-153788</v>
      </c>
      <c r="AD11" s="256" t="n">
        <v>-154396</v>
      </c>
      <c r="AE11" s="256" t="n">
        <v>-160872.937</v>
      </c>
      <c r="AF11" s="256" t="n">
        <v>-170039</v>
      </c>
      <c r="AG11" s="256" t="n">
        <v>-175424.31835</v>
      </c>
      <c r="AH11" s="256" t="n">
        <v>-176448.55554</v>
      </c>
      <c r="AI11" s="256" t="n">
        <v>-177408.8603</v>
      </c>
      <c r="AJ11" s="256" t="n">
        <v>-164335</v>
      </c>
    </row>
    <row r="12">
      <c r="A12" t="n">
        <v>3</v>
      </c>
      <c r="B12" t="n">
        <v>1</v>
      </c>
      <c r="G12" t="inlineStr">
        <is>
          <t>moeda</t>
        </is>
      </c>
      <c r="H12" t="inlineStr">
        <is>
          <t>Fleury DRE: SG&amp;A (l.35) | Combinada DRE: SG&amp;A (l.33)</t>
        </is>
      </c>
      <c r="J12" t="inlineStr">
        <is>
          <t>fonte</t>
        </is>
      </c>
      <c r="K12" s="256" t="n">
        <v>-64744</v>
      </c>
      <c r="L12" s="256" t="n">
        <v>-52518.82781789998</v>
      </c>
      <c r="M12" s="256" t="n">
        <v>-59456.9281</v>
      </c>
      <c r="N12" s="256" t="n">
        <v>-82130.52755000001</v>
      </c>
      <c r="O12" s="256" t="n">
        <v>-75695.03457999998</v>
      </c>
      <c r="P12" s="256" t="n">
        <v>-115884.22273</v>
      </c>
      <c r="Q12" s="256" t="n">
        <v>-101782.81322</v>
      </c>
      <c r="R12" s="256" t="n">
        <v>-123333.4140200001</v>
      </c>
      <c r="S12" s="256" t="n">
        <v>-93586.94485</v>
      </c>
      <c r="T12" s="256" t="n">
        <v>-108251.66897</v>
      </c>
      <c r="U12" s="256" t="n">
        <v>-110987.03846</v>
      </c>
      <c r="V12" s="256" t="n">
        <v>-125699.27284</v>
      </c>
      <c r="W12" s="256" t="n">
        <v>-113453.4706</v>
      </c>
      <c r="X12" s="256" t="n">
        <v>-179447</v>
      </c>
      <c r="Y12" s="256" t="n">
        <v>-130664</v>
      </c>
      <c r="Z12" s="256" t="n">
        <v>-133497</v>
      </c>
      <c r="AA12" s="256" t="n">
        <v>-139962</v>
      </c>
      <c r="AB12" s="256" t="n">
        <v>-145978</v>
      </c>
      <c r="AC12" s="256" t="n">
        <v>-133693</v>
      </c>
      <c r="AD12" s="256" t="n">
        <v>-163614</v>
      </c>
      <c r="AE12" s="256" t="n">
        <v>-144996</v>
      </c>
      <c r="AF12" s="256" t="n">
        <v>-126585</v>
      </c>
      <c r="AG12" s="256" t="n">
        <v>-146464</v>
      </c>
      <c r="AH12" s="256" t="n">
        <v>-157502.88136</v>
      </c>
      <c r="AI12" s="256" t="n">
        <v>-152425.16452</v>
      </c>
      <c r="AJ12" s="256" t="n">
        <v>-148244</v>
      </c>
    </row>
    <row r="13">
      <c r="A13" t="n">
        <v>3</v>
      </c>
      <c r="B13" t="n">
        <v>1</v>
      </c>
      <c r="G13" t="inlineStr">
        <is>
          <t>moeda</t>
        </is>
      </c>
      <c r="H13" t="inlineStr">
        <is>
          <t>Fleury DRE: [nao existe] | Combinada DRE: Comercial (l.36) [0 em 1Q20..1Q23 (13 per.): linha inexistente/vazia na fonte; total divulgado confirma]</t>
        </is>
      </c>
      <c r="J13" t="inlineStr">
        <is>
          <t>fonte</t>
        </is>
      </c>
      <c r="K13" s="256" t="n">
        <v>0</v>
      </c>
      <c r="L13" s="256" t="n">
        <v>0</v>
      </c>
      <c r="M13" s="256" t="n">
        <v>0</v>
      </c>
      <c r="N13" s="256" t="n">
        <v>0</v>
      </c>
      <c r="O13" s="256" t="n">
        <v>0</v>
      </c>
      <c r="P13" s="256" t="n">
        <v>0</v>
      </c>
      <c r="Q13" s="256" t="n">
        <v>0</v>
      </c>
      <c r="R13" s="256" t="n">
        <v>0</v>
      </c>
      <c r="S13" s="256" t="n">
        <v>0</v>
      </c>
      <c r="T13" s="256" t="n">
        <v>0</v>
      </c>
      <c r="U13" s="256" t="n">
        <v>0</v>
      </c>
      <c r="V13" s="256" t="n">
        <v>0</v>
      </c>
      <c r="W13" s="256" t="n">
        <v>0</v>
      </c>
      <c r="X13" s="256" t="n">
        <v>-38444</v>
      </c>
      <c r="Y13" s="256" t="n">
        <v>-37203</v>
      </c>
      <c r="Z13" s="256" t="n">
        <v>-42613</v>
      </c>
      <c r="AA13" s="256" t="n">
        <v>-34716</v>
      </c>
      <c r="AB13" s="256" t="n">
        <v>-49585</v>
      </c>
      <c r="AC13" s="256" t="n">
        <v>-43879</v>
      </c>
      <c r="AD13" s="256" t="n">
        <v>-42222</v>
      </c>
      <c r="AE13" s="256" t="n">
        <v>-41781</v>
      </c>
      <c r="AF13" s="256" t="n">
        <v>-41424</v>
      </c>
      <c r="AG13" s="256" t="n">
        <v>-38133</v>
      </c>
      <c r="AH13" s="256" t="n">
        <v>-45673</v>
      </c>
      <c r="AI13" s="256" t="n">
        <v>-46353</v>
      </c>
      <c r="AJ13" s="256" t="n">
        <v>-47969</v>
      </c>
    </row>
    <row r="14">
      <c r="A14" t="n">
        <v>3</v>
      </c>
      <c r="B14" t="n">
        <v>1</v>
      </c>
      <c r="G14" t="inlineStr">
        <is>
          <t>moeda</t>
        </is>
      </c>
      <c r="H14" t="inlineStr">
        <is>
          <t>Fleury DRE: Outras receitas (despesas) operacionais líquidas (l.38) | Combinada DRE: Outras receitas (despesas) operacionais líquidas (l.37)</t>
        </is>
      </c>
      <c r="J14" t="inlineStr">
        <is>
          <t>fonte</t>
        </is>
      </c>
      <c r="K14" s="256" t="n">
        <v>720.91431</v>
      </c>
      <c r="L14" s="256" t="n">
        <v>529.2969400000002</v>
      </c>
      <c r="M14" s="256" t="n">
        <v>-2663.94185</v>
      </c>
      <c r="N14" s="256" t="n">
        <v>278.0302200000007</v>
      </c>
      <c r="O14" s="256" t="n">
        <v>2480.66151</v>
      </c>
      <c r="P14" s="256" t="n">
        <v>-147.2569000000001</v>
      </c>
      <c r="Q14" s="256" t="n">
        <v>1096.81176</v>
      </c>
      <c r="R14" s="256" t="n">
        <v>18356.16885</v>
      </c>
      <c r="S14" s="256" t="n">
        <v>4570.77789</v>
      </c>
      <c r="T14" s="256" t="n">
        <v>9537.914409999999</v>
      </c>
      <c r="U14" s="256" t="n">
        <v>10479.79976</v>
      </c>
      <c r="V14" s="256" t="n">
        <v>289.28109</v>
      </c>
      <c r="W14" s="256" t="n">
        <v>-904.88192</v>
      </c>
      <c r="X14" s="256" t="n">
        <v>-2584</v>
      </c>
      <c r="Y14" s="256" t="n">
        <v>7912</v>
      </c>
      <c r="Z14" s="256" t="n">
        <v>6256</v>
      </c>
      <c r="AA14" s="256" t="n">
        <v>-19156</v>
      </c>
      <c r="AB14" s="256" t="n">
        <v>-505</v>
      </c>
      <c r="AC14" s="256" t="n">
        <v>10260</v>
      </c>
      <c r="AD14" s="256" t="n">
        <v>-405</v>
      </c>
      <c r="AE14" s="256" t="n">
        <v>-4986.442</v>
      </c>
      <c r="AF14" s="256" t="n">
        <v>281</v>
      </c>
      <c r="AG14" s="256" t="n">
        <v>1368.23072677881</v>
      </c>
      <c r="AH14" s="256" t="n">
        <v>-5395.29901</v>
      </c>
      <c r="AI14" s="256" t="n">
        <v>-15879.574</v>
      </c>
      <c r="AJ14" s="256" t="n">
        <v>-2725</v>
      </c>
    </row>
    <row r="15">
      <c r="A15" t="n">
        <v>3</v>
      </c>
      <c r="B15" t="n">
        <v>1</v>
      </c>
      <c r="G15" t="inlineStr">
        <is>
          <t>moeda</t>
        </is>
      </c>
      <c r="H15" t="inlineStr">
        <is>
          <t>Fleury DRE: Reversão de (provisão) para riscos tributários, trabalhistas e cíveis (l.39) | Combinada DRE: Reversão de (provisão) para riscos tributários, trabalhistas e cíveis (l.38)</t>
        </is>
      </c>
      <c r="J15" t="inlineStr">
        <is>
          <t>fonte</t>
        </is>
      </c>
      <c r="K15" s="256" t="n">
        <v>668.1838600000001</v>
      </c>
      <c r="L15" s="256" t="n">
        <v>-62.36383999999999</v>
      </c>
      <c r="M15" s="256" t="n">
        <v>423.65675</v>
      </c>
      <c r="N15" s="256" t="n">
        <v>-9669.55012</v>
      </c>
      <c r="O15" s="256" t="n">
        <v>-381.01393</v>
      </c>
      <c r="P15" s="256" t="n">
        <v>2556.99861</v>
      </c>
      <c r="Q15" s="256" t="n">
        <v>-2524.071840000001</v>
      </c>
      <c r="R15" s="256" t="n">
        <v>-621.21672</v>
      </c>
      <c r="S15" s="256" t="n">
        <v>-1279.33113</v>
      </c>
      <c r="T15" s="256" t="n">
        <v>-2038.22825</v>
      </c>
      <c r="U15" s="256" t="n">
        <v>-1269.47887</v>
      </c>
      <c r="V15" s="256" t="n">
        <v>2282.17092</v>
      </c>
      <c r="W15" s="256" t="n">
        <v>-253.3337</v>
      </c>
      <c r="X15" s="256" t="n">
        <v>-309</v>
      </c>
      <c r="Y15" s="256" t="n">
        <v>-6058</v>
      </c>
      <c r="Z15" s="256" t="n">
        <v>-1083</v>
      </c>
      <c r="AA15" s="256" t="n">
        <v>-1389</v>
      </c>
      <c r="AB15" s="256" t="n">
        <v>753</v>
      </c>
      <c r="AC15" s="256" t="n">
        <v>-6094</v>
      </c>
      <c r="AD15" s="256" t="n">
        <v>3679</v>
      </c>
      <c r="AE15" s="256" t="n">
        <v>6397.094</v>
      </c>
      <c r="AF15" s="256" t="n">
        <v>1801</v>
      </c>
      <c r="AG15" s="256" t="n">
        <v>-8681.509260000001</v>
      </c>
      <c r="AH15" s="256" t="n">
        <v>-2029.00146</v>
      </c>
      <c r="AI15" s="256" t="n">
        <v>15179.096</v>
      </c>
      <c r="AJ15" s="256" t="n">
        <v>3397</v>
      </c>
    </row>
    <row r="16">
      <c r="A16" t="n">
        <v>4</v>
      </c>
      <c r="B16" t="n">
        <v>1</v>
      </c>
      <c r="G16" t="inlineStr">
        <is>
          <t>moeda</t>
        </is>
      </c>
      <c r="H16" t="inlineStr">
        <is>
          <t>Fleury DRE: Depreciação e Amortização (l.36) | Combinada DRE: Depreciação e Amortização (l.34)</t>
        </is>
      </c>
      <c r="J16" t="inlineStr">
        <is>
          <t>fonte</t>
        </is>
      </c>
      <c r="K16" s="256" t="n">
        <v>-15541.1685</v>
      </c>
      <c r="L16" s="256" t="n">
        <v>-15618.17475</v>
      </c>
      <c r="M16" s="256" t="n">
        <v>-15428.47594</v>
      </c>
      <c r="N16" s="256" t="n">
        <v>-15520.27201</v>
      </c>
      <c r="O16" s="256" t="n">
        <v>-14966.90892</v>
      </c>
      <c r="P16" s="256" t="n">
        <v>-15917.93645</v>
      </c>
      <c r="Q16" s="256" t="n">
        <v>-18610.84442</v>
      </c>
      <c r="R16" s="256" t="n">
        <v>-14808.01809</v>
      </c>
      <c r="S16" s="256" t="n">
        <v>-15334.66416</v>
      </c>
      <c r="T16" s="256" t="n">
        <v>-15441.16875</v>
      </c>
      <c r="U16" s="256" t="n">
        <v>-10602.52317</v>
      </c>
      <c r="V16" s="256" t="n">
        <v>-18411.97449</v>
      </c>
      <c r="W16" s="256" t="n">
        <v>-27542.50142</v>
      </c>
      <c r="X16" s="256" t="n">
        <v>-36813</v>
      </c>
      <c r="Y16" s="256" t="n">
        <v>-43749</v>
      </c>
      <c r="Z16" s="256" t="n">
        <v>-43708</v>
      </c>
      <c r="AA16" s="256" t="n">
        <v>-42447</v>
      </c>
      <c r="AB16" s="256" t="n">
        <v>-41764</v>
      </c>
      <c r="AC16" s="256" t="n">
        <v>-42821</v>
      </c>
      <c r="AD16" s="256" t="n">
        <v>-47620</v>
      </c>
      <c r="AE16" s="256" t="n">
        <v>-51268.14</v>
      </c>
      <c r="AF16" s="256" t="n">
        <v>-52364</v>
      </c>
      <c r="AG16" s="256" t="n">
        <v>-53950.67829</v>
      </c>
      <c r="AH16" s="256" t="n">
        <v>-59943.30035</v>
      </c>
      <c r="AI16" s="256" t="n">
        <v>-55712.83548</v>
      </c>
      <c r="AJ16" s="256" t="n">
        <v>-51471</v>
      </c>
    </row>
    <row r="17">
      <c r="A17" t="n">
        <v>4</v>
      </c>
      <c r="B17" t="n">
        <v>1</v>
      </c>
      <c r="G17" t="inlineStr">
        <is>
          <t>moeda</t>
        </is>
      </c>
      <c r="H17" t="inlineStr">
        <is>
          <t>Fleury DRE: Amortização de Ágio (l.37) | Combinada DRE: Amortização de Ágio (l.35)</t>
        </is>
      </c>
      <c r="J17" t="inlineStr">
        <is>
          <t>fonte</t>
        </is>
      </c>
      <c r="K17" s="256" t="n">
        <v>0</v>
      </c>
      <c r="L17" s="256" t="n">
        <v>0</v>
      </c>
      <c r="M17" s="256" t="n">
        <v>0</v>
      </c>
      <c r="N17" s="256" t="n">
        <v>0</v>
      </c>
      <c r="O17" s="256" t="n">
        <v>0</v>
      </c>
      <c r="P17" s="256" t="n">
        <v>0</v>
      </c>
      <c r="Q17" s="256" t="n">
        <v>0</v>
      </c>
      <c r="R17" s="256" t="n">
        <v>0</v>
      </c>
      <c r="S17" s="256" t="n">
        <v>0</v>
      </c>
      <c r="T17" s="256" t="n">
        <v>0</v>
      </c>
      <c r="U17" s="256" t="n">
        <v>0</v>
      </c>
      <c r="V17" s="256" t="n">
        <v>0</v>
      </c>
      <c r="W17" s="256" t="n">
        <v>0</v>
      </c>
      <c r="X17" s="256" t="n">
        <v>0</v>
      </c>
      <c r="Y17" s="256" t="n">
        <v>0</v>
      </c>
      <c r="Z17" s="256" t="n">
        <v>0</v>
      </c>
      <c r="AA17" s="256" t="n">
        <v>0</v>
      </c>
      <c r="AB17" s="256" t="n">
        <v>0</v>
      </c>
      <c r="AC17" s="256" t="n">
        <v>0</v>
      </c>
      <c r="AD17" s="256" t="n">
        <v>0</v>
      </c>
      <c r="AE17" s="256" t="n">
        <v>0</v>
      </c>
      <c r="AF17" s="256" t="n">
        <v>0</v>
      </c>
      <c r="AG17" s="256" t="n">
        <v>0</v>
      </c>
      <c r="AH17" s="256" t="n">
        <v>0</v>
      </c>
      <c r="AI17" s="256" t="n">
        <v>0</v>
      </c>
      <c r="AJ17" s="256" t="n">
        <v>0</v>
      </c>
    </row>
    <row r="18">
      <c r="A18" t="n">
        <v>8</v>
      </c>
      <c r="B18" t="n">
        <v>1</v>
      </c>
      <c r="G18" t="inlineStr">
        <is>
          <t>moeda</t>
        </is>
      </c>
      <c r="H18" t="inlineStr">
        <is>
          <t>Fleury DRE: Equivalência Patrimonial (l.40) | Combinada DRE: Equivalência Patrimonial (l.39)</t>
        </is>
      </c>
      <c r="J18" t="inlineStr">
        <is>
          <t>fonte</t>
        </is>
      </c>
      <c r="K18" s="256" t="n">
        <v>38.89156999999837</v>
      </c>
      <c r="L18" s="256" t="n">
        <v>-1027.430270000001</v>
      </c>
      <c r="M18" s="256" t="n">
        <v>292.335850000004</v>
      </c>
      <c r="N18" s="256" t="n">
        <v>370.5623100000006</v>
      </c>
      <c r="O18" s="256" t="n">
        <v>-198.2947499999984</v>
      </c>
      <c r="P18" s="256" t="n">
        <v>-2.23524199999671</v>
      </c>
      <c r="Q18" s="256" t="n">
        <v>441.09465</v>
      </c>
      <c r="R18" s="256" t="n">
        <v>309.0853834419926</v>
      </c>
      <c r="S18" s="256" t="n">
        <v>0.1976835500011221</v>
      </c>
      <c r="T18" s="256" t="n">
        <v>414.4305666129971</v>
      </c>
      <c r="U18" s="256" t="n">
        <v>249.77188</v>
      </c>
      <c r="V18" s="256" t="n">
        <v>-61.40807067600108</v>
      </c>
      <c r="W18" s="256" t="n">
        <v>0</v>
      </c>
      <c r="X18" s="256" t="n">
        <v>255</v>
      </c>
      <c r="Y18" s="256" t="n">
        <v>176</v>
      </c>
      <c r="Z18" s="256" t="n">
        <v>-274</v>
      </c>
      <c r="AA18" s="256" t="n">
        <v>-348</v>
      </c>
      <c r="AB18" s="256" t="n">
        <v>-802</v>
      </c>
      <c r="AC18" s="256" t="n">
        <v>-655</v>
      </c>
      <c r="AD18" s="256" t="n">
        <v>-2442</v>
      </c>
      <c r="AE18" s="256" t="n">
        <v>-2271</v>
      </c>
      <c r="AF18" s="256" t="n">
        <v>-2776</v>
      </c>
      <c r="AG18" s="256" t="n">
        <v>-3606.33808341797</v>
      </c>
      <c r="AH18" s="256" t="n">
        <v>-4905.6465948825</v>
      </c>
      <c r="AI18" s="256" t="n">
        <v>-5061.568</v>
      </c>
      <c r="AJ18" s="256" t="n">
        <v>-5364.726</v>
      </c>
    </row>
    <row r="19">
      <c r="A19" t="n">
        <v>6</v>
      </c>
      <c r="B19" t="n">
        <v>1</v>
      </c>
      <c r="G19" t="inlineStr">
        <is>
          <t>moeda</t>
        </is>
      </c>
      <c r="H19" t="inlineStr">
        <is>
          <t>Fleury DRE: Receitas financeiras (l.45) | Combinada DRE: Receitas financeiras (l.44)</t>
        </is>
      </c>
      <c r="J19" t="inlineStr">
        <is>
          <t>fonte</t>
        </is>
      </c>
      <c r="K19" s="256" t="n">
        <v>9878.09727</v>
      </c>
      <c r="L19" s="256" t="n">
        <v>8777.681710000001</v>
      </c>
      <c r="M19" s="256" t="n">
        <v>9811.017420000002</v>
      </c>
      <c r="N19" s="256" t="n">
        <v>8640.341119999999</v>
      </c>
      <c r="O19" s="256" t="n">
        <v>6699.252779999999</v>
      </c>
      <c r="P19" s="256" t="n">
        <v>6797.233789999999</v>
      </c>
      <c r="Q19" s="256" t="n">
        <v>16455.8964</v>
      </c>
      <c r="R19" s="256" t="n">
        <v>18925.33787</v>
      </c>
      <c r="S19" s="256" t="n">
        <v>20195.70061</v>
      </c>
      <c r="T19" s="256" t="n">
        <v>21476.71546</v>
      </c>
      <c r="U19" s="256" t="n">
        <v>28954.01388</v>
      </c>
      <c r="V19" s="256" t="n">
        <v>42835.06655</v>
      </c>
      <c r="W19" s="256" t="n">
        <v>45007.53287</v>
      </c>
      <c r="X19" s="256" t="n">
        <v>58878.57805</v>
      </c>
      <c r="Y19" s="256" t="n">
        <v>60852</v>
      </c>
      <c r="Z19" s="256" t="n">
        <v>55571.88907999999</v>
      </c>
      <c r="AA19" s="256" t="n">
        <v>36466.48343</v>
      </c>
      <c r="AB19" s="256" t="n">
        <v>39213</v>
      </c>
      <c r="AC19" s="256" t="n">
        <v>62182</v>
      </c>
      <c r="AD19" s="256" t="n">
        <v>67624.51657000001</v>
      </c>
      <c r="AE19" s="256" t="n">
        <v>79099.815</v>
      </c>
      <c r="AF19" s="256" t="n">
        <v>80601</v>
      </c>
      <c r="AG19" s="256" t="n">
        <v>90060.51204</v>
      </c>
      <c r="AH19" s="256" t="n">
        <v>85675.62359</v>
      </c>
      <c r="AI19" s="256" t="n">
        <v>80814.98742999999</v>
      </c>
      <c r="AJ19" s="256" t="n">
        <v>79498.624</v>
      </c>
    </row>
    <row r="20">
      <c r="A20" t="n">
        <v>6</v>
      </c>
      <c r="B20" t="n">
        <v>1</v>
      </c>
      <c r="G20" t="inlineStr">
        <is>
          <t>moeda</t>
        </is>
      </c>
      <c r="H20" t="inlineStr">
        <is>
          <t>Fleury DRE: [nao existe] | Combinada DRE: Variação Cambial Líquida (l.46) [0 em 1Q20..2Q26 (20 per.): linha inexistente/vazia na fonte; total divulgado confirma]</t>
        </is>
      </c>
      <c r="J20" t="inlineStr">
        <is>
          <t>fonte</t>
        </is>
      </c>
      <c r="K20" s="256" t="n">
        <v>0</v>
      </c>
      <c r="L20" s="256" t="n">
        <v>0</v>
      </c>
      <c r="M20" s="256" t="n">
        <v>0</v>
      </c>
      <c r="N20" s="256" t="n">
        <v>0</v>
      </c>
      <c r="O20" s="256" t="n">
        <v>0</v>
      </c>
      <c r="P20" s="256" t="n">
        <v>0</v>
      </c>
      <c r="Q20" s="256" t="n">
        <v>0</v>
      </c>
      <c r="R20" s="256" t="n">
        <v>0</v>
      </c>
      <c r="S20" s="256" t="n">
        <v>0</v>
      </c>
      <c r="T20" s="256" t="n">
        <v>0</v>
      </c>
      <c r="U20" s="256" t="n">
        <v>0</v>
      </c>
      <c r="V20" s="256" t="n">
        <v>0</v>
      </c>
      <c r="W20" s="256" t="n">
        <v>0</v>
      </c>
      <c r="X20" s="256" t="n">
        <v>0</v>
      </c>
      <c r="Y20" s="256" t="n">
        <v>0</v>
      </c>
      <c r="Z20" s="256" t="n">
        <v>0</v>
      </c>
      <c r="AA20" s="256" t="n">
        <v>0</v>
      </c>
      <c r="AB20" s="256" t="n">
        <v>0</v>
      </c>
      <c r="AC20" s="256" t="n">
        <v>0</v>
      </c>
      <c r="AD20" s="256" t="n">
        <v>0</v>
      </c>
      <c r="AE20" s="256" t="n">
        <v>0</v>
      </c>
      <c r="AF20" s="256" t="n">
        <v>0</v>
      </c>
      <c r="AG20" s="256" t="n">
        <v>0</v>
      </c>
      <c r="AH20" s="256" t="n">
        <v>0</v>
      </c>
      <c r="AI20" s="256" t="n">
        <v>0</v>
      </c>
      <c r="AJ20" s="256" t="n">
        <v>0</v>
      </c>
    </row>
    <row r="21">
      <c r="A21" t="n">
        <v>5</v>
      </c>
      <c r="B21" t="n">
        <v>1</v>
      </c>
      <c r="G21" t="inlineStr">
        <is>
          <t>moeda</t>
        </is>
      </c>
      <c r="H21" t="inlineStr">
        <is>
          <t>Fleury DRE: Despesas financeiras (l.46) | Combinada DRE: Despesas financeiras (l.45)</t>
        </is>
      </c>
      <c r="J21" t="inlineStr">
        <is>
          <t>fonte</t>
        </is>
      </c>
      <c r="K21" s="256" t="n">
        <v>-38718.50577999999</v>
      </c>
      <c r="L21" s="256" t="n">
        <v>-45377.89143</v>
      </c>
      <c r="M21" s="256" t="n">
        <v>-43124.06456</v>
      </c>
      <c r="N21" s="256" t="n">
        <v>-47822.65651000001</v>
      </c>
      <c r="O21" s="256" t="n">
        <v>-37428.79707</v>
      </c>
      <c r="P21" s="256" t="n">
        <v>-43008.56677</v>
      </c>
      <c r="Q21" s="256" t="n">
        <v>-65281.09682999999</v>
      </c>
      <c r="R21" s="256" t="n">
        <v>-74312.02259000001</v>
      </c>
      <c r="S21" s="256" t="n">
        <v>-85808.39102999998</v>
      </c>
      <c r="T21" s="256" t="n">
        <v>-107820.61116</v>
      </c>
      <c r="U21" s="256" t="n">
        <v>-128365.3378</v>
      </c>
      <c r="V21" s="256" t="n">
        <v>-121044.4737</v>
      </c>
      <c r="W21" s="256" t="n">
        <v>-134546.69035</v>
      </c>
      <c r="X21" s="256" t="n">
        <v>-158388.627</v>
      </c>
      <c r="Y21" s="256" t="n">
        <v>-163758</v>
      </c>
      <c r="Z21" s="256" t="n">
        <v>-148223.68265</v>
      </c>
      <c r="AA21" s="256" t="n">
        <v>-146741.36103</v>
      </c>
      <c r="AB21" s="256" t="n">
        <v>-140543</v>
      </c>
      <c r="AC21" s="256" t="n">
        <v>-158257</v>
      </c>
      <c r="AD21" s="256" t="n">
        <v>-171253.63897</v>
      </c>
      <c r="AE21" s="256" t="n">
        <v>-182470.204</v>
      </c>
      <c r="AF21" s="256" t="n">
        <v>-198558</v>
      </c>
      <c r="AG21" s="256" t="n">
        <v>-220290.3303</v>
      </c>
      <c r="AH21" s="256" t="n">
        <v>-202059.34008</v>
      </c>
      <c r="AI21" s="256" t="n">
        <v>-195875.19551</v>
      </c>
      <c r="AJ21" s="256" t="n">
        <v>-190784.577</v>
      </c>
    </row>
    <row r="22">
      <c r="A22" t="n">
        <v>7</v>
      </c>
      <c r="B22" t="n">
        <v>1</v>
      </c>
      <c r="G22" t="inlineStr">
        <is>
          <t>moeda</t>
        </is>
      </c>
      <c r="H22" t="inlineStr">
        <is>
          <t>Fleury DRE: Imposto de Renda e Contribuição Social (l.50) | Combinada DRE: Imposto de Renda e Contribuição Social (l.50)</t>
        </is>
      </c>
      <c r="J22" t="inlineStr">
        <is>
          <t>fonte</t>
        </is>
      </c>
      <c r="K22" s="256" t="n">
        <v>-21170.96331</v>
      </c>
      <c r="L22" s="256" t="n">
        <v>29412.62276</v>
      </c>
      <c r="M22" s="256" t="n">
        <v>-70970.32535999999</v>
      </c>
      <c r="N22" s="256" t="n">
        <v>-21043.6467</v>
      </c>
      <c r="O22" s="256" t="n">
        <v>-49156.01659</v>
      </c>
      <c r="P22" s="256" t="n">
        <v>-27142.99102</v>
      </c>
      <c r="Q22" s="256" t="n">
        <v>-39946.16017</v>
      </c>
      <c r="R22" s="256" t="n">
        <v>-28371.67513</v>
      </c>
      <c r="S22" s="256" t="n">
        <v>-42675.00254000001</v>
      </c>
      <c r="T22" s="256" t="n">
        <v>-27308.73652000001</v>
      </c>
      <c r="U22" s="256" t="n">
        <v>-26851.81193999999</v>
      </c>
      <c r="V22" s="256" t="n">
        <v>173.3440399999999</v>
      </c>
      <c r="W22" s="256" t="n">
        <v>-31154.2375</v>
      </c>
      <c r="X22" s="256" t="n">
        <v>-24205.65749392989</v>
      </c>
      <c r="Y22" s="256" t="n">
        <v>-43257</v>
      </c>
      <c r="Z22" s="256" t="n">
        <v>-11888.10500607011</v>
      </c>
      <c r="AA22" s="256" t="n">
        <v>-48642</v>
      </c>
      <c r="AB22" s="256" t="n">
        <v>-55949</v>
      </c>
      <c r="AC22" s="256" t="n">
        <v>-57350</v>
      </c>
      <c r="AD22" s="256" t="n">
        <v>-20816</v>
      </c>
      <c r="AE22" s="256" t="n">
        <v>-54013.02</v>
      </c>
      <c r="AF22" s="256" t="n">
        <v>-44404</v>
      </c>
      <c r="AG22" s="256" t="n">
        <v>-53904.47839</v>
      </c>
      <c r="AH22" s="256" t="n">
        <v>-4214.78333</v>
      </c>
      <c r="AI22" s="256" t="n">
        <v>-55100.18466</v>
      </c>
      <c r="AJ22" s="256" t="n">
        <v>-61143.775</v>
      </c>
    </row>
    <row r="23">
      <c r="A23" t="n">
        <v>9</v>
      </c>
      <c r="B23" t="n">
        <v>1</v>
      </c>
      <c r="G23" t="inlineStr">
        <is>
          <t>moeda</t>
        </is>
      </c>
      <c r="H23" t="inlineStr">
        <is>
          <t>Fleury DRE: Participação dos não-controladores (l.55) | Combinada DRE: Participação dos não-controladores (l.55) [0 em 1Q20..4Q20 (4 per.): linha inexistente/vazia na fonte; total divulgado confirma]</t>
        </is>
      </c>
      <c r="J23" t="inlineStr">
        <is>
          <t>fonte</t>
        </is>
      </c>
      <c r="K23" s="256" t="n">
        <v>0</v>
      </c>
      <c r="L23" s="256" t="n">
        <v>0</v>
      </c>
      <c r="M23" s="256" t="n">
        <v>0</v>
      </c>
      <c r="N23" s="256" t="n">
        <v>0</v>
      </c>
      <c r="O23" s="256" t="n">
        <v>0</v>
      </c>
      <c r="P23" s="256" t="n">
        <v>39.423182</v>
      </c>
      <c r="Q23" s="256" t="n">
        <v>-1426.590592597</v>
      </c>
      <c r="R23" s="256" t="n">
        <v>-177.942983442</v>
      </c>
      <c r="S23" s="256" t="n">
        <v>-391.4707735500003</v>
      </c>
      <c r="T23" s="256" t="n">
        <v>-414.8904266129995</v>
      </c>
      <c r="U23" s="256" t="n">
        <v>-673.0411700000001</v>
      </c>
      <c r="V23" s="256" t="n">
        <v>656.1841206760001</v>
      </c>
      <c r="W23" s="256" t="n">
        <v>28.34465</v>
      </c>
      <c r="X23" s="256" t="n">
        <v>385.635388738</v>
      </c>
      <c r="Y23" s="256" t="n">
        <v>2382</v>
      </c>
      <c r="Z23" s="256" t="n">
        <v>139</v>
      </c>
      <c r="AA23" s="256" t="n">
        <v>-355</v>
      </c>
      <c r="AB23" s="256" t="n">
        <v>1423</v>
      </c>
      <c r="AC23" s="256" t="n">
        <v>4013</v>
      </c>
      <c r="AD23" s="256" t="n">
        <v>7437</v>
      </c>
      <c r="AE23" s="256" t="n">
        <v>3456.124</v>
      </c>
      <c r="AF23" s="256" t="n">
        <v>7749.179</v>
      </c>
      <c r="AG23" s="256" t="n">
        <v>2668.448799683</v>
      </c>
      <c r="AH23" s="256" t="n">
        <v>2286.25577847376</v>
      </c>
      <c r="AI23" s="256" t="n">
        <v>3559.44448</v>
      </c>
      <c r="AJ23" s="256" t="n">
        <v>2518</v>
      </c>
    </row>
    <row r="24">
      <c r="H24" s="250" t="inlineStr">
        <is>
          <t>DRE - subtotais divulgados (memoria, sem codigo)</t>
        </is>
      </c>
    </row>
    <row r="25">
      <c r="G25" t="inlineStr">
        <is>
          <t>moeda</t>
        </is>
      </c>
      <c r="H25" t="inlineStr">
        <is>
          <t>Fleury DRE: Receita Bruta (l.10) | Combinada DRE: Receita Bruta (l.7)</t>
        </is>
      </c>
      <c r="J25" t="inlineStr">
        <is>
          <t>memoria</t>
        </is>
      </c>
      <c r="K25" s="256" t="n">
        <v>770606.3629464181</v>
      </c>
      <c r="L25" s="256" t="n">
        <v>492196.9314810876</v>
      </c>
      <c r="M25" s="256" t="n">
        <v>943845.2767659853</v>
      </c>
      <c r="N25" s="256" t="n">
        <v>1000542.673120001</v>
      </c>
      <c r="O25" s="256" t="n">
        <v>964269.1160499995</v>
      </c>
      <c r="P25" s="256" t="n">
        <v>1005132.595009999</v>
      </c>
      <c r="Q25" s="256" t="n">
        <v>1107449.82635</v>
      </c>
      <c r="R25" s="256" t="n">
        <v>1095560.76463</v>
      </c>
      <c r="S25" s="256" t="n">
        <v>1173408.106179443</v>
      </c>
      <c r="T25" s="256" t="n">
        <v>1196381.537348052</v>
      </c>
      <c r="U25" s="256" t="n">
        <v>1234206.763</v>
      </c>
      <c r="V25" s="256" t="n">
        <v>1199027.27825</v>
      </c>
      <c r="W25" s="256" t="n">
        <v>1330405.76229</v>
      </c>
      <c r="X25" s="256" t="n">
        <v>1784525</v>
      </c>
      <c r="Y25" s="256" t="n">
        <v>2011020</v>
      </c>
      <c r="Z25" s="256" t="n">
        <v>1835383.23771</v>
      </c>
      <c r="AA25" s="256" t="n">
        <v>2055579.4785</v>
      </c>
      <c r="AB25" s="256" t="n">
        <v>2136902</v>
      </c>
      <c r="AC25" s="256" t="n">
        <v>2133178.474</v>
      </c>
      <c r="AD25" s="256" t="n">
        <v>1994306.047499999</v>
      </c>
      <c r="AE25" s="256" t="n">
        <v>2188441</v>
      </c>
      <c r="AF25" s="256" t="n">
        <v>2197802</v>
      </c>
      <c r="AG25" s="256" t="n">
        <v>2378625.65064714</v>
      </c>
      <c r="AH25" s="256" t="n">
        <v>2238166.032</v>
      </c>
      <c r="AI25" s="256" t="n">
        <v>2410224.21568</v>
      </c>
      <c r="AJ25" s="256" t="n">
        <v>2514578.357</v>
      </c>
    </row>
    <row r="26">
      <c r="G26" t="inlineStr">
        <is>
          <t>moeda</t>
        </is>
      </c>
      <c r="H26" t="inlineStr">
        <is>
          <t>Fleury DRE: Custo do serviço prestado (l.17) | Combinada DRE: Custo do serviço prestado (l.15)</t>
        </is>
      </c>
      <c r="J26" t="inlineStr">
        <is>
          <t>memoria</t>
        </is>
      </c>
      <c r="K26" s="256" t="n">
        <v>-526346.2151800001</v>
      </c>
      <c r="L26" s="256" t="n">
        <v>-452364.35494</v>
      </c>
      <c r="M26" s="256" t="n">
        <v>-561401.80065</v>
      </c>
      <c r="N26" s="256" t="n">
        <v>-621774.40632</v>
      </c>
      <c r="O26" s="256" t="n">
        <v>-606549.8672199999</v>
      </c>
      <c r="P26" s="256" t="n">
        <v>-673822.1764300001</v>
      </c>
      <c r="Q26" s="256" t="n">
        <v>-722289.5233999998</v>
      </c>
      <c r="R26" s="256" t="n">
        <v>-743096.9264799999</v>
      </c>
      <c r="S26" s="256" t="n">
        <v>-765162.7114400008</v>
      </c>
      <c r="T26" s="256" t="n">
        <v>-811390.4792200001</v>
      </c>
      <c r="U26" s="256" t="n">
        <v>-811563.4803000001</v>
      </c>
      <c r="V26" s="256" t="n">
        <v>-864812.9961099999</v>
      </c>
      <c r="W26" s="256" t="n">
        <v>-880152.2299499999</v>
      </c>
      <c r="X26" s="256" t="n">
        <v>-1204442</v>
      </c>
      <c r="Y26" s="256" t="n">
        <v>-1342479.564661941</v>
      </c>
      <c r="Z26" s="256" t="n">
        <v>-1303842</v>
      </c>
      <c r="AA26" s="256" t="n">
        <v>-1339199</v>
      </c>
      <c r="AB26" s="256" t="n">
        <v>-1410879</v>
      </c>
      <c r="AC26" s="256" t="n">
        <v>-1405672</v>
      </c>
      <c r="AD26" s="256" t="n">
        <v>-1385784</v>
      </c>
      <c r="AE26" s="256" t="n">
        <v>-1442954.937</v>
      </c>
      <c r="AF26" s="256" t="n">
        <v>-1496555</v>
      </c>
      <c r="AG26" s="256" t="n">
        <v>-1575129.31835</v>
      </c>
      <c r="AH26" s="256" t="n">
        <v>-1570505.55554</v>
      </c>
      <c r="AI26" s="256" t="n">
        <v>-1595051.8603</v>
      </c>
      <c r="AJ26" s="256" t="n">
        <v>-1672515</v>
      </c>
    </row>
    <row r="27">
      <c r="G27" t="inlineStr">
        <is>
          <t>moeda</t>
        </is>
      </c>
      <c r="H27" t="inlineStr">
        <is>
          <t>Fleury DRE: Lucro Bruto (l.30) | Combinada DRE: Lucro Bruto (l.28)</t>
        </is>
      </c>
      <c r="J27" t="inlineStr">
        <is>
          <t>memoria</t>
        </is>
      </c>
      <c r="K27" s="256" t="n">
        <v>187587.658336418</v>
      </c>
      <c r="L27" s="256" t="n">
        <v>2579.540381087631</v>
      </c>
      <c r="M27" s="256" t="n">
        <v>313181.2697859854</v>
      </c>
      <c r="N27" s="256" t="n">
        <v>306380.337210001</v>
      </c>
      <c r="O27" s="256" t="n">
        <v>287258.1085899995</v>
      </c>
      <c r="P27" s="256" t="n">
        <v>258244.1794599988</v>
      </c>
      <c r="Q27" s="256" t="n">
        <v>306540.3400300001</v>
      </c>
      <c r="R27" s="256" t="n">
        <v>274849.5005899997</v>
      </c>
      <c r="S27" s="256" t="n">
        <v>324749.8586394422</v>
      </c>
      <c r="T27" s="256" t="n">
        <v>300355.4820380514</v>
      </c>
      <c r="U27" s="256" t="n">
        <v>335071.3959199999</v>
      </c>
      <c r="V27" s="256" t="n">
        <v>249933.7681700001</v>
      </c>
      <c r="W27" s="256" t="n">
        <v>356671.06973</v>
      </c>
      <c r="X27" s="256" t="n">
        <v>455099</v>
      </c>
      <c r="Y27" s="256" t="n">
        <v>527565.4353380594</v>
      </c>
      <c r="Z27" s="256" t="n">
        <v>400598.7003199998</v>
      </c>
      <c r="AA27" s="256" t="n">
        <v>565249.4785</v>
      </c>
      <c r="AB27" s="256" t="n">
        <v>567323</v>
      </c>
      <c r="AC27" s="256" t="n">
        <v>556999.4739999999</v>
      </c>
      <c r="AD27" s="256" t="n">
        <v>453553.0474999994</v>
      </c>
      <c r="AE27" s="256" t="n">
        <v>572119.0630000001</v>
      </c>
      <c r="AF27" s="256" t="n">
        <v>527978</v>
      </c>
      <c r="AG27" s="256" t="n">
        <v>615849.8654771403</v>
      </c>
      <c r="AH27" s="256" t="n">
        <v>490089.7826000003</v>
      </c>
      <c r="AI27" s="256" t="n">
        <v>628065.95838</v>
      </c>
      <c r="AJ27" s="256" t="n">
        <v>644138.662</v>
      </c>
    </row>
    <row r="28">
      <c r="G28" t="inlineStr">
        <is>
          <t>moeda</t>
        </is>
      </c>
      <c r="H28" t="inlineStr">
        <is>
          <t>Fleury DRE: (Despesas) Receitas Operacionais (l.33) | Combinada DRE: (Despesas) Receitas Operacionais (l.31)</t>
        </is>
      </c>
      <c r="J28" t="inlineStr">
        <is>
          <t>memoria</t>
        </is>
      </c>
      <c r="K28" s="256" t="n">
        <v>-78857.17876000001</v>
      </c>
      <c r="L28" s="256" t="n">
        <v>-68697.49973789997</v>
      </c>
      <c r="M28" s="256" t="n">
        <v>-76833.35329000001</v>
      </c>
      <c r="N28" s="256" t="n">
        <v>-106671.75715</v>
      </c>
      <c r="O28" s="256" t="n">
        <v>-88760.59066999998</v>
      </c>
      <c r="P28" s="256" t="n">
        <v>-129394.652712</v>
      </c>
      <c r="Q28" s="256" t="n">
        <v>-121379.82307</v>
      </c>
      <c r="R28" s="256" t="n">
        <v>-120097.394596558</v>
      </c>
      <c r="S28" s="256" t="n">
        <v>-105629.96456645</v>
      </c>
      <c r="T28" s="256" t="n">
        <v>-115778.720993387</v>
      </c>
      <c r="U28" s="256" t="n">
        <v>-112129.46886</v>
      </c>
      <c r="V28" s="256" t="n">
        <v>-141601.203390676</v>
      </c>
      <c r="W28" s="256" t="n">
        <v>-142154.18764</v>
      </c>
      <c r="X28" s="256" t="n">
        <v>-257342</v>
      </c>
      <c r="Y28" s="256" t="n">
        <v>-209586</v>
      </c>
      <c r="Z28" s="256" t="n">
        <v>-214919</v>
      </c>
      <c r="AA28" s="256" t="n">
        <v>-238018</v>
      </c>
      <c r="AB28" s="256" t="n">
        <v>-237881</v>
      </c>
      <c r="AC28" s="256" t="n">
        <v>-216882</v>
      </c>
      <c r="AD28" s="256" t="n">
        <v>-252624</v>
      </c>
      <c r="AE28" s="256" t="n">
        <v>-238905.488</v>
      </c>
      <c r="AF28" s="256" t="n">
        <v>-221067</v>
      </c>
      <c r="AG28" s="256" t="n">
        <v>-249467.2949066392</v>
      </c>
      <c r="AH28" s="256" t="n">
        <v>-275449.1287748825</v>
      </c>
      <c r="AI28" s="256" t="n">
        <v>-260253.046</v>
      </c>
      <c r="AJ28" s="256" t="n">
        <v>-252376.726</v>
      </c>
    </row>
    <row r="29">
      <c r="G29" t="inlineStr">
        <is>
          <t>moeda</t>
        </is>
      </c>
      <c r="H29" t="inlineStr">
        <is>
          <t>Fleury DRE: Lucro Operacional Antes do Resultado Financeiro (l.42) | Combinada DRE: Lucro Operacional Antes do Resultado Financeiro (l.41)</t>
        </is>
      </c>
      <c r="J29" t="inlineStr">
        <is>
          <t>memoria</t>
        </is>
      </c>
      <c r="K29" s="256" t="n">
        <v>108730.479576418</v>
      </c>
      <c r="L29" s="256" t="n">
        <v>-66117.95935681234</v>
      </c>
      <c r="M29" s="256" t="n">
        <v>236347.9164959854</v>
      </c>
      <c r="N29" s="256" t="n">
        <v>199708.5800600009</v>
      </c>
      <c r="O29" s="256" t="n">
        <v>198497.5179199995</v>
      </c>
      <c r="P29" s="256" t="n">
        <v>128849.5267479989</v>
      </c>
      <c r="Q29" s="256" t="n">
        <v>185160.5169600001</v>
      </c>
      <c r="R29" s="256" t="n">
        <v>154752.1059934417</v>
      </c>
      <c r="S29" s="256" t="n">
        <v>219119.8940729922</v>
      </c>
      <c r="T29" s="256" t="n">
        <v>184576.7610446644</v>
      </c>
      <c r="U29" s="256" t="n">
        <v>222941.9270599999</v>
      </c>
      <c r="V29" s="256" t="n">
        <v>108332.564779324</v>
      </c>
      <c r="W29" s="256" t="n">
        <v>214516.88209</v>
      </c>
      <c r="X29" s="256" t="n">
        <v>197757</v>
      </c>
      <c r="Y29" s="256" t="n">
        <v>317979.4353380594</v>
      </c>
      <c r="Z29" s="256" t="n">
        <v>185679.7003199998</v>
      </c>
      <c r="AA29" s="256" t="n">
        <v>327231.4785</v>
      </c>
      <c r="AB29" s="256" t="n">
        <v>329442</v>
      </c>
      <c r="AC29" s="256" t="n">
        <v>340117.4739999999</v>
      </c>
      <c r="AD29" s="256" t="n">
        <v>200929.0474999994</v>
      </c>
      <c r="AE29" s="256" t="n">
        <v>333213.5750000001</v>
      </c>
      <c r="AF29" s="256" t="n">
        <v>306911</v>
      </c>
      <c r="AG29" s="256" t="n">
        <v>366382.5705705011</v>
      </c>
      <c r="AH29" s="256" t="n">
        <v>214640.6538251177</v>
      </c>
      <c r="AI29" s="256" t="n">
        <v>367812.9123799999</v>
      </c>
      <c r="AJ29" s="256" t="n">
        <v>391761.936</v>
      </c>
    </row>
    <row r="30">
      <c r="G30" t="inlineStr">
        <is>
          <t>moeda</t>
        </is>
      </c>
      <c r="H30" t="inlineStr">
        <is>
          <t>Fleury DRE: Lucro Antes do Imposto de Renda e da Contribuição Social (l.48) | Combinada DRE: Lucro Antes do Imposto de Renda e da Contribuição Social (l.48)</t>
        </is>
      </c>
      <c r="J30" t="inlineStr">
        <is>
          <t>memoria</t>
        </is>
      </c>
      <c r="K30" s="256" t="n">
        <v>79890.07106641798</v>
      </c>
      <c r="L30" s="256" t="n">
        <v>-102718.1690768123</v>
      </c>
      <c r="M30" s="256" t="n">
        <v>203034.8693559854</v>
      </c>
      <c r="N30" s="256" t="n">
        <v>160526.2646700009</v>
      </c>
      <c r="O30" s="256" t="n">
        <v>167767.9736299995</v>
      </c>
      <c r="P30" s="256" t="n">
        <v>92638.19376799886</v>
      </c>
      <c r="Q30" s="256" t="n">
        <v>136335.3165300001</v>
      </c>
      <c r="R30" s="256" t="n">
        <v>99365.42127344164</v>
      </c>
      <c r="S30" s="256" t="n">
        <v>153507.2036529923</v>
      </c>
      <c r="T30" s="256" t="n">
        <v>98232.86534466434</v>
      </c>
      <c r="U30" s="256" t="n">
        <v>123530.6031399999</v>
      </c>
      <c r="V30" s="256" t="n">
        <v>30123.15762932401</v>
      </c>
      <c r="W30" s="256" t="n">
        <v>124977.72461</v>
      </c>
      <c r="X30" s="256" t="n">
        <v>98246.95104999999</v>
      </c>
      <c r="Y30" s="256" t="n">
        <v>215073.4353380594</v>
      </c>
      <c r="Z30" s="256" t="n">
        <v>93027.90674999985</v>
      </c>
      <c r="AA30" s="256" t="n">
        <v>216956.6009</v>
      </c>
      <c r="AB30" s="256" t="n">
        <v>228112</v>
      </c>
      <c r="AC30" s="256" t="n">
        <v>244042.4739999999</v>
      </c>
      <c r="AD30" s="256" t="n">
        <v>97299.92509999944</v>
      </c>
      <c r="AE30" s="256" t="n">
        <v>229843.1860000001</v>
      </c>
      <c r="AF30" s="256" t="n">
        <v>188954</v>
      </c>
      <c r="AG30" s="256" t="n">
        <v>236152.7523105011</v>
      </c>
      <c r="AH30" s="256" t="n">
        <v>98256.93733511775</v>
      </c>
      <c r="AI30" s="256" t="n">
        <v>252752.7042999999</v>
      </c>
      <c r="AJ30" s="256" t="n">
        <v>280475.983</v>
      </c>
    </row>
    <row r="31">
      <c r="A31" t="n">
        <v>44</v>
      </c>
      <c r="B31" t="n">
        <v>1</v>
      </c>
      <c r="G31" t="inlineStr">
        <is>
          <t>moeda</t>
        </is>
      </c>
      <c r="H31" t="inlineStr">
        <is>
          <t>Fleury DRE: Lucro Líquido do Período (l.56) | Combinada DRE: Lucro Líquido do Período (l.56) - COD 44 alimenta o check IS do Model (linha 4)</t>
        </is>
      </c>
      <c r="J31" t="inlineStr">
        <is>
          <t>memoria</t>
        </is>
      </c>
      <c r="K31" s="256" t="n">
        <v>58719.10775641799</v>
      </c>
      <c r="L31" s="256" t="n">
        <v>-73305.54631681234</v>
      </c>
      <c r="M31" s="256" t="n">
        <v>132064.5439959854</v>
      </c>
      <c r="N31" s="256" t="n">
        <v>139482.6179700009</v>
      </c>
      <c r="O31" s="256" t="n">
        <v>118611.9570399995</v>
      </c>
      <c r="P31" s="256" t="n">
        <v>65534.62592999886</v>
      </c>
      <c r="Q31" s="256" t="n">
        <v>94962.56576740311</v>
      </c>
      <c r="R31" s="256" t="n">
        <v>70815.80315999963</v>
      </c>
      <c r="S31" s="256" t="n">
        <v>110440.7303394422</v>
      </c>
      <c r="T31" s="256" t="n">
        <v>70509.23839805134</v>
      </c>
      <c r="U31" s="256" t="n">
        <v>96005.75002999992</v>
      </c>
      <c r="V31" s="256" t="n">
        <v>30952.68579000001</v>
      </c>
      <c r="W31" s="256" t="n">
        <v>93851.83176</v>
      </c>
      <c r="X31" s="256" t="n">
        <v>74426.9289448081</v>
      </c>
      <c r="Y31" s="256" t="n">
        <v>174198.4353380594</v>
      </c>
      <c r="Z31" s="256" t="n">
        <v>81278.80174392974</v>
      </c>
      <c r="AA31" s="256" t="n">
        <v>167959.6009</v>
      </c>
      <c r="AB31" s="256" t="n">
        <v>173586</v>
      </c>
      <c r="AC31" s="256" t="n">
        <v>190705.4739999999</v>
      </c>
      <c r="AD31" s="256" t="n">
        <v>83920.92509999944</v>
      </c>
      <c r="AE31" s="256" t="n">
        <v>179286.2900000001</v>
      </c>
      <c r="AF31" s="256" t="n">
        <v>152299.179</v>
      </c>
      <c r="AG31" s="256" t="n">
        <v>184916.7227201842</v>
      </c>
      <c r="AH31" s="256" t="n">
        <v>96328.4097835915</v>
      </c>
      <c r="AI31" s="256" t="n">
        <v>201211.9641199999</v>
      </c>
      <c r="AJ31" s="256" t="n">
        <v>221850.208</v>
      </c>
    </row>
    <row r="32">
      <c r="G32" t="inlineStr">
        <is>
          <t>moeda</t>
        </is>
      </c>
      <c r="H32" t="inlineStr">
        <is>
          <t>Fleury DRE: EBITDA (l.65) | Combinada DRE: EBITDA (l.68)</t>
        </is>
      </c>
      <c r="J32" t="inlineStr">
        <is>
          <t>memoria</t>
        </is>
      </c>
      <c r="K32" s="256" t="n">
        <v>195945.971686418</v>
      </c>
      <c r="L32" s="256" t="n">
        <v>19608.67925318767</v>
      </c>
      <c r="M32" s="256" t="n">
        <v>323835.6665059853</v>
      </c>
      <c r="N32" s="256" t="n">
        <v>298072.2921700009</v>
      </c>
      <c r="O32" s="256" t="n">
        <v>285532.2509599996</v>
      </c>
      <c r="P32" s="256" t="n">
        <v>219736.2025499989</v>
      </c>
      <c r="Q32" s="256" t="n">
        <v>288553.1015600001</v>
      </c>
      <c r="R32" s="256" t="n">
        <v>262168.1791299997</v>
      </c>
      <c r="S32" s="256" t="n">
        <v>326579.3322794423</v>
      </c>
      <c r="T32" s="256" t="n">
        <v>298004.8956580514</v>
      </c>
      <c r="U32" s="256" t="n">
        <v>332444.6610799999</v>
      </c>
      <c r="V32" s="256" t="n">
        <v>232678.57335</v>
      </c>
      <c r="W32" s="256" t="n">
        <v>345778.97024</v>
      </c>
      <c r="X32" s="256" t="n">
        <v>363578</v>
      </c>
      <c r="Y32" s="256" t="n">
        <v>505964.4353380594</v>
      </c>
      <c r="Z32" s="256" t="n">
        <v>375832.7003199998</v>
      </c>
      <c r="AA32" s="256" t="n">
        <v>517133.4785</v>
      </c>
      <c r="AB32" s="256" t="n">
        <v>522048</v>
      </c>
      <c r="AC32" s="256" t="n">
        <v>537381.4739999999</v>
      </c>
      <c r="AD32" s="256" t="n">
        <v>405387.0474999994</v>
      </c>
      <c r="AE32" s="256" t="n">
        <v>547625.652</v>
      </c>
      <c r="AF32" s="256" t="n">
        <v>532090</v>
      </c>
      <c r="AG32" s="256" t="n">
        <v>599363.9052939191</v>
      </c>
      <c r="AH32" s="256" t="n">
        <v>455938.1563100002</v>
      </c>
      <c r="AI32" s="256" t="n">
        <v>605996.1761599998</v>
      </c>
      <c r="AJ32" s="256" t="n">
        <v>612932.662</v>
      </c>
    </row>
    <row r="33">
      <c r="H33" s="250" t="inlineStr">
        <is>
          <t>DFC (R$ mil, trimestre isolado)</t>
        </is>
      </c>
    </row>
    <row r="34">
      <c r="A34" t="n">
        <v>10</v>
      </c>
      <c r="B34" t="n">
        <v>1</v>
      </c>
      <c r="G34" t="inlineStr">
        <is>
          <t>moeda</t>
        </is>
      </c>
      <c r="H34" t="inlineStr">
        <is>
          <t>Fleury DFC: Dividendos e/ou juros sobre capital próprio (l.63) | Combinada DFC: Dividendos e/ou juros sobre capital próprio e JCSP (l.59)</t>
        </is>
      </c>
      <c r="I34" t="inlineStr">
        <is>
          <t>Dividends / interest on equity paid</t>
        </is>
      </c>
      <c r="J34" t="inlineStr">
        <is>
          <t>fonte</t>
        </is>
      </c>
      <c r="K34" s="256" t="n">
        <v>-31176.5432</v>
      </c>
      <c r="L34" s="256" t="n">
        <v>0</v>
      </c>
      <c r="M34" s="256" t="n">
        <v>0</v>
      </c>
      <c r="N34" s="256" t="n">
        <v>-197752.41252</v>
      </c>
      <c r="O34" s="256" t="n">
        <v>-75102.32011</v>
      </c>
      <c r="P34" s="256" t="n">
        <v>-156254.5951</v>
      </c>
      <c r="Q34" s="256" t="n">
        <v>-42227.23762</v>
      </c>
      <c r="R34" s="256" t="n">
        <v>-22557.33515</v>
      </c>
      <c r="S34" s="256" t="n">
        <v>-4129.79244</v>
      </c>
      <c r="T34" s="256" t="n">
        <v>-225016.1942</v>
      </c>
      <c r="U34" s="256" t="n">
        <v>-1.5808</v>
      </c>
      <c r="V34" s="256" t="n">
        <v>-108053.8068</v>
      </c>
      <c r="W34" s="256" t="n">
        <v>0</v>
      </c>
      <c r="X34" s="256" t="n">
        <v>-273224.548</v>
      </c>
      <c r="Y34" s="256" t="n">
        <v>-13879.53525000002</v>
      </c>
      <c r="Z34" s="256" t="n">
        <v>-223004.91675</v>
      </c>
      <c r="AA34" s="256" t="n">
        <v>-496</v>
      </c>
      <c r="AB34" s="256" t="n">
        <v>-80533</v>
      </c>
      <c r="AC34" s="256" t="n">
        <v>0</v>
      </c>
      <c r="AD34" s="256" t="n">
        <v>-262333</v>
      </c>
      <c r="AE34" s="256" t="n">
        <v>0</v>
      </c>
      <c r="AF34" s="256" t="n">
        <v>-254045</v>
      </c>
      <c r="AG34" s="256" t="n">
        <v>0</v>
      </c>
      <c r="AH34" s="256" t="n">
        <v>-259010</v>
      </c>
      <c r="AI34" s="256" t="n">
        <v>-391</v>
      </c>
      <c r="AJ34" s="256" t="n">
        <v>-222897</v>
      </c>
    </row>
    <row r="35">
      <c r="G35" t="inlineStr">
        <is>
          <t>moeda</t>
        </is>
      </c>
      <c r="H35" t="inlineStr">
        <is>
          <t>Fleury DFC: Depreciações e amortizações (l.13) | Combinada DFC: Depreciações e amortizações (l.10) - memoria p/ conferir o cod 4</t>
        </is>
      </c>
      <c r="J35" t="inlineStr">
        <is>
          <t>memoria</t>
        </is>
      </c>
      <c r="K35" s="256" t="n">
        <v>87254.38368000001</v>
      </c>
      <c r="L35" s="256" t="n">
        <v>84699.20834</v>
      </c>
      <c r="M35" s="256" t="n">
        <v>87780.08586000001</v>
      </c>
      <c r="N35" s="256" t="n">
        <v>98734.27442</v>
      </c>
      <c r="O35" s="256" t="n">
        <v>86836.43828999999</v>
      </c>
      <c r="P35" s="256" t="n">
        <v>90884.44055999999</v>
      </c>
      <c r="Q35" s="256" t="n">
        <v>103833.67925</v>
      </c>
      <c r="R35" s="256" t="n">
        <v>107725.15852</v>
      </c>
      <c r="S35" s="256" t="n">
        <v>107459.63589</v>
      </c>
      <c r="T35" s="256" t="n">
        <v>113842.56518</v>
      </c>
      <c r="U35" s="256" t="n">
        <v>109752.5059</v>
      </c>
      <c r="V35" s="256" t="n">
        <v>124284.6005</v>
      </c>
      <c r="W35" s="256" t="n">
        <v>131262.08829</v>
      </c>
      <c r="X35" s="256" t="n">
        <v>166076</v>
      </c>
      <c r="Y35" s="256" t="n">
        <v>188161</v>
      </c>
      <c r="Z35" s="256" t="n">
        <v>189879</v>
      </c>
      <c r="AA35" s="256" t="n">
        <v>189554</v>
      </c>
      <c r="AB35" s="256" t="n">
        <v>191804</v>
      </c>
      <c r="AC35" s="256" t="n">
        <v>196609</v>
      </c>
      <c r="AD35" s="256" t="n">
        <v>202016</v>
      </c>
      <c r="AE35" s="256" t="n">
        <v>212141</v>
      </c>
      <c r="AF35" s="256" t="n">
        <v>222404</v>
      </c>
      <c r="AG35" s="256" t="n">
        <v>229374</v>
      </c>
      <c r="AH35" s="256" t="n">
        <v>236392</v>
      </c>
      <c r="AI35" s="256" t="n">
        <v>233122</v>
      </c>
      <c r="AJ35" s="256" t="n">
        <v>215806</v>
      </c>
    </row>
    <row r="36">
      <c r="H36" s="250" t="inlineStr">
        <is>
          <t>BALANCO (R$ mil, saldo de fim de trimestre; 4T21 e 4T22 da aba Fleury lidos da coluna anual)</t>
        </is>
      </c>
    </row>
    <row r="37">
      <c r="A37" t="n">
        <v>11</v>
      </c>
      <c r="B37" t="n">
        <v>1</v>
      </c>
      <c r="G37" t="inlineStr">
        <is>
          <t>moeda</t>
        </is>
      </c>
      <c r="H37" t="inlineStr">
        <is>
          <t>Fleury BP: Caixa e Equivalente de Caixa (l.12) | Combinada BP: Caixa e Equivalente de Caixa AC (l.9)</t>
        </is>
      </c>
      <c r="J37" t="inlineStr">
        <is>
          <t>fonte</t>
        </is>
      </c>
      <c r="K37" s="256" t="n">
        <v>19411.32227</v>
      </c>
      <c r="L37" s="256" t="n">
        <v>19598.34642</v>
      </c>
      <c r="M37" s="256" t="n">
        <v>18636.40956000001</v>
      </c>
      <c r="N37" s="256" t="n">
        <v>28183.77816</v>
      </c>
      <c r="O37" s="256" t="n">
        <v>13585.43702</v>
      </c>
      <c r="P37" s="256" t="n">
        <v>35432.93066000001</v>
      </c>
      <c r="Q37" s="256" t="n">
        <v>25929.55784</v>
      </c>
      <c r="R37" s="256" t="n">
        <v>33722.30695</v>
      </c>
      <c r="S37" s="256" t="n">
        <v>13714.19443</v>
      </c>
      <c r="T37" s="256" t="n">
        <v>20642.61124</v>
      </c>
      <c r="U37" s="256" t="n">
        <v>8886.992880000002</v>
      </c>
      <c r="V37" s="256" t="n">
        <v>17255.94149</v>
      </c>
      <c r="W37" s="256" t="n">
        <v>9869.667449999999</v>
      </c>
      <c r="X37" s="256" t="n">
        <v>31512</v>
      </c>
      <c r="Y37" s="256" t="n">
        <v>14117</v>
      </c>
      <c r="Z37" s="256" t="n">
        <v>21920</v>
      </c>
      <c r="AA37" s="256" t="n">
        <v>91401</v>
      </c>
      <c r="AB37" s="256" t="n">
        <v>10412</v>
      </c>
      <c r="AC37" s="256" t="n">
        <v>12634</v>
      </c>
      <c r="AD37" s="256" t="n">
        <v>21788</v>
      </c>
      <c r="AE37" s="256" t="n">
        <v>7535.596</v>
      </c>
      <c r="AF37" s="256" t="n">
        <v>7432</v>
      </c>
      <c r="AG37" s="256" t="n">
        <v>11689</v>
      </c>
      <c r="AH37" s="256" t="n">
        <v>21772</v>
      </c>
      <c r="AI37" s="256" t="n">
        <v>9720</v>
      </c>
      <c r="AJ37" s="256" t="n">
        <v>19060</v>
      </c>
    </row>
    <row r="38">
      <c r="A38" t="n">
        <v>11</v>
      </c>
      <c r="B38" t="n">
        <v>1</v>
      </c>
      <c r="G38" t="inlineStr">
        <is>
          <t>moeda</t>
        </is>
      </c>
      <c r="H38" t="inlineStr">
        <is>
          <t>Fleury BP: Títulos e Valores Mobilíarios (l.13) | Combinada BP: Títulos e Valores Mobilíarios AC (l.10)</t>
        </is>
      </c>
      <c r="J38" t="inlineStr">
        <is>
          <t>fonte</t>
        </is>
      </c>
      <c r="K38" s="256" t="n">
        <v>709987.4674399999</v>
      </c>
      <c r="L38" s="256" t="n">
        <v>1064096.82842</v>
      </c>
      <c r="M38" s="256" t="n">
        <v>1121191.88649</v>
      </c>
      <c r="N38" s="256" t="n">
        <v>1013620.60986</v>
      </c>
      <c r="O38" s="256" t="n">
        <v>1021467.55549</v>
      </c>
      <c r="P38" s="256" t="n">
        <v>570834.56283</v>
      </c>
      <c r="Q38" s="256" t="n">
        <v>938811.7619</v>
      </c>
      <c r="R38" s="256" t="n">
        <v>763371.8632699999</v>
      </c>
      <c r="S38" s="256" t="n">
        <v>492795.4640799999</v>
      </c>
      <c r="T38" s="256" t="n">
        <v>699803.40461</v>
      </c>
      <c r="U38" s="256" t="n">
        <v>766586.53788</v>
      </c>
      <c r="V38" s="256" t="n">
        <v>1292234.27653</v>
      </c>
      <c r="W38" s="256" t="n">
        <v>1271657.31157</v>
      </c>
      <c r="X38" s="256" t="n">
        <v>879132</v>
      </c>
      <c r="Y38" s="256" t="n">
        <v>962521</v>
      </c>
      <c r="Z38" s="256" t="n">
        <v>902213</v>
      </c>
      <c r="AA38" s="256" t="n">
        <v>798128</v>
      </c>
      <c r="AB38" s="256" t="n">
        <v>1993649</v>
      </c>
      <c r="AC38" s="256" t="n">
        <v>2222581</v>
      </c>
      <c r="AD38" s="256" t="n">
        <v>2319955</v>
      </c>
      <c r="AE38" s="256" t="n">
        <v>2453023.209</v>
      </c>
      <c r="AF38" s="256" t="n">
        <v>2077180</v>
      </c>
      <c r="AG38" s="256" t="n">
        <v>2500949</v>
      </c>
      <c r="AH38" s="256" t="n">
        <v>2140619</v>
      </c>
      <c r="AI38" s="256" t="n">
        <v>2140485</v>
      </c>
      <c r="AJ38" s="256" t="n">
        <v>1880069</v>
      </c>
    </row>
    <row r="39">
      <c r="A39" t="n">
        <v>12</v>
      </c>
      <c r="B39" t="n">
        <v>1</v>
      </c>
      <c r="G39" t="inlineStr">
        <is>
          <t>moeda</t>
        </is>
      </c>
      <c r="H39" t="inlineStr">
        <is>
          <t>Fleury BP: Contas a Receber (l.14) | Combinada BP: Contas a Receber AC (l.11)</t>
        </is>
      </c>
      <c r="J39" t="inlineStr">
        <is>
          <t>fonte</t>
        </is>
      </c>
      <c r="K39" s="256" t="n">
        <v>548081.5140200001</v>
      </c>
      <c r="L39" s="256" t="n">
        <v>425917.00577</v>
      </c>
      <c r="M39" s="256" t="n">
        <v>642007.1974600001</v>
      </c>
      <c r="N39" s="256" t="n">
        <v>704468.11931</v>
      </c>
      <c r="O39" s="256" t="n">
        <v>722332.69323</v>
      </c>
      <c r="P39" s="256" t="n">
        <v>710160.0720599999</v>
      </c>
      <c r="Q39" s="256" t="n">
        <v>798879.6210299999</v>
      </c>
      <c r="R39" s="256" t="n">
        <v>793850.8455332215</v>
      </c>
      <c r="S39" s="256" t="n">
        <v>867743.7446500001</v>
      </c>
      <c r="T39" s="256" t="n">
        <v>900929.9349700001</v>
      </c>
      <c r="U39" s="256" t="n">
        <v>885466.9196200001</v>
      </c>
      <c r="V39" s="256" t="n">
        <v>856849.0628900001</v>
      </c>
      <c r="W39" s="256" t="n">
        <v>973701.4175900001</v>
      </c>
      <c r="X39" s="256" t="n">
        <v>1486024</v>
      </c>
      <c r="Y39" s="256" t="n">
        <v>1558622</v>
      </c>
      <c r="Z39" s="256" t="n">
        <v>1505194</v>
      </c>
      <c r="AA39" s="256" t="n">
        <v>1731049</v>
      </c>
      <c r="AB39" s="256" t="n">
        <v>1759050</v>
      </c>
      <c r="AC39" s="256" t="n">
        <v>1763847</v>
      </c>
      <c r="AD39" s="256" t="n">
        <v>1634904</v>
      </c>
      <c r="AE39" s="256" t="n">
        <v>1789123.657</v>
      </c>
      <c r="AF39" s="256" t="n">
        <v>1859620</v>
      </c>
      <c r="AG39" s="256" t="n">
        <v>1911173</v>
      </c>
      <c r="AH39" s="256" t="n">
        <v>1747166</v>
      </c>
      <c r="AI39" s="256" t="n">
        <v>2005869</v>
      </c>
      <c r="AJ39" s="256" t="n">
        <v>2094735</v>
      </c>
    </row>
    <row r="40">
      <c r="A40" t="n">
        <v>13</v>
      </c>
      <c r="B40" t="n">
        <v>1</v>
      </c>
      <c r="G40" t="inlineStr">
        <is>
          <t>moeda</t>
        </is>
      </c>
      <c r="H40" t="inlineStr">
        <is>
          <t>Fleury BP: Estoques (l.15) | Combinada BP: Estoques AC (l.12)</t>
        </is>
      </c>
      <c r="J40" t="inlineStr">
        <is>
          <t>fonte</t>
        </is>
      </c>
      <c r="K40" s="256" t="n">
        <v>36868.38604</v>
      </c>
      <c r="L40" s="256" t="n">
        <v>83863.15235999998</v>
      </c>
      <c r="M40" s="256" t="n">
        <v>81687.01938000001</v>
      </c>
      <c r="N40" s="256" t="n">
        <v>63092.52976999999</v>
      </c>
      <c r="O40" s="256" t="n">
        <v>63834.8316</v>
      </c>
      <c r="P40" s="256" t="n">
        <v>71513.51074</v>
      </c>
      <c r="Q40" s="256" t="n">
        <v>68378.85212000001</v>
      </c>
      <c r="R40" s="256" t="n">
        <v>72609.91871999999</v>
      </c>
      <c r="S40" s="256" t="n">
        <v>95168.56361</v>
      </c>
      <c r="T40" s="256" t="n">
        <v>76208.63578</v>
      </c>
      <c r="U40" s="256" t="n">
        <v>85472.63984</v>
      </c>
      <c r="V40" s="256" t="n">
        <v>96575.54571000001</v>
      </c>
      <c r="W40" s="256" t="n">
        <v>99247.06762</v>
      </c>
      <c r="X40" s="256" t="n">
        <v>132464</v>
      </c>
      <c r="Y40" s="256" t="n">
        <v>135196</v>
      </c>
      <c r="Z40" s="256" t="n">
        <v>134929</v>
      </c>
      <c r="AA40" s="256" t="n">
        <v>127562</v>
      </c>
      <c r="AB40" s="256" t="n">
        <v>139551</v>
      </c>
      <c r="AC40" s="256" t="n">
        <v>139511</v>
      </c>
      <c r="AD40" s="256" t="n">
        <v>155036</v>
      </c>
      <c r="AE40" s="256" t="n">
        <v>155495.579</v>
      </c>
      <c r="AF40" s="256" t="n">
        <v>149579</v>
      </c>
      <c r="AG40" s="256" t="n">
        <v>154975</v>
      </c>
      <c r="AH40" s="256" t="n">
        <v>180702</v>
      </c>
      <c r="AI40" s="256" t="n">
        <v>150818</v>
      </c>
      <c r="AJ40" s="256" t="n">
        <v>156590</v>
      </c>
    </row>
    <row r="41">
      <c r="A41" t="n">
        <v>15</v>
      </c>
      <c r="B41" t="n">
        <v>1</v>
      </c>
      <c r="G41" t="inlineStr">
        <is>
          <t>moeda</t>
        </is>
      </c>
      <c r="H41" t="inlineStr">
        <is>
          <t>Fleury BP: Despesas do Exercício Seguinte (l.18) | Combinada BP: Despesas do Exercício Seguinte AC (l.16)</t>
        </is>
      </c>
      <c r="J41" t="inlineStr">
        <is>
          <t>fonte</t>
        </is>
      </c>
      <c r="K41" s="256" t="n">
        <v>14324.618</v>
      </c>
      <c r="L41" s="256" t="n">
        <v>20993.92462</v>
      </c>
      <c r="M41" s="256" t="n">
        <v>16034.96786</v>
      </c>
      <c r="N41" s="256" t="n">
        <v>7771.949419999999</v>
      </c>
      <c r="O41" s="256" t="n">
        <v>21440.50233000001</v>
      </c>
      <c r="P41" s="256" t="n">
        <v>19749.41461</v>
      </c>
      <c r="Q41" s="256" t="n">
        <v>12871.00357</v>
      </c>
      <c r="R41" s="256" t="n">
        <v>6918.04293</v>
      </c>
      <c r="S41" s="256" t="n">
        <v>28669.72893</v>
      </c>
      <c r="T41" s="256" t="n">
        <v>27256.46226</v>
      </c>
      <c r="U41" s="256" t="n">
        <v>22416.82529</v>
      </c>
      <c r="V41" s="256" t="n">
        <v>0</v>
      </c>
      <c r="W41" s="256" t="n">
        <v>0</v>
      </c>
      <c r="X41" s="256" t="n">
        <v>0</v>
      </c>
      <c r="Y41" s="256" t="n">
        <v>0</v>
      </c>
      <c r="Z41" s="256" t="n">
        <v>0</v>
      </c>
      <c r="AA41" s="256" t="n">
        <v>0</v>
      </c>
      <c r="AB41" s="256" t="n">
        <v>0</v>
      </c>
      <c r="AC41" s="256" t="n">
        <v>0</v>
      </c>
      <c r="AD41" s="256" t="n">
        <v>0</v>
      </c>
      <c r="AE41" s="256" t="n">
        <v>0</v>
      </c>
      <c r="AF41" s="256" t="n">
        <v>0</v>
      </c>
      <c r="AG41" s="256" t="n">
        <v>0</v>
      </c>
      <c r="AH41" s="256" t="n">
        <v>0</v>
      </c>
      <c r="AI41" s="256" t="n">
        <v>0</v>
      </c>
      <c r="AJ41" s="256" t="n">
        <v>0</v>
      </c>
    </row>
    <row r="42">
      <c r="A42" t="n">
        <v>14</v>
      </c>
      <c r="B42" t="n">
        <v>1</v>
      </c>
      <c r="G42" t="inlineStr">
        <is>
          <t>moeda</t>
        </is>
      </c>
      <c r="H42" t="inlineStr">
        <is>
          <t>Fleury BP: Imposto de Renda e Contribuições Sociais Diferidos (l.19) | Combinada BP: Imposto de Renda e Contribuições Sociais Diferidos AC (l.17)</t>
        </is>
      </c>
      <c r="J42" t="inlineStr">
        <is>
          <t>fonte</t>
        </is>
      </c>
      <c r="K42" s="256" t="n">
        <v>0</v>
      </c>
      <c r="L42" s="256" t="n">
        <v>0</v>
      </c>
      <c r="M42" s="256" t="n">
        <v>0</v>
      </c>
      <c r="N42" s="256" t="n">
        <v>0</v>
      </c>
      <c r="O42" s="256" t="n">
        <v>0</v>
      </c>
      <c r="P42" s="256" t="n">
        <v>0</v>
      </c>
      <c r="Q42" s="256" t="n">
        <v>0</v>
      </c>
      <c r="R42" s="256" t="n">
        <v>0</v>
      </c>
      <c r="S42" s="256" t="n">
        <v>0</v>
      </c>
      <c r="T42" s="256" t="n">
        <v>0</v>
      </c>
      <c r="U42" s="256" t="n">
        <v>0</v>
      </c>
      <c r="V42" s="256" t="n">
        <v>0</v>
      </c>
      <c r="W42" s="256" t="n">
        <v>0</v>
      </c>
      <c r="X42" s="256" t="n">
        <v>0</v>
      </c>
      <c r="Y42" s="256" t="n">
        <v>0</v>
      </c>
      <c r="Z42" s="256" t="n">
        <v>0</v>
      </c>
      <c r="AA42" s="256" t="n">
        <v>0</v>
      </c>
      <c r="AB42" s="256" t="n">
        <v>0</v>
      </c>
      <c r="AC42" s="256" t="n">
        <v>0</v>
      </c>
      <c r="AD42" s="256" t="n">
        <v>0</v>
      </c>
      <c r="AE42" s="256" t="n">
        <v>0</v>
      </c>
      <c r="AF42" s="256" t="n">
        <v>0</v>
      </c>
      <c r="AG42" s="256" t="n">
        <v>0</v>
      </c>
      <c r="AH42" s="256" t="n">
        <v>0</v>
      </c>
      <c r="AI42" s="256" t="n">
        <v>0</v>
      </c>
      <c r="AJ42" s="256" t="n">
        <v>0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Fleury BP: Imposto a Recuperar (l.16) | Combinada BP: Imposto a Recuperar AC (l.13)</t>
        </is>
      </c>
      <c r="J43" t="inlineStr">
        <is>
          <t>fonte</t>
        </is>
      </c>
      <c r="K43" s="256" t="n">
        <v>71914.01168</v>
      </c>
      <c r="L43" s="256" t="n">
        <v>91788.56802999999</v>
      </c>
      <c r="M43" s="256" t="n">
        <v>61991.45415</v>
      </c>
      <c r="N43" s="256" t="n">
        <v>55570.06755999999</v>
      </c>
      <c r="O43" s="256" t="n">
        <v>60139.99233000001</v>
      </c>
      <c r="P43" s="256" t="n">
        <v>49718.49825</v>
      </c>
      <c r="Q43" s="256" t="n">
        <v>129474.38855</v>
      </c>
      <c r="R43" s="256" t="n">
        <v>27296.75458000001</v>
      </c>
      <c r="S43" s="256" t="n">
        <v>60850.37061000001</v>
      </c>
      <c r="T43" s="256" t="n">
        <v>103606.69989</v>
      </c>
      <c r="U43" s="256" t="n">
        <v>144075.20776</v>
      </c>
      <c r="V43" s="256" t="n">
        <v>77022.16918000001</v>
      </c>
      <c r="W43" s="256" t="n">
        <v>88263.75900000001</v>
      </c>
      <c r="X43" s="256" t="n">
        <v>18671</v>
      </c>
      <c r="Y43" s="256" t="n">
        <v>16989</v>
      </c>
      <c r="Z43" s="256" t="n">
        <v>20280</v>
      </c>
      <c r="AA43" s="256" t="n">
        <v>16158</v>
      </c>
      <c r="AB43" s="256" t="n">
        <v>15285</v>
      </c>
      <c r="AC43" s="256" t="n">
        <v>16360</v>
      </c>
      <c r="AD43" s="256" t="n">
        <v>21602</v>
      </c>
      <c r="AE43" s="256" t="n">
        <v>22377</v>
      </c>
      <c r="AF43" s="256" t="n">
        <v>20753</v>
      </c>
      <c r="AG43" s="256" t="n">
        <v>18599</v>
      </c>
      <c r="AH43" s="256" t="n">
        <v>22863</v>
      </c>
      <c r="AI43" s="256" t="n">
        <v>15587</v>
      </c>
      <c r="AJ43" s="256" t="n">
        <v>243400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Fleury BP: [nao existe] | Combinada BP: IRPJ e CSLL a compensar (l.14) [0 em 1Q20..1Q23 (13 per.): linha inexistente/vazia na fonte; total divulgado confirma]</t>
        </is>
      </c>
      <c r="J44" t="inlineStr">
        <is>
          <t>fonte</t>
        </is>
      </c>
      <c r="K44" s="256" t="n">
        <v>0</v>
      </c>
      <c r="L44" s="256" t="n">
        <v>0</v>
      </c>
      <c r="M44" s="256" t="n">
        <v>0</v>
      </c>
      <c r="N44" s="256" t="n">
        <v>0</v>
      </c>
      <c r="O44" s="256" t="n">
        <v>0</v>
      </c>
      <c r="P44" s="256" t="n">
        <v>0</v>
      </c>
      <c r="Q44" s="256" t="n">
        <v>0</v>
      </c>
      <c r="R44" s="256" t="n">
        <v>0</v>
      </c>
      <c r="S44" s="256" t="n">
        <v>0</v>
      </c>
      <c r="T44" s="256" t="n">
        <v>0</v>
      </c>
      <c r="U44" s="256" t="n">
        <v>0</v>
      </c>
      <c r="V44" s="256" t="n">
        <v>0</v>
      </c>
      <c r="W44" s="256" t="n">
        <v>0</v>
      </c>
      <c r="X44" s="256" t="n">
        <v>112671</v>
      </c>
      <c r="Y44" s="256" t="n">
        <v>91941</v>
      </c>
      <c r="Z44" s="256" t="n">
        <v>162486</v>
      </c>
      <c r="AA44" s="256" t="n">
        <v>174335</v>
      </c>
      <c r="AB44" s="256" t="n">
        <v>169898</v>
      </c>
      <c r="AC44" s="256" t="n">
        <v>153615</v>
      </c>
      <c r="AD44" s="256" t="n">
        <v>143242</v>
      </c>
      <c r="AE44" s="256" t="n">
        <v>164655</v>
      </c>
      <c r="AF44" s="256" t="n">
        <v>174606</v>
      </c>
      <c r="AG44" s="256" t="n">
        <v>181166</v>
      </c>
      <c r="AH44" s="256" t="n">
        <v>225290</v>
      </c>
      <c r="AI44" s="256" t="n">
        <v>204296</v>
      </c>
      <c r="AJ44" s="256" t="n">
        <v>0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Fleury BP: Créditos com Partes Relacionadas (l.17) | Combinada BP: Créditos com Partes Relacionadas AC (l.15)</t>
        </is>
      </c>
      <c r="J45" t="inlineStr">
        <is>
          <t>fonte</t>
        </is>
      </c>
      <c r="K45" s="256" t="n">
        <v>25.5</v>
      </c>
      <c r="L45" s="256" t="n">
        <v>25.5</v>
      </c>
      <c r="M45" s="256" t="n">
        <v>0</v>
      </c>
      <c r="N45" s="256" t="n">
        <v>0</v>
      </c>
      <c r="O45" s="256" t="n">
        <v>0</v>
      </c>
      <c r="P45" s="256" t="n">
        <v>0</v>
      </c>
      <c r="Q45" s="256" t="n">
        <v>0</v>
      </c>
      <c r="R45" s="256" t="n">
        <v>0</v>
      </c>
      <c r="S45" s="256" t="n">
        <v>0</v>
      </c>
      <c r="T45" s="256" t="n">
        <v>0</v>
      </c>
      <c r="U45" s="256" t="n">
        <v>0</v>
      </c>
      <c r="V45" s="256" t="n">
        <v>0</v>
      </c>
      <c r="W45" s="256" t="n">
        <v>0</v>
      </c>
      <c r="X45" s="256" t="n">
        <v>0</v>
      </c>
      <c r="Y45" s="256" t="n">
        <v>0</v>
      </c>
      <c r="Z45" s="256" t="n">
        <v>0</v>
      </c>
      <c r="AA45" s="256" t="n">
        <v>0</v>
      </c>
      <c r="AB45" s="256" t="n">
        <v>0</v>
      </c>
      <c r="AC45" s="256" t="n">
        <v>0</v>
      </c>
      <c r="AD45" s="256" t="n">
        <v>0</v>
      </c>
      <c r="AE45" s="256" t="n">
        <v>0</v>
      </c>
      <c r="AF45" s="256" t="n">
        <v>0</v>
      </c>
      <c r="AG45" s="256" t="n">
        <v>0</v>
      </c>
      <c r="AH45" s="256" t="n">
        <v>0</v>
      </c>
      <c r="AI45" s="256" t="n">
        <v>0</v>
      </c>
      <c r="AJ45" s="256" t="n">
        <v>0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Fleury BP: Instrumentos Financeiros Derivativos (l.20) | Combinada BP: Instrumentos Financeiros Derivativos AC (l.18)</t>
        </is>
      </c>
      <c r="J46" t="inlineStr">
        <is>
          <t>fonte</t>
        </is>
      </c>
      <c r="K46" s="256" t="n">
        <v>1527.55538</v>
      </c>
      <c r="L46" s="256" t="n">
        <v>896.27566</v>
      </c>
      <c r="M46" s="256" t="n">
        <v>365.71655</v>
      </c>
      <c r="N46" s="256" t="n">
        <v>0.39701</v>
      </c>
      <c r="O46" s="256" t="n">
        <v>215.78719</v>
      </c>
      <c r="P46" s="256" t="n">
        <v>0</v>
      </c>
      <c r="Q46" s="256" t="n">
        <v>276.29003</v>
      </c>
      <c r="R46" s="256" t="n">
        <v>68</v>
      </c>
      <c r="S46" s="256" t="n">
        <v>0</v>
      </c>
      <c r="T46" s="256" t="n">
        <v>192.94505</v>
      </c>
      <c r="U46" s="256" t="n">
        <v>275.56128</v>
      </c>
      <c r="V46" s="256" t="n">
        <v>0</v>
      </c>
      <c r="W46" s="256" t="n">
        <v>0</v>
      </c>
      <c r="X46" s="256" t="n">
        <v>0</v>
      </c>
      <c r="Y46" s="256" t="n">
        <v>0</v>
      </c>
      <c r="Z46" s="256" t="n">
        <v>0</v>
      </c>
      <c r="AA46" s="256" t="n">
        <v>0</v>
      </c>
      <c r="AB46" s="256" t="n">
        <v>0</v>
      </c>
      <c r="AC46" s="256" t="n">
        <v>0</v>
      </c>
      <c r="AD46" s="256" t="n">
        <v>0</v>
      </c>
      <c r="AE46" s="256" t="n">
        <v>0</v>
      </c>
      <c r="AF46" s="256" t="n">
        <v>0</v>
      </c>
      <c r="AG46" s="256" t="n">
        <v>0</v>
      </c>
      <c r="AH46" s="256" t="n">
        <v>0</v>
      </c>
      <c r="AI46" s="256" t="n">
        <v>0</v>
      </c>
      <c r="AJ46" s="256" t="n">
        <v>0</v>
      </c>
    </row>
    <row r="47">
      <c r="A47" t="n">
        <v>16</v>
      </c>
      <c r="B47" t="n">
        <v>1</v>
      </c>
      <c r="G47" t="inlineStr">
        <is>
          <t>moeda</t>
        </is>
      </c>
      <c r="H47" t="inlineStr">
        <is>
          <t>Fleury BP: Notas Promissórias a Receber (l.21) | Combinada BP: Notas Promissórias a Receber AC (l.19)</t>
        </is>
      </c>
      <c r="J47" t="inlineStr">
        <is>
          <t>fonte</t>
        </is>
      </c>
      <c r="K47" s="256" t="n">
        <v>0</v>
      </c>
      <c r="L47" s="256" t="n">
        <v>0</v>
      </c>
      <c r="M47" s="256" t="n">
        <v>0</v>
      </c>
      <c r="N47" s="256" t="n">
        <v>0</v>
      </c>
      <c r="O47" s="256" t="n">
        <v>0</v>
      </c>
      <c r="P47" s="256" t="n">
        <v>0</v>
      </c>
      <c r="Q47" s="256" t="n">
        <v>0</v>
      </c>
      <c r="R47" s="256" t="n">
        <v>0</v>
      </c>
      <c r="S47" s="256" t="n">
        <v>0</v>
      </c>
      <c r="T47" s="256" t="n">
        <v>0</v>
      </c>
      <c r="U47" s="256" t="n">
        <v>0</v>
      </c>
      <c r="V47" s="256" t="n">
        <v>0</v>
      </c>
      <c r="W47" s="256" t="n">
        <v>0</v>
      </c>
      <c r="X47" s="256" t="n">
        <v>0</v>
      </c>
      <c r="Y47" s="256" t="n">
        <v>0</v>
      </c>
      <c r="Z47" s="256" t="n">
        <v>0</v>
      </c>
      <c r="AA47" s="256" t="n">
        <v>0</v>
      </c>
      <c r="AB47" s="256" t="n">
        <v>0</v>
      </c>
      <c r="AC47" s="256" t="n">
        <v>0</v>
      </c>
      <c r="AD47" s="256" t="n">
        <v>0</v>
      </c>
      <c r="AE47" s="256" t="n">
        <v>0</v>
      </c>
      <c r="AF47" s="256" t="n">
        <v>0</v>
      </c>
      <c r="AG47" s="256" t="n">
        <v>0</v>
      </c>
      <c r="AH47" s="256" t="n">
        <v>0</v>
      </c>
      <c r="AI47" s="256" t="n">
        <v>0</v>
      </c>
      <c r="AJ47" s="256" t="n">
        <v>0</v>
      </c>
    </row>
    <row r="48">
      <c r="A48" t="n">
        <v>16</v>
      </c>
      <c r="B48" t="n">
        <v>1</v>
      </c>
      <c r="G48" t="inlineStr">
        <is>
          <t>moeda</t>
        </is>
      </c>
      <c r="H48" t="inlineStr">
        <is>
          <t>Fleury BP: Outros (l.22) | Combinada BP: Outros AC (l.20)</t>
        </is>
      </c>
      <c r="J48" t="inlineStr">
        <is>
          <t>fonte</t>
        </is>
      </c>
      <c r="K48" s="256" t="n">
        <v>8861.30658</v>
      </c>
      <c r="L48" s="256" t="n">
        <v>5672.802650000801</v>
      </c>
      <c r="M48" s="256" t="n">
        <v>13916.28393999697</v>
      </c>
      <c r="N48" s="256" t="n">
        <v>7491.005920000001</v>
      </c>
      <c r="O48" s="256" t="n">
        <v>3274.10394</v>
      </c>
      <c r="P48" s="256" t="n">
        <v>12138.58537</v>
      </c>
      <c r="Q48" s="256" t="n">
        <v>21942.54938</v>
      </c>
      <c r="R48" s="256" t="n">
        <v>44632.98687</v>
      </c>
      <c r="S48" s="256" t="n">
        <v>43298.30446</v>
      </c>
      <c r="T48" s="256" t="n">
        <v>44119.32575</v>
      </c>
      <c r="U48" s="256" t="n">
        <v>36069.81336</v>
      </c>
      <c r="V48" s="256" t="n">
        <v>36499</v>
      </c>
      <c r="W48" s="256" t="n">
        <v>33009</v>
      </c>
      <c r="X48" s="256" t="n">
        <v>77103</v>
      </c>
      <c r="Y48" s="256" t="n">
        <v>59173</v>
      </c>
      <c r="Z48" s="256" t="n">
        <v>56535</v>
      </c>
      <c r="AA48" s="256" t="n">
        <v>64503</v>
      </c>
      <c r="AB48" s="256" t="n">
        <v>79884</v>
      </c>
      <c r="AC48" s="256" t="n">
        <v>83678</v>
      </c>
      <c r="AD48" s="256" t="n">
        <v>79267</v>
      </c>
      <c r="AE48" s="256" t="n">
        <v>71019</v>
      </c>
      <c r="AF48" s="256" t="n">
        <v>78917</v>
      </c>
      <c r="AG48" s="256" t="n">
        <v>85544</v>
      </c>
      <c r="AH48" s="256" t="n">
        <v>83053</v>
      </c>
      <c r="AI48" s="256" t="n">
        <v>123563</v>
      </c>
      <c r="AJ48" s="256" t="n">
        <v>145076</v>
      </c>
    </row>
    <row r="49">
      <c r="A49" t="n">
        <v>16</v>
      </c>
      <c r="B49" t="n">
        <v>1</v>
      </c>
      <c r="G49" t="inlineStr">
        <is>
          <t>moeda</t>
        </is>
      </c>
      <c r="H49" t="inlineStr">
        <is>
          <t>Fleury BP: Ativos Mantidos para Venda (l.23) | Combinada BP: Ativos Mantidos para Venda AC (l.21)</t>
        </is>
      </c>
      <c r="J49" t="inlineStr">
        <is>
          <t>fonte</t>
        </is>
      </c>
      <c r="K49" s="256" t="n">
        <v>0</v>
      </c>
      <c r="L49" s="256" t="n">
        <v>0</v>
      </c>
      <c r="M49" s="256" t="n">
        <v>0</v>
      </c>
      <c r="N49" s="256" t="n">
        <v>0</v>
      </c>
      <c r="O49" s="256" t="n">
        <v>0</v>
      </c>
      <c r="P49" s="256" t="n">
        <v>0</v>
      </c>
      <c r="Q49" s="256" t="n">
        <v>0</v>
      </c>
      <c r="R49" s="256" t="n">
        <v>0</v>
      </c>
      <c r="S49" s="256" t="n">
        <v>0</v>
      </c>
      <c r="T49" s="256" t="n">
        <v>0</v>
      </c>
      <c r="U49" s="256" t="n">
        <v>0</v>
      </c>
      <c r="V49" s="256" t="n">
        <v>14968.06325</v>
      </c>
      <c r="W49" s="256" t="n">
        <v>0</v>
      </c>
      <c r="X49" s="256" t="n">
        <v>0</v>
      </c>
      <c r="Y49" s="256" t="n">
        <v>0</v>
      </c>
      <c r="Z49" s="256" t="n">
        <v>0</v>
      </c>
      <c r="AA49" s="256" t="n">
        <v>0</v>
      </c>
      <c r="AB49" s="256" t="n">
        <v>0</v>
      </c>
      <c r="AC49" s="256" t="n">
        <v>0</v>
      </c>
      <c r="AD49" s="256" t="n">
        <v>0</v>
      </c>
      <c r="AE49" s="256" t="n">
        <v>0</v>
      </c>
      <c r="AF49" s="256" t="n">
        <v>0</v>
      </c>
      <c r="AG49" s="256" t="n">
        <v>0</v>
      </c>
      <c r="AH49" s="256" t="n">
        <v>0</v>
      </c>
      <c r="AI49" s="256" t="n">
        <v>0</v>
      </c>
      <c r="AJ49" s="256" t="n">
        <v>0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Fleury BP: Partes Relacionadas (l.28) | Combinada BP: Partes Relacionadas ANC (l.26)</t>
        </is>
      </c>
      <c r="J50" t="inlineStr">
        <is>
          <t>fonte</t>
        </is>
      </c>
      <c r="K50" s="256" t="n">
        <v>0</v>
      </c>
      <c r="L50" s="256" t="n">
        <v>0</v>
      </c>
      <c r="M50" s="256" t="n">
        <v>0</v>
      </c>
      <c r="N50" s="256" t="n">
        <v>0.09265000000002328</v>
      </c>
      <c r="O50" s="256" t="n">
        <v>0.09265000000000001</v>
      </c>
      <c r="P50" s="256" t="n">
        <v>0.09265000000000001</v>
      </c>
      <c r="Q50" s="256" t="n">
        <v>0.09265000000000001</v>
      </c>
      <c r="R50" s="256" t="n">
        <v>0</v>
      </c>
      <c r="S50" s="256" t="n">
        <v>0</v>
      </c>
      <c r="T50" s="256" t="n">
        <v>55</v>
      </c>
      <c r="U50" s="256" t="n">
        <v>55</v>
      </c>
      <c r="V50" s="256" t="n">
        <v>0</v>
      </c>
      <c r="W50" s="256" t="n">
        <v>0</v>
      </c>
      <c r="X50" s="256" t="n">
        <v>0</v>
      </c>
      <c r="Y50" s="256" t="n">
        <v>0</v>
      </c>
      <c r="Z50" s="256" t="n">
        <v>0</v>
      </c>
      <c r="AA50" s="256" t="n">
        <v>0</v>
      </c>
      <c r="AB50" s="256" t="n">
        <v>0</v>
      </c>
      <c r="AC50" s="256" t="n">
        <v>0</v>
      </c>
      <c r="AD50" s="256" t="n">
        <v>0</v>
      </c>
      <c r="AE50" s="256" t="n">
        <v>0</v>
      </c>
      <c r="AF50" s="256" t="n">
        <v>0</v>
      </c>
      <c r="AG50" s="256" t="n">
        <v>0</v>
      </c>
      <c r="AH50" s="256" t="n">
        <v>0</v>
      </c>
      <c r="AI50" s="256" t="n">
        <v>0</v>
      </c>
      <c r="AJ50" s="256" t="n">
        <v>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Fleury BP: Contas a Receber (l.29) | Combinada BP: Contas a Receber ANC (l.27)</t>
        </is>
      </c>
      <c r="J51" t="inlineStr">
        <is>
          <t>fonte</t>
        </is>
      </c>
      <c r="K51" s="256" t="n">
        <v>0</v>
      </c>
      <c r="L51" s="256" t="n">
        <v>0</v>
      </c>
      <c r="M51" s="256" t="n">
        <v>0</v>
      </c>
      <c r="N51" s="256" t="n">
        <v>0</v>
      </c>
      <c r="O51" s="256" t="n">
        <v>0</v>
      </c>
      <c r="P51" s="256" t="n">
        <v>0</v>
      </c>
      <c r="Q51" s="256" t="n">
        <v>0</v>
      </c>
      <c r="R51" s="256" t="n">
        <v>0</v>
      </c>
      <c r="S51" s="256" t="n">
        <v>0</v>
      </c>
      <c r="T51" s="256" t="n">
        <v>0</v>
      </c>
      <c r="U51" s="256" t="n">
        <v>0</v>
      </c>
      <c r="V51" s="256" t="n">
        <v>0</v>
      </c>
      <c r="W51" s="256" t="n">
        <v>0</v>
      </c>
      <c r="X51" s="256" t="n">
        <v>3060</v>
      </c>
      <c r="Y51" s="256" t="n">
        <v>2774</v>
      </c>
      <c r="Z51" s="256" t="n">
        <v>2548</v>
      </c>
      <c r="AA51" s="256" t="n">
        <v>2818</v>
      </c>
      <c r="AB51" s="256" t="n">
        <v>2764</v>
      </c>
      <c r="AC51" s="256" t="n">
        <v>2416</v>
      </c>
      <c r="AD51" s="256" t="n">
        <v>3786</v>
      </c>
      <c r="AE51" s="256" t="n">
        <v>2137</v>
      </c>
      <c r="AF51" s="256" t="n">
        <v>2072</v>
      </c>
      <c r="AG51" s="256" t="n">
        <v>1826</v>
      </c>
      <c r="AH51" s="256" t="n">
        <v>9532</v>
      </c>
      <c r="AI51" s="256" t="n">
        <v>7242</v>
      </c>
      <c r="AJ51" s="256" t="n">
        <v>4742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Fleury BP: Instrumentos Financeiros e Derivativos (l.30) | Combinada BP: Instrumentos Financeiros e Derivativos ANC (l.28)</t>
        </is>
      </c>
      <c r="J52" t="inlineStr">
        <is>
          <t>fonte</t>
        </is>
      </c>
      <c r="K52" s="256" t="n">
        <v>0</v>
      </c>
      <c r="L52" s="256" t="n">
        <v>0</v>
      </c>
      <c r="M52" s="256" t="n">
        <v>0</v>
      </c>
      <c r="N52" s="256" t="n">
        <v>0</v>
      </c>
      <c r="O52" s="256" t="n">
        <v>0</v>
      </c>
      <c r="P52" s="256" t="n">
        <v>0</v>
      </c>
      <c r="Q52" s="256" t="n">
        <v>0</v>
      </c>
      <c r="R52" s="256" t="n">
        <v>0</v>
      </c>
      <c r="S52" s="256" t="n">
        <v>0</v>
      </c>
      <c r="T52" s="256" t="n">
        <v>0</v>
      </c>
      <c r="U52" s="256" t="n">
        <v>0</v>
      </c>
      <c r="V52" s="256" t="n">
        <v>0</v>
      </c>
      <c r="W52" s="256" t="n">
        <v>0</v>
      </c>
      <c r="X52" s="256" t="n">
        <v>0</v>
      </c>
      <c r="Y52" s="256" t="n">
        <v>0</v>
      </c>
      <c r="Z52" s="256" t="n">
        <v>0</v>
      </c>
      <c r="AA52" s="256" t="n">
        <v>0</v>
      </c>
      <c r="AB52" s="256" t="n">
        <v>0</v>
      </c>
      <c r="AC52" s="256" t="n">
        <v>0</v>
      </c>
      <c r="AD52" s="256" t="n">
        <v>0</v>
      </c>
      <c r="AE52" s="256" t="n">
        <v>0</v>
      </c>
      <c r="AF52" s="256" t="n">
        <v>0</v>
      </c>
      <c r="AG52" s="256" t="n">
        <v>0</v>
      </c>
      <c r="AH52" s="256" t="n">
        <v>0</v>
      </c>
      <c r="AI52" s="256" t="n">
        <v>0</v>
      </c>
      <c r="AJ52" s="256" t="n">
        <v>0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Fleury BP: Impostos a Recuperar (l.31) | Combinada BP: Impostos a Recuperar ANC (l.29)</t>
        </is>
      </c>
      <c r="J53" t="inlineStr">
        <is>
          <t>fonte</t>
        </is>
      </c>
      <c r="K53" s="256" t="n">
        <v>0</v>
      </c>
      <c r="L53" s="256" t="n">
        <v>0</v>
      </c>
      <c r="M53" s="256" t="n">
        <v>0</v>
      </c>
      <c r="N53" s="256" t="n">
        <v>0</v>
      </c>
      <c r="O53" s="256" t="n">
        <v>0</v>
      </c>
      <c r="P53" s="256" t="n">
        <v>0</v>
      </c>
      <c r="Q53" s="256" t="n">
        <v>0</v>
      </c>
      <c r="R53" s="256" t="n">
        <v>0</v>
      </c>
      <c r="S53" s="256" t="n">
        <v>0</v>
      </c>
      <c r="T53" s="256" t="n">
        <v>0</v>
      </c>
      <c r="U53" s="256" t="n">
        <v>0</v>
      </c>
      <c r="V53" s="256" t="n">
        <v>0</v>
      </c>
      <c r="W53" s="256" t="n">
        <v>0</v>
      </c>
      <c r="X53" s="256" t="n">
        <v>0</v>
      </c>
      <c r="Y53" s="256" t="n">
        <v>0</v>
      </c>
      <c r="Z53" s="256" t="n">
        <v>0</v>
      </c>
      <c r="AA53" s="256" t="n">
        <v>0</v>
      </c>
      <c r="AB53" s="256" t="n">
        <v>0</v>
      </c>
      <c r="AC53" s="256" t="n">
        <v>0</v>
      </c>
      <c r="AD53" s="256" t="n">
        <v>7509</v>
      </c>
      <c r="AE53" s="256" t="n">
        <v>4332</v>
      </c>
      <c r="AF53" s="256" t="n">
        <v>4457</v>
      </c>
      <c r="AG53" s="256" t="n">
        <v>8722</v>
      </c>
      <c r="AH53" s="256" t="n">
        <v>1989</v>
      </c>
      <c r="AI53" s="256" t="n">
        <v>1989</v>
      </c>
      <c r="AJ53" s="256" t="n">
        <v>8754</v>
      </c>
    </row>
    <row r="54">
      <c r="A54" t="n">
        <v>22</v>
      </c>
      <c r="B54" t="n">
        <v>1</v>
      </c>
      <c r="G54" t="inlineStr">
        <is>
          <t>moeda</t>
        </is>
      </c>
      <c r="H54" t="inlineStr">
        <is>
          <t>Fleury BP: [nao existe] | Combinada BP: IRPJ e CSLL a compensar ANC (l.30) [0 em 1Q20..1Q23 (13 per.): linha inexistente/vazia na fonte; total divulgado confirma]</t>
        </is>
      </c>
      <c r="J54" t="inlineStr">
        <is>
          <t>fonte</t>
        </is>
      </c>
      <c r="K54" s="256" t="n">
        <v>0</v>
      </c>
      <c r="L54" s="256" t="n">
        <v>0</v>
      </c>
      <c r="M54" s="256" t="n">
        <v>0</v>
      </c>
      <c r="N54" s="256" t="n">
        <v>0</v>
      </c>
      <c r="O54" s="256" t="n">
        <v>0</v>
      </c>
      <c r="P54" s="256" t="n">
        <v>0</v>
      </c>
      <c r="Q54" s="256" t="n">
        <v>0</v>
      </c>
      <c r="R54" s="256" t="n">
        <v>0</v>
      </c>
      <c r="S54" s="256" t="n">
        <v>0</v>
      </c>
      <c r="T54" s="256" t="n">
        <v>0</v>
      </c>
      <c r="U54" s="256" t="n">
        <v>0</v>
      </c>
      <c r="V54" s="256" t="n">
        <v>0</v>
      </c>
      <c r="W54" s="256" t="n">
        <v>0</v>
      </c>
      <c r="X54" s="256" t="n">
        <v>0</v>
      </c>
      <c r="Y54" s="256" t="n">
        <v>0</v>
      </c>
      <c r="Z54" s="256" t="n">
        <v>0</v>
      </c>
      <c r="AA54" s="256" t="n">
        <v>0</v>
      </c>
      <c r="AB54" s="256" t="n">
        <v>0</v>
      </c>
      <c r="AC54" s="256" t="n">
        <v>0</v>
      </c>
      <c r="AD54" s="256" t="n">
        <v>18341</v>
      </c>
      <c r="AE54" s="256" t="n">
        <v>12276</v>
      </c>
      <c r="AF54" s="256" t="n">
        <v>9671</v>
      </c>
      <c r="AG54" s="256" t="n">
        <v>4670</v>
      </c>
      <c r="AH54" s="256" t="n">
        <v>7956</v>
      </c>
      <c r="AI54" s="256" t="n">
        <v>7646</v>
      </c>
      <c r="AJ54" s="256" t="n">
        <v>0</v>
      </c>
    </row>
    <row r="55">
      <c r="A55" t="n">
        <v>22</v>
      </c>
      <c r="B55" t="n">
        <v>1</v>
      </c>
      <c r="G55" t="inlineStr">
        <is>
          <t>moeda</t>
        </is>
      </c>
      <c r="H55" t="inlineStr">
        <is>
          <t>Fleury BP: Depósitos Judiciais (l.32) | Combinada BP: Depósitos Judiciais ANC (l.31)</t>
        </is>
      </c>
      <c r="J55" t="inlineStr">
        <is>
          <t>fonte</t>
        </is>
      </c>
      <c r="K55" s="256" t="n">
        <v>43449.47013999999</v>
      </c>
      <c r="L55" s="256" t="n">
        <v>40994.98778</v>
      </c>
      <c r="M55" s="256" t="n">
        <v>38208.27623</v>
      </c>
      <c r="N55" s="256" t="n">
        <v>24987.65357</v>
      </c>
      <c r="O55" s="256" t="n">
        <v>23550.96251</v>
      </c>
      <c r="P55" s="256" t="n">
        <v>23710.98661</v>
      </c>
      <c r="Q55" s="256" t="n">
        <v>23716.08139</v>
      </c>
      <c r="R55" s="256" t="n">
        <v>24009.03879</v>
      </c>
      <c r="S55" s="256" t="n">
        <v>24082.69692</v>
      </c>
      <c r="T55" s="256" t="n">
        <v>25976.73505</v>
      </c>
      <c r="U55" s="256" t="n">
        <v>22524.50943</v>
      </c>
      <c r="V55" s="256" t="n">
        <v>24160.16329</v>
      </c>
      <c r="W55" s="256" t="n">
        <v>24463.64082</v>
      </c>
      <c r="X55" s="256" t="n">
        <v>25124</v>
      </c>
      <c r="Y55" s="256" t="n">
        <v>25461</v>
      </c>
      <c r="Z55" s="256" t="n">
        <v>25856</v>
      </c>
      <c r="AA55" s="256" t="n">
        <v>25755</v>
      </c>
      <c r="AB55" s="256" t="n">
        <v>27021</v>
      </c>
      <c r="AC55" s="256" t="n">
        <v>27745</v>
      </c>
      <c r="AD55" s="256" t="n">
        <v>27605</v>
      </c>
      <c r="AE55" s="256" t="n">
        <v>28193.094</v>
      </c>
      <c r="AF55" s="256" t="n">
        <v>28171</v>
      </c>
      <c r="AG55" s="256" t="n">
        <v>21142</v>
      </c>
      <c r="AH55" s="256" t="n">
        <v>19488</v>
      </c>
      <c r="AI55" s="256" t="n">
        <v>23546</v>
      </c>
      <c r="AJ55" s="256" t="n">
        <v>13274</v>
      </c>
    </row>
    <row r="56">
      <c r="A56" t="n">
        <v>14</v>
      </c>
      <c r="B56" t="n">
        <v>1</v>
      </c>
      <c r="G56" t="inlineStr">
        <is>
          <t>moeda</t>
        </is>
      </c>
      <c r="H56" t="inlineStr">
        <is>
          <t>Fleury BP: Imposto de Renda e Contribuição Social Diferidos (l.33) | Combinada BP: Imposto de Renda e Contribuição Social Diferidos ANC (l.32)</t>
        </is>
      </c>
      <c r="J56" t="inlineStr">
        <is>
          <t>fonte</t>
        </is>
      </c>
      <c r="K56" s="256" t="n">
        <v>12527.4</v>
      </c>
      <c r="L56" s="256" t="n">
        <v>80027.39699000001</v>
      </c>
      <c r="M56" s="256" t="n">
        <v>66319.49782999999</v>
      </c>
      <c r="N56" s="256" t="n">
        <v>75956.58545</v>
      </c>
      <c r="O56" s="256" t="n">
        <v>90948.27093000001</v>
      </c>
      <c r="P56" s="256" t="n">
        <v>107554.30088</v>
      </c>
      <c r="Q56" s="256" t="n">
        <v>115092.37981</v>
      </c>
      <c r="R56" s="256" t="n">
        <v>25195</v>
      </c>
      <c r="S56" s="256" t="n">
        <v>37190.35428</v>
      </c>
      <c r="T56" s="256" t="n">
        <v>150814.6551</v>
      </c>
      <c r="U56" s="256" t="n">
        <v>177408.78868</v>
      </c>
      <c r="V56" s="256" t="n">
        <v>48624.33562000001</v>
      </c>
      <c r="W56" s="256" t="n">
        <v>53225.83053</v>
      </c>
      <c r="X56" s="256" t="n">
        <v>55901</v>
      </c>
      <c r="Y56" s="256" t="n">
        <v>29695</v>
      </c>
      <c r="Z56" s="256" t="n">
        <v>34356</v>
      </c>
      <c r="AA56" s="256" t="n">
        <v>34109</v>
      </c>
      <c r="AB56" s="256" t="n">
        <v>37285</v>
      </c>
      <c r="AC56" s="256" t="n">
        <v>37378</v>
      </c>
      <c r="AD56" s="256" t="n">
        <v>20478</v>
      </c>
      <c r="AE56" s="256" t="n">
        <v>21879.454</v>
      </c>
      <c r="AF56" s="256" t="n">
        <v>11582</v>
      </c>
      <c r="AG56" s="256" t="n">
        <v>12011</v>
      </c>
      <c r="AH56" s="256" t="n">
        <v>11058</v>
      </c>
      <c r="AI56" s="256" t="n">
        <v>8430</v>
      </c>
      <c r="AJ56" s="256" t="n">
        <v>10269</v>
      </c>
    </row>
    <row r="57">
      <c r="A57" t="n">
        <v>11</v>
      </c>
      <c r="B57" t="n">
        <v>1</v>
      </c>
      <c r="G57" t="inlineStr">
        <is>
          <t>moeda</t>
        </is>
      </c>
      <c r="H57" t="inlineStr">
        <is>
          <t>Fleury BP: Títulos e Valores Mobiliários (l.34) | Combinada BP: Títulos e Valores Mobiliários ANC (l.33)</t>
        </is>
      </c>
      <c r="J57" t="inlineStr">
        <is>
          <t>fonte</t>
        </is>
      </c>
      <c r="K57" s="256" t="n">
        <v>74177.55168</v>
      </c>
      <c r="L57" s="256" t="n">
        <v>69063.11603</v>
      </c>
      <c r="M57" s="256" t="n">
        <v>69364.59717000001</v>
      </c>
      <c r="N57" s="256" t="n">
        <v>69615.28981</v>
      </c>
      <c r="O57" s="256" t="n">
        <v>62321.01314</v>
      </c>
      <c r="P57" s="256" t="n">
        <v>65806.95767</v>
      </c>
      <c r="Q57" s="256" t="n">
        <v>63468.1401</v>
      </c>
      <c r="R57" s="256" t="n">
        <v>64332.43307</v>
      </c>
      <c r="S57" s="256" t="n">
        <v>58222.85381</v>
      </c>
      <c r="T57" s="256" t="n">
        <v>59482.62243000001</v>
      </c>
      <c r="U57" s="256" t="n">
        <v>118621.2204</v>
      </c>
      <c r="V57" s="256" t="n">
        <v>121641.19098</v>
      </c>
      <c r="W57" s="256" t="n">
        <v>117732.96032</v>
      </c>
      <c r="X57" s="256" t="n">
        <v>117963</v>
      </c>
      <c r="Y57" s="256" t="n">
        <v>121674</v>
      </c>
      <c r="Z57" s="256" t="n">
        <v>133482</v>
      </c>
      <c r="AA57" s="256" t="n">
        <v>136647</v>
      </c>
      <c r="AB57" s="256" t="n">
        <v>122887</v>
      </c>
      <c r="AC57" s="256" t="n">
        <v>102219</v>
      </c>
      <c r="AD57" s="256" t="n">
        <v>104218</v>
      </c>
      <c r="AE57" s="256" t="n">
        <v>84732.284</v>
      </c>
      <c r="AF57" s="256" t="n">
        <v>106180</v>
      </c>
      <c r="AG57" s="256" t="n">
        <v>109787</v>
      </c>
      <c r="AH57" s="256" t="n">
        <v>112622</v>
      </c>
      <c r="AI57" s="256" t="n">
        <v>116348</v>
      </c>
      <c r="AJ57" s="256" t="n">
        <v>138544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Fleury BP: Notas Promissórias a Receber (l.35) | Combinada BP: Notas Promissórias a Receber ANC (l.34)</t>
        </is>
      </c>
      <c r="J58" t="inlineStr">
        <is>
          <t>fonte</t>
        </is>
      </c>
      <c r="K58" s="256" t="n">
        <v>0</v>
      </c>
      <c r="L58" s="256" t="n">
        <v>0</v>
      </c>
      <c r="M58" s="256" t="n">
        <v>0</v>
      </c>
      <c r="N58" s="256" t="n">
        <v>0</v>
      </c>
      <c r="O58" s="256" t="n">
        <v>0</v>
      </c>
      <c r="P58" s="256" t="n">
        <v>0</v>
      </c>
      <c r="Q58" s="256" t="n">
        <v>0</v>
      </c>
      <c r="R58" s="256" t="n">
        <v>0</v>
      </c>
      <c r="S58" s="256" t="n">
        <v>0</v>
      </c>
      <c r="T58" s="256" t="n">
        <v>0</v>
      </c>
      <c r="U58" s="256" t="n">
        <v>0</v>
      </c>
      <c r="V58" s="256" t="n">
        <v>0</v>
      </c>
      <c r="W58" s="256" t="n">
        <v>0</v>
      </c>
      <c r="X58" s="256" t="n">
        <v>0</v>
      </c>
      <c r="Y58" s="256" t="n">
        <v>0</v>
      </c>
      <c r="Z58" s="256" t="n">
        <v>0</v>
      </c>
      <c r="AA58" s="256" t="n">
        <v>0</v>
      </c>
      <c r="AB58" s="256" t="n">
        <v>0</v>
      </c>
      <c r="AC58" s="256" t="n">
        <v>0</v>
      </c>
      <c r="AD58" s="256" t="n">
        <v>0</v>
      </c>
      <c r="AE58" s="256" t="n">
        <v>0</v>
      </c>
      <c r="AF58" s="256" t="n">
        <v>0</v>
      </c>
      <c r="AG58" s="256" t="n">
        <v>0</v>
      </c>
      <c r="AH58" s="256" t="n">
        <v>0</v>
      </c>
      <c r="AI58" s="256" t="n">
        <v>0</v>
      </c>
      <c r="AJ58" s="256" t="n">
        <v>0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Fleury BP: Créditos a Receber (l.36) | Combinada BP: Créditos a Receber ANC (l.35)</t>
        </is>
      </c>
      <c r="J59" t="inlineStr">
        <is>
          <t>fonte</t>
        </is>
      </c>
      <c r="K59" s="256" t="n">
        <v>0</v>
      </c>
      <c r="L59" s="256" t="n">
        <v>0</v>
      </c>
      <c r="M59" s="256" t="n">
        <v>0</v>
      </c>
      <c r="N59" s="256" t="n">
        <v>0</v>
      </c>
      <c r="O59" s="256" t="n">
        <v>0</v>
      </c>
      <c r="P59" s="256" t="n">
        <v>0</v>
      </c>
      <c r="Q59" s="256" t="n">
        <v>0</v>
      </c>
      <c r="R59" s="256" t="n">
        <v>0</v>
      </c>
      <c r="S59" s="256" t="n">
        <v>0</v>
      </c>
      <c r="T59" s="256" t="n">
        <v>0</v>
      </c>
      <c r="U59" s="256" t="n">
        <v>0</v>
      </c>
      <c r="V59" s="256" t="n">
        <v>0</v>
      </c>
      <c r="W59" s="256" t="n">
        <v>0</v>
      </c>
      <c r="X59" s="256" t="n">
        <v>0</v>
      </c>
      <c r="Y59" s="256" t="n">
        <v>0</v>
      </c>
      <c r="Z59" s="256" t="n">
        <v>0</v>
      </c>
      <c r="AA59" s="256" t="n">
        <v>0</v>
      </c>
      <c r="AB59" s="256" t="n">
        <v>0</v>
      </c>
      <c r="AC59" s="256" t="n">
        <v>0</v>
      </c>
      <c r="AD59" s="256" t="n">
        <v>0</v>
      </c>
      <c r="AE59" s="256" t="n">
        <v>0</v>
      </c>
      <c r="AF59" s="256" t="n">
        <v>0</v>
      </c>
      <c r="AG59" s="256" t="n">
        <v>0</v>
      </c>
      <c r="AH59" s="256" t="n">
        <v>0</v>
      </c>
      <c r="AI59" s="256" t="n">
        <v>0</v>
      </c>
      <c r="AJ59" s="256" t="n">
        <v>0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Fleury BP: Outros (l.37) | Combinada BP: Outros ANC (l.36)</t>
        </is>
      </c>
      <c r="J60" t="inlineStr">
        <is>
          <t>fonte</t>
        </is>
      </c>
      <c r="K60" s="256" t="n">
        <v>22373.36947</v>
      </c>
      <c r="L60" s="256" t="n">
        <v>32452.19305</v>
      </c>
      <c r="M60" s="256" t="n">
        <v>35210.69584</v>
      </c>
      <c r="N60" s="256" t="n">
        <v>33086.19531</v>
      </c>
      <c r="O60" s="256" t="n">
        <v>34155.33648000001</v>
      </c>
      <c r="P60" s="256" t="n">
        <v>23171.37982</v>
      </c>
      <c r="Q60" s="256" t="n">
        <v>22045.41792</v>
      </c>
      <c r="R60" s="256" t="n">
        <v>22887.00975</v>
      </c>
      <c r="S60" s="256" t="n">
        <v>22259.78494000001</v>
      </c>
      <c r="T60" s="256" t="n">
        <v>22628.77166</v>
      </c>
      <c r="U60" s="256" t="n">
        <v>27560.23659</v>
      </c>
      <c r="V60" s="256" t="n">
        <v>53764.87079</v>
      </c>
      <c r="W60" s="256" t="n">
        <v>52962.86515</v>
      </c>
      <c r="X60" s="256" t="n">
        <v>52053</v>
      </c>
      <c r="Y60" s="256" t="n">
        <v>56851</v>
      </c>
      <c r="Z60" s="256" t="n">
        <v>47557</v>
      </c>
      <c r="AA60" s="256" t="n">
        <v>49312</v>
      </c>
      <c r="AB60" s="256" t="n">
        <v>45715</v>
      </c>
      <c r="AC60" s="256" t="n">
        <v>44595</v>
      </c>
      <c r="AD60" s="256" t="n">
        <v>45529</v>
      </c>
      <c r="AE60" s="256" t="n">
        <v>43041</v>
      </c>
      <c r="AF60" s="256" t="n">
        <v>39806</v>
      </c>
      <c r="AG60" s="256" t="n">
        <v>46281</v>
      </c>
      <c r="AH60" s="256" t="n">
        <v>67116</v>
      </c>
      <c r="AI60" s="256" t="n">
        <v>64134</v>
      </c>
      <c r="AJ60" s="256" t="n">
        <v>61144</v>
      </c>
    </row>
    <row r="61">
      <c r="A61" t="n">
        <v>17</v>
      </c>
      <c r="B61" t="n">
        <v>1</v>
      </c>
      <c r="G61" t="inlineStr">
        <is>
          <t>moeda</t>
        </is>
      </c>
      <c r="H61" t="inlineStr">
        <is>
          <t>Fleury BP: Investimentos (l.41) | Combinada BP: Investimentos (l.40)</t>
        </is>
      </c>
      <c r="J61" t="inlineStr">
        <is>
          <t>fonte</t>
        </is>
      </c>
      <c r="K61" s="256" t="n">
        <v>17569.54898610083</v>
      </c>
      <c r="L61" s="256" t="n">
        <v>18074.20442363359</v>
      </c>
      <c r="M61" s="256" t="n">
        <v>23160.0065860319</v>
      </c>
      <c r="N61" s="256" t="n">
        <v>34372.09428281728</v>
      </c>
      <c r="O61" s="256" t="n">
        <v>33930.90881960276</v>
      </c>
      <c r="P61" s="256" t="n">
        <v>135736.9472852871</v>
      </c>
      <c r="Q61" s="256" t="n">
        <v>355250.406008409</v>
      </c>
      <c r="R61" s="256" t="n">
        <v>43083.21583023194</v>
      </c>
      <c r="S61" s="256" t="n">
        <v>40549.80504227636</v>
      </c>
      <c r="T61" s="256" t="n">
        <v>42331.65616282099</v>
      </c>
      <c r="U61" s="256" t="n">
        <v>52560.45319</v>
      </c>
      <c r="V61" s="256" t="n">
        <v>44080.2310958267</v>
      </c>
      <c r="W61" s="256" t="n">
        <v>56872.44029999999</v>
      </c>
      <c r="X61" s="256" t="n">
        <v>66428</v>
      </c>
      <c r="Y61" s="256" t="n">
        <v>68260</v>
      </c>
      <c r="Z61" s="256" t="n">
        <v>81519</v>
      </c>
      <c r="AA61" s="256" t="n">
        <v>69005</v>
      </c>
      <c r="AB61" s="256" t="n">
        <v>93409</v>
      </c>
      <c r="AC61" s="256" t="n">
        <v>100357</v>
      </c>
      <c r="AD61" s="256" t="n">
        <v>81910</v>
      </c>
      <c r="AE61" s="256" t="n">
        <v>102201.544</v>
      </c>
      <c r="AF61" s="256" t="n">
        <v>241834</v>
      </c>
      <c r="AG61" s="256" t="n">
        <v>109652</v>
      </c>
      <c r="AH61" s="256" t="n">
        <v>111772</v>
      </c>
      <c r="AI61" s="256" t="n">
        <v>105850</v>
      </c>
      <c r="AJ61" s="256" t="n">
        <v>169324</v>
      </c>
    </row>
    <row r="62">
      <c r="A62" t="n">
        <v>18</v>
      </c>
      <c r="B62" t="n">
        <v>1</v>
      </c>
      <c r="G62" t="inlineStr">
        <is>
          <t>moeda</t>
        </is>
      </c>
      <c r="H62" t="inlineStr">
        <is>
          <t>Fleury BP: Imobilizado (l.42) | Combinada BP: Imobilizado (l.41)</t>
        </is>
      </c>
      <c r="J62" t="inlineStr">
        <is>
          <t>fonte</t>
        </is>
      </c>
      <c r="K62" s="256" t="n">
        <v>754229.6363023134</v>
      </c>
      <c r="L62" s="256" t="n">
        <v>738340.8212933164</v>
      </c>
      <c r="M62" s="256" t="n">
        <v>707742.4608929002</v>
      </c>
      <c r="N62" s="256" t="n">
        <v>708768.6485624847</v>
      </c>
      <c r="O62" s="256" t="n">
        <v>690647.7073320694</v>
      </c>
      <c r="P62" s="256" t="n">
        <v>707228.0951266824</v>
      </c>
      <c r="Q62" s="256" t="n">
        <v>720527.8618934545</v>
      </c>
      <c r="R62" s="256" t="n">
        <v>814406.7489844239</v>
      </c>
      <c r="S62" s="256" t="n">
        <v>800795.1610264824</v>
      </c>
      <c r="T62" s="256" t="n">
        <v>825129.2118773529</v>
      </c>
      <c r="U62" s="256" t="n">
        <v>874141.40573</v>
      </c>
      <c r="V62" s="256" t="n">
        <v>925882.893132822</v>
      </c>
      <c r="W62" s="256" t="n">
        <v>909114.90776</v>
      </c>
      <c r="X62" s="256" t="n">
        <v>1351334</v>
      </c>
      <c r="Y62" s="256" t="n">
        <v>1349217</v>
      </c>
      <c r="Z62" s="256" t="n">
        <v>1348492</v>
      </c>
      <c r="AA62" s="256" t="n">
        <v>1326688</v>
      </c>
      <c r="AB62" s="256" t="n">
        <v>1320192</v>
      </c>
      <c r="AC62" s="256" t="n">
        <v>1334583</v>
      </c>
      <c r="AD62" s="256" t="n">
        <v>1375065</v>
      </c>
      <c r="AE62" s="256" t="n">
        <v>1348365.553</v>
      </c>
      <c r="AF62" s="256" t="n">
        <v>1338359</v>
      </c>
      <c r="AG62" s="256" t="n">
        <v>1344449</v>
      </c>
      <c r="AH62" s="256" t="n">
        <v>1379255</v>
      </c>
      <c r="AI62" s="256" t="n">
        <v>1355204</v>
      </c>
      <c r="AJ62" s="256" t="n">
        <v>1404052</v>
      </c>
    </row>
    <row r="63">
      <c r="A63" t="n">
        <v>21</v>
      </c>
      <c r="B63" t="n">
        <v>1</v>
      </c>
      <c r="G63" t="inlineStr">
        <is>
          <t>moeda</t>
        </is>
      </c>
      <c r="H63" t="inlineStr">
        <is>
          <t>Fleury BP: Intangível (l.43) | Combinada BP: Intangível (l.42)</t>
        </is>
      </c>
      <c r="J63" t="inlineStr">
        <is>
          <t>fonte</t>
        </is>
      </c>
      <c r="K63" s="256" t="n">
        <v>2018047.143086667</v>
      </c>
      <c r="L63" s="256" t="n">
        <v>2016435.034497295</v>
      </c>
      <c r="M63" s="256" t="n">
        <v>2018352.360462294</v>
      </c>
      <c r="N63" s="256" t="n">
        <v>2030607.997827294</v>
      </c>
      <c r="O63" s="256" t="n">
        <v>2031481.694882294</v>
      </c>
      <c r="P63" s="256" t="n">
        <v>2190439.423570974</v>
      </c>
      <c r="Q63" s="256" t="n">
        <v>2297792.109992304</v>
      </c>
      <c r="R63" s="256" t="n">
        <v>2586609.106978063</v>
      </c>
      <c r="S63" s="256" t="n">
        <v>2617509.45189824</v>
      </c>
      <c r="T63" s="256" t="n">
        <v>3021341.737230333</v>
      </c>
      <c r="U63" s="256" t="n">
        <v>3013739.86065</v>
      </c>
      <c r="V63" s="256" t="n">
        <v>3159926.121268085</v>
      </c>
      <c r="W63" s="256" t="n">
        <v>3147225.12633</v>
      </c>
      <c r="X63" s="256" t="n">
        <v>5768121</v>
      </c>
      <c r="Y63" s="256" t="n">
        <v>5744055</v>
      </c>
      <c r="Z63" s="256" t="n">
        <v>5807506</v>
      </c>
      <c r="AA63" s="256" t="n">
        <v>5788920</v>
      </c>
      <c r="AB63" s="256" t="n">
        <v>5783283</v>
      </c>
      <c r="AC63" s="256" t="n">
        <v>5830303</v>
      </c>
      <c r="AD63" s="256" t="n">
        <v>5863532</v>
      </c>
      <c r="AE63" s="256" t="n">
        <v>5819864.287</v>
      </c>
      <c r="AF63" s="256" t="n">
        <v>5825380</v>
      </c>
      <c r="AG63" s="256" t="n">
        <v>5957247</v>
      </c>
      <c r="AH63" s="256" t="n">
        <v>5979637</v>
      </c>
      <c r="AI63" s="256" t="n">
        <v>5905506</v>
      </c>
      <c r="AJ63" s="256" t="n">
        <v>6006075</v>
      </c>
    </row>
    <row r="64">
      <c r="A64" t="n">
        <v>19</v>
      </c>
      <c r="B64" t="n">
        <v>1</v>
      </c>
      <c r="G64" t="inlineStr">
        <is>
          <t>moeda</t>
        </is>
      </c>
      <c r="H64" t="inlineStr">
        <is>
          <t>Fleury BP: Direito de Uso (l.44) | Combinada BP: Direito de Uso (l.43)</t>
        </is>
      </c>
      <c r="J64" t="inlineStr">
        <is>
          <t>fonte</t>
        </is>
      </c>
      <c r="K64" s="256" t="n">
        <v>790360.75693</v>
      </c>
      <c r="L64" s="256" t="n">
        <v>760730.00788</v>
      </c>
      <c r="M64" s="256" t="n">
        <v>739317.11011</v>
      </c>
      <c r="N64" s="256" t="n">
        <v>729941.3450500001</v>
      </c>
      <c r="O64" s="256" t="n">
        <v>700212.56363</v>
      </c>
      <c r="P64" s="256" t="n">
        <v>682610.07549</v>
      </c>
      <c r="Q64" s="256" t="n">
        <v>691232.93304</v>
      </c>
      <c r="R64" s="256" t="n">
        <v>750774.81334</v>
      </c>
      <c r="S64" s="256" t="n">
        <v>793136.5573099999</v>
      </c>
      <c r="T64" s="256" t="n">
        <v>819194.4453300001</v>
      </c>
      <c r="U64" s="256" t="n">
        <v>800210.1333</v>
      </c>
      <c r="V64" s="256" t="n">
        <v>1022286.67143</v>
      </c>
      <c r="W64" s="256" t="n">
        <v>1026533.10531</v>
      </c>
      <c r="X64" s="256" t="n">
        <v>1332423</v>
      </c>
      <c r="Y64" s="256" t="n">
        <v>1296497</v>
      </c>
      <c r="Z64" s="256" t="n">
        <v>1295095</v>
      </c>
      <c r="AA64" s="256" t="n">
        <v>1249703</v>
      </c>
      <c r="AB64" s="256" t="n">
        <v>1202109</v>
      </c>
      <c r="AC64" s="256" t="n">
        <v>1159406</v>
      </c>
      <c r="AD64" s="256" t="n">
        <v>1138643</v>
      </c>
      <c r="AE64" s="256" t="n">
        <v>1140475.247</v>
      </c>
      <c r="AF64" s="256" t="n">
        <v>1096847</v>
      </c>
      <c r="AG64" s="256" t="n">
        <v>1104344</v>
      </c>
      <c r="AH64" s="256" t="n">
        <v>1098591</v>
      </c>
      <c r="AI64" s="256" t="n">
        <v>1079421</v>
      </c>
      <c r="AJ64" s="256" t="n">
        <v>1203367</v>
      </c>
    </row>
    <row r="65">
      <c r="A65" t="n">
        <v>27</v>
      </c>
      <c r="B65" t="n">
        <v>1</v>
      </c>
      <c r="G65" t="inlineStr">
        <is>
          <t>moeda</t>
        </is>
      </c>
      <c r="H65" t="inlineStr">
        <is>
          <t>Fleury BP: Empréstimos e Financiamentos (l.51) | Combinada BP: Empréstimos e Financiamentos PC (l.50)</t>
        </is>
      </c>
      <c r="J65" t="inlineStr">
        <is>
          <t>fonte</t>
        </is>
      </c>
      <c r="K65" s="256" t="n">
        <v>59040.90445</v>
      </c>
      <c r="L65" s="256" t="n">
        <v>311454.30246</v>
      </c>
      <c r="M65" s="256" t="n">
        <v>326180.57893</v>
      </c>
      <c r="N65" s="256" t="n">
        <v>472249.7837199999</v>
      </c>
      <c r="O65" s="256" t="n">
        <v>634399.33369</v>
      </c>
      <c r="P65" s="256" t="n">
        <v>734082.04401</v>
      </c>
      <c r="Q65" s="256" t="n">
        <v>365445.86972</v>
      </c>
      <c r="R65" s="256" t="n">
        <v>375056.13713</v>
      </c>
      <c r="S65" s="256" t="n">
        <v>226601.60284</v>
      </c>
      <c r="T65" s="256" t="n">
        <v>499570.14269</v>
      </c>
      <c r="U65" s="256" t="n">
        <v>526220.7363</v>
      </c>
      <c r="V65" s="256" t="n">
        <v>360919.05258</v>
      </c>
      <c r="W65" s="256" t="n">
        <v>371514.42415</v>
      </c>
      <c r="X65" s="256" t="n">
        <v>463884</v>
      </c>
      <c r="Y65" s="256" t="n">
        <v>347068</v>
      </c>
      <c r="Z65" s="256" t="n">
        <v>12473</v>
      </c>
      <c r="AA65" s="256" t="n">
        <v>9338</v>
      </c>
      <c r="AB65" s="256" t="n">
        <v>19513</v>
      </c>
      <c r="AC65" s="256" t="n">
        <v>24133</v>
      </c>
      <c r="AD65" s="256" t="n">
        <v>22387</v>
      </c>
      <c r="AE65" s="256" t="n">
        <v>20307.133</v>
      </c>
      <c r="AF65" s="256" t="n">
        <v>17480</v>
      </c>
      <c r="AG65" s="256" t="n">
        <v>17715</v>
      </c>
      <c r="AH65" s="256" t="n">
        <v>17358</v>
      </c>
      <c r="AI65" s="256" t="n">
        <v>10818</v>
      </c>
      <c r="AJ65" s="256" t="n">
        <v>41631</v>
      </c>
    </row>
    <row r="66">
      <c r="A66" t="n">
        <v>27</v>
      </c>
      <c r="B66" t="n">
        <v>1</v>
      </c>
      <c r="G66" t="inlineStr">
        <is>
          <t>moeda</t>
        </is>
      </c>
      <c r="H66" t="inlineStr">
        <is>
          <t>Fleury BP: [nao existe] | Combinada BP: Debêntures PC (l.51) [0 em 1Q20..1Q23 (13 per.): linha inexistente/vazia na fonte; total divulgado confirma]</t>
        </is>
      </c>
      <c r="J66" t="inlineStr">
        <is>
          <t>fonte</t>
        </is>
      </c>
      <c r="K66" s="256" t="n">
        <v>0</v>
      </c>
      <c r="L66" s="256" t="n">
        <v>0</v>
      </c>
      <c r="M66" s="256" t="n">
        <v>0</v>
      </c>
      <c r="N66" s="256" t="n">
        <v>0</v>
      </c>
      <c r="O66" s="256" t="n">
        <v>0</v>
      </c>
      <c r="P66" s="256" t="n">
        <v>0</v>
      </c>
      <c r="Q66" s="256" t="n">
        <v>0</v>
      </c>
      <c r="R66" s="256" t="n">
        <v>0</v>
      </c>
      <c r="S66" s="256" t="n">
        <v>0</v>
      </c>
      <c r="T66" s="256" t="n">
        <v>0</v>
      </c>
      <c r="U66" s="256" t="n">
        <v>0</v>
      </c>
      <c r="V66" s="256" t="n">
        <v>0</v>
      </c>
      <c r="W66" s="256" t="n">
        <v>0</v>
      </c>
      <c r="X66" s="256" t="n">
        <v>90695</v>
      </c>
      <c r="Y66" s="256" t="n">
        <v>97435</v>
      </c>
      <c r="Z66" s="256" t="n">
        <v>295622</v>
      </c>
      <c r="AA66" s="256" t="n">
        <v>308025</v>
      </c>
      <c r="AB66" s="256" t="n">
        <v>293475</v>
      </c>
      <c r="AC66" s="256" t="n">
        <v>593175</v>
      </c>
      <c r="AD66" s="256" t="n">
        <v>184370</v>
      </c>
      <c r="AE66" s="256" t="n">
        <v>291791.961</v>
      </c>
      <c r="AF66" s="256" t="n">
        <v>207393</v>
      </c>
      <c r="AG66" s="256" t="n">
        <v>341336</v>
      </c>
      <c r="AH66" s="256" t="n">
        <v>214745</v>
      </c>
      <c r="AI66" s="256" t="n">
        <v>328970</v>
      </c>
      <c r="AJ66" s="256" t="n">
        <v>557886</v>
      </c>
    </row>
    <row r="67">
      <c r="A67" t="n">
        <v>29</v>
      </c>
      <c r="B67" t="n">
        <v>1</v>
      </c>
      <c r="G67" t="inlineStr">
        <is>
          <t>moeda</t>
        </is>
      </c>
      <c r="H67" t="inlineStr">
        <is>
          <t>Fleury BP: Arrendamento Mercantil Financeiro (l.52) | Combinada BP: Arrendamento Mercantil Financeiro PC (l.52)</t>
        </is>
      </c>
      <c r="J67" t="inlineStr">
        <is>
          <t>fonte</t>
        </is>
      </c>
      <c r="K67" s="256" t="n">
        <v>92853</v>
      </c>
      <c r="L67" s="256" t="n">
        <v>101068.79373</v>
      </c>
      <c r="M67" s="256" t="n">
        <v>97420.76887000001</v>
      </c>
      <c r="N67" s="256" t="n">
        <v>105039.06635</v>
      </c>
      <c r="O67" s="256" t="n">
        <v>106476.04073</v>
      </c>
      <c r="P67" s="256" t="n">
        <v>107539.12171</v>
      </c>
      <c r="Q67" s="256" t="n">
        <v>102090.20266</v>
      </c>
      <c r="R67" s="256" t="n">
        <v>129644.38544</v>
      </c>
      <c r="S67" s="256" t="n">
        <v>140288.39753</v>
      </c>
      <c r="T67" s="256" t="n">
        <v>150379.74573</v>
      </c>
      <c r="U67" s="256" t="n">
        <v>156826.02384</v>
      </c>
      <c r="V67" s="256" t="n">
        <v>174901.25352</v>
      </c>
      <c r="W67" s="256" t="n">
        <v>192467.104</v>
      </c>
      <c r="X67" s="256" t="n">
        <v>269893</v>
      </c>
      <c r="Y67" s="256" t="n">
        <v>263101</v>
      </c>
      <c r="Z67" s="256" t="n">
        <v>272067</v>
      </c>
      <c r="AA67" s="256" t="n">
        <v>277296</v>
      </c>
      <c r="AB67" s="256" t="n">
        <v>280827</v>
      </c>
      <c r="AC67" s="256" t="n">
        <v>288153</v>
      </c>
      <c r="AD67" s="256" t="n">
        <v>290854</v>
      </c>
      <c r="AE67" s="256" t="n">
        <v>310350.855</v>
      </c>
      <c r="AF67" s="256" t="n">
        <v>304045</v>
      </c>
      <c r="AG67" s="256" t="n">
        <v>313074</v>
      </c>
      <c r="AH67" s="256" t="n">
        <v>318732</v>
      </c>
      <c r="AI67" s="256" t="n">
        <v>308319</v>
      </c>
      <c r="AJ67" s="256" t="n">
        <v>319569</v>
      </c>
    </row>
    <row r="68">
      <c r="A68" t="n">
        <v>26</v>
      </c>
      <c r="B68" t="n">
        <v>1</v>
      </c>
      <c r="G68" t="inlineStr">
        <is>
          <t>moeda</t>
        </is>
      </c>
      <c r="H68" t="inlineStr">
        <is>
          <t>Fleury BP: Instrumentos Financeiros Derivativos (l.53) | Combinada BP: Instrumentos Financeiros Derivativos PC (l.53)</t>
        </is>
      </c>
      <c r="J68" t="inlineStr">
        <is>
          <t>fonte</t>
        </is>
      </c>
      <c r="K68" s="256" t="n">
        <v>0</v>
      </c>
      <c r="L68" s="256" t="n">
        <v>1.02195</v>
      </c>
      <c r="M68" s="256" t="n">
        <v>8.60379</v>
      </c>
      <c r="N68" s="256" t="n">
        <v>367.02708</v>
      </c>
      <c r="O68" s="256" t="n">
        <v>121.68251</v>
      </c>
      <c r="P68" s="256" t="n">
        <v>507.3662</v>
      </c>
      <c r="Q68" s="256" t="n">
        <v>113.42423</v>
      </c>
      <c r="R68" s="256" t="n">
        <v>0</v>
      </c>
      <c r="S68" s="256" t="n">
        <v>999.9412600000001</v>
      </c>
      <c r="T68" s="256" t="n">
        <v>297.57553</v>
      </c>
      <c r="U68" s="256" t="n">
        <v>12.70915</v>
      </c>
      <c r="V68" s="256" t="n">
        <v>0</v>
      </c>
      <c r="W68" s="256" t="n">
        <v>275.521</v>
      </c>
      <c r="X68" s="256" t="n">
        <v>0</v>
      </c>
      <c r="Y68" s="256" t="n">
        <v>0</v>
      </c>
      <c r="Z68" s="256" t="n">
        <v>0</v>
      </c>
      <c r="AA68" s="256" t="n">
        <v>0</v>
      </c>
      <c r="AB68" s="256" t="n">
        <v>0</v>
      </c>
      <c r="AC68" s="256" t="n">
        <v>0</v>
      </c>
      <c r="AD68" s="256" t="n">
        <v>0</v>
      </c>
      <c r="AE68" s="256" t="n">
        <v>0</v>
      </c>
      <c r="AF68" s="256" t="n">
        <v>0</v>
      </c>
      <c r="AG68" s="256" t="n">
        <v>0</v>
      </c>
      <c r="AH68" s="256" t="n">
        <v>0</v>
      </c>
      <c r="AI68" s="256" t="n">
        <v>0</v>
      </c>
      <c r="AJ68" s="256" t="n">
        <v>0</v>
      </c>
    </row>
    <row r="69">
      <c r="A69" t="n">
        <v>23</v>
      </c>
      <c r="B69" t="n">
        <v>1</v>
      </c>
      <c r="G69" t="inlineStr">
        <is>
          <t>moeda</t>
        </is>
      </c>
      <c r="H69" t="inlineStr">
        <is>
          <t>Fleury BP: Fornecedores (l.54) | Combinada BP: Fornecedores PC (l.54)</t>
        </is>
      </c>
      <c r="J69" t="inlineStr">
        <is>
          <t>fonte</t>
        </is>
      </c>
      <c r="K69" s="256" t="n">
        <v>178578.2326700001</v>
      </c>
      <c r="L69" s="256" t="n">
        <v>162595.14476</v>
      </c>
      <c r="M69" s="256" t="n">
        <v>196966.74689</v>
      </c>
      <c r="N69" s="256" t="n">
        <v>250459.05831</v>
      </c>
      <c r="O69" s="256" t="n">
        <v>217458.23862</v>
      </c>
      <c r="P69" s="256" t="n">
        <v>271936.53186</v>
      </c>
      <c r="Q69" s="256" t="n">
        <v>290604.93982</v>
      </c>
      <c r="R69" s="256" t="n">
        <v>356880.85195</v>
      </c>
      <c r="S69" s="256" t="n">
        <v>306318.45786</v>
      </c>
      <c r="T69" s="256" t="n">
        <v>302675.21001</v>
      </c>
      <c r="U69" s="256" t="n">
        <v>297712.10255</v>
      </c>
      <c r="V69" s="256" t="n">
        <v>364267.89641</v>
      </c>
      <c r="W69" s="256" t="n">
        <v>359717.89864</v>
      </c>
      <c r="X69" s="256" t="n">
        <v>591270</v>
      </c>
      <c r="Y69" s="256" t="n">
        <v>575225</v>
      </c>
      <c r="Z69" s="256" t="n">
        <v>620413</v>
      </c>
      <c r="AA69" s="256" t="n">
        <v>632446</v>
      </c>
      <c r="AB69" s="256" t="n">
        <v>676475</v>
      </c>
      <c r="AC69" s="256" t="n">
        <v>647545</v>
      </c>
      <c r="AD69" s="256" t="n">
        <v>704009</v>
      </c>
      <c r="AE69" s="256" t="n">
        <v>674716.3959999999</v>
      </c>
      <c r="AF69" s="256" t="n">
        <v>652937</v>
      </c>
      <c r="AG69" s="256" t="n">
        <v>721344</v>
      </c>
      <c r="AH69" s="256" t="n">
        <v>800133</v>
      </c>
      <c r="AI69" s="256" t="n">
        <v>733299</v>
      </c>
      <c r="AJ69" s="256" t="n">
        <v>840735</v>
      </c>
    </row>
    <row r="70">
      <c r="A70" t="n">
        <v>24</v>
      </c>
      <c r="B70" t="n">
        <v>1</v>
      </c>
      <c r="G70" t="inlineStr">
        <is>
          <t>moeda</t>
        </is>
      </c>
      <c r="H70" t="inlineStr">
        <is>
          <t>Fleury BP: Salários e Encargos a Recolher (l.55) | Combinada BP: Obrigações Trabalhistas (l.55)</t>
        </is>
      </c>
      <c r="J70" t="inlineStr">
        <is>
          <t>fonte</t>
        </is>
      </c>
      <c r="K70" s="256" t="n">
        <v>108911.41814</v>
      </c>
      <c r="L70" s="256" t="n">
        <v>128829.23871</v>
      </c>
      <c r="M70" s="256" t="n">
        <v>148592.54415</v>
      </c>
      <c r="N70" s="256" t="n">
        <v>138774.07439</v>
      </c>
      <c r="O70" s="256" t="n">
        <v>129771.37318</v>
      </c>
      <c r="P70" s="256" t="n">
        <v>179050.14977</v>
      </c>
      <c r="Q70" s="256" t="n">
        <v>218242.55644</v>
      </c>
      <c r="R70" s="256" t="n">
        <v>202168.19922</v>
      </c>
      <c r="S70" s="256" t="n">
        <v>172718.57732</v>
      </c>
      <c r="T70" s="256" t="n">
        <v>210886.8834</v>
      </c>
      <c r="U70" s="256" t="n">
        <v>241155.5246</v>
      </c>
      <c r="V70" s="256" t="n">
        <v>227600.29686</v>
      </c>
      <c r="W70" s="256" t="n">
        <v>191554.23713</v>
      </c>
      <c r="X70" s="256" t="n">
        <v>328937</v>
      </c>
      <c r="Y70" s="256" t="n">
        <v>380761</v>
      </c>
      <c r="Z70" s="256" t="n">
        <v>338989</v>
      </c>
      <c r="AA70" s="256" t="n">
        <v>285808</v>
      </c>
      <c r="AB70" s="256" t="n">
        <v>352951</v>
      </c>
      <c r="AC70" s="256" t="n">
        <v>402732</v>
      </c>
      <c r="AD70" s="256" t="n">
        <v>381902</v>
      </c>
      <c r="AE70" s="256" t="n">
        <v>309762.274</v>
      </c>
      <c r="AF70" s="256" t="n">
        <v>368403</v>
      </c>
      <c r="AG70" s="256" t="n">
        <v>438976</v>
      </c>
      <c r="AH70" s="256" t="n">
        <v>407632</v>
      </c>
      <c r="AI70" s="256" t="n">
        <v>345296</v>
      </c>
      <c r="AJ70" s="256" t="n">
        <v>406046</v>
      </c>
    </row>
    <row r="71">
      <c r="A71" t="n">
        <v>25</v>
      </c>
      <c r="B71" t="n">
        <v>1</v>
      </c>
      <c r="G71" t="inlineStr">
        <is>
          <t>moeda</t>
        </is>
      </c>
      <c r="H71" t="inlineStr">
        <is>
          <t>Fleury BP: [nao existe] | Combinada BP: Obrigações Tributárias (l.56) [0 em 1Q20..1Q23 (13 per.): linha inexistente/vazia na fonte; total divulgado confirma]</t>
        </is>
      </c>
      <c r="J71" t="inlineStr">
        <is>
          <t>fonte</t>
        </is>
      </c>
      <c r="K71" s="256" t="n">
        <v>0</v>
      </c>
      <c r="L71" s="256" t="n">
        <v>0</v>
      </c>
      <c r="M71" s="256" t="n">
        <v>0</v>
      </c>
      <c r="N71" s="256" t="n">
        <v>0</v>
      </c>
      <c r="O71" s="256" t="n">
        <v>0</v>
      </c>
      <c r="P71" s="256" t="n">
        <v>0</v>
      </c>
      <c r="Q71" s="256" t="n">
        <v>0</v>
      </c>
      <c r="R71" s="256" t="n">
        <v>0</v>
      </c>
      <c r="S71" s="256" t="n">
        <v>0</v>
      </c>
      <c r="T71" s="256" t="n">
        <v>0</v>
      </c>
      <c r="U71" s="256" t="n">
        <v>0</v>
      </c>
      <c r="V71" s="256" t="n">
        <v>0</v>
      </c>
      <c r="W71" s="256" t="n">
        <v>0</v>
      </c>
      <c r="X71" s="256" t="n">
        <v>70035</v>
      </c>
      <c r="Y71" s="256" t="n">
        <v>68007</v>
      </c>
      <c r="Z71" s="256" t="n">
        <v>63016</v>
      </c>
      <c r="AA71" s="256" t="n">
        <v>70697</v>
      </c>
      <c r="AB71" s="256" t="n">
        <v>75872</v>
      </c>
      <c r="AC71" s="256" t="n">
        <v>66146</v>
      </c>
      <c r="AD71" s="256" t="n">
        <v>62176</v>
      </c>
      <c r="AE71" s="256" t="n">
        <v>68674.27499999999</v>
      </c>
      <c r="AF71" s="256" t="n">
        <v>69104</v>
      </c>
      <c r="AG71" s="256" t="n">
        <v>69669</v>
      </c>
      <c r="AH71" s="256" t="n">
        <v>59250</v>
      </c>
      <c r="AI71" s="256" t="n">
        <v>76505</v>
      </c>
      <c r="AJ71" s="256" t="n">
        <v>79919</v>
      </c>
    </row>
    <row r="72">
      <c r="A72" t="n">
        <v>25</v>
      </c>
      <c r="B72" t="n">
        <v>1</v>
      </c>
      <c r="G72" t="inlineStr">
        <is>
          <t>moeda</t>
        </is>
      </c>
      <c r="H72" t="inlineStr">
        <is>
          <t>Fleury BP: Provisão para Imposto de Renda e Contribuição Social (l.56) | Combinada BP: Provisão para Imposto de Renda e Contribuição Social PC (l.57)</t>
        </is>
      </c>
      <c r="J72" t="inlineStr">
        <is>
          <t>fonte</t>
        </is>
      </c>
      <c r="K72" s="256" t="n">
        <v>474.162670000001</v>
      </c>
      <c r="L72" s="256" t="n">
        <v>748.7988100000003</v>
      </c>
      <c r="M72" s="256" t="n">
        <v>30783.43419999999</v>
      </c>
      <c r="N72" s="256" t="n">
        <v>212.357569999989</v>
      </c>
      <c r="O72" s="256" t="n">
        <v>43393.95959000001</v>
      </c>
      <c r="P72" s="256" t="n">
        <v>52079.59609999998</v>
      </c>
      <c r="Q72" s="256" t="n">
        <v>154887.85622</v>
      </c>
      <c r="R72" s="256" t="n">
        <v>52865.87557999999</v>
      </c>
      <c r="S72" s="256" t="n">
        <v>45947.8586</v>
      </c>
      <c r="T72" s="256" t="n">
        <v>85707.86882999999</v>
      </c>
      <c r="U72" s="256" t="n">
        <v>133431.00994</v>
      </c>
      <c r="V72" s="256" t="n">
        <v>7110.00227</v>
      </c>
      <c r="W72" s="256" t="n">
        <v>10984.444</v>
      </c>
      <c r="X72" s="256" t="n">
        <v>0</v>
      </c>
      <c r="Y72" s="256" t="n">
        <v>0</v>
      </c>
      <c r="Z72" s="256" t="n">
        <v>0</v>
      </c>
      <c r="AA72" s="256" t="n">
        <v>0</v>
      </c>
      <c r="AB72" s="256" t="n">
        <v>0</v>
      </c>
      <c r="AC72" s="256" t="n">
        <v>0</v>
      </c>
      <c r="AD72" s="256" t="n">
        <v>0</v>
      </c>
      <c r="AE72" s="256" t="n">
        <v>0</v>
      </c>
      <c r="AF72" s="256" t="n">
        <v>0</v>
      </c>
      <c r="AG72" s="256" t="n">
        <v>0</v>
      </c>
      <c r="AH72" s="256" t="n">
        <v>0</v>
      </c>
      <c r="AI72" s="256" t="n">
        <v>0</v>
      </c>
      <c r="AJ72" s="256" t="n">
        <v>0</v>
      </c>
    </row>
    <row r="73">
      <c r="A73" t="n">
        <v>33</v>
      </c>
      <c r="B73" t="n">
        <v>1</v>
      </c>
      <c r="G73" t="inlineStr">
        <is>
          <t>moeda</t>
        </is>
      </c>
      <c r="H73" t="inlineStr">
        <is>
          <t>Fleury BP: Imposto de Renda e Contribuição Social Diferidos (l.57) | Combinada BP: Imposto de Renda e Contribuição Social Diferidos PC (l.58)</t>
        </is>
      </c>
      <c r="J73" t="inlineStr">
        <is>
          <t>fonte</t>
        </is>
      </c>
      <c r="K73" s="256" t="n">
        <v>0</v>
      </c>
      <c r="L73" s="256" t="n">
        <v>0</v>
      </c>
      <c r="M73" s="256" t="n">
        <v>0</v>
      </c>
      <c r="N73" s="256" t="n">
        <v>0</v>
      </c>
      <c r="O73" s="256" t="n">
        <v>0</v>
      </c>
      <c r="P73" s="256" t="n">
        <v>0</v>
      </c>
      <c r="Q73" s="256" t="n">
        <v>0</v>
      </c>
      <c r="R73" s="256" t="n">
        <v>0</v>
      </c>
      <c r="S73" s="256" t="n">
        <v>0</v>
      </c>
      <c r="T73" s="256" t="n">
        <v>0</v>
      </c>
      <c r="U73" s="256" t="n">
        <v>0</v>
      </c>
      <c r="V73" s="256" t="n">
        <v>0</v>
      </c>
      <c r="W73" s="256" t="n">
        <v>0</v>
      </c>
      <c r="X73" s="256" t="n">
        <v>0</v>
      </c>
      <c r="Y73" s="256" t="n">
        <v>0</v>
      </c>
      <c r="Z73" s="256" t="n">
        <v>0</v>
      </c>
      <c r="AA73" s="256" t="n">
        <v>0</v>
      </c>
      <c r="AB73" s="256" t="n">
        <v>0</v>
      </c>
      <c r="AC73" s="256" t="n">
        <v>0</v>
      </c>
      <c r="AD73" s="256" t="n">
        <v>0</v>
      </c>
      <c r="AE73" s="256" t="n">
        <v>0</v>
      </c>
      <c r="AF73" s="256" t="n">
        <v>0</v>
      </c>
      <c r="AG73" s="256" t="n">
        <v>0</v>
      </c>
      <c r="AH73" s="256" t="n">
        <v>0</v>
      </c>
      <c r="AI73" s="256" t="n">
        <v>0</v>
      </c>
      <c r="AJ73" s="256" t="n">
        <v>0</v>
      </c>
    </row>
    <row r="74">
      <c r="A74" t="n">
        <v>25</v>
      </c>
      <c r="B74" t="n">
        <v>1</v>
      </c>
      <c r="G74" t="inlineStr">
        <is>
          <t>moeda</t>
        </is>
      </c>
      <c r="H74" t="inlineStr">
        <is>
          <t>Fleury BP: Impostos e Contribuições a Recolher (l.58) | Combinada BP: Impostos e Contribuições a Recolher PC (l.59)</t>
        </is>
      </c>
      <c r="J74" t="inlineStr">
        <is>
          <t>fonte</t>
        </is>
      </c>
      <c r="K74" s="256" t="n">
        <v>28059.53719</v>
      </c>
      <c r="L74" s="256" t="n">
        <v>26144.74874</v>
      </c>
      <c r="M74" s="256" t="n">
        <v>33632.16717</v>
      </c>
      <c r="N74" s="256" t="n">
        <v>37417.19261</v>
      </c>
      <c r="O74" s="256" t="n">
        <v>39250.04633999999</v>
      </c>
      <c r="P74" s="256" t="n">
        <v>32075.35653</v>
      </c>
      <c r="Q74" s="256" t="n">
        <v>36776.75255999999</v>
      </c>
      <c r="R74" s="256" t="n">
        <v>38378.53171</v>
      </c>
      <c r="S74" s="256" t="n">
        <v>35905.57022</v>
      </c>
      <c r="T74" s="256" t="n">
        <v>38959.23646</v>
      </c>
      <c r="U74" s="256" t="n">
        <v>39593.85102</v>
      </c>
      <c r="V74" s="256" t="n">
        <v>40812.07777</v>
      </c>
      <c r="W74" s="256" t="n">
        <v>48488.70435</v>
      </c>
      <c r="X74" s="256" t="n">
        <v>10529</v>
      </c>
      <c r="Y74" s="256" t="n">
        <v>16031</v>
      </c>
      <c r="Z74" s="256" t="n">
        <v>17567</v>
      </c>
      <c r="AA74" s="256" t="n">
        <v>4314</v>
      </c>
      <c r="AB74" s="256" t="n">
        <v>33411</v>
      </c>
      <c r="AC74" s="256" t="n">
        <v>29377</v>
      </c>
      <c r="AD74" s="256" t="n">
        <v>36405</v>
      </c>
      <c r="AE74" s="256" t="n">
        <v>16837.947</v>
      </c>
      <c r="AF74" s="256" t="n">
        <v>34170</v>
      </c>
      <c r="AG74" s="256" t="n">
        <v>47677</v>
      </c>
      <c r="AH74" s="256" t="n">
        <v>38280</v>
      </c>
      <c r="AI74" s="256" t="n">
        <v>12743</v>
      </c>
      <c r="AJ74" s="256" t="n">
        <v>33089</v>
      </c>
    </row>
    <row r="75">
      <c r="A75" t="n">
        <v>26</v>
      </c>
      <c r="B75" t="n">
        <v>1</v>
      </c>
      <c r="G75" t="inlineStr">
        <is>
          <t>moeda</t>
        </is>
      </c>
      <c r="H75" t="inlineStr">
        <is>
          <t>Fleury BP: Dividendos e Juros Sobre o Capital Próprio (l.59) | Combinada BP: Dividendos e Juros Sobre o Capital Próprio PC (l.60)</t>
        </is>
      </c>
      <c r="J75" t="inlineStr">
        <is>
          <t>fonte</t>
        </is>
      </c>
      <c r="K75" s="256" t="n">
        <v>0</v>
      </c>
      <c r="L75" s="256" t="n">
        <v>0</v>
      </c>
      <c r="M75" s="256" t="n">
        <v>0</v>
      </c>
      <c r="N75" s="256" t="n">
        <v>0</v>
      </c>
      <c r="O75" s="256" t="n">
        <v>0</v>
      </c>
      <c r="P75" s="256" t="n">
        <v>0</v>
      </c>
      <c r="Q75" s="256" t="n">
        <v>0</v>
      </c>
      <c r="R75" s="256" t="n">
        <v>15011</v>
      </c>
      <c r="S75" s="256" t="n">
        <v>0</v>
      </c>
      <c r="T75" s="256" t="n">
        <v>0</v>
      </c>
      <c r="U75" s="256" t="n">
        <v>0</v>
      </c>
      <c r="V75" s="256" t="n">
        <v>0</v>
      </c>
      <c r="W75" s="256" t="n">
        <v>0</v>
      </c>
      <c r="X75" s="256" t="n">
        <v>74</v>
      </c>
      <c r="Y75" s="256" t="n">
        <v>78725</v>
      </c>
      <c r="Z75" s="256" t="n">
        <v>756</v>
      </c>
      <c r="AA75" s="256" t="n">
        <v>80796</v>
      </c>
      <c r="AB75" s="256" t="n">
        <v>0</v>
      </c>
      <c r="AC75" s="256" t="n">
        <v>160906</v>
      </c>
      <c r="AD75" s="256" t="n">
        <v>482</v>
      </c>
      <c r="AE75" s="256" t="n">
        <v>254535.014</v>
      </c>
      <c r="AF75" s="256" t="n">
        <v>490</v>
      </c>
      <c r="AG75" s="256" t="n">
        <v>147403</v>
      </c>
      <c r="AH75" s="256" t="n">
        <v>291836</v>
      </c>
      <c r="AI75" s="256" t="n">
        <v>293863</v>
      </c>
      <c r="AJ75" s="256" t="n">
        <v>71216</v>
      </c>
    </row>
    <row r="76">
      <c r="A76" t="n">
        <v>27</v>
      </c>
      <c r="B76" t="n">
        <v>1</v>
      </c>
      <c r="G76" t="inlineStr">
        <is>
          <t>moeda</t>
        </is>
      </c>
      <c r="H76" t="inlineStr">
        <is>
          <t>Fleury BP: Contas a Pagar - Aquisição de Empresas (l.60) | Combinada BP: Contas a Pagar - Aquisição de Empresas PC (l.61) -&gt; cod 27 (divida, como no release: divida bruta inclui aquisicoes)</t>
        </is>
      </c>
      <c r="J76" t="inlineStr">
        <is>
          <t>fonte</t>
        </is>
      </c>
      <c r="K76" s="256" t="n">
        <v>54675.34256</v>
      </c>
      <c r="L76" s="256" t="n">
        <v>53858.37804</v>
      </c>
      <c r="M76" s="256" t="n">
        <v>24220.08536</v>
      </c>
      <c r="N76" s="256" t="n">
        <v>25790.06016</v>
      </c>
      <c r="O76" s="256" t="n">
        <v>13972.95141</v>
      </c>
      <c r="P76" s="256" t="n">
        <v>96445.84340000001</v>
      </c>
      <c r="Q76" s="256" t="n">
        <v>91471.07042</v>
      </c>
      <c r="R76" s="256" t="n">
        <v>29671.26799</v>
      </c>
      <c r="S76" s="256" t="n">
        <v>21624.2188</v>
      </c>
      <c r="T76" s="256" t="n">
        <v>24888.13305</v>
      </c>
      <c r="U76" s="256" t="n">
        <v>33334.3691</v>
      </c>
      <c r="V76" s="256" t="n">
        <v>40337.14643</v>
      </c>
      <c r="W76" s="256" t="n">
        <v>35179.64471</v>
      </c>
      <c r="X76" s="256" t="n">
        <v>138754</v>
      </c>
      <c r="Y76" s="256" t="n">
        <v>64769</v>
      </c>
      <c r="Z76" s="256" t="n">
        <v>31097</v>
      </c>
      <c r="AA76" s="256" t="n">
        <v>95328</v>
      </c>
      <c r="AB76" s="256" t="n">
        <v>15876</v>
      </c>
      <c r="AC76" s="256" t="n">
        <v>37072</v>
      </c>
      <c r="AD76" s="256" t="n">
        <v>42573</v>
      </c>
      <c r="AE76" s="256" t="n">
        <v>66129.012</v>
      </c>
      <c r="AF76" s="256" t="n">
        <v>63519</v>
      </c>
      <c r="AG76" s="256" t="n">
        <v>65391</v>
      </c>
      <c r="AH76" s="256" t="n">
        <v>79339</v>
      </c>
      <c r="AI76" s="256" t="n">
        <v>43467</v>
      </c>
      <c r="AJ76" s="256" t="n">
        <v>68124</v>
      </c>
    </row>
    <row r="77">
      <c r="A77" t="n">
        <v>26</v>
      </c>
      <c r="B77" t="n">
        <v>1</v>
      </c>
      <c r="G77" t="inlineStr">
        <is>
          <t>moeda</t>
        </is>
      </c>
      <c r="H77" t="inlineStr">
        <is>
          <t>Fleury BP: [nao existe] | Combinada BP: Partes Relacionadas (l.62) [0 em 1Q20..1Q23 (13 per.): linha inexistente/vazia na fonte; total divulgado confirma]</t>
        </is>
      </c>
      <c r="J77" t="inlineStr">
        <is>
          <t>fonte</t>
        </is>
      </c>
      <c r="K77" s="256" t="n">
        <v>0</v>
      </c>
      <c r="L77" s="256" t="n">
        <v>0</v>
      </c>
      <c r="M77" s="256" t="n">
        <v>0</v>
      </c>
      <c r="N77" s="256" t="n">
        <v>0</v>
      </c>
      <c r="O77" s="256" t="n">
        <v>0</v>
      </c>
      <c r="P77" s="256" t="n">
        <v>0</v>
      </c>
      <c r="Q77" s="256" t="n">
        <v>0</v>
      </c>
      <c r="R77" s="256" t="n">
        <v>0</v>
      </c>
      <c r="S77" s="256" t="n">
        <v>0</v>
      </c>
      <c r="T77" s="256" t="n">
        <v>0</v>
      </c>
      <c r="U77" s="256" t="n">
        <v>0</v>
      </c>
      <c r="V77" s="256" t="n">
        <v>0</v>
      </c>
      <c r="W77" s="256" t="n">
        <v>0</v>
      </c>
      <c r="X77" s="256" t="n">
        <v>0</v>
      </c>
      <c r="Y77" s="256" t="n">
        <v>0</v>
      </c>
      <c r="Z77" s="256" t="n">
        <v>0</v>
      </c>
      <c r="AA77" s="256" t="n">
        <v>0</v>
      </c>
      <c r="AB77" s="256" t="n">
        <v>0</v>
      </c>
      <c r="AC77" s="256" t="n">
        <v>0</v>
      </c>
      <c r="AD77" s="256" t="n">
        <v>0</v>
      </c>
      <c r="AE77" s="256" t="n">
        <v>0</v>
      </c>
      <c r="AF77" s="256" t="n">
        <v>0</v>
      </c>
      <c r="AG77" s="256" t="n">
        <v>0</v>
      </c>
      <c r="AH77" s="256" t="n">
        <v>0</v>
      </c>
      <c r="AI77" s="256" t="n">
        <v>0</v>
      </c>
      <c r="AJ77" s="256" t="n">
        <v>0</v>
      </c>
    </row>
    <row r="78">
      <c r="A78" t="n">
        <v>26</v>
      </c>
      <c r="B78" t="n">
        <v>1</v>
      </c>
      <c r="G78" t="inlineStr">
        <is>
          <t>moeda</t>
        </is>
      </c>
      <c r="H78" t="inlineStr">
        <is>
          <t>Fleury BP: Outras Contas a Pagar (l.61) | Combinada BP: Outras Contas a Pagar PC (l.63)</t>
        </is>
      </c>
      <c r="J78" t="inlineStr">
        <is>
          <t>fonte</t>
        </is>
      </c>
      <c r="K78" s="256" t="n">
        <v>203489.06097</v>
      </c>
      <c r="L78" s="256" t="n">
        <v>203503.5485</v>
      </c>
      <c r="M78" s="256" t="n">
        <v>203126.16453</v>
      </c>
      <c r="N78" s="256" t="n">
        <v>79463.06972</v>
      </c>
      <c r="O78" s="256" t="n">
        <v>163353.84655</v>
      </c>
      <c r="P78" s="256" t="n">
        <v>7302.83404</v>
      </c>
      <c r="Q78" s="256" t="n">
        <v>7730.606749999999</v>
      </c>
      <c r="R78" s="256" t="n">
        <v>7196</v>
      </c>
      <c r="S78" s="256" t="n">
        <v>238290.06806</v>
      </c>
      <c r="T78" s="256" t="n">
        <v>15991.34587</v>
      </c>
      <c r="U78" s="256" t="n">
        <v>16816.2409</v>
      </c>
      <c r="V78" s="256" t="n">
        <v>18187.73241</v>
      </c>
      <c r="W78" s="256" t="n">
        <v>25019.03984</v>
      </c>
      <c r="X78" s="256" t="n">
        <v>28408</v>
      </c>
      <c r="Y78" s="256" t="n">
        <v>26957</v>
      </c>
      <c r="Z78" s="256" t="n">
        <v>34616</v>
      </c>
      <c r="AA78" s="256" t="n">
        <v>20985</v>
      </c>
      <c r="AB78" s="256" t="n">
        <v>26325</v>
      </c>
      <c r="AC78" s="256" t="n">
        <v>21852</v>
      </c>
      <c r="AD78" s="256" t="n">
        <v>17655</v>
      </c>
      <c r="AE78" s="256" t="n">
        <v>21511</v>
      </c>
      <c r="AF78" s="256" t="n">
        <v>25410</v>
      </c>
      <c r="AG78" s="256" t="n">
        <v>38516</v>
      </c>
      <c r="AH78" s="256" t="n">
        <v>18375</v>
      </c>
      <c r="AI78" s="256" t="n">
        <v>22476</v>
      </c>
      <c r="AJ78" s="256" t="n">
        <v>20744</v>
      </c>
    </row>
    <row r="79">
      <c r="A79" t="n">
        <v>30</v>
      </c>
      <c r="B79" t="n">
        <v>1</v>
      </c>
      <c r="G79" t="inlineStr">
        <is>
          <t>moeda</t>
        </is>
      </c>
      <c r="H79" t="inlineStr">
        <is>
          <t>Fleury BP: Empréstimos e Financiamentos (l.65) | Combinada BP: Empréstimos e Financiamentos PNC (l.67)</t>
        </is>
      </c>
      <c r="J79" t="inlineStr">
        <is>
          <t>fonte</t>
        </is>
      </c>
      <c r="K79" s="256" t="n">
        <v>1490597.48095</v>
      </c>
      <c r="L79" s="256" t="n">
        <v>1608024.96604</v>
      </c>
      <c r="M79" s="256" t="n">
        <v>1601886.11074</v>
      </c>
      <c r="N79" s="256" t="n">
        <v>1431470.82595</v>
      </c>
      <c r="O79" s="256" t="n">
        <v>1275306.32972</v>
      </c>
      <c r="P79" s="256" t="n">
        <v>906945.4151700001</v>
      </c>
      <c r="Q79" s="256" t="n">
        <v>1899452.2545</v>
      </c>
      <c r="R79" s="256" t="n">
        <v>1749380.06419</v>
      </c>
      <c r="S79" s="256" t="n">
        <v>1749307.87365</v>
      </c>
      <c r="T79" s="256" t="n">
        <v>2198942.45932</v>
      </c>
      <c r="U79" s="256" t="n">
        <v>2198909.55949</v>
      </c>
      <c r="V79" s="256" t="n">
        <v>2198916.76294</v>
      </c>
      <c r="W79" s="256" t="n">
        <v>2199004.17427</v>
      </c>
      <c r="X79" s="256" t="n">
        <v>287</v>
      </c>
      <c r="Y79" s="256" t="n">
        <v>2612</v>
      </c>
      <c r="Z79" s="256" t="n">
        <v>2421</v>
      </c>
      <c r="AA79" s="256" t="n">
        <v>2230</v>
      </c>
      <c r="AB79" s="256" t="n">
        <v>2039</v>
      </c>
      <c r="AC79" s="256" t="n">
        <v>1848</v>
      </c>
      <c r="AD79" s="256" t="n">
        <v>1657</v>
      </c>
      <c r="AE79" s="256" t="n">
        <v>1466</v>
      </c>
      <c r="AF79" s="256" t="n">
        <v>1274</v>
      </c>
      <c r="AG79" s="256" t="n">
        <v>1083</v>
      </c>
      <c r="AH79" s="256" t="n">
        <v>892</v>
      </c>
      <c r="AI79" s="256" t="n">
        <v>701</v>
      </c>
      <c r="AJ79" s="256" t="n">
        <v>510</v>
      </c>
    </row>
    <row r="80">
      <c r="A80" t="n">
        <v>30</v>
      </c>
      <c r="B80" t="n">
        <v>1</v>
      </c>
      <c r="G80" t="inlineStr">
        <is>
          <t>moeda</t>
        </is>
      </c>
      <c r="H80" t="inlineStr">
        <is>
          <t>Fleury BP: [nao existe] | Combinada BP: Debêntures PNC (l.68) [0 em 1Q20..1Q23 (13 per.): linha inexistente/vazia na fonte; total divulgado confirma]</t>
        </is>
      </c>
      <c r="J80" t="inlineStr">
        <is>
          <t>fonte</t>
        </is>
      </c>
      <c r="K80" s="256" t="n">
        <v>0</v>
      </c>
      <c r="L80" s="256" t="n">
        <v>0</v>
      </c>
      <c r="M80" s="256" t="n">
        <v>0</v>
      </c>
      <c r="N80" s="256" t="n">
        <v>0</v>
      </c>
      <c r="O80" s="256" t="n">
        <v>0</v>
      </c>
      <c r="P80" s="256" t="n">
        <v>0</v>
      </c>
      <c r="Q80" s="256" t="n">
        <v>0</v>
      </c>
      <c r="R80" s="256" t="n">
        <v>0</v>
      </c>
      <c r="S80" s="256" t="n">
        <v>0</v>
      </c>
      <c r="T80" s="256" t="n">
        <v>0</v>
      </c>
      <c r="U80" s="256" t="n">
        <v>0</v>
      </c>
      <c r="V80" s="256" t="n">
        <v>0</v>
      </c>
      <c r="W80" s="256" t="n">
        <v>0</v>
      </c>
      <c r="X80" s="256" t="n">
        <v>2199092</v>
      </c>
      <c r="Y80" s="256" t="n">
        <v>2199179</v>
      </c>
      <c r="Z80" s="256" t="n">
        <v>2499057</v>
      </c>
      <c r="AA80" s="256" t="n">
        <v>2499144</v>
      </c>
      <c r="AB80" s="256" t="n">
        <v>3497881</v>
      </c>
      <c r="AC80" s="256" t="n">
        <v>3247972</v>
      </c>
      <c r="AD80" s="256" t="n">
        <v>3896657</v>
      </c>
      <c r="AE80" s="256" t="n">
        <v>3896906.699</v>
      </c>
      <c r="AF80" s="256" t="n">
        <v>3897096</v>
      </c>
      <c r="AG80" s="256" t="n">
        <v>3897285</v>
      </c>
      <c r="AH80" s="256" t="n">
        <v>3797474</v>
      </c>
      <c r="AI80" s="256" t="n">
        <v>3797664</v>
      </c>
      <c r="AJ80" s="256" t="n">
        <v>3447853</v>
      </c>
    </row>
    <row r="81">
      <c r="A81" t="n">
        <v>31</v>
      </c>
      <c r="B81" t="n">
        <v>1</v>
      </c>
      <c r="G81" t="inlineStr">
        <is>
          <t>moeda</t>
        </is>
      </c>
      <c r="H81" t="inlineStr">
        <is>
          <t>Fleury BP: Arrendamento Financeiro Mercantil (l.66) | Combinada BP: Arrendamento Financeiro Mercantil PNC (l.69)</t>
        </is>
      </c>
      <c r="J81" t="inlineStr">
        <is>
          <t>fonte</t>
        </is>
      </c>
      <c r="K81" s="256" t="n">
        <v>731112.6</v>
      </c>
      <c r="L81" s="256" t="n">
        <v>704583.50024</v>
      </c>
      <c r="M81" s="256" t="n">
        <v>686986.37337</v>
      </c>
      <c r="N81" s="256" t="n">
        <v>680790.29472</v>
      </c>
      <c r="O81" s="256" t="n">
        <v>653307.56924</v>
      </c>
      <c r="P81" s="256" t="n">
        <v>637702.99012</v>
      </c>
      <c r="Q81" s="256" t="n">
        <v>660674.9751700001</v>
      </c>
      <c r="R81" s="256" t="n">
        <v>694574.60451</v>
      </c>
      <c r="S81" s="256" t="n">
        <v>731443.14163</v>
      </c>
      <c r="T81" s="256" t="n">
        <v>754215.63203</v>
      </c>
      <c r="U81" s="256" t="n">
        <v>735363.89905</v>
      </c>
      <c r="V81" s="256" t="n">
        <v>943348.29983</v>
      </c>
      <c r="W81" s="256" t="n">
        <v>928191.54368</v>
      </c>
      <c r="X81" s="256" t="n">
        <v>1191850</v>
      </c>
      <c r="Y81" s="256" t="n">
        <v>1167495</v>
      </c>
      <c r="Z81" s="256" t="n">
        <v>1159409</v>
      </c>
      <c r="AA81" s="256" t="n">
        <v>1112521</v>
      </c>
      <c r="AB81" s="256" t="n">
        <v>1061775</v>
      </c>
      <c r="AC81" s="256" t="n">
        <v>1015306</v>
      </c>
      <c r="AD81" s="256" t="n">
        <v>995637</v>
      </c>
      <c r="AE81" s="256" t="n">
        <v>977075</v>
      </c>
      <c r="AF81" s="256" t="n">
        <v>936924</v>
      </c>
      <c r="AG81" s="256" t="n">
        <v>935366</v>
      </c>
      <c r="AH81" s="256" t="n">
        <v>922242</v>
      </c>
      <c r="AI81" s="256" t="n">
        <v>910562</v>
      </c>
      <c r="AJ81" s="256" t="n">
        <v>1041536</v>
      </c>
    </row>
    <row r="82">
      <c r="A82" t="n">
        <v>34</v>
      </c>
      <c r="B82" t="n">
        <v>1</v>
      </c>
      <c r="G82" t="inlineStr">
        <is>
          <t>moeda</t>
        </is>
      </c>
      <c r="H82" t="inlineStr">
        <is>
          <t>Fleury BP: Instrumentos Financeiros Derivativos (l.67) | Combinada BP: Instrumentos Financeiros Derivativos PNC (l.70)</t>
        </is>
      </c>
      <c r="J82" t="inlineStr">
        <is>
          <t>fonte</t>
        </is>
      </c>
      <c r="K82" s="256" t="n">
        <v>0</v>
      </c>
      <c r="L82" s="256" t="n">
        <v>0</v>
      </c>
      <c r="M82" s="256" t="n">
        <v>0</v>
      </c>
      <c r="N82" s="256" t="n">
        <v>0</v>
      </c>
      <c r="O82" s="256" t="n">
        <v>0</v>
      </c>
      <c r="P82" s="256" t="n">
        <v>0</v>
      </c>
      <c r="Q82" s="256" t="n">
        <v>0</v>
      </c>
      <c r="R82" s="256" t="n">
        <v>0</v>
      </c>
      <c r="S82" s="256" t="n">
        <v>0</v>
      </c>
      <c r="T82" s="256" t="n">
        <v>0</v>
      </c>
      <c r="U82" s="256" t="n">
        <v>0</v>
      </c>
      <c r="V82" s="256" t="n">
        <v>0</v>
      </c>
      <c r="W82" s="256" t="n">
        <v>0</v>
      </c>
      <c r="X82" s="256" t="n">
        <v>0</v>
      </c>
      <c r="Y82" s="256" t="n">
        <v>0</v>
      </c>
      <c r="Z82" s="256" t="n">
        <v>0</v>
      </c>
      <c r="AA82" s="256" t="n">
        <v>0</v>
      </c>
      <c r="AB82" s="256" t="n">
        <v>0</v>
      </c>
      <c r="AC82" s="256" t="n">
        <v>0</v>
      </c>
      <c r="AD82" s="256" t="n">
        <v>0</v>
      </c>
      <c r="AE82" s="256" t="n">
        <v>0</v>
      </c>
      <c r="AF82" s="256" t="n">
        <v>0</v>
      </c>
      <c r="AG82" s="256" t="n">
        <v>0</v>
      </c>
      <c r="AH82" s="256" t="n">
        <v>0</v>
      </c>
      <c r="AI82" s="256" t="n">
        <v>0</v>
      </c>
      <c r="AJ82" s="256" t="n">
        <v>0</v>
      </c>
    </row>
    <row r="83">
      <c r="A83" t="n">
        <v>33</v>
      </c>
      <c r="B83" t="n">
        <v>1</v>
      </c>
      <c r="G83" t="inlineStr">
        <is>
          <t>moeda</t>
        </is>
      </c>
      <c r="H83" t="inlineStr">
        <is>
          <t>Fleury BP: Imposto de Renda e Contribuição Social Diferidos (l.68) | Combinada BP: Imposto de Renda e Contribuição Social Diferidos PNC (l.71)</t>
        </is>
      </c>
      <c r="J83" t="inlineStr">
        <is>
          <t>fonte</t>
        </is>
      </c>
      <c r="K83" s="256" t="n">
        <v>418369</v>
      </c>
      <c r="L83" s="256" t="n">
        <v>469421.95361</v>
      </c>
      <c r="M83" s="256" t="n">
        <v>468624.5004</v>
      </c>
      <c r="N83" s="256" t="n">
        <v>468940.24418</v>
      </c>
      <c r="O83" s="256" t="n">
        <v>467165.84292</v>
      </c>
      <c r="P83" s="256" t="n">
        <v>466675.5079199999</v>
      </c>
      <c r="Q83" s="256" t="n">
        <v>465940.3679399999</v>
      </c>
      <c r="R83" s="256" t="n">
        <v>397561</v>
      </c>
      <c r="S83" s="256" t="n">
        <v>410477.74333</v>
      </c>
      <c r="T83" s="256" t="n">
        <v>508204.10198</v>
      </c>
      <c r="U83" s="256" t="n">
        <v>510904.1105299999</v>
      </c>
      <c r="V83" s="256" t="n">
        <v>397589.12424</v>
      </c>
      <c r="W83" s="256" t="n">
        <v>403139.3557200001</v>
      </c>
      <c r="X83" s="256" t="n">
        <v>570569</v>
      </c>
      <c r="Y83" s="256" t="n">
        <v>549898</v>
      </c>
      <c r="Z83" s="256" t="n">
        <v>580533</v>
      </c>
      <c r="AA83" s="256" t="n">
        <v>576753</v>
      </c>
      <c r="AB83" s="256" t="n">
        <v>551446</v>
      </c>
      <c r="AC83" s="256" t="n">
        <v>581485</v>
      </c>
      <c r="AD83" s="256" t="n">
        <v>571796</v>
      </c>
      <c r="AE83" s="256" t="n">
        <v>580326.605</v>
      </c>
      <c r="AF83" s="256" t="n">
        <v>525619</v>
      </c>
      <c r="AG83" s="256" t="n">
        <v>543129</v>
      </c>
      <c r="AH83" s="256" t="n">
        <v>557540</v>
      </c>
      <c r="AI83" s="256" t="n">
        <v>555293</v>
      </c>
      <c r="AJ83" s="256" t="n">
        <v>527353</v>
      </c>
    </row>
    <row r="84">
      <c r="A84" t="n">
        <v>34</v>
      </c>
      <c r="B84" t="n">
        <v>1</v>
      </c>
      <c r="G84" t="inlineStr">
        <is>
          <t>moeda</t>
        </is>
      </c>
      <c r="H84" t="inlineStr">
        <is>
          <t>Fleury BP: [nao existe] | Combinada BP: Provisão para riscos tributários, trabalhstas e cíveis (l.72) [0 em 1Q20..1Q23 (13 per.): linha inexistente/vazia na fonte; total divulgado confirma]</t>
        </is>
      </c>
      <c r="J84" t="inlineStr">
        <is>
          <t>fonte</t>
        </is>
      </c>
      <c r="K84" s="256" t="n">
        <v>0</v>
      </c>
      <c r="L84" s="256" t="n">
        <v>0</v>
      </c>
      <c r="M84" s="256" t="n">
        <v>0</v>
      </c>
      <c r="N84" s="256" t="n">
        <v>0</v>
      </c>
      <c r="O84" s="256" t="n">
        <v>0</v>
      </c>
      <c r="P84" s="256" t="n">
        <v>0</v>
      </c>
      <c r="Q84" s="256" t="n">
        <v>0</v>
      </c>
      <c r="R84" s="256" t="n">
        <v>0</v>
      </c>
      <c r="S84" s="256" t="n">
        <v>0</v>
      </c>
      <c r="T84" s="256" t="n">
        <v>0</v>
      </c>
      <c r="U84" s="256" t="n">
        <v>0</v>
      </c>
      <c r="V84" s="256" t="n">
        <v>0</v>
      </c>
      <c r="W84" s="256" t="n">
        <v>0</v>
      </c>
      <c r="X84" s="256" t="n">
        <v>109665</v>
      </c>
      <c r="Y84" s="256" t="n">
        <v>115045</v>
      </c>
      <c r="Z84" s="256" t="n">
        <v>161339</v>
      </c>
      <c r="AA84" s="256" t="n">
        <v>167652</v>
      </c>
      <c r="AB84" s="256" t="n">
        <v>167701</v>
      </c>
      <c r="AC84" s="256" t="n">
        <v>177706</v>
      </c>
      <c r="AD84" s="256" t="n">
        <v>176249</v>
      </c>
      <c r="AE84" s="256" t="n">
        <v>171745.768</v>
      </c>
      <c r="AF84" s="256" t="n">
        <v>174042</v>
      </c>
      <c r="AG84" s="256" t="n">
        <v>184821</v>
      </c>
      <c r="AH84" s="256" t="n">
        <v>180504</v>
      </c>
      <c r="AI84" s="256" t="n">
        <v>174320</v>
      </c>
      <c r="AJ84" s="256" t="n">
        <v>168203</v>
      </c>
    </row>
    <row r="85">
      <c r="A85" t="n">
        <v>34</v>
      </c>
      <c r="B85" t="n">
        <v>1</v>
      </c>
      <c r="G85" t="inlineStr">
        <is>
          <t>moeda</t>
        </is>
      </c>
      <c r="H85" t="inlineStr">
        <is>
          <t>Fleury BP: [nao existe] | Combinada BP: Parcelamentos tributários (l.73) [0 em 1Q20..1Q23 (13 per.): linha inexistente/vazia na fonte; total divulgado confirma]</t>
        </is>
      </c>
      <c r="J85" t="inlineStr">
        <is>
          <t>fonte</t>
        </is>
      </c>
      <c r="K85" s="256" t="n">
        <v>0</v>
      </c>
      <c r="L85" s="256" t="n">
        <v>0</v>
      </c>
      <c r="M85" s="256" t="n">
        <v>0</v>
      </c>
      <c r="N85" s="256" t="n">
        <v>0</v>
      </c>
      <c r="O85" s="256" t="n">
        <v>0</v>
      </c>
      <c r="P85" s="256" t="n">
        <v>0</v>
      </c>
      <c r="Q85" s="256" t="n">
        <v>0</v>
      </c>
      <c r="R85" s="256" t="n">
        <v>0</v>
      </c>
      <c r="S85" s="256" t="n">
        <v>0</v>
      </c>
      <c r="T85" s="256" t="n">
        <v>0</v>
      </c>
      <c r="U85" s="256" t="n">
        <v>0</v>
      </c>
      <c r="V85" s="256" t="n">
        <v>0</v>
      </c>
      <c r="W85" s="256" t="n">
        <v>0</v>
      </c>
      <c r="X85" s="256" t="n">
        <v>15466</v>
      </c>
      <c r="Y85" s="256" t="n">
        <v>13619</v>
      </c>
      <c r="Z85" s="256" t="n">
        <v>12929</v>
      </c>
      <c r="AA85" s="256" t="n">
        <v>11749</v>
      </c>
      <c r="AB85" s="256" t="n">
        <v>3594</v>
      </c>
      <c r="AC85" s="256" t="n">
        <v>2235</v>
      </c>
      <c r="AD85" s="256" t="n">
        <v>960</v>
      </c>
      <c r="AE85" s="256" t="n">
        <v>0.00019</v>
      </c>
      <c r="AF85" s="256" t="n">
        <v>0</v>
      </c>
      <c r="AG85" s="256" t="n">
        <v>850</v>
      </c>
      <c r="AH85" s="256" t="n">
        <v>850</v>
      </c>
      <c r="AI85" s="256" t="n">
        <v>850</v>
      </c>
      <c r="AJ85" s="256" t="n">
        <v>550</v>
      </c>
    </row>
    <row r="86">
      <c r="A86" t="n">
        <v>34</v>
      </c>
      <c r="B86" t="n">
        <v>1</v>
      </c>
      <c r="G86" t="inlineStr">
        <is>
          <t>moeda</t>
        </is>
      </c>
      <c r="H86" t="inlineStr">
        <is>
          <t>Fleury BP: Provisão para Perdas em Investimentos (l.69) | Combinada BP: Provisão para Perdas em Investimentos PNC (l.74)</t>
        </is>
      </c>
      <c r="J86" t="inlineStr">
        <is>
          <t>fonte</t>
        </is>
      </c>
      <c r="K86" s="256" t="n">
        <v>0</v>
      </c>
      <c r="L86" s="256" t="n">
        <v>0</v>
      </c>
      <c r="M86" s="256" t="n">
        <v>0</v>
      </c>
      <c r="N86" s="256" t="n">
        <v>0</v>
      </c>
      <c r="O86" s="256" t="n">
        <v>0</v>
      </c>
      <c r="P86" s="256" t="n">
        <v>0</v>
      </c>
      <c r="Q86" s="256" t="n">
        <v>0</v>
      </c>
      <c r="R86" s="256" t="n">
        <v>0</v>
      </c>
      <c r="S86" s="256" t="n">
        <v>0</v>
      </c>
      <c r="T86" s="256" t="n">
        <v>0</v>
      </c>
      <c r="U86" s="256" t="n">
        <v>0</v>
      </c>
      <c r="V86" s="256" t="n">
        <v>0</v>
      </c>
      <c r="W86" s="256" t="n">
        <v>0</v>
      </c>
      <c r="X86" s="256" t="n">
        <v>0</v>
      </c>
      <c r="Y86" s="256" t="n">
        <v>0</v>
      </c>
      <c r="Z86" s="256" t="n">
        <v>0</v>
      </c>
      <c r="AA86" s="256" t="n">
        <v>0</v>
      </c>
      <c r="AB86" s="256" t="n">
        <v>0</v>
      </c>
      <c r="AC86" s="256" t="n">
        <v>0</v>
      </c>
      <c r="AD86" s="256" t="n">
        <v>0</v>
      </c>
      <c r="AE86" s="256" t="n">
        <v>0</v>
      </c>
      <c r="AF86" s="256" t="n">
        <v>0</v>
      </c>
      <c r="AG86" s="256" t="n">
        <v>0</v>
      </c>
      <c r="AH86" s="256" t="n">
        <v>0</v>
      </c>
      <c r="AI86" s="256" t="n">
        <v>0</v>
      </c>
      <c r="AJ86" s="256" t="n">
        <v>0</v>
      </c>
    </row>
    <row r="87">
      <c r="A87" t="n">
        <v>34</v>
      </c>
      <c r="B87" t="n">
        <v>1</v>
      </c>
      <c r="G87" t="inlineStr">
        <is>
          <t>moeda</t>
        </is>
      </c>
      <c r="H87" t="inlineStr">
        <is>
          <t>Fleury BP: Provisão para Contingências (l.70) | Combinada BP: Provisão para Contingências PNC (l.75)</t>
        </is>
      </c>
      <c r="J87" t="inlineStr">
        <is>
          <t>fonte</t>
        </is>
      </c>
      <c r="K87" s="256" t="n">
        <v>38365.2597</v>
      </c>
      <c r="L87" s="256" t="n">
        <v>38793.40135</v>
      </c>
      <c r="M87" s="256" t="n">
        <v>40356.28611000001</v>
      </c>
      <c r="N87" s="256" t="n">
        <v>42082.31877000001</v>
      </c>
      <c r="O87" s="256" t="n">
        <v>41761.59682</v>
      </c>
      <c r="P87" s="256" t="n">
        <v>34240.47781999999</v>
      </c>
      <c r="Q87" s="256" t="n">
        <v>37095.10298999999</v>
      </c>
      <c r="R87" s="256" t="n">
        <v>36196.39398</v>
      </c>
      <c r="S87" s="256" t="n">
        <v>37118.80782</v>
      </c>
      <c r="T87" s="256" t="n">
        <v>34508.83943</v>
      </c>
      <c r="U87" s="256" t="n">
        <v>31753.93463</v>
      </c>
      <c r="V87" s="256" t="n">
        <v>29086.9152</v>
      </c>
      <c r="W87" s="256" t="n">
        <v>27401.2128</v>
      </c>
      <c r="X87" s="256" t="n">
        <v>0</v>
      </c>
      <c r="Y87" s="256" t="n">
        <v>0</v>
      </c>
      <c r="Z87" s="256" t="n">
        <v>0</v>
      </c>
      <c r="AA87" s="256" t="n">
        <v>0</v>
      </c>
      <c r="AB87" s="256" t="n">
        <v>0</v>
      </c>
      <c r="AC87" s="256" t="n">
        <v>0</v>
      </c>
      <c r="AD87" s="256" t="n">
        <v>0</v>
      </c>
      <c r="AE87" s="256" t="n">
        <v>0</v>
      </c>
      <c r="AF87" s="256" t="n">
        <v>0</v>
      </c>
      <c r="AG87" s="256" t="n">
        <v>0</v>
      </c>
      <c r="AH87" s="256" t="n">
        <v>0</v>
      </c>
      <c r="AI87" s="256" t="n">
        <v>0</v>
      </c>
      <c r="AJ87" s="256" t="n">
        <v>0</v>
      </c>
    </row>
    <row r="88">
      <c r="A88" t="n">
        <v>34</v>
      </c>
      <c r="B88" t="n">
        <v>1</v>
      </c>
      <c r="G88" t="inlineStr">
        <is>
          <t>moeda</t>
        </is>
      </c>
      <c r="H88" t="inlineStr">
        <is>
          <t>Fleury BP: Impostos e Contribuições a Recolher (l.71) | Combinada BP: Impostos e Contribuições a Recolher PNC (l.76)</t>
        </is>
      </c>
      <c r="J88" t="inlineStr">
        <is>
          <t>fonte</t>
        </is>
      </c>
      <c r="K88" s="256" t="n">
        <v>21029.34889</v>
      </c>
      <c r="L88" s="256" t="n">
        <v>19444.34995</v>
      </c>
      <c r="M88" s="256" t="n">
        <v>17898.0693</v>
      </c>
      <c r="N88" s="256" t="n">
        <v>14910.4318</v>
      </c>
      <c r="O88" s="256" t="n">
        <v>14229.83693</v>
      </c>
      <c r="P88" s="256" t="n">
        <v>14273.74772</v>
      </c>
      <c r="Q88" s="256" t="n">
        <v>15329.68637</v>
      </c>
      <c r="R88" s="256" t="n">
        <v>13197.46827</v>
      </c>
      <c r="S88" s="256" t="n">
        <v>10528.30524</v>
      </c>
      <c r="T88" s="256" t="n">
        <v>11883.98585</v>
      </c>
      <c r="U88" s="256" t="n">
        <v>8071.87964</v>
      </c>
      <c r="V88" s="256" t="n">
        <v>8707.597189999999</v>
      </c>
      <c r="W88" s="256" t="n">
        <v>6440.945809999999</v>
      </c>
      <c r="X88" s="256" t="n">
        <v>0</v>
      </c>
      <c r="Y88" s="256" t="n">
        <v>0</v>
      </c>
      <c r="Z88" s="256" t="n">
        <v>0</v>
      </c>
      <c r="AA88" s="256" t="n">
        <v>0</v>
      </c>
      <c r="AB88" s="256" t="n">
        <v>0</v>
      </c>
      <c r="AC88" s="256" t="n">
        <v>0</v>
      </c>
      <c r="AD88" s="256" t="n">
        <v>0</v>
      </c>
      <c r="AE88" s="256" t="n">
        <v>0</v>
      </c>
      <c r="AF88" s="256" t="n">
        <v>0</v>
      </c>
      <c r="AG88" s="256" t="n">
        <v>0</v>
      </c>
      <c r="AH88" s="256" t="n">
        <v>0</v>
      </c>
      <c r="AI88" s="256" t="n">
        <v>0</v>
      </c>
      <c r="AJ88" s="256" t="n">
        <v>0</v>
      </c>
    </row>
    <row r="89">
      <c r="A89" t="n">
        <v>34</v>
      </c>
      <c r="B89" t="n">
        <v>1</v>
      </c>
      <c r="G89" t="inlineStr">
        <is>
          <t>moeda</t>
        </is>
      </c>
      <c r="H89" t="inlineStr">
        <is>
          <t>Fleury BP: Partes Relacionadas (l.72) | Combinada BP: Partes Relacionadas PNC (l.77)</t>
        </is>
      </c>
      <c r="J89" t="inlineStr">
        <is>
          <t>fonte</t>
        </is>
      </c>
      <c r="K89" s="256" t="n">
        <v>0</v>
      </c>
      <c r="L89" s="256" t="n">
        <v>0</v>
      </c>
      <c r="M89" s="256" t="n">
        <v>0</v>
      </c>
      <c r="N89" s="256" t="n">
        <v>0</v>
      </c>
      <c r="O89" s="256" t="n">
        <v>0</v>
      </c>
      <c r="P89" s="256" t="n">
        <v>0</v>
      </c>
      <c r="Q89" s="256" t="n">
        <v>0</v>
      </c>
      <c r="R89" s="256" t="n">
        <v>0</v>
      </c>
      <c r="S89" s="256" t="n">
        <v>0</v>
      </c>
      <c r="T89" s="256" t="n">
        <v>0</v>
      </c>
      <c r="U89" s="256" t="n">
        <v>0</v>
      </c>
      <c r="V89" s="256" t="n">
        <v>0</v>
      </c>
      <c r="W89" s="256" t="n">
        <v>0</v>
      </c>
      <c r="X89" s="256" t="n">
        <v>0</v>
      </c>
      <c r="Y89" s="256" t="n">
        <v>0</v>
      </c>
      <c r="Z89" s="256" t="n">
        <v>0</v>
      </c>
      <c r="AA89" s="256" t="n">
        <v>0</v>
      </c>
      <c r="AB89" s="256" t="n">
        <v>0</v>
      </c>
      <c r="AC89" s="256" t="n">
        <v>0</v>
      </c>
      <c r="AD89" s="256" t="n">
        <v>0</v>
      </c>
      <c r="AE89" s="256" t="n">
        <v>0</v>
      </c>
      <c r="AF89" s="256" t="n">
        <v>0</v>
      </c>
      <c r="AG89" s="256" t="n">
        <v>0</v>
      </c>
      <c r="AH89" s="256" t="n">
        <v>0</v>
      </c>
      <c r="AI89" s="256" t="n">
        <v>0</v>
      </c>
      <c r="AJ89" s="256" t="n">
        <v>0</v>
      </c>
    </row>
    <row r="90">
      <c r="A90" t="n">
        <v>30</v>
      </c>
      <c r="B90" t="n">
        <v>1</v>
      </c>
      <c r="G90" t="inlineStr">
        <is>
          <t>moeda</t>
        </is>
      </c>
      <c r="H90" t="inlineStr">
        <is>
          <t>Fleury BP: Contas a Pagar - Aquisição de Empresas (l.73) | Combinada BP: Contas a Pagar - Aquisição de Empresas PNC (l.78) -&gt; cod 30 (divida, como no release: divida bruta inclui aquisicoes)</t>
        </is>
      </c>
      <c r="J90" t="inlineStr">
        <is>
          <t>fonte</t>
        </is>
      </c>
      <c r="K90" s="256" t="n">
        <v>87869.90306999999</v>
      </c>
      <c r="L90" s="256" t="n">
        <v>84332.75262</v>
      </c>
      <c r="M90" s="256" t="n">
        <v>82954.01825000001</v>
      </c>
      <c r="N90" s="256" t="n">
        <v>83091.75509999999</v>
      </c>
      <c r="O90" s="256" t="n">
        <v>75778.46891</v>
      </c>
      <c r="P90" s="256" t="n">
        <v>102405.22383</v>
      </c>
      <c r="Q90" s="256" t="n">
        <v>118541.26399</v>
      </c>
      <c r="R90" s="256" t="n">
        <v>118693.35449</v>
      </c>
      <c r="S90" s="256" t="n">
        <v>112602.92761</v>
      </c>
      <c r="T90" s="256" t="n">
        <v>172471.59742</v>
      </c>
      <c r="U90" s="256" t="n">
        <v>173818.76173</v>
      </c>
      <c r="V90" s="256" t="n">
        <v>276326.07295</v>
      </c>
      <c r="W90" s="256" t="n">
        <v>253940.85754</v>
      </c>
      <c r="X90" s="256" t="n">
        <v>319414</v>
      </c>
      <c r="Y90" s="256" t="n">
        <v>375171</v>
      </c>
      <c r="Z90" s="256" t="n">
        <v>366576</v>
      </c>
      <c r="AA90" s="256" t="n">
        <v>318283</v>
      </c>
      <c r="AB90" s="256" t="n">
        <v>312188</v>
      </c>
      <c r="AC90" s="256" t="n">
        <v>305730</v>
      </c>
      <c r="AD90" s="256" t="n">
        <v>301810</v>
      </c>
      <c r="AE90" s="256" t="n">
        <v>288368</v>
      </c>
      <c r="AF90" s="256" t="n">
        <v>324020</v>
      </c>
      <c r="AG90" s="256" t="n">
        <v>337917</v>
      </c>
      <c r="AH90" s="256" t="n">
        <v>348031</v>
      </c>
      <c r="AI90" s="256" t="n">
        <v>361874</v>
      </c>
      <c r="AJ90" s="256" t="n">
        <v>344139</v>
      </c>
    </row>
    <row r="91">
      <c r="A91" t="n">
        <v>34</v>
      </c>
      <c r="B91" t="n">
        <v>1</v>
      </c>
      <c r="G91" t="inlineStr">
        <is>
          <t>moeda</t>
        </is>
      </c>
      <c r="H91" t="inlineStr">
        <is>
          <t>Fleury BP: Dividendos a Pagar (l.74) | Combinada BP: Dividendos a Pagar PNC (l.79)</t>
        </is>
      </c>
      <c r="J91" t="inlineStr">
        <is>
          <t>fonte</t>
        </is>
      </c>
      <c r="K91" s="256" t="n">
        <v>0</v>
      </c>
      <c r="L91" s="256" t="n">
        <v>0</v>
      </c>
      <c r="M91" s="256" t="n">
        <v>0</v>
      </c>
      <c r="N91" s="256" t="n">
        <v>0</v>
      </c>
      <c r="O91" s="256" t="n">
        <v>0</v>
      </c>
      <c r="P91" s="256" t="n">
        <v>0</v>
      </c>
      <c r="Q91" s="256" t="n">
        <v>0</v>
      </c>
      <c r="R91" s="256" t="n">
        <v>0</v>
      </c>
      <c r="S91" s="256" t="n">
        <v>0</v>
      </c>
      <c r="T91" s="256" t="n">
        <v>0</v>
      </c>
      <c r="U91" s="256" t="n">
        <v>0</v>
      </c>
      <c r="V91" s="256" t="n">
        <v>0</v>
      </c>
      <c r="W91" s="256" t="n">
        <v>0</v>
      </c>
      <c r="X91" s="256" t="n">
        <v>0</v>
      </c>
      <c r="Y91" s="256" t="n">
        <v>0</v>
      </c>
      <c r="Z91" s="256" t="n">
        <v>0</v>
      </c>
      <c r="AA91" s="256" t="n">
        <v>0</v>
      </c>
      <c r="AB91" s="256" t="n">
        <v>0</v>
      </c>
      <c r="AC91" s="256" t="n">
        <v>0</v>
      </c>
      <c r="AD91" s="256" t="n">
        <v>0</v>
      </c>
      <c r="AE91" s="256" t="n">
        <v>0</v>
      </c>
      <c r="AF91" s="256" t="n">
        <v>0</v>
      </c>
      <c r="AG91" s="256" t="n">
        <v>0</v>
      </c>
      <c r="AH91" s="256" t="n">
        <v>71000</v>
      </c>
      <c r="AI91" s="256" t="n">
        <v>71000</v>
      </c>
      <c r="AJ91" s="256" t="n">
        <v>71000</v>
      </c>
    </row>
    <row r="92">
      <c r="A92" t="n">
        <v>34</v>
      </c>
      <c r="B92" t="n">
        <v>1</v>
      </c>
      <c r="G92" t="inlineStr">
        <is>
          <t>moeda</t>
        </is>
      </c>
      <c r="H92" t="inlineStr">
        <is>
          <t>Fleury BP: Outros (l.75) | Combinada BP: Outros PNC (l.80)</t>
        </is>
      </c>
      <c r="J92" t="inlineStr">
        <is>
          <t>fonte</t>
        </is>
      </c>
      <c r="K92" s="256" t="n">
        <v>7608.91</v>
      </c>
      <c r="L92" s="256" t="n">
        <v>7033.12501</v>
      </c>
      <c r="M92" s="256" t="n">
        <v>6329.81251</v>
      </c>
      <c r="N92" s="256" t="n">
        <v>5626.50001</v>
      </c>
      <c r="O92" s="256" t="n">
        <v>4913.8853</v>
      </c>
      <c r="P92" s="256" t="n">
        <v>4206.3749</v>
      </c>
      <c r="Q92" s="256" t="n">
        <v>3497.56698</v>
      </c>
      <c r="R92" s="256" t="n">
        <v>2812.432929999999</v>
      </c>
      <c r="S92" s="256" t="n">
        <v>2102.81193</v>
      </c>
      <c r="T92" s="256" t="n">
        <v>1376.27345</v>
      </c>
      <c r="U92" s="256" t="n">
        <v>656.28214</v>
      </c>
      <c r="V92" s="256" t="n">
        <v>2575.25456</v>
      </c>
      <c r="W92" s="256" t="n">
        <v>2575.91705</v>
      </c>
      <c r="X92" s="256" t="n">
        <v>2578</v>
      </c>
      <c r="Y92" s="256" t="n">
        <v>0</v>
      </c>
      <c r="Z92" s="256" t="n">
        <v>18</v>
      </c>
      <c r="AA92" s="256" t="n">
        <v>1.58127</v>
      </c>
      <c r="AB92" s="256" t="n">
        <v>0</v>
      </c>
      <c r="AC92" s="256" t="n">
        <v>0</v>
      </c>
      <c r="AD92" s="256" t="n">
        <v>0</v>
      </c>
      <c r="AE92" s="256" t="n">
        <v>0</v>
      </c>
      <c r="AF92" s="256" t="n">
        <v>0</v>
      </c>
      <c r="AG92" s="256" t="n">
        <v>2</v>
      </c>
      <c r="AH92" s="256" t="n">
        <v>0</v>
      </c>
      <c r="AI92" s="256" t="n">
        <v>0</v>
      </c>
      <c r="AJ92" s="256" t="n">
        <v>0</v>
      </c>
    </row>
    <row r="93">
      <c r="A93" t="n">
        <v>37</v>
      </c>
      <c r="B93" t="n">
        <v>1</v>
      </c>
      <c r="G93" t="inlineStr">
        <is>
          <t>moeda</t>
        </is>
      </c>
      <c r="H93" t="inlineStr">
        <is>
          <t>Fleury BP: Capital Social (l.80) | Combinada BP: Capital Social (l.85)</t>
        </is>
      </c>
      <c r="J93" t="inlineStr">
        <is>
          <t>fonte</t>
        </is>
      </c>
      <c r="K93" s="256" t="n">
        <v>1427151.15031</v>
      </c>
      <c r="L93" s="256" t="n">
        <v>1427151.15031</v>
      </c>
      <c r="M93" s="256" t="n">
        <v>1432201.93513</v>
      </c>
      <c r="N93" s="256" t="n">
        <v>1432201.93513</v>
      </c>
      <c r="O93" s="256" t="n">
        <v>1432201.93513</v>
      </c>
      <c r="P93" s="256" t="n">
        <v>1432201.935130001</v>
      </c>
      <c r="Q93" s="256" t="n">
        <v>1437252.71995</v>
      </c>
      <c r="R93" s="256" t="n">
        <v>1437252.71995</v>
      </c>
      <c r="S93" s="256" t="n">
        <v>1437252.71995</v>
      </c>
      <c r="T93" s="256" t="n">
        <v>1437252.71995</v>
      </c>
      <c r="U93" s="256" t="n">
        <v>1438948.52855</v>
      </c>
      <c r="V93" s="256" t="n">
        <v>1717221.96891</v>
      </c>
      <c r="W93" s="256" t="n">
        <v>1716902.30805</v>
      </c>
      <c r="X93" s="256" t="n">
        <v>2735982</v>
      </c>
      <c r="Y93" s="256" t="n">
        <v>2736029</v>
      </c>
      <c r="Z93" s="256" t="n">
        <v>2736029</v>
      </c>
      <c r="AA93" s="256" t="n">
        <v>2736029</v>
      </c>
      <c r="AB93" s="256" t="n">
        <v>2736029.22626</v>
      </c>
      <c r="AC93" s="256" t="n">
        <v>2736029</v>
      </c>
      <c r="AD93" s="256" t="n">
        <v>2736029</v>
      </c>
      <c r="AE93" s="256" t="n">
        <v>2736029.226</v>
      </c>
      <c r="AF93" s="256" t="n">
        <v>2736029</v>
      </c>
      <c r="AG93" s="256" t="n">
        <v>2736029</v>
      </c>
      <c r="AH93" s="256" t="n">
        <v>2736029</v>
      </c>
      <c r="AI93" s="256" t="n">
        <v>2736029</v>
      </c>
      <c r="AJ93" s="256" t="n">
        <v>2736029</v>
      </c>
    </row>
    <row r="94">
      <c r="A94" t="n">
        <v>37</v>
      </c>
      <c r="B94" t="n">
        <v>1</v>
      </c>
      <c r="G94" t="inlineStr">
        <is>
          <t>moeda</t>
        </is>
      </c>
      <c r="H94" t="inlineStr">
        <is>
          <t>Fleury BP: Reserva de Capital (l.81) | Combinada BP: Reserva de Capital (l.86)</t>
        </is>
      </c>
      <c r="J94" t="inlineStr">
        <is>
          <t>fonte</t>
        </is>
      </c>
      <c r="K94" s="256" t="n">
        <v>33956.24492</v>
      </c>
      <c r="L94" s="256" t="n">
        <v>34010.52637</v>
      </c>
      <c r="M94" s="256" t="n">
        <v>34982.4319</v>
      </c>
      <c r="N94" s="256" t="n">
        <v>35954.33743</v>
      </c>
      <c r="O94" s="256" t="n">
        <v>36505.92145</v>
      </c>
      <c r="P94" s="256" t="n">
        <v>36921.46973</v>
      </c>
      <c r="Q94" s="256" t="n">
        <v>37245.11239</v>
      </c>
      <c r="R94" s="256" t="n">
        <v>37474.93202</v>
      </c>
      <c r="S94" s="256" t="n">
        <v>37855.08068</v>
      </c>
      <c r="T94" s="256" t="n">
        <v>37762.50491</v>
      </c>
      <c r="U94" s="256" t="n">
        <v>37906.29134</v>
      </c>
      <c r="V94" s="256" t="n">
        <v>603212.24623</v>
      </c>
      <c r="W94" s="256" t="n">
        <v>603250.09036</v>
      </c>
      <c r="X94" s="256" t="n">
        <v>1915374</v>
      </c>
      <c r="Y94" s="256" t="n">
        <v>1915413</v>
      </c>
      <c r="Z94" s="256" t="n">
        <v>1915451</v>
      </c>
      <c r="AA94" s="256" t="n">
        <v>1915489</v>
      </c>
      <c r="AB94" s="256" t="n">
        <v>1915527.16932</v>
      </c>
      <c r="AC94" s="256" t="n">
        <v>1915565</v>
      </c>
      <c r="AD94" s="256" t="n">
        <v>1915603</v>
      </c>
      <c r="AE94" s="256" t="n">
        <v>1915602.857</v>
      </c>
      <c r="AF94" s="256" t="n">
        <v>1915603</v>
      </c>
      <c r="AG94" s="256" t="n">
        <v>1915603</v>
      </c>
      <c r="AH94" s="256" t="n">
        <v>1915603</v>
      </c>
      <c r="AI94" s="256" t="n">
        <v>1915603</v>
      </c>
      <c r="AJ94" s="256" t="n">
        <v>1928699</v>
      </c>
    </row>
    <row r="95">
      <c r="A95" t="n">
        <v>37</v>
      </c>
      <c r="B95" t="n">
        <v>1</v>
      </c>
      <c r="G95" t="inlineStr">
        <is>
          <t>moeda</t>
        </is>
      </c>
      <c r="H95" t="inlineStr">
        <is>
          <t>Fleury BP: Reserva de Capital - Opções Outorgadas Reconhecidas (l.82) | Combinada BP: Reserva de Capital - Opções Outorgadas Reconhecidas (l.87)</t>
        </is>
      </c>
      <c r="J95" t="inlineStr">
        <is>
          <t>fonte</t>
        </is>
      </c>
      <c r="K95" s="256" t="n">
        <v>0</v>
      </c>
      <c r="L95" s="256" t="n">
        <v>0</v>
      </c>
      <c r="M95" s="256" t="n">
        <v>0</v>
      </c>
      <c r="N95" s="256" t="n">
        <v>0</v>
      </c>
      <c r="O95" s="256" t="n">
        <v>0</v>
      </c>
      <c r="P95" s="256" t="n">
        <v>0</v>
      </c>
      <c r="Q95" s="256" t="n">
        <v>0</v>
      </c>
      <c r="R95" s="256" t="n">
        <v>0</v>
      </c>
      <c r="S95" s="256" t="n">
        <v>0</v>
      </c>
      <c r="T95" s="256" t="n">
        <v>0</v>
      </c>
      <c r="U95" s="256" t="n">
        <v>0</v>
      </c>
      <c r="V95" s="256" t="n">
        <v>0</v>
      </c>
      <c r="W95" s="256" t="n">
        <v>0</v>
      </c>
      <c r="X95" s="256" t="n">
        <v>0</v>
      </c>
      <c r="Y95" s="256" t="n">
        <v>0</v>
      </c>
      <c r="Z95" s="256" t="n">
        <v>0</v>
      </c>
      <c r="AA95" s="256" t="n">
        <v>0</v>
      </c>
      <c r="AB95" s="256" t="n">
        <v>0</v>
      </c>
      <c r="AC95" s="256" t="n">
        <v>0</v>
      </c>
      <c r="AD95" s="256" t="n">
        <v>0</v>
      </c>
      <c r="AE95" s="256" t="n">
        <v>0</v>
      </c>
      <c r="AF95" s="256" t="n">
        <v>0</v>
      </c>
      <c r="AG95" s="256" t="n">
        <v>0</v>
      </c>
      <c r="AH95" s="256" t="n">
        <v>0</v>
      </c>
      <c r="AI95" s="256" t="n">
        <v>0</v>
      </c>
      <c r="AJ95" s="256" t="n">
        <v>0</v>
      </c>
    </row>
    <row r="96">
      <c r="A96" t="n">
        <v>40</v>
      </c>
      <c r="B96" t="n">
        <v>1</v>
      </c>
      <c r="G96" t="inlineStr">
        <is>
          <t>moeda</t>
        </is>
      </c>
      <c r="H96" t="inlineStr">
        <is>
          <t>Fleury BP: Reserva de Reavaliação (l.83) | Combinada BP: Reserva de Reavaliação (l.88)</t>
        </is>
      </c>
      <c r="J96" t="inlineStr">
        <is>
          <t>fonte</t>
        </is>
      </c>
      <c r="K96" s="256" t="n">
        <v>0</v>
      </c>
      <c r="L96" s="256" t="n">
        <v>0</v>
      </c>
      <c r="M96" s="256" t="n">
        <v>0</v>
      </c>
      <c r="N96" s="256" t="n">
        <v>0</v>
      </c>
      <c r="O96" s="256" t="n">
        <v>0</v>
      </c>
      <c r="P96" s="256" t="n">
        <v>0</v>
      </c>
      <c r="Q96" s="256" t="n">
        <v>0</v>
      </c>
      <c r="R96" s="256" t="n">
        <v>0</v>
      </c>
      <c r="S96" s="256" t="n">
        <v>0</v>
      </c>
      <c r="T96" s="256" t="n">
        <v>0</v>
      </c>
      <c r="U96" s="256" t="n">
        <v>0</v>
      </c>
      <c r="V96" s="256" t="n">
        <v>0</v>
      </c>
      <c r="W96" s="256" t="n">
        <v>0</v>
      </c>
      <c r="X96" s="256" t="n">
        <v>0</v>
      </c>
      <c r="Y96" s="256" t="n">
        <v>0</v>
      </c>
      <c r="Z96" s="256" t="n">
        <v>0</v>
      </c>
      <c r="AA96" s="256" t="n">
        <v>0</v>
      </c>
      <c r="AB96" s="256" t="n">
        <v>0</v>
      </c>
      <c r="AC96" s="256" t="n">
        <v>0</v>
      </c>
      <c r="AD96" s="256" t="n">
        <v>0</v>
      </c>
      <c r="AE96" s="256" t="n">
        <v>0</v>
      </c>
      <c r="AF96" s="256" t="n">
        <v>0</v>
      </c>
      <c r="AG96" s="256" t="n">
        <v>0</v>
      </c>
      <c r="AH96" s="256" t="n">
        <v>0</v>
      </c>
      <c r="AI96" s="256" t="n">
        <v>0</v>
      </c>
      <c r="AJ96" s="256" t="n">
        <v>0</v>
      </c>
    </row>
    <row r="97">
      <c r="A97" t="n">
        <v>40</v>
      </c>
      <c r="B97" t="n">
        <v>1</v>
      </c>
      <c r="G97" t="inlineStr">
        <is>
          <t>moeda</t>
        </is>
      </c>
      <c r="H97" t="inlineStr">
        <is>
          <t>Fleury BP: Reserva Legal (l.84) | Combinada BP: Reserva Legal (l.89)</t>
        </is>
      </c>
      <c r="J97" t="inlineStr">
        <is>
          <t>fonte</t>
        </is>
      </c>
      <c r="K97" s="256" t="n">
        <v>102876.47304</v>
      </c>
      <c r="L97" s="256" t="n">
        <v>102876.47304</v>
      </c>
      <c r="M97" s="256" t="n">
        <v>102876.47304</v>
      </c>
      <c r="N97" s="256" t="n">
        <v>115724.52726</v>
      </c>
      <c r="O97" s="256" t="n">
        <v>115724.52726</v>
      </c>
      <c r="P97" s="256" t="n">
        <v>115724.52726</v>
      </c>
      <c r="Q97" s="256" t="n">
        <v>115724.52726</v>
      </c>
      <c r="R97" s="256" t="n">
        <v>133220.77499</v>
      </c>
      <c r="S97" s="256" t="n">
        <v>133220.77499</v>
      </c>
      <c r="T97" s="256" t="n">
        <v>133220.77499</v>
      </c>
      <c r="U97" s="256" t="n">
        <v>133220.77499</v>
      </c>
      <c r="V97" s="256" t="n">
        <v>148616.19521</v>
      </c>
      <c r="W97" s="256" t="n">
        <v>148616.19521</v>
      </c>
      <c r="X97" s="256" t="n">
        <v>148616</v>
      </c>
      <c r="Y97" s="256" t="n">
        <v>148616</v>
      </c>
      <c r="Z97" s="256" t="n">
        <v>169804</v>
      </c>
      <c r="AA97" s="256" t="n">
        <v>0</v>
      </c>
      <c r="AB97" s="256" t="n">
        <v>0</v>
      </c>
      <c r="AC97" s="256" t="n">
        <v>0</v>
      </c>
      <c r="AD97" s="256" t="n">
        <v>0</v>
      </c>
      <c r="AE97" s="256" t="n">
        <v>0</v>
      </c>
      <c r="AF97" s="256" t="n">
        <v>0</v>
      </c>
      <c r="AG97" s="256" t="n">
        <v>0</v>
      </c>
      <c r="AH97" s="256" t="n">
        <v>0</v>
      </c>
      <c r="AI97" s="256" t="n">
        <v>0</v>
      </c>
      <c r="AJ97" s="256" t="n">
        <v>0</v>
      </c>
    </row>
    <row r="98">
      <c r="A98" t="n">
        <v>40</v>
      </c>
      <c r="B98" t="n">
        <v>1</v>
      </c>
      <c r="G98" t="inlineStr">
        <is>
          <t>moeda</t>
        </is>
      </c>
      <c r="H98" t="inlineStr">
        <is>
          <t>Fleury BP: Reserva para Investimentos (l.85) | Combinada BP: Reserva para Investimentos (l.90)</t>
        </is>
      </c>
      <c r="J98" t="inlineStr">
        <is>
          <t>fonte</t>
        </is>
      </c>
      <c r="K98" s="256" t="n">
        <v>0</v>
      </c>
      <c r="L98" s="256" t="n">
        <v>0</v>
      </c>
      <c r="M98" s="256" t="n">
        <v>0</v>
      </c>
      <c r="N98" s="256" t="n">
        <v>0</v>
      </c>
      <c r="O98" s="256" t="n">
        <v>10174.05665</v>
      </c>
      <c r="P98" s="256" t="n">
        <v>10174.05665</v>
      </c>
      <c r="Q98" s="256" t="n">
        <v>10174.05665</v>
      </c>
      <c r="R98" s="256" t="n">
        <v>10174.05665</v>
      </c>
      <c r="S98" s="256" t="n">
        <v>23004.14439</v>
      </c>
      <c r="T98" s="256" t="n">
        <v>23004.14439</v>
      </c>
      <c r="U98" s="256" t="n">
        <v>23004.14439</v>
      </c>
      <c r="V98" s="256" t="n">
        <v>45166.188187</v>
      </c>
      <c r="W98" s="256" t="n">
        <v>207618.70234</v>
      </c>
      <c r="X98" s="256" t="n">
        <v>37619</v>
      </c>
      <c r="Y98" s="256" t="n">
        <v>37619</v>
      </c>
      <c r="Z98" s="256" t="n">
        <v>37619</v>
      </c>
      <c r="AA98" s="256" t="n">
        <v>0</v>
      </c>
      <c r="AB98" s="256" t="n">
        <v>0</v>
      </c>
      <c r="AC98" s="256" t="n">
        <v>0</v>
      </c>
      <c r="AD98" s="256" t="n">
        <v>0</v>
      </c>
      <c r="AE98" s="256" t="n">
        <v>0</v>
      </c>
      <c r="AF98" s="256" t="n">
        <v>0</v>
      </c>
      <c r="AG98" s="256" t="n">
        <v>0</v>
      </c>
      <c r="AH98" s="256" t="n">
        <v>0</v>
      </c>
      <c r="AI98" s="256" t="n">
        <v>0</v>
      </c>
      <c r="AJ98" s="256" t="n">
        <v>0</v>
      </c>
    </row>
    <row r="99">
      <c r="A99" t="n">
        <v>41</v>
      </c>
      <c r="B99" t="n">
        <v>1</v>
      </c>
      <c r="G99" t="inlineStr">
        <is>
          <t>moeda</t>
        </is>
      </c>
      <c r="H99" t="inlineStr">
        <is>
          <t>Fleury BP: Lucros Acumulados (l.86) | Combinada BP: Lucros Acumulados (l.91)</t>
        </is>
      </c>
      <c r="J99" t="inlineStr">
        <is>
          <t>fonte</t>
        </is>
      </c>
      <c r="K99" s="256" t="n">
        <v>58719.46429000011</v>
      </c>
      <c r="L99" s="256" t="n">
        <v>-14906.00837</v>
      </c>
      <c r="M99" s="256" t="n">
        <v>117478.83588</v>
      </c>
      <c r="N99" s="256" t="n">
        <v>169643.49684</v>
      </c>
      <c r="O99" s="256" t="n">
        <v>121286.32605</v>
      </c>
      <c r="P99" s="256" t="n">
        <v>186820.95282</v>
      </c>
      <c r="Q99" s="256" t="n">
        <v>239431.39772</v>
      </c>
      <c r="R99" s="256" t="n">
        <v>251995.89812</v>
      </c>
      <c r="S99" s="256" t="n">
        <v>135277.50577</v>
      </c>
      <c r="T99" s="256" t="n">
        <v>213056.5861</v>
      </c>
      <c r="U99" s="256" t="n">
        <v>301792.49417</v>
      </c>
      <c r="V99" s="256" t="n">
        <v>187291</v>
      </c>
      <c r="W99" s="256" t="n">
        <v>118689.01586</v>
      </c>
      <c r="X99" s="256" t="n">
        <v>24838</v>
      </c>
      <c r="Y99" s="256" t="n">
        <v>24838</v>
      </c>
      <c r="Z99" s="256" t="n">
        <v>190126</v>
      </c>
      <c r="AA99" s="256" t="n">
        <v>317013</v>
      </c>
      <c r="AB99" s="256" t="n">
        <v>317013</v>
      </c>
      <c r="AC99" s="256" t="n">
        <v>317013</v>
      </c>
      <c r="AD99" s="256" t="n">
        <v>347820</v>
      </c>
      <c r="AE99" s="256" t="n">
        <v>378628</v>
      </c>
      <c r="AF99" s="256" t="n">
        <v>378628</v>
      </c>
      <c r="AG99" s="256" t="n">
        <v>378628</v>
      </c>
      <c r="AH99" s="256" t="n">
        <v>332450</v>
      </c>
      <c r="AI99" s="256" t="n">
        <v>332450</v>
      </c>
      <c r="AJ99" s="256" t="n">
        <v>332449</v>
      </c>
    </row>
    <row r="100">
      <c r="A100" t="n">
        <v>40</v>
      </c>
      <c r="B100" t="n">
        <v>1</v>
      </c>
      <c r="G100" t="inlineStr">
        <is>
          <t>moeda</t>
        </is>
      </c>
      <c r="H100" t="inlineStr">
        <is>
          <t>Fleury BP: Dividendo Adicional Proposto (l.87) | Combinada BP: Dividendo Adicional Proposto (l.92)</t>
        </is>
      </c>
      <c r="J100" t="inlineStr">
        <is>
          <t>fonte</t>
        </is>
      </c>
      <c r="K100" s="256" t="n">
        <v>0</v>
      </c>
      <c r="L100" s="256" t="n">
        <v>0</v>
      </c>
      <c r="M100" s="256" t="n">
        <v>0</v>
      </c>
      <c r="N100" s="256" t="n">
        <v>0</v>
      </c>
      <c r="O100" s="256" t="n">
        <v>0</v>
      </c>
      <c r="P100" s="256" t="n">
        <v>0</v>
      </c>
      <c r="Q100" s="256" t="n">
        <v>0</v>
      </c>
      <c r="R100" s="256" t="n">
        <v>0</v>
      </c>
      <c r="S100" s="256" t="n">
        <v>0</v>
      </c>
      <c r="T100" s="256" t="n">
        <v>0</v>
      </c>
      <c r="U100" s="256" t="n">
        <v>0</v>
      </c>
      <c r="V100" s="256" t="n">
        <v>0</v>
      </c>
      <c r="W100" s="256" t="n">
        <v>0</v>
      </c>
      <c r="X100" s="256" t="n">
        <v>0</v>
      </c>
      <c r="Y100" s="256" t="n">
        <v>0</v>
      </c>
      <c r="Z100" s="256" t="n">
        <v>0</v>
      </c>
      <c r="AA100" s="256" t="n">
        <v>0</v>
      </c>
      <c r="AB100" s="256" t="n">
        <v>0</v>
      </c>
      <c r="AC100" s="256" t="n">
        <v>0</v>
      </c>
      <c r="AD100" s="256" t="n">
        <v>0</v>
      </c>
      <c r="AE100" s="256" t="n">
        <v>0</v>
      </c>
      <c r="AF100" s="256" t="n">
        <v>0</v>
      </c>
      <c r="AG100" s="256" t="n">
        <v>0</v>
      </c>
      <c r="AH100" s="256" t="n">
        <v>0</v>
      </c>
      <c r="AI100" s="256" t="n">
        <v>0</v>
      </c>
      <c r="AJ100" s="256" t="n">
        <v>0</v>
      </c>
    </row>
    <row r="101">
      <c r="A101" t="n">
        <v>41</v>
      </c>
      <c r="B101" t="n">
        <v>1</v>
      </c>
      <c r="G101" t="inlineStr">
        <is>
          <t>moeda</t>
        </is>
      </c>
      <c r="H101" t="inlineStr">
        <is>
          <t>Fleury BP: [nao existe] | Combinada BP: Lucro do Período (l.93) [0 em 1Q20..1Q23 (13 per.): linha inexistente/vazia na fonte; total divulgado confirma]</t>
        </is>
      </c>
      <c r="J101" t="inlineStr">
        <is>
          <t>fonte</t>
        </is>
      </c>
      <c r="K101" s="256" t="n">
        <v>0</v>
      </c>
      <c r="L101" s="256" t="n">
        <v>0</v>
      </c>
      <c r="M101" s="256" t="n">
        <v>0</v>
      </c>
      <c r="N101" s="256" t="n">
        <v>0</v>
      </c>
      <c r="O101" s="256" t="n">
        <v>0</v>
      </c>
      <c r="P101" s="256" t="n">
        <v>0</v>
      </c>
      <c r="Q101" s="256" t="n">
        <v>0</v>
      </c>
      <c r="R101" s="256" t="n">
        <v>0</v>
      </c>
      <c r="S101" s="256" t="n">
        <v>0</v>
      </c>
      <c r="T101" s="256" t="n">
        <v>0</v>
      </c>
      <c r="U101" s="256" t="n">
        <v>0</v>
      </c>
      <c r="V101" s="256" t="n">
        <v>0</v>
      </c>
      <c r="W101" s="256" t="n">
        <v>0</v>
      </c>
      <c r="X101" s="256" t="n">
        <v>168280</v>
      </c>
      <c r="Y101" s="256" t="n">
        <v>342478</v>
      </c>
      <c r="Z101" s="256" t="n">
        <v>0</v>
      </c>
      <c r="AA101" s="256" t="n">
        <v>167959</v>
      </c>
      <c r="AB101" s="256" t="n">
        <v>341545</v>
      </c>
      <c r="AC101" s="256" t="n">
        <v>532250</v>
      </c>
      <c r="AD101" s="256" t="n">
        <v>585366</v>
      </c>
      <c r="AE101" s="256" t="n">
        <v>179286</v>
      </c>
      <c r="AF101" s="256" t="n">
        <v>331585</v>
      </c>
      <c r="AG101" s="256" t="n">
        <v>516502</v>
      </c>
      <c r="AH101" s="256" t="n">
        <v>0</v>
      </c>
      <c r="AI101" s="256" t="n">
        <v>201212</v>
      </c>
      <c r="AJ101" s="256" t="n">
        <v>423062</v>
      </c>
    </row>
    <row r="102">
      <c r="A102" t="n">
        <v>39</v>
      </c>
      <c r="B102" t="n">
        <v>1</v>
      </c>
      <c r="G102" t="inlineStr">
        <is>
          <t>moeda</t>
        </is>
      </c>
      <c r="H102" t="inlineStr">
        <is>
          <t>Fleury BP: [nao existe] | Combinada BP: Ajustes de avaliação patrimonial (l.94) [0 em 1Q20..1Q23 (13 per.): linha inexistente/vazia na fonte; total divulgado confirma]</t>
        </is>
      </c>
      <c r="J102" t="inlineStr">
        <is>
          <t>fonte</t>
        </is>
      </c>
      <c r="K102" s="256" t="n">
        <v>0</v>
      </c>
      <c r="L102" s="256" t="n">
        <v>0</v>
      </c>
      <c r="M102" s="256" t="n">
        <v>0</v>
      </c>
      <c r="N102" s="256" t="n">
        <v>0</v>
      </c>
      <c r="O102" s="256" t="n">
        <v>0</v>
      </c>
      <c r="P102" s="256" t="n">
        <v>0</v>
      </c>
      <c r="Q102" s="256" t="n">
        <v>0</v>
      </c>
      <c r="R102" s="256" t="n">
        <v>0</v>
      </c>
      <c r="S102" s="256" t="n">
        <v>0</v>
      </c>
      <c r="T102" s="256" t="n">
        <v>0</v>
      </c>
      <c r="U102" s="256" t="n">
        <v>0</v>
      </c>
      <c r="V102" s="256" t="n">
        <v>0</v>
      </c>
      <c r="W102" s="256" t="n">
        <v>0</v>
      </c>
      <c r="X102" s="256" t="n">
        <v>73884</v>
      </c>
      <c r="Y102" s="256" t="n">
        <v>73884</v>
      </c>
      <c r="Z102" s="256" t="n">
        <v>73884</v>
      </c>
      <c r="AA102" s="256" t="n">
        <v>73884</v>
      </c>
      <c r="AB102" s="256" t="n">
        <v>73884</v>
      </c>
      <c r="AC102" s="256" t="n">
        <v>73884</v>
      </c>
      <c r="AD102" s="256" t="n">
        <v>52817</v>
      </c>
      <c r="AE102" s="256" t="n">
        <v>52817</v>
      </c>
      <c r="AF102" s="256" t="n">
        <v>52817</v>
      </c>
      <c r="AG102" s="256" t="n">
        <v>52817</v>
      </c>
      <c r="AH102" s="256" t="n">
        <v>52817</v>
      </c>
      <c r="AI102" s="256" t="n">
        <v>52817</v>
      </c>
      <c r="AJ102" s="256" t="n">
        <v>52817</v>
      </c>
    </row>
    <row r="103">
      <c r="A103" t="n">
        <v>40</v>
      </c>
      <c r="B103" t="n">
        <v>1</v>
      </c>
      <c r="G103" t="inlineStr">
        <is>
          <t>moeda</t>
        </is>
      </c>
      <c r="H103" t="inlineStr">
        <is>
          <t>Fleury BP: [nao existe] | Combinada BP: Juros sobre capital próprio (l.95) [0 em 1Q20..1Q23 (13 per.): linha inexistente/vazia na fonte; total divulgado confirma]</t>
        </is>
      </c>
      <c r="J103" t="inlineStr">
        <is>
          <t>fonte</t>
        </is>
      </c>
      <c r="K103" s="256" t="n">
        <v>0</v>
      </c>
      <c r="L103" s="256" t="n">
        <v>0</v>
      </c>
      <c r="M103" s="256" t="n">
        <v>0</v>
      </c>
      <c r="N103" s="256" t="n">
        <v>0</v>
      </c>
      <c r="O103" s="256" t="n">
        <v>0</v>
      </c>
      <c r="P103" s="256" t="n">
        <v>0</v>
      </c>
      <c r="Q103" s="256" t="n">
        <v>0</v>
      </c>
      <c r="R103" s="256" t="n">
        <v>0</v>
      </c>
      <c r="S103" s="256" t="n">
        <v>0</v>
      </c>
      <c r="T103" s="256" t="n">
        <v>0</v>
      </c>
      <c r="U103" s="256" t="n">
        <v>0</v>
      </c>
      <c r="V103" s="256" t="n">
        <v>0</v>
      </c>
      <c r="W103" s="256" t="n">
        <v>0</v>
      </c>
      <c r="X103" s="256" t="n">
        <v>0</v>
      </c>
      <c r="Y103" s="256" t="n">
        <v>-92530</v>
      </c>
      <c r="Z103" s="256" t="n">
        <v>0</v>
      </c>
      <c r="AA103" s="256" t="n">
        <v>0</v>
      </c>
      <c r="AB103" s="256" t="n">
        <v>0</v>
      </c>
      <c r="AC103" s="256" t="n">
        <v>-184073</v>
      </c>
      <c r="AD103" s="256" t="n">
        <v>-300502</v>
      </c>
      <c r="AE103" s="256" t="n">
        <v>0</v>
      </c>
      <c r="AF103" s="256" t="n">
        <v>0</v>
      </c>
      <c r="AG103" s="256" t="n">
        <v>-169009</v>
      </c>
      <c r="AH103" s="256" t="n">
        <v>0</v>
      </c>
      <c r="AI103" s="256" t="n">
        <v>0</v>
      </c>
      <c r="AJ103" s="256" t="n">
        <v>0</v>
      </c>
    </row>
    <row r="104">
      <c r="A104" t="n">
        <v>38</v>
      </c>
      <c r="B104" t="n">
        <v>1</v>
      </c>
      <c r="G104" t="inlineStr">
        <is>
          <t>moeda</t>
        </is>
      </c>
      <c r="H104" t="inlineStr">
        <is>
          <t>Fleury BP: Ações em Tesouraria (l.88) | Combinada BP: Ações em Tesouraria (l.96)</t>
        </is>
      </c>
      <c r="J104" t="inlineStr">
        <is>
          <t>fonte</t>
        </is>
      </c>
      <c r="K104" s="256" t="n">
        <v>0</v>
      </c>
      <c r="L104" s="256" t="n">
        <v>0</v>
      </c>
      <c r="M104" s="256" t="n">
        <v>0</v>
      </c>
      <c r="N104" s="256" t="n">
        <v>-2673.99757</v>
      </c>
      <c r="O104" s="256" t="n">
        <v>-23014.3155</v>
      </c>
      <c r="P104" s="256" t="n">
        <v>-24836.40528</v>
      </c>
      <c r="Q104" s="256" t="n">
        <v>-24836.40528</v>
      </c>
      <c r="R104" s="256" t="n">
        <v>-24836.40528</v>
      </c>
      <c r="S104" s="256" t="n">
        <v>-22890.21678</v>
      </c>
      <c r="T104" s="256" t="n">
        <v>-27241.2731</v>
      </c>
      <c r="U104" s="256" t="n">
        <v>-19971.43105</v>
      </c>
      <c r="V104" s="256" t="n">
        <v>-19971.43105</v>
      </c>
      <c r="W104" s="256" t="n">
        <v>-9213.137000000001</v>
      </c>
      <c r="X104" s="256" t="n">
        <v>-9213</v>
      </c>
      <c r="Y104" s="256" t="n">
        <v>-9213</v>
      </c>
      <c r="Z104" s="256" t="n">
        <v>-39462</v>
      </c>
      <c r="AA104" s="256" t="n">
        <v>-27150</v>
      </c>
      <c r="AB104" s="256" t="n">
        <v>-27150</v>
      </c>
      <c r="AC104" s="256" t="n">
        <v>-48065</v>
      </c>
      <c r="AD104" s="256" t="n">
        <v>-48065</v>
      </c>
      <c r="AE104" s="256" t="n">
        <v>-35559.101</v>
      </c>
      <c r="AF104" s="256" t="n">
        <v>-35559</v>
      </c>
      <c r="AG104" s="256" t="n">
        <v>-35559</v>
      </c>
      <c r="AH104" s="256" t="n">
        <v>-35559</v>
      </c>
      <c r="AI104" s="256" t="n">
        <v>-55497</v>
      </c>
      <c r="AJ104" s="256" t="n">
        <v>-55478</v>
      </c>
    </row>
    <row r="105">
      <c r="A105" t="n">
        <v>35</v>
      </c>
      <c r="B105" t="n">
        <v>1</v>
      </c>
      <c r="G105" t="inlineStr">
        <is>
          <t>moeda</t>
        </is>
      </c>
      <c r="H105" t="inlineStr">
        <is>
          <t>Fleury BP: Minoritários (l.90) | Combinada BP: Minoritários (l.98)</t>
        </is>
      </c>
      <c r="J105" t="inlineStr">
        <is>
          <t>fonte</t>
        </is>
      </c>
      <c r="K105" s="256" t="n">
        <v>0</v>
      </c>
      <c r="L105" s="256" t="n">
        <v>0</v>
      </c>
      <c r="M105" s="256" t="n">
        <v>0</v>
      </c>
      <c r="N105" s="256" t="n">
        <v>0</v>
      </c>
      <c r="O105" s="256" t="n">
        <v>0</v>
      </c>
      <c r="P105" s="256" t="n">
        <v>1330.71621</v>
      </c>
      <c r="Q105" s="256" t="n">
        <v>2803.541769555</v>
      </c>
      <c r="R105" s="256" t="n">
        <v>9199.17964485728</v>
      </c>
      <c r="S105" s="256" t="n">
        <v>9990.717297307281</v>
      </c>
      <c r="T105" s="256" t="n">
        <v>11700.36526</v>
      </c>
      <c r="U105" s="256" t="n">
        <v>16590.30887</v>
      </c>
      <c r="V105" s="256" t="n">
        <v>19548.874</v>
      </c>
      <c r="W105" s="256" t="n">
        <v>22120.863</v>
      </c>
      <c r="X105" s="256" t="n">
        <v>13204</v>
      </c>
      <c r="Y105" s="256" t="n">
        <v>14811</v>
      </c>
      <c r="Z105" s="256" t="n">
        <v>27619</v>
      </c>
      <c r="AA105" s="256" t="n">
        <v>29501.955374137</v>
      </c>
      <c r="AB105" s="256" t="n">
        <v>74196.880127518</v>
      </c>
      <c r="AC105" s="256" t="n">
        <v>85252</v>
      </c>
      <c r="AD105" s="256" t="n">
        <v>85763</v>
      </c>
      <c r="AE105" s="256" t="n">
        <v>93419.046</v>
      </c>
      <c r="AF105" s="256" t="n">
        <v>91417</v>
      </c>
      <c r="AG105" s="256" t="n">
        <v>87661</v>
      </c>
      <c r="AH105" s="256" t="n">
        <v>94928</v>
      </c>
      <c r="AI105" s="256" t="n">
        <v>95020</v>
      </c>
      <c r="AJ105" s="256" t="n">
        <v>100794</v>
      </c>
    </row>
    <row r="106">
      <c r="H106" s="250" t="inlineStr">
        <is>
          <t>BALANCO - totais divulgados (memoria, sem codigo)</t>
        </is>
      </c>
    </row>
    <row r="107">
      <c r="G107" t="inlineStr">
        <is>
          <t>moeda</t>
        </is>
      </c>
      <c r="H107" t="inlineStr">
        <is>
          <t>Fleury BP: Total do Circulante (l.24) | Combinada BP: Total do Circulante (l.22)</t>
        </is>
      </c>
      <c r="J107" t="inlineStr">
        <is>
          <t>memoria</t>
        </is>
      </c>
      <c r="K107" s="256" t="n">
        <v>1411001.68141</v>
      </c>
      <c r="L107" s="256" t="n">
        <v>1712852.403930001</v>
      </c>
      <c r="M107" s="256" t="n">
        <v>1955830.935389997</v>
      </c>
      <c r="N107" s="256" t="n">
        <v>1880198.45701</v>
      </c>
      <c r="O107" s="256" t="n">
        <v>1906290.90313</v>
      </c>
      <c r="P107" s="256" t="n">
        <v>1469547.57452</v>
      </c>
      <c r="Q107" s="256" t="n">
        <v>1996564.02442</v>
      </c>
      <c r="R107" s="256" t="n">
        <v>1742470.718853221</v>
      </c>
      <c r="S107" s="256" t="n">
        <v>1602240.37077</v>
      </c>
      <c r="T107" s="256" t="n">
        <v>1872760.01955</v>
      </c>
      <c r="U107" s="256" t="n">
        <v>1949250.49791</v>
      </c>
      <c r="V107" s="256" t="n">
        <v>2391404.059050001</v>
      </c>
      <c r="W107" s="256" t="n">
        <v>2475748.22323</v>
      </c>
      <c r="X107" s="256" t="n">
        <v>2737577</v>
      </c>
      <c r="Y107" s="256" t="n">
        <v>2838559</v>
      </c>
      <c r="Z107" s="256" t="n">
        <v>2803557</v>
      </c>
      <c r="AA107" s="256" t="n">
        <v>3003136</v>
      </c>
      <c r="AB107" s="256" t="n">
        <v>4167729</v>
      </c>
      <c r="AC107" s="256" t="n">
        <v>4392226</v>
      </c>
      <c r="AD107" s="256" t="n">
        <v>4375794</v>
      </c>
      <c r="AE107" s="256" t="n">
        <v>4663229.040999999</v>
      </c>
      <c r="AF107" s="256" t="n">
        <v>4368087</v>
      </c>
      <c r="AG107" s="256" t="n">
        <v>4864095</v>
      </c>
      <c r="AH107" s="256" t="n">
        <v>4421465</v>
      </c>
      <c r="AI107" s="256" t="n">
        <v>4650338</v>
      </c>
      <c r="AJ107" s="256" t="n">
        <v>4538930</v>
      </c>
    </row>
    <row r="108">
      <c r="G108" t="inlineStr">
        <is>
          <t>moeda</t>
        </is>
      </c>
      <c r="H108" t="inlineStr">
        <is>
          <t>Fleury BP: TOTAL DO ATIVO (l.47) | Combinada BP: TOTAL DO ATIVO (l.46)</t>
        </is>
      </c>
      <c r="J108" t="inlineStr">
        <is>
          <t>memoria</t>
        </is>
      </c>
      <c r="K108" s="256" t="n">
        <v>5143736.558005081</v>
      </c>
      <c r="L108" s="256" t="n">
        <v>5468970.165874246</v>
      </c>
      <c r="M108" s="256" t="n">
        <v>5653505.940511224</v>
      </c>
      <c r="N108" s="256" t="n">
        <v>5587534.359522596</v>
      </c>
      <c r="O108" s="256" t="n">
        <v>5573539.453503966</v>
      </c>
      <c r="P108" s="256" t="n">
        <v>5405805.833622944</v>
      </c>
      <c r="Q108" s="256" t="n">
        <v>6285689.447224167</v>
      </c>
      <c r="R108" s="256" t="n">
        <v>6073768.085595941</v>
      </c>
      <c r="S108" s="256" t="n">
        <v>5995987.035997</v>
      </c>
      <c r="T108" s="256" t="n">
        <v>6839714.854390506</v>
      </c>
      <c r="U108" s="256" t="n">
        <v>7036072.105880001</v>
      </c>
      <c r="V108" s="256" t="n">
        <v>7791770.536656735</v>
      </c>
      <c r="W108" s="256" t="n">
        <v>7863879.099749999</v>
      </c>
      <c r="X108" s="256" t="n">
        <v>11509984</v>
      </c>
      <c r="Y108" s="256" t="n">
        <v>11533043</v>
      </c>
      <c r="Z108" s="256" t="n">
        <v>11579968</v>
      </c>
      <c r="AA108" s="256" t="n">
        <v>11686093</v>
      </c>
      <c r="AB108" s="256" t="n">
        <v>12802394</v>
      </c>
      <c r="AC108" s="256" t="n">
        <v>13031228</v>
      </c>
      <c r="AD108" s="256" t="n">
        <v>13062410</v>
      </c>
      <c r="AE108" s="256" t="n">
        <v>13270726.504</v>
      </c>
      <c r="AF108" s="256" t="n">
        <v>13072446</v>
      </c>
      <c r="AG108" s="256" t="n">
        <v>13584226</v>
      </c>
      <c r="AH108" s="256" t="n">
        <v>13220481</v>
      </c>
      <c r="AI108" s="256" t="n">
        <v>13325654</v>
      </c>
      <c r="AJ108" s="256" t="n">
        <v>13558475</v>
      </c>
    </row>
    <row r="109">
      <c r="G109" t="inlineStr">
        <is>
          <t>moeda</t>
        </is>
      </c>
      <c r="H109" t="inlineStr">
        <is>
          <t>Fleury BP: Total do Circulante (l.62) | Combinada BP: Total do Circulante (l.64)</t>
        </is>
      </c>
      <c r="J109" t="inlineStr">
        <is>
          <t>memoria</t>
        </is>
      </c>
      <c r="K109" s="256" t="n">
        <v>726081.6586500001</v>
      </c>
      <c r="L109" s="256" t="n">
        <v>988203.9757000001</v>
      </c>
      <c r="M109" s="256" t="n">
        <v>1060931.09389</v>
      </c>
      <c r="N109" s="256" t="n">
        <v>1109771.68991</v>
      </c>
      <c r="O109" s="256" t="n">
        <v>1348197.47262</v>
      </c>
      <c r="P109" s="256" t="n">
        <v>1481018.84362</v>
      </c>
      <c r="Q109" s="256" t="n">
        <v>1267363.27882</v>
      </c>
      <c r="R109" s="256" t="n">
        <v>1206872.24902</v>
      </c>
      <c r="S109" s="256" t="n">
        <v>1188694.69249</v>
      </c>
      <c r="T109" s="256" t="n">
        <v>1329356.14157</v>
      </c>
      <c r="U109" s="256" t="n">
        <v>1445102.5674</v>
      </c>
      <c r="V109" s="256" t="n">
        <v>1234135.45825</v>
      </c>
      <c r="W109" s="256" t="n">
        <v>1235201.01782</v>
      </c>
      <c r="X109" s="256" t="n">
        <v>1992479</v>
      </c>
      <c r="Y109" s="256" t="n">
        <v>1918079</v>
      </c>
      <c r="Z109" s="256" t="n">
        <v>1686616</v>
      </c>
      <c r="AA109" s="256" t="n">
        <v>1785033</v>
      </c>
      <c r="AB109" s="256" t="n">
        <v>1774725</v>
      </c>
      <c r="AC109" s="256" t="n">
        <v>2271091</v>
      </c>
      <c r="AD109" s="256" t="n">
        <v>1742813</v>
      </c>
      <c r="AE109" s="256" t="n">
        <v>2034615.867</v>
      </c>
      <c r="AF109" s="256" t="n">
        <v>1742951</v>
      </c>
      <c r="AG109" s="256" t="n">
        <v>2201101</v>
      </c>
      <c r="AH109" s="256" t="n">
        <v>2245680</v>
      </c>
      <c r="AI109" s="256" t="n">
        <v>2175756</v>
      </c>
      <c r="AJ109" s="256" t="n">
        <v>2438959</v>
      </c>
    </row>
    <row r="110">
      <c r="G110" t="inlineStr">
        <is>
          <t>moeda</t>
        </is>
      </c>
      <c r="H110" t="inlineStr">
        <is>
          <t>Fleury BP: Total do Passivo (l.77) | Combinada BP: Total do Passivo (l.82)</t>
        </is>
      </c>
      <c r="J110" t="inlineStr">
        <is>
          <t>memoria</t>
        </is>
      </c>
      <c r="K110" s="256" t="n">
        <v>3521034.16126</v>
      </c>
      <c r="L110" s="256" t="n">
        <v>3919838.02452</v>
      </c>
      <c r="M110" s="256" t="n">
        <v>3965966.264570001</v>
      </c>
      <c r="N110" s="256" t="n">
        <v>3836684.06044</v>
      </c>
      <c r="O110" s="256" t="n">
        <v>3880661.00246</v>
      </c>
      <c r="P110" s="256" t="n">
        <v>3647468.5811</v>
      </c>
      <c r="Q110" s="256" t="n">
        <v>4467894.49676</v>
      </c>
      <c r="R110" s="256" t="n">
        <v>4219287.56739</v>
      </c>
      <c r="S110" s="256" t="n">
        <v>4242276.3037</v>
      </c>
      <c r="T110" s="256" t="n">
        <v>5010959.03105</v>
      </c>
      <c r="U110" s="256" t="n">
        <v>5104580.99461</v>
      </c>
      <c r="V110" s="256" t="n">
        <v>5090685.48516</v>
      </c>
      <c r="W110" s="256" t="n">
        <v>5055895.024689998</v>
      </c>
      <c r="X110" s="256" t="n">
        <v>6401400</v>
      </c>
      <c r="Y110" s="256" t="n">
        <v>6341098</v>
      </c>
      <c r="Z110" s="256" t="n">
        <v>6468898</v>
      </c>
      <c r="AA110" s="256" t="n">
        <v>6473366.58127</v>
      </c>
      <c r="AB110" s="256" t="n">
        <v>7371349</v>
      </c>
      <c r="AC110" s="256" t="n">
        <v>7603373</v>
      </c>
      <c r="AD110" s="256" t="n">
        <v>7687579</v>
      </c>
      <c r="AE110" s="256" t="n">
        <v>7950503.939189999</v>
      </c>
      <c r="AF110" s="256" t="n">
        <v>7601926</v>
      </c>
      <c r="AG110" s="256" t="n">
        <v>8101554</v>
      </c>
      <c r="AH110" s="256" t="n">
        <v>8124213</v>
      </c>
      <c r="AI110" s="256" t="n">
        <v>8048020</v>
      </c>
      <c r="AJ110" s="256" t="n">
        <v>8040103</v>
      </c>
    </row>
    <row r="111">
      <c r="G111" t="inlineStr">
        <is>
          <t>moeda</t>
        </is>
      </c>
      <c r="H111" t="inlineStr">
        <is>
          <t>Fleury BP: Total do Patrimônio Líquido (l.91) | Combinada BP: Total do Patrimônio Líquido (l.99)</t>
        </is>
      </c>
      <c r="J111" t="inlineStr">
        <is>
          <t>memoria</t>
        </is>
      </c>
      <c r="K111" s="256" t="n">
        <v>1622703.33256</v>
      </c>
      <c r="L111" s="256" t="n">
        <v>1549132.14135</v>
      </c>
      <c r="M111" s="256" t="n">
        <v>1687539.67595</v>
      </c>
      <c r="N111" s="256" t="n">
        <v>1750850.29909</v>
      </c>
      <c r="O111" s="256" t="n">
        <v>1692878.45104</v>
      </c>
      <c r="P111" s="256" t="n">
        <v>1758337.25252</v>
      </c>
      <c r="Q111" s="256" t="n">
        <v>1817794.950459555</v>
      </c>
      <c r="R111" s="256" t="n">
        <v>1854481.156094857</v>
      </c>
      <c r="S111" s="256" t="n">
        <v>1753710.726297307</v>
      </c>
      <c r="T111" s="256" t="n">
        <v>1828755.8225</v>
      </c>
      <c r="U111" s="256" t="n">
        <v>1931491.11126</v>
      </c>
      <c r="V111" s="256" t="n">
        <v>2701085.041487</v>
      </c>
      <c r="W111" s="256" t="n">
        <v>2807984.03782</v>
      </c>
      <c r="X111" s="256" t="n">
        <v>5108584</v>
      </c>
      <c r="Y111" s="256" t="n">
        <v>5191945</v>
      </c>
      <c r="Z111" s="256" t="n">
        <v>5111070</v>
      </c>
      <c r="AA111" s="256" t="n">
        <v>5212725.955374137</v>
      </c>
      <c r="AB111" s="256" t="n">
        <v>5431045.275707519</v>
      </c>
      <c r="AC111" s="256" t="n">
        <v>5427855</v>
      </c>
      <c r="AD111" s="256" t="n">
        <v>5374831</v>
      </c>
      <c r="AE111" s="256" t="n">
        <v>5320223.028</v>
      </c>
      <c r="AF111" s="256" t="n">
        <v>5470520</v>
      </c>
      <c r="AG111" s="256" t="n">
        <v>5482672</v>
      </c>
      <c r="AH111" s="256" t="n">
        <v>5096268</v>
      </c>
      <c r="AI111" s="256" t="n">
        <v>5277634</v>
      </c>
      <c r="AJ111" s="256" t="n">
        <v>5518372</v>
      </c>
    </row>
    <row r="112">
      <c r="G112" t="inlineStr">
        <is>
          <t>moeda</t>
        </is>
      </c>
      <c r="H112" t="inlineStr">
        <is>
          <t>Fleury BP: TOTAL DO PASSIVO E PATRIMÔNIO LÍQUIDO (l.93) | Combinada BP: TOTAL DO PASSIVO E PATRIMÔNIO LÍQUIDO (l.101)</t>
        </is>
      </c>
      <c r="J112" t="inlineStr">
        <is>
          <t>memoria</t>
        </is>
      </c>
      <c r="K112" s="256" t="n">
        <v>5143737.49382</v>
      </c>
      <c r="L112" s="256" t="n">
        <v>5468970.165870001</v>
      </c>
      <c r="M112" s="256" t="n">
        <v>5653505.940520001</v>
      </c>
      <c r="N112" s="256" t="n">
        <v>5587534.35953</v>
      </c>
      <c r="O112" s="256" t="n">
        <v>5573539.453500001</v>
      </c>
      <c r="P112" s="256" t="n">
        <v>5405805.833620001</v>
      </c>
      <c r="Q112" s="256" t="n">
        <v>6285689.447219554</v>
      </c>
      <c r="R112" s="256" t="n">
        <v>6073768.723484858</v>
      </c>
      <c r="S112" s="256" t="n">
        <v>5995987.029997308</v>
      </c>
      <c r="T112" s="256" t="n">
        <v>6839714.85355</v>
      </c>
      <c r="U112" s="256" t="n">
        <v>7036072.105870001</v>
      </c>
      <c r="V112" s="256" t="n">
        <v>7791770.526647</v>
      </c>
      <c r="W112" s="256" t="n">
        <v>7863879.062509999</v>
      </c>
      <c r="X112" s="256" t="n">
        <v>11509984</v>
      </c>
      <c r="Y112" s="256" t="n">
        <v>11533043</v>
      </c>
      <c r="Z112" s="256" t="n">
        <v>11579968</v>
      </c>
      <c r="AA112" s="256" t="n">
        <v>11686092.53664414</v>
      </c>
      <c r="AB112" s="256" t="n">
        <v>12802394.27570752</v>
      </c>
      <c r="AC112" s="256" t="n">
        <v>13031228</v>
      </c>
      <c r="AD112" s="256" t="n">
        <v>13062410</v>
      </c>
      <c r="AE112" s="256" t="n">
        <v>13270726.96719</v>
      </c>
      <c r="AF112" s="256" t="n">
        <v>13072446</v>
      </c>
      <c r="AG112" s="256" t="n">
        <v>13584226</v>
      </c>
      <c r="AH112" s="256" t="n">
        <v>13220481</v>
      </c>
      <c r="AI112" s="256" t="n">
        <v>13325654</v>
      </c>
      <c r="AJ112" s="256" t="n">
        <v>13558475</v>
      </c>
    </row>
    <row r="113">
      <c r="H113" s="250" t="inlineStr">
        <is>
          <t>CHECKS (devem ser 0)</t>
        </is>
      </c>
    </row>
    <row r="114">
      <c r="G114" t="inlineStr">
        <is>
          <t>moeda</t>
        </is>
      </c>
      <c r="H114" t="inlineStr">
        <is>
          <t>CHECK: soma das linhas codificadas 1-9 da DRE - lucro liquido do periodo</t>
        </is>
      </c>
      <c r="J114" t="inlineStr">
        <is>
          <t>derivada</t>
        </is>
      </c>
      <c r="K114" s="256">
        <f>K6+K7+K8+K9+K10+K11+K12+K13+K14+K15+K16+K17+K18+K19+K20+K21+K22+K23-K31</f>
        <v>0</v>
      </c>
      <c r="L114" s="256">
        <f>L6+L7+L8+L9+L10+L11+L12+L13+L14+L15+L16+L17+L18+L19+L20+L21+L22+L23-L31</f>
        <v>0</v>
      </c>
      <c r="M114" s="256">
        <f>M6+M7+M8+M9+M10+M11+M12+M13+M14+M15+M16+M17+M18+M19+M20+M21+M22+M23-M31</f>
        <v>0</v>
      </c>
      <c r="N114" s="256">
        <f>N6+N7+N8+N9+N10+N11+N12+N13+N14+N15+N16+N17+N18+N19+N20+N21+N22+N23-N31</f>
        <v>0</v>
      </c>
      <c r="O114" s="256">
        <f>O6+O7+O8+O9+O10+O11+O12+O13+O14+O15+O16+O17+O18+O19+O20+O21+O22+O23-O31</f>
        <v>0</v>
      </c>
      <c r="P114" s="256">
        <f>P6+P7+P8+P9+P10+P11+P12+P13+P14+P15+P16+P17+P18+P19+P20+P21+P22+P23-P31</f>
        <v>0</v>
      </c>
      <c r="Q114" s="256">
        <f>Q6+Q7+Q8+Q9+Q10+Q11+Q12+Q13+Q14+Q15+Q16+Q17+Q18+Q19+Q20+Q21+Q22+Q23-Q31</f>
        <v>0</v>
      </c>
      <c r="R114" s="256">
        <f>R6+R7+R8+R9+R10+R11+R12+R13+R14+R15+R16+R17+R18+R19+R20+R21+R22+R23-R31</f>
        <v>3.78349795937538e-10</v>
      </c>
      <c r="S114" s="256">
        <f>S6+S7+S8+S9+S10+S11+S12+S13+S14+S15+S16+S17+S18+S19+S20+S21+S22+S23-S31</f>
        <v>0</v>
      </c>
      <c r="T114" s="256">
        <f>T6+T7+T8+T9+T10+T11+T12+T13+T14+T15+T16+T17+T18+T19+T20+T21+T22+T23-T31</f>
        <v>-4.36557456851006e-10</v>
      </c>
      <c r="U114" s="256">
        <f>U6+U7+U8+U9+U10+U11+U12+U13+U14+U15+U16+U17+U18+U19+U20+U21+U22+U23-U31</f>
        <v>0</v>
      </c>
      <c r="V114" s="256">
        <f>V6+V7+V8+V9+V10+V11+V12+V13+V14+V15+V16+V17+V18+V19+V20+V21+V22+V23-V31</f>
        <v>1.41881173476577e-10</v>
      </c>
      <c r="W114" s="256">
        <f>W6+W7+W8+W9+W10+W11+W12+W13+W14+W15+W16+W17+W18+W19+W20+W21+W22+W23-W31</f>
        <v>0</v>
      </c>
      <c r="X114" s="256">
        <f>X6+X7+X8+X9+X10+X11+X12+X13+X14+X15+X16+X17+X18+X19+X20+X21+X22+X23-X31</f>
        <v>0</v>
      </c>
      <c r="Y114" s="256">
        <f>Y6+Y7+Y8+Y9+Y10+Y11+Y12+Y13+Y14+Y15+Y16+Y17+Y18+Y19+Y20+Y21+Y22+Y23-Y31</f>
        <v>0</v>
      </c>
      <c r="Z114" s="256">
        <f>Z6+Z7+Z8+Z9+Z10+Z11+Z12+Z13+Z14+Z15+Z16+Z17+Z18+Z19+Z20+Z21+Z22+Z23-Z31</f>
        <v>0</v>
      </c>
      <c r="AA114" s="256">
        <f>AA6+AA7+AA8+AA9+AA10+AA11+AA12+AA13+AA14+AA15+AA16+AA17+AA18+AA19+AA20+AA21+AA22+AA23-AA31</f>
        <v>0</v>
      </c>
      <c r="AB114" s="256">
        <f>AB6+AB7+AB8+AB9+AB10+AB11+AB12+AB13+AB14+AB15+AB16+AB17+AB18+AB19+AB20+AB21+AB22+AB23-AB31</f>
        <v>0</v>
      </c>
      <c r="AC114" s="256">
        <f>AC6+AC7+AC8+AC9+AC10+AC11+AC12+AC13+AC14+AC15+AC16+AC17+AC18+AC19+AC20+AC21+AC22+AC23-AC31</f>
        <v>0</v>
      </c>
      <c r="AD114" s="256">
        <f>AD6+AD7+AD8+AD9+AD10+AD11+AD12+AD13+AD14+AD15+AD16+AD17+AD18+AD19+AD20+AD21+AD22+AD23-AD31</f>
        <v>-5.23868948221207e-10</v>
      </c>
      <c r="AE114" s="256">
        <f>AE6+AE7+AE8+AE9+AE10+AE11+AE12+AE13+AE14+AE15+AE16+AE17+AE18+AE19+AE20+AE21+AE22+AE23-AE31</f>
        <v>0</v>
      </c>
      <c r="AF114" s="256">
        <f>AF6+AF7+AF8+AF9+AF10+AF11+AF12+AF13+AF14+AF15+AF16+AF17+AF18+AF19+AF20+AF21+AF22+AF23-AF31</f>
        <v>0</v>
      </c>
      <c r="AG114" s="256">
        <f>AG6+AG7+AG8+AG9+AG10+AG11+AG12+AG13+AG14+AG15+AG16+AG17+AG18+AG19+AG20+AG21+AG22+AG23-AG31</f>
        <v>0</v>
      </c>
      <c r="AH114" s="256">
        <f>AH6+AH7+AH8+AH9+AH10+AH11+AH12+AH13+AH14+AH15+AH16+AH17+AH18+AH19+AH20+AH21+AH22+AH23-AH31</f>
        <v>-3.78349795937538e-10</v>
      </c>
      <c r="AI114" s="256">
        <f>AI6+AI7+AI8+AI9+AI10+AI11+AI12+AI13+AI14+AI15+AI16+AI17+AI18+AI19+AI20+AI21+AI22+AI23-AI31</f>
        <v>0</v>
      </c>
      <c r="AJ114" s="256">
        <f>AJ6+AJ7+AJ8+AJ9+AJ10+AJ11+AJ12+AJ13+AJ14+AJ15+AJ16+AJ17+AJ18+AJ19+AJ20+AJ21+AJ22+AJ23-AJ31</f>
        <v>0</v>
      </c>
    </row>
    <row r="115">
      <c r="G115" t="inlineStr">
        <is>
          <t>moeda</t>
        </is>
      </c>
      <c r="H115" t="inlineStr">
        <is>
          <t>CHECK: D&amp;A da DRE (cod 4, negativa) + D&amp;A da DFC (positiva)</t>
        </is>
      </c>
      <c r="J115" t="inlineStr">
        <is>
          <t>derivada</t>
        </is>
      </c>
      <c r="K115" s="256">
        <f>K11+K16+K17+K35</f>
        <v>0</v>
      </c>
      <c r="L115" s="256">
        <f>L11+L16+L17+L35</f>
        <v>0</v>
      </c>
      <c r="M115" s="256">
        <f>M11+M16+M17+M35</f>
        <v>0</v>
      </c>
      <c r="N115" s="256">
        <f>N11+N16+N17+N35</f>
        <v>0</v>
      </c>
      <c r="O115" s="256">
        <f>O11+O16+O17+O35</f>
        <v>0</v>
      </c>
      <c r="P115" s="256">
        <f>P11+P16+P17+P35</f>
        <v>0</v>
      </c>
      <c r="Q115" s="256">
        <f>Q11+Q16+Q17+Q35</f>
        <v>0</v>
      </c>
      <c r="R115" s="256">
        <f>R11+R16+R17+R35</f>
        <v>0</v>
      </c>
      <c r="S115" s="256">
        <f>S11+S16+S17+S35</f>
        <v>0</v>
      </c>
      <c r="T115" s="256">
        <f>T11+T16+T17+T35</f>
        <v>0</v>
      </c>
      <c r="U115" s="256">
        <f>U11+U16+U17+U35</f>
        <v>0</v>
      </c>
      <c r="V115" s="256">
        <f>V11+V16+V17+V35</f>
        <v>0</v>
      </c>
      <c r="W115" s="256">
        <f>W11+W16+W17+W35</f>
        <v>0.000140000018291175</v>
      </c>
      <c r="X115" s="256">
        <f>X11+X16+X17+X35</f>
        <v>0</v>
      </c>
      <c r="Y115" s="256">
        <f>Y11+Y16+Y17+Y35</f>
        <v>0</v>
      </c>
      <c r="Z115" s="256">
        <f>Z11+Z16+Z17+Z35</f>
        <v>0</v>
      </c>
      <c r="AA115" s="256">
        <f>AA11+AA16+AA17+AA35</f>
        <v>0</v>
      </c>
      <c r="AB115" s="256">
        <f>AB11+AB16+AB17+AB35</f>
        <v>0</v>
      </c>
      <c r="AC115" s="256">
        <f>AC11+AC16+AC17+AC35</f>
        <v>0</v>
      </c>
      <c r="AD115" s="256">
        <f>AD11+AD16+AD17+AD35</f>
        <v>0</v>
      </c>
      <c r="AE115" s="256">
        <f>AE11+AE16+AE17+AE35</f>
        <v>-0.0769999999902211</v>
      </c>
      <c r="AF115" s="256">
        <f>AF11+AF16+AF17+AF35</f>
        <v>1</v>
      </c>
      <c r="AG115" s="256">
        <f>AG11+AG16+AG17+AG35</f>
        <v>-0.996639999997569</v>
      </c>
      <c r="AH115" s="256">
        <f>AH11+AH16+AH17+AH35</f>
        <v>0.144109999993816</v>
      </c>
      <c r="AI115" s="256">
        <f>AI11+AI16+AI17+AI35</f>
        <v>0.304219999990892</v>
      </c>
      <c r="AJ115" s="256">
        <f>AJ11+AJ16+AJ17+AJ35</f>
        <v>0</v>
      </c>
    </row>
    <row r="116">
      <c r="G116" t="inlineStr">
        <is>
          <t>moeda</t>
        </is>
      </c>
      <c r="H116" t="inlineStr">
        <is>
          <t>CHECK: ativo (cod 11-22) - total do ativo</t>
        </is>
      </c>
      <c r="J116" t="inlineStr">
        <is>
          <t>derivada</t>
        </is>
      </c>
      <c r="K116" s="256">
        <f>K37+K38+K57+K39+K40+K42+K56+K41+K43+K44+K45+K46+K47+K48+K49+K61+K62+K64+K63+K50+K51+K52+K53+K54+K55+K58+K59+K60-K108</f>
        <v>0</v>
      </c>
      <c r="L116" s="256">
        <f>L37+L38+L57+L39+L40+L42+L56+L41+L43+L44+L45+L46+L47+L48+L49+L61+L62+L64+L63+L50+L51+L52+L53+L54+L55+L58+L59+L60-L108</f>
        <v>0</v>
      </c>
      <c r="M116" s="256">
        <f>M37+M38+M57+M39+M40+M42+M56+M41+M43+M44+M45+M46+M47+M48+M49+M61+M62+M64+M63+M50+M51+M52+M53+M54+M55+M58+M59+M60-M108</f>
        <v>0</v>
      </c>
      <c r="N116" s="256">
        <f>N37+N38+N57+N39+N40+N42+N56+N41+N43+N44+N45+N46+N47+N48+N49+N61+N62+N64+N63+N50+N51+N52+N53+N54+N55+N58+N59+N60-N108</f>
        <v>0</v>
      </c>
      <c r="O116" s="256">
        <f>O37+O38+O57+O39+O40+O42+O56+O41+O43+O44+O45+O46+O47+O48+O49+O61+O62+O64+O63+O50+O51+O52+O53+O54+O55+O58+O59+O60-O108</f>
        <v>0</v>
      </c>
      <c r="P116" s="256">
        <f>P37+P38+P57+P39+P40+P42+P56+P41+P43+P44+P45+P46+P47+P48+P49+P61+P62+P64+P63+P50+P51+P52+P53+P54+P55+P58+P59+P60-P108</f>
        <v>0</v>
      </c>
      <c r="Q116" s="256">
        <f>Q37+Q38+Q57+Q39+Q40+Q42+Q56+Q41+Q43+Q44+Q45+Q46+Q47+Q48+Q49+Q61+Q62+Q64+Q63+Q50+Q51+Q52+Q53+Q54+Q55+Q58+Q59+Q60-Q108</f>
        <v>0</v>
      </c>
      <c r="R116" s="256">
        <f>R37+R38+R57+R39+R40+R42+R56+R41+R43+R44+R45+R46+R47+R48+R49+R61+R62+R64+R63+R50+R51+R52+R53+R54+R55+R58+R59+R60-R108</f>
        <v>0</v>
      </c>
      <c r="S116" s="256">
        <f>S37+S38+S57+S39+S40+S42+S56+S41+S43+S44+S45+S46+S47+S48+S49+S61+S62+S64+S63+S50+S51+S52+S53+S54+S55+S58+S59+S60-S108</f>
        <v>0</v>
      </c>
      <c r="T116" s="256">
        <f>T37+T38+T57+T39+T40+T42+T56+T41+T43+T44+T45+T46+T47+T48+T49+T61+T62+T64+T63+T50+T51+T52+T53+T54+T55+T58+T59+T60-T108</f>
        <v>0</v>
      </c>
      <c r="U116" s="256">
        <f>U37+U38+U57+U39+U40+U42+U56+U41+U43+U44+U45+U46+U47+U48+U49+U61+U62+U64+U63+U50+U51+U52+U53+U54+U55+U58+U59+U60-U108</f>
        <v>0</v>
      </c>
      <c r="V116" s="256">
        <f>V37+V38+V57+V39+V40+V42+V56+V41+V43+V44+V45+V46+V47+V48+V49+V61+V62+V64+V63+V50+V51+V52+V53+V54+V55+V58+V59+V60-V108</f>
        <v>0</v>
      </c>
      <c r="W116" s="256">
        <f>W37+W38+W57+W39+W40+W42+W56+W41+W43+W44+W45+W46+W47+W48+W49+W61+W62+W64+W63+W50+W51+W52+W53+W54+W55+W58+W59+W60-W108</f>
        <v>0</v>
      </c>
      <c r="X116" s="256">
        <f>X37+X38+X57+X39+X40+X42+X56+X41+X43+X44+X45+X46+X47+X48+X49+X61+X62+X64+X63+X50+X51+X52+X53+X54+X55+X58+X59+X60-X108</f>
        <v>0</v>
      </c>
      <c r="Y116" s="256">
        <f>Y37+Y38+Y57+Y39+Y40+Y42+Y56+Y41+Y43+Y44+Y45+Y46+Y47+Y48+Y49+Y61+Y62+Y64+Y63+Y50+Y51+Y52+Y53+Y54+Y55+Y58+Y59+Y60-Y108</f>
        <v>0</v>
      </c>
      <c r="Z116" s="256">
        <f>Z37+Z38+Z57+Z39+Z40+Z42+Z56+Z41+Z43+Z44+Z45+Z46+Z47+Z48+Z49+Z61+Z62+Z64+Z63+Z50+Z51+Z52+Z53+Z54+Z55+Z58+Z59+Z60-Z108</f>
        <v>0</v>
      </c>
      <c r="AA116" s="256">
        <f>AA37+AA38+AA57+AA39+AA40+AA42+AA56+AA41+AA43+AA44+AA45+AA46+AA47+AA48+AA49+AA61+AA62+AA64+AA63+AA50+AA51+AA52+AA53+AA54+AA55+AA58+AA59+AA60-AA108</f>
        <v>0</v>
      </c>
      <c r="AB116" s="256">
        <f>AB37+AB38+AB57+AB39+AB40+AB42+AB56+AB41+AB43+AB44+AB45+AB46+AB47+AB48+AB49+AB61+AB62+AB64+AB63+AB50+AB51+AB52+AB53+AB54+AB55+AB58+AB59+AB60-AB108</f>
        <v>0</v>
      </c>
      <c r="AC116" s="256">
        <f>AC37+AC38+AC57+AC39+AC40+AC42+AC56+AC41+AC43+AC44+AC45+AC46+AC47+AC48+AC49+AC61+AC62+AC64+AC63+AC50+AC51+AC52+AC53+AC54+AC55+AC58+AC59+AC60-AC108</f>
        <v>0</v>
      </c>
      <c r="AD116" s="256">
        <f>AD37+AD38+AD57+AD39+AD40+AD42+AD56+AD41+AD43+AD44+AD45+AD46+AD47+AD48+AD49+AD61+AD62+AD64+AD63+AD50+AD51+AD52+AD53+AD54+AD55+AD58+AD59+AD60-AD108</f>
        <v>0</v>
      </c>
      <c r="AE116" s="256">
        <f>AE37+AE38+AE57+AE39+AE40+AE42+AE56+AE41+AE43+AE44+AE45+AE46+AE47+AE48+AE49+AE61+AE62+AE64+AE63+AE50+AE51+AE52+AE53+AE54+AE55+AE58+AE59+AE60-AE108</f>
        <v>0</v>
      </c>
      <c r="AF116" s="256">
        <f>AF37+AF38+AF57+AF39+AF40+AF42+AF56+AF41+AF43+AF44+AF45+AF46+AF47+AF48+AF49+AF61+AF62+AF64+AF63+AF50+AF51+AF52+AF53+AF54+AF55+AF58+AF59+AF60-AF108</f>
        <v>0</v>
      </c>
      <c r="AG116" s="256">
        <f>AG37+AG38+AG57+AG39+AG40+AG42+AG56+AG41+AG43+AG44+AG45+AG46+AG47+AG48+AG49+AG61+AG62+AG64+AG63+AG50+AG51+AG52+AG53+AG54+AG55+AG58+AG59+AG60-AG108</f>
        <v>0</v>
      </c>
      <c r="AH116" s="256">
        <f>AH37+AH38+AH57+AH39+AH40+AH42+AH56+AH41+AH43+AH44+AH45+AH46+AH47+AH48+AH49+AH61+AH62+AH64+AH63+AH50+AH51+AH52+AH53+AH54+AH55+AH58+AH59+AH60-AH108</f>
        <v>0</v>
      </c>
      <c r="AI116" s="256">
        <f>AI37+AI38+AI57+AI39+AI40+AI42+AI56+AI41+AI43+AI44+AI45+AI46+AI47+AI48+AI49+AI61+AI62+AI64+AI63+AI50+AI51+AI52+AI53+AI54+AI55+AI58+AI59+AI60-AI108</f>
        <v>0</v>
      </c>
      <c r="AJ116" s="256">
        <f>AJ37+AJ38+AJ57+AJ39+AJ40+AJ42+AJ56+AJ41+AJ43+AJ44+AJ45+AJ46+AJ47+AJ48+AJ49+AJ61+AJ62+AJ64+AJ63+AJ50+AJ51+AJ52+AJ53+AJ54+AJ55+AJ58+AJ59+AJ60-AJ108</f>
        <v>0</v>
      </c>
    </row>
    <row r="117">
      <c r="G117" t="inlineStr">
        <is>
          <t>moeda</t>
        </is>
      </c>
      <c r="H117" t="inlineStr">
        <is>
          <t>CHECK: passivo (cod 23-34) - total do passivo</t>
        </is>
      </c>
      <c r="J117" t="inlineStr">
        <is>
          <t>derivada</t>
        </is>
      </c>
      <c r="K117" s="256">
        <f>K69+K70+K71+K72+K74+K68+K75+K76+K77+K78+K65+K66+K67+K79+K80+K81+K73+K83+K82+K84+K85+K86+K87+K88+K89+K90+K91+K92-K110</f>
        <v>0</v>
      </c>
      <c r="L117" s="256">
        <f>L69+L70+L71+L72+L74+L68+L75+L76+L77+L78+L65+L66+L67+L79+L80+L81+L73+L83+L82+L84+L85+L86+L87+L88+L89+L90+L91+L92-L110</f>
        <v>0</v>
      </c>
      <c r="M117" s="256">
        <f>M69+M70+M71+M72+M74+M68+M75+M76+M77+M78+M65+M66+M67+M79+M80+M81+M73+M83+M82+M84+M85+M86+M87+M88+M89+M90+M91+M92-M110</f>
        <v>0</v>
      </c>
      <c r="N117" s="256">
        <f>N69+N70+N71+N72+N74+N68+N75+N76+N77+N78+N65+N66+N67+N79+N80+N81+N73+N83+N82+N84+N85+N86+N87+N88+N89+N90+N91+N92-N110</f>
        <v>0</v>
      </c>
      <c r="O117" s="256">
        <f>O69+O70+O71+O72+O74+O68+O75+O76+O77+O78+O65+O66+O67+O79+O80+O81+O73+O83+O82+O84+O85+O86+O87+O88+O89+O90+O91+O92-O110</f>
        <v>0</v>
      </c>
      <c r="P117" s="256">
        <f>P69+P70+P71+P72+P74+P68+P75+P76+P77+P78+P65+P66+P67+P79+P80+P81+P73+P83+P82+P84+P85+P86+P87+P88+P89+P90+P91+P92-P110</f>
        <v>0</v>
      </c>
      <c r="Q117" s="256">
        <f>Q69+Q70+Q71+Q72+Q74+Q68+Q75+Q76+Q77+Q78+Q65+Q66+Q67+Q79+Q80+Q81+Q73+Q83+Q82+Q84+Q85+Q86+Q87+Q88+Q89+Q90+Q91+Q92-Q110</f>
        <v>0</v>
      </c>
      <c r="R117" s="256">
        <f>R69+R70+R71+R72+R74+R68+R75+R76+R77+R78+R65+R66+R67+R79+R80+R81+R73+R83+R82+R84+R85+R86+R87+R88+R89+R90+R91+R92-R110</f>
        <v>0</v>
      </c>
      <c r="S117" s="256">
        <f>S69+S70+S71+S72+S74+S68+S75+S76+S77+S78+S65+S66+S67+S79+S80+S81+S73+S83+S82+S84+S85+S86+S87+S88+S89+S90+S91+S92-S110</f>
        <v>0</v>
      </c>
      <c r="T117" s="256">
        <f>T69+T70+T71+T72+T74+T68+T75+T76+T77+T78+T65+T66+T67+T79+T80+T81+T73+T83+T82+T84+T85+T86+T87+T88+T89+T90+T91+T92-T110</f>
        <v>0</v>
      </c>
      <c r="U117" s="256">
        <f>U69+U70+U71+U72+U74+U68+U75+U76+U77+U78+U65+U66+U67+U79+U80+U81+U73+U83+U82+U84+U85+U86+U87+U88+U89+U90+U91+U92-U110</f>
        <v>0</v>
      </c>
      <c r="V117" s="256">
        <f>V69+V70+V71+V72+V74+V68+V75+V76+V77+V78+V65+V66+V67+V79+V80+V81+V73+V83+V82+V84+V85+V86+V87+V88+V89+V90+V91+V92-V110</f>
        <v>0</v>
      </c>
      <c r="W117" s="256">
        <f>W69+W70+W71+W72+W74+W68+W75+W76+W77+W78+W65+W66+W67+W79+W80+W81+W73+W83+W82+W84+W85+W86+W87+W88+W89+W90+W91+W92-W110</f>
        <v>0</v>
      </c>
      <c r="X117" s="256">
        <f>X69+X70+X71+X72+X74+X68+X75+X76+X77+X78+X65+X66+X67+X79+X80+X81+X73+X83+X82+X84+X85+X86+X87+X88+X89+X90+X91+X92-X110</f>
        <v>0</v>
      </c>
      <c r="Y117" s="256">
        <f>Y69+Y70+Y71+Y72+Y74+Y68+Y75+Y76+Y77+Y78+Y65+Y66+Y67+Y79+Y80+Y81+Y73+Y83+Y82+Y84+Y85+Y86+Y87+Y88+Y89+Y90+Y91+Y92-Y110</f>
        <v>0</v>
      </c>
      <c r="Z117" s="256">
        <f>Z69+Z70+Z71+Z72+Z74+Z68+Z75+Z76+Z77+Z78+Z65+Z66+Z67+Z79+Z80+Z81+Z73+Z83+Z82+Z84+Z85+Z86+Z87+Z88+Z89+Z90+Z91+Z92-Z110</f>
        <v>0</v>
      </c>
      <c r="AA117" s="256">
        <f>AA69+AA70+AA71+AA72+AA74+AA68+AA75+AA76+AA77+AA78+AA65+AA66+AA67+AA79+AA80+AA81+AA73+AA83+AA82+AA84+AA85+AA86+AA87+AA88+AA89+AA90+AA91+AA92-AA110</f>
        <v>0</v>
      </c>
      <c r="AB117" s="256">
        <f>AB69+AB70+AB71+AB72+AB74+AB68+AB75+AB76+AB77+AB78+AB65+AB66+AB67+AB79+AB80+AB81+AB73+AB83+AB82+AB84+AB85+AB86+AB87+AB88+AB89+AB90+AB91+AB92-AB110</f>
        <v>0</v>
      </c>
      <c r="AC117" s="256">
        <f>AC69+AC70+AC71+AC72+AC74+AC68+AC75+AC76+AC77+AC78+AC65+AC66+AC67+AC79+AC80+AC81+AC73+AC83+AC82+AC84+AC85+AC86+AC87+AC88+AC89+AC90+AC91+AC92-AC110</f>
        <v>0</v>
      </c>
      <c r="AD117" s="256">
        <f>AD69+AD70+AD71+AD72+AD74+AD68+AD75+AD76+AD77+AD78+AD65+AD66+AD67+AD79+AD80+AD81+AD73+AD83+AD82+AD84+AD85+AD86+AD87+AD88+AD89+AD90+AD91+AD92-AD110</f>
        <v>0</v>
      </c>
      <c r="AE117" s="256">
        <f>AE69+AE70+AE71+AE72+AE74+AE68+AE75+AE76+AE77+AE78+AE65+AE66+AE67+AE79+AE80+AE81+AE73+AE83+AE82+AE84+AE85+AE86+AE87+AE88+AE89+AE90+AE91+AE92-AE110</f>
        <v>0</v>
      </c>
      <c r="AF117" s="256">
        <f>AF69+AF70+AF71+AF72+AF74+AF68+AF75+AF76+AF77+AF78+AF65+AF66+AF67+AF79+AF80+AF81+AF73+AF83+AF82+AF84+AF85+AF86+AF87+AF88+AF89+AF90+AF91+AF92-AF110</f>
        <v>0</v>
      </c>
      <c r="AG117" s="256">
        <f>AG69+AG70+AG71+AG72+AG74+AG68+AG75+AG76+AG77+AG78+AG65+AG66+AG67+AG79+AG80+AG81+AG73+AG83+AG82+AG84+AG85+AG86+AG87+AG88+AG89+AG90+AG91+AG92-AG110</f>
        <v>0</v>
      </c>
      <c r="AH117" s="256">
        <f>AH69+AH70+AH71+AH72+AH74+AH68+AH75+AH76+AH77+AH78+AH65+AH66+AH67+AH79+AH80+AH81+AH73+AH83+AH82+AH84+AH85+AH86+AH87+AH88+AH89+AH90+AH91+AH92-AH110</f>
        <v>0</v>
      </c>
      <c r="AI117" s="256">
        <f>AI69+AI70+AI71+AI72+AI74+AI68+AI75+AI76+AI77+AI78+AI65+AI66+AI67+AI79+AI80+AI81+AI73+AI83+AI82+AI84+AI85+AI86+AI87+AI88+AI89+AI90+AI91+AI92-AI110</f>
        <v>0</v>
      </c>
      <c r="AJ117" s="256">
        <f>AJ69+AJ70+AJ71+AJ72+AJ74+AJ68+AJ75+AJ76+AJ77+AJ78+AJ65+AJ66+AJ67+AJ79+AJ80+AJ81+AJ73+AJ83+AJ82+AJ84+AJ85+AJ86+AJ87+AJ88+AJ89+AJ90+AJ91+AJ92-AJ110</f>
        <v>0</v>
      </c>
    </row>
    <row r="118">
      <c r="G118" t="inlineStr">
        <is>
          <t>moeda</t>
        </is>
      </c>
      <c r="H118" t="inlineStr">
        <is>
          <t>CHECK: PL (cod 35-41) - total do PL</t>
        </is>
      </c>
      <c r="J118" t="inlineStr">
        <is>
          <t>derivada</t>
        </is>
      </c>
      <c r="K118" s="256">
        <f>K105+K93+K94+K95+K104+K102+K96+K97+K98+K100+K103+K99+K101-K111</f>
        <v>0</v>
      </c>
      <c r="L118" s="256">
        <f>L105+L93+L94+L95+L104+L102+L96+L97+L98+L100+L103+L99+L101-L111</f>
        <v>0</v>
      </c>
      <c r="M118" s="256">
        <f>M105+M93+M94+M95+M104+M102+M96+M97+M98+M100+M103+M99+M101-M111</f>
        <v>0</v>
      </c>
      <c r="N118" s="256">
        <f>N105+N93+N94+N95+N104+N102+N96+N97+N98+N100+N103+N99+N101-N111</f>
        <v>0</v>
      </c>
      <c r="O118" s="256">
        <f>O105+O93+O94+O95+O104+O102+O96+O97+O98+O100+O103+O99+O101-O111</f>
        <v>0</v>
      </c>
      <c r="P118" s="256">
        <f>P105+P93+P94+P95+P104+P102+P96+P97+P98+P100+P103+P99+P101-P111</f>
        <v>0</v>
      </c>
      <c r="Q118" s="256">
        <f>Q105+Q93+Q94+Q95+Q104+Q102+Q96+Q97+Q98+Q100+Q103+Q99+Q101-Q111</f>
        <v>0</v>
      </c>
      <c r="R118" s="256">
        <f>R105+R93+R94+R95+R104+R102+R96+R97+R98+R100+R103+R99+R101-R111</f>
        <v>0</v>
      </c>
      <c r="S118" s="256">
        <f>S105+S93+S94+S95+S104+S102+S96+S97+S98+S100+S103+S99+S101-S111</f>
        <v>0</v>
      </c>
      <c r="T118" s="256">
        <f>T105+T93+T94+T95+T104+T102+T96+T97+T98+T100+T103+T99+T101-T111</f>
        <v>0</v>
      </c>
      <c r="U118" s="256">
        <f>U105+U93+U94+U95+U104+U102+U96+U97+U98+U100+U103+U99+U101-U111</f>
        <v>0</v>
      </c>
      <c r="V118" s="256">
        <f>V105+V93+V94+V95+V104+V102+V96+V97+V98+V100+V103+V99+V101-V111</f>
        <v>0</v>
      </c>
      <c r="W118" s="256">
        <f>W105+W93+W94+W95+W104+W102+W96+W97+W98+W100+W103+W99+W101-W111</f>
        <v>0</v>
      </c>
      <c r="X118" s="256">
        <f>X105+X93+X94+X95+X104+X102+X96+X97+X98+X100+X103+X99+X101-X111</f>
        <v>0</v>
      </c>
      <c r="Y118" s="256">
        <f>Y105+Y93+Y94+Y95+Y104+Y102+Y96+Y97+Y98+Y100+Y103+Y99+Y101-Y111</f>
        <v>0</v>
      </c>
      <c r="Z118" s="256">
        <f>Z105+Z93+Z94+Z95+Z104+Z102+Z96+Z97+Z98+Z100+Z103+Z99+Z101-Z111</f>
        <v>0</v>
      </c>
      <c r="AA118" s="256">
        <f>AA105+AA93+AA94+AA95+AA104+AA102+AA96+AA97+AA98+AA100+AA103+AA99+AA101-AA111</f>
        <v>0</v>
      </c>
      <c r="AB118" s="256">
        <f>AB105+AB93+AB94+AB95+AB104+AB102+AB96+AB97+AB98+AB100+AB103+AB99+AB101-AB111</f>
        <v>0</v>
      </c>
      <c r="AC118" s="256">
        <f>AC105+AC93+AC94+AC95+AC104+AC102+AC96+AC97+AC98+AC100+AC103+AC99+AC101-AC111</f>
        <v>0</v>
      </c>
      <c r="AD118" s="256">
        <f>AD105+AD93+AD94+AD95+AD104+AD102+AD96+AD97+AD98+AD100+AD103+AD99+AD101-AD111</f>
        <v>0</v>
      </c>
      <c r="AE118" s="256">
        <f>AE105+AE93+AE94+AE95+AE104+AE102+AE96+AE97+AE98+AE100+AE103+AE99+AE101-AE111</f>
        <v>0</v>
      </c>
      <c r="AF118" s="256">
        <f>AF105+AF93+AF94+AF95+AF104+AF102+AF96+AF97+AF98+AF100+AF103+AF99+AF101-AF111</f>
        <v>0</v>
      </c>
      <c r="AG118" s="256">
        <f>AG105+AG93+AG94+AG95+AG104+AG102+AG96+AG97+AG98+AG100+AG103+AG99+AG101-AG111</f>
        <v>0</v>
      </c>
      <c r="AH118" s="256">
        <f>AH105+AH93+AH94+AH95+AH104+AH102+AH96+AH97+AH98+AH100+AH103+AH99+AH101-AH111</f>
        <v>0</v>
      </c>
      <c r="AI118" s="256">
        <f>AI105+AI93+AI94+AI95+AI104+AI102+AI96+AI97+AI98+AI100+AI103+AI99+AI101-AI111</f>
        <v>0</v>
      </c>
      <c r="AJ118" s="256">
        <f>AJ105+AJ93+AJ94+AJ95+AJ104+AJ102+AJ96+AJ97+AJ98+AJ100+AJ103+AJ99+AJ101-AJ111</f>
        <v>0</v>
      </c>
    </row>
    <row r="119">
      <c r="H119" t="inlineStr">
        <is>
          <t>[vazio] cod 20 Goodwill: o agio esta dentro do Intangivel na fonte (cod 21); nao aberto no balanco</t>
        </is>
      </c>
    </row>
    <row r="120">
      <c r="H120" t="inlineStr">
        <is>
          <t>[vazio] cod 28 Short term debt (revolving): sem linha propria; emprestimos e debentures CP estao no cod 27</t>
        </is>
      </c>
    </row>
    <row r="121">
      <c r="H121" t="inlineStr">
        <is>
          <t>[vazio] cod 32 Convertible debt: inexistente</t>
        </is>
      </c>
    </row>
    <row r="122">
      <c r="H122" t="inlineStr">
        <is>
          <t>[vazio] cod 36 Convertible Preferred Stock: inexistente</t>
        </is>
      </c>
    </row>
    <row r="124">
      <c r="H124" s="250" t="inlineStr">
        <is>
          <t>RECEITA BRUTA POR NEGOCIO (R$ mil; aba "Outras Informacoes"). 2T23 vazio: a aba Combinada so traz o 2T23 pro forma. Codigos 45-55 = memoria, nao entram nos codigos 1-41</t>
        </is>
      </c>
    </row>
    <row r="125">
      <c r="A125" t="n">
        <v>45</v>
      </c>
      <c r="B125" t="n">
        <v>1</v>
      </c>
      <c r="G125" t="inlineStr">
        <is>
          <t>moeda</t>
        </is>
      </c>
      <c r="H125" t="inlineStr">
        <is>
          <t>Marca Fleury | Fleury OI l.13 / Combinada OI l.11</t>
        </is>
      </c>
      <c r="J125" t="inlineStr">
        <is>
          <t>fonte</t>
        </is>
      </c>
      <c r="K125" s="256" t="n">
        <v>322197.1920574691</v>
      </c>
      <c r="L125" s="256" t="n">
        <v>186347.8512371316</v>
      </c>
      <c r="M125" s="256" t="n">
        <v>385743.3660844907</v>
      </c>
      <c r="N125" s="256" t="n">
        <v>409801.6607500009</v>
      </c>
      <c r="O125" s="256" t="n">
        <v>390315.6867368657</v>
      </c>
      <c r="P125" s="256" t="n">
        <v>393473.6494699999</v>
      </c>
      <c r="Q125" s="256" t="n">
        <v>430289.5247282645</v>
      </c>
      <c r="R125" s="256" t="n">
        <v>420125.3551947999</v>
      </c>
      <c r="S125" s="256" t="n">
        <v>460881.3614399999</v>
      </c>
      <c r="T125" s="256" t="n">
        <v>447893.5039270765</v>
      </c>
      <c r="U125" s="256" t="n">
        <v>467536.305</v>
      </c>
      <c r="V125" s="256" t="n">
        <v>441225.25712</v>
      </c>
      <c r="W125" s="256" t="n">
        <v>513382.763</v>
      </c>
      <c r="X125" s="256" t="n"/>
      <c r="Y125" s="256" t="n">
        <v>516365.38311</v>
      </c>
      <c r="Z125" s="256" t="n">
        <v>461316.368</v>
      </c>
      <c r="AA125" s="256" t="n">
        <v>524271.5708099999</v>
      </c>
      <c r="AB125" s="256" t="n">
        <v>537839.508303141</v>
      </c>
      <c r="AC125" s="256" t="n">
        <v>522393.136</v>
      </c>
      <c r="AD125" s="256" t="n">
        <v>505176.84355</v>
      </c>
      <c r="AE125" s="256" t="n">
        <v>554136.73</v>
      </c>
      <c r="AF125" s="256" t="n">
        <v>560847.492</v>
      </c>
      <c r="AG125" s="256" t="n">
        <v>586022.7394450179</v>
      </c>
      <c r="AH125" s="256" t="n">
        <v>548688.2819527829</v>
      </c>
      <c r="AI125" s="256" t="n">
        <v>621154.9134354333</v>
      </c>
      <c r="AJ125" s="256" t="n">
        <v>627978.348</v>
      </c>
    </row>
    <row r="126">
      <c r="A126" t="n">
        <v>46</v>
      </c>
      <c r="B126" t="n">
        <v>1</v>
      </c>
      <c r="G126" t="inlineStr">
        <is>
          <t>moeda</t>
        </is>
      </c>
      <c r="H126" t="inlineStr">
        <is>
          <t>Outras Marcas SP (release: Demais Marcas SP) | Fleury OI l.14 / Combinada OI l.12</t>
        </is>
      </c>
      <c r="J126" t="inlineStr">
        <is>
          <t>fonte</t>
        </is>
      </c>
      <c r="K126" s="256" t="n">
        <v>104417.2053711209</v>
      </c>
      <c r="L126" s="256" t="n">
        <v>60314.09502141891</v>
      </c>
      <c r="M126" s="256" t="n">
        <v>129863.3250941172</v>
      </c>
      <c r="N126" s="256" t="n">
        <v>126113.87746</v>
      </c>
      <c r="O126" s="256" t="n">
        <v>129339.6060527378</v>
      </c>
      <c r="P126" s="256" t="n">
        <v>134228.10704</v>
      </c>
      <c r="Q126" s="256" t="n">
        <v>138416.11284</v>
      </c>
      <c r="R126" s="256" t="n">
        <v>133767.57361</v>
      </c>
      <c r="S126" s="256" t="n">
        <v>151038.67056</v>
      </c>
      <c r="T126" s="256" t="n">
        <v>156341.4205210049</v>
      </c>
      <c r="U126" s="256" t="n">
        <v>165446.23</v>
      </c>
      <c r="V126" s="256" t="n">
        <v>151836.198</v>
      </c>
      <c r="W126" s="256" t="n">
        <v>178979.496</v>
      </c>
      <c r="X126" s="256" t="n"/>
      <c r="Y126" s="256" t="n">
        <v>247762.14341</v>
      </c>
      <c r="Z126" s="256" t="n">
        <v>222190.043</v>
      </c>
      <c r="AA126" s="256" t="n">
        <v>260104.8470162748</v>
      </c>
      <c r="AB126" s="256" t="n">
        <v>275116.4109525984</v>
      </c>
      <c r="AC126" s="256" t="n">
        <v>272523.471</v>
      </c>
      <c r="AD126" s="256" t="n">
        <v>252227.4422970014</v>
      </c>
      <c r="AE126" s="256" t="n">
        <v>284972.37</v>
      </c>
      <c r="AF126" s="256" t="n">
        <v>292180.676</v>
      </c>
      <c r="AG126" s="256" t="n">
        <v>346355.9751550285</v>
      </c>
      <c r="AH126" s="256" t="n">
        <v>316543.4830000001</v>
      </c>
      <c r="AI126" s="256" t="n">
        <v>364963.9678824909</v>
      </c>
      <c r="AJ126" s="256" t="n">
        <v>373079.278</v>
      </c>
    </row>
    <row r="127">
      <c r="A127" t="n">
        <v>47</v>
      </c>
      <c r="B127" t="n">
        <v>1</v>
      </c>
      <c r="G127" t="inlineStr">
        <is>
          <t>moeda</t>
        </is>
      </c>
      <c r="H127" t="inlineStr">
        <is>
          <t>Marcas Rio de Janeiro | Fleury OI l.15 / Combinada OI l.25</t>
        </is>
      </c>
      <c r="J127" t="inlineStr">
        <is>
          <t>fonte</t>
        </is>
      </c>
      <c r="K127" s="256" t="n">
        <v>125611.2253746781</v>
      </c>
      <c r="L127" s="256" t="n">
        <v>68507.91202031249</v>
      </c>
      <c r="M127" s="256" t="n">
        <v>156931.9157480746</v>
      </c>
      <c r="N127" s="256" t="n">
        <v>159757.3452699994</v>
      </c>
      <c r="O127" s="256" t="n">
        <v>155201.1222080903</v>
      </c>
      <c r="P127" s="256" t="n">
        <v>158687.0364799993</v>
      </c>
      <c r="Q127" s="256" t="n">
        <v>159760.6827799997</v>
      </c>
      <c r="R127" s="256" t="n">
        <v>145987.4766299998</v>
      </c>
      <c r="S127" s="256" t="n">
        <v>159521.7954099997</v>
      </c>
      <c r="T127" s="256" t="n">
        <v>171349.6721989419</v>
      </c>
      <c r="U127" s="256" t="n">
        <v>179385.965</v>
      </c>
      <c r="V127" s="256" t="n">
        <v>167181.327</v>
      </c>
      <c r="W127" s="256" t="n">
        <v>187006.096</v>
      </c>
      <c r="X127" s="256" t="n"/>
      <c r="Y127" s="256" t="n">
        <v>232984.65544</v>
      </c>
      <c r="Z127" s="256" t="n">
        <v>201689.043</v>
      </c>
      <c r="AA127" s="256" t="n">
        <v>217491.7234340359</v>
      </c>
      <c r="AB127" s="256" t="n">
        <v>239352.0983449721</v>
      </c>
      <c r="AC127" s="256" t="n">
        <v>241885.631</v>
      </c>
      <c r="AD127" s="256" t="n">
        <v>213783.9144830121</v>
      </c>
      <c r="AE127" s="256" t="n">
        <v>235788.503</v>
      </c>
      <c r="AF127" s="256" t="n">
        <v>258331.341</v>
      </c>
      <c r="AG127" s="256" t="n">
        <v>267138.5047786809</v>
      </c>
      <c r="AH127" s="256" t="n">
        <v>244001.99</v>
      </c>
      <c r="AI127" s="256" t="n">
        <v>257539.5388405001</v>
      </c>
      <c r="AJ127" s="256" t="n">
        <v>281271.38</v>
      </c>
    </row>
    <row r="128">
      <c r="A128" t="n">
        <v>48</v>
      </c>
      <c r="B128" t="n">
        <v>1</v>
      </c>
      <c r="G128" t="inlineStr">
        <is>
          <t>moeda</t>
        </is>
      </c>
      <c r="H128" t="inlineStr">
        <is>
          <t>Marcas MG | Fleury OI l.16 / Combinada OI l.37</t>
        </is>
      </c>
      <c r="J128" t="inlineStr">
        <is>
          <t>fonte</t>
        </is>
      </c>
      <c r="K128" s="256" t="n">
        <v>0</v>
      </c>
      <c r="L128" s="256" t="n">
        <v>0</v>
      </c>
      <c r="M128" s="256" t="n">
        <v>0</v>
      </c>
      <c r="N128" s="256" t="n">
        <v>0</v>
      </c>
      <c r="O128" s="256" t="n">
        <v>0</v>
      </c>
      <c r="P128" s="256" t="n">
        <v>0</v>
      </c>
      <c r="Q128" s="256" t="n">
        <v>0</v>
      </c>
      <c r="R128" s="256" t="n">
        <v>0</v>
      </c>
      <c r="S128" s="256" t="n">
        <v>0</v>
      </c>
      <c r="T128" s="256" t="n">
        <v>0</v>
      </c>
      <c r="U128" s="256" t="n">
        <v>0</v>
      </c>
      <c r="V128" s="256" t="n">
        <v>8506.9792</v>
      </c>
      <c r="W128" s="256" t="n">
        <v>9993.879000000001</v>
      </c>
      <c r="X128" s="256" t="n"/>
      <c r="Y128" s="256" t="n">
        <v>146853.65603985</v>
      </c>
      <c r="Z128" s="256" t="n">
        <v>139428.568</v>
      </c>
      <c r="AA128" s="256" t="n">
        <v>163046.7004264171</v>
      </c>
      <c r="AB128" s="256" t="n">
        <v>163888.1055767528</v>
      </c>
      <c r="AC128" s="256" t="n">
        <v>162345.725</v>
      </c>
      <c r="AD128" s="256" t="n">
        <v>152069.0366701734</v>
      </c>
      <c r="AE128" s="256" t="n">
        <v>168573.027</v>
      </c>
      <c r="AF128" s="256" t="n">
        <v>172094.632</v>
      </c>
      <c r="AG128" s="256" t="n">
        <v>187584.2988682157</v>
      </c>
      <c r="AH128" s="256" t="n">
        <v>184394.027</v>
      </c>
      <c r="AI128" s="256" t="n">
        <v>201793.7090395729</v>
      </c>
      <c r="AJ128" s="256" t="n">
        <v>205113.35</v>
      </c>
    </row>
    <row r="129">
      <c r="A129" t="n">
        <v>49</v>
      </c>
      <c r="B129" t="n">
        <v>1</v>
      </c>
      <c r="G129" t="inlineStr">
        <is>
          <t>moeda</t>
        </is>
      </c>
      <c r="H129" t="inlineStr">
        <is>
          <t>Marcas Regionais | Fleury OI l.17 / Combinada OI l.50</t>
        </is>
      </c>
      <c r="J129" t="inlineStr">
        <is>
          <t>fonte</t>
        </is>
      </c>
      <c r="K129" s="256" t="n">
        <v>89115.81365767081</v>
      </c>
      <c r="L129" s="256" t="n">
        <v>55760.0280116218</v>
      </c>
      <c r="M129" s="256" t="n">
        <v>101706.942393195</v>
      </c>
      <c r="N129" s="256" t="n">
        <v>115955.8259</v>
      </c>
      <c r="O129" s="256" t="n">
        <v>106827.649419352</v>
      </c>
      <c r="P129" s="256" t="n">
        <v>107263.47615</v>
      </c>
      <c r="Q129" s="256" t="n">
        <v>109393.5775</v>
      </c>
      <c r="R129" s="256" t="n">
        <v>141590.59045</v>
      </c>
      <c r="S129" s="256" t="n">
        <v>148502.178229443</v>
      </c>
      <c r="T129" s="256" t="n">
        <v>160663.1079969094</v>
      </c>
      <c r="U129" s="256" t="n">
        <v>174007.403</v>
      </c>
      <c r="V129" s="256" t="n">
        <v>156722.36188</v>
      </c>
      <c r="W129" s="256" t="n">
        <v>172357.8786</v>
      </c>
      <c r="X129" s="256" t="n"/>
      <c r="Y129" s="256" t="n">
        <v>221457.4550801203</v>
      </c>
      <c r="Z129" s="256" t="n">
        <v>201105.045</v>
      </c>
      <c r="AA129" s="256" t="n">
        <v>212529.5304624509</v>
      </c>
      <c r="AB129" s="256" t="n">
        <v>218365.6897183711</v>
      </c>
      <c r="AC129" s="256" t="n">
        <v>234342.798</v>
      </c>
      <c r="AD129" s="256" t="n">
        <v>230446.6875230729</v>
      </c>
      <c r="AE129" s="256" t="n">
        <v>242430.4259999999</v>
      </c>
      <c r="AF129" s="256" t="n">
        <v>254313.886</v>
      </c>
      <c r="AG129" s="256" t="n">
        <v>275621.2030335727</v>
      </c>
      <c r="AH129" s="256" t="n">
        <v>241983.079</v>
      </c>
      <c r="AI129" s="256" t="n">
        <v>264269.3341312257</v>
      </c>
      <c r="AJ129" s="256" t="n">
        <v>280261.26</v>
      </c>
    </row>
    <row r="130">
      <c r="A130" t="n">
        <v>50</v>
      </c>
      <c r="B130" t="n">
        <v>1</v>
      </c>
      <c r="G130" t="inlineStr">
        <is>
          <t>moeda</t>
        </is>
      </c>
      <c r="H130" t="inlineStr">
        <is>
          <t>B2B | Fleury OI l.18 / Combinada OI l.91</t>
        </is>
      </c>
      <c r="J130" t="inlineStr">
        <is>
          <t>fonte</t>
        </is>
      </c>
      <c r="K130" s="256" t="n">
        <v>123546.9115768934</v>
      </c>
      <c r="L130" s="256" t="n">
        <v>113716.5804493831</v>
      </c>
      <c r="M130" s="256" t="n">
        <v>156088.89868557</v>
      </c>
      <c r="N130" s="256" t="n">
        <v>175142.8185000003</v>
      </c>
      <c r="O130" s="256" t="n">
        <v>168726.3655572332</v>
      </c>
      <c r="P130" s="256" t="n">
        <v>170377.53754</v>
      </c>
      <c r="Q130" s="256" t="n">
        <v>182922.07006</v>
      </c>
      <c r="R130" s="256" t="n">
        <v>172433.53089</v>
      </c>
      <c r="S130" s="256" t="n">
        <v>174203.19546</v>
      </c>
      <c r="T130" s="256" t="n">
        <v>171748.2168963162</v>
      </c>
      <c r="U130" s="256" t="n">
        <v>146603.407</v>
      </c>
      <c r="V130" s="256" t="n">
        <v>129838.387</v>
      </c>
      <c r="W130" s="256" t="n">
        <v>121832.221</v>
      </c>
      <c r="X130" s="256" t="n"/>
      <c r="Y130" s="256" t="n">
        <v>462554.2508200001</v>
      </c>
      <c r="Z130" s="256" t="n">
        <v>441410.801</v>
      </c>
      <c r="AA130" s="256" t="n">
        <v>489420.5598290699</v>
      </c>
      <c r="AB130" s="256" t="n">
        <v>501640.815262192</v>
      </c>
      <c r="AC130" s="256" t="n">
        <v>501259.219</v>
      </c>
      <c r="AD130" s="256" t="n">
        <v>465728.8859999999</v>
      </c>
      <c r="AE130" s="256" t="n">
        <v>480049.79</v>
      </c>
      <c r="AF130" s="256" t="n">
        <v>485926.475</v>
      </c>
      <c r="AG130" s="256" t="n">
        <v>511573.0795156034</v>
      </c>
      <c r="AH130" s="256" t="n">
        <v>485007.49</v>
      </c>
      <c r="AI130" s="256" t="n">
        <v>506496.7530971781</v>
      </c>
      <c r="AJ130" s="256" t="n">
        <v>545082.4450000001</v>
      </c>
    </row>
    <row r="131">
      <c r="A131" t="n">
        <v>51</v>
      </c>
      <c r="B131" t="n">
        <v>1</v>
      </c>
      <c r="G131" t="inlineStr">
        <is>
          <t>moeda</t>
        </is>
      </c>
      <c r="H131" t="inlineStr">
        <is>
          <t>Novos Elos e Plataformas de Saude (Fleury: linha unica; Combinada: Novos Elos + Plataformas) | Fleury OI l.19 / Combinada OI l.74</t>
        </is>
      </c>
      <c r="J131" t="inlineStr">
        <is>
          <t>fonte</t>
        </is>
      </c>
      <c r="K131" s="256" t="n">
        <v>5718.156890546399</v>
      </c>
      <c r="L131" s="256" t="n">
        <v>7550.828866737879</v>
      </c>
      <c r="M131" s="256" t="n">
        <v>13511.03897</v>
      </c>
      <c r="N131" s="256" t="n">
        <v>13771.26534</v>
      </c>
      <c r="O131" s="256" t="n">
        <v>13859.16205</v>
      </c>
      <c r="P131" s="256" t="n">
        <v>41102.53789000001</v>
      </c>
      <c r="Q131" s="256" t="n">
        <v>86668.21253173554</v>
      </c>
      <c r="R131" s="256" t="n">
        <v>81656.5942752</v>
      </c>
      <c r="S131" s="256" t="n">
        <v>79260.90508</v>
      </c>
      <c r="T131" s="256" t="n">
        <v>88385.61580780265</v>
      </c>
      <c r="U131" s="256" t="n">
        <v>101369.994</v>
      </c>
      <c r="V131" s="256" t="n">
        <v>143717.03405</v>
      </c>
      <c r="W131" s="256" t="n">
        <v>146853.54669</v>
      </c>
      <c r="X131" s="256" t="n"/>
      <c r="Y131" s="256" t="n">
        <v>170035.810886</v>
      </c>
      <c r="Z131" s="256" t="n">
        <v>154776.833</v>
      </c>
      <c r="AA131" s="256" t="n">
        <v>171182.634253</v>
      </c>
      <c r="AB131" s="256" t="n">
        <v>180985.20372</v>
      </c>
      <c r="AC131" s="256" t="n">
        <v>183717.552</v>
      </c>
      <c r="AD131" s="256" t="n">
        <v>160048.93761</v>
      </c>
      <c r="AE131" s="256" t="n">
        <v>204873.019</v>
      </c>
      <c r="AF131" s="256" t="n">
        <v>156045.571</v>
      </c>
      <c r="AG131" s="256" t="n">
        <v>186709.7897044365</v>
      </c>
      <c r="AH131" s="256" t="n">
        <v>198683.613</v>
      </c>
      <c r="AI131" s="256" t="n">
        <v>175039.8556898407</v>
      </c>
      <c r="AJ131" s="256" t="n">
        <v>180325.225</v>
      </c>
    </row>
    <row r="132">
      <c r="A132" t="n">
        <v>51</v>
      </c>
      <c r="B132" t="n">
        <v>1</v>
      </c>
      <c r="G132" t="inlineStr">
        <is>
          <t>moeda</t>
        </is>
      </c>
      <c r="H132" t="inlineStr">
        <is>
          <t>Plataformas de saude (so na aba Combinada; soma no cod 51) | Fleury OI l.None / Combinada OI l.90</t>
        </is>
      </c>
      <c r="J132" t="inlineStr">
        <is>
          <t>fonte</t>
        </is>
      </c>
      <c r="K132" s="256" t="n"/>
      <c r="L132" s="256" t="n"/>
      <c r="M132" s="256" t="n"/>
      <c r="N132" s="256" t="n"/>
      <c r="O132" s="256" t="n"/>
      <c r="P132" s="256" t="n"/>
      <c r="Q132" s="256" t="n"/>
      <c r="R132" s="256" t="n"/>
      <c r="S132" s="256" t="n"/>
      <c r="T132" s="256" t="n"/>
      <c r="U132" s="256" t="n"/>
      <c r="V132" s="256" t="n"/>
      <c r="W132" s="256" t="n"/>
      <c r="X132" s="256" t="n"/>
      <c r="Y132" s="256" t="n">
        <v>13006.96938</v>
      </c>
      <c r="Z132" s="256" t="n">
        <v>13466.847</v>
      </c>
      <c r="AA132" s="256" t="n">
        <v>17531.3755</v>
      </c>
      <c r="AB132" s="256" t="n">
        <v>19714.11514</v>
      </c>
      <c r="AC132" s="256" t="n">
        <v>14710.26</v>
      </c>
      <c r="AD132" s="256" t="n">
        <v>14824.594</v>
      </c>
      <c r="AE132" s="256" t="n">
        <v>17617.135</v>
      </c>
      <c r="AF132" s="256" t="n">
        <v>18062.096</v>
      </c>
      <c r="AG132" s="256" t="n">
        <v>17620.5328323896</v>
      </c>
      <c r="AH132" s="256" t="n">
        <v>18864.21</v>
      </c>
      <c r="AI132" s="256" t="n">
        <v>18966.1850374847</v>
      </c>
      <c r="AJ132" s="256" t="n">
        <v>21467.171</v>
      </c>
    </row>
    <row r="133">
      <c r="G133" t="inlineStr">
        <is>
          <t>moeda</t>
        </is>
      </c>
      <c r="H133" t="inlineStr">
        <is>
          <t>Receita bruta total (Outras Informacoes) - memoria</t>
        </is>
      </c>
      <c r="J133" t="inlineStr">
        <is>
          <t>memoria</t>
        </is>
      </c>
      <c r="K133" s="256" t="n">
        <v>770606.5049283789</v>
      </c>
      <c r="L133" s="256" t="n">
        <v>492197.2956066058</v>
      </c>
      <c r="M133" s="256" t="n">
        <v>943845.4869754474</v>
      </c>
      <c r="N133" s="256" t="n">
        <v>1000542.793220001</v>
      </c>
      <c r="O133" s="256" t="n">
        <v>964269.5920242789</v>
      </c>
      <c r="P133" s="256" t="n">
        <v>1005132.344569999</v>
      </c>
      <c r="Q133" s="256" t="n">
        <v>1107450.18044</v>
      </c>
      <c r="R133" s="256" t="n">
        <v>1095561.12105</v>
      </c>
      <c r="S133" s="256" t="n">
        <v>1173408.106179442</v>
      </c>
      <c r="T133" s="256" t="n">
        <v>1196381.537348052</v>
      </c>
      <c r="U133" s="256" t="n">
        <v>1234349.304</v>
      </c>
      <c r="V133" s="256" t="n">
        <v>1199027.54425</v>
      </c>
      <c r="W133" s="256" t="n">
        <v>1330405.88029</v>
      </c>
      <c r="X133" s="256" t="n"/>
      <c r="Y133" s="256" t="n">
        <v>2011020.324165971</v>
      </c>
      <c r="Z133" s="256" t="n">
        <v>1835383.548</v>
      </c>
      <c r="AA133" s="256" t="n">
        <v>2055578.941731249</v>
      </c>
      <c r="AB133" s="256" t="n">
        <v>2136901.947018027</v>
      </c>
      <c r="AC133" s="256" t="n">
        <v>2133177.792</v>
      </c>
      <c r="AD133" s="256" t="n">
        <v>1994306.34213326</v>
      </c>
      <c r="AE133" s="256" t="n">
        <v>2188441</v>
      </c>
      <c r="AF133" s="256" t="n">
        <v>2197802.169</v>
      </c>
      <c r="AG133" s="256" t="n">
        <v>2378626.123332945</v>
      </c>
      <c r="AH133" s="256" t="n">
        <v>2238166.173952783</v>
      </c>
      <c r="AI133" s="256" t="n">
        <v>2410224.257153727</v>
      </c>
      <c r="AJ133" s="256" t="n">
        <v>2514578.457</v>
      </c>
    </row>
    <row r="134">
      <c r="G134" t="inlineStr">
        <is>
          <t>moeda</t>
        </is>
      </c>
      <c r="H134" t="inlineStr">
        <is>
          <t>CHECK: soma dos negocios - receita bruta (deve ser 0)</t>
        </is>
      </c>
      <c r="J134" t="inlineStr">
        <is>
          <t>derivada</t>
        </is>
      </c>
      <c r="K134">
        <f>K125+K126+K127+K128+K129+K130+K131+K132-K133</f>
        <v>0</v>
      </c>
      <c r="L134">
        <f>L125+L126+L127+L128+L129+L130+L131+L132-L133</f>
        <v>0</v>
      </c>
      <c r="M134">
        <f>M125+M126+M127+M128+M129+M130+M131+M132-M133</f>
        <v>0</v>
      </c>
      <c r="N134">
        <f>N125+N126+N127+N128+N129+N130+N131+N132-N133</f>
        <v>0</v>
      </c>
      <c r="O134">
        <f>O125+O126+O127+O128+O129+O130+O131+O132-O133</f>
        <v>0</v>
      </c>
      <c r="P134">
        <f>P125+P126+P127+P128+P129+P130+P131+P132-P133</f>
        <v>0</v>
      </c>
      <c r="Q134">
        <f>Q125+Q126+Q127+Q128+Q129+Q130+Q131+Q132-Q133</f>
        <v>0</v>
      </c>
      <c r="R134">
        <f>R125+R126+R127+R128+R129+R130+R131+R132-R133</f>
        <v>0</v>
      </c>
      <c r="S134">
        <f>S125+S126+S127+S128+S129+S130+S131+S132-S133</f>
        <v>0</v>
      </c>
      <c r="T134">
        <f>T125+T126+T127+T128+T129+T130+T131+T132-T133</f>
        <v>0</v>
      </c>
      <c r="U134">
        <f>U125+U126+U127+U128+U129+U130+U131+U132-U133</f>
        <v>0</v>
      </c>
      <c r="V134">
        <f>V125+V126+V127+V128+V129+V130+V131+V132-V133</f>
        <v>0</v>
      </c>
      <c r="W134">
        <f>W125+W126+W127+W128+W129+W130+W131+W132-W133</f>
        <v>0</v>
      </c>
      <c r="X134">
        <f>X125+X126+X127+X128+X129+X130+X131+X132-X133</f>
        <v>0</v>
      </c>
      <c r="Y134">
        <f>Y125+Y126+Y127+Y128+Y129+Y130+Y131+Y132-Y133</f>
        <v>0</v>
      </c>
      <c r="Z134">
        <f>Z125+Z126+Z127+Z128+Z129+Z130+Z131+Z132-Z133</f>
        <v>0</v>
      </c>
      <c r="AA134">
        <f>AA125+AA126+AA127+AA128+AA129+AA130+AA131+AA132-AA133</f>
        <v>0</v>
      </c>
      <c r="AB134">
        <f>AB125+AB126+AB127+AB128+AB129+AB130+AB131+AB132-AB133</f>
        <v>0</v>
      </c>
      <c r="AC134">
        <f>AC125+AC126+AC127+AC128+AC129+AC130+AC131+AC132-AC133</f>
        <v>0</v>
      </c>
      <c r="AD134">
        <f>AD125+AD126+AD127+AD128+AD129+AD130+AD131+AD132-AD133</f>
        <v>0</v>
      </c>
      <c r="AE134">
        <f>AE125+AE126+AE127+AE128+AE129+AE130+AE131+AE132-AE133</f>
        <v>0</v>
      </c>
      <c r="AF134">
        <f>AF125+AF126+AF127+AF128+AF129+AF130+AF131+AF132-AF133</f>
        <v>0</v>
      </c>
      <c r="AG134">
        <f>AG125+AG126+AG127+AG128+AG129+AG130+AG131+AG132-AG133</f>
        <v>0</v>
      </c>
      <c r="AH134">
        <f>AH125+AH126+AH127+AH128+AH129+AH130+AH131+AH132-AH133</f>
        <v>0</v>
      </c>
      <c r="AI134">
        <f>AI125+AI126+AI127+AI128+AI129+AI130+AI131+AI132-AI133</f>
        <v>0</v>
      </c>
      <c r="AJ134">
        <f>AJ125+AJ126+AJ127+AJ128+AJ129+AJ130+AJ131+AJ132-AJ133</f>
        <v>0</v>
      </c>
    </row>
    <row r="135">
      <c r="A135" t="n">
        <v>52</v>
      </c>
      <c r="B135" t="n">
        <v>1</v>
      </c>
      <c r="G135" t="inlineStr">
        <is>
          <t>moeda</t>
        </is>
      </c>
      <c r="H135" t="inlineStr">
        <is>
          <t>Deducoes da receita - Impostos | Fleury DRE l.12 / Combinada DRE l.9</t>
        </is>
      </c>
      <c r="J135" t="inlineStr">
        <is>
          <t>fonte</t>
        </is>
      </c>
      <c r="K135" s="256" t="n">
        <v>-47638.19535000001</v>
      </c>
      <c r="L135" s="256" t="n">
        <v>-30429.13801</v>
      </c>
      <c r="M135" s="256" t="n">
        <v>-59323.64593</v>
      </c>
      <c r="N135" s="256" t="n">
        <v>-62487.90266</v>
      </c>
      <c r="O135" s="256" t="n">
        <v>-60479.09770000001</v>
      </c>
      <c r="P135" s="256" t="n">
        <v>-62620.90643</v>
      </c>
      <c r="Q135" s="256" t="n">
        <v>-68383.83963</v>
      </c>
      <c r="R135" s="256" t="n">
        <v>-67183.58675999999</v>
      </c>
      <c r="S135" s="256" t="n">
        <v>-72056.93266000001</v>
      </c>
      <c r="T135" s="256" t="n">
        <v>-73664.18925</v>
      </c>
      <c r="U135" s="256" t="n">
        <v>-75619.67248000001</v>
      </c>
      <c r="V135" s="256" t="n">
        <v>-73712.02794</v>
      </c>
      <c r="W135" s="256" t="n">
        <v>-81579.13176999999</v>
      </c>
      <c r="X135" s="256" t="n">
        <v>-109406</v>
      </c>
      <c r="Y135" s="256" t="n">
        <v>-123963</v>
      </c>
      <c r="Z135" s="256" t="n">
        <v>-113246.86823</v>
      </c>
      <c r="AA135" s="256" t="n">
        <v>-126652</v>
      </c>
      <c r="AB135" s="256" t="n">
        <v>-133194</v>
      </c>
      <c r="AC135" s="256" t="n">
        <v>-136299</v>
      </c>
      <c r="AD135" s="256" t="n">
        <v>-123965</v>
      </c>
      <c r="AE135" s="256" t="n">
        <v>-137280</v>
      </c>
      <c r="AF135" s="256" t="n">
        <v>-138257</v>
      </c>
      <c r="AG135" s="256" t="n">
        <v>-150707.32908</v>
      </c>
      <c r="AH135" s="256" t="n">
        <v>-141090.0998</v>
      </c>
      <c r="AI135" s="256" t="n">
        <v>-151474.952</v>
      </c>
      <c r="AJ135" s="256" t="n">
        <v>-160541.522</v>
      </c>
    </row>
    <row r="136">
      <c r="A136" t="n">
        <v>52</v>
      </c>
      <c r="B136" t="n">
        <v>1</v>
      </c>
      <c r="G136" t="inlineStr">
        <is>
          <t>moeda</t>
        </is>
      </c>
      <c r="H136" t="inlineStr">
        <is>
          <t>Deducoes da receita - Glosas | Fleury DRE l.13 / Combinada DRE l.10</t>
        </is>
      </c>
      <c r="J136" t="inlineStr">
        <is>
          <t>fonte</t>
        </is>
      </c>
      <c r="K136" s="256" t="n">
        <v>-9034.29408</v>
      </c>
      <c r="L136" s="256" t="n">
        <v>-6823.898149999999</v>
      </c>
      <c r="M136" s="256" t="n">
        <v>-9938.560400000002</v>
      </c>
      <c r="N136" s="256" t="n">
        <v>-9900.02693</v>
      </c>
      <c r="O136" s="256" t="n">
        <v>-9982.042539999999</v>
      </c>
      <c r="P136" s="256" t="n">
        <v>-10445.33269</v>
      </c>
      <c r="Q136" s="256" t="n">
        <v>-10236.12329</v>
      </c>
      <c r="R136" s="256" t="n">
        <v>-10430.7508</v>
      </c>
      <c r="S136" s="256" t="n">
        <v>-11438.60344</v>
      </c>
      <c r="T136" s="256" t="n">
        <v>-10971.38684</v>
      </c>
      <c r="U136" s="256" t="n">
        <v>-11952.2143</v>
      </c>
      <c r="V136" s="256" t="n">
        <v>-10568.48603</v>
      </c>
      <c r="W136" s="256" t="n">
        <v>-12003.33084</v>
      </c>
      <c r="X136" s="256" t="n">
        <v>-13470</v>
      </c>
      <c r="Y136" s="256" t="n">
        <v>-13546</v>
      </c>
      <c r="Z136" s="256" t="n">
        <v>-11093.66916</v>
      </c>
      <c r="AA136" s="256" t="n">
        <v>-21180</v>
      </c>
      <c r="AB136" s="256" t="n">
        <v>-22170</v>
      </c>
      <c r="AC136" s="256" t="n">
        <v>-30207</v>
      </c>
      <c r="AD136" s="256" t="n">
        <v>-26518</v>
      </c>
      <c r="AE136" s="256" t="n">
        <v>-31623</v>
      </c>
      <c r="AF136" s="256" t="n">
        <v>-31434</v>
      </c>
      <c r="AG136" s="256" t="n">
        <v>-32436.684</v>
      </c>
      <c r="AH136" s="256" t="n">
        <v>-32132.70825000002</v>
      </c>
      <c r="AI136" s="256" t="n">
        <v>-32391.456</v>
      </c>
      <c r="AJ136" s="256" t="n">
        <v>-32787.759</v>
      </c>
    </row>
    <row r="137">
      <c r="A137" t="n">
        <v>52</v>
      </c>
      <c r="B137" t="n">
        <v>1</v>
      </c>
      <c r="G137" t="inlineStr">
        <is>
          <t>moeda</t>
        </is>
      </c>
      <c r="H137" t="inlineStr">
        <is>
          <t>Deducoes da receita - Abatimentos (so na aba Combinada) | Fleury DRE l.None / Combinada DRE l.11</t>
        </is>
      </c>
      <c r="J137" t="inlineStr">
        <is>
          <t>fonte</t>
        </is>
      </c>
      <c r="K137" s="256" t="n">
        <v>0</v>
      </c>
      <c r="L137" s="256" t="n">
        <v>0</v>
      </c>
      <c r="M137" s="256" t="n">
        <v>0</v>
      </c>
      <c r="N137" s="256" t="n">
        <v>0</v>
      </c>
      <c r="O137" s="256" t="n">
        <v>0</v>
      </c>
      <c r="P137" s="256" t="n">
        <v>0</v>
      </c>
      <c r="Q137" s="256" t="n">
        <v>0</v>
      </c>
      <c r="R137" s="256" t="n">
        <v>0</v>
      </c>
      <c r="S137" s="256" t="n">
        <v>0</v>
      </c>
      <c r="T137" s="256" t="n">
        <v>0</v>
      </c>
      <c r="U137" s="256" t="n">
        <v>0</v>
      </c>
      <c r="V137" s="256" t="n">
        <v>0</v>
      </c>
      <c r="W137" s="256" t="n">
        <v>0</v>
      </c>
      <c r="X137" s="256" t="n">
        <v>-2108</v>
      </c>
      <c r="Y137" s="256" t="n">
        <v>-3466</v>
      </c>
      <c r="Z137" s="256" t="n">
        <v>-6602</v>
      </c>
      <c r="AA137" s="256" t="n">
        <v>-3299</v>
      </c>
      <c r="AB137" s="256" t="n">
        <v>-3336</v>
      </c>
      <c r="AC137" s="256" t="n">
        <v>-4001</v>
      </c>
      <c r="AD137" s="256" t="n">
        <v>-4486</v>
      </c>
      <c r="AE137" s="256" t="n">
        <v>-4464</v>
      </c>
      <c r="AF137" s="256" t="n">
        <v>-3578</v>
      </c>
      <c r="AG137" s="256" t="n">
        <v>-4502.45374</v>
      </c>
      <c r="AH137" s="256" t="n">
        <v>-4347.88581</v>
      </c>
      <c r="AI137" s="256" t="n">
        <v>-3239.989</v>
      </c>
      <c r="AJ137" s="256" t="n">
        <v>-4595.414</v>
      </c>
    </row>
    <row r="139">
      <c r="H139" s="250" t="inlineStr">
        <is>
          <t>VOLUME (mil exames) E ACOES. Volumes da aba Combinada incluem o lab-to-lab do Pardini (quebra de serie no 2T23)</t>
        </is>
      </c>
    </row>
    <row r="140">
      <c r="A140" t="n">
        <v>53</v>
      </c>
      <c r="B140" t="n">
        <v>1</v>
      </c>
      <c r="G140" t="inlineStr">
        <is>
          <t>un</t>
        </is>
      </c>
      <c r="H140" t="inlineStr">
        <is>
          <t>Exames - Unidades de Atendimento (PSC), mil | Fleury OI l.27 / Combinada OI l.102</t>
        </is>
      </c>
      <c r="J140" t="inlineStr">
        <is>
          <t>fonte</t>
        </is>
      </c>
      <c r="K140" s="256" t="n">
        <v>12170.11277353369</v>
      </c>
      <c r="L140" s="256" t="n">
        <v>6775.003</v>
      </c>
      <c r="M140" s="256" t="n">
        <v>14460.532</v>
      </c>
      <c r="N140" s="256" t="n">
        <v>14770.758</v>
      </c>
      <c r="O140" s="256" t="n">
        <v>14679.154</v>
      </c>
      <c r="P140" s="256" t="n">
        <v>15004.562</v>
      </c>
      <c r="Q140" s="256" t="n">
        <v>15768.101</v>
      </c>
      <c r="R140" s="256" t="n">
        <v>16663.758</v>
      </c>
      <c r="S140" s="256" t="n">
        <v>18443.28</v>
      </c>
      <c r="T140" s="256" t="n">
        <v>19516.80699960428</v>
      </c>
      <c r="U140" s="256" t="n">
        <v>20759.489</v>
      </c>
      <c r="V140" s="256" t="n">
        <v>19863.724</v>
      </c>
      <c r="W140" s="256" t="n">
        <v>24639.577</v>
      </c>
      <c r="X140" s="256" t="n"/>
      <c r="Y140" s="256" t="n">
        <v>36037.031</v>
      </c>
      <c r="Z140" s="256" t="n">
        <v>32350.275</v>
      </c>
      <c r="AA140" s="256" t="n">
        <v>37322.50400004275</v>
      </c>
      <c r="AB140" s="256" t="n">
        <v>37661.768</v>
      </c>
      <c r="AC140" s="256" t="n">
        <v>38316.821</v>
      </c>
      <c r="AD140" s="256" t="n">
        <v>35997.7738700073</v>
      </c>
      <c r="AE140" s="256" t="n">
        <v>40343.756</v>
      </c>
      <c r="AF140" s="256" t="n">
        <v>39674.485</v>
      </c>
      <c r="AG140" s="256" t="n">
        <v>44294.023</v>
      </c>
      <c r="AH140" s="256" t="n">
        <v>40889.107</v>
      </c>
      <c r="AI140" s="256" t="n">
        <v>47509.718</v>
      </c>
      <c r="AJ140" s="256" t="n">
        <v>46692.56</v>
      </c>
    </row>
    <row r="141">
      <c r="A141" t="n">
        <v>54</v>
      </c>
      <c r="B141" t="n">
        <v>1</v>
      </c>
      <c r="G141" t="inlineStr">
        <is>
          <t>un</t>
        </is>
      </c>
      <c r="H141" t="inlineStr">
        <is>
          <t>Exames - B2B, mil | Fleury OI l.28 / Combinada OI l.103</t>
        </is>
      </c>
      <c r="J141" t="inlineStr">
        <is>
          <t>fonte</t>
        </is>
      </c>
      <c r="K141" s="256" t="n">
        <v>7765.041808157674</v>
      </c>
      <c r="L141" s="256" t="n">
        <v>5981.309</v>
      </c>
      <c r="M141" s="256" t="n">
        <v>8500.653</v>
      </c>
      <c r="N141" s="256" t="n">
        <v>8855.04075</v>
      </c>
      <c r="O141" s="256" t="n">
        <v>9279.2405</v>
      </c>
      <c r="P141" s="256" t="n">
        <v>9367.923999999999</v>
      </c>
      <c r="Q141" s="256" t="n">
        <v>9361.241740000001</v>
      </c>
      <c r="R141" s="256" t="n">
        <v>8963.541999999999</v>
      </c>
      <c r="S141" s="256" t="n">
        <v>9172.471</v>
      </c>
      <c r="T141" s="256" t="n">
        <v>9101.282999999999</v>
      </c>
      <c r="U141" s="256" t="n">
        <v>8325.894</v>
      </c>
      <c r="V141" s="256" t="n">
        <v>6781.809999999999</v>
      </c>
      <c r="W141" s="256" t="n">
        <v>6572.057000000001</v>
      </c>
      <c r="X141" s="256" t="n"/>
      <c r="Y141" s="256" t="n">
        <v>43098.373</v>
      </c>
      <c r="Z141" s="256" t="n">
        <v>40482.54</v>
      </c>
      <c r="AA141" s="256" t="n">
        <v>44185.14</v>
      </c>
      <c r="AB141" s="256" t="n">
        <v>47746.356</v>
      </c>
      <c r="AC141" s="256" t="n">
        <v>49313.0979999999</v>
      </c>
      <c r="AD141" s="256" t="n">
        <v>45175.0470000095</v>
      </c>
      <c r="AE141" s="256" t="n">
        <v>49242.257</v>
      </c>
      <c r="AF141" s="256" t="n">
        <v>49738.982</v>
      </c>
      <c r="AG141" s="256" t="n">
        <v>53681.259</v>
      </c>
      <c r="AH141" s="256" t="n">
        <v>50715.319</v>
      </c>
      <c r="AI141" s="256" t="n">
        <v>56978.643</v>
      </c>
      <c r="AJ141" s="256" t="n">
        <v>60275.898</v>
      </c>
    </row>
    <row r="142">
      <c r="G142" t="inlineStr">
        <is>
          <t>un</t>
        </is>
      </c>
      <c r="H142" t="inlineStr">
        <is>
          <t>Numero de acoes (unidades) | Fleury OI l.74 / Combinada OI l.293</t>
        </is>
      </c>
      <c r="J142" t="inlineStr">
        <is>
          <t>memoria</t>
        </is>
      </c>
      <c r="K142" s="259" t="n">
        <v>316788210</v>
      </c>
      <c r="L142" s="259" t="n">
        <v>316788210</v>
      </c>
      <c r="M142" s="259" t="n">
        <v>316788210</v>
      </c>
      <c r="N142" s="259" t="n">
        <v>317366310</v>
      </c>
      <c r="O142" s="259" t="n">
        <v>317366310</v>
      </c>
      <c r="P142" s="259" t="n">
        <v>317366310</v>
      </c>
      <c r="Q142" s="259" t="n">
        <v>317943996</v>
      </c>
      <c r="R142" s="259" t="n">
        <v>317943996</v>
      </c>
      <c r="S142" s="259" t="n">
        <v>317943996</v>
      </c>
      <c r="T142" s="259" t="n">
        <v>317943996</v>
      </c>
      <c r="U142" s="259" t="n">
        <v>318137880</v>
      </c>
      <c r="V142" s="259" t="n">
        <v>367197096</v>
      </c>
      <c r="W142" s="259" t="n">
        <v>367197096</v>
      </c>
      <c r="X142" s="259" t="n">
        <v>547185685</v>
      </c>
      <c r="Y142" s="259" t="n">
        <v>547191026</v>
      </c>
      <c r="Z142" s="259" t="n">
        <v>547191026</v>
      </c>
      <c r="AA142" s="259" t="n">
        <v>547191026</v>
      </c>
      <c r="AB142" s="259" t="n">
        <v>547191026</v>
      </c>
      <c r="AC142" s="259" t="n">
        <v>547191026</v>
      </c>
      <c r="AD142" s="259" t="n">
        <v>547191026</v>
      </c>
      <c r="AE142" s="259" t="n">
        <v>547191026</v>
      </c>
      <c r="AF142" s="259" t="n">
        <v>547191026</v>
      </c>
      <c r="AG142" s="259" t="n">
        <v>547191026</v>
      </c>
      <c r="AH142" s="259" t="n">
        <v>547191026</v>
      </c>
      <c r="AI142" s="259" t="n">
        <v>547191026</v>
      </c>
      <c r="AJ142" s="259" t="n">
        <v>547191026</v>
      </c>
    </row>
    <row r="143">
      <c r="A143" t="n">
        <v>55</v>
      </c>
      <c r="B143" t="n">
        <v>1</v>
      </c>
      <c r="G143" t="inlineStr">
        <is>
          <t>un</t>
        </is>
      </c>
      <c r="H143" t="inlineStr">
        <is>
          <t>Numero de acoes em milhoes (derivada) - cod 55 alimenta Model linha 230</t>
        </is>
      </c>
      <c r="J143" t="inlineStr">
        <is>
          <t>derivada</t>
        </is>
      </c>
      <c r="K143" s="260">
        <f>K142/1000000</f>
        <v>316.78821</v>
      </c>
      <c r="L143" s="260">
        <f>L142/1000000</f>
        <v>316.78821</v>
      </c>
      <c r="M143" s="260">
        <f>M142/1000000</f>
        <v>316.78821</v>
      </c>
      <c r="N143" s="260">
        <f>N142/1000000</f>
        <v>317.36631</v>
      </c>
      <c r="O143" s="260">
        <f>O142/1000000</f>
        <v>317.36631</v>
      </c>
      <c r="P143" s="260">
        <f>P142/1000000</f>
        <v>317.36631</v>
      </c>
      <c r="Q143" s="260">
        <f>Q142/1000000</f>
        <v>317.943996</v>
      </c>
      <c r="R143" s="260">
        <f>R142/1000000</f>
        <v>317.943996</v>
      </c>
      <c r="S143" s="260">
        <f>S142/1000000</f>
        <v>317.943996</v>
      </c>
      <c r="T143" s="260">
        <f>T142/1000000</f>
        <v>317.943996</v>
      </c>
      <c r="U143" s="260">
        <f>U142/1000000</f>
        <v>318.13788</v>
      </c>
      <c r="V143" s="260">
        <f>V142/1000000</f>
        <v>367.197096</v>
      </c>
      <c r="W143" s="260">
        <f>W142/1000000</f>
        <v>367.197096</v>
      </c>
      <c r="X143" s="260">
        <f>X142/1000000</f>
        <v>547.185685</v>
      </c>
      <c r="Y143" s="260">
        <f>Y142/1000000</f>
        <v>547.191026</v>
      </c>
      <c r="Z143" s="260">
        <f>Z142/1000000</f>
        <v>547.191026</v>
      </c>
      <c r="AA143" s="260">
        <f>AA142/1000000</f>
        <v>547.191026</v>
      </c>
      <c r="AB143" s="260">
        <f>AB142/1000000</f>
        <v>547.191026</v>
      </c>
      <c r="AC143" s="260">
        <f>AC142/1000000</f>
        <v>547.191026</v>
      </c>
      <c r="AD143" s="260">
        <f>AD142/1000000</f>
        <v>547.191026</v>
      </c>
      <c r="AE143" s="260">
        <f>AE142/1000000</f>
        <v>547.191026</v>
      </c>
      <c r="AF143" s="260">
        <f>AF142/1000000</f>
        <v>547.191026</v>
      </c>
      <c r="AG143" s="260">
        <f>AG142/1000000</f>
        <v>547.191026</v>
      </c>
      <c r="AH143" s="260">
        <f>AH142/1000000</f>
        <v>547.191026</v>
      </c>
      <c r="AI143" s="260">
        <f>AI142/1000000</f>
        <v>547.191026</v>
      </c>
      <c r="AJ143" s="260">
        <f>AJ142/1000000</f>
        <v>547.191026</v>
      </c>
    </row>
    <row r="144">
      <c r="A144" t="n">
        <v>56</v>
      </c>
      <c r="B144" t="n">
        <v>1</v>
      </c>
      <c r="G144" t="inlineStr">
        <is>
          <t>un</t>
        </is>
      </c>
      <c r="H144" t="inlineStr">
        <is>
          <t>Divida liquida / EBITDA LTM divulgado pela companhia (x) | Fleury OI l.72 / Combinada OI l.291</t>
        </is>
      </c>
      <c r="J144" t="inlineStr">
        <is>
          <t>fonte</t>
        </is>
      </c>
      <c r="K144" s="261" t="n">
        <v>1.05584588950658</v>
      </c>
      <c r="L144" s="261" t="n">
        <v>1.393680951946437</v>
      </c>
      <c r="M144" s="261" t="n">
        <v>1.124711526983088</v>
      </c>
      <c r="N144" s="261" t="n">
        <v>1.076087142154972</v>
      </c>
      <c r="O144" s="261" t="n">
        <v>0.973069579788152</v>
      </c>
      <c r="P144" s="261" t="n">
        <v>1.03604374260443</v>
      </c>
      <c r="Q144" s="261" t="n">
        <v>1.32494655840149</v>
      </c>
      <c r="R144" s="261" t="n">
        <v>1.336541607623452</v>
      </c>
      <c r="S144" s="261" t="n">
        <v>1.408707608363824</v>
      </c>
      <c r="T144" s="261" t="n">
        <v>1.800335042884542</v>
      </c>
      <c r="U144" s="261" t="n">
        <v>1.671746699270666</v>
      </c>
      <c r="V144" s="261" t="n">
        <v>1.214893300823378</v>
      </c>
      <c r="W144" s="261" t="n">
        <v>1.208015624188675</v>
      </c>
      <c r="X144" s="261" t="n"/>
      <c r="Y144" s="261" t="n">
        <v>1.2</v>
      </c>
      <c r="Z144" s="261" t="n">
        <v>1.2</v>
      </c>
      <c r="AA144" s="261" t="n">
        <v>1.2</v>
      </c>
      <c r="AB144" s="261" t="n">
        <v>1.1</v>
      </c>
      <c r="AC144" s="261" t="n">
        <v>1</v>
      </c>
      <c r="AD144" s="261" t="n">
        <v>1</v>
      </c>
      <c r="AE144" s="261" t="n">
        <v>1</v>
      </c>
      <c r="AF144" s="261" t="n">
        <v>1.1</v>
      </c>
      <c r="AG144" s="261" t="n">
        <v>1</v>
      </c>
      <c r="AH144" s="261" t="n">
        <v>1</v>
      </c>
      <c r="AI144" s="261" t="n">
        <v>1</v>
      </c>
      <c r="AJ144" s="261" t="n">
        <v>1.1</v>
      </c>
    </row>
    <row r="163">
      <c r="H163" s="250" t="n"/>
    </row>
    <row r="164"/>
    <row r="165"/>
    <row r="166"/>
    <row r="167"/>
    <row r="168"/>
    <row r="169"/>
    <row r="170"/>
    <row r="171"/>
    <row r="172"/>
    <row r="183">
      <c r="H183" s="250" t="inlineStr">
        <is>
          <t>CONVENCOES</t>
        </is>
      </c>
    </row>
    <row r="184">
      <c r="H184" t="inlineStr">
        <is>
          <t>Linhas de origem: 5 a 144. As formulas da Inputs (2) varrem as linhas 5 a 180; as linhas 145 a 180 estao livres para novas contas.</t>
        </is>
      </c>
    </row>
    <row r="185">
      <c r="H185" t="inlineStr">
        <is>
          <t>Periodos: colunas K a AJ (1Q20 a 2Q26 = 1T20 a 2T26). Linha 2 = aba de origem; linha 3 = coluna lida no balanco.</t>
        </is>
      </c>
    </row>
    <row r="186">
      <c r="H186" t="inlineStr">
        <is>
          <t>Brutos em R$ mil, como na fonte. A Inputs (2) multiplica pelo fator da celula B1 (0,001) e entrega R$ milhoes.</t>
        </is>
      </c>
    </row>
    <row r="187">
      <c r="H187" t="inlineStr">
        <is>
          <t>Fleury DRE/BP/DFC ate 1T23 (contabil pre-combinacao). Combinada a partir do 2T23, coluna "2T23 Contabil" na DRE/DFC. As colunas pro forma da Combinada (2022 a 1T23, "2T23" e "2023") nao foram usadas.</t>
        </is>
      </c>
    </row>
    <row r="188">
      <c r="H188" t="inlineStr">
        <is>
          <t>ORIGEM: fonte = copiado da planilha de fundamentos; memoria = subtotal divulgado, sem codigo; derivada = check por formula.</t>
        </is>
      </c>
    </row>
    <row r="189">
      <c r="H189" t="inlineStr">
        <is>
          <t>Uma linha da Inputs pode juntar a conta da aba Fleury e a da aba Combinada quando sao a mesma conta; a descricao mostra as duas linhas de origem.</t>
        </is>
      </c>
    </row>
    <row r="190">
      <c r="H190" t="inlineStr">
        <is>
          <t>Codigos 45-56 (receita bruta por negocio, deducoes, volumes, acoes, alavancagem divulgada) sao memoria: alimentam o bloco no fim do Model; o cod 55 alimenta a linha 230.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2" t="inlineStr">
        <is>
          <t>3Q26</t>
        </is>
      </c>
      <c r="AF2" s="252" t="inlineStr">
        <is>
          <t>4Q26</t>
        </is>
      </c>
      <c r="AG2" s="253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$180=$B4)*ISNUMBER(INDEX(Inputs!$K$5:$AJ$180,0,MATCH(D$2,Inputs!$K$4:$AJ$4,0))))+SUMPRODUCT((Inputs!$C$5:$C$180=$B4)*ISNUMBER(INDEX(Inputs!$K$5:$AJ$180,0,MATCH(D$2,Inputs!$K$4:$AJ$4,0))))+SUMPRODUCT((Inputs!$E$5:$E$180=$B4)*ISNUMBER(INDEX(Inputs!$K$5:$AJ$180,0,MATCH(D$2,Inputs!$K$4:$AJ$4,0))))=0,NA(),SUMPRODUCT((Inputs!$A$5:$A$180=$B4)*Inputs!$B$5:$B$180*(((Inputs!$G$5:$G$180="moeda")+(Inputs!$G$5:$G$180="acoes"))*Inputs!$B$1+((Inputs!$G$5:$G$180&lt;&gt;"moeda")*(Inputs!$G$5:$G$180&lt;&gt;"acoes")))*INDEX(Inputs!$K$5:$AJ$180,0,MATCH(D$2,Inputs!$K$4:$AJ$4,0)))+SUMPRODUCT((Inputs!$C$5:$C$180=$B4)*Inputs!$D$5:$D$180*(((Inputs!$G$5:$G$180="moeda")+(Inputs!$G$5:$G$180="acoes"))*Inputs!$B$1+((Inputs!$G$5:$G$180&lt;&gt;"moeda")*(Inputs!$G$5:$G$180&lt;&gt;"acoes")))*INDEX(Inputs!$K$5:$AJ$180,0,MATCH(D$2,Inputs!$K$4:$AJ$4,0)))+SUMPRODUCT((Inputs!$E$5:$E$180=$B4)*Inputs!$F$5:$F$180*(((Inputs!$G$5:$G$180="moeda")+(Inputs!$G$5:$G$180="acoes"))*Inputs!$B$1+((Inputs!$G$5:$G$180&lt;&gt;"moeda")*(Inputs!$G$5:$G$180&lt;&gt;"acoes")))*INDEX(Inputs!$K$5:$AJ$180,0,MATCH(D$2,Inputs!$K$4:$AJ$4,0)))))</f>
        <v>893.807975809999</v>
      </c>
      <c r="E4" s="6">
        <f>IF(ISNA(MATCH(E$2,Inputs!$K$4:$AJ$4,0)),NA(),IF(SUMPRODUCT((Inputs!$A$5:$A$180=$B4)*ISNUMBER(INDEX(Inputs!$K$5:$AJ$180,0,MATCH(E$2,Inputs!$K$4:$AJ$4,0))))+SUMPRODUCT((Inputs!$C$5:$C$180=$B4)*ISNUMBER(INDEX(Inputs!$K$5:$AJ$180,0,MATCH(E$2,Inputs!$K$4:$AJ$4,0))))+SUMPRODUCT((Inputs!$E$5:$E$180=$B4)*ISNUMBER(INDEX(Inputs!$K$5:$AJ$180,0,MATCH(E$2,Inputs!$K$4:$AJ$4,0))))=0,NA(),SUMPRODUCT((Inputs!$A$5:$A$180=$B4)*Inputs!$B$5:$B$180*(((Inputs!$G$5:$G$180="moeda")+(Inputs!$G$5:$G$180="acoes"))*Inputs!$B$1+((Inputs!$G$5:$G$180&lt;&gt;"moeda")*(Inputs!$G$5:$G$180&lt;&gt;"acoes")))*INDEX(Inputs!$K$5:$AJ$180,0,MATCH(E$2,Inputs!$K$4:$AJ$4,0)))+SUMPRODUCT((Inputs!$C$5:$C$180=$B4)*Inputs!$D$5:$D$180*(((Inputs!$G$5:$G$180="moeda")+(Inputs!$G$5:$G$180="acoes"))*Inputs!$B$1+((Inputs!$G$5:$G$180&lt;&gt;"moeda")*(Inputs!$G$5:$G$180&lt;&gt;"acoes")))*INDEX(Inputs!$K$5:$AJ$180,0,MATCH(E$2,Inputs!$K$4:$AJ$4,0)))+SUMPRODUCT((Inputs!$E$5:$E$180=$B4)*Inputs!$F$5:$F$180*(((Inputs!$G$5:$G$180="moeda")+(Inputs!$G$5:$G$180="acoes"))*Inputs!$B$1+((Inputs!$G$5:$G$180&lt;&gt;"moeda")*(Inputs!$G$5:$G$180&lt;&gt;"acoes")))*INDEX(Inputs!$K$5:$AJ$180,0,MATCH(E$2,Inputs!$K$4:$AJ$4,0)))))</f>
        <v>932.066355889999</v>
      </c>
      <c r="F4" s="6">
        <f>IF(ISNA(MATCH(F$2,Inputs!$K$4:$AJ$4,0)),NA(),IF(SUMPRODUCT((Inputs!$A$5:$A$180=$B4)*ISNUMBER(INDEX(Inputs!$K$5:$AJ$180,0,MATCH(F$2,Inputs!$K$4:$AJ$4,0))))+SUMPRODUCT((Inputs!$C$5:$C$180=$B4)*ISNUMBER(INDEX(Inputs!$K$5:$AJ$180,0,MATCH(F$2,Inputs!$K$4:$AJ$4,0))))+SUMPRODUCT((Inputs!$E$5:$E$180=$B4)*ISNUMBER(INDEX(Inputs!$K$5:$AJ$180,0,MATCH(F$2,Inputs!$K$4:$AJ$4,0))))=0,NA(),SUMPRODUCT((Inputs!$A$5:$A$180=$B4)*Inputs!$B$5:$B$180*(((Inputs!$G$5:$G$180="moeda")+(Inputs!$G$5:$G$180="acoes"))*Inputs!$B$1+((Inputs!$G$5:$G$180&lt;&gt;"moeda")*(Inputs!$G$5:$G$180&lt;&gt;"acoes")))*INDEX(Inputs!$K$5:$AJ$180,0,MATCH(F$2,Inputs!$K$4:$AJ$4,0)))+SUMPRODUCT((Inputs!$C$5:$C$180=$B4)*Inputs!$D$5:$D$180*(((Inputs!$G$5:$G$180="moeda")+(Inputs!$G$5:$G$180="acoes"))*Inputs!$B$1+((Inputs!$G$5:$G$180&lt;&gt;"moeda")*(Inputs!$G$5:$G$180&lt;&gt;"acoes")))*INDEX(Inputs!$K$5:$AJ$180,0,MATCH(F$2,Inputs!$K$4:$AJ$4,0)))+SUMPRODUCT((Inputs!$E$5:$E$180=$B4)*Inputs!$F$5:$F$180*(((Inputs!$G$5:$G$180="moeda")+(Inputs!$G$5:$G$180="acoes"))*Inputs!$B$1+((Inputs!$G$5:$G$180&lt;&gt;"moeda")*(Inputs!$G$5:$G$180&lt;&gt;"acoes")))*INDEX(Inputs!$K$5:$AJ$180,0,MATCH(F$2,Inputs!$K$4:$AJ$4,0)))))</f>
        <v>1028.82986343</v>
      </c>
      <c r="G4" s="6">
        <f>IF(ISNA(MATCH(G$2,Inputs!$K$4:$AJ$4,0)),NA(),IF(SUMPRODUCT((Inputs!$A$5:$A$180=$B4)*ISNUMBER(INDEX(Inputs!$K$5:$AJ$180,0,MATCH(G$2,Inputs!$K$4:$AJ$4,0))))+SUMPRODUCT((Inputs!$C$5:$C$180=$B4)*ISNUMBER(INDEX(Inputs!$K$5:$AJ$180,0,MATCH(G$2,Inputs!$K$4:$AJ$4,0))))+SUMPRODUCT((Inputs!$E$5:$E$180=$B4)*ISNUMBER(INDEX(Inputs!$K$5:$AJ$180,0,MATCH(G$2,Inputs!$K$4:$AJ$4,0))))=0,NA(),SUMPRODUCT((Inputs!$A$5:$A$180=$B4)*Inputs!$B$5:$B$180*(((Inputs!$G$5:$G$180="moeda")+(Inputs!$G$5:$G$180="acoes"))*Inputs!$B$1+((Inputs!$G$5:$G$180&lt;&gt;"moeda")*(Inputs!$G$5:$G$180&lt;&gt;"acoes")))*INDEX(Inputs!$K$5:$AJ$180,0,MATCH(G$2,Inputs!$K$4:$AJ$4,0)))+SUMPRODUCT((Inputs!$C$5:$C$180=$B4)*Inputs!$D$5:$D$180*(((Inputs!$G$5:$G$180="moeda")+(Inputs!$G$5:$G$180="acoes"))*Inputs!$B$1+((Inputs!$G$5:$G$180&lt;&gt;"moeda")*(Inputs!$G$5:$G$180&lt;&gt;"acoes")))*INDEX(Inputs!$K$5:$AJ$180,0,MATCH(G$2,Inputs!$K$4:$AJ$4,0)))+SUMPRODUCT((Inputs!$E$5:$E$180=$B4)*Inputs!$F$5:$F$180*(((Inputs!$G$5:$G$180="moeda")+(Inputs!$G$5:$G$180="acoes"))*Inputs!$B$1+((Inputs!$G$5:$G$180&lt;&gt;"moeda")*(Inputs!$G$5:$G$180&lt;&gt;"acoes")))*INDEX(Inputs!$K$5:$AJ$180,0,MATCH(G$2,Inputs!$K$4:$AJ$4,0)))))</f>
        <v>1017.94642707</v>
      </c>
      <c r="H4" s="3">
        <f>SUM(D4:G4)</f>
        <v>3872.6506222</v>
      </c>
      <c r="I4" s="6">
        <f>IF(ISNA(MATCH(I$2,Inputs!$K$4:$AJ$4,0)),NA(),IF(SUMPRODUCT((Inputs!$A$5:$A$180=$B4)*ISNUMBER(INDEX(Inputs!$K$5:$AJ$180,0,MATCH(I$2,Inputs!$K$4:$AJ$4,0))))+SUMPRODUCT((Inputs!$C$5:$C$180=$B4)*ISNUMBER(INDEX(Inputs!$K$5:$AJ$180,0,MATCH(I$2,Inputs!$K$4:$AJ$4,0))))+SUMPRODUCT((Inputs!$E$5:$E$180=$B4)*ISNUMBER(INDEX(Inputs!$K$5:$AJ$180,0,MATCH(I$2,Inputs!$K$4:$AJ$4,0))))=0,NA(),SUMPRODUCT((Inputs!$A$5:$A$180=$B4)*Inputs!$B$5:$B$180*(((Inputs!$G$5:$G$180="moeda")+(Inputs!$G$5:$G$180="acoes"))*Inputs!$B$1+((Inputs!$G$5:$G$180&lt;&gt;"moeda")*(Inputs!$G$5:$G$180&lt;&gt;"acoes")))*INDEX(Inputs!$K$5:$AJ$180,0,MATCH(I$2,Inputs!$K$4:$AJ$4,0)))+SUMPRODUCT((Inputs!$C$5:$C$180=$B4)*Inputs!$D$5:$D$180*(((Inputs!$G$5:$G$180="moeda")+(Inputs!$G$5:$G$180="acoes"))*Inputs!$B$1+((Inputs!$G$5:$G$180&lt;&gt;"moeda")*(Inputs!$G$5:$G$180&lt;&gt;"acoes")))*INDEX(Inputs!$K$5:$AJ$180,0,MATCH(I$2,Inputs!$K$4:$AJ$4,0)))+SUMPRODUCT((Inputs!$E$5:$E$180=$B4)*Inputs!$F$5:$F$180*(((Inputs!$G$5:$G$180="moeda")+(Inputs!$G$5:$G$180="acoes"))*Inputs!$B$1+((Inputs!$G$5:$G$180&lt;&gt;"moeda")*(Inputs!$G$5:$G$180&lt;&gt;"acoes")))*INDEX(Inputs!$K$5:$AJ$180,0,MATCH(I$2,Inputs!$K$4:$AJ$4,0)))))</f>
        <v>1089.91257007944</v>
      </c>
      <c r="J4" s="6">
        <f>IF(ISNA(MATCH(J$2,Inputs!$K$4:$AJ$4,0)),NA(),IF(SUMPRODUCT((Inputs!$A$5:$A$180=$B4)*ISNUMBER(INDEX(Inputs!$K$5:$AJ$180,0,MATCH(J$2,Inputs!$K$4:$AJ$4,0))))+SUMPRODUCT((Inputs!$C$5:$C$180=$B4)*ISNUMBER(INDEX(Inputs!$K$5:$AJ$180,0,MATCH(J$2,Inputs!$K$4:$AJ$4,0))))+SUMPRODUCT((Inputs!$E$5:$E$180=$B4)*ISNUMBER(INDEX(Inputs!$K$5:$AJ$180,0,MATCH(J$2,Inputs!$K$4:$AJ$4,0))))=0,NA(),SUMPRODUCT((Inputs!$A$5:$A$180=$B4)*Inputs!$B$5:$B$180*(((Inputs!$G$5:$G$180="moeda")+(Inputs!$G$5:$G$180="acoes"))*Inputs!$B$1+((Inputs!$G$5:$G$180&lt;&gt;"moeda")*(Inputs!$G$5:$G$180&lt;&gt;"acoes")))*INDEX(Inputs!$K$5:$AJ$180,0,MATCH(J$2,Inputs!$K$4:$AJ$4,0)))+SUMPRODUCT((Inputs!$C$5:$C$180=$B4)*Inputs!$D$5:$D$180*(((Inputs!$G$5:$G$180="moeda")+(Inputs!$G$5:$G$180="acoes"))*Inputs!$B$1+((Inputs!$G$5:$G$180&lt;&gt;"moeda")*(Inputs!$G$5:$G$180&lt;&gt;"acoes")))*INDEX(Inputs!$K$5:$AJ$180,0,MATCH(J$2,Inputs!$K$4:$AJ$4,0)))+SUMPRODUCT((Inputs!$E$5:$E$180=$B4)*Inputs!$F$5:$F$180*(((Inputs!$G$5:$G$180="moeda")+(Inputs!$G$5:$G$180="acoes"))*Inputs!$B$1+((Inputs!$G$5:$G$180&lt;&gt;"moeda")*(Inputs!$G$5:$G$180&lt;&gt;"acoes")))*INDEX(Inputs!$K$5:$AJ$180,0,MATCH(J$2,Inputs!$K$4:$AJ$4,0)))))</f>
        <v>1111.74596125805</v>
      </c>
      <c r="K4" s="6">
        <f>IF(ISNA(MATCH(K$2,Inputs!$K$4:$AJ$4,0)),NA(),IF(SUMPRODUCT((Inputs!$A$5:$A$180=$B4)*ISNUMBER(INDEX(Inputs!$K$5:$AJ$180,0,MATCH(K$2,Inputs!$K$4:$AJ$4,0))))+SUMPRODUCT((Inputs!$C$5:$C$180=$B4)*ISNUMBER(INDEX(Inputs!$K$5:$AJ$180,0,MATCH(K$2,Inputs!$K$4:$AJ$4,0))))+SUMPRODUCT((Inputs!$E$5:$E$180=$B4)*ISNUMBER(INDEX(Inputs!$K$5:$AJ$180,0,MATCH(K$2,Inputs!$K$4:$AJ$4,0))))=0,NA(),SUMPRODUCT((Inputs!$A$5:$A$180=$B4)*Inputs!$B$5:$B$180*(((Inputs!$G$5:$G$180="moeda")+(Inputs!$G$5:$G$180="acoes"))*Inputs!$B$1+((Inputs!$G$5:$G$180&lt;&gt;"moeda")*(Inputs!$G$5:$G$180&lt;&gt;"acoes")))*INDEX(Inputs!$K$5:$AJ$180,0,MATCH(K$2,Inputs!$K$4:$AJ$4,0)))+SUMPRODUCT((Inputs!$C$5:$C$180=$B4)*Inputs!$D$5:$D$180*(((Inputs!$G$5:$G$180="moeda")+(Inputs!$G$5:$G$180="acoes"))*Inputs!$B$1+((Inputs!$G$5:$G$180&lt;&gt;"moeda")*(Inputs!$G$5:$G$180&lt;&gt;"acoes")))*INDEX(Inputs!$K$5:$AJ$180,0,MATCH(K$2,Inputs!$K$4:$AJ$4,0)))+SUMPRODUCT((Inputs!$E$5:$E$180=$B4)*Inputs!$F$5:$F$180*(((Inputs!$G$5:$G$180="moeda")+(Inputs!$G$5:$G$180="acoes"))*Inputs!$B$1+((Inputs!$G$5:$G$180&lt;&gt;"moeda")*(Inputs!$G$5:$G$180&lt;&gt;"acoes")))*INDEX(Inputs!$K$5:$AJ$180,0,MATCH(K$2,Inputs!$K$4:$AJ$4,0)))))</f>
        <v>1146.63487622</v>
      </c>
      <c r="L4" s="6">
        <f>IF(ISNA(MATCH(L$2,Inputs!$K$4:$AJ$4,0)),NA(),IF(SUMPRODUCT((Inputs!$A$5:$A$180=$B4)*ISNUMBER(INDEX(Inputs!$K$5:$AJ$180,0,MATCH(L$2,Inputs!$K$4:$AJ$4,0))))+SUMPRODUCT((Inputs!$C$5:$C$180=$B4)*ISNUMBER(INDEX(Inputs!$K$5:$AJ$180,0,MATCH(L$2,Inputs!$K$4:$AJ$4,0))))+SUMPRODUCT((Inputs!$E$5:$E$180=$B4)*ISNUMBER(INDEX(Inputs!$K$5:$AJ$180,0,MATCH(L$2,Inputs!$K$4:$AJ$4,0))))=0,NA(),SUMPRODUCT((Inputs!$A$5:$A$180=$B4)*Inputs!$B$5:$B$180*(((Inputs!$G$5:$G$180="moeda")+(Inputs!$G$5:$G$180="acoes"))*Inputs!$B$1+((Inputs!$G$5:$G$180&lt;&gt;"moeda")*(Inputs!$G$5:$G$180&lt;&gt;"acoes")))*INDEX(Inputs!$K$5:$AJ$180,0,MATCH(L$2,Inputs!$K$4:$AJ$4,0)))+SUMPRODUCT((Inputs!$C$5:$C$180=$B4)*Inputs!$D$5:$D$180*(((Inputs!$G$5:$G$180="moeda")+(Inputs!$G$5:$G$180="acoes"))*Inputs!$B$1+((Inputs!$G$5:$G$180&lt;&gt;"moeda")*(Inputs!$G$5:$G$180&lt;&gt;"acoes")))*INDEX(Inputs!$K$5:$AJ$180,0,MATCH(L$2,Inputs!$K$4:$AJ$4,0)))+SUMPRODUCT((Inputs!$E$5:$E$180=$B4)*Inputs!$F$5:$F$180*(((Inputs!$G$5:$G$180="moeda")+(Inputs!$G$5:$G$180="acoes"))*Inputs!$B$1+((Inputs!$G$5:$G$180&lt;&gt;"moeda")*(Inputs!$G$5:$G$180&lt;&gt;"acoes")))*INDEX(Inputs!$K$5:$AJ$180,0,MATCH(L$2,Inputs!$K$4:$AJ$4,0)))))</f>
        <v>1114.74676428</v>
      </c>
      <c r="M4" s="3">
        <f>SUM(I4:L4)</f>
        <v>4463.04017183749</v>
      </c>
      <c r="N4" s="6">
        <f>IF(ISNA(MATCH(N$2,Inputs!$K$4:$AJ$4,0)),NA(),IF(SUMPRODUCT((Inputs!$A$5:$A$180=$B4)*ISNUMBER(INDEX(Inputs!$K$5:$AJ$180,0,MATCH(N$2,Inputs!$K$4:$AJ$4,0))))+SUMPRODUCT((Inputs!$C$5:$C$180=$B4)*ISNUMBER(INDEX(Inputs!$K$5:$AJ$180,0,MATCH(N$2,Inputs!$K$4:$AJ$4,0))))+SUMPRODUCT((Inputs!$E$5:$E$180=$B4)*ISNUMBER(INDEX(Inputs!$K$5:$AJ$180,0,MATCH(N$2,Inputs!$K$4:$AJ$4,0))))=0,NA(),SUMPRODUCT((Inputs!$A$5:$A$180=$B4)*Inputs!$B$5:$B$180*(((Inputs!$G$5:$G$180="moeda")+(Inputs!$G$5:$G$180="acoes"))*Inputs!$B$1+((Inputs!$G$5:$G$180&lt;&gt;"moeda")*(Inputs!$G$5:$G$180&lt;&gt;"acoes")))*INDEX(Inputs!$K$5:$AJ$180,0,MATCH(N$2,Inputs!$K$4:$AJ$4,0)))+SUMPRODUCT((Inputs!$C$5:$C$180=$B4)*Inputs!$D$5:$D$180*(((Inputs!$G$5:$G$180="moeda")+(Inputs!$G$5:$G$180="acoes"))*Inputs!$B$1+((Inputs!$G$5:$G$180&lt;&gt;"moeda")*(Inputs!$G$5:$G$180&lt;&gt;"acoes")))*INDEX(Inputs!$K$5:$AJ$180,0,MATCH(N$2,Inputs!$K$4:$AJ$4,0)))+SUMPRODUCT((Inputs!$E$5:$E$180=$B4)*Inputs!$F$5:$F$180*(((Inputs!$G$5:$G$180="moeda")+(Inputs!$G$5:$G$180="acoes"))*Inputs!$B$1+((Inputs!$G$5:$G$180&lt;&gt;"moeda")*(Inputs!$G$5:$G$180&lt;&gt;"acoes")))*INDEX(Inputs!$K$5:$AJ$180,0,MATCH(N$2,Inputs!$K$4:$AJ$4,0)))))</f>
        <v>1236.82329968</v>
      </c>
      <c r="O4" s="6">
        <f>IF(ISNA(MATCH(O$2,Inputs!$K$4:$AJ$4,0)),NA(),IF(SUMPRODUCT((Inputs!$A$5:$A$180=$B4)*ISNUMBER(INDEX(Inputs!$K$5:$AJ$180,0,MATCH(O$2,Inputs!$K$4:$AJ$4,0))))+SUMPRODUCT((Inputs!$C$5:$C$180=$B4)*ISNUMBER(INDEX(Inputs!$K$5:$AJ$180,0,MATCH(O$2,Inputs!$K$4:$AJ$4,0))))+SUMPRODUCT((Inputs!$E$5:$E$180=$B4)*ISNUMBER(INDEX(Inputs!$K$5:$AJ$180,0,MATCH(O$2,Inputs!$K$4:$AJ$4,0))))=0,NA(),SUMPRODUCT((Inputs!$A$5:$A$180=$B4)*Inputs!$B$5:$B$180*(((Inputs!$G$5:$G$180="moeda")+(Inputs!$G$5:$G$180="acoes"))*Inputs!$B$1+((Inputs!$G$5:$G$180&lt;&gt;"moeda")*(Inputs!$G$5:$G$180&lt;&gt;"acoes")))*INDEX(Inputs!$K$5:$AJ$180,0,MATCH(O$2,Inputs!$K$4:$AJ$4,0)))+SUMPRODUCT((Inputs!$C$5:$C$180=$B4)*Inputs!$D$5:$D$180*(((Inputs!$G$5:$G$180="moeda")+(Inputs!$G$5:$G$180="acoes"))*Inputs!$B$1+((Inputs!$G$5:$G$180&lt;&gt;"moeda")*(Inputs!$G$5:$G$180&lt;&gt;"acoes")))*INDEX(Inputs!$K$5:$AJ$180,0,MATCH(O$2,Inputs!$K$4:$AJ$4,0)))+SUMPRODUCT((Inputs!$E$5:$E$180=$B4)*Inputs!$F$5:$F$180*(((Inputs!$G$5:$G$180="moeda")+(Inputs!$G$5:$G$180="acoes"))*Inputs!$B$1+((Inputs!$G$5:$G$180&lt;&gt;"moeda")*(Inputs!$G$5:$G$180&lt;&gt;"acoes")))*INDEX(Inputs!$K$5:$AJ$180,0,MATCH(O$2,Inputs!$K$4:$AJ$4,0)))))</f>
        <v>1659.541</v>
      </c>
      <c r="P4" s="6">
        <f>IF(ISNA(MATCH(P$2,Inputs!$K$4:$AJ$4,0)),NA(),IF(SUMPRODUCT((Inputs!$A$5:$A$180=$B4)*ISNUMBER(INDEX(Inputs!$K$5:$AJ$180,0,MATCH(P$2,Inputs!$K$4:$AJ$4,0))))+SUMPRODUCT((Inputs!$C$5:$C$180=$B4)*ISNUMBER(INDEX(Inputs!$K$5:$AJ$180,0,MATCH(P$2,Inputs!$K$4:$AJ$4,0))))+SUMPRODUCT((Inputs!$E$5:$E$180=$B4)*ISNUMBER(INDEX(Inputs!$K$5:$AJ$180,0,MATCH(P$2,Inputs!$K$4:$AJ$4,0))))=0,NA(),SUMPRODUCT((Inputs!$A$5:$A$180=$B4)*Inputs!$B$5:$B$180*(((Inputs!$G$5:$G$180="moeda")+(Inputs!$G$5:$G$180="acoes"))*Inputs!$B$1+((Inputs!$G$5:$G$180&lt;&gt;"moeda")*(Inputs!$G$5:$G$180&lt;&gt;"acoes")))*INDEX(Inputs!$K$5:$AJ$180,0,MATCH(P$2,Inputs!$K$4:$AJ$4,0)))+SUMPRODUCT((Inputs!$C$5:$C$180=$B4)*Inputs!$D$5:$D$180*(((Inputs!$G$5:$G$180="moeda")+(Inputs!$G$5:$G$180="acoes"))*Inputs!$B$1+((Inputs!$G$5:$G$180&lt;&gt;"moeda")*(Inputs!$G$5:$G$180&lt;&gt;"acoes")))*INDEX(Inputs!$K$5:$AJ$180,0,MATCH(P$2,Inputs!$K$4:$AJ$4,0)))+SUMPRODUCT((Inputs!$E$5:$E$180=$B4)*Inputs!$F$5:$F$180*(((Inputs!$G$5:$G$180="moeda")+(Inputs!$G$5:$G$180="acoes"))*Inputs!$B$1+((Inputs!$G$5:$G$180&lt;&gt;"moeda")*(Inputs!$G$5:$G$180&lt;&gt;"acoes")))*INDEX(Inputs!$K$5:$AJ$180,0,MATCH(P$2,Inputs!$K$4:$AJ$4,0)))))</f>
        <v>1870.045</v>
      </c>
      <c r="Q4" s="6">
        <f>IF(ISNA(MATCH(Q$2,Inputs!$K$4:$AJ$4,0)),NA(),IF(SUMPRODUCT((Inputs!$A$5:$A$180=$B4)*ISNUMBER(INDEX(Inputs!$K$5:$AJ$180,0,MATCH(Q$2,Inputs!$K$4:$AJ$4,0))))+SUMPRODUCT((Inputs!$C$5:$C$180=$B4)*ISNUMBER(INDEX(Inputs!$K$5:$AJ$180,0,MATCH(Q$2,Inputs!$K$4:$AJ$4,0))))+SUMPRODUCT((Inputs!$E$5:$E$180=$B4)*ISNUMBER(INDEX(Inputs!$K$5:$AJ$180,0,MATCH(Q$2,Inputs!$K$4:$AJ$4,0))))=0,NA(),SUMPRODUCT((Inputs!$A$5:$A$180=$B4)*Inputs!$B$5:$B$180*(((Inputs!$G$5:$G$180="moeda")+(Inputs!$G$5:$G$180="acoes"))*Inputs!$B$1+((Inputs!$G$5:$G$180&lt;&gt;"moeda")*(Inputs!$G$5:$G$180&lt;&gt;"acoes")))*INDEX(Inputs!$K$5:$AJ$180,0,MATCH(Q$2,Inputs!$K$4:$AJ$4,0)))+SUMPRODUCT((Inputs!$C$5:$C$180=$B4)*Inputs!$D$5:$D$180*(((Inputs!$G$5:$G$180="moeda")+(Inputs!$G$5:$G$180="acoes"))*Inputs!$B$1+((Inputs!$G$5:$G$180&lt;&gt;"moeda")*(Inputs!$G$5:$G$180&lt;&gt;"acoes")))*INDEX(Inputs!$K$5:$AJ$180,0,MATCH(Q$2,Inputs!$K$4:$AJ$4,0)))+SUMPRODUCT((Inputs!$E$5:$E$180=$B4)*Inputs!$F$5:$F$180*(((Inputs!$G$5:$G$180="moeda")+(Inputs!$G$5:$G$180="acoes"))*Inputs!$B$1+((Inputs!$G$5:$G$180&lt;&gt;"moeda")*(Inputs!$G$5:$G$180&lt;&gt;"acoes")))*INDEX(Inputs!$K$5:$AJ$180,0,MATCH(Q$2,Inputs!$K$4:$AJ$4,0)))))</f>
        <v>1704.44070032</v>
      </c>
      <c r="R4" s="3">
        <f>SUM(N4:Q4)</f>
        <v>6470.85</v>
      </c>
      <c r="S4" s="6">
        <f>IF(ISNA(MATCH(S$2,Inputs!$K$4:$AJ$4,0)),NA(),IF(SUMPRODUCT((Inputs!$A$5:$A$180=$B4)*ISNUMBER(INDEX(Inputs!$K$5:$AJ$180,0,MATCH(S$2,Inputs!$K$4:$AJ$4,0))))+SUMPRODUCT((Inputs!$C$5:$C$180=$B4)*ISNUMBER(INDEX(Inputs!$K$5:$AJ$180,0,MATCH(S$2,Inputs!$K$4:$AJ$4,0))))+SUMPRODUCT((Inputs!$E$5:$E$180=$B4)*ISNUMBER(INDEX(Inputs!$K$5:$AJ$180,0,MATCH(S$2,Inputs!$K$4:$AJ$4,0))))=0,NA(),SUMPRODUCT((Inputs!$A$5:$A$180=$B4)*Inputs!$B$5:$B$180*(((Inputs!$G$5:$G$180="moeda")+(Inputs!$G$5:$G$180="acoes"))*Inputs!$B$1+((Inputs!$G$5:$G$180&lt;&gt;"moeda")*(Inputs!$G$5:$G$180&lt;&gt;"acoes")))*INDEX(Inputs!$K$5:$AJ$180,0,MATCH(S$2,Inputs!$K$4:$AJ$4,0)))+SUMPRODUCT((Inputs!$C$5:$C$180=$B4)*Inputs!$D$5:$D$180*(((Inputs!$G$5:$G$180="moeda")+(Inputs!$G$5:$G$180="acoes"))*Inputs!$B$1+((Inputs!$G$5:$G$180&lt;&gt;"moeda")*(Inputs!$G$5:$G$180&lt;&gt;"acoes")))*INDEX(Inputs!$K$5:$AJ$180,0,MATCH(S$2,Inputs!$K$4:$AJ$4,0)))+SUMPRODUCT((Inputs!$E$5:$E$180=$B4)*Inputs!$F$5:$F$180*(((Inputs!$G$5:$G$180="moeda")+(Inputs!$G$5:$G$180="acoes"))*Inputs!$B$1+((Inputs!$G$5:$G$180&lt;&gt;"moeda")*(Inputs!$G$5:$G$180&lt;&gt;"acoes")))*INDEX(Inputs!$K$5:$AJ$180,0,MATCH(S$2,Inputs!$K$4:$AJ$4,0)))))</f>
        <v>1904.4484785</v>
      </c>
      <c r="T4" s="6">
        <f>IF(ISNA(MATCH(T$2,Inputs!$K$4:$AJ$4,0)),NA(),IF(SUMPRODUCT((Inputs!$A$5:$A$180=$B4)*ISNUMBER(INDEX(Inputs!$K$5:$AJ$180,0,MATCH(T$2,Inputs!$K$4:$AJ$4,0))))+SUMPRODUCT((Inputs!$C$5:$C$180=$B4)*ISNUMBER(INDEX(Inputs!$K$5:$AJ$180,0,MATCH(T$2,Inputs!$K$4:$AJ$4,0))))+SUMPRODUCT((Inputs!$E$5:$E$180=$B4)*ISNUMBER(INDEX(Inputs!$K$5:$AJ$180,0,MATCH(T$2,Inputs!$K$4:$AJ$4,0))))=0,NA(),SUMPRODUCT((Inputs!$A$5:$A$180=$B4)*Inputs!$B$5:$B$180*(((Inputs!$G$5:$G$180="moeda")+(Inputs!$G$5:$G$180="acoes"))*Inputs!$B$1+((Inputs!$G$5:$G$180&lt;&gt;"moeda")*(Inputs!$G$5:$G$180&lt;&gt;"acoes")))*INDEX(Inputs!$K$5:$AJ$180,0,MATCH(T$2,Inputs!$K$4:$AJ$4,0)))+SUMPRODUCT((Inputs!$C$5:$C$180=$B4)*Inputs!$D$5:$D$180*(((Inputs!$G$5:$G$180="moeda")+(Inputs!$G$5:$G$180="acoes"))*Inputs!$B$1+((Inputs!$G$5:$G$180&lt;&gt;"moeda")*(Inputs!$G$5:$G$180&lt;&gt;"acoes")))*INDEX(Inputs!$K$5:$AJ$180,0,MATCH(T$2,Inputs!$K$4:$AJ$4,0)))+SUMPRODUCT((Inputs!$E$5:$E$180=$B4)*Inputs!$F$5:$F$180*(((Inputs!$G$5:$G$180="moeda")+(Inputs!$G$5:$G$180="acoes"))*Inputs!$B$1+((Inputs!$G$5:$G$180&lt;&gt;"moeda")*(Inputs!$G$5:$G$180&lt;&gt;"acoes")))*INDEX(Inputs!$K$5:$AJ$180,0,MATCH(T$2,Inputs!$K$4:$AJ$4,0)))))</f>
        <v>1978.202</v>
      </c>
      <c r="U4" s="6">
        <f>IF(ISNA(MATCH(U$2,Inputs!$K$4:$AJ$4,0)),NA(),IF(SUMPRODUCT((Inputs!$A$5:$A$180=$B4)*ISNUMBER(INDEX(Inputs!$K$5:$AJ$180,0,MATCH(U$2,Inputs!$K$4:$AJ$4,0))))+SUMPRODUCT((Inputs!$C$5:$C$180=$B4)*ISNUMBER(INDEX(Inputs!$K$5:$AJ$180,0,MATCH(U$2,Inputs!$K$4:$AJ$4,0))))+SUMPRODUCT((Inputs!$E$5:$E$180=$B4)*ISNUMBER(INDEX(Inputs!$K$5:$AJ$180,0,MATCH(U$2,Inputs!$K$4:$AJ$4,0))))=0,NA(),SUMPRODUCT((Inputs!$A$5:$A$180=$B4)*Inputs!$B$5:$B$180*(((Inputs!$G$5:$G$180="moeda")+(Inputs!$G$5:$G$180="acoes"))*Inputs!$B$1+((Inputs!$G$5:$G$180&lt;&gt;"moeda")*(Inputs!$G$5:$G$180&lt;&gt;"acoes")))*INDEX(Inputs!$K$5:$AJ$180,0,MATCH(U$2,Inputs!$K$4:$AJ$4,0)))+SUMPRODUCT((Inputs!$C$5:$C$180=$B4)*Inputs!$D$5:$D$180*(((Inputs!$G$5:$G$180="moeda")+(Inputs!$G$5:$G$180="acoes"))*Inputs!$B$1+((Inputs!$G$5:$G$180&lt;&gt;"moeda")*(Inputs!$G$5:$G$180&lt;&gt;"acoes")))*INDEX(Inputs!$K$5:$AJ$180,0,MATCH(U$2,Inputs!$K$4:$AJ$4,0)))+SUMPRODUCT((Inputs!$E$5:$E$180=$B4)*Inputs!$F$5:$F$180*(((Inputs!$G$5:$G$180="moeda")+(Inputs!$G$5:$G$180="acoes"))*Inputs!$B$1+((Inputs!$G$5:$G$180&lt;&gt;"moeda")*(Inputs!$G$5:$G$180&lt;&gt;"acoes")))*INDEX(Inputs!$K$5:$AJ$180,0,MATCH(U$2,Inputs!$K$4:$AJ$4,0)))))</f>
        <v>1962.671474</v>
      </c>
      <c r="V4" s="6">
        <f>IF(ISNA(MATCH(V$2,Inputs!$K$4:$AJ$4,0)),NA(),IF(SUMPRODUCT((Inputs!$A$5:$A$180=$B4)*ISNUMBER(INDEX(Inputs!$K$5:$AJ$180,0,MATCH(V$2,Inputs!$K$4:$AJ$4,0))))+SUMPRODUCT((Inputs!$C$5:$C$180=$B4)*ISNUMBER(INDEX(Inputs!$K$5:$AJ$180,0,MATCH(V$2,Inputs!$K$4:$AJ$4,0))))+SUMPRODUCT((Inputs!$E$5:$E$180=$B4)*ISNUMBER(INDEX(Inputs!$K$5:$AJ$180,0,MATCH(V$2,Inputs!$K$4:$AJ$4,0))))=0,NA(),SUMPRODUCT((Inputs!$A$5:$A$180=$B4)*Inputs!$B$5:$B$180*(((Inputs!$G$5:$G$180="moeda")+(Inputs!$G$5:$G$180="acoes"))*Inputs!$B$1+((Inputs!$G$5:$G$180&lt;&gt;"moeda")*(Inputs!$G$5:$G$180&lt;&gt;"acoes")))*INDEX(Inputs!$K$5:$AJ$180,0,MATCH(V$2,Inputs!$K$4:$AJ$4,0)))+SUMPRODUCT((Inputs!$C$5:$C$180=$B4)*Inputs!$D$5:$D$180*(((Inputs!$G$5:$G$180="moeda")+(Inputs!$G$5:$G$180="acoes"))*Inputs!$B$1+((Inputs!$G$5:$G$180&lt;&gt;"moeda")*(Inputs!$G$5:$G$180&lt;&gt;"acoes")))*INDEX(Inputs!$K$5:$AJ$180,0,MATCH(V$2,Inputs!$K$4:$AJ$4,0)))+SUMPRODUCT((Inputs!$E$5:$E$180=$B4)*Inputs!$F$5:$F$180*(((Inputs!$G$5:$G$180="moeda")+(Inputs!$G$5:$G$180="acoes"))*Inputs!$B$1+((Inputs!$G$5:$G$180&lt;&gt;"moeda")*(Inputs!$G$5:$G$180&lt;&gt;"acoes")))*INDEX(Inputs!$K$5:$AJ$180,0,MATCH(V$2,Inputs!$K$4:$AJ$4,0)))))</f>
        <v>1839.3370475</v>
      </c>
      <c r="W4" s="3">
        <f>SUM(S4:V4)</f>
        <v>7684.659</v>
      </c>
      <c r="X4" s="6">
        <f>IF(ISNA(MATCH(X$2,Inputs!$K$4:$AJ$4,0)),NA(),IF(SUMPRODUCT((Inputs!$A$5:$A$180=$B4)*ISNUMBER(INDEX(Inputs!$K$5:$AJ$180,0,MATCH(X$2,Inputs!$K$4:$AJ$4,0))))+SUMPRODUCT((Inputs!$C$5:$C$180=$B4)*ISNUMBER(INDEX(Inputs!$K$5:$AJ$180,0,MATCH(X$2,Inputs!$K$4:$AJ$4,0))))+SUMPRODUCT((Inputs!$E$5:$E$180=$B4)*ISNUMBER(INDEX(Inputs!$K$5:$AJ$180,0,MATCH(X$2,Inputs!$K$4:$AJ$4,0))))=0,NA(),SUMPRODUCT((Inputs!$A$5:$A$180=$B4)*Inputs!$B$5:$B$180*(((Inputs!$G$5:$G$180="moeda")+(Inputs!$G$5:$G$180="acoes"))*Inputs!$B$1+((Inputs!$G$5:$G$180&lt;&gt;"moeda")*(Inputs!$G$5:$G$180&lt;&gt;"acoes")))*INDEX(Inputs!$K$5:$AJ$180,0,MATCH(X$2,Inputs!$K$4:$AJ$4,0)))+SUMPRODUCT((Inputs!$C$5:$C$180=$B4)*Inputs!$D$5:$D$180*(((Inputs!$G$5:$G$180="moeda")+(Inputs!$G$5:$G$180="acoes"))*Inputs!$B$1+((Inputs!$G$5:$G$180&lt;&gt;"moeda")*(Inputs!$G$5:$G$180&lt;&gt;"acoes")))*INDEX(Inputs!$K$5:$AJ$180,0,MATCH(X$2,Inputs!$K$4:$AJ$4,0)))+SUMPRODUCT((Inputs!$E$5:$E$180=$B4)*Inputs!$F$5:$F$180*(((Inputs!$G$5:$G$180="moeda")+(Inputs!$G$5:$G$180="acoes"))*Inputs!$B$1+((Inputs!$G$5:$G$180&lt;&gt;"moeda")*(Inputs!$G$5:$G$180&lt;&gt;"acoes")))*INDEX(Inputs!$K$5:$AJ$180,0,MATCH(X$2,Inputs!$K$4:$AJ$4,0)))))</f>
        <v>2015.074</v>
      </c>
      <c r="Y4" s="6">
        <f>IF(ISNA(MATCH(Y$2,Inputs!$K$4:$AJ$4,0)),NA(),IF(SUMPRODUCT((Inputs!$A$5:$A$180=$B4)*ISNUMBER(INDEX(Inputs!$K$5:$AJ$180,0,MATCH(Y$2,Inputs!$K$4:$AJ$4,0))))+SUMPRODUCT((Inputs!$C$5:$C$180=$B4)*ISNUMBER(INDEX(Inputs!$K$5:$AJ$180,0,MATCH(Y$2,Inputs!$K$4:$AJ$4,0))))+SUMPRODUCT((Inputs!$E$5:$E$180=$B4)*ISNUMBER(INDEX(Inputs!$K$5:$AJ$180,0,MATCH(Y$2,Inputs!$K$4:$AJ$4,0))))=0,NA(),SUMPRODUCT((Inputs!$A$5:$A$180=$B4)*Inputs!$B$5:$B$180*(((Inputs!$G$5:$G$180="moeda")+(Inputs!$G$5:$G$180="acoes"))*Inputs!$B$1+((Inputs!$G$5:$G$180&lt;&gt;"moeda")*(Inputs!$G$5:$G$180&lt;&gt;"acoes")))*INDEX(Inputs!$K$5:$AJ$180,0,MATCH(Y$2,Inputs!$K$4:$AJ$4,0)))+SUMPRODUCT((Inputs!$C$5:$C$180=$B4)*Inputs!$D$5:$D$180*(((Inputs!$G$5:$G$180="moeda")+(Inputs!$G$5:$G$180="acoes"))*Inputs!$B$1+((Inputs!$G$5:$G$180&lt;&gt;"moeda")*(Inputs!$G$5:$G$180&lt;&gt;"acoes")))*INDEX(Inputs!$K$5:$AJ$180,0,MATCH(Y$2,Inputs!$K$4:$AJ$4,0)))+SUMPRODUCT((Inputs!$E$5:$E$180=$B4)*Inputs!$F$5:$F$180*(((Inputs!$G$5:$G$180="moeda")+(Inputs!$G$5:$G$180="acoes"))*Inputs!$B$1+((Inputs!$G$5:$G$180&lt;&gt;"moeda")*(Inputs!$G$5:$G$180&lt;&gt;"acoes")))*INDEX(Inputs!$K$5:$AJ$180,0,MATCH(Y$2,Inputs!$K$4:$AJ$4,0)))))</f>
        <v>2024.533</v>
      </c>
      <c r="Z4" s="6">
        <f>IF(ISNA(MATCH(Z$2,Inputs!$K$4:$AJ$4,0)),NA(),IF(SUMPRODUCT((Inputs!$A$5:$A$180=$B4)*ISNUMBER(INDEX(Inputs!$K$5:$AJ$180,0,MATCH(Z$2,Inputs!$K$4:$AJ$4,0))))+SUMPRODUCT((Inputs!$C$5:$C$180=$B4)*ISNUMBER(INDEX(Inputs!$K$5:$AJ$180,0,MATCH(Z$2,Inputs!$K$4:$AJ$4,0))))+SUMPRODUCT((Inputs!$E$5:$E$180=$B4)*ISNUMBER(INDEX(Inputs!$K$5:$AJ$180,0,MATCH(Z$2,Inputs!$K$4:$AJ$4,0))))=0,NA(),SUMPRODUCT((Inputs!$A$5:$A$180=$B4)*Inputs!$B$5:$B$180*(((Inputs!$G$5:$G$180="moeda")+(Inputs!$G$5:$G$180="acoes"))*Inputs!$B$1+((Inputs!$G$5:$G$180&lt;&gt;"moeda")*(Inputs!$G$5:$G$180&lt;&gt;"acoes")))*INDEX(Inputs!$K$5:$AJ$180,0,MATCH(Z$2,Inputs!$K$4:$AJ$4,0)))+SUMPRODUCT((Inputs!$C$5:$C$180=$B4)*Inputs!$D$5:$D$180*(((Inputs!$G$5:$G$180="moeda")+(Inputs!$G$5:$G$180="acoes"))*Inputs!$B$1+((Inputs!$G$5:$G$180&lt;&gt;"moeda")*(Inputs!$G$5:$G$180&lt;&gt;"acoes")))*INDEX(Inputs!$K$5:$AJ$180,0,MATCH(Z$2,Inputs!$K$4:$AJ$4,0)))+SUMPRODUCT((Inputs!$E$5:$E$180=$B4)*Inputs!$F$5:$F$180*(((Inputs!$G$5:$G$180="moeda")+(Inputs!$G$5:$G$180="acoes"))*Inputs!$B$1+((Inputs!$G$5:$G$180&lt;&gt;"moeda")*(Inputs!$G$5:$G$180&lt;&gt;"acoes")))*INDEX(Inputs!$K$5:$AJ$180,0,MATCH(Z$2,Inputs!$K$4:$AJ$4,0)))))</f>
        <v>2190.97918382714</v>
      </c>
      <c r="AA4" s="6">
        <f>IF(ISNA(MATCH(AA$2,Inputs!$K$4:$AJ$4,0)),NA(),IF(SUMPRODUCT((Inputs!$A$5:$A$180=$B4)*ISNUMBER(INDEX(Inputs!$K$5:$AJ$180,0,MATCH(AA$2,Inputs!$K$4:$AJ$4,0))))+SUMPRODUCT((Inputs!$C$5:$C$180=$B4)*ISNUMBER(INDEX(Inputs!$K$5:$AJ$180,0,MATCH(AA$2,Inputs!$K$4:$AJ$4,0))))+SUMPRODUCT((Inputs!$E$5:$E$180=$B4)*ISNUMBER(INDEX(Inputs!$K$5:$AJ$180,0,MATCH(AA$2,Inputs!$K$4:$AJ$4,0))))=0,NA(),SUMPRODUCT((Inputs!$A$5:$A$180=$B4)*Inputs!$B$5:$B$180*(((Inputs!$G$5:$G$180="moeda")+(Inputs!$G$5:$G$180="acoes"))*Inputs!$B$1+((Inputs!$G$5:$G$180&lt;&gt;"moeda")*(Inputs!$G$5:$G$180&lt;&gt;"acoes")))*INDEX(Inputs!$K$5:$AJ$180,0,MATCH(AA$2,Inputs!$K$4:$AJ$4,0)))+SUMPRODUCT((Inputs!$C$5:$C$180=$B4)*Inputs!$D$5:$D$180*(((Inputs!$G$5:$G$180="moeda")+(Inputs!$G$5:$G$180="acoes"))*Inputs!$B$1+((Inputs!$G$5:$G$180&lt;&gt;"moeda")*(Inputs!$G$5:$G$180&lt;&gt;"acoes")))*INDEX(Inputs!$K$5:$AJ$180,0,MATCH(AA$2,Inputs!$K$4:$AJ$4,0)))+SUMPRODUCT((Inputs!$E$5:$E$180=$B4)*Inputs!$F$5:$F$180*(((Inputs!$G$5:$G$180="moeda")+(Inputs!$G$5:$G$180="acoes"))*Inputs!$B$1+((Inputs!$G$5:$G$180&lt;&gt;"moeda")*(Inputs!$G$5:$G$180&lt;&gt;"acoes")))*INDEX(Inputs!$K$5:$AJ$180,0,MATCH(AA$2,Inputs!$K$4:$AJ$4,0)))))</f>
        <v>2060.59533814</v>
      </c>
      <c r="AB4" s="3">
        <f>SUM(X4:AA4)</f>
        <v>8291.18152196714</v>
      </c>
      <c r="AC4" s="6">
        <f>IF(ISNA(MATCH(AC$2,Inputs!$K$4:$AJ$4,0)),NA(),IF(SUMPRODUCT((Inputs!$A$5:$A$180=$B4)*ISNUMBER(INDEX(Inputs!$K$5:$AJ$180,0,MATCH(AC$2,Inputs!$K$4:$AJ$4,0))))+SUMPRODUCT((Inputs!$C$5:$C$180=$B4)*ISNUMBER(INDEX(Inputs!$K$5:$AJ$180,0,MATCH(AC$2,Inputs!$K$4:$AJ$4,0))))+SUMPRODUCT((Inputs!$E$5:$E$180=$B4)*ISNUMBER(INDEX(Inputs!$K$5:$AJ$180,0,MATCH(AC$2,Inputs!$K$4:$AJ$4,0))))=0,NA(),SUMPRODUCT((Inputs!$A$5:$A$180=$B4)*Inputs!$B$5:$B$180*(((Inputs!$G$5:$G$180="moeda")+(Inputs!$G$5:$G$180="acoes"))*Inputs!$B$1+((Inputs!$G$5:$G$180&lt;&gt;"moeda")*(Inputs!$G$5:$G$180&lt;&gt;"acoes")))*INDEX(Inputs!$K$5:$AJ$180,0,MATCH(AC$2,Inputs!$K$4:$AJ$4,0)))+SUMPRODUCT((Inputs!$C$5:$C$180=$B4)*Inputs!$D$5:$D$180*(((Inputs!$G$5:$G$180="moeda")+(Inputs!$G$5:$G$180="acoes"))*Inputs!$B$1+((Inputs!$G$5:$G$180&lt;&gt;"moeda")*(Inputs!$G$5:$G$180&lt;&gt;"acoes")))*INDEX(Inputs!$K$5:$AJ$180,0,MATCH(AC$2,Inputs!$K$4:$AJ$4,0)))+SUMPRODUCT((Inputs!$E$5:$E$180=$B4)*Inputs!$F$5:$F$180*(((Inputs!$G$5:$G$180="moeda")+(Inputs!$G$5:$G$180="acoes"))*Inputs!$B$1+((Inputs!$G$5:$G$180&lt;&gt;"moeda")*(Inputs!$G$5:$G$180&lt;&gt;"acoes")))*INDEX(Inputs!$K$5:$AJ$180,0,MATCH(AC$2,Inputs!$K$4:$AJ$4,0)))))</f>
        <v>2223.11781868</v>
      </c>
      <c r="AD4" s="6">
        <f>IF(ISNA(MATCH(AD$2,Inputs!$K$4:$AJ$4,0)),NA(),IF(SUMPRODUCT((Inputs!$A$5:$A$180=$B4)*ISNUMBER(INDEX(Inputs!$K$5:$AJ$180,0,MATCH(AD$2,Inputs!$K$4:$AJ$4,0))))+SUMPRODUCT((Inputs!$C$5:$C$180=$B4)*ISNUMBER(INDEX(Inputs!$K$5:$AJ$180,0,MATCH(AD$2,Inputs!$K$4:$AJ$4,0))))+SUMPRODUCT((Inputs!$E$5:$E$180=$B4)*ISNUMBER(INDEX(Inputs!$K$5:$AJ$180,0,MATCH(AD$2,Inputs!$K$4:$AJ$4,0))))=0,NA(),SUMPRODUCT((Inputs!$A$5:$A$180=$B4)*Inputs!$B$5:$B$180*(((Inputs!$G$5:$G$180="moeda")+(Inputs!$G$5:$G$180="acoes"))*Inputs!$B$1+((Inputs!$G$5:$G$180&lt;&gt;"moeda")*(Inputs!$G$5:$G$180&lt;&gt;"acoes")))*INDEX(Inputs!$K$5:$AJ$180,0,MATCH(AD$2,Inputs!$K$4:$AJ$4,0)))+SUMPRODUCT((Inputs!$C$5:$C$180=$B4)*Inputs!$D$5:$D$180*(((Inputs!$G$5:$G$180="moeda")+(Inputs!$G$5:$G$180="acoes"))*Inputs!$B$1+((Inputs!$G$5:$G$180&lt;&gt;"moeda")*(Inputs!$G$5:$G$180&lt;&gt;"acoes")))*INDEX(Inputs!$K$5:$AJ$180,0,MATCH(AD$2,Inputs!$K$4:$AJ$4,0)))+SUMPRODUCT((Inputs!$E$5:$E$180=$B4)*Inputs!$F$5:$F$180*(((Inputs!$G$5:$G$180="moeda")+(Inputs!$G$5:$G$180="acoes"))*Inputs!$B$1+((Inputs!$G$5:$G$180&lt;&gt;"moeda")*(Inputs!$G$5:$G$180&lt;&gt;"acoes")))*INDEX(Inputs!$K$5:$AJ$180,0,MATCH(AD$2,Inputs!$K$4:$AJ$4,0)))))</f>
        <v>2316.653662</v>
      </c>
      <c r="AE4" s="6" t="e">
        <f>IF(ISNA(MATCH(AE$2,Inputs!$K$4:$AJ$4,0)),NA(),IF(SUMPRODUCT((Inputs!$A$5:$A$180=$B4)*ISNUMBER(INDEX(Inputs!$K$5:$AJ$180,0,MATCH(AE$2,Inputs!$K$4:$AJ$4,0))))+SUMPRODUCT((Inputs!$C$5:$C$180=$B4)*ISNUMBER(INDEX(Inputs!$K$5:$AJ$180,0,MATCH(AE$2,Inputs!$K$4:$AJ$4,0))))+SUMPRODUCT((Inputs!$E$5:$E$180=$B4)*ISNUMBER(INDEX(Inputs!$K$5:$AJ$180,0,MATCH(AE$2,Inputs!$K$4:$AJ$4,0))))=0,NA(),SUMPRODUCT((Inputs!$A$5:$A$180=$B4)*Inputs!$B$5:$B$180*(((Inputs!$G$5:$G$180="moeda")+(Inputs!$G$5:$G$180="acoes"))*Inputs!$B$1+((Inputs!$G$5:$G$180&lt;&gt;"moeda")*(Inputs!$G$5:$G$180&lt;&gt;"acoes")))*INDEX(Inputs!$K$5:$AJ$180,0,MATCH(AE$2,Inputs!$K$4:$AJ$4,0)))+SUMPRODUCT((Inputs!$C$5:$C$180=$B4)*Inputs!$D$5:$D$180*(((Inputs!$G$5:$G$180="moeda")+(Inputs!$G$5:$G$180="acoes"))*Inputs!$B$1+((Inputs!$G$5:$G$180&lt;&gt;"moeda")*(Inputs!$G$5:$G$180&lt;&gt;"acoes")))*INDEX(Inputs!$K$5:$AJ$180,0,MATCH(AE$2,Inputs!$K$4:$AJ$4,0)))+SUMPRODUCT((Inputs!$E$5:$E$180=$B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" s="6" t="e">
        <f>IF(ISNA(MATCH(AF$2,Inputs!$K$4:$AJ$4,0)),NA(),IF(SUMPRODUCT((Inputs!$A$5:$A$180=$B4)*ISNUMBER(INDEX(Inputs!$K$5:$AJ$180,0,MATCH(AF$2,Inputs!$K$4:$AJ$4,0))))+SUMPRODUCT((Inputs!$C$5:$C$180=$B4)*ISNUMBER(INDEX(Inputs!$K$5:$AJ$180,0,MATCH(AF$2,Inputs!$K$4:$AJ$4,0))))+SUMPRODUCT((Inputs!$E$5:$E$180=$B4)*ISNUMBER(INDEX(Inputs!$K$5:$AJ$180,0,MATCH(AF$2,Inputs!$K$4:$AJ$4,0))))=0,NA(),SUMPRODUCT((Inputs!$A$5:$A$180=$B4)*Inputs!$B$5:$B$180*(((Inputs!$G$5:$G$180="moeda")+(Inputs!$G$5:$G$180="acoes"))*Inputs!$B$1+((Inputs!$G$5:$G$180&lt;&gt;"moeda")*(Inputs!$G$5:$G$180&lt;&gt;"acoes")))*INDEX(Inputs!$K$5:$AJ$180,0,MATCH(AF$2,Inputs!$K$4:$AJ$4,0)))+SUMPRODUCT((Inputs!$C$5:$C$180=$B4)*Inputs!$D$5:$D$180*(((Inputs!$G$5:$G$180="moeda")+(Inputs!$G$5:$G$180="acoes"))*Inputs!$B$1+((Inputs!$G$5:$G$180&lt;&gt;"moeda")*(Inputs!$G$5:$G$180&lt;&gt;"acoes")))*INDEX(Inputs!$K$5:$AJ$180,0,MATCH(AF$2,Inputs!$K$4:$AJ$4,0)))+SUMPRODUCT((Inputs!$E$5:$E$180=$B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" s="3" t="e">
        <f>SUM(AC4:AF4)</f>
        <v>#N/A</v>
      </c>
      <c r="AH4" s="6">
        <f>IF(ISNA(MATCH(AH$2,Inputs!$K$4:$AJ$4,0)),NA(),IF(SUMPRODUCT((Inputs!$A$5:$A$180=$B4)*ISNUMBER(INDEX(Inputs!$K$5:$AJ$180,0,MATCH(AH$2,Inputs!$K$4:$AJ$4,0))))+SUMPRODUCT((Inputs!$C$5:$C$180=$B4)*ISNUMBER(INDEX(Inputs!$K$5:$AJ$180,0,MATCH(AH$2,Inputs!$K$4:$AJ$4,0))))+SUMPRODUCT((Inputs!$E$5:$E$180=$B4)*ISNUMBER(INDEX(Inputs!$K$5:$AJ$180,0,MATCH(AH$2,Inputs!$K$4:$AJ$4,0))))=0,NA(),SUMPRODUCT((Inputs!$A$5:$A$180=$B4)*Inputs!$B$5:$B$180*(((Inputs!$G$5:$G$180="moeda")+(Inputs!$G$5:$G$180="acoes"))*Inputs!$B$1+((Inputs!$G$5:$G$180&lt;&gt;"moeda")*(Inputs!$G$5:$G$180&lt;&gt;"acoes")))*INDEX(Inputs!$K$5:$AJ$180,0,MATCH(AH$2,Inputs!$K$4:$AJ$4,0)))+SUMPRODUCT((Inputs!$C$5:$C$180=$B4)*Inputs!$D$5:$D$180*(((Inputs!$G$5:$G$180="moeda")+(Inputs!$G$5:$G$180="acoes"))*Inputs!$B$1+((Inputs!$G$5:$G$180&lt;&gt;"moeda")*(Inputs!$G$5:$G$180&lt;&gt;"acoes")))*INDEX(Inputs!$K$5:$AJ$180,0,MATCH(AH$2,Inputs!$K$4:$AJ$4,0)))+SUMPRODUCT((Inputs!$E$5:$E$180=$B4)*Inputs!$F$5:$F$180*(((Inputs!$G$5:$G$180="moeda")+(Inputs!$G$5:$G$180="acoes"))*Inputs!$B$1+((Inputs!$G$5:$G$180&lt;&gt;"moeda")*(Inputs!$G$5:$G$180&lt;&gt;"acoes")))*INDEX(Inputs!$K$5:$AJ$180,0,MATCH(AH$2,Inputs!$K$4:$AJ$4,0)))))</f>
        <v>713.933873516418</v>
      </c>
      <c r="AI4" s="6">
        <f>IF(ISNA(MATCH(AI$2,Inputs!$K$4:$AJ$4,0)),NA(),IF(SUMPRODUCT((Inputs!$A$5:$A$180=$B4)*ISNUMBER(INDEX(Inputs!$K$5:$AJ$180,0,MATCH(AI$2,Inputs!$K$4:$AJ$4,0))))+SUMPRODUCT((Inputs!$C$5:$C$180=$B4)*ISNUMBER(INDEX(Inputs!$K$5:$AJ$180,0,MATCH(AI$2,Inputs!$K$4:$AJ$4,0))))+SUMPRODUCT((Inputs!$E$5:$E$180=$B4)*ISNUMBER(INDEX(Inputs!$K$5:$AJ$180,0,MATCH(AI$2,Inputs!$K$4:$AJ$4,0))))=0,NA(),SUMPRODUCT((Inputs!$A$5:$A$180=$B4)*Inputs!$B$5:$B$180*(((Inputs!$G$5:$G$180="moeda")+(Inputs!$G$5:$G$180="acoes"))*Inputs!$B$1+((Inputs!$G$5:$G$180&lt;&gt;"moeda")*(Inputs!$G$5:$G$180&lt;&gt;"acoes")))*INDEX(Inputs!$K$5:$AJ$180,0,MATCH(AI$2,Inputs!$K$4:$AJ$4,0)))+SUMPRODUCT((Inputs!$C$5:$C$180=$B4)*Inputs!$D$5:$D$180*(((Inputs!$G$5:$G$180="moeda")+(Inputs!$G$5:$G$180="acoes"))*Inputs!$B$1+((Inputs!$G$5:$G$180&lt;&gt;"moeda")*(Inputs!$G$5:$G$180&lt;&gt;"acoes")))*INDEX(Inputs!$K$5:$AJ$180,0,MATCH(AI$2,Inputs!$K$4:$AJ$4,0)))+SUMPRODUCT((Inputs!$E$5:$E$180=$B4)*Inputs!$F$5:$F$180*(((Inputs!$G$5:$G$180="moeda")+(Inputs!$G$5:$G$180="acoes"))*Inputs!$B$1+((Inputs!$G$5:$G$180&lt;&gt;"moeda")*(Inputs!$G$5:$G$180&lt;&gt;"acoes")))*INDEX(Inputs!$K$5:$AJ$180,0,MATCH(AI$2,Inputs!$K$4:$AJ$4,0)))))</f>
        <v>454.943895321088</v>
      </c>
      <c r="AJ4" s="6">
        <f>IF(ISNA(MATCH(AJ$2,Inputs!$K$4:$AJ$4,0)),NA(),IF(SUMPRODUCT((Inputs!$A$5:$A$180=$B4)*ISNUMBER(INDEX(Inputs!$K$5:$AJ$180,0,MATCH(AJ$2,Inputs!$K$4:$AJ$4,0))))+SUMPRODUCT((Inputs!$C$5:$C$180=$B4)*ISNUMBER(INDEX(Inputs!$K$5:$AJ$180,0,MATCH(AJ$2,Inputs!$K$4:$AJ$4,0))))+SUMPRODUCT((Inputs!$E$5:$E$180=$B4)*ISNUMBER(INDEX(Inputs!$K$5:$AJ$180,0,MATCH(AJ$2,Inputs!$K$4:$AJ$4,0))))=0,NA(),SUMPRODUCT((Inputs!$A$5:$A$180=$B4)*Inputs!$B$5:$B$180*(((Inputs!$G$5:$G$180="moeda")+(Inputs!$G$5:$G$180="acoes"))*Inputs!$B$1+((Inputs!$G$5:$G$180&lt;&gt;"moeda")*(Inputs!$G$5:$G$180&lt;&gt;"acoes")))*INDEX(Inputs!$K$5:$AJ$180,0,MATCH(AJ$2,Inputs!$K$4:$AJ$4,0)))+SUMPRODUCT((Inputs!$C$5:$C$180=$B4)*Inputs!$D$5:$D$180*(((Inputs!$G$5:$G$180="moeda")+(Inputs!$G$5:$G$180="acoes"))*Inputs!$B$1+((Inputs!$G$5:$G$180&lt;&gt;"moeda")*(Inputs!$G$5:$G$180&lt;&gt;"acoes")))*INDEX(Inputs!$K$5:$AJ$180,0,MATCH(AJ$2,Inputs!$K$4:$AJ$4,0)))+SUMPRODUCT((Inputs!$E$5:$E$180=$B4)*Inputs!$F$5:$F$180*(((Inputs!$G$5:$G$180="moeda")+(Inputs!$G$5:$G$180="acoes"))*Inputs!$B$1+((Inputs!$G$5:$G$180&lt;&gt;"moeda")*(Inputs!$G$5:$G$180&lt;&gt;"acoes")))*INDEX(Inputs!$K$5:$AJ$180,0,MATCH(AJ$2,Inputs!$K$4:$AJ$4,0)))))</f>
        <v>874.583070435985</v>
      </c>
      <c r="AK4" s="6">
        <f>IF(ISNA(MATCH(AK$2,Inputs!$K$4:$AJ$4,0)),NA(),IF(SUMPRODUCT((Inputs!$A$5:$A$180=$B4)*ISNUMBER(INDEX(Inputs!$K$5:$AJ$180,0,MATCH(AK$2,Inputs!$K$4:$AJ$4,0))))+SUMPRODUCT((Inputs!$C$5:$C$180=$B4)*ISNUMBER(INDEX(Inputs!$K$5:$AJ$180,0,MATCH(AK$2,Inputs!$K$4:$AJ$4,0))))+SUMPRODUCT((Inputs!$E$5:$E$180=$B4)*ISNUMBER(INDEX(Inputs!$K$5:$AJ$180,0,MATCH(AK$2,Inputs!$K$4:$AJ$4,0))))=0,NA(),SUMPRODUCT((Inputs!$A$5:$A$180=$B4)*Inputs!$B$5:$B$180*(((Inputs!$G$5:$G$180="moeda")+(Inputs!$G$5:$G$180="acoes"))*Inputs!$B$1+((Inputs!$G$5:$G$180&lt;&gt;"moeda")*(Inputs!$G$5:$G$180&lt;&gt;"acoes")))*INDEX(Inputs!$K$5:$AJ$180,0,MATCH(AK$2,Inputs!$K$4:$AJ$4,0)))+SUMPRODUCT((Inputs!$C$5:$C$180=$B4)*Inputs!$D$5:$D$180*(((Inputs!$G$5:$G$180="moeda")+(Inputs!$G$5:$G$180="acoes"))*Inputs!$B$1+((Inputs!$G$5:$G$180&lt;&gt;"moeda")*(Inputs!$G$5:$G$180&lt;&gt;"acoes")))*INDEX(Inputs!$K$5:$AJ$180,0,MATCH(AK$2,Inputs!$K$4:$AJ$4,0)))+SUMPRODUCT((Inputs!$E$5:$E$180=$B4)*Inputs!$F$5:$F$180*(((Inputs!$G$5:$G$180="moeda")+(Inputs!$G$5:$G$180="acoes"))*Inputs!$B$1+((Inputs!$G$5:$G$180&lt;&gt;"moeda")*(Inputs!$G$5:$G$180&lt;&gt;"acoes")))*INDEX(Inputs!$K$5:$AJ$180,0,MATCH(AK$2,Inputs!$K$4:$AJ$4,0)))))</f>
        <v>928.154743530001</v>
      </c>
      <c r="AL4" s="3">
        <f>SUM(AH4:AK4)</f>
        <v>2971.61558280349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$180=$B5)*ISNUMBER(INDEX(Inputs!$K$5:$AJ$180,0,MATCH(D$2,Inputs!$K$4:$AJ$4,0))))+SUMPRODUCT((Inputs!$C$5:$C$180=$B5)*ISNUMBER(INDEX(Inputs!$K$5:$AJ$180,0,MATCH(D$2,Inputs!$K$4:$AJ$4,0))))+SUMPRODUCT((Inputs!$E$5:$E$180=$B5)*ISNUMBER(INDEX(Inputs!$K$5:$AJ$180,0,MATCH(D$2,Inputs!$K$4:$AJ$4,0))))=0,NA(),SUMPRODUCT((Inputs!$A$5:$A$180=$B5)*Inputs!$B$5:$B$180*(((Inputs!$G$5:$G$180="moeda")+(Inputs!$G$5:$G$180="acoes"))*Inputs!$B$1+((Inputs!$G$5:$G$180&lt;&gt;"moeda")*(Inputs!$G$5:$G$180&lt;&gt;"acoes")))*INDEX(Inputs!$K$5:$AJ$180,0,MATCH(D$2,Inputs!$K$4:$AJ$4,0)))+SUMPRODUCT((Inputs!$C$5:$C$180=$B5)*Inputs!$D$5:$D$180*(((Inputs!$G$5:$G$180="moeda")+(Inputs!$G$5:$G$180="acoes"))*Inputs!$B$1+((Inputs!$G$5:$G$180&lt;&gt;"moeda")*(Inputs!$G$5:$G$180&lt;&gt;"acoes")))*INDEX(Inputs!$K$5:$AJ$180,0,MATCH(D$2,Inputs!$K$4:$AJ$4,0)))+SUMPRODUCT((Inputs!$E$5:$E$180=$B5)*Inputs!$F$5:$F$180*(((Inputs!$G$5:$G$180="moeda")+(Inputs!$G$5:$G$180="acoes"))*Inputs!$B$1+((Inputs!$G$5:$G$180&lt;&gt;"moeda")*(Inputs!$G$5:$G$180&lt;&gt;"acoes")))*INDEX(Inputs!$K$5:$AJ$180,0,MATCH(D$2,Inputs!$K$4:$AJ$4,0)))))</f>
        <v>-534.68033785</v>
      </c>
      <c r="E5" s="6">
        <f>IF(ISNA(MATCH(E$2,Inputs!$K$4:$AJ$4,0)),NA(),IF(SUMPRODUCT((Inputs!$A$5:$A$180=$B5)*ISNUMBER(INDEX(Inputs!$K$5:$AJ$180,0,MATCH(E$2,Inputs!$K$4:$AJ$4,0))))+SUMPRODUCT((Inputs!$C$5:$C$180=$B5)*ISNUMBER(INDEX(Inputs!$K$5:$AJ$180,0,MATCH(E$2,Inputs!$K$4:$AJ$4,0))))+SUMPRODUCT((Inputs!$E$5:$E$180=$B5)*ISNUMBER(INDEX(Inputs!$K$5:$AJ$180,0,MATCH(E$2,Inputs!$K$4:$AJ$4,0))))=0,NA(),SUMPRODUCT((Inputs!$A$5:$A$180=$B5)*Inputs!$B$5:$B$180*(((Inputs!$G$5:$G$180="moeda")+(Inputs!$G$5:$G$180="acoes"))*Inputs!$B$1+((Inputs!$G$5:$G$180&lt;&gt;"moeda")*(Inputs!$G$5:$G$180&lt;&gt;"acoes")))*INDEX(Inputs!$K$5:$AJ$180,0,MATCH(E$2,Inputs!$K$4:$AJ$4,0)))+SUMPRODUCT((Inputs!$C$5:$C$180=$B5)*Inputs!$D$5:$D$180*(((Inputs!$G$5:$G$180="moeda")+(Inputs!$G$5:$G$180="acoes"))*Inputs!$B$1+((Inputs!$G$5:$G$180&lt;&gt;"moeda")*(Inputs!$G$5:$G$180&lt;&gt;"acoes")))*INDEX(Inputs!$K$5:$AJ$180,0,MATCH(E$2,Inputs!$K$4:$AJ$4,0)))+SUMPRODUCT((Inputs!$E$5:$E$180=$B5)*Inputs!$F$5:$F$180*(((Inputs!$G$5:$G$180="moeda")+(Inputs!$G$5:$G$180="acoes"))*Inputs!$B$1+((Inputs!$G$5:$G$180&lt;&gt;"moeda")*(Inputs!$G$5:$G$180&lt;&gt;"acoes")))*INDEX(Inputs!$K$5:$AJ$180,0,MATCH(E$2,Inputs!$K$4:$AJ$4,0)))))</f>
        <v>-598.85567232</v>
      </c>
      <c r="F5" s="6">
        <f>IF(ISNA(MATCH(F$2,Inputs!$K$4:$AJ$4,0)),NA(),IF(SUMPRODUCT((Inputs!$A$5:$A$180=$B5)*ISNUMBER(INDEX(Inputs!$K$5:$AJ$180,0,MATCH(F$2,Inputs!$K$4:$AJ$4,0))))+SUMPRODUCT((Inputs!$C$5:$C$180=$B5)*ISNUMBER(INDEX(Inputs!$K$5:$AJ$180,0,MATCH(F$2,Inputs!$K$4:$AJ$4,0))))+SUMPRODUCT((Inputs!$E$5:$E$180=$B5)*ISNUMBER(INDEX(Inputs!$K$5:$AJ$180,0,MATCH(F$2,Inputs!$K$4:$AJ$4,0))))=0,NA(),SUMPRODUCT((Inputs!$A$5:$A$180=$B5)*Inputs!$B$5:$B$180*(((Inputs!$G$5:$G$180="moeda")+(Inputs!$G$5:$G$180="acoes"))*Inputs!$B$1+((Inputs!$G$5:$G$180&lt;&gt;"moeda")*(Inputs!$G$5:$G$180&lt;&gt;"acoes")))*INDEX(Inputs!$K$5:$AJ$180,0,MATCH(F$2,Inputs!$K$4:$AJ$4,0)))+SUMPRODUCT((Inputs!$C$5:$C$180=$B5)*Inputs!$D$5:$D$180*(((Inputs!$G$5:$G$180="moeda")+(Inputs!$G$5:$G$180="acoes"))*Inputs!$B$1+((Inputs!$G$5:$G$180&lt;&gt;"moeda")*(Inputs!$G$5:$G$180&lt;&gt;"acoes")))*INDEX(Inputs!$K$5:$AJ$180,0,MATCH(F$2,Inputs!$K$4:$AJ$4,0)))+SUMPRODUCT((Inputs!$E$5:$E$180=$B5)*Inputs!$F$5:$F$180*(((Inputs!$G$5:$G$180="moeda")+(Inputs!$G$5:$G$180="acoes"))*Inputs!$B$1+((Inputs!$G$5:$G$180&lt;&gt;"moeda")*(Inputs!$G$5:$G$180&lt;&gt;"acoes")))*INDEX(Inputs!$K$5:$AJ$180,0,MATCH(F$2,Inputs!$K$4:$AJ$4,0)))))</f>
        <v>-637.06668857</v>
      </c>
      <c r="G5" s="6">
        <f>IF(ISNA(MATCH(G$2,Inputs!$K$4:$AJ$4,0)),NA(),IF(SUMPRODUCT((Inputs!$A$5:$A$180=$B5)*ISNUMBER(INDEX(Inputs!$K$5:$AJ$180,0,MATCH(G$2,Inputs!$K$4:$AJ$4,0))))+SUMPRODUCT((Inputs!$C$5:$C$180=$B5)*ISNUMBER(INDEX(Inputs!$K$5:$AJ$180,0,MATCH(G$2,Inputs!$K$4:$AJ$4,0))))+SUMPRODUCT((Inputs!$E$5:$E$180=$B5)*ISNUMBER(INDEX(Inputs!$K$5:$AJ$180,0,MATCH(G$2,Inputs!$K$4:$AJ$4,0))))=0,NA(),SUMPRODUCT((Inputs!$A$5:$A$180=$B5)*Inputs!$B$5:$B$180*(((Inputs!$G$5:$G$180="moeda")+(Inputs!$G$5:$G$180="acoes"))*Inputs!$B$1+((Inputs!$G$5:$G$180&lt;&gt;"moeda")*(Inputs!$G$5:$G$180&lt;&gt;"acoes")))*INDEX(Inputs!$K$5:$AJ$180,0,MATCH(G$2,Inputs!$K$4:$AJ$4,0)))+SUMPRODUCT((Inputs!$C$5:$C$180=$B5)*Inputs!$D$5:$D$180*(((Inputs!$G$5:$G$180="moeda")+(Inputs!$G$5:$G$180="acoes"))*Inputs!$B$1+((Inputs!$G$5:$G$180&lt;&gt;"moeda")*(Inputs!$G$5:$G$180&lt;&gt;"acoes")))*INDEX(Inputs!$K$5:$AJ$180,0,MATCH(G$2,Inputs!$K$4:$AJ$4,0)))+SUMPRODUCT((Inputs!$E$5:$E$180=$B5)*Inputs!$F$5:$F$180*(((Inputs!$G$5:$G$180="moeda")+(Inputs!$G$5:$G$180="acoes"))*Inputs!$B$1+((Inputs!$G$5:$G$180&lt;&gt;"moeda")*(Inputs!$G$5:$G$180&lt;&gt;"acoes")))*INDEX(Inputs!$K$5:$AJ$180,0,MATCH(G$2,Inputs!$K$4:$AJ$4,0)))))</f>
        <v>-650.17978605</v>
      </c>
      <c r="H5" s="3">
        <f>SUM(D5:G5)</f>
        <v>-2420.78248479</v>
      </c>
      <c r="I5" s="6">
        <f>IF(ISNA(MATCH(I$2,Inputs!$K$4:$AJ$4,0)),NA(),IF(SUMPRODUCT((Inputs!$A$5:$A$180=$B5)*ISNUMBER(INDEX(Inputs!$K$5:$AJ$180,0,MATCH(I$2,Inputs!$K$4:$AJ$4,0))))+SUMPRODUCT((Inputs!$C$5:$C$180=$B5)*ISNUMBER(INDEX(Inputs!$K$5:$AJ$180,0,MATCH(I$2,Inputs!$K$4:$AJ$4,0))))+SUMPRODUCT((Inputs!$E$5:$E$180=$B5)*ISNUMBER(INDEX(Inputs!$K$5:$AJ$180,0,MATCH(I$2,Inputs!$K$4:$AJ$4,0))))=0,NA(),SUMPRODUCT((Inputs!$A$5:$A$180=$B5)*Inputs!$B$5:$B$180*(((Inputs!$G$5:$G$180="moeda")+(Inputs!$G$5:$G$180="acoes"))*Inputs!$B$1+((Inputs!$G$5:$G$180&lt;&gt;"moeda")*(Inputs!$G$5:$G$180&lt;&gt;"acoes")))*INDEX(Inputs!$K$5:$AJ$180,0,MATCH(I$2,Inputs!$K$4:$AJ$4,0)))+SUMPRODUCT((Inputs!$C$5:$C$180=$B5)*Inputs!$D$5:$D$180*(((Inputs!$G$5:$G$180="moeda")+(Inputs!$G$5:$G$180="acoes"))*Inputs!$B$1+((Inputs!$G$5:$G$180&lt;&gt;"moeda")*(Inputs!$G$5:$G$180&lt;&gt;"acoes")))*INDEX(Inputs!$K$5:$AJ$180,0,MATCH(I$2,Inputs!$K$4:$AJ$4,0)))+SUMPRODUCT((Inputs!$E$5:$E$180=$B5)*Inputs!$F$5:$F$180*(((Inputs!$G$5:$G$180="moeda")+(Inputs!$G$5:$G$180="acoes"))*Inputs!$B$1+((Inputs!$G$5:$G$180&lt;&gt;"moeda")*(Inputs!$G$5:$G$180&lt;&gt;"acoes")))*INDEX(Inputs!$K$5:$AJ$180,0,MATCH(I$2,Inputs!$K$4:$AJ$4,0)))))</f>
        <v>-673.037739710001</v>
      </c>
      <c r="J5" s="6">
        <f>IF(ISNA(MATCH(J$2,Inputs!$K$4:$AJ$4,0)),NA(),IF(SUMPRODUCT((Inputs!$A$5:$A$180=$B5)*ISNUMBER(INDEX(Inputs!$K$5:$AJ$180,0,MATCH(J$2,Inputs!$K$4:$AJ$4,0))))+SUMPRODUCT((Inputs!$C$5:$C$180=$B5)*ISNUMBER(INDEX(Inputs!$K$5:$AJ$180,0,MATCH(J$2,Inputs!$K$4:$AJ$4,0))))+SUMPRODUCT((Inputs!$E$5:$E$180=$B5)*ISNUMBER(INDEX(Inputs!$K$5:$AJ$180,0,MATCH(J$2,Inputs!$K$4:$AJ$4,0))))=0,NA(),SUMPRODUCT((Inputs!$A$5:$A$180=$B5)*Inputs!$B$5:$B$180*(((Inputs!$G$5:$G$180="moeda")+(Inputs!$G$5:$G$180="acoes"))*Inputs!$B$1+((Inputs!$G$5:$G$180&lt;&gt;"moeda")*(Inputs!$G$5:$G$180&lt;&gt;"acoes")))*INDEX(Inputs!$K$5:$AJ$180,0,MATCH(J$2,Inputs!$K$4:$AJ$4,0)))+SUMPRODUCT((Inputs!$C$5:$C$180=$B5)*Inputs!$D$5:$D$180*(((Inputs!$G$5:$G$180="moeda")+(Inputs!$G$5:$G$180="acoes"))*Inputs!$B$1+((Inputs!$G$5:$G$180&lt;&gt;"moeda")*(Inputs!$G$5:$G$180&lt;&gt;"acoes")))*INDEX(Inputs!$K$5:$AJ$180,0,MATCH(J$2,Inputs!$K$4:$AJ$4,0)))+SUMPRODUCT((Inputs!$E$5:$E$180=$B5)*Inputs!$F$5:$F$180*(((Inputs!$G$5:$G$180="moeda")+(Inputs!$G$5:$G$180="acoes"))*Inputs!$B$1+((Inputs!$G$5:$G$180&lt;&gt;"moeda")*(Inputs!$G$5:$G$180&lt;&gt;"acoes")))*INDEX(Inputs!$K$5:$AJ$180,0,MATCH(J$2,Inputs!$K$4:$AJ$4,0)))))</f>
        <v>-712.98908279</v>
      </c>
      <c r="K5" s="6">
        <f>IF(ISNA(MATCH(K$2,Inputs!$K$4:$AJ$4,0)),NA(),IF(SUMPRODUCT((Inputs!$A$5:$A$180=$B5)*ISNUMBER(INDEX(Inputs!$K$5:$AJ$180,0,MATCH(K$2,Inputs!$K$4:$AJ$4,0))))+SUMPRODUCT((Inputs!$C$5:$C$180=$B5)*ISNUMBER(INDEX(Inputs!$K$5:$AJ$180,0,MATCH(K$2,Inputs!$K$4:$AJ$4,0))))+SUMPRODUCT((Inputs!$E$5:$E$180=$B5)*ISNUMBER(INDEX(Inputs!$K$5:$AJ$180,0,MATCH(K$2,Inputs!$K$4:$AJ$4,0))))=0,NA(),SUMPRODUCT((Inputs!$A$5:$A$180=$B5)*Inputs!$B$5:$B$180*(((Inputs!$G$5:$G$180="moeda")+(Inputs!$G$5:$G$180="acoes"))*Inputs!$B$1+((Inputs!$G$5:$G$180&lt;&gt;"moeda")*(Inputs!$G$5:$G$180&lt;&gt;"acoes")))*INDEX(Inputs!$K$5:$AJ$180,0,MATCH(K$2,Inputs!$K$4:$AJ$4,0)))+SUMPRODUCT((Inputs!$C$5:$C$180=$B5)*Inputs!$D$5:$D$180*(((Inputs!$G$5:$G$180="moeda")+(Inputs!$G$5:$G$180="acoes"))*Inputs!$B$1+((Inputs!$G$5:$G$180&lt;&gt;"moeda")*(Inputs!$G$5:$G$180&lt;&gt;"acoes")))*INDEX(Inputs!$K$5:$AJ$180,0,MATCH(K$2,Inputs!$K$4:$AJ$4,0)))+SUMPRODUCT((Inputs!$E$5:$E$180=$B5)*Inputs!$F$5:$F$180*(((Inputs!$G$5:$G$180="moeda")+(Inputs!$G$5:$G$180="acoes"))*Inputs!$B$1+((Inputs!$G$5:$G$180&lt;&gt;"moeda")*(Inputs!$G$5:$G$180&lt;&gt;"acoes")))*INDEX(Inputs!$K$5:$AJ$180,0,MATCH(K$2,Inputs!$K$4:$AJ$4,0)))))</f>
        <v>-712.41349757</v>
      </c>
      <c r="L5" s="6">
        <f>IF(ISNA(MATCH(L$2,Inputs!$K$4:$AJ$4,0)),NA(),IF(SUMPRODUCT((Inputs!$A$5:$A$180=$B5)*ISNUMBER(INDEX(Inputs!$K$5:$AJ$180,0,MATCH(L$2,Inputs!$K$4:$AJ$4,0))))+SUMPRODUCT((Inputs!$C$5:$C$180=$B5)*ISNUMBER(INDEX(Inputs!$K$5:$AJ$180,0,MATCH(L$2,Inputs!$K$4:$AJ$4,0))))+SUMPRODUCT((Inputs!$E$5:$E$180=$B5)*ISNUMBER(INDEX(Inputs!$K$5:$AJ$180,0,MATCH(L$2,Inputs!$K$4:$AJ$4,0))))=0,NA(),SUMPRODUCT((Inputs!$A$5:$A$180=$B5)*Inputs!$B$5:$B$180*(((Inputs!$G$5:$G$180="moeda")+(Inputs!$G$5:$G$180="acoes"))*Inputs!$B$1+((Inputs!$G$5:$G$180&lt;&gt;"moeda")*(Inputs!$G$5:$G$180&lt;&gt;"acoes")))*INDEX(Inputs!$K$5:$AJ$180,0,MATCH(L$2,Inputs!$K$4:$AJ$4,0)))+SUMPRODUCT((Inputs!$C$5:$C$180=$B5)*Inputs!$D$5:$D$180*(((Inputs!$G$5:$G$180="moeda")+(Inputs!$G$5:$G$180="acoes"))*Inputs!$B$1+((Inputs!$G$5:$G$180&lt;&gt;"moeda")*(Inputs!$G$5:$G$180&lt;&gt;"acoes")))*INDEX(Inputs!$K$5:$AJ$180,0,MATCH(L$2,Inputs!$K$4:$AJ$4,0)))+SUMPRODUCT((Inputs!$E$5:$E$180=$B5)*Inputs!$F$5:$F$180*(((Inputs!$G$5:$G$180="moeda")+(Inputs!$G$5:$G$180="acoes"))*Inputs!$B$1+((Inputs!$G$5:$G$180&lt;&gt;"moeda")*(Inputs!$G$5:$G$180&lt;&gt;"acoes")))*INDEX(Inputs!$K$5:$AJ$180,0,MATCH(L$2,Inputs!$K$4:$AJ$4,0)))))</f>
        <v>-758.9403701</v>
      </c>
      <c r="M5" s="3">
        <f>SUM(I5:L5)</f>
        <v>-2857.38069017</v>
      </c>
      <c r="N5" s="6">
        <f>IF(ISNA(MATCH(N$2,Inputs!$K$4:$AJ$4,0)),NA(),IF(SUMPRODUCT((Inputs!$A$5:$A$180=$B5)*ISNUMBER(INDEX(Inputs!$K$5:$AJ$180,0,MATCH(N$2,Inputs!$K$4:$AJ$4,0))))+SUMPRODUCT((Inputs!$C$5:$C$180=$B5)*ISNUMBER(INDEX(Inputs!$K$5:$AJ$180,0,MATCH(N$2,Inputs!$K$4:$AJ$4,0))))+SUMPRODUCT((Inputs!$E$5:$E$180=$B5)*ISNUMBER(INDEX(Inputs!$K$5:$AJ$180,0,MATCH(N$2,Inputs!$K$4:$AJ$4,0))))=0,NA(),SUMPRODUCT((Inputs!$A$5:$A$180=$B5)*Inputs!$B$5:$B$180*(((Inputs!$G$5:$G$180="moeda")+(Inputs!$G$5:$G$180="acoes"))*Inputs!$B$1+((Inputs!$G$5:$G$180&lt;&gt;"moeda")*(Inputs!$G$5:$G$180&lt;&gt;"acoes")))*INDEX(Inputs!$K$5:$AJ$180,0,MATCH(N$2,Inputs!$K$4:$AJ$4,0)))+SUMPRODUCT((Inputs!$C$5:$C$180=$B5)*Inputs!$D$5:$D$180*(((Inputs!$G$5:$G$180="moeda")+(Inputs!$G$5:$G$180="acoes"))*Inputs!$B$1+((Inputs!$G$5:$G$180&lt;&gt;"moeda")*(Inputs!$G$5:$G$180&lt;&gt;"acoes")))*INDEX(Inputs!$K$5:$AJ$180,0,MATCH(N$2,Inputs!$K$4:$AJ$4,0)))+SUMPRODUCT((Inputs!$E$5:$E$180=$B5)*Inputs!$F$5:$F$180*(((Inputs!$G$5:$G$180="moeda")+(Inputs!$G$5:$G$180="acoes"))*Inputs!$B$1+((Inputs!$G$5:$G$180&lt;&gt;"moeda")*(Inputs!$G$5:$G$180&lt;&gt;"acoes")))*INDEX(Inputs!$K$5:$AJ$180,0,MATCH(N$2,Inputs!$K$4:$AJ$4,0)))))</f>
        <v>-776.43264322</v>
      </c>
      <c r="O5" s="6">
        <f>IF(ISNA(MATCH(O$2,Inputs!$K$4:$AJ$4,0)),NA(),IF(SUMPRODUCT((Inputs!$A$5:$A$180=$B5)*ISNUMBER(INDEX(Inputs!$K$5:$AJ$180,0,MATCH(O$2,Inputs!$K$4:$AJ$4,0))))+SUMPRODUCT((Inputs!$C$5:$C$180=$B5)*ISNUMBER(INDEX(Inputs!$K$5:$AJ$180,0,MATCH(O$2,Inputs!$K$4:$AJ$4,0))))+SUMPRODUCT((Inputs!$E$5:$E$180=$B5)*ISNUMBER(INDEX(Inputs!$K$5:$AJ$180,0,MATCH(O$2,Inputs!$K$4:$AJ$4,0))))=0,NA(),SUMPRODUCT((Inputs!$A$5:$A$180=$B5)*Inputs!$B$5:$B$180*(((Inputs!$G$5:$G$180="moeda")+(Inputs!$G$5:$G$180="acoes"))*Inputs!$B$1+((Inputs!$G$5:$G$180&lt;&gt;"moeda")*(Inputs!$G$5:$G$180&lt;&gt;"acoes")))*INDEX(Inputs!$K$5:$AJ$180,0,MATCH(O$2,Inputs!$K$4:$AJ$4,0)))+SUMPRODUCT((Inputs!$C$5:$C$180=$B5)*Inputs!$D$5:$D$180*(((Inputs!$G$5:$G$180="moeda")+(Inputs!$G$5:$G$180="acoes"))*Inputs!$B$1+((Inputs!$G$5:$G$180&lt;&gt;"moeda")*(Inputs!$G$5:$G$180&lt;&gt;"acoes")))*INDEX(Inputs!$K$5:$AJ$180,0,MATCH(O$2,Inputs!$K$4:$AJ$4,0)))+SUMPRODUCT((Inputs!$E$5:$E$180=$B5)*Inputs!$F$5:$F$180*(((Inputs!$G$5:$G$180="moeda")+(Inputs!$G$5:$G$180="acoes"))*Inputs!$B$1+((Inputs!$G$5:$G$180&lt;&gt;"moeda")*(Inputs!$G$5:$G$180&lt;&gt;"acoes")))*INDEX(Inputs!$K$5:$AJ$180,0,MATCH(O$2,Inputs!$K$4:$AJ$4,0)))))</f>
        <v>-1075.179</v>
      </c>
      <c r="P5" s="6">
        <f>IF(ISNA(MATCH(P$2,Inputs!$K$4:$AJ$4,0)),NA(),IF(SUMPRODUCT((Inputs!$A$5:$A$180=$B5)*ISNUMBER(INDEX(Inputs!$K$5:$AJ$180,0,MATCH(P$2,Inputs!$K$4:$AJ$4,0))))+SUMPRODUCT((Inputs!$C$5:$C$180=$B5)*ISNUMBER(INDEX(Inputs!$K$5:$AJ$180,0,MATCH(P$2,Inputs!$K$4:$AJ$4,0))))+SUMPRODUCT((Inputs!$E$5:$E$180=$B5)*ISNUMBER(INDEX(Inputs!$K$5:$AJ$180,0,MATCH(P$2,Inputs!$K$4:$AJ$4,0))))=0,NA(),SUMPRODUCT((Inputs!$A$5:$A$180=$B5)*Inputs!$B$5:$B$180*(((Inputs!$G$5:$G$180="moeda")+(Inputs!$G$5:$G$180="acoes"))*Inputs!$B$1+((Inputs!$G$5:$G$180&lt;&gt;"moeda")*(Inputs!$G$5:$G$180&lt;&gt;"acoes")))*INDEX(Inputs!$K$5:$AJ$180,0,MATCH(P$2,Inputs!$K$4:$AJ$4,0)))+SUMPRODUCT((Inputs!$C$5:$C$180=$B5)*Inputs!$D$5:$D$180*(((Inputs!$G$5:$G$180="moeda")+(Inputs!$G$5:$G$180="acoes"))*Inputs!$B$1+((Inputs!$G$5:$G$180&lt;&gt;"moeda")*(Inputs!$G$5:$G$180&lt;&gt;"acoes")))*INDEX(Inputs!$K$5:$AJ$180,0,MATCH(P$2,Inputs!$K$4:$AJ$4,0)))+SUMPRODUCT((Inputs!$E$5:$E$180=$B5)*Inputs!$F$5:$F$180*(((Inputs!$G$5:$G$180="moeda")+(Inputs!$G$5:$G$180="acoes"))*Inputs!$B$1+((Inputs!$G$5:$G$180&lt;&gt;"moeda")*(Inputs!$G$5:$G$180&lt;&gt;"acoes")))*INDEX(Inputs!$K$5:$AJ$180,0,MATCH(P$2,Inputs!$K$4:$AJ$4,0)))))</f>
        <v>-1198.06756466194</v>
      </c>
      <c r="Q5" s="6">
        <f>IF(ISNA(MATCH(Q$2,Inputs!$K$4:$AJ$4,0)),NA(),IF(SUMPRODUCT((Inputs!$A$5:$A$180=$B5)*ISNUMBER(INDEX(Inputs!$K$5:$AJ$180,0,MATCH(Q$2,Inputs!$K$4:$AJ$4,0))))+SUMPRODUCT((Inputs!$C$5:$C$180=$B5)*ISNUMBER(INDEX(Inputs!$K$5:$AJ$180,0,MATCH(Q$2,Inputs!$K$4:$AJ$4,0))))+SUMPRODUCT((Inputs!$E$5:$E$180=$B5)*ISNUMBER(INDEX(Inputs!$K$5:$AJ$180,0,MATCH(Q$2,Inputs!$K$4:$AJ$4,0))))=0,NA(),SUMPRODUCT((Inputs!$A$5:$A$180=$B5)*Inputs!$B$5:$B$180*(((Inputs!$G$5:$G$180="moeda")+(Inputs!$G$5:$G$180="acoes"))*Inputs!$B$1+((Inputs!$G$5:$G$180&lt;&gt;"moeda")*(Inputs!$G$5:$G$180&lt;&gt;"acoes")))*INDEX(Inputs!$K$5:$AJ$180,0,MATCH(Q$2,Inputs!$K$4:$AJ$4,0)))+SUMPRODUCT((Inputs!$C$5:$C$180=$B5)*Inputs!$D$5:$D$180*(((Inputs!$G$5:$G$180="moeda")+(Inputs!$G$5:$G$180="acoes"))*Inputs!$B$1+((Inputs!$G$5:$G$180&lt;&gt;"moeda")*(Inputs!$G$5:$G$180&lt;&gt;"acoes")))*INDEX(Inputs!$K$5:$AJ$180,0,MATCH(Q$2,Inputs!$K$4:$AJ$4,0)))+SUMPRODUCT((Inputs!$E$5:$E$180=$B5)*Inputs!$F$5:$F$180*(((Inputs!$G$5:$G$180="moeda")+(Inputs!$G$5:$G$180="acoes"))*Inputs!$B$1+((Inputs!$G$5:$G$180&lt;&gt;"moeda")*(Inputs!$G$5:$G$180&lt;&gt;"acoes")))*INDEX(Inputs!$K$5:$AJ$180,0,MATCH(Q$2,Inputs!$K$4:$AJ$4,0)))))</f>
        <v>-1157.671</v>
      </c>
      <c r="R5" s="3">
        <f>SUM(N5:Q5)</f>
        <v>-4207.35020788194</v>
      </c>
      <c r="S5" s="6">
        <f>IF(ISNA(MATCH(S$2,Inputs!$K$4:$AJ$4,0)),NA(),IF(SUMPRODUCT((Inputs!$A$5:$A$180=$B5)*ISNUMBER(INDEX(Inputs!$K$5:$AJ$180,0,MATCH(S$2,Inputs!$K$4:$AJ$4,0))))+SUMPRODUCT((Inputs!$C$5:$C$180=$B5)*ISNUMBER(INDEX(Inputs!$K$5:$AJ$180,0,MATCH(S$2,Inputs!$K$4:$AJ$4,0))))+SUMPRODUCT((Inputs!$E$5:$E$180=$B5)*ISNUMBER(INDEX(Inputs!$K$5:$AJ$180,0,MATCH(S$2,Inputs!$K$4:$AJ$4,0))))=0,NA(),SUMPRODUCT((Inputs!$A$5:$A$180=$B5)*Inputs!$B$5:$B$180*(((Inputs!$G$5:$G$180="moeda")+(Inputs!$G$5:$G$180="acoes"))*Inputs!$B$1+((Inputs!$G$5:$G$180&lt;&gt;"moeda")*(Inputs!$G$5:$G$180&lt;&gt;"acoes")))*INDEX(Inputs!$K$5:$AJ$180,0,MATCH(S$2,Inputs!$K$4:$AJ$4,0)))+SUMPRODUCT((Inputs!$C$5:$C$180=$B5)*Inputs!$D$5:$D$180*(((Inputs!$G$5:$G$180="moeda")+(Inputs!$G$5:$G$180="acoes"))*Inputs!$B$1+((Inputs!$G$5:$G$180&lt;&gt;"moeda")*(Inputs!$G$5:$G$180&lt;&gt;"acoes")))*INDEX(Inputs!$K$5:$AJ$180,0,MATCH(S$2,Inputs!$K$4:$AJ$4,0)))+SUMPRODUCT((Inputs!$E$5:$E$180=$B5)*Inputs!$F$5:$F$180*(((Inputs!$G$5:$G$180="moeda")+(Inputs!$G$5:$G$180="acoes"))*Inputs!$B$1+((Inputs!$G$5:$G$180&lt;&gt;"moeda")*(Inputs!$G$5:$G$180&lt;&gt;"acoes")))*INDEX(Inputs!$K$5:$AJ$180,0,MATCH(S$2,Inputs!$K$4:$AJ$4,0)))))</f>
        <v>-1192.092</v>
      </c>
      <c r="T5" s="6">
        <f>IF(ISNA(MATCH(T$2,Inputs!$K$4:$AJ$4,0)),NA(),IF(SUMPRODUCT((Inputs!$A$5:$A$180=$B5)*ISNUMBER(INDEX(Inputs!$K$5:$AJ$180,0,MATCH(T$2,Inputs!$K$4:$AJ$4,0))))+SUMPRODUCT((Inputs!$C$5:$C$180=$B5)*ISNUMBER(INDEX(Inputs!$K$5:$AJ$180,0,MATCH(T$2,Inputs!$K$4:$AJ$4,0))))+SUMPRODUCT((Inputs!$E$5:$E$180=$B5)*ISNUMBER(INDEX(Inputs!$K$5:$AJ$180,0,MATCH(T$2,Inputs!$K$4:$AJ$4,0))))=0,NA(),SUMPRODUCT((Inputs!$A$5:$A$180=$B5)*Inputs!$B$5:$B$180*(((Inputs!$G$5:$G$180="moeda")+(Inputs!$G$5:$G$180="acoes"))*Inputs!$B$1+((Inputs!$G$5:$G$180&lt;&gt;"moeda")*(Inputs!$G$5:$G$180&lt;&gt;"acoes")))*INDEX(Inputs!$K$5:$AJ$180,0,MATCH(T$2,Inputs!$K$4:$AJ$4,0)))+SUMPRODUCT((Inputs!$C$5:$C$180=$B5)*Inputs!$D$5:$D$180*(((Inputs!$G$5:$G$180="moeda")+(Inputs!$G$5:$G$180="acoes"))*Inputs!$B$1+((Inputs!$G$5:$G$180&lt;&gt;"moeda")*(Inputs!$G$5:$G$180&lt;&gt;"acoes")))*INDEX(Inputs!$K$5:$AJ$180,0,MATCH(T$2,Inputs!$K$4:$AJ$4,0)))+SUMPRODUCT((Inputs!$E$5:$E$180=$B5)*Inputs!$F$5:$F$180*(((Inputs!$G$5:$G$180="moeda")+(Inputs!$G$5:$G$180="acoes"))*Inputs!$B$1+((Inputs!$G$5:$G$180&lt;&gt;"moeda")*(Inputs!$G$5:$G$180&lt;&gt;"acoes")))*INDEX(Inputs!$K$5:$AJ$180,0,MATCH(T$2,Inputs!$K$4:$AJ$4,0)))))</f>
        <v>-1260.839</v>
      </c>
      <c r="U5" s="6">
        <f>IF(ISNA(MATCH(U$2,Inputs!$K$4:$AJ$4,0)),NA(),IF(SUMPRODUCT((Inputs!$A$5:$A$180=$B5)*ISNUMBER(INDEX(Inputs!$K$5:$AJ$180,0,MATCH(U$2,Inputs!$K$4:$AJ$4,0))))+SUMPRODUCT((Inputs!$C$5:$C$180=$B5)*ISNUMBER(INDEX(Inputs!$K$5:$AJ$180,0,MATCH(U$2,Inputs!$K$4:$AJ$4,0))))+SUMPRODUCT((Inputs!$E$5:$E$180=$B5)*ISNUMBER(INDEX(Inputs!$K$5:$AJ$180,0,MATCH(U$2,Inputs!$K$4:$AJ$4,0))))=0,NA(),SUMPRODUCT((Inputs!$A$5:$A$180=$B5)*Inputs!$B$5:$B$180*(((Inputs!$G$5:$G$180="moeda")+(Inputs!$G$5:$G$180="acoes"))*Inputs!$B$1+((Inputs!$G$5:$G$180&lt;&gt;"moeda")*(Inputs!$G$5:$G$180&lt;&gt;"acoes")))*INDEX(Inputs!$K$5:$AJ$180,0,MATCH(U$2,Inputs!$K$4:$AJ$4,0)))+SUMPRODUCT((Inputs!$C$5:$C$180=$B5)*Inputs!$D$5:$D$180*(((Inputs!$G$5:$G$180="moeda")+(Inputs!$G$5:$G$180="acoes"))*Inputs!$B$1+((Inputs!$G$5:$G$180&lt;&gt;"moeda")*(Inputs!$G$5:$G$180&lt;&gt;"acoes")))*INDEX(Inputs!$K$5:$AJ$180,0,MATCH(U$2,Inputs!$K$4:$AJ$4,0)))+SUMPRODUCT((Inputs!$E$5:$E$180=$B5)*Inputs!$F$5:$F$180*(((Inputs!$G$5:$G$180="moeda")+(Inputs!$G$5:$G$180="acoes"))*Inputs!$B$1+((Inputs!$G$5:$G$180&lt;&gt;"moeda")*(Inputs!$G$5:$G$180&lt;&gt;"acoes")))*INDEX(Inputs!$K$5:$AJ$180,0,MATCH(U$2,Inputs!$K$4:$AJ$4,0)))))</f>
        <v>-1251.884</v>
      </c>
      <c r="V5" s="6">
        <f>IF(ISNA(MATCH(V$2,Inputs!$K$4:$AJ$4,0)),NA(),IF(SUMPRODUCT((Inputs!$A$5:$A$180=$B5)*ISNUMBER(INDEX(Inputs!$K$5:$AJ$180,0,MATCH(V$2,Inputs!$K$4:$AJ$4,0))))+SUMPRODUCT((Inputs!$C$5:$C$180=$B5)*ISNUMBER(INDEX(Inputs!$K$5:$AJ$180,0,MATCH(V$2,Inputs!$K$4:$AJ$4,0))))+SUMPRODUCT((Inputs!$E$5:$E$180=$B5)*ISNUMBER(INDEX(Inputs!$K$5:$AJ$180,0,MATCH(V$2,Inputs!$K$4:$AJ$4,0))))=0,NA(),SUMPRODUCT((Inputs!$A$5:$A$180=$B5)*Inputs!$B$5:$B$180*(((Inputs!$G$5:$G$180="moeda")+(Inputs!$G$5:$G$180="acoes"))*Inputs!$B$1+((Inputs!$G$5:$G$180&lt;&gt;"moeda")*(Inputs!$G$5:$G$180&lt;&gt;"acoes")))*INDEX(Inputs!$K$5:$AJ$180,0,MATCH(V$2,Inputs!$K$4:$AJ$4,0)))+SUMPRODUCT((Inputs!$C$5:$C$180=$B5)*Inputs!$D$5:$D$180*(((Inputs!$G$5:$G$180="moeda")+(Inputs!$G$5:$G$180="acoes"))*Inputs!$B$1+((Inputs!$G$5:$G$180&lt;&gt;"moeda")*(Inputs!$G$5:$G$180&lt;&gt;"acoes")))*INDEX(Inputs!$K$5:$AJ$180,0,MATCH(V$2,Inputs!$K$4:$AJ$4,0)))+SUMPRODUCT((Inputs!$E$5:$E$180=$B5)*Inputs!$F$5:$F$180*(((Inputs!$G$5:$G$180="moeda")+(Inputs!$G$5:$G$180="acoes"))*Inputs!$B$1+((Inputs!$G$5:$G$180&lt;&gt;"moeda")*(Inputs!$G$5:$G$180&lt;&gt;"acoes")))*INDEX(Inputs!$K$5:$AJ$180,0,MATCH(V$2,Inputs!$K$4:$AJ$4,0)))))</f>
        <v>-1231.388</v>
      </c>
      <c r="W5" s="3">
        <f>SUM(S5:V5)</f>
        <v>-4936.203</v>
      </c>
      <c r="X5" s="6">
        <f>IF(ISNA(MATCH(X$2,Inputs!$K$4:$AJ$4,0)),NA(),IF(SUMPRODUCT((Inputs!$A$5:$A$180=$B5)*ISNUMBER(INDEX(Inputs!$K$5:$AJ$180,0,MATCH(X$2,Inputs!$K$4:$AJ$4,0))))+SUMPRODUCT((Inputs!$C$5:$C$180=$B5)*ISNUMBER(INDEX(Inputs!$K$5:$AJ$180,0,MATCH(X$2,Inputs!$K$4:$AJ$4,0))))+SUMPRODUCT((Inputs!$E$5:$E$180=$B5)*ISNUMBER(INDEX(Inputs!$K$5:$AJ$180,0,MATCH(X$2,Inputs!$K$4:$AJ$4,0))))=0,NA(),SUMPRODUCT((Inputs!$A$5:$A$180=$B5)*Inputs!$B$5:$B$180*(((Inputs!$G$5:$G$180="moeda")+(Inputs!$G$5:$G$180="acoes"))*Inputs!$B$1+((Inputs!$G$5:$G$180&lt;&gt;"moeda")*(Inputs!$G$5:$G$180&lt;&gt;"acoes")))*INDEX(Inputs!$K$5:$AJ$180,0,MATCH(X$2,Inputs!$K$4:$AJ$4,0)))+SUMPRODUCT((Inputs!$C$5:$C$180=$B5)*Inputs!$D$5:$D$180*(((Inputs!$G$5:$G$180="moeda")+(Inputs!$G$5:$G$180="acoes"))*Inputs!$B$1+((Inputs!$G$5:$G$180&lt;&gt;"moeda")*(Inputs!$G$5:$G$180&lt;&gt;"acoes")))*INDEX(Inputs!$K$5:$AJ$180,0,MATCH(X$2,Inputs!$K$4:$AJ$4,0)))+SUMPRODUCT((Inputs!$E$5:$E$180=$B5)*Inputs!$F$5:$F$180*(((Inputs!$G$5:$G$180="moeda")+(Inputs!$G$5:$G$180="acoes"))*Inputs!$B$1+((Inputs!$G$5:$G$180&lt;&gt;"moeda")*(Inputs!$G$5:$G$180&lt;&gt;"acoes")))*INDEX(Inputs!$K$5:$AJ$180,0,MATCH(X$2,Inputs!$K$4:$AJ$4,0)))))</f>
        <v>-1282.082</v>
      </c>
      <c r="Y5" s="6">
        <f>IF(ISNA(MATCH(Y$2,Inputs!$K$4:$AJ$4,0)),NA(),IF(SUMPRODUCT((Inputs!$A$5:$A$180=$B5)*ISNUMBER(INDEX(Inputs!$K$5:$AJ$180,0,MATCH(Y$2,Inputs!$K$4:$AJ$4,0))))+SUMPRODUCT((Inputs!$C$5:$C$180=$B5)*ISNUMBER(INDEX(Inputs!$K$5:$AJ$180,0,MATCH(Y$2,Inputs!$K$4:$AJ$4,0))))+SUMPRODUCT((Inputs!$E$5:$E$180=$B5)*ISNUMBER(INDEX(Inputs!$K$5:$AJ$180,0,MATCH(Y$2,Inputs!$K$4:$AJ$4,0))))=0,NA(),SUMPRODUCT((Inputs!$A$5:$A$180=$B5)*Inputs!$B$5:$B$180*(((Inputs!$G$5:$G$180="moeda")+(Inputs!$G$5:$G$180="acoes"))*Inputs!$B$1+((Inputs!$G$5:$G$180&lt;&gt;"moeda")*(Inputs!$G$5:$G$180&lt;&gt;"acoes")))*INDEX(Inputs!$K$5:$AJ$180,0,MATCH(Y$2,Inputs!$K$4:$AJ$4,0)))+SUMPRODUCT((Inputs!$C$5:$C$180=$B5)*Inputs!$D$5:$D$180*(((Inputs!$G$5:$G$180="moeda")+(Inputs!$G$5:$G$180="acoes"))*Inputs!$B$1+((Inputs!$G$5:$G$180&lt;&gt;"moeda")*(Inputs!$G$5:$G$180&lt;&gt;"acoes")))*INDEX(Inputs!$K$5:$AJ$180,0,MATCH(Y$2,Inputs!$K$4:$AJ$4,0)))+SUMPRODUCT((Inputs!$E$5:$E$180=$B5)*Inputs!$F$5:$F$180*(((Inputs!$G$5:$G$180="moeda")+(Inputs!$G$5:$G$180="acoes"))*Inputs!$B$1+((Inputs!$G$5:$G$180&lt;&gt;"moeda")*(Inputs!$G$5:$G$180&lt;&gt;"acoes")))*INDEX(Inputs!$K$5:$AJ$180,0,MATCH(Y$2,Inputs!$K$4:$AJ$4,0)))))</f>
        <v>-1326.516</v>
      </c>
      <c r="Z5" s="6">
        <f>IF(ISNA(MATCH(Z$2,Inputs!$K$4:$AJ$4,0)),NA(),IF(SUMPRODUCT((Inputs!$A$5:$A$180=$B5)*ISNUMBER(INDEX(Inputs!$K$5:$AJ$180,0,MATCH(Z$2,Inputs!$K$4:$AJ$4,0))))+SUMPRODUCT((Inputs!$C$5:$C$180=$B5)*ISNUMBER(INDEX(Inputs!$K$5:$AJ$180,0,MATCH(Z$2,Inputs!$K$4:$AJ$4,0))))+SUMPRODUCT((Inputs!$E$5:$E$180=$B5)*ISNUMBER(INDEX(Inputs!$K$5:$AJ$180,0,MATCH(Z$2,Inputs!$K$4:$AJ$4,0))))=0,NA(),SUMPRODUCT((Inputs!$A$5:$A$180=$B5)*Inputs!$B$5:$B$180*(((Inputs!$G$5:$G$180="moeda")+(Inputs!$G$5:$G$180="acoes"))*Inputs!$B$1+((Inputs!$G$5:$G$180&lt;&gt;"moeda")*(Inputs!$G$5:$G$180&lt;&gt;"acoes")))*INDEX(Inputs!$K$5:$AJ$180,0,MATCH(Z$2,Inputs!$K$4:$AJ$4,0)))+SUMPRODUCT((Inputs!$C$5:$C$180=$B5)*Inputs!$D$5:$D$180*(((Inputs!$G$5:$G$180="moeda")+(Inputs!$G$5:$G$180="acoes"))*Inputs!$B$1+((Inputs!$G$5:$G$180&lt;&gt;"moeda")*(Inputs!$G$5:$G$180&lt;&gt;"acoes")))*INDEX(Inputs!$K$5:$AJ$180,0,MATCH(Z$2,Inputs!$K$4:$AJ$4,0)))+SUMPRODUCT((Inputs!$E$5:$E$180=$B5)*Inputs!$F$5:$F$180*(((Inputs!$G$5:$G$180="moeda")+(Inputs!$G$5:$G$180="acoes"))*Inputs!$B$1+((Inputs!$G$5:$G$180&lt;&gt;"moeda")*(Inputs!$G$5:$G$180&lt;&gt;"acoes")))*INDEX(Inputs!$K$5:$AJ$180,0,MATCH(Z$2,Inputs!$K$4:$AJ$4,0)))))</f>
        <v>-1399.705</v>
      </c>
      <c r="AA5" s="6">
        <f>IF(ISNA(MATCH(AA$2,Inputs!$K$4:$AJ$4,0)),NA(),IF(SUMPRODUCT((Inputs!$A$5:$A$180=$B5)*ISNUMBER(INDEX(Inputs!$K$5:$AJ$180,0,MATCH(AA$2,Inputs!$K$4:$AJ$4,0))))+SUMPRODUCT((Inputs!$C$5:$C$180=$B5)*ISNUMBER(INDEX(Inputs!$K$5:$AJ$180,0,MATCH(AA$2,Inputs!$K$4:$AJ$4,0))))+SUMPRODUCT((Inputs!$E$5:$E$180=$B5)*ISNUMBER(INDEX(Inputs!$K$5:$AJ$180,0,MATCH(AA$2,Inputs!$K$4:$AJ$4,0))))=0,NA(),SUMPRODUCT((Inputs!$A$5:$A$180=$B5)*Inputs!$B$5:$B$180*(((Inputs!$G$5:$G$180="moeda")+(Inputs!$G$5:$G$180="acoes"))*Inputs!$B$1+((Inputs!$G$5:$G$180&lt;&gt;"moeda")*(Inputs!$G$5:$G$180&lt;&gt;"acoes")))*INDEX(Inputs!$K$5:$AJ$180,0,MATCH(AA$2,Inputs!$K$4:$AJ$4,0)))+SUMPRODUCT((Inputs!$C$5:$C$180=$B5)*Inputs!$D$5:$D$180*(((Inputs!$G$5:$G$180="moeda")+(Inputs!$G$5:$G$180="acoes"))*Inputs!$B$1+((Inputs!$G$5:$G$180&lt;&gt;"moeda")*(Inputs!$G$5:$G$180&lt;&gt;"acoes")))*INDEX(Inputs!$K$5:$AJ$180,0,MATCH(AA$2,Inputs!$K$4:$AJ$4,0)))+SUMPRODUCT((Inputs!$E$5:$E$180=$B5)*Inputs!$F$5:$F$180*(((Inputs!$G$5:$G$180="moeda")+(Inputs!$G$5:$G$180="acoes"))*Inputs!$B$1+((Inputs!$G$5:$G$180&lt;&gt;"moeda")*(Inputs!$G$5:$G$180&lt;&gt;"acoes")))*INDEX(Inputs!$K$5:$AJ$180,0,MATCH(AA$2,Inputs!$K$4:$AJ$4,0)))))</f>
        <v>-1394.057</v>
      </c>
      <c r="AB5" s="3">
        <f>SUM(X5:AA5)</f>
        <v>-5402.36</v>
      </c>
      <c r="AC5" s="6">
        <f>IF(ISNA(MATCH(AC$2,Inputs!$K$4:$AJ$4,0)),NA(),IF(SUMPRODUCT((Inputs!$A$5:$A$180=$B5)*ISNUMBER(INDEX(Inputs!$K$5:$AJ$180,0,MATCH(AC$2,Inputs!$K$4:$AJ$4,0))))+SUMPRODUCT((Inputs!$C$5:$C$180=$B5)*ISNUMBER(INDEX(Inputs!$K$5:$AJ$180,0,MATCH(AC$2,Inputs!$K$4:$AJ$4,0))))+SUMPRODUCT((Inputs!$E$5:$E$180=$B5)*ISNUMBER(INDEX(Inputs!$K$5:$AJ$180,0,MATCH(AC$2,Inputs!$K$4:$AJ$4,0))))=0,NA(),SUMPRODUCT((Inputs!$A$5:$A$180=$B5)*Inputs!$B$5:$B$180*(((Inputs!$G$5:$G$180="moeda")+(Inputs!$G$5:$G$180="acoes"))*Inputs!$B$1+((Inputs!$G$5:$G$180&lt;&gt;"moeda")*(Inputs!$G$5:$G$180&lt;&gt;"acoes")))*INDEX(Inputs!$K$5:$AJ$180,0,MATCH(AC$2,Inputs!$K$4:$AJ$4,0)))+SUMPRODUCT((Inputs!$C$5:$C$180=$B5)*Inputs!$D$5:$D$180*(((Inputs!$G$5:$G$180="moeda")+(Inputs!$G$5:$G$180="acoes"))*Inputs!$B$1+((Inputs!$G$5:$G$180&lt;&gt;"moeda")*(Inputs!$G$5:$G$180&lt;&gt;"acoes")))*INDEX(Inputs!$K$5:$AJ$180,0,MATCH(AC$2,Inputs!$K$4:$AJ$4,0)))+SUMPRODUCT((Inputs!$E$5:$E$180=$B5)*Inputs!$F$5:$F$180*(((Inputs!$G$5:$G$180="moeda")+(Inputs!$G$5:$G$180="acoes"))*Inputs!$B$1+((Inputs!$G$5:$G$180&lt;&gt;"moeda")*(Inputs!$G$5:$G$180&lt;&gt;"acoes")))*INDEX(Inputs!$K$5:$AJ$180,0,MATCH(AC$2,Inputs!$K$4:$AJ$4,0)))))</f>
        <v>-1417.643</v>
      </c>
      <c r="AD5" s="6">
        <f>IF(ISNA(MATCH(AD$2,Inputs!$K$4:$AJ$4,0)),NA(),IF(SUMPRODUCT((Inputs!$A$5:$A$180=$B5)*ISNUMBER(INDEX(Inputs!$K$5:$AJ$180,0,MATCH(AD$2,Inputs!$K$4:$AJ$4,0))))+SUMPRODUCT((Inputs!$C$5:$C$180=$B5)*ISNUMBER(INDEX(Inputs!$K$5:$AJ$180,0,MATCH(AD$2,Inputs!$K$4:$AJ$4,0))))+SUMPRODUCT((Inputs!$E$5:$E$180=$B5)*ISNUMBER(INDEX(Inputs!$K$5:$AJ$180,0,MATCH(AD$2,Inputs!$K$4:$AJ$4,0))))=0,NA(),SUMPRODUCT((Inputs!$A$5:$A$180=$B5)*Inputs!$B$5:$B$180*(((Inputs!$G$5:$G$180="moeda")+(Inputs!$G$5:$G$180="acoes"))*Inputs!$B$1+((Inputs!$G$5:$G$180&lt;&gt;"moeda")*(Inputs!$G$5:$G$180&lt;&gt;"acoes")))*INDEX(Inputs!$K$5:$AJ$180,0,MATCH(AD$2,Inputs!$K$4:$AJ$4,0)))+SUMPRODUCT((Inputs!$C$5:$C$180=$B5)*Inputs!$D$5:$D$180*(((Inputs!$G$5:$G$180="moeda")+(Inputs!$G$5:$G$180="acoes"))*Inputs!$B$1+((Inputs!$G$5:$G$180&lt;&gt;"moeda")*(Inputs!$G$5:$G$180&lt;&gt;"acoes")))*INDEX(Inputs!$K$5:$AJ$180,0,MATCH(AD$2,Inputs!$K$4:$AJ$4,0)))+SUMPRODUCT((Inputs!$E$5:$E$180=$B5)*Inputs!$F$5:$F$180*(((Inputs!$G$5:$G$180="moeda")+(Inputs!$G$5:$G$180="acoes"))*Inputs!$B$1+((Inputs!$G$5:$G$180&lt;&gt;"moeda")*(Inputs!$G$5:$G$180&lt;&gt;"acoes")))*INDEX(Inputs!$K$5:$AJ$180,0,MATCH(AD$2,Inputs!$K$4:$AJ$4,0)))))</f>
        <v>-1508.18</v>
      </c>
      <c r="AE5" s="6" t="e">
        <f>IF(ISNA(MATCH(AE$2,Inputs!$K$4:$AJ$4,0)),NA(),IF(SUMPRODUCT((Inputs!$A$5:$A$180=$B5)*ISNUMBER(INDEX(Inputs!$K$5:$AJ$180,0,MATCH(AE$2,Inputs!$K$4:$AJ$4,0))))+SUMPRODUCT((Inputs!$C$5:$C$180=$B5)*ISNUMBER(INDEX(Inputs!$K$5:$AJ$180,0,MATCH(AE$2,Inputs!$K$4:$AJ$4,0))))+SUMPRODUCT((Inputs!$E$5:$E$180=$B5)*ISNUMBER(INDEX(Inputs!$K$5:$AJ$180,0,MATCH(AE$2,Inputs!$K$4:$AJ$4,0))))=0,NA(),SUMPRODUCT((Inputs!$A$5:$A$180=$B5)*Inputs!$B$5:$B$180*(((Inputs!$G$5:$G$180="moeda")+(Inputs!$G$5:$G$180="acoes"))*Inputs!$B$1+((Inputs!$G$5:$G$180&lt;&gt;"moeda")*(Inputs!$G$5:$G$180&lt;&gt;"acoes")))*INDEX(Inputs!$K$5:$AJ$180,0,MATCH(AE$2,Inputs!$K$4:$AJ$4,0)))+SUMPRODUCT((Inputs!$C$5:$C$180=$B5)*Inputs!$D$5:$D$180*(((Inputs!$G$5:$G$180="moeda")+(Inputs!$G$5:$G$180="acoes"))*Inputs!$B$1+((Inputs!$G$5:$G$180&lt;&gt;"moeda")*(Inputs!$G$5:$G$180&lt;&gt;"acoes")))*INDEX(Inputs!$K$5:$AJ$180,0,MATCH(AE$2,Inputs!$K$4:$AJ$4,0)))+SUMPRODUCT((Inputs!$E$5:$E$180=$B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" s="6" t="e">
        <f>IF(ISNA(MATCH(AF$2,Inputs!$K$4:$AJ$4,0)),NA(),IF(SUMPRODUCT((Inputs!$A$5:$A$180=$B5)*ISNUMBER(INDEX(Inputs!$K$5:$AJ$180,0,MATCH(AF$2,Inputs!$K$4:$AJ$4,0))))+SUMPRODUCT((Inputs!$C$5:$C$180=$B5)*ISNUMBER(INDEX(Inputs!$K$5:$AJ$180,0,MATCH(AF$2,Inputs!$K$4:$AJ$4,0))))+SUMPRODUCT((Inputs!$E$5:$E$180=$B5)*ISNUMBER(INDEX(Inputs!$K$5:$AJ$180,0,MATCH(AF$2,Inputs!$K$4:$AJ$4,0))))=0,NA(),SUMPRODUCT((Inputs!$A$5:$A$180=$B5)*Inputs!$B$5:$B$180*(((Inputs!$G$5:$G$180="moeda")+(Inputs!$G$5:$G$180="acoes"))*Inputs!$B$1+((Inputs!$G$5:$G$180&lt;&gt;"moeda")*(Inputs!$G$5:$G$180&lt;&gt;"acoes")))*INDEX(Inputs!$K$5:$AJ$180,0,MATCH(AF$2,Inputs!$K$4:$AJ$4,0)))+SUMPRODUCT((Inputs!$C$5:$C$180=$B5)*Inputs!$D$5:$D$180*(((Inputs!$G$5:$G$180="moeda")+(Inputs!$G$5:$G$180="acoes"))*Inputs!$B$1+((Inputs!$G$5:$G$180&lt;&gt;"moeda")*(Inputs!$G$5:$G$180&lt;&gt;"acoes")))*INDEX(Inputs!$K$5:$AJ$180,0,MATCH(AF$2,Inputs!$K$4:$AJ$4,0)))+SUMPRODUCT((Inputs!$E$5:$E$180=$B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" s="3" t="e">
        <f>SUM(AC5:AF5)</f>
        <v>#N/A</v>
      </c>
      <c r="AH5" s="6">
        <f>IF(ISNA(MATCH(AH$2,Inputs!$K$4:$AJ$4,0)),NA(),IF(SUMPRODUCT((Inputs!$A$5:$A$180=$B5)*ISNUMBER(INDEX(Inputs!$K$5:$AJ$180,0,MATCH(AH$2,Inputs!$K$4:$AJ$4,0))))+SUMPRODUCT((Inputs!$C$5:$C$180=$B5)*ISNUMBER(INDEX(Inputs!$K$5:$AJ$180,0,MATCH(AH$2,Inputs!$K$4:$AJ$4,0))))+SUMPRODUCT((Inputs!$E$5:$E$180=$B5)*ISNUMBER(INDEX(Inputs!$K$5:$AJ$180,0,MATCH(AH$2,Inputs!$K$4:$AJ$4,0))))=0,NA(),SUMPRODUCT((Inputs!$A$5:$A$180=$B5)*Inputs!$B$5:$B$180*(((Inputs!$G$5:$G$180="moeda")+(Inputs!$G$5:$G$180="acoes"))*Inputs!$B$1+((Inputs!$G$5:$G$180&lt;&gt;"moeda")*(Inputs!$G$5:$G$180&lt;&gt;"acoes")))*INDEX(Inputs!$K$5:$AJ$180,0,MATCH(AH$2,Inputs!$K$4:$AJ$4,0)))+SUMPRODUCT((Inputs!$C$5:$C$180=$B5)*Inputs!$D$5:$D$180*(((Inputs!$G$5:$G$180="moeda")+(Inputs!$G$5:$G$180="acoes"))*Inputs!$B$1+((Inputs!$G$5:$G$180&lt;&gt;"moeda")*(Inputs!$G$5:$G$180&lt;&gt;"acoes")))*INDEX(Inputs!$K$5:$AJ$180,0,MATCH(AH$2,Inputs!$K$4:$AJ$4,0)))+SUMPRODUCT((Inputs!$E$5:$E$180=$B5)*Inputs!$F$5:$F$180*(((Inputs!$G$5:$G$180="moeda")+(Inputs!$G$5:$G$180="acoes"))*Inputs!$B$1+((Inputs!$G$5:$G$180&lt;&gt;"moeda")*(Inputs!$G$5:$G$180&lt;&gt;"acoes")))*INDEX(Inputs!$K$5:$AJ$180,0,MATCH(AH$2,Inputs!$K$4:$AJ$4,0)))))</f>
        <v>-454.633</v>
      </c>
      <c r="AI5" s="6">
        <f>IF(ISNA(MATCH(AI$2,Inputs!$K$4:$AJ$4,0)),NA(),IF(SUMPRODUCT((Inputs!$A$5:$A$180=$B5)*ISNUMBER(INDEX(Inputs!$K$5:$AJ$180,0,MATCH(AI$2,Inputs!$K$4:$AJ$4,0))))+SUMPRODUCT((Inputs!$C$5:$C$180=$B5)*ISNUMBER(INDEX(Inputs!$K$5:$AJ$180,0,MATCH(AI$2,Inputs!$K$4:$AJ$4,0))))+SUMPRODUCT((Inputs!$E$5:$E$180=$B5)*ISNUMBER(INDEX(Inputs!$K$5:$AJ$180,0,MATCH(AI$2,Inputs!$K$4:$AJ$4,0))))=0,NA(),SUMPRODUCT((Inputs!$A$5:$A$180=$B5)*Inputs!$B$5:$B$180*(((Inputs!$G$5:$G$180="moeda")+(Inputs!$G$5:$G$180="acoes"))*Inputs!$B$1+((Inputs!$G$5:$G$180&lt;&gt;"moeda")*(Inputs!$G$5:$G$180&lt;&gt;"acoes")))*INDEX(Inputs!$K$5:$AJ$180,0,MATCH(AI$2,Inputs!$K$4:$AJ$4,0)))+SUMPRODUCT((Inputs!$C$5:$C$180=$B5)*Inputs!$D$5:$D$180*(((Inputs!$G$5:$G$180="moeda")+(Inputs!$G$5:$G$180="acoes"))*Inputs!$B$1+((Inputs!$G$5:$G$180&lt;&gt;"moeda")*(Inputs!$G$5:$G$180&lt;&gt;"acoes")))*INDEX(Inputs!$K$5:$AJ$180,0,MATCH(AI$2,Inputs!$K$4:$AJ$4,0)))+SUMPRODUCT((Inputs!$E$5:$E$180=$B5)*Inputs!$F$5:$F$180*(((Inputs!$G$5:$G$180="moeda")+(Inputs!$G$5:$G$180="acoes"))*Inputs!$B$1+((Inputs!$G$5:$G$180&lt;&gt;"moeda")*(Inputs!$G$5:$G$180&lt;&gt;"acoes")))*INDEX(Inputs!$K$5:$AJ$180,0,MATCH(AI$2,Inputs!$K$4:$AJ$4,0)))))</f>
        <v>-383.28332135</v>
      </c>
      <c r="AJ5" s="6">
        <f>IF(ISNA(MATCH(AJ$2,Inputs!$K$4:$AJ$4,0)),NA(),IF(SUMPRODUCT((Inputs!$A$5:$A$180=$B5)*ISNUMBER(INDEX(Inputs!$K$5:$AJ$180,0,MATCH(AJ$2,Inputs!$K$4:$AJ$4,0))))+SUMPRODUCT((Inputs!$C$5:$C$180=$B5)*ISNUMBER(INDEX(Inputs!$K$5:$AJ$180,0,MATCH(AJ$2,Inputs!$K$4:$AJ$4,0))))+SUMPRODUCT((Inputs!$E$5:$E$180=$B5)*ISNUMBER(INDEX(Inputs!$K$5:$AJ$180,0,MATCH(AJ$2,Inputs!$K$4:$AJ$4,0))))=0,NA(),SUMPRODUCT((Inputs!$A$5:$A$180=$B5)*Inputs!$B$5:$B$180*(((Inputs!$G$5:$G$180="moeda")+(Inputs!$G$5:$G$180="acoes"))*Inputs!$B$1+((Inputs!$G$5:$G$180&lt;&gt;"moeda")*(Inputs!$G$5:$G$180&lt;&gt;"acoes")))*INDEX(Inputs!$K$5:$AJ$180,0,MATCH(AJ$2,Inputs!$K$4:$AJ$4,0)))+SUMPRODUCT((Inputs!$C$5:$C$180=$B5)*Inputs!$D$5:$D$180*(((Inputs!$G$5:$G$180="moeda")+(Inputs!$G$5:$G$180="acoes"))*Inputs!$B$1+((Inputs!$G$5:$G$180&lt;&gt;"moeda")*(Inputs!$G$5:$G$180&lt;&gt;"acoes")))*INDEX(Inputs!$K$5:$AJ$180,0,MATCH(AJ$2,Inputs!$K$4:$AJ$4,0)))+SUMPRODUCT((Inputs!$E$5:$E$180=$B5)*Inputs!$F$5:$F$180*(((Inputs!$G$5:$G$180="moeda")+(Inputs!$G$5:$G$180="acoes"))*Inputs!$B$1+((Inputs!$G$5:$G$180&lt;&gt;"moeda")*(Inputs!$G$5:$G$180&lt;&gt;"acoes")))*INDEX(Inputs!$K$5:$AJ$180,0,MATCH(AJ$2,Inputs!$K$4:$AJ$4,0)))))</f>
        <v>-489.05019073</v>
      </c>
      <c r="AK5" s="6">
        <f>IF(ISNA(MATCH(AK$2,Inputs!$K$4:$AJ$4,0)),NA(),IF(SUMPRODUCT((Inputs!$A$5:$A$180=$B5)*ISNUMBER(INDEX(Inputs!$K$5:$AJ$180,0,MATCH(AK$2,Inputs!$K$4:$AJ$4,0))))+SUMPRODUCT((Inputs!$C$5:$C$180=$B5)*ISNUMBER(INDEX(Inputs!$K$5:$AJ$180,0,MATCH(AK$2,Inputs!$K$4:$AJ$4,0))))+SUMPRODUCT((Inputs!$E$5:$E$180=$B5)*ISNUMBER(INDEX(Inputs!$K$5:$AJ$180,0,MATCH(AK$2,Inputs!$K$4:$AJ$4,0))))=0,NA(),SUMPRODUCT((Inputs!$A$5:$A$180=$B5)*Inputs!$B$5:$B$180*(((Inputs!$G$5:$G$180="moeda")+(Inputs!$G$5:$G$180="acoes"))*Inputs!$B$1+((Inputs!$G$5:$G$180&lt;&gt;"moeda")*(Inputs!$G$5:$G$180&lt;&gt;"acoes")))*INDEX(Inputs!$K$5:$AJ$180,0,MATCH(AK$2,Inputs!$K$4:$AJ$4,0)))+SUMPRODUCT((Inputs!$C$5:$C$180=$B5)*Inputs!$D$5:$D$180*(((Inputs!$G$5:$G$180="moeda")+(Inputs!$G$5:$G$180="acoes"))*Inputs!$B$1+((Inputs!$G$5:$G$180&lt;&gt;"moeda")*(Inputs!$G$5:$G$180&lt;&gt;"acoes")))*INDEX(Inputs!$K$5:$AJ$180,0,MATCH(AK$2,Inputs!$K$4:$AJ$4,0)))+SUMPRODUCT((Inputs!$E$5:$E$180=$B5)*Inputs!$F$5:$F$180*(((Inputs!$G$5:$G$180="moeda")+(Inputs!$G$5:$G$180="acoes"))*Inputs!$B$1+((Inputs!$G$5:$G$180&lt;&gt;"moeda")*(Inputs!$G$5:$G$180&lt;&gt;"acoes")))*INDEX(Inputs!$K$5:$AJ$180,0,MATCH(AK$2,Inputs!$K$4:$AJ$4,0)))))</f>
        <v>-538.56040391</v>
      </c>
      <c r="AL5" s="3">
        <f>SUM(AH5:AK5)</f>
        <v>-1865.52691599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$180=$B6)*ISNUMBER(INDEX(Inputs!$K$5:$AJ$180,0,MATCH(D$2,Inputs!$K$4:$AJ$4,0))))+SUMPRODUCT((Inputs!$C$5:$C$180=$B6)*ISNUMBER(INDEX(Inputs!$K$5:$AJ$180,0,MATCH(D$2,Inputs!$K$4:$AJ$4,0))))+SUMPRODUCT((Inputs!$E$5:$E$180=$B6)*ISNUMBER(INDEX(Inputs!$K$5:$AJ$180,0,MATCH(D$2,Inputs!$K$4:$AJ$4,0))))=0,NA(),SUMPRODUCT((Inputs!$A$5:$A$180=$B6)*Inputs!$B$5:$B$180*(((Inputs!$G$5:$G$180="moeda")+(Inputs!$G$5:$G$180="acoes"))*Inputs!$B$1+((Inputs!$G$5:$G$180&lt;&gt;"moeda")*(Inputs!$G$5:$G$180&lt;&gt;"acoes")))*INDEX(Inputs!$K$5:$AJ$180,0,MATCH(D$2,Inputs!$K$4:$AJ$4,0)))+SUMPRODUCT((Inputs!$C$5:$C$180=$B6)*Inputs!$D$5:$D$180*(((Inputs!$G$5:$G$180="moeda")+(Inputs!$G$5:$G$180="acoes"))*Inputs!$B$1+((Inputs!$G$5:$G$180&lt;&gt;"moeda")*(Inputs!$G$5:$G$180&lt;&gt;"acoes")))*INDEX(Inputs!$K$5:$AJ$180,0,MATCH(D$2,Inputs!$K$4:$AJ$4,0)))+SUMPRODUCT((Inputs!$E$5:$E$180=$B6)*Inputs!$F$5:$F$180*(((Inputs!$G$5:$G$180="moeda")+(Inputs!$G$5:$G$180="acoes"))*Inputs!$B$1+((Inputs!$G$5:$G$180&lt;&gt;"moeda")*(Inputs!$G$5:$G$180&lt;&gt;"acoes")))*INDEX(Inputs!$K$5:$AJ$180,0,MATCH(D$2,Inputs!$K$4:$AJ$4,0)))))</f>
        <v>-73.595387</v>
      </c>
      <c r="E6" s="6">
        <f>IF(ISNA(MATCH(E$2,Inputs!$K$4:$AJ$4,0)),NA(),IF(SUMPRODUCT((Inputs!$A$5:$A$180=$B6)*ISNUMBER(INDEX(Inputs!$K$5:$AJ$180,0,MATCH(E$2,Inputs!$K$4:$AJ$4,0))))+SUMPRODUCT((Inputs!$C$5:$C$180=$B6)*ISNUMBER(INDEX(Inputs!$K$5:$AJ$180,0,MATCH(E$2,Inputs!$K$4:$AJ$4,0))))+SUMPRODUCT((Inputs!$E$5:$E$180=$B6)*ISNUMBER(INDEX(Inputs!$K$5:$AJ$180,0,MATCH(E$2,Inputs!$K$4:$AJ$4,0))))=0,NA(),SUMPRODUCT((Inputs!$A$5:$A$180=$B6)*Inputs!$B$5:$B$180*(((Inputs!$G$5:$G$180="moeda")+(Inputs!$G$5:$G$180="acoes"))*Inputs!$B$1+((Inputs!$G$5:$G$180&lt;&gt;"moeda")*(Inputs!$G$5:$G$180&lt;&gt;"acoes")))*INDEX(Inputs!$K$5:$AJ$180,0,MATCH(E$2,Inputs!$K$4:$AJ$4,0)))+SUMPRODUCT((Inputs!$C$5:$C$180=$B6)*Inputs!$D$5:$D$180*(((Inputs!$G$5:$G$180="moeda")+(Inputs!$G$5:$G$180="acoes"))*Inputs!$B$1+((Inputs!$G$5:$G$180&lt;&gt;"moeda")*(Inputs!$G$5:$G$180&lt;&gt;"acoes")))*INDEX(Inputs!$K$5:$AJ$180,0,MATCH(E$2,Inputs!$K$4:$AJ$4,0)))+SUMPRODUCT((Inputs!$E$5:$E$180=$B6)*Inputs!$F$5:$F$180*(((Inputs!$G$5:$G$180="moeda")+(Inputs!$G$5:$G$180="acoes"))*Inputs!$B$1+((Inputs!$G$5:$G$180&lt;&gt;"moeda")*(Inputs!$G$5:$G$180&lt;&gt;"acoes")))*INDEX(Inputs!$K$5:$AJ$180,0,MATCH(E$2,Inputs!$K$4:$AJ$4,0)))))</f>
        <v>-113.47448102</v>
      </c>
      <c r="F6" s="6">
        <f>IF(ISNA(MATCH(F$2,Inputs!$K$4:$AJ$4,0)),NA(),IF(SUMPRODUCT((Inputs!$A$5:$A$180=$B6)*ISNUMBER(INDEX(Inputs!$K$5:$AJ$180,0,MATCH(F$2,Inputs!$K$4:$AJ$4,0))))+SUMPRODUCT((Inputs!$C$5:$C$180=$B6)*ISNUMBER(INDEX(Inputs!$K$5:$AJ$180,0,MATCH(F$2,Inputs!$K$4:$AJ$4,0))))+SUMPRODUCT((Inputs!$E$5:$E$180=$B6)*ISNUMBER(INDEX(Inputs!$K$5:$AJ$180,0,MATCH(F$2,Inputs!$K$4:$AJ$4,0))))=0,NA(),SUMPRODUCT((Inputs!$A$5:$A$180=$B6)*Inputs!$B$5:$B$180*(((Inputs!$G$5:$G$180="moeda")+(Inputs!$G$5:$G$180="acoes"))*Inputs!$B$1+((Inputs!$G$5:$G$180&lt;&gt;"moeda")*(Inputs!$G$5:$G$180&lt;&gt;"acoes")))*INDEX(Inputs!$K$5:$AJ$180,0,MATCH(F$2,Inputs!$K$4:$AJ$4,0)))+SUMPRODUCT((Inputs!$C$5:$C$180=$B6)*Inputs!$D$5:$D$180*(((Inputs!$G$5:$G$180="moeda")+(Inputs!$G$5:$G$180="acoes"))*Inputs!$B$1+((Inputs!$G$5:$G$180&lt;&gt;"moeda")*(Inputs!$G$5:$G$180&lt;&gt;"acoes")))*INDEX(Inputs!$K$5:$AJ$180,0,MATCH(F$2,Inputs!$K$4:$AJ$4,0)))+SUMPRODUCT((Inputs!$E$5:$E$180=$B6)*Inputs!$F$5:$F$180*(((Inputs!$G$5:$G$180="moeda")+(Inputs!$G$5:$G$180="acoes"))*Inputs!$B$1+((Inputs!$G$5:$G$180&lt;&gt;"moeda")*(Inputs!$G$5:$G$180&lt;&gt;"acoes")))*INDEX(Inputs!$K$5:$AJ$180,0,MATCH(F$2,Inputs!$K$4:$AJ$4,0)))))</f>
        <v>-103.2100733</v>
      </c>
      <c r="G6" s="6">
        <f>IF(ISNA(MATCH(G$2,Inputs!$K$4:$AJ$4,0)),NA(),IF(SUMPRODUCT((Inputs!$A$5:$A$180=$B6)*ISNUMBER(INDEX(Inputs!$K$5:$AJ$180,0,MATCH(G$2,Inputs!$K$4:$AJ$4,0))))+SUMPRODUCT((Inputs!$C$5:$C$180=$B6)*ISNUMBER(INDEX(Inputs!$K$5:$AJ$180,0,MATCH(G$2,Inputs!$K$4:$AJ$4,0))))+SUMPRODUCT((Inputs!$E$5:$E$180=$B6)*ISNUMBER(INDEX(Inputs!$K$5:$AJ$180,0,MATCH(G$2,Inputs!$K$4:$AJ$4,0))))=0,NA(),SUMPRODUCT((Inputs!$A$5:$A$180=$B6)*Inputs!$B$5:$B$180*(((Inputs!$G$5:$G$180="moeda")+(Inputs!$G$5:$G$180="acoes"))*Inputs!$B$1+((Inputs!$G$5:$G$180&lt;&gt;"moeda")*(Inputs!$G$5:$G$180&lt;&gt;"acoes")))*INDEX(Inputs!$K$5:$AJ$180,0,MATCH(G$2,Inputs!$K$4:$AJ$4,0)))+SUMPRODUCT((Inputs!$C$5:$C$180=$B6)*Inputs!$D$5:$D$180*(((Inputs!$G$5:$G$180="moeda")+(Inputs!$G$5:$G$180="acoes"))*Inputs!$B$1+((Inputs!$G$5:$G$180&lt;&gt;"moeda")*(Inputs!$G$5:$G$180&lt;&gt;"acoes")))*INDEX(Inputs!$K$5:$AJ$180,0,MATCH(G$2,Inputs!$K$4:$AJ$4,0)))+SUMPRODUCT((Inputs!$E$5:$E$180=$B6)*Inputs!$F$5:$F$180*(((Inputs!$G$5:$G$180="moeda")+(Inputs!$G$5:$G$180="acoes"))*Inputs!$B$1+((Inputs!$G$5:$G$180&lt;&gt;"moeda")*(Inputs!$G$5:$G$180&lt;&gt;"acoes")))*INDEX(Inputs!$K$5:$AJ$180,0,MATCH(G$2,Inputs!$K$4:$AJ$4,0)))))</f>
        <v>-105.59846189</v>
      </c>
      <c r="H6" s="3">
        <f>SUM(D6:G6)</f>
        <v>-395.87840321</v>
      </c>
      <c r="I6" s="6">
        <f>IF(ISNA(MATCH(I$2,Inputs!$K$4:$AJ$4,0)),NA(),IF(SUMPRODUCT((Inputs!$A$5:$A$180=$B6)*ISNUMBER(INDEX(Inputs!$K$5:$AJ$180,0,MATCH(I$2,Inputs!$K$4:$AJ$4,0))))+SUMPRODUCT((Inputs!$C$5:$C$180=$B6)*ISNUMBER(INDEX(Inputs!$K$5:$AJ$180,0,MATCH(I$2,Inputs!$K$4:$AJ$4,0))))+SUMPRODUCT((Inputs!$E$5:$E$180=$B6)*ISNUMBER(INDEX(Inputs!$K$5:$AJ$180,0,MATCH(I$2,Inputs!$K$4:$AJ$4,0))))=0,NA(),SUMPRODUCT((Inputs!$A$5:$A$180=$B6)*Inputs!$B$5:$B$180*(((Inputs!$G$5:$G$180="moeda")+(Inputs!$G$5:$G$180="acoes"))*Inputs!$B$1+((Inputs!$G$5:$G$180&lt;&gt;"moeda")*(Inputs!$G$5:$G$180&lt;&gt;"acoes")))*INDEX(Inputs!$K$5:$AJ$180,0,MATCH(I$2,Inputs!$K$4:$AJ$4,0)))+SUMPRODUCT((Inputs!$C$5:$C$180=$B6)*Inputs!$D$5:$D$180*(((Inputs!$G$5:$G$180="moeda")+(Inputs!$G$5:$G$180="acoes"))*Inputs!$B$1+((Inputs!$G$5:$G$180&lt;&gt;"moeda")*(Inputs!$G$5:$G$180&lt;&gt;"acoes")))*INDEX(Inputs!$K$5:$AJ$180,0,MATCH(I$2,Inputs!$K$4:$AJ$4,0)))+SUMPRODUCT((Inputs!$E$5:$E$180=$B6)*Inputs!$F$5:$F$180*(((Inputs!$G$5:$G$180="moeda")+(Inputs!$G$5:$G$180="acoes"))*Inputs!$B$1+((Inputs!$G$5:$G$180&lt;&gt;"moeda")*(Inputs!$G$5:$G$180&lt;&gt;"acoes")))*INDEX(Inputs!$K$5:$AJ$180,0,MATCH(I$2,Inputs!$K$4:$AJ$4,0)))))</f>
        <v>-90.29549809</v>
      </c>
      <c r="J6" s="6">
        <f>IF(ISNA(MATCH(J$2,Inputs!$K$4:$AJ$4,0)),NA(),IF(SUMPRODUCT((Inputs!$A$5:$A$180=$B6)*ISNUMBER(INDEX(Inputs!$K$5:$AJ$180,0,MATCH(J$2,Inputs!$K$4:$AJ$4,0))))+SUMPRODUCT((Inputs!$C$5:$C$180=$B6)*ISNUMBER(INDEX(Inputs!$K$5:$AJ$180,0,MATCH(J$2,Inputs!$K$4:$AJ$4,0))))+SUMPRODUCT((Inputs!$E$5:$E$180=$B6)*ISNUMBER(INDEX(Inputs!$K$5:$AJ$180,0,MATCH(J$2,Inputs!$K$4:$AJ$4,0))))=0,NA(),SUMPRODUCT((Inputs!$A$5:$A$180=$B6)*Inputs!$B$5:$B$180*(((Inputs!$G$5:$G$180="moeda")+(Inputs!$G$5:$G$180="acoes"))*Inputs!$B$1+((Inputs!$G$5:$G$180&lt;&gt;"moeda")*(Inputs!$G$5:$G$180&lt;&gt;"acoes")))*INDEX(Inputs!$K$5:$AJ$180,0,MATCH(J$2,Inputs!$K$4:$AJ$4,0)))+SUMPRODUCT((Inputs!$C$5:$C$180=$B6)*Inputs!$D$5:$D$180*(((Inputs!$G$5:$G$180="moeda")+(Inputs!$G$5:$G$180="acoes"))*Inputs!$B$1+((Inputs!$G$5:$G$180&lt;&gt;"moeda")*(Inputs!$G$5:$G$180&lt;&gt;"acoes")))*INDEX(Inputs!$K$5:$AJ$180,0,MATCH(J$2,Inputs!$K$4:$AJ$4,0)))+SUMPRODUCT((Inputs!$E$5:$E$180=$B6)*Inputs!$F$5:$F$180*(((Inputs!$G$5:$G$180="moeda")+(Inputs!$G$5:$G$180="acoes"))*Inputs!$B$1+((Inputs!$G$5:$G$180&lt;&gt;"moeda")*(Inputs!$G$5:$G$180&lt;&gt;"acoes")))*INDEX(Inputs!$K$5:$AJ$180,0,MATCH(J$2,Inputs!$K$4:$AJ$4,0)))))</f>
        <v>-100.75198281</v>
      </c>
      <c r="K6" s="6">
        <f>IF(ISNA(MATCH(K$2,Inputs!$K$4:$AJ$4,0)),NA(),IF(SUMPRODUCT((Inputs!$A$5:$A$180=$B6)*ISNUMBER(INDEX(Inputs!$K$5:$AJ$180,0,MATCH(K$2,Inputs!$K$4:$AJ$4,0))))+SUMPRODUCT((Inputs!$C$5:$C$180=$B6)*ISNUMBER(INDEX(Inputs!$K$5:$AJ$180,0,MATCH(K$2,Inputs!$K$4:$AJ$4,0))))+SUMPRODUCT((Inputs!$E$5:$E$180=$B6)*ISNUMBER(INDEX(Inputs!$K$5:$AJ$180,0,MATCH(K$2,Inputs!$K$4:$AJ$4,0))))=0,NA(),SUMPRODUCT((Inputs!$A$5:$A$180=$B6)*Inputs!$B$5:$B$180*(((Inputs!$G$5:$G$180="moeda")+(Inputs!$G$5:$G$180="acoes"))*Inputs!$B$1+((Inputs!$G$5:$G$180&lt;&gt;"moeda")*(Inputs!$G$5:$G$180&lt;&gt;"acoes")))*INDEX(Inputs!$K$5:$AJ$180,0,MATCH(K$2,Inputs!$K$4:$AJ$4,0)))+SUMPRODUCT((Inputs!$C$5:$C$180=$B6)*Inputs!$D$5:$D$180*(((Inputs!$G$5:$G$180="moeda")+(Inputs!$G$5:$G$180="acoes"))*Inputs!$B$1+((Inputs!$G$5:$G$180&lt;&gt;"moeda")*(Inputs!$G$5:$G$180&lt;&gt;"acoes")))*INDEX(Inputs!$K$5:$AJ$180,0,MATCH(K$2,Inputs!$K$4:$AJ$4,0)))+SUMPRODUCT((Inputs!$E$5:$E$180=$B6)*Inputs!$F$5:$F$180*(((Inputs!$G$5:$G$180="moeda")+(Inputs!$G$5:$G$180="acoes"))*Inputs!$B$1+((Inputs!$G$5:$G$180&lt;&gt;"moeda")*(Inputs!$G$5:$G$180&lt;&gt;"acoes")))*INDEX(Inputs!$K$5:$AJ$180,0,MATCH(K$2,Inputs!$K$4:$AJ$4,0)))))</f>
        <v>-101.77671757</v>
      </c>
      <c r="L6" s="6">
        <f>IF(ISNA(MATCH(L$2,Inputs!$K$4:$AJ$4,0)),NA(),IF(SUMPRODUCT((Inputs!$A$5:$A$180=$B6)*ISNUMBER(INDEX(Inputs!$K$5:$AJ$180,0,MATCH(L$2,Inputs!$K$4:$AJ$4,0))))+SUMPRODUCT((Inputs!$C$5:$C$180=$B6)*ISNUMBER(INDEX(Inputs!$K$5:$AJ$180,0,MATCH(L$2,Inputs!$K$4:$AJ$4,0))))+SUMPRODUCT((Inputs!$E$5:$E$180=$B6)*ISNUMBER(INDEX(Inputs!$K$5:$AJ$180,0,MATCH(L$2,Inputs!$K$4:$AJ$4,0))))=0,NA(),SUMPRODUCT((Inputs!$A$5:$A$180=$B6)*Inputs!$B$5:$B$180*(((Inputs!$G$5:$G$180="moeda")+(Inputs!$G$5:$G$180="acoes"))*Inputs!$B$1+((Inputs!$G$5:$G$180&lt;&gt;"moeda")*(Inputs!$G$5:$G$180&lt;&gt;"acoes")))*INDEX(Inputs!$K$5:$AJ$180,0,MATCH(L$2,Inputs!$K$4:$AJ$4,0)))+SUMPRODUCT((Inputs!$C$5:$C$180=$B6)*Inputs!$D$5:$D$180*(((Inputs!$G$5:$G$180="moeda")+(Inputs!$G$5:$G$180="acoes"))*Inputs!$B$1+((Inputs!$G$5:$G$180&lt;&gt;"moeda")*(Inputs!$G$5:$G$180&lt;&gt;"acoes")))*INDEX(Inputs!$K$5:$AJ$180,0,MATCH(L$2,Inputs!$K$4:$AJ$4,0)))+SUMPRODUCT((Inputs!$E$5:$E$180=$B6)*Inputs!$F$5:$F$180*(((Inputs!$G$5:$G$180="moeda")+(Inputs!$G$5:$G$180="acoes"))*Inputs!$B$1+((Inputs!$G$5:$G$180&lt;&gt;"moeda")*(Inputs!$G$5:$G$180&lt;&gt;"acoes")))*INDEX(Inputs!$K$5:$AJ$180,0,MATCH(L$2,Inputs!$K$4:$AJ$4,0)))))</f>
        <v>-123.12782083</v>
      </c>
      <c r="M6" s="3">
        <f>SUM(I6:L6)</f>
        <v>-415.9520193</v>
      </c>
      <c r="N6" s="6">
        <f>IF(ISNA(MATCH(N$2,Inputs!$K$4:$AJ$4,0)),NA(),IF(SUMPRODUCT((Inputs!$A$5:$A$180=$B6)*ISNUMBER(INDEX(Inputs!$K$5:$AJ$180,0,MATCH(N$2,Inputs!$K$4:$AJ$4,0))))+SUMPRODUCT((Inputs!$C$5:$C$180=$B6)*ISNUMBER(INDEX(Inputs!$K$5:$AJ$180,0,MATCH(N$2,Inputs!$K$4:$AJ$4,0))))+SUMPRODUCT((Inputs!$E$5:$E$180=$B6)*ISNUMBER(INDEX(Inputs!$K$5:$AJ$180,0,MATCH(N$2,Inputs!$K$4:$AJ$4,0))))=0,NA(),SUMPRODUCT((Inputs!$A$5:$A$180=$B6)*Inputs!$B$5:$B$180*(((Inputs!$G$5:$G$180="moeda")+(Inputs!$G$5:$G$180="acoes"))*Inputs!$B$1+((Inputs!$G$5:$G$180&lt;&gt;"moeda")*(Inputs!$G$5:$G$180&lt;&gt;"acoes")))*INDEX(Inputs!$K$5:$AJ$180,0,MATCH(N$2,Inputs!$K$4:$AJ$4,0)))+SUMPRODUCT((Inputs!$C$5:$C$180=$B6)*Inputs!$D$5:$D$180*(((Inputs!$G$5:$G$180="moeda")+(Inputs!$G$5:$G$180="acoes"))*Inputs!$B$1+((Inputs!$G$5:$G$180&lt;&gt;"moeda")*(Inputs!$G$5:$G$180&lt;&gt;"acoes")))*INDEX(Inputs!$K$5:$AJ$180,0,MATCH(N$2,Inputs!$K$4:$AJ$4,0)))+SUMPRODUCT((Inputs!$E$5:$E$180=$B6)*Inputs!$F$5:$F$180*(((Inputs!$G$5:$G$180="moeda")+(Inputs!$G$5:$G$180="acoes"))*Inputs!$B$1+((Inputs!$G$5:$G$180&lt;&gt;"moeda")*(Inputs!$G$5:$G$180&lt;&gt;"acoes")))*INDEX(Inputs!$K$5:$AJ$180,0,MATCH(N$2,Inputs!$K$4:$AJ$4,0)))))</f>
        <v>-114.61168622</v>
      </c>
      <c r="O6" s="6">
        <f>IF(ISNA(MATCH(O$2,Inputs!$K$4:$AJ$4,0)),NA(),IF(SUMPRODUCT((Inputs!$A$5:$A$180=$B6)*ISNUMBER(INDEX(Inputs!$K$5:$AJ$180,0,MATCH(O$2,Inputs!$K$4:$AJ$4,0))))+SUMPRODUCT((Inputs!$C$5:$C$180=$B6)*ISNUMBER(INDEX(Inputs!$K$5:$AJ$180,0,MATCH(O$2,Inputs!$K$4:$AJ$4,0))))+SUMPRODUCT((Inputs!$E$5:$E$180=$B6)*ISNUMBER(INDEX(Inputs!$K$5:$AJ$180,0,MATCH(O$2,Inputs!$K$4:$AJ$4,0))))=0,NA(),SUMPRODUCT((Inputs!$A$5:$A$180=$B6)*Inputs!$B$5:$B$180*(((Inputs!$G$5:$G$180="moeda")+(Inputs!$G$5:$G$180="acoes"))*Inputs!$B$1+((Inputs!$G$5:$G$180&lt;&gt;"moeda")*(Inputs!$G$5:$G$180&lt;&gt;"acoes")))*INDEX(Inputs!$K$5:$AJ$180,0,MATCH(O$2,Inputs!$K$4:$AJ$4,0)))+SUMPRODUCT((Inputs!$C$5:$C$180=$B6)*Inputs!$D$5:$D$180*(((Inputs!$G$5:$G$180="moeda")+(Inputs!$G$5:$G$180="acoes"))*Inputs!$B$1+((Inputs!$G$5:$G$180&lt;&gt;"moeda")*(Inputs!$G$5:$G$180&lt;&gt;"acoes")))*INDEX(Inputs!$K$5:$AJ$180,0,MATCH(O$2,Inputs!$K$4:$AJ$4,0)))+SUMPRODUCT((Inputs!$E$5:$E$180=$B6)*Inputs!$F$5:$F$180*(((Inputs!$G$5:$G$180="moeda")+(Inputs!$G$5:$G$180="acoes"))*Inputs!$B$1+((Inputs!$G$5:$G$180&lt;&gt;"moeda")*(Inputs!$G$5:$G$180&lt;&gt;"acoes")))*INDEX(Inputs!$K$5:$AJ$180,0,MATCH(O$2,Inputs!$K$4:$AJ$4,0)))))</f>
        <v>-220.784</v>
      </c>
      <c r="P6" s="6">
        <f>IF(ISNA(MATCH(P$2,Inputs!$K$4:$AJ$4,0)),NA(),IF(SUMPRODUCT((Inputs!$A$5:$A$180=$B6)*ISNUMBER(INDEX(Inputs!$K$5:$AJ$180,0,MATCH(P$2,Inputs!$K$4:$AJ$4,0))))+SUMPRODUCT((Inputs!$C$5:$C$180=$B6)*ISNUMBER(INDEX(Inputs!$K$5:$AJ$180,0,MATCH(P$2,Inputs!$K$4:$AJ$4,0))))+SUMPRODUCT((Inputs!$E$5:$E$180=$B6)*ISNUMBER(INDEX(Inputs!$K$5:$AJ$180,0,MATCH(P$2,Inputs!$K$4:$AJ$4,0))))=0,NA(),SUMPRODUCT((Inputs!$A$5:$A$180=$B6)*Inputs!$B$5:$B$180*(((Inputs!$G$5:$G$180="moeda")+(Inputs!$G$5:$G$180="acoes"))*Inputs!$B$1+((Inputs!$G$5:$G$180&lt;&gt;"moeda")*(Inputs!$G$5:$G$180&lt;&gt;"acoes")))*INDEX(Inputs!$K$5:$AJ$180,0,MATCH(P$2,Inputs!$K$4:$AJ$4,0)))+SUMPRODUCT((Inputs!$C$5:$C$180=$B6)*Inputs!$D$5:$D$180*(((Inputs!$G$5:$G$180="moeda")+(Inputs!$G$5:$G$180="acoes"))*Inputs!$B$1+((Inputs!$G$5:$G$180&lt;&gt;"moeda")*(Inputs!$G$5:$G$180&lt;&gt;"acoes")))*INDEX(Inputs!$K$5:$AJ$180,0,MATCH(P$2,Inputs!$K$4:$AJ$4,0)))+SUMPRODUCT((Inputs!$E$5:$E$180=$B6)*Inputs!$F$5:$F$180*(((Inputs!$G$5:$G$180="moeda")+(Inputs!$G$5:$G$180="acoes"))*Inputs!$B$1+((Inputs!$G$5:$G$180&lt;&gt;"moeda")*(Inputs!$G$5:$G$180&lt;&gt;"acoes")))*INDEX(Inputs!$K$5:$AJ$180,0,MATCH(P$2,Inputs!$K$4:$AJ$4,0)))))</f>
        <v>-166.013</v>
      </c>
      <c r="Q6" s="6">
        <f>IF(ISNA(MATCH(Q$2,Inputs!$K$4:$AJ$4,0)),NA(),IF(SUMPRODUCT((Inputs!$A$5:$A$180=$B6)*ISNUMBER(INDEX(Inputs!$K$5:$AJ$180,0,MATCH(Q$2,Inputs!$K$4:$AJ$4,0))))+SUMPRODUCT((Inputs!$C$5:$C$180=$B6)*ISNUMBER(INDEX(Inputs!$K$5:$AJ$180,0,MATCH(Q$2,Inputs!$K$4:$AJ$4,0))))+SUMPRODUCT((Inputs!$E$5:$E$180=$B6)*ISNUMBER(INDEX(Inputs!$K$5:$AJ$180,0,MATCH(Q$2,Inputs!$K$4:$AJ$4,0))))=0,NA(),SUMPRODUCT((Inputs!$A$5:$A$180=$B6)*Inputs!$B$5:$B$180*(((Inputs!$G$5:$G$180="moeda")+(Inputs!$G$5:$G$180="acoes"))*Inputs!$B$1+((Inputs!$G$5:$G$180&lt;&gt;"moeda")*(Inputs!$G$5:$G$180&lt;&gt;"acoes")))*INDEX(Inputs!$K$5:$AJ$180,0,MATCH(Q$2,Inputs!$K$4:$AJ$4,0)))+SUMPRODUCT((Inputs!$C$5:$C$180=$B6)*Inputs!$D$5:$D$180*(((Inputs!$G$5:$G$180="moeda")+(Inputs!$G$5:$G$180="acoes"))*Inputs!$B$1+((Inputs!$G$5:$G$180&lt;&gt;"moeda")*(Inputs!$G$5:$G$180&lt;&gt;"acoes")))*INDEX(Inputs!$K$5:$AJ$180,0,MATCH(Q$2,Inputs!$K$4:$AJ$4,0)))+SUMPRODUCT((Inputs!$E$5:$E$180=$B6)*Inputs!$F$5:$F$180*(((Inputs!$G$5:$G$180="moeda")+(Inputs!$G$5:$G$180="acoes"))*Inputs!$B$1+((Inputs!$G$5:$G$180&lt;&gt;"moeda")*(Inputs!$G$5:$G$180&lt;&gt;"acoes")))*INDEX(Inputs!$K$5:$AJ$180,0,MATCH(Q$2,Inputs!$K$4:$AJ$4,0)))))</f>
        <v>-170.937</v>
      </c>
      <c r="R6" s="3">
        <f>SUM(N6:Q6)</f>
        <v>-672.34568622</v>
      </c>
      <c r="S6" s="6">
        <f>IF(ISNA(MATCH(S$2,Inputs!$K$4:$AJ$4,0)),NA(),IF(SUMPRODUCT((Inputs!$A$5:$A$180=$B6)*ISNUMBER(INDEX(Inputs!$K$5:$AJ$180,0,MATCH(S$2,Inputs!$K$4:$AJ$4,0))))+SUMPRODUCT((Inputs!$C$5:$C$180=$B6)*ISNUMBER(INDEX(Inputs!$K$5:$AJ$180,0,MATCH(S$2,Inputs!$K$4:$AJ$4,0))))+SUMPRODUCT((Inputs!$E$5:$E$180=$B6)*ISNUMBER(INDEX(Inputs!$K$5:$AJ$180,0,MATCH(S$2,Inputs!$K$4:$AJ$4,0))))=0,NA(),SUMPRODUCT((Inputs!$A$5:$A$180=$B6)*Inputs!$B$5:$B$180*(((Inputs!$G$5:$G$180="moeda")+(Inputs!$G$5:$G$180="acoes"))*Inputs!$B$1+((Inputs!$G$5:$G$180&lt;&gt;"moeda")*(Inputs!$G$5:$G$180&lt;&gt;"acoes")))*INDEX(Inputs!$K$5:$AJ$180,0,MATCH(S$2,Inputs!$K$4:$AJ$4,0)))+SUMPRODUCT((Inputs!$C$5:$C$180=$B6)*Inputs!$D$5:$D$180*(((Inputs!$G$5:$G$180="moeda")+(Inputs!$G$5:$G$180="acoes"))*Inputs!$B$1+((Inputs!$G$5:$G$180&lt;&gt;"moeda")*(Inputs!$G$5:$G$180&lt;&gt;"acoes")))*INDEX(Inputs!$K$5:$AJ$180,0,MATCH(S$2,Inputs!$K$4:$AJ$4,0)))+SUMPRODUCT((Inputs!$E$5:$E$180=$B6)*Inputs!$F$5:$F$180*(((Inputs!$G$5:$G$180="moeda")+(Inputs!$G$5:$G$180="acoes"))*Inputs!$B$1+((Inputs!$G$5:$G$180&lt;&gt;"moeda")*(Inputs!$G$5:$G$180&lt;&gt;"acoes")))*INDEX(Inputs!$K$5:$AJ$180,0,MATCH(S$2,Inputs!$K$4:$AJ$4,0)))))</f>
        <v>-195.223</v>
      </c>
      <c r="T6" s="6">
        <f>IF(ISNA(MATCH(T$2,Inputs!$K$4:$AJ$4,0)),NA(),IF(SUMPRODUCT((Inputs!$A$5:$A$180=$B6)*ISNUMBER(INDEX(Inputs!$K$5:$AJ$180,0,MATCH(T$2,Inputs!$K$4:$AJ$4,0))))+SUMPRODUCT((Inputs!$C$5:$C$180=$B6)*ISNUMBER(INDEX(Inputs!$K$5:$AJ$180,0,MATCH(T$2,Inputs!$K$4:$AJ$4,0))))+SUMPRODUCT((Inputs!$E$5:$E$180=$B6)*ISNUMBER(INDEX(Inputs!$K$5:$AJ$180,0,MATCH(T$2,Inputs!$K$4:$AJ$4,0))))=0,NA(),SUMPRODUCT((Inputs!$A$5:$A$180=$B6)*Inputs!$B$5:$B$180*(((Inputs!$G$5:$G$180="moeda")+(Inputs!$G$5:$G$180="acoes"))*Inputs!$B$1+((Inputs!$G$5:$G$180&lt;&gt;"moeda")*(Inputs!$G$5:$G$180&lt;&gt;"acoes")))*INDEX(Inputs!$K$5:$AJ$180,0,MATCH(T$2,Inputs!$K$4:$AJ$4,0)))+SUMPRODUCT((Inputs!$C$5:$C$180=$B6)*Inputs!$D$5:$D$180*(((Inputs!$G$5:$G$180="moeda")+(Inputs!$G$5:$G$180="acoes"))*Inputs!$B$1+((Inputs!$G$5:$G$180&lt;&gt;"moeda")*(Inputs!$G$5:$G$180&lt;&gt;"acoes")))*INDEX(Inputs!$K$5:$AJ$180,0,MATCH(T$2,Inputs!$K$4:$AJ$4,0)))+SUMPRODUCT((Inputs!$E$5:$E$180=$B6)*Inputs!$F$5:$F$180*(((Inputs!$G$5:$G$180="moeda")+(Inputs!$G$5:$G$180="acoes"))*Inputs!$B$1+((Inputs!$G$5:$G$180&lt;&gt;"moeda")*(Inputs!$G$5:$G$180&lt;&gt;"acoes")))*INDEX(Inputs!$K$5:$AJ$180,0,MATCH(T$2,Inputs!$K$4:$AJ$4,0)))))</f>
        <v>-195.315</v>
      </c>
      <c r="U6" s="6">
        <f>IF(ISNA(MATCH(U$2,Inputs!$K$4:$AJ$4,0)),NA(),IF(SUMPRODUCT((Inputs!$A$5:$A$180=$B6)*ISNUMBER(INDEX(Inputs!$K$5:$AJ$180,0,MATCH(U$2,Inputs!$K$4:$AJ$4,0))))+SUMPRODUCT((Inputs!$C$5:$C$180=$B6)*ISNUMBER(INDEX(Inputs!$K$5:$AJ$180,0,MATCH(U$2,Inputs!$K$4:$AJ$4,0))))+SUMPRODUCT((Inputs!$E$5:$E$180=$B6)*ISNUMBER(INDEX(Inputs!$K$5:$AJ$180,0,MATCH(U$2,Inputs!$K$4:$AJ$4,0))))=0,NA(),SUMPRODUCT((Inputs!$A$5:$A$180=$B6)*Inputs!$B$5:$B$180*(((Inputs!$G$5:$G$180="moeda")+(Inputs!$G$5:$G$180="acoes"))*Inputs!$B$1+((Inputs!$G$5:$G$180&lt;&gt;"moeda")*(Inputs!$G$5:$G$180&lt;&gt;"acoes")))*INDEX(Inputs!$K$5:$AJ$180,0,MATCH(U$2,Inputs!$K$4:$AJ$4,0)))+SUMPRODUCT((Inputs!$C$5:$C$180=$B6)*Inputs!$D$5:$D$180*(((Inputs!$G$5:$G$180="moeda")+(Inputs!$G$5:$G$180="acoes"))*Inputs!$B$1+((Inputs!$G$5:$G$180&lt;&gt;"moeda")*(Inputs!$G$5:$G$180&lt;&gt;"acoes")))*INDEX(Inputs!$K$5:$AJ$180,0,MATCH(U$2,Inputs!$K$4:$AJ$4,0)))+SUMPRODUCT((Inputs!$E$5:$E$180=$B6)*Inputs!$F$5:$F$180*(((Inputs!$G$5:$G$180="moeda")+(Inputs!$G$5:$G$180="acoes"))*Inputs!$B$1+((Inputs!$G$5:$G$180&lt;&gt;"moeda")*(Inputs!$G$5:$G$180&lt;&gt;"acoes")))*INDEX(Inputs!$K$5:$AJ$180,0,MATCH(U$2,Inputs!$K$4:$AJ$4,0)))))</f>
        <v>-173.406</v>
      </c>
      <c r="V6" s="6">
        <f>IF(ISNA(MATCH(V$2,Inputs!$K$4:$AJ$4,0)),NA(),IF(SUMPRODUCT((Inputs!$A$5:$A$180=$B6)*ISNUMBER(INDEX(Inputs!$K$5:$AJ$180,0,MATCH(V$2,Inputs!$K$4:$AJ$4,0))))+SUMPRODUCT((Inputs!$C$5:$C$180=$B6)*ISNUMBER(INDEX(Inputs!$K$5:$AJ$180,0,MATCH(V$2,Inputs!$K$4:$AJ$4,0))))+SUMPRODUCT((Inputs!$E$5:$E$180=$B6)*ISNUMBER(INDEX(Inputs!$K$5:$AJ$180,0,MATCH(V$2,Inputs!$K$4:$AJ$4,0))))=0,NA(),SUMPRODUCT((Inputs!$A$5:$A$180=$B6)*Inputs!$B$5:$B$180*(((Inputs!$G$5:$G$180="moeda")+(Inputs!$G$5:$G$180="acoes"))*Inputs!$B$1+((Inputs!$G$5:$G$180&lt;&gt;"moeda")*(Inputs!$G$5:$G$180&lt;&gt;"acoes")))*INDEX(Inputs!$K$5:$AJ$180,0,MATCH(V$2,Inputs!$K$4:$AJ$4,0)))+SUMPRODUCT((Inputs!$C$5:$C$180=$B6)*Inputs!$D$5:$D$180*(((Inputs!$G$5:$G$180="moeda")+(Inputs!$G$5:$G$180="acoes"))*Inputs!$B$1+((Inputs!$G$5:$G$180&lt;&gt;"moeda")*(Inputs!$G$5:$G$180&lt;&gt;"acoes")))*INDEX(Inputs!$K$5:$AJ$180,0,MATCH(V$2,Inputs!$K$4:$AJ$4,0)))+SUMPRODUCT((Inputs!$E$5:$E$180=$B6)*Inputs!$F$5:$F$180*(((Inputs!$G$5:$G$180="moeda")+(Inputs!$G$5:$G$180="acoes"))*Inputs!$B$1+((Inputs!$G$5:$G$180&lt;&gt;"moeda")*(Inputs!$G$5:$G$180&lt;&gt;"acoes")))*INDEX(Inputs!$K$5:$AJ$180,0,MATCH(V$2,Inputs!$K$4:$AJ$4,0)))))</f>
        <v>-202.562</v>
      </c>
      <c r="W6" s="3">
        <f>SUM(S6:V6)</f>
        <v>-766.506</v>
      </c>
      <c r="X6" s="6">
        <f>IF(ISNA(MATCH(X$2,Inputs!$K$4:$AJ$4,0)),NA(),IF(SUMPRODUCT((Inputs!$A$5:$A$180=$B6)*ISNUMBER(INDEX(Inputs!$K$5:$AJ$180,0,MATCH(X$2,Inputs!$K$4:$AJ$4,0))))+SUMPRODUCT((Inputs!$C$5:$C$180=$B6)*ISNUMBER(INDEX(Inputs!$K$5:$AJ$180,0,MATCH(X$2,Inputs!$K$4:$AJ$4,0))))+SUMPRODUCT((Inputs!$E$5:$E$180=$B6)*ISNUMBER(INDEX(Inputs!$K$5:$AJ$180,0,MATCH(X$2,Inputs!$K$4:$AJ$4,0))))=0,NA(),SUMPRODUCT((Inputs!$A$5:$A$180=$B6)*Inputs!$B$5:$B$180*(((Inputs!$G$5:$G$180="moeda")+(Inputs!$G$5:$G$180="acoes"))*Inputs!$B$1+((Inputs!$G$5:$G$180&lt;&gt;"moeda")*(Inputs!$G$5:$G$180&lt;&gt;"acoes")))*INDEX(Inputs!$K$5:$AJ$180,0,MATCH(X$2,Inputs!$K$4:$AJ$4,0)))+SUMPRODUCT((Inputs!$C$5:$C$180=$B6)*Inputs!$D$5:$D$180*(((Inputs!$G$5:$G$180="moeda")+(Inputs!$G$5:$G$180="acoes"))*Inputs!$B$1+((Inputs!$G$5:$G$180&lt;&gt;"moeda")*(Inputs!$G$5:$G$180&lt;&gt;"acoes")))*INDEX(Inputs!$K$5:$AJ$180,0,MATCH(X$2,Inputs!$K$4:$AJ$4,0)))+SUMPRODUCT((Inputs!$E$5:$E$180=$B6)*Inputs!$F$5:$F$180*(((Inputs!$G$5:$G$180="moeda")+(Inputs!$G$5:$G$180="acoes"))*Inputs!$B$1+((Inputs!$G$5:$G$180&lt;&gt;"moeda")*(Inputs!$G$5:$G$180&lt;&gt;"acoes")))*INDEX(Inputs!$K$5:$AJ$180,0,MATCH(X$2,Inputs!$K$4:$AJ$4,0)))))</f>
        <v>-185.366348</v>
      </c>
      <c r="Y6" s="6">
        <f>IF(ISNA(MATCH(Y$2,Inputs!$K$4:$AJ$4,0)),NA(),IF(SUMPRODUCT((Inputs!$A$5:$A$180=$B6)*ISNUMBER(INDEX(Inputs!$K$5:$AJ$180,0,MATCH(Y$2,Inputs!$K$4:$AJ$4,0))))+SUMPRODUCT((Inputs!$C$5:$C$180=$B6)*ISNUMBER(INDEX(Inputs!$K$5:$AJ$180,0,MATCH(Y$2,Inputs!$K$4:$AJ$4,0))))+SUMPRODUCT((Inputs!$E$5:$E$180=$B6)*ISNUMBER(INDEX(Inputs!$K$5:$AJ$180,0,MATCH(Y$2,Inputs!$K$4:$AJ$4,0))))=0,NA(),SUMPRODUCT((Inputs!$A$5:$A$180=$B6)*Inputs!$B$5:$B$180*(((Inputs!$G$5:$G$180="moeda")+(Inputs!$G$5:$G$180="acoes"))*Inputs!$B$1+((Inputs!$G$5:$G$180&lt;&gt;"moeda")*(Inputs!$G$5:$G$180&lt;&gt;"acoes")))*INDEX(Inputs!$K$5:$AJ$180,0,MATCH(Y$2,Inputs!$K$4:$AJ$4,0)))+SUMPRODUCT((Inputs!$C$5:$C$180=$B6)*Inputs!$D$5:$D$180*(((Inputs!$G$5:$G$180="moeda")+(Inputs!$G$5:$G$180="acoes"))*Inputs!$B$1+((Inputs!$G$5:$G$180&lt;&gt;"moeda")*(Inputs!$G$5:$G$180&lt;&gt;"acoes")))*INDEX(Inputs!$K$5:$AJ$180,0,MATCH(Y$2,Inputs!$K$4:$AJ$4,0)))+SUMPRODUCT((Inputs!$E$5:$E$180=$B6)*Inputs!$F$5:$F$180*(((Inputs!$G$5:$G$180="moeda")+(Inputs!$G$5:$G$180="acoes"))*Inputs!$B$1+((Inputs!$G$5:$G$180&lt;&gt;"moeda")*(Inputs!$G$5:$G$180&lt;&gt;"acoes")))*INDEX(Inputs!$K$5:$AJ$180,0,MATCH(Y$2,Inputs!$K$4:$AJ$4,0)))))</f>
        <v>-165.927</v>
      </c>
      <c r="Z6" s="6">
        <f>IF(ISNA(MATCH(Z$2,Inputs!$K$4:$AJ$4,0)),NA(),IF(SUMPRODUCT((Inputs!$A$5:$A$180=$B6)*ISNUMBER(INDEX(Inputs!$K$5:$AJ$180,0,MATCH(Z$2,Inputs!$K$4:$AJ$4,0))))+SUMPRODUCT((Inputs!$C$5:$C$180=$B6)*ISNUMBER(INDEX(Inputs!$K$5:$AJ$180,0,MATCH(Z$2,Inputs!$K$4:$AJ$4,0))))+SUMPRODUCT((Inputs!$E$5:$E$180=$B6)*ISNUMBER(INDEX(Inputs!$K$5:$AJ$180,0,MATCH(Z$2,Inputs!$K$4:$AJ$4,0))))=0,NA(),SUMPRODUCT((Inputs!$A$5:$A$180=$B6)*Inputs!$B$5:$B$180*(((Inputs!$G$5:$G$180="moeda")+(Inputs!$G$5:$G$180="acoes"))*Inputs!$B$1+((Inputs!$G$5:$G$180&lt;&gt;"moeda")*(Inputs!$G$5:$G$180&lt;&gt;"acoes")))*INDEX(Inputs!$K$5:$AJ$180,0,MATCH(Z$2,Inputs!$K$4:$AJ$4,0)))+SUMPRODUCT((Inputs!$C$5:$C$180=$B6)*Inputs!$D$5:$D$180*(((Inputs!$G$5:$G$180="moeda")+(Inputs!$G$5:$G$180="acoes"))*Inputs!$B$1+((Inputs!$G$5:$G$180&lt;&gt;"moeda")*(Inputs!$G$5:$G$180&lt;&gt;"acoes")))*INDEX(Inputs!$K$5:$AJ$180,0,MATCH(Z$2,Inputs!$K$4:$AJ$4,0)))+SUMPRODUCT((Inputs!$E$5:$E$180=$B6)*Inputs!$F$5:$F$180*(((Inputs!$G$5:$G$180="moeda")+(Inputs!$G$5:$G$180="acoes"))*Inputs!$B$1+((Inputs!$G$5:$G$180&lt;&gt;"moeda")*(Inputs!$G$5:$G$180&lt;&gt;"acoes")))*INDEX(Inputs!$K$5:$AJ$180,0,MATCH(Z$2,Inputs!$K$4:$AJ$4,0)))))</f>
        <v>-191.910278533221</v>
      </c>
      <c r="AA6" s="6">
        <f>IF(ISNA(MATCH(AA$2,Inputs!$K$4:$AJ$4,0)),NA(),IF(SUMPRODUCT((Inputs!$A$5:$A$180=$B6)*ISNUMBER(INDEX(Inputs!$K$5:$AJ$180,0,MATCH(AA$2,Inputs!$K$4:$AJ$4,0))))+SUMPRODUCT((Inputs!$C$5:$C$180=$B6)*ISNUMBER(INDEX(Inputs!$K$5:$AJ$180,0,MATCH(AA$2,Inputs!$K$4:$AJ$4,0))))+SUMPRODUCT((Inputs!$E$5:$E$180=$B6)*ISNUMBER(INDEX(Inputs!$K$5:$AJ$180,0,MATCH(AA$2,Inputs!$K$4:$AJ$4,0))))=0,NA(),SUMPRODUCT((Inputs!$A$5:$A$180=$B6)*Inputs!$B$5:$B$180*(((Inputs!$G$5:$G$180="moeda")+(Inputs!$G$5:$G$180="acoes"))*Inputs!$B$1+((Inputs!$G$5:$G$180&lt;&gt;"moeda")*(Inputs!$G$5:$G$180&lt;&gt;"acoes")))*INDEX(Inputs!$K$5:$AJ$180,0,MATCH(AA$2,Inputs!$K$4:$AJ$4,0)))+SUMPRODUCT((Inputs!$C$5:$C$180=$B6)*Inputs!$D$5:$D$180*(((Inputs!$G$5:$G$180="moeda")+(Inputs!$G$5:$G$180="acoes"))*Inputs!$B$1+((Inputs!$G$5:$G$180&lt;&gt;"moeda")*(Inputs!$G$5:$G$180&lt;&gt;"acoes")))*INDEX(Inputs!$K$5:$AJ$180,0,MATCH(AA$2,Inputs!$K$4:$AJ$4,0)))+SUMPRODUCT((Inputs!$E$5:$E$180=$B6)*Inputs!$F$5:$F$180*(((Inputs!$G$5:$G$180="moeda")+(Inputs!$G$5:$G$180="acoes"))*Inputs!$B$1+((Inputs!$G$5:$G$180&lt;&gt;"moeda")*(Inputs!$G$5:$G$180&lt;&gt;"acoes")))*INDEX(Inputs!$K$5:$AJ$180,0,MATCH(AA$2,Inputs!$K$4:$AJ$4,0)))))</f>
        <v>-210.60018183</v>
      </c>
      <c r="AB6" s="3">
        <f>SUM(X6:AA6)</f>
        <v>-753.803808363221</v>
      </c>
      <c r="AC6" s="6">
        <f>IF(ISNA(MATCH(AC$2,Inputs!$K$4:$AJ$4,0)),NA(),IF(SUMPRODUCT((Inputs!$A$5:$A$180=$B6)*ISNUMBER(INDEX(Inputs!$K$5:$AJ$180,0,MATCH(AC$2,Inputs!$K$4:$AJ$4,0))))+SUMPRODUCT((Inputs!$C$5:$C$180=$B6)*ISNUMBER(INDEX(Inputs!$K$5:$AJ$180,0,MATCH(AC$2,Inputs!$K$4:$AJ$4,0))))+SUMPRODUCT((Inputs!$E$5:$E$180=$B6)*ISNUMBER(INDEX(Inputs!$K$5:$AJ$180,0,MATCH(AC$2,Inputs!$K$4:$AJ$4,0))))=0,NA(),SUMPRODUCT((Inputs!$A$5:$A$180=$B6)*Inputs!$B$5:$B$180*(((Inputs!$G$5:$G$180="moeda")+(Inputs!$G$5:$G$180="acoes"))*Inputs!$B$1+((Inputs!$G$5:$G$180&lt;&gt;"moeda")*(Inputs!$G$5:$G$180&lt;&gt;"acoes")))*INDEX(Inputs!$K$5:$AJ$180,0,MATCH(AC$2,Inputs!$K$4:$AJ$4,0)))+SUMPRODUCT((Inputs!$C$5:$C$180=$B6)*Inputs!$D$5:$D$180*(((Inputs!$G$5:$G$180="moeda")+(Inputs!$G$5:$G$180="acoes"))*Inputs!$B$1+((Inputs!$G$5:$G$180&lt;&gt;"moeda")*(Inputs!$G$5:$G$180&lt;&gt;"acoes")))*INDEX(Inputs!$K$5:$AJ$180,0,MATCH(AC$2,Inputs!$K$4:$AJ$4,0)))+SUMPRODUCT((Inputs!$E$5:$E$180=$B6)*Inputs!$F$5:$F$180*(((Inputs!$G$5:$G$180="moeda")+(Inputs!$G$5:$G$180="acoes"))*Inputs!$B$1+((Inputs!$G$5:$G$180&lt;&gt;"moeda")*(Inputs!$G$5:$G$180&lt;&gt;"acoes")))*INDEX(Inputs!$K$5:$AJ$180,0,MATCH(AC$2,Inputs!$K$4:$AJ$4,0)))))</f>
        <v>-199.47864252</v>
      </c>
      <c r="AD6" s="6">
        <f>IF(ISNA(MATCH(AD$2,Inputs!$K$4:$AJ$4,0)),NA(),IF(SUMPRODUCT((Inputs!$A$5:$A$180=$B6)*ISNUMBER(INDEX(Inputs!$K$5:$AJ$180,0,MATCH(AD$2,Inputs!$K$4:$AJ$4,0))))+SUMPRODUCT((Inputs!$C$5:$C$180=$B6)*ISNUMBER(INDEX(Inputs!$K$5:$AJ$180,0,MATCH(AD$2,Inputs!$K$4:$AJ$4,0))))+SUMPRODUCT((Inputs!$E$5:$E$180=$B6)*ISNUMBER(INDEX(Inputs!$K$5:$AJ$180,0,MATCH(AD$2,Inputs!$K$4:$AJ$4,0))))=0,NA(),SUMPRODUCT((Inputs!$A$5:$A$180=$B6)*Inputs!$B$5:$B$180*(((Inputs!$G$5:$G$180="moeda")+(Inputs!$G$5:$G$180="acoes"))*Inputs!$B$1+((Inputs!$G$5:$G$180&lt;&gt;"moeda")*(Inputs!$G$5:$G$180&lt;&gt;"acoes")))*INDEX(Inputs!$K$5:$AJ$180,0,MATCH(AD$2,Inputs!$K$4:$AJ$4,0)))+SUMPRODUCT((Inputs!$C$5:$C$180=$B6)*Inputs!$D$5:$D$180*(((Inputs!$G$5:$G$180="moeda")+(Inputs!$G$5:$G$180="acoes"))*Inputs!$B$1+((Inputs!$G$5:$G$180&lt;&gt;"moeda")*(Inputs!$G$5:$G$180&lt;&gt;"acoes")))*INDEX(Inputs!$K$5:$AJ$180,0,MATCH(AD$2,Inputs!$K$4:$AJ$4,0)))+SUMPRODUCT((Inputs!$E$5:$E$180=$B6)*Inputs!$F$5:$F$180*(((Inputs!$G$5:$G$180="moeda")+(Inputs!$G$5:$G$180="acoes"))*Inputs!$B$1+((Inputs!$G$5:$G$180&lt;&gt;"moeda")*(Inputs!$G$5:$G$180&lt;&gt;"acoes")))*INDEX(Inputs!$K$5:$AJ$180,0,MATCH(AD$2,Inputs!$K$4:$AJ$4,0)))))</f>
        <v>-195.541</v>
      </c>
      <c r="AE6" s="6" t="e">
        <f>IF(ISNA(MATCH(AE$2,Inputs!$K$4:$AJ$4,0)),NA(),IF(SUMPRODUCT((Inputs!$A$5:$A$180=$B6)*ISNUMBER(INDEX(Inputs!$K$5:$AJ$180,0,MATCH(AE$2,Inputs!$K$4:$AJ$4,0))))+SUMPRODUCT((Inputs!$C$5:$C$180=$B6)*ISNUMBER(INDEX(Inputs!$K$5:$AJ$180,0,MATCH(AE$2,Inputs!$K$4:$AJ$4,0))))+SUMPRODUCT((Inputs!$E$5:$E$180=$B6)*ISNUMBER(INDEX(Inputs!$K$5:$AJ$180,0,MATCH(AE$2,Inputs!$K$4:$AJ$4,0))))=0,NA(),SUMPRODUCT((Inputs!$A$5:$A$180=$B6)*Inputs!$B$5:$B$180*(((Inputs!$G$5:$G$180="moeda")+(Inputs!$G$5:$G$180="acoes"))*Inputs!$B$1+((Inputs!$G$5:$G$180&lt;&gt;"moeda")*(Inputs!$G$5:$G$180&lt;&gt;"acoes")))*INDEX(Inputs!$K$5:$AJ$180,0,MATCH(AE$2,Inputs!$K$4:$AJ$4,0)))+SUMPRODUCT((Inputs!$C$5:$C$180=$B6)*Inputs!$D$5:$D$180*(((Inputs!$G$5:$G$180="moeda")+(Inputs!$G$5:$G$180="acoes"))*Inputs!$B$1+((Inputs!$G$5:$G$180&lt;&gt;"moeda")*(Inputs!$G$5:$G$180&lt;&gt;"acoes")))*INDEX(Inputs!$K$5:$AJ$180,0,MATCH(AE$2,Inputs!$K$4:$AJ$4,0)))+SUMPRODUCT((Inputs!$E$5:$E$180=$B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" s="6" t="e">
        <f>IF(ISNA(MATCH(AF$2,Inputs!$K$4:$AJ$4,0)),NA(),IF(SUMPRODUCT((Inputs!$A$5:$A$180=$B6)*ISNUMBER(INDEX(Inputs!$K$5:$AJ$180,0,MATCH(AF$2,Inputs!$K$4:$AJ$4,0))))+SUMPRODUCT((Inputs!$C$5:$C$180=$B6)*ISNUMBER(INDEX(Inputs!$K$5:$AJ$180,0,MATCH(AF$2,Inputs!$K$4:$AJ$4,0))))+SUMPRODUCT((Inputs!$E$5:$E$180=$B6)*ISNUMBER(INDEX(Inputs!$K$5:$AJ$180,0,MATCH(AF$2,Inputs!$K$4:$AJ$4,0))))=0,NA(),SUMPRODUCT((Inputs!$A$5:$A$180=$B6)*Inputs!$B$5:$B$180*(((Inputs!$G$5:$G$180="moeda")+(Inputs!$G$5:$G$180="acoes"))*Inputs!$B$1+((Inputs!$G$5:$G$180&lt;&gt;"moeda")*(Inputs!$G$5:$G$180&lt;&gt;"acoes")))*INDEX(Inputs!$K$5:$AJ$180,0,MATCH(AF$2,Inputs!$K$4:$AJ$4,0)))+SUMPRODUCT((Inputs!$C$5:$C$180=$B6)*Inputs!$D$5:$D$180*(((Inputs!$G$5:$G$180="moeda")+(Inputs!$G$5:$G$180="acoes"))*Inputs!$B$1+((Inputs!$G$5:$G$180&lt;&gt;"moeda")*(Inputs!$G$5:$G$180&lt;&gt;"acoes")))*INDEX(Inputs!$K$5:$AJ$180,0,MATCH(AF$2,Inputs!$K$4:$AJ$4,0)))+SUMPRODUCT((Inputs!$E$5:$E$180=$B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" s="3" t="e">
        <f>SUM(AC6:AF6)</f>
        <v>#N/A</v>
      </c>
      <c r="AH6" s="6">
        <f>IF(ISNA(MATCH(AH$2,Inputs!$K$4:$AJ$4,0)),NA(),IF(SUMPRODUCT((Inputs!$A$5:$A$180=$B6)*ISNUMBER(INDEX(Inputs!$K$5:$AJ$180,0,MATCH(AH$2,Inputs!$K$4:$AJ$4,0))))+SUMPRODUCT((Inputs!$C$5:$C$180=$B6)*ISNUMBER(INDEX(Inputs!$K$5:$AJ$180,0,MATCH(AH$2,Inputs!$K$4:$AJ$4,0))))+SUMPRODUCT((Inputs!$E$5:$E$180=$B6)*ISNUMBER(INDEX(Inputs!$K$5:$AJ$180,0,MATCH(AH$2,Inputs!$K$4:$AJ$4,0))))=0,NA(),SUMPRODUCT((Inputs!$A$5:$A$180=$B6)*Inputs!$B$5:$B$180*(((Inputs!$G$5:$G$180="moeda")+(Inputs!$G$5:$G$180="acoes"))*Inputs!$B$1+((Inputs!$G$5:$G$180&lt;&gt;"moeda")*(Inputs!$G$5:$G$180&lt;&gt;"acoes")))*INDEX(Inputs!$K$5:$AJ$180,0,MATCH(AH$2,Inputs!$K$4:$AJ$4,0)))+SUMPRODUCT((Inputs!$C$5:$C$180=$B6)*Inputs!$D$5:$D$180*(((Inputs!$G$5:$G$180="moeda")+(Inputs!$G$5:$G$180="acoes"))*Inputs!$B$1+((Inputs!$G$5:$G$180&lt;&gt;"moeda")*(Inputs!$G$5:$G$180&lt;&gt;"acoes")))*INDEX(Inputs!$K$5:$AJ$180,0,MATCH(AH$2,Inputs!$K$4:$AJ$4,0)))+SUMPRODUCT((Inputs!$E$5:$E$180=$B6)*Inputs!$F$5:$F$180*(((Inputs!$G$5:$G$180="moeda")+(Inputs!$G$5:$G$180="acoes"))*Inputs!$B$1+((Inputs!$G$5:$G$180&lt;&gt;"moeda")*(Inputs!$G$5:$G$180&lt;&gt;"acoes")))*INDEX(Inputs!$K$5:$AJ$180,0,MATCH(AH$2,Inputs!$K$4:$AJ$4,0)))))</f>
        <v>-63.35490183</v>
      </c>
      <c r="AI6" s="6">
        <f>IF(ISNA(MATCH(AI$2,Inputs!$K$4:$AJ$4,0)),NA(),IF(SUMPRODUCT((Inputs!$A$5:$A$180=$B6)*ISNUMBER(INDEX(Inputs!$K$5:$AJ$180,0,MATCH(AI$2,Inputs!$K$4:$AJ$4,0))))+SUMPRODUCT((Inputs!$C$5:$C$180=$B6)*ISNUMBER(INDEX(Inputs!$K$5:$AJ$180,0,MATCH(AI$2,Inputs!$K$4:$AJ$4,0))))+SUMPRODUCT((Inputs!$E$5:$E$180=$B6)*ISNUMBER(INDEX(Inputs!$K$5:$AJ$180,0,MATCH(AI$2,Inputs!$K$4:$AJ$4,0))))=0,NA(),SUMPRODUCT((Inputs!$A$5:$A$180=$B6)*Inputs!$B$5:$B$180*(((Inputs!$G$5:$G$180="moeda")+(Inputs!$G$5:$G$180="acoes"))*Inputs!$B$1+((Inputs!$G$5:$G$180&lt;&gt;"moeda")*(Inputs!$G$5:$G$180&lt;&gt;"acoes")))*INDEX(Inputs!$K$5:$AJ$180,0,MATCH(AI$2,Inputs!$K$4:$AJ$4,0)))+SUMPRODUCT((Inputs!$C$5:$C$180=$B6)*Inputs!$D$5:$D$180*(((Inputs!$G$5:$G$180="moeda")+(Inputs!$G$5:$G$180="acoes"))*Inputs!$B$1+((Inputs!$G$5:$G$180&lt;&gt;"moeda")*(Inputs!$G$5:$G$180&lt;&gt;"acoes")))*INDEX(Inputs!$K$5:$AJ$180,0,MATCH(AI$2,Inputs!$K$4:$AJ$4,0)))+SUMPRODUCT((Inputs!$E$5:$E$180=$B6)*Inputs!$F$5:$F$180*(((Inputs!$G$5:$G$180="moeda")+(Inputs!$G$5:$G$180="acoes"))*Inputs!$B$1+((Inputs!$G$5:$G$180&lt;&gt;"moeda")*(Inputs!$G$5:$G$180&lt;&gt;"acoes")))*INDEX(Inputs!$K$5:$AJ$180,0,MATCH(AI$2,Inputs!$K$4:$AJ$4,0)))))</f>
        <v>-52.0518947179</v>
      </c>
      <c r="AJ6" s="6">
        <f>IF(ISNA(MATCH(AJ$2,Inputs!$K$4:$AJ$4,0)),NA(),IF(SUMPRODUCT((Inputs!$A$5:$A$180=$B6)*ISNUMBER(INDEX(Inputs!$K$5:$AJ$180,0,MATCH(AJ$2,Inputs!$K$4:$AJ$4,0))))+SUMPRODUCT((Inputs!$C$5:$C$180=$B6)*ISNUMBER(INDEX(Inputs!$K$5:$AJ$180,0,MATCH(AJ$2,Inputs!$K$4:$AJ$4,0))))+SUMPRODUCT((Inputs!$E$5:$E$180=$B6)*ISNUMBER(INDEX(Inputs!$K$5:$AJ$180,0,MATCH(AJ$2,Inputs!$K$4:$AJ$4,0))))=0,NA(),SUMPRODUCT((Inputs!$A$5:$A$180=$B6)*Inputs!$B$5:$B$180*(((Inputs!$G$5:$G$180="moeda")+(Inputs!$G$5:$G$180="acoes"))*Inputs!$B$1+((Inputs!$G$5:$G$180&lt;&gt;"moeda")*(Inputs!$G$5:$G$180&lt;&gt;"acoes")))*INDEX(Inputs!$K$5:$AJ$180,0,MATCH(AJ$2,Inputs!$K$4:$AJ$4,0)))+SUMPRODUCT((Inputs!$C$5:$C$180=$B6)*Inputs!$D$5:$D$180*(((Inputs!$G$5:$G$180="moeda")+(Inputs!$G$5:$G$180="acoes"))*Inputs!$B$1+((Inputs!$G$5:$G$180&lt;&gt;"moeda")*(Inputs!$G$5:$G$180&lt;&gt;"acoes")))*INDEX(Inputs!$K$5:$AJ$180,0,MATCH(AJ$2,Inputs!$K$4:$AJ$4,0)))+SUMPRODUCT((Inputs!$E$5:$E$180=$B6)*Inputs!$F$5:$F$180*(((Inputs!$G$5:$G$180="moeda")+(Inputs!$G$5:$G$180="acoes"))*Inputs!$B$1+((Inputs!$G$5:$G$180&lt;&gt;"moeda")*(Inputs!$G$5:$G$180&lt;&gt;"acoes")))*INDEX(Inputs!$K$5:$AJ$180,0,MATCH(AJ$2,Inputs!$K$4:$AJ$4,0)))))</f>
        <v>-61.6972132</v>
      </c>
      <c r="AK6" s="6">
        <f>IF(ISNA(MATCH(AK$2,Inputs!$K$4:$AJ$4,0)),NA(),IF(SUMPRODUCT((Inputs!$A$5:$A$180=$B6)*ISNUMBER(INDEX(Inputs!$K$5:$AJ$180,0,MATCH(AK$2,Inputs!$K$4:$AJ$4,0))))+SUMPRODUCT((Inputs!$C$5:$C$180=$B6)*ISNUMBER(INDEX(Inputs!$K$5:$AJ$180,0,MATCH(AK$2,Inputs!$K$4:$AJ$4,0))))+SUMPRODUCT((Inputs!$E$5:$E$180=$B6)*ISNUMBER(INDEX(Inputs!$K$5:$AJ$180,0,MATCH(AK$2,Inputs!$K$4:$AJ$4,0))))=0,NA(),SUMPRODUCT((Inputs!$A$5:$A$180=$B6)*Inputs!$B$5:$B$180*(((Inputs!$G$5:$G$180="moeda")+(Inputs!$G$5:$G$180="acoes"))*Inputs!$B$1+((Inputs!$G$5:$G$180&lt;&gt;"moeda")*(Inputs!$G$5:$G$180&lt;&gt;"acoes")))*INDEX(Inputs!$K$5:$AJ$180,0,MATCH(AK$2,Inputs!$K$4:$AJ$4,0)))+SUMPRODUCT((Inputs!$C$5:$C$180=$B6)*Inputs!$D$5:$D$180*(((Inputs!$G$5:$G$180="moeda")+(Inputs!$G$5:$G$180="acoes"))*Inputs!$B$1+((Inputs!$G$5:$G$180&lt;&gt;"moeda")*(Inputs!$G$5:$G$180&lt;&gt;"acoes")))*INDEX(Inputs!$K$5:$AJ$180,0,MATCH(AK$2,Inputs!$K$4:$AJ$4,0)))+SUMPRODUCT((Inputs!$E$5:$E$180=$B6)*Inputs!$F$5:$F$180*(((Inputs!$G$5:$G$180="moeda")+(Inputs!$G$5:$G$180="acoes"))*Inputs!$B$1+((Inputs!$G$5:$G$180&lt;&gt;"moeda")*(Inputs!$G$5:$G$180&lt;&gt;"acoes")))*INDEX(Inputs!$K$5:$AJ$180,0,MATCH(AK$2,Inputs!$K$4:$AJ$4,0)))))</f>
        <v>-91.52204745</v>
      </c>
      <c r="AL6" s="3">
        <f>SUM(AH6:AK6)</f>
        <v>-268.6260571979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$180=$B7)*ISNUMBER(INDEX(Inputs!$K$5:$AJ$180,0,MATCH(D$2,Inputs!$K$4:$AJ$4,0))))+SUMPRODUCT((Inputs!$C$5:$C$180=$B7)*ISNUMBER(INDEX(Inputs!$K$5:$AJ$180,0,MATCH(D$2,Inputs!$K$4:$AJ$4,0))))+SUMPRODUCT((Inputs!$E$5:$E$180=$B7)*ISNUMBER(INDEX(Inputs!$K$5:$AJ$180,0,MATCH(D$2,Inputs!$K$4:$AJ$4,0))))=0,NA(),SUMPRODUCT((Inputs!$A$5:$A$180=$B7)*Inputs!$B$5:$B$180*(((Inputs!$G$5:$G$180="moeda")+(Inputs!$G$5:$G$180="acoes"))*Inputs!$B$1+((Inputs!$G$5:$G$180&lt;&gt;"moeda")*(Inputs!$G$5:$G$180&lt;&gt;"acoes")))*INDEX(Inputs!$K$5:$AJ$180,0,MATCH(D$2,Inputs!$K$4:$AJ$4,0)))+SUMPRODUCT((Inputs!$C$5:$C$180=$B7)*Inputs!$D$5:$D$180*(((Inputs!$G$5:$G$180="moeda")+(Inputs!$G$5:$G$180="acoes"))*Inputs!$B$1+((Inputs!$G$5:$G$180&lt;&gt;"moeda")*(Inputs!$G$5:$G$180&lt;&gt;"acoes")))*INDEX(Inputs!$K$5:$AJ$180,0,MATCH(D$2,Inputs!$K$4:$AJ$4,0)))+SUMPRODUCT((Inputs!$E$5:$E$180=$B7)*Inputs!$F$5:$F$180*(((Inputs!$G$5:$G$180="moeda")+(Inputs!$G$5:$G$180="acoes"))*Inputs!$B$1+((Inputs!$G$5:$G$180&lt;&gt;"moeda")*(Inputs!$G$5:$G$180&lt;&gt;"acoes")))*INDEX(Inputs!$K$5:$AJ$180,0,MATCH(D$2,Inputs!$K$4:$AJ$4,0)))))</f>
        <v>-86.83643829</v>
      </c>
      <c r="E7" s="6">
        <f>IF(ISNA(MATCH(E$2,Inputs!$K$4:$AJ$4,0)),NA(),IF(SUMPRODUCT((Inputs!$A$5:$A$180=$B7)*ISNUMBER(INDEX(Inputs!$K$5:$AJ$180,0,MATCH(E$2,Inputs!$K$4:$AJ$4,0))))+SUMPRODUCT((Inputs!$C$5:$C$180=$B7)*ISNUMBER(INDEX(Inputs!$K$5:$AJ$180,0,MATCH(E$2,Inputs!$K$4:$AJ$4,0))))+SUMPRODUCT((Inputs!$E$5:$E$180=$B7)*ISNUMBER(INDEX(Inputs!$K$5:$AJ$180,0,MATCH(E$2,Inputs!$K$4:$AJ$4,0))))=0,NA(),SUMPRODUCT((Inputs!$A$5:$A$180=$B7)*Inputs!$B$5:$B$180*(((Inputs!$G$5:$G$180="moeda")+(Inputs!$G$5:$G$180="acoes"))*Inputs!$B$1+((Inputs!$G$5:$G$180&lt;&gt;"moeda")*(Inputs!$G$5:$G$180&lt;&gt;"acoes")))*INDEX(Inputs!$K$5:$AJ$180,0,MATCH(E$2,Inputs!$K$4:$AJ$4,0)))+SUMPRODUCT((Inputs!$C$5:$C$180=$B7)*Inputs!$D$5:$D$180*(((Inputs!$G$5:$G$180="moeda")+(Inputs!$G$5:$G$180="acoes"))*Inputs!$B$1+((Inputs!$G$5:$G$180&lt;&gt;"moeda")*(Inputs!$G$5:$G$180&lt;&gt;"acoes")))*INDEX(Inputs!$K$5:$AJ$180,0,MATCH(E$2,Inputs!$K$4:$AJ$4,0)))+SUMPRODUCT((Inputs!$E$5:$E$180=$B7)*Inputs!$F$5:$F$180*(((Inputs!$G$5:$G$180="moeda")+(Inputs!$G$5:$G$180="acoes"))*Inputs!$B$1+((Inputs!$G$5:$G$180&lt;&gt;"moeda")*(Inputs!$G$5:$G$180&lt;&gt;"acoes")))*INDEX(Inputs!$K$5:$AJ$180,0,MATCH(E$2,Inputs!$K$4:$AJ$4,0)))))</f>
        <v>-90.88444056</v>
      </c>
      <c r="F7" s="6">
        <f>IF(ISNA(MATCH(F$2,Inputs!$K$4:$AJ$4,0)),NA(),IF(SUMPRODUCT((Inputs!$A$5:$A$180=$B7)*ISNUMBER(INDEX(Inputs!$K$5:$AJ$180,0,MATCH(F$2,Inputs!$K$4:$AJ$4,0))))+SUMPRODUCT((Inputs!$C$5:$C$180=$B7)*ISNUMBER(INDEX(Inputs!$K$5:$AJ$180,0,MATCH(F$2,Inputs!$K$4:$AJ$4,0))))+SUMPRODUCT((Inputs!$E$5:$E$180=$B7)*ISNUMBER(INDEX(Inputs!$K$5:$AJ$180,0,MATCH(F$2,Inputs!$K$4:$AJ$4,0))))=0,NA(),SUMPRODUCT((Inputs!$A$5:$A$180=$B7)*Inputs!$B$5:$B$180*(((Inputs!$G$5:$G$180="moeda")+(Inputs!$G$5:$G$180="acoes"))*Inputs!$B$1+((Inputs!$G$5:$G$180&lt;&gt;"moeda")*(Inputs!$G$5:$G$180&lt;&gt;"acoes")))*INDEX(Inputs!$K$5:$AJ$180,0,MATCH(F$2,Inputs!$K$4:$AJ$4,0)))+SUMPRODUCT((Inputs!$C$5:$C$180=$B7)*Inputs!$D$5:$D$180*(((Inputs!$G$5:$G$180="moeda")+(Inputs!$G$5:$G$180="acoes"))*Inputs!$B$1+((Inputs!$G$5:$G$180&lt;&gt;"moeda")*(Inputs!$G$5:$G$180&lt;&gt;"acoes")))*INDEX(Inputs!$K$5:$AJ$180,0,MATCH(F$2,Inputs!$K$4:$AJ$4,0)))+SUMPRODUCT((Inputs!$E$5:$E$180=$B7)*Inputs!$F$5:$F$180*(((Inputs!$G$5:$G$180="moeda")+(Inputs!$G$5:$G$180="acoes"))*Inputs!$B$1+((Inputs!$G$5:$G$180&lt;&gt;"moeda")*(Inputs!$G$5:$G$180&lt;&gt;"acoes")))*INDEX(Inputs!$K$5:$AJ$180,0,MATCH(F$2,Inputs!$K$4:$AJ$4,0)))))</f>
        <v>-103.83367925</v>
      </c>
      <c r="G7" s="6">
        <f>IF(ISNA(MATCH(G$2,Inputs!$K$4:$AJ$4,0)),NA(),IF(SUMPRODUCT((Inputs!$A$5:$A$180=$B7)*ISNUMBER(INDEX(Inputs!$K$5:$AJ$180,0,MATCH(G$2,Inputs!$K$4:$AJ$4,0))))+SUMPRODUCT((Inputs!$C$5:$C$180=$B7)*ISNUMBER(INDEX(Inputs!$K$5:$AJ$180,0,MATCH(G$2,Inputs!$K$4:$AJ$4,0))))+SUMPRODUCT((Inputs!$E$5:$E$180=$B7)*ISNUMBER(INDEX(Inputs!$K$5:$AJ$180,0,MATCH(G$2,Inputs!$K$4:$AJ$4,0))))=0,NA(),SUMPRODUCT((Inputs!$A$5:$A$180=$B7)*Inputs!$B$5:$B$180*(((Inputs!$G$5:$G$180="moeda")+(Inputs!$G$5:$G$180="acoes"))*Inputs!$B$1+((Inputs!$G$5:$G$180&lt;&gt;"moeda")*(Inputs!$G$5:$G$180&lt;&gt;"acoes")))*INDEX(Inputs!$K$5:$AJ$180,0,MATCH(G$2,Inputs!$K$4:$AJ$4,0)))+SUMPRODUCT((Inputs!$C$5:$C$180=$B7)*Inputs!$D$5:$D$180*(((Inputs!$G$5:$G$180="moeda")+(Inputs!$G$5:$G$180="acoes"))*Inputs!$B$1+((Inputs!$G$5:$G$180&lt;&gt;"moeda")*(Inputs!$G$5:$G$180&lt;&gt;"acoes")))*INDEX(Inputs!$K$5:$AJ$180,0,MATCH(G$2,Inputs!$K$4:$AJ$4,0)))+SUMPRODUCT((Inputs!$E$5:$E$180=$B7)*Inputs!$F$5:$F$180*(((Inputs!$G$5:$G$180="moeda")+(Inputs!$G$5:$G$180="acoes"))*Inputs!$B$1+((Inputs!$G$5:$G$180&lt;&gt;"moeda")*(Inputs!$G$5:$G$180&lt;&gt;"acoes")))*INDEX(Inputs!$K$5:$AJ$180,0,MATCH(G$2,Inputs!$K$4:$AJ$4,0)))))</f>
        <v>-107.72515852</v>
      </c>
      <c r="H7" s="3">
        <f>SUM(D7:G7)</f>
        <v>-389.27971662</v>
      </c>
      <c r="I7" s="6">
        <f>IF(ISNA(MATCH(I$2,Inputs!$K$4:$AJ$4,0)),NA(),IF(SUMPRODUCT((Inputs!$A$5:$A$180=$B7)*ISNUMBER(INDEX(Inputs!$K$5:$AJ$180,0,MATCH(I$2,Inputs!$K$4:$AJ$4,0))))+SUMPRODUCT((Inputs!$C$5:$C$180=$B7)*ISNUMBER(INDEX(Inputs!$K$5:$AJ$180,0,MATCH(I$2,Inputs!$K$4:$AJ$4,0))))+SUMPRODUCT((Inputs!$E$5:$E$180=$B7)*ISNUMBER(INDEX(Inputs!$K$5:$AJ$180,0,MATCH(I$2,Inputs!$K$4:$AJ$4,0))))=0,NA(),SUMPRODUCT((Inputs!$A$5:$A$180=$B7)*Inputs!$B$5:$B$180*(((Inputs!$G$5:$G$180="moeda")+(Inputs!$G$5:$G$180="acoes"))*Inputs!$B$1+((Inputs!$G$5:$G$180&lt;&gt;"moeda")*(Inputs!$G$5:$G$180&lt;&gt;"acoes")))*INDEX(Inputs!$K$5:$AJ$180,0,MATCH(I$2,Inputs!$K$4:$AJ$4,0)))+SUMPRODUCT((Inputs!$C$5:$C$180=$B7)*Inputs!$D$5:$D$180*(((Inputs!$G$5:$G$180="moeda")+(Inputs!$G$5:$G$180="acoes"))*Inputs!$B$1+((Inputs!$G$5:$G$180&lt;&gt;"moeda")*(Inputs!$G$5:$G$180&lt;&gt;"acoes")))*INDEX(Inputs!$K$5:$AJ$180,0,MATCH(I$2,Inputs!$K$4:$AJ$4,0)))+SUMPRODUCT((Inputs!$E$5:$E$180=$B7)*Inputs!$F$5:$F$180*(((Inputs!$G$5:$G$180="moeda")+(Inputs!$G$5:$G$180="acoes"))*Inputs!$B$1+((Inputs!$G$5:$G$180&lt;&gt;"moeda")*(Inputs!$G$5:$G$180&lt;&gt;"acoes")))*INDEX(Inputs!$K$5:$AJ$180,0,MATCH(I$2,Inputs!$K$4:$AJ$4,0)))))</f>
        <v>-107.45963589</v>
      </c>
      <c r="J7" s="6">
        <f>IF(ISNA(MATCH(J$2,Inputs!$K$4:$AJ$4,0)),NA(),IF(SUMPRODUCT((Inputs!$A$5:$A$180=$B7)*ISNUMBER(INDEX(Inputs!$K$5:$AJ$180,0,MATCH(J$2,Inputs!$K$4:$AJ$4,0))))+SUMPRODUCT((Inputs!$C$5:$C$180=$B7)*ISNUMBER(INDEX(Inputs!$K$5:$AJ$180,0,MATCH(J$2,Inputs!$K$4:$AJ$4,0))))+SUMPRODUCT((Inputs!$E$5:$E$180=$B7)*ISNUMBER(INDEX(Inputs!$K$5:$AJ$180,0,MATCH(J$2,Inputs!$K$4:$AJ$4,0))))=0,NA(),SUMPRODUCT((Inputs!$A$5:$A$180=$B7)*Inputs!$B$5:$B$180*(((Inputs!$G$5:$G$180="moeda")+(Inputs!$G$5:$G$180="acoes"))*Inputs!$B$1+((Inputs!$G$5:$G$180&lt;&gt;"moeda")*(Inputs!$G$5:$G$180&lt;&gt;"acoes")))*INDEX(Inputs!$K$5:$AJ$180,0,MATCH(J$2,Inputs!$K$4:$AJ$4,0)))+SUMPRODUCT((Inputs!$C$5:$C$180=$B7)*Inputs!$D$5:$D$180*(((Inputs!$G$5:$G$180="moeda")+(Inputs!$G$5:$G$180="acoes"))*Inputs!$B$1+((Inputs!$G$5:$G$180&lt;&gt;"moeda")*(Inputs!$G$5:$G$180&lt;&gt;"acoes")))*INDEX(Inputs!$K$5:$AJ$180,0,MATCH(J$2,Inputs!$K$4:$AJ$4,0)))+SUMPRODUCT((Inputs!$E$5:$E$180=$B7)*Inputs!$F$5:$F$180*(((Inputs!$G$5:$G$180="moeda")+(Inputs!$G$5:$G$180="acoes"))*Inputs!$B$1+((Inputs!$G$5:$G$180&lt;&gt;"moeda")*(Inputs!$G$5:$G$180&lt;&gt;"acoes")))*INDEX(Inputs!$K$5:$AJ$180,0,MATCH(J$2,Inputs!$K$4:$AJ$4,0)))))</f>
        <v>-113.84256518</v>
      </c>
      <c r="K7" s="6">
        <f>IF(ISNA(MATCH(K$2,Inputs!$K$4:$AJ$4,0)),NA(),IF(SUMPRODUCT((Inputs!$A$5:$A$180=$B7)*ISNUMBER(INDEX(Inputs!$K$5:$AJ$180,0,MATCH(K$2,Inputs!$K$4:$AJ$4,0))))+SUMPRODUCT((Inputs!$C$5:$C$180=$B7)*ISNUMBER(INDEX(Inputs!$K$5:$AJ$180,0,MATCH(K$2,Inputs!$K$4:$AJ$4,0))))+SUMPRODUCT((Inputs!$E$5:$E$180=$B7)*ISNUMBER(INDEX(Inputs!$K$5:$AJ$180,0,MATCH(K$2,Inputs!$K$4:$AJ$4,0))))=0,NA(),SUMPRODUCT((Inputs!$A$5:$A$180=$B7)*Inputs!$B$5:$B$180*(((Inputs!$G$5:$G$180="moeda")+(Inputs!$G$5:$G$180="acoes"))*Inputs!$B$1+((Inputs!$G$5:$G$180&lt;&gt;"moeda")*(Inputs!$G$5:$G$180&lt;&gt;"acoes")))*INDEX(Inputs!$K$5:$AJ$180,0,MATCH(K$2,Inputs!$K$4:$AJ$4,0)))+SUMPRODUCT((Inputs!$C$5:$C$180=$B7)*Inputs!$D$5:$D$180*(((Inputs!$G$5:$G$180="moeda")+(Inputs!$G$5:$G$180="acoes"))*Inputs!$B$1+((Inputs!$G$5:$G$180&lt;&gt;"moeda")*(Inputs!$G$5:$G$180&lt;&gt;"acoes")))*INDEX(Inputs!$K$5:$AJ$180,0,MATCH(K$2,Inputs!$K$4:$AJ$4,0)))+SUMPRODUCT((Inputs!$E$5:$E$180=$B7)*Inputs!$F$5:$F$180*(((Inputs!$G$5:$G$180="moeda")+(Inputs!$G$5:$G$180="acoes"))*Inputs!$B$1+((Inputs!$G$5:$G$180&lt;&gt;"moeda")*(Inputs!$G$5:$G$180&lt;&gt;"acoes")))*INDEX(Inputs!$K$5:$AJ$180,0,MATCH(K$2,Inputs!$K$4:$AJ$4,0)))))</f>
        <v>-109.7525059</v>
      </c>
      <c r="L7" s="6">
        <f>IF(ISNA(MATCH(L$2,Inputs!$K$4:$AJ$4,0)),NA(),IF(SUMPRODUCT((Inputs!$A$5:$A$180=$B7)*ISNUMBER(INDEX(Inputs!$K$5:$AJ$180,0,MATCH(L$2,Inputs!$K$4:$AJ$4,0))))+SUMPRODUCT((Inputs!$C$5:$C$180=$B7)*ISNUMBER(INDEX(Inputs!$K$5:$AJ$180,0,MATCH(L$2,Inputs!$K$4:$AJ$4,0))))+SUMPRODUCT((Inputs!$E$5:$E$180=$B7)*ISNUMBER(INDEX(Inputs!$K$5:$AJ$180,0,MATCH(L$2,Inputs!$K$4:$AJ$4,0))))=0,NA(),SUMPRODUCT((Inputs!$A$5:$A$180=$B7)*Inputs!$B$5:$B$180*(((Inputs!$G$5:$G$180="moeda")+(Inputs!$G$5:$G$180="acoes"))*Inputs!$B$1+((Inputs!$G$5:$G$180&lt;&gt;"moeda")*(Inputs!$G$5:$G$180&lt;&gt;"acoes")))*INDEX(Inputs!$K$5:$AJ$180,0,MATCH(L$2,Inputs!$K$4:$AJ$4,0)))+SUMPRODUCT((Inputs!$C$5:$C$180=$B7)*Inputs!$D$5:$D$180*(((Inputs!$G$5:$G$180="moeda")+(Inputs!$G$5:$G$180="acoes"))*Inputs!$B$1+((Inputs!$G$5:$G$180&lt;&gt;"moeda")*(Inputs!$G$5:$G$180&lt;&gt;"acoes")))*INDEX(Inputs!$K$5:$AJ$180,0,MATCH(L$2,Inputs!$K$4:$AJ$4,0)))+SUMPRODUCT((Inputs!$E$5:$E$180=$B7)*Inputs!$F$5:$F$180*(((Inputs!$G$5:$G$180="moeda")+(Inputs!$G$5:$G$180="acoes"))*Inputs!$B$1+((Inputs!$G$5:$G$180&lt;&gt;"moeda")*(Inputs!$G$5:$G$180&lt;&gt;"acoes")))*INDEX(Inputs!$K$5:$AJ$180,0,MATCH(L$2,Inputs!$K$4:$AJ$4,0)))))</f>
        <v>-124.2846005</v>
      </c>
      <c r="M7" s="3">
        <f>SUM(I7:L7)</f>
        <v>-455.33930747</v>
      </c>
      <c r="N7" s="6">
        <f>IF(ISNA(MATCH(N$2,Inputs!$K$4:$AJ$4,0)),NA(),IF(SUMPRODUCT((Inputs!$A$5:$A$180=$B7)*ISNUMBER(INDEX(Inputs!$K$5:$AJ$180,0,MATCH(N$2,Inputs!$K$4:$AJ$4,0))))+SUMPRODUCT((Inputs!$C$5:$C$180=$B7)*ISNUMBER(INDEX(Inputs!$K$5:$AJ$180,0,MATCH(N$2,Inputs!$K$4:$AJ$4,0))))+SUMPRODUCT((Inputs!$E$5:$E$180=$B7)*ISNUMBER(INDEX(Inputs!$K$5:$AJ$180,0,MATCH(N$2,Inputs!$K$4:$AJ$4,0))))=0,NA(),SUMPRODUCT((Inputs!$A$5:$A$180=$B7)*Inputs!$B$5:$B$180*(((Inputs!$G$5:$G$180="moeda")+(Inputs!$G$5:$G$180="acoes"))*Inputs!$B$1+((Inputs!$G$5:$G$180&lt;&gt;"moeda")*(Inputs!$G$5:$G$180&lt;&gt;"acoes")))*INDEX(Inputs!$K$5:$AJ$180,0,MATCH(N$2,Inputs!$K$4:$AJ$4,0)))+SUMPRODUCT((Inputs!$C$5:$C$180=$B7)*Inputs!$D$5:$D$180*(((Inputs!$G$5:$G$180="moeda")+(Inputs!$G$5:$G$180="acoes"))*Inputs!$B$1+((Inputs!$G$5:$G$180&lt;&gt;"moeda")*(Inputs!$G$5:$G$180&lt;&gt;"acoes")))*INDEX(Inputs!$K$5:$AJ$180,0,MATCH(N$2,Inputs!$K$4:$AJ$4,0)))+SUMPRODUCT((Inputs!$E$5:$E$180=$B7)*Inputs!$F$5:$F$180*(((Inputs!$G$5:$G$180="moeda")+(Inputs!$G$5:$G$180="acoes"))*Inputs!$B$1+((Inputs!$G$5:$G$180&lt;&gt;"moeda")*(Inputs!$G$5:$G$180&lt;&gt;"acoes")))*INDEX(Inputs!$K$5:$AJ$180,0,MATCH(N$2,Inputs!$K$4:$AJ$4,0)))))</f>
        <v>-131.26208815</v>
      </c>
      <c r="O7" s="6">
        <f>IF(ISNA(MATCH(O$2,Inputs!$K$4:$AJ$4,0)),NA(),IF(SUMPRODUCT((Inputs!$A$5:$A$180=$B7)*ISNUMBER(INDEX(Inputs!$K$5:$AJ$180,0,MATCH(O$2,Inputs!$K$4:$AJ$4,0))))+SUMPRODUCT((Inputs!$C$5:$C$180=$B7)*ISNUMBER(INDEX(Inputs!$K$5:$AJ$180,0,MATCH(O$2,Inputs!$K$4:$AJ$4,0))))+SUMPRODUCT((Inputs!$E$5:$E$180=$B7)*ISNUMBER(INDEX(Inputs!$K$5:$AJ$180,0,MATCH(O$2,Inputs!$K$4:$AJ$4,0))))=0,NA(),SUMPRODUCT((Inputs!$A$5:$A$180=$B7)*Inputs!$B$5:$B$180*(((Inputs!$G$5:$G$180="moeda")+(Inputs!$G$5:$G$180="acoes"))*Inputs!$B$1+((Inputs!$G$5:$G$180&lt;&gt;"moeda")*(Inputs!$G$5:$G$180&lt;&gt;"acoes")))*INDEX(Inputs!$K$5:$AJ$180,0,MATCH(O$2,Inputs!$K$4:$AJ$4,0)))+SUMPRODUCT((Inputs!$C$5:$C$180=$B7)*Inputs!$D$5:$D$180*(((Inputs!$G$5:$G$180="moeda")+(Inputs!$G$5:$G$180="acoes"))*Inputs!$B$1+((Inputs!$G$5:$G$180&lt;&gt;"moeda")*(Inputs!$G$5:$G$180&lt;&gt;"acoes")))*INDEX(Inputs!$K$5:$AJ$180,0,MATCH(O$2,Inputs!$K$4:$AJ$4,0)))+SUMPRODUCT((Inputs!$E$5:$E$180=$B7)*Inputs!$F$5:$F$180*(((Inputs!$G$5:$G$180="moeda")+(Inputs!$G$5:$G$180="acoes"))*Inputs!$B$1+((Inputs!$G$5:$G$180&lt;&gt;"moeda")*(Inputs!$G$5:$G$180&lt;&gt;"acoes")))*INDEX(Inputs!$K$5:$AJ$180,0,MATCH(O$2,Inputs!$K$4:$AJ$4,0)))))</f>
        <v>-166.076</v>
      </c>
      <c r="P7" s="6">
        <f>IF(ISNA(MATCH(P$2,Inputs!$K$4:$AJ$4,0)),NA(),IF(SUMPRODUCT((Inputs!$A$5:$A$180=$B7)*ISNUMBER(INDEX(Inputs!$K$5:$AJ$180,0,MATCH(P$2,Inputs!$K$4:$AJ$4,0))))+SUMPRODUCT((Inputs!$C$5:$C$180=$B7)*ISNUMBER(INDEX(Inputs!$K$5:$AJ$180,0,MATCH(P$2,Inputs!$K$4:$AJ$4,0))))+SUMPRODUCT((Inputs!$E$5:$E$180=$B7)*ISNUMBER(INDEX(Inputs!$K$5:$AJ$180,0,MATCH(P$2,Inputs!$K$4:$AJ$4,0))))=0,NA(),SUMPRODUCT((Inputs!$A$5:$A$180=$B7)*Inputs!$B$5:$B$180*(((Inputs!$G$5:$G$180="moeda")+(Inputs!$G$5:$G$180="acoes"))*Inputs!$B$1+((Inputs!$G$5:$G$180&lt;&gt;"moeda")*(Inputs!$G$5:$G$180&lt;&gt;"acoes")))*INDEX(Inputs!$K$5:$AJ$180,0,MATCH(P$2,Inputs!$K$4:$AJ$4,0)))+SUMPRODUCT((Inputs!$C$5:$C$180=$B7)*Inputs!$D$5:$D$180*(((Inputs!$G$5:$G$180="moeda")+(Inputs!$G$5:$G$180="acoes"))*Inputs!$B$1+((Inputs!$G$5:$G$180&lt;&gt;"moeda")*(Inputs!$G$5:$G$180&lt;&gt;"acoes")))*INDEX(Inputs!$K$5:$AJ$180,0,MATCH(P$2,Inputs!$K$4:$AJ$4,0)))+SUMPRODUCT((Inputs!$E$5:$E$180=$B7)*Inputs!$F$5:$F$180*(((Inputs!$G$5:$G$180="moeda")+(Inputs!$G$5:$G$180="acoes"))*Inputs!$B$1+((Inputs!$G$5:$G$180&lt;&gt;"moeda")*(Inputs!$G$5:$G$180&lt;&gt;"acoes")))*INDEX(Inputs!$K$5:$AJ$180,0,MATCH(P$2,Inputs!$K$4:$AJ$4,0)))))</f>
        <v>-188.161</v>
      </c>
      <c r="Q7" s="6">
        <f>IF(ISNA(MATCH(Q$2,Inputs!$K$4:$AJ$4,0)),NA(),IF(SUMPRODUCT((Inputs!$A$5:$A$180=$B7)*ISNUMBER(INDEX(Inputs!$K$5:$AJ$180,0,MATCH(Q$2,Inputs!$K$4:$AJ$4,0))))+SUMPRODUCT((Inputs!$C$5:$C$180=$B7)*ISNUMBER(INDEX(Inputs!$K$5:$AJ$180,0,MATCH(Q$2,Inputs!$K$4:$AJ$4,0))))+SUMPRODUCT((Inputs!$E$5:$E$180=$B7)*ISNUMBER(INDEX(Inputs!$K$5:$AJ$180,0,MATCH(Q$2,Inputs!$K$4:$AJ$4,0))))=0,NA(),SUMPRODUCT((Inputs!$A$5:$A$180=$B7)*Inputs!$B$5:$B$180*(((Inputs!$G$5:$G$180="moeda")+(Inputs!$G$5:$G$180="acoes"))*Inputs!$B$1+((Inputs!$G$5:$G$180&lt;&gt;"moeda")*(Inputs!$G$5:$G$180&lt;&gt;"acoes")))*INDEX(Inputs!$K$5:$AJ$180,0,MATCH(Q$2,Inputs!$K$4:$AJ$4,0)))+SUMPRODUCT((Inputs!$C$5:$C$180=$B7)*Inputs!$D$5:$D$180*(((Inputs!$G$5:$G$180="moeda")+(Inputs!$G$5:$G$180="acoes"))*Inputs!$B$1+((Inputs!$G$5:$G$180&lt;&gt;"moeda")*(Inputs!$G$5:$G$180&lt;&gt;"acoes")))*INDEX(Inputs!$K$5:$AJ$180,0,MATCH(Q$2,Inputs!$K$4:$AJ$4,0)))+SUMPRODUCT((Inputs!$E$5:$E$180=$B7)*Inputs!$F$5:$F$180*(((Inputs!$G$5:$G$180="moeda")+(Inputs!$G$5:$G$180="acoes"))*Inputs!$B$1+((Inputs!$G$5:$G$180&lt;&gt;"moeda")*(Inputs!$G$5:$G$180&lt;&gt;"acoes")))*INDEX(Inputs!$K$5:$AJ$180,0,MATCH(Q$2,Inputs!$K$4:$AJ$4,0)))))</f>
        <v>-189.879</v>
      </c>
      <c r="R7" s="3">
        <f>SUM(N7:Q7)</f>
        <v>-675.37808815</v>
      </c>
      <c r="S7" s="6">
        <f>IF(ISNA(MATCH(S$2,Inputs!$K$4:$AJ$4,0)),NA(),IF(SUMPRODUCT((Inputs!$A$5:$A$180=$B7)*ISNUMBER(INDEX(Inputs!$K$5:$AJ$180,0,MATCH(S$2,Inputs!$K$4:$AJ$4,0))))+SUMPRODUCT((Inputs!$C$5:$C$180=$B7)*ISNUMBER(INDEX(Inputs!$K$5:$AJ$180,0,MATCH(S$2,Inputs!$K$4:$AJ$4,0))))+SUMPRODUCT((Inputs!$E$5:$E$180=$B7)*ISNUMBER(INDEX(Inputs!$K$5:$AJ$180,0,MATCH(S$2,Inputs!$K$4:$AJ$4,0))))=0,NA(),SUMPRODUCT((Inputs!$A$5:$A$180=$B7)*Inputs!$B$5:$B$180*(((Inputs!$G$5:$G$180="moeda")+(Inputs!$G$5:$G$180="acoes"))*Inputs!$B$1+((Inputs!$G$5:$G$180&lt;&gt;"moeda")*(Inputs!$G$5:$G$180&lt;&gt;"acoes")))*INDEX(Inputs!$K$5:$AJ$180,0,MATCH(S$2,Inputs!$K$4:$AJ$4,0)))+SUMPRODUCT((Inputs!$C$5:$C$180=$B7)*Inputs!$D$5:$D$180*(((Inputs!$G$5:$G$180="moeda")+(Inputs!$G$5:$G$180="acoes"))*Inputs!$B$1+((Inputs!$G$5:$G$180&lt;&gt;"moeda")*(Inputs!$G$5:$G$180&lt;&gt;"acoes")))*INDEX(Inputs!$K$5:$AJ$180,0,MATCH(S$2,Inputs!$K$4:$AJ$4,0)))+SUMPRODUCT((Inputs!$E$5:$E$180=$B7)*Inputs!$F$5:$F$180*(((Inputs!$G$5:$G$180="moeda")+(Inputs!$G$5:$G$180="acoes"))*Inputs!$B$1+((Inputs!$G$5:$G$180&lt;&gt;"moeda")*(Inputs!$G$5:$G$180&lt;&gt;"acoes")))*INDEX(Inputs!$K$5:$AJ$180,0,MATCH(S$2,Inputs!$K$4:$AJ$4,0)))))</f>
        <v>-189.554</v>
      </c>
      <c r="T7" s="6">
        <f>IF(ISNA(MATCH(T$2,Inputs!$K$4:$AJ$4,0)),NA(),IF(SUMPRODUCT((Inputs!$A$5:$A$180=$B7)*ISNUMBER(INDEX(Inputs!$K$5:$AJ$180,0,MATCH(T$2,Inputs!$K$4:$AJ$4,0))))+SUMPRODUCT((Inputs!$C$5:$C$180=$B7)*ISNUMBER(INDEX(Inputs!$K$5:$AJ$180,0,MATCH(T$2,Inputs!$K$4:$AJ$4,0))))+SUMPRODUCT((Inputs!$E$5:$E$180=$B7)*ISNUMBER(INDEX(Inputs!$K$5:$AJ$180,0,MATCH(T$2,Inputs!$K$4:$AJ$4,0))))=0,NA(),SUMPRODUCT((Inputs!$A$5:$A$180=$B7)*Inputs!$B$5:$B$180*(((Inputs!$G$5:$G$180="moeda")+(Inputs!$G$5:$G$180="acoes"))*Inputs!$B$1+((Inputs!$G$5:$G$180&lt;&gt;"moeda")*(Inputs!$G$5:$G$180&lt;&gt;"acoes")))*INDEX(Inputs!$K$5:$AJ$180,0,MATCH(T$2,Inputs!$K$4:$AJ$4,0)))+SUMPRODUCT((Inputs!$C$5:$C$180=$B7)*Inputs!$D$5:$D$180*(((Inputs!$G$5:$G$180="moeda")+(Inputs!$G$5:$G$180="acoes"))*Inputs!$B$1+((Inputs!$G$5:$G$180&lt;&gt;"moeda")*(Inputs!$G$5:$G$180&lt;&gt;"acoes")))*INDEX(Inputs!$K$5:$AJ$180,0,MATCH(T$2,Inputs!$K$4:$AJ$4,0)))+SUMPRODUCT((Inputs!$E$5:$E$180=$B7)*Inputs!$F$5:$F$180*(((Inputs!$G$5:$G$180="moeda")+(Inputs!$G$5:$G$180="acoes"))*Inputs!$B$1+((Inputs!$G$5:$G$180&lt;&gt;"moeda")*(Inputs!$G$5:$G$180&lt;&gt;"acoes")))*INDEX(Inputs!$K$5:$AJ$180,0,MATCH(T$2,Inputs!$K$4:$AJ$4,0)))))</f>
        <v>-191.804</v>
      </c>
      <c r="U7" s="6">
        <f>IF(ISNA(MATCH(U$2,Inputs!$K$4:$AJ$4,0)),NA(),IF(SUMPRODUCT((Inputs!$A$5:$A$180=$B7)*ISNUMBER(INDEX(Inputs!$K$5:$AJ$180,0,MATCH(U$2,Inputs!$K$4:$AJ$4,0))))+SUMPRODUCT((Inputs!$C$5:$C$180=$B7)*ISNUMBER(INDEX(Inputs!$K$5:$AJ$180,0,MATCH(U$2,Inputs!$K$4:$AJ$4,0))))+SUMPRODUCT((Inputs!$E$5:$E$180=$B7)*ISNUMBER(INDEX(Inputs!$K$5:$AJ$180,0,MATCH(U$2,Inputs!$K$4:$AJ$4,0))))=0,NA(),SUMPRODUCT((Inputs!$A$5:$A$180=$B7)*Inputs!$B$5:$B$180*(((Inputs!$G$5:$G$180="moeda")+(Inputs!$G$5:$G$180="acoes"))*Inputs!$B$1+((Inputs!$G$5:$G$180&lt;&gt;"moeda")*(Inputs!$G$5:$G$180&lt;&gt;"acoes")))*INDEX(Inputs!$K$5:$AJ$180,0,MATCH(U$2,Inputs!$K$4:$AJ$4,0)))+SUMPRODUCT((Inputs!$C$5:$C$180=$B7)*Inputs!$D$5:$D$180*(((Inputs!$G$5:$G$180="moeda")+(Inputs!$G$5:$G$180="acoes"))*Inputs!$B$1+((Inputs!$G$5:$G$180&lt;&gt;"moeda")*(Inputs!$G$5:$G$180&lt;&gt;"acoes")))*INDEX(Inputs!$K$5:$AJ$180,0,MATCH(U$2,Inputs!$K$4:$AJ$4,0)))+SUMPRODUCT((Inputs!$E$5:$E$180=$B7)*Inputs!$F$5:$F$180*(((Inputs!$G$5:$G$180="moeda")+(Inputs!$G$5:$G$180="acoes"))*Inputs!$B$1+((Inputs!$G$5:$G$180&lt;&gt;"moeda")*(Inputs!$G$5:$G$180&lt;&gt;"acoes")))*INDEX(Inputs!$K$5:$AJ$180,0,MATCH(U$2,Inputs!$K$4:$AJ$4,0)))))</f>
        <v>-196.609</v>
      </c>
      <c r="V7" s="6">
        <f>IF(ISNA(MATCH(V$2,Inputs!$K$4:$AJ$4,0)),NA(),IF(SUMPRODUCT((Inputs!$A$5:$A$180=$B7)*ISNUMBER(INDEX(Inputs!$K$5:$AJ$180,0,MATCH(V$2,Inputs!$K$4:$AJ$4,0))))+SUMPRODUCT((Inputs!$C$5:$C$180=$B7)*ISNUMBER(INDEX(Inputs!$K$5:$AJ$180,0,MATCH(V$2,Inputs!$K$4:$AJ$4,0))))+SUMPRODUCT((Inputs!$E$5:$E$180=$B7)*ISNUMBER(INDEX(Inputs!$K$5:$AJ$180,0,MATCH(V$2,Inputs!$K$4:$AJ$4,0))))=0,NA(),SUMPRODUCT((Inputs!$A$5:$A$180=$B7)*Inputs!$B$5:$B$180*(((Inputs!$G$5:$G$180="moeda")+(Inputs!$G$5:$G$180="acoes"))*Inputs!$B$1+((Inputs!$G$5:$G$180&lt;&gt;"moeda")*(Inputs!$G$5:$G$180&lt;&gt;"acoes")))*INDEX(Inputs!$K$5:$AJ$180,0,MATCH(V$2,Inputs!$K$4:$AJ$4,0)))+SUMPRODUCT((Inputs!$C$5:$C$180=$B7)*Inputs!$D$5:$D$180*(((Inputs!$G$5:$G$180="moeda")+(Inputs!$G$5:$G$180="acoes"))*Inputs!$B$1+((Inputs!$G$5:$G$180&lt;&gt;"moeda")*(Inputs!$G$5:$G$180&lt;&gt;"acoes")))*INDEX(Inputs!$K$5:$AJ$180,0,MATCH(V$2,Inputs!$K$4:$AJ$4,0)))+SUMPRODUCT((Inputs!$E$5:$E$180=$B7)*Inputs!$F$5:$F$180*(((Inputs!$G$5:$G$180="moeda")+(Inputs!$G$5:$G$180="acoes"))*Inputs!$B$1+((Inputs!$G$5:$G$180&lt;&gt;"moeda")*(Inputs!$G$5:$G$180&lt;&gt;"acoes")))*INDEX(Inputs!$K$5:$AJ$180,0,MATCH(V$2,Inputs!$K$4:$AJ$4,0)))))</f>
        <v>-202.016</v>
      </c>
      <c r="W7" s="3">
        <f>SUM(S7:V7)</f>
        <v>-779.983</v>
      </c>
      <c r="X7" s="6">
        <f>IF(ISNA(MATCH(X$2,Inputs!$K$4:$AJ$4,0)),NA(),IF(SUMPRODUCT((Inputs!$A$5:$A$180=$B7)*ISNUMBER(INDEX(Inputs!$K$5:$AJ$180,0,MATCH(X$2,Inputs!$K$4:$AJ$4,0))))+SUMPRODUCT((Inputs!$C$5:$C$180=$B7)*ISNUMBER(INDEX(Inputs!$K$5:$AJ$180,0,MATCH(X$2,Inputs!$K$4:$AJ$4,0))))+SUMPRODUCT((Inputs!$E$5:$E$180=$B7)*ISNUMBER(INDEX(Inputs!$K$5:$AJ$180,0,MATCH(X$2,Inputs!$K$4:$AJ$4,0))))=0,NA(),SUMPRODUCT((Inputs!$A$5:$A$180=$B7)*Inputs!$B$5:$B$180*(((Inputs!$G$5:$G$180="moeda")+(Inputs!$G$5:$G$180="acoes"))*Inputs!$B$1+((Inputs!$G$5:$G$180&lt;&gt;"moeda")*(Inputs!$G$5:$G$180&lt;&gt;"acoes")))*INDEX(Inputs!$K$5:$AJ$180,0,MATCH(X$2,Inputs!$K$4:$AJ$4,0)))+SUMPRODUCT((Inputs!$C$5:$C$180=$B7)*Inputs!$D$5:$D$180*(((Inputs!$G$5:$G$180="moeda")+(Inputs!$G$5:$G$180="acoes"))*Inputs!$B$1+((Inputs!$G$5:$G$180&lt;&gt;"moeda")*(Inputs!$G$5:$G$180&lt;&gt;"acoes")))*INDEX(Inputs!$K$5:$AJ$180,0,MATCH(X$2,Inputs!$K$4:$AJ$4,0)))+SUMPRODUCT((Inputs!$E$5:$E$180=$B7)*Inputs!$F$5:$F$180*(((Inputs!$G$5:$G$180="moeda")+(Inputs!$G$5:$G$180="acoes"))*Inputs!$B$1+((Inputs!$G$5:$G$180&lt;&gt;"moeda")*(Inputs!$G$5:$G$180&lt;&gt;"acoes")))*INDEX(Inputs!$K$5:$AJ$180,0,MATCH(X$2,Inputs!$K$4:$AJ$4,0)))))</f>
        <v>-212.141077</v>
      </c>
      <c r="Y7" s="6">
        <f>IF(ISNA(MATCH(Y$2,Inputs!$K$4:$AJ$4,0)),NA(),IF(SUMPRODUCT((Inputs!$A$5:$A$180=$B7)*ISNUMBER(INDEX(Inputs!$K$5:$AJ$180,0,MATCH(Y$2,Inputs!$K$4:$AJ$4,0))))+SUMPRODUCT((Inputs!$C$5:$C$180=$B7)*ISNUMBER(INDEX(Inputs!$K$5:$AJ$180,0,MATCH(Y$2,Inputs!$K$4:$AJ$4,0))))+SUMPRODUCT((Inputs!$E$5:$E$180=$B7)*ISNUMBER(INDEX(Inputs!$K$5:$AJ$180,0,MATCH(Y$2,Inputs!$K$4:$AJ$4,0))))=0,NA(),SUMPRODUCT((Inputs!$A$5:$A$180=$B7)*Inputs!$B$5:$B$180*(((Inputs!$G$5:$G$180="moeda")+(Inputs!$G$5:$G$180="acoes"))*Inputs!$B$1+((Inputs!$G$5:$G$180&lt;&gt;"moeda")*(Inputs!$G$5:$G$180&lt;&gt;"acoes")))*INDEX(Inputs!$K$5:$AJ$180,0,MATCH(Y$2,Inputs!$K$4:$AJ$4,0)))+SUMPRODUCT((Inputs!$C$5:$C$180=$B7)*Inputs!$D$5:$D$180*(((Inputs!$G$5:$G$180="moeda")+(Inputs!$G$5:$G$180="acoes"))*Inputs!$B$1+((Inputs!$G$5:$G$180&lt;&gt;"moeda")*(Inputs!$G$5:$G$180&lt;&gt;"acoes")))*INDEX(Inputs!$K$5:$AJ$180,0,MATCH(Y$2,Inputs!$K$4:$AJ$4,0)))+SUMPRODUCT((Inputs!$E$5:$E$180=$B7)*Inputs!$F$5:$F$180*(((Inputs!$G$5:$G$180="moeda")+(Inputs!$G$5:$G$180="acoes"))*Inputs!$B$1+((Inputs!$G$5:$G$180&lt;&gt;"moeda")*(Inputs!$G$5:$G$180&lt;&gt;"acoes")))*INDEX(Inputs!$K$5:$AJ$180,0,MATCH(Y$2,Inputs!$K$4:$AJ$4,0)))))</f>
        <v>-222.403</v>
      </c>
      <c r="Z7" s="6">
        <f>IF(ISNA(MATCH(Z$2,Inputs!$K$4:$AJ$4,0)),NA(),IF(SUMPRODUCT((Inputs!$A$5:$A$180=$B7)*ISNUMBER(INDEX(Inputs!$K$5:$AJ$180,0,MATCH(Z$2,Inputs!$K$4:$AJ$4,0))))+SUMPRODUCT((Inputs!$C$5:$C$180=$B7)*ISNUMBER(INDEX(Inputs!$K$5:$AJ$180,0,MATCH(Z$2,Inputs!$K$4:$AJ$4,0))))+SUMPRODUCT((Inputs!$E$5:$E$180=$B7)*ISNUMBER(INDEX(Inputs!$K$5:$AJ$180,0,MATCH(Z$2,Inputs!$K$4:$AJ$4,0))))=0,NA(),SUMPRODUCT((Inputs!$A$5:$A$180=$B7)*Inputs!$B$5:$B$180*(((Inputs!$G$5:$G$180="moeda")+(Inputs!$G$5:$G$180="acoes"))*Inputs!$B$1+((Inputs!$G$5:$G$180&lt;&gt;"moeda")*(Inputs!$G$5:$G$180&lt;&gt;"acoes")))*INDEX(Inputs!$K$5:$AJ$180,0,MATCH(Z$2,Inputs!$K$4:$AJ$4,0)))+SUMPRODUCT((Inputs!$C$5:$C$180=$B7)*Inputs!$D$5:$D$180*(((Inputs!$G$5:$G$180="moeda")+(Inputs!$G$5:$G$180="acoes"))*Inputs!$B$1+((Inputs!$G$5:$G$180&lt;&gt;"moeda")*(Inputs!$G$5:$G$180&lt;&gt;"acoes")))*INDEX(Inputs!$K$5:$AJ$180,0,MATCH(Z$2,Inputs!$K$4:$AJ$4,0)))+SUMPRODUCT((Inputs!$E$5:$E$180=$B7)*Inputs!$F$5:$F$180*(((Inputs!$G$5:$G$180="moeda")+(Inputs!$G$5:$G$180="acoes"))*Inputs!$B$1+((Inputs!$G$5:$G$180&lt;&gt;"moeda")*(Inputs!$G$5:$G$180&lt;&gt;"acoes")))*INDEX(Inputs!$K$5:$AJ$180,0,MATCH(Z$2,Inputs!$K$4:$AJ$4,0)))))</f>
        <v>-229.37499664</v>
      </c>
      <c r="AA7" s="6">
        <f>IF(ISNA(MATCH(AA$2,Inputs!$K$4:$AJ$4,0)),NA(),IF(SUMPRODUCT((Inputs!$A$5:$A$180=$B7)*ISNUMBER(INDEX(Inputs!$K$5:$AJ$180,0,MATCH(AA$2,Inputs!$K$4:$AJ$4,0))))+SUMPRODUCT((Inputs!$C$5:$C$180=$B7)*ISNUMBER(INDEX(Inputs!$K$5:$AJ$180,0,MATCH(AA$2,Inputs!$K$4:$AJ$4,0))))+SUMPRODUCT((Inputs!$E$5:$E$180=$B7)*ISNUMBER(INDEX(Inputs!$K$5:$AJ$180,0,MATCH(AA$2,Inputs!$K$4:$AJ$4,0))))=0,NA(),SUMPRODUCT((Inputs!$A$5:$A$180=$B7)*Inputs!$B$5:$B$180*(((Inputs!$G$5:$G$180="moeda")+(Inputs!$G$5:$G$180="acoes"))*Inputs!$B$1+((Inputs!$G$5:$G$180&lt;&gt;"moeda")*(Inputs!$G$5:$G$180&lt;&gt;"acoes")))*INDEX(Inputs!$K$5:$AJ$180,0,MATCH(AA$2,Inputs!$K$4:$AJ$4,0)))+SUMPRODUCT((Inputs!$C$5:$C$180=$B7)*Inputs!$D$5:$D$180*(((Inputs!$G$5:$G$180="moeda")+(Inputs!$G$5:$G$180="acoes"))*Inputs!$B$1+((Inputs!$G$5:$G$180&lt;&gt;"moeda")*(Inputs!$G$5:$G$180&lt;&gt;"acoes")))*INDEX(Inputs!$K$5:$AJ$180,0,MATCH(AA$2,Inputs!$K$4:$AJ$4,0)))+SUMPRODUCT((Inputs!$E$5:$E$180=$B7)*Inputs!$F$5:$F$180*(((Inputs!$G$5:$G$180="moeda")+(Inputs!$G$5:$G$180="acoes"))*Inputs!$B$1+((Inputs!$G$5:$G$180&lt;&gt;"moeda")*(Inputs!$G$5:$G$180&lt;&gt;"acoes")))*INDEX(Inputs!$K$5:$AJ$180,0,MATCH(AA$2,Inputs!$K$4:$AJ$4,0)))))</f>
        <v>-236.39185589</v>
      </c>
      <c r="AB7" s="3">
        <f>SUM(X7:AA7)</f>
        <v>-900.31092953</v>
      </c>
      <c r="AC7" s="6">
        <f>IF(ISNA(MATCH(AC$2,Inputs!$K$4:$AJ$4,0)),NA(),IF(SUMPRODUCT((Inputs!$A$5:$A$180=$B7)*ISNUMBER(INDEX(Inputs!$K$5:$AJ$180,0,MATCH(AC$2,Inputs!$K$4:$AJ$4,0))))+SUMPRODUCT((Inputs!$C$5:$C$180=$B7)*ISNUMBER(INDEX(Inputs!$K$5:$AJ$180,0,MATCH(AC$2,Inputs!$K$4:$AJ$4,0))))+SUMPRODUCT((Inputs!$E$5:$E$180=$B7)*ISNUMBER(INDEX(Inputs!$K$5:$AJ$180,0,MATCH(AC$2,Inputs!$K$4:$AJ$4,0))))=0,NA(),SUMPRODUCT((Inputs!$A$5:$A$180=$B7)*Inputs!$B$5:$B$180*(((Inputs!$G$5:$G$180="moeda")+(Inputs!$G$5:$G$180="acoes"))*Inputs!$B$1+((Inputs!$G$5:$G$180&lt;&gt;"moeda")*(Inputs!$G$5:$G$180&lt;&gt;"acoes")))*INDEX(Inputs!$K$5:$AJ$180,0,MATCH(AC$2,Inputs!$K$4:$AJ$4,0)))+SUMPRODUCT((Inputs!$C$5:$C$180=$B7)*Inputs!$D$5:$D$180*(((Inputs!$G$5:$G$180="moeda")+(Inputs!$G$5:$G$180="acoes"))*Inputs!$B$1+((Inputs!$G$5:$G$180&lt;&gt;"moeda")*(Inputs!$G$5:$G$180&lt;&gt;"acoes")))*INDEX(Inputs!$K$5:$AJ$180,0,MATCH(AC$2,Inputs!$K$4:$AJ$4,0)))+SUMPRODUCT((Inputs!$E$5:$E$180=$B7)*Inputs!$F$5:$F$180*(((Inputs!$G$5:$G$180="moeda")+(Inputs!$G$5:$G$180="acoes"))*Inputs!$B$1+((Inputs!$G$5:$G$180&lt;&gt;"moeda")*(Inputs!$G$5:$G$180&lt;&gt;"acoes")))*INDEX(Inputs!$K$5:$AJ$180,0,MATCH(AC$2,Inputs!$K$4:$AJ$4,0)))))</f>
        <v>-233.12169578</v>
      </c>
      <c r="AD7" s="6">
        <f>IF(ISNA(MATCH(AD$2,Inputs!$K$4:$AJ$4,0)),NA(),IF(SUMPRODUCT((Inputs!$A$5:$A$180=$B7)*ISNUMBER(INDEX(Inputs!$K$5:$AJ$180,0,MATCH(AD$2,Inputs!$K$4:$AJ$4,0))))+SUMPRODUCT((Inputs!$C$5:$C$180=$B7)*ISNUMBER(INDEX(Inputs!$K$5:$AJ$180,0,MATCH(AD$2,Inputs!$K$4:$AJ$4,0))))+SUMPRODUCT((Inputs!$E$5:$E$180=$B7)*ISNUMBER(INDEX(Inputs!$K$5:$AJ$180,0,MATCH(AD$2,Inputs!$K$4:$AJ$4,0))))=0,NA(),SUMPRODUCT((Inputs!$A$5:$A$180=$B7)*Inputs!$B$5:$B$180*(((Inputs!$G$5:$G$180="moeda")+(Inputs!$G$5:$G$180="acoes"))*Inputs!$B$1+((Inputs!$G$5:$G$180&lt;&gt;"moeda")*(Inputs!$G$5:$G$180&lt;&gt;"acoes")))*INDEX(Inputs!$K$5:$AJ$180,0,MATCH(AD$2,Inputs!$K$4:$AJ$4,0)))+SUMPRODUCT((Inputs!$C$5:$C$180=$B7)*Inputs!$D$5:$D$180*(((Inputs!$G$5:$G$180="moeda")+(Inputs!$G$5:$G$180="acoes"))*Inputs!$B$1+((Inputs!$G$5:$G$180&lt;&gt;"moeda")*(Inputs!$G$5:$G$180&lt;&gt;"acoes")))*INDEX(Inputs!$K$5:$AJ$180,0,MATCH(AD$2,Inputs!$K$4:$AJ$4,0)))+SUMPRODUCT((Inputs!$E$5:$E$180=$B7)*Inputs!$F$5:$F$180*(((Inputs!$G$5:$G$180="moeda")+(Inputs!$G$5:$G$180="acoes"))*Inputs!$B$1+((Inputs!$G$5:$G$180&lt;&gt;"moeda")*(Inputs!$G$5:$G$180&lt;&gt;"acoes")))*INDEX(Inputs!$K$5:$AJ$180,0,MATCH(AD$2,Inputs!$K$4:$AJ$4,0)))))</f>
        <v>-215.806</v>
      </c>
      <c r="AE7" s="6" t="e">
        <f>IF(ISNA(MATCH(AE$2,Inputs!$K$4:$AJ$4,0)),NA(),IF(SUMPRODUCT((Inputs!$A$5:$A$180=$B7)*ISNUMBER(INDEX(Inputs!$K$5:$AJ$180,0,MATCH(AE$2,Inputs!$K$4:$AJ$4,0))))+SUMPRODUCT((Inputs!$C$5:$C$180=$B7)*ISNUMBER(INDEX(Inputs!$K$5:$AJ$180,0,MATCH(AE$2,Inputs!$K$4:$AJ$4,0))))+SUMPRODUCT((Inputs!$E$5:$E$180=$B7)*ISNUMBER(INDEX(Inputs!$K$5:$AJ$180,0,MATCH(AE$2,Inputs!$K$4:$AJ$4,0))))=0,NA(),SUMPRODUCT((Inputs!$A$5:$A$180=$B7)*Inputs!$B$5:$B$180*(((Inputs!$G$5:$G$180="moeda")+(Inputs!$G$5:$G$180="acoes"))*Inputs!$B$1+((Inputs!$G$5:$G$180&lt;&gt;"moeda")*(Inputs!$G$5:$G$180&lt;&gt;"acoes")))*INDEX(Inputs!$K$5:$AJ$180,0,MATCH(AE$2,Inputs!$K$4:$AJ$4,0)))+SUMPRODUCT((Inputs!$C$5:$C$180=$B7)*Inputs!$D$5:$D$180*(((Inputs!$G$5:$G$180="moeda")+(Inputs!$G$5:$G$180="acoes"))*Inputs!$B$1+((Inputs!$G$5:$G$180&lt;&gt;"moeda")*(Inputs!$G$5:$G$180&lt;&gt;"acoes")))*INDEX(Inputs!$K$5:$AJ$180,0,MATCH(AE$2,Inputs!$K$4:$AJ$4,0)))+SUMPRODUCT((Inputs!$E$5:$E$180=$B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7" s="6" t="e">
        <f>IF(ISNA(MATCH(AF$2,Inputs!$K$4:$AJ$4,0)),NA(),IF(SUMPRODUCT((Inputs!$A$5:$A$180=$B7)*ISNUMBER(INDEX(Inputs!$K$5:$AJ$180,0,MATCH(AF$2,Inputs!$K$4:$AJ$4,0))))+SUMPRODUCT((Inputs!$C$5:$C$180=$B7)*ISNUMBER(INDEX(Inputs!$K$5:$AJ$180,0,MATCH(AF$2,Inputs!$K$4:$AJ$4,0))))+SUMPRODUCT((Inputs!$E$5:$E$180=$B7)*ISNUMBER(INDEX(Inputs!$K$5:$AJ$180,0,MATCH(AF$2,Inputs!$K$4:$AJ$4,0))))=0,NA(),SUMPRODUCT((Inputs!$A$5:$A$180=$B7)*Inputs!$B$5:$B$180*(((Inputs!$G$5:$G$180="moeda")+(Inputs!$G$5:$G$180="acoes"))*Inputs!$B$1+((Inputs!$G$5:$G$180&lt;&gt;"moeda")*(Inputs!$G$5:$G$180&lt;&gt;"acoes")))*INDEX(Inputs!$K$5:$AJ$180,0,MATCH(AF$2,Inputs!$K$4:$AJ$4,0)))+SUMPRODUCT((Inputs!$C$5:$C$180=$B7)*Inputs!$D$5:$D$180*(((Inputs!$G$5:$G$180="moeda")+(Inputs!$G$5:$G$180="acoes"))*Inputs!$B$1+((Inputs!$G$5:$G$180&lt;&gt;"moeda")*(Inputs!$G$5:$G$180&lt;&gt;"acoes")))*INDEX(Inputs!$K$5:$AJ$180,0,MATCH(AF$2,Inputs!$K$4:$AJ$4,0)))+SUMPRODUCT((Inputs!$E$5:$E$180=$B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7" s="3" t="e">
        <f>SUM(AC7:AF7)</f>
        <v>#N/A</v>
      </c>
      <c r="AH7" s="6">
        <f>IF(ISNA(MATCH(AH$2,Inputs!$K$4:$AJ$4,0)),NA(),IF(SUMPRODUCT((Inputs!$A$5:$A$180=$B7)*ISNUMBER(INDEX(Inputs!$K$5:$AJ$180,0,MATCH(AH$2,Inputs!$K$4:$AJ$4,0))))+SUMPRODUCT((Inputs!$C$5:$C$180=$B7)*ISNUMBER(INDEX(Inputs!$K$5:$AJ$180,0,MATCH(AH$2,Inputs!$K$4:$AJ$4,0))))+SUMPRODUCT((Inputs!$E$5:$E$180=$B7)*ISNUMBER(INDEX(Inputs!$K$5:$AJ$180,0,MATCH(AH$2,Inputs!$K$4:$AJ$4,0))))=0,NA(),SUMPRODUCT((Inputs!$A$5:$A$180=$B7)*Inputs!$B$5:$B$180*(((Inputs!$G$5:$G$180="moeda")+(Inputs!$G$5:$G$180="acoes"))*Inputs!$B$1+((Inputs!$G$5:$G$180&lt;&gt;"moeda")*(Inputs!$G$5:$G$180&lt;&gt;"acoes")))*INDEX(Inputs!$K$5:$AJ$180,0,MATCH(AH$2,Inputs!$K$4:$AJ$4,0)))+SUMPRODUCT((Inputs!$C$5:$C$180=$B7)*Inputs!$D$5:$D$180*(((Inputs!$G$5:$G$180="moeda")+(Inputs!$G$5:$G$180="acoes"))*Inputs!$B$1+((Inputs!$G$5:$G$180&lt;&gt;"moeda")*(Inputs!$G$5:$G$180&lt;&gt;"acoes")))*INDEX(Inputs!$K$5:$AJ$180,0,MATCH(AH$2,Inputs!$K$4:$AJ$4,0)))+SUMPRODUCT((Inputs!$E$5:$E$180=$B7)*Inputs!$F$5:$F$180*(((Inputs!$G$5:$G$180="moeda")+(Inputs!$G$5:$G$180="acoes"))*Inputs!$B$1+((Inputs!$G$5:$G$180&lt;&gt;"moeda")*(Inputs!$G$5:$G$180&lt;&gt;"acoes")))*INDEX(Inputs!$K$5:$AJ$180,0,MATCH(AH$2,Inputs!$K$4:$AJ$4,0)))))</f>
        <v>-87.25438368</v>
      </c>
      <c r="AI7" s="6">
        <f>IF(ISNA(MATCH(AI$2,Inputs!$K$4:$AJ$4,0)),NA(),IF(SUMPRODUCT((Inputs!$A$5:$A$180=$B7)*ISNUMBER(INDEX(Inputs!$K$5:$AJ$180,0,MATCH(AI$2,Inputs!$K$4:$AJ$4,0))))+SUMPRODUCT((Inputs!$C$5:$C$180=$B7)*ISNUMBER(INDEX(Inputs!$K$5:$AJ$180,0,MATCH(AI$2,Inputs!$K$4:$AJ$4,0))))+SUMPRODUCT((Inputs!$E$5:$E$180=$B7)*ISNUMBER(INDEX(Inputs!$K$5:$AJ$180,0,MATCH(AI$2,Inputs!$K$4:$AJ$4,0))))=0,NA(),SUMPRODUCT((Inputs!$A$5:$A$180=$B7)*Inputs!$B$5:$B$180*(((Inputs!$G$5:$G$180="moeda")+(Inputs!$G$5:$G$180="acoes"))*Inputs!$B$1+((Inputs!$G$5:$G$180&lt;&gt;"moeda")*(Inputs!$G$5:$G$180&lt;&gt;"acoes")))*INDEX(Inputs!$K$5:$AJ$180,0,MATCH(AI$2,Inputs!$K$4:$AJ$4,0)))+SUMPRODUCT((Inputs!$C$5:$C$180=$B7)*Inputs!$D$5:$D$180*(((Inputs!$G$5:$G$180="moeda")+(Inputs!$G$5:$G$180="acoes"))*Inputs!$B$1+((Inputs!$G$5:$G$180&lt;&gt;"moeda")*(Inputs!$G$5:$G$180&lt;&gt;"acoes")))*INDEX(Inputs!$K$5:$AJ$180,0,MATCH(AI$2,Inputs!$K$4:$AJ$4,0)))+SUMPRODUCT((Inputs!$E$5:$E$180=$B7)*Inputs!$F$5:$F$180*(((Inputs!$G$5:$G$180="moeda")+(Inputs!$G$5:$G$180="acoes"))*Inputs!$B$1+((Inputs!$G$5:$G$180&lt;&gt;"moeda")*(Inputs!$G$5:$G$180&lt;&gt;"acoes")))*INDEX(Inputs!$K$5:$AJ$180,0,MATCH(AI$2,Inputs!$K$4:$AJ$4,0)))))</f>
        <v>-84.69920834</v>
      </c>
      <c r="AJ7" s="6">
        <f>IF(ISNA(MATCH(AJ$2,Inputs!$K$4:$AJ$4,0)),NA(),IF(SUMPRODUCT((Inputs!$A$5:$A$180=$B7)*ISNUMBER(INDEX(Inputs!$K$5:$AJ$180,0,MATCH(AJ$2,Inputs!$K$4:$AJ$4,0))))+SUMPRODUCT((Inputs!$C$5:$C$180=$B7)*ISNUMBER(INDEX(Inputs!$K$5:$AJ$180,0,MATCH(AJ$2,Inputs!$K$4:$AJ$4,0))))+SUMPRODUCT((Inputs!$E$5:$E$180=$B7)*ISNUMBER(INDEX(Inputs!$K$5:$AJ$180,0,MATCH(AJ$2,Inputs!$K$4:$AJ$4,0))))=0,NA(),SUMPRODUCT((Inputs!$A$5:$A$180=$B7)*Inputs!$B$5:$B$180*(((Inputs!$G$5:$G$180="moeda")+(Inputs!$G$5:$G$180="acoes"))*Inputs!$B$1+((Inputs!$G$5:$G$180&lt;&gt;"moeda")*(Inputs!$G$5:$G$180&lt;&gt;"acoes")))*INDEX(Inputs!$K$5:$AJ$180,0,MATCH(AJ$2,Inputs!$K$4:$AJ$4,0)))+SUMPRODUCT((Inputs!$C$5:$C$180=$B7)*Inputs!$D$5:$D$180*(((Inputs!$G$5:$G$180="moeda")+(Inputs!$G$5:$G$180="acoes"))*Inputs!$B$1+((Inputs!$G$5:$G$180&lt;&gt;"moeda")*(Inputs!$G$5:$G$180&lt;&gt;"acoes")))*INDEX(Inputs!$K$5:$AJ$180,0,MATCH(AJ$2,Inputs!$K$4:$AJ$4,0)))+SUMPRODUCT((Inputs!$E$5:$E$180=$B7)*Inputs!$F$5:$F$180*(((Inputs!$G$5:$G$180="moeda")+(Inputs!$G$5:$G$180="acoes"))*Inputs!$B$1+((Inputs!$G$5:$G$180&lt;&gt;"moeda")*(Inputs!$G$5:$G$180&lt;&gt;"acoes")))*INDEX(Inputs!$K$5:$AJ$180,0,MATCH(AJ$2,Inputs!$K$4:$AJ$4,0)))))</f>
        <v>-87.78008586</v>
      </c>
      <c r="AK7" s="6">
        <f>IF(ISNA(MATCH(AK$2,Inputs!$K$4:$AJ$4,0)),NA(),IF(SUMPRODUCT((Inputs!$A$5:$A$180=$B7)*ISNUMBER(INDEX(Inputs!$K$5:$AJ$180,0,MATCH(AK$2,Inputs!$K$4:$AJ$4,0))))+SUMPRODUCT((Inputs!$C$5:$C$180=$B7)*ISNUMBER(INDEX(Inputs!$K$5:$AJ$180,0,MATCH(AK$2,Inputs!$K$4:$AJ$4,0))))+SUMPRODUCT((Inputs!$E$5:$E$180=$B7)*ISNUMBER(INDEX(Inputs!$K$5:$AJ$180,0,MATCH(AK$2,Inputs!$K$4:$AJ$4,0))))=0,NA(),SUMPRODUCT((Inputs!$A$5:$A$180=$B7)*Inputs!$B$5:$B$180*(((Inputs!$G$5:$G$180="moeda")+(Inputs!$G$5:$G$180="acoes"))*Inputs!$B$1+((Inputs!$G$5:$G$180&lt;&gt;"moeda")*(Inputs!$G$5:$G$180&lt;&gt;"acoes")))*INDEX(Inputs!$K$5:$AJ$180,0,MATCH(AK$2,Inputs!$K$4:$AJ$4,0)))+SUMPRODUCT((Inputs!$C$5:$C$180=$B7)*Inputs!$D$5:$D$180*(((Inputs!$G$5:$G$180="moeda")+(Inputs!$G$5:$G$180="acoes"))*Inputs!$B$1+((Inputs!$G$5:$G$180&lt;&gt;"moeda")*(Inputs!$G$5:$G$180&lt;&gt;"acoes")))*INDEX(Inputs!$K$5:$AJ$180,0,MATCH(AK$2,Inputs!$K$4:$AJ$4,0)))+SUMPRODUCT((Inputs!$E$5:$E$180=$B7)*Inputs!$F$5:$F$180*(((Inputs!$G$5:$G$180="moeda")+(Inputs!$G$5:$G$180="acoes"))*Inputs!$B$1+((Inputs!$G$5:$G$180&lt;&gt;"moeda")*(Inputs!$G$5:$G$180&lt;&gt;"acoes")))*INDEX(Inputs!$K$5:$AJ$180,0,MATCH(AK$2,Inputs!$K$4:$AJ$4,0)))))</f>
        <v>-98.73427442</v>
      </c>
      <c r="AL7" s="3">
        <f>SUM(AH7:AK7)</f>
        <v>-358.4679523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$180=$B8)*ISNUMBER(INDEX(Inputs!$K$5:$AJ$180,0,MATCH(D$2,Inputs!$K$4:$AJ$4,0))))+SUMPRODUCT((Inputs!$C$5:$C$180=$B8)*ISNUMBER(INDEX(Inputs!$K$5:$AJ$180,0,MATCH(D$2,Inputs!$K$4:$AJ$4,0))))+SUMPRODUCT((Inputs!$E$5:$E$180=$B8)*ISNUMBER(INDEX(Inputs!$K$5:$AJ$180,0,MATCH(D$2,Inputs!$K$4:$AJ$4,0))))=0,NA(),SUMPRODUCT((Inputs!$A$5:$A$180=$B8)*Inputs!$B$5:$B$180*(((Inputs!$G$5:$G$180="moeda")+(Inputs!$G$5:$G$180="acoes"))*Inputs!$B$1+((Inputs!$G$5:$G$180&lt;&gt;"moeda")*(Inputs!$G$5:$G$180&lt;&gt;"acoes")))*INDEX(Inputs!$K$5:$AJ$180,0,MATCH(D$2,Inputs!$K$4:$AJ$4,0)))+SUMPRODUCT((Inputs!$C$5:$C$180=$B8)*Inputs!$D$5:$D$180*(((Inputs!$G$5:$G$180="moeda")+(Inputs!$G$5:$G$180="acoes"))*Inputs!$B$1+((Inputs!$G$5:$G$180&lt;&gt;"moeda")*(Inputs!$G$5:$G$180&lt;&gt;"acoes")))*INDEX(Inputs!$K$5:$AJ$180,0,MATCH(D$2,Inputs!$K$4:$AJ$4,0)))+SUMPRODUCT((Inputs!$E$5:$E$180=$B8)*Inputs!$F$5:$F$180*(((Inputs!$G$5:$G$180="moeda")+(Inputs!$G$5:$G$180="acoes"))*Inputs!$B$1+((Inputs!$G$5:$G$180&lt;&gt;"moeda")*(Inputs!$G$5:$G$180&lt;&gt;"acoes")))*INDEX(Inputs!$K$5:$AJ$180,0,MATCH(D$2,Inputs!$K$4:$AJ$4,0)))))</f>
        <v>-37.42879707</v>
      </c>
      <c r="E8" s="6">
        <f>IF(ISNA(MATCH(E$2,Inputs!$K$4:$AJ$4,0)),NA(),IF(SUMPRODUCT((Inputs!$A$5:$A$180=$B8)*ISNUMBER(INDEX(Inputs!$K$5:$AJ$180,0,MATCH(E$2,Inputs!$K$4:$AJ$4,0))))+SUMPRODUCT((Inputs!$C$5:$C$180=$B8)*ISNUMBER(INDEX(Inputs!$K$5:$AJ$180,0,MATCH(E$2,Inputs!$K$4:$AJ$4,0))))+SUMPRODUCT((Inputs!$E$5:$E$180=$B8)*ISNUMBER(INDEX(Inputs!$K$5:$AJ$180,0,MATCH(E$2,Inputs!$K$4:$AJ$4,0))))=0,NA(),SUMPRODUCT((Inputs!$A$5:$A$180=$B8)*Inputs!$B$5:$B$180*(((Inputs!$G$5:$G$180="moeda")+(Inputs!$G$5:$G$180="acoes"))*Inputs!$B$1+((Inputs!$G$5:$G$180&lt;&gt;"moeda")*(Inputs!$G$5:$G$180&lt;&gt;"acoes")))*INDEX(Inputs!$K$5:$AJ$180,0,MATCH(E$2,Inputs!$K$4:$AJ$4,0)))+SUMPRODUCT((Inputs!$C$5:$C$180=$B8)*Inputs!$D$5:$D$180*(((Inputs!$G$5:$G$180="moeda")+(Inputs!$G$5:$G$180="acoes"))*Inputs!$B$1+((Inputs!$G$5:$G$180&lt;&gt;"moeda")*(Inputs!$G$5:$G$180&lt;&gt;"acoes")))*INDEX(Inputs!$K$5:$AJ$180,0,MATCH(E$2,Inputs!$K$4:$AJ$4,0)))+SUMPRODUCT((Inputs!$E$5:$E$180=$B8)*Inputs!$F$5:$F$180*(((Inputs!$G$5:$G$180="moeda")+(Inputs!$G$5:$G$180="acoes"))*Inputs!$B$1+((Inputs!$G$5:$G$180&lt;&gt;"moeda")*(Inputs!$G$5:$G$180&lt;&gt;"acoes")))*INDEX(Inputs!$K$5:$AJ$180,0,MATCH(E$2,Inputs!$K$4:$AJ$4,0)))))</f>
        <v>-43.00856677</v>
      </c>
      <c r="F8" s="6">
        <f>IF(ISNA(MATCH(F$2,Inputs!$K$4:$AJ$4,0)),NA(),IF(SUMPRODUCT((Inputs!$A$5:$A$180=$B8)*ISNUMBER(INDEX(Inputs!$K$5:$AJ$180,0,MATCH(F$2,Inputs!$K$4:$AJ$4,0))))+SUMPRODUCT((Inputs!$C$5:$C$180=$B8)*ISNUMBER(INDEX(Inputs!$K$5:$AJ$180,0,MATCH(F$2,Inputs!$K$4:$AJ$4,0))))+SUMPRODUCT((Inputs!$E$5:$E$180=$B8)*ISNUMBER(INDEX(Inputs!$K$5:$AJ$180,0,MATCH(F$2,Inputs!$K$4:$AJ$4,0))))=0,NA(),SUMPRODUCT((Inputs!$A$5:$A$180=$B8)*Inputs!$B$5:$B$180*(((Inputs!$G$5:$G$180="moeda")+(Inputs!$G$5:$G$180="acoes"))*Inputs!$B$1+((Inputs!$G$5:$G$180&lt;&gt;"moeda")*(Inputs!$G$5:$G$180&lt;&gt;"acoes")))*INDEX(Inputs!$K$5:$AJ$180,0,MATCH(F$2,Inputs!$K$4:$AJ$4,0)))+SUMPRODUCT((Inputs!$C$5:$C$180=$B8)*Inputs!$D$5:$D$180*(((Inputs!$G$5:$G$180="moeda")+(Inputs!$G$5:$G$180="acoes"))*Inputs!$B$1+((Inputs!$G$5:$G$180&lt;&gt;"moeda")*(Inputs!$G$5:$G$180&lt;&gt;"acoes")))*INDEX(Inputs!$K$5:$AJ$180,0,MATCH(F$2,Inputs!$K$4:$AJ$4,0)))+SUMPRODUCT((Inputs!$E$5:$E$180=$B8)*Inputs!$F$5:$F$180*(((Inputs!$G$5:$G$180="moeda")+(Inputs!$G$5:$G$180="acoes"))*Inputs!$B$1+((Inputs!$G$5:$G$180&lt;&gt;"moeda")*(Inputs!$G$5:$G$180&lt;&gt;"acoes")))*INDEX(Inputs!$K$5:$AJ$180,0,MATCH(F$2,Inputs!$K$4:$AJ$4,0)))))</f>
        <v>-65.28109683</v>
      </c>
      <c r="G8" s="6">
        <f>IF(ISNA(MATCH(G$2,Inputs!$K$4:$AJ$4,0)),NA(),IF(SUMPRODUCT((Inputs!$A$5:$A$180=$B8)*ISNUMBER(INDEX(Inputs!$K$5:$AJ$180,0,MATCH(G$2,Inputs!$K$4:$AJ$4,0))))+SUMPRODUCT((Inputs!$C$5:$C$180=$B8)*ISNUMBER(INDEX(Inputs!$K$5:$AJ$180,0,MATCH(G$2,Inputs!$K$4:$AJ$4,0))))+SUMPRODUCT((Inputs!$E$5:$E$180=$B8)*ISNUMBER(INDEX(Inputs!$K$5:$AJ$180,0,MATCH(G$2,Inputs!$K$4:$AJ$4,0))))=0,NA(),SUMPRODUCT((Inputs!$A$5:$A$180=$B8)*Inputs!$B$5:$B$180*(((Inputs!$G$5:$G$180="moeda")+(Inputs!$G$5:$G$180="acoes"))*Inputs!$B$1+((Inputs!$G$5:$G$180&lt;&gt;"moeda")*(Inputs!$G$5:$G$180&lt;&gt;"acoes")))*INDEX(Inputs!$K$5:$AJ$180,0,MATCH(G$2,Inputs!$K$4:$AJ$4,0)))+SUMPRODUCT((Inputs!$C$5:$C$180=$B8)*Inputs!$D$5:$D$180*(((Inputs!$G$5:$G$180="moeda")+(Inputs!$G$5:$G$180="acoes"))*Inputs!$B$1+((Inputs!$G$5:$G$180&lt;&gt;"moeda")*(Inputs!$G$5:$G$180&lt;&gt;"acoes")))*INDEX(Inputs!$K$5:$AJ$180,0,MATCH(G$2,Inputs!$K$4:$AJ$4,0)))+SUMPRODUCT((Inputs!$E$5:$E$180=$B8)*Inputs!$F$5:$F$180*(((Inputs!$G$5:$G$180="moeda")+(Inputs!$G$5:$G$180="acoes"))*Inputs!$B$1+((Inputs!$G$5:$G$180&lt;&gt;"moeda")*(Inputs!$G$5:$G$180&lt;&gt;"acoes")))*INDEX(Inputs!$K$5:$AJ$180,0,MATCH(G$2,Inputs!$K$4:$AJ$4,0)))))</f>
        <v>-74.31202259</v>
      </c>
      <c r="H8" s="3">
        <f>SUM(D8:G8)</f>
        <v>-220.03048326</v>
      </c>
      <c r="I8" s="6">
        <f>IF(ISNA(MATCH(I$2,Inputs!$K$4:$AJ$4,0)),NA(),IF(SUMPRODUCT((Inputs!$A$5:$A$180=$B8)*ISNUMBER(INDEX(Inputs!$K$5:$AJ$180,0,MATCH(I$2,Inputs!$K$4:$AJ$4,0))))+SUMPRODUCT((Inputs!$C$5:$C$180=$B8)*ISNUMBER(INDEX(Inputs!$K$5:$AJ$180,0,MATCH(I$2,Inputs!$K$4:$AJ$4,0))))+SUMPRODUCT((Inputs!$E$5:$E$180=$B8)*ISNUMBER(INDEX(Inputs!$K$5:$AJ$180,0,MATCH(I$2,Inputs!$K$4:$AJ$4,0))))=0,NA(),SUMPRODUCT((Inputs!$A$5:$A$180=$B8)*Inputs!$B$5:$B$180*(((Inputs!$G$5:$G$180="moeda")+(Inputs!$G$5:$G$180="acoes"))*Inputs!$B$1+((Inputs!$G$5:$G$180&lt;&gt;"moeda")*(Inputs!$G$5:$G$180&lt;&gt;"acoes")))*INDEX(Inputs!$K$5:$AJ$180,0,MATCH(I$2,Inputs!$K$4:$AJ$4,0)))+SUMPRODUCT((Inputs!$C$5:$C$180=$B8)*Inputs!$D$5:$D$180*(((Inputs!$G$5:$G$180="moeda")+(Inputs!$G$5:$G$180="acoes"))*Inputs!$B$1+((Inputs!$G$5:$G$180&lt;&gt;"moeda")*(Inputs!$G$5:$G$180&lt;&gt;"acoes")))*INDEX(Inputs!$K$5:$AJ$180,0,MATCH(I$2,Inputs!$K$4:$AJ$4,0)))+SUMPRODUCT((Inputs!$E$5:$E$180=$B8)*Inputs!$F$5:$F$180*(((Inputs!$G$5:$G$180="moeda")+(Inputs!$G$5:$G$180="acoes"))*Inputs!$B$1+((Inputs!$G$5:$G$180&lt;&gt;"moeda")*(Inputs!$G$5:$G$180&lt;&gt;"acoes")))*INDEX(Inputs!$K$5:$AJ$180,0,MATCH(I$2,Inputs!$K$4:$AJ$4,0)))))</f>
        <v>-85.80839103</v>
      </c>
      <c r="J8" s="6">
        <f>IF(ISNA(MATCH(J$2,Inputs!$K$4:$AJ$4,0)),NA(),IF(SUMPRODUCT((Inputs!$A$5:$A$180=$B8)*ISNUMBER(INDEX(Inputs!$K$5:$AJ$180,0,MATCH(J$2,Inputs!$K$4:$AJ$4,0))))+SUMPRODUCT((Inputs!$C$5:$C$180=$B8)*ISNUMBER(INDEX(Inputs!$K$5:$AJ$180,0,MATCH(J$2,Inputs!$K$4:$AJ$4,0))))+SUMPRODUCT((Inputs!$E$5:$E$180=$B8)*ISNUMBER(INDEX(Inputs!$K$5:$AJ$180,0,MATCH(J$2,Inputs!$K$4:$AJ$4,0))))=0,NA(),SUMPRODUCT((Inputs!$A$5:$A$180=$B8)*Inputs!$B$5:$B$180*(((Inputs!$G$5:$G$180="moeda")+(Inputs!$G$5:$G$180="acoes"))*Inputs!$B$1+((Inputs!$G$5:$G$180&lt;&gt;"moeda")*(Inputs!$G$5:$G$180&lt;&gt;"acoes")))*INDEX(Inputs!$K$5:$AJ$180,0,MATCH(J$2,Inputs!$K$4:$AJ$4,0)))+SUMPRODUCT((Inputs!$C$5:$C$180=$B8)*Inputs!$D$5:$D$180*(((Inputs!$G$5:$G$180="moeda")+(Inputs!$G$5:$G$180="acoes"))*Inputs!$B$1+((Inputs!$G$5:$G$180&lt;&gt;"moeda")*(Inputs!$G$5:$G$180&lt;&gt;"acoes")))*INDEX(Inputs!$K$5:$AJ$180,0,MATCH(J$2,Inputs!$K$4:$AJ$4,0)))+SUMPRODUCT((Inputs!$E$5:$E$180=$B8)*Inputs!$F$5:$F$180*(((Inputs!$G$5:$G$180="moeda")+(Inputs!$G$5:$G$180="acoes"))*Inputs!$B$1+((Inputs!$G$5:$G$180&lt;&gt;"moeda")*(Inputs!$G$5:$G$180&lt;&gt;"acoes")))*INDEX(Inputs!$K$5:$AJ$180,0,MATCH(J$2,Inputs!$K$4:$AJ$4,0)))))</f>
        <v>-107.82061116</v>
      </c>
      <c r="K8" s="6">
        <f>IF(ISNA(MATCH(K$2,Inputs!$K$4:$AJ$4,0)),NA(),IF(SUMPRODUCT((Inputs!$A$5:$A$180=$B8)*ISNUMBER(INDEX(Inputs!$K$5:$AJ$180,0,MATCH(K$2,Inputs!$K$4:$AJ$4,0))))+SUMPRODUCT((Inputs!$C$5:$C$180=$B8)*ISNUMBER(INDEX(Inputs!$K$5:$AJ$180,0,MATCH(K$2,Inputs!$K$4:$AJ$4,0))))+SUMPRODUCT((Inputs!$E$5:$E$180=$B8)*ISNUMBER(INDEX(Inputs!$K$5:$AJ$180,0,MATCH(K$2,Inputs!$K$4:$AJ$4,0))))=0,NA(),SUMPRODUCT((Inputs!$A$5:$A$180=$B8)*Inputs!$B$5:$B$180*(((Inputs!$G$5:$G$180="moeda")+(Inputs!$G$5:$G$180="acoes"))*Inputs!$B$1+((Inputs!$G$5:$G$180&lt;&gt;"moeda")*(Inputs!$G$5:$G$180&lt;&gt;"acoes")))*INDEX(Inputs!$K$5:$AJ$180,0,MATCH(K$2,Inputs!$K$4:$AJ$4,0)))+SUMPRODUCT((Inputs!$C$5:$C$180=$B8)*Inputs!$D$5:$D$180*(((Inputs!$G$5:$G$180="moeda")+(Inputs!$G$5:$G$180="acoes"))*Inputs!$B$1+((Inputs!$G$5:$G$180&lt;&gt;"moeda")*(Inputs!$G$5:$G$180&lt;&gt;"acoes")))*INDEX(Inputs!$K$5:$AJ$180,0,MATCH(K$2,Inputs!$K$4:$AJ$4,0)))+SUMPRODUCT((Inputs!$E$5:$E$180=$B8)*Inputs!$F$5:$F$180*(((Inputs!$G$5:$G$180="moeda")+(Inputs!$G$5:$G$180="acoes"))*Inputs!$B$1+((Inputs!$G$5:$G$180&lt;&gt;"moeda")*(Inputs!$G$5:$G$180&lt;&gt;"acoes")))*INDEX(Inputs!$K$5:$AJ$180,0,MATCH(K$2,Inputs!$K$4:$AJ$4,0)))))</f>
        <v>-128.3653378</v>
      </c>
      <c r="L8" s="6">
        <f>IF(ISNA(MATCH(L$2,Inputs!$K$4:$AJ$4,0)),NA(),IF(SUMPRODUCT((Inputs!$A$5:$A$180=$B8)*ISNUMBER(INDEX(Inputs!$K$5:$AJ$180,0,MATCH(L$2,Inputs!$K$4:$AJ$4,0))))+SUMPRODUCT((Inputs!$C$5:$C$180=$B8)*ISNUMBER(INDEX(Inputs!$K$5:$AJ$180,0,MATCH(L$2,Inputs!$K$4:$AJ$4,0))))+SUMPRODUCT((Inputs!$E$5:$E$180=$B8)*ISNUMBER(INDEX(Inputs!$K$5:$AJ$180,0,MATCH(L$2,Inputs!$K$4:$AJ$4,0))))=0,NA(),SUMPRODUCT((Inputs!$A$5:$A$180=$B8)*Inputs!$B$5:$B$180*(((Inputs!$G$5:$G$180="moeda")+(Inputs!$G$5:$G$180="acoes"))*Inputs!$B$1+((Inputs!$G$5:$G$180&lt;&gt;"moeda")*(Inputs!$G$5:$G$180&lt;&gt;"acoes")))*INDEX(Inputs!$K$5:$AJ$180,0,MATCH(L$2,Inputs!$K$4:$AJ$4,0)))+SUMPRODUCT((Inputs!$C$5:$C$180=$B8)*Inputs!$D$5:$D$180*(((Inputs!$G$5:$G$180="moeda")+(Inputs!$G$5:$G$180="acoes"))*Inputs!$B$1+((Inputs!$G$5:$G$180&lt;&gt;"moeda")*(Inputs!$G$5:$G$180&lt;&gt;"acoes")))*INDEX(Inputs!$K$5:$AJ$180,0,MATCH(L$2,Inputs!$K$4:$AJ$4,0)))+SUMPRODUCT((Inputs!$E$5:$E$180=$B8)*Inputs!$F$5:$F$180*(((Inputs!$G$5:$G$180="moeda")+(Inputs!$G$5:$G$180="acoes"))*Inputs!$B$1+((Inputs!$G$5:$G$180&lt;&gt;"moeda")*(Inputs!$G$5:$G$180&lt;&gt;"acoes")))*INDEX(Inputs!$K$5:$AJ$180,0,MATCH(L$2,Inputs!$K$4:$AJ$4,0)))))</f>
        <v>-121.0444737</v>
      </c>
      <c r="M8" s="3">
        <f>SUM(I8:L8)</f>
        <v>-443.03881369</v>
      </c>
      <c r="N8" s="6">
        <f>IF(ISNA(MATCH(N$2,Inputs!$K$4:$AJ$4,0)),NA(),IF(SUMPRODUCT((Inputs!$A$5:$A$180=$B8)*ISNUMBER(INDEX(Inputs!$K$5:$AJ$180,0,MATCH(N$2,Inputs!$K$4:$AJ$4,0))))+SUMPRODUCT((Inputs!$C$5:$C$180=$B8)*ISNUMBER(INDEX(Inputs!$K$5:$AJ$180,0,MATCH(N$2,Inputs!$K$4:$AJ$4,0))))+SUMPRODUCT((Inputs!$E$5:$E$180=$B8)*ISNUMBER(INDEX(Inputs!$K$5:$AJ$180,0,MATCH(N$2,Inputs!$K$4:$AJ$4,0))))=0,NA(),SUMPRODUCT((Inputs!$A$5:$A$180=$B8)*Inputs!$B$5:$B$180*(((Inputs!$G$5:$G$180="moeda")+(Inputs!$G$5:$G$180="acoes"))*Inputs!$B$1+((Inputs!$G$5:$G$180&lt;&gt;"moeda")*(Inputs!$G$5:$G$180&lt;&gt;"acoes")))*INDEX(Inputs!$K$5:$AJ$180,0,MATCH(N$2,Inputs!$K$4:$AJ$4,0)))+SUMPRODUCT((Inputs!$C$5:$C$180=$B8)*Inputs!$D$5:$D$180*(((Inputs!$G$5:$G$180="moeda")+(Inputs!$G$5:$G$180="acoes"))*Inputs!$B$1+((Inputs!$G$5:$G$180&lt;&gt;"moeda")*(Inputs!$G$5:$G$180&lt;&gt;"acoes")))*INDEX(Inputs!$K$5:$AJ$180,0,MATCH(N$2,Inputs!$K$4:$AJ$4,0)))+SUMPRODUCT((Inputs!$E$5:$E$180=$B8)*Inputs!$F$5:$F$180*(((Inputs!$G$5:$G$180="moeda")+(Inputs!$G$5:$G$180="acoes"))*Inputs!$B$1+((Inputs!$G$5:$G$180&lt;&gt;"moeda")*(Inputs!$G$5:$G$180&lt;&gt;"acoes")))*INDEX(Inputs!$K$5:$AJ$180,0,MATCH(N$2,Inputs!$K$4:$AJ$4,0)))))</f>
        <v>-134.54669035</v>
      </c>
      <c r="O8" s="6">
        <f>IF(ISNA(MATCH(O$2,Inputs!$K$4:$AJ$4,0)),NA(),IF(SUMPRODUCT((Inputs!$A$5:$A$180=$B8)*ISNUMBER(INDEX(Inputs!$K$5:$AJ$180,0,MATCH(O$2,Inputs!$K$4:$AJ$4,0))))+SUMPRODUCT((Inputs!$C$5:$C$180=$B8)*ISNUMBER(INDEX(Inputs!$K$5:$AJ$180,0,MATCH(O$2,Inputs!$K$4:$AJ$4,0))))+SUMPRODUCT((Inputs!$E$5:$E$180=$B8)*ISNUMBER(INDEX(Inputs!$K$5:$AJ$180,0,MATCH(O$2,Inputs!$K$4:$AJ$4,0))))=0,NA(),SUMPRODUCT((Inputs!$A$5:$A$180=$B8)*Inputs!$B$5:$B$180*(((Inputs!$G$5:$G$180="moeda")+(Inputs!$G$5:$G$180="acoes"))*Inputs!$B$1+((Inputs!$G$5:$G$180&lt;&gt;"moeda")*(Inputs!$G$5:$G$180&lt;&gt;"acoes")))*INDEX(Inputs!$K$5:$AJ$180,0,MATCH(O$2,Inputs!$K$4:$AJ$4,0)))+SUMPRODUCT((Inputs!$C$5:$C$180=$B8)*Inputs!$D$5:$D$180*(((Inputs!$G$5:$G$180="moeda")+(Inputs!$G$5:$G$180="acoes"))*Inputs!$B$1+((Inputs!$G$5:$G$180&lt;&gt;"moeda")*(Inputs!$G$5:$G$180&lt;&gt;"acoes")))*INDEX(Inputs!$K$5:$AJ$180,0,MATCH(O$2,Inputs!$K$4:$AJ$4,0)))+SUMPRODUCT((Inputs!$E$5:$E$180=$B8)*Inputs!$F$5:$F$180*(((Inputs!$G$5:$G$180="moeda")+(Inputs!$G$5:$G$180="acoes"))*Inputs!$B$1+((Inputs!$G$5:$G$180&lt;&gt;"moeda")*(Inputs!$G$5:$G$180&lt;&gt;"acoes")))*INDEX(Inputs!$K$5:$AJ$180,0,MATCH(O$2,Inputs!$K$4:$AJ$4,0)))))</f>
        <v>-158.388627</v>
      </c>
      <c r="P8" s="6">
        <f>IF(ISNA(MATCH(P$2,Inputs!$K$4:$AJ$4,0)),NA(),IF(SUMPRODUCT((Inputs!$A$5:$A$180=$B8)*ISNUMBER(INDEX(Inputs!$K$5:$AJ$180,0,MATCH(P$2,Inputs!$K$4:$AJ$4,0))))+SUMPRODUCT((Inputs!$C$5:$C$180=$B8)*ISNUMBER(INDEX(Inputs!$K$5:$AJ$180,0,MATCH(P$2,Inputs!$K$4:$AJ$4,0))))+SUMPRODUCT((Inputs!$E$5:$E$180=$B8)*ISNUMBER(INDEX(Inputs!$K$5:$AJ$180,0,MATCH(P$2,Inputs!$K$4:$AJ$4,0))))=0,NA(),SUMPRODUCT((Inputs!$A$5:$A$180=$B8)*Inputs!$B$5:$B$180*(((Inputs!$G$5:$G$180="moeda")+(Inputs!$G$5:$G$180="acoes"))*Inputs!$B$1+((Inputs!$G$5:$G$180&lt;&gt;"moeda")*(Inputs!$G$5:$G$180&lt;&gt;"acoes")))*INDEX(Inputs!$K$5:$AJ$180,0,MATCH(P$2,Inputs!$K$4:$AJ$4,0)))+SUMPRODUCT((Inputs!$C$5:$C$180=$B8)*Inputs!$D$5:$D$180*(((Inputs!$G$5:$G$180="moeda")+(Inputs!$G$5:$G$180="acoes"))*Inputs!$B$1+((Inputs!$G$5:$G$180&lt;&gt;"moeda")*(Inputs!$G$5:$G$180&lt;&gt;"acoes")))*INDEX(Inputs!$K$5:$AJ$180,0,MATCH(P$2,Inputs!$K$4:$AJ$4,0)))+SUMPRODUCT((Inputs!$E$5:$E$180=$B8)*Inputs!$F$5:$F$180*(((Inputs!$G$5:$G$180="moeda")+(Inputs!$G$5:$G$180="acoes"))*Inputs!$B$1+((Inputs!$G$5:$G$180&lt;&gt;"moeda")*(Inputs!$G$5:$G$180&lt;&gt;"acoes")))*INDEX(Inputs!$K$5:$AJ$180,0,MATCH(P$2,Inputs!$K$4:$AJ$4,0)))))</f>
        <v>-163.758</v>
      </c>
      <c r="Q8" s="6">
        <f>IF(ISNA(MATCH(Q$2,Inputs!$K$4:$AJ$4,0)),NA(),IF(SUMPRODUCT((Inputs!$A$5:$A$180=$B8)*ISNUMBER(INDEX(Inputs!$K$5:$AJ$180,0,MATCH(Q$2,Inputs!$K$4:$AJ$4,0))))+SUMPRODUCT((Inputs!$C$5:$C$180=$B8)*ISNUMBER(INDEX(Inputs!$K$5:$AJ$180,0,MATCH(Q$2,Inputs!$K$4:$AJ$4,0))))+SUMPRODUCT((Inputs!$E$5:$E$180=$B8)*ISNUMBER(INDEX(Inputs!$K$5:$AJ$180,0,MATCH(Q$2,Inputs!$K$4:$AJ$4,0))))=0,NA(),SUMPRODUCT((Inputs!$A$5:$A$180=$B8)*Inputs!$B$5:$B$180*(((Inputs!$G$5:$G$180="moeda")+(Inputs!$G$5:$G$180="acoes"))*Inputs!$B$1+((Inputs!$G$5:$G$180&lt;&gt;"moeda")*(Inputs!$G$5:$G$180&lt;&gt;"acoes")))*INDEX(Inputs!$K$5:$AJ$180,0,MATCH(Q$2,Inputs!$K$4:$AJ$4,0)))+SUMPRODUCT((Inputs!$C$5:$C$180=$B8)*Inputs!$D$5:$D$180*(((Inputs!$G$5:$G$180="moeda")+(Inputs!$G$5:$G$180="acoes"))*Inputs!$B$1+((Inputs!$G$5:$G$180&lt;&gt;"moeda")*(Inputs!$G$5:$G$180&lt;&gt;"acoes")))*INDEX(Inputs!$K$5:$AJ$180,0,MATCH(Q$2,Inputs!$K$4:$AJ$4,0)))+SUMPRODUCT((Inputs!$E$5:$E$180=$B8)*Inputs!$F$5:$F$180*(((Inputs!$G$5:$G$180="moeda")+(Inputs!$G$5:$G$180="acoes"))*Inputs!$B$1+((Inputs!$G$5:$G$180&lt;&gt;"moeda")*(Inputs!$G$5:$G$180&lt;&gt;"acoes")))*INDEX(Inputs!$K$5:$AJ$180,0,MATCH(Q$2,Inputs!$K$4:$AJ$4,0)))))</f>
        <v>-148.22368265</v>
      </c>
      <c r="R8" s="3">
        <f>SUM(N8:Q8)</f>
        <v>-604.917</v>
      </c>
      <c r="S8" s="6">
        <f>IF(ISNA(MATCH(S$2,Inputs!$K$4:$AJ$4,0)),NA(),IF(SUMPRODUCT((Inputs!$A$5:$A$180=$B8)*ISNUMBER(INDEX(Inputs!$K$5:$AJ$180,0,MATCH(S$2,Inputs!$K$4:$AJ$4,0))))+SUMPRODUCT((Inputs!$C$5:$C$180=$B8)*ISNUMBER(INDEX(Inputs!$K$5:$AJ$180,0,MATCH(S$2,Inputs!$K$4:$AJ$4,0))))+SUMPRODUCT((Inputs!$E$5:$E$180=$B8)*ISNUMBER(INDEX(Inputs!$K$5:$AJ$180,0,MATCH(S$2,Inputs!$K$4:$AJ$4,0))))=0,NA(),SUMPRODUCT((Inputs!$A$5:$A$180=$B8)*Inputs!$B$5:$B$180*(((Inputs!$G$5:$G$180="moeda")+(Inputs!$G$5:$G$180="acoes"))*Inputs!$B$1+((Inputs!$G$5:$G$180&lt;&gt;"moeda")*(Inputs!$G$5:$G$180&lt;&gt;"acoes")))*INDEX(Inputs!$K$5:$AJ$180,0,MATCH(S$2,Inputs!$K$4:$AJ$4,0)))+SUMPRODUCT((Inputs!$C$5:$C$180=$B8)*Inputs!$D$5:$D$180*(((Inputs!$G$5:$G$180="moeda")+(Inputs!$G$5:$G$180="acoes"))*Inputs!$B$1+((Inputs!$G$5:$G$180&lt;&gt;"moeda")*(Inputs!$G$5:$G$180&lt;&gt;"acoes")))*INDEX(Inputs!$K$5:$AJ$180,0,MATCH(S$2,Inputs!$K$4:$AJ$4,0)))+SUMPRODUCT((Inputs!$E$5:$E$180=$B8)*Inputs!$F$5:$F$180*(((Inputs!$G$5:$G$180="moeda")+(Inputs!$G$5:$G$180="acoes"))*Inputs!$B$1+((Inputs!$G$5:$G$180&lt;&gt;"moeda")*(Inputs!$G$5:$G$180&lt;&gt;"acoes")))*INDEX(Inputs!$K$5:$AJ$180,0,MATCH(S$2,Inputs!$K$4:$AJ$4,0)))))</f>
        <v>-146.74136103</v>
      </c>
      <c r="T8" s="6">
        <f>IF(ISNA(MATCH(T$2,Inputs!$K$4:$AJ$4,0)),NA(),IF(SUMPRODUCT((Inputs!$A$5:$A$180=$B8)*ISNUMBER(INDEX(Inputs!$K$5:$AJ$180,0,MATCH(T$2,Inputs!$K$4:$AJ$4,0))))+SUMPRODUCT((Inputs!$C$5:$C$180=$B8)*ISNUMBER(INDEX(Inputs!$K$5:$AJ$180,0,MATCH(T$2,Inputs!$K$4:$AJ$4,0))))+SUMPRODUCT((Inputs!$E$5:$E$180=$B8)*ISNUMBER(INDEX(Inputs!$K$5:$AJ$180,0,MATCH(T$2,Inputs!$K$4:$AJ$4,0))))=0,NA(),SUMPRODUCT((Inputs!$A$5:$A$180=$B8)*Inputs!$B$5:$B$180*(((Inputs!$G$5:$G$180="moeda")+(Inputs!$G$5:$G$180="acoes"))*Inputs!$B$1+((Inputs!$G$5:$G$180&lt;&gt;"moeda")*(Inputs!$G$5:$G$180&lt;&gt;"acoes")))*INDEX(Inputs!$K$5:$AJ$180,0,MATCH(T$2,Inputs!$K$4:$AJ$4,0)))+SUMPRODUCT((Inputs!$C$5:$C$180=$B8)*Inputs!$D$5:$D$180*(((Inputs!$G$5:$G$180="moeda")+(Inputs!$G$5:$G$180="acoes"))*Inputs!$B$1+((Inputs!$G$5:$G$180&lt;&gt;"moeda")*(Inputs!$G$5:$G$180&lt;&gt;"acoes")))*INDEX(Inputs!$K$5:$AJ$180,0,MATCH(T$2,Inputs!$K$4:$AJ$4,0)))+SUMPRODUCT((Inputs!$E$5:$E$180=$B8)*Inputs!$F$5:$F$180*(((Inputs!$G$5:$G$180="moeda")+(Inputs!$G$5:$G$180="acoes"))*Inputs!$B$1+((Inputs!$G$5:$G$180&lt;&gt;"moeda")*(Inputs!$G$5:$G$180&lt;&gt;"acoes")))*INDEX(Inputs!$K$5:$AJ$180,0,MATCH(T$2,Inputs!$K$4:$AJ$4,0)))))</f>
        <v>-140.543</v>
      </c>
      <c r="U8" s="6">
        <f>IF(ISNA(MATCH(U$2,Inputs!$K$4:$AJ$4,0)),NA(),IF(SUMPRODUCT((Inputs!$A$5:$A$180=$B8)*ISNUMBER(INDEX(Inputs!$K$5:$AJ$180,0,MATCH(U$2,Inputs!$K$4:$AJ$4,0))))+SUMPRODUCT((Inputs!$C$5:$C$180=$B8)*ISNUMBER(INDEX(Inputs!$K$5:$AJ$180,0,MATCH(U$2,Inputs!$K$4:$AJ$4,0))))+SUMPRODUCT((Inputs!$E$5:$E$180=$B8)*ISNUMBER(INDEX(Inputs!$K$5:$AJ$180,0,MATCH(U$2,Inputs!$K$4:$AJ$4,0))))=0,NA(),SUMPRODUCT((Inputs!$A$5:$A$180=$B8)*Inputs!$B$5:$B$180*(((Inputs!$G$5:$G$180="moeda")+(Inputs!$G$5:$G$180="acoes"))*Inputs!$B$1+((Inputs!$G$5:$G$180&lt;&gt;"moeda")*(Inputs!$G$5:$G$180&lt;&gt;"acoes")))*INDEX(Inputs!$K$5:$AJ$180,0,MATCH(U$2,Inputs!$K$4:$AJ$4,0)))+SUMPRODUCT((Inputs!$C$5:$C$180=$B8)*Inputs!$D$5:$D$180*(((Inputs!$G$5:$G$180="moeda")+(Inputs!$G$5:$G$180="acoes"))*Inputs!$B$1+((Inputs!$G$5:$G$180&lt;&gt;"moeda")*(Inputs!$G$5:$G$180&lt;&gt;"acoes")))*INDEX(Inputs!$K$5:$AJ$180,0,MATCH(U$2,Inputs!$K$4:$AJ$4,0)))+SUMPRODUCT((Inputs!$E$5:$E$180=$B8)*Inputs!$F$5:$F$180*(((Inputs!$G$5:$G$180="moeda")+(Inputs!$G$5:$G$180="acoes"))*Inputs!$B$1+((Inputs!$G$5:$G$180&lt;&gt;"moeda")*(Inputs!$G$5:$G$180&lt;&gt;"acoes")))*INDEX(Inputs!$K$5:$AJ$180,0,MATCH(U$2,Inputs!$K$4:$AJ$4,0)))))</f>
        <v>-158.257</v>
      </c>
      <c r="V8" s="6">
        <f>IF(ISNA(MATCH(V$2,Inputs!$K$4:$AJ$4,0)),NA(),IF(SUMPRODUCT((Inputs!$A$5:$A$180=$B8)*ISNUMBER(INDEX(Inputs!$K$5:$AJ$180,0,MATCH(V$2,Inputs!$K$4:$AJ$4,0))))+SUMPRODUCT((Inputs!$C$5:$C$180=$B8)*ISNUMBER(INDEX(Inputs!$K$5:$AJ$180,0,MATCH(V$2,Inputs!$K$4:$AJ$4,0))))+SUMPRODUCT((Inputs!$E$5:$E$180=$B8)*ISNUMBER(INDEX(Inputs!$K$5:$AJ$180,0,MATCH(V$2,Inputs!$K$4:$AJ$4,0))))=0,NA(),SUMPRODUCT((Inputs!$A$5:$A$180=$B8)*Inputs!$B$5:$B$180*(((Inputs!$G$5:$G$180="moeda")+(Inputs!$G$5:$G$180="acoes"))*Inputs!$B$1+((Inputs!$G$5:$G$180&lt;&gt;"moeda")*(Inputs!$G$5:$G$180&lt;&gt;"acoes")))*INDEX(Inputs!$K$5:$AJ$180,0,MATCH(V$2,Inputs!$K$4:$AJ$4,0)))+SUMPRODUCT((Inputs!$C$5:$C$180=$B8)*Inputs!$D$5:$D$180*(((Inputs!$G$5:$G$180="moeda")+(Inputs!$G$5:$G$180="acoes"))*Inputs!$B$1+((Inputs!$G$5:$G$180&lt;&gt;"moeda")*(Inputs!$G$5:$G$180&lt;&gt;"acoes")))*INDEX(Inputs!$K$5:$AJ$180,0,MATCH(V$2,Inputs!$K$4:$AJ$4,0)))+SUMPRODUCT((Inputs!$E$5:$E$180=$B8)*Inputs!$F$5:$F$180*(((Inputs!$G$5:$G$180="moeda")+(Inputs!$G$5:$G$180="acoes"))*Inputs!$B$1+((Inputs!$G$5:$G$180&lt;&gt;"moeda")*(Inputs!$G$5:$G$180&lt;&gt;"acoes")))*INDEX(Inputs!$K$5:$AJ$180,0,MATCH(V$2,Inputs!$K$4:$AJ$4,0)))))</f>
        <v>-171.25363897</v>
      </c>
      <c r="W8" s="3">
        <f>SUM(S8:V8)</f>
        <v>-616.795</v>
      </c>
      <c r="X8" s="6">
        <f>IF(ISNA(MATCH(X$2,Inputs!$K$4:$AJ$4,0)),NA(),IF(SUMPRODUCT((Inputs!$A$5:$A$180=$B8)*ISNUMBER(INDEX(Inputs!$K$5:$AJ$180,0,MATCH(X$2,Inputs!$K$4:$AJ$4,0))))+SUMPRODUCT((Inputs!$C$5:$C$180=$B8)*ISNUMBER(INDEX(Inputs!$K$5:$AJ$180,0,MATCH(X$2,Inputs!$K$4:$AJ$4,0))))+SUMPRODUCT((Inputs!$E$5:$E$180=$B8)*ISNUMBER(INDEX(Inputs!$K$5:$AJ$180,0,MATCH(X$2,Inputs!$K$4:$AJ$4,0))))=0,NA(),SUMPRODUCT((Inputs!$A$5:$A$180=$B8)*Inputs!$B$5:$B$180*(((Inputs!$G$5:$G$180="moeda")+(Inputs!$G$5:$G$180="acoes"))*Inputs!$B$1+((Inputs!$G$5:$G$180&lt;&gt;"moeda")*(Inputs!$G$5:$G$180&lt;&gt;"acoes")))*INDEX(Inputs!$K$5:$AJ$180,0,MATCH(X$2,Inputs!$K$4:$AJ$4,0)))+SUMPRODUCT((Inputs!$C$5:$C$180=$B8)*Inputs!$D$5:$D$180*(((Inputs!$G$5:$G$180="moeda")+(Inputs!$G$5:$G$180="acoes"))*Inputs!$B$1+((Inputs!$G$5:$G$180&lt;&gt;"moeda")*(Inputs!$G$5:$G$180&lt;&gt;"acoes")))*INDEX(Inputs!$K$5:$AJ$180,0,MATCH(X$2,Inputs!$K$4:$AJ$4,0)))+SUMPRODUCT((Inputs!$E$5:$E$180=$B8)*Inputs!$F$5:$F$180*(((Inputs!$G$5:$G$180="moeda")+(Inputs!$G$5:$G$180="acoes"))*Inputs!$B$1+((Inputs!$G$5:$G$180&lt;&gt;"moeda")*(Inputs!$G$5:$G$180&lt;&gt;"acoes")))*INDEX(Inputs!$K$5:$AJ$180,0,MATCH(X$2,Inputs!$K$4:$AJ$4,0)))))</f>
        <v>-182.470204</v>
      </c>
      <c r="Y8" s="6">
        <f>IF(ISNA(MATCH(Y$2,Inputs!$K$4:$AJ$4,0)),NA(),IF(SUMPRODUCT((Inputs!$A$5:$A$180=$B8)*ISNUMBER(INDEX(Inputs!$K$5:$AJ$180,0,MATCH(Y$2,Inputs!$K$4:$AJ$4,0))))+SUMPRODUCT((Inputs!$C$5:$C$180=$B8)*ISNUMBER(INDEX(Inputs!$K$5:$AJ$180,0,MATCH(Y$2,Inputs!$K$4:$AJ$4,0))))+SUMPRODUCT((Inputs!$E$5:$E$180=$B8)*ISNUMBER(INDEX(Inputs!$K$5:$AJ$180,0,MATCH(Y$2,Inputs!$K$4:$AJ$4,0))))=0,NA(),SUMPRODUCT((Inputs!$A$5:$A$180=$B8)*Inputs!$B$5:$B$180*(((Inputs!$G$5:$G$180="moeda")+(Inputs!$G$5:$G$180="acoes"))*Inputs!$B$1+((Inputs!$G$5:$G$180&lt;&gt;"moeda")*(Inputs!$G$5:$G$180&lt;&gt;"acoes")))*INDEX(Inputs!$K$5:$AJ$180,0,MATCH(Y$2,Inputs!$K$4:$AJ$4,0)))+SUMPRODUCT((Inputs!$C$5:$C$180=$B8)*Inputs!$D$5:$D$180*(((Inputs!$G$5:$G$180="moeda")+(Inputs!$G$5:$G$180="acoes"))*Inputs!$B$1+((Inputs!$G$5:$G$180&lt;&gt;"moeda")*(Inputs!$G$5:$G$180&lt;&gt;"acoes")))*INDEX(Inputs!$K$5:$AJ$180,0,MATCH(Y$2,Inputs!$K$4:$AJ$4,0)))+SUMPRODUCT((Inputs!$E$5:$E$180=$B8)*Inputs!$F$5:$F$180*(((Inputs!$G$5:$G$180="moeda")+(Inputs!$G$5:$G$180="acoes"))*Inputs!$B$1+((Inputs!$G$5:$G$180&lt;&gt;"moeda")*(Inputs!$G$5:$G$180&lt;&gt;"acoes")))*INDEX(Inputs!$K$5:$AJ$180,0,MATCH(Y$2,Inputs!$K$4:$AJ$4,0)))))</f>
        <v>-198.558</v>
      </c>
      <c r="Z8" s="6">
        <f>IF(ISNA(MATCH(Z$2,Inputs!$K$4:$AJ$4,0)),NA(),IF(SUMPRODUCT((Inputs!$A$5:$A$180=$B8)*ISNUMBER(INDEX(Inputs!$K$5:$AJ$180,0,MATCH(Z$2,Inputs!$K$4:$AJ$4,0))))+SUMPRODUCT((Inputs!$C$5:$C$180=$B8)*ISNUMBER(INDEX(Inputs!$K$5:$AJ$180,0,MATCH(Z$2,Inputs!$K$4:$AJ$4,0))))+SUMPRODUCT((Inputs!$E$5:$E$180=$B8)*ISNUMBER(INDEX(Inputs!$K$5:$AJ$180,0,MATCH(Z$2,Inputs!$K$4:$AJ$4,0))))=0,NA(),SUMPRODUCT((Inputs!$A$5:$A$180=$B8)*Inputs!$B$5:$B$180*(((Inputs!$G$5:$G$180="moeda")+(Inputs!$G$5:$G$180="acoes"))*Inputs!$B$1+((Inputs!$G$5:$G$180&lt;&gt;"moeda")*(Inputs!$G$5:$G$180&lt;&gt;"acoes")))*INDEX(Inputs!$K$5:$AJ$180,0,MATCH(Z$2,Inputs!$K$4:$AJ$4,0)))+SUMPRODUCT((Inputs!$C$5:$C$180=$B8)*Inputs!$D$5:$D$180*(((Inputs!$G$5:$G$180="moeda")+(Inputs!$G$5:$G$180="acoes"))*Inputs!$B$1+((Inputs!$G$5:$G$180&lt;&gt;"moeda")*(Inputs!$G$5:$G$180&lt;&gt;"acoes")))*INDEX(Inputs!$K$5:$AJ$180,0,MATCH(Z$2,Inputs!$K$4:$AJ$4,0)))+SUMPRODUCT((Inputs!$E$5:$E$180=$B8)*Inputs!$F$5:$F$180*(((Inputs!$G$5:$G$180="moeda")+(Inputs!$G$5:$G$180="acoes"))*Inputs!$B$1+((Inputs!$G$5:$G$180&lt;&gt;"moeda")*(Inputs!$G$5:$G$180&lt;&gt;"acoes")))*INDEX(Inputs!$K$5:$AJ$180,0,MATCH(Z$2,Inputs!$K$4:$AJ$4,0)))))</f>
        <v>-220.2903303</v>
      </c>
      <c r="AA8" s="6">
        <f>IF(ISNA(MATCH(AA$2,Inputs!$K$4:$AJ$4,0)),NA(),IF(SUMPRODUCT((Inputs!$A$5:$A$180=$B8)*ISNUMBER(INDEX(Inputs!$K$5:$AJ$180,0,MATCH(AA$2,Inputs!$K$4:$AJ$4,0))))+SUMPRODUCT((Inputs!$C$5:$C$180=$B8)*ISNUMBER(INDEX(Inputs!$K$5:$AJ$180,0,MATCH(AA$2,Inputs!$K$4:$AJ$4,0))))+SUMPRODUCT((Inputs!$E$5:$E$180=$B8)*ISNUMBER(INDEX(Inputs!$K$5:$AJ$180,0,MATCH(AA$2,Inputs!$K$4:$AJ$4,0))))=0,NA(),SUMPRODUCT((Inputs!$A$5:$A$180=$B8)*Inputs!$B$5:$B$180*(((Inputs!$G$5:$G$180="moeda")+(Inputs!$G$5:$G$180="acoes"))*Inputs!$B$1+((Inputs!$G$5:$G$180&lt;&gt;"moeda")*(Inputs!$G$5:$G$180&lt;&gt;"acoes")))*INDEX(Inputs!$K$5:$AJ$180,0,MATCH(AA$2,Inputs!$K$4:$AJ$4,0)))+SUMPRODUCT((Inputs!$C$5:$C$180=$B8)*Inputs!$D$5:$D$180*(((Inputs!$G$5:$G$180="moeda")+(Inputs!$G$5:$G$180="acoes"))*Inputs!$B$1+((Inputs!$G$5:$G$180&lt;&gt;"moeda")*(Inputs!$G$5:$G$180&lt;&gt;"acoes")))*INDEX(Inputs!$K$5:$AJ$180,0,MATCH(AA$2,Inputs!$K$4:$AJ$4,0)))+SUMPRODUCT((Inputs!$E$5:$E$180=$B8)*Inputs!$F$5:$F$180*(((Inputs!$G$5:$G$180="moeda")+(Inputs!$G$5:$G$180="acoes"))*Inputs!$B$1+((Inputs!$G$5:$G$180&lt;&gt;"moeda")*(Inputs!$G$5:$G$180&lt;&gt;"acoes")))*INDEX(Inputs!$K$5:$AJ$180,0,MATCH(AA$2,Inputs!$K$4:$AJ$4,0)))))</f>
        <v>-202.05934008</v>
      </c>
      <c r="AB8" s="3">
        <f>SUM(X8:AA8)</f>
        <v>-803.37787438</v>
      </c>
      <c r="AC8" s="6">
        <f>IF(ISNA(MATCH(AC$2,Inputs!$K$4:$AJ$4,0)),NA(),IF(SUMPRODUCT((Inputs!$A$5:$A$180=$B8)*ISNUMBER(INDEX(Inputs!$K$5:$AJ$180,0,MATCH(AC$2,Inputs!$K$4:$AJ$4,0))))+SUMPRODUCT((Inputs!$C$5:$C$180=$B8)*ISNUMBER(INDEX(Inputs!$K$5:$AJ$180,0,MATCH(AC$2,Inputs!$K$4:$AJ$4,0))))+SUMPRODUCT((Inputs!$E$5:$E$180=$B8)*ISNUMBER(INDEX(Inputs!$K$5:$AJ$180,0,MATCH(AC$2,Inputs!$K$4:$AJ$4,0))))=0,NA(),SUMPRODUCT((Inputs!$A$5:$A$180=$B8)*Inputs!$B$5:$B$180*(((Inputs!$G$5:$G$180="moeda")+(Inputs!$G$5:$G$180="acoes"))*Inputs!$B$1+((Inputs!$G$5:$G$180&lt;&gt;"moeda")*(Inputs!$G$5:$G$180&lt;&gt;"acoes")))*INDEX(Inputs!$K$5:$AJ$180,0,MATCH(AC$2,Inputs!$K$4:$AJ$4,0)))+SUMPRODUCT((Inputs!$C$5:$C$180=$B8)*Inputs!$D$5:$D$180*(((Inputs!$G$5:$G$180="moeda")+(Inputs!$G$5:$G$180="acoes"))*Inputs!$B$1+((Inputs!$G$5:$G$180&lt;&gt;"moeda")*(Inputs!$G$5:$G$180&lt;&gt;"acoes")))*INDEX(Inputs!$K$5:$AJ$180,0,MATCH(AC$2,Inputs!$K$4:$AJ$4,0)))+SUMPRODUCT((Inputs!$E$5:$E$180=$B8)*Inputs!$F$5:$F$180*(((Inputs!$G$5:$G$180="moeda")+(Inputs!$G$5:$G$180="acoes"))*Inputs!$B$1+((Inputs!$G$5:$G$180&lt;&gt;"moeda")*(Inputs!$G$5:$G$180&lt;&gt;"acoes")))*INDEX(Inputs!$K$5:$AJ$180,0,MATCH(AC$2,Inputs!$K$4:$AJ$4,0)))))</f>
        <v>-195.87519551</v>
      </c>
      <c r="AD8" s="6">
        <f>IF(ISNA(MATCH(AD$2,Inputs!$K$4:$AJ$4,0)),NA(),IF(SUMPRODUCT((Inputs!$A$5:$A$180=$B8)*ISNUMBER(INDEX(Inputs!$K$5:$AJ$180,0,MATCH(AD$2,Inputs!$K$4:$AJ$4,0))))+SUMPRODUCT((Inputs!$C$5:$C$180=$B8)*ISNUMBER(INDEX(Inputs!$K$5:$AJ$180,0,MATCH(AD$2,Inputs!$K$4:$AJ$4,0))))+SUMPRODUCT((Inputs!$E$5:$E$180=$B8)*ISNUMBER(INDEX(Inputs!$K$5:$AJ$180,0,MATCH(AD$2,Inputs!$K$4:$AJ$4,0))))=0,NA(),SUMPRODUCT((Inputs!$A$5:$A$180=$B8)*Inputs!$B$5:$B$180*(((Inputs!$G$5:$G$180="moeda")+(Inputs!$G$5:$G$180="acoes"))*Inputs!$B$1+((Inputs!$G$5:$G$180&lt;&gt;"moeda")*(Inputs!$G$5:$G$180&lt;&gt;"acoes")))*INDEX(Inputs!$K$5:$AJ$180,0,MATCH(AD$2,Inputs!$K$4:$AJ$4,0)))+SUMPRODUCT((Inputs!$C$5:$C$180=$B8)*Inputs!$D$5:$D$180*(((Inputs!$G$5:$G$180="moeda")+(Inputs!$G$5:$G$180="acoes"))*Inputs!$B$1+((Inputs!$G$5:$G$180&lt;&gt;"moeda")*(Inputs!$G$5:$G$180&lt;&gt;"acoes")))*INDEX(Inputs!$K$5:$AJ$180,0,MATCH(AD$2,Inputs!$K$4:$AJ$4,0)))+SUMPRODUCT((Inputs!$E$5:$E$180=$B8)*Inputs!$F$5:$F$180*(((Inputs!$G$5:$G$180="moeda")+(Inputs!$G$5:$G$180="acoes"))*Inputs!$B$1+((Inputs!$G$5:$G$180&lt;&gt;"moeda")*(Inputs!$G$5:$G$180&lt;&gt;"acoes")))*INDEX(Inputs!$K$5:$AJ$180,0,MATCH(AD$2,Inputs!$K$4:$AJ$4,0)))))</f>
        <v>-190.784577</v>
      </c>
      <c r="AE8" s="6" t="e">
        <f>IF(ISNA(MATCH(AE$2,Inputs!$K$4:$AJ$4,0)),NA(),IF(SUMPRODUCT((Inputs!$A$5:$A$180=$B8)*ISNUMBER(INDEX(Inputs!$K$5:$AJ$180,0,MATCH(AE$2,Inputs!$K$4:$AJ$4,0))))+SUMPRODUCT((Inputs!$C$5:$C$180=$B8)*ISNUMBER(INDEX(Inputs!$K$5:$AJ$180,0,MATCH(AE$2,Inputs!$K$4:$AJ$4,0))))+SUMPRODUCT((Inputs!$E$5:$E$180=$B8)*ISNUMBER(INDEX(Inputs!$K$5:$AJ$180,0,MATCH(AE$2,Inputs!$K$4:$AJ$4,0))))=0,NA(),SUMPRODUCT((Inputs!$A$5:$A$180=$B8)*Inputs!$B$5:$B$180*(((Inputs!$G$5:$G$180="moeda")+(Inputs!$G$5:$G$180="acoes"))*Inputs!$B$1+((Inputs!$G$5:$G$180&lt;&gt;"moeda")*(Inputs!$G$5:$G$180&lt;&gt;"acoes")))*INDEX(Inputs!$K$5:$AJ$180,0,MATCH(AE$2,Inputs!$K$4:$AJ$4,0)))+SUMPRODUCT((Inputs!$C$5:$C$180=$B8)*Inputs!$D$5:$D$180*(((Inputs!$G$5:$G$180="moeda")+(Inputs!$G$5:$G$180="acoes"))*Inputs!$B$1+((Inputs!$G$5:$G$180&lt;&gt;"moeda")*(Inputs!$G$5:$G$180&lt;&gt;"acoes")))*INDEX(Inputs!$K$5:$AJ$180,0,MATCH(AE$2,Inputs!$K$4:$AJ$4,0)))+SUMPRODUCT((Inputs!$E$5:$E$180=$B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8" s="6" t="e">
        <f>IF(ISNA(MATCH(AF$2,Inputs!$K$4:$AJ$4,0)),NA(),IF(SUMPRODUCT((Inputs!$A$5:$A$180=$B8)*ISNUMBER(INDEX(Inputs!$K$5:$AJ$180,0,MATCH(AF$2,Inputs!$K$4:$AJ$4,0))))+SUMPRODUCT((Inputs!$C$5:$C$180=$B8)*ISNUMBER(INDEX(Inputs!$K$5:$AJ$180,0,MATCH(AF$2,Inputs!$K$4:$AJ$4,0))))+SUMPRODUCT((Inputs!$E$5:$E$180=$B8)*ISNUMBER(INDEX(Inputs!$K$5:$AJ$180,0,MATCH(AF$2,Inputs!$K$4:$AJ$4,0))))=0,NA(),SUMPRODUCT((Inputs!$A$5:$A$180=$B8)*Inputs!$B$5:$B$180*(((Inputs!$G$5:$G$180="moeda")+(Inputs!$G$5:$G$180="acoes"))*Inputs!$B$1+((Inputs!$G$5:$G$180&lt;&gt;"moeda")*(Inputs!$G$5:$G$180&lt;&gt;"acoes")))*INDEX(Inputs!$K$5:$AJ$180,0,MATCH(AF$2,Inputs!$K$4:$AJ$4,0)))+SUMPRODUCT((Inputs!$C$5:$C$180=$B8)*Inputs!$D$5:$D$180*(((Inputs!$G$5:$G$180="moeda")+(Inputs!$G$5:$G$180="acoes"))*Inputs!$B$1+((Inputs!$G$5:$G$180&lt;&gt;"moeda")*(Inputs!$G$5:$G$180&lt;&gt;"acoes")))*INDEX(Inputs!$K$5:$AJ$180,0,MATCH(AF$2,Inputs!$K$4:$AJ$4,0)))+SUMPRODUCT((Inputs!$E$5:$E$180=$B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8" s="3" t="e">
        <f>SUM(AC8:AF8)</f>
        <v>#N/A</v>
      </c>
      <c r="AH8" s="6">
        <f>IF(ISNA(MATCH(AH$2,Inputs!$K$4:$AJ$4,0)),NA(),IF(SUMPRODUCT((Inputs!$A$5:$A$180=$B8)*ISNUMBER(INDEX(Inputs!$K$5:$AJ$180,0,MATCH(AH$2,Inputs!$K$4:$AJ$4,0))))+SUMPRODUCT((Inputs!$C$5:$C$180=$B8)*ISNUMBER(INDEX(Inputs!$K$5:$AJ$180,0,MATCH(AH$2,Inputs!$K$4:$AJ$4,0))))+SUMPRODUCT((Inputs!$E$5:$E$180=$B8)*ISNUMBER(INDEX(Inputs!$K$5:$AJ$180,0,MATCH(AH$2,Inputs!$K$4:$AJ$4,0))))=0,NA(),SUMPRODUCT((Inputs!$A$5:$A$180=$B8)*Inputs!$B$5:$B$180*(((Inputs!$G$5:$G$180="moeda")+(Inputs!$G$5:$G$180="acoes"))*Inputs!$B$1+((Inputs!$G$5:$G$180&lt;&gt;"moeda")*(Inputs!$G$5:$G$180&lt;&gt;"acoes")))*INDEX(Inputs!$K$5:$AJ$180,0,MATCH(AH$2,Inputs!$K$4:$AJ$4,0)))+SUMPRODUCT((Inputs!$C$5:$C$180=$B8)*Inputs!$D$5:$D$180*(((Inputs!$G$5:$G$180="moeda")+(Inputs!$G$5:$G$180="acoes"))*Inputs!$B$1+((Inputs!$G$5:$G$180&lt;&gt;"moeda")*(Inputs!$G$5:$G$180&lt;&gt;"acoes")))*INDEX(Inputs!$K$5:$AJ$180,0,MATCH(AH$2,Inputs!$K$4:$AJ$4,0)))+SUMPRODUCT((Inputs!$E$5:$E$180=$B8)*Inputs!$F$5:$F$180*(((Inputs!$G$5:$G$180="moeda")+(Inputs!$G$5:$G$180="acoes"))*Inputs!$B$1+((Inputs!$G$5:$G$180&lt;&gt;"moeda")*(Inputs!$G$5:$G$180&lt;&gt;"acoes")))*INDEX(Inputs!$K$5:$AJ$180,0,MATCH(AH$2,Inputs!$K$4:$AJ$4,0)))))</f>
        <v>-38.71850578</v>
      </c>
      <c r="AI8" s="6">
        <f>IF(ISNA(MATCH(AI$2,Inputs!$K$4:$AJ$4,0)),NA(),IF(SUMPRODUCT((Inputs!$A$5:$A$180=$B8)*ISNUMBER(INDEX(Inputs!$K$5:$AJ$180,0,MATCH(AI$2,Inputs!$K$4:$AJ$4,0))))+SUMPRODUCT((Inputs!$C$5:$C$180=$B8)*ISNUMBER(INDEX(Inputs!$K$5:$AJ$180,0,MATCH(AI$2,Inputs!$K$4:$AJ$4,0))))+SUMPRODUCT((Inputs!$E$5:$E$180=$B8)*ISNUMBER(INDEX(Inputs!$K$5:$AJ$180,0,MATCH(AI$2,Inputs!$K$4:$AJ$4,0))))=0,NA(),SUMPRODUCT((Inputs!$A$5:$A$180=$B8)*Inputs!$B$5:$B$180*(((Inputs!$G$5:$G$180="moeda")+(Inputs!$G$5:$G$180="acoes"))*Inputs!$B$1+((Inputs!$G$5:$G$180&lt;&gt;"moeda")*(Inputs!$G$5:$G$180&lt;&gt;"acoes")))*INDEX(Inputs!$K$5:$AJ$180,0,MATCH(AI$2,Inputs!$K$4:$AJ$4,0)))+SUMPRODUCT((Inputs!$C$5:$C$180=$B8)*Inputs!$D$5:$D$180*(((Inputs!$G$5:$G$180="moeda")+(Inputs!$G$5:$G$180="acoes"))*Inputs!$B$1+((Inputs!$G$5:$G$180&lt;&gt;"moeda")*(Inputs!$G$5:$G$180&lt;&gt;"acoes")))*INDEX(Inputs!$K$5:$AJ$180,0,MATCH(AI$2,Inputs!$K$4:$AJ$4,0)))+SUMPRODUCT((Inputs!$E$5:$E$180=$B8)*Inputs!$F$5:$F$180*(((Inputs!$G$5:$G$180="moeda")+(Inputs!$G$5:$G$180="acoes"))*Inputs!$B$1+((Inputs!$G$5:$G$180&lt;&gt;"moeda")*(Inputs!$G$5:$G$180&lt;&gt;"acoes")))*INDEX(Inputs!$K$5:$AJ$180,0,MATCH(AI$2,Inputs!$K$4:$AJ$4,0)))))</f>
        <v>-45.37789143</v>
      </c>
      <c r="AJ8" s="6">
        <f>IF(ISNA(MATCH(AJ$2,Inputs!$K$4:$AJ$4,0)),NA(),IF(SUMPRODUCT((Inputs!$A$5:$A$180=$B8)*ISNUMBER(INDEX(Inputs!$K$5:$AJ$180,0,MATCH(AJ$2,Inputs!$K$4:$AJ$4,0))))+SUMPRODUCT((Inputs!$C$5:$C$180=$B8)*ISNUMBER(INDEX(Inputs!$K$5:$AJ$180,0,MATCH(AJ$2,Inputs!$K$4:$AJ$4,0))))+SUMPRODUCT((Inputs!$E$5:$E$180=$B8)*ISNUMBER(INDEX(Inputs!$K$5:$AJ$180,0,MATCH(AJ$2,Inputs!$K$4:$AJ$4,0))))=0,NA(),SUMPRODUCT((Inputs!$A$5:$A$180=$B8)*Inputs!$B$5:$B$180*(((Inputs!$G$5:$G$180="moeda")+(Inputs!$G$5:$G$180="acoes"))*Inputs!$B$1+((Inputs!$G$5:$G$180&lt;&gt;"moeda")*(Inputs!$G$5:$G$180&lt;&gt;"acoes")))*INDEX(Inputs!$K$5:$AJ$180,0,MATCH(AJ$2,Inputs!$K$4:$AJ$4,0)))+SUMPRODUCT((Inputs!$C$5:$C$180=$B8)*Inputs!$D$5:$D$180*(((Inputs!$G$5:$G$180="moeda")+(Inputs!$G$5:$G$180="acoes"))*Inputs!$B$1+((Inputs!$G$5:$G$180&lt;&gt;"moeda")*(Inputs!$G$5:$G$180&lt;&gt;"acoes")))*INDEX(Inputs!$K$5:$AJ$180,0,MATCH(AJ$2,Inputs!$K$4:$AJ$4,0)))+SUMPRODUCT((Inputs!$E$5:$E$180=$B8)*Inputs!$F$5:$F$180*(((Inputs!$G$5:$G$180="moeda")+(Inputs!$G$5:$G$180="acoes"))*Inputs!$B$1+((Inputs!$G$5:$G$180&lt;&gt;"moeda")*(Inputs!$G$5:$G$180&lt;&gt;"acoes")))*INDEX(Inputs!$K$5:$AJ$180,0,MATCH(AJ$2,Inputs!$K$4:$AJ$4,0)))))</f>
        <v>-43.12406456</v>
      </c>
      <c r="AK8" s="6">
        <f>IF(ISNA(MATCH(AK$2,Inputs!$K$4:$AJ$4,0)),NA(),IF(SUMPRODUCT((Inputs!$A$5:$A$180=$B8)*ISNUMBER(INDEX(Inputs!$K$5:$AJ$180,0,MATCH(AK$2,Inputs!$K$4:$AJ$4,0))))+SUMPRODUCT((Inputs!$C$5:$C$180=$B8)*ISNUMBER(INDEX(Inputs!$K$5:$AJ$180,0,MATCH(AK$2,Inputs!$K$4:$AJ$4,0))))+SUMPRODUCT((Inputs!$E$5:$E$180=$B8)*ISNUMBER(INDEX(Inputs!$K$5:$AJ$180,0,MATCH(AK$2,Inputs!$K$4:$AJ$4,0))))=0,NA(),SUMPRODUCT((Inputs!$A$5:$A$180=$B8)*Inputs!$B$5:$B$180*(((Inputs!$G$5:$G$180="moeda")+(Inputs!$G$5:$G$180="acoes"))*Inputs!$B$1+((Inputs!$G$5:$G$180&lt;&gt;"moeda")*(Inputs!$G$5:$G$180&lt;&gt;"acoes")))*INDEX(Inputs!$K$5:$AJ$180,0,MATCH(AK$2,Inputs!$K$4:$AJ$4,0)))+SUMPRODUCT((Inputs!$C$5:$C$180=$B8)*Inputs!$D$5:$D$180*(((Inputs!$G$5:$G$180="moeda")+(Inputs!$G$5:$G$180="acoes"))*Inputs!$B$1+((Inputs!$G$5:$G$180&lt;&gt;"moeda")*(Inputs!$G$5:$G$180&lt;&gt;"acoes")))*INDEX(Inputs!$K$5:$AJ$180,0,MATCH(AK$2,Inputs!$K$4:$AJ$4,0)))+SUMPRODUCT((Inputs!$E$5:$E$180=$B8)*Inputs!$F$5:$F$180*(((Inputs!$G$5:$G$180="moeda")+(Inputs!$G$5:$G$180="acoes"))*Inputs!$B$1+((Inputs!$G$5:$G$180&lt;&gt;"moeda")*(Inputs!$G$5:$G$180&lt;&gt;"acoes")))*INDEX(Inputs!$K$5:$AJ$180,0,MATCH(AK$2,Inputs!$K$4:$AJ$4,0)))))</f>
        <v>-47.82265651</v>
      </c>
      <c r="AL8" s="3">
        <f>SUM(AH8:AK8)</f>
        <v>-175.04311828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$180=$B9)*ISNUMBER(INDEX(Inputs!$K$5:$AJ$180,0,MATCH(D$2,Inputs!$K$4:$AJ$4,0))))+SUMPRODUCT((Inputs!$C$5:$C$180=$B9)*ISNUMBER(INDEX(Inputs!$K$5:$AJ$180,0,MATCH(D$2,Inputs!$K$4:$AJ$4,0))))+SUMPRODUCT((Inputs!$E$5:$E$180=$B9)*ISNUMBER(INDEX(Inputs!$K$5:$AJ$180,0,MATCH(D$2,Inputs!$K$4:$AJ$4,0))))=0,NA(),SUMPRODUCT((Inputs!$A$5:$A$180=$B9)*Inputs!$B$5:$B$180*(((Inputs!$G$5:$G$180="moeda")+(Inputs!$G$5:$G$180="acoes"))*Inputs!$B$1+((Inputs!$G$5:$G$180&lt;&gt;"moeda")*(Inputs!$G$5:$G$180&lt;&gt;"acoes")))*INDEX(Inputs!$K$5:$AJ$180,0,MATCH(D$2,Inputs!$K$4:$AJ$4,0)))+SUMPRODUCT((Inputs!$C$5:$C$180=$B9)*Inputs!$D$5:$D$180*(((Inputs!$G$5:$G$180="moeda")+(Inputs!$G$5:$G$180="acoes"))*Inputs!$B$1+((Inputs!$G$5:$G$180&lt;&gt;"moeda")*(Inputs!$G$5:$G$180&lt;&gt;"acoes")))*INDEX(Inputs!$K$5:$AJ$180,0,MATCH(D$2,Inputs!$K$4:$AJ$4,0)))+SUMPRODUCT((Inputs!$E$5:$E$180=$B9)*Inputs!$F$5:$F$180*(((Inputs!$G$5:$G$180="moeda")+(Inputs!$G$5:$G$180="acoes"))*Inputs!$B$1+((Inputs!$G$5:$G$180&lt;&gt;"moeda")*(Inputs!$G$5:$G$180&lt;&gt;"acoes")))*INDEX(Inputs!$K$5:$AJ$180,0,MATCH(D$2,Inputs!$K$4:$AJ$4,0)))))</f>
        <v>6.69925278</v>
      </c>
      <c r="E9" s="6">
        <f>IF(ISNA(MATCH(E$2,Inputs!$K$4:$AJ$4,0)),NA(),IF(SUMPRODUCT((Inputs!$A$5:$A$180=$B9)*ISNUMBER(INDEX(Inputs!$K$5:$AJ$180,0,MATCH(E$2,Inputs!$K$4:$AJ$4,0))))+SUMPRODUCT((Inputs!$C$5:$C$180=$B9)*ISNUMBER(INDEX(Inputs!$K$5:$AJ$180,0,MATCH(E$2,Inputs!$K$4:$AJ$4,0))))+SUMPRODUCT((Inputs!$E$5:$E$180=$B9)*ISNUMBER(INDEX(Inputs!$K$5:$AJ$180,0,MATCH(E$2,Inputs!$K$4:$AJ$4,0))))=0,NA(),SUMPRODUCT((Inputs!$A$5:$A$180=$B9)*Inputs!$B$5:$B$180*(((Inputs!$G$5:$G$180="moeda")+(Inputs!$G$5:$G$180="acoes"))*Inputs!$B$1+((Inputs!$G$5:$G$180&lt;&gt;"moeda")*(Inputs!$G$5:$G$180&lt;&gt;"acoes")))*INDEX(Inputs!$K$5:$AJ$180,0,MATCH(E$2,Inputs!$K$4:$AJ$4,0)))+SUMPRODUCT((Inputs!$C$5:$C$180=$B9)*Inputs!$D$5:$D$180*(((Inputs!$G$5:$G$180="moeda")+(Inputs!$G$5:$G$180="acoes"))*Inputs!$B$1+((Inputs!$G$5:$G$180&lt;&gt;"moeda")*(Inputs!$G$5:$G$180&lt;&gt;"acoes")))*INDEX(Inputs!$K$5:$AJ$180,0,MATCH(E$2,Inputs!$K$4:$AJ$4,0)))+SUMPRODUCT((Inputs!$E$5:$E$180=$B9)*Inputs!$F$5:$F$180*(((Inputs!$G$5:$G$180="moeda")+(Inputs!$G$5:$G$180="acoes"))*Inputs!$B$1+((Inputs!$G$5:$G$180&lt;&gt;"moeda")*(Inputs!$G$5:$G$180&lt;&gt;"acoes")))*INDEX(Inputs!$K$5:$AJ$180,0,MATCH(E$2,Inputs!$K$4:$AJ$4,0)))))</f>
        <v>6.79723379</v>
      </c>
      <c r="F9" s="6">
        <f>IF(ISNA(MATCH(F$2,Inputs!$K$4:$AJ$4,0)),NA(),IF(SUMPRODUCT((Inputs!$A$5:$A$180=$B9)*ISNUMBER(INDEX(Inputs!$K$5:$AJ$180,0,MATCH(F$2,Inputs!$K$4:$AJ$4,0))))+SUMPRODUCT((Inputs!$C$5:$C$180=$B9)*ISNUMBER(INDEX(Inputs!$K$5:$AJ$180,0,MATCH(F$2,Inputs!$K$4:$AJ$4,0))))+SUMPRODUCT((Inputs!$E$5:$E$180=$B9)*ISNUMBER(INDEX(Inputs!$K$5:$AJ$180,0,MATCH(F$2,Inputs!$K$4:$AJ$4,0))))=0,NA(),SUMPRODUCT((Inputs!$A$5:$A$180=$B9)*Inputs!$B$5:$B$180*(((Inputs!$G$5:$G$180="moeda")+(Inputs!$G$5:$G$180="acoes"))*Inputs!$B$1+((Inputs!$G$5:$G$180&lt;&gt;"moeda")*(Inputs!$G$5:$G$180&lt;&gt;"acoes")))*INDEX(Inputs!$K$5:$AJ$180,0,MATCH(F$2,Inputs!$K$4:$AJ$4,0)))+SUMPRODUCT((Inputs!$C$5:$C$180=$B9)*Inputs!$D$5:$D$180*(((Inputs!$G$5:$G$180="moeda")+(Inputs!$G$5:$G$180="acoes"))*Inputs!$B$1+((Inputs!$G$5:$G$180&lt;&gt;"moeda")*(Inputs!$G$5:$G$180&lt;&gt;"acoes")))*INDEX(Inputs!$K$5:$AJ$180,0,MATCH(F$2,Inputs!$K$4:$AJ$4,0)))+SUMPRODUCT((Inputs!$E$5:$E$180=$B9)*Inputs!$F$5:$F$180*(((Inputs!$G$5:$G$180="moeda")+(Inputs!$G$5:$G$180="acoes"))*Inputs!$B$1+((Inputs!$G$5:$G$180&lt;&gt;"moeda")*(Inputs!$G$5:$G$180&lt;&gt;"acoes")))*INDEX(Inputs!$K$5:$AJ$180,0,MATCH(F$2,Inputs!$K$4:$AJ$4,0)))))</f>
        <v>16.4558964</v>
      </c>
      <c r="G9" s="6">
        <f>IF(ISNA(MATCH(G$2,Inputs!$K$4:$AJ$4,0)),NA(),IF(SUMPRODUCT((Inputs!$A$5:$A$180=$B9)*ISNUMBER(INDEX(Inputs!$K$5:$AJ$180,0,MATCH(G$2,Inputs!$K$4:$AJ$4,0))))+SUMPRODUCT((Inputs!$C$5:$C$180=$B9)*ISNUMBER(INDEX(Inputs!$K$5:$AJ$180,0,MATCH(G$2,Inputs!$K$4:$AJ$4,0))))+SUMPRODUCT((Inputs!$E$5:$E$180=$B9)*ISNUMBER(INDEX(Inputs!$K$5:$AJ$180,0,MATCH(G$2,Inputs!$K$4:$AJ$4,0))))=0,NA(),SUMPRODUCT((Inputs!$A$5:$A$180=$B9)*Inputs!$B$5:$B$180*(((Inputs!$G$5:$G$180="moeda")+(Inputs!$G$5:$G$180="acoes"))*Inputs!$B$1+((Inputs!$G$5:$G$180&lt;&gt;"moeda")*(Inputs!$G$5:$G$180&lt;&gt;"acoes")))*INDEX(Inputs!$K$5:$AJ$180,0,MATCH(G$2,Inputs!$K$4:$AJ$4,0)))+SUMPRODUCT((Inputs!$C$5:$C$180=$B9)*Inputs!$D$5:$D$180*(((Inputs!$G$5:$G$180="moeda")+(Inputs!$G$5:$G$180="acoes"))*Inputs!$B$1+((Inputs!$G$5:$G$180&lt;&gt;"moeda")*(Inputs!$G$5:$G$180&lt;&gt;"acoes")))*INDEX(Inputs!$K$5:$AJ$180,0,MATCH(G$2,Inputs!$K$4:$AJ$4,0)))+SUMPRODUCT((Inputs!$E$5:$E$180=$B9)*Inputs!$F$5:$F$180*(((Inputs!$G$5:$G$180="moeda")+(Inputs!$G$5:$G$180="acoes"))*Inputs!$B$1+((Inputs!$G$5:$G$180&lt;&gt;"moeda")*(Inputs!$G$5:$G$180&lt;&gt;"acoes")))*INDEX(Inputs!$K$5:$AJ$180,0,MATCH(G$2,Inputs!$K$4:$AJ$4,0)))))</f>
        <v>18.92533787</v>
      </c>
      <c r="H9" s="3">
        <f>SUM(D9:G9)</f>
        <v>48.87772084</v>
      </c>
      <c r="I9" s="6">
        <f>IF(ISNA(MATCH(I$2,Inputs!$K$4:$AJ$4,0)),NA(),IF(SUMPRODUCT((Inputs!$A$5:$A$180=$B9)*ISNUMBER(INDEX(Inputs!$K$5:$AJ$180,0,MATCH(I$2,Inputs!$K$4:$AJ$4,0))))+SUMPRODUCT((Inputs!$C$5:$C$180=$B9)*ISNUMBER(INDEX(Inputs!$K$5:$AJ$180,0,MATCH(I$2,Inputs!$K$4:$AJ$4,0))))+SUMPRODUCT((Inputs!$E$5:$E$180=$B9)*ISNUMBER(INDEX(Inputs!$K$5:$AJ$180,0,MATCH(I$2,Inputs!$K$4:$AJ$4,0))))=0,NA(),SUMPRODUCT((Inputs!$A$5:$A$180=$B9)*Inputs!$B$5:$B$180*(((Inputs!$G$5:$G$180="moeda")+(Inputs!$G$5:$G$180="acoes"))*Inputs!$B$1+((Inputs!$G$5:$G$180&lt;&gt;"moeda")*(Inputs!$G$5:$G$180&lt;&gt;"acoes")))*INDEX(Inputs!$K$5:$AJ$180,0,MATCH(I$2,Inputs!$K$4:$AJ$4,0)))+SUMPRODUCT((Inputs!$C$5:$C$180=$B9)*Inputs!$D$5:$D$180*(((Inputs!$G$5:$G$180="moeda")+(Inputs!$G$5:$G$180="acoes"))*Inputs!$B$1+((Inputs!$G$5:$G$180&lt;&gt;"moeda")*(Inputs!$G$5:$G$180&lt;&gt;"acoes")))*INDEX(Inputs!$K$5:$AJ$180,0,MATCH(I$2,Inputs!$K$4:$AJ$4,0)))+SUMPRODUCT((Inputs!$E$5:$E$180=$B9)*Inputs!$F$5:$F$180*(((Inputs!$G$5:$G$180="moeda")+(Inputs!$G$5:$G$180="acoes"))*Inputs!$B$1+((Inputs!$G$5:$G$180&lt;&gt;"moeda")*(Inputs!$G$5:$G$180&lt;&gt;"acoes")))*INDEX(Inputs!$K$5:$AJ$180,0,MATCH(I$2,Inputs!$K$4:$AJ$4,0)))))</f>
        <v>20.19570061</v>
      </c>
      <c r="J9" s="6">
        <f>IF(ISNA(MATCH(J$2,Inputs!$K$4:$AJ$4,0)),NA(),IF(SUMPRODUCT((Inputs!$A$5:$A$180=$B9)*ISNUMBER(INDEX(Inputs!$K$5:$AJ$180,0,MATCH(J$2,Inputs!$K$4:$AJ$4,0))))+SUMPRODUCT((Inputs!$C$5:$C$180=$B9)*ISNUMBER(INDEX(Inputs!$K$5:$AJ$180,0,MATCH(J$2,Inputs!$K$4:$AJ$4,0))))+SUMPRODUCT((Inputs!$E$5:$E$180=$B9)*ISNUMBER(INDEX(Inputs!$K$5:$AJ$180,0,MATCH(J$2,Inputs!$K$4:$AJ$4,0))))=0,NA(),SUMPRODUCT((Inputs!$A$5:$A$180=$B9)*Inputs!$B$5:$B$180*(((Inputs!$G$5:$G$180="moeda")+(Inputs!$G$5:$G$180="acoes"))*Inputs!$B$1+((Inputs!$G$5:$G$180&lt;&gt;"moeda")*(Inputs!$G$5:$G$180&lt;&gt;"acoes")))*INDEX(Inputs!$K$5:$AJ$180,0,MATCH(J$2,Inputs!$K$4:$AJ$4,0)))+SUMPRODUCT((Inputs!$C$5:$C$180=$B9)*Inputs!$D$5:$D$180*(((Inputs!$G$5:$G$180="moeda")+(Inputs!$G$5:$G$180="acoes"))*Inputs!$B$1+((Inputs!$G$5:$G$180&lt;&gt;"moeda")*(Inputs!$G$5:$G$180&lt;&gt;"acoes")))*INDEX(Inputs!$K$5:$AJ$180,0,MATCH(J$2,Inputs!$K$4:$AJ$4,0)))+SUMPRODUCT((Inputs!$E$5:$E$180=$B9)*Inputs!$F$5:$F$180*(((Inputs!$G$5:$G$180="moeda")+(Inputs!$G$5:$G$180="acoes"))*Inputs!$B$1+((Inputs!$G$5:$G$180&lt;&gt;"moeda")*(Inputs!$G$5:$G$180&lt;&gt;"acoes")))*INDEX(Inputs!$K$5:$AJ$180,0,MATCH(J$2,Inputs!$K$4:$AJ$4,0)))))</f>
        <v>21.47671546</v>
      </c>
      <c r="K9" s="6">
        <f>IF(ISNA(MATCH(K$2,Inputs!$K$4:$AJ$4,0)),NA(),IF(SUMPRODUCT((Inputs!$A$5:$A$180=$B9)*ISNUMBER(INDEX(Inputs!$K$5:$AJ$180,0,MATCH(K$2,Inputs!$K$4:$AJ$4,0))))+SUMPRODUCT((Inputs!$C$5:$C$180=$B9)*ISNUMBER(INDEX(Inputs!$K$5:$AJ$180,0,MATCH(K$2,Inputs!$K$4:$AJ$4,0))))+SUMPRODUCT((Inputs!$E$5:$E$180=$B9)*ISNUMBER(INDEX(Inputs!$K$5:$AJ$180,0,MATCH(K$2,Inputs!$K$4:$AJ$4,0))))=0,NA(),SUMPRODUCT((Inputs!$A$5:$A$180=$B9)*Inputs!$B$5:$B$180*(((Inputs!$G$5:$G$180="moeda")+(Inputs!$G$5:$G$180="acoes"))*Inputs!$B$1+((Inputs!$G$5:$G$180&lt;&gt;"moeda")*(Inputs!$G$5:$G$180&lt;&gt;"acoes")))*INDEX(Inputs!$K$5:$AJ$180,0,MATCH(K$2,Inputs!$K$4:$AJ$4,0)))+SUMPRODUCT((Inputs!$C$5:$C$180=$B9)*Inputs!$D$5:$D$180*(((Inputs!$G$5:$G$180="moeda")+(Inputs!$G$5:$G$180="acoes"))*Inputs!$B$1+((Inputs!$G$5:$G$180&lt;&gt;"moeda")*(Inputs!$G$5:$G$180&lt;&gt;"acoes")))*INDEX(Inputs!$K$5:$AJ$180,0,MATCH(K$2,Inputs!$K$4:$AJ$4,0)))+SUMPRODUCT((Inputs!$E$5:$E$180=$B9)*Inputs!$F$5:$F$180*(((Inputs!$G$5:$G$180="moeda")+(Inputs!$G$5:$G$180="acoes"))*Inputs!$B$1+((Inputs!$G$5:$G$180&lt;&gt;"moeda")*(Inputs!$G$5:$G$180&lt;&gt;"acoes")))*INDEX(Inputs!$K$5:$AJ$180,0,MATCH(K$2,Inputs!$K$4:$AJ$4,0)))))</f>
        <v>28.95401388</v>
      </c>
      <c r="L9" s="6">
        <f>IF(ISNA(MATCH(L$2,Inputs!$K$4:$AJ$4,0)),NA(),IF(SUMPRODUCT((Inputs!$A$5:$A$180=$B9)*ISNUMBER(INDEX(Inputs!$K$5:$AJ$180,0,MATCH(L$2,Inputs!$K$4:$AJ$4,0))))+SUMPRODUCT((Inputs!$C$5:$C$180=$B9)*ISNUMBER(INDEX(Inputs!$K$5:$AJ$180,0,MATCH(L$2,Inputs!$K$4:$AJ$4,0))))+SUMPRODUCT((Inputs!$E$5:$E$180=$B9)*ISNUMBER(INDEX(Inputs!$K$5:$AJ$180,0,MATCH(L$2,Inputs!$K$4:$AJ$4,0))))=0,NA(),SUMPRODUCT((Inputs!$A$5:$A$180=$B9)*Inputs!$B$5:$B$180*(((Inputs!$G$5:$G$180="moeda")+(Inputs!$G$5:$G$180="acoes"))*Inputs!$B$1+((Inputs!$G$5:$G$180&lt;&gt;"moeda")*(Inputs!$G$5:$G$180&lt;&gt;"acoes")))*INDEX(Inputs!$K$5:$AJ$180,0,MATCH(L$2,Inputs!$K$4:$AJ$4,0)))+SUMPRODUCT((Inputs!$C$5:$C$180=$B9)*Inputs!$D$5:$D$180*(((Inputs!$G$5:$G$180="moeda")+(Inputs!$G$5:$G$180="acoes"))*Inputs!$B$1+((Inputs!$G$5:$G$180&lt;&gt;"moeda")*(Inputs!$G$5:$G$180&lt;&gt;"acoes")))*INDEX(Inputs!$K$5:$AJ$180,0,MATCH(L$2,Inputs!$K$4:$AJ$4,0)))+SUMPRODUCT((Inputs!$E$5:$E$180=$B9)*Inputs!$F$5:$F$180*(((Inputs!$G$5:$G$180="moeda")+(Inputs!$G$5:$G$180="acoes"))*Inputs!$B$1+((Inputs!$G$5:$G$180&lt;&gt;"moeda")*(Inputs!$G$5:$G$180&lt;&gt;"acoes")))*INDEX(Inputs!$K$5:$AJ$180,0,MATCH(L$2,Inputs!$K$4:$AJ$4,0)))))</f>
        <v>42.83506655</v>
      </c>
      <c r="M9" s="3">
        <f>SUM(I9:L9)</f>
        <v>113.4614965</v>
      </c>
      <c r="N9" s="6">
        <f>IF(ISNA(MATCH(N$2,Inputs!$K$4:$AJ$4,0)),NA(),IF(SUMPRODUCT((Inputs!$A$5:$A$180=$B9)*ISNUMBER(INDEX(Inputs!$K$5:$AJ$180,0,MATCH(N$2,Inputs!$K$4:$AJ$4,0))))+SUMPRODUCT((Inputs!$C$5:$C$180=$B9)*ISNUMBER(INDEX(Inputs!$K$5:$AJ$180,0,MATCH(N$2,Inputs!$K$4:$AJ$4,0))))+SUMPRODUCT((Inputs!$E$5:$E$180=$B9)*ISNUMBER(INDEX(Inputs!$K$5:$AJ$180,0,MATCH(N$2,Inputs!$K$4:$AJ$4,0))))=0,NA(),SUMPRODUCT((Inputs!$A$5:$A$180=$B9)*Inputs!$B$5:$B$180*(((Inputs!$G$5:$G$180="moeda")+(Inputs!$G$5:$G$180="acoes"))*Inputs!$B$1+((Inputs!$G$5:$G$180&lt;&gt;"moeda")*(Inputs!$G$5:$G$180&lt;&gt;"acoes")))*INDEX(Inputs!$K$5:$AJ$180,0,MATCH(N$2,Inputs!$K$4:$AJ$4,0)))+SUMPRODUCT((Inputs!$C$5:$C$180=$B9)*Inputs!$D$5:$D$180*(((Inputs!$G$5:$G$180="moeda")+(Inputs!$G$5:$G$180="acoes"))*Inputs!$B$1+((Inputs!$G$5:$G$180&lt;&gt;"moeda")*(Inputs!$G$5:$G$180&lt;&gt;"acoes")))*INDEX(Inputs!$K$5:$AJ$180,0,MATCH(N$2,Inputs!$K$4:$AJ$4,0)))+SUMPRODUCT((Inputs!$E$5:$E$180=$B9)*Inputs!$F$5:$F$180*(((Inputs!$G$5:$G$180="moeda")+(Inputs!$G$5:$G$180="acoes"))*Inputs!$B$1+((Inputs!$G$5:$G$180&lt;&gt;"moeda")*(Inputs!$G$5:$G$180&lt;&gt;"acoes")))*INDEX(Inputs!$K$5:$AJ$180,0,MATCH(N$2,Inputs!$K$4:$AJ$4,0)))))</f>
        <v>45.00753287</v>
      </c>
      <c r="O9" s="6">
        <f>IF(ISNA(MATCH(O$2,Inputs!$K$4:$AJ$4,0)),NA(),IF(SUMPRODUCT((Inputs!$A$5:$A$180=$B9)*ISNUMBER(INDEX(Inputs!$K$5:$AJ$180,0,MATCH(O$2,Inputs!$K$4:$AJ$4,0))))+SUMPRODUCT((Inputs!$C$5:$C$180=$B9)*ISNUMBER(INDEX(Inputs!$K$5:$AJ$180,0,MATCH(O$2,Inputs!$K$4:$AJ$4,0))))+SUMPRODUCT((Inputs!$E$5:$E$180=$B9)*ISNUMBER(INDEX(Inputs!$K$5:$AJ$180,0,MATCH(O$2,Inputs!$K$4:$AJ$4,0))))=0,NA(),SUMPRODUCT((Inputs!$A$5:$A$180=$B9)*Inputs!$B$5:$B$180*(((Inputs!$G$5:$G$180="moeda")+(Inputs!$G$5:$G$180="acoes"))*Inputs!$B$1+((Inputs!$G$5:$G$180&lt;&gt;"moeda")*(Inputs!$G$5:$G$180&lt;&gt;"acoes")))*INDEX(Inputs!$K$5:$AJ$180,0,MATCH(O$2,Inputs!$K$4:$AJ$4,0)))+SUMPRODUCT((Inputs!$C$5:$C$180=$B9)*Inputs!$D$5:$D$180*(((Inputs!$G$5:$G$180="moeda")+(Inputs!$G$5:$G$180="acoes"))*Inputs!$B$1+((Inputs!$G$5:$G$180&lt;&gt;"moeda")*(Inputs!$G$5:$G$180&lt;&gt;"acoes")))*INDEX(Inputs!$K$5:$AJ$180,0,MATCH(O$2,Inputs!$K$4:$AJ$4,0)))+SUMPRODUCT((Inputs!$E$5:$E$180=$B9)*Inputs!$F$5:$F$180*(((Inputs!$G$5:$G$180="moeda")+(Inputs!$G$5:$G$180="acoes"))*Inputs!$B$1+((Inputs!$G$5:$G$180&lt;&gt;"moeda")*(Inputs!$G$5:$G$180&lt;&gt;"acoes")))*INDEX(Inputs!$K$5:$AJ$180,0,MATCH(O$2,Inputs!$K$4:$AJ$4,0)))))</f>
        <v>58.87857805</v>
      </c>
      <c r="P9" s="6">
        <f>IF(ISNA(MATCH(P$2,Inputs!$K$4:$AJ$4,0)),NA(),IF(SUMPRODUCT((Inputs!$A$5:$A$180=$B9)*ISNUMBER(INDEX(Inputs!$K$5:$AJ$180,0,MATCH(P$2,Inputs!$K$4:$AJ$4,0))))+SUMPRODUCT((Inputs!$C$5:$C$180=$B9)*ISNUMBER(INDEX(Inputs!$K$5:$AJ$180,0,MATCH(P$2,Inputs!$K$4:$AJ$4,0))))+SUMPRODUCT((Inputs!$E$5:$E$180=$B9)*ISNUMBER(INDEX(Inputs!$K$5:$AJ$180,0,MATCH(P$2,Inputs!$K$4:$AJ$4,0))))=0,NA(),SUMPRODUCT((Inputs!$A$5:$A$180=$B9)*Inputs!$B$5:$B$180*(((Inputs!$G$5:$G$180="moeda")+(Inputs!$G$5:$G$180="acoes"))*Inputs!$B$1+((Inputs!$G$5:$G$180&lt;&gt;"moeda")*(Inputs!$G$5:$G$180&lt;&gt;"acoes")))*INDEX(Inputs!$K$5:$AJ$180,0,MATCH(P$2,Inputs!$K$4:$AJ$4,0)))+SUMPRODUCT((Inputs!$C$5:$C$180=$B9)*Inputs!$D$5:$D$180*(((Inputs!$G$5:$G$180="moeda")+(Inputs!$G$5:$G$180="acoes"))*Inputs!$B$1+((Inputs!$G$5:$G$180&lt;&gt;"moeda")*(Inputs!$G$5:$G$180&lt;&gt;"acoes")))*INDEX(Inputs!$K$5:$AJ$180,0,MATCH(P$2,Inputs!$K$4:$AJ$4,0)))+SUMPRODUCT((Inputs!$E$5:$E$180=$B9)*Inputs!$F$5:$F$180*(((Inputs!$G$5:$G$180="moeda")+(Inputs!$G$5:$G$180="acoes"))*Inputs!$B$1+((Inputs!$G$5:$G$180&lt;&gt;"moeda")*(Inputs!$G$5:$G$180&lt;&gt;"acoes")))*INDEX(Inputs!$K$5:$AJ$180,0,MATCH(P$2,Inputs!$K$4:$AJ$4,0)))))</f>
        <v>60.852</v>
      </c>
      <c r="Q9" s="6">
        <f>IF(ISNA(MATCH(Q$2,Inputs!$K$4:$AJ$4,0)),NA(),IF(SUMPRODUCT((Inputs!$A$5:$A$180=$B9)*ISNUMBER(INDEX(Inputs!$K$5:$AJ$180,0,MATCH(Q$2,Inputs!$K$4:$AJ$4,0))))+SUMPRODUCT((Inputs!$C$5:$C$180=$B9)*ISNUMBER(INDEX(Inputs!$K$5:$AJ$180,0,MATCH(Q$2,Inputs!$K$4:$AJ$4,0))))+SUMPRODUCT((Inputs!$E$5:$E$180=$B9)*ISNUMBER(INDEX(Inputs!$K$5:$AJ$180,0,MATCH(Q$2,Inputs!$K$4:$AJ$4,0))))=0,NA(),SUMPRODUCT((Inputs!$A$5:$A$180=$B9)*Inputs!$B$5:$B$180*(((Inputs!$G$5:$G$180="moeda")+(Inputs!$G$5:$G$180="acoes"))*Inputs!$B$1+((Inputs!$G$5:$G$180&lt;&gt;"moeda")*(Inputs!$G$5:$G$180&lt;&gt;"acoes")))*INDEX(Inputs!$K$5:$AJ$180,0,MATCH(Q$2,Inputs!$K$4:$AJ$4,0)))+SUMPRODUCT((Inputs!$C$5:$C$180=$B9)*Inputs!$D$5:$D$180*(((Inputs!$G$5:$G$180="moeda")+(Inputs!$G$5:$G$180="acoes"))*Inputs!$B$1+((Inputs!$G$5:$G$180&lt;&gt;"moeda")*(Inputs!$G$5:$G$180&lt;&gt;"acoes")))*INDEX(Inputs!$K$5:$AJ$180,0,MATCH(Q$2,Inputs!$K$4:$AJ$4,0)))+SUMPRODUCT((Inputs!$E$5:$E$180=$B9)*Inputs!$F$5:$F$180*(((Inputs!$G$5:$G$180="moeda")+(Inputs!$G$5:$G$180="acoes"))*Inputs!$B$1+((Inputs!$G$5:$G$180&lt;&gt;"moeda")*(Inputs!$G$5:$G$180&lt;&gt;"acoes")))*INDEX(Inputs!$K$5:$AJ$180,0,MATCH(Q$2,Inputs!$K$4:$AJ$4,0)))))</f>
        <v>55.57188908</v>
      </c>
      <c r="R9" s="3">
        <f>SUM(N9:Q9)</f>
        <v>220.31</v>
      </c>
      <c r="S9" s="6">
        <f>IF(ISNA(MATCH(S$2,Inputs!$K$4:$AJ$4,0)),NA(),IF(SUMPRODUCT((Inputs!$A$5:$A$180=$B9)*ISNUMBER(INDEX(Inputs!$K$5:$AJ$180,0,MATCH(S$2,Inputs!$K$4:$AJ$4,0))))+SUMPRODUCT((Inputs!$C$5:$C$180=$B9)*ISNUMBER(INDEX(Inputs!$K$5:$AJ$180,0,MATCH(S$2,Inputs!$K$4:$AJ$4,0))))+SUMPRODUCT((Inputs!$E$5:$E$180=$B9)*ISNUMBER(INDEX(Inputs!$K$5:$AJ$180,0,MATCH(S$2,Inputs!$K$4:$AJ$4,0))))=0,NA(),SUMPRODUCT((Inputs!$A$5:$A$180=$B9)*Inputs!$B$5:$B$180*(((Inputs!$G$5:$G$180="moeda")+(Inputs!$G$5:$G$180="acoes"))*Inputs!$B$1+((Inputs!$G$5:$G$180&lt;&gt;"moeda")*(Inputs!$G$5:$G$180&lt;&gt;"acoes")))*INDEX(Inputs!$K$5:$AJ$180,0,MATCH(S$2,Inputs!$K$4:$AJ$4,0)))+SUMPRODUCT((Inputs!$C$5:$C$180=$B9)*Inputs!$D$5:$D$180*(((Inputs!$G$5:$G$180="moeda")+(Inputs!$G$5:$G$180="acoes"))*Inputs!$B$1+((Inputs!$G$5:$G$180&lt;&gt;"moeda")*(Inputs!$G$5:$G$180&lt;&gt;"acoes")))*INDEX(Inputs!$K$5:$AJ$180,0,MATCH(S$2,Inputs!$K$4:$AJ$4,0)))+SUMPRODUCT((Inputs!$E$5:$E$180=$B9)*Inputs!$F$5:$F$180*(((Inputs!$G$5:$G$180="moeda")+(Inputs!$G$5:$G$180="acoes"))*Inputs!$B$1+((Inputs!$G$5:$G$180&lt;&gt;"moeda")*(Inputs!$G$5:$G$180&lt;&gt;"acoes")))*INDEX(Inputs!$K$5:$AJ$180,0,MATCH(S$2,Inputs!$K$4:$AJ$4,0)))))</f>
        <v>36.46648343</v>
      </c>
      <c r="T9" s="6">
        <f>IF(ISNA(MATCH(T$2,Inputs!$K$4:$AJ$4,0)),NA(),IF(SUMPRODUCT((Inputs!$A$5:$A$180=$B9)*ISNUMBER(INDEX(Inputs!$K$5:$AJ$180,0,MATCH(T$2,Inputs!$K$4:$AJ$4,0))))+SUMPRODUCT((Inputs!$C$5:$C$180=$B9)*ISNUMBER(INDEX(Inputs!$K$5:$AJ$180,0,MATCH(T$2,Inputs!$K$4:$AJ$4,0))))+SUMPRODUCT((Inputs!$E$5:$E$180=$B9)*ISNUMBER(INDEX(Inputs!$K$5:$AJ$180,0,MATCH(T$2,Inputs!$K$4:$AJ$4,0))))=0,NA(),SUMPRODUCT((Inputs!$A$5:$A$180=$B9)*Inputs!$B$5:$B$180*(((Inputs!$G$5:$G$180="moeda")+(Inputs!$G$5:$G$180="acoes"))*Inputs!$B$1+((Inputs!$G$5:$G$180&lt;&gt;"moeda")*(Inputs!$G$5:$G$180&lt;&gt;"acoes")))*INDEX(Inputs!$K$5:$AJ$180,0,MATCH(T$2,Inputs!$K$4:$AJ$4,0)))+SUMPRODUCT((Inputs!$C$5:$C$180=$B9)*Inputs!$D$5:$D$180*(((Inputs!$G$5:$G$180="moeda")+(Inputs!$G$5:$G$180="acoes"))*Inputs!$B$1+((Inputs!$G$5:$G$180&lt;&gt;"moeda")*(Inputs!$G$5:$G$180&lt;&gt;"acoes")))*INDEX(Inputs!$K$5:$AJ$180,0,MATCH(T$2,Inputs!$K$4:$AJ$4,0)))+SUMPRODUCT((Inputs!$E$5:$E$180=$B9)*Inputs!$F$5:$F$180*(((Inputs!$G$5:$G$180="moeda")+(Inputs!$G$5:$G$180="acoes"))*Inputs!$B$1+((Inputs!$G$5:$G$180&lt;&gt;"moeda")*(Inputs!$G$5:$G$180&lt;&gt;"acoes")))*INDEX(Inputs!$K$5:$AJ$180,0,MATCH(T$2,Inputs!$K$4:$AJ$4,0)))))</f>
        <v>39.213</v>
      </c>
      <c r="U9" s="6">
        <f>IF(ISNA(MATCH(U$2,Inputs!$K$4:$AJ$4,0)),NA(),IF(SUMPRODUCT((Inputs!$A$5:$A$180=$B9)*ISNUMBER(INDEX(Inputs!$K$5:$AJ$180,0,MATCH(U$2,Inputs!$K$4:$AJ$4,0))))+SUMPRODUCT((Inputs!$C$5:$C$180=$B9)*ISNUMBER(INDEX(Inputs!$K$5:$AJ$180,0,MATCH(U$2,Inputs!$K$4:$AJ$4,0))))+SUMPRODUCT((Inputs!$E$5:$E$180=$B9)*ISNUMBER(INDEX(Inputs!$K$5:$AJ$180,0,MATCH(U$2,Inputs!$K$4:$AJ$4,0))))=0,NA(),SUMPRODUCT((Inputs!$A$5:$A$180=$B9)*Inputs!$B$5:$B$180*(((Inputs!$G$5:$G$180="moeda")+(Inputs!$G$5:$G$180="acoes"))*Inputs!$B$1+((Inputs!$G$5:$G$180&lt;&gt;"moeda")*(Inputs!$G$5:$G$180&lt;&gt;"acoes")))*INDEX(Inputs!$K$5:$AJ$180,0,MATCH(U$2,Inputs!$K$4:$AJ$4,0)))+SUMPRODUCT((Inputs!$C$5:$C$180=$B9)*Inputs!$D$5:$D$180*(((Inputs!$G$5:$G$180="moeda")+(Inputs!$G$5:$G$180="acoes"))*Inputs!$B$1+((Inputs!$G$5:$G$180&lt;&gt;"moeda")*(Inputs!$G$5:$G$180&lt;&gt;"acoes")))*INDEX(Inputs!$K$5:$AJ$180,0,MATCH(U$2,Inputs!$K$4:$AJ$4,0)))+SUMPRODUCT((Inputs!$E$5:$E$180=$B9)*Inputs!$F$5:$F$180*(((Inputs!$G$5:$G$180="moeda")+(Inputs!$G$5:$G$180="acoes"))*Inputs!$B$1+((Inputs!$G$5:$G$180&lt;&gt;"moeda")*(Inputs!$G$5:$G$180&lt;&gt;"acoes")))*INDEX(Inputs!$K$5:$AJ$180,0,MATCH(U$2,Inputs!$K$4:$AJ$4,0)))))</f>
        <v>62.182</v>
      </c>
      <c r="V9" s="6">
        <f>IF(ISNA(MATCH(V$2,Inputs!$K$4:$AJ$4,0)),NA(),IF(SUMPRODUCT((Inputs!$A$5:$A$180=$B9)*ISNUMBER(INDEX(Inputs!$K$5:$AJ$180,0,MATCH(V$2,Inputs!$K$4:$AJ$4,0))))+SUMPRODUCT((Inputs!$C$5:$C$180=$B9)*ISNUMBER(INDEX(Inputs!$K$5:$AJ$180,0,MATCH(V$2,Inputs!$K$4:$AJ$4,0))))+SUMPRODUCT((Inputs!$E$5:$E$180=$B9)*ISNUMBER(INDEX(Inputs!$K$5:$AJ$180,0,MATCH(V$2,Inputs!$K$4:$AJ$4,0))))=0,NA(),SUMPRODUCT((Inputs!$A$5:$A$180=$B9)*Inputs!$B$5:$B$180*(((Inputs!$G$5:$G$180="moeda")+(Inputs!$G$5:$G$180="acoes"))*Inputs!$B$1+((Inputs!$G$5:$G$180&lt;&gt;"moeda")*(Inputs!$G$5:$G$180&lt;&gt;"acoes")))*INDEX(Inputs!$K$5:$AJ$180,0,MATCH(V$2,Inputs!$K$4:$AJ$4,0)))+SUMPRODUCT((Inputs!$C$5:$C$180=$B9)*Inputs!$D$5:$D$180*(((Inputs!$G$5:$G$180="moeda")+(Inputs!$G$5:$G$180="acoes"))*Inputs!$B$1+((Inputs!$G$5:$G$180&lt;&gt;"moeda")*(Inputs!$G$5:$G$180&lt;&gt;"acoes")))*INDEX(Inputs!$K$5:$AJ$180,0,MATCH(V$2,Inputs!$K$4:$AJ$4,0)))+SUMPRODUCT((Inputs!$E$5:$E$180=$B9)*Inputs!$F$5:$F$180*(((Inputs!$G$5:$G$180="moeda")+(Inputs!$G$5:$G$180="acoes"))*Inputs!$B$1+((Inputs!$G$5:$G$180&lt;&gt;"moeda")*(Inputs!$G$5:$G$180&lt;&gt;"acoes")))*INDEX(Inputs!$K$5:$AJ$180,0,MATCH(V$2,Inputs!$K$4:$AJ$4,0)))))</f>
        <v>67.62451657</v>
      </c>
      <c r="W9" s="3">
        <f>SUM(S9:V9)</f>
        <v>205.486</v>
      </c>
      <c r="X9" s="6">
        <f>IF(ISNA(MATCH(X$2,Inputs!$K$4:$AJ$4,0)),NA(),IF(SUMPRODUCT((Inputs!$A$5:$A$180=$B9)*ISNUMBER(INDEX(Inputs!$K$5:$AJ$180,0,MATCH(X$2,Inputs!$K$4:$AJ$4,0))))+SUMPRODUCT((Inputs!$C$5:$C$180=$B9)*ISNUMBER(INDEX(Inputs!$K$5:$AJ$180,0,MATCH(X$2,Inputs!$K$4:$AJ$4,0))))+SUMPRODUCT((Inputs!$E$5:$E$180=$B9)*ISNUMBER(INDEX(Inputs!$K$5:$AJ$180,0,MATCH(X$2,Inputs!$K$4:$AJ$4,0))))=0,NA(),SUMPRODUCT((Inputs!$A$5:$A$180=$B9)*Inputs!$B$5:$B$180*(((Inputs!$G$5:$G$180="moeda")+(Inputs!$G$5:$G$180="acoes"))*Inputs!$B$1+((Inputs!$G$5:$G$180&lt;&gt;"moeda")*(Inputs!$G$5:$G$180&lt;&gt;"acoes")))*INDEX(Inputs!$K$5:$AJ$180,0,MATCH(X$2,Inputs!$K$4:$AJ$4,0)))+SUMPRODUCT((Inputs!$C$5:$C$180=$B9)*Inputs!$D$5:$D$180*(((Inputs!$G$5:$G$180="moeda")+(Inputs!$G$5:$G$180="acoes"))*Inputs!$B$1+((Inputs!$G$5:$G$180&lt;&gt;"moeda")*(Inputs!$G$5:$G$180&lt;&gt;"acoes")))*INDEX(Inputs!$K$5:$AJ$180,0,MATCH(X$2,Inputs!$K$4:$AJ$4,0)))+SUMPRODUCT((Inputs!$E$5:$E$180=$B9)*Inputs!$F$5:$F$180*(((Inputs!$G$5:$G$180="moeda")+(Inputs!$G$5:$G$180="acoes"))*Inputs!$B$1+((Inputs!$G$5:$G$180&lt;&gt;"moeda")*(Inputs!$G$5:$G$180&lt;&gt;"acoes")))*INDEX(Inputs!$K$5:$AJ$180,0,MATCH(X$2,Inputs!$K$4:$AJ$4,0)))))</f>
        <v>79.099815</v>
      </c>
      <c r="Y9" s="6">
        <f>IF(ISNA(MATCH(Y$2,Inputs!$K$4:$AJ$4,0)),NA(),IF(SUMPRODUCT((Inputs!$A$5:$A$180=$B9)*ISNUMBER(INDEX(Inputs!$K$5:$AJ$180,0,MATCH(Y$2,Inputs!$K$4:$AJ$4,0))))+SUMPRODUCT((Inputs!$C$5:$C$180=$B9)*ISNUMBER(INDEX(Inputs!$K$5:$AJ$180,0,MATCH(Y$2,Inputs!$K$4:$AJ$4,0))))+SUMPRODUCT((Inputs!$E$5:$E$180=$B9)*ISNUMBER(INDEX(Inputs!$K$5:$AJ$180,0,MATCH(Y$2,Inputs!$K$4:$AJ$4,0))))=0,NA(),SUMPRODUCT((Inputs!$A$5:$A$180=$B9)*Inputs!$B$5:$B$180*(((Inputs!$G$5:$G$180="moeda")+(Inputs!$G$5:$G$180="acoes"))*Inputs!$B$1+((Inputs!$G$5:$G$180&lt;&gt;"moeda")*(Inputs!$G$5:$G$180&lt;&gt;"acoes")))*INDEX(Inputs!$K$5:$AJ$180,0,MATCH(Y$2,Inputs!$K$4:$AJ$4,0)))+SUMPRODUCT((Inputs!$C$5:$C$180=$B9)*Inputs!$D$5:$D$180*(((Inputs!$G$5:$G$180="moeda")+(Inputs!$G$5:$G$180="acoes"))*Inputs!$B$1+((Inputs!$G$5:$G$180&lt;&gt;"moeda")*(Inputs!$G$5:$G$180&lt;&gt;"acoes")))*INDEX(Inputs!$K$5:$AJ$180,0,MATCH(Y$2,Inputs!$K$4:$AJ$4,0)))+SUMPRODUCT((Inputs!$E$5:$E$180=$B9)*Inputs!$F$5:$F$180*(((Inputs!$G$5:$G$180="moeda")+(Inputs!$G$5:$G$180="acoes"))*Inputs!$B$1+((Inputs!$G$5:$G$180&lt;&gt;"moeda")*(Inputs!$G$5:$G$180&lt;&gt;"acoes")))*INDEX(Inputs!$K$5:$AJ$180,0,MATCH(Y$2,Inputs!$K$4:$AJ$4,0)))))</f>
        <v>80.601</v>
      </c>
      <c r="Z9" s="6">
        <f>IF(ISNA(MATCH(Z$2,Inputs!$K$4:$AJ$4,0)),NA(),IF(SUMPRODUCT((Inputs!$A$5:$A$180=$B9)*ISNUMBER(INDEX(Inputs!$K$5:$AJ$180,0,MATCH(Z$2,Inputs!$K$4:$AJ$4,0))))+SUMPRODUCT((Inputs!$C$5:$C$180=$B9)*ISNUMBER(INDEX(Inputs!$K$5:$AJ$180,0,MATCH(Z$2,Inputs!$K$4:$AJ$4,0))))+SUMPRODUCT((Inputs!$E$5:$E$180=$B9)*ISNUMBER(INDEX(Inputs!$K$5:$AJ$180,0,MATCH(Z$2,Inputs!$K$4:$AJ$4,0))))=0,NA(),SUMPRODUCT((Inputs!$A$5:$A$180=$B9)*Inputs!$B$5:$B$180*(((Inputs!$G$5:$G$180="moeda")+(Inputs!$G$5:$G$180="acoes"))*Inputs!$B$1+((Inputs!$G$5:$G$180&lt;&gt;"moeda")*(Inputs!$G$5:$G$180&lt;&gt;"acoes")))*INDEX(Inputs!$K$5:$AJ$180,0,MATCH(Z$2,Inputs!$K$4:$AJ$4,0)))+SUMPRODUCT((Inputs!$C$5:$C$180=$B9)*Inputs!$D$5:$D$180*(((Inputs!$G$5:$G$180="moeda")+(Inputs!$G$5:$G$180="acoes"))*Inputs!$B$1+((Inputs!$G$5:$G$180&lt;&gt;"moeda")*(Inputs!$G$5:$G$180&lt;&gt;"acoes")))*INDEX(Inputs!$K$5:$AJ$180,0,MATCH(Z$2,Inputs!$K$4:$AJ$4,0)))+SUMPRODUCT((Inputs!$E$5:$E$180=$B9)*Inputs!$F$5:$F$180*(((Inputs!$G$5:$G$180="moeda")+(Inputs!$G$5:$G$180="acoes"))*Inputs!$B$1+((Inputs!$G$5:$G$180&lt;&gt;"moeda")*(Inputs!$G$5:$G$180&lt;&gt;"acoes")))*INDEX(Inputs!$K$5:$AJ$180,0,MATCH(Z$2,Inputs!$K$4:$AJ$4,0)))))</f>
        <v>90.06051204</v>
      </c>
      <c r="AA9" s="6">
        <f>IF(ISNA(MATCH(AA$2,Inputs!$K$4:$AJ$4,0)),NA(),IF(SUMPRODUCT((Inputs!$A$5:$A$180=$B9)*ISNUMBER(INDEX(Inputs!$K$5:$AJ$180,0,MATCH(AA$2,Inputs!$K$4:$AJ$4,0))))+SUMPRODUCT((Inputs!$C$5:$C$180=$B9)*ISNUMBER(INDEX(Inputs!$K$5:$AJ$180,0,MATCH(AA$2,Inputs!$K$4:$AJ$4,0))))+SUMPRODUCT((Inputs!$E$5:$E$180=$B9)*ISNUMBER(INDEX(Inputs!$K$5:$AJ$180,0,MATCH(AA$2,Inputs!$K$4:$AJ$4,0))))=0,NA(),SUMPRODUCT((Inputs!$A$5:$A$180=$B9)*Inputs!$B$5:$B$180*(((Inputs!$G$5:$G$180="moeda")+(Inputs!$G$5:$G$180="acoes"))*Inputs!$B$1+((Inputs!$G$5:$G$180&lt;&gt;"moeda")*(Inputs!$G$5:$G$180&lt;&gt;"acoes")))*INDEX(Inputs!$K$5:$AJ$180,0,MATCH(AA$2,Inputs!$K$4:$AJ$4,0)))+SUMPRODUCT((Inputs!$C$5:$C$180=$B9)*Inputs!$D$5:$D$180*(((Inputs!$G$5:$G$180="moeda")+(Inputs!$G$5:$G$180="acoes"))*Inputs!$B$1+((Inputs!$G$5:$G$180&lt;&gt;"moeda")*(Inputs!$G$5:$G$180&lt;&gt;"acoes")))*INDEX(Inputs!$K$5:$AJ$180,0,MATCH(AA$2,Inputs!$K$4:$AJ$4,0)))+SUMPRODUCT((Inputs!$E$5:$E$180=$B9)*Inputs!$F$5:$F$180*(((Inputs!$G$5:$G$180="moeda")+(Inputs!$G$5:$G$180="acoes"))*Inputs!$B$1+((Inputs!$G$5:$G$180&lt;&gt;"moeda")*(Inputs!$G$5:$G$180&lt;&gt;"acoes")))*INDEX(Inputs!$K$5:$AJ$180,0,MATCH(AA$2,Inputs!$K$4:$AJ$4,0)))))</f>
        <v>85.67562359</v>
      </c>
      <c r="AB9" s="3">
        <f>SUM(X9:AA9)</f>
        <v>335.43695063</v>
      </c>
      <c r="AC9" s="6">
        <f>IF(ISNA(MATCH(AC$2,Inputs!$K$4:$AJ$4,0)),NA(),IF(SUMPRODUCT((Inputs!$A$5:$A$180=$B9)*ISNUMBER(INDEX(Inputs!$K$5:$AJ$180,0,MATCH(AC$2,Inputs!$K$4:$AJ$4,0))))+SUMPRODUCT((Inputs!$C$5:$C$180=$B9)*ISNUMBER(INDEX(Inputs!$K$5:$AJ$180,0,MATCH(AC$2,Inputs!$K$4:$AJ$4,0))))+SUMPRODUCT((Inputs!$E$5:$E$180=$B9)*ISNUMBER(INDEX(Inputs!$K$5:$AJ$180,0,MATCH(AC$2,Inputs!$K$4:$AJ$4,0))))=0,NA(),SUMPRODUCT((Inputs!$A$5:$A$180=$B9)*Inputs!$B$5:$B$180*(((Inputs!$G$5:$G$180="moeda")+(Inputs!$G$5:$G$180="acoes"))*Inputs!$B$1+((Inputs!$G$5:$G$180&lt;&gt;"moeda")*(Inputs!$G$5:$G$180&lt;&gt;"acoes")))*INDEX(Inputs!$K$5:$AJ$180,0,MATCH(AC$2,Inputs!$K$4:$AJ$4,0)))+SUMPRODUCT((Inputs!$C$5:$C$180=$B9)*Inputs!$D$5:$D$180*(((Inputs!$G$5:$G$180="moeda")+(Inputs!$G$5:$G$180="acoes"))*Inputs!$B$1+((Inputs!$G$5:$G$180&lt;&gt;"moeda")*(Inputs!$G$5:$G$180&lt;&gt;"acoes")))*INDEX(Inputs!$K$5:$AJ$180,0,MATCH(AC$2,Inputs!$K$4:$AJ$4,0)))+SUMPRODUCT((Inputs!$E$5:$E$180=$B9)*Inputs!$F$5:$F$180*(((Inputs!$G$5:$G$180="moeda")+(Inputs!$G$5:$G$180="acoes"))*Inputs!$B$1+((Inputs!$G$5:$G$180&lt;&gt;"moeda")*(Inputs!$G$5:$G$180&lt;&gt;"acoes")))*INDEX(Inputs!$K$5:$AJ$180,0,MATCH(AC$2,Inputs!$K$4:$AJ$4,0)))))</f>
        <v>80.81498743</v>
      </c>
      <c r="AD9" s="6">
        <f>IF(ISNA(MATCH(AD$2,Inputs!$K$4:$AJ$4,0)),NA(),IF(SUMPRODUCT((Inputs!$A$5:$A$180=$B9)*ISNUMBER(INDEX(Inputs!$K$5:$AJ$180,0,MATCH(AD$2,Inputs!$K$4:$AJ$4,0))))+SUMPRODUCT((Inputs!$C$5:$C$180=$B9)*ISNUMBER(INDEX(Inputs!$K$5:$AJ$180,0,MATCH(AD$2,Inputs!$K$4:$AJ$4,0))))+SUMPRODUCT((Inputs!$E$5:$E$180=$B9)*ISNUMBER(INDEX(Inputs!$K$5:$AJ$180,0,MATCH(AD$2,Inputs!$K$4:$AJ$4,0))))=0,NA(),SUMPRODUCT((Inputs!$A$5:$A$180=$B9)*Inputs!$B$5:$B$180*(((Inputs!$G$5:$G$180="moeda")+(Inputs!$G$5:$G$180="acoes"))*Inputs!$B$1+((Inputs!$G$5:$G$180&lt;&gt;"moeda")*(Inputs!$G$5:$G$180&lt;&gt;"acoes")))*INDEX(Inputs!$K$5:$AJ$180,0,MATCH(AD$2,Inputs!$K$4:$AJ$4,0)))+SUMPRODUCT((Inputs!$C$5:$C$180=$B9)*Inputs!$D$5:$D$180*(((Inputs!$G$5:$G$180="moeda")+(Inputs!$G$5:$G$180="acoes"))*Inputs!$B$1+((Inputs!$G$5:$G$180&lt;&gt;"moeda")*(Inputs!$G$5:$G$180&lt;&gt;"acoes")))*INDEX(Inputs!$K$5:$AJ$180,0,MATCH(AD$2,Inputs!$K$4:$AJ$4,0)))+SUMPRODUCT((Inputs!$E$5:$E$180=$B9)*Inputs!$F$5:$F$180*(((Inputs!$G$5:$G$180="moeda")+(Inputs!$G$5:$G$180="acoes"))*Inputs!$B$1+((Inputs!$G$5:$G$180&lt;&gt;"moeda")*(Inputs!$G$5:$G$180&lt;&gt;"acoes")))*INDEX(Inputs!$K$5:$AJ$180,0,MATCH(AD$2,Inputs!$K$4:$AJ$4,0)))))</f>
        <v>79.498624</v>
      </c>
      <c r="AE9" s="6" t="e">
        <f>IF(ISNA(MATCH(AE$2,Inputs!$K$4:$AJ$4,0)),NA(),IF(SUMPRODUCT((Inputs!$A$5:$A$180=$B9)*ISNUMBER(INDEX(Inputs!$K$5:$AJ$180,0,MATCH(AE$2,Inputs!$K$4:$AJ$4,0))))+SUMPRODUCT((Inputs!$C$5:$C$180=$B9)*ISNUMBER(INDEX(Inputs!$K$5:$AJ$180,0,MATCH(AE$2,Inputs!$K$4:$AJ$4,0))))+SUMPRODUCT((Inputs!$E$5:$E$180=$B9)*ISNUMBER(INDEX(Inputs!$K$5:$AJ$180,0,MATCH(AE$2,Inputs!$K$4:$AJ$4,0))))=0,NA(),SUMPRODUCT((Inputs!$A$5:$A$180=$B9)*Inputs!$B$5:$B$180*(((Inputs!$G$5:$G$180="moeda")+(Inputs!$G$5:$G$180="acoes"))*Inputs!$B$1+((Inputs!$G$5:$G$180&lt;&gt;"moeda")*(Inputs!$G$5:$G$180&lt;&gt;"acoes")))*INDEX(Inputs!$K$5:$AJ$180,0,MATCH(AE$2,Inputs!$K$4:$AJ$4,0)))+SUMPRODUCT((Inputs!$C$5:$C$180=$B9)*Inputs!$D$5:$D$180*(((Inputs!$G$5:$G$180="moeda")+(Inputs!$G$5:$G$180="acoes"))*Inputs!$B$1+((Inputs!$G$5:$G$180&lt;&gt;"moeda")*(Inputs!$G$5:$G$180&lt;&gt;"acoes")))*INDEX(Inputs!$K$5:$AJ$180,0,MATCH(AE$2,Inputs!$K$4:$AJ$4,0)))+SUMPRODUCT((Inputs!$E$5:$E$180=$B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9" s="6" t="e">
        <f>IF(ISNA(MATCH(AF$2,Inputs!$K$4:$AJ$4,0)),NA(),IF(SUMPRODUCT((Inputs!$A$5:$A$180=$B9)*ISNUMBER(INDEX(Inputs!$K$5:$AJ$180,0,MATCH(AF$2,Inputs!$K$4:$AJ$4,0))))+SUMPRODUCT((Inputs!$C$5:$C$180=$B9)*ISNUMBER(INDEX(Inputs!$K$5:$AJ$180,0,MATCH(AF$2,Inputs!$K$4:$AJ$4,0))))+SUMPRODUCT((Inputs!$E$5:$E$180=$B9)*ISNUMBER(INDEX(Inputs!$K$5:$AJ$180,0,MATCH(AF$2,Inputs!$K$4:$AJ$4,0))))=0,NA(),SUMPRODUCT((Inputs!$A$5:$A$180=$B9)*Inputs!$B$5:$B$180*(((Inputs!$G$5:$G$180="moeda")+(Inputs!$G$5:$G$180="acoes"))*Inputs!$B$1+((Inputs!$G$5:$G$180&lt;&gt;"moeda")*(Inputs!$G$5:$G$180&lt;&gt;"acoes")))*INDEX(Inputs!$K$5:$AJ$180,0,MATCH(AF$2,Inputs!$K$4:$AJ$4,0)))+SUMPRODUCT((Inputs!$C$5:$C$180=$B9)*Inputs!$D$5:$D$180*(((Inputs!$G$5:$G$180="moeda")+(Inputs!$G$5:$G$180="acoes"))*Inputs!$B$1+((Inputs!$G$5:$G$180&lt;&gt;"moeda")*(Inputs!$G$5:$G$180&lt;&gt;"acoes")))*INDEX(Inputs!$K$5:$AJ$180,0,MATCH(AF$2,Inputs!$K$4:$AJ$4,0)))+SUMPRODUCT((Inputs!$E$5:$E$180=$B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9" s="3" t="e">
        <f>SUM(AC9:AF9)</f>
        <v>#N/A</v>
      </c>
      <c r="AH9" s="6">
        <f>IF(ISNA(MATCH(AH$2,Inputs!$K$4:$AJ$4,0)),NA(),IF(SUMPRODUCT((Inputs!$A$5:$A$180=$B9)*ISNUMBER(INDEX(Inputs!$K$5:$AJ$180,0,MATCH(AH$2,Inputs!$K$4:$AJ$4,0))))+SUMPRODUCT((Inputs!$C$5:$C$180=$B9)*ISNUMBER(INDEX(Inputs!$K$5:$AJ$180,0,MATCH(AH$2,Inputs!$K$4:$AJ$4,0))))+SUMPRODUCT((Inputs!$E$5:$E$180=$B9)*ISNUMBER(INDEX(Inputs!$K$5:$AJ$180,0,MATCH(AH$2,Inputs!$K$4:$AJ$4,0))))=0,NA(),SUMPRODUCT((Inputs!$A$5:$A$180=$B9)*Inputs!$B$5:$B$180*(((Inputs!$G$5:$G$180="moeda")+(Inputs!$G$5:$G$180="acoes"))*Inputs!$B$1+((Inputs!$G$5:$G$180&lt;&gt;"moeda")*(Inputs!$G$5:$G$180&lt;&gt;"acoes")))*INDEX(Inputs!$K$5:$AJ$180,0,MATCH(AH$2,Inputs!$K$4:$AJ$4,0)))+SUMPRODUCT((Inputs!$C$5:$C$180=$B9)*Inputs!$D$5:$D$180*(((Inputs!$G$5:$G$180="moeda")+(Inputs!$G$5:$G$180="acoes"))*Inputs!$B$1+((Inputs!$G$5:$G$180&lt;&gt;"moeda")*(Inputs!$G$5:$G$180&lt;&gt;"acoes")))*INDEX(Inputs!$K$5:$AJ$180,0,MATCH(AH$2,Inputs!$K$4:$AJ$4,0)))+SUMPRODUCT((Inputs!$E$5:$E$180=$B9)*Inputs!$F$5:$F$180*(((Inputs!$G$5:$G$180="moeda")+(Inputs!$G$5:$G$180="acoes"))*Inputs!$B$1+((Inputs!$G$5:$G$180&lt;&gt;"moeda")*(Inputs!$G$5:$G$180&lt;&gt;"acoes")))*INDEX(Inputs!$K$5:$AJ$180,0,MATCH(AH$2,Inputs!$K$4:$AJ$4,0)))))</f>
        <v>9.87809727</v>
      </c>
      <c r="AI9" s="6">
        <f>IF(ISNA(MATCH(AI$2,Inputs!$K$4:$AJ$4,0)),NA(),IF(SUMPRODUCT((Inputs!$A$5:$A$180=$B9)*ISNUMBER(INDEX(Inputs!$K$5:$AJ$180,0,MATCH(AI$2,Inputs!$K$4:$AJ$4,0))))+SUMPRODUCT((Inputs!$C$5:$C$180=$B9)*ISNUMBER(INDEX(Inputs!$K$5:$AJ$180,0,MATCH(AI$2,Inputs!$K$4:$AJ$4,0))))+SUMPRODUCT((Inputs!$E$5:$E$180=$B9)*ISNUMBER(INDEX(Inputs!$K$5:$AJ$180,0,MATCH(AI$2,Inputs!$K$4:$AJ$4,0))))=0,NA(),SUMPRODUCT((Inputs!$A$5:$A$180=$B9)*Inputs!$B$5:$B$180*(((Inputs!$G$5:$G$180="moeda")+(Inputs!$G$5:$G$180="acoes"))*Inputs!$B$1+((Inputs!$G$5:$G$180&lt;&gt;"moeda")*(Inputs!$G$5:$G$180&lt;&gt;"acoes")))*INDEX(Inputs!$K$5:$AJ$180,0,MATCH(AI$2,Inputs!$K$4:$AJ$4,0)))+SUMPRODUCT((Inputs!$C$5:$C$180=$B9)*Inputs!$D$5:$D$180*(((Inputs!$G$5:$G$180="moeda")+(Inputs!$G$5:$G$180="acoes"))*Inputs!$B$1+((Inputs!$G$5:$G$180&lt;&gt;"moeda")*(Inputs!$G$5:$G$180&lt;&gt;"acoes")))*INDEX(Inputs!$K$5:$AJ$180,0,MATCH(AI$2,Inputs!$K$4:$AJ$4,0)))+SUMPRODUCT((Inputs!$E$5:$E$180=$B9)*Inputs!$F$5:$F$180*(((Inputs!$G$5:$G$180="moeda")+(Inputs!$G$5:$G$180="acoes"))*Inputs!$B$1+((Inputs!$G$5:$G$180&lt;&gt;"moeda")*(Inputs!$G$5:$G$180&lt;&gt;"acoes")))*INDEX(Inputs!$K$5:$AJ$180,0,MATCH(AI$2,Inputs!$K$4:$AJ$4,0)))))</f>
        <v>8.77768171</v>
      </c>
      <c r="AJ9" s="6">
        <f>IF(ISNA(MATCH(AJ$2,Inputs!$K$4:$AJ$4,0)),NA(),IF(SUMPRODUCT((Inputs!$A$5:$A$180=$B9)*ISNUMBER(INDEX(Inputs!$K$5:$AJ$180,0,MATCH(AJ$2,Inputs!$K$4:$AJ$4,0))))+SUMPRODUCT((Inputs!$C$5:$C$180=$B9)*ISNUMBER(INDEX(Inputs!$K$5:$AJ$180,0,MATCH(AJ$2,Inputs!$K$4:$AJ$4,0))))+SUMPRODUCT((Inputs!$E$5:$E$180=$B9)*ISNUMBER(INDEX(Inputs!$K$5:$AJ$180,0,MATCH(AJ$2,Inputs!$K$4:$AJ$4,0))))=0,NA(),SUMPRODUCT((Inputs!$A$5:$A$180=$B9)*Inputs!$B$5:$B$180*(((Inputs!$G$5:$G$180="moeda")+(Inputs!$G$5:$G$180="acoes"))*Inputs!$B$1+((Inputs!$G$5:$G$180&lt;&gt;"moeda")*(Inputs!$G$5:$G$180&lt;&gt;"acoes")))*INDEX(Inputs!$K$5:$AJ$180,0,MATCH(AJ$2,Inputs!$K$4:$AJ$4,0)))+SUMPRODUCT((Inputs!$C$5:$C$180=$B9)*Inputs!$D$5:$D$180*(((Inputs!$G$5:$G$180="moeda")+(Inputs!$G$5:$G$180="acoes"))*Inputs!$B$1+((Inputs!$G$5:$G$180&lt;&gt;"moeda")*(Inputs!$G$5:$G$180&lt;&gt;"acoes")))*INDEX(Inputs!$K$5:$AJ$180,0,MATCH(AJ$2,Inputs!$K$4:$AJ$4,0)))+SUMPRODUCT((Inputs!$E$5:$E$180=$B9)*Inputs!$F$5:$F$180*(((Inputs!$G$5:$G$180="moeda")+(Inputs!$G$5:$G$180="acoes"))*Inputs!$B$1+((Inputs!$G$5:$G$180&lt;&gt;"moeda")*(Inputs!$G$5:$G$180&lt;&gt;"acoes")))*INDEX(Inputs!$K$5:$AJ$180,0,MATCH(AJ$2,Inputs!$K$4:$AJ$4,0)))))</f>
        <v>9.81101742</v>
      </c>
      <c r="AK9" s="6">
        <f>IF(ISNA(MATCH(AK$2,Inputs!$K$4:$AJ$4,0)),NA(),IF(SUMPRODUCT((Inputs!$A$5:$A$180=$B9)*ISNUMBER(INDEX(Inputs!$K$5:$AJ$180,0,MATCH(AK$2,Inputs!$K$4:$AJ$4,0))))+SUMPRODUCT((Inputs!$C$5:$C$180=$B9)*ISNUMBER(INDEX(Inputs!$K$5:$AJ$180,0,MATCH(AK$2,Inputs!$K$4:$AJ$4,0))))+SUMPRODUCT((Inputs!$E$5:$E$180=$B9)*ISNUMBER(INDEX(Inputs!$K$5:$AJ$180,0,MATCH(AK$2,Inputs!$K$4:$AJ$4,0))))=0,NA(),SUMPRODUCT((Inputs!$A$5:$A$180=$B9)*Inputs!$B$5:$B$180*(((Inputs!$G$5:$G$180="moeda")+(Inputs!$G$5:$G$180="acoes"))*Inputs!$B$1+((Inputs!$G$5:$G$180&lt;&gt;"moeda")*(Inputs!$G$5:$G$180&lt;&gt;"acoes")))*INDEX(Inputs!$K$5:$AJ$180,0,MATCH(AK$2,Inputs!$K$4:$AJ$4,0)))+SUMPRODUCT((Inputs!$C$5:$C$180=$B9)*Inputs!$D$5:$D$180*(((Inputs!$G$5:$G$180="moeda")+(Inputs!$G$5:$G$180="acoes"))*Inputs!$B$1+((Inputs!$G$5:$G$180&lt;&gt;"moeda")*(Inputs!$G$5:$G$180&lt;&gt;"acoes")))*INDEX(Inputs!$K$5:$AJ$180,0,MATCH(AK$2,Inputs!$K$4:$AJ$4,0)))+SUMPRODUCT((Inputs!$E$5:$E$180=$B9)*Inputs!$F$5:$F$180*(((Inputs!$G$5:$G$180="moeda")+(Inputs!$G$5:$G$180="acoes"))*Inputs!$B$1+((Inputs!$G$5:$G$180&lt;&gt;"moeda")*(Inputs!$G$5:$G$180&lt;&gt;"acoes")))*INDEX(Inputs!$K$5:$AJ$180,0,MATCH(AK$2,Inputs!$K$4:$AJ$4,0)))))</f>
        <v>8.64034112</v>
      </c>
      <c r="AL9" s="3">
        <f>SUM(AH9:AK9)</f>
        <v>37.10713752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$180=$B10)*ISNUMBER(INDEX(Inputs!$K$5:$AJ$180,0,MATCH(D$2,Inputs!$K$4:$AJ$4,0))))+SUMPRODUCT((Inputs!$C$5:$C$180=$B10)*ISNUMBER(INDEX(Inputs!$K$5:$AJ$180,0,MATCH(D$2,Inputs!$K$4:$AJ$4,0))))+SUMPRODUCT((Inputs!$E$5:$E$180=$B10)*ISNUMBER(INDEX(Inputs!$K$5:$AJ$180,0,MATCH(D$2,Inputs!$K$4:$AJ$4,0))))=0,NA(),SUMPRODUCT((Inputs!$A$5:$A$180=$B10)*Inputs!$B$5:$B$180*(((Inputs!$G$5:$G$180="moeda")+(Inputs!$G$5:$G$180="acoes"))*Inputs!$B$1+((Inputs!$G$5:$G$180&lt;&gt;"moeda")*(Inputs!$G$5:$G$180&lt;&gt;"acoes")))*INDEX(Inputs!$K$5:$AJ$180,0,MATCH(D$2,Inputs!$K$4:$AJ$4,0)))+SUMPRODUCT((Inputs!$C$5:$C$180=$B10)*Inputs!$D$5:$D$180*(((Inputs!$G$5:$G$180="moeda")+(Inputs!$G$5:$G$180="acoes"))*Inputs!$B$1+((Inputs!$G$5:$G$180&lt;&gt;"moeda")*(Inputs!$G$5:$G$180&lt;&gt;"acoes")))*INDEX(Inputs!$K$5:$AJ$180,0,MATCH(D$2,Inputs!$K$4:$AJ$4,0)))+SUMPRODUCT((Inputs!$E$5:$E$180=$B10)*Inputs!$F$5:$F$180*(((Inputs!$G$5:$G$180="moeda")+(Inputs!$G$5:$G$180="acoes"))*Inputs!$B$1+((Inputs!$G$5:$G$180&lt;&gt;"moeda")*(Inputs!$G$5:$G$180&lt;&gt;"acoes")))*INDEX(Inputs!$K$5:$AJ$180,0,MATCH(D$2,Inputs!$K$4:$AJ$4,0)))))</f>
        <v>-49.15601659</v>
      </c>
      <c r="E10" s="6">
        <f>IF(ISNA(MATCH(E$2,Inputs!$K$4:$AJ$4,0)),NA(),IF(SUMPRODUCT((Inputs!$A$5:$A$180=$B10)*ISNUMBER(INDEX(Inputs!$K$5:$AJ$180,0,MATCH(E$2,Inputs!$K$4:$AJ$4,0))))+SUMPRODUCT((Inputs!$C$5:$C$180=$B10)*ISNUMBER(INDEX(Inputs!$K$5:$AJ$180,0,MATCH(E$2,Inputs!$K$4:$AJ$4,0))))+SUMPRODUCT((Inputs!$E$5:$E$180=$B10)*ISNUMBER(INDEX(Inputs!$K$5:$AJ$180,0,MATCH(E$2,Inputs!$K$4:$AJ$4,0))))=0,NA(),SUMPRODUCT((Inputs!$A$5:$A$180=$B10)*Inputs!$B$5:$B$180*(((Inputs!$G$5:$G$180="moeda")+(Inputs!$G$5:$G$180="acoes"))*Inputs!$B$1+((Inputs!$G$5:$G$180&lt;&gt;"moeda")*(Inputs!$G$5:$G$180&lt;&gt;"acoes")))*INDEX(Inputs!$K$5:$AJ$180,0,MATCH(E$2,Inputs!$K$4:$AJ$4,0)))+SUMPRODUCT((Inputs!$C$5:$C$180=$B10)*Inputs!$D$5:$D$180*(((Inputs!$G$5:$G$180="moeda")+(Inputs!$G$5:$G$180="acoes"))*Inputs!$B$1+((Inputs!$G$5:$G$180&lt;&gt;"moeda")*(Inputs!$G$5:$G$180&lt;&gt;"acoes")))*INDEX(Inputs!$K$5:$AJ$180,0,MATCH(E$2,Inputs!$K$4:$AJ$4,0)))+SUMPRODUCT((Inputs!$E$5:$E$180=$B10)*Inputs!$F$5:$F$180*(((Inputs!$G$5:$G$180="moeda")+(Inputs!$G$5:$G$180="acoes"))*Inputs!$B$1+((Inputs!$G$5:$G$180&lt;&gt;"moeda")*(Inputs!$G$5:$G$180&lt;&gt;"acoes")))*INDEX(Inputs!$K$5:$AJ$180,0,MATCH(E$2,Inputs!$K$4:$AJ$4,0)))))</f>
        <v>-27.14299102</v>
      </c>
      <c r="F10" s="6">
        <f>IF(ISNA(MATCH(F$2,Inputs!$K$4:$AJ$4,0)),NA(),IF(SUMPRODUCT((Inputs!$A$5:$A$180=$B10)*ISNUMBER(INDEX(Inputs!$K$5:$AJ$180,0,MATCH(F$2,Inputs!$K$4:$AJ$4,0))))+SUMPRODUCT((Inputs!$C$5:$C$180=$B10)*ISNUMBER(INDEX(Inputs!$K$5:$AJ$180,0,MATCH(F$2,Inputs!$K$4:$AJ$4,0))))+SUMPRODUCT((Inputs!$E$5:$E$180=$B10)*ISNUMBER(INDEX(Inputs!$K$5:$AJ$180,0,MATCH(F$2,Inputs!$K$4:$AJ$4,0))))=0,NA(),SUMPRODUCT((Inputs!$A$5:$A$180=$B10)*Inputs!$B$5:$B$180*(((Inputs!$G$5:$G$180="moeda")+(Inputs!$G$5:$G$180="acoes"))*Inputs!$B$1+((Inputs!$G$5:$G$180&lt;&gt;"moeda")*(Inputs!$G$5:$G$180&lt;&gt;"acoes")))*INDEX(Inputs!$K$5:$AJ$180,0,MATCH(F$2,Inputs!$K$4:$AJ$4,0)))+SUMPRODUCT((Inputs!$C$5:$C$180=$B10)*Inputs!$D$5:$D$180*(((Inputs!$G$5:$G$180="moeda")+(Inputs!$G$5:$G$180="acoes"))*Inputs!$B$1+((Inputs!$G$5:$G$180&lt;&gt;"moeda")*(Inputs!$G$5:$G$180&lt;&gt;"acoes")))*INDEX(Inputs!$K$5:$AJ$180,0,MATCH(F$2,Inputs!$K$4:$AJ$4,0)))+SUMPRODUCT((Inputs!$E$5:$E$180=$B10)*Inputs!$F$5:$F$180*(((Inputs!$G$5:$G$180="moeda")+(Inputs!$G$5:$G$180="acoes"))*Inputs!$B$1+((Inputs!$G$5:$G$180&lt;&gt;"moeda")*(Inputs!$G$5:$G$180&lt;&gt;"acoes")))*INDEX(Inputs!$K$5:$AJ$180,0,MATCH(F$2,Inputs!$K$4:$AJ$4,0)))))</f>
        <v>-39.94616017</v>
      </c>
      <c r="G10" s="6">
        <f>IF(ISNA(MATCH(G$2,Inputs!$K$4:$AJ$4,0)),NA(),IF(SUMPRODUCT((Inputs!$A$5:$A$180=$B10)*ISNUMBER(INDEX(Inputs!$K$5:$AJ$180,0,MATCH(G$2,Inputs!$K$4:$AJ$4,0))))+SUMPRODUCT((Inputs!$C$5:$C$180=$B10)*ISNUMBER(INDEX(Inputs!$K$5:$AJ$180,0,MATCH(G$2,Inputs!$K$4:$AJ$4,0))))+SUMPRODUCT((Inputs!$E$5:$E$180=$B10)*ISNUMBER(INDEX(Inputs!$K$5:$AJ$180,0,MATCH(G$2,Inputs!$K$4:$AJ$4,0))))=0,NA(),SUMPRODUCT((Inputs!$A$5:$A$180=$B10)*Inputs!$B$5:$B$180*(((Inputs!$G$5:$G$180="moeda")+(Inputs!$G$5:$G$180="acoes"))*Inputs!$B$1+((Inputs!$G$5:$G$180&lt;&gt;"moeda")*(Inputs!$G$5:$G$180&lt;&gt;"acoes")))*INDEX(Inputs!$K$5:$AJ$180,0,MATCH(G$2,Inputs!$K$4:$AJ$4,0)))+SUMPRODUCT((Inputs!$C$5:$C$180=$B10)*Inputs!$D$5:$D$180*(((Inputs!$G$5:$G$180="moeda")+(Inputs!$G$5:$G$180="acoes"))*Inputs!$B$1+((Inputs!$G$5:$G$180&lt;&gt;"moeda")*(Inputs!$G$5:$G$180&lt;&gt;"acoes")))*INDEX(Inputs!$K$5:$AJ$180,0,MATCH(G$2,Inputs!$K$4:$AJ$4,0)))+SUMPRODUCT((Inputs!$E$5:$E$180=$B10)*Inputs!$F$5:$F$180*(((Inputs!$G$5:$G$180="moeda")+(Inputs!$G$5:$G$180="acoes"))*Inputs!$B$1+((Inputs!$G$5:$G$180&lt;&gt;"moeda")*(Inputs!$G$5:$G$180&lt;&gt;"acoes")))*INDEX(Inputs!$K$5:$AJ$180,0,MATCH(G$2,Inputs!$K$4:$AJ$4,0)))))</f>
        <v>-28.37167513</v>
      </c>
      <c r="H10" s="3">
        <f>SUM(D10:G10)</f>
        <v>-144.61684291</v>
      </c>
      <c r="I10" s="6">
        <f>IF(ISNA(MATCH(I$2,Inputs!$K$4:$AJ$4,0)),NA(),IF(SUMPRODUCT((Inputs!$A$5:$A$180=$B10)*ISNUMBER(INDEX(Inputs!$K$5:$AJ$180,0,MATCH(I$2,Inputs!$K$4:$AJ$4,0))))+SUMPRODUCT((Inputs!$C$5:$C$180=$B10)*ISNUMBER(INDEX(Inputs!$K$5:$AJ$180,0,MATCH(I$2,Inputs!$K$4:$AJ$4,0))))+SUMPRODUCT((Inputs!$E$5:$E$180=$B10)*ISNUMBER(INDEX(Inputs!$K$5:$AJ$180,0,MATCH(I$2,Inputs!$K$4:$AJ$4,0))))=0,NA(),SUMPRODUCT((Inputs!$A$5:$A$180=$B10)*Inputs!$B$5:$B$180*(((Inputs!$G$5:$G$180="moeda")+(Inputs!$G$5:$G$180="acoes"))*Inputs!$B$1+((Inputs!$G$5:$G$180&lt;&gt;"moeda")*(Inputs!$G$5:$G$180&lt;&gt;"acoes")))*INDEX(Inputs!$K$5:$AJ$180,0,MATCH(I$2,Inputs!$K$4:$AJ$4,0)))+SUMPRODUCT((Inputs!$C$5:$C$180=$B10)*Inputs!$D$5:$D$180*(((Inputs!$G$5:$G$180="moeda")+(Inputs!$G$5:$G$180="acoes"))*Inputs!$B$1+((Inputs!$G$5:$G$180&lt;&gt;"moeda")*(Inputs!$G$5:$G$180&lt;&gt;"acoes")))*INDEX(Inputs!$K$5:$AJ$180,0,MATCH(I$2,Inputs!$K$4:$AJ$4,0)))+SUMPRODUCT((Inputs!$E$5:$E$180=$B10)*Inputs!$F$5:$F$180*(((Inputs!$G$5:$G$180="moeda")+(Inputs!$G$5:$G$180="acoes"))*Inputs!$B$1+((Inputs!$G$5:$G$180&lt;&gt;"moeda")*(Inputs!$G$5:$G$180&lt;&gt;"acoes")))*INDEX(Inputs!$K$5:$AJ$180,0,MATCH(I$2,Inputs!$K$4:$AJ$4,0)))))</f>
        <v>-42.67500254</v>
      </c>
      <c r="J10" s="6">
        <f>IF(ISNA(MATCH(J$2,Inputs!$K$4:$AJ$4,0)),NA(),IF(SUMPRODUCT((Inputs!$A$5:$A$180=$B10)*ISNUMBER(INDEX(Inputs!$K$5:$AJ$180,0,MATCH(J$2,Inputs!$K$4:$AJ$4,0))))+SUMPRODUCT((Inputs!$C$5:$C$180=$B10)*ISNUMBER(INDEX(Inputs!$K$5:$AJ$180,0,MATCH(J$2,Inputs!$K$4:$AJ$4,0))))+SUMPRODUCT((Inputs!$E$5:$E$180=$B10)*ISNUMBER(INDEX(Inputs!$K$5:$AJ$180,0,MATCH(J$2,Inputs!$K$4:$AJ$4,0))))=0,NA(),SUMPRODUCT((Inputs!$A$5:$A$180=$B10)*Inputs!$B$5:$B$180*(((Inputs!$G$5:$G$180="moeda")+(Inputs!$G$5:$G$180="acoes"))*Inputs!$B$1+((Inputs!$G$5:$G$180&lt;&gt;"moeda")*(Inputs!$G$5:$G$180&lt;&gt;"acoes")))*INDEX(Inputs!$K$5:$AJ$180,0,MATCH(J$2,Inputs!$K$4:$AJ$4,0)))+SUMPRODUCT((Inputs!$C$5:$C$180=$B10)*Inputs!$D$5:$D$180*(((Inputs!$G$5:$G$180="moeda")+(Inputs!$G$5:$G$180="acoes"))*Inputs!$B$1+((Inputs!$G$5:$G$180&lt;&gt;"moeda")*(Inputs!$G$5:$G$180&lt;&gt;"acoes")))*INDEX(Inputs!$K$5:$AJ$180,0,MATCH(J$2,Inputs!$K$4:$AJ$4,0)))+SUMPRODUCT((Inputs!$E$5:$E$180=$B10)*Inputs!$F$5:$F$180*(((Inputs!$G$5:$G$180="moeda")+(Inputs!$G$5:$G$180="acoes"))*Inputs!$B$1+((Inputs!$G$5:$G$180&lt;&gt;"moeda")*(Inputs!$G$5:$G$180&lt;&gt;"acoes")))*INDEX(Inputs!$K$5:$AJ$180,0,MATCH(J$2,Inputs!$K$4:$AJ$4,0)))))</f>
        <v>-27.30873652</v>
      </c>
      <c r="K10" s="6">
        <f>IF(ISNA(MATCH(K$2,Inputs!$K$4:$AJ$4,0)),NA(),IF(SUMPRODUCT((Inputs!$A$5:$A$180=$B10)*ISNUMBER(INDEX(Inputs!$K$5:$AJ$180,0,MATCH(K$2,Inputs!$K$4:$AJ$4,0))))+SUMPRODUCT((Inputs!$C$5:$C$180=$B10)*ISNUMBER(INDEX(Inputs!$K$5:$AJ$180,0,MATCH(K$2,Inputs!$K$4:$AJ$4,0))))+SUMPRODUCT((Inputs!$E$5:$E$180=$B10)*ISNUMBER(INDEX(Inputs!$K$5:$AJ$180,0,MATCH(K$2,Inputs!$K$4:$AJ$4,0))))=0,NA(),SUMPRODUCT((Inputs!$A$5:$A$180=$B10)*Inputs!$B$5:$B$180*(((Inputs!$G$5:$G$180="moeda")+(Inputs!$G$5:$G$180="acoes"))*Inputs!$B$1+((Inputs!$G$5:$G$180&lt;&gt;"moeda")*(Inputs!$G$5:$G$180&lt;&gt;"acoes")))*INDEX(Inputs!$K$5:$AJ$180,0,MATCH(K$2,Inputs!$K$4:$AJ$4,0)))+SUMPRODUCT((Inputs!$C$5:$C$180=$B10)*Inputs!$D$5:$D$180*(((Inputs!$G$5:$G$180="moeda")+(Inputs!$G$5:$G$180="acoes"))*Inputs!$B$1+((Inputs!$G$5:$G$180&lt;&gt;"moeda")*(Inputs!$G$5:$G$180&lt;&gt;"acoes")))*INDEX(Inputs!$K$5:$AJ$180,0,MATCH(K$2,Inputs!$K$4:$AJ$4,0)))+SUMPRODUCT((Inputs!$E$5:$E$180=$B10)*Inputs!$F$5:$F$180*(((Inputs!$G$5:$G$180="moeda")+(Inputs!$G$5:$G$180="acoes"))*Inputs!$B$1+((Inputs!$G$5:$G$180&lt;&gt;"moeda")*(Inputs!$G$5:$G$180&lt;&gt;"acoes")))*INDEX(Inputs!$K$5:$AJ$180,0,MATCH(K$2,Inputs!$K$4:$AJ$4,0)))))</f>
        <v>-26.85181194</v>
      </c>
      <c r="L10" s="6">
        <f>IF(ISNA(MATCH(L$2,Inputs!$K$4:$AJ$4,0)),NA(),IF(SUMPRODUCT((Inputs!$A$5:$A$180=$B10)*ISNUMBER(INDEX(Inputs!$K$5:$AJ$180,0,MATCH(L$2,Inputs!$K$4:$AJ$4,0))))+SUMPRODUCT((Inputs!$C$5:$C$180=$B10)*ISNUMBER(INDEX(Inputs!$K$5:$AJ$180,0,MATCH(L$2,Inputs!$K$4:$AJ$4,0))))+SUMPRODUCT((Inputs!$E$5:$E$180=$B10)*ISNUMBER(INDEX(Inputs!$K$5:$AJ$180,0,MATCH(L$2,Inputs!$K$4:$AJ$4,0))))=0,NA(),SUMPRODUCT((Inputs!$A$5:$A$180=$B10)*Inputs!$B$5:$B$180*(((Inputs!$G$5:$G$180="moeda")+(Inputs!$G$5:$G$180="acoes"))*Inputs!$B$1+((Inputs!$G$5:$G$180&lt;&gt;"moeda")*(Inputs!$G$5:$G$180&lt;&gt;"acoes")))*INDEX(Inputs!$K$5:$AJ$180,0,MATCH(L$2,Inputs!$K$4:$AJ$4,0)))+SUMPRODUCT((Inputs!$C$5:$C$180=$B10)*Inputs!$D$5:$D$180*(((Inputs!$G$5:$G$180="moeda")+(Inputs!$G$5:$G$180="acoes"))*Inputs!$B$1+((Inputs!$G$5:$G$180&lt;&gt;"moeda")*(Inputs!$G$5:$G$180&lt;&gt;"acoes")))*INDEX(Inputs!$K$5:$AJ$180,0,MATCH(L$2,Inputs!$K$4:$AJ$4,0)))+SUMPRODUCT((Inputs!$E$5:$E$180=$B10)*Inputs!$F$5:$F$180*(((Inputs!$G$5:$G$180="moeda")+(Inputs!$G$5:$G$180="acoes"))*Inputs!$B$1+((Inputs!$G$5:$G$180&lt;&gt;"moeda")*(Inputs!$G$5:$G$180&lt;&gt;"acoes")))*INDEX(Inputs!$K$5:$AJ$180,0,MATCH(L$2,Inputs!$K$4:$AJ$4,0)))))</f>
        <v>0.17334404</v>
      </c>
      <c r="M10" s="3">
        <f>SUM(I10:L10)</f>
        <v>-96.66220696</v>
      </c>
      <c r="N10" s="6">
        <f>IF(ISNA(MATCH(N$2,Inputs!$K$4:$AJ$4,0)),NA(),IF(SUMPRODUCT((Inputs!$A$5:$A$180=$B10)*ISNUMBER(INDEX(Inputs!$K$5:$AJ$180,0,MATCH(N$2,Inputs!$K$4:$AJ$4,0))))+SUMPRODUCT((Inputs!$C$5:$C$180=$B10)*ISNUMBER(INDEX(Inputs!$K$5:$AJ$180,0,MATCH(N$2,Inputs!$K$4:$AJ$4,0))))+SUMPRODUCT((Inputs!$E$5:$E$180=$B10)*ISNUMBER(INDEX(Inputs!$K$5:$AJ$180,0,MATCH(N$2,Inputs!$K$4:$AJ$4,0))))=0,NA(),SUMPRODUCT((Inputs!$A$5:$A$180=$B10)*Inputs!$B$5:$B$180*(((Inputs!$G$5:$G$180="moeda")+(Inputs!$G$5:$G$180="acoes"))*Inputs!$B$1+((Inputs!$G$5:$G$180&lt;&gt;"moeda")*(Inputs!$G$5:$G$180&lt;&gt;"acoes")))*INDEX(Inputs!$K$5:$AJ$180,0,MATCH(N$2,Inputs!$K$4:$AJ$4,0)))+SUMPRODUCT((Inputs!$C$5:$C$180=$B10)*Inputs!$D$5:$D$180*(((Inputs!$G$5:$G$180="moeda")+(Inputs!$G$5:$G$180="acoes"))*Inputs!$B$1+((Inputs!$G$5:$G$180&lt;&gt;"moeda")*(Inputs!$G$5:$G$180&lt;&gt;"acoes")))*INDEX(Inputs!$K$5:$AJ$180,0,MATCH(N$2,Inputs!$K$4:$AJ$4,0)))+SUMPRODUCT((Inputs!$E$5:$E$180=$B10)*Inputs!$F$5:$F$180*(((Inputs!$G$5:$G$180="moeda")+(Inputs!$G$5:$G$180="acoes"))*Inputs!$B$1+((Inputs!$G$5:$G$180&lt;&gt;"moeda")*(Inputs!$G$5:$G$180&lt;&gt;"acoes")))*INDEX(Inputs!$K$5:$AJ$180,0,MATCH(N$2,Inputs!$K$4:$AJ$4,0)))))</f>
        <v>-31.1542375</v>
      </c>
      <c r="O10" s="6">
        <f>IF(ISNA(MATCH(O$2,Inputs!$K$4:$AJ$4,0)),NA(),IF(SUMPRODUCT((Inputs!$A$5:$A$180=$B10)*ISNUMBER(INDEX(Inputs!$K$5:$AJ$180,0,MATCH(O$2,Inputs!$K$4:$AJ$4,0))))+SUMPRODUCT((Inputs!$C$5:$C$180=$B10)*ISNUMBER(INDEX(Inputs!$K$5:$AJ$180,0,MATCH(O$2,Inputs!$K$4:$AJ$4,0))))+SUMPRODUCT((Inputs!$E$5:$E$180=$B10)*ISNUMBER(INDEX(Inputs!$K$5:$AJ$180,0,MATCH(O$2,Inputs!$K$4:$AJ$4,0))))=0,NA(),SUMPRODUCT((Inputs!$A$5:$A$180=$B10)*Inputs!$B$5:$B$180*(((Inputs!$G$5:$G$180="moeda")+(Inputs!$G$5:$G$180="acoes"))*Inputs!$B$1+((Inputs!$G$5:$G$180&lt;&gt;"moeda")*(Inputs!$G$5:$G$180&lt;&gt;"acoes")))*INDEX(Inputs!$K$5:$AJ$180,0,MATCH(O$2,Inputs!$K$4:$AJ$4,0)))+SUMPRODUCT((Inputs!$C$5:$C$180=$B10)*Inputs!$D$5:$D$180*(((Inputs!$G$5:$G$180="moeda")+(Inputs!$G$5:$G$180="acoes"))*Inputs!$B$1+((Inputs!$G$5:$G$180&lt;&gt;"moeda")*(Inputs!$G$5:$G$180&lt;&gt;"acoes")))*INDEX(Inputs!$K$5:$AJ$180,0,MATCH(O$2,Inputs!$K$4:$AJ$4,0)))+SUMPRODUCT((Inputs!$E$5:$E$180=$B10)*Inputs!$F$5:$F$180*(((Inputs!$G$5:$G$180="moeda")+(Inputs!$G$5:$G$180="acoes"))*Inputs!$B$1+((Inputs!$G$5:$G$180&lt;&gt;"moeda")*(Inputs!$G$5:$G$180&lt;&gt;"acoes")))*INDEX(Inputs!$K$5:$AJ$180,0,MATCH(O$2,Inputs!$K$4:$AJ$4,0)))))</f>
        <v>-24.2056574939299</v>
      </c>
      <c r="P10" s="6">
        <f>IF(ISNA(MATCH(P$2,Inputs!$K$4:$AJ$4,0)),NA(),IF(SUMPRODUCT((Inputs!$A$5:$A$180=$B10)*ISNUMBER(INDEX(Inputs!$K$5:$AJ$180,0,MATCH(P$2,Inputs!$K$4:$AJ$4,0))))+SUMPRODUCT((Inputs!$C$5:$C$180=$B10)*ISNUMBER(INDEX(Inputs!$K$5:$AJ$180,0,MATCH(P$2,Inputs!$K$4:$AJ$4,0))))+SUMPRODUCT((Inputs!$E$5:$E$180=$B10)*ISNUMBER(INDEX(Inputs!$K$5:$AJ$180,0,MATCH(P$2,Inputs!$K$4:$AJ$4,0))))=0,NA(),SUMPRODUCT((Inputs!$A$5:$A$180=$B10)*Inputs!$B$5:$B$180*(((Inputs!$G$5:$G$180="moeda")+(Inputs!$G$5:$G$180="acoes"))*Inputs!$B$1+((Inputs!$G$5:$G$180&lt;&gt;"moeda")*(Inputs!$G$5:$G$180&lt;&gt;"acoes")))*INDEX(Inputs!$K$5:$AJ$180,0,MATCH(P$2,Inputs!$K$4:$AJ$4,0)))+SUMPRODUCT((Inputs!$C$5:$C$180=$B10)*Inputs!$D$5:$D$180*(((Inputs!$G$5:$G$180="moeda")+(Inputs!$G$5:$G$180="acoes"))*Inputs!$B$1+((Inputs!$G$5:$G$180&lt;&gt;"moeda")*(Inputs!$G$5:$G$180&lt;&gt;"acoes")))*INDEX(Inputs!$K$5:$AJ$180,0,MATCH(P$2,Inputs!$K$4:$AJ$4,0)))+SUMPRODUCT((Inputs!$E$5:$E$180=$B10)*Inputs!$F$5:$F$180*(((Inputs!$G$5:$G$180="moeda")+(Inputs!$G$5:$G$180="acoes"))*Inputs!$B$1+((Inputs!$G$5:$G$180&lt;&gt;"moeda")*(Inputs!$G$5:$G$180&lt;&gt;"acoes")))*INDEX(Inputs!$K$5:$AJ$180,0,MATCH(P$2,Inputs!$K$4:$AJ$4,0)))))</f>
        <v>-43.257</v>
      </c>
      <c r="Q10" s="6">
        <f>IF(ISNA(MATCH(Q$2,Inputs!$K$4:$AJ$4,0)),NA(),IF(SUMPRODUCT((Inputs!$A$5:$A$180=$B10)*ISNUMBER(INDEX(Inputs!$K$5:$AJ$180,0,MATCH(Q$2,Inputs!$K$4:$AJ$4,0))))+SUMPRODUCT((Inputs!$C$5:$C$180=$B10)*ISNUMBER(INDEX(Inputs!$K$5:$AJ$180,0,MATCH(Q$2,Inputs!$K$4:$AJ$4,0))))+SUMPRODUCT((Inputs!$E$5:$E$180=$B10)*ISNUMBER(INDEX(Inputs!$K$5:$AJ$180,0,MATCH(Q$2,Inputs!$K$4:$AJ$4,0))))=0,NA(),SUMPRODUCT((Inputs!$A$5:$A$180=$B10)*Inputs!$B$5:$B$180*(((Inputs!$G$5:$G$180="moeda")+(Inputs!$G$5:$G$180="acoes"))*Inputs!$B$1+((Inputs!$G$5:$G$180&lt;&gt;"moeda")*(Inputs!$G$5:$G$180&lt;&gt;"acoes")))*INDEX(Inputs!$K$5:$AJ$180,0,MATCH(Q$2,Inputs!$K$4:$AJ$4,0)))+SUMPRODUCT((Inputs!$C$5:$C$180=$B10)*Inputs!$D$5:$D$180*(((Inputs!$G$5:$G$180="moeda")+(Inputs!$G$5:$G$180="acoes"))*Inputs!$B$1+((Inputs!$G$5:$G$180&lt;&gt;"moeda")*(Inputs!$G$5:$G$180&lt;&gt;"acoes")))*INDEX(Inputs!$K$5:$AJ$180,0,MATCH(Q$2,Inputs!$K$4:$AJ$4,0)))+SUMPRODUCT((Inputs!$E$5:$E$180=$B10)*Inputs!$F$5:$F$180*(((Inputs!$G$5:$G$180="moeda")+(Inputs!$G$5:$G$180="acoes"))*Inputs!$B$1+((Inputs!$G$5:$G$180&lt;&gt;"moeda")*(Inputs!$G$5:$G$180&lt;&gt;"acoes")))*INDEX(Inputs!$K$5:$AJ$180,0,MATCH(Q$2,Inputs!$K$4:$AJ$4,0)))))</f>
        <v>-11.8881050060701</v>
      </c>
      <c r="R10" s="3">
        <f>SUM(N10:Q10)</f>
        <v>-110.505</v>
      </c>
      <c r="S10" s="6">
        <f>IF(ISNA(MATCH(S$2,Inputs!$K$4:$AJ$4,0)),NA(),IF(SUMPRODUCT((Inputs!$A$5:$A$180=$B10)*ISNUMBER(INDEX(Inputs!$K$5:$AJ$180,0,MATCH(S$2,Inputs!$K$4:$AJ$4,0))))+SUMPRODUCT((Inputs!$C$5:$C$180=$B10)*ISNUMBER(INDEX(Inputs!$K$5:$AJ$180,0,MATCH(S$2,Inputs!$K$4:$AJ$4,0))))+SUMPRODUCT((Inputs!$E$5:$E$180=$B10)*ISNUMBER(INDEX(Inputs!$K$5:$AJ$180,0,MATCH(S$2,Inputs!$K$4:$AJ$4,0))))=0,NA(),SUMPRODUCT((Inputs!$A$5:$A$180=$B10)*Inputs!$B$5:$B$180*(((Inputs!$G$5:$G$180="moeda")+(Inputs!$G$5:$G$180="acoes"))*Inputs!$B$1+((Inputs!$G$5:$G$180&lt;&gt;"moeda")*(Inputs!$G$5:$G$180&lt;&gt;"acoes")))*INDEX(Inputs!$K$5:$AJ$180,0,MATCH(S$2,Inputs!$K$4:$AJ$4,0)))+SUMPRODUCT((Inputs!$C$5:$C$180=$B10)*Inputs!$D$5:$D$180*(((Inputs!$G$5:$G$180="moeda")+(Inputs!$G$5:$G$180="acoes"))*Inputs!$B$1+((Inputs!$G$5:$G$180&lt;&gt;"moeda")*(Inputs!$G$5:$G$180&lt;&gt;"acoes")))*INDEX(Inputs!$K$5:$AJ$180,0,MATCH(S$2,Inputs!$K$4:$AJ$4,0)))+SUMPRODUCT((Inputs!$E$5:$E$180=$B10)*Inputs!$F$5:$F$180*(((Inputs!$G$5:$G$180="moeda")+(Inputs!$G$5:$G$180="acoes"))*Inputs!$B$1+((Inputs!$G$5:$G$180&lt;&gt;"moeda")*(Inputs!$G$5:$G$180&lt;&gt;"acoes")))*INDEX(Inputs!$K$5:$AJ$180,0,MATCH(S$2,Inputs!$K$4:$AJ$4,0)))))</f>
        <v>-48.642</v>
      </c>
      <c r="T10" s="6">
        <f>IF(ISNA(MATCH(T$2,Inputs!$K$4:$AJ$4,0)),NA(),IF(SUMPRODUCT((Inputs!$A$5:$A$180=$B10)*ISNUMBER(INDEX(Inputs!$K$5:$AJ$180,0,MATCH(T$2,Inputs!$K$4:$AJ$4,0))))+SUMPRODUCT((Inputs!$C$5:$C$180=$B10)*ISNUMBER(INDEX(Inputs!$K$5:$AJ$180,0,MATCH(T$2,Inputs!$K$4:$AJ$4,0))))+SUMPRODUCT((Inputs!$E$5:$E$180=$B10)*ISNUMBER(INDEX(Inputs!$K$5:$AJ$180,0,MATCH(T$2,Inputs!$K$4:$AJ$4,0))))=0,NA(),SUMPRODUCT((Inputs!$A$5:$A$180=$B10)*Inputs!$B$5:$B$180*(((Inputs!$G$5:$G$180="moeda")+(Inputs!$G$5:$G$180="acoes"))*Inputs!$B$1+((Inputs!$G$5:$G$180&lt;&gt;"moeda")*(Inputs!$G$5:$G$180&lt;&gt;"acoes")))*INDEX(Inputs!$K$5:$AJ$180,0,MATCH(T$2,Inputs!$K$4:$AJ$4,0)))+SUMPRODUCT((Inputs!$C$5:$C$180=$B10)*Inputs!$D$5:$D$180*(((Inputs!$G$5:$G$180="moeda")+(Inputs!$G$5:$G$180="acoes"))*Inputs!$B$1+((Inputs!$G$5:$G$180&lt;&gt;"moeda")*(Inputs!$G$5:$G$180&lt;&gt;"acoes")))*INDEX(Inputs!$K$5:$AJ$180,0,MATCH(T$2,Inputs!$K$4:$AJ$4,0)))+SUMPRODUCT((Inputs!$E$5:$E$180=$B10)*Inputs!$F$5:$F$180*(((Inputs!$G$5:$G$180="moeda")+(Inputs!$G$5:$G$180="acoes"))*Inputs!$B$1+((Inputs!$G$5:$G$180&lt;&gt;"moeda")*(Inputs!$G$5:$G$180&lt;&gt;"acoes")))*INDEX(Inputs!$K$5:$AJ$180,0,MATCH(T$2,Inputs!$K$4:$AJ$4,0)))))</f>
        <v>-55.949</v>
      </c>
      <c r="U10" s="6">
        <f>IF(ISNA(MATCH(U$2,Inputs!$K$4:$AJ$4,0)),NA(),IF(SUMPRODUCT((Inputs!$A$5:$A$180=$B10)*ISNUMBER(INDEX(Inputs!$K$5:$AJ$180,0,MATCH(U$2,Inputs!$K$4:$AJ$4,0))))+SUMPRODUCT((Inputs!$C$5:$C$180=$B10)*ISNUMBER(INDEX(Inputs!$K$5:$AJ$180,0,MATCH(U$2,Inputs!$K$4:$AJ$4,0))))+SUMPRODUCT((Inputs!$E$5:$E$180=$B10)*ISNUMBER(INDEX(Inputs!$K$5:$AJ$180,0,MATCH(U$2,Inputs!$K$4:$AJ$4,0))))=0,NA(),SUMPRODUCT((Inputs!$A$5:$A$180=$B10)*Inputs!$B$5:$B$180*(((Inputs!$G$5:$G$180="moeda")+(Inputs!$G$5:$G$180="acoes"))*Inputs!$B$1+((Inputs!$G$5:$G$180&lt;&gt;"moeda")*(Inputs!$G$5:$G$180&lt;&gt;"acoes")))*INDEX(Inputs!$K$5:$AJ$180,0,MATCH(U$2,Inputs!$K$4:$AJ$4,0)))+SUMPRODUCT((Inputs!$C$5:$C$180=$B10)*Inputs!$D$5:$D$180*(((Inputs!$G$5:$G$180="moeda")+(Inputs!$G$5:$G$180="acoes"))*Inputs!$B$1+((Inputs!$G$5:$G$180&lt;&gt;"moeda")*(Inputs!$G$5:$G$180&lt;&gt;"acoes")))*INDEX(Inputs!$K$5:$AJ$180,0,MATCH(U$2,Inputs!$K$4:$AJ$4,0)))+SUMPRODUCT((Inputs!$E$5:$E$180=$B10)*Inputs!$F$5:$F$180*(((Inputs!$G$5:$G$180="moeda")+(Inputs!$G$5:$G$180="acoes"))*Inputs!$B$1+((Inputs!$G$5:$G$180&lt;&gt;"moeda")*(Inputs!$G$5:$G$180&lt;&gt;"acoes")))*INDEX(Inputs!$K$5:$AJ$180,0,MATCH(U$2,Inputs!$K$4:$AJ$4,0)))))</f>
        <v>-57.35</v>
      </c>
      <c r="V10" s="6">
        <f>IF(ISNA(MATCH(V$2,Inputs!$K$4:$AJ$4,0)),NA(),IF(SUMPRODUCT((Inputs!$A$5:$A$180=$B10)*ISNUMBER(INDEX(Inputs!$K$5:$AJ$180,0,MATCH(V$2,Inputs!$K$4:$AJ$4,0))))+SUMPRODUCT((Inputs!$C$5:$C$180=$B10)*ISNUMBER(INDEX(Inputs!$K$5:$AJ$180,0,MATCH(V$2,Inputs!$K$4:$AJ$4,0))))+SUMPRODUCT((Inputs!$E$5:$E$180=$B10)*ISNUMBER(INDEX(Inputs!$K$5:$AJ$180,0,MATCH(V$2,Inputs!$K$4:$AJ$4,0))))=0,NA(),SUMPRODUCT((Inputs!$A$5:$A$180=$B10)*Inputs!$B$5:$B$180*(((Inputs!$G$5:$G$180="moeda")+(Inputs!$G$5:$G$180="acoes"))*Inputs!$B$1+((Inputs!$G$5:$G$180&lt;&gt;"moeda")*(Inputs!$G$5:$G$180&lt;&gt;"acoes")))*INDEX(Inputs!$K$5:$AJ$180,0,MATCH(V$2,Inputs!$K$4:$AJ$4,0)))+SUMPRODUCT((Inputs!$C$5:$C$180=$B10)*Inputs!$D$5:$D$180*(((Inputs!$G$5:$G$180="moeda")+(Inputs!$G$5:$G$180="acoes"))*Inputs!$B$1+((Inputs!$G$5:$G$180&lt;&gt;"moeda")*(Inputs!$G$5:$G$180&lt;&gt;"acoes")))*INDEX(Inputs!$K$5:$AJ$180,0,MATCH(V$2,Inputs!$K$4:$AJ$4,0)))+SUMPRODUCT((Inputs!$E$5:$E$180=$B10)*Inputs!$F$5:$F$180*(((Inputs!$G$5:$G$180="moeda")+(Inputs!$G$5:$G$180="acoes"))*Inputs!$B$1+((Inputs!$G$5:$G$180&lt;&gt;"moeda")*(Inputs!$G$5:$G$180&lt;&gt;"acoes")))*INDEX(Inputs!$K$5:$AJ$180,0,MATCH(V$2,Inputs!$K$4:$AJ$4,0)))))</f>
        <v>-20.816</v>
      </c>
      <c r="W10" s="3">
        <f>SUM(S10:V10)</f>
        <v>-182.757</v>
      </c>
      <c r="X10" s="6">
        <f>IF(ISNA(MATCH(X$2,Inputs!$K$4:$AJ$4,0)),NA(),IF(SUMPRODUCT((Inputs!$A$5:$A$180=$B10)*ISNUMBER(INDEX(Inputs!$K$5:$AJ$180,0,MATCH(X$2,Inputs!$K$4:$AJ$4,0))))+SUMPRODUCT((Inputs!$C$5:$C$180=$B10)*ISNUMBER(INDEX(Inputs!$K$5:$AJ$180,0,MATCH(X$2,Inputs!$K$4:$AJ$4,0))))+SUMPRODUCT((Inputs!$E$5:$E$180=$B10)*ISNUMBER(INDEX(Inputs!$K$5:$AJ$180,0,MATCH(X$2,Inputs!$K$4:$AJ$4,0))))=0,NA(),SUMPRODUCT((Inputs!$A$5:$A$180=$B10)*Inputs!$B$5:$B$180*(((Inputs!$G$5:$G$180="moeda")+(Inputs!$G$5:$G$180="acoes"))*Inputs!$B$1+((Inputs!$G$5:$G$180&lt;&gt;"moeda")*(Inputs!$G$5:$G$180&lt;&gt;"acoes")))*INDEX(Inputs!$K$5:$AJ$180,0,MATCH(X$2,Inputs!$K$4:$AJ$4,0)))+SUMPRODUCT((Inputs!$C$5:$C$180=$B10)*Inputs!$D$5:$D$180*(((Inputs!$G$5:$G$180="moeda")+(Inputs!$G$5:$G$180="acoes"))*Inputs!$B$1+((Inputs!$G$5:$G$180&lt;&gt;"moeda")*(Inputs!$G$5:$G$180&lt;&gt;"acoes")))*INDEX(Inputs!$K$5:$AJ$180,0,MATCH(X$2,Inputs!$K$4:$AJ$4,0)))+SUMPRODUCT((Inputs!$E$5:$E$180=$B10)*Inputs!$F$5:$F$180*(((Inputs!$G$5:$G$180="moeda")+(Inputs!$G$5:$G$180="acoes"))*Inputs!$B$1+((Inputs!$G$5:$G$180&lt;&gt;"moeda")*(Inputs!$G$5:$G$180&lt;&gt;"acoes")))*INDEX(Inputs!$K$5:$AJ$180,0,MATCH(X$2,Inputs!$K$4:$AJ$4,0)))))</f>
        <v>-54.01302</v>
      </c>
      <c r="Y10" s="6">
        <f>IF(ISNA(MATCH(Y$2,Inputs!$K$4:$AJ$4,0)),NA(),IF(SUMPRODUCT((Inputs!$A$5:$A$180=$B10)*ISNUMBER(INDEX(Inputs!$K$5:$AJ$180,0,MATCH(Y$2,Inputs!$K$4:$AJ$4,0))))+SUMPRODUCT((Inputs!$C$5:$C$180=$B10)*ISNUMBER(INDEX(Inputs!$K$5:$AJ$180,0,MATCH(Y$2,Inputs!$K$4:$AJ$4,0))))+SUMPRODUCT((Inputs!$E$5:$E$180=$B10)*ISNUMBER(INDEX(Inputs!$K$5:$AJ$180,0,MATCH(Y$2,Inputs!$K$4:$AJ$4,0))))=0,NA(),SUMPRODUCT((Inputs!$A$5:$A$180=$B10)*Inputs!$B$5:$B$180*(((Inputs!$G$5:$G$180="moeda")+(Inputs!$G$5:$G$180="acoes"))*Inputs!$B$1+((Inputs!$G$5:$G$180&lt;&gt;"moeda")*(Inputs!$G$5:$G$180&lt;&gt;"acoes")))*INDEX(Inputs!$K$5:$AJ$180,0,MATCH(Y$2,Inputs!$K$4:$AJ$4,0)))+SUMPRODUCT((Inputs!$C$5:$C$180=$B10)*Inputs!$D$5:$D$180*(((Inputs!$G$5:$G$180="moeda")+(Inputs!$G$5:$G$180="acoes"))*Inputs!$B$1+((Inputs!$G$5:$G$180&lt;&gt;"moeda")*(Inputs!$G$5:$G$180&lt;&gt;"acoes")))*INDEX(Inputs!$K$5:$AJ$180,0,MATCH(Y$2,Inputs!$K$4:$AJ$4,0)))+SUMPRODUCT((Inputs!$E$5:$E$180=$B10)*Inputs!$F$5:$F$180*(((Inputs!$G$5:$G$180="moeda")+(Inputs!$G$5:$G$180="acoes"))*Inputs!$B$1+((Inputs!$G$5:$G$180&lt;&gt;"moeda")*(Inputs!$G$5:$G$180&lt;&gt;"acoes")))*INDEX(Inputs!$K$5:$AJ$180,0,MATCH(Y$2,Inputs!$K$4:$AJ$4,0)))))</f>
        <v>-44.404</v>
      </c>
      <c r="Z10" s="6">
        <f>IF(ISNA(MATCH(Z$2,Inputs!$K$4:$AJ$4,0)),NA(),IF(SUMPRODUCT((Inputs!$A$5:$A$180=$B10)*ISNUMBER(INDEX(Inputs!$K$5:$AJ$180,0,MATCH(Z$2,Inputs!$K$4:$AJ$4,0))))+SUMPRODUCT((Inputs!$C$5:$C$180=$B10)*ISNUMBER(INDEX(Inputs!$K$5:$AJ$180,0,MATCH(Z$2,Inputs!$K$4:$AJ$4,0))))+SUMPRODUCT((Inputs!$E$5:$E$180=$B10)*ISNUMBER(INDEX(Inputs!$K$5:$AJ$180,0,MATCH(Z$2,Inputs!$K$4:$AJ$4,0))))=0,NA(),SUMPRODUCT((Inputs!$A$5:$A$180=$B10)*Inputs!$B$5:$B$180*(((Inputs!$G$5:$G$180="moeda")+(Inputs!$G$5:$G$180="acoes"))*Inputs!$B$1+((Inputs!$G$5:$G$180&lt;&gt;"moeda")*(Inputs!$G$5:$G$180&lt;&gt;"acoes")))*INDEX(Inputs!$K$5:$AJ$180,0,MATCH(Z$2,Inputs!$K$4:$AJ$4,0)))+SUMPRODUCT((Inputs!$C$5:$C$180=$B10)*Inputs!$D$5:$D$180*(((Inputs!$G$5:$G$180="moeda")+(Inputs!$G$5:$G$180="acoes"))*Inputs!$B$1+((Inputs!$G$5:$G$180&lt;&gt;"moeda")*(Inputs!$G$5:$G$180&lt;&gt;"acoes")))*INDEX(Inputs!$K$5:$AJ$180,0,MATCH(Z$2,Inputs!$K$4:$AJ$4,0)))+SUMPRODUCT((Inputs!$E$5:$E$180=$B10)*Inputs!$F$5:$F$180*(((Inputs!$G$5:$G$180="moeda")+(Inputs!$G$5:$G$180="acoes"))*Inputs!$B$1+((Inputs!$G$5:$G$180&lt;&gt;"moeda")*(Inputs!$G$5:$G$180&lt;&gt;"acoes")))*INDEX(Inputs!$K$5:$AJ$180,0,MATCH(Z$2,Inputs!$K$4:$AJ$4,0)))))</f>
        <v>-53.90447839</v>
      </c>
      <c r="AA10" s="6">
        <f>IF(ISNA(MATCH(AA$2,Inputs!$K$4:$AJ$4,0)),NA(),IF(SUMPRODUCT((Inputs!$A$5:$A$180=$B10)*ISNUMBER(INDEX(Inputs!$K$5:$AJ$180,0,MATCH(AA$2,Inputs!$K$4:$AJ$4,0))))+SUMPRODUCT((Inputs!$C$5:$C$180=$B10)*ISNUMBER(INDEX(Inputs!$K$5:$AJ$180,0,MATCH(AA$2,Inputs!$K$4:$AJ$4,0))))+SUMPRODUCT((Inputs!$E$5:$E$180=$B10)*ISNUMBER(INDEX(Inputs!$K$5:$AJ$180,0,MATCH(AA$2,Inputs!$K$4:$AJ$4,0))))=0,NA(),SUMPRODUCT((Inputs!$A$5:$A$180=$B10)*Inputs!$B$5:$B$180*(((Inputs!$G$5:$G$180="moeda")+(Inputs!$G$5:$G$180="acoes"))*Inputs!$B$1+((Inputs!$G$5:$G$180&lt;&gt;"moeda")*(Inputs!$G$5:$G$180&lt;&gt;"acoes")))*INDEX(Inputs!$K$5:$AJ$180,0,MATCH(AA$2,Inputs!$K$4:$AJ$4,0)))+SUMPRODUCT((Inputs!$C$5:$C$180=$B10)*Inputs!$D$5:$D$180*(((Inputs!$G$5:$G$180="moeda")+(Inputs!$G$5:$G$180="acoes"))*Inputs!$B$1+((Inputs!$G$5:$G$180&lt;&gt;"moeda")*(Inputs!$G$5:$G$180&lt;&gt;"acoes")))*INDEX(Inputs!$K$5:$AJ$180,0,MATCH(AA$2,Inputs!$K$4:$AJ$4,0)))+SUMPRODUCT((Inputs!$E$5:$E$180=$B10)*Inputs!$F$5:$F$180*(((Inputs!$G$5:$G$180="moeda")+(Inputs!$G$5:$G$180="acoes"))*Inputs!$B$1+((Inputs!$G$5:$G$180&lt;&gt;"moeda")*(Inputs!$G$5:$G$180&lt;&gt;"acoes")))*INDEX(Inputs!$K$5:$AJ$180,0,MATCH(AA$2,Inputs!$K$4:$AJ$4,0)))))</f>
        <v>-4.21478333</v>
      </c>
      <c r="AB10" s="3">
        <f>SUM(X10:AA10)</f>
        <v>-156.53628172</v>
      </c>
      <c r="AC10" s="6">
        <f>IF(ISNA(MATCH(AC$2,Inputs!$K$4:$AJ$4,0)),NA(),IF(SUMPRODUCT((Inputs!$A$5:$A$180=$B10)*ISNUMBER(INDEX(Inputs!$K$5:$AJ$180,0,MATCH(AC$2,Inputs!$K$4:$AJ$4,0))))+SUMPRODUCT((Inputs!$C$5:$C$180=$B10)*ISNUMBER(INDEX(Inputs!$K$5:$AJ$180,0,MATCH(AC$2,Inputs!$K$4:$AJ$4,0))))+SUMPRODUCT((Inputs!$E$5:$E$180=$B10)*ISNUMBER(INDEX(Inputs!$K$5:$AJ$180,0,MATCH(AC$2,Inputs!$K$4:$AJ$4,0))))=0,NA(),SUMPRODUCT((Inputs!$A$5:$A$180=$B10)*Inputs!$B$5:$B$180*(((Inputs!$G$5:$G$180="moeda")+(Inputs!$G$5:$G$180="acoes"))*Inputs!$B$1+((Inputs!$G$5:$G$180&lt;&gt;"moeda")*(Inputs!$G$5:$G$180&lt;&gt;"acoes")))*INDEX(Inputs!$K$5:$AJ$180,0,MATCH(AC$2,Inputs!$K$4:$AJ$4,0)))+SUMPRODUCT((Inputs!$C$5:$C$180=$B10)*Inputs!$D$5:$D$180*(((Inputs!$G$5:$G$180="moeda")+(Inputs!$G$5:$G$180="acoes"))*Inputs!$B$1+((Inputs!$G$5:$G$180&lt;&gt;"moeda")*(Inputs!$G$5:$G$180&lt;&gt;"acoes")))*INDEX(Inputs!$K$5:$AJ$180,0,MATCH(AC$2,Inputs!$K$4:$AJ$4,0)))+SUMPRODUCT((Inputs!$E$5:$E$180=$B10)*Inputs!$F$5:$F$180*(((Inputs!$G$5:$G$180="moeda")+(Inputs!$G$5:$G$180="acoes"))*Inputs!$B$1+((Inputs!$G$5:$G$180&lt;&gt;"moeda")*(Inputs!$G$5:$G$180&lt;&gt;"acoes")))*INDEX(Inputs!$K$5:$AJ$180,0,MATCH(AC$2,Inputs!$K$4:$AJ$4,0)))))</f>
        <v>-55.10018466</v>
      </c>
      <c r="AD10" s="6">
        <f>IF(ISNA(MATCH(AD$2,Inputs!$K$4:$AJ$4,0)),NA(),IF(SUMPRODUCT((Inputs!$A$5:$A$180=$B10)*ISNUMBER(INDEX(Inputs!$K$5:$AJ$180,0,MATCH(AD$2,Inputs!$K$4:$AJ$4,0))))+SUMPRODUCT((Inputs!$C$5:$C$180=$B10)*ISNUMBER(INDEX(Inputs!$K$5:$AJ$180,0,MATCH(AD$2,Inputs!$K$4:$AJ$4,0))))+SUMPRODUCT((Inputs!$E$5:$E$180=$B10)*ISNUMBER(INDEX(Inputs!$K$5:$AJ$180,0,MATCH(AD$2,Inputs!$K$4:$AJ$4,0))))=0,NA(),SUMPRODUCT((Inputs!$A$5:$A$180=$B10)*Inputs!$B$5:$B$180*(((Inputs!$G$5:$G$180="moeda")+(Inputs!$G$5:$G$180="acoes"))*Inputs!$B$1+((Inputs!$G$5:$G$180&lt;&gt;"moeda")*(Inputs!$G$5:$G$180&lt;&gt;"acoes")))*INDEX(Inputs!$K$5:$AJ$180,0,MATCH(AD$2,Inputs!$K$4:$AJ$4,0)))+SUMPRODUCT((Inputs!$C$5:$C$180=$B10)*Inputs!$D$5:$D$180*(((Inputs!$G$5:$G$180="moeda")+(Inputs!$G$5:$G$180="acoes"))*Inputs!$B$1+((Inputs!$G$5:$G$180&lt;&gt;"moeda")*(Inputs!$G$5:$G$180&lt;&gt;"acoes")))*INDEX(Inputs!$K$5:$AJ$180,0,MATCH(AD$2,Inputs!$K$4:$AJ$4,0)))+SUMPRODUCT((Inputs!$E$5:$E$180=$B10)*Inputs!$F$5:$F$180*(((Inputs!$G$5:$G$180="moeda")+(Inputs!$G$5:$G$180="acoes"))*Inputs!$B$1+((Inputs!$G$5:$G$180&lt;&gt;"moeda")*(Inputs!$G$5:$G$180&lt;&gt;"acoes")))*INDEX(Inputs!$K$5:$AJ$180,0,MATCH(AD$2,Inputs!$K$4:$AJ$4,0)))))</f>
        <v>-61.143775</v>
      </c>
      <c r="AE10" s="6" t="e">
        <f>IF(ISNA(MATCH(AE$2,Inputs!$K$4:$AJ$4,0)),NA(),IF(SUMPRODUCT((Inputs!$A$5:$A$180=$B10)*ISNUMBER(INDEX(Inputs!$K$5:$AJ$180,0,MATCH(AE$2,Inputs!$K$4:$AJ$4,0))))+SUMPRODUCT((Inputs!$C$5:$C$180=$B10)*ISNUMBER(INDEX(Inputs!$K$5:$AJ$180,0,MATCH(AE$2,Inputs!$K$4:$AJ$4,0))))+SUMPRODUCT((Inputs!$E$5:$E$180=$B10)*ISNUMBER(INDEX(Inputs!$K$5:$AJ$180,0,MATCH(AE$2,Inputs!$K$4:$AJ$4,0))))=0,NA(),SUMPRODUCT((Inputs!$A$5:$A$180=$B10)*Inputs!$B$5:$B$180*(((Inputs!$G$5:$G$180="moeda")+(Inputs!$G$5:$G$180="acoes"))*Inputs!$B$1+((Inputs!$G$5:$G$180&lt;&gt;"moeda")*(Inputs!$G$5:$G$180&lt;&gt;"acoes")))*INDEX(Inputs!$K$5:$AJ$180,0,MATCH(AE$2,Inputs!$K$4:$AJ$4,0)))+SUMPRODUCT((Inputs!$C$5:$C$180=$B10)*Inputs!$D$5:$D$180*(((Inputs!$G$5:$G$180="moeda")+(Inputs!$G$5:$G$180="acoes"))*Inputs!$B$1+((Inputs!$G$5:$G$180&lt;&gt;"moeda")*(Inputs!$G$5:$G$180&lt;&gt;"acoes")))*INDEX(Inputs!$K$5:$AJ$180,0,MATCH(AE$2,Inputs!$K$4:$AJ$4,0)))+SUMPRODUCT((Inputs!$E$5:$E$180=$B10)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0" s="6" t="e">
        <f>IF(ISNA(MATCH(AF$2,Inputs!$K$4:$AJ$4,0)),NA(),IF(SUMPRODUCT((Inputs!$A$5:$A$180=$B10)*ISNUMBER(INDEX(Inputs!$K$5:$AJ$180,0,MATCH(AF$2,Inputs!$K$4:$AJ$4,0))))+SUMPRODUCT((Inputs!$C$5:$C$180=$B10)*ISNUMBER(INDEX(Inputs!$K$5:$AJ$180,0,MATCH(AF$2,Inputs!$K$4:$AJ$4,0))))+SUMPRODUCT((Inputs!$E$5:$E$180=$B10)*ISNUMBER(INDEX(Inputs!$K$5:$AJ$180,0,MATCH(AF$2,Inputs!$K$4:$AJ$4,0))))=0,NA(),SUMPRODUCT((Inputs!$A$5:$A$180=$B10)*Inputs!$B$5:$B$180*(((Inputs!$G$5:$G$180="moeda")+(Inputs!$G$5:$G$180="acoes"))*Inputs!$B$1+((Inputs!$G$5:$G$180&lt;&gt;"moeda")*(Inputs!$G$5:$G$180&lt;&gt;"acoes")))*INDEX(Inputs!$K$5:$AJ$180,0,MATCH(AF$2,Inputs!$K$4:$AJ$4,0)))+SUMPRODUCT((Inputs!$C$5:$C$180=$B10)*Inputs!$D$5:$D$180*(((Inputs!$G$5:$G$180="moeda")+(Inputs!$G$5:$G$180="acoes"))*Inputs!$B$1+((Inputs!$G$5:$G$180&lt;&gt;"moeda")*(Inputs!$G$5:$G$180&lt;&gt;"acoes")))*INDEX(Inputs!$K$5:$AJ$180,0,MATCH(AF$2,Inputs!$K$4:$AJ$4,0)))+SUMPRODUCT((Inputs!$E$5:$E$180=$B10)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$180=$B10)*ISNUMBER(INDEX(Inputs!$K$5:$AJ$180,0,MATCH(AH$2,Inputs!$K$4:$AJ$4,0))))+SUMPRODUCT((Inputs!$C$5:$C$180=$B10)*ISNUMBER(INDEX(Inputs!$K$5:$AJ$180,0,MATCH(AH$2,Inputs!$K$4:$AJ$4,0))))+SUMPRODUCT((Inputs!$E$5:$E$180=$B10)*ISNUMBER(INDEX(Inputs!$K$5:$AJ$180,0,MATCH(AH$2,Inputs!$K$4:$AJ$4,0))))=0,NA(),SUMPRODUCT((Inputs!$A$5:$A$180=$B10)*Inputs!$B$5:$B$180*(((Inputs!$G$5:$G$180="moeda")+(Inputs!$G$5:$G$180="acoes"))*Inputs!$B$1+((Inputs!$G$5:$G$180&lt;&gt;"moeda")*(Inputs!$G$5:$G$180&lt;&gt;"acoes")))*INDEX(Inputs!$K$5:$AJ$180,0,MATCH(AH$2,Inputs!$K$4:$AJ$4,0)))+SUMPRODUCT((Inputs!$C$5:$C$180=$B10)*Inputs!$D$5:$D$180*(((Inputs!$G$5:$G$180="moeda")+(Inputs!$G$5:$G$180="acoes"))*Inputs!$B$1+((Inputs!$G$5:$G$180&lt;&gt;"moeda")*(Inputs!$G$5:$G$180&lt;&gt;"acoes")))*INDEX(Inputs!$K$5:$AJ$180,0,MATCH(AH$2,Inputs!$K$4:$AJ$4,0)))+SUMPRODUCT((Inputs!$E$5:$E$180=$B10)*Inputs!$F$5:$F$180*(((Inputs!$G$5:$G$180="moeda")+(Inputs!$G$5:$G$180="acoes"))*Inputs!$B$1+((Inputs!$G$5:$G$180&lt;&gt;"moeda")*(Inputs!$G$5:$G$180&lt;&gt;"acoes")))*INDEX(Inputs!$K$5:$AJ$180,0,MATCH(AH$2,Inputs!$K$4:$AJ$4,0)))))</f>
        <v>-21.17096331</v>
      </c>
      <c r="AI10" s="6">
        <f>IF(ISNA(MATCH(AI$2,Inputs!$K$4:$AJ$4,0)),NA(),IF(SUMPRODUCT((Inputs!$A$5:$A$180=$B10)*ISNUMBER(INDEX(Inputs!$K$5:$AJ$180,0,MATCH(AI$2,Inputs!$K$4:$AJ$4,0))))+SUMPRODUCT((Inputs!$C$5:$C$180=$B10)*ISNUMBER(INDEX(Inputs!$K$5:$AJ$180,0,MATCH(AI$2,Inputs!$K$4:$AJ$4,0))))+SUMPRODUCT((Inputs!$E$5:$E$180=$B10)*ISNUMBER(INDEX(Inputs!$K$5:$AJ$180,0,MATCH(AI$2,Inputs!$K$4:$AJ$4,0))))=0,NA(),SUMPRODUCT((Inputs!$A$5:$A$180=$B10)*Inputs!$B$5:$B$180*(((Inputs!$G$5:$G$180="moeda")+(Inputs!$G$5:$G$180="acoes"))*Inputs!$B$1+((Inputs!$G$5:$G$180&lt;&gt;"moeda")*(Inputs!$G$5:$G$180&lt;&gt;"acoes")))*INDEX(Inputs!$K$5:$AJ$180,0,MATCH(AI$2,Inputs!$K$4:$AJ$4,0)))+SUMPRODUCT((Inputs!$C$5:$C$180=$B10)*Inputs!$D$5:$D$180*(((Inputs!$G$5:$G$180="moeda")+(Inputs!$G$5:$G$180="acoes"))*Inputs!$B$1+((Inputs!$G$5:$G$180&lt;&gt;"moeda")*(Inputs!$G$5:$G$180&lt;&gt;"acoes")))*INDEX(Inputs!$K$5:$AJ$180,0,MATCH(AI$2,Inputs!$K$4:$AJ$4,0)))+SUMPRODUCT((Inputs!$E$5:$E$180=$B10)*Inputs!$F$5:$F$180*(((Inputs!$G$5:$G$180="moeda")+(Inputs!$G$5:$G$180="acoes"))*Inputs!$B$1+((Inputs!$G$5:$G$180&lt;&gt;"moeda")*(Inputs!$G$5:$G$180&lt;&gt;"acoes")))*INDEX(Inputs!$K$5:$AJ$180,0,MATCH(AI$2,Inputs!$K$4:$AJ$4,0)))))</f>
        <v>29.41262276</v>
      </c>
      <c r="AJ10" s="6">
        <f>IF(ISNA(MATCH(AJ$2,Inputs!$K$4:$AJ$4,0)),NA(),IF(SUMPRODUCT((Inputs!$A$5:$A$180=$B10)*ISNUMBER(INDEX(Inputs!$K$5:$AJ$180,0,MATCH(AJ$2,Inputs!$K$4:$AJ$4,0))))+SUMPRODUCT((Inputs!$C$5:$C$180=$B10)*ISNUMBER(INDEX(Inputs!$K$5:$AJ$180,0,MATCH(AJ$2,Inputs!$K$4:$AJ$4,0))))+SUMPRODUCT((Inputs!$E$5:$E$180=$B10)*ISNUMBER(INDEX(Inputs!$K$5:$AJ$180,0,MATCH(AJ$2,Inputs!$K$4:$AJ$4,0))))=0,NA(),SUMPRODUCT((Inputs!$A$5:$A$180=$B10)*Inputs!$B$5:$B$180*(((Inputs!$G$5:$G$180="moeda")+(Inputs!$G$5:$G$180="acoes"))*Inputs!$B$1+((Inputs!$G$5:$G$180&lt;&gt;"moeda")*(Inputs!$G$5:$G$180&lt;&gt;"acoes")))*INDEX(Inputs!$K$5:$AJ$180,0,MATCH(AJ$2,Inputs!$K$4:$AJ$4,0)))+SUMPRODUCT((Inputs!$C$5:$C$180=$B10)*Inputs!$D$5:$D$180*(((Inputs!$G$5:$G$180="moeda")+(Inputs!$G$5:$G$180="acoes"))*Inputs!$B$1+((Inputs!$G$5:$G$180&lt;&gt;"moeda")*(Inputs!$G$5:$G$180&lt;&gt;"acoes")))*INDEX(Inputs!$K$5:$AJ$180,0,MATCH(AJ$2,Inputs!$K$4:$AJ$4,0)))+SUMPRODUCT((Inputs!$E$5:$E$180=$B10)*Inputs!$F$5:$F$180*(((Inputs!$G$5:$G$180="moeda")+(Inputs!$G$5:$G$180="acoes"))*Inputs!$B$1+((Inputs!$G$5:$G$180&lt;&gt;"moeda")*(Inputs!$G$5:$G$180&lt;&gt;"acoes")))*INDEX(Inputs!$K$5:$AJ$180,0,MATCH(AJ$2,Inputs!$K$4:$AJ$4,0)))))</f>
        <v>-70.97032536</v>
      </c>
      <c r="AK10" s="6">
        <f>IF(ISNA(MATCH(AK$2,Inputs!$K$4:$AJ$4,0)),NA(),IF(SUMPRODUCT((Inputs!$A$5:$A$180=$B10)*ISNUMBER(INDEX(Inputs!$K$5:$AJ$180,0,MATCH(AK$2,Inputs!$K$4:$AJ$4,0))))+SUMPRODUCT((Inputs!$C$5:$C$180=$B10)*ISNUMBER(INDEX(Inputs!$K$5:$AJ$180,0,MATCH(AK$2,Inputs!$K$4:$AJ$4,0))))+SUMPRODUCT((Inputs!$E$5:$E$180=$B10)*ISNUMBER(INDEX(Inputs!$K$5:$AJ$180,0,MATCH(AK$2,Inputs!$K$4:$AJ$4,0))))=0,NA(),SUMPRODUCT((Inputs!$A$5:$A$180=$B10)*Inputs!$B$5:$B$180*(((Inputs!$G$5:$G$180="moeda")+(Inputs!$G$5:$G$180="acoes"))*Inputs!$B$1+((Inputs!$G$5:$G$180&lt;&gt;"moeda")*(Inputs!$G$5:$G$180&lt;&gt;"acoes")))*INDEX(Inputs!$K$5:$AJ$180,0,MATCH(AK$2,Inputs!$K$4:$AJ$4,0)))+SUMPRODUCT((Inputs!$C$5:$C$180=$B10)*Inputs!$D$5:$D$180*(((Inputs!$G$5:$G$180="moeda")+(Inputs!$G$5:$G$180="acoes"))*Inputs!$B$1+((Inputs!$G$5:$G$180&lt;&gt;"moeda")*(Inputs!$G$5:$G$180&lt;&gt;"acoes")))*INDEX(Inputs!$K$5:$AJ$180,0,MATCH(AK$2,Inputs!$K$4:$AJ$4,0)))+SUMPRODUCT((Inputs!$E$5:$E$180=$B10)*Inputs!$F$5:$F$180*(((Inputs!$G$5:$G$180="moeda")+(Inputs!$G$5:$G$180="acoes"))*Inputs!$B$1+((Inputs!$G$5:$G$180&lt;&gt;"moeda")*(Inputs!$G$5:$G$180&lt;&gt;"acoes")))*INDEX(Inputs!$K$5:$AJ$180,0,MATCH(AK$2,Inputs!$K$4:$AJ$4,0)))))</f>
        <v>-21.0436467</v>
      </c>
      <c r="AL10" s="3">
        <f>SUM(AH10:AK10)</f>
        <v>-83.77231261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$180=$B11)*ISNUMBER(INDEX(Inputs!$K$5:$AJ$180,0,MATCH(D$2,Inputs!$K$4:$AJ$4,0))))+SUMPRODUCT((Inputs!$C$5:$C$180=$B11)*ISNUMBER(INDEX(Inputs!$K$5:$AJ$180,0,MATCH(D$2,Inputs!$K$4:$AJ$4,0))))+SUMPRODUCT((Inputs!$E$5:$E$180=$B11)*ISNUMBER(INDEX(Inputs!$K$5:$AJ$180,0,MATCH(D$2,Inputs!$K$4:$AJ$4,0))))=0,NA(),SUMPRODUCT((Inputs!$A$5:$A$180=$B11)*Inputs!$B$5:$B$180*(((Inputs!$G$5:$G$180="moeda")+(Inputs!$G$5:$G$180="acoes"))*Inputs!$B$1+((Inputs!$G$5:$G$180&lt;&gt;"moeda")*(Inputs!$G$5:$G$180&lt;&gt;"acoes")))*INDEX(Inputs!$K$5:$AJ$180,0,MATCH(D$2,Inputs!$K$4:$AJ$4,0)))+SUMPRODUCT((Inputs!$C$5:$C$180=$B11)*Inputs!$D$5:$D$180*(((Inputs!$G$5:$G$180="moeda")+(Inputs!$G$5:$G$180="acoes"))*Inputs!$B$1+((Inputs!$G$5:$G$180&lt;&gt;"moeda")*(Inputs!$G$5:$G$180&lt;&gt;"acoes")))*INDEX(Inputs!$K$5:$AJ$180,0,MATCH(D$2,Inputs!$K$4:$AJ$4,0)))+SUMPRODUCT((Inputs!$E$5:$E$180=$B11)*Inputs!$F$5:$F$180*(((Inputs!$G$5:$G$180="moeda")+(Inputs!$G$5:$G$180="acoes"))*Inputs!$B$1+((Inputs!$G$5:$G$180&lt;&gt;"moeda")*(Inputs!$G$5:$G$180&lt;&gt;"acoes")))*INDEX(Inputs!$K$5:$AJ$180,0,MATCH(D$2,Inputs!$K$4:$AJ$4,0)))))</f>
        <v>-0.198294749999998</v>
      </c>
      <c r="E11" s="6">
        <f>IF(ISNA(MATCH(E$2,Inputs!$K$4:$AJ$4,0)),NA(),IF(SUMPRODUCT((Inputs!$A$5:$A$180=$B11)*ISNUMBER(INDEX(Inputs!$K$5:$AJ$180,0,MATCH(E$2,Inputs!$K$4:$AJ$4,0))))+SUMPRODUCT((Inputs!$C$5:$C$180=$B11)*ISNUMBER(INDEX(Inputs!$K$5:$AJ$180,0,MATCH(E$2,Inputs!$K$4:$AJ$4,0))))+SUMPRODUCT((Inputs!$E$5:$E$180=$B11)*ISNUMBER(INDEX(Inputs!$K$5:$AJ$180,0,MATCH(E$2,Inputs!$K$4:$AJ$4,0))))=0,NA(),SUMPRODUCT((Inputs!$A$5:$A$180=$B11)*Inputs!$B$5:$B$180*(((Inputs!$G$5:$G$180="moeda")+(Inputs!$G$5:$G$180="acoes"))*Inputs!$B$1+((Inputs!$G$5:$G$180&lt;&gt;"moeda")*(Inputs!$G$5:$G$180&lt;&gt;"acoes")))*INDEX(Inputs!$K$5:$AJ$180,0,MATCH(E$2,Inputs!$K$4:$AJ$4,0)))+SUMPRODUCT((Inputs!$C$5:$C$180=$B11)*Inputs!$D$5:$D$180*(((Inputs!$G$5:$G$180="moeda")+(Inputs!$G$5:$G$180="acoes"))*Inputs!$B$1+((Inputs!$G$5:$G$180&lt;&gt;"moeda")*(Inputs!$G$5:$G$180&lt;&gt;"acoes")))*INDEX(Inputs!$K$5:$AJ$180,0,MATCH(E$2,Inputs!$K$4:$AJ$4,0)))+SUMPRODUCT((Inputs!$E$5:$E$180=$B11)*Inputs!$F$5:$F$180*(((Inputs!$G$5:$G$180="moeda")+(Inputs!$G$5:$G$180="acoes"))*Inputs!$B$1+((Inputs!$G$5:$G$180&lt;&gt;"moeda")*(Inputs!$G$5:$G$180&lt;&gt;"acoes")))*INDEX(Inputs!$K$5:$AJ$180,0,MATCH(E$2,Inputs!$K$4:$AJ$4,0)))))</f>
        <v>-0.00223524199999671</v>
      </c>
      <c r="F11" s="6">
        <f>IF(ISNA(MATCH(F$2,Inputs!$K$4:$AJ$4,0)),NA(),IF(SUMPRODUCT((Inputs!$A$5:$A$180=$B11)*ISNUMBER(INDEX(Inputs!$K$5:$AJ$180,0,MATCH(F$2,Inputs!$K$4:$AJ$4,0))))+SUMPRODUCT((Inputs!$C$5:$C$180=$B11)*ISNUMBER(INDEX(Inputs!$K$5:$AJ$180,0,MATCH(F$2,Inputs!$K$4:$AJ$4,0))))+SUMPRODUCT((Inputs!$E$5:$E$180=$B11)*ISNUMBER(INDEX(Inputs!$K$5:$AJ$180,0,MATCH(F$2,Inputs!$K$4:$AJ$4,0))))=0,NA(),SUMPRODUCT((Inputs!$A$5:$A$180=$B11)*Inputs!$B$5:$B$180*(((Inputs!$G$5:$G$180="moeda")+(Inputs!$G$5:$G$180="acoes"))*Inputs!$B$1+((Inputs!$G$5:$G$180&lt;&gt;"moeda")*(Inputs!$G$5:$G$180&lt;&gt;"acoes")))*INDEX(Inputs!$K$5:$AJ$180,0,MATCH(F$2,Inputs!$K$4:$AJ$4,0)))+SUMPRODUCT((Inputs!$C$5:$C$180=$B11)*Inputs!$D$5:$D$180*(((Inputs!$G$5:$G$180="moeda")+(Inputs!$G$5:$G$180="acoes"))*Inputs!$B$1+((Inputs!$G$5:$G$180&lt;&gt;"moeda")*(Inputs!$G$5:$G$180&lt;&gt;"acoes")))*INDEX(Inputs!$K$5:$AJ$180,0,MATCH(F$2,Inputs!$K$4:$AJ$4,0)))+SUMPRODUCT((Inputs!$E$5:$E$180=$B11)*Inputs!$F$5:$F$180*(((Inputs!$G$5:$G$180="moeda")+(Inputs!$G$5:$G$180="acoes"))*Inputs!$B$1+((Inputs!$G$5:$G$180&lt;&gt;"moeda")*(Inputs!$G$5:$G$180&lt;&gt;"acoes")))*INDEX(Inputs!$K$5:$AJ$180,0,MATCH(F$2,Inputs!$K$4:$AJ$4,0)))))</f>
        <v>0.44109465</v>
      </c>
      <c r="G11" s="6">
        <f>IF(ISNA(MATCH(G$2,Inputs!$K$4:$AJ$4,0)),NA(),IF(SUMPRODUCT((Inputs!$A$5:$A$180=$B11)*ISNUMBER(INDEX(Inputs!$K$5:$AJ$180,0,MATCH(G$2,Inputs!$K$4:$AJ$4,0))))+SUMPRODUCT((Inputs!$C$5:$C$180=$B11)*ISNUMBER(INDEX(Inputs!$K$5:$AJ$180,0,MATCH(G$2,Inputs!$K$4:$AJ$4,0))))+SUMPRODUCT((Inputs!$E$5:$E$180=$B11)*ISNUMBER(INDEX(Inputs!$K$5:$AJ$180,0,MATCH(G$2,Inputs!$K$4:$AJ$4,0))))=0,NA(),SUMPRODUCT((Inputs!$A$5:$A$180=$B11)*Inputs!$B$5:$B$180*(((Inputs!$G$5:$G$180="moeda")+(Inputs!$G$5:$G$180="acoes"))*Inputs!$B$1+((Inputs!$G$5:$G$180&lt;&gt;"moeda")*(Inputs!$G$5:$G$180&lt;&gt;"acoes")))*INDEX(Inputs!$K$5:$AJ$180,0,MATCH(G$2,Inputs!$K$4:$AJ$4,0)))+SUMPRODUCT((Inputs!$C$5:$C$180=$B11)*Inputs!$D$5:$D$180*(((Inputs!$G$5:$G$180="moeda")+(Inputs!$G$5:$G$180="acoes"))*Inputs!$B$1+((Inputs!$G$5:$G$180&lt;&gt;"moeda")*(Inputs!$G$5:$G$180&lt;&gt;"acoes")))*INDEX(Inputs!$K$5:$AJ$180,0,MATCH(G$2,Inputs!$K$4:$AJ$4,0)))+SUMPRODUCT((Inputs!$E$5:$E$180=$B11)*Inputs!$F$5:$F$180*(((Inputs!$G$5:$G$180="moeda")+(Inputs!$G$5:$G$180="acoes"))*Inputs!$B$1+((Inputs!$G$5:$G$180&lt;&gt;"moeda")*(Inputs!$G$5:$G$180&lt;&gt;"acoes")))*INDEX(Inputs!$K$5:$AJ$180,0,MATCH(G$2,Inputs!$K$4:$AJ$4,0)))))</f>
        <v>0.309085383441993</v>
      </c>
      <c r="H11" s="3">
        <f>SUM(D11:G11)</f>
        <v>0.549650041441998</v>
      </c>
      <c r="I11" s="6">
        <f>IF(ISNA(MATCH(I$2,Inputs!$K$4:$AJ$4,0)),NA(),IF(SUMPRODUCT((Inputs!$A$5:$A$180=$B11)*ISNUMBER(INDEX(Inputs!$K$5:$AJ$180,0,MATCH(I$2,Inputs!$K$4:$AJ$4,0))))+SUMPRODUCT((Inputs!$C$5:$C$180=$B11)*ISNUMBER(INDEX(Inputs!$K$5:$AJ$180,0,MATCH(I$2,Inputs!$K$4:$AJ$4,0))))+SUMPRODUCT((Inputs!$E$5:$E$180=$B11)*ISNUMBER(INDEX(Inputs!$K$5:$AJ$180,0,MATCH(I$2,Inputs!$K$4:$AJ$4,0))))=0,NA(),SUMPRODUCT((Inputs!$A$5:$A$180=$B11)*Inputs!$B$5:$B$180*(((Inputs!$G$5:$G$180="moeda")+(Inputs!$G$5:$G$180="acoes"))*Inputs!$B$1+((Inputs!$G$5:$G$180&lt;&gt;"moeda")*(Inputs!$G$5:$G$180&lt;&gt;"acoes")))*INDEX(Inputs!$K$5:$AJ$180,0,MATCH(I$2,Inputs!$K$4:$AJ$4,0)))+SUMPRODUCT((Inputs!$C$5:$C$180=$B11)*Inputs!$D$5:$D$180*(((Inputs!$G$5:$G$180="moeda")+(Inputs!$G$5:$G$180="acoes"))*Inputs!$B$1+((Inputs!$G$5:$G$180&lt;&gt;"moeda")*(Inputs!$G$5:$G$180&lt;&gt;"acoes")))*INDEX(Inputs!$K$5:$AJ$180,0,MATCH(I$2,Inputs!$K$4:$AJ$4,0)))+SUMPRODUCT((Inputs!$E$5:$E$180=$B11)*Inputs!$F$5:$F$180*(((Inputs!$G$5:$G$180="moeda")+(Inputs!$G$5:$G$180="acoes"))*Inputs!$B$1+((Inputs!$G$5:$G$180&lt;&gt;"moeda")*(Inputs!$G$5:$G$180&lt;&gt;"acoes")))*INDEX(Inputs!$K$5:$AJ$180,0,MATCH(I$2,Inputs!$K$4:$AJ$4,0)))))</f>
        <v>0.000197683550001122</v>
      </c>
      <c r="J11" s="6">
        <f>IF(ISNA(MATCH(J$2,Inputs!$K$4:$AJ$4,0)),NA(),IF(SUMPRODUCT((Inputs!$A$5:$A$180=$B11)*ISNUMBER(INDEX(Inputs!$K$5:$AJ$180,0,MATCH(J$2,Inputs!$K$4:$AJ$4,0))))+SUMPRODUCT((Inputs!$C$5:$C$180=$B11)*ISNUMBER(INDEX(Inputs!$K$5:$AJ$180,0,MATCH(J$2,Inputs!$K$4:$AJ$4,0))))+SUMPRODUCT((Inputs!$E$5:$E$180=$B11)*ISNUMBER(INDEX(Inputs!$K$5:$AJ$180,0,MATCH(J$2,Inputs!$K$4:$AJ$4,0))))=0,NA(),SUMPRODUCT((Inputs!$A$5:$A$180=$B11)*Inputs!$B$5:$B$180*(((Inputs!$G$5:$G$180="moeda")+(Inputs!$G$5:$G$180="acoes"))*Inputs!$B$1+((Inputs!$G$5:$G$180&lt;&gt;"moeda")*(Inputs!$G$5:$G$180&lt;&gt;"acoes")))*INDEX(Inputs!$K$5:$AJ$180,0,MATCH(J$2,Inputs!$K$4:$AJ$4,0)))+SUMPRODUCT((Inputs!$C$5:$C$180=$B11)*Inputs!$D$5:$D$180*(((Inputs!$G$5:$G$180="moeda")+(Inputs!$G$5:$G$180="acoes"))*Inputs!$B$1+((Inputs!$G$5:$G$180&lt;&gt;"moeda")*(Inputs!$G$5:$G$180&lt;&gt;"acoes")))*INDEX(Inputs!$K$5:$AJ$180,0,MATCH(J$2,Inputs!$K$4:$AJ$4,0)))+SUMPRODUCT((Inputs!$E$5:$E$180=$B11)*Inputs!$F$5:$F$180*(((Inputs!$G$5:$G$180="moeda")+(Inputs!$G$5:$G$180="acoes"))*Inputs!$B$1+((Inputs!$G$5:$G$180&lt;&gt;"moeda")*(Inputs!$G$5:$G$180&lt;&gt;"acoes")))*INDEX(Inputs!$K$5:$AJ$180,0,MATCH(J$2,Inputs!$K$4:$AJ$4,0)))))</f>
        <v>0.414430566612997</v>
      </c>
      <c r="K11" s="6">
        <f>IF(ISNA(MATCH(K$2,Inputs!$K$4:$AJ$4,0)),NA(),IF(SUMPRODUCT((Inputs!$A$5:$A$180=$B11)*ISNUMBER(INDEX(Inputs!$K$5:$AJ$180,0,MATCH(K$2,Inputs!$K$4:$AJ$4,0))))+SUMPRODUCT((Inputs!$C$5:$C$180=$B11)*ISNUMBER(INDEX(Inputs!$K$5:$AJ$180,0,MATCH(K$2,Inputs!$K$4:$AJ$4,0))))+SUMPRODUCT((Inputs!$E$5:$E$180=$B11)*ISNUMBER(INDEX(Inputs!$K$5:$AJ$180,0,MATCH(K$2,Inputs!$K$4:$AJ$4,0))))=0,NA(),SUMPRODUCT((Inputs!$A$5:$A$180=$B11)*Inputs!$B$5:$B$180*(((Inputs!$G$5:$G$180="moeda")+(Inputs!$G$5:$G$180="acoes"))*Inputs!$B$1+((Inputs!$G$5:$G$180&lt;&gt;"moeda")*(Inputs!$G$5:$G$180&lt;&gt;"acoes")))*INDEX(Inputs!$K$5:$AJ$180,0,MATCH(K$2,Inputs!$K$4:$AJ$4,0)))+SUMPRODUCT((Inputs!$C$5:$C$180=$B11)*Inputs!$D$5:$D$180*(((Inputs!$G$5:$G$180="moeda")+(Inputs!$G$5:$G$180="acoes"))*Inputs!$B$1+((Inputs!$G$5:$G$180&lt;&gt;"moeda")*(Inputs!$G$5:$G$180&lt;&gt;"acoes")))*INDEX(Inputs!$K$5:$AJ$180,0,MATCH(K$2,Inputs!$K$4:$AJ$4,0)))+SUMPRODUCT((Inputs!$E$5:$E$180=$B11)*Inputs!$F$5:$F$180*(((Inputs!$G$5:$G$180="moeda")+(Inputs!$G$5:$G$180="acoes"))*Inputs!$B$1+((Inputs!$G$5:$G$180&lt;&gt;"moeda")*(Inputs!$G$5:$G$180&lt;&gt;"acoes")))*INDEX(Inputs!$K$5:$AJ$180,0,MATCH(K$2,Inputs!$K$4:$AJ$4,0)))))</f>
        <v>0.24977188</v>
      </c>
      <c r="L11" s="6">
        <f>IF(ISNA(MATCH(L$2,Inputs!$K$4:$AJ$4,0)),NA(),IF(SUMPRODUCT((Inputs!$A$5:$A$180=$B11)*ISNUMBER(INDEX(Inputs!$K$5:$AJ$180,0,MATCH(L$2,Inputs!$K$4:$AJ$4,0))))+SUMPRODUCT((Inputs!$C$5:$C$180=$B11)*ISNUMBER(INDEX(Inputs!$K$5:$AJ$180,0,MATCH(L$2,Inputs!$K$4:$AJ$4,0))))+SUMPRODUCT((Inputs!$E$5:$E$180=$B11)*ISNUMBER(INDEX(Inputs!$K$5:$AJ$180,0,MATCH(L$2,Inputs!$K$4:$AJ$4,0))))=0,NA(),SUMPRODUCT((Inputs!$A$5:$A$180=$B11)*Inputs!$B$5:$B$180*(((Inputs!$G$5:$G$180="moeda")+(Inputs!$G$5:$G$180="acoes"))*Inputs!$B$1+((Inputs!$G$5:$G$180&lt;&gt;"moeda")*(Inputs!$G$5:$G$180&lt;&gt;"acoes")))*INDEX(Inputs!$K$5:$AJ$180,0,MATCH(L$2,Inputs!$K$4:$AJ$4,0)))+SUMPRODUCT((Inputs!$C$5:$C$180=$B11)*Inputs!$D$5:$D$180*(((Inputs!$G$5:$G$180="moeda")+(Inputs!$G$5:$G$180="acoes"))*Inputs!$B$1+((Inputs!$G$5:$G$180&lt;&gt;"moeda")*(Inputs!$G$5:$G$180&lt;&gt;"acoes")))*INDEX(Inputs!$K$5:$AJ$180,0,MATCH(L$2,Inputs!$K$4:$AJ$4,0)))+SUMPRODUCT((Inputs!$E$5:$E$180=$B11)*Inputs!$F$5:$F$180*(((Inputs!$G$5:$G$180="moeda")+(Inputs!$G$5:$G$180="acoes"))*Inputs!$B$1+((Inputs!$G$5:$G$180&lt;&gt;"moeda")*(Inputs!$G$5:$G$180&lt;&gt;"acoes")))*INDEX(Inputs!$K$5:$AJ$180,0,MATCH(L$2,Inputs!$K$4:$AJ$4,0)))))</f>
        <v>-0.0614080706760011</v>
      </c>
      <c r="M11" s="3">
        <f>SUM(I11:L11)</f>
        <v>0.602992059486997</v>
      </c>
      <c r="N11" s="6">
        <f>IF(ISNA(MATCH(N$2,Inputs!$K$4:$AJ$4,0)),NA(),IF(SUMPRODUCT((Inputs!$A$5:$A$180=$B11)*ISNUMBER(INDEX(Inputs!$K$5:$AJ$180,0,MATCH(N$2,Inputs!$K$4:$AJ$4,0))))+SUMPRODUCT((Inputs!$C$5:$C$180=$B11)*ISNUMBER(INDEX(Inputs!$K$5:$AJ$180,0,MATCH(N$2,Inputs!$K$4:$AJ$4,0))))+SUMPRODUCT((Inputs!$E$5:$E$180=$B11)*ISNUMBER(INDEX(Inputs!$K$5:$AJ$180,0,MATCH(N$2,Inputs!$K$4:$AJ$4,0))))=0,NA(),SUMPRODUCT((Inputs!$A$5:$A$180=$B11)*Inputs!$B$5:$B$180*(((Inputs!$G$5:$G$180="moeda")+(Inputs!$G$5:$G$180="acoes"))*Inputs!$B$1+((Inputs!$G$5:$G$180&lt;&gt;"moeda")*(Inputs!$G$5:$G$180&lt;&gt;"acoes")))*INDEX(Inputs!$K$5:$AJ$180,0,MATCH(N$2,Inputs!$K$4:$AJ$4,0)))+SUMPRODUCT((Inputs!$C$5:$C$180=$B11)*Inputs!$D$5:$D$180*(((Inputs!$G$5:$G$180="moeda")+(Inputs!$G$5:$G$180="acoes"))*Inputs!$B$1+((Inputs!$G$5:$G$180&lt;&gt;"moeda")*(Inputs!$G$5:$G$180&lt;&gt;"acoes")))*INDEX(Inputs!$K$5:$AJ$180,0,MATCH(N$2,Inputs!$K$4:$AJ$4,0)))+SUMPRODUCT((Inputs!$E$5:$E$180=$B11)*Inputs!$F$5:$F$180*(((Inputs!$G$5:$G$180="moeda")+(Inputs!$G$5:$G$180="acoes"))*Inputs!$B$1+((Inputs!$G$5:$G$180&lt;&gt;"moeda")*(Inputs!$G$5:$G$180&lt;&gt;"acoes")))*INDEX(Inputs!$K$5:$AJ$180,0,MATCH(N$2,Inputs!$K$4:$AJ$4,0)))))</f>
        <v>0</v>
      </c>
      <c r="O11" s="6">
        <f>IF(ISNA(MATCH(O$2,Inputs!$K$4:$AJ$4,0)),NA(),IF(SUMPRODUCT((Inputs!$A$5:$A$180=$B11)*ISNUMBER(INDEX(Inputs!$K$5:$AJ$180,0,MATCH(O$2,Inputs!$K$4:$AJ$4,0))))+SUMPRODUCT((Inputs!$C$5:$C$180=$B11)*ISNUMBER(INDEX(Inputs!$K$5:$AJ$180,0,MATCH(O$2,Inputs!$K$4:$AJ$4,0))))+SUMPRODUCT((Inputs!$E$5:$E$180=$B11)*ISNUMBER(INDEX(Inputs!$K$5:$AJ$180,0,MATCH(O$2,Inputs!$K$4:$AJ$4,0))))=0,NA(),SUMPRODUCT((Inputs!$A$5:$A$180=$B11)*Inputs!$B$5:$B$180*(((Inputs!$G$5:$G$180="moeda")+(Inputs!$G$5:$G$180="acoes"))*Inputs!$B$1+((Inputs!$G$5:$G$180&lt;&gt;"moeda")*(Inputs!$G$5:$G$180&lt;&gt;"acoes")))*INDEX(Inputs!$K$5:$AJ$180,0,MATCH(O$2,Inputs!$K$4:$AJ$4,0)))+SUMPRODUCT((Inputs!$C$5:$C$180=$B11)*Inputs!$D$5:$D$180*(((Inputs!$G$5:$G$180="moeda")+(Inputs!$G$5:$G$180="acoes"))*Inputs!$B$1+((Inputs!$G$5:$G$180&lt;&gt;"moeda")*(Inputs!$G$5:$G$180&lt;&gt;"acoes")))*INDEX(Inputs!$K$5:$AJ$180,0,MATCH(O$2,Inputs!$K$4:$AJ$4,0)))+SUMPRODUCT((Inputs!$E$5:$E$180=$B11)*Inputs!$F$5:$F$180*(((Inputs!$G$5:$G$180="moeda")+(Inputs!$G$5:$G$180="acoes"))*Inputs!$B$1+((Inputs!$G$5:$G$180&lt;&gt;"moeda")*(Inputs!$G$5:$G$180&lt;&gt;"acoes")))*INDEX(Inputs!$K$5:$AJ$180,0,MATCH(O$2,Inputs!$K$4:$AJ$4,0)))))</f>
        <v>0.255</v>
      </c>
      <c r="P11" s="6">
        <f>IF(ISNA(MATCH(P$2,Inputs!$K$4:$AJ$4,0)),NA(),IF(SUMPRODUCT((Inputs!$A$5:$A$180=$B11)*ISNUMBER(INDEX(Inputs!$K$5:$AJ$180,0,MATCH(P$2,Inputs!$K$4:$AJ$4,0))))+SUMPRODUCT((Inputs!$C$5:$C$180=$B11)*ISNUMBER(INDEX(Inputs!$K$5:$AJ$180,0,MATCH(P$2,Inputs!$K$4:$AJ$4,0))))+SUMPRODUCT((Inputs!$E$5:$E$180=$B11)*ISNUMBER(INDEX(Inputs!$K$5:$AJ$180,0,MATCH(P$2,Inputs!$K$4:$AJ$4,0))))=0,NA(),SUMPRODUCT((Inputs!$A$5:$A$180=$B11)*Inputs!$B$5:$B$180*(((Inputs!$G$5:$G$180="moeda")+(Inputs!$G$5:$G$180="acoes"))*Inputs!$B$1+((Inputs!$G$5:$G$180&lt;&gt;"moeda")*(Inputs!$G$5:$G$180&lt;&gt;"acoes")))*INDEX(Inputs!$K$5:$AJ$180,0,MATCH(P$2,Inputs!$K$4:$AJ$4,0)))+SUMPRODUCT((Inputs!$C$5:$C$180=$B11)*Inputs!$D$5:$D$180*(((Inputs!$G$5:$G$180="moeda")+(Inputs!$G$5:$G$180="acoes"))*Inputs!$B$1+((Inputs!$G$5:$G$180&lt;&gt;"moeda")*(Inputs!$G$5:$G$180&lt;&gt;"acoes")))*INDEX(Inputs!$K$5:$AJ$180,0,MATCH(P$2,Inputs!$K$4:$AJ$4,0)))+SUMPRODUCT((Inputs!$E$5:$E$180=$B11)*Inputs!$F$5:$F$180*(((Inputs!$G$5:$G$180="moeda")+(Inputs!$G$5:$G$180="acoes"))*Inputs!$B$1+((Inputs!$G$5:$G$180&lt;&gt;"moeda")*(Inputs!$G$5:$G$180&lt;&gt;"acoes")))*INDEX(Inputs!$K$5:$AJ$180,0,MATCH(P$2,Inputs!$K$4:$AJ$4,0)))))</f>
        <v>0.176</v>
      </c>
      <c r="Q11" s="6">
        <f>IF(ISNA(MATCH(Q$2,Inputs!$K$4:$AJ$4,0)),NA(),IF(SUMPRODUCT((Inputs!$A$5:$A$180=$B11)*ISNUMBER(INDEX(Inputs!$K$5:$AJ$180,0,MATCH(Q$2,Inputs!$K$4:$AJ$4,0))))+SUMPRODUCT((Inputs!$C$5:$C$180=$B11)*ISNUMBER(INDEX(Inputs!$K$5:$AJ$180,0,MATCH(Q$2,Inputs!$K$4:$AJ$4,0))))+SUMPRODUCT((Inputs!$E$5:$E$180=$B11)*ISNUMBER(INDEX(Inputs!$K$5:$AJ$180,0,MATCH(Q$2,Inputs!$K$4:$AJ$4,0))))=0,NA(),SUMPRODUCT((Inputs!$A$5:$A$180=$B11)*Inputs!$B$5:$B$180*(((Inputs!$G$5:$G$180="moeda")+(Inputs!$G$5:$G$180="acoes"))*Inputs!$B$1+((Inputs!$G$5:$G$180&lt;&gt;"moeda")*(Inputs!$G$5:$G$180&lt;&gt;"acoes")))*INDEX(Inputs!$K$5:$AJ$180,0,MATCH(Q$2,Inputs!$K$4:$AJ$4,0)))+SUMPRODUCT((Inputs!$C$5:$C$180=$B11)*Inputs!$D$5:$D$180*(((Inputs!$G$5:$G$180="moeda")+(Inputs!$G$5:$G$180="acoes"))*Inputs!$B$1+((Inputs!$G$5:$G$180&lt;&gt;"moeda")*(Inputs!$G$5:$G$180&lt;&gt;"acoes")))*INDEX(Inputs!$K$5:$AJ$180,0,MATCH(Q$2,Inputs!$K$4:$AJ$4,0)))+SUMPRODUCT((Inputs!$E$5:$E$180=$B11)*Inputs!$F$5:$F$180*(((Inputs!$G$5:$G$180="moeda")+(Inputs!$G$5:$G$180="acoes"))*Inputs!$B$1+((Inputs!$G$5:$G$180&lt;&gt;"moeda")*(Inputs!$G$5:$G$180&lt;&gt;"acoes")))*INDEX(Inputs!$K$5:$AJ$180,0,MATCH(Q$2,Inputs!$K$4:$AJ$4,0)))))</f>
        <v>-0.274</v>
      </c>
      <c r="R11" s="3">
        <f>SUM(N11:Q11)</f>
        <v>0.157</v>
      </c>
      <c r="S11" s="6">
        <f>IF(ISNA(MATCH(S$2,Inputs!$K$4:$AJ$4,0)),NA(),IF(SUMPRODUCT((Inputs!$A$5:$A$180=$B11)*ISNUMBER(INDEX(Inputs!$K$5:$AJ$180,0,MATCH(S$2,Inputs!$K$4:$AJ$4,0))))+SUMPRODUCT((Inputs!$C$5:$C$180=$B11)*ISNUMBER(INDEX(Inputs!$K$5:$AJ$180,0,MATCH(S$2,Inputs!$K$4:$AJ$4,0))))+SUMPRODUCT((Inputs!$E$5:$E$180=$B11)*ISNUMBER(INDEX(Inputs!$K$5:$AJ$180,0,MATCH(S$2,Inputs!$K$4:$AJ$4,0))))=0,NA(),SUMPRODUCT((Inputs!$A$5:$A$180=$B11)*Inputs!$B$5:$B$180*(((Inputs!$G$5:$G$180="moeda")+(Inputs!$G$5:$G$180="acoes"))*Inputs!$B$1+((Inputs!$G$5:$G$180&lt;&gt;"moeda")*(Inputs!$G$5:$G$180&lt;&gt;"acoes")))*INDEX(Inputs!$K$5:$AJ$180,0,MATCH(S$2,Inputs!$K$4:$AJ$4,0)))+SUMPRODUCT((Inputs!$C$5:$C$180=$B11)*Inputs!$D$5:$D$180*(((Inputs!$G$5:$G$180="moeda")+(Inputs!$G$5:$G$180="acoes"))*Inputs!$B$1+((Inputs!$G$5:$G$180&lt;&gt;"moeda")*(Inputs!$G$5:$G$180&lt;&gt;"acoes")))*INDEX(Inputs!$K$5:$AJ$180,0,MATCH(S$2,Inputs!$K$4:$AJ$4,0)))+SUMPRODUCT((Inputs!$E$5:$E$180=$B11)*Inputs!$F$5:$F$180*(((Inputs!$G$5:$G$180="moeda")+(Inputs!$G$5:$G$180="acoes"))*Inputs!$B$1+((Inputs!$G$5:$G$180&lt;&gt;"moeda")*(Inputs!$G$5:$G$180&lt;&gt;"acoes")))*INDEX(Inputs!$K$5:$AJ$180,0,MATCH(S$2,Inputs!$K$4:$AJ$4,0)))))</f>
        <v>-0.348</v>
      </c>
      <c r="T11" s="6">
        <f>IF(ISNA(MATCH(T$2,Inputs!$K$4:$AJ$4,0)),NA(),IF(SUMPRODUCT((Inputs!$A$5:$A$180=$B11)*ISNUMBER(INDEX(Inputs!$K$5:$AJ$180,0,MATCH(T$2,Inputs!$K$4:$AJ$4,0))))+SUMPRODUCT((Inputs!$C$5:$C$180=$B11)*ISNUMBER(INDEX(Inputs!$K$5:$AJ$180,0,MATCH(T$2,Inputs!$K$4:$AJ$4,0))))+SUMPRODUCT((Inputs!$E$5:$E$180=$B11)*ISNUMBER(INDEX(Inputs!$K$5:$AJ$180,0,MATCH(T$2,Inputs!$K$4:$AJ$4,0))))=0,NA(),SUMPRODUCT((Inputs!$A$5:$A$180=$B11)*Inputs!$B$5:$B$180*(((Inputs!$G$5:$G$180="moeda")+(Inputs!$G$5:$G$180="acoes"))*Inputs!$B$1+((Inputs!$G$5:$G$180&lt;&gt;"moeda")*(Inputs!$G$5:$G$180&lt;&gt;"acoes")))*INDEX(Inputs!$K$5:$AJ$180,0,MATCH(T$2,Inputs!$K$4:$AJ$4,0)))+SUMPRODUCT((Inputs!$C$5:$C$180=$B11)*Inputs!$D$5:$D$180*(((Inputs!$G$5:$G$180="moeda")+(Inputs!$G$5:$G$180="acoes"))*Inputs!$B$1+((Inputs!$G$5:$G$180&lt;&gt;"moeda")*(Inputs!$G$5:$G$180&lt;&gt;"acoes")))*INDEX(Inputs!$K$5:$AJ$180,0,MATCH(T$2,Inputs!$K$4:$AJ$4,0)))+SUMPRODUCT((Inputs!$E$5:$E$180=$B11)*Inputs!$F$5:$F$180*(((Inputs!$G$5:$G$180="moeda")+(Inputs!$G$5:$G$180="acoes"))*Inputs!$B$1+((Inputs!$G$5:$G$180&lt;&gt;"moeda")*(Inputs!$G$5:$G$180&lt;&gt;"acoes")))*INDEX(Inputs!$K$5:$AJ$180,0,MATCH(T$2,Inputs!$K$4:$AJ$4,0)))))</f>
        <v>-0.802</v>
      </c>
      <c r="U11" s="6">
        <f>IF(ISNA(MATCH(U$2,Inputs!$K$4:$AJ$4,0)),NA(),IF(SUMPRODUCT((Inputs!$A$5:$A$180=$B11)*ISNUMBER(INDEX(Inputs!$K$5:$AJ$180,0,MATCH(U$2,Inputs!$K$4:$AJ$4,0))))+SUMPRODUCT((Inputs!$C$5:$C$180=$B11)*ISNUMBER(INDEX(Inputs!$K$5:$AJ$180,0,MATCH(U$2,Inputs!$K$4:$AJ$4,0))))+SUMPRODUCT((Inputs!$E$5:$E$180=$B11)*ISNUMBER(INDEX(Inputs!$K$5:$AJ$180,0,MATCH(U$2,Inputs!$K$4:$AJ$4,0))))=0,NA(),SUMPRODUCT((Inputs!$A$5:$A$180=$B11)*Inputs!$B$5:$B$180*(((Inputs!$G$5:$G$180="moeda")+(Inputs!$G$5:$G$180="acoes"))*Inputs!$B$1+((Inputs!$G$5:$G$180&lt;&gt;"moeda")*(Inputs!$G$5:$G$180&lt;&gt;"acoes")))*INDEX(Inputs!$K$5:$AJ$180,0,MATCH(U$2,Inputs!$K$4:$AJ$4,0)))+SUMPRODUCT((Inputs!$C$5:$C$180=$B11)*Inputs!$D$5:$D$180*(((Inputs!$G$5:$G$180="moeda")+(Inputs!$G$5:$G$180="acoes"))*Inputs!$B$1+((Inputs!$G$5:$G$180&lt;&gt;"moeda")*(Inputs!$G$5:$G$180&lt;&gt;"acoes")))*INDEX(Inputs!$K$5:$AJ$180,0,MATCH(U$2,Inputs!$K$4:$AJ$4,0)))+SUMPRODUCT((Inputs!$E$5:$E$180=$B11)*Inputs!$F$5:$F$180*(((Inputs!$G$5:$G$180="moeda")+(Inputs!$G$5:$G$180="acoes"))*Inputs!$B$1+((Inputs!$G$5:$G$180&lt;&gt;"moeda")*(Inputs!$G$5:$G$180&lt;&gt;"acoes")))*INDEX(Inputs!$K$5:$AJ$180,0,MATCH(U$2,Inputs!$K$4:$AJ$4,0)))))</f>
        <v>-0.655</v>
      </c>
      <c r="V11" s="6">
        <f>IF(ISNA(MATCH(V$2,Inputs!$K$4:$AJ$4,0)),NA(),IF(SUMPRODUCT((Inputs!$A$5:$A$180=$B11)*ISNUMBER(INDEX(Inputs!$K$5:$AJ$180,0,MATCH(V$2,Inputs!$K$4:$AJ$4,0))))+SUMPRODUCT((Inputs!$C$5:$C$180=$B11)*ISNUMBER(INDEX(Inputs!$K$5:$AJ$180,0,MATCH(V$2,Inputs!$K$4:$AJ$4,0))))+SUMPRODUCT((Inputs!$E$5:$E$180=$B11)*ISNUMBER(INDEX(Inputs!$K$5:$AJ$180,0,MATCH(V$2,Inputs!$K$4:$AJ$4,0))))=0,NA(),SUMPRODUCT((Inputs!$A$5:$A$180=$B11)*Inputs!$B$5:$B$180*(((Inputs!$G$5:$G$180="moeda")+(Inputs!$G$5:$G$180="acoes"))*Inputs!$B$1+((Inputs!$G$5:$G$180&lt;&gt;"moeda")*(Inputs!$G$5:$G$180&lt;&gt;"acoes")))*INDEX(Inputs!$K$5:$AJ$180,0,MATCH(V$2,Inputs!$K$4:$AJ$4,0)))+SUMPRODUCT((Inputs!$C$5:$C$180=$B11)*Inputs!$D$5:$D$180*(((Inputs!$G$5:$G$180="moeda")+(Inputs!$G$5:$G$180="acoes"))*Inputs!$B$1+((Inputs!$G$5:$G$180&lt;&gt;"moeda")*(Inputs!$G$5:$G$180&lt;&gt;"acoes")))*INDEX(Inputs!$K$5:$AJ$180,0,MATCH(V$2,Inputs!$K$4:$AJ$4,0)))+SUMPRODUCT((Inputs!$E$5:$E$180=$B11)*Inputs!$F$5:$F$180*(((Inputs!$G$5:$G$180="moeda")+(Inputs!$G$5:$G$180="acoes"))*Inputs!$B$1+((Inputs!$G$5:$G$180&lt;&gt;"moeda")*(Inputs!$G$5:$G$180&lt;&gt;"acoes")))*INDEX(Inputs!$K$5:$AJ$180,0,MATCH(V$2,Inputs!$K$4:$AJ$4,0)))))</f>
        <v>-2.442</v>
      </c>
      <c r="W11" s="3">
        <f>SUM(S11:V11)</f>
        <v>-4.247</v>
      </c>
      <c r="X11" s="6">
        <f>IF(ISNA(MATCH(X$2,Inputs!$K$4:$AJ$4,0)),NA(),IF(SUMPRODUCT((Inputs!$A$5:$A$180=$B11)*ISNUMBER(INDEX(Inputs!$K$5:$AJ$180,0,MATCH(X$2,Inputs!$K$4:$AJ$4,0))))+SUMPRODUCT((Inputs!$C$5:$C$180=$B11)*ISNUMBER(INDEX(Inputs!$K$5:$AJ$180,0,MATCH(X$2,Inputs!$K$4:$AJ$4,0))))+SUMPRODUCT((Inputs!$E$5:$E$180=$B11)*ISNUMBER(INDEX(Inputs!$K$5:$AJ$180,0,MATCH(X$2,Inputs!$K$4:$AJ$4,0))))=0,NA(),SUMPRODUCT((Inputs!$A$5:$A$180=$B11)*Inputs!$B$5:$B$180*(((Inputs!$G$5:$G$180="moeda")+(Inputs!$G$5:$G$180="acoes"))*Inputs!$B$1+((Inputs!$G$5:$G$180&lt;&gt;"moeda")*(Inputs!$G$5:$G$180&lt;&gt;"acoes")))*INDEX(Inputs!$K$5:$AJ$180,0,MATCH(X$2,Inputs!$K$4:$AJ$4,0)))+SUMPRODUCT((Inputs!$C$5:$C$180=$B11)*Inputs!$D$5:$D$180*(((Inputs!$G$5:$G$180="moeda")+(Inputs!$G$5:$G$180="acoes"))*Inputs!$B$1+((Inputs!$G$5:$G$180&lt;&gt;"moeda")*(Inputs!$G$5:$G$180&lt;&gt;"acoes")))*INDEX(Inputs!$K$5:$AJ$180,0,MATCH(X$2,Inputs!$K$4:$AJ$4,0)))+SUMPRODUCT((Inputs!$E$5:$E$180=$B11)*Inputs!$F$5:$F$180*(((Inputs!$G$5:$G$180="moeda")+(Inputs!$G$5:$G$180="acoes"))*Inputs!$B$1+((Inputs!$G$5:$G$180&lt;&gt;"moeda")*(Inputs!$G$5:$G$180&lt;&gt;"acoes")))*INDEX(Inputs!$K$5:$AJ$180,0,MATCH(X$2,Inputs!$K$4:$AJ$4,0)))))</f>
        <v>-2.271</v>
      </c>
      <c r="Y11" s="6">
        <f>IF(ISNA(MATCH(Y$2,Inputs!$K$4:$AJ$4,0)),NA(),IF(SUMPRODUCT((Inputs!$A$5:$A$180=$B11)*ISNUMBER(INDEX(Inputs!$K$5:$AJ$180,0,MATCH(Y$2,Inputs!$K$4:$AJ$4,0))))+SUMPRODUCT((Inputs!$C$5:$C$180=$B11)*ISNUMBER(INDEX(Inputs!$K$5:$AJ$180,0,MATCH(Y$2,Inputs!$K$4:$AJ$4,0))))+SUMPRODUCT((Inputs!$E$5:$E$180=$B11)*ISNUMBER(INDEX(Inputs!$K$5:$AJ$180,0,MATCH(Y$2,Inputs!$K$4:$AJ$4,0))))=0,NA(),SUMPRODUCT((Inputs!$A$5:$A$180=$B11)*Inputs!$B$5:$B$180*(((Inputs!$G$5:$G$180="moeda")+(Inputs!$G$5:$G$180="acoes"))*Inputs!$B$1+((Inputs!$G$5:$G$180&lt;&gt;"moeda")*(Inputs!$G$5:$G$180&lt;&gt;"acoes")))*INDEX(Inputs!$K$5:$AJ$180,0,MATCH(Y$2,Inputs!$K$4:$AJ$4,0)))+SUMPRODUCT((Inputs!$C$5:$C$180=$B11)*Inputs!$D$5:$D$180*(((Inputs!$G$5:$G$180="moeda")+(Inputs!$G$5:$G$180="acoes"))*Inputs!$B$1+((Inputs!$G$5:$G$180&lt;&gt;"moeda")*(Inputs!$G$5:$G$180&lt;&gt;"acoes")))*INDEX(Inputs!$K$5:$AJ$180,0,MATCH(Y$2,Inputs!$K$4:$AJ$4,0)))+SUMPRODUCT((Inputs!$E$5:$E$180=$B11)*Inputs!$F$5:$F$180*(((Inputs!$G$5:$G$180="moeda")+(Inputs!$G$5:$G$180="acoes"))*Inputs!$B$1+((Inputs!$G$5:$G$180&lt;&gt;"moeda")*(Inputs!$G$5:$G$180&lt;&gt;"acoes")))*INDEX(Inputs!$K$5:$AJ$180,0,MATCH(Y$2,Inputs!$K$4:$AJ$4,0)))))</f>
        <v>-2.776</v>
      </c>
      <c r="Z11" s="6">
        <f>IF(ISNA(MATCH(Z$2,Inputs!$K$4:$AJ$4,0)),NA(),IF(SUMPRODUCT((Inputs!$A$5:$A$180=$B11)*ISNUMBER(INDEX(Inputs!$K$5:$AJ$180,0,MATCH(Z$2,Inputs!$K$4:$AJ$4,0))))+SUMPRODUCT((Inputs!$C$5:$C$180=$B11)*ISNUMBER(INDEX(Inputs!$K$5:$AJ$180,0,MATCH(Z$2,Inputs!$K$4:$AJ$4,0))))+SUMPRODUCT((Inputs!$E$5:$E$180=$B11)*ISNUMBER(INDEX(Inputs!$K$5:$AJ$180,0,MATCH(Z$2,Inputs!$K$4:$AJ$4,0))))=0,NA(),SUMPRODUCT((Inputs!$A$5:$A$180=$B11)*Inputs!$B$5:$B$180*(((Inputs!$G$5:$G$180="moeda")+(Inputs!$G$5:$G$180="acoes"))*Inputs!$B$1+((Inputs!$G$5:$G$180&lt;&gt;"moeda")*(Inputs!$G$5:$G$180&lt;&gt;"acoes")))*INDEX(Inputs!$K$5:$AJ$180,0,MATCH(Z$2,Inputs!$K$4:$AJ$4,0)))+SUMPRODUCT((Inputs!$C$5:$C$180=$B11)*Inputs!$D$5:$D$180*(((Inputs!$G$5:$G$180="moeda")+(Inputs!$G$5:$G$180="acoes"))*Inputs!$B$1+((Inputs!$G$5:$G$180&lt;&gt;"moeda")*(Inputs!$G$5:$G$180&lt;&gt;"acoes")))*INDEX(Inputs!$K$5:$AJ$180,0,MATCH(Z$2,Inputs!$K$4:$AJ$4,0)))+SUMPRODUCT((Inputs!$E$5:$E$180=$B11)*Inputs!$F$5:$F$180*(((Inputs!$G$5:$G$180="moeda")+(Inputs!$G$5:$G$180="acoes"))*Inputs!$B$1+((Inputs!$G$5:$G$180&lt;&gt;"moeda")*(Inputs!$G$5:$G$180&lt;&gt;"acoes")))*INDEX(Inputs!$K$5:$AJ$180,0,MATCH(Z$2,Inputs!$K$4:$AJ$4,0)))))</f>
        <v>-3.60633808341797</v>
      </c>
      <c r="AA11" s="6">
        <f>IF(ISNA(MATCH(AA$2,Inputs!$K$4:$AJ$4,0)),NA(),IF(SUMPRODUCT((Inputs!$A$5:$A$180=$B11)*ISNUMBER(INDEX(Inputs!$K$5:$AJ$180,0,MATCH(AA$2,Inputs!$K$4:$AJ$4,0))))+SUMPRODUCT((Inputs!$C$5:$C$180=$B11)*ISNUMBER(INDEX(Inputs!$K$5:$AJ$180,0,MATCH(AA$2,Inputs!$K$4:$AJ$4,0))))+SUMPRODUCT((Inputs!$E$5:$E$180=$B11)*ISNUMBER(INDEX(Inputs!$K$5:$AJ$180,0,MATCH(AA$2,Inputs!$K$4:$AJ$4,0))))=0,NA(),SUMPRODUCT((Inputs!$A$5:$A$180=$B11)*Inputs!$B$5:$B$180*(((Inputs!$G$5:$G$180="moeda")+(Inputs!$G$5:$G$180="acoes"))*Inputs!$B$1+((Inputs!$G$5:$G$180&lt;&gt;"moeda")*(Inputs!$G$5:$G$180&lt;&gt;"acoes")))*INDEX(Inputs!$K$5:$AJ$180,0,MATCH(AA$2,Inputs!$K$4:$AJ$4,0)))+SUMPRODUCT((Inputs!$C$5:$C$180=$B11)*Inputs!$D$5:$D$180*(((Inputs!$G$5:$G$180="moeda")+(Inputs!$G$5:$G$180="acoes"))*Inputs!$B$1+((Inputs!$G$5:$G$180&lt;&gt;"moeda")*(Inputs!$G$5:$G$180&lt;&gt;"acoes")))*INDEX(Inputs!$K$5:$AJ$180,0,MATCH(AA$2,Inputs!$K$4:$AJ$4,0)))+SUMPRODUCT((Inputs!$E$5:$E$180=$B11)*Inputs!$F$5:$F$180*(((Inputs!$G$5:$G$180="moeda")+(Inputs!$G$5:$G$180="acoes"))*Inputs!$B$1+((Inputs!$G$5:$G$180&lt;&gt;"moeda")*(Inputs!$G$5:$G$180&lt;&gt;"acoes")))*INDEX(Inputs!$K$5:$AJ$180,0,MATCH(AA$2,Inputs!$K$4:$AJ$4,0)))))</f>
        <v>-4.9056465948825</v>
      </c>
      <c r="AB11" s="3">
        <f>SUM(X11:AA11)</f>
        <v>-13.5589846783005</v>
      </c>
      <c r="AC11" s="6">
        <f>IF(ISNA(MATCH(AC$2,Inputs!$K$4:$AJ$4,0)),NA(),IF(SUMPRODUCT((Inputs!$A$5:$A$180=$B11)*ISNUMBER(INDEX(Inputs!$K$5:$AJ$180,0,MATCH(AC$2,Inputs!$K$4:$AJ$4,0))))+SUMPRODUCT((Inputs!$C$5:$C$180=$B11)*ISNUMBER(INDEX(Inputs!$K$5:$AJ$180,0,MATCH(AC$2,Inputs!$K$4:$AJ$4,0))))+SUMPRODUCT((Inputs!$E$5:$E$180=$B11)*ISNUMBER(INDEX(Inputs!$K$5:$AJ$180,0,MATCH(AC$2,Inputs!$K$4:$AJ$4,0))))=0,NA(),SUMPRODUCT((Inputs!$A$5:$A$180=$B11)*Inputs!$B$5:$B$180*(((Inputs!$G$5:$G$180="moeda")+(Inputs!$G$5:$G$180="acoes"))*Inputs!$B$1+((Inputs!$G$5:$G$180&lt;&gt;"moeda")*(Inputs!$G$5:$G$180&lt;&gt;"acoes")))*INDEX(Inputs!$K$5:$AJ$180,0,MATCH(AC$2,Inputs!$K$4:$AJ$4,0)))+SUMPRODUCT((Inputs!$C$5:$C$180=$B11)*Inputs!$D$5:$D$180*(((Inputs!$G$5:$G$180="moeda")+(Inputs!$G$5:$G$180="acoes"))*Inputs!$B$1+((Inputs!$G$5:$G$180&lt;&gt;"moeda")*(Inputs!$G$5:$G$180&lt;&gt;"acoes")))*INDEX(Inputs!$K$5:$AJ$180,0,MATCH(AC$2,Inputs!$K$4:$AJ$4,0)))+SUMPRODUCT((Inputs!$E$5:$E$180=$B11)*Inputs!$F$5:$F$180*(((Inputs!$G$5:$G$180="moeda")+(Inputs!$G$5:$G$180="acoes"))*Inputs!$B$1+((Inputs!$G$5:$G$180&lt;&gt;"moeda")*(Inputs!$G$5:$G$180&lt;&gt;"acoes")))*INDEX(Inputs!$K$5:$AJ$180,0,MATCH(AC$2,Inputs!$K$4:$AJ$4,0)))))</f>
        <v>-5.061568</v>
      </c>
      <c r="AD11" s="6">
        <f>IF(ISNA(MATCH(AD$2,Inputs!$K$4:$AJ$4,0)),NA(),IF(SUMPRODUCT((Inputs!$A$5:$A$180=$B11)*ISNUMBER(INDEX(Inputs!$K$5:$AJ$180,0,MATCH(AD$2,Inputs!$K$4:$AJ$4,0))))+SUMPRODUCT((Inputs!$C$5:$C$180=$B11)*ISNUMBER(INDEX(Inputs!$K$5:$AJ$180,0,MATCH(AD$2,Inputs!$K$4:$AJ$4,0))))+SUMPRODUCT((Inputs!$E$5:$E$180=$B11)*ISNUMBER(INDEX(Inputs!$K$5:$AJ$180,0,MATCH(AD$2,Inputs!$K$4:$AJ$4,0))))=0,NA(),SUMPRODUCT((Inputs!$A$5:$A$180=$B11)*Inputs!$B$5:$B$180*(((Inputs!$G$5:$G$180="moeda")+(Inputs!$G$5:$G$180="acoes"))*Inputs!$B$1+((Inputs!$G$5:$G$180&lt;&gt;"moeda")*(Inputs!$G$5:$G$180&lt;&gt;"acoes")))*INDEX(Inputs!$K$5:$AJ$180,0,MATCH(AD$2,Inputs!$K$4:$AJ$4,0)))+SUMPRODUCT((Inputs!$C$5:$C$180=$B11)*Inputs!$D$5:$D$180*(((Inputs!$G$5:$G$180="moeda")+(Inputs!$G$5:$G$180="acoes"))*Inputs!$B$1+((Inputs!$G$5:$G$180&lt;&gt;"moeda")*(Inputs!$G$5:$G$180&lt;&gt;"acoes")))*INDEX(Inputs!$K$5:$AJ$180,0,MATCH(AD$2,Inputs!$K$4:$AJ$4,0)))+SUMPRODUCT((Inputs!$E$5:$E$180=$B11)*Inputs!$F$5:$F$180*(((Inputs!$G$5:$G$180="moeda")+(Inputs!$G$5:$G$180="acoes"))*Inputs!$B$1+((Inputs!$G$5:$G$180&lt;&gt;"moeda")*(Inputs!$G$5:$G$180&lt;&gt;"acoes")))*INDEX(Inputs!$K$5:$AJ$180,0,MATCH(AD$2,Inputs!$K$4:$AJ$4,0)))))</f>
        <v>-5.364726</v>
      </c>
      <c r="AE11" s="6" t="e">
        <f>IF(ISNA(MATCH(AE$2,Inputs!$K$4:$AJ$4,0)),NA(),IF(SUMPRODUCT((Inputs!$A$5:$A$180=$B11)*ISNUMBER(INDEX(Inputs!$K$5:$AJ$180,0,MATCH(AE$2,Inputs!$K$4:$AJ$4,0))))+SUMPRODUCT((Inputs!$C$5:$C$180=$B11)*ISNUMBER(INDEX(Inputs!$K$5:$AJ$180,0,MATCH(AE$2,Inputs!$K$4:$AJ$4,0))))+SUMPRODUCT((Inputs!$E$5:$E$180=$B11)*ISNUMBER(INDEX(Inputs!$K$5:$AJ$180,0,MATCH(AE$2,Inputs!$K$4:$AJ$4,0))))=0,NA(),SUMPRODUCT((Inputs!$A$5:$A$180=$B11)*Inputs!$B$5:$B$180*(((Inputs!$G$5:$G$180="moeda")+(Inputs!$G$5:$G$180="acoes"))*Inputs!$B$1+((Inputs!$G$5:$G$180&lt;&gt;"moeda")*(Inputs!$G$5:$G$180&lt;&gt;"acoes")))*INDEX(Inputs!$K$5:$AJ$180,0,MATCH(AE$2,Inputs!$K$4:$AJ$4,0)))+SUMPRODUCT((Inputs!$C$5:$C$180=$B11)*Inputs!$D$5:$D$180*(((Inputs!$G$5:$G$180="moeda")+(Inputs!$G$5:$G$180="acoes"))*Inputs!$B$1+((Inputs!$G$5:$G$180&lt;&gt;"moeda")*(Inputs!$G$5:$G$180&lt;&gt;"acoes")))*INDEX(Inputs!$K$5:$AJ$180,0,MATCH(AE$2,Inputs!$K$4:$AJ$4,0)))+SUMPRODUCT((Inputs!$E$5:$E$180=$B11)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1" s="6" t="e">
        <f>IF(ISNA(MATCH(AF$2,Inputs!$K$4:$AJ$4,0)),NA(),IF(SUMPRODUCT((Inputs!$A$5:$A$180=$B11)*ISNUMBER(INDEX(Inputs!$K$5:$AJ$180,0,MATCH(AF$2,Inputs!$K$4:$AJ$4,0))))+SUMPRODUCT((Inputs!$C$5:$C$180=$B11)*ISNUMBER(INDEX(Inputs!$K$5:$AJ$180,0,MATCH(AF$2,Inputs!$K$4:$AJ$4,0))))+SUMPRODUCT((Inputs!$E$5:$E$180=$B11)*ISNUMBER(INDEX(Inputs!$K$5:$AJ$180,0,MATCH(AF$2,Inputs!$K$4:$AJ$4,0))))=0,NA(),SUMPRODUCT((Inputs!$A$5:$A$180=$B11)*Inputs!$B$5:$B$180*(((Inputs!$G$5:$G$180="moeda")+(Inputs!$G$5:$G$180="acoes"))*Inputs!$B$1+((Inputs!$G$5:$G$180&lt;&gt;"moeda")*(Inputs!$G$5:$G$180&lt;&gt;"acoes")))*INDEX(Inputs!$K$5:$AJ$180,0,MATCH(AF$2,Inputs!$K$4:$AJ$4,0)))+SUMPRODUCT((Inputs!$C$5:$C$180=$B11)*Inputs!$D$5:$D$180*(((Inputs!$G$5:$G$180="moeda")+(Inputs!$G$5:$G$180="acoes"))*Inputs!$B$1+((Inputs!$G$5:$G$180&lt;&gt;"moeda")*(Inputs!$G$5:$G$180&lt;&gt;"acoes")))*INDEX(Inputs!$K$5:$AJ$180,0,MATCH(AF$2,Inputs!$K$4:$AJ$4,0)))+SUMPRODUCT((Inputs!$E$5:$E$180=$B11)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$180=$B11)*ISNUMBER(INDEX(Inputs!$K$5:$AJ$180,0,MATCH(AH$2,Inputs!$K$4:$AJ$4,0))))+SUMPRODUCT((Inputs!$C$5:$C$180=$B11)*ISNUMBER(INDEX(Inputs!$K$5:$AJ$180,0,MATCH(AH$2,Inputs!$K$4:$AJ$4,0))))+SUMPRODUCT((Inputs!$E$5:$E$180=$B11)*ISNUMBER(INDEX(Inputs!$K$5:$AJ$180,0,MATCH(AH$2,Inputs!$K$4:$AJ$4,0))))=0,NA(),SUMPRODUCT((Inputs!$A$5:$A$180=$B11)*Inputs!$B$5:$B$180*(((Inputs!$G$5:$G$180="moeda")+(Inputs!$G$5:$G$180="acoes"))*Inputs!$B$1+((Inputs!$G$5:$G$180&lt;&gt;"moeda")*(Inputs!$G$5:$G$180&lt;&gt;"acoes")))*INDEX(Inputs!$K$5:$AJ$180,0,MATCH(AH$2,Inputs!$K$4:$AJ$4,0)))+SUMPRODUCT((Inputs!$C$5:$C$180=$B11)*Inputs!$D$5:$D$180*(((Inputs!$G$5:$G$180="moeda")+(Inputs!$G$5:$G$180="acoes"))*Inputs!$B$1+((Inputs!$G$5:$G$180&lt;&gt;"moeda")*(Inputs!$G$5:$G$180&lt;&gt;"acoes")))*INDEX(Inputs!$K$5:$AJ$180,0,MATCH(AH$2,Inputs!$K$4:$AJ$4,0)))+SUMPRODUCT((Inputs!$E$5:$E$180=$B11)*Inputs!$F$5:$F$180*(((Inputs!$G$5:$G$180="moeda")+(Inputs!$G$5:$G$180="acoes"))*Inputs!$B$1+((Inputs!$G$5:$G$180&lt;&gt;"moeda")*(Inputs!$G$5:$G$180&lt;&gt;"acoes")))*INDEX(Inputs!$K$5:$AJ$180,0,MATCH(AH$2,Inputs!$K$4:$AJ$4,0)))))</f>
        <v>0.0388915699999984</v>
      </c>
      <c r="AI11" s="6">
        <f>IF(ISNA(MATCH(AI$2,Inputs!$K$4:$AJ$4,0)),NA(),IF(SUMPRODUCT((Inputs!$A$5:$A$180=$B11)*ISNUMBER(INDEX(Inputs!$K$5:$AJ$180,0,MATCH(AI$2,Inputs!$K$4:$AJ$4,0))))+SUMPRODUCT((Inputs!$C$5:$C$180=$B11)*ISNUMBER(INDEX(Inputs!$K$5:$AJ$180,0,MATCH(AI$2,Inputs!$K$4:$AJ$4,0))))+SUMPRODUCT((Inputs!$E$5:$E$180=$B11)*ISNUMBER(INDEX(Inputs!$K$5:$AJ$180,0,MATCH(AI$2,Inputs!$K$4:$AJ$4,0))))=0,NA(),SUMPRODUCT((Inputs!$A$5:$A$180=$B11)*Inputs!$B$5:$B$180*(((Inputs!$G$5:$G$180="moeda")+(Inputs!$G$5:$G$180="acoes"))*Inputs!$B$1+((Inputs!$G$5:$G$180&lt;&gt;"moeda")*(Inputs!$G$5:$G$180&lt;&gt;"acoes")))*INDEX(Inputs!$K$5:$AJ$180,0,MATCH(AI$2,Inputs!$K$4:$AJ$4,0)))+SUMPRODUCT((Inputs!$C$5:$C$180=$B11)*Inputs!$D$5:$D$180*(((Inputs!$G$5:$G$180="moeda")+(Inputs!$G$5:$G$180="acoes"))*Inputs!$B$1+((Inputs!$G$5:$G$180&lt;&gt;"moeda")*(Inputs!$G$5:$G$180&lt;&gt;"acoes")))*INDEX(Inputs!$K$5:$AJ$180,0,MATCH(AI$2,Inputs!$K$4:$AJ$4,0)))+SUMPRODUCT((Inputs!$E$5:$E$180=$B11)*Inputs!$F$5:$F$180*(((Inputs!$G$5:$G$180="moeda")+(Inputs!$G$5:$G$180="acoes"))*Inputs!$B$1+((Inputs!$G$5:$G$180&lt;&gt;"moeda")*(Inputs!$G$5:$G$180&lt;&gt;"acoes")))*INDEX(Inputs!$K$5:$AJ$180,0,MATCH(AI$2,Inputs!$K$4:$AJ$4,0)))))</f>
        <v>-1.02743027</v>
      </c>
      <c r="AJ11" s="6">
        <f>IF(ISNA(MATCH(AJ$2,Inputs!$K$4:$AJ$4,0)),NA(),IF(SUMPRODUCT((Inputs!$A$5:$A$180=$B11)*ISNUMBER(INDEX(Inputs!$K$5:$AJ$180,0,MATCH(AJ$2,Inputs!$K$4:$AJ$4,0))))+SUMPRODUCT((Inputs!$C$5:$C$180=$B11)*ISNUMBER(INDEX(Inputs!$K$5:$AJ$180,0,MATCH(AJ$2,Inputs!$K$4:$AJ$4,0))))+SUMPRODUCT((Inputs!$E$5:$E$180=$B11)*ISNUMBER(INDEX(Inputs!$K$5:$AJ$180,0,MATCH(AJ$2,Inputs!$K$4:$AJ$4,0))))=0,NA(),SUMPRODUCT((Inputs!$A$5:$A$180=$B11)*Inputs!$B$5:$B$180*(((Inputs!$G$5:$G$180="moeda")+(Inputs!$G$5:$G$180="acoes"))*Inputs!$B$1+((Inputs!$G$5:$G$180&lt;&gt;"moeda")*(Inputs!$G$5:$G$180&lt;&gt;"acoes")))*INDEX(Inputs!$K$5:$AJ$180,0,MATCH(AJ$2,Inputs!$K$4:$AJ$4,0)))+SUMPRODUCT((Inputs!$C$5:$C$180=$B11)*Inputs!$D$5:$D$180*(((Inputs!$G$5:$G$180="moeda")+(Inputs!$G$5:$G$180="acoes"))*Inputs!$B$1+((Inputs!$G$5:$G$180&lt;&gt;"moeda")*(Inputs!$G$5:$G$180&lt;&gt;"acoes")))*INDEX(Inputs!$K$5:$AJ$180,0,MATCH(AJ$2,Inputs!$K$4:$AJ$4,0)))+SUMPRODUCT((Inputs!$E$5:$E$180=$B11)*Inputs!$F$5:$F$180*(((Inputs!$G$5:$G$180="moeda")+(Inputs!$G$5:$G$180="acoes"))*Inputs!$B$1+((Inputs!$G$5:$G$180&lt;&gt;"moeda")*(Inputs!$G$5:$G$180&lt;&gt;"acoes")))*INDEX(Inputs!$K$5:$AJ$180,0,MATCH(AJ$2,Inputs!$K$4:$AJ$4,0)))))</f>
        <v>0.292335850000004</v>
      </c>
      <c r="AK11" s="6">
        <f>IF(ISNA(MATCH(AK$2,Inputs!$K$4:$AJ$4,0)),NA(),IF(SUMPRODUCT((Inputs!$A$5:$A$180=$B11)*ISNUMBER(INDEX(Inputs!$K$5:$AJ$180,0,MATCH(AK$2,Inputs!$K$4:$AJ$4,0))))+SUMPRODUCT((Inputs!$C$5:$C$180=$B11)*ISNUMBER(INDEX(Inputs!$K$5:$AJ$180,0,MATCH(AK$2,Inputs!$K$4:$AJ$4,0))))+SUMPRODUCT((Inputs!$E$5:$E$180=$B11)*ISNUMBER(INDEX(Inputs!$K$5:$AJ$180,0,MATCH(AK$2,Inputs!$K$4:$AJ$4,0))))=0,NA(),SUMPRODUCT((Inputs!$A$5:$A$180=$B11)*Inputs!$B$5:$B$180*(((Inputs!$G$5:$G$180="moeda")+(Inputs!$G$5:$G$180="acoes"))*Inputs!$B$1+((Inputs!$G$5:$G$180&lt;&gt;"moeda")*(Inputs!$G$5:$G$180&lt;&gt;"acoes")))*INDEX(Inputs!$K$5:$AJ$180,0,MATCH(AK$2,Inputs!$K$4:$AJ$4,0)))+SUMPRODUCT((Inputs!$C$5:$C$180=$B11)*Inputs!$D$5:$D$180*(((Inputs!$G$5:$G$180="moeda")+(Inputs!$G$5:$G$180="acoes"))*Inputs!$B$1+((Inputs!$G$5:$G$180&lt;&gt;"moeda")*(Inputs!$G$5:$G$180&lt;&gt;"acoes")))*INDEX(Inputs!$K$5:$AJ$180,0,MATCH(AK$2,Inputs!$K$4:$AJ$4,0)))+SUMPRODUCT((Inputs!$E$5:$E$180=$B11)*Inputs!$F$5:$F$180*(((Inputs!$G$5:$G$180="moeda")+(Inputs!$G$5:$G$180="acoes"))*Inputs!$B$1+((Inputs!$G$5:$G$180&lt;&gt;"moeda")*(Inputs!$G$5:$G$180&lt;&gt;"acoes")))*INDEX(Inputs!$K$5:$AJ$180,0,MATCH(AK$2,Inputs!$K$4:$AJ$4,0)))))</f>
        <v>0.370562310000001</v>
      </c>
      <c r="AL11" s="3">
        <f>SUM(AH11:AK11)</f>
        <v>-0.325640539999998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$180=$B12)*ISNUMBER(INDEX(Inputs!$K$5:$AJ$180,0,MATCH(D$2,Inputs!$K$4:$AJ$4,0))))+SUMPRODUCT((Inputs!$C$5:$C$180=$B12)*ISNUMBER(INDEX(Inputs!$K$5:$AJ$180,0,MATCH(D$2,Inputs!$K$4:$AJ$4,0))))+SUMPRODUCT((Inputs!$E$5:$E$180=$B12)*ISNUMBER(INDEX(Inputs!$K$5:$AJ$180,0,MATCH(D$2,Inputs!$K$4:$AJ$4,0))))=0,NA(),SUMPRODUCT((Inputs!$A$5:$A$180=$B12)*Inputs!$B$5:$B$180*(((Inputs!$G$5:$G$180="moeda")+(Inputs!$G$5:$G$180="acoes"))*Inputs!$B$1+((Inputs!$G$5:$G$180&lt;&gt;"moeda")*(Inputs!$G$5:$G$180&lt;&gt;"acoes")))*INDEX(Inputs!$K$5:$AJ$180,0,MATCH(D$2,Inputs!$K$4:$AJ$4,0)))+SUMPRODUCT((Inputs!$C$5:$C$180=$B12)*Inputs!$D$5:$D$180*(((Inputs!$G$5:$G$180="moeda")+(Inputs!$G$5:$G$180="acoes"))*Inputs!$B$1+((Inputs!$G$5:$G$180&lt;&gt;"moeda")*(Inputs!$G$5:$G$180&lt;&gt;"acoes")))*INDEX(Inputs!$K$5:$AJ$180,0,MATCH(D$2,Inputs!$K$4:$AJ$4,0)))+SUMPRODUCT((Inputs!$E$5:$E$180=$B12)*Inputs!$F$5:$F$180*(((Inputs!$G$5:$G$180="moeda")+(Inputs!$G$5:$G$180="acoes"))*Inputs!$B$1+((Inputs!$G$5:$G$180&lt;&gt;"moeda")*(Inputs!$G$5:$G$180&lt;&gt;"acoes")))*INDEX(Inputs!$K$5:$AJ$180,0,MATCH(D$2,Inputs!$K$4:$AJ$4,0)))))</f>
        <v>0</v>
      </c>
      <c r="E12" s="6">
        <f>IF(ISNA(MATCH(E$2,Inputs!$K$4:$AJ$4,0)),NA(),IF(SUMPRODUCT((Inputs!$A$5:$A$180=$B12)*ISNUMBER(INDEX(Inputs!$K$5:$AJ$180,0,MATCH(E$2,Inputs!$K$4:$AJ$4,0))))+SUMPRODUCT((Inputs!$C$5:$C$180=$B12)*ISNUMBER(INDEX(Inputs!$K$5:$AJ$180,0,MATCH(E$2,Inputs!$K$4:$AJ$4,0))))+SUMPRODUCT((Inputs!$E$5:$E$180=$B12)*ISNUMBER(INDEX(Inputs!$K$5:$AJ$180,0,MATCH(E$2,Inputs!$K$4:$AJ$4,0))))=0,NA(),SUMPRODUCT((Inputs!$A$5:$A$180=$B12)*Inputs!$B$5:$B$180*(((Inputs!$G$5:$G$180="moeda")+(Inputs!$G$5:$G$180="acoes"))*Inputs!$B$1+((Inputs!$G$5:$G$180&lt;&gt;"moeda")*(Inputs!$G$5:$G$180&lt;&gt;"acoes")))*INDEX(Inputs!$K$5:$AJ$180,0,MATCH(E$2,Inputs!$K$4:$AJ$4,0)))+SUMPRODUCT((Inputs!$C$5:$C$180=$B12)*Inputs!$D$5:$D$180*(((Inputs!$G$5:$G$180="moeda")+(Inputs!$G$5:$G$180="acoes"))*Inputs!$B$1+((Inputs!$G$5:$G$180&lt;&gt;"moeda")*(Inputs!$G$5:$G$180&lt;&gt;"acoes")))*INDEX(Inputs!$K$5:$AJ$180,0,MATCH(E$2,Inputs!$K$4:$AJ$4,0)))+SUMPRODUCT((Inputs!$E$5:$E$180=$B12)*Inputs!$F$5:$F$180*(((Inputs!$G$5:$G$180="moeda")+(Inputs!$G$5:$G$180="acoes"))*Inputs!$B$1+((Inputs!$G$5:$G$180&lt;&gt;"moeda")*(Inputs!$G$5:$G$180&lt;&gt;"acoes")))*INDEX(Inputs!$K$5:$AJ$180,0,MATCH(E$2,Inputs!$K$4:$AJ$4,0)))))</f>
        <v>0.039423182</v>
      </c>
      <c r="F12" s="6">
        <f>IF(ISNA(MATCH(F$2,Inputs!$K$4:$AJ$4,0)),NA(),IF(SUMPRODUCT((Inputs!$A$5:$A$180=$B12)*ISNUMBER(INDEX(Inputs!$K$5:$AJ$180,0,MATCH(F$2,Inputs!$K$4:$AJ$4,0))))+SUMPRODUCT((Inputs!$C$5:$C$180=$B12)*ISNUMBER(INDEX(Inputs!$K$5:$AJ$180,0,MATCH(F$2,Inputs!$K$4:$AJ$4,0))))+SUMPRODUCT((Inputs!$E$5:$E$180=$B12)*ISNUMBER(INDEX(Inputs!$K$5:$AJ$180,0,MATCH(F$2,Inputs!$K$4:$AJ$4,0))))=0,NA(),SUMPRODUCT((Inputs!$A$5:$A$180=$B12)*Inputs!$B$5:$B$180*(((Inputs!$G$5:$G$180="moeda")+(Inputs!$G$5:$G$180="acoes"))*Inputs!$B$1+((Inputs!$G$5:$G$180&lt;&gt;"moeda")*(Inputs!$G$5:$G$180&lt;&gt;"acoes")))*INDEX(Inputs!$K$5:$AJ$180,0,MATCH(F$2,Inputs!$K$4:$AJ$4,0)))+SUMPRODUCT((Inputs!$C$5:$C$180=$B12)*Inputs!$D$5:$D$180*(((Inputs!$G$5:$G$180="moeda")+(Inputs!$G$5:$G$180="acoes"))*Inputs!$B$1+((Inputs!$G$5:$G$180&lt;&gt;"moeda")*(Inputs!$G$5:$G$180&lt;&gt;"acoes")))*INDEX(Inputs!$K$5:$AJ$180,0,MATCH(F$2,Inputs!$K$4:$AJ$4,0)))+SUMPRODUCT((Inputs!$E$5:$E$180=$B12)*Inputs!$F$5:$F$180*(((Inputs!$G$5:$G$180="moeda")+(Inputs!$G$5:$G$180="acoes"))*Inputs!$B$1+((Inputs!$G$5:$G$180&lt;&gt;"moeda")*(Inputs!$G$5:$G$180&lt;&gt;"acoes")))*INDEX(Inputs!$K$5:$AJ$180,0,MATCH(F$2,Inputs!$K$4:$AJ$4,0)))))</f>
        <v>-1.426590592597</v>
      </c>
      <c r="G12" s="6">
        <f>IF(ISNA(MATCH(G$2,Inputs!$K$4:$AJ$4,0)),NA(),IF(SUMPRODUCT((Inputs!$A$5:$A$180=$B12)*ISNUMBER(INDEX(Inputs!$K$5:$AJ$180,0,MATCH(G$2,Inputs!$K$4:$AJ$4,0))))+SUMPRODUCT((Inputs!$C$5:$C$180=$B12)*ISNUMBER(INDEX(Inputs!$K$5:$AJ$180,0,MATCH(G$2,Inputs!$K$4:$AJ$4,0))))+SUMPRODUCT((Inputs!$E$5:$E$180=$B12)*ISNUMBER(INDEX(Inputs!$K$5:$AJ$180,0,MATCH(G$2,Inputs!$K$4:$AJ$4,0))))=0,NA(),SUMPRODUCT((Inputs!$A$5:$A$180=$B12)*Inputs!$B$5:$B$180*(((Inputs!$G$5:$G$180="moeda")+(Inputs!$G$5:$G$180="acoes"))*Inputs!$B$1+((Inputs!$G$5:$G$180&lt;&gt;"moeda")*(Inputs!$G$5:$G$180&lt;&gt;"acoes")))*INDEX(Inputs!$K$5:$AJ$180,0,MATCH(G$2,Inputs!$K$4:$AJ$4,0)))+SUMPRODUCT((Inputs!$C$5:$C$180=$B12)*Inputs!$D$5:$D$180*(((Inputs!$G$5:$G$180="moeda")+(Inputs!$G$5:$G$180="acoes"))*Inputs!$B$1+((Inputs!$G$5:$G$180&lt;&gt;"moeda")*(Inputs!$G$5:$G$180&lt;&gt;"acoes")))*INDEX(Inputs!$K$5:$AJ$180,0,MATCH(G$2,Inputs!$K$4:$AJ$4,0)))+SUMPRODUCT((Inputs!$E$5:$E$180=$B12)*Inputs!$F$5:$F$180*(((Inputs!$G$5:$G$180="moeda")+(Inputs!$G$5:$G$180="acoes"))*Inputs!$B$1+((Inputs!$G$5:$G$180&lt;&gt;"moeda")*(Inputs!$G$5:$G$180&lt;&gt;"acoes")))*INDEX(Inputs!$K$5:$AJ$180,0,MATCH(G$2,Inputs!$K$4:$AJ$4,0)))))</f>
        <v>-0.177942983442</v>
      </c>
      <c r="H12" s="3">
        <f>SUM(D12:G12)</f>
        <v>-1.565110394039</v>
      </c>
      <c r="I12" s="6">
        <f>IF(ISNA(MATCH(I$2,Inputs!$K$4:$AJ$4,0)),NA(),IF(SUMPRODUCT((Inputs!$A$5:$A$180=$B12)*ISNUMBER(INDEX(Inputs!$K$5:$AJ$180,0,MATCH(I$2,Inputs!$K$4:$AJ$4,0))))+SUMPRODUCT((Inputs!$C$5:$C$180=$B12)*ISNUMBER(INDEX(Inputs!$K$5:$AJ$180,0,MATCH(I$2,Inputs!$K$4:$AJ$4,0))))+SUMPRODUCT((Inputs!$E$5:$E$180=$B12)*ISNUMBER(INDEX(Inputs!$K$5:$AJ$180,0,MATCH(I$2,Inputs!$K$4:$AJ$4,0))))=0,NA(),SUMPRODUCT((Inputs!$A$5:$A$180=$B12)*Inputs!$B$5:$B$180*(((Inputs!$G$5:$G$180="moeda")+(Inputs!$G$5:$G$180="acoes"))*Inputs!$B$1+((Inputs!$G$5:$G$180&lt;&gt;"moeda")*(Inputs!$G$5:$G$180&lt;&gt;"acoes")))*INDEX(Inputs!$K$5:$AJ$180,0,MATCH(I$2,Inputs!$K$4:$AJ$4,0)))+SUMPRODUCT((Inputs!$C$5:$C$180=$B12)*Inputs!$D$5:$D$180*(((Inputs!$G$5:$G$180="moeda")+(Inputs!$G$5:$G$180="acoes"))*Inputs!$B$1+((Inputs!$G$5:$G$180&lt;&gt;"moeda")*(Inputs!$G$5:$G$180&lt;&gt;"acoes")))*INDEX(Inputs!$K$5:$AJ$180,0,MATCH(I$2,Inputs!$K$4:$AJ$4,0)))+SUMPRODUCT((Inputs!$E$5:$E$180=$B12)*Inputs!$F$5:$F$180*(((Inputs!$G$5:$G$180="moeda")+(Inputs!$G$5:$G$180="acoes"))*Inputs!$B$1+((Inputs!$G$5:$G$180&lt;&gt;"moeda")*(Inputs!$G$5:$G$180&lt;&gt;"acoes")))*INDEX(Inputs!$K$5:$AJ$180,0,MATCH(I$2,Inputs!$K$4:$AJ$4,0)))))</f>
        <v>-0.39147077355</v>
      </c>
      <c r="J12" s="6">
        <f>IF(ISNA(MATCH(J$2,Inputs!$K$4:$AJ$4,0)),NA(),IF(SUMPRODUCT((Inputs!$A$5:$A$180=$B12)*ISNUMBER(INDEX(Inputs!$K$5:$AJ$180,0,MATCH(J$2,Inputs!$K$4:$AJ$4,0))))+SUMPRODUCT((Inputs!$C$5:$C$180=$B12)*ISNUMBER(INDEX(Inputs!$K$5:$AJ$180,0,MATCH(J$2,Inputs!$K$4:$AJ$4,0))))+SUMPRODUCT((Inputs!$E$5:$E$180=$B12)*ISNUMBER(INDEX(Inputs!$K$5:$AJ$180,0,MATCH(J$2,Inputs!$K$4:$AJ$4,0))))=0,NA(),SUMPRODUCT((Inputs!$A$5:$A$180=$B12)*Inputs!$B$5:$B$180*(((Inputs!$G$5:$G$180="moeda")+(Inputs!$G$5:$G$180="acoes"))*Inputs!$B$1+((Inputs!$G$5:$G$180&lt;&gt;"moeda")*(Inputs!$G$5:$G$180&lt;&gt;"acoes")))*INDEX(Inputs!$K$5:$AJ$180,0,MATCH(J$2,Inputs!$K$4:$AJ$4,0)))+SUMPRODUCT((Inputs!$C$5:$C$180=$B12)*Inputs!$D$5:$D$180*(((Inputs!$G$5:$G$180="moeda")+(Inputs!$G$5:$G$180="acoes"))*Inputs!$B$1+((Inputs!$G$5:$G$180&lt;&gt;"moeda")*(Inputs!$G$5:$G$180&lt;&gt;"acoes")))*INDEX(Inputs!$K$5:$AJ$180,0,MATCH(J$2,Inputs!$K$4:$AJ$4,0)))+SUMPRODUCT((Inputs!$E$5:$E$180=$B12)*Inputs!$F$5:$F$180*(((Inputs!$G$5:$G$180="moeda")+(Inputs!$G$5:$G$180="acoes"))*Inputs!$B$1+((Inputs!$G$5:$G$180&lt;&gt;"moeda")*(Inputs!$G$5:$G$180&lt;&gt;"acoes")))*INDEX(Inputs!$K$5:$AJ$180,0,MATCH(J$2,Inputs!$K$4:$AJ$4,0)))))</f>
        <v>-0.414890426612999</v>
      </c>
      <c r="K12" s="6">
        <f>IF(ISNA(MATCH(K$2,Inputs!$K$4:$AJ$4,0)),NA(),IF(SUMPRODUCT((Inputs!$A$5:$A$180=$B12)*ISNUMBER(INDEX(Inputs!$K$5:$AJ$180,0,MATCH(K$2,Inputs!$K$4:$AJ$4,0))))+SUMPRODUCT((Inputs!$C$5:$C$180=$B12)*ISNUMBER(INDEX(Inputs!$K$5:$AJ$180,0,MATCH(K$2,Inputs!$K$4:$AJ$4,0))))+SUMPRODUCT((Inputs!$E$5:$E$180=$B12)*ISNUMBER(INDEX(Inputs!$K$5:$AJ$180,0,MATCH(K$2,Inputs!$K$4:$AJ$4,0))))=0,NA(),SUMPRODUCT((Inputs!$A$5:$A$180=$B12)*Inputs!$B$5:$B$180*(((Inputs!$G$5:$G$180="moeda")+(Inputs!$G$5:$G$180="acoes"))*Inputs!$B$1+((Inputs!$G$5:$G$180&lt;&gt;"moeda")*(Inputs!$G$5:$G$180&lt;&gt;"acoes")))*INDEX(Inputs!$K$5:$AJ$180,0,MATCH(K$2,Inputs!$K$4:$AJ$4,0)))+SUMPRODUCT((Inputs!$C$5:$C$180=$B12)*Inputs!$D$5:$D$180*(((Inputs!$G$5:$G$180="moeda")+(Inputs!$G$5:$G$180="acoes"))*Inputs!$B$1+((Inputs!$G$5:$G$180&lt;&gt;"moeda")*(Inputs!$G$5:$G$180&lt;&gt;"acoes")))*INDEX(Inputs!$K$5:$AJ$180,0,MATCH(K$2,Inputs!$K$4:$AJ$4,0)))+SUMPRODUCT((Inputs!$E$5:$E$180=$B12)*Inputs!$F$5:$F$180*(((Inputs!$G$5:$G$180="moeda")+(Inputs!$G$5:$G$180="acoes"))*Inputs!$B$1+((Inputs!$G$5:$G$180&lt;&gt;"moeda")*(Inputs!$G$5:$G$180&lt;&gt;"acoes")))*INDEX(Inputs!$K$5:$AJ$180,0,MATCH(K$2,Inputs!$K$4:$AJ$4,0)))))</f>
        <v>-0.67304117</v>
      </c>
      <c r="L12" s="6">
        <f>IF(ISNA(MATCH(L$2,Inputs!$K$4:$AJ$4,0)),NA(),IF(SUMPRODUCT((Inputs!$A$5:$A$180=$B12)*ISNUMBER(INDEX(Inputs!$K$5:$AJ$180,0,MATCH(L$2,Inputs!$K$4:$AJ$4,0))))+SUMPRODUCT((Inputs!$C$5:$C$180=$B12)*ISNUMBER(INDEX(Inputs!$K$5:$AJ$180,0,MATCH(L$2,Inputs!$K$4:$AJ$4,0))))+SUMPRODUCT((Inputs!$E$5:$E$180=$B12)*ISNUMBER(INDEX(Inputs!$K$5:$AJ$180,0,MATCH(L$2,Inputs!$K$4:$AJ$4,0))))=0,NA(),SUMPRODUCT((Inputs!$A$5:$A$180=$B12)*Inputs!$B$5:$B$180*(((Inputs!$G$5:$G$180="moeda")+(Inputs!$G$5:$G$180="acoes"))*Inputs!$B$1+((Inputs!$G$5:$G$180&lt;&gt;"moeda")*(Inputs!$G$5:$G$180&lt;&gt;"acoes")))*INDEX(Inputs!$K$5:$AJ$180,0,MATCH(L$2,Inputs!$K$4:$AJ$4,0)))+SUMPRODUCT((Inputs!$C$5:$C$180=$B12)*Inputs!$D$5:$D$180*(((Inputs!$G$5:$G$180="moeda")+(Inputs!$G$5:$G$180="acoes"))*Inputs!$B$1+((Inputs!$G$5:$G$180&lt;&gt;"moeda")*(Inputs!$G$5:$G$180&lt;&gt;"acoes")))*INDEX(Inputs!$K$5:$AJ$180,0,MATCH(L$2,Inputs!$K$4:$AJ$4,0)))+SUMPRODUCT((Inputs!$E$5:$E$180=$B12)*Inputs!$F$5:$F$180*(((Inputs!$G$5:$G$180="moeda")+(Inputs!$G$5:$G$180="acoes"))*Inputs!$B$1+((Inputs!$G$5:$G$180&lt;&gt;"moeda")*(Inputs!$G$5:$G$180&lt;&gt;"acoes")))*INDEX(Inputs!$K$5:$AJ$180,0,MATCH(L$2,Inputs!$K$4:$AJ$4,0)))))</f>
        <v>0.656184120676</v>
      </c>
      <c r="M12" s="3">
        <f>SUM(I12:L12)</f>
        <v>-0.823218249487</v>
      </c>
      <c r="N12" s="6">
        <f>IF(ISNA(MATCH(N$2,Inputs!$K$4:$AJ$4,0)),NA(),IF(SUMPRODUCT((Inputs!$A$5:$A$180=$B12)*ISNUMBER(INDEX(Inputs!$K$5:$AJ$180,0,MATCH(N$2,Inputs!$K$4:$AJ$4,0))))+SUMPRODUCT((Inputs!$C$5:$C$180=$B12)*ISNUMBER(INDEX(Inputs!$K$5:$AJ$180,0,MATCH(N$2,Inputs!$K$4:$AJ$4,0))))+SUMPRODUCT((Inputs!$E$5:$E$180=$B12)*ISNUMBER(INDEX(Inputs!$K$5:$AJ$180,0,MATCH(N$2,Inputs!$K$4:$AJ$4,0))))=0,NA(),SUMPRODUCT((Inputs!$A$5:$A$180=$B12)*Inputs!$B$5:$B$180*(((Inputs!$G$5:$G$180="moeda")+(Inputs!$G$5:$G$180="acoes"))*Inputs!$B$1+((Inputs!$G$5:$G$180&lt;&gt;"moeda")*(Inputs!$G$5:$G$180&lt;&gt;"acoes")))*INDEX(Inputs!$K$5:$AJ$180,0,MATCH(N$2,Inputs!$K$4:$AJ$4,0)))+SUMPRODUCT((Inputs!$C$5:$C$180=$B12)*Inputs!$D$5:$D$180*(((Inputs!$G$5:$G$180="moeda")+(Inputs!$G$5:$G$180="acoes"))*Inputs!$B$1+((Inputs!$G$5:$G$180&lt;&gt;"moeda")*(Inputs!$G$5:$G$180&lt;&gt;"acoes")))*INDEX(Inputs!$K$5:$AJ$180,0,MATCH(N$2,Inputs!$K$4:$AJ$4,0)))+SUMPRODUCT((Inputs!$E$5:$E$180=$B12)*Inputs!$F$5:$F$180*(((Inputs!$G$5:$G$180="moeda")+(Inputs!$G$5:$G$180="acoes"))*Inputs!$B$1+((Inputs!$G$5:$G$180&lt;&gt;"moeda")*(Inputs!$G$5:$G$180&lt;&gt;"acoes")))*INDEX(Inputs!$K$5:$AJ$180,0,MATCH(N$2,Inputs!$K$4:$AJ$4,0)))))</f>
        <v>0.02834465</v>
      </c>
      <c r="O12" s="6">
        <f>IF(ISNA(MATCH(O$2,Inputs!$K$4:$AJ$4,0)),NA(),IF(SUMPRODUCT((Inputs!$A$5:$A$180=$B12)*ISNUMBER(INDEX(Inputs!$K$5:$AJ$180,0,MATCH(O$2,Inputs!$K$4:$AJ$4,0))))+SUMPRODUCT((Inputs!$C$5:$C$180=$B12)*ISNUMBER(INDEX(Inputs!$K$5:$AJ$180,0,MATCH(O$2,Inputs!$K$4:$AJ$4,0))))+SUMPRODUCT((Inputs!$E$5:$E$180=$B12)*ISNUMBER(INDEX(Inputs!$K$5:$AJ$180,0,MATCH(O$2,Inputs!$K$4:$AJ$4,0))))=0,NA(),SUMPRODUCT((Inputs!$A$5:$A$180=$B12)*Inputs!$B$5:$B$180*(((Inputs!$G$5:$G$180="moeda")+(Inputs!$G$5:$G$180="acoes"))*Inputs!$B$1+((Inputs!$G$5:$G$180&lt;&gt;"moeda")*(Inputs!$G$5:$G$180&lt;&gt;"acoes")))*INDEX(Inputs!$K$5:$AJ$180,0,MATCH(O$2,Inputs!$K$4:$AJ$4,0)))+SUMPRODUCT((Inputs!$C$5:$C$180=$B12)*Inputs!$D$5:$D$180*(((Inputs!$G$5:$G$180="moeda")+(Inputs!$G$5:$G$180="acoes"))*Inputs!$B$1+((Inputs!$G$5:$G$180&lt;&gt;"moeda")*(Inputs!$G$5:$G$180&lt;&gt;"acoes")))*INDEX(Inputs!$K$5:$AJ$180,0,MATCH(O$2,Inputs!$K$4:$AJ$4,0)))+SUMPRODUCT((Inputs!$E$5:$E$180=$B12)*Inputs!$F$5:$F$180*(((Inputs!$G$5:$G$180="moeda")+(Inputs!$G$5:$G$180="acoes"))*Inputs!$B$1+((Inputs!$G$5:$G$180&lt;&gt;"moeda")*(Inputs!$G$5:$G$180&lt;&gt;"acoes")))*INDEX(Inputs!$K$5:$AJ$180,0,MATCH(O$2,Inputs!$K$4:$AJ$4,0)))))</f>
        <v>0.385635388738</v>
      </c>
      <c r="P12" s="6">
        <f>IF(ISNA(MATCH(P$2,Inputs!$K$4:$AJ$4,0)),NA(),IF(SUMPRODUCT((Inputs!$A$5:$A$180=$B12)*ISNUMBER(INDEX(Inputs!$K$5:$AJ$180,0,MATCH(P$2,Inputs!$K$4:$AJ$4,0))))+SUMPRODUCT((Inputs!$C$5:$C$180=$B12)*ISNUMBER(INDEX(Inputs!$K$5:$AJ$180,0,MATCH(P$2,Inputs!$K$4:$AJ$4,0))))+SUMPRODUCT((Inputs!$E$5:$E$180=$B12)*ISNUMBER(INDEX(Inputs!$K$5:$AJ$180,0,MATCH(P$2,Inputs!$K$4:$AJ$4,0))))=0,NA(),SUMPRODUCT((Inputs!$A$5:$A$180=$B12)*Inputs!$B$5:$B$180*(((Inputs!$G$5:$G$180="moeda")+(Inputs!$G$5:$G$180="acoes"))*Inputs!$B$1+((Inputs!$G$5:$G$180&lt;&gt;"moeda")*(Inputs!$G$5:$G$180&lt;&gt;"acoes")))*INDEX(Inputs!$K$5:$AJ$180,0,MATCH(P$2,Inputs!$K$4:$AJ$4,0)))+SUMPRODUCT((Inputs!$C$5:$C$180=$B12)*Inputs!$D$5:$D$180*(((Inputs!$G$5:$G$180="moeda")+(Inputs!$G$5:$G$180="acoes"))*Inputs!$B$1+((Inputs!$G$5:$G$180&lt;&gt;"moeda")*(Inputs!$G$5:$G$180&lt;&gt;"acoes")))*INDEX(Inputs!$K$5:$AJ$180,0,MATCH(P$2,Inputs!$K$4:$AJ$4,0)))+SUMPRODUCT((Inputs!$E$5:$E$180=$B12)*Inputs!$F$5:$F$180*(((Inputs!$G$5:$G$180="moeda")+(Inputs!$G$5:$G$180="acoes"))*Inputs!$B$1+((Inputs!$G$5:$G$180&lt;&gt;"moeda")*(Inputs!$G$5:$G$180&lt;&gt;"acoes")))*INDEX(Inputs!$K$5:$AJ$180,0,MATCH(P$2,Inputs!$K$4:$AJ$4,0)))))</f>
        <v>2.382</v>
      </c>
      <c r="Q12" s="6">
        <f>IF(ISNA(MATCH(Q$2,Inputs!$K$4:$AJ$4,0)),NA(),IF(SUMPRODUCT((Inputs!$A$5:$A$180=$B12)*ISNUMBER(INDEX(Inputs!$K$5:$AJ$180,0,MATCH(Q$2,Inputs!$K$4:$AJ$4,0))))+SUMPRODUCT((Inputs!$C$5:$C$180=$B12)*ISNUMBER(INDEX(Inputs!$K$5:$AJ$180,0,MATCH(Q$2,Inputs!$K$4:$AJ$4,0))))+SUMPRODUCT((Inputs!$E$5:$E$180=$B12)*ISNUMBER(INDEX(Inputs!$K$5:$AJ$180,0,MATCH(Q$2,Inputs!$K$4:$AJ$4,0))))=0,NA(),SUMPRODUCT((Inputs!$A$5:$A$180=$B12)*Inputs!$B$5:$B$180*(((Inputs!$G$5:$G$180="moeda")+(Inputs!$G$5:$G$180="acoes"))*Inputs!$B$1+((Inputs!$G$5:$G$180&lt;&gt;"moeda")*(Inputs!$G$5:$G$180&lt;&gt;"acoes")))*INDEX(Inputs!$K$5:$AJ$180,0,MATCH(Q$2,Inputs!$K$4:$AJ$4,0)))+SUMPRODUCT((Inputs!$C$5:$C$180=$B12)*Inputs!$D$5:$D$180*(((Inputs!$G$5:$G$180="moeda")+(Inputs!$G$5:$G$180="acoes"))*Inputs!$B$1+((Inputs!$G$5:$G$180&lt;&gt;"moeda")*(Inputs!$G$5:$G$180&lt;&gt;"acoes")))*INDEX(Inputs!$K$5:$AJ$180,0,MATCH(Q$2,Inputs!$K$4:$AJ$4,0)))+SUMPRODUCT((Inputs!$E$5:$E$180=$B12)*Inputs!$F$5:$F$180*(((Inputs!$G$5:$G$180="moeda")+(Inputs!$G$5:$G$180="acoes"))*Inputs!$B$1+((Inputs!$G$5:$G$180&lt;&gt;"moeda")*(Inputs!$G$5:$G$180&lt;&gt;"acoes")))*INDEX(Inputs!$K$5:$AJ$180,0,MATCH(Q$2,Inputs!$K$4:$AJ$4,0)))))</f>
        <v>0.139</v>
      </c>
      <c r="R12" s="3">
        <f>SUM(N12:Q12)</f>
        <v>2.934980038738</v>
      </c>
      <c r="S12" s="6">
        <f>IF(ISNA(MATCH(S$2,Inputs!$K$4:$AJ$4,0)),NA(),IF(SUMPRODUCT((Inputs!$A$5:$A$180=$B12)*ISNUMBER(INDEX(Inputs!$K$5:$AJ$180,0,MATCH(S$2,Inputs!$K$4:$AJ$4,0))))+SUMPRODUCT((Inputs!$C$5:$C$180=$B12)*ISNUMBER(INDEX(Inputs!$K$5:$AJ$180,0,MATCH(S$2,Inputs!$K$4:$AJ$4,0))))+SUMPRODUCT((Inputs!$E$5:$E$180=$B12)*ISNUMBER(INDEX(Inputs!$K$5:$AJ$180,0,MATCH(S$2,Inputs!$K$4:$AJ$4,0))))=0,NA(),SUMPRODUCT((Inputs!$A$5:$A$180=$B12)*Inputs!$B$5:$B$180*(((Inputs!$G$5:$G$180="moeda")+(Inputs!$G$5:$G$180="acoes"))*Inputs!$B$1+((Inputs!$G$5:$G$180&lt;&gt;"moeda")*(Inputs!$G$5:$G$180&lt;&gt;"acoes")))*INDEX(Inputs!$K$5:$AJ$180,0,MATCH(S$2,Inputs!$K$4:$AJ$4,0)))+SUMPRODUCT((Inputs!$C$5:$C$180=$B12)*Inputs!$D$5:$D$180*(((Inputs!$G$5:$G$180="moeda")+(Inputs!$G$5:$G$180="acoes"))*Inputs!$B$1+((Inputs!$G$5:$G$180&lt;&gt;"moeda")*(Inputs!$G$5:$G$180&lt;&gt;"acoes")))*INDEX(Inputs!$K$5:$AJ$180,0,MATCH(S$2,Inputs!$K$4:$AJ$4,0)))+SUMPRODUCT((Inputs!$E$5:$E$180=$B12)*Inputs!$F$5:$F$180*(((Inputs!$G$5:$G$180="moeda")+(Inputs!$G$5:$G$180="acoes"))*Inputs!$B$1+((Inputs!$G$5:$G$180&lt;&gt;"moeda")*(Inputs!$G$5:$G$180&lt;&gt;"acoes")))*INDEX(Inputs!$K$5:$AJ$180,0,MATCH(S$2,Inputs!$K$4:$AJ$4,0)))))</f>
        <v>-0.355</v>
      </c>
      <c r="T12" s="6">
        <f>IF(ISNA(MATCH(T$2,Inputs!$K$4:$AJ$4,0)),NA(),IF(SUMPRODUCT((Inputs!$A$5:$A$180=$B12)*ISNUMBER(INDEX(Inputs!$K$5:$AJ$180,0,MATCH(T$2,Inputs!$K$4:$AJ$4,0))))+SUMPRODUCT((Inputs!$C$5:$C$180=$B12)*ISNUMBER(INDEX(Inputs!$K$5:$AJ$180,0,MATCH(T$2,Inputs!$K$4:$AJ$4,0))))+SUMPRODUCT((Inputs!$E$5:$E$180=$B12)*ISNUMBER(INDEX(Inputs!$K$5:$AJ$180,0,MATCH(T$2,Inputs!$K$4:$AJ$4,0))))=0,NA(),SUMPRODUCT((Inputs!$A$5:$A$180=$B12)*Inputs!$B$5:$B$180*(((Inputs!$G$5:$G$180="moeda")+(Inputs!$G$5:$G$180="acoes"))*Inputs!$B$1+((Inputs!$G$5:$G$180&lt;&gt;"moeda")*(Inputs!$G$5:$G$180&lt;&gt;"acoes")))*INDEX(Inputs!$K$5:$AJ$180,0,MATCH(T$2,Inputs!$K$4:$AJ$4,0)))+SUMPRODUCT((Inputs!$C$5:$C$180=$B12)*Inputs!$D$5:$D$180*(((Inputs!$G$5:$G$180="moeda")+(Inputs!$G$5:$G$180="acoes"))*Inputs!$B$1+((Inputs!$G$5:$G$180&lt;&gt;"moeda")*(Inputs!$G$5:$G$180&lt;&gt;"acoes")))*INDEX(Inputs!$K$5:$AJ$180,0,MATCH(T$2,Inputs!$K$4:$AJ$4,0)))+SUMPRODUCT((Inputs!$E$5:$E$180=$B12)*Inputs!$F$5:$F$180*(((Inputs!$G$5:$G$180="moeda")+(Inputs!$G$5:$G$180="acoes"))*Inputs!$B$1+((Inputs!$G$5:$G$180&lt;&gt;"moeda")*(Inputs!$G$5:$G$180&lt;&gt;"acoes")))*INDEX(Inputs!$K$5:$AJ$180,0,MATCH(T$2,Inputs!$K$4:$AJ$4,0)))))</f>
        <v>1.423</v>
      </c>
      <c r="U12" s="6">
        <f>IF(ISNA(MATCH(U$2,Inputs!$K$4:$AJ$4,0)),NA(),IF(SUMPRODUCT((Inputs!$A$5:$A$180=$B12)*ISNUMBER(INDEX(Inputs!$K$5:$AJ$180,0,MATCH(U$2,Inputs!$K$4:$AJ$4,0))))+SUMPRODUCT((Inputs!$C$5:$C$180=$B12)*ISNUMBER(INDEX(Inputs!$K$5:$AJ$180,0,MATCH(U$2,Inputs!$K$4:$AJ$4,0))))+SUMPRODUCT((Inputs!$E$5:$E$180=$B12)*ISNUMBER(INDEX(Inputs!$K$5:$AJ$180,0,MATCH(U$2,Inputs!$K$4:$AJ$4,0))))=0,NA(),SUMPRODUCT((Inputs!$A$5:$A$180=$B12)*Inputs!$B$5:$B$180*(((Inputs!$G$5:$G$180="moeda")+(Inputs!$G$5:$G$180="acoes"))*Inputs!$B$1+((Inputs!$G$5:$G$180&lt;&gt;"moeda")*(Inputs!$G$5:$G$180&lt;&gt;"acoes")))*INDEX(Inputs!$K$5:$AJ$180,0,MATCH(U$2,Inputs!$K$4:$AJ$4,0)))+SUMPRODUCT((Inputs!$C$5:$C$180=$B12)*Inputs!$D$5:$D$180*(((Inputs!$G$5:$G$180="moeda")+(Inputs!$G$5:$G$180="acoes"))*Inputs!$B$1+((Inputs!$G$5:$G$180&lt;&gt;"moeda")*(Inputs!$G$5:$G$180&lt;&gt;"acoes")))*INDEX(Inputs!$K$5:$AJ$180,0,MATCH(U$2,Inputs!$K$4:$AJ$4,0)))+SUMPRODUCT((Inputs!$E$5:$E$180=$B12)*Inputs!$F$5:$F$180*(((Inputs!$G$5:$G$180="moeda")+(Inputs!$G$5:$G$180="acoes"))*Inputs!$B$1+((Inputs!$G$5:$G$180&lt;&gt;"moeda")*(Inputs!$G$5:$G$180&lt;&gt;"acoes")))*INDEX(Inputs!$K$5:$AJ$180,0,MATCH(U$2,Inputs!$K$4:$AJ$4,0)))))</f>
        <v>4.013</v>
      </c>
      <c r="V12" s="6">
        <f>IF(ISNA(MATCH(V$2,Inputs!$K$4:$AJ$4,0)),NA(),IF(SUMPRODUCT((Inputs!$A$5:$A$180=$B12)*ISNUMBER(INDEX(Inputs!$K$5:$AJ$180,0,MATCH(V$2,Inputs!$K$4:$AJ$4,0))))+SUMPRODUCT((Inputs!$C$5:$C$180=$B12)*ISNUMBER(INDEX(Inputs!$K$5:$AJ$180,0,MATCH(V$2,Inputs!$K$4:$AJ$4,0))))+SUMPRODUCT((Inputs!$E$5:$E$180=$B12)*ISNUMBER(INDEX(Inputs!$K$5:$AJ$180,0,MATCH(V$2,Inputs!$K$4:$AJ$4,0))))=0,NA(),SUMPRODUCT((Inputs!$A$5:$A$180=$B12)*Inputs!$B$5:$B$180*(((Inputs!$G$5:$G$180="moeda")+(Inputs!$G$5:$G$180="acoes"))*Inputs!$B$1+((Inputs!$G$5:$G$180&lt;&gt;"moeda")*(Inputs!$G$5:$G$180&lt;&gt;"acoes")))*INDEX(Inputs!$K$5:$AJ$180,0,MATCH(V$2,Inputs!$K$4:$AJ$4,0)))+SUMPRODUCT((Inputs!$C$5:$C$180=$B12)*Inputs!$D$5:$D$180*(((Inputs!$G$5:$G$180="moeda")+(Inputs!$G$5:$G$180="acoes"))*Inputs!$B$1+((Inputs!$G$5:$G$180&lt;&gt;"moeda")*(Inputs!$G$5:$G$180&lt;&gt;"acoes")))*INDEX(Inputs!$K$5:$AJ$180,0,MATCH(V$2,Inputs!$K$4:$AJ$4,0)))+SUMPRODUCT((Inputs!$E$5:$E$180=$B12)*Inputs!$F$5:$F$180*(((Inputs!$G$5:$G$180="moeda")+(Inputs!$G$5:$G$180="acoes"))*Inputs!$B$1+((Inputs!$G$5:$G$180&lt;&gt;"moeda")*(Inputs!$G$5:$G$180&lt;&gt;"acoes")))*INDEX(Inputs!$K$5:$AJ$180,0,MATCH(V$2,Inputs!$K$4:$AJ$4,0)))))</f>
        <v>7.437</v>
      </c>
      <c r="W12" s="3">
        <f>SUM(S12:V12)</f>
        <v>12.518</v>
      </c>
      <c r="X12" s="6">
        <f>IF(ISNA(MATCH(X$2,Inputs!$K$4:$AJ$4,0)),NA(),IF(SUMPRODUCT((Inputs!$A$5:$A$180=$B12)*ISNUMBER(INDEX(Inputs!$K$5:$AJ$180,0,MATCH(X$2,Inputs!$K$4:$AJ$4,0))))+SUMPRODUCT((Inputs!$C$5:$C$180=$B12)*ISNUMBER(INDEX(Inputs!$K$5:$AJ$180,0,MATCH(X$2,Inputs!$K$4:$AJ$4,0))))+SUMPRODUCT((Inputs!$E$5:$E$180=$B12)*ISNUMBER(INDEX(Inputs!$K$5:$AJ$180,0,MATCH(X$2,Inputs!$K$4:$AJ$4,0))))=0,NA(),SUMPRODUCT((Inputs!$A$5:$A$180=$B12)*Inputs!$B$5:$B$180*(((Inputs!$G$5:$G$180="moeda")+(Inputs!$G$5:$G$180="acoes"))*Inputs!$B$1+((Inputs!$G$5:$G$180&lt;&gt;"moeda")*(Inputs!$G$5:$G$180&lt;&gt;"acoes")))*INDEX(Inputs!$K$5:$AJ$180,0,MATCH(X$2,Inputs!$K$4:$AJ$4,0)))+SUMPRODUCT((Inputs!$C$5:$C$180=$B12)*Inputs!$D$5:$D$180*(((Inputs!$G$5:$G$180="moeda")+(Inputs!$G$5:$G$180="acoes"))*Inputs!$B$1+((Inputs!$G$5:$G$180&lt;&gt;"moeda")*(Inputs!$G$5:$G$180&lt;&gt;"acoes")))*INDEX(Inputs!$K$5:$AJ$180,0,MATCH(X$2,Inputs!$K$4:$AJ$4,0)))+SUMPRODUCT((Inputs!$E$5:$E$180=$B12)*Inputs!$F$5:$F$180*(((Inputs!$G$5:$G$180="moeda")+(Inputs!$G$5:$G$180="acoes"))*Inputs!$B$1+((Inputs!$G$5:$G$180&lt;&gt;"moeda")*(Inputs!$G$5:$G$180&lt;&gt;"acoes")))*INDEX(Inputs!$K$5:$AJ$180,0,MATCH(X$2,Inputs!$K$4:$AJ$4,0)))))</f>
        <v>3.456124</v>
      </c>
      <c r="Y12" s="6">
        <f>IF(ISNA(MATCH(Y$2,Inputs!$K$4:$AJ$4,0)),NA(),IF(SUMPRODUCT((Inputs!$A$5:$A$180=$B12)*ISNUMBER(INDEX(Inputs!$K$5:$AJ$180,0,MATCH(Y$2,Inputs!$K$4:$AJ$4,0))))+SUMPRODUCT((Inputs!$C$5:$C$180=$B12)*ISNUMBER(INDEX(Inputs!$K$5:$AJ$180,0,MATCH(Y$2,Inputs!$K$4:$AJ$4,0))))+SUMPRODUCT((Inputs!$E$5:$E$180=$B12)*ISNUMBER(INDEX(Inputs!$K$5:$AJ$180,0,MATCH(Y$2,Inputs!$K$4:$AJ$4,0))))=0,NA(),SUMPRODUCT((Inputs!$A$5:$A$180=$B12)*Inputs!$B$5:$B$180*(((Inputs!$G$5:$G$180="moeda")+(Inputs!$G$5:$G$180="acoes"))*Inputs!$B$1+((Inputs!$G$5:$G$180&lt;&gt;"moeda")*(Inputs!$G$5:$G$180&lt;&gt;"acoes")))*INDEX(Inputs!$K$5:$AJ$180,0,MATCH(Y$2,Inputs!$K$4:$AJ$4,0)))+SUMPRODUCT((Inputs!$C$5:$C$180=$B12)*Inputs!$D$5:$D$180*(((Inputs!$G$5:$G$180="moeda")+(Inputs!$G$5:$G$180="acoes"))*Inputs!$B$1+((Inputs!$G$5:$G$180&lt;&gt;"moeda")*(Inputs!$G$5:$G$180&lt;&gt;"acoes")))*INDEX(Inputs!$K$5:$AJ$180,0,MATCH(Y$2,Inputs!$K$4:$AJ$4,0)))+SUMPRODUCT((Inputs!$E$5:$E$180=$B12)*Inputs!$F$5:$F$180*(((Inputs!$G$5:$G$180="moeda")+(Inputs!$G$5:$G$180="acoes"))*Inputs!$B$1+((Inputs!$G$5:$G$180&lt;&gt;"moeda")*(Inputs!$G$5:$G$180&lt;&gt;"acoes")))*INDEX(Inputs!$K$5:$AJ$180,0,MATCH(Y$2,Inputs!$K$4:$AJ$4,0)))))</f>
        <v>7.749179</v>
      </c>
      <c r="Z12" s="6">
        <f>IF(ISNA(MATCH(Z$2,Inputs!$K$4:$AJ$4,0)),NA(),IF(SUMPRODUCT((Inputs!$A$5:$A$180=$B12)*ISNUMBER(INDEX(Inputs!$K$5:$AJ$180,0,MATCH(Z$2,Inputs!$K$4:$AJ$4,0))))+SUMPRODUCT((Inputs!$C$5:$C$180=$B12)*ISNUMBER(INDEX(Inputs!$K$5:$AJ$180,0,MATCH(Z$2,Inputs!$K$4:$AJ$4,0))))+SUMPRODUCT((Inputs!$E$5:$E$180=$B12)*ISNUMBER(INDEX(Inputs!$K$5:$AJ$180,0,MATCH(Z$2,Inputs!$K$4:$AJ$4,0))))=0,NA(),SUMPRODUCT((Inputs!$A$5:$A$180=$B12)*Inputs!$B$5:$B$180*(((Inputs!$G$5:$G$180="moeda")+(Inputs!$G$5:$G$180="acoes"))*Inputs!$B$1+((Inputs!$G$5:$G$180&lt;&gt;"moeda")*(Inputs!$G$5:$G$180&lt;&gt;"acoes")))*INDEX(Inputs!$K$5:$AJ$180,0,MATCH(Z$2,Inputs!$K$4:$AJ$4,0)))+SUMPRODUCT((Inputs!$C$5:$C$180=$B12)*Inputs!$D$5:$D$180*(((Inputs!$G$5:$G$180="moeda")+(Inputs!$G$5:$G$180="acoes"))*Inputs!$B$1+((Inputs!$G$5:$G$180&lt;&gt;"moeda")*(Inputs!$G$5:$G$180&lt;&gt;"acoes")))*INDEX(Inputs!$K$5:$AJ$180,0,MATCH(Z$2,Inputs!$K$4:$AJ$4,0)))+SUMPRODUCT((Inputs!$E$5:$E$180=$B12)*Inputs!$F$5:$F$180*(((Inputs!$G$5:$G$180="moeda")+(Inputs!$G$5:$G$180="acoes"))*Inputs!$B$1+((Inputs!$G$5:$G$180&lt;&gt;"moeda")*(Inputs!$G$5:$G$180&lt;&gt;"acoes")))*INDEX(Inputs!$K$5:$AJ$180,0,MATCH(Z$2,Inputs!$K$4:$AJ$4,0)))))</f>
        <v>2.668448799683</v>
      </c>
      <c r="AA12" s="6">
        <f>IF(ISNA(MATCH(AA$2,Inputs!$K$4:$AJ$4,0)),NA(),IF(SUMPRODUCT((Inputs!$A$5:$A$180=$B12)*ISNUMBER(INDEX(Inputs!$K$5:$AJ$180,0,MATCH(AA$2,Inputs!$K$4:$AJ$4,0))))+SUMPRODUCT((Inputs!$C$5:$C$180=$B12)*ISNUMBER(INDEX(Inputs!$K$5:$AJ$180,0,MATCH(AA$2,Inputs!$K$4:$AJ$4,0))))+SUMPRODUCT((Inputs!$E$5:$E$180=$B12)*ISNUMBER(INDEX(Inputs!$K$5:$AJ$180,0,MATCH(AA$2,Inputs!$K$4:$AJ$4,0))))=0,NA(),SUMPRODUCT((Inputs!$A$5:$A$180=$B12)*Inputs!$B$5:$B$180*(((Inputs!$G$5:$G$180="moeda")+(Inputs!$G$5:$G$180="acoes"))*Inputs!$B$1+((Inputs!$G$5:$G$180&lt;&gt;"moeda")*(Inputs!$G$5:$G$180&lt;&gt;"acoes")))*INDEX(Inputs!$K$5:$AJ$180,0,MATCH(AA$2,Inputs!$K$4:$AJ$4,0)))+SUMPRODUCT((Inputs!$C$5:$C$180=$B12)*Inputs!$D$5:$D$180*(((Inputs!$G$5:$G$180="moeda")+(Inputs!$G$5:$G$180="acoes"))*Inputs!$B$1+((Inputs!$G$5:$G$180&lt;&gt;"moeda")*(Inputs!$G$5:$G$180&lt;&gt;"acoes")))*INDEX(Inputs!$K$5:$AJ$180,0,MATCH(AA$2,Inputs!$K$4:$AJ$4,0)))+SUMPRODUCT((Inputs!$E$5:$E$180=$B12)*Inputs!$F$5:$F$180*(((Inputs!$G$5:$G$180="moeda")+(Inputs!$G$5:$G$180="acoes"))*Inputs!$B$1+((Inputs!$G$5:$G$180&lt;&gt;"moeda")*(Inputs!$G$5:$G$180&lt;&gt;"acoes")))*INDEX(Inputs!$K$5:$AJ$180,0,MATCH(AA$2,Inputs!$K$4:$AJ$4,0)))))</f>
        <v>2.28625577847376</v>
      </c>
      <c r="AB12" s="3">
        <f>SUM(X12:AA12)</f>
        <v>16.1600075781568</v>
      </c>
      <c r="AC12" s="6">
        <f>IF(ISNA(MATCH(AC$2,Inputs!$K$4:$AJ$4,0)),NA(),IF(SUMPRODUCT((Inputs!$A$5:$A$180=$B12)*ISNUMBER(INDEX(Inputs!$K$5:$AJ$180,0,MATCH(AC$2,Inputs!$K$4:$AJ$4,0))))+SUMPRODUCT((Inputs!$C$5:$C$180=$B12)*ISNUMBER(INDEX(Inputs!$K$5:$AJ$180,0,MATCH(AC$2,Inputs!$K$4:$AJ$4,0))))+SUMPRODUCT((Inputs!$E$5:$E$180=$B12)*ISNUMBER(INDEX(Inputs!$K$5:$AJ$180,0,MATCH(AC$2,Inputs!$K$4:$AJ$4,0))))=0,NA(),SUMPRODUCT((Inputs!$A$5:$A$180=$B12)*Inputs!$B$5:$B$180*(((Inputs!$G$5:$G$180="moeda")+(Inputs!$G$5:$G$180="acoes"))*Inputs!$B$1+((Inputs!$G$5:$G$180&lt;&gt;"moeda")*(Inputs!$G$5:$G$180&lt;&gt;"acoes")))*INDEX(Inputs!$K$5:$AJ$180,0,MATCH(AC$2,Inputs!$K$4:$AJ$4,0)))+SUMPRODUCT((Inputs!$C$5:$C$180=$B12)*Inputs!$D$5:$D$180*(((Inputs!$G$5:$G$180="moeda")+(Inputs!$G$5:$G$180="acoes"))*Inputs!$B$1+((Inputs!$G$5:$G$180&lt;&gt;"moeda")*(Inputs!$G$5:$G$180&lt;&gt;"acoes")))*INDEX(Inputs!$K$5:$AJ$180,0,MATCH(AC$2,Inputs!$K$4:$AJ$4,0)))+SUMPRODUCT((Inputs!$E$5:$E$180=$B12)*Inputs!$F$5:$F$180*(((Inputs!$G$5:$G$180="moeda")+(Inputs!$G$5:$G$180="acoes"))*Inputs!$B$1+((Inputs!$G$5:$G$180&lt;&gt;"moeda")*(Inputs!$G$5:$G$180&lt;&gt;"acoes")))*INDEX(Inputs!$K$5:$AJ$180,0,MATCH(AC$2,Inputs!$K$4:$AJ$4,0)))))</f>
        <v>3.55944448</v>
      </c>
      <c r="AD12" s="6">
        <f>IF(ISNA(MATCH(AD$2,Inputs!$K$4:$AJ$4,0)),NA(),IF(SUMPRODUCT((Inputs!$A$5:$A$180=$B12)*ISNUMBER(INDEX(Inputs!$K$5:$AJ$180,0,MATCH(AD$2,Inputs!$K$4:$AJ$4,0))))+SUMPRODUCT((Inputs!$C$5:$C$180=$B12)*ISNUMBER(INDEX(Inputs!$K$5:$AJ$180,0,MATCH(AD$2,Inputs!$K$4:$AJ$4,0))))+SUMPRODUCT((Inputs!$E$5:$E$180=$B12)*ISNUMBER(INDEX(Inputs!$K$5:$AJ$180,0,MATCH(AD$2,Inputs!$K$4:$AJ$4,0))))=0,NA(),SUMPRODUCT((Inputs!$A$5:$A$180=$B12)*Inputs!$B$5:$B$180*(((Inputs!$G$5:$G$180="moeda")+(Inputs!$G$5:$G$180="acoes"))*Inputs!$B$1+((Inputs!$G$5:$G$180&lt;&gt;"moeda")*(Inputs!$G$5:$G$180&lt;&gt;"acoes")))*INDEX(Inputs!$K$5:$AJ$180,0,MATCH(AD$2,Inputs!$K$4:$AJ$4,0)))+SUMPRODUCT((Inputs!$C$5:$C$180=$B12)*Inputs!$D$5:$D$180*(((Inputs!$G$5:$G$180="moeda")+(Inputs!$G$5:$G$180="acoes"))*Inputs!$B$1+((Inputs!$G$5:$G$180&lt;&gt;"moeda")*(Inputs!$G$5:$G$180&lt;&gt;"acoes")))*INDEX(Inputs!$K$5:$AJ$180,0,MATCH(AD$2,Inputs!$K$4:$AJ$4,0)))+SUMPRODUCT((Inputs!$E$5:$E$180=$B12)*Inputs!$F$5:$F$180*(((Inputs!$G$5:$G$180="moeda")+(Inputs!$G$5:$G$180="acoes"))*Inputs!$B$1+((Inputs!$G$5:$G$180&lt;&gt;"moeda")*(Inputs!$G$5:$G$180&lt;&gt;"acoes")))*INDEX(Inputs!$K$5:$AJ$180,0,MATCH(AD$2,Inputs!$K$4:$AJ$4,0)))))</f>
        <v>2.518</v>
      </c>
      <c r="AE12" s="6" t="e">
        <f>IF(ISNA(MATCH(AE$2,Inputs!$K$4:$AJ$4,0)),NA(),IF(SUMPRODUCT((Inputs!$A$5:$A$180=$B12)*ISNUMBER(INDEX(Inputs!$K$5:$AJ$180,0,MATCH(AE$2,Inputs!$K$4:$AJ$4,0))))+SUMPRODUCT((Inputs!$C$5:$C$180=$B12)*ISNUMBER(INDEX(Inputs!$K$5:$AJ$180,0,MATCH(AE$2,Inputs!$K$4:$AJ$4,0))))+SUMPRODUCT((Inputs!$E$5:$E$180=$B12)*ISNUMBER(INDEX(Inputs!$K$5:$AJ$180,0,MATCH(AE$2,Inputs!$K$4:$AJ$4,0))))=0,NA(),SUMPRODUCT((Inputs!$A$5:$A$180=$B12)*Inputs!$B$5:$B$180*(((Inputs!$G$5:$G$180="moeda")+(Inputs!$G$5:$G$180="acoes"))*Inputs!$B$1+((Inputs!$G$5:$G$180&lt;&gt;"moeda")*(Inputs!$G$5:$G$180&lt;&gt;"acoes")))*INDEX(Inputs!$K$5:$AJ$180,0,MATCH(AE$2,Inputs!$K$4:$AJ$4,0)))+SUMPRODUCT((Inputs!$C$5:$C$180=$B12)*Inputs!$D$5:$D$180*(((Inputs!$G$5:$G$180="moeda")+(Inputs!$G$5:$G$180="acoes"))*Inputs!$B$1+((Inputs!$G$5:$G$180&lt;&gt;"moeda")*(Inputs!$G$5:$G$180&lt;&gt;"acoes")))*INDEX(Inputs!$K$5:$AJ$180,0,MATCH(AE$2,Inputs!$K$4:$AJ$4,0)))+SUMPRODUCT((Inputs!$E$5:$E$180=$B12)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2" s="6" t="e">
        <f>IF(ISNA(MATCH(AF$2,Inputs!$K$4:$AJ$4,0)),NA(),IF(SUMPRODUCT((Inputs!$A$5:$A$180=$B12)*ISNUMBER(INDEX(Inputs!$K$5:$AJ$180,0,MATCH(AF$2,Inputs!$K$4:$AJ$4,0))))+SUMPRODUCT((Inputs!$C$5:$C$180=$B12)*ISNUMBER(INDEX(Inputs!$K$5:$AJ$180,0,MATCH(AF$2,Inputs!$K$4:$AJ$4,0))))+SUMPRODUCT((Inputs!$E$5:$E$180=$B12)*ISNUMBER(INDEX(Inputs!$K$5:$AJ$180,0,MATCH(AF$2,Inputs!$K$4:$AJ$4,0))))=0,NA(),SUMPRODUCT((Inputs!$A$5:$A$180=$B12)*Inputs!$B$5:$B$180*(((Inputs!$G$5:$G$180="moeda")+(Inputs!$G$5:$G$180="acoes"))*Inputs!$B$1+((Inputs!$G$5:$G$180&lt;&gt;"moeda")*(Inputs!$G$5:$G$180&lt;&gt;"acoes")))*INDEX(Inputs!$K$5:$AJ$180,0,MATCH(AF$2,Inputs!$K$4:$AJ$4,0)))+SUMPRODUCT((Inputs!$C$5:$C$180=$B12)*Inputs!$D$5:$D$180*(((Inputs!$G$5:$G$180="moeda")+(Inputs!$G$5:$G$180="acoes"))*Inputs!$B$1+((Inputs!$G$5:$G$180&lt;&gt;"moeda")*(Inputs!$G$5:$G$180&lt;&gt;"acoes")))*INDEX(Inputs!$K$5:$AJ$180,0,MATCH(AF$2,Inputs!$K$4:$AJ$4,0)))+SUMPRODUCT((Inputs!$E$5:$E$180=$B12)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$180=$B12)*ISNUMBER(INDEX(Inputs!$K$5:$AJ$180,0,MATCH(AH$2,Inputs!$K$4:$AJ$4,0))))+SUMPRODUCT((Inputs!$C$5:$C$180=$B12)*ISNUMBER(INDEX(Inputs!$K$5:$AJ$180,0,MATCH(AH$2,Inputs!$K$4:$AJ$4,0))))+SUMPRODUCT((Inputs!$E$5:$E$180=$B12)*ISNUMBER(INDEX(Inputs!$K$5:$AJ$180,0,MATCH(AH$2,Inputs!$K$4:$AJ$4,0))))=0,NA(),SUMPRODUCT((Inputs!$A$5:$A$180=$B12)*Inputs!$B$5:$B$180*(((Inputs!$G$5:$G$180="moeda")+(Inputs!$G$5:$G$180="acoes"))*Inputs!$B$1+((Inputs!$G$5:$G$180&lt;&gt;"moeda")*(Inputs!$G$5:$G$180&lt;&gt;"acoes")))*INDEX(Inputs!$K$5:$AJ$180,0,MATCH(AH$2,Inputs!$K$4:$AJ$4,0)))+SUMPRODUCT((Inputs!$C$5:$C$180=$B12)*Inputs!$D$5:$D$180*(((Inputs!$G$5:$G$180="moeda")+(Inputs!$G$5:$G$180="acoes"))*Inputs!$B$1+((Inputs!$G$5:$G$180&lt;&gt;"moeda")*(Inputs!$G$5:$G$180&lt;&gt;"acoes")))*INDEX(Inputs!$K$5:$AJ$180,0,MATCH(AH$2,Inputs!$K$4:$AJ$4,0)))+SUMPRODUCT((Inputs!$E$5:$E$180=$B12)*Inputs!$F$5:$F$180*(((Inputs!$G$5:$G$180="moeda")+(Inputs!$G$5:$G$180="acoes"))*Inputs!$B$1+((Inputs!$G$5:$G$180&lt;&gt;"moeda")*(Inputs!$G$5:$G$180&lt;&gt;"acoes")))*INDEX(Inputs!$K$5:$AJ$180,0,MATCH(AH$2,Inputs!$K$4:$AJ$4,0)))))</f>
        <v>0</v>
      </c>
      <c r="AI12" s="6">
        <f>IF(ISNA(MATCH(AI$2,Inputs!$K$4:$AJ$4,0)),NA(),IF(SUMPRODUCT((Inputs!$A$5:$A$180=$B12)*ISNUMBER(INDEX(Inputs!$K$5:$AJ$180,0,MATCH(AI$2,Inputs!$K$4:$AJ$4,0))))+SUMPRODUCT((Inputs!$C$5:$C$180=$B12)*ISNUMBER(INDEX(Inputs!$K$5:$AJ$180,0,MATCH(AI$2,Inputs!$K$4:$AJ$4,0))))+SUMPRODUCT((Inputs!$E$5:$E$180=$B12)*ISNUMBER(INDEX(Inputs!$K$5:$AJ$180,0,MATCH(AI$2,Inputs!$K$4:$AJ$4,0))))=0,NA(),SUMPRODUCT((Inputs!$A$5:$A$180=$B12)*Inputs!$B$5:$B$180*(((Inputs!$G$5:$G$180="moeda")+(Inputs!$G$5:$G$180="acoes"))*Inputs!$B$1+((Inputs!$G$5:$G$180&lt;&gt;"moeda")*(Inputs!$G$5:$G$180&lt;&gt;"acoes")))*INDEX(Inputs!$K$5:$AJ$180,0,MATCH(AI$2,Inputs!$K$4:$AJ$4,0)))+SUMPRODUCT((Inputs!$C$5:$C$180=$B12)*Inputs!$D$5:$D$180*(((Inputs!$G$5:$G$180="moeda")+(Inputs!$G$5:$G$180="acoes"))*Inputs!$B$1+((Inputs!$G$5:$G$180&lt;&gt;"moeda")*(Inputs!$G$5:$G$180&lt;&gt;"acoes")))*INDEX(Inputs!$K$5:$AJ$180,0,MATCH(AI$2,Inputs!$K$4:$AJ$4,0)))+SUMPRODUCT((Inputs!$E$5:$E$180=$B12)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2" s="6">
        <f>IF(ISNA(MATCH(AJ$2,Inputs!$K$4:$AJ$4,0)),NA(),IF(SUMPRODUCT((Inputs!$A$5:$A$180=$B12)*ISNUMBER(INDEX(Inputs!$K$5:$AJ$180,0,MATCH(AJ$2,Inputs!$K$4:$AJ$4,0))))+SUMPRODUCT((Inputs!$C$5:$C$180=$B12)*ISNUMBER(INDEX(Inputs!$K$5:$AJ$180,0,MATCH(AJ$2,Inputs!$K$4:$AJ$4,0))))+SUMPRODUCT((Inputs!$E$5:$E$180=$B12)*ISNUMBER(INDEX(Inputs!$K$5:$AJ$180,0,MATCH(AJ$2,Inputs!$K$4:$AJ$4,0))))=0,NA(),SUMPRODUCT((Inputs!$A$5:$A$180=$B12)*Inputs!$B$5:$B$180*(((Inputs!$G$5:$G$180="moeda")+(Inputs!$G$5:$G$180="acoes"))*Inputs!$B$1+((Inputs!$G$5:$G$180&lt;&gt;"moeda")*(Inputs!$G$5:$G$180&lt;&gt;"acoes")))*INDEX(Inputs!$K$5:$AJ$180,0,MATCH(AJ$2,Inputs!$K$4:$AJ$4,0)))+SUMPRODUCT((Inputs!$C$5:$C$180=$B12)*Inputs!$D$5:$D$180*(((Inputs!$G$5:$G$180="moeda")+(Inputs!$G$5:$G$180="acoes"))*Inputs!$B$1+((Inputs!$G$5:$G$180&lt;&gt;"moeda")*(Inputs!$G$5:$G$180&lt;&gt;"acoes")))*INDEX(Inputs!$K$5:$AJ$180,0,MATCH(AJ$2,Inputs!$K$4:$AJ$4,0)))+SUMPRODUCT((Inputs!$E$5:$E$180=$B12)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2" s="6">
        <f>IF(ISNA(MATCH(AK$2,Inputs!$K$4:$AJ$4,0)),NA(),IF(SUMPRODUCT((Inputs!$A$5:$A$180=$B12)*ISNUMBER(INDEX(Inputs!$K$5:$AJ$180,0,MATCH(AK$2,Inputs!$K$4:$AJ$4,0))))+SUMPRODUCT((Inputs!$C$5:$C$180=$B12)*ISNUMBER(INDEX(Inputs!$K$5:$AJ$180,0,MATCH(AK$2,Inputs!$K$4:$AJ$4,0))))+SUMPRODUCT((Inputs!$E$5:$E$180=$B12)*ISNUMBER(INDEX(Inputs!$K$5:$AJ$180,0,MATCH(AK$2,Inputs!$K$4:$AJ$4,0))))=0,NA(),SUMPRODUCT((Inputs!$A$5:$A$180=$B12)*Inputs!$B$5:$B$180*(((Inputs!$G$5:$G$180="moeda")+(Inputs!$G$5:$G$180="acoes"))*Inputs!$B$1+((Inputs!$G$5:$G$180&lt;&gt;"moeda")*(Inputs!$G$5:$G$180&lt;&gt;"acoes")))*INDEX(Inputs!$K$5:$AJ$180,0,MATCH(AK$2,Inputs!$K$4:$AJ$4,0)))+SUMPRODUCT((Inputs!$C$5:$C$180=$B12)*Inputs!$D$5:$D$180*(((Inputs!$G$5:$G$180="moeda")+(Inputs!$G$5:$G$180="acoes"))*Inputs!$B$1+((Inputs!$G$5:$G$180&lt;&gt;"moeda")*(Inputs!$G$5:$G$180&lt;&gt;"acoes")))*INDEX(Inputs!$K$5:$AJ$180,0,MATCH(AK$2,Inputs!$K$4:$AJ$4,0)))+SUMPRODUCT((Inputs!$E$5:$E$180=$B12)*Inputs!$F$5:$F$180*(((Inputs!$G$5:$G$180="moeda")+(Inputs!$G$5:$G$180="acoes"))*Inputs!$B$1+((Inputs!$G$5:$G$180&lt;&gt;"moeda")*(Inputs!$G$5:$G$180&lt;&gt;"acoes")))*INDEX(Inputs!$K$5:$AJ$180,0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$180=$B13)*ISNUMBER(INDEX(Inputs!$K$5:$AJ$180,0,MATCH(D$2,Inputs!$K$4:$AJ$4,0))))+SUMPRODUCT((Inputs!$C$5:$C$180=$B13)*ISNUMBER(INDEX(Inputs!$K$5:$AJ$180,0,MATCH(D$2,Inputs!$K$4:$AJ$4,0))))+SUMPRODUCT((Inputs!$E$5:$E$180=$B13)*ISNUMBER(INDEX(Inputs!$K$5:$AJ$180,0,MATCH(D$2,Inputs!$K$4:$AJ$4,0))))=0,NA(),SUMPRODUCT((Inputs!$A$5:$A$180=$B13)*Inputs!$B$5:$B$180*(((Inputs!$G$5:$G$180="moeda")+(Inputs!$G$5:$G$180="acoes"))*Inputs!$B$1+((Inputs!$G$5:$G$180&lt;&gt;"moeda")*(Inputs!$G$5:$G$180&lt;&gt;"acoes")))*INDEX(Inputs!$K$5:$AJ$180,0,MATCH(D$2,Inputs!$K$4:$AJ$4,0)))+SUMPRODUCT((Inputs!$C$5:$C$180=$B13)*Inputs!$D$5:$D$180*(((Inputs!$G$5:$G$180="moeda")+(Inputs!$G$5:$G$180="acoes"))*Inputs!$B$1+((Inputs!$G$5:$G$180&lt;&gt;"moeda")*(Inputs!$G$5:$G$180&lt;&gt;"acoes")))*INDEX(Inputs!$K$5:$AJ$180,0,MATCH(D$2,Inputs!$K$4:$AJ$4,0)))+SUMPRODUCT((Inputs!$E$5:$E$180=$B13)*Inputs!$F$5:$F$180*(((Inputs!$G$5:$G$180="moeda")+(Inputs!$G$5:$G$180="acoes"))*Inputs!$B$1+((Inputs!$G$5:$G$180&lt;&gt;"moeda")*(Inputs!$G$5:$G$180&lt;&gt;"acoes")))*INDEX(Inputs!$K$5:$AJ$180,0,MATCH(D$2,Inputs!$K$4:$AJ$4,0)))))</f>
        <v>-75.10232011</v>
      </c>
      <c r="E13" s="6">
        <f>IF(ISNA(MATCH(E$2,Inputs!$K$4:$AJ$4,0)),NA(),IF(SUMPRODUCT((Inputs!$A$5:$A$180=$B13)*ISNUMBER(INDEX(Inputs!$K$5:$AJ$180,0,MATCH(E$2,Inputs!$K$4:$AJ$4,0))))+SUMPRODUCT((Inputs!$C$5:$C$180=$B13)*ISNUMBER(INDEX(Inputs!$K$5:$AJ$180,0,MATCH(E$2,Inputs!$K$4:$AJ$4,0))))+SUMPRODUCT((Inputs!$E$5:$E$180=$B13)*ISNUMBER(INDEX(Inputs!$K$5:$AJ$180,0,MATCH(E$2,Inputs!$K$4:$AJ$4,0))))=0,NA(),SUMPRODUCT((Inputs!$A$5:$A$180=$B13)*Inputs!$B$5:$B$180*(((Inputs!$G$5:$G$180="moeda")+(Inputs!$G$5:$G$180="acoes"))*Inputs!$B$1+((Inputs!$G$5:$G$180&lt;&gt;"moeda")*(Inputs!$G$5:$G$180&lt;&gt;"acoes")))*INDEX(Inputs!$K$5:$AJ$180,0,MATCH(E$2,Inputs!$K$4:$AJ$4,0)))+SUMPRODUCT((Inputs!$C$5:$C$180=$B13)*Inputs!$D$5:$D$180*(((Inputs!$G$5:$G$180="moeda")+(Inputs!$G$5:$G$180="acoes"))*Inputs!$B$1+((Inputs!$G$5:$G$180&lt;&gt;"moeda")*(Inputs!$G$5:$G$180&lt;&gt;"acoes")))*INDEX(Inputs!$K$5:$AJ$180,0,MATCH(E$2,Inputs!$K$4:$AJ$4,0)))+SUMPRODUCT((Inputs!$E$5:$E$180=$B13)*Inputs!$F$5:$F$180*(((Inputs!$G$5:$G$180="moeda")+(Inputs!$G$5:$G$180="acoes"))*Inputs!$B$1+((Inputs!$G$5:$G$180&lt;&gt;"moeda")*(Inputs!$G$5:$G$180&lt;&gt;"acoes")))*INDEX(Inputs!$K$5:$AJ$180,0,MATCH(E$2,Inputs!$K$4:$AJ$4,0)))))</f>
        <v>-156.2545951</v>
      </c>
      <c r="F13" s="6">
        <f>IF(ISNA(MATCH(F$2,Inputs!$K$4:$AJ$4,0)),NA(),IF(SUMPRODUCT((Inputs!$A$5:$A$180=$B13)*ISNUMBER(INDEX(Inputs!$K$5:$AJ$180,0,MATCH(F$2,Inputs!$K$4:$AJ$4,0))))+SUMPRODUCT((Inputs!$C$5:$C$180=$B13)*ISNUMBER(INDEX(Inputs!$K$5:$AJ$180,0,MATCH(F$2,Inputs!$K$4:$AJ$4,0))))+SUMPRODUCT((Inputs!$E$5:$E$180=$B13)*ISNUMBER(INDEX(Inputs!$K$5:$AJ$180,0,MATCH(F$2,Inputs!$K$4:$AJ$4,0))))=0,NA(),SUMPRODUCT((Inputs!$A$5:$A$180=$B13)*Inputs!$B$5:$B$180*(((Inputs!$G$5:$G$180="moeda")+(Inputs!$G$5:$G$180="acoes"))*Inputs!$B$1+((Inputs!$G$5:$G$180&lt;&gt;"moeda")*(Inputs!$G$5:$G$180&lt;&gt;"acoes")))*INDEX(Inputs!$K$5:$AJ$180,0,MATCH(F$2,Inputs!$K$4:$AJ$4,0)))+SUMPRODUCT((Inputs!$C$5:$C$180=$B13)*Inputs!$D$5:$D$180*(((Inputs!$G$5:$G$180="moeda")+(Inputs!$G$5:$G$180="acoes"))*Inputs!$B$1+((Inputs!$G$5:$G$180&lt;&gt;"moeda")*(Inputs!$G$5:$G$180&lt;&gt;"acoes")))*INDEX(Inputs!$K$5:$AJ$180,0,MATCH(F$2,Inputs!$K$4:$AJ$4,0)))+SUMPRODUCT((Inputs!$E$5:$E$180=$B13)*Inputs!$F$5:$F$180*(((Inputs!$G$5:$G$180="moeda")+(Inputs!$G$5:$G$180="acoes"))*Inputs!$B$1+((Inputs!$G$5:$G$180&lt;&gt;"moeda")*(Inputs!$G$5:$G$180&lt;&gt;"acoes")))*INDEX(Inputs!$K$5:$AJ$180,0,MATCH(F$2,Inputs!$K$4:$AJ$4,0)))))</f>
        <v>-42.22723762</v>
      </c>
      <c r="G13" s="6">
        <f>IF(ISNA(MATCH(G$2,Inputs!$K$4:$AJ$4,0)),NA(),IF(SUMPRODUCT((Inputs!$A$5:$A$180=$B13)*ISNUMBER(INDEX(Inputs!$K$5:$AJ$180,0,MATCH(G$2,Inputs!$K$4:$AJ$4,0))))+SUMPRODUCT((Inputs!$C$5:$C$180=$B13)*ISNUMBER(INDEX(Inputs!$K$5:$AJ$180,0,MATCH(G$2,Inputs!$K$4:$AJ$4,0))))+SUMPRODUCT((Inputs!$E$5:$E$180=$B13)*ISNUMBER(INDEX(Inputs!$K$5:$AJ$180,0,MATCH(G$2,Inputs!$K$4:$AJ$4,0))))=0,NA(),SUMPRODUCT((Inputs!$A$5:$A$180=$B13)*Inputs!$B$5:$B$180*(((Inputs!$G$5:$G$180="moeda")+(Inputs!$G$5:$G$180="acoes"))*Inputs!$B$1+((Inputs!$G$5:$G$180&lt;&gt;"moeda")*(Inputs!$G$5:$G$180&lt;&gt;"acoes")))*INDEX(Inputs!$K$5:$AJ$180,0,MATCH(G$2,Inputs!$K$4:$AJ$4,0)))+SUMPRODUCT((Inputs!$C$5:$C$180=$B13)*Inputs!$D$5:$D$180*(((Inputs!$G$5:$G$180="moeda")+(Inputs!$G$5:$G$180="acoes"))*Inputs!$B$1+((Inputs!$G$5:$G$180&lt;&gt;"moeda")*(Inputs!$G$5:$G$180&lt;&gt;"acoes")))*INDEX(Inputs!$K$5:$AJ$180,0,MATCH(G$2,Inputs!$K$4:$AJ$4,0)))+SUMPRODUCT((Inputs!$E$5:$E$180=$B13)*Inputs!$F$5:$F$180*(((Inputs!$G$5:$G$180="moeda")+(Inputs!$G$5:$G$180="acoes"))*Inputs!$B$1+((Inputs!$G$5:$G$180&lt;&gt;"moeda")*(Inputs!$G$5:$G$180&lt;&gt;"acoes")))*INDEX(Inputs!$K$5:$AJ$180,0,MATCH(G$2,Inputs!$K$4:$AJ$4,0)))))</f>
        <v>-22.55733515</v>
      </c>
      <c r="H13" s="3">
        <f>SUM(D13:G13)</f>
        <v>-296.14148798</v>
      </c>
      <c r="I13" s="6">
        <f>IF(ISNA(MATCH(I$2,Inputs!$K$4:$AJ$4,0)),NA(),IF(SUMPRODUCT((Inputs!$A$5:$A$180=$B13)*ISNUMBER(INDEX(Inputs!$K$5:$AJ$180,0,MATCH(I$2,Inputs!$K$4:$AJ$4,0))))+SUMPRODUCT((Inputs!$C$5:$C$180=$B13)*ISNUMBER(INDEX(Inputs!$K$5:$AJ$180,0,MATCH(I$2,Inputs!$K$4:$AJ$4,0))))+SUMPRODUCT((Inputs!$E$5:$E$180=$B13)*ISNUMBER(INDEX(Inputs!$K$5:$AJ$180,0,MATCH(I$2,Inputs!$K$4:$AJ$4,0))))=0,NA(),SUMPRODUCT((Inputs!$A$5:$A$180=$B13)*Inputs!$B$5:$B$180*(((Inputs!$G$5:$G$180="moeda")+(Inputs!$G$5:$G$180="acoes"))*Inputs!$B$1+((Inputs!$G$5:$G$180&lt;&gt;"moeda")*(Inputs!$G$5:$G$180&lt;&gt;"acoes")))*INDEX(Inputs!$K$5:$AJ$180,0,MATCH(I$2,Inputs!$K$4:$AJ$4,0)))+SUMPRODUCT((Inputs!$C$5:$C$180=$B13)*Inputs!$D$5:$D$180*(((Inputs!$G$5:$G$180="moeda")+(Inputs!$G$5:$G$180="acoes"))*Inputs!$B$1+((Inputs!$G$5:$G$180&lt;&gt;"moeda")*(Inputs!$G$5:$G$180&lt;&gt;"acoes")))*INDEX(Inputs!$K$5:$AJ$180,0,MATCH(I$2,Inputs!$K$4:$AJ$4,0)))+SUMPRODUCT((Inputs!$E$5:$E$180=$B13)*Inputs!$F$5:$F$180*(((Inputs!$G$5:$G$180="moeda")+(Inputs!$G$5:$G$180="acoes"))*Inputs!$B$1+((Inputs!$G$5:$G$180&lt;&gt;"moeda")*(Inputs!$G$5:$G$180&lt;&gt;"acoes")))*INDEX(Inputs!$K$5:$AJ$180,0,MATCH(I$2,Inputs!$K$4:$AJ$4,0)))))</f>
        <v>-4.12979244</v>
      </c>
      <c r="J13" s="6">
        <f>IF(ISNA(MATCH(J$2,Inputs!$K$4:$AJ$4,0)),NA(),IF(SUMPRODUCT((Inputs!$A$5:$A$180=$B13)*ISNUMBER(INDEX(Inputs!$K$5:$AJ$180,0,MATCH(J$2,Inputs!$K$4:$AJ$4,0))))+SUMPRODUCT((Inputs!$C$5:$C$180=$B13)*ISNUMBER(INDEX(Inputs!$K$5:$AJ$180,0,MATCH(J$2,Inputs!$K$4:$AJ$4,0))))+SUMPRODUCT((Inputs!$E$5:$E$180=$B13)*ISNUMBER(INDEX(Inputs!$K$5:$AJ$180,0,MATCH(J$2,Inputs!$K$4:$AJ$4,0))))=0,NA(),SUMPRODUCT((Inputs!$A$5:$A$180=$B13)*Inputs!$B$5:$B$180*(((Inputs!$G$5:$G$180="moeda")+(Inputs!$G$5:$G$180="acoes"))*Inputs!$B$1+((Inputs!$G$5:$G$180&lt;&gt;"moeda")*(Inputs!$G$5:$G$180&lt;&gt;"acoes")))*INDEX(Inputs!$K$5:$AJ$180,0,MATCH(J$2,Inputs!$K$4:$AJ$4,0)))+SUMPRODUCT((Inputs!$C$5:$C$180=$B13)*Inputs!$D$5:$D$180*(((Inputs!$G$5:$G$180="moeda")+(Inputs!$G$5:$G$180="acoes"))*Inputs!$B$1+((Inputs!$G$5:$G$180&lt;&gt;"moeda")*(Inputs!$G$5:$G$180&lt;&gt;"acoes")))*INDEX(Inputs!$K$5:$AJ$180,0,MATCH(J$2,Inputs!$K$4:$AJ$4,0)))+SUMPRODUCT((Inputs!$E$5:$E$180=$B13)*Inputs!$F$5:$F$180*(((Inputs!$G$5:$G$180="moeda")+(Inputs!$G$5:$G$180="acoes"))*Inputs!$B$1+((Inputs!$G$5:$G$180&lt;&gt;"moeda")*(Inputs!$G$5:$G$180&lt;&gt;"acoes")))*INDEX(Inputs!$K$5:$AJ$180,0,MATCH(J$2,Inputs!$K$4:$AJ$4,0)))))</f>
        <v>-225.0161942</v>
      </c>
      <c r="K13" s="6">
        <f>IF(ISNA(MATCH(K$2,Inputs!$K$4:$AJ$4,0)),NA(),IF(SUMPRODUCT((Inputs!$A$5:$A$180=$B13)*ISNUMBER(INDEX(Inputs!$K$5:$AJ$180,0,MATCH(K$2,Inputs!$K$4:$AJ$4,0))))+SUMPRODUCT((Inputs!$C$5:$C$180=$B13)*ISNUMBER(INDEX(Inputs!$K$5:$AJ$180,0,MATCH(K$2,Inputs!$K$4:$AJ$4,0))))+SUMPRODUCT((Inputs!$E$5:$E$180=$B13)*ISNUMBER(INDEX(Inputs!$K$5:$AJ$180,0,MATCH(K$2,Inputs!$K$4:$AJ$4,0))))=0,NA(),SUMPRODUCT((Inputs!$A$5:$A$180=$B13)*Inputs!$B$5:$B$180*(((Inputs!$G$5:$G$180="moeda")+(Inputs!$G$5:$G$180="acoes"))*Inputs!$B$1+((Inputs!$G$5:$G$180&lt;&gt;"moeda")*(Inputs!$G$5:$G$180&lt;&gt;"acoes")))*INDEX(Inputs!$K$5:$AJ$180,0,MATCH(K$2,Inputs!$K$4:$AJ$4,0)))+SUMPRODUCT((Inputs!$C$5:$C$180=$B13)*Inputs!$D$5:$D$180*(((Inputs!$G$5:$G$180="moeda")+(Inputs!$G$5:$G$180="acoes"))*Inputs!$B$1+((Inputs!$G$5:$G$180&lt;&gt;"moeda")*(Inputs!$G$5:$G$180&lt;&gt;"acoes")))*INDEX(Inputs!$K$5:$AJ$180,0,MATCH(K$2,Inputs!$K$4:$AJ$4,0)))+SUMPRODUCT((Inputs!$E$5:$E$180=$B13)*Inputs!$F$5:$F$180*(((Inputs!$G$5:$G$180="moeda")+(Inputs!$G$5:$G$180="acoes"))*Inputs!$B$1+((Inputs!$G$5:$G$180&lt;&gt;"moeda")*(Inputs!$G$5:$G$180&lt;&gt;"acoes")))*INDEX(Inputs!$K$5:$AJ$180,0,MATCH(K$2,Inputs!$K$4:$AJ$4,0)))))</f>
        <v>-0.0015808</v>
      </c>
      <c r="L13" s="6">
        <f>IF(ISNA(MATCH(L$2,Inputs!$K$4:$AJ$4,0)),NA(),IF(SUMPRODUCT((Inputs!$A$5:$A$180=$B13)*ISNUMBER(INDEX(Inputs!$K$5:$AJ$180,0,MATCH(L$2,Inputs!$K$4:$AJ$4,0))))+SUMPRODUCT((Inputs!$C$5:$C$180=$B13)*ISNUMBER(INDEX(Inputs!$K$5:$AJ$180,0,MATCH(L$2,Inputs!$K$4:$AJ$4,0))))+SUMPRODUCT((Inputs!$E$5:$E$180=$B13)*ISNUMBER(INDEX(Inputs!$K$5:$AJ$180,0,MATCH(L$2,Inputs!$K$4:$AJ$4,0))))=0,NA(),SUMPRODUCT((Inputs!$A$5:$A$180=$B13)*Inputs!$B$5:$B$180*(((Inputs!$G$5:$G$180="moeda")+(Inputs!$G$5:$G$180="acoes"))*Inputs!$B$1+((Inputs!$G$5:$G$180&lt;&gt;"moeda")*(Inputs!$G$5:$G$180&lt;&gt;"acoes")))*INDEX(Inputs!$K$5:$AJ$180,0,MATCH(L$2,Inputs!$K$4:$AJ$4,0)))+SUMPRODUCT((Inputs!$C$5:$C$180=$B13)*Inputs!$D$5:$D$180*(((Inputs!$G$5:$G$180="moeda")+(Inputs!$G$5:$G$180="acoes"))*Inputs!$B$1+((Inputs!$G$5:$G$180&lt;&gt;"moeda")*(Inputs!$G$5:$G$180&lt;&gt;"acoes")))*INDEX(Inputs!$K$5:$AJ$180,0,MATCH(L$2,Inputs!$K$4:$AJ$4,0)))+SUMPRODUCT((Inputs!$E$5:$E$180=$B13)*Inputs!$F$5:$F$180*(((Inputs!$G$5:$G$180="moeda")+(Inputs!$G$5:$G$180="acoes"))*Inputs!$B$1+((Inputs!$G$5:$G$180&lt;&gt;"moeda")*(Inputs!$G$5:$G$180&lt;&gt;"acoes")))*INDEX(Inputs!$K$5:$AJ$180,0,MATCH(L$2,Inputs!$K$4:$AJ$4,0)))))</f>
        <v>-108.0538068</v>
      </c>
      <c r="M13" s="3">
        <f>SUM(I13:L13)</f>
        <v>-337.20137424</v>
      </c>
      <c r="N13" s="6">
        <f>IF(ISNA(MATCH(N$2,Inputs!$K$4:$AJ$4,0)),NA(),IF(SUMPRODUCT((Inputs!$A$5:$A$180=$B13)*ISNUMBER(INDEX(Inputs!$K$5:$AJ$180,0,MATCH(N$2,Inputs!$K$4:$AJ$4,0))))+SUMPRODUCT((Inputs!$C$5:$C$180=$B13)*ISNUMBER(INDEX(Inputs!$K$5:$AJ$180,0,MATCH(N$2,Inputs!$K$4:$AJ$4,0))))+SUMPRODUCT((Inputs!$E$5:$E$180=$B13)*ISNUMBER(INDEX(Inputs!$K$5:$AJ$180,0,MATCH(N$2,Inputs!$K$4:$AJ$4,0))))=0,NA(),SUMPRODUCT((Inputs!$A$5:$A$180=$B13)*Inputs!$B$5:$B$180*(((Inputs!$G$5:$G$180="moeda")+(Inputs!$G$5:$G$180="acoes"))*Inputs!$B$1+((Inputs!$G$5:$G$180&lt;&gt;"moeda")*(Inputs!$G$5:$G$180&lt;&gt;"acoes")))*INDEX(Inputs!$K$5:$AJ$180,0,MATCH(N$2,Inputs!$K$4:$AJ$4,0)))+SUMPRODUCT((Inputs!$C$5:$C$180=$B13)*Inputs!$D$5:$D$180*(((Inputs!$G$5:$G$180="moeda")+(Inputs!$G$5:$G$180="acoes"))*Inputs!$B$1+((Inputs!$G$5:$G$180&lt;&gt;"moeda")*(Inputs!$G$5:$G$180&lt;&gt;"acoes")))*INDEX(Inputs!$K$5:$AJ$180,0,MATCH(N$2,Inputs!$K$4:$AJ$4,0)))+SUMPRODUCT((Inputs!$E$5:$E$180=$B13)*Inputs!$F$5:$F$180*(((Inputs!$G$5:$G$180="moeda")+(Inputs!$G$5:$G$180="acoes"))*Inputs!$B$1+((Inputs!$G$5:$G$180&lt;&gt;"moeda")*(Inputs!$G$5:$G$180&lt;&gt;"acoes")))*INDEX(Inputs!$K$5:$AJ$180,0,MATCH(N$2,Inputs!$K$4:$AJ$4,0)))))</f>
        <v>0</v>
      </c>
      <c r="O13" s="6">
        <f>IF(ISNA(MATCH(O$2,Inputs!$K$4:$AJ$4,0)),NA(),IF(SUMPRODUCT((Inputs!$A$5:$A$180=$B13)*ISNUMBER(INDEX(Inputs!$K$5:$AJ$180,0,MATCH(O$2,Inputs!$K$4:$AJ$4,0))))+SUMPRODUCT((Inputs!$C$5:$C$180=$B13)*ISNUMBER(INDEX(Inputs!$K$5:$AJ$180,0,MATCH(O$2,Inputs!$K$4:$AJ$4,0))))+SUMPRODUCT((Inputs!$E$5:$E$180=$B13)*ISNUMBER(INDEX(Inputs!$K$5:$AJ$180,0,MATCH(O$2,Inputs!$K$4:$AJ$4,0))))=0,NA(),SUMPRODUCT((Inputs!$A$5:$A$180=$B13)*Inputs!$B$5:$B$180*(((Inputs!$G$5:$G$180="moeda")+(Inputs!$G$5:$G$180="acoes"))*Inputs!$B$1+((Inputs!$G$5:$G$180&lt;&gt;"moeda")*(Inputs!$G$5:$G$180&lt;&gt;"acoes")))*INDEX(Inputs!$K$5:$AJ$180,0,MATCH(O$2,Inputs!$K$4:$AJ$4,0)))+SUMPRODUCT((Inputs!$C$5:$C$180=$B13)*Inputs!$D$5:$D$180*(((Inputs!$G$5:$G$180="moeda")+(Inputs!$G$5:$G$180="acoes"))*Inputs!$B$1+((Inputs!$G$5:$G$180&lt;&gt;"moeda")*(Inputs!$G$5:$G$180&lt;&gt;"acoes")))*INDEX(Inputs!$K$5:$AJ$180,0,MATCH(O$2,Inputs!$K$4:$AJ$4,0)))+SUMPRODUCT((Inputs!$E$5:$E$180=$B13)*Inputs!$F$5:$F$180*(((Inputs!$G$5:$G$180="moeda")+(Inputs!$G$5:$G$180="acoes"))*Inputs!$B$1+((Inputs!$G$5:$G$180&lt;&gt;"moeda")*(Inputs!$G$5:$G$180&lt;&gt;"acoes")))*INDEX(Inputs!$K$5:$AJ$180,0,MATCH(O$2,Inputs!$K$4:$AJ$4,0)))))</f>
        <v>-273.224548</v>
      </c>
      <c r="P13" s="6">
        <f>IF(ISNA(MATCH(P$2,Inputs!$K$4:$AJ$4,0)),NA(),IF(SUMPRODUCT((Inputs!$A$5:$A$180=$B13)*ISNUMBER(INDEX(Inputs!$K$5:$AJ$180,0,MATCH(P$2,Inputs!$K$4:$AJ$4,0))))+SUMPRODUCT((Inputs!$C$5:$C$180=$B13)*ISNUMBER(INDEX(Inputs!$K$5:$AJ$180,0,MATCH(P$2,Inputs!$K$4:$AJ$4,0))))+SUMPRODUCT((Inputs!$E$5:$E$180=$B13)*ISNUMBER(INDEX(Inputs!$K$5:$AJ$180,0,MATCH(P$2,Inputs!$K$4:$AJ$4,0))))=0,NA(),SUMPRODUCT((Inputs!$A$5:$A$180=$B13)*Inputs!$B$5:$B$180*(((Inputs!$G$5:$G$180="moeda")+(Inputs!$G$5:$G$180="acoes"))*Inputs!$B$1+((Inputs!$G$5:$G$180&lt;&gt;"moeda")*(Inputs!$G$5:$G$180&lt;&gt;"acoes")))*INDEX(Inputs!$K$5:$AJ$180,0,MATCH(P$2,Inputs!$K$4:$AJ$4,0)))+SUMPRODUCT((Inputs!$C$5:$C$180=$B13)*Inputs!$D$5:$D$180*(((Inputs!$G$5:$G$180="moeda")+(Inputs!$G$5:$G$180="acoes"))*Inputs!$B$1+((Inputs!$G$5:$G$180&lt;&gt;"moeda")*(Inputs!$G$5:$G$180&lt;&gt;"acoes")))*INDEX(Inputs!$K$5:$AJ$180,0,MATCH(P$2,Inputs!$K$4:$AJ$4,0)))+SUMPRODUCT((Inputs!$E$5:$E$180=$B13)*Inputs!$F$5:$F$180*(((Inputs!$G$5:$G$180="moeda")+(Inputs!$G$5:$G$180="acoes"))*Inputs!$B$1+((Inputs!$G$5:$G$180&lt;&gt;"moeda")*(Inputs!$G$5:$G$180&lt;&gt;"acoes")))*INDEX(Inputs!$K$5:$AJ$180,0,MATCH(P$2,Inputs!$K$4:$AJ$4,0)))))</f>
        <v>-13.87953525</v>
      </c>
      <c r="Q13" s="6">
        <f>IF(ISNA(MATCH(Q$2,Inputs!$K$4:$AJ$4,0)),NA(),IF(SUMPRODUCT((Inputs!$A$5:$A$180=$B13)*ISNUMBER(INDEX(Inputs!$K$5:$AJ$180,0,MATCH(Q$2,Inputs!$K$4:$AJ$4,0))))+SUMPRODUCT((Inputs!$C$5:$C$180=$B13)*ISNUMBER(INDEX(Inputs!$K$5:$AJ$180,0,MATCH(Q$2,Inputs!$K$4:$AJ$4,0))))+SUMPRODUCT((Inputs!$E$5:$E$180=$B13)*ISNUMBER(INDEX(Inputs!$K$5:$AJ$180,0,MATCH(Q$2,Inputs!$K$4:$AJ$4,0))))=0,NA(),SUMPRODUCT((Inputs!$A$5:$A$180=$B13)*Inputs!$B$5:$B$180*(((Inputs!$G$5:$G$180="moeda")+(Inputs!$G$5:$G$180="acoes"))*Inputs!$B$1+((Inputs!$G$5:$G$180&lt;&gt;"moeda")*(Inputs!$G$5:$G$180&lt;&gt;"acoes")))*INDEX(Inputs!$K$5:$AJ$180,0,MATCH(Q$2,Inputs!$K$4:$AJ$4,0)))+SUMPRODUCT((Inputs!$C$5:$C$180=$B13)*Inputs!$D$5:$D$180*(((Inputs!$G$5:$G$180="moeda")+(Inputs!$G$5:$G$180="acoes"))*Inputs!$B$1+((Inputs!$G$5:$G$180&lt;&gt;"moeda")*(Inputs!$G$5:$G$180&lt;&gt;"acoes")))*INDEX(Inputs!$K$5:$AJ$180,0,MATCH(Q$2,Inputs!$K$4:$AJ$4,0)))+SUMPRODUCT((Inputs!$E$5:$E$180=$B13)*Inputs!$F$5:$F$180*(((Inputs!$G$5:$G$180="moeda")+(Inputs!$G$5:$G$180="acoes"))*Inputs!$B$1+((Inputs!$G$5:$G$180&lt;&gt;"moeda")*(Inputs!$G$5:$G$180&lt;&gt;"acoes")))*INDEX(Inputs!$K$5:$AJ$180,0,MATCH(Q$2,Inputs!$K$4:$AJ$4,0)))))</f>
        <v>-223.00491675</v>
      </c>
      <c r="R13" s="3">
        <f>SUM(N13:Q13)</f>
        <v>-510.109</v>
      </c>
      <c r="S13" s="6">
        <f>IF(ISNA(MATCH(S$2,Inputs!$K$4:$AJ$4,0)),NA(),IF(SUMPRODUCT((Inputs!$A$5:$A$180=$B13)*ISNUMBER(INDEX(Inputs!$K$5:$AJ$180,0,MATCH(S$2,Inputs!$K$4:$AJ$4,0))))+SUMPRODUCT((Inputs!$C$5:$C$180=$B13)*ISNUMBER(INDEX(Inputs!$K$5:$AJ$180,0,MATCH(S$2,Inputs!$K$4:$AJ$4,0))))+SUMPRODUCT((Inputs!$E$5:$E$180=$B13)*ISNUMBER(INDEX(Inputs!$K$5:$AJ$180,0,MATCH(S$2,Inputs!$K$4:$AJ$4,0))))=0,NA(),SUMPRODUCT((Inputs!$A$5:$A$180=$B13)*Inputs!$B$5:$B$180*(((Inputs!$G$5:$G$180="moeda")+(Inputs!$G$5:$G$180="acoes"))*Inputs!$B$1+((Inputs!$G$5:$G$180&lt;&gt;"moeda")*(Inputs!$G$5:$G$180&lt;&gt;"acoes")))*INDEX(Inputs!$K$5:$AJ$180,0,MATCH(S$2,Inputs!$K$4:$AJ$4,0)))+SUMPRODUCT((Inputs!$C$5:$C$180=$B13)*Inputs!$D$5:$D$180*(((Inputs!$G$5:$G$180="moeda")+(Inputs!$G$5:$G$180="acoes"))*Inputs!$B$1+((Inputs!$G$5:$G$180&lt;&gt;"moeda")*(Inputs!$G$5:$G$180&lt;&gt;"acoes")))*INDEX(Inputs!$K$5:$AJ$180,0,MATCH(S$2,Inputs!$K$4:$AJ$4,0)))+SUMPRODUCT((Inputs!$E$5:$E$180=$B13)*Inputs!$F$5:$F$180*(((Inputs!$G$5:$G$180="moeda")+(Inputs!$G$5:$G$180="acoes"))*Inputs!$B$1+((Inputs!$G$5:$G$180&lt;&gt;"moeda")*(Inputs!$G$5:$G$180&lt;&gt;"acoes")))*INDEX(Inputs!$K$5:$AJ$180,0,MATCH(S$2,Inputs!$K$4:$AJ$4,0)))))</f>
        <v>-0.496</v>
      </c>
      <c r="T13" s="6">
        <f>IF(ISNA(MATCH(T$2,Inputs!$K$4:$AJ$4,0)),NA(),IF(SUMPRODUCT((Inputs!$A$5:$A$180=$B13)*ISNUMBER(INDEX(Inputs!$K$5:$AJ$180,0,MATCH(T$2,Inputs!$K$4:$AJ$4,0))))+SUMPRODUCT((Inputs!$C$5:$C$180=$B13)*ISNUMBER(INDEX(Inputs!$K$5:$AJ$180,0,MATCH(T$2,Inputs!$K$4:$AJ$4,0))))+SUMPRODUCT((Inputs!$E$5:$E$180=$B13)*ISNUMBER(INDEX(Inputs!$K$5:$AJ$180,0,MATCH(T$2,Inputs!$K$4:$AJ$4,0))))=0,NA(),SUMPRODUCT((Inputs!$A$5:$A$180=$B13)*Inputs!$B$5:$B$180*(((Inputs!$G$5:$G$180="moeda")+(Inputs!$G$5:$G$180="acoes"))*Inputs!$B$1+((Inputs!$G$5:$G$180&lt;&gt;"moeda")*(Inputs!$G$5:$G$180&lt;&gt;"acoes")))*INDEX(Inputs!$K$5:$AJ$180,0,MATCH(T$2,Inputs!$K$4:$AJ$4,0)))+SUMPRODUCT((Inputs!$C$5:$C$180=$B13)*Inputs!$D$5:$D$180*(((Inputs!$G$5:$G$180="moeda")+(Inputs!$G$5:$G$180="acoes"))*Inputs!$B$1+((Inputs!$G$5:$G$180&lt;&gt;"moeda")*(Inputs!$G$5:$G$180&lt;&gt;"acoes")))*INDEX(Inputs!$K$5:$AJ$180,0,MATCH(T$2,Inputs!$K$4:$AJ$4,0)))+SUMPRODUCT((Inputs!$E$5:$E$180=$B13)*Inputs!$F$5:$F$180*(((Inputs!$G$5:$G$180="moeda")+(Inputs!$G$5:$G$180="acoes"))*Inputs!$B$1+((Inputs!$G$5:$G$180&lt;&gt;"moeda")*(Inputs!$G$5:$G$180&lt;&gt;"acoes")))*INDEX(Inputs!$K$5:$AJ$180,0,MATCH(T$2,Inputs!$K$4:$AJ$4,0)))))</f>
        <v>-80.533</v>
      </c>
      <c r="U13" s="6">
        <f>IF(ISNA(MATCH(U$2,Inputs!$K$4:$AJ$4,0)),NA(),IF(SUMPRODUCT((Inputs!$A$5:$A$180=$B13)*ISNUMBER(INDEX(Inputs!$K$5:$AJ$180,0,MATCH(U$2,Inputs!$K$4:$AJ$4,0))))+SUMPRODUCT((Inputs!$C$5:$C$180=$B13)*ISNUMBER(INDEX(Inputs!$K$5:$AJ$180,0,MATCH(U$2,Inputs!$K$4:$AJ$4,0))))+SUMPRODUCT((Inputs!$E$5:$E$180=$B13)*ISNUMBER(INDEX(Inputs!$K$5:$AJ$180,0,MATCH(U$2,Inputs!$K$4:$AJ$4,0))))=0,NA(),SUMPRODUCT((Inputs!$A$5:$A$180=$B13)*Inputs!$B$5:$B$180*(((Inputs!$G$5:$G$180="moeda")+(Inputs!$G$5:$G$180="acoes"))*Inputs!$B$1+((Inputs!$G$5:$G$180&lt;&gt;"moeda")*(Inputs!$G$5:$G$180&lt;&gt;"acoes")))*INDEX(Inputs!$K$5:$AJ$180,0,MATCH(U$2,Inputs!$K$4:$AJ$4,0)))+SUMPRODUCT((Inputs!$C$5:$C$180=$B13)*Inputs!$D$5:$D$180*(((Inputs!$G$5:$G$180="moeda")+(Inputs!$G$5:$G$180="acoes"))*Inputs!$B$1+((Inputs!$G$5:$G$180&lt;&gt;"moeda")*(Inputs!$G$5:$G$180&lt;&gt;"acoes")))*INDEX(Inputs!$K$5:$AJ$180,0,MATCH(U$2,Inputs!$K$4:$AJ$4,0)))+SUMPRODUCT((Inputs!$E$5:$E$180=$B13)*Inputs!$F$5:$F$180*(((Inputs!$G$5:$G$180="moeda")+(Inputs!$G$5:$G$180="acoes"))*Inputs!$B$1+((Inputs!$G$5:$G$180&lt;&gt;"moeda")*(Inputs!$G$5:$G$180&lt;&gt;"acoes")))*INDEX(Inputs!$K$5:$AJ$180,0,MATCH(U$2,Inputs!$K$4:$AJ$4,0)))))</f>
        <v>0</v>
      </c>
      <c r="V13" s="6">
        <f>IF(ISNA(MATCH(V$2,Inputs!$K$4:$AJ$4,0)),NA(),IF(SUMPRODUCT((Inputs!$A$5:$A$180=$B13)*ISNUMBER(INDEX(Inputs!$K$5:$AJ$180,0,MATCH(V$2,Inputs!$K$4:$AJ$4,0))))+SUMPRODUCT((Inputs!$C$5:$C$180=$B13)*ISNUMBER(INDEX(Inputs!$K$5:$AJ$180,0,MATCH(V$2,Inputs!$K$4:$AJ$4,0))))+SUMPRODUCT((Inputs!$E$5:$E$180=$B13)*ISNUMBER(INDEX(Inputs!$K$5:$AJ$180,0,MATCH(V$2,Inputs!$K$4:$AJ$4,0))))=0,NA(),SUMPRODUCT((Inputs!$A$5:$A$180=$B13)*Inputs!$B$5:$B$180*(((Inputs!$G$5:$G$180="moeda")+(Inputs!$G$5:$G$180="acoes"))*Inputs!$B$1+((Inputs!$G$5:$G$180&lt;&gt;"moeda")*(Inputs!$G$5:$G$180&lt;&gt;"acoes")))*INDEX(Inputs!$K$5:$AJ$180,0,MATCH(V$2,Inputs!$K$4:$AJ$4,0)))+SUMPRODUCT((Inputs!$C$5:$C$180=$B13)*Inputs!$D$5:$D$180*(((Inputs!$G$5:$G$180="moeda")+(Inputs!$G$5:$G$180="acoes"))*Inputs!$B$1+((Inputs!$G$5:$G$180&lt;&gt;"moeda")*(Inputs!$G$5:$G$180&lt;&gt;"acoes")))*INDEX(Inputs!$K$5:$AJ$180,0,MATCH(V$2,Inputs!$K$4:$AJ$4,0)))+SUMPRODUCT((Inputs!$E$5:$E$180=$B13)*Inputs!$F$5:$F$180*(((Inputs!$G$5:$G$180="moeda")+(Inputs!$G$5:$G$180="acoes"))*Inputs!$B$1+((Inputs!$G$5:$G$180&lt;&gt;"moeda")*(Inputs!$G$5:$G$180&lt;&gt;"acoes")))*INDEX(Inputs!$K$5:$AJ$180,0,MATCH(V$2,Inputs!$K$4:$AJ$4,0)))))</f>
        <v>-262.333</v>
      </c>
      <c r="W13" s="3">
        <f>SUM(S13:V13)</f>
        <v>-343.362</v>
      </c>
      <c r="X13" s="6">
        <f>IF(ISNA(MATCH(X$2,Inputs!$K$4:$AJ$4,0)),NA(),IF(SUMPRODUCT((Inputs!$A$5:$A$180=$B13)*ISNUMBER(INDEX(Inputs!$K$5:$AJ$180,0,MATCH(X$2,Inputs!$K$4:$AJ$4,0))))+SUMPRODUCT((Inputs!$C$5:$C$180=$B13)*ISNUMBER(INDEX(Inputs!$K$5:$AJ$180,0,MATCH(X$2,Inputs!$K$4:$AJ$4,0))))+SUMPRODUCT((Inputs!$E$5:$E$180=$B13)*ISNUMBER(INDEX(Inputs!$K$5:$AJ$180,0,MATCH(X$2,Inputs!$K$4:$AJ$4,0))))=0,NA(),SUMPRODUCT((Inputs!$A$5:$A$180=$B13)*Inputs!$B$5:$B$180*(((Inputs!$G$5:$G$180="moeda")+(Inputs!$G$5:$G$180="acoes"))*Inputs!$B$1+((Inputs!$G$5:$G$180&lt;&gt;"moeda")*(Inputs!$G$5:$G$180&lt;&gt;"acoes")))*INDEX(Inputs!$K$5:$AJ$180,0,MATCH(X$2,Inputs!$K$4:$AJ$4,0)))+SUMPRODUCT((Inputs!$C$5:$C$180=$B13)*Inputs!$D$5:$D$180*(((Inputs!$G$5:$G$180="moeda")+(Inputs!$G$5:$G$180="acoes"))*Inputs!$B$1+((Inputs!$G$5:$G$180&lt;&gt;"moeda")*(Inputs!$G$5:$G$180&lt;&gt;"acoes")))*INDEX(Inputs!$K$5:$AJ$180,0,MATCH(X$2,Inputs!$K$4:$AJ$4,0)))+SUMPRODUCT((Inputs!$E$5:$E$180=$B13)*Inputs!$F$5:$F$180*(((Inputs!$G$5:$G$180="moeda")+(Inputs!$G$5:$G$180="acoes"))*Inputs!$B$1+((Inputs!$G$5:$G$180&lt;&gt;"moeda")*(Inputs!$G$5:$G$180&lt;&gt;"acoes")))*INDEX(Inputs!$K$5:$AJ$180,0,MATCH(X$2,Inputs!$K$4:$AJ$4,0)))))</f>
        <v>0</v>
      </c>
      <c r="Y13" s="6">
        <f>IF(ISNA(MATCH(Y$2,Inputs!$K$4:$AJ$4,0)),NA(),IF(SUMPRODUCT((Inputs!$A$5:$A$180=$B13)*ISNUMBER(INDEX(Inputs!$K$5:$AJ$180,0,MATCH(Y$2,Inputs!$K$4:$AJ$4,0))))+SUMPRODUCT((Inputs!$C$5:$C$180=$B13)*ISNUMBER(INDEX(Inputs!$K$5:$AJ$180,0,MATCH(Y$2,Inputs!$K$4:$AJ$4,0))))+SUMPRODUCT((Inputs!$E$5:$E$180=$B13)*ISNUMBER(INDEX(Inputs!$K$5:$AJ$180,0,MATCH(Y$2,Inputs!$K$4:$AJ$4,0))))=0,NA(),SUMPRODUCT((Inputs!$A$5:$A$180=$B13)*Inputs!$B$5:$B$180*(((Inputs!$G$5:$G$180="moeda")+(Inputs!$G$5:$G$180="acoes"))*Inputs!$B$1+((Inputs!$G$5:$G$180&lt;&gt;"moeda")*(Inputs!$G$5:$G$180&lt;&gt;"acoes")))*INDEX(Inputs!$K$5:$AJ$180,0,MATCH(Y$2,Inputs!$K$4:$AJ$4,0)))+SUMPRODUCT((Inputs!$C$5:$C$180=$B13)*Inputs!$D$5:$D$180*(((Inputs!$G$5:$G$180="moeda")+(Inputs!$G$5:$G$180="acoes"))*Inputs!$B$1+((Inputs!$G$5:$G$180&lt;&gt;"moeda")*(Inputs!$G$5:$G$180&lt;&gt;"acoes")))*INDEX(Inputs!$K$5:$AJ$180,0,MATCH(Y$2,Inputs!$K$4:$AJ$4,0)))+SUMPRODUCT((Inputs!$E$5:$E$180=$B13)*Inputs!$F$5:$F$180*(((Inputs!$G$5:$G$180="moeda")+(Inputs!$G$5:$G$180="acoes"))*Inputs!$B$1+((Inputs!$G$5:$G$180&lt;&gt;"moeda")*(Inputs!$G$5:$G$180&lt;&gt;"acoes")))*INDEX(Inputs!$K$5:$AJ$180,0,MATCH(Y$2,Inputs!$K$4:$AJ$4,0)))))</f>
        <v>-254.045</v>
      </c>
      <c r="Z13" s="6">
        <f>IF(ISNA(MATCH(Z$2,Inputs!$K$4:$AJ$4,0)),NA(),IF(SUMPRODUCT((Inputs!$A$5:$A$180=$B13)*ISNUMBER(INDEX(Inputs!$K$5:$AJ$180,0,MATCH(Z$2,Inputs!$K$4:$AJ$4,0))))+SUMPRODUCT((Inputs!$C$5:$C$180=$B13)*ISNUMBER(INDEX(Inputs!$K$5:$AJ$180,0,MATCH(Z$2,Inputs!$K$4:$AJ$4,0))))+SUMPRODUCT((Inputs!$E$5:$E$180=$B13)*ISNUMBER(INDEX(Inputs!$K$5:$AJ$180,0,MATCH(Z$2,Inputs!$K$4:$AJ$4,0))))=0,NA(),SUMPRODUCT((Inputs!$A$5:$A$180=$B13)*Inputs!$B$5:$B$180*(((Inputs!$G$5:$G$180="moeda")+(Inputs!$G$5:$G$180="acoes"))*Inputs!$B$1+((Inputs!$G$5:$G$180&lt;&gt;"moeda")*(Inputs!$G$5:$G$180&lt;&gt;"acoes")))*INDEX(Inputs!$K$5:$AJ$180,0,MATCH(Z$2,Inputs!$K$4:$AJ$4,0)))+SUMPRODUCT((Inputs!$C$5:$C$180=$B13)*Inputs!$D$5:$D$180*(((Inputs!$G$5:$G$180="moeda")+(Inputs!$G$5:$G$180="acoes"))*Inputs!$B$1+((Inputs!$G$5:$G$180&lt;&gt;"moeda")*(Inputs!$G$5:$G$180&lt;&gt;"acoes")))*INDEX(Inputs!$K$5:$AJ$180,0,MATCH(Z$2,Inputs!$K$4:$AJ$4,0)))+SUMPRODUCT((Inputs!$E$5:$E$180=$B13)*Inputs!$F$5:$F$180*(((Inputs!$G$5:$G$180="moeda")+(Inputs!$G$5:$G$180="acoes"))*Inputs!$B$1+((Inputs!$G$5:$G$180&lt;&gt;"moeda")*(Inputs!$G$5:$G$180&lt;&gt;"acoes")))*INDEX(Inputs!$K$5:$AJ$180,0,MATCH(Z$2,Inputs!$K$4:$AJ$4,0)))))</f>
        <v>0</v>
      </c>
      <c r="AA13" s="6">
        <f>IF(ISNA(MATCH(AA$2,Inputs!$K$4:$AJ$4,0)),NA(),IF(SUMPRODUCT((Inputs!$A$5:$A$180=$B13)*ISNUMBER(INDEX(Inputs!$K$5:$AJ$180,0,MATCH(AA$2,Inputs!$K$4:$AJ$4,0))))+SUMPRODUCT((Inputs!$C$5:$C$180=$B13)*ISNUMBER(INDEX(Inputs!$K$5:$AJ$180,0,MATCH(AA$2,Inputs!$K$4:$AJ$4,0))))+SUMPRODUCT((Inputs!$E$5:$E$180=$B13)*ISNUMBER(INDEX(Inputs!$K$5:$AJ$180,0,MATCH(AA$2,Inputs!$K$4:$AJ$4,0))))=0,NA(),SUMPRODUCT((Inputs!$A$5:$A$180=$B13)*Inputs!$B$5:$B$180*(((Inputs!$G$5:$G$180="moeda")+(Inputs!$G$5:$G$180="acoes"))*Inputs!$B$1+((Inputs!$G$5:$G$180&lt;&gt;"moeda")*(Inputs!$G$5:$G$180&lt;&gt;"acoes")))*INDEX(Inputs!$K$5:$AJ$180,0,MATCH(AA$2,Inputs!$K$4:$AJ$4,0)))+SUMPRODUCT((Inputs!$C$5:$C$180=$B13)*Inputs!$D$5:$D$180*(((Inputs!$G$5:$G$180="moeda")+(Inputs!$G$5:$G$180="acoes"))*Inputs!$B$1+((Inputs!$G$5:$G$180&lt;&gt;"moeda")*(Inputs!$G$5:$G$180&lt;&gt;"acoes")))*INDEX(Inputs!$K$5:$AJ$180,0,MATCH(AA$2,Inputs!$K$4:$AJ$4,0)))+SUMPRODUCT((Inputs!$E$5:$E$180=$B13)*Inputs!$F$5:$F$180*(((Inputs!$G$5:$G$180="moeda")+(Inputs!$G$5:$G$180="acoes"))*Inputs!$B$1+((Inputs!$G$5:$G$180&lt;&gt;"moeda")*(Inputs!$G$5:$G$180&lt;&gt;"acoes")))*INDEX(Inputs!$K$5:$AJ$180,0,MATCH(AA$2,Inputs!$K$4:$AJ$4,0)))))</f>
        <v>-259.01</v>
      </c>
      <c r="AB13" s="3">
        <f>SUM(X13:AA13)</f>
        <v>-513.055</v>
      </c>
      <c r="AC13" s="6">
        <f>IF(ISNA(MATCH(AC$2,Inputs!$K$4:$AJ$4,0)),NA(),IF(SUMPRODUCT((Inputs!$A$5:$A$180=$B13)*ISNUMBER(INDEX(Inputs!$K$5:$AJ$180,0,MATCH(AC$2,Inputs!$K$4:$AJ$4,0))))+SUMPRODUCT((Inputs!$C$5:$C$180=$B13)*ISNUMBER(INDEX(Inputs!$K$5:$AJ$180,0,MATCH(AC$2,Inputs!$K$4:$AJ$4,0))))+SUMPRODUCT((Inputs!$E$5:$E$180=$B13)*ISNUMBER(INDEX(Inputs!$K$5:$AJ$180,0,MATCH(AC$2,Inputs!$K$4:$AJ$4,0))))=0,NA(),SUMPRODUCT((Inputs!$A$5:$A$180=$B13)*Inputs!$B$5:$B$180*(((Inputs!$G$5:$G$180="moeda")+(Inputs!$G$5:$G$180="acoes"))*Inputs!$B$1+((Inputs!$G$5:$G$180&lt;&gt;"moeda")*(Inputs!$G$5:$G$180&lt;&gt;"acoes")))*INDEX(Inputs!$K$5:$AJ$180,0,MATCH(AC$2,Inputs!$K$4:$AJ$4,0)))+SUMPRODUCT((Inputs!$C$5:$C$180=$B13)*Inputs!$D$5:$D$180*(((Inputs!$G$5:$G$180="moeda")+(Inputs!$G$5:$G$180="acoes"))*Inputs!$B$1+((Inputs!$G$5:$G$180&lt;&gt;"moeda")*(Inputs!$G$5:$G$180&lt;&gt;"acoes")))*INDEX(Inputs!$K$5:$AJ$180,0,MATCH(AC$2,Inputs!$K$4:$AJ$4,0)))+SUMPRODUCT((Inputs!$E$5:$E$180=$B13)*Inputs!$F$5:$F$180*(((Inputs!$G$5:$G$180="moeda")+(Inputs!$G$5:$G$180="acoes"))*Inputs!$B$1+((Inputs!$G$5:$G$180&lt;&gt;"moeda")*(Inputs!$G$5:$G$180&lt;&gt;"acoes")))*INDEX(Inputs!$K$5:$AJ$180,0,MATCH(AC$2,Inputs!$K$4:$AJ$4,0)))))</f>
        <v>-0.391</v>
      </c>
      <c r="AD13" s="6">
        <f>IF(ISNA(MATCH(AD$2,Inputs!$K$4:$AJ$4,0)),NA(),IF(SUMPRODUCT((Inputs!$A$5:$A$180=$B13)*ISNUMBER(INDEX(Inputs!$K$5:$AJ$180,0,MATCH(AD$2,Inputs!$K$4:$AJ$4,0))))+SUMPRODUCT((Inputs!$C$5:$C$180=$B13)*ISNUMBER(INDEX(Inputs!$K$5:$AJ$180,0,MATCH(AD$2,Inputs!$K$4:$AJ$4,0))))+SUMPRODUCT((Inputs!$E$5:$E$180=$B13)*ISNUMBER(INDEX(Inputs!$K$5:$AJ$180,0,MATCH(AD$2,Inputs!$K$4:$AJ$4,0))))=0,NA(),SUMPRODUCT((Inputs!$A$5:$A$180=$B13)*Inputs!$B$5:$B$180*(((Inputs!$G$5:$G$180="moeda")+(Inputs!$G$5:$G$180="acoes"))*Inputs!$B$1+((Inputs!$G$5:$G$180&lt;&gt;"moeda")*(Inputs!$G$5:$G$180&lt;&gt;"acoes")))*INDEX(Inputs!$K$5:$AJ$180,0,MATCH(AD$2,Inputs!$K$4:$AJ$4,0)))+SUMPRODUCT((Inputs!$C$5:$C$180=$B13)*Inputs!$D$5:$D$180*(((Inputs!$G$5:$G$180="moeda")+(Inputs!$G$5:$G$180="acoes"))*Inputs!$B$1+((Inputs!$G$5:$G$180&lt;&gt;"moeda")*(Inputs!$G$5:$G$180&lt;&gt;"acoes")))*INDEX(Inputs!$K$5:$AJ$180,0,MATCH(AD$2,Inputs!$K$4:$AJ$4,0)))+SUMPRODUCT((Inputs!$E$5:$E$180=$B13)*Inputs!$F$5:$F$180*(((Inputs!$G$5:$G$180="moeda")+(Inputs!$G$5:$G$180="acoes"))*Inputs!$B$1+((Inputs!$G$5:$G$180&lt;&gt;"moeda")*(Inputs!$G$5:$G$180&lt;&gt;"acoes")))*INDEX(Inputs!$K$5:$AJ$180,0,MATCH(AD$2,Inputs!$K$4:$AJ$4,0)))))</f>
        <v>-222.897</v>
      </c>
      <c r="AE13" s="6" t="e">
        <f>IF(ISNA(MATCH(AE$2,Inputs!$K$4:$AJ$4,0)),NA(),IF(SUMPRODUCT((Inputs!$A$5:$A$180=$B13)*ISNUMBER(INDEX(Inputs!$K$5:$AJ$180,0,MATCH(AE$2,Inputs!$K$4:$AJ$4,0))))+SUMPRODUCT((Inputs!$C$5:$C$180=$B13)*ISNUMBER(INDEX(Inputs!$K$5:$AJ$180,0,MATCH(AE$2,Inputs!$K$4:$AJ$4,0))))+SUMPRODUCT((Inputs!$E$5:$E$180=$B13)*ISNUMBER(INDEX(Inputs!$K$5:$AJ$180,0,MATCH(AE$2,Inputs!$K$4:$AJ$4,0))))=0,NA(),SUMPRODUCT((Inputs!$A$5:$A$180=$B13)*Inputs!$B$5:$B$180*(((Inputs!$G$5:$G$180="moeda")+(Inputs!$G$5:$G$180="acoes"))*Inputs!$B$1+((Inputs!$G$5:$G$180&lt;&gt;"moeda")*(Inputs!$G$5:$G$180&lt;&gt;"acoes")))*INDEX(Inputs!$K$5:$AJ$180,0,MATCH(AE$2,Inputs!$K$4:$AJ$4,0)))+SUMPRODUCT((Inputs!$C$5:$C$180=$B13)*Inputs!$D$5:$D$180*(((Inputs!$G$5:$G$180="moeda")+(Inputs!$G$5:$G$180="acoes"))*Inputs!$B$1+((Inputs!$G$5:$G$180&lt;&gt;"moeda")*(Inputs!$G$5:$G$180&lt;&gt;"acoes")))*INDEX(Inputs!$K$5:$AJ$180,0,MATCH(AE$2,Inputs!$K$4:$AJ$4,0)))+SUMPRODUCT((Inputs!$E$5:$E$180=$B13)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3" s="6" t="e">
        <f>IF(ISNA(MATCH(AF$2,Inputs!$K$4:$AJ$4,0)),NA(),IF(SUMPRODUCT((Inputs!$A$5:$A$180=$B13)*ISNUMBER(INDEX(Inputs!$K$5:$AJ$180,0,MATCH(AF$2,Inputs!$K$4:$AJ$4,0))))+SUMPRODUCT((Inputs!$C$5:$C$180=$B13)*ISNUMBER(INDEX(Inputs!$K$5:$AJ$180,0,MATCH(AF$2,Inputs!$K$4:$AJ$4,0))))+SUMPRODUCT((Inputs!$E$5:$E$180=$B13)*ISNUMBER(INDEX(Inputs!$K$5:$AJ$180,0,MATCH(AF$2,Inputs!$K$4:$AJ$4,0))))=0,NA(),SUMPRODUCT((Inputs!$A$5:$A$180=$B13)*Inputs!$B$5:$B$180*(((Inputs!$G$5:$G$180="moeda")+(Inputs!$G$5:$G$180="acoes"))*Inputs!$B$1+((Inputs!$G$5:$G$180&lt;&gt;"moeda")*(Inputs!$G$5:$G$180&lt;&gt;"acoes")))*INDEX(Inputs!$K$5:$AJ$180,0,MATCH(AF$2,Inputs!$K$4:$AJ$4,0)))+SUMPRODUCT((Inputs!$C$5:$C$180=$B13)*Inputs!$D$5:$D$180*(((Inputs!$G$5:$G$180="moeda")+(Inputs!$G$5:$G$180="acoes"))*Inputs!$B$1+((Inputs!$G$5:$G$180&lt;&gt;"moeda")*(Inputs!$G$5:$G$180&lt;&gt;"acoes")))*INDEX(Inputs!$K$5:$AJ$180,0,MATCH(AF$2,Inputs!$K$4:$AJ$4,0)))+SUMPRODUCT((Inputs!$E$5:$E$180=$B13)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$180=$B13)*ISNUMBER(INDEX(Inputs!$K$5:$AJ$180,0,MATCH(AH$2,Inputs!$K$4:$AJ$4,0))))+SUMPRODUCT((Inputs!$C$5:$C$180=$B13)*ISNUMBER(INDEX(Inputs!$K$5:$AJ$180,0,MATCH(AH$2,Inputs!$K$4:$AJ$4,0))))+SUMPRODUCT((Inputs!$E$5:$E$180=$B13)*ISNUMBER(INDEX(Inputs!$K$5:$AJ$180,0,MATCH(AH$2,Inputs!$K$4:$AJ$4,0))))=0,NA(),SUMPRODUCT((Inputs!$A$5:$A$180=$B13)*Inputs!$B$5:$B$180*(((Inputs!$G$5:$G$180="moeda")+(Inputs!$G$5:$G$180="acoes"))*Inputs!$B$1+((Inputs!$G$5:$G$180&lt;&gt;"moeda")*(Inputs!$G$5:$G$180&lt;&gt;"acoes")))*INDEX(Inputs!$K$5:$AJ$180,0,MATCH(AH$2,Inputs!$K$4:$AJ$4,0)))+SUMPRODUCT((Inputs!$C$5:$C$180=$B13)*Inputs!$D$5:$D$180*(((Inputs!$G$5:$G$180="moeda")+(Inputs!$G$5:$G$180="acoes"))*Inputs!$B$1+((Inputs!$G$5:$G$180&lt;&gt;"moeda")*(Inputs!$G$5:$G$180&lt;&gt;"acoes")))*INDEX(Inputs!$K$5:$AJ$180,0,MATCH(AH$2,Inputs!$K$4:$AJ$4,0)))+SUMPRODUCT((Inputs!$E$5:$E$180=$B13)*Inputs!$F$5:$F$180*(((Inputs!$G$5:$G$180="moeda")+(Inputs!$G$5:$G$180="acoes"))*Inputs!$B$1+((Inputs!$G$5:$G$180&lt;&gt;"moeda")*(Inputs!$G$5:$G$180&lt;&gt;"acoes")))*INDEX(Inputs!$K$5:$AJ$180,0,MATCH(AH$2,Inputs!$K$4:$AJ$4,0)))))</f>
        <v>-31.1765432</v>
      </c>
      <c r="AI13" s="6">
        <f>IF(ISNA(MATCH(AI$2,Inputs!$K$4:$AJ$4,0)),NA(),IF(SUMPRODUCT((Inputs!$A$5:$A$180=$B13)*ISNUMBER(INDEX(Inputs!$K$5:$AJ$180,0,MATCH(AI$2,Inputs!$K$4:$AJ$4,0))))+SUMPRODUCT((Inputs!$C$5:$C$180=$B13)*ISNUMBER(INDEX(Inputs!$K$5:$AJ$180,0,MATCH(AI$2,Inputs!$K$4:$AJ$4,0))))+SUMPRODUCT((Inputs!$E$5:$E$180=$B13)*ISNUMBER(INDEX(Inputs!$K$5:$AJ$180,0,MATCH(AI$2,Inputs!$K$4:$AJ$4,0))))=0,NA(),SUMPRODUCT((Inputs!$A$5:$A$180=$B13)*Inputs!$B$5:$B$180*(((Inputs!$G$5:$G$180="moeda")+(Inputs!$G$5:$G$180="acoes"))*Inputs!$B$1+((Inputs!$G$5:$G$180&lt;&gt;"moeda")*(Inputs!$G$5:$G$180&lt;&gt;"acoes")))*INDEX(Inputs!$K$5:$AJ$180,0,MATCH(AI$2,Inputs!$K$4:$AJ$4,0)))+SUMPRODUCT((Inputs!$C$5:$C$180=$B13)*Inputs!$D$5:$D$180*(((Inputs!$G$5:$G$180="moeda")+(Inputs!$G$5:$G$180="acoes"))*Inputs!$B$1+((Inputs!$G$5:$G$180&lt;&gt;"moeda")*(Inputs!$G$5:$G$180&lt;&gt;"acoes")))*INDEX(Inputs!$K$5:$AJ$180,0,MATCH(AI$2,Inputs!$K$4:$AJ$4,0)))+SUMPRODUCT((Inputs!$E$5:$E$180=$B13)*Inputs!$F$5:$F$180*(((Inputs!$G$5:$G$180="moeda")+(Inputs!$G$5:$G$180="acoes"))*Inputs!$B$1+((Inputs!$G$5:$G$180&lt;&gt;"moeda")*(Inputs!$G$5:$G$180&lt;&gt;"acoes")))*INDEX(Inputs!$K$5:$AJ$180,0,MATCH(AI$2,Inputs!$K$4:$AJ$4,0)))))</f>
        <v>0</v>
      </c>
      <c r="AJ13" s="6">
        <f>IF(ISNA(MATCH(AJ$2,Inputs!$K$4:$AJ$4,0)),NA(),IF(SUMPRODUCT((Inputs!$A$5:$A$180=$B13)*ISNUMBER(INDEX(Inputs!$K$5:$AJ$180,0,MATCH(AJ$2,Inputs!$K$4:$AJ$4,0))))+SUMPRODUCT((Inputs!$C$5:$C$180=$B13)*ISNUMBER(INDEX(Inputs!$K$5:$AJ$180,0,MATCH(AJ$2,Inputs!$K$4:$AJ$4,0))))+SUMPRODUCT((Inputs!$E$5:$E$180=$B13)*ISNUMBER(INDEX(Inputs!$K$5:$AJ$180,0,MATCH(AJ$2,Inputs!$K$4:$AJ$4,0))))=0,NA(),SUMPRODUCT((Inputs!$A$5:$A$180=$B13)*Inputs!$B$5:$B$180*(((Inputs!$G$5:$G$180="moeda")+(Inputs!$G$5:$G$180="acoes"))*Inputs!$B$1+((Inputs!$G$5:$G$180&lt;&gt;"moeda")*(Inputs!$G$5:$G$180&lt;&gt;"acoes")))*INDEX(Inputs!$K$5:$AJ$180,0,MATCH(AJ$2,Inputs!$K$4:$AJ$4,0)))+SUMPRODUCT((Inputs!$C$5:$C$180=$B13)*Inputs!$D$5:$D$180*(((Inputs!$G$5:$G$180="moeda")+(Inputs!$G$5:$G$180="acoes"))*Inputs!$B$1+((Inputs!$G$5:$G$180&lt;&gt;"moeda")*(Inputs!$G$5:$G$180&lt;&gt;"acoes")))*INDEX(Inputs!$K$5:$AJ$180,0,MATCH(AJ$2,Inputs!$K$4:$AJ$4,0)))+SUMPRODUCT((Inputs!$E$5:$E$180=$B13)*Inputs!$F$5:$F$180*(((Inputs!$G$5:$G$180="moeda")+(Inputs!$G$5:$G$180="acoes"))*Inputs!$B$1+((Inputs!$G$5:$G$180&lt;&gt;"moeda")*(Inputs!$G$5:$G$180&lt;&gt;"acoes")))*INDEX(Inputs!$K$5:$AJ$180,0,MATCH(AJ$2,Inputs!$K$4:$AJ$4,0)))))</f>
        <v>0</v>
      </c>
      <c r="AK13" s="6">
        <f>IF(ISNA(MATCH(AK$2,Inputs!$K$4:$AJ$4,0)),NA(),IF(SUMPRODUCT((Inputs!$A$5:$A$180=$B13)*ISNUMBER(INDEX(Inputs!$K$5:$AJ$180,0,MATCH(AK$2,Inputs!$K$4:$AJ$4,0))))+SUMPRODUCT((Inputs!$C$5:$C$180=$B13)*ISNUMBER(INDEX(Inputs!$K$5:$AJ$180,0,MATCH(AK$2,Inputs!$K$4:$AJ$4,0))))+SUMPRODUCT((Inputs!$E$5:$E$180=$B13)*ISNUMBER(INDEX(Inputs!$K$5:$AJ$180,0,MATCH(AK$2,Inputs!$K$4:$AJ$4,0))))=0,NA(),SUMPRODUCT((Inputs!$A$5:$A$180=$B13)*Inputs!$B$5:$B$180*(((Inputs!$G$5:$G$180="moeda")+(Inputs!$G$5:$G$180="acoes"))*Inputs!$B$1+((Inputs!$G$5:$G$180&lt;&gt;"moeda")*(Inputs!$G$5:$G$180&lt;&gt;"acoes")))*INDEX(Inputs!$K$5:$AJ$180,0,MATCH(AK$2,Inputs!$K$4:$AJ$4,0)))+SUMPRODUCT((Inputs!$C$5:$C$180=$B13)*Inputs!$D$5:$D$180*(((Inputs!$G$5:$G$180="moeda")+(Inputs!$G$5:$G$180="acoes"))*Inputs!$B$1+((Inputs!$G$5:$G$180&lt;&gt;"moeda")*(Inputs!$G$5:$G$180&lt;&gt;"acoes")))*INDEX(Inputs!$K$5:$AJ$180,0,MATCH(AK$2,Inputs!$K$4:$AJ$4,0)))+SUMPRODUCT((Inputs!$E$5:$E$180=$B13)*Inputs!$F$5:$F$180*(((Inputs!$G$5:$G$180="moeda")+(Inputs!$G$5:$G$180="acoes"))*Inputs!$B$1+((Inputs!$G$5:$G$180&lt;&gt;"moeda")*(Inputs!$G$5:$G$180&lt;&gt;"acoes")))*INDEX(Inputs!$K$5:$AJ$180,0,MATCH(AK$2,Inputs!$K$4:$AJ$4,0)))))</f>
        <v>-197.75241252</v>
      </c>
      <c r="AL13" s="3">
        <f>SUM(AH13:AK13)</f>
        <v>-228.92895572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$180=$B15)*ISNUMBER(INDEX(Inputs!$K$5:$AJ$180,0,MATCH(D$2,Inputs!$K$4:$AJ$4,0))))+SUMPRODUCT((Inputs!$C$5:$C$180=$B15)*ISNUMBER(INDEX(Inputs!$K$5:$AJ$180,0,MATCH(D$2,Inputs!$K$4:$AJ$4,0))))+SUMPRODUCT((Inputs!$E$5:$E$180=$B15)*ISNUMBER(INDEX(Inputs!$K$5:$AJ$180,0,MATCH(D$2,Inputs!$K$4:$AJ$4,0))))=0,NA(),SUMPRODUCT((Inputs!$A$5:$A$180=$B15)*Inputs!$B$5:$B$180*(((Inputs!$G$5:$G$180="moeda")+(Inputs!$G$5:$G$180="acoes"))*Inputs!$B$1+((Inputs!$G$5:$G$180&lt;&gt;"moeda")*(Inputs!$G$5:$G$180&lt;&gt;"acoes")))*INDEX(Inputs!$K$5:$AJ$180,0,MATCH(D$2,Inputs!$K$4:$AJ$4,0)))+SUMPRODUCT((Inputs!$C$5:$C$180=$B15)*Inputs!$D$5:$D$180*(((Inputs!$G$5:$G$180="moeda")+(Inputs!$G$5:$G$180="acoes"))*Inputs!$B$1+((Inputs!$G$5:$G$180&lt;&gt;"moeda")*(Inputs!$G$5:$G$180&lt;&gt;"acoes")))*INDEX(Inputs!$K$5:$AJ$180,0,MATCH(D$2,Inputs!$K$4:$AJ$4,0)))+SUMPRODUCT((Inputs!$E$5:$E$180=$B15)*Inputs!$F$5:$F$180*(((Inputs!$G$5:$G$180="moeda")+(Inputs!$G$5:$G$180="acoes"))*Inputs!$B$1+((Inputs!$G$5:$G$180&lt;&gt;"moeda")*(Inputs!$G$5:$G$180&lt;&gt;"acoes")))*INDEX(Inputs!$K$5:$AJ$180,0,MATCH(D$2,Inputs!$K$4:$AJ$4,0)))))</f>
        <v>1097.37400565</v>
      </c>
      <c r="E15" s="6">
        <f>IF(ISNA(MATCH(E$2,Inputs!$K$4:$AJ$4,0)),NA(),IF(SUMPRODUCT((Inputs!$A$5:$A$180=$B15)*ISNUMBER(INDEX(Inputs!$K$5:$AJ$180,0,MATCH(E$2,Inputs!$K$4:$AJ$4,0))))+SUMPRODUCT((Inputs!$C$5:$C$180=$B15)*ISNUMBER(INDEX(Inputs!$K$5:$AJ$180,0,MATCH(E$2,Inputs!$K$4:$AJ$4,0))))+SUMPRODUCT((Inputs!$E$5:$E$180=$B15)*ISNUMBER(INDEX(Inputs!$K$5:$AJ$180,0,MATCH(E$2,Inputs!$K$4:$AJ$4,0))))=0,NA(),SUMPRODUCT((Inputs!$A$5:$A$180=$B15)*Inputs!$B$5:$B$180*(((Inputs!$G$5:$G$180="moeda")+(Inputs!$G$5:$G$180="acoes"))*Inputs!$B$1+((Inputs!$G$5:$G$180&lt;&gt;"moeda")*(Inputs!$G$5:$G$180&lt;&gt;"acoes")))*INDEX(Inputs!$K$5:$AJ$180,0,MATCH(E$2,Inputs!$K$4:$AJ$4,0)))+SUMPRODUCT((Inputs!$C$5:$C$180=$B15)*Inputs!$D$5:$D$180*(((Inputs!$G$5:$G$180="moeda")+(Inputs!$G$5:$G$180="acoes"))*Inputs!$B$1+((Inputs!$G$5:$G$180&lt;&gt;"moeda")*(Inputs!$G$5:$G$180&lt;&gt;"acoes")))*INDEX(Inputs!$K$5:$AJ$180,0,MATCH(E$2,Inputs!$K$4:$AJ$4,0)))+SUMPRODUCT((Inputs!$E$5:$E$180=$B15)*Inputs!$F$5:$F$180*(((Inputs!$G$5:$G$180="moeda")+(Inputs!$G$5:$G$180="acoes"))*Inputs!$B$1+((Inputs!$G$5:$G$180&lt;&gt;"moeda")*(Inputs!$G$5:$G$180&lt;&gt;"acoes")))*INDEX(Inputs!$K$5:$AJ$180,0,MATCH(E$2,Inputs!$K$4:$AJ$4,0)))))</f>
        <v>672.07445116</v>
      </c>
      <c r="F15" s="6">
        <f>IF(ISNA(MATCH(F$2,Inputs!$K$4:$AJ$4,0)),NA(),IF(SUMPRODUCT((Inputs!$A$5:$A$180=$B15)*ISNUMBER(INDEX(Inputs!$K$5:$AJ$180,0,MATCH(F$2,Inputs!$K$4:$AJ$4,0))))+SUMPRODUCT((Inputs!$C$5:$C$180=$B15)*ISNUMBER(INDEX(Inputs!$K$5:$AJ$180,0,MATCH(F$2,Inputs!$K$4:$AJ$4,0))))+SUMPRODUCT((Inputs!$E$5:$E$180=$B15)*ISNUMBER(INDEX(Inputs!$K$5:$AJ$180,0,MATCH(F$2,Inputs!$K$4:$AJ$4,0))))=0,NA(),SUMPRODUCT((Inputs!$A$5:$A$180=$B15)*Inputs!$B$5:$B$180*(((Inputs!$G$5:$G$180="moeda")+(Inputs!$G$5:$G$180="acoes"))*Inputs!$B$1+((Inputs!$G$5:$G$180&lt;&gt;"moeda")*(Inputs!$G$5:$G$180&lt;&gt;"acoes")))*INDEX(Inputs!$K$5:$AJ$180,0,MATCH(F$2,Inputs!$K$4:$AJ$4,0)))+SUMPRODUCT((Inputs!$C$5:$C$180=$B15)*Inputs!$D$5:$D$180*(((Inputs!$G$5:$G$180="moeda")+(Inputs!$G$5:$G$180="acoes"))*Inputs!$B$1+((Inputs!$G$5:$G$180&lt;&gt;"moeda")*(Inputs!$G$5:$G$180&lt;&gt;"acoes")))*INDEX(Inputs!$K$5:$AJ$180,0,MATCH(F$2,Inputs!$K$4:$AJ$4,0)))+SUMPRODUCT((Inputs!$E$5:$E$180=$B15)*Inputs!$F$5:$F$180*(((Inputs!$G$5:$G$180="moeda")+(Inputs!$G$5:$G$180="acoes"))*Inputs!$B$1+((Inputs!$G$5:$G$180&lt;&gt;"moeda")*(Inputs!$G$5:$G$180&lt;&gt;"acoes")))*INDEX(Inputs!$K$5:$AJ$180,0,MATCH(F$2,Inputs!$K$4:$AJ$4,0)))))</f>
        <v>1028.20945984</v>
      </c>
      <c r="G15" s="6">
        <f>IF(ISNA(MATCH(G$2,Inputs!$K$4:$AJ$4,0)),NA(),IF(SUMPRODUCT((Inputs!$A$5:$A$180=$B15)*ISNUMBER(INDEX(Inputs!$K$5:$AJ$180,0,MATCH(G$2,Inputs!$K$4:$AJ$4,0))))+SUMPRODUCT((Inputs!$C$5:$C$180=$B15)*ISNUMBER(INDEX(Inputs!$K$5:$AJ$180,0,MATCH(G$2,Inputs!$K$4:$AJ$4,0))))+SUMPRODUCT((Inputs!$E$5:$E$180=$B15)*ISNUMBER(INDEX(Inputs!$K$5:$AJ$180,0,MATCH(G$2,Inputs!$K$4:$AJ$4,0))))=0,NA(),SUMPRODUCT((Inputs!$A$5:$A$180=$B15)*Inputs!$B$5:$B$180*(((Inputs!$G$5:$G$180="moeda")+(Inputs!$G$5:$G$180="acoes"))*Inputs!$B$1+((Inputs!$G$5:$G$180&lt;&gt;"moeda")*(Inputs!$G$5:$G$180&lt;&gt;"acoes")))*INDEX(Inputs!$K$5:$AJ$180,0,MATCH(G$2,Inputs!$K$4:$AJ$4,0)))+SUMPRODUCT((Inputs!$C$5:$C$180=$B15)*Inputs!$D$5:$D$180*(((Inputs!$G$5:$G$180="moeda")+(Inputs!$G$5:$G$180="acoes"))*Inputs!$B$1+((Inputs!$G$5:$G$180&lt;&gt;"moeda")*(Inputs!$G$5:$G$180&lt;&gt;"acoes")))*INDEX(Inputs!$K$5:$AJ$180,0,MATCH(G$2,Inputs!$K$4:$AJ$4,0)))+SUMPRODUCT((Inputs!$E$5:$E$180=$B15)*Inputs!$F$5:$F$180*(((Inputs!$G$5:$G$180="moeda")+(Inputs!$G$5:$G$180="acoes"))*Inputs!$B$1+((Inputs!$G$5:$G$180&lt;&gt;"moeda")*(Inputs!$G$5:$G$180&lt;&gt;"acoes")))*INDEX(Inputs!$K$5:$AJ$180,0,MATCH(G$2,Inputs!$K$4:$AJ$4,0)))))</f>
        <v>861.42660329</v>
      </c>
      <c r="H15" s="3">
        <f>G15</f>
        <v>861.42660329</v>
      </c>
      <c r="I15" s="6">
        <f>IF(ISNA(MATCH(I$2,Inputs!$K$4:$AJ$4,0)),NA(),IF(SUMPRODUCT((Inputs!$A$5:$A$180=$B15)*ISNUMBER(INDEX(Inputs!$K$5:$AJ$180,0,MATCH(I$2,Inputs!$K$4:$AJ$4,0))))+SUMPRODUCT((Inputs!$C$5:$C$180=$B15)*ISNUMBER(INDEX(Inputs!$K$5:$AJ$180,0,MATCH(I$2,Inputs!$K$4:$AJ$4,0))))+SUMPRODUCT((Inputs!$E$5:$E$180=$B15)*ISNUMBER(INDEX(Inputs!$K$5:$AJ$180,0,MATCH(I$2,Inputs!$K$4:$AJ$4,0))))=0,NA(),SUMPRODUCT((Inputs!$A$5:$A$180=$B15)*Inputs!$B$5:$B$180*(((Inputs!$G$5:$G$180="moeda")+(Inputs!$G$5:$G$180="acoes"))*Inputs!$B$1+((Inputs!$G$5:$G$180&lt;&gt;"moeda")*(Inputs!$G$5:$G$180&lt;&gt;"acoes")))*INDEX(Inputs!$K$5:$AJ$180,0,MATCH(I$2,Inputs!$K$4:$AJ$4,0)))+SUMPRODUCT((Inputs!$C$5:$C$180=$B15)*Inputs!$D$5:$D$180*(((Inputs!$G$5:$G$180="moeda")+(Inputs!$G$5:$G$180="acoes"))*Inputs!$B$1+((Inputs!$G$5:$G$180&lt;&gt;"moeda")*(Inputs!$G$5:$G$180&lt;&gt;"acoes")))*INDEX(Inputs!$K$5:$AJ$180,0,MATCH(I$2,Inputs!$K$4:$AJ$4,0)))+SUMPRODUCT((Inputs!$E$5:$E$180=$B15)*Inputs!$F$5:$F$180*(((Inputs!$G$5:$G$180="moeda")+(Inputs!$G$5:$G$180="acoes"))*Inputs!$B$1+((Inputs!$G$5:$G$180&lt;&gt;"moeda")*(Inputs!$G$5:$G$180&lt;&gt;"acoes")))*INDEX(Inputs!$K$5:$AJ$180,0,MATCH(I$2,Inputs!$K$4:$AJ$4,0)))))</f>
        <v>564.73251232</v>
      </c>
      <c r="J15" s="6">
        <f>IF(ISNA(MATCH(J$2,Inputs!$K$4:$AJ$4,0)),NA(),IF(SUMPRODUCT((Inputs!$A$5:$A$180=$B15)*ISNUMBER(INDEX(Inputs!$K$5:$AJ$180,0,MATCH(J$2,Inputs!$K$4:$AJ$4,0))))+SUMPRODUCT((Inputs!$C$5:$C$180=$B15)*ISNUMBER(INDEX(Inputs!$K$5:$AJ$180,0,MATCH(J$2,Inputs!$K$4:$AJ$4,0))))+SUMPRODUCT((Inputs!$E$5:$E$180=$B15)*ISNUMBER(INDEX(Inputs!$K$5:$AJ$180,0,MATCH(J$2,Inputs!$K$4:$AJ$4,0))))=0,NA(),SUMPRODUCT((Inputs!$A$5:$A$180=$B15)*Inputs!$B$5:$B$180*(((Inputs!$G$5:$G$180="moeda")+(Inputs!$G$5:$G$180="acoes"))*Inputs!$B$1+((Inputs!$G$5:$G$180&lt;&gt;"moeda")*(Inputs!$G$5:$G$180&lt;&gt;"acoes")))*INDEX(Inputs!$K$5:$AJ$180,0,MATCH(J$2,Inputs!$K$4:$AJ$4,0)))+SUMPRODUCT((Inputs!$C$5:$C$180=$B15)*Inputs!$D$5:$D$180*(((Inputs!$G$5:$G$180="moeda")+(Inputs!$G$5:$G$180="acoes"))*Inputs!$B$1+((Inputs!$G$5:$G$180&lt;&gt;"moeda")*(Inputs!$G$5:$G$180&lt;&gt;"acoes")))*INDEX(Inputs!$K$5:$AJ$180,0,MATCH(J$2,Inputs!$K$4:$AJ$4,0)))+SUMPRODUCT((Inputs!$E$5:$E$180=$B15)*Inputs!$F$5:$F$180*(((Inputs!$G$5:$G$180="moeda")+(Inputs!$G$5:$G$180="acoes"))*Inputs!$B$1+((Inputs!$G$5:$G$180&lt;&gt;"moeda")*(Inputs!$G$5:$G$180&lt;&gt;"acoes")))*INDEX(Inputs!$K$5:$AJ$180,0,MATCH(J$2,Inputs!$K$4:$AJ$4,0)))))</f>
        <v>779.92863828</v>
      </c>
      <c r="K15" s="6">
        <f>IF(ISNA(MATCH(K$2,Inputs!$K$4:$AJ$4,0)),NA(),IF(SUMPRODUCT((Inputs!$A$5:$A$180=$B15)*ISNUMBER(INDEX(Inputs!$K$5:$AJ$180,0,MATCH(K$2,Inputs!$K$4:$AJ$4,0))))+SUMPRODUCT((Inputs!$C$5:$C$180=$B15)*ISNUMBER(INDEX(Inputs!$K$5:$AJ$180,0,MATCH(K$2,Inputs!$K$4:$AJ$4,0))))+SUMPRODUCT((Inputs!$E$5:$E$180=$B15)*ISNUMBER(INDEX(Inputs!$K$5:$AJ$180,0,MATCH(K$2,Inputs!$K$4:$AJ$4,0))))=0,NA(),SUMPRODUCT((Inputs!$A$5:$A$180=$B15)*Inputs!$B$5:$B$180*(((Inputs!$G$5:$G$180="moeda")+(Inputs!$G$5:$G$180="acoes"))*Inputs!$B$1+((Inputs!$G$5:$G$180&lt;&gt;"moeda")*(Inputs!$G$5:$G$180&lt;&gt;"acoes")))*INDEX(Inputs!$K$5:$AJ$180,0,MATCH(K$2,Inputs!$K$4:$AJ$4,0)))+SUMPRODUCT((Inputs!$C$5:$C$180=$B15)*Inputs!$D$5:$D$180*(((Inputs!$G$5:$G$180="moeda")+(Inputs!$G$5:$G$180="acoes"))*Inputs!$B$1+((Inputs!$G$5:$G$180&lt;&gt;"moeda")*(Inputs!$G$5:$G$180&lt;&gt;"acoes")))*INDEX(Inputs!$K$5:$AJ$180,0,MATCH(K$2,Inputs!$K$4:$AJ$4,0)))+SUMPRODUCT((Inputs!$E$5:$E$180=$B15)*Inputs!$F$5:$F$180*(((Inputs!$G$5:$G$180="moeda")+(Inputs!$G$5:$G$180="acoes"))*Inputs!$B$1+((Inputs!$G$5:$G$180&lt;&gt;"moeda")*(Inputs!$G$5:$G$180&lt;&gt;"acoes")))*INDEX(Inputs!$K$5:$AJ$180,0,MATCH(K$2,Inputs!$K$4:$AJ$4,0)))))</f>
        <v>894.09475116</v>
      </c>
      <c r="L15" s="6">
        <f>IF(ISNA(MATCH(L$2,Inputs!$K$4:$AJ$4,0)),NA(),IF(SUMPRODUCT((Inputs!$A$5:$A$180=$B15)*ISNUMBER(INDEX(Inputs!$K$5:$AJ$180,0,MATCH(L$2,Inputs!$K$4:$AJ$4,0))))+SUMPRODUCT((Inputs!$C$5:$C$180=$B15)*ISNUMBER(INDEX(Inputs!$K$5:$AJ$180,0,MATCH(L$2,Inputs!$K$4:$AJ$4,0))))+SUMPRODUCT((Inputs!$E$5:$E$180=$B15)*ISNUMBER(INDEX(Inputs!$K$5:$AJ$180,0,MATCH(L$2,Inputs!$K$4:$AJ$4,0))))=0,NA(),SUMPRODUCT((Inputs!$A$5:$A$180=$B15)*Inputs!$B$5:$B$180*(((Inputs!$G$5:$G$180="moeda")+(Inputs!$G$5:$G$180="acoes"))*Inputs!$B$1+((Inputs!$G$5:$G$180&lt;&gt;"moeda")*(Inputs!$G$5:$G$180&lt;&gt;"acoes")))*INDEX(Inputs!$K$5:$AJ$180,0,MATCH(L$2,Inputs!$K$4:$AJ$4,0)))+SUMPRODUCT((Inputs!$C$5:$C$180=$B15)*Inputs!$D$5:$D$180*(((Inputs!$G$5:$G$180="moeda")+(Inputs!$G$5:$G$180="acoes"))*Inputs!$B$1+((Inputs!$G$5:$G$180&lt;&gt;"moeda")*(Inputs!$G$5:$G$180&lt;&gt;"acoes")))*INDEX(Inputs!$K$5:$AJ$180,0,MATCH(L$2,Inputs!$K$4:$AJ$4,0)))+SUMPRODUCT((Inputs!$E$5:$E$180=$B15)*Inputs!$F$5:$F$180*(((Inputs!$G$5:$G$180="moeda")+(Inputs!$G$5:$G$180="acoes"))*Inputs!$B$1+((Inputs!$G$5:$G$180&lt;&gt;"moeda")*(Inputs!$G$5:$G$180&lt;&gt;"acoes")))*INDEX(Inputs!$K$5:$AJ$180,0,MATCH(L$2,Inputs!$K$4:$AJ$4,0)))))</f>
        <v>1431.131409</v>
      </c>
      <c r="M15" s="3">
        <f>L15</f>
        <v>1431.131409</v>
      </c>
      <c r="N15" s="6">
        <f>IF(ISNA(MATCH(N$2,Inputs!$K$4:$AJ$4,0)),NA(),IF(SUMPRODUCT((Inputs!$A$5:$A$180=$B15)*ISNUMBER(INDEX(Inputs!$K$5:$AJ$180,0,MATCH(N$2,Inputs!$K$4:$AJ$4,0))))+SUMPRODUCT((Inputs!$C$5:$C$180=$B15)*ISNUMBER(INDEX(Inputs!$K$5:$AJ$180,0,MATCH(N$2,Inputs!$K$4:$AJ$4,0))))+SUMPRODUCT((Inputs!$E$5:$E$180=$B15)*ISNUMBER(INDEX(Inputs!$K$5:$AJ$180,0,MATCH(N$2,Inputs!$K$4:$AJ$4,0))))=0,NA(),SUMPRODUCT((Inputs!$A$5:$A$180=$B15)*Inputs!$B$5:$B$180*(((Inputs!$G$5:$G$180="moeda")+(Inputs!$G$5:$G$180="acoes"))*Inputs!$B$1+((Inputs!$G$5:$G$180&lt;&gt;"moeda")*(Inputs!$G$5:$G$180&lt;&gt;"acoes")))*INDEX(Inputs!$K$5:$AJ$180,0,MATCH(N$2,Inputs!$K$4:$AJ$4,0)))+SUMPRODUCT((Inputs!$C$5:$C$180=$B15)*Inputs!$D$5:$D$180*(((Inputs!$G$5:$G$180="moeda")+(Inputs!$G$5:$G$180="acoes"))*Inputs!$B$1+((Inputs!$G$5:$G$180&lt;&gt;"moeda")*(Inputs!$G$5:$G$180&lt;&gt;"acoes")))*INDEX(Inputs!$K$5:$AJ$180,0,MATCH(N$2,Inputs!$K$4:$AJ$4,0)))+SUMPRODUCT((Inputs!$E$5:$E$180=$B15)*Inputs!$F$5:$F$180*(((Inputs!$G$5:$G$180="moeda")+(Inputs!$G$5:$G$180="acoes"))*Inputs!$B$1+((Inputs!$G$5:$G$180&lt;&gt;"moeda")*(Inputs!$G$5:$G$180&lt;&gt;"acoes")))*INDEX(Inputs!$K$5:$AJ$180,0,MATCH(N$2,Inputs!$K$4:$AJ$4,0)))))</f>
        <v>1399.25993934</v>
      </c>
      <c r="O15" s="6">
        <f>IF(ISNA(MATCH(O$2,Inputs!$K$4:$AJ$4,0)),NA(),IF(SUMPRODUCT((Inputs!$A$5:$A$180=$B15)*ISNUMBER(INDEX(Inputs!$K$5:$AJ$180,0,MATCH(O$2,Inputs!$K$4:$AJ$4,0))))+SUMPRODUCT((Inputs!$C$5:$C$180=$B15)*ISNUMBER(INDEX(Inputs!$K$5:$AJ$180,0,MATCH(O$2,Inputs!$K$4:$AJ$4,0))))+SUMPRODUCT((Inputs!$E$5:$E$180=$B15)*ISNUMBER(INDEX(Inputs!$K$5:$AJ$180,0,MATCH(O$2,Inputs!$K$4:$AJ$4,0))))=0,NA(),SUMPRODUCT((Inputs!$A$5:$A$180=$B15)*Inputs!$B$5:$B$180*(((Inputs!$G$5:$G$180="moeda")+(Inputs!$G$5:$G$180="acoes"))*Inputs!$B$1+((Inputs!$G$5:$G$180&lt;&gt;"moeda")*(Inputs!$G$5:$G$180&lt;&gt;"acoes")))*INDEX(Inputs!$K$5:$AJ$180,0,MATCH(O$2,Inputs!$K$4:$AJ$4,0)))+SUMPRODUCT((Inputs!$C$5:$C$180=$B15)*Inputs!$D$5:$D$180*(((Inputs!$G$5:$G$180="moeda")+(Inputs!$G$5:$G$180="acoes"))*Inputs!$B$1+((Inputs!$G$5:$G$180&lt;&gt;"moeda")*(Inputs!$G$5:$G$180&lt;&gt;"acoes")))*INDEX(Inputs!$K$5:$AJ$180,0,MATCH(O$2,Inputs!$K$4:$AJ$4,0)))+SUMPRODUCT((Inputs!$E$5:$E$180=$B15)*Inputs!$F$5:$F$180*(((Inputs!$G$5:$G$180="moeda")+(Inputs!$G$5:$G$180="acoes"))*Inputs!$B$1+((Inputs!$G$5:$G$180&lt;&gt;"moeda")*(Inputs!$G$5:$G$180&lt;&gt;"acoes")))*INDEX(Inputs!$K$5:$AJ$180,0,MATCH(O$2,Inputs!$K$4:$AJ$4,0)))))</f>
        <v>1028.607</v>
      </c>
      <c r="P15" s="6">
        <f>IF(ISNA(MATCH(P$2,Inputs!$K$4:$AJ$4,0)),NA(),IF(SUMPRODUCT((Inputs!$A$5:$A$180=$B15)*ISNUMBER(INDEX(Inputs!$K$5:$AJ$180,0,MATCH(P$2,Inputs!$K$4:$AJ$4,0))))+SUMPRODUCT((Inputs!$C$5:$C$180=$B15)*ISNUMBER(INDEX(Inputs!$K$5:$AJ$180,0,MATCH(P$2,Inputs!$K$4:$AJ$4,0))))+SUMPRODUCT((Inputs!$E$5:$E$180=$B15)*ISNUMBER(INDEX(Inputs!$K$5:$AJ$180,0,MATCH(P$2,Inputs!$K$4:$AJ$4,0))))=0,NA(),SUMPRODUCT((Inputs!$A$5:$A$180=$B15)*Inputs!$B$5:$B$180*(((Inputs!$G$5:$G$180="moeda")+(Inputs!$G$5:$G$180="acoes"))*Inputs!$B$1+((Inputs!$G$5:$G$180&lt;&gt;"moeda")*(Inputs!$G$5:$G$180&lt;&gt;"acoes")))*INDEX(Inputs!$K$5:$AJ$180,0,MATCH(P$2,Inputs!$K$4:$AJ$4,0)))+SUMPRODUCT((Inputs!$C$5:$C$180=$B15)*Inputs!$D$5:$D$180*(((Inputs!$G$5:$G$180="moeda")+(Inputs!$G$5:$G$180="acoes"))*Inputs!$B$1+((Inputs!$G$5:$G$180&lt;&gt;"moeda")*(Inputs!$G$5:$G$180&lt;&gt;"acoes")))*INDEX(Inputs!$K$5:$AJ$180,0,MATCH(P$2,Inputs!$K$4:$AJ$4,0)))+SUMPRODUCT((Inputs!$E$5:$E$180=$B15)*Inputs!$F$5:$F$180*(((Inputs!$G$5:$G$180="moeda")+(Inputs!$G$5:$G$180="acoes"))*Inputs!$B$1+((Inputs!$G$5:$G$180&lt;&gt;"moeda")*(Inputs!$G$5:$G$180&lt;&gt;"acoes")))*INDEX(Inputs!$K$5:$AJ$180,0,MATCH(P$2,Inputs!$K$4:$AJ$4,0)))))</f>
        <v>1098.312</v>
      </c>
      <c r="Q15" s="6">
        <f>IF(ISNA(MATCH(Q$2,Inputs!$K$4:$AJ$4,0)),NA(),IF(SUMPRODUCT((Inputs!$A$5:$A$180=$B15)*ISNUMBER(INDEX(Inputs!$K$5:$AJ$180,0,MATCH(Q$2,Inputs!$K$4:$AJ$4,0))))+SUMPRODUCT((Inputs!$C$5:$C$180=$B15)*ISNUMBER(INDEX(Inputs!$K$5:$AJ$180,0,MATCH(Q$2,Inputs!$K$4:$AJ$4,0))))+SUMPRODUCT((Inputs!$E$5:$E$180=$B15)*ISNUMBER(INDEX(Inputs!$K$5:$AJ$180,0,MATCH(Q$2,Inputs!$K$4:$AJ$4,0))))=0,NA(),SUMPRODUCT((Inputs!$A$5:$A$180=$B15)*Inputs!$B$5:$B$180*(((Inputs!$G$5:$G$180="moeda")+(Inputs!$G$5:$G$180="acoes"))*Inputs!$B$1+((Inputs!$G$5:$G$180&lt;&gt;"moeda")*(Inputs!$G$5:$G$180&lt;&gt;"acoes")))*INDEX(Inputs!$K$5:$AJ$180,0,MATCH(Q$2,Inputs!$K$4:$AJ$4,0)))+SUMPRODUCT((Inputs!$C$5:$C$180=$B15)*Inputs!$D$5:$D$180*(((Inputs!$G$5:$G$180="moeda")+(Inputs!$G$5:$G$180="acoes"))*Inputs!$B$1+((Inputs!$G$5:$G$180&lt;&gt;"moeda")*(Inputs!$G$5:$G$180&lt;&gt;"acoes")))*INDEX(Inputs!$K$5:$AJ$180,0,MATCH(Q$2,Inputs!$K$4:$AJ$4,0)))+SUMPRODUCT((Inputs!$E$5:$E$180=$B15)*Inputs!$F$5:$F$180*(((Inputs!$G$5:$G$180="moeda")+(Inputs!$G$5:$G$180="acoes"))*Inputs!$B$1+((Inputs!$G$5:$G$180&lt;&gt;"moeda")*(Inputs!$G$5:$G$180&lt;&gt;"acoes")))*INDEX(Inputs!$K$5:$AJ$180,0,MATCH(Q$2,Inputs!$K$4:$AJ$4,0)))))</f>
        <v>1057.615</v>
      </c>
      <c r="R15" s="3">
        <f>Q15</f>
        <v>1057.615</v>
      </c>
      <c r="S15" s="6">
        <f>IF(ISNA(MATCH(S$2,Inputs!$K$4:$AJ$4,0)),NA(),IF(SUMPRODUCT((Inputs!$A$5:$A$180=$B15)*ISNUMBER(INDEX(Inputs!$K$5:$AJ$180,0,MATCH(S$2,Inputs!$K$4:$AJ$4,0))))+SUMPRODUCT((Inputs!$C$5:$C$180=$B15)*ISNUMBER(INDEX(Inputs!$K$5:$AJ$180,0,MATCH(S$2,Inputs!$K$4:$AJ$4,0))))+SUMPRODUCT((Inputs!$E$5:$E$180=$B15)*ISNUMBER(INDEX(Inputs!$K$5:$AJ$180,0,MATCH(S$2,Inputs!$K$4:$AJ$4,0))))=0,NA(),SUMPRODUCT((Inputs!$A$5:$A$180=$B15)*Inputs!$B$5:$B$180*(((Inputs!$G$5:$G$180="moeda")+(Inputs!$G$5:$G$180="acoes"))*Inputs!$B$1+((Inputs!$G$5:$G$180&lt;&gt;"moeda")*(Inputs!$G$5:$G$180&lt;&gt;"acoes")))*INDEX(Inputs!$K$5:$AJ$180,0,MATCH(S$2,Inputs!$K$4:$AJ$4,0)))+SUMPRODUCT((Inputs!$C$5:$C$180=$B15)*Inputs!$D$5:$D$180*(((Inputs!$G$5:$G$180="moeda")+(Inputs!$G$5:$G$180="acoes"))*Inputs!$B$1+((Inputs!$G$5:$G$180&lt;&gt;"moeda")*(Inputs!$G$5:$G$180&lt;&gt;"acoes")))*INDEX(Inputs!$K$5:$AJ$180,0,MATCH(S$2,Inputs!$K$4:$AJ$4,0)))+SUMPRODUCT((Inputs!$E$5:$E$180=$B15)*Inputs!$F$5:$F$180*(((Inputs!$G$5:$G$180="moeda")+(Inputs!$G$5:$G$180="acoes"))*Inputs!$B$1+((Inputs!$G$5:$G$180&lt;&gt;"moeda")*(Inputs!$G$5:$G$180&lt;&gt;"acoes")))*INDEX(Inputs!$K$5:$AJ$180,0,MATCH(S$2,Inputs!$K$4:$AJ$4,0)))))</f>
        <v>1026.176</v>
      </c>
      <c r="T15" s="6">
        <f>IF(ISNA(MATCH(T$2,Inputs!$K$4:$AJ$4,0)),NA(),IF(SUMPRODUCT((Inputs!$A$5:$A$180=$B15)*ISNUMBER(INDEX(Inputs!$K$5:$AJ$180,0,MATCH(T$2,Inputs!$K$4:$AJ$4,0))))+SUMPRODUCT((Inputs!$C$5:$C$180=$B15)*ISNUMBER(INDEX(Inputs!$K$5:$AJ$180,0,MATCH(T$2,Inputs!$K$4:$AJ$4,0))))+SUMPRODUCT((Inputs!$E$5:$E$180=$B15)*ISNUMBER(INDEX(Inputs!$K$5:$AJ$180,0,MATCH(T$2,Inputs!$K$4:$AJ$4,0))))=0,NA(),SUMPRODUCT((Inputs!$A$5:$A$180=$B15)*Inputs!$B$5:$B$180*(((Inputs!$G$5:$G$180="moeda")+(Inputs!$G$5:$G$180="acoes"))*Inputs!$B$1+((Inputs!$G$5:$G$180&lt;&gt;"moeda")*(Inputs!$G$5:$G$180&lt;&gt;"acoes")))*INDEX(Inputs!$K$5:$AJ$180,0,MATCH(T$2,Inputs!$K$4:$AJ$4,0)))+SUMPRODUCT((Inputs!$C$5:$C$180=$B15)*Inputs!$D$5:$D$180*(((Inputs!$G$5:$G$180="moeda")+(Inputs!$G$5:$G$180="acoes"))*Inputs!$B$1+((Inputs!$G$5:$G$180&lt;&gt;"moeda")*(Inputs!$G$5:$G$180&lt;&gt;"acoes")))*INDEX(Inputs!$K$5:$AJ$180,0,MATCH(T$2,Inputs!$K$4:$AJ$4,0)))+SUMPRODUCT((Inputs!$E$5:$E$180=$B15)*Inputs!$F$5:$F$180*(((Inputs!$G$5:$G$180="moeda")+(Inputs!$G$5:$G$180="acoes"))*Inputs!$B$1+((Inputs!$G$5:$G$180&lt;&gt;"moeda")*(Inputs!$G$5:$G$180&lt;&gt;"acoes")))*INDEX(Inputs!$K$5:$AJ$180,0,MATCH(T$2,Inputs!$K$4:$AJ$4,0)))))</f>
        <v>2126.948</v>
      </c>
      <c r="U15" s="6">
        <f>IF(ISNA(MATCH(U$2,Inputs!$K$4:$AJ$4,0)),NA(),IF(SUMPRODUCT((Inputs!$A$5:$A$180=$B15)*ISNUMBER(INDEX(Inputs!$K$5:$AJ$180,0,MATCH(U$2,Inputs!$K$4:$AJ$4,0))))+SUMPRODUCT((Inputs!$C$5:$C$180=$B15)*ISNUMBER(INDEX(Inputs!$K$5:$AJ$180,0,MATCH(U$2,Inputs!$K$4:$AJ$4,0))))+SUMPRODUCT((Inputs!$E$5:$E$180=$B15)*ISNUMBER(INDEX(Inputs!$K$5:$AJ$180,0,MATCH(U$2,Inputs!$K$4:$AJ$4,0))))=0,NA(),SUMPRODUCT((Inputs!$A$5:$A$180=$B15)*Inputs!$B$5:$B$180*(((Inputs!$G$5:$G$180="moeda")+(Inputs!$G$5:$G$180="acoes"))*Inputs!$B$1+((Inputs!$G$5:$G$180&lt;&gt;"moeda")*(Inputs!$G$5:$G$180&lt;&gt;"acoes")))*INDEX(Inputs!$K$5:$AJ$180,0,MATCH(U$2,Inputs!$K$4:$AJ$4,0)))+SUMPRODUCT((Inputs!$C$5:$C$180=$B15)*Inputs!$D$5:$D$180*(((Inputs!$G$5:$G$180="moeda")+(Inputs!$G$5:$G$180="acoes"))*Inputs!$B$1+((Inputs!$G$5:$G$180&lt;&gt;"moeda")*(Inputs!$G$5:$G$180&lt;&gt;"acoes")))*INDEX(Inputs!$K$5:$AJ$180,0,MATCH(U$2,Inputs!$K$4:$AJ$4,0)))+SUMPRODUCT((Inputs!$E$5:$E$180=$B15)*Inputs!$F$5:$F$180*(((Inputs!$G$5:$G$180="moeda")+(Inputs!$G$5:$G$180="acoes"))*Inputs!$B$1+((Inputs!$G$5:$G$180&lt;&gt;"moeda")*(Inputs!$G$5:$G$180&lt;&gt;"acoes")))*INDEX(Inputs!$K$5:$AJ$180,0,MATCH(U$2,Inputs!$K$4:$AJ$4,0)))))</f>
        <v>2337.434</v>
      </c>
      <c r="V15" s="6">
        <f>IF(ISNA(MATCH(V$2,Inputs!$K$4:$AJ$4,0)),NA(),IF(SUMPRODUCT((Inputs!$A$5:$A$180=$B15)*ISNUMBER(INDEX(Inputs!$K$5:$AJ$180,0,MATCH(V$2,Inputs!$K$4:$AJ$4,0))))+SUMPRODUCT((Inputs!$C$5:$C$180=$B15)*ISNUMBER(INDEX(Inputs!$K$5:$AJ$180,0,MATCH(V$2,Inputs!$K$4:$AJ$4,0))))+SUMPRODUCT((Inputs!$E$5:$E$180=$B15)*ISNUMBER(INDEX(Inputs!$K$5:$AJ$180,0,MATCH(V$2,Inputs!$K$4:$AJ$4,0))))=0,NA(),SUMPRODUCT((Inputs!$A$5:$A$180=$B15)*Inputs!$B$5:$B$180*(((Inputs!$G$5:$G$180="moeda")+(Inputs!$G$5:$G$180="acoes"))*Inputs!$B$1+((Inputs!$G$5:$G$180&lt;&gt;"moeda")*(Inputs!$G$5:$G$180&lt;&gt;"acoes")))*INDEX(Inputs!$K$5:$AJ$180,0,MATCH(V$2,Inputs!$K$4:$AJ$4,0)))+SUMPRODUCT((Inputs!$C$5:$C$180=$B15)*Inputs!$D$5:$D$180*(((Inputs!$G$5:$G$180="moeda")+(Inputs!$G$5:$G$180="acoes"))*Inputs!$B$1+((Inputs!$G$5:$G$180&lt;&gt;"moeda")*(Inputs!$G$5:$G$180&lt;&gt;"acoes")))*INDEX(Inputs!$K$5:$AJ$180,0,MATCH(V$2,Inputs!$K$4:$AJ$4,0)))+SUMPRODUCT((Inputs!$E$5:$E$180=$B15)*Inputs!$F$5:$F$180*(((Inputs!$G$5:$G$180="moeda")+(Inputs!$G$5:$G$180="acoes"))*Inputs!$B$1+((Inputs!$G$5:$G$180&lt;&gt;"moeda")*(Inputs!$G$5:$G$180&lt;&gt;"acoes")))*INDEX(Inputs!$K$5:$AJ$180,0,MATCH(V$2,Inputs!$K$4:$AJ$4,0)))))</f>
        <v>2445.961</v>
      </c>
      <c r="W15" s="3">
        <f>V15</f>
        <v>2445.961</v>
      </c>
      <c r="X15" s="6">
        <f>IF(ISNA(MATCH(X$2,Inputs!$K$4:$AJ$4,0)),NA(),IF(SUMPRODUCT((Inputs!$A$5:$A$180=$B15)*ISNUMBER(INDEX(Inputs!$K$5:$AJ$180,0,MATCH(X$2,Inputs!$K$4:$AJ$4,0))))+SUMPRODUCT((Inputs!$C$5:$C$180=$B15)*ISNUMBER(INDEX(Inputs!$K$5:$AJ$180,0,MATCH(X$2,Inputs!$K$4:$AJ$4,0))))+SUMPRODUCT((Inputs!$E$5:$E$180=$B15)*ISNUMBER(INDEX(Inputs!$K$5:$AJ$180,0,MATCH(X$2,Inputs!$K$4:$AJ$4,0))))=0,NA(),SUMPRODUCT((Inputs!$A$5:$A$180=$B15)*Inputs!$B$5:$B$180*(((Inputs!$G$5:$G$180="moeda")+(Inputs!$G$5:$G$180="acoes"))*Inputs!$B$1+((Inputs!$G$5:$G$180&lt;&gt;"moeda")*(Inputs!$G$5:$G$180&lt;&gt;"acoes")))*INDEX(Inputs!$K$5:$AJ$180,0,MATCH(X$2,Inputs!$K$4:$AJ$4,0)))+SUMPRODUCT((Inputs!$C$5:$C$180=$B15)*Inputs!$D$5:$D$180*(((Inputs!$G$5:$G$180="moeda")+(Inputs!$G$5:$G$180="acoes"))*Inputs!$B$1+((Inputs!$G$5:$G$180&lt;&gt;"moeda")*(Inputs!$G$5:$G$180&lt;&gt;"acoes")))*INDEX(Inputs!$K$5:$AJ$180,0,MATCH(X$2,Inputs!$K$4:$AJ$4,0)))+SUMPRODUCT((Inputs!$E$5:$E$180=$B15)*Inputs!$F$5:$F$180*(((Inputs!$G$5:$G$180="moeda")+(Inputs!$G$5:$G$180="acoes"))*Inputs!$B$1+((Inputs!$G$5:$G$180&lt;&gt;"moeda")*(Inputs!$G$5:$G$180&lt;&gt;"acoes")))*INDEX(Inputs!$K$5:$AJ$180,0,MATCH(X$2,Inputs!$K$4:$AJ$4,0)))))</f>
        <v>2545.291089</v>
      </c>
      <c r="Y15" s="6">
        <f>IF(ISNA(MATCH(Y$2,Inputs!$K$4:$AJ$4,0)),NA(),IF(SUMPRODUCT((Inputs!$A$5:$A$180=$B15)*ISNUMBER(INDEX(Inputs!$K$5:$AJ$180,0,MATCH(Y$2,Inputs!$K$4:$AJ$4,0))))+SUMPRODUCT((Inputs!$C$5:$C$180=$B15)*ISNUMBER(INDEX(Inputs!$K$5:$AJ$180,0,MATCH(Y$2,Inputs!$K$4:$AJ$4,0))))+SUMPRODUCT((Inputs!$E$5:$E$180=$B15)*ISNUMBER(INDEX(Inputs!$K$5:$AJ$180,0,MATCH(Y$2,Inputs!$K$4:$AJ$4,0))))=0,NA(),SUMPRODUCT((Inputs!$A$5:$A$180=$B15)*Inputs!$B$5:$B$180*(((Inputs!$G$5:$G$180="moeda")+(Inputs!$G$5:$G$180="acoes"))*Inputs!$B$1+((Inputs!$G$5:$G$180&lt;&gt;"moeda")*(Inputs!$G$5:$G$180&lt;&gt;"acoes")))*INDEX(Inputs!$K$5:$AJ$180,0,MATCH(Y$2,Inputs!$K$4:$AJ$4,0)))+SUMPRODUCT((Inputs!$C$5:$C$180=$B15)*Inputs!$D$5:$D$180*(((Inputs!$G$5:$G$180="moeda")+(Inputs!$G$5:$G$180="acoes"))*Inputs!$B$1+((Inputs!$G$5:$G$180&lt;&gt;"moeda")*(Inputs!$G$5:$G$180&lt;&gt;"acoes")))*INDEX(Inputs!$K$5:$AJ$180,0,MATCH(Y$2,Inputs!$K$4:$AJ$4,0)))+SUMPRODUCT((Inputs!$E$5:$E$180=$B15)*Inputs!$F$5:$F$180*(((Inputs!$G$5:$G$180="moeda")+(Inputs!$G$5:$G$180="acoes"))*Inputs!$B$1+((Inputs!$G$5:$G$180&lt;&gt;"moeda")*(Inputs!$G$5:$G$180&lt;&gt;"acoes")))*INDEX(Inputs!$K$5:$AJ$180,0,MATCH(Y$2,Inputs!$K$4:$AJ$4,0)))))</f>
        <v>2190.792</v>
      </c>
      <c r="Z15" s="6">
        <f>IF(ISNA(MATCH(Z$2,Inputs!$K$4:$AJ$4,0)),NA(),IF(SUMPRODUCT((Inputs!$A$5:$A$180=$B15)*ISNUMBER(INDEX(Inputs!$K$5:$AJ$180,0,MATCH(Z$2,Inputs!$K$4:$AJ$4,0))))+SUMPRODUCT((Inputs!$C$5:$C$180=$B15)*ISNUMBER(INDEX(Inputs!$K$5:$AJ$180,0,MATCH(Z$2,Inputs!$K$4:$AJ$4,0))))+SUMPRODUCT((Inputs!$E$5:$E$180=$B15)*ISNUMBER(INDEX(Inputs!$K$5:$AJ$180,0,MATCH(Z$2,Inputs!$K$4:$AJ$4,0))))=0,NA(),SUMPRODUCT((Inputs!$A$5:$A$180=$B15)*Inputs!$B$5:$B$180*(((Inputs!$G$5:$G$180="moeda")+(Inputs!$G$5:$G$180="acoes"))*Inputs!$B$1+((Inputs!$G$5:$G$180&lt;&gt;"moeda")*(Inputs!$G$5:$G$180&lt;&gt;"acoes")))*INDEX(Inputs!$K$5:$AJ$180,0,MATCH(Z$2,Inputs!$K$4:$AJ$4,0)))+SUMPRODUCT((Inputs!$C$5:$C$180=$B15)*Inputs!$D$5:$D$180*(((Inputs!$G$5:$G$180="moeda")+(Inputs!$G$5:$G$180="acoes"))*Inputs!$B$1+((Inputs!$G$5:$G$180&lt;&gt;"moeda")*(Inputs!$G$5:$G$180&lt;&gt;"acoes")))*INDEX(Inputs!$K$5:$AJ$180,0,MATCH(Z$2,Inputs!$K$4:$AJ$4,0)))+SUMPRODUCT((Inputs!$E$5:$E$180=$B15)*Inputs!$F$5:$F$180*(((Inputs!$G$5:$G$180="moeda")+(Inputs!$G$5:$G$180="acoes"))*Inputs!$B$1+((Inputs!$G$5:$G$180&lt;&gt;"moeda")*(Inputs!$G$5:$G$180&lt;&gt;"acoes")))*INDEX(Inputs!$K$5:$AJ$180,0,MATCH(Z$2,Inputs!$K$4:$AJ$4,0)))))</f>
        <v>2622.425</v>
      </c>
      <c r="AA15" s="6">
        <f>IF(ISNA(MATCH(AA$2,Inputs!$K$4:$AJ$4,0)),NA(),IF(SUMPRODUCT((Inputs!$A$5:$A$180=$B15)*ISNUMBER(INDEX(Inputs!$K$5:$AJ$180,0,MATCH(AA$2,Inputs!$K$4:$AJ$4,0))))+SUMPRODUCT((Inputs!$C$5:$C$180=$B15)*ISNUMBER(INDEX(Inputs!$K$5:$AJ$180,0,MATCH(AA$2,Inputs!$K$4:$AJ$4,0))))+SUMPRODUCT((Inputs!$E$5:$E$180=$B15)*ISNUMBER(INDEX(Inputs!$K$5:$AJ$180,0,MATCH(AA$2,Inputs!$K$4:$AJ$4,0))))=0,NA(),SUMPRODUCT((Inputs!$A$5:$A$180=$B15)*Inputs!$B$5:$B$180*(((Inputs!$G$5:$G$180="moeda")+(Inputs!$G$5:$G$180="acoes"))*Inputs!$B$1+((Inputs!$G$5:$G$180&lt;&gt;"moeda")*(Inputs!$G$5:$G$180&lt;&gt;"acoes")))*INDEX(Inputs!$K$5:$AJ$180,0,MATCH(AA$2,Inputs!$K$4:$AJ$4,0)))+SUMPRODUCT((Inputs!$C$5:$C$180=$B15)*Inputs!$D$5:$D$180*(((Inputs!$G$5:$G$180="moeda")+(Inputs!$G$5:$G$180="acoes"))*Inputs!$B$1+((Inputs!$G$5:$G$180&lt;&gt;"moeda")*(Inputs!$G$5:$G$180&lt;&gt;"acoes")))*INDEX(Inputs!$K$5:$AJ$180,0,MATCH(AA$2,Inputs!$K$4:$AJ$4,0)))+SUMPRODUCT((Inputs!$E$5:$E$180=$B15)*Inputs!$F$5:$F$180*(((Inputs!$G$5:$G$180="moeda")+(Inputs!$G$5:$G$180="acoes"))*Inputs!$B$1+((Inputs!$G$5:$G$180&lt;&gt;"moeda")*(Inputs!$G$5:$G$180&lt;&gt;"acoes")))*INDEX(Inputs!$K$5:$AJ$180,0,MATCH(AA$2,Inputs!$K$4:$AJ$4,0)))))</f>
        <v>2275.013</v>
      </c>
      <c r="AB15" s="3">
        <f>AA15</f>
        <v>2275.013</v>
      </c>
      <c r="AC15" s="6">
        <f>IF(ISNA(MATCH(AC$2,Inputs!$K$4:$AJ$4,0)),NA(),IF(SUMPRODUCT((Inputs!$A$5:$A$180=$B15)*ISNUMBER(INDEX(Inputs!$K$5:$AJ$180,0,MATCH(AC$2,Inputs!$K$4:$AJ$4,0))))+SUMPRODUCT((Inputs!$C$5:$C$180=$B15)*ISNUMBER(INDEX(Inputs!$K$5:$AJ$180,0,MATCH(AC$2,Inputs!$K$4:$AJ$4,0))))+SUMPRODUCT((Inputs!$E$5:$E$180=$B15)*ISNUMBER(INDEX(Inputs!$K$5:$AJ$180,0,MATCH(AC$2,Inputs!$K$4:$AJ$4,0))))=0,NA(),SUMPRODUCT((Inputs!$A$5:$A$180=$B15)*Inputs!$B$5:$B$180*(((Inputs!$G$5:$G$180="moeda")+(Inputs!$G$5:$G$180="acoes"))*Inputs!$B$1+((Inputs!$G$5:$G$180&lt;&gt;"moeda")*(Inputs!$G$5:$G$180&lt;&gt;"acoes")))*INDEX(Inputs!$K$5:$AJ$180,0,MATCH(AC$2,Inputs!$K$4:$AJ$4,0)))+SUMPRODUCT((Inputs!$C$5:$C$180=$B15)*Inputs!$D$5:$D$180*(((Inputs!$G$5:$G$180="moeda")+(Inputs!$G$5:$G$180="acoes"))*Inputs!$B$1+((Inputs!$G$5:$G$180&lt;&gt;"moeda")*(Inputs!$G$5:$G$180&lt;&gt;"acoes")))*INDEX(Inputs!$K$5:$AJ$180,0,MATCH(AC$2,Inputs!$K$4:$AJ$4,0)))+SUMPRODUCT((Inputs!$E$5:$E$180=$B15)*Inputs!$F$5:$F$180*(((Inputs!$G$5:$G$180="moeda")+(Inputs!$G$5:$G$180="acoes"))*Inputs!$B$1+((Inputs!$G$5:$G$180&lt;&gt;"moeda")*(Inputs!$G$5:$G$180&lt;&gt;"acoes")))*INDEX(Inputs!$K$5:$AJ$180,0,MATCH(AC$2,Inputs!$K$4:$AJ$4,0)))))</f>
        <v>2266.553</v>
      </c>
      <c r="AD15" s="6">
        <f>IF(ISNA(MATCH(AD$2,Inputs!$K$4:$AJ$4,0)),NA(),IF(SUMPRODUCT((Inputs!$A$5:$A$180=$B15)*ISNUMBER(INDEX(Inputs!$K$5:$AJ$180,0,MATCH(AD$2,Inputs!$K$4:$AJ$4,0))))+SUMPRODUCT((Inputs!$C$5:$C$180=$B15)*ISNUMBER(INDEX(Inputs!$K$5:$AJ$180,0,MATCH(AD$2,Inputs!$K$4:$AJ$4,0))))+SUMPRODUCT((Inputs!$E$5:$E$180=$B15)*ISNUMBER(INDEX(Inputs!$K$5:$AJ$180,0,MATCH(AD$2,Inputs!$K$4:$AJ$4,0))))=0,NA(),SUMPRODUCT((Inputs!$A$5:$A$180=$B15)*Inputs!$B$5:$B$180*(((Inputs!$G$5:$G$180="moeda")+(Inputs!$G$5:$G$180="acoes"))*Inputs!$B$1+((Inputs!$G$5:$G$180&lt;&gt;"moeda")*(Inputs!$G$5:$G$180&lt;&gt;"acoes")))*INDEX(Inputs!$K$5:$AJ$180,0,MATCH(AD$2,Inputs!$K$4:$AJ$4,0)))+SUMPRODUCT((Inputs!$C$5:$C$180=$B15)*Inputs!$D$5:$D$180*(((Inputs!$G$5:$G$180="moeda")+(Inputs!$G$5:$G$180="acoes"))*Inputs!$B$1+((Inputs!$G$5:$G$180&lt;&gt;"moeda")*(Inputs!$G$5:$G$180&lt;&gt;"acoes")))*INDEX(Inputs!$K$5:$AJ$180,0,MATCH(AD$2,Inputs!$K$4:$AJ$4,0)))+SUMPRODUCT((Inputs!$E$5:$E$180=$B15)*Inputs!$F$5:$F$180*(((Inputs!$G$5:$G$180="moeda")+(Inputs!$G$5:$G$180="acoes"))*Inputs!$B$1+((Inputs!$G$5:$G$180&lt;&gt;"moeda")*(Inputs!$G$5:$G$180&lt;&gt;"acoes")))*INDEX(Inputs!$K$5:$AJ$180,0,MATCH(AD$2,Inputs!$K$4:$AJ$4,0)))))</f>
        <v>2037.673</v>
      </c>
      <c r="AE15" s="6" t="e">
        <f>IF(ISNA(MATCH(AE$2,Inputs!$K$4:$AJ$4,0)),NA(),IF(SUMPRODUCT((Inputs!$A$5:$A$180=$B15)*ISNUMBER(INDEX(Inputs!$K$5:$AJ$180,0,MATCH(AE$2,Inputs!$K$4:$AJ$4,0))))+SUMPRODUCT((Inputs!$C$5:$C$180=$B15)*ISNUMBER(INDEX(Inputs!$K$5:$AJ$180,0,MATCH(AE$2,Inputs!$K$4:$AJ$4,0))))+SUMPRODUCT((Inputs!$E$5:$E$180=$B15)*ISNUMBER(INDEX(Inputs!$K$5:$AJ$180,0,MATCH(AE$2,Inputs!$K$4:$AJ$4,0))))=0,NA(),SUMPRODUCT((Inputs!$A$5:$A$180=$B15)*Inputs!$B$5:$B$180*(((Inputs!$G$5:$G$180="moeda")+(Inputs!$G$5:$G$180="acoes"))*Inputs!$B$1+((Inputs!$G$5:$G$180&lt;&gt;"moeda")*(Inputs!$G$5:$G$180&lt;&gt;"acoes")))*INDEX(Inputs!$K$5:$AJ$180,0,MATCH(AE$2,Inputs!$K$4:$AJ$4,0)))+SUMPRODUCT((Inputs!$C$5:$C$180=$B15)*Inputs!$D$5:$D$180*(((Inputs!$G$5:$G$180="moeda")+(Inputs!$G$5:$G$180="acoes"))*Inputs!$B$1+((Inputs!$G$5:$G$180&lt;&gt;"moeda")*(Inputs!$G$5:$G$180&lt;&gt;"acoes")))*INDEX(Inputs!$K$5:$AJ$180,0,MATCH(AE$2,Inputs!$K$4:$AJ$4,0)))+SUMPRODUCT((Inputs!$E$5:$E$180=$B15)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5" s="6" t="e">
        <f>IF(ISNA(MATCH(AF$2,Inputs!$K$4:$AJ$4,0)),NA(),IF(SUMPRODUCT((Inputs!$A$5:$A$180=$B15)*ISNUMBER(INDEX(Inputs!$K$5:$AJ$180,0,MATCH(AF$2,Inputs!$K$4:$AJ$4,0))))+SUMPRODUCT((Inputs!$C$5:$C$180=$B15)*ISNUMBER(INDEX(Inputs!$K$5:$AJ$180,0,MATCH(AF$2,Inputs!$K$4:$AJ$4,0))))+SUMPRODUCT((Inputs!$E$5:$E$180=$B15)*ISNUMBER(INDEX(Inputs!$K$5:$AJ$180,0,MATCH(AF$2,Inputs!$K$4:$AJ$4,0))))=0,NA(),SUMPRODUCT((Inputs!$A$5:$A$180=$B15)*Inputs!$B$5:$B$180*(((Inputs!$G$5:$G$180="moeda")+(Inputs!$G$5:$G$180="acoes"))*Inputs!$B$1+((Inputs!$G$5:$G$180&lt;&gt;"moeda")*(Inputs!$G$5:$G$180&lt;&gt;"acoes")))*INDEX(Inputs!$K$5:$AJ$180,0,MATCH(AF$2,Inputs!$K$4:$AJ$4,0)))+SUMPRODUCT((Inputs!$C$5:$C$180=$B15)*Inputs!$D$5:$D$180*(((Inputs!$G$5:$G$180="moeda")+(Inputs!$G$5:$G$180="acoes"))*Inputs!$B$1+((Inputs!$G$5:$G$180&lt;&gt;"moeda")*(Inputs!$G$5:$G$180&lt;&gt;"acoes")))*INDEX(Inputs!$K$5:$AJ$180,0,MATCH(AF$2,Inputs!$K$4:$AJ$4,0)))+SUMPRODUCT((Inputs!$E$5:$E$180=$B15)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5" s="3" t="e">
        <f>AF15</f>
        <v>#N/A</v>
      </c>
      <c r="AH15" s="6">
        <f>IF(ISNA(MATCH(AH$2,Inputs!$K$4:$AJ$4,0)),NA(),IF(SUMPRODUCT((Inputs!$A$5:$A$180=$B15)*ISNUMBER(INDEX(Inputs!$K$5:$AJ$180,0,MATCH(AH$2,Inputs!$K$4:$AJ$4,0))))+SUMPRODUCT((Inputs!$C$5:$C$180=$B15)*ISNUMBER(INDEX(Inputs!$K$5:$AJ$180,0,MATCH(AH$2,Inputs!$K$4:$AJ$4,0))))+SUMPRODUCT((Inputs!$E$5:$E$180=$B15)*ISNUMBER(INDEX(Inputs!$K$5:$AJ$180,0,MATCH(AH$2,Inputs!$K$4:$AJ$4,0))))=0,NA(),SUMPRODUCT((Inputs!$A$5:$A$180=$B15)*Inputs!$B$5:$B$180*(((Inputs!$G$5:$G$180="moeda")+(Inputs!$G$5:$G$180="acoes"))*Inputs!$B$1+((Inputs!$G$5:$G$180&lt;&gt;"moeda")*(Inputs!$G$5:$G$180&lt;&gt;"acoes")))*INDEX(Inputs!$K$5:$AJ$180,0,MATCH(AH$2,Inputs!$K$4:$AJ$4,0)))+SUMPRODUCT((Inputs!$C$5:$C$180=$B15)*Inputs!$D$5:$D$180*(((Inputs!$G$5:$G$180="moeda")+(Inputs!$G$5:$G$180="acoes"))*Inputs!$B$1+((Inputs!$G$5:$G$180&lt;&gt;"moeda")*(Inputs!$G$5:$G$180&lt;&gt;"acoes")))*INDEX(Inputs!$K$5:$AJ$180,0,MATCH(AH$2,Inputs!$K$4:$AJ$4,0)))+SUMPRODUCT((Inputs!$E$5:$E$180=$B15)*Inputs!$F$5:$F$180*(((Inputs!$G$5:$G$180="moeda")+(Inputs!$G$5:$G$180="acoes"))*Inputs!$B$1+((Inputs!$G$5:$G$180&lt;&gt;"moeda")*(Inputs!$G$5:$G$180&lt;&gt;"acoes")))*INDEX(Inputs!$K$5:$AJ$180,0,MATCH(AH$2,Inputs!$K$4:$AJ$4,0)))))</f>
        <v>803.57634139</v>
      </c>
      <c r="AI15" s="6">
        <f>IF(ISNA(MATCH(AI$2,Inputs!$K$4:$AJ$4,0)),NA(),IF(SUMPRODUCT((Inputs!$A$5:$A$180=$B15)*ISNUMBER(INDEX(Inputs!$K$5:$AJ$180,0,MATCH(AI$2,Inputs!$K$4:$AJ$4,0))))+SUMPRODUCT((Inputs!$C$5:$C$180=$B15)*ISNUMBER(INDEX(Inputs!$K$5:$AJ$180,0,MATCH(AI$2,Inputs!$K$4:$AJ$4,0))))+SUMPRODUCT((Inputs!$E$5:$E$180=$B15)*ISNUMBER(INDEX(Inputs!$K$5:$AJ$180,0,MATCH(AI$2,Inputs!$K$4:$AJ$4,0))))=0,NA(),SUMPRODUCT((Inputs!$A$5:$A$180=$B15)*Inputs!$B$5:$B$180*(((Inputs!$G$5:$G$180="moeda")+(Inputs!$G$5:$G$180="acoes"))*Inputs!$B$1+((Inputs!$G$5:$G$180&lt;&gt;"moeda")*(Inputs!$G$5:$G$180&lt;&gt;"acoes")))*INDEX(Inputs!$K$5:$AJ$180,0,MATCH(AI$2,Inputs!$K$4:$AJ$4,0)))+SUMPRODUCT((Inputs!$C$5:$C$180=$B15)*Inputs!$D$5:$D$180*(((Inputs!$G$5:$G$180="moeda")+(Inputs!$G$5:$G$180="acoes"))*Inputs!$B$1+((Inputs!$G$5:$G$180&lt;&gt;"moeda")*(Inputs!$G$5:$G$180&lt;&gt;"acoes")))*INDEX(Inputs!$K$5:$AJ$180,0,MATCH(AI$2,Inputs!$K$4:$AJ$4,0)))+SUMPRODUCT((Inputs!$E$5:$E$180=$B15)*Inputs!$F$5:$F$180*(((Inputs!$G$5:$G$180="moeda")+(Inputs!$G$5:$G$180="acoes"))*Inputs!$B$1+((Inputs!$G$5:$G$180&lt;&gt;"moeda")*(Inputs!$G$5:$G$180&lt;&gt;"acoes")))*INDEX(Inputs!$K$5:$AJ$180,0,MATCH(AI$2,Inputs!$K$4:$AJ$4,0)))))</f>
        <v>1152.75829087</v>
      </c>
      <c r="AJ15" s="6">
        <f>IF(ISNA(MATCH(AJ$2,Inputs!$K$4:$AJ$4,0)),NA(),IF(SUMPRODUCT((Inputs!$A$5:$A$180=$B15)*ISNUMBER(INDEX(Inputs!$K$5:$AJ$180,0,MATCH(AJ$2,Inputs!$K$4:$AJ$4,0))))+SUMPRODUCT((Inputs!$C$5:$C$180=$B15)*ISNUMBER(INDEX(Inputs!$K$5:$AJ$180,0,MATCH(AJ$2,Inputs!$K$4:$AJ$4,0))))+SUMPRODUCT((Inputs!$E$5:$E$180=$B15)*ISNUMBER(INDEX(Inputs!$K$5:$AJ$180,0,MATCH(AJ$2,Inputs!$K$4:$AJ$4,0))))=0,NA(),SUMPRODUCT((Inputs!$A$5:$A$180=$B15)*Inputs!$B$5:$B$180*(((Inputs!$G$5:$G$180="moeda")+(Inputs!$G$5:$G$180="acoes"))*Inputs!$B$1+((Inputs!$G$5:$G$180&lt;&gt;"moeda")*(Inputs!$G$5:$G$180&lt;&gt;"acoes")))*INDEX(Inputs!$K$5:$AJ$180,0,MATCH(AJ$2,Inputs!$K$4:$AJ$4,0)))+SUMPRODUCT((Inputs!$C$5:$C$180=$B15)*Inputs!$D$5:$D$180*(((Inputs!$G$5:$G$180="moeda")+(Inputs!$G$5:$G$180="acoes"))*Inputs!$B$1+((Inputs!$G$5:$G$180&lt;&gt;"moeda")*(Inputs!$G$5:$G$180&lt;&gt;"acoes")))*INDEX(Inputs!$K$5:$AJ$180,0,MATCH(AJ$2,Inputs!$K$4:$AJ$4,0)))+SUMPRODUCT((Inputs!$E$5:$E$180=$B15)*Inputs!$F$5:$F$180*(((Inputs!$G$5:$G$180="moeda")+(Inputs!$G$5:$G$180="acoes"))*Inputs!$B$1+((Inputs!$G$5:$G$180&lt;&gt;"moeda")*(Inputs!$G$5:$G$180&lt;&gt;"acoes")))*INDEX(Inputs!$K$5:$AJ$180,0,MATCH(AJ$2,Inputs!$K$4:$AJ$4,0)))))</f>
        <v>1209.19289322</v>
      </c>
      <c r="AK15" s="6">
        <f>IF(ISNA(MATCH(AK$2,Inputs!$K$4:$AJ$4,0)),NA(),IF(SUMPRODUCT((Inputs!$A$5:$A$180=$B15)*ISNUMBER(INDEX(Inputs!$K$5:$AJ$180,0,MATCH(AK$2,Inputs!$K$4:$AJ$4,0))))+SUMPRODUCT((Inputs!$C$5:$C$180=$B15)*ISNUMBER(INDEX(Inputs!$K$5:$AJ$180,0,MATCH(AK$2,Inputs!$K$4:$AJ$4,0))))+SUMPRODUCT((Inputs!$E$5:$E$180=$B15)*ISNUMBER(INDEX(Inputs!$K$5:$AJ$180,0,MATCH(AK$2,Inputs!$K$4:$AJ$4,0))))=0,NA(),SUMPRODUCT((Inputs!$A$5:$A$180=$B15)*Inputs!$B$5:$B$180*(((Inputs!$G$5:$G$180="moeda")+(Inputs!$G$5:$G$180="acoes"))*Inputs!$B$1+((Inputs!$G$5:$G$180&lt;&gt;"moeda")*(Inputs!$G$5:$G$180&lt;&gt;"acoes")))*INDEX(Inputs!$K$5:$AJ$180,0,MATCH(AK$2,Inputs!$K$4:$AJ$4,0)))+SUMPRODUCT((Inputs!$C$5:$C$180=$B15)*Inputs!$D$5:$D$180*(((Inputs!$G$5:$G$180="moeda")+(Inputs!$G$5:$G$180="acoes"))*Inputs!$B$1+((Inputs!$G$5:$G$180&lt;&gt;"moeda")*(Inputs!$G$5:$G$180&lt;&gt;"acoes")))*INDEX(Inputs!$K$5:$AJ$180,0,MATCH(AK$2,Inputs!$K$4:$AJ$4,0)))+SUMPRODUCT((Inputs!$E$5:$E$180=$B15)*Inputs!$F$5:$F$180*(((Inputs!$G$5:$G$180="moeda")+(Inputs!$G$5:$G$180="acoes"))*Inputs!$B$1+((Inputs!$G$5:$G$180&lt;&gt;"moeda")*(Inputs!$G$5:$G$180&lt;&gt;"acoes")))*INDEX(Inputs!$K$5:$AJ$180,0,MATCH(AK$2,Inputs!$K$4:$AJ$4,0)))))</f>
        <v>1111.41967783</v>
      </c>
      <c r="AL15" s="3">
        <f>AK15</f>
        <v>1111.41967783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$180=$B16)*ISNUMBER(INDEX(Inputs!$K$5:$AJ$180,0,MATCH(D$2,Inputs!$K$4:$AJ$4,0))))+SUMPRODUCT((Inputs!$C$5:$C$180=$B16)*ISNUMBER(INDEX(Inputs!$K$5:$AJ$180,0,MATCH(D$2,Inputs!$K$4:$AJ$4,0))))+SUMPRODUCT((Inputs!$E$5:$E$180=$B16)*ISNUMBER(INDEX(Inputs!$K$5:$AJ$180,0,MATCH(D$2,Inputs!$K$4:$AJ$4,0))))=0,NA(),SUMPRODUCT((Inputs!$A$5:$A$180=$B16)*Inputs!$B$5:$B$180*(((Inputs!$G$5:$G$180="moeda")+(Inputs!$G$5:$G$180="acoes"))*Inputs!$B$1+((Inputs!$G$5:$G$180&lt;&gt;"moeda")*(Inputs!$G$5:$G$180&lt;&gt;"acoes")))*INDEX(Inputs!$K$5:$AJ$180,0,MATCH(D$2,Inputs!$K$4:$AJ$4,0)))+SUMPRODUCT((Inputs!$C$5:$C$180=$B16)*Inputs!$D$5:$D$180*(((Inputs!$G$5:$G$180="moeda")+(Inputs!$G$5:$G$180="acoes"))*Inputs!$B$1+((Inputs!$G$5:$G$180&lt;&gt;"moeda")*(Inputs!$G$5:$G$180&lt;&gt;"acoes")))*INDEX(Inputs!$K$5:$AJ$180,0,MATCH(D$2,Inputs!$K$4:$AJ$4,0)))+SUMPRODUCT((Inputs!$E$5:$E$180=$B16)*Inputs!$F$5:$F$180*(((Inputs!$G$5:$G$180="moeda")+(Inputs!$G$5:$G$180="acoes"))*Inputs!$B$1+((Inputs!$G$5:$G$180&lt;&gt;"moeda")*(Inputs!$G$5:$G$180&lt;&gt;"acoes")))*INDEX(Inputs!$K$5:$AJ$180,0,MATCH(D$2,Inputs!$K$4:$AJ$4,0)))))</f>
        <v>722.33269323</v>
      </c>
      <c r="E16" s="6">
        <f>IF(ISNA(MATCH(E$2,Inputs!$K$4:$AJ$4,0)),NA(),IF(SUMPRODUCT((Inputs!$A$5:$A$180=$B16)*ISNUMBER(INDEX(Inputs!$K$5:$AJ$180,0,MATCH(E$2,Inputs!$K$4:$AJ$4,0))))+SUMPRODUCT((Inputs!$C$5:$C$180=$B16)*ISNUMBER(INDEX(Inputs!$K$5:$AJ$180,0,MATCH(E$2,Inputs!$K$4:$AJ$4,0))))+SUMPRODUCT((Inputs!$E$5:$E$180=$B16)*ISNUMBER(INDEX(Inputs!$K$5:$AJ$180,0,MATCH(E$2,Inputs!$K$4:$AJ$4,0))))=0,NA(),SUMPRODUCT((Inputs!$A$5:$A$180=$B16)*Inputs!$B$5:$B$180*(((Inputs!$G$5:$G$180="moeda")+(Inputs!$G$5:$G$180="acoes"))*Inputs!$B$1+((Inputs!$G$5:$G$180&lt;&gt;"moeda")*(Inputs!$G$5:$G$180&lt;&gt;"acoes")))*INDEX(Inputs!$K$5:$AJ$180,0,MATCH(E$2,Inputs!$K$4:$AJ$4,0)))+SUMPRODUCT((Inputs!$C$5:$C$180=$B16)*Inputs!$D$5:$D$180*(((Inputs!$G$5:$G$180="moeda")+(Inputs!$G$5:$G$180="acoes"))*Inputs!$B$1+((Inputs!$G$5:$G$180&lt;&gt;"moeda")*(Inputs!$G$5:$G$180&lt;&gt;"acoes")))*INDEX(Inputs!$K$5:$AJ$180,0,MATCH(E$2,Inputs!$K$4:$AJ$4,0)))+SUMPRODUCT((Inputs!$E$5:$E$180=$B16)*Inputs!$F$5:$F$180*(((Inputs!$G$5:$G$180="moeda")+(Inputs!$G$5:$G$180="acoes"))*Inputs!$B$1+((Inputs!$G$5:$G$180&lt;&gt;"moeda")*(Inputs!$G$5:$G$180&lt;&gt;"acoes")))*INDEX(Inputs!$K$5:$AJ$180,0,MATCH(E$2,Inputs!$K$4:$AJ$4,0)))))</f>
        <v>710.16007206</v>
      </c>
      <c r="F16" s="6">
        <f>IF(ISNA(MATCH(F$2,Inputs!$K$4:$AJ$4,0)),NA(),IF(SUMPRODUCT((Inputs!$A$5:$A$180=$B16)*ISNUMBER(INDEX(Inputs!$K$5:$AJ$180,0,MATCH(F$2,Inputs!$K$4:$AJ$4,0))))+SUMPRODUCT((Inputs!$C$5:$C$180=$B16)*ISNUMBER(INDEX(Inputs!$K$5:$AJ$180,0,MATCH(F$2,Inputs!$K$4:$AJ$4,0))))+SUMPRODUCT((Inputs!$E$5:$E$180=$B16)*ISNUMBER(INDEX(Inputs!$K$5:$AJ$180,0,MATCH(F$2,Inputs!$K$4:$AJ$4,0))))=0,NA(),SUMPRODUCT((Inputs!$A$5:$A$180=$B16)*Inputs!$B$5:$B$180*(((Inputs!$G$5:$G$180="moeda")+(Inputs!$G$5:$G$180="acoes"))*Inputs!$B$1+((Inputs!$G$5:$G$180&lt;&gt;"moeda")*(Inputs!$G$5:$G$180&lt;&gt;"acoes")))*INDEX(Inputs!$K$5:$AJ$180,0,MATCH(F$2,Inputs!$K$4:$AJ$4,0)))+SUMPRODUCT((Inputs!$C$5:$C$180=$B16)*Inputs!$D$5:$D$180*(((Inputs!$G$5:$G$180="moeda")+(Inputs!$G$5:$G$180="acoes"))*Inputs!$B$1+((Inputs!$G$5:$G$180&lt;&gt;"moeda")*(Inputs!$G$5:$G$180&lt;&gt;"acoes")))*INDEX(Inputs!$K$5:$AJ$180,0,MATCH(F$2,Inputs!$K$4:$AJ$4,0)))+SUMPRODUCT((Inputs!$E$5:$E$180=$B16)*Inputs!$F$5:$F$180*(((Inputs!$G$5:$G$180="moeda")+(Inputs!$G$5:$G$180="acoes"))*Inputs!$B$1+((Inputs!$G$5:$G$180&lt;&gt;"moeda")*(Inputs!$G$5:$G$180&lt;&gt;"acoes")))*INDEX(Inputs!$K$5:$AJ$180,0,MATCH(F$2,Inputs!$K$4:$AJ$4,0)))))</f>
        <v>798.87962103</v>
      </c>
      <c r="G16" s="6">
        <f>IF(ISNA(MATCH(G$2,Inputs!$K$4:$AJ$4,0)),NA(),IF(SUMPRODUCT((Inputs!$A$5:$A$180=$B16)*ISNUMBER(INDEX(Inputs!$K$5:$AJ$180,0,MATCH(G$2,Inputs!$K$4:$AJ$4,0))))+SUMPRODUCT((Inputs!$C$5:$C$180=$B16)*ISNUMBER(INDEX(Inputs!$K$5:$AJ$180,0,MATCH(G$2,Inputs!$K$4:$AJ$4,0))))+SUMPRODUCT((Inputs!$E$5:$E$180=$B16)*ISNUMBER(INDEX(Inputs!$K$5:$AJ$180,0,MATCH(G$2,Inputs!$K$4:$AJ$4,0))))=0,NA(),SUMPRODUCT((Inputs!$A$5:$A$180=$B16)*Inputs!$B$5:$B$180*(((Inputs!$G$5:$G$180="moeda")+(Inputs!$G$5:$G$180="acoes"))*Inputs!$B$1+((Inputs!$G$5:$G$180&lt;&gt;"moeda")*(Inputs!$G$5:$G$180&lt;&gt;"acoes")))*INDEX(Inputs!$K$5:$AJ$180,0,MATCH(G$2,Inputs!$K$4:$AJ$4,0)))+SUMPRODUCT((Inputs!$C$5:$C$180=$B16)*Inputs!$D$5:$D$180*(((Inputs!$G$5:$G$180="moeda")+(Inputs!$G$5:$G$180="acoes"))*Inputs!$B$1+((Inputs!$G$5:$G$180&lt;&gt;"moeda")*(Inputs!$G$5:$G$180&lt;&gt;"acoes")))*INDEX(Inputs!$K$5:$AJ$180,0,MATCH(G$2,Inputs!$K$4:$AJ$4,0)))+SUMPRODUCT((Inputs!$E$5:$E$180=$B16)*Inputs!$F$5:$F$180*(((Inputs!$G$5:$G$180="moeda")+(Inputs!$G$5:$G$180="acoes"))*Inputs!$B$1+((Inputs!$G$5:$G$180&lt;&gt;"moeda")*(Inputs!$G$5:$G$180&lt;&gt;"acoes")))*INDEX(Inputs!$K$5:$AJ$180,0,MATCH(G$2,Inputs!$K$4:$AJ$4,0)))))</f>
        <v>793.850845533222</v>
      </c>
      <c r="H16" s="3">
        <f>G16</f>
        <v>793.850845533222</v>
      </c>
      <c r="I16" s="6">
        <f>IF(ISNA(MATCH(I$2,Inputs!$K$4:$AJ$4,0)),NA(),IF(SUMPRODUCT((Inputs!$A$5:$A$180=$B16)*ISNUMBER(INDEX(Inputs!$K$5:$AJ$180,0,MATCH(I$2,Inputs!$K$4:$AJ$4,0))))+SUMPRODUCT((Inputs!$C$5:$C$180=$B16)*ISNUMBER(INDEX(Inputs!$K$5:$AJ$180,0,MATCH(I$2,Inputs!$K$4:$AJ$4,0))))+SUMPRODUCT((Inputs!$E$5:$E$180=$B16)*ISNUMBER(INDEX(Inputs!$K$5:$AJ$180,0,MATCH(I$2,Inputs!$K$4:$AJ$4,0))))=0,NA(),SUMPRODUCT((Inputs!$A$5:$A$180=$B16)*Inputs!$B$5:$B$180*(((Inputs!$G$5:$G$180="moeda")+(Inputs!$G$5:$G$180="acoes"))*Inputs!$B$1+((Inputs!$G$5:$G$180&lt;&gt;"moeda")*(Inputs!$G$5:$G$180&lt;&gt;"acoes")))*INDEX(Inputs!$K$5:$AJ$180,0,MATCH(I$2,Inputs!$K$4:$AJ$4,0)))+SUMPRODUCT((Inputs!$C$5:$C$180=$B16)*Inputs!$D$5:$D$180*(((Inputs!$G$5:$G$180="moeda")+(Inputs!$G$5:$G$180="acoes"))*Inputs!$B$1+((Inputs!$G$5:$G$180&lt;&gt;"moeda")*(Inputs!$G$5:$G$180&lt;&gt;"acoes")))*INDEX(Inputs!$K$5:$AJ$180,0,MATCH(I$2,Inputs!$K$4:$AJ$4,0)))+SUMPRODUCT((Inputs!$E$5:$E$180=$B16)*Inputs!$F$5:$F$180*(((Inputs!$G$5:$G$180="moeda")+(Inputs!$G$5:$G$180="acoes"))*Inputs!$B$1+((Inputs!$G$5:$G$180&lt;&gt;"moeda")*(Inputs!$G$5:$G$180&lt;&gt;"acoes")))*INDEX(Inputs!$K$5:$AJ$180,0,MATCH(I$2,Inputs!$K$4:$AJ$4,0)))))</f>
        <v>867.74374465</v>
      </c>
      <c r="J16" s="6">
        <f>IF(ISNA(MATCH(J$2,Inputs!$K$4:$AJ$4,0)),NA(),IF(SUMPRODUCT((Inputs!$A$5:$A$180=$B16)*ISNUMBER(INDEX(Inputs!$K$5:$AJ$180,0,MATCH(J$2,Inputs!$K$4:$AJ$4,0))))+SUMPRODUCT((Inputs!$C$5:$C$180=$B16)*ISNUMBER(INDEX(Inputs!$K$5:$AJ$180,0,MATCH(J$2,Inputs!$K$4:$AJ$4,0))))+SUMPRODUCT((Inputs!$E$5:$E$180=$B16)*ISNUMBER(INDEX(Inputs!$K$5:$AJ$180,0,MATCH(J$2,Inputs!$K$4:$AJ$4,0))))=0,NA(),SUMPRODUCT((Inputs!$A$5:$A$180=$B16)*Inputs!$B$5:$B$180*(((Inputs!$G$5:$G$180="moeda")+(Inputs!$G$5:$G$180="acoes"))*Inputs!$B$1+((Inputs!$G$5:$G$180&lt;&gt;"moeda")*(Inputs!$G$5:$G$180&lt;&gt;"acoes")))*INDEX(Inputs!$K$5:$AJ$180,0,MATCH(J$2,Inputs!$K$4:$AJ$4,0)))+SUMPRODUCT((Inputs!$C$5:$C$180=$B16)*Inputs!$D$5:$D$180*(((Inputs!$G$5:$G$180="moeda")+(Inputs!$G$5:$G$180="acoes"))*Inputs!$B$1+((Inputs!$G$5:$G$180&lt;&gt;"moeda")*(Inputs!$G$5:$G$180&lt;&gt;"acoes")))*INDEX(Inputs!$K$5:$AJ$180,0,MATCH(J$2,Inputs!$K$4:$AJ$4,0)))+SUMPRODUCT((Inputs!$E$5:$E$180=$B16)*Inputs!$F$5:$F$180*(((Inputs!$G$5:$G$180="moeda")+(Inputs!$G$5:$G$180="acoes"))*Inputs!$B$1+((Inputs!$G$5:$G$180&lt;&gt;"moeda")*(Inputs!$G$5:$G$180&lt;&gt;"acoes")))*INDEX(Inputs!$K$5:$AJ$180,0,MATCH(J$2,Inputs!$K$4:$AJ$4,0)))))</f>
        <v>900.92993497</v>
      </c>
      <c r="K16" s="6">
        <f>IF(ISNA(MATCH(K$2,Inputs!$K$4:$AJ$4,0)),NA(),IF(SUMPRODUCT((Inputs!$A$5:$A$180=$B16)*ISNUMBER(INDEX(Inputs!$K$5:$AJ$180,0,MATCH(K$2,Inputs!$K$4:$AJ$4,0))))+SUMPRODUCT((Inputs!$C$5:$C$180=$B16)*ISNUMBER(INDEX(Inputs!$K$5:$AJ$180,0,MATCH(K$2,Inputs!$K$4:$AJ$4,0))))+SUMPRODUCT((Inputs!$E$5:$E$180=$B16)*ISNUMBER(INDEX(Inputs!$K$5:$AJ$180,0,MATCH(K$2,Inputs!$K$4:$AJ$4,0))))=0,NA(),SUMPRODUCT((Inputs!$A$5:$A$180=$B16)*Inputs!$B$5:$B$180*(((Inputs!$G$5:$G$180="moeda")+(Inputs!$G$5:$G$180="acoes"))*Inputs!$B$1+((Inputs!$G$5:$G$180&lt;&gt;"moeda")*(Inputs!$G$5:$G$180&lt;&gt;"acoes")))*INDEX(Inputs!$K$5:$AJ$180,0,MATCH(K$2,Inputs!$K$4:$AJ$4,0)))+SUMPRODUCT((Inputs!$C$5:$C$180=$B16)*Inputs!$D$5:$D$180*(((Inputs!$G$5:$G$180="moeda")+(Inputs!$G$5:$G$180="acoes"))*Inputs!$B$1+((Inputs!$G$5:$G$180&lt;&gt;"moeda")*(Inputs!$G$5:$G$180&lt;&gt;"acoes")))*INDEX(Inputs!$K$5:$AJ$180,0,MATCH(K$2,Inputs!$K$4:$AJ$4,0)))+SUMPRODUCT((Inputs!$E$5:$E$180=$B16)*Inputs!$F$5:$F$180*(((Inputs!$G$5:$G$180="moeda")+(Inputs!$G$5:$G$180="acoes"))*Inputs!$B$1+((Inputs!$G$5:$G$180&lt;&gt;"moeda")*(Inputs!$G$5:$G$180&lt;&gt;"acoes")))*INDEX(Inputs!$K$5:$AJ$180,0,MATCH(K$2,Inputs!$K$4:$AJ$4,0)))))</f>
        <v>885.46691962</v>
      </c>
      <c r="L16" s="6">
        <f>IF(ISNA(MATCH(L$2,Inputs!$K$4:$AJ$4,0)),NA(),IF(SUMPRODUCT((Inputs!$A$5:$A$180=$B16)*ISNUMBER(INDEX(Inputs!$K$5:$AJ$180,0,MATCH(L$2,Inputs!$K$4:$AJ$4,0))))+SUMPRODUCT((Inputs!$C$5:$C$180=$B16)*ISNUMBER(INDEX(Inputs!$K$5:$AJ$180,0,MATCH(L$2,Inputs!$K$4:$AJ$4,0))))+SUMPRODUCT((Inputs!$E$5:$E$180=$B16)*ISNUMBER(INDEX(Inputs!$K$5:$AJ$180,0,MATCH(L$2,Inputs!$K$4:$AJ$4,0))))=0,NA(),SUMPRODUCT((Inputs!$A$5:$A$180=$B16)*Inputs!$B$5:$B$180*(((Inputs!$G$5:$G$180="moeda")+(Inputs!$G$5:$G$180="acoes"))*Inputs!$B$1+((Inputs!$G$5:$G$180&lt;&gt;"moeda")*(Inputs!$G$5:$G$180&lt;&gt;"acoes")))*INDEX(Inputs!$K$5:$AJ$180,0,MATCH(L$2,Inputs!$K$4:$AJ$4,0)))+SUMPRODUCT((Inputs!$C$5:$C$180=$B16)*Inputs!$D$5:$D$180*(((Inputs!$G$5:$G$180="moeda")+(Inputs!$G$5:$G$180="acoes"))*Inputs!$B$1+((Inputs!$G$5:$G$180&lt;&gt;"moeda")*(Inputs!$G$5:$G$180&lt;&gt;"acoes")))*INDEX(Inputs!$K$5:$AJ$180,0,MATCH(L$2,Inputs!$K$4:$AJ$4,0)))+SUMPRODUCT((Inputs!$E$5:$E$180=$B16)*Inputs!$F$5:$F$180*(((Inputs!$G$5:$G$180="moeda")+(Inputs!$G$5:$G$180="acoes"))*Inputs!$B$1+((Inputs!$G$5:$G$180&lt;&gt;"moeda")*(Inputs!$G$5:$G$180&lt;&gt;"acoes")))*INDEX(Inputs!$K$5:$AJ$180,0,MATCH(L$2,Inputs!$K$4:$AJ$4,0)))))</f>
        <v>856.84906289</v>
      </c>
      <c r="M16" s="3">
        <f>L16</f>
        <v>856.84906289</v>
      </c>
      <c r="N16" s="6">
        <f>IF(ISNA(MATCH(N$2,Inputs!$K$4:$AJ$4,0)),NA(),IF(SUMPRODUCT((Inputs!$A$5:$A$180=$B16)*ISNUMBER(INDEX(Inputs!$K$5:$AJ$180,0,MATCH(N$2,Inputs!$K$4:$AJ$4,0))))+SUMPRODUCT((Inputs!$C$5:$C$180=$B16)*ISNUMBER(INDEX(Inputs!$K$5:$AJ$180,0,MATCH(N$2,Inputs!$K$4:$AJ$4,0))))+SUMPRODUCT((Inputs!$E$5:$E$180=$B16)*ISNUMBER(INDEX(Inputs!$K$5:$AJ$180,0,MATCH(N$2,Inputs!$K$4:$AJ$4,0))))=0,NA(),SUMPRODUCT((Inputs!$A$5:$A$180=$B16)*Inputs!$B$5:$B$180*(((Inputs!$G$5:$G$180="moeda")+(Inputs!$G$5:$G$180="acoes"))*Inputs!$B$1+((Inputs!$G$5:$G$180&lt;&gt;"moeda")*(Inputs!$G$5:$G$180&lt;&gt;"acoes")))*INDEX(Inputs!$K$5:$AJ$180,0,MATCH(N$2,Inputs!$K$4:$AJ$4,0)))+SUMPRODUCT((Inputs!$C$5:$C$180=$B16)*Inputs!$D$5:$D$180*(((Inputs!$G$5:$G$180="moeda")+(Inputs!$G$5:$G$180="acoes"))*Inputs!$B$1+((Inputs!$G$5:$G$180&lt;&gt;"moeda")*(Inputs!$G$5:$G$180&lt;&gt;"acoes")))*INDEX(Inputs!$K$5:$AJ$180,0,MATCH(N$2,Inputs!$K$4:$AJ$4,0)))+SUMPRODUCT((Inputs!$E$5:$E$180=$B16)*Inputs!$F$5:$F$180*(((Inputs!$G$5:$G$180="moeda")+(Inputs!$G$5:$G$180="acoes"))*Inputs!$B$1+((Inputs!$G$5:$G$180&lt;&gt;"moeda")*(Inputs!$G$5:$G$180&lt;&gt;"acoes")))*INDEX(Inputs!$K$5:$AJ$180,0,MATCH(N$2,Inputs!$K$4:$AJ$4,0)))))</f>
        <v>973.70141759</v>
      </c>
      <c r="O16" s="6">
        <f>IF(ISNA(MATCH(O$2,Inputs!$K$4:$AJ$4,0)),NA(),IF(SUMPRODUCT((Inputs!$A$5:$A$180=$B16)*ISNUMBER(INDEX(Inputs!$K$5:$AJ$180,0,MATCH(O$2,Inputs!$K$4:$AJ$4,0))))+SUMPRODUCT((Inputs!$C$5:$C$180=$B16)*ISNUMBER(INDEX(Inputs!$K$5:$AJ$180,0,MATCH(O$2,Inputs!$K$4:$AJ$4,0))))+SUMPRODUCT((Inputs!$E$5:$E$180=$B16)*ISNUMBER(INDEX(Inputs!$K$5:$AJ$180,0,MATCH(O$2,Inputs!$K$4:$AJ$4,0))))=0,NA(),SUMPRODUCT((Inputs!$A$5:$A$180=$B16)*Inputs!$B$5:$B$180*(((Inputs!$G$5:$G$180="moeda")+(Inputs!$G$5:$G$180="acoes"))*Inputs!$B$1+((Inputs!$G$5:$G$180&lt;&gt;"moeda")*(Inputs!$G$5:$G$180&lt;&gt;"acoes")))*INDEX(Inputs!$K$5:$AJ$180,0,MATCH(O$2,Inputs!$K$4:$AJ$4,0)))+SUMPRODUCT((Inputs!$C$5:$C$180=$B16)*Inputs!$D$5:$D$180*(((Inputs!$G$5:$G$180="moeda")+(Inputs!$G$5:$G$180="acoes"))*Inputs!$B$1+((Inputs!$G$5:$G$180&lt;&gt;"moeda")*(Inputs!$G$5:$G$180&lt;&gt;"acoes")))*INDEX(Inputs!$K$5:$AJ$180,0,MATCH(O$2,Inputs!$K$4:$AJ$4,0)))+SUMPRODUCT((Inputs!$E$5:$E$180=$B16)*Inputs!$F$5:$F$180*(((Inputs!$G$5:$G$180="moeda")+(Inputs!$G$5:$G$180="acoes"))*Inputs!$B$1+((Inputs!$G$5:$G$180&lt;&gt;"moeda")*(Inputs!$G$5:$G$180&lt;&gt;"acoes")))*INDEX(Inputs!$K$5:$AJ$180,0,MATCH(O$2,Inputs!$K$4:$AJ$4,0)))))</f>
        <v>1486.024</v>
      </c>
      <c r="P16" s="6">
        <f>IF(ISNA(MATCH(P$2,Inputs!$K$4:$AJ$4,0)),NA(),IF(SUMPRODUCT((Inputs!$A$5:$A$180=$B16)*ISNUMBER(INDEX(Inputs!$K$5:$AJ$180,0,MATCH(P$2,Inputs!$K$4:$AJ$4,0))))+SUMPRODUCT((Inputs!$C$5:$C$180=$B16)*ISNUMBER(INDEX(Inputs!$K$5:$AJ$180,0,MATCH(P$2,Inputs!$K$4:$AJ$4,0))))+SUMPRODUCT((Inputs!$E$5:$E$180=$B16)*ISNUMBER(INDEX(Inputs!$K$5:$AJ$180,0,MATCH(P$2,Inputs!$K$4:$AJ$4,0))))=0,NA(),SUMPRODUCT((Inputs!$A$5:$A$180=$B16)*Inputs!$B$5:$B$180*(((Inputs!$G$5:$G$180="moeda")+(Inputs!$G$5:$G$180="acoes"))*Inputs!$B$1+((Inputs!$G$5:$G$180&lt;&gt;"moeda")*(Inputs!$G$5:$G$180&lt;&gt;"acoes")))*INDEX(Inputs!$K$5:$AJ$180,0,MATCH(P$2,Inputs!$K$4:$AJ$4,0)))+SUMPRODUCT((Inputs!$C$5:$C$180=$B16)*Inputs!$D$5:$D$180*(((Inputs!$G$5:$G$180="moeda")+(Inputs!$G$5:$G$180="acoes"))*Inputs!$B$1+((Inputs!$G$5:$G$180&lt;&gt;"moeda")*(Inputs!$G$5:$G$180&lt;&gt;"acoes")))*INDEX(Inputs!$K$5:$AJ$180,0,MATCH(P$2,Inputs!$K$4:$AJ$4,0)))+SUMPRODUCT((Inputs!$E$5:$E$180=$B16)*Inputs!$F$5:$F$180*(((Inputs!$G$5:$G$180="moeda")+(Inputs!$G$5:$G$180="acoes"))*Inputs!$B$1+((Inputs!$G$5:$G$180&lt;&gt;"moeda")*(Inputs!$G$5:$G$180&lt;&gt;"acoes")))*INDEX(Inputs!$K$5:$AJ$180,0,MATCH(P$2,Inputs!$K$4:$AJ$4,0)))))</f>
        <v>1558.622</v>
      </c>
      <c r="Q16" s="6">
        <f>IF(ISNA(MATCH(Q$2,Inputs!$K$4:$AJ$4,0)),NA(),IF(SUMPRODUCT((Inputs!$A$5:$A$180=$B16)*ISNUMBER(INDEX(Inputs!$K$5:$AJ$180,0,MATCH(Q$2,Inputs!$K$4:$AJ$4,0))))+SUMPRODUCT((Inputs!$C$5:$C$180=$B16)*ISNUMBER(INDEX(Inputs!$K$5:$AJ$180,0,MATCH(Q$2,Inputs!$K$4:$AJ$4,0))))+SUMPRODUCT((Inputs!$E$5:$E$180=$B16)*ISNUMBER(INDEX(Inputs!$K$5:$AJ$180,0,MATCH(Q$2,Inputs!$K$4:$AJ$4,0))))=0,NA(),SUMPRODUCT((Inputs!$A$5:$A$180=$B16)*Inputs!$B$5:$B$180*(((Inputs!$G$5:$G$180="moeda")+(Inputs!$G$5:$G$180="acoes"))*Inputs!$B$1+((Inputs!$G$5:$G$180&lt;&gt;"moeda")*(Inputs!$G$5:$G$180&lt;&gt;"acoes")))*INDEX(Inputs!$K$5:$AJ$180,0,MATCH(Q$2,Inputs!$K$4:$AJ$4,0)))+SUMPRODUCT((Inputs!$C$5:$C$180=$B16)*Inputs!$D$5:$D$180*(((Inputs!$G$5:$G$180="moeda")+(Inputs!$G$5:$G$180="acoes"))*Inputs!$B$1+((Inputs!$G$5:$G$180&lt;&gt;"moeda")*(Inputs!$G$5:$G$180&lt;&gt;"acoes")))*INDEX(Inputs!$K$5:$AJ$180,0,MATCH(Q$2,Inputs!$K$4:$AJ$4,0)))+SUMPRODUCT((Inputs!$E$5:$E$180=$B16)*Inputs!$F$5:$F$180*(((Inputs!$G$5:$G$180="moeda")+(Inputs!$G$5:$G$180="acoes"))*Inputs!$B$1+((Inputs!$G$5:$G$180&lt;&gt;"moeda")*(Inputs!$G$5:$G$180&lt;&gt;"acoes")))*INDEX(Inputs!$K$5:$AJ$180,0,MATCH(Q$2,Inputs!$K$4:$AJ$4,0)))))</f>
        <v>1505.194</v>
      </c>
      <c r="R16" s="3">
        <f>Q16</f>
        <v>1505.194</v>
      </c>
      <c r="S16" s="6">
        <f>IF(ISNA(MATCH(S$2,Inputs!$K$4:$AJ$4,0)),NA(),IF(SUMPRODUCT((Inputs!$A$5:$A$180=$B16)*ISNUMBER(INDEX(Inputs!$K$5:$AJ$180,0,MATCH(S$2,Inputs!$K$4:$AJ$4,0))))+SUMPRODUCT((Inputs!$C$5:$C$180=$B16)*ISNUMBER(INDEX(Inputs!$K$5:$AJ$180,0,MATCH(S$2,Inputs!$K$4:$AJ$4,0))))+SUMPRODUCT((Inputs!$E$5:$E$180=$B16)*ISNUMBER(INDEX(Inputs!$K$5:$AJ$180,0,MATCH(S$2,Inputs!$K$4:$AJ$4,0))))=0,NA(),SUMPRODUCT((Inputs!$A$5:$A$180=$B16)*Inputs!$B$5:$B$180*(((Inputs!$G$5:$G$180="moeda")+(Inputs!$G$5:$G$180="acoes"))*Inputs!$B$1+((Inputs!$G$5:$G$180&lt;&gt;"moeda")*(Inputs!$G$5:$G$180&lt;&gt;"acoes")))*INDEX(Inputs!$K$5:$AJ$180,0,MATCH(S$2,Inputs!$K$4:$AJ$4,0)))+SUMPRODUCT((Inputs!$C$5:$C$180=$B16)*Inputs!$D$5:$D$180*(((Inputs!$G$5:$G$180="moeda")+(Inputs!$G$5:$G$180="acoes"))*Inputs!$B$1+((Inputs!$G$5:$G$180&lt;&gt;"moeda")*(Inputs!$G$5:$G$180&lt;&gt;"acoes")))*INDEX(Inputs!$K$5:$AJ$180,0,MATCH(S$2,Inputs!$K$4:$AJ$4,0)))+SUMPRODUCT((Inputs!$E$5:$E$180=$B16)*Inputs!$F$5:$F$180*(((Inputs!$G$5:$G$180="moeda")+(Inputs!$G$5:$G$180="acoes"))*Inputs!$B$1+((Inputs!$G$5:$G$180&lt;&gt;"moeda")*(Inputs!$G$5:$G$180&lt;&gt;"acoes")))*INDEX(Inputs!$K$5:$AJ$180,0,MATCH(S$2,Inputs!$K$4:$AJ$4,0)))))</f>
        <v>1731.049</v>
      </c>
      <c r="T16" s="6">
        <f>IF(ISNA(MATCH(T$2,Inputs!$K$4:$AJ$4,0)),NA(),IF(SUMPRODUCT((Inputs!$A$5:$A$180=$B16)*ISNUMBER(INDEX(Inputs!$K$5:$AJ$180,0,MATCH(T$2,Inputs!$K$4:$AJ$4,0))))+SUMPRODUCT((Inputs!$C$5:$C$180=$B16)*ISNUMBER(INDEX(Inputs!$K$5:$AJ$180,0,MATCH(T$2,Inputs!$K$4:$AJ$4,0))))+SUMPRODUCT((Inputs!$E$5:$E$180=$B16)*ISNUMBER(INDEX(Inputs!$K$5:$AJ$180,0,MATCH(T$2,Inputs!$K$4:$AJ$4,0))))=0,NA(),SUMPRODUCT((Inputs!$A$5:$A$180=$B16)*Inputs!$B$5:$B$180*(((Inputs!$G$5:$G$180="moeda")+(Inputs!$G$5:$G$180="acoes"))*Inputs!$B$1+((Inputs!$G$5:$G$180&lt;&gt;"moeda")*(Inputs!$G$5:$G$180&lt;&gt;"acoes")))*INDEX(Inputs!$K$5:$AJ$180,0,MATCH(T$2,Inputs!$K$4:$AJ$4,0)))+SUMPRODUCT((Inputs!$C$5:$C$180=$B16)*Inputs!$D$5:$D$180*(((Inputs!$G$5:$G$180="moeda")+(Inputs!$G$5:$G$180="acoes"))*Inputs!$B$1+((Inputs!$G$5:$G$180&lt;&gt;"moeda")*(Inputs!$G$5:$G$180&lt;&gt;"acoes")))*INDEX(Inputs!$K$5:$AJ$180,0,MATCH(T$2,Inputs!$K$4:$AJ$4,0)))+SUMPRODUCT((Inputs!$E$5:$E$180=$B16)*Inputs!$F$5:$F$180*(((Inputs!$G$5:$G$180="moeda")+(Inputs!$G$5:$G$180="acoes"))*Inputs!$B$1+((Inputs!$G$5:$G$180&lt;&gt;"moeda")*(Inputs!$G$5:$G$180&lt;&gt;"acoes")))*INDEX(Inputs!$K$5:$AJ$180,0,MATCH(T$2,Inputs!$K$4:$AJ$4,0)))))</f>
        <v>1759.05</v>
      </c>
      <c r="U16" s="6">
        <f>IF(ISNA(MATCH(U$2,Inputs!$K$4:$AJ$4,0)),NA(),IF(SUMPRODUCT((Inputs!$A$5:$A$180=$B16)*ISNUMBER(INDEX(Inputs!$K$5:$AJ$180,0,MATCH(U$2,Inputs!$K$4:$AJ$4,0))))+SUMPRODUCT((Inputs!$C$5:$C$180=$B16)*ISNUMBER(INDEX(Inputs!$K$5:$AJ$180,0,MATCH(U$2,Inputs!$K$4:$AJ$4,0))))+SUMPRODUCT((Inputs!$E$5:$E$180=$B16)*ISNUMBER(INDEX(Inputs!$K$5:$AJ$180,0,MATCH(U$2,Inputs!$K$4:$AJ$4,0))))=0,NA(),SUMPRODUCT((Inputs!$A$5:$A$180=$B16)*Inputs!$B$5:$B$180*(((Inputs!$G$5:$G$180="moeda")+(Inputs!$G$5:$G$180="acoes"))*Inputs!$B$1+((Inputs!$G$5:$G$180&lt;&gt;"moeda")*(Inputs!$G$5:$G$180&lt;&gt;"acoes")))*INDEX(Inputs!$K$5:$AJ$180,0,MATCH(U$2,Inputs!$K$4:$AJ$4,0)))+SUMPRODUCT((Inputs!$C$5:$C$180=$B16)*Inputs!$D$5:$D$180*(((Inputs!$G$5:$G$180="moeda")+(Inputs!$G$5:$G$180="acoes"))*Inputs!$B$1+((Inputs!$G$5:$G$180&lt;&gt;"moeda")*(Inputs!$G$5:$G$180&lt;&gt;"acoes")))*INDEX(Inputs!$K$5:$AJ$180,0,MATCH(U$2,Inputs!$K$4:$AJ$4,0)))+SUMPRODUCT((Inputs!$E$5:$E$180=$B16)*Inputs!$F$5:$F$180*(((Inputs!$G$5:$G$180="moeda")+(Inputs!$G$5:$G$180="acoes"))*Inputs!$B$1+((Inputs!$G$5:$G$180&lt;&gt;"moeda")*(Inputs!$G$5:$G$180&lt;&gt;"acoes")))*INDEX(Inputs!$K$5:$AJ$180,0,MATCH(U$2,Inputs!$K$4:$AJ$4,0)))))</f>
        <v>1763.847</v>
      </c>
      <c r="V16" s="6">
        <f>IF(ISNA(MATCH(V$2,Inputs!$K$4:$AJ$4,0)),NA(),IF(SUMPRODUCT((Inputs!$A$5:$A$180=$B16)*ISNUMBER(INDEX(Inputs!$K$5:$AJ$180,0,MATCH(V$2,Inputs!$K$4:$AJ$4,0))))+SUMPRODUCT((Inputs!$C$5:$C$180=$B16)*ISNUMBER(INDEX(Inputs!$K$5:$AJ$180,0,MATCH(V$2,Inputs!$K$4:$AJ$4,0))))+SUMPRODUCT((Inputs!$E$5:$E$180=$B16)*ISNUMBER(INDEX(Inputs!$K$5:$AJ$180,0,MATCH(V$2,Inputs!$K$4:$AJ$4,0))))=0,NA(),SUMPRODUCT((Inputs!$A$5:$A$180=$B16)*Inputs!$B$5:$B$180*(((Inputs!$G$5:$G$180="moeda")+(Inputs!$G$5:$G$180="acoes"))*Inputs!$B$1+((Inputs!$G$5:$G$180&lt;&gt;"moeda")*(Inputs!$G$5:$G$180&lt;&gt;"acoes")))*INDEX(Inputs!$K$5:$AJ$180,0,MATCH(V$2,Inputs!$K$4:$AJ$4,0)))+SUMPRODUCT((Inputs!$C$5:$C$180=$B16)*Inputs!$D$5:$D$180*(((Inputs!$G$5:$G$180="moeda")+(Inputs!$G$5:$G$180="acoes"))*Inputs!$B$1+((Inputs!$G$5:$G$180&lt;&gt;"moeda")*(Inputs!$G$5:$G$180&lt;&gt;"acoes")))*INDEX(Inputs!$K$5:$AJ$180,0,MATCH(V$2,Inputs!$K$4:$AJ$4,0)))+SUMPRODUCT((Inputs!$E$5:$E$180=$B16)*Inputs!$F$5:$F$180*(((Inputs!$G$5:$G$180="moeda")+(Inputs!$G$5:$G$180="acoes"))*Inputs!$B$1+((Inputs!$G$5:$G$180&lt;&gt;"moeda")*(Inputs!$G$5:$G$180&lt;&gt;"acoes")))*INDEX(Inputs!$K$5:$AJ$180,0,MATCH(V$2,Inputs!$K$4:$AJ$4,0)))))</f>
        <v>1634.904</v>
      </c>
      <c r="W16" s="3">
        <f>V16</f>
        <v>1634.904</v>
      </c>
      <c r="X16" s="6">
        <f>IF(ISNA(MATCH(X$2,Inputs!$K$4:$AJ$4,0)),NA(),IF(SUMPRODUCT((Inputs!$A$5:$A$180=$B16)*ISNUMBER(INDEX(Inputs!$K$5:$AJ$180,0,MATCH(X$2,Inputs!$K$4:$AJ$4,0))))+SUMPRODUCT((Inputs!$C$5:$C$180=$B16)*ISNUMBER(INDEX(Inputs!$K$5:$AJ$180,0,MATCH(X$2,Inputs!$K$4:$AJ$4,0))))+SUMPRODUCT((Inputs!$E$5:$E$180=$B16)*ISNUMBER(INDEX(Inputs!$K$5:$AJ$180,0,MATCH(X$2,Inputs!$K$4:$AJ$4,0))))=0,NA(),SUMPRODUCT((Inputs!$A$5:$A$180=$B16)*Inputs!$B$5:$B$180*(((Inputs!$G$5:$G$180="moeda")+(Inputs!$G$5:$G$180="acoes"))*Inputs!$B$1+((Inputs!$G$5:$G$180&lt;&gt;"moeda")*(Inputs!$G$5:$G$180&lt;&gt;"acoes")))*INDEX(Inputs!$K$5:$AJ$180,0,MATCH(X$2,Inputs!$K$4:$AJ$4,0)))+SUMPRODUCT((Inputs!$C$5:$C$180=$B16)*Inputs!$D$5:$D$180*(((Inputs!$G$5:$G$180="moeda")+(Inputs!$G$5:$G$180="acoes"))*Inputs!$B$1+((Inputs!$G$5:$G$180&lt;&gt;"moeda")*(Inputs!$G$5:$G$180&lt;&gt;"acoes")))*INDEX(Inputs!$K$5:$AJ$180,0,MATCH(X$2,Inputs!$K$4:$AJ$4,0)))+SUMPRODUCT((Inputs!$E$5:$E$180=$B16)*Inputs!$F$5:$F$180*(((Inputs!$G$5:$G$180="moeda")+(Inputs!$G$5:$G$180="acoes"))*Inputs!$B$1+((Inputs!$G$5:$G$180&lt;&gt;"moeda")*(Inputs!$G$5:$G$180&lt;&gt;"acoes")))*INDEX(Inputs!$K$5:$AJ$180,0,MATCH(X$2,Inputs!$K$4:$AJ$4,0)))))</f>
        <v>1789.123657</v>
      </c>
      <c r="Y16" s="6">
        <f>IF(ISNA(MATCH(Y$2,Inputs!$K$4:$AJ$4,0)),NA(),IF(SUMPRODUCT((Inputs!$A$5:$A$180=$B16)*ISNUMBER(INDEX(Inputs!$K$5:$AJ$180,0,MATCH(Y$2,Inputs!$K$4:$AJ$4,0))))+SUMPRODUCT((Inputs!$C$5:$C$180=$B16)*ISNUMBER(INDEX(Inputs!$K$5:$AJ$180,0,MATCH(Y$2,Inputs!$K$4:$AJ$4,0))))+SUMPRODUCT((Inputs!$E$5:$E$180=$B16)*ISNUMBER(INDEX(Inputs!$K$5:$AJ$180,0,MATCH(Y$2,Inputs!$K$4:$AJ$4,0))))=0,NA(),SUMPRODUCT((Inputs!$A$5:$A$180=$B16)*Inputs!$B$5:$B$180*(((Inputs!$G$5:$G$180="moeda")+(Inputs!$G$5:$G$180="acoes"))*Inputs!$B$1+((Inputs!$G$5:$G$180&lt;&gt;"moeda")*(Inputs!$G$5:$G$180&lt;&gt;"acoes")))*INDEX(Inputs!$K$5:$AJ$180,0,MATCH(Y$2,Inputs!$K$4:$AJ$4,0)))+SUMPRODUCT((Inputs!$C$5:$C$180=$B16)*Inputs!$D$5:$D$180*(((Inputs!$G$5:$G$180="moeda")+(Inputs!$G$5:$G$180="acoes"))*Inputs!$B$1+((Inputs!$G$5:$G$180&lt;&gt;"moeda")*(Inputs!$G$5:$G$180&lt;&gt;"acoes")))*INDEX(Inputs!$K$5:$AJ$180,0,MATCH(Y$2,Inputs!$K$4:$AJ$4,0)))+SUMPRODUCT((Inputs!$E$5:$E$180=$B16)*Inputs!$F$5:$F$180*(((Inputs!$G$5:$G$180="moeda")+(Inputs!$G$5:$G$180="acoes"))*Inputs!$B$1+((Inputs!$G$5:$G$180&lt;&gt;"moeda")*(Inputs!$G$5:$G$180&lt;&gt;"acoes")))*INDEX(Inputs!$K$5:$AJ$180,0,MATCH(Y$2,Inputs!$K$4:$AJ$4,0)))))</f>
        <v>1859.62</v>
      </c>
      <c r="Z16" s="6">
        <f>IF(ISNA(MATCH(Z$2,Inputs!$K$4:$AJ$4,0)),NA(),IF(SUMPRODUCT((Inputs!$A$5:$A$180=$B16)*ISNUMBER(INDEX(Inputs!$K$5:$AJ$180,0,MATCH(Z$2,Inputs!$K$4:$AJ$4,0))))+SUMPRODUCT((Inputs!$C$5:$C$180=$B16)*ISNUMBER(INDEX(Inputs!$K$5:$AJ$180,0,MATCH(Z$2,Inputs!$K$4:$AJ$4,0))))+SUMPRODUCT((Inputs!$E$5:$E$180=$B16)*ISNUMBER(INDEX(Inputs!$K$5:$AJ$180,0,MATCH(Z$2,Inputs!$K$4:$AJ$4,0))))=0,NA(),SUMPRODUCT((Inputs!$A$5:$A$180=$B16)*Inputs!$B$5:$B$180*(((Inputs!$G$5:$G$180="moeda")+(Inputs!$G$5:$G$180="acoes"))*Inputs!$B$1+((Inputs!$G$5:$G$180&lt;&gt;"moeda")*(Inputs!$G$5:$G$180&lt;&gt;"acoes")))*INDEX(Inputs!$K$5:$AJ$180,0,MATCH(Z$2,Inputs!$K$4:$AJ$4,0)))+SUMPRODUCT((Inputs!$C$5:$C$180=$B16)*Inputs!$D$5:$D$180*(((Inputs!$G$5:$G$180="moeda")+(Inputs!$G$5:$G$180="acoes"))*Inputs!$B$1+((Inputs!$G$5:$G$180&lt;&gt;"moeda")*(Inputs!$G$5:$G$180&lt;&gt;"acoes")))*INDEX(Inputs!$K$5:$AJ$180,0,MATCH(Z$2,Inputs!$K$4:$AJ$4,0)))+SUMPRODUCT((Inputs!$E$5:$E$180=$B16)*Inputs!$F$5:$F$180*(((Inputs!$G$5:$G$180="moeda")+(Inputs!$G$5:$G$180="acoes"))*Inputs!$B$1+((Inputs!$G$5:$G$180&lt;&gt;"moeda")*(Inputs!$G$5:$G$180&lt;&gt;"acoes")))*INDEX(Inputs!$K$5:$AJ$180,0,MATCH(Z$2,Inputs!$K$4:$AJ$4,0)))))</f>
        <v>1911.173</v>
      </c>
      <c r="AA16" s="6">
        <f>IF(ISNA(MATCH(AA$2,Inputs!$K$4:$AJ$4,0)),NA(),IF(SUMPRODUCT((Inputs!$A$5:$A$180=$B16)*ISNUMBER(INDEX(Inputs!$K$5:$AJ$180,0,MATCH(AA$2,Inputs!$K$4:$AJ$4,0))))+SUMPRODUCT((Inputs!$C$5:$C$180=$B16)*ISNUMBER(INDEX(Inputs!$K$5:$AJ$180,0,MATCH(AA$2,Inputs!$K$4:$AJ$4,0))))+SUMPRODUCT((Inputs!$E$5:$E$180=$B16)*ISNUMBER(INDEX(Inputs!$K$5:$AJ$180,0,MATCH(AA$2,Inputs!$K$4:$AJ$4,0))))=0,NA(),SUMPRODUCT((Inputs!$A$5:$A$180=$B16)*Inputs!$B$5:$B$180*(((Inputs!$G$5:$G$180="moeda")+(Inputs!$G$5:$G$180="acoes"))*Inputs!$B$1+((Inputs!$G$5:$G$180&lt;&gt;"moeda")*(Inputs!$G$5:$G$180&lt;&gt;"acoes")))*INDEX(Inputs!$K$5:$AJ$180,0,MATCH(AA$2,Inputs!$K$4:$AJ$4,0)))+SUMPRODUCT((Inputs!$C$5:$C$180=$B16)*Inputs!$D$5:$D$180*(((Inputs!$G$5:$G$180="moeda")+(Inputs!$G$5:$G$180="acoes"))*Inputs!$B$1+((Inputs!$G$5:$G$180&lt;&gt;"moeda")*(Inputs!$G$5:$G$180&lt;&gt;"acoes")))*INDEX(Inputs!$K$5:$AJ$180,0,MATCH(AA$2,Inputs!$K$4:$AJ$4,0)))+SUMPRODUCT((Inputs!$E$5:$E$180=$B16)*Inputs!$F$5:$F$180*(((Inputs!$G$5:$G$180="moeda")+(Inputs!$G$5:$G$180="acoes"))*Inputs!$B$1+((Inputs!$G$5:$G$180&lt;&gt;"moeda")*(Inputs!$G$5:$G$180&lt;&gt;"acoes")))*INDEX(Inputs!$K$5:$AJ$180,0,MATCH(AA$2,Inputs!$K$4:$AJ$4,0)))))</f>
        <v>1747.166</v>
      </c>
      <c r="AB16" s="3">
        <f>AA16</f>
        <v>1747.166</v>
      </c>
      <c r="AC16" s="6">
        <f>IF(ISNA(MATCH(AC$2,Inputs!$K$4:$AJ$4,0)),NA(),IF(SUMPRODUCT((Inputs!$A$5:$A$180=$B16)*ISNUMBER(INDEX(Inputs!$K$5:$AJ$180,0,MATCH(AC$2,Inputs!$K$4:$AJ$4,0))))+SUMPRODUCT((Inputs!$C$5:$C$180=$B16)*ISNUMBER(INDEX(Inputs!$K$5:$AJ$180,0,MATCH(AC$2,Inputs!$K$4:$AJ$4,0))))+SUMPRODUCT((Inputs!$E$5:$E$180=$B16)*ISNUMBER(INDEX(Inputs!$K$5:$AJ$180,0,MATCH(AC$2,Inputs!$K$4:$AJ$4,0))))=0,NA(),SUMPRODUCT((Inputs!$A$5:$A$180=$B16)*Inputs!$B$5:$B$180*(((Inputs!$G$5:$G$180="moeda")+(Inputs!$G$5:$G$180="acoes"))*Inputs!$B$1+((Inputs!$G$5:$G$180&lt;&gt;"moeda")*(Inputs!$G$5:$G$180&lt;&gt;"acoes")))*INDEX(Inputs!$K$5:$AJ$180,0,MATCH(AC$2,Inputs!$K$4:$AJ$4,0)))+SUMPRODUCT((Inputs!$C$5:$C$180=$B16)*Inputs!$D$5:$D$180*(((Inputs!$G$5:$G$180="moeda")+(Inputs!$G$5:$G$180="acoes"))*Inputs!$B$1+((Inputs!$G$5:$G$180&lt;&gt;"moeda")*(Inputs!$G$5:$G$180&lt;&gt;"acoes")))*INDEX(Inputs!$K$5:$AJ$180,0,MATCH(AC$2,Inputs!$K$4:$AJ$4,0)))+SUMPRODUCT((Inputs!$E$5:$E$180=$B16)*Inputs!$F$5:$F$180*(((Inputs!$G$5:$G$180="moeda")+(Inputs!$G$5:$G$180="acoes"))*Inputs!$B$1+((Inputs!$G$5:$G$180&lt;&gt;"moeda")*(Inputs!$G$5:$G$180&lt;&gt;"acoes")))*INDEX(Inputs!$K$5:$AJ$180,0,MATCH(AC$2,Inputs!$K$4:$AJ$4,0)))))</f>
        <v>2005.869</v>
      </c>
      <c r="AD16" s="6">
        <f>IF(ISNA(MATCH(AD$2,Inputs!$K$4:$AJ$4,0)),NA(),IF(SUMPRODUCT((Inputs!$A$5:$A$180=$B16)*ISNUMBER(INDEX(Inputs!$K$5:$AJ$180,0,MATCH(AD$2,Inputs!$K$4:$AJ$4,0))))+SUMPRODUCT((Inputs!$C$5:$C$180=$B16)*ISNUMBER(INDEX(Inputs!$K$5:$AJ$180,0,MATCH(AD$2,Inputs!$K$4:$AJ$4,0))))+SUMPRODUCT((Inputs!$E$5:$E$180=$B16)*ISNUMBER(INDEX(Inputs!$K$5:$AJ$180,0,MATCH(AD$2,Inputs!$K$4:$AJ$4,0))))=0,NA(),SUMPRODUCT((Inputs!$A$5:$A$180=$B16)*Inputs!$B$5:$B$180*(((Inputs!$G$5:$G$180="moeda")+(Inputs!$G$5:$G$180="acoes"))*Inputs!$B$1+((Inputs!$G$5:$G$180&lt;&gt;"moeda")*(Inputs!$G$5:$G$180&lt;&gt;"acoes")))*INDEX(Inputs!$K$5:$AJ$180,0,MATCH(AD$2,Inputs!$K$4:$AJ$4,0)))+SUMPRODUCT((Inputs!$C$5:$C$180=$B16)*Inputs!$D$5:$D$180*(((Inputs!$G$5:$G$180="moeda")+(Inputs!$G$5:$G$180="acoes"))*Inputs!$B$1+((Inputs!$G$5:$G$180&lt;&gt;"moeda")*(Inputs!$G$5:$G$180&lt;&gt;"acoes")))*INDEX(Inputs!$K$5:$AJ$180,0,MATCH(AD$2,Inputs!$K$4:$AJ$4,0)))+SUMPRODUCT((Inputs!$E$5:$E$180=$B16)*Inputs!$F$5:$F$180*(((Inputs!$G$5:$G$180="moeda")+(Inputs!$G$5:$G$180="acoes"))*Inputs!$B$1+((Inputs!$G$5:$G$180&lt;&gt;"moeda")*(Inputs!$G$5:$G$180&lt;&gt;"acoes")))*INDEX(Inputs!$K$5:$AJ$180,0,MATCH(AD$2,Inputs!$K$4:$AJ$4,0)))))</f>
        <v>2094.735</v>
      </c>
      <c r="AE16" s="6" t="e">
        <f>IF(ISNA(MATCH(AE$2,Inputs!$K$4:$AJ$4,0)),NA(),IF(SUMPRODUCT((Inputs!$A$5:$A$180=$B16)*ISNUMBER(INDEX(Inputs!$K$5:$AJ$180,0,MATCH(AE$2,Inputs!$K$4:$AJ$4,0))))+SUMPRODUCT((Inputs!$C$5:$C$180=$B16)*ISNUMBER(INDEX(Inputs!$K$5:$AJ$180,0,MATCH(AE$2,Inputs!$K$4:$AJ$4,0))))+SUMPRODUCT((Inputs!$E$5:$E$180=$B16)*ISNUMBER(INDEX(Inputs!$K$5:$AJ$180,0,MATCH(AE$2,Inputs!$K$4:$AJ$4,0))))=0,NA(),SUMPRODUCT((Inputs!$A$5:$A$180=$B16)*Inputs!$B$5:$B$180*(((Inputs!$G$5:$G$180="moeda")+(Inputs!$G$5:$G$180="acoes"))*Inputs!$B$1+((Inputs!$G$5:$G$180&lt;&gt;"moeda")*(Inputs!$G$5:$G$180&lt;&gt;"acoes")))*INDEX(Inputs!$K$5:$AJ$180,0,MATCH(AE$2,Inputs!$K$4:$AJ$4,0)))+SUMPRODUCT((Inputs!$C$5:$C$180=$B16)*Inputs!$D$5:$D$180*(((Inputs!$G$5:$G$180="moeda")+(Inputs!$G$5:$G$180="acoes"))*Inputs!$B$1+((Inputs!$G$5:$G$180&lt;&gt;"moeda")*(Inputs!$G$5:$G$180&lt;&gt;"acoes")))*INDEX(Inputs!$K$5:$AJ$180,0,MATCH(AE$2,Inputs!$K$4:$AJ$4,0)))+SUMPRODUCT((Inputs!$E$5:$E$180=$B16)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6" s="6" t="e">
        <f>IF(ISNA(MATCH(AF$2,Inputs!$K$4:$AJ$4,0)),NA(),IF(SUMPRODUCT((Inputs!$A$5:$A$180=$B16)*ISNUMBER(INDEX(Inputs!$K$5:$AJ$180,0,MATCH(AF$2,Inputs!$K$4:$AJ$4,0))))+SUMPRODUCT((Inputs!$C$5:$C$180=$B16)*ISNUMBER(INDEX(Inputs!$K$5:$AJ$180,0,MATCH(AF$2,Inputs!$K$4:$AJ$4,0))))+SUMPRODUCT((Inputs!$E$5:$E$180=$B16)*ISNUMBER(INDEX(Inputs!$K$5:$AJ$180,0,MATCH(AF$2,Inputs!$K$4:$AJ$4,0))))=0,NA(),SUMPRODUCT((Inputs!$A$5:$A$180=$B16)*Inputs!$B$5:$B$180*(((Inputs!$G$5:$G$180="moeda")+(Inputs!$G$5:$G$180="acoes"))*Inputs!$B$1+((Inputs!$G$5:$G$180&lt;&gt;"moeda")*(Inputs!$G$5:$G$180&lt;&gt;"acoes")))*INDEX(Inputs!$K$5:$AJ$180,0,MATCH(AF$2,Inputs!$K$4:$AJ$4,0)))+SUMPRODUCT((Inputs!$C$5:$C$180=$B16)*Inputs!$D$5:$D$180*(((Inputs!$G$5:$G$180="moeda")+(Inputs!$G$5:$G$180="acoes"))*Inputs!$B$1+((Inputs!$G$5:$G$180&lt;&gt;"moeda")*(Inputs!$G$5:$G$180&lt;&gt;"acoes")))*INDEX(Inputs!$K$5:$AJ$180,0,MATCH(AF$2,Inputs!$K$4:$AJ$4,0)))+SUMPRODUCT((Inputs!$E$5:$E$180=$B16)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6" s="3" t="e">
        <f>AF16</f>
        <v>#N/A</v>
      </c>
      <c r="AH16" s="6">
        <f>IF(ISNA(MATCH(AH$2,Inputs!$K$4:$AJ$4,0)),NA(),IF(SUMPRODUCT((Inputs!$A$5:$A$180=$B16)*ISNUMBER(INDEX(Inputs!$K$5:$AJ$180,0,MATCH(AH$2,Inputs!$K$4:$AJ$4,0))))+SUMPRODUCT((Inputs!$C$5:$C$180=$B16)*ISNUMBER(INDEX(Inputs!$K$5:$AJ$180,0,MATCH(AH$2,Inputs!$K$4:$AJ$4,0))))+SUMPRODUCT((Inputs!$E$5:$E$180=$B16)*ISNUMBER(INDEX(Inputs!$K$5:$AJ$180,0,MATCH(AH$2,Inputs!$K$4:$AJ$4,0))))=0,NA(),SUMPRODUCT((Inputs!$A$5:$A$180=$B16)*Inputs!$B$5:$B$180*(((Inputs!$G$5:$G$180="moeda")+(Inputs!$G$5:$G$180="acoes"))*Inputs!$B$1+((Inputs!$G$5:$G$180&lt;&gt;"moeda")*(Inputs!$G$5:$G$180&lt;&gt;"acoes")))*INDEX(Inputs!$K$5:$AJ$180,0,MATCH(AH$2,Inputs!$K$4:$AJ$4,0)))+SUMPRODUCT((Inputs!$C$5:$C$180=$B16)*Inputs!$D$5:$D$180*(((Inputs!$G$5:$G$180="moeda")+(Inputs!$G$5:$G$180="acoes"))*Inputs!$B$1+((Inputs!$G$5:$G$180&lt;&gt;"moeda")*(Inputs!$G$5:$G$180&lt;&gt;"acoes")))*INDEX(Inputs!$K$5:$AJ$180,0,MATCH(AH$2,Inputs!$K$4:$AJ$4,0)))+SUMPRODUCT((Inputs!$E$5:$E$180=$B16)*Inputs!$F$5:$F$180*(((Inputs!$G$5:$G$180="moeda")+(Inputs!$G$5:$G$180="acoes"))*Inputs!$B$1+((Inputs!$G$5:$G$180&lt;&gt;"moeda")*(Inputs!$G$5:$G$180&lt;&gt;"acoes")))*INDEX(Inputs!$K$5:$AJ$180,0,MATCH(AH$2,Inputs!$K$4:$AJ$4,0)))))</f>
        <v>548.08151402</v>
      </c>
      <c r="AI16" s="6">
        <f>IF(ISNA(MATCH(AI$2,Inputs!$K$4:$AJ$4,0)),NA(),IF(SUMPRODUCT((Inputs!$A$5:$A$180=$B16)*ISNUMBER(INDEX(Inputs!$K$5:$AJ$180,0,MATCH(AI$2,Inputs!$K$4:$AJ$4,0))))+SUMPRODUCT((Inputs!$C$5:$C$180=$B16)*ISNUMBER(INDEX(Inputs!$K$5:$AJ$180,0,MATCH(AI$2,Inputs!$K$4:$AJ$4,0))))+SUMPRODUCT((Inputs!$E$5:$E$180=$B16)*ISNUMBER(INDEX(Inputs!$K$5:$AJ$180,0,MATCH(AI$2,Inputs!$K$4:$AJ$4,0))))=0,NA(),SUMPRODUCT((Inputs!$A$5:$A$180=$B16)*Inputs!$B$5:$B$180*(((Inputs!$G$5:$G$180="moeda")+(Inputs!$G$5:$G$180="acoes"))*Inputs!$B$1+((Inputs!$G$5:$G$180&lt;&gt;"moeda")*(Inputs!$G$5:$G$180&lt;&gt;"acoes")))*INDEX(Inputs!$K$5:$AJ$180,0,MATCH(AI$2,Inputs!$K$4:$AJ$4,0)))+SUMPRODUCT((Inputs!$C$5:$C$180=$B16)*Inputs!$D$5:$D$180*(((Inputs!$G$5:$G$180="moeda")+(Inputs!$G$5:$G$180="acoes"))*Inputs!$B$1+((Inputs!$G$5:$G$180&lt;&gt;"moeda")*(Inputs!$G$5:$G$180&lt;&gt;"acoes")))*INDEX(Inputs!$K$5:$AJ$180,0,MATCH(AI$2,Inputs!$K$4:$AJ$4,0)))+SUMPRODUCT((Inputs!$E$5:$E$180=$B16)*Inputs!$F$5:$F$180*(((Inputs!$G$5:$G$180="moeda")+(Inputs!$G$5:$G$180="acoes"))*Inputs!$B$1+((Inputs!$G$5:$G$180&lt;&gt;"moeda")*(Inputs!$G$5:$G$180&lt;&gt;"acoes")))*INDEX(Inputs!$K$5:$AJ$180,0,MATCH(AI$2,Inputs!$K$4:$AJ$4,0)))))</f>
        <v>425.91700577</v>
      </c>
      <c r="AJ16" s="6">
        <f>IF(ISNA(MATCH(AJ$2,Inputs!$K$4:$AJ$4,0)),NA(),IF(SUMPRODUCT((Inputs!$A$5:$A$180=$B16)*ISNUMBER(INDEX(Inputs!$K$5:$AJ$180,0,MATCH(AJ$2,Inputs!$K$4:$AJ$4,0))))+SUMPRODUCT((Inputs!$C$5:$C$180=$B16)*ISNUMBER(INDEX(Inputs!$K$5:$AJ$180,0,MATCH(AJ$2,Inputs!$K$4:$AJ$4,0))))+SUMPRODUCT((Inputs!$E$5:$E$180=$B16)*ISNUMBER(INDEX(Inputs!$K$5:$AJ$180,0,MATCH(AJ$2,Inputs!$K$4:$AJ$4,0))))=0,NA(),SUMPRODUCT((Inputs!$A$5:$A$180=$B16)*Inputs!$B$5:$B$180*(((Inputs!$G$5:$G$180="moeda")+(Inputs!$G$5:$G$180="acoes"))*Inputs!$B$1+((Inputs!$G$5:$G$180&lt;&gt;"moeda")*(Inputs!$G$5:$G$180&lt;&gt;"acoes")))*INDEX(Inputs!$K$5:$AJ$180,0,MATCH(AJ$2,Inputs!$K$4:$AJ$4,0)))+SUMPRODUCT((Inputs!$C$5:$C$180=$B16)*Inputs!$D$5:$D$180*(((Inputs!$G$5:$G$180="moeda")+(Inputs!$G$5:$G$180="acoes"))*Inputs!$B$1+((Inputs!$G$5:$G$180&lt;&gt;"moeda")*(Inputs!$G$5:$G$180&lt;&gt;"acoes")))*INDEX(Inputs!$K$5:$AJ$180,0,MATCH(AJ$2,Inputs!$K$4:$AJ$4,0)))+SUMPRODUCT((Inputs!$E$5:$E$180=$B16)*Inputs!$F$5:$F$180*(((Inputs!$G$5:$G$180="moeda")+(Inputs!$G$5:$G$180="acoes"))*Inputs!$B$1+((Inputs!$G$5:$G$180&lt;&gt;"moeda")*(Inputs!$G$5:$G$180&lt;&gt;"acoes")))*INDEX(Inputs!$K$5:$AJ$180,0,MATCH(AJ$2,Inputs!$K$4:$AJ$4,0)))))</f>
        <v>642.00719746</v>
      </c>
      <c r="AK16" s="6">
        <f>IF(ISNA(MATCH(AK$2,Inputs!$K$4:$AJ$4,0)),NA(),IF(SUMPRODUCT((Inputs!$A$5:$A$180=$B16)*ISNUMBER(INDEX(Inputs!$K$5:$AJ$180,0,MATCH(AK$2,Inputs!$K$4:$AJ$4,0))))+SUMPRODUCT((Inputs!$C$5:$C$180=$B16)*ISNUMBER(INDEX(Inputs!$K$5:$AJ$180,0,MATCH(AK$2,Inputs!$K$4:$AJ$4,0))))+SUMPRODUCT((Inputs!$E$5:$E$180=$B16)*ISNUMBER(INDEX(Inputs!$K$5:$AJ$180,0,MATCH(AK$2,Inputs!$K$4:$AJ$4,0))))=0,NA(),SUMPRODUCT((Inputs!$A$5:$A$180=$B16)*Inputs!$B$5:$B$180*(((Inputs!$G$5:$G$180="moeda")+(Inputs!$G$5:$G$180="acoes"))*Inputs!$B$1+((Inputs!$G$5:$G$180&lt;&gt;"moeda")*(Inputs!$G$5:$G$180&lt;&gt;"acoes")))*INDEX(Inputs!$K$5:$AJ$180,0,MATCH(AK$2,Inputs!$K$4:$AJ$4,0)))+SUMPRODUCT((Inputs!$C$5:$C$180=$B16)*Inputs!$D$5:$D$180*(((Inputs!$G$5:$G$180="moeda")+(Inputs!$G$5:$G$180="acoes"))*Inputs!$B$1+((Inputs!$G$5:$G$180&lt;&gt;"moeda")*(Inputs!$G$5:$G$180&lt;&gt;"acoes")))*INDEX(Inputs!$K$5:$AJ$180,0,MATCH(AK$2,Inputs!$K$4:$AJ$4,0)))+SUMPRODUCT((Inputs!$E$5:$E$180=$B16)*Inputs!$F$5:$F$180*(((Inputs!$G$5:$G$180="moeda")+(Inputs!$G$5:$G$180="acoes"))*Inputs!$B$1+((Inputs!$G$5:$G$180&lt;&gt;"moeda")*(Inputs!$G$5:$G$180&lt;&gt;"acoes")))*INDEX(Inputs!$K$5:$AJ$180,0,MATCH(AK$2,Inputs!$K$4:$AJ$4,0)))))</f>
        <v>704.46811931</v>
      </c>
      <c r="AL16" s="3">
        <f>AK16</f>
        <v>704.46811931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$180=$B17)*ISNUMBER(INDEX(Inputs!$K$5:$AJ$180,0,MATCH(D$2,Inputs!$K$4:$AJ$4,0))))+SUMPRODUCT((Inputs!$C$5:$C$180=$B17)*ISNUMBER(INDEX(Inputs!$K$5:$AJ$180,0,MATCH(D$2,Inputs!$K$4:$AJ$4,0))))+SUMPRODUCT((Inputs!$E$5:$E$180=$B17)*ISNUMBER(INDEX(Inputs!$K$5:$AJ$180,0,MATCH(D$2,Inputs!$K$4:$AJ$4,0))))=0,NA(),SUMPRODUCT((Inputs!$A$5:$A$180=$B17)*Inputs!$B$5:$B$180*(((Inputs!$G$5:$G$180="moeda")+(Inputs!$G$5:$G$180="acoes"))*Inputs!$B$1+((Inputs!$G$5:$G$180&lt;&gt;"moeda")*(Inputs!$G$5:$G$180&lt;&gt;"acoes")))*INDEX(Inputs!$K$5:$AJ$180,0,MATCH(D$2,Inputs!$K$4:$AJ$4,0)))+SUMPRODUCT((Inputs!$C$5:$C$180=$B17)*Inputs!$D$5:$D$180*(((Inputs!$G$5:$G$180="moeda")+(Inputs!$G$5:$G$180="acoes"))*Inputs!$B$1+((Inputs!$G$5:$G$180&lt;&gt;"moeda")*(Inputs!$G$5:$G$180&lt;&gt;"acoes")))*INDEX(Inputs!$K$5:$AJ$180,0,MATCH(D$2,Inputs!$K$4:$AJ$4,0)))+SUMPRODUCT((Inputs!$E$5:$E$180=$B17)*Inputs!$F$5:$F$180*(((Inputs!$G$5:$G$180="moeda")+(Inputs!$G$5:$G$180="acoes"))*Inputs!$B$1+((Inputs!$G$5:$G$180&lt;&gt;"moeda")*(Inputs!$G$5:$G$180&lt;&gt;"acoes")))*INDEX(Inputs!$K$5:$AJ$180,0,MATCH(D$2,Inputs!$K$4:$AJ$4,0)))))</f>
        <v>63.8348316</v>
      </c>
      <c r="E17" s="6">
        <f>IF(ISNA(MATCH(E$2,Inputs!$K$4:$AJ$4,0)),NA(),IF(SUMPRODUCT((Inputs!$A$5:$A$180=$B17)*ISNUMBER(INDEX(Inputs!$K$5:$AJ$180,0,MATCH(E$2,Inputs!$K$4:$AJ$4,0))))+SUMPRODUCT((Inputs!$C$5:$C$180=$B17)*ISNUMBER(INDEX(Inputs!$K$5:$AJ$180,0,MATCH(E$2,Inputs!$K$4:$AJ$4,0))))+SUMPRODUCT((Inputs!$E$5:$E$180=$B17)*ISNUMBER(INDEX(Inputs!$K$5:$AJ$180,0,MATCH(E$2,Inputs!$K$4:$AJ$4,0))))=0,NA(),SUMPRODUCT((Inputs!$A$5:$A$180=$B17)*Inputs!$B$5:$B$180*(((Inputs!$G$5:$G$180="moeda")+(Inputs!$G$5:$G$180="acoes"))*Inputs!$B$1+((Inputs!$G$5:$G$180&lt;&gt;"moeda")*(Inputs!$G$5:$G$180&lt;&gt;"acoes")))*INDEX(Inputs!$K$5:$AJ$180,0,MATCH(E$2,Inputs!$K$4:$AJ$4,0)))+SUMPRODUCT((Inputs!$C$5:$C$180=$B17)*Inputs!$D$5:$D$180*(((Inputs!$G$5:$G$180="moeda")+(Inputs!$G$5:$G$180="acoes"))*Inputs!$B$1+((Inputs!$G$5:$G$180&lt;&gt;"moeda")*(Inputs!$G$5:$G$180&lt;&gt;"acoes")))*INDEX(Inputs!$K$5:$AJ$180,0,MATCH(E$2,Inputs!$K$4:$AJ$4,0)))+SUMPRODUCT((Inputs!$E$5:$E$180=$B17)*Inputs!$F$5:$F$180*(((Inputs!$G$5:$G$180="moeda")+(Inputs!$G$5:$G$180="acoes"))*Inputs!$B$1+((Inputs!$G$5:$G$180&lt;&gt;"moeda")*(Inputs!$G$5:$G$180&lt;&gt;"acoes")))*INDEX(Inputs!$K$5:$AJ$180,0,MATCH(E$2,Inputs!$K$4:$AJ$4,0)))))</f>
        <v>71.51351074</v>
      </c>
      <c r="F17" s="6">
        <f>IF(ISNA(MATCH(F$2,Inputs!$K$4:$AJ$4,0)),NA(),IF(SUMPRODUCT((Inputs!$A$5:$A$180=$B17)*ISNUMBER(INDEX(Inputs!$K$5:$AJ$180,0,MATCH(F$2,Inputs!$K$4:$AJ$4,0))))+SUMPRODUCT((Inputs!$C$5:$C$180=$B17)*ISNUMBER(INDEX(Inputs!$K$5:$AJ$180,0,MATCH(F$2,Inputs!$K$4:$AJ$4,0))))+SUMPRODUCT((Inputs!$E$5:$E$180=$B17)*ISNUMBER(INDEX(Inputs!$K$5:$AJ$180,0,MATCH(F$2,Inputs!$K$4:$AJ$4,0))))=0,NA(),SUMPRODUCT((Inputs!$A$5:$A$180=$B17)*Inputs!$B$5:$B$180*(((Inputs!$G$5:$G$180="moeda")+(Inputs!$G$5:$G$180="acoes"))*Inputs!$B$1+((Inputs!$G$5:$G$180&lt;&gt;"moeda")*(Inputs!$G$5:$G$180&lt;&gt;"acoes")))*INDEX(Inputs!$K$5:$AJ$180,0,MATCH(F$2,Inputs!$K$4:$AJ$4,0)))+SUMPRODUCT((Inputs!$C$5:$C$180=$B17)*Inputs!$D$5:$D$180*(((Inputs!$G$5:$G$180="moeda")+(Inputs!$G$5:$G$180="acoes"))*Inputs!$B$1+((Inputs!$G$5:$G$180&lt;&gt;"moeda")*(Inputs!$G$5:$G$180&lt;&gt;"acoes")))*INDEX(Inputs!$K$5:$AJ$180,0,MATCH(F$2,Inputs!$K$4:$AJ$4,0)))+SUMPRODUCT((Inputs!$E$5:$E$180=$B17)*Inputs!$F$5:$F$180*(((Inputs!$G$5:$G$180="moeda")+(Inputs!$G$5:$G$180="acoes"))*Inputs!$B$1+((Inputs!$G$5:$G$180&lt;&gt;"moeda")*(Inputs!$G$5:$G$180&lt;&gt;"acoes")))*INDEX(Inputs!$K$5:$AJ$180,0,MATCH(F$2,Inputs!$K$4:$AJ$4,0)))))</f>
        <v>68.37885212</v>
      </c>
      <c r="G17" s="6">
        <f>IF(ISNA(MATCH(G$2,Inputs!$K$4:$AJ$4,0)),NA(),IF(SUMPRODUCT((Inputs!$A$5:$A$180=$B17)*ISNUMBER(INDEX(Inputs!$K$5:$AJ$180,0,MATCH(G$2,Inputs!$K$4:$AJ$4,0))))+SUMPRODUCT((Inputs!$C$5:$C$180=$B17)*ISNUMBER(INDEX(Inputs!$K$5:$AJ$180,0,MATCH(G$2,Inputs!$K$4:$AJ$4,0))))+SUMPRODUCT((Inputs!$E$5:$E$180=$B17)*ISNUMBER(INDEX(Inputs!$K$5:$AJ$180,0,MATCH(G$2,Inputs!$K$4:$AJ$4,0))))=0,NA(),SUMPRODUCT((Inputs!$A$5:$A$180=$B17)*Inputs!$B$5:$B$180*(((Inputs!$G$5:$G$180="moeda")+(Inputs!$G$5:$G$180="acoes"))*Inputs!$B$1+((Inputs!$G$5:$G$180&lt;&gt;"moeda")*(Inputs!$G$5:$G$180&lt;&gt;"acoes")))*INDEX(Inputs!$K$5:$AJ$180,0,MATCH(G$2,Inputs!$K$4:$AJ$4,0)))+SUMPRODUCT((Inputs!$C$5:$C$180=$B17)*Inputs!$D$5:$D$180*(((Inputs!$G$5:$G$180="moeda")+(Inputs!$G$5:$G$180="acoes"))*Inputs!$B$1+((Inputs!$G$5:$G$180&lt;&gt;"moeda")*(Inputs!$G$5:$G$180&lt;&gt;"acoes")))*INDEX(Inputs!$K$5:$AJ$180,0,MATCH(G$2,Inputs!$K$4:$AJ$4,0)))+SUMPRODUCT((Inputs!$E$5:$E$180=$B17)*Inputs!$F$5:$F$180*(((Inputs!$G$5:$G$180="moeda")+(Inputs!$G$5:$G$180="acoes"))*Inputs!$B$1+((Inputs!$G$5:$G$180&lt;&gt;"moeda")*(Inputs!$G$5:$G$180&lt;&gt;"acoes")))*INDEX(Inputs!$K$5:$AJ$180,0,MATCH(G$2,Inputs!$K$4:$AJ$4,0)))))</f>
        <v>72.60991872</v>
      </c>
      <c r="H17" s="3">
        <f>G17</f>
        <v>72.60991872</v>
      </c>
      <c r="I17" s="6">
        <f>IF(ISNA(MATCH(I$2,Inputs!$K$4:$AJ$4,0)),NA(),IF(SUMPRODUCT((Inputs!$A$5:$A$180=$B17)*ISNUMBER(INDEX(Inputs!$K$5:$AJ$180,0,MATCH(I$2,Inputs!$K$4:$AJ$4,0))))+SUMPRODUCT((Inputs!$C$5:$C$180=$B17)*ISNUMBER(INDEX(Inputs!$K$5:$AJ$180,0,MATCH(I$2,Inputs!$K$4:$AJ$4,0))))+SUMPRODUCT((Inputs!$E$5:$E$180=$B17)*ISNUMBER(INDEX(Inputs!$K$5:$AJ$180,0,MATCH(I$2,Inputs!$K$4:$AJ$4,0))))=0,NA(),SUMPRODUCT((Inputs!$A$5:$A$180=$B17)*Inputs!$B$5:$B$180*(((Inputs!$G$5:$G$180="moeda")+(Inputs!$G$5:$G$180="acoes"))*Inputs!$B$1+((Inputs!$G$5:$G$180&lt;&gt;"moeda")*(Inputs!$G$5:$G$180&lt;&gt;"acoes")))*INDEX(Inputs!$K$5:$AJ$180,0,MATCH(I$2,Inputs!$K$4:$AJ$4,0)))+SUMPRODUCT((Inputs!$C$5:$C$180=$B17)*Inputs!$D$5:$D$180*(((Inputs!$G$5:$G$180="moeda")+(Inputs!$G$5:$G$180="acoes"))*Inputs!$B$1+((Inputs!$G$5:$G$180&lt;&gt;"moeda")*(Inputs!$G$5:$G$180&lt;&gt;"acoes")))*INDEX(Inputs!$K$5:$AJ$180,0,MATCH(I$2,Inputs!$K$4:$AJ$4,0)))+SUMPRODUCT((Inputs!$E$5:$E$180=$B17)*Inputs!$F$5:$F$180*(((Inputs!$G$5:$G$180="moeda")+(Inputs!$G$5:$G$180="acoes"))*Inputs!$B$1+((Inputs!$G$5:$G$180&lt;&gt;"moeda")*(Inputs!$G$5:$G$180&lt;&gt;"acoes")))*INDEX(Inputs!$K$5:$AJ$180,0,MATCH(I$2,Inputs!$K$4:$AJ$4,0)))))</f>
        <v>95.16856361</v>
      </c>
      <c r="J17" s="6">
        <f>IF(ISNA(MATCH(J$2,Inputs!$K$4:$AJ$4,0)),NA(),IF(SUMPRODUCT((Inputs!$A$5:$A$180=$B17)*ISNUMBER(INDEX(Inputs!$K$5:$AJ$180,0,MATCH(J$2,Inputs!$K$4:$AJ$4,0))))+SUMPRODUCT((Inputs!$C$5:$C$180=$B17)*ISNUMBER(INDEX(Inputs!$K$5:$AJ$180,0,MATCH(J$2,Inputs!$K$4:$AJ$4,0))))+SUMPRODUCT((Inputs!$E$5:$E$180=$B17)*ISNUMBER(INDEX(Inputs!$K$5:$AJ$180,0,MATCH(J$2,Inputs!$K$4:$AJ$4,0))))=0,NA(),SUMPRODUCT((Inputs!$A$5:$A$180=$B17)*Inputs!$B$5:$B$180*(((Inputs!$G$5:$G$180="moeda")+(Inputs!$G$5:$G$180="acoes"))*Inputs!$B$1+((Inputs!$G$5:$G$180&lt;&gt;"moeda")*(Inputs!$G$5:$G$180&lt;&gt;"acoes")))*INDEX(Inputs!$K$5:$AJ$180,0,MATCH(J$2,Inputs!$K$4:$AJ$4,0)))+SUMPRODUCT((Inputs!$C$5:$C$180=$B17)*Inputs!$D$5:$D$180*(((Inputs!$G$5:$G$180="moeda")+(Inputs!$G$5:$G$180="acoes"))*Inputs!$B$1+((Inputs!$G$5:$G$180&lt;&gt;"moeda")*(Inputs!$G$5:$G$180&lt;&gt;"acoes")))*INDEX(Inputs!$K$5:$AJ$180,0,MATCH(J$2,Inputs!$K$4:$AJ$4,0)))+SUMPRODUCT((Inputs!$E$5:$E$180=$B17)*Inputs!$F$5:$F$180*(((Inputs!$G$5:$G$180="moeda")+(Inputs!$G$5:$G$180="acoes"))*Inputs!$B$1+((Inputs!$G$5:$G$180&lt;&gt;"moeda")*(Inputs!$G$5:$G$180&lt;&gt;"acoes")))*INDEX(Inputs!$K$5:$AJ$180,0,MATCH(J$2,Inputs!$K$4:$AJ$4,0)))))</f>
        <v>76.20863578</v>
      </c>
      <c r="K17" s="6">
        <f>IF(ISNA(MATCH(K$2,Inputs!$K$4:$AJ$4,0)),NA(),IF(SUMPRODUCT((Inputs!$A$5:$A$180=$B17)*ISNUMBER(INDEX(Inputs!$K$5:$AJ$180,0,MATCH(K$2,Inputs!$K$4:$AJ$4,0))))+SUMPRODUCT((Inputs!$C$5:$C$180=$B17)*ISNUMBER(INDEX(Inputs!$K$5:$AJ$180,0,MATCH(K$2,Inputs!$K$4:$AJ$4,0))))+SUMPRODUCT((Inputs!$E$5:$E$180=$B17)*ISNUMBER(INDEX(Inputs!$K$5:$AJ$180,0,MATCH(K$2,Inputs!$K$4:$AJ$4,0))))=0,NA(),SUMPRODUCT((Inputs!$A$5:$A$180=$B17)*Inputs!$B$5:$B$180*(((Inputs!$G$5:$G$180="moeda")+(Inputs!$G$5:$G$180="acoes"))*Inputs!$B$1+((Inputs!$G$5:$G$180&lt;&gt;"moeda")*(Inputs!$G$5:$G$180&lt;&gt;"acoes")))*INDEX(Inputs!$K$5:$AJ$180,0,MATCH(K$2,Inputs!$K$4:$AJ$4,0)))+SUMPRODUCT((Inputs!$C$5:$C$180=$B17)*Inputs!$D$5:$D$180*(((Inputs!$G$5:$G$180="moeda")+(Inputs!$G$5:$G$180="acoes"))*Inputs!$B$1+((Inputs!$G$5:$G$180&lt;&gt;"moeda")*(Inputs!$G$5:$G$180&lt;&gt;"acoes")))*INDEX(Inputs!$K$5:$AJ$180,0,MATCH(K$2,Inputs!$K$4:$AJ$4,0)))+SUMPRODUCT((Inputs!$E$5:$E$180=$B17)*Inputs!$F$5:$F$180*(((Inputs!$G$5:$G$180="moeda")+(Inputs!$G$5:$G$180="acoes"))*Inputs!$B$1+((Inputs!$G$5:$G$180&lt;&gt;"moeda")*(Inputs!$G$5:$G$180&lt;&gt;"acoes")))*INDEX(Inputs!$K$5:$AJ$180,0,MATCH(K$2,Inputs!$K$4:$AJ$4,0)))))</f>
        <v>85.47263984</v>
      </c>
      <c r="L17" s="6">
        <f>IF(ISNA(MATCH(L$2,Inputs!$K$4:$AJ$4,0)),NA(),IF(SUMPRODUCT((Inputs!$A$5:$A$180=$B17)*ISNUMBER(INDEX(Inputs!$K$5:$AJ$180,0,MATCH(L$2,Inputs!$K$4:$AJ$4,0))))+SUMPRODUCT((Inputs!$C$5:$C$180=$B17)*ISNUMBER(INDEX(Inputs!$K$5:$AJ$180,0,MATCH(L$2,Inputs!$K$4:$AJ$4,0))))+SUMPRODUCT((Inputs!$E$5:$E$180=$B17)*ISNUMBER(INDEX(Inputs!$K$5:$AJ$180,0,MATCH(L$2,Inputs!$K$4:$AJ$4,0))))=0,NA(),SUMPRODUCT((Inputs!$A$5:$A$180=$B17)*Inputs!$B$5:$B$180*(((Inputs!$G$5:$G$180="moeda")+(Inputs!$G$5:$G$180="acoes"))*Inputs!$B$1+((Inputs!$G$5:$G$180&lt;&gt;"moeda")*(Inputs!$G$5:$G$180&lt;&gt;"acoes")))*INDEX(Inputs!$K$5:$AJ$180,0,MATCH(L$2,Inputs!$K$4:$AJ$4,0)))+SUMPRODUCT((Inputs!$C$5:$C$180=$B17)*Inputs!$D$5:$D$180*(((Inputs!$G$5:$G$180="moeda")+(Inputs!$G$5:$G$180="acoes"))*Inputs!$B$1+((Inputs!$G$5:$G$180&lt;&gt;"moeda")*(Inputs!$G$5:$G$180&lt;&gt;"acoes")))*INDEX(Inputs!$K$5:$AJ$180,0,MATCH(L$2,Inputs!$K$4:$AJ$4,0)))+SUMPRODUCT((Inputs!$E$5:$E$180=$B17)*Inputs!$F$5:$F$180*(((Inputs!$G$5:$G$180="moeda")+(Inputs!$G$5:$G$180="acoes"))*Inputs!$B$1+((Inputs!$G$5:$G$180&lt;&gt;"moeda")*(Inputs!$G$5:$G$180&lt;&gt;"acoes")))*INDEX(Inputs!$K$5:$AJ$180,0,MATCH(L$2,Inputs!$K$4:$AJ$4,0)))))</f>
        <v>96.57554571</v>
      </c>
      <c r="M17" s="3">
        <f>L17</f>
        <v>96.57554571</v>
      </c>
      <c r="N17" s="6">
        <f>IF(ISNA(MATCH(N$2,Inputs!$K$4:$AJ$4,0)),NA(),IF(SUMPRODUCT((Inputs!$A$5:$A$180=$B17)*ISNUMBER(INDEX(Inputs!$K$5:$AJ$180,0,MATCH(N$2,Inputs!$K$4:$AJ$4,0))))+SUMPRODUCT((Inputs!$C$5:$C$180=$B17)*ISNUMBER(INDEX(Inputs!$K$5:$AJ$180,0,MATCH(N$2,Inputs!$K$4:$AJ$4,0))))+SUMPRODUCT((Inputs!$E$5:$E$180=$B17)*ISNUMBER(INDEX(Inputs!$K$5:$AJ$180,0,MATCH(N$2,Inputs!$K$4:$AJ$4,0))))=0,NA(),SUMPRODUCT((Inputs!$A$5:$A$180=$B17)*Inputs!$B$5:$B$180*(((Inputs!$G$5:$G$180="moeda")+(Inputs!$G$5:$G$180="acoes"))*Inputs!$B$1+((Inputs!$G$5:$G$180&lt;&gt;"moeda")*(Inputs!$G$5:$G$180&lt;&gt;"acoes")))*INDEX(Inputs!$K$5:$AJ$180,0,MATCH(N$2,Inputs!$K$4:$AJ$4,0)))+SUMPRODUCT((Inputs!$C$5:$C$180=$B17)*Inputs!$D$5:$D$180*(((Inputs!$G$5:$G$180="moeda")+(Inputs!$G$5:$G$180="acoes"))*Inputs!$B$1+((Inputs!$G$5:$G$180&lt;&gt;"moeda")*(Inputs!$G$5:$G$180&lt;&gt;"acoes")))*INDEX(Inputs!$K$5:$AJ$180,0,MATCH(N$2,Inputs!$K$4:$AJ$4,0)))+SUMPRODUCT((Inputs!$E$5:$E$180=$B17)*Inputs!$F$5:$F$180*(((Inputs!$G$5:$G$180="moeda")+(Inputs!$G$5:$G$180="acoes"))*Inputs!$B$1+((Inputs!$G$5:$G$180&lt;&gt;"moeda")*(Inputs!$G$5:$G$180&lt;&gt;"acoes")))*INDEX(Inputs!$K$5:$AJ$180,0,MATCH(N$2,Inputs!$K$4:$AJ$4,0)))))</f>
        <v>99.24706762</v>
      </c>
      <c r="O17" s="6">
        <f>IF(ISNA(MATCH(O$2,Inputs!$K$4:$AJ$4,0)),NA(),IF(SUMPRODUCT((Inputs!$A$5:$A$180=$B17)*ISNUMBER(INDEX(Inputs!$K$5:$AJ$180,0,MATCH(O$2,Inputs!$K$4:$AJ$4,0))))+SUMPRODUCT((Inputs!$C$5:$C$180=$B17)*ISNUMBER(INDEX(Inputs!$K$5:$AJ$180,0,MATCH(O$2,Inputs!$K$4:$AJ$4,0))))+SUMPRODUCT((Inputs!$E$5:$E$180=$B17)*ISNUMBER(INDEX(Inputs!$K$5:$AJ$180,0,MATCH(O$2,Inputs!$K$4:$AJ$4,0))))=0,NA(),SUMPRODUCT((Inputs!$A$5:$A$180=$B17)*Inputs!$B$5:$B$180*(((Inputs!$G$5:$G$180="moeda")+(Inputs!$G$5:$G$180="acoes"))*Inputs!$B$1+((Inputs!$G$5:$G$180&lt;&gt;"moeda")*(Inputs!$G$5:$G$180&lt;&gt;"acoes")))*INDEX(Inputs!$K$5:$AJ$180,0,MATCH(O$2,Inputs!$K$4:$AJ$4,0)))+SUMPRODUCT((Inputs!$C$5:$C$180=$B17)*Inputs!$D$5:$D$180*(((Inputs!$G$5:$G$180="moeda")+(Inputs!$G$5:$G$180="acoes"))*Inputs!$B$1+((Inputs!$G$5:$G$180&lt;&gt;"moeda")*(Inputs!$G$5:$G$180&lt;&gt;"acoes")))*INDEX(Inputs!$K$5:$AJ$180,0,MATCH(O$2,Inputs!$K$4:$AJ$4,0)))+SUMPRODUCT((Inputs!$E$5:$E$180=$B17)*Inputs!$F$5:$F$180*(((Inputs!$G$5:$G$180="moeda")+(Inputs!$G$5:$G$180="acoes"))*Inputs!$B$1+((Inputs!$G$5:$G$180&lt;&gt;"moeda")*(Inputs!$G$5:$G$180&lt;&gt;"acoes")))*INDEX(Inputs!$K$5:$AJ$180,0,MATCH(O$2,Inputs!$K$4:$AJ$4,0)))))</f>
        <v>132.464</v>
      </c>
      <c r="P17" s="6">
        <f>IF(ISNA(MATCH(P$2,Inputs!$K$4:$AJ$4,0)),NA(),IF(SUMPRODUCT((Inputs!$A$5:$A$180=$B17)*ISNUMBER(INDEX(Inputs!$K$5:$AJ$180,0,MATCH(P$2,Inputs!$K$4:$AJ$4,0))))+SUMPRODUCT((Inputs!$C$5:$C$180=$B17)*ISNUMBER(INDEX(Inputs!$K$5:$AJ$180,0,MATCH(P$2,Inputs!$K$4:$AJ$4,0))))+SUMPRODUCT((Inputs!$E$5:$E$180=$B17)*ISNUMBER(INDEX(Inputs!$K$5:$AJ$180,0,MATCH(P$2,Inputs!$K$4:$AJ$4,0))))=0,NA(),SUMPRODUCT((Inputs!$A$5:$A$180=$B17)*Inputs!$B$5:$B$180*(((Inputs!$G$5:$G$180="moeda")+(Inputs!$G$5:$G$180="acoes"))*Inputs!$B$1+((Inputs!$G$5:$G$180&lt;&gt;"moeda")*(Inputs!$G$5:$G$180&lt;&gt;"acoes")))*INDEX(Inputs!$K$5:$AJ$180,0,MATCH(P$2,Inputs!$K$4:$AJ$4,0)))+SUMPRODUCT((Inputs!$C$5:$C$180=$B17)*Inputs!$D$5:$D$180*(((Inputs!$G$5:$G$180="moeda")+(Inputs!$G$5:$G$180="acoes"))*Inputs!$B$1+((Inputs!$G$5:$G$180&lt;&gt;"moeda")*(Inputs!$G$5:$G$180&lt;&gt;"acoes")))*INDEX(Inputs!$K$5:$AJ$180,0,MATCH(P$2,Inputs!$K$4:$AJ$4,0)))+SUMPRODUCT((Inputs!$E$5:$E$180=$B17)*Inputs!$F$5:$F$180*(((Inputs!$G$5:$G$180="moeda")+(Inputs!$G$5:$G$180="acoes"))*Inputs!$B$1+((Inputs!$G$5:$G$180&lt;&gt;"moeda")*(Inputs!$G$5:$G$180&lt;&gt;"acoes")))*INDEX(Inputs!$K$5:$AJ$180,0,MATCH(P$2,Inputs!$K$4:$AJ$4,0)))))</f>
        <v>135.196</v>
      </c>
      <c r="Q17" s="6">
        <f>IF(ISNA(MATCH(Q$2,Inputs!$K$4:$AJ$4,0)),NA(),IF(SUMPRODUCT((Inputs!$A$5:$A$180=$B17)*ISNUMBER(INDEX(Inputs!$K$5:$AJ$180,0,MATCH(Q$2,Inputs!$K$4:$AJ$4,0))))+SUMPRODUCT((Inputs!$C$5:$C$180=$B17)*ISNUMBER(INDEX(Inputs!$K$5:$AJ$180,0,MATCH(Q$2,Inputs!$K$4:$AJ$4,0))))+SUMPRODUCT((Inputs!$E$5:$E$180=$B17)*ISNUMBER(INDEX(Inputs!$K$5:$AJ$180,0,MATCH(Q$2,Inputs!$K$4:$AJ$4,0))))=0,NA(),SUMPRODUCT((Inputs!$A$5:$A$180=$B17)*Inputs!$B$5:$B$180*(((Inputs!$G$5:$G$180="moeda")+(Inputs!$G$5:$G$180="acoes"))*Inputs!$B$1+((Inputs!$G$5:$G$180&lt;&gt;"moeda")*(Inputs!$G$5:$G$180&lt;&gt;"acoes")))*INDEX(Inputs!$K$5:$AJ$180,0,MATCH(Q$2,Inputs!$K$4:$AJ$4,0)))+SUMPRODUCT((Inputs!$C$5:$C$180=$B17)*Inputs!$D$5:$D$180*(((Inputs!$G$5:$G$180="moeda")+(Inputs!$G$5:$G$180="acoes"))*Inputs!$B$1+((Inputs!$G$5:$G$180&lt;&gt;"moeda")*(Inputs!$G$5:$G$180&lt;&gt;"acoes")))*INDEX(Inputs!$K$5:$AJ$180,0,MATCH(Q$2,Inputs!$K$4:$AJ$4,0)))+SUMPRODUCT((Inputs!$E$5:$E$180=$B17)*Inputs!$F$5:$F$180*(((Inputs!$G$5:$G$180="moeda")+(Inputs!$G$5:$G$180="acoes"))*Inputs!$B$1+((Inputs!$G$5:$G$180&lt;&gt;"moeda")*(Inputs!$G$5:$G$180&lt;&gt;"acoes")))*INDEX(Inputs!$K$5:$AJ$180,0,MATCH(Q$2,Inputs!$K$4:$AJ$4,0)))))</f>
        <v>134.929</v>
      </c>
      <c r="R17" s="3">
        <f>Q17</f>
        <v>134.929</v>
      </c>
      <c r="S17" s="6">
        <f>IF(ISNA(MATCH(S$2,Inputs!$K$4:$AJ$4,0)),NA(),IF(SUMPRODUCT((Inputs!$A$5:$A$180=$B17)*ISNUMBER(INDEX(Inputs!$K$5:$AJ$180,0,MATCH(S$2,Inputs!$K$4:$AJ$4,0))))+SUMPRODUCT((Inputs!$C$5:$C$180=$B17)*ISNUMBER(INDEX(Inputs!$K$5:$AJ$180,0,MATCH(S$2,Inputs!$K$4:$AJ$4,0))))+SUMPRODUCT((Inputs!$E$5:$E$180=$B17)*ISNUMBER(INDEX(Inputs!$K$5:$AJ$180,0,MATCH(S$2,Inputs!$K$4:$AJ$4,0))))=0,NA(),SUMPRODUCT((Inputs!$A$5:$A$180=$B17)*Inputs!$B$5:$B$180*(((Inputs!$G$5:$G$180="moeda")+(Inputs!$G$5:$G$180="acoes"))*Inputs!$B$1+((Inputs!$G$5:$G$180&lt;&gt;"moeda")*(Inputs!$G$5:$G$180&lt;&gt;"acoes")))*INDEX(Inputs!$K$5:$AJ$180,0,MATCH(S$2,Inputs!$K$4:$AJ$4,0)))+SUMPRODUCT((Inputs!$C$5:$C$180=$B17)*Inputs!$D$5:$D$180*(((Inputs!$G$5:$G$180="moeda")+(Inputs!$G$5:$G$180="acoes"))*Inputs!$B$1+((Inputs!$G$5:$G$180&lt;&gt;"moeda")*(Inputs!$G$5:$G$180&lt;&gt;"acoes")))*INDEX(Inputs!$K$5:$AJ$180,0,MATCH(S$2,Inputs!$K$4:$AJ$4,0)))+SUMPRODUCT((Inputs!$E$5:$E$180=$B17)*Inputs!$F$5:$F$180*(((Inputs!$G$5:$G$180="moeda")+(Inputs!$G$5:$G$180="acoes"))*Inputs!$B$1+((Inputs!$G$5:$G$180&lt;&gt;"moeda")*(Inputs!$G$5:$G$180&lt;&gt;"acoes")))*INDEX(Inputs!$K$5:$AJ$180,0,MATCH(S$2,Inputs!$K$4:$AJ$4,0)))))</f>
        <v>127.562</v>
      </c>
      <c r="T17" s="6">
        <f>IF(ISNA(MATCH(T$2,Inputs!$K$4:$AJ$4,0)),NA(),IF(SUMPRODUCT((Inputs!$A$5:$A$180=$B17)*ISNUMBER(INDEX(Inputs!$K$5:$AJ$180,0,MATCH(T$2,Inputs!$K$4:$AJ$4,0))))+SUMPRODUCT((Inputs!$C$5:$C$180=$B17)*ISNUMBER(INDEX(Inputs!$K$5:$AJ$180,0,MATCH(T$2,Inputs!$K$4:$AJ$4,0))))+SUMPRODUCT((Inputs!$E$5:$E$180=$B17)*ISNUMBER(INDEX(Inputs!$K$5:$AJ$180,0,MATCH(T$2,Inputs!$K$4:$AJ$4,0))))=0,NA(),SUMPRODUCT((Inputs!$A$5:$A$180=$B17)*Inputs!$B$5:$B$180*(((Inputs!$G$5:$G$180="moeda")+(Inputs!$G$5:$G$180="acoes"))*Inputs!$B$1+((Inputs!$G$5:$G$180&lt;&gt;"moeda")*(Inputs!$G$5:$G$180&lt;&gt;"acoes")))*INDEX(Inputs!$K$5:$AJ$180,0,MATCH(T$2,Inputs!$K$4:$AJ$4,0)))+SUMPRODUCT((Inputs!$C$5:$C$180=$B17)*Inputs!$D$5:$D$180*(((Inputs!$G$5:$G$180="moeda")+(Inputs!$G$5:$G$180="acoes"))*Inputs!$B$1+((Inputs!$G$5:$G$180&lt;&gt;"moeda")*(Inputs!$G$5:$G$180&lt;&gt;"acoes")))*INDEX(Inputs!$K$5:$AJ$180,0,MATCH(T$2,Inputs!$K$4:$AJ$4,0)))+SUMPRODUCT((Inputs!$E$5:$E$180=$B17)*Inputs!$F$5:$F$180*(((Inputs!$G$5:$G$180="moeda")+(Inputs!$G$5:$G$180="acoes"))*Inputs!$B$1+((Inputs!$G$5:$G$180&lt;&gt;"moeda")*(Inputs!$G$5:$G$180&lt;&gt;"acoes")))*INDEX(Inputs!$K$5:$AJ$180,0,MATCH(T$2,Inputs!$K$4:$AJ$4,0)))))</f>
        <v>139.551</v>
      </c>
      <c r="U17" s="6">
        <f>IF(ISNA(MATCH(U$2,Inputs!$K$4:$AJ$4,0)),NA(),IF(SUMPRODUCT((Inputs!$A$5:$A$180=$B17)*ISNUMBER(INDEX(Inputs!$K$5:$AJ$180,0,MATCH(U$2,Inputs!$K$4:$AJ$4,0))))+SUMPRODUCT((Inputs!$C$5:$C$180=$B17)*ISNUMBER(INDEX(Inputs!$K$5:$AJ$180,0,MATCH(U$2,Inputs!$K$4:$AJ$4,0))))+SUMPRODUCT((Inputs!$E$5:$E$180=$B17)*ISNUMBER(INDEX(Inputs!$K$5:$AJ$180,0,MATCH(U$2,Inputs!$K$4:$AJ$4,0))))=0,NA(),SUMPRODUCT((Inputs!$A$5:$A$180=$B17)*Inputs!$B$5:$B$180*(((Inputs!$G$5:$G$180="moeda")+(Inputs!$G$5:$G$180="acoes"))*Inputs!$B$1+((Inputs!$G$5:$G$180&lt;&gt;"moeda")*(Inputs!$G$5:$G$180&lt;&gt;"acoes")))*INDEX(Inputs!$K$5:$AJ$180,0,MATCH(U$2,Inputs!$K$4:$AJ$4,0)))+SUMPRODUCT((Inputs!$C$5:$C$180=$B17)*Inputs!$D$5:$D$180*(((Inputs!$G$5:$G$180="moeda")+(Inputs!$G$5:$G$180="acoes"))*Inputs!$B$1+((Inputs!$G$5:$G$180&lt;&gt;"moeda")*(Inputs!$G$5:$G$180&lt;&gt;"acoes")))*INDEX(Inputs!$K$5:$AJ$180,0,MATCH(U$2,Inputs!$K$4:$AJ$4,0)))+SUMPRODUCT((Inputs!$E$5:$E$180=$B17)*Inputs!$F$5:$F$180*(((Inputs!$G$5:$G$180="moeda")+(Inputs!$G$5:$G$180="acoes"))*Inputs!$B$1+((Inputs!$G$5:$G$180&lt;&gt;"moeda")*(Inputs!$G$5:$G$180&lt;&gt;"acoes")))*INDEX(Inputs!$K$5:$AJ$180,0,MATCH(U$2,Inputs!$K$4:$AJ$4,0)))))</f>
        <v>139.511</v>
      </c>
      <c r="V17" s="6">
        <f>IF(ISNA(MATCH(V$2,Inputs!$K$4:$AJ$4,0)),NA(),IF(SUMPRODUCT((Inputs!$A$5:$A$180=$B17)*ISNUMBER(INDEX(Inputs!$K$5:$AJ$180,0,MATCH(V$2,Inputs!$K$4:$AJ$4,0))))+SUMPRODUCT((Inputs!$C$5:$C$180=$B17)*ISNUMBER(INDEX(Inputs!$K$5:$AJ$180,0,MATCH(V$2,Inputs!$K$4:$AJ$4,0))))+SUMPRODUCT((Inputs!$E$5:$E$180=$B17)*ISNUMBER(INDEX(Inputs!$K$5:$AJ$180,0,MATCH(V$2,Inputs!$K$4:$AJ$4,0))))=0,NA(),SUMPRODUCT((Inputs!$A$5:$A$180=$B17)*Inputs!$B$5:$B$180*(((Inputs!$G$5:$G$180="moeda")+(Inputs!$G$5:$G$180="acoes"))*Inputs!$B$1+((Inputs!$G$5:$G$180&lt;&gt;"moeda")*(Inputs!$G$5:$G$180&lt;&gt;"acoes")))*INDEX(Inputs!$K$5:$AJ$180,0,MATCH(V$2,Inputs!$K$4:$AJ$4,0)))+SUMPRODUCT((Inputs!$C$5:$C$180=$B17)*Inputs!$D$5:$D$180*(((Inputs!$G$5:$G$180="moeda")+(Inputs!$G$5:$G$180="acoes"))*Inputs!$B$1+((Inputs!$G$5:$G$180&lt;&gt;"moeda")*(Inputs!$G$5:$G$180&lt;&gt;"acoes")))*INDEX(Inputs!$K$5:$AJ$180,0,MATCH(V$2,Inputs!$K$4:$AJ$4,0)))+SUMPRODUCT((Inputs!$E$5:$E$180=$B17)*Inputs!$F$5:$F$180*(((Inputs!$G$5:$G$180="moeda")+(Inputs!$G$5:$G$180="acoes"))*Inputs!$B$1+((Inputs!$G$5:$G$180&lt;&gt;"moeda")*(Inputs!$G$5:$G$180&lt;&gt;"acoes")))*INDEX(Inputs!$K$5:$AJ$180,0,MATCH(V$2,Inputs!$K$4:$AJ$4,0)))))</f>
        <v>155.036</v>
      </c>
      <c r="W17" s="3">
        <f>V17</f>
        <v>155.036</v>
      </c>
      <c r="X17" s="6">
        <f>IF(ISNA(MATCH(X$2,Inputs!$K$4:$AJ$4,0)),NA(),IF(SUMPRODUCT((Inputs!$A$5:$A$180=$B17)*ISNUMBER(INDEX(Inputs!$K$5:$AJ$180,0,MATCH(X$2,Inputs!$K$4:$AJ$4,0))))+SUMPRODUCT((Inputs!$C$5:$C$180=$B17)*ISNUMBER(INDEX(Inputs!$K$5:$AJ$180,0,MATCH(X$2,Inputs!$K$4:$AJ$4,0))))+SUMPRODUCT((Inputs!$E$5:$E$180=$B17)*ISNUMBER(INDEX(Inputs!$K$5:$AJ$180,0,MATCH(X$2,Inputs!$K$4:$AJ$4,0))))=0,NA(),SUMPRODUCT((Inputs!$A$5:$A$180=$B17)*Inputs!$B$5:$B$180*(((Inputs!$G$5:$G$180="moeda")+(Inputs!$G$5:$G$180="acoes"))*Inputs!$B$1+((Inputs!$G$5:$G$180&lt;&gt;"moeda")*(Inputs!$G$5:$G$180&lt;&gt;"acoes")))*INDEX(Inputs!$K$5:$AJ$180,0,MATCH(X$2,Inputs!$K$4:$AJ$4,0)))+SUMPRODUCT((Inputs!$C$5:$C$180=$B17)*Inputs!$D$5:$D$180*(((Inputs!$G$5:$G$180="moeda")+(Inputs!$G$5:$G$180="acoes"))*Inputs!$B$1+((Inputs!$G$5:$G$180&lt;&gt;"moeda")*(Inputs!$G$5:$G$180&lt;&gt;"acoes")))*INDEX(Inputs!$K$5:$AJ$180,0,MATCH(X$2,Inputs!$K$4:$AJ$4,0)))+SUMPRODUCT((Inputs!$E$5:$E$180=$B17)*Inputs!$F$5:$F$180*(((Inputs!$G$5:$G$180="moeda")+(Inputs!$G$5:$G$180="acoes"))*Inputs!$B$1+((Inputs!$G$5:$G$180&lt;&gt;"moeda")*(Inputs!$G$5:$G$180&lt;&gt;"acoes")))*INDEX(Inputs!$K$5:$AJ$180,0,MATCH(X$2,Inputs!$K$4:$AJ$4,0)))))</f>
        <v>155.495579</v>
      </c>
      <c r="Y17" s="6">
        <f>IF(ISNA(MATCH(Y$2,Inputs!$K$4:$AJ$4,0)),NA(),IF(SUMPRODUCT((Inputs!$A$5:$A$180=$B17)*ISNUMBER(INDEX(Inputs!$K$5:$AJ$180,0,MATCH(Y$2,Inputs!$K$4:$AJ$4,0))))+SUMPRODUCT((Inputs!$C$5:$C$180=$B17)*ISNUMBER(INDEX(Inputs!$K$5:$AJ$180,0,MATCH(Y$2,Inputs!$K$4:$AJ$4,0))))+SUMPRODUCT((Inputs!$E$5:$E$180=$B17)*ISNUMBER(INDEX(Inputs!$K$5:$AJ$180,0,MATCH(Y$2,Inputs!$K$4:$AJ$4,0))))=0,NA(),SUMPRODUCT((Inputs!$A$5:$A$180=$B17)*Inputs!$B$5:$B$180*(((Inputs!$G$5:$G$180="moeda")+(Inputs!$G$5:$G$180="acoes"))*Inputs!$B$1+((Inputs!$G$5:$G$180&lt;&gt;"moeda")*(Inputs!$G$5:$G$180&lt;&gt;"acoes")))*INDEX(Inputs!$K$5:$AJ$180,0,MATCH(Y$2,Inputs!$K$4:$AJ$4,0)))+SUMPRODUCT((Inputs!$C$5:$C$180=$B17)*Inputs!$D$5:$D$180*(((Inputs!$G$5:$G$180="moeda")+(Inputs!$G$5:$G$180="acoes"))*Inputs!$B$1+((Inputs!$G$5:$G$180&lt;&gt;"moeda")*(Inputs!$G$5:$G$180&lt;&gt;"acoes")))*INDEX(Inputs!$K$5:$AJ$180,0,MATCH(Y$2,Inputs!$K$4:$AJ$4,0)))+SUMPRODUCT((Inputs!$E$5:$E$180=$B17)*Inputs!$F$5:$F$180*(((Inputs!$G$5:$G$180="moeda")+(Inputs!$G$5:$G$180="acoes"))*Inputs!$B$1+((Inputs!$G$5:$G$180&lt;&gt;"moeda")*(Inputs!$G$5:$G$180&lt;&gt;"acoes")))*INDEX(Inputs!$K$5:$AJ$180,0,MATCH(Y$2,Inputs!$K$4:$AJ$4,0)))))</f>
        <v>149.579</v>
      </c>
      <c r="Z17" s="6">
        <f>IF(ISNA(MATCH(Z$2,Inputs!$K$4:$AJ$4,0)),NA(),IF(SUMPRODUCT((Inputs!$A$5:$A$180=$B17)*ISNUMBER(INDEX(Inputs!$K$5:$AJ$180,0,MATCH(Z$2,Inputs!$K$4:$AJ$4,0))))+SUMPRODUCT((Inputs!$C$5:$C$180=$B17)*ISNUMBER(INDEX(Inputs!$K$5:$AJ$180,0,MATCH(Z$2,Inputs!$K$4:$AJ$4,0))))+SUMPRODUCT((Inputs!$E$5:$E$180=$B17)*ISNUMBER(INDEX(Inputs!$K$5:$AJ$180,0,MATCH(Z$2,Inputs!$K$4:$AJ$4,0))))=0,NA(),SUMPRODUCT((Inputs!$A$5:$A$180=$B17)*Inputs!$B$5:$B$180*(((Inputs!$G$5:$G$180="moeda")+(Inputs!$G$5:$G$180="acoes"))*Inputs!$B$1+((Inputs!$G$5:$G$180&lt;&gt;"moeda")*(Inputs!$G$5:$G$180&lt;&gt;"acoes")))*INDEX(Inputs!$K$5:$AJ$180,0,MATCH(Z$2,Inputs!$K$4:$AJ$4,0)))+SUMPRODUCT((Inputs!$C$5:$C$180=$B17)*Inputs!$D$5:$D$180*(((Inputs!$G$5:$G$180="moeda")+(Inputs!$G$5:$G$180="acoes"))*Inputs!$B$1+((Inputs!$G$5:$G$180&lt;&gt;"moeda")*(Inputs!$G$5:$G$180&lt;&gt;"acoes")))*INDEX(Inputs!$K$5:$AJ$180,0,MATCH(Z$2,Inputs!$K$4:$AJ$4,0)))+SUMPRODUCT((Inputs!$E$5:$E$180=$B17)*Inputs!$F$5:$F$180*(((Inputs!$G$5:$G$180="moeda")+(Inputs!$G$5:$G$180="acoes"))*Inputs!$B$1+((Inputs!$G$5:$G$180&lt;&gt;"moeda")*(Inputs!$G$5:$G$180&lt;&gt;"acoes")))*INDEX(Inputs!$K$5:$AJ$180,0,MATCH(Z$2,Inputs!$K$4:$AJ$4,0)))))</f>
        <v>154.975</v>
      </c>
      <c r="AA17" s="6">
        <f>IF(ISNA(MATCH(AA$2,Inputs!$K$4:$AJ$4,0)),NA(),IF(SUMPRODUCT((Inputs!$A$5:$A$180=$B17)*ISNUMBER(INDEX(Inputs!$K$5:$AJ$180,0,MATCH(AA$2,Inputs!$K$4:$AJ$4,0))))+SUMPRODUCT((Inputs!$C$5:$C$180=$B17)*ISNUMBER(INDEX(Inputs!$K$5:$AJ$180,0,MATCH(AA$2,Inputs!$K$4:$AJ$4,0))))+SUMPRODUCT((Inputs!$E$5:$E$180=$B17)*ISNUMBER(INDEX(Inputs!$K$5:$AJ$180,0,MATCH(AA$2,Inputs!$K$4:$AJ$4,0))))=0,NA(),SUMPRODUCT((Inputs!$A$5:$A$180=$B17)*Inputs!$B$5:$B$180*(((Inputs!$G$5:$G$180="moeda")+(Inputs!$G$5:$G$180="acoes"))*Inputs!$B$1+((Inputs!$G$5:$G$180&lt;&gt;"moeda")*(Inputs!$G$5:$G$180&lt;&gt;"acoes")))*INDEX(Inputs!$K$5:$AJ$180,0,MATCH(AA$2,Inputs!$K$4:$AJ$4,0)))+SUMPRODUCT((Inputs!$C$5:$C$180=$B17)*Inputs!$D$5:$D$180*(((Inputs!$G$5:$G$180="moeda")+(Inputs!$G$5:$G$180="acoes"))*Inputs!$B$1+((Inputs!$G$5:$G$180&lt;&gt;"moeda")*(Inputs!$G$5:$G$180&lt;&gt;"acoes")))*INDEX(Inputs!$K$5:$AJ$180,0,MATCH(AA$2,Inputs!$K$4:$AJ$4,0)))+SUMPRODUCT((Inputs!$E$5:$E$180=$B17)*Inputs!$F$5:$F$180*(((Inputs!$G$5:$G$180="moeda")+(Inputs!$G$5:$G$180="acoes"))*Inputs!$B$1+((Inputs!$G$5:$G$180&lt;&gt;"moeda")*(Inputs!$G$5:$G$180&lt;&gt;"acoes")))*INDEX(Inputs!$K$5:$AJ$180,0,MATCH(AA$2,Inputs!$K$4:$AJ$4,0)))))</f>
        <v>180.702</v>
      </c>
      <c r="AB17" s="3">
        <f>AA17</f>
        <v>180.702</v>
      </c>
      <c r="AC17" s="6">
        <f>IF(ISNA(MATCH(AC$2,Inputs!$K$4:$AJ$4,0)),NA(),IF(SUMPRODUCT((Inputs!$A$5:$A$180=$B17)*ISNUMBER(INDEX(Inputs!$K$5:$AJ$180,0,MATCH(AC$2,Inputs!$K$4:$AJ$4,0))))+SUMPRODUCT((Inputs!$C$5:$C$180=$B17)*ISNUMBER(INDEX(Inputs!$K$5:$AJ$180,0,MATCH(AC$2,Inputs!$K$4:$AJ$4,0))))+SUMPRODUCT((Inputs!$E$5:$E$180=$B17)*ISNUMBER(INDEX(Inputs!$K$5:$AJ$180,0,MATCH(AC$2,Inputs!$K$4:$AJ$4,0))))=0,NA(),SUMPRODUCT((Inputs!$A$5:$A$180=$B17)*Inputs!$B$5:$B$180*(((Inputs!$G$5:$G$180="moeda")+(Inputs!$G$5:$G$180="acoes"))*Inputs!$B$1+((Inputs!$G$5:$G$180&lt;&gt;"moeda")*(Inputs!$G$5:$G$180&lt;&gt;"acoes")))*INDEX(Inputs!$K$5:$AJ$180,0,MATCH(AC$2,Inputs!$K$4:$AJ$4,0)))+SUMPRODUCT((Inputs!$C$5:$C$180=$B17)*Inputs!$D$5:$D$180*(((Inputs!$G$5:$G$180="moeda")+(Inputs!$G$5:$G$180="acoes"))*Inputs!$B$1+((Inputs!$G$5:$G$180&lt;&gt;"moeda")*(Inputs!$G$5:$G$180&lt;&gt;"acoes")))*INDEX(Inputs!$K$5:$AJ$180,0,MATCH(AC$2,Inputs!$K$4:$AJ$4,0)))+SUMPRODUCT((Inputs!$E$5:$E$180=$B17)*Inputs!$F$5:$F$180*(((Inputs!$G$5:$G$180="moeda")+(Inputs!$G$5:$G$180="acoes"))*Inputs!$B$1+((Inputs!$G$5:$G$180&lt;&gt;"moeda")*(Inputs!$G$5:$G$180&lt;&gt;"acoes")))*INDEX(Inputs!$K$5:$AJ$180,0,MATCH(AC$2,Inputs!$K$4:$AJ$4,0)))))</f>
        <v>150.818</v>
      </c>
      <c r="AD17" s="6">
        <f>IF(ISNA(MATCH(AD$2,Inputs!$K$4:$AJ$4,0)),NA(),IF(SUMPRODUCT((Inputs!$A$5:$A$180=$B17)*ISNUMBER(INDEX(Inputs!$K$5:$AJ$180,0,MATCH(AD$2,Inputs!$K$4:$AJ$4,0))))+SUMPRODUCT((Inputs!$C$5:$C$180=$B17)*ISNUMBER(INDEX(Inputs!$K$5:$AJ$180,0,MATCH(AD$2,Inputs!$K$4:$AJ$4,0))))+SUMPRODUCT((Inputs!$E$5:$E$180=$B17)*ISNUMBER(INDEX(Inputs!$K$5:$AJ$180,0,MATCH(AD$2,Inputs!$K$4:$AJ$4,0))))=0,NA(),SUMPRODUCT((Inputs!$A$5:$A$180=$B17)*Inputs!$B$5:$B$180*(((Inputs!$G$5:$G$180="moeda")+(Inputs!$G$5:$G$180="acoes"))*Inputs!$B$1+((Inputs!$G$5:$G$180&lt;&gt;"moeda")*(Inputs!$G$5:$G$180&lt;&gt;"acoes")))*INDEX(Inputs!$K$5:$AJ$180,0,MATCH(AD$2,Inputs!$K$4:$AJ$4,0)))+SUMPRODUCT((Inputs!$C$5:$C$180=$B17)*Inputs!$D$5:$D$180*(((Inputs!$G$5:$G$180="moeda")+(Inputs!$G$5:$G$180="acoes"))*Inputs!$B$1+((Inputs!$G$5:$G$180&lt;&gt;"moeda")*(Inputs!$G$5:$G$180&lt;&gt;"acoes")))*INDEX(Inputs!$K$5:$AJ$180,0,MATCH(AD$2,Inputs!$K$4:$AJ$4,0)))+SUMPRODUCT((Inputs!$E$5:$E$180=$B17)*Inputs!$F$5:$F$180*(((Inputs!$G$5:$G$180="moeda")+(Inputs!$G$5:$G$180="acoes"))*Inputs!$B$1+((Inputs!$G$5:$G$180&lt;&gt;"moeda")*(Inputs!$G$5:$G$180&lt;&gt;"acoes")))*INDEX(Inputs!$K$5:$AJ$180,0,MATCH(AD$2,Inputs!$K$4:$AJ$4,0)))))</f>
        <v>156.59</v>
      </c>
      <c r="AE17" s="6" t="e">
        <f>IF(ISNA(MATCH(AE$2,Inputs!$K$4:$AJ$4,0)),NA(),IF(SUMPRODUCT((Inputs!$A$5:$A$180=$B17)*ISNUMBER(INDEX(Inputs!$K$5:$AJ$180,0,MATCH(AE$2,Inputs!$K$4:$AJ$4,0))))+SUMPRODUCT((Inputs!$C$5:$C$180=$B17)*ISNUMBER(INDEX(Inputs!$K$5:$AJ$180,0,MATCH(AE$2,Inputs!$K$4:$AJ$4,0))))+SUMPRODUCT((Inputs!$E$5:$E$180=$B17)*ISNUMBER(INDEX(Inputs!$K$5:$AJ$180,0,MATCH(AE$2,Inputs!$K$4:$AJ$4,0))))=0,NA(),SUMPRODUCT((Inputs!$A$5:$A$180=$B17)*Inputs!$B$5:$B$180*(((Inputs!$G$5:$G$180="moeda")+(Inputs!$G$5:$G$180="acoes"))*Inputs!$B$1+((Inputs!$G$5:$G$180&lt;&gt;"moeda")*(Inputs!$G$5:$G$180&lt;&gt;"acoes")))*INDEX(Inputs!$K$5:$AJ$180,0,MATCH(AE$2,Inputs!$K$4:$AJ$4,0)))+SUMPRODUCT((Inputs!$C$5:$C$180=$B17)*Inputs!$D$5:$D$180*(((Inputs!$G$5:$G$180="moeda")+(Inputs!$G$5:$G$180="acoes"))*Inputs!$B$1+((Inputs!$G$5:$G$180&lt;&gt;"moeda")*(Inputs!$G$5:$G$180&lt;&gt;"acoes")))*INDEX(Inputs!$K$5:$AJ$180,0,MATCH(AE$2,Inputs!$K$4:$AJ$4,0)))+SUMPRODUCT((Inputs!$E$5:$E$180=$B17)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7" s="6" t="e">
        <f>IF(ISNA(MATCH(AF$2,Inputs!$K$4:$AJ$4,0)),NA(),IF(SUMPRODUCT((Inputs!$A$5:$A$180=$B17)*ISNUMBER(INDEX(Inputs!$K$5:$AJ$180,0,MATCH(AF$2,Inputs!$K$4:$AJ$4,0))))+SUMPRODUCT((Inputs!$C$5:$C$180=$B17)*ISNUMBER(INDEX(Inputs!$K$5:$AJ$180,0,MATCH(AF$2,Inputs!$K$4:$AJ$4,0))))+SUMPRODUCT((Inputs!$E$5:$E$180=$B17)*ISNUMBER(INDEX(Inputs!$K$5:$AJ$180,0,MATCH(AF$2,Inputs!$K$4:$AJ$4,0))))=0,NA(),SUMPRODUCT((Inputs!$A$5:$A$180=$B17)*Inputs!$B$5:$B$180*(((Inputs!$G$5:$G$180="moeda")+(Inputs!$G$5:$G$180="acoes"))*Inputs!$B$1+((Inputs!$G$5:$G$180&lt;&gt;"moeda")*(Inputs!$G$5:$G$180&lt;&gt;"acoes")))*INDEX(Inputs!$K$5:$AJ$180,0,MATCH(AF$2,Inputs!$K$4:$AJ$4,0)))+SUMPRODUCT((Inputs!$C$5:$C$180=$B17)*Inputs!$D$5:$D$180*(((Inputs!$G$5:$G$180="moeda")+(Inputs!$G$5:$G$180="acoes"))*Inputs!$B$1+((Inputs!$G$5:$G$180&lt;&gt;"moeda")*(Inputs!$G$5:$G$180&lt;&gt;"acoes")))*INDEX(Inputs!$K$5:$AJ$180,0,MATCH(AF$2,Inputs!$K$4:$AJ$4,0)))+SUMPRODUCT((Inputs!$E$5:$E$180=$B17)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7" s="3" t="e">
        <f>AF17</f>
        <v>#N/A</v>
      </c>
      <c r="AH17" s="6">
        <f>IF(ISNA(MATCH(AH$2,Inputs!$K$4:$AJ$4,0)),NA(),IF(SUMPRODUCT((Inputs!$A$5:$A$180=$B17)*ISNUMBER(INDEX(Inputs!$K$5:$AJ$180,0,MATCH(AH$2,Inputs!$K$4:$AJ$4,0))))+SUMPRODUCT((Inputs!$C$5:$C$180=$B17)*ISNUMBER(INDEX(Inputs!$K$5:$AJ$180,0,MATCH(AH$2,Inputs!$K$4:$AJ$4,0))))+SUMPRODUCT((Inputs!$E$5:$E$180=$B17)*ISNUMBER(INDEX(Inputs!$K$5:$AJ$180,0,MATCH(AH$2,Inputs!$K$4:$AJ$4,0))))=0,NA(),SUMPRODUCT((Inputs!$A$5:$A$180=$B17)*Inputs!$B$5:$B$180*(((Inputs!$G$5:$G$180="moeda")+(Inputs!$G$5:$G$180="acoes"))*Inputs!$B$1+((Inputs!$G$5:$G$180&lt;&gt;"moeda")*(Inputs!$G$5:$G$180&lt;&gt;"acoes")))*INDEX(Inputs!$K$5:$AJ$180,0,MATCH(AH$2,Inputs!$K$4:$AJ$4,0)))+SUMPRODUCT((Inputs!$C$5:$C$180=$B17)*Inputs!$D$5:$D$180*(((Inputs!$G$5:$G$180="moeda")+(Inputs!$G$5:$G$180="acoes"))*Inputs!$B$1+((Inputs!$G$5:$G$180&lt;&gt;"moeda")*(Inputs!$G$5:$G$180&lt;&gt;"acoes")))*INDEX(Inputs!$K$5:$AJ$180,0,MATCH(AH$2,Inputs!$K$4:$AJ$4,0)))+SUMPRODUCT((Inputs!$E$5:$E$180=$B17)*Inputs!$F$5:$F$180*(((Inputs!$G$5:$G$180="moeda")+(Inputs!$G$5:$G$180="acoes"))*Inputs!$B$1+((Inputs!$G$5:$G$180&lt;&gt;"moeda")*(Inputs!$G$5:$G$180&lt;&gt;"acoes")))*INDEX(Inputs!$K$5:$AJ$180,0,MATCH(AH$2,Inputs!$K$4:$AJ$4,0)))))</f>
        <v>36.86838604</v>
      </c>
      <c r="AI17" s="6">
        <f>IF(ISNA(MATCH(AI$2,Inputs!$K$4:$AJ$4,0)),NA(),IF(SUMPRODUCT((Inputs!$A$5:$A$180=$B17)*ISNUMBER(INDEX(Inputs!$K$5:$AJ$180,0,MATCH(AI$2,Inputs!$K$4:$AJ$4,0))))+SUMPRODUCT((Inputs!$C$5:$C$180=$B17)*ISNUMBER(INDEX(Inputs!$K$5:$AJ$180,0,MATCH(AI$2,Inputs!$K$4:$AJ$4,0))))+SUMPRODUCT((Inputs!$E$5:$E$180=$B17)*ISNUMBER(INDEX(Inputs!$K$5:$AJ$180,0,MATCH(AI$2,Inputs!$K$4:$AJ$4,0))))=0,NA(),SUMPRODUCT((Inputs!$A$5:$A$180=$B17)*Inputs!$B$5:$B$180*(((Inputs!$G$5:$G$180="moeda")+(Inputs!$G$5:$G$180="acoes"))*Inputs!$B$1+((Inputs!$G$5:$G$180&lt;&gt;"moeda")*(Inputs!$G$5:$G$180&lt;&gt;"acoes")))*INDEX(Inputs!$K$5:$AJ$180,0,MATCH(AI$2,Inputs!$K$4:$AJ$4,0)))+SUMPRODUCT((Inputs!$C$5:$C$180=$B17)*Inputs!$D$5:$D$180*(((Inputs!$G$5:$G$180="moeda")+(Inputs!$G$5:$G$180="acoes"))*Inputs!$B$1+((Inputs!$G$5:$G$180&lt;&gt;"moeda")*(Inputs!$G$5:$G$180&lt;&gt;"acoes")))*INDEX(Inputs!$K$5:$AJ$180,0,MATCH(AI$2,Inputs!$K$4:$AJ$4,0)))+SUMPRODUCT((Inputs!$E$5:$E$180=$B17)*Inputs!$F$5:$F$180*(((Inputs!$G$5:$G$180="moeda")+(Inputs!$G$5:$G$180="acoes"))*Inputs!$B$1+((Inputs!$G$5:$G$180&lt;&gt;"moeda")*(Inputs!$G$5:$G$180&lt;&gt;"acoes")))*INDEX(Inputs!$K$5:$AJ$180,0,MATCH(AI$2,Inputs!$K$4:$AJ$4,0)))))</f>
        <v>83.86315236</v>
      </c>
      <c r="AJ17" s="6">
        <f>IF(ISNA(MATCH(AJ$2,Inputs!$K$4:$AJ$4,0)),NA(),IF(SUMPRODUCT((Inputs!$A$5:$A$180=$B17)*ISNUMBER(INDEX(Inputs!$K$5:$AJ$180,0,MATCH(AJ$2,Inputs!$K$4:$AJ$4,0))))+SUMPRODUCT((Inputs!$C$5:$C$180=$B17)*ISNUMBER(INDEX(Inputs!$K$5:$AJ$180,0,MATCH(AJ$2,Inputs!$K$4:$AJ$4,0))))+SUMPRODUCT((Inputs!$E$5:$E$180=$B17)*ISNUMBER(INDEX(Inputs!$K$5:$AJ$180,0,MATCH(AJ$2,Inputs!$K$4:$AJ$4,0))))=0,NA(),SUMPRODUCT((Inputs!$A$5:$A$180=$B17)*Inputs!$B$5:$B$180*(((Inputs!$G$5:$G$180="moeda")+(Inputs!$G$5:$G$180="acoes"))*Inputs!$B$1+((Inputs!$G$5:$G$180&lt;&gt;"moeda")*(Inputs!$G$5:$G$180&lt;&gt;"acoes")))*INDEX(Inputs!$K$5:$AJ$180,0,MATCH(AJ$2,Inputs!$K$4:$AJ$4,0)))+SUMPRODUCT((Inputs!$C$5:$C$180=$B17)*Inputs!$D$5:$D$180*(((Inputs!$G$5:$G$180="moeda")+(Inputs!$G$5:$G$180="acoes"))*Inputs!$B$1+((Inputs!$G$5:$G$180&lt;&gt;"moeda")*(Inputs!$G$5:$G$180&lt;&gt;"acoes")))*INDEX(Inputs!$K$5:$AJ$180,0,MATCH(AJ$2,Inputs!$K$4:$AJ$4,0)))+SUMPRODUCT((Inputs!$E$5:$E$180=$B17)*Inputs!$F$5:$F$180*(((Inputs!$G$5:$G$180="moeda")+(Inputs!$G$5:$G$180="acoes"))*Inputs!$B$1+((Inputs!$G$5:$G$180&lt;&gt;"moeda")*(Inputs!$G$5:$G$180&lt;&gt;"acoes")))*INDEX(Inputs!$K$5:$AJ$180,0,MATCH(AJ$2,Inputs!$K$4:$AJ$4,0)))))</f>
        <v>81.68701938</v>
      </c>
      <c r="AK17" s="6">
        <f>IF(ISNA(MATCH(AK$2,Inputs!$K$4:$AJ$4,0)),NA(),IF(SUMPRODUCT((Inputs!$A$5:$A$180=$B17)*ISNUMBER(INDEX(Inputs!$K$5:$AJ$180,0,MATCH(AK$2,Inputs!$K$4:$AJ$4,0))))+SUMPRODUCT((Inputs!$C$5:$C$180=$B17)*ISNUMBER(INDEX(Inputs!$K$5:$AJ$180,0,MATCH(AK$2,Inputs!$K$4:$AJ$4,0))))+SUMPRODUCT((Inputs!$E$5:$E$180=$B17)*ISNUMBER(INDEX(Inputs!$K$5:$AJ$180,0,MATCH(AK$2,Inputs!$K$4:$AJ$4,0))))=0,NA(),SUMPRODUCT((Inputs!$A$5:$A$180=$B17)*Inputs!$B$5:$B$180*(((Inputs!$G$5:$G$180="moeda")+(Inputs!$G$5:$G$180="acoes"))*Inputs!$B$1+((Inputs!$G$5:$G$180&lt;&gt;"moeda")*(Inputs!$G$5:$G$180&lt;&gt;"acoes")))*INDEX(Inputs!$K$5:$AJ$180,0,MATCH(AK$2,Inputs!$K$4:$AJ$4,0)))+SUMPRODUCT((Inputs!$C$5:$C$180=$B17)*Inputs!$D$5:$D$180*(((Inputs!$G$5:$G$180="moeda")+(Inputs!$G$5:$G$180="acoes"))*Inputs!$B$1+((Inputs!$G$5:$G$180&lt;&gt;"moeda")*(Inputs!$G$5:$G$180&lt;&gt;"acoes")))*INDEX(Inputs!$K$5:$AJ$180,0,MATCH(AK$2,Inputs!$K$4:$AJ$4,0)))+SUMPRODUCT((Inputs!$E$5:$E$180=$B17)*Inputs!$F$5:$F$180*(((Inputs!$G$5:$G$180="moeda")+(Inputs!$G$5:$G$180="acoes"))*Inputs!$B$1+((Inputs!$G$5:$G$180&lt;&gt;"moeda")*(Inputs!$G$5:$G$180&lt;&gt;"acoes")))*INDEX(Inputs!$K$5:$AJ$180,0,MATCH(AK$2,Inputs!$K$4:$AJ$4,0)))))</f>
        <v>63.09252977</v>
      </c>
      <c r="AL17" s="3">
        <f>AK17</f>
        <v>63.09252977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$180=$B18)*ISNUMBER(INDEX(Inputs!$K$5:$AJ$180,0,MATCH(D$2,Inputs!$K$4:$AJ$4,0))))+SUMPRODUCT((Inputs!$C$5:$C$180=$B18)*ISNUMBER(INDEX(Inputs!$K$5:$AJ$180,0,MATCH(D$2,Inputs!$K$4:$AJ$4,0))))+SUMPRODUCT((Inputs!$E$5:$E$180=$B18)*ISNUMBER(INDEX(Inputs!$K$5:$AJ$180,0,MATCH(D$2,Inputs!$K$4:$AJ$4,0))))=0,NA(),SUMPRODUCT((Inputs!$A$5:$A$180=$B18)*Inputs!$B$5:$B$180*(((Inputs!$G$5:$G$180="moeda")+(Inputs!$G$5:$G$180="acoes"))*Inputs!$B$1+((Inputs!$G$5:$G$180&lt;&gt;"moeda")*(Inputs!$G$5:$G$180&lt;&gt;"acoes")))*INDEX(Inputs!$K$5:$AJ$180,0,MATCH(D$2,Inputs!$K$4:$AJ$4,0)))+SUMPRODUCT((Inputs!$C$5:$C$180=$B18)*Inputs!$D$5:$D$180*(((Inputs!$G$5:$G$180="moeda")+(Inputs!$G$5:$G$180="acoes"))*Inputs!$B$1+((Inputs!$G$5:$G$180&lt;&gt;"moeda")*(Inputs!$G$5:$G$180&lt;&gt;"acoes")))*INDEX(Inputs!$K$5:$AJ$180,0,MATCH(D$2,Inputs!$K$4:$AJ$4,0)))+SUMPRODUCT((Inputs!$E$5:$E$180=$B18)*Inputs!$F$5:$F$180*(((Inputs!$G$5:$G$180="moeda")+(Inputs!$G$5:$G$180="acoes"))*Inputs!$B$1+((Inputs!$G$5:$G$180&lt;&gt;"moeda")*(Inputs!$G$5:$G$180&lt;&gt;"acoes")))*INDEX(Inputs!$K$5:$AJ$180,0,MATCH(D$2,Inputs!$K$4:$AJ$4,0)))))</f>
        <v>90.94827093</v>
      </c>
      <c r="E18" s="6">
        <f>IF(ISNA(MATCH(E$2,Inputs!$K$4:$AJ$4,0)),NA(),IF(SUMPRODUCT((Inputs!$A$5:$A$180=$B18)*ISNUMBER(INDEX(Inputs!$K$5:$AJ$180,0,MATCH(E$2,Inputs!$K$4:$AJ$4,0))))+SUMPRODUCT((Inputs!$C$5:$C$180=$B18)*ISNUMBER(INDEX(Inputs!$K$5:$AJ$180,0,MATCH(E$2,Inputs!$K$4:$AJ$4,0))))+SUMPRODUCT((Inputs!$E$5:$E$180=$B18)*ISNUMBER(INDEX(Inputs!$K$5:$AJ$180,0,MATCH(E$2,Inputs!$K$4:$AJ$4,0))))=0,NA(),SUMPRODUCT((Inputs!$A$5:$A$180=$B18)*Inputs!$B$5:$B$180*(((Inputs!$G$5:$G$180="moeda")+(Inputs!$G$5:$G$180="acoes"))*Inputs!$B$1+((Inputs!$G$5:$G$180&lt;&gt;"moeda")*(Inputs!$G$5:$G$180&lt;&gt;"acoes")))*INDEX(Inputs!$K$5:$AJ$180,0,MATCH(E$2,Inputs!$K$4:$AJ$4,0)))+SUMPRODUCT((Inputs!$C$5:$C$180=$B18)*Inputs!$D$5:$D$180*(((Inputs!$G$5:$G$180="moeda")+(Inputs!$G$5:$G$180="acoes"))*Inputs!$B$1+((Inputs!$G$5:$G$180&lt;&gt;"moeda")*(Inputs!$G$5:$G$180&lt;&gt;"acoes")))*INDEX(Inputs!$K$5:$AJ$180,0,MATCH(E$2,Inputs!$K$4:$AJ$4,0)))+SUMPRODUCT((Inputs!$E$5:$E$180=$B18)*Inputs!$F$5:$F$180*(((Inputs!$G$5:$G$180="moeda")+(Inputs!$G$5:$G$180="acoes"))*Inputs!$B$1+((Inputs!$G$5:$G$180&lt;&gt;"moeda")*(Inputs!$G$5:$G$180&lt;&gt;"acoes")))*INDEX(Inputs!$K$5:$AJ$180,0,MATCH(E$2,Inputs!$K$4:$AJ$4,0)))))</f>
        <v>107.55430088</v>
      </c>
      <c r="F18" s="6">
        <f>IF(ISNA(MATCH(F$2,Inputs!$K$4:$AJ$4,0)),NA(),IF(SUMPRODUCT((Inputs!$A$5:$A$180=$B18)*ISNUMBER(INDEX(Inputs!$K$5:$AJ$180,0,MATCH(F$2,Inputs!$K$4:$AJ$4,0))))+SUMPRODUCT((Inputs!$C$5:$C$180=$B18)*ISNUMBER(INDEX(Inputs!$K$5:$AJ$180,0,MATCH(F$2,Inputs!$K$4:$AJ$4,0))))+SUMPRODUCT((Inputs!$E$5:$E$180=$B18)*ISNUMBER(INDEX(Inputs!$K$5:$AJ$180,0,MATCH(F$2,Inputs!$K$4:$AJ$4,0))))=0,NA(),SUMPRODUCT((Inputs!$A$5:$A$180=$B18)*Inputs!$B$5:$B$180*(((Inputs!$G$5:$G$180="moeda")+(Inputs!$G$5:$G$180="acoes"))*Inputs!$B$1+((Inputs!$G$5:$G$180&lt;&gt;"moeda")*(Inputs!$G$5:$G$180&lt;&gt;"acoes")))*INDEX(Inputs!$K$5:$AJ$180,0,MATCH(F$2,Inputs!$K$4:$AJ$4,0)))+SUMPRODUCT((Inputs!$C$5:$C$180=$B18)*Inputs!$D$5:$D$180*(((Inputs!$G$5:$G$180="moeda")+(Inputs!$G$5:$G$180="acoes"))*Inputs!$B$1+((Inputs!$G$5:$G$180&lt;&gt;"moeda")*(Inputs!$G$5:$G$180&lt;&gt;"acoes")))*INDEX(Inputs!$K$5:$AJ$180,0,MATCH(F$2,Inputs!$K$4:$AJ$4,0)))+SUMPRODUCT((Inputs!$E$5:$E$180=$B18)*Inputs!$F$5:$F$180*(((Inputs!$G$5:$G$180="moeda")+(Inputs!$G$5:$G$180="acoes"))*Inputs!$B$1+((Inputs!$G$5:$G$180&lt;&gt;"moeda")*(Inputs!$G$5:$G$180&lt;&gt;"acoes")))*INDEX(Inputs!$K$5:$AJ$180,0,MATCH(F$2,Inputs!$K$4:$AJ$4,0)))))</f>
        <v>115.09237981</v>
      </c>
      <c r="G18" s="6">
        <f>IF(ISNA(MATCH(G$2,Inputs!$K$4:$AJ$4,0)),NA(),IF(SUMPRODUCT((Inputs!$A$5:$A$180=$B18)*ISNUMBER(INDEX(Inputs!$K$5:$AJ$180,0,MATCH(G$2,Inputs!$K$4:$AJ$4,0))))+SUMPRODUCT((Inputs!$C$5:$C$180=$B18)*ISNUMBER(INDEX(Inputs!$K$5:$AJ$180,0,MATCH(G$2,Inputs!$K$4:$AJ$4,0))))+SUMPRODUCT((Inputs!$E$5:$E$180=$B18)*ISNUMBER(INDEX(Inputs!$K$5:$AJ$180,0,MATCH(G$2,Inputs!$K$4:$AJ$4,0))))=0,NA(),SUMPRODUCT((Inputs!$A$5:$A$180=$B18)*Inputs!$B$5:$B$180*(((Inputs!$G$5:$G$180="moeda")+(Inputs!$G$5:$G$180="acoes"))*Inputs!$B$1+((Inputs!$G$5:$G$180&lt;&gt;"moeda")*(Inputs!$G$5:$G$180&lt;&gt;"acoes")))*INDEX(Inputs!$K$5:$AJ$180,0,MATCH(G$2,Inputs!$K$4:$AJ$4,0)))+SUMPRODUCT((Inputs!$C$5:$C$180=$B18)*Inputs!$D$5:$D$180*(((Inputs!$G$5:$G$180="moeda")+(Inputs!$G$5:$G$180="acoes"))*Inputs!$B$1+((Inputs!$G$5:$G$180&lt;&gt;"moeda")*(Inputs!$G$5:$G$180&lt;&gt;"acoes")))*INDEX(Inputs!$K$5:$AJ$180,0,MATCH(G$2,Inputs!$K$4:$AJ$4,0)))+SUMPRODUCT((Inputs!$E$5:$E$180=$B18)*Inputs!$F$5:$F$180*(((Inputs!$G$5:$G$180="moeda")+(Inputs!$G$5:$G$180="acoes"))*Inputs!$B$1+((Inputs!$G$5:$G$180&lt;&gt;"moeda")*(Inputs!$G$5:$G$180&lt;&gt;"acoes")))*INDEX(Inputs!$K$5:$AJ$180,0,MATCH(G$2,Inputs!$K$4:$AJ$4,0)))))</f>
        <v>25.195</v>
      </c>
      <c r="H18" s="3">
        <f>G18</f>
        <v>25.195</v>
      </c>
      <c r="I18" s="6">
        <f>IF(ISNA(MATCH(I$2,Inputs!$K$4:$AJ$4,0)),NA(),IF(SUMPRODUCT((Inputs!$A$5:$A$180=$B18)*ISNUMBER(INDEX(Inputs!$K$5:$AJ$180,0,MATCH(I$2,Inputs!$K$4:$AJ$4,0))))+SUMPRODUCT((Inputs!$C$5:$C$180=$B18)*ISNUMBER(INDEX(Inputs!$K$5:$AJ$180,0,MATCH(I$2,Inputs!$K$4:$AJ$4,0))))+SUMPRODUCT((Inputs!$E$5:$E$180=$B18)*ISNUMBER(INDEX(Inputs!$K$5:$AJ$180,0,MATCH(I$2,Inputs!$K$4:$AJ$4,0))))=0,NA(),SUMPRODUCT((Inputs!$A$5:$A$180=$B18)*Inputs!$B$5:$B$180*(((Inputs!$G$5:$G$180="moeda")+(Inputs!$G$5:$G$180="acoes"))*Inputs!$B$1+((Inputs!$G$5:$G$180&lt;&gt;"moeda")*(Inputs!$G$5:$G$180&lt;&gt;"acoes")))*INDEX(Inputs!$K$5:$AJ$180,0,MATCH(I$2,Inputs!$K$4:$AJ$4,0)))+SUMPRODUCT((Inputs!$C$5:$C$180=$B18)*Inputs!$D$5:$D$180*(((Inputs!$G$5:$G$180="moeda")+(Inputs!$G$5:$G$180="acoes"))*Inputs!$B$1+((Inputs!$G$5:$G$180&lt;&gt;"moeda")*(Inputs!$G$5:$G$180&lt;&gt;"acoes")))*INDEX(Inputs!$K$5:$AJ$180,0,MATCH(I$2,Inputs!$K$4:$AJ$4,0)))+SUMPRODUCT((Inputs!$E$5:$E$180=$B18)*Inputs!$F$5:$F$180*(((Inputs!$G$5:$G$180="moeda")+(Inputs!$G$5:$G$180="acoes"))*Inputs!$B$1+((Inputs!$G$5:$G$180&lt;&gt;"moeda")*(Inputs!$G$5:$G$180&lt;&gt;"acoes")))*INDEX(Inputs!$K$5:$AJ$180,0,MATCH(I$2,Inputs!$K$4:$AJ$4,0)))))</f>
        <v>37.19035428</v>
      </c>
      <c r="J18" s="6">
        <f>IF(ISNA(MATCH(J$2,Inputs!$K$4:$AJ$4,0)),NA(),IF(SUMPRODUCT((Inputs!$A$5:$A$180=$B18)*ISNUMBER(INDEX(Inputs!$K$5:$AJ$180,0,MATCH(J$2,Inputs!$K$4:$AJ$4,0))))+SUMPRODUCT((Inputs!$C$5:$C$180=$B18)*ISNUMBER(INDEX(Inputs!$K$5:$AJ$180,0,MATCH(J$2,Inputs!$K$4:$AJ$4,0))))+SUMPRODUCT((Inputs!$E$5:$E$180=$B18)*ISNUMBER(INDEX(Inputs!$K$5:$AJ$180,0,MATCH(J$2,Inputs!$K$4:$AJ$4,0))))=0,NA(),SUMPRODUCT((Inputs!$A$5:$A$180=$B18)*Inputs!$B$5:$B$180*(((Inputs!$G$5:$G$180="moeda")+(Inputs!$G$5:$G$180="acoes"))*Inputs!$B$1+((Inputs!$G$5:$G$180&lt;&gt;"moeda")*(Inputs!$G$5:$G$180&lt;&gt;"acoes")))*INDEX(Inputs!$K$5:$AJ$180,0,MATCH(J$2,Inputs!$K$4:$AJ$4,0)))+SUMPRODUCT((Inputs!$C$5:$C$180=$B18)*Inputs!$D$5:$D$180*(((Inputs!$G$5:$G$180="moeda")+(Inputs!$G$5:$G$180="acoes"))*Inputs!$B$1+((Inputs!$G$5:$G$180&lt;&gt;"moeda")*(Inputs!$G$5:$G$180&lt;&gt;"acoes")))*INDEX(Inputs!$K$5:$AJ$180,0,MATCH(J$2,Inputs!$K$4:$AJ$4,0)))+SUMPRODUCT((Inputs!$E$5:$E$180=$B18)*Inputs!$F$5:$F$180*(((Inputs!$G$5:$G$180="moeda")+(Inputs!$G$5:$G$180="acoes"))*Inputs!$B$1+((Inputs!$G$5:$G$180&lt;&gt;"moeda")*(Inputs!$G$5:$G$180&lt;&gt;"acoes")))*INDEX(Inputs!$K$5:$AJ$180,0,MATCH(J$2,Inputs!$K$4:$AJ$4,0)))))</f>
        <v>150.8146551</v>
      </c>
      <c r="K18" s="6">
        <f>IF(ISNA(MATCH(K$2,Inputs!$K$4:$AJ$4,0)),NA(),IF(SUMPRODUCT((Inputs!$A$5:$A$180=$B18)*ISNUMBER(INDEX(Inputs!$K$5:$AJ$180,0,MATCH(K$2,Inputs!$K$4:$AJ$4,0))))+SUMPRODUCT((Inputs!$C$5:$C$180=$B18)*ISNUMBER(INDEX(Inputs!$K$5:$AJ$180,0,MATCH(K$2,Inputs!$K$4:$AJ$4,0))))+SUMPRODUCT((Inputs!$E$5:$E$180=$B18)*ISNUMBER(INDEX(Inputs!$K$5:$AJ$180,0,MATCH(K$2,Inputs!$K$4:$AJ$4,0))))=0,NA(),SUMPRODUCT((Inputs!$A$5:$A$180=$B18)*Inputs!$B$5:$B$180*(((Inputs!$G$5:$G$180="moeda")+(Inputs!$G$5:$G$180="acoes"))*Inputs!$B$1+((Inputs!$G$5:$G$180&lt;&gt;"moeda")*(Inputs!$G$5:$G$180&lt;&gt;"acoes")))*INDEX(Inputs!$K$5:$AJ$180,0,MATCH(K$2,Inputs!$K$4:$AJ$4,0)))+SUMPRODUCT((Inputs!$C$5:$C$180=$B18)*Inputs!$D$5:$D$180*(((Inputs!$G$5:$G$180="moeda")+(Inputs!$G$5:$G$180="acoes"))*Inputs!$B$1+((Inputs!$G$5:$G$180&lt;&gt;"moeda")*(Inputs!$G$5:$G$180&lt;&gt;"acoes")))*INDEX(Inputs!$K$5:$AJ$180,0,MATCH(K$2,Inputs!$K$4:$AJ$4,0)))+SUMPRODUCT((Inputs!$E$5:$E$180=$B18)*Inputs!$F$5:$F$180*(((Inputs!$G$5:$G$180="moeda")+(Inputs!$G$5:$G$180="acoes"))*Inputs!$B$1+((Inputs!$G$5:$G$180&lt;&gt;"moeda")*(Inputs!$G$5:$G$180&lt;&gt;"acoes")))*INDEX(Inputs!$K$5:$AJ$180,0,MATCH(K$2,Inputs!$K$4:$AJ$4,0)))))</f>
        <v>177.40878868</v>
      </c>
      <c r="L18" s="6">
        <f>IF(ISNA(MATCH(L$2,Inputs!$K$4:$AJ$4,0)),NA(),IF(SUMPRODUCT((Inputs!$A$5:$A$180=$B18)*ISNUMBER(INDEX(Inputs!$K$5:$AJ$180,0,MATCH(L$2,Inputs!$K$4:$AJ$4,0))))+SUMPRODUCT((Inputs!$C$5:$C$180=$B18)*ISNUMBER(INDEX(Inputs!$K$5:$AJ$180,0,MATCH(L$2,Inputs!$K$4:$AJ$4,0))))+SUMPRODUCT((Inputs!$E$5:$E$180=$B18)*ISNUMBER(INDEX(Inputs!$K$5:$AJ$180,0,MATCH(L$2,Inputs!$K$4:$AJ$4,0))))=0,NA(),SUMPRODUCT((Inputs!$A$5:$A$180=$B18)*Inputs!$B$5:$B$180*(((Inputs!$G$5:$G$180="moeda")+(Inputs!$G$5:$G$180="acoes"))*Inputs!$B$1+((Inputs!$G$5:$G$180&lt;&gt;"moeda")*(Inputs!$G$5:$G$180&lt;&gt;"acoes")))*INDEX(Inputs!$K$5:$AJ$180,0,MATCH(L$2,Inputs!$K$4:$AJ$4,0)))+SUMPRODUCT((Inputs!$C$5:$C$180=$B18)*Inputs!$D$5:$D$180*(((Inputs!$G$5:$G$180="moeda")+(Inputs!$G$5:$G$180="acoes"))*Inputs!$B$1+((Inputs!$G$5:$G$180&lt;&gt;"moeda")*(Inputs!$G$5:$G$180&lt;&gt;"acoes")))*INDEX(Inputs!$K$5:$AJ$180,0,MATCH(L$2,Inputs!$K$4:$AJ$4,0)))+SUMPRODUCT((Inputs!$E$5:$E$180=$B18)*Inputs!$F$5:$F$180*(((Inputs!$G$5:$G$180="moeda")+(Inputs!$G$5:$G$180="acoes"))*Inputs!$B$1+((Inputs!$G$5:$G$180&lt;&gt;"moeda")*(Inputs!$G$5:$G$180&lt;&gt;"acoes")))*INDEX(Inputs!$K$5:$AJ$180,0,MATCH(L$2,Inputs!$K$4:$AJ$4,0)))))</f>
        <v>48.62433562</v>
      </c>
      <c r="M18" s="3">
        <f>L18</f>
        <v>48.62433562</v>
      </c>
      <c r="N18" s="6">
        <f>IF(ISNA(MATCH(N$2,Inputs!$K$4:$AJ$4,0)),NA(),IF(SUMPRODUCT((Inputs!$A$5:$A$180=$B18)*ISNUMBER(INDEX(Inputs!$K$5:$AJ$180,0,MATCH(N$2,Inputs!$K$4:$AJ$4,0))))+SUMPRODUCT((Inputs!$C$5:$C$180=$B18)*ISNUMBER(INDEX(Inputs!$K$5:$AJ$180,0,MATCH(N$2,Inputs!$K$4:$AJ$4,0))))+SUMPRODUCT((Inputs!$E$5:$E$180=$B18)*ISNUMBER(INDEX(Inputs!$K$5:$AJ$180,0,MATCH(N$2,Inputs!$K$4:$AJ$4,0))))=0,NA(),SUMPRODUCT((Inputs!$A$5:$A$180=$B18)*Inputs!$B$5:$B$180*(((Inputs!$G$5:$G$180="moeda")+(Inputs!$G$5:$G$180="acoes"))*Inputs!$B$1+((Inputs!$G$5:$G$180&lt;&gt;"moeda")*(Inputs!$G$5:$G$180&lt;&gt;"acoes")))*INDEX(Inputs!$K$5:$AJ$180,0,MATCH(N$2,Inputs!$K$4:$AJ$4,0)))+SUMPRODUCT((Inputs!$C$5:$C$180=$B18)*Inputs!$D$5:$D$180*(((Inputs!$G$5:$G$180="moeda")+(Inputs!$G$5:$G$180="acoes"))*Inputs!$B$1+((Inputs!$G$5:$G$180&lt;&gt;"moeda")*(Inputs!$G$5:$G$180&lt;&gt;"acoes")))*INDEX(Inputs!$K$5:$AJ$180,0,MATCH(N$2,Inputs!$K$4:$AJ$4,0)))+SUMPRODUCT((Inputs!$E$5:$E$180=$B18)*Inputs!$F$5:$F$180*(((Inputs!$G$5:$G$180="moeda")+(Inputs!$G$5:$G$180="acoes"))*Inputs!$B$1+((Inputs!$G$5:$G$180&lt;&gt;"moeda")*(Inputs!$G$5:$G$180&lt;&gt;"acoes")))*INDEX(Inputs!$K$5:$AJ$180,0,MATCH(N$2,Inputs!$K$4:$AJ$4,0)))))</f>
        <v>53.22583053</v>
      </c>
      <c r="O18" s="6">
        <f>IF(ISNA(MATCH(O$2,Inputs!$K$4:$AJ$4,0)),NA(),IF(SUMPRODUCT((Inputs!$A$5:$A$180=$B18)*ISNUMBER(INDEX(Inputs!$K$5:$AJ$180,0,MATCH(O$2,Inputs!$K$4:$AJ$4,0))))+SUMPRODUCT((Inputs!$C$5:$C$180=$B18)*ISNUMBER(INDEX(Inputs!$K$5:$AJ$180,0,MATCH(O$2,Inputs!$K$4:$AJ$4,0))))+SUMPRODUCT((Inputs!$E$5:$E$180=$B18)*ISNUMBER(INDEX(Inputs!$K$5:$AJ$180,0,MATCH(O$2,Inputs!$K$4:$AJ$4,0))))=0,NA(),SUMPRODUCT((Inputs!$A$5:$A$180=$B18)*Inputs!$B$5:$B$180*(((Inputs!$G$5:$G$180="moeda")+(Inputs!$G$5:$G$180="acoes"))*Inputs!$B$1+((Inputs!$G$5:$G$180&lt;&gt;"moeda")*(Inputs!$G$5:$G$180&lt;&gt;"acoes")))*INDEX(Inputs!$K$5:$AJ$180,0,MATCH(O$2,Inputs!$K$4:$AJ$4,0)))+SUMPRODUCT((Inputs!$C$5:$C$180=$B18)*Inputs!$D$5:$D$180*(((Inputs!$G$5:$G$180="moeda")+(Inputs!$G$5:$G$180="acoes"))*Inputs!$B$1+((Inputs!$G$5:$G$180&lt;&gt;"moeda")*(Inputs!$G$5:$G$180&lt;&gt;"acoes")))*INDEX(Inputs!$K$5:$AJ$180,0,MATCH(O$2,Inputs!$K$4:$AJ$4,0)))+SUMPRODUCT((Inputs!$E$5:$E$180=$B18)*Inputs!$F$5:$F$180*(((Inputs!$G$5:$G$180="moeda")+(Inputs!$G$5:$G$180="acoes"))*Inputs!$B$1+((Inputs!$G$5:$G$180&lt;&gt;"moeda")*(Inputs!$G$5:$G$180&lt;&gt;"acoes")))*INDEX(Inputs!$K$5:$AJ$180,0,MATCH(O$2,Inputs!$K$4:$AJ$4,0)))))</f>
        <v>55.901</v>
      </c>
      <c r="P18" s="6">
        <f>IF(ISNA(MATCH(P$2,Inputs!$K$4:$AJ$4,0)),NA(),IF(SUMPRODUCT((Inputs!$A$5:$A$180=$B18)*ISNUMBER(INDEX(Inputs!$K$5:$AJ$180,0,MATCH(P$2,Inputs!$K$4:$AJ$4,0))))+SUMPRODUCT((Inputs!$C$5:$C$180=$B18)*ISNUMBER(INDEX(Inputs!$K$5:$AJ$180,0,MATCH(P$2,Inputs!$K$4:$AJ$4,0))))+SUMPRODUCT((Inputs!$E$5:$E$180=$B18)*ISNUMBER(INDEX(Inputs!$K$5:$AJ$180,0,MATCH(P$2,Inputs!$K$4:$AJ$4,0))))=0,NA(),SUMPRODUCT((Inputs!$A$5:$A$180=$B18)*Inputs!$B$5:$B$180*(((Inputs!$G$5:$G$180="moeda")+(Inputs!$G$5:$G$180="acoes"))*Inputs!$B$1+((Inputs!$G$5:$G$180&lt;&gt;"moeda")*(Inputs!$G$5:$G$180&lt;&gt;"acoes")))*INDEX(Inputs!$K$5:$AJ$180,0,MATCH(P$2,Inputs!$K$4:$AJ$4,0)))+SUMPRODUCT((Inputs!$C$5:$C$180=$B18)*Inputs!$D$5:$D$180*(((Inputs!$G$5:$G$180="moeda")+(Inputs!$G$5:$G$180="acoes"))*Inputs!$B$1+((Inputs!$G$5:$G$180&lt;&gt;"moeda")*(Inputs!$G$5:$G$180&lt;&gt;"acoes")))*INDEX(Inputs!$K$5:$AJ$180,0,MATCH(P$2,Inputs!$K$4:$AJ$4,0)))+SUMPRODUCT((Inputs!$E$5:$E$180=$B18)*Inputs!$F$5:$F$180*(((Inputs!$G$5:$G$180="moeda")+(Inputs!$G$5:$G$180="acoes"))*Inputs!$B$1+((Inputs!$G$5:$G$180&lt;&gt;"moeda")*(Inputs!$G$5:$G$180&lt;&gt;"acoes")))*INDEX(Inputs!$K$5:$AJ$180,0,MATCH(P$2,Inputs!$K$4:$AJ$4,0)))))</f>
        <v>29.695</v>
      </c>
      <c r="Q18" s="6">
        <f>IF(ISNA(MATCH(Q$2,Inputs!$K$4:$AJ$4,0)),NA(),IF(SUMPRODUCT((Inputs!$A$5:$A$180=$B18)*ISNUMBER(INDEX(Inputs!$K$5:$AJ$180,0,MATCH(Q$2,Inputs!$K$4:$AJ$4,0))))+SUMPRODUCT((Inputs!$C$5:$C$180=$B18)*ISNUMBER(INDEX(Inputs!$K$5:$AJ$180,0,MATCH(Q$2,Inputs!$K$4:$AJ$4,0))))+SUMPRODUCT((Inputs!$E$5:$E$180=$B18)*ISNUMBER(INDEX(Inputs!$K$5:$AJ$180,0,MATCH(Q$2,Inputs!$K$4:$AJ$4,0))))=0,NA(),SUMPRODUCT((Inputs!$A$5:$A$180=$B18)*Inputs!$B$5:$B$180*(((Inputs!$G$5:$G$180="moeda")+(Inputs!$G$5:$G$180="acoes"))*Inputs!$B$1+((Inputs!$G$5:$G$180&lt;&gt;"moeda")*(Inputs!$G$5:$G$180&lt;&gt;"acoes")))*INDEX(Inputs!$K$5:$AJ$180,0,MATCH(Q$2,Inputs!$K$4:$AJ$4,0)))+SUMPRODUCT((Inputs!$C$5:$C$180=$B18)*Inputs!$D$5:$D$180*(((Inputs!$G$5:$G$180="moeda")+(Inputs!$G$5:$G$180="acoes"))*Inputs!$B$1+((Inputs!$G$5:$G$180&lt;&gt;"moeda")*(Inputs!$G$5:$G$180&lt;&gt;"acoes")))*INDEX(Inputs!$K$5:$AJ$180,0,MATCH(Q$2,Inputs!$K$4:$AJ$4,0)))+SUMPRODUCT((Inputs!$E$5:$E$180=$B18)*Inputs!$F$5:$F$180*(((Inputs!$G$5:$G$180="moeda")+(Inputs!$G$5:$G$180="acoes"))*Inputs!$B$1+((Inputs!$G$5:$G$180&lt;&gt;"moeda")*(Inputs!$G$5:$G$180&lt;&gt;"acoes")))*INDEX(Inputs!$K$5:$AJ$180,0,MATCH(Q$2,Inputs!$K$4:$AJ$4,0)))))</f>
        <v>34.356</v>
      </c>
      <c r="R18" s="3">
        <f>Q18</f>
        <v>34.356</v>
      </c>
      <c r="S18" s="6">
        <f>IF(ISNA(MATCH(S$2,Inputs!$K$4:$AJ$4,0)),NA(),IF(SUMPRODUCT((Inputs!$A$5:$A$180=$B18)*ISNUMBER(INDEX(Inputs!$K$5:$AJ$180,0,MATCH(S$2,Inputs!$K$4:$AJ$4,0))))+SUMPRODUCT((Inputs!$C$5:$C$180=$B18)*ISNUMBER(INDEX(Inputs!$K$5:$AJ$180,0,MATCH(S$2,Inputs!$K$4:$AJ$4,0))))+SUMPRODUCT((Inputs!$E$5:$E$180=$B18)*ISNUMBER(INDEX(Inputs!$K$5:$AJ$180,0,MATCH(S$2,Inputs!$K$4:$AJ$4,0))))=0,NA(),SUMPRODUCT((Inputs!$A$5:$A$180=$B18)*Inputs!$B$5:$B$180*(((Inputs!$G$5:$G$180="moeda")+(Inputs!$G$5:$G$180="acoes"))*Inputs!$B$1+((Inputs!$G$5:$G$180&lt;&gt;"moeda")*(Inputs!$G$5:$G$180&lt;&gt;"acoes")))*INDEX(Inputs!$K$5:$AJ$180,0,MATCH(S$2,Inputs!$K$4:$AJ$4,0)))+SUMPRODUCT((Inputs!$C$5:$C$180=$B18)*Inputs!$D$5:$D$180*(((Inputs!$G$5:$G$180="moeda")+(Inputs!$G$5:$G$180="acoes"))*Inputs!$B$1+((Inputs!$G$5:$G$180&lt;&gt;"moeda")*(Inputs!$G$5:$G$180&lt;&gt;"acoes")))*INDEX(Inputs!$K$5:$AJ$180,0,MATCH(S$2,Inputs!$K$4:$AJ$4,0)))+SUMPRODUCT((Inputs!$E$5:$E$180=$B18)*Inputs!$F$5:$F$180*(((Inputs!$G$5:$G$180="moeda")+(Inputs!$G$5:$G$180="acoes"))*Inputs!$B$1+((Inputs!$G$5:$G$180&lt;&gt;"moeda")*(Inputs!$G$5:$G$180&lt;&gt;"acoes")))*INDEX(Inputs!$K$5:$AJ$180,0,MATCH(S$2,Inputs!$K$4:$AJ$4,0)))))</f>
        <v>34.109</v>
      </c>
      <c r="T18" s="6">
        <f>IF(ISNA(MATCH(T$2,Inputs!$K$4:$AJ$4,0)),NA(),IF(SUMPRODUCT((Inputs!$A$5:$A$180=$B18)*ISNUMBER(INDEX(Inputs!$K$5:$AJ$180,0,MATCH(T$2,Inputs!$K$4:$AJ$4,0))))+SUMPRODUCT((Inputs!$C$5:$C$180=$B18)*ISNUMBER(INDEX(Inputs!$K$5:$AJ$180,0,MATCH(T$2,Inputs!$K$4:$AJ$4,0))))+SUMPRODUCT((Inputs!$E$5:$E$180=$B18)*ISNUMBER(INDEX(Inputs!$K$5:$AJ$180,0,MATCH(T$2,Inputs!$K$4:$AJ$4,0))))=0,NA(),SUMPRODUCT((Inputs!$A$5:$A$180=$B18)*Inputs!$B$5:$B$180*(((Inputs!$G$5:$G$180="moeda")+(Inputs!$G$5:$G$180="acoes"))*Inputs!$B$1+((Inputs!$G$5:$G$180&lt;&gt;"moeda")*(Inputs!$G$5:$G$180&lt;&gt;"acoes")))*INDEX(Inputs!$K$5:$AJ$180,0,MATCH(T$2,Inputs!$K$4:$AJ$4,0)))+SUMPRODUCT((Inputs!$C$5:$C$180=$B18)*Inputs!$D$5:$D$180*(((Inputs!$G$5:$G$180="moeda")+(Inputs!$G$5:$G$180="acoes"))*Inputs!$B$1+((Inputs!$G$5:$G$180&lt;&gt;"moeda")*(Inputs!$G$5:$G$180&lt;&gt;"acoes")))*INDEX(Inputs!$K$5:$AJ$180,0,MATCH(T$2,Inputs!$K$4:$AJ$4,0)))+SUMPRODUCT((Inputs!$E$5:$E$180=$B18)*Inputs!$F$5:$F$180*(((Inputs!$G$5:$G$180="moeda")+(Inputs!$G$5:$G$180="acoes"))*Inputs!$B$1+((Inputs!$G$5:$G$180&lt;&gt;"moeda")*(Inputs!$G$5:$G$180&lt;&gt;"acoes")))*INDEX(Inputs!$K$5:$AJ$180,0,MATCH(T$2,Inputs!$K$4:$AJ$4,0)))))</f>
        <v>37.285</v>
      </c>
      <c r="U18" s="6">
        <f>IF(ISNA(MATCH(U$2,Inputs!$K$4:$AJ$4,0)),NA(),IF(SUMPRODUCT((Inputs!$A$5:$A$180=$B18)*ISNUMBER(INDEX(Inputs!$K$5:$AJ$180,0,MATCH(U$2,Inputs!$K$4:$AJ$4,0))))+SUMPRODUCT((Inputs!$C$5:$C$180=$B18)*ISNUMBER(INDEX(Inputs!$K$5:$AJ$180,0,MATCH(U$2,Inputs!$K$4:$AJ$4,0))))+SUMPRODUCT((Inputs!$E$5:$E$180=$B18)*ISNUMBER(INDEX(Inputs!$K$5:$AJ$180,0,MATCH(U$2,Inputs!$K$4:$AJ$4,0))))=0,NA(),SUMPRODUCT((Inputs!$A$5:$A$180=$B18)*Inputs!$B$5:$B$180*(((Inputs!$G$5:$G$180="moeda")+(Inputs!$G$5:$G$180="acoes"))*Inputs!$B$1+((Inputs!$G$5:$G$180&lt;&gt;"moeda")*(Inputs!$G$5:$G$180&lt;&gt;"acoes")))*INDEX(Inputs!$K$5:$AJ$180,0,MATCH(U$2,Inputs!$K$4:$AJ$4,0)))+SUMPRODUCT((Inputs!$C$5:$C$180=$B18)*Inputs!$D$5:$D$180*(((Inputs!$G$5:$G$180="moeda")+(Inputs!$G$5:$G$180="acoes"))*Inputs!$B$1+((Inputs!$G$5:$G$180&lt;&gt;"moeda")*(Inputs!$G$5:$G$180&lt;&gt;"acoes")))*INDEX(Inputs!$K$5:$AJ$180,0,MATCH(U$2,Inputs!$K$4:$AJ$4,0)))+SUMPRODUCT((Inputs!$E$5:$E$180=$B18)*Inputs!$F$5:$F$180*(((Inputs!$G$5:$G$180="moeda")+(Inputs!$G$5:$G$180="acoes"))*Inputs!$B$1+((Inputs!$G$5:$G$180&lt;&gt;"moeda")*(Inputs!$G$5:$G$180&lt;&gt;"acoes")))*INDEX(Inputs!$K$5:$AJ$180,0,MATCH(U$2,Inputs!$K$4:$AJ$4,0)))))</f>
        <v>37.378</v>
      </c>
      <c r="V18" s="6">
        <f>IF(ISNA(MATCH(V$2,Inputs!$K$4:$AJ$4,0)),NA(),IF(SUMPRODUCT((Inputs!$A$5:$A$180=$B18)*ISNUMBER(INDEX(Inputs!$K$5:$AJ$180,0,MATCH(V$2,Inputs!$K$4:$AJ$4,0))))+SUMPRODUCT((Inputs!$C$5:$C$180=$B18)*ISNUMBER(INDEX(Inputs!$K$5:$AJ$180,0,MATCH(V$2,Inputs!$K$4:$AJ$4,0))))+SUMPRODUCT((Inputs!$E$5:$E$180=$B18)*ISNUMBER(INDEX(Inputs!$K$5:$AJ$180,0,MATCH(V$2,Inputs!$K$4:$AJ$4,0))))=0,NA(),SUMPRODUCT((Inputs!$A$5:$A$180=$B18)*Inputs!$B$5:$B$180*(((Inputs!$G$5:$G$180="moeda")+(Inputs!$G$5:$G$180="acoes"))*Inputs!$B$1+((Inputs!$G$5:$G$180&lt;&gt;"moeda")*(Inputs!$G$5:$G$180&lt;&gt;"acoes")))*INDEX(Inputs!$K$5:$AJ$180,0,MATCH(V$2,Inputs!$K$4:$AJ$4,0)))+SUMPRODUCT((Inputs!$C$5:$C$180=$B18)*Inputs!$D$5:$D$180*(((Inputs!$G$5:$G$180="moeda")+(Inputs!$G$5:$G$180="acoes"))*Inputs!$B$1+((Inputs!$G$5:$G$180&lt;&gt;"moeda")*(Inputs!$G$5:$G$180&lt;&gt;"acoes")))*INDEX(Inputs!$K$5:$AJ$180,0,MATCH(V$2,Inputs!$K$4:$AJ$4,0)))+SUMPRODUCT((Inputs!$E$5:$E$180=$B18)*Inputs!$F$5:$F$180*(((Inputs!$G$5:$G$180="moeda")+(Inputs!$G$5:$G$180="acoes"))*Inputs!$B$1+((Inputs!$G$5:$G$180&lt;&gt;"moeda")*(Inputs!$G$5:$G$180&lt;&gt;"acoes")))*INDEX(Inputs!$K$5:$AJ$180,0,MATCH(V$2,Inputs!$K$4:$AJ$4,0)))))</f>
        <v>20.478</v>
      </c>
      <c r="W18" s="3">
        <f>V18</f>
        <v>20.478</v>
      </c>
      <c r="X18" s="6">
        <f>IF(ISNA(MATCH(X$2,Inputs!$K$4:$AJ$4,0)),NA(),IF(SUMPRODUCT((Inputs!$A$5:$A$180=$B18)*ISNUMBER(INDEX(Inputs!$K$5:$AJ$180,0,MATCH(X$2,Inputs!$K$4:$AJ$4,0))))+SUMPRODUCT((Inputs!$C$5:$C$180=$B18)*ISNUMBER(INDEX(Inputs!$K$5:$AJ$180,0,MATCH(X$2,Inputs!$K$4:$AJ$4,0))))+SUMPRODUCT((Inputs!$E$5:$E$180=$B18)*ISNUMBER(INDEX(Inputs!$K$5:$AJ$180,0,MATCH(X$2,Inputs!$K$4:$AJ$4,0))))=0,NA(),SUMPRODUCT((Inputs!$A$5:$A$180=$B18)*Inputs!$B$5:$B$180*(((Inputs!$G$5:$G$180="moeda")+(Inputs!$G$5:$G$180="acoes"))*Inputs!$B$1+((Inputs!$G$5:$G$180&lt;&gt;"moeda")*(Inputs!$G$5:$G$180&lt;&gt;"acoes")))*INDEX(Inputs!$K$5:$AJ$180,0,MATCH(X$2,Inputs!$K$4:$AJ$4,0)))+SUMPRODUCT((Inputs!$C$5:$C$180=$B18)*Inputs!$D$5:$D$180*(((Inputs!$G$5:$G$180="moeda")+(Inputs!$G$5:$G$180="acoes"))*Inputs!$B$1+((Inputs!$G$5:$G$180&lt;&gt;"moeda")*(Inputs!$G$5:$G$180&lt;&gt;"acoes")))*INDEX(Inputs!$K$5:$AJ$180,0,MATCH(X$2,Inputs!$K$4:$AJ$4,0)))+SUMPRODUCT((Inputs!$E$5:$E$180=$B18)*Inputs!$F$5:$F$180*(((Inputs!$G$5:$G$180="moeda")+(Inputs!$G$5:$G$180="acoes"))*Inputs!$B$1+((Inputs!$G$5:$G$180&lt;&gt;"moeda")*(Inputs!$G$5:$G$180&lt;&gt;"acoes")))*INDEX(Inputs!$K$5:$AJ$180,0,MATCH(X$2,Inputs!$K$4:$AJ$4,0)))))</f>
        <v>21.879454</v>
      </c>
      <c r="Y18" s="6">
        <f>IF(ISNA(MATCH(Y$2,Inputs!$K$4:$AJ$4,0)),NA(),IF(SUMPRODUCT((Inputs!$A$5:$A$180=$B18)*ISNUMBER(INDEX(Inputs!$K$5:$AJ$180,0,MATCH(Y$2,Inputs!$K$4:$AJ$4,0))))+SUMPRODUCT((Inputs!$C$5:$C$180=$B18)*ISNUMBER(INDEX(Inputs!$K$5:$AJ$180,0,MATCH(Y$2,Inputs!$K$4:$AJ$4,0))))+SUMPRODUCT((Inputs!$E$5:$E$180=$B18)*ISNUMBER(INDEX(Inputs!$K$5:$AJ$180,0,MATCH(Y$2,Inputs!$K$4:$AJ$4,0))))=0,NA(),SUMPRODUCT((Inputs!$A$5:$A$180=$B18)*Inputs!$B$5:$B$180*(((Inputs!$G$5:$G$180="moeda")+(Inputs!$G$5:$G$180="acoes"))*Inputs!$B$1+((Inputs!$G$5:$G$180&lt;&gt;"moeda")*(Inputs!$G$5:$G$180&lt;&gt;"acoes")))*INDEX(Inputs!$K$5:$AJ$180,0,MATCH(Y$2,Inputs!$K$4:$AJ$4,0)))+SUMPRODUCT((Inputs!$C$5:$C$180=$B18)*Inputs!$D$5:$D$180*(((Inputs!$G$5:$G$180="moeda")+(Inputs!$G$5:$G$180="acoes"))*Inputs!$B$1+((Inputs!$G$5:$G$180&lt;&gt;"moeda")*(Inputs!$G$5:$G$180&lt;&gt;"acoes")))*INDEX(Inputs!$K$5:$AJ$180,0,MATCH(Y$2,Inputs!$K$4:$AJ$4,0)))+SUMPRODUCT((Inputs!$E$5:$E$180=$B18)*Inputs!$F$5:$F$180*(((Inputs!$G$5:$G$180="moeda")+(Inputs!$G$5:$G$180="acoes"))*Inputs!$B$1+((Inputs!$G$5:$G$180&lt;&gt;"moeda")*(Inputs!$G$5:$G$180&lt;&gt;"acoes")))*INDEX(Inputs!$K$5:$AJ$180,0,MATCH(Y$2,Inputs!$K$4:$AJ$4,0)))))</f>
        <v>11.582</v>
      </c>
      <c r="Z18" s="6">
        <f>IF(ISNA(MATCH(Z$2,Inputs!$K$4:$AJ$4,0)),NA(),IF(SUMPRODUCT((Inputs!$A$5:$A$180=$B18)*ISNUMBER(INDEX(Inputs!$K$5:$AJ$180,0,MATCH(Z$2,Inputs!$K$4:$AJ$4,0))))+SUMPRODUCT((Inputs!$C$5:$C$180=$B18)*ISNUMBER(INDEX(Inputs!$K$5:$AJ$180,0,MATCH(Z$2,Inputs!$K$4:$AJ$4,0))))+SUMPRODUCT((Inputs!$E$5:$E$180=$B18)*ISNUMBER(INDEX(Inputs!$K$5:$AJ$180,0,MATCH(Z$2,Inputs!$K$4:$AJ$4,0))))=0,NA(),SUMPRODUCT((Inputs!$A$5:$A$180=$B18)*Inputs!$B$5:$B$180*(((Inputs!$G$5:$G$180="moeda")+(Inputs!$G$5:$G$180="acoes"))*Inputs!$B$1+((Inputs!$G$5:$G$180&lt;&gt;"moeda")*(Inputs!$G$5:$G$180&lt;&gt;"acoes")))*INDEX(Inputs!$K$5:$AJ$180,0,MATCH(Z$2,Inputs!$K$4:$AJ$4,0)))+SUMPRODUCT((Inputs!$C$5:$C$180=$B18)*Inputs!$D$5:$D$180*(((Inputs!$G$5:$G$180="moeda")+(Inputs!$G$5:$G$180="acoes"))*Inputs!$B$1+((Inputs!$G$5:$G$180&lt;&gt;"moeda")*(Inputs!$G$5:$G$180&lt;&gt;"acoes")))*INDEX(Inputs!$K$5:$AJ$180,0,MATCH(Z$2,Inputs!$K$4:$AJ$4,0)))+SUMPRODUCT((Inputs!$E$5:$E$180=$B18)*Inputs!$F$5:$F$180*(((Inputs!$G$5:$G$180="moeda")+(Inputs!$G$5:$G$180="acoes"))*Inputs!$B$1+((Inputs!$G$5:$G$180&lt;&gt;"moeda")*(Inputs!$G$5:$G$180&lt;&gt;"acoes")))*INDEX(Inputs!$K$5:$AJ$180,0,MATCH(Z$2,Inputs!$K$4:$AJ$4,0)))))</f>
        <v>12.011</v>
      </c>
      <c r="AA18" s="6">
        <f>IF(ISNA(MATCH(AA$2,Inputs!$K$4:$AJ$4,0)),NA(),IF(SUMPRODUCT((Inputs!$A$5:$A$180=$B18)*ISNUMBER(INDEX(Inputs!$K$5:$AJ$180,0,MATCH(AA$2,Inputs!$K$4:$AJ$4,0))))+SUMPRODUCT((Inputs!$C$5:$C$180=$B18)*ISNUMBER(INDEX(Inputs!$K$5:$AJ$180,0,MATCH(AA$2,Inputs!$K$4:$AJ$4,0))))+SUMPRODUCT((Inputs!$E$5:$E$180=$B18)*ISNUMBER(INDEX(Inputs!$K$5:$AJ$180,0,MATCH(AA$2,Inputs!$K$4:$AJ$4,0))))=0,NA(),SUMPRODUCT((Inputs!$A$5:$A$180=$B18)*Inputs!$B$5:$B$180*(((Inputs!$G$5:$G$180="moeda")+(Inputs!$G$5:$G$180="acoes"))*Inputs!$B$1+((Inputs!$G$5:$G$180&lt;&gt;"moeda")*(Inputs!$G$5:$G$180&lt;&gt;"acoes")))*INDEX(Inputs!$K$5:$AJ$180,0,MATCH(AA$2,Inputs!$K$4:$AJ$4,0)))+SUMPRODUCT((Inputs!$C$5:$C$180=$B18)*Inputs!$D$5:$D$180*(((Inputs!$G$5:$G$180="moeda")+(Inputs!$G$5:$G$180="acoes"))*Inputs!$B$1+((Inputs!$G$5:$G$180&lt;&gt;"moeda")*(Inputs!$G$5:$G$180&lt;&gt;"acoes")))*INDEX(Inputs!$K$5:$AJ$180,0,MATCH(AA$2,Inputs!$K$4:$AJ$4,0)))+SUMPRODUCT((Inputs!$E$5:$E$180=$B18)*Inputs!$F$5:$F$180*(((Inputs!$G$5:$G$180="moeda")+(Inputs!$G$5:$G$180="acoes"))*Inputs!$B$1+((Inputs!$G$5:$G$180&lt;&gt;"moeda")*(Inputs!$G$5:$G$180&lt;&gt;"acoes")))*INDEX(Inputs!$K$5:$AJ$180,0,MATCH(AA$2,Inputs!$K$4:$AJ$4,0)))))</f>
        <v>11.058</v>
      </c>
      <c r="AB18" s="3">
        <f>AA18</f>
        <v>11.058</v>
      </c>
      <c r="AC18" s="6">
        <f>IF(ISNA(MATCH(AC$2,Inputs!$K$4:$AJ$4,0)),NA(),IF(SUMPRODUCT((Inputs!$A$5:$A$180=$B18)*ISNUMBER(INDEX(Inputs!$K$5:$AJ$180,0,MATCH(AC$2,Inputs!$K$4:$AJ$4,0))))+SUMPRODUCT((Inputs!$C$5:$C$180=$B18)*ISNUMBER(INDEX(Inputs!$K$5:$AJ$180,0,MATCH(AC$2,Inputs!$K$4:$AJ$4,0))))+SUMPRODUCT((Inputs!$E$5:$E$180=$B18)*ISNUMBER(INDEX(Inputs!$K$5:$AJ$180,0,MATCH(AC$2,Inputs!$K$4:$AJ$4,0))))=0,NA(),SUMPRODUCT((Inputs!$A$5:$A$180=$B18)*Inputs!$B$5:$B$180*(((Inputs!$G$5:$G$180="moeda")+(Inputs!$G$5:$G$180="acoes"))*Inputs!$B$1+((Inputs!$G$5:$G$180&lt;&gt;"moeda")*(Inputs!$G$5:$G$180&lt;&gt;"acoes")))*INDEX(Inputs!$K$5:$AJ$180,0,MATCH(AC$2,Inputs!$K$4:$AJ$4,0)))+SUMPRODUCT((Inputs!$C$5:$C$180=$B18)*Inputs!$D$5:$D$180*(((Inputs!$G$5:$G$180="moeda")+(Inputs!$G$5:$G$180="acoes"))*Inputs!$B$1+((Inputs!$G$5:$G$180&lt;&gt;"moeda")*(Inputs!$G$5:$G$180&lt;&gt;"acoes")))*INDEX(Inputs!$K$5:$AJ$180,0,MATCH(AC$2,Inputs!$K$4:$AJ$4,0)))+SUMPRODUCT((Inputs!$E$5:$E$180=$B18)*Inputs!$F$5:$F$180*(((Inputs!$G$5:$G$180="moeda")+(Inputs!$G$5:$G$180="acoes"))*Inputs!$B$1+((Inputs!$G$5:$G$180&lt;&gt;"moeda")*(Inputs!$G$5:$G$180&lt;&gt;"acoes")))*INDEX(Inputs!$K$5:$AJ$180,0,MATCH(AC$2,Inputs!$K$4:$AJ$4,0)))))</f>
        <v>8.43</v>
      </c>
      <c r="AD18" s="6">
        <f>IF(ISNA(MATCH(AD$2,Inputs!$K$4:$AJ$4,0)),NA(),IF(SUMPRODUCT((Inputs!$A$5:$A$180=$B18)*ISNUMBER(INDEX(Inputs!$K$5:$AJ$180,0,MATCH(AD$2,Inputs!$K$4:$AJ$4,0))))+SUMPRODUCT((Inputs!$C$5:$C$180=$B18)*ISNUMBER(INDEX(Inputs!$K$5:$AJ$180,0,MATCH(AD$2,Inputs!$K$4:$AJ$4,0))))+SUMPRODUCT((Inputs!$E$5:$E$180=$B18)*ISNUMBER(INDEX(Inputs!$K$5:$AJ$180,0,MATCH(AD$2,Inputs!$K$4:$AJ$4,0))))=0,NA(),SUMPRODUCT((Inputs!$A$5:$A$180=$B18)*Inputs!$B$5:$B$180*(((Inputs!$G$5:$G$180="moeda")+(Inputs!$G$5:$G$180="acoes"))*Inputs!$B$1+((Inputs!$G$5:$G$180&lt;&gt;"moeda")*(Inputs!$G$5:$G$180&lt;&gt;"acoes")))*INDEX(Inputs!$K$5:$AJ$180,0,MATCH(AD$2,Inputs!$K$4:$AJ$4,0)))+SUMPRODUCT((Inputs!$C$5:$C$180=$B18)*Inputs!$D$5:$D$180*(((Inputs!$G$5:$G$180="moeda")+(Inputs!$G$5:$G$180="acoes"))*Inputs!$B$1+((Inputs!$G$5:$G$180&lt;&gt;"moeda")*(Inputs!$G$5:$G$180&lt;&gt;"acoes")))*INDEX(Inputs!$K$5:$AJ$180,0,MATCH(AD$2,Inputs!$K$4:$AJ$4,0)))+SUMPRODUCT((Inputs!$E$5:$E$180=$B18)*Inputs!$F$5:$F$180*(((Inputs!$G$5:$G$180="moeda")+(Inputs!$G$5:$G$180="acoes"))*Inputs!$B$1+((Inputs!$G$5:$G$180&lt;&gt;"moeda")*(Inputs!$G$5:$G$180&lt;&gt;"acoes")))*INDEX(Inputs!$K$5:$AJ$180,0,MATCH(AD$2,Inputs!$K$4:$AJ$4,0)))))</f>
        <v>10.269</v>
      </c>
      <c r="AE18" s="6" t="e">
        <f>IF(ISNA(MATCH(AE$2,Inputs!$K$4:$AJ$4,0)),NA(),IF(SUMPRODUCT((Inputs!$A$5:$A$180=$B18)*ISNUMBER(INDEX(Inputs!$K$5:$AJ$180,0,MATCH(AE$2,Inputs!$K$4:$AJ$4,0))))+SUMPRODUCT((Inputs!$C$5:$C$180=$B18)*ISNUMBER(INDEX(Inputs!$K$5:$AJ$180,0,MATCH(AE$2,Inputs!$K$4:$AJ$4,0))))+SUMPRODUCT((Inputs!$E$5:$E$180=$B18)*ISNUMBER(INDEX(Inputs!$K$5:$AJ$180,0,MATCH(AE$2,Inputs!$K$4:$AJ$4,0))))=0,NA(),SUMPRODUCT((Inputs!$A$5:$A$180=$B18)*Inputs!$B$5:$B$180*(((Inputs!$G$5:$G$180="moeda")+(Inputs!$G$5:$G$180="acoes"))*Inputs!$B$1+((Inputs!$G$5:$G$180&lt;&gt;"moeda")*(Inputs!$G$5:$G$180&lt;&gt;"acoes")))*INDEX(Inputs!$K$5:$AJ$180,0,MATCH(AE$2,Inputs!$K$4:$AJ$4,0)))+SUMPRODUCT((Inputs!$C$5:$C$180=$B18)*Inputs!$D$5:$D$180*(((Inputs!$G$5:$G$180="moeda")+(Inputs!$G$5:$G$180="acoes"))*Inputs!$B$1+((Inputs!$G$5:$G$180&lt;&gt;"moeda")*(Inputs!$G$5:$G$180&lt;&gt;"acoes")))*INDEX(Inputs!$K$5:$AJ$180,0,MATCH(AE$2,Inputs!$K$4:$AJ$4,0)))+SUMPRODUCT((Inputs!$E$5:$E$180=$B18)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8" s="6" t="e">
        <f>IF(ISNA(MATCH(AF$2,Inputs!$K$4:$AJ$4,0)),NA(),IF(SUMPRODUCT((Inputs!$A$5:$A$180=$B18)*ISNUMBER(INDEX(Inputs!$K$5:$AJ$180,0,MATCH(AF$2,Inputs!$K$4:$AJ$4,0))))+SUMPRODUCT((Inputs!$C$5:$C$180=$B18)*ISNUMBER(INDEX(Inputs!$K$5:$AJ$180,0,MATCH(AF$2,Inputs!$K$4:$AJ$4,0))))+SUMPRODUCT((Inputs!$E$5:$E$180=$B18)*ISNUMBER(INDEX(Inputs!$K$5:$AJ$180,0,MATCH(AF$2,Inputs!$K$4:$AJ$4,0))))=0,NA(),SUMPRODUCT((Inputs!$A$5:$A$180=$B18)*Inputs!$B$5:$B$180*(((Inputs!$G$5:$G$180="moeda")+(Inputs!$G$5:$G$180="acoes"))*Inputs!$B$1+((Inputs!$G$5:$G$180&lt;&gt;"moeda")*(Inputs!$G$5:$G$180&lt;&gt;"acoes")))*INDEX(Inputs!$K$5:$AJ$180,0,MATCH(AF$2,Inputs!$K$4:$AJ$4,0)))+SUMPRODUCT((Inputs!$C$5:$C$180=$B18)*Inputs!$D$5:$D$180*(((Inputs!$G$5:$G$180="moeda")+(Inputs!$G$5:$G$180="acoes"))*Inputs!$B$1+((Inputs!$G$5:$G$180&lt;&gt;"moeda")*(Inputs!$G$5:$G$180&lt;&gt;"acoes")))*INDEX(Inputs!$K$5:$AJ$180,0,MATCH(AF$2,Inputs!$K$4:$AJ$4,0)))+SUMPRODUCT((Inputs!$E$5:$E$180=$B18)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8" s="3" t="e">
        <f>AF18</f>
        <v>#N/A</v>
      </c>
      <c r="AH18" s="6">
        <f>IF(ISNA(MATCH(AH$2,Inputs!$K$4:$AJ$4,0)),NA(),IF(SUMPRODUCT((Inputs!$A$5:$A$180=$B18)*ISNUMBER(INDEX(Inputs!$K$5:$AJ$180,0,MATCH(AH$2,Inputs!$K$4:$AJ$4,0))))+SUMPRODUCT((Inputs!$C$5:$C$180=$B18)*ISNUMBER(INDEX(Inputs!$K$5:$AJ$180,0,MATCH(AH$2,Inputs!$K$4:$AJ$4,0))))+SUMPRODUCT((Inputs!$E$5:$E$180=$B18)*ISNUMBER(INDEX(Inputs!$K$5:$AJ$180,0,MATCH(AH$2,Inputs!$K$4:$AJ$4,0))))=0,NA(),SUMPRODUCT((Inputs!$A$5:$A$180=$B18)*Inputs!$B$5:$B$180*(((Inputs!$G$5:$G$180="moeda")+(Inputs!$G$5:$G$180="acoes"))*Inputs!$B$1+((Inputs!$G$5:$G$180&lt;&gt;"moeda")*(Inputs!$G$5:$G$180&lt;&gt;"acoes")))*INDEX(Inputs!$K$5:$AJ$180,0,MATCH(AH$2,Inputs!$K$4:$AJ$4,0)))+SUMPRODUCT((Inputs!$C$5:$C$180=$B18)*Inputs!$D$5:$D$180*(((Inputs!$G$5:$G$180="moeda")+(Inputs!$G$5:$G$180="acoes"))*Inputs!$B$1+((Inputs!$G$5:$G$180&lt;&gt;"moeda")*(Inputs!$G$5:$G$180&lt;&gt;"acoes")))*INDEX(Inputs!$K$5:$AJ$180,0,MATCH(AH$2,Inputs!$K$4:$AJ$4,0)))+SUMPRODUCT((Inputs!$E$5:$E$180=$B18)*Inputs!$F$5:$F$180*(((Inputs!$G$5:$G$180="moeda")+(Inputs!$G$5:$G$180="acoes"))*Inputs!$B$1+((Inputs!$G$5:$G$180&lt;&gt;"moeda")*(Inputs!$G$5:$G$180&lt;&gt;"acoes")))*INDEX(Inputs!$K$5:$AJ$180,0,MATCH(AH$2,Inputs!$K$4:$AJ$4,0)))))</f>
        <v>12.5274</v>
      </c>
      <c r="AI18" s="6">
        <f>IF(ISNA(MATCH(AI$2,Inputs!$K$4:$AJ$4,0)),NA(),IF(SUMPRODUCT((Inputs!$A$5:$A$180=$B18)*ISNUMBER(INDEX(Inputs!$K$5:$AJ$180,0,MATCH(AI$2,Inputs!$K$4:$AJ$4,0))))+SUMPRODUCT((Inputs!$C$5:$C$180=$B18)*ISNUMBER(INDEX(Inputs!$K$5:$AJ$180,0,MATCH(AI$2,Inputs!$K$4:$AJ$4,0))))+SUMPRODUCT((Inputs!$E$5:$E$180=$B18)*ISNUMBER(INDEX(Inputs!$K$5:$AJ$180,0,MATCH(AI$2,Inputs!$K$4:$AJ$4,0))))=0,NA(),SUMPRODUCT((Inputs!$A$5:$A$180=$B18)*Inputs!$B$5:$B$180*(((Inputs!$G$5:$G$180="moeda")+(Inputs!$G$5:$G$180="acoes"))*Inputs!$B$1+((Inputs!$G$5:$G$180&lt;&gt;"moeda")*(Inputs!$G$5:$G$180&lt;&gt;"acoes")))*INDEX(Inputs!$K$5:$AJ$180,0,MATCH(AI$2,Inputs!$K$4:$AJ$4,0)))+SUMPRODUCT((Inputs!$C$5:$C$180=$B18)*Inputs!$D$5:$D$180*(((Inputs!$G$5:$G$180="moeda")+(Inputs!$G$5:$G$180="acoes"))*Inputs!$B$1+((Inputs!$G$5:$G$180&lt;&gt;"moeda")*(Inputs!$G$5:$G$180&lt;&gt;"acoes")))*INDEX(Inputs!$K$5:$AJ$180,0,MATCH(AI$2,Inputs!$K$4:$AJ$4,0)))+SUMPRODUCT((Inputs!$E$5:$E$180=$B18)*Inputs!$F$5:$F$180*(((Inputs!$G$5:$G$180="moeda")+(Inputs!$G$5:$G$180="acoes"))*Inputs!$B$1+((Inputs!$G$5:$G$180&lt;&gt;"moeda")*(Inputs!$G$5:$G$180&lt;&gt;"acoes")))*INDEX(Inputs!$K$5:$AJ$180,0,MATCH(AI$2,Inputs!$K$4:$AJ$4,0)))))</f>
        <v>80.02739699</v>
      </c>
      <c r="AJ18" s="6">
        <f>IF(ISNA(MATCH(AJ$2,Inputs!$K$4:$AJ$4,0)),NA(),IF(SUMPRODUCT((Inputs!$A$5:$A$180=$B18)*ISNUMBER(INDEX(Inputs!$K$5:$AJ$180,0,MATCH(AJ$2,Inputs!$K$4:$AJ$4,0))))+SUMPRODUCT((Inputs!$C$5:$C$180=$B18)*ISNUMBER(INDEX(Inputs!$K$5:$AJ$180,0,MATCH(AJ$2,Inputs!$K$4:$AJ$4,0))))+SUMPRODUCT((Inputs!$E$5:$E$180=$B18)*ISNUMBER(INDEX(Inputs!$K$5:$AJ$180,0,MATCH(AJ$2,Inputs!$K$4:$AJ$4,0))))=0,NA(),SUMPRODUCT((Inputs!$A$5:$A$180=$B18)*Inputs!$B$5:$B$180*(((Inputs!$G$5:$G$180="moeda")+(Inputs!$G$5:$G$180="acoes"))*Inputs!$B$1+((Inputs!$G$5:$G$180&lt;&gt;"moeda")*(Inputs!$G$5:$G$180&lt;&gt;"acoes")))*INDEX(Inputs!$K$5:$AJ$180,0,MATCH(AJ$2,Inputs!$K$4:$AJ$4,0)))+SUMPRODUCT((Inputs!$C$5:$C$180=$B18)*Inputs!$D$5:$D$180*(((Inputs!$G$5:$G$180="moeda")+(Inputs!$G$5:$G$180="acoes"))*Inputs!$B$1+((Inputs!$G$5:$G$180&lt;&gt;"moeda")*(Inputs!$G$5:$G$180&lt;&gt;"acoes")))*INDEX(Inputs!$K$5:$AJ$180,0,MATCH(AJ$2,Inputs!$K$4:$AJ$4,0)))+SUMPRODUCT((Inputs!$E$5:$E$180=$B18)*Inputs!$F$5:$F$180*(((Inputs!$G$5:$G$180="moeda")+(Inputs!$G$5:$G$180="acoes"))*Inputs!$B$1+((Inputs!$G$5:$G$180&lt;&gt;"moeda")*(Inputs!$G$5:$G$180&lt;&gt;"acoes")))*INDEX(Inputs!$K$5:$AJ$180,0,MATCH(AJ$2,Inputs!$K$4:$AJ$4,0)))))</f>
        <v>66.31949783</v>
      </c>
      <c r="AK18" s="6">
        <f>IF(ISNA(MATCH(AK$2,Inputs!$K$4:$AJ$4,0)),NA(),IF(SUMPRODUCT((Inputs!$A$5:$A$180=$B18)*ISNUMBER(INDEX(Inputs!$K$5:$AJ$180,0,MATCH(AK$2,Inputs!$K$4:$AJ$4,0))))+SUMPRODUCT((Inputs!$C$5:$C$180=$B18)*ISNUMBER(INDEX(Inputs!$K$5:$AJ$180,0,MATCH(AK$2,Inputs!$K$4:$AJ$4,0))))+SUMPRODUCT((Inputs!$E$5:$E$180=$B18)*ISNUMBER(INDEX(Inputs!$K$5:$AJ$180,0,MATCH(AK$2,Inputs!$K$4:$AJ$4,0))))=0,NA(),SUMPRODUCT((Inputs!$A$5:$A$180=$B18)*Inputs!$B$5:$B$180*(((Inputs!$G$5:$G$180="moeda")+(Inputs!$G$5:$G$180="acoes"))*Inputs!$B$1+((Inputs!$G$5:$G$180&lt;&gt;"moeda")*(Inputs!$G$5:$G$180&lt;&gt;"acoes")))*INDEX(Inputs!$K$5:$AJ$180,0,MATCH(AK$2,Inputs!$K$4:$AJ$4,0)))+SUMPRODUCT((Inputs!$C$5:$C$180=$B18)*Inputs!$D$5:$D$180*(((Inputs!$G$5:$G$180="moeda")+(Inputs!$G$5:$G$180="acoes"))*Inputs!$B$1+((Inputs!$G$5:$G$180&lt;&gt;"moeda")*(Inputs!$G$5:$G$180&lt;&gt;"acoes")))*INDEX(Inputs!$K$5:$AJ$180,0,MATCH(AK$2,Inputs!$K$4:$AJ$4,0)))+SUMPRODUCT((Inputs!$E$5:$E$180=$B18)*Inputs!$F$5:$F$180*(((Inputs!$G$5:$G$180="moeda")+(Inputs!$G$5:$G$180="acoes"))*Inputs!$B$1+((Inputs!$G$5:$G$180&lt;&gt;"moeda")*(Inputs!$G$5:$G$180&lt;&gt;"acoes")))*INDEX(Inputs!$K$5:$AJ$180,0,MATCH(AK$2,Inputs!$K$4:$AJ$4,0)))))</f>
        <v>75.95658545</v>
      </c>
      <c r="AL18" s="3">
        <f>AK18</f>
        <v>75.95658545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$180=$B19)*ISNUMBER(INDEX(Inputs!$K$5:$AJ$180,0,MATCH(D$2,Inputs!$K$4:$AJ$4,0))))+SUMPRODUCT((Inputs!$C$5:$C$180=$B19)*ISNUMBER(INDEX(Inputs!$K$5:$AJ$180,0,MATCH(D$2,Inputs!$K$4:$AJ$4,0))))+SUMPRODUCT((Inputs!$E$5:$E$180=$B19)*ISNUMBER(INDEX(Inputs!$K$5:$AJ$180,0,MATCH(D$2,Inputs!$K$4:$AJ$4,0))))=0,NA(),SUMPRODUCT((Inputs!$A$5:$A$180=$B19)*Inputs!$B$5:$B$180*(((Inputs!$G$5:$G$180="moeda")+(Inputs!$G$5:$G$180="acoes"))*Inputs!$B$1+((Inputs!$G$5:$G$180&lt;&gt;"moeda")*(Inputs!$G$5:$G$180&lt;&gt;"acoes")))*INDEX(Inputs!$K$5:$AJ$180,0,MATCH(D$2,Inputs!$K$4:$AJ$4,0)))+SUMPRODUCT((Inputs!$C$5:$C$180=$B19)*Inputs!$D$5:$D$180*(((Inputs!$G$5:$G$180="moeda")+(Inputs!$G$5:$G$180="acoes"))*Inputs!$B$1+((Inputs!$G$5:$G$180&lt;&gt;"moeda")*(Inputs!$G$5:$G$180&lt;&gt;"acoes")))*INDEX(Inputs!$K$5:$AJ$180,0,MATCH(D$2,Inputs!$K$4:$AJ$4,0)))+SUMPRODUCT((Inputs!$E$5:$E$180=$B19)*Inputs!$F$5:$F$180*(((Inputs!$G$5:$G$180="moeda")+(Inputs!$G$5:$G$180="acoes"))*Inputs!$B$1+((Inputs!$G$5:$G$180&lt;&gt;"moeda")*(Inputs!$G$5:$G$180&lt;&gt;"acoes")))*INDEX(Inputs!$K$5:$AJ$180,0,MATCH(D$2,Inputs!$K$4:$AJ$4,0)))))</f>
        <v>21.44050233</v>
      </c>
      <c r="E19" s="6">
        <f>IF(ISNA(MATCH(E$2,Inputs!$K$4:$AJ$4,0)),NA(),IF(SUMPRODUCT((Inputs!$A$5:$A$180=$B19)*ISNUMBER(INDEX(Inputs!$K$5:$AJ$180,0,MATCH(E$2,Inputs!$K$4:$AJ$4,0))))+SUMPRODUCT((Inputs!$C$5:$C$180=$B19)*ISNUMBER(INDEX(Inputs!$K$5:$AJ$180,0,MATCH(E$2,Inputs!$K$4:$AJ$4,0))))+SUMPRODUCT((Inputs!$E$5:$E$180=$B19)*ISNUMBER(INDEX(Inputs!$K$5:$AJ$180,0,MATCH(E$2,Inputs!$K$4:$AJ$4,0))))=0,NA(),SUMPRODUCT((Inputs!$A$5:$A$180=$B19)*Inputs!$B$5:$B$180*(((Inputs!$G$5:$G$180="moeda")+(Inputs!$G$5:$G$180="acoes"))*Inputs!$B$1+((Inputs!$G$5:$G$180&lt;&gt;"moeda")*(Inputs!$G$5:$G$180&lt;&gt;"acoes")))*INDEX(Inputs!$K$5:$AJ$180,0,MATCH(E$2,Inputs!$K$4:$AJ$4,0)))+SUMPRODUCT((Inputs!$C$5:$C$180=$B19)*Inputs!$D$5:$D$180*(((Inputs!$G$5:$G$180="moeda")+(Inputs!$G$5:$G$180="acoes"))*Inputs!$B$1+((Inputs!$G$5:$G$180&lt;&gt;"moeda")*(Inputs!$G$5:$G$180&lt;&gt;"acoes")))*INDEX(Inputs!$K$5:$AJ$180,0,MATCH(E$2,Inputs!$K$4:$AJ$4,0)))+SUMPRODUCT((Inputs!$E$5:$E$180=$B19)*Inputs!$F$5:$F$180*(((Inputs!$G$5:$G$180="moeda")+(Inputs!$G$5:$G$180="acoes"))*Inputs!$B$1+((Inputs!$G$5:$G$180&lt;&gt;"moeda")*(Inputs!$G$5:$G$180&lt;&gt;"acoes")))*INDEX(Inputs!$K$5:$AJ$180,0,MATCH(E$2,Inputs!$K$4:$AJ$4,0)))))</f>
        <v>19.74941461</v>
      </c>
      <c r="F19" s="6">
        <f>IF(ISNA(MATCH(F$2,Inputs!$K$4:$AJ$4,0)),NA(),IF(SUMPRODUCT((Inputs!$A$5:$A$180=$B19)*ISNUMBER(INDEX(Inputs!$K$5:$AJ$180,0,MATCH(F$2,Inputs!$K$4:$AJ$4,0))))+SUMPRODUCT((Inputs!$C$5:$C$180=$B19)*ISNUMBER(INDEX(Inputs!$K$5:$AJ$180,0,MATCH(F$2,Inputs!$K$4:$AJ$4,0))))+SUMPRODUCT((Inputs!$E$5:$E$180=$B19)*ISNUMBER(INDEX(Inputs!$K$5:$AJ$180,0,MATCH(F$2,Inputs!$K$4:$AJ$4,0))))=0,NA(),SUMPRODUCT((Inputs!$A$5:$A$180=$B19)*Inputs!$B$5:$B$180*(((Inputs!$G$5:$G$180="moeda")+(Inputs!$G$5:$G$180="acoes"))*Inputs!$B$1+((Inputs!$G$5:$G$180&lt;&gt;"moeda")*(Inputs!$G$5:$G$180&lt;&gt;"acoes")))*INDEX(Inputs!$K$5:$AJ$180,0,MATCH(F$2,Inputs!$K$4:$AJ$4,0)))+SUMPRODUCT((Inputs!$C$5:$C$180=$B19)*Inputs!$D$5:$D$180*(((Inputs!$G$5:$G$180="moeda")+(Inputs!$G$5:$G$180="acoes"))*Inputs!$B$1+((Inputs!$G$5:$G$180&lt;&gt;"moeda")*(Inputs!$G$5:$G$180&lt;&gt;"acoes")))*INDEX(Inputs!$K$5:$AJ$180,0,MATCH(F$2,Inputs!$K$4:$AJ$4,0)))+SUMPRODUCT((Inputs!$E$5:$E$180=$B19)*Inputs!$F$5:$F$180*(((Inputs!$G$5:$G$180="moeda")+(Inputs!$G$5:$G$180="acoes"))*Inputs!$B$1+((Inputs!$G$5:$G$180&lt;&gt;"moeda")*(Inputs!$G$5:$G$180&lt;&gt;"acoes")))*INDEX(Inputs!$K$5:$AJ$180,0,MATCH(F$2,Inputs!$K$4:$AJ$4,0)))))</f>
        <v>12.87100357</v>
      </c>
      <c r="G19" s="6">
        <f>IF(ISNA(MATCH(G$2,Inputs!$K$4:$AJ$4,0)),NA(),IF(SUMPRODUCT((Inputs!$A$5:$A$180=$B19)*ISNUMBER(INDEX(Inputs!$K$5:$AJ$180,0,MATCH(G$2,Inputs!$K$4:$AJ$4,0))))+SUMPRODUCT((Inputs!$C$5:$C$180=$B19)*ISNUMBER(INDEX(Inputs!$K$5:$AJ$180,0,MATCH(G$2,Inputs!$K$4:$AJ$4,0))))+SUMPRODUCT((Inputs!$E$5:$E$180=$B19)*ISNUMBER(INDEX(Inputs!$K$5:$AJ$180,0,MATCH(G$2,Inputs!$K$4:$AJ$4,0))))=0,NA(),SUMPRODUCT((Inputs!$A$5:$A$180=$B19)*Inputs!$B$5:$B$180*(((Inputs!$G$5:$G$180="moeda")+(Inputs!$G$5:$G$180="acoes"))*Inputs!$B$1+((Inputs!$G$5:$G$180&lt;&gt;"moeda")*(Inputs!$G$5:$G$180&lt;&gt;"acoes")))*INDEX(Inputs!$K$5:$AJ$180,0,MATCH(G$2,Inputs!$K$4:$AJ$4,0)))+SUMPRODUCT((Inputs!$C$5:$C$180=$B19)*Inputs!$D$5:$D$180*(((Inputs!$G$5:$G$180="moeda")+(Inputs!$G$5:$G$180="acoes"))*Inputs!$B$1+((Inputs!$G$5:$G$180&lt;&gt;"moeda")*(Inputs!$G$5:$G$180&lt;&gt;"acoes")))*INDEX(Inputs!$K$5:$AJ$180,0,MATCH(G$2,Inputs!$K$4:$AJ$4,0)))+SUMPRODUCT((Inputs!$E$5:$E$180=$B19)*Inputs!$F$5:$F$180*(((Inputs!$G$5:$G$180="moeda")+(Inputs!$G$5:$G$180="acoes"))*Inputs!$B$1+((Inputs!$G$5:$G$180&lt;&gt;"moeda")*(Inputs!$G$5:$G$180&lt;&gt;"acoes")))*INDEX(Inputs!$K$5:$AJ$180,0,MATCH(G$2,Inputs!$K$4:$AJ$4,0)))))</f>
        <v>6.91804293</v>
      </c>
      <c r="H19" s="3">
        <f>G19</f>
        <v>6.91804293</v>
      </c>
      <c r="I19" s="6">
        <f>IF(ISNA(MATCH(I$2,Inputs!$K$4:$AJ$4,0)),NA(),IF(SUMPRODUCT((Inputs!$A$5:$A$180=$B19)*ISNUMBER(INDEX(Inputs!$K$5:$AJ$180,0,MATCH(I$2,Inputs!$K$4:$AJ$4,0))))+SUMPRODUCT((Inputs!$C$5:$C$180=$B19)*ISNUMBER(INDEX(Inputs!$K$5:$AJ$180,0,MATCH(I$2,Inputs!$K$4:$AJ$4,0))))+SUMPRODUCT((Inputs!$E$5:$E$180=$B19)*ISNUMBER(INDEX(Inputs!$K$5:$AJ$180,0,MATCH(I$2,Inputs!$K$4:$AJ$4,0))))=0,NA(),SUMPRODUCT((Inputs!$A$5:$A$180=$B19)*Inputs!$B$5:$B$180*(((Inputs!$G$5:$G$180="moeda")+(Inputs!$G$5:$G$180="acoes"))*Inputs!$B$1+((Inputs!$G$5:$G$180&lt;&gt;"moeda")*(Inputs!$G$5:$G$180&lt;&gt;"acoes")))*INDEX(Inputs!$K$5:$AJ$180,0,MATCH(I$2,Inputs!$K$4:$AJ$4,0)))+SUMPRODUCT((Inputs!$C$5:$C$180=$B19)*Inputs!$D$5:$D$180*(((Inputs!$G$5:$G$180="moeda")+(Inputs!$G$5:$G$180="acoes"))*Inputs!$B$1+((Inputs!$G$5:$G$180&lt;&gt;"moeda")*(Inputs!$G$5:$G$180&lt;&gt;"acoes")))*INDEX(Inputs!$K$5:$AJ$180,0,MATCH(I$2,Inputs!$K$4:$AJ$4,0)))+SUMPRODUCT((Inputs!$E$5:$E$180=$B19)*Inputs!$F$5:$F$180*(((Inputs!$G$5:$G$180="moeda")+(Inputs!$G$5:$G$180="acoes"))*Inputs!$B$1+((Inputs!$G$5:$G$180&lt;&gt;"moeda")*(Inputs!$G$5:$G$180&lt;&gt;"acoes")))*INDEX(Inputs!$K$5:$AJ$180,0,MATCH(I$2,Inputs!$K$4:$AJ$4,0)))))</f>
        <v>28.66972893</v>
      </c>
      <c r="J19" s="6">
        <f>IF(ISNA(MATCH(J$2,Inputs!$K$4:$AJ$4,0)),NA(),IF(SUMPRODUCT((Inputs!$A$5:$A$180=$B19)*ISNUMBER(INDEX(Inputs!$K$5:$AJ$180,0,MATCH(J$2,Inputs!$K$4:$AJ$4,0))))+SUMPRODUCT((Inputs!$C$5:$C$180=$B19)*ISNUMBER(INDEX(Inputs!$K$5:$AJ$180,0,MATCH(J$2,Inputs!$K$4:$AJ$4,0))))+SUMPRODUCT((Inputs!$E$5:$E$180=$B19)*ISNUMBER(INDEX(Inputs!$K$5:$AJ$180,0,MATCH(J$2,Inputs!$K$4:$AJ$4,0))))=0,NA(),SUMPRODUCT((Inputs!$A$5:$A$180=$B19)*Inputs!$B$5:$B$180*(((Inputs!$G$5:$G$180="moeda")+(Inputs!$G$5:$G$180="acoes"))*Inputs!$B$1+((Inputs!$G$5:$G$180&lt;&gt;"moeda")*(Inputs!$G$5:$G$180&lt;&gt;"acoes")))*INDEX(Inputs!$K$5:$AJ$180,0,MATCH(J$2,Inputs!$K$4:$AJ$4,0)))+SUMPRODUCT((Inputs!$C$5:$C$180=$B19)*Inputs!$D$5:$D$180*(((Inputs!$G$5:$G$180="moeda")+(Inputs!$G$5:$G$180="acoes"))*Inputs!$B$1+((Inputs!$G$5:$G$180&lt;&gt;"moeda")*(Inputs!$G$5:$G$180&lt;&gt;"acoes")))*INDEX(Inputs!$K$5:$AJ$180,0,MATCH(J$2,Inputs!$K$4:$AJ$4,0)))+SUMPRODUCT((Inputs!$E$5:$E$180=$B19)*Inputs!$F$5:$F$180*(((Inputs!$G$5:$G$180="moeda")+(Inputs!$G$5:$G$180="acoes"))*Inputs!$B$1+((Inputs!$G$5:$G$180&lt;&gt;"moeda")*(Inputs!$G$5:$G$180&lt;&gt;"acoes")))*INDEX(Inputs!$K$5:$AJ$180,0,MATCH(J$2,Inputs!$K$4:$AJ$4,0)))))</f>
        <v>27.25646226</v>
      </c>
      <c r="K19" s="6">
        <f>IF(ISNA(MATCH(K$2,Inputs!$K$4:$AJ$4,0)),NA(),IF(SUMPRODUCT((Inputs!$A$5:$A$180=$B19)*ISNUMBER(INDEX(Inputs!$K$5:$AJ$180,0,MATCH(K$2,Inputs!$K$4:$AJ$4,0))))+SUMPRODUCT((Inputs!$C$5:$C$180=$B19)*ISNUMBER(INDEX(Inputs!$K$5:$AJ$180,0,MATCH(K$2,Inputs!$K$4:$AJ$4,0))))+SUMPRODUCT((Inputs!$E$5:$E$180=$B19)*ISNUMBER(INDEX(Inputs!$K$5:$AJ$180,0,MATCH(K$2,Inputs!$K$4:$AJ$4,0))))=0,NA(),SUMPRODUCT((Inputs!$A$5:$A$180=$B19)*Inputs!$B$5:$B$180*(((Inputs!$G$5:$G$180="moeda")+(Inputs!$G$5:$G$180="acoes"))*Inputs!$B$1+((Inputs!$G$5:$G$180&lt;&gt;"moeda")*(Inputs!$G$5:$G$180&lt;&gt;"acoes")))*INDEX(Inputs!$K$5:$AJ$180,0,MATCH(K$2,Inputs!$K$4:$AJ$4,0)))+SUMPRODUCT((Inputs!$C$5:$C$180=$B19)*Inputs!$D$5:$D$180*(((Inputs!$G$5:$G$180="moeda")+(Inputs!$G$5:$G$180="acoes"))*Inputs!$B$1+((Inputs!$G$5:$G$180&lt;&gt;"moeda")*(Inputs!$G$5:$G$180&lt;&gt;"acoes")))*INDEX(Inputs!$K$5:$AJ$180,0,MATCH(K$2,Inputs!$K$4:$AJ$4,0)))+SUMPRODUCT((Inputs!$E$5:$E$180=$B19)*Inputs!$F$5:$F$180*(((Inputs!$G$5:$G$180="moeda")+(Inputs!$G$5:$G$180="acoes"))*Inputs!$B$1+((Inputs!$G$5:$G$180&lt;&gt;"moeda")*(Inputs!$G$5:$G$180&lt;&gt;"acoes")))*INDEX(Inputs!$K$5:$AJ$180,0,MATCH(K$2,Inputs!$K$4:$AJ$4,0)))))</f>
        <v>22.41682529</v>
      </c>
      <c r="L19" s="6">
        <f>IF(ISNA(MATCH(L$2,Inputs!$K$4:$AJ$4,0)),NA(),IF(SUMPRODUCT((Inputs!$A$5:$A$180=$B19)*ISNUMBER(INDEX(Inputs!$K$5:$AJ$180,0,MATCH(L$2,Inputs!$K$4:$AJ$4,0))))+SUMPRODUCT((Inputs!$C$5:$C$180=$B19)*ISNUMBER(INDEX(Inputs!$K$5:$AJ$180,0,MATCH(L$2,Inputs!$K$4:$AJ$4,0))))+SUMPRODUCT((Inputs!$E$5:$E$180=$B19)*ISNUMBER(INDEX(Inputs!$K$5:$AJ$180,0,MATCH(L$2,Inputs!$K$4:$AJ$4,0))))=0,NA(),SUMPRODUCT((Inputs!$A$5:$A$180=$B19)*Inputs!$B$5:$B$180*(((Inputs!$G$5:$G$180="moeda")+(Inputs!$G$5:$G$180="acoes"))*Inputs!$B$1+((Inputs!$G$5:$G$180&lt;&gt;"moeda")*(Inputs!$G$5:$G$180&lt;&gt;"acoes")))*INDEX(Inputs!$K$5:$AJ$180,0,MATCH(L$2,Inputs!$K$4:$AJ$4,0)))+SUMPRODUCT((Inputs!$C$5:$C$180=$B19)*Inputs!$D$5:$D$180*(((Inputs!$G$5:$G$180="moeda")+(Inputs!$G$5:$G$180="acoes"))*Inputs!$B$1+((Inputs!$G$5:$G$180&lt;&gt;"moeda")*(Inputs!$G$5:$G$180&lt;&gt;"acoes")))*INDEX(Inputs!$K$5:$AJ$180,0,MATCH(L$2,Inputs!$K$4:$AJ$4,0)))+SUMPRODUCT((Inputs!$E$5:$E$180=$B19)*Inputs!$F$5:$F$180*(((Inputs!$G$5:$G$180="moeda")+(Inputs!$G$5:$G$180="acoes"))*Inputs!$B$1+((Inputs!$G$5:$G$180&lt;&gt;"moeda")*(Inputs!$G$5:$G$180&lt;&gt;"acoes")))*INDEX(Inputs!$K$5:$AJ$180,0,MATCH(L$2,Inputs!$K$4:$AJ$4,0)))))</f>
        <v>0</v>
      </c>
      <c r="M19" s="3">
        <f>L19</f>
        <v>0</v>
      </c>
      <c r="N19" s="6">
        <f>IF(ISNA(MATCH(N$2,Inputs!$K$4:$AJ$4,0)),NA(),IF(SUMPRODUCT((Inputs!$A$5:$A$180=$B19)*ISNUMBER(INDEX(Inputs!$K$5:$AJ$180,0,MATCH(N$2,Inputs!$K$4:$AJ$4,0))))+SUMPRODUCT((Inputs!$C$5:$C$180=$B19)*ISNUMBER(INDEX(Inputs!$K$5:$AJ$180,0,MATCH(N$2,Inputs!$K$4:$AJ$4,0))))+SUMPRODUCT((Inputs!$E$5:$E$180=$B19)*ISNUMBER(INDEX(Inputs!$K$5:$AJ$180,0,MATCH(N$2,Inputs!$K$4:$AJ$4,0))))=0,NA(),SUMPRODUCT((Inputs!$A$5:$A$180=$B19)*Inputs!$B$5:$B$180*(((Inputs!$G$5:$G$180="moeda")+(Inputs!$G$5:$G$180="acoes"))*Inputs!$B$1+((Inputs!$G$5:$G$180&lt;&gt;"moeda")*(Inputs!$G$5:$G$180&lt;&gt;"acoes")))*INDEX(Inputs!$K$5:$AJ$180,0,MATCH(N$2,Inputs!$K$4:$AJ$4,0)))+SUMPRODUCT((Inputs!$C$5:$C$180=$B19)*Inputs!$D$5:$D$180*(((Inputs!$G$5:$G$180="moeda")+(Inputs!$G$5:$G$180="acoes"))*Inputs!$B$1+((Inputs!$G$5:$G$180&lt;&gt;"moeda")*(Inputs!$G$5:$G$180&lt;&gt;"acoes")))*INDEX(Inputs!$K$5:$AJ$180,0,MATCH(N$2,Inputs!$K$4:$AJ$4,0)))+SUMPRODUCT((Inputs!$E$5:$E$180=$B19)*Inputs!$F$5:$F$180*(((Inputs!$G$5:$G$180="moeda")+(Inputs!$G$5:$G$180="acoes"))*Inputs!$B$1+((Inputs!$G$5:$G$180&lt;&gt;"moeda")*(Inputs!$G$5:$G$180&lt;&gt;"acoes")))*INDEX(Inputs!$K$5:$AJ$180,0,MATCH(N$2,Inputs!$K$4:$AJ$4,0)))))</f>
        <v>0</v>
      </c>
      <c r="O19" s="6">
        <f>IF(ISNA(MATCH(O$2,Inputs!$K$4:$AJ$4,0)),NA(),IF(SUMPRODUCT((Inputs!$A$5:$A$180=$B19)*ISNUMBER(INDEX(Inputs!$K$5:$AJ$180,0,MATCH(O$2,Inputs!$K$4:$AJ$4,0))))+SUMPRODUCT((Inputs!$C$5:$C$180=$B19)*ISNUMBER(INDEX(Inputs!$K$5:$AJ$180,0,MATCH(O$2,Inputs!$K$4:$AJ$4,0))))+SUMPRODUCT((Inputs!$E$5:$E$180=$B19)*ISNUMBER(INDEX(Inputs!$K$5:$AJ$180,0,MATCH(O$2,Inputs!$K$4:$AJ$4,0))))=0,NA(),SUMPRODUCT((Inputs!$A$5:$A$180=$B19)*Inputs!$B$5:$B$180*(((Inputs!$G$5:$G$180="moeda")+(Inputs!$G$5:$G$180="acoes"))*Inputs!$B$1+((Inputs!$G$5:$G$180&lt;&gt;"moeda")*(Inputs!$G$5:$G$180&lt;&gt;"acoes")))*INDEX(Inputs!$K$5:$AJ$180,0,MATCH(O$2,Inputs!$K$4:$AJ$4,0)))+SUMPRODUCT((Inputs!$C$5:$C$180=$B19)*Inputs!$D$5:$D$180*(((Inputs!$G$5:$G$180="moeda")+(Inputs!$G$5:$G$180="acoes"))*Inputs!$B$1+((Inputs!$G$5:$G$180&lt;&gt;"moeda")*(Inputs!$G$5:$G$180&lt;&gt;"acoes")))*INDEX(Inputs!$K$5:$AJ$180,0,MATCH(O$2,Inputs!$K$4:$AJ$4,0)))+SUMPRODUCT((Inputs!$E$5:$E$180=$B19)*Inputs!$F$5:$F$180*(((Inputs!$G$5:$G$180="moeda")+(Inputs!$G$5:$G$180="acoes"))*Inputs!$B$1+((Inputs!$G$5:$G$180&lt;&gt;"moeda")*(Inputs!$G$5:$G$180&lt;&gt;"acoes")))*INDEX(Inputs!$K$5:$AJ$180,0,MATCH(O$2,Inputs!$K$4:$AJ$4,0)))))</f>
        <v>0</v>
      </c>
      <c r="P19" s="6">
        <f>IF(ISNA(MATCH(P$2,Inputs!$K$4:$AJ$4,0)),NA(),IF(SUMPRODUCT((Inputs!$A$5:$A$180=$B19)*ISNUMBER(INDEX(Inputs!$K$5:$AJ$180,0,MATCH(P$2,Inputs!$K$4:$AJ$4,0))))+SUMPRODUCT((Inputs!$C$5:$C$180=$B19)*ISNUMBER(INDEX(Inputs!$K$5:$AJ$180,0,MATCH(P$2,Inputs!$K$4:$AJ$4,0))))+SUMPRODUCT((Inputs!$E$5:$E$180=$B19)*ISNUMBER(INDEX(Inputs!$K$5:$AJ$180,0,MATCH(P$2,Inputs!$K$4:$AJ$4,0))))=0,NA(),SUMPRODUCT((Inputs!$A$5:$A$180=$B19)*Inputs!$B$5:$B$180*(((Inputs!$G$5:$G$180="moeda")+(Inputs!$G$5:$G$180="acoes"))*Inputs!$B$1+((Inputs!$G$5:$G$180&lt;&gt;"moeda")*(Inputs!$G$5:$G$180&lt;&gt;"acoes")))*INDEX(Inputs!$K$5:$AJ$180,0,MATCH(P$2,Inputs!$K$4:$AJ$4,0)))+SUMPRODUCT((Inputs!$C$5:$C$180=$B19)*Inputs!$D$5:$D$180*(((Inputs!$G$5:$G$180="moeda")+(Inputs!$G$5:$G$180="acoes"))*Inputs!$B$1+((Inputs!$G$5:$G$180&lt;&gt;"moeda")*(Inputs!$G$5:$G$180&lt;&gt;"acoes")))*INDEX(Inputs!$K$5:$AJ$180,0,MATCH(P$2,Inputs!$K$4:$AJ$4,0)))+SUMPRODUCT((Inputs!$E$5:$E$180=$B19)*Inputs!$F$5:$F$180*(((Inputs!$G$5:$G$180="moeda")+(Inputs!$G$5:$G$180="acoes"))*Inputs!$B$1+((Inputs!$G$5:$G$180&lt;&gt;"moeda")*(Inputs!$G$5:$G$180&lt;&gt;"acoes")))*INDEX(Inputs!$K$5:$AJ$180,0,MATCH(P$2,Inputs!$K$4:$AJ$4,0)))))</f>
        <v>0</v>
      </c>
      <c r="Q19" s="6">
        <f>IF(ISNA(MATCH(Q$2,Inputs!$K$4:$AJ$4,0)),NA(),IF(SUMPRODUCT((Inputs!$A$5:$A$180=$B19)*ISNUMBER(INDEX(Inputs!$K$5:$AJ$180,0,MATCH(Q$2,Inputs!$K$4:$AJ$4,0))))+SUMPRODUCT((Inputs!$C$5:$C$180=$B19)*ISNUMBER(INDEX(Inputs!$K$5:$AJ$180,0,MATCH(Q$2,Inputs!$K$4:$AJ$4,0))))+SUMPRODUCT((Inputs!$E$5:$E$180=$B19)*ISNUMBER(INDEX(Inputs!$K$5:$AJ$180,0,MATCH(Q$2,Inputs!$K$4:$AJ$4,0))))=0,NA(),SUMPRODUCT((Inputs!$A$5:$A$180=$B19)*Inputs!$B$5:$B$180*(((Inputs!$G$5:$G$180="moeda")+(Inputs!$G$5:$G$180="acoes"))*Inputs!$B$1+((Inputs!$G$5:$G$180&lt;&gt;"moeda")*(Inputs!$G$5:$G$180&lt;&gt;"acoes")))*INDEX(Inputs!$K$5:$AJ$180,0,MATCH(Q$2,Inputs!$K$4:$AJ$4,0)))+SUMPRODUCT((Inputs!$C$5:$C$180=$B19)*Inputs!$D$5:$D$180*(((Inputs!$G$5:$G$180="moeda")+(Inputs!$G$5:$G$180="acoes"))*Inputs!$B$1+((Inputs!$G$5:$G$180&lt;&gt;"moeda")*(Inputs!$G$5:$G$180&lt;&gt;"acoes")))*INDEX(Inputs!$K$5:$AJ$180,0,MATCH(Q$2,Inputs!$K$4:$AJ$4,0)))+SUMPRODUCT((Inputs!$E$5:$E$180=$B19)*Inputs!$F$5:$F$180*(((Inputs!$G$5:$G$180="moeda")+(Inputs!$G$5:$G$180="acoes"))*Inputs!$B$1+((Inputs!$G$5:$G$180&lt;&gt;"moeda")*(Inputs!$G$5:$G$180&lt;&gt;"acoes")))*INDEX(Inputs!$K$5:$AJ$180,0,MATCH(Q$2,Inputs!$K$4:$AJ$4,0)))))</f>
        <v>0</v>
      </c>
      <c r="R19" s="3">
        <f>Q19</f>
        <v>0</v>
      </c>
      <c r="S19" s="6">
        <f>IF(ISNA(MATCH(S$2,Inputs!$K$4:$AJ$4,0)),NA(),IF(SUMPRODUCT((Inputs!$A$5:$A$180=$B19)*ISNUMBER(INDEX(Inputs!$K$5:$AJ$180,0,MATCH(S$2,Inputs!$K$4:$AJ$4,0))))+SUMPRODUCT((Inputs!$C$5:$C$180=$B19)*ISNUMBER(INDEX(Inputs!$K$5:$AJ$180,0,MATCH(S$2,Inputs!$K$4:$AJ$4,0))))+SUMPRODUCT((Inputs!$E$5:$E$180=$B19)*ISNUMBER(INDEX(Inputs!$K$5:$AJ$180,0,MATCH(S$2,Inputs!$K$4:$AJ$4,0))))=0,NA(),SUMPRODUCT((Inputs!$A$5:$A$180=$B19)*Inputs!$B$5:$B$180*(((Inputs!$G$5:$G$180="moeda")+(Inputs!$G$5:$G$180="acoes"))*Inputs!$B$1+((Inputs!$G$5:$G$180&lt;&gt;"moeda")*(Inputs!$G$5:$G$180&lt;&gt;"acoes")))*INDEX(Inputs!$K$5:$AJ$180,0,MATCH(S$2,Inputs!$K$4:$AJ$4,0)))+SUMPRODUCT((Inputs!$C$5:$C$180=$B19)*Inputs!$D$5:$D$180*(((Inputs!$G$5:$G$180="moeda")+(Inputs!$G$5:$G$180="acoes"))*Inputs!$B$1+((Inputs!$G$5:$G$180&lt;&gt;"moeda")*(Inputs!$G$5:$G$180&lt;&gt;"acoes")))*INDEX(Inputs!$K$5:$AJ$180,0,MATCH(S$2,Inputs!$K$4:$AJ$4,0)))+SUMPRODUCT((Inputs!$E$5:$E$180=$B19)*Inputs!$F$5:$F$180*(((Inputs!$G$5:$G$180="moeda")+(Inputs!$G$5:$G$180="acoes"))*Inputs!$B$1+((Inputs!$G$5:$G$180&lt;&gt;"moeda")*(Inputs!$G$5:$G$180&lt;&gt;"acoes")))*INDEX(Inputs!$K$5:$AJ$180,0,MATCH(S$2,Inputs!$K$4:$AJ$4,0)))))</f>
        <v>0</v>
      </c>
      <c r="T19" s="6">
        <f>IF(ISNA(MATCH(T$2,Inputs!$K$4:$AJ$4,0)),NA(),IF(SUMPRODUCT((Inputs!$A$5:$A$180=$B19)*ISNUMBER(INDEX(Inputs!$K$5:$AJ$180,0,MATCH(T$2,Inputs!$K$4:$AJ$4,0))))+SUMPRODUCT((Inputs!$C$5:$C$180=$B19)*ISNUMBER(INDEX(Inputs!$K$5:$AJ$180,0,MATCH(T$2,Inputs!$K$4:$AJ$4,0))))+SUMPRODUCT((Inputs!$E$5:$E$180=$B19)*ISNUMBER(INDEX(Inputs!$K$5:$AJ$180,0,MATCH(T$2,Inputs!$K$4:$AJ$4,0))))=0,NA(),SUMPRODUCT((Inputs!$A$5:$A$180=$B19)*Inputs!$B$5:$B$180*(((Inputs!$G$5:$G$180="moeda")+(Inputs!$G$5:$G$180="acoes"))*Inputs!$B$1+((Inputs!$G$5:$G$180&lt;&gt;"moeda")*(Inputs!$G$5:$G$180&lt;&gt;"acoes")))*INDEX(Inputs!$K$5:$AJ$180,0,MATCH(T$2,Inputs!$K$4:$AJ$4,0)))+SUMPRODUCT((Inputs!$C$5:$C$180=$B19)*Inputs!$D$5:$D$180*(((Inputs!$G$5:$G$180="moeda")+(Inputs!$G$5:$G$180="acoes"))*Inputs!$B$1+((Inputs!$G$5:$G$180&lt;&gt;"moeda")*(Inputs!$G$5:$G$180&lt;&gt;"acoes")))*INDEX(Inputs!$K$5:$AJ$180,0,MATCH(T$2,Inputs!$K$4:$AJ$4,0)))+SUMPRODUCT((Inputs!$E$5:$E$180=$B19)*Inputs!$F$5:$F$180*(((Inputs!$G$5:$G$180="moeda")+(Inputs!$G$5:$G$180="acoes"))*Inputs!$B$1+((Inputs!$G$5:$G$180&lt;&gt;"moeda")*(Inputs!$G$5:$G$180&lt;&gt;"acoes")))*INDEX(Inputs!$K$5:$AJ$180,0,MATCH(T$2,Inputs!$K$4:$AJ$4,0)))))</f>
        <v>0</v>
      </c>
      <c r="U19" s="6">
        <f>IF(ISNA(MATCH(U$2,Inputs!$K$4:$AJ$4,0)),NA(),IF(SUMPRODUCT((Inputs!$A$5:$A$180=$B19)*ISNUMBER(INDEX(Inputs!$K$5:$AJ$180,0,MATCH(U$2,Inputs!$K$4:$AJ$4,0))))+SUMPRODUCT((Inputs!$C$5:$C$180=$B19)*ISNUMBER(INDEX(Inputs!$K$5:$AJ$180,0,MATCH(U$2,Inputs!$K$4:$AJ$4,0))))+SUMPRODUCT((Inputs!$E$5:$E$180=$B19)*ISNUMBER(INDEX(Inputs!$K$5:$AJ$180,0,MATCH(U$2,Inputs!$K$4:$AJ$4,0))))=0,NA(),SUMPRODUCT((Inputs!$A$5:$A$180=$B19)*Inputs!$B$5:$B$180*(((Inputs!$G$5:$G$180="moeda")+(Inputs!$G$5:$G$180="acoes"))*Inputs!$B$1+((Inputs!$G$5:$G$180&lt;&gt;"moeda")*(Inputs!$G$5:$G$180&lt;&gt;"acoes")))*INDEX(Inputs!$K$5:$AJ$180,0,MATCH(U$2,Inputs!$K$4:$AJ$4,0)))+SUMPRODUCT((Inputs!$C$5:$C$180=$B19)*Inputs!$D$5:$D$180*(((Inputs!$G$5:$G$180="moeda")+(Inputs!$G$5:$G$180="acoes"))*Inputs!$B$1+((Inputs!$G$5:$G$180&lt;&gt;"moeda")*(Inputs!$G$5:$G$180&lt;&gt;"acoes")))*INDEX(Inputs!$K$5:$AJ$180,0,MATCH(U$2,Inputs!$K$4:$AJ$4,0)))+SUMPRODUCT((Inputs!$E$5:$E$180=$B19)*Inputs!$F$5:$F$180*(((Inputs!$G$5:$G$180="moeda")+(Inputs!$G$5:$G$180="acoes"))*Inputs!$B$1+((Inputs!$G$5:$G$180&lt;&gt;"moeda")*(Inputs!$G$5:$G$180&lt;&gt;"acoes")))*INDEX(Inputs!$K$5:$AJ$180,0,MATCH(U$2,Inputs!$K$4:$AJ$4,0)))))</f>
        <v>0</v>
      </c>
      <c r="V19" s="6">
        <f>IF(ISNA(MATCH(V$2,Inputs!$K$4:$AJ$4,0)),NA(),IF(SUMPRODUCT((Inputs!$A$5:$A$180=$B19)*ISNUMBER(INDEX(Inputs!$K$5:$AJ$180,0,MATCH(V$2,Inputs!$K$4:$AJ$4,0))))+SUMPRODUCT((Inputs!$C$5:$C$180=$B19)*ISNUMBER(INDEX(Inputs!$K$5:$AJ$180,0,MATCH(V$2,Inputs!$K$4:$AJ$4,0))))+SUMPRODUCT((Inputs!$E$5:$E$180=$B19)*ISNUMBER(INDEX(Inputs!$K$5:$AJ$180,0,MATCH(V$2,Inputs!$K$4:$AJ$4,0))))=0,NA(),SUMPRODUCT((Inputs!$A$5:$A$180=$B19)*Inputs!$B$5:$B$180*(((Inputs!$G$5:$G$180="moeda")+(Inputs!$G$5:$G$180="acoes"))*Inputs!$B$1+((Inputs!$G$5:$G$180&lt;&gt;"moeda")*(Inputs!$G$5:$G$180&lt;&gt;"acoes")))*INDEX(Inputs!$K$5:$AJ$180,0,MATCH(V$2,Inputs!$K$4:$AJ$4,0)))+SUMPRODUCT((Inputs!$C$5:$C$180=$B19)*Inputs!$D$5:$D$180*(((Inputs!$G$5:$G$180="moeda")+(Inputs!$G$5:$G$180="acoes"))*Inputs!$B$1+((Inputs!$G$5:$G$180&lt;&gt;"moeda")*(Inputs!$G$5:$G$180&lt;&gt;"acoes")))*INDEX(Inputs!$K$5:$AJ$180,0,MATCH(V$2,Inputs!$K$4:$AJ$4,0)))+SUMPRODUCT((Inputs!$E$5:$E$180=$B19)*Inputs!$F$5:$F$180*(((Inputs!$G$5:$G$180="moeda")+(Inputs!$G$5:$G$180="acoes"))*Inputs!$B$1+((Inputs!$G$5:$G$180&lt;&gt;"moeda")*(Inputs!$G$5:$G$180&lt;&gt;"acoes")))*INDEX(Inputs!$K$5:$AJ$180,0,MATCH(V$2,Inputs!$K$4:$AJ$4,0)))))</f>
        <v>0</v>
      </c>
      <c r="W19" s="3">
        <f>V19</f>
        <v>0</v>
      </c>
      <c r="X19" s="6">
        <f>IF(ISNA(MATCH(X$2,Inputs!$K$4:$AJ$4,0)),NA(),IF(SUMPRODUCT((Inputs!$A$5:$A$180=$B19)*ISNUMBER(INDEX(Inputs!$K$5:$AJ$180,0,MATCH(X$2,Inputs!$K$4:$AJ$4,0))))+SUMPRODUCT((Inputs!$C$5:$C$180=$B19)*ISNUMBER(INDEX(Inputs!$K$5:$AJ$180,0,MATCH(X$2,Inputs!$K$4:$AJ$4,0))))+SUMPRODUCT((Inputs!$E$5:$E$180=$B19)*ISNUMBER(INDEX(Inputs!$K$5:$AJ$180,0,MATCH(X$2,Inputs!$K$4:$AJ$4,0))))=0,NA(),SUMPRODUCT((Inputs!$A$5:$A$180=$B19)*Inputs!$B$5:$B$180*(((Inputs!$G$5:$G$180="moeda")+(Inputs!$G$5:$G$180="acoes"))*Inputs!$B$1+((Inputs!$G$5:$G$180&lt;&gt;"moeda")*(Inputs!$G$5:$G$180&lt;&gt;"acoes")))*INDEX(Inputs!$K$5:$AJ$180,0,MATCH(X$2,Inputs!$K$4:$AJ$4,0)))+SUMPRODUCT((Inputs!$C$5:$C$180=$B19)*Inputs!$D$5:$D$180*(((Inputs!$G$5:$G$180="moeda")+(Inputs!$G$5:$G$180="acoes"))*Inputs!$B$1+((Inputs!$G$5:$G$180&lt;&gt;"moeda")*(Inputs!$G$5:$G$180&lt;&gt;"acoes")))*INDEX(Inputs!$K$5:$AJ$180,0,MATCH(X$2,Inputs!$K$4:$AJ$4,0)))+SUMPRODUCT((Inputs!$E$5:$E$180=$B19)*Inputs!$F$5:$F$180*(((Inputs!$G$5:$G$180="moeda")+(Inputs!$G$5:$G$180="acoes"))*Inputs!$B$1+((Inputs!$G$5:$G$180&lt;&gt;"moeda")*(Inputs!$G$5:$G$180&lt;&gt;"acoes")))*INDEX(Inputs!$K$5:$AJ$180,0,MATCH(X$2,Inputs!$K$4:$AJ$4,0)))))</f>
        <v>0</v>
      </c>
      <c r="Y19" s="6">
        <f>IF(ISNA(MATCH(Y$2,Inputs!$K$4:$AJ$4,0)),NA(),IF(SUMPRODUCT((Inputs!$A$5:$A$180=$B19)*ISNUMBER(INDEX(Inputs!$K$5:$AJ$180,0,MATCH(Y$2,Inputs!$K$4:$AJ$4,0))))+SUMPRODUCT((Inputs!$C$5:$C$180=$B19)*ISNUMBER(INDEX(Inputs!$K$5:$AJ$180,0,MATCH(Y$2,Inputs!$K$4:$AJ$4,0))))+SUMPRODUCT((Inputs!$E$5:$E$180=$B19)*ISNUMBER(INDEX(Inputs!$K$5:$AJ$180,0,MATCH(Y$2,Inputs!$K$4:$AJ$4,0))))=0,NA(),SUMPRODUCT((Inputs!$A$5:$A$180=$B19)*Inputs!$B$5:$B$180*(((Inputs!$G$5:$G$180="moeda")+(Inputs!$G$5:$G$180="acoes"))*Inputs!$B$1+((Inputs!$G$5:$G$180&lt;&gt;"moeda")*(Inputs!$G$5:$G$180&lt;&gt;"acoes")))*INDEX(Inputs!$K$5:$AJ$180,0,MATCH(Y$2,Inputs!$K$4:$AJ$4,0)))+SUMPRODUCT((Inputs!$C$5:$C$180=$B19)*Inputs!$D$5:$D$180*(((Inputs!$G$5:$G$180="moeda")+(Inputs!$G$5:$G$180="acoes"))*Inputs!$B$1+((Inputs!$G$5:$G$180&lt;&gt;"moeda")*(Inputs!$G$5:$G$180&lt;&gt;"acoes")))*INDEX(Inputs!$K$5:$AJ$180,0,MATCH(Y$2,Inputs!$K$4:$AJ$4,0)))+SUMPRODUCT((Inputs!$E$5:$E$180=$B19)*Inputs!$F$5:$F$180*(((Inputs!$G$5:$G$180="moeda")+(Inputs!$G$5:$G$180="acoes"))*Inputs!$B$1+((Inputs!$G$5:$G$180&lt;&gt;"moeda")*(Inputs!$G$5:$G$180&lt;&gt;"acoes")))*INDEX(Inputs!$K$5:$AJ$180,0,MATCH(Y$2,Inputs!$K$4:$AJ$4,0)))))</f>
        <v>0</v>
      </c>
      <c r="Z19" s="6">
        <f>IF(ISNA(MATCH(Z$2,Inputs!$K$4:$AJ$4,0)),NA(),IF(SUMPRODUCT((Inputs!$A$5:$A$180=$B19)*ISNUMBER(INDEX(Inputs!$K$5:$AJ$180,0,MATCH(Z$2,Inputs!$K$4:$AJ$4,0))))+SUMPRODUCT((Inputs!$C$5:$C$180=$B19)*ISNUMBER(INDEX(Inputs!$K$5:$AJ$180,0,MATCH(Z$2,Inputs!$K$4:$AJ$4,0))))+SUMPRODUCT((Inputs!$E$5:$E$180=$B19)*ISNUMBER(INDEX(Inputs!$K$5:$AJ$180,0,MATCH(Z$2,Inputs!$K$4:$AJ$4,0))))=0,NA(),SUMPRODUCT((Inputs!$A$5:$A$180=$B19)*Inputs!$B$5:$B$180*(((Inputs!$G$5:$G$180="moeda")+(Inputs!$G$5:$G$180="acoes"))*Inputs!$B$1+((Inputs!$G$5:$G$180&lt;&gt;"moeda")*(Inputs!$G$5:$G$180&lt;&gt;"acoes")))*INDEX(Inputs!$K$5:$AJ$180,0,MATCH(Z$2,Inputs!$K$4:$AJ$4,0)))+SUMPRODUCT((Inputs!$C$5:$C$180=$B19)*Inputs!$D$5:$D$180*(((Inputs!$G$5:$G$180="moeda")+(Inputs!$G$5:$G$180="acoes"))*Inputs!$B$1+((Inputs!$G$5:$G$180&lt;&gt;"moeda")*(Inputs!$G$5:$G$180&lt;&gt;"acoes")))*INDEX(Inputs!$K$5:$AJ$180,0,MATCH(Z$2,Inputs!$K$4:$AJ$4,0)))+SUMPRODUCT((Inputs!$E$5:$E$180=$B19)*Inputs!$F$5:$F$180*(((Inputs!$G$5:$G$180="moeda")+(Inputs!$G$5:$G$180="acoes"))*Inputs!$B$1+((Inputs!$G$5:$G$180&lt;&gt;"moeda")*(Inputs!$G$5:$G$180&lt;&gt;"acoes")))*INDEX(Inputs!$K$5:$AJ$180,0,MATCH(Z$2,Inputs!$K$4:$AJ$4,0)))))</f>
        <v>0</v>
      </c>
      <c r="AA19" s="6">
        <f>IF(ISNA(MATCH(AA$2,Inputs!$K$4:$AJ$4,0)),NA(),IF(SUMPRODUCT((Inputs!$A$5:$A$180=$B19)*ISNUMBER(INDEX(Inputs!$K$5:$AJ$180,0,MATCH(AA$2,Inputs!$K$4:$AJ$4,0))))+SUMPRODUCT((Inputs!$C$5:$C$180=$B19)*ISNUMBER(INDEX(Inputs!$K$5:$AJ$180,0,MATCH(AA$2,Inputs!$K$4:$AJ$4,0))))+SUMPRODUCT((Inputs!$E$5:$E$180=$B19)*ISNUMBER(INDEX(Inputs!$K$5:$AJ$180,0,MATCH(AA$2,Inputs!$K$4:$AJ$4,0))))=0,NA(),SUMPRODUCT((Inputs!$A$5:$A$180=$B19)*Inputs!$B$5:$B$180*(((Inputs!$G$5:$G$180="moeda")+(Inputs!$G$5:$G$180="acoes"))*Inputs!$B$1+((Inputs!$G$5:$G$180&lt;&gt;"moeda")*(Inputs!$G$5:$G$180&lt;&gt;"acoes")))*INDEX(Inputs!$K$5:$AJ$180,0,MATCH(AA$2,Inputs!$K$4:$AJ$4,0)))+SUMPRODUCT((Inputs!$C$5:$C$180=$B19)*Inputs!$D$5:$D$180*(((Inputs!$G$5:$G$180="moeda")+(Inputs!$G$5:$G$180="acoes"))*Inputs!$B$1+((Inputs!$G$5:$G$180&lt;&gt;"moeda")*(Inputs!$G$5:$G$180&lt;&gt;"acoes")))*INDEX(Inputs!$K$5:$AJ$180,0,MATCH(AA$2,Inputs!$K$4:$AJ$4,0)))+SUMPRODUCT((Inputs!$E$5:$E$180=$B19)*Inputs!$F$5:$F$180*(((Inputs!$G$5:$G$180="moeda")+(Inputs!$G$5:$G$180="acoes"))*Inputs!$B$1+((Inputs!$G$5:$G$180&lt;&gt;"moeda")*(Inputs!$G$5:$G$180&lt;&gt;"acoes")))*INDEX(Inputs!$K$5:$AJ$180,0,MATCH(AA$2,Inputs!$K$4:$AJ$4,0)))))</f>
        <v>0</v>
      </c>
      <c r="AB19" s="3">
        <f>AA19</f>
        <v>0</v>
      </c>
      <c r="AC19" s="6">
        <f>IF(ISNA(MATCH(AC$2,Inputs!$K$4:$AJ$4,0)),NA(),IF(SUMPRODUCT((Inputs!$A$5:$A$180=$B19)*ISNUMBER(INDEX(Inputs!$K$5:$AJ$180,0,MATCH(AC$2,Inputs!$K$4:$AJ$4,0))))+SUMPRODUCT((Inputs!$C$5:$C$180=$B19)*ISNUMBER(INDEX(Inputs!$K$5:$AJ$180,0,MATCH(AC$2,Inputs!$K$4:$AJ$4,0))))+SUMPRODUCT((Inputs!$E$5:$E$180=$B19)*ISNUMBER(INDEX(Inputs!$K$5:$AJ$180,0,MATCH(AC$2,Inputs!$K$4:$AJ$4,0))))=0,NA(),SUMPRODUCT((Inputs!$A$5:$A$180=$B19)*Inputs!$B$5:$B$180*(((Inputs!$G$5:$G$180="moeda")+(Inputs!$G$5:$G$180="acoes"))*Inputs!$B$1+((Inputs!$G$5:$G$180&lt;&gt;"moeda")*(Inputs!$G$5:$G$180&lt;&gt;"acoes")))*INDEX(Inputs!$K$5:$AJ$180,0,MATCH(AC$2,Inputs!$K$4:$AJ$4,0)))+SUMPRODUCT((Inputs!$C$5:$C$180=$B19)*Inputs!$D$5:$D$180*(((Inputs!$G$5:$G$180="moeda")+(Inputs!$G$5:$G$180="acoes"))*Inputs!$B$1+((Inputs!$G$5:$G$180&lt;&gt;"moeda")*(Inputs!$G$5:$G$180&lt;&gt;"acoes")))*INDEX(Inputs!$K$5:$AJ$180,0,MATCH(AC$2,Inputs!$K$4:$AJ$4,0)))+SUMPRODUCT((Inputs!$E$5:$E$180=$B19)*Inputs!$F$5:$F$180*(((Inputs!$G$5:$G$180="moeda")+(Inputs!$G$5:$G$180="acoes"))*Inputs!$B$1+((Inputs!$G$5:$G$180&lt;&gt;"moeda")*(Inputs!$G$5:$G$180&lt;&gt;"acoes")))*INDEX(Inputs!$K$5:$AJ$180,0,MATCH(AC$2,Inputs!$K$4:$AJ$4,0)))))</f>
        <v>0</v>
      </c>
      <c r="AD19" s="6">
        <f>IF(ISNA(MATCH(AD$2,Inputs!$K$4:$AJ$4,0)),NA(),IF(SUMPRODUCT((Inputs!$A$5:$A$180=$B19)*ISNUMBER(INDEX(Inputs!$K$5:$AJ$180,0,MATCH(AD$2,Inputs!$K$4:$AJ$4,0))))+SUMPRODUCT((Inputs!$C$5:$C$180=$B19)*ISNUMBER(INDEX(Inputs!$K$5:$AJ$180,0,MATCH(AD$2,Inputs!$K$4:$AJ$4,0))))+SUMPRODUCT((Inputs!$E$5:$E$180=$B19)*ISNUMBER(INDEX(Inputs!$K$5:$AJ$180,0,MATCH(AD$2,Inputs!$K$4:$AJ$4,0))))=0,NA(),SUMPRODUCT((Inputs!$A$5:$A$180=$B19)*Inputs!$B$5:$B$180*(((Inputs!$G$5:$G$180="moeda")+(Inputs!$G$5:$G$180="acoes"))*Inputs!$B$1+((Inputs!$G$5:$G$180&lt;&gt;"moeda")*(Inputs!$G$5:$G$180&lt;&gt;"acoes")))*INDEX(Inputs!$K$5:$AJ$180,0,MATCH(AD$2,Inputs!$K$4:$AJ$4,0)))+SUMPRODUCT((Inputs!$C$5:$C$180=$B19)*Inputs!$D$5:$D$180*(((Inputs!$G$5:$G$180="moeda")+(Inputs!$G$5:$G$180="acoes"))*Inputs!$B$1+((Inputs!$G$5:$G$180&lt;&gt;"moeda")*(Inputs!$G$5:$G$180&lt;&gt;"acoes")))*INDEX(Inputs!$K$5:$AJ$180,0,MATCH(AD$2,Inputs!$K$4:$AJ$4,0)))+SUMPRODUCT((Inputs!$E$5:$E$180=$B19)*Inputs!$F$5:$F$180*(((Inputs!$G$5:$G$180="moeda")+(Inputs!$G$5:$G$180="acoes"))*Inputs!$B$1+((Inputs!$G$5:$G$180&lt;&gt;"moeda")*(Inputs!$G$5:$G$180&lt;&gt;"acoes")))*INDEX(Inputs!$K$5:$AJ$180,0,MATCH(AD$2,Inputs!$K$4:$AJ$4,0)))))</f>
        <v>0</v>
      </c>
      <c r="AE19" s="6" t="e">
        <f>IF(ISNA(MATCH(AE$2,Inputs!$K$4:$AJ$4,0)),NA(),IF(SUMPRODUCT((Inputs!$A$5:$A$180=$B19)*ISNUMBER(INDEX(Inputs!$K$5:$AJ$180,0,MATCH(AE$2,Inputs!$K$4:$AJ$4,0))))+SUMPRODUCT((Inputs!$C$5:$C$180=$B19)*ISNUMBER(INDEX(Inputs!$K$5:$AJ$180,0,MATCH(AE$2,Inputs!$K$4:$AJ$4,0))))+SUMPRODUCT((Inputs!$E$5:$E$180=$B19)*ISNUMBER(INDEX(Inputs!$K$5:$AJ$180,0,MATCH(AE$2,Inputs!$K$4:$AJ$4,0))))=0,NA(),SUMPRODUCT((Inputs!$A$5:$A$180=$B19)*Inputs!$B$5:$B$180*(((Inputs!$G$5:$G$180="moeda")+(Inputs!$G$5:$G$180="acoes"))*Inputs!$B$1+((Inputs!$G$5:$G$180&lt;&gt;"moeda")*(Inputs!$G$5:$G$180&lt;&gt;"acoes")))*INDEX(Inputs!$K$5:$AJ$180,0,MATCH(AE$2,Inputs!$K$4:$AJ$4,0)))+SUMPRODUCT((Inputs!$C$5:$C$180=$B19)*Inputs!$D$5:$D$180*(((Inputs!$G$5:$G$180="moeda")+(Inputs!$G$5:$G$180="acoes"))*Inputs!$B$1+((Inputs!$G$5:$G$180&lt;&gt;"moeda")*(Inputs!$G$5:$G$180&lt;&gt;"acoes")))*INDEX(Inputs!$K$5:$AJ$180,0,MATCH(AE$2,Inputs!$K$4:$AJ$4,0)))+SUMPRODUCT((Inputs!$E$5:$E$180=$B19)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19" s="6" t="e">
        <f>IF(ISNA(MATCH(AF$2,Inputs!$K$4:$AJ$4,0)),NA(),IF(SUMPRODUCT((Inputs!$A$5:$A$180=$B19)*ISNUMBER(INDEX(Inputs!$K$5:$AJ$180,0,MATCH(AF$2,Inputs!$K$4:$AJ$4,0))))+SUMPRODUCT((Inputs!$C$5:$C$180=$B19)*ISNUMBER(INDEX(Inputs!$K$5:$AJ$180,0,MATCH(AF$2,Inputs!$K$4:$AJ$4,0))))+SUMPRODUCT((Inputs!$E$5:$E$180=$B19)*ISNUMBER(INDEX(Inputs!$K$5:$AJ$180,0,MATCH(AF$2,Inputs!$K$4:$AJ$4,0))))=0,NA(),SUMPRODUCT((Inputs!$A$5:$A$180=$B19)*Inputs!$B$5:$B$180*(((Inputs!$G$5:$G$180="moeda")+(Inputs!$G$5:$G$180="acoes"))*Inputs!$B$1+((Inputs!$G$5:$G$180&lt;&gt;"moeda")*(Inputs!$G$5:$G$180&lt;&gt;"acoes")))*INDEX(Inputs!$K$5:$AJ$180,0,MATCH(AF$2,Inputs!$K$4:$AJ$4,0)))+SUMPRODUCT((Inputs!$C$5:$C$180=$B19)*Inputs!$D$5:$D$180*(((Inputs!$G$5:$G$180="moeda")+(Inputs!$G$5:$G$180="acoes"))*Inputs!$B$1+((Inputs!$G$5:$G$180&lt;&gt;"moeda")*(Inputs!$G$5:$G$180&lt;&gt;"acoes")))*INDEX(Inputs!$K$5:$AJ$180,0,MATCH(AF$2,Inputs!$K$4:$AJ$4,0)))+SUMPRODUCT((Inputs!$E$5:$E$180=$B19)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19" s="3" t="e">
        <f>AF19</f>
        <v>#N/A</v>
      </c>
      <c r="AH19" s="6">
        <f>IF(ISNA(MATCH(AH$2,Inputs!$K$4:$AJ$4,0)),NA(),IF(SUMPRODUCT((Inputs!$A$5:$A$180=$B19)*ISNUMBER(INDEX(Inputs!$K$5:$AJ$180,0,MATCH(AH$2,Inputs!$K$4:$AJ$4,0))))+SUMPRODUCT((Inputs!$C$5:$C$180=$B19)*ISNUMBER(INDEX(Inputs!$K$5:$AJ$180,0,MATCH(AH$2,Inputs!$K$4:$AJ$4,0))))+SUMPRODUCT((Inputs!$E$5:$E$180=$B19)*ISNUMBER(INDEX(Inputs!$K$5:$AJ$180,0,MATCH(AH$2,Inputs!$K$4:$AJ$4,0))))=0,NA(),SUMPRODUCT((Inputs!$A$5:$A$180=$B19)*Inputs!$B$5:$B$180*(((Inputs!$G$5:$G$180="moeda")+(Inputs!$G$5:$G$180="acoes"))*Inputs!$B$1+((Inputs!$G$5:$G$180&lt;&gt;"moeda")*(Inputs!$G$5:$G$180&lt;&gt;"acoes")))*INDEX(Inputs!$K$5:$AJ$180,0,MATCH(AH$2,Inputs!$K$4:$AJ$4,0)))+SUMPRODUCT((Inputs!$C$5:$C$180=$B19)*Inputs!$D$5:$D$180*(((Inputs!$G$5:$G$180="moeda")+(Inputs!$G$5:$G$180="acoes"))*Inputs!$B$1+((Inputs!$G$5:$G$180&lt;&gt;"moeda")*(Inputs!$G$5:$G$180&lt;&gt;"acoes")))*INDEX(Inputs!$K$5:$AJ$180,0,MATCH(AH$2,Inputs!$K$4:$AJ$4,0)))+SUMPRODUCT((Inputs!$E$5:$E$180=$B19)*Inputs!$F$5:$F$180*(((Inputs!$G$5:$G$180="moeda")+(Inputs!$G$5:$G$180="acoes"))*Inputs!$B$1+((Inputs!$G$5:$G$180&lt;&gt;"moeda")*(Inputs!$G$5:$G$180&lt;&gt;"acoes")))*INDEX(Inputs!$K$5:$AJ$180,0,MATCH(AH$2,Inputs!$K$4:$AJ$4,0)))))</f>
        <v>14.324618</v>
      </c>
      <c r="AI19" s="6">
        <f>IF(ISNA(MATCH(AI$2,Inputs!$K$4:$AJ$4,0)),NA(),IF(SUMPRODUCT((Inputs!$A$5:$A$180=$B19)*ISNUMBER(INDEX(Inputs!$K$5:$AJ$180,0,MATCH(AI$2,Inputs!$K$4:$AJ$4,0))))+SUMPRODUCT((Inputs!$C$5:$C$180=$B19)*ISNUMBER(INDEX(Inputs!$K$5:$AJ$180,0,MATCH(AI$2,Inputs!$K$4:$AJ$4,0))))+SUMPRODUCT((Inputs!$E$5:$E$180=$B19)*ISNUMBER(INDEX(Inputs!$K$5:$AJ$180,0,MATCH(AI$2,Inputs!$K$4:$AJ$4,0))))=0,NA(),SUMPRODUCT((Inputs!$A$5:$A$180=$B19)*Inputs!$B$5:$B$180*(((Inputs!$G$5:$G$180="moeda")+(Inputs!$G$5:$G$180="acoes"))*Inputs!$B$1+((Inputs!$G$5:$G$180&lt;&gt;"moeda")*(Inputs!$G$5:$G$180&lt;&gt;"acoes")))*INDEX(Inputs!$K$5:$AJ$180,0,MATCH(AI$2,Inputs!$K$4:$AJ$4,0)))+SUMPRODUCT((Inputs!$C$5:$C$180=$B19)*Inputs!$D$5:$D$180*(((Inputs!$G$5:$G$180="moeda")+(Inputs!$G$5:$G$180="acoes"))*Inputs!$B$1+((Inputs!$G$5:$G$180&lt;&gt;"moeda")*(Inputs!$G$5:$G$180&lt;&gt;"acoes")))*INDEX(Inputs!$K$5:$AJ$180,0,MATCH(AI$2,Inputs!$K$4:$AJ$4,0)))+SUMPRODUCT((Inputs!$E$5:$E$180=$B19)*Inputs!$F$5:$F$180*(((Inputs!$G$5:$G$180="moeda")+(Inputs!$G$5:$G$180="acoes"))*Inputs!$B$1+((Inputs!$G$5:$G$180&lt;&gt;"moeda")*(Inputs!$G$5:$G$180&lt;&gt;"acoes")))*INDEX(Inputs!$K$5:$AJ$180,0,MATCH(AI$2,Inputs!$K$4:$AJ$4,0)))))</f>
        <v>20.99392462</v>
      </c>
      <c r="AJ19" s="6">
        <f>IF(ISNA(MATCH(AJ$2,Inputs!$K$4:$AJ$4,0)),NA(),IF(SUMPRODUCT((Inputs!$A$5:$A$180=$B19)*ISNUMBER(INDEX(Inputs!$K$5:$AJ$180,0,MATCH(AJ$2,Inputs!$K$4:$AJ$4,0))))+SUMPRODUCT((Inputs!$C$5:$C$180=$B19)*ISNUMBER(INDEX(Inputs!$K$5:$AJ$180,0,MATCH(AJ$2,Inputs!$K$4:$AJ$4,0))))+SUMPRODUCT((Inputs!$E$5:$E$180=$B19)*ISNUMBER(INDEX(Inputs!$K$5:$AJ$180,0,MATCH(AJ$2,Inputs!$K$4:$AJ$4,0))))=0,NA(),SUMPRODUCT((Inputs!$A$5:$A$180=$B19)*Inputs!$B$5:$B$180*(((Inputs!$G$5:$G$180="moeda")+(Inputs!$G$5:$G$180="acoes"))*Inputs!$B$1+((Inputs!$G$5:$G$180&lt;&gt;"moeda")*(Inputs!$G$5:$G$180&lt;&gt;"acoes")))*INDEX(Inputs!$K$5:$AJ$180,0,MATCH(AJ$2,Inputs!$K$4:$AJ$4,0)))+SUMPRODUCT((Inputs!$C$5:$C$180=$B19)*Inputs!$D$5:$D$180*(((Inputs!$G$5:$G$180="moeda")+(Inputs!$G$5:$G$180="acoes"))*Inputs!$B$1+((Inputs!$G$5:$G$180&lt;&gt;"moeda")*(Inputs!$G$5:$G$180&lt;&gt;"acoes")))*INDEX(Inputs!$K$5:$AJ$180,0,MATCH(AJ$2,Inputs!$K$4:$AJ$4,0)))+SUMPRODUCT((Inputs!$E$5:$E$180=$B19)*Inputs!$F$5:$F$180*(((Inputs!$G$5:$G$180="moeda")+(Inputs!$G$5:$G$180="acoes"))*Inputs!$B$1+((Inputs!$G$5:$G$180&lt;&gt;"moeda")*(Inputs!$G$5:$G$180&lt;&gt;"acoes")))*INDEX(Inputs!$K$5:$AJ$180,0,MATCH(AJ$2,Inputs!$K$4:$AJ$4,0)))))</f>
        <v>16.03496786</v>
      </c>
      <c r="AK19" s="6">
        <f>IF(ISNA(MATCH(AK$2,Inputs!$K$4:$AJ$4,0)),NA(),IF(SUMPRODUCT((Inputs!$A$5:$A$180=$B19)*ISNUMBER(INDEX(Inputs!$K$5:$AJ$180,0,MATCH(AK$2,Inputs!$K$4:$AJ$4,0))))+SUMPRODUCT((Inputs!$C$5:$C$180=$B19)*ISNUMBER(INDEX(Inputs!$K$5:$AJ$180,0,MATCH(AK$2,Inputs!$K$4:$AJ$4,0))))+SUMPRODUCT((Inputs!$E$5:$E$180=$B19)*ISNUMBER(INDEX(Inputs!$K$5:$AJ$180,0,MATCH(AK$2,Inputs!$K$4:$AJ$4,0))))=0,NA(),SUMPRODUCT((Inputs!$A$5:$A$180=$B19)*Inputs!$B$5:$B$180*(((Inputs!$G$5:$G$180="moeda")+(Inputs!$G$5:$G$180="acoes"))*Inputs!$B$1+((Inputs!$G$5:$G$180&lt;&gt;"moeda")*(Inputs!$G$5:$G$180&lt;&gt;"acoes")))*INDEX(Inputs!$K$5:$AJ$180,0,MATCH(AK$2,Inputs!$K$4:$AJ$4,0)))+SUMPRODUCT((Inputs!$C$5:$C$180=$B19)*Inputs!$D$5:$D$180*(((Inputs!$G$5:$G$180="moeda")+(Inputs!$G$5:$G$180="acoes"))*Inputs!$B$1+((Inputs!$G$5:$G$180&lt;&gt;"moeda")*(Inputs!$G$5:$G$180&lt;&gt;"acoes")))*INDEX(Inputs!$K$5:$AJ$180,0,MATCH(AK$2,Inputs!$K$4:$AJ$4,0)))+SUMPRODUCT((Inputs!$E$5:$E$180=$B19)*Inputs!$F$5:$F$180*(((Inputs!$G$5:$G$180="moeda")+(Inputs!$G$5:$G$180="acoes"))*Inputs!$B$1+((Inputs!$G$5:$G$180&lt;&gt;"moeda")*(Inputs!$G$5:$G$180&lt;&gt;"acoes")))*INDEX(Inputs!$K$5:$AJ$180,0,MATCH(AK$2,Inputs!$K$4:$AJ$4,0)))))</f>
        <v>7.77194942</v>
      </c>
      <c r="AL19" s="3">
        <f>AK19</f>
        <v>7.77194942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$180=$B20)*ISNUMBER(INDEX(Inputs!$K$5:$AJ$180,0,MATCH(D$2,Inputs!$K$4:$AJ$4,0))))+SUMPRODUCT((Inputs!$C$5:$C$180=$B20)*ISNUMBER(INDEX(Inputs!$K$5:$AJ$180,0,MATCH(D$2,Inputs!$K$4:$AJ$4,0))))+SUMPRODUCT((Inputs!$E$5:$E$180=$B20)*ISNUMBER(INDEX(Inputs!$K$5:$AJ$180,0,MATCH(D$2,Inputs!$K$4:$AJ$4,0))))=0,NA(),SUMPRODUCT((Inputs!$A$5:$A$180=$B20)*Inputs!$B$5:$B$180*(((Inputs!$G$5:$G$180="moeda")+(Inputs!$G$5:$G$180="acoes"))*Inputs!$B$1+((Inputs!$G$5:$G$180&lt;&gt;"moeda")*(Inputs!$G$5:$G$180&lt;&gt;"acoes")))*INDEX(Inputs!$K$5:$AJ$180,0,MATCH(D$2,Inputs!$K$4:$AJ$4,0)))+SUMPRODUCT((Inputs!$C$5:$C$180=$B20)*Inputs!$D$5:$D$180*(((Inputs!$G$5:$G$180="moeda")+(Inputs!$G$5:$G$180="acoes"))*Inputs!$B$1+((Inputs!$G$5:$G$180&lt;&gt;"moeda")*(Inputs!$G$5:$G$180&lt;&gt;"acoes")))*INDEX(Inputs!$K$5:$AJ$180,0,MATCH(D$2,Inputs!$K$4:$AJ$4,0)))+SUMPRODUCT((Inputs!$E$5:$E$180=$B20)*Inputs!$F$5:$F$180*(((Inputs!$G$5:$G$180="moeda")+(Inputs!$G$5:$G$180="acoes"))*Inputs!$B$1+((Inputs!$G$5:$G$180&lt;&gt;"moeda")*(Inputs!$G$5:$G$180&lt;&gt;"acoes")))*INDEX(Inputs!$K$5:$AJ$180,0,MATCH(D$2,Inputs!$K$4:$AJ$4,0)))))</f>
        <v>63.62988346</v>
      </c>
      <c r="E20" s="6">
        <f>IF(ISNA(MATCH(E$2,Inputs!$K$4:$AJ$4,0)),NA(),IF(SUMPRODUCT((Inputs!$A$5:$A$180=$B20)*ISNUMBER(INDEX(Inputs!$K$5:$AJ$180,0,MATCH(E$2,Inputs!$K$4:$AJ$4,0))))+SUMPRODUCT((Inputs!$C$5:$C$180=$B20)*ISNUMBER(INDEX(Inputs!$K$5:$AJ$180,0,MATCH(E$2,Inputs!$K$4:$AJ$4,0))))+SUMPRODUCT((Inputs!$E$5:$E$180=$B20)*ISNUMBER(INDEX(Inputs!$K$5:$AJ$180,0,MATCH(E$2,Inputs!$K$4:$AJ$4,0))))=0,NA(),SUMPRODUCT((Inputs!$A$5:$A$180=$B20)*Inputs!$B$5:$B$180*(((Inputs!$G$5:$G$180="moeda")+(Inputs!$G$5:$G$180="acoes"))*Inputs!$B$1+((Inputs!$G$5:$G$180&lt;&gt;"moeda")*(Inputs!$G$5:$G$180&lt;&gt;"acoes")))*INDEX(Inputs!$K$5:$AJ$180,0,MATCH(E$2,Inputs!$K$4:$AJ$4,0)))+SUMPRODUCT((Inputs!$C$5:$C$180=$B20)*Inputs!$D$5:$D$180*(((Inputs!$G$5:$G$180="moeda")+(Inputs!$G$5:$G$180="acoes"))*Inputs!$B$1+((Inputs!$G$5:$G$180&lt;&gt;"moeda")*(Inputs!$G$5:$G$180&lt;&gt;"acoes")))*INDEX(Inputs!$K$5:$AJ$180,0,MATCH(E$2,Inputs!$K$4:$AJ$4,0)))+SUMPRODUCT((Inputs!$E$5:$E$180=$B20)*Inputs!$F$5:$F$180*(((Inputs!$G$5:$G$180="moeda")+(Inputs!$G$5:$G$180="acoes"))*Inputs!$B$1+((Inputs!$G$5:$G$180&lt;&gt;"moeda")*(Inputs!$G$5:$G$180&lt;&gt;"acoes")))*INDEX(Inputs!$K$5:$AJ$180,0,MATCH(E$2,Inputs!$K$4:$AJ$4,0)))))</f>
        <v>61.85708362</v>
      </c>
      <c r="F20" s="6">
        <f>IF(ISNA(MATCH(F$2,Inputs!$K$4:$AJ$4,0)),NA(),IF(SUMPRODUCT((Inputs!$A$5:$A$180=$B20)*ISNUMBER(INDEX(Inputs!$K$5:$AJ$180,0,MATCH(F$2,Inputs!$K$4:$AJ$4,0))))+SUMPRODUCT((Inputs!$C$5:$C$180=$B20)*ISNUMBER(INDEX(Inputs!$K$5:$AJ$180,0,MATCH(F$2,Inputs!$K$4:$AJ$4,0))))+SUMPRODUCT((Inputs!$E$5:$E$180=$B20)*ISNUMBER(INDEX(Inputs!$K$5:$AJ$180,0,MATCH(F$2,Inputs!$K$4:$AJ$4,0))))=0,NA(),SUMPRODUCT((Inputs!$A$5:$A$180=$B20)*Inputs!$B$5:$B$180*(((Inputs!$G$5:$G$180="moeda")+(Inputs!$G$5:$G$180="acoes"))*Inputs!$B$1+((Inputs!$G$5:$G$180&lt;&gt;"moeda")*(Inputs!$G$5:$G$180&lt;&gt;"acoes")))*INDEX(Inputs!$K$5:$AJ$180,0,MATCH(F$2,Inputs!$K$4:$AJ$4,0)))+SUMPRODUCT((Inputs!$C$5:$C$180=$B20)*Inputs!$D$5:$D$180*(((Inputs!$G$5:$G$180="moeda")+(Inputs!$G$5:$G$180="acoes"))*Inputs!$B$1+((Inputs!$G$5:$G$180&lt;&gt;"moeda")*(Inputs!$G$5:$G$180&lt;&gt;"acoes")))*INDEX(Inputs!$K$5:$AJ$180,0,MATCH(F$2,Inputs!$K$4:$AJ$4,0)))+SUMPRODUCT((Inputs!$E$5:$E$180=$B20)*Inputs!$F$5:$F$180*(((Inputs!$G$5:$G$180="moeda")+(Inputs!$G$5:$G$180="acoes"))*Inputs!$B$1+((Inputs!$G$5:$G$180&lt;&gt;"moeda")*(Inputs!$G$5:$G$180&lt;&gt;"acoes")))*INDEX(Inputs!$K$5:$AJ$180,0,MATCH(F$2,Inputs!$K$4:$AJ$4,0)))))</f>
        <v>151.69322796</v>
      </c>
      <c r="G20" s="6">
        <f>IF(ISNA(MATCH(G$2,Inputs!$K$4:$AJ$4,0)),NA(),IF(SUMPRODUCT((Inputs!$A$5:$A$180=$B20)*ISNUMBER(INDEX(Inputs!$K$5:$AJ$180,0,MATCH(G$2,Inputs!$K$4:$AJ$4,0))))+SUMPRODUCT((Inputs!$C$5:$C$180=$B20)*ISNUMBER(INDEX(Inputs!$K$5:$AJ$180,0,MATCH(G$2,Inputs!$K$4:$AJ$4,0))))+SUMPRODUCT((Inputs!$E$5:$E$180=$B20)*ISNUMBER(INDEX(Inputs!$K$5:$AJ$180,0,MATCH(G$2,Inputs!$K$4:$AJ$4,0))))=0,NA(),SUMPRODUCT((Inputs!$A$5:$A$180=$B20)*Inputs!$B$5:$B$180*(((Inputs!$G$5:$G$180="moeda")+(Inputs!$G$5:$G$180="acoes"))*Inputs!$B$1+((Inputs!$G$5:$G$180&lt;&gt;"moeda")*(Inputs!$G$5:$G$180&lt;&gt;"acoes")))*INDEX(Inputs!$K$5:$AJ$180,0,MATCH(G$2,Inputs!$K$4:$AJ$4,0)))+SUMPRODUCT((Inputs!$C$5:$C$180=$B20)*Inputs!$D$5:$D$180*(((Inputs!$G$5:$G$180="moeda")+(Inputs!$G$5:$G$180="acoes"))*Inputs!$B$1+((Inputs!$G$5:$G$180&lt;&gt;"moeda")*(Inputs!$G$5:$G$180&lt;&gt;"acoes")))*INDEX(Inputs!$K$5:$AJ$180,0,MATCH(G$2,Inputs!$K$4:$AJ$4,0)))+SUMPRODUCT((Inputs!$E$5:$E$180=$B20)*Inputs!$F$5:$F$180*(((Inputs!$G$5:$G$180="moeda")+(Inputs!$G$5:$G$180="acoes"))*Inputs!$B$1+((Inputs!$G$5:$G$180&lt;&gt;"moeda")*(Inputs!$G$5:$G$180&lt;&gt;"acoes")))*INDEX(Inputs!$K$5:$AJ$180,0,MATCH(G$2,Inputs!$K$4:$AJ$4,0)))))</f>
        <v>71.99774145</v>
      </c>
      <c r="H20" s="3">
        <f>G20</f>
        <v>71.99774145</v>
      </c>
      <c r="I20" s="6">
        <f>IF(ISNA(MATCH(I$2,Inputs!$K$4:$AJ$4,0)),NA(),IF(SUMPRODUCT((Inputs!$A$5:$A$180=$B20)*ISNUMBER(INDEX(Inputs!$K$5:$AJ$180,0,MATCH(I$2,Inputs!$K$4:$AJ$4,0))))+SUMPRODUCT((Inputs!$C$5:$C$180=$B20)*ISNUMBER(INDEX(Inputs!$K$5:$AJ$180,0,MATCH(I$2,Inputs!$K$4:$AJ$4,0))))+SUMPRODUCT((Inputs!$E$5:$E$180=$B20)*ISNUMBER(INDEX(Inputs!$K$5:$AJ$180,0,MATCH(I$2,Inputs!$K$4:$AJ$4,0))))=0,NA(),SUMPRODUCT((Inputs!$A$5:$A$180=$B20)*Inputs!$B$5:$B$180*(((Inputs!$G$5:$G$180="moeda")+(Inputs!$G$5:$G$180="acoes"))*Inputs!$B$1+((Inputs!$G$5:$G$180&lt;&gt;"moeda")*(Inputs!$G$5:$G$180&lt;&gt;"acoes")))*INDEX(Inputs!$K$5:$AJ$180,0,MATCH(I$2,Inputs!$K$4:$AJ$4,0)))+SUMPRODUCT((Inputs!$C$5:$C$180=$B20)*Inputs!$D$5:$D$180*(((Inputs!$G$5:$G$180="moeda")+(Inputs!$G$5:$G$180="acoes"))*Inputs!$B$1+((Inputs!$G$5:$G$180&lt;&gt;"moeda")*(Inputs!$G$5:$G$180&lt;&gt;"acoes")))*INDEX(Inputs!$K$5:$AJ$180,0,MATCH(I$2,Inputs!$K$4:$AJ$4,0)))+SUMPRODUCT((Inputs!$E$5:$E$180=$B20)*Inputs!$F$5:$F$180*(((Inputs!$G$5:$G$180="moeda")+(Inputs!$G$5:$G$180="acoes"))*Inputs!$B$1+((Inputs!$G$5:$G$180&lt;&gt;"moeda")*(Inputs!$G$5:$G$180&lt;&gt;"acoes")))*INDEX(Inputs!$K$5:$AJ$180,0,MATCH(I$2,Inputs!$K$4:$AJ$4,0)))))</f>
        <v>104.14867507</v>
      </c>
      <c r="J20" s="6">
        <f>IF(ISNA(MATCH(J$2,Inputs!$K$4:$AJ$4,0)),NA(),IF(SUMPRODUCT((Inputs!$A$5:$A$180=$B20)*ISNUMBER(INDEX(Inputs!$K$5:$AJ$180,0,MATCH(J$2,Inputs!$K$4:$AJ$4,0))))+SUMPRODUCT((Inputs!$C$5:$C$180=$B20)*ISNUMBER(INDEX(Inputs!$K$5:$AJ$180,0,MATCH(J$2,Inputs!$K$4:$AJ$4,0))))+SUMPRODUCT((Inputs!$E$5:$E$180=$B20)*ISNUMBER(INDEX(Inputs!$K$5:$AJ$180,0,MATCH(J$2,Inputs!$K$4:$AJ$4,0))))=0,NA(),SUMPRODUCT((Inputs!$A$5:$A$180=$B20)*Inputs!$B$5:$B$180*(((Inputs!$G$5:$G$180="moeda")+(Inputs!$G$5:$G$180="acoes"))*Inputs!$B$1+((Inputs!$G$5:$G$180&lt;&gt;"moeda")*(Inputs!$G$5:$G$180&lt;&gt;"acoes")))*INDEX(Inputs!$K$5:$AJ$180,0,MATCH(J$2,Inputs!$K$4:$AJ$4,0)))+SUMPRODUCT((Inputs!$C$5:$C$180=$B20)*Inputs!$D$5:$D$180*(((Inputs!$G$5:$G$180="moeda")+(Inputs!$G$5:$G$180="acoes"))*Inputs!$B$1+((Inputs!$G$5:$G$180&lt;&gt;"moeda")*(Inputs!$G$5:$G$180&lt;&gt;"acoes")))*INDEX(Inputs!$K$5:$AJ$180,0,MATCH(J$2,Inputs!$K$4:$AJ$4,0)))+SUMPRODUCT((Inputs!$E$5:$E$180=$B20)*Inputs!$F$5:$F$180*(((Inputs!$G$5:$G$180="moeda")+(Inputs!$G$5:$G$180="acoes"))*Inputs!$B$1+((Inputs!$G$5:$G$180&lt;&gt;"moeda")*(Inputs!$G$5:$G$180&lt;&gt;"acoes")))*INDEX(Inputs!$K$5:$AJ$180,0,MATCH(J$2,Inputs!$K$4:$AJ$4,0)))))</f>
        <v>147.91897069</v>
      </c>
      <c r="K20" s="6">
        <f>IF(ISNA(MATCH(K$2,Inputs!$K$4:$AJ$4,0)),NA(),IF(SUMPRODUCT((Inputs!$A$5:$A$180=$B20)*ISNUMBER(INDEX(Inputs!$K$5:$AJ$180,0,MATCH(K$2,Inputs!$K$4:$AJ$4,0))))+SUMPRODUCT((Inputs!$C$5:$C$180=$B20)*ISNUMBER(INDEX(Inputs!$K$5:$AJ$180,0,MATCH(K$2,Inputs!$K$4:$AJ$4,0))))+SUMPRODUCT((Inputs!$E$5:$E$180=$B20)*ISNUMBER(INDEX(Inputs!$K$5:$AJ$180,0,MATCH(K$2,Inputs!$K$4:$AJ$4,0))))=0,NA(),SUMPRODUCT((Inputs!$A$5:$A$180=$B20)*Inputs!$B$5:$B$180*(((Inputs!$G$5:$G$180="moeda")+(Inputs!$G$5:$G$180="acoes"))*Inputs!$B$1+((Inputs!$G$5:$G$180&lt;&gt;"moeda")*(Inputs!$G$5:$G$180&lt;&gt;"acoes")))*INDEX(Inputs!$K$5:$AJ$180,0,MATCH(K$2,Inputs!$K$4:$AJ$4,0)))+SUMPRODUCT((Inputs!$C$5:$C$180=$B20)*Inputs!$D$5:$D$180*(((Inputs!$G$5:$G$180="moeda")+(Inputs!$G$5:$G$180="acoes"))*Inputs!$B$1+((Inputs!$G$5:$G$180&lt;&gt;"moeda")*(Inputs!$G$5:$G$180&lt;&gt;"acoes")))*INDEX(Inputs!$K$5:$AJ$180,0,MATCH(K$2,Inputs!$K$4:$AJ$4,0)))+SUMPRODUCT((Inputs!$E$5:$E$180=$B20)*Inputs!$F$5:$F$180*(((Inputs!$G$5:$G$180="moeda")+(Inputs!$G$5:$G$180="acoes"))*Inputs!$B$1+((Inputs!$G$5:$G$180&lt;&gt;"moeda")*(Inputs!$G$5:$G$180&lt;&gt;"acoes")))*INDEX(Inputs!$K$5:$AJ$180,0,MATCH(K$2,Inputs!$K$4:$AJ$4,0)))))</f>
        <v>180.4205824</v>
      </c>
      <c r="L20" s="6">
        <f>IF(ISNA(MATCH(L$2,Inputs!$K$4:$AJ$4,0)),NA(),IF(SUMPRODUCT((Inputs!$A$5:$A$180=$B20)*ISNUMBER(INDEX(Inputs!$K$5:$AJ$180,0,MATCH(L$2,Inputs!$K$4:$AJ$4,0))))+SUMPRODUCT((Inputs!$C$5:$C$180=$B20)*ISNUMBER(INDEX(Inputs!$K$5:$AJ$180,0,MATCH(L$2,Inputs!$K$4:$AJ$4,0))))+SUMPRODUCT((Inputs!$E$5:$E$180=$B20)*ISNUMBER(INDEX(Inputs!$K$5:$AJ$180,0,MATCH(L$2,Inputs!$K$4:$AJ$4,0))))=0,NA(),SUMPRODUCT((Inputs!$A$5:$A$180=$B20)*Inputs!$B$5:$B$180*(((Inputs!$G$5:$G$180="moeda")+(Inputs!$G$5:$G$180="acoes"))*Inputs!$B$1+((Inputs!$G$5:$G$180&lt;&gt;"moeda")*(Inputs!$G$5:$G$180&lt;&gt;"acoes")))*INDEX(Inputs!$K$5:$AJ$180,0,MATCH(L$2,Inputs!$K$4:$AJ$4,0)))+SUMPRODUCT((Inputs!$C$5:$C$180=$B20)*Inputs!$D$5:$D$180*(((Inputs!$G$5:$G$180="moeda")+(Inputs!$G$5:$G$180="acoes"))*Inputs!$B$1+((Inputs!$G$5:$G$180&lt;&gt;"moeda")*(Inputs!$G$5:$G$180&lt;&gt;"acoes")))*INDEX(Inputs!$K$5:$AJ$180,0,MATCH(L$2,Inputs!$K$4:$AJ$4,0)))+SUMPRODUCT((Inputs!$E$5:$E$180=$B20)*Inputs!$F$5:$F$180*(((Inputs!$G$5:$G$180="moeda")+(Inputs!$G$5:$G$180="acoes"))*Inputs!$B$1+((Inputs!$G$5:$G$180&lt;&gt;"moeda")*(Inputs!$G$5:$G$180&lt;&gt;"acoes")))*INDEX(Inputs!$K$5:$AJ$180,0,MATCH(L$2,Inputs!$K$4:$AJ$4,0)))))</f>
        <v>128.48923243</v>
      </c>
      <c r="M20" s="3">
        <f>L20</f>
        <v>128.48923243</v>
      </c>
      <c r="N20" s="6">
        <f>IF(ISNA(MATCH(N$2,Inputs!$K$4:$AJ$4,0)),NA(),IF(SUMPRODUCT((Inputs!$A$5:$A$180=$B20)*ISNUMBER(INDEX(Inputs!$K$5:$AJ$180,0,MATCH(N$2,Inputs!$K$4:$AJ$4,0))))+SUMPRODUCT((Inputs!$C$5:$C$180=$B20)*ISNUMBER(INDEX(Inputs!$K$5:$AJ$180,0,MATCH(N$2,Inputs!$K$4:$AJ$4,0))))+SUMPRODUCT((Inputs!$E$5:$E$180=$B20)*ISNUMBER(INDEX(Inputs!$K$5:$AJ$180,0,MATCH(N$2,Inputs!$K$4:$AJ$4,0))))=0,NA(),SUMPRODUCT((Inputs!$A$5:$A$180=$B20)*Inputs!$B$5:$B$180*(((Inputs!$G$5:$G$180="moeda")+(Inputs!$G$5:$G$180="acoes"))*Inputs!$B$1+((Inputs!$G$5:$G$180&lt;&gt;"moeda")*(Inputs!$G$5:$G$180&lt;&gt;"acoes")))*INDEX(Inputs!$K$5:$AJ$180,0,MATCH(N$2,Inputs!$K$4:$AJ$4,0)))+SUMPRODUCT((Inputs!$C$5:$C$180=$B20)*Inputs!$D$5:$D$180*(((Inputs!$G$5:$G$180="moeda")+(Inputs!$G$5:$G$180="acoes"))*Inputs!$B$1+((Inputs!$G$5:$G$180&lt;&gt;"moeda")*(Inputs!$G$5:$G$180&lt;&gt;"acoes")))*INDEX(Inputs!$K$5:$AJ$180,0,MATCH(N$2,Inputs!$K$4:$AJ$4,0)))+SUMPRODUCT((Inputs!$E$5:$E$180=$B20)*Inputs!$F$5:$F$180*(((Inputs!$G$5:$G$180="moeda")+(Inputs!$G$5:$G$180="acoes"))*Inputs!$B$1+((Inputs!$G$5:$G$180&lt;&gt;"moeda")*(Inputs!$G$5:$G$180&lt;&gt;"acoes")))*INDEX(Inputs!$K$5:$AJ$180,0,MATCH(N$2,Inputs!$K$4:$AJ$4,0)))))</f>
        <v>121.272759</v>
      </c>
      <c r="O20" s="6">
        <f>IF(ISNA(MATCH(O$2,Inputs!$K$4:$AJ$4,0)),NA(),IF(SUMPRODUCT((Inputs!$A$5:$A$180=$B20)*ISNUMBER(INDEX(Inputs!$K$5:$AJ$180,0,MATCH(O$2,Inputs!$K$4:$AJ$4,0))))+SUMPRODUCT((Inputs!$C$5:$C$180=$B20)*ISNUMBER(INDEX(Inputs!$K$5:$AJ$180,0,MATCH(O$2,Inputs!$K$4:$AJ$4,0))))+SUMPRODUCT((Inputs!$E$5:$E$180=$B20)*ISNUMBER(INDEX(Inputs!$K$5:$AJ$180,0,MATCH(O$2,Inputs!$K$4:$AJ$4,0))))=0,NA(),SUMPRODUCT((Inputs!$A$5:$A$180=$B20)*Inputs!$B$5:$B$180*(((Inputs!$G$5:$G$180="moeda")+(Inputs!$G$5:$G$180="acoes"))*Inputs!$B$1+((Inputs!$G$5:$G$180&lt;&gt;"moeda")*(Inputs!$G$5:$G$180&lt;&gt;"acoes")))*INDEX(Inputs!$K$5:$AJ$180,0,MATCH(O$2,Inputs!$K$4:$AJ$4,0)))+SUMPRODUCT((Inputs!$C$5:$C$180=$B20)*Inputs!$D$5:$D$180*(((Inputs!$G$5:$G$180="moeda")+(Inputs!$G$5:$G$180="acoes"))*Inputs!$B$1+((Inputs!$G$5:$G$180&lt;&gt;"moeda")*(Inputs!$G$5:$G$180&lt;&gt;"acoes")))*INDEX(Inputs!$K$5:$AJ$180,0,MATCH(O$2,Inputs!$K$4:$AJ$4,0)))+SUMPRODUCT((Inputs!$E$5:$E$180=$B20)*Inputs!$F$5:$F$180*(((Inputs!$G$5:$G$180="moeda")+(Inputs!$G$5:$G$180="acoes"))*Inputs!$B$1+((Inputs!$G$5:$G$180&lt;&gt;"moeda")*(Inputs!$G$5:$G$180&lt;&gt;"acoes")))*INDEX(Inputs!$K$5:$AJ$180,0,MATCH(O$2,Inputs!$K$4:$AJ$4,0)))))</f>
        <v>208.445</v>
      </c>
      <c r="P20" s="6">
        <f>IF(ISNA(MATCH(P$2,Inputs!$K$4:$AJ$4,0)),NA(),IF(SUMPRODUCT((Inputs!$A$5:$A$180=$B20)*ISNUMBER(INDEX(Inputs!$K$5:$AJ$180,0,MATCH(P$2,Inputs!$K$4:$AJ$4,0))))+SUMPRODUCT((Inputs!$C$5:$C$180=$B20)*ISNUMBER(INDEX(Inputs!$K$5:$AJ$180,0,MATCH(P$2,Inputs!$K$4:$AJ$4,0))))+SUMPRODUCT((Inputs!$E$5:$E$180=$B20)*ISNUMBER(INDEX(Inputs!$K$5:$AJ$180,0,MATCH(P$2,Inputs!$K$4:$AJ$4,0))))=0,NA(),SUMPRODUCT((Inputs!$A$5:$A$180=$B20)*Inputs!$B$5:$B$180*(((Inputs!$G$5:$G$180="moeda")+(Inputs!$G$5:$G$180="acoes"))*Inputs!$B$1+((Inputs!$G$5:$G$180&lt;&gt;"moeda")*(Inputs!$G$5:$G$180&lt;&gt;"acoes")))*INDEX(Inputs!$K$5:$AJ$180,0,MATCH(P$2,Inputs!$K$4:$AJ$4,0)))+SUMPRODUCT((Inputs!$C$5:$C$180=$B20)*Inputs!$D$5:$D$180*(((Inputs!$G$5:$G$180="moeda")+(Inputs!$G$5:$G$180="acoes"))*Inputs!$B$1+((Inputs!$G$5:$G$180&lt;&gt;"moeda")*(Inputs!$G$5:$G$180&lt;&gt;"acoes")))*INDEX(Inputs!$K$5:$AJ$180,0,MATCH(P$2,Inputs!$K$4:$AJ$4,0)))+SUMPRODUCT((Inputs!$E$5:$E$180=$B20)*Inputs!$F$5:$F$180*(((Inputs!$G$5:$G$180="moeda")+(Inputs!$G$5:$G$180="acoes"))*Inputs!$B$1+((Inputs!$G$5:$G$180&lt;&gt;"moeda")*(Inputs!$G$5:$G$180&lt;&gt;"acoes")))*INDEX(Inputs!$K$5:$AJ$180,0,MATCH(P$2,Inputs!$K$4:$AJ$4,0)))))</f>
        <v>168.103</v>
      </c>
      <c r="Q20" s="6">
        <f>IF(ISNA(MATCH(Q$2,Inputs!$K$4:$AJ$4,0)),NA(),IF(SUMPRODUCT((Inputs!$A$5:$A$180=$B20)*ISNUMBER(INDEX(Inputs!$K$5:$AJ$180,0,MATCH(Q$2,Inputs!$K$4:$AJ$4,0))))+SUMPRODUCT((Inputs!$C$5:$C$180=$B20)*ISNUMBER(INDEX(Inputs!$K$5:$AJ$180,0,MATCH(Q$2,Inputs!$K$4:$AJ$4,0))))+SUMPRODUCT((Inputs!$E$5:$E$180=$B20)*ISNUMBER(INDEX(Inputs!$K$5:$AJ$180,0,MATCH(Q$2,Inputs!$K$4:$AJ$4,0))))=0,NA(),SUMPRODUCT((Inputs!$A$5:$A$180=$B20)*Inputs!$B$5:$B$180*(((Inputs!$G$5:$G$180="moeda")+(Inputs!$G$5:$G$180="acoes"))*Inputs!$B$1+((Inputs!$G$5:$G$180&lt;&gt;"moeda")*(Inputs!$G$5:$G$180&lt;&gt;"acoes")))*INDEX(Inputs!$K$5:$AJ$180,0,MATCH(Q$2,Inputs!$K$4:$AJ$4,0)))+SUMPRODUCT((Inputs!$C$5:$C$180=$B20)*Inputs!$D$5:$D$180*(((Inputs!$G$5:$G$180="moeda")+(Inputs!$G$5:$G$180="acoes"))*Inputs!$B$1+((Inputs!$G$5:$G$180&lt;&gt;"moeda")*(Inputs!$G$5:$G$180&lt;&gt;"acoes")))*INDEX(Inputs!$K$5:$AJ$180,0,MATCH(Q$2,Inputs!$K$4:$AJ$4,0)))+SUMPRODUCT((Inputs!$E$5:$E$180=$B20)*Inputs!$F$5:$F$180*(((Inputs!$G$5:$G$180="moeda")+(Inputs!$G$5:$G$180="acoes"))*Inputs!$B$1+((Inputs!$G$5:$G$180&lt;&gt;"moeda")*(Inputs!$G$5:$G$180&lt;&gt;"acoes")))*INDEX(Inputs!$K$5:$AJ$180,0,MATCH(Q$2,Inputs!$K$4:$AJ$4,0)))))</f>
        <v>239.301</v>
      </c>
      <c r="R20" s="3">
        <f>Q20</f>
        <v>239.301</v>
      </c>
      <c r="S20" s="6">
        <f>IF(ISNA(MATCH(S$2,Inputs!$K$4:$AJ$4,0)),NA(),IF(SUMPRODUCT((Inputs!$A$5:$A$180=$B20)*ISNUMBER(INDEX(Inputs!$K$5:$AJ$180,0,MATCH(S$2,Inputs!$K$4:$AJ$4,0))))+SUMPRODUCT((Inputs!$C$5:$C$180=$B20)*ISNUMBER(INDEX(Inputs!$K$5:$AJ$180,0,MATCH(S$2,Inputs!$K$4:$AJ$4,0))))+SUMPRODUCT((Inputs!$E$5:$E$180=$B20)*ISNUMBER(INDEX(Inputs!$K$5:$AJ$180,0,MATCH(S$2,Inputs!$K$4:$AJ$4,0))))=0,NA(),SUMPRODUCT((Inputs!$A$5:$A$180=$B20)*Inputs!$B$5:$B$180*(((Inputs!$G$5:$G$180="moeda")+(Inputs!$G$5:$G$180="acoes"))*Inputs!$B$1+((Inputs!$G$5:$G$180&lt;&gt;"moeda")*(Inputs!$G$5:$G$180&lt;&gt;"acoes")))*INDEX(Inputs!$K$5:$AJ$180,0,MATCH(S$2,Inputs!$K$4:$AJ$4,0)))+SUMPRODUCT((Inputs!$C$5:$C$180=$B20)*Inputs!$D$5:$D$180*(((Inputs!$G$5:$G$180="moeda")+(Inputs!$G$5:$G$180="acoes"))*Inputs!$B$1+((Inputs!$G$5:$G$180&lt;&gt;"moeda")*(Inputs!$G$5:$G$180&lt;&gt;"acoes")))*INDEX(Inputs!$K$5:$AJ$180,0,MATCH(S$2,Inputs!$K$4:$AJ$4,0)))+SUMPRODUCT((Inputs!$E$5:$E$180=$B20)*Inputs!$F$5:$F$180*(((Inputs!$G$5:$G$180="moeda")+(Inputs!$G$5:$G$180="acoes"))*Inputs!$B$1+((Inputs!$G$5:$G$180&lt;&gt;"moeda")*(Inputs!$G$5:$G$180&lt;&gt;"acoes")))*INDEX(Inputs!$K$5:$AJ$180,0,MATCH(S$2,Inputs!$K$4:$AJ$4,0)))))</f>
        <v>254.996</v>
      </c>
      <c r="T20" s="6">
        <f>IF(ISNA(MATCH(T$2,Inputs!$K$4:$AJ$4,0)),NA(),IF(SUMPRODUCT((Inputs!$A$5:$A$180=$B20)*ISNUMBER(INDEX(Inputs!$K$5:$AJ$180,0,MATCH(T$2,Inputs!$K$4:$AJ$4,0))))+SUMPRODUCT((Inputs!$C$5:$C$180=$B20)*ISNUMBER(INDEX(Inputs!$K$5:$AJ$180,0,MATCH(T$2,Inputs!$K$4:$AJ$4,0))))+SUMPRODUCT((Inputs!$E$5:$E$180=$B20)*ISNUMBER(INDEX(Inputs!$K$5:$AJ$180,0,MATCH(T$2,Inputs!$K$4:$AJ$4,0))))=0,NA(),SUMPRODUCT((Inputs!$A$5:$A$180=$B20)*Inputs!$B$5:$B$180*(((Inputs!$G$5:$G$180="moeda")+(Inputs!$G$5:$G$180="acoes"))*Inputs!$B$1+((Inputs!$G$5:$G$180&lt;&gt;"moeda")*(Inputs!$G$5:$G$180&lt;&gt;"acoes")))*INDEX(Inputs!$K$5:$AJ$180,0,MATCH(T$2,Inputs!$K$4:$AJ$4,0)))+SUMPRODUCT((Inputs!$C$5:$C$180=$B20)*Inputs!$D$5:$D$180*(((Inputs!$G$5:$G$180="moeda")+(Inputs!$G$5:$G$180="acoes"))*Inputs!$B$1+((Inputs!$G$5:$G$180&lt;&gt;"moeda")*(Inputs!$G$5:$G$180&lt;&gt;"acoes")))*INDEX(Inputs!$K$5:$AJ$180,0,MATCH(T$2,Inputs!$K$4:$AJ$4,0)))+SUMPRODUCT((Inputs!$E$5:$E$180=$B20)*Inputs!$F$5:$F$180*(((Inputs!$G$5:$G$180="moeda")+(Inputs!$G$5:$G$180="acoes"))*Inputs!$B$1+((Inputs!$G$5:$G$180&lt;&gt;"moeda")*(Inputs!$G$5:$G$180&lt;&gt;"acoes")))*INDEX(Inputs!$K$5:$AJ$180,0,MATCH(T$2,Inputs!$K$4:$AJ$4,0)))))</f>
        <v>265.067</v>
      </c>
      <c r="U20" s="6">
        <f>IF(ISNA(MATCH(U$2,Inputs!$K$4:$AJ$4,0)),NA(),IF(SUMPRODUCT((Inputs!$A$5:$A$180=$B20)*ISNUMBER(INDEX(Inputs!$K$5:$AJ$180,0,MATCH(U$2,Inputs!$K$4:$AJ$4,0))))+SUMPRODUCT((Inputs!$C$5:$C$180=$B20)*ISNUMBER(INDEX(Inputs!$K$5:$AJ$180,0,MATCH(U$2,Inputs!$K$4:$AJ$4,0))))+SUMPRODUCT((Inputs!$E$5:$E$180=$B20)*ISNUMBER(INDEX(Inputs!$K$5:$AJ$180,0,MATCH(U$2,Inputs!$K$4:$AJ$4,0))))=0,NA(),SUMPRODUCT((Inputs!$A$5:$A$180=$B20)*Inputs!$B$5:$B$180*(((Inputs!$G$5:$G$180="moeda")+(Inputs!$G$5:$G$180="acoes"))*Inputs!$B$1+((Inputs!$G$5:$G$180&lt;&gt;"moeda")*(Inputs!$G$5:$G$180&lt;&gt;"acoes")))*INDEX(Inputs!$K$5:$AJ$180,0,MATCH(U$2,Inputs!$K$4:$AJ$4,0)))+SUMPRODUCT((Inputs!$C$5:$C$180=$B20)*Inputs!$D$5:$D$180*(((Inputs!$G$5:$G$180="moeda")+(Inputs!$G$5:$G$180="acoes"))*Inputs!$B$1+((Inputs!$G$5:$G$180&lt;&gt;"moeda")*(Inputs!$G$5:$G$180&lt;&gt;"acoes")))*INDEX(Inputs!$K$5:$AJ$180,0,MATCH(U$2,Inputs!$K$4:$AJ$4,0)))+SUMPRODUCT((Inputs!$E$5:$E$180=$B20)*Inputs!$F$5:$F$180*(((Inputs!$G$5:$G$180="moeda")+(Inputs!$G$5:$G$180="acoes"))*Inputs!$B$1+((Inputs!$G$5:$G$180&lt;&gt;"moeda")*(Inputs!$G$5:$G$180&lt;&gt;"acoes")))*INDEX(Inputs!$K$5:$AJ$180,0,MATCH(U$2,Inputs!$K$4:$AJ$4,0)))))</f>
        <v>253.653</v>
      </c>
      <c r="V20" s="6">
        <f>IF(ISNA(MATCH(V$2,Inputs!$K$4:$AJ$4,0)),NA(),IF(SUMPRODUCT((Inputs!$A$5:$A$180=$B20)*ISNUMBER(INDEX(Inputs!$K$5:$AJ$180,0,MATCH(V$2,Inputs!$K$4:$AJ$4,0))))+SUMPRODUCT((Inputs!$C$5:$C$180=$B20)*ISNUMBER(INDEX(Inputs!$K$5:$AJ$180,0,MATCH(V$2,Inputs!$K$4:$AJ$4,0))))+SUMPRODUCT((Inputs!$E$5:$E$180=$B20)*ISNUMBER(INDEX(Inputs!$K$5:$AJ$180,0,MATCH(V$2,Inputs!$K$4:$AJ$4,0))))=0,NA(),SUMPRODUCT((Inputs!$A$5:$A$180=$B20)*Inputs!$B$5:$B$180*(((Inputs!$G$5:$G$180="moeda")+(Inputs!$G$5:$G$180="acoes"))*Inputs!$B$1+((Inputs!$G$5:$G$180&lt;&gt;"moeda")*(Inputs!$G$5:$G$180&lt;&gt;"acoes")))*INDEX(Inputs!$K$5:$AJ$180,0,MATCH(V$2,Inputs!$K$4:$AJ$4,0)))+SUMPRODUCT((Inputs!$C$5:$C$180=$B20)*Inputs!$D$5:$D$180*(((Inputs!$G$5:$G$180="moeda")+(Inputs!$G$5:$G$180="acoes"))*Inputs!$B$1+((Inputs!$G$5:$G$180&lt;&gt;"moeda")*(Inputs!$G$5:$G$180&lt;&gt;"acoes")))*INDEX(Inputs!$K$5:$AJ$180,0,MATCH(V$2,Inputs!$K$4:$AJ$4,0)))+SUMPRODUCT((Inputs!$E$5:$E$180=$B20)*Inputs!$F$5:$F$180*(((Inputs!$G$5:$G$180="moeda")+(Inputs!$G$5:$G$180="acoes"))*Inputs!$B$1+((Inputs!$G$5:$G$180&lt;&gt;"moeda")*(Inputs!$G$5:$G$180&lt;&gt;"acoes")))*INDEX(Inputs!$K$5:$AJ$180,0,MATCH(V$2,Inputs!$K$4:$AJ$4,0)))))</f>
        <v>244.111</v>
      </c>
      <c r="W20" s="3">
        <f>V20</f>
        <v>244.111</v>
      </c>
      <c r="X20" s="6">
        <f>IF(ISNA(MATCH(X$2,Inputs!$K$4:$AJ$4,0)),NA(),IF(SUMPRODUCT((Inputs!$A$5:$A$180=$B20)*ISNUMBER(INDEX(Inputs!$K$5:$AJ$180,0,MATCH(X$2,Inputs!$K$4:$AJ$4,0))))+SUMPRODUCT((Inputs!$C$5:$C$180=$B20)*ISNUMBER(INDEX(Inputs!$K$5:$AJ$180,0,MATCH(X$2,Inputs!$K$4:$AJ$4,0))))+SUMPRODUCT((Inputs!$E$5:$E$180=$B20)*ISNUMBER(INDEX(Inputs!$K$5:$AJ$180,0,MATCH(X$2,Inputs!$K$4:$AJ$4,0))))=0,NA(),SUMPRODUCT((Inputs!$A$5:$A$180=$B20)*Inputs!$B$5:$B$180*(((Inputs!$G$5:$G$180="moeda")+(Inputs!$G$5:$G$180="acoes"))*Inputs!$B$1+((Inputs!$G$5:$G$180&lt;&gt;"moeda")*(Inputs!$G$5:$G$180&lt;&gt;"acoes")))*INDEX(Inputs!$K$5:$AJ$180,0,MATCH(X$2,Inputs!$K$4:$AJ$4,0)))+SUMPRODUCT((Inputs!$C$5:$C$180=$B20)*Inputs!$D$5:$D$180*(((Inputs!$G$5:$G$180="moeda")+(Inputs!$G$5:$G$180="acoes"))*Inputs!$B$1+((Inputs!$G$5:$G$180&lt;&gt;"moeda")*(Inputs!$G$5:$G$180&lt;&gt;"acoes")))*INDEX(Inputs!$K$5:$AJ$180,0,MATCH(X$2,Inputs!$K$4:$AJ$4,0)))+SUMPRODUCT((Inputs!$E$5:$E$180=$B20)*Inputs!$F$5:$F$180*(((Inputs!$G$5:$G$180="moeda")+(Inputs!$G$5:$G$180="acoes"))*Inputs!$B$1+((Inputs!$G$5:$G$180&lt;&gt;"moeda")*(Inputs!$G$5:$G$180&lt;&gt;"acoes")))*INDEX(Inputs!$K$5:$AJ$180,0,MATCH(X$2,Inputs!$K$4:$AJ$4,0)))))</f>
        <v>258.051</v>
      </c>
      <c r="Y20" s="6">
        <f>IF(ISNA(MATCH(Y$2,Inputs!$K$4:$AJ$4,0)),NA(),IF(SUMPRODUCT((Inputs!$A$5:$A$180=$B20)*ISNUMBER(INDEX(Inputs!$K$5:$AJ$180,0,MATCH(Y$2,Inputs!$K$4:$AJ$4,0))))+SUMPRODUCT((Inputs!$C$5:$C$180=$B20)*ISNUMBER(INDEX(Inputs!$K$5:$AJ$180,0,MATCH(Y$2,Inputs!$K$4:$AJ$4,0))))+SUMPRODUCT((Inputs!$E$5:$E$180=$B20)*ISNUMBER(INDEX(Inputs!$K$5:$AJ$180,0,MATCH(Y$2,Inputs!$K$4:$AJ$4,0))))=0,NA(),SUMPRODUCT((Inputs!$A$5:$A$180=$B20)*Inputs!$B$5:$B$180*(((Inputs!$G$5:$G$180="moeda")+(Inputs!$G$5:$G$180="acoes"))*Inputs!$B$1+((Inputs!$G$5:$G$180&lt;&gt;"moeda")*(Inputs!$G$5:$G$180&lt;&gt;"acoes")))*INDEX(Inputs!$K$5:$AJ$180,0,MATCH(Y$2,Inputs!$K$4:$AJ$4,0)))+SUMPRODUCT((Inputs!$C$5:$C$180=$B20)*Inputs!$D$5:$D$180*(((Inputs!$G$5:$G$180="moeda")+(Inputs!$G$5:$G$180="acoes"))*Inputs!$B$1+((Inputs!$G$5:$G$180&lt;&gt;"moeda")*(Inputs!$G$5:$G$180&lt;&gt;"acoes")))*INDEX(Inputs!$K$5:$AJ$180,0,MATCH(Y$2,Inputs!$K$4:$AJ$4,0)))+SUMPRODUCT((Inputs!$E$5:$E$180=$B20)*Inputs!$F$5:$F$180*(((Inputs!$G$5:$G$180="moeda")+(Inputs!$G$5:$G$180="acoes"))*Inputs!$B$1+((Inputs!$G$5:$G$180&lt;&gt;"moeda")*(Inputs!$G$5:$G$180&lt;&gt;"acoes")))*INDEX(Inputs!$K$5:$AJ$180,0,MATCH(Y$2,Inputs!$K$4:$AJ$4,0)))))</f>
        <v>274.276</v>
      </c>
      <c r="Z20" s="6">
        <f>IF(ISNA(MATCH(Z$2,Inputs!$K$4:$AJ$4,0)),NA(),IF(SUMPRODUCT((Inputs!$A$5:$A$180=$B20)*ISNUMBER(INDEX(Inputs!$K$5:$AJ$180,0,MATCH(Z$2,Inputs!$K$4:$AJ$4,0))))+SUMPRODUCT((Inputs!$C$5:$C$180=$B20)*ISNUMBER(INDEX(Inputs!$K$5:$AJ$180,0,MATCH(Z$2,Inputs!$K$4:$AJ$4,0))))+SUMPRODUCT((Inputs!$E$5:$E$180=$B20)*ISNUMBER(INDEX(Inputs!$K$5:$AJ$180,0,MATCH(Z$2,Inputs!$K$4:$AJ$4,0))))=0,NA(),SUMPRODUCT((Inputs!$A$5:$A$180=$B20)*Inputs!$B$5:$B$180*(((Inputs!$G$5:$G$180="moeda")+(Inputs!$G$5:$G$180="acoes"))*Inputs!$B$1+((Inputs!$G$5:$G$180&lt;&gt;"moeda")*(Inputs!$G$5:$G$180&lt;&gt;"acoes")))*INDEX(Inputs!$K$5:$AJ$180,0,MATCH(Z$2,Inputs!$K$4:$AJ$4,0)))+SUMPRODUCT((Inputs!$C$5:$C$180=$B20)*Inputs!$D$5:$D$180*(((Inputs!$G$5:$G$180="moeda")+(Inputs!$G$5:$G$180="acoes"))*Inputs!$B$1+((Inputs!$G$5:$G$180&lt;&gt;"moeda")*(Inputs!$G$5:$G$180&lt;&gt;"acoes")))*INDEX(Inputs!$K$5:$AJ$180,0,MATCH(Z$2,Inputs!$K$4:$AJ$4,0)))+SUMPRODUCT((Inputs!$E$5:$E$180=$B20)*Inputs!$F$5:$F$180*(((Inputs!$G$5:$G$180="moeda")+(Inputs!$G$5:$G$180="acoes"))*Inputs!$B$1+((Inputs!$G$5:$G$180&lt;&gt;"moeda")*(Inputs!$G$5:$G$180&lt;&gt;"acoes")))*INDEX(Inputs!$K$5:$AJ$180,0,MATCH(Z$2,Inputs!$K$4:$AJ$4,0)))))</f>
        <v>285.309</v>
      </c>
      <c r="AA20" s="6">
        <f>IF(ISNA(MATCH(AA$2,Inputs!$K$4:$AJ$4,0)),NA(),IF(SUMPRODUCT((Inputs!$A$5:$A$180=$B20)*ISNUMBER(INDEX(Inputs!$K$5:$AJ$180,0,MATCH(AA$2,Inputs!$K$4:$AJ$4,0))))+SUMPRODUCT((Inputs!$C$5:$C$180=$B20)*ISNUMBER(INDEX(Inputs!$K$5:$AJ$180,0,MATCH(AA$2,Inputs!$K$4:$AJ$4,0))))+SUMPRODUCT((Inputs!$E$5:$E$180=$B20)*ISNUMBER(INDEX(Inputs!$K$5:$AJ$180,0,MATCH(AA$2,Inputs!$K$4:$AJ$4,0))))=0,NA(),SUMPRODUCT((Inputs!$A$5:$A$180=$B20)*Inputs!$B$5:$B$180*(((Inputs!$G$5:$G$180="moeda")+(Inputs!$G$5:$G$180="acoes"))*Inputs!$B$1+((Inputs!$G$5:$G$180&lt;&gt;"moeda")*(Inputs!$G$5:$G$180&lt;&gt;"acoes")))*INDEX(Inputs!$K$5:$AJ$180,0,MATCH(AA$2,Inputs!$K$4:$AJ$4,0)))+SUMPRODUCT((Inputs!$C$5:$C$180=$B20)*Inputs!$D$5:$D$180*(((Inputs!$G$5:$G$180="moeda")+(Inputs!$G$5:$G$180="acoes"))*Inputs!$B$1+((Inputs!$G$5:$G$180&lt;&gt;"moeda")*(Inputs!$G$5:$G$180&lt;&gt;"acoes")))*INDEX(Inputs!$K$5:$AJ$180,0,MATCH(AA$2,Inputs!$K$4:$AJ$4,0)))+SUMPRODUCT((Inputs!$E$5:$E$180=$B20)*Inputs!$F$5:$F$180*(((Inputs!$G$5:$G$180="moeda")+(Inputs!$G$5:$G$180="acoes"))*Inputs!$B$1+((Inputs!$G$5:$G$180&lt;&gt;"moeda")*(Inputs!$G$5:$G$180&lt;&gt;"acoes")))*INDEX(Inputs!$K$5:$AJ$180,0,MATCH(AA$2,Inputs!$K$4:$AJ$4,0)))))</f>
        <v>331.206</v>
      </c>
      <c r="AB20" s="3">
        <f>AA20</f>
        <v>331.206</v>
      </c>
      <c r="AC20" s="6">
        <f>IF(ISNA(MATCH(AC$2,Inputs!$K$4:$AJ$4,0)),NA(),IF(SUMPRODUCT((Inputs!$A$5:$A$180=$B20)*ISNUMBER(INDEX(Inputs!$K$5:$AJ$180,0,MATCH(AC$2,Inputs!$K$4:$AJ$4,0))))+SUMPRODUCT((Inputs!$C$5:$C$180=$B20)*ISNUMBER(INDEX(Inputs!$K$5:$AJ$180,0,MATCH(AC$2,Inputs!$K$4:$AJ$4,0))))+SUMPRODUCT((Inputs!$E$5:$E$180=$B20)*ISNUMBER(INDEX(Inputs!$K$5:$AJ$180,0,MATCH(AC$2,Inputs!$K$4:$AJ$4,0))))=0,NA(),SUMPRODUCT((Inputs!$A$5:$A$180=$B20)*Inputs!$B$5:$B$180*(((Inputs!$G$5:$G$180="moeda")+(Inputs!$G$5:$G$180="acoes"))*Inputs!$B$1+((Inputs!$G$5:$G$180&lt;&gt;"moeda")*(Inputs!$G$5:$G$180&lt;&gt;"acoes")))*INDEX(Inputs!$K$5:$AJ$180,0,MATCH(AC$2,Inputs!$K$4:$AJ$4,0)))+SUMPRODUCT((Inputs!$C$5:$C$180=$B20)*Inputs!$D$5:$D$180*(((Inputs!$G$5:$G$180="moeda")+(Inputs!$G$5:$G$180="acoes"))*Inputs!$B$1+((Inputs!$G$5:$G$180&lt;&gt;"moeda")*(Inputs!$G$5:$G$180&lt;&gt;"acoes")))*INDEX(Inputs!$K$5:$AJ$180,0,MATCH(AC$2,Inputs!$K$4:$AJ$4,0)))+SUMPRODUCT((Inputs!$E$5:$E$180=$B20)*Inputs!$F$5:$F$180*(((Inputs!$G$5:$G$180="moeda")+(Inputs!$G$5:$G$180="acoes"))*Inputs!$B$1+((Inputs!$G$5:$G$180&lt;&gt;"moeda")*(Inputs!$G$5:$G$180&lt;&gt;"acoes")))*INDEX(Inputs!$K$5:$AJ$180,0,MATCH(AC$2,Inputs!$K$4:$AJ$4,0)))))</f>
        <v>343.446</v>
      </c>
      <c r="AD20" s="6">
        <f>IF(ISNA(MATCH(AD$2,Inputs!$K$4:$AJ$4,0)),NA(),IF(SUMPRODUCT((Inputs!$A$5:$A$180=$B20)*ISNUMBER(INDEX(Inputs!$K$5:$AJ$180,0,MATCH(AD$2,Inputs!$K$4:$AJ$4,0))))+SUMPRODUCT((Inputs!$C$5:$C$180=$B20)*ISNUMBER(INDEX(Inputs!$K$5:$AJ$180,0,MATCH(AD$2,Inputs!$K$4:$AJ$4,0))))+SUMPRODUCT((Inputs!$E$5:$E$180=$B20)*ISNUMBER(INDEX(Inputs!$K$5:$AJ$180,0,MATCH(AD$2,Inputs!$K$4:$AJ$4,0))))=0,NA(),SUMPRODUCT((Inputs!$A$5:$A$180=$B20)*Inputs!$B$5:$B$180*(((Inputs!$G$5:$G$180="moeda")+(Inputs!$G$5:$G$180="acoes"))*Inputs!$B$1+((Inputs!$G$5:$G$180&lt;&gt;"moeda")*(Inputs!$G$5:$G$180&lt;&gt;"acoes")))*INDEX(Inputs!$K$5:$AJ$180,0,MATCH(AD$2,Inputs!$K$4:$AJ$4,0)))+SUMPRODUCT((Inputs!$C$5:$C$180=$B20)*Inputs!$D$5:$D$180*(((Inputs!$G$5:$G$180="moeda")+(Inputs!$G$5:$G$180="acoes"))*Inputs!$B$1+((Inputs!$G$5:$G$180&lt;&gt;"moeda")*(Inputs!$G$5:$G$180&lt;&gt;"acoes")))*INDEX(Inputs!$K$5:$AJ$180,0,MATCH(AD$2,Inputs!$K$4:$AJ$4,0)))+SUMPRODUCT((Inputs!$E$5:$E$180=$B20)*Inputs!$F$5:$F$180*(((Inputs!$G$5:$G$180="moeda")+(Inputs!$G$5:$G$180="acoes"))*Inputs!$B$1+((Inputs!$G$5:$G$180&lt;&gt;"moeda")*(Inputs!$G$5:$G$180&lt;&gt;"acoes")))*INDEX(Inputs!$K$5:$AJ$180,0,MATCH(AD$2,Inputs!$K$4:$AJ$4,0)))))</f>
        <v>388.476</v>
      </c>
      <c r="AE20" s="6" t="e">
        <f>IF(ISNA(MATCH(AE$2,Inputs!$K$4:$AJ$4,0)),NA(),IF(SUMPRODUCT((Inputs!$A$5:$A$180=$B20)*ISNUMBER(INDEX(Inputs!$K$5:$AJ$180,0,MATCH(AE$2,Inputs!$K$4:$AJ$4,0))))+SUMPRODUCT((Inputs!$C$5:$C$180=$B20)*ISNUMBER(INDEX(Inputs!$K$5:$AJ$180,0,MATCH(AE$2,Inputs!$K$4:$AJ$4,0))))+SUMPRODUCT((Inputs!$E$5:$E$180=$B20)*ISNUMBER(INDEX(Inputs!$K$5:$AJ$180,0,MATCH(AE$2,Inputs!$K$4:$AJ$4,0))))=0,NA(),SUMPRODUCT((Inputs!$A$5:$A$180=$B20)*Inputs!$B$5:$B$180*(((Inputs!$G$5:$G$180="moeda")+(Inputs!$G$5:$G$180="acoes"))*Inputs!$B$1+((Inputs!$G$5:$G$180&lt;&gt;"moeda")*(Inputs!$G$5:$G$180&lt;&gt;"acoes")))*INDEX(Inputs!$K$5:$AJ$180,0,MATCH(AE$2,Inputs!$K$4:$AJ$4,0)))+SUMPRODUCT((Inputs!$C$5:$C$180=$B20)*Inputs!$D$5:$D$180*(((Inputs!$G$5:$G$180="moeda")+(Inputs!$G$5:$G$180="acoes"))*Inputs!$B$1+((Inputs!$G$5:$G$180&lt;&gt;"moeda")*(Inputs!$G$5:$G$180&lt;&gt;"acoes")))*INDEX(Inputs!$K$5:$AJ$180,0,MATCH(AE$2,Inputs!$K$4:$AJ$4,0)))+SUMPRODUCT((Inputs!$E$5:$E$180=$B20)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0" s="6" t="e">
        <f>IF(ISNA(MATCH(AF$2,Inputs!$K$4:$AJ$4,0)),NA(),IF(SUMPRODUCT((Inputs!$A$5:$A$180=$B20)*ISNUMBER(INDEX(Inputs!$K$5:$AJ$180,0,MATCH(AF$2,Inputs!$K$4:$AJ$4,0))))+SUMPRODUCT((Inputs!$C$5:$C$180=$B20)*ISNUMBER(INDEX(Inputs!$K$5:$AJ$180,0,MATCH(AF$2,Inputs!$K$4:$AJ$4,0))))+SUMPRODUCT((Inputs!$E$5:$E$180=$B20)*ISNUMBER(INDEX(Inputs!$K$5:$AJ$180,0,MATCH(AF$2,Inputs!$K$4:$AJ$4,0))))=0,NA(),SUMPRODUCT((Inputs!$A$5:$A$180=$B20)*Inputs!$B$5:$B$180*(((Inputs!$G$5:$G$180="moeda")+(Inputs!$G$5:$G$180="acoes"))*Inputs!$B$1+((Inputs!$G$5:$G$180&lt;&gt;"moeda")*(Inputs!$G$5:$G$180&lt;&gt;"acoes")))*INDEX(Inputs!$K$5:$AJ$180,0,MATCH(AF$2,Inputs!$K$4:$AJ$4,0)))+SUMPRODUCT((Inputs!$C$5:$C$180=$B20)*Inputs!$D$5:$D$180*(((Inputs!$G$5:$G$180="moeda")+(Inputs!$G$5:$G$180="acoes"))*Inputs!$B$1+((Inputs!$G$5:$G$180&lt;&gt;"moeda")*(Inputs!$G$5:$G$180&lt;&gt;"acoes")))*INDEX(Inputs!$K$5:$AJ$180,0,MATCH(AF$2,Inputs!$K$4:$AJ$4,0)))+SUMPRODUCT((Inputs!$E$5:$E$180=$B20)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0" s="3" t="e">
        <f>AF20</f>
        <v>#N/A</v>
      </c>
      <c r="AH20" s="6">
        <f>IF(ISNA(MATCH(AH$2,Inputs!$K$4:$AJ$4,0)),NA(),IF(SUMPRODUCT((Inputs!$A$5:$A$180=$B20)*ISNUMBER(INDEX(Inputs!$K$5:$AJ$180,0,MATCH(AH$2,Inputs!$K$4:$AJ$4,0))))+SUMPRODUCT((Inputs!$C$5:$C$180=$B20)*ISNUMBER(INDEX(Inputs!$K$5:$AJ$180,0,MATCH(AH$2,Inputs!$K$4:$AJ$4,0))))+SUMPRODUCT((Inputs!$E$5:$E$180=$B20)*ISNUMBER(INDEX(Inputs!$K$5:$AJ$180,0,MATCH(AH$2,Inputs!$K$4:$AJ$4,0))))=0,NA(),SUMPRODUCT((Inputs!$A$5:$A$180=$B20)*Inputs!$B$5:$B$180*(((Inputs!$G$5:$G$180="moeda")+(Inputs!$G$5:$G$180="acoes"))*Inputs!$B$1+((Inputs!$G$5:$G$180&lt;&gt;"moeda")*(Inputs!$G$5:$G$180&lt;&gt;"acoes")))*INDEX(Inputs!$K$5:$AJ$180,0,MATCH(AH$2,Inputs!$K$4:$AJ$4,0)))+SUMPRODUCT((Inputs!$C$5:$C$180=$B20)*Inputs!$D$5:$D$180*(((Inputs!$G$5:$G$180="moeda")+(Inputs!$G$5:$G$180="acoes"))*Inputs!$B$1+((Inputs!$G$5:$G$180&lt;&gt;"moeda")*(Inputs!$G$5:$G$180&lt;&gt;"acoes")))*INDEX(Inputs!$K$5:$AJ$180,0,MATCH(AH$2,Inputs!$K$4:$AJ$4,0)))+SUMPRODUCT((Inputs!$E$5:$E$180=$B20)*Inputs!$F$5:$F$180*(((Inputs!$G$5:$G$180="moeda")+(Inputs!$G$5:$G$180="acoes"))*Inputs!$B$1+((Inputs!$G$5:$G$180&lt;&gt;"moeda")*(Inputs!$G$5:$G$180&lt;&gt;"acoes")))*INDEX(Inputs!$K$5:$AJ$180,0,MATCH(AH$2,Inputs!$K$4:$AJ$4,0)))))</f>
        <v>82.32837364</v>
      </c>
      <c r="AI20" s="6">
        <f>IF(ISNA(MATCH(AI$2,Inputs!$K$4:$AJ$4,0)),NA(),IF(SUMPRODUCT((Inputs!$A$5:$A$180=$B20)*ISNUMBER(INDEX(Inputs!$K$5:$AJ$180,0,MATCH(AI$2,Inputs!$K$4:$AJ$4,0))))+SUMPRODUCT((Inputs!$C$5:$C$180=$B20)*ISNUMBER(INDEX(Inputs!$K$5:$AJ$180,0,MATCH(AI$2,Inputs!$K$4:$AJ$4,0))))+SUMPRODUCT((Inputs!$E$5:$E$180=$B20)*ISNUMBER(INDEX(Inputs!$K$5:$AJ$180,0,MATCH(AI$2,Inputs!$K$4:$AJ$4,0))))=0,NA(),SUMPRODUCT((Inputs!$A$5:$A$180=$B20)*Inputs!$B$5:$B$180*(((Inputs!$G$5:$G$180="moeda")+(Inputs!$G$5:$G$180="acoes"))*Inputs!$B$1+((Inputs!$G$5:$G$180&lt;&gt;"moeda")*(Inputs!$G$5:$G$180&lt;&gt;"acoes")))*INDEX(Inputs!$K$5:$AJ$180,0,MATCH(AI$2,Inputs!$K$4:$AJ$4,0)))+SUMPRODUCT((Inputs!$C$5:$C$180=$B20)*Inputs!$D$5:$D$180*(((Inputs!$G$5:$G$180="moeda")+(Inputs!$G$5:$G$180="acoes"))*Inputs!$B$1+((Inputs!$G$5:$G$180&lt;&gt;"moeda")*(Inputs!$G$5:$G$180&lt;&gt;"acoes")))*INDEX(Inputs!$K$5:$AJ$180,0,MATCH(AI$2,Inputs!$K$4:$AJ$4,0)))+SUMPRODUCT((Inputs!$E$5:$E$180=$B20)*Inputs!$F$5:$F$180*(((Inputs!$G$5:$G$180="moeda")+(Inputs!$G$5:$G$180="acoes"))*Inputs!$B$1+((Inputs!$G$5:$G$180&lt;&gt;"moeda")*(Inputs!$G$5:$G$180&lt;&gt;"acoes")))*INDEX(Inputs!$K$5:$AJ$180,0,MATCH(AI$2,Inputs!$K$4:$AJ$4,0)))))</f>
        <v>98.3831463400008</v>
      </c>
      <c r="AJ20" s="6">
        <f>IF(ISNA(MATCH(AJ$2,Inputs!$K$4:$AJ$4,0)),NA(),IF(SUMPRODUCT((Inputs!$A$5:$A$180=$B20)*ISNUMBER(INDEX(Inputs!$K$5:$AJ$180,0,MATCH(AJ$2,Inputs!$K$4:$AJ$4,0))))+SUMPRODUCT((Inputs!$C$5:$C$180=$B20)*ISNUMBER(INDEX(Inputs!$K$5:$AJ$180,0,MATCH(AJ$2,Inputs!$K$4:$AJ$4,0))))+SUMPRODUCT((Inputs!$E$5:$E$180=$B20)*ISNUMBER(INDEX(Inputs!$K$5:$AJ$180,0,MATCH(AJ$2,Inputs!$K$4:$AJ$4,0))))=0,NA(),SUMPRODUCT((Inputs!$A$5:$A$180=$B20)*Inputs!$B$5:$B$180*(((Inputs!$G$5:$G$180="moeda")+(Inputs!$G$5:$G$180="acoes"))*Inputs!$B$1+((Inputs!$G$5:$G$180&lt;&gt;"moeda")*(Inputs!$G$5:$G$180&lt;&gt;"acoes")))*INDEX(Inputs!$K$5:$AJ$180,0,MATCH(AJ$2,Inputs!$K$4:$AJ$4,0)))+SUMPRODUCT((Inputs!$C$5:$C$180=$B20)*Inputs!$D$5:$D$180*(((Inputs!$G$5:$G$180="moeda")+(Inputs!$G$5:$G$180="acoes"))*Inputs!$B$1+((Inputs!$G$5:$G$180&lt;&gt;"moeda")*(Inputs!$G$5:$G$180&lt;&gt;"acoes")))*INDEX(Inputs!$K$5:$AJ$180,0,MATCH(AJ$2,Inputs!$K$4:$AJ$4,0)))+SUMPRODUCT((Inputs!$E$5:$E$180=$B20)*Inputs!$F$5:$F$180*(((Inputs!$G$5:$G$180="moeda")+(Inputs!$G$5:$G$180="acoes"))*Inputs!$B$1+((Inputs!$G$5:$G$180&lt;&gt;"moeda")*(Inputs!$G$5:$G$180&lt;&gt;"acoes")))*INDEX(Inputs!$K$5:$AJ$180,0,MATCH(AJ$2,Inputs!$K$4:$AJ$4,0)))))</f>
        <v>76.273454639997</v>
      </c>
      <c r="AK20" s="6">
        <f>IF(ISNA(MATCH(AK$2,Inputs!$K$4:$AJ$4,0)),NA(),IF(SUMPRODUCT((Inputs!$A$5:$A$180=$B20)*ISNUMBER(INDEX(Inputs!$K$5:$AJ$180,0,MATCH(AK$2,Inputs!$K$4:$AJ$4,0))))+SUMPRODUCT((Inputs!$C$5:$C$180=$B20)*ISNUMBER(INDEX(Inputs!$K$5:$AJ$180,0,MATCH(AK$2,Inputs!$K$4:$AJ$4,0))))+SUMPRODUCT((Inputs!$E$5:$E$180=$B20)*ISNUMBER(INDEX(Inputs!$K$5:$AJ$180,0,MATCH(AK$2,Inputs!$K$4:$AJ$4,0))))=0,NA(),SUMPRODUCT((Inputs!$A$5:$A$180=$B20)*Inputs!$B$5:$B$180*(((Inputs!$G$5:$G$180="moeda")+(Inputs!$G$5:$G$180="acoes"))*Inputs!$B$1+((Inputs!$G$5:$G$180&lt;&gt;"moeda")*(Inputs!$G$5:$G$180&lt;&gt;"acoes")))*INDEX(Inputs!$K$5:$AJ$180,0,MATCH(AK$2,Inputs!$K$4:$AJ$4,0)))+SUMPRODUCT((Inputs!$C$5:$C$180=$B20)*Inputs!$D$5:$D$180*(((Inputs!$G$5:$G$180="moeda")+(Inputs!$G$5:$G$180="acoes"))*Inputs!$B$1+((Inputs!$G$5:$G$180&lt;&gt;"moeda")*(Inputs!$G$5:$G$180&lt;&gt;"acoes")))*INDEX(Inputs!$K$5:$AJ$180,0,MATCH(AK$2,Inputs!$K$4:$AJ$4,0)))+SUMPRODUCT((Inputs!$E$5:$E$180=$B20)*Inputs!$F$5:$F$180*(((Inputs!$G$5:$G$180="moeda")+(Inputs!$G$5:$G$180="acoes"))*Inputs!$B$1+((Inputs!$G$5:$G$180&lt;&gt;"moeda")*(Inputs!$G$5:$G$180&lt;&gt;"acoes")))*INDEX(Inputs!$K$5:$AJ$180,0,MATCH(AK$2,Inputs!$K$4:$AJ$4,0)))))</f>
        <v>63.06147049</v>
      </c>
      <c r="AL20" s="3">
        <f>AK20</f>
        <v>63.06147049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$180=$B21)*ISNUMBER(INDEX(Inputs!$K$5:$AJ$180,0,MATCH(D$2,Inputs!$K$4:$AJ$4,0))))+SUMPRODUCT((Inputs!$C$5:$C$180=$B21)*ISNUMBER(INDEX(Inputs!$K$5:$AJ$180,0,MATCH(D$2,Inputs!$K$4:$AJ$4,0))))+SUMPRODUCT((Inputs!$E$5:$E$180=$B21)*ISNUMBER(INDEX(Inputs!$K$5:$AJ$180,0,MATCH(D$2,Inputs!$K$4:$AJ$4,0))))=0,NA(),SUMPRODUCT((Inputs!$A$5:$A$180=$B21)*Inputs!$B$5:$B$180*(((Inputs!$G$5:$G$180="moeda")+(Inputs!$G$5:$G$180="acoes"))*Inputs!$B$1+((Inputs!$G$5:$G$180&lt;&gt;"moeda")*(Inputs!$G$5:$G$180&lt;&gt;"acoes")))*INDEX(Inputs!$K$5:$AJ$180,0,MATCH(D$2,Inputs!$K$4:$AJ$4,0)))+SUMPRODUCT((Inputs!$C$5:$C$180=$B21)*Inputs!$D$5:$D$180*(((Inputs!$G$5:$G$180="moeda")+(Inputs!$G$5:$G$180="acoes"))*Inputs!$B$1+((Inputs!$G$5:$G$180&lt;&gt;"moeda")*(Inputs!$G$5:$G$180&lt;&gt;"acoes")))*INDEX(Inputs!$K$5:$AJ$180,0,MATCH(D$2,Inputs!$K$4:$AJ$4,0)))+SUMPRODUCT((Inputs!$E$5:$E$180=$B21)*Inputs!$F$5:$F$180*(((Inputs!$G$5:$G$180="moeda")+(Inputs!$G$5:$G$180="acoes"))*Inputs!$B$1+((Inputs!$G$5:$G$180&lt;&gt;"moeda")*(Inputs!$G$5:$G$180&lt;&gt;"acoes")))*INDEX(Inputs!$K$5:$AJ$180,0,MATCH(D$2,Inputs!$K$4:$AJ$4,0)))))</f>
        <v>33.9309088196028</v>
      </c>
      <c r="E21" s="6">
        <f>IF(ISNA(MATCH(E$2,Inputs!$K$4:$AJ$4,0)),NA(),IF(SUMPRODUCT((Inputs!$A$5:$A$180=$B21)*ISNUMBER(INDEX(Inputs!$K$5:$AJ$180,0,MATCH(E$2,Inputs!$K$4:$AJ$4,0))))+SUMPRODUCT((Inputs!$C$5:$C$180=$B21)*ISNUMBER(INDEX(Inputs!$K$5:$AJ$180,0,MATCH(E$2,Inputs!$K$4:$AJ$4,0))))+SUMPRODUCT((Inputs!$E$5:$E$180=$B21)*ISNUMBER(INDEX(Inputs!$K$5:$AJ$180,0,MATCH(E$2,Inputs!$K$4:$AJ$4,0))))=0,NA(),SUMPRODUCT((Inputs!$A$5:$A$180=$B21)*Inputs!$B$5:$B$180*(((Inputs!$G$5:$G$180="moeda")+(Inputs!$G$5:$G$180="acoes"))*Inputs!$B$1+((Inputs!$G$5:$G$180&lt;&gt;"moeda")*(Inputs!$G$5:$G$180&lt;&gt;"acoes")))*INDEX(Inputs!$K$5:$AJ$180,0,MATCH(E$2,Inputs!$K$4:$AJ$4,0)))+SUMPRODUCT((Inputs!$C$5:$C$180=$B21)*Inputs!$D$5:$D$180*(((Inputs!$G$5:$G$180="moeda")+(Inputs!$G$5:$G$180="acoes"))*Inputs!$B$1+((Inputs!$G$5:$G$180&lt;&gt;"moeda")*(Inputs!$G$5:$G$180&lt;&gt;"acoes")))*INDEX(Inputs!$K$5:$AJ$180,0,MATCH(E$2,Inputs!$K$4:$AJ$4,0)))+SUMPRODUCT((Inputs!$E$5:$E$180=$B21)*Inputs!$F$5:$F$180*(((Inputs!$G$5:$G$180="moeda")+(Inputs!$G$5:$G$180="acoes"))*Inputs!$B$1+((Inputs!$G$5:$G$180&lt;&gt;"moeda")*(Inputs!$G$5:$G$180&lt;&gt;"acoes")))*INDEX(Inputs!$K$5:$AJ$180,0,MATCH(E$2,Inputs!$K$4:$AJ$4,0)))))</f>
        <v>135.736947285287</v>
      </c>
      <c r="F21" s="6">
        <f>IF(ISNA(MATCH(F$2,Inputs!$K$4:$AJ$4,0)),NA(),IF(SUMPRODUCT((Inputs!$A$5:$A$180=$B21)*ISNUMBER(INDEX(Inputs!$K$5:$AJ$180,0,MATCH(F$2,Inputs!$K$4:$AJ$4,0))))+SUMPRODUCT((Inputs!$C$5:$C$180=$B21)*ISNUMBER(INDEX(Inputs!$K$5:$AJ$180,0,MATCH(F$2,Inputs!$K$4:$AJ$4,0))))+SUMPRODUCT((Inputs!$E$5:$E$180=$B21)*ISNUMBER(INDEX(Inputs!$K$5:$AJ$180,0,MATCH(F$2,Inputs!$K$4:$AJ$4,0))))=0,NA(),SUMPRODUCT((Inputs!$A$5:$A$180=$B21)*Inputs!$B$5:$B$180*(((Inputs!$G$5:$G$180="moeda")+(Inputs!$G$5:$G$180="acoes"))*Inputs!$B$1+((Inputs!$G$5:$G$180&lt;&gt;"moeda")*(Inputs!$G$5:$G$180&lt;&gt;"acoes")))*INDEX(Inputs!$K$5:$AJ$180,0,MATCH(F$2,Inputs!$K$4:$AJ$4,0)))+SUMPRODUCT((Inputs!$C$5:$C$180=$B21)*Inputs!$D$5:$D$180*(((Inputs!$G$5:$G$180="moeda")+(Inputs!$G$5:$G$180="acoes"))*Inputs!$B$1+((Inputs!$G$5:$G$180&lt;&gt;"moeda")*(Inputs!$G$5:$G$180&lt;&gt;"acoes")))*INDEX(Inputs!$K$5:$AJ$180,0,MATCH(F$2,Inputs!$K$4:$AJ$4,0)))+SUMPRODUCT((Inputs!$E$5:$E$180=$B21)*Inputs!$F$5:$F$180*(((Inputs!$G$5:$G$180="moeda")+(Inputs!$G$5:$G$180="acoes"))*Inputs!$B$1+((Inputs!$G$5:$G$180&lt;&gt;"moeda")*(Inputs!$G$5:$G$180&lt;&gt;"acoes")))*INDEX(Inputs!$K$5:$AJ$180,0,MATCH(F$2,Inputs!$K$4:$AJ$4,0)))))</f>
        <v>355.250406008409</v>
      </c>
      <c r="G21" s="6">
        <f>IF(ISNA(MATCH(G$2,Inputs!$K$4:$AJ$4,0)),NA(),IF(SUMPRODUCT((Inputs!$A$5:$A$180=$B21)*ISNUMBER(INDEX(Inputs!$K$5:$AJ$180,0,MATCH(G$2,Inputs!$K$4:$AJ$4,0))))+SUMPRODUCT((Inputs!$C$5:$C$180=$B21)*ISNUMBER(INDEX(Inputs!$K$5:$AJ$180,0,MATCH(G$2,Inputs!$K$4:$AJ$4,0))))+SUMPRODUCT((Inputs!$E$5:$E$180=$B21)*ISNUMBER(INDEX(Inputs!$K$5:$AJ$180,0,MATCH(G$2,Inputs!$K$4:$AJ$4,0))))=0,NA(),SUMPRODUCT((Inputs!$A$5:$A$180=$B21)*Inputs!$B$5:$B$180*(((Inputs!$G$5:$G$180="moeda")+(Inputs!$G$5:$G$180="acoes"))*Inputs!$B$1+((Inputs!$G$5:$G$180&lt;&gt;"moeda")*(Inputs!$G$5:$G$180&lt;&gt;"acoes")))*INDEX(Inputs!$K$5:$AJ$180,0,MATCH(G$2,Inputs!$K$4:$AJ$4,0)))+SUMPRODUCT((Inputs!$C$5:$C$180=$B21)*Inputs!$D$5:$D$180*(((Inputs!$G$5:$G$180="moeda")+(Inputs!$G$5:$G$180="acoes"))*Inputs!$B$1+((Inputs!$G$5:$G$180&lt;&gt;"moeda")*(Inputs!$G$5:$G$180&lt;&gt;"acoes")))*INDEX(Inputs!$K$5:$AJ$180,0,MATCH(G$2,Inputs!$K$4:$AJ$4,0)))+SUMPRODUCT((Inputs!$E$5:$E$180=$B21)*Inputs!$F$5:$F$180*(((Inputs!$G$5:$G$180="moeda")+(Inputs!$G$5:$G$180="acoes"))*Inputs!$B$1+((Inputs!$G$5:$G$180&lt;&gt;"moeda")*(Inputs!$G$5:$G$180&lt;&gt;"acoes")))*INDEX(Inputs!$K$5:$AJ$180,0,MATCH(G$2,Inputs!$K$4:$AJ$4,0)))))</f>
        <v>43.0832158302319</v>
      </c>
      <c r="H21" s="3">
        <f>G21</f>
        <v>43.0832158302319</v>
      </c>
      <c r="I21" s="6">
        <f>IF(ISNA(MATCH(I$2,Inputs!$K$4:$AJ$4,0)),NA(),IF(SUMPRODUCT((Inputs!$A$5:$A$180=$B21)*ISNUMBER(INDEX(Inputs!$K$5:$AJ$180,0,MATCH(I$2,Inputs!$K$4:$AJ$4,0))))+SUMPRODUCT((Inputs!$C$5:$C$180=$B21)*ISNUMBER(INDEX(Inputs!$K$5:$AJ$180,0,MATCH(I$2,Inputs!$K$4:$AJ$4,0))))+SUMPRODUCT((Inputs!$E$5:$E$180=$B21)*ISNUMBER(INDEX(Inputs!$K$5:$AJ$180,0,MATCH(I$2,Inputs!$K$4:$AJ$4,0))))=0,NA(),SUMPRODUCT((Inputs!$A$5:$A$180=$B21)*Inputs!$B$5:$B$180*(((Inputs!$G$5:$G$180="moeda")+(Inputs!$G$5:$G$180="acoes"))*Inputs!$B$1+((Inputs!$G$5:$G$180&lt;&gt;"moeda")*(Inputs!$G$5:$G$180&lt;&gt;"acoes")))*INDEX(Inputs!$K$5:$AJ$180,0,MATCH(I$2,Inputs!$K$4:$AJ$4,0)))+SUMPRODUCT((Inputs!$C$5:$C$180=$B21)*Inputs!$D$5:$D$180*(((Inputs!$G$5:$G$180="moeda")+(Inputs!$G$5:$G$180="acoes"))*Inputs!$B$1+((Inputs!$G$5:$G$180&lt;&gt;"moeda")*(Inputs!$G$5:$G$180&lt;&gt;"acoes")))*INDEX(Inputs!$K$5:$AJ$180,0,MATCH(I$2,Inputs!$K$4:$AJ$4,0)))+SUMPRODUCT((Inputs!$E$5:$E$180=$B21)*Inputs!$F$5:$F$180*(((Inputs!$G$5:$G$180="moeda")+(Inputs!$G$5:$G$180="acoes"))*Inputs!$B$1+((Inputs!$G$5:$G$180&lt;&gt;"moeda")*(Inputs!$G$5:$G$180&lt;&gt;"acoes")))*INDEX(Inputs!$K$5:$AJ$180,0,MATCH(I$2,Inputs!$K$4:$AJ$4,0)))))</f>
        <v>40.5498050422764</v>
      </c>
      <c r="J21" s="6">
        <f>IF(ISNA(MATCH(J$2,Inputs!$K$4:$AJ$4,0)),NA(),IF(SUMPRODUCT((Inputs!$A$5:$A$180=$B21)*ISNUMBER(INDEX(Inputs!$K$5:$AJ$180,0,MATCH(J$2,Inputs!$K$4:$AJ$4,0))))+SUMPRODUCT((Inputs!$C$5:$C$180=$B21)*ISNUMBER(INDEX(Inputs!$K$5:$AJ$180,0,MATCH(J$2,Inputs!$K$4:$AJ$4,0))))+SUMPRODUCT((Inputs!$E$5:$E$180=$B21)*ISNUMBER(INDEX(Inputs!$K$5:$AJ$180,0,MATCH(J$2,Inputs!$K$4:$AJ$4,0))))=0,NA(),SUMPRODUCT((Inputs!$A$5:$A$180=$B21)*Inputs!$B$5:$B$180*(((Inputs!$G$5:$G$180="moeda")+(Inputs!$G$5:$G$180="acoes"))*Inputs!$B$1+((Inputs!$G$5:$G$180&lt;&gt;"moeda")*(Inputs!$G$5:$G$180&lt;&gt;"acoes")))*INDEX(Inputs!$K$5:$AJ$180,0,MATCH(J$2,Inputs!$K$4:$AJ$4,0)))+SUMPRODUCT((Inputs!$C$5:$C$180=$B21)*Inputs!$D$5:$D$180*(((Inputs!$G$5:$G$180="moeda")+(Inputs!$G$5:$G$180="acoes"))*Inputs!$B$1+((Inputs!$G$5:$G$180&lt;&gt;"moeda")*(Inputs!$G$5:$G$180&lt;&gt;"acoes")))*INDEX(Inputs!$K$5:$AJ$180,0,MATCH(J$2,Inputs!$K$4:$AJ$4,0)))+SUMPRODUCT((Inputs!$E$5:$E$180=$B21)*Inputs!$F$5:$F$180*(((Inputs!$G$5:$G$180="moeda")+(Inputs!$G$5:$G$180="acoes"))*Inputs!$B$1+((Inputs!$G$5:$G$180&lt;&gt;"moeda")*(Inputs!$G$5:$G$180&lt;&gt;"acoes")))*INDEX(Inputs!$K$5:$AJ$180,0,MATCH(J$2,Inputs!$K$4:$AJ$4,0)))))</f>
        <v>42.331656162821</v>
      </c>
      <c r="K21" s="6">
        <f>IF(ISNA(MATCH(K$2,Inputs!$K$4:$AJ$4,0)),NA(),IF(SUMPRODUCT((Inputs!$A$5:$A$180=$B21)*ISNUMBER(INDEX(Inputs!$K$5:$AJ$180,0,MATCH(K$2,Inputs!$K$4:$AJ$4,0))))+SUMPRODUCT((Inputs!$C$5:$C$180=$B21)*ISNUMBER(INDEX(Inputs!$K$5:$AJ$180,0,MATCH(K$2,Inputs!$K$4:$AJ$4,0))))+SUMPRODUCT((Inputs!$E$5:$E$180=$B21)*ISNUMBER(INDEX(Inputs!$K$5:$AJ$180,0,MATCH(K$2,Inputs!$K$4:$AJ$4,0))))=0,NA(),SUMPRODUCT((Inputs!$A$5:$A$180=$B21)*Inputs!$B$5:$B$180*(((Inputs!$G$5:$G$180="moeda")+(Inputs!$G$5:$G$180="acoes"))*Inputs!$B$1+((Inputs!$G$5:$G$180&lt;&gt;"moeda")*(Inputs!$G$5:$G$180&lt;&gt;"acoes")))*INDEX(Inputs!$K$5:$AJ$180,0,MATCH(K$2,Inputs!$K$4:$AJ$4,0)))+SUMPRODUCT((Inputs!$C$5:$C$180=$B21)*Inputs!$D$5:$D$180*(((Inputs!$G$5:$G$180="moeda")+(Inputs!$G$5:$G$180="acoes"))*Inputs!$B$1+((Inputs!$G$5:$G$180&lt;&gt;"moeda")*(Inputs!$G$5:$G$180&lt;&gt;"acoes")))*INDEX(Inputs!$K$5:$AJ$180,0,MATCH(K$2,Inputs!$K$4:$AJ$4,0)))+SUMPRODUCT((Inputs!$E$5:$E$180=$B21)*Inputs!$F$5:$F$180*(((Inputs!$G$5:$G$180="moeda")+(Inputs!$G$5:$G$180="acoes"))*Inputs!$B$1+((Inputs!$G$5:$G$180&lt;&gt;"moeda")*(Inputs!$G$5:$G$180&lt;&gt;"acoes")))*INDEX(Inputs!$K$5:$AJ$180,0,MATCH(K$2,Inputs!$K$4:$AJ$4,0)))))</f>
        <v>52.56045319</v>
      </c>
      <c r="L21" s="6">
        <f>IF(ISNA(MATCH(L$2,Inputs!$K$4:$AJ$4,0)),NA(),IF(SUMPRODUCT((Inputs!$A$5:$A$180=$B21)*ISNUMBER(INDEX(Inputs!$K$5:$AJ$180,0,MATCH(L$2,Inputs!$K$4:$AJ$4,0))))+SUMPRODUCT((Inputs!$C$5:$C$180=$B21)*ISNUMBER(INDEX(Inputs!$K$5:$AJ$180,0,MATCH(L$2,Inputs!$K$4:$AJ$4,0))))+SUMPRODUCT((Inputs!$E$5:$E$180=$B21)*ISNUMBER(INDEX(Inputs!$K$5:$AJ$180,0,MATCH(L$2,Inputs!$K$4:$AJ$4,0))))=0,NA(),SUMPRODUCT((Inputs!$A$5:$A$180=$B21)*Inputs!$B$5:$B$180*(((Inputs!$G$5:$G$180="moeda")+(Inputs!$G$5:$G$180="acoes"))*Inputs!$B$1+((Inputs!$G$5:$G$180&lt;&gt;"moeda")*(Inputs!$G$5:$G$180&lt;&gt;"acoes")))*INDEX(Inputs!$K$5:$AJ$180,0,MATCH(L$2,Inputs!$K$4:$AJ$4,0)))+SUMPRODUCT((Inputs!$C$5:$C$180=$B21)*Inputs!$D$5:$D$180*(((Inputs!$G$5:$G$180="moeda")+(Inputs!$G$5:$G$180="acoes"))*Inputs!$B$1+((Inputs!$G$5:$G$180&lt;&gt;"moeda")*(Inputs!$G$5:$G$180&lt;&gt;"acoes")))*INDEX(Inputs!$K$5:$AJ$180,0,MATCH(L$2,Inputs!$K$4:$AJ$4,0)))+SUMPRODUCT((Inputs!$E$5:$E$180=$B21)*Inputs!$F$5:$F$180*(((Inputs!$G$5:$G$180="moeda")+(Inputs!$G$5:$G$180="acoes"))*Inputs!$B$1+((Inputs!$G$5:$G$180&lt;&gt;"moeda")*(Inputs!$G$5:$G$180&lt;&gt;"acoes")))*INDEX(Inputs!$K$5:$AJ$180,0,MATCH(L$2,Inputs!$K$4:$AJ$4,0)))))</f>
        <v>44.0802310958267</v>
      </c>
      <c r="M21" s="3">
        <f>L21</f>
        <v>44.0802310958267</v>
      </c>
      <c r="N21" s="6">
        <f>IF(ISNA(MATCH(N$2,Inputs!$K$4:$AJ$4,0)),NA(),IF(SUMPRODUCT((Inputs!$A$5:$A$180=$B21)*ISNUMBER(INDEX(Inputs!$K$5:$AJ$180,0,MATCH(N$2,Inputs!$K$4:$AJ$4,0))))+SUMPRODUCT((Inputs!$C$5:$C$180=$B21)*ISNUMBER(INDEX(Inputs!$K$5:$AJ$180,0,MATCH(N$2,Inputs!$K$4:$AJ$4,0))))+SUMPRODUCT((Inputs!$E$5:$E$180=$B21)*ISNUMBER(INDEX(Inputs!$K$5:$AJ$180,0,MATCH(N$2,Inputs!$K$4:$AJ$4,0))))=0,NA(),SUMPRODUCT((Inputs!$A$5:$A$180=$B21)*Inputs!$B$5:$B$180*(((Inputs!$G$5:$G$180="moeda")+(Inputs!$G$5:$G$180="acoes"))*Inputs!$B$1+((Inputs!$G$5:$G$180&lt;&gt;"moeda")*(Inputs!$G$5:$G$180&lt;&gt;"acoes")))*INDEX(Inputs!$K$5:$AJ$180,0,MATCH(N$2,Inputs!$K$4:$AJ$4,0)))+SUMPRODUCT((Inputs!$C$5:$C$180=$B21)*Inputs!$D$5:$D$180*(((Inputs!$G$5:$G$180="moeda")+(Inputs!$G$5:$G$180="acoes"))*Inputs!$B$1+((Inputs!$G$5:$G$180&lt;&gt;"moeda")*(Inputs!$G$5:$G$180&lt;&gt;"acoes")))*INDEX(Inputs!$K$5:$AJ$180,0,MATCH(N$2,Inputs!$K$4:$AJ$4,0)))+SUMPRODUCT((Inputs!$E$5:$E$180=$B21)*Inputs!$F$5:$F$180*(((Inputs!$G$5:$G$180="moeda")+(Inputs!$G$5:$G$180="acoes"))*Inputs!$B$1+((Inputs!$G$5:$G$180&lt;&gt;"moeda")*(Inputs!$G$5:$G$180&lt;&gt;"acoes")))*INDEX(Inputs!$K$5:$AJ$180,0,MATCH(N$2,Inputs!$K$4:$AJ$4,0)))))</f>
        <v>56.8724403</v>
      </c>
      <c r="O21" s="6">
        <f>IF(ISNA(MATCH(O$2,Inputs!$K$4:$AJ$4,0)),NA(),IF(SUMPRODUCT((Inputs!$A$5:$A$180=$B21)*ISNUMBER(INDEX(Inputs!$K$5:$AJ$180,0,MATCH(O$2,Inputs!$K$4:$AJ$4,0))))+SUMPRODUCT((Inputs!$C$5:$C$180=$B21)*ISNUMBER(INDEX(Inputs!$K$5:$AJ$180,0,MATCH(O$2,Inputs!$K$4:$AJ$4,0))))+SUMPRODUCT((Inputs!$E$5:$E$180=$B21)*ISNUMBER(INDEX(Inputs!$K$5:$AJ$180,0,MATCH(O$2,Inputs!$K$4:$AJ$4,0))))=0,NA(),SUMPRODUCT((Inputs!$A$5:$A$180=$B21)*Inputs!$B$5:$B$180*(((Inputs!$G$5:$G$180="moeda")+(Inputs!$G$5:$G$180="acoes"))*Inputs!$B$1+((Inputs!$G$5:$G$180&lt;&gt;"moeda")*(Inputs!$G$5:$G$180&lt;&gt;"acoes")))*INDEX(Inputs!$K$5:$AJ$180,0,MATCH(O$2,Inputs!$K$4:$AJ$4,0)))+SUMPRODUCT((Inputs!$C$5:$C$180=$B21)*Inputs!$D$5:$D$180*(((Inputs!$G$5:$G$180="moeda")+(Inputs!$G$5:$G$180="acoes"))*Inputs!$B$1+((Inputs!$G$5:$G$180&lt;&gt;"moeda")*(Inputs!$G$5:$G$180&lt;&gt;"acoes")))*INDEX(Inputs!$K$5:$AJ$180,0,MATCH(O$2,Inputs!$K$4:$AJ$4,0)))+SUMPRODUCT((Inputs!$E$5:$E$180=$B21)*Inputs!$F$5:$F$180*(((Inputs!$G$5:$G$180="moeda")+(Inputs!$G$5:$G$180="acoes"))*Inputs!$B$1+((Inputs!$G$5:$G$180&lt;&gt;"moeda")*(Inputs!$G$5:$G$180&lt;&gt;"acoes")))*INDEX(Inputs!$K$5:$AJ$180,0,MATCH(O$2,Inputs!$K$4:$AJ$4,0)))))</f>
        <v>66.428</v>
      </c>
      <c r="P21" s="6">
        <f>IF(ISNA(MATCH(P$2,Inputs!$K$4:$AJ$4,0)),NA(),IF(SUMPRODUCT((Inputs!$A$5:$A$180=$B21)*ISNUMBER(INDEX(Inputs!$K$5:$AJ$180,0,MATCH(P$2,Inputs!$K$4:$AJ$4,0))))+SUMPRODUCT((Inputs!$C$5:$C$180=$B21)*ISNUMBER(INDEX(Inputs!$K$5:$AJ$180,0,MATCH(P$2,Inputs!$K$4:$AJ$4,0))))+SUMPRODUCT((Inputs!$E$5:$E$180=$B21)*ISNUMBER(INDEX(Inputs!$K$5:$AJ$180,0,MATCH(P$2,Inputs!$K$4:$AJ$4,0))))=0,NA(),SUMPRODUCT((Inputs!$A$5:$A$180=$B21)*Inputs!$B$5:$B$180*(((Inputs!$G$5:$G$180="moeda")+(Inputs!$G$5:$G$180="acoes"))*Inputs!$B$1+((Inputs!$G$5:$G$180&lt;&gt;"moeda")*(Inputs!$G$5:$G$180&lt;&gt;"acoes")))*INDEX(Inputs!$K$5:$AJ$180,0,MATCH(P$2,Inputs!$K$4:$AJ$4,0)))+SUMPRODUCT((Inputs!$C$5:$C$180=$B21)*Inputs!$D$5:$D$180*(((Inputs!$G$5:$G$180="moeda")+(Inputs!$G$5:$G$180="acoes"))*Inputs!$B$1+((Inputs!$G$5:$G$180&lt;&gt;"moeda")*(Inputs!$G$5:$G$180&lt;&gt;"acoes")))*INDEX(Inputs!$K$5:$AJ$180,0,MATCH(P$2,Inputs!$K$4:$AJ$4,0)))+SUMPRODUCT((Inputs!$E$5:$E$180=$B21)*Inputs!$F$5:$F$180*(((Inputs!$G$5:$G$180="moeda")+(Inputs!$G$5:$G$180="acoes"))*Inputs!$B$1+((Inputs!$G$5:$G$180&lt;&gt;"moeda")*(Inputs!$G$5:$G$180&lt;&gt;"acoes")))*INDEX(Inputs!$K$5:$AJ$180,0,MATCH(P$2,Inputs!$K$4:$AJ$4,0)))))</f>
        <v>68.26</v>
      </c>
      <c r="Q21" s="6">
        <f>IF(ISNA(MATCH(Q$2,Inputs!$K$4:$AJ$4,0)),NA(),IF(SUMPRODUCT((Inputs!$A$5:$A$180=$B21)*ISNUMBER(INDEX(Inputs!$K$5:$AJ$180,0,MATCH(Q$2,Inputs!$K$4:$AJ$4,0))))+SUMPRODUCT((Inputs!$C$5:$C$180=$B21)*ISNUMBER(INDEX(Inputs!$K$5:$AJ$180,0,MATCH(Q$2,Inputs!$K$4:$AJ$4,0))))+SUMPRODUCT((Inputs!$E$5:$E$180=$B21)*ISNUMBER(INDEX(Inputs!$K$5:$AJ$180,0,MATCH(Q$2,Inputs!$K$4:$AJ$4,0))))=0,NA(),SUMPRODUCT((Inputs!$A$5:$A$180=$B21)*Inputs!$B$5:$B$180*(((Inputs!$G$5:$G$180="moeda")+(Inputs!$G$5:$G$180="acoes"))*Inputs!$B$1+((Inputs!$G$5:$G$180&lt;&gt;"moeda")*(Inputs!$G$5:$G$180&lt;&gt;"acoes")))*INDEX(Inputs!$K$5:$AJ$180,0,MATCH(Q$2,Inputs!$K$4:$AJ$4,0)))+SUMPRODUCT((Inputs!$C$5:$C$180=$B21)*Inputs!$D$5:$D$180*(((Inputs!$G$5:$G$180="moeda")+(Inputs!$G$5:$G$180="acoes"))*Inputs!$B$1+((Inputs!$G$5:$G$180&lt;&gt;"moeda")*(Inputs!$G$5:$G$180&lt;&gt;"acoes")))*INDEX(Inputs!$K$5:$AJ$180,0,MATCH(Q$2,Inputs!$K$4:$AJ$4,0)))+SUMPRODUCT((Inputs!$E$5:$E$180=$B21)*Inputs!$F$5:$F$180*(((Inputs!$G$5:$G$180="moeda")+(Inputs!$G$5:$G$180="acoes"))*Inputs!$B$1+((Inputs!$G$5:$G$180&lt;&gt;"moeda")*(Inputs!$G$5:$G$180&lt;&gt;"acoes")))*INDEX(Inputs!$K$5:$AJ$180,0,MATCH(Q$2,Inputs!$K$4:$AJ$4,0)))))</f>
        <v>81.519</v>
      </c>
      <c r="R21" s="3">
        <f>Q21</f>
        <v>81.519</v>
      </c>
      <c r="S21" s="6">
        <f>IF(ISNA(MATCH(S$2,Inputs!$K$4:$AJ$4,0)),NA(),IF(SUMPRODUCT((Inputs!$A$5:$A$180=$B21)*ISNUMBER(INDEX(Inputs!$K$5:$AJ$180,0,MATCH(S$2,Inputs!$K$4:$AJ$4,0))))+SUMPRODUCT((Inputs!$C$5:$C$180=$B21)*ISNUMBER(INDEX(Inputs!$K$5:$AJ$180,0,MATCH(S$2,Inputs!$K$4:$AJ$4,0))))+SUMPRODUCT((Inputs!$E$5:$E$180=$B21)*ISNUMBER(INDEX(Inputs!$K$5:$AJ$180,0,MATCH(S$2,Inputs!$K$4:$AJ$4,0))))=0,NA(),SUMPRODUCT((Inputs!$A$5:$A$180=$B21)*Inputs!$B$5:$B$180*(((Inputs!$G$5:$G$180="moeda")+(Inputs!$G$5:$G$180="acoes"))*Inputs!$B$1+((Inputs!$G$5:$G$180&lt;&gt;"moeda")*(Inputs!$G$5:$G$180&lt;&gt;"acoes")))*INDEX(Inputs!$K$5:$AJ$180,0,MATCH(S$2,Inputs!$K$4:$AJ$4,0)))+SUMPRODUCT((Inputs!$C$5:$C$180=$B21)*Inputs!$D$5:$D$180*(((Inputs!$G$5:$G$180="moeda")+(Inputs!$G$5:$G$180="acoes"))*Inputs!$B$1+((Inputs!$G$5:$G$180&lt;&gt;"moeda")*(Inputs!$G$5:$G$180&lt;&gt;"acoes")))*INDEX(Inputs!$K$5:$AJ$180,0,MATCH(S$2,Inputs!$K$4:$AJ$4,0)))+SUMPRODUCT((Inputs!$E$5:$E$180=$B21)*Inputs!$F$5:$F$180*(((Inputs!$G$5:$G$180="moeda")+(Inputs!$G$5:$G$180="acoes"))*Inputs!$B$1+((Inputs!$G$5:$G$180&lt;&gt;"moeda")*(Inputs!$G$5:$G$180&lt;&gt;"acoes")))*INDEX(Inputs!$K$5:$AJ$180,0,MATCH(S$2,Inputs!$K$4:$AJ$4,0)))))</f>
        <v>69.005</v>
      </c>
      <c r="T21" s="6">
        <f>IF(ISNA(MATCH(T$2,Inputs!$K$4:$AJ$4,0)),NA(),IF(SUMPRODUCT((Inputs!$A$5:$A$180=$B21)*ISNUMBER(INDEX(Inputs!$K$5:$AJ$180,0,MATCH(T$2,Inputs!$K$4:$AJ$4,0))))+SUMPRODUCT((Inputs!$C$5:$C$180=$B21)*ISNUMBER(INDEX(Inputs!$K$5:$AJ$180,0,MATCH(T$2,Inputs!$K$4:$AJ$4,0))))+SUMPRODUCT((Inputs!$E$5:$E$180=$B21)*ISNUMBER(INDEX(Inputs!$K$5:$AJ$180,0,MATCH(T$2,Inputs!$K$4:$AJ$4,0))))=0,NA(),SUMPRODUCT((Inputs!$A$5:$A$180=$B21)*Inputs!$B$5:$B$180*(((Inputs!$G$5:$G$180="moeda")+(Inputs!$G$5:$G$180="acoes"))*Inputs!$B$1+((Inputs!$G$5:$G$180&lt;&gt;"moeda")*(Inputs!$G$5:$G$180&lt;&gt;"acoes")))*INDEX(Inputs!$K$5:$AJ$180,0,MATCH(T$2,Inputs!$K$4:$AJ$4,0)))+SUMPRODUCT((Inputs!$C$5:$C$180=$B21)*Inputs!$D$5:$D$180*(((Inputs!$G$5:$G$180="moeda")+(Inputs!$G$5:$G$180="acoes"))*Inputs!$B$1+((Inputs!$G$5:$G$180&lt;&gt;"moeda")*(Inputs!$G$5:$G$180&lt;&gt;"acoes")))*INDEX(Inputs!$K$5:$AJ$180,0,MATCH(T$2,Inputs!$K$4:$AJ$4,0)))+SUMPRODUCT((Inputs!$E$5:$E$180=$B21)*Inputs!$F$5:$F$180*(((Inputs!$G$5:$G$180="moeda")+(Inputs!$G$5:$G$180="acoes"))*Inputs!$B$1+((Inputs!$G$5:$G$180&lt;&gt;"moeda")*(Inputs!$G$5:$G$180&lt;&gt;"acoes")))*INDEX(Inputs!$K$5:$AJ$180,0,MATCH(T$2,Inputs!$K$4:$AJ$4,0)))))</f>
        <v>93.409</v>
      </c>
      <c r="U21" s="6">
        <f>IF(ISNA(MATCH(U$2,Inputs!$K$4:$AJ$4,0)),NA(),IF(SUMPRODUCT((Inputs!$A$5:$A$180=$B21)*ISNUMBER(INDEX(Inputs!$K$5:$AJ$180,0,MATCH(U$2,Inputs!$K$4:$AJ$4,0))))+SUMPRODUCT((Inputs!$C$5:$C$180=$B21)*ISNUMBER(INDEX(Inputs!$K$5:$AJ$180,0,MATCH(U$2,Inputs!$K$4:$AJ$4,0))))+SUMPRODUCT((Inputs!$E$5:$E$180=$B21)*ISNUMBER(INDEX(Inputs!$K$5:$AJ$180,0,MATCH(U$2,Inputs!$K$4:$AJ$4,0))))=0,NA(),SUMPRODUCT((Inputs!$A$5:$A$180=$B21)*Inputs!$B$5:$B$180*(((Inputs!$G$5:$G$180="moeda")+(Inputs!$G$5:$G$180="acoes"))*Inputs!$B$1+((Inputs!$G$5:$G$180&lt;&gt;"moeda")*(Inputs!$G$5:$G$180&lt;&gt;"acoes")))*INDEX(Inputs!$K$5:$AJ$180,0,MATCH(U$2,Inputs!$K$4:$AJ$4,0)))+SUMPRODUCT((Inputs!$C$5:$C$180=$B21)*Inputs!$D$5:$D$180*(((Inputs!$G$5:$G$180="moeda")+(Inputs!$G$5:$G$180="acoes"))*Inputs!$B$1+((Inputs!$G$5:$G$180&lt;&gt;"moeda")*(Inputs!$G$5:$G$180&lt;&gt;"acoes")))*INDEX(Inputs!$K$5:$AJ$180,0,MATCH(U$2,Inputs!$K$4:$AJ$4,0)))+SUMPRODUCT((Inputs!$E$5:$E$180=$B21)*Inputs!$F$5:$F$180*(((Inputs!$G$5:$G$180="moeda")+(Inputs!$G$5:$G$180="acoes"))*Inputs!$B$1+((Inputs!$G$5:$G$180&lt;&gt;"moeda")*(Inputs!$G$5:$G$180&lt;&gt;"acoes")))*INDEX(Inputs!$K$5:$AJ$180,0,MATCH(U$2,Inputs!$K$4:$AJ$4,0)))))</f>
        <v>100.357</v>
      </c>
      <c r="V21" s="6">
        <f>IF(ISNA(MATCH(V$2,Inputs!$K$4:$AJ$4,0)),NA(),IF(SUMPRODUCT((Inputs!$A$5:$A$180=$B21)*ISNUMBER(INDEX(Inputs!$K$5:$AJ$180,0,MATCH(V$2,Inputs!$K$4:$AJ$4,0))))+SUMPRODUCT((Inputs!$C$5:$C$180=$B21)*ISNUMBER(INDEX(Inputs!$K$5:$AJ$180,0,MATCH(V$2,Inputs!$K$4:$AJ$4,0))))+SUMPRODUCT((Inputs!$E$5:$E$180=$B21)*ISNUMBER(INDEX(Inputs!$K$5:$AJ$180,0,MATCH(V$2,Inputs!$K$4:$AJ$4,0))))=0,NA(),SUMPRODUCT((Inputs!$A$5:$A$180=$B21)*Inputs!$B$5:$B$180*(((Inputs!$G$5:$G$180="moeda")+(Inputs!$G$5:$G$180="acoes"))*Inputs!$B$1+((Inputs!$G$5:$G$180&lt;&gt;"moeda")*(Inputs!$G$5:$G$180&lt;&gt;"acoes")))*INDEX(Inputs!$K$5:$AJ$180,0,MATCH(V$2,Inputs!$K$4:$AJ$4,0)))+SUMPRODUCT((Inputs!$C$5:$C$180=$B21)*Inputs!$D$5:$D$180*(((Inputs!$G$5:$G$180="moeda")+(Inputs!$G$5:$G$180="acoes"))*Inputs!$B$1+((Inputs!$G$5:$G$180&lt;&gt;"moeda")*(Inputs!$G$5:$G$180&lt;&gt;"acoes")))*INDEX(Inputs!$K$5:$AJ$180,0,MATCH(V$2,Inputs!$K$4:$AJ$4,0)))+SUMPRODUCT((Inputs!$E$5:$E$180=$B21)*Inputs!$F$5:$F$180*(((Inputs!$G$5:$G$180="moeda")+(Inputs!$G$5:$G$180="acoes"))*Inputs!$B$1+((Inputs!$G$5:$G$180&lt;&gt;"moeda")*(Inputs!$G$5:$G$180&lt;&gt;"acoes")))*INDEX(Inputs!$K$5:$AJ$180,0,MATCH(V$2,Inputs!$K$4:$AJ$4,0)))))</f>
        <v>81.91</v>
      </c>
      <c r="W21" s="3">
        <f>V21</f>
        <v>81.91</v>
      </c>
      <c r="X21" s="6">
        <f>IF(ISNA(MATCH(X$2,Inputs!$K$4:$AJ$4,0)),NA(),IF(SUMPRODUCT((Inputs!$A$5:$A$180=$B21)*ISNUMBER(INDEX(Inputs!$K$5:$AJ$180,0,MATCH(X$2,Inputs!$K$4:$AJ$4,0))))+SUMPRODUCT((Inputs!$C$5:$C$180=$B21)*ISNUMBER(INDEX(Inputs!$K$5:$AJ$180,0,MATCH(X$2,Inputs!$K$4:$AJ$4,0))))+SUMPRODUCT((Inputs!$E$5:$E$180=$B21)*ISNUMBER(INDEX(Inputs!$K$5:$AJ$180,0,MATCH(X$2,Inputs!$K$4:$AJ$4,0))))=0,NA(),SUMPRODUCT((Inputs!$A$5:$A$180=$B21)*Inputs!$B$5:$B$180*(((Inputs!$G$5:$G$180="moeda")+(Inputs!$G$5:$G$180="acoes"))*Inputs!$B$1+((Inputs!$G$5:$G$180&lt;&gt;"moeda")*(Inputs!$G$5:$G$180&lt;&gt;"acoes")))*INDEX(Inputs!$K$5:$AJ$180,0,MATCH(X$2,Inputs!$K$4:$AJ$4,0)))+SUMPRODUCT((Inputs!$C$5:$C$180=$B21)*Inputs!$D$5:$D$180*(((Inputs!$G$5:$G$180="moeda")+(Inputs!$G$5:$G$180="acoes"))*Inputs!$B$1+((Inputs!$G$5:$G$180&lt;&gt;"moeda")*(Inputs!$G$5:$G$180&lt;&gt;"acoes")))*INDEX(Inputs!$K$5:$AJ$180,0,MATCH(X$2,Inputs!$K$4:$AJ$4,0)))+SUMPRODUCT((Inputs!$E$5:$E$180=$B21)*Inputs!$F$5:$F$180*(((Inputs!$G$5:$G$180="moeda")+(Inputs!$G$5:$G$180="acoes"))*Inputs!$B$1+((Inputs!$G$5:$G$180&lt;&gt;"moeda")*(Inputs!$G$5:$G$180&lt;&gt;"acoes")))*INDEX(Inputs!$K$5:$AJ$180,0,MATCH(X$2,Inputs!$K$4:$AJ$4,0)))))</f>
        <v>102.201544</v>
      </c>
      <c r="Y21" s="6">
        <f>IF(ISNA(MATCH(Y$2,Inputs!$K$4:$AJ$4,0)),NA(),IF(SUMPRODUCT((Inputs!$A$5:$A$180=$B21)*ISNUMBER(INDEX(Inputs!$K$5:$AJ$180,0,MATCH(Y$2,Inputs!$K$4:$AJ$4,0))))+SUMPRODUCT((Inputs!$C$5:$C$180=$B21)*ISNUMBER(INDEX(Inputs!$K$5:$AJ$180,0,MATCH(Y$2,Inputs!$K$4:$AJ$4,0))))+SUMPRODUCT((Inputs!$E$5:$E$180=$B21)*ISNUMBER(INDEX(Inputs!$K$5:$AJ$180,0,MATCH(Y$2,Inputs!$K$4:$AJ$4,0))))=0,NA(),SUMPRODUCT((Inputs!$A$5:$A$180=$B21)*Inputs!$B$5:$B$180*(((Inputs!$G$5:$G$180="moeda")+(Inputs!$G$5:$G$180="acoes"))*Inputs!$B$1+((Inputs!$G$5:$G$180&lt;&gt;"moeda")*(Inputs!$G$5:$G$180&lt;&gt;"acoes")))*INDEX(Inputs!$K$5:$AJ$180,0,MATCH(Y$2,Inputs!$K$4:$AJ$4,0)))+SUMPRODUCT((Inputs!$C$5:$C$180=$B21)*Inputs!$D$5:$D$180*(((Inputs!$G$5:$G$180="moeda")+(Inputs!$G$5:$G$180="acoes"))*Inputs!$B$1+((Inputs!$G$5:$G$180&lt;&gt;"moeda")*(Inputs!$G$5:$G$180&lt;&gt;"acoes")))*INDEX(Inputs!$K$5:$AJ$180,0,MATCH(Y$2,Inputs!$K$4:$AJ$4,0)))+SUMPRODUCT((Inputs!$E$5:$E$180=$B21)*Inputs!$F$5:$F$180*(((Inputs!$G$5:$G$180="moeda")+(Inputs!$G$5:$G$180="acoes"))*Inputs!$B$1+((Inputs!$G$5:$G$180&lt;&gt;"moeda")*(Inputs!$G$5:$G$180&lt;&gt;"acoes")))*INDEX(Inputs!$K$5:$AJ$180,0,MATCH(Y$2,Inputs!$K$4:$AJ$4,0)))))</f>
        <v>241.834</v>
      </c>
      <c r="Z21" s="6">
        <f>IF(ISNA(MATCH(Z$2,Inputs!$K$4:$AJ$4,0)),NA(),IF(SUMPRODUCT((Inputs!$A$5:$A$180=$B21)*ISNUMBER(INDEX(Inputs!$K$5:$AJ$180,0,MATCH(Z$2,Inputs!$K$4:$AJ$4,0))))+SUMPRODUCT((Inputs!$C$5:$C$180=$B21)*ISNUMBER(INDEX(Inputs!$K$5:$AJ$180,0,MATCH(Z$2,Inputs!$K$4:$AJ$4,0))))+SUMPRODUCT((Inputs!$E$5:$E$180=$B21)*ISNUMBER(INDEX(Inputs!$K$5:$AJ$180,0,MATCH(Z$2,Inputs!$K$4:$AJ$4,0))))=0,NA(),SUMPRODUCT((Inputs!$A$5:$A$180=$B21)*Inputs!$B$5:$B$180*(((Inputs!$G$5:$G$180="moeda")+(Inputs!$G$5:$G$180="acoes"))*Inputs!$B$1+((Inputs!$G$5:$G$180&lt;&gt;"moeda")*(Inputs!$G$5:$G$180&lt;&gt;"acoes")))*INDEX(Inputs!$K$5:$AJ$180,0,MATCH(Z$2,Inputs!$K$4:$AJ$4,0)))+SUMPRODUCT((Inputs!$C$5:$C$180=$B21)*Inputs!$D$5:$D$180*(((Inputs!$G$5:$G$180="moeda")+(Inputs!$G$5:$G$180="acoes"))*Inputs!$B$1+((Inputs!$G$5:$G$180&lt;&gt;"moeda")*(Inputs!$G$5:$G$180&lt;&gt;"acoes")))*INDEX(Inputs!$K$5:$AJ$180,0,MATCH(Z$2,Inputs!$K$4:$AJ$4,0)))+SUMPRODUCT((Inputs!$E$5:$E$180=$B21)*Inputs!$F$5:$F$180*(((Inputs!$G$5:$G$180="moeda")+(Inputs!$G$5:$G$180="acoes"))*Inputs!$B$1+((Inputs!$G$5:$G$180&lt;&gt;"moeda")*(Inputs!$G$5:$G$180&lt;&gt;"acoes")))*INDEX(Inputs!$K$5:$AJ$180,0,MATCH(Z$2,Inputs!$K$4:$AJ$4,0)))))</f>
        <v>109.652</v>
      </c>
      <c r="AA21" s="6">
        <f>IF(ISNA(MATCH(AA$2,Inputs!$K$4:$AJ$4,0)),NA(),IF(SUMPRODUCT((Inputs!$A$5:$A$180=$B21)*ISNUMBER(INDEX(Inputs!$K$5:$AJ$180,0,MATCH(AA$2,Inputs!$K$4:$AJ$4,0))))+SUMPRODUCT((Inputs!$C$5:$C$180=$B21)*ISNUMBER(INDEX(Inputs!$K$5:$AJ$180,0,MATCH(AA$2,Inputs!$K$4:$AJ$4,0))))+SUMPRODUCT((Inputs!$E$5:$E$180=$B21)*ISNUMBER(INDEX(Inputs!$K$5:$AJ$180,0,MATCH(AA$2,Inputs!$K$4:$AJ$4,0))))=0,NA(),SUMPRODUCT((Inputs!$A$5:$A$180=$B21)*Inputs!$B$5:$B$180*(((Inputs!$G$5:$G$180="moeda")+(Inputs!$G$5:$G$180="acoes"))*Inputs!$B$1+((Inputs!$G$5:$G$180&lt;&gt;"moeda")*(Inputs!$G$5:$G$180&lt;&gt;"acoes")))*INDEX(Inputs!$K$5:$AJ$180,0,MATCH(AA$2,Inputs!$K$4:$AJ$4,0)))+SUMPRODUCT((Inputs!$C$5:$C$180=$B21)*Inputs!$D$5:$D$180*(((Inputs!$G$5:$G$180="moeda")+(Inputs!$G$5:$G$180="acoes"))*Inputs!$B$1+((Inputs!$G$5:$G$180&lt;&gt;"moeda")*(Inputs!$G$5:$G$180&lt;&gt;"acoes")))*INDEX(Inputs!$K$5:$AJ$180,0,MATCH(AA$2,Inputs!$K$4:$AJ$4,0)))+SUMPRODUCT((Inputs!$E$5:$E$180=$B21)*Inputs!$F$5:$F$180*(((Inputs!$G$5:$G$180="moeda")+(Inputs!$G$5:$G$180="acoes"))*Inputs!$B$1+((Inputs!$G$5:$G$180&lt;&gt;"moeda")*(Inputs!$G$5:$G$180&lt;&gt;"acoes")))*INDEX(Inputs!$K$5:$AJ$180,0,MATCH(AA$2,Inputs!$K$4:$AJ$4,0)))))</f>
        <v>111.772</v>
      </c>
      <c r="AB21" s="3">
        <f>AA21</f>
        <v>111.772</v>
      </c>
      <c r="AC21" s="6">
        <f>IF(ISNA(MATCH(AC$2,Inputs!$K$4:$AJ$4,0)),NA(),IF(SUMPRODUCT((Inputs!$A$5:$A$180=$B21)*ISNUMBER(INDEX(Inputs!$K$5:$AJ$180,0,MATCH(AC$2,Inputs!$K$4:$AJ$4,0))))+SUMPRODUCT((Inputs!$C$5:$C$180=$B21)*ISNUMBER(INDEX(Inputs!$K$5:$AJ$180,0,MATCH(AC$2,Inputs!$K$4:$AJ$4,0))))+SUMPRODUCT((Inputs!$E$5:$E$180=$B21)*ISNUMBER(INDEX(Inputs!$K$5:$AJ$180,0,MATCH(AC$2,Inputs!$K$4:$AJ$4,0))))=0,NA(),SUMPRODUCT((Inputs!$A$5:$A$180=$B21)*Inputs!$B$5:$B$180*(((Inputs!$G$5:$G$180="moeda")+(Inputs!$G$5:$G$180="acoes"))*Inputs!$B$1+((Inputs!$G$5:$G$180&lt;&gt;"moeda")*(Inputs!$G$5:$G$180&lt;&gt;"acoes")))*INDEX(Inputs!$K$5:$AJ$180,0,MATCH(AC$2,Inputs!$K$4:$AJ$4,0)))+SUMPRODUCT((Inputs!$C$5:$C$180=$B21)*Inputs!$D$5:$D$180*(((Inputs!$G$5:$G$180="moeda")+(Inputs!$G$5:$G$180="acoes"))*Inputs!$B$1+((Inputs!$G$5:$G$180&lt;&gt;"moeda")*(Inputs!$G$5:$G$180&lt;&gt;"acoes")))*INDEX(Inputs!$K$5:$AJ$180,0,MATCH(AC$2,Inputs!$K$4:$AJ$4,0)))+SUMPRODUCT((Inputs!$E$5:$E$180=$B21)*Inputs!$F$5:$F$180*(((Inputs!$G$5:$G$180="moeda")+(Inputs!$G$5:$G$180="acoes"))*Inputs!$B$1+((Inputs!$G$5:$G$180&lt;&gt;"moeda")*(Inputs!$G$5:$G$180&lt;&gt;"acoes")))*INDEX(Inputs!$K$5:$AJ$180,0,MATCH(AC$2,Inputs!$K$4:$AJ$4,0)))))</f>
        <v>105.85</v>
      </c>
      <c r="AD21" s="6">
        <f>IF(ISNA(MATCH(AD$2,Inputs!$K$4:$AJ$4,0)),NA(),IF(SUMPRODUCT((Inputs!$A$5:$A$180=$B21)*ISNUMBER(INDEX(Inputs!$K$5:$AJ$180,0,MATCH(AD$2,Inputs!$K$4:$AJ$4,0))))+SUMPRODUCT((Inputs!$C$5:$C$180=$B21)*ISNUMBER(INDEX(Inputs!$K$5:$AJ$180,0,MATCH(AD$2,Inputs!$K$4:$AJ$4,0))))+SUMPRODUCT((Inputs!$E$5:$E$180=$B21)*ISNUMBER(INDEX(Inputs!$K$5:$AJ$180,0,MATCH(AD$2,Inputs!$K$4:$AJ$4,0))))=0,NA(),SUMPRODUCT((Inputs!$A$5:$A$180=$B21)*Inputs!$B$5:$B$180*(((Inputs!$G$5:$G$180="moeda")+(Inputs!$G$5:$G$180="acoes"))*Inputs!$B$1+((Inputs!$G$5:$G$180&lt;&gt;"moeda")*(Inputs!$G$5:$G$180&lt;&gt;"acoes")))*INDEX(Inputs!$K$5:$AJ$180,0,MATCH(AD$2,Inputs!$K$4:$AJ$4,0)))+SUMPRODUCT((Inputs!$C$5:$C$180=$B21)*Inputs!$D$5:$D$180*(((Inputs!$G$5:$G$180="moeda")+(Inputs!$G$5:$G$180="acoes"))*Inputs!$B$1+((Inputs!$G$5:$G$180&lt;&gt;"moeda")*(Inputs!$G$5:$G$180&lt;&gt;"acoes")))*INDEX(Inputs!$K$5:$AJ$180,0,MATCH(AD$2,Inputs!$K$4:$AJ$4,0)))+SUMPRODUCT((Inputs!$E$5:$E$180=$B21)*Inputs!$F$5:$F$180*(((Inputs!$G$5:$G$180="moeda")+(Inputs!$G$5:$G$180="acoes"))*Inputs!$B$1+((Inputs!$G$5:$G$180&lt;&gt;"moeda")*(Inputs!$G$5:$G$180&lt;&gt;"acoes")))*INDEX(Inputs!$K$5:$AJ$180,0,MATCH(AD$2,Inputs!$K$4:$AJ$4,0)))))</f>
        <v>169.324</v>
      </c>
      <c r="AE21" s="6" t="e">
        <f>IF(ISNA(MATCH(AE$2,Inputs!$K$4:$AJ$4,0)),NA(),IF(SUMPRODUCT((Inputs!$A$5:$A$180=$B21)*ISNUMBER(INDEX(Inputs!$K$5:$AJ$180,0,MATCH(AE$2,Inputs!$K$4:$AJ$4,0))))+SUMPRODUCT((Inputs!$C$5:$C$180=$B21)*ISNUMBER(INDEX(Inputs!$K$5:$AJ$180,0,MATCH(AE$2,Inputs!$K$4:$AJ$4,0))))+SUMPRODUCT((Inputs!$E$5:$E$180=$B21)*ISNUMBER(INDEX(Inputs!$K$5:$AJ$180,0,MATCH(AE$2,Inputs!$K$4:$AJ$4,0))))=0,NA(),SUMPRODUCT((Inputs!$A$5:$A$180=$B21)*Inputs!$B$5:$B$180*(((Inputs!$G$5:$G$180="moeda")+(Inputs!$G$5:$G$180="acoes"))*Inputs!$B$1+((Inputs!$G$5:$G$180&lt;&gt;"moeda")*(Inputs!$G$5:$G$180&lt;&gt;"acoes")))*INDEX(Inputs!$K$5:$AJ$180,0,MATCH(AE$2,Inputs!$K$4:$AJ$4,0)))+SUMPRODUCT((Inputs!$C$5:$C$180=$B21)*Inputs!$D$5:$D$180*(((Inputs!$G$5:$G$180="moeda")+(Inputs!$G$5:$G$180="acoes"))*Inputs!$B$1+((Inputs!$G$5:$G$180&lt;&gt;"moeda")*(Inputs!$G$5:$G$180&lt;&gt;"acoes")))*INDEX(Inputs!$K$5:$AJ$180,0,MATCH(AE$2,Inputs!$K$4:$AJ$4,0)))+SUMPRODUCT((Inputs!$E$5:$E$180=$B21)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1" s="6" t="e">
        <f>IF(ISNA(MATCH(AF$2,Inputs!$K$4:$AJ$4,0)),NA(),IF(SUMPRODUCT((Inputs!$A$5:$A$180=$B21)*ISNUMBER(INDEX(Inputs!$K$5:$AJ$180,0,MATCH(AF$2,Inputs!$K$4:$AJ$4,0))))+SUMPRODUCT((Inputs!$C$5:$C$180=$B21)*ISNUMBER(INDEX(Inputs!$K$5:$AJ$180,0,MATCH(AF$2,Inputs!$K$4:$AJ$4,0))))+SUMPRODUCT((Inputs!$E$5:$E$180=$B21)*ISNUMBER(INDEX(Inputs!$K$5:$AJ$180,0,MATCH(AF$2,Inputs!$K$4:$AJ$4,0))))=0,NA(),SUMPRODUCT((Inputs!$A$5:$A$180=$B21)*Inputs!$B$5:$B$180*(((Inputs!$G$5:$G$180="moeda")+(Inputs!$G$5:$G$180="acoes"))*Inputs!$B$1+((Inputs!$G$5:$G$180&lt;&gt;"moeda")*(Inputs!$G$5:$G$180&lt;&gt;"acoes")))*INDEX(Inputs!$K$5:$AJ$180,0,MATCH(AF$2,Inputs!$K$4:$AJ$4,0)))+SUMPRODUCT((Inputs!$C$5:$C$180=$B21)*Inputs!$D$5:$D$180*(((Inputs!$G$5:$G$180="moeda")+(Inputs!$G$5:$G$180="acoes"))*Inputs!$B$1+((Inputs!$G$5:$G$180&lt;&gt;"moeda")*(Inputs!$G$5:$G$180&lt;&gt;"acoes")))*INDEX(Inputs!$K$5:$AJ$180,0,MATCH(AF$2,Inputs!$K$4:$AJ$4,0)))+SUMPRODUCT((Inputs!$E$5:$E$180=$B21)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1" s="3" t="e">
        <f>AF21</f>
        <v>#N/A</v>
      </c>
      <c r="AH21" s="6">
        <f>IF(ISNA(MATCH(AH$2,Inputs!$K$4:$AJ$4,0)),NA(),IF(SUMPRODUCT((Inputs!$A$5:$A$180=$B21)*ISNUMBER(INDEX(Inputs!$K$5:$AJ$180,0,MATCH(AH$2,Inputs!$K$4:$AJ$4,0))))+SUMPRODUCT((Inputs!$C$5:$C$180=$B21)*ISNUMBER(INDEX(Inputs!$K$5:$AJ$180,0,MATCH(AH$2,Inputs!$K$4:$AJ$4,0))))+SUMPRODUCT((Inputs!$E$5:$E$180=$B21)*ISNUMBER(INDEX(Inputs!$K$5:$AJ$180,0,MATCH(AH$2,Inputs!$K$4:$AJ$4,0))))=0,NA(),SUMPRODUCT((Inputs!$A$5:$A$180=$B21)*Inputs!$B$5:$B$180*(((Inputs!$G$5:$G$180="moeda")+(Inputs!$G$5:$G$180="acoes"))*Inputs!$B$1+((Inputs!$G$5:$G$180&lt;&gt;"moeda")*(Inputs!$G$5:$G$180&lt;&gt;"acoes")))*INDEX(Inputs!$K$5:$AJ$180,0,MATCH(AH$2,Inputs!$K$4:$AJ$4,0)))+SUMPRODUCT((Inputs!$C$5:$C$180=$B21)*Inputs!$D$5:$D$180*(((Inputs!$G$5:$G$180="moeda")+(Inputs!$G$5:$G$180="acoes"))*Inputs!$B$1+((Inputs!$G$5:$G$180&lt;&gt;"moeda")*(Inputs!$G$5:$G$180&lt;&gt;"acoes")))*INDEX(Inputs!$K$5:$AJ$180,0,MATCH(AH$2,Inputs!$K$4:$AJ$4,0)))+SUMPRODUCT((Inputs!$E$5:$E$180=$B21)*Inputs!$F$5:$F$180*(((Inputs!$G$5:$G$180="moeda")+(Inputs!$G$5:$G$180="acoes"))*Inputs!$B$1+((Inputs!$G$5:$G$180&lt;&gt;"moeda")*(Inputs!$G$5:$G$180&lt;&gt;"acoes")))*INDEX(Inputs!$K$5:$AJ$180,0,MATCH(AH$2,Inputs!$K$4:$AJ$4,0)))))</f>
        <v>17.5695489861008</v>
      </c>
      <c r="AI21" s="6">
        <f>IF(ISNA(MATCH(AI$2,Inputs!$K$4:$AJ$4,0)),NA(),IF(SUMPRODUCT((Inputs!$A$5:$A$180=$B21)*ISNUMBER(INDEX(Inputs!$K$5:$AJ$180,0,MATCH(AI$2,Inputs!$K$4:$AJ$4,0))))+SUMPRODUCT((Inputs!$C$5:$C$180=$B21)*ISNUMBER(INDEX(Inputs!$K$5:$AJ$180,0,MATCH(AI$2,Inputs!$K$4:$AJ$4,0))))+SUMPRODUCT((Inputs!$E$5:$E$180=$B21)*ISNUMBER(INDEX(Inputs!$K$5:$AJ$180,0,MATCH(AI$2,Inputs!$K$4:$AJ$4,0))))=0,NA(),SUMPRODUCT((Inputs!$A$5:$A$180=$B21)*Inputs!$B$5:$B$180*(((Inputs!$G$5:$G$180="moeda")+(Inputs!$G$5:$G$180="acoes"))*Inputs!$B$1+((Inputs!$G$5:$G$180&lt;&gt;"moeda")*(Inputs!$G$5:$G$180&lt;&gt;"acoes")))*INDEX(Inputs!$K$5:$AJ$180,0,MATCH(AI$2,Inputs!$K$4:$AJ$4,0)))+SUMPRODUCT((Inputs!$C$5:$C$180=$B21)*Inputs!$D$5:$D$180*(((Inputs!$G$5:$G$180="moeda")+(Inputs!$G$5:$G$180="acoes"))*Inputs!$B$1+((Inputs!$G$5:$G$180&lt;&gt;"moeda")*(Inputs!$G$5:$G$180&lt;&gt;"acoes")))*INDEX(Inputs!$K$5:$AJ$180,0,MATCH(AI$2,Inputs!$K$4:$AJ$4,0)))+SUMPRODUCT((Inputs!$E$5:$E$180=$B21)*Inputs!$F$5:$F$180*(((Inputs!$G$5:$G$180="moeda")+(Inputs!$G$5:$G$180="acoes"))*Inputs!$B$1+((Inputs!$G$5:$G$180&lt;&gt;"moeda")*(Inputs!$G$5:$G$180&lt;&gt;"acoes")))*INDEX(Inputs!$K$5:$AJ$180,0,MATCH(AI$2,Inputs!$K$4:$AJ$4,0)))))</f>
        <v>18.0742044236336</v>
      </c>
      <c r="AJ21" s="6">
        <f>IF(ISNA(MATCH(AJ$2,Inputs!$K$4:$AJ$4,0)),NA(),IF(SUMPRODUCT((Inputs!$A$5:$A$180=$B21)*ISNUMBER(INDEX(Inputs!$K$5:$AJ$180,0,MATCH(AJ$2,Inputs!$K$4:$AJ$4,0))))+SUMPRODUCT((Inputs!$C$5:$C$180=$B21)*ISNUMBER(INDEX(Inputs!$K$5:$AJ$180,0,MATCH(AJ$2,Inputs!$K$4:$AJ$4,0))))+SUMPRODUCT((Inputs!$E$5:$E$180=$B21)*ISNUMBER(INDEX(Inputs!$K$5:$AJ$180,0,MATCH(AJ$2,Inputs!$K$4:$AJ$4,0))))=0,NA(),SUMPRODUCT((Inputs!$A$5:$A$180=$B21)*Inputs!$B$5:$B$180*(((Inputs!$G$5:$G$180="moeda")+(Inputs!$G$5:$G$180="acoes"))*Inputs!$B$1+((Inputs!$G$5:$G$180&lt;&gt;"moeda")*(Inputs!$G$5:$G$180&lt;&gt;"acoes")))*INDEX(Inputs!$K$5:$AJ$180,0,MATCH(AJ$2,Inputs!$K$4:$AJ$4,0)))+SUMPRODUCT((Inputs!$C$5:$C$180=$B21)*Inputs!$D$5:$D$180*(((Inputs!$G$5:$G$180="moeda")+(Inputs!$G$5:$G$180="acoes"))*Inputs!$B$1+((Inputs!$G$5:$G$180&lt;&gt;"moeda")*(Inputs!$G$5:$G$180&lt;&gt;"acoes")))*INDEX(Inputs!$K$5:$AJ$180,0,MATCH(AJ$2,Inputs!$K$4:$AJ$4,0)))+SUMPRODUCT((Inputs!$E$5:$E$180=$B21)*Inputs!$F$5:$F$180*(((Inputs!$G$5:$G$180="moeda")+(Inputs!$G$5:$G$180="acoes"))*Inputs!$B$1+((Inputs!$G$5:$G$180&lt;&gt;"moeda")*(Inputs!$G$5:$G$180&lt;&gt;"acoes")))*INDEX(Inputs!$K$5:$AJ$180,0,MATCH(AJ$2,Inputs!$K$4:$AJ$4,0)))))</f>
        <v>23.1600065860319</v>
      </c>
      <c r="AK21" s="6">
        <f>IF(ISNA(MATCH(AK$2,Inputs!$K$4:$AJ$4,0)),NA(),IF(SUMPRODUCT((Inputs!$A$5:$A$180=$B21)*ISNUMBER(INDEX(Inputs!$K$5:$AJ$180,0,MATCH(AK$2,Inputs!$K$4:$AJ$4,0))))+SUMPRODUCT((Inputs!$C$5:$C$180=$B21)*ISNUMBER(INDEX(Inputs!$K$5:$AJ$180,0,MATCH(AK$2,Inputs!$K$4:$AJ$4,0))))+SUMPRODUCT((Inputs!$E$5:$E$180=$B21)*ISNUMBER(INDEX(Inputs!$K$5:$AJ$180,0,MATCH(AK$2,Inputs!$K$4:$AJ$4,0))))=0,NA(),SUMPRODUCT((Inputs!$A$5:$A$180=$B21)*Inputs!$B$5:$B$180*(((Inputs!$G$5:$G$180="moeda")+(Inputs!$G$5:$G$180="acoes"))*Inputs!$B$1+((Inputs!$G$5:$G$180&lt;&gt;"moeda")*(Inputs!$G$5:$G$180&lt;&gt;"acoes")))*INDEX(Inputs!$K$5:$AJ$180,0,MATCH(AK$2,Inputs!$K$4:$AJ$4,0)))+SUMPRODUCT((Inputs!$C$5:$C$180=$B21)*Inputs!$D$5:$D$180*(((Inputs!$G$5:$G$180="moeda")+(Inputs!$G$5:$G$180="acoes"))*Inputs!$B$1+((Inputs!$G$5:$G$180&lt;&gt;"moeda")*(Inputs!$G$5:$G$180&lt;&gt;"acoes")))*INDEX(Inputs!$K$5:$AJ$180,0,MATCH(AK$2,Inputs!$K$4:$AJ$4,0)))+SUMPRODUCT((Inputs!$E$5:$E$180=$B21)*Inputs!$F$5:$F$180*(((Inputs!$G$5:$G$180="moeda")+(Inputs!$G$5:$G$180="acoes"))*Inputs!$B$1+((Inputs!$G$5:$G$180&lt;&gt;"moeda")*(Inputs!$G$5:$G$180&lt;&gt;"acoes")))*INDEX(Inputs!$K$5:$AJ$180,0,MATCH(AK$2,Inputs!$K$4:$AJ$4,0)))))</f>
        <v>34.3720942828173</v>
      </c>
      <c r="AL21" s="3">
        <f>AK21</f>
        <v>34.3720942828173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$180=$B22)*ISNUMBER(INDEX(Inputs!$K$5:$AJ$180,0,MATCH(D$2,Inputs!$K$4:$AJ$4,0))))+SUMPRODUCT((Inputs!$C$5:$C$180=$B22)*ISNUMBER(INDEX(Inputs!$K$5:$AJ$180,0,MATCH(D$2,Inputs!$K$4:$AJ$4,0))))+SUMPRODUCT((Inputs!$E$5:$E$180=$B22)*ISNUMBER(INDEX(Inputs!$K$5:$AJ$180,0,MATCH(D$2,Inputs!$K$4:$AJ$4,0))))=0,NA(),SUMPRODUCT((Inputs!$A$5:$A$180=$B22)*Inputs!$B$5:$B$180*(((Inputs!$G$5:$G$180="moeda")+(Inputs!$G$5:$G$180="acoes"))*Inputs!$B$1+((Inputs!$G$5:$G$180&lt;&gt;"moeda")*(Inputs!$G$5:$G$180&lt;&gt;"acoes")))*INDEX(Inputs!$K$5:$AJ$180,0,MATCH(D$2,Inputs!$K$4:$AJ$4,0)))+SUMPRODUCT((Inputs!$C$5:$C$180=$B22)*Inputs!$D$5:$D$180*(((Inputs!$G$5:$G$180="moeda")+(Inputs!$G$5:$G$180="acoes"))*Inputs!$B$1+((Inputs!$G$5:$G$180&lt;&gt;"moeda")*(Inputs!$G$5:$G$180&lt;&gt;"acoes")))*INDEX(Inputs!$K$5:$AJ$180,0,MATCH(D$2,Inputs!$K$4:$AJ$4,0)))+SUMPRODUCT((Inputs!$E$5:$E$180=$B22)*Inputs!$F$5:$F$180*(((Inputs!$G$5:$G$180="moeda")+(Inputs!$G$5:$G$180="acoes"))*Inputs!$B$1+((Inputs!$G$5:$G$180&lt;&gt;"moeda")*(Inputs!$G$5:$G$180&lt;&gt;"acoes")))*INDEX(Inputs!$K$5:$AJ$180,0,MATCH(D$2,Inputs!$K$4:$AJ$4,0)))))</f>
        <v>690.647707332069</v>
      </c>
      <c r="E22" s="6">
        <f>IF(ISNA(MATCH(E$2,Inputs!$K$4:$AJ$4,0)),NA(),IF(SUMPRODUCT((Inputs!$A$5:$A$180=$B22)*ISNUMBER(INDEX(Inputs!$K$5:$AJ$180,0,MATCH(E$2,Inputs!$K$4:$AJ$4,0))))+SUMPRODUCT((Inputs!$C$5:$C$180=$B22)*ISNUMBER(INDEX(Inputs!$K$5:$AJ$180,0,MATCH(E$2,Inputs!$K$4:$AJ$4,0))))+SUMPRODUCT((Inputs!$E$5:$E$180=$B22)*ISNUMBER(INDEX(Inputs!$K$5:$AJ$180,0,MATCH(E$2,Inputs!$K$4:$AJ$4,0))))=0,NA(),SUMPRODUCT((Inputs!$A$5:$A$180=$B22)*Inputs!$B$5:$B$180*(((Inputs!$G$5:$G$180="moeda")+(Inputs!$G$5:$G$180="acoes"))*Inputs!$B$1+((Inputs!$G$5:$G$180&lt;&gt;"moeda")*(Inputs!$G$5:$G$180&lt;&gt;"acoes")))*INDEX(Inputs!$K$5:$AJ$180,0,MATCH(E$2,Inputs!$K$4:$AJ$4,0)))+SUMPRODUCT((Inputs!$C$5:$C$180=$B22)*Inputs!$D$5:$D$180*(((Inputs!$G$5:$G$180="moeda")+(Inputs!$G$5:$G$180="acoes"))*Inputs!$B$1+((Inputs!$G$5:$G$180&lt;&gt;"moeda")*(Inputs!$G$5:$G$180&lt;&gt;"acoes")))*INDEX(Inputs!$K$5:$AJ$180,0,MATCH(E$2,Inputs!$K$4:$AJ$4,0)))+SUMPRODUCT((Inputs!$E$5:$E$180=$B22)*Inputs!$F$5:$F$180*(((Inputs!$G$5:$G$180="moeda")+(Inputs!$G$5:$G$180="acoes"))*Inputs!$B$1+((Inputs!$G$5:$G$180&lt;&gt;"moeda")*(Inputs!$G$5:$G$180&lt;&gt;"acoes")))*INDEX(Inputs!$K$5:$AJ$180,0,MATCH(E$2,Inputs!$K$4:$AJ$4,0)))))</f>
        <v>707.228095126682</v>
      </c>
      <c r="F22" s="6">
        <f>IF(ISNA(MATCH(F$2,Inputs!$K$4:$AJ$4,0)),NA(),IF(SUMPRODUCT((Inputs!$A$5:$A$180=$B22)*ISNUMBER(INDEX(Inputs!$K$5:$AJ$180,0,MATCH(F$2,Inputs!$K$4:$AJ$4,0))))+SUMPRODUCT((Inputs!$C$5:$C$180=$B22)*ISNUMBER(INDEX(Inputs!$K$5:$AJ$180,0,MATCH(F$2,Inputs!$K$4:$AJ$4,0))))+SUMPRODUCT((Inputs!$E$5:$E$180=$B22)*ISNUMBER(INDEX(Inputs!$K$5:$AJ$180,0,MATCH(F$2,Inputs!$K$4:$AJ$4,0))))=0,NA(),SUMPRODUCT((Inputs!$A$5:$A$180=$B22)*Inputs!$B$5:$B$180*(((Inputs!$G$5:$G$180="moeda")+(Inputs!$G$5:$G$180="acoes"))*Inputs!$B$1+((Inputs!$G$5:$G$180&lt;&gt;"moeda")*(Inputs!$G$5:$G$180&lt;&gt;"acoes")))*INDEX(Inputs!$K$5:$AJ$180,0,MATCH(F$2,Inputs!$K$4:$AJ$4,0)))+SUMPRODUCT((Inputs!$C$5:$C$180=$B22)*Inputs!$D$5:$D$180*(((Inputs!$G$5:$G$180="moeda")+(Inputs!$G$5:$G$180="acoes"))*Inputs!$B$1+((Inputs!$G$5:$G$180&lt;&gt;"moeda")*(Inputs!$G$5:$G$180&lt;&gt;"acoes")))*INDEX(Inputs!$K$5:$AJ$180,0,MATCH(F$2,Inputs!$K$4:$AJ$4,0)))+SUMPRODUCT((Inputs!$E$5:$E$180=$B22)*Inputs!$F$5:$F$180*(((Inputs!$G$5:$G$180="moeda")+(Inputs!$G$5:$G$180="acoes"))*Inputs!$B$1+((Inputs!$G$5:$G$180&lt;&gt;"moeda")*(Inputs!$G$5:$G$180&lt;&gt;"acoes")))*INDEX(Inputs!$K$5:$AJ$180,0,MATCH(F$2,Inputs!$K$4:$AJ$4,0)))))</f>
        <v>720.527861893454</v>
      </c>
      <c r="G22" s="6">
        <f>IF(ISNA(MATCH(G$2,Inputs!$K$4:$AJ$4,0)),NA(),IF(SUMPRODUCT((Inputs!$A$5:$A$180=$B22)*ISNUMBER(INDEX(Inputs!$K$5:$AJ$180,0,MATCH(G$2,Inputs!$K$4:$AJ$4,0))))+SUMPRODUCT((Inputs!$C$5:$C$180=$B22)*ISNUMBER(INDEX(Inputs!$K$5:$AJ$180,0,MATCH(G$2,Inputs!$K$4:$AJ$4,0))))+SUMPRODUCT((Inputs!$E$5:$E$180=$B22)*ISNUMBER(INDEX(Inputs!$K$5:$AJ$180,0,MATCH(G$2,Inputs!$K$4:$AJ$4,0))))=0,NA(),SUMPRODUCT((Inputs!$A$5:$A$180=$B22)*Inputs!$B$5:$B$180*(((Inputs!$G$5:$G$180="moeda")+(Inputs!$G$5:$G$180="acoes"))*Inputs!$B$1+((Inputs!$G$5:$G$180&lt;&gt;"moeda")*(Inputs!$G$5:$G$180&lt;&gt;"acoes")))*INDEX(Inputs!$K$5:$AJ$180,0,MATCH(G$2,Inputs!$K$4:$AJ$4,0)))+SUMPRODUCT((Inputs!$C$5:$C$180=$B22)*Inputs!$D$5:$D$180*(((Inputs!$G$5:$G$180="moeda")+(Inputs!$G$5:$G$180="acoes"))*Inputs!$B$1+((Inputs!$G$5:$G$180&lt;&gt;"moeda")*(Inputs!$G$5:$G$180&lt;&gt;"acoes")))*INDEX(Inputs!$K$5:$AJ$180,0,MATCH(G$2,Inputs!$K$4:$AJ$4,0)))+SUMPRODUCT((Inputs!$E$5:$E$180=$B22)*Inputs!$F$5:$F$180*(((Inputs!$G$5:$G$180="moeda")+(Inputs!$G$5:$G$180="acoes"))*Inputs!$B$1+((Inputs!$G$5:$G$180&lt;&gt;"moeda")*(Inputs!$G$5:$G$180&lt;&gt;"acoes")))*INDEX(Inputs!$K$5:$AJ$180,0,MATCH(G$2,Inputs!$K$4:$AJ$4,0)))))</f>
        <v>814.406748984424</v>
      </c>
      <c r="H22" s="3">
        <f>G22</f>
        <v>814.406748984424</v>
      </c>
      <c r="I22" s="6">
        <f>IF(ISNA(MATCH(I$2,Inputs!$K$4:$AJ$4,0)),NA(),IF(SUMPRODUCT((Inputs!$A$5:$A$180=$B22)*ISNUMBER(INDEX(Inputs!$K$5:$AJ$180,0,MATCH(I$2,Inputs!$K$4:$AJ$4,0))))+SUMPRODUCT((Inputs!$C$5:$C$180=$B22)*ISNUMBER(INDEX(Inputs!$K$5:$AJ$180,0,MATCH(I$2,Inputs!$K$4:$AJ$4,0))))+SUMPRODUCT((Inputs!$E$5:$E$180=$B22)*ISNUMBER(INDEX(Inputs!$K$5:$AJ$180,0,MATCH(I$2,Inputs!$K$4:$AJ$4,0))))=0,NA(),SUMPRODUCT((Inputs!$A$5:$A$180=$B22)*Inputs!$B$5:$B$180*(((Inputs!$G$5:$G$180="moeda")+(Inputs!$G$5:$G$180="acoes"))*Inputs!$B$1+((Inputs!$G$5:$G$180&lt;&gt;"moeda")*(Inputs!$G$5:$G$180&lt;&gt;"acoes")))*INDEX(Inputs!$K$5:$AJ$180,0,MATCH(I$2,Inputs!$K$4:$AJ$4,0)))+SUMPRODUCT((Inputs!$C$5:$C$180=$B22)*Inputs!$D$5:$D$180*(((Inputs!$G$5:$G$180="moeda")+(Inputs!$G$5:$G$180="acoes"))*Inputs!$B$1+((Inputs!$G$5:$G$180&lt;&gt;"moeda")*(Inputs!$G$5:$G$180&lt;&gt;"acoes")))*INDEX(Inputs!$K$5:$AJ$180,0,MATCH(I$2,Inputs!$K$4:$AJ$4,0)))+SUMPRODUCT((Inputs!$E$5:$E$180=$B22)*Inputs!$F$5:$F$180*(((Inputs!$G$5:$G$180="moeda")+(Inputs!$G$5:$G$180="acoes"))*Inputs!$B$1+((Inputs!$G$5:$G$180&lt;&gt;"moeda")*(Inputs!$G$5:$G$180&lt;&gt;"acoes")))*INDEX(Inputs!$K$5:$AJ$180,0,MATCH(I$2,Inputs!$K$4:$AJ$4,0)))))</f>
        <v>800.795161026482</v>
      </c>
      <c r="J22" s="6">
        <f>IF(ISNA(MATCH(J$2,Inputs!$K$4:$AJ$4,0)),NA(),IF(SUMPRODUCT((Inputs!$A$5:$A$180=$B22)*ISNUMBER(INDEX(Inputs!$K$5:$AJ$180,0,MATCH(J$2,Inputs!$K$4:$AJ$4,0))))+SUMPRODUCT((Inputs!$C$5:$C$180=$B22)*ISNUMBER(INDEX(Inputs!$K$5:$AJ$180,0,MATCH(J$2,Inputs!$K$4:$AJ$4,0))))+SUMPRODUCT((Inputs!$E$5:$E$180=$B22)*ISNUMBER(INDEX(Inputs!$K$5:$AJ$180,0,MATCH(J$2,Inputs!$K$4:$AJ$4,0))))=0,NA(),SUMPRODUCT((Inputs!$A$5:$A$180=$B22)*Inputs!$B$5:$B$180*(((Inputs!$G$5:$G$180="moeda")+(Inputs!$G$5:$G$180="acoes"))*Inputs!$B$1+((Inputs!$G$5:$G$180&lt;&gt;"moeda")*(Inputs!$G$5:$G$180&lt;&gt;"acoes")))*INDEX(Inputs!$K$5:$AJ$180,0,MATCH(J$2,Inputs!$K$4:$AJ$4,0)))+SUMPRODUCT((Inputs!$C$5:$C$180=$B22)*Inputs!$D$5:$D$180*(((Inputs!$G$5:$G$180="moeda")+(Inputs!$G$5:$G$180="acoes"))*Inputs!$B$1+((Inputs!$G$5:$G$180&lt;&gt;"moeda")*(Inputs!$G$5:$G$180&lt;&gt;"acoes")))*INDEX(Inputs!$K$5:$AJ$180,0,MATCH(J$2,Inputs!$K$4:$AJ$4,0)))+SUMPRODUCT((Inputs!$E$5:$E$180=$B22)*Inputs!$F$5:$F$180*(((Inputs!$G$5:$G$180="moeda")+(Inputs!$G$5:$G$180="acoes"))*Inputs!$B$1+((Inputs!$G$5:$G$180&lt;&gt;"moeda")*(Inputs!$G$5:$G$180&lt;&gt;"acoes")))*INDEX(Inputs!$K$5:$AJ$180,0,MATCH(J$2,Inputs!$K$4:$AJ$4,0)))))</f>
        <v>825.129211877353</v>
      </c>
      <c r="K22" s="6">
        <f>IF(ISNA(MATCH(K$2,Inputs!$K$4:$AJ$4,0)),NA(),IF(SUMPRODUCT((Inputs!$A$5:$A$180=$B22)*ISNUMBER(INDEX(Inputs!$K$5:$AJ$180,0,MATCH(K$2,Inputs!$K$4:$AJ$4,0))))+SUMPRODUCT((Inputs!$C$5:$C$180=$B22)*ISNUMBER(INDEX(Inputs!$K$5:$AJ$180,0,MATCH(K$2,Inputs!$K$4:$AJ$4,0))))+SUMPRODUCT((Inputs!$E$5:$E$180=$B22)*ISNUMBER(INDEX(Inputs!$K$5:$AJ$180,0,MATCH(K$2,Inputs!$K$4:$AJ$4,0))))=0,NA(),SUMPRODUCT((Inputs!$A$5:$A$180=$B22)*Inputs!$B$5:$B$180*(((Inputs!$G$5:$G$180="moeda")+(Inputs!$G$5:$G$180="acoes"))*Inputs!$B$1+((Inputs!$G$5:$G$180&lt;&gt;"moeda")*(Inputs!$G$5:$G$180&lt;&gt;"acoes")))*INDEX(Inputs!$K$5:$AJ$180,0,MATCH(K$2,Inputs!$K$4:$AJ$4,0)))+SUMPRODUCT((Inputs!$C$5:$C$180=$B22)*Inputs!$D$5:$D$180*(((Inputs!$G$5:$G$180="moeda")+(Inputs!$G$5:$G$180="acoes"))*Inputs!$B$1+((Inputs!$G$5:$G$180&lt;&gt;"moeda")*(Inputs!$G$5:$G$180&lt;&gt;"acoes")))*INDEX(Inputs!$K$5:$AJ$180,0,MATCH(K$2,Inputs!$K$4:$AJ$4,0)))+SUMPRODUCT((Inputs!$E$5:$E$180=$B22)*Inputs!$F$5:$F$180*(((Inputs!$G$5:$G$180="moeda")+(Inputs!$G$5:$G$180="acoes"))*Inputs!$B$1+((Inputs!$G$5:$G$180&lt;&gt;"moeda")*(Inputs!$G$5:$G$180&lt;&gt;"acoes")))*INDEX(Inputs!$K$5:$AJ$180,0,MATCH(K$2,Inputs!$K$4:$AJ$4,0)))))</f>
        <v>874.14140573</v>
      </c>
      <c r="L22" s="6">
        <f>IF(ISNA(MATCH(L$2,Inputs!$K$4:$AJ$4,0)),NA(),IF(SUMPRODUCT((Inputs!$A$5:$A$180=$B22)*ISNUMBER(INDEX(Inputs!$K$5:$AJ$180,0,MATCH(L$2,Inputs!$K$4:$AJ$4,0))))+SUMPRODUCT((Inputs!$C$5:$C$180=$B22)*ISNUMBER(INDEX(Inputs!$K$5:$AJ$180,0,MATCH(L$2,Inputs!$K$4:$AJ$4,0))))+SUMPRODUCT((Inputs!$E$5:$E$180=$B22)*ISNUMBER(INDEX(Inputs!$K$5:$AJ$180,0,MATCH(L$2,Inputs!$K$4:$AJ$4,0))))=0,NA(),SUMPRODUCT((Inputs!$A$5:$A$180=$B22)*Inputs!$B$5:$B$180*(((Inputs!$G$5:$G$180="moeda")+(Inputs!$G$5:$G$180="acoes"))*Inputs!$B$1+((Inputs!$G$5:$G$180&lt;&gt;"moeda")*(Inputs!$G$5:$G$180&lt;&gt;"acoes")))*INDEX(Inputs!$K$5:$AJ$180,0,MATCH(L$2,Inputs!$K$4:$AJ$4,0)))+SUMPRODUCT((Inputs!$C$5:$C$180=$B22)*Inputs!$D$5:$D$180*(((Inputs!$G$5:$G$180="moeda")+(Inputs!$G$5:$G$180="acoes"))*Inputs!$B$1+((Inputs!$G$5:$G$180&lt;&gt;"moeda")*(Inputs!$G$5:$G$180&lt;&gt;"acoes")))*INDEX(Inputs!$K$5:$AJ$180,0,MATCH(L$2,Inputs!$K$4:$AJ$4,0)))+SUMPRODUCT((Inputs!$E$5:$E$180=$B22)*Inputs!$F$5:$F$180*(((Inputs!$G$5:$G$180="moeda")+(Inputs!$G$5:$G$180="acoes"))*Inputs!$B$1+((Inputs!$G$5:$G$180&lt;&gt;"moeda")*(Inputs!$G$5:$G$180&lt;&gt;"acoes")))*INDEX(Inputs!$K$5:$AJ$180,0,MATCH(L$2,Inputs!$K$4:$AJ$4,0)))))</f>
        <v>925.882893132822</v>
      </c>
      <c r="M22" s="3">
        <f>L22</f>
        <v>925.882893132822</v>
      </c>
      <c r="N22" s="6">
        <f>IF(ISNA(MATCH(N$2,Inputs!$K$4:$AJ$4,0)),NA(),IF(SUMPRODUCT((Inputs!$A$5:$A$180=$B22)*ISNUMBER(INDEX(Inputs!$K$5:$AJ$180,0,MATCH(N$2,Inputs!$K$4:$AJ$4,0))))+SUMPRODUCT((Inputs!$C$5:$C$180=$B22)*ISNUMBER(INDEX(Inputs!$K$5:$AJ$180,0,MATCH(N$2,Inputs!$K$4:$AJ$4,0))))+SUMPRODUCT((Inputs!$E$5:$E$180=$B22)*ISNUMBER(INDEX(Inputs!$K$5:$AJ$180,0,MATCH(N$2,Inputs!$K$4:$AJ$4,0))))=0,NA(),SUMPRODUCT((Inputs!$A$5:$A$180=$B22)*Inputs!$B$5:$B$180*(((Inputs!$G$5:$G$180="moeda")+(Inputs!$G$5:$G$180="acoes"))*Inputs!$B$1+((Inputs!$G$5:$G$180&lt;&gt;"moeda")*(Inputs!$G$5:$G$180&lt;&gt;"acoes")))*INDEX(Inputs!$K$5:$AJ$180,0,MATCH(N$2,Inputs!$K$4:$AJ$4,0)))+SUMPRODUCT((Inputs!$C$5:$C$180=$B22)*Inputs!$D$5:$D$180*(((Inputs!$G$5:$G$180="moeda")+(Inputs!$G$5:$G$180="acoes"))*Inputs!$B$1+((Inputs!$G$5:$G$180&lt;&gt;"moeda")*(Inputs!$G$5:$G$180&lt;&gt;"acoes")))*INDEX(Inputs!$K$5:$AJ$180,0,MATCH(N$2,Inputs!$K$4:$AJ$4,0)))+SUMPRODUCT((Inputs!$E$5:$E$180=$B22)*Inputs!$F$5:$F$180*(((Inputs!$G$5:$G$180="moeda")+(Inputs!$G$5:$G$180="acoes"))*Inputs!$B$1+((Inputs!$G$5:$G$180&lt;&gt;"moeda")*(Inputs!$G$5:$G$180&lt;&gt;"acoes")))*INDEX(Inputs!$K$5:$AJ$180,0,MATCH(N$2,Inputs!$K$4:$AJ$4,0)))))</f>
        <v>909.11490776</v>
      </c>
      <c r="O22" s="6">
        <f>IF(ISNA(MATCH(O$2,Inputs!$K$4:$AJ$4,0)),NA(),IF(SUMPRODUCT((Inputs!$A$5:$A$180=$B22)*ISNUMBER(INDEX(Inputs!$K$5:$AJ$180,0,MATCH(O$2,Inputs!$K$4:$AJ$4,0))))+SUMPRODUCT((Inputs!$C$5:$C$180=$B22)*ISNUMBER(INDEX(Inputs!$K$5:$AJ$180,0,MATCH(O$2,Inputs!$K$4:$AJ$4,0))))+SUMPRODUCT((Inputs!$E$5:$E$180=$B22)*ISNUMBER(INDEX(Inputs!$K$5:$AJ$180,0,MATCH(O$2,Inputs!$K$4:$AJ$4,0))))=0,NA(),SUMPRODUCT((Inputs!$A$5:$A$180=$B22)*Inputs!$B$5:$B$180*(((Inputs!$G$5:$G$180="moeda")+(Inputs!$G$5:$G$180="acoes"))*Inputs!$B$1+((Inputs!$G$5:$G$180&lt;&gt;"moeda")*(Inputs!$G$5:$G$180&lt;&gt;"acoes")))*INDEX(Inputs!$K$5:$AJ$180,0,MATCH(O$2,Inputs!$K$4:$AJ$4,0)))+SUMPRODUCT((Inputs!$C$5:$C$180=$B22)*Inputs!$D$5:$D$180*(((Inputs!$G$5:$G$180="moeda")+(Inputs!$G$5:$G$180="acoes"))*Inputs!$B$1+((Inputs!$G$5:$G$180&lt;&gt;"moeda")*(Inputs!$G$5:$G$180&lt;&gt;"acoes")))*INDEX(Inputs!$K$5:$AJ$180,0,MATCH(O$2,Inputs!$K$4:$AJ$4,0)))+SUMPRODUCT((Inputs!$E$5:$E$180=$B22)*Inputs!$F$5:$F$180*(((Inputs!$G$5:$G$180="moeda")+(Inputs!$G$5:$G$180="acoes"))*Inputs!$B$1+((Inputs!$G$5:$G$180&lt;&gt;"moeda")*(Inputs!$G$5:$G$180&lt;&gt;"acoes")))*INDEX(Inputs!$K$5:$AJ$180,0,MATCH(O$2,Inputs!$K$4:$AJ$4,0)))))</f>
        <v>1351.334</v>
      </c>
      <c r="P22" s="6">
        <f>IF(ISNA(MATCH(P$2,Inputs!$K$4:$AJ$4,0)),NA(),IF(SUMPRODUCT((Inputs!$A$5:$A$180=$B22)*ISNUMBER(INDEX(Inputs!$K$5:$AJ$180,0,MATCH(P$2,Inputs!$K$4:$AJ$4,0))))+SUMPRODUCT((Inputs!$C$5:$C$180=$B22)*ISNUMBER(INDEX(Inputs!$K$5:$AJ$180,0,MATCH(P$2,Inputs!$K$4:$AJ$4,0))))+SUMPRODUCT((Inputs!$E$5:$E$180=$B22)*ISNUMBER(INDEX(Inputs!$K$5:$AJ$180,0,MATCH(P$2,Inputs!$K$4:$AJ$4,0))))=0,NA(),SUMPRODUCT((Inputs!$A$5:$A$180=$B22)*Inputs!$B$5:$B$180*(((Inputs!$G$5:$G$180="moeda")+(Inputs!$G$5:$G$180="acoes"))*Inputs!$B$1+((Inputs!$G$5:$G$180&lt;&gt;"moeda")*(Inputs!$G$5:$G$180&lt;&gt;"acoes")))*INDEX(Inputs!$K$5:$AJ$180,0,MATCH(P$2,Inputs!$K$4:$AJ$4,0)))+SUMPRODUCT((Inputs!$C$5:$C$180=$B22)*Inputs!$D$5:$D$180*(((Inputs!$G$5:$G$180="moeda")+(Inputs!$G$5:$G$180="acoes"))*Inputs!$B$1+((Inputs!$G$5:$G$180&lt;&gt;"moeda")*(Inputs!$G$5:$G$180&lt;&gt;"acoes")))*INDEX(Inputs!$K$5:$AJ$180,0,MATCH(P$2,Inputs!$K$4:$AJ$4,0)))+SUMPRODUCT((Inputs!$E$5:$E$180=$B22)*Inputs!$F$5:$F$180*(((Inputs!$G$5:$G$180="moeda")+(Inputs!$G$5:$G$180="acoes"))*Inputs!$B$1+((Inputs!$G$5:$G$180&lt;&gt;"moeda")*(Inputs!$G$5:$G$180&lt;&gt;"acoes")))*INDEX(Inputs!$K$5:$AJ$180,0,MATCH(P$2,Inputs!$K$4:$AJ$4,0)))))</f>
        <v>1349.217</v>
      </c>
      <c r="Q22" s="6">
        <f>IF(ISNA(MATCH(Q$2,Inputs!$K$4:$AJ$4,0)),NA(),IF(SUMPRODUCT((Inputs!$A$5:$A$180=$B22)*ISNUMBER(INDEX(Inputs!$K$5:$AJ$180,0,MATCH(Q$2,Inputs!$K$4:$AJ$4,0))))+SUMPRODUCT((Inputs!$C$5:$C$180=$B22)*ISNUMBER(INDEX(Inputs!$K$5:$AJ$180,0,MATCH(Q$2,Inputs!$K$4:$AJ$4,0))))+SUMPRODUCT((Inputs!$E$5:$E$180=$B22)*ISNUMBER(INDEX(Inputs!$K$5:$AJ$180,0,MATCH(Q$2,Inputs!$K$4:$AJ$4,0))))=0,NA(),SUMPRODUCT((Inputs!$A$5:$A$180=$B22)*Inputs!$B$5:$B$180*(((Inputs!$G$5:$G$180="moeda")+(Inputs!$G$5:$G$180="acoes"))*Inputs!$B$1+((Inputs!$G$5:$G$180&lt;&gt;"moeda")*(Inputs!$G$5:$G$180&lt;&gt;"acoes")))*INDEX(Inputs!$K$5:$AJ$180,0,MATCH(Q$2,Inputs!$K$4:$AJ$4,0)))+SUMPRODUCT((Inputs!$C$5:$C$180=$B22)*Inputs!$D$5:$D$180*(((Inputs!$G$5:$G$180="moeda")+(Inputs!$G$5:$G$180="acoes"))*Inputs!$B$1+((Inputs!$G$5:$G$180&lt;&gt;"moeda")*(Inputs!$G$5:$G$180&lt;&gt;"acoes")))*INDEX(Inputs!$K$5:$AJ$180,0,MATCH(Q$2,Inputs!$K$4:$AJ$4,0)))+SUMPRODUCT((Inputs!$E$5:$E$180=$B22)*Inputs!$F$5:$F$180*(((Inputs!$G$5:$G$180="moeda")+(Inputs!$G$5:$G$180="acoes"))*Inputs!$B$1+((Inputs!$G$5:$G$180&lt;&gt;"moeda")*(Inputs!$G$5:$G$180&lt;&gt;"acoes")))*INDEX(Inputs!$K$5:$AJ$180,0,MATCH(Q$2,Inputs!$K$4:$AJ$4,0)))))</f>
        <v>1348.492</v>
      </c>
      <c r="R22" s="3">
        <f>Q22</f>
        <v>1348.492</v>
      </c>
      <c r="S22" s="6">
        <f>IF(ISNA(MATCH(S$2,Inputs!$K$4:$AJ$4,0)),NA(),IF(SUMPRODUCT((Inputs!$A$5:$A$180=$B22)*ISNUMBER(INDEX(Inputs!$K$5:$AJ$180,0,MATCH(S$2,Inputs!$K$4:$AJ$4,0))))+SUMPRODUCT((Inputs!$C$5:$C$180=$B22)*ISNUMBER(INDEX(Inputs!$K$5:$AJ$180,0,MATCH(S$2,Inputs!$K$4:$AJ$4,0))))+SUMPRODUCT((Inputs!$E$5:$E$180=$B22)*ISNUMBER(INDEX(Inputs!$K$5:$AJ$180,0,MATCH(S$2,Inputs!$K$4:$AJ$4,0))))=0,NA(),SUMPRODUCT((Inputs!$A$5:$A$180=$B22)*Inputs!$B$5:$B$180*(((Inputs!$G$5:$G$180="moeda")+(Inputs!$G$5:$G$180="acoes"))*Inputs!$B$1+((Inputs!$G$5:$G$180&lt;&gt;"moeda")*(Inputs!$G$5:$G$180&lt;&gt;"acoes")))*INDEX(Inputs!$K$5:$AJ$180,0,MATCH(S$2,Inputs!$K$4:$AJ$4,0)))+SUMPRODUCT((Inputs!$C$5:$C$180=$B22)*Inputs!$D$5:$D$180*(((Inputs!$G$5:$G$180="moeda")+(Inputs!$G$5:$G$180="acoes"))*Inputs!$B$1+((Inputs!$G$5:$G$180&lt;&gt;"moeda")*(Inputs!$G$5:$G$180&lt;&gt;"acoes")))*INDEX(Inputs!$K$5:$AJ$180,0,MATCH(S$2,Inputs!$K$4:$AJ$4,0)))+SUMPRODUCT((Inputs!$E$5:$E$180=$B22)*Inputs!$F$5:$F$180*(((Inputs!$G$5:$G$180="moeda")+(Inputs!$G$5:$G$180="acoes"))*Inputs!$B$1+((Inputs!$G$5:$G$180&lt;&gt;"moeda")*(Inputs!$G$5:$G$180&lt;&gt;"acoes")))*INDEX(Inputs!$K$5:$AJ$180,0,MATCH(S$2,Inputs!$K$4:$AJ$4,0)))))</f>
        <v>1326.688</v>
      </c>
      <c r="T22" s="6">
        <f>IF(ISNA(MATCH(T$2,Inputs!$K$4:$AJ$4,0)),NA(),IF(SUMPRODUCT((Inputs!$A$5:$A$180=$B22)*ISNUMBER(INDEX(Inputs!$K$5:$AJ$180,0,MATCH(T$2,Inputs!$K$4:$AJ$4,0))))+SUMPRODUCT((Inputs!$C$5:$C$180=$B22)*ISNUMBER(INDEX(Inputs!$K$5:$AJ$180,0,MATCH(T$2,Inputs!$K$4:$AJ$4,0))))+SUMPRODUCT((Inputs!$E$5:$E$180=$B22)*ISNUMBER(INDEX(Inputs!$K$5:$AJ$180,0,MATCH(T$2,Inputs!$K$4:$AJ$4,0))))=0,NA(),SUMPRODUCT((Inputs!$A$5:$A$180=$B22)*Inputs!$B$5:$B$180*(((Inputs!$G$5:$G$180="moeda")+(Inputs!$G$5:$G$180="acoes"))*Inputs!$B$1+((Inputs!$G$5:$G$180&lt;&gt;"moeda")*(Inputs!$G$5:$G$180&lt;&gt;"acoes")))*INDEX(Inputs!$K$5:$AJ$180,0,MATCH(T$2,Inputs!$K$4:$AJ$4,0)))+SUMPRODUCT((Inputs!$C$5:$C$180=$B22)*Inputs!$D$5:$D$180*(((Inputs!$G$5:$G$180="moeda")+(Inputs!$G$5:$G$180="acoes"))*Inputs!$B$1+((Inputs!$G$5:$G$180&lt;&gt;"moeda")*(Inputs!$G$5:$G$180&lt;&gt;"acoes")))*INDEX(Inputs!$K$5:$AJ$180,0,MATCH(T$2,Inputs!$K$4:$AJ$4,0)))+SUMPRODUCT((Inputs!$E$5:$E$180=$B22)*Inputs!$F$5:$F$180*(((Inputs!$G$5:$G$180="moeda")+(Inputs!$G$5:$G$180="acoes"))*Inputs!$B$1+((Inputs!$G$5:$G$180&lt;&gt;"moeda")*(Inputs!$G$5:$G$180&lt;&gt;"acoes")))*INDEX(Inputs!$K$5:$AJ$180,0,MATCH(T$2,Inputs!$K$4:$AJ$4,0)))))</f>
        <v>1320.192</v>
      </c>
      <c r="U22" s="6">
        <f>IF(ISNA(MATCH(U$2,Inputs!$K$4:$AJ$4,0)),NA(),IF(SUMPRODUCT((Inputs!$A$5:$A$180=$B22)*ISNUMBER(INDEX(Inputs!$K$5:$AJ$180,0,MATCH(U$2,Inputs!$K$4:$AJ$4,0))))+SUMPRODUCT((Inputs!$C$5:$C$180=$B22)*ISNUMBER(INDEX(Inputs!$K$5:$AJ$180,0,MATCH(U$2,Inputs!$K$4:$AJ$4,0))))+SUMPRODUCT((Inputs!$E$5:$E$180=$B22)*ISNUMBER(INDEX(Inputs!$K$5:$AJ$180,0,MATCH(U$2,Inputs!$K$4:$AJ$4,0))))=0,NA(),SUMPRODUCT((Inputs!$A$5:$A$180=$B22)*Inputs!$B$5:$B$180*(((Inputs!$G$5:$G$180="moeda")+(Inputs!$G$5:$G$180="acoes"))*Inputs!$B$1+((Inputs!$G$5:$G$180&lt;&gt;"moeda")*(Inputs!$G$5:$G$180&lt;&gt;"acoes")))*INDEX(Inputs!$K$5:$AJ$180,0,MATCH(U$2,Inputs!$K$4:$AJ$4,0)))+SUMPRODUCT((Inputs!$C$5:$C$180=$B22)*Inputs!$D$5:$D$180*(((Inputs!$G$5:$G$180="moeda")+(Inputs!$G$5:$G$180="acoes"))*Inputs!$B$1+((Inputs!$G$5:$G$180&lt;&gt;"moeda")*(Inputs!$G$5:$G$180&lt;&gt;"acoes")))*INDEX(Inputs!$K$5:$AJ$180,0,MATCH(U$2,Inputs!$K$4:$AJ$4,0)))+SUMPRODUCT((Inputs!$E$5:$E$180=$B22)*Inputs!$F$5:$F$180*(((Inputs!$G$5:$G$180="moeda")+(Inputs!$G$5:$G$180="acoes"))*Inputs!$B$1+((Inputs!$G$5:$G$180&lt;&gt;"moeda")*(Inputs!$G$5:$G$180&lt;&gt;"acoes")))*INDEX(Inputs!$K$5:$AJ$180,0,MATCH(U$2,Inputs!$K$4:$AJ$4,0)))))</f>
        <v>1334.583</v>
      </c>
      <c r="V22" s="6">
        <f>IF(ISNA(MATCH(V$2,Inputs!$K$4:$AJ$4,0)),NA(),IF(SUMPRODUCT((Inputs!$A$5:$A$180=$B22)*ISNUMBER(INDEX(Inputs!$K$5:$AJ$180,0,MATCH(V$2,Inputs!$K$4:$AJ$4,0))))+SUMPRODUCT((Inputs!$C$5:$C$180=$B22)*ISNUMBER(INDEX(Inputs!$K$5:$AJ$180,0,MATCH(V$2,Inputs!$K$4:$AJ$4,0))))+SUMPRODUCT((Inputs!$E$5:$E$180=$B22)*ISNUMBER(INDEX(Inputs!$K$5:$AJ$180,0,MATCH(V$2,Inputs!$K$4:$AJ$4,0))))=0,NA(),SUMPRODUCT((Inputs!$A$5:$A$180=$B22)*Inputs!$B$5:$B$180*(((Inputs!$G$5:$G$180="moeda")+(Inputs!$G$5:$G$180="acoes"))*Inputs!$B$1+((Inputs!$G$5:$G$180&lt;&gt;"moeda")*(Inputs!$G$5:$G$180&lt;&gt;"acoes")))*INDEX(Inputs!$K$5:$AJ$180,0,MATCH(V$2,Inputs!$K$4:$AJ$4,0)))+SUMPRODUCT((Inputs!$C$5:$C$180=$B22)*Inputs!$D$5:$D$180*(((Inputs!$G$5:$G$180="moeda")+(Inputs!$G$5:$G$180="acoes"))*Inputs!$B$1+((Inputs!$G$5:$G$180&lt;&gt;"moeda")*(Inputs!$G$5:$G$180&lt;&gt;"acoes")))*INDEX(Inputs!$K$5:$AJ$180,0,MATCH(V$2,Inputs!$K$4:$AJ$4,0)))+SUMPRODUCT((Inputs!$E$5:$E$180=$B22)*Inputs!$F$5:$F$180*(((Inputs!$G$5:$G$180="moeda")+(Inputs!$G$5:$G$180="acoes"))*Inputs!$B$1+((Inputs!$G$5:$G$180&lt;&gt;"moeda")*(Inputs!$G$5:$G$180&lt;&gt;"acoes")))*INDEX(Inputs!$K$5:$AJ$180,0,MATCH(V$2,Inputs!$K$4:$AJ$4,0)))))</f>
        <v>1375.065</v>
      </c>
      <c r="W22" s="3">
        <f>V22</f>
        <v>1375.065</v>
      </c>
      <c r="X22" s="6">
        <f>IF(ISNA(MATCH(X$2,Inputs!$K$4:$AJ$4,0)),NA(),IF(SUMPRODUCT((Inputs!$A$5:$A$180=$B22)*ISNUMBER(INDEX(Inputs!$K$5:$AJ$180,0,MATCH(X$2,Inputs!$K$4:$AJ$4,0))))+SUMPRODUCT((Inputs!$C$5:$C$180=$B22)*ISNUMBER(INDEX(Inputs!$K$5:$AJ$180,0,MATCH(X$2,Inputs!$K$4:$AJ$4,0))))+SUMPRODUCT((Inputs!$E$5:$E$180=$B22)*ISNUMBER(INDEX(Inputs!$K$5:$AJ$180,0,MATCH(X$2,Inputs!$K$4:$AJ$4,0))))=0,NA(),SUMPRODUCT((Inputs!$A$5:$A$180=$B22)*Inputs!$B$5:$B$180*(((Inputs!$G$5:$G$180="moeda")+(Inputs!$G$5:$G$180="acoes"))*Inputs!$B$1+((Inputs!$G$5:$G$180&lt;&gt;"moeda")*(Inputs!$G$5:$G$180&lt;&gt;"acoes")))*INDEX(Inputs!$K$5:$AJ$180,0,MATCH(X$2,Inputs!$K$4:$AJ$4,0)))+SUMPRODUCT((Inputs!$C$5:$C$180=$B22)*Inputs!$D$5:$D$180*(((Inputs!$G$5:$G$180="moeda")+(Inputs!$G$5:$G$180="acoes"))*Inputs!$B$1+((Inputs!$G$5:$G$180&lt;&gt;"moeda")*(Inputs!$G$5:$G$180&lt;&gt;"acoes")))*INDEX(Inputs!$K$5:$AJ$180,0,MATCH(X$2,Inputs!$K$4:$AJ$4,0)))+SUMPRODUCT((Inputs!$E$5:$E$180=$B22)*Inputs!$F$5:$F$180*(((Inputs!$G$5:$G$180="moeda")+(Inputs!$G$5:$G$180="acoes"))*Inputs!$B$1+((Inputs!$G$5:$G$180&lt;&gt;"moeda")*(Inputs!$G$5:$G$180&lt;&gt;"acoes")))*INDEX(Inputs!$K$5:$AJ$180,0,MATCH(X$2,Inputs!$K$4:$AJ$4,0)))))</f>
        <v>1348.365553</v>
      </c>
      <c r="Y22" s="6">
        <f>IF(ISNA(MATCH(Y$2,Inputs!$K$4:$AJ$4,0)),NA(),IF(SUMPRODUCT((Inputs!$A$5:$A$180=$B22)*ISNUMBER(INDEX(Inputs!$K$5:$AJ$180,0,MATCH(Y$2,Inputs!$K$4:$AJ$4,0))))+SUMPRODUCT((Inputs!$C$5:$C$180=$B22)*ISNUMBER(INDEX(Inputs!$K$5:$AJ$180,0,MATCH(Y$2,Inputs!$K$4:$AJ$4,0))))+SUMPRODUCT((Inputs!$E$5:$E$180=$B22)*ISNUMBER(INDEX(Inputs!$K$5:$AJ$180,0,MATCH(Y$2,Inputs!$K$4:$AJ$4,0))))=0,NA(),SUMPRODUCT((Inputs!$A$5:$A$180=$B22)*Inputs!$B$5:$B$180*(((Inputs!$G$5:$G$180="moeda")+(Inputs!$G$5:$G$180="acoes"))*Inputs!$B$1+((Inputs!$G$5:$G$180&lt;&gt;"moeda")*(Inputs!$G$5:$G$180&lt;&gt;"acoes")))*INDEX(Inputs!$K$5:$AJ$180,0,MATCH(Y$2,Inputs!$K$4:$AJ$4,0)))+SUMPRODUCT((Inputs!$C$5:$C$180=$B22)*Inputs!$D$5:$D$180*(((Inputs!$G$5:$G$180="moeda")+(Inputs!$G$5:$G$180="acoes"))*Inputs!$B$1+((Inputs!$G$5:$G$180&lt;&gt;"moeda")*(Inputs!$G$5:$G$180&lt;&gt;"acoes")))*INDEX(Inputs!$K$5:$AJ$180,0,MATCH(Y$2,Inputs!$K$4:$AJ$4,0)))+SUMPRODUCT((Inputs!$E$5:$E$180=$B22)*Inputs!$F$5:$F$180*(((Inputs!$G$5:$G$180="moeda")+(Inputs!$G$5:$G$180="acoes"))*Inputs!$B$1+((Inputs!$G$5:$G$180&lt;&gt;"moeda")*(Inputs!$G$5:$G$180&lt;&gt;"acoes")))*INDEX(Inputs!$K$5:$AJ$180,0,MATCH(Y$2,Inputs!$K$4:$AJ$4,0)))))</f>
        <v>1338.359</v>
      </c>
      <c r="Z22" s="6">
        <f>IF(ISNA(MATCH(Z$2,Inputs!$K$4:$AJ$4,0)),NA(),IF(SUMPRODUCT((Inputs!$A$5:$A$180=$B22)*ISNUMBER(INDEX(Inputs!$K$5:$AJ$180,0,MATCH(Z$2,Inputs!$K$4:$AJ$4,0))))+SUMPRODUCT((Inputs!$C$5:$C$180=$B22)*ISNUMBER(INDEX(Inputs!$K$5:$AJ$180,0,MATCH(Z$2,Inputs!$K$4:$AJ$4,0))))+SUMPRODUCT((Inputs!$E$5:$E$180=$B22)*ISNUMBER(INDEX(Inputs!$K$5:$AJ$180,0,MATCH(Z$2,Inputs!$K$4:$AJ$4,0))))=0,NA(),SUMPRODUCT((Inputs!$A$5:$A$180=$B22)*Inputs!$B$5:$B$180*(((Inputs!$G$5:$G$180="moeda")+(Inputs!$G$5:$G$180="acoes"))*Inputs!$B$1+((Inputs!$G$5:$G$180&lt;&gt;"moeda")*(Inputs!$G$5:$G$180&lt;&gt;"acoes")))*INDEX(Inputs!$K$5:$AJ$180,0,MATCH(Z$2,Inputs!$K$4:$AJ$4,0)))+SUMPRODUCT((Inputs!$C$5:$C$180=$B22)*Inputs!$D$5:$D$180*(((Inputs!$G$5:$G$180="moeda")+(Inputs!$G$5:$G$180="acoes"))*Inputs!$B$1+((Inputs!$G$5:$G$180&lt;&gt;"moeda")*(Inputs!$G$5:$G$180&lt;&gt;"acoes")))*INDEX(Inputs!$K$5:$AJ$180,0,MATCH(Z$2,Inputs!$K$4:$AJ$4,0)))+SUMPRODUCT((Inputs!$E$5:$E$180=$B22)*Inputs!$F$5:$F$180*(((Inputs!$G$5:$G$180="moeda")+(Inputs!$G$5:$G$180="acoes"))*Inputs!$B$1+((Inputs!$G$5:$G$180&lt;&gt;"moeda")*(Inputs!$G$5:$G$180&lt;&gt;"acoes")))*INDEX(Inputs!$K$5:$AJ$180,0,MATCH(Z$2,Inputs!$K$4:$AJ$4,0)))))</f>
        <v>1344.449</v>
      </c>
      <c r="AA22" s="6">
        <f>IF(ISNA(MATCH(AA$2,Inputs!$K$4:$AJ$4,0)),NA(),IF(SUMPRODUCT((Inputs!$A$5:$A$180=$B22)*ISNUMBER(INDEX(Inputs!$K$5:$AJ$180,0,MATCH(AA$2,Inputs!$K$4:$AJ$4,0))))+SUMPRODUCT((Inputs!$C$5:$C$180=$B22)*ISNUMBER(INDEX(Inputs!$K$5:$AJ$180,0,MATCH(AA$2,Inputs!$K$4:$AJ$4,0))))+SUMPRODUCT((Inputs!$E$5:$E$180=$B22)*ISNUMBER(INDEX(Inputs!$K$5:$AJ$180,0,MATCH(AA$2,Inputs!$K$4:$AJ$4,0))))=0,NA(),SUMPRODUCT((Inputs!$A$5:$A$180=$B22)*Inputs!$B$5:$B$180*(((Inputs!$G$5:$G$180="moeda")+(Inputs!$G$5:$G$180="acoes"))*Inputs!$B$1+((Inputs!$G$5:$G$180&lt;&gt;"moeda")*(Inputs!$G$5:$G$180&lt;&gt;"acoes")))*INDEX(Inputs!$K$5:$AJ$180,0,MATCH(AA$2,Inputs!$K$4:$AJ$4,0)))+SUMPRODUCT((Inputs!$C$5:$C$180=$B22)*Inputs!$D$5:$D$180*(((Inputs!$G$5:$G$180="moeda")+(Inputs!$G$5:$G$180="acoes"))*Inputs!$B$1+((Inputs!$G$5:$G$180&lt;&gt;"moeda")*(Inputs!$G$5:$G$180&lt;&gt;"acoes")))*INDEX(Inputs!$K$5:$AJ$180,0,MATCH(AA$2,Inputs!$K$4:$AJ$4,0)))+SUMPRODUCT((Inputs!$E$5:$E$180=$B22)*Inputs!$F$5:$F$180*(((Inputs!$G$5:$G$180="moeda")+(Inputs!$G$5:$G$180="acoes"))*Inputs!$B$1+((Inputs!$G$5:$G$180&lt;&gt;"moeda")*(Inputs!$G$5:$G$180&lt;&gt;"acoes")))*INDEX(Inputs!$K$5:$AJ$180,0,MATCH(AA$2,Inputs!$K$4:$AJ$4,0)))))</f>
        <v>1379.255</v>
      </c>
      <c r="AB22" s="3">
        <f>AA22</f>
        <v>1379.255</v>
      </c>
      <c r="AC22" s="6">
        <f>IF(ISNA(MATCH(AC$2,Inputs!$K$4:$AJ$4,0)),NA(),IF(SUMPRODUCT((Inputs!$A$5:$A$180=$B22)*ISNUMBER(INDEX(Inputs!$K$5:$AJ$180,0,MATCH(AC$2,Inputs!$K$4:$AJ$4,0))))+SUMPRODUCT((Inputs!$C$5:$C$180=$B22)*ISNUMBER(INDEX(Inputs!$K$5:$AJ$180,0,MATCH(AC$2,Inputs!$K$4:$AJ$4,0))))+SUMPRODUCT((Inputs!$E$5:$E$180=$B22)*ISNUMBER(INDEX(Inputs!$K$5:$AJ$180,0,MATCH(AC$2,Inputs!$K$4:$AJ$4,0))))=0,NA(),SUMPRODUCT((Inputs!$A$5:$A$180=$B22)*Inputs!$B$5:$B$180*(((Inputs!$G$5:$G$180="moeda")+(Inputs!$G$5:$G$180="acoes"))*Inputs!$B$1+((Inputs!$G$5:$G$180&lt;&gt;"moeda")*(Inputs!$G$5:$G$180&lt;&gt;"acoes")))*INDEX(Inputs!$K$5:$AJ$180,0,MATCH(AC$2,Inputs!$K$4:$AJ$4,0)))+SUMPRODUCT((Inputs!$C$5:$C$180=$B22)*Inputs!$D$5:$D$180*(((Inputs!$G$5:$G$180="moeda")+(Inputs!$G$5:$G$180="acoes"))*Inputs!$B$1+((Inputs!$G$5:$G$180&lt;&gt;"moeda")*(Inputs!$G$5:$G$180&lt;&gt;"acoes")))*INDEX(Inputs!$K$5:$AJ$180,0,MATCH(AC$2,Inputs!$K$4:$AJ$4,0)))+SUMPRODUCT((Inputs!$E$5:$E$180=$B22)*Inputs!$F$5:$F$180*(((Inputs!$G$5:$G$180="moeda")+(Inputs!$G$5:$G$180="acoes"))*Inputs!$B$1+((Inputs!$G$5:$G$180&lt;&gt;"moeda")*(Inputs!$G$5:$G$180&lt;&gt;"acoes")))*INDEX(Inputs!$K$5:$AJ$180,0,MATCH(AC$2,Inputs!$K$4:$AJ$4,0)))))</f>
        <v>1355.204</v>
      </c>
      <c r="AD22" s="6">
        <f>IF(ISNA(MATCH(AD$2,Inputs!$K$4:$AJ$4,0)),NA(),IF(SUMPRODUCT((Inputs!$A$5:$A$180=$B22)*ISNUMBER(INDEX(Inputs!$K$5:$AJ$180,0,MATCH(AD$2,Inputs!$K$4:$AJ$4,0))))+SUMPRODUCT((Inputs!$C$5:$C$180=$B22)*ISNUMBER(INDEX(Inputs!$K$5:$AJ$180,0,MATCH(AD$2,Inputs!$K$4:$AJ$4,0))))+SUMPRODUCT((Inputs!$E$5:$E$180=$B22)*ISNUMBER(INDEX(Inputs!$K$5:$AJ$180,0,MATCH(AD$2,Inputs!$K$4:$AJ$4,0))))=0,NA(),SUMPRODUCT((Inputs!$A$5:$A$180=$B22)*Inputs!$B$5:$B$180*(((Inputs!$G$5:$G$180="moeda")+(Inputs!$G$5:$G$180="acoes"))*Inputs!$B$1+((Inputs!$G$5:$G$180&lt;&gt;"moeda")*(Inputs!$G$5:$G$180&lt;&gt;"acoes")))*INDEX(Inputs!$K$5:$AJ$180,0,MATCH(AD$2,Inputs!$K$4:$AJ$4,0)))+SUMPRODUCT((Inputs!$C$5:$C$180=$B22)*Inputs!$D$5:$D$180*(((Inputs!$G$5:$G$180="moeda")+(Inputs!$G$5:$G$180="acoes"))*Inputs!$B$1+((Inputs!$G$5:$G$180&lt;&gt;"moeda")*(Inputs!$G$5:$G$180&lt;&gt;"acoes")))*INDEX(Inputs!$K$5:$AJ$180,0,MATCH(AD$2,Inputs!$K$4:$AJ$4,0)))+SUMPRODUCT((Inputs!$E$5:$E$180=$B22)*Inputs!$F$5:$F$180*(((Inputs!$G$5:$G$180="moeda")+(Inputs!$G$5:$G$180="acoes"))*Inputs!$B$1+((Inputs!$G$5:$G$180&lt;&gt;"moeda")*(Inputs!$G$5:$G$180&lt;&gt;"acoes")))*INDEX(Inputs!$K$5:$AJ$180,0,MATCH(AD$2,Inputs!$K$4:$AJ$4,0)))))</f>
        <v>1404.052</v>
      </c>
      <c r="AE22" s="6" t="e">
        <f>IF(ISNA(MATCH(AE$2,Inputs!$K$4:$AJ$4,0)),NA(),IF(SUMPRODUCT((Inputs!$A$5:$A$180=$B22)*ISNUMBER(INDEX(Inputs!$K$5:$AJ$180,0,MATCH(AE$2,Inputs!$K$4:$AJ$4,0))))+SUMPRODUCT((Inputs!$C$5:$C$180=$B22)*ISNUMBER(INDEX(Inputs!$K$5:$AJ$180,0,MATCH(AE$2,Inputs!$K$4:$AJ$4,0))))+SUMPRODUCT((Inputs!$E$5:$E$180=$B22)*ISNUMBER(INDEX(Inputs!$K$5:$AJ$180,0,MATCH(AE$2,Inputs!$K$4:$AJ$4,0))))=0,NA(),SUMPRODUCT((Inputs!$A$5:$A$180=$B22)*Inputs!$B$5:$B$180*(((Inputs!$G$5:$G$180="moeda")+(Inputs!$G$5:$G$180="acoes"))*Inputs!$B$1+((Inputs!$G$5:$G$180&lt;&gt;"moeda")*(Inputs!$G$5:$G$180&lt;&gt;"acoes")))*INDEX(Inputs!$K$5:$AJ$180,0,MATCH(AE$2,Inputs!$K$4:$AJ$4,0)))+SUMPRODUCT((Inputs!$C$5:$C$180=$B22)*Inputs!$D$5:$D$180*(((Inputs!$G$5:$G$180="moeda")+(Inputs!$G$5:$G$180="acoes"))*Inputs!$B$1+((Inputs!$G$5:$G$180&lt;&gt;"moeda")*(Inputs!$G$5:$G$180&lt;&gt;"acoes")))*INDEX(Inputs!$K$5:$AJ$180,0,MATCH(AE$2,Inputs!$K$4:$AJ$4,0)))+SUMPRODUCT((Inputs!$E$5:$E$180=$B22)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2" s="6" t="e">
        <f>IF(ISNA(MATCH(AF$2,Inputs!$K$4:$AJ$4,0)),NA(),IF(SUMPRODUCT((Inputs!$A$5:$A$180=$B22)*ISNUMBER(INDEX(Inputs!$K$5:$AJ$180,0,MATCH(AF$2,Inputs!$K$4:$AJ$4,0))))+SUMPRODUCT((Inputs!$C$5:$C$180=$B22)*ISNUMBER(INDEX(Inputs!$K$5:$AJ$180,0,MATCH(AF$2,Inputs!$K$4:$AJ$4,0))))+SUMPRODUCT((Inputs!$E$5:$E$180=$B22)*ISNUMBER(INDEX(Inputs!$K$5:$AJ$180,0,MATCH(AF$2,Inputs!$K$4:$AJ$4,0))))=0,NA(),SUMPRODUCT((Inputs!$A$5:$A$180=$B22)*Inputs!$B$5:$B$180*(((Inputs!$G$5:$G$180="moeda")+(Inputs!$G$5:$G$180="acoes"))*Inputs!$B$1+((Inputs!$G$5:$G$180&lt;&gt;"moeda")*(Inputs!$G$5:$G$180&lt;&gt;"acoes")))*INDEX(Inputs!$K$5:$AJ$180,0,MATCH(AF$2,Inputs!$K$4:$AJ$4,0)))+SUMPRODUCT((Inputs!$C$5:$C$180=$B22)*Inputs!$D$5:$D$180*(((Inputs!$G$5:$G$180="moeda")+(Inputs!$G$5:$G$180="acoes"))*Inputs!$B$1+((Inputs!$G$5:$G$180&lt;&gt;"moeda")*(Inputs!$G$5:$G$180&lt;&gt;"acoes")))*INDEX(Inputs!$K$5:$AJ$180,0,MATCH(AF$2,Inputs!$K$4:$AJ$4,0)))+SUMPRODUCT((Inputs!$E$5:$E$180=$B22)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2" s="3" t="e">
        <f>AF22</f>
        <v>#N/A</v>
      </c>
      <c r="AH22" s="6">
        <f>IF(ISNA(MATCH(AH$2,Inputs!$K$4:$AJ$4,0)),NA(),IF(SUMPRODUCT((Inputs!$A$5:$A$180=$B22)*ISNUMBER(INDEX(Inputs!$K$5:$AJ$180,0,MATCH(AH$2,Inputs!$K$4:$AJ$4,0))))+SUMPRODUCT((Inputs!$C$5:$C$180=$B22)*ISNUMBER(INDEX(Inputs!$K$5:$AJ$180,0,MATCH(AH$2,Inputs!$K$4:$AJ$4,0))))+SUMPRODUCT((Inputs!$E$5:$E$180=$B22)*ISNUMBER(INDEX(Inputs!$K$5:$AJ$180,0,MATCH(AH$2,Inputs!$K$4:$AJ$4,0))))=0,NA(),SUMPRODUCT((Inputs!$A$5:$A$180=$B22)*Inputs!$B$5:$B$180*(((Inputs!$G$5:$G$180="moeda")+(Inputs!$G$5:$G$180="acoes"))*Inputs!$B$1+((Inputs!$G$5:$G$180&lt;&gt;"moeda")*(Inputs!$G$5:$G$180&lt;&gt;"acoes")))*INDEX(Inputs!$K$5:$AJ$180,0,MATCH(AH$2,Inputs!$K$4:$AJ$4,0)))+SUMPRODUCT((Inputs!$C$5:$C$180=$B22)*Inputs!$D$5:$D$180*(((Inputs!$G$5:$G$180="moeda")+(Inputs!$G$5:$G$180="acoes"))*Inputs!$B$1+((Inputs!$G$5:$G$180&lt;&gt;"moeda")*(Inputs!$G$5:$G$180&lt;&gt;"acoes")))*INDEX(Inputs!$K$5:$AJ$180,0,MATCH(AH$2,Inputs!$K$4:$AJ$4,0)))+SUMPRODUCT((Inputs!$E$5:$E$180=$B22)*Inputs!$F$5:$F$180*(((Inputs!$G$5:$G$180="moeda")+(Inputs!$G$5:$G$180="acoes"))*Inputs!$B$1+((Inputs!$G$5:$G$180&lt;&gt;"moeda")*(Inputs!$G$5:$G$180&lt;&gt;"acoes")))*INDEX(Inputs!$K$5:$AJ$180,0,MATCH(AH$2,Inputs!$K$4:$AJ$4,0)))))</f>
        <v>754.229636302314</v>
      </c>
      <c r="AI22" s="6">
        <f>IF(ISNA(MATCH(AI$2,Inputs!$K$4:$AJ$4,0)),NA(),IF(SUMPRODUCT((Inputs!$A$5:$A$180=$B22)*ISNUMBER(INDEX(Inputs!$K$5:$AJ$180,0,MATCH(AI$2,Inputs!$K$4:$AJ$4,0))))+SUMPRODUCT((Inputs!$C$5:$C$180=$B22)*ISNUMBER(INDEX(Inputs!$K$5:$AJ$180,0,MATCH(AI$2,Inputs!$K$4:$AJ$4,0))))+SUMPRODUCT((Inputs!$E$5:$E$180=$B22)*ISNUMBER(INDEX(Inputs!$K$5:$AJ$180,0,MATCH(AI$2,Inputs!$K$4:$AJ$4,0))))=0,NA(),SUMPRODUCT((Inputs!$A$5:$A$180=$B22)*Inputs!$B$5:$B$180*(((Inputs!$G$5:$G$180="moeda")+(Inputs!$G$5:$G$180="acoes"))*Inputs!$B$1+((Inputs!$G$5:$G$180&lt;&gt;"moeda")*(Inputs!$G$5:$G$180&lt;&gt;"acoes")))*INDEX(Inputs!$K$5:$AJ$180,0,MATCH(AI$2,Inputs!$K$4:$AJ$4,0)))+SUMPRODUCT((Inputs!$C$5:$C$180=$B22)*Inputs!$D$5:$D$180*(((Inputs!$G$5:$G$180="moeda")+(Inputs!$G$5:$G$180="acoes"))*Inputs!$B$1+((Inputs!$G$5:$G$180&lt;&gt;"moeda")*(Inputs!$G$5:$G$180&lt;&gt;"acoes")))*INDEX(Inputs!$K$5:$AJ$180,0,MATCH(AI$2,Inputs!$K$4:$AJ$4,0)))+SUMPRODUCT((Inputs!$E$5:$E$180=$B22)*Inputs!$F$5:$F$180*(((Inputs!$G$5:$G$180="moeda")+(Inputs!$G$5:$G$180="acoes"))*Inputs!$B$1+((Inputs!$G$5:$G$180&lt;&gt;"moeda")*(Inputs!$G$5:$G$180&lt;&gt;"acoes")))*INDEX(Inputs!$K$5:$AJ$180,0,MATCH(AI$2,Inputs!$K$4:$AJ$4,0)))))</f>
        <v>738.340821293317</v>
      </c>
      <c r="AJ22" s="6">
        <f>IF(ISNA(MATCH(AJ$2,Inputs!$K$4:$AJ$4,0)),NA(),IF(SUMPRODUCT((Inputs!$A$5:$A$180=$B22)*ISNUMBER(INDEX(Inputs!$K$5:$AJ$180,0,MATCH(AJ$2,Inputs!$K$4:$AJ$4,0))))+SUMPRODUCT((Inputs!$C$5:$C$180=$B22)*ISNUMBER(INDEX(Inputs!$K$5:$AJ$180,0,MATCH(AJ$2,Inputs!$K$4:$AJ$4,0))))+SUMPRODUCT((Inputs!$E$5:$E$180=$B22)*ISNUMBER(INDEX(Inputs!$K$5:$AJ$180,0,MATCH(AJ$2,Inputs!$K$4:$AJ$4,0))))=0,NA(),SUMPRODUCT((Inputs!$A$5:$A$180=$B22)*Inputs!$B$5:$B$180*(((Inputs!$G$5:$G$180="moeda")+(Inputs!$G$5:$G$180="acoes"))*Inputs!$B$1+((Inputs!$G$5:$G$180&lt;&gt;"moeda")*(Inputs!$G$5:$G$180&lt;&gt;"acoes")))*INDEX(Inputs!$K$5:$AJ$180,0,MATCH(AJ$2,Inputs!$K$4:$AJ$4,0)))+SUMPRODUCT((Inputs!$C$5:$C$180=$B22)*Inputs!$D$5:$D$180*(((Inputs!$G$5:$G$180="moeda")+(Inputs!$G$5:$G$180="acoes"))*Inputs!$B$1+((Inputs!$G$5:$G$180&lt;&gt;"moeda")*(Inputs!$G$5:$G$180&lt;&gt;"acoes")))*INDEX(Inputs!$K$5:$AJ$180,0,MATCH(AJ$2,Inputs!$K$4:$AJ$4,0)))+SUMPRODUCT((Inputs!$E$5:$E$180=$B22)*Inputs!$F$5:$F$180*(((Inputs!$G$5:$G$180="moeda")+(Inputs!$G$5:$G$180="acoes"))*Inputs!$B$1+((Inputs!$G$5:$G$180&lt;&gt;"moeda")*(Inputs!$G$5:$G$180&lt;&gt;"acoes")))*INDEX(Inputs!$K$5:$AJ$180,0,MATCH(AJ$2,Inputs!$K$4:$AJ$4,0)))))</f>
        <v>707.7424608929</v>
      </c>
      <c r="AK22" s="6">
        <f>IF(ISNA(MATCH(AK$2,Inputs!$K$4:$AJ$4,0)),NA(),IF(SUMPRODUCT((Inputs!$A$5:$A$180=$B22)*ISNUMBER(INDEX(Inputs!$K$5:$AJ$180,0,MATCH(AK$2,Inputs!$K$4:$AJ$4,0))))+SUMPRODUCT((Inputs!$C$5:$C$180=$B22)*ISNUMBER(INDEX(Inputs!$K$5:$AJ$180,0,MATCH(AK$2,Inputs!$K$4:$AJ$4,0))))+SUMPRODUCT((Inputs!$E$5:$E$180=$B22)*ISNUMBER(INDEX(Inputs!$K$5:$AJ$180,0,MATCH(AK$2,Inputs!$K$4:$AJ$4,0))))=0,NA(),SUMPRODUCT((Inputs!$A$5:$A$180=$B22)*Inputs!$B$5:$B$180*(((Inputs!$G$5:$G$180="moeda")+(Inputs!$G$5:$G$180="acoes"))*Inputs!$B$1+((Inputs!$G$5:$G$180&lt;&gt;"moeda")*(Inputs!$G$5:$G$180&lt;&gt;"acoes")))*INDEX(Inputs!$K$5:$AJ$180,0,MATCH(AK$2,Inputs!$K$4:$AJ$4,0)))+SUMPRODUCT((Inputs!$C$5:$C$180=$B22)*Inputs!$D$5:$D$180*(((Inputs!$G$5:$G$180="moeda")+(Inputs!$G$5:$G$180="acoes"))*Inputs!$B$1+((Inputs!$G$5:$G$180&lt;&gt;"moeda")*(Inputs!$G$5:$G$180&lt;&gt;"acoes")))*INDEX(Inputs!$K$5:$AJ$180,0,MATCH(AK$2,Inputs!$K$4:$AJ$4,0)))+SUMPRODUCT((Inputs!$E$5:$E$180=$B22)*Inputs!$F$5:$F$180*(((Inputs!$G$5:$G$180="moeda")+(Inputs!$G$5:$G$180="acoes"))*Inputs!$B$1+((Inputs!$G$5:$G$180&lt;&gt;"moeda")*(Inputs!$G$5:$G$180&lt;&gt;"acoes")))*INDEX(Inputs!$K$5:$AJ$180,0,MATCH(AK$2,Inputs!$K$4:$AJ$4,0)))))</f>
        <v>708.768648562485</v>
      </c>
      <c r="AL22" s="3">
        <f>AK22</f>
        <v>708.768648562485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$180=$B23)*ISNUMBER(INDEX(Inputs!$K$5:$AJ$180,0,MATCH(D$2,Inputs!$K$4:$AJ$4,0))))+SUMPRODUCT((Inputs!$C$5:$C$180=$B23)*ISNUMBER(INDEX(Inputs!$K$5:$AJ$180,0,MATCH(D$2,Inputs!$K$4:$AJ$4,0))))+SUMPRODUCT((Inputs!$E$5:$E$180=$B23)*ISNUMBER(INDEX(Inputs!$K$5:$AJ$180,0,MATCH(D$2,Inputs!$K$4:$AJ$4,0))))=0,NA(),SUMPRODUCT((Inputs!$A$5:$A$180=$B23)*Inputs!$B$5:$B$180*(((Inputs!$G$5:$G$180="moeda")+(Inputs!$G$5:$G$180="acoes"))*Inputs!$B$1+((Inputs!$G$5:$G$180&lt;&gt;"moeda")*(Inputs!$G$5:$G$180&lt;&gt;"acoes")))*INDEX(Inputs!$K$5:$AJ$180,0,MATCH(D$2,Inputs!$K$4:$AJ$4,0)))+SUMPRODUCT((Inputs!$C$5:$C$180=$B23)*Inputs!$D$5:$D$180*(((Inputs!$G$5:$G$180="moeda")+(Inputs!$G$5:$G$180="acoes"))*Inputs!$B$1+((Inputs!$G$5:$G$180&lt;&gt;"moeda")*(Inputs!$G$5:$G$180&lt;&gt;"acoes")))*INDEX(Inputs!$K$5:$AJ$180,0,MATCH(D$2,Inputs!$K$4:$AJ$4,0)))+SUMPRODUCT((Inputs!$E$5:$E$180=$B23)*Inputs!$F$5:$F$180*(((Inputs!$G$5:$G$180="moeda")+(Inputs!$G$5:$G$180="acoes"))*Inputs!$B$1+((Inputs!$G$5:$G$180&lt;&gt;"moeda")*(Inputs!$G$5:$G$180&lt;&gt;"acoes")))*INDEX(Inputs!$K$5:$AJ$180,0,MATCH(D$2,Inputs!$K$4:$AJ$4,0)))))</f>
        <v>700.21256363</v>
      </c>
      <c r="E23" s="6">
        <f>IF(ISNA(MATCH(E$2,Inputs!$K$4:$AJ$4,0)),NA(),IF(SUMPRODUCT((Inputs!$A$5:$A$180=$B23)*ISNUMBER(INDEX(Inputs!$K$5:$AJ$180,0,MATCH(E$2,Inputs!$K$4:$AJ$4,0))))+SUMPRODUCT((Inputs!$C$5:$C$180=$B23)*ISNUMBER(INDEX(Inputs!$K$5:$AJ$180,0,MATCH(E$2,Inputs!$K$4:$AJ$4,0))))+SUMPRODUCT((Inputs!$E$5:$E$180=$B23)*ISNUMBER(INDEX(Inputs!$K$5:$AJ$180,0,MATCH(E$2,Inputs!$K$4:$AJ$4,0))))=0,NA(),SUMPRODUCT((Inputs!$A$5:$A$180=$B23)*Inputs!$B$5:$B$180*(((Inputs!$G$5:$G$180="moeda")+(Inputs!$G$5:$G$180="acoes"))*Inputs!$B$1+((Inputs!$G$5:$G$180&lt;&gt;"moeda")*(Inputs!$G$5:$G$180&lt;&gt;"acoes")))*INDEX(Inputs!$K$5:$AJ$180,0,MATCH(E$2,Inputs!$K$4:$AJ$4,0)))+SUMPRODUCT((Inputs!$C$5:$C$180=$B23)*Inputs!$D$5:$D$180*(((Inputs!$G$5:$G$180="moeda")+(Inputs!$G$5:$G$180="acoes"))*Inputs!$B$1+((Inputs!$G$5:$G$180&lt;&gt;"moeda")*(Inputs!$G$5:$G$180&lt;&gt;"acoes")))*INDEX(Inputs!$K$5:$AJ$180,0,MATCH(E$2,Inputs!$K$4:$AJ$4,0)))+SUMPRODUCT((Inputs!$E$5:$E$180=$B23)*Inputs!$F$5:$F$180*(((Inputs!$G$5:$G$180="moeda")+(Inputs!$G$5:$G$180="acoes"))*Inputs!$B$1+((Inputs!$G$5:$G$180&lt;&gt;"moeda")*(Inputs!$G$5:$G$180&lt;&gt;"acoes")))*INDEX(Inputs!$K$5:$AJ$180,0,MATCH(E$2,Inputs!$K$4:$AJ$4,0)))))</f>
        <v>682.61007549</v>
      </c>
      <c r="F23" s="6">
        <f>IF(ISNA(MATCH(F$2,Inputs!$K$4:$AJ$4,0)),NA(),IF(SUMPRODUCT((Inputs!$A$5:$A$180=$B23)*ISNUMBER(INDEX(Inputs!$K$5:$AJ$180,0,MATCH(F$2,Inputs!$K$4:$AJ$4,0))))+SUMPRODUCT((Inputs!$C$5:$C$180=$B23)*ISNUMBER(INDEX(Inputs!$K$5:$AJ$180,0,MATCH(F$2,Inputs!$K$4:$AJ$4,0))))+SUMPRODUCT((Inputs!$E$5:$E$180=$B23)*ISNUMBER(INDEX(Inputs!$K$5:$AJ$180,0,MATCH(F$2,Inputs!$K$4:$AJ$4,0))))=0,NA(),SUMPRODUCT((Inputs!$A$5:$A$180=$B23)*Inputs!$B$5:$B$180*(((Inputs!$G$5:$G$180="moeda")+(Inputs!$G$5:$G$180="acoes"))*Inputs!$B$1+((Inputs!$G$5:$G$180&lt;&gt;"moeda")*(Inputs!$G$5:$G$180&lt;&gt;"acoes")))*INDEX(Inputs!$K$5:$AJ$180,0,MATCH(F$2,Inputs!$K$4:$AJ$4,0)))+SUMPRODUCT((Inputs!$C$5:$C$180=$B23)*Inputs!$D$5:$D$180*(((Inputs!$G$5:$G$180="moeda")+(Inputs!$G$5:$G$180="acoes"))*Inputs!$B$1+((Inputs!$G$5:$G$180&lt;&gt;"moeda")*(Inputs!$G$5:$G$180&lt;&gt;"acoes")))*INDEX(Inputs!$K$5:$AJ$180,0,MATCH(F$2,Inputs!$K$4:$AJ$4,0)))+SUMPRODUCT((Inputs!$E$5:$E$180=$B23)*Inputs!$F$5:$F$180*(((Inputs!$G$5:$G$180="moeda")+(Inputs!$G$5:$G$180="acoes"))*Inputs!$B$1+((Inputs!$G$5:$G$180&lt;&gt;"moeda")*(Inputs!$G$5:$G$180&lt;&gt;"acoes")))*INDEX(Inputs!$K$5:$AJ$180,0,MATCH(F$2,Inputs!$K$4:$AJ$4,0)))))</f>
        <v>691.23293304</v>
      </c>
      <c r="G23" s="6">
        <f>IF(ISNA(MATCH(G$2,Inputs!$K$4:$AJ$4,0)),NA(),IF(SUMPRODUCT((Inputs!$A$5:$A$180=$B23)*ISNUMBER(INDEX(Inputs!$K$5:$AJ$180,0,MATCH(G$2,Inputs!$K$4:$AJ$4,0))))+SUMPRODUCT((Inputs!$C$5:$C$180=$B23)*ISNUMBER(INDEX(Inputs!$K$5:$AJ$180,0,MATCH(G$2,Inputs!$K$4:$AJ$4,0))))+SUMPRODUCT((Inputs!$E$5:$E$180=$B23)*ISNUMBER(INDEX(Inputs!$K$5:$AJ$180,0,MATCH(G$2,Inputs!$K$4:$AJ$4,0))))=0,NA(),SUMPRODUCT((Inputs!$A$5:$A$180=$B23)*Inputs!$B$5:$B$180*(((Inputs!$G$5:$G$180="moeda")+(Inputs!$G$5:$G$180="acoes"))*Inputs!$B$1+((Inputs!$G$5:$G$180&lt;&gt;"moeda")*(Inputs!$G$5:$G$180&lt;&gt;"acoes")))*INDEX(Inputs!$K$5:$AJ$180,0,MATCH(G$2,Inputs!$K$4:$AJ$4,0)))+SUMPRODUCT((Inputs!$C$5:$C$180=$B23)*Inputs!$D$5:$D$180*(((Inputs!$G$5:$G$180="moeda")+(Inputs!$G$5:$G$180="acoes"))*Inputs!$B$1+((Inputs!$G$5:$G$180&lt;&gt;"moeda")*(Inputs!$G$5:$G$180&lt;&gt;"acoes")))*INDEX(Inputs!$K$5:$AJ$180,0,MATCH(G$2,Inputs!$K$4:$AJ$4,0)))+SUMPRODUCT((Inputs!$E$5:$E$180=$B23)*Inputs!$F$5:$F$180*(((Inputs!$G$5:$G$180="moeda")+(Inputs!$G$5:$G$180="acoes"))*Inputs!$B$1+((Inputs!$G$5:$G$180&lt;&gt;"moeda")*(Inputs!$G$5:$G$180&lt;&gt;"acoes")))*INDEX(Inputs!$K$5:$AJ$180,0,MATCH(G$2,Inputs!$K$4:$AJ$4,0)))))</f>
        <v>750.77481334</v>
      </c>
      <c r="H23" s="3">
        <f>G23</f>
        <v>750.77481334</v>
      </c>
      <c r="I23" s="6">
        <f>IF(ISNA(MATCH(I$2,Inputs!$K$4:$AJ$4,0)),NA(),IF(SUMPRODUCT((Inputs!$A$5:$A$180=$B23)*ISNUMBER(INDEX(Inputs!$K$5:$AJ$180,0,MATCH(I$2,Inputs!$K$4:$AJ$4,0))))+SUMPRODUCT((Inputs!$C$5:$C$180=$B23)*ISNUMBER(INDEX(Inputs!$K$5:$AJ$180,0,MATCH(I$2,Inputs!$K$4:$AJ$4,0))))+SUMPRODUCT((Inputs!$E$5:$E$180=$B23)*ISNUMBER(INDEX(Inputs!$K$5:$AJ$180,0,MATCH(I$2,Inputs!$K$4:$AJ$4,0))))=0,NA(),SUMPRODUCT((Inputs!$A$5:$A$180=$B23)*Inputs!$B$5:$B$180*(((Inputs!$G$5:$G$180="moeda")+(Inputs!$G$5:$G$180="acoes"))*Inputs!$B$1+((Inputs!$G$5:$G$180&lt;&gt;"moeda")*(Inputs!$G$5:$G$180&lt;&gt;"acoes")))*INDEX(Inputs!$K$5:$AJ$180,0,MATCH(I$2,Inputs!$K$4:$AJ$4,0)))+SUMPRODUCT((Inputs!$C$5:$C$180=$B23)*Inputs!$D$5:$D$180*(((Inputs!$G$5:$G$180="moeda")+(Inputs!$G$5:$G$180="acoes"))*Inputs!$B$1+((Inputs!$G$5:$G$180&lt;&gt;"moeda")*(Inputs!$G$5:$G$180&lt;&gt;"acoes")))*INDEX(Inputs!$K$5:$AJ$180,0,MATCH(I$2,Inputs!$K$4:$AJ$4,0)))+SUMPRODUCT((Inputs!$E$5:$E$180=$B23)*Inputs!$F$5:$F$180*(((Inputs!$G$5:$G$180="moeda")+(Inputs!$G$5:$G$180="acoes"))*Inputs!$B$1+((Inputs!$G$5:$G$180&lt;&gt;"moeda")*(Inputs!$G$5:$G$180&lt;&gt;"acoes")))*INDEX(Inputs!$K$5:$AJ$180,0,MATCH(I$2,Inputs!$K$4:$AJ$4,0)))))</f>
        <v>793.13655731</v>
      </c>
      <c r="J23" s="6">
        <f>IF(ISNA(MATCH(J$2,Inputs!$K$4:$AJ$4,0)),NA(),IF(SUMPRODUCT((Inputs!$A$5:$A$180=$B23)*ISNUMBER(INDEX(Inputs!$K$5:$AJ$180,0,MATCH(J$2,Inputs!$K$4:$AJ$4,0))))+SUMPRODUCT((Inputs!$C$5:$C$180=$B23)*ISNUMBER(INDEX(Inputs!$K$5:$AJ$180,0,MATCH(J$2,Inputs!$K$4:$AJ$4,0))))+SUMPRODUCT((Inputs!$E$5:$E$180=$B23)*ISNUMBER(INDEX(Inputs!$K$5:$AJ$180,0,MATCH(J$2,Inputs!$K$4:$AJ$4,0))))=0,NA(),SUMPRODUCT((Inputs!$A$5:$A$180=$B23)*Inputs!$B$5:$B$180*(((Inputs!$G$5:$G$180="moeda")+(Inputs!$G$5:$G$180="acoes"))*Inputs!$B$1+((Inputs!$G$5:$G$180&lt;&gt;"moeda")*(Inputs!$G$5:$G$180&lt;&gt;"acoes")))*INDEX(Inputs!$K$5:$AJ$180,0,MATCH(J$2,Inputs!$K$4:$AJ$4,0)))+SUMPRODUCT((Inputs!$C$5:$C$180=$B23)*Inputs!$D$5:$D$180*(((Inputs!$G$5:$G$180="moeda")+(Inputs!$G$5:$G$180="acoes"))*Inputs!$B$1+((Inputs!$G$5:$G$180&lt;&gt;"moeda")*(Inputs!$G$5:$G$180&lt;&gt;"acoes")))*INDEX(Inputs!$K$5:$AJ$180,0,MATCH(J$2,Inputs!$K$4:$AJ$4,0)))+SUMPRODUCT((Inputs!$E$5:$E$180=$B23)*Inputs!$F$5:$F$180*(((Inputs!$G$5:$G$180="moeda")+(Inputs!$G$5:$G$180="acoes"))*Inputs!$B$1+((Inputs!$G$5:$G$180&lt;&gt;"moeda")*(Inputs!$G$5:$G$180&lt;&gt;"acoes")))*INDEX(Inputs!$K$5:$AJ$180,0,MATCH(J$2,Inputs!$K$4:$AJ$4,0)))))</f>
        <v>819.19444533</v>
      </c>
      <c r="K23" s="6">
        <f>IF(ISNA(MATCH(K$2,Inputs!$K$4:$AJ$4,0)),NA(),IF(SUMPRODUCT((Inputs!$A$5:$A$180=$B23)*ISNUMBER(INDEX(Inputs!$K$5:$AJ$180,0,MATCH(K$2,Inputs!$K$4:$AJ$4,0))))+SUMPRODUCT((Inputs!$C$5:$C$180=$B23)*ISNUMBER(INDEX(Inputs!$K$5:$AJ$180,0,MATCH(K$2,Inputs!$K$4:$AJ$4,0))))+SUMPRODUCT((Inputs!$E$5:$E$180=$B23)*ISNUMBER(INDEX(Inputs!$K$5:$AJ$180,0,MATCH(K$2,Inputs!$K$4:$AJ$4,0))))=0,NA(),SUMPRODUCT((Inputs!$A$5:$A$180=$B23)*Inputs!$B$5:$B$180*(((Inputs!$G$5:$G$180="moeda")+(Inputs!$G$5:$G$180="acoes"))*Inputs!$B$1+((Inputs!$G$5:$G$180&lt;&gt;"moeda")*(Inputs!$G$5:$G$180&lt;&gt;"acoes")))*INDEX(Inputs!$K$5:$AJ$180,0,MATCH(K$2,Inputs!$K$4:$AJ$4,0)))+SUMPRODUCT((Inputs!$C$5:$C$180=$B23)*Inputs!$D$5:$D$180*(((Inputs!$G$5:$G$180="moeda")+(Inputs!$G$5:$G$180="acoes"))*Inputs!$B$1+((Inputs!$G$5:$G$180&lt;&gt;"moeda")*(Inputs!$G$5:$G$180&lt;&gt;"acoes")))*INDEX(Inputs!$K$5:$AJ$180,0,MATCH(K$2,Inputs!$K$4:$AJ$4,0)))+SUMPRODUCT((Inputs!$E$5:$E$180=$B23)*Inputs!$F$5:$F$180*(((Inputs!$G$5:$G$180="moeda")+(Inputs!$G$5:$G$180="acoes"))*Inputs!$B$1+((Inputs!$G$5:$G$180&lt;&gt;"moeda")*(Inputs!$G$5:$G$180&lt;&gt;"acoes")))*INDEX(Inputs!$K$5:$AJ$180,0,MATCH(K$2,Inputs!$K$4:$AJ$4,0)))))</f>
        <v>800.2101333</v>
      </c>
      <c r="L23" s="6">
        <f>IF(ISNA(MATCH(L$2,Inputs!$K$4:$AJ$4,0)),NA(),IF(SUMPRODUCT((Inputs!$A$5:$A$180=$B23)*ISNUMBER(INDEX(Inputs!$K$5:$AJ$180,0,MATCH(L$2,Inputs!$K$4:$AJ$4,0))))+SUMPRODUCT((Inputs!$C$5:$C$180=$B23)*ISNUMBER(INDEX(Inputs!$K$5:$AJ$180,0,MATCH(L$2,Inputs!$K$4:$AJ$4,0))))+SUMPRODUCT((Inputs!$E$5:$E$180=$B23)*ISNUMBER(INDEX(Inputs!$K$5:$AJ$180,0,MATCH(L$2,Inputs!$K$4:$AJ$4,0))))=0,NA(),SUMPRODUCT((Inputs!$A$5:$A$180=$B23)*Inputs!$B$5:$B$180*(((Inputs!$G$5:$G$180="moeda")+(Inputs!$G$5:$G$180="acoes"))*Inputs!$B$1+((Inputs!$G$5:$G$180&lt;&gt;"moeda")*(Inputs!$G$5:$G$180&lt;&gt;"acoes")))*INDEX(Inputs!$K$5:$AJ$180,0,MATCH(L$2,Inputs!$K$4:$AJ$4,0)))+SUMPRODUCT((Inputs!$C$5:$C$180=$B23)*Inputs!$D$5:$D$180*(((Inputs!$G$5:$G$180="moeda")+(Inputs!$G$5:$G$180="acoes"))*Inputs!$B$1+((Inputs!$G$5:$G$180&lt;&gt;"moeda")*(Inputs!$G$5:$G$180&lt;&gt;"acoes")))*INDEX(Inputs!$K$5:$AJ$180,0,MATCH(L$2,Inputs!$K$4:$AJ$4,0)))+SUMPRODUCT((Inputs!$E$5:$E$180=$B23)*Inputs!$F$5:$F$180*(((Inputs!$G$5:$G$180="moeda")+(Inputs!$G$5:$G$180="acoes"))*Inputs!$B$1+((Inputs!$G$5:$G$180&lt;&gt;"moeda")*(Inputs!$G$5:$G$180&lt;&gt;"acoes")))*INDEX(Inputs!$K$5:$AJ$180,0,MATCH(L$2,Inputs!$K$4:$AJ$4,0)))))</f>
        <v>1022.28667143</v>
      </c>
      <c r="M23" s="3">
        <f>L23</f>
        <v>1022.28667143</v>
      </c>
      <c r="N23" s="6">
        <f>IF(ISNA(MATCH(N$2,Inputs!$K$4:$AJ$4,0)),NA(),IF(SUMPRODUCT((Inputs!$A$5:$A$180=$B23)*ISNUMBER(INDEX(Inputs!$K$5:$AJ$180,0,MATCH(N$2,Inputs!$K$4:$AJ$4,0))))+SUMPRODUCT((Inputs!$C$5:$C$180=$B23)*ISNUMBER(INDEX(Inputs!$K$5:$AJ$180,0,MATCH(N$2,Inputs!$K$4:$AJ$4,0))))+SUMPRODUCT((Inputs!$E$5:$E$180=$B23)*ISNUMBER(INDEX(Inputs!$K$5:$AJ$180,0,MATCH(N$2,Inputs!$K$4:$AJ$4,0))))=0,NA(),SUMPRODUCT((Inputs!$A$5:$A$180=$B23)*Inputs!$B$5:$B$180*(((Inputs!$G$5:$G$180="moeda")+(Inputs!$G$5:$G$180="acoes"))*Inputs!$B$1+((Inputs!$G$5:$G$180&lt;&gt;"moeda")*(Inputs!$G$5:$G$180&lt;&gt;"acoes")))*INDEX(Inputs!$K$5:$AJ$180,0,MATCH(N$2,Inputs!$K$4:$AJ$4,0)))+SUMPRODUCT((Inputs!$C$5:$C$180=$B23)*Inputs!$D$5:$D$180*(((Inputs!$G$5:$G$180="moeda")+(Inputs!$G$5:$G$180="acoes"))*Inputs!$B$1+((Inputs!$G$5:$G$180&lt;&gt;"moeda")*(Inputs!$G$5:$G$180&lt;&gt;"acoes")))*INDEX(Inputs!$K$5:$AJ$180,0,MATCH(N$2,Inputs!$K$4:$AJ$4,0)))+SUMPRODUCT((Inputs!$E$5:$E$180=$B23)*Inputs!$F$5:$F$180*(((Inputs!$G$5:$G$180="moeda")+(Inputs!$G$5:$G$180="acoes"))*Inputs!$B$1+((Inputs!$G$5:$G$180&lt;&gt;"moeda")*(Inputs!$G$5:$G$180&lt;&gt;"acoes")))*INDEX(Inputs!$K$5:$AJ$180,0,MATCH(N$2,Inputs!$K$4:$AJ$4,0)))))</f>
        <v>1026.53310531</v>
      </c>
      <c r="O23" s="6">
        <f>IF(ISNA(MATCH(O$2,Inputs!$K$4:$AJ$4,0)),NA(),IF(SUMPRODUCT((Inputs!$A$5:$A$180=$B23)*ISNUMBER(INDEX(Inputs!$K$5:$AJ$180,0,MATCH(O$2,Inputs!$K$4:$AJ$4,0))))+SUMPRODUCT((Inputs!$C$5:$C$180=$B23)*ISNUMBER(INDEX(Inputs!$K$5:$AJ$180,0,MATCH(O$2,Inputs!$K$4:$AJ$4,0))))+SUMPRODUCT((Inputs!$E$5:$E$180=$B23)*ISNUMBER(INDEX(Inputs!$K$5:$AJ$180,0,MATCH(O$2,Inputs!$K$4:$AJ$4,0))))=0,NA(),SUMPRODUCT((Inputs!$A$5:$A$180=$B23)*Inputs!$B$5:$B$180*(((Inputs!$G$5:$G$180="moeda")+(Inputs!$G$5:$G$180="acoes"))*Inputs!$B$1+((Inputs!$G$5:$G$180&lt;&gt;"moeda")*(Inputs!$G$5:$G$180&lt;&gt;"acoes")))*INDEX(Inputs!$K$5:$AJ$180,0,MATCH(O$2,Inputs!$K$4:$AJ$4,0)))+SUMPRODUCT((Inputs!$C$5:$C$180=$B23)*Inputs!$D$5:$D$180*(((Inputs!$G$5:$G$180="moeda")+(Inputs!$G$5:$G$180="acoes"))*Inputs!$B$1+((Inputs!$G$5:$G$180&lt;&gt;"moeda")*(Inputs!$G$5:$G$180&lt;&gt;"acoes")))*INDEX(Inputs!$K$5:$AJ$180,0,MATCH(O$2,Inputs!$K$4:$AJ$4,0)))+SUMPRODUCT((Inputs!$E$5:$E$180=$B23)*Inputs!$F$5:$F$180*(((Inputs!$G$5:$G$180="moeda")+(Inputs!$G$5:$G$180="acoes"))*Inputs!$B$1+((Inputs!$G$5:$G$180&lt;&gt;"moeda")*(Inputs!$G$5:$G$180&lt;&gt;"acoes")))*INDEX(Inputs!$K$5:$AJ$180,0,MATCH(O$2,Inputs!$K$4:$AJ$4,0)))))</f>
        <v>1332.423</v>
      </c>
      <c r="P23" s="6">
        <f>IF(ISNA(MATCH(P$2,Inputs!$K$4:$AJ$4,0)),NA(),IF(SUMPRODUCT((Inputs!$A$5:$A$180=$B23)*ISNUMBER(INDEX(Inputs!$K$5:$AJ$180,0,MATCH(P$2,Inputs!$K$4:$AJ$4,0))))+SUMPRODUCT((Inputs!$C$5:$C$180=$B23)*ISNUMBER(INDEX(Inputs!$K$5:$AJ$180,0,MATCH(P$2,Inputs!$K$4:$AJ$4,0))))+SUMPRODUCT((Inputs!$E$5:$E$180=$B23)*ISNUMBER(INDEX(Inputs!$K$5:$AJ$180,0,MATCH(P$2,Inputs!$K$4:$AJ$4,0))))=0,NA(),SUMPRODUCT((Inputs!$A$5:$A$180=$B23)*Inputs!$B$5:$B$180*(((Inputs!$G$5:$G$180="moeda")+(Inputs!$G$5:$G$180="acoes"))*Inputs!$B$1+((Inputs!$G$5:$G$180&lt;&gt;"moeda")*(Inputs!$G$5:$G$180&lt;&gt;"acoes")))*INDEX(Inputs!$K$5:$AJ$180,0,MATCH(P$2,Inputs!$K$4:$AJ$4,0)))+SUMPRODUCT((Inputs!$C$5:$C$180=$B23)*Inputs!$D$5:$D$180*(((Inputs!$G$5:$G$180="moeda")+(Inputs!$G$5:$G$180="acoes"))*Inputs!$B$1+((Inputs!$G$5:$G$180&lt;&gt;"moeda")*(Inputs!$G$5:$G$180&lt;&gt;"acoes")))*INDEX(Inputs!$K$5:$AJ$180,0,MATCH(P$2,Inputs!$K$4:$AJ$4,0)))+SUMPRODUCT((Inputs!$E$5:$E$180=$B23)*Inputs!$F$5:$F$180*(((Inputs!$G$5:$G$180="moeda")+(Inputs!$G$5:$G$180="acoes"))*Inputs!$B$1+((Inputs!$G$5:$G$180&lt;&gt;"moeda")*(Inputs!$G$5:$G$180&lt;&gt;"acoes")))*INDEX(Inputs!$K$5:$AJ$180,0,MATCH(P$2,Inputs!$K$4:$AJ$4,0)))))</f>
        <v>1296.497</v>
      </c>
      <c r="Q23" s="6">
        <f>IF(ISNA(MATCH(Q$2,Inputs!$K$4:$AJ$4,0)),NA(),IF(SUMPRODUCT((Inputs!$A$5:$A$180=$B23)*ISNUMBER(INDEX(Inputs!$K$5:$AJ$180,0,MATCH(Q$2,Inputs!$K$4:$AJ$4,0))))+SUMPRODUCT((Inputs!$C$5:$C$180=$B23)*ISNUMBER(INDEX(Inputs!$K$5:$AJ$180,0,MATCH(Q$2,Inputs!$K$4:$AJ$4,0))))+SUMPRODUCT((Inputs!$E$5:$E$180=$B23)*ISNUMBER(INDEX(Inputs!$K$5:$AJ$180,0,MATCH(Q$2,Inputs!$K$4:$AJ$4,0))))=0,NA(),SUMPRODUCT((Inputs!$A$5:$A$180=$B23)*Inputs!$B$5:$B$180*(((Inputs!$G$5:$G$180="moeda")+(Inputs!$G$5:$G$180="acoes"))*Inputs!$B$1+((Inputs!$G$5:$G$180&lt;&gt;"moeda")*(Inputs!$G$5:$G$180&lt;&gt;"acoes")))*INDEX(Inputs!$K$5:$AJ$180,0,MATCH(Q$2,Inputs!$K$4:$AJ$4,0)))+SUMPRODUCT((Inputs!$C$5:$C$180=$B23)*Inputs!$D$5:$D$180*(((Inputs!$G$5:$G$180="moeda")+(Inputs!$G$5:$G$180="acoes"))*Inputs!$B$1+((Inputs!$G$5:$G$180&lt;&gt;"moeda")*(Inputs!$G$5:$G$180&lt;&gt;"acoes")))*INDEX(Inputs!$K$5:$AJ$180,0,MATCH(Q$2,Inputs!$K$4:$AJ$4,0)))+SUMPRODUCT((Inputs!$E$5:$E$180=$B23)*Inputs!$F$5:$F$180*(((Inputs!$G$5:$G$180="moeda")+(Inputs!$G$5:$G$180="acoes"))*Inputs!$B$1+((Inputs!$G$5:$G$180&lt;&gt;"moeda")*(Inputs!$G$5:$G$180&lt;&gt;"acoes")))*INDEX(Inputs!$K$5:$AJ$180,0,MATCH(Q$2,Inputs!$K$4:$AJ$4,0)))))</f>
        <v>1295.095</v>
      </c>
      <c r="R23" s="3">
        <f>Q23</f>
        <v>1295.095</v>
      </c>
      <c r="S23" s="6">
        <f>IF(ISNA(MATCH(S$2,Inputs!$K$4:$AJ$4,0)),NA(),IF(SUMPRODUCT((Inputs!$A$5:$A$180=$B23)*ISNUMBER(INDEX(Inputs!$K$5:$AJ$180,0,MATCH(S$2,Inputs!$K$4:$AJ$4,0))))+SUMPRODUCT((Inputs!$C$5:$C$180=$B23)*ISNUMBER(INDEX(Inputs!$K$5:$AJ$180,0,MATCH(S$2,Inputs!$K$4:$AJ$4,0))))+SUMPRODUCT((Inputs!$E$5:$E$180=$B23)*ISNUMBER(INDEX(Inputs!$K$5:$AJ$180,0,MATCH(S$2,Inputs!$K$4:$AJ$4,0))))=0,NA(),SUMPRODUCT((Inputs!$A$5:$A$180=$B23)*Inputs!$B$5:$B$180*(((Inputs!$G$5:$G$180="moeda")+(Inputs!$G$5:$G$180="acoes"))*Inputs!$B$1+((Inputs!$G$5:$G$180&lt;&gt;"moeda")*(Inputs!$G$5:$G$180&lt;&gt;"acoes")))*INDEX(Inputs!$K$5:$AJ$180,0,MATCH(S$2,Inputs!$K$4:$AJ$4,0)))+SUMPRODUCT((Inputs!$C$5:$C$180=$B23)*Inputs!$D$5:$D$180*(((Inputs!$G$5:$G$180="moeda")+(Inputs!$G$5:$G$180="acoes"))*Inputs!$B$1+((Inputs!$G$5:$G$180&lt;&gt;"moeda")*(Inputs!$G$5:$G$180&lt;&gt;"acoes")))*INDEX(Inputs!$K$5:$AJ$180,0,MATCH(S$2,Inputs!$K$4:$AJ$4,0)))+SUMPRODUCT((Inputs!$E$5:$E$180=$B23)*Inputs!$F$5:$F$180*(((Inputs!$G$5:$G$180="moeda")+(Inputs!$G$5:$G$180="acoes"))*Inputs!$B$1+((Inputs!$G$5:$G$180&lt;&gt;"moeda")*(Inputs!$G$5:$G$180&lt;&gt;"acoes")))*INDEX(Inputs!$K$5:$AJ$180,0,MATCH(S$2,Inputs!$K$4:$AJ$4,0)))))</f>
        <v>1249.703</v>
      </c>
      <c r="T23" s="6">
        <f>IF(ISNA(MATCH(T$2,Inputs!$K$4:$AJ$4,0)),NA(),IF(SUMPRODUCT((Inputs!$A$5:$A$180=$B23)*ISNUMBER(INDEX(Inputs!$K$5:$AJ$180,0,MATCH(T$2,Inputs!$K$4:$AJ$4,0))))+SUMPRODUCT((Inputs!$C$5:$C$180=$B23)*ISNUMBER(INDEX(Inputs!$K$5:$AJ$180,0,MATCH(T$2,Inputs!$K$4:$AJ$4,0))))+SUMPRODUCT((Inputs!$E$5:$E$180=$B23)*ISNUMBER(INDEX(Inputs!$K$5:$AJ$180,0,MATCH(T$2,Inputs!$K$4:$AJ$4,0))))=0,NA(),SUMPRODUCT((Inputs!$A$5:$A$180=$B23)*Inputs!$B$5:$B$180*(((Inputs!$G$5:$G$180="moeda")+(Inputs!$G$5:$G$180="acoes"))*Inputs!$B$1+((Inputs!$G$5:$G$180&lt;&gt;"moeda")*(Inputs!$G$5:$G$180&lt;&gt;"acoes")))*INDEX(Inputs!$K$5:$AJ$180,0,MATCH(T$2,Inputs!$K$4:$AJ$4,0)))+SUMPRODUCT((Inputs!$C$5:$C$180=$B23)*Inputs!$D$5:$D$180*(((Inputs!$G$5:$G$180="moeda")+(Inputs!$G$5:$G$180="acoes"))*Inputs!$B$1+((Inputs!$G$5:$G$180&lt;&gt;"moeda")*(Inputs!$G$5:$G$180&lt;&gt;"acoes")))*INDEX(Inputs!$K$5:$AJ$180,0,MATCH(T$2,Inputs!$K$4:$AJ$4,0)))+SUMPRODUCT((Inputs!$E$5:$E$180=$B23)*Inputs!$F$5:$F$180*(((Inputs!$G$5:$G$180="moeda")+(Inputs!$G$5:$G$180="acoes"))*Inputs!$B$1+((Inputs!$G$5:$G$180&lt;&gt;"moeda")*(Inputs!$G$5:$G$180&lt;&gt;"acoes")))*INDEX(Inputs!$K$5:$AJ$180,0,MATCH(T$2,Inputs!$K$4:$AJ$4,0)))))</f>
        <v>1202.109</v>
      </c>
      <c r="U23" s="6">
        <f>IF(ISNA(MATCH(U$2,Inputs!$K$4:$AJ$4,0)),NA(),IF(SUMPRODUCT((Inputs!$A$5:$A$180=$B23)*ISNUMBER(INDEX(Inputs!$K$5:$AJ$180,0,MATCH(U$2,Inputs!$K$4:$AJ$4,0))))+SUMPRODUCT((Inputs!$C$5:$C$180=$B23)*ISNUMBER(INDEX(Inputs!$K$5:$AJ$180,0,MATCH(U$2,Inputs!$K$4:$AJ$4,0))))+SUMPRODUCT((Inputs!$E$5:$E$180=$B23)*ISNUMBER(INDEX(Inputs!$K$5:$AJ$180,0,MATCH(U$2,Inputs!$K$4:$AJ$4,0))))=0,NA(),SUMPRODUCT((Inputs!$A$5:$A$180=$B23)*Inputs!$B$5:$B$180*(((Inputs!$G$5:$G$180="moeda")+(Inputs!$G$5:$G$180="acoes"))*Inputs!$B$1+((Inputs!$G$5:$G$180&lt;&gt;"moeda")*(Inputs!$G$5:$G$180&lt;&gt;"acoes")))*INDEX(Inputs!$K$5:$AJ$180,0,MATCH(U$2,Inputs!$K$4:$AJ$4,0)))+SUMPRODUCT((Inputs!$C$5:$C$180=$B23)*Inputs!$D$5:$D$180*(((Inputs!$G$5:$G$180="moeda")+(Inputs!$G$5:$G$180="acoes"))*Inputs!$B$1+((Inputs!$G$5:$G$180&lt;&gt;"moeda")*(Inputs!$G$5:$G$180&lt;&gt;"acoes")))*INDEX(Inputs!$K$5:$AJ$180,0,MATCH(U$2,Inputs!$K$4:$AJ$4,0)))+SUMPRODUCT((Inputs!$E$5:$E$180=$B23)*Inputs!$F$5:$F$180*(((Inputs!$G$5:$G$180="moeda")+(Inputs!$G$5:$G$180="acoes"))*Inputs!$B$1+((Inputs!$G$5:$G$180&lt;&gt;"moeda")*(Inputs!$G$5:$G$180&lt;&gt;"acoes")))*INDEX(Inputs!$K$5:$AJ$180,0,MATCH(U$2,Inputs!$K$4:$AJ$4,0)))))</f>
        <v>1159.406</v>
      </c>
      <c r="V23" s="6">
        <f>IF(ISNA(MATCH(V$2,Inputs!$K$4:$AJ$4,0)),NA(),IF(SUMPRODUCT((Inputs!$A$5:$A$180=$B23)*ISNUMBER(INDEX(Inputs!$K$5:$AJ$180,0,MATCH(V$2,Inputs!$K$4:$AJ$4,0))))+SUMPRODUCT((Inputs!$C$5:$C$180=$B23)*ISNUMBER(INDEX(Inputs!$K$5:$AJ$180,0,MATCH(V$2,Inputs!$K$4:$AJ$4,0))))+SUMPRODUCT((Inputs!$E$5:$E$180=$B23)*ISNUMBER(INDEX(Inputs!$K$5:$AJ$180,0,MATCH(V$2,Inputs!$K$4:$AJ$4,0))))=0,NA(),SUMPRODUCT((Inputs!$A$5:$A$180=$B23)*Inputs!$B$5:$B$180*(((Inputs!$G$5:$G$180="moeda")+(Inputs!$G$5:$G$180="acoes"))*Inputs!$B$1+((Inputs!$G$5:$G$180&lt;&gt;"moeda")*(Inputs!$G$5:$G$180&lt;&gt;"acoes")))*INDEX(Inputs!$K$5:$AJ$180,0,MATCH(V$2,Inputs!$K$4:$AJ$4,0)))+SUMPRODUCT((Inputs!$C$5:$C$180=$B23)*Inputs!$D$5:$D$180*(((Inputs!$G$5:$G$180="moeda")+(Inputs!$G$5:$G$180="acoes"))*Inputs!$B$1+((Inputs!$G$5:$G$180&lt;&gt;"moeda")*(Inputs!$G$5:$G$180&lt;&gt;"acoes")))*INDEX(Inputs!$K$5:$AJ$180,0,MATCH(V$2,Inputs!$K$4:$AJ$4,0)))+SUMPRODUCT((Inputs!$E$5:$E$180=$B23)*Inputs!$F$5:$F$180*(((Inputs!$G$5:$G$180="moeda")+(Inputs!$G$5:$G$180="acoes"))*Inputs!$B$1+((Inputs!$G$5:$G$180&lt;&gt;"moeda")*(Inputs!$G$5:$G$180&lt;&gt;"acoes")))*INDEX(Inputs!$K$5:$AJ$180,0,MATCH(V$2,Inputs!$K$4:$AJ$4,0)))))</f>
        <v>1138.643</v>
      </c>
      <c r="W23" s="3">
        <f>V23</f>
        <v>1138.643</v>
      </c>
      <c r="X23" s="6">
        <f>IF(ISNA(MATCH(X$2,Inputs!$K$4:$AJ$4,0)),NA(),IF(SUMPRODUCT((Inputs!$A$5:$A$180=$B23)*ISNUMBER(INDEX(Inputs!$K$5:$AJ$180,0,MATCH(X$2,Inputs!$K$4:$AJ$4,0))))+SUMPRODUCT((Inputs!$C$5:$C$180=$B23)*ISNUMBER(INDEX(Inputs!$K$5:$AJ$180,0,MATCH(X$2,Inputs!$K$4:$AJ$4,0))))+SUMPRODUCT((Inputs!$E$5:$E$180=$B23)*ISNUMBER(INDEX(Inputs!$K$5:$AJ$180,0,MATCH(X$2,Inputs!$K$4:$AJ$4,0))))=0,NA(),SUMPRODUCT((Inputs!$A$5:$A$180=$B23)*Inputs!$B$5:$B$180*(((Inputs!$G$5:$G$180="moeda")+(Inputs!$G$5:$G$180="acoes"))*Inputs!$B$1+((Inputs!$G$5:$G$180&lt;&gt;"moeda")*(Inputs!$G$5:$G$180&lt;&gt;"acoes")))*INDEX(Inputs!$K$5:$AJ$180,0,MATCH(X$2,Inputs!$K$4:$AJ$4,0)))+SUMPRODUCT((Inputs!$C$5:$C$180=$B23)*Inputs!$D$5:$D$180*(((Inputs!$G$5:$G$180="moeda")+(Inputs!$G$5:$G$180="acoes"))*Inputs!$B$1+((Inputs!$G$5:$G$180&lt;&gt;"moeda")*(Inputs!$G$5:$G$180&lt;&gt;"acoes")))*INDEX(Inputs!$K$5:$AJ$180,0,MATCH(X$2,Inputs!$K$4:$AJ$4,0)))+SUMPRODUCT((Inputs!$E$5:$E$180=$B23)*Inputs!$F$5:$F$180*(((Inputs!$G$5:$G$180="moeda")+(Inputs!$G$5:$G$180="acoes"))*Inputs!$B$1+((Inputs!$G$5:$G$180&lt;&gt;"moeda")*(Inputs!$G$5:$G$180&lt;&gt;"acoes")))*INDEX(Inputs!$K$5:$AJ$180,0,MATCH(X$2,Inputs!$K$4:$AJ$4,0)))))</f>
        <v>1140.475247</v>
      </c>
      <c r="Y23" s="6">
        <f>IF(ISNA(MATCH(Y$2,Inputs!$K$4:$AJ$4,0)),NA(),IF(SUMPRODUCT((Inputs!$A$5:$A$180=$B23)*ISNUMBER(INDEX(Inputs!$K$5:$AJ$180,0,MATCH(Y$2,Inputs!$K$4:$AJ$4,0))))+SUMPRODUCT((Inputs!$C$5:$C$180=$B23)*ISNUMBER(INDEX(Inputs!$K$5:$AJ$180,0,MATCH(Y$2,Inputs!$K$4:$AJ$4,0))))+SUMPRODUCT((Inputs!$E$5:$E$180=$B23)*ISNUMBER(INDEX(Inputs!$K$5:$AJ$180,0,MATCH(Y$2,Inputs!$K$4:$AJ$4,0))))=0,NA(),SUMPRODUCT((Inputs!$A$5:$A$180=$B23)*Inputs!$B$5:$B$180*(((Inputs!$G$5:$G$180="moeda")+(Inputs!$G$5:$G$180="acoes"))*Inputs!$B$1+((Inputs!$G$5:$G$180&lt;&gt;"moeda")*(Inputs!$G$5:$G$180&lt;&gt;"acoes")))*INDEX(Inputs!$K$5:$AJ$180,0,MATCH(Y$2,Inputs!$K$4:$AJ$4,0)))+SUMPRODUCT((Inputs!$C$5:$C$180=$B23)*Inputs!$D$5:$D$180*(((Inputs!$G$5:$G$180="moeda")+(Inputs!$G$5:$G$180="acoes"))*Inputs!$B$1+((Inputs!$G$5:$G$180&lt;&gt;"moeda")*(Inputs!$G$5:$G$180&lt;&gt;"acoes")))*INDEX(Inputs!$K$5:$AJ$180,0,MATCH(Y$2,Inputs!$K$4:$AJ$4,0)))+SUMPRODUCT((Inputs!$E$5:$E$180=$B23)*Inputs!$F$5:$F$180*(((Inputs!$G$5:$G$180="moeda")+(Inputs!$G$5:$G$180="acoes"))*Inputs!$B$1+((Inputs!$G$5:$G$180&lt;&gt;"moeda")*(Inputs!$G$5:$G$180&lt;&gt;"acoes")))*INDEX(Inputs!$K$5:$AJ$180,0,MATCH(Y$2,Inputs!$K$4:$AJ$4,0)))))</f>
        <v>1096.847</v>
      </c>
      <c r="Z23" s="6">
        <f>IF(ISNA(MATCH(Z$2,Inputs!$K$4:$AJ$4,0)),NA(),IF(SUMPRODUCT((Inputs!$A$5:$A$180=$B23)*ISNUMBER(INDEX(Inputs!$K$5:$AJ$180,0,MATCH(Z$2,Inputs!$K$4:$AJ$4,0))))+SUMPRODUCT((Inputs!$C$5:$C$180=$B23)*ISNUMBER(INDEX(Inputs!$K$5:$AJ$180,0,MATCH(Z$2,Inputs!$K$4:$AJ$4,0))))+SUMPRODUCT((Inputs!$E$5:$E$180=$B23)*ISNUMBER(INDEX(Inputs!$K$5:$AJ$180,0,MATCH(Z$2,Inputs!$K$4:$AJ$4,0))))=0,NA(),SUMPRODUCT((Inputs!$A$5:$A$180=$B23)*Inputs!$B$5:$B$180*(((Inputs!$G$5:$G$180="moeda")+(Inputs!$G$5:$G$180="acoes"))*Inputs!$B$1+((Inputs!$G$5:$G$180&lt;&gt;"moeda")*(Inputs!$G$5:$G$180&lt;&gt;"acoes")))*INDEX(Inputs!$K$5:$AJ$180,0,MATCH(Z$2,Inputs!$K$4:$AJ$4,0)))+SUMPRODUCT((Inputs!$C$5:$C$180=$B23)*Inputs!$D$5:$D$180*(((Inputs!$G$5:$G$180="moeda")+(Inputs!$G$5:$G$180="acoes"))*Inputs!$B$1+((Inputs!$G$5:$G$180&lt;&gt;"moeda")*(Inputs!$G$5:$G$180&lt;&gt;"acoes")))*INDEX(Inputs!$K$5:$AJ$180,0,MATCH(Z$2,Inputs!$K$4:$AJ$4,0)))+SUMPRODUCT((Inputs!$E$5:$E$180=$B23)*Inputs!$F$5:$F$180*(((Inputs!$G$5:$G$180="moeda")+(Inputs!$G$5:$G$180="acoes"))*Inputs!$B$1+((Inputs!$G$5:$G$180&lt;&gt;"moeda")*(Inputs!$G$5:$G$180&lt;&gt;"acoes")))*INDEX(Inputs!$K$5:$AJ$180,0,MATCH(Z$2,Inputs!$K$4:$AJ$4,0)))))</f>
        <v>1104.344</v>
      </c>
      <c r="AA23" s="6">
        <f>IF(ISNA(MATCH(AA$2,Inputs!$K$4:$AJ$4,0)),NA(),IF(SUMPRODUCT((Inputs!$A$5:$A$180=$B23)*ISNUMBER(INDEX(Inputs!$K$5:$AJ$180,0,MATCH(AA$2,Inputs!$K$4:$AJ$4,0))))+SUMPRODUCT((Inputs!$C$5:$C$180=$B23)*ISNUMBER(INDEX(Inputs!$K$5:$AJ$180,0,MATCH(AA$2,Inputs!$K$4:$AJ$4,0))))+SUMPRODUCT((Inputs!$E$5:$E$180=$B23)*ISNUMBER(INDEX(Inputs!$K$5:$AJ$180,0,MATCH(AA$2,Inputs!$K$4:$AJ$4,0))))=0,NA(),SUMPRODUCT((Inputs!$A$5:$A$180=$B23)*Inputs!$B$5:$B$180*(((Inputs!$G$5:$G$180="moeda")+(Inputs!$G$5:$G$180="acoes"))*Inputs!$B$1+((Inputs!$G$5:$G$180&lt;&gt;"moeda")*(Inputs!$G$5:$G$180&lt;&gt;"acoes")))*INDEX(Inputs!$K$5:$AJ$180,0,MATCH(AA$2,Inputs!$K$4:$AJ$4,0)))+SUMPRODUCT((Inputs!$C$5:$C$180=$B23)*Inputs!$D$5:$D$180*(((Inputs!$G$5:$G$180="moeda")+(Inputs!$G$5:$G$180="acoes"))*Inputs!$B$1+((Inputs!$G$5:$G$180&lt;&gt;"moeda")*(Inputs!$G$5:$G$180&lt;&gt;"acoes")))*INDEX(Inputs!$K$5:$AJ$180,0,MATCH(AA$2,Inputs!$K$4:$AJ$4,0)))+SUMPRODUCT((Inputs!$E$5:$E$180=$B23)*Inputs!$F$5:$F$180*(((Inputs!$G$5:$G$180="moeda")+(Inputs!$G$5:$G$180="acoes"))*Inputs!$B$1+((Inputs!$G$5:$G$180&lt;&gt;"moeda")*(Inputs!$G$5:$G$180&lt;&gt;"acoes")))*INDEX(Inputs!$K$5:$AJ$180,0,MATCH(AA$2,Inputs!$K$4:$AJ$4,0)))))</f>
        <v>1098.591</v>
      </c>
      <c r="AB23" s="3">
        <f>AA23</f>
        <v>1098.591</v>
      </c>
      <c r="AC23" s="6">
        <f>IF(ISNA(MATCH(AC$2,Inputs!$K$4:$AJ$4,0)),NA(),IF(SUMPRODUCT((Inputs!$A$5:$A$180=$B23)*ISNUMBER(INDEX(Inputs!$K$5:$AJ$180,0,MATCH(AC$2,Inputs!$K$4:$AJ$4,0))))+SUMPRODUCT((Inputs!$C$5:$C$180=$B23)*ISNUMBER(INDEX(Inputs!$K$5:$AJ$180,0,MATCH(AC$2,Inputs!$K$4:$AJ$4,0))))+SUMPRODUCT((Inputs!$E$5:$E$180=$B23)*ISNUMBER(INDEX(Inputs!$K$5:$AJ$180,0,MATCH(AC$2,Inputs!$K$4:$AJ$4,0))))=0,NA(),SUMPRODUCT((Inputs!$A$5:$A$180=$B23)*Inputs!$B$5:$B$180*(((Inputs!$G$5:$G$180="moeda")+(Inputs!$G$5:$G$180="acoes"))*Inputs!$B$1+((Inputs!$G$5:$G$180&lt;&gt;"moeda")*(Inputs!$G$5:$G$180&lt;&gt;"acoes")))*INDEX(Inputs!$K$5:$AJ$180,0,MATCH(AC$2,Inputs!$K$4:$AJ$4,0)))+SUMPRODUCT((Inputs!$C$5:$C$180=$B23)*Inputs!$D$5:$D$180*(((Inputs!$G$5:$G$180="moeda")+(Inputs!$G$5:$G$180="acoes"))*Inputs!$B$1+((Inputs!$G$5:$G$180&lt;&gt;"moeda")*(Inputs!$G$5:$G$180&lt;&gt;"acoes")))*INDEX(Inputs!$K$5:$AJ$180,0,MATCH(AC$2,Inputs!$K$4:$AJ$4,0)))+SUMPRODUCT((Inputs!$E$5:$E$180=$B23)*Inputs!$F$5:$F$180*(((Inputs!$G$5:$G$180="moeda")+(Inputs!$G$5:$G$180="acoes"))*Inputs!$B$1+((Inputs!$G$5:$G$180&lt;&gt;"moeda")*(Inputs!$G$5:$G$180&lt;&gt;"acoes")))*INDEX(Inputs!$K$5:$AJ$180,0,MATCH(AC$2,Inputs!$K$4:$AJ$4,0)))))</f>
        <v>1079.421</v>
      </c>
      <c r="AD23" s="6">
        <f>IF(ISNA(MATCH(AD$2,Inputs!$K$4:$AJ$4,0)),NA(),IF(SUMPRODUCT((Inputs!$A$5:$A$180=$B23)*ISNUMBER(INDEX(Inputs!$K$5:$AJ$180,0,MATCH(AD$2,Inputs!$K$4:$AJ$4,0))))+SUMPRODUCT((Inputs!$C$5:$C$180=$B23)*ISNUMBER(INDEX(Inputs!$K$5:$AJ$180,0,MATCH(AD$2,Inputs!$K$4:$AJ$4,0))))+SUMPRODUCT((Inputs!$E$5:$E$180=$B23)*ISNUMBER(INDEX(Inputs!$K$5:$AJ$180,0,MATCH(AD$2,Inputs!$K$4:$AJ$4,0))))=0,NA(),SUMPRODUCT((Inputs!$A$5:$A$180=$B23)*Inputs!$B$5:$B$180*(((Inputs!$G$5:$G$180="moeda")+(Inputs!$G$5:$G$180="acoes"))*Inputs!$B$1+((Inputs!$G$5:$G$180&lt;&gt;"moeda")*(Inputs!$G$5:$G$180&lt;&gt;"acoes")))*INDEX(Inputs!$K$5:$AJ$180,0,MATCH(AD$2,Inputs!$K$4:$AJ$4,0)))+SUMPRODUCT((Inputs!$C$5:$C$180=$B23)*Inputs!$D$5:$D$180*(((Inputs!$G$5:$G$180="moeda")+(Inputs!$G$5:$G$180="acoes"))*Inputs!$B$1+((Inputs!$G$5:$G$180&lt;&gt;"moeda")*(Inputs!$G$5:$G$180&lt;&gt;"acoes")))*INDEX(Inputs!$K$5:$AJ$180,0,MATCH(AD$2,Inputs!$K$4:$AJ$4,0)))+SUMPRODUCT((Inputs!$E$5:$E$180=$B23)*Inputs!$F$5:$F$180*(((Inputs!$G$5:$G$180="moeda")+(Inputs!$G$5:$G$180="acoes"))*Inputs!$B$1+((Inputs!$G$5:$G$180&lt;&gt;"moeda")*(Inputs!$G$5:$G$180&lt;&gt;"acoes")))*INDEX(Inputs!$K$5:$AJ$180,0,MATCH(AD$2,Inputs!$K$4:$AJ$4,0)))))</f>
        <v>1203.367</v>
      </c>
      <c r="AE23" s="6" t="e">
        <f>IF(ISNA(MATCH(AE$2,Inputs!$K$4:$AJ$4,0)),NA(),IF(SUMPRODUCT((Inputs!$A$5:$A$180=$B23)*ISNUMBER(INDEX(Inputs!$K$5:$AJ$180,0,MATCH(AE$2,Inputs!$K$4:$AJ$4,0))))+SUMPRODUCT((Inputs!$C$5:$C$180=$B23)*ISNUMBER(INDEX(Inputs!$K$5:$AJ$180,0,MATCH(AE$2,Inputs!$K$4:$AJ$4,0))))+SUMPRODUCT((Inputs!$E$5:$E$180=$B23)*ISNUMBER(INDEX(Inputs!$K$5:$AJ$180,0,MATCH(AE$2,Inputs!$K$4:$AJ$4,0))))=0,NA(),SUMPRODUCT((Inputs!$A$5:$A$180=$B23)*Inputs!$B$5:$B$180*(((Inputs!$G$5:$G$180="moeda")+(Inputs!$G$5:$G$180="acoes"))*Inputs!$B$1+((Inputs!$G$5:$G$180&lt;&gt;"moeda")*(Inputs!$G$5:$G$180&lt;&gt;"acoes")))*INDEX(Inputs!$K$5:$AJ$180,0,MATCH(AE$2,Inputs!$K$4:$AJ$4,0)))+SUMPRODUCT((Inputs!$C$5:$C$180=$B23)*Inputs!$D$5:$D$180*(((Inputs!$G$5:$G$180="moeda")+(Inputs!$G$5:$G$180="acoes"))*Inputs!$B$1+((Inputs!$G$5:$G$180&lt;&gt;"moeda")*(Inputs!$G$5:$G$180&lt;&gt;"acoes")))*INDEX(Inputs!$K$5:$AJ$180,0,MATCH(AE$2,Inputs!$K$4:$AJ$4,0)))+SUMPRODUCT((Inputs!$E$5:$E$180=$B23)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3" s="6" t="e">
        <f>IF(ISNA(MATCH(AF$2,Inputs!$K$4:$AJ$4,0)),NA(),IF(SUMPRODUCT((Inputs!$A$5:$A$180=$B23)*ISNUMBER(INDEX(Inputs!$K$5:$AJ$180,0,MATCH(AF$2,Inputs!$K$4:$AJ$4,0))))+SUMPRODUCT((Inputs!$C$5:$C$180=$B23)*ISNUMBER(INDEX(Inputs!$K$5:$AJ$180,0,MATCH(AF$2,Inputs!$K$4:$AJ$4,0))))+SUMPRODUCT((Inputs!$E$5:$E$180=$B23)*ISNUMBER(INDEX(Inputs!$K$5:$AJ$180,0,MATCH(AF$2,Inputs!$K$4:$AJ$4,0))))=0,NA(),SUMPRODUCT((Inputs!$A$5:$A$180=$B23)*Inputs!$B$5:$B$180*(((Inputs!$G$5:$G$180="moeda")+(Inputs!$G$5:$G$180="acoes"))*Inputs!$B$1+((Inputs!$G$5:$G$180&lt;&gt;"moeda")*(Inputs!$G$5:$G$180&lt;&gt;"acoes")))*INDEX(Inputs!$K$5:$AJ$180,0,MATCH(AF$2,Inputs!$K$4:$AJ$4,0)))+SUMPRODUCT((Inputs!$C$5:$C$180=$B23)*Inputs!$D$5:$D$180*(((Inputs!$G$5:$G$180="moeda")+(Inputs!$G$5:$G$180="acoes"))*Inputs!$B$1+((Inputs!$G$5:$G$180&lt;&gt;"moeda")*(Inputs!$G$5:$G$180&lt;&gt;"acoes")))*INDEX(Inputs!$K$5:$AJ$180,0,MATCH(AF$2,Inputs!$K$4:$AJ$4,0)))+SUMPRODUCT((Inputs!$E$5:$E$180=$B23)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3" s="3" t="e">
        <f>AF23</f>
        <v>#N/A</v>
      </c>
      <c r="AH23" s="6">
        <f>IF(ISNA(MATCH(AH$2,Inputs!$K$4:$AJ$4,0)),NA(),IF(SUMPRODUCT((Inputs!$A$5:$A$180=$B23)*ISNUMBER(INDEX(Inputs!$K$5:$AJ$180,0,MATCH(AH$2,Inputs!$K$4:$AJ$4,0))))+SUMPRODUCT((Inputs!$C$5:$C$180=$B23)*ISNUMBER(INDEX(Inputs!$K$5:$AJ$180,0,MATCH(AH$2,Inputs!$K$4:$AJ$4,0))))+SUMPRODUCT((Inputs!$E$5:$E$180=$B23)*ISNUMBER(INDEX(Inputs!$K$5:$AJ$180,0,MATCH(AH$2,Inputs!$K$4:$AJ$4,0))))=0,NA(),SUMPRODUCT((Inputs!$A$5:$A$180=$B23)*Inputs!$B$5:$B$180*(((Inputs!$G$5:$G$180="moeda")+(Inputs!$G$5:$G$180="acoes"))*Inputs!$B$1+((Inputs!$G$5:$G$180&lt;&gt;"moeda")*(Inputs!$G$5:$G$180&lt;&gt;"acoes")))*INDEX(Inputs!$K$5:$AJ$180,0,MATCH(AH$2,Inputs!$K$4:$AJ$4,0)))+SUMPRODUCT((Inputs!$C$5:$C$180=$B23)*Inputs!$D$5:$D$180*(((Inputs!$G$5:$G$180="moeda")+(Inputs!$G$5:$G$180="acoes"))*Inputs!$B$1+((Inputs!$G$5:$G$180&lt;&gt;"moeda")*(Inputs!$G$5:$G$180&lt;&gt;"acoes")))*INDEX(Inputs!$K$5:$AJ$180,0,MATCH(AH$2,Inputs!$K$4:$AJ$4,0)))+SUMPRODUCT((Inputs!$E$5:$E$180=$B23)*Inputs!$F$5:$F$180*(((Inputs!$G$5:$G$180="moeda")+(Inputs!$G$5:$G$180="acoes"))*Inputs!$B$1+((Inputs!$G$5:$G$180&lt;&gt;"moeda")*(Inputs!$G$5:$G$180&lt;&gt;"acoes")))*INDEX(Inputs!$K$5:$AJ$180,0,MATCH(AH$2,Inputs!$K$4:$AJ$4,0)))))</f>
        <v>790.36075693</v>
      </c>
      <c r="AI23" s="6">
        <f>IF(ISNA(MATCH(AI$2,Inputs!$K$4:$AJ$4,0)),NA(),IF(SUMPRODUCT((Inputs!$A$5:$A$180=$B23)*ISNUMBER(INDEX(Inputs!$K$5:$AJ$180,0,MATCH(AI$2,Inputs!$K$4:$AJ$4,0))))+SUMPRODUCT((Inputs!$C$5:$C$180=$B23)*ISNUMBER(INDEX(Inputs!$K$5:$AJ$180,0,MATCH(AI$2,Inputs!$K$4:$AJ$4,0))))+SUMPRODUCT((Inputs!$E$5:$E$180=$B23)*ISNUMBER(INDEX(Inputs!$K$5:$AJ$180,0,MATCH(AI$2,Inputs!$K$4:$AJ$4,0))))=0,NA(),SUMPRODUCT((Inputs!$A$5:$A$180=$B23)*Inputs!$B$5:$B$180*(((Inputs!$G$5:$G$180="moeda")+(Inputs!$G$5:$G$180="acoes"))*Inputs!$B$1+((Inputs!$G$5:$G$180&lt;&gt;"moeda")*(Inputs!$G$5:$G$180&lt;&gt;"acoes")))*INDEX(Inputs!$K$5:$AJ$180,0,MATCH(AI$2,Inputs!$K$4:$AJ$4,0)))+SUMPRODUCT((Inputs!$C$5:$C$180=$B23)*Inputs!$D$5:$D$180*(((Inputs!$G$5:$G$180="moeda")+(Inputs!$G$5:$G$180="acoes"))*Inputs!$B$1+((Inputs!$G$5:$G$180&lt;&gt;"moeda")*(Inputs!$G$5:$G$180&lt;&gt;"acoes")))*INDEX(Inputs!$K$5:$AJ$180,0,MATCH(AI$2,Inputs!$K$4:$AJ$4,0)))+SUMPRODUCT((Inputs!$E$5:$E$180=$B23)*Inputs!$F$5:$F$180*(((Inputs!$G$5:$G$180="moeda")+(Inputs!$G$5:$G$180="acoes"))*Inputs!$B$1+((Inputs!$G$5:$G$180&lt;&gt;"moeda")*(Inputs!$G$5:$G$180&lt;&gt;"acoes")))*INDEX(Inputs!$K$5:$AJ$180,0,MATCH(AI$2,Inputs!$K$4:$AJ$4,0)))))</f>
        <v>760.73000788</v>
      </c>
      <c r="AJ23" s="6">
        <f>IF(ISNA(MATCH(AJ$2,Inputs!$K$4:$AJ$4,0)),NA(),IF(SUMPRODUCT((Inputs!$A$5:$A$180=$B23)*ISNUMBER(INDEX(Inputs!$K$5:$AJ$180,0,MATCH(AJ$2,Inputs!$K$4:$AJ$4,0))))+SUMPRODUCT((Inputs!$C$5:$C$180=$B23)*ISNUMBER(INDEX(Inputs!$K$5:$AJ$180,0,MATCH(AJ$2,Inputs!$K$4:$AJ$4,0))))+SUMPRODUCT((Inputs!$E$5:$E$180=$B23)*ISNUMBER(INDEX(Inputs!$K$5:$AJ$180,0,MATCH(AJ$2,Inputs!$K$4:$AJ$4,0))))=0,NA(),SUMPRODUCT((Inputs!$A$5:$A$180=$B23)*Inputs!$B$5:$B$180*(((Inputs!$G$5:$G$180="moeda")+(Inputs!$G$5:$G$180="acoes"))*Inputs!$B$1+((Inputs!$G$5:$G$180&lt;&gt;"moeda")*(Inputs!$G$5:$G$180&lt;&gt;"acoes")))*INDEX(Inputs!$K$5:$AJ$180,0,MATCH(AJ$2,Inputs!$K$4:$AJ$4,0)))+SUMPRODUCT((Inputs!$C$5:$C$180=$B23)*Inputs!$D$5:$D$180*(((Inputs!$G$5:$G$180="moeda")+(Inputs!$G$5:$G$180="acoes"))*Inputs!$B$1+((Inputs!$G$5:$G$180&lt;&gt;"moeda")*(Inputs!$G$5:$G$180&lt;&gt;"acoes")))*INDEX(Inputs!$K$5:$AJ$180,0,MATCH(AJ$2,Inputs!$K$4:$AJ$4,0)))+SUMPRODUCT((Inputs!$E$5:$E$180=$B23)*Inputs!$F$5:$F$180*(((Inputs!$G$5:$G$180="moeda")+(Inputs!$G$5:$G$180="acoes"))*Inputs!$B$1+((Inputs!$G$5:$G$180&lt;&gt;"moeda")*(Inputs!$G$5:$G$180&lt;&gt;"acoes")))*INDEX(Inputs!$K$5:$AJ$180,0,MATCH(AJ$2,Inputs!$K$4:$AJ$4,0)))))</f>
        <v>739.31711011</v>
      </c>
      <c r="AK23" s="6">
        <f>IF(ISNA(MATCH(AK$2,Inputs!$K$4:$AJ$4,0)),NA(),IF(SUMPRODUCT((Inputs!$A$5:$A$180=$B23)*ISNUMBER(INDEX(Inputs!$K$5:$AJ$180,0,MATCH(AK$2,Inputs!$K$4:$AJ$4,0))))+SUMPRODUCT((Inputs!$C$5:$C$180=$B23)*ISNUMBER(INDEX(Inputs!$K$5:$AJ$180,0,MATCH(AK$2,Inputs!$K$4:$AJ$4,0))))+SUMPRODUCT((Inputs!$E$5:$E$180=$B23)*ISNUMBER(INDEX(Inputs!$K$5:$AJ$180,0,MATCH(AK$2,Inputs!$K$4:$AJ$4,0))))=0,NA(),SUMPRODUCT((Inputs!$A$5:$A$180=$B23)*Inputs!$B$5:$B$180*(((Inputs!$G$5:$G$180="moeda")+(Inputs!$G$5:$G$180="acoes"))*Inputs!$B$1+((Inputs!$G$5:$G$180&lt;&gt;"moeda")*(Inputs!$G$5:$G$180&lt;&gt;"acoes")))*INDEX(Inputs!$K$5:$AJ$180,0,MATCH(AK$2,Inputs!$K$4:$AJ$4,0)))+SUMPRODUCT((Inputs!$C$5:$C$180=$B23)*Inputs!$D$5:$D$180*(((Inputs!$G$5:$G$180="moeda")+(Inputs!$G$5:$G$180="acoes"))*Inputs!$B$1+((Inputs!$G$5:$G$180&lt;&gt;"moeda")*(Inputs!$G$5:$G$180&lt;&gt;"acoes")))*INDEX(Inputs!$K$5:$AJ$180,0,MATCH(AK$2,Inputs!$K$4:$AJ$4,0)))+SUMPRODUCT((Inputs!$E$5:$E$180=$B23)*Inputs!$F$5:$F$180*(((Inputs!$G$5:$G$180="moeda")+(Inputs!$G$5:$G$180="acoes"))*Inputs!$B$1+((Inputs!$G$5:$G$180&lt;&gt;"moeda")*(Inputs!$G$5:$G$180&lt;&gt;"acoes")))*INDEX(Inputs!$K$5:$AJ$180,0,MATCH(AK$2,Inputs!$K$4:$AJ$4,0)))))</f>
        <v>729.94134505</v>
      </c>
      <c r="AL23" s="3">
        <f>AK23</f>
        <v>729.94134505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$180=$B24)*ISNUMBER(INDEX(Inputs!$K$5:$AJ$180,0,MATCH(D$2,Inputs!$K$4:$AJ$4,0))))+SUMPRODUCT((Inputs!$C$5:$C$180=$B24)*ISNUMBER(INDEX(Inputs!$K$5:$AJ$180,0,MATCH(D$2,Inputs!$K$4:$AJ$4,0))))+SUMPRODUCT((Inputs!$E$5:$E$180=$B24)*ISNUMBER(INDEX(Inputs!$K$5:$AJ$180,0,MATCH(D$2,Inputs!$K$4:$AJ$4,0))))=0,NA(),SUMPRODUCT((Inputs!$A$5:$A$180=$B24)*Inputs!$B$5:$B$180*(((Inputs!$G$5:$G$180="moeda")+(Inputs!$G$5:$G$180="acoes"))*Inputs!$B$1+((Inputs!$G$5:$G$180&lt;&gt;"moeda")*(Inputs!$G$5:$G$180&lt;&gt;"acoes")))*INDEX(Inputs!$K$5:$AJ$180,0,MATCH(D$2,Inputs!$K$4:$AJ$4,0)))+SUMPRODUCT((Inputs!$C$5:$C$180=$B24)*Inputs!$D$5:$D$180*(((Inputs!$G$5:$G$180="moeda")+(Inputs!$G$5:$G$180="acoes"))*Inputs!$B$1+((Inputs!$G$5:$G$180&lt;&gt;"moeda")*(Inputs!$G$5:$G$180&lt;&gt;"acoes")))*INDEX(Inputs!$K$5:$AJ$180,0,MATCH(D$2,Inputs!$K$4:$AJ$4,0)))+SUMPRODUCT((Inputs!$E$5:$E$180=$B24)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24" s="6" t="e">
        <f>IF(ISNA(MATCH(E$2,Inputs!$K$4:$AJ$4,0)),NA(),IF(SUMPRODUCT((Inputs!$A$5:$A$180=$B24)*ISNUMBER(INDEX(Inputs!$K$5:$AJ$180,0,MATCH(E$2,Inputs!$K$4:$AJ$4,0))))+SUMPRODUCT((Inputs!$C$5:$C$180=$B24)*ISNUMBER(INDEX(Inputs!$K$5:$AJ$180,0,MATCH(E$2,Inputs!$K$4:$AJ$4,0))))+SUMPRODUCT((Inputs!$E$5:$E$180=$B24)*ISNUMBER(INDEX(Inputs!$K$5:$AJ$180,0,MATCH(E$2,Inputs!$K$4:$AJ$4,0))))=0,NA(),SUMPRODUCT((Inputs!$A$5:$A$180=$B24)*Inputs!$B$5:$B$180*(((Inputs!$G$5:$G$180="moeda")+(Inputs!$G$5:$G$180="acoes"))*Inputs!$B$1+((Inputs!$G$5:$G$180&lt;&gt;"moeda")*(Inputs!$G$5:$G$180&lt;&gt;"acoes")))*INDEX(Inputs!$K$5:$AJ$180,0,MATCH(E$2,Inputs!$K$4:$AJ$4,0)))+SUMPRODUCT((Inputs!$C$5:$C$180=$B24)*Inputs!$D$5:$D$180*(((Inputs!$G$5:$G$180="moeda")+(Inputs!$G$5:$G$180="acoes"))*Inputs!$B$1+((Inputs!$G$5:$G$180&lt;&gt;"moeda")*(Inputs!$G$5:$G$180&lt;&gt;"acoes")))*INDEX(Inputs!$K$5:$AJ$180,0,MATCH(E$2,Inputs!$K$4:$AJ$4,0)))+SUMPRODUCT((Inputs!$E$5:$E$180=$B24)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24" s="6" t="e">
        <f>IF(ISNA(MATCH(F$2,Inputs!$K$4:$AJ$4,0)),NA(),IF(SUMPRODUCT((Inputs!$A$5:$A$180=$B24)*ISNUMBER(INDEX(Inputs!$K$5:$AJ$180,0,MATCH(F$2,Inputs!$K$4:$AJ$4,0))))+SUMPRODUCT((Inputs!$C$5:$C$180=$B24)*ISNUMBER(INDEX(Inputs!$K$5:$AJ$180,0,MATCH(F$2,Inputs!$K$4:$AJ$4,0))))+SUMPRODUCT((Inputs!$E$5:$E$180=$B24)*ISNUMBER(INDEX(Inputs!$K$5:$AJ$180,0,MATCH(F$2,Inputs!$K$4:$AJ$4,0))))=0,NA(),SUMPRODUCT((Inputs!$A$5:$A$180=$B24)*Inputs!$B$5:$B$180*(((Inputs!$G$5:$G$180="moeda")+(Inputs!$G$5:$G$180="acoes"))*Inputs!$B$1+((Inputs!$G$5:$G$180&lt;&gt;"moeda")*(Inputs!$G$5:$G$180&lt;&gt;"acoes")))*INDEX(Inputs!$K$5:$AJ$180,0,MATCH(F$2,Inputs!$K$4:$AJ$4,0)))+SUMPRODUCT((Inputs!$C$5:$C$180=$B24)*Inputs!$D$5:$D$180*(((Inputs!$G$5:$G$180="moeda")+(Inputs!$G$5:$G$180="acoes"))*Inputs!$B$1+((Inputs!$G$5:$G$180&lt;&gt;"moeda")*(Inputs!$G$5:$G$180&lt;&gt;"acoes")))*INDEX(Inputs!$K$5:$AJ$180,0,MATCH(F$2,Inputs!$K$4:$AJ$4,0)))+SUMPRODUCT((Inputs!$E$5:$E$180=$B24)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24" s="6" t="e">
        <f>IF(ISNA(MATCH(G$2,Inputs!$K$4:$AJ$4,0)),NA(),IF(SUMPRODUCT((Inputs!$A$5:$A$180=$B24)*ISNUMBER(INDEX(Inputs!$K$5:$AJ$180,0,MATCH(G$2,Inputs!$K$4:$AJ$4,0))))+SUMPRODUCT((Inputs!$C$5:$C$180=$B24)*ISNUMBER(INDEX(Inputs!$K$5:$AJ$180,0,MATCH(G$2,Inputs!$K$4:$AJ$4,0))))+SUMPRODUCT((Inputs!$E$5:$E$180=$B24)*ISNUMBER(INDEX(Inputs!$K$5:$AJ$180,0,MATCH(G$2,Inputs!$K$4:$AJ$4,0))))=0,NA(),SUMPRODUCT((Inputs!$A$5:$A$180=$B24)*Inputs!$B$5:$B$180*(((Inputs!$G$5:$G$180="moeda")+(Inputs!$G$5:$G$180="acoes"))*Inputs!$B$1+((Inputs!$G$5:$G$180&lt;&gt;"moeda")*(Inputs!$G$5:$G$180&lt;&gt;"acoes")))*INDEX(Inputs!$K$5:$AJ$180,0,MATCH(G$2,Inputs!$K$4:$AJ$4,0)))+SUMPRODUCT((Inputs!$C$5:$C$180=$B24)*Inputs!$D$5:$D$180*(((Inputs!$G$5:$G$180="moeda")+(Inputs!$G$5:$G$180="acoes"))*Inputs!$B$1+((Inputs!$G$5:$G$180&lt;&gt;"moeda")*(Inputs!$G$5:$G$180&lt;&gt;"acoes")))*INDEX(Inputs!$K$5:$AJ$180,0,MATCH(G$2,Inputs!$K$4:$AJ$4,0)))+SUMPRODUCT((Inputs!$E$5:$E$180=$B24)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24" s="3" t="e">
        <f>G24</f>
        <v>#N/A</v>
      </c>
      <c r="I24" s="6" t="e">
        <f>IF(ISNA(MATCH(I$2,Inputs!$K$4:$AJ$4,0)),NA(),IF(SUMPRODUCT((Inputs!$A$5:$A$180=$B24)*ISNUMBER(INDEX(Inputs!$K$5:$AJ$180,0,MATCH(I$2,Inputs!$K$4:$AJ$4,0))))+SUMPRODUCT((Inputs!$C$5:$C$180=$B24)*ISNUMBER(INDEX(Inputs!$K$5:$AJ$180,0,MATCH(I$2,Inputs!$K$4:$AJ$4,0))))+SUMPRODUCT((Inputs!$E$5:$E$180=$B24)*ISNUMBER(INDEX(Inputs!$K$5:$AJ$180,0,MATCH(I$2,Inputs!$K$4:$AJ$4,0))))=0,NA(),SUMPRODUCT((Inputs!$A$5:$A$180=$B24)*Inputs!$B$5:$B$180*(((Inputs!$G$5:$G$180="moeda")+(Inputs!$G$5:$G$180="acoes"))*Inputs!$B$1+((Inputs!$G$5:$G$180&lt;&gt;"moeda")*(Inputs!$G$5:$G$180&lt;&gt;"acoes")))*INDEX(Inputs!$K$5:$AJ$180,0,MATCH(I$2,Inputs!$K$4:$AJ$4,0)))+SUMPRODUCT((Inputs!$C$5:$C$180=$B24)*Inputs!$D$5:$D$180*(((Inputs!$G$5:$G$180="moeda")+(Inputs!$G$5:$G$180="acoes"))*Inputs!$B$1+((Inputs!$G$5:$G$180&lt;&gt;"moeda")*(Inputs!$G$5:$G$180&lt;&gt;"acoes")))*INDEX(Inputs!$K$5:$AJ$180,0,MATCH(I$2,Inputs!$K$4:$AJ$4,0)))+SUMPRODUCT((Inputs!$E$5:$E$180=$B24)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24" s="6" t="e">
        <f>IF(ISNA(MATCH(J$2,Inputs!$K$4:$AJ$4,0)),NA(),IF(SUMPRODUCT((Inputs!$A$5:$A$180=$B24)*ISNUMBER(INDEX(Inputs!$K$5:$AJ$180,0,MATCH(J$2,Inputs!$K$4:$AJ$4,0))))+SUMPRODUCT((Inputs!$C$5:$C$180=$B24)*ISNUMBER(INDEX(Inputs!$K$5:$AJ$180,0,MATCH(J$2,Inputs!$K$4:$AJ$4,0))))+SUMPRODUCT((Inputs!$E$5:$E$180=$B24)*ISNUMBER(INDEX(Inputs!$K$5:$AJ$180,0,MATCH(J$2,Inputs!$K$4:$AJ$4,0))))=0,NA(),SUMPRODUCT((Inputs!$A$5:$A$180=$B24)*Inputs!$B$5:$B$180*(((Inputs!$G$5:$G$180="moeda")+(Inputs!$G$5:$G$180="acoes"))*Inputs!$B$1+((Inputs!$G$5:$G$180&lt;&gt;"moeda")*(Inputs!$G$5:$G$180&lt;&gt;"acoes")))*INDEX(Inputs!$K$5:$AJ$180,0,MATCH(J$2,Inputs!$K$4:$AJ$4,0)))+SUMPRODUCT((Inputs!$C$5:$C$180=$B24)*Inputs!$D$5:$D$180*(((Inputs!$G$5:$G$180="moeda")+(Inputs!$G$5:$G$180="acoes"))*Inputs!$B$1+((Inputs!$G$5:$G$180&lt;&gt;"moeda")*(Inputs!$G$5:$G$180&lt;&gt;"acoes")))*INDEX(Inputs!$K$5:$AJ$180,0,MATCH(J$2,Inputs!$K$4:$AJ$4,0)))+SUMPRODUCT((Inputs!$E$5:$E$180=$B24)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24" s="6" t="e">
        <f>IF(ISNA(MATCH(K$2,Inputs!$K$4:$AJ$4,0)),NA(),IF(SUMPRODUCT((Inputs!$A$5:$A$180=$B24)*ISNUMBER(INDEX(Inputs!$K$5:$AJ$180,0,MATCH(K$2,Inputs!$K$4:$AJ$4,0))))+SUMPRODUCT((Inputs!$C$5:$C$180=$B24)*ISNUMBER(INDEX(Inputs!$K$5:$AJ$180,0,MATCH(K$2,Inputs!$K$4:$AJ$4,0))))+SUMPRODUCT((Inputs!$E$5:$E$180=$B24)*ISNUMBER(INDEX(Inputs!$K$5:$AJ$180,0,MATCH(K$2,Inputs!$K$4:$AJ$4,0))))=0,NA(),SUMPRODUCT((Inputs!$A$5:$A$180=$B24)*Inputs!$B$5:$B$180*(((Inputs!$G$5:$G$180="moeda")+(Inputs!$G$5:$G$180="acoes"))*Inputs!$B$1+((Inputs!$G$5:$G$180&lt;&gt;"moeda")*(Inputs!$G$5:$G$180&lt;&gt;"acoes")))*INDEX(Inputs!$K$5:$AJ$180,0,MATCH(K$2,Inputs!$K$4:$AJ$4,0)))+SUMPRODUCT((Inputs!$C$5:$C$180=$B24)*Inputs!$D$5:$D$180*(((Inputs!$G$5:$G$180="moeda")+(Inputs!$G$5:$G$180="acoes"))*Inputs!$B$1+((Inputs!$G$5:$G$180&lt;&gt;"moeda")*(Inputs!$G$5:$G$180&lt;&gt;"acoes")))*INDEX(Inputs!$K$5:$AJ$180,0,MATCH(K$2,Inputs!$K$4:$AJ$4,0)))+SUMPRODUCT((Inputs!$E$5:$E$180=$B24)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24" s="6" t="e">
        <f>IF(ISNA(MATCH(L$2,Inputs!$K$4:$AJ$4,0)),NA(),IF(SUMPRODUCT((Inputs!$A$5:$A$180=$B24)*ISNUMBER(INDEX(Inputs!$K$5:$AJ$180,0,MATCH(L$2,Inputs!$K$4:$AJ$4,0))))+SUMPRODUCT((Inputs!$C$5:$C$180=$B24)*ISNUMBER(INDEX(Inputs!$K$5:$AJ$180,0,MATCH(L$2,Inputs!$K$4:$AJ$4,0))))+SUMPRODUCT((Inputs!$E$5:$E$180=$B24)*ISNUMBER(INDEX(Inputs!$K$5:$AJ$180,0,MATCH(L$2,Inputs!$K$4:$AJ$4,0))))=0,NA(),SUMPRODUCT((Inputs!$A$5:$A$180=$B24)*Inputs!$B$5:$B$180*(((Inputs!$G$5:$G$180="moeda")+(Inputs!$G$5:$G$180="acoes"))*Inputs!$B$1+((Inputs!$G$5:$G$180&lt;&gt;"moeda")*(Inputs!$G$5:$G$180&lt;&gt;"acoes")))*INDEX(Inputs!$K$5:$AJ$180,0,MATCH(L$2,Inputs!$K$4:$AJ$4,0)))+SUMPRODUCT((Inputs!$C$5:$C$180=$B24)*Inputs!$D$5:$D$180*(((Inputs!$G$5:$G$180="moeda")+(Inputs!$G$5:$G$180="acoes"))*Inputs!$B$1+((Inputs!$G$5:$G$180&lt;&gt;"moeda")*(Inputs!$G$5:$G$180&lt;&gt;"acoes")))*INDEX(Inputs!$K$5:$AJ$180,0,MATCH(L$2,Inputs!$K$4:$AJ$4,0)))+SUMPRODUCT((Inputs!$E$5:$E$180=$B24)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24" s="3" t="e">
        <f>L24</f>
        <v>#N/A</v>
      </c>
      <c r="N24" s="6" t="e">
        <f>IF(ISNA(MATCH(N$2,Inputs!$K$4:$AJ$4,0)),NA(),IF(SUMPRODUCT((Inputs!$A$5:$A$180=$B24)*ISNUMBER(INDEX(Inputs!$K$5:$AJ$180,0,MATCH(N$2,Inputs!$K$4:$AJ$4,0))))+SUMPRODUCT((Inputs!$C$5:$C$180=$B24)*ISNUMBER(INDEX(Inputs!$K$5:$AJ$180,0,MATCH(N$2,Inputs!$K$4:$AJ$4,0))))+SUMPRODUCT((Inputs!$E$5:$E$180=$B24)*ISNUMBER(INDEX(Inputs!$K$5:$AJ$180,0,MATCH(N$2,Inputs!$K$4:$AJ$4,0))))=0,NA(),SUMPRODUCT((Inputs!$A$5:$A$180=$B24)*Inputs!$B$5:$B$180*(((Inputs!$G$5:$G$180="moeda")+(Inputs!$G$5:$G$180="acoes"))*Inputs!$B$1+((Inputs!$G$5:$G$180&lt;&gt;"moeda")*(Inputs!$G$5:$G$180&lt;&gt;"acoes")))*INDEX(Inputs!$K$5:$AJ$180,0,MATCH(N$2,Inputs!$K$4:$AJ$4,0)))+SUMPRODUCT((Inputs!$C$5:$C$180=$B24)*Inputs!$D$5:$D$180*(((Inputs!$G$5:$G$180="moeda")+(Inputs!$G$5:$G$180="acoes"))*Inputs!$B$1+((Inputs!$G$5:$G$180&lt;&gt;"moeda")*(Inputs!$G$5:$G$180&lt;&gt;"acoes")))*INDEX(Inputs!$K$5:$AJ$180,0,MATCH(N$2,Inputs!$K$4:$AJ$4,0)))+SUMPRODUCT((Inputs!$E$5:$E$180=$B24)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24" s="6" t="e">
        <f>IF(ISNA(MATCH(O$2,Inputs!$K$4:$AJ$4,0)),NA(),IF(SUMPRODUCT((Inputs!$A$5:$A$180=$B24)*ISNUMBER(INDEX(Inputs!$K$5:$AJ$180,0,MATCH(O$2,Inputs!$K$4:$AJ$4,0))))+SUMPRODUCT((Inputs!$C$5:$C$180=$B24)*ISNUMBER(INDEX(Inputs!$K$5:$AJ$180,0,MATCH(O$2,Inputs!$K$4:$AJ$4,0))))+SUMPRODUCT((Inputs!$E$5:$E$180=$B24)*ISNUMBER(INDEX(Inputs!$K$5:$AJ$180,0,MATCH(O$2,Inputs!$K$4:$AJ$4,0))))=0,NA(),SUMPRODUCT((Inputs!$A$5:$A$180=$B24)*Inputs!$B$5:$B$180*(((Inputs!$G$5:$G$180="moeda")+(Inputs!$G$5:$G$180="acoes"))*Inputs!$B$1+((Inputs!$G$5:$G$180&lt;&gt;"moeda")*(Inputs!$G$5:$G$180&lt;&gt;"acoes")))*INDEX(Inputs!$K$5:$AJ$180,0,MATCH(O$2,Inputs!$K$4:$AJ$4,0)))+SUMPRODUCT((Inputs!$C$5:$C$180=$B24)*Inputs!$D$5:$D$180*(((Inputs!$G$5:$G$180="moeda")+(Inputs!$G$5:$G$180="acoes"))*Inputs!$B$1+((Inputs!$G$5:$G$180&lt;&gt;"moeda")*(Inputs!$G$5:$G$180&lt;&gt;"acoes")))*INDEX(Inputs!$K$5:$AJ$180,0,MATCH(O$2,Inputs!$K$4:$AJ$4,0)))+SUMPRODUCT((Inputs!$E$5:$E$180=$B24)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24" s="6" t="e">
        <f>IF(ISNA(MATCH(P$2,Inputs!$K$4:$AJ$4,0)),NA(),IF(SUMPRODUCT((Inputs!$A$5:$A$180=$B24)*ISNUMBER(INDEX(Inputs!$K$5:$AJ$180,0,MATCH(P$2,Inputs!$K$4:$AJ$4,0))))+SUMPRODUCT((Inputs!$C$5:$C$180=$B24)*ISNUMBER(INDEX(Inputs!$K$5:$AJ$180,0,MATCH(P$2,Inputs!$K$4:$AJ$4,0))))+SUMPRODUCT((Inputs!$E$5:$E$180=$B24)*ISNUMBER(INDEX(Inputs!$K$5:$AJ$180,0,MATCH(P$2,Inputs!$K$4:$AJ$4,0))))=0,NA(),SUMPRODUCT((Inputs!$A$5:$A$180=$B24)*Inputs!$B$5:$B$180*(((Inputs!$G$5:$G$180="moeda")+(Inputs!$G$5:$G$180="acoes"))*Inputs!$B$1+((Inputs!$G$5:$G$180&lt;&gt;"moeda")*(Inputs!$G$5:$G$180&lt;&gt;"acoes")))*INDEX(Inputs!$K$5:$AJ$180,0,MATCH(P$2,Inputs!$K$4:$AJ$4,0)))+SUMPRODUCT((Inputs!$C$5:$C$180=$B24)*Inputs!$D$5:$D$180*(((Inputs!$G$5:$G$180="moeda")+(Inputs!$G$5:$G$180="acoes"))*Inputs!$B$1+((Inputs!$G$5:$G$180&lt;&gt;"moeda")*(Inputs!$G$5:$G$180&lt;&gt;"acoes")))*INDEX(Inputs!$K$5:$AJ$180,0,MATCH(P$2,Inputs!$K$4:$AJ$4,0)))+SUMPRODUCT((Inputs!$E$5:$E$180=$B24)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24" s="6" t="e">
        <f>IF(ISNA(MATCH(Q$2,Inputs!$K$4:$AJ$4,0)),NA(),IF(SUMPRODUCT((Inputs!$A$5:$A$180=$B24)*ISNUMBER(INDEX(Inputs!$K$5:$AJ$180,0,MATCH(Q$2,Inputs!$K$4:$AJ$4,0))))+SUMPRODUCT((Inputs!$C$5:$C$180=$B24)*ISNUMBER(INDEX(Inputs!$K$5:$AJ$180,0,MATCH(Q$2,Inputs!$K$4:$AJ$4,0))))+SUMPRODUCT((Inputs!$E$5:$E$180=$B24)*ISNUMBER(INDEX(Inputs!$K$5:$AJ$180,0,MATCH(Q$2,Inputs!$K$4:$AJ$4,0))))=0,NA(),SUMPRODUCT((Inputs!$A$5:$A$180=$B24)*Inputs!$B$5:$B$180*(((Inputs!$G$5:$G$180="moeda")+(Inputs!$G$5:$G$180="acoes"))*Inputs!$B$1+((Inputs!$G$5:$G$180&lt;&gt;"moeda")*(Inputs!$G$5:$G$180&lt;&gt;"acoes")))*INDEX(Inputs!$K$5:$AJ$180,0,MATCH(Q$2,Inputs!$K$4:$AJ$4,0)))+SUMPRODUCT((Inputs!$C$5:$C$180=$B24)*Inputs!$D$5:$D$180*(((Inputs!$G$5:$G$180="moeda")+(Inputs!$G$5:$G$180="acoes"))*Inputs!$B$1+((Inputs!$G$5:$G$180&lt;&gt;"moeda")*(Inputs!$G$5:$G$180&lt;&gt;"acoes")))*INDEX(Inputs!$K$5:$AJ$180,0,MATCH(Q$2,Inputs!$K$4:$AJ$4,0)))+SUMPRODUCT((Inputs!$E$5:$E$180=$B24)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24" s="3" t="e">
        <f>Q24</f>
        <v>#N/A</v>
      </c>
      <c r="S24" s="6" t="e">
        <f>IF(ISNA(MATCH(S$2,Inputs!$K$4:$AJ$4,0)),NA(),IF(SUMPRODUCT((Inputs!$A$5:$A$180=$B24)*ISNUMBER(INDEX(Inputs!$K$5:$AJ$180,0,MATCH(S$2,Inputs!$K$4:$AJ$4,0))))+SUMPRODUCT((Inputs!$C$5:$C$180=$B24)*ISNUMBER(INDEX(Inputs!$K$5:$AJ$180,0,MATCH(S$2,Inputs!$K$4:$AJ$4,0))))+SUMPRODUCT((Inputs!$E$5:$E$180=$B24)*ISNUMBER(INDEX(Inputs!$K$5:$AJ$180,0,MATCH(S$2,Inputs!$K$4:$AJ$4,0))))=0,NA(),SUMPRODUCT((Inputs!$A$5:$A$180=$B24)*Inputs!$B$5:$B$180*(((Inputs!$G$5:$G$180="moeda")+(Inputs!$G$5:$G$180="acoes"))*Inputs!$B$1+((Inputs!$G$5:$G$180&lt;&gt;"moeda")*(Inputs!$G$5:$G$180&lt;&gt;"acoes")))*INDEX(Inputs!$K$5:$AJ$180,0,MATCH(S$2,Inputs!$K$4:$AJ$4,0)))+SUMPRODUCT((Inputs!$C$5:$C$180=$B24)*Inputs!$D$5:$D$180*(((Inputs!$G$5:$G$180="moeda")+(Inputs!$G$5:$G$180="acoes"))*Inputs!$B$1+((Inputs!$G$5:$G$180&lt;&gt;"moeda")*(Inputs!$G$5:$G$180&lt;&gt;"acoes")))*INDEX(Inputs!$K$5:$AJ$180,0,MATCH(S$2,Inputs!$K$4:$AJ$4,0)))+SUMPRODUCT((Inputs!$E$5:$E$180=$B24)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24" s="6" t="e">
        <f>IF(ISNA(MATCH(T$2,Inputs!$K$4:$AJ$4,0)),NA(),IF(SUMPRODUCT((Inputs!$A$5:$A$180=$B24)*ISNUMBER(INDEX(Inputs!$K$5:$AJ$180,0,MATCH(T$2,Inputs!$K$4:$AJ$4,0))))+SUMPRODUCT((Inputs!$C$5:$C$180=$B24)*ISNUMBER(INDEX(Inputs!$K$5:$AJ$180,0,MATCH(T$2,Inputs!$K$4:$AJ$4,0))))+SUMPRODUCT((Inputs!$E$5:$E$180=$B24)*ISNUMBER(INDEX(Inputs!$K$5:$AJ$180,0,MATCH(T$2,Inputs!$K$4:$AJ$4,0))))=0,NA(),SUMPRODUCT((Inputs!$A$5:$A$180=$B24)*Inputs!$B$5:$B$180*(((Inputs!$G$5:$G$180="moeda")+(Inputs!$G$5:$G$180="acoes"))*Inputs!$B$1+((Inputs!$G$5:$G$180&lt;&gt;"moeda")*(Inputs!$G$5:$G$180&lt;&gt;"acoes")))*INDEX(Inputs!$K$5:$AJ$180,0,MATCH(T$2,Inputs!$K$4:$AJ$4,0)))+SUMPRODUCT((Inputs!$C$5:$C$180=$B24)*Inputs!$D$5:$D$180*(((Inputs!$G$5:$G$180="moeda")+(Inputs!$G$5:$G$180="acoes"))*Inputs!$B$1+((Inputs!$G$5:$G$180&lt;&gt;"moeda")*(Inputs!$G$5:$G$180&lt;&gt;"acoes")))*INDEX(Inputs!$K$5:$AJ$180,0,MATCH(T$2,Inputs!$K$4:$AJ$4,0)))+SUMPRODUCT((Inputs!$E$5:$E$180=$B24)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24" s="6" t="e">
        <f>IF(ISNA(MATCH(U$2,Inputs!$K$4:$AJ$4,0)),NA(),IF(SUMPRODUCT((Inputs!$A$5:$A$180=$B24)*ISNUMBER(INDEX(Inputs!$K$5:$AJ$180,0,MATCH(U$2,Inputs!$K$4:$AJ$4,0))))+SUMPRODUCT((Inputs!$C$5:$C$180=$B24)*ISNUMBER(INDEX(Inputs!$K$5:$AJ$180,0,MATCH(U$2,Inputs!$K$4:$AJ$4,0))))+SUMPRODUCT((Inputs!$E$5:$E$180=$B24)*ISNUMBER(INDEX(Inputs!$K$5:$AJ$180,0,MATCH(U$2,Inputs!$K$4:$AJ$4,0))))=0,NA(),SUMPRODUCT((Inputs!$A$5:$A$180=$B24)*Inputs!$B$5:$B$180*(((Inputs!$G$5:$G$180="moeda")+(Inputs!$G$5:$G$180="acoes"))*Inputs!$B$1+((Inputs!$G$5:$G$180&lt;&gt;"moeda")*(Inputs!$G$5:$G$180&lt;&gt;"acoes")))*INDEX(Inputs!$K$5:$AJ$180,0,MATCH(U$2,Inputs!$K$4:$AJ$4,0)))+SUMPRODUCT((Inputs!$C$5:$C$180=$B24)*Inputs!$D$5:$D$180*(((Inputs!$G$5:$G$180="moeda")+(Inputs!$G$5:$G$180="acoes"))*Inputs!$B$1+((Inputs!$G$5:$G$180&lt;&gt;"moeda")*(Inputs!$G$5:$G$180&lt;&gt;"acoes")))*INDEX(Inputs!$K$5:$AJ$180,0,MATCH(U$2,Inputs!$K$4:$AJ$4,0)))+SUMPRODUCT((Inputs!$E$5:$E$180=$B24)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24" s="6" t="e">
        <f>IF(ISNA(MATCH(V$2,Inputs!$K$4:$AJ$4,0)),NA(),IF(SUMPRODUCT((Inputs!$A$5:$A$180=$B24)*ISNUMBER(INDEX(Inputs!$K$5:$AJ$180,0,MATCH(V$2,Inputs!$K$4:$AJ$4,0))))+SUMPRODUCT((Inputs!$C$5:$C$180=$B24)*ISNUMBER(INDEX(Inputs!$K$5:$AJ$180,0,MATCH(V$2,Inputs!$K$4:$AJ$4,0))))+SUMPRODUCT((Inputs!$E$5:$E$180=$B24)*ISNUMBER(INDEX(Inputs!$K$5:$AJ$180,0,MATCH(V$2,Inputs!$K$4:$AJ$4,0))))=0,NA(),SUMPRODUCT((Inputs!$A$5:$A$180=$B24)*Inputs!$B$5:$B$180*(((Inputs!$G$5:$G$180="moeda")+(Inputs!$G$5:$G$180="acoes"))*Inputs!$B$1+((Inputs!$G$5:$G$180&lt;&gt;"moeda")*(Inputs!$G$5:$G$180&lt;&gt;"acoes")))*INDEX(Inputs!$K$5:$AJ$180,0,MATCH(V$2,Inputs!$K$4:$AJ$4,0)))+SUMPRODUCT((Inputs!$C$5:$C$180=$B24)*Inputs!$D$5:$D$180*(((Inputs!$G$5:$G$180="moeda")+(Inputs!$G$5:$G$180="acoes"))*Inputs!$B$1+((Inputs!$G$5:$G$180&lt;&gt;"moeda")*(Inputs!$G$5:$G$180&lt;&gt;"acoes")))*INDEX(Inputs!$K$5:$AJ$180,0,MATCH(V$2,Inputs!$K$4:$AJ$4,0)))+SUMPRODUCT((Inputs!$E$5:$E$180=$B24)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24" s="3" t="e">
        <f>V24</f>
        <v>#N/A</v>
      </c>
      <c r="X24" s="6" t="e">
        <f>IF(ISNA(MATCH(X$2,Inputs!$K$4:$AJ$4,0)),NA(),IF(SUMPRODUCT((Inputs!$A$5:$A$180=$B24)*ISNUMBER(INDEX(Inputs!$K$5:$AJ$180,0,MATCH(X$2,Inputs!$K$4:$AJ$4,0))))+SUMPRODUCT((Inputs!$C$5:$C$180=$B24)*ISNUMBER(INDEX(Inputs!$K$5:$AJ$180,0,MATCH(X$2,Inputs!$K$4:$AJ$4,0))))+SUMPRODUCT((Inputs!$E$5:$E$180=$B24)*ISNUMBER(INDEX(Inputs!$K$5:$AJ$180,0,MATCH(X$2,Inputs!$K$4:$AJ$4,0))))=0,NA(),SUMPRODUCT((Inputs!$A$5:$A$180=$B24)*Inputs!$B$5:$B$180*(((Inputs!$G$5:$G$180="moeda")+(Inputs!$G$5:$G$180="acoes"))*Inputs!$B$1+((Inputs!$G$5:$G$180&lt;&gt;"moeda")*(Inputs!$G$5:$G$180&lt;&gt;"acoes")))*INDEX(Inputs!$K$5:$AJ$180,0,MATCH(X$2,Inputs!$K$4:$AJ$4,0)))+SUMPRODUCT((Inputs!$C$5:$C$180=$B24)*Inputs!$D$5:$D$180*(((Inputs!$G$5:$G$180="moeda")+(Inputs!$G$5:$G$180="acoes"))*Inputs!$B$1+((Inputs!$G$5:$G$180&lt;&gt;"moeda")*(Inputs!$G$5:$G$180&lt;&gt;"acoes")))*INDEX(Inputs!$K$5:$AJ$180,0,MATCH(X$2,Inputs!$K$4:$AJ$4,0)))+SUMPRODUCT((Inputs!$E$5:$E$180=$B24)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24" s="6" t="e">
        <f>IF(ISNA(MATCH(Y$2,Inputs!$K$4:$AJ$4,0)),NA(),IF(SUMPRODUCT((Inputs!$A$5:$A$180=$B24)*ISNUMBER(INDEX(Inputs!$K$5:$AJ$180,0,MATCH(Y$2,Inputs!$K$4:$AJ$4,0))))+SUMPRODUCT((Inputs!$C$5:$C$180=$B24)*ISNUMBER(INDEX(Inputs!$K$5:$AJ$180,0,MATCH(Y$2,Inputs!$K$4:$AJ$4,0))))+SUMPRODUCT((Inputs!$E$5:$E$180=$B24)*ISNUMBER(INDEX(Inputs!$K$5:$AJ$180,0,MATCH(Y$2,Inputs!$K$4:$AJ$4,0))))=0,NA(),SUMPRODUCT((Inputs!$A$5:$A$180=$B24)*Inputs!$B$5:$B$180*(((Inputs!$G$5:$G$180="moeda")+(Inputs!$G$5:$G$180="acoes"))*Inputs!$B$1+((Inputs!$G$5:$G$180&lt;&gt;"moeda")*(Inputs!$G$5:$G$180&lt;&gt;"acoes")))*INDEX(Inputs!$K$5:$AJ$180,0,MATCH(Y$2,Inputs!$K$4:$AJ$4,0)))+SUMPRODUCT((Inputs!$C$5:$C$180=$B24)*Inputs!$D$5:$D$180*(((Inputs!$G$5:$G$180="moeda")+(Inputs!$G$5:$G$180="acoes"))*Inputs!$B$1+((Inputs!$G$5:$G$180&lt;&gt;"moeda")*(Inputs!$G$5:$G$180&lt;&gt;"acoes")))*INDEX(Inputs!$K$5:$AJ$180,0,MATCH(Y$2,Inputs!$K$4:$AJ$4,0)))+SUMPRODUCT((Inputs!$E$5:$E$180=$B24)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24" s="6" t="e">
        <f>IF(ISNA(MATCH(Z$2,Inputs!$K$4:$AJ$4,0)),NA(),IF(SUMPRODUCT((Inputs!$A$5:$A$180=$B24)*ISNUMBER(INDEX(Inputs!$K$5:$AJ$180,0,MATCH(Z$2,Inputs!$K$4:$AJ$4,0))))+SUMPRODUCT((Inputs!$C$5:$C$180=$B24)*ISNUMBER(INDEX(Inputs!$K$5:$AJ$180,0,MATCH(Z$2,Inputs!$K$4:$AJ$4,0))))+SUMPRODUCT((Inputs!$E$5:$E$180=$B24)*ISNUMBER(INDEX(Inputs!$K$5:$AJ$180,0,MATCH(Z$2,Inputs!$K$4:$AJ$4,0))))=0,NA(),SUMPRODUCT((Inputs!$A$5:$A$180=$B24)*Inputs!$B$5:$B$180*(((Inputs!$G$5:$G$180="moeda")+(Inputs!$G$5:$G$180="acoes"))*Inputs!$B$1+((Inputs!$G$5:$G$180&lt;&gt;"moeda")*(Inputs!$G$5:$G$180&lt;&gt;"acoes")))*INDEX(Inputs!$K$5:$AJ$180,0,MATCH(Z$2,Inputs!$K$4:$AJ$4,0)))+SUMPRODUCT((Inputs!$C$5:$C$180=$B24)*Inputs!$D$5:$D$180*(((Inputs!$G$5:$G$180="moeda")+(Inputs!$G$5:$G$180="acoes"))*Inputs!$B$1+((Inputs!$G$5:$G$180&lt;&gt;"moeda")*(Inputs!$G$5:$G$180&lt;&gt;"acoes")))*INDEX(Inputs!$K$5:$AJ$180,0,MATCH(Z$2,Inputs!$K$4:$AJ$4,0)))+SUMPRODUCT((Inputs!$E$5:$E$180=$B24)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24" s="6" t="e">
        <f>IF(ISNA(MATCH(AA$2,Inputs!$K$4:$AJ$4,0)),NA(),IF(SUMPRODUCT((Inputs!$A$5:$A$180=$B24)*ISNUMBER(INDEX(Inputs!$K$5:$AJ$180,0,MATCH(AA$2,Inputs!$K$4:$AJ$4,0))))+SUMPRODUCT((Inputs!$C$5:$C$180=$B24)*ISNUMBER(INDEX(Inputs!$K$5:$AJ$180,0,MATCH(AA$2,Inputs!$K$4:$AJ$4,0))))+SUMPRODUCT((Inputs!$E$5:$E$180=$B24)*ISNUMBER(INDEX(Inputs!$K$5:$AJ$180,0,MATCH(AA$2,Inputs!$K$4:$AJ$4,0))))=0,NA(),SUMPRODUCT((Inputs!$A$5:$A$180=$B24)*Inputs!$B$5:$B$180*(((Inputs!$G$5:$G$180="moeda")+(Inputs!$G$5:$G$180="acoes"))*Inputs!$B$1+((Inputs!$G$5:$G$180&lt;&gt;"moeda")*(Inputs!$G$5:$G$180&lt;&gt;"acoes")))*INDEX(Inputs!$K$5:$AJ$180,0,MATCH(AA$2,Inputs!$K$4:$AJ$4,0)))+SUMPRODUCT((Inputs!$C$5:$C$180=$B24)*Inputs!$D$5:$D$180*(((Inputs!$G$5:$G$180="moeda")+(Inputs!$G$5:$G$180="acoes"))*Inputs!$B$1+((Inputs!$G$5:$G$180&lt;&gt;"moeda")*(Inputs!$G$5:$G$180&lt;&gt;"acoes")))*INDEX(Inputs!$K$5:$AJ$180,0,MATCH(AA$2,Inputs!$K$4:$AJ$4,0)))+SUMPRODUCT((Inputs!$E$5:$E$180=$B24)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24" s="3" t="e">
        <f>AA24</f>
        <v>#N/A</v>
      </c>
      <c r="AC24" s="6" t="e">
        <f>IF(ISNA(MATCH(AC$2,Inputs!$K$4:$AJ$4,0)),NA(),IF(SUMPRODUCT((Inputs!$A$5:$A$180=$B24)*ISNUMBER(INDEX(Inputs!$K$5:$AJ$180,0,MATCH(AC$2,Inputs!$K$4:$AJ$4,0))))+SUMPRODUCT((Inputs!$C$5:$C$180=$B24)*ISNUMBER(INDEX(Inputs!$K$5:$AJ$180,0,MATCH(AC$2,Inputs!$K$4:$AJ$4,0))))+SUMPRODUCT((Inputs!$E$5:$E$180=$B24)*ISNUMBER(INDEX(Inputs!$K$5:$AJ$180,0,MATCH(AC$2,Inputs!$K$4:$AJ$4,0))))=0,NA(),SUMPRODUCT((Inputs!$A$5:$A$180=$B24)*Inputs!$B$5:$B$180*(((Inputs!$G$5:$G$180="moeda")+(Inputs!$G$5:$G$180="acoes"))*Inputs!$B$1+((Inputs!$G$5:$G$180&lt;&gt;"moeda")*(Inputs!$G$5:$G$180&lt;&gt;"acoes")))*INDEX(Inputs!$K$5:$AJ$180,0,MATCH(AC$2,Inputs!$K$4:$AJ$4,0)))+SUMPRODUCT((Inputs!$C$5:$C$180=$B24)*Inputs!$D$5:$D$180*(((Inputs!$G$5:$G$180="moeda")+(Inputs!$G$5:$G$180="acoes"))*Inputs!$B$1+((Inputs!$G$5:$G$180&lt;&gt;"moeda")*(Inputs!$G$5:$G$180&lt;&gt;"acoes")))*INDEX(Inputs!$K$5:$AJ$180,0,MATCH(AC$2,Inputs!$K$4:$AJ$4,0)))+SUMPRODUCT((Inputs!$E$5:$E$180=$B24)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24" s="6" t="e">
        <f>IF(ISNA(MATCH(AD$2,Inputs!$K$4:$AJ$4,0)),NA(),IF(SUMPRODUCT((Inputs!$A$5:$A$180=$B24)*ISNUMBER(INDEX(Inputs!$K$5:$AJ$180,0,MATCH(AD$2,Inputs!$K$4:$AJ$4,0))))+SUMPRODUCT((Inputs!$C$5:$C$180=$B24)*ISNUMBER(INDEX(Inputs!$K$5:$AJ$180,0,MATCH(AD$2,Inputs!$K$4:$AJ$4,0))))+SUMPRODUCT((Inputs!$E$5:$E$180=$B24)*ISNUMBER(INDEX(Inputs!$K$5:$AJ$180,0,MATCH(AD$2,Inputs!$K$4:$AJ$4,0))))=0,NA(),SUMPRODUCT((Inputs!$A$5:$A$180=$B24)*Inputs!$B$5:$B$180*(((Inputs!$G$5:$G$180="moeda")+(Inputs!$G$5:$G$180="acoes"))*Inputs!$B$1+((Inputs!$G$5:$G$180&lt;&gt;"moeda")*(Inputs!$G$5:$G$180&lt;&gt;"acoes")))*INDEX(Inputs!$K$5:$AJ$180,0,MATCH(AD$2,Inputs!$K$4:$AJ$4,0)))+SUMPRODUCT((Inputs!$C$5:$C$180=$B24)*Inputs!$D$5:$D$180*(((Inputs!$G$5:$G$180="moeda")+(Inputs!$G$5:$G$180="acoes"))*Inputs!$B$1+((Inputs!$G$5:$G$180&lt;&gt;"moeda")*(Inputs!$G$5:$G$180&lt;&gt;"acoes")))*INDEX(Inputs!$K$5:$AJ$180,0,MATCH(AD$2,Inputs!$K$4:$AJ$4,0)))+SUMPRODUCT((Inputs!$E$5:$E$180=$B24)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24" s="6" t="e">
        <f>IF(ISNA(MATCH(AE$2,Inputs!$K$4:$AJ$4,0)),NA(),IF(SUMPRODUCT((Inputs!$A$5:$A$180=$B24)*ISNUMBER(INDEX(Inputs!$K$5:$AJ$180,0,MATCH(AE$2,Inputs!$K$4:$AJ$4,0))))+SUMPRODUCT((Inputs!$C$5:$C$180=$B24)*ISNUMBER(INDEX(Inputs!$K$5:$AJ$180,0,MATCH(AE$2,Inputs!$K$4:$AJ$4,0))))+SUMPRODUCT((Inputs!$E$5:$E$180=$B24)*ISNUMBER(INDEX(Inputs!$K$5:$AJ$180,0,MATCH(AE$2,Inputs!$K$4:$AJ$4,0))))=0,NA(),SUMPRODUCT((Inputs!$A$5:$A$180=$B24)*Inputs!$B$5:$B$180*(((Inputs!$G$5:$G$180="moeda")+(Inputs!$G$5:$G$180="acoes"))*Inputs!$B$1+((Inputs!$G$5:$G$180&lt;&gt;"moeda")*(Inputs!$G$5:$G$180&lt;&gt;"acoes")))*INDEX(Inputs!$K$5:$AJ$180,0,MATCH(AE$2,Inputs!$K$4:$AJ$4,0)))+SUMPRODUCT((Inputs!$C$5:$C$180=$B24)*Inputs!$D$5:$D$180*(((Inputs!$G$5:$G$180="moeda")+(Inputs!$G$5:$G$180="acoes"))*Inputs!$B$1+((Inputs!$G$5:$G$180&lt;&gt;"moeda")*(Inputs!$G$5:$G$180&lt;&gt;"acoes")))*INDEX(Inputs!$K$5:$AJ$180,0,MATCH(AE$2,Inputs!$K$4:$AJ$4,0)))+SUMPRODUCT((Inputs!$E$5:$E$180=$B24)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4" s="6" t="e">
        <f>IF(ISNA(MATCH(AF$2,Inputs!$K$4:$AJ$4,0)),NA(),IF(SUMPRODUCT((Inputs!$A$5:$A$180=$B24)*ISNUMBER(INDEX(Inputs!$K$5:$AJ$180,0,MATCH(AF$2,Inputs!$K$4:$AJ$4,0))))+SUMPRODUCT((Inputs!$C$5:$C$180=$B24)*ISNUMBER(INDEX(Inputs!$K$5:$AJ$180,0,MATCH(AF$2,Inputs!$K$4:$AJ$4,0))))+SUMPRODUCT((Inputs!$E$5:$E$180=$B24)*ISNUMBER(INDEX(Inputs!$K$5:$AJ$180,0,MATCH(AF$2,Inputs!$K$4:$AJ$4,0))))=0,NA(),SUMPRODUCT((Inputs!$A$5:$A$180=$B24)*Inputs!$B$5:$B$180*(((Inputs!$G$5:$G$180="moeda")+(Inputs!$G$5:$G$180="acoes"))*Inputs!$B$1+((Inputs!$G$5:$G$180&lt;&gt;"moeda")*(Inputs!$G$5:$G$180&lt;&gt;"acoes")))*INDEX(Inputs!$K$5:$AJ$180,0,MATCH(AF$2,Inputs!$K$4:$AJ$4,0)))+SUMPRODUCT((Inputs!$C$5:$C$180=$B24)*Inputs!$D$5:$D$180*(((Inputs!$G$5:$G$180="moeda")+(Inputs!$G$5:$G$180="acoes"))*Inputs!$B$1+((Inputs!$G$5:$G$180&lt;&gt;"moeda")*(Inputs!$G$5:$G$180&lt;&gt;"acoes")))*INDEX(Inputs!$K$5:$AJ$180,0,MATCH(AF$2,Inputs!$K$4:$AJ$4,0)))+SUMPRODUCT((Inputs!$E$5:$E$180=$B24)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4" s="3" t="e">
        <f>AF24</f>
        <v>#N/A</v>
      </c>
      <c r="AH24" s="6" t="e">
        <f>IF(ISNA(MATCH(AH$2,Inputs!$K$4:$AJ$4,0)),NA(),IF(SUMPRODUCT((Inputs!$A$5:$A$180=$B24)*ISNUMBER(INDEX(Inputs!$K$5:$AJ$180,0,MATCH(AH$2,Inputs!$K$4:$AJ$4,0))))+SUMPRODUCT((Inputs!$C$5:$C$180=$B24)*ISNUMBER(INDEX(Inputs!$K$5:$AJ$180,0,MATCH(AH$2,Inputs!$K$4:$AJ$4,0))))+SUMPRODUCT((Inputs!$E$5:$E$180=$B24)*ISNUMBER(INDEX(Inputs!$K$5:$AJ$180,0,MATCH(AH$2,Inputs!$K$4:$AJ$4,0))))=0,NA(),SUMPRODUCT((Inputs!$A$5:$A$180=$B24)*Inputs!$B$5:$B$180*(((Inputs!$G$5:$G$180="moeda")+(Inputs!$G$5:$G$180="acoes"))*Inputs!$B$1+((Inputs!$G$5:$G$180&lt;&gt;"moeda")*(Inputs!$G$5:$G$180&lt;&gt;"acoes")))*INDEX(Inputs!$K$5:$AJ$180,0,MATCH(AH$2,Inputs!$K$4:$AJ$4,0)))+SUMPRODUCT((Inputs!$C$5:$C$180=$B24)*Inputs!$D$5:$D$180*(((Inputs!$G$5:$G$180="moeda")+(Inputs!$G$5:$G$180="acoes"))*Inputs!$B$1+((Inputs!$G$5:$G$180&lt;&gt;"moeda")*(Inputs!$G$5:$G$180&lt;&gt;"acoes")))*INDEX(Inputs!$K$5:$AJ$180,0,MATCH(AH$2,Inputs!$K$4:$AJ$4,0)))+SUMPRODUCT((Inputs!$E$5:$E$180=$B24)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24" s="6" t="e">
        <f>IF(ISNA(MATCH(AI$2,Inputs!$K$4:$AJ$4,0)),NA(),IF(SUMPRODUCT((Inputs!$A$5:$A$180=$B24)*ISNUMBER(INDEX(Inputs!$K$5:$AJ$180,0,MATCH(AI$2,Inputs!$K$4:$AJ$4,0))))+SUMPRODUCT((Inputs!$C$5:$C$180=$B24)*ISNUMBER(INDEX(Inputs!$K$5:$AJ$180,0,MATCH(AI$2,Inputs!$K$4:$AJ$4,0))))+SUMPRODUCT((Inputs!$E$5:$E$180=$B24)*ISNUMBER(INDEX(Inputs!$K$5:$AJ$180,0,MATCH(AI$2,Inputs!$K$4:$AJ$4,0))))=0,NA(),SUMPRODUCT((Inputs!$A$5:$A$180=$B24)*Inputs!$B$5:$B$180*(((Inputs!$G$5:$G$180="moeda")+(Inputs!$G$5:$G$180="acoes"))*Inputs!$B$1+((Inputs!$G$5:$G$180&lt;&gt;"moeda")*(Inputs!$G$5:$G$180&lt;&gt;"acoes")))*INDEX(Inputs!$K$5:$AJ$180,0,MATCH(AI$2,Inputs!$K$4:$AJ$4,0)))+SUMPRODUCT((Inputs!$C$5:$C$180=$B24)*Inputs!$D$5:$D$180*(((Inputs!$G$5:$G$180="moeda")+(Inputs!$G$5:$G$180="acoes"))*Inputs!$B$1+((Inputs!$G$5:$G$180&lt;&gt;"moeda")*(Inputs!$G$5:$G$180&lt;&gt;"acoes")))*INDEX(Inputs!$K$5:$AJ$180,0,MATCH(AI$2,Inputs!$K$4:$AJ$4,0)))+SUMPRODUCT((Inputs!$E$5:$E$180=$B24)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24" s="6" t="e">
        <f>IF(ISNA(MATCH(AJ$2,Inputs!$K$4:$AJ$4,0)),NA(),IF(SUMPRODUCT((Inputs!$A$5:$A$180=$B24)*ISNUMBER(INDEX(Inputs!$K$5:$AJ$180,0,MATCH(AJ$2,Inputs!$K$4:$AJ$4,0))))+SUMPRODUCT((Inputs!$C$5:$C$180=$B24)*ISNUMBER(INDEX(Inputs!$K$5:$AJ$180,0,MATCH(AJ$2,Inputs!$K$4:$AJ$4,0))))+SUMPRODUCT((Inputs!$E$5:$E$180=$B24)*ISNUMBER(INDEX(Inputs!$K$5:$AJ$180,0,MATCH(AJ$2,Inputs!$K$4:$AJ$4,0))))=0,NA(),SUMPRODUCT((Inputs!$A$5:$A$180=$B24)*Inputs!$B$5:$B$180*(((Inputs!$G$5:$G$180="moeda")+(Inputs!$G$5:$G$180="acoes"))*Inputs!$B$1+((Inputs!$G$5:$G$180&lt;&gt;"moeda")*(Inputs!$G$5:$G$180&lt;&gt;"acoes")))*INDEX(Inputs!$K$5:$AJ$180,0,MATCH(AJ$2,Inputs!$K$4:$AJ$4,0)))+SUMPRODUCT((Inputs!$C$5:$C$180=$B24)*Inputs!$D$5:$D$180*(((Inputs!$G$5:$G$180="moeda")+(Inputs!$G$5:$G$180="acoes"))*Inputs!$B$1+((Inputs!$G$5:$G$180&lt;&gt;"moeda")*(Inputs!$G$5:$G$180&lt;&gt;"acoes")))*INDEX(Inputs!$K$5:$AJ$180,0,MATCH(AJ$2,Inputs!$K$4:$AJ$4,0)))+SUMPRODUCT((Inputs!$E$5:$E$180=$B24)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24" s="6" t="e">
        <f>IF(ISNA(MATCH(AK$2,Inputs!$K$4:$AJ$4,0)),NA(),IF(SUMPRODUCT((Inputs!$A$5:$A$180=$B24)*ISNUMBER(INDEX(Inputs!$K$5:$AJ$180,0,MATCH(AK$2,Inputs!$K$4:$AJ$4,0))))+SUMPRODUCT((Inputs!$C$5:$C$180=$B24)*ISNUMBER(INDEX(Inputs!$K$5:$AJ$180,0,MATCH(AK$2,Inputs!$K$4:$AJ$4,0))))+SUMPRODUCT((Inputs!$E$5:$E$180=$B24)*ISNUMBER(INDEX(Inputs!$K$5:$AJ$180,0,MATCH(AK$2,Inputs!$K$4:$AJ$4,0))))=0,NA(),SUMPRODUCT((Inputs!$A$5:$A$180=$B24)*Inputs!$B$5:$B$180*(((Inputs!$G$5:$G$180="moeda")+(Inputs!$G$5:$G$180="acoes"))*Inputs!$B$1+((Inputs!$G$5:$G$180&lt;&gt;"moeda")*(Inputs!$G$5:$G$180&lt;&gt;"acoes")))*INDEX(Inputs!$K$5:$AJ$180,0,MATCH(AK$2,Inputs!$K$4:$AJ$4,0)))+SUMPRODUCT((Inputs!$C$5:$C$180=$B24)*Inputs!$D$5:$D$180*(((Inputs!$G$5:$G$180="moeda")+(Inputs!$G$5:$G$180="acoes"))*Inputs!$B$1+((Inputs!$G$5:$G$180&lt;&gt;"moeda")*(Inputs!$G$5:$G$180&lt;&gt;"acoes")))*INDEX(Inputs!$K$5:$AJ$180,0,MATCH(AK$2,Inputs!$K$4:$AJ$4,0)))+SUMPRODUCT((Inputs!$E$5:$E$180=$B24)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$180=$B25)*ISNUMBER(INDEX(Inputs!$K$5:$AJ$180,0,MATCH(D$2,Inputs!$K$4:$AJ$4,0))))+SUMPRODUCT((Inputs!$C$5:$C$180=$B25)*ISNUMBER(INDEX(Inputs!$K$5:$AJ$180,0,MATCH(D$2,Inputs!$K$4:$AJ$4,0))))+SUMPRODUCT((Inputs!$E$5:$E$180=$B25)*ISNUMBER(INDEX(Inputs!$K$5:$AJ$180,0,MATCH(D$2,Inputs!$K$4:$AJ$4,0))))=0,NA(),SUMPRODUCT((Inputs!$A$5:$A$180=$B25)*Inputs!$B$5:$B$180*(((Inputs!$G$5:$G$180="moeda")+(Inputs!$G$5:$G$180="acoes"))*Inputs!$B$1+((Inputs!$G$5:$G$180&lt;&gt;"moeda")*(Inputs!$G$5:$G$180&lt;&gt;"acoes")))*INDEX(Inputs!$K$5:$AJ$180,0,MATCH(D$2,Inputs!$K$4:$AJ$4,0)))+SUMPRODUCT((Inputs!$C$5:$C$180=$B25)*Inputs!$D$5:$D$180*(((Inputs!$G$5:$G$180="moeda")+(Inputs!$G$5:$G$180="acoes"))*Inputs!$B$1+((Inputs!$G$5:$G$180&lt;&gt;"moeda")*(Inputs!$G$5:$G$180&lt;&gt;"acoes")))*INDEX(Inputs!$K$5:$AJ$180,0,MATCH(D$2,Inputs!$K$4:$AJ$4,0)))+SUMPRODUCT((Inputs!$E$5:$E$180=$B25)*Inputs!$F$5:$F$180*(((Inputs!$G$5:$G$180="moeda")+(Inputs!$G$5:$G$180="acoes"))*Inputs!$B$1+((Inputs!$G$5:$G$180&lt;&gt;"moeda")*(Inputs!$G$5:$G$180&lt;&gt;"acoes")))*INDEX(Inputs!$K$5:$AJ$180,0,MATCH(D$2,Inputs!$K$4:$AJ$4,0)))))</f>
        <v>2031.48169488229</v>
      </c>
      <c r="E25" s="6">
        <f>IF(ISNA(MATCH(E$2,Inputs!$K$4:$AJ$4,0)),NA(),IF(SUMPRODUCT((Inputs!$A$5:$A$180=$B25)*ISNUMBER(INDEX(Inputs!$K$5:$AJ$180,0,MATCH(E$2,Inputs!$K$4:$AJ$4,0))))+SUMPRODUCT((Inputs!$C$5:$C$180=$B25)*ISNUMBER(INDEX(Inputs!$K$5:$AJ$180,0,MATCH(E$2,Inputs!$K$4:$AJ$4,0))))+SUMPRODUCT((Inputs!$E$5:$E$180=$B25)*ISNUMBER(INDEX(Inputs!$K$5:$AJ$180,0,MATCH(E$2,Inputs!$K$4:$AJ$4,0))))=0,NA(),SUMPRODUCT((Inputs!$A$5:$A$180=$B25)*Inputs!$B$5:$B$180*(((Inputs!$G$5:$G$180="moeda")+(Inputs!$G$5:$G$180="acoes"))*Inputs!$B$1+((Inputs!$G$5:$G$180&lt;&gt;"moeda")*(Inputs!$G$5:$G$180&lt;&gt;"acoes")))*INDEX(Inputs!$K$5:$AJ$180,0,MATCH(E$2,Inputs!$K$4:$AJ$4,0)))+SUMPRODUCT((Inputs!$C$5:$C$180=$B25)*Inputs!$D$5:$D$180*(((Inputs!$G$5:$G$180="moeda")+(Inputs!$G$5:$G$180="acoes"))*Inputs!$B$1+((Inputs!$G$5:$G$180&lt;&gt;"moeda")*(Inputs!$G$5:$G$180&lt;&gt;"acoes")))*INDEX(Inputs!$K$5:$AJ$180,0,MATCH(E$2,Inputs!$K$4:$AJ$4,0)))+SUMPRODUCT((Inputs!$E$5:$E$180=$B25)*Inputs!$F$5:$F$180*(((Inputs!$G$5:$G$180="moeda")+(Inputs!$G$5:$G$180="acoes"))*Inputs!$B$1+((Inputs!$G$5:$G$180&lt;&gt;"moeda")*(Inputs!$G$5:$G$180&lt;&gt;"acoes")))*INDEX(Inputs!$K$5:$AJ$180,0,MATCH(E$2,Inputs!$K$4:$AJ$4,0)))))</f>
        <v>2190.43942357097</v>
      </c>
      <c r="F25" s="6">
        <f>IF(ISNA(MATCH(F$2,Inputs!$K$4:$AJ$4,0)),NA(),IF(SUMPRODUCT((Inputs!$A$5:$A$180=$B25)*ISNUMBER(INDEX(Inputs!$K$5:$AJ$180,0,MATCH(F$2,Inputs!$K$4:$AJ$4,0))))+SUMPRODUCT((Inputs!$C$5:$C$180=$B25)*ISNUMBER(INDEX(Inputs!$K$5:$AJ$180,0,MATCH(F$2,Inputs!$K$4:$AJ$4,0))))+SUMPRODUCT((Inputs!$E$5:$E$180=$B25)*ISNUMBER(INDEX(Inputs!$K$5:$AJ$180,0,MATCH(F$2,Inputs!$K$4:$AJ$4,0))))=0,NA(),SUMPRODUCT((Inputs!$A$5:$A$180=$B25)*Inputs!$B$5:$B$180*(((Inputs!$G$5:$G$180="moeda")+(Inputs!$G$5:$G$180="acoes"))*Inputs!$B$1+((Inputs!$G$5:$G$180&lt;&gt;"moeda")*(Inputs!$G$5:$G$180&lt;&gt;"acoes")))*INDEX(Inputs!$K$5:$AJ$180,0,MATCH(F$2,Inputs!$K$4:$AJ$4,0)))+SUMPRODUCT((Inputs!$C$5:$C$180=$B25)*Inputs!$D$5:$D$180*(((Inputs!$G$5:$G$180="moeda")+(Inputs!$G$5:$G$180="acoes"))*Inputs!$B$1+((Inputs!$G$5:$G$180&lt;&gt;"moeda")*(Inputs!$G$5:$G$180&lt;&gt;"acoes")))*INDEX(Inputs!$K$5:$AJ$180,0,MATCH(F$2,Inputs!$K$4:$AJ$4,0)))+SUMPRODUCT((Inputs!$E$5:$E$180=$B25)*Inputs!$F$5:$F$180*(((Inputs!$G$5:$G$180="moeda")+(Inputs!$G$5:$G$180="acoes"))*Inputs!$B$1+((Inputs!$G$5:$G$180&lt;&gt;"moeda")*(Inputs!$G$5:$G$180&lt;&gt;"acoes")))*INDEX(Inputs!$K$5:$AJ$180,0,MATCH(F$2,Inputs!$K$4:$AJ$4,0)))))</f>
        <v>2297.7921099923</v>
      </c>
      <c r="G25" s="6">
        <f>IF(ISNA(MATCH(G$2,Inputs!$K$4:$AJ$4,0)),NA(),IF(SUMPRODUCT((Inputs!$A$5:$A$180=$B25)*ISNUMBER(INDEX(Inputs!$K$5:$AJ$180,0,MATCH(G$2,Inputs!$K$4:$AJ$4,0))))+SUMPRODUCT((Inputs!$C$5:$C$180=$B25)*ISNUMBER(INDEX(Inputs!$K$5:$AJ$180,0,MATCH(G$2,Inputs!$K$4:$AJ$4,0))))+SUMPRODUCT((Inputs!$E$5:$E$180=$B25)*ISNUMBER(INDEX(Inputs!$K$5:$AJ$180,0,MATCH(G$2,Inputs!$K$4:$AJ$4,0))))=0,NA(),SUMPRODUCT((Inputs!$A$5:$A$180=$B25)*Inputs!$B$5:$B$180*(((Inputs!$G$5:$G$180="moeda")+(Inputs!$G$5:$G$180="acoes"))*Inputs!$B$1+((Inputs!$G$5:$G$180&lt;&gt;"moeda")*(Inputs!$G$5:$G$180&lt;&gt;"acoes")))*INDEX(Inputs!$K$5:$AJ$180,0,MATCH(G$2,Inputs!$K$4:$AJ$4,0)))+SUMPRODUCT((Inputs!$C$5:$C$180=$B25)*Inputs!$D$5:$D$180*(((Inputs!$G$5:$G$180="moeda")+(Inputs!$G$5:$G$180="acoes"))*Inputs!$B$1+((Inputs!$G$5:$G$180&lt;&gt;"moeda")*(Inputs!$G$5:$G$180&lt;&gt;"acoes")))*INDEX(Inputs!$K$5:$AJ$180,0,MATCH(G$2,Inputs!$K$4:$AJ$4,0)))+SUMPRODUCT((Inputs!$E$5:$E$180=$B25)*Inputs!$F$5:$F$180*(((Inputs!$G$5:$G$180="moeda")+(Inputs!$G$5:$G$180="acoes"))*Inputs!$B$1+((Inputs!$G$5:$G$180&lt;&gt;"moeda")*(Inputs!$G$5:$G$180&lt;&gt;"acoes")))*INDEX(Inputs!$K$5:$AJ$180,0,MATCH(G$2,Inputs!$K$4:$AJ$4,0)))))</f>
        <v>2586.60910697806</v>
      </c>
      <c r="H25" s="3">
        <f>G25</f>
        <v>2586.60910697806</v>
      </c>
      <c r="I25" s="6">
        <f>IF(ISNA(MATCH(I$2,Inputs!$K$4:$AJ$4,0)),NA(),IF(SUMPRODUCT((Inputs!$A$5:$A$180=$B25)*ISNUMBER(INDEX(Inputs!$K$5:$AJ$180,0,MATCH(I$2,Inputs!$K$4:$AJ$4,0))))+SUMPRODUCT((Inputs!$C$5:$C$180=$B25)*ISNUMBER(INDEX(Inputs!$K$5:$AJ$180,0,MATCH(I$2,Inputs!$K$4:$AJ$4,0))))+SUMPRODUCT((Inputs!$E$5:$E$180=$B25)*ISNUMBER(INDEX(Inputs!$K$5:$AJ$180,0,MATCH(I$2,Inputs!$K$4:$AJ$4,0))))=0,NA(),SUMPRODUCT((Inputs!$A$5:$A$180=$B25)*Inputs!$B$5:$B$180*(((Inputs!$G$5:$G$180="moeda")+(Inputs!$G$5:$G$180="acoes"))*Inputs!$B$1+((Inputs!$G$5:$G$180&lt;&gt;"moeda")*(Inputs!$G$5:$G$180&lt;&gt;"acoes")))*INDEX(Inputs!$K$5:$AJ$180,0,MATCH(I$2,Inputs!$K$4:$AJ$4,0)))+SUMPRODUCT((Inputs!$C$5:$C$180=$B25)*Inputs!$D$5:$D$180*(((Inputs!$G$5:$G$180="moeda")+(Inputs!$G$5:$G$180="acoes"))*Inputs!$B$1+((Inputs!$G$5:$G$180&lt;&gt;"moeda")*(Inputs!$G$5:$G$180&lt;&gt;"acoes")))*INDEX(Inputs!$K$5:$AJ$180,0,MATCH(I$2,Inputs!$K$4:$AJ$4,0)))+SUMPRODUCT((Inputs!$E$5:$E$180=$B25)*Inputs!$F$5:$F$180*(((Inputs!$G$5:$G$180="moeda")+(Inputs!$G$5:$G$180="acoes"))*Inputs!$B$1+((Inputs!$G$5:$G$180&lt;&gt;"moeda")*(Inputs!$G$5:$G$180&lt;&gt;"acoes")))*INDEX(Inputs!$K$5:$AJ$180,0,MATCH(I$2,Inputs!$K$4:$AJ$4,0)))))</f>
        <v>2617.50945189824</v>
      </c>
      <c r="J25" s="6">
        <f>IF(ISNA(MATCH(J$2,Inputs!$K$4:$AJ$4,0)),NA(),IF(SUMPRODUCT((Inputs!$A$5:$A$180=$B25)*ISNUMBER(INDEX(Inputs!$K$5:$AJ$180,0,MATCH(J$2,Inputs!$K$4:$AJ$4,0))))+SUMPRODUCT((Inputs!$C$5:$C$180=$B25)*ISNUMBER(INDEX(Inputs!$K$5:$AJ$180,0,MATCH(J$2,Inputs!$K$4:$AJ$4,0))))+SUMPRODUCT((Inputs!$E$5:$E$180=$B25)*ISNUMBER(INDEX(Inputs!$K$5:$AJ$180,0,MATCH(J$2,Inputs!$K$4:$AJ$4,0))))=0,NA(),SUMPRODUCT((Inputs!$A$5:$A$180=$B25)*Inputs!$B$5:$B$180*(((Inputs!$G$5:$G$180="moeda")+(Inputs!$G$5:$G$180="acoes"))*Inputs!$B$1+((Inputs!$G$5:$G$180&lt;&gt;"moeda")*(Inputs!$G$5:$G$180&lt;&gt;"acoes")))*INDEX(Inputs!$K$5:$AJ$180,0,MATCH(J$2,Inputs!$K$4:$AJ$4,0)))+SUMPRODUCT((Inputs!$C$5:$C$180=$B25)*Inputs!$D$5:$D$180*(((Inputs!$G$5:$G$180="moeda")+(Inputs!$G$5:$G$180="acoes"))*Inputs!$B$1+((Inputs!$G$5:$G$180&lt;&gt;"moeda")*(Inputs!$G$5:$G$180&lt;&gt;"acoes")))*INDEX(Inputs!$K$5:$AJ$180,0,MATCH(J$2,Inputs!$K$4:$AJ$4,0)))+SUMPRODUCT((Inputs!$E$5:$E$180=$B25)*Inputs!$F$5:$F$180*(((Inputs!$G$5:$G$180="moeda")+(Inputs!$G$5:$G$180="acoes"))*Inputs!$B$1+((Inputs!$G$5:$G$180&lt;&gt;"moeda")*(Inputs!$G$5:$G$180&lt;&gt;"acoes")))*INDEX(Inputs!$K$5:$AJ$180,0,MATCH(J$2,Inputs!$K$4:$AJ$4,0)))))</f>
        <v>3021.34173723033</v>
      </c>
      <c r="K25" s="6">
        <f>IF(ISNA(MATCH(K$2,Inputs!$K$4:$AJ$4,0)),NA(),IF(SUMPRODUCT((Inputs!$A$5:$A$180=$B25)*ISNUMBER(INDEX(Inputs!$K$5:$AJ$180,0,MATCH(K$2,Inputs!$K$4:$AJ$4,0))))+SUMPRODUCT((Inputs!$C$5:$C$180=$B25)*ISNUMBER(INDEX(Inputs!$K$5:$AJ$180,0,MATCH(K$2,Inputs!$K$4:$AJ$4,0))))+SUMPRODUCT((Inputs!$E$5:$E$180=$B25)*ISNUMBER(INDEX(Inputs!$K$5:$AJ$180,0,MATCH(K$2,Inputs!$K$4:$AJ$4,0))))=0,NA(),SUMPRODUCT((Inputs!$A$5:$A$180=$B25)*Inputs!$B$5:$B$180*(((Inputs!$G$5:$G$180="moeda")+(Inputs!$G$5:$G$180="acoes"))*Inputs!$B$1+((Inputs!$G$5:$G$180&lt;&gt;"moeda")*(Inputs!$G$5:$G$180&lt;&gt;"acoes")))*INDEX(Inputs!$K$5:$AJ$180,0,MATCH(K$2,Inputs!$K$4:$AJ$4,0)))+SUMPRODUCT((Inputs!$C$5:$C$180=$B25)*Inputs!$D$5:$D$180*(((Inputs!$G$5:$G$180="moeda")+(Inputs!$G$5:$G$180="acoes"))*Inputs!$B$1+((Inputs!$G$5:$G$180&lt;&gt;"moeda")*(Inputs!$G$5:$G$180&lt;&gt;"acoes")))*INDEX(Inputs!$K$5:$AJ$180,0,MATCH(K$2,Inputs!$K$4:$AJ$4,0)))+SUMPRODUCT((Inputs!$E$5:$E$180=$B25)*Inputs!$F$5:$F$180*(((Inputs!$G$5:$G$180="moeda")+(Inputs!$G$5:$G$180="acoes"))*Inputs!$B$1+((Inputs!$G$5:$G$180&lt;&gt;"moeda")*(Inputs!$G$5:$G$180&lt;&gt;"acoes")))*INDEX(Inputs!$K$5:$AJ$180,0,MATCH(K$2,Inputs!$K$4:$AJ$4,0)))))</f>
        <v>3013.73986065</v>
      </c>
      <c r="L25" s="6">
        <f>IF(ISNA(MATCH(L$2,Inputs!$K$4:$AJ$4,0)),NA(),IF(SUMPRODUCT((Inputs!$A$5:$A$180=$B25)*ISNUMBER(INDEX(Inputs!$K$5:$AJ$180,0,MATCH(L$2,Inputs!$K$4:$AJ$4,0))))+SUMPRODUCT((Inputs!$C$5:$C$180=$B25)*ISNUMBER(INDEX(Inputs!$K$5:$AJ$180,0,MATCH(L$2,Inputs!$K$4:$AJ$4,0))))+SUMPRODUCT((Inputs!$E$5:$E$180=$B25)*ISNUMBER(INDEX(Inputs!$K$5:$AJ$180,0,MATCH(L$2,Inputs!$K$4:$AJ$4,0))))=0,NA(),SUMPRODUCT((Inputs!$A$5:$A$180=$B25)*Inputs!$B$5:$B$180*(((Inputs!$G$5:$G$180="moeda")+(Inputs!$G$5:$G$180="acoes"))*Inputs!$B$1+((Inputs!$G$5:$G$180&lt;&gt;"moeda")*(Inputs!$G$5:$G$180&lt;&gt;"acoes")))*INDEX(Inputs!$K$5:$AJ$180,0,MATCH(L$2,Inputs!$K$4:$AJ$4,0)))+SUMPRODUCT((Inputs!$C$5:$C$180=$B25)*Inputs!$D$5:$D$180*(((Inputs!$G$5:$G$180="moeda")+(Inputs!$G$5:$G$180="acoes"))*Inputs!$B$1+((Inputs!$G$5:$G$180&lt;&gt;"moeda")*(Inputs!$G$5:$G$180&lt;&gt;"acoes")))*INDEX(Inputs!$K$5:$AJ$180,0,MATCH(L$2,Inputs!$K$4:$AJ$4,0)))+SUMPRODUCT((Inputs!$E$5:$E$180=$B25)*Inputs!$F$5:$F$180*(((Inputs!$G$5:$G$180="moeda")+(Inputs!$G$5:$G$180="acoes"))*Inputs!$B$1+((Inputs!$G$5:$G$180&lt;&gt;"moeda")*(Inputs!$G$5:$G$180&lt;&gt;"acoes")))*INDEX(Inputs!$K$5:$AJ$180,0,MATCH(L$2,Inputs!$K$4:$AJ$4,0)))))</f>
        <v>3159.92612126809</v>
      </c>
      <c r="M25" s="3">
        <f>L25</f>
        <v>3159.92612126809</v>
      </c>
      <c r="N25" s="6">
        <f>IF(ISNA(MATCH(N$2,Inputs!$K$4:$AJ$4,0)),NA(),IF(SUMPRODUCT((Inputs!$A$5:$A$180=$B25)*ISNUMBER(INDEX(Inputs!$K$5:$AJ$180,0,MATCH(N$2,Inputs!$K$4:$AJ$4,0))))+SUMPRODUCT((Inputs!$C$5:$C$180=$B25)*ISNUMBER(INDEX(Inputs!$K$5:$AJ$180,0,MATCH(N$2,Inputs!$K$4:$AJ$4,0))))+SUMPRODUCT((Inputs!$E$5:$E$180=$B25)*ISNUMBER(INDEX(Inputs!$K$5:$AJ$180,0,MATCH(N$2,Inputs!$K$4:$AJ$4,0))))=0,NA(),SUMPRODUCT((Inputs!$A$5:$A$180=$B25)*Inputs!$B$5:$B$180*(((Inputs!$G$5:$G$180="moeda")+(Inputs!$G$5:$G$180="acoes"))*Inputs!$B$1+((Inputs!$G$5:$G$180&lt;&gt;"moeda")*(Inputs!$G$5:$G$180&lt;&gt;"acoes")))*INDEX(Inputs!$K$5:$AJ$180,0,MATCH(N$2,Inputs!$K$4:$AJ$4,0)))+SUMPRODUCT((Inputs!$C$5:$C$180=$B25)*Inputs!$D$5:$D$180*(((Inputs!$G$5:$G$180="moeda")+(Inputs!$G$5:$G$180="acoes"))*Inputs!$B$1+((Inputs!$G$5:$G$180&lt;&gt;"moeda")*(Inputs!$G$5:$G$180&lt;&gt;"acoes")))*INDEX(Inputs!$K$5:$AJ$180,0,MATCH(N$2,Inputs!$K$4:$AJ$4,0)))+SUMPRODUCT((Inputs!$E$5:$E$180=$B25)*Inputs!$F$5:$F$180*(((Inputs!$G$5:$G$180="moeda")+(Inputs!$G$5:$G$180="acoes"))*Inputs!$B$1+((Inputs!$G$5:$G$180&lt;&gt;"moeda")*(Inputs!$G$5:$G$180&lt;&gt;"acoes")))*INDEX(Inputs!$K$5:$AJ$180,0,MATCH(N$2,Inputs!$K$4:$AJ$4,0)))))</f>
        <v>3147.22512633</v>
      </c>
      <c r="O25" s="6">
        <f>IF(ISNA(MATCH(O$2,Inputs!$K$4:$AJ$4,0)),NA(),IF(SUMPRODUCT((Inputs!$A$5:$A$180=$B25)*ISNUMBER(INDEX(Inputs!$K$5:$AJ$180,0,MATCH(O$2,Inputs!$K$4:$AJ$4,0))))+SUMPRODUCT((Inputs!$C$5:$C$180=$B25)*ISNUMBER(INDEX(Inputs!$K$5:$AJ$180,0,MATCH(O$2,Inputs!$K$4:$AJ$4,0))))+SUMPRODUCT((Inputs!$E$5:$E$180=$B25)*ISNUMBER(INDEX(Inputs!$K$5:$AJ$180,0,MATCH(O$2,Inputs!$K$4:$AJ$4,0))))=0,NA(),SUMPRODUCT((Inputs!$A$5:$A$180=$B25)*Inputs!$B$5:$B$180*(((Inputs!$G$5:$G$180="moeda")+(Inputs!$G$5:$G$180="acoes"))*Inputs!$B$1+((Inputs!$G$5:$G$180&lt;&gt;"moeda")*(Inputs!$G$5:$G$180&lt;&gt;"acoes")))*INDEX(Inputs!$K$5:$AJ$180,0,MATCH(O$2,Inputs!$K$4:$AJ$4,0)))+SUMPRODUCT((Inputs!$C$5:$C$180=$B25)*Inputs!$D$5:$D$180*(((Inputs!$G$5:$G$180="moeda")+(Inputs!$G$5:$G$180="acoes"))*Inputs!$B$1+((Inputs!$G$5:$G$180&lt;&gt;"moeda")*(Inputs!$G$5:$G$180&lt;&gt;"acoes")))*INDEX(Inputs!$K$5:$AJ$180,0,MATCH(O$2,Inputs!$K$4:$AJ$4,0)))+SUMPRODUCT((Inputs!$E$5:$E$180=$B25)*Inputs!$F$5:$F$180*(((Inputs!$G$5:$G$180="moeda")+(Inputs!$G$5:$G$180="acoes"))*Inputs!$B$1+((Inputs!$G$5:$G$180&lt;&gt;"moeda")*(Inputs!$G$5:$G$180&lt;&gt;"acoes")))*INDEX(Inputs!$K$5:$AJ$180,0,MATCH(O$2,Inputs!$K$4:$AJ$4,0)))))</f>
        <v>5768.121</v>
      </c>
      <c r="P25" s="6">
        <f>IF(ISNA(MATCH(P$2,Inputs!$K$4:$AJ$4,0)),NA(),IF(SUMPRODUCT((Inputs!$A$5:$A$180=$B25)*ISNUMBER(INDEX(Inputs!$K$5:$AJ$180,0,MATCH(P$2,Inputs!$K$4:$AJ$4,0))))+SUMPRODUCT((Inputs!$C$5:$C$180=$B25)*ISNUMBER(INDEX(Inputs!$K$5:$AJ$180,0,MATCH(P$2,Inputs!$K$4:$AJ$4,0))))+SUMPRODUCT((Inputs!$E$5:$E$180=$B25)*ISNUMBER(INDEX(Inputs!$K$5:$AJ$180,0,MATCH(P$2,Inputs!$K$4:$AJ$4,0))))=0,NA(),SUMPRODUCT((Inputs!$A$5:$A$180=$B25)*Inputs!$B$5:$B$180*(((Inputs!$G$5:$G$180="moeda")+(Inputs!$G$5:$G$180="acoes"))*Inputs!$B$1+((Inputs!$G$5:$G$180&lt;&gt;"moeda")*(Inputs!$G$5:$G$180&lt;&gt;"acoes")))*INDEX(Inputs!$K$5:$AJ$180,0,MATCH(P$2,Inputs!$K$4:$AJ$4,0)))+SUMPRODUCT((Inputs!$C$5:$C$180=$B25)*Inputs!$D$5:$D$180*(((Inputs!$G$5:$G$180="moeda")+(Inputs!$G$5:$G$180="acoes"))*Inputs!$B$1+((Inputs!$G$5:$G$180&lt;&gt;"moeda")*(Inputs!$G$5:$G$180&lt;&gt;"acoes")))*INDEX(Inputs!$K$5:$AJ$180,0,MATCH(P$2,Inputs!$K$4:$AJ$4,0)))+SUMPRODUCT((Inputs!$E$5:$E$180=$B25)*Inputs!$F$5:$F$180*(((Inputs!$G$5:$G$180="moeda")+(Inputs!$G$5:$G$180="acoes"))*Inputs!$B$1+((Inputs!$G$5:$G$180&lt;&gt;"moeda")*(Inputs!$G$5:$G$180&lt;&gt;"acoes")))*INDEX(Inputs!$K$5:$AJ$180,0,MATCH(P$2,Inputs!$K$4:$AJ$4,0)))))</f>
        <v>5744.055</v>
      </c>
      <c r="Q25" s="6">
        <f>IF(ISNA(MATCH(Q$2,Inputs!$K$4:$AJ$4,0)),NA(),IF(SUMPRODUCT((Inputs!$A$5:$A$180=$B25)*ISNUMBER(INDEX(Inputs!$K$5:$AJ$180,0,MATCH(Q$2,Inputs!$K$4:$AJ$4,0))))+SUMPRODUCT((Inputs!$C$5:$C$180=$B25)*ISNUMBER(INDEX(Inputs!$K$5:$AJ$180,0,MATCH(Q$2,Inputs!$K$4:$AJ$4,0))))+SUMPRODUCT((Inputs!$E$5:$E$180=$B25)*ISNUMBER(INDEX(Inputs!$K$5:$AJ$180,0,MATCH(Q$2,Inputs!$K$4:$AJ$4,0))))=0,NA(),SUMPRODUCT((Inputs!$A$5:$A$180=$B25)*Inputs!$B$5:$B$180*(((Inputs!$G$5:$G$180="moeda")+(Inputs!$G$5:$G$180="acoes"))*Inputs!$B$1+((Inputs!$G$5:$G$180&lt;&gt;"moeda")*(Inputs!$G$5:$G$180&lt;&gt;"acoes")))*INDEX(Inputs!$K$5:$AJ$180,0,MATCH(Q$2,Inputs!$K$4:$AJ$4,0)))+SUMPRODUCT((Inputs!$C$5:$C$180=$B25)*Inputs!$D$5:$D$180*(((Inputs!$G$5:$G$180="moeda")+(Inputs!$G$5:$G$180="acoes"))*Inputs!$B$1+((Inputs!$G$5:$G$180&lt;&gt;"moeda")*(Inputs!$G$5:$G$180&lt;&gt;"acoes")))*INDEX(Inputs!$K$5:$AJ$180,0,MATCH(Q$2,Inputs!$K$4:$AJ$4,0)))+SUMPRODUCT((Inputs!$E$5:$E$180=$B25)*Inputs!$F$5:$F$180*(((Inputs!$G$5:$G$180="moeda")+(Inputs!$G$5:$G$180="acoes"))*Inputs!$B$1+((Inputs!$G$5:$G$180&lt;&gt;"moeda")*(Inputs!$G$5:$G$180&lt;&gt;"acoes")))*INDEX(Inputs!$K$5:$AJ$180,0,MATCH(Q$2,Inputs!$K$4:$AJ$4,0)))))</f>
        <v>5807.506</v>
      </c>
      <c r="R25" s="3">
        <f>Q25</f>
        <v>5807.506</v>
      </c>
      <c r="S25" s="6">
        <f>IF(ISNA(MATCH(S$2,Inputs!$K$4:$AJ$4,0)),NA(),IF(SUMPRODUCT((Inputs!$A$5:$A$180=$B25)*ISNUMBER(INDEX(Inputs!$K$5:$AJ$180,0,MATCH(S$2,Inputs!$K$4:$AJ$4,0))))+SUMPRODUCT((Inputs!$C$5:$C$180=$B25)*ISNUMBER(INDEX(Inputs!$K$5:$AJ$180,0,MATCH(S$2,Inputs!$K$4:$AJ$4,0))))+SUMPRODUCT((Inputs!$E$5:$E$180=$B25)*ISNUMBER(INDEX(Inputs!$K$5:$AJ$180,0,MATCH(S$2,Inputs!$K$4:$AJ$4,0))))=0,NA(),SUMPRODUCT((Inputs!$A$5:$A$180=$B25)*Inputs!$B$5:$B$180*(((Inputs!$G$5:$G$180="moeda")+(Inputs!$G$5:$G$180="acoes"))*Inputs!$B$1+((Inputs!$G$5:$G$180&lt;&gt;"moeda")*(Inputs!$G$5:$G$180&lt;&gt;"acoes")))*INDEX(Inputs!$K$5:$AJ$180,0,MATCH(S$2,Inputs!$K$4:$AJ$4,0)))+SUMPRODUCT((Inputs!$C$5:$C$180=$B25)*Inputs!$D$5:$D$180*(((Inputs!$G$5:$G$180="moeda")+(Inputs!$G$5:$G$180="acoes"))*Inputs!$B$1+((Inputs!$G$5:$G$180&lt;&gt;"moeda")*(Inputs!$G$5:$G$180&lt;&gt;"acoes")))*INDEX(Inputs!$K$5:$AJ$180,0,MATCH(S$2,Inputs!$K$4:$AJ$4,0)))+SUMPRODUCT((Inputs!$E$5:$E$180=$B25)*Inputs!$F$5:$F$180*(((Inputs!$G$5:$G$180="moeda")+(Inputs!$G$5:$G$180="acoes"))*Inputs!$B$1+((Inputs!$G$5:$G$180&lt;&gt;"moeda")*(Inputs!$G$5:$G$180&lt;&gt;"acoes")))*INDEX(Inputs!$K$5:$AJ$180,0,MATCH(S$2,Inputs!$K$4:$AJ$4,0)))))</f>
        <v>5788.92</v>
      </c>
      <c r="T25" s="6">
        <f>IF(ISNA(MATCH(T$2,Inputs!$K$4:$AJ$4,0)),NA(),IF(SUMPRODUCT((Inputs!$A$5:$A$180=$B25)*ISNUMBER(INDEX(Inputs!$K$5:$AJ$180,0,MATCH(T$2,Inputs!$K$4:$AJ$4,0))))+SUMPRODUCT((Inputs!$C$5:$C$180=$B25)*ISNUMBER(INDEX(Inputs!$K$5:$AJ$180,0,MATCH(T$2,Inputs!$K$4:$AJ$4,0))))+SUMPRODUCT((Inputs!$E$5:$E$180=$B25)*ISNUMBER(INDEX(Inputs!$K$5:$AJ$180,0,MATCH(T$2,Inputs!$K$4:$AJ$4,0))))=0,NA(),SUMPRODUCT((Inputs!$A$5:$A$180=$B25)*Inputs!$B$5:$B$180*(((Inputs!$G$5:$G$180="moeda")+(Inputs!$G$5:$G$180="acoes"))*Inputs!$B$1+((Inputs!$G$5:$G$180&lt;&gt;"moeda")*(Inputs!$G$5:$G$180&lt;&gt;"acoes")))*INDEX(Inputs!$K$5:$AJ$180,0,MATCH(T$2,Inputs!$K$4:$AJ$4,0)))+SUMPRODUCT((Inputs!$C$5:$C$180=$B25)*Inputs!$D$5:$D$180*(((Inputs!$G$5:$G$180="moeda")+(Inputs!$G$5:$G$180="acoes"))*Inputs!$B$1+((Inputs!$G$5:$G$180&lt;&gt;"moeda")*(Inputs!$G$5:$G$180&lt;&gt;"acoes")))*INDEX(Inputs!$K$5:$AJ$180,0,MATCH(T$2,Inputs!$K$4:$AJ$4,0)))+SUMPRODUCT((Inputs!$E$5:$E$180=$B25)*Inputs!$F$5:$F$180*(((Inputs!$G$5:$G$180="moeda")+(Inputs!$G$5:$G$180="acoes"))*Inputs!$B$1+((Inputs!$G$5:$G$180&lt;&gt;"moeda")*(Inputs!$G$5:$G$180&lt;&gt;"acoes")))*INDEX(Inputs!$K$5:$AJ$180,0,MATCH(T$2,Inputs!$K$4:$AJ$4,0)))))</f>
        <v>5783.283</v>
      </c>
      <c r="U25" s="6">
        <f>IF(ISNA(MATCH(U$2,Inputs!$K$4:$AJ$4,0)),NA(),IF(SUMPRODUCT((Inputs!$A$5:$A$180=$B25)*ISNUMBER(INDEX(Inputs!$K$5:$AJ$180,0,MATCH(U$2,Inputs!$K$4:$AJ$4,0))))+SUMPRODUCT((Inputs!$C$5:$C$180=$B25)*ISNUMBER(INDEX(Inputs!$K$5:$AJ$180,0,MATCH(U$2,Inputs!$K$4:$AJ$4,0))))+SUMPRODUCT((Inputs!$E$5:$E$180=$B25)*ISNUMBER(INDEX(Inputs!$K$5:$AJ$180,0,MATCH(U$2,Inputs!$K$4:$AJ$4,0))))=0,NA(),SUMPRODUCT((Inputs!$A$5:$A$180=$B25)*Inputs!$B$5:$B$180*(((Inputs!$G$5:$G$180="moeda")+(Inputs!$G$5:$G$180="acoes"))*Inputs!$B$1+((Inputs!$G$5:$G$180&lt;&gt;"moeda")*(Inputs!$G$5:$G$180&lt;&gt;"acoes")))*INDEX(Inputs!$K$5:$AJ$180,0,MATCH(U$2,Inputs!$K$4:$AJ$4,0)))+SUMPRODUCT((Inputs!$C$5:$C$180=$B25)*Inputs!$D$5:$D$180*(((Inputs!$G$5:$G$180="moeda")+(Inputs!$G$5:$G$180="acoes"))*Inputs!$B$1+((Inputs!$G$5:$G$180&lt;&gt;"moeda")*(Inputs!$G$5:$G$180&lt;&gt;"acoes")))*INDEX(Inputs!$K$5:$AJ$180,0,MATCH(U$2,Inputs!$K$4:$AJ$4,0)))+SUMPRODUCT((Inputs!$E$5:$E$180=$B25)*Inputs!$F$5:$F$180*(((Inputs!$G$5:$G$180="moeda")+(Inputs!$G$5:$G$180="acoes"))*Inputs!$B$1+((Inputs!$G$5:$G$180&lt;&gt;"moeda")*(Inputs!$G$5:$G$180&lt;&gt;"acoes")))*INDEX(Inputs!$K$5:$AJ$180,0,MATCH(U$2,Inputs!$K$4:$AJ$4,0)))))</f>
        <v>5830.303</v>
      </c>
      <c r="V25" s="6">
        <f>IF(ISNA(MATCH(V$2,Inputs!$K$4:$AJ$4,0)),NA(),IF(SUMPRODUCT((Inputs!$A$5:$A$180=$B25)*ISNUMBER(INDEX(Inputs!$K$5:$AJ$180,0,MATCH(V$2,Inputs!$K$4:$AJ$4,0))))+SUMPRODUCT((Inputs!$C$5:$C$180=$B25)*ISNUMBER(INDEX(Inputs!$K$5:$AJ$180,0,MATCH(V$2,Inputs!$K$4:$AJ$4,0))))+SUMPRODUCT((Inputs!$E$5:$E$180=$B25)*ISNUMBER(INDEX(Inputs!$K$5:$AJ$180,0,MATCH(V$2,Inputs!$K$4:$AJ$4,0))))=0,NA(),SUMPRODUCT((Inputs!$A$5:$A$180=$B25)*Inputs!$B$5:$B$180*(((Inputs!$G$5:$G$180="moeda")+(Inputs!$G$5:$G$180="acoes"))*Inputs!$B$1+((Inputs!$G$5:$G$180&lt;&gt;"moeda")*(Inputs!$G$5:$G$180&lt;&gt;"acoes")))*INDEX(Inputs!$K$5:$AJ$180,0,MATCH(V$2,Inputs!$K$4:$AJ$4,0)))+SUMPRODUCT((Inputs!$C$5:$C$180=$B25)*Inputs!$D$5:$D$180*(((Inputs!$G$5:$G$180="moeda")+(Inputs!$G$5:$G$180="acoes"))*Inputs!$B$1+((Inputs!$G$5:$G$180&lt;&gt;"moeda")*(Inputs!$G$5:$G$180&lt;&gt;"acoes")))*INDEX(Inputs!$K$5:$AJ$180,0,MATCH(V$2,Inputs!$K$4:$AJ$4,0)))+SUMPRODUCT((Inputs!$E$5:$E$180=$B25)*Inputs!$F$5:$F$180*(((Inputs!$G$5:$G$180="moeda")+(Inputs!$G$5:$G$180="acoes"))*Inputs!$B$1+((Inputs!$G$5:$G$180&lt;&gt;"moeda")*(Inputs!$G$5:$G$180&lt;&gt;"acoes")))*INDEX(Inputs!$K$5:$AJ$180,0,MATCH(V$2,Inputs!$K$4:$AJ$4,0)))))</f>
        <v>5863.532</v>
      </c>
      <c r="W25" s="3">
        <f>V25</f>
        <v>5863.532</v>
      </c>
      <c r="X25" s="6">
        <f>IF(ISNA(MATCH(X$2,Inputs!$K$4:$AJ$4,0)),NA(),IF(SUMPRODUCT((Inputs!$A$5:$A$180=$B25)*ISNUMBER(INDEX(Inputs!$K$5:$AJ$180,0,MATCH(X$2,Inputs!$K$4:$AJ$4,0))))+SUMPRODUCT((Inputs!$C$5:$C$180=$B25)*ISNUMBER(INDEX(Inputs!$K$5:$AJ$180,0,MATCH(X$2,Inputs!$K$4:$AJ$4,0))))+SUMPRODUCT((Inputs!$E$5:$E$180=$B25)*ISNUMBER(INDEX(Inputs!$K$5:$AJ$180,0,MATCH(X$2,Inputs!$K$4:$AJ$4,0))))=0,NA(),SUMPRODUCT((Inputs!$A$5:$A$180=$B25)*Inputs!$B$5:$B$180*(((Inputs!$G$5:$G$180="moeda")+(Inputs!$G$5:$G$180="acoes"))*Inputs!$B$1+((Inputs!$G$5:$G$180&lt;&gt;"moeda")*(Inputs!$G$5:$G$180&lt;&gt;"acoes")))*INDEX(Inputs!$K$5:$AJ$180,0,MATCH(X$2,Inputs!$K$4:$AJ$4,0)))+SUMPRODUCT((Inputs!$C$5:$C$180=$B25)*Inputs!$D$5:$D$180*(((Inputs!$G$5:$G$180="moeda")+(Inputs!$G$5:$G$180="acoes"))*Inputs!$B$1+((Inputs!$G$5:$G$180&lt;&gt;"moeda")*(Inputs!$G$5:$G$180&lt;&gt;"acoes")))*INDEX(Inputs!$K$5:$AJ$180,0,MATCH(X$2,Inputs!$K$4:$AJ$4,0)))+SUMPRODUCT((Inputs!$E$5:$E$180=$B25)*Inputs!$F$5:$F$180*(((Inputs!$G$5:$G$180="moeda")+(Inputs!$G$5:$G$180="acoes"))*Inputs!$B$1+((Inputs!$G$5:$G$180&lt;&gt;"moeda")*(Inputs!$G$5:$G$180&lt;&gt;"acoes")))*INDEX(Inputs!$K$5:$AJ$180,0,MATCH(X$2,Inputs!$K$4:$AJ$4,0)))))</f>
        <v>5819.864287</v>
      </c>
      <c r="Y25" s="6">
        <f>IF(ISNA(MATCH(Y$2,Inputs!$K$4:$AJ$4,0)),NA(),IF(SUMPRODUCT((Inputs!$A$5:$A$180=$B25)*ISNUMBER(INDEX(Inputs!$K$5:$AJ$180,0,MATCH(Y$2,Inputs!$K$4:$AJ$4,0))))+SUMPRODUCT((Inputs!$C$5:$C$180=$B25)*ISNUMBER(INDEX(Inputs!$K$5:$AJ$180,0,MATCH(Y$2,Inputs!$K$4:$AJ$4,0))))+SUMPRODUCT((Inputs!$E$5:$E$180=$B25)*ISNUMBER(INDEX(Inputs!$K$5:$AJ$180,0,MATCH(Y$2,Inputs!$K$4:$AJ$4,0))))=0,NA(),SUMPRODUCT((Inputs!$A$5:$A$180=$B25)*Inputs!$B$5:$B$180*(((Inputs!$G$5:$G$180="moeda")+(Inputs!$G$5:$G$180="acoes"))*Inputs!$B$1+((Inputs!$G$5:$G$180&lt;&gt;"moeda")*(Inputs!$G$5:$G$180&lt;&gt;"acoes")))*INDEX(Inputs!$K$5:$AJ$180,0,MATCH(Y$2,Inputs!$K$4:$AJ$4,0)))+SUMPRODUCT((Inputs!$C$5:$C$180=$B25)*Inputs!$D$5:$D$180*(((Inputs!$G$5:$G$180="moeda")+(Inputs!$G$5:$G$180="acoes"))*Inputs!$B$1+((Inputs!$G$5:$G$180&lt;&gt;"moeda")*(Inputs!$G$5:$G$180&lt;&gt;"acoes")))*INDEX(Inputs!$K$5:$AJ$180,0,MATCH(Y$2,Inputs!$K$4:$AJ$4,0)))+SUMPRODUCT((Inputs!$E$5:$E$180=$B25)*Inputs!$F$5:$F$180*(((Inputs!$G$5:$G$180="moeda")+(Inputs!$G$5:$G$180="acoes"))*Inputs!$B$1+((Inputs!$G$5:$G$180&lt;&gt;"moeda")*(Inputs!$G$5:$G$180&lt;&gt;"acoes")))*INDEX(Inputs!$K$5:$AJ$180,0,MATCH(Y$2,Inputs!$K$4:$AJ$4,0)))))</f>
        <v>5825.38</v>
      </c>
      <c r="Z25" s="6">
        <f>IF(ISNA(MATCH(Z$2,Inputs!$K$4:$AJ$4,0)),NA(),IF(SUMPRODUCT((Inputs!$A$5:$A$180=$B25)*ISNUMBER(INDEX(Inputs!$K$5:$AJ$180,0,MATCH(Z$2,Inputs!$K$4:$AJ$4,0))))+SUMPRODUCT((Inputs!$C$5:$C$180=$B25)*ISNUMBER(INDEX(Inputs!$K$5:$AJ$180,0,MATCH(Z$2,Inputs!$K$4:$AJ$4,0))))+SUMPRODUCT((Inputs!$E$5:$E$180=$B25)*ISNUMBER(INDEX(Inputs!$K$5:$AJ$180,0,MATCH(Z$2,Inputs!$K$4:$AJ$4,0))))=0,NA(),SUMPRODUCT((Inputs!$A$5:$A$180=$B25)*Inputs!$B$5:$B$180*(((Inputs!$G$5:$G$180="moeda")+(Inputs!$G$5:$G$180="acoes"))*Inputs!$B$1+((Inputs!$G$5:$G$180&lt;&gt;"moeda")*(Inputs!$G$5:$G$180&lt;&gt;"acoes")))*INDEX(Inputs!$K$5:$AJ$180,0,MATCH(Z$2,Inputs!$K$4:$AJ$4,0)))+SUMPRODUCT((Inputs!$C$5:$C$180=$B25)*Inputs!$D$5:$D$180*(((Inputs!$G$5:$G$180="moeda")+(Inputs!$G$5:$G$180="acoes"))*Inputs!$B$1+((Inputs!$G$5:$G$180&lt;&gt;"moeda")*(Inputs!$G$5:$G$180&lt;&gt;"acoes")))*INDEX(Inputs!$K$5:$AJ$180,0,MATCH(Z$2,Inputs!$K$4:$AJ$4,0)))+SUMPRODUCT((Inputs!$E$5:$E$180=$B25)*Inputs!$F$5:$F$180*(((Inputs!$G$5:$G$180="moeda")+(Inputs!$G$5:$G$180="acoes"))*Inputs!$B$1+((Inputs!$G$5:$G$180&lt;&gt;"moeda")*(Inputs!$G$5:$G$180&lt;&gt;"acoes")))*INDEX(Inputs!$K$5:$AJ$180,0,MATCH(Z$2,Inputs!$K$4:$AJ$4,0)))))</f>
        <v>5957.247</v>
      </c>
      <c r="AA25" s="6">
        <f>IF(ISNA(MATCH(AA$2,Inputs!$K$4:$AJ$4,0)),NA(),IF(SUMPRODUCT((Inputs!$A$5:$A$180=$B25)*ISNUMBER(INDEX(Inputs!$K$5:$AJ$180,0,MATCH(AA$2,Inputs!$K$4:$AJ$4,0))))+SUMPRODUCT((Inputs!$C$5:$C$180=$B25)*ISNUMBER(INDEX(Inputs!$K$5:$AJ$180,0,MATCH(AA$2,Inputs!$K$4:$AJ$4,0))))+SUMPRODUCT((Inputs!$E$5:$E$180=$B25)*ISNUMBER(INDEX(Inputs!$K$5:$AJ$180,0,MATCH(AA$2,Inputs!$K$4:$AJ$4,0))))=0,NA(),SUMPRODUCT((Inputs!$A$5:$A$180=$B25)*Inputs!$B$5:$B$180*(((Inputs!$G$5:$G$180="moeda")+(Inputs!$G$5:$G$180="acoes"))*Inputs!$B$1+((Inputs!$G$5:$G$180&lt;&gt;"moeda")*(Inputs!$G$5:$G$180&lt;&gt;"acoes")))*INDEX(Inputs!$K$5:$AJ$180,0,MATCH(AA$2,Inputs!$K$4:$AJ$4,0)))+SUMPRODUCT((Inputs!$C$5:$C$180=$B25)*Inputs!$D$5:$D$180*(((Inputs!$G$5:$G$180="moeda")+(Inputs!$G$5:$G$180="acoes"))*Inputs!$B$1+((Inputs!$G$5:$G$180&lt;&gt;"moeda")*(Inputs!$G$5:$G$180&lt;&gt;"acoes")))*INDEX(Inputs!$K$5:$AJ$180,0,MATCH(AA$2,Inputs!$K$4:$AJ$4,0)))+SUMPRODUCT((Inputs!$E$5:$E$180=$B25)*Inputs!$F$5:$F$180*(((Inputs!$G$5:$G$180="moeda")+(Inputs!$G$5:$G$180="acoes"))*Inputs!$B$1+((Inputs!$G$5:$G$180&lt;&gt;"moeda")*(Inputs!$G$5:$G$180&lt;&gt;"acoes")))*INDEX(Inputs!$K$5:$AJ$180,0,MATCH(AA$2,Inputs!$K$4:$AJ$4,0)))))</f>
        <v>5979.637</v>
      </c>
      <c r="AB25" s="3">
        <f>AA25</f>
        <v>5979.637</v>
      </c>
      <c r="AC25" s="6">
        <f>IF(ISNA(MATCH(AC$2,Inputs!$K$4:$AJ$4,0)),NA(),IF(SUMPRODUCT((Inputs!$A$5:$A$180=$B25)*ISNUMBER(INDEX(Inputs!$K$5:$AJ$180,0,MATCH(AC$2,Inputs!$K$4:$AJ$4,0))))+SUMPRODUCT((Inputs!$C$5:$C$180=$B25)*ISNUMBER(INDEX(Inputs!$K$5:$AJ$180,0,MATCH(AC$2,Inputs!$K$4:$AJ$4,0))))+SUMPRODUCT((Inputs!$E$5:$E$180=$B25)*ISNUMBER(INDEX(Inputs!$K$5:$AJ$180,0,MATCH(AC$2,Inputs!$K$4:$AJ$4,0))))=0,NA(),SUMPRODUCT((Inputs!$A$5:$A$180=$B25)*Inputs!$B$5:$B$180*(((Inputs!$G$5:$G$180="moeda")+(Inputs!$G$5:$G$180="acoes"))*Inputs!$B$1+((Inputs!$G$5:$G$180&lt;&gt;"moeda")*(Inputs!$G$5:$G$180&lt;&gt;"acoes")))*INDEX(Inputs!$K$5:$AJ$180,0,MATCH(AC$2,Inputs!$K$4:$AJ$4,0)))+SUMPRODUCT((Inputs!$C$5:$C$180=$B25)*Inputs!$D$5:$D$180*(((Inputs!$G$5:$G$180="moeda")+(Inputs!$G$5:$G$180="acoes"))*Inputs!$B$1+((Inputs!$G$5:$G$180&lt;&gt;"moeda")*(Inputs!$G$5:$G$180&lt;&gt;"acoes")))*INDEX(Inputs!$K$5:$AJ$180,0,MATCH(AC$2,Inputs!$K$4:$AJ$4,0)))+SUMPRODUCT((Inputs!$E$5:$E$180=$B25)*Inputs!$F$5:$F$180*(((Inputs!$G$5:$G$180="moeda")+(Inputs!$G$5:$G$180="acoes"))*Inputs!$B$1+((Inputs!$G$5:$G$180&lt;&gt;"moeda")*(Inputs!$G$5:$G$180&lt;&gt;"acoes")))*INDEX(Inputs!$K$5:$AJ$180,0,MATCH(AC$2,Inputs!$K$4:$AJ$4,0)))))</f>
        <v>5905.506</v>
      </c>
      <c r="AD25" s="6">
        <f>IF(ISNA(MATCH(AD$2,Inputs!$K$4:$AJ$4,0)),NA(),IF(SUMPRODUCT((Inputs!$A$5:$A$180=$B25)*ISNUMBER(INDEX(Inputs!$K$5:$AJ$180,0,MATCH(AD$2,Inputs!$K$4:$AJ$4,0))))+SUMPRODUCT((Inputs!$C$5:$C$180=$B25)*ISNUMBER(INDEX(Inputs!$K$5:$AJ$180,0,MATCH(AD$2,Inputs!$K$4:$AJ$4,0))))+SUMPRODUCT((Inputs!$E$5:$E$180=$B25)*ISNUMBER(INDEX(Inputs!$K$5:$AJ$180,0,MATCH(AD$2,Inputs!$K$4:$AJ$4,0))))=0,NA(),SUMPRODUCT((Inputs!$A$5:$A$180=$B25)*Inputs!$B$5:$B$180*(((Inputs!$G$5:$G$180="moeda")+(Inputs!$G$5:$G$180="acoes"))*Inputs!$B$1+((Inputs!$G$5:$G$180&lt;&gt;"moeda")*(Inputs!$G$5:$G$180&lt;&gt;"acoes")))*INDEX(Inputs!$K$5:$AJ$180,0,MATCH(AD$2,Inputs!$K$4:$AJ$4,0)))+SUMPRODUCT((Inputs!$C$5:$C$180=$B25)*Inputs!$D$5:$D$180*(((Inputs!$G$5:$G$180="moeda")+(Inputs!$G$5:$G$180="acoes"))*Inputs!$B$1+((Inputs!$G$5:$G$180&lt;&gt;"moeda")*(Inputs!$G$5:$G$180&lt;&gt;"acoes")))*INDEX(Inputs!$K$5:$AJ$180,0,MATCH(AD$2,Inputs!$K$4:$AJ$4,0)))+SUMPRODUCT((Inputs!$E$5:$E$180=$B25)*Inputs!$F$5:$F$180*(((Inputs!$G$5:$G$180="moeda")+(Inputs!$G$5:$G$180="acoes"))*Inputs!$B$1+((Inputs!$G$5:$G$180&lt;&gt;"moeda")*(Inputs!$G$5:$G$180&lt;&gt;"acoes")))*INDEX(Inputs!$K$5:$AJ$180,0,MATCH(AD$2,Inputs!$K$4:$AJ$4,0)))))</f>
        <v>6006.075</v>
      </c>
      <c r="AE25" s="6" t="e">
        <f>IF(ISNA(MATCH(AE$2,Inputs!$K$4:$AJ$4,0)),NA(),IF(SUMPRODUCT((Inputs!$A$5:$A$180=$B25)*ISNUMBER(INDEX(Inputs!$K$5:$AJ$180,0,MATCH(AE$2,Inputs!$K$4:$AJ$4,0))))+SUMPRODUCT((Inputs!$C$5:$C$180=$B25)*ISNUMBER(INDEX(Inputs!$K$5:$AJ$180,0,MATCH(AE$2,Inputs!$K$4:$AJ$4,0))))+SUMPRODUCT((Inputs!$E$5:$E$180=$B25)*ISNUMBER(INDEX(Inputs!$K$5:$AJ$180,0,MATCH(AE$2,Inputs!$K$4:$AJ$4,0))))=0,NA(),SUMPRODUCT((Inputs!$A$5:$A$180=$B25)*Inputs!$B$5:$B$180*(((Inputs!$G$5:$G$180="moeda")+(Inputs!$G$5:$G$180="acoes"))*Inputs!$B$1+((Inputs!$G$5:$G$180&lt;&gt;"moeda")*(Inputs!$G$5:$G$180&lt;&gt;"acoes")))*INDEX(Inputs!$K$5:$AJ$180,0,MATCH(AE$2,Inputs!$K$4:$AJ$4,0)))+SUMPRODUCT((Inputs!$C$5:$C$180=$B25)*Inputs!$D$5:$D$180*(((Inputs!$G$5:$G$180="moeda")+(Inputs!$G$5:$G$180="acoes"))*Inputs!$B$1+((Inputs!$G$5:$G$180&lt;&gt;"moeda")*(Inputs!$G$5:$G$180&lt;&gt;"acoes")))*INDEX(Inputs!$K$5:$AJ$180,0,MATCH(AE$2,Inputs!$K$4:$AJ$4,0)))+SUMPRODUCT((Inputs!$E$5:$E$180=$B25)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5" s="6" t="e">
        <f>IF(ISNA(MATCH(AF$2,Inputs!$K$4:$AJ$4,0)),NA(),IF(SUMPRODUCT((Inputs!$A$5:$A$180=$B25)*ISNUMBER(INDEX(Inputs!$K$5:$AJ$180,0,MATCH(AF$2,Inputs!$K$4:$AJ$4,0))))+SUMPRODUCT((Inputs!$C$5:$C$180=$B25)*ISNUMBER(INDEX(Inputs!$K$5:$AJ$180,0,MATCH(AF$2,Inputs!$K$4:$AJ$4,0))))+SUMPRODUCT((Inputs!$E$5:$E$180=$B25)*ISNUMBER(INDEX(Inputs!$K$5:$AJ$180,0,MATCH(AF$2,Inputs!$K$4:$AJ$4,0))))=0,NA(),SUMPRODUCT((Inputs!$A$5:$A$180=$B25)*Inputs!$B$5:$B$180*(((Inputs!$G$5:$G$180="moeda")+(Inputs!$G$5:$G$180="acoes"))*Inputs!$B$1+((Inputs!$G$5:$G$180&lt;&gt;"moeda")*(Inputs!$G$5:$G$180&lt;&gt;"acoes")))*INDEX(Inputs!$K$5:$AJ$180,0,MATCH(AF$2,Inputs!$K$4:$AJ$4,0)))+SUMPRODUCT((Inputs!$C$5:$C$180=$B25)*Inputs!$D$5:$D$180*(((Inputs!$G$5:$G$180="moeda")+(Inputs!$G$5:$G$180="acoes"))*Inputs!$B$1+((Inputs!$G$5:$G$180&lt;&gt;"moeda")*(Inputs!$G$5:$G$180&lt;&gt;"acoes")))*INDEX(Inputs!$K$5:$AJ$180,0,MATCH(AF$2,Inputs!$K$4:$AJ$4,0)))+SUMPRODUCT((Inputs!$E$5:$E$180=$B25)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5" s="3" t="e">
        <f>AF25</f>
        <v>#N/A</v>
      </c>
      <c r="AH25" s="6">
        <f>IF(ISNA(MATCH(AH$2,Inputs!$K$4:$AJ$4,0)),NA(),IF(SUMPRODUCT((Inputs!$A$5:$A$180=$B25)*ISNUMBER(INDEX(Inputs!$K$5:$AJ$180,0,MATCH(AH$2,Inputs!$K$4:$AJ$4,0))))+SUMPRODUCT((Inputs!$C$5:$C$180=$B25)*ISNUMBER(INDEX(Inputs!$K$5:$AJ$180,0,MATCH(AH$2,Inputs!$K$4:$AJ$4,0))))+SUMPRODUCT((Inputs!$E$5:$E$180=$B25)*ISNUMBER(INDEX(Inputs!$K$5:$AJ$180,0,MATCH(AH$2,Inputs!$K$4:$AJ$4,0))))=0,NA(),SUMPRODUCT((Inputs!$A$5:$A$180=$B25)*Inputs!$B$5:$B$180*(((Inputs!$G$5:$G$180="moeda")+(Inputs!$G$5:$G$180="acoes"))*Inputs!$B$1+((Inputs!$G$5:$G$180&lt;&gt;"moeda")*(Inputs!$G$5:$G$180&lt;&gt;"acoes")))*INDEX(Inputs!$K$5:$AJ$180,0,MATCH(AH$2,Inputs!$K$4:$AJ$4,0)))+SUMPRODUCT((Inputs!$C$5:$C$180=$B25)*Inputs!$D$5:$D$180*(((Inputs!$G$5:$G$180="moeda")+(Inputs!$G$5:$G$180="acoes"))*Inputs!$B$1+((Inputs!$G$5:$G$180&lt;&gt;"moeda")*(Inputs!$G$5:$G$180&lt;&gt;"acoes")))*INDEX(Inputs!$K$5:$AJ$180,0,MATCH(AH$2,Inputs!$K$4:$AJ$4,0)))+SUMPRODUCT((Inputs!$E$5:$E$180=$B25)*Inputs!$F$5:$F$180*(((Inputs!$G$5:$G$180="moeda")+(Inputs!$G$5:$G$180="acoes"))*Inputs!$B$1+((Inputs!$G$5:$G$180&lt;&gt;"moeda")*(Inputs!$G$5:$G$180&lt;&gt;"acoes")))*INDEX(Inputs!$K$5:$AJ$180,0,MATCH(AH$2,Inputs!$K$4:$AJ$4,0)))))</f>
        <v>2018.04714308667</v>
      </c>
      <c r="AI25" s="6">
        <f>IF(ISNA(MATCH(AI$2,Inputs!$K$4:$AJ$4,0)),NA(),IF(SUMPRODUCT((Inputs!$A$5:$A$180=$B25)*ISNUMBER(INDEX(Inputs!$K$5:$AJ$180,0,MATCH(AI$2,Inputs!$K$4:$AJ$4,0))))+SUMPRODUCT((Inputs!$C$5:$C$180=$B25)*ISNUMBER(INDEX(Inputs!$K$5:$AJ$180,0,MATCH(AI$2,Inputs!$K$4:$AJ$4,0))))+SUMPRODUCT((Inputs!$E$5:$E$180=$B25)*ISNUMBER(INDEX(Inputs!$K$5:$AJ$180,0,MATCH(AI$2,Inputs!$K$4:$AJ$4,0))))=0,NA(),SUMPRODUCT((Inputs!$A$5:$A$180=$B25)*Inputs!$B$5:$B$180*(((Inputs!$G$5:$G$180="moeda")+(Inputs!$G$5:$G$180="acoes"))*Inputs!$B$1+((Inputs!$G$5:$G$180&lt;&gt;"moeda")*(Inputs!$G$5:$G$180&lt;&gt;"acoes")))*INDEX(Inputs!$K$5:$AJ$180,0,MATCH(AI$2,Inputs!$K$4:$AJ$4,0)))+SUMPRODUCT((Inputs!$C$5:$C$180=$B25)*Inputs!$D$5:$D$180*(((Inputs!$G$5:$G$180="moeda")+(Inputs!$G$5:$G$180="acoes"))*Inputs!$B$1+((Inputs!$G$5:$G$180&lt;&gt;"moeda")*(Inputs!$G$5:$G$180&lt;&gt;"acoes")))*INDEX(Inputs!$K$5:$AJ$180,0,MATCH(AI$2,Inputs!$K$4:$AJ$4,0)))+SUMPRODUCT((Inputs!$E$5:$E$180=$B25)*Inputs!$F$5:$F$180*(((Inputs!$G$5:$G$180="moeda")+(Inputs!$G$5:$G$180="acoes"))*Inputs!$B$1+((Inputs!$G$5:$G$180&lt;&gt;"moeda")*(Inputs!$G$5:$G$180&lt;&gt;"acoes")))*INDEX(Inputs!$K$5:$AJ$180,0,MATCH(AI$2,Inputs!$K$4:$AJ$4,0)))))</f>
        <v>2016.4350344973</v>
      </c>
      <c r="AJ25" s="6">
        <f>IF(ISNA(MATCH(AJ$2,Inputs!$K$4:$AJ$4,0)),NA(),IF(SUMPRODUCT((Inputs!$A$5:$A$180=$B25)*ISNUMBER(INDEX(Inputs!$K$5:$AJ$180,0,MATCH(AJ$2,Inputs!$K$4:$AJ$4,0))))+SUMPRODUCT((Inputs!$C$5:$C$180=$B25)*ISNUMBER(INDEX(Inputs!$K$5:$AJ$180,0,MATCH(AJ$2,Inputs!$K$4:$AJ$4,0))))+SUMPRODUCT((Inputs!$E$5:$E$180=$B25)*ISNUMBER(INDEX(Inputs!$K$5:$AJ$180,0,MATCH(AJ$2,Inputs!$K$4:$AJ$4,0))))=0,NA(),SUMPRODUCT((Inputs!$A$5:$A$180=$B25)*Inputs!$B$5:$B$180*(((Inputs!$G$5:$G$180="moeda")+(Inputs!$G$5:$G$180="acoes"))*Inputs!$B$1+((Inputs!$G$5:$G$180&lt;&gt;"moeda")*(Inputs!$G$5:$G$180&lt;&gt;"acoes")))*INDEX(Inputs!$K$5:$AJ$180,0,MATCH(AJ$2,Inputs!$K$4:$AJ$4,0)))+SUMPRODUCT((Inputs!$C$5:$C$180=$B25)*Inputs!$D$5:$D$180*(((Inputs!$G$5:$G$180="moeda")+(Inputs!$G$5:$G$180="acoes"))*Inputs!$B$1+((Inputs!$G$5:$G$180&lt;&gt;"moeda")*(Inputs!$G$5:$G$180&lt;&gt;"acoes")))*INDEX(Inputs!$K$5:$AJ$180,0,MATCH(AJ$2,Inputs!$K$4:$AJ$4,0)))+SUMPRODUCT((Inputs!$E$5:$E$180=$B25)*Inputs!$F$5:$F$180*(((Inputs!$G$5:$G$180="moeda")+(Inputs!$G$5:$G$180="acoes"))*Inputs!$B$1+((Inputs!$G$5:$G$180&lt;&gt;"moeda")*(Inputs!$G$5:$G$180&lt;&gt;"acoes")))*INDEX(Inputs!$K$5:$AJ$180,0,MATCH(AJ$2,Inputs!$K$4:$AJ$4,0)))))</f>
        <v>2018.35236046229</v>
      </c>
      <c r="AK25" s="6">
        <f>IF(ISNA(MATCH(AK$2,Inputs!$K$4:$AJ$4,0)),NA(),IF(SUMPRODUCT((Inputs!$A$5:$A$180=$B25)*ISNUMBER(INDEX(Inputs!$K$5:$AJ$180,0,MATCH(AK$2,Inputs!$K$4:$AJ$4,0))))+SUMPRODUCT((Inputs!$C$5:$C$180=$B25)*ISNUMBER(INDEX(Inputs!$K$5:$AJ$180,0,MATCH(AK$2,Inputs!$K$4:$AJ$4,0))))+SUMPRODUCT((Inputs!$E$5:$E$180=$B25)*ISNUMBER(INDEX(Inputs!$K$5:$AJ$180,0,MATCH(AK$2,Inputs!$K$4:$AJ$4,0))))=0,NA(),SUMPRODUCT((Inputs!$A$5:$A$180=$B25)*Inputs!$B$5:$B$180*(((Inputs!$G$5:$G$180="moeda")+(Inputs!$G$5:$G$180="acoes"))*Inputs!$B$1+((Inputs!$G$5:$G$180&lt;&gt;"moeda")*(Inputs!$G$5:$G$180&lt;&gt;"acoes")))*INDEX(Inputs!$K$5:$AJ$180,0,MATCH(AK$2,Inputs!$K$4:$AJ$4,0)))+SUMPRODUCT((Inputs!$C$5:$C$180=$B25)*Inputs!$D$5:$D$180*(((Inputs!$G$5:$G$180="moeda")+(Inputs!$G$5:$G$180="acoes"))*Inputs!$B$1+((Inputs!$G$5:$G$180&lt;&gt;"moeda")*(Inputs!$G$5:$G$180&lt;&gt;"acoes")))*INDEX(Inputs!$K$5:$AJ$180,0,MATCH(AK$2,Inputs!$K$4:$AJ$4,0)))+SUMPRODUCT((Inputs!$E$5:$E$180=$B25)*Inputs!$F$5:$F$180*(((Inputs!$G$5:$G$180="moeda")+(Inputs!$G$5:$G$180="acoes"))*Inputs!$B$1+((Inputs!$G$5:$G$180&lt;&gt;"moeda")*(Inputs!$G$5:$G$180&lt;&gt;"acoes")))*INDEX(Inputs!$K$5:$AJ$180,0,MATCH(AK$2,Inputs!$K$4:$AJ$4,0)))))</f>
        <v>2030.60799782729</v>
      </c>
      <c r="AL25" s="3">
        <f>AK25</f>
        <v>2030.60799782729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$180=$B26)*ISNUMBER(INDEX(Inputs!$K$5:$AJ$180,0,MATCH(D$2,Inputs!$K$4:$AJ$4,0))))+SUMPRODUCT((Inputs!$C$5:$C$180=$B26)*ISNUMBER(INDEX(Inputs!$K$5:$AJ$180,0,MATCH(D$2,Inputs!$K$4:$AJ$4,0))))+SUMPRODUCT((Inputs!$E$5:$E$180=$B26)*ISNUMBER(INDEX(Inputs!$K$5:$AJ$180,0,MATCH(D$2,Inputs!$K$4:$AJ$4,0))))=0,NA(),SUMPRODUCT((Inputs!$A$5:$A$180=$B26)*Inputs!$B$5:$B$180*(((Inputs!$G$5:$G$180="moeda")+(Inputs!$G$5:$G$180="acoes"))*Inputs!$B$1+((Inputs!$G$5:$G$180&lt;&gt;"moeda")*(Inputs!$G$5:$G$180&lt;&gt;"acoes")))*INDEX(Inputs!$K$5:$AJ$180,0,MATCH(D$2,Inputs!$K$4:$AJ$4,0)))+SUMPRODUCT((Inputs!$C$5:$C$180=$B26)*Inputs!$D$5:$D$180*(((Inputs!$G$5:$G$180="moeda")+(Inputs!$G$5:$G$180="acoes"))*Inputs!$B$1+((Inputs!$G$5:$G$180&lt;&gt;"moeda")*(Inputs!$G$5:$G$180&lt;&gt;"acoes")))*INDEX(Inputs!$K$5:$AJ$180,0,MATCH(D$2,Inputs!$K$4:$AJ$4,0)))+SUMPRODUCT((Inputs!$E$5:$E$180=$B26)*Inputs!$F$5:$F$180*(((Inputs!$G$5:$G$180="moeda")+(Inputs!$G$5:$G$180="acoes"))*Inputs!$B$1+((Inputs!$G$5:$G$180&lt;&gt;"moeda")*(Inputs!$G$5:$G$180&lt;&gt;"acoes")))*INDEX(Inputs!$K$5:$AJ$180,0,MATCH(D$2,Inputs!$K$4:$AJ$4,0)))))</f>
        <v>57.70639164</v>
      </c>
      <c r="E26" s="6">
        <f>IF(ISNA(MATCH(E$2,Inputs!$K$4:$AJ$4,0)),NA(),IF(SUMPRODUCT((Inputs!$A$5:$A$180=$B26)*ISNUMBER(INDEX(Inputs!$K$5:$AJ$180,0,MATCH(E$2,Inputs!$K$4:$AJ$4,0))))+SUMPRODUCT((Inputs!$C$5:$C$180=$B26)*ISNUMBER(INDEX(Inputs!$K$5:$AJ$180,0,MATCH(E$2,Inputs!$K$4:$AJ$4,0))))+SUMPRODUCT((Inputs!$E$5:$E$180=$B26)*ISNUMBER(INDEX(Inputs!$K$5:$AJ$180,0,MATCH(E$2,Inputs!$K$4:$AJ$4,0))))=0,NA(),SUMPRODUCT((Inputs!$A$5:$A$180=$B26)*Inputs!$B$5:$B$180*(((Inputs!$G$5:$G$180="moeda")+(Inputs!$G$5:$G$180="acoes"))*Inputs!$B$1+((Inputs!$G$5:$G$180&lt;&gt;"moeda")*(Inputs!$G$5:$G$180&lt;&gt;"acoes")))*INDEX(Inputs!$K$5:$AJ$180,0,MATCH(E$2,Inputs!$K$4:$AJ$4,0)))+SUMPRODUCT((Inputs!$C$5:$C$180=$B26)*Inputs!$D$5:$D$180*(((Inputs!$G$5:$G$180="moeda")+(Inputs!$G$5:$G$180="acoes"))*Inputs!$B$1+((Inputs!$G$5:$G$180&lt;&gt;"moeda")*(Inputs!$G$5:$G$180&lt;&gt;"acoes")))*INDEX(Inputs!$K$5:$AJ$180,0,MATCH(E$2,Inputs!$K$4:$AJ$4,0)))+SUMPRODUCT((Inputs!$E$5:$E$180=$B26)*Inputs!$F$5:$F$180*(((Inputs!$G$5:$G$180="moeda")+(Inputs!$G$5:$G$180="acoes"))*Inputs!$B$1+((Inputs!$G$5:$G$180&lt;&gt;"moeda")*(Inputs!$G$5:$G$180&lt;&gt;"acoes")))*INDEX(Inputs!$K$5:$AJ$180,0,MATCH(E$2,Inputs!$K$4:$AJ$4,0)))))</f>
        <v>46.88245908</v>
      </c>
      <c r="F26" s="6">
        <f>IF(ISNA(MATCH(F$2,Inputs!$K$4:$AJ$4,0)),NA(),IF(SUMPRODUCT((Inputs!$A$5:$A$180=$B26)*ISNUMBER(INDEX(Inputs!$K$5:$AJ$180,0,MATCH(F$2,Inputs!$K$4:$AJ$4,0))))+SUMPRODUCT((Inputs!$C$5:$C$180=$B26)*ISNUMBER(INDEX(Inputs!$K$5:$AJ$180,0,MATCH(F$2,Inputs!$K$4:$AJ$4,0))))+SUMPRODUCT((Inputs!$E$5:$E$180=$B26)*ISNUMBER(INDEX(Inputs!$K$5:$AJ$180,0,MATCH(F$2,Inputs!$K$4:$AJ$4,0))))=0,NA(),SUMPRODUCT((Inputs!$A$5:$A$180=$B26)*Inputs!$B$5:$B$180*(((Inputs!$G$5:$G$180="moeda")+(Inputs!$G$5:$G$180="acoes"))*Inputs!$B$1+((Inputs!$G$5:$G$180&lt;&gt;"moeda")*(Inputs!$G$5:$G$180&lt;&gt;"acoes")))*INDEX(Inputs!$K$5:$AJ$180,0,MATCH(F$2,Inputs!$K$4:$AJ$4,0)))+SUMPRODUCT((Inputs!$C$5:$C$180=$B26)*Inputs!$D$5:$D$180*(((Inputs!$G$5:$G$180="moeda")+(Inputs!$G$5:$G$180="acoes"))*Inputs!$B$1+((Inputs!$G$5:$G$180&lt;&gt;"moeda")*(Inputs!$G$5:$G$180&lt;&gt;"acoes")))*INDEX(Inputs!$K$5:$AJ$180,0,MATCH(F$2,Inputs!$K$4:$AJ$4,0)))+SUMPRODUCT((Inputs!$E$5:$E$180=$B26)*Inputs!$F$5:$F$180*(((Inputs!$G$5:$G$180="moeda")+(Inputs!$G$5:$G$180="acoes"))*Inputs!$B$1+((Inputs!$G$5:$G$180&lt;&gt;"moeda")*(Inputs!$G$5:$G$180&lt;&gt;"acoes")))*INDEX(Inputs!$K$5:$AJ$180,0,MATCH(F$2,Inputs!$K$4:$AJ$4,0)))))</f>
        <v>45.76159196</v>
      </c>
      <c r="G26" s="6">
        <f>IF(ISNA(MATCH(G$2,Inputs!$K$4:$AJ$4,0)),NA(),IF(SUMPRODUCT((Inputs!$A$5:$A$180=$B26)*ISNUMBER(INDEX(Inputs!$K$5:$AJ$180,0,MATCH(G$2,Inputs!$K$4:$AJ$4,0))))+SUMPRODUCT((Inputs!$C$5:$C$180=$B26)*ISNUMBER(INDEX(Inputs!$K$5:$AJ$180,0,MATCH(G$2,Inputs!$K$4:$AJ$4,0))))+SUMPRODUCT((Inputs!$E$5:$E$180=$B26)*ISNUMBER(INDEX(Inputs!$K$5:$AJ$180,0,MATCH(G$2,Inputs!$K$4:$AJ$4,0))))=0,NA(),SUMPRODUCT((Inputs!$A$5:$A$180=$B26)*Inputs!$B$5:$B$180*(((Inputs!$G$5:$G$180="moeda")+(Inputs!$G$5:$G$180="acoes"))*Inputs!$B$1+((Inputs!$G$5:$G$180&lt;&gt;"moeda")*(Inputs!$G$5:$G$180&lt;&gt;"acoes")))*INDEX(Inputs!$K$5:$AJ$180,0,MATCH(G$2,Inputs!$K$4:$AJ$4,0)))+SUMPRODUCT((Inputs!$C$5:$C$180=$B26)*Inputs!$D$5:$D$180*(((Inputs!$G$5:$G$180="moeda")+(Inputs!$G$5:$G$180="acoes"))*Inputs!$B$1+((Inputs!$G$5:$G$180&lt;&gt;"moeda")*(Inputs!$G$5:$G$180&lt;&gt;"acoes")))*INDEX(Inputs!$K$5:$AJ$180,0,MATCH(G$2,Inputs!$K$4:$AJ$4,0)))+SUMPRODUCT((Inputs!$E$5:$E$180=$B26)*Inputs!$F$5:$F$180*(((Inputs!$G$5:$G$180="moeda")+(Inputs!$G$5:$G$180="acoes"))*Inputs!$B$1+((Inputs!$G$5:$G$180&lt;&gt;"moeda")*(Inputs!$G$5:$G$180&lt;&gt;"acoes")))*INDEX(Inputs!$K$5:$AJ$180,0,MATCH(G$2,Inputs!$K$4:$AJ$4,0)))))</f>
        <v>46.89604854</v>
      </c>
      <c r="H26" s="3">
        <f>G26</f>
        <v>46.89604854</v>
      </c>
      <c r="I26" s="6">
        <f>IF(ISNA(MATCH(I$2,Inputs!$K$4:$AJ$4,0)),NA(),IF(SUMPRODUCT((Inputs!$A$5:$A$180=$B26)*ISNUMBER(INDEX(Inputs!$K$5:$AJ$180,0,MATCH(I$2,Inputs!$K$4:$AJ$4,0))))+SUMPRODUCT((Inputs!$C$5:$C$180=$B26)*ISNUMBER(INDEX(Inputs!$K$5:$AJ$180,0,MATCH(I$2,Inputs!$K$4:$AJ$4,0))))+SUMPRODUCT((Inputs!$E$5:$E$180=$B26)*ISNUMBER(INDEX(Inputs!$K$5:$AJ$180,0,MATCH(I$2,Inputs!$K$4:$AJ$4,0))))=0,NA(),SUMPRODUCT((Inputs!$A$5:$A$180=$B26)*Inputs!$B$5:$B$180*(((Inputs!$G$5:$G$180="moeda")+(Inputs!$G$5:$G$180="acoes"))*Inputs!$B$1+((Inputs!$G$5:$G$180&lt;&gt;"moeda")*(Inputs!$G$5:$G$180&lt;&gt;"acoes")))*INDEX(Inputs!$K$5:$AJ$180,0,MATCH(I$2,Inputs!$K$4:$AJ$4,0)))+SUMPRODUCT((Inputs!$C$5:$C$180=$B26)*Inputs!$D$5:$D$180*(((Inputs!$G$5:$G$180="moeda")+(Inputs!$G$5:$G$180="acoes"))*Inputs!$B$1+((Inputs!$G$5:$G$180&lt;&gt;"moeda")*(Inputs!$G$5:$G$180&lt;&gt;"acoes")))*INDEX(Inputs!$K$5:$AJ$180,0,MATCH(I$2,Inputs!$K$4:$AJ$4,0)))+SUMPRODUCT((Inputs!$E$5:$E$180=$B26)*Inputs!$F$5:$F$180*(((Inputs!$G$5:$G$180="moeda")+(Inputs!$G$5:$G$180="acoes"))*Inputs!$B$1+((Inputs!$G$5:$G$180&lt;&gt;"moeda")*(Inputs!$G$5:$G$180&lt;&gt;"acoes")))*INDEX(Inputs!$K$5:$AJ$180,0,MATCH(I$2,Inputs!$K$4:$AJ$4,0)))))</f>
        <v>46.34248186</v>
      </c>
      <c r="J26" s="6">
        <f>IF(ISNA(MATCH(J$2,Inputs!$K$4:$AJ$4,0)),NA(),IF(SUMPRODUCT((Inputs!$A$5:$A$180=$B26)*ISNUMBER(INDEX(Inputs!$K$5:$AJ$180,0,MATCH(J$2,Inputs!$K$4:$AJ$4,0))))+SUMPRODUCT((Inputs!$C$5:$C$180=$B26)*ISNUMBER(INDEX(Inputs!$K$5:$AJ$180,0,MATCH(J$2,Inputs!$K$4:$AJ$4,0))))+SUMPRODUCT((Inputs!$E$5:$E$180=$B26)*ISNUMBER(INDEX(Inputs!$K$5:$AJ$180,0,MATCH(J$2,Inputs!$K$4:$AJ$4,0))))=0,NA(),SUMPRODUCT((Inputs!$A$5:$A$180=$B26)*Inputs!$B$5:$B$180*(((Inputs!$G$5:$G$180="moeda")+(Inputs!$G$5:$G$180="acoes"))*Inputs!$B$1+((Inputs!$G$5:$G$180&lt;&gt;"moeda")*(Inputs!$G$5:$G$180&lt;&gt;"acoes")))*INDEX(Inputs!$K$5:$AJ$180,0,MATCH(J$2,Inputs!$K$4:$AJ$4,0)))+SUMPRODUCT((Inputs!$C$5:$C$180=$B26)*Inputs!$D$5:$D$180*(((Inputs!$G$5:$G$180="moeda")+(Inputs!$G$5:$G$180="acoes"))*Inputs!$B$1+((Inputs!$G$5:$G$180&lt;&gt;"moeda")*(Inputs!$G$5:$G$180&lt;&gt;"acoes")))*INDEX(Inputs!$K$5:$AJ$180,0,MATCH(J$2,Inputs!$K$4:$AJ$4,0)))+SUMPRODUCT((Inputs!$E$5:$E$180=$B26)*Inputs!$F$5:$F$180*(((Inputs!$G$5:$G$180="moeda")+(Inputs!$G$5:$G$180="acoes"))*Inputs!$B$1+((Inputs!$G$5:$G$180&lt;&gt;"moeda")*(Inputs!$G$5:$G$180&lt;&gt;"acoes")))*INDEX(Inputs!$K$5:$AJ$180,0,MATCH(J$2,Inputs!$K$4:$AJ$4,0)))))</f>
        <v>48.66050671</v>
      </c>
      <c r="K26" s="6">
        <f>IF(ISNA(MATCH(K$2,Inputs!$K$4:$AJ$4,0)),NA(),IF(SUMPRODUCT((Inputs!$A$5:$A$180=$B26)*ISNUMBER(INDEX(Inputs!$K$5:$AJ$180,0,MATCH(K$2,Inputs!$K$4:$AJ$4,0))))+SUMPRODUCT((Inputs!$C$5:$C$180=$B26)*ISNUMBER(INDEX(Inputs!$K$5:$AJ$180,0,MATCH(K$2,Inputs!$K$4:$AJ$4,0))))+SUMPRODUCT((Inputs!$E$5:$E$180=$B26)*ISNUMBER(INDEX(Inputs!$K$5:$AJ$180,0,MATCH(K$2,Inputs!$K$4:$AJ$4,0))))=0,NA(),SUMPRODUCT((Inputs!$A$5:$A$180=$B26)*Inputs!$B$5:$B$180*(((Inputs!$G$5:$G$180="moeda")+(Inputs!$G$5:$G$180="acoes"))*Inputs!$B$1+((Inputs!$G$5:$G$180&lt;&gt;"moeda")*(Inputs!$G$5:$G$180&lt;&gt;"acoes")))*INDEX(Inputs!$K$5:$AJ$180,0,MATCH(K$2,Inputs!$K$4:$AJ$4,0)))+SUMPRODUCT((Inputs!$C$5:$C$180=$B26)*Inputs!$D$5:$D$180*(((Inputs!$G$5:$G$180="moeda")+(Inputs!$G$5:$G$180="acoes"))*Inputs!$B$1+((Inputs!$G$5:$G$180&lt;&gt;"moeda")*(Inputs!$G$5:$G$180&lt;&gt;"acoes")))*INDEX(Inputs!$K$5:$AJ$180,0,MATCH(K$2,Inputs!$K$4:$AJ$4,0)))+SUMPRODUCT((Inputs!$E$5:$E$180=$B26)*Inputs!$F$5:$F$180*(((Inputs!$G$5:$G$180="moeda")+(Inputs!$G$5:$G$180="acoes"))*Inputs!$B$1+((Inputs!$G$5:$G$180&lt;&gt;"moeda")*(Inputs!$G$5:$G$180&lt;&gt;"acoes")))*INDEX(Inputs!$K$5:$AJ$180,0,MATCH(K$2,Inputs!$K$4:$AJ$4,0)))))</f>
        <v>50.13974602</v>
      </c>
      <c r="L26" s="6">
        <f>IF(ISNA(MATCH(L$2,Inputs!$K$4:$AJ$4,0)),NA(),IF(SUMPRODUCT((Inputs!$A$5:$A$180=$B26)*ISNUMBER(INDEX(Inputs!$K$5:$AJ$180,0,MATCH(L$2,Inputs!$K$4:$AJ$4,0))))+SUMPRODUCT((Inputs!$C$5:$C$180=$B26)*ISNUMBER(INDEX(Inputs!$K$5:$AJ$180,0,MATCH(L$2,Inputs!$K$4:$AJ$4,0))))+SUMPRODUCT((Inputs!$E$5:$E$180=$B26)*ISNUMBER(INDEX(Inputs!$K$5:$AJ$180,0,MATCH(L$2,Inputs!$K$4:$AJ$4,0))))=0,NA(),SUMPRODUCT((Inputs!$A$5:$A$180=$B26)*Inputs!$B$5:$B$180*(((Inputs!$G$5:$G$180="moeda")+(Inputs!$G$5:$G$180="acoes"))*Inputs!$B$1+((Inputs!$G$5:$G$180&lt;&gt;"moeda")*(Inputs!$G$5:$G$180&lt;&gt;"acoes")))*INDEX(Inputs!$K$5:$AJ$180,0,MATCH(L$2,Inputs!$K$4:$AJ$4,0)))+SUMPRODUCT((Inputs!$C$5:$C$180=$B26)*Inputs!$D$5:$D$180*(((Inputs!$G$5:$G$180="moeda")+(Inputs!$G$5:$G$180="acoes"))*Inputs!$B$1+((Inputs!$G$5:$G$180&lt;&gt;"moeda")*(Inputs!$G$5:$G$180&lt;&gt;"acoes")))*INDEX(Inputs!$K$5:$AJ$180,0,MATCH(L$2,Inputs!$K$4:$AJ$4,0)))+SUMPRODUCT((Inputs!$E$5:$E$180=$B26)*Inputs!$F$5:$F$180*(((Inputs!$G$5:$G$180="moeda")+(Inputs!$G$5:$G$180="acoes"))*Inputs!$B$1+((Inputs!$G$5:$G$180&lt;&gt;"moeda")*(Inputs!$G$5:$G$180&lt;&gt;"acoes")))*INDEX(Inputs!$K$5:$AJ$180,0,MATCH(L$2,Inputs!$K$4:$AJ$4,0)))))</f>
        <v>77.92503408</v>
      </c>
      <c r="M26" s="3">
        <f>L26</f>
        <v>77.92503408</v>
      </c>
      <c r="N26" s="6">
        <f>IF(ISNA(MATCH(N$2,Inputs!$K$4:$AJ$4,0)),NA(),IF(SUMPRODUCT((Inputs!$A$5:$A$180=$B26)*ISNUMBER(INDEX(Inputs!$K$5:$AJ$180,0,MATCH(N$2,Inputs!$K$4:$AJ$4,0))))+SUMPRODUCT((Inputs!$C$5:$C$180=$B26)*ISNUMBER(INDEX(Inputs!$K$5:$AJ$180,0,MATCH(N$2,Inputs!$K$4:$AJ$4,0))))+SUMPRODUCT((Inputs!$E$5:$E$180=$B26)*ISNUMBER(INDEX(Inputs!$K$5:$AJ$180,0,MATCH(N$2,Inputs!$K$4:$AJ$4,0))))=0,NA(),SUMPRODUCT((Inputs!$A$5:$A$180=$B26)*Inputs!$B$5:$B$180*(((Inputs!$G$5:$G$180="moeda")+(Inputs!$G$5:$G$180="acoes"))*Inputs!$B$1+((Inputs!$G$5:$G$180&lt;&gt;"moeda")*(Inputs!$G$5:$G$180&lt;&gt;"acoes")))*INDEX(Inputs!$K$5:$AJ$180,0,MATCH(N$2,Inputs!$K$4:$AJ$4,0)))+SUMPRODUCT((Inputs!$C$5:$C$180=$B26)*Inputs!$D$5:$D$180*(((Inputs!$G$5:$G$180="moeda")+(Inputs!$G$5:$G$180="acoes"))*Inputs!$B$1+((Inputs!$G$5:$G$180&lt;&gt;"moeda")*(Inputs!$G$5:$G$180&lt;&gt;"acoes")))*INDEX(Inputs!$K$5:$AJ$180,0,MATCH(N$2,Inputs!$K$4:$AJ$4,0)))+SUMPRODUCT((Inputs!$E$5:$E$180=$B26)*Inputs!$F$5:$F$180*(((Inputs!$G$5:$G$180="moeda")+(Inputs!$G$5:$G$180="acoes"))*Inputs!$B$1+((Inputs!$G$5:$G$180&lt;&gt;"moeda")*(Inputs!$G$5:$G$180&lt;&gt;"acoes")))*INDEX(Inputs!$K$5:$AJ$180,0,MATCH(N$2,Inputs!$K$4:$AJ$4,0)))))</f>
        <v>77.42650597</v>
      </c>
      <c r="O26" s="6">
        <f>IF(ISNA(MATCH(O$2,Inputs!$K$4:$AJ$4,0)),NA(),IF(SUMPRODUCT((Inputs!$A$5:$A$180=$B26)*ISNUMBER(INDEX(Inputs!$K$5:$AJ$180,0,MATCH(O$2,Inputs!$K$4:$AJ$4,0))))+SUMPRODUCT((Inputs!$C$5:$C$180=$B26)*ISNUMBER(INDEX(Inputs!$K$5:$AJ$180,0,MATCH(O$2,Inputs!$K$4:$AJ$4,0))))+SUMPRODUCT((Inputs!$E$5:$E$180=$B26)*ISNUMBER(INDEX(Inputs!$K$5:$AJ$180,0,MATCH(O$2,Inputs!$K$4:$AJ$4,0))))=0,NA(),SUMPRODUCT((Inputs!$A$5:$A$180=$B26)*Inputs!$B$5:$B$180*(((Inputs!$G$5:$G$180="moeda")+(Inputs!$G$5:$G$180="acoes"))*Inputs!$B$1+((Inputs!$G$5:$G$180&lt;&gt;"moeda")*(Inputs!$G$5:$G$180&lt;&gt;"acoes")))*INDEX(Inputs!$K$5:$AJ$180,0,MATCH(O$2,Inputs!$K$4:$AJ$4,0)))+SUMPRODUCT((Inputs!$C$5:$C$180=$B26)*Inputs!$D$5:$D$180*(((Inputs!$G$5:$G$180="moeda")+(Inputs!$G$5:$G$180="acoes"))*Inputs!$B$1+((Inputs!$G$5:$G$180&lt;&gt;"moeda")*(Inputs!$G$5:$G$180&lt;&gt;"acoes")))*INDEX(Inputs!$K$5:$AJ$180,0,MATCH(O$2,Inputs!$K$4:$AJ$4,0)))+SUMPRODUCT((Inputs!$E$5:$E$180=$B26)*Inputs!$F$5:$F$180*(((Inputs!$G$5:$G$180="moeda")+(Inputs!$G$5:$G$180="acoes"))*Inputs!$B$1+((Inputs!$G$5:$G$180&lt;&gt;"moeda")*(Inputs!$G$5:$G$180&lt;&gt;"acoes")))*INDEX(Inputs!$K$5:$AJ$180,0,MATCH(O$2,Inputs!$K$4:$AJ$4,0)))))</f>
        <v>80.237</v>
      </c>
      <c r="P26" s="6">
        <f>IF(ISNA(MATCH(P$2,Inputs!$K$4:$AJ$4,0)),NA(),IF(SUMPRODUCT((Inputs!$A$5:$A$180=$B26)*ISNUMBER(INDEX(Inputs!$K$5:$AJ$180,0,MATCH(P$2,Inputs!$K$4:$AJ$4,0))))+SUMPRODUCT((Inputs!$C$5:$C$180=$B26)*ISNUMBER(INDEX(Inputs!$K$5:$AJ$180,0,MATCH(P$2,Inputs!$K$4:$AJ$4,0))))+SUMPRODUCT((Inputs!$E$5:$E$180=$B26)*ISNUMBER(INDEX(Inputs!$K$5:$AJ$180,0,MATCH(P$2,Inputs!$K$4:$AJ$4,0))))=0,NA(),SUMPRODUCT((Inputs!$A$5:$A$180=$B26)*Inputs!$B$5:$B$180*(((Inputs!$G$5:$G$180="moeda")+(Inputs!$G$5:$G$180="acoes"))*Inputs!$B$1+((Inputs!$G$5:$G$180&lt;&gt;"moeda")*(Inputs!$G$5:$G$180&lt;&gt;"acoes")))*INDEX(Inputs!$K$5:$AJ$180,0,MATCH(P$2,Inputs!$K$4:$AJ$4,0)))+SUMPRODUCT((Inputs!$C$5:$C$180=$B26)*Inputs!$D$5:$D$180*(((Inputs!$G$5:$G$180="moeda")+(Inputs!$G$5:$G$180="acoes"))*Inputs!$B$1+((Inputs!$G$5:$G$180&lt;&gt;"moeda")*(Inputs!$G$5:$G$180&lt;&gt;"acoes")))*INDEX(Inputs!$K$5:$AJ$180,0,MATCH(P$2,Inputs!$K$4:$AJ$4,0)))+SUMPRODUCT((Inputs!$E$5:$E$180=$B26)*Inputs!$F$5:$F$180*(((Inputs!$G$5:$G$180="moeda")+(Inputs!$G$5:$G$180="acoes"))*Inputs!$B$1+((Inputs!$G$5:$G$180&lt;&gt;"moeda")*(Inputs!$G$5:$G$180&lt;&gt;"acoes")))*INDEX(Inputs!$K$5:$AJ$180,0,MATCH(P$2,Inputs!$K$4:$AJ$4,0)))))</f>
        <v>85.086</v>
      </c>
      <c r="Q26" s="6">
        <f>IF(ISNA(MATCH(Q$2,Inputs!$K$4:$AJ$4,0)),NA(),IF(SUMPRODUCT((Inputs!$A$5:$A$180=$B26)*ISNUMBER(INDEX(Inputs!$K$5:$AJ$180,0,MATCH(Q$2,Inputs!$K$4:$AJ$4,0))))+SUMPRODUCT((Inputs!$C$5:$C$180=$B26)*ISNUMBER(INDEX(Inputs!$K$5:$AJ$180,0,MATCH(Q$2,Inputs!$K$4:$AJ$4,0))))+SUMPRODUCT((Inputs!$E$5:$E$180=$B26)*ISNUMBER(INDEX(Inputs!$K$5:$AJ$180,0,MATCH(Q$2,Inputs!$K$4:$AJ$4,0))))=0,NA(),SUMPRODUCT((Inputs!$A$5:$A$180=$B26)*Inputs!$B$5:$B$180*(((Inputs!$G$5:$G$180="moeda")+(Inputs!$G$5:$G$180="acoes"))*Inputs!$B$1+((Inputs!$G$5:$G$180&lt;&gt;"moeda")*(Inputs!$G$5:$G$180&lt;&gt;"acoes")))*INDEX(Inputs!$K$5:$AJ$180,0,MATCH(Q$2,Inputs!$K$4:$AJ$4,0)))+SUMPRODUCT((Inputs!$C$5:$C$180=$B26)*Inputs!$D$5:$D$180*(((Inputs!$G$5:$G$180="moeda")+(Inputs!$G$5:$G$180="acoes"))*Inputs!$B$1+((Inputs!$G$5:$G$180&lt;&gt;"moeda")*(Inputs!$G$5:$G$180&lt;&gt;"acoes")))*INDEX(Inputs!$K$5:$AJ$180,0,MATCH(Q$2,Inputs!$K$4:$AJ$4,0)))+SUMPRODUCT((Inputs!$E$5:$E$180=$B26)*Inputs!$F$5:$F$180*(((Inputs!$G$5:$G$180="moeda")+(Inputs!$G$5:$G$180="acoes"))*Inputs!$B$1+((Inputs!$G$5:$G$180&lt;&gt;"moeda")*(Inputs!$G$5:$G$180&lt;&gt;"acoes")))*INDEX(Inputs!$K$5:$AJ$180,0,MATCH(Q$2,Inputs!$K$4:$AJ$4,0)))))</f>
        <v>75.961</v>
      </c>
      <c r="R26" s="3">
        <f>Q26</f>
        <v>75.961</v>
      </c>
      <c r="S26" s="6">
        <f>IF(ISNA(MATCH(S$2,Inputs!$K$4:$AJ$4,0)),NA(),IF(SUMPRODUCT((Inputs!$A$5:$A$180=$B26)*ISNUMBER(INDEX(Inputs!$K$5:$AJ$180,0,MATCH(S$2,Inputs!$K$4:$AJ$4,0))))+SUMPRODUCT((Inputs!$C$5:$C$180=$B26)*ISNUMBER(INDEX(Inputs!$K$5:$AJ$180,0,MATCH(S$2,Inputs!$K$4:$AJ$4,0))))+SUMPRODUCT((Inputs!$E$5:$E$180=$B26)*ISNUMBER(INDEX(Inputs!$K$5:$AJ$180,0,MATCH(S$2,Inputs!$K$4:$AJ$4,0))))=0,NA(),SUMPRODUCT((Inputs!$A$5:$A$180=$B26)*Inputs!$B$5:$B$180*(((Inputs!$G$5:$G$180="moeda")+(Inputs!$G$5:$G$180="acoes"))*Inputs!$B$1+((Inputs!$G$5:$G$180&lt;&gt;"moeda")*(Inputs!$G$5:$G$180&lt;&gt;"acoes")))*INDEX(Inputs!$K$5:$AJ$180,0,MATCH(S$2,Inputs!$K$4:$AJ$4,0)))+SUMPRODUCT((Inputs!$C$5:$C$180=$B26)*Inputs!$D$5:$D$180*(((Inputs!$G$5:$G$180="moeda")+(Inputs!$G$5:$G$180="acoes"))*Inputs!$B$1+((Inputs!$G$5:$G$180&lt;&gt;"moeda")*(Inputs!$G$5:$G$180&lt;&gt;"acoes")))*INDEX(Inputs!$K$5:$AJ$180,0,MATCH(S$2,Inputs!$K$4:$AJ$4,0)))+SUMPRODUCT((Inputs!$E$5:$E$180=$B26)*Inputs!$F$5:$F$180*(((Inputs!$G$5:$G$180="moeda")+(Inputs!$G$5:$G$180="acoes"))*Inputs!$B$1+((Inputs!$G$5:$G$180&lt;&gt;"moeda")*(Inputs!$G$5:$G$180&lt;&gt;"acoes")))*INDEX(Inputs!$K$5:$AJ$180,0,MATCH(S$2,Inputs!$K$4:$AJ$4,0)))))</f>
        <v>77.885</v>
      </c>
      <c r="T26" s="6">
        <f>IF(ISNA(MATCH(T$2,Inputs!$K$4:$AJ$4,0)),NA(),IF(SUMPRODUCT((Inputs!$A$5:$A$180=$B26)*ISNUMBER(INDEX(Inputs!$K$5:$AJ$180,0,MATCH(T$2,Inputs!$K$4:$AJ$4,0))))+SUMPRODUCT((Inputs!$C$5:$C$180=$B26)*ISNUMBER(INDEX(Inputs!$K$5:$AJ$180,0,MATCH(T$2,Inputs!$K$4:$AJ$4,0))))+SUMPRODUCT((Inputs!$E$5:$E$180=$B26)*ISNUMBER(INDEX(Inputs!$K$5:$AJ$180,0,MATCH(T$2,Inputs!$K$4:$AJ$4,0))))=0,NA(),SUMPRODUCT((Inputs!$A$5:$A$180=$B26)*Inputs!$B$5:$B$180*(((Inputs!$G$5:$G$180="moeda")+(Inputs!$G$5:$G$180="acoes"))*Inputs!$B$1+((Inputs!$G$5:$G$180&lt;&gt;"moeda")*(Inputs!$G$5:$G$180&lt;&gt;"acoes")))*INDEX(Inputs!$K$5:$AJ$180,0,MATCH(T$2,Inputs!$K$4:$AJ$4,0)))+SUMPRODUCT((Inputs!$C$5:$C$180=$B26)*Inputs!$D$5:$D$180*(((Inputs!$G$5:$G$180="moeda")+(Inputs!$G$5:$G$180="acoes"))*Inputs!$B$1+((Inputs!$G$5:$G$180&lt;&gt;"moeda")*(Inputs!$G$5:$G$180&lt;&gt;"acoes")))*INDEX(Inputs!$K$5:$AJ$180,0,MATCH(T$2,Inputs!$K$4:$AJ$4,0)))+SUMPRODUCT((Inputs!$E$5:$E$180=$B26)*Inputs!$F$5:$F$180*(((Inputs!$G$5:$G$180="moeda")+(Inputs!$G$5:$G$180="acoes"))*Inputs!$B$1+((Inputs!$G$5:$G$180&lt;&gt;"moeda")*(Inputs!$G$5:$G$180&lt;&gt;"acoes")))*INDEX(Inputs!$K$5:$AJ$180,0,MATCH(T$2,Inputs!$K$4:$AJ$4,0)))))</f>
        <v>75.5</v>
      </c>
      <c r="U26" s="6">
        <f>IF(ISNA(MATCH(U$2,Inputs!$K$4:$AJ$4,0)),NA(),IF(SUMPRODUCT((Inputs!$A$5:$A$180=$B26)*ISNUMBER(INDEX(Inputs!$K$5:$AJ$180,0,MATCH(U$2,Inputs!$K$4:$AJ$4,0))))+SUMPRODUCT((Inputs!$C$5:$C$180=$B26)*ISNUMBER(INDEX(Inputs!$K$5:$AJ$180,0,MATCH(U$2,Inputs!$K$4:$AJ$4,0))))+SUMPRODUCT((Inputs!$E$5:$E$180=$B26)*ISNUMBER(INDEX(Inputs!$K$5:$AJ$180,0,MATCH(U$2,Inputs!$K$4:$AJ$4,0))))=0,NA(),SUMPRODUCT((Inputs!$A$5:$A$180=$B26)*Inputs!$B$5:$B$180*(((Inputs!$G$5:$G$180="moeda")+(Inputs!$G$5:$G$180="acoes"))*Inputs!$B$1+((Inputs!$G$5:$G$180&lt;&gt;"moeda")*(Inputs!$G$5:$G$180&lt;&gt;"acoes")))*INDEX(Inputs!$K$5:$AJ$180,0,MATCH(U$2,Inputs!$K$4:$AJ$4,0)))+SUMPRODUCT((Inputs!$C$5:$C$180=$B26)*Inputs!$D$5:$D$180*(((Inputs!$G$5:$G$180="moeda")+(Inputs!$G$5:$G$180="acoes"))*Inputs!$B$1+((Inputs!$G$5:$G$180&lt;&gt;"moeda")*(Inputs!$G$5:$G$180&lt;&gt;"acoes")))*INDEX(Inputs!$K$5:$AJ$180,0,MATCH(U$2,Inputs!$K$4:$AJ$4,0)))+SUMPRODUCT((Inputs!$E$5:$E$180=$B26)*Inputs!$F$5:$F$180*(((Inputs!$G$5:$G$180="moeda")+(Inputs!$G$5:$G$180="acoes"))*Inputs!$B$1+((Inputs!$G$5:$G$180&lt;&gt;"moeda")*(Inputs!$G$5:$G$180&lt;&gt;"acoes")))*INDEX(Inputs!$K$5:$AJ$180,0,MATCH(U$2,Inputs!$K$4:$AJ$4,0)))))</f>
        <v>74.756</v>
      </c>
      <c r="V26" s="6">
        <f>IF(ISNA(MATCH(V$2,Inputs!$K$4:$AJ$4,0)),NA(),IF(SUMPRODUCT((Inputs!$A$5:$A$180=$B26)*ISNUMBER(INDEX(Inputs!$K$5:$AJ$180,0,MATCH(V$2,Inputs!$K$4:$AJ$4,0))))+SUMPRODUCT((Inputs!$C$5:$C$180=$B26)*ISNUMBER(INDEX(Inputs!$K$5:$AJ$180,0,MATCH(V$2,Inputs!$K$4:$AJ$4,0))))+SUMPRODUCT((Inputs!$E$5:$E$180=$B26)*ISNUMBER(INDEX(Inputs!$K$5:$AJ$180,0,MATCH(V$2,Inputs!$K$4:$AJ$4,0))))=0,NA(),SUMPRODUCT((Inputs!$A$5:$A$180=$B26)*Inputs!$B$5:$B$180*(((Inputs!$G$5:$G$180="moeda")+(Inputs!$G$5:$G$180="acoes"))*Inputs!$B$1+((Inputs!$G$5:$G$180&lt;&gt;"moeda")*(Inputs!$G$5:$G$180&lt;&gt;"acoes")))*INDEX(Inputs!$K$5:$AJ$180,0,MATCH(V$2,Inputs!$K$4:$AJ$4,0)))+SUMPRODUCT((Inputs!$C$5:$C$180=$B26)*Inputs!$D$5:$D$180*(((Inputs!$G$5:$G$180="moeda")+(Inputs!$G$5:$G$180="acoes"))*Inputs!$B$1+((Inputs!$G$5:$G$180&lt;&gt;"moeda")*(Inputs!$G$5:$G$180&lt;&gt;"acoes")))*INDEX(Inputs!$K$5:$AJ$180,0,MATCH(V$2,Inputs!$K$4:$AJ$4,0)))+SUMPRODUCT((Inputs!$E$5:$E$180=$B26)*Inputs!$F$5:$F$180*(((Inputs!$G$5:$G$180="moeda")+(Inputs!$G$5:$G$180="acoes"))*Inputs!$B$1+((Inputs!$G$5:$G$180&lt;&gt;"moeda")*(Inputs!$G$5:$G$180&lt;&gt;"acoes")))*INDEX(Inputs!$K$5:$AJ$180,0,MATCH(V$2,Inputs!$K$4:$AJ$4,0)))))</f>
        <v>102.77</v>
      </c>
      <c r="W26" s="3">
        <f>V26</f>
        <v>102.77</v>
      </c>
      <c r="X26" s="6">
        <f>IF(ISNA(MATCH(X$2,Inputs!$K$4:$AJ$4,0)),NA(),IF(SUMPRODUCT((Inputs!$A$5:$A$180=$B26)*ISNUMBER(INDEX(Inputs!$K$5:$AJ$180,0,MATCH(X$2,Inputs!$K$4:$AJ$4,0))))+SUMPRODUCT((Inputs!$C$5:$C$180=$B26)*ISNUMBER(INDEX(Inputs!$K$5:$AJ$180,0,MATCH(X$2,Inputs!$K$4:$AJ$4,0))))+SUMPRODUCT((Inputs!$E$5:$E$180=$B26)*ISNUMBER(INDEX(Inputs!$K$5:$AJ$180,0,MATCH(X$2,Inputs!$K$4:$AJ$4,0))))=0,NA(),SUMPRODUCT((Inputs!$A$5:$A$180=$B26)*Inputs!$B$5:$B$180*(((Inputs!$G$5:$G$180="moeda")+(Inputs!$G$5:$G$180="acoes"))*Inputs!$B$1+((Inputs!$G$5:$G$180&lt;&gt;"moeda")*(Inputs!$G$5:$G$180&lt;&gt;"acoes")))*INDEX(Inputs!$K$5:$AJ$180,0,MATCH(X$2,Inputs!$K$4:$AJ$4,0)))+SUMPRODUCT((Inputs!$C$5:$C$180=$B26)*Inputs!$D$5:$D$180*(((Inputs!$G$5:$G$180="moeda")+(Inputs!$G$5:$G$180="acoes"))*Inputs!$B$1+((Inputs!$G$5:$G$180&lt;&gt;"moeda")*(Inputs!$G$5:$G$180&lt;&gt;"acoes")))*INDEX(Inputs!$K$5:$AJ$180,0,MATCH(X$2,Inputs!$K$4:$AJ$4,0)))+SUMPRODUCT((Inputs!$E$5:$E$180=$B26)*Inputs!$F$5:$F$180*(((Inputs!$G$5:$G$180="moeda")+(Inputs!$G$5:$G$180="acoes"))*Inputs!$B$1+((Inputs!$G$5:$G$180&lt;&gt;"moeda")*(Inputs!$G$5:$G$180&lt;&gt;"acoes")))*INDEX(Inputs!$K$5:$AJ$180,0,MATCH(X$2,Inputs!$K$4:$AJ$4,0)))))</f>
        <v>89.979094</v>
      </c>
      <c r="Y26" s="6">
        <f>IF(ISNA(MATCH(Y$2,Inputs!$K$4:$AJ$4,0)),NA(),IF(SUMPRODUCT((Inputs!$A$5:$A$180=$B26)*ISNUMBER(INDEX(Inputs!$K$5:$AJ$180,0,MATCH(Y$2,Inputs!$K$4:$AJ$4,0))))+SUMPRODUCT((Inputs!$C$5:$C$180=$B26)*ISNUMBER(INDEX(Inputs!$K$5:$AJ$180,0,MATCH(Y$2,Inputs!$K$4:$AJ$4,0))))+SUMPRODUCT((Inputs!$E$5:$E$180=$B26)*ISNUMBER(INDEX(Inputs!$K$5:$AJ$180,0,MATCH(Y$2,Inputs!$K$4:$AJ$4,0))))=0,NA(),SUMPRODUCT((Inputs!$A$5:$A$180=$B26)*Inputs!$B$5:$B$180*(((Inputs!$G$5:$G$180="moeda")+(Inputs!$G$5:$G$180="acoes"))*Inputs!$B$1+((Inputs!$G$5:$G$180&lt;&gt;"moeda")*(Inputs!$G$5:$G$180&lt;&gt;"acoes")))*INDEX(Inputs!$K$5:$AJ$180,0,MATCH(Y$2,Inputs!$K$4:$AJ$4,0)))+SUMPRODUCT((Inputs!$C$5:$C$180=$B26)*Inputs!$D$5:$D$180*(((Inputs!$G$5:$G$180="moeda")+(Inputs!$G$5:$G$180="acoes"))*Inputs!$B$1+((Inputs!$G$5:$G$180&lt;&gt;"moeda")*(Inputs!$G$5:$G$180&lt;&gt;"acoes")))*INDEX(Inputs!$K$5:$AJ$180,0,MATCH(Y$2,Inputs!$K$4:$AJ$4,0)))+SUMPRODUCT((Inputs!$E$5:$E$180=$B26)*Inputs!$F$5:$F$180*(((Inputs!$G$5:$G$180="moeda")+(Inputs!$G$5:$G$180="acoes"))*Inputs!$B$1+((Inputs!$G$5:$G$180&lt;&gt;"moeda")*(Inputs!$G$5:$G$180&lt;&gt;"acoes")))*INDEX(Inputs!$K$5:$AJ$180,0,MATCH(Y$2,Inputs!$K$4:$AJ$4,0)))))</f>
        <v>84.177</v>
      </c>
      <c r="Z26" s="6">
        <f>IF(ISNA(MATCH(Z$2,Inputs!$K$4:$AJ$4,0)),NA(),IF(SUMPRODUCT((Inputs!$A$5:$A$180=$B26)*ISNUMBER(INDEX(Inputs!$K$5:$AJ$180,0,MATCH(Z$2,Inputs!$K$4:$AJ$4,0))))+SUMPRODUCT((Inputs!$C$5:$C$180=$B26)*ISNUMBER(INDEX(Inputs!$K$5:$AJ$180,0,MATCH(Z$2,Inputs!$K$4:$AJ$4,0))))+SUMPRODUCT((Inputs!$E$5:$E$180=$B26)*ISNUMBER(INDEX(Inputs!$K$5:$AJ$180,0,MATCH(Z$2,Inputs!$K$4:$AJ$4,0))))=0,NA(),SUMPRODUCT((Inputs!$A$5:$A$180=$B26)*Inputs!$B$5:$B$180*(((Inputs!$G$5:$G$180="moeda")+(Inputs!$G$5:$G$180="acoes"))*Inputs!$B$1+((Inputs!$G$5:$G$180&lt;&gt;"moeda")*(Inputs!$G$5:$G$180&lt;&gt;"acoes")))*INDEX(Inputs!$K$5:$AJ$180,0,MATCH(Z$2,Inputs!$K$4:$AJ$4,0)))+SUMPRODUCT((Inputs!$C$5:$C$180=$B26)*Inputs!$D$5:$D$180*(((Inputs!$G$5:$G$180="moeda")+(Inputs!$G$5:$G$180="acoes"))*Inputs!$B$1+((Inputs!$G$5:$G$180&lt;&gt;"moeda")*(Inputs!$G$5:$G$180&lt;&gt;"acoes")))*INDEX(Inputs!$K$5:$AJ$180,0,MATCH(Z$2,Inputs!$K$4:$AJ$4,0)))+SUMPRODUCT((Inputs!$E$5:$E$180=$B26)*Inputs!$F$5:$F$180*(((Inputs!$G$5:$G$180="moeda")+(Inputs!$G$5:$G$180="acoes"))*Inputs!$B$1+((Inputs!$G$5:$G$180&lt;&gt;"moeda")*(Inputs!$G$5:$G$180&lt;&gt;"acoes")))*INDEX(Inputs!$K$5:$AJ$180,0,MATCH(Z$2,Inputs!$K$4:$AJ$4,0)))))</f>
        <v>82.641</v>
      </c>
      <c r="AA26" s="6">
        <f>IF(ISNA(MATCH(AA$2,Inputs!$K$4:$AJ$4,0)),NA(),IF(SUMPRODUCT((Inputs!$A$5:$A$180=$B26)*ISNUMBER(INDEX(Inputs!$K$5:$AJ$180,0,MATCH(AA$2,Inputs!$K$4:$AJ$4,0))))+SUMPRODUCT((Inputs!$C$5:$C$180=$B26)*ISNUMBER(INDEX(Inputs!$K$5:$AJ$180,0,MATCH(AA$2,Inputs!$K$4:$AJ$4,0))))+SUMPRODUCT((Inputs!$E$5:$E$180=$B26)*ISNUMBER(INDEX(Inputs!$K$5:$AJ$180,0,MATCH(AA$2,Inputs!$K$4:$AJ$4,0))))=0,NA(),SUMPRODUCT((Inputs!$A$5:$A$180=$B26)*Inputs!$B$5:$B$180*(((Inputs!$G$5:$G$180="moeda")+(Inputs!$G$5:$G$180="acoes"))*Inputs!$B$1+((Inputs!$G$5:$G$180&lt;&gt;"moeda")*(Inputs!$G$5:$G$180&lt;&gt;"acoes")))*INDEX(Inputs!$K$5:$AJ$180,0,MATCH(AA$2,Inputs!$K$4:$AJ$4,0)))+SUMPRODUCT((Inputs!$C$5:$C$180=$B26)*Inputs!$D$5:$D$180*(((Inputs!$G$5:$G$180="moeda")+(Inputs!$G$5:$G$180="acoes"))*Inputs!$B$1+((Inputs!$G$5:$G$180&lt;&gt;"moeda")*(Inputs!$G$5:$G$180&lt;&gt;"acoes")))*INDEX(Inputs!$K$5:$AJ$180,0,MATCH(AA$2,Inputs!$K$4:$AJ$4,0)))+SUMPRODUCT((Inputs!$E$5:$E$180=$B26)*Inputs!$F$5:$F$180*(((Inputs!$G$5:$G$180="moeda")+(Inputs!$G$5:$G$180="acoes"))*Inputs!$B$1+((Inputs!$G$5:$G$180&lt;&gt;"moeda")*(Inputs!$G$5:$G$180&lt;&gt;"acoes")))*INDEX(Inputs!$K$5:$AJ$180,0,MATCH(AA$2,Inputs!$K$4:$AJ$4,0)))))</f>
        <v>106.081</v>
      </c>
      <c r="AB26" s="3">
        <f>AA26</f>
        <v>106.081</v>
      </c>
      <c r="AC26" s="6">
        <f>IF(ISNA(MATCH(AC$2,Inputs!$K$4:$AJ$4,0)),NA(),IF(SUMPRODUCT((Inputs!$A$5:$A$180=$B26)*ISNUMBER(INDEX(Inputs!$K$5:$AJ$180,0,MATCH(AC$2,Inputs!$K$4:$AJ$4,0))))+SUMPRODUCT((Inputs!$C$5:$C$180=$B26)*ISNUMBER(INDEX(Inputs!$K$5:$AJ$180,0,MATCH(AC$2,Inputs!$K$4:$AJ$4,0))))+SUMPRODUCT((Inputs!$E$5:$E$180=$B26)*ISNUMBER(INDEX(Inputs!$K$5:$AJ$180,0,MATCH(AC$2,Inputs!$K$4:$AJ$4,0))))=0,NA(),SUMPRODUCT((Inputs!$A$5:$A$180=$B26)*Inputs!$B$5:$B$180*(((Inputs!$G$5:$G$180="moeda")+(Inputs!$G$5:$G$180="acoes"))*Inputs!$B$1+((Inputs!$G$5:$G$180&lt;&gt;"moeda")*(Inputs!$G$5:$G$180&lt;&gt;"acoes")))*INDEX(Inputs!$K$5:$AJ$180,0,MATCH(AC$2,Inputs!$K$4:$AJ$4,0)))+SUMPRODUCT((Inputs!$C$5:$C$180=$B26)*Inputs!$D$5:$D$180*(((Inputs!$G$5:$G$180="moeda")+(Inputs!$G$5:$G$180="acoes"))*Inputs!$B$1+((Inputs!$G$5:$G$180&lt;&gt;"moeda")*(Inputs!$G$5:$G$180&lt;&gt;"acoes")))*INDEX(Inputs!$K$5:$AJ$180,0,MATCH(AC$2,Inputs!$K$4:$AJ$4,0)))+SUMPRODUCT((Inputs!$E$5:$E$180=$B26)*Inputs!$F$5:$F$180*(((Inputs!$G$5:$G$180="moeda")+(Inputs!$G$5:$G$180="acoes"))*Inputs!$B$1+((Inputs!$G$5:$G$180&lt;&gt;"moeda")*(Inputs!$G$5:$G$180&lt;&gt;"acoes")))*INDEX(Inputs!$K$5:$AJ$180,0,MATCH(AC$2,Inputs!$K$4:$AJ$4,0)))))</f>
        <v>104.557</v>
      </c>
      <c r="AD26" s="6">
        <f>IF(ISNA(MATCH(AD$2,Inputs!$K$4:$AJ$4,0)),NA(),IF(SUMPRODUCT((Inputs!$A$5:$A$180=$B26)*ISNUMBER(INDEX(Inputs!$K$5:$AJ$180,0,MATCH(AD$2,Inputs!$K$4:$AJ$4,0))))+SUMPRODUCT((Inputs!$C$5:$C$180=$B26)*ISNUMBER(INDEX(Inputs!$K$5:$AJ$180,0,MATCH(AD$2,Inputs!$K$4:$AJ$4,0))))+SUMPRODUCT((Inputs!$E$5:$E$180=$B26)*ISNUMBER(INDEX(Inputs!$K$5:$AJ$180,0,MATCH(AD$2,Inputs!$K$4:$AJ$4,0))))=0,NA(),SUMPRODUCT((Inputs!$A$5:$A$180=$B26)*Inputs!$B$5:$B$180*(((Inputs!$G$5:$G$180="moeda")+(Inputs!$G$5:$G$180="acoes"))*Inputs!$B$1+((Inputs!$G$5:$G$180&lt;&gt;"moeda")*(Inputs!$G$5:$G$180&lt;&gt;"acoes")))*INDEX(Inputs!$K$5:$AJ$180,0,MATCH(AD$2,Inputs!$K$4:$AJ$4,0)))+SUMPRODUCT((Inputs!$C$5:$C$180=$B26)*Inputs!$D$5:$D$180*(((Inputs!$G$5:$G$180="moeda")+(Inputs!$G$5:$G$180="acoes"))*Inputs!$B$1+((Inputs!$G$5:$G$180&lt;&gt;"moeda")*(Inputs!$G$5:$G$180&lt;&gt;"acoes")))*INDEX(Inputs!$K$5:$AJ$180,0,MATCH(AD$2,Inputs!$K$4:$AJ$4,0)))+SUMPRODUCT((Inputs!$E$5:$E$180=$B26)*Inputs!$F$5:$F$180*(((Inputs!$G$5:$G$180="moeda")+(Inputs!$G$5:$G$180="acoes"))*Inputs!$B$1+((Inputs!$G$5:$G$180&lt;&gt;"moeda")*(Inputs!$G$5:$G$180&lt;&gt;"acoes")))*INDEX(Inputs!$K$5:$AJ$180,0,MATCH(AD$2,Inputs!$K$4:$AJ$4,0)))))</f>
        <v>87.914</v>
      </c>
      <c r="AE26" s="6" t="e">
        <f>IF(ISNA(MATCH(AE$2,Inputs!$K$4:$AJ$4,0)),NA(),IF(SUMPRODUCT((Inputs!$A$5:$A$180=$B26)*ISNUMBER(INDEX(Inputs!$K$5:$AJ$180,0,MATCH(AE$2,Inputs!$K$4:$AJ$4,0))))+SUMPRODUCT((Inputs!$C$5:$C$180=$B26)*ISNUMBER(INDEX(Inputs!$K$5:$AJ$180,0,MATCH(AE$2,Inputs!$K$4:$AJ$4,0))))+SUMPRODUCT((Inputs!$E$5:$E$180=$B26)*ISNUMBER(INDEX(Inputs!$K$5:$AJ$180,0,MATCH(AE$2,Inputs!$K$4:$AJ$4,0))))=0,NA(),SUMPRODUCT((Inputs!$A$5:$A$180=$B26)*Inputs!$B$5:$B$180*(((Inputs!$G$5:$G$180="moeda")+(Inputs!$G$5:$G$180="acoes"))*Inputs!$B$1+((Inputs!$G$5:$G$180&lt;&gt;"moeda")*(Inputs!$G$5:$G$180&lt;&gt;"acoes")))*INDEX(Inputs!$K$5:$AJ$180,0,MATCH(AE$2,Inputs!$K$4:$AJ$4,0)))+SUMPRODUCT((Inputs!$C$5:$C$180=$B26)*Inputs!$D$5:$D$180*(((Inputs!$G$5:$G$180="moeda")+(Inputs!$G$5:$G$180="acoes"))*Inputs!$B$1+((Inputs!$G$5:$G$180&lt;&gt;"moeda")*(Inputs!$G$5:$G$180&lt;&gt;"acoes")))*INDEX(Inputs!$K$5:$AJ$180,0,MATCH(AE$2,Inputs!$K$4:$AJ$4,0)))+SUMPRODUCT((Inputs!$E$5:$E$180=$B26)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6" s="6" t="e">
        <f>IF(ISNA(MATCH(AF$2,Inputs!$K$4:$AJ$4,0)),NA(),IF(SUMPRODUCT((Inputs!$A$5:$A$180=$B26)*ISNUMBER(INDEX(Inputs!$K$5:$AJ$180,0,MATCH(AF$2,Inputs!$K$4:$AJ$4,0))))+SUMPRODUCT((Inputs!$C$5:$C$180=$B26)*ISNUMBER(INDEX(Inputs!$K$5:$AJ$180,0,MATCH(AF$2,Inputs!$K$4:$AJ$4,0))))+SUMPRODUCT((Inputs!$E$5:$E$180=$B26)*ISNUMBER(INDEX(Inputs!$K$5:$AJ$180,0,MATCH(AF$2,Inputs!$K$4:$AJ$4,0))))=0,NA(),SUMPRODUCT((Inputs!$A$5:$A$180=$B26)*Inputs!$B$5:$B$180*(((Inputs!$G$5:$G$180="moeda")+(Inputs!$G$5:$G$180="acoes"))*Inputs!$B$1+((Inputs!$G$5:$G$180&lt;&gt;"moeda")*(Inputs!$G$5:$G$180&lt;&gt;"acoes")))*INDEX(Inputs!$K$5:$AJ$180,0,MATCH(AF$2,Inputs!$K$4:$AJ$4,0)))+SUMPRODUCT((Inputs!$C$5:$C$180=$B26)*Inputs!$D$5:$D$180*(((Inputs!$G$5:$G$180="moeda")+(Inputs!$G$5:$G$180="acoes"))*Inputs!$B$1+((Inputs!$G$5:$G$180&lt;&gt;"moeda")*(Inputs!$G$5:$G$180&lt;&gt;"acoes")))*INDEX(Inputs!$K$5:$AJ$180,0,MATCH(AF$2,Inputs!$K$4:$AJ$4,0)))+SUMPRODUCT((Inputs!$E$5:$E$180=$B26)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6" s="3" t="e">
        <f>AF26</f>
        <v>#N/A</v>
      </c>
      <c r="AH26" s="6">
        <f>IF(ISNA(MATCH(AH$2,Inputs!$K$4:$AJ$4,0)),NA(),IF(SUMPRODUCT((Inputs!$A$5:$A$180=$B26)*ISNUMBER(INDEX(Inputs!$K$5:$AJ$180,0,MATCH(AH$2,Inputs!$K$4:$AJ$4,0))))+SUMPRODUCT((Inputs!$C$5:$C$180=$B26)*ISNUMBER(INDEX(Inputs!$K$5:$AJ$180,0,MATCH(AH$2,Inputs!$K$4:$AJ$4,0))))+SUMPRODUCT((Inputs!$E$5:$E$180=$B26)*ISNUMBER(INDEX(Inputs!$K$5:$AJ$180,0,MATCH(AH$2,Inputs!$K$4:$AJ$4,0))))=0,NA(),SUMPRODUCT((Inputs!$A$5:$A$180=$B26)*Inputs!$B$5:$B$180*(((Inputs!$G$5:$G$180="moeda")+(Inputs!$G$5:$G$180="acoes"))*Inputs!$B$1+((Inputs!$G$5:$G$180&lt;&gt;"moeda")*(Inputs!$G$5:$G$180&lt;&gt;"acoes")))*INDEX(Inputs!$K$5:$AJ$180,0,MATCH(AH$2,Inputs!$K$4:$AJ$4,0)))+SUMPRODUCT((Inputs!$C$5:$C$180=$B26)*Inputs!$D$5:$D$180*(((Inputs!$G$5:$G$180="moeda")+(Inputs!$G$5:$G$180="acoes"))*Inputs!$B$1+((Inputs!$G$5:$G$180&lt;&gt;"moeda")*(Inputs!$G$5:$G$180&lt;&gt;"acoes")))*INDEX(Inputs!$K$5:$AJ$180,0,MATCH(AH$2,Inputs!$K$4:$AJ$4,0)))+SUMPRODUCT((Inputs!$E$5:$E$180=$B26)*Inputs!$F$5:$F$180*(((Inputs!$G$5:$G$180="moeda")+(Inputs!$G$5:$G$180="acoes"))*Inputs!$B$1+((Inputs!$G$5:$G$180&lt;&gt;"moeda")*(Inputs!$G$5:$G$180&lt;&gt;"acoes")))*INDEX(Inputs!$K$5:$AJ$180,0,MATCH(AH$2,Inputs!$K$4:$AJ$4,0)))))</f>
        <v>65.82283961</v>
      </c>
      <c r="AI26" s="6">
        <f>IF(ISNA(MATCH(AI$2,Inputs!$K$4:$AJ$4,0)),NA(),IF(SUMPRODUCT((Inputs!$A$5:$A$180=$B26)*ISNUMBER(INDEX(Inputs!$K$5:$AJ$180,0,MATCH(AI$2,Inputs!$K$4:$AJ$4,0))))+SUMPRODUCT((Inputs!$C$5:$C$180=$B26)*ISNUMBER(INDEX(Inputs!$K$5:$AJ$180,0,MATCH(AI$2,Inputs!$K$4:$AJ$4,0))))+SUMPRODUCT((Inputs!$E$5:$E$180=$B26)*ISNUMBER(INDEX(Inputs!$K$5:$AJ$180,0,MATCH(AI$2,Inputs!$K$4:$AJ$4,0))))=0,NA(),SUMPRODUCT((Inputs!$A$5:$A$180=$B26)*Inputs!$B$5:$B$180*(((Inputs!$G$5:$G$180="moeda")+(Inputs!$G$5:$G$180="acoes"))*Inputs!$B$1+((Inputs!$G$5:$G$180&lt;&gt;"moeda")*(Inputs!$G$5:$G$180&lt;&gt;"acoes")))*INDEX(Inputs!$K$5:$AJ$180,0,MATCH(AI$2,Inputs!$K$4:$AJ$4,0)))+SUMPRODUCT((Inputs!$C$5:$C$180=$B26)*Inputs!$D$5:$D$180*(((Inputs!$G$5:$G$180="moeda")+(Inputs!$G$5:$G$180="acoes"))*Inputs!$B$1+((Inputs!$G$5:$G$180&lt;&gt;"moeda")*(Inputs!$G$5:$G$180&lt;&gt;"acoes")))*INDEX(Inputs!$K$5:$AJ$180,0,MATCH(AI$2,Inputs!$K$4:$AJ$4,0)))+SUMPRODUCT((Inputs!$E$5:$E$180=$B26)*Inputs!$F$5:$F$180*(((Inputs!$G$5:$G$180="moeda")+(Inputs!$G$5:$G$180="acoes"))*Inputs!$B$1+((Inputs!$G$5:$G$180&lt;&gt;"moeda")*(Inputs!$G$5:$G$180&lt;&gt;"acoes")))*INDEX(Inputs!$K$5:$AJ$180,0,MATCH(AI$2,Inputs!$K$4:$AJ$4,0)))))</f>
        <v>73.44718083</v>
      </c>
      <c r="AJ26" s="6">
        <f>IF(ISNA(MATCH(AJ$2,Inputs!$K$4:$AJ$4,0)),NA(),IF(SUMPRODUCT((Inputs!$A$5:$A$180=$B26)*ISNUMBER(INDEX(Inputs!$K$5:$AJ$180,0,MATCH(AJ$2,Inputs!$K$4:$AJ$4,0))))+SUMPRODUCT((Inputs!$C$5:$C$180=$B26)*ISNUMBER(INDEX(Inputs!$K$5:$AJ$180,0,MATCH(AJ$2,Inputs!$K$4:$AJ$4,0))))+SUMPRODUCT((Inputs!$E$5:$E$180=$B26)*ISNUMBER(INDEX(Inputs!$K$5:$AJ$180,0,MATCH(AJ$2,Inputs!$K$4:$AJ$4,0))))=0,NA(),SUMPRODUCT((Inputs!$A$5:$A$180=$B26)*Inputs!$B$5:$B$180*(((Inputs!$G$5:$G$180="moeda")+(Inputs!$G$5:$G$180="acoes"))*Inputs!$B$1+((Inputs!$G$5:$G$180&lt;&gt;"moeda")*(Inputs!$G$5:$G$180&lt;&gt;"acoes")))*INDEX(Inputs!$K$5:$AJ$180,0,MATCH(AJ$2,Inputs!$K$4:$AJ$4,0)))+SUMPRODUCT((Inputs!$C$5:$C$180=$B26)*Inputs!$D$5:$D$180*(((Inputs!$G$5:$G$180="moeda")+(Inputs!$G$5:$G$180="acoes"))*Inputs!$B$1+((Inputs!$G$5:$G$180&lt;&gt;"moeda")*(Inputs!$G$5:$G$180&lt;&gt;"acoes")))*INDEX(Inputs!$K$5:$AJ$180,0,MATCH(AJ$2,Inputs!$K$4:$AJ$4,0)))+SUMPRODUCT((Inputs!$E$5:$E$180=$B26)*Inputs!$F$5:$F$180*(((Inputs!$G$5:$G$180="moeda")+(Inputs!$G$5:$G$180="acoes"))*Inputs!$B$1+((Inputs!$G$5:$G$180&lt;&gt;"moeda")*(Inputs!$G$5:$G$180&lt;&gt;"acoes")))*INDEX(Inputs!$K$5:$AJ$180,0,MATCH(AJ$2,Inputs!$K$4:$AJ$4,0)))))</f>
        <v>73.41897207</v>
      </c>
      <c r="AK26" s="6">
        <f>IF(ISNA(MATCH(AK$2,Inputs!$K$4:$AJ$4,0)),NA(),IF(SUMPRODUCT((Inputs!$A$5:$A$180=$B26)*ISNUMBER(INDEX(Inputs!$K$5:$AJ$180,0,MATCH(AK$2,Inputs!$K$4:$AJ$4,0))))+SUMPRODUCT((Inputs!$C$5:$C$180=$B26)*ISNUMBER(INDEX(Inputs!$K$5:$AJ$180,0,MATCH(AK$2,Inputs!$K$4:$AJ$4,0))))+SUMPRODUCT((Inputs!$E$5:$E$180=$B26)*ISNUMBER(INDEX(Inputs!$K$5:$AJ$180,0,MATCH(AK$2,Inputs!$K$4:$AJ$4,0))))=0,NA(),SUMPRODUCT((Inputs!$A$5:$A$180=$B26)*Inputs!$B$5:$B$180*(((Inputs!$G$5:$G$180="moeda")+(Inputs!$G$5:$G$180="acoes"))*Inputs!$B$1+((Inputs!$G$5:$G$180&lt;&gt;"moeda")*(Inputs!$G$5:$G$180&lt;&gt;"acoes")))*INDEX(Inputs!$K$5:$AJ$180,0,MATCH(AK$2,Inputs!$K$4:$AJ$4,0)))+SUMPRODUCT((Inputs!$C$5:$C$180=$B26)*Inputs!$D$5:$D$180*(((Inputs!$G$5:$G$180="moeda")+(Inputs!$G$5:$G$180="acoes"))*Inputs!$B$1+((Inputs!$G$5:$G$180&lt;&gt;"moeda")*(Inputs!$G$5:$G$180&lt;&gt;"acoes")))*INDEX(Inputs!$K$5:$AJ$180,0,MATCH(AK$2,Inputs!$K$4:$AJ$4,0)))+SUMPRODUCT((Inputs!$E$5:$E$180=$B26)*Inputs!$F$5:$F$180*(((Inputs!$G$5:$G$180="moeda")+(Inputs!$G$5:$G$180="acoes"))*Inputs!$B$1+((Inputs!$G$5:$G$180&lt;&gt;"moeda")*(Inputs!$G$5:$G$180&lt;&gt;"acoes")))*INDEX(Inputs!$K$5:$AJ$180,0,MATCH(AK$2,Inputs!$K$4:$AJ$4,0)))))</f>
        <v>58.07394153</v>
      </c>
      <c r="AL26" s="3">
        <f>AK26</f>
        <v>58.07394153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$180=$B28)*ISNUMBER(INDEX(Inputs!$K$5:$AJ$180,0,MATCH(D$2,Inputs!$K$4:$AJ$4,0))))+SUMPRODUCT((Inputs!$C$5:$C$180=$B28)*ISNUMBER(INDEX(Inputs!$K$5:$AJ$180,0,MATCH(D$2,Inputs!$K$4:$AJ$4,0))))+SUMPRODUCT((Inputs!$E$5:$E$180=$B28)*ISNUMBER(INDEX(Inputs!$K$5:$AJ$180,0,MATCH(D$2,Inputs!$K$4:$AJ$4,0))))=0,NA(),SUMPRODUCT((Inputs!$A$5:$A$180=$B28)*Inputs!$B$5:$B$180*(((Inputs!$G$5:$G$180="moeda")+(Inputs!$G$5:$G$180="acoes"))*Inputs!$B$1+((Inputs!$G$5:$G$180&lt;&gt;"moeda")*(Inputs!$G$5:$G$180&lt;&gt;"acoes")))*INDEX(Inputs!$K$5:$AJ$180,0,MATCH(D$2,Inputs!$K$4:$AJ$4,0)))+SUMPRODUCT((Inputs!$C$5:$C$180=$B28)*Inputs!$D$5:$D$180*(((Inputs!$G$5:$G$180="moeda")+(Inputs!$G$5:$G$180="acoes"))*Inputs!$B$1+((Inputs!$G$5:$G$180&lt;&gt;"moeda")*(Inputs!$G$5:$G$180&lt;&gt;"acoes")))*INDEX(Inputs!$K$5:$AJ$180,0,MATCH(D$2,Inputs!$K$4:$AJ$4,0)))+SUMPRODUCT((Inputs!$E$5:$E$180=$B28)*Inputs!$F$5:$F$180*(((Inputs!$G$5:$G$180="moeda")+(Inputs!$G$5:$G$180="acoes"))*Inputs!$B$1+((Inputs!$G$5:$G$180&lt;&gt;"moeda")*(Inputs!$G$5:$G$180&lt;&gt;"acoes")))*INDEX(Inputs!$K$5:$AJ$180,0,MATCH(D$2,Inputs!$K$4:$AJ$4,0)))))</f>
        <v>217.45823862</v>
      </c>
      <c r="E28" s="6">
        <f>IF(ISNA(MATCH(E$2,Inputs!$K$4:$AJ$4,0)),NA(),IF(SUMPRODUCT((Inputs!$A$5:$A$180=$B28)*ISNUMBER(INDEX(Inputs!$K$5:$AJ$180,0,MATCH(E$2,Inputs!$K$4:$AJ$4,0))))+SUMPRODUCT((Inputs!$C$5:$C$180=$B28)*ISNUMBER(INDEX(Inputs!$K$5:$AJ$180,0,MATCH(E$2,Inputs!$K$4:$AJ$4,0))))+SUMPRODUCT((Inputs!$E$5:$E$180=$B28)*ISNUMBER(INDEX(Inputs!$K$5:$AJ$180,0,MATCH(E$2,Inputs!$K$4:$AJ$4,0))))=0,NA(),SUMPRODUCT((Inputs!$A$5:$A$180=$B28)*Inputs!$B$5:$B$180*(((Inputs!$G$5:$G$180="moeda")+(Inputs!$G$5:$G$180="acoes"))*Inputs!$B$1+((Inputs!$G$5:$G$180&lt;&gt;"moeda")*(Inputs!$G$5:$G$180&lt;&gt;"acoes")))*INDEX(Inputs!$K$5:$AJ$180,0,MATCH(E$2,Inputs!$K$4:$AJ$4,0)))+SUMPRODUCT((Inputs!$C$5:$C$180=$B28)*Inputs!$D$5:$D$180*(((Inputs!$G$5:$G$180="moeda")+(Inputs!$G$5:$G$180="acoes"))*Inputs!$B$1+((Inputs!$G$5:$G$180&lt;&gt;"moeda")*(Inputs!$G$5:$G$180&lt;&gt;"acoes")))*INDEX(Inputs!$K$5:$AJ$180,0,MATCH(E$2,Inputs!$K$4:$AJ$4,0)))+SUMPRODUCT((Inputs!$E$5:$E$180=$B28)*Inputs!$F$5:$F$180*(((Inputs!$G$5:$G$180="moeda")+(Inputs!$G$5:$G$180="acoes"))*Inputs!$B$1+((Inputs!$G$5:$G$180&lt;&gt;"moeda")*(Inputs!$G$5:$G$180&lt;&gt;"acoes")))*INDEX(Inputs!$K$5:$AJ$180,0,MATCH(E$2,Inputs!$K$4:$AJ$4,0)))))</f>
        <v>271.93653186</v>
      </c>
      <c r="F28" s="6">
        <f>IF(ISNA(MATCH(F$2,Inputs!$K$4:$AJ$4,0)),NA(),IF(SUMPRODUCT((Inputs!$A$5:$A$180=$B28)*ISNUMBER(INDEX(Inputs!$K$5:$AJ$180,0,MATCH(F$2,Inputs!$K$4:$AJ$4,0))))+SUMPRODUCT((Inputs!$C$5:$C$180=$B28)*ISNUMBER(INDEX(Inputs!$K$5:$AJ$180,0,MATCH(F$2,Inputs!$K$4:$AJ$4,0))))+SUMPRODUCT((Inputs!$E$5:$E$180=$B28)*ISNUMBER(INDEX(Inputs!$K$5:$AJ$180,0,MATCH(F$2,Inputs!$K$4:$AJ$4,0))))=0,NA(),SUMPRODUCT((Inputs!$A$5:$A$180=$B28)*Inputs!$B$5:$B$180*(((Inputs!$G$5:$G$180="moeda")+(Inputs!$G$5:$G$180="acoes"))*Inputs!$B$1+((Inputs!$G$5:$G$180&lt;&gt;"moeda")*(Inputs!$G$5:$G$180&lt;&gt;"acoes")))*INDEX(Inputs!$K$5:$AJ$180,0,MATCH(F$2,Inputs!$K$4:$AJ$4,0)))+SUMPRODUCT((Inputs!$C$5:$C$180=$B28)*Inputs!$D$5:$D$180*(((Inputs!$G$5:$G$180="moeda")+(Inputs!$G$5:$G$180="acoes"))*Inputs!$B$1+((Inputs!$G$5:$G$180&lt;&gt;"moeda")*(Inputs!$G$5:$G$180&lt;&gt;"acoes")))*INDEX(Inputs!$K$5:$AJ$180,0,MATCH(F$2,Inputs!$K$4:$AJ$4,0)))+SUMPRODUCT((Inputs!$E$5:$E$180=$B28)*Inputs!$F$5:$F$180*(((Inputs!$G$5:$G$180="moeda")+(Inputs!$G$5:$G$180="acoes"))*Inputs!$B$1+((Inputs!$G$5:$G$180&lt;&gt;"moeda")*(Inputs!$G$5:$G$180&lt;&gt;"acoes")))*INDEX(Inputs!$K$5:$AJ$180,0,MATCH(F$2,Inputs!$K$4:$AJ$4,0)))))</f>
        <v>290.60493982</v>
      </c>
      <c r="G28" s="6">
        <f>IF(ISNA(MATCH(G$2,Inputs!$K$4:$AJ$4,0)),NA(),IF(SUMPRODUCT((Inputs!$A$5:$A$180=$B28)*ISNUMBER(INDEX(Inputs!$K$5:$AJ$180,0,MATCH(G$2,Inputs!$K$4:$AJ$4,0))))+SUMPRODUCT((Inputs!$C$5:$C$180=$B28)*ISNUMBER(INDEX(Inputs!$K$5:$AJ$180,0,MATCH(G$2,Inputs!$K$4:$AJ$4,0))))+SUMPRODUCT((Inputs!$E$5:$E$180=$B28)*ISNUMBER(INDEX(Inputs!$K$5:$AJ$180,0,MATCH(G$2,Inputs!$K$4:$AJ$4,0))))=0,NA(),SUMPRODUCT((Inputs!$A$5:$A$180=$B28)*Inputs!$B$5:$B$180*(((Inputs!$G$5:$G$180="moeda")+(Inputs!$G$5:$G$180="acoes"))*Inputs!$B$1+((Inputs!$G$5:$G$180&lt;&gt;"moeda")*(Inputs!$G$5:$G$180&lt;&gt;"acoes")))*INDEX(Inputs!$K$5:$AJ$180,0,MATCH(G$2,Inputs!$K$4:$AJ$4,0)))+SUMPRODUCT((Inputs!$C$5:$C$180=$B28)*Inputs!$D$5:$D$180*(((Inputs!$G$5:$G$180="moeda")+(Inputs!$G$5:$G$180="acoes"))*Inputs!$B$1+((Inputs!$G$5:$G$180&lt;&gt;"moeda")*(Inputs!$G$5:$G$180&lt;&gt;"acoes")))*INDEX(Inputs!$K$5:$AJ$180,0,MATCH(G$2,Inputs!$K$4:$AJ$4,0)))+SUMPRODUCT((Inputs!$E$5:$E$180=$B28)*Inputs!$F$5:$F$180*(((Inputs!$G$5:$G$180="moeda")+(Inputs!$G$5:$G$180="acoes"))*Inputs!$B$1+((Inputs!$G$5:$G$180&lt;&gt;"moeda")*(Inputs!$G$5:$G$180&lt;&gt;"acoes")))*INDEX(Inputs!$K$5:$AJ$180,0,MATCH(G$2,Inputs!$K$4:$AJ$4,0)))))</f>
        <v>356.88085195</v>
      </c>
      <c r="H28" s="3">
        <f>G28</f>
        <v>356.88085195</v>
      </c>
      <c r="I28" s="6">
        <f>IF(ISNA(MATCH(I$2,Inputs!$K$4:$AJ$4,0)),NA(),IF(SUMPRODUCT((Inputs!$A$5:$A$180=$B28)*ISNUMBER(INDEX(Inputs!$K$5:$AJ$180,0,MATCH(I$2,Inputs!$K$4:$AJ$4,0))))+SUMPRODUCT((Inputs!$C$5:$C$180=$B28)*ISNUMBER(INDEX(Inputs!$K$5:$AJ$180,0,MATCH(I$2,Inputs!$K$4:$AJ$4,0))))+SUMPRODUCT((Inputs!$E$5:$E$180=$B28)*ISNUMBER(INDEX(Inputs!$K$5:$AJ$180,0,MATCH(I$2,Inputs!$K$4:$AJ$4,0))))=0,NA(),SUMPRODUCT((Inputs!$A$5:$A$180=$B28)*Inputs!$B$5:$B$180*(((Inputs!$G$5:$G$180="moeda")+(Inputs!$G$5:$G$180="acoes"))*Inputs!$B$1+((Inputs!$G$5:$G$180&lt;&gt;"moeda")*(Inputs!$G$5:$G$180&lt;&gt;"acoes")))*INDEX(Inputs!$K$5:$AJ$180,0,MATCH(I$2,Inputs!$K$4:$AJ$4,0)))+SUMPRODUCT((Inputs!$C$5:$C$180=$B28)*Inputs!$D$5:$D$180*(((Inputs!$G$5:$G$180="moeda")+(Inputs!$G$5:$G$180="acoes"))*Inputs!$B$1+((Inputs!$G$5:$G$180&lt;&gt;"moeda")*(Inputs!$G$5:$G$180&lt;&gt;"acoes")))*INDEX(Inputs!$K$5:$AJ$180,0,MATCH(I$2,Inputs!$K$4:$AJ$4,0)))+SUMPRODUCT((Inputs!$E$5:$E$180=$B28)*Inputs!$F$5:$F$180*(((Inputs!$G$5:$G$180="moeda")+(Inputs!$G$5:$G$180="acoes"))*Inputs!$B$1+((Inputs!$G$5:$G$180&lt;&gt;"moeda")*(Inputs!$G$5:$G$180&lt;&gt;"acoes")))*INDEX(Inputs!$K$5:$AJ$180,0,MATCH(I$2,Inputs!$K$4:$AJ$4,0)))))</f>
        <v>306.31845786</v>
      </c>
      <c r="J28" s="6">
        <f>IF(ISNA(MATCH(J$2,Inputs!$K$4:$AJ$4,0)),NA(),IF(SUMPRODUCT((Inputs!$A$5:$A$180=$B28)*ISNUMBER(INDEX(Inputs!$K$5:$AJ$180,0,MATCH(J$2,Inputs!$K$4:$AJ$4,0))))+SUMPRODUCT((Inputs!$C$5:$C$180=$B28)*ISNUMBER(INDEX(Inputs!$K$5:$AJ$180,0,MATCH(J$2,Inputs!$K$4:$AJ$4,0))))+SUMPRODUCT((Inputs!$E$5:$E$180=$B28)*ISNUMBER(INDEX(Inputs!$K$5:$AJ$180,0,MATCH(J$2,Inputs!$K$4:$AJ$4,0))))=0,NA(),SUMPRODUCT((Inputs!$A$5:$A$180=$B28)*Inputs!$B$5:$B$180*(((Inputs!$G$5:$G$180="moeda")+(Inputs!$G$5:$G$180="acoes"))*Inputs!$B$1+((Inputs!$G$5:$G$180&lt;&gt;"moeda")*(Inputs!$G$5:$G$180&lt;&gt;"acoes")))*INDEX(Inputs!$K$5:$AJ$180,0,MATCH(J$2,Inputs!$K$4:$AJ$4,0)))+SUMPRODUCT((Inputs!$C$5:$C$180=$B28)*Inputs!$D$5:$D$180*(((Inputs!$G$5:$G$180="moeda")+(Inputs!$G$5:$G$180="acoes"))*Inputs!$B$1+((Inputs!$G$5:$G$180&lt;&gt;"moeda")*(Inputs!$G$5:$G$180&lt;&gt;"acoes")))*INDEX(Inputs!$K$5:$AJ$180,0,MATCH(J$2,Inputs!$K$4:$AJ$4,0)))+SUMPRODUCT((Inputs!$E$5:$E$180=$B28)*Inputs!$F$5:$F$180*(((Inputs!$G$5:$G$180="moeda")+(Inputs!$G$5:$G$180="acoes"))*Inputs!$B$1+((Inputs!$G$5:$G$180&lt;&gt;"moeda")*(Inputs!$G$5:$G$180&lt;&gt;"acoes")))*INDEX(Inputs!$K$5:$AJ$180,0,MATCH(J$2,Inputs!$K$4:$AJ$4,0)))))</f>
        <v>302.67521001</v>
      </c>
      <c r="K28" s="6">
        <f>IF(ISNA(MATCH(K$2,Inputs!$K$4:$AJ$4,0)),NA(),IF(SUMPRODUCT((Inputs!$A$5:$A$180=$B28)*ISNUMBER(INDEX(Inputs!$K$5:$AJ$180,0,MATCH(K$2,Inputs!$K$4:$AJ$4,0))))+SUMPRODUCT((Inputs!$C$5:$C$180=$B28)*ISNUMBER(INDEX(Inputs!$K$5:$AJ$180,0,MATCH(K$2,Inputs!$K$4:$AJ$4,0))))+SUMPRODUCT((Inputs!$E$5:$E$180=$B28)*ISNUMBER(INDEX(Inputs!$K$5:$AJ$180,0,MATCH(K$2,Inputs!$K$4:$AJ$4,0))))=0,NA(),SUMPRODUCT((Inputs!$A$5:$A$180=$B28)*Inputs!$B$5:$B$180*(((Inputs!$G$5:$G$180="moeda")+(Inputs!$G$5:$G$180="acoes"))*Inputs!$B$1+((Inputs!$G$5:$G$180&lt;&gt;"moeda")*(Inputs!$G$5:$G$180&lt;&gt;"acoes")))*INDEX(Inputs!$K$5:$AJ$180,0,MATCH(K$2,Inputs!$K$4:$AJ$4,0)))+SUMPRODUCT((Inputs!$C$5:$C$180=$B28)*Inputs!$D$5:$D$180*(((Inputs!$G$5:$G$180="moeda")+(Inputs!$G$5:$G$180="acoes"))*Inputs!$B$1+((Inputs!$G$5:$G$180&lt;&gt;"moeda")*(Inputs!$G$5:$G$180&lt;&gt;"acoes")))*INDEX(Inputs!$K$5:$AJ$180,0,MATCH(K$2,Inputs!$K$4:$AJ$4,0)))+SUMPRODUCT((Inputs!$E$5:$E$180=$B28)*Inputs!$F$5:$F$180*(((Inputs!$G$5:$G$180="moeda")+(Inputs!$G$5:$G$180="acoes"))*Inputs!$B$1+((Inputs!$G$5:$G$180&lt;&gt;"moeda")*(Inputs!$G$5:$G$180&lt;&gt;"acoes")))*INDEX(Inputs!$K$5:$AJ$180,0,MATCH(K$2,Inputs!$K$4:$AJ$4,0)))))</f>
        <v>297.71210255</v>
      </c>
      <c r="L28" s="6">
        <f>IF(ISNA(MATCH(L$2,Inputs!$K$4:$AJ$4,0)),NA(),IF(SUMPRODUCT((Inputs!$A$5:$A$180=$B28)*ISNUMBER(INDEX(Inputs!$K$5:$AJ$180,0,MATCH(L$2,Inputs!$K$4:$AJ$4,0))))+SUMPRODUCT((Inputs!$C$5:$C$180=$B28)*ISNUMBER(INDEX(Inputs!$K$5:$AJ$180,0,MATCH(L$2,Inputs!$K$4:$AJ$4,0))))+SUMPRODUCT((Inputs!$E$5:$E$180=$B28)*ISNUMBER(INDEX(Inputs!$K$5:$AJ$180,0,MATCH(L$2,Inputs!$K$4:$AJ$4,0))))=0,NA(),SUMPRODUCT((Inputs!$A$5:$A$180=$B28)*Inputs!$B$5:$B$180*(((Inputs!$G$5:$G$180="moeda")+(Inputs!$G$5:$G$180="acoes"))*Inputs!$B$1+((Inputs!$G$5:$G$180&lt;&gt;"moeda")*(Inputs!$G$5:$G$180&lt;&gt;"acoes")))*INDEX(Inputs!$K$5:$AJ$180,0,MATCH(L$2,Inputs!$K$4:$AJ$4,0)))+SUMPRODUCT((Inputs!$C$5:$C$180=$B28)*Inputs!$D$5:$D$180*(((Inputs!$G$5:$G$180="moeda")+(Inputs!$G$5:$G$180="acoes"))*Inputs!$B$1+((Inputs!$G$5:$G$180&lt;&gt;"moeda")*(Inputs!$G$5:$G$180&lt;&gt;"acoes")))*INDEX(Inputs!$K$5:$AJ$180,0,MATCH(L$2,Inputs!$K$4:$AJ$4,0)))+SUMPRODUCT((Inputs!$E$5:$E$180=$B28)*Inputs!$F$5:$F$180*(((Inputs!$G$5:$G$180="moeda")+(Inputs!$G$5:$G$180="acoes"))*Inputs!$B$1+((Inputs!$G$5:$G$180&lt;&gt;"moeda")*(Inputs!$G$5:$G$180&lt;&gt;"acoes")))*INDEX(Inputs!$K$5:$AJ$180,0,MATCH(L$2,Inputs!$K$4:$AJ$4,0)))))</f>
        <v>364.26789641</v>
      </c>
      <c r="M28" s="3">
        <f>L28</f>
        <v>364.26789641</v>
      </c>
      <c r="N28" s="6">
        <f>IF(ISNA(MATCH(N$2,Inputs!$K$4:$AJ$4,0)),NA(),IF(SUMPRODUCT((Inputs!$A$5:$A$180=$B28)*ISNUMBER(INDEX(Inputs!$K$5:$AJ$180,0,MATCH(N$2,Inputs!$K$4:$AJ$4,0))))+SUMPRODUCT((Inputs!$C$5:$C$180=$B28)*ISNUMBER(INDEX(Inputs!$K$5:$AJ$180,0,MATCH(N$2,Inputs!$K$4:$AJ$4,0))))+SUMPRODUCT((Inputs!$E$5:$E$180=$B28)*ISNUMBER(INDEX(Inputs!$K$5:$AJ$180,0,MATCH(N$2,Inputs!$K$4:$AJ$4,0))))=0,NA(),SUMPRODUCT((Inputs!$A$5:$A$180=$B28)*Inputs!$B$5:$B$180*(((Inputs!$G$5:$G$180="moeda")+(Inputs!$G$5:$G$180="acoes"))*Inputs!$B$1+((Inputs!$G$5:$G$180&lt;&gt;"moeda")*(Inputs!$G$5:$G$180&lt;&gt;"acoes")))*INDEX(Inputs!$K$5:$AJ$180,0,MATCH(N$2,Inputs!$K$4:$AJ$4,0)))+SUMPRODUCT((Inputs!$C$5:$C$180=$B28)*Inputs!$D$5:$D$180*(((Inputs!$G$5:$G$180="moeda")+(Inputs!$G$5:$G$180="acoes"))*Inputs!$B$1+((Inputs!$G$5:$G$180&lt;&gt;"moeda")*(Inputs!$G$5:$G$180&lt;&gt;"acoes")))*INDEX(Inputs!$K$5:$AJ$180,0,MATCH(N$2,Inputs!$K$4:$AJ$4,0)))+SUMPRODUCT((Inputs!$E$5:$E$180=$B28)*Inputs!$F$5:$F$180*(((Inputs!$G$5:$G$180="moeda")+(Inputs!$G$5:$G$180="acoes"))*Inputs!$B$1+((Inputs!$G$5:$G$180&lt;&gt;"moeda")*(Inputs!$G$5:$G$180&lt;&gt;"acoes")))*INDEX(Inputs!$K$5:$AJ$180,0,MATCH(N$2,Inputs!$K$4:$AJ$4,0)))))</f>
        <v>359.71789864</v>
      </c>
      <c r="O28" s="6">
        <f>IF(ISNA(MATCH(O$2,Inputs!$K$4:$AJ$4,0)),NA(),IF(SUMPRODUCT((Inputs!$A$5:$A$180=$B28)*ISNUMBER(INDEX(Inputs!$K$5:$AJ$180,0,MATCH(O$2,Inputs!$K$4:$AJ$4,0))))+SUMPRODUCT((Inputs!$C$5:$C$180=$B28)*ISNUMBER(INDEX(Inputs!$K$5:$AJ$180,0,MATCH(O$2,Inputs!$K$4:$AJ$4,0))))+SUMPRODUCT((Inputs!$E$5:$E$180=$B28)*ISNUMBER(INDEX(Inputs!$K$5:$AJ$180,0,MATCH(O$2,Inputs!$K$4:$AJ$4,0))))=0,NA(),SUMPRODUCT((Inputs!$A$5:$A$180=$B28)*Inputs!$B$5:$B$180*(((Inputs!$G$5:$G$180="moeda")+(Inputs!$G$5:$G$180="acoes"))*Inputs!$B$1+((Inputs!$G$5:$G$180&lt;&gt;"moeda")*(Inputs!$G$5:$G$180&lt;&gt;"acoes")))*INDEX(Inputs!$K$5:$AJ$180,0,MATCH(O$2,Inputs!$K$4:$AJ$4,0)))+SUMPRODUCT((Inputs!$C$5:$C$180=$B28)*Inputs!$D$5:$D$180*(((Inputs!$G$5:$G$180="moeda")+(Inputs!$G$5:$G$180="acoes"))*Inputs!$B$1+((Inputs!$G$5:$G$180&lt;&gt;"moeda")*(Inputs!$G$5:$G$180&lt;&gt;"acoes")))*INDEX(Inputs!$K$5:$AJ$180,0,MATCH(O$2,Inputs!$K$4:$AJ$4,0)))+SUMPRODUCT((Inputs!$E$5:$E$180=$B28)*Inputs!$F$5:$F$180*(((Inputs!$G$5:$G$180="moeda")+(Inputs!$G$5:$G$180="acoes"))*Inputs!$B$1+((Inputs!$G$5:$G$180&lt;&gt;"moeda")*(Inputs!$G$5:$G$180&lt;&gt;"acoes")))*INDEX(Inputs!$K$5:$AJ$180,0,MATCH(O$2,Inputs!$K$4:$AJ$4,0)))))</f>
        <v>591.27</v>
      </c>
      <c r="P28" s="6">
        <f>IF(ISNA(MATCH(P$2,Inputs!$K$4:$AJ$4,0)),NA(),IF(SUMPRODUCT((Inputs!$A$5:$A$180=$B28)*ISNUMBER(INDEX(Inputs!$K$5:$AJ$180,0,MATCH(P$2,Inputs!$K$4:$AJ$4,0))))+SUMPRODUCT((Inputs!$C$5:$C$180=$B28)*ISNUMBER(INDEX(Inputs!$K$5:$AJ$180,0,MATCH(P$2,Inputs!$K$4:$AJ$4,0))))+SUMPRODUCT((Inputs!$E$5:$E$180=$B28)*ISNUMBER(INDEX(Inputs!$K$5:$AJ$180,0,MATCH(P$2,Inputs!$K$4:$AJ$4,0))))=0,NA(),SUMPRODUCT((Inputs!$A$5:$A$180=$B28)*Inputs!$B$5:$B$180*(((Inputs!$G$5:$G$180="moeda")+(Inputs!$G$5:$G$180="acoes"))*Inputs!$B$1+((Inputs!$G$5:$G$180&lt;&gt;"moeda")*(Inputs!$G$5:$G$180&lt;&gt;"acoes")))*INDEX(Inputs!$K$5:$AJ$180,0,MATCH(P$2,Inputs!$K$4:$AJ$4,0)))+SUMPRODUCT((Inputs!$C$5:$C$180=$B28)*Inputs!$D$5:$D$180*(((Inputs!$G$5:$G$180="moeda")+(Inputs!$G$5:$G$180="acoes"))*Inputs!$B$1+((Inputs!$G$5:$G$180&lt;&gt;"moeda")*(Inputs!$G$5:$G$180&lt;&gt;"acoes")))*INDEX(Inputs!$K$5:$AJ$180,0,MATCH(P$2,Inputs!$K$4:$AJ$4,0)))+SUMPRODUCT((Inputs!$E$5:$E$180=$B28)*Inputs!$F$5:$F$180*(((Inputs!$G$5:$G$180="moeda")+(Inputs!$G$5:$G$180="acoes"))*Inputs!$B$1+((Inputs!$G$5:$G$180&lt;&gt;"moeda")*(Inputs!$G$5:$G$180&lt;&gt;"acoes")))*INDEX(Inputs!$K$5:$AJ$180,0,MATCH(P$2,Inputs!$K$4:$AJ$4,0)))))</f>
        <v>575.225</v>
      </c>
      <c r="Q28" s="6">
        <f>IF(ISNA(MATCH(Q$2,Inputs!$K$4:$AJ$4,0)),NA(),IF(SUMPRODUCT((Inputs!$A$5:$A$180=$B28)*ISNUMBER(INDEX(Inputs!$K$5:$AJ$180,0,MATCH(Q$2,Inputs!$K$4:$AJ$4,0))))+SUMPRODUCT((Inputs!$C$5:$C$180=$B28)*ISNUMBER(INDEX(Inputs!$K$5:$AJ$180,0,MATCH(Q$2,Inputs!$K$4:$AJ$4,0))))+SUMPRODUCT((Inputs!$E$5:$E$180=$B28)*ISNUMBER(INDEX(Inputs!$K$5:$AJ$180,0,MATCH(Q$2,Inputs!$K$4:$AJ$4,0))))=0,NA(),SUMPRODUCT((Inputs!$A$5:$A$180=$B28)*Inputs!$B$5:$B$180*(((Inputs!$G$5:$G$180="moeda")+(Inputs!$G$5:$G$180="acoes"))*Inputs!$B$1+((Inputs!$G$5:$G$180&lt;&gt;"moeda")*(Inputs!$G$5:$G$180&lt;&gt;"acoes")))*INDEX(Inputs!$K$5:$AJ$180,0,MATCH(Q$2,Inputs!$K$4:$AJ$4,0)))+SUMPRODUCT((Inputs!$C$5:$C$180=$B28)*Inputs!$D$5:$D$180*(((Inputs!$G$5:$G$180="moeda")+(Inputs!$G$5:$G$180="acoes"))*Inputs!$B$1+((Inputs!$G$5:$G$180&lt;&gt;"moeda")*(Inputs!$G$5:$G$180&lt;&gt;"acoes")))*INDEX(Inputs!$K$5:$AJ$180,0,MATCH(Q$2,Inputs!$K$4:$AJ$4,0)))+SUMPRODUCT((Inputs!$E$5:$E$180=$B28)*Inputs!$F$5:$F$180*(((Inputs!$G$5:$G$180="moeda")+(Inputs!$G$5:$G$180="acoes"))*Inputs!$B$1+((Inputs!$G$5:$G$180&lt;&gt;"moeda")*(Inputs!$G$5:$G$180&lt;&gt;"acoes")))*INDEX(Inputs!$K$5:$AJ$180,0,MATCH(Q$2,Inputs!$K$4:$AJ$4,0)))))</f>
        <v>620.413</v>
      </c>
      <c r="R28" s="3">
        <f>Q28</f>
        <v>620.413</v>
      </c>
      <c r="S28" s="6">
        <f>IF(ISNA(MATCH(S$2,Inputs!$K$4:$AJ$4,0)),NA(),IF(SUMPRODUCT((Inputs!$A$5:$A$180=$B28)*ISNUMBER(INDEX(Inputs!$K$5:$AJ$180,0,MATCH(S$2,Inputs!$K$4:$AJ$4,0))))+SUMPRODUCT((Inputs!$C$5:$C$180=$B28)*ISNUMBER(INDEX(Inputs!$K$5:$AJ$180,0,MATCH(S$2,Inputs!$K$4:$AJ$4,0))))+SUMPRODUCT((Inputs!$E$5:$E$180=$B28)*ISNUMBER(INDEX(Inputs!$K$5:$AJ$180,0,MATCH(S$2,Inputs!$K$4:$AJ$4,0))))=0,NA(),SUMPRODUCT((Inputs!$A$5:$A$180=$B28)*Inputs!$B$5:$B$180*(((Inputs!$G$5:$G$180="moeda")+(Inputs!$G$5:$G$180="acoes"))*Inputs!$B$1+((Inputs!$G$5:$G$180&lt;&gt;"moeda")*(Inputs!$G$5:$G$180&lt;&gt;"acoes")))*INDEX(Inputs!$K$5:$AJ$180,0,MATCH(S$2,Inputs!$K$4:$AJ$4,0)))+SUMPRODUCT((Inputs!$C$5:$C$180=$B28)*Inputs!$D$5:$D$180*(((Inputs!$G$5:$G$180="moeda")+(Inputs!$G$5:$G$180="acoes"))*Inputs!$B$1+((Inputs!$G$5:$G$180&lt;&gt;"moeda")*(Inputs!$G$5:$G$180&lt;&gt;"acoes")))*INDEX(Inputs!$K$5:$AJ$180,0,MATCH(S$2,Inputs!$K$4:$AJ$4,0)))+SUMPRODUCT((Inputs!$E$5:$E$180=$B28)*Inputs!$F$5:$F$180*(((Inputs!$G$5:$G$180="moeda")+(Inputs!$G$5:$G$180="acoes"))*Inputs!$B$1+((Inputs!$G$5:$G$180&lt;&gt;"moeda")*(Inputs!$G$5:$G$180&lt;&gt;"acoes")))*INDEX(Inputs!$K$5:$AJ$180,0,MATCH(S$2,Inputs!$K$4:$AJ$4,0)))))</f>
        <v>632.446</v>
      </c>
      <c r="T28" s="6">
        <f>IF(ISNA(MATCH(T$2,Inputs!$K$4:$AJ$4,0)),NA(),IF(SUMPRODUCT((Inputs!$A$5:$A$180=$B28)*ISNUMBER(INDEX(Inputs!$K$5:$AJ$180,0,MATCH(T$2,Inputs!$K$4:$AJ$4,0))))+SUMPRODUCT((Inputs!$C$5:$C$180=$B28)*ISNUMBER(INDEX(Inputs!$K$5:$AJ$180,0,MATCH(T$2,Inputs!$K$4:$AJ$4,0))))+SUMPRODUCT((Inputs!$E$5:$E$180=$B28)*ISNUMBER(INDEX(Inputs!$K$5:$AJ$180,0,MATCH(T$2,Inputs!$K$4:$AJ$4,0))))=0,NA(),SUMPRODUCT((Inputs!$A$5:$A$180=$B28)*Inputs!$B$5:$B$180*(((Inputs!$G$5:$G$180="moeda")+(Inputs!$G$5:$G$180="acoes"))*Inputs!$B$1+((Inputs!$G$5:$G$180&lt;&gt;"moeda")*(Inputs!$G$5:$G$180&lt;&gt;"acoes")))*INDEX(Inputs!$K$5:$AJ$180,0,MATCH(T$2,Inputs!$K$4:$AJ$4,0)))+SUMPRODUCT((Inputs!$C$5:$C$180=$B28)*Inputs!$D$5:$D$180*(((Inputs!$G$5:$G$180="moeda")+(Inputs!$G$5:$G$180="acoes"))*Inputs!$B$1+((Inputs!$G$5:$G$180&lt;&gt;"moeda")*(Inputs!$G$5:$G$180&lt;&gt;"acoes")))*INDEX(Inputs!$K$5:$AJ$180,0,MATCH(T$2,Inputs!$K$4:$AJ$4,0)))+SUMPRODUCT((Inputs!$E$5:$E$180=$B28)*Inputs!$F$5:$F$180*(((Inputs!$G$5:$G$180="moeda")+(Inputs!$G$5:$G$180="acoes"))*Inputs!$B$1+((Inputs!$G$5:$G$180&lt;&gt;"moeda")*(Inputs!$G$5:$G$180&lt;&gt;"acoes")))*INDEX(Inputs!$K$5:$AJ$180,0,MATCH(T$2,Inputs!$K$4:$AJ$4,0)))))</f>
        <v>676.475</v>
      </c>
      <c r="U28" s="6">
        <f>IF(ISNA(MATCH(U$2,Inputs!$K$4:$AJ$4,0)),NA(),IF(SUMPRODUCT((Inputs!$A$5:$A$180=$B28)*ISNUMBER(INDEX(Inputs!$K$5:$AJ$180,0,MATCH(U$2,Inputs!$K$4:$AJ$4,0))))+SUMPRODUCT((Inputs!$C$5:$C$180=$B28)*ISNUMBER(INDEX(Inputs!$K$5:$AJ$180,0,MATCH(U$2,Inputs!$K$4:$AJ$4,0))))+SUMPRODUCT((Inputs!$E$5:$E$180=$B28)*ISNUMBER(INDEX(Inputs!$K$5:$AJ$180,0,MATCH(U$2,Inputs!$K$4:$AJ$4,0))))=0,NA(),SUMPRODUCT((Inputs!$A$5:$A$180=$B28)*Inputs!$B$5:$B$180*(((Inputs!$G$5:$G$180="moeda")+(Inputs!$G$5:$G$180="acoes"))*Inputs!$B$1+((Inputs!$G$5:$G$180&lt;&gt;"moeda")*(Inputs!$G$5:$G$180&lt;&gt;"acoes")))*INDEX(Inputs!$K$5:$AJ$180,0,MATCH(U$2,Inputs!$K$4:$AJ$4,0)))+SUMPRODUCT((Inputs!$C$5:$C$180=$B28)*Inputs!$D$5:$D$180*(((Inputs!$G$5:$G$180="moeda")+(Inputs!$G$5:$G$180="acoes"))*Inputs!$B$1+((Inputs!$G$5:$G$180&lt;&gt;"moeda")*(Inputs!$G$5:$G$180&lt;&gt;"acoes")))*INDEX(Inputs!$K$5:$AJ$180,0,MATCH(U$2,Inputs!$K$4:$AJ$4,0)))+SUMPRODUCT((Inputs!$E$5:$E$180=$B28)*Inputs!$F$5:$F$180*(((Inputs!$G$5:$G$180="moeda")+(Inputs!$G$5:$G$180="acoes"))*Inputs!$B$1+((Inputs!$G$5:$G$180&lt;&gt;"moeda")*(Inputs!$G$5:$G$180&lt;&gt;"acoes")))*INDEX(Inputs!$K$5:$AJ$180,0,MATCH(U$2,Inputs!$K$4:$AJ$4,0)))))</f>
        <v>647.545</v>
      </c>
      <c r="V28" s="6">
        <f>IF(ISNA(MATCH(V$2,Inputs!$K$4:$AJ$4,0)),NA(),IF(SUMPRODUCT((Inputs!$A$5:$A$180=$B28)*ISNUMBER(INDEX(Inputs!$K$5:$AJ$180,0,MATCH(V$2,Inputs!$K$4:$AJ$4,0))))+SUMPRODUCT((Inputs!$C$5:$C$180=$B28)*ISNUMBER(INDEX(Inputs!$K$5:$AJ$180,0,MATCH(V$2,Inputs!$K$4:$AJ$4,0))))+SUMPRODUCT((Inputs!$E$5:$E$180=$B28)*ISNUMBER(INDEX(Inputs!$K$5:$AJ$180,0,MATCH(V$2,Inputs!$K$4:$AJ$4,0))))=0,NA(),SUMPRODUCT((Inputs!$A$5:$A$180=$B28)*Inputs!$B$5:$B$180*(((Inputs!$G$5:$G$180="moeda")+(Inputs!$G$5:$G$180="acoes"))*Inputs!$B$1+((Inputs!$G$5:$G$180&lt;&gt;"moeda")*(Inputs!$G$5:$G$180&lt;&gt;"acoes")))*INDEX(Inputs!$K$5:$AJ$180,0,MATCH(V$2,Inputs!$K$4:$AJ$4,0)))+SUMPRODUCT((Inputs!$C$5:$C$180=$B28)*Inputs!$D$5:$D$180*(((Inputs!$G$5:$G$180="moeda")+(Inputs!$G$5:$G$180="acoes"))*Inputs!$B$1+((Inputs!$G$5:$G$180&lt;&gt;"moeda")*(Inputs!$G$5:$G$180&lt;&gt;"acoes")))*INDEX(Inputs!$K$5:$AJ$180,0,MATCH(V$2,Inputs!$K$4:$AJ$4,0)))+SUMPRODUCT((Inputs!$E$5:$E$180=$B28)*Inputs!$F$5:$F$180*(((Inputs!$G$5:$G$180="moeda")+(Inputs!$G$5:$G$180="acoes"))*Inputs!$B$1+((Inputs!$G$5:$G$180&lt;&gt;"moeda")*(Inputs!$G$5:$G$180&lt;&gt;"acoes")))*INDEX(Inputs!$K$5:$AJ$180,0,MATCH(V$2,Inputs!$K$4:$AJ$4,0)))))</f>
        <v>704.009</v>
      </c>
      <c r="W28" s="3">
        <f>V28</f>
        <v>704.009</v>
      </c>
      <c r="X28" s="6">
        <f>IF(ISNA(MATCH(X$2,Inputs!$K$4:$AJ$4,0)),NA(),IF(SUMPRODUCT((Inputs!$A$5:$A$180=$B28)*ISNUMBER(INDEX(Inputs!$K$5:$AJ$180,0,MATCH(X$2,Inputs!$K$4:$AJ$4,0))))+SUMPRODUCT((Inputs!$C$5:$C$180=$B28)*ISNUMBER(INDEX(Inputs!$K$5:$AJ$180,0,MATCH(X$2,Inputs!$K$4:$AJ$4,0))))+SUMPRODUCT((Inputs!$E$5:$E$180=$B28)*ISNUMBER(INDEX(Inputs!$K$5:$AJ$180,0,MATCH(X$2,Inputs!$K$4:$AJ$4,0))))=0,NA(),SUMPRODUCT((Inputs!$A$5:$A$180=$B28)*Inputs!$B$5:$B$180*(((Inputs!$G$5:$G$180="moeda")+(Inputs!$G$5:$G$180="acoes"))*Inputs!$B$1+((Inputs!$G$5:$G$180&lt;&gt;"moeda")*(Inputs!$G$5:$G$180&lt;&gt;"acoes")))*INDEX(Inputs!$K$5:$AJ$180,0,MATCH(X$2,Inputs!$K$4:$AJ$4,0)))+SUMPRODUCT((Inputs!$C$5:$C$180=$B28)*Inputs!$D$5:$D$180*(((Inputs!$G$5:$G$180="moeda")+(Inputs!$G$5:$G$180="acoes"))*Inputs!$B$1+((Inputs!$G$5:$G$180&lt;&gt;"moeda")*(Inputs!$G$5:$G$180&lt;&gt;"acoes")))*INDEX(Inputs!$K$5:$AJ$180,0,MATCH(X$2,Inputs!$K$4:$AJ$4,0)))+SUMPRODUCT((Inputs!$E$5:$E$180=$B28)*Inputs!$F$5:$F$180*(((Inputs!$G$5:$G$180="moeda")+(Inputs!$G$5:$G$180="acoes"))*Inputs!$B$1+((Inputs!$G$5:$G$180&lt;&gt;"moeda")*(Inputs!$G$5:$G$180&lt;&gt;"acoes")))*INDEX(Inputs!$K$5:$AJ$180,0,MATCH(X$2,Inputs!$K$4:$AJ$4,0)))))</f>
        <v>674.716396</v>
      </c>
      <c r="Y28" s="6">
        <f>IF(ISNA(MATCH(Y$2,Inputs!$K$4:$AJ$4,0)),NA(),IF(SUMPRODUCT((Inputs!$A$5:$A$180=$B28)*ISNUMBER(INDEX(Inputs!$K$5:$AJ$180,0,MATCH(Y$2,Inputs!$K$4:$AJ$4,0))))+SUMPRODUCT((Inputs!$C$5:$C$180=$B28)*ISNUMBER(INDEX(Inputs!$K$5:$AJ$180,0,MATCH(Y$2,Inputs!$K$4:$AJ$4,0))))+SUMPRODUCT((Inputs!$E$5:$E$180=$B28)*ISNUMBER(INDEX(Inputs!$K$5:$AJ$180,0,MATCH(Y$2,Inputs!$K$4:$AJ$4,0))))=0,NA(),SUMPRODUCT((Inputs!$A$5:$A$180=$B28)*Inputs!$B$5:$B$180*(((Inputs!$G$5:$G$180="moeda")+(Inputs!$G$5:$G$180="acoes"))*Inputs!$B$1+((Inputs!$G$5:$G$180&lt;&gt;"moeda")*(Inputs!$G$5:$G$180&lt;&gt;"acoes")))*INDEX(Inputs!$K$5:$AJ$180,0,MATCH(Y$2,Inputs!$K$4:$AJ$4,0)))+SUMPRODUCT((Inputs!$C$5:$C$180=$B28)*Inputs!$D$5:$D$180*(((Inputs!$G$5:$G$180="moeda")+(Inputs!$G$5:$G$180="acoes"))*Inputs!$B$1+((Inputs!$G$5:$G$180&lt;&gt;"moeda")*(Inputs!$G$5:$G$180&lt;&gt;"acoes")))*INDEX(Inputs!$K$5:$AJ$180,0,MATCH(Y$2,Inputs!$K$4:$AJ$4,0)))+SUMPRODUCT((Inputs!$E$5:$E$180=$B28)*Inputs!$F$5:$F$180*(((Inputs!$G$5:$G$180="moeda")+(Inputs!$G$5:$G$180="acoes"))*Inputs!$B$1+((Inputs!$G$5:$G$180&lt;&gt;"moeda")*(Inputs!$G$5:$G$180&lt;&gt;"acoes")))*INDEX(Inputs!$K$5:$AJ$180,0,MATCH(Y$2,Inputs!$K$4:$AJ$4,0)))))</f>
        <v>652.937</v>
      </c>
      <c r="Z28" s="6">
        <f>IF(ISNA(MATCH(Z$2,Inputs!$K$4:$AJ$4,0)),NA(),IF(SUMPRODUCT((Inputs!$A$5:$A$180=$B28)*ISNUMBER(INDEX(Inputs!$K$5:$AJ$180,0,MATCH(Z$2,Inputs!$K$4:$AJ$4,0))))+SUMPRODUCT((Inputs!$C$5:$C$180=$B28)*ISNUMBER(INDEX(Inputs!$K$5:$AJ$180,0,MATCH(Z$2,Inputs!$K$4:$AJ$4,0))))+SUMPRODUCT((Inputs!$E$5:$E$180=$B28)*ISNUMBER(INDEX(Inputs!$K$5:$AJ$180,0,MATCH(Z$2,Inputs!$K$4:$AJ$4,0))))=0,NA(),SUMPRODUCT((Inputs!$A$5:$A$180=$B28)*Inputs!$B$5:$B$180*(((Inputs!$G$5:$G$180="moeda")+(Inputs!$G$5:$G$180="acoes"))*Inputs!$B$1+((Inputs!$G$5:$G$180&lt;&gt;"moeda")*(Inputs!$G$5:$G$180&lt;&gt;"acoes")))*INDEX(Inputs!$K$5:$AJ$180,0,MATCH(Z$2,Inputs!$K$4:$AJ$4,0)))+SUMPRODUCT((Inputs!$C$5:$C$180=$B28)*Inputs!$D$5:$D$180*(((Inputs!$G$5:$G$180="moeda")+(Inputs!$G$5:$G$180="acoes"))*Inputs!$B$1+((Inputs!$G$5:$G$180&lt;&gt;"moeda")*(Inputs!$G$5:$G$180&lt;&gt;"acoes")))*INDEX(Inputs!$K$5:$AJ$180,0,MATCH(Z$2,Inputs!$K$4:$AJ$4,0)))+SUMPRODUCT((Inputs!$E$5:$E$180=$B28)*Inputs!$F$5:$F$180*(((Inputs!$G$5:$G$180="moeda")+(Inputs!$G$5:$G$180="acoes"))*Inputs!$B$1+((Inputs!$G$5:$G$180&lt;&gt;"moeda")*(Inputs!$G$5:$G$180&lt;&gt;"acoes")))*INDEX(Inputs!$K$5:$AJ$180,0,MATCH(Z$2,Inputs!$K$4:$AJ$4,0)))))</f>
        <v>721.344</v>
      </c>
      <c r="AA28" s="6">
        <f>IF(ISNA(MATCH(AA$2,Inputs!$K$4:$AJ$4,0)),NA(),IF(SUMPRODUCT((Inputs!$A$5:$A$180=$B28)*ISNUMBER(INDEX(Inputs!$K$5:$AJ$180,0,MATCH(AA$2,Inputs!$K$4:$AJ$4,0))))+SUMPRODUCT((Inputs!$C$5:$C$180=$B28)*ISNUMBER(INDEX(Inputs!$K$5:$AJ$180,0,MATCH(AA$2,Inputs!$K$4:$AJ$4,0))))+SUMPRODUCT((Inputs!$E$5:$E$180=$B28)*ISNUMBER(INDEX(Inputs!$K$5:$AJ$180,0,MATCH(AA$2,Inputs!$K$4:$AJ$4,0))))=0,NA(),SUMPRODUCT((Inputs!$A$5:$A$180=$B28)*Inputs!$B$5:$B$180*(((Inputs!$G$5:$G$180="moeda")+(Inputs!$G$5:$G$180="acoes"))*Inputs!$B$1+((Inputs!$G$5:$G$180&lt;&gt;"moeda")*(Inputs!$G$5:$G$180&lt;&gt;"acoes")))*INDEX(Inputs!$K$5:$AJ$180,0,MATCH(AA$2,Inputs!$K$4:$AJ$4,0)))+SUMPRODUCT((Inputs!$C$5:$C$180=$B28)*Inputs!$D$5:$D$180*(((Inputs!$G$5:$G$180="moeda")+(Inputs!$G$5:$G$180="acoes"))*Inputs!$B$1+((Inputs!$G$5:$G$180&lt;&gt;"moeda")*(Inputs!$G$5:$G$180&lt;&gt;"acoes")))*INDEX(Inputs!$K$5:$AJ$180,0,MATCH(AA$2,Inputs!$K$4:$AJ$4,0)))+SUMPRODUCT((Inputs!$E$5:$E$180=$B28)*Inputs!$F$5:$F$180*(((Inputs!$G$5:$G$180="moeda")+(Inputs!$G$5:$G$180="acoes"))*Inputs!$B$1+((Inputs!$G$5:$G$180&lt;&gt;"moeda")*(Inputs!$G$5:$G$180&lt;&gt;"acoes")))*INDEX(Inputs!$K$5:$AJ$180,0,MATCH(AA$2,Inputs!$K$4:$AJ$4,0)))))</f>
        <v>800.133</v>
      </c>
      <c r="AB28" s="3">
        <f>AA28</f>
        <v>800.133</v>
      </c>
      <c r="AC28" s="6">
        <f>IF(ISNA(MATCH(AC$2,Inputs!$K$4:$AJ$4,0)),NA(),IF(SUMPRODUCT((Inputs!$A$5:$A$180=$B28)*ISNUMBER(INDEX(Inputs!$K$5:$AJ$180,0,MATCH(AC$2,Inputs!$K$4:$AJ$4,0))))+SUMPRODUCT((Inputs!$C$5:$C$180=$B28)*ISNUMBER(INDEX(Inputs!$K$5:$AJ$180,0,MATCH(AC$2,Inputs!$K$4:$AJ$4,0))))+SUMPRODUCT((Inputs!$E$5:$E$180=$B28)*ISNUMBER(INDEX(Inputs!$K$5:$AJ$180,0,MATCH(AC$2,Inputs!$K$4:$AJ$4,0))))=0,NA(),SUMPRODUCT((Inputs!$A$5:$A$180=$B28)*Inputs!$B$5:$B$180*(((Inputs!$G$5:$G$180="moeda")+(Inputs!$G$5:$G$180="acoes"))*Inputs!$B$1+((Inputs!$G$5:$G$180&lt;&gt;"moeda")*(Inputs!$G$5:$G$180&lt;&gt;"acoes")))*INDEX(Inputs!$K$5:$AJ$180,0,MATCH(AC$2,Inputs!$K$4:$AJ$4,0)))+SUMPRODUCT((Inputs!$C$5:$C$180=$B28)*Inputs!$D$5:$D$180*(((Inputs!$G$5:$G$180="moeda")+(Inputs!$G$5:$G$180="acoes"))*Inputs!$B$1+((Inputs!$G$5:$G$180&lt;&gt;"moeda")*(Inputs!$G$5:$G$180&lt;&gt;"acoes")))*INDEX(Inputs!$K$5:$AJ$180,0,MATCH(AC$2,Inputs!$K$4:$AJ$4,0)))+SUMPRODUCT((Inputs!$E$5:$E$180=$B28)*Inputs!$F$5:$F$180*(((Inputs!$G$5:$G$180="moeda")+(Inputs!$G$5:$G$180="acoes"))*Inputs!$B$1+((Inputs!$G$5:$G$180&lt;&gt;"moeda")*(Inputs!$G$5:$G$180&lt;&gt;"acoes")))*INDEX(Inputs!$K$5:$AJ$180,0,MATCH(AC$2,Inputs!$K$4:$AJ$4,0)))))</f>
        <v>733.299</v>
      </c>
      <c r="AD28" s="6">
        <f>IF(ISNA(MATCH(AD$2,Inputs!$K$4:$AJ$4,0)),NA(),IF(SUMPRODUCT((Inputs!$A$5:$A$180=$B28)*ISNUMBER(INDEX(Inputs!$K$5:$AJ$180,0,MATCH(AD$2,Inputs!$K$4:$AJ$4,0))))+SUMPRODUCT((Inputs!$C$5:$C$180=$B28)*ISNUMBER(INDEX(Inputs!$K$5:$AJ$180,0,MATCH(AD$2,Inputs!$K$4:$AJ$4,0))))+SUMPRODUCT((Inputs!$E$5:$E$180=$B28)*ISNUMBER(INDEX(Inputs!$K$5:$AJ$180,0,MATCH(AD$2,Inputs!$K$4:$AJ$4,0))))=0,NA(),SUMPRODUCT((Inputs!$A$5:$A$180=$B28)*Inputs!$B$5:$B$180*(((Inputs!$G$5:$G$180="moeda")+(Inputs!$G$5:$G$180="acoes"))*Inputs!$B$1+((Inputs!$G$5:$G$180&lt;&gt;"moeda")*(Inputs!$G$5:$G$180&lt;&gt;"acoes")))*INDEX(Inputs!$K$5:$AJ$180,0,MATCH(AD$2,Inputs!$K$4:$AJ$4,0)))+SUMPRODUCT((Inputs!$C$5:$C$180=$B28)*Inputs!$D$5:$D$180*(((Inputs!$G$5:$G$180="moeda")+(Inputs!$G$5:$G$180="acoes"))*Inputs!$B$1+((Inputs!$G$5:$G$180&lt;&gt;"moeda")*(Inputs!$G$5:$G$180&lt;&gt;"acoes")))*INDEX(Inputs!$K$5:$AJ$180,0,MATCH(AD$2,Inputs!$K$4:$AJ$4,0)))+SUMPRODUCT((Inputs!$E$5:$E$180=$B28)*Inputs!$F$5:$F$180*(((Inputs!$G$5:$G$180="moeda")+(Inputs!$G$5:$G$180="acoes"))*Inputs!$B$1+((Inputs!$G$5:$G$180&lt;&gt;"moeda")*(Inputs!$G$5:$G$180&lt;&gt;"acoes")))*INDEX(Inputs!$K$5:$AJ$180,0,MATCH(AD$2,Inputs!$K$4:$AJ$4,0)))))</f>
        <v>840.735</v>
      </c>
      <c r="AE28" s="6" t="e">
        <f>IF(ISNA(MATCH(AE$2,Inputs!$K$4:$AJ$4,0)),NA(),IF(SUMPRODUCT((Inputs!$A$5:$A$180=$B28)*ISNUMBER(INDEX(Inputs!$K$5:$AJ$180,0,MATCH(AE$2,Inputs!$K$4:$AJ$4,0))))+SUMPRODUCT((Inputs!$C$5:$C$180=$B28)*ISNUMBER(INDEX(Inputs!$K$5:$AJ$180,0,MATCH(AE$2,Inputs!$K$4:$AJ$4,0))))+SUMPRODUCT((Inputs!$E$5:$E$180=$B28)*ISNUMBER(INDEX(Inputs!$K$5:$AJ$180,0,MATCH(AE$2,Inputs!$K$4:$AJ$4,0))))=0,NA(),SUMPRODUCT((Inputs!$A$5:$A$180=$B28)*Inputs!$B$5:$B$180*(((Inputs!$G$5:$G$180="moeda")+(Inputs!$G$5:$G$180="acoes"))*Inputs!$B$1+((Inputs!$G$5:$G$180&lt;&gt;"moeda")*(Inputs!$G$5:$G$180&lt;&gt;"acoes")))*INDEX(Inputs!$K$5:$AJ$180,0,MATCH(AE$2,Inputs!$K$4:$AJ$4,0)))+SUMPRODUCT((Inputs!$C$5:$C$180=$B28)*Inputs!$D$5:$D$180*(((Inputs!$G$5:$G$180="moeda")+(Inputs!$G$5:$G$180="acoes"))*Inputs!$B$1+((Inputs!$G$5:$G$180&lt;&gt;"moeda")*(Inputs!$G$5:$G$180&lt;&gt;"acoes")))*INDEX(Inputs!$K$5:$AJ$180,0,MATCH(AE$2,Inputs!$K$4:$AJ$4,0)))+SUMPRODUCT((Inputs!$E$5:$E$180=$B28)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8" s="6" t="e">
        <f>IF(ISNA(MATCH(AF$2,Inputs!$K$4:$AJ$4,0)),NA(),IF(SUMPRODUCT((Inputs!$A$5:$A$180=$B28)*ISNUMBER(INDEX(Inputs!$K$5:$AJ$180,0,MATCH(AF$2,Inputs!$K$4:$AJ$4,0))))+SUMPRODUCT((Inputs!$C$5:$C$180=$B28)*ISNUMBER(INDEX(Inputs!$K$5:$AJ$180,0,MATCH(AF$2,Inputs!$K$4:$AJ$4,0))))+SUMPRODUCT((Inputs!$E$5:$E$180=$B28)*ISNUMBER(INDEX(Inputs!$K$5:$AJ$180,0,MATCH(AF$2,Inputs!$K$4:$AJ$4,0))))=0,NA(),SUMPRODUCT((Inputs!$A$5:$A$180=$B28)*Inputs!$B$5:$B$180*(((Inputs!$G$5:$G$180="moeda")+(Inputs!$G$5:$G$180="acoes"))*Inputs!$B$1+((Inputs!$G$5:$G$180&lt;&gt;"moeda")*(Inputs!$G$5:$G$180&lt;&gt;"acoes")))*INDEX(Inputs!$K$5:$AJ$180,0,MATCH(AF$2,Inputs!$K$4:$AJ$4,0)))+SUMPRODUCT((Inputs!$C$5:$C$180=$B28)*Inputs!$D$5:$D$180*(((Inputs!$G$5:$G$180="moeda")+(Inputs!$G$5:$G$180="acoes"))*Inputs!$B$1+((Inputs!$G$5:$G$180&lt;&gt;"moeda")*(Inputs!$G$5:$G$180&lt;&gt;"acoes")))*INDEX(Inputs!$K$5:$AJ$180,0,MATCH(AF$2,Inputs!$K$4:$AJ$4,0)))+SUMPRODUCT((Inputs!$E$5:$E$180=$B28)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8" s="3" t="e">
        <f>AF28</f>
        <v>#N/A</v>
      </c>
      <c r="AH28" s="6">
        <f>IF(ISNA(MATCH(AH$2,Inputs!$K$4:$AJ$4,0)),NA(),IF(SUMPRODUCT((Inputs!$A$5:$A$180=$B28)*ISNUMBER(INDEX(Inputs!$K$5:$AJ$180,0,MATCH(AH$2,Inputs!$K$4:$AJ$4,0))))+SUMPRODUCT((Inputs!$C$5:$C$180=$B28)*ISNUMBER(INDEX(Inputs!$K$5:$AJ$180,0,MATCH(AH$2,Inputs!$K$4:$AJ$4,0))))+SUMPRODUCT((Inputs!$E$5:$E$180=$B28)*ISNUMBER(INDEX(Inputs!$K$5:$AJ$180,0,MATCH(AH$2,Inputs!$K$4:$AJ$4,0))))=0,NA(),SUMPRODUCT((Inputs!$A$5:$A$180=$B28)*Inputs!$B$5:$B$180*(((Inputs!$G$5:$G$180="moeda")+(Inputs!$G$5:$G$180="acoes"))*Inputs!$B$1+((Inputs!$G$5:$G$180&lt;&gt;"moeda")*(Inputs!$G$5:$G$180&lt;&gt;"acoes")))*INDEX(Inputs!$K$5:$AJ$180,0,MATCH(AH$2,Inputs!$K$4:$AJ$4,0)))+SUMPRODUCT((Inputs!$C$5:$C$180=$B28)*Inputs!$D$5:$D$180*(((Inputs!$G$5:$G$180="moeda")+(Inputs!$G$5:$G$180="acoes"))*Inputs!$B$1+((Inputs!$G$5:$G$180&lt;&gt;"moeda")*(Inputs!$G$5:$G$180&lt;&gt;"acoes")))*INDEX(Inputs!$K$5:$AJ$180,0,MATCH(AH$2,Inputs!$K$4:$AJ$4,0)))+SUMPRODUCT((Inputs!$E$5:$E$180=$B28)*Inputs!$F$5:$F$180*(((Inputs!$G$5:$G$180="moeda")+(Inputs!$G$5:$G$180="acoes"))*Inputs!$B$1+((Inputs!$G$5:$G$180&lt;&gt;"moeda")*(Inputs!$G$5:$G$180&lt;&gt;"acoes")))*INDEX(Inputs!$K$5:$AJ$180,0,MATCH(AH$2,Inputs!$K$4:$AJ$4,0)))))</f>
        <v>178.57823267</v>
      </c>
      <c r="AI28" s="6">
        <f>IF(ISNA(MATCH(AI$2,Inputs!$K$4:$AJ$4,0)),NA(),IF(SUMPRODUCT((Inputs!$A$5:$A$180=$B28)*ISNUMBER(INDEX(Inputs!$K$5:$AJ$180,0,MATCH(AI$2,Inputs!$K$4:$AJ$4,0))))+SUMPRODUCT((Inputs!$C$5:$C$180=$B28)*ISNUMBER(INDEX(Inputs!$K$5:$AJ$180,0,MATCH(AI$2,Inputs!$K$4:$AJ$4,0))))+SUMPRODUCT((Inputs!$E$5:$E$180=$B28)*ISNUMBER(INDEX(Inputs!$K$5:$AJ$180,0,MATCH(AI$2,Inputs!$K$4:$AJ$4,0))))=0,NA(),SUMPRODUCT((Inputs!$A$5:$A$180=$B28)*Inputs!$B$5:$B$180*(((Inputs!$G$5:$G$180="moeda")+(Inputs!$G$5:$G$180="acoes"))*Inputs!$B$1+((Inputs!$G$5:$G$180&lt;&gt;"moeda")*(Inputs!$G$5:$G$180&lt;&gt;"acoes")))*INDEX(Inputs!$K$5:$AJ$180,0,MATCH(AI$2,Inputs!$K$4:$AJ$4,0)))+SUMPRODUCT((Inputs!$C$5:$C$180=$B28)*Inputs!$D$5:$D$180*(((Inputs!$G$5:$G$180="moeda")+(Inputs!$G$5:$G$180="acoes"))*Inputs!$B$1+((Inputs!$G$5:$G$180&lt;&gt;"moeda")*(Inputs!$G$5:$G$180&lt;&gt;"acoes")))*INDEX(Inputs!$K$5:$AJ$180,0,MATCH(AI$2,Inputs!$K$4:$AJ$4,0)))+SUMPRODUCT((Inputs!$E$5:$E$180=$B28)*Inputs!$F$5:$F$180*(((Inputs!$G$5:$G$180="moeda")+(Inputs!$G$5:$G$180="acoes"))*Inputs!$B$1+((Inputs!$G$5:$G$180&lt;&gt;"moeda")*(Inputs!$G$5:$G$180&lt;&gt;"acoes")))*INDEX(Inputs!$K$5:$AJ$180,0,MATCH(AI$2,Inputs!$K$4:$AJ$4,0)))))</f>
        <v>162.59514476</v>
      </c>
      <c r="AJ28" s="6">
        <f>IF(ISNA(MATCH(AJ$2,Inputs!$K$4:$AJ$4,0)),NA(),IF(SUMPRODUCT((Inputs!$A$5:$A$180=$B28)*ISNUMBER(INDEX(Inputs!$K$5:$AJ$180,0,MATCH(AJ$2,Inputs!$K$4:$AJ$4,0))))+SUMPRODUCT((Inputs!$C$5:$C$180=$B28)*ISNUMBER(INDEX(Inputs!$K$5:$AJ$180,0,MATCH(AJ$2,Inputs!$K$4:$AJ$4,0))))+SUMPRODUCT((Inputs!$E$5:$E$180=$B28)*ISNUMBER(INDEX(Inputs!$K$5:$AJ$180,0,MATCH(AJ$2,Inputs!$K$4:$AJ$4,0))))=0,NA(),SUMPRODUCT((Inputs!$A$5:$A$180=$B28)*Inputs!$B$5:$B$180*(((Inputs!$G$5:$G$180="moeda")+(Inputs!$G$5:$G$180="acoes"))*Inputs!$B$1+((Inputs!$G$5:$G$180&lt;&gt;"moeda")*(Inputs!$G$5:$G$180&lt;&gt;"acoes")))*INDEX(Inputs!$K$5:$AJ$180,0,MATCH(AJ$2,Inputs!$K$4:$AJ$4,0)))+SUMPRODUCT((Inputs!$C$5:$C$180=$B28)*Inputs!$D$5:$D$180*(((Inputs!$G$5:$G$180="moeda")+(Inputs!$G$5:$G$180="acoes"))*Inputs!$B$1+((Inputs!$G$5:$G$180&lt;&gt;"moeda")*(Inputs!$G$5:$G$180&lt;&gt;"acoes")))*INDEX(Inputs!$K$5:$AJ$180,0,MATCH(AJ$2,Inputs!$K$4:$AJ$4,0)))+SUMPRODUCT((Inputs!$E$5:$E$180=$B28)*Inputs!$F$5:$F$180*(((Inputs!$G$5:$G$180="moeda")+(Inputs!$G$5:$G$180="acoes"))*Inputs!$B$1+((Inputs!$G$5:$G$180&lt;&gt;"moeda")*(Inputs!$G$5:$G$180&lt;&gt;"acoes")))*INDEX(Inputs!$K$5:$AJ$180,0,MATCH(AJ$2,Inputs!$K$4:$AJ$4,0)))))</f>
        <v>196.96674689</v>
      </c>
      <c r="AK28" s="6">
        <f>IF(ISNA(MATCH(AK$2,Inputs!$K$4:$AJ$4,0)),NA(),IF(SUMPRODUCT((Inputs!$A$5:$A$180=$B28)*ISNUMBER(INDEX(Inputs!$K$5:$AJ$180,0,MATCH(AK$2,Inputs!$K$4:$AJ$4,0))))+SUMPRODUCT((Inputs!$C$5:$C$180=$B28)*ISNUMBER(INDEX(Inputs!$K$5:$AJ$180,0,MATCH(AK$2,Inputs!$K$4:$AJ$4,0))))+SUMPRODUCT((Inputs!$E$5:$E$180=$B28)*ISNUMBER(INDEX(Inputs!$K$5:$AJ$180,0,MATCH(AK$2,Inputs!$K$4:$AJ$4,0))))=0,NA(),SUMPRODUCT((Inputs!$A$5:$A$180=$B28)*Inputs!$B$5:$B$180*(((Inputs!$G$5:$G$180="moeda")+(Inputs!$G$5:$G$180="acoes"))*Inputs!$B$1+((Inputs!$G$5:$G$180&lt;&gt;"moeda")*(Inputs!$G$5:$G$180&lt;&gt;"acoes")))*INDEX(Inputs!$K$5:$AJ$180,0,MATCH(AK$2,Inputs!$K$4:$AJ$4,0)))+SUMPRODUCT((Inputs!$C$5:$C$180=$B28)*Inputs!$D$5:$D$180*(((Inputs!$G$5:$G$180="moeda")+(Inputs!$G$5:$G$180="acoes"))*Inputs!$B$1+((Inputs!$G$5:$G$180&lt;&gt;"moeda")*(Inputs!$G$5:$G$180&lt;&gt;"acoes")))*INDEX(Inputs!$K$5:$AJ$180,0,MATCH(AK$2,Inputs!$K$4:$AJ$4,0)))+SUMPRODUCT((Inputs!$E$5:$E$180=$B28)*Inputs!$F$5:$F$180*(((Inputs!$G$5:$G$180="moeda")+(Inputs!$G$5:$G$180="acoes"))*Inputs!$B$1+((Inputs!$G$5:$G$180&lt;&gt;"moeda")*(Inputs!$G$5:$G$180&lt;&gt;"acoes")))*INDEX(Inputs!$K$5:$AJ$180,0,MATCH(AK$2,Inputs!$K$4:$AJ$4,0)))))</f>
        <v>250.45905831</v>
      </c>
      <c r="AL28" s="3">
        <f>AK28</f>
        <v>250.45905831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$180=$B29)*ISNUMBER(INDEX(Inputs!$K$5:$AJ$180,0,MATCH(D$2,Inputs!$K$4:$AJ$4,0))))+SUMPRODUCT((Inputs!$C$5:$C$180=$B29)*ISNUMBER(INDEX(Inputs!$K$5:$AJ$180,0,MATCH(D$2,Inputs!$K$4:$AJ$4,0))))+SUMPRODUCT((Inputs!$E$5:$E$180=$B29)*ISNUMBER(INDEX(Inputs!$K$5:$AJ$180,0,MATCH(D$2,Inputs!$K$4:$AJ$4,0))))=0,NA(),SUMPRODUCT((Inputs!$A$5:$A$180=$B29)*Inputs!$B$5:$B$180*(((Inputs!$G$5:$G$180="moeda")+(Inputs!$G$5:$G$180="acoes"))*Inputs!$B$1+((Inputs!$G$5:$G$180&lt;&gt;"moeda")*(Inputs!$G$5:$G$180&lt;&gt;"acoes")))*INDEX(Inputs!$K$5:$AJ$180,0,MATCH(D$2,Inputs!$K$4:$AJ$4,0)))+SUMPRODUCT((Inputs!$C$5:$C$180=$B29)*Inputs!$D$5:$D$180*(((Inputs!$G$5:$G$180="moeda")+(Inputs!$G$5:$G$180="acoes"))*Inputs!$B$1+((Inputs!$G$5:$G$180&lt;&gt;"moeda")*(Inputs!$G$5:$G$180&lt;&gt;"acoes")))*INDEX(Inputs!$K$5:$AJ$180,0,MATCH(D$2,Inputs!$K$4:$AJ$4,0)))+SUMPRODUCT((Inputs!$E$5:$E$180=$B29)*Inputs!$F$5:$F$180*(((Inputs!$G$5:$G$180="moeda")+(Inputs!$G$5:$G$180="acoes"))*Inputs!$B$1+((Inputs!$G$5:$G$180&lt;&gt;"moeda")*(Inputs!$G$5:$G$180&lt;&gt;"acoes")))*INDEX(Inputs!$K$5:$AJ$180,0,MATCH(D$2,Inputs!$K$4:$AJ$4,0)))))</f>
        <v>129.77137318</v>
      </c>
      <c r="E29" s="6">
        <f>IF(ISNA(MATCH(E$2,Inputs!$K$4:$AJ$4,0)),NA(),IF(SUMPRODUCT((Inputs!$A$5:$A$180=$B29)*ISNUMBER(INDEX(Inputs!$K$5:$AJ$180,0,MATCH(E$2,Inputs!$K$4:$AJ$4,0))))+SUMPRODUCT((Inputs!$C$5:$C$180=$B29)*ISNUMBER(INDEX(Inputs!$K$5:$AJ$180,0,MATCH(E$2,Inputs!$K$4:$AJ$4,0))))+SUMPRODUCT((Inputs!$E$5:$E$180=$B29)*ISNUMBER(INDEX(Inputs!$K$5:$AJ$180,0,MATCH(E$2,Inputs!$K$4:$AJ$4,0))))=0,NA(),SUMPRODUCT((Inputs!$A$5:$A$180=$B29)*Inputs!$B$5:$B$180*(((Inputs!$G$5:$G$180="moeda")+(Inputs!$G$5:$G$180="acoes"))*Inputs!$B$1+((Inputs!$G$5:$G$180&lt;&gt;"moeda")*(Inputs!$G$5:$G$180&lt;&gt;"acoes")))*INDEX(Inputs!$K$5:$AJ$180,0,MATCH(E$2,Inputs!$K$4:$AJ$4,0)))+SUMPRODUCT((Inputs!$C$5:$C$180=$B29)*Inputs!$D$5:$D$180*(((Inputs!$G$5:$G$180="moeda")+(Inputs!$G$5:$G$180="acoes"))*Inputs!$B$1+((Inputs!$G$5:$G$180&lt;&gt;"moeda")*(Inputs!$G$5:$G$180&lt;&gt;"acoes")))*INDEX(Inputs!$K$5:$AJ$180,0,MATCH(E$2,Inputs!$K$4:$AJ$4,0)))+SUMPRODUCT((Inputs!$E$5:$E$180=$B29)*Inputs!$F$5:$F$180*(((Inputs!$G$5:$G$180="moeda")+(Inputs!$G$5:$G$180="acoes"))*Inputs!$B$1+((Inputs!$G$5:$G$180&lt;&gt;"moeda")*(Inputs!$G$5:$G$180&lt;&gt;"acoes")))*INDEX(Inputs!$K$5:$AJ$180,0,MATCH(E$2,Inputs!$K$4:$AJ$4,0)))))</f>
        <v>179.05014977</v>
      </c>
      <c r="F29" s="6">
        <f>IF(ISNA(MATCH(F$2,Inputs!$K$4:$AJ$4,0)),NA(),IF(SUMPRODUCT((Inputs!$A$5:$A$180=$B29)*ISNUMBER(INDEX(Inputs!$K$5:$AJ$180,0,MATCH(F$2,Inputs!$K$4:$AJ$4,0))))+SUMPRODUCT((Inputs!$C$5:$C$180=$B29)*ISNUMBER(INDEX(Inputs!$K$5:$AJ$180,0,MATCH(F$2,Inputs!$K$4:$AJ$4,0))))+SUMPRODUCT((Inputs!$E$5:$E$180=$B29)*ISNUMBER(INDEX(Inputs!$K$5:$AJ$180,0,MATCH(F$2,Inputs!$K$4:$AJ$4,0))))=0,NA(),SUMPRODUCT((Inputs!$A$5:$A$180=$B29)*Inputs!$B$5:$B$180*(((Inputs!$G$5:$G$180="moeda")+(Inputs!$G$5:$G$180="acoes"))*Inputs!$B$1+((Inputs!$G$5:$G$180&lt;&gt;"moeda")*(Inputs!$G$5:$G$180&lt;&gt;"acoes")))*INDEX(Inputs!$K$5:$AJ$180,0,MATCH(F$2,Inputs!$K$4:$AJ$4,0)))+SUMPRODUCT((Inputs!$C$5:$C$180=$B29)*Inputs!$D$5:$D$180*(((Inputs!$G$5:$G$180="moeda")+(Inputs!$G$5:$G$180="acoes"))*Inputs!$B$1+((Inputs!$G$5:$G$180&lt;&gt;"moeda")*(Inputs!$G$5:$G$180&lt;&gt;"acoes")))*INDEX(Inputs!$K$5:$AJ$180,0,MATCH(F$2,Inputs!$K$4:$AJ$4,0)))+SUMPRODUCT((Inputs!$E$5:$E$180=$B29)*Inputs!$F$5:$F$180*(((Inputs!$G$5:$G$180="moeda")+(Inputs!$G$5:$G$180="acoes"))*Inputs!$B$1+((Inputs!$G$5:$G$180&lt;&gt;"moeda")*(Inputs!$G$5:$G$180&lt;&gt;"acoes")))*INDEX(Inputs!$K$5:$AJ$180,0,MATCH(F$2,Inputs!$K$4:$AJ$4,0)))))</f>
        <v>218.24255644</v>
      </c>
      <c r="G29" s="6">
        <f>IF(ISNA(MATCH(G$2,Inputs!$K$4:$AJ$4,0)),NA(),IF(SUMPRODUCT((Inputs!$A$5:$A$180=$B29)*ISNUMBER(INDEX(Inputs!$K$5:$AJ$180,0,MATCH(G$2,Inputs!$K$4:$AJ$4,0))))+SUMPRODUCT((Inputs!$C$5:$C$180=$B29)*ISNUMBER(INDEX(Inputs!$K$5:$AJ$180,0,MATCH(G$2,Inputs!$K$4:$AJ$4,0))))+SUMPRODUCT((Inputs!$E$5:$E$180=$B29)*ISNUMBER(INDEX(Inputs!$K$5:$AJ$180,0,MATCH(G$2,Inputs!$K$4:$AJ$4,0))))=0,NA(),SUMPRODUCT((Inputs!$A$5:$A$180=$B29)*Inputs!$B$5:$B$180*(((Inputs!$G$5:$G$180="moeda")+(Inputs!$G$5:$G$180="acoes"))*Inputs!$B$1+((Inputs!$G$5:$G$180&lt;&gt;"moeda")*(Inputs!$G$5:$G$180&lt;&gt;"acoes")))*INDEX(Inputs!$K$5:$AJ$180,0,MATCH(G$2,Inputs!$K$4:$AJ$4,0)))+SUMPRODUCT((Inputs!$C$5:$C$180=$B29)*Inputs!$D$5:$D$180*(((Inputs!$G$5:$G$180="moeda")+(Inputs!$G$5:$G$180="acoes"))*Inputs!$B$1+((Inputs!$G$5:$G$180&lt;&gt;"moeda")*(Inputs!$G$5:$G$180&lt;&gt;"acoes")))*INDEX(Inputs!$K$5:$AJ$180,0,MATCH(G$2,Inputs!$K$4:$AJ$4,0)))+SUMPRODUCT((Inputs!$E$5:$E$180=$B29)*Inputs!$F$5:$F$180*(((Inputs!$G$5:$G$180="moeda")+(Inputs!$G$5:$G$180="acoes"))*Inputs!$B$1+((Inputs!$G$5:$G$180&lt;&gt;"moeda")*(Inputs!$G$5:$G$180&lt;&gt;"acoes")))*INDEX(Inputs!$K$5:$AJ$180,0,MATCH(G$2,Inputs!$K$4:$AJ$4,0)))))</f>
        <v>202.16819922</v>
      </c>
      <c r="H29" s="3">
        <f>G29</f>
        <v>202.16819922</v>
      </c>
      <c r="I29" s="6">
        <f>IF(ISNA(MATCH(I$2,Inputs!$K$4:$AJ$4,0)),NA(),IF(SUMPRODUCT((Inputs!$A$5:$A$180=$B29)*ISNUMBER(INDEX(Inputs!$K$5:$AJ$180,0,MATCH(I$2,Inputs!$K$4:$AJ$4,0))))+SUMPRODUCT((Inputs!$C$5:$C$180=$B29)*ISNUMBER(INDEX(Inputs!$K$5:$AJ$180,0,MATCH(I$2,Inputs!$K$4:$AJ$4,0))))+SUMPRODUCT((Inputs!$E$5:$E$180=$B29)*ISNUMBER(INDEX(Inputs!$K$5:$AJ$180,0,MATCH(I$2,Inputs!$K$4:$AJ$4,0))))=0,NA(),SUMPRODUCT((Inputs!$A$5:$A$180=$B29)*Inputs!$B$5:$B$180*(((Inputs!$G$5:$G$180="moeda")+(Inputs!$G$5:$G$180="acoes"))*Inputs!$B$1+((Inputs!$G$5:$G$180&lt;&gt;"moeda")*(Inputs!$G$5:$G$180&lt;&gt;"acoes")))*INDEX(Inputs!$K$5:$AJ$180,0,MATCH(I$2,Inputs!$K$4:$AJ$4,0)))+SUMPRODUCT((Inputs!$C$5:$C$180=$B29)*Inputs!$D$5:$D$180*(((Inputs!$G$5:$G$180="moeda")+(Inputs!$G$5:$G$180="acoes"))*Inputs!$B$1+((Inputs!$G$5:$G$180&lt;&gt;"moeda")*(Inputs!$G$5:$G$180&lt;&gt;"acoes")))*INDEX(Inputs!$K$5:$AJ$180,0,MATCH(I$2,Inputs!$K$4:$AJ$4,0)))+SUMPRODUCT((Inputs!$E$5:$E$180=$B29)*Inputs!$F$5:$F$180*(((Inputs!$G$5:$G$180="moeda")+(Inputs!$G$5:$G$180="acoes"))*Inputs!$B$1+((Inputs!$G$5:$G$180&lt;&gt;"moeda")*(Inputs!$G$5:$G$180&lt;&gt;"acoes")))*INDEX(Inputs!$K$5:$AJ$180,0,MATCH(I$2,Inputs!$K$4:$AJ$4,0)))))</f>
        <v>172.71857732</v>
      </c>
      <c r="J29" s="6">
        <f>IF(ISNA(MATCH(J$2,Inputs!$K$4:$AJ$4,0)),NA(),IF(SUMPRODUCT((Inputs!$A$5:$A$180=$B29)*ISNUMBER(INDEX(Inputs!$K$5:$AJ$180,0,MATCH(J$2,Inputs!$K$4:$AJ$4,0))))+SUMPRODUCT((Inputs!$C$5:$C$180=$B29)*ISNUMBER(INDEX(Inputs!$K$5:$AJ$180,0,MATCH(J$2,Inputs!$K$4:$AJ$4,0))))+SUMPRODUCT((Inputs!$E$5:$E$180=$B29)*ISNUMBER(INDEX(Inputs!$K$5:$AJ$180,0,MATCH(J$2,Inputs!$K$4:$AJ$4,0))))=0,NA(),SUMPRODUCT((Inputs!$A$5:$A$180=$B29)*Inputs!$B$5:$B$180*(((Inputs!$G$5:$G$180="moeda")+(Inputs!$G$5:$G$180="acoes"))*Inputs!$B$1+((Inputs!$G$5:$G$180&lt;&gt;"moeda")*(Inputs!$G$5:$G$180&lt;&gt;"acoes")))*INDEX(Inputs!$K$5:$AJ$180,0,MATCH(J$2,Inputs!$K$4:$AJ$4,0)))+SUMPRODUCT((Inputs!$C$5:$C$180=$B29)*Inputs!$D$5:$D$180*(((Inputs!$G$5:$G$180="moeda")+(Inputs!$G$5:$G$180="acoes"))*Inputs!$B$1+((Inputs!$G$5:$G$180&lt;&gt;"moeda")*(Inputs!$G$5:$G$180&lt;&gt;"acoes")))*INDEX(Inputs!$K$5:$AJ$180,0,MATCH(J$2,Inputs!$K$4:$AJ$4,0)))+SUMPRODUCT((Inputs!$E$5:$E$180=$B29)*Inputs!$F$5:$F$180*(((Inputs!$G$5:$G$180="moeda")+(Inputs!$G$5:$G$180="acoes"))*Inputs!$B$1+((Inputs!$G$5:$G$180&lt;&gt;"moeda")*(Inputs!$G$5:$G$180&lt;&gt;"acoes")))*INDEX(Inputs!$K$5:$AJ$180,0,MATCH(J$2,Inputs!$K$4:$AJ$4,0)))))</f>
        <v>210.8868834</v>
      </c>
      <c r="K29" s="6">
        <f>IF(ISNA(MATCH(K$2,Inputs!$K$4:$AJ$4,0)),NA(),IF(SUMPRODUCT((Inputs!$A$5:$A$180=$B29)*ISNUMBER(INDEX(Inputs!$K$5:$AJ$180,0,MATCH(K$2,Inputs!$K$4:$AJ$4,0))))+SUMPRODUCT((Inputs!$C$5:$C$180=$B29)*ISNUMBER(INDEX(Inputs!$K$5:$AJ$180,0,MATCH(K$2,Inputs!$K$4:$AJ$4,0))))+SUMPRODUCT((Inputs!$E$5:$E$180=$B29)*ISNUMBER(INDEX(Inputs!$K$5:$AJ$180,0,MATCH(K$2,Inputs!$K$4:$AJ$4,0))))=0,NA(),SUMPRODUCT((Inputs!$A$5:$A$180=$B29)*Inputs!$B$5:$B$180*(((Inputs!$G$5:$G$180="moeda")+(Inputs!$G$5:$G$180="acoes"))*Inputs!$B$1+((Inputs!$G$5:$G$180&lt;&gt;"moeda")*(Inputs!$G$5:$G$180&lt;&gt;"acoes")))*INDEX(Inputs!$K$5:$AJ$180,0,MATCH(K$2,Inputs!$K$4:$AJ$4,0)))+SUMPRODUCT((Inputs!$C$5:$C$180=$B29)*Inputs!$D$5:$D$180*(((Inputs!$G$5:$G$180="moeda")+(Inputs!$G$5:$G$180="acoes"))*Inputs!$B$1+((Inputs!$G$5:$G$180&lt;&gt;"moeda")*(Inputs!$G$5:$G$180&lt;&gt;"acoes")))*INDEX(Inputs!$K$5:$AJ$180,0,MATCH(K$2,Inputs!$K$4:$AJ$4,0)))+SUMPRODUCT((Inputs!$E$5:$E$180=$B29)*Inputs!$F$5:$F$180*(((Inputs!$G$5:$G$180="moeda")+(Inputs!$G$5:$G$180="acoes"))*Inputs!$B$1+((Inputs!$G$5:$G$180&lt;&gt;"moeda")*(Inputs!$G$5:$G$180&lt;&gt;"acoes")))*INDEX(Inputs!$K$5:$AJ$180,0,MATCH(K$2,Inputs!$K$4:$AJ$4,0)))))</f>
        <v>241.1555246</v>
      </c>
      <c r="L29" s="6">
        <f>IF(ISNA(MATCH(L$2,Inputs!$K$4:$AJ$4,0)),NA(),IF(SUMPRODUCT((Inputs!$A$5:$A$180=$B29)*ISNUMBER(INDEX(Inputs!$K$5:$AJ$180,0,MATCH(L$2,Inputs!$K$4:$AJ$4,0))))+SUMPRODUCT((Inputs!$C$5:$C$180=$B29)*ISNUMBER(INDEX(Inputs!$K$5:$AJ$180,0,MATCH(L$2,Inputs!$K$4:$AJ$4,0))))+SUMPRODUCT((Inputs!$E$5:$E$180=$B29)*ISNUMBER(INDEX(Inputs!$K$5:$AJ$180,0,MATCH(L$2,Inputs!$K$4:$AJ$4,0))))=0,NA(),SUMPRODUCT((Inputs!$A$5:$A$180=$B29)*Inputs!$B$5:$B$180*(((Inputs!$G$5:$G$180="moeda")+(Inputs!$G$5:$G$180="acoes"))*Inputs!$B$1+((Inputs!$G$5:$G$180&lt;&gt;"moeda")*(Inputs!$G$5:$G$180&lt;&gt;"acoes")))*INDEX(Inputs!$K$5:$AJ$180,0,MATCH(L$2,Inputs!$K$4:$AJ$4,0)))+SUMPRODUCT((Inputs!$C$5:$C$180=$B29)*Inputs!$D$5:$D$180*(((Inputs!$G$5:$G$180="moeda")+(Inputs!$G$5:$G$180="acoes"))*Inputs!$B$1+((Inputs!$G$5:$G$180&lt;&gt;"moeda")*(Inputs!$G$5:$G$180&lt;&gt;"acoes")))*INDEX(Inputs!$K$5:$AJ$180,0,MATCH(L$2,Inputs!$K$4:$AJ$4,0)))+SUMPRODUCT((Inputs!$E$5:$E$180=$B29)*Inputs!$F$5:$F$180*(((Inputs!$G$5:$G$180="moeda")+(Inputs!$G$5:$G$180="acoes"))*Inputs!$B$1+((Inputs!$G$5:$G$180&lt;&gt;"moeda")*(Inputs!$G$5:$G$180&lt;&gt;"acoes")))*INDEX(Inputs!$K$5:$AJ$180,0,MATCH(L$2,Inputs!$K$4:$AJ$4,0)))))</f>
        <v>227.60029686</v>
      </c>
      <c r="M29" s="3">
        <f>L29</f>
        <v>227.60029686</v>
      </c>
      <c r="N29" s="6">
        <f>IF(ISNA(MATCH(N$2,Inputs!$K$4:$AJ$4,0)),NA(),IF(SUMPRODUCT((Inputs!$A$5:$A$180=$B29)*ISNUMBER(INDEX(Inputs!$K$5:$AJ$180,0,MATCH(N$2,Inputs!$K$4:$AJ$4,0))))+SUMPRODUCT((Inputs!$C$5:$C$180=$B29)*ISNUMBER(INDEX(Inputs!$K$5:$AJ$180,0,MATCH(N$2,Inputs!$K$4:$AJ$4,0))))+SUMPRODUCT((Inputs!$E$5:$E$180=$B29)*ISNUMBER(INDEX(Inputs!$K$5:$AJ$180,0,MATCH(N$2,Inputs!$K$4:$AJ$4,0))))=0,NA(),SUMPRODUCT((Inputs!$A$5:$A$180=$B29)*Inputs!$B$5:$B$180*(((Inputs!$G$5:$G$180="moeda")+(Inputs!$G$5:$G$180="acoes"))*Inputs!$B$1+((Inputs!$G$5:$G$180&lt;&gt;"moeda")*(Inputs!$G$5:$G$180&lt;&gt;"acoes")))*INDEX(Inputs!$K$5:$AJ$180,0,MATCH(N$2,Inputs!$K$4:$AJ$4,0)))+SUMPRODUCT((Inputs!$C$5:$C$180=$B29)*Inputs!$D$5:$D$180*(((Inputs!$G$5:$G$180="moeda")+(Inputs!$G$5:$G$180="acoes"))*Inputs!$B$1+((Inputs!$G$5:$G$180&lt;&gt;"moeda")*(Inputs!$G$5:$G$180&lt;&gt;"acoes")))*INDEX(Inputs!$K$5:$AJ$180,0,MATCH(N$2,Inputs!$K$4:$AJ$4,0)))+SUMPRODUCT((Inputs!$E$5:$E$180=$B29)*Inputs!$F$5:$F$180*(((Inputs!$G$5:$G$180="moeda")+(Inputs!$G$5:$G$180="acoes"))*Inputs!$B$1+((Inputs!$G$5:$G$180&lt;&gt;"moeda")*(Inputs!$G$5:$G$180&lt;&gt;"acoes")))*INDEX(Inputs!$K$5:$AJ$180,0,MATCH(N$2,Inputs!$K$4:$AJ$4,0)))))</f>
        <v>191.55423713</v>
      </c>
      <c r="O29" s="6">
        <f>IF(ISNA(MATCH(O$2,Inputs!$K$4:$AJ$4,0)),NA(),IF(SUMPRODUCT((Inputs!$A$5:$A$180=$B29)*ISNUMBER(INDEX(Inputs!$K$5:$AJ$180,0,MATCH(O$2,Inputs!$K$4:$AJ$4,0))))+SUMPRODUCT((Inputs!$C$5:$C$180=$B29)*ISNUMBER(INDEX(Inputs!$K$5:$AJ$180,0,MATCH(O$2,Inputs!$K$4:$AJ$4,0))))+SUMPRODUCT((Inputs!$E$5:$E$180=$B29)*ISNUMBER(INDEX(Inputs!$K$5:$AJ$180,0,MATCH(O$2,Inputs!$K$4:$AJ$4,0))))=0,NA(),SUMPRODUCT((Inputs!$A$5:$A$180=$B29)*Inputs!$B$5:$B$180*(((Inputs!$G$5:$G$180="moeda")+(Inputs!$G$5:$G$180="acoes"))*Inputs!$B$1+((Inputs!$G$5:$G$180&lt;&gt;"moeda")*(Inputs!$G$5:$G$180&lt;&gt;"acoes")))*INDEX(Inputs!$K$5:$AJ$180,0,MATCH(O$2,Inputs!$K$4:$AJ$4,0)))+SUMPRODUCT((Inputs!$C$5:$C$180=$B29)*Inputs!$D$5:$D$180*(((Inputs!$G$5:$G$180="moeda")+(Inputs!$G$5:$G$180="acoes"))*Inputs!$B$1+((Inputs!$G$5:$G$180&lt;&gt;"moeda")*(Inputs!$G$5:$G$180&lt;&gt;"acoes")))*INDEX(Inputs!$K$5:$AJ$180,0,MATCH(O$2,Inputs!$K$4:$AJ$4,0)))+SUMPRODUCT((Inputs!$E$5:$E$180=$B29)*Inputs!$F$5:$F$180*(((Inputs!$G$5:$G$180="moeda")+(Inputs!$G$5:$G$180="acoes"))*Inputs!$B$1+((Inputs!$G$5:$G$180&lt;&gt;"moeda")*(Inputs!$G$5:$G$180&lt;&gt;"acoes")))*INDEX(Inputs!$K$5:$AJ$180,0,MATCH(O$2,Inputs!$K$4:$AJ$4,0)))))</f>
        <v>328.937</v>
      </c>
      <c r="P29" s="6">
        <f>IF(ISNA(MATCH(P$2,Inputs!$K$4:$AJ$4,0)),NA(),IF(SUMPRODUCT((Inputs!$A$5:$A$180=$B29)*ISNUMBER(INDEX(Inputs!$K$5:$AJ$180,0,MATCH(P$2,Inputs!$K$4:$AJ$4,0))))+SUMPRODUCT((Inputs!$C$5:$C$180=$B29)*ISNUMBER(INDEX(Inputs!$K$5:$AJ$180,0,MATCH(P$2,Inputs!$K$4:$AJ$4,0))))+SUMPRODUCT((Inputs!$E$5:$E$180=$B29)*ISNUMBER(INDEX(Inputs!$K$5:$AJ$180,0,MATCH(P$2,Inputs!$K$4:$AJ$4,0))))=0,NA(),SUMPRODUCT((Inputs!$A$5:$A$180=$B29)*Inputs!$B$5:$B$180*(((Inputs!$G$5:$G$180="moeda")+(Inputs!$G$5:$G$180="acoes"))*Inputs!$B$1+((Inputs!$G$5:$G$180&lt;&gt;"moeda")*(Inputs!$G$5:$G$180&lt;&gt;"acoes")))*INDEX(Inputs!$K$5:$AJ$180,0,MATCH(P$2,Inputs!$K$4:$AJ$4,0)))+SUMPRODUCT((Inputs!$C$5:$C$180=$B29)*Inputs!$D$5:$D$180*(((Inputs!$G$5:$G$180="moeda")+(Inputs!$G$5:$G$180="acoes"))*Inputs!$B$1+((Inputs!$G$5:$G$180&lt;&gt;"moeda")*(Inputs!$G$5:$G$180&lt;&gt;"acoes")))*INDEX(Inputs!$K$5:$AJ$180,0,MATCH(P$2,Inputs!$K$4:$AJ$4,0)))+SUMPRODUCT((Inputs!$E$5:$E$180=$B29)*Inputs!$F$5:$F$180*(((Inputs!$G$5:$G$180="moeda")+(Inputs!$G$5:$G$180="acoes"))*Inputs!$B$1+((Inputs!$G$5:$G$180&lt;&gt;"moeda")*(Inputs!$G$5:$G$180&lt;&gt;"acoes")))*INDEX(Inputs!$K$5:$AJ$180,0,MATCH(P$2,Inputs!$K$4:$AJ$4,0)))))</f>
        <v>380.761</v>
      </c>
      <c r="Q29" s="6">
        <f>IF(ISNA(MATCH(Q$2,Inputs!$K$4:$AJ$4,0)),NA(),IF(SUMPRODUCT((Inputs!$A$5:$A$180=$B29)*ISNUMBER(INDEX(Inputs!$K$5:$AJ$180,0,MATCH(Q$2,Inputs!$K$4:$AJ$4,0))))+SUMPRODUCT((Inputs!$C$5:$C$180=$B29)*ISNUMBER(INDEX(Inputs!$K$5:$AJ$180,0,MATCH(Q$2,Inputs!$K$4:$AJ$4,0))))+SUMPRODUCT((Inputs!$E$5:$E$180=$B29)*ISNUMBER(INDEX(Inputs!$K$5:$AJ$180,0,MATCH(Q$2,Inputs!$K$4:$AJ$4,0))))=0,NA(),SUMPRODUCT((Inputs!$A$5:$A$180=$B29)*Inputs!$B$5:$B$180*(((Inputs!$G$5:$G$180="moeda")+(Inputs!$G$5:$G$180="acoes"))*Inputs!$B$1+((Inputs!$G$5:$G$180&lt;&gt;"moeda")*(Inputs!$G$5:$G$180&lt;&gt;"acoes")))*INDEX(Inputs!$K$5:$AJ$180,0,MATCH(Q$2,Inputs!$K$4:$AJ$4,0)))+SUMPRODUCT((Inputs!$C$5:$C$180=$B29)*Inputs!$D$5:$D$180*(((Inputs!$G$5:$G$180="moeda")+(Inputs!$G$5:$G$180="acoes"))*Inputs!$B$1+((Inputs!$G$5:$G$180&lt;&gt;"moeda")*(Inputs!$G$5:$G$180&lt;&gt;"acoes")))*INDEX(Inputs!$K$5:$AJ$180,0,MATCH(Q$2,Inputs!$K$4:$AJ$4,0)))+SUMPRODUCT((Inputs!$E$5:$E$180=$B29)*Inputs!$F$5:$F$180*(((Inputs!$G$5:$G$180="moeda")+(Inputs!$G$5:$G$180="acoes"))*Inputs!$B$1+((Inputs!$G$5:$G$180&lt;&gt;"moeda")*(Inputs!$G$5:$G$180&lt;&gt;"acoes")))*INDEX(Inputs!$K$5:$AJ$180,0,MATCH(Q$2,Inputs!$K$4:$AJ$4,0)))))</f>
        <v>338.989</v>
      </c>
      <c r="R29" s="3">
        <f>Q29</f>
        <v>338.989</v>
      </c>
      <c r="S29" s="6">
        <f>IF(ISNA(MATCH(S$2,Inputs!$K$4:$AJ$4,0)),NA(),IF(SUMPRODUCT((Inputs!$A$5:$A$180=$B29)*ISNUMBER(INDEX(Inputs!$K$5:$AJ$180,0,MATCH(S$2,Inputs!$K$4:$AJ$4,0))))+SUMPRODUCT((Inputs!$C$5:$C$180=$B29)*ISNUMBER(INDEX(Inputs!$K$5:$AJ$180,0,MATCH(S$2,Inputs!$K$4:$AJ$4,0))))+SUMPRODUCT((Inputs!$E$5:$E$180=$B29)*ISNUMBER(INDEX(Inputs!$K$5:$AJ$180,0,MATCH(S$2,Inputs!$K$4:$AJ$4,0))))=0,NA(),SUMPRODUCT((Inputs!$A$5:$A$180=$B29)*Inputs!$B$5:$B$180*(((Inputs!$G$5:$G$180="moeda")+(Inputs!$G$5:$G$180="acoes"))*Inputs!$B$1+((Inputs!$G$5:$G$180&lt;&gt;"moeda")*(Inputs!$G$5:$G$180&lt;&gt;"acoes")))*INDEX(Inputs!$K$5:$AJ$180,0,MATCH(S$2,Inputs!$K$4:$AJ$4,0)))+SUMPRODUCT((Inputs!$C$5:$C$180=$B29)*Inputs!$D$5:$D$180*(((Inputs!$G$5:$G$180="moeda")+(Inputs!$G$5:$G$180="acoes"))*Inputs!$B$1+((Inputs!$G$5:$G$180&lt;&gt;"moeda")*(Inputs!$G$5:$G$180&lt;&gt;"acoes")))*INDEX(Inputs!$K$5:$AJ$180,0,MATCH(S$2,Inputs!$K$4:$AJ$4,0)))+SUMPRODUCT((Inputs!$E$5:$E$180=$B29)*Inputs!$F$5:$F$180*(((Inputs!$G$5:$G$180="moeda")+(Inputs!$G$5:$G$180="acoes"))*Inputs!$B$1+((Inputs!$G$5:$G$180&lt;&gt;"moeda")*(Inputs!$G$5:$G$180&lt;&gt;"acoes")))*INDEX(Inputs!$K$5:$AJ$180,0,MATCH(S$2,Inputs!$K$4:$AJ$4,0)))))</f>
        <v>285.808</v>
      </c>
      <c r="T29" s="6">
        <f>IF(ISNA(MATCH(T$2,Inputs!$K$4:$AJ$4,0)),NA(),IF(SUMPRODUCT((Inputs!$A$5:$A$180=$B29)*ISNUMBER(INDEX(Inputs!$K$5:$AJ$180,0,MATCH(T$2,Inputs!$K$4:$AJ$4,0))))+SUMPRODUCT((Inputs!$C$5:$C$180=$B29)*ISNUMBER(INDEX(Inputs!$K$5:$AJ$180,0,MATCH(T$2,Inputs!$K$4:$AJ$4,0))))+SUMPRODUCT((Inputs!$E$5:$E$180=$B29)*ISNUMBER(INDEX(Inputs!$K$5:$AJ$180,0,MATCH(T$2,Inputs!$K$4:$AJ$4,0))))=0,NA(),SUMPRODUCT((Inputs!$A$5:$A$180=$B29)*Inputs!$B$5:$B$180*(((Inputs!$G$5:$G$180="moeda")+(Inputs!$G$5:$G$180="acoes"))*Inputs!$B$1+((Inputs!$G$5:$G$180&lt;&gt;"moeda")*(Inputs!$G$5:$G$180&lt;&gt;"acoes")))*INDEX(Inputs!$K$5:$AJ$180,0,MATCH(T$2,Inputs!$K$4:$AJ$4,0)))+SUMPRODUCT((Inputs!$C$5:$C$180=$B29)*Inputs!$D$5:$D$180*(((Inputs!$G$5:$G$180="moeda")+(Inputs!$G$5:$G$180="acoes"))*Inputs!$B$1+((Inputs!$G$5:$G$180&lt;&gt;"moeda")*(Inputs!$G$5:$G$180&lt;&gt;"acoes")))*INDEX(Inputs!$K$5:$AJ$180,0,MATCH(T$2,Inputs!$K$4:$AJ$4,0)))+SUMPRODUCT((Inputs!$E$5:$E$180=$B29)*Inputs!$F$5:$F$180*(((Inputs!$G$5:$G$180="moeda")+(Inputs!$G$5:$G$180="acoes"))*Inputs!$B$1+((Inputs!$G$5:$G$180&lt;&gt;"moeda")*(Inputs!$G$5:$G$180&lt;&gt;"acoes")))*INDEX(Inputs!$K$5:$AJ$180,0,MATCH(T$2,Inputs!$K$4:$AJ$4,0)))))</f>
        <v>352.951</v>
      </c>
      <c r="U29" s="6">
        <f>IF(ISNA(MATCH(U$2,Inputs!$K$4:$AJ$4,0)),NA(),IF(SUMPRODUCT((Inputs!$A$5:$A$180=$B29)*ISNUMBER(INDEX(Inputs!$K$5:$AJ$180,0,MATCH(U$2,Inputs!$K$4:$AJ$4,0))))+SUMPRODUCT((Inputs!$C$5:$C$180=$B29)*ISNUMBER(INDEX(Inputs!$K$5:$AJ$180,0,MATCH(U$2,Inputs!$K$4:$AJ$4,0))))+SUMPRODUCT((Inputs!$E$5:$E$180=$B29)*ISNUMBER(INDEX(Inputs!$K$5:$AJ$180,0,MATCH(U$2,Inputs!$K$4:$AJ$4,0))))=0,NA(),SUMPRODUCT((Inputs!$A$5:$A$180=$B29)*Inputs!$B$5:$B$180*(((Inputs!$G$5:$G$180="moeda")+(Inputs!$G$5:$G$180="acoes"))*Inputs!$B$1+((Inputs!$G$5:$G$180&lt;&gt;"moeda")*(Inputs!$G$5:$G$180&lt;&gt;"acoes")))*INDEX(Inputs!$K$5:$AJ$180,0,MATCH(U$2,Inputs!$K$4:$AJ$4,0)))+SUMPRODUCT((Inputs!$C$5:$C$180=$B29)*Inputs!$D$5:$D$180*(((Inputs!$G$5:$G$180="moeda")+(Inputs!$G$5:$G$180="acoes"))*Inputs!$B$1+((Inputs!$G$5:$G$180&lt;&gt;"moeda")*(Inputs!$G$5:$G$180&lt;&gt;"acoes")))*INDEX(Inputs!$K$5:$AJ$180,0,MATCH(U$2,Inputs!$K$4:$AJ$4,0)))+SUMPRODUCT((Inputs!$E$5:$E$180=$B29)*Inputs!$F$5:$F$180*(((Inputs!$G$5:$G$180="moeda")+(Inputs!$G$5:$G$180="acoes"))*Inputs!$B$1+((Inputs!$G$5:$G$180&lt;&gt;"moeda")*(Inputs!$G$5:$G$180&lt;&gt;"acoes")))*INDEX(Inputs!$K$5:$AJ$180,0,MATCH(U$2,Inputs!$K$4:$AJ$4,0)))))</f>
        <v>402.732</v>
      </c>
      <c r="V29" s="6">
        <f>IF(ISNA(MATCH(V$2,Inputs!$K$4:$AJ$4,0)),NA(),IF(SUMPRODUCT((Inputs!$A$5:$A$180=$B29)*ISNUMBER(INDEX(Inputs!$K$5:$AJ$180,0,MATCH(V$2,Inputs!$K$4:$AJ$4,0))))+SUMPRODUCT((Inputs!$C$5:$C$180=$B29)*ISNUMBER(INDEX(Inputs!$K$5:$AJ$180,0,MATCH(V$2,Inputs!$K$4:$AJ$4,0))))+SUMPRODUCT((Inputs!$E$5:$E$180=$B29)*ISNUMBER(INDEX(Inputs!$K$5:$AJ$180,0,MATCH(V$2,Inputs!$K$4:$AJ$4,0))))=0,NA(),SUMPRODUCT((Inputs!$A$5:$A$180=$B29)*Inputs!$B$5:$B$180*(((Inputs!$G$5:$G$180="moeda")+(Inputs!$G$5:$G$180="acoes"))*Inputs!$B$1+((Inputs!$G$5:$G$180&lt;&gt;"moeda")*(Inputs!$G$5:$G$180&lt;&gt;"acoes")))*INDEX(Inputs!$K$5:$AJ$180,0,MATCH(V$2,Inputs!$K$4:$AJ$4,0)))+SUMPRODUCT((Inputs!$C$5:$C$180=$B29)*Inputs!$D$5:$D$180*(((Inputs!$G$5:$G$180="moeda")+(Inputs!$G$5:$G$180="acoes"))*Inputs!$B$1+((Inputs!$G$5:$G$180&lt;&gt;"moeda")*(Inputs!$G$5:$G$180&lt;&gt;"acoes")))*INDEX(Inputs!$K$5:$AJ$180,0,MATCH(V$2,Inputs!$K$4:$AJ$4,0)))+SUMPRODUCT((Inputs!$E$5:$E$180=$B29)*Inputs!$F$5:$F$180*(((Inputs!$G$5:$G$180="moeda")+(Inputs!$G$5:$G$180="acoes"))*Inputs!$B$1+((Inputs!$G$5:$G$180&lt;&gt;"moeda")*(Inputs!$G$5:$G$180&lt;&gt;"acoes")))*INDEX(Inputs!$K$5:$AJ$180,0,MATCH(V$2,Inputs!$K$4:$AJ$4,0)))))</f>
        <v>381.902</v>
      </c>
      <c r="W29" s="3">
        <f>V29</f>
        <v>381.902</v>
      </c>
      <c r="X29" s="6">
        <f>IF(ISNA(MATCH(X$2,Inputs!$K$4:$AJ$4,0)),NA(),IF(SUMPRODUCT((Inputs!$A$5:$A$180=$B29)*ISNUMBER(INDEX(Inputs!$K$5:$AJ$180,0,MATCH(X$2,Inputs!$K$4:$AJ$4,0))))+SUMPRODUCT((Inputs!$C$5:$C$180=$B29)*ISNUMBER(INDEX(Inputs!$K$5:$AJ$180,0,MATCH(X$2,Inputs!$K$4:$AJ$4,0))))+SUMPRODUCT((Inputs!$E$5:$E$180=$B29)*ISNUMBER(INDEX(Inputs!$K$5:$AJ$180,0,MATCH(X$2,Inputs!$K$4:$AJ$4,0))))=0,NA(),SUMPRODUCT((Inputs!$A$5:$A$180=$B29)*Inputs!$B$5:$B$180*(((Inputs!$G$5:$G$180="moeda")+(Inputs!$G$5:$G$180="acoes"))*Inputs!$B$1+((Inputs!$G$5:$G$180&lt;&gt;"moeda")*(Inputs!$G$5:$G$180&lt;&gt;"acoes")))*INDEX(Inputs!$K$5:$AJ$180,0,MATCH(X$2,Inputs!$K$4:$AJ$4,0)))+SUMPRODUCT((Inputs!$C$5:$C$180=$B29)*Inputs!$D$5:$D$180*(((Inputs!$G$5:$G$180="moeda")+(Inputs!$G$5:$G$180="acoes"))*Inputs!$B$1+((Inputs!$G$5:$G$180&lt;&gt;"moeda")*(Inputs!$G$5:$G$180&lt;&gt;"acoes")))*INDEX(Inputs!$K$5:$AJ$180,0,MATCH(X$2,Inputs!$K$4:$AJ$4,0)))+SUMPRODUCT((Inputs!$E$5:$E$180=$B29)*Inputs!$F$5:$F$180*(((Inputs!$G$5:$G$180="moeda")+(Inputs!$G$5:$G$180="acoes"))*Inputs!$B$1+((Inputs!$G$5:$G$180&lt;&gt;"moeda")*(Inputs!$G$5:$G$180&lt;&gt;"acoes")))*INDEX(Inputs!$K$5:$AJ$180,0,MATCH(X$2,Inputs!$K$4:$AJ$4,0)))))</f>
        <v>309.762274</v>
      </c>
      <c r="Y29" s="6">
        <f>IF(ISNA(MATCH(Y$2,Inputs!$K$4:$AJ$4,0)),NA(),IF(SUMPRODUCT((Inputs!$A$5:$A$180=$B29)*ISNUMBER(INDEX(Inputs!$K$5:$AJ$180,0,MATCH(Y$2,Inputs!$K$4:$AJ$4,0))))+SUMPRODUCT((Inputs!$C$5:$C$180=$B29)*ISNUMBER(INDEX(Inputs!$K$5:$AJ$180,0,MATCH(Y$2,Inputs!$K$4:$AJ$4,0))))+SUMPRODUCT((Inputs!$E$5:$E$180=$B29)*ISNUMBER(INDEX(Inputs!$K$5:$AJ$180,0,MATCH(Y$2,Inputs!$K$4:$AJ$4,0))))=0,NA(),SUMPRODUCT((Inputs!$A$5:$A$180=$B29)*Inputs!$B$5:$B$180*(((Inputs!$G$5:$G$180="moeda")+(Inputs!$G$5:$G$180="acoes"))*Inputs!$B$1+((Inputs!$G$5:$G$180&lt;&gt;"moeda")*(Inputs!$G$5:$G$180&lt;&gt;"acoes")))*INDEX(Inputs!$K$5:$AJ$180,0,MATCH(Y$2,Inputs!$K$4:$AJ$4,0)))+SUMPRODUCT((Inputs!$C$5:$C$180=$B29)*Inputs!$D$5:$D$180*(((Inputs!$G$5:$G$180="moeda")+(Inputs!$G$5:$G$180="acoes"))*Inputs!$B$1+((Inputs!$G$5:$G$180&lt;&gt;"moeda")*(Inputs!$G$5:$G$180&lt;&gt;"acoes")))*INDEX(Inputs!$K$5:$AJ$180,0,MATCH(Y$2,Inputs!$K$4:$AJ$4,0)))+SUMPRODUCT((Inputs!$E$5:$E$180=$B29)*Inputs!$F$5:$F$180*(((Inputs!$G$5:$G$180="moeda")+(Inputs!$G$5:$G$180="acoes"))*Inputs!$B$1+((Inputs!$G$5:$G$180&lt;&gt;"moeda")*(Inputs!$G$5:$G$180&lt;&gt;"acoes")))*INDEX(Inputs!$K$5:$AJ$180,0,MATCH(Y$2,Inputs!$K$4:$AJ$4,0)))))</f>
        <v>368.403</v>
      </c>
      <c r="Z29" s="6">
        <f>IF(ISNA(MATCH(Z$2,Inputs!$K$4:$AJ$4,0)),NA(),IF(SUMPRODUCT((Inputs!$A$5:$A$180=$B29)*ISNUMBER(INDEX(Inputs!$K$5:$AJ$180,0,MATCH(Z$2,Inputs!$K$4:$AJ$4,0))))+SUMPRODUCT((Inputs!$C$5:$C$180=$B29)*ISNUMBER(INDEX(Inputs!$K$5:$AJ$180,0,MATCH(Z$2,Inputs!$K$4:$AJ$4,0))))+SUMPRODUCT((Inputs!$E$5:$E$180=$B29)*ISNUMBER(INDEX(Inputs!$K$5:$AJ$180,0,MATCH(Z$2,Inputs!$K$4:$AJ$4,0))))=0,NA(),SUMPRODUCT((Inputs!$A$5:$A$180=$B29)*Inputs!$B$5:$B$180*(((Inputs!$G$5:$G$180="moeda")+(Inputs!$G$5:$G$180="acoes"))*Inputs!$B$1+((Inputs!$G$5:$G$180&lt;&gt;"moeda")*(Inputs!$G$5:$G$180&lt;&gt;"acoes")))*INDEX(Inputs!$K$5:$AJ$180,0,MATCH(Z$2,Inputs!$K$4:$AJ$4,0)))+SUMPRODUCT((Inputs!$C$5:$C$180=$B29)*Inputs!$D$5:$D$180*(((Inputs!$G$5:$G$180="moeda")+(Inputs!$G$5:$G$180="acoes"))*Inputs!$B$1+((Inputs!$G$5:$G$180&lt;&gt;"moeda")*(Inputs!$G$5:$G$180&lt;&gt;"acoes")))*INDEX(Inputs!$K$5:$AJ$180,0,MATCH(Z$2,Inputs!$K$4:$AJ$4,0)))+SUMPRODUCT((Inputs!$E$5:$E$180=$B29)*Inputs!$F$5:$F$180*(((Inputs!$G$5:$G$180="moeda")+(Inputs!$G$5:$G$180="acoes"))*Inputs!$B$1+((Inputs!$G$5:$G$180&lt;&gt;"moeda")*(Inputs!$G$5:$G$180&lt;&gt;"acoes")))*INDEX(Inputs!$K$5:$AJ$180,0,MATCH(Z$2,Inputs!$K$4:$AJ$4,0)))))</f>
        <v>438.976</v>
      </c>
      <c r="AA29" s="6">
        <f>IF(ISNA(MATCH(AA$2,Inputs!$K$4:$AJ$4,0)),NA(),IF(SUMPRODUCT((Inputs!$A$5:$A$180=$B29)*ISNUMBER(INDEX(Inputs!$K$5:$AJ$180,0,MATCH(AA$2,Inputs!$K$4:$AJ$4,0))))+SUMPRODUCT((Inputs!$C$5:$C$180=$B29)*ISNUMBER(INDEX(Inputs!$K$5:$AJ$180,0,MATCH(AA$2,Inputs!$K$4:$AJ$4,0))))+SUMPRODUCT((Inputs!$E$5:$E$180=$B29)*ISNUMBER(INDEX(Inputs!$K$5:$AJ$180,0,MATCH(AA$2,Inputs!$K$4:$AJ$4,0))))=0,NA(),SUMPRODUCT((Inputs!$A$5:$A$180=$B29)*Inputs!$B$5:$B$180*(((Inputs!$G$5:$G$180="moeda")+(Inputs!$G$5:$G$180="acoes"))*Inputs!$B$1+((Inputs!$G$5:$G$180&lt;&gt;"moeda")*(Inputs!$G$5:$G$180&lt;&gt;"acoes")))*INDEX(Inputs!$K$5:$AJ$180,0,MATCH(AA$2,Inputs!$K$4:$AJ$4,0)))+SUMPRODUCT((Inputs!$C$5:$C$180=$B29)*Inputs!$D$5:$D$180*(((Inputs!$G$5:$G$180="moeda")+(Inputs!$G$5:$G$180="acoes"))*Inputs!$B$1+((Inputs!$G$5:$G$180&lt;&gt;"moeda")*(Inputs!$G$5:$G$180&lt;&gt;"acoes")))*INDEX(Inputs!$K$5:$AJ$180,0,MATCH(AA$2,Inputs!$K$4:$AJ$4,0)))+SUMPRODUCT((Inputs!$E$5:$E$180=$B29)*Inputs!$F$5:$F$180*(((Inputs!$G$5:$G$180="moeda")+(Inputs!$G$5:$G$180="acoes"))*Inputs!$B$1+((Inputs!$G$5:$G$180&lt;&gt;"moeda")*(Inputs!$G$5:$G$180&lt;&gt;"acoes")))*INDEX(Inputs!$K$5:$AJ$180,0,MATCH(AA$2,Inputs!$K$4:$AJ$4,0)))))</f>
        <v>407.632</v>
      </c>
      <c r="AB29" s="3">
        <f>AA29</f>
        <v>407.632</v>
      </c>
      <c r="AC29" s="6">
        <f>IF(ISNA(MATCH(AC$2,Inputs!$K$4:$AJ$4,0)),NA(),IF(SUMPRODUCT((Inputs!$A$5:$A$180=$B29)*ISNUMBER(INDEX(Inputs!$K$5:$AJ$180,0,MATCH(AC$2,Inputs!$K$4:$AJ$4,0))))+SUMPRODUCT((Inputs!$C$5:$C$180=$B29)*ISNUMBER(INDEX(Inputs!$K$5:$AJ$180,0,MATCH(AC$2,Inputs!$K$4:$AJ$4,0))))+SUMPRODUCT((Inputs!$E$5:$E$180=$B29)*ISNUMBER(INDEX(Inputs!$K$5:$AJ$180,0,MATCH(AC$2,Inputs!$K$4:$AJ$4,0))))=0,NA(),SUMPRODUCT((Inputs!$A$5:$A$180=$B29)*Inputs!$B$5:$B$180*(((Inputs!$G$5:$G$180="moeda")+(Inputs!$G$5:$G$180="acoes"))*Inputs!$B$1+((Inputs!$G$5:$G$180&lt;&gt;"moeda")*(Inputs!$G$5:$G$180&lt;&gt;"acoes")))*INDEX(Inputs!$K$5:$AJ$180,0,MATCH(AC$2,Inputs!$K$4:$AJ$4,0)))+SUMPRODUCT((Inputs!$C$5:$C$180=$B29)*Inputs!$D$5:$D$180*(((Inputs!$G$5:$G$180="moeda")+(Inputs!$G$5:$G$180="acoes"))*Inputs!$B$1+((Inputs!$G$5:$G$180&lt;&gt;"moeda")*(Inputs!$G$5:$G$180&lt;&gt;"acoes")))*INDEX(Inputs!$K$5:$AJ$180,0,MATCH(AC$2,Inputs!$K$4:$AJ$4,0)))+SUMPRODUCT((Inputs!$E$5:$E$180=$B29)*Inputs!$F$5:$F$180*(((Inputs!$G$5:$G$180="moeda")+(Inputs!$G$5:$G$180="acoes"))*Inputs!$B$1+((Inputs!$G$5:$G$180&lt;&gt;"moeda")*(Inputs!$G$5:$G$180&lt;&gt;"acoes")))*INDEX(Inputs!$K$5:$AJ$180,0,MATCH(AC$2,Inputs!$K$4:$AJ$4,0)))))</f>
        <v>345.296</v>
      </c>
      <c r="AD29" s="6">
        <f>IF(ISNA(MATCH(AD$2,Inputs!$K$4:$AJ$4,0)),NA(),IF(SUMPRODUCT((Inputs!$A$5:$A$180=$B29)*ISNUMBER(INDEX(Inputs!$K$5:$AJ$180,0,MATCH(AD$2,Inputs!$K$4:$AJ$4,0))))+SUMPRODUCT((Inputs!$C$5:$C$180=$B29)*ISNUMBER(INDEX(Inputs!$K$5:$AJ$180,0,MATCH(AD$2,Inputs!$K$4:$AJ$4,0))))+SUMPRODUCT((Inputs!$E$5:$E$180=$B29)*ISNUMBER(INDEX(Inputs!$K$5:$AJ$180,0,MATCH(AD$2,Inputs!$K$4:$AJ$4,0))))=0,NA(),SUMPRODUCT((Inputs!$A$5:$A$180=$B29)*Inputs!$B$5:$B$180*(((Inputs!$G$5:$G$180="moeda")+(Inputs!$G$5:$G$180="acoes"))*Inputs!$B$1+((Inputs!$G$5:$G$180&lt;&gt;"moeda")*(Inputs!$G$5:$G$180&lt;&gt;"acoes")))*INDEX(Inputs!$K$5:$AJ$180,0,MATCH(AD$2,Inputs!$K$4:$AJ$4,0)))+SUMPRODUCT((Inputs!$C$5:$C$180=$B29)*Inputs!$D$5:$D$180*(((Inputs!$G$5:$G$180="moeda")+(Inputs!$G$5:$G$180="acoes"))*Inputs!$B$1+((Inputs!$G$5:$G$180&lt;&gt;"moeda")*(Inputs!$G$5:$G$180&lt;&gt;"acoes")))*INDEX(Inputs!$K$5:$AJ$180,0,MATCH(AD$2,Inputs!$K$4:$AJ$4,0)))+SUMPRODUCT((Inputs!$E$5:$E$180=$B29)*Inputs!$F$5:$F$180*(((Inputs!$G$5:$G$180="moeda")+(Inputs!$G$5:$G$180="acoes"))*Inputs!$B$1+((Inputs!$G$5:$G$180&lt;&gt;"moeda")*(Inputs!$G$5:$G$180&lt;&gt;"acoes")))*INDEX(Inputs!$K$5:$AJ$180,0,MATCH(AD$2,Inputs!$K$4:$AJ$4,0)))))</f>
        <v>406.046</v>
      </c>
      <c r="AE29" s="6" t="e">
        <f>IF(ISNA(MATCH(AE$2,Inputs!$K$4:$AJ$4,0)),NA(),IF(SUMPRODUCT((Inputs!$A$5:$A$180=$B29)*ISNUMBER(INDEX(Inputs!$K$5:$AJ$180,0,MATCH(AE$2,Inputs!$K$4:$AJ$4,0))))+SUMPRODUCT((Inputs!$C$5:$C$180=$B29)*ISNUMBER(INDEX(Inputs!$K$5:$AJ$180,0,MATCH(AE$2,Inputs!$K$4:$AJ$4,0))))+SUMPRODUCT((Inputs!$E$5:$E$180=$B29)*ISNUMBER(INDEX(Inputs!$K$5:$AJ$180,0,MATCH(AE$2,Inputs!$K$4:$AJ$4,0))))=0,NA(),SUMPRODUCT((Inputs!$A$5:$A$180=$B29)*Inputs!$B$5:$B$180*(((Inputs!$G$5:$G$180="moeda")+(Inputs!$G$5:$G$180="acoes"))*Inputs!$B$1+((Inputs!$G$5:$G$180&lt;&gt;"moeda")*(Inputs!$G$5:$G$180&lt;&gt;"acoes")))*INDEX(Inputs!$K$5:$AJ$180,0,MATCH(AE$2,Inputs!$K$4:$AJ$4,0)))+SUMPRODUCT((Inputs!$C$5:$C$180=$B29)*Inputs!$D$5:$D$180*(((Inputs!$G$5:$G$180="moeda")+(Inputs!$G$5:$G$180="acoes"))*Inputs!$B$1+((Inputs!$G$5:$G$180&lt;&gt;"moeda")*(Inputs!$G$5:$G$180&lt;&gt;"acoes")))*INDEX(Inputs!$K$5:$AJ$180,0,MATCH(AE$2,Inputs!$K$4:$AJ$4,0)))+SUMPRODUCT((Inputs!$E$5:$E$180=$B29)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29" s="6" t="e">
        <f>IF(ISNA(MATCH(AF$2,Inputs!$K$4:$AJ$4,0)),NA(),IF(SUMPRODUCT((Inputs!$A$5:$A$180=$B29)*ISNUMBER(INDEX(Inputs!$K$5:$AJ$180,0,MATCH(AF$2,Inputs!$K$4:$AJ$4,0))))+SUMPRODUCT((Inputs!$C$5:$C$180=$B29)*ISNUMBER(INDEX(Inputs!$K$5:$AJ$180,0,MATCH(AF$2,Inputs!$K$4:$AJ$4,0))))+SUMPRODUCT((Inputs!$E$5:$E$180=$B29)*ISNUMBER(INDEX(Inputs!$K$5:$AJ$180,0,MATCH(AF$2,Inputs!$K$4:$AJ$4,0))))=0,NA(),SUMPRODUCT((Inputs!$A$5:$A$180=$B29)*Inputs!$B$5:$B$180*(((Inputs!$G$5:$G$180="moeda")+(Inputs!$G$5:$G$180="acoes"))*Inputs!$B$1+((Inputs!$G$5:$G$180&lt;&gt;"moeda")*(Inputs!$G$5:$G$180&lt;&gt;"acoes")))*INDEX(Inputs!$K$5:$AJ$180,0,MATCH(AF$2,Inputs!$K$4:$AJ$4,0)))+SUMPRODUCT((Inputs!$C$5:$C$180=$B29)*Inputs!$D$5:$D$180*(((Inputs!$G$5:$G$180="moeda")+(Inputs!$G$5:$G$180="acoes"))*Inputs!$B$1+((Inputs!$G$5:$G$180&lt;&gt;"moeda")*(Inputs!$G$5:$G$180&lt;&gt;"acoes")))*INDEX(Inputs!$K$5:$AJ$180,0,MATCH(AF$2,Inputs!$K$4:$AJ$4,0)))+SUMPRODUCT((Inputs!$E$5:$E$180=$B29)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29" s="3" t="e">
        <f>AF29</f>
        <v>#N/A</v>
      </c>
      <c r="AH29" s="6">
        <f>IF(ISNA(MATCH(AH$2,Inputs!$K$4:$AJ$4,0)),NA(),IF(SUMPRODUCT((Inputs!$A$5:$A$180=$B29)*ISNUMBER(INDEX(Inputs!$K$5:$AJ$180,0,MATCH(AH$2,Inputs!$K$4:$AJ$4,0))))+SUMPRODUCT((Inputs!$C$5:$C$180=$B29)*ISNUMBER(INDEX(Inputs!$K$5:$AJ$180,0,MATCH(AH$2,Inputs!$K$4:$AJ$4,0))))+SUMPRODUCT((Inputs!$E$5:$E$180=$B29)*ISNUMBER(INDEX(Inputs!$K$5:$AJ$180,0,MATCH(AH$2,Inputs!$K$4:$AJ$4,0))))=0,NA(),SUMPRODUCT((Inputs!$A$5:$A$180=$B29)*Inputs!$B$5:$B$180*(((Inputs!$G$5:$G$180="moeda")+(Inputs!$G$5:$G$180="acoes"))*Inputs!$B$1+((Inputs!$G$5:$G$180&lt;&gt;"moeda")*(Inputs!$G$5:$G$180&lt;&gt;"acoes")))*INDEX(Inputs!$K$5:$AJ$180,0,MATCH(AH$2,Inputs!$K$4:$AJ$4,0)))+SUMPRODUCT((Inputs!$C$5:$C$180=$B29)*Inputs!$D$5:$D$180*(((Inputs!$G$5:$G$180="moeda")+(Inputs!$G$5:$G$180="acoes"))*Inputs!$B$1+((Inputs!$G$5:$G$180&lt;&gt;"moeda")*(Inputs!$G$5:$G$180&lt;&gt;"acoes")))*INDEX(Inputs!$K$5:$AJ$180,0,MATCH(AH$2,Inputs!$K$4:$AJ$4,0)))+SUMPRODUCT((Inputs!$E$5:$E$180=$B29)*Inputs!$F$5:$F$180*(((Inputs!$G$5:$G$180="moeda")+(Inputs!$G$5:$G$180="acoes"))*Inputs!$B$1+((Inputs!$G$5:$G$180&lt;&gt;"moeda")*(Inputs!$G$5:$G$180&lt;&gt;"acoes")))*INDEX(Inputs!$K$5:$AJ$180,0,MATCH(AH$2,Inputs!$K$4:$AJ$4,0)))))</f>
        <v>108.91141814</v>
      </c>
      <c r="AI29" s="6">
        <f>IF(ISNA(MATCH(AI$2,Inputs!$K$4:$AJ$4,0)),NA(),IF(SUMPRODUCT((Inputs!$A$5:$A$180=$B29)*ISNUMBER(INDEX(Inputs!$K$5:$AJ$180,0,MATCH(AI$2,Inputs!$K$4:$AJ$4,0))))+SUMPRODUCT((Inputs!$C$5:$C$180=$B29)*ISNUMBER(INDEX(Inputs!$K$5:$AJ$180,0,MATCH(AI$2,Inputs!$K$4:$AJ$4,0))))+SUMPRODUCT((Inputs!$E$5:$E$180=$B29)*ISNUMBER(INDEX(Inputs!$K$5:$AJ$180,0,MATCH(AI$2,Inputs!$K$4:$AJ$4,0))))=0,NA(),SUMPRODUCT((Inputs!$A$5:$A$180=$B29)*Inputs!$B$5:$B$180*(((Inputs!$G$5:$G$180="moeda")+(Inputs!$G$5:$G$180="acoes"))*Inputs!$B$1+((Inputs!$G$5:$G$180&lt;&gt;"moeda")*(Inputs!$G$5:$G$180&lt;&gt;"acoes")))*INDEX(Inputs!$K$5:$AJ$180,0,MATCH(AI$2,Inputs!$K$4:$AJ$4,0)))+SUMPRODUCT((Inputs!$C$5:$C$180=$B29)*Inputs!$D$5:$D$180*(((Inputs!$G$5:$G$180="moeda")+(Inputs!$G$5:$G$180="acoes"))*Inputs!$B$1+((Inputs!$G$5:$G$180&lt;&gt;"moeda")*(Inputs!$G$5:$G$180&lt;&gt;"acoes")))*INDEX(Inputs!$K$5:$AJ$180,0,MATCH(AI$2,Inputs!$K$4:$AJ$4,0)))+SUMPRODUCT((Inputs!$E$5:$E$180=$B29)*Inputs!$F$5:$F$180*(((Inputs!$G$5:$G$180="moeda")+(Inputs!$G$5:$G$180="acoes"))*Inputs!$B$1+((Inputs!$G$5:$G$180&lt;&gt;"moeda")*(Inputs!$G$5:$G$180&lt;&gt;"acoes")))*INDEX(Inputs!$K$5:$AJ$180,0,MATCH(AI$2,Inputs!$K$4:$AJ$4,0)))))</f>
        <v>128.82923871</v>
      </c>
      <c r="AJ29" s="6">
        <f>IF(ISNA(MATCH(AJ$2,Inputs!$K$4:$AJ$4,0)),NA(),IF(SUMPRODUCT((Inputs!$A$5:$A$180=$B29)*ISNUMBER(INDEX(Inputs!$K$5:$AJ$180,0,MATCH(AJ$2,Inputs!$K$4:$AJ$4,0))))+SUMPRODUCT((Inputs!$C$5:$C$180=$B29)*ISNUMBER(INDEX(Inputs!$K$5:$AJ$180,0,MATCH(AJ$2,Inputs!$K$4:$AJ$4,0))))+SUMPRODUCT((Inputs!$E$5:$E$180=$B29)*ISNUMBER(INDEX(Inputs!$K$5:$AJ$180,0,MATCH(AJ$2,Inputs!$K$4:$AJ$4,0))))=0,NA(),SUMPRODUCT((Inputs!$A$5:$A$180=$B29)*Inputs!$B$5:$B$180*(((Inputs!$G$5:$G$180="moeda")+(Inputs!$G$5:$G$180="acoes"))*Inputs!$B$1+((Inputs!$G$5:$G$180&lt;&gt;"moeda")*(Inputs!$G$5:$G$180&lt;&gt;"acoes")))*INDEX(Inputs!$K$5:$AJ$180,0,MATCH(AJ$2,Inputs!$K$4:$AJ$4,0)))+SUMPRODUCT((Inputs!$C$5:$C$180=$B29)*Inputs!$D$5:$D$180*(((Inputs!$G$5:$G$180="moeda")+(Inputs!$G$5:$G$180="acoes"))*Inputs!$B$1+((Inputs!$G$5:$G$180&lt;&gt;"moeda")*(Inputs!$G$5:$G$180&lt;&gt;"acoes")))*INDEX(Inputs!$K$5:$AJ$180,0,MATCH(AJ$2,Inputs!$K$4:$AJ$4,0)))+SUMPRODUCT((Inputs!$E$5:$E$180=$B29)*Inputs!$F$5:$F$180*(((Inputs!$G$5:$G$180="moeda")+(Inputs!$G$5:$G$180="acoes"))*Inputs!$B$1+((Inputs!$G$5:$G$180&lt;&gt;"moeda")*(Inputs!$G$5:$G$180&lt;&gt;"acoes")))*INDEX(Inputs!$K$5:$AJ$180,0,MATCH(AJ$2,Inputs!$K$4:$AJ$4,0)))))</f>
        <v>148.59254415</v>
      </c>
      <c r="AK29" s="6">
        <f>IF(ISNA(MATCH(AK$2,Inputs!$K$4:$AJ$4,0)),NA(),IF(SUMPRODUCT((Inputs!$A$5:$A$180=$B29)*ISNUMBER(INDEX(Inputs!$K$5:$AJ$180,0,MATCH(AK$2,Inputs!$K$4:$AJ$4,0))))+SUMPRODUCT((Inputs!$C$5:$C$180=$B29)*ISNUMBER(INDEX(Inputs!$K$5:$AJ$180,0,MATCH(AK$2,Inputs!$K$4:$AJ$4,0))))+SUMPRODUCT((Inputs!$E$5:$E$180=$B29)*ISNUMBER(INDEX(Inputs!$K$5:$AJ$180,0,MATCH(AK$2,Inputs!$K$4:$AJ$4,0))))=0,NA(),SUMPRODUCT((Inputs!$A$5:$A$180=$B29)*Inputs!$B$5:$B$180*(((Inputs!$G$5:$G$180="moeda")+(Inputs!$G$5:$G$180="acoes"))*Inputs!$B$1+((Inputs!$G$5:$G$180&lt;&gt;"moeda")*(Inputs!$G$5:$G$180&lt;&gt;"acoes")))*INDEX(Inputs!$K$5:$AJ$180,0,MATCH(AK$2,Inputs!$K$4:$AJ$4,0)))+SUMPRODUCT((Inputs!$C$5:$C$180=$B29)*Inputs!$D$5:$D$180*(((Inputs!$G$5:$G$180="moeda")+(Inputs!$G$5:$G$180="acoes"))*Inputs!$B$1+((Inputs!$G$5:$G$180&lt;&gt;"moeda")*(Inputs!$G$5:$G$180&lt;&gt;"acoes")))*INDEX(Inputs!$K$5:$AJ$180,0,MATCH(AK$2,Inputs!$K$4:$AJ$4,0)))+SUMPRODUCT((Inputs!$E$5:$E$180=$B29)*Inputs!$F$5:$F$180*(((Inputs!$G$5:$G$180="moeda")+(Inputs!$G$5:$G$180="acoes"))*Inputs!$B$1+((Inputs!$G$5:$G$180&lt;&gt;"moeda")*(Inputs!$G$5:$G$180&lt;&gt;"acoes")))*INDEX(Inputs!$K$5:$AJ$180,0,MATCH(AK$2,Inputs!$K$4:$AJ$4,0)))))</f>
        <v>138.77407439</v>
      </c>
      <c r="AL29" s="3">
        <f>AK29</f>
        <v>138.77407439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$180=$B30)*ISNUMBER(INDEX(Inputs!$K$5:$AJ$180,0,MATCH(D$2,Inputs!$K$4:$AJ$4,0))))+SUMPRODUCT((Inputs!$C$5:$C$180=$B30)*ISNUMBER(INDEX(Inputs!$K$5:$AJ$180,0,MATCH(D$2,Inputs!$K$4:$AJ$4,0))))+SUMPRODUCT((Inputs!$E$5:$E$180=$B30)*ISNUMBER(INDEX(Inputs!$K$5:$AJ$180,0,MATCH(D$2,Inputs!$K$4:$AJ$4,0))))=0,NA(),SUMPRODUCT((Inputs!$A$5:$A$180=$B30)*Inputs!$B$5:$B$180*(((Inputs!$G$5:$G$180="moeda")+(Inputs!$G$5:$G$180="acoes"))*Inputs!$B$1+((Inputs!$G$5:$G$180&lt;&gt;"moeda")*(Inputs!$G$5:$G$180&lt;&gt;"acoes")))*INDEX(Inputs!$K$5:$AJ$180,0,MATCH(D$2,Inputs!$K$4:$AJ$4,0)))+SUMPRODUCT((Inputs!$C$5:$C$180=$B30)*Inputs!$D$5:$D$180*(((Inputs!$G$5:$G$180="moeda")+(Inputs!$G$5:$G$180="acoes"))*Inputs!$B$1+((Inputs!$G$5:$G$180&lt;&gt;"moeda")*(Inputs!$G$5:$G$180&lt;&gt;"acoes")))*INDEX(Inputs!$K$5:$AJ$180,0,MATCH(D$2,Inputs!$K$4:$AJ$4,0)))+SUMPRODUCT((Inputs!$E$5:$E$180=$B30)*Inputs!$F$5:$F$180*(((Inputs!$G$5:$G$180="moeda")+(Inputs!$G$5:$G$180="acoes"))*Inputs!$B$1+((Inputs!$G$5:$G$180&lt;&gt;"moeda")*(Inputs!$G$5:$G$180&lt;&gt;"acoes")))*INDEX(Inputs!$K$5:$AJ$180,0,MATCH(D$2,Inputs!$K$4:$AJ$4,0)))))</f>
        <v>82.64400593</v>
      </c>
      <c r="E30" s="6">
        <f>IF(ISNA(MATCH(E$2,Inputs!$K$4:$AJ$4,0)),NA(),IF(SUMPRODUCT((Inputs!$A$5:$A$180=$B30)*ISNUMBER(INDEX(Inputs!$K$5:$AJ$180,0,MATCH(E$2,Inputs!$K$4:$AJ$4,0))))+SUMPRODUCT((Inputs!$C$5:$C$180=$B30)*ISNUMBER(INDEX(Inputs!$K$5:$AJ$180,0,MATCH(E$2,Inputs!$K$4:$AJ$4,0))))+SUMPRODUCT((Inputs!$E$5:$E$180=$B30)*ISNUMBER(INDEX(Inputs!$K$5:$AJ$180,0,MATCH(E$2,Inputs!$K$4:$AJ$4,0))))=0,NA(),SUMPRODUCT((Inputs!$A$5:$A$180=$B30)*Inputs!$B$5:$B$180*(((Inputs!$G$5:$G$180="moeda")+(Inputs!$G$5:$G$180="acoes"))*Inputs!$B$1+((Inputs!$G$5:$G$180&lt;&gt;"moeda")*(Inputs!$G$5:$G$180&lt;&gt;"acoes")))*INDEX(Inputs!$K$5:$AJ$180,0,MATCH(E$2,Inputs!$K$4:$AJ$4,0)))+SUMPRODUCT((Inputs!$C$5:$C$180=$B30)*Inputs!$D$5:$D$180*(((Inputs!$G$5:$G$180="moeda")+(Inputs!$G$5:$G$180="acoes"))*Inputs!$B$1+((Inputs!$G$5:$G$180&lt;&gt;"moeda")*(Inputs!$G$5:$G$180&lt;&gt;"acoes")))*INDEX(Inputs!$K$5:$AJ$180,0,MATCH(E$2,Inputs!$K$4:$AJ$4,0)))+SUMPRODUCT((Inputs!$E$5:$E$180=$B30)*Inputs!$F$5:$F$180*(((Inputs!$G$5:$G$180="moeda")+(Inputs!$G$5:$G$180="acoes"))*Inputs!$B$1+((Inputs!$G$5:$G$180&lt;&gt;"moeda")*(Inputs!$G$5:$G$180&lt;&gt;"acoes")))*INDEX(Inputs!$K$5:$AJ$180,0,MATCH(E$2,Inputs!$K$4:$AJ$4,0)))))</f>
        <v>84.15495263</v>
      </c>
      <c r="F30" s="6">
        <f>IF(ISNA(MATCH(F$2,Inputs!$K$4:$AJ$4,0)),NA(),IF(SUMPRODUCT((Inputs!$A$5:$A$180=$B30)*ISNUMBER(INDEX(Inputs!$K$5:$AJ$180,0,MATCH(F$2,Inputs!$K$4:$AJ$4,0))))+SUMPRODUCT((Inputs!$C$5:$C$180=$B30)*ISNUMBER(INDEX(Inputs!$K$5:$AJ$180,0,MATCH(F$2,Inputs!$K$4:$AJ$4,0))))+SUMPRODUCT((Inputs!$E$5:$E$180=$B30)*ISNUMBER(INDEX(Inputs!$K$5:$AJ$180,0,MATCH(F$2,Inputs!$K$4:$AJ$4,0))))=0,NA(),SUMPRODUCT((Inputs!$A$5:$A$180=$B30)*Inputs!$B$5:$B$180*(((Inputs!$G$5:$G$180="moeda")+(Inputs!$G$5:$G$180="acoes"))*Inputs!$B$1+((Inputs!$G$5:$G$180&lt;&gt;"moeda")*(Inputs!$G$5:$G$180&lt;&gt;"acoes")))*INDEX(Inputs!$K$5:$AJ$180,0,MATCH(F$2,Inputs!$K$4:$AJ$4,0)))+SUMPRODUCT((Inputs!$C$5:$C$180=$B30)*Inputs!$D$5:$D$180*(((Inputs!$G$5:$G$180="moeda")+(Inputs!$G$5:$G$180="acoes"))*Inputs!$B$1+((Inputs!$G$5:$G$180&lt;&gt;"moeda")*(Inputs!$G$5:$G$180&lt;&gt;"acoes")))*INDEX(Inputs!$K$5:$AJ$180,0,MATCH(F$2,Inputs!$K$4:$AJ$4,0)))+SUMPRODUCT((Inputs!$E$5:$E$180=$B30)*Inputs!$F$5:$F$180*(((Inputs!$G$5:$G$180="moeda")+(Inputs!$G$5:$G$180="acoes"))*Inputs!$B$1+((Inputs!$G$5:$G$180&lt;&gt;"moeda")*(Inputs!$G$5:$G$180&lt;&gt;"acoes")))*INDEX(Inputs!$K$5:$AJ$180,0,MATCH(F$2,Inputs!$K$4:$AJ$4,0)))))</f>
        <v>191.66460878</v>
      </c>
      <c r="G30" s="6">
        <f>IF(ISNA(MATCH(G$2,Inputs!$K$4:$AJ$4,0)),NA(),IF(SUMPRODUCT((Inputs!$A$5:$A$180=$B30)*ISNUMBER(INDEX(Inputs!$K$5:$AJ$180,0,MATCH(G$2,Inputs!$K$4:$AJ$4,0))))+SUMPRODUCT((Inputs!$C$5:$C$180=$B30)*ISNUMBER(INDEX(Inputs!$K$5:$AJ$180,0,MATCH(G$2,Inputs!$K$4:$AJ$4,0))))+SUMPRODUCT((Inputs!$E$5:$E$180=$B30)*ISNUMBER(INDEX(Inputs!$K$5:$AJ$180,0,MATCH(G$2,Inputs!$K$4:$AJ$4,0))))=0,NA(),SUMPRODUCT((Inputs!$A$5:$A$180=$B30)*Inputs!$B$5:$B$180*(((Inputs!$G$5:$G$180="moeda")+(Inputs!$G$5:$G$180="acoes"))*Inputs!$B$1+((Inputs!$G$5:$G$180&lt;&gt;"moeda")*(Inputs!$G$5:$G$180&lt;&gt;"acoes")))*INDEX(Inputs!$K$5:$AJ$180,0,MATCH(G$2,Inputs!$K$4:$AJ$4,0)))+SUMPRODUCT((Inputs!$C$5:$C$180=$B30)*Inputs!$D$5:$D$180*(((Inputs!$G$5:$G$180="moeda")+(Inputs!$G$5:$G$180="acoes"))*Inputs!$B$1+((Inputs!$G$5:$G$180&lt;&gt;"moeda")*(Inputs!$G$5:$G$180&lt;&gt;"acoes")))*INDEX(Inputs!$K$5:$AJ$180,0,MATCH(G$2,Inputs!$K$4:$AJ$4,0)))+SUMPRODUCT((Inputs!$E$5:$E$180=$B30)*Inputs!$F$5:$F$180*(((Inputs!$G$5:$G$180="moeda")+(Inputs!$G$5:$G$180="acoes"))*Inputs!$B$1+((Inputs!$G$5:$G$180&lt;&gt;"moeda")*(Inputs!$G$5:$G$180&lt;&gt;"acoes")))*INDEX(Inputs!$K$5:$AJ$180,0,MATCH(G$2,Inputs!$K$4:$AJ$4,0)))))</f>
        <v>91.24440729</v>
      </c>
      <c r="H30" s="3">
        <f>G30</f>
        <v>91.24440729</v>
      </c>
      <c r="I30" s="6">
        <f>IF(ISNA(MATCH(I$2,Inputs!$K$4:$AJ$4,0)),NA(),IF(SUMPRODUCT((Inputs!$A$5:$A$180=$B30)*ISNUMBER(INDEX(Inputs!$K$5:$AJ$180,0,MATCH(I$2,Inputs!$K$4:$AJ$4,0))))+SUMPRODUCT((Inputs!$C$5:$C$180=$B30)*ISNUMBER(INDEX(Inputs!$K$5:$AJ$180,0,MATCH(I$2,Inputs!$K$4:$AJ$4,0))))+SUMPRODUCT((Inputs!$E$5:$E$180=$B30)*ISNUMBER(INDEX(Inputs!$K$5:$AJ$180,0,MATCH(I$2,Inputs!$K$4:$AJ$4,0))))=0,NA(),SUMPRODUCT((Inputs!$A$5:$A$180=$B30)*Inputs!$B$5:$B$180*(((Inputs!$G$5:$G$180="moeda")+(Inputs!$G$5:$G$180="acoes"))*Inputs!$B$1+((Inputs!$G$5:$G$180&lt;&gt;"moeda")*(Inputs!$G$5:$G$180&lt;&gt;"acoes")))*INDEX(Inputs!$K$5:$AJ$180,0,MATCH(I$2,Inputs!$K$4:$AJ$4,0)))+SUMPRODUCT((Inputs!$C$5:$C$180=$B30)*Inputs!$D$5:$D$180*(((Inputs!$G$5:$G$180="moeda")+(Inputs!$G$5:$G$180="acoes"))*Inputs!$B$1+((Inputs!$G$5:$G$180&lt;&gt;"moeda")*(Inputs!$G$5:$G$180&lt;&gt;"acoes")))*INDEX(Inputs!$K$5:$AJ$180,0,MATCH(I$2,Inputs!$K$4:$AJ$4,0)))+SUMPRODUCT((Inputs!$E$5:$E$180=$B30)*Inputs!$F$5:$F$180*(((Inputs!$G$5:$G$180="moeda")+(Inputs!$G$5:$G$180="acoes"))*Inputs!$B$1+((Inputs!$G$5:$G$180&lt;&gt;"moeda")*(Inputs!$G$5:$G$180&lt;&gt;"acoes")))*INDEX(Inputs!$K$5:$AJ$180,0,MATCH(I$2,Inputs!$K$4:$AJ$4,0)))))</f>
        <v>81.85342882</v>
      </c>
      <c r="J30" s="6">
        <f>IF(ISNA(MATCH(J$2,Inputs!$K$4:$AJ$4,0)),NA(),IF(SUMPRODUCT((Inputs!$A$5:$A$180=$B30)*ISNUMBER(INDEX(Inputs!$K$5:$AJ$180,0,MATCH(J$2,Inputs!$K$4:$AJ$4,0))))+SUMPRODUCT((Inputs!$C$5:$C$180=$B30)*ISNUMBER(INDEX(Inputs!$K$5:$AJ$180,0,MATCH(J$2,Inputs!$K$4:$AJ$4,0))))+SUMPRODUCT((Inputs!$E$5:$E$180=$B30)*ISNUMBER(INDEX(Inputs!$K$5:$AJ$180,0,MATCH(J$2,Inputs!$K$4:$AJ$4,0))))=0,NA(),SUMPRODUCT((Inputs!$A$5:$A$180=$B30)*Inputs!$B$5:$B$180*(((Inputs!$G$5:$G$180="moeda")+(Inputs!$G$5:$G$180="acoes"))*Inputs!$B$1+((Inputs!$G$5:$G$180&lt;&gt;"moeda")*(Inputs!$G$5:$G$180&lt;&gt;"acoes")))*INDEX(Inputs!$K$5:$AJ$180,0,MATCH(J$2,Inputs!$K$4:$AJ$4,0)))+SUMPRODUCT((Inputs!$C$5:$C$180=$B30)*Inputs!$D$5:$D$180*(((Inputs!$G$5:$G$180="moeda")+(Inputs!$G$5:$G$180="acoes"))*Inputs!$B$1+((Inputs!$G$5:$G$180&lt;&gt;"moeda")*(Inputs!$G$5:$G$180&lt;&gt;"acoes")))*INDEX(Inputs!$K$5:$AJ$180,0,MATCH(J$2,Inputs!$K$4:$AJ$4,0)))+SUMPRODUCT((Inputs!$E$5:$E$180=$B30)*Inputs!$F$5:$F$180*(((Inputs!$G$5:$G$180="moeda")+(Inputs!$G$5:$G$180="acoes"))*Inputs!$B$1+((Inputs!$G$5:$G$180&lt;&gt;"moeda")*(Inputs!$G$5:$G$180&lt;&gt;"acoes")))*INDEX(Inputs!$K$5:$AJ$180,0,MATCH(J$2,Inputs!$K$4:$AJ$4,0)))))</f>
        <v>124.66710529</v>
      </c>
      <c r="K30" s="6">
        <f>IF(ISNA(MATCH(K$2,Inputs!$K$4:$AJ$4,0)),NA(),IF(SUMPRODUCT((Inputs!$A$5:$A$180=$B30)*ISNUMBER(INDEX(Inputs!$K$5:$AJ$180,0,MATCH(K$2,Inputs!$K$4:$AJ$4,0))))+SUMPRODUCT((Inputs!$C$5:$C$180=$B30)*ISNUMBER(INDEX(Inputs!$K$5:$AJ$180,0,MATCH(K$2,Inputs!$K$4:$AJ$4,0))))+SUMPRODUCT((Inputs!$E$5:$E$180=$B30)*ISNUMBER(INDEX(Inputs!$K$5:$AJ$180,0,MATCH(K$2,Inputs!$K$4:$AJ$4,0))))=0,NA(),SUMPRODUCT((Inputs!$A$5:$A$180=$B30)*Inputs!$B$5:$B$180*(((Inputs!$G$5:$G$180="moeda")+(Inputs!$G$5:$G$180="acoes"))*Inputs!$B$1+((Inputs!$G$5:$G$180&lt;&gt;"moeda")*(Inputs!$G$5:$G$180&lt;&gt;"acoes")))*INDEX(Inputs!$K$5:$AJ$180,0,MATCH(K$2,Inputs!$K$4:$AJ$4,0)))+SUMPRODUCT((Inputs!$C$5:$C$180=$B30)*Inputs!$D$5:$D$180*(((Inputs!$G$5:$G$180="moeda")+(Inputs!$G$5:$G$180="acoes"))*Inputs!$B$1+((Inputs!$G$5:$G$180&lt;&gt;"moeda")*(Inputs!$G$5:$G$180&lt;&gt;"acoes")))*INDEX(Inputs!$K$5:$AJ$180,0,MATCH(K$2,Inputs!$K$4:$AJ$4,0)))+SUMPRODUCT((Inputs!$E$5:$E$180=$B30)*Inputs!$F$5:$F$180*(((Inputs!$G$5:$G$180="moeda")+(Inputs!$G$5:$G$180="acoes"))*Inputs!$B$1+((Inputs!$G$5:$G$180&lt;&gt;"moeda")*(Inputs!$G$5:$G$180&lt;&gt;"acoes")))*INDEX(Inputs!$K$5:$AJ$180,0,MATCH(K$2,Inputs!$K$4:$AJ$4,0)))))</f>
        <v>173.02486096</v>
      </c>
      <c r="L30" s="6">
        <f>IF(ISNA(MATCH(L$2,Inputs!$K$4:$AJ$4,0)),NA(),IF(SUMPRODUCT((Inputs!$A$5:$A$180=$B30)*ISNUMBER(INDEX(Inputs!$K$5:$AJ$180,0,MATCH(L$2,Inputs!$K$4:$AJ$4,0))))+SUMPRODUCT((Inputs!$C$5:$C$180=$B30)*ISNUMBER(INDEX(Inputs!$K$5:$AJ$180,0,MATCH(L$2,Inputs!$K$4:$AJ$4,0))))+SUMPRODUCT((Inputs!$E$5:$E$180=$B30)*ISNUMBER(INDEX(Inputs!$K$5:$AJ$180,0,MATCH(L$2,Inputs!$K$4:$AJ$4,0))))=0,NA(),SUMPRODUCT((Inputs!$A$5:$A$180=$B30)*Inputs!$B$5:$B$180*(((Inputs!$G$5:$G$180="moeda")+(Inputs!$G$5:$G$180="acoes"))*Inputs!$B$1+((Inputs!$G$5:$G$180&lt;&gt;"moeda")*(Inputs!$G$5:$G$180&lt;&gt;"acoes")))*INDEX(Inputs!$K$5:$AJ$180,0,MATCH(L$2,Inputs!$K$4:$AJ$4,0)))+SUMPRODUCT((Inputs!$C$5:$C$180=$B30)*Inputs!$D$5:$D$180*(((Inputs!$G$5:$G$180="moeda")+(Inputs!$G$5:$G$180="acoes"))*Inputs!$B$1+((Inputs!$G$5:$G$180&lt;&gt;"moeda")*(Inputs!$G$5:$G$180&lt;&gt;"acoes")))*INDEX(Inputs!$K$5:$AJ$180,0,MATCH(L$2,Inputs!$K$4:$AJ$4,0)))+SUMPRODUCT((Inputs!$E$5:$E$180=$B30)*Inputs!$F$5:$F$180*(((Inputs!$G$5:$G$180="moeda")+(Inputs!$G$5:$G$180="acoes"))*Inputs!$B$1+((Inputs!$G$5:$G$180&lt;&gt;"moeda")*(Inputs!$G$5:$G$180&lt;&gt;"acoes")))*INDEX(Inputs!$K$5:$AJ$180,0,MATCH(L$2,Inputs!$K$4:$AJ$4,0)))))</f>
        <v>47.92208004</v>
      </c>
      <c r="M30" s="3">
        <f>L30</f>
        <v>47.92208004</v>
      </c>
      <c r="N30" s="6">
        <f>IF(ISNA(MATCH(N$2,Inputs!$K$4:$AJ$4,0)),NA(),IF(SUMPRODUCT((Inputs!$A$5:$A$180=$B30)*ISNUMBER(INDEX(Inputs!$K$5:$AJ$180,0,MATCH(N$2,Inputs!$K$4:$AJ$4,0))))+SUMPRODUCT((Inputs!$C$5:$C$180=$B30)*ISNUMBER(INDEX(Inputs!$K$5:$AJ$180,0,MATCH(N$2,Inputs!$K$4:$AJ$4,0))))+SUMPRODUCT((Inputs!$E$5:$E$180=$B30)*ISNUMBER(INDEX(Inputs!$K$5:$AJ$180,0,MATCH(N$2,Inputs!$K$4:$AJ$4,0))))=0,NA(),SUMPRODUCT((Inputs!$A$5:$A$180=$B30)*Inputs!$B$5:$B$180*(((Inputs!$G$5:$G$180="moeda")+(Inputs!$G$5:$G$180="acoes"))*Inputs!$B$1+((Inputs!$G$5:$G$180&lt;&gt;"moeda")*(Inputs!$G$5:$G$180&lt;&gt;"acoes")))*INDEX(Inputs!$K$5:$AJ$180,0,MATCH(N$2,Inputs!$K$4:$AJ$4,0)))+SUMPRODUCT((Inputs!$C$5:$C$180=$B30)*Inputs!$D$5:$D$180*(((Inputs!$G$5:$G$180="moeda")+(Inputs!$G$5:$G$180="acoes"))*Inputs!$B$1+((Inputs!$G$5:$G$180&lt;&gt;"moeda")*(Inputs!$G$5:$G$180&lt;&gt;"acoes")))*INDEX(Inputs!$K$5:$AJ$180,0,MATCH(N$2,Inputs!$K$4:$AJ$4,0)))+SUMPRODUCT((Inputs!$E$5:$E$180=$B30)*Inputs!$F$5:$F$180*(((Inputs!$G$5:$G$180="moeda")+(Inputs!$G$5:$G$180="acoes"))*Inputs!$B$1+((Inputs!$G$5:$G$180&lt;&gt;"moeda")*(Inputs!$G$5:$G$180&lt;&gt;"acoes")))*INDEX(Inputs!$K$5:$AJ$180,0,MATCH(N$2,Inputs!$K$4:$AJ$4,0)))))</f>
        <v>59.47314835</v>
      </c>
      <c r="O30" s="6">
        <f>IF(ISNA(MATCH(O$2,Inputs!$K$4:$AJ$4,0)),NA(),IF(SUMPRODUCT((Inputs!$A$5:$A$180=$B30)*ISNUMBER(INDEX(Inputs!$K$5:$AJ$180,0,MATCH(O$2,Inputs!$K$4:$AJ$4,0))))+SUMPRODUCT((Inputs!$C$5:$C$180=$B30)*ISNUMBER(INDEX(Inputs!$K$5:$AJ$180,0,MATCH(O$2,Inputs!$K$4:$AJ$4,0))))+SUMPRODUCT((Inputs!$E$5:$E$180=$B30)*ISNUMBER(INDEX(Inputs!$K$5:$AJ$180,0,MATCH(O$2,Inputs!$K$4:$AJ$4,0))))=0,NA(),SUMPRODUCT((Inputs!$A$5:$A$180=$B30)*Inputs!$B$5:$B$180*(((Inputs!$G$5:$G$180="moeda")+(Inputs!$G$5:$G$180="acoes"))*Inputs!$B$1+((Inputs!$G$5:$G$180&lt;&gt;"moeda")*(Inputs!$G$5:$G$180&lt;&gt;"acoes")))*INDEX(Inputs!$K$5:$AJ$180,0,MATCH(O$2,Inputs!$K$4:$AJ$4,0)))+SUMPRODUCT((Inputs!$C$5:$C$180=$B30)*Inputs!$D$5:$D$180*(((Inputs!$G$5:$G$180="moeda")+(Inputs!$G$5:$G$180="acoes"))*Inputs!$B$1+((Inputs!$G$5:$G$180&lt;&gt;"moeda")*(Inputs!$G$5:$G$180&lt;&gt;"acoes")))*INDEX(Inputs!$K$5:$AJ$180,0,MATCH(O$2,Inputs!$K$4:$AJ$4,0)))+SUMPRODUCT((Inputs!$E$5:$E$180=$B30)*Inputs!$F$5:$F$180*(((Inputs!$G$5:$G$180="moeda")+(Inputs!$G$5:$G$180="acoes"))*Inputs!$B$1+((Inputs!$G$5:$G$180&lt;&gt;"moeda")*(Inputs!$G$5:$G$180&lt;&gt;"acoes")))*INDEX(Inputs!$K$5:$AJ$180,0,MATCH(O$2,Inputs!$K$4:$AJ$4,0)))))</f>
        <v>80.564</v>
      </c>
      <c r="P30" s="6">
        <f>IF(ISNA(MATCH(P$2,Inputs!$K$4:$AJ$4,0)),NA(),IF(SUMPRODUCT((Inputs!$A$5:$A$180=$B30)*ISNUMBER(INDEX(Inputs!$K$5:$AJ$180,0,MATCH(P$2,Inputs!$K$4:$AJ$4,0))))+SUMPRODUCT((Inputs!$C$5:$C$180=$B30)*ISNUMBER(INDEX(Inputs!$K$5:$AJ$180,0,MATCH(P$2,Inputs!$K$4:$AJ$4,0))))+SUMPRODUCT((Inputs!$E$5:$E$180=$B30)*ISNUMBER(INDEX(Inputs!$K$5:$AJ$180,0,MATCH(P$2,Inputs!$K$4:$AJ$4,0))))=0,NA(),SUMPRODUCT((Inputs!$A$5:$A$180=$B30)*Inputs!$B$5:$B$180*(((Inputs!$G$5:$G$180="moeda")+(Inputs!$G$5:$G$180="acoes"))*Inputs!$B$1+((Inputs!$G$5:$G$180&lt;&gt;"moeda")*(Inputs!$G$5:$G$180&lt;&gt;"acoes")))*INDEX(Inputs!$K$5:$AJ$180,0,MATCH(P$2,Inputs!$K$4:$AJ$4,0)))+SUMPRODUCT((Inputs!$C$5:$C$180=$B30)*Inputs!$D$5:$D$180*(((Inputs!$G$5:$G$180="moeda")+(Inputs!$G$5:$G$180="acoes"))*Inputs!$B$1+((Inputs!$G$5:$G$180&lt;&gt;"moeda")*(Inputs!$G$5:$G$180&lt;&gt;"acoes")))*INDEX(Inputs!$K$5:$AJ$180,0,MATCH(P$2,Inputs!$K$4:$AJ$4,0)))+SUMPRODUCT((Inputs!$E$5:$E$180=$B30)*Inputs!$F$5:$F$180*(((Inputs!$G$5:$G$180="moeda")+(Inputs!$G$5:$G$180="acoes"))*Inputs!$B$1+((Inputs!$G$5:$G$180&lt;&gt;"moeda")*(Inputs!$G$5:$G$180&lt;&gt;"acoes")))*INDEX(Inputs!$K$5:$AJ$180,0,MATCH(P$2,Inputs!$K$4:$AJ$4,0)))))</f>
        <v>84.038</v>
      </c>
      <c r="Q30" s="6">
        <f>IF(ISNA(MATCH(Q$2,Inputs!$K$4:$AJ$4,0)),NA(),IF(SUMPRODUCT((Inputs!$A$5:$A$180=$B30)*ISNUMBER(INDEX(Inputs!$K$5:$AJ$180,0,MATCH(Q$2,Inputs!$K$4:$AJ$4,0))))+SUMPRODUCT((Inputs!$C$5:$C$180=$B30)*ISNUMBER(INDEX(Inputs!$K$5:$AJ$180,0,MATCH(Q$2,Inputs!$K$4:$AJ$4,0))))+SUMPRODUCT((Inputs!$E$5:$E$180=$B30)*ISNUMBER(INDEX(Inputs!$K$5:$AJ$180,0,MATCH(Q$2,Inputs!$K$4:$AJ$4,0))))=0,NA(),SUMPRODUCT((Inputs!$A$5:$A$180=$B30)*Inputs!$B$5:$B$180*(((Inputs!$G$5:$G$180="moeda")+(Inputs!$G$5:$G$180="acoes"))*Inputs!$B$1+((Inputs!$G$5:$G$180&lt;&gt;"moeda")*(Inputs!$G$5:$G$180&lt;&gt;"acoes")))*INDEX(Inputs!$K$5:$AJ$180,0,MATCH(Q$2,Inputs!$K$4:$AJ$4,0)))+SUMPRODUCT((Inputs!$C$5:$C$180=$B30)*Inputs!$D$5:$D$180*(((Inputs!$G$5:$G$180="moeda")+(Inputs!$G$5:$G$180="acoes"))*Inputs!$B$1+((Inputs!$G$5:$G$180&lt;&gt;"moeda")*(Inputs!$G$5:$G$180&lt;&gt;"acoes")))*INDEX(Inputs!$K$5:$AJ$180,0,MATCH(Q$2,Inputs!$K$4:$AJ$4,0)))+SUMPRODUCT((Inputs!$E$5:$E$180=$B30)*Inputs!$F$5:$F$180*(((Inputs!$G$5:$G$180="moeda")+(Inputs!$G$5:$G$180="acoes"))*Inputs!$B$1+((Inputs!$G$5:$G$180&lt;&gt;"moeda")*(Inputs!$G$5:$G$180&lt;&gt;"acoes")))*INDEX(Inputs!$K$5:$AJ$180,0,MATCH(Q$2,Inputs!$K$4:$AJ$4,0)))))</f>
        <v>80.583</v>
      </c>
      <c r="R30" s="3">
        <f>Q30</f>
        <v>80.583</v>
      </c>
      <c r="S30" s="6">
        <f>IF(ISNA(MATCH(S$2,Inputs!$K$4:$AJ$4,0)),NA(),IF(SUMPRODUCT((Inputs!$A$5:$A$180=$B30)*ISNUMBER(INDEX(Inputs!$K$5:$AJ$180,0,MATCH(S$2,Inputs!$K$4:$AJ$4,0))))+SUMPRODUCT((Inputs!$C$5:$C$180=$B30)*ISNUMBER(INDEX(Inputs!$K$5:$AJ$180,0,MATCH(S$2,Inputs!$K$4:$AJ$4,0))))+SUMPRODUCT((Inputs!$E$5:$E$180=$B30)*ISNUMBER(INDEX(Inputs!$K$5:$AJ$180,0,MATCH(S$2,Inputs!$K$4:$AJ$4,0))))=0,NA(),SUMPRODUCT((Inputs!$A$5:$A$180=$B30)*Inputs!$B$5:$B$180*(((Inputs!$G$5:$G$180="moeda")+(Inputs!$G$5:$G$180="acoes"))*Inputs!$B$1+((Inputs!$G$5:$G$180&lt;&gt;"moeda")*(Inputs!$G$5:$G$180&lt;&gt;"acoes")))*INDEX(Inputs!$K$5:$AJ$180,0,MATCH(S$2,Inputs!$K$4:$AJ$4,0)))+SUMPRODUCT((Inputs!$C$5:$C$180=$B30)*Inputs!$D$5:$D$180*(((Inputs!$G$5:$G$180="moeda")+(Inputs!$G$5:$G$180="acoes"))*Inputs!$B$1+((Inputs!$G$5:$G$180&lt;&gt;"moeda")*(Inputs!$G$5:$G$180&lt;&gt;"acoes")))*INDEX(Inputs!$K$5:$AJ$180,0,MATCH(S$2,Inputs!$K$4:$AJ$4,0)))+SUMPRODUCT((Inputs!$E$5:$E$180=$B30)*Inputs!$F$5:$F$180*(((Inputs!$G$5:$G$180="moeda")+(Inputs!$G$5:$G$180="acoes"))*Inputs!$B$1+((Inputs!$G$5:$G$180&lt;&gt;"moeda")*(Inputs!$G$5:$G$180&lt;&gt;"acoes")))*INDEX(Inputs!$K$5:$AJ$180,0,MATCH(S$2,Inputs!$K$4:$AJ$4,0)))))</f>
        <v>75.011</v>
      </c>
      <c r="T30" s="6">
        <f>IF(ISNA(MATCH(T$2,Inputs!$K$4:$AJ$4,0)),NA(),IF(SUMPRODUCT((Inputs!$A$5:$A$180=$B30)*ISNUMBER(INDEX(Inputs!$K$5:$AJ$180,0,MATCH(T$2,Inputs!$K$4:$AJ$4,0))))+SUMPRODUCT((Inputs!$C$5:$C$180=$B30)*ISNUMBER(INDEX(Inputs!$K$5:$AJ$180,0,MATCH(T$2,Inputs!$K$4:$AJ$4,0))))+SUMPRODUCT((Inputs!$E$5:$E$180=$B30)*ISNUMBER(INDEX(Inputs!$K$5:$AJ$180,0,MATCH(T$2,Inputs!$K$4:$AJ$4,0))))=0,NA(),SUMPRODUCT((Inputs!$A$5:$A$180=$B30)*Inputs!$B$5:$B$180*(((Inputs!$G$5:$G$180="moeda")+(Inputs!$G$5:$G$180="acoes"))*Inputs!$B$1+((Inputs!$G$5:$G$180&lt;&gt;"moeda")*(Inputs!$G$5:$G$180&lt;&gt;"acoes")))*INDEX(Inputs!$K$5:$AJ$180,0,MATCH(T$2,Inputs!$K$4:$AJ$4,0)))+SUMPRODUCT((Inputs!$C$5:$C$180=$B30)*Inputs!$D$5:$D$180*(((Inputs!$G$5:$G$180="moeda")+(Inputs!$G$5:$G$180="acoes"))*Inputs!$B$1+((Inputs!$G$5:$G$180&lt;&gt;"moeda")*(Inputs!$G$5:$G$180&lt;&gt;"acoes")))*INDEX(Inputs!$K$5:$AJ$180,0,MATCH(T$2,Inputs!$K$4:$AJ$4,0)))+SUMPRODUCT((Inputs!$E$5:$E$180=$B30)*Inputs!$F$5:$F$180*(((Inputs!$G$5:$G$180="moeda")+(Inputs!$G$5:$G$180="acoes"))*Inputs!$B$1+((Inputs!$G$5:$G$180&lt;&gt;"moeda")*(Inputs!$G$5:$G$180&lt;&gt;"acoes")))*INDEX(Inputs!$K$5:$AJ$180,0,MATCH(T$2,Inputs!$K$4:$AJ$4,0)))))</f>
        <v>109.283</v>
      </c>
      <c r="U30" s="6">
        <f>IF(ISNA(MATCH(U$2,Inputs!$K$4:$AJ$4,0)),NA(),IF(SUMPRODUCT((Inputs!$A$5:$A$180=$B30)*ISNUMBER(INDEX(Inputs!$K$5:$AJ$180,0,MATCH(U$2,Inputs!$K$4:$AJ$4,0))))+SUMPRODUCT((Inputs!$C$5:$C$180=$B30)*ISNUMBER(INDEX(Inputs!$K$5:$AJ$180,0,MATCH(U$2,Inputs!$K$4:$AJ$4,0))))+SUMPRODUCT((Inputs!$E$5:$E$180=$B30)*ISNUMBER(INDEX(Inputs!$K$5:$AJ$180,0,MATCH(U$2,Inputs!$K$4:$AJ$4,0))))=0,NA(),SUMPRODUCT((Inputs!$A$5:$A$180=$B30)*Inputs!$B$5:$B$180*(((Inputs!$G$5:$G$180="moeda")+(Inputs!$G$5:$G$180="acoes"))*Inputs!$B$1+((Inputs!$G$5:$G$180&lt;&gt;"moeda")*(Inputs!$G$5:$G$180&lt;&gt;"acoes")))*INDEX(Inputs!$K$5:$AJ$180,0,MATCH(U$2,Inputs!$K$4:$AJ$4,0)))+SUMPRODUCT((Inputs!$C$5:$C$180=$B30)*Inputs!$D$5:$D$180*(((Inputs!$G$5:$G$180="moeda")+(Inputs!$G$5:$G$180="acoes"))*Inputs!$B$1+((Inputs!$G$5:$G$180&lt;&gt;"moeda")*(Inputs!$G$5:$G$180&lt;&gt;"acoes")))*INDEX(Inputs!$K$5:$AJ$180,0,MATCH(U$2,Inputs!$K$4:$AJ$4,0)))+SUMPRODUCT((Inputs!$E$5:$E$180=$B30)*Inputs!$F$5:$F$180*(((Inputs!$G$5:$G$180="moeda")+(Inputs!$G$5:$G$180="acoes"))*Inputs!$B$1+((Inputs!$G$5:$G$180&lt;&gt;"moeda")*(Inputs!$G$5:$G$180&lt;&gt;"acoes")))*INDEX(Inputs!$K$5:$AJ$180,0,MATCH(U$2,Inputs!$K$4:$AJ$4,0)))))</f>
        <v>95.523</v>
      </c>
      <c r="V30" s="6">
        <f>IF(ISNA(MATCH(V$2,Inputs!$K$4:$AJ$4,0)),NA(),IF(SUMPRODUCT((Inputs!$A$5:$A$180=$B30)*ISNUMBER(INDEX(Inputs!$K$5:$AJ$180,0,MATCH(V$2,Inputs!$K$4:$AJ$4,0))))+SUMPRODUCT((Inputs!$C$5:$C$180=$B30)*ISNUMBER(INDEX(Inputs!$K$5:$AJ$180,0,MATCH(V$2,Inputs!$K$4:$AJ$4,0))))+SUMPRODUCT((Inputs!$E$5:$E$180=$B30)*ISNUMBER(INDEX(Inputs!$K$5:$AJ$180,0,MATCH(V$2,Inputs!$K$4:$AJ$4,0))))=0,NA(),SUMPRODUCT((Inputs!$A$5:$A$180=$B30)*Inputs!$B$5:$B$180*(((Inputs!$G$5:$G$180="moeda")+(Inputs!$G$5:$G$180="acoes"))*Inputs!$B$1+((Inputs!$G$5:$G$180&lt;&gt;"moeda")*(Inputs!$G$5:$G$180&lt;&gt;"acoes")))*INDEX(Inputs!$K$5:$AJ$180,0,MATCH(V$2,Inputs!$K$4:$AJ$4,0)))+SUMPRODUCT((Inputs!$C$5:$C$180=$B30)*Inputs!$D$5:$D$180*(((Inputs!$G$5:$G$180="moeda")+(Inputs!$G$5:$G$180="acoes"))*Inputs!$B$1+((Inputs!$G$5:$G$180&lt;&gt;"moeda")*(Inputs!$G$5:$G$180&lt;&gt;"acoes")))*INDEX(Inputs!$K$5:$AJ$180,0,MATCH(V$2,Inputs!$K$4:$AJ$4,0)))+SUMPRODUCT((Inputs!$E$5:$E$180=$B30)*Inputs!$F$5:$F$180*(((Inputs!$G$5:$G$180="moeda")+(Inputs!$G$5:$G$180="acoes"))*Inputs!$B$1+((Inputs!$G$5:$G$180&lt;&gt;"moeda")*(Inputs!$G$5:$G$180&lt;&gt;"acoes")))*INDEX(Inputs!$K$5:$AJ$180,0,MATCH(V$2,Inputs!$K$4:$AJ$4,0)))))</f>
        <v>98.581</v>
      </c>
      <c r="W30" s="3">
        <f>V30</f>
        <v>98.581</v>
      </c>
      <c r="X30" s="6">
        <f>IF(ISNA(MATCH(X$2,Inputs!$K$4:$AJ$4,0)),NA(),IF(SUMPRODUCT((Inputs!$A$5:$A$180=$B30)*ISNUMBER(INDEX(Inputs!$K$5:$AJ$180,0,MATCH(X$2,Inputs!$K$4:$AJ$4,0))))+SUMPRODUCT((Inputs!$C$5:$C$180=$B30)*ISNUMBER(INDEX(Inputs!$K$5:$AJ$180,0,MATCH(X$2,Inputs!$K$4:$AJ$4,0))))+SUMPRODUCT((Inputs!$E$5:$E$180=$B30)*ISNUMBER(INDEX(Inputs!$K$5:$AJ$180,0,MATCH(X$2,Inputs!$K$4:$AJ$4,0))))=0,NA(),SUMPRODUCT((Inputs!$A$5:$A$180=$B30)*Inputs!$B$5:$B$180*(((Inputs!$G$5:$G$180="moeda")+(Inputs!$G$5:$G$180="acoes"))*Inputs!$B$1+((Inputs!$G$5:$G$180&lt;&gt;"moeda")*(Inputs!$G$5:$G$180&lt;&gt;"acoes")))*INDEX(Inputs!$K$5:$AJ$180,0,MATCH(X$2,Inputs!$K$4:$AJ$4,0)))+SUMPRODUCT((Inputs!$C$5:$C$180=$B30)*Inputs!$D$5:$D$180*(((Inputs!$G$5:$G$180="moeda")+(Inputs!$G$5:$G$180="acoes"))*Inputs!$B$1+((Inputs!$G$5:$G$180&lt;&gt;"moeda")*(Inputs!$G$5:$G$180&lt;&gt;"acoes")))*INDEX(Inputs!$K$5:$AJ$180,0,MATCH(X$2,Inputs!$K$4:$AJ$4,0)))+SUMPRODUCT((Inputs!$E$5:$E$180=$B30)*Inputs!$F$5:$F$180*(((Inputs!$G$5:$G$180="moeda")+(Inputs!$G$5:$G$180="acoes"))*Inputs!$B$1+((Inputs!$G$5:$G$180&lt;&gt;"moeda")*(Inputs!$G$5:$G$180&lt;&gt;"acoes")))*INDEX(Inputs!$K$5:$AJ$180,0,MATCH(X$2,Inputs!$K$4:$AJ$4,0)))))</f>
        <v>85.512222</v>
      </c>
      <c r="Y30" s="6">
        <f>IF(ISNA(MATCH(Y$2,Inputs!$K$4:$AJ$4,0)),NA(),IF(SUMPRODUCT((Inputs!$A$5:$A$180=$B30)*ISNUMBER(INDEX(Inputs!$K$5:$AJ$180,0,MATCH(Y$2,Inputs!$K$4:$AJ$4,0))))+SUMPRODUCT((Inputs!$C$5:$C$180=$B30)*ISNUMBER(INDEX(Inputs!$K$5:$AJ$180,0,MATCH(Y$2,Inputs!$K$4:$AJ$4,0))))+SUMPRODUCT((Inputs!$E$5:$E$180=$B30)*ISNUMBER(INDEX(Inputs!$K$5:$AJ$180,0,MATCH(Y$2,Inputs!$K$4:$AJ$4,0))))=0,NA(),SUMPRODUCT((Inputs!$A$5:$A$180=$B30)*Inputs!$B$5:$B$180*(((Inputs!$G$5:$G$180="moeda")+(Inputs!$G$5:$G$180="acoes"))*Inputs!$B$1+((Inputs!$G$5:$G$180&lt;&gt;"moeda")*(Inputs!$G$5:$G$180&lt;&gt;"acoes")))*INDEX(Inputs!$K$5:$AJ$180,0,MATCH(Y$2,Inputs!$K$4:$AJ$4,0)))+SUMPRODUCT((Inputs!$C$5:$C$180=$B30)*Inputs!$D$5:$D$180*(((Inputs!$G$5:$G$180="moeda")+(Inputs!$G$5:$G$180="acoes"))*Inputs!$B$1+((Inputs!$G$5:$G$180&lt;&gt;"moeda")*(Inputs!$G$5:$G$180&lt;&gt;"acoes")))*INDEX(Inputs!$K$5:$AJ$180,0,MATCH(Y$2,Inputs!$K$4:$AJ$4,0)))+SUMPRODUCT((Inputs!$E$5:$E$180=$B30)*Inputs!$F$5:$F$180*(((Inputs!$G$5:$G$180="moeda")+(Inputs!$G$5:$G$180="acoes"))*Inputs!$B$1+((Inputs!$G$5:$G$180&lt;&gt;"moeda")*(Inputs!$G$5:$G$180&lt;&gt;"acoes")))*INDEX(Inputs!$K$5:$AJ$180,0,MATCH(Y$2,Inputs!$K$4:$AJ$4,0)))))</f>
        <v>103.274</v>
      </c>
      <c r="Z30" s="6">
        <f>IF(ISNA(MATCH(Z$2,Inputs!$K$4:$AJ$4,0)),NA(),IF(SUMPRODUCT((Inputs!$A$5:$A$180=$B30)*ISNUMBER(INDEX(Inputs!$K$5:$AJ$180,0,MATCH(Z$2,Inputs!$K$4:$AJ$4,0))))+SUMPRODUCT((Inputs!$C$5:$C$180=$B30)*ISNUMBER(INDEX(Inputs!$K$5:$AJ$180,0,MATCH(Z$2,Inputs!$K$4:$AJ$4,0))))+SUMPRODUCT((Inputs!$E$5:$E$180=$B30)*ISNUMBER(INDEX(Inputs!$K$5:$AJ$180,0,MATCH(Z$2,Inputs!$K$4:$AJ$4,0))))=0,NA(),SUMPRODUCT((Inputs!$A$5:$A$180=$B30)*Inputs!$B$5:$B$180*(((Inputs!$G$5:$G$180="moeda")+(Inputs!$G$5:$G$180="acoes"))*Inputs!$B$1+((Inputs!$G$5:$G$180&lt;&gt;"moeda")*(Inputs!$G$5:$G$180&lt;&gt;"acoes")))*INDEX(Inputs!$K$5:$AJ$180,0,MATCH(Z$2,Inputs!$K$4:$AJ$4,0)))+SUMPRODUCT((Inputs!$C$5:$C$180=$B30)*Inputs!$D$5:$D$180*(((Inputs!$G$5:$G$180="moeda")+(Inputs!$G$5:$G$180="acoes"))*Inputs!$B$1+((Inputs!$G$5:$G$180&lt;&gt;"moeda")*(Inputs!$G$5:$G$180&lt;&gt;"acoes")))*INDEX(Inputs!$K$5:$AJ$180,0,MATCH(Z$2,Inputs!$K$4:$AJ$4,0)))+SUMPRODUCT((Inputs!$E$5:$E$180=$B30)*Inputs!$F$5:$F$180*(((Inputs!$G$5:$G$180="moeda")+(Inputs!$G$5:$G$180="acoes"))*Inputs!$B$1+((Inputs!$G$5:$G$180&lt;&gt;"moeda")*(Inputs!$G$5:$G$180&lt;&gt;"acoes")))*INDEX(Inputs!$K$5:$AJ$180,0,MATCH(Z$2,Inputs!$K$4:$AJ$4,0)))))</f>
        <v>117.346</v>
      </c>
      <c r="AA30" s="6">
        <f>IF(ISNA(MATCH(AA$2,Inputs!$K$4:$AJ$4,0)),NA(),IF(SUMPRODUCT((Inputs!$A$5:$A$180=$B30)*ISNUMBER(INDEX(Inputs!$K$5:$AJ$180,0,MATCH(AA$2,Inputs!$K$4:$AJ$4,0))))+SUMPRODUCT((Inputs!$C$5:$C$180=$B30)*ISNUMBER(INDEX(Inputs!$K$5:$AJ$180,0,MATCH(AA$2,Inputs!$K$4:$AJ$4,0))))+SUMPRODUCT((Inputs!$E$5:$E$180=$B30)*ISNUMBER(INDEX(Inputs!$K$5:$AJ$180,0,MATCH(AA$2,Inputs!$K$4:$AJ$4,0))))=0,NA(),SUMPRODUCT((Inputs!$A$5:$A$180=$B30)*Inputs!$B$5:$B$180*(((Inputs!$G$5:$G$180="moeda")+(Inputs!$G$5:$G$180="acoes"))*Inputs!$B$1+((Inputs!$G$5:$G$180&lt;&gt;"moeda")*(Inputs!$G$5:$G$180&lt;&gt;"acoes")))*INDEX(Inputs!$K$5:$AJ$180,0,MATCH(AA$2,Inputs!$K$4:$AJ$4,0)))+SUMPRODUCT((Inputs!$C$5:$C$180=$B30)*Inputs!$D$5:$D$180*(((Inputs!$G$5:$G$180="moeda")+(Inputs!$G$5:$G$180="acoes"))*Inputs!$B$1+((Inputs!$G$5:$G$180&lt;&gt;"moeda")*(Inputs!$G$5:$G$180&lt;&gt;"acoes")))*INDEX(Inputs!$K$5:$AJ$180,0,MATCH(AA$2,Inputs!$K$4:$AJ$4,0)))+SUMPRODUCT((Inputs!$E$5:$E$180=$B30)*Inputs!$F$5:$F$180*(((Inputs!$G$5:$G$180="moeda")+(Inputs!$G$5:$G$180="acoes"))*Inputs!$B$1+((Inputs!$G$5:$G$180&lt;&gt;"moeda")*(Inputs!$G$5:$G$180&lt;&gt;"acoes")))*INDEX(Inputs!$K$5:$AJ$180,0,MATCH(AA$2,Inputs!$K$4:$AJ$4,0)))))</f>
        <v>97.53</v>
      </c>
      <c r="AB30" s="3">
        <f>AA30</f>
        <v>97.53</v>
      </c>
      <c r="AC30" s="6">
        <f>IF(ISNA(MATCH(AC$2,Inputs!$K$4:$AJ$4,0)),NA(),IF(SUMPRODUCT((Inputs!$A$5:$A$180=$B30)*ISNUMBER(INDEX(Inputs!$K$5:$AJ$180,0,MATCH(AC$2,Inputs!$K$4:$AJ$4,0))))+SUMPRODUCT((Inputs!$C$5:$C$180=$B30)*ISNUMBER(INDEX(Inputs!$K$5:$AJ$180,0,MATCH(AC$2,Inputs!$K$4:$AJ$4,0))))+SUMPRODUCT((Inputs!$E$5:$E$180=$B30)*ISNUMBER(INDEX(Inputs!$K$5:$AJ$180,0,MATCH(AC$2,Inputs!$K$4:$AJ$4,0))))=0,NA(),SUMPRODUCT((Inputs!$A$5:$A$180=$B30)*Inputs!$B$5:$B$180*(((Inputs!$G$5:$G$180="moeda")+(Inputs!$G$5:$G$180="acoes"))*Inputs!$B$1+((Inputs!$G$5:$G$180&lt;&gt;"moeda")*(Inputs!$G$5:$G$180&lt;&gt;"acoes")))*INDEX(Inputs!$K$5:$AJ$180,0,MATCH(AC$2,Inputs!$K$4:$AJ$4,0)))+SUMPRODUCT((Inputs!$C$5:$C$180=$B30)*Inputs!$D$5:$D$180*(((Inputs!$G$5:$G$180="moeda")+(Inputs!$G$5:$G$180="acoes"))*Inputs!$B$1+((Inputs!$G$5:$G$180&lt;&gt;"moeda")*(Inputs!$G$5:$G$180&lt;&gt;"acoes")))*INDEX(Inputs!$K$5:$AJ$180,0,MATCH(AC$2,Inputs!$K$4:$AJ$4,0)))+SUMPRODUCT((Inputs!$E$5:$E$180=$B30)*Inputs!$F$5:$F$180*(((Inputs!$G$5:$G$180="moeda")+(Inputs!$G$5:$G$180="acoes"))*Inputs!$B$1+((Inputs!$G$5:$G$180&lt;&gt;"moeda")*(Inputs!$G$5:$G$180&lt;&gt;"acoes")))*INDEX(Inputs!$K$5:$AJ$180,0,MATCH(AC$2,Inputs!$K$4:$AJ$4,0)))))</f>
        <v>89.248</v>
      </c>
      <c r="AD30" s="6">
        <f>IF(ISNA(MATCH(AD$2,Inputs!$K$4:$AJ$4,0)),NA(),IF(SUMPRODUCT((Inputs!$A$5:$A$180=$B30)*ISNUMBER(INDEX(Inputs!$K$5:$AJ$180,0,MATCH(AD$2,Inputs!$K$4:$AJ$4,0))))+SUMPRODUCT((Inputs!$C$5:$C$180=$B30)*ISNUMBER(INDEX(Inputs!$K$5:$AJ$180,0,MATCH(AD$2,Inputs!$K$4:$AJ$4,0))))+SUMPRODUCT((Inputs!$E$5:$E$180=$B30)*ISNUMBER(INDEX(Inputs!$K$5:$AJ$180,0,MATCH(AD$2,Inputs!$K$4:$AJ$4,0))))=0,NA(),SUMPRODUCT((Inputs!$A$5:$A$180=$B30)*Inputs!$B$5:$B$180*(((Inputs!$G$5:$G$180="moeda")+(Inputs!$G$5:$G$180="acoes"))*Inputs!$B$1+((Inputs!$G$5:$G$180&lt;&gt;"moeda")*(Inputs!$G$5:$G$180&lt;&gt;"acoes")))*INDEX(Inputs!$K$5:$AJ$180,0,MATCH(AD$2,Inputs!$K$4:$AJ$4,0)))+SUMPRODUCT((Inputs!$C$5:$C$180=$B30)*Inputs!$D$5:$D$180*(((Inputs!$G$5:$G$180="moeda")+(Inputs!$G$5:$G$180="acoes"))*Inputs!$B$1+((Inputs!$G$5:$G$180&lt;&gt;"moeda")*(Inputs!$G$5:$G$180&lt;&gt;"acoes")))*INDEX(Inputs!$K$5:$AJ$180,0,MATCH(AD$2,Inputs!$K$4:$AJ$4,0)))+SUMPRODUCT((Inputs!$E$5:$E$180=$B30)*Inputs!$F$5:$F$180*(((Inputs!$G$5:$G$180="moeda")+(Inputs!$G$5:$G$180="acoes"))*Inputs!$B$1+((Inputs!$G$5:$G$180&lt;&gt;"moeda")*(Inputs!$G$5:$G$180&lt;&gt;"acoes")))*INDEX(Inputs!$K$5:$AJ$180,0,MATCH(AD$2,Inputs!$K$4:$AJ$4,0)))))</f>
        <v>113.008</v>
      </c>
      <c r="AE30" s="6" t="e">
        <f>IF(ISNA(MATCH(AE$2,Inputs!$K$4:$AJ$4,0)),NA(),IF(SUMPRODUCT((Inputs!$A$5:$A$180=$B30)*ISNUMBER(INDEX(Inputs!$K$5:$AJ$180,0,MATCH(AE$2,Inputs!$K$4:$AJ$4,0))))+SUMPRODUCT((Inputs!$C$5:$C$180=$B30)*ISNUMBER(INDEX(Inputs!$K$5:$AJ$180,0,MATCH(AE$2,Inputs!$K$4:$AJ$4,0))))+SUMPRODUCT((Inputs!$E$5:$E$180=$B30)*ISNUMBER(INDEX(Inputs!$K$5:$AJ$180,0,MATCH(AE$2,Inputs!$K$4:$AJ$4,0))))=0,NA(),SUMPRODUCT((Inputs!$A$5:$A$180=$B30)*Inputs!$B$5:$B$180*(((Inputs!$G$5:$G$180="moeda")+(Inputs!$G$5:$G$180="acoes"))*Inputs!$B$1+((Inputs!$G$5:$G$180&lt;&gt;"moeda")*(Inputs!$G$5:$G$180&lt;&gt;"acoes")))*INDEX(Inputs!$K$5:$AJ$180,0,MATCH(AE$2,Inputs!$K$4:$AJ$4,0)))+SUMPRODUCT((Inputs!$C$5:$C$180=$B30)*Inputs!$D$5:$D$180*(((Inputs!$G$5:$G$180="moeda")+(Inputs!$G$5:$G$180="acoes"))*Inputs!$B$1+((Inputs!$G$5:$G$180&lt;&gt;"moeda")*(Inputs!$G$5:$G$180&lt;&gt;"acoes")))*INDEX(Inputs!$K$5:$AJ$180,0,MATCH(AE$2,Inputs!$K$4:$AJ$4,0)))+SUMPRODUCT((Inputs!$E$5:$E$180=$B30)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0" s="6" t="e">
        <f>IF(ISNA(MATCH(AF$2,Inputs!$K$4:$AJ$4,0)),NA(),IF(SUMPRODUCT((Inputs!$A$5:$A$180=$B30)*ISNUMBER(INDEX(Inputs!$K$5:$AJ$180,0,MATCH(AF$2,Inputs!$K$4:$AJ$4,0))))+SUMPRODUCT((Inputs!$C$5:$C$180=$B30)*ISNUMBER(INDEX(Inputs!$K$5:$AJ$180,0,MATCH(AF$2,Inputs!$K$4:$AJ$4,0))))+SUMPRODUCT((Inputs!$E$5:$E$180=$B30)*ISNUMBER(INDEX(Inputs!$K$5:$AJ$180,0,MATCH(AF$2,Inputs!$K$4:$AJ$4,0))))=0,NA(),SUMPRODUCT((Inputs!$A$5:$A$180=$B30)*Inputs!$B$5:$B$180*(((Inputs!$G$5:$G$180="moeda")+(Inputs!$G$5:$G$180="acoes"))*Inputs!$B$1+((Inputs!$G$5:$G$180&lt;&gt;"moeda")*(Inputs!$G$5:$G$180&lt;&gt;"acoes")))*INDEX(Inputs!$K$5:$AJ$180,0,MATCH(AF$2,Inputs!$K$4:$AJ$4,0)))+SUMPRODUCT((Inputs!$C$5:$C$180=$B30)*Inputs!$D$5:$D$180*(((Inputs!$G$5:$G$180="moeda")+(Inputs!$G$5:$G$180="acoes"))*Inputs!$B$1+((Inputs!$G$5:$G$180&lt;&gt;"moeda")*(Inputs!$G$5:$G$180&lt;&gt;"acoes")))*INDEX(Inputs!$K$5:$AJ$180,0,MATCH(AF$2,Inputs!$K$4:$AJ$4,0)))+SUMPRODUCT((Inputs!$E$5:$E$180=$B30)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0" s="3" t="e">
        <f>AF30</f>
        <v>#N/A</v>
      </c>
      <c r="AH30" s="6">
        <f>IF(ISNA(MATCH(AH$2,Inputs!$K$4:$AJ$4,0)),NA(),IF(SUMPRODUCT((Inputs!$A$5:$A$180=$B30)*ISNUMBER(INDEX(Inputs!$K$5:$AJ$180,0,MATCH(AH$2,Inputs!$K$4:$AJ$4,0))))+SUMPRODUCT((Inputs!$C$5:$C$180=$B30)*ISNUMBER(INDEX(Inputs!$K$5:$AJ$180,0,MATCH(AH$2,Inputs!$K$4:$AJ$4,0))))+SUMPRODUCT((Inputs!$E$5:$E$180=$B30)*ISNUMBER(INDEX(Inputs!$K$5:$AJ$180,0,MATCH(AH$2,Inputs!$K$4:$AJ$4,0))))=0,NA(),SUMPRODUCT((Inputs!$A$5:$A$180=$B30)*Inputs!$B$5:$B$180*(((Inputs!$G$5:$G$180="moeda")+(Inputs!$G$5:$G$180="acoes"))*Inputs!$B$1+((Inputs!$G$5:$G$180&lt;&gt;"moeda")*(Inputs!$G$5:$G$180&lt;&gt;"acoes")))*INDEX(Inputs!$K$5:$AJ$180,0,MATCH(AH$2,Inputs!$K$4:$AJ$4,0)))+SUMPRODUCT((Inputs!$C$5:$C$180=$B30)*Inputs!$D$5:$D$180*(((Inputs!$G$5:$G$180="moeda")+(Inputs!$G$5:$G$180="acoes"))*Inputs!$B$1+((Inputs!$G$5:$G$180&lt;&gt;"moeda")*(Inputs!$G$5:$G$180&lt;&gt;"acoes")))*INDEX(Inputs!$K$5:$AJ$180,0,MATCH(AH$2,Inputs!$K$4:$AJ$4,0)))+SUMPRODUCT((Inputs!$E$5:$E$180=$B30)*Inputs!$F$5:$F$180*(((Inputs!$G$5:$G$180="moeda")+(Inputs!$G$5:$G$180="acoes"))*Inputs!$B$1+((Inputs!$G$5:$G$180&lt;&gt;"moeda")*(Inputs!$G$5:$G$180&lt;&gt;"acoes")))*INDEX(Inputs!$K$5:$AJ$180,0,MATCH(AH$2,Inputs!$K$4:$AJ$4,0)))))</f>
        <v>28.53369986</v>
      </c>
      <c r="AI30" s="6">
        <f>IF(ISNA(MATCH(AI$2,Inputs!$K$4:$AJ$4,0)),NA(),IF(SUMPRODUCT((Inputs!$A$5:$A$180=$B30)*ISNUMBER(INDEX(Inputs!$K$5:$AJ$180,0,MATCH(AI$2,Inputs!$K$4:$AJ$4,0))))+SUMPRODUCT((Inputs!$C$5:$C$180=$B30)*ISNUMBER(INDEX(Inputs!$K$5:$AJ$180,0,MATCH(AI$2,Inputs!$K$4:$AJ$4,0))))+SUMPRODUCT((Inputs!$E$5:$E$180=$B30)*ISNUMBER(INDEX(Inputs!$K$5:$AJ$180,0,MATCH(AI$2,Inputs!$K$4:$AJ$4,0))))=0,NA(),SUMPRODUCT((Inputs!$A$5:$A$180=$B30)*Inputs!$B$5:$B$180*(((Inputs!$G$5:$G$180="moeda")+(Inputs!$G$5:$G$180="acoes"))*Inputs!$B$1+((Inputs!$G$5:$G$180&lt;&gt;"moeda")*(Inputs!$G$5:$G$180&lt;&gt;"acoes")))*INDEX(Inputs!$K$5:$AJ$180,0,MATCH(AI$2,Inputs!$K$4:$AJ$4,0)))+SUMPRODUCT((Inputs!$C$5:$C$180=$B30)*Inputs!$D$5:$D$180*(((Inputs!$G$5:$G$180="moeda")+(Inputs!$G$5:$G$180="acoes"))*Inputs!$B$1+((Inputs!$G$5:$G$180&lt;&gt;"moeda")*(Inputs!$G$5:$G$180&lt;&gt;"acoes")))*INDEX(Inputs!$K$5:$AJ$180,0,MATCH(AI$2,Inputs!$K$4:$AJ$4,0)))+SUMPRODUCT((Inputs!$E$5:$E$180=$B30)*Inputs!$F$5:$F$180*(((Inputs!$G$5:$G$180="moeda")+(Inputs!$G$5:$G$180="acoes"))*Inputs!$B$1+((Inputs!$G$5:$G$180&lt;&gt;"moeda")*(Inputs!$G$5:$G$180&lt;&gt;"acoes")))*INDEX(Inputs!$K$5:$AJ$180,0,MATCH(AI$2,Inputs!$K$4:$AJ$4,0)))))</f>
        <v>26.89354755</v>
      </c>
      <c r="AJ30" s="6">
        <f>IF(ISNA(MATCH(AJ$2,Inputs!$K$4:$AJ$4,0)),NA(),IF(SUMPRODUCT((Inputs!$A$5:$A$180=$B30)*ISNUMBER(INDEX(Inputs!$K$5:$AJ$180,0,MATCH(AJ$2,Inputs!$K$4:$AJ$4,0))))+SUMPRODUCT((Inputs!$C$5:$C$180=$B30)*ISNUMBER(INDEX(Inputs!$K$5:$AJ$180,0,MATCH(AJ$2,Inputs!$K$4:$AJ$4,0))))+SUMPRODUCT((Inputs!$E$5:$E$180=$B30)*ISNUMBER(INDEX(Inputs!$K$5:$AJ$180,0,MATCH(AJ$2,Inputs!$K$4:$AJ$4,0))))=0,NA(),SUMPRODUCT((Inputs!$A$5:$A$180=$B30)*Inputs!$B$5:$B$180*(((Inputs!$G$5:$G$180="moeda")+(Inputs!$G$5:$G$180="acoes"))*Inputs!$B$1+((Inputs!$G$5:$G$180&lt;&gt;"moeda")*(Inputs!$G$5:$G$180&lt;&gt;"acoes")))*INDEX(Inputs!$K$5:$AJ$180,0,MATCH(AJ$2,Inputs!$K$4:$AJ$4,0)))+SUMPRODUCT((Inputs!$C$5:$C$180=$B30)*Inputs!$D$5:$D$180*(((Inputs!$G$5:$G$180="moeda")+(Inputs!$G$5:$G$180="acoes"))*Inputs!$B$1+((Inputs!$G$5:$G$180&lt;&gt;"moeda")*(Inputs!$G$5:$G$180&lt;&gt;"acoes")))*INDEX(Inputs!$K$5:$AJ$180,0,MATCH(AJ$2,Inputs!$K$4:$AJ$4,0)))+SUMPRODUCT((Inputs!$E$5:$E$180=$B30)*Inputs!$F$5:$F$180*(((Inputs!$G$5:$G$180="moeda")+(Inputs!$G$5:$G$180="acoes"))*Inputs!$B$1+((Inputs!$G$5:$G$180&lt;&gt;"moeda")*(Inputs!$G$5:$G$180&lt;&gt;"acoes")))*INDEX(Inputs!$K$5:$AJ$180,0,MATCH(AJ$2,Inputs!$K$4:$AJ$4,0)))))</f>
        <v>64.41560137</v>
      </c>
      <c r="AK30" s="6">
        <f>IF(ISNA(MATCH(AK$2,Inputs!$K$4:$AJ$4,0)),NA(),IF(SUMPRODUCT((Inputs!$A$5:$A$180=$B30)*ISNUMBER(INDEX(Inputs!$K$5:$AJ$180,0,MATCH(AK$2,Inputs!$K$4:$AJ$4,0))))+SUMPRODUCT((Inputs!$C$5:$C$180=$B30)*ISNUMBER(INDEX(Inputs!$K$5:$AJ$180,0,MATCH(AK$2,Inputs!$K$4:$AJ$4,0))))+SUMPRODUCT((Inputs!$E$5:$E$180=$B30)*ISNUMBER(INDEX(Inputs!$K$5:$AJ$180,0,MATCH(AK$2,Inputs!$K$4:$AJ$4,0))))=0,NA(),SUMPRODUCT((Inputs!$A$5:$A$180=$B30)*Inputs!$B$5:$B$180*(((Inputs!$G$5:$G$180="moeda")+(Inputs!$G$5:$G$180="acoes"))*Inputs!$B$1+((Inputs!$G$5:$G$180&lt;&gt;"moeda")*(Inputs!$G$5:$G$180&lt;&gt;"acoes")))*INDEX(Inputs!$K$5:$AJ$180,0,MATCH(AK$2,Inputs!$K$4:$AJ$4,0)))+SUMPRODUCT((Inputs!$C$5:$C$180=$B30)*Inputs!$D$5:$D$180*(((Inputs!$G$5:$G$180="moeda")+(Inputs!$G$5:$G$180="acoes"))*Inputs!$B$1+((Inputs!$G$5:$G$180&lt;&gt;"moeda")*(Inputs!$G$5:$G$180&lt;&gt;"acoes")))*INDEX(Inputs!$K$5:$AJ$180,0,MATCH(AK$2,Inputs!$K$4:$AJ$4,0)))+SUMPRODUCT((Inputs!$E$5:$E$180=$B30)*Inputs!$F$5:$F$180*(((Inputs!$G$5:$G$180="moeda")+(Inputs!$G$5:$G$180="acoes"))*Inputs!$B$1+((Inputs!$G$5:$G$180&lt;&gt;"moeda")*(Inputs!$G$5:$G$180&lt;&gt;"acoes")))*INDEX(Inputs!$K$5:$AJ$180,0,MATCH(AK$2,Inputs!$K$4:$AJ$4,0)))))</f>
        <v>37.62955018</v>
      </c>
      <c r="AL30" s="3">
        <f>AK30</f>
        <v>37.62955018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$180=$B31)*ISNUMBER(INDEX(Inputs!$K$5:$AJ$180,0,MATCH(D$2,Inputs!$K$4:$AJ$4,0))))+SUMPRODUCT((Inputs!$C$5:$C$180=$B31)*ISNUMBER(INDEX(Inputs!$K$5:$AJ$180,0,MATCH(D$2,Inputs!$K$4:$AJ$4,0))))+SUMPRODUCT((Inputs!$E$5:$E$180=$B31)*ISNUMBER(INDEX(Inputs!$K$5:$AJ$180,0,MATCH(D$2,Inputs!$K$4:$AJ$4,0))))=0,NA(),SUMPRODUCT((Inputs!$A$5:$A$180=$B31)*Inputs!$B$5:$B$180*(((Inputs!$G$5:$G$180="moeda")+(Inputs!$G$5:$G$180="acoes"))*Inputs!$B$1+((Inputs!$G$5:$G$180&lt;&gt;"moeda")*(Inputs!$G$5:$G$180&lt;&gt;"acoes")))*INDEX(Inputs!$K$5:$AJ$180,0,MATCH(D$2,Inputs!$K$4:$AJ$4,0)))+SUMPRODUCT((Inputs!$C$5:$C$180=$B31)*Inputs!$D$5:$D$180*(((Inputs!$G$5:$G$180="moeda")+(Inputs!$G$5:$G$180="acoes"))*Inputs!$B$1+((Inputs!$G$5:$G$180&lt;&gt;"moeda")*(Inputs!$G$5:$G$180&lt;&gt;"acoes")))*INDEX(Inputs!$K$5:$AJ$180,0,MATCH(D$2,Inputs!$K$4:$AJ$4,0)))+SUMPRODUCT((Inputs!$E$5:$E$180=$B31)*Inputs!$F$5:$F$180*(((Inputs!$G$5:$G$180="moeda")+(Inputs!$G$5:$G$180="acoes"))*Inputs!$B$1+((Inputs!$G$5:$G$180&lt;&gt;"moeda")*(Inputs!$G$5:$G$180&lt;&gt;"acoes")))*INDEX(Inputs!$K$5:$AJ$180,0,MATCH(D$2,Inputs!$K$4:$AJ$4,0)))))</f>
        <v>163.47552906</v>
      </c>
      <c r="E31" s="6">
        <f>IF(ISNA(MATCH(E$2,Inputs!$K$4:$AJ$4,0)),NA(),IF(SUMPRODUCT((Inputs!$A$5:$A$180=$B31)*ISNUMBER(INDEX(Inputs!$K$5:$AJ$180,0,MATCH(E$2,Inputs!$K$4:$AJ$4,0))))+SUMPRODUCT((Inputs!$C$5:$C$180=$B31)*ISNUMBER(INDEX(Inputs!$K$5:$AJ$180,0,MATCH(E$2,Inputs!$K$4:$AJ$4,0))))+SUMPRODUCT((Inputs!$E$5:$E$180=$B31)*ISNUMBER(INDEX(Inputs!$K$5:$AJ$180,0,MATCH(E$2,Inputs!$K$4:$AJ$4,0))))=0,NA(),SUMPRODUCT((Inputs!$A$5:$A$180=$B31)*Inputs!$B$5:$B$180*(((Inputs!$G$5:$G$180="moeda")+(Inputs!$G$5:$G$180="acoes"))*Inputs!$B$1+((Inputs!$G$5:$G$180&lt;&gt;"moeda")*(Inputs!$G$5:$G$180&lt;&gt;"acoes")))*INDEX(Inputs!$K$5:$AJ$180,0,MATCH(E$2,Inputs!$K$4:$AJ$4,0)))+SUMPRODUCT((Inputs!$C$5:$C$180=$B31)*Inputs!$D$5:$D$180*(((Inputs!$G$5:$G$180="moeda")+(Inputs!$G$5:$G$180="acoes"))*Inputs!$B$1+((Inputs!$G$5:$G$180&lt;&gt;"moeda")*(Inputs!$G$5:$G$180&lt;&gt;"acoes")))*INDEX(Inputs!$K$5:$AJ$180,0,MATCH(E$2,Inputs!$K$4:$AJ$4,0)))+SUMPRODUCT((Inputs!$E$5:$E$180=$B31)*Inputs!$F$5:$F$180*(((Inputs!$G$5:$G$180="moeda")+(Inputs!$G$5:$G$180="acoes"))*Inputs!$B$1+((Inputs!$G$5:$G$180&lt;&gt;"moeda")*(Inputs!$G$5:$G$180&lt;&gt;"acoes")))*INDEX(Inputs!$K$5:$AJ$180,0,MATCH(E$2,Inputs!$K$4:$AJ$4,0)))))</f>
        <v>7.81020024</v>
      </c>
      <c r="F31" s="6">
        <f>IF(ISNA(MATCH(F$2,Inputs!$K$4:$AJ$4,0)),NA(),IF(SUMPRODUCT((Inputs!$A$5:$A$180=$B31)*ISNUMBER(INDEX(Inputs!$K$5:$AJ$180,0,MATCH(F$2,Inputs!$K$4:$AJ$4,0))))+SUMPRODUCT((Inputs!$C$5:$C$180=$B31)*ISNUMBER(INDEX(Inputs!$K$5:$AJ$180,0,MATCH(F$2,Inputs!$K$4:$AJ$4,0))))+SUMPRODUCT((Inputs!$E$5:$E$180=$B31)*ISNUMBER(INDEX(Inputs!$K$5:$AJ$180,0,MATCH(F$2,Inputs!$K$4:$AJ$4,0))))=0,NA(),SUMPRODUCT((Inputs!$A$5:$A$180=$B31)*Inputs!$B$5:$B$180*(((Inputs!$G$5:$G$180="moeda")+(Inputs!$G$5:$G$180="acoes"))*Inputs!$B$1+((Inputs!$G$5:$G$180&lt;&gt;"moeda")*(Inputs!$G$5:$G$180&lt;&gt;"acoes")))*INDEX(Inputs!$K$5:$AJ$180,0,MATCH(F$2,Inputs!$K$4:$AJ$4,0)))+SUMPRODUCT((Inputs!$C$5:$C$180=$B31)*Inputs!$D$5:$D$180*(((Inputs!$G$5:$G$180="moeda")+(Inputs!$G$5:$G$180="acoes"))*Inputs!$B$1+((Inputs!$G$5:$G$180&lt;&gt;"moeda")*(Inputs!$G$5:$G$180&lt;&gt;"acoes")))*INDEX(Inputs!$K$5:$AJ$180,0,MATCH(F$2,Inputs!$K$4:$AJ$4,0)))+SUMPRODUCT((Inputs!$E$5:$E$180=$B31)*Inputs!$F$5:$F$180*(((Inputs!$G$5:$G$180="moeda")+(Inputs!$G$5:$G$180="acoes"))*Inputs!$B$1+((Inputs!$G$5:$G$180&lt;&gt;"moeda")*(Inputs!$G$5:$G$180&lt;&gt;"acoes")))*INDEX(Inputs!$K$5:$AJ$180,0,MATCH(F$2,Inputs!$K$4:$AJ$4,0)))))</f>
        <v>7.84403098</v>
      </c>
      <c r="G31" s="6">
        <f>IF(ISNA(MATCH(G$2,Inputs!$K$4:$AJ$4,0)),NA(),IF(SUMPRODUCT((Inputs!$A$5:$A$180=$B31)*ISNUMBER(INDEX(Inputs!$K$5:$AJ$180,0,MATCH(G$2,Inputs!$K$4:$AJ$4,0))))+SUMPRODUCT((Inputs!$C$5:$C$180=$B31)*ISNUMBER(INDEX(Inputs!$K$5:$AJ$180,0,MATCH(G$2,Inputs!$K$4:$AJ$4,0))))+SUMPRODUCT((Inputs!$E$5:$E$180=$B31)*ISNUMBER(INDEX(Inputs!$K$5:$AJ$180,0,MATCH(G$2,Inputs!$K$4:$AJ$4,0))))=0,NA(),SUMPRODUCT((Inputs!$A$5:$A$180=$B31)*Inputs!$B$5:$B$180*(((Inputs!$G$5:$G$180="moeda")+(Inputs!$G$5:$G$180="acoes"))*Inputs!$B$1+((Inputs!$G$5:$G$180&lt;&gt;"moeda")*(Inputs!$G$5:$G$180&lt;&gt;"acoes")))*INDEX(Inputs!$K$5:$AJ$180,0,MATCH(G$2,Inputs!$K$4:$AJ$4,0)))+SUMPRODUCT((Inputs!$C$5:$C$180=$B31)*Inputs!$D$5:$D$180*(((Inputs!$G$5:$G$180="moeda")+(Inputs!$G$5:$G$180="acoes"))*Inputs!$B$1+((Inputs!$G$5:$G$180&lt;&gt;"moeda")*(Inputs!$G$5:$G$180&lt;&gt;"acoes")))*INDEX(Inputs!$K$5:$AJ$180,0,MATCH(G$2,Inputs!$K$4:$AJ$4,0)))+SUMPRODUCT((Inputs!$E$5:$E$180=$B31)*Inputs!$F$5:$F$180*(((Inputs!$G$5:$G$180="moeda")+(Inputs!$G$5:$G$180="acoes"))*Inputs!$B$1+((Inputs!$G$5:$G$180&lt;&gt;"moeda")*(Inputs!$G$5:$G$180&lt;&gt;"acoes")))*INDEX(Inputs!$K$5:$AJ$180,0,MATCH(G$2,Inputs!$K$4:$AJ$4,0)))))</f>
        <v>22.207</v>
      </c>
      <c r="H31" s="3">
        <f>G31</f>
        <v>22.207</v>
      </c>
      <c r="I31" s="6">
        <f>IF(ISNA(MATCH(I$2,Inputs!$K$4:$AJ$4,0)),NA(),IF(SUMPRODUCT((Inputs!$A$5:$A$180=$B31)*ISNUMBER(INDEX(Inputs!$K$5:$AJ$180,0,MATCH(I$2,Inputs!$K$4:$AJ$4,0))))+SUMPRODUCT((Inputs!$C$5:$C$180=$B31)*ISNUMBER(INDEX(Inputs!$K$5:$AJ$180,0,MATCH(I$2,Inputs!$K$4:$AJ$4,0))))+SUMPRODUCT((Inputs!$E$5:$E$180=$B31)*ISNUMBER(INDEX(Inputs!$K$5:$AJ$180,0,MATCH(I$2,Inputs!$K$4:$AJ$4,0))))=0,NA(),SUMPRODUCT((Inputs!$A$5:$A$180=$B31)*Inputs!$B$5:$B$180*(((Inputs!$G$5:$G$180="moeda")+(Inputs!$G$5:$G$180="acoes"))*Inputs!$B$1+((Inputs!$G$5:$G$180&lt;&gt;"moeda")*(Inputs!$G$5:$G$180&lt;&gt;"acoes")))*INDEX(Inputs!$K$5:$AJ$180,0,MATCH(I$2,Inputs!$K$4:$AJ$4,0)))+SUMPRODUCT((Inputs!$C$5:$C$180=$B31)*Inputs!$D$5:$D$180*(((Inputs!$G$5:$G$180="moeda")+(Inputs!$G$5:$G$180="acoes"))*Inputs!$B$1+((Inputs!$G$5:$G$180&lt;&gt;"moeda")*(Inputs!$G$5:$G$180&lt;&gt;"acoes")))*INDEX(Inputs!$K$5:$AJ$180,0,MATCH(I$2,Inputs!$K$4:$AJ$4,0)))+SUMPRODUCT((Inputs!$E$5:$E$180=$B31)*Inputs!$F$5:$F$180*(((Inputs!$G$5:$G$180="moeda")+(Inputs!$G$5:$G$180="acoes"))*Inputs!$B$1+((Inputs!$G$5:$G$180&lt;&gt;"moeda")*(Inputs!$G$5:$G$180&lt;&gt;"acoes")))*INDEX(Inputs!$K$5:$AJ$180,0,MATCH(I$2,Inputs!$K$4:$AJ$4,0)))))</f>
        <v>239.29000932</v>
      </c>
      <c r="J31" s="6">
        <f>IF(ISNA(MATCH(J$2,Inputs!$K$4:$AJ$4,0)),NA(),IF(SUMPRODUCT((Inputs!$A$5:$A$180=$B31)*ISNUMBER(INDEX(Inputs!$K$5:$AJ$180,0,MATCH(J$2,Inputs!$K$4:$AJ$4,0))))+SUMPRODUCT((Inputs!$C$5:$C$180=$B31)*ISNUMBER(INDEX(Inputs!$K$5:$AJ$180,0,MATCH(J$2,Inputs!$K$4:$AJ$4,0))))+SUMPRODUCT((Inputs!$E$5:$E$180=$B31)*ISNUMBER(INDEX(Inputs!$K$5:$AJ$180,0,MATCH(J$2,Inputs!$K$4:$AJ$4,0))))=0,NA(),SUMPRODUCT((Inputs!$A$5:$A$180=$B31)*Inputs!$B$5:$B$180*(((Inputs!$G$5:$G$180="moeda")+(Inputs!$G$5:$G$180="acoes"))*Inputs!$B$1+((Inputs!$G$5:$G$180&lt;&gt;"moeda")*(Inputs!$G$5:$G$180&lt;&gt;"acoes")))*INDEX(Inputs!$K$5:$AJ$180,0,MATCH(J$2,Inputs!$K$4:$AJ$4,0)))+SUMPRODUCT((Inputs!$C$5:$C$180=$B31)*Inputs!$D$5:$D$180*(((Inputs!$G$5:$G$180="moeda")+(Inputs!$G$5:$G$180="acoes"))*Inputs!$B$1+((Inputs!$G$5:$G$180&lt;&gt;"moeda")*(Inputs!$G$5:$G$180&lt;&gt;"acoes")))*INDEX(Inputs!$K$5:$AJ$180,0,MATCH(J$2,Inputs!$K$4:$AJ$4,0)))+SUMPRODUCT((Inputs!$E$5:$E$180=$B31)*Inputs!$F$5:$F$180*(((Inputs!$G$5:$G$180="moeda")+(Inputs!$G$5:$G$180="acoes"))*Inputs!$B$1+((Inputs!$G$5:$G$180&lt;&gt;"moeda")*(Inputs!$G$5:$G$180&lt;&gt;"acoes")))*INDEX(Inputs!$K$5:$AJ$180,0,MATCH(J$2,Inputs!$K$4:$AJ$4,0)))))</f>
        <v>16.2889214</v>
      </c>
      <c r="K31" s="6">
        <f>IF(ISNA(MATCH(K$2,Inputs!$K$4:$AJ$4,0)),NA(),IF(SUMPRODUCT((Inputs!$A$5:$A$180=$B31)*ISNUMBER(INDEX(Inputs!$K$5:$AJ$180,0,MATCH(K$2,Inputs!$K$4:$AJ$4,0))))+SUMPRODUCT((Inputs!$C$5:$C$180=$B31)*ISNUMBER(INDEX(Inputs!$K$5:$AJ$180,0,MATCH(K$2,Inputs!$K$4:$AJ$4,0))))+SUMPRODUCT((Inputs!$E$5:$E$180=$B31)*ISNUMBER(INDEX(Inputs!$K$5:$AJ$180,0,MATCH(K$2,Inputs!$K$4:$AJ$4,0))))=0,NA(),SUMPRODUCT((Inputs!$A$5:$A$180=$B31)*Inputs!$B$5:$B$180*(((Inputs!$G$5:$G$180="moeda")+(Inputs!$G$5:$G$180="acoes"))*Inputs!$B$1+((Inputs!$G$5:$G$180&lt;&gt;"moeda")*(Inputs!$G$5:$G$180&lt;&gt;"acoes")))*INDEX(Inputs!$K$5:$AJ$180,0,MATCH(K$2,Inputs!$K$4:$AJ$4,0)))+SUMPRODUCT((Inputs!$C$5:$C$180=$B31)*Inputs!$D$5:$D$180*(((Inputs!$G$5:$G$180="moeda")+(Inputs!$G$5:$G$180="acoes"))*Inputs!$B$1+((Inputs!$G$5:$G$180&lt;&gt;"moeda")*(Inputs!$G$5:$G$180&lt;&gt;"acoes")))*INDEX(Inputs!$K$5:$AJ$180,0,MATCH(K$2,Inputs!$K$4:$AJ$4,0)))+SUMPRODUCT((Inputs!$E$5:$E$180=$B31)*Inputs!$F$5:$F$180*(((Inputs!$G$5:$G$180="moeda")+(Inputs!$G$5:$G$180="acoes"))*Inputs!$B$1+((Inputs!$G$5:$G$180&lt;&gt;"moeda")*(Inputs!$G$5:$G$180&lt;&gt;"acoes")))*INDEX(Inputs!$K$5:$AJ$180,0,MATCH(K$2,Inputs!$K$4:$AJ$4,0)))))</f>
        <v>16.82895005</v>
      </c>
      <c r="L31" s="6">
        <f>IF(ISNA(MATCH(L$2,Inputs!$K$4:$AJ$4,0)),NA(),IF(SUMPRODUCT((Inputs!$A$5:$A$180=$B31)*ISNUMBER(INDEX(Inputs!$K$5:$AJ$180,0,MATCH(L$2,Inputs!$K$4:$AJ$4,0))))+SUMPRODUCT((Inputs!$C$5:$C$180=$B31)*ISNUMBER(INDEX(Inputs!$K$5:$AJ$180,0,MATCH(L$2,Inputs!$K$4:$AJ$4,0))))+SUMPRODUCT((Inputs!$E$5:$E$180=$B31)*ISNUMBER(INDEX(Inputs!$K$5:$AJ$180,0,MATCH(L$2,Inputs!$K$4:$AJ$4,0))))=0,NA(),SUMPRODUCT((Inputs!$A$5:$A$180=$B31)*Inputs!$B$5:$B$180*(((Inputs!$G$5:$G$180="moeda")+(Inputs!$G$5:$G$180="acoes"))*Inputs!$B$1+((Inputs!$G$5:$G$180&lt;&gt;"moeda")*(Inputs!$G$5:$G$180&lt;&gt;"acoes")))*INDEX(Inputs!$K$5:$AJ$180,0,MATCH(L$2,Inputs!$K$4:$AJ$4,0)))+SUMPRODUCT((Inputs!$C$5:$C$180=$B31)*Inputs!$D$5:$D$180*(((Inputs!$G$5:$G$180="moeda")+(Inputs!$G$5:$G$180="acoes"))*Inputs!$B$1+((Inputs!$G$5:$G$180&lt;&gt;"moeda")*(Inputs!$G$5:$G$180&lt;&gt;"acoes")))*INDEX(Inputs!$K$5:$AJ$180,0,MATCH(L$2,Inputs!$K$4:$AJ$4,0)))+SUMPRODUCT((Inputs!$E$5:$E$180=$B31)*Inputs!$F$5:$F$180*(((Inputs!$G$5:$G$180="moeda")+(Inputs!$G$5:$G$180="acoes"))*Inputs!$B$1+((Inputs!$G$5:$G$180&lt;&gt;"moeda")*(Inputs!$G$5:$G$180&lt;&gt;"acoes")))*INDEX(Inputs!$K$5:$AJ$180,0,MATCH(L$2,Inputs!$K$4:$AJ$4,0)))))</f>
        <v>18.18773241</v>
      </c>
      <c r="M31" s="3">
        <f>L31</f>
        <v>18.18773241</v>
      </c>
      <c r="N31" s="6">
        <f>IF(ISNA(MATCH(N$2,Inputs!$K$4:$AJ$4,0)),NA(),IF(SUMPRODUCT((Inputs!$A$5:$A$180=$B31)*ISNUMBER(INDEX(Inputs!$K$5:$AJ$180,0,MATCH(N$2,Inputs!$K$4:$AJ$4,0))))+SUMPRODUCT((Inputs!$C$5:$C$180=$B31)*ISNUMBER(INDEX(Inputs!$K$5:$AJ$180,0,MATCH(N$2,Inputs!$K$4:$AJ$4,0))))+SUMPRODUCT((Inputs!$E$5:$E$180=$B31)*ISNUMBER(INDEX(Inputs!$K$5:$AJ$180,0,MATCH(N$2,Inputs!$K$4:$AJ$4,0))))=0,NA(),SUMPRODUCT((Inputs!$A$5:$A$180=$B31)*Inputs!$B$5:$B$180*(((Inputs!$G$5:$G$180="moeda")+(Inputs!$G$5:$G$180="acoes"))*Inputs!$B$1+((Inputs!$G$5:$G$180&lt;&gt;"moeda")*(Inputs!$G$5:$G$180&lt;&gt;"acoes")))*INDEX(Inputs!$K$5:$AJ$180,0,MATCH(N$2,Inputs!$K$4:$AJ$4,0)))+SUMPRODUCT((Inputs!$C$5:$C$180=$B31)*Inputs!$D$5:$D$180*(((Inputs!$G$5:$G$180="moeda")+(Inputs!$G$5:$G$180="acoes"))*Inputs!$B$1+((Inputs!$G$5:$G$180&lt;&gt;"moeda")*(Inputs!$G$5:$G$180&lt;&gt;"acoes")))*INDEX(Inputs!$K$5:$AJ$180,0,MATCH(N$2,Inputs!$K$4:$AJ$4,0)))+SUMPRODUCT((Inputs!$E$5:$E$180=$B31)*Inputs!$F$5:$F$180*(((Inputs!$G$5:$G$180="moeda")+(Inputs!$G$5:$G$180="acoes"))*Inputs!$B$1+((Inputs!$G$5:$G$180&lt;&gt;"moeda")*(Inputs!$G$5:$G$180&lt;&gt;"acoes")))*INDEX(Inputs!$K$5:$AJ$180,0,MATCH(N$2,Inputs!$K$4:$AJ$4,0)))))</f>
        <v>25.29456084</v>
      </c>
      <c r="O31" s="6">
        <f>IF(ISNA(MATCH(O$2,Inputs!$K$4:$AJ$4,0)),NA(),IF(SUMPRODUCT((Inputs!$A$5:$A$180=$B31)*ISNUMBER(INDEX(Inputs!$K$5:$AJ$180,0,MATCH(O$2,Inputs!$K$4:$AJ$4,0))))+SUMPRODUCT((Inputs!$C$5:$C$180=$B31)*ISNUMBER(INDEX(Inputs!$K$5:$AJ$180,0,MATCH(O$2,Inputs!$K$4:$AJ$4,0))))+SUMPRODUCT((Inputs!$E$5:$E$180=$B31)*ISNUMBER(INDEX(Inputs!$K$5:$AJ$180,0,MATCH(O$2,Inputs!$K$4:$AJ$4,0))))=0,NA(),SUMPRODUCT((Inputs!$A$5:$A$180=$B31)*Inputs!$B$5:$B$180*(((Inputs!$G$5:$G$180="moeda")+(Inputs!$G$5:$G$180="acoes"))*Inputs!$B$1+((Inputs!$G$5:$G$180&lt;&gt;"moeda")*(Inputs!$G$5:$G$180&lt;&gt;"acoes")))*INDEX(Inputs!$K$5:$AJ$180,0,MATCH(O$2,Inputs!$K$4:$AJ$4,0)))+SUMPRODUCT((Inputs!$C$5:$C$180=$B31)*Inputs!$D$5:$D$180*(((Inputs!$G$5:$G$180="moeda")+(Inputs!$G$5:$G$180="acoes"))*Inputs!$B$1+((Inputs!$G$5:$G$180&lt;&gt;"moeda")*(Inputs!$G$5:$G$180&lt;&gt;"acoes")))*INDEX(Inputs!$K$5:$AJ$180,0,MATCH(O$2,Inputs!$K$4:$AJ$4,0)))+SUMPRODUCT((Inputs!$E$5:$E$180=$B31)*Inputs!$F$5:$F$180*(((Inputs!$G$5:$G$180="moeda")+(Inputs!$G$5:$G$180="acoes"))*Inputs!$B$1+((Inputs!$G$5:$G$180&lt;&gt;"moeda")*(Inputs!$G$5:$G$180&lt;&gt;"acoes")))*INDEX(Inputs!$K$5:$AJ$180,0,MATCH(O$2,Inputs!$K$4:$AJ$4,0)))))</f>
        <v>28.482</v>
      </c>
      <c r="P31" s="6">
        <f>IF(ISNA(MATCH(P$2,Inputs!$K$4:$AJ$4,0)),NA(),IF(SUMPRODUCT((Inputs!$A$5:$A$180=$B31)*ISNUMBER(INDEX(Inputs!$K$5:$AJ$180,0,MATCH(P$2,Inputs!$K$4:$AJ$4,0))))+SUMPRODUCT((Inputs!$C$5:$C$180=$B31)*ISNUMBER(INDEX(Inputs!$K$5:$AJ$180,0,MATCH(P$2,Inputs!$K$4:$AJ$4,0))))+SUMPRODUCT((Inputs!$E$5:$E$180=$B31)*ISNUMBER(INDEX(Inputs!$K$5:$AJ$180,0,MATCH(P$2,Inputs!$K$4:$AJ$4,0))))=0,NA(),SUMPRODUCT((Inputs!$A$5:$A$180=$B31)*Inputs!$B$5:$B$180*(((Inputs!$G$5:$G$180="moeda")+(Inputs!$G$5:$G$180="acoes"))*Inputs!$B$1+((Inputs!$G$5:$G$180&lt;&gt;"moeda")*(Inputs!$G$5:$G$180&lt;&gt;"acoes")))*INDEX(Inputs!$K$5:$AJ$180,0,MATCH(P$2,Inputs!$K$4:$AJ$4,0)))+SUMPRODUCT((Inputs!$C$5:$C$180=$B31)*Inputs!$D$5:$D$180*(((Inputs!$G$5:$G$180="moeda")+(Inputs!$G$5:$G$180="acoes"))*Inputs!$B$1+((Inputs!$G$5:$G$180&lt;&gt;"moeda")*(Inputs!$G$5:$G$180&lt;&gt;"acoes")))*INDEX(Inputs!$K$5:$AJ$180,0,MATCH(P$2,Inputs!$K$4:$AJ$4,0)))+SUMPRODUCT((Inputs!$E$5:$E$180=$B31)*Inputs!$F$5:$F$180*(((Inputs!$G$5:$G$180="moeda")+(Inputs!$G$5:$G$180="acoes"))*Inputs!$B$1+((Inputs!$G$5:$G$180&lt;&gt;"moeda")*(Inputs!$G$5:$G$180&lt;&gt;"acoes")))*INDEX(Inputs!$K$5:$AJ$180,0,MATCH(P$2,Inputs!$K$4:$AJ$4,0)))))</f>
        <v>105.682</v>
      </c>
      <c r="Q31" s="6">
        <f>IF(ISNA(MATCH(Q$2,Inputs!$K$4:$AJ$4,0)),NA(),IF(SUMPRODUCT((Inputs!$A$5:$A$180=$B31)*ISNUMBER(INDEX(Inputs!$K$5:$AJ$180,0,MATCH(Q$2,Inputs!$K$4:$AJ$4,0))))+SUMPRODUCT((Inputs!$C$5:$C$180=$B31)*ISNUMBER(INDEX(Inputs!$K$5:$AJ$180,0,MATCH(Q$2,Inputs!$K$4:$AJ$4,0))))+SUMPRODUCT((Inputs!$E$5:$E$180=$B31)*ISNUMBER(INDEX(Inputs!$K$5:$AJ$180,0,MATCH(Q$2,Inputs!$K$4:$AJ$4,0))))=0,NA(),SUMPRODUCT((Inputs!$A$5:$A$180=$B31)*Inputs!$B$5:$B$180*(((Inputs!$G$5:$G$180="moeda")+(Inputs!$G$5:$G$180="acoes"))*Inputs!$B$1+((Inputs!$G$5:$G$180&lt;&gt;"moeda")*(Inputs!$G$5:$G$180&lt;&gt;"acoes")))*INDEX(Inputs!$K$5:$AJ$180,0,MATCH(Q$2,Inputs!$K$4:$AJ$4,0)))+SUMPRODUCT((Inputs!$C$5:$C$180=$B31)*Inputs!$D$5:$D$180*(((Inputs!$G$5:$G$180="moeda")+(Inputs!$G$5:$G$180="acoes"))*Inputs!$B$1+((Inputs!$G$5:$G$180&lt;&gt;"moeda")*(Inputs!$G$5:$G$180&lt;&gt;"acoes")))*INDEX(Inputs!$K$5:$AJ$180,0,MATCH(Q$2,Inputs!$K$4:$AJ$4,0)))+SUMPRODUCT((Inputs!$E$5:$E$180=$B31)*Inputs!$F$5:$F$180*(((Inputs!$G$5:$G$180="moeda")+(Inputs!$G$5:$G$180="acoes"))*Inputs!$B$1+((Inputs!$G$5:$G$180&lt;&gt;"moeda")*(Inputs!$G$5:$G$180&lt;&gt;"acoes")))*INDEX(Inputs!$K$5:$AJ$180,0,MATCH(Q$2,Inputs!$K$4:$AJ$4,0)))))</f>
        <v>35.372</v>
      </c>
      <c r="R31" s="3">
        <f>Q31</f>
        <v>35.372</v>
      </c>
      <c r="S31" s="6">
        <f>IF(ISNA(MATCH(S$2,Inputs!$K$4:$AJ$4,0)),NA(),IF(SUMPRODUCT((Inputs!$A$5:$A$180=$B31)*ISNUMBER(INDEX(Inputs!$K$5:$AJ$180,0,MATCH(S$2,Inputs!$K$4:$AJ$4,0))))+SUMPRODUCT((Inputs!$C$5:$C$180=$B31)*ISNUMBER(INDEX(Inputs!$K$5:$AJ$180,0,MATCH(S$2,Inputs!$K$4:$AJ$4,0))))+SUMPRODUCT((Inputs!$E$5:$E$180=$B31)*ISNUMBER(INDEX(Inputs!$K$5:$AJ$180,0,MATCH(S$2,Inputs!$K$4:$AJ$4,0))))=0,NA(),SUMPRODUCT((Inputs!$A$5:$A$180=$B31)*Inputs!$B$5:$B$180*(((Inputs!$G$5:$G$180="moeda")+(Inputs!$G$5:$G$180="acoes"))*Inputs!$B$1+((Inputs!$G$5:$G$180&lt;&gt;"moeda")*(Inputs!$G$5:$G$180&lt;&gt;"acoes")))*INDEX(Inputs!$K$5:$AJ$180,0,MATCH(S$2,Inputs!$K$4:$AJ$4,0)))+SUMPRODUCT((Inputs!$C$5:$C$180=$B31)*Inputs!$D$5:$D$180*(((Inputs!$G$5:$G$180="moeda")+(Inputs!$G$5:$G$180="acoes"))*Inputs!$B$1+((Inputs!$G$5:$G$180&lt;&gt;"moeda")*(Inputs!$G$5:$G$180&lt;&gt;"acoes")))*INDEX(Inputs!$K$5:$AJ$180,0,MATCH(S$2,Inputs!$K$4:$AJ$4,0)))+SUMPRODUCT((Inputs!$E$5:$E$180=$B31)*Inputs!$F$5:$F$180*(((Inputs!$G$5:$G$180="moeda")+(Inputs!$G$5:$G$180="acoes"))*Inputs!$B$1+((Inputs!$G$5:$G$180&lt;&gt;"moeda")*(Inputs!$G$5:$G$180&lt;&gt;"acoes")))*INDEX(Inputs!$K$5:$AJ$180,0,MATCH(S$2,Inputs!$K$4:$AJ$4,0)))))</f>
        <v>101.781</v>
      </c>
      <c r="T31" s="6">
        <f>IF(ISNA(MATCH(T$2,Inputs!$K$4:$AJ$4,0)),NA(),IF(SUMPRODUCT((Inputs!$A$5:$A$180=$B31)*ISNUMBER(INDEX(Inputs!$K$5:$AJ$180,0,MATCH(T$2,Inputs!$K$4:$AJ$4,0))))+SUMPRODUCT((Inputs!$C$5:$C$180=$B31)*ISNUMBER(INDEX(Inputs!$K$5:$AJ$180,0,MATCH(T$2,Inputs!$K$4:$AJ$4,0))))+SUMPRODUCT((Inputs!$E$5:$E$180=$B31)*ISNUMBER(INDEX(Inputs!$K$5:$AJ$180,0,MATCH(T$2,Inputs!$K$4:$AJ$4,0))))=0,NA(),SUMPRODUCT((Inputs!$A$5:$A$180=$B31)*Inputs!$B$5:$B$180*(((Inputs!$G$5:$G$180="moeda")+(Inputs!$G$5:$G$180="acoes"))*Inputs!$B$1+((Inputs!$G$5:$G$180&lt;&gt;"moeda")*(Inputs!$G$5:$G$180&lt;&gt;"acoes")))*INDEX(Inputs!$K$5:$AJ$180,0,MATCH(T$2,Inputs!$K$4:$AJ$4,0)))+SUMPRODUCT((Inputs!$C$5:$C$180=$B31)*Inputs!$D$5:$D$180*(((Inputs!$G$5:$G$180="moeda")+(Inputs!$G$5:$G$180="acoes"))*Inputs!$B$1+((Inputs!$G$5:$G$180&lt;&gt;"moeda")*(Inputs!$G$5:$G$180&lt;&gt;"acoes")))*INDEX(Inputs!$K$5:$AJ$180,0,MATCH(T$2,Inputs!$K$4:$AJ$4,0)))+SUMPRODUCT((Inputs!$E$5:$E$180=$B31)*Inputs!$F$5:$F$180*(((Inputs!$G$5:$G$180="moeda")+(Inputs!$G$5:$G$180="acoes"))*Inputs!$B$1+((Inputs!$G$5:$G$180&lt;&gt;"moeda")*(Inputs!$G$5:$G$180&lt;&gt;"acoes")))*INDEX(Inputs!$K$5:$AJ$180,0,MATCH(T$2,Inputs!$K$4:$AJ$4,0)))))</f>
        <v>26.325</v>
      </c>
      <c r="U31" s="6">
        <f>IF(ISNA(MATCH(U$2,Inputs!$K$4:$AJ$4,0)),NA(),IF(SUMPRODUCT((Inputs!$A$5:$A$180=$B31)*ISNUMBER(INDEX(Inputs!$K$5:$AJ$180,0,MATCH(U$2,Inputs!$K$4:$AJ$4,0))))+SUMPRODUCT((Inputs!$C$5:$C$180=$B31)*ISNUMBER(INDEX(Inputs!$K$5:$AJ$180,0,MATCH(U$2,Inputs!$K$4:$AJ$4,0))))+SUMPRODUCT((Inputs!$E$5:$E$180=$B31)*ISNUMBER(INDEX(Inputs!$K$5:$AJ$180,0,MATCH(U$2,Inputs!$K$4:$AJ$4,0))))=0,NA(),SUMPRODUCT((Inputs!$A$5:$A$180=$B31)*Inputs!$B$5:$B$180*(((Inputs!$G$5:$G$180="moeda")+(Inputs!$G$5:$G$180="acoes"))*Inputs!$B$1+((Inputs!$G$5:$G$180&lt;&gt;"moeda")*(Inputs!$G$5:$G$180&lt;&gt;"acoes")))*INDEX(Inputs!$K$5:$AJ$180,0,MATCH(U$2,Inputs!$K$4:$AJ$4,0)))+SUMPRODUCT((Inputs!$C$5:$C$180=$B31)*Inputs!$D$5:$D$180*(((Inputs!$G$5:$G$180="moeda")+(Inputs!$G$5:$G$180="acoes"))*Inputs!$B$1+((Inputs!$G$5:$G$180&lt;&gt;"moeda")*(Inputs!$G$5:$G$180&lt;&gt;"acoes")))*INDEX(Inputs!$K$5:$AJ$180,0,MATCH(U$2,Inputs!$K$4:$AJ$4,0)))+SUMPRODUCT((Inputs!$E$5:$E$180=$B31)*Inputs!$F$5:$F$180*(((Inputs!$G$5:$G$180="moeda")+(Inputs!$G$5:$G$180="acoes"))*Inputs!$B$1+((Inputs!$G$5:$G$180&lt;&gt;"moeda")*(Inputs!$G$5:$G$180&lt;&gt;"acoes")))*INDEX(Inputs!$K$5:$AJ$180,0,MATCH(U$2,Inputs!$K$4:$AJ$4,0)))))</f>
        <v>182.758</v>
      </c>
      <c r="V31" s="6">
        <f>IF(ISNA(MATCH(V$2,Inputs!$K$4:$AJ$4,0)),NA(),IF(SUMPRODUCT((Inputs!$A$5:$A$180=$B31)*ISNUMBER(INDEX(Inputs!$K$5:$AJ$180,0,MATCH(V$2,Inputs!$K$4:$AJ$4,0))))+SUMPRODUCT((Inputs!$C$5:$C$180=$B31)*ISNUMBER(INDEX(Inputs!$K$5:$AJ$180,0,MATCH(V$2,Inputs!$K$4:$AJ$4,0))))+SUMPRODUCT((Inputs!$E$5:$E$180=$B31)*ISNUMBER(INDEX(Inputs!$K$5:$AJ$180,0,MATCH(V$2,Inputs!$K$4:$AJ$4,0))))=0,NA(),SUMPRODUCT((Inputs!$A$5:$A$180=$B31)*Inputs!$B$5:$B$180*(((Inputs!$G$5:$G$180="moeda")+(Inputs!$G$5:$G$180="acoes"))*Inputs!$B$1+((Inputs!$G$5:$G$180&lt;&gt;"moeda")*(Inputs!$G$5:$G$180&lt;&gt;"acoes")))*INDEX(Inputs!$K$5:$AJ$180,0,MATCH(V$2,Inputs!$K$4:$AJ$4,0)))+SUMPRODUCT((Inputs!$C$5:$C$180=$B31)*Inputs!$D$5:$D$180*(((Inputs!$G$5:$G$180="moeda")+(Inputs!$G$5:$G$180="acoes"))*Inputs!$B$1+((Inputs!$G$5:$G$180&lt;&gt;"moeda")*(Inputs!$G$5:$G$180&lt;&gt;"acoes")))*INDEX(Inputs!$K$5:$AJ$180,0,MATCH(V$2,Inputs!$K$4:$AJ$4,0)))+SUMPRODUCT((Inputs!$E$5:$E$180=$B31)*Inputs!$F$5:$F$180*(((Inputs!$G$5:$G$180="moeda")+(Inputs!$G$5:$G$180="acoes"))*Inputs!$B$1+((Inputs!$G$5:$G$180&lt;&gt;"moeda")*(Inputs!$G$5:$G$180&lt;&gt;"acoes")))*INDEX(Inputs!$K$5:$AJ$180,0,MATCH(V$2,Inputs!$K$4:$AJ$4,0)))))</f>
        <v>18.137</v>
      </c>
      <c r="W31" s="3">
        <f>V31</f>
        <v>18.137</v>
      </c>
      <c r="X31" s="6">
        <f>IF(ISNA(MATCH(X$2,Inputs!$K$4:$AJ$4,0)),NA(),IF(SUMPRODUCT((Inputs!$A$5:$A$180=$B31)*ISNUMBER(INDEX(Inputs!$K$5:$AJ$180,0,MATCH(X$2,Inputs!$K$4:$AJ$4,0))))+SUMPRODUCT((Inputs!$C$5:$C$180=$B31)*ISNUMBER(INDEX(Inputs!$K$5:$AJ$180,0,MATCH(X$2,Inputs!$K$4:$AJ$4,0))))+SUMPRODUCT((Inputs!$E$5:$E$180=$B31)*ISNUMBER(INDEX(Inputs!$K$5:$AJ$180,0,MATCH(X$2,Inputs!$K$4:$AJ$4,0))))=0,NA(),SUMPRODUCT((Inputs!$A$5:$A$180=$B31)*Inputs!$B$5:$B$180*(((Inputs!$G$5:$G$180="moeda")+(Inputs!$G$5:$G$180="acoes"))*Inputs!$B$1+((Inputs!$G$5:$G$180&lt;&gt;"moeda")*(Inputs!$G$5:$G$180&lt;&gt;"acoes")))*INDEX(Inputs!$K$5:$AJ$180,0,MATCH(X$2,Inputs!$K$4:$AJ$4,0)))+SUMPRODUCT((Inputs!$C$5:$C$180=$B31)*Inputs!$D$5:$D$180*(((Inputs!$G$5:$G$180="moeda")+(Inputs!$G$5:$G$180="acoes"))*Inputs!$B$1+((Inputs!$G$5:$G$180&lt;&gt;"moeda")*(Inputs!$G$5:$G$180&lt;&gt;"acoes")))*INDEX(Inputs!$K$5:$AJ$180,0,MATCH(X$2,Inputs!$K$4:$AJ$4,0)))+SUMPRODUCT((Inputs!$E$5:$E$180=$B31)*Inputs!$F$5:$F$180*(((Inputs!$G$5:$G$180="moeda")+(Inputs!$G$5:$G$180="acoes"))*Inputs!$B$1+((Inputs!$G$5:$G$180&lt;&gt;"moeda")*(Inputs!$G$5:$G$180&lt;&gt;"acoes")))*INDEX(Inputs!$K$5:$AJ$180,0,MATCH(X$2,Inputs!$K$4:$AJ$4,0)))))</f>
        <v>276.046014</v>
      </c>
      <c r="Y31" s="6">
        <f>IF(ISNA(MATCH(Y$2,Inputs!$K$4:$AJ$4,0)),NA(),IF(SUMPRODUCT((Inputs!$A$5:$A$180=$B31)*ISNUMBER(INDEX(Inputs!$K$5:$AJ$180,0,MATCH(Y$2,Inputs!$K$4:$AJ$4,0))))+SUMPRODUCT((Inputs!$C$5:$C$180=$B31)*ISNUMBER(INDEX(Inputs!$K$5:$AJ$180,0,MATCH(Y$2,Inputs!$K$4:$AJ$4,0))))+SUMPRODUCT((Inputs!$E$5:$E$180=$B31)*ISNUMBER(INDEX(Inputs!$K$5:$AJ$180,0,MATCH(Y$2,Inputs!$K$4:$AJ$4,0))))=0,NA(),SUMPRODUCT((Inputs!$A$5:$A$180=$B31)*Inputs!$B$5:$B$180*(((Inputs!$G$5:$G$180="moeda")+(Inputs!$G$5:$G$180="acoes"))*Inputs!$B$1+((Inputs!$G$5:$G$180&lt;&gt;"moeda")*(Inputs!$G$5:$G$180&lt;&gt;"acoes")))*INDEX(Inputs!$K$5:$AJ$180,0,MATCH(Y$2,Inputs!$K$4:$AJ$4,0)))+SUMPRODUCT((Inputs!$C$5:$C$180=$B31)*Inputs!$D$5:$D$180*(((Inputs!$G$5:$G$180="moeda")+(Inputs!$G$5:$G$180="acoes"))*Inputs!$B$1+((Inputs!$G$5:$G$180&lt;&gt;"moeda")*(Inputs!$G$5:$G$180&lt;&gt;"acoes")))*INDEX(Inputs!$K$5:$AJ$180,0,MATCH(Y$2,Inputs!$K$4:$AJ$4,0)))+SUMPRODUCT((Inputs!$E$5:$E$180=$B31)*Inputs!$F$5:$F$180*(((Inputs!$G$5:$G$180="moeda")+(Inputs!$G$5:$G$180="acoes"))*Inputs!$B$1+((Inputs!$G$5:$G$180&lt;&gt;"moeda")*(Inputs!$G$5:$G$180&lt;&gt;"acoes")))*INDEX(Inputs!$K$5:$AJ$180,0,MATCH(Y$2,Inputs!$K$4:$AJ$4,0)))))</f>
        <v>25.9</v>
      </c>
      <c r="Z31" s="6">
        <f>IF(ISNA(MATCH(Z$2,Inputs!$K$4:$AJ$4,0)),NA(),IF(SUMPRODUCT((Inputs!$A$5:$A$180=$B31)*ISNUMBER(INDEX(Inputs!$K$5:$AJ$180,0,MATCH(Z$2,Inputs!$K$4:$AJ$4,0))))+SUMPRODUCT((Inputs!$C$5:$C$180=$B31)*ISNUMBER(INDEX(Inputs!$K$5:$AJ$180,0,MATCH(Z$2,Inputs!$K$4:$AJ$4,0))))+SUMPRODUCT((Inputs!$E$5:$E$180=$B31)*ISNUMBER(INDEX(Inputs!$K$5:$AJ$180,0,MATCH(Z$2,Inputs!$K$4:$AJ$4,0))))=0,NA(),SUMPRODUCT((Inputs!$A$5:$A$180=$B31)*Inputs!$B$5:$B$180*(((Inputs!$G$5:$G$180="moeda")+(Inputs!$G$5:$G$180="acoes"))*Inputs!$B$1+((Inputs!$G$5:$G$180&lt;&gt;"moeda")*(Inputs!$G$5:$G$180&lt;&gt;"acoes")))*INDEX(Inputs!$K$5:$AJ$180,0,MATCH(Z$2,Inputs!$K$4:$AJ$4,0)))+SUMPRODUCT((Inputs!$C$5:$C$180=$B31)*Inputs!$D$5:$D$180*(((Inputs!$G$5:$G$180="moeda")+(Inputs!$G$5:$G$180="acoes"))*Inputs!$B$1+((Inputs!$G$5:$G$180&lt;&gt;"moeda")*(Inputs!$G$5:$G$180&lt;&gt;"acoes")))*INDEX(Inputs!$K$5:$AJ$180,0,MATCH(Z$2,Inputs!$K$4:$AJ$4,0)))+SUMPRODUCT((Inputs!$E$5:$E$180=$B31)*Inputs!$F$5:$F$180*(((Inputs!$G$5:$G$180="moeda")+(Inputs!$G$5:$G$180="acoes"))*Inputs!$B$1+((Inputs!$G$5:$G$180&lt;&gt;"moeda")*(Inputs!$G$5:$G$180&lt;&gt;"acoes")))*INDEX(Inputs!$K$5:$AJ$180,0,MATCH(Z$2,Inputs!$K$4:$AJ$4,0)))))</f>
        <v>185.919</v>
      </c>
      <c r="AA31" s="6">
        <f>IF(ISNA(MATCH(AA$2,Inputs!$K$4:$AJ$4,0)),NA(),IF(SUMPRODUCT((Inputs!$A$5:$A$180=$B31)*ISNUMBER(INDEX(Inputs!$K$5:$AJ$180,0,MATCH(AA$2,Inputs!$K$4:$AJ$4,0))))+SUMPRODUCT((Inputs!$C$5:$C$180=$B31)*ISNUMBER(INDEX(Inputs!$K$5:$AJ$180,0,MATCH(AA$2,Inputs!$K$4:$AJ$4,0))))+SUMPRODUCT((Inputs!$E$5:$E$180=$B31)*ISNUMBER(INDEX(Inputs!$K$5:$AJ$180,0,MATCH(AA$2,Inputs!$K$4:$AJ$4,0))))=0,NA(),SUMPRODUCT((Inputs!$A$5:$A$180=$B31)*Inputs!$B$5:$B$180*(((Inputs!$G$5:$G$180="moeda")+(Inputs!$G$5:$G$180="acoes"))*Inputs!$B$1+((Inputs!$G$5:$G$180&lt;&gt;"moeda")*(Inputs!$G$5:$G$180&lt;&gt;"acoes")))*INDEX(Inputs!$K$5:$AJ$180,0,MATCH(AA$2,Inputs!$K$4:$AJ$4,0)))+SUMPRODUCT((Inputs!$C$5:$C$180=$B31)*Inputs!$D$5:$D$180*(((Inputs!$G$5:$G$180="moeda")+(Inputs!$G$5:$G$180="acoes"))*Inputs!$B$1+((Inputs!$G$5:$G$180&lt;&gt;"moeda")*(Inputs!$G$5:$G$180&lt;&gt;"acoes")))*INDEX(Inputs!$K$5:$AJ$180,0,MATCH(AA$2,Inputs!$K$4:$AJ$4,0)))+SUMPRODUCT((Inputs!$E$5:$E$180=$B31)*Inputs!$F$5:$F$180*(((Inputs!$G$5:$G$180="moeda")+(Inputs!$G$5:$G$180="acoes"))*Inputs!$B$1+((Inputs!$G$5:$G$180&lt;&gt;"moeda")*(Inputs!$G$5:$G$180&lt;&gt;"acoes")))*INDEX(Inputs!$K$5:$AJ$180,0,MATCH(AA$2,Inputs!$K$4:$AJ$4,0)))))</f>
        <v>310.211</v>
      </c>
      <c r="AB31" s="3">
        <f>AA31</f>
        <v>310.211</v>
      </c>
      <c r="AC31" s="6">
        <f>IF(ISNA(MATCH(AC$2,Inputs!$K$4:$AJ$4,0)),NA(),IF(SUMPRODUCT((Inputs!$A$5:$A$180=$B31)*ISNUMBER(INDEX(Inputs!$K$5:$AJ$180,0,MATCH(AC$2,Inputs!$K$4:$AJ$4,0))))+SUMPRODUCT((Inputs!$C$5:$C$180=$B31)*ISNUMBER(INDEX(Inputs!$K$5:$AJ$180,0,MATCH(AC$2,Inputs!$K$4:$AJ$4,0))))+SUMPRODUCT((Inputs!$E$5:$E$180=$B31)*ISNUMBER(INDEX(Inputs!$K$5:$AJ$180,0,MATCH(AC$2,Inputs!$K$4:$AJ$4,0))))=0,NA(),SUMPRODUCT((Inputs!$A$5:$A$180=$B31)*Inputs!$B$5:$B$180*(((Inputs!$G$5:$G$180="moeda")+(Inputs!$G$5:$G$180="acoes"))*Inputs!$B$1+((Inputs!$G$5:$G$180&lt;&gt;"moeda")*(Inputs!$G$5:$G$180&lt;&gt;"acoes")))*INDEX(Inputs!$K$5:$AJ$180,0,MATCH(AC$2,Inputs!$K$4:$AJ$4,0)))+SUMPRODUCT((Inputs!$C$5:$C$180=$B31)*Inputs!$D$5:$D$180*(((Inputs!$G$5:$G$180="moeda")+(Inputs!$G$5:$G$180="acoes"))*Inputs!$B$1+((Inputs!$G$5:$G$180&lt;&gt;"moeda")*(Inputs!$G$5:$G$180&lt;&gt;"acoes")))*INDEX(Inputs!$K$5:$AJ$180,0,MATCH(AC$2,Inputs!$K$4:$AJ$4,0)))+SUMPRODUCT((Inputs!$E$5:$E$180=$B31)*Inputs!$F$5:$F$180*(((Inputs!$G$5:$G$180="moeda")+(Inputs!$G$5:$G$180="acoes"))*Inputs!$B$1+((Inputs!$G$5:$G$180&lt;&gt;"moeda")*(Inputs!$G$5:$G$180&lt;&gt;"acoes")))*INDEX(Inputs!$K$5:$AJ$180,0,MATCH(AC$2,Inputs!$K$4:$AJ$4,0)))))</f>
        <v>316.339</v>
      </c>
      <c r="AD31" s="6">
        <f>IF(ISNA(MATCH(AD$2,Inputs!$K$4:$AJ$4,0)),NA(),IF(SUMPRODUCT((Inputs!$A$5:$A$180=$B31)*ISNUMBER(INDEX(Inputs!$K$5:$AJ$180,0,MATCH(AD$2,Inputs!$K$4:$AJ$4,0))))+SUMPRODUCT((Inputs!$C$5:$C$180=$B31)*ISNUMBER(INDEX(Inputs!$K$5:$AJ$180,0,MATCH(AD$2,Inputs!$K$4:$AJ$4,0))))+SUMPRODUCT((Inputs!$E$5:$E$180=$B31)*ISNUMBER(INDEX(Inputs!$K$5:$AJ$180,0,MATCH(AD$2,Inputs!$K$4:$AJ$4,0))))=0,NA(),SUMPRODUCT((Inputs!$A$5:$A$180=$B31)*Inputs!$B$5:$B$180*(((Inputs!$G$5:$G$180="moeda")+(Inputs!$G$5:$G$180="acoes"))*Inputs!$B$1+((Inputs!$G$5:$G$180&lt;&gt;"moeda")*(Inputs!$G$5:$G$180&lt;&gt;"acoes")))*INDEX(Inputs!$K$5:$AJ$180,0,MATCH(AD$2,Inputs!$K$4:$AJ$4,0)))+SUMPRODUCT((Inputs!$C$5:$C$180=$B31)*Inputs!$D$5:$D$180*(((Inputs!$G$5:$G$180="moeda")+(Inputs!$G$5:$G$180="acoes"))*Inputs!$B$1+((Inputs!$G$5:$G$180&lt;&gt;"moeda")*(Inputs!$G$5:$G$180&lt;&gt;"acoes")))*INDEX(Inputs!$K$5:$AJ$180,0,MATCH(AD$2,Inputs!$K$4:$AJ$4,0)))+SUMPRODUCT((Inputs!$E$5:$E$180=$B31)*Inputs!$F$5:$F$180*(((Inputs!$G$5:$G$180="moeda")+(Inputs!$G$5:$G$180="acoes"))*Inputs!$B$1+((Inputs!$G$5:$G$180&lt;&gt;"moeda")*(Inputs!$G$5:$G$180&lt;&gt;"acoes")))*INDEX(Inputs!$K$5:$AJ$180,0,MATCH(AD$2,Inputs!$K$4:$AJ$4,0)))))</f>
        <v>91.96</v>
      </c>
      <c r="AE31" s="6" t="e">
        <f>IF(ISNA(MATCH(AE$2,Inputs!$K$4:$AJ$4,0)),NA(),IF(SUMPRODUCT((Inputs!$A$5:$A$180=$B31)*ISNUMBER(INDEX(Inputs!$K$5:$AJ$180,0,MATCH(AE$2,Inputs!$K$4:$AJ$4,0))))+SUMPRODUCT((Inputs!$C$5:$C$180=$B31)*ISNUMBER(INDEX(Inputs!$K$5:$AJ$180,0,MATCH(AE$2,Inputs!$K$4:$AJ$4,0))))+SUMPRODUCT((Inputs!$E$5:$E$180=$B31)*ISNUMBER(INDEX(Inputs!$K$5:$AJ$180,0,MATCH(AE$2,Inputs!$K$4:$AJ$4,0))))=0,NA(),SUMPRODUCT((Inputs!$A$5:$A$180=$B31)*Inputs!$B$5:$B$180*(((Inputs!$G$5:$G$180="moeda")+(Inputs!$G$5:$G$180="acoes"))*Inputs!$B$1+((Inputs!$G$5:$G$180&lt;&gt;"moeda")*(Inputs!$G$5:$G$180&lt;&gt;"acoes")))*INDEX(Inputs!$K$5:$AJ$180,0,MATCH(AE$2,Inputs!$K$4:$AJ$4,0)))+SUMPRODUCT((Inputs!$C$5:$C$180=$B31)*Inputs!$D$5:$D$180*(((Inputs!$G$5:$G$180="moeda")+(Inputs!$G$5:$G$180="acoes"))*Inputs!$B$1+((Inputs!$G$5:$G$180&lt;&gt;"moeda")*(Inputs!$G$5:$G$180&lt;&gt;"acoes")))*INDEX(Inputs!$K$5:$AJ$180,0,MATCH(AE$2,Inputs!$K$4:$AJ$4,0)))+SUMPRODUCT((Inputs!$E$5:$E$180=$B31)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1" s="6" t="e">
        <f>IF(ISNA(MATCH(AF$2,Inputs!$K$4:$AJ$4,0)),NA(),IF(SUMPRODUCT((Inputs!$A$5:$A$180=$B31)*ISNUMBER(INDEX(Inputs!$K$5:$AJ$180,0,MATCH(AF$2,Inputs!$K$4:$AJ$4,0))))+SUMPRODUCT((Inputs!$C$5:$C$180=$B31)*ISNUMBER(INDEX(Inputs!$K$5:$AJ$180,0,MATCH(AF$2,Inputs!$K$4:$AJ$4,0))))+SUMPRODUCT((Inputs!$E$5:$E$180=$B31)*ISNUMBER(INDEX(Inputs!$K$5:$AJ$180,0,MATCH(AF$2,Inputs!$K$4:$AJ$4,0))))=0,NA(),SUMPRODUCT((Inputs!$A$5:$A$180=$B31)*Inputs!$B$5:$B$180*(((Inputs!$G$5:$G$180="moeda")+(Inputs!$G$5:$G$180="acoes"))*Inputs!$B$1+((Inputs!$G$5:$G$180&lt;&gt;"moeda")*(Inputs!$G$5:$G$180&lt;&gt;"acoes")))*INDEX(Inputs!$K$5:$AJ$180,0,MATCH(AF$2,Inputs!$K$4:$AJ$4,0)))+SUMPRODUCT((Inputs!$C$5:$C$180=$B31)*Inputs!$D$5:$D$180*(((Inputs!$G$5:$G$180="moeda")+(Inputs!$G$5:$G$180="acoes"))*Inputs!$B$1+((Inputs!$G$5:$G$180&lt;&gt;"moeda")*(Inputs!$G$5:$G$180&lt;&gt;"acoes")))*INDEX(Inputs!$K$5:$AJ$180,0,MATCH(AF$2,Inputs!$K$4:$AJ$4,0)))+SUMPRODUCT((Inputs!$E$5:$E$180=$B31)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1" s="3" t="e">
        <f>AF31</f>
        <v>#N/A</v>
      </c>
      <c r="AH31" s="6">
        <f>IF(ISNA(MATCH(AH$2,Inputs!$K$4:$AJ$4,0)),NA(),IF(SUMPRODUCT((Inputs!$A$5:$A$180=$B31)*ISNUMBER(INDEX(Inputs!$K$5:$AJ$180,0,MATCH(AH$2,Inputs!$K$4:$AJ$4,0))))+SUMPRODUCT((Inputs!$C$5:$C$180=$B31)*ISNUMBER(INDEX(Inputs!$K$5:$AJ$180,0,MATCH(AH$2,Inputs!$K$4:$AJ$4,0))))+SUMPRODUCT((Inputs!$E$5:$E$180=$B31)*ISNUMBER(INDEX(Inputs!$K$5:$AJ$180,0,MATCH(AH$2,Inputs!$K$4:$AJ$4,0))))=0,NA(),SUMPRODUCT((Inputs!$A$5:$A$180=$B31)*Inputs!$B$5:$B$180*(((Inputs!$G$5:$G$180="moeda")+(Inputs!$G$5:$G$180="acoes"))*Inputs!$B$1+((Inputs!$G$5:$G$180&lt;&gt;"moeda")*(Inputs!$G$5:$G$180&lt;&gt;"acoes")))*INDEX(Inputs!$K$5:$AJ$180,0,MATCH(AH$2,Inputs!$K$4:$AJ$4,0)))+SUMPRODUCT((Inputs!$C$5:$C$180=$B31)*Inputs!$D$5:$D$180*(((Inputs!$G$5:$G$180="moeda")+(Inputs!$G$5:$G$180="acoes"))*Inputs!$B$1+((Inputs!$G$5:$G$180&lt;&gt;"moeda")*(Inputs!$G$5:$G$180&lt;&gt;"acoes")))*INDEX(Inputs!$K$5:$AJ$180,0,MATCH(AH$2,Inputs!$K$4:$AJ$4,0)))+SUMPRODUCT((Inputs!$E$5:$E$180=$B31)*Inputs!$F$5:$F$180*(((Inputs!$G$5:$G$180="moeda")+(Inputs!$G$5:$G$180="acoes"))*Inputs!$B$1+((Inputs!$G$5:$G$180&lt;&gt;"moeda")*(Inputs!$G$5:$G$180&lt;&gt;"acoes")))*INDEX(Inputs!$K$5:$AJ$180,0,MATCH(AH$2,Inputs!$K$4:$AJ$4,0)))))</f>
        <v>203.48906097</v>
      </c>
      <c r="AI31" s="6">
        <f>IF(ISNA(MATCH(AI$2,Inputs!$K$4:$AJ$4,0)),NA(),IF(SUMPRODUCT((Inputs!$A$5:$A$180=$B31)*ISNUMBER(INDEX(Inputs!$K$5:$AJ$180,0,MATCH(AI$2,Inputs!$K$4:$AJ$4,0))))+SUMPRODUCT((Inputs!$C$5:$C$180=$B31)*ISNUMBER(INDEX(Inputs!$K$5:$AJ$180,0,MATCH(AI$2,Inputs!$K$4:$AJ$4,0))))+SUMPRODUCT((Inputs!$E$5:$E$180=$B31)*ISNUMBER(INDEX(Inputs!$K$5:$AJ$180,0,MATCH(AI$2,Inputs!$K$4:$AJ$4,0))))=0,NA(),SUMPRODUCT((Inputs!$A$5:$A$180=$B31)*Inputs!$B$5:$B$180*(((Inputs!$G$5:$G$180="moeda")+(Inputs!$G$5:$G$180="acoes"))*Inputs!$B$1+((Inputs!$G$5:$G$180&lt;&gt;"moeda")*(Inputs!$G$5:$G$180&lt;&gt;"acoes")))*INDEX(Inputs!$K$5:$AJ$180,0,MATCH(AI$2,Inputs!$K$4:$AJ$4,0)))+SUMPRODUCT((Inputs!$C$5:$C$180=$B31)*Inputs!$D$5:$D$180*(((Inputs!$G$5:$G$180="moeda")+(Inputs!$G$5:$G$180="acoes"))*Inputs!$B$1+((Inputs!$G$5:$G$180&lt;&gt;"moeda")*(Inputs!$G$5:$G$180&lt;&gt;"acoes")))*INDEX(Inputs!$K$5:$AJ$180,0,MATCH(AI$2,Inputs!$K$4:$AJ$4,0)))+SUMPRODUCT((Inputs!$E$5:$E$180=$B31)*Inputs!$F$5:$F$180*(((Inputs!$G$5:$G$180="moeda")+(Inputs!$G$5:$G$180="acoes"))*Inputs!$B$1+((Inputs!$G$5:$G$180&lt;&gt;"moeda")*(Inputs!$G$5:$G$180&lt;&gt;"acoes")))*INDEX(Inputs!$K$5:$AJ$180,0,MATCH(AI$2,Inputs!$K$4:$AJ$4,0)))))</f>
        <v>203.50457045</v>
      </c>
      <c r="AJ31" s="6">
        <f>IF(ISNA(MATCH(AJ$2,Inputs!$K$4:$AJ$4,0)),NA(),IF(SUMPRODUCT((Inputs!$A$5:$A$180=$B31)*ISNUMBER(INDEX(Inputs!$K$5:$AJ$180,0,MATCH(AJ$2,Inputs!$K$4:$AJ$4,0))))+SUMPRODUCT((Inputs!$C$5:$C$180=$B31)*ISNUMBER(INDEX(Inputs!$K$5:$AJ$180,0,MATCH(AJ$2,Inputs!$K$4:$AJ$4,0))))+SUMPRODUCT((Inputs!$E$5:$E$180=$B31)*ISNUMBER(INDEX(Inputs!$K$5:$AJ$180,0,MATCH(AJ$2,Inputs!$K$4:$AJ$4,0))))=0,NA(),SUMPRODUCT((Inputs!$A$5:$A$180=$B31)*Inputs!$B$5:$B$180*(((Inputs!$G$5:$G$180="moeda")+(Inputs!$G$5:$G$180="acoes"))*Inputs!$B$1+((Inputs!$G$5:$G$180&lt;&gt;"moeda")*(Inputs!$G$5:$G$180&lt;&gt;"acoes")))*INDEX(Inputs!$K$5:$AJ$180,0,MATCH(AJ$2,Inputs!$K$4:$AJ$4,0)))+SUMPRODUCT((Inputs!$C$5:$C$180=$B31)*Inputs!$D$5:$D$180*(((Inputs!$G$5:$G$180="moeda")+(Inputs!$G$5:$G$180="acoes"))*Inputs!$B$1+((Inputs!$G$5:$G$180&lt;&gt;"moeda")*(Inputs!$G$5:$G$180&lt;&gt;"acoes")))*INDEX(Inputs!$K$5:$AJ$180,0,MATCH(AJ$2,Inputs!$K$4:$AJ$4,0)))+SUMPRODUCT((Inputs!$E$5:$E$180=$B31)*Inputs!$F$5:$F$180*(((Inputs!$G$5:$G$180="moeda")+(Inputs!$G$5:$G$180="acoes"))*Inputs!$B$1+((Inputs!$G$5:$G$180&lt;&gt;"moeda")*(Inputs!$G$5:$G$180&lt;&gt;"acoes")))*INDEX(Inputs!$K$5:$AJ$180,0,MATCH(AJ$2,Inputs!$K$4:$AJ$4,0)))))</f>
        <v>203.13476832</v>
      </c>
      <c r="AK31" s="6">
        <f>IF(ISNA(MATCH(AK$2,Inputs!$K$4:$AJ$4,0)),NA(),IF(SUMPRODUCT((Inputs!$A$5:$A$180=$B31)*ISNUMBER(INDEX(Inputs!$K$5:$AJ$180,0,MATCH(AK$2,Inputs!$K$4:$AJ$4,0))))+SUMPRODUCT((Inputs!$C$5:$C$180=$B31)*ISNUMBER(INDEX(Inputs!$K$5:$AJ$180,0,MATCH(AK$2,Inputs!$K$4:$AJ$4,0))))+SUMPRODUCT((Inputs!$E$5:$E$180=$B31)*ISNUMBER(INDEX(Inputs!$K$5:$AJ$180,0,MATCH(AK$2,Inputs!$K$4:$AJ$4,0))))=0,NA(),SUMPRODUCT((Inputs!$A$5:$A$180=$B31)*Inputs!$B$5:$B$180*(((Inputs!$G$5:$G$180="moeda")+(Inputs!$G$5:$G$180="acoes"))*Inputs!$B$1+((Inputs!$G$5:$G$180&lt;&gt;"moeda")*(Inputs!$G$5:$G$180&lt;&gt;"acoes")))*INDEX(Inputs!$K$5:$AJ$180,0,MATCH(AK$2,Inputs!$K$4:$AJ$4,0)))+SUMPRODUCT((Inputs!$C$5:$C$180=$B31)*Inputs!$D$5:$D$180*(((Inputs!$G$5:$G$180="moeda")+(Inputs!$G$5:$G$180="acoes"))*Inputs!$B$1+((Inputs!$G$5:$G$180&lt;&gt;"moeda")*(Inputs!$G$5:$G$180&lt;&gt;"acoes")))*INDEX(Inputs!$K$5:$AJ$180,0,MATCH(AK$2,Inputs!$K$4:$AJ$4,0)))+SUMPRODUCT((Inputs!$E$5:$E$180=$B31)*Inputs!$F$5:$F$180*(((Inputs!$G$5:$G$180="moeda")+(Inputs!$G$5:$G$180="acoes"))*Inputs!$B$1+((Inputs!$G$5:$G$180&lt;&gt;"moeda")*(Inputs!$G$5:$G$180&lt;&gt;"acoes")))*INDEX(Inputs!$K$5:$AJ$180,0,MATCH(AK$2,Inputs!$K$4:$AJ$4,0)))))</f>
        <v>79.8300968</v>
      </c>
      <c r="AL31" s="3">
        <f>AK31</f>
        <v>79.8300968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$180=$B32)*ISNUMBER(INDEX(Inputs!$K$5:$AJ$180,0,MATCH(D$2,Inputs!$K$4:$AJ$4,0))))+SUMPRODUCT((Inputs!$C$5:$C$180=$B32)*ISNUMBER(INDEX(Inputs!$K$5:$AJ$180,0,MATCH(D$2,Inputs!$K$4:$AJ$4,0))))+SUMPRODUCT((Inputs!$E$5:$E$180=$B32)*ISNUMBER(INDEX(Inputs!$K$5:$AJ$180,0,MATCH(D$2,Inputs!$K$4:$AJ$4,0))))=0,NA(),SUMPRODUCT((Inputs!$A$5:$A$180=$B32)*Inputs!$B$5:$B$180*(((Inputs!$G$5:$G$180="moeda")+(Inputs!$G$5:$G$180="acoes"))*Inputs!$B$1+((Inputs!$G$5:$G$180&lt;&gt;"moeda")*(Inputs!$G$5:$G$180&lt;&gt;"acoes")))*INDEX(Inputs!$K$5:$AJ$180,0,MATCH(D$2,Inputs!$K$4:$AJ$4,0)))+SUMPRODUCT((Inputs!$C$5:$C$180=$B32)*Inputs!$D$5:$D$180*(((Inputs!$G$5:$G$180="moeda")+(Inputs!$G$5:$G$180="acoes"))*Inputs!$B$1+((Inputs!$G$5:$G$180&lt;&gt;"moeda")*(Inputs!$G$5:$G$180&lt;&gt;"acoes")))*INDEX(Inputs!$K$5:$AJ$180,0,MATCH(D$2,Inputs!$K$4:$AJ$4,0)))+SUMPRODUCT((Inputs!$E$5:$E$180=$B32)*Inputs!$F$5:$F$180*(((Inputs!$G$5:$G$180="moeda")+(Inputs!$G$5:$G$180="acoes"))*Inputs!$B$1+((Inputs!$G$5:$G$180&lt;&gt;"moeda")*(Inputs!$G$5:$G$180&lt;&gt;"acoes")))*INDEX(Inputs!$K$5:$AJ$180,0,MATCH(D$2,Inputs!$K$4:$AJ$4,0)))))</f>
        <v>648.3722851</v>
      </c>
      <c r="E32" s="6">
        <f>IF(ISNA(MATCH(E$2,Inputs!$K$4:$AJ$4,0)),NA(),IF(SUMPRODUCT((Inputs!$A$5:$A$180=$B32)*ISNUMBER(INDEX(Inputs!$K$5:$AJ$180,0,MATCH(E$2,Inputs!$K$4:$AJ$4,0))))+SUMPRODUCT((Inputs!$C$5:$C$180=$B32)*ISNUMBER(INDEX(Inputs!$K$5:$AJ$180,0,MATCH(E$2,Inputs!$K$4:$AJ$4,0))))+SUMPRODUCT((Inputs!$E$5:$E$180=$B32)*ISNUMBER(INDEX(Inputs!$K$5:$AJ$180,0,MATCH(E$2,Inputs!$K$4:$AJ$4,0))))=0,NA(),SUMPRODUCT((Inputs!$A$5:$A$180=$B32)*Inputs!$B$5:$B$180*(((Inputs!$G$5:$G$180="moeda")+(Inputs!$G$5:$G$180="acoes"))*Inputs!$B$1+((Inputs!$G$5:$G$180&lt;&gt;"moeda")*(Inputs!$G$5:$G$180&lt;&gt;"acoes")))*INDEX(Inputs!$K$5:$AJ$180,0,MATCH(E$2,Inputs!$K$4:$AJ$4,0)))+SUMPRODUCT((Inputs!$C$5:$C$180=$B32)*Inputs!$D$5:$D$180*(((Inputs!$G$5:$G$180="moeda")+(Inputs!$G$5:$G$180="acoes"))*Inputs!$B$1+((Inputs!$G$5:$G$180&lt;&gt;"moeda")*(Inputs!$G$5:$G$180&lt;&gt;"acoes")))*INDEX(Inputs!$K$5:$AJ$180,0,MATCH(E$2,Inputs!$K$4:$AJ$4,0)))+SUMPRODUCT((Inputs!$E$5:$E$180=$B32)*Inputs!$F$5:$F$180*(((Inputs!$G$5:$G$180="moeda")+(Inputs!$G$5:$G$180="acoes"))*Inputs!$B$1+((Inputs!$G$5:$G$180&lt;&gt;"moeda")*(Inputs!$G$5:$G$180&lt;&gt;"acoes")))*INDEX(Inputs!$K$5:$AJ$180,0,MATCH(E$2,Inputs!$K$4:$AJ$4,0)))))</f>
        <v>830.52788741</v>
      </c>
      <c r="F32" s="6">
        <f>IF(ISNA(MATCH(F$2,Inputs!$K$4:$AJ$4,0)),NA(),IF(SUMPRODUCT((Inputs!$A$5:$A$180=$B32)*ISNUMBER(INDEX(Inputs!$K$5:$AJ$180,0,MATCH(F$2,Inputs!$K$4:$AJ$4,0))))+SUMPRODUCT((Inputs!$C$5:$C$180=$B32)*ISNUMBER(INDEX(Inputs!$K$5:$AJ$180,0,MATCH(F$2,Inputs!$K$4:$AJ$4,0))))+SUMPRODUCT((Inputs!$E$5:$E$180=$B32)*ISNUMBER(INDEX(Inputs!$K$5:$AJ$180,0,MATCH(F$2,Inputs!$K$4:$AJ$4,0))))=0,NA(),SUMPRODUCT((Inputs!$A$5:$A$180=$B32)*Inputs!$B$5:$B$180*(((Inputs!$G$5:$G$180="moeda")+(Inputs!$G$5:$G$180="acoes"))*Inputs!$B$1+((Inputs!$G$5:$G$180&lt;&gt;"moeda")*(Inputs!$G$5:$G$180&lt;&gt;"acoes")))*INDEX(Inputs!$K$5:$AJ$180,0,MATCH(F$2,Inputs!$K$4:$AJ$4,0)))+SUMPRODUCT((Inputs!$C$5:$C$180=$B32)*Inputs!$D$5:$D$180*(((Inputs!$G$5:$G$180="moeda")+(Inputs!$G$5:$G$180="acoes"))*Inputs!$B$1+((Inputs!$G$5:$G$180&lt;&gt;"moeda")*(Inputs!$G$5:$G$180&lt;&gt;"acoes")))*INDEX(Inputs!$K$5:$AJ$180,0,MATCH(F$2,Inputs!$K$4:$AJ$4,0)))+SUMPRODUCT((Inputs!$E$5:$E$180=$B32)*Inputs!$F$5:$F$180*(((Inputs!$G$5:$G$180="moeda")+(Inputs!$G$5:$G$180="acoes"))*Inputs!$B$1+((Inputs!$G$5:$G$180&lt;&gt;"moeda")*(Inputs!$G$5:$G$180&lt;&gt;"acoes")))*INDEX(Inputs!$K$5:$AJ$180,0,MATCH(F$2,Inputs!$K$4:$AJ$4,0)))))</f>
        <v>456.91694014</v>
      </c>
      <c r="G32" s="6">
        <f>IF(ISNA(MATCH(G$2,Inputs!$K$4:$AJ$4,0)),NA(),IF(SUMPRODUCT((Inputs!$A$5:$A$180=$B32)*ISNUMBER(INDEX(Inputs!$K$5:$AJ$180,0,MATCH(G$2,Inputs!$K$4:$AJ$4,0))))+SUMPRODUCT((Inputs!$C$5:$C$180=$B32)*ISNUMBER(INDEX(Inputs!$K$5:$AJ$180,0,MATCH(G$2,Inputs!$K$4:$AJ$4,0))))+SUMPRODUCT((Inputs!$E$5:$E$180=$B32)*ISNUMBER(INDEX(Inputs!$K$5:$AJ$180,0,MATCH(G$2,Inputs!$K$4:$AJ$4,0))))=0,NA(),SUMPRODUCT((Inputs!$A$5:$A$180=$B32)*Inputs!$B$5:$B$180*(((Inputs!$G$5:$G$180="moeda")+(Inputs!$G$5:$G$180="acoes"))*Inputs!$B$1+((Inputs!$G$5:$G$180&lt;&gt;"moeda")*(Inputs!$G$5:$G$180&lt;&gt;"acoes")))*INDEX(Inputs!$K$5:$AJ$180,0,MATCH(G$2,Inputs!$K$4:$AJ$4,0)))+SUMPRODUCT((Inputs!$C$5:$C$180=$B32)*Inputs!$D$5:$D$180*(((Inputs!$G$5:$G$180="moeda")+(Inputs!$G$5:$G$180="acoes"))*Inputs!$B$1+((Inputs!$G$5:$G$180&lt;&gt;"moeda")*(Inputs!$G$5:$G$180&lt;&gt;"acoes")))*INDEX(Inputs!$K$5:$AJ$180,0,MATCH(G$2,Inputs!$K$4:$AJ$4,0)))+SUMPRODUCT((Inputs!$E$5:$E$180=$B32)*Inputs!$F$5:$F$180*(((Inputs!$G$5:$G$180="moeda")+(Inputs!$G$5:$G$180="acoes"))*Inputs!$B$1+((Inputs!$G$5:$G$180&lt;&gt;"moeda")*(Inputs!$G$5:$G$180&lt;&gt;"acoes")))*INDEX(Inputs!$K$5:$AJ$180,0,MATCH(G$2,Inputs!$K$4:$AJ$4,0)))))</f>
        <v>404.72740512</v>
      </c>
      <c r="H32" s="3">
        <f>G32</f>
        <v>404.72740512</v>
      </c>
      <c r="I32" s="6">
        <f>IF(ISNA(MATCH(I$2,Inputs!$K$4:$AJ$4,0)),NA(),IF(SUMPRODUCT((Inputs!$A$5:$A$180=$B32)*ISNUMBER(INDEX(Inputs!$K$5:$AJ$180,0,MATCH(I$2,Inputs!$K$4:$AJ$4,0))))+SUMPRODUCT((Inputs!$C$5:$C$180=$B32)*ISNUMBER(INDEX(Inputs!$K$5:$AJ$180,0,MATCH(I$2,Inputs!$K$4:$AJ$4,0))))+SUMPRODUCT((Inputs!$E$5:$E$180=$B32)*ISNUMBER(INDEX(Inputs!$K$5:$AJ$180,0,MATCH(I$2,Inputs!$K$4:$AJ$4,0))))=0,NA(),SUMPRODUCT((Inputs!$A$5:$A$180=$B32)*Inputs!$B$5:$B$180*(((Inputs!$G$5:$G$180="moeda")+(Inputs!$G$5:$G$180="acoes"))*Inputs!$B$1+((Inputs!$G$5:$G$180&lt;&gt;"moeda")*(Inputs!$G$5:$G$180&lt;&gt;"acoes")))*INDEX(Inputs!$K$5:$AJ$180,0,MATCH(I$2,Inputs!$K$4:$AJ$4,0)))+SUMPRODUCT((Inputs!$C$5:$C$180=$B32)*Inputs!$D$5:$D$180*(((Inputs!$G$5:$G$180="moeda")+(Inputs!$G$5:$G$180="acoes"))*Inputs!$B$1+((Inputs!$G$5:$G$180&lt;&gt;"moeda")*(Inputs!$G$5:$G$180&lt;&gt;"acoes")))*INDEX(Inputs!$K$5:$AJ$180,0,MATCH(I$2,Inputs!$K$4:$AJ$4,0)))+SUMPRODUCT((Inputs!$E$5:$E$180=$B32)*Inputs!$F$5:$F$180*(((Inputs!$G$5:$G$180="moeda")+(Inputs!$G$5:$G$180="acoes"))*Inputs!$B$1+((Inputs!$G$5:$G$180&lt;&gt;"moeda")*(Inputs!$G$5:$G$180&lt;&gt;"acoes")))*INDEX(Inputs!$K$5:$AJ$180,0,MATCH(I$2,Inputs!$K$4:$AJ$4,0)))))</f>
        <v>248.22582164</v>
      </c>
      <c r="J32" s="6">
        <f>IF(ISNA(MATCH(J$2,Inputs!$K$4:$AJ$4,0)),NA(),IF(SUMPRODUCT((Inputs!$A$5:$A$180=$B32)*ISNUMBER(INDEX(Inputs!$K$5:$AJ$180,0,MATCH(J$2,Inputs!$K$4:$AJ$4,0))))+SUMPRODUCT((Inputs!$C$5:$C$180=$B32)*ISNUMBER(INDEX(Inputs!$K$5:$AJ$180,0,MATCH(J$2,Inputs!$K$4:$AJ$4,0))))+SUMPRODUCT((Inputs!$E$5:$E$180=$B32)*ISNUMBER(INDEX(Inputs!$K$5:$AJ$180,0,MATCH(J$2,Inputs!$K$4:$AJ$4,0))))=0,NA(),SUMPRODUCT((Inputs!$A$5:$A$180=$B32)*Inputs!$B$5:$B$180*(((Inputs!$G$5:$G$180="moeda")+(Inputs!$G$5:$G$180="acoes"))*Inputs!$B$1+((Inputs!$G$5:$G$180&lt;&gt;"moeda")*(Inputs!$G$5:$G$180&lt;&gt;"acoes")))*INDEX(Inputs!$K$5:$AJ$180,0,MATCH(J$2,Inputs!$K$4:$AJ$4,0)))+SUMPRODUCT((Inputs!$C$5:$C$180=$B32)*Inputs!$D$5:$D$180*(((Inputs!$G$5:$G$180="moeda")+(Inputs!$G$5:$G$180="acoes"))*Inputs!$B$1+((Inputs!$G$5:$G$180&lt;&gt;"moeda")*(Inputs!$G$5:$G$180&lt;&gt;"acoes")))*INDEX(Inputs!$K$5:$AJ$180,0,MATCH(J$2,Inputs!$K$4:$AJ$4,0)))+SUMPRODUCT((Inputs!$E$5:$E$180=$B32)*Inputs!$F$5:$F$180*(((Inputs!$G$5:$G$180="moeda")+(Inputs!$G$5:$G$180="acoes"))*Inputs!$B$1+((Inputs!$G$5:$G$180&lt;&gt;"moeda")*(Inputs!$G$5:$G$180&lt;&gt;"acoes")))*INDEX(Inputs!$K$5:$AJ$180,0,MATCH(J$2,Inputs!$K$4:$AJ$4,0)))))</f>
        <v>524.45827574</v>
      </c>
      <c r="K32" s="6">
        <f>IF(ISNA(MATCH(K$2,Inputs!$K$4:$AJ$4,0)),NA(),IF(SUMPRODUCT((Inputs!$A$5:$A$180=$B32)*ISNUMBER(INDEX(Inputs!$K$5:$AJ$180,0,MATCH(K$2,Inputs!$K$4:$AJ$4,0))))+SUMPRODUCT((Inputs!$C$5:$C$180=$B32)*ISNUMBER(INDEX(Inputs!$K$5:$AJ$180,0,MATCH(K$2,Inputs!$K$4:$AJ$4,0))))+SUMPRODUCT((Inputs!$E$5:$E$180=$B32)*ISNUMBER(INDEX(Inputs!$K$5:$AJ$180,0,MATCH(K$2,Inputs!$K$4:$AJ$4,0))))=0,NA(),SUMPRODUCT((Inputs!$A$5:$A$180=$B32)*Inputs!$B$5:$B$180*(((Inputs!$G$5:$G$180="moeda")+(Inputs!$G$5:$G$180="acoes"))*Inputs!$B$1+((Inputs!$G$5:$G$180&lt;&gt;"moeda")*(Inputs!$G$5:$G$180&lt;&gt;"acoes")))*INDEX(Inputs!$K$5:$AJ$180,0,MATCH(K$2,Inputs!$K$4:$AJ$4,0)))+SUMPRODUCT((Inputs!$C$5:$C$180=$B32)*Inputs!$D$5:$D$180*(((Inputs!$G$5:$G$180="moeda")+(Inputs!$G$5:$G$180="acoes"))*Inputs!$B$1+((Inputs!$G$5:$G$180&lt;&gt;"moeda")*(Inputs!$G$5:$G$180&lt;&gt;"acoes")))*INDEX(Inputs!$K$5:$AJ$180,0,MATCH(K$2,Inputs!$K$4:$AJ$4,0)))+SUMPRODUCT((Inputs!$E$5:$E$180=$B32)*Inputs!$F$5:$F$180*(((Inputs!$G$5:$G$180="moeda")+(Inputs!$G$5:$G$180="acoes"))*Inputs!$B$1+((Inputs!$G$5:$G$180&lt;&gt;"moeda")*(Inputs!$G$5:$G$180&lt;&gt;"acoes")))*INDEX(Inputs!$K$5:$AJ$180,0,MATCH(K$2,Inputs!$K$4:$AJ$4,0)))))</f>
        <v>559.5551054</v>
      </c>
      <c r="L32" s="6">
        <f>IF(ISNA(MATCH(L$2,Inputs!$K$4:$AJ$4,0)),NA(),IF(SUMPRODUCT((Inputs!$A$5:$A$180=$B32)*ISNUMBER(INDEX(Inputs!$K$5:$AJ$180,0,MATCH(L$2,Inputs!$K$4:$AJ$4,0))))+SUMPRODUCT((Inputs!$C$5:$C$180=$B32)*ISNUMBER(INDEX(Inputs!$K$5:$AJ$180,0,MATCH(L$2,Inputs!$K$4:$AJ$4,0))))+SUMPRODUCT((Inputs!$E$5:$E$180=$B32)*ISNUMBER(INDEX(Inputs!$K$5:$AJ$180,0,MATCH(L$2,Inputs!$K$4:$AJ$4,0))))=0,NA(),SUMPRODUCT((Inputs!$A$5:$A$180=$B32)*Inputs!$B$5:$B$180*(((Inputs!$G$5:$G$180="moeda")+(Inputs!$G$5:$G$180="acoes"))*Inputs!$B$1+((Inputs!$G$5:$G$180&lt;&gt;"moeda")*(Inputs!$G$5:$G$180&lt;&gt;"acoes")))*INDEX(Inputs!$K$5:$AJ$180,0,MATCH(L$2,Inputs!$K$4:$AJ$4,0)))+SUMPRODUCT((Inputs!$C$5:$C$180=$B32)*Inputs!$D$5:$D$180*(((Inputs!$G$5:$G$180="moeda")+(Inputs!$G$5:$G$180="acoes"))*Inputs!$B$1+((Inputs!$G$5:$G$180&lt;&gt;"moeda")*(Inputs!$G$5:$G$180&lt;&gt;"acoes")))*INDEX(Inputs!$K$5:$AJ$180,0,MATCH(L$2,Inputs!$K$4:$AJ$4,0)))+SUMPRODUCT((Inputs!$E$5:$E$180=$B32)*Inputs!$F$5:$F$180*(((Inputs!$G$5:$G$180="moeda")+(Inputs!$G$5:$G$180="acoes"))*Inputs!$B$1+((Inputs!$G$5:$G$180&lt;&gt;"moeda")*(Inputs!$G$5:$G$180&lt;&gt;"acoes")))*INDEX(Inputs!$K$5:$AJ$180,0,MATCH(L$2,Inputs!$K$4:$AJ$4,0)))))</f>
        <v>401.25619901</v>
      </c>
      <c r="M32" s="3">
        <f>L32</f>
        <v>401.25619901</v>
      </c>
      <c r="N32" s="6">
        <f>IF(ISNA(MATCH(N$2,Inputs!$K$4:$AJ$4,0)),NA(),IF(SUMPRODUCT((Inputs!$A$5:$A$180=$B32)*ISNUMBER(INDEX(Inputs!$K$5:$AJ$180,0,MATCH(N$2,Inputs!$K$4:$AJ$4,0))))+SUMPRODUCT((Inputs!$C$5:$C$180=$B32)*ISNUMBER(INDEX(Inputs!$K$5:$AJ$180,0,MATCH(N$2,Inputs!$K$4:$AJ$4,0))))+SUMPRODUCT((Inputs!$E$5:$E$180=$B32)*ISNUMBER(INDEX(Inputs!$K$5:$AJ$180,0,MATCH(N$2,Inputs!$K$4:$AJ$4,0))))=0,NA(),SUMPRODUCT((Inputs!$A$5:$A$180=$B32)*Inputs!$B$5:$B$180*(((Inputs!$G$5:$G$180="moeda")+(Inputs!$G$5:$G$180="acoes"))*Inputs!$B$1+((Inputs!$G$5:$G$180&lt;&gt;"moeda")*(Inputs!$G$5:$G$180&lt;&gt;"acoes")))*INDEX(Inputs!$K$5:$AJ$180,0,MATCH(N$2,Inputs!$K$4:$AJ$4,0)))+SUMPRODUCT((Inputs!$C$5:$C$180=$B32)*Inputs!$D$5:$D$180*(((Inputs!$G$5:$G$180="moeda")+(Inputs!$G$5:$G$180="acoes"))*Inputs!$B$1+((Inputs!$G$5:$G$180&lt;&gt;"moeda")*(Inputs!$G$5:$G$180&lt;&gt;"acoes")))*INDEX(Inputs!$K$5:$AJ$180,0,MATCH(N$2,Inputs!$K$4:$AJ$4,0)))+SUMPRODUCT((Inputs!$E$5:$E$180=$B32)*Inputs!$F$5:$F$180*(((Inputs!$G$5:$G$180="moeda")+(Inputs!$G$5:$G$180="acoes"))*Inputs!$B$1+((Inputs!$G$5:$G$180&lt;&gt;"moeda")*(Inputs!$G$5:$G$180&lt;&gt;"acoes")))*INDEX(Inputs!$K$5:$AJ$180,0,MATCH(N$2,Inputs!$K$4:$AJ$4,0)))))</f>
        <v>406.69406886</v>
      </c>
      <c r="O32" s="6">
        <f>IF(ISNA(MATCH(O$2,Inputs!$K$4:$AJ$4,0)),NA(),IF(SUMPRODUCT((Inputs!$A$5:$A$180=$B32)*ISNUMBER(INDEX(Inputs!$K$5:$AJ$180,0,MATCH(O$2,Inputs!$K$4:$AJ$4,0))))+SUMPRODUCT((Inputs!$C$5:$C$180=$B32)*ISNUMBER(INDEX(Inputs!$K$5:$AJ$180,0,MATCH(O$2,Inputs!$K$4:$AJ$4,0))))+SUMPRODUCT((Inputs!$E$5:$E$180=$B32)*ISNUMBER(INDEX(Inputs!$K$5:$AJ$180,0,MATCH(O$2,Inputs!$K$4:$AJ$4,0))))=0,NA(),SUMPRODUCT((Inputs!$A$5:$A$180=$B32)*Inputs!$B$5:$B$180*(((Inputs!$G$5:$G$180="moeda")+(Inputs!$G$5:$G$180="acoes"))*Inputs!$B$1+((Inputs!$G$5:$G$180&lt;&gt;"moeda")*(Inputs!$G$5:$G$180&lt;&gt;"acoes")))*INDEX(Inputs!$K$5:$AJ$180,0,MATCH(O$2,Inputs!$K$4:$AJ$4,0)))+SUMPRODUCT((Inputs!$C$5:$C$180=$B32)*Inputs!$D$5:$D$180*(((Inputs!$G$5:$G$180="moeda")+(Inputs!$G$5:$G$180="acoes"))*Inputs!$B$1+((Inputs!$G$5:$G$180&lt;&gt;"moeda")*(Inputs!$G$5:$G$180&lt;&gt;"acoes")))*INDEX(Inputs!$K$5:$AJ$180,0,MATCH(O$2,Inputs!$K$4:$AJ$4,0)))+SUMPRODUCT((Inputs!$E$5:$E$180=$B32)*Inputs!$F$5:$F$180*(((Inputs!$G$5:$G$180="moeda")+(Inputs!$G$5:$G$180="acoes"))*Inputs!$B$1+((Inputs!$G$5:$G$180&lt;&gt;"moeda")*(Inputs!$G$5:$G$180&lt;&gt;"acoes")))*INDEX(Inputs!$K$5:$AJ$180,0,MATCH(O$2,Inputs!$K$4:$AJ$4,0)))))</f>
        <v>693.333</v>
      </c>
      <c r="P32" s="6">
        <f>IF(ISNA(MATCH(P$2,Inputs!$K$4:$AJ$4,0)),NA(),IF(SUMPRODUCT((Inputs!$A$5:$A$180=$B32)*ISNUMBER(INDEX(Inputs!$K$5:$AJ$180,0,MATCH(P$2,Inputs!$K$4:$AJ$4,0))))+SUMPRODUCT((Inputs!$C$5:$C$180=$B32)*ISNUMBER(INDEX(Inputs!$K$5:$AJ$180,0,MATCH(P$2,Inputs!$K$4:$AJ$4,0))))+SUMPRODUCT((Inputs!$E$5:$E$180=$B32)*ISNUMBER(INDEX(Inputs!$K$5:$AJ$180,0,MATCH(P$2,Inputs!$K$4:$AJ$4,0))))=0,NA(),SUMPRODUCT((Inputs!$A$5:$A$180=$B32)*Inputs!$B$5:$B$180*(((Inputs!$G$5:$G$180="moeda")+(Inputs!$G$5:$G$180="acoes"))*Inputs!$B$1+((Inputs!$G$5:$G$180&lt;&gt;"moeda")*(Inputs!$G$5:$G$180&lt;&gt;"acoes")))*INDEX(Inputs!$K$5:$AJ$180,0,MATCH(P$2,Inputs!$K$4:$AJ$4,0)))+SUMPRODUCT((Inputs!$C$5:$C$180=$B32)*Inputs!$D$5:$D$180*(((Inputs!$G$5:$G$180="moeda")+(Inputs!$G$5:$G$180="acoes"))*Inputs!$B$1+((Inputs!$G$5:$G$180&lt;&gt;"moeda")*(Inputs!$G$5:$G$180&lt;&gt;"acoes")))*INDEX(Inputs!$K$5:$AJ$180,0,MATCH(P$2,Inputs!$K$4:$AJ$4,0)))+SUMPRODUCT((Inputs!$E$5:$E$180=$B32)*Inputs!$F$5:$F$180*(((Inputs!$G$5:$G$180="moeda")+(Inputs!$G$5:$G$180="acoes"))*Inputs!$B$1+((Inputs!$G$5:$G$180&lt;&gt;"moeda")*(Inputs!$G$5:$G$180&lt;&gt;"acoes")))*INDEX(Inputs!$K$5:$AJ$180,0,MATCH(P$2,Inputs!$K$4:$AJ$4,0)))))</f>
        <v>509.272</v>
      </c>
      <c r="Q32" s="6">
        <f>IF(ISNA(MATCH(Q$2,Inputs!$K$4:$AJ$4,0)),NA(),IF(SUMPRODUCT((Inputs!$A$5:$A$180=$B32)*ISNUMBER(INDEX(Inputs!$K$5:$AJ$180,0,MATCH(Q$2,Inputs!$K$4:$AJ$4,0))))+SUMPRODUCT((Inputs!$C$5:$C$180=$B32)*ISNUMBER(INDEX(Inputs!$K$5:$AJ$180,0,MATCH(Q$2,Inputs!$K$4:$AJ$4,0))))+SUMPRODUCT((Inputs!$E$5:$E$180=$B32)*ISNUMBER(INDEX(Inputs!$K$5:$AJ$180,0,MATCH(Q$2,Inputs!$K$4:$AJ$4,0))))=0,NA(),SUMPRODUCT((Inputs!$A$5:$A$180=$B32)*Inputs!$B$5:$B$180*(((Inputs!$G$5:$G$180="moeda")+(Inputs!$G$5:$G$180="acoes"))*Inputs!$B$1+((Inputs!$G$5:$G$180&lt;&gt;"moeda")*(Inputs!$G$5:$G$180&lt;&gt;"acoes")))*INDEX(Inputs!$K$5:$AJ$180,0,MATCH(Q$2,Inputs!$K$4:$AJ$4,0)))+SUMPRODUCT((Inputs!$C$5:$C$180=$B32)*Inputs!$D$5:$D$180*(((Inputs!$G$5:$G$180="moeda")+(Inputs!$G$5:$G$180="acoes"))*Inputs!$B$1+((Inputs!$G$5:$G$180&lt;&gt;"moeda")*(Inputs!$G$5:$G$180&lt;&gt;"acoes")))*INDEX(Inputs!$K$5:$AJ$180,0,MATCH(Q$2,Inputs!$K$4:$AJ$4,0)))+SUMPRODUCT((Inputs!$E$5:$E$180=$B32)*Inputs!$F$5:$F$180*(((Inputs!$G$5:$G$180="moeda")+(Inputs!$G$5:$G$180="acoes"))*Inputs!$B$1+((Inputs!$G$5:$G$180&lt;&gt;"moeda")*(Inputs!$G$5:$G$180&lt;&gt;"acoes")))*INDEX(Inputs!$K$5:$AJ$180,0,MATCH(Q$2,Inputs!$K$4:$AJ$4,0)))))</f>
        <v>339.192</v>
      </c>
      <c r="R32" s="3">
        <f>Q32</f>
        <v>339.192</v>
      </c>
      <c r="S32" s="6">
        <f>IF(ISNA(MATCH(S$2,Inputs!$K$4:$AJ$4,0)),NA(),IF(SUMPRODUCT((Inputs!$A$5:$A$180=$B32)*ISNUMBER(INDEX(Inputs!$K$5:$AJ$180,0,MATCH(S$2,Inputs!$K$4:$AJ$4,0))))+SUMPRODUCT((Inputs!$C$5:$C$180=$B32)*ISNUMBER(INDEX(Inputs!$K$5:$AJ$180,0,MATCH(S$2,Inputs!$K$4:$AJ$4,0))))+SUMPRODUCT((Inputs!$E$5:$E$180=$B32)*ISNUMBER(INDEX(Inputs!$K$5:$AJ$180,0,MATCH(S$2,Inputs!$K$4:$AJ$4,0))))=0,NA(),SUMPRODUCT((Inputs!$A$5:$A$180=$B32)*Inputs!$B$5:$B$180*(((Inputs!$G$5:$G$180="moeda")+(Inputs!$G$5:$G$180="acoes"))*Inputs!$B$1+((Inputs!$G$5:$G$180&lt;&gt;"moeda")*(Inputs!$G$5:$G$180&lt;&gt;"acoes")))*INDEX(Inputs!$K$5:$AJ$180,0,MATCH(S$2,Inputs!$K$4:$AJ$4,0)))+SUMPRODUCT((Inputs!$C$5:$C$180=$B32)*Inputs!$D$5:$D$180*(((Inputs!$G$5:$G$180="moeda")+(Inputs!$G$5:$G$180="acoes"))*Inputs!$B$1+((Inputs!$G$5:$G$180&lt;&gt;"moeda")*(Inputs!$G$5:$G$180&lt;&gt;"acoes")))*INDEX(Inputs!$K$5:$AJ$180,0,MATCH(S$2,Inputs!$K$4:$AJ$4,0)))+SUMPRODUCT((Inputs!$E$5:$E$180=$B32)*Inputs!$F$5:$F$180*(((Inputs!$G$5:$G$180="moeda")+(Inputs!$G$5:$G$180="acoes"))*Inputs!$B$1+((Inputs!$G$5:$G$180&lt;&gt;"moeda")*(Inputs!$G$5:$G$180&lt;&gt;"acoes")))*INDEX(Inputs!$K$5:$AJ$180,0,MATCH(S$2,Inputs!$K$4:$AJ$4,0)))))</f>
        <v>412.691</v>
      </c>
      <c r="T32" s="6">
        <f>IF(ISNA(MATCH(T$2,Inputs!$K$4:$AJ$4,0)),NA(),IF(SUMPRODUCT((Inputs!$A$5:$A$180=$B32)*ISNUMBER(INDEX(Inputs!$K$5:$AJ$180,0,MATCH(T$2,Inputs!$K$4:$AJ$4,0))))+SUMPRODUCT((Inputs!$C$5:$C$180=$B32)*ISNUMBER(INDEX(Inputs!$K$5:$AJ$180,0,MATCH(T$2,Inputs!$K$4:$AJ$4,0))))+SUMPRODUCT((Inputs!$E$5:$E$180=$B32)*ISNUMBER(INDEX(Inputs!$K$5:$AJ$180,0,MATCH(T$2,Inputs!$K$4:$AJ$4,0))))=0,NA(),SUMPRODUCT((Inputs!$A$5:$A$180=$B32)*Inputs!$B$5:$B$180*(((Inputs!$G$5:$G$180="moeda")+(Inputs!$G$5:$G$180="acoes"))*Inputs!$B$1+((Inputs!$G$5:$G$180&lt;&gt;"moeda")*(Inputs!$G$5:$G$180&lt;&gt;"acoes")))*INDEX(Inputs!$K$5:$AJ$180,0,MATCH(T$2,Inputs!$K$4:$AJ$4,0)))+SUMPRODUCT((Inputs!$C$5:$C$180=$B32)*Inputs!$D$5:$D$180*(((Inputs!$G$5:$G$180="moeda")+(Inputs!$G$5:$G$180="acoes"))*Inputs!$B$1+((Inputs!$G$5:$G$180&lt;&gt;"moeda")*(Inputs!$G$5:$G$180&lt;&gt;"acoes")))*INDEX(Inputs!$K$5:$AJ$180,0,MATCH(T$2,Inputs!$K$4:$AJ$4,0)))+SUMPRODUCT((Inputs!$E$5:$E$180=$B32)*Inputs!$F$5:$F$180*(((Inputs!$G$5:$G$180="moeda")+(Inputs!$G$5:$G$180="acoes"))*Inputs!$B$1+((Inputs!$G$5:$G$180&lt;&gt;"moeda")*(Inputs!$G$5:$G$180&lt;&gt;"acoes")))*INDEX(Inputs!$K$5:$AJ$180,0,MATCH(T$2,Inputs!$K$4:$AJ$4,0)))))</f>
        <v>328.864</v>
      </c>
      <c r="U32" s="6">
        <f>IF(ISNA(MATCH(U$2,Inputs!$K$4:$AJ$4,0)),NA(),IF(SUMPRODUCT((Inputs!$A$5:$A$180=$B32)*ISNUMBER(INDEX(Inputs!$K$5:$AJ$180,0,MATCH(U$2,Inputs!$K$4:$AJ$4,0))))+SUMPRODUCT((Inputs!$C$5:$C$180=$B32)*ISNUMBER(INDEX(Inputs!$K$5:$AJ$180,0,MATCH(U$2,Inputs!$K$4:$AJ$4,0))))+SUMPRODUCT((Inputs!$E$5:$E$180=$B32)*ISNUMBER(INDEX(Inputs!$K$5:$AJ$180,0,MATCH(U$2,Inputs!$K$4:$AJ$4,0))))=0,NA(),SUMPRODUCT((Inputs!$A$5:$A$180=$B32)*Inputs!$B$5:$B$180*(((Inputs!$G$5:$G$180="moeda")+(Inputs!$G$5:$G$180="acoes"))*Inputs!$B$1+((Inputs!$G$5:$G$180&lt;&gt;"moeda")*(Inputs!$G$5:$G$180&lt;&gt;"acoes")))*INDEX(Inputs!$K$5:$AJ$180,0,MATCH(U$2,Inputs!$K$4:$AJ$4,0)))+SUMPRODUCT((Inputs!$C$5:$C$180=$B32)*Inputs!$D$5:$D$180*(((Inputs!$G$5:$G$180="moeda")+(Inputs!$G$5:$G$180="acoes"))*Inputs!$B$1+((Inputs!$G$5:$G$180&lt;&gt;"moeda")*(Inputs!$G$5:$G$180&lt;&gt;"acoes")))*INDEX(Inputs!$K$5:$AJ$180,0,MATCH(U$2,Inputs!$K$4:$AJ$4,0)))+SUMPRODUCT((Inputs!$E$5:$E$180=$B32)*Inputs!$F$5:$F$180*(((Inputs!$G$5:$G$180="moeda")+(Inputs!$G$5:$G$180="acoes"))*Inputs!$B$1+((Inputs!$G$5:$G$180&lt;&gt;"moeda")*(Inputs!$G$5:$G$180&lt;&gt;"acoes")))*INDEX(Inputs!$K$5:$AJ$180,0,MATCH(U$2,Inputs!$K$4:$AJ$4,0)))))</f>
        <v>654.38</v>
      </c>
      <c r="V32" s="6">
        <f>IF(ISNA(MATCH(V$2,Inputs!$K$4:$AJ$4,0)),NA(),IF(SUMPRODUCT((Inputs!$A$5:$A$180=$B32)*ISNUMBER(INDEX(Inputs!$K$5:$AJ$180,0,MATCH(V$2,Inputs!$K$4:$AJ$4,0))))+SUMPRODUCT((Inputs!$C$5:$C$180=$B32)*ISNUMBER(INDEX(Inputs!$K$5:$AJ$180,0,MATCH(V$2,Inputs!$K$4:$AJ$4,0))))+SUMPRODUCT((Inputs!$E$5:$E$180=$B32)*ISNUMBER(INDEX(Inputs!$K$5:$AJ$180,0,MATCH(V$2,Inputs!$K$4:$AJ$4,0))))=0,NA(),SUMPRODUCT((Inputs!$A$5:$A$180=$B32)*Inputs!$B$5:$B$180*(((Inputs!$G$5:$G$180="moeda")+(Inputs!$G$5:$G$180="acoes"))*Inputs!$B$1+((Inputs!$G$5:$G$180&lt;&gt;"moeda")*(Inputs!$G$5:$G$180&lt;&gt;"acoes")))*INDEX(Inputs!$K$5:$AJ$180,0,MATCH(V$2,Inputs!$K$4:$AJ$4,0)))+SUMPRODUCT((Inputs!$C$5:$C$180=$B32)*Inputs!$D$5:$D$180*(((Inputs!$G$5:$G$180="moeda")+(Inputs!$G$5:$G$180="acoes"))*Inputs!$B$1+((Inputs!$G$5:$G$180&lt;&gt;"moeda")*(Inputs!$G$5:$G$180&lt;&gt;"acoes")))*INDEX(Inputs!$K$5:$AJ$180,0,MATCH(V$2,Inputs!$K$4:$AJ$4,0)))+SUMPRODUCT((Inputs!$E$5:$E$180=$B32)*Inputs!$F$5:$F$180*(((Inputs!$G$5:$G$180="moeda")+(Inputs!$G$5:$G$180="acoes"))*Inputs!$B$1+((Inputs!$G$5:$G$180&lt;&gt;"moeda")*(Inputs!$G$5:$G$180&lt;&gt;"acoes")))*INDEX(Inputs!$K$5:$AJ$180,0,MATCH(V$2,Inputs!$K$4:$AJ$4,0)))))</f>
        <v>249.33</v>
      </c>
      <c r="W32" s="3">
        <f>V32</f>
        <v>249.33</v>
      </c>
      <c r="X32" s="6">
        <f>IF(ISNA(MATCH(X$2,Inputs!$K$4:$AJ$4,0)),NA(),IF(SUMPRODUCT((Inputs!$A$5:$A$180=$B32)*ISNUMBER(INDEX(Inputs!$K$5:$AJ$180,0,MATCH(X$2,Inputs!$K$4:$AJ$4,0))))+SUMPRODUCT((Inputs!$C$5:$C$180=$B32)*ISNUMBER(INDEX(Inputs!$K$5:$AJ$180,0,MATCH(X$2,Inputs!$K$4:$AJ$4,0))))+SUMPRODUCT((Inputs!$E$5:$E$180=$B32)*ISNUMBER(INDEX(Inputs!$K$5:$AJ$180,0,MATCH(X$2,Inputs!$K$4:$AJ$4,0))))=0,NA(),SUMPRODUCT((Inputs!$A$5:$A$180=$B32)*Inputs!$B$5:$B$180*(((Inputs!$G$5:$G$180="moeda")+(Inputs!$G$5:$G$180="acoes"))*Inputs!$B$1+((Inputs!$G$5:$G$180&lt;&gt;"moeda")*(Inputs!$G$5:$G$180&lt;&gt;"acoes")))*INDEX(Inputs!$K$5:$AJ$180,0,MATCH(X$2,Inputs!$K$4:$AJ$4,0)))+SUMPRODUCT((Inputs!$C$5:$C$180=$B32)*Inputs!$D$5:$D$180*(((Inputs!$G$5:$G$180="moeda")+(Inputs!$G$5:$G$180="acoes"))*Inputs!$B$1+((Inputs!$G$5:$G$180&lt;&gt;"moeda")*(Inputs!$G$5:$G$180&lt;&gt;"acoes")))*INDEX(Inputs!$K$5:$AJ$180,0,MATCH(X$2,Inputs!$K$4:$AJ$4,0)))+SUMPRODUCT((Inputs!$E$5:$E$180=$B32)*Inputs!$F$5:$F$180*(((Inputs!$G$5:$G$180="moeda")+(Inputs!$G$5:$G$180="acoes"))*Inputs!$B$1+((Inputs!$G$5:$G$180&lt;&gt;"moeda")*(Inputs!$G$5:$G$180&lt;&gt;"acoes")))*INDEX(Inputs!$K$5:$AJ$180,0,MATCH(X$2,Inputs!$K$4:$AJ$4,0)))))</f>
        <v>378.228106</v>
      </c>
      <c r="Y32" s="6">
        <f>IF(ISNA(MATCH(Y$2,Inputs!$K$4:$AJ$4,0)),NA(),IF(SUMPRODUCT((Inputs!$A$5:$A$180=$B32)*ISNUMBER(INDEX(Inputs!$K$5:$AJ$180,0,MATCH(Y$2,Inputs!$K$4:$AJ$4,0))))+SUMPRODUCT((Inputs!$C$5:$C$180=$B32)*ISNUMBER(INDEX(Inputs!$K$5:$AJ$180,0,MATCH(Y$2,Inputs!$K$4:$AJ$4,0))))+SUMPRODUCT((Inputs!$E$5:$E$180=$B32)*ISNUMBER(INDEX(Inputs!$K$5:$AJ$180,0,MATCH(Y$2,Inputs!$K$4:$AJ$4,0))))=0,NA(),SUMPRODUCT((Inputs!$A$5:$A$180=$B32)*Inputs!$B$5:$B$180*(((Inputs!$G$5:$G$180="moeda")+(Inputs!$G$5:$G$180="acoes"))*Inputs!$B$1+((Inputs!$G$5:$G$180&lt;&gt;"moeda")*(Inputs!$G$5:$G$180&lt;&gt;"acoes")))*INDEX(Inputs!$K$5:$AJ$180,0,MATCH(Y$2,Inputs!$K$4:$AJ$4,0)))+SUMPRODUCT((Inputs!$C$5:$C$180=$B32)*Inputs!$D$5:$D$180*(((Inputs!$G$5:$G$180="moeda")+(Inputs!$G$5:$G$180="acoes"))*Inputs!$B$1+((Inputs!$G$5:$G$180&lt;&gt;"moeda")*(Inputs!$G$5:$G$180&lt;&gt;"acoes")))*INDEX(Inputs!$K$5:$AJ$180,0,MATCH(Y$2,Inputs!$K$4:$AJ$4,0)))+SUMPRODUCT((Inputs!$E$5:$E$180=$B32)*Inputs!$F$5:$F$180*(((Inputs!$G$5:$G$180="moeda")+(Inputs!$G$5:$G$180="acoes"))*Inputs!$B$1+((Inputs!$G$5:$G$180&lt;&gt;"moeda")*(Inputs!$G$5:$G$180&lt;&gt;"acoes")))*INDEX(Inputs!$K$5:$AJ$180,0,MATCH(Y$2,Inputs!$K$4:$AJ$4,0)))))</f>
        <v>288.392</v>
      </c>
      <c r="Z32" s="6">
        <f>IF(ISNA(MATCH(Z$2,Inputs!$K$4:$AJ$4,0)),NA(),IF(SUMPRODUCT((Inputs!$A$5:$A$180=$B32)*ISNUMBER(INDEX(Inputs!$K$5:$AJ$180,0,MATCH(Z$2,Inputs!$K$4:$AJ$4,0))))+SUMPRODUCT((Inputs!$C$5:$C$180=$B32)*ISNUMBER(INDEX(Inputs!$K$5:$AJ$180,0,MATCH(Z$2,Inputs!$K$4:$AJ$4,0))))+SUMPRODUCT((Inputs!$E$5:$E$180=$B32)*ISNUMBER(INDEX(Inputs!$K$5:$AJ$180,0,MATCH(Z$2,Inputs!$K$4:$AJ$4,0))))=0,NA(),SUMPRODUCT((Inputs!$A$5:$A$180=$B32)*Inputs!$B$5:$B$180*(((Inputs!$G$5:$G$180="moeda")+(Inputs!$G$5:$G$180="acoes"))*Inputs!$B$1+((Inputs!$G$5:$G$180&lt;&gt;"moeda")*(Inputs!$G$5:$G$180&lt;&gt;"acoes")))*INDEX(Inputs!$K$5:$AJ$180,0,MATCH(Z$2,Inputs!$K$4:$AJ$4,0)))+SUMPRODUCT((Inputs!$C$5:$C$180=$B32)*Inputs!$D$5:$D$180*(((Inputs!$G$5:$G$180="moeda")+(Inputs!$G$5:$G$180="acoes"))*Inputs!$B$1+((Inputs!$G$5:$G$180&lt;&gt;"moeda")*(Inputs!$G$5:$G$180&lt;&gt;"acoes")))*INDEX(Inputs!$K$5:$AJ$180,0,MATCH(Z$2,Inputs!$K$4:$AJ$4,0)))+SUMPRODUCT((Inputs!$E$5:$E$180=$B32)*Inputs!$F$5:$F$180*(((Inputs!$G$5:$G$180="moeda")+(Inputs!$G$5:$G$180="acoes"))*Inputs!$B$1+((Inputs!$G$5:$G$180&lt;&gt;"moeda")*(Inputs!$G$5:$G$180&lt;&gt;"acoes")))*INDEX(Inputs!$K$5:$AJ$180,0,MATCH(Z$2,Inputs!$K$4:$AJ$4,0)))))</f>
        <v>424.442</v>
      </c>
      <c r="AA32" s="6">
        <f>IF(ISNA(MATCH(AA$2,Inputs!$K$4:$AJ$4,0)),NA(),IF(SUMPRODUCT((Inputs!$A$5:$A$180=$B32)*ISNUMBER(INDEX(Inputs!$K$5:$AJ$180,0,MATCH(AA$2,Inputs!$K$4:$AJ$4,0))))+SUMPRODUCT((Inputs!$C$5:$C$180=$B32)*ISNUMBER(INDEX(Inputs!$K$5:$AJ$180,0,MATCH(AA$2,Inputs!$K$4:$AJ$4,0))))+SUMPRODUCT((Inputs!$E$5:$E$180=$B32)*ISNUMBER(INDEX(Inputs!$K$5:$AJ$180,0,MATCH(AA$2,Inputs!$K$4:$AJ$4,0))))=0,NA(),SUMPRODUCT((Inputs!$A$5:$A$180=$B32)*Inputs!$B$5:$B$180*(((Inputs!$G$5:$G$180="moeda")+(Inputs!$G$5:$G$180="acoes"))*Inputs!$B$1+((Inputs!$G$5:$G$180&lt;&gt;"moeda")*(Inputs!$G$5:$G$180&lt;&gt;"acoes")))*INDEX(Inputs!$K$5:$AJ$180,0,MATCH(AA$2,Inputs!$K$4:$AJ$4,0)))+SUMPRODUCT((Inputs!$C$5:$C$180=$B32)*Inputs!$D$5:$D$180*(((Inputs!$G$5:$G$180="moeda")+(Inputs!$G$5:$G$180="acoes"))*Inputs!$B$1+((Inputs!$G$5:$G$180&lt;&gt;"moeda")*(Inputs!$G$5:$G$180&lt;&gt;"acoes")))*INDEX(Inputs!$K$5:$AJ$180,0,MATCH(AA$2,Inputs!$K$4:$AJ$4,0)))+SUMPRODUCT((Inputs!$E$5:$E$180=$B32)*Inputs!$F$5:$F$180*(((Inputs!$G$5:$G$180="moeda")+(Inputs!$G$5:$G$180="acoes"))*Inputs!$B$1+((Inputs!$G$5:$G$180&lt;&gt;"moeda")*(Inputs!$G$5:$G$180&lt;&gt;"acoes")))*INDEX(Inputs!$K$5:$AJ$180,0,MATCH(AA$2,Inputs!$K$4:$AJ$4,0)))))</f>
        <v>311.442</v>
      </c>
      <c r="AB32" s="3">
        <f>AA32</f>
        <v>311.442</v>
      </c>
      <c r="AC32" s="6">
        <f>IF(ISNA(MATCH(AC$2,Inputs!$K$4:$AJ$4,0)),NA(),IF(SUMPRODUCT((Inputs!$A$5:$A$180=$B32)*ISNUMBER(INDEX(Inputs!$K$5:$AJ$180,0,MATCH(AC$2,Inputs!$K$4:$AJ$4,0))))+SUMPRODUCT((Inputs!$C$5:$C$180=$B32)*ISNUMBER(INDEX(Inputs!$K$5:$AJ$180,0,MATCH(AC$2,Inputs!$K$4:$AJ$4,0))))+SUMPRODUCT((Inputs!$E$5:$E$180=$B32)*ISNUMBER(INDEX(Inputs!$K$5:$AJ$180,0,MATCH(AC$2,Inputs!$K$4:$AJ$4,0))))=0,NA(),SUMPRODUCT((Inputs!$A$5:$A$180=$B32)*Inputs!$B$5:$B$180*(((Inputs!$G$5:$G$180="moeda")+(Inputs!$G$5:$G$180="acoes"))*Inputs!$B$1+((Inputs!$G$5:$G$180&lt;&gt;"moeda")*(Inputs!$G$5:$G$180&lt;&gt;"acoes")))*INDEX(Inputs!$K$5:$AJ$180,0,MATCH(AC$2,Inputs!$K$4:$AJ$4,0)))+SUMPRODUCT((Inputs!$C$5:$C$180=$B32)*Inputs!$D$5:$D$180*(((Inputs!$G$5:$G$180="moeda")+(Inputs!$G$5:$G$180="acoes"))*Inputs!$B$1+((Inputs!$G$5:$G$180&lt;&gt;"moeda")*(Inputs!$G$5:$G$180&lt;&gt;"acoes")))*INDEX(Inputs!$K$5:$AJ$180,0,MATCH(AC$2,Inputs!$K$4:$AJ$4,0)))+SUMPRODUCT((Inputs!$E$5:$E$180=$B32)*Inputs!$F$5:$F$180*(((Inputs!$G$5:$G$180="moeda")+(Inputs!$G$5:$G$180="acoes"))*Inputs!$B$1+((Inputs!$G$5:$G$180&lt;&gt;"moeda")*(Inputs!$G$5:$G$180&lt;&gt;"acoes")))*INDEX(Inputs!$K$5:$AJ$180,0,MATCH(AC$2,Inputs!$K$4:$AJ$4,0)))))</f>
        <v>383.255</v>
      </c>
      <c r="AD32" s="6">
        <f>IF(ISNA(MATCH(AD$2,Inputs!$K$4:$AJ$4,0)),NA(),IF(SUMPRODUCT((Inputs!$A$5:$A$180=$B32)*ISNUMBER(INDEX(Inputs!$K$5:$AJ$180,0,MATCH(AD$2,Inputs!$K$4:$AJ$4,0))))+SUMPRODUCT((Inputs!$C$5:$C$180=$B32)*ISNUMBER(INDEX(Inputs!$K$5:$AJ$180,0,MATCH(AD$2,Inputs!$K$4:$AJ$4,0))))+SUMPRODUCT((Inputs!$E$5:$E$180=$B32)*ISNUMBER(INDEX(Inputs!$K$5:$AJ$180,0,MATCH(AD$2,Inputs!$K$4:$AJ$4,0))))=0,NA(),SUMPRODUCT((Inputs!$A$5:$A$180=$B32)*Inputs!$B$5:$B$180*(((Inputs!$G$5:$G$180="moeda")+(Inputs!$G$5:$G$180="acoes"))*Inputs!$B$1+((Inputs!$G$5:$G$180&lt;&gt;"moeda")*(Inputs!$G$5:$G$180&lt;&gt;"acoes")))*INDEX(Inputs!$K$5:$AJ$180,0,MATCH(AD$2,Inputs!$K$4:$AJ$4,0)))+SUMPRODUCT((Inputs!$C$5:$C$180=$B32)*Inputs!$D$5:$D$180*(((Inputs!$G$5:$G$180="moeda")+(Inputs!$G$5:$G$180="acoes"))*Inputs!$B$1+((Inputs!$G$5:$G$180&lt;&gt;"moeda")*(Inputs!$G$5:$G$180&lt;&gt;"acoes")))*INDEX(Inputs!$K$5:$AJ$180,0,MATCH(AD$2,Inputs!$K$4:$AJ$4,0)))+SUMPRODUCT((Inputs!$E$5:$E$180=$B32)*Inputs!$F$5:$F$180*(((Inputs!$G$5:$G$180="moeda")+(Inputs!$G$5:$G$180="acoes"))*Inputs!$B$1+((Inputs!$G$5:$G$180&lt;&gt;"moeda")*(Inputs!$G$5:$G$180&lt;&gt;"acoes")))*INDEX(Inputs!$K$5:$AJ$180,0,MATCH(AD$2,Inputs!$K$4:$AJ$4,0)))))</f>
        <v>667.641</v>
      </c>
      <c r="AE32" s="6" t="e">
        <f>IF(ISNA(MATCH(AE$2,Inputs!$K$4:$AJ$4,0)),NA(),IF(SUMPRODUCT((Inputs!$A$5:$A$180=$B32)*ISNUMBER(INDEX(Inputs!$K$5:$AJ$180,0,MATCH(AE$2,Inputs!$K$4:$AJ$4,0))))+SUMPRODUCT((Inputs!$C$5:$C$180=$B32)*ISNUMBER(INDEX(Inputs!$K$5:$AJ$180,0,MATCH(AE$2,Inputs!$K$4:$AJ$4,0))))+SUMPRODUCT((Inputs!$E$5:$E$180=$B32)*ISNUMBER(INDEX(Inputs!$K$5:$AJ$180,0,MATCH(AE$2,Inputs!$K$4:$AJ$4,0))))=0,NA(),SUMPRODUCT((Inputs!$A$5:$A$180=$B32)*Inputs!$B$5:$B$180*(((Inputs!$G$5:$G$180="moeda")+(Inputs!$G$5:$G$180="acoes"))*Inputs!$B$1+((Inputs!$G$5:$G$180&lt;&gt;"moeda")*(Inputs!$G$5:$G$180&lt;&gt;"acoes")))*INDEX(Inputs!$K$5:$AJ$180,0,MATCH(AE$2,Inputs!$K$4:$AJ$4,0)))+SUMPRODUCT((Inputs!$C$5:$C$180=$B32)*Inputs!$D$5:$D$180*(((Inputs!$G$5:$G$180="moeda")+(Inputs!$G$5:$G$180="acoes"))*Inputs!$B$1+((Inputs!$G$5:$G$180&lt;&gt;"moeda")*(Inputs!$G$5:$G$180&lt;&gt;"acoes")))*INDEX(Inputs!$K$5:$AJ$180,0,MATCH(AE$2,Inputs!$K$4:$AJ$4,0)))+SUMPRODUCT((Inputs!$E$5:$E$180=$B32)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2" s="6" t="e">
        <f>IF(ISNA(MATCH(AF$2,Inputs!$K$4:$AJ$4,0)),NA(),IF(SUMPRODUCT((Inputs!$A$5:$A$180=$B32)*ISNUMBER(INDEX(Inputs!$K$5:$AJ$180,0,MATCH(AF$2,Inputs!$K$4:$AJ$4,0))))+SUMPRODUCT((Inputs!$C$5:$C$180=$B32)*ISNUMBER(INDEX(Inputs!$K$5:$AJ$180,0,MATCH(AF$2,Inputs!$K$4:$AJ$4,0))))+SUMPRODUCT((Inputs!$E$5:$E$180=$B32)*ISNUMBER(INDEX(Inputs!$K$5:$AJ$180,0,MATCH(AF$2,Inputs!$K$4:$AJ$4,0))))=0,NA(),SUMPRODUCT((Inputs!$A$5:$A$180=$B32)*Inputs!$B$5:$B$180*(((Inputs!$G$5:$G$180="moeda")+(Inputs!$G$5:$G$180="acoes"))*Inputs!$B$1+((Inputs!$G$5:$G$180&lt;&gt;"moeda")*(Inputs!$G$5:$G$180&lt;&gt;"acoes")))*INDEX(Inputs!$K$5:$AJ$180,0,MATCH(AF$2,Inputs!$K$4:$AJ$4,0)))+SUMPRODUCT((Inputs!$C$5:$C$180=$B32)*Inputs!$D$5:$D$180*(((Inputs!$G$5:$G$180="moeda")+(Inputs!$G$5:$G$180="acoes"))*Inputs!$B$1+((Inputs!$G$5:$G$180&lt;&gt;"moeda")*(Inputs!$G$5:$G$180&lt;&gt;"acoes")))*INDEX(Inputs!$K$5:$AJ$180,0,MATCH(AF$2,Inputs!$K$4:$AJ$4,0)))+SUMPRODUCT((Inputs!$E$5:$E$180=$B32)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2" s="3" t="e">
        <f>AF32</f>
        <v>#N/A</v>
      </c>
      <c r="AH32" s="6">
        <f>IF(ISNA(MATCH(AH$2,Inputs!$K$4:$AJ$4,0)),NA(),IF(SUMPRODUCT((Inputs!$A$5:$A$180=$B32)*ISNUMBER(INDEX(Inputs!$K$5:$AJ$180,0,MATCH(AH$2,Inputs!$K$4:$AJ$4,0))))+SUMPRODUCT((Inputs!$C$5:$C$180=$B32)*ISNUMBER(INDEX(Inputs!$K$5:$AJ$180,0,MATCH(AH$2,Inputs!$K$4:$AJ$4,0))))+SUMPRODUCT((Inputs!$E$5:$E$180=$B32)*ISNUMBER(INDEX(Inputs!$K$5:$AJ$180,0,MATCH(AH$2,Inputs!$K$4:$AJ$4,0))))=0,NA(),SUMPRODUCT((Inputs!$A$5:$A$180=$B32)*Inputs!$B$5:$B$180*(((Inputs!$G$5:$G$180="moeda")+(Inputs!$G$5:$G$180="acoes"))*Inputs!$B$1+((Inputs!$G$5:$G$180&lt;&gt;"moeda")*(Inputs!$G$5:$G$180&lt;&gt;"acoes")))*INDEX(Inputs!$K$5:$AJ$180,0,MATCH(AH$2,Inputs!$K$4:$AJ$4,0)))+SUMPRODUCT((Inputs!$C$5:$C$180=$B32)*Inputs!$D$5:$D$180*(((Inputs!$G$5:$G$180="moeda")+(Inputs!$G$5:$G$180="acoes"))*Inputs!$B$1+((Inputs!$G$5:$G$180&lt;&gt;"moeda")*(Inputs!$G$5:$G$180&lt;&gt;"acoes")))*INDEX(Inputs!$K$5:$AJ$180,0,MATCH(AH$2,Inputs!$K$4:$AJ$4,0)))+SUMPRODUCT((Inputs!$E$5:$E$180=$B32)*Inputs!$F$5:$F$180*(((Inputs!$G$5:$G$180="moeda")+(Inputs!$G$5:$G$180="acoes"))*Inputs!$B$1+((Inputs!$G$5:$G$180&lt;&gt;"moeda")*(Inputs!$G$5:$G$180&lt;&gt;"acoes")))*INDEX(Inputs!$K$5:$AJ$180,0,MATCH(AH$2,Inputs!$K$4:$AJ$4,0)))))</f>
        <v>113.71624701</v>
      </c>
      <c r="AI32" s="6">
        <f>IF(ISNA(MATCH(AI$2,Inputs!$K$4:$AJ$4,0)),NA(),IF(SUMPRODUCT((Inputs!$A$5:$A$180=$B32)*ISNUMBER(INDEX(Inputs!$K$5:$AJ$180,0,MATCH(AI$2,Inputs!$K$4:$AJ$4,0))))+SUMPRODUCT((Inputs!$C$5:$C$180=$B32)*ISNUMBER(INDEX(Inputs!$K$5:$AJ$180,0,MATCH(AI$2,Inputs!$K$4:$AJ$4,0))))+SUMPRODUCT((Inputs!$E$5:$E$180=$B32)*ISNUMBER(INDEX(Inputs!$K$5:$AJ$180,0,MATCH(AI$2,Inputs!$K$4:$AJ$4,0))))=0,NA(),SUMPRODUCT((Inputs!$A$5:$A$180=$B32)*Inputs!$B$5:$B$180*(((Inputs!$G$5:$G$180="moeda")+(Inputs!$G$5:$G$180="acoes"))*Inputs!$B$1+((Inputs!$G$5:$G$180&lt;&gt;"moeda")*(Inputs!$G$5:$G$180&lt;&gt;"acoes")))*INDEX(Inputs!$K$5:$AJ$180,0,MATCH(AI$2,Inputs!$K$4:$AJ$4,0)))+SUMPRODUCT((Inputs!$C$5:$C$180=$B32)*Inputs!$D$5:$D$180*(((Inputs!$G$5:$G$180="moeda")+(Inputs!$G$5:$G$180="acoes"))*Inputs!$B$1+((Inputs!$G$5:$G$180&lt;&gt;"moeda")*(Inputs!$G$5:$G$180&lt;&gt;"acoes")))*INDEX(Inputs!$K$5:$AJ$180,0,MATCH(AI$2,Inputs!$K$4:$AJ$4,0)))+SUMPRODUCT((Inputs!$E$5:$E$180=$B32)*Inputs!$F$5:$F$180*(((Inputs!$G$5:$G$180="moeda")+(Inputs!$G$5:$G$180="acoes"))*Inputs!$B$1+((Inputs!$G$5:$G$180&lt;&gt;"moeda")*(Inputs!$G$5:$G$180&lt;&gt;"acoes")))*INDEX(Inputs!$K$5:$AJ$180,0,MATCH(AI$2,Inputs!$K$4:$AJ$4,0)))))</f>
        <v>365.3126805</v>
      </c>
      <c r="AJ32" s="6">
        <f>IF(ISNA(MATCH(AJ$2,Inputs!$K$4:$AJ$4,0)),NA(),IF(SUMPRODUCT((Inputs!$A$5:$A$180=$B32)*ISNUMBER(INDEX(Inputs!$K$5:$AJ$180,0,MATCH(AJ$2,Inputs!$K$4:$AJ$4,0))))+SUMPRODUCT((Inputs!$C$5:$C$180=$B32)*ISNUMBER(INDEX(Inputs!$K$5:$AJ$180,0,MATCH(AJ$2,Inputs!$K$4:$AJ$4,0))))+SUMPRODUCT((Inputs!$E$5:$E$180=$B32)*ISNUMBER(INDEX(Inputs!$K$5:$AJ$180,0,MATCH(AJ$2,Inputs!$K$4:$AJ$4,0))))=0,NA(),SUMPRODUCT((Inputs!$A$5:$A$180=$B32)*Inputs!$B$5:$B$180*(((Inputs!$G$5:$G$180="moeda")+(Inputs!$G$5:$G$180="acoes"))*Inputs!$B$1+((Inputs!$G$5:$G$180&lt;&gt;"moeda")*(Inputs!$G$5:$G$180&lt;&gt;"acoes")))*INDEX(Inputs!$K$5:$AJ$180,0,MATCH(AJ$2,Inputs!$K$4:$AJ$4,0)))+SUMPRODUCT((Inputs!$C$5:$C$180=$B32)*Inputs!$D$5:$D$180*(((Inputs!$G$5:$G$180="moeda")+(Inputs!$G$5:$G$180="acoes"))*Inputs!$B$1+((Inputs!$G$5:$G$180&lt;&gt;"moeda")*(Inputs!$G$5:$G$180&lt;&gt;"acoes")))*INDEX(Inputs!$K$5:$AJ$180,0,MATCH(AJ$2,Inputs!$K$4:$AJ$4,0)))+SUMPRODUCT((Inputs!$E$5:$E$180=$B32)*Inputs!$F$5:$F$180*(((Inputs!$G$5:$G$180="moeda")+(Inputs!$G$5:$G$180="acoes"))*Inputs!$B$1+((Inputs!$G$5:$G$180&lt;&gt;"moeda")*(Inputs!$G$5:$G$180&lt;&gt;"acoes")))*INDEX(Inputs!$K$5:$AJ$180,0,MATCH(AJ$2,Inputs!$K$4:$AJ$4,0)))))</f>
        <v>350.40066429</v>
      </c>
      <c r="AK32" s="6">
        <f>IF(ISNA(MATCH(AK$2,Inputs!$K$4:$AJ$4,0)),NA(),IF(SUMPRODUCT((Inputs!$A$5:$A$180=$B32)*ISNUMBER(INDEX(Inputs!$K$5:$AJ$180,0,MATCH(AK$2,Inputs!$K$4:$AJ$4,0))))+SUMPRODUCT((Inputs!$C$5:$C$180=$B32)*ISNUMBER(INDEX(Inputs!$K$5:$AJ$180,0,MATCH(AK$2,Inputs!$K$4:$AJ$4,0))))+SUMPRODUCT((Inputs!$E$5:$E$180=$B32)*ISNUMBER(INDEX(Inputs!$K$5:$AJ$180,0,MATCH(AK$2,Inputs!$K$4:$AJ$4,0))))=0,NA(),SUMPRODUCT((Inputs!$A$5:$A$180=$B32)*Inputs!$B$5:$B$180*(((Inputs!$G$5:$G$180="moeda")+(Inputs!$G$5:$G$180="acoes"))*Inputs!$B$1+((Inputs!$G$5:$G$180&lt;&gt;"moeda")*(Inputs!$G$5:$G$180&lt;&gt;"acoes")))*INDEX(Inputs!$K$5:$AJ$180,0,MATCH(AK$2,Inputs!$K$4:$AJ$4,0)))+SUMPRODUCT((Inputs!$C$5:$C$180=$B32)*Inputs!$D$5:$D$180*(((Inputs!$G$5:$G$180="moeda")+(Inputs!$G$5:$G$180="acoes"))*Inputs!$B$1+((Inputs!$G$5:$G$180&lt;&gt;"moeda")*(Inputs!$G$5:$G$180&lt;&gt;"acoes")))*INDEX(Inputs!$K$5:$AJ$180,0,MATCH(AK$2,Inputs!$K$4:$AJ$4,0)))+SUMPRODUCT((Inputs!$E$5:$E$180=$B32)*Inputs!$F$5:$F$180*(((Inputs!$G$5:$G$180="moeda")+(Inputs!$G$5:$G$180="acoes"))*Inputs!$B$1+((Inputs!$G$5:$G$180&lt;&gt;"moeda")*(Inputs!$G$5:$G$180&lt;&gt;"acoes")))*INDEX(Inputs!$K$5:$AJ$180,0,MATCH(AK$2,Inputs!$K$4:$AJ$4,0)))))</f>
        <v>498.03984388</v>
      </c>
      <c r="AL32" s="3">
        <f>AK32</f>
        <v>498.03984388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$180=$B33)*ISNUMBER(INDEX(Inputs!$K$5:$AJ$180,0,MATCH(D$2,Inputs!$K$4:$AJ$4,0))))+SUMPRODUCT((Inputs!$C$5:$C$180=$B33)*ISNUMBER(INDEX(Inputs!$K$5:$AJ$180,0,MATCH(D$2,Inputs!$K$4:$AJ$4,0))))+SUMPRODUCT((Inputs!$E$5:$E$180=$B33)*ISNUMBER(INDEX(Inputs!$K$5:$AJ$180,0,MATCH(D$2,Inputs!$K$4:$AJ$4,0))))=0,NA(),SUMPRODUCT((Inputs!$A$5:$A$180=$B33)*Inputs!$B$5:$B$180*(((Inputs!$G$5:$G$180="moeda")+(Inputs!$G$5:$G$180="acoes"))*Inputs!$B$1+((Inputs!$G$5:$G$180&lt;&gt;"moeda")*(Inputs!$G$5:$G$180&lt;&gt;"acoes")))*INDEX(Inputs!$K$5:$AJ$180,0,MATCH(D$2,Inputs!$K$4:$AJ$4,0)))+SUMPRODUCT((Inputs!$C$5:$C$180=$B33)*Inputs!$D$5:$D$180*(((Inputs!$G$5:$G$180="moeda")+(Inputs!$G$5:$G$180="acoes"))*Inputs!$B$1+((Inputs!$G$5:$G$180&lt;&gt;"moeda")*(Inputs!$G$5:$G$180&lt;&gt;"acoes")))*INDEX(Inputs!$K$5:$AJ$180,0,MATCH(D$2,Inputs!$K$4:$AJ$4,0)))+SUMPRODUCT((Inputs!$E$5:$E$180=$B33)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3" s="6" t="e">
        <f>IF(ISNA(MATCH(E$2,Inputs!$K$4:$AJ$4,0)),NA(),IF(SUMPRODUCT((Inputs!$A$5:$A$180=$B33)*ISNUMBER(INDEX(Inputs!$K$5:$AJ$180,0,MATCH(E$2,Inputs!$K$4:$AJ$4,0))))+SUMPRODUCT((Inputs!$C$5:$C$180=$B33)*ISNUMBER(INDEX(Inputs!$K$5:$AJ$180,0,MATCH(E$2,Inputs!$K$4:$AJ$4,0))))+SUMPRODUCT((Inputs!$E$5:$E$180=$B33)*ISNUMBER(INDEX(Inputs!$K$5:$AJ$180,0,MATCH(E$2,Inputs!$K$4:$AJ$4,0))))=0,NA(),SUMPRODUCT((Inputs!$A$5:$A$180=$B33)*Inputs!$B$5:$B$180*(((Inputs!$G$5:$G$180="moeda")+(Inputs!$G$5:$G$180="acoes"))*Inputs!$B$1+((Inputs!$G$5:$G$180&lt;&gt;"moeda")*(Inputs!$G$5:$G$180&lt;&gt;"acoes")))*INDEX(Inputs!$K$5:$AJ$180,0,MATCH(E$2,Inputs!$K$4:$AJ$4,0)))+SUMPRODUCT((Inputs!$C$5:$C$180=$B33)*Inputs!$D$5:$D$180*(((Inputs!$G$5:$G$180="moeda")+(Inputs!$G$5:$G$180="acoes"))*Inputs!$B$1+((Inputs!$G$5:$G$180&lt;&gt;"moeda")*(Inputs!$G$5:$G$180&lt;&gt;"acoes")))*INDEX(Inputs!$K$5:$AJ$180,0,MATCH(E$2,Inputs!$K$4:$AJ$4,0)))+SUMPRODUCT((Inputs!$E$5:$E$180=$B33)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3" s="6" t="e">
        <f>IF(ISNA(MATCH(F$2,Inputs!$K$4:$AJ$4,0)),NA(),IF(SUMPRODUCT((Inputs!$A$5:$A$180=$B33)*ISNUMBER(INDEX(Inputs!$K$5:$AJ$180,0,MATCH(F$2,Inputs!$K$4:$AJ$4,0))))+SUMPRODUCT((Inputs!$C$5:$C$180=$B33)*ISNUMBER(INDEX(Inputs!$K$5:$AJ$180,0,MATCH(F$2,Inputs!$K$4:$AJ$4,0))))+SUMPRODUCT((Inputs!$E$5:$E$180=$B33)*ISNUMBER(INDEX(Inputs!$K$5:$AJ$180,0,MATCH(F$2,Inputs!$K$4:$AJ$4,0))))=0,NA(),SUMPRODUCT((Inputs!$A$5:$A$180=$B33)*Inputs!$B$5:$B$180*(((Inputs!$G$5:$G$180="moeda")+(Inputs!$G$5:$G$180="acoes"))*Inputs!$B$1+((Inputs!$G$5:$G$180&lt;&gt;"moeda")*(Inputs!$G$5:$G$180&lt;&gt;"acoes")))*INDEX(Inputs!$K$5:$AJ$180,0,MATCH(F$2,Inputs!$K$4:$AJ$4,0)))+SUMPRODUCT((Inputs!$C$5:$C$180=$B33)*Inputs!$D$5:$D$180*(((Inputs!$G$5:$G$180="moeda")+(Inputs!$G$5:$G$180="acoes"))*Inputs!$B$1+((Inputs!$G$5:$G$180&lt;&gt;"moeda")*(Inputs!$G$5:$G$180&lt;&gt;"acoes")))*INDEX(Inputs!$K$5:$AJ$180,0,MATCH(F$2,Inputs!$K$4:$AJ$4,0)))+SUMPRODUCT((Inputs!$E$5:$E$180=$B33)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3" s="6" t="e">
        <f>IF(ISNA(MATCH(G$2,Inputs!$K$4:$AJ$4,0)),NA(),IF(SUMPRODUCT((Inputs!$A$5:$A$180=$B33)*ISNUMBER(INDEX(Inputs!$K$5:$AJ$180,0,MATCH(G$2,Inputs!$K$4:$AJ$4,0))))+SUMPRODUCT((Inputs!$C$5:$C$180=$B33)*ISNUMBER(INDEX(Inputs!$K$5:$AJ$180,0,MATCH(G$2,Inputs!$K$4:$AJ$4,0))))+SUMPRODUCT((Inputs!$E$5:$E$180=$B33)*ISNUMBER(INDEX(Inputs!$K$5:$AJ$180,0,MATCH(G$2,Inputs!$K$4:$AJ$4,0))))=0,NA(),SUMPRODUCT((Inputs!$A$5:$A$180=$B33)*Inputs!$B$5:$B$180*(((Inputs!$G$5:$G$180="moeda")+(Inputs!$G$5:$G$180="acoes"))*Inputs!$B$1+((Inputs!$G$5:$G$180&lt;&gt;"moeda")*(Inputs!$G$5:$G$180&lt;&gt;"acoes")))*INDEX(Inputs!$K$5:$AJ$180,0,MATCH(G$2,Inputs!$K$4:$AJ$4,0)))+SUMPRODUCT((Inputs!$C$5:$C$180=$B33)*Inputs!$D$5:$D$180*(((Inputs!$G$5:$G$180="moeda")+(Inputs!$G$5:$G$180="acoes"))*Inputs!$B$1+((Inputs!$G$5:$G$180&lt;&gt;"moeda")*(Inputs!$G$5:$G$180&lt;&gt;"acoes")))*INDEX(Inputs!$K$5:$AJ$180,0,MATCH(G$2,Inputs!$K$4:$AJ$4,0)))+SUMPRODUCT((Inputs!$E$5:$E$180=$B33)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3" s="3" t="e">
        <f>G33</f>
        <v>#N/A</v>
      </c>
      <c r="I33" s="6" t="e">
        <f>IF(ISNA(MATCH(I$2,Inputs!$K$4:$AJ$4,0)),NA(),IF(SUMPRODUCT((Inputs!$A$5:$A$180=$B33)*ISNUMBER(INDEX(Inputs!$K$5:$AJ$180,0,MATCH(I$2,Inputs!$K$4:$AJ$4,0))))+SUMPRODUCT((Inputs!$C$5:$C$180=$B33)*ISNUMBER(INDEX(Inputs!$K$5:$AJ$180,0,MATCH(I$2,Inputs!$K$4:$AJ$4,0))))+SUMPRODUCT((Inputs!$E$5:$E$180=$B33)*ISNUMBER(INDEX(Inputs!$K$5:$AJ$180,0,MATCH(I$2,Inputs!$K$4:$AJ$4,0))))=0,NA(),SUMPRODUCT((Inputs!$A$5:$A$180=$B33)*Inputs!$B$5:$B$180*(((Inputs!$G$5:$G$180="moeda")+(Inputs!$G$5:$G$180="acoes"))*Inputs!$B$1+((Inputs!$G$5:$G$180&lt;&gt;"moeda")*(Inputs!$G$5:$G$180&lt;&gt;"acoes")))*INDEX(Inputs!$K$5:$AJ$180,0,MATCH(I$2,Inputs!$K$4:$AJ$4,0)))+SUMPRODUCT((Inputs!$C$5:$C$180=$B33)*Inputs!$D$5:$D$180*(((Inputs!$G$5:$G$180="moeda")+(Inputs!$G$5:$G$180="acoes"))*Inputs!$B$1+((Inputs!$G$5:$G$180&lt;&gt;"moeda")*(Inputs!$G$5:$G$180&lt;&gt;"acoes")))*INDEX(Inputs!$K$5:$AJ$180,0,MATCH(I$2,Inputs!$K$4:$AJ$4,0)))+SUMPRODUCT((Inputs!$E$5:$E$180=$B33)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3" s="6" t="e">
        <f>IF(ISNA(MATCH(J$2,Inputs!$K$4:$AJ$4,0)),NA(),IF(SUMPRODUCT((Inputs!$A$5:$A$180=$B33)*ISNUMBER(INDEX(Inputs!$K$5:$AJ$180,0,MATCH(J$2,Inputs!$K$4:$AJ$4,0))))+SUMPRODUCT((Inputs!$C$5:$C$180=$B33)*ISNUMBER(INDEX(Inputs!$K$5:$AJ$180,0,MATCH(J$2,Inputs!$K$4:$AJ$4,0))))+SUMPRODUCT((Inputs!$E$5:$E$180=$B33)*ISNUMBER(INDEX(Inputs!$K$5:$AJ$180,0,MATCH(J$2,Inputs!$K$4:$AJ$4,0))))=0,NA(),SUMPRODUCT((Inputs!$A$5:$A$180=$B33)*Inputs!$B$5:$B$180*(((Inputs!$G$5:$G$180="moeda")+(Inputs!$G$5:$G$180="acoes"))*Inputs!$B$1+((Inputs!$G$5:$G$180&lt;&gt;"moeda")*(Inputs!$G$5:$G$180&lt;&gt;"acoes")))*INDEX(Inputs!$K$5:$AJ$180,0,MATCH(J$2,Inputs!$K$4:$AJ$4,0)))+SUMPRODUCT((Inputs!$C$5:$C$180=$B33)*Inputs!$D$5:$D$180*(((Inputs!$G$5:$G$180="moeda")+(Inputs!$G$5:$G$180="acoes"))*Inputs!$B$1+((Inputs!$G$5:$G$180&lt;&gt;"moeda")*(Inputs!$G$5:$G$180&lt;&gt;"acoes")))*INDEX(Inputs!$K$5:$AJ$180,0,MATCH(J$2,Inputs!$K$4:$AJ$4,0)))+SUMPRODUCT((Inputs!$E$5:$E$180=$B33)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3" s="6" t="e">
        <f>IF(ISNA(MATCH(K$2,Inputs!$K$4:$AJ$4,0)),NA(),IF(SUMPRODUCT((Inputs!$A$5:$A$180=$B33)*ISNUMBER(INDEX(Inputs!$K$5:$AJ$180,0,MATCH(K$2,Inputs!$K$4:$AJ$4,0))))+SUMPRODUCT((Inputs!$C$5:$C$180=$B33)*ISNUMBER(INDEX(Inputs!$K$5:$AJ$180,0,MATCH(K$2,Inputs!$K$4:$AJ$4,0))))+SUMPRODUCT((Inputs!$E$5:$E$180=$B33)*ISNUMBER(INDEX(Inputs!$K$5:$AJ$180,0,MATCH(K$2,Inputs!$K$4:$AJ$4,0))))=0,NA(),SUMPRODUCT((Inputs!$A$5:$A$180=$B33)*Inputs!$B$5:$B$180*(((Inputs!$G$5:$G$180="moeda")+(Inputs!$G$5:$G$180="acoes"))*Inputs!$B$1+((Inputs!$G$5:$G$180&lt;&gt;"moeda")*(Inputs!$G$5:$G$180&lt;&gt;"acoes")))*INDEX(Inputs!$K$5:$AJ$180,0,MATCH(K$2,Inputs!$K$4:$AJ$4,0)))+SUMPRODUCT((Inputs!$C$5:$C$180=$B33)*Inputs!$D$5:$D$180*(((Inputs!$G$5:$G$180="moeda")+(Inputs!$G$5:$G$180="acoes"))*Inputs!$B$1+((Inputs!$G$5:$G$180&lt;&gt;"moeda")*(Inputs!$G$5:$G$180&lt;&gt;"acoes")))*INDEX(Inputs!$K$5:$AJ$180,0,MATCH(K$2,Inputs!$K$4:$AJ$4,0)))+SUMPRODUCT((Inputs!$E$5:$E$180=$B33)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3" s="6" t="e">
        <f>IF(ISNA(MATCH(L$2,Inputs!$K$4:$AJ$4,0)),NA(),IF(SUMPRODUCT((Inputs!$A$5:$A$180=$B33)*ISNUMBER(INDEX(Inputs!$K$5:$AJ$180,0,MATCH(L$2,Inputs!$K$4:$AJ$4,0))))+SUMPRODUCT((Inputs!$C$5:$C$180=$B33)*ISNUMBER(INDEX(Inputs!$K$5:$AJ$180,0,MATCH(L$2,Inputs!$K$4:$AJ$4,0))))+SUMPRODUCT((Inputs!$E$5:$E$180=$B33)*ISNUMBER(INDEX(Inputs!$K$5:$AJ$180,0,MATCH(L$2,Inputs!$K$4:$AJ$4,0))))=0,NA(),SUMPRODUCT((Inputs!$A$5:$A$180=$B33)*Inputs!$B$5:$B$180*(((Inputs!$G$5:$G$180="moeda")+(Inputs!$G$5:$G$180="acoes"))*Inputs!$B$1+((Inputs!$G$5:$G$180&lt;&gt;"moeda")*(Inputs!$G$5:$G$180&lt;&gt;"acoes")))*INDEX(Inputs!$K$5:$AJ$180,0,MATCH(L$2,Inputs!$K$4:$AJ$4,0)))+SUMPRODUCT((Inputs!$C$5:$C$180=$B33)*Inputs!$D$5:$D$180*(((Inputs!$G$5:$G$180="moeda")+(Inputs!$G$5:$G$180="acoes"))*Inputs!$B$1+((Inputs!$G$5:$G$180&lt;&gt;"moeda")*(Inputs!$G$5:$G$180&lt;&gt;"acoes")))*INDEX(Inputs!$K$5:$AJ$180,0,MATCH(L$2,Inputs!$K$4:$AJ$4,0)))+SUMPRODUCT((Inputs!$E$5:$E$180=$B33)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3" s="3" t="e">
        <f>L33</f>
        <v>#N/A</v>
      </c>
      <c r="N33" s="6" t="e">
        <f>IF(ISNA(MATCH(N$2,Inputs!$K$4:$AJ$4,0)),NA(),IF(SUMPRODUCT((Inputs!$A$5:$A$180=$B33)*ISNUMBER(INDEX(Inputs!$K$5:$AJ$180,0,MATCH(N$2,Inputs!$K$4:$AJ$4,0))))+SUMPRODUCT((Inputs!$C$5:$C$180=$B33)*ISNUMBER(INDEX(Inputs!$K$5:$AJ$180,0,MATCH(N$2,Inputs!$K$4:$AJ$4,0))))+SUMPRODUCT((Inputs!$E$5:$E$180=$B33)*ISNUMBER(INDEX(Inputs!$K$5:$AJ$180,0,MATCH(N$2,Inputs!$K$4:$AJ$4,0))))=0,NA(),SUMPRODUCT((Inputs!$A$5:$A$180=$B33)*Inputs!$B$5:$B$180*(((Inputs!$G$5:$G$180="moeda")+(Inputs!$G$5:$G$180="acoes"))*Inputs!$B$1+((Inputs!$G$5:$G$180&lt;&gt;"moeda")*(Inputs!$G$5:$G$180&lt;&gt;"acoes")))*INDEX(Inputs!$K$5:$AJ$180,0,MATCH(N$2,Inputs!$K$4:$AJ$4,0)))+SUMPRODUCT((Inputs!$C$5:$C$180=$B33)*Inputs!$D$5:$D$180*(((Inputs!$G$5:$G$180="moeda")+(Inputs!$G$5:$G$180="acoes"))*Inputs!$B$1+((Inputs!$G$5:$G$180&lt;&gt;"moeda")*(Inputs!$G$5:$G$180&lt;&gt;"acoes")))*INDEX(Inputs!$K$5:$AJ$180,0,MATCH(N$2,Inputs!$K$4:$AJ$4,0)))+SUMPRODUCT((Inputs!$E$5:$E$180=$B33)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3" s="6" t="e">
        <f>IF(ISNA(MATCH(O$2,Inputs!$K$4:$AJ$4,0)),NA(),IF(SUMPRODUCT((Inputs!$A$5:$A$180=$B33)*ISNUMBER(INDEX(Inputs!$K$5:$AJ$180,0,MATCH(O$2,Inputs!$K$4:$AJ$4,0))))+SUMPRODUCT((Inputs!$C$5:$C$180=$B33)*ISNUMBER(INDEX(Inputs!$K$5:$AJ$180,0,MATCH(O$2,Inputs!$K$4:$AJ$4,0))))+SUMPRODUCT((Inputs!$E$5:$E$180=$B33)*ISNUMBER(INDEX(Inputs!$K$5:$AJ$180,0,MATCH(O$2,Inputs!$K$4:$AJ$4,0))))=0,NA(),SUMPRODUCT((Inputs!$A$5:$A$180=$B33)*Inputs!$B$5:$B$180*(((Inputs!$G$5:$G$180="moeda")+(Inputs!$G$5:$G$180="acoes"))*Inputs!$B$1+((Inputs!$G$5:$G$180&lt;&gt;"moeda")*(Inputs!$G$5:$G$180&lt;&gt;"acoes")))*INDEX(Inputs!$K$5:$AJ$180,0,MATCH(O$2,Inputs!$K$4:$AJ$4,0)))+SUMPRODUCT((Inputs!$C$5:$C$180=$B33)*Inputs!$D$5:$D$180*(((Inputs!$G$5:$G$180="moeda")+(Inputs!$G$5:$G$180="acoes"))*Inputs!$B$1+((Inputs!$G$5:$G$180&lt;&gt;"moeda")*(Inputs!$G$5:$G$180&lt;&gt;"acoes")))*INDEX(Inputs!$K$5:$AJ$180,0,MATCH(O$2,Inputs!$K$4:$AJ$4,0)))+SUMPRODUCT((Inputs!$E$5:$E$180=$B33)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3" s="6" t="e">
        <f>IF(ISNA(MATCH(P$2,Inputs!$K$4:$AJ$4,0)),NA(),IF(SUMPRODUCT((Inputs!$A$5:$A$180=$B33)*ISNUMBER(INDEX(Inputs!$K$5:$AJ$180,0,MATCH(P$2,Inputs!$K$4:$AJ$4,0))))+SUMPRODUCT((Inputs!$C$5:$C$180=$B33)*ISNUMBER(INDEX(Inputs!$K$5:$AJ$180,0,MATCH(P$2,Inputs!$K$4:$AJ$4,0))))+SUMPRODUCT((Inputs!$E$5:$E$180=$B33)*ISNUMBER(INDEX(Inputs!$K$5:$AJ$180,0,MATCH(P$2,Inputs!$K$4:$AJ$4,0))))=0,NA(),SUMPRODUCT((Inputs!$A$5:$A$180=$B33)*Inputs!$B$5:$B$180*(((Inputs!$G$5:$G$180="moeda")+(Inputs!$G$5:$G$180="acoes"))*Inputs!$B$1+((Inputs!$G$5:$G$180&lt;&gt;"moeda")*(Inputs!$G$5:$G$180&lt;&gt;"acoes")))*INDEX(Inputs!$K$5:$AJ$180,0,MATCH(P$2,Inputs!$K$4:$AJ$4,0)))+SUMPRODUCT((Inputs!$C$5:$C$180=$B33)*Inputs!$D$5:$D$180*(((Inputs!$G$5:$G$180="moeda")+(Inputs!$G$5:$G$180="acoes"))*Inputs!$B$1+((Inputs!$G$5:$G$180&lt;&gt;"moeda")*(Inputs!$G$5:$G$180&lt;&gt;"acoes")))*INDEX(Inputs!$K$5:$AJ$180,0,MATCH(P$2,Inputs!$K$4:$AJ$4,0)))+SUMPRODUCT((Inputs!$E$5:$E$180=$B33)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3" s="6" t="e">
        <f>IF(ISNA(MATCH(Q$2,Inputs!$K$4:$AJ$4,0)),NA(),IF(SUMPRODUCT((Inputs!$A$5:$A$180=$B33)*ISNUMBER(INDEX(Inputs!$K$5:$AJ$180,0,MATCH(Q$2,Inputs!$K$4:$AJ$4,0))))+SUMPRODUCT((Inputs!$C$5:$C$180=$B33)*ISNUMBER(INDEX(Inputs!$K$5:$AJ$180,0,MATCH(Q$2,Inputs!$K$4:$AJ$4,0))))+SUMPRODUCT((Inputs!$E$5:$E$180=$B33)*ISNUMBER(INDEX(Inputs!$K$5:$AJ$180,0,MATCH(Q$2,Inputs!$K$4:$AJ$4,0))))=0,NA(),SUMPRODUCT((Inputs!$A$5:$A$180=$B33)*Inputs!$B$5:$B$180*(((Inputs!$G$5:$G$180="moeda")+(Inputs!$G$5:$G$180="acoes"))*Inputs!$B$1+((Inputs!$G$5:$G$180&lt;&gt;"moeda")*(Inputs!$G$5:$G$180&lt;&gt;"acoes")))*INDEX(Inputs!$K$5:$AJ$180,0,MATCH(Q$2,Inputs!$K$4:$AJ$4,0)))+SUMPRODUCT((Inputs!$C$5:$C$180=$B33)*Inputs!$D$5:$D$180*(((Inputs!$G$5:$G$180="moeda")+(Inputs!$G$5:$G$180="acoes"))*Inputs!$B$1+((Inputs!$G$5:$G$180&lt;&gt;"moeda")*(Inputs!$G$5:$G$180&lt;&gt;"acoes")))*INDEX(Inputs!$K$5:$AJ$180,0,MATCH(Q$2,Inputs!$K$4:$AJ$4,0)))+SUMPRODUCT((Inputs!$E$5:$E$180=$B33)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3" s="3" t="e">
        <f>Q33</f>
        <v>#N/A</v>
      </c>
      <c r="S33" s="6" t="e">
        <f>IF(ISNA(MATCH(S$2,Inputs!$K$4:$AJ$4,0)),NA(),IF(SUMPRODUCT((Inputs!$A$5:$A$180=$B33)*ISNUMBER(INDEX(Inputs!$K$5:$AJ$180,0,MATCH(S$2,Inputs!$K$4:$AJ$4,0))))+SUMPRODUCT((Inputs!$C$5:$C$180=$B33)*ISNUMBER(INDEX(Inputs!$K$5:$AJ$180,0,MATCH(S$2,Inputs!$K$4:$AJ$4,0))))+SUMPRODUCT((Inputs!$E$5:$E$180=$B33)*ISNUMBER(INDEX(Inputs!$K$5:$AJ$180,0,MATCH(S$2,Inputs!$K$4:$AJ$4,0))))=0,NA(),SUMPRODUCT((Inputs!$A$5:$A$180=$B33)*Inputs!$B$5:$B$180*(((Inputs!$G$5:$G$180="moeda")+(Inputs!$G$5:$G$180="acoes"))*Inputs!$B$1+((Inputs!$G$5:$G$180&lt;&gt;"moeda")*(Inputs!$G$5:$G$180&lt;&gt;"acoes")))*INDEX(Inputs!$K$5:$AJ$180,0,MATCH(S$2,Inputs!$K$4:$AJ$4,0)))+SUMPRODUCT((Inputs!$C$5:$C$180=$B33)*Inputs!$D$5:$D$180*(((Inputs!$G$5:$G$180="moeda")+(Inputs!$G$5:$G$180="acoes"))*Inputs!$B$1+((Inputs!$G$5:$G$180&lt;&gt;"moeda")*(Inputs!$G$5:$G$180&lt;&gt;"acoes")))*INDEX(Inputs!$K$5:$AJ$180,0,MATCH(S$2,Inputs!$K$4:$AJ$4,0)))+SUMPRODUCT((Inputs!$E$5:$E$180=$B33)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3" s="6" t="e">
        <f>IF(ISNA(MATCH(T$2,Inputs!$K$4:$AJ$4,0)),NA(),IF(SUMPRODUCT((Inputs!$A$5:$A$180=$B33)*ISNUMBER(INDEX(Inputs!$K$5:$AJ$180,0,MATCH(T$2,Inputs!$K$4:$AJ$4,0))))+SUMPRODUCT((Inputs!$C$5:$C$180=$B33)*ISNUMBER(INDEX(Inputs!$K$5:$AJ$180,0,MATCH(T$2,Inputs!$K$4:$AJ$4,0))))+SUMPRODUCT((Inputs!$E$5:$E$180=$B33)*ISNUMBER(INDEX(Inputs!$K$5:$AJ$180,0,MATCH(T$2,Inputs!$K$4:$AJ$4,0))))=0,NA(),SUMPRODUCT((Inputs!$A$5:$A$180=$B33)*Inputs!$B$5:$B$180*(((Inputs!$G$5:$G$180="moeda")+(Inputs!$G$5:$G$180="acoes"))*Inputs!$B$1+((Inputs!$G$5:$G$180&lt;&gt;"moeda")*(Inputs!$G$5:$G$180&lt;&gt;"acoes")))*INDEX(Inputs!$K$5:$AJ$180,0,MATCH(T$2,Inputs!$K$4:$AJ$4,0)))+SUMPRODUCT((Inputs!$C$5:$C$180=$B33)*Inputs!$D$5:$D$180*(((Inputs!$G$5:$G$180="moeda")+(Inputs!$G$5:$G$180="acoes"))*Inputs!$B$1+((Inputs!$G$5:$G$180&lt;&gt;"moeda")*(Inputs!$G$5:$G$180&lt;&gt;"acoes")))*INDEX(Inputs!$K$5:$AJ$180,0,MATCH(T$2,Inputs!$K$4:$AJ$4,0)))+SUMPRODUCT((Inputs!$E$5:$E$180=$B33)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3" s="6" t="e">
        <f>IF(ISNA(MATCH(U$2,Inputs!$K$4:$AJ$4,0)),NA(),IF(SUMPRODUCT((Inputs!$A$5:$A$180=$B33)*ISNUMBER(INDEX(Inputs!$K$5:$AJ$180,0,MATCH(U$2,Inputs!$K$4:$AJ$4,0))))+SUMPRODUCT((Inputs!$C$5:$C$180=$B33)*ISNUMBER(INDEX(Inputs!$K$5:$AJ$180,0,MATCH(U$2,Inputs!$K$4:$AJ$4,0))))+SUMPRODUCT((Inputs!$E$5:$E$180=$B33)*ISNUMBER(INDEX(Inputs!$K$5:$AJ$180,0,MATCH(U$2,Inputs!$K$4:$AJ$4,0))))=0,NA(),SUMPRODUCT((Inputs!$A$5:$A$180=$B33)*Inputs!$B$5:$B$180*(((Inputs!$G$5:$G$180="moeda")+(Inputs!$G$5:$G$180="acoes"))*Inputs!$B$1+((Inputs!$G$5:$G$180&lt;&gt;"moeda")*(Inputs!$G$5:$G$180&lt;&gt;"acoes")))*INDEX(Inputs!$K$5:$AJ$180,0,MATCH(U$2,Inputs!$K$4:$AJ$4,0)))+SUMPRODUCT((Inputs!$C$5:$C$180=$B33)*Inputs!$D$5:$D$180*(((Inputs!$G$5:$G$180="moeda")+(Inputs!$G$5:$G$180="acoes"))*Inputs!$B$1+((Inputs!$G$5:$G$180&lt;&gt;"moeda")*(Inputs!$G$5:$G$180&lt;&gt;"acoes")))*INDEX(Inputs!$K$5:$AJ$180,0,MATCH(U$2,Inputs!$K$4:$AJ$4,0)))+SUMPRODUCT((Inputs!$E$5:$E$180=$B33)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3" s="6" t="e">
        <f>IF(ISNA(MATCH(V$2,Inputs!$K$4:$AJ$4,0)),NA(),IF(SUMPRODUCT((Inputs!$A$5:$A$180=$B33)*ISNUMBER(INDEX(Inputs!$K$5:$AJ$180,0,MATCH(V$2,Inputs!$K$4:$AJ$4,0))))+SUMPRODUCT((Inputs!$C$5:$C$180=$B33)*ISNUMBER(INDEX(Inputs!$K$5:$AJ$180,0,MATCH(V$2,Inputs!$K$4:$AJ$4,0))))+SUMPRODUCT((Inputs!$E$5:$E$180=$B33)*ISNUMBER(INDEX(Inputs!$K$5:$AJ$180,0,MATCH(V$2,Inputs!$K$4:$AJ$4,0))))=0,NA(),SUMPRODUCT((Inputs!$A$5:$A$180=$B33)*Inputs!$B$5:$B$180*(((Inputs!$G$5:$G$180="moeda")+(Inputs!$G$5:$G$180="acoes"))*Inputs!$B$1+((Inputs!$G$5:$G$180&lt;&gt;"moeda")*(Inputs!$G$5:$G$180&lt;&gt;"acoes")))*INDEX(Inputs!$K$5:$AJ$180,0,MATCH(V$2,Inputs!$K$4:$AJ$4,0)))+SUMPRODUCT((Inputs!$C$5:$C$180=$B33)*Inputs!$D$5:$D$180*(((Inputs!$G$5:$G$180="moeda")+(Inputs!$G$5:$G$180="acoes"))*Inputs!$B$1+((Inputs!$G$5:$G$180&lt;&gt;"moeda")*(Inputs!$G$5:$G$180&lt;&gt;"acoes")))*INDEX(Inputs!$K$5:$AJ$180,0,MATCH(V$2,Inputs!$K$4:$AJ$4,0)))+SUMPRODUCT((Inputs!$E$5:$E$180=$B33)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3" s="3" t="e">
        <f>V33</f>
        <v>#N/A</v>
      </c>
      <c r="X33" s="6" t="e">
        <f>IF(ISNA(MATCH(X$2,Inputs!$K$4:$AJ$4,0)),NA(),IF(SUMPRODUCT((Inputs!$A$5:$A$180=$B33)*ISNUMBER(INDEX(Inputs!$K$5:$AJ$180,0,MATCH(X$2,Inputs!$K$4:$AJ$4,0))))+SUMPRODUCT((Inputs!$C$5:$C$180=$B33)*ISNUMBER(INDEX(Inputs!$K$5:$AJ$180,0,MATCH(X$2,Inputs!$K$4:$AJ$4,0))))+SUMPRODUCT((Inputs!$E$5:$E$180=$B33)*ISNUMBER(INDEX(Inputs!$K$5:$AJ$180,0,MATCH(X$2,Inputs!$K$4:$AJ$4,0))))=0,NA(),SUMPRODUCT((Inputs!$A$5:$A$180=$B33)*Inputs!$B$5:$B$180*(((Inputs!$G$5:$G$180="moeda")+(Inputs!$G$5:$G$180="acoes"))*Inputs!$B$1+((Inputs!$G$5:$G$180&lt;&gt;"moeda")*(Inputs!$G$5:$G$180&lt;&gt;"acoes")))*INDEX(Inputs!$K$5:$AJ$180,0,MATCH(X$2,Inputs!$K$4:$AJ$4,0)))+SUMPRODUCT((Inputs!$C$5:$C$180=$B33)*Inputs!$D$5:$D$180*(((Inputs!$G$5:$G$180="moeda")+(Inputs!$G$5:$G$180="acoes"))*Inputs!$B$1+((Inputs!$G$5:$G$180&lt;&gt;"moeda")*(Inputs!$G$5:$G$180&lt;&gt;"acoes")))*INDEX(Inputs!$K$5:$AJ$180,0,MATCH(X$2,Inputs!$K$4:$AJ$4,0)))+SUMPRODUCT((Inputs!$E$5:$E$180=$B33)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3" s="6" t="e">
        <f>IF(ISNA(MATCH(Y$2,Inputs!$K$4:$AJ$4,0)),NA(),IF(SUMPRODUCT((Inputs!$A$5:$A$180=$B33)*ISNUMBER(INDEX(Inputs!$K$5:$AJ$180,0,MATCH(Y$2,Inputs!$K$4:$AJ$4,0))))+SUMPRODUCT((Inputs!$C$5:$C$180=$B33)*ISNUMBER(INDEX(Inputs!$K$5:$AJ$180,0,MATCH(Y$2,Inputs!$K$4:$AJ$4,0))))+SUMPRODUCT((Inputs!$E$5:$E$180=$B33)*ISNUMBER(INDEX(Inputs!$K$5:$AJ$180,0,MATCH(Y$2,Inputs!$K$4:$AJ$4,0))))=0,NA(),SUMPRODUCT((Inputs!$A$5:$A$180=$B33)*Inputs!$B$5:$B$180*(((Inputs!$G$5:$G$180="moeda")+(Inputs!$G$5:$G$180="acoes"))*Inputs!$B$1+((Inputs!$G$5:$G$180&lt;&gt;"moeda")*(Inputs!$G$5:$G$180&lt;&gt;"acoes")))*INDEX(Inputs!$K$5:$AJ$180,0,MATCH(Y$2,Inputs!$K$4:$AJ$4,0)))+SUMPRODUCT((Inputs!$C$5:$C$180=$B33)*Inputs!$D$5:$D$180*(((Inputs!$G$5:$G$180="moeda")+(Inputs!$G$5:$G$180="acoes"))*Inputs!$B$1+((Inputs!$G$5:$G$180&lt;&gt;"moeda")*(Inputs!$G$5:$G$180&lt;&gt;"acoes")))*INDEX(Inputs!$K$5:$AJ$180,0,MATCH(Y$2,Inputs!$K$4:$AJ$4,0)))+SUMPRODUCT((Inputs!$E$5:$E$180=$B33)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3" s="6" t="e">
        <f>IF(ISNA(MATCH(Z$2,Inputs!$K$4:$AJ$4,0)),NA(),IF(SUMPRODUCT((Inputs!$A$5:$A$180=$B33)*ISNUMBER(INDEX(Inputs!$K$5:$AJ$180,0,MATCH(Z$2,Inputs!$K$4:$AJ$4,0))))+SUMPRODUCT((Inputs!$C$5:$C$180=$B33)*ISNUMBER(INDEX(Inputs!$K$5:$AJ$180,0,MATCH(Z$2,Inputs!$K$4:$AJ$4,0))))+SUMPRODUCT((Inputs!$E$5:$E$180=$B33)*ISNUMBER(INDEX(Inputs!$K$5:$AJ$180,0,MATCH(Z$2,Inputs!$K$4:$AJ$4,0))))=0,NA(),SUMPRODUCT((Inputs!$A$5:$A$180=$B33)*Inputs!$B$5:$B$180*(((Inputs!$G$5:$G$180="moeda")+(Inputs!$G$5:$G$180="acoes"))*Inputs!$B$1+((Inputs!$G$5:$G$180&lt;&gt;"moeda")*(Inputs!$G$5:$G$180&lt;&gt;"acoes")))*INDEX(Inputs!$K$5:$AJ$180,0,MATCH(Z$2,Inputs!$K$4:$AJ$4,0)))+SUMPRODUCT((Inputs!$C$5:$C$180=$B33)*Inputs!$D$5:$D$180*(((Inputs!$G$5:$G$180="moeda")+(Inputs!$G$5:$G$180="acoes"))*Inputs!$B$1+((Inputs!$G$5:$G$180&lt;&gt;"moeda")*(Inputs!$G$5:$G$180&lt;&gt;"acoes")))*INDEX(Inputs!$K$5:$AJ$180,0,MATCH(Z$2,Inputs!$K$4:$AJ$4,0)))+SUMPRODUCT((Inputs!$E$5:$E$180=$B33)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3" s="6" t="e">
        <f>IF(ISNA(MATCH(AA$2,Inputs!$K$4:$AJ$4,0)),NA(),IF(SUMPRODUCT((Inputs!$A$5:$A$180=$B33)*ISNUMBER(INDEX(Inputs!$K$5:$AJ$180,0,MATCH(AA$2,Inputs!$K$4:$AJ$4,0))))+SUMPRODUCT((Inputs!$C$5:$C$180=$B33)*ISNUMBER(INDEX(Inputs!$K$5:$AJ$180,0,MATCH(AA$2,Inputs!$K$4:$AJ$4,0))))+SUMPRODUCT((Inputs!$E$5:$E$180=$B33)*ISNUMBER(INDEX(Inputs!$K$5:$AJ$180,0,MATCH(AA$2,Inputs!$K$4:$AJ$4,0))))=0,NA(),SUMPRODUCT((Inputs!$A$5:$A$180=$B33)*Inputs!$B$5:$B$180*(((Inputs!$G$5:$G$180="moeda")+(Inputs!$G$5:$G$180="acoes"))*Inputs!$B$1+((Inputs!$G$5:$G$180&lt;&gt;"moeda")*(Inputs!$G$5:$G$180&lt;&gt;"acoes")))*INDEX(Inputs!$K$5:$AJ$180,0,MATCH(AA$2,Inputs!$K$4:$AJ$4,0)))+SUMPRODUCT((Inputs!$C$5:$C$180=$B33)*Inputs!$D$5:$D$180*(((Inputs!$G$5:$G$180="moeda")+(Inputs!$G$5:$G$180="acoes"))*Inputs!$B$1+((Inputs!$G$5:$G$180&lt;&gt;"moeda")*(Inputs!$G$5:$G$180&lt;&gt;"acoes")))*INDEX(Inputs!$K$5:$AJ$180,0,MATCH(AA$2,Inputs!$K$4:$AJ$4,0)))+SUMPRODUCT((Inputs!$E$5:$E$180=$B33)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3" s="3" t="e">
        <f>AA33</f>
        <v>#N/A</v>
      </c>
      <c r="AC33" s="6" t="e">
        <f>IF(ISNA(MATCH(AC$2,Inputs!$K$4:$AJ$4,0)),NA(),IF(SUMPRODUCT((Inputs!$A$5:$A$180=$B33)*ISNUMBER(INDEX(Inputs!$K$5:$AJ$180,0,MATCH(AC$2,Inputs!$K$4:$AJ$4,0))))+SUMPRODUCT((Inputs!$C$5:$C$180=$B33)*ISNUMBER(INDEX(Inputs!$K$5:$AJ$180,0,MATCH(AC$2,Inputs!$K$4:$AJ$4,0))))+SUMPRODUCT((Inputs!$E$5:$E$180=$B33)*ISNUMBER(INDEX(Inputs!$K$5:$AJ$180,0,MATCH(AC$2,Inputs!$K$4:$AJ$4,0))))=0,NA(),SUMPRODUCT((Inputs!$A$5:$A$180=$B33)*Inputs!$B$5:$B$180*(((Inputs!$G$5:$G$180="moeda")+(Inputs!$G$5:$G$180="acoes"))*Inputs!$B$1+((Inputs!$G$5:$G$180&lt;&gt;"moeda")*(Inputs!$G$5:$G$180&lt;&gt;"acoes")))*INDEX(Inputs!$K$5:$AJ$180,0,MATCH(AC$2,Inputs!$K$4:$AJ$4,0)))+SUMPRODUCT((Inputs!$C$5:$C$180=$B33)*Inputs!$D$5:$D$180*(((Inputs!$G$5:$G$180="moeda")+(Inputs!$G$5:$G$180="acoes"))*Inputs!$B$1+((Inputs!$G$5:$G$180&lt;&gt;"moeda")*(Inputs!$G$5:$G$180&lt;&gt;"acoes")))*INDEX(Inputs!$K$5:$AJ$180,0,MATCH(AC$2,Inputs!$K$4:$AJ$4,0)))+SUMPRODUCT((Inputs!$E$5:$E$180=$B33)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3" s="6" t="e">
        <f>IF(ISNA(MATCH(AD$2,Inputs!$K$4:$AJ$4,0)),NA(),IF(SUMPRODUCT((Inputs!$A$5:$A$180=$B33)*ISNUMBER(INDEX(Inputs!$K$5:$AJ$180,0,MATCH(AD$2,Inputs!$K$4:$AJ$4,0))))+SUMPRODUCT((Inputs!$C$5:$C$180=$B33)*ISNUMBER(INDEX(Inputs!$K$5:$AJ$180,0,MATCH(AD$2,Inputs!$K$4:$AJ$4,0))))+SUMPRODUCT((Inputs!$E$5:$E$180=$B33)*ISNUMBER(INDEX(Inputs!$K$5:$AJ$180,0,MATCH(AD$2,Inputs!$K$4:$AJ$4,0))))=0,NA(),SUMPRODUCT((Inputs!$A$5:$A$180=$B33)*Inputs!$B$5:$B$180*(((Inputs!$G$5:$G$180="moeda")+(Inputs!$G$5:$G$180="acoes"))*Inputs!$B$1+((Inputs!$G$5:$G$180&lt;&gt;"moeda")*(Inputs!$G$5:$G$180&lt;&gt;"acoes")))*INDEX(Inputs!$K$5:$AJ$180,0,MATCH(AD$2,Inputs!$K$4:$AJ$4,0)))+SUMPRODUCT((Inputs!$C$5:$C$180=$B33)*Inputs!$D$5:$D$180*(((Inputs!$G$5:$G$180="moeda")+(Inputs!$G$5:$G$180="acoes"))*Inputs!$B$1+((Inputs!$G$5:$G$180&lt;&gt;"moeda")*(Inputs!$G$5:$G$180&lt;&gt;"acoes")))*INDEX(Inputs!$K$5:$AJ$180,0,MATCH(AD$2,Inputs!$K$4:$AJ$4,0)))+SUMPRODUCT((Inputs!$E$5:$E$180=$B33)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3" s="6" t="e">
        <f>IF(ISNA(MATCH(AE$2,Inputs!$K$4:$AJ$4,0)),NA(),IF(SUMPRODUCT((Inputs!$A$5:$A$180=$B33)*ISNUMBER(INDEX(Inputs!$K$5:$AJ$180,0,MATCH(AE$2,Inputs!$K$4:$AJ$4,0))))+SUMPRODUCT((Inputs!$C$5:$C$180=$B33)*ISNUMBER(INDEX(Inputs!$K$5:$AJ$180,0,MATCH(AE$2,Inputs!$K$4:$AJ$4,0))))+SUMPRODUCT((Inputs!$E$5:$E$180=$B33)*ISNUMBER(INDEX(Inputs!$K$5:$AJ$180,0,MATCH(AE$2,Inputs!$K$4:$AJ$4,0))))=0,NA(),SUMPRODUCT((Inputs!$A$5:$A$180=$B33)*Inputs!$B$5:$B$180*(((Inputs!$G$5:$G$180="moeda")+(Inputs!$G$5:$G$180="acoes"))*Inputs!$B$1+((Inputs!$G$5:$G$180&lt;&gt;"moeda")*(Inputs!$G$5:$G$180&lt;&gt;"acoes")))*INDEX(Inputs!$K$5:$AJ$180,0,MATCH(AE$2,Inputs!$K$4:$AJ$4,0)))+SUMPRODUCT((Inputs!$C$5:$C$180=$B33)*Inputs!$D$5:$D$180*(((Inputs!$G$5:$G$180="moeda")+(Inputs!$G$5:$G$180="acoes"))*Inputs!$B$1+((Inputs!$G$5:$G$180&lt;&gt;"moeda")*(Inputs!$G$5:$G$180&lt;&gt;"acoes")))*INDEX(Inputs!$K$5:$AJ$180,0,MATCH(AE$2,Inputs!$K$4:$AJ$4,0)))+SUMPRODUCT((Inputs!$E$5:$E$180=$B33)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3" s="6" t="e">
        <f>IF(ISNA(MATCH(AF$2,Inputs!$K$4:$AJ$4,0)),NA(),IF(SUMPRODUCT((Inputs!$A$5:$A$180=$B33)*ISNUMBER(INDEX(Inputs!$K$5:$AJ$180,0,MATCH(AF$2,Inputs!$K$4:$AJ$4,0))))+SUMPRODUCT((Inputs!$C$5:$C$180=$B33)*ISNUMBER(INDEX(Inputs!$K$5:$AJ$180,0,MATCH(AF$2,Inputs!$K$4:$AJ$4,0))))+SUMPRODUCT((Inputs!$E$5:$E$180=$B33)*ISNUMBER(INDEX(Inputs!$K$5:$AJ$180,0,MATCH(AF$2,Inputs!$K$4:$AJ$4,0))))=0,NA(),SUMPRODUCT((Inputs!$A$5:$A$180=$B33)*Inputs!$B$5:$B$180*(((Inputs!$G$5:$G$180="moeda")+(Inputs!$G$5:$G$180="acoes"))*Inputs!$B$1+((Inputs!$G$5:$G$180&lt;&gt;"moeda")*(Inputs!$G$5:$G$180&lt;&gt;"acoes")))*INDEX(Inputs!$K$5:$AJ$180,0,MATCH(AF$2,Inputs!$K$4:$AJ$4,0)))+SUMPRODUCT((Inputs!$C$5:$C$180=$B33)*Inputs!$D$5:$D$180*(((Inputs!$G$5:$G$180="moeda")+(Inputs!$G$5:$G$180="acoes"))*Inputs!$B$1+((Inputs!$G$5:$G$180&lt;&gt;"moeda")*(Inputs!$G$5:$G$180&lt;&gt;"acoes")))*INDEX(Inputs!$K$5:$AJ$180,0,MATCH(AF$2,Inputs!$K$4:$AJ$4,0)))+SUMPRODUCT((Inputs!$E$5:$E$180=$B33)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3" s="3" t="e">
        <f>AF33</f>
        <v>#N/A</v>
      </c>
      <c r="AH33" s="6" t="e">
        <f>IF(ISNA(MATCH(AH$2,Inputs!$K$4:$AJ$4,0)),NA(),IF(SUMPRODUCT((Inputs!$A$5:$A$180=$B33)*ISNUMBER(INDEX(Inputs!$K$5:$AJ$180,0,MATCH(AH$2,Inputs!$K$4:$AJ$4,0))))+SUMPRODUCT((Inputs!$C$5:$C$180=$B33)*ISNUMBER(INDEX(Inputs!$K$5:$AJ$180,0,MATCH(AH$2,Inputs!$K$4:$AJ$4,0))))+SUMPRODUCT((Inputs!$E$5:$E$180=$B33)*ISNUMBER(INDEX(Inputs!$K$5:$AJ$180,0,MATCH(AH$2,Inputs!$K$4:$AJ$4,0))))=0,NA(),SUMPRODUCT((Inputs!$A$5:$A$180=$B33)*Inputs!$B$5:$B$180*(((Inputs!$G$5:$G$180="moeda")+(Inputs!$G$5:$G$180="acoes"))*Inputs!$B$1+((Inputs!$G$5:$G$180&lt;&gt;"moeda")*(Inputs!$G$5:$G$180&lt;&gt;"acoes")))*INDEX(Inputs!$K$5:$AJ$180,0,MATCH(AH$2,Inputs!$K$4:$AJ$4,0)))+SUMPRODUCT((Inputs!$C$5:$C$180=$B33)*Inputs!$D$5:$D$180*(((Inputs!$G$5:$G$180="moeda")+(Inputs!$G$5:$G$180="acoes"))*Inputs!$B$1+((Inputs!$G$5:$G$180&lt;&gt;"moeda")*(Inputs!$G$5:$G$180&lt;&gt;"acoes")))*INDEX(Inputs!$K$5:$AJ$180,0,MATCH(AH$2,Inputs!$K$4:$AJ$4,0)))+SUMPRODUCT((Inputs!$E$5:$E$180=$B33)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3" s="6" t="e">
        <f>IF(ISNA(MATCH(AI$2,Inputs!$K$4:$AJ$4,0)),NA(),IF(SUMPRODUCT((Inputs!$A$5:$A$180=$B33)*ISNUMBER(INDEX(Inputs!$K$5:$AJ$180,0,MATCH(AI$2,Inputs!$K$4:$AJ$4,0))))+SUMPRODUCT((Inputs!$C$5:$C$180=$B33)*ISNUMBER(INDEX(Inputs!$K$5:$AJ$180,0,MATCH(AI$2,Inputs!$K$4:$AJ$4,0))))+SUMPRODUCT((Inputs!$E$5:$E$180=$B33)*ISNUMBER(INDEX(Inputs!$K$5:$AJ$180,0,MATCH(AI$2,Inputs!$K$4:$AJ$4,0))))=0,NA(),SUMPRODUCT((Inputs!$A$5:$A$180=$B33)*Inputs!$B$5:$B$180*(((Inputs!$G$5:$G$180="moeda")+(Inputs!$G$5:$G$180="acoes"))*Inputs!$B$1+((Inputs!$G$5:$G$180&lt;&gt;"moeda")*(Inputs!$G$5:$G$180&lt;&gt;"acoes")))*INDEX(Inputs!$K$5:$AJ$180,0,MATCH(AI$2,Inputs!$K$4:$AJ$4,0)))+SUMPRODUCT((Inputs!$C$5:$C$180=$B33)*Inputs!$D$5:$D$180*(((Inputs!$G$5:$G$180="moeda")+(Inputs!$G$5:$G$180="acoes"))*Inputs!$B$1+((Inputs!$G$5:$G$180&lt;&gt;"moeda")*(Inputs!$G$5:$G$180&lt;&gt;"acoes")))*INDEX(Inputs!$K$5:$AJ$180,0,MATCH(AI$2,Inputs!$K$4:$AJ$4,0)))+SUMPRODUCT((Inputs!$E$5:$E$180=$B33)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3" s="6" t="e">
        <f>IF(ISNA(MATCH(AJ$2,Inputs!$K$4:$AJ$4,0)),NA(),IF(SUMPRODUCT((Inputs!$A$5:$A$180=$B33)*ISNUMBER(INDEX(Inputs!$K$5:$AJ$180,0,MATCH(AJ$2,Inputs!$K$4:$AJ$4,0))))+SUMPRODUCT((Inputs!$C$5:$C$180=$B33)*ISNUMBER(INDEX(Inputs!$K$5:$AJ$180,0,MATCH(AJ$2,Inputs!$K$4:$AJ$4,0))))+SUMPRODUCT((Inputs!$E$5:$E$180=$B33)*ISNUMBER(INDEX(Inputs!$K$5:$AJ$180,0,MATCH(AJ$2,Inputs!$K$4:$AJ$4,0))))=0,NA(),SUMPRODUCT((Inputs!$A$5:$A$180=$B33)*Inputs!$B$5:$B$180*(((Inputs!$G$5:$G$180="moeda")+(Inputs!$G$5:$G$180="acoes"))*Inputs!$B$1+((Inputs!$G$5:$G$180&lt;&gt;"moeda")*(Inputs!$G$5:$G$180&lt;&gt;"acoes")))*INDEX(Inputs!$K$5:$AJ$180,0,MATCH(AJ$2,Inputs!$K$4:$AJ$4,0)))+SUMPRODUCT((Inputs!$C$5:$C$180=$B33)*Inputs!$D$5:$D$180*(((Inputs!$G$5:$G$180="moeda")+(Inputs!$G$5:$G$180="acoes"))*Inputs!$B$1+((Inputs!$G$5:$G$180&lt;&gt;"moeda")*(Inputs!$G$5:$G$180&lt;&gt;"acoes")))*INDEX(Inputs!$K$5:$AJ$180,0,MATCH(AJ$2,Inputs!$K$4:$AJ$4,0)))+SUMPRODUCT((Inputs!$E$5:$E$180=$B33)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3" s="6" t="e">
        <f>IF(ISNA(MATCH(AK$2,Inputs!$K$4:$AJ$4,0)),NA(),IF(SUMPRODUCT((Inputs!$A$5:$A$180=$B33)*ISNUMBER(INDEX(Inputs!$K$5:$AJ$180,0,MATCH(AK$2,Inputs!$K$4:$AJ$4,0))))+SUMPRODUCT((Inputs!$C$5:$C$180=$B33)*ISNUMBER(INDEX(Inputs!$K$5:$AJ$180,0,MATCH(AK$2,Inputs!$K$4:$AJ$4,0))))+SUMPRODUCT((Inputs!$E$5:$E$180=$B33)*ISNUMBER(INDEX(Inputs!$K$5:$AJ$180,0,MATCH(AK$2,Inputs!$K$4:$AJ$4,0))))=0,NA(),SUMPRODUCT((Inputs!$A$5:$A$180=$B33)*Inputs!$B$5:$B$180*(((Inputs!$G$5:$G$180="moeda")+(Inputs!$G$5:$G$180="acoes"))*Inputs!$B$1+((Inputs!$G$5:$G$180&lt;&gt;"moeda")*(Inputs!$G$5:$G$180&lt;&gt;"acoes")))*INDEX(Inputs!$K$5:$AJ$180,0,MATCH(AK$2,Inputs!$K$4:$AJ$4,0)))+SUMPRODUCT((Inputs!$C$5:$C$180=$B33)*Inputs!$D$5:$D$180*(((Inputs!$G$5:$G$180="moeda")+(Inputs!$G$5:$G$180="acoes"))*Inputs!$B$1+((Inputs!$G$5:$G$180&lt;&gt;"moeda")*(Inputs!$G$5:$G$180&lt;&gt;"acoes")))*INDEX(Inputs!$K$5:$AJ$180,0,MATCH(AK$2,Inputs!$K$4:$AJ$4,0)))+SUMPRODUCT((Inputs!$E$5:$E$180=$B33)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$180=$B34)*ISNUMBER(INDEX(Inputs!$K$5:$AJ$180,0,MATCH(D$2,Inputs!$K$4:$AJ$4,0))))+SUMPRODUCT((Inputs!$C$5:$C$180=$B34)*ISNUMBER(INDEX(Inputs!$K$5:$AJ$180,0,MATCH(D$2,Inputs!$K$4:$AJ$4,0))))+SUMPRODUCT((Inputs!$E$5:$E$180=$B34)*ISNUMBER(INDEX(Inputs!$K$5:$AJ$180,0,MATCH(D$2,Inputs!$K$4:$AJ$4,0))))=0,NA(),SUMPRODUCT((Inputs!$A$5:$A$180=$B34)*Inputs!$B$5:$B$180*(((Inputs!$G$5:$G$180="moeda")+(Inputs!$G$5:$G$180="acoes"))*Inputs!$B$1+((Inputs!$G$5:$G$180&lt;&gt;"moeda")*(Inputs!$G$5:$G$180&lt;&gt;"acoes")))*INDEX(Inputs!$K$5:$AJ$180,0,MATCH(D$2,Inputs!$K$4:$AJ$4,0)))+SUMPRODUCT((Inputs!$C$5:$C$180=$B34)*Inputs!$D$5:$D$180*(((Inputs!$G$5:$G$180="moeda")+(Inputs!$G$5:$G$180="acoes"))*Inputs!$B$1+((Inputs!$G$5:$G$180&lt;&gt;"moeda")*(Inputs!$G$5:$G$180&lt;&gt;"acoes")))*INDEX(Inputs!$K$5:$AJ$180,0,MATCH(D$2,Inputs!$K$4:$AJ$4,0)))+SUMPRODUCT((Inputs!$E$5:$E$180=$B34)*Inputs!$F$5:$F$180*(((Inputs!$G$5:$G$180="moeda")+(Inputs!$G$5:$G$180="acoes"))*Inputs!$B$1+((Inputs!$G$5:$G$180&lt;&gt;"moeda")*(Inputs!$G$5:$G$180&lt;&gt;"acoes")))*INDEX(Inputs!$K$5:$AJ$180,0,MATCH(D$2,Inputs!$K$4:$AJ$4,0)))))</f>
        <v>106.47604073</v>
      </c>
      <c r="E34" s="6">
        <f>IF(ISNA(MATCH(E$2,Inputs!$K$4:$AJ$4,0)),NA(),IF(SUMPRODUCT((Inputs!$A$5:$A$180=$B34)*ISNUMBER(INDEX(Inputs!$K$5:$AJ$180,0,MATCH(E$2,Inputs!$K$4:$AJ$4,0))))+SUMPRODUCT((Inputs!$C$5:$C$180=$B34)*ISNUMBER(INDEX(Inputs!$K$5:$AJ$180,0,MATCH(E$2,Inputs!$K$4:$AJ$4,0))))+SUMPRODUCT((Inputs!$E$5:$E$180=$B34)*ISNUMBER(INDEX(Inputs!$K$5:$AJ$180,0,MATCH(E$2,Inputs!$K$4:$AJ$4,0))))=0,NA(),SUMPRODUCT((Inputs!$A$5:$A$180=$B34)*Inputs!$B$5:$B$180*(((Inputs!$G$5:$G$180="moeda")+(Inputs!$G$5:$G$180="acoes"))*Inputs!$B$1+((Inputs!$G$5:$G$180&lt;&gt;"moeda")*(Inputs!$G$5:$G$180&lt;&gt;"acoes")))*INDEX(Inputs!$K$5:$AJ$180,0,MATCH(E$2,Inputs!$K$4:$AJ$4,0)))+SUMPRODUCT((Inputs!$C$5:$C$180=$B34)*Inputs!$D$5:$D$180*(((Inputs!$G$5:$G$180="moeda")+(Inputs!$G$5:$G$180="acoes"))*Inputs!$B$1+((Inputs!$G$5:$G$180&lt;&gt;"moeda")*(Inputs!$G$5:$G$180&lt;&gt;"acoes")))*INDEX(Inputs!$K$5:$AJ$180,0,MATCH(E$2,Inputs!$K$4:$AJ$4,0)))+SUMPRODUCT((Inputs!$E$5:$E$180=$B34)*Inputs!$F$5:$F$180*(((Inputs!$G$5:$G$180="moeda")+(Inputs!$G$5:$G$180="acoes"))*Inputs!$B$1+((Inputs!$G$5:$G$180&lt;&gt;"moeda")*(Inputs!$G$5:$G$180&lt;&gt;"acoes")))*INDEX(Inputs!$K$5:$AJ$180,0,MATCH(E$2,Inputs!$K$4:$AJ$4,0)))))</f>
        <v>107.53912171</v>
      </c>
      <c r="F34" s="6">
        <f>IF(ISNA(MATCH(F$2,Inputs!$K$4:$AJ$4,0)),NA(),IF(SUMPRODUCT((Inputs!$A$5:$A$180=$B34)*ISNUMBER(INDEX(Inputs!$K$5:$AJ$180,0,MATCH(F$2,Inputs!$K$4:$AJ$4,0))))+SUMPRODUCT((Inputs!$C$5:$C$180=$B34)*ISNUMBER(INDEX(Inputs!$K$5:$AJ$180,0,MATCH(F$2,Inputs!$K$4:$AJ$4,0))))+SUMPRODUCT((Inputs!$E$5:$E$180=$B34)*ISNUMBER(INDEX(Inputs!$K$5:$AJ$180,0,MATCH(F$2,Inputs!$K$4:$AJ$4,0))))=0,NA(),SUMPRODUCT((Inputs!$A$5:$A$180=$B34)*Inputs!$B$5:$B$180*(((Inputs!$G$5:$G$180="moeda")+(Inputs!$G$5:$G$180="acoes"))*Inputs!$B$1+((Inputs!$G$5:$G$180&lt;&gt;"moeda")*(Inputs!$G$5:$G$180&lt;&gt;"acoes")))*INDEX(Inputs!$K$5:$AJ$180,0,MATCH(F$2,Inputs!$K$4:$AJ$4,0)))+SUMPRODUCT((Inputs!$C$5:$C$180=$B34)*Inputs!$D$5:$D$180*(((Inputs!$G$5:$G$180="moeda")+(Inputs!$G$5:$G$180="acoes"))*Inputs!$B$1+((Inputs!$G$5:$G$180&lt;&gt;"moeda")*(Inputs!$G$5:$G$180&lt;&gt;"acoes")))*INDEX(Inputs!$K$5:$AJ$180,0,MATCH(F$2,Inputs!$K$4:$AJ$4,0)))+SUMPRODUCT((Inputs!$E$5:$E$180=$B34)*Inputs!$F$5:$F$180*(((Inputs!$G$5:$G$180="moeda")+(Inputs!$G$5:$G$180="acoes"))*Inputs!$B$1+((Inputs!$G$5:$G$180&lt;&gt;"moeda")*(Inputs!$G$5:$G$180&lt;&gt;"acoes")))*INDEX(Inputs!$K$5:$AJ$180,0,MATCH(F$2,Inputs!$K$4:$AJ$4,0)))))</f>
        <v>102.09020266</v>
      </c>
      <c r="G34" s="6">
        <f>IF(ISNA(MATCH(G$2,Inputs!$K$4:$AJ$4,0)),NA(),IF(SUMPRODUCT((Inputs!$A$5:$A$180=$B34)*ISNUMBER(INDEX(Inputs!$K$5:$AJ$180,0,MATCH(G$2,Inputs!$K$4:$AJ$4,0))))+SUMPRODUCT((Inputs!$C$5:$C$180=$B34)*ISNUMBER(INDEX(Inputs!$K$5:$AJ$180,0,MATCH(G$2,Inputs!$K$4:$AJ$4,0))))+SUMPRODUCT((Inputs!$E$5:$E$180=$B34)*ISNUMBER(INDEX(Inputs!$K$5:$AJ$180,0,MATCH(G$2,Inputs!$K$4:$AJ$4,0))))=0,NA(),SUMPRODUCT((Inputs!$A$5:$A$180=$B34)*Inputs!$B$5:$B$180*(((Inputs!$G$5:$G$180="moeda")+(Inputs!$G$5:$G$180="acoes"))*Inputs!$B$1+((Inputs!$G$5:$G$180&lt;&gt;"moeda")*(Inputs!$G$5:$G$180&lt;&gt;"acoes")))*INDEX(Inputs!$K$5:$AJ$180,0,MATCH(G$2,Inputs!$K$4:$AJ$4,0)))+SUMPRODUCT((Inputs!$C$5:$C$180=$B34)*Inputs!$D$5:$D$180*(((Inputs!$G$5:$G$180="moeda")+(Inputs!$G$5:$G$180="acoes"))*Inputs!$B$1+((Inputs!$G$5:$G$180&lt;&gt;"moeda")*(Inputs!$G$5:$G$180&lt;&gt;"acoes")))*INDEX(Inputs!$K$5:$AJ$180,0,MATCH(G$2,Inputs!$K$4:$AJ$4,0)))+SUMPRODUCT((Inputs!$E$5:$E$180=$B34)*Inputs!$F$5:$F$180*(((Inputs!$G$5:$G$180="moeda")+(Inputs!$G$5:$G$180="acoes"))*Inputs!$B$1+((Inputs!$G$5:$G$180&lt;&gt;"moeda")*(Inputs!$G$5:$G$180&lt;&gt;"acoes")))*INDEX(Inputs!$K$5:$AJ$180,0,MATCH(G$2,Inputs!$K$4:$AJ$4,0)))))</f>
        <v>129.64438544</v>
      </c>
      <c r="H34" s="3">
        <f>G34</f>
        <v>129.64438544</v>
      </c>
      <c r="I34" s="6">
        <f>IF(ISNA(MATCH(I$2,Inputs!$K$4:$AJ$4,0)),NA(),IF(SUMPRODUCT((Inputs!$A$5:$A$180=$B34)*ISNUMBER(INDEX(Inputs!$K$5:$AJ$180,0,MATCH(I$2,Inputs!$K$4:$AJ$4,0))))+SUMPRODUCT((Inputs!$C$5:$C$180=$B34)*ISNUMBER(INDEX(Inputs!$K$5:$AJ$180,0,MATCH(I$2,Inputs!$K$4:$AJ$4,0))))+SUMPRODUCT((Inputs!$E$5:$E$180=$B34)*ISNUMBER(INDEX(Inputs!$K$5:$AJ$180,0,MATCH(I$2,Inputs!$K$4:$AJ$4,0))))=0,NA(),SUMPRODUCT((Inputs!$A$5:$A$180=$B34)*Inputs!$B$5:$B$180*(((Inputs!$G$5:$G$180="moeda")+(Inputs!$G$5:$G$180="acoes"))*Inputs!$B$1+((Inputs!$G$5:$G$180&lt;&gt;"moeda")*(Inputs!$G$5:$G$180&lt;&gt;"acoes")))*INDEX(Inputs!$K$5:$AJ$180,0,MATCH(I$2,Inputs!$K$4:$AJ$4,0)))+SUMPRODUCT((Inputs!$C$5:$C$180=$B34)*Inputs!$D$5:$D$180*(((Inputs!$G$5:$G$180="moeda")+(Inputs!$G$5:$G$180="acoes"))*Inputs!$B$1+((Inputs!$G$5:$G$180&lt;&gt;"moeda")*(Inputs!$G$5:$G$180&lt;&gt;"acoes")))*INDEX(Inputs!$K$5:$AJ$180,0,MATCH(I$2,Inputs!$K$4:$AJ$4,0)))+SUMPRODUCT((Inputs!$E$5:$E$180=$B34)*Inputs!$F$5:$F$180*(((Inputs!$G$5:$G$180="moeda")+(Inputs!$G$5:$G$180="acoes"))*Inputs!$B$1+((Inputs!$G$5:$G$180&lt;&gt;"moeda")*(Inputs!$G$5:$G$180&lt;&gt;"acoes")))*INDEX(Inputs!$K$5:$AJ$180,0,MATCH(I$2,Inputs!$K$4:$AJ$4,0)))))</f>
        <v>140.28839753</v>
      </c>
      <c r="J34" s="6">
        <f>IF(ISNA(MATCH(J$2,Inputs!$K$4:$AJ$4,0)),NA(),IF(SUMPRODUCT((Inputs!$A$5:$A$180=$B34)*ISNUMBER(INDEX(Inputs!$K$5:$AJ$180,0,MATCH(J$2,Inputs!$K$4:$AJ$4,0))))+SUMPRODUCT((Inputs!$C$5:$C$180=$B34)*ISNUMBER(INDEX(Inputs!$K$5:$AJ$180,0,MATCH(J$2,Inputs!$K$4:$AJ$4,0))))+SUMPRODUCT((Inputs!$E$5:$E$180=$B34)*ISNUMBER(INDEX(Inputs!$K$5:$AJ$180,0,MATCH(J$2,Inputs!$K$4:$AJ$4,0))))=0,NA(),SUMPRODUCT((Inputs!$A$5:$A$180=$B34)*Inputs!$B$5:$B$180*(((Inputs!$G$5:$G$180="moeda")+(Inputs!$G$5:$G$180="acoes"))*Inputs!$B$1+((Inputs!$G$5:$G$180&lt;&gt;"moeda")*(Inputs!$G$5:$G$180&lt;&gt;"acoes")))*INDEX(Inputs!$K$5:$AJ$180,0,MATCH(J$2,Inputs!$K$4:$AJ$4,0)))+SUMPRODUCT((Inputs!$C$5:$C$180=$B34)*Inputs!$D$5:$D$180*(((Inputs!$G$5:$G$180="moeda")+(Inputs!$G$5:$G$180="acoes"))*Inputs!$B$1+((Inputs!$G$5:$G$180&lt;&gt;"moeda")*(Inputs!$G$5:$G$180&lt;&gt;"acoes")))*INDEX(Inputs!$K$5:$AJ$180,0,MATCH(J$2,Inputs!$K$4:$AJ$4,0)))+SUMPRODUCT((Inputs!$E$5:$E$180=$B34)*Inputs!$F$5:$F$180*(((Inputs!$G$5:$G$180="moeda")+(Inputs!$G$5:$G$180="acoes"))*Inputs!$B$1+((Inputs!$G$5:$G$180&lt;&gt;"moeda")*(Inputs!$G$5:$G$180&lt;&gt;"acoes")))*INDEX(Inputs!$K$5:$AJ$180,0,MATCH(J$2,Inputs!$K$4:$AJ$4,0)))))</f>
        <v>150.37974573</v>
      </c>
      <c r="K34" s="6">
        <f>IF(ISNA(MATCH(K$2,Inputs!$K$4:$AJ$4,0)),NA(),IF(SUMPRODUCT((Inputs!$A$5:$A$180=$B34)*ISNUMBER(INDEX(Inputs!$K$5:$AJ$180,0,MATCH(K$2,Inputs!$K$4:$AJ$4,0))))+SUMPRODUCT((Inputs!$C$5:$C$180=$B34)*ISNUMBER(INDEX(Inputs!$K$5:$AJ$180,0,MATCH(K$2,Inputs!$K$4:$AJ$4,0))))+SUMPRODUCT((Inputs!$E$5:$E$180=$B34)*ISNUMBER(INDEX(Inputs!$K$5:$AJ$180,0,MATCH(K$2,Inputs!$K$4:$AJ$4,0))))=0,NA(),SUMPRODUCT((Inputs!$A$5:$A$180=$B34)*Inputs!$B$5:$B$180*(((Inputs!$G$5:$G$180="moeda")+(Inputs!$G$5:$G$180="acoes"))*Inputs!$B$1+((Inputs!$G$5:$G$180&lt;&gt;"moeda")*(Inputs!$G$5:$G$180&lt;&gt;"acoes")))*INDEX(Inputs!$K$5:$AJ$180,0,MATCH(K$2,Inputs!$K$4:$AJ$4,0)))+SUMPRODUCT((Inputs!$C$5:$C$180=$B34)*Inputs!$D$5:$D$180*(((Inputs!$G$5:$G$180="moeda")+(Inputs!$G$5:$G$180="acoes"))*Inputs!$B$1+((Inputs!$G$5:$G$180&lt;&gt;"moeda")*(Inputs!$G$5:$G$180&lt;&gt;"acoes")))*INDEX(Inputs!$K$5:$AJ$180,0,MATCH(K$2,Inputs!$K$4:$AJ$4,0)))+SUMPRODUCT((Inputs!$E$5:$E$180=$B34)*Inputs!$F$5:$F$180*(((Inputs!$G$5:$G$180="moeda")+(Inputs!$G$5:$G$180="acoes"))*Inputs!$B$1+((Inputs!$G$5:$G$180&lt;&gt;"moeda")*(Inputs!$G$5:$G$180&lt;&gt;"acoes")))*INDEX(Inputs!$K$5:$AJ$180,0,MATCH(K$2,Inputs!$K$4:$AJ$4,0)))))</f>
        <v>156.82602384</v>
      </c>
      <c r="L34" s="6">
        <f>IF(ISNA(MATCH(L$2,Inputs!$K$4:$AJ$4,0)),NA(),IF(SUMPRODUCT((Inputs!$A$5:$A$180=$B34)*ISNUMBER(INDEX(Inputs!$K$5:$AJ$180,0,MATCH(L$2,Inputs!$K$4:$AJ$4,0))))+SUMPRODUCT((Inputs!$C$5:$C$180=$B34)*ISNUMBER(INDEX(Inputs!$K$5:$AJ$180,0,MATCH(L$2,Inputs!$K$4:$AJ$4,0))))+SUMPRODUCT((Inputs!$E$5:$E$180=$B34)*ISNUMBER(INDEX(Inputs!$K$5:$AJ$180,0,MATCH(L$2,Inputs!$K$4:$AJ$4,0))))=0,NA(),SUMPRODUCT((Inputs!$A$5:$A$180=$B34)*Inputs!$B$5:$B$180*(((Inputs!$G$5:$G$180="moeda")+(Inputs!$G$5:$G$180="acoes"))*Inputs!$B$1+((Inputs!$G$5:$G$180&lt;&gt;"moeda")*(Inputs!$G$5:$G$180&lt;&gt;"acoes")))*INDEX(Inputs!$K$5:$AJ$180,0,MATCH(L$2,Inputs!$K$4:$AJ$4,0)))+SUMPRODUCT((Inputs!$C$5:$C$180=$B34)*Inputs!$D$5:$D$180*(((Inputs!$G$5:$G$180="moeda")+(Inputs!$G$5:$G$180="acoes"))*Inputs!$B$1+((Inputs!$G$5:$G$180&lt;&gt;"moeda")*(Inputs!$G$5:$G$180&lt;&gt;"acoes")))*INDEX(Inputs!$K$5:$AJ$180,0,MATCH(L$2,Inputs!$K$4:$AJ$4,0)))+SUMPRODUCT((Inputs!$E$5:$E$180=$B34)*Inputs!$F$5:$F$180*(((Inputs!$G$5:$G$180="moeda")+(Inputs!$G$5:$G$180="acoes"))*Inputs!$B$1+((Inputs!$G$5:$G$180&lt;&gt;"moeda")*(Inputs!$G$5:$G$180&lt;&gt;"acoes")))*INDEX(Inputs!$K$5:$AJ$180,0,MATCH(L$2,Inputs!$K$4:$AJ$4,0)))))</f>
        <v>174.90125352</v>
      </c>
      <c r="M34" s="3">
        <f>L34</f>
        <v>174.90125352</v>
      </c>
      <c r="N34" s="6">
        <f>IF(ISNA(MATCH(N$2,Inputs!$K$4:$AJ$4,0)),NA(),IF(SUMPRODUCT((Inputs!$A$5:$A$180=$B34)*ISNUMBER(INDEX(Inputs!$K$5:$AJ$180,0,MATCH(N$2,Inputs!$K$4:$AJ$4,0))))+SUMPRODUCT((Inputs!$C$5:$C$180=$B34)*ISNUMBER(INDEX(Inputs!$K$5:$AJ$180,0,MATCH(N$2,Inputs!$K$4:$AJ$4,0))))+SUMPRODUCT((Inputs!$E$5:$E$180=$B34)*ISNUMBER(INDEX(Inputs!$K$5:$AJ$180,0,MATCH(N$2,Inputs!$K$4:$AJ$4,0))))=0,NA(),SUMPRODUCT((Inputs!$A$5:$A$180=$B34)*Inputs!$B$5:$B$180*(((Inputs!$G$5:$G$180="moeda")+(Inputs!$G$5:$G$180="acoes"))*Inputs!$B$1+((Inputs!$G$5:$G$180&lt;&gt;"moeda")*(Inputs!$G$5:$G$180&lt;&gt;"acoes")))*INDEX(Inputs!$K$5:$AJ$180,0,MATCH(N$2,Inputs!$K$4:$AJ$4,0)))+SUMPRODUCT((Inputs!$C$5:$C$180=$B34)*Inputs!$D$5:$D$180*(((Inputs!$G$5:$G$180="moeda")+(Inputs!$G$5:$G$180="acoes"))*Inputs!$B$1+((Inputs!$G$5:$G$180&lt;&gt;"moeda")*(Inputs!$G$5:$G$180&lt;&gt;"acoes")))*INDEX(Inputs!$K$5:$AJ$180,0,MATCH(N$2,Inputs!$K$4:$AJ$4,0)))+SUMPRODUCT((Inputs!$E$5:$E$180=$B34)*Inputs!$F$5:$F$180*(((Inputs!$G$5:$G$180="moeda")+(Inputs!$G$5:$G$180="acoes"))*Inputs!$B$1+((Inputs!$G$5:$G$180&lt;&gt;"moeda")*(Inputs!$G$5:$G$180&lt;&gt;"acoes")))*INDEX(Inputs!$K$5:$AJ$180,0,MATCH(N$2,Inputs!$K$4:$AJ$4,0)))))</f>
        <v>192.467104</v>
      </c>
      <c r="O34" s="6">
        <f>IF(ISNA(MATCH(O$2,Inputs!$K$4:$AJ$4,0)),NA(),IF(SUMPRODUCT((Inputs!$A$5:$A$180=$B34)*ISNUMBER(INDEX(Inputs!$K$5:$AJ$180,0,MATCH(O$2,Inputs!$K$4:$AJ$4,0))))+SUMPRODUCT((Inputs!$C$5:$C$180=$B34)*ISNUMBER(INDEX(Inputs!$K$5:$AJ$180,0,MATCH(O$2,Inputs!$K$4:$AJ$4,0))))+SUMPRODUCT((Inputs!$E$5:$E$180=$B34)*ISNUMBER(INDEX(Inputs!$K$5:$AJ$180,0,MATCH(O$2,Inputs!$K$4:$AJ$4,0))))=0,NA(),SUMPRODUCT((Inputs!$A$5:$A$180=$B34)*Inputs!$B$5:$B$180*(((Inputs!$G$5:$G$180="moeda")+(Inputs!$G$5:$G$180="acoes"))*Inputs!$B$1+((Inputs!$G$5:$G$180&lt;&gt;"moeda")*(Inputs!$G$5:$G$180&lt;&gt;"acoes")))*INDEX(Inputs!$K$5:$AJ$180,0,MATCH(O$2,Inputs!$K$4:$AJ$4,0)))+SUMPRODUCT((Inputs!$C$5:$C$180=$B34)*Inputs!$D$5:$D$180*(((Inputs!$G$5:$G$180="moeda")+(Inputs!$G$5:$G$180="acoes"))*Inputs!$B$1+((Inputs!$G$5:$G$180&lt;&gt;"moeda")*(Inputs!$G$5:$G$180&lt;&gt;"acoes")))*INDEX(Inputs!$K$5:$AJ$180,0,MATCH(O$2,Inputs!$K$4:$AJ$4,0)))+SUMPRODUCT((Inputs!$E$5:$E$180=$B34)*Inputs!$F$5:$F$180*(((Inputs!$G$5:$G$180="moeda")+(Inputs!$G$5:$G$180="acoes"))*Inputs!$B$1+((Inputs!$G$5:$G$180&lt;&gt;"moeda")*(Inputs!$G$5:$G$180&lt;&gt;"acoes")))*INDEX(Inputs!$K$5:$AJ$180,0,MATCH(O$2,Inputs!$K$4:$AJ$4,0)))))</f>
        <v>269.893</v>
      </c>
      <c r="P34" s="6">
        <f>IF(ISNA(MATCH(P$2,Inputs!$K$4:$AJ$4,0)),NA(),IF(SUMPRODUCT((Inputs!$A$5:$A$180=$B34)*ISNUMBER(INDEX(Inputs!$K$5:$AJ$180,0,MATCH(P$2,Inputs!$K$4:$AJ$4,0))))+SUMPRODUCT((Inputs!$C$5:$C$180=$B34)*ISNUMBER(INDEX(Inputs!$K$5:$AJ$180,0,MATCH(P$2,Inputs!$K$4:$AJ$4,0))))+SUMPRODUCT((Inputs!$E$5:$E$180=$B34)*ISNUMBER(INDEX(Inputs!$K$5:$AJ$180,0,MATCH(P$2,Inputs!$K$4:$AJ$4,0))))=0,NA(),SUMPRODUCT((Inputs!$A$5:$A$180=$B34)*Inputs!$B$5:$B$180*(((Inputs!$G$5:$G$180="moeda")+(Inputs!$G$5:$G$180="acoes"))*Inputs!$B$1+((Inputs!$G$5:$G$180&lt;&gt;"moeda")*(Inputs!$G$5:$G$180&lt;&gt;"acoes")))*INDEX(Inputs!$K$5:$AJ$180,0,MATCH(P$2,Inputs!$K$4:$AJ$4,0)))+SUMPRODUCT((Inputs!$C$5:$C$180=$B34)*Inputs!$D$5:$D$180*(((Inputs!$G$5:$G$180="moeda")+(Inputs!$G$5:$G$180="acoes"))*Inputs!$B$1+((Inputs!$G$5:$G$180&lt;&gt;"moeda")*(Inputs!$G$5:$G$180&lt;&gt;"acoes")))*INDEX(Inputs!$K$5:$AJ$180,0,MATCH(P$2,Inputs!$K$4:$AJ$4,0)))+SUMPRODUCT((Inputs!$E$5:$E$180=$B34)*Inputs!$F$5:$F$180*(((Inputs!$G$5:$G$180="moeda")+(Inputs!$G$5:$G$180="acoes"))*Inputs!$B$1+((Inputs!$G$5:$G$180&lt;&gt;"moeda")*(Inputs!$G$5:$G$180&lt;&gt;"acoes")))*INDEX(Inputs!$K$5:$AJ$180,0,MATCH(P$2,Inputs!$K$4:$AJ$4,0)))))</f>
        <v>263.101</v>
      </c>
      <c r="Q34" s="6">
        <f>IF(ISNA(MATCH(Q$2,Inputs!$K$4:$AJ$4,0)),NA(),IF(SUMPRODUCT((Inputs!$A$5:$A$180=$B34)*ISNUMBER(INDEX(Inputs!$K$5:$AJ$180,0,MATCH(Q$2,Inputs!$K$4:$AJ$4,0))))+SUMPRODUCT((Inputs!$C$5:$C$180=$B34)*ISNUMBER(INDEX(Inputs!$K$5:$AJ$180,0,MATCH(Q$2,Inputs!$K$4:$AJ$4,0))))+SUMPRODUCT((Inputs!$E$5:$E$180=$B34)*ISNUMBER(INDEX(Inputs!$K$5:$AJ$180,0,MATCH(Q$2,Inputs!$K$4:$AJ$4,0))))=0,NA(),SUMPRODUCT((Inputs!$A$5:$A$180=$B34)*Inputs!$B$5:$B$180*(((Inputs!$G$5:$G$180="moeda")+(Inputs!$G$5:$G$180="acoes"))*Inputs!$B$1+((Inputs!$G$5:$G$180&lt;&gt;"moeda")*(Inputs!$G$5:$G$180&lt;&gt;"acoes")))*INDEX(Inputs!$K$5:$AJ$180,0,MATCH(Q$2,Inputs!$K$4:$AJ$4,0)))+SUMPRODUCT((Inputs!$C$5:$C$180=$B34)*Inputs!$D$5:$D$180*(((Inputs!$G$5:$G$180="moeda")+(Inputs!$G$5:$G$180="acoes"))*Inputs!$B$1+((Inputs!$G$5:$G$180&lt;&gt;"moeda")*(Inputs!$G$5:$G$180&lt;&gt;"acoes")))*INDEX(Inputs!$K$5:$AJ$180,0,MATCH(Q$2,Inputs!$K$4:$AJ$4,0)))+SUMPRODUCT((Inputs!$E$5:$E$180=$B34)*Inputs!$F$5:$F$180*(((Inputs!$G$5:$G$180="moeda")+(Inputs!$G$5:$G$180="acoes"))*Inputs!$B$1+((Inputs!$G$5:$G$180&lt;&gt;"moeda")*(Inputs!$G$5:$G$180&lt;&gt;"acoes")))*INDEX(Inputs!$K$5:$AJ$180,0,MATCH(Q$2,Inputs!$K$4:$AJ$4,0)))))</f>
        <v>272.067</v>
      </c>
      <c r="R34" s="3">
        <f>Q34</f>
        <v>272.067</v>
      </c>
      <c r="S34" s="6">
        <f>IF(ISNA(MATCH(S$2,Inputs!$K$4:$AJ$4,0)),NA(),IF(SUMPRODUCT((Inputs!$A$5:$A$180=$B34)*ISNUMBER(INDEX(Inputs!$K$5:$AJ$180,0,MATCH(S$2,Inputs!$K$4:$AJ$4,0))))+SUMPRODUCT((Inputs!$C$5:$C$180=$B34)*ISNUMBER(INDEX(Inputs!$K$5:$AJ$180,0,MATCH(S$2,Inputs!$K$4:$AJ$4,0))))+SUMPRODUCT((Inputs!$E$5:$E$180=$B34)*ISNUMBER(INDEX(Inputs!$K$5:$AJ$180,0,MATCH(S$2,Inputs!$K$4:$AJ$4,0))))=0,NA(),SUMPRODUCT((Inputs!$A$5:$A$180=$B34)*Inputs!$B$5:$B$180*(((Inputs!$G$5:$G$180="moeda")+(Inputs!$G$5:$G$180="acoes"))*Inputs!$B$1+((Inputs!$G$5:$G$180&lt;&gt;"moeda")*(Inputs!$G$5:$G$180&lt;&gt;"acoes")))*INDEX(Inputs!$K$5:$AJ$180,0,MATCH(S$2,Inputs!$K$4:$AJ$4,0)))+SUMPRODUCT((Inputs!$C$5:$C$180=$B34)*Inputs!$D$5:$D$180*(((Inputs!$G$5:$G$180="moeda")+(Inputs!$G$5:$G$180="acoes"))*Inputs!$B$1+((Inputs!$G$5:$G$180&lt;&gt;"moeda")*(Inputs!$G$5:$G$180&lt;&gt;"acoes")))*INDEX(Inputs!$K$5:$AJ$180,0,MATCH(S$2,Inputs!$K$4:$AJ$4,0)))+SUMPRODUCT((Inputs!$E$5:$E$180=$B34)*Inputs!$F$5:$F$180*(((Inputs!$G$5:$G$180="moeda")+(Inputs!$G$5:$G$180="acoes"))*Inputs!$B$1+((Inputs!$G$5:$G$180&lt;&gt;"moeda")*(Inputs!$G$5:$G$180&lt;&gt;"acoes")))*INDEX(Inputs!$K$5:$AJ$180,0,MATCH(S$2,Inputs!$K$4:$AJ$4,0)))))</f>
        <v>277.296</v>
      </c>
      <c r="T34" s="6">
        <f>IF(ISNA(MATCH(T$2,Inputs!$K$4:$AJ$4,0)),NA(),IF(SUMPRODUCT((Inputs!$A$5:$A$180=$B34)*ISNUMBER(INDEX(Inputs!$K$5:$AJ$180,0,MATCH(T$2,Inputs!$K$4:$AJ$4,0))))+SUMPRODUCT((Inputs!$C$5:$C$180=$B34)*ISNUMBER(INDEX(Inputs!$K$5:$AJ$180,0,MATCH(T$2,Inputs!$K$4:$AJ$4,0))))+SUMPRODUCT((Inputs!$E$5:$E$180=$B34)*ISNUMBER(INDEX(Inputs!$K$5:$AJ$180,0,MATCH(T$2,Inputs!$K$4:$AJ$4,0))))=0,NA(),SUMPRODUCT((Inputs!$A$5:$A$180=$B34)*Inputs!$B$5:$B$180*(((Inputs!$G$5:$G$180="moeda")+(Inputs!$G$5:$G$180="acoes"))*Inputs!$B$1+((Inputs!$G$5:$G$180&lt;&gt;"moeda")*(Inputs!$G$5:$G$180&lt;&gt;"acoes")))*INDEX(Inputs!$K$5:$AJ$180,0,MATCH(T$2,Inputs!$K$4:$AJ$4,0)))+SUMPRODUCT((Inputs!$C$5:$C$180=$B34)*Inputs!$D$5:$D$180*(((Inputs!$G$5:$G$180="moeda")+(Inputs!$G$5:$G$180="acoes"))*Inputs!$B$1+((Inputs!$G$5:$G$180&lt;&gt;"moeda")*(Inputs!$G$5:$G$180&lt;&gt;"acoes")))*INDEX(Inputs!$K$5:$AJ$180,0,MATCH(T$2,Inputs!$K$4:$AJ$4,0)))+SUMPRODUCT((Inputs!$E$5:$E$180=$B34)*Inputs!$F$5:$F$180*(((Inputs!$G$5:$G$180="moeda")+(Inputs!$G$5:$G$180="acoes"))*Inputs!$B$1+((Inputs!$G$5:$G$180&lt;&gt;"moeda")*(Inputs!$G$5:$G$180&lt;&gt;"acoes")))*INDEX(Inputs!$K$5:$AJ$180,0,MATCH(T$2,Inputs!$K$4:$AJ$4,0)))))</f>
        <v>280.827</v>
      </c>
      <c r="U34" s="6">
        <f>IF(ISNA(MATCH(U$2,Inputs!$K$4:$AJ$4,0)),NA(),IF(SUMPRODUCT((Inputs!$A$5:$A$180=$B34)*ISNUMBER(INDEX(Inputs!$K$5:$AJ$180,0,MATCH(U$2,Inputs!$K$4:$AJ$4,0))))+SUMPRODUCT((Inputs!$C$5:$C$180=$B34)*ISNUMBER(INDEX(Inputs!$K$5:$AJ$180,0,MATCH(U$2,Inputs!$K$4:$AJ$4,0))))+SUMPRODUCT((Inputs!$E$5:$E$180=$B34)*ISNUMBER(INDEX(Inputs!$K$5:$AJ$180,0,MATCH(U$2,Inputs!$K$4:$AJ$4,0))))=0,NA(),SUMPRODUCT((Inputs!$A$5:$A$180=$B34)*Inputs!$B$5:$B$180*(((Inputs!$G$5:$G$180="moeda")+(Inputs!$G$5:$G$180="acoes"))*Inputs!$B$1+((Inputs!$G$5:$G$180&lt;&gt;"moeda")*(Inputs!$G$5:$G$180&lt;&gt;"acoes")))*INDEX(Inputs!$K$5:$AJ$180,0,MATCH(U$2,Inputs!$K$4:$AJ$4,0)))+SUMPRODUCT((Inputs!$C$5:$C$180=$B34)*Inputs!$D$5:$D$180*(((Inputs!$G$5:$G$180="moeda")+(Inputs!$G$5:$G$180="acoes"))*Inputs!$B$1+((Inputs!$G$5:$G$180&lt;&gt;"moeda")*(Inputs!$G$5:$G$180&lt;&gt;"acoes")))*INDEX(Inputs!$K$5:$AJ$180,0,MATCH(U$2,Inputs!$K$4:$AJ$4,0)))+SUMPRODUCT((Inputs!$E$5:$E$180=$B34)*Inputs!$F$5:$F$180*(((Inputs!$G$5:$G$180="moeda")+(Inputs!$G$5:$G$180="acoes"))*Inputs!$B$1+((Inputs!$G$5:$G$180&lt;&gt;"moeda")*(Inputs!$G$5:$G$180&lt;&gt;"acoes")))*INDEX(Inputs!$K$5:$AJ$180,0,MATCH(U$2,Inputs!$K$4:$AJ$4,0)))))</f>
        <v>288.153</v>
      </c>
      <c r="V34" s="6">
        <f>IF(ISNA(MATCH(V$2,Inputs!$K$4:$AJ$4,0)),NA(),IF(SUMPRODUCT((Inputs!$A$5:$A$180=$B34)*ISNUMBER(INDEX(Inputs!$K$5:$AJ$180,0,MATCH(V$2,Inputs!$K$4:$AJ$4,0))))+SUMPRODUCT((Inputs!$C$5:$C$180=$B34)*ISNUMBER(INDEX(Inputs!$K$5:$AJ$180,0,MATCH(V$2,Inputs!$K$4:$AJ$4,0))))+SUMPRODUCT((Inputs!$E$5:$E$180=$B34)*ISNUMBER(INDEX(Inputs!$K$5:$AJ$180,0,MATCH(V$2,Inputs!$K$4:$AJ$4,0))))=0,NA(),SUMPRODUCT((Inputs!$A$5:$A$180=$B34)*Inputs!$B$5:$B$180*(((Inputs!$G$5:$G$180="moeda")+(Inputs!$G$5:$G$180="acoes"))*Inputs!$B$1+((Inputs!$G$5:$G$180&lt;&gt;"moeda")*(Inputs!$G$5:$G$180&lt;&gt;"acoes")))*INDEX(Inputs!$K$5:$AJ$180,0,MATCH(V$2,Inputs!$K$4:$AJ$4,0)))+SUMPRODUCT((Inputs!$C$5:$C$180=$B34)*Inputs!$D$5:$D$180*(((Inputs!$G$5:$G$180="moeda")+(Inputs!$G$5:$G$180="acoes"))*Inputs!$B$1+((Inputs!$G$5:$G$180&lt;&gt;"moeda")*(Inputs!$G$5:$G$180&lt;&gt;"acoes")))*INDEX(Inputs!$K$5:$AJ$180,0,MATCH(V$2,Inputs!$K$4:$AJ$4,0)))+SUMPRODUCT((Inputs!$E$5:$E$180=$B34)*Inputs!$F$5:$F$180*(((Inputs!$G$5:$G$180="moeda")+(Inputs!$G$5:$G$180="acoes"))*Inputs!$B$1+((Inputs!$G$5:$G$180&lt;&gt;"moeda")*(Inputs!$G$5:$G$180&lt;&gt;"acoes")))*INDEX(Inputs!$K$5:$AJ$180,0,MATCH(V$2,Inputs!$K$4:$AJ$4,0)))))</f>
        <v>290.854</v>
      </c>
      <c r="W34" s="3">
        <f>V34</f>
        <v>290.854</v>
      </c>
      <c r="X34" s="6">
        <f>IF(ISNA(MATCH(X$2,Inputs!$K$4:$AJ$4,0)),NA(),IF(SUMPRODUCT((Inputs!$A$5:$A$180=$B34)*ISNUMBER(INDEX(Inputs!$K$5:$AJ$180,0,MATCH(X$2,Inputs!$K$4:$AJ$4,0))))+SUMPRODUCT((Inputs!$C$5:$C$180=$B34)*ISNUMBER(INDEX(Inputs!$K$5:$AJ$180,0,MATCH(X$2,Inputs!$K$4:$AJ$4,0))))+SUMPRODUCT((Inputs!$E$5:$E$180=$B34)*ISNUMBER(INDEX(Inputs!$K$5:$AJ$180,0,MATCH(X$2,Inputs!$K$4:$AJ$4,0))))=0,NA(),SUMPRODUCT((Inputs!$A$5:$A$180=$B34)*Inputs!$B$5:$B$180*(((Inputs!$G$5:$G$180="moeda")+(Inputs!$G$5:$G$180="acoes"))*Inputs!$B$1+((Inputs!$G$5:$G$180&lt;&gt;"moeda")*(Inputs!$G$5:$G$180&lt;&gt;"acoes")))*INDEX(Inputs!$K$5:$AJ$180,0,MATCH(X$2,Inputs!$K$4:$AJ$4,0)))+SUMPRODUCT((Inputs!$C$5:$C$180=$B34)*Inputs!$D$5:$D$180*(((Inputs!$G$5:$G$180="moeda")+(Inputs!$G$5:$G$180="acoes"))*Inputs!$B$1+((Inputs!$G$5:$G$180&lt;&gt;"moeda")*(Inputs!$G$5:$G$180&lt;&gt;"acoes")))*INDEX(Inputs!$K$5:$AJ$180,0,MATCH(X$2,Inputs!$K$4:$AJ$4,0)))+SUMPRODUCT((Inputs!$E$5:$E$180=$B34)*Inputs!$F$5:$F$180*(((Inputs!$G$5:$G$180="moeda")+(Inputs!$G$5:$G$180="acoes"))*Inputs!$B$1+((Inputs!$G$5:$G$180&lt;&gt;"moeda")*(Inputs!$G$5:$G$180&lt;&gt;"acoes")))*INDEX(Inputs!$K$5:$AJ$180,0,MATCH(X$2,Inputs!$K$4:$AJ$4,0)))))</f>
        <v>310.350855</v>
      </c>
      <c r="Y34" s="6">
        <f>IF(ISNA(MATCH(Y$2,Inputs!$K$4:$AJ$4,0)),NA(),IF(SUMPRODUCT((Inputs!$A$5:$A$180=$B34)*ISNUMBER(INDEX(Inputs!$K$5:$AJ$180,0,MATCH(Y$2,Inputs!$K$4:$AJ$4,0))))+SUMPRODUCT((Inputs!$C$5:$C$180=$B34)*ISNUMBER(INDEX(Inputs!$K$5:$AJ$180,0,MATCH(Y$2,Inputs!$K$4:$AJ$4,0))))+SUMPRODUCT((Inputs!$E$5:$E$180=$B34)*ISNUMBER(INDEX(Inputs!$K$5:$AJ$180,0,MATCH(Y$2,Inputs!$K$4:$AJ$4,0))))=0,NA(),SUMPRODUCT((Inputs!$A$5:$A$180=$B34)*Inputs!$B$5:$B$180*(((Inputs!$G$5:$G$180="moeda")+(Inputs!$G$5:$G$180="acoes"))*Inputs!$B$1+((Inputs!$G$5:$G$180&lt;&gt;"moeda")*(Inputs!$G$5:$G$180&lt;&gt;"acoes")))*INDEX(Inputs!$K$5:$AJ$180,0,MATCH(Y$2,Inputs!$K$4:$AJ$4,0)))+SUMPRODUCT((Inputs!$C$5:$C$180=$B34)*Inputs!$D$5:$D$180*(((Inputs!$G$5:$G$180="moeda")+(Inputs!$G$5:$G$180="acoes"))*Inputs!$B$1+((Inputs!$G$5:$G$180&lt;&gt;"moeda")*(Inputs!$G$5:$G$180&lt;&gt;"acoes")))*INDEX(Inputs!$K$5:$AJ$180,0,MATCH(Y$2,Inputs!$K$4:$AJ$4,0)))+SUMPRODUCT((Inputs!$E$5:$E$180=$B34)*Inputs!$F$5:$F$180*(((Inputs!$G$5:$G$180="moeda")+(Inputs!$G$5:$G$180="acoes"))*Inputs!$B$1+((Inputs!$G$5:$G$180&lt;&gt;"moeda")*(Inputs!$G$5:$G$180&lt;&gt;"acoes")))*INDEX(Inputs!$K$5:$AJ$180,0,MATCH(Y$2,Inputs!$K$4:$AJ$4,0)))))</f>
        <v>304.045</v>
      </c>
      <c r="Z34" s="6">
        <f>IF(ISNA(MATCH(Z$2,Inputs!$K$4:$AJ$4,0)),NA(),IF(SUMPRODUCT((Inputs!$A$5:$A$180=$B34)*ISNUMBER(INDEX(Inputs!$K$5:$AJ$180,0,MATCH(Z$2,Inputs!$K$4:$AJ$4,0))))+SUMPRODUCT((Inputs!$C$5:$C$180=$B34)*ISNUMBER(INDEX(Inputs!$K$5:$AJ$180,0,MATCH(Z$2,Inputs!$K$4:$AJ$4,0))))+SUMPRODUCT((Inputs!$E$5:$E$180=$B34)*ISNUMBER(INDEX(Inputs!$K$5:$AJ$180,0,MATCH(Z$2,Inputs!$K$4:$AJ$4,0))))=0,NA(),SUMPRODUCT((Inputs!$A$5:$A$180=$B34)*Inputs!$B$5:$B$180*(((Inputs!$G$5:$G$180="moeda")+(Inputs!$G$5:$G$180="acoes"))*Inputs!$B$1+((Inputs!$G$5:$G$180&lt;&gt;"moeda")*(Inputs!$G$5:$G$180&lt;&gt;"acoes")))*INDEX(Inputs!$K$5:$AJ$180,0,MATCH(Z$2,Inputs!$K$4:$AJ$4,0)))+SUMPRODUCT((Inputs!$C$5:$C$180=$B34)*Inputs!$D$5:$D$180*(((Inputs!$G$5:$G$180="moeda")+(Inputs!$G$5:$G$180="acoes"))*Inputs!$B$1+((Inputs!$G$5:$G$180&lt;&gt;"moeda")*(Inputs!$G$5:$G$180&lt;&gt;"acoes")))*INDEX(Inputs!$K$5:$AJ$180,0,MATCH(Z$2,Inputs!$K$4:$AJ$4,0)))+SUMPRODUCT((Inputs!$E$5:$E$180=$B34)*Inputs!$F$5:$F$180*(((Inputs!$G$5:$G$180="moeda")+(Inputs!$G$5:$G$180="acoes"))*Inputs!$B$1+((Inputs!$G$5:$G$180&lt;&gt;"moeda")*(Inputs!$G$5:$G$180&lt;&gt;"acoes")))*INDEX(Inputs!$K$5:$AJ$180,0,MATCH(Z$2,Inputs!$K$4:$AJ$4,0)))))</f>
        <v>313.074</v>
      </c>
      <c r="AA34" s="6">
        <f>IF(ISNA(MATCH(AA$2,Inputs!$K$4:$AJ$4,0)),NA(),IF(SUMPRODUCT((Inputs!$A$5:$A$180=$B34)*ISNUMBER(INDEX(Inputs!$K$5:$AJ$180,0,MATCH(AA$2,Inputs!$K$4:$AJ$4,0))))+SUMPRODUCT((Inputs!$C$5:$C$180=$B34)*ISNUMBER(INDEX(Inputs!$K$5:$AJ$180,0,MATCH(AA$2,Inputs!$K$4:$AJ$4,0))))+SUMPRODUCT((Inputs!$E$5:$E$180=$B34)*ISNUMBER(INDEX(Inputs!$K$5:$AJ$180,0,MATCH(AA$2,Inputs!$K$4:$AJ$4,0))))=0,NA(),SUMPRODUCT((Inputs!$A$5:$A$180=$B34)*Inputs!$B$5:$B$180*(((Inputs!$G$5:$G$180="moeda")+(Inputs!$G$5:$G$180="acoes"))*Inputs!$B$1+((Inputs!$G$5:$G$180&lt;&gt;"moeda")*(Inputs!$G$5:$G$180&lt;&gt;"acoes")))*INDEX(Inputs!$K$5:$AJ$180,0,MATCH(AA$2,Inputs!$K$4:$AJ$4,0)))+SUMPRODUCT((Inputs!$C$5:$C$180=$B34)*Inputs!$D$5:$D$180*(((Inputs!$G$5:$G$180="moeda")+(Inputs!$G$5:$G$180="acoes"))*Inputs!$B$1+((Inputs!$G$5:$G$180&lt;&gt;"moeda")*(Inputs!$G$5:$G$180&lt;&gt;"acoes")))*INDEX(Inputs!$K$5:$AJ$180,0,MATCH(AA$2,Inputs!$K$4:$AJ$4,0)))+SUMPRODUCT((Inputs!$E$5:$E$180=$B34)*Inputs!$F$5:$F$180*(((Inputs!$G$5:$G$180="moeda")+(Inputs!$G$5:$G$180="acoes"))*Inputs!$B$1+((Inputs!$G$5:$G$180&lt;&gt;"moeda")*(Inputs!$G$5:$G$180&lt;&gt;"acoes")))*INDEX(Inputs!$K$5:$AJ$180,0,MATCH(AA$2,Inputs!$K$4:$AJ$4,0)))))</f>
        <v>318.732</v>
      </c>
      <c r="AB34" s="3">
        <f>AA34</f>
        <v>318.732</v>
      </c>
      <c r="AC34" s="6">
        <f>IF(ISNA(MATCH(AC$2,Inputs!$K$4:$AJ$4,0)),NA(),IF(SUMPRODUCT((Inputs!$A$5:$A$180=$B34)*ISNUMBER(INDEX(Inputs!$K$5:$AJ$180,0,MATCH(AC$2,Inputs!$K$4:$AJ$4,0))))+SUMPRODUCT((Inputs!$C$5:$C$180=$B34)*ISNUMBER(INDEX(Inputs!$K$5:$AJ$180,0,MATCH(AC$2,Inputs!$K$4:$AJ$4,0))))+SUMPRODUCT((Inputs!$E$5:$E$180=$B34)*ISNUMBER(INDEX(Inputs!$K$5:$AJ$180,0,MATCH(AC$2,Inputs!$K$4:$AJ$4,0))))=0,NA(),SUMPRODUCT((Inputs!$A$5:$A$180=$B34)*Inputs!$B$5:$B$180*(((Inputs!$G$5:$G$180="moeda")+(Inputs!$G$5:$G$180="acoes"))*Inputs!$B$1+((Inputs!$G$5:$G$180&lt;&gt;"moeda")*(Inputs!$G$5:$G$180&lt;&gt;"acoes")))*INDEX(Inputs!$K$5:$AJ$180,0,MATCH(AC$2,Inputs!$K$4:$AJ$4,0)))+SUMPRODUCT((Inputs!$C$5:$C$180=$B34)*Inputs!$D$5:$D$180*(((Inputs!$G$5:$G$180="moeda")+(Inputs!$G$5:$G$180="acoes"))*Inputs!$B$1+((Inputs!$G$5:$G$180&lt;&gt;"moeda")*(Inputs!$G$5:$G$180&lt;&gt;"acoes")))*INDEX(Inputs!$K$5:$AJ$180,0,MATCH(AC$2,Inputs!$K$4:$AJ$4,0)))+SUMPRODUCT((Inputs!$E$5:$E$180=$B34)*Inputs!$F$5:$F$180*(((Inputs!$G$5:$G$180="moeda")+(Inputs!$G$5:$G$180="acoes"))*Inputs!$B$1+((Inputs!$G$5:$G$180&lt;&gt;"moeda")*(Inputs!$G$5:$G$180&lt;&gt;"acoes")))*INDEX(Inputs!$K$5:$AJ$180,0,MATCH(AC$2,Inputs!$K$4:$AJ$4,0)))))</f>
        <v>308.319</v>
      </c>
      <c r="AD34" s="6">
        <f>IF(ISNA(MATCH(AD$2,Inputs!$K$4:$AJ$4,0)),NA(),IF(SUMPRODUCT((Inputs!$A$5:$A$180=$B34)*ISNUMBER(INDEX(Inputs!$K$5:$AJ$180,0,MATCH(AD$2,Inputs!$K$4:$AJ$4,0))))+SUMPRODUCT((Inputs!$C$5:$C$180=$B34)*ISNUMBER(INDEX(Inputs!$K$5:$AJ$180,0,MATCH(AD$2,Inputs!$K$4:$AJ$4,0))))+SUMPRODUCT((Inputs!$E$5:$E$180=$B34)*ISNUMBER(INDEX(Inputs!$K$5:$AJ$180,0,MATCH(AD$2,Inputs!$K$4:$AJ$4,0))))=0,NA(),SUMPRODUCT((Inputs!$A$5:$A$180=$B34)*Inputs!$B$5:$B$180*(((Inputs!$G$5:$G$180="moeda")+(Inputs!$G$5:$G$180="acoes"))*Inputs!$B$1+((Inputs!$G$5:$G$180&lt;&gt;"moeda")*(Inputs!$G$5:$G$180&lt;&gt;"acoes")))*INDEX(Inputs!$K$5:$AJ$180,0,MATCH(AD$2,Inputs!$K$4:$AJ$4,0)))+SUMPRODUCT((Inputs!$C$5:$C$180=$B34)*Inputs!$D$5:$D$180*(((Inputs!$G$5:$G$180="moeda")+(Inputs!$G$5:$G$180="acoes"))*Inputs!$B$1+((Inputs!$G$5:$G$180&lt;&gt;"moeda")*(Inputs!$G$5:$G$180&lt;&gt;"acoes")))*INDEX(Inputs!$K$5:$AJ$180,0,MATCH(AD$2,Inputs!$K$4:$AJ$4,0)))+SUMPRODUCT((Inputs!$E$5:$E$180=$B34)*Inputs!$F$5:$F$180*(((Inputs!$G$5:$G$180="moeda")+(Inputs!$G$5:$G$180="acoes"))*Inputs!$B$1+((Inputs!$G$5:$G$180&lt;&gt;"moeda")*(Inputs!$G$5:$G$180&lt;&gt;"acoes")))*INDEX(Inputs!$K$5:$AJ$180,0,MATCH(AD$2,Inputs!$K$4:$AJ$4,0)))))</f>
        <v>319.569</v>
      </c>
      <c r="AE34" s="6" t="e">
        <f>IF(ISNA(MATCH(AE$2,Inputs!$K$4:$AJ$4,0)),NA(),IF(SUMPRODUCT((Inputs!$A$5:$A$180=$B34)*ISNUMBER(INDEX(Inputs!$K$5:$AJ$180,0,MATCH(AE$2,Inputs!$K$4:$AJ$4,0))))+SUMPRODUCT((Inputs!$C$5:$C$180=$B34)*ISNUMBER(INDEX(Inputs!$K$5:$AJ$180,0,MATCH(AE$2,Inputs!$K$4:$AJ$4,0))))+SUMPRODUCT((Inputs!$E$5:$E$180=$B34)*ISNUMBER(INDEX(Inputs!$K$5:$AJ$180,0,MATCH(AE$2,Inputs!$K$4:$AJ$4,0))))=0,NA(),SUMPRODUCT((Inputs!$A$5:$A$180=$B34)*Inputs!$B$5:$B$180*(((Inputs!$G$5:$G$180="moeda")+(Inputs!$G$5:$G$180="acoes"))*Inputs!$B$1+((Inputs!$G$5:$G$180&lt;&gt;"moeda")*(Inputs!$G$5:$G$180&lt;&gt;"acoes")))*INDEX(Inputs!$K$5:$AJ$180,0,MATCH(AE$2,Inputs!$K$4:$AJ$4,0)))+SUMPRODUCT((Inputs!$C$5:$C$180=$B34)*Inputs!$D$5:$D$180*(((Inputs!$G$5:$G$180="moeda")+(Inputs!$G$5:$G$180="acoes"))*Inputs!$B$1+((Inputs!$G$5:$G$180&lt;&gt;"moeda")*(Inputs!$G$5:$G$180&lt;&gt;"acoes")))*INDEX(Inputs!$K$5:$AJ$180,0,MATCH(AE$2,Inputs!$K$4:$AJ$4,0)))+SUMPRODUCT((Inputs!$E$5:$E$180=$B34)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4" s="6" t="e">
        <f>IF(ISNA(MATCH(AF$2,Inputs!$K$4:$AJ$4,0)),NA(),IF(SUMPRODUCT((Inputs!$A$5:$A$180=$B34)*ISNUMBER(INDEX(Inputs!$K$5:$AJ$180,0,MATCH(AF$2,Inputs!$K$4:$AJ$4,0))))+SUMPRODUCT((Inputs!$C$5:$C$180=$B34)*ISNUMBER(INDEX(Inputs!$K$5:$AJ$180,0,MATCH(AF$2,Inputs!$K$4:$AJ$4,0))))+SUMPRODUCT((Inputs!$E$5:$E$180=$B34)*ISNUMBER(INDEX(Inputs!$K$5:$AJ$180,0,MATCH(AF$2,Inputs!$K$4:$AJ$4,0))))=0,NA(),SUMPRODUCT((Inputs!$A$5:$A$180=$B34)*Inputs!$B$5:$B$180*(((Inputs!$G$5:$G$180="moeda")+(Inputs!$G$5:$G$180="acoes"))*Inputs!$B$1+((Inputs!$G$5:$G$180&lt;&gt;"moeda")*(Inputs!$G$5:$G$180&lt;&gt;"acoes")))*INDEX(Inputs!$K$5:$AJ$180,0,MATCH(AF$2,Inputs!$K$4:$AJ$4,0)))+SUMPRODUCT((Inputs!$C$5:$C$180=$B34)*Inputs!$D$5:$D$180*(((Inputs!$G$5:$G$180="moeda")+(Inputs!$G$5:$G$180="acoes"))*Inputs!$B$1+((Inputs!$G$5:$G$180&lt;&gt;"moeda")*(Inputs!$G$5:$G$180&lt;&gt;"acoes")))*INDEX(Inputs!$K$5:$AJ$180,0,MATCH(AF$2,Inputs!$K$4:$AJ$4,0)))+SUMPRODUCT((Inputs!$E$5:$E$180=$B34)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4" s="3" t="e">
        <f>AF34</f>
        <v>#N/A</v>
      </c>
      <c r="AH34" s="6">
        <f>IF(ISNA(MATCH(AH$2,Inputs!$K$4:$AJ$4,0)),NA(),IF(SUMPRODUCT((Inputs!$A$5:$A$180=$B34)*ISNUMBER(INDEX(Inputs!$K$5:$AJ$180,0,MATCH(AH$2,Inputs!$K$4:$AJ$4,0))))+SUMPRODUCT((Inputs!$C$5:$C$180=$B34)*ISNUMBER(INDEX(Inputs!$K$5:$AJ$180,0,MATCH(AH$2,Inputs!$K$4:$AJ$4,0))))+SUMPRODUCT((Inputs!$E$5:$E$180=$B34)*ISNUMBER(INDEX(Inputs!$K$5:$AJ$180,0,MATCH(AH$2,Inputs!$K$4:$AJ$4,0))))=0,NA(),SUMPRODUCT((Inputs!$A$5:$A$180=$B34)*Inputs!$B$5:$B$180*(((Inputs!$G$5:$G$180="moeda")+(Inputs!$G$5:$G$180="acoes"))*Inputs!$B$1+((Inputs!$G$5:$G$180&lt;&gt;"moeda")*(Inputs!$G$5:$G$180&lt;&gt;"acoes")))*INDEX(Inputs!$K$5:$AJ$180,0,MATCH(AH$2,Inputs!$K$4:$AJ$4,0)))+SUMPRODUCT((Inputs!$C$5:$C$180=$B34)*Inputs!$D$5:$D$180*(((Inputs!$G$5:$G$180="moeda")+(Inputs!$G$5:$G$180="acoes"))*Inputs!$B$1+((Inputs!$G$5:$G$180&lt;&gt;"moeda")*(Inputs!$G$5:$G$180&lt;&gt;"acoes")))*INDEX(Inputs!$K$5:$AJ$180,0,MATCH(AH$2,Inputs!$K$4:$AJ$4,0)))+SUMPRODUCT((Inputs!$E$5:$E$180=$B34)*Inputs!$F$5:$F$180*(((Inputs!$G$5:$G$180="moeda")+(Inputs!$G$5:$G$180="acoes"))*Inputs!$B$1+((Inputs!$G$5:$G$180&lt;&gt;"moeda")*(Inputs!$G$5:$G$180&lt;&gt;"acoes")))*INDEX(Inputs!$K$5:$AJ$180,0,MATCH(AH$2,Inputs!$K$4:$AJ$4,0)))))</f>
        <v>92.853</v>
      </c>
      <c r="AI34" s="6">
        <f>IF(ISNA(MATCH(AI$2,Inputs!$K$4:$AJ$4,0)),NA(),IF(SUMPRODUCT((Inputs!$A$5:$A$180=$B34)*ISNUMBER(INDEX(Inputs!$K$5:$AJ$180,0,MATCH(AI$2,Inputs!$K$4:$AJ$4,0))))+SUMPRODUCT((Inputs!$C$5:$C$180=$B34)*ISNUMBER(INDEX(Inputs!$K$5:$AJ$180,0,MATCH(AI$2,Inputs!$K$4:$AJ$4,0))))+SUMPRODUCT((Inputs!$E$5:$E$180=$B34)*ISNUMBER(INDEX(Inputs!$K$5:$AJ$180,0,MATCH(AI$2,Inputs!$K$4:$AJ$4,0))))=0,NA(),SUMPRODUCT((Inputs!$A$5:$A$180=$B34)*Inputs!$B$5:$B$180*(((Inputs!$G$5:$G$180="moeda")+(Inputs!$G$5:$G$180="acoes"))*Inputs!$B$1+((Inputs!$G$5:$G$180&lt;&gt;"moeda")*(Inputs!$G$5:$G$180&lt;&gt;"acoes")))*INDEX(Inputs!$K$5:$AJ$180,0,MATCH(AI$2,Inputs!$K$4:$AJ$4,0)))+SUMPRODUCT((Inputs!$C$5:$C$180=$B34)*Inputs!$D$5:$D$180*(((Inputs!$G$5:$G$180="moeda")+(Inputs!$G$5:$G$180="acoes"))*Inputs!$B$1+((Inputs!$G$5:$G$180&lt;&gt;"moeda")*(Inputs!$G$5:$G$180&lt;&gt;"acoes")))*INDEX(Inputs!$K$5:$AJ$180,0,MATCH(AI$2,Inputs!$K$4:$AJ$4,0)))+SUMPRODUCT((Inputs!$E$5:$E$180=$B34)*Inputs!$F$5:$F$180*(((Inputs!$G$5:$G$180="moeda")+(Inputs!$G$5:$G$180="acoes"))*Inputs!$B$1+((Inputs!$G$5:$G$180&lt;&gt;"moeda")*(Inputs!$G$5:$G$180&lt;&gt;"acoes")))*INDEX(Inputs!$K$5:$AJ$180,0,MATCH(AI$2,Inputs!$K$4:$AJ$4,0)))))</f>
        <v>101.06879373</v>
      </c>
      <c r="AJ34" s="6">
        <f>IF(ISNA(MATCH(AJ$2,Inputs!$K$4:$AJ$4,0)),NA(),IF(SUMPRODUCT((Inputs!$A$5:$A$180=$B34)*ISNUMBER(INDEX(Inputs!$K$5:$AJ$180,0,MATCH(AJ$2,Inputs!$K$4:$AJ$4,0))))+SUMPRODUCT((Inputs!$C$5:$C$180=$B34)*ISNUMBER(INDEX(Inputs!$K$5:$AJ$180,0,MATCH(AJ$2,Inputs!$K$4:$AJ$4,0))))+SUMPRODUCT((Inputs!$E$5:$E$180=$B34)*ISNUMBER(INDEX(Inputs!$K$5:$AJ$180,0,MATCH(AJ$2,Inputs!$K$4:$AJ$4,0))))=0,NA(),SUMPRODUCT((Inputs!$A$5:$A$180=$B34)*Inputs!$B$5:$B$180*(((Inputs!$G$5:$G$180="moeda")+(Inputs!$G$5:$G$180="acoes"))*Inputs!$B$1+((Inputs!$G$5:$G$180&lt;&gt;"moeda")*(Inputs!$G$5:$G$180&lt;&gt;"acoes")))*INDEX(Inputs!$K$5:$AJ$180,0,MATCH(AJ$2,Inputs!$K$4:$AJ$4,0)))+SUMPRODUCT((Inputs!$C$5:$C$180=$B34)*Inputs!$D$5:$D$180*(((Inputs!$G$5:$G$180="moeda")+(Inputs!$G$5:$G$180="acoes"))*Inputs!$B$1+((Inputs!$G$5:$G$180&lt;&gt;"moeda")*(Inputs!$G$5:$G$180&lt;&gt;"acoes")))*INDEX(Inputs!$K$5:$AJ$180,0,MATCH(AJ$2,Inputs!$K$4:$AJ$4,0)))+SUMPRODUCT((Inputs!$E$5:$E$180=$B34)*Inputs!$F$5:$F$180*(((Inputs!$G$5:$G$180="moeda")+(Inputs!$G$5:$G$180="acoes"))*Inputs!$B$1+((Inputs!$G$5:$G$180&lt;&gt;"moeda")*(Inputs!$G$5:$G$180&lt;&gt;"acoes")))*INDEX(Inputs!$K$5:$AJ$180,0,MATCH(AJ$2,Inputs!$K$4:$AJ$4,0)))))</f>
        <v>97.42076887</v>
      </c>
      <c r="AK34" s="6">
        <f>IF(ISNA(MATCH(AK$2,Inputs!$K$4:$AJ$4,0)),NA(),IF(SUMPRODUCT((Inputs!$A$5:$A$180=$B34)*ISNUMBER(INDEX(Inputs!$K$5:$AJ$180,0,MATCH(AK$2,Inputs!$K$4:$AJ$4,0))))+SUMPRODUCT((Inputs!$C$5:$C$180=$B34)*ISNUMBER(INDEX(Inputs!$K$5:$AJ$180,0,MATCH(AK$2,Inputs!$K$4:$AJ$4,0))))+SUMPRODUCT((Inputs!$E$5:$E$180=$B34)*ISNUMBER(INDEX(Inputs!$K$5:$AJ$180,0,MATCH(AK$2,Inputs!$K$4:$AJ$4,0))))=0,NA(),SUMPRODUCT((Inputs!$A$5:$A$180=$B34)*Inputs!$B$5:$B$180*(((Inputs!$G$5:$G$180="moeda")+(Inputs!$G$5:$G$180="acoes"))*Inputs!$B$1+((Inputs!$G$5:$G$180&lt;&gt;"moeda")*(Inputs!$G$5:$G$180&lt;&gt;"acoes")))*INDEX(Inputs!$K$5:$AJ$180,0,MATCH(AK$2,Inputs!$K$4:$AJ$4,0)))+SUMPRODUCT((Inputs!$C$5:$C$180=$B34)*Inputs!$D$5:$D$180*(((Inputs!$G$5:$G$180="moeda")+(Inputs!$G$5:$G$180="acoes"))*Inputs!$B$1+((Inputs!$G$5:$G$180&lt;&gt;"moeda")*(Inputs!$G$5:$G$180&lt;&gt;"acoes")))*INDEX(Inputs!$K$5:$AJ$180,0,MATCH(AK$2,Inputs!$K$4:$AJ$4,0)))+SUMPRODUCT((Inputs!$E$5:$E$180=$B34)*Inputs!$F$5:$F$180*(((Inputs!$G$5:$G$180="moeda")+(Inputs!$G$5:$G$180="acoes"))*Inputs!$B$1+((Inputs!$G$5:$G$180&lt;&gt;"moeda")*(Inputs!$G$5:$G$180&lt;&gt;"acoes")))*INDEX(Inputs!$K$5:$AJ$180,0,MATCH(AK$2,Inputs!$K$4:$AJ$4,0)))))</f>
        <v>105.03906635</v>
      </c>
      <c r="AL34" s="3">
        <f>AK34</f>
        <v>105.03906635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$180=$B35)*ISNUMBER(INDEX(Inputs!$K$5:$AJ$180,0,MATCH(D$2,Inputs!$K$4:$AJ$4,0))))+SUMPRODUCT((Inputs!$C$5:$C$180=$B35)*ISNUMBER(INDEX(Inputs!$K$5:$AJ$180,0,MATCH(D$2,Inputs!$K$4:$AJ$4,0))))+SUMPRODUCT((Inputs!$E$5:$E$180=$B35)*ISNUMBER(INDEX(Inputs!$K$5:$AJ$180,0,MATCH(D$2,Inputs!$K$4:$AJ$4,0))))=0,NA(),SUMPRODUCT((Inputs!$A$5:$A$180=$B35)*Inputs!$B$5:$B$180*(((Inputs!$G$5:$G$180="moeda")+(Inputs!$G$5:$G$180="acoes"))*Inputs!$B$1+((Inputs!$G$5:$G$180&lt;&gt;"moeda")*(Inputs!$G$5:$G$180&lt;&gt;"acoes")))*INDEX(Inputs!$K$5:$AJ$180,0,MATCH(D$2,Inputs!$K$4:$AJ$4,0)))+SUMPRODUCT((Inputs!$C$5:$C$180=$B35)*Inputs!$D$5:$D$180*(((Inputs!$G$5:$G$180="moeda")+(Inputs!$G$5:$G$180="acoes"))*Inputs!$B$1+((Inputs!$G$5:$G$180&lt;&gt;"moeda")*(Inputs!$G$5:$G$180&lt;&gt;"acoes")))*INDEX(Inputs!$K$5:$AJ$180,0,MATCH(D$2,Inputs!$K$4:$AJ$4,0)))+SUMPRODUCT((Inputs!$E$5:$E$180=$B35)*Inputs!$F$5:$F$180*(((Inputs!$G$5:$G$180="moeda")+(Inputs!$G$5:$G$180="acoes"))*Inputs!$B$1+((Inputs!$G$5:$G$180&lt;&gt;"moeda")*(Inputs!$G$5:$G$180&lt;&gt;"acoes")))*INDEX(Inputs!$K$5:$AJ$180,0,MATCH(D$2,Inputs!$K$4:$AJ$4,0)))))</f>
        <v>1351.08479863</v>
      </c>
      <c r="E35" s="6">
        <f>IF(ISNA(MATCH(E$2,Inputs!$K$4:$AJ$4,0)),NA(),IF(SUMPRODUCT((Inputs!$A$5:$A$180=$B35)*ISNUMBER(INDEX(Inputs!$K$5:$AJ$180,0,MATCH(E$2,Inputs!$K$4:$AJ$4,0))))+SUMPRODUCT((Inputs!$C$5:$C$180=$B35)*ISNUMBER(INDEX(Inputs!$K$5:$AJ$180,0,MATCH(E$2,Inputs!$K$4:$AJ$4,0))))+SUMPRODUCT((Inputs!$E$5:$E$180=$B35)*ISNUMBER(INDEX(Inputs!$K$5:$AJ$180,0,MATCH(E$2,Inputs!$K$4:$AJ$4,0))))=0,NA(),SUMPRODUCT((Inputs!$A$5:$A$180=$B35)*Inputs!$B$5:$B$180*(((Inputs!$G$5:$G$180="moeda")+(Inputs!$G$5:$G$180="acoes"))*Inputs!$B$1+((Inputs!$G$5:$G$180&lt;&gt;"moeda")*(Inputs!$G$5:$G$180&lt;&gt;"acoes")))*INDEX(Inputs!$K$5:$AJ$180,0,MATCH(E$2,Inputs!$K$4:$AJ$4,0)))+SUMPRODUCT((Inputs!$C$5:$C$180=$B35)*Inputs!$D$5:$D$180*(((Inputs!$G$5:$G$180="moeda")+(Inputs!$G$5:$G$180="acoes"))*Inputs!$B$1+((Inputs!$G$5:$G$180&lt;&gt;"moeda")*(Inputs!$G$5:$G$180&lt;&gt;"acoes")))*INDEX(Inputs!$K$5:$AJ$180,0,MATCH(E$2,Inputs!$K$4:$AJ$4,0)))+SUMPRODUCT((Inputs!$E$5:$E$180=$B35)*Inputs!$F$5:$F$180*(((Inputs!$G$5:$G$180="moeda")+(Inputs!$G$5:$G$180="acoes"))*Inputs!$B$1+((Inputs!$G$5:$G$180&lt;&gt;"moeda")*(Inputs!$G$5:$G$180&lt;&gt;"acoes")))*INDEX(Inputs!$K$5:$AJ$180,0,MATCH(E$2,Inputs!$K$4:$AJ$4,0)))))</f>
        <v>1009.350639</v>
      </c>
      <c r="F35" s="6">
        <f>IF(ISNA(MATCH(F$2,Inputs!$K$4:$AJ$4,0)),NA(),IF(SUMPRODUCT((Inputs!$A$5:$A$180=$B35)*ISNUMBER(INDEX(Inputs!$K$5:$AJ$180,0,MATCH(F$2,Inputs!$K$4:$AJ$4,0))))+SUMPRODUCT((Inputs!$C$5:$C$180=$B35)*ISNUMBER(INDEX(Inputs!$K$5:$AJ$180,0,MATCH(F$2,Inputs!$K$4:$AJ$4,0))))+SUMPRODUCT((Inputs!$E$5:$E$180=$B35)*ISNUMBER(INDEX(Inputs!$K$5:$AJ$180,0,MATCH(F$2,Inputs!$K$4:$AJ$4,0))))=0,NA(),SUMPRODUCT((Inputs!$A$5:$A$180=$B35)*Inputs!$B$5:$B$180*(((Inputs!$G$5:$G$180="moeda")+(Inputs!$G$5:$G$180="acoes"))*Inputs!$B$1+((Inputs!$G$5:$G$180&lt;&gt;"moeda")*(Inputs!$G$5:$G$180&lt;&gt;"acoes")))*INDEX(Inputs!$K$5:$AJ$180,0,MATCH(F$2,Inputs!$K$4:$AJ$4,0)))+SUMPRODUCT((Inputs!$C$5:$C$180=$B35)*Inputs!$D$5:$D$180*(((Inputs!$G$5:$G$180="moeda")+(Inputs!$G$5:$G$180="acoes"))*Inputs!$B$1+((Inputs!$G$5:$G$180&lt;&gt;"moeda")*(Inputs!$G$5:$G$180&lt;&gt;"acoes")))*INDEX(Inputs!$K$5:$AJ$180,0,MATCH(F$2,Inputs!$K$4:$AJ$4,0)))+SUMPRODUCT((Inputs!$E$5:$E$180=$B35)*Inputs!$F$5:$F$180*(((Inputs!$G$5:$G$180="moeda")+(Inputs!$G$5:$G$180="acoes"))*Inputs!$B$1+((Inputs!$G$5:$G$180&lt;&gt;"moeda")*(Inputs!$G$5:$G$180&lt;&gt;"acoes")))*INDEX(Inputs!$K$5:$AJ$180,0,MATCH(F$2,Inputs!$K$4:$AJ$4,0)))))</f>
        <v>2017.99351849</v>
      </c>
      <c r="G35" s="6">
        <f>IF(ISNA(MATCH(G$2,Inputs!$K$4:$AJ$4,0)),NA(),IF(SUMPRODUCT((Inputs!$A$5:$A$180=$B35)*ISNUMBER(INDEX(Inputs!$K$5:$AJ$180,0,MATCH(G$2,Inputs!$K$4:$AJ$4,0))))+SUMPRODUCT((Inputs!$C$5:$C$180=$B35)*ISNUMBER(INDEX(Inputs!$K$5:$AJ$180,0,MATCH(G$2,Inputs!$K$4:$AJ$4,0))))+SUMPRODUCT((Inputs!$E$5:$E$180=$B35)*ISNUMBER(INDEX(Inputs!$K$5:$AJ$180,0,MATCH(G$2,Inputs!$K$4:$AJ$4,0))))=0,NA(),SUMPRODUCT((Inputs!$A$5:$A$180=$B35)*Inputs!$B$5:$B$180*(((Inputs!$G$5:$G$180="moeda")+(Inputs!$G$5:$G$180="acoes"))*Inputs!$B$1+((Inputs!$G$5:$G$180&lt;&gt;"moeda")*(Inputs!$G$5:$G$180&lt;&gt;"acoes")))*INDEX(Inputs!$K$5:$AJ$180,0,MATCH(G$2,Inputs!$K$4:$AJ$4,0)))+SUMPRODUCT((Inputs!$C$5:$C$180=$B35)*Inputs!$D$5:$D$180*(((Inputs!$G$5:$G$180="moeda")+(Inputs!$G$5:$G$180="acoes"))*Inputs!$B$1+((Inputs!$G$5:$G$180&lt;&gt;"moeda")*(Inputs!$G$5:$G$180&lt;&gt;"acoes")))*INDEX(Inputs!$K$5:$AJ$180,0,MATCH(G$2,Inputs!$K$4:$AJ$4,0)))+SUMPRODUCT((Inputs!$E$5:$E$180=$B35)*Inputs!$F$5:$F$180*(((Inputs!$G$5:$G$180="moeda")+(Inputs!$G$5:$G$180="acoes"))*Inputs!$B$1+((Inputs!$G$5:$G$180&lt;&gt;"moeda")*(Inputs!$G$5:$G$180&lt;&gt;"acoes")))*INDEX(Inputs!$K$5:$AJ$180,0,MATCH(G$2,Inputs!$K$4:$AJ$4,0)))))</f>
        <v>1868.07341868</v>
      </c>
      <c r="H35" s="3">
        <f>G35</f>
        <v>1868.07341868</v>
      </c>
      <c r="I35" s="6">
        <f>IF(ISNA(MATCH(I$2,Inputs!$K$4:$AJ$4,0)),NA(),IF(SUMPRODUCT((Inputs!$A$5:$A$180=$B35)*ISNUMBER(INDEX(Inputs!$K$5:$AJ$180,0,MATCH(I$2,Inputs!$K$4:$AJ$4,0))))+SUMPRODUCT((Inputs!$C$5:$C$180=$B35)*ISNUMBER(INDEX(Inputs!$K$5:$AJ$180,0,MATCH(I$2,Inputs!$K$4:$AJ$4,0))))+SUMPRODUCT((Inputs!$E$5:$E$180=$B35)*ISNUMBER(INDEX(Inputs!$K$5:$AJ$180,0,MATCH(I$2,Inputs!$K$4:$AJ$4,0))))=0,NA(),SUMPRODUCT((Inputs!$A$5:$A$180=$B35)*Inputs!$B$5:$B$180*(((Inputs!$G$5:$G$180="moeda")+(Inputs!$G$5:$G$180="acoes"))*Inputs!$B$1+((Inputs!$G$5:$G$180&lt;&gt;"moeda")*(Inputs!$G$5:$G$180&lt;&gt;"acoes")))*INDEX(Inputs!$K$5:$AJ$180,0,MATCH(I$2,Inputs!$K$4:$AJ$4,0)))+SUMPRODUCT((Inputs!$C$5:$C$180=$B35)*Inputs!$D$5:$D$180*(((Inputs!$G$5:$G$180="moeda")+(Inputs!$G$5:$G$180="acoes"))*Inputs!$B$1+((Inputs!$G$5:$G$180&lt;&gt;"moeda")*(Inputs!$G$5:$G$180&lt;&gt;"acoes")))*INDEX(Inputs!$K$5:$AJ$180,0,MATCH(I$2,Inputs!$K$4:$AJ$4,0)))+SUMPRODUCT((Inputs!$E$5:$E$180=$B35)*Inputs!$F$5:$F$180*(((Inputs!$G$5:$G$180="moeda")+(Inputs!$G$5:$G$180="acoes"))*Inputs!$B$1+((Inputs!$G$5:$G$180&lt;&gt;"moeda")*(Inputs!$G$5:$G$180&lt;&gt;"acoes")))*INDEX(Inputs!$K$5:$AJ$180,0,MATCH(I$2,Inputs!$K$4:$AJ$4,0)))))</f>
        <v>1861.91080126</v>
      </c>
      <c r="J35" s="6">
        <f>IF(ISNA(MATCH(J$2,Inputs!$K$4:$AJ$4,0)),NA(),IF(SUMPRODUCT((Inputs!$A$5:$A$180=$B35)*ISNUMBER(INDEX(Inputs!$K$5:$AJ$180,0,MATCH(J$2,Inputs!$K$4:$AJ$4,0))))+SUMPRODUCT((Inputs!$C$5:$C$180=$B35)*ISNUMBER(INDEX(Inputs!$K$5:$AJ$180,0,MATCH(J$2,Inputs!$K$4:$AJ$4,0))))+SUMPRODUCT((Inputs!$E$5:$E$180=$B35)*ISNUMBER(INDEX(Inputs!$K$5:$AJ$180,0,MATCH(J$2,Inputs!$K$4:$AJ$4,0))))=0,NA(),SUMPRODUCT((Inputs!$A$5:$A$180=$B35)*Inputs!$B$5:$B$180*(((Inputs!$G$5:$G$180="moeda")+(Inputs!$G$5:$G$180="acoes"))*Inputs!$B$1+((Inputs!$G$5:$G$180&lt;&gt;"moeda")*(Inputs!$G$5:$G$180&lt;&gt;"acoes")))*INDEX(Inputs!$K$5:$AJ$180,0,MATCH(J$2,Inputs!$K$4:$AJ$4,0)))+SUMPRODUCT((Inputs!$C$5:$C$180=$B35)*Inputs!$D$5:$D$180*(((Inputs!$G$5:$G$180="moeda")+(Inputs!$G$5:$G$180="acoes"))*Inputs!$B$1+((Inputs!$G$5:$G$180&lt;&gt;"moeda")*(Inputs!$G$5:$G$180&lt;&gt;"acoes")))*INDEX(Inputs!$K$5:$AJ$180,0,MATCH(J$2,Inputs!$K$4:$AJ$4,0)))+SUMPRODUCT((Inputs!$E$5:$E$180=$B35)*Inputs!$F$5:$F$180*(((Inputs!$G$5:$G$180="moeda")+(Inputs!$G$5:$G$180="acoes"))*Inputs!$B$1+((Inputs!$G$5:$G$180&lt;&gt;"moeda")*(Inputs!$G$5:$G$180&lt;&gt;"acoes")))*INDEX(Inputs!$K$5:$AJ$180,0,MATCH(J$2,Inputs!$K$4:$AJ$4,0)))))</f>
        <v>2371.41405674</v>
      </c>
      <c r="K35" s="6">
        <f>IF(ISNA(MATCH(K$2,Inputs!$K$4:$AJ$4,0)),NA(),IF(SUMPRODUCT((Inputs!$A$5:$A$180=$B35)*ISNUMBER(INDEX(Inputs!$K$5:$AJ$180,0,MATCH(K$2,Inputs!$K$4:$AJ$4,0))))+SUMPRODUCT((Inputs!$C$5:$C$180=$B35)*ISNUMBER(INDEX(Inputs!$K$5:$AJ$180,0,MATCH(K$2,Inputs!$K$4:$AJ$4,0))))+SUMPRODUCT((Inputs!$E$5:$E$180=$B35)*ISNUMBER(INDEX(Inputs!$K$5:$AJ$180,0,MATCH(K$2,Inputs!$K$4:$AJ$4,0))))=0,NA(),SUMPRODUCT((Inputs!$A$5:$A$180=$B35)*Inputs!$B$5:$B$180*(((Inputs!$G$5:$G$180="moeda")+(Inputs!$G$5:$G$180="acoes"))*Inputs!$B$1+((Inputs!$G$5:$G$180&lt;&gt;"moeda")*(Inputs!$G$5:$G$180&lt;&gt;"acoes")))*INDEX(Inputs!$K$5:$AJ$180,0,MATCH(K$2,Inputs!$K$4:$AJ$4,0)))+SUMPRODUCT((Inputs!$C$5:$C$180=$B35)*Inputs!$D$5:$D$180*(((Inputs!$G$5:$G$180="moeda")+(Inputs!$G$5:$G$180="acoes"))*Inputs!$B$1+((Inputs!$G$5:$G$180&lt;&gt;"moeda")*(Inputs!$G$5:$G$180&lt;&gt;"acoes")))*INDEX(Inputs!$K$5:$AJ$180,0,MATCH(K$2,Inputs!$K$4:$AJ$4,0)))+SUMPRODUCT((Inputs!$E$5:$E$180=$B35)*Inputs!$F$5:$F$180*(((Inputs!$G$5:$G$180="moeda")+(Inputs!$G$5:$G$180="acoes"))*Inputs!$B$1+((Inputs!$G$5:$G$180&lt;&gt;"moeda")*(Inputs!$G$5:$G$180&lt;&gt;"acoes")))*INDEX(Inputs!$K$5:$AJ$180,0,MATCH(K$2,Inputs!$K$4:$AJ$4,0)))))</f>
        <v>2372.72832122</v>
      </c>
      <c r="L35" s="6">
        <f>IF(ISNA(MATCH(L$2,Inputs!$K$4:$AJ$4,0)),NA(),IF(SUMPRODUCT((Inputs!$A$5:$A$180=$B35)*ISNUMBER(INDEX(Inputs!$K$5:$AJ$180,0,MATCH(L$2,Inputs!$K$4:$AJ$4,0))))+SUMPRODUCT((Inputs!$C$5:$C$180=$B35)*ISNUMBER(INDEX(Inputs!$K$5:$AJ$180,0,MATCH(L$2,Inputs!$K$4:$AJ$4,0))))+SUMPRODUCT((Inputs!$E$5:$E$180=$B35)*ISNUMBER(INDEX(Inputs!$K$5:$AJ$180,0,MATCH(L$2,Inputs!$K$4:$AJ$4,0))))=0,NA(),SUMPRODUCT((Inputs!$A$5:$A$180=$B35)*Inputs!$B$5:$B$180*(((Inputs!$G$5:$G$180="moeda")+(Inputs!$G$5:$G$180="acoes"))*Inputs!$B$1+((Inputs!$G$5:$G$180&lt;&gt;"moeda")*(Inputs!$G$5:$G$180&lt;&gt;"acoes")))*INDEX(Inputs!$K$5:$AJ$180,0,MATCH(L$2,Inputs!$K$4:$AJ$4,0)))+SUMPRODUCT((Inputs!$C$5:$C$180=$B35)*Inputs!$D$5:$D$180*(((Inputs!$G$5:$G$180="moeda")+(Inputs!$G$5:$G$180="acoes"))*Inputs!$B$1+((Inputs!$G$5:$G$180&lt;&gt;"moeda")*(Inputs!$G$5:$G$180&lt;&gt;"acoes")))*INDEX(Inputs!$K$5:$AJ$180,0,MATCH(L$2,Inputs!$K$4:$AJ$4,0)))+SUMPRODUCT((Inputs!$E$5:$E$180=$B35)*Inputs!$F$5:$F$180*(((Inputs!$G$5:$G$180="moeda")+(Inputs!$G$5:$G$180="acoes"))*Inputs!$B$1+((Inputs!$G$5:$G$180&lt;&gt;"moeda")*(Inputs!$G$5:$G$180&lt;&gt;"acoes")))*INDEX(Inputs!$K$5:$AJ$180,0,MATCH(L$2,Inputs!$K$4:$AJ$4,0)))))</f>
        <v>2475.24283589</v>
      </c>
      <c r="M35" s="3">
        <f>L35</f>
        <v>2475.24283589</v>
      </c>
      <c r="N35" s="6">
        <f>IF(ISNA(MATCH(N$2,Inputs!$K$4:$AJ$4,0)),NA(),IF(SUMPRODUCT((Inputs!$A$5:$A$180=$B35)*ISNUMBER(INDEX(Inputs!$K$5:$AJ$180,0,MATCH(N$2,Inputs!$K$4:$AJ$4,0))))+SUMPRODUCT((Inputs!$C$5:$C$180=$B35)*ISNUMBER(INDEX(Inputs!$K$5:$AJ$180,0,MATCH(N$2,Inputs!$K$4:$AJ$4,0))))+SUMPRODUCT((Inputs!$E$5:$E$180=$B35)*ISNUMBER(INDEX(Inputs!$K$5:$AJ$180,0,MATCH(N$2,Inputs!$K$4:$AJ$4,0))))=0,NA(),SUMPRODUCT((Inputs!$A$5:$A$180=$B35)*Inputs!$B$5:$B$180*(((Inputs!$G$5:$G$180="moeda")+(Inputs!$G$5:$G$180="acoes"))*Inputs!$B$1+((Inputs!$G$5:$G$180&lt;&gt;"moeda")*(Inputs!$G$5:$G$180&lt;&gt;"acoes")))*INDEX(Inputs!$K$5:$AJ$180,0,MATCH(N$2,Inputs!$K$4:$AJ$4,0)))+SUMPRODUCT((Inputs!$C$5:$C$180=$B35)*Inputs!$D$5:$D$180*(((Inputs!$G$5:$G$180="moeda")+(Inputs!$G$5:$G$180="acoes"))*Inputs!$B$1+((Inputs!$G$5:$G$180&lt;&gt;"moeda")*(Inputs!$G$5:$G$180&lt;&gt;"acoes")))*INDEX(Inputs!$K$5:$AJ$180,0,MATCH(N$2,Inputs!$K$4:$AJ$4,0)))+SUMPRODUCT((Inputs!$E$5:$E$180=$B35)*Inputs!$F$5:$F$180*(((Inputs!$G$5:$G$180="moeda")+(Inputs!$G$5:$G$180="acoes"))*Inputs!$B$1+((Inputs!$G$5:$G$180&lt;&gt;"moeda")*(Inputs!$G$5:$G$180&lt;&gt;"acoes")))*INDEX(Inputs!$K$5:$AJ$180,0,MATCH(N$2,Inputs!$K$4:$AJ$4,0)))))</f>
        <v>2452.94503181</v>
      </c>
      <c r="O35" s="6">
        <f>IF(ISNA(MATCH(O$2,Inputs!$K$4:$AJ$4,0)),NA(),IF(SUMPRODUCT((Inputs!$A$5:$A$180=$B35)*ISNUMBER(INDEX(Inputs!$K$5:$AJ$180,0,MATCH(O$2,Inputs!$K$4:$AJ$4,0))))+SUMPRODUCT((Inputs!$C$5:$C$180=$B35)*ISNUMBER(INDEX(Inputs!$K$5:$AJ$180,0,MATCH(O$2,Inputs!$K$4:$AJ$4,0))))+SUMPRODUCT((Inputs!$E$5:$E$180=$B35)*ISNUMBER(INDEX(Inputs!$K$5:$AJ$180,0,MATCH(O$2,Inputs!$K$4:$AJ$4,0))))=0,NA(),SUMPRODUCT((Inputs!$A$5:$A$180=$B35)*Inputs!$B$5:$B$180*(((Inputs!$G$5:$G$180="moeda")+(Inputs!$G$5:$G$180="acoes"))*Inputs!$B$1+((Inputs!$G$5:$G$180&lt;&gt;"moeda")*(Inputs!$G$5:$G$180&lt;&gt;"acoes")))*INDEX(Inputs!$K$5:$AJ$180,0,MATCH(O$2,Inputs!$K$4:$AJ$4,0)))+SUMPRODUCT((Inputs!$C$5:$C$180=$B35)*Inputs!$D$5:$D$180*(((Inputs!$G$5:$G$180="moeda")+(Inputs!$G$5:$G$180="acoes"))*Inputs!$B$1+((Inputs!$G$5:$G$180&lt;&gt;"moeda")*(Inputs!$G$5:$G$180&lt;&gt;"acoes")))*INDEX(Inputs!$K$5:$AJ$180,0,MATCH(O$2,Inputs!$K$4:$AJ$4,0)))+SUMPRODUCT((Inputs!$E$5:$E$180=$B35)*Inputs!$F$5:$F$180*(((Inputs!$G$5:$G$180="moeda")+(Inputs!$G$5:$G$180="acoes"))*Inputs!$B$1+((Inputs!$G$5:$G$180&lt;&gt;"moeda")*(Inputs!$G$5:$G$180&lt;&gt;"acoes")))*INDEX(Inputs!$K$5:$AJ$180,0,MATCH(O$2,Inputs!$K$4:$AJ$4,0)))))</f>
        <v>2518.793</v>
      </c>
      <c r="P35" s="6">
        <f>IF(ISNA(MATCH(P$2,Inputs!$K$4:$AJ$4,0)),NA(),IF(SUMPRODUCT((Inputs!$A$5:$A$180=$B35)*ISNUMBER(INDEX(Inputs!$K$5:$AJ$180,0,MATCH(P$2,Inputs!$K$4:$AJ$4,0))))+SUMPRODUCT((Inputs!$C$5:$C$180=$B35)*ISNUMBER(INDEX(Inputs!$K$5:$AJ$180,0,MATCH(P$2,Inputs!$K$4:$AJ$4,0))))+SUMPRODUCT((Inputs!$E$5:$E$180=$B35)*ISNUMBER(INDEX(Inputs!$K$5:$AJ$180,0,MATCH(P$2,Inputs!$K$4:$AJ$4,0))))=0,NA(),SUMPRODUCT((Inputs!$A$5:$A$180=$B35)*Inputs!$B$5:$B$180*(((Inputs!$G$5:$G$180="moeda")+(Inputs!$G$5:$G$180="acoes"))*Inputs!$B$1+((Inputs!$G$5:$G$180&lt;&gt;"moeda")*(Inputs!$G$5:$G$180&lt;&gt;"acoes")))*INDEX(Inputs!$K$5:$AJ$180,0,MATCH(P$2,Inputs!$K$4:$AJ$4,0)))+SUMPRODUCT((Inputs!$C$5:$C$180=$B35)*Inputs!$D$5:$D$180*(((Inputs!$G$5:$G$180="moeda")+(Inputs!$G$5:$G$180="acoes"))*Inputs!$B$1+((Inputs!$G$5:$G$180&lt;&gt;"moeda")*(Inputs!$G$5:$G$180&lt;&gt;"acoes")))*INDEX(Inputs!$K$5:$AJ$180,0,MATCH(P$2,Inputs!$K$4:$AJ$4,0)))+SUMPRODUCT((Inputs!$E$5:$E$180=$B35)*Inputs!$F$5:$F$180*(((Inputs!$G$5:$G$180="moeda")+(Inputs!$G$5:$G$180="acoes"))*Inputs!$B$1+((Inputs!$G$5:$G$180&lt;&gt;"moeda")*(Inputs!$G$5:$G$180&lt;&gt;"acoes")))*INDEX(Inputs!$K$5:$AJ$180,0,MATCH(P$2,Inputs!$K$4:$AJ$4,0)))))</f>
        <v>2576.962</v>
      </c>
      <c r="Q35" s="6">
        <f>IF(ISNA(MATCH(Q$2,Inputs!$K$4:$AJ$4,0)),NA(),IF(SUMPRODUCT((Inputs!$A$5:$A$180=$B35)*ISNUMBER(INDEX(Inputs!$K$5:$AJ$180,0,MATCH(Q$2,Inputs!$K$4:$AJ$4,0))))+SUMPRODUCT((Inputs!$C$5:$C$180=$B35)*ISNUMBER(INDEX(Inputs!$K$5:$AJ$180,0,MATCH(Q$2,Inputs!$K$4:$AJ$4,0))))+SUMPRODUCT((Inputs!$E$5:$E$180=$B35)*ISNUMBER(INDEX(Inputs!$K$5:$AJ$180,0,MATCH(Q$2,Inputs!$K$4:$AJ$4,0))))=0,NA(),SUMPRODUCT((Inputs!$A$5:$A$180=$B35)*Inputs!$B$5:$B$180*(((Inputs!$G$5:$G$180="moeda")+(Inputs!$G$5:$G$180="acoes"))*Inputs!$B$1+((Inputs!$G$5:$G$180&lt;&gt;"moeda")*(Inputs!$G$5:$G$180&lt;&gt;"acoes")))*INDEX(Inputs!$K$5:$AJ$180,0,MATCH(Q$2,Inputs!$K$4:$AJ$4,0)))+SUMPRODUCT((Inputs!$C$5:$C$180=$B35)*Inputs!$D$5:$D$180*(((Inputs!$G$5:$G$180="moeda")+(Inputs!$G$5:$G$180="acoes"))*Inputs!$B$1+((Inputs!$G$5:$G$180&lt;&gt;"moeda")*(Inputs!$G$5:$G$180&lt;&gt;"acoes")))*INDEX(Inputs!$K$5:$AJ$180,0,MATCH(Q$2,Inputs!$K$4:$AJ$4,0)))+SUMPRODUCT((Inputs!$E$5:$E$180=$B35)*Inputs!$F$5:$F$180*(((Inputs!$G$5:$G$180="moeda")+(Inputs!$G$5:$G$180="acoes"))*Inputs!$B$1+((Inputs!$G$5:$G$180&lt;&gt;"moeda")*(Inputs!$G$5:$G$180&lt;&gt;"acoes")))*INDEX(Inputs!$K$5:$AJ$180,0,MATCH(Q$2,Inputs!$K$4:$AJ$4,0)))))</f>
        <v>2868.054</v>
      </c>
      <c r="R35" s="3">
        <f>Q35</f>
        <v>2868.054</v>
      </c>
      <c r="S35" s="6">
        <f>IF(ISNA(MATCH(S$2,Inputs!$K$4:$AJ$4,0)),NA(),IF(SUMPRODUCT((Inputs!$A$5:$A$180=$B35)*ISNUMBER(INDEX(Inputs!$K$5:$AJ$180,0,MATCH(S$2,Inputs!$K$4:$AJ$4,0))))+SUMPRODUCT((Inputs!$C$5:$C$180=$B35)*ISNUMBER(INDEX(Inputs!$K$5:$AJ$180,0,MATCH(S$2,Inputs!$K$4:$AJ$4,0))))+SUMPRODUCT((Inputs!$E$5:$E$180=$B35)*ISNUMBER(INDEX(Inputs!$K$5:$AJ$180,0,MATCH(S$2,Inputs!$K$4:$AJ$4,0))))=0,NA(),SUMPRODUCT((Inputs!$A$5:$A$180=$B35)*Inputs!$B$5:$B$180*(((Inputs!$G$5:$G$180="moeda")+(Inputs!$G$5:$G$180="acoes"))*Inputs!$B$1+((Inputs!$G$5:$G$180&lt;&gt;"moeda")*(Inputs!$G$5:$G$180&lt;&gt;"acoes")))*INDEX(Inputs!$K$5:$AJ$180,0,MATCH(S$2,Inputs!$K$4:$AJ$4,0)))+SUMPRODUCT((Inputs!$C$5:$C$180=$B35)*Inputs!$D$5:$D$180*(((Inputs!$G$5:$G$180="moeda")+(Inputs!$G$5:$G$180="acoes"))*Inputs!$B$1+((Inputs!$G$5:$G$180&lt;&gt;"moeda")*(Inputs!$G$5:$G$180&lt;&gt;"acoes")))*INDEX(Inputs!$K$5:$AJ$180,0,MATCH(S$2,Inputs!$K$4:$AJ$4,0)))+SUMPRODUCT((Inputs!$E$5:$E$180=$B35)*Inputs!$F$5:$F$180*(((Inputs!$G$5:$G$180="moeda")+(Inputs!$G$5:$G$180="acoes"))*Inputs!$B$1+((Inputs!$G$5:$G$180&lt;&gt;"moeda")*(Inputs!$G$5:$G$180&lt;&gt;"acoes")))*INDEX(Inputs!$K$5:$AJ$180,0,MATCH(S$2,Inputs!$K$4:$AJ$4,0)))))</f>
        <v>2819.657</v>
      </c>
      <c r="T35" s="6">
        <f>IF(ISNA(MATCH(T$2,Inputs!$K$4:$AJ$4,0)),NA(),IF(SUMPRODUCT((Inputs!$A$5:$A$180=$B35)*ISNUMBER(INDEX(Inputs!$K$5:$AJ$180,0,MATCH(T$2,Inputs!$K$4:$AJ$4,0))))+SUMPRODUCT((Inputs!$C$5:$C$180=$B35)*ISNUMBER(INDEX(Inputs!$K$5:$AJ$180,0,MATCH(T$2,Inputs!$K$4:$AJ$4,0))))+SUMPRODUCT((Inputs!$E$5:$E$180=$B35)*ISNUMBER(INDEX(Inputs!$K$5:$AJ$180,0,MATCH(T$2,Inputs!$K$4:$AJ$4,0))))=0,NA(),SUMPRODUCT((Inputs!$A$5:$A$180=$B35)*Inputs!$B$5:$B$180*(((Inputs!$G$5:$G$180="moeda")+(Inputs!$G$5:$G$180="acoes"))*Inputs!$B$1+((Inputs!$G$5:$G$180&lt;&gt;"moeda")*(Inputs!$G$5:$G$180&lt;&gt;"acoes")))*INDEX(Inputs!$K$5:$AJ$180,0,MATCH(T$2,Inputs!$K$4:$AJ$4,0)))+SUMPRODUCT((Inputs!$C$5:$C$180=$B35)*Inputs!$D$5:$D$180*(((Inputs!$G$5:$G$180="moeda")+(Inputs!$G$5:$G$180="acoes"))*Inputs!$B$1+((Inputs!$G$5:$G$180&lt;&gt;"moeda")*(Inputs!$G$5:$G$180&lt;&gt;"acoes")))*INDEX(Inputs!$K$5:$AJ$180,0,MATCH(T$2,Inputs!$K$4:$AJ$4,0)))+SUMPRODUCT((Inputs!$E$5:$E$180=$B35)*Inputs!$F$5:$F$180*(((Inputs!$G$5:$G$180="moeda")+(Inputs!$G$5:$G$180="acoes"))*Inputs!$B$1+((Inputs!$G$5:$G$180&lt;&gt;"moeda")*(Inputs!$G$5:$G$180&lt;&gt;"acoes")))*INDEX(Inputs!$K$5:$AJ$180,0,MATCH(T$2,Inputs!$K$4:$AJ$4,0)))))</f>
        <v>3812.108</v>
      </c>
      <c r="U35" s="6">
        <f>IF(ISNA(MATCH(U$2,Inputs!$K$4:$AJ$4,0)),NA(),IF(SUMPRODUCT((Inputs!$A$5:$A$180=$B35)*ISNUMBER(INDEX(Inputs!$K$5:$AJ$180,0,MATCH(U$2,Inputs!$K$4:$AJ$4,0))))+SUMPRODUCT((Inputs!$C$5:$C$180=$B35)*ISNUMBER(INDEX(Inputs!$K$5:$AJ$180,0,MATCH(U$2,Inputs!$K$4:$AJ$4,0))))+SUMPRODUCT((Inputs!$E$5:$E$180=$B35)*ISNUMBER(INDEX(Inputs!$K$5:$AJ$180,0,MATCH(U$2,Inputs!$K$4:$AJ$4,0))))=0,NA(),SUMPRODUCT((Inputs!$A$5:$A$180=$B35)*Inputs!$B$5:$B$180*(((Inputs!$G$5:$G$180="moeda")+(Inputs!$G$5:$G$180="acoes"))*Inputs!$B$1+((Inputs!$G$5:$G$180&lt;&gt;"moeda")*(Inputs!$G$5:$G$180&lt;&gt;"acoes")))*INDEX(Inputs!$K$5:$AJ$180,0,MATCH(U$2,Inputs!$K$4:$AJ$4,0)))+SUMPRODUCT((Inputs!$C$5:$C$180=$B35)*Inputs!$D$5:$D$180*(((Inputs!$G$5:$G$180="moeda")+(Inputs!$G$5:$G$180="acoes"))*Inputs!$B$1+((Inputs!$G$5:$G$180&lt;&gt;"moeda")*(Inputs!$G$5:$G$180&lt;&gt;"acoes")))*INDEX(Inputs!$K$5:$AJ$180,0,MATCH(U$2,Inputs!$K$4:$AJ$4,0)))+SUMPRODUCT((Inputs!$E$5:$E$180=$B35)*Inputs!$F$5:$F$180*(((Inputs!$G$5:$G$180="moeda")+(Inputs!$G$5:$G$180="acoes"))*Inputs!$B$1+((Inputs!$G$5:$G$180&lt;&gt;"moeda")*(Inputs!$G$5:$G$180&lt;&gt;"acoes")))*INDEX(Inputs!$K$5:$AJ$180,0,MATCH(U$2,Inputs!$K$4:$AJ$4,0)))))</f>
        <v>3555.55</v>
      </c>
      <c r="V35" s="6">
        <f>IF(ISNA(MATCH(V$2,Inputs!$K$4:$AJ$4,0)),NA(),IF(SUMPRODUCT((Inputs!$A$5:$A$180=$B35)*ISNUMBER(INDEX(Inputs!$K$5:$AJ$180,0,MATCH(V$2,Inputs!$K$4:$AJ$4,0))))+SUMPRODUCT((Inputs!$C$5:$C$180=$B35)*ISNUMBER(INDEX(Inputs!$K$5:$AJ$180,0,MATCH(V$2,Inputs!$K$4:$AJ$4,0))))+SUMPRODUCT((Inputs!$E$5:$E$180=$B35)*ISNUMBER(INDEX(Inputs!$K$5:$AJ$180,0,MATCH(V$2,Inputs!$K$4:$AJ$4,0))))=0,NA(),SUMPRODUCT((Inputs!$A$5:$A$180=$B35)*Inputs!$B$5:$B$180*(((Inputs!$G$5:$G$180="moeda")+(Inputs!$G$5:$G$180="acoes"))*Inputs!$B$1+((Inputs!$G$5:$G$180&lt;&gt;"moeda")*(Inputs!$G$5:$G$180&lt;&gt;"acoes")))*INDEX(Inputs!$K$5:$AJ$180,0,MATCH(V$2,Inputs!$K$4:$AJ$4,0)))+SUMPRODUCT((Inputs!$C$5:$C$180=$B35)*Inputs!$D$5:$D$180*(((Inputs!$G$5:$G$180="moeda")+(Inputs!$G$5:$G$180="acoes"))*Inputs!$B$1+((Inputs!$G$5:$G$180&lt;&gt;"moeda")*(Inputs!$G$5:$G$180&lt;&gt;"acoes")))*INDEX(Inputs!$K$5:$AJ$180,0,MATCH(V$2,Inputs!$K$4:$AJ$4,0)))+SUMPRODUCT((Inputs!$E$5:$E$180=$B35)*Inputs!$F$5:$F$180*(((Inputs!$G$5:$G$180="moeda")+(Inputs!$G$5:$G$180="acoes"))*Inputs!$B$1+((Inputs!$G$5:$G$180&lt;&gt;"moeda")*(Inputs!$G$5:$G$180&lt;&gt;"acoes")))*INDEX(Inputs!$K$5:$AJ$180,0,MATCH(V$2,Inputs!$K$4:$AJ$4,0)))))</f>
        <v>4200.124</v>
      </c>
      <c r="W35" s="3">
        <f>V35</f>
        <v>4200.124</v>
      </c>
      <c r="X35" s="6">
        <f>IF(ISNA(MATCH(X$2,Inputs!$K$4:$AJ$4,0)),NA(),IF(SUMPRODUCT((Inputs!$A$5:$A$180=$B35)*ISNUMBER(INDEX(Inputs!$K$5:$AJ$180,0,MATCH(X$2,Inputs!$K$4:$AJ$4,0))))+SUMPRODUCT((Inputs!$C$5:$C$180=$B35)*ISNUMBER(INDEX(Inputs!$K$5:$AJ$180,0,MATCH(X$2,Inputs!$K$4:$AJ$4,0))))+SUMPRODUCT((Inputs!$E$5:$E$180=$B35)*ISNUMBER(INDEX(Inputs!$K$5:$AJ$180,0,MATCH(X$2,Inputs!$K$4:$AJ$4,0))))=0,NA(),SUMPRODUCT((Inputs!$A$5:$A$180=$B35)*Inputs!$B$5:$B$180*(((Inputs!$G$5:$G$180="moeda")+(Inputs!$G$5:$G$180="acoes"))*Inputs!$B$1+((Inputs!$G$5:$G$180&lt;&gt;"moeda")*(Inputs!$G$5:$G$180&lt;&gt;"acoes")))*INDEX(Inputs!$K$5:$AJ$180,0,MATCH(X$2,Inputs!$K$4:$AJ$4,0)))+SUMPRODUCT((Inputs!$C$5:$C$180=$B35)*Inputs!$D$5:$D$180*(((Inputs!$G$5:$G$180="moeda")+(Inputs!$G$5:$G$180="acoes"))*Inputs!$B$1+((Inputs!$G$5:$G$180&lt;&gt;"moeda")*(Inputs!$G$5:$G$180&lt;&gt;"acoes")))*INDEX(Inputs!$K$5:$AJ$180,0,MATCH(X$2,Inputs!$K$4:$AJ$4,0)))+SUMPRODUCT((Inputs!$E$5:$E$180=$B35)*Inputs!$F$5:$F$180*(((Inputs!$G$5:$G$180="moeda")+(Inputs!$G$5:$G$180="acoes"))*Inputs!$B$1+((Inputs!$G$5:$G$180&lt;&gt;"moeda")*(Inputs!$G$5:$G$180&lt;&gt;"acoes")))*INDEX(Inputs!$K$5:$AJ$180,0,MATCH(X$2,Inputs!$K$4:$AJ$4,0)))))</f>
        <v>4186.740699</v>
      </c>
      <c r="Y35" s="6">
        <f>IF(ISNA(MATCH(Y$2,Inputs!$K$4:$AJ$4,0)),NA(),IF(SUMPRODUCT((Inputs!$A$5:$A$180=$B35)*ISNUMBER(INDEX(Inputs!$K$5:$AJ$180,0,MATCH(Y$2,Inputs!$K$4:$AJ$4,0))))+SUMPRODUCT((Inputs!$C$5:$C$180=$B35)*ISNUMBER(INDEX(Inputs!$K$5:$AJ$180,0,MATCH(Y$2,Inputs!$K$4:$AJ$4,0))))+SUMPRODUCT((Inputs!$E$5:$E$180=$B35)*ISNUMBER(INDEX(Inputs!$K$5:$AJ$180,0,MATCH(Y$2,Inputs!$K$4:$AJ$4,0))))=0,NA(),SUMPRODUCT((Inputs!$A$5:$A$180=$B35)*Inputs!$B$5:$B$180*(((Inputs!$G$5:$G$180="moeda")+(Inputs!$G$5:$G$180="acoes"))*Inputs!$B$1+((Inputs!$G$5:$G$180&lt;&gt;"moeda")*(Inputs!$G$5:$G$180&lt;&gt;"acoes")))*INDEX(Inputs!$K$5:$AJ$180,0,MATCH(Y$2,Inputs!$K$4:$AJ$4,0)))+SUMPRODUCT((Inputs!$C$5:$C$180=$B35)*Inputs!$D$5:$D$180*(((Inputs!$G$5:$G$180="moeda")+(Inputs!$G$5:$G$180="acoes"))*Inputs!$B$1+((Inputs!$G$5:$G$180&lt;&gt;"moeda")*(Inputs!$G$5:$G$180&lt;&gt;"acoes")))*INDEX(Inputs!$K$5:$AJ$180,0,MATCH(Y$2,Inputs!$K$4:$AJ$4,0)))+SUMPRODUCT((Inputs!$E$5:$E$180=$B35)*Inputs!$F$5:$F$180*(((Inputs!$G$5:$G$180="moeda")+(Inputs!$G$5:$G$180="acoes"))*Inputs!$B$1+((Inputs!$G$5:$G$180&lt;&gt;"moeda")*(Inputs!$G$5:$G$180&lt;&gt;"acoes")))*INDEX(Inputs!$K$5:$AJ$180,0,MATCH(Y$2,Inputs!$K$4:$AJ$4,0)))))</f>
        <v>4222.39</v>
      </c>
      <c r="Z35" s="6">
        <f>IF(ISNA(MATCH(Z$2,Inputs!$K$4:$AJ$4,0)),NA(),IF(SUMPRODUCT((Inputs!$A$5:$A$180=$B35)*ISNUMBER(INDEX(Inputs!$K$5:$AJ$180,0,MATCH(Z$2,Inputs!$K$4:$AJ$4,0))))+SUMPRODUCT((Inputs!$C$5:$C$180=$B35)*ISNUMBER(INDEX(Inputs!$K$5:$AJ$180,0,MATCH(Z$2,Inputs!$K$4:$AJ$4,0))))+SUMPRODUCT((Inputs!$E$5:$E$180=$B35)*ISNUMBER(INDEX(Inputs!$K$5:$AJ$180,0,MATCH(Z$2,Inputs!$K$4:$AJ$4,0))))=0,NA(),SUMPRODUCT((Inputs!$A$5:$A$180=$B35)*Inputs!$B$5:$B$180*(((Inputs!$G$5:$G$180="moeda")+(Inputs!$G$5:$G$180="acoes"))*Inputs!$B$1+((Inputs!$G$5:$G$180&lt;&gt;"moeda")*(Inputs!$G$5:$G$180&lt;&gt;"acoes")))*INDEX(Inputs!$K$5:$AJ$180,0,MATCH(Z$2,Inputs!$K$4:$AJ$4,0)))+SUMPRODUCT((Inputs!$C$5:$C$180=$B35)*Inputs!$D$5:$D$180*(((Inputs!$G$5:$G$180="moeda")+(Inputs!$G$5:$G$180="acoes"))*Inputs!$B$1+((Inputs!$G$5:$G$180&lt;&gt;"moeda")*(Inputs!$G$5:$G$180&lt;&gt;"acoes")))*INDEX(Inputs!$K$5:$AJ$180,0,MATCH(Z$2,Inputs!$K$4:$AJ$4,0)))+SUMPRODUCT((Inputs!$E$5:$E$180=$B35)*Inputs!$F$5:$F$180*(((Inputs!$G$5:$G$180="moeda")+(Inputs!$G$5:$G$180="acoes"))*Inputs!$B$1+((Inputs!$G$5:$G$180&lt;&gt;"moeda")*(Inputs!$G$5:$G$180&lt;&gt;"acoes")))*INDEX(Inputs!$K$5:$AJ$180,0,MATCH(Z$2,Inputs!$K$4:$AJ$4,0)))))</f>
        <v>4236.285</v>
      </c>
      <c r="AA35" s="6">
        <f>IF(ISNA(MATCH(AA$2,Inputs!$K$4:$AJ$4,0)),NA(),IF(SUMPRODUCT((Inputs!$A$5:$A$180=$B35)*ISNUMBER(INDEX(Inputs!$K$5:$AJ$180,0,MATCH(AA$2,Inputs!$K$4:$AJ$4,0))))+SUMPRODUCT((Inputs!$C$5:$C$180=$B35)*ISNUMBER(INDEX(Inputs!$K$5:$AJ$180,0,MATCH(AA$2,Inputs!$K$4:$AJ$4,0))))+SUMPRODUCT((Inputs!$E$5:$E$180=$B35)*ISNUMBER(INDEX(Inputs!$K$5:$AJ$180,0,MATCH(AA$2,Inputs!$K$4:$AJ$4,0))))=0,NA(),SUMPRODUCT((Inputs!$A$5:$A$180=$B35)*Inputs!$B$5:$B$180*(((Inputs!$G$5:$G$180="moeda")+(Inputs!$G$5:$G$180="acoes"))*Inputs!$B$1+((Inputs!$G$5:$G$180&lt;&gt;"moeda")*(Inputs!$G$5:$G$180&lt;&gt;"acoes")))*INDEX(Inputs!$K$5:$AJ$180,0,MATCH(AA$2,Inputs!$K$4:$AJ$4,0)))+SUMPRODUCT((Inputs!$C$5:$C$180=$B35)*Inputs!$D$5:$D$180*(((Inputs!$G$5:$G$180="moeda")+(Inputs!$G$5:$G$180="acoes"))*Inputs!$B$1+((Inputs!$G$5:$G$180&lt;&gt;"moeda")*(Inputs!$G$5:$G$180&lt;&gt;"acoes")))*INDEX(Inputs!$K$5:$AJ$180,0,MATCH(AA$2,Inputs!$K$4:$AJ$4,0)))+SUMPRODUCT((Inputs!$E$5:$E$180=$B35)*Inputs!$F$5:$F$180*(((Inputs!$G$5:$G$180="moeda")+(Inputs!$G$5:$G$180="acoes"))*Inputs!$B$1+((Inputs!$G$5:$G$180&lt;&gt;"moeda")*(Inputs!$G$5:$G$180&lt;&gt;"acoes")))*INDEX(Inputs!$K$5:$AJ$180,0,MATCH(AA$2,Inputs!$K$4:$AJ$4,0)))))</f>
        <v>4146.397</v>
      </c>
      <c r="AB35" s="3">
        <f>AA35</f>
        <v>4146.397</v>
      </c>
      <c r="AC35" s="6">
        <f>IF(ISNA(MATCH(AC$2,Inputs!$K$4:$AJ$4,0)),NA(),IF(SUMPRODUCT((Inputs!$A$5:$A$180=$B35)*ISNUMBER(INDEX(Inputs!$K$5:$AJ$180,0,MATCH(AC$2,Inputs!$K$4:$AJ$4,0))))+SUMPRODUCT((Inputs!$C$5:$C$180=$B35)*ISNUMBER(INDEX(Inputs!$K$5:$AJ$180,0,MATCH(AC$2,Inputs!$K$4:$AJ$4,0))))+SUMPRODUCT((Inputs!$E$5:$E$180=$B35)*ISNUMBER(INDEX(Inputs!$K$5:$AJ$180,0,MATCH(AC$2,Inputs!$K$4:$AJ$4,0))))=0,NA(),SUMPRODUCT((Inputs!$A$5:$A$180=$B35)*Inputs!$B$5:$B$180*(((Inputs!$G$5:$G$180="moeda")+(Inputs!$G$5:$G$180="acoes"))*Inputs!$B$1+((Inputs!$G$5:$G$180&lt;&gt;"moeda")*(Inputs!$G$5:$G$180&lt;&gt;"acoes")))*INDEX(Inputs!$K$5:$AJ$180,0,MATCH(AC$2,Inputs!$K$4:$AJ$4,0)))+SUMPRODUCT((Inputs!$C$5:$C$180=$B35)*Inputs!$D$5:$D$180*(((Inputs!$G$5:$G$180="moeda")+(Inputs!$G$5:$G$180="acoes"))*Inputs!$B$1+((Inputs!$G$5:$G$180&lt;&gt;"moeda")*(Inputs!$G$5:$G$180&lt;&gt;"acoes")))*INDEX(Inputs!$K$5:$AJ$180,0,MATCH(AC$2,Inputs!$K$4:$AJ$4,0)))+SUMPRODUCT((Inputs!$E$5:$E$180=$B35)*Inputs!$F$5:$F$180*(((Inputs!$G$5:$G$180="moeda")+(Inputs!$G$5:$G$180="acoes"))*Inputs!$B$1+((Inputs!$G$5:$G$180&lt;&gt;"moeda")*(Inputs!$G$5:$G$180&lt;&gt;"acoes")))*INDEX(Inputs!$K$5:$AJ$180,0,MATCH(AC$2,Inputs!$K$4:$AJ$4,0)))))</f>
        <v>4160.239</v>
      </c>
      <c r="AD35" s="6">
        <f>IF(ISNA(MATCH(AD$2,Inputs!$K$4:$AJ$4,0)),NA(),IF(SUMPRODUCT((Inputs!$A$5:$A$180=$B35)*ISNUMBER(INDEX(Inputs!$K$5:$AJ$180,0,MATCH(AD$2,Inputs!$K$4:$AJ$4,0))))+SUMPRODUCT((Inputs!$C$5:$C$180=$B35)*ISNUMBER(INDEX(Inputs!$K$5:$AJ$180,0,MATCH(AD$2,Inputs!$K$4:$AJ$4,0))))+SUMPRODUCT((Inputs!$E$5:$E$180=$B35)*ISNUMBER(INDEX(Inputs!$K$5:$AJ$180,0,MATCH(AD$2,Inputs!$K$4:$AJ$4,0))))=0,NA(),SUMPRODUCT((Inputs!$A$5:$A$180=$B35)*Inputs!$B$5:$B$180*(((Inputs!$G$5:$G$180="moeda")+(Inputs!$G$5:$G$180="acoes"))*Inputs!$B$1+((Inputs!$G$5:$G$180&lt;&gt;"moeda")*(Inputs!$G$5:$G$180&lt;&gt;"acoes")))*INDEX(Inputs!$K$5:$AJ$180,0,MATCH(AD$2,Inputs!$K$4:$AJ$4,0)))+SUMPRODUCT((Inputs!$C$5:$C$180=$B35)*Inputs!$D$5:$D$180*(((Inputs!$G$5:$G$180="moeda")+(Inputs!$G$5:$G$180="acoes"))*Inputs!$B$1+((Inputs!$G$5:$G$180&lt;&gt;"moeda")*(Inputs!$G$5:$G$180&lt;&gt;"acoes")))*INDEX(Inputs!$K$5:$AJ$180,0,MATCH(AD$2,Inputs!$K$4:$AJ$4,0)))+SUMPRODUCT((Inputs!$E$5:$E$180=$B35)*Inputs!$F$5:$F$180*(((Inputs!$G$5:$G$180="moeda")+(Inputs!$G$5:$G$180="acoes"))*Inputs!$B$1+((Inputs!$G$5:$G$180&lt;&gt;"moeda")*(Inputs!$G$5:$G$180&lt;&gt;"acoes")))*INDEX(Inputs!$K$5:$AJ$180,0,MATCH(AD$2,Inputs!$K$4:$AJ$4,0)))))</f>
        <v>3792.502</v>
      </c>
      <c r="AE35" s="6" t="e">
        <f>IF(ISNA(MATCH(AE$2,Inputs!$K$4:$AJ$4,0)),NA(),IF(SUMPRODUCT((Inputs!$A$5:$A$180=$B35)*ISNUMBER(INDEX(Inputs!$K$5:$AJ$180,0,MATCH(AE$2,Inputs!$K$4:$AJ$4,0))))+SUMPRODUCT((Inputs!$C$5:$C$180=$B35)*ISNUMBER(INDEX(Inputs!$K$5:$AJ$180,0,MATCH(AE$2,Inputs!$K$4:$AJ$4,0))))+SUMPRODUCT((Inputs!$E$5:$E$180=$B35)*ISNUMBER(INDEX(Inputs!$K$5:$AJ$180,0,MATCH(AE$2,Inputs!$K$4:$AJ$4,0))))=0,NA(),SUMPRODUCT((Inputs!$A$5:$A$180=$B35)*Inputs!$B$5:$B$180*(((Inputs!$G$5:$G$180="moeda")+(Inputs!$G$5:$G$180="acoes"))*Inputs!$B$1+((Inputs!$G$5:$G$180&lt;&gt;"moeda")*(Inputs!$G$5:$G$180&lt;&gt;"acoes")))*INDEX(Inputs!$K$5:$AJ$180,0,MATCH(AE$2,Inputs!$K$4:$AJ$4,0)))+SUMPRODUCT((Inputs!$C$5:$C$180=$B35)*Inputs!$D$5:$D$180*(((Inputs!$G$5:$G$180="moeda")+(Inputs!$G$5:$G$180="acoes"))*Inputs!$B$1+((Inputs!$G$5:$G$180&lt;&gt;"moeda")*(Inputs!$G$5:$G$180&lt;&gt;"acoes")))*INDEX(Inputs!$K$5:$AJ$180,0,MATCH(AE$2,Inputs!$K$4:$AJ$4,0)))+SUMPRODUCT((Inputs!$E$5:$E$180=$B35)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5" s="6" t="e">
        <f>IF(ISNA(MATCH(AF$2,Inputs!$K$4:$AJ$4,0)),NA(),IF(SUMPRODUCT((Inputs!$A$5:$A$180=$B35)*ISNUMBER(INDEX(Inputs!$K$5:$AJ$180,0,MATCH(AF$2,Inputs!$K$4:$AJ$4,0))))+SUMPRODUCT((Inputs!$C$5:$C$180=$B35)*ISNUMBER(INDEX(Inputs!$K$5:$AJ$180,0,MATCH(AF$2,Inputs!$K$4:$AJ$4,0))))+SUMPRODUCT((Inputs!$E$5:$E$180=$B35)*ISNUMBER(INDEX(Inputs!$K$5:$AJ$180,0,MATCH(AF$2,Inputs!$K$4:$AJ$4,0))))=0,NA(),SUMPRODUCT((Inputs!$A$5:$A$180=$B35)*Inputs!$B$5:$B$180*(((Inputs!$G$5:$G$180="moeda")+(Inputs!$G$5:$G$180="acoes"))*Inputs!$B$1+((Inputs!$G$5:$G$180&lt;&gt;"moeda")*(Inputs!$G$5:$G$180&lt;&gt;"acoes")))*INDEX(Inputs!$K$5:$AJ$180,0,MATCH(AF$2,Inputs!$K$4:$AJ$4,0)))+SUMPRODUCT((Inputs!$C$5:$C$180=$B35)*Inputs!$D$5:$D$180*(((Inputs!$G$5:$G$180="moeda")+(Inputs!$G$5:$G$180="acoes"))*Inputs!$B$1+((Inputs!$G$5:$G$180&lt;&gt;"moeda")*(Inputs!$G$5:$G$180&lt;&gt;"acoes")))*INDEX(Inputs!$K$5:$AJ$180,0,MATCH(AF$2,Inputs!$K$4:$AJ$4,0)))+SUMPRODUCT((Inputs!$E$5:$E$180=$B35)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5" s="3" t="e">
        <f>AF35</f>
        <v>#N/A</v>
      </c>
      <c r="AH35" s="6">
        <f>IF(ISNA(MATCH(AH$2,Inputs!$K$4:$AJ$4,0)),NA(),IF(SUMPRODUCT((Inputs!$A$5:$A$180=$B35)*ISNUMBER(INDEX(Inputs!$K$5:$AJ$180,0,MATCH(AH$2,Inputs!$K$4:$AJ$4,0))))+SUMPRODUCT((Inputs!$C$5:$C$180=$B35)*ISNUMBER(INDEX(Inputs!$K$5:$AJ$180,0,MATCH(AH$2,Inputs!$K$4:$AJ$4,0))))+SUMPRODUCT((Inputs!$E$5:$E$180=$B35)*ISNUMBER(INDEX(Inputs!$K$5:$AJ$180,0,MATCH(AH$2,Inputs!$K$4:$AJ$4,0))))=0,NA(),SUMPRODUCT((Inputs!$A$5:$A$180=$B35)*Inputs!$B$5:$B$180*(((Inputs!$G$5:$G$180="moeda")+(Inputs!$G$5:$G$180="acoes"))*Inputs!$B$1+((Inputs!$G$5:$G$180&lt;&gt;"moeda")*(Inputs!$G$5:$G$180&lt;&gt;"acoes")))*INDEX(Inputs!$K$5:$AJ$180,0,MATCH(AH$2,Inputs!$K$4:$AJ$4,0)))+SUMPRODUCT((Inputs!$C$5:$C$180=$B35)*Inputs!$D$5:$D$180*(((Inputs!$G$5:$G$180="moeda")+(Inputs!$G$5:$G$180="acoes"))*Inputs!$B$1+((Inputs!$G$5:$G$180&lt;&gt;"moeda")*(Inputs!$G$5:$G$180&lt;&gt;"acoes")))*INDEX(Inputs!$K$5:$AJ$180,0,MATCH(AH$2,Inputs!$K$4:$AJ$4,0)))+SUMPRODUCT((Inputs!$E$5:$E$180=$B35)*Inputs!$F$5:$F$180*(((Inputs!$G$5:$G$180="moeda")+(Inputs!$G$5:$G$180="acoes"))*Inputs!$B$1+((Inputs!$G$5:$G$180&lt;&gt;"moeda")*(Inputs!$G$5:$G$180&lt;&gt;"acoes")))*INDEX(Inputs!$K$5:$AJ$180,0,MATCH(AH$2,Inputs!$K$4:$AJ$4,0)))))</f>
        <v>1578.46738402</v>
      </c>
      <c r="AI35" s="6">
        <f>IF(ISNA(MATCH(AI$2,Inputs!$K$4:$AJ$4,0)),NA(),IF(SUMPRODUCT((Inputs!$A$5:$A$180=$B35)*ISNUMBER(INDEX(Inputs!$K$5:$AJ$180,0,MATCH(AI$2,Inputs!$K$4:$AJ$4,0))))+SUMPRODUCT((Inputs!$C$5:$C$180=$B35)*ISNUMBER(INDEX(Inputs!$K$5:$AJ$180,0,MATCH(AI$2,Inputs!$K$4:$AJ$4,0))))+SUMPRODUCT((Inputs!$E$5:$E$180=$B35)*ISNUMBER(INDEX(Inputs!$K$5:$AJ$180,0,MATCH(AI$2,Inputs!$K$4:$AJ$4,0))))=0,NA(),SUMPRODUCT((Inputs!$A$5:$A$180=$B35)*Inputs!$B$5:$B$180*(((Inputs!$G$5:$G$180="moeda")+(Inputs!$G$5:$G$180="acoes"))*Inputs!$B$1+((Inputs!$G$5:$G$180&lt;&gt;"moeda")*(Inputs!$G$5:$G$180&lt;&gt;"acoes")))*INDEX(Inputs!$K$5:$AJ$180,0,MATCH(AI$2,Inputs!$K$4:$AJ$4,0)))+SUMPRODUCT((Inputs!$C$5:$C$180=$B35)*Inputs!$D$5:$D$180*(((Inputs!$G$5:$G$180="moeda")+(Inputs!$G$5:$G$180="acoes"))*Inputs!$B$1+((Inputs!$G$5:$G$180&lt;&gt;"moeda")*(Inputs!$G$5:$G$180&lt;&gt;"acoes")))*INDEX(Inputs!$K$5:$AJ$180,0,MATCH(AI$2,Inputs!$K$4:$AJ$4,0)))+SUMPRODUCT((Inputs!$E$5:$E$180=$B35)*Inputs!$F$5:$F$180*(((Inputs!$G$5:$G$180="moeda")+(Inputs!$G$5:$G$180="acoes"))*Inputs!$B$1+((Inputs!$G$5:$G$180&lt;&gt;"moeda")*(Inputs!$G$5:$G$180&lt;&gt;"acoes")))*INDEX(Inputs!$K$5:$AJ$180,0,MATCH(AI$2,Inputs!$K$4:$AJ$4,0)))))</f>
        <v>1692.35771866</v>
      </c>
      <c r="AJ35" s="6">
        <f>IF(ISNA(MATCH(AJ$2,Inputs!$K$4:$AJ$4,0)),NA(),IF(SUMPRODUCT((Inputs!$A$5:$A$180=$B35)*ISNUMBER(INDEX(Inputs!$K$5:$AJ$180,0,MATCH(AJ$2,Inputs!$K$4:$AJ$4,0))))+SUMPRODUCT((Inputs!$C$5:$C$180=$B35)*ISNUMBER(INDEX(Inputs!$K$5:$AJ$180,0,MATCH(AJ$2,Inputs!$K$4:$AJ$4,0))))+SUMPRODUCT((Inputs!$E$5:$E$180=$B35)*ISNUMBER(INDEX(Inputs!$K$5:$AJ$180,0,MATCH(AJ$2,Inputs!$K$4:$AJ$4,0))))=0,NA(),SUMPRODUCT((Inputs!$A$5:$A$180=$B35)*Inputs!$B$5:$B$180*(((Inputs!$G$5:$G$180="moeda")+(Inputs!$G$5:$G$180="acoes"))*Inputs!$B$1+((Inputs!$G$5:$G$180&lt;&gt;"moeda")*(Inputs!$G$5:$G$180&lt;&gt;"acoes")))*INDEX(Inputs!$K$5:$AJ$180,0,MATCH(AJ$2,Inputs!$K$4:$AJ$4,0)))+SUMPRODUCT((Inputs!$C$5:$C$180=$B35)*Inputs!$D$5:$D$180*(((Inputs!$G$5:$G$180="moeda")+(Inputs!$G$5:$G$180="acoes"))*Inputs!$B$1+((Inputs!$G$5:$G$180&lt;&gt;"moeda")*(Inputs!$G$5:$G$180&lt;&gt;"acoes")))*INDEX(Inputs!$K$5:$AJ$180,0,MATCH(AJ$2,Inputs!$K$4:$AJ$4,0)))+SUMPRODUCT((Inputs!$E$5:$E$180=$B35)*Inputs!$F$5:$F$180*(((Inputs!$G$5:$G$180="moeda")+(Inputs!$G$5:$G$180="acoes"))*Inputs!$B$1+((Inputs!$G$5:$G$180&lt;&gt;"moeda")*(Inputs!$G$5:$G$180&lt;&gt;"acoes")))*INDEX(Inputs!$K$5:$AJ$180,0,MATCH(AJ$2,Inputs!$K$4:$AJ$4,0)))))</f>
        <v>1684.84012899</v>
      </c>
      <c r="AK35" s="6">
        <f>IF(ISNA(MATCH(AK$2,Inputs!$K$4:$AJ$4,0)),NA(),IF(SUMPRODUCT((Inputs!$A$5:$A$180=$B35)*ISNUMBER(INDEX(Inputs!$K$5:$AJ$180,0,MATCH(AK$2,Inputs!$K$4:$AJ$4,0))))+SUMPRODUCT((Inputs!$C$5:$C$180=$B35)*ISNUMBER(INDEX(Inputs!$K$5:$AJ$180,0,MATCH(AK$2,Inputs!$K$4:$AJ$4,0))))+SUMPRODUCT((Inputs!$E$5:$E$180=$B35)*ISNUMBER(INDEX(Inputs!$K$5:$AJ$180,0,MATCH(AK$2,Inputs!$K$4:$AJ$4,0))))=0,NA(),SUMPRODUCT((Inputs!$A$5:$A$180=$B35)*Inputs!$B$5:$B$180*(((Inputs!$G$5:$G$180="moeda")+(Inputs!$G$5:$G$180="acoes"))*Inputs!$B$1+((Inputs!$G$5:$G$180&lt;&gt;"moeda")*(Inputs!$G$5:$G$180&lt;&gt;"acoes")))*INDEX(Inputs!$K$5:$AJ$180,0,MATCH(AK$2,Inputs!$K$4:$AJ$4,0)))+SUMPRODUCT((Inputs!$C$5:$C$180=$B35)*Inputs!$D$5:$D$180*(((Inputs!$G$5:$G$180="moeda")+(Inputs!$G$5:$G$180="acoes"))*Inputs!$B$1+((Inputs!$G$5:$G$180&lt;&gt;"moeda")*(Inputs!$G$5:$G$180&lt;&gt;"acoes")))*INDEX(Inputs!$K$5:$AJ$180,0,MATCH(AK$2,Inputs!$K$4:$AJ$4,0)))+SUMPRODUCT((Inputs!$E$5:$E$180=$B35)*Inputs!$F$5:$F$180*(((Inputs!$G$5:$G$180="moeda")+(Inputs!$G$5:$G$180="acoes"))*Inputs!$B$1+((Inputs!$G$5:$G$180&lt;&gt;"moeda")*(Inputs!$G$5:$G$180&lt;&gt;"acoes")))*INDEX(Inputs!$K$5:$AJ$180,0,MATCH(AK$2,Inputs!$K$4:$AJ$4,0)))))</f>
        <v>1514.56258105</v>
      </c>
      <c r="AL35" s="3">
        <f>AK35</f>
        <v>1514.56258105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$180=$B36)*ISNUMBER(INDEX(Inputs!$K$5:$AJ$180,0,MATCH(D$2,Inputs!$K$4:$AJ$4,0))))+SUMPRODUCT((Inputs!$C$5:$C$180=$B36)*ISNUMBER(INDEX(Inputs!$K$5:$AJ$180,0,MATCH(D$2,Inputs!$K$4:$AJ$4,0))))+SUMPRODUCT((Inputs!$E$5:$E$180=$B36)*ISNUMBER(INDEX(Inputs!$K$5:$AJ$180,0,MATCH(D$2,Inputs!$K$4:$AJ$4,0))))=0,NA(),SUMPRODUCT((Inputs!$A$5:$A$180=$B36)*Inputs!$B$5:$B$180*(((Inputs!$G$5:$G$180="moeda")+(Inputs!$G$5:$G$180="acoes"))*Inputs!$B$1+((Inputs!$G$5:$G$180&lt;&gt;"moeda")*(Inputs!$G$5:$G$180&lt;&gt;"acoes")))*INDEX(Inputs!$K$5:$AJ$180,0,MATCH(D$2,Inputs!$K$4:$AJ$4,0)))+SUMPRODUCT((Inputs!$C$5:$C$180=$B36)*Inputs!$D$5:$D$180*(((Inputs!$G$5:$G$180="moeda")+(Inputs!$G$5:$G$180="acoes"))*Inputs!$B$1+((Inputs!$G$5:$G$180&lt;&gt;"moeda")*(Inputs!$G$5:$G$180&lt;&gt;"acoes")))*INDEX(Inputs!$K$5:$AJ$180,0,MATCH(D$2,Inputs!$K$4:$AJ$4,0)))+SUMPRODUCT((Inputs!$E$5:$E$180=$B36)*Inputs!$F$5:$F$180*(((Inputs!$G$5:$G$180="moeda")+(Inputs!$G$5:$G$180="acoes"))*Inputs!$B$1+((Inputs!$G$5:$G$180&lt;&gt;"moeda")*(Inputs!$G$5:$G$180&lt;&gt;"acoes")))*INDEX(Inputs!$K$5:$AJ$180,0,MATCH(D$2,Inputs!$K$4:$AJ$4,0)))))</f>
        <v>653.30756924</v>
      </c>
      <c r="E36" s="6">
        <f>IF(ISNA(MATCH(E$2,Inputs!$K$4:$AJ$4,0)),NA(),IF(SUMPRODUCT((Inputs!$A$5:$A$180=$B36)*ISNUMBER(INDEX(Inputs!$K$5:$AJ$180,0,MATCH(E$2,Inputs!$K$4:$AJ$4,0))))+SUMPRODUCT((Inputs!$C$5:$C$180=$B36)*ISNUMBER(INDEX(Inputs!$K$5:$AJ$180,0,MATCH(E$2,Inputs!$K$4:$AJ$4,0))))+SUMPRODUCT((Inputs!$E$5:$E$180=$B36)*ISNUMBER(INDEX(Inputs!$K$5:$AJ$180,0,MATCH(E$2,Inputs!$K$4:$AJ$4,0))))=0,NA(),SUMPRODUCT((Inputs!$A$5:$A$180=$B36)*Inputs!$B$5:$B$180*(((Inputs!$G$5:$G$180="moeda")+(Inputs!$G$5:$G$180="acoes"))*Inputs!$B$1+((Inputs!$G$5:$G$180&lt;&gt;"moeda")*(Inputs!$G$5:$G$180&lt;&gt;"acoes")))*INDEX(Inputs!$K$5:$AJ$180,0,MATCH(E$2,Inputs!$K$4:$AJ$4,0)))+SUMPRODUCT((Inputs!$C$5:$C$180=$B36)*Inputs!$D$5:$D$180*(((Inputs!$G$5:$G$180="moeda")+(Inputs!$G$5:$G$180="acoes"))*Inputs!$B$1+((Inputs!$G$5:$G$180&lt;&gt;"moeda")*(Inputs!$G$5:$G$180&lt;&gt;"acoes")))*INDEX(Inputs!$K$5:$AJ$180,0,MATCH(E$2,Inputs!$K$4:$AJ$4,0)))+SUMPRODUCT((Inputs!$E$5:$E$180=$B36)*Inputs!$F$5:$F$180*(((Inputs!$G$5:$G$180="moeda")+(Inputs!$G$5:$G$180="acoes"))*Inputs!$B$1+((Inputs!$G$5:$G$180&lt;&gt;"moeda")*(Inputs!$G$5:$G$180&lt;&gt;"acoes")))*INDEX(Inputs!$K$5:$AJ$180,0,MATCH(E$2,Inputs!$K$4:$AJ$4,0)))))</f>
        <v>637.70299012</v>
      </c>
      <c r="F36" s="6">
        <f>IF(ISNA(MATCH(F$2,Inputs!$K$4:$AJ$4,0)),NA(),IF(SUMPRODUCT((Inputs!$A$5:$A$180=$B36)*ISNUMBER(INDEX(Inputs!$K$5:$AJ$180,0,MATCH(F$2,Inputs!$K$4:$AJ$4,0))))+SUMPRODUCT((Inputs!$C$5:$C$180=$B36)*ISNUMBER(INDEX(Inputs!$K$5:$AJ$180,0,MATCH(F$2,Inputs!$K$4:$AJ$4,0))))+SUMPRODUCT((Inputs!$E$5:$E$180=$B36)*ISNUMBER(INDEX(Inputs!$K$5:$AJ$180,0,MATCH(F$2,Inputs!$K$4:$AJ$4,0))))=0,NA(),SUMPRODUCT((Inputs!$A$5:$A$180=$B36)*Inputs!$B$5:$B$180*(((Inputs!$G$5:$G$180="moeda")+(Inputs!$G$5:$G$180="acoes"))*Inputs!$B$1+((Inputs!$G$5:$G$180&lt;&gt;"moeda")*(Inputs!$G$5:$G$180&lt;&gt;"acoes")))*INDEX(Inputs!$K$5:$AJ$180,0,MATCH(F$2,Inputs!$K$4:$AJ$4,0)))+SUMPRODUCT((Inputs!$C$5:$C$180=$B36)*Inputs!$D$5:$D$180*(((Inputs!$G$5:$G$180="moeda")+(Inputs!$G$5:$G$180="acoes"))*Inputs!$B$1+((Inputs!$G$5:$G$180&lt;&gt;"moeda")*(Inputs!$G$5:$G$180&lt;&gt;"acoes")))*INDEX(Inputs!$K$5:$AJ$180,0,MATCH(F$2,Inputs!$K$4:$AJ$4,0)))+SUMPRODUCT((Inputs!$E$5:$E$180=$B36)*Inputs!$F$5:$F$180*(((Inputs!$G$5:$G$180="moeda")+(Inputs!$G$5:$G$180="acoes"))*Inputs!$B$1+((Inputs!$G$5:$G$180&lt;&gt;"moeda")*(Inputs!$G$5:$G$180&lt;&gt;"acoes")))*INDEX(Inputs!$K$5:$AJ$180,0,MATCH(F$2,Inputs!$K$4:$AJ$4,0)))))</f>
        <v>660.67497517</v>
      </c>
      <c r="G36" s="6">
        <f>IF(ISNA(MATCH(G$2,Inputs!$K$4:$AJ$4,0)),NA(),IF(SUMPRODUCT((Inputs!$A$5:$A$180=$B36)*ISNUMBER(INDEX(Inputs!$K$5:$AJ$180,0,MATCH(G$2,Inputs!$K$4:$AJ$4,0))))+SUMPRODUCT((Inputs!$C$5:$C$180=$B36)*ISNUMBER(INDEX(Inputs!$K$5:$AJ$180,0,MATCH(G$2,Inputs!$K$4:$AJ$4,0))))+SUMPRODUCT((Inputs!$E$5:$E$180=$B36)*ISNUMBER(INDEX(Inputs!$K$5:$AJ$180,0,MATCH(G$2,Inputs!$K$4:$AJ$4,0))))=0,NA(),SUMPRODUCT((Inputs!$A$5:$A$180=$B36)*Inputs!$B$5:$B$180*(((Inputs!$G$5:$G$180="moeda")+(Inputs!$G$5:$G$180="acoes"))*Inputs!$B$1+((Inputs!$G$5:$G$180&lt;&gt;"moeda")*(Inputs!$G$5:$G$180&lt;&gt;"acoes")))*INDEX(Inputs!$K$5:$AJ$180,0,MATCH(G$2,Inputs!$K$4:$AJ$4,0)))+SUMPRODUCT((Inputs!$C$5:$C$180=$B36)*Inputs!$D$5:$D$180*(((Inputs!$G$5:$G$180="moeda")+(Inputs!$G$5:$G$180="acoes"))*Inputs!$B$1+((Inputs!$G$5:$G$180&lt;&gt;"moeda")*(Inputs!$G$5:$G$180&lt;&gt;"acoes")))*INDEX(Inputs!$K$5:$AJ$180,0,MATCH(G$2,Inputs!$K$4:$AJ$4,0)))+SUMPRODUCT((Inputs!$E$5:$E$180=$B36)*Inputs!$F$5:$F$180*(((Inputs!$G$5:$G$180="moeda")+(Inputs!$G$5:$G$180="acoes"))*Inputs!$B$1+((Inputs!$G$5:$G$180&lt;&gt;"moeda")*(Inputs!$G$5:$G$180&lt;&gt;"acoes")))*INDEX(Inputs!$K$5:$AJ$180,0,MATCH(G$2,Inputs!$K$4:$AJ$4,0)))))</f>
        <v>694.57460451</v>
      </c>
      <c r="H36" s="3">
        <f>G36</f>
        <v>694.57460451</v>
      </c>
      <c r="I36" s="6">
        <f>IF(ISNA(MATCH(I$2,Inputs!$K$4:$AJ$4,0)),NA(),IF(SUMPRODUCT((Inputs!$A$5:$A$180=$B36)*ISNUMBER(INDEX(Inputs!$K$5:$AJ$180,0,MATCH(I$2,Inputs!$K$4:$AJ$4,0))))+SUMPRODUCT((Inputs!$C$5:$C$180=$B36)*ISNUMBER(INDEX(Inputs!$K$5:$AJ$180,0,MATCH(I$2,Inputs!$K$4:$AJ$4,0))))+SUMPRODUCT((Inputs!$E$5:$E$180=$B36)*ISNUMBER(INDEX(Inputs!$K$5:$AJ$180,0,MATCH(I$2,Inputs!$K$4:$AJ$4,0))))=0,NA(),SUMPRODUCT((Inputs!$A$5:$A$180=$B36)*Inputs!$B$5:$B$180*(((Inputs!$G$5:$G$180="moeda")+(Inputs!$G$5:$G$180="acoes"))*Inputs!$B$1+((Inputs!$G$5:$G$180&lt;&gt;"moeda")*(Inputs!$G$5:$G$180&lt;&gt;"acoes")))*INDEX(Inputs!$K$5:$AJ$180,0,MATCH(I$2,Inputs!$K$4:$AJ$4,0)))+SUMPRODUCT((Inputs!$C$5:$C$180=$B36)*Inputs!$D$5:$D$180*(((Inputs!$G$5:$G$180="moeda")+(Inputs!$G$5:$G$180="acoes"))*Inputs!$B$1+((Inputs!$G$5:$G$180&lt;&gt;"moeda")*(Inputs!$G$5:$G$180&lt;&gt;"acoes")))*INDEX(Inputs!$K$5:$AJ$180,0,MATCH(I$2,Inputs!$K$4:$AJ$4,0)))+SUMPRODUCT((Inputs!$E$5:$E$180=$B36)*Inputs!$F$5:$F$180*(((Inputs!$G$5:$G$180="moeda")+(Inputs!$G$5:$G$180="acoes"))*Inputs!$B$1+((Inputs!$G$5:$G$180&lt;&gt;"moeda")*(Inputs!$G$5:$G$180&lt;&gt;"acoes")))*INDEX(Inputs!$K$5:$AJ$180,0,MATCH(I$2,Inputs!$K$4:$AJ$4,0)))))</f>
        <v>731.44314163</v>
      </c>
      <c r="J36" s="6">
        <f>IF(ISNA(MATCH(J$2,Inputs!$K$4:$AJ$4,0)),NA(),IF(SUMPRODUCT((Inputs!$A$5:$A$180=$B36)*ISNUMBER(INDEX(Inputs!$K$5:$AJ$180,0,MATCH(J$2,Inputs!$K$4:$AJ$4,0))))+SUMPRODUCT((Inputs!$C$5:$C$180=$B36)*ISNUMBER(INDEX(Inputs!$K$5:$AJ$180,0,MATCH(J$2,Inputs!$K$4:$AJ$4,0))))+SUMPRODUCT((Inputs!$E$5:$E$180=$B36)*ISNUMBER(INDEX(Inputs!$K$5:$AJ$180,0,MATCH(J$2,Inputs!$K$4:$AJ$4,0))))=0,NA(),SUMPRODUCT((Inputs!$A$5:$A$180=$B36)*Inputs!$B$5:$B$180*(((Inputs!$G$5:$G$180="moeda")+(Inputs!$G$5:$G$180="acoes"))*Inputs!$B$1+((Inputs!$G$5:$G$180&lt;&gt;"moeda")*(Inputs!$G$5:$G$180&lt;&gt;"acoes")))*INDEX(Inputs!$K$5:$AJ$180,0,MATCH(J$2,Inputs!$K$4:$AJ$4,0)))+SUMPRODUCT((Inputs!$C$5:$C$180=$B36)*Inputs!$D$5:$D$180*(((Inputs!$G$5:$G$180="moeda")+(Inputs!$G$5:$G$180="acoes"))*Inputs!$B$1+((Inputs!$G$5:$G$180&lt;&gt;"moeda")*(Inputs!$G$5:$G$180&lt;&gt;"acoes")))*INDEX(Inputs!$K$5:$AJ$180,0,MATCH(J$2,Inputs!$K$4:$AJ$4,0)))+SUMPRODUCT((Inputs!$E$5:$E$180=$B36)*Inputs!$F$5:$F$180*(((Inputs!$G$5:$G$180="moeda")+(Inputs!$G$5:$G$180="acoes"))*Inputs!$B$1+((Inputs!$G$5:$G$180&lt;&gt;"moeda")*(Inputs!$G$5:$G$180&lt;&gt;"acoes")))*INDEX(Inputs!$K$5:$AJ$180,0,MATCH(J$2,Inputs!$K$4:$AJ$4,0)))))</f>
        <v>754.21563203</v>
      </c>
      <c r="K36" s="6">
        <f>IF(ISNA(MATCH(K$2,Inputs!$K$4:$AJ$4,0)),NA(),IF(SUMPRODUCT((Inputs!$A$5:$A$180=$B36)*ISNUMBER(INDEX(Inputs!$K$5:$AJ$180,0,MATCH(K$2,Inputs!$K$4:$AJ$4,0))))+SUMPRODUCT((Inputs!$C$5:$C$180=$B36)*ISNUMBER(INDEX(Inputs!$K$5:$AJ$180,0,MATCH(K$2,Inputs!$K$4:$AJ$4,0))))+SUMPRODUCT((Inputs!$E$5:$E$180=$B36)*ISNUMBER(INDEX(Inputs!$K$5:$AJ$180,0,MATCH(K$2,Inputs!$K$4:$AJ$4,0))))=0,NA(),SUMPRODUCT((Inputs!$A$5:$A$180=$B36)*Inputs!$B$5:$B$180*(((Inputs!$G$5:$G$180="moeda")+(Inputs!$G$5:$G$180="acoes"))*Inputs!$B$1+((Inputs!$G$5:$G$180&lt;&gt;"moeda")*(Inputs!$G$5:$G$180&lt;&gt;"acoes")))*INDEX(Inputs!$K$5:$AJ$180,0,MATCH(K$2,Inputs!$K$4:$AJ$4,0)))+SUMPRODUCT((Inputs!$C$5:$C$180=$B36)*Inputs!$D$5:$D$180*(((Inputs!$G$5:$G$180="moeda")+(Inputs!$G$5:$G$180="acoes"))*Inputs!$B$1+((Inputs!$G$5:$G$180&lt;&gt;"moeda")*(Inputs!$G$5:$G$180&lt;&gt;"acoes")))*INDEX(Inputs!$K$5:$AJ$180,0,MATCH(K$2,Inputs!$K$4:$AJ$4,0)))+SUMPRODUCT((Inputs!$E$5:$E$180=$B36)*Inputs!$F$5:$F$180*(((Inputs!$G$5:$G$180="moeda")+(Inputs!$G$5:$G$180="acoes"))*Inputs!$B$1+((Inputs!$G$5:$G$180&lt;&gt;"moeda")*(Inputs!$G$5:$G$180&lt;&gt;"acoes")))*INDEX(Inputs!$K$5:$AJ$180,0,MATCH(K$2,Inputs!$K$4:$AJ$4,0)))))</f>
        <v>735.36389905</v>
      </c>
      <c r="L36" s="6">
        <f>IF(ISNA(MATCH(L$2,Inputs!$K$4:$AJ$4,0)),NA(),IF(SUMPRODUCT((Inputs!$A$5:$A$180=$B36)*ISNUMBER(INDEX(Inputs!$K$5:$AJ$180,0,MATCH(L$2,Inputs!$K$4:$AJ$4,0))))+SUMPRODUCT((Inputs!$C$5:$C$180=$B36)*ISNUMBER(INDEX(Inputs!$K$5:$AJ$180,0,MATCH(L$2,Inputs!$K$4:$AJ$4,0))))+SUMPRODUCT((Inputs!$E$5:$E$180=$B36)*ISNUMBER(INDEX(Inputs!$K$5:$AJ$180,0,MATCH(L$2,Inputs!$K$4:$AJ$4,0))))=0,NA(),SUMPRODUCT((Inputs!$A$5:$A$180=$B36)*Inputs!$B$5:$B$180*(((Inputs!$G$5:$G$180="moeda")+(Inputs!$G$5:$G$180="acoes"))*Inputs!$B$1+((Inputs!$G$5:$G$180&lt;&gt;"moeda")*(Inputs!$G$5:$G$180&lt;&gt;"acoes")))*INDEX(Inputs!$K$5:$AJ$180,0,MATCH(L$2,Inputs!$K$4:$AJ$4,0)))+SUMPRODUCT((Inputs!$C$5:$C$180=$B36)*Inputs!$D$5:$D$180*(((Inputs!$G$5:$G$180="moeda")+(Inputs!$G$5:$G$180="acoes"))*Inputs!$B$1+((Inputs!$G$5:$G$180&lt;&gt;"moeda")*(Inputs!$G$5:$G$180&lt;&gt;"acoes")))*INDEX(Inputs!$K$5:$AJ$180,0,MATCH(L$2,Inputs!$K$4:$AJ$4,0)))+SUMPRODUCT((Inputs!$E$5:$E$180=$B36)*Inputs!$F$5:$F$180*(((Inputs!$G$5:$G$180="moeda")+(Inputs!$G$5:$G$180="acoes"))*Inputs!$B$1+((Inputs!$G$5:$G$180&lt;&gt;"moeda")*(Inputs!$G$5:$G$180&lt;&gt;"acoes")))*INDEX(Inputs!$K$5:$AJ$180,0,MATCH(L$2,Inputs!$K$4:$AJ$4,0)))))</f>
        <v>943.34829983</v>
      </c>
      <c r="M36" s="3">
        <f>L36</f>
        <v>943.34829983</v>
      </c>
      <c r="N36" s="6">
        <f>IF(ISNA(MATCH(N$2,Inputs!$K$4:$AJ$4,0)),NA(),IF(SUMPRODUCT((Inputs!$A$5:$A$180=$B36)*ISNUMBER(INDEX(Inputs!$K$5:$AJ$180,0,MATCH(N$2,Inputs!$K$4:$AJ$4,0))))+SUMPRODUCT((Inputs!$C$5:$C$180=$B36)*ISNUMBER(INDEX(Inputs!$K$5:$AJ$180,0,MATCH(N$2,Inputs!$K$4:$AJ$4,0))))+SUMPRODUCT((Inputs!$E$5:$E$180=$B36)*ISNUMBER(INDEX(Inputs!$K$5:$AJ$180,0,MATCH(N$2,Inputs!$K$4:$AJ$4,0))))=0,NA(),SUMPRODUCT((Inputs!$A$5:$A$180=$B36)*Inputs!$B$5:$B$180*(((Inputs!$G$5:$G$180="moeda")+(Inputs!$G$5:$G$180="acoes"))*Inputs!$B$1+((Inputs!$G$5:$G$180&lt;&gt;"moeda")*(Inputs!$G$5:$G$180&lt;&gt;"acoes")))*INDEX(Inputs!$K$5:$AJ$180,0,MATCH(N$2,Inputs!$K$4:$AJ$4,0)))+SUMPRODUCT((Inputs!$C$5:$C$180=$B36)*Inputs!$D$5:$D$180*(((Inputs!$G$5:$G$180="moeda")+(Inputs!$G$5:$G$180="acoes"))*Inputs!$B$1+((Inputs!$G$5:$G$180&lt;&gt;"moeda")*(Inputs!$G$5:$G$180&lt;&gt;"acoes")))*INDEX(Inputs!$K$5:$AJ$180,0,MATCH(N$2,Inputs!$K$4:$AJ$4,0)))+SUMPRODUCT((Inputs!$E$5:$E$180=$B36)*Inputs!$F$5:$F$180*(((Inputs!$G$5:$G$180="moeda")+(Inputs!$G$5:$G$180="acoes"))*Inputs!$B$1+((Inputs!$G$5:$G$180&lt;&gt;"moeda")*(Inputs!$G$5:$G$180&lt;&gt;"acoes")))*INDEX(Inputs!$K$5:$AJ$180,0,MATCH(N$2,Inputs!$K$4:$AJ$4,0)))))</f>
        <v>928.19154368</v>
      </c>
      <c r="O36" s="6">
        <f>IF(ISNA(MATCH(O$2,Inputs!$K$4:$AJ$4,0)),NA(),IF(SUMPRODUCT((Inputs!$A$5:$A$180=$B36)*ISNUMBER(INDEX(Inputs!$K$5:$AJ$180,0,MATCH(O$2,Inputs!$K$4:$AJ$4,0))))+SUMPRODUCT((Inputs!$C$5:$C$180=$B36)*ISNUMBER(INDEX(Inputs!$K$5:$AJ$180,0,MATCH(O$2,Inputs!$K$4:$AJ$4,0))))+SUMPRODUCT((Inputs!$E$5:$E$180=$B36)*ISNUMBER(INDEX(Inputs!$K$5:$AJ$180,0,MATCH(O$2,Inputs!$K$4:$AJ$4,0))))=0,NA(),SUMPRODUCT((Inputs!$A$5:$A$180=$B36)*Inputs!$B$5:$B$180*(((Inputs!$G$5:$G$180="moeda")+(Inputs!$G$5:$G$180="acoes"))*Inputs!$B$1+((Inputs!$G$5:$G$180&lt;&gt;"moeda")*(Inputs!$G$5:$G$180&lt;&gt;"acoes")))*INDEX(Inputs!$K$5:$AJ$180,0,MATCH(O$2,Inputs!$K$4:$AJ$4,0)))+SUMPRODUCT((Inputs!$C$5:$C$180=$B36)*Inputs!$D$5:$D$180*(((Inputs!$G$5:$G$180="moeda")+(Inputs!$G$5:$G$180="acoes"))*Inputs!$B$1+((Inputs!$G$5:$G$180&lt;&gt;"moeda")*(Inputs!$G$5:$G$180&lt;&gt;"acoes")))*INDEX(Inputs!$K$5:$AJ$180,0,MATCH(O$2,Inputs!$K$4:$AJ$4,0)))+SUMPRODUCT((Inputs!$E$5:$E$180=$B36)*Inputs!$F$5:$F$180*(((Inputs!$G$5:$G$180="moeda")+(Inputs!$G$5:$G$180="acoes"))*Inputs!$B$1+((Inputs!$G$5:$G$180&lt;&gt;"moeda")*(Inputs!$G$5:$G$180&lt;&gt;"acoes")))*INDEX(Inputs!$K$5:$AJ$180,0,MATCH(O$2,Inputs!$K$4:$AJ$4,0)))))</f>
        <v>1191.85</v>
      </c>
      <c r="P36" s="6">
        <f>IF(ISNA(MATCH(P$2,Inputs!$K$4:$AJ$4,0)),NA(),IF(SUMPRODUCT((Inputs!$A$5:$A$180=$B36)*ISNUMBER(INDEX(Inputs!$K$5:$AJ$180,0,MATCH(P$2,Inputs!$K$4:$AJ$4,0))))+SUMPRODUCT((Inputs!$C$5:$C$180=$B36)*ISNUMBER(INDEX(Inputs!$K$5:$AJ$180,0,MATCH(P$2,Inputs!$K$4:$AJ$4,0))))+SUMPRODUCT((Inputs!$E$5:$E$180=$B36)*ISNUMBER(INDEX(Inputs!$K$5:$AJ$180,0,MATCH(P$2,Inputs!$K$4:$AJ$4,0))))=0,NA(),SUMPRODUCT((Inputs!$A$5:$A$180=$B36)*Inputs!$B$5:$B$180*(((Inputs!$G$5:$G$180="moeda")+(Inputs!$G$5:$G$180="acoes"))*Inputs!$B$1+((Inputs!$G$5:$G$180&lt;&gt;"moeda")*(Inputs!$G$5:$G$180&lt;&gt;"acoes")))*INDEX(Inputs!$K$5:$AJ$180,0,MATCH(P$2,Inputs!$K$4:$AJ$4,0)))+SUMPRODUCT((Inputs!$C$5:$C$180=$B36)*Inputs!$D$5:$D$180*(((Inputs!$G$5:$G$180="moeda")+(Inputs!$G$5:$G$180="acoes"))*Inputs!$B$1+((Inputs!$G$5:$G$180&lt;&gt;"moeda")*(Inputs!$G$5:$G$180&lt;&gt;"acoes")))*INDEX(Inputs!$K$5:$AJ$180,0,MATCH(P$2,Inputs!$K$4:$AJ$4,0)))+SUMPRODUCT((Inputs!$E$5:$E$180=$B36)*Inputs!$F$5:$F$180*(((Inputs!$G$5:$G$180="moeda")+(Inputs!$G$5:$G$180="acoes"))*Inputs!$B$1+((Inputs!$G$5:$G$180&lt;&gt;"moeda")*(Inputs!$G$5:$G$180&lt;&gt;"acoes")))*INDEX(Inputs!$K$5:$AJ$180,0,MATCH(P$2,Inputs!$K$4:$AJ$4,0)))))</f>
        <v>1167.495</v>
      </c>
      <c r="Q36" s="6">
        <f>IF(ISNA(MATCH(Q$2,Inputs!$K$4:$AJ$4,0)),NA(),IF(SUMPRODUCT((Inputs!$A$5:$A$180=$B36)*ISNUMBER(INDEX(Inputs!$K$5:$AJ$180,0,MATCH(Q$2,Inputs!$K$4:$AJ$4,0))))+SUMPRODUCT((Inputs!$C$5:$C$180=$B36)*ISNUMBER(INDEX(Inputs!$K$5:$AJ$180,0,MATCH(Q$2,Inputs!$K$4:$AJ$4,0))))+SUMPRODUCT((Inputs!$E$5:$E$180=$B36)*ISNUMBER(INDEX(Inputs!$K$5:$AJ$180,0,MATCH(Q$2,Inputs!$K$4:$AJ$4,0))))=0,NA(),SUMPRODUCT((Inputs!$A$5:$A$180=$B36)*Inputs!$B$5:$B$180*(((Inputs!$G$5:$G$180="moeda")+(Inputs!$G$5:$G$180="acoes"))*Inputs!$B$1+((Inputs!$G$5:$G$180&lt;&gt;"moeda")*(Inputs!$G$5:$G$180&lt;&gt;"acoes")))*INDEX(Inputs!$K$5:$AJ$180,0,MATCH(Q$2,Inputs!$K$4:$AJ$4,0)))+SUMPRODUCT((Inputs!$C$5:$C$180=$B36)*Inputs!$D$5:$D$180*(((Inputs!$G$5:$G$180="moeda")+(Inputs!$G$5:$G$180="acoes"))*Inputs!$B$1+((Inputs!$G$5:$G$180&lt;&gt;"moeda")*(Inputs!$G$5:$G$180&lt;&gt;"acoes")))*INDEX(Inputs!$K$5:$AJ$180,0,MATCH(Q$2,Inputs!$K$4:$AJ$4,0)))+SUMPRODUCT((Inputs!$E$5:$E$180=$B36)*Inputs!$F$5:$F$180*(((Inputs!$G$5:$G$180="moeda")+(Inputs!$G$5:$G$180="acoes"))*Inputs!$B$1+((Inputs!$G$5:$G$180&lt;&gt;"moeda")*(Inputs!$G$5:$G$180&lt;&gt;"acoes")))*INDEX(Inputs!$K$5:$AJ$180,0,MATCH(Q$2,Inputs!$K$4:$AJ$4,0)))))</f>
        <v>1159.409</v>
      </c>
      <c r="R36" s="3">
        <f>Q36</f>
        <v>1159.409</v>
      </c>
      <c r="S36" s="6">
        <f>IF(ISNA(MATCH(S$2,Inputs!$K$4:$AJ$4,0)),NA(),IF(SUMPRODUCT((Inputs!$A$5:$A$180=$B36)*ISNUMBER(INDEX(Inputs!$K$5:$AJ$180,0,MATCH(S$2,Inputs!$K$4:$AJ$4,0))))+SUMPRODUCT((Inputs!$C$5:$C$180=$B36)*ISNUMBER(INDEX(Inputs!$K$5:$AJ$180,0,MATCH(S$2,Inputs!$K$4:$AJ$4,0))))+SUMPRODUCT((Inputs!$E$5:$E$180=$B36)*ISNUMBER(INDEX(Inputs!$K$5:$AJ$180,0,MATCH(S$2,Inputs!$K$4:$AJ$4,0))))=0,NA(),SUMPRODUCT((Inputs!$A$5:$A$180=$B36)*Inputs!$B$5:$B$180*(((Inputs!$G$5:$G$180="moeda")+(Inputs!$G$5:$G$180="acoes"))*Inputs!$B$1+((Inputs!$G$5:$G$180&lt;&gt;"moeda")*(Inputs!$G$5:$G$180&lt;&gt;"acoes")))*INDEX(Inputs!$K$5:$AJ$180,0,MATCH(S$2,Inputs!$K$4:$AJ$4,0)))+SUMPRODUCT((Inputs!$C$5:$C$180=$B36)*Inputs!$D$5:$D$180*(((Inputs!$G$5:$G$180="moeda")+(Inputs!$G$5:$G$180="acoes"))*Inputs!$B$1+((Inputs!$G$5:$G$180&lt;&gt;"moeda")*(Inputs!$G$5:$G$180&lt;&gt;"acoes")))*INDEX(Inputs!$K$5:$AJ$180,0,MATCH(S$2,Inputs!$K$4:$AJ$4,0)))+SUMPRODUCT((Inputs!$E$5:$E$180=$B36)*Inputs!$F$5:$F$180*(((Inputs!$G$5:$G$180="moeda")+(Inputs!$G$5:$G$180="acoes"))*Inputs!$B$1+((Inputs!$G$5:$G$180&lt;&gt;"moeda")*(Inputs!$G$5:$G$180&lt;&gt;"acoes")))*INDEX(Inputs!$K$5:$AJ$180,0,MATCH(S$2,Inputs!$K$4:$AJ$4,0)))))</f>
        <v>1112.521</v>
      </c>
      <c r="T36" s="6">
        <f>IF(ISNA(MATCH(T$2,Inputs!$K$4:$AJ$4,0)),NA(),IF(SUMPRODUCT((Inputs!$A$5:$A$180=$B36)*ISNUMBER(INDEX(Inputs!$K$5:$AJ$180,0,MATCH(T$2,Inputs!$K$4:$AJ$4,0))))+SUMPRODUCT((Inputs!$C$5:$C$180=$B36)*ISNUMBER(INDEX(Inputs!$K$5:$AJ$180,0,MATCH(T$2,Inputs!$K$4:$AJ$4,0))))+SUMPRODUCT((Inputs!$E$5:$E$180=$B36)*ISNUMBER(INDEX(Inputs!$K$5:$AJ$180,0,MATCH(T$2,Inputs!$K$4:$AJ$4,0))))=0,NA(),SUMPRODUCT((Inputs!$A$5:$A$180=$B36)*Inputs!$B$5:$B$180*(((Inputs!$G$5:$G$180="moeda")+(Inputs!$G$5:$G$180="acoes"))*Inputs!$B$1+((Inputs!$G$5:$G$180&lt;&gt;"moeda")*(Inputs!$G$5:$G$180&lt;&gt;"acoes")))*INDEX(Inputs!$K$5:$AJ$180,0,MATCH(T$2,Inputs!$K$4:$AJ$4,0)))+SUMPRODUCT((Inputs!$C$5:$C$180=$B36)*Inputs!$D$5:$D$180*(((Inputs!$G$5:$G$180="moeda")+(Inputs!$G$5:$G$180="acoes"))*Inputs!$B$1+((Inputs!$G$5:$G$180&lt;&gt;"moeda")*(Inputs!$G$5:$G$180&lt;&gt;"acoes")))*INDEX(Inputs!$K$5:$AJ$180,0,MATCH(T$2,Inputs!$K$4:$AJ$4,0)))+SUMPRODUCT((Inputs!$E$5:$E$180=$B36)*Inputs!$F$5:$F$180*(((Inputs!$G$5:$G$180="moeda")+(Inputs!$G$5:$G$180="acoes"))*Inputs!$B$1+((Inputs!$G$5:$G$180&lt;&gt;"moeda")*(Inputs!$G$5:$G$180&lt;&gt;"acoes")))*INDEX(Inputs!$K$5:$AJ$180,0,MATCH(T$2,Inputs!$K$4:$AJ$4,0)))))</f>
        <v>1061.775</v>
      </c>
      <c r="U36" s="6">
        <f>IF(ISNA(MATCH(U$2,Inputs!$K$4:$AJ$4,0)),NA(),IF(SUMPRODUCT((Inputs!$A$5:$A$180=$B36)*ISNUMBER(INDEX(Inputs!$K$5:$AJ$180,0,MATCH(U$2,Inputs!$K$4:$AJ$4,0))))+SUMPRODUCT((Inputs!$C$5:$C$180=$B36)*ISNUMBER(INDEX(Inputs!$K$5:$AJ$180,0,MATCH(U$2,Inputs!$K$4:$AJ$4,0))))+SUMPRODUCT((Inputs!$E$5:$E$180=$B36)*ISNUMBER(INDEX(Inputs!$K$5:$AJ$180,0,MATCH(U$2,Inputs!$K$4:$AJ$4,0))))=0,NA(),SUMPRODUCT((Inputs!$A$5:$A$180=$B36)*Inputs!$B$5:$B$180*(((Inputs!$G$5:$G$180="moeda")+(Inputs!$G$5:$G$180="acoes"))*Inputs!$B$1+((Inputs!$G$5:$G$180&lt;&gt;"moeda")*(Inputs!$G$5:$G$180&lt;&gt;"acoes")))*INDEX(Inputs!$K$5:$AJ$180,0,MATCH(U$2,Inputs!$K$4:$AJ$4,0)))+SUMPRODUCT((Inputs!$C$5:$C$180=$B36)*Inputs!$D$5:$D$180*(((Inputs!$G$5:$G$180="moeda")+(Inputs!$G$5:$G$180="acoes"))*Inputs!$B$1+((Inputs!$G$5:$G$180&lt;&gt;"moeda")*(Inputs!$G$5:$G$180&lt;&gt;"acoes")))*INDEX(Inputs!$K$5:$AJ$180,0,MATCH(U$2,Inputs!$K$4:$AJ$4,0)))+SUMPRODUCT((Inputs!$E$5:$E$180=$B36)*Inputs!$F$5:$F$180*(((Inputs!$G$5:$G$180="moeda")+(Inputs!$G$5:$G$180="acoes"))*Inputs!$B$1+((Inputs!$G$5:$G$180&lt;&gt;"moeda")*(Inputs!$G$5:$G$180&lt;&gt;"acoes")))*INDEX(Inputs!$K$5:$AJ$180,0,MATCH(U$2,Inputs!$K$4:$AJ$4,0)))))</f>
        <v>1015.306</v>
      </c>
      <c r="V36" s="6">
        <f>IF(ISNA(MATCH(V$2,Inputs!$K$4:$AJ$4,0)),NA(),IF(SUMPRODUCT((Inputs!$A$5:$A$180=$B36)*ISNUMBER(INDEX(Inputs!$K$5:$AJ$180,0,MATCH(V$2,Inputs!$K$4:$AJ$4,0))))+SUMPRODUCT((Inputs!$C$5:$C$180=$B36)*ISNUMBER(INDEX(Inputs!$K$5:$AJ$180,0,MATCH(V$2,Inputs!$K$4:$AJ$4,0))))+SUMPRODUCT((Inputs!$E$5:$E$180=$B36)*ISNUMBER(INDEX(Inputs!$K$5:$AJ$180,0,MATCH(V$2,Inputs!$K$4:$AJ$4,0))))=0,NA(),SUMPRODUCT((Inputs!$A$5:$A$180=$B36)*Inputs!$B$5:$B$180*(((Inputs!$G$5:$G$180="moeda")+(Inputs!$G$5:$G$180="acoes"))*Inputs!$B$1+((Inputs!$G$5:$G$180&lt;&gt;"moeda")*(Inputs!$G$5:$G$180&lt;&gt;"acoes")))*INDEX(Inputs!$K$5:$AJ$180,0,MATCH(V$2,Inputs!$K$4:$AJ$4,0)))+SUMPRODUCT((Inputs!$C$5:$C$180=$B36)*Inputs!$D$5:$D$180*(((Inputs!$G$5:$G$180="moeda")+(Inputs!$G$5:$G$180="acoes"))*Inputs!$B$1+((Inputs!$G$5:$G$180&lt;&gt;"moeda")*(Inputs!$G$5:$G$180&lt;&gt;"acoes")))*INDEX(Inputs!$K$5:$AJ$180,0,MATCH(V$2,Inputs!$K$4:$AJ$4,0)))+SUMPRODUCT((Inputs!$E$5:$E$180=$B36)*Inputs!$F$5:$F$180*(((Inputs!$G$5:$G$180="moeda")+(Inputs!$G$5:$G$180="acoes"))*Inputs!$B$1+((Inputs!$G$5:$G$180&lt;&gt;"moeda")*(Inputs!$G$5:$G$180&lt;&gt;"acoes")))*INDEX(Inputs!$K$5:$AJ$180,0,MATCH(V$2,Inputs!$K$4:$AJ$4,0)))))</f>
        <v>995.637</v>
      </c>
      <c r="W36" s="3">
        <f>V36</f>
        <v>995.637</v>
      </c>
      <c r="X36" s="6">
        <f>IF(ISNA(MATCH(X$2,Inputs!$K$4:$AJ$4,0)),NA(),IF(SUMPRODUCT((Inputs!$A$5:$A$180=$B36)*ISNUMBER(INDEX(Inputs!$K$5:$AJ$180,0,MATCH(X$2,Inputs!$K$4:$AJ$4,0))))+SUMPRODUCT((Inputs!$C$5:$C$180=$B36)*ISNUMBER(INDEX(Inputs!$K$5:$AJ$180,0,MATCH(X$2,Inputs!$K$4:$AJ$4,0))))+SUMPRODUCT((Inputs!$E$5:$E$180=$B36)*ISNUMBER(INDEX(Inputs!$K$5:$AJ$180,0,MATCH(X$2,Inputs!$K$4:$AJ$4,0))))=0,NA(),SUMPRODUCT((Inputs!$A$5:$A$180=$B36)*Inputs!$B$5:$B$180*(((Inputs!$G$5:$G$180="moeda")+(Inputs!$G$5:$G$180="acoes"))*Inputs!$B$1+((Inputs!$G$5:$G$180&lt;&gt;"moeda")*(Inputs!$G$5:$G$180&lt;&gt;"acoes")))*INDEX(Inputs!$K$5:$AJ$180,0,MATCH(X$2,Inputs!$K$4:$AJ$4,0)))+SUMPRODUCT((Inputs!$C$5:$C$180=$B36)*Inputs!$D$5:$D$180*(((Inputs!$G$5:$G$180="moeda")+(Inputs!$G$5:$G$180="acoes"))*Inputs!$B$1+((Inputs!$G$5:$G$180&lt;&gt;"moeda")*(Inputs!$G$5:$G$180&lt;&gt;"acoes")))*INDEX(Inputs!$K$5:$AJ$180,0,MATCH(X$2,Inputs!$K$4:$AJ$4,0)))+SUMPRODUCT((Inputs!$E$5:$E$180=$B36)*Inputs!$F$5:$F$180*(((Inputs!$G$5:$G$180="moeda")+(Inputs!$G$5:$G$180="acoes"))*Inputs!$B$1+((Inputs!$G$5:$G$180&lt;&gt;"moeda")*(Inputs!$G$5:$G$180&lt;&gt;"acoes")))*INDEX(Inputs!$K$5:$AJ$180,0,MATCH(X$2,Inputs!$K$4:$AJ$4,0)))))</f>
        <v>977.075</v>
      </c>
      <c r="Y36" s="6">
        <f>IF(ISNA(MATCH(Y$2,Inputs!$K$4:$AJ$4,0)),NA(),IF(SUMPRODUCT((Inputs!$A$5:$A$180=$B36)*ISNUMBER(INDEX(Inputs!$K$5:$AJ$180,0,MATCH(Y$2,Inputs!$K$4:$AJ$4,0))))+SUMPRODUCT((Inputs!$C$5:$C$180=$B36)*ISNUMBER(INDEX(Inputs!$K$5:$AJ$180,0,MATCH(Y$2,Inputs!$K$4:$AJ$4,0))))+SUMPRODUCT((Inputs!$E$5:$E$180=$B36)*ISNUMBER(INDEX(Inputs!$K$5:$AJ$180,0,MATCH(Y$2,Inputs!$K$4:$AJ$4,0))))=0,NA(),SUMPRODUCT((Inputs!$A$5:$A$180=$B36)*Inputs!$B$5:$B$180*(((Inputs!$G$5:$G$180="moeda")+(Inputs!$G$5:$G$180="acoes"))*Inputs!$B$1+((Inputs!$G$5:$G$180&lt;&gt;"moeda")*(Inputs!$G$5:$G$180&lt;&gt;"acoes")))*INDEX(Inputs!$K$5:$AJ$180,0,MATCH(Y$2,Inputs!$K$4:$AJ$4,0)))+SUMPRODUCT((Inputs!$C$5:$C$180=$B36)*Inputs!$D$5:$D$180*(((Inputs!$G$5:$G$180="moeda")+(Inputs!$G$5:$G$180="acoes"))*Inputs!$B$1+((Inputs!$G$5:$G$180&lt;&gt;"moeda")*(Inputs!$G$5:$G$180&lt;&gt;"acoes")))*INDEX(Inputs!$K$5:$AJ$180,0,MATCH(Y$2,Inputs!$K$4:$AJ$4,0)))+SUMPRODUCT((Inputs!$E$5:$E$180=$B36)*Inputs!$F$5:$F$180*(((Inputs!$G$5:$G$180="moeda")+(Inputs!$G$5:$G$180="acoes"))*Inputs!$B$1+((Inputs!$G$5:$G$180&lt;&gt;"moeda")*(Inputs!$G$5:$G$180&lt;&gt;"acoes")))*INDEX(Inputs!$K$5:$AJ$180,0,MATCH(Y$2,Inputs!$K$4:$AJ$4,0)))))</f>
        <v>936.924</v>
      </c>
      <c r="Z36" s="6">
        <f>IF(ISNA(MATCH(Z$2,Inputs!$K$4:$AJ$4,0)),NA(),IF(SUMPRODUCT((Inputs!$A$5:$A$180=$B36)*ISNUMBER(INDEX(Inputs!$K$5:$AJ$180,0,MATCH(Z$2,Inputs!$K$4:$AJ$4,0))))+SUMPRODUCT((Inputs!$C$5:$C$180=$B36)*ISNUMBER(INDEX(Inputs!$K$5:$AJ$180,0,MATCH(Z$2,Inputs!$K$4:$AJ$4,0))))+SUMPRODUCT((Inputs!$E$5:$E$180=$B36)*ISNUMBER(INDEX(Inputs!$K$5:$AJ$180,0,MATCH(Z$2,Inputs!$K$4:$AJ$4,0))))=0,NA(),SUMPRODUCT((Inputs!$A$5:$A$180=$B36)*Inputs!$B$5:$B$180*(((Inputs!$G$5:$G$180="moeda")+(Inputs!$G$5:$G$180="acoes"))*Inputs!$B$1+((Inputs!$G$5:$G$180&lt;&gt;"moeda")*(Inputs!$G$5:$G$180&lt;&gt;"acoes")))*INDEX(Inputs!$K$5:$AJ$180,0,MATCH(Z$2,Inputs!$K$4:$AJ$4,0)))+SUMPRODUCT((Inputs!$C$5:$C$180=$B36)*Inputs!$D$5:$D$180*(((Inputs!$G$5:$G$180="moeda")+(Inputs!$G$5:$G$180="acoes"))*Inputs!$B$1+((Inputs!$G$5:$G$180&lt;&gt;"moeda")*(Inputs!$G$5:$G$180&lt;&gt;"acoes")))*INDEX(Inputs!$K$5:$AJ$180,0,MATCH(Z$2,Inputs!$K$4:$AJ$4,0)))+SUMPRODUCT((Inputs!$E$5:$E$180=$B36)*Inputs!$F$5:$F$180*(((Inputs!$G$5:$G$180="moeda")+(Inputs!$G$5:$G$180="acoes"))*Inputs!$B$1+((Inputs!$G$5:$G$180&lt;&gt;"moeda")*(Inputs!$G$5:$G$180&lt;&gt;"acoes")))*INDEX(Inputs!$K$5:$AJ$180,0,MATCH(Z$2,Inputs!$K$4:$AJ$4,0)))))</f>
        <v>935.366</v>
      </c>
      <c r="AA36" s="6">
        <f>IF(ISNA(MATCH(AA$2,Inputs!$K$4:$AJ$4,0)),NA(),IF(SUMPRODUCT((Inputs!$A$5:$A$180=$B36)*ISNUMBER(INDEX(Inputs!$K$5:$AJ$180,0,MATCH(AA$2,Inputs!$K$4:$AJ$4,0))))+SUMPRODUCT((Inputs!$C$5:$C$180=$B36)*ISNUMBER(INDEX(Inputs!$K$5:$AJ$180,0,MATCH(AA$2,Inputs!$K$4:$AJ$4,0))))+SUMPRODUCT((Inputs!$E$5:$E$180=$B36)*ISNUMBER(INDEX(Inputs!$K$5:$AJ$180,0,MATCH(AA$2,Inputs!$K$4:$AJ$4,0))))=0,NA(),SUMPRODUCT((Inputs!$A$5:$A$180=$B36)*Inputs!$B$5:$B$180*(((Inputs!$G$5:$G$180="moeda")+(Inputs!$G$5:$G$180="acoes"))*Inputs!$B$1+((Inputs!$G$5:$G$180&lt;&gt;"moeda")*(Inputs!$G$5:$G$180&lt;&gt;"acoes")))*INDEX(Inputs!$K$5:$AJ$180,0,MATCH(AA$2,Inputs!$K$4:$AJ$4,0)))+SUMPRODUCT((Inputs!$C$5:$C$180=$B36)*Inputs!$D$5:$D$180*(((Inputs!$G$5:$G$180="moeda")+(Inputs!$G$5:$G$180="acoes"))*Inputs!$B$1+((Inputs!$G$5:$G$180&lt;&gt;"moeda")*(Inputs!$G$5:$G$180&lt;&gt;"acoes")))*INDEX(Inputs!$K$5:$AJ$180,0,MATCH(AA$2,Inputs!$K$4:$AJ$4,0)))+SUMPRODUCT((Inputs!$E$5:$E$180=$B36)*Inputs!$F$5:$F$180*(((Inputs!$G$5:$G$180="moeda")+(Inputs!$G$5:$G$180="acoes"))*Inputs!$B$1+((Inputs!$G$5:$G$180&lt;&gt;"moeda")*(Inputs!$G$5:$G$180&lt;&gt;"acoes")))*INDEX(Inputs!$K$5:$AJ$180,0,MATCH(AA$2,Inputs!$K$4:$AJ$4,0)))))</f>
        <v>922.242</v>
      </c>
      <c r="AB36" s="3">
        <f>AA36</f>
        <v>922.242</v>
      </c>
      <c r="AC36" s="6">
        <f>IF(ISNA(MATCH(AC$2,Inputs!$K$4:$AJ$4,0)),NA(),IF(SUMPRODUCT((Inputs!$A$5:$A$180=$B36)*ISNUMBER(INDEX(Inputs!$K$5:$AJ$180,0,MATCH(AC$2,Inputs!$K$4:$AJ$4,0))))+SUMPRODUCT((Inputs!$C$5:$C$180=$B36)*ISNUMBER(INDEX(Inputs!$K$5:$AJ$180,0,MATCH(AC$2,Inputs!$K$4:$AJ$4,0))))+SUMPRODUCT((Inputs!$E$5:$E$180=$B36)*ISNUMBER(INDEX(Inputs!$K$5:$AJ$180,0,MATCH(AC$2,Inputs!$K$4:$AJ$4,0))))=0,NA(),SUMPRODUCT((Inputs!$A$5:$A$180=$B36)*Inputs!$B$5:$B$180*(((Inputs!$G$5:$G$180="moeda")+(Inputs!$G$5:$G$180="acoes"))*Inputs!$B$1+((Inputs!$G$5:$G$180&lt;&gt;"moeda")*(Inputs!$G$5:$G$180&lt;&gt;"acoes")))*INDEX(Inputs!$K$5:$AJ$180,0,MATCH(AC$2,Inputs!$K$4:$AJ$4,0)))+SUMPRODUCT((Inputs!$C$5:$C$180=$B36)*Inputs!$D$5:$D$180*(((Inputs!$G$5:$G$180="moeda")+(Inputs!$G$5:$G$180="acoes"))*Inputs!$B$1+((Inputs!$G$5:$G$180&lt;&gt;"moeda")*(Inputs!$G$5:$G$180&lt;&gt;"acoes")))*INDEX(Inputs!$K$5:$AJ$180,0,MATCH(AC$2,Inputs!$K$4:$AJ$4,0)))+SUMPRODUCT((Inputs!$E$5:$E$180=$B36)*Inputs!$F$5:$F$180*(((Inputs!$G$5:$G$180="moeda")+(Inputs!$G$5:$G$180="acoes"))*Inputs!$B$1+((Inputs!$G$5:$G$180&lt;&gt;"moeda")*(Inputs!$G$5:$G$180&lt;&gt;"acoes")))*INDEX(Inputs!$K$5:$AJ$180,0,MATCH(AC$2,Inputs!$K$4:$AJ$4,0)))))</f>
        <v>910.562</v>
      </c>
      <c r="AD36" s="6">
        <f>IF(ISNA(MATCH(AD$2,Inputs!$K$4:$AJ$4,0)),NA(),IF(SUMPRODUCT((Inputs!$A$5:$A$180=$B36)*ISNUMBER(INDEX(Inputs!$K$5:$AJ$180,0,MATCH(AD$2,Inputs!$K$4:$AJ$4,0))))+SUMPRODUCT((Inputs!$C$5:$C$180=$B36)*ISNUMBER(INDEX(Inputs!$K$5:$AJ$180,0,MATCH(AD$2,Inputs!$K$4:$AJ$4,0))))+SUMPRODUCT((Inputs!$E$5:$E$180=$B36)*ISNUMBER(INDEX(Inputs!$K$5:$AJ$180,0,MATCH(AD$2,Inputs!$K$4:$AJ$4,0))))=0,NA(),SUMPRODUCT((Inputs!$A$5:$A$180=$B36)*Inputs!$B$5:$B$180*(((Inputs!$G$5:$G$180="moeda")+(Inputs!$G$5:$G$180="acoes"))*Inputs!$B$1+((Inputs!$G$5:$G$180&lt;&gt;"moeda")*(Inputs!$G$5:$G$180&lt;&gt;"acoes")))*INDEX(Inputs!$K$5:$AJ$180,0,MATCH(AD$2,Inputs!$K$4:$AJ$4,0)))+SUMPRODUCT((Inputs!$C$5:$C$180=$B36)*Inputs!$D$5:$D$180*(((Inputs!$G$5:$G$180="moeda")+(Inputs!$G$5:$G$180="acoes"))*Inputs!$B$1+((Inputs!$G$5:$G$180&lt;&gt;"moeda")*(Inputs!$G$5:$G$180&lt;&gt;"acoes")))*INDEX(Inputs!$K$5:$AJ$180,0,MATCH(AD$2,Inputs!$K$4:$AJ$4,0)))+SUMPRODUCT((Inputs!$E$5:$E$180=$B36)*Inputs!$F$5:$F$180*(((Inputs!$G$5:$G$180="moeda")+(Inputs!$G$5:$G$180="acoes"))*Inputs!$B$1+((Inputs!$G$5:$G$180&lt;&gt;"moeda")*(Inputs!$G$5:$G$180&lt;&gt;"acoes")))*INDEX(Inputs!$K$5:$AJ$180,0,MATCH(AD$2,Inputs!$K$4:$AJ$4,0)))))</f>
        <v>1041.536</v>
      </c>
      <c r="AE36" s="6" t="e">
        <f>IF(ISNA(MATCH(AE$2,Inputs!$K$4:$AJ$4,0)),NA(),IF(SUMPRODUCT((Inputs!$A$5:$A$180=$B36)*ISNUMBER(INDEX(Inputs!$K$5:$AJ$180,0,MATCH(AE$2,Inputs!$K$4:$AJ$4,0))))+SUMPRODUCT((Inputs!$C$5:$C$180=$B36)*ISNUMBER(INDEX(Inputs!$K$5:$AJ$180,0,MATCH(AE$2,Inputs!$K$4:$AJ$4,0))))+SUMPRODUCT((Inputs!$E$5:$E$180=$B36)*ISNUMBER(INDEX(Inputs!$K$5:$AJ$180,0,MATCH(AE$2,Inputs!$K$4:$AJ$4,0))))=0,NA(),SUMPRODUCT((Inputs!$A$5:$A$180=$B36)*Inputs!$B$5:$B$180*(((Inputs!$G$5:$G$180="moeda")+(Inputs!$G$5:$G$180="acoes"))*Inputs!$B$1+((Inputs!$G$5:$G$180&lt;&gt;"moeda")*(Inputs!$G$5:$G$180&lt;&gt;"acoes")))*INDEX(Inputs!$K$5:$AJ$180,0,MATCH(AE$2,Inputs!$K$4:$AJ$4,0)))+SUMPRODUCT((Inputs!$C$5:$C$180=$B36)*Inputs!$D$5:$D$180*(((Inputs!$G$5:$G$180="moeda")+(Inputs!$G$5:$G$180="acoes"))*Inputs!$B$1+((Inputs!$G$5:$G$180&lt;&gt;"moeda")*(Inputs!$G$5:$G$180&lt;&gt;"acoes")))*INDEX(Inputs!$K$5:$AJ$180,0,MATCH(AE$2,Inputs!$K$4:$AJ$4,0)))+SUMPRODUCT((Inputs!$E$5:$E$180=$B36)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6" s="6" t="e">
        <f>IF(ISNA(MATCH(AF$2,Inputs!$K$4:$AJ$4,0)),NA(),IF(SUMPRODUCT((Inputs!$A$5:$A$180=$B36)*ISNUMBER(INDEX(Inputs!$K$5:$AJ$180,0,MATCH(AF$2,Inputs!$K$4:$AJ$4,0))))+SUMPRODUCT((Inputs!$C$5:$C$180=$B36)*ISNUMBER(INDEX(Inputs!$K$5:$AJ$180,0,MATCH(AF$2,Inputs!$K$4:$AJ$4,0))))+SUMPRODUCT((Inputs!$E$5:$E$180=$B36)*ISNUMBER(INDEX(Inputs!$K$5:$AJ$180,0,MATCH(AF$2,Inputs!$K$4:$AJ$4,0))))=0,NA(),SUMPRODUCT((Inputs!$A$5:$A$180=$B36)*Inputs!$B$5:$B$180*(((Inputs!$G$5:$G$180="moeda")+(Inputs!$G$5:$G$180="acoes"))*Inputs!$B$1+((Inputs!$G$5:$G$180&lt;&gt;"moeda")*(Inputs!$G$5:$G$180&lt;&gt;"acoes")))*INDEX(Inputs!$K$5:$AJ$180,0,MATCH(AF$2,Inputs!$K$4:$AJ$4,0)))+SUMPRODUCT((Inputs!$C$5:$C$180=$B36)*Inputs!$D$5:$D$180*(((Inputs!$G$5:$G$180="moeda")+(Inputs!$G$5:$G$180="acoes"))*Inputs!$B$1+((Inputs!$G$5:$G$180&lt;&gt;"moeda")*(Inputs!$G$5:$G$180&lt;&gt;"acoes")))*INDEX(Inputs!$K$5:$AJ$180,0,MATCH(AF$2,Inputs!$K$4:$AJ$4,0)))+SUMPRODUCT((Inputs!$E$5:$E$180=$B36)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6" s="3" t="e">
        <f>AF36</f>
        <v>#N/A</v>
      </c>
      <c r="AH36" s="6">
        <f>IF(ISNA(MATCH(AH$2,Inputs!$K$4:$AJ$4,0)),NA(),IF(SUMPRODUCT((Inputs!$A$5:$A$180=$B36)*ISNUMBER(INDEX(Inputs!$K$5:$AJ$180,0,MATCH(AH$2,Inputs!$K$4:$AJ$4,0))))+SUMPRODUCT((Inputs!$C$5:$C$180=$B36)*ISNUMBER(INDEX(Inputs!$K$5:$AJ$180,0,MATCH(AH$2,Inputs!$K$4:$AJ$4,0))))+SUMPRODUCT((Inputs!$E$5:$E$180=$B36)*ISNUMBER(INDEX(Inputs!$K$5:$AJ$180,0,MATCH(AH$2,Inputs!$K$4:$AJ$4,0))))=0,NA(),SUMPRODUCT((Inputs!$A$5:$A$180=$B36)*Inputs!$B$5:$B$180*(((Inputs!$G$5:$G$180="moeda")+(Inputs!$G$5:$G$180="acoes"))*Inputs!$B$1+((Inputs!$G$5:$G$180&lt;&gt;"moeda")*(Inputs!$G$5:$G$180&lt;&gt;"acoes")))*INDEX(Inputs!$K$5:$AJ$180,0,MATCH(AH$2,Inputs!$K$4:$AJ$4,0)))+SUMPRODUCT((Inputs!$C$5:$C$180=$B36)*Inputs!$D$5:$D$180*(((Inputs!$G$5:$G$180="moeda")+(Inputs!$G$5:$G$180="acoes"))*Inputs!$B$1+((Inputs!$G$5:$G$180&lt;&gt;"moeda")*(Inputs!$G$5:$G$180&lt;&gt;"acoes")))*INDEX(Inputs!$K$5:$AJ$180,0,MATCH(AH$2,Inputs!$K$4:$AJ$4,0)))+SUMPRODUCT((Inputs!$E$5:$E$180=$B36)*Inputs!$F$5:$F$180*(((Inputs!$G$5:$G$180="moeda")+(Inputs!$G$5:$G$180="acoes"))*Inputs!$B$1+((Inputs!$G$5:$G$180&lt;&gt;"moeda")*(Inputs!$G$5:$G$180&lt;&gt;"acoes")))*INDEX(Inputs!$K$5:$AJ$180,0,MATCH(AH$2,Inputs!$K$4:$AJ$4,0)))))</f>
        <v>731.1126</v>
      </c>
      <c r="AI36" s="6">
        <f>IF(ISNA(MATCH(AI$2,Inputs!$K$4:$AJ$4,0)),NA(),IF(SUMPRODUCT((Inputs!$A$5:$A$180=$B36)*ISNUMBER(INDEX(Inputs!$K$5:$AJ$180,0,MATCH(AI$2,Inputs!$K$4:$AJ$4,0))))+SUMPRODUCT((Inputs!$C$5:$C$180=$B36)*ISNUMBER(INDEX(Inputs!$K$5:$AJ$180,0,MATCH(AI$2,Inputs!$K$4:$AJ$4,0))))+SUMPRODUCT((Inputs!$E$5:$E$180=$B36)*ISNUMBER(INDEX(Inputs!$K$5:$AJ$180,0,MATCH(AI$2,Inputs!$K$4:$AJ$4,0))))=0,NA(),SUMPRODUCT((Inputs!$A$5:$A$180=$B36)*Inputs!$B$5:$B$180*(((Inputs!$G$5:$G$180="moeda")+(Inputs!$G$5:$G$180="acoes"))*Inputs!$B$1+((Inputs!$G$5:$G$180&lt;&gt;"moeda")*(Inputs!$G$5:$G$180&lt;&gt;"acoes")))*INDEX(Inputs!$K$5:$AJ$180,0,MATCH(AI$2,Inputs!$K$4:$AJ$4,0)))+SUMPRODUCT((Inputs!$C$5:$C$180=$B36)*Inputs!$D$5:$D$180*(((Inputs!$G$5:$G$180="moeda")+(Inputs!$G$5:$G$180="acoes"))*Inputs!$B$1+((Inputs!$G$5:$G$180&lt;&gt;"moeda")*(Inputs!$G$5:$G$180&lt;&gt;"acoes")))*INDEX(Inputs!$K$5:$AJ$180,0,MATCH(AI$2,Inputs!$K$4:$AJ$4,0)))+SUMPRODUCT((Inputs!$E$5:$E$180=$B36)*Inputs!$F$5:$F$180*(((Inputs!$G$5:$G$180="moeda")+(Inputs!$G$5:$G$180="acoes"))*Inputs!$B$1+((Inputs!$G$5:$G$180&lt;&gt;"moeda")*(Inputs!$G$5:$G$180&lt;&gt;"acoes")))*INDEX(Inputs!$K$5:$AJ$180,0,MATCH(AI$2,Inputs!$K$4:$AJ$4,0)))))</f>
        <v>704.58350024</v>
      </c>
      <c r="AJ36" s="6">
        <f>IF(ISNA(MATCH(AJ$2,Inputs!$K$4:$AJ$4,0)),NA(),IF(SUMPRODUCT((Inputs!$A$5:$A$180=$B36)*ISNUMBER(INDEX(Inputs!$K$5:$AJ$180,0,MATCH(AJ$2,Inputs!$K$4:$AJ$4,0))))+SUMPRODUCT((Inputs!$C$5:$C$180=$B36)*ISNUMBER(INDEX(Inputs!$K$5:$AJ$180,0,MATCH(AJ$2,Inputs!$K$4:$AJ$4,0))))+SUMPRODUCT((Inputs!$E$5:$E$180=$B36)*ISNUMBER(INDEX(Inputs!$K$5:$AJ$180,0,MATCH(AJ$2,Inputs!$K$4:$AJ$4,0))))=0,NA(),SUMPRODUCT((Inputs!$A$5:$A$180=$B36)*Inputs!$B$5:$B$180*(((Inputs!$G$5:$G$180="moeda")+(Inputs!$G$5:$G$180="acoes"))*Inputs!$B$1+((Inputs!$G$5:$G$180&lt;&gt;"moeda")*(Inputs!$G$5:$G$180&lt;&gt;"acoes")))*INDEX(Inputs!$K$5:$AJ$180,0,MATCH(AJ$2,Inputs!$K$4:$AJ$4,0)))+SUMPRODUCT((Inputs!$C$5:$C$180=$B36)*Inputs!$D$5:$D$180*(((Inputs!$G$5:$G$180="moeda")+(Inputs!$G$5:$G$180="acoes"))*Inputs!$B$1+((Inputs!$G$5:$G$180&lt;&gt;"moeda")*(Inputs!$G$5:$G$180&lt;&gt;"acoes")))*INDEX(Inputs!$K$5:$AJ$180,0,MATCH(AJ$2,Inputs!$K$4:$AJ$4,0)))+SUMPRODUCT((Inputs!$E$5:$E$180=$B36)*Inputs!$F$5:$F$180*(((Inputs!$G$5:$G$180="moeda")+(Inputs!$G$5:$G$180="acoes"))*Inputs!$B$1+((Inputs!$G$5:$G$180&lt;&gt;"moeda")*(Inputs!$G$5:$G$180&lt;&gt;"acoes")))*INDEX(Inputs!$K$5:$AJ$180,0,MATCH(AJ$2,Inputs!$K$4:$AJ$4,0)))))</f>
        <v>686.98637337</v>
      </c>
      <c r="AK36" s="6">
        <f>IF(ISNA(MATCH(AK$2,Inputs!$K$4:$AJ$4,0)),NA(),IF(SUMPRODUCT((Inputs!$A$5:$A$180=$B36)*ISNUMBER(INDEX(Inputs!$K$5:$AJ$180,0,MATCH(AK$2,Inputs!$K$4:$AJ$4,0))))+SUMPRODUCT((Inputs!$C$5:$C$180=$B36)*ISNUMBER(INDEX(Inputs!$K$5:$AJ$180,0,MATCH(AK$2,Inputs!$K$4:$AJ$4,0))))+SUMPRODUCT((Inputs!$E$5:$E$180=$B36)*ISNUMBER(INDEX(Inputs!$K$5:$AJ$180,0,MATCH(AK$2,Inputs!$K$4:$AJ$4,0))))=0,NA(),SUMPRODUCT((Inputs!$A$5:$A$180=$B36)*Inputs!$B$5:$B$180*(((Inputs!$G$5:$G$180="moeda")+(Inputs!$G$5:$G$180="acoes"))*Inputs!$B$1+((Inputs!$G$5:$G$180&lt;&gt;"moeda")*(Inputs!$G$5:$G$180&lt;&gt;"acoes")))*INDEX(Inputs!$K$5:$AJ$180,0,MATCH(AK$2,Inputs!$K$4:$AJ$4,0)))+SUMPRODUCT((Inputs!$C$5:$C$180=$B36)*Inputs!$D$5:$D$180*(((Inputs!$G$5:$G$180="moeda")+(Inputs!$G$5:$G$180="acoes"))*Inputs!$B$1+((Inputs!$G$5:$G$180&lt;&gt;"moeda")*(Inputs!$G$5:$G$180&lt;&gt;"acoes")))*INDEX(Inputs!$K$5:$AJ$180,0,MATCH(AK$2,Inputs!$K$4:$AJ$4,0)))+SUMPRODUCT((Inputs!$E$5:$E$180=$B36)*Inputs!$F$5:$F$180*(((Inputs!$G$5:$G$180="moeda")+(Inputs!$G$5:$G$180="acoes"))*Inputs!$B$1+((Inputs!$G$5:$G$180&lt;&gt;"moeda")*(Inputs!$G$5:$G$180&lt;&gt;"acoes")))*INDEX(Inputs!$K$5:$AJ$180,0,MATCH(AK$2,Inputs!$K$4:$AJ$4,0)))))</f>
        <v>680.79029472</v>
      </c>
      <c r="AL36" s="3">
        <f>AK36</f>
        <v>680.79029472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$180=$B37)*ISNUMBER(INDEX(Inputs!$K$5:$AJ$180,0,MATCH(D$2,Inputs!$K$4:$AJ$4,0))))+SUMPRODUCT((Inputs!$C$5:$C$180=$B37)*ISNUMBER(INDEX(Inputs!$K$5:$AJ$180,0,MATCH(D$2,Inputs!$K$4:$AJ$4,0))))+SUMPRODUCT((Inputs!$E$5:$E$180=$B37)*ISNUMBER(INDEX(Inputs!$K$5:$AJ$180,0,MATCH(D$2,Inputs!$K$4:$AJ$4,0))))=0,NA(),SUMPRODUCT((Inputs!$A$5:$A$180=$B37)*Inputs!$B$5:$B$180*(((Inputs!$G$5:$G$180="moeda")+(Inputs!$G$5:$G$180="acoes"))*Inputs!$B$1+((Inputs!$G$5:$G$180&lt;&gt;"moeda")*(Inputs!$G$5:$G$180&lt;&gt;"acoes")))*INDEX(Inputs!$K$5:$AJ$180,0,MATCH(D$2,Inputs!$K$4:$AJ$4,0)))+SUMPRODUCT((Inputs!$C$5:$C$180=$B37)*Inputs!$D$5:$D$180*(((Inputs!$G$5:$G$180="moeda")+(Inputs!$G$5:$G$180="acoes"))*Inputs!$B$1+((Inputs!$G$5:$G$180&lt;&gt;"moeda")*(Inputs!$G$5:$G$180&lt;&gt;"acoes")))*INDEX(Inputs!$K$5:$AJ$180,0,MATCH(D$2,Inputs!$K$4:$AJ$4,0)))+SUMPRODUCT((Inputs!$E$5:$E$180=$B37)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37" s="6" t="e">
        <f>IF(ISNA(MATCH(E$2,Inputs!$K$4:$AJ$4,0)),NA(),IF(SUMPRODUCT((Inputs!$A$5:$A$180=$B37)*ISNUMBER(INDEX(Inputs!$K$5:$AJ$180,0,MATCH(E$2,Inputs!$K$4:$AJ$4,0))))+SUMPRODUCT((Inputs!$C$5:$C$180=$B37)*ISNUMBER(INDEX(Inputs!$K$5:$AJ$180,0,MATCH(E$2,Inputs!$K$4:$AJ$4,0))))+SUMPRODUCT((Inputs!$E$5:$E$180=$B37)*ISNUMBER(INDEX(Inputs!$K$5:$AJ$180,0,MATCH(E$2,Inputs!$K$4:$AJ$4,0))))=0,NA(),SUMPRODUCT((Inputs!$A$5:$A$180=$B37)*Inputs!$B$5:$B$180*(((Inputs!$G$5:$G$180="moeda")+(Inputs!$G$5:$G$180="acoes"))*Inputs!$B$1+((Inputs!$G$5:$G$180&lt;&gt;"moeda")*(Inputs!$G$5:$G$180&lt;&gt;"acoes")))*INDEX(Inputs!$K$5:$AJ$180,0,MATCH(E$2,Inputs!$K$4:$AJ$4,0)))+SUMPRODUCT((Inputs!$C$5:$C$180=$B37)*Inputs!$D$5:$D$180*(((Inputs!$G$5:$G$180="moeda")+(Inputs!$G$5:$G$180="acoes"))*Inputs!$B$1+((Inputs!$G$5:$G$180&lt;&gt;"moeda")*(Inputs!$G$5:$G$180&lt;&gt;"acoes")))*INDEX(Inputs!$K$5:$AJ$180,0,MATCH(E$2,Inputs!$K$4:$AJ$4,0)))+SUMPRODUCT((Inputs!$E$5:$E$180=$B37)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37" s="6" t="e">
        <f>IF(ISNA(MATCH(F$2,Inputs!$K$4:$AJ$4,0)),NA(),IF(SUMPRODUCT((Inputs!$A$5:$A$180=$B37)*ISNUMBER(INDEX(Inputs!$K$5:$AJ$180,0,MATCH(F$2,Inputs!$K$4:$AJ$4,0))))+SUMPRODUCT((Inputs!$C$5:$C$180=$B37)*ISNUMBER(INDEX(Inputs!$K$5:$AJ$180,0,MATCH(F$2,Inputs!$K$4:$AJ$4,0))))+SUMPRODUCT((Inputs!$E$5:$E$180=$B37)*ISNUMBER(INDEX(Inputs!$K$5:$AJ$180,0,MATCH(F$2,Inputs!$K$4:$AJ$4,0))))=0,NA(),SUMPRODUCT((Inputs!$A$5:$A$180=$B37)*Inputs!$B$5:$B$180*(((Inputs!$G$5:$G$180="moeda")+(Inputs!$G$5:$G$180="acoes"))*Inputs!$B$1+((Inputs!$G$5:$G$180&lt;&gt;"moeda")*(Inputs!$G$5:$G$180&lt;&gt;"acoes")))*INDEX(Inputs!$K$5:$AJ$180,0,MATCH(F$2,Inputs!$K$4:$AJ$4,0)))+SUMPRODUCT((Inputs!$C$5:$C$180=$B37)*Inputs!$D$5:$D$180*(((Inputs!$G$5:$G$180="moeda")+(Inputs!$G$5:$G$180="acoes"))*Inputs!$B$1+((Inputs!$G$5:$G$180&lt;&gt;"moeda")*(Inputs!$G$5:$G$180&lt;&gt;"acoes")))*INDEX(Inputs!$K$5:$AJ$180,0,MATCH(F$2,Inputs!$K$4:$AJ$4,0)))+SUMPRODUCT((Inputs!$E$5:$E$180=$B37)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37" s="6" t="e">
        <f>IF(ISNA(MATCH(G$2,Inputs!$K$4:$AJ$4,0)),NA(),IF(SUMPRODUCT((Inputs!$A$5:$A$180=$B37)*ISNUMBER(INDEX(Inputs!$K$5:$AJ$180,0,MATCH(G$2,Inputs!$K$4:$AJ$4,0))))+SUMPRODUCT((Inputs!$C$5:$C$180=$B37)*ISNUMBER(INDEX(Inputs!$K$5:$AJ$180,0,MATCH(G$2,Inputs!$K$4:$AJ$4,0))))+SUMPRODUCT((Inputs!$E$5:$E$180=$B37)*ISNUMBER(INDEX(Inputs!$K$5:$AJ$180,0,MATCH(G$2,Inputs!$K$4:$AJ$4,0))))=0,NA(),SUMPRODUCT((Inputs!$A$5:$A$180=$B37)*Inputs!$B$5:$B$180*(((Inputs!$G$5:$G$180="moeda")+(Inputs!$G$5:$G$180="acoes"))*Inputs!$B$1+((Inputs!$G$5:$G$180&lt;&gt;"moeda")*(Inputs!$G$5:$G$180&lt;&gt;"acoes")))*INDEX(Inputs!$K$5:$AJ$180,0,MATCH(G$2,Inputs!$K$4:$AJ$4,0)))+SUMPRODUCT((Inputs!$C$5:$C$180=$B37)*Inputs!$D$5:$D$180*(((Inputs!$G$5:$G$180="moeda")+(Inputs!$G$5:$G$180="acoes"))*Inputs!$B$1+((Inputs!$G$5:$G$180&lt;&gt;"moeda")*(Inputs!$G$5:$G$180&lt;&gt;"acoes")))*INDEX(Inputs!$K$5:$AJ$180,0,MATCH(G$2,Inputs!$K$4:$AJ$4,0)))+SUMPRODUCT((Inputs!$E$5:$E$180=$B37)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37" s="3" t="e">
        <f>G37</f>
        <v>#N/A</v>
      </c>
      <c r="I37" s="6" t="e">
        <f>IF(ISNA(MATCH(I$2,Inputs!$K$4:$AJ$4,0)),NA(),IF(SUMPRODUCT((Inputs!$A$5:$A$180=$B37)*ISNUMBER(INDEX(Inputs!$K$5:$AJ$180,0,MATCH(I$2,Inputs!$K$4:$AJ$4,0))))+SUMPRODUCT((Inputs!$C$5:$C$180=$B37)*ISNUMBER(INDEX(Inputs!$K$5:$AJ$180,0,MATCH(I$2,Inputs!$K$4:$AJ$4,0))))+SUMPRODUCT((Inputs!$E$5:$E$180=$B37)*ISNUMBER(INDEX(Inputs!$K$5:$AJ$180,0,MATCH(I$2,Inputs!$K$4:$AJ$4,0))))=0,NA(),SUMPRODUCT((Inputs!$A$5:$A$180=$B37)*Inputs!$B$5:$B$180*(((Inputs!$G$5:$G$180="moeda")+(Inputs!$G$5:$G$180="acoes"))*Inputs!$B$1+((Inputs!$G$5:$G$180&lt;&gt;"moeda")*(Inputs!$G$5:$G$180&lt;&gt;"acoes")))*INDEX(Inputs!$K$5:$AJ$180,0,MATCH(I$2,Inputs!$K$4:$AJ$4,0)))+SUMPRODUCT((Inputs!$C$5:$C$180=$B37)*Inputs!$D$5:$D$180*(((Inputs!$G$5:$G$180="moeda")+(Inputs!$G$5:$G$180="acoes"))*Inputs!$B$1+((Inputs!$G$5:$G$180&lt;&gt;"moeda")*(Inputs!$G$5:$G$180&lt;&gt;"acoes")))*INDEX(Inputs!$K$5:$AJ$180,0,MATCH(I$2,Inputs!$K$4:$AJ$4,0)))+SUMPRODUCT((Inputs!$E$5:$E$180=$B37)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37" s="6" t="e">
        <f>IF(ISNA(MATCH(J$2,Inputs!$K$4:$AJ$4,0)),NA(),IF(SUMPRODUCT((Inputs!$A$5:$A$180=$B37)*ISNUMBER(INDEX(Inputs!$K$5:$AJ$180,0,MATCH(J$2,Inputs!$K$4:$AJ$4,0))))+SUMPRODUCT((Inputs!$C$5:$C$180=$B37)*ISNUMBER(INDEX(Inputs!$K$5:$AJ$180,0,MATCH(J$2,Inputs!$K$4:$AJ$4,0))))+SUMPRODUCT((Inputs!$E$5:$E$180=$B37)*ISNUMBER(INDEX(Inputs!$K$5:$AJ$180,0,MATCH(J$2,Inputs!$K$4:$AJ$4,0))))=0,NA(),SUMPRODUCT((Inputs!$A$5:$A$180=$B37)*Inputs!$B$5:$B$180*(((Inputs!$G$5:$G$180="moeda")+(Inputs!$G$5:$G$180="acoes"))*Inputs!$B$1+((Inputs!$G$5:$G$180&lt;&gt;"moeda")*(Inputs!$G$5:$G$180&lt;&gt;"acoes")))*INDEX(Inputs!$K$5:$AJ$180,0,MATCH(J$2,Inputs!$K$4:$AJ$4,0)))+SUMPRODUCT((Inputs!$C$5:$C$180=$B37)*Inputs!$D$5:$D$180*(((Inputs!$G$5:$G$180="moeda")+(Inputs!$G$5:$G$180="acoes"))*Inputs!$B$1+((Inputs!$G$5:$G$180&lt;&gt;"moeda")*(Inputs!$G$5:$G$180&lt;&gt;"acoes")))*INDEX(Inputs!$K$5:$AJ$180,0,MATCH(J$2,Inputs!$K$4:$AJ$4,0)))+SUMPRODUCT((Inputs!$E$5:$E$180=$B37)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37" s="6" t="e">
        <f>IF(ISNA(MATCH(K$2,Inputs!$K$4:$AJ$4,0)),NA(),IF(SUMPRODUCT((Inputs!$A$5:$A$180=$B37)*ISNUMBER(INDEX(Inputs!$K$5:$AJ$180,0,MATCH(K$2,Inputs!$K$4:$AJ$4,0))))+SUMPRODUCT((Inputs!$C$5:$C$180=$B37)*ISNUMBER(INDEX(Inputs!$K$5:$AJ$180,0,MATCH(K$2,Inputs!$K$4:$AJ$4,0))))+SUMPRODUCT((Inputs!$E$5:$E$180=$B37)*ISNUMBER(INDEX(Inputs!$K$5:$AJ$180,0,MATCH(K$2,Inputs!$K$4:$AJ$4,0))))=0,NA(),SUMPRODUCT((Inputs!$A$5:$A$180=$B37)*Inputs!$B$5:$B$180*(((Inputs!$G$5:$G$180="moeda")+(Inputs!$G$5:$G$180="acoes"))*Inputs!$B$1+((Inputs!$G$5:$G$180&lt;&gt;"moeda")*(Inputs!$G$5:$G$180&lt;&gt;"acoes")))*INDEX(Inputs!$K$5:$AJ$180,0,MATCH(K$2,Inputs!$K$4:$AJ$4,0)))+SUMPRODUCT((Inputs!$C$5:$C$180=$B37)*Inputs!$D$5:$D$180*(((Inputs!$G$5:$G$180="moeda")+(Inputs!$G$5:$G$180="acoes"))*Inputs!$B$1+((Inputs!$G$5:$G$180&lt;&gt;"moeda")*(Inputs!$G$5:$G$180&lt;&gt;"acoes")))*INDEX(Inputs!$K$5:$AJ$180,0,MATCH(K$2,Inputs!$K$4:$AJ$4,0)))+SUMPRODUCT((Inputs!$E$5:$E$180=$B37)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37" s="6" t="e">
        <f>IF(ISNA(MATCH(L$2,Inputs!$K$4:$AJ$4,0)),NA(),IF(SUMPRODUCT((Inputs!$A$5:$A$180=$B37)*ISNUMBER(INDEX(Inputs!$K$5:$AJ$180,0,MATCH(L$2,Inputs!$K$4:$AJ$4,0))))+SUMPRODUCT((Inputs!$C$5:$C$180=$B37)*ISNUMBER(INDEX(Inputs!$K$5:$AJ$180,0,MATCH(L$2,Inputs!$K$4:$AJ$4,0))))+SUMPRODUCT((Inputs!$E$5:$E$180=$B37)*ISNUMBER(INDEX(Inputs!$K$5:$AJ$180,0,MATCH(L$2,Inputs!$K$4:$AJ$4,0))))=0,NA(),SUMPRODUCT((Inputs!$A$5:$A$180=$B37)*Inputs!$B$5:$B$180*(((Inputs!$G$5:$G$180="moeda")+(Inputs!$G$5:$G$180="acoes"))*Inputs!$B$1+((Inputs!$G$5:$G$180&lt;&gt;"moeda")*(Inputs!$G$5:$G$180&lt;&gt;"acoes")))*INDEX(Inputs!$K$5:$AJ$180,0,MATCH(L$2,Inputs!$K$4:$AJ$4,0)))+SUMPRODUCT((Inputs!$C$5:$C$180=$B37)*Inputs!$D$5:$D$180*(((Inputs!$G$5:$G$180="moeda")+(Inputs!$G$5:$G$180="acoes"))*Inputs!$B$1+((Inputs!$G$5:$G$180&lt;&gt;"moeda")*(Inputs!$G$5:$G$180&lt;&gt;"acoes")))*INDEX(Inputs!$K$5:$AJ$180,0,MATCH(L$2,Inputs!$K$4:$AJ$4,0)))+SUMPRODUCT((Inputs!$E$5:$E$180=$B37)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37" s="3" t="e">
        <f>L37</f>
        <v>#N/A</v>
      </c>
      <c r="N37" s="6" t="e">
        <f>IF(ISNA(MATCH(N$2,Inputs!$K$4:$AJ$4,0)),NA(),IF(SUMPRODUCT((Inputs!$A$5:$A$180=$B37)*ISNUMBER(INDEX(Inputs!$K$5:$AJ$180,0,MATCH(N$2,Inputs!$K$4:$AJ$4,0))))+SUMPRODUCT((Inputs!$C$5:$C$180=$B37)*ISNUMBER(INDEX(Inputs!$K$5:$AJ$180,0,MATCH(N$2,Inputs!$K$4:$AJ$4,0))))+SUMPRODUCT((Inputs!$E$5:$E$180=$B37)*ISNUMBER(INDEX(Inputs!$K$5:$AJ$180,0,MATCH(N$2,Inputs!$K$4:$AJ$4,0))))=0,NA(),SUMPRODUCT((Inputs!$A$5:$A$180=$B37)*Inputs!$B$5:$B$180*(((Inputs!$G$5:$G$180="moeda")+(Inputs!$G$5:$G$180="acoes"))*Inputs!$B$1+((Inputs!$G$5:$G$180&lt;&gt;"moeda")*(Inputs!$G$5:$G$180&lt;&gt;"acoes")))*INDEX(Inputs!$K$5:$AJ$180,0,MATCH(N$2,Inputs!$K$4:$AJ$4,0)))+SUMPRODUCT((Inputs!$C$5:$C$180=$B37)*Inputs!$D$5:$D$180*(((Inputs!$G$5:$G$180="moeda")+(Inputs!$G$5:$G$180="acoes"))*Inputs!$B$1+((Inputs!$G$5:$G$180&lt;&gt;"moeda")*(Inputs!$G$5:$G$180&lt;&gt;"acoes")))*INDEX(Inputs!$K$5:$AJ$180,0,MATCH(N$2,Inputs!$K$4:$AJ$4,0)))+SUMPRODUCT((Inputs!$E$5:$E$180=$B37)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37" s="6" t="e">
        <f>IF(ISNA(MATCH(O$2,Inputs!$K$4:$AJ$4,0)),NA(),IF(SUMPRODUCT((Inputs!$A$5:$A$180=$B37)*ISNUMBER(INDEX(Inputs!$K$5:$AJ$180,0,MATCH(O$2,Inputs!$K$4:$AJ$4,0))))+SUMPRODUCT((Inputs!$C$5:$C$180=$B37)*ISNUMBER(INDEX(Inputs!$K$5:$AJ$180,0,MATCH(O$2,Inputs!$K$4:$AJ$4,0))))+SUMPRODUCT((Inputs!$E$5:$E$180=$B37)*ISNUMBER(INDEX(Inputs!$K$5:$AJ$180,0,MATCH(O$2,Inputs!$K$4:$AJ$4,0))))=0,NA(),SUMPRODUCT((Inputs!$A$5:$A$180=$B37)*Inputs!$B$5:$B$180*(((Inputs!$G$5:$G$180="moeda")+(Inputs!$G$5:$G$180="acoes"))*Inputs!$B$1+((Inputs!$G$5:$G$180&lt;&gt;"moeda")*(Inputs!$G$5:$G$180&lt;&gt;"acoes")))*INDEX(Inputs!$K$5:$AJ$180,0,MATCH(O$2,Inputs!$K$4:$AJ$4,0)))+SUMPRODUCT((Inputs!$C$5:$C$180=$B37)*Inputs!$D$5:$D$180*(((Inputs!$G$5:$G$180="moeda")+(Inputs!$G$5:$G$180="acoes"))*Inputs!$B$1+((Inputs!$G$5:$G$180&lt;&gt;"moeda")*(Inputs!$G$5:$G$180&lt;&gt;"acoes")))*INDEX(Inputs!$K$5:$AJ$180,0,MATCH(O$2,Inputs!$K$4:$AJ$4,0)))+SUMPRODUCT((Inputs!$E$5:$E$180=$B37)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37" s="6" t="e">
        <f>IF(ISNA(MATCH(P$2,Inputs!$K$4:$AJ$4,0)),NA(),IF(SUMPRODUCT((Inputs!$A$5:$A$180=$B37)*ISNUMBER(INDEX(Inputs!$K$5:$AJ$180,0,MATCH(P$2,Inputs!$K$4:$AJ$4,0))))+SUMPRODUCT((Inputs!$C$5:$C$180=$B37)*ISNUMBER(INDEX(Inputs!$K$5:$AJ$180,0,MATCH(P$2,Inputs!$K$4:$AJ$4,0))))+SUMPRODUCT((Inputs!$E$5:$E$180=$B37)*ISNUMBER(INDEX(Inputs!$K$5:$AJ$180,0,MATCH(P$2,Inputs!$K$4:$AJ$4,0))))=0,NA(),SUMPRODUCT((Inputs!$A$5:$A$180=$B37)*Inputs!$B$5:$B$180*(((Inputs!$G$5:$G$180="moeda")+(Inputs!$G$5:$G$180="acoes"))*Inputs!$B$1+((Inputs!$G$5:$G$180&lt;&gt;"moeda")*(Inputs!$G$5:$G$180&lt;&gt;"acoes")))*INDEX(Inputs!$K$5:$AJ$180,0,MATCH(P$2,Inputs!$K$4:$AJ$4,0)))+SUMPRODUCT((Inputs!$C$5:$C$180=$B37)*Inputs!$D$5:$D$180*(((Inputs!$G$5:$G$180="moeda")+(Inputs!$G$5:$G$180="acoes"))*Inputs!$B$1+((Inputs!$G$5:$G$180&lt;&gt;"moeda")*(Inputs!$G$5:$G$180&lt;&gt;"acoes")))*INDEX(Inputs!$K$5:$AJ$180,0,MATCH(P$2,Inputs!$K$4:$AJ$4,0)))+SUMPRODUCT((Inputs!$E$5:$E$180=$B37)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37" s="6" t="e">
        <f>IF(ISNA(MATCH(Q$2,Inputs!$K$4:$AJ$4,0)),NA(),IF(SUMPRODUCT((Inputs!$A$5:$A$180=$B37)*ISNUMBER(INDEX(Inputs!$K$5:$AJ$180,0,MATCH(Q$2,Inputs!$K$4:$AJ$4,0))))+SUMPRODUCT((Inputs!$C$5:$C$180=$B37)*ISNUMBER(INDEX(Inputs!$K$5:$AJ$180,0,MATCH(Q$2,Inputs!$K$4:$AJ$4,0))))+SUMPRODUCT((Inputs!$E$5:$E$180=$B37)*ISNUMBER(INDEX(Inputs!$K$5:$AJ$180,0,MATCH(Q$2,Inputs!$K$4:$AJ$4,0))))=0,NA(),SUMPRODUCT((Inputs!$A$5:$A$180=$B37)*Inputs!$B$5:$B$180*(((Inputs!$G$5:$G$180="moeda")+(Inputs!$G$5:$G$180="acoes"))*Inputs!$B$1+((Inputs!$G$5:$G$180&lt;&gt;"moeda")*(Inputs!$G$5:$G$180&lt;&gt;"acoes")))*INDEX(Inputs!$K$5:$AJ$180,0,MATCH(Q$2,Inputs!$K$4:$AJ$4,0)))+SUMPRODUCT((Inputs!$C$5:$C$180=$B37)*Inputs!$D$5:$D$180*(((Inputs!$G$5:$G$180="moeda")+(Inputs!$G$5:$G$180="acoes"))*Inputs!$B$1+((Inputs!$G$5:$G$180&lt;&gt;"moeda")*(Inputs!$G$5:$G$180&lt;&gt;"acoes")))*INDEX(Inputs!$K$5:$AJ$180,0,MATCH(Q$2,Inputs!$K$4:$AJ$4,0)))+SUMPRODUCT((Inputs!$E$5:$E$180=$B37)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37" s="3" t="e">
        <f>Q37</f>
        <v>#N/A</v>
      </c>
      <c r="S37" s="6" t="e">
        <f>IF(ISNA(MATCH(S$2,Inputs!$K$4:$AJ$4,0)),NA(),IF(SUMPRODUCT((Inputs!$A$5:$A$180=$B37)*ISNUMBER(INDEX(Inputs!$K$5:$AJ$180,0,MATCH(S$2,Inputs!$K$4:$AJ$4,0))))+SUMPRODUCT((Inputs!$C$5:$C$180=$B37)*ISNUMBER(INDEX(Inputs!$K$5:$AJ$180,0,MATCH(S$2,Inputs!$K$4:$AJ$4,0))))+SUMPRODUCT((Inputs!$E$5:$E$180=$B37)*ISNUMBER(INDEX(Inputs!$K$5:$AJ$180,0,MATCH(S$2,Inputs!$K$4:$AJ$4,0))))=0,NA(),SUMPRODUCT((Inputs!$A$5:$A$180=$B37)*Inputs!$B$5:$B$180*(((Inputs!$G$5:$G$180="moeda")+(Inputs!$G$5:$G$180="acoes"))*Inputs!$B$1+((Inputs!$G$5:$G$180&lt;&gt;"moeda")*(Inputs!$G$5:$G$180&lt;&gt;"acoes")))*INDEX(Inputs!$K$5:$AJ$180,0,MATCH(S$2,Inputs!$K$4:$AJ$4,0)))+SUMPRODUCT((Inputs!$C$5:$C$180=$B37)*Inputs!$D$5:$D$180*(((Inputs!$G$5:$G$180="moeda")+(Inputs!$G$5:$G$180="acoes"))*Inputs!$B$1+((Inputs!$G$5:$G$180&lt;&gt;"moeda")*(Inputs!$G$5:$G$180&lt;&gt;"acoes")))*INDEX(Inputs!$K$5:$AJ$180,0,MATCH(S$2,Inputs!$K$4:$AJ$4,0)))+SUMPRODUCT((Inputs!$E$5:$E$180=$B37)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37" s="6" t="e">
        <f>IF(ISNA(MATCH(T$2,Inputs!$K$4:$AJ$4,0)),NA(),IF(SUMPRODUCT((Inputs!$A$5:$A$180=$B37)*ISNUMBER(INDEX(Inputs!$K$5:$AJ$180,0,MATCH(T$2,Inputs!$K$4:$AJ$4,0))))+SUMPRODUCT((Inputs!$C$5:$C$180=$B37)*ISNUMBER(INDEX(Inputs!$K$5:$AJ$180,0,MATCH(T$2,Inputs!$K$4:$AJ$4,0))))+SUMPRODUCT((Inputs!$E$5:$E$180=$B37)*ISNUMBER(INDEX(Inputs!$K$5:$AJ$180,0,MATCH(T$2,Inputs!$K$4:$AJ$4,0))))=0,NA(),SUMPRODUCT((Inputs!$A$5:$A$180=$B37)*Inputs!$B$5:$B$180*(((Inputs!$G$5:$G$180="moeda")+(Inputs!$G$5:$G$180="acoes"))*Inputs!$B$1+((Inputs!$G$5:$G$180&lt;&gt;"moeda")*(Inputs!$G$5:$G$180&lt;&gt;"acoes")))*INDEX(Inputs!$K$5:$AJ$180,0,MATCH(T$2,Inputs!$K$4:$AJ$4,0)))+SUMPRODUCT((Inputs!$C$5:$C$180=$B37)*Inputs!$D$5:$D$180*(((Inputs!$G$5:$G$180="moeda")+(Inputs!$G$5:$G$180="acoes"))*Inputs!$B$1+((Inputs!$G$5:$G$180&lt;&gt;"moeda")*(Inputs!$G$5:$G$180&lt;&gt;"acoes")))*INDEX(Inputs!$K$5:$AJ$180,0,MATCH(T$2,Inputs!$K$4:$AJ$4,0)))+SUMPRODUCT((Inputs!$E$5:$E$180=$B37)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37" s="6" t="e">
        <f>IF(ISNA(MATCH(U$2,Inputs!$K$4:$AJ$4,0)),NA(),IF(SUMPRODUCT((Inputs!$A$5:$A$180=$B37)*ISNUMBER(INDEX(Inputs!$K$5:$AJ$180,0,MATCH(U$2,Inputs!$K$4:$AJ$4,0))))+SUMPRODUCT((Inputs!$C$5:$C$180=$B37)*ISNUMBER(INDEX(Inputs!$K$5:$AJ$180,0,MATCH(U$2,Inputs!$K$4:$AJ$4,0))))+SUMPRODUCT((Inputs!$E$5:$E$180=$B37)*ISNUMBER(INDEX(Inputs!$K$5:$AJ$180,0,MATCH(U$2,Inputs!$K$4:$AJ$4,0))))=0,NA(),SUMPRODUCT((Inputs!$A$5:$A$180=$B37)*Inputs!$B$5:$B$180*(((Inputs!$G$5:$G$180="moeda")+(Inputs!$G$5:$G$180="acoes"))*Inputs!$B$1+((Inputs!$G$5:$G$180&lt;&gt;"moeda")*(Inputs!$G$5:$G$180&lt;&gt;"acoes")))*INDEX(Inputs!$K$5:$AJ$180,0,MATCH(U$2,Inputs!$K$4:$AJ$4,0)))+SUMPRODUCT((Inputs!$C$5:$C$180=$B37)*Inputs!$D$5:$D$180*(((Inputs!$G$5:$G$180="moeda")+(Inputs!$G$5:$G$180="acoes"))*Inputs!$B$1+((Inputs!$G$5:$G$180&lt;&gt;"moeda")*(Inputs!$G$5:$G$180&lt;&gt;"acoes")))*INDEX(Inputs!$K$5:$AJ$180,0,MATCH(U$2,Inputs!$K$4:$AJ$4,0)))+SUMPRODUCT((Inputs!$E$5:$E$180=$B37)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37" s="6" t="e">
        <f>IF(ISNA(MATCH(V$2,Inputs!$K$4:$AJ$4,0)),NA(),IF(SUMPRODUCT((Inputs!$A$5:$A$180=$B37)*ISNUMBER(INDEX(Inputs!$K$5:$AJ$180,0,MATCH(V$2,Inputs!$K$4:$AJ$4,0))))+SUMPRODUCT((Inputs!$C$5:$C$180=$B37)*ISNUMBER(INDEX(Inputs!$K$5:$AJ$180,0,MATCH(V$2,Inputs!$K$4:$AJ$4,0))))+SUMPRODUCT((Inputs!$E$5:$E$180=$B37)*ISNUMBER(INDEX(Inputs!$K$5:$AJ$180,0,MATCH(V$2,Inputs!$K$4:$AJ$4,0))))=0,NA(),SUMPRODUCT((Inputs!$A$5:$A$180=$B37)*Inputs!$B$5:$B$180*(((Inputs!$G$5:$G$180="moeda")+(Inputs!$G$5:$G$180="acoes"))*Inputs!$B$1+((Inputs!$G$5:$G$180&lt;&gt;"moeda")*(Inputs!$G$5:$G$180&lt;&gt;"acoes")))*INDEX(Inputs!$K$5:$AJ$180,0,MATCH(V$2,Inputs!$K$4:$AJ$4,0)))+SUMPRODUCT((Inputs!$C$5:$C$180=$B37)*Inputs!$D$5:$D$180*(((Inputs!$G$5:$G$180="moeda")+(Inputs!$G$5:$G$180="acoes"))*Inputs!$B$1+((Inputs!$G$5:$G$180&lt;&gt;"moeda")*(Inputs!$G$5:$G$180&lt;&gt;"acoes")))*INDEX(Inputs!$K$5:$AJ$180,0,MATCH(V$2,Inputs!$K$4:$AJ$4,0)))+SUMPRODUCT((Inputs!$E$5:$E$180=$B37)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37" s="3" t="e">
        <f>V37</f>
        <v>#N/A</v>
      </c>
      <c r="X37" s="6" t="e">
        <f>IF(ISNA(MATCH(X$2,Inputs!$K$4:$AJ$4,0)),NA(),IF(SUMPRODUCT((Inputs!$A$5:$A$180=$B37)*ISNUMBER(INDEX(Inputs!$K$5:$AJ$180,0,MATCH(X$2,Inputs!$K$4:$AJ$4,0))))+SUMPRODUCT((Inputs!$C$5:$C$180=$B37)*ISNUMBER(INDEX(Inputs!$K$5:$AJ$180,0,MATCH(X$2,Inputs!$K$4:$AJ$4,0))))+SUMPRODUCT((Inputs!$E$5:$E$180=$B37)*ISNUMBER(INDEX(Inputs!$K$5:$AJ$180,0,MATCH(X$2,Inputs!$K$4:$AJ$4,0))))=0,NA(),SUMPRODUCT((Inputs!$A$5:$A$180=$B37)*Inputs!$B$5:$B$180*(((Inputs!$G$5:$G$180="moeda")+(Inputs!$G$5:$G$180="acoes"))*Inputs!$B$1+((Inputs!$G$5:$G$180&lt;&gt;"moeda")*(Inputs!$G$5:$G$180&lt;&gt;"acoes")))*INDEX(Inputs!$K$5:$AJ$180,0,MATCH(X$2,Inputs!$K$4:$AJ$4,0)))+SUMPRODUCT((Inputs!$C$5:$C$180=$B37)*Inputs!$D$5:$D$180*(((Inputs!$G$5:$G$180="moeda")+(Inputs!$G$5:$G$180="acoes"))*Inputs!$B$1+((Inputs!$G$5:$G$180&lt;&gt;"moeda")*(Inputs!$G$5:$G$180&lt;&gt;"acoes")))*INDEX(Inputs!$K$5:$AJ$180,0,MATCH(X$2,Inputs!$K$4:$AJ$4,0)))+SUMPRODUCT((Inputs!$E$5:$E$180=$B37)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37" s="6" t="e">
        <f>IF(ISNA(MATCH(Y$2,Inputs!$K$4:$AJ$4,0)),NA(),IF(SUMPRODUCT((Inputs!$A$5:$A$180=$B37)*ISNUMBER(INDEX(Inputs!$K$5:$AJ$180,0,MATCH(Y$2,Inputs!$K$4:$AJ$4,0))))+SUMPRODUCT((Inputs!$C$5:$C$180=$B37)*ISNUMBER(INDEX(Inputs!$K$5:$AJ$180,0,MATCH(Y$2,Inputs!$K$4:$AJ$4,0))))+SUMPRODUCT((Inputs!$E$5:$E$180=$B37)*ISNUMBER(INDEX(Inputs!$K$5:$AJ$180,0,MATCH(Y$2,Inputs!$K$4:$AJ$4,0))))=0,NA(),SUMPRODUCT((Inputs!$A$5:$A$180=$B37)*Inputs!$B$5:$B$180*(((Inputs!$G$5:$G$180="moeda")+(Inputs!$G$5:$G$180="acoes"))*Inputs!$B$1+((Inputs!$G$5:$G$180&lt;&gt;"moeda")*(Inputs!$G$5:$G$180&lt;&gt;"acoes")))*INDEX(Inputs!$K$5:$AJ$180,0,MATCH(Y$2,Inputs!$K$4:$AJ$4,0)))+SUMPRODUCT((Inputs!$C$5:$C$180=$B37)*Inputs!$D$5:$D$180*(((Inputs!$G$5:$G$180="moeda")+(Inputs!$G$5:$G$180="acoes"))*Inputs!$B$1+((Inputs!$G$5:$G$180&lt;&gt;"moeda")*(Inputs!$G$5:$G$180&lt;&gt;"acoes")))*INDEX(Inputs!$K$5:$AJ$180,0,MATCH(Y$2,Inputs!$K$4:$AJ$4,0)))+SUMPRODUCT((Inputs!$E$5:$E$180=$B37)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37" s="6" t="e">
        <f>IF(ISNA(MATCH(Z$2,Inputs!$K$4:$AJ$4,0)),NA(),IF(SUMPRODUCT((Inputs!$A$5:$A$180=$B37)*ISNUMBER(INDEX(Inputs!$K$5:$AJ$180,0,MATCH(Z$2,Inputs!$K$4:$AJ$4,0))))+SUMPRODUCT((Inputs!$C$5:$C$180=$B37)*ISNUMBER(INDEX(Inputs!$K$5:$AJ$180,0,MATCH(Z$2,Inputs!$K$4:$AJ$4,0))))+SUMPRODUCT((Inputs!$E$5:$E$180=$B37)*ISNUMBER(INDEX(Inputs!$K$5:$AJ$180,0,MATCH(Z$2,Inputs!$K$4:$AJ$4,0))))=0,NA(),SUMPRODUCT((Inputs!$A$5:$A$180=$B37)*Inputs!$B$5:$B$180*(((Inputs!$G$5:$G$180="moeda")+(Inputs!$G$5:$G$180="acoes"))*Inputs!$B$1+((Inputs!$G$5:$G$180&lt;&gt;"moeda")*(Inputs!$G$5:$G$180&lt;&gt;"acoes")))*INDEX(Inputs!$K$5:$AJ$180,0,MATCH(Z$2,Inputs!$K$4:$AJ$4,0)))+SUMPRODUCT((Inputs!$C$5:$C$180=$B37)*Inputs!$D$5:$D$180*(((Inputs!$G$5:$G$180="moeda")+(Inputs!$G$5:$G$180="acoes"))*Inputs!$B$1+((Inputs!$G$5:$G$180&lt;&gt;"moeda")*(Inputs!$G$5:$G$180&lt;&gt;"acoes")))*INDEX(Inputs!$K$5:$AJ$180,0,MATCH(Z$2,Inputs!$K$4:$AJ$4,0)))+SUMPRODUCT((Inputs!$E$5:$E$180=$B37)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37" s="6" t="e">
        <f>IF(ISNA(MATCH(AA$2,Inputs!$K$4:$AJ$4,0)),NA(),IF(SUMPRODUCT((Inputs!$A$5:$A$180=$B37)*ISNUMBER(INDEX(Inputs!$K$5:$AJ$180,0,MATCH(AA$2,Inputs!$K$4:$AJ$4,0))))+SUMPRODUCT((Inputs!$C$5:$C$180=$B37)*ISNUMBER(INDEX(Inputs!$K$5:$AJ$180,0,MATCH(AA$2,Inputs!$K$4:$AJ$4,0))))+SUMPRODUCT((Inputs!$E$5:$E$180=$B37)*ISNUMBER(INDEX(Inputs!$K$5:$AJ$180,0,MATCH(AA$2,Inputs!$K$4:$AJ$4,0))))=0,NA(),SUMPRODUCT((Inputs!$A$5:$A$180=$B37)*Inputs!$B$5:$B$180*(((Inputs!$G$5:$G$180="moeda")+(Inputs!$G$5:$G$180="acoes"))*Inputs!$B$1+((Inputs!$G$5:$G$180&lt;&gt;"moeda")*(Inputs!$G$5:$G$180&lt;&gt;"acoes")))*INDEX(Inputs!$K$5:$AJ$180,0,MATCH(AA$2,Inputs!$K$4:$AJ$4,0)))+SUMPRODUCT((Inputs!$C$5:$C$180=$B37)*Inputs!$D$5:$D$180*(((Inputs!$G$5:$G$180="moeda")+(Inputs!$G$5:$G$180="acoes"))*Inputs!$B$1+((Inputs!$G$5:$G$180&lt;&gt;"moeda")*(Inputs!$G$5:$G$180&lt;&gt;"acoes")))*INDEX(Inputs!$K$5:$AJ$180,0,MATCH(AA$2,Inputs!$K$4:$AJ$4,0)))+SUMPRODUCT((Inputs!$E$5:$E$180=$B37)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37" s="3" t="e">
        <f>AA37</f>
        <v>#N/A</v>
      </c>
      <c r="AC37" s="6" t="e">
        <f>IF(ISNA(MATCH(AC$2,Inputs!$K$4:$AJ$4,0)),NA(),IF(SUMPRODUCT((Inputs!$A$5:$A$180=$B37)*ISNUMBER(INDEX(Inputs!$K$5:$AJ$180,0,MATCH(AC$2,Inputs!$K$4:$AJ$4,0))))+SUMPRODUCT((Inputs!$C$5:$C$180=$B37)*ISNUMBER(INDEX(Inputs!$K$5:$AJ$180,0,MATCH(AC$2,Inputs!$K$4:$AJ$4,0))))+SUMPRODUCT((Inputs!$E$5:$E$180=$B37)*ISNUMBER(INDEX(Inputs!$K$5:$AJ$180,0,MATCH(AC$2,Inputs!$K$4:$AJ$4,0))))=0,NA(),SUMPRODUCT((Inputs!$A$5:$A$180=$B37)*Inputs!$B$5:$B$180*(((Inputs!$G$5:$G$180="moeda")+(Inputs!$G$5:$G$180="acoes"))*Inputs!$B$1+((Inputs!$G$5:$G$180&lt;&gt;"moeda")*(Inputs!$G$5:$G$180&lt;&gt;"acoes")))*INDEX(Inputs!$K$5:$AJ$180,0,MATCH(AC$2,Inputs!$K$4:$AJ$4,0)))+SUMPRODUCT((Inputs!$C$5:$C$180=$B37)*Inputs!$D$5:$D$180*(((Inputs!$G$5:$G$180="moeda")+(Inputs!$G$5:$G$180="acoes"))*Inputs!$B$1+((Inputs!$G$5:$G$180&lt;&gt;"moeda")*(Inputs!$G$5:$G$180&lt;&gt;"acoes")))*INDEX(Inputs!$K$5:$AJ$180,0,MATCH(AC$2,Inputs!$K$4:$AJ$4,0)))+SUMPRODUCT((Inputs!$E$5:$E$180=$B37)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37" s="6" t="e">
        <f>IF(ISNA(MATCH(AD$2,Inputs!$K$4:$AJ$4,0)),NA(),IF(SUMPRODUCT((Inputs!$A$5:$A$180=$B37)*ISNUMBER(INDEX(Inputs!$K$5:$AJ$180,0,MATCH(AD$2,Inputs!$K$4:$AJ$4,0))))+SUMPRODUCT((Inputs!$C$5:$C$180=$B37)*ISNUMBER(INDEX(Inputs!$K$5:$AJ$180,0,MATCH(AD$2,Inputs!$K$4:$AJ$4,0))))+SUMPRODUCT((Inputs!$E$5:$E$180=$B37)*ISNUMBER(INDEX(Inputs!$K$5:$AJ$180,0,MATCH(AD$2,Inputs!$K$4:$AJ$4,0))))=0,NA(),SUMPRODUCT((Inputs!$A$5:$A$180=$B37)*Inputs!$B$5:$B$180*(((Inputs!$G$5:$G$180="moeda")+(Inputs!$G$5:$G$180="acoes"))*Inputs!$B$1+((Inputs!$G$5:$G$180&lt;&gt;"moeda")*(Inputs!$G$5:$G$180&lt;&gt;"acoes")))*INDEX(Inputs!$K$5:$AJ$180,0,MATCH(AD$2,Inputs!$K$4:$AJ$4,0)))+SUMPRODUCT((Inputs!$C$5:$C$180=$B37)*Inputs!$D$5:$D$180*(((Inputs!$G$5:$G$180="moeda")+(Inputs!$G$5:$G$180="acoes"))*Inputs!$B$1+((Inputs!$G$5:$G$180&lt;&gt;"moeda")*(Inputs!$G$5:$G$180&lt;&gt;"acoes")))*INDEX(Inputs!$K$5:$AJ$180,0,MATCH(AD$2,Inputs!$K$4:$AJ$4,0)))+SUMPRODUCT((Inputs!$E$5:$E$180=$B37)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37" s="6" t="e">
        <f>IF(ISNA(MATCH(AE$2,Inputs!$K$4:$AJ$4,0)),NA(),IF(SUMPRODUCT((Inputs!$A$5:$A$180=$B37)*ISNUMBER(INDEX(Inputs!$K$5:$AJ$180,0,MATCH(AE$2,Inputs!$K$4:$AJ$4,0))))+SUMPRODUCT((Inputs!$C$5:$C$180=$B37)*ISNUMBER(INDEX(Inputs!$K$5:$AJ$180,0,MATCH(AE$2,Inputs!$K$4:$AJ$4,0))))+SUMPRODUCT((Inputs!$E$5:$E$180=$B37)*ISNUMBER(INDEX(Inputs!$K$5:$AJ$180,0,MATCH(AE$2,Inputs!$K$4:$AJ$4,0))))=0,NA(),SUMPRODUCT((Inputs!$A$5:$A$180=$B37)*Inputs!$B$5:$B$180*(((Inputs!$G$5:$G$180="moeda")+(Inputs!$G$5:$G$180="acoes"))*Inputs!$B$1+((Inputs!$G$5:$G$180&lt;&gt;"moeda")*(Inputs!$G$5:$G$180&lt;&gt;"acoes")))*INDEX(Inputs!$K$5:$AJ$180,0,MATCH(AE$2,Inputs!$K$4:$AJ$4,0)))+SUMPRODUCT((Inputs!$C$5:$C$180=$B37)*Inputs!$D$5:$D$180*(((Inputs!$G$5:$G$180="moeda")+(Inputs!$G$5:$G$180="acoes"))*Inputs!$B$1+((Inputs!$G$5:$G$180&lt;&gt;"moeda")*(Inputs!$G$5:$G$180&lt;&gt;"acoes")))*INDEX(Inputs!$K$5:$AJ$180,0,MATCH(AE$2,Inputs!$K$4:$AJ$4,0)))+SUMPRODUCT((Inputs!$E$5:$E$180=$B37)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7" s="6" t="e">
        <f>IF(ISNA(MATCH(AF$2,Inputs!$K$4:$AJ$4,0)),NA(),IF(SUMPRODUCT((Inputs!$A$5:$A$180=$B37)*ISNUMBER(INDEX(Inputs!$K$5:$AJ$180,0,MATCH(AF$2,Inputs!$K$4:$AJ$4,0))))+SUMPRODUCT((Inputs!$C$5:$C$180=$B37)*ISNUMBER(INDEX(Inputs!$K$5:$AJ$180,0,MATCH(AF$2,Inputs!$K$4:$AJ$4,0))))+SUMPRODUCT((Inputs!$E$5:$E$180=$B37)*ISNUMBER(INDEX(Inputs!$K$5:$AJ$180,0,MATCH(AF$2,Inputs!$K$4:$AJ$4,0))))=0,NA(),SUMPRODUCT((Inputs!$A$5:$A$180=$B37)*Inputs!$B$5:$B$180*(((Inputs!$G$5:$G$180="moeda")+(Inputs!$G$5:$G$180="acoes"))*Inputs!$B$1+((Inputs!$G$5:$G$180&lt;&gt;"moeda")*(Inputs!$G$5:$G$180&lt;&gt;"acoes")))*INDEX(Inputs!$K$5:$AJ$180,0,MATCH(AF$2,Inputs!$K$4:$AJ$4,0)))+SUMPRODUCT((Inputs!$C$5:$C$180=$B37)*Inputs!$D$5:$D$180*(((Inputs!$G$5:$G$180="moeda")+(Inputs!$G$5:$G$180="acoes"))*Inputs!$B$1+((Inputs!$G$5:$G$180&lt;&gt;"moeda")*(Inputs!$G$5:$G$180&lt;&gt;"acoes")))*INDEX(Inputs!$K$5:$AJ$180,0,MATCH(AF$2,Inputs!$K$4:$AJ$4,0)))+SUMPRODUCT((Inputs!$E$5:$E$180=$B37)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7" s="3" t="e">
        <f>AF37</f>
        <v>#N/A</v>
      </c>
      <c r="AH37" s="6" t="e">
        <f>IF(ISNA(MATCH(AH$2,Inputs!$K$4:$AJ$4,0)),NA(),IF(SUMPRODUCT((Inputs!$A$5:$A$180=$B37)*ISNUMBER(INDEX(Inputs!$K$5:$AJ$180,0,MATCH(AH$2,Inputs!$K$4:$AJ$4,0))))+SUMPRODUCT((Inputs!$C$5:$C$180=$B37)*ISNUMBER(INDEX(Inputs!$K$5:$AJ$180,0,MATCH(AH$2,Inputs!$K$4:$AJ$4,0))))+SUMPRODUCT((Inputs!$E$5:$E$180=$B37)*ISNUMBER(INDEX(Inputs!$K$5:$AJ$180,0,MATCH(AH$2,Inputs!$K$4:$AJ$4,0))))=0,NA(),SUMPRODUCT((Inputs!$A$5:$A$180=$B37)*Inputs!$B$5:$B$180*(((Inputs!$G$5:$G$180="moeda")+(Inputs!$G$5:$G$180="acoes"))*Inputs!$B$1+((Inputs!$G$5:$G$180&lt;&gt;"moeda")*(Inputs!$G$5:$G$180&lt;&gt;"acoes")))*INDEX(Inputs!$K$5:$AJ$180,0,MATCH(AH$2,Inputs!$K$4:$AJ$4,0)))+SUMPRODUCT((Inputs!$C$5:$C$180=$B37)*Inputs!$D$5:$D$180*(((Inputs!$G$5:$G$180="moeda")+(Inputs!$G$5:$G$180="acoes"))*Inputs!$B$1+((Inputs!$G$5:$G$180&lt;&gt;"moeda")*(Inputs!$G$5:$G$180&lt;&gt;"acoes")))*INDEX(Inputs!$K$5:$AJ$180,0,MATCH(AH$2,Inputs!$K$4:$AJ$4,0)))+SUMPRODUCT((Inputs!$E$5:$E$180=$B37)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37" s="6" t="e">
        <f>IF(ISNA(MATCH(AI$2,Inputs!$K$4:$AJ$4,0)),NA(),IF(SUMPRODUCT((Inputs!$A$5:$A$180=$B37)*ISNUMBER(INDEX(Inputs!$K$5:$AJ$180,0,MATCH(AI$2,Inputs!$K$4:$AJ$4,0))))+SUMPRODUCT((Inputs!$C$5:$C$180=$B37)*ISNUMBER(INDEX(Inputs!$K$5:$AJ$180,0,MATCH(AI$2,Inputs!$K$4:$AJ$4,0))))+SUMPRODUCT((Inputs!$E$5:$E$180=$B37)*ISNUMBER(INDEX(Inputs!$K$5:$AJ$180,0,MATCH(AI$2,Inputs!$K$4:$AJ$4,0))))=0,NA(),SUMPRODUCT((Inputs!$A$5:$A$180=$B37)*Inputs!$B$5:$B$180*(((Inputs!$G$5:$G$180="moeda")+(Inputs!$G$5:$G$180="acoes"))*Inputs!$B$1+((Inputs!$G$5:$G$180&lt;&gt;"moeda")*(Inputs!$G$5:$G$180&lt;&gt;"acoes")))*INDEX(Inputs!$K$5:$AJ$180,0,MATCH(AI$2,Inputs!$K$4:$AJ$4,0)))+SUMPRODUCT((Inputs!$C$5:$C$180=$B37)*Inputs!$D$5:$D$180*(((Inputs!$G$5:$G$180="moeda")+(Inputs!$G$5:$G$180="acoes"))*Inputs!$B$1+((Inputs!$G$5:$G$180&lt;&gt;"moeda")*(Inputs!$G$5:$G$180&lt;&gt;"acoes")))*INDEX(Inputs!$K$5:$AJ$180,0,MATCH(AI$2,Inputs!$K$4:$AJ$4,0)))+SUMPRODUCT((Inputs!$E$5:$E$180=$B37)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37" s="6" t="e">
        <f>IF(ISNA(MATCH(AJ$2,Inputs!$K$4:$AJ$4,0)),NA(),IF(SUMPRODUCT((Inputs!$A$5:$A$180=$B37)*ISNUMBER(INDEX(Inputs!$K$5:$AJ$180,0,MATCH(AJ$2,Inputs!$K$4:$AJ$4,0))))+SUMPRODUCT((Inputs!$C$5:$C$180=$B37)*ISNUMBER(INDEX(Inputs!$K$5:$AJ$180,0,MATCH(AJ$2,Inputs!$K$4:$AJ$4,0))))+SUMPRODUCT((Inputs!$E$5:$E$180=$B37)*ISNUMBER(INDEX(Inputs!$K$5:$AJ$180,0,MATCH(AJ$2,Inputs!$K$4:$AJ$4,0))))=0,NA(),SUMPRODUCT((Inputs!$A$5:$A$180=$B37)*Inputs!$B$5:$B$180*(((Inputs!$G$5:$G$180="moeda")+(Inputs!$G$5:$G$180="acoes"))*Inputs!$B$1+((Inputs!$G$5:$G$180&lt;&gt;"moeda")*(Inputs!$G$5:$G$180&lt;&gt;"acoes")))*INDEX(Inputs!$K$5:$AJ$180,0,MATCH(AJ$2,Inputs!$K$4:$AJ$4,0)))+SUMPRODUCT((Inputs!$C$5:$C$180=$B37)*Inputs!$D$5:$D$180*(((Inputs!$G$5:$G$180="moeda")+(Inputs!$G$5:$G$180="acoes"))*Inputs!$B$1+((Inputs!$G$5:$G$180&lt;&gt;"moeda")*(Inputs!$G$5:$G$180&lt;&gt;"acoes")))*INDEX(Inputs!$K$5:$AJ$180,0,MATCH(AJ$2,Inputs!$K$4:$AJ$4,0)))+SUMPRODUCT((Inputs!$E$5:$E$180=$B37)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37" s="6" t="e">
        <f>IF(ISNA(MATCH(AK$2,Inputs!$K$4:$AJ$4,0)),NA(),IF(SUMPRODUCT((Inputs!$A$5:$A$180=$B37)*ISNUMBER(INDEX(Inputs!$K$5:$AJ$180,0,MATCH(AK$2,Inputs!$K$4:$AJ$4,0))))+SUMPRODUCT((Inputs!$C$5:$C$180=$B37)*ISNUMBER(INDEX(Inputs!$K$5:$AJ$180,0,MATCH(AK$2,Inputs!$K$4:$AJ$4,0))))+SUMPRODUCT((Inputs!$E$5:$E$180=$B37)*ISNUMBER(INDEX(Inputs!$K$5:$AJ$180,0,MATCH(AK$2,Inputs!$K$4:$AJ$4,0))))=0,NA(),SUMPRODUCT((Inputs!$A$5:$A$180=$B37)*Inputs!$B$5:$B$180*(((Inputs!$G$5:$G$180="moeda")+(Inputs!$G$5:$G$180="acoes"))*Inputs!$B$1+((Inputs!$G$5:$G$180&lt;&gt;"moeda")*(Inputs!$G$5:$G$180&lt;&gt;"acoes")))*INDEX(Inputs!$K$5:$AJ$180,0,MATCH(AK$2,Inputs!$K$4:$AJ$4,0)))+SUMPRODUCT((Inputs!$C$5:$C$180=$B37)*Inputs!$D$5:$D$180*(((Inputs!$G$5:$G$180="moeda")+(Inputs!$G$5:$G$180="acoes"))*Inputs!$B$1+((Inputs!$G$5:$G$180&lt;&gt;"moeda")*(Inputs!$G$5:$G$180&lt;&gt;"acoes")))*INDEX(Inputs!$K$5:$AJ$180,0,MATCH(AK$2,Inputs!$K$4:$AJ$4,0)))+SUMPRODUCT((Inputs!$E$5:$E$180=$B37)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$180=$B38)*ISNUMBER(INDEX(Inputs!$K$5:$AJ$180,0,MATCH(D$2,Inputs!$K$4:$AJ$4,0))))+SUMPRODUCT((Inputs!$C$5:$C$180=$B38)*ISNUMBER(INDEX(Inputs!$K$5:$AJ$180,0,MATCH(D$2,Inputs!$K$4:$AJ$4,0))))+SUMPRODUCT((Inputs!$E$5:$E$180=$B38)*ISNUMBER(INDEX(Inputs!$K$5:$AJ$180,0,MATCH(D$2,Inputs!$K$4:$AJ$4,0))))=0,NA(),SUMPRODUCT((Inputs!$A$5:$A$180=$B38)*Inputs!$B$5:$B$180*(((Inputs!$G$5:$G$180="moeda")+(Inputs!$G$5:$G$180="acoes"))*Inputs!$B$1+((Inputs!$G$5:$G$180&lt;&gt;"moeda")*(Inputs!$G$5:$G$180&lt;&gt;"acoes")))*INDEX(Inputs!$K$5:$AJ$180,0,MATCH(D$2,Inputs!$K$4:$AJ$4,0)))+SUMPRODUCT((Inputs!$C$5:$C$180=$B38)*Inputs!$D$5:$D$180*(((Inputs!$G$5:$G$180="moeda")+(Inputs!$G$5:$G$180="acoes"))*Inputs!$B$1+((Inputs!$G$5:$G$180&lt;&gt;"moeda")*(Inputs!$G$5:$G$180&lt;&gt;"acoes")))*INDEX(Inputs!$K$5:$AJ$180,0,MATCH(D$2,Inputs!$K$4:$AJ$4,0)))+SUMPRODUCT((Inputs!$E$5:$E$180=$B38)*Inputs!$F$5:$F$180*(((Inputs!$G$5:$G$180="moeda")+(Inputs!$G$5:$G$180="acoes"))*Inputs!$B$1+((Inputs!$G$5:$G$180&lt;&gt;"moeda")*(Inputs!$G$5:$G$180&lt;&gt;"acoes")))*INDEX(Inputs!$K$5:$AJ$180,0,MATCH(D$2,Inputs!$K$4:$AJ$4,0)))))</f>
        <v>467.16584292</v>
      </c>
      <c r="E38" s="6">
        <f>IF(ISNA(MATCH(E$2,Inputs!$K$4:$AJ$4,0)),NA(),IF(SUMPRODUCT((Inputs!$A$5:$A$180=$B38)*ISNUMBER(INDEX(Inputs!$K$5:$AJ$180,0,MATCH(E$2,Inputs!$K$4:$AJ$4,0))))+SUMPRODUCT((Inputs!$C$5:$C$180=$B38)*ISNUMBER(INDEX(Inputs!$K$5:$AJ$180,0,MATCH(E$2,Inputs!$K$4:$AJ$4,0))))+SUMPRODUCT((Inputs!$E$5:$E$180=$B38)*ISNUMBER(INDEX(Inputs!$K$5:$AJ$180,0,MATCH(E$2,Inputs!$K$4:$AJ$4,0))))=0,NA(),SUMPRODUCT((Inputs!$A$5:$A$180=$B38)*Inputs!$B$5:$B$180*(((Inputs!$G$5:$G$180="moeda")+(Inputs!$G$5:$G$180="acoes"))*Inputs!$B$1+((Inputs!$G$5:$G$180&lt;&gt;"moeda")*(Inputs!$G$5:$G$180&lt;&gt;"acoes")))*INDEX(Inputs!$K$5:$AJ$180,0,MATCH(E$2,Inputs!$K$4:$AJ$4,0)))+SUMPRODUCT((Inputs!$C$5:$C$180=$B38)*Inputs!$D$5:$D$180*(((Inputs!$G$5:$G$180="moeda")+(Inputs!$G$5:$G$180="acoes"))*Inputs!$B$1+((Inputs!$G$5:$G$180&lt;&gt;"moeda")*(Inputs!$G$5:$G$180&lt;&gt;"acoes")))*INDEX(Inputs!$K$5:$AJ$180,0,MATCH(E$2,Inputs!$K$4:$AJ$4,0)))+SUMPRODUCT((Inputs!$E$5:$E$180=$B38)*Inputs!$F$5:$F$180*(((Inputs!$G$5:$G$180="moeda")+(Inputs!$G$5:$G$180="acoes"))*Inputs!$B$1+((Inputs!$G$5:$G$180&lt;&gt;"moeda")*(Inputs!$G$5:$G$180&lt;&gt;"acoes")))*INDEX(Inputs!$K$5:$AJ$180,0,MATCH(E$2,Inputs!$K$4:$AJ$4,0)))))</f>
        <v>466.67550792</v>
      </c>
      <c r="F38" s="6">
        <f>IF(ISNA(MATCH(F$2,Inputs!$K$4:$AJ$4,0)),NA(),IF(SUMPRODUCT((Inputs!$A$5:$A$180=$B38)*ISNUMBER(INDEX(Inputs!$K$5:$AJ$180,0,MATCH(F$2,Inputs!$K$4:$AJ$4,0))))+SUMPRODUCT((Inputs!$C$5:$C$180=$B38)*ISNUMBER(INDEX(Inputs!$K$5:$AJ$180,0,MATCH(F$2,Inputs!$K$4:$AJ$4,0))))+SUMPRODUCT((Inputs!$E$5:$E$180=$B38)*ISNUMBER(INDEX(Inputs!$K$5:$AJ$180,0,MATCH(F$2,Inputs!$K$4:$AJ$4,0))))=0,NA(),SUMPRODUCT((Inputs!$A$5:$A$180=$B38)*Inputs!$B$5:$B$180*(((Inputs!$G$5:$G$180="moeda")+(Inputs!$G$5:$G$180="acoes"))*Inputs!$B$1+((Inputs!$G$5:$G$180&lt;&gt;"moeda")*(Inputs!$G$5:$G$180&lt;&gt;"acoes")))*INDEX(Inputs!$K$5:$AJ$180,0,MATCH(F$2,Inputs!$K$4:$AJ$4,0)))+SUMPRODUCT((Inputs!$C$5:$C$180=$B38)*Inputs!$D$5:$D$180*(((Inputs!$G$5:$G$180="moeda")+(Inputs!$G$5:$G$180="acoes"))*Inputs!$B$1+((Inputs!$G$5:$G$180&lt;&gt;"moeda")*(Inputs!$G$5:$G$180&lt;&gt;"acoes")))*INDEX(Inputs!$K$5:$AJ$180,0,MATCH(F$2,Inputs!$K$4:$AJ$4,0)))+SUMPRODUCT((Inputs!$E$5:$E$180=$B38)*Inputs!$F$5:$F$180*(((Inputs!$G$5:$G$180="moeda")+(Inputs!$G$5:$G$180="acoes"))*Inputs!$B$1+((Inputs!$G$5:$G$180&lt;&gt;"moeda")*(Inputs!$G$5:$G$180&lt;&gt;"acoes")))*INDEX(Inputs!$K$5:$AJ$180,0,MATCH(F$2,Inputs!$K$4:$AJ$4,0)))))</f>
        <v>465.94036794</v>
      </c>
      <c r="G38" s="6">
        <f>IF(ISNA(MATCH(G$2,Inputs!$K$4:$AJ$4,0)),NA(),IF(SUMPRODUCT((Inputs!$A$5:$A$180=$B38)*ISNUMBER(INDEX(Inputs!$K$5:$AJ$180,0,MATCH(G$2,Inputs!$K$4:$AJ$4,0))))+SUMPRODUCT((Inputs!$C$5:$C$180=$B38)*ISNUMBER(INDEX(Inputs!$K$5:$AJ$180,0,MATCH(G$2,Inputs!$K$4:$AJ$4,0))))+SUMPRODUCT((Inputs!$E$5:$E$180=$B38)*ISNUMBER(INDEX(Inputs!$K$5:$AJ$180,0,MATCH(G$2,Inputs!$K$4:$AJ$4,0))))=0,NA(),SUMPRODUCT((Inputs!$A$5:$A$180=$B38)*Inputs!$B$5:$B$180*(((Inputs!$G$5:$G$180="moeda")+(Inputs!$G$5:$G$180="acoes"))*Inputs!$B$1+((Inputs!$G$5:$G$180&lt;&gt;"moeda")*(Inputs!$G$5:$G$180&lt;&gt;"acoes")))*INDEX(Inputs!$K$5:$AJ$180,0,MATCH(G$2,Inputs!$K$4:$AJ$4,0)))+SUMPRODUCT((Inputs!$C$5:$C$180=$B38)*Inputs!$D$5:$D$180*(((Inputs!$G$5:$G$180="moeda")+(Inputs!$G$5:$G$180="acoes"))*Inputs!$B$1+((Inputs!$G$5:$G$180&lt;&gt;"moeda")*(Inputs!$G$5:$G$180&lt;&gt;"acoes")))*INDEX(Inputs!$K$5:$AJ$180,0,MATCH(G$2,Inputs!$K$4:$AJ$4,0)))+SUMPRODUCT((Inputs!$E$5:$E$180=$B38)*Inputs!$F$5:$F$180*(((Inputs!$G$5:$G$180="moeda")+(Inputs!$G$5:$G$180="acoes"))*Inputs!$B$1+((Inputs!$G$5:$G$180&lt;&gt;"moeda")*(Inputs!$G$5:$G$180&lt;&gt;"acoes")))*INDEX(Inputs!$K$5:$AJ$180,0,MATCH(G$2,Inputs!$K$4:$AJ$4,0)))))</f>
        <v>397.561</v>
      </c>
      <c r="H38" s="3">
        <f>G38</f>
        <v>397.561</v>
      </c>
      <c r="I38" s="6">
        <f>IF(ISNA(MATCH(I$2,Inputs!$K$4:$AJ$4,0)),NA(),IF(SUMPRODUCT((Inputs!$A$5:$A$180=$B38)*ISNUMBER(INDEX(Inputs!$K$5:$AJ$180,0,MATCH(I$2,Inputs!$K$4:$AJ$4,0))))+SUMPRODUCT((Inputs!$C$5:$C$180=$B38)*ISNUMBER(INDEX(Inputs!$K$5:$AJ$180,0,MATCH(I$2,Inputs!$K$4:$AJ$4,0))))+SUMPRODUCT((Inputs!$E$5:$E$180=$B38)*ISNUMBER(INDEX(Inputs!$K$5:$AJ$180,0,MATCH(I$2,Inputs!$K$4:$AJ$4,0))))=0,NA(),SUMPRODUCT((Inputs!$A$5:$A$180=$B38)*Inputs!$B$5:$B$180*(((Inputs!$G$5:$G$180="moeda")+(Inputs!$G$5:$G$180="acoes"))*Inputs!$B$1+((Inputs!$G$5:$G$180&lt;&gt;"moeda")*(Inputs!$G$5:$G$180&lt;&gt;"acoes")))*INDEX(Inputs!$K$5:$AJ$180,0,MATCH(I$2,Inputs!$K$4:$AJ$4,0)))+SUMPRODUCT((Inputs!$C$5:$C$180=$B38)*Inputs!$D$5:$D$180*(((Inputs!$G$5:$G$180="moeda")+(Inputs!$G$5:$G$180="acoes"))*Inputs!$B$1+((Inputs!$G$5:$G$180&lt;&gt;"moeda")*(Inputs!$G$5:$G$180&lt;&gt;"acoes")))*INDEX(Inputs!$K$5:$AJ$180,0,MATCH(I$2,Inputs!$K$4:$AJ$4,0)))+SUMPRODUCT((Inputs!$E$5:$E$180=$B38)*Inputs!$F$5:$F$180*(((Inputs!$G$5:$G$180="moeda")+(Inputs!$G$5:$G$180="acoes"))*Inputs!$B$1+((Inputs!$G$5:$G$180&lt;&gt;"moeda")*(Inputs!$G$5:$G$180&lt;&gt;"acoes")))*INDEX(Inputs!$K$5:$AJ$180,0,MATCH(I$2,Inputs!$K$4:$AJ$4,0)))))</f>
        <v>410.47774333</v>
      </c>
      <c r="J38" s="6">
        <f>IF(ISNA(MATCH(J$2,Inputs!$K$4:$AJ$4,0)),NA(),IF(SUMPRODUCT((Inputs!$A$5:$A$180=$B38)*ISNUMBER(INDEX(Inputs!$K$5:$AJ$180,0,MATCH(J$2,Inputs!$K$4:$AJ$4,0))))+SUMPRODUCT((Inputs!$C$5:$C$180=$B38)*ISNUMBER(INDEX(Inputs!$K$5:$AJ$180,0,MATCH(J$2,Inputs!$K$4:$AJ$4,0))))+SUMPRODUCT((Inputs!$E$5:$E$180=$B38)*ISNUMBER(INDEX(Inputs!$K$5:$AJ$180,0,MATCH(J$2,Inputs!$K$4:$AJ$4,0))))=0,NA(),SUMPRODUCT((Inputs!$A$5:$A$180=$B38)*Inputs!$B$5:$B$180*(((Inputs!$G$5:$G$180="moeda")+(Inputs!$G$5:$G$180="acoes"))*Inputs!$B$1+((Inputs!$G$5:$G$180&lt;&gt;"moeda")*(Inputs!$G$5:$G$180&lt;&gt;"acoes")))*INDEX(Inputs!$K$5:$AJ$180,0,MATCH(J$2,Inputs!$K$4:$AJ$4,0)))+SUMPRODUCT((Inputs!$C$5:$C$180=$B38)*Inputs!$D$5:$D$180*(((Inputs!$G$5:$G$180="moeda")+(Inputs!$G$5:$G$180="acoes"))*Inputs!$B$1+((Inputs!$G$5:$G$180&lt;&gt;"moeda")*(Inputs!$G$5:$G$180&lt;&gt;"acoes")))*INDEX(Inputs!$K$5:$AJ$180,0,MATCH(J$2,Inputs!$K$4:$AJ$4,0)))+SUMPRODUCT((Inputs!$E$5:$E$180=$B38)*Inputs!$F$5:$F$180*(((Inputs!$G$5:$G$180="moeda")+(Inputs!$G$5:$G$180="acoes"))*Inputs!$B$1+((Inputs!$G$5:$G$180&lt;&gt;"moeda")*(Inputs!$G$5:$G$180&lt;&gt;"acoes")))*INDEX(Inputs!$K$5:$AJ$180,0,MATCH(J$2,Inputs!$K$4:$AJ$4,0)))))</f>
        <v>508.20410198</v>
      </c>
      <c r="K38" s="6">
        <f>IF(ISNA(MATCH(K$2,Inputs!$K$4:$AJ$4,0)),NA(),IF(SUMPRODUCT((Inputs!$A$5:$A$180=$B38)*ISNUMBER(INDEX(Inputs!$K$5:$AJ$180,0,MATCH(K$2,Inputs!$K$4:$AJ$4,0))))+SUMPRODUCT((Inputs!$C$5:$C$180=$B38)*ISNUMBER(INDEX(Inputs!$K$5:$AJ$180,0,MATCH(K$2,Inputs!$K$4:$AJ$4,0))))+SUMPRODUCT((Inputs!$E$5:$E$180=$B38)*ISNUMBER(INDEX(Inputs!$K$5:$AJ$180,0,MATCH(K$2,Inputs!$K$4:$AJ$4,0))))=0,NA(),SUMPRODUCT((Inputs!$A$5:$A$180=$B38)*Inputs!$B$5:$B$180*(((Inputs!$G$5:$G$180="moeda")+(Inputs!$G$5:$G$180="acoes"))*Inputs!$B$1+((Inputs!$G$5:$G$180&lt;&gt;"moeda")*(Inputs!$G$5:$G$180&lt;&gt;"acoes")))*INDEX(Inputs!$K$5:$AJ$180,0,MATCH(K$2,Inputs!$K$4:$AJ$4,0)))+SUMPRODUCT((Inputs!$C$5:$C$180=$B38)*Inputs!$D$5:$D$180*(((Inputs!$G$5:$G$180="moeda")+(Inputs!$G$5:$G$180="acoes"))*Inputs!$B$1+((Inputs!$G$5:$G$180&lt;&gt;"moeda")*(Inputs!$G$5:$G$180&lt;&gt;"acoes")))*INDEX(Inputs!$K$5:$AJ$180,0,MATCH(K$2,Inputs!$K$4:$AJ$4,0)))+SUMPRODUCT((Inputs!$E$5:$E$180=$B38)*Inputs!$F$5:$F$180*(((Inputs!$G$5:$G$180="moeda")+(Inputs!$G$5:$G$180="acoes"))*Inputs!$B$1+((Inputs!$G$5:$G$180&lt;&gt;"moeda")*(Inputs!$G$5:$G$180&lt;&gt;"acoes")))*INDEX(Inputs!$K$5:$AJ$180,0,MATCH(K$2,Inputs!$K$4:$AJ$4,0)))))</f>
        <v>510.90411053</v>
      </c>
      <c r="L38" s="6">
        <f>IF(ISNA(MATCH(L$2,Inputs!$K$4:$AJ$4,0)),NA(),IF(SUMPRODUCT((Inputs!$A$5:$A$180=$B38)*ISNUMBER(INDEX(Inputs!$K$5:$AJ$180,0,MATCH(L$2,Inputs!$K$4:$AJ$4,0))))+SUMPRODUCT((Inputs!$C$5:$C$180=$B38)*ISNUMBER(INDEX(Inputs!$K$5:$AJ$180,0,MATCH(L$2,Inputs!$K$4:$AJ$4,0))))+SUMPRODUCT((Inputs!$E$5:$E$180=$B38)*ISNUMBER(INDEX(Inputs!$K$5:$AJ$180,0,MATCH(L$2,Inputs!$K$4:$AJ$4,0))))=0,NA(),SUMPRODUCT((Inputs!$A$5:$A$180=$B38)*Inputs!$B$5:$B$180*(((Inputs!$G$5:$G$180="moeda")+(Inputs!$G$5:$G$180="acoes"))*Inputs!$B$1+((Inputs!$G$5:$G$180&lt;&gt;"moeda")*(Inputs!$G$5:$G$180&lt;&gt;"acoes")))*INDEX(Inputs!$K$5:$AJ$180,0,MATCH(L$2,Inputs!$K$4:$AJ$4,0)))+SUMPRODUCT((Inputs!$C$5:$C$180=$B38)*Inputs!$D$5:$D$180*(((Inputs!$G$5:$G$180="moeda")+(Inputs!$G$5:$G$180="acoes"))*Inputs!$B$1+((Inputs!$G$5:$G$180&lt;&gt;"moeda")*(Inputs!$G$5:$G$180&lt;&gt;"acoes")))*INDEX(Inputs!$K$5:$AJ$180,0,MATCH(L$2,Inputs!$K$4:$AJ$4,0)))+SUMPRODUCT((Inputs!$E$5:$E$180=$B38)*Inputs!$F$5:$F$180*(((Inputs!$G$5:$G$180="moeda")+(Inputs!$G$5:$G$180="acoes"))*Inputs!$B$1+((Inputs!$G$5:$G$180&lt;&gt;"moeda")*(Inputs!$G$5:$G$180&lt;&gt;"acoes")))*INDEX(Inputs!$K$5:$AJ$180,0,MATCH(L$2,Inputs!$K$4:$AJ$4,0)))))</f>
        <v>397.58912424</v>
      </c>
      <c r="M38" s="3">
        <f>L38</f>
        <v>397.58912424</v>
      </c>
      <c r="N38" s="6">
        <f>IF(ISNA(MATCH(N$2,Inputs!$K$4:$AJ$4,0)),NA(),IF(SUMPRODUCT((Inputs!$A$5:$A$180=$B38)*ISNUMBER(INDEX(Inputs!$K$5:$AJ$180,0,MATCH(N$2,Inputs!$K$4:$AJ$4,0))))+SUMPRODUCT((Inputs!$C$5:$C$180=$B38)*ISNUMBER(INDEX(Inputs!$K$5:$AJ$180,0,MATCH(N$2,Inputs!$K$4:$AJ$4,0))))+SUMPRODUCT((Inputs!$E$5:$E$180=$B38)*ISNUMBER(INDEX(Inputs!$K$5:$AJ$180,0,MATCH(N$2,Inputs!$K$4:$AJ$4,0))))=0,NA(),SUMPRODUCT((Inputs!$A$5:$A$180=$B38)*Inputs!$B$5:$B$180*(((Inputs!$G$5:$G$180="moeda")+(Inputs!$G$5:$G$180="acoes"))*Inputs!$B$1+((Inputs!$G$5:$G$180&lt;&gt;"moeda")*(Inputs!$G$5:$G$180&lt;&gt;"acoes")))*INDEX(Inputs!$K$5:$AJ$180,0,MATCH(N$2,Inputs!$K$4:$AJ$4,0)))+SUMPRODUCT((Inputs!$C$5:$C$180=$B38)*Inputs!$D$5:$D$180*(((Inputs!$G$5:$G$180="moeda")+(Inputs!$G$5:$G$180="acoes"))*Inputs!$B$1+((Inputs!$G$5:$G$180&lt;&gt;"moeda")*(Inputs!$G$5:$G$180&lt;&gt;"acoes")))*INDEX(Inputs!$K$5:$AJ$180,0,MATCH(N$2,Inputs!$K$4:$AJ$4,0)))+SUMPRODUCT((Inputs!$E$5:$E$180=$B38)*Inputs!$F$5:$F$180*(((Inputs!$G$5:$G$180="moeda")+(Inputs!$G$5:$G$180="acoes"))*Inputs!$B$1+((Inputs!$G$5:$G$180&lt;&gt;"moeda")*(Inputs!$G$5:$G$180&lt;&gt;"acoes")))*INDEX(Inputs!$K$5:$AJ$180,0,MATCH(N$2,Inputs!$K$4:$AJ$4,0)))))</f>
        <v>403.13935572</v>
      </c>
      <c r="O38" s="6">
        <f>IF(ISNA(MATCH(O$2,Inputs!$K$4:$AJ$4,0)),NA(),IF(SUMPRODUCT((Inputs!$A$5:$A$180=$B38)*ISNUMBER(INDEX(Inputs!$K$5:$AJ$180,0,MATCH(O$2,Inputs!$K$4:$AJ$4,0))))+SUMPRODUCT((Inputs!$C$5:$C$180=$B38)*ISNUMBER(INDEX(Inputs!$K$5:$AJ$180,0,MATCH(O$2,Inputs!$K$4:$AJ$4,0))))+SUMPRODUCT((Inputs!$E$5:$E$180=$B38)*ISNUMBER(INDEX(Inputs!$K$5:$AJ$180,0,MATCH(O$2,Inputs!$K$4:$AJ$4,0))))=0,NA(),SUMPRODUCT((Inputs!$A$5:$A$180=$B38)*Inputs!$B$5:$B$180*(((Inputs!$G$5:$G$180="moeda")+(Inputs!$G$5:$G$180="acoes"))*Inputs!$B$1+((Inputs!$G$5:$G$180&lt;&gt;"moeda")*(Inputs!$G$5:$G$180&lt;&gt;"acoes")))*INDEX(Inputs!$K$5:$AJ$180,0,MATCH(O$2,Inputs!$K$4:$AJ$4,0)))+SUMPRODUCT((Inputs!$C$5:$C$180=$B38)*Inputs!$D$5:$D$180*(((Inputs!$G$5:$G$180="moeda")+(Inputs!$G$5:$G$180="acoes"))*Inputs!$B$1+((Inputs!$G$5:$G$180&lt;&gt;"moeda")*(Inputs!$G$5:$G$180&lt;&gt;"acoes")))*INDEX(Inputs!$K$5:$AJ$180,0,MATCH(O$2,Inputs!$K$4:$AJ$4,0)))+SUMPRODUCT((Inputs!$E$5:$E$180=$B38)*Inputs!$F$5:$F$180*(((Inputs!$G$5:$G$180="moeda")+(Inputs!$G$5:$G$180="acoes"))*Inputs!$B$1+((Inputs!$G$5:$G$180&lt;&gt;"moeda")*(Inputs!$G$5:$G$180&lt;&gt;"acoes")))*INDEX(Inputs!$K$5:$AJ$180,0,MATCH(O$2,Inputs!$K$4:$AJ$4,0)))))</f>
        <v>570.569</v>
      </c>
      <c r="P38" s="6">
        <f>IF(ISNA(MATCH(P$2,Inputs!$K$4:$AJ$4,0)),NA(),IF(SUMPRODUCT((Inputs!$A$5:$A$180=$B38)*ISNUMBER(INDEX(Inputs!$K$5:$AJ$180,0,MATCH(P$2,Inputs!$K$4:$AJ$4,0))))+SUMPRODUCT((Inputs!$C$5:$C$180=$B38)*ISNUMBER(INDEX(Inputs!$K$5:$AJ$180,0,MATCH(P$2,Inputs!$K$4:$AJ$4,0))))+SUMPRODUCT((Inputs!$E$5:$E$180=$B38)*ISNUMBER(INDEX(Inputs!$K$5:$AJ$180,0,MATCH(P$2,Inputs!$K$4:$AJ$4,0))))=0,NA(),SUMPRODUCT((Inputs!$A$5:$A$180=$B38)*Inputs!$B$5:$B$180*(((Inputs!$G$5:$G$180="moeda")+(Inputs!$G$5:$G$180="acoes"))*Inputs!$B$1+((Inputs!$G$5:$G$180&lt;&gt;"moeda")*(Inputs!$G$5:$G$180&lt;&gt;"acoes")))*INDEX(Inputs!$K$5:$AJ$180,0,MATCH(P$2,Inputs!$K$4:$AJ$4,0)))+SUMPRODUCT((Inputs!$C$5:$C$180=$B38)*Inputs!$D$5:$D$180*(((Inputs!$G$5:$G$180="moeda")+(Inputs!$G$5:$G$180="acoes"))*Inputs!$B$1+((Inputs!$G$5:$G$180&lt;&gt;"moeda")*(Inputs!$G$5:$G$180&lt;&gt;"acoes")))*INDEX(Inputs!$K$5:$AJ$180,0,MATCH(P$2,Inputs!$K$4:$AJ$4,0)))+SUMPRODUCT((Inputs!$E$5:$E$180=$B38)*Inputs!$F$5:$F$180*(((Inputs!$G$5:$G$180="moeda")+(Inputs!$G$5:$G$180="acoes"))*Inputs!$B$1+((Inputs!$G$5:$G$180&lt;&gt;"moeda")*(Inputs!$G$5:$G$180&lt;&gt;"acoes")))*INDEX(Inputs!$K$5:$AJ$180,0,MATCH(P$2,Inputs!$K$4:$AJ$4,0)))))</f>
        <v>549.898</v>
      </c>
      <c r="Q38" s="6">
        <f>IF(ISNA(MATCH(Q$2,Inputs!$K$4:$AJ$4,0)),NA(),IF(SUMPRODUCT((Inputs!$A$5:$A$180=$B38)*ISNUMBER(INDEX(Inputs!$K$5:$AJ$180,0,MATCH(Q$2,Inputs!$K$4:$AJ$4,0))))+SUMPRODUCT((Inputs!$C$5:$C$180=$B38)*ISNUMBER(INDEX(Inputs!$K$5:$AJ$180,0,MATCH(Q$2,Inputs!$K$4:$AJ$4,0))))+SUMPRODUCT((Inputs!$E$5:$E$180=$B38)*ISNUMBER(INDEX(Inputs!$K$5:$AJ$180,0,MATCH(Q$2,Inputs!$K$4:$AJ$4,0))))=0,NA(),SUMPRODUCT((Inputs!$A$5:$A$180=$B38)*Inputs!$B$5:$B$180*(((Inputs!$G$5:$G$180="moeda")+(Inputs!$G$5:$G$180="acoes"))*Inputs!$B$1+((Inputs!$G$5:$G$180&lt;&gt;"moeda")*(Inputs!$G$5:$G$180&lt;&gt;"acoes")))*INDEX(Inputs!$K$5:$AJ$180,0,MATCH(Q$2,Inputs!$K$4:$AJ$4,0)))+SUMPRODUCT((Inputs!$C$5:$C$180=$B38)*Inputs!$D$5:$D$180*(((Inputs!$G$5:$G$180="moeda")+(Inputs!$G$5:$G$180="acoes"))*Inputs!$B$1+((Inputs!$G$5:$G$180&lt;&gt;"moeda")*(Inputs!$G$5:$G$180&lt;&gt;"acoes")))*INDEX(Inputs!$K$5:$AJ$180,0,MATCH(Q$2,Inputs!$K$4:$AJ$4,0)))+SUMPRODUCT((Inputs!$E$5:$E$180=$B38)*Inputs!$F$5:$F$180*(((Inputs!$G$5:$G$180="moeda")+(Inputs!$G$5:$G$180="acoes"))*Inputs!$B$1+((Inputs!$G$5:$G$180&lt;&gt;"moeda")*(Inputs!$G$5:$G$180&lt;&gt;"acoes")))*INDEX(Inputs!$K$5:$AJ$180,0,MATCH(Q$2,Inputs!$K$4:$AJ$4,0)))))</f>
        <v>580.533</v>
      </c>
      <c r="R38" s="3">
        <f>Q38</f>
        <v>580.533</v>
      </c>
      <c r="S38" s="6">
        <f>IF(ISNA(MATCH(S$2,Inputs!$K$4:$AJ$4,0)),NA(),IF(SUMPRODUCT((Inputs!$A$5:$A$180=$B38)*ISNUMBER(INDEX(Inputs!$K$5:$AJ$180,0,MATCH(S$2,Inputs!$K$4:$AJ$4,0))))+SUMPRODUCT((Inputs!$C$5:$C$180=$B38)*ISNUMBER(INDEX(Inputs!$K$5:$AJ$180,0,MATCH(S$2,Inputs!$K$4:$AJ$4,0))))+SUMPRODUCT((Inputs!$E$5:$E$180=$B38)*ISNUMBER(INDEX(Inputs!$K$5:$AJ$180,0,MATCH(S$2,Inputs!$K$4:$AJ$4,0))))=0,NA(),SUMPRODUCT((Inputs!$A$5:$A$180=$B38)*Inputs!$B$5:$B$180*(((Inputs!$G$5:$G$180="moeda")+(Inputs!$G$5:$G$180="acoes"))*Inputs!$B$1+((Inputs!$G$5:$G$180&lt;&gt;"moeda")*(Inputs!$G$5:$G$180&lt;&gt;"acoes")))*INDEX(Inputs!$K$5:$AJ$180,0,MATCH(S$2,Inputs!$K$4:$AJ$4,0)))+SUMPRODUCT((Inputs!$C$5:$C$180=$B38)*Inputs!$D$5:$D$180*(((Inputs!$G$5:$G$180="moeda")+(Inputs!$G$5:$G$180="acoes"))*Inputs!$B$1+((Inputs!$G$5:$G$180&lt;&gt;"moeda")*(Inputs!$G$5:$G$180&lt;&gt;"acoes")))*INDEX(Inputs!$K$5:$AJ$180,0,MATCH(S$2,Inputs!$K$4:$AJ$4,0)))+SUMPRODUCT((Inputs!$E$5:$E$180=$B38)*Inputs!$F$5:$F$180*(((Inputs!$G$5:$G$180="moeda")+(Inputs!$G$5:$G$180="acoes"))*Inputs!$B$1+((Inputs!$G$5:$G$180&lt;&gt;"moeda")*(Inputs!$G$5:$G$180&lt;&gt;"acoes")))*INDEX(Inputs!$K$5:$AJ$180,0,MATCH(S$2,Inputs!$K$4:$AJ$4,0)))))</f>
        <v>576.753</v>
      </c>
      <c r="T38" s="6">
        <f>IF(ISNA(MATCH(T$2,Inputs!$K$4:$AJ$4,0)),NA(),IF(SUMPRODUCT((Inputs!$A$5:$A$180=$B38)*ISNUMBER(INDEX(Inputs!$K$5:$AJ$180,0,MATCH(T$2,Inputs!$K$4:$AJ$4,0))))+SUMPRODUCT((Inputs!$C$5:$C$180=$B38)*ISNUMBER(INDEX(Inputs!$K$5:$AJ$180,0,MATCH(T$2,Inputs!$K$4:$AJ$4,0))))+SUMPRODUCT((Inputs!$E$5:$E$180=$B38)*ISNUMBER(INDEX(Inputs!$K$5:$AJ$180,0,MATCH(T$2,Inputs!$K$4:$AJ$4,0))))=0,NA(),SUMPRODUCT((Inputs!$A$5:$A$180=$B38)*Inputs!$B$5:$B$180*(((Inputs!$G$5:$G$180="moeda")+(Inputs!$G$5:$G$180="acoes"))*Inputs!$B$1+((Inputs!$G$5:$G$180&lt;&gt;"moeda")*(Inputs!$G$5:$G$180&lt;&gt;"acoes")))*INDEX(Inputs!$K$5:$AJ$180,0,MATCH(T$2,Inputs!$K$4:$AJ$4,0)))+SUMPRODUCT((Inputs!$C$5:$C$180=$B38)*Inputs!$D$5:$D$180*(((Inputs!$G$5:$G$180="moeda")+(Inputs!$G$5:$G$180="acoes"))*Inputs!$B$1+((Inputs!$G$5:$G$180&lt;&gt;"moeda")*(Inputs!$G$5:$G$180&lt;&gt;"acoes")))*INDEX(Inputs!$K$5:$AJ$180,0,MATCH(T$2,Inputs!$K$4:$AJ$4,0)))+SUMPRODUCT((Inputs!$E$5:$E$180=$B38)*Inputs!$F$5:$F$180*(((Inputs!$G$5:$G$180="moeda")+(Inputs!$G$5:$G$180="acoes"))*Inputs!$B$1+((Inputs!$G$5:$G$180&lt;&gt;"moeda")*(Inputs!$G$5:$G$180&lt;&gt;"acoes")))*INDEX(Inputs!$K$5:$AJ$180,0,MATCH(T$2,Inputs!$K$4:$AJ$4,0)))))</f>
        <v>551.446</v>
      </c>
      <c r="U38" s="6">
        <f>IF(ISNA(MATCH(U$2,Inputs!$K$4:$AJ$4,0)),NA(),IF(SUMPRODUCT((Inputs!$A$5:$A$180=$B38)*ISNUMBER(INDEX(Inputs!$K$5:$AJ$180,0,MATCH(U$2,Inputs!$K$4:$AJ$4,0))))+SUMPRODUCT((Inputs!$C$5:$C$180=$B38)*ISNUMBER(INDEX(Inputs!$K$5:$AJ$180,0,MATCH(U$2,Inputs!$K$4:$AJ$4,0))))+SUMPRODUCT((Inputs!$E$5:$E$180=$B38)*ISNUMBER(INDEX(Inputs!$K$5:$AJ$180,0,MATCH(U$2,Inputs!$K$4:$AJ$4,0))))=0,NA(),SUMPRODUCT((Inputs!$A$5:$A$180=$B38)*Inputs!$B$5:$B$180*(((Inputs!$G$5:$G$180="moeda")+(Inputs!$G$5:$G$180="acoes"))*Inputs!$B$1+((Inputs!$G$5:$G$180&lt;&gt;"moeda")*(Inputs!$G$5:$G$180&lt;&gt;"acoes")))*INDEX(Inputs!$K$5:$AJ$180,0,MATCH(U$2,Inputs!$K$4:$AJ$4,0)))+SUMPRODUCT((Inputs!$C$5:$C$180=$B38)*Inputs!$D$5:$D$180*(((Inputs!$G$5:$G$180="moeda")+(Inputs!$G$5:$G$180="acoes"))*Inputs!$B$1+((Inputs!$G$5:$G$180&lt;&gt;"moeda")*(Inputs!$G$5:$G$180&lt;&gt;"acoes")))*INDEX(Inputs!$K$5:$AJ$180,0,MATCH(U$2,Inputs!$K$4:$AJ$4,0)))+SUMPRODUCT((Inputs!$E$5:$E$180=$B38)*Inputs!$F$5:$F$180*(((Inputs!$G$5:$G$180="moeda")+(Inputs!$G$5:$G$180="acoes"))*Inputs!$B$1+((Inputs!$G$5:$G$180&lt;&gt;"moeda")*(Inputs!$G$5:$G$180&lt;&gt;"acoes")))*INDEX(Inputs!$K$5:$AJ$180,0,MATCH(U$2,Inputs!$K$4:$AJ$4,0)))))</f>
        <v>581.485</v>
      </c>
      <c r="V38" s="6">
        <f>IF(ISNA(MATCH(V$2,Inputs!$K$4:$AJ$4,0)),NA(),IF(SUMPRODUCT((Inputs!$A$5:$A$180=$B38)*ISNUMBER(INDEX(Inputs!$K$5:$AJ$180,0,MATCH(V$2,Inputs!$K$4:$AJ$4,0))))+SUMPRODUCT((Inputs!$C$5:$C$180=$B38)*ISNUMBER(INDEX(Inputs!$K$5:$AJ$180,0,MATCH(V$2,Inputs!$K$4:$AJ$4,0))))+SUMPRODUCT((Inputs!$E$5:$E$180=$B38)*ISNUMBER(INDEX(Inputs!$K$5:$AJ$180,0,MATCH(V$2,Inputs!$K$4:$AJ$4,0))))=0,NA(),SUMPRODUCT((Inputs!$A$5:$A$180=$B38)*Inputs!$B$5:$B$180*(((Inputs!$G$5:$G$180="moeda")+(Inputs!$G$5:$G$180="acoes"))*Inputs!$B$1+((Inputs!$G$5:$G$180&lt;&gt;"moeda")*(Inputs!$G$5:$G$180&lt;&gt;"acoes")))*INDEX(Inputs!$K$5:$AJ$180,0,MATCH(V$2,Inputs!$K$4:$AJ$4,0)))+SUMPRODUCT((Inputs!$C$5:$C$180=$B38)*Inputs!$D$5:$D$180*(((Inputs!$G$5:$G$180="moeda")+(Inputs!$G$5:$G$180="acoes"))*Inputs!$B$1+((Inputs!$G$5:$G$180&lt;&gt;"moeda")*(Inputs!$G$5:$G$180&lt;&gt;"acoes")))*INDEX(Inputs!$K$5:$AJ$180,0,MATCH(V$2,Inputs!$K$4:$AJ$4,0)))+SUMPRODUCT((Inputs!$E$5:$E$180=$B38)*Inputs!$F$5:$F$180*(((Inputs!$G$5:$G$180="moeda")+(Inputs!$G$5:$G$180="acoes"))*Inputs!$B$1+((Inputs!$G$5:$G$180&lt;&gt;"moeda")*(Inputs!$G$5:$G$180&lt;&gt;"acoes")))*INDEX(Inputs!$K$5:$AJ$180,0,MATCH(V$2,Inputs!$K$4:$AJ$4,0)))))</f>
        <v>571.796</v>
      </c>
      <c r="W38" s="3">
        <f>V38</f>
        <v>571.796</v>
      </c>
      <c r="X38" s="6">
        <f>IF(ISNA(MATCH(X$2,Inputs!$K$4:$AJ$4,0)),NA(),IF(SUMPRODUCT((Inputs!$A$5:$A$180=$B38)*ISNUMBER(INDEX(Inputs!$K$5:$AJ$180,0,MATCH(X$2,Inputs!$K$4:$AJ$4,0))))+SUMPRODUCT((Inputs!$C$5:$C$180=$B38)*ISNUMBER(INDEX(Inputs!$K$5:$AJ$180,0,MATCH(X$2,Inputs!$K$4:$AJ$4,0))))+SUMPRODUCT((Inputs!$E$5:$E$180=$B38)*ISNUMBER(INDEX(Inputs!$K$5:$AJ$180,0,MATCH(X$2,Inputs!$K$4:$AJ$4,0))))=0,NA(),SUMPRODUCT((Inputs!$A$5:$A$180=$B38)*Inputs!$B$5:$B$180*(((Inputs!$G$5:$G$180="moeda")+(Inputs!$G$5:$G$180="acoes"))*Inputs!$B$1+((Inputs!$G$5:$G$180&lt;&gt;"moeda")*(Inputs!$G$5:$G$180&lt;&gt;"acoes")))*INDEX(Inputs!$K$5:$AJ$180,0,MATCH(X$2,Inputs!$K$4:$AJ$4,0)))+SUMPRODUCT((Inputs!$C$5:$C$180=$B38)*Inputs!$D$5:$D$180*(((Inputs!$G$5:$G$180="moeda")+(Inputs!$G$5:$G$180="acoes"))*Inputs!$B$1+((Inputs!$G$5:$G$180&lt;&gt;"moeda")*(Inputs!$G$5:$G$180&lt;&gt;"acoes")))*INDEX(Inputs!$K$5:$AJ$180,0,MATCH(X$2,Inputs!$K$4:$AJ$4,0)))+SUMPRODUCT((Inputs!$E$5:$E$180=$B38)*Inputs!$F$5:$F$180*(((Inputs!$G$5:$G$180="moeda")+(Inputs!$G$5:$G$180="acoes"))*Inputs!$B$1+((Inputs!$G$5:$G$180&lt;&gt;"moeda")*(Inputs!$G$5:$G$180&lt;&gt;"acoes")))*INDEX(Inputs!$K$5:$AJ$180,0,MATCH(X$2,Inputs!$K$4:$AJ$4,0)))))</f>
        <v>580.326605</v>
      </c>
      <c r="Y38" s="6">
        <f>IF(ISNA(MATCH(Y$2,Inputs!$K$4:$AJ$4,0)),NA(),IF(SUMPRODUCT((Inputs!$A$5:$A$180=$B38)*ISNUMBER(INDEX(Inputs!$K$5:$AJ$180,0,MATCH(Y$2,Inputs!$K$4:$AJ$4,0))))+SUMPRODUCT((Inputs!$C$5:$C$180=$B38)*ISNUMBER(INDEX(Inputs!$K$5:$AJ$180,0,MATCH(Y$2,Inputs!$K$4:$AJ$4,0))))+SUMPRODUCT((Inputs!$E$5:$E$180=$B38)*ISNUMBER(INDEX(Inputs!$K$5:$AJ$180,0,MATCH(Y$2,Inputs!$K$4:$AJ$4,0))))=0,NA(),SUMPRODUCT((Inputs!$A$5:$A$180=$B38)*Inputs!$B$5:$B$180*(((Inputs!$G$5:$G$180="moeda")+(Inputs!$G$5:$G$180="acoes"))*Inputs!$B$1+((Inputs!$G$5:$G$180&lt;&gt;"moeda")*(Inputs!$G$5:$G$180&lt;&gt;"acoes")))*INDEX(Inputs!$K$5:$AJ$180,0,MATCH(Y$2,Inputs!$K$4:$AJ$4,0)))+SUMPRODUCT((Inputs!$C$5:$C$180=$B38)*Inputs!$D$5:$D$180*(((Inputs!$G$5:$G$180="moeda")+(Inputs!$G$5:$G$180="acoes"))*Inputs!$B$1+((Inputs!$G$5:$G$180&lt;&gt;"moeda")*(Inputs!$G$5:$G$180&lt;&gt;"acoes")))*INDEX(Inputs!$K$5:$AJ$180,0,MATCH(Y$2,Inputs!$K$4:$AJ$4,0)))+SUMPRODUCT((Inputs!$E$5:$E$180=$B38)*Inputs!$F$5:$F$180*(((Inputs!$G$5:$G$180="moeda")+(Inputs!$G$5:$G$180="acoes"))*Inputs!$B$1+((Inputs!$G$5:$G$180&lt;&gt;"moeda")*(Inputs!$G$5:$G$180&lt;&gt;"acoes")))*INDEX(Inputs!$K$5:$AJ$180,0,MATCH(Y$2,Inputs!$K$4:$AJ$4,0)))))</f>
        <v>525.619</v>
      </c>
      <c r="Z38" s="6">
        <f>IF(ISNA(MATCH(Z$2,Inputs!$K$4:$AJ$4,0)),NA(),IF(SUMPRODUCT((Inputs!$A$5:$A$180=$B38)*ISNUMBER(INDEX(Inputs!$K$5:$AJ$180,0,MATCH(Z$2,Inputs!$K$4:$AJ$4,0))))+SUMPRODUCT((Inputs!$C$5:$C$180=$B38)*ISNUMBER(INDEX(Inputs!$K$5:$AJ$180,0,MATCH(Z$2,Inputs!$K$4:$AJ$4,0))))+SUMPRODUCT((Inputs!$E$5:$E$180=$B38)*ISNUMBER(INDEX(Inputs!$K$5:$AJ$180,0,MATCH(Z$2,Inputs!$K$4:$AJ$4,0))))=0,NA(),SUMPRODUCT((Inputs!$A$5:$A$180=$B38)*Inputs!$B$5:$B$180*(((Inputs!$G$5:$G$180="moeda")+(Inputs!$G$5:$G$180="acoes"))*Inputs!$B$1+((Inputs!$G$5:$G$180&lt;&gt;"moeda")*(Inputs!$G$5:$G$180&lt;&gt;"acoes")))*INDEX(Inputs!$K$5:$AJ$180,0,MATCH(Z$2,Inputs!$K$4:$AJ$4,0)))+SUMPRODUCT((Inputs!$C$5:$C$180=$B38)*Inputs!$D$5:$D$180*(((Inputs!$G$5:$G$180="moeda")+(Inputs!$G$5:$G$180="acoes"))*Inputs!$B$1+((Inputs!$G$5:$G$180&lt;&gt;"moeda")*(Inputs!$G$5:$G$180&lt;&gt;"acoes")))*INDEX(Inputs!$K$5:$AJ$180,0,MATCH(Z$2,Inputs!$K$4:$AJ$4,0)))+SUMPRODUCT((Inputs!$E$5:$E$180=$B38)*Inputs!$F$5:$F$180*(((Inputs!$G$5:$G$180="moeda")+(Inputs!$G$5:$G$180="acoes"))*Inputs!$B$1+((Inputs!$G$5:$G$180&lt;&gt;"moeda")*(Inputs!$G$5:$G$180&lt;&gt;"acoes")))*INDEX(Inputs!$K$5:$AJ$180,0,MATCH(Z$2,Inputs!$K$4:$AJ$4,0)))))</f>
        <v>543.129</v>
      </c>
      <c r="AA38" s="6">
        <f>IF(ISNA(MATCH(AA$2,Inputs!$K$4:$AJ$4,0)),NA(),IF(SUMPRODUCT((Inputs!$A$5:$A$180=$B38)*ISNUMBER(INDEX(Inputs!$K$5:$AJ$180,0,MATCH(AA$2,Inputs!$K$4:$AJ$4,0))))+SUMPRODUCT((Inputs!$C$5:$C$180=$B38)*ISNUMBER(INDEX(Inputs!$K$5:$AJ$180,0,MATCH(AA$2,Inputs!$K$4:$AJ$4,0))))+SUMPRODUCT((Inputs!$E$5:$E$180=$B38)*ISNUMBER(INDEX(Inputs!$K$5:$AJ$180,0,MATCH(AA$2,Inputs!$K$4:$AJ$4,0))))=0,NA(),SUMPRODUCT((Inputs!$A$5:$A$180=$B38)*Inputs!$B$5:$B$180*(((Inputs!$G$5:$G$180="moeda")+(Inputs!$G$5:$G$180="acoes"))*Inputs!$B$1+((Inputs!$G$5:$G$180&lt;&gt;"moeda")*(Inputs!$G$5:$G$180&lt;&gt;"acoes")))*INDEX(Inputs!$K$5:$AJ$180,0,MATCH(AA$2,Inputs!$K$4:$AJ$4,0)))+SUMPRODUCT((Inputs!$C$5:$C$180=$B38)*Inputs!$D$5:$D$180*(((Inputs!$G$5:$G$180="moeda")+(Inputs!$G$5:$G$180="acoes"))*Inputs!$B$1+((Inputs!$G$5:$G$180&lt;&gt;"moeda")*(Inputs!$G$5:$G$180&lt;&gt;"acoes")))*INDEX(Inputs!$K$5:$AJ$180,0,MATCH(AA$2,Inputs!$K$4:$AJ$4,0)))+SUMPRODUCT((Inputs!$E$5:$E$180=$B38)*Inputs!$F$5:$F$180*(((Inputs!$G$5:$G$180="moeda")+(Inputs!$G$5:$G$180="acoes"))*Inputs!$B$1+((Inputs!$G$5:$G$180&lt;&gt;"moeda")*(Inputs!$G$5:$G$180&lt;&gt;"acoes")))*INDEX(Inputs!$K$5:$AJ$180,0,MATCH(AA$2,Inputs!$K$4:$AJ$4,0)))))</f>
        <v>557.54</v>
      </c>
      <c r="AB38" s="3">
        <f>AA38</f>
        <v>557.54</v>
      </c>
      <c r="AC38" s="6">
        <f>IF(ISNA(MATCH(AC$2,Inputs!$K$4:$AJ$4,0)),NA(),IF(SUMPRODUCT((Inputs!$A$5:$A$180=$B38)*ISNUMBER(INDEX(Inputs!$K$5:$AJ$180,0,MATCH(AC$2,Inputs!$K$4:$AJ$4,0))))+SUMPRODUCT((Inputs!$C$5:$C$180=$B38)*ISNUMBER(INDEX(Inputs!$K$5:$AJ$180,0,MATCH(AC$2,Inputs!$K$4:$AJ$4,0))))+SUMPRODUCT((Inputs!$E$5:$E$180=$B38)*ISNUMBER(INDEX(Inputs!$K$5:$AJ$180,0,MATCH(AC$2,Inputs!$K$4:$AJ$4,0))))=0,NA(),SUMPRODUCT((Inputs!$A$5:$A$180=$B38)*Inputs!$B$5:$B$180*(((Inputs!$G$5:$G$180="moeda")+(Inputs!$G$5:$G$180="acoes"))*Inputs!$B$1+((Inputs!$G$5:$G$180&lt;&gt;"moeda")*(Inputs!$G$5:$G$180&lt;&gt;"acoes")))*INDEX(Inputs!$K$5:$AJ$180,0,MATCH(AC$2,Inputs!$K$4:$AJ$4,0)))+SUMPRODUCT((Inputs!$C$5:$C$180=$B38)*Inputs!$D$5:$D$180*(((Inputs!$G$5:$G$180="moeda")+(Inputs!$G$5:$G$180="acoes"))*Inputs!$B$1+((Inputs!$G$5:$G$180&lt;&gt;"moeda")*(Inputs!$G$5:$G$180&lt;&gt;"acoes")))*INDEX(Inputs!$K$5:$AJ$180,0,MATCH(AC$2,Inputs!$K$4:$AJ$4,0)))+SUMPRODUCT((Inputs!$E$5:$E$180=$B38)*Inputs!$F$5:$F$180*(((Inputs!$G$5:$G$180="moeda")+(Inputs!$G$5:$G$180="acoes"))*Inputs!$B$1+((Inputs!$G$5:$G$180&lt;&gt;"moeda")*(Inputs!$G$5:$G$180&lt;&gt;"acoes")))*INDEX(Inputs!$K$5:$AJ$180,0,MATCH(AC$2,Inputs!$K$4:$AJ$4,0)))))</f>
        <v>555.293</v>
      </c>
      <c r="AD38" s="6">
        <f>IF(ISNA(MATCH(AD$2,Inputs!$K$4:$AJ$4,0)),NA(),IF(SUMPRODUCT((Inputs!$A$5:$A$180=$B38)*ISNUMBER(INDEX(Inputs!$K$5:$AJ$180,0,MATCH(AD$2,Inputs!$K$4:$AJ$4,0))))+SUMPRODUCT((Inputs!$C$5:$C$180=$B38)*ISNUMBER(INDEX(Inputs!$K$5:$AJ$180,0,MATCH(AD$2,Inputs!$K$4:$AJ$4,0))))+SUMPRODUCT((Inputs!$E$5:$E$180=$B38)*ISNUMBER(INDEX(Inputs!$K$5:$AJ$180,0,MATCH(AD$2,Inputs!$K$4:$AJ$4,0))))=0,NA(),SUMPRODUCT((Inputs!$A$5:$A$180=$B38)*Inputs!$B$5:$B$180*(((Inputs!$G$5:$G$180="moeda")+(Inputs!$G$5:$G$180="acoes"))*Inputs!$B$1+((Inputs!$G$5:$G$180&lt;&gt;"moeda")*(Inputs!$G$5:$G$180&lt;&gt;"acoes")))*INDEX(Inputs!$K$5:$AJ$180,0,MATCH(AD$2,Inputs!$K$4:$AJ$4,0)))+SUMPRODUCT((Inputs!$C$5:$C$180=$B38)*Inputs!$D$5:$D$180*(((Inputs!$G$5:$G$180="moeda")+(Inputs!$G$5:$G$180="acoes"))*Inputs!$B$1+((Inputs!$G$5:$G$180&lt;&gt;"moeda")*(Inputs!$G$5:$G$180&lt;&gt;"acoes")))*INDEX(Inputs!$K$5:$AJ$180,0,MATCH(AD$2,Inputs!$K$4:$AJ$4,0)))+SUMPRODUCT((Inputs!$E$5:$E$180=$B38)*Inputs!$F$5:$F$180*(((Inputs!$G$5:$G$180="moeda")+(Inputs!$G$5:$G$180="acoes"))*Inputs!$B$1+((Inputs!$G$5:$G$180&lt;&gt;"moeda")*(Inputs!$G$5:$G$180&lt;&gt;"acoes")))*INDEX(Inputs!$K$5:$AJ$180,0,MATCH(AD$2,Inputs!$K$4:$AJ$4,0)))))</f>
        <v>527.353</v>
      </c>
      <c r="AE38" s="6" t="e">
        <f>IF(ISNA(MATCH(AE$2,Inputs!$K$4:$AJ$4,0)),NA(),IF(SUMPRODUCT((Inputs!$A$5:$A$180=$B38)*ISNUMBER(INDEX(Inputs!$K$5:$AJ$180,0,MATCH(AE$2,Inputs!$K$4:$AJ$4,0))))+SUMPRODUCT((Inputs!$C$5:$C$180=$B38)*ISNUMBER(INDEX(Inputs!$K$5:$AJ$180,0,MATCH(AE$2,Inputs!$K$4:$AJ$4,0))))+SUMPRODUCT((Inputs!$E$5:$E$180=$B38)*ISNUMBER(INDEX(Inputs!$K$5:$AJ$180,0,MATCH(AE$2,Inputs!$K$4:$AJ$4,0))))=0,NA(),SUMPRODUCT((Inputs!$A$5:$A$180=$B38)*Inputs!$B$5:$B$180*(((Inputs!$G$5:$G$180="moeda")+(Inputs!$G$5:$G$180="acoes"))*Inputs!$B$1+((Inputs!$G$5:$G$180&lt;&gt;"moeda")*(Inputs!$G$5:$G$180&lt;&gt;"acoes")))*INDEX(Inputs!$K$5:$AJ$180,0,MATCH(AE$2,Inputs!$K$4:$AJ$4,0)))+SUMPRODUCT((Inputs!$C$5:$C$180=$B38)*Inputs!$D$5:$D$180*(((Inputs!$G$5:$G$180="moeda")+(Inputs!$G$5:$G$180="acoes"))*Inputs!$B$1+((Inputs!$G$5:$G$180&lt;&gt;"moeda")*(Inputs!$G$5:$G$180&lt;&gt;"acoes")))*INDEX(Inputs!$K$5:$AJ$180,0,MATCH(AE$2,Inputs!$K$4:$AJ$4,0)))+SUMPRODUCT((Inputs!$E$5:$E$180=$B38)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8" s="6" t="e">
        <f>IF(ISNA(MATCH(AF$2,Inputs!$K$4:$AJ$4,0)),NA(),IF(SUMPRODUCT((Inputs!$A$5:$A$180=$B38)*ISNUMBER(INDEX(Inputs!$K$5:$AJ$180,0,MATCH(AF$2,Inputs!$K$4:$AJ$4,0))))+SUMPRODUCT((Inputs!$C$5:$C$180=$B38)*ISNUMBER(INDEX(Inputs!$K$5:$AJ$180,0,MATCH(AF$2,Inputs!$K$4:$AJ$4,0))))+SUMPRODUCT((Inputs!$E$5:$E$180=$B38)*ISNUMBER(INDEX(Inputs!$K$5:$AJ$180,0,MATCH(AF$2,Inputs!$K$4:$AJ$4,0))))=0,NA(),SUMPRODUCT((Inputs!$A$5:$A$180=$B38)*Inputs!$B$5:$B$180*(((Inputs!$G$5:$G$180="moeda")+(Inputs!$G$5:$G$180="acoes"))*Inputs!$B$1+((Inputs!$G$5:$G$180&lt;&gt;"moeda")*(Inputs!$G$5:$G$180&lt;&gt;"acoes")))*INDEX(Inputs!$K$5:$AJ$180,0,MATCH(AF$2,Inputs!$K$4:$AJ$4,0)))+SUMPRODUCT((Inputs!$C$5:$C$180=$B38)*Inputs!$D$5:$D$180*(((Inputs!$G$5:$G$180="moeda")+(Inputs!$G$5:$G$180="acoes"))*Inputs!$B$1+((Inputs!$G$5:$G$180&lt;&gt;"moeda")*(Inputs!$G$5:$G$180&lt;&gt;"acoes")))*INDEX(Inputs!$K$5:$AJ$180,0,MATCH(AF$2,Inputs!$K$4:$AJ$4,0)))+SUMPRODUCT((Inputs!$E$5:$E$180=$B38)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8" s="3" t="e">
        <f>AF38</f>
        <v>#N/A</v>
      </c>
      <c r="AH38" s="6">
        <f>IF(ISNA(MATCH(AH$2,Inputs!$K$4:$AJ$4,0)),NA(),IF(SUMPRODUCT((Inputs!$A$5:$A$180=$B38)*ISNUMBER(INDEX(Inputs!$K$5:$AJ$180,0,MATCH(AH$2,Inputs!$K$4:$AJ$4,0))))+SUMPRODUCT((Inputs!$C$5:$C$180=$B38)*ISNUMBER(INDEX(Inputs!$K$5:$AJ$180,0,MATCH(AH$2,Inputs!$K$4:$AJ$4,0))))+SUMPRODUCT((Inputs!$E$5:$E$180=$B38)*ISNUMBER(INDEX(Inputs!$K$5:$AJ$180,0,MATCH(AH$2,Inputs!$K$4:$AJ$4,0))))=0,NA(),SUMPRODUCT((Inputs!$A$5:$A$180=$B38)*Inputs!$B$5:$B$180*(((Inputs!$G$5:$G$180="moeda")+(Inputs!$G$5:$G$180="acoes"))*Inputs!$B$1+((Inputs!$G$5:$G$180&lt;&gt;"moeda")*(Inputs!$G$5:$G$180&lt;&gt;"acoes")))*INDEX(Inputs!$K$5:$AJ$180,0,MATCH(AH$2,Inputs!$K$4:$AJ$4,0)))+SUMPRODUCT((Inputs!$C$5:$C$180=$B38)*Inputs!$D$5:$D$180*(((Inputs!$G$5:$G$180="moeda")+(Inputs!$G$5:$G$180="acoes"))*Inputs!$B$1+((Inputs!$G$5:$G$180&lt;&gt;"moeda")*(Inputs!$G$5:$G$180&lt;&gt;"acoes")))*INDEX(Inputs!$K$5:$AJ$180,0,MATCH(AH$2,Inputs!$K$4:$AJ$4,0)))+SUMPRODUCT((Inputs!$E$5:$E$180=$B38)*Inputs!$F$5:$F$180*(((Inputs!$G$5:$G$180="moeda")+(Inputs!$G$5:$G$180="acoes"))*Inputs!$B$1+((Inputs!$G$5:$G$180&lt;&gt;"moeda")*(Inputs!$G$5:$G$180&lt;&gt;"acoes")))*INDEX(Inputs!$K$5:$AJ$180,0,MATCH(AH$2,Inputs!$K$4:$AJ$4,0)))))</f>
        <v>418.369</v>
      </c>
      <c r="AI38" s="6">
        <f>IF(ISNA(MATCH(AI$2,Inputs!$K$4:$AJ$4,0)),NA(),IF(SUMPRODUCT((Inputs!$A$5:$A$180=$B38)*ISNUMBER(INDEX(Inputs!$K$5:$AJ$180,0,MATCH(AI$2,Inputs!$K$4:$AJ$4,0))))+SUMPRODUCT((Inputs!$C$5:$C$180=$B38)*ISNUMBER(INDEX(Inputs!$K$5:$AJ$180,0,MATCH(AI$2,Inputs!$K$4:$AJ$4,0))))+SUMPRODUCT((Inputs!$E$5:$E$180=$B38)*ISNUMBER(INDEX(Inputs!$K$5:$AJ$180,0,MATCH(AI$2,Inputs!$K$4:$AJ$4,0))))=0,NA(),SUMPRODUCT((Inputs!$A$5:$A$180=$B38)*Inputs!$B$5:$B$180*(((Inputs!$G$5:$G$180="moeda")+(Inputs!$G$5:$G$180="acoes"))*Inputs!$B$1+((Inputs!$G$5:$G$180&lt;&gt;"moeda")*(Inputs!$G$5:$G$180&lt;&gt;"acoes")))*INDEX(Inputs!$K$5:$AJ$180,0,MATCH(AI$2,Inputs!$K$4:$AJ$4,0)))+SUMPRODUCT((Inputs!$C$5:$C$180=$B38)*Inputs!$D$5:$D$180*(((Inputs!$G$5:$G$180="moeda")+(Inputs!$G$5:$G$180="acoes"))*Inputs!$B$1+((Inputs!$G$5:$G$180&lt;&gt;"moeda")*(Inputs!$G$5:$G$180&lt;&gt;"acoes")))*INDEX(Inputs!$K$5:$AJ$180,0,MATCH(AI$2,Inputs!$K$4:$AJ$4,0)))+SUMPRODUCT((Inputs!$E$5:$E$180=$B38)*Inputs!$F$5:$F$180*(((Inputs!$G$5:$G$180="moeda")+(Inputs!$G$5:$G$180="acoes"))*Inputs!$B$1+((Inputs!$G$5:$G$180&lt;&gt;"moeda")*(Inputs!$G$5:$G$180&lt;&gt;"acoes")))*INDEX(Inputs!$K$5:$AJ$180,0,MATCH(AI$2,Inputs!$K$4:$AJ$4,0)))))</f>
        <v>469.42195361</v>
      </c>
      <c r="AJ38" s="6">
        <f>IF(ISNA(MATCH(AJ$2,Inputs!$K$4:$AJ$4,0)),NA(),IF(SUMPRODUCT((Inputs!$A$5:$A$180=$B38)*ISNUMBER(INDEX(Inputs!$K$5:$AJ$180,0,MATCH(AJ$2,Inputs!$K$4:$AJ$4,0))))+SUMPRODUCT((Inputs!$C$5:$C$180=$B38)*ISNUMBER(INDEX(Inputs!$K$5:$AJ$180,0,MATCH(AJ$2,Inputs!$K$4:$AJ$4,0))))+SUMPRODUCT((Inputs!$E$5:$E$180=$B38)*ISNUMBER(INDEX(Inputs!$K$5:$AJ$180,0,MATCH(AJ$2,Inputs!$K$4:$AJ$4,0))))=0,NA(),SUMPRODUCT((Inputs!$A$5:$A$180=$B38)*Inputs!$B$5:$B$180*(((Inputs!$G$5:$G$180="moeda")+(Inputs!$G$5:$G$180="acoes"))*Inputs!$B$1+((Inputs!$G$5:$G$180&lt;&gt;"moeda")*(Inputs!$G$5:$G$180&lt;&gt;"acoes")))*INDEX(Inputs!$K$5:$AJ$180,0,MATCH(AJ$2,Inputs!$K$4:$AJ$4,0)))+SUMPRODUCT((Inputs!$C$5:$C$180=$B38)*Inputs!$D$5:$D$180*(((Inputs!$G$5:$G$180="moeda")+(Inputs!$G$5:$G$180="acoes"))*Inputs!$B$1+((Inputs!$G$5:$G$180&lt;&gt;"moeda")*(Inputs!$G$5:$G$180&lt;&gt;"acoes")))*INDEX(Inputs!$K$5:$AJ$180,0,MATCH(AJ$2,Inputs!$K$4:$AJ$4,0)))+SUMPRODUCT((Inputs!$E$5:$E$180=$B38)*Inputs!$F$5:$F$180*(((Inputs!$G$5:$G$180="moeda")+(Inputs!$G$5:$G$180="acoes"))*Inputs!$B$1+((Inputs!$G$5:$G$180&lt;&gt;"moeda")*(Inputs!$G$5:$G$180&lt;&gt;"acoes")))*INDEX(Inputs!$K$5:$AJ$180,0,MATCH(AJ$2,Inputs!$K$4:$AJ$4,0)))))</f>
        <v>468.6245004</v>
      </c>
      <c r="AK38" s="6">
        <f>IF(ISNA(MATCH(AK$2,Inputs!$K$4:$AJ$4,0)),NA(),IF(SUMPRODUCT((Inputs!$A$5:$A$180=$B38)*ISNUMBER(INDEX(Inputs!$K$5:$AJ$180,0,MATCH(AK$2,Inputs!$K$4:$AJ$4,0))))+SUMPRODUCT((Inputs!$C$5:$C$180=$B38)*ISNUMBER(INDEX(Inputs!$K$5:$AJ$180,0,MATCH(AK$2,Inputs!$K$4:$AJ$4,0))))+SUMPRODUCT((Inputs!$E$5:$E$180=$B38)*ISNUMBER(INDEX(Inputs!$K$5:$AJ$180,0,MATCH(AK$2,Inputs!$K$4:$AJ$4,0))))=0,NA(),SUMPRODUCT((Inputs!$A$5:$A$180=$B38)*Inputs!$B$5:$B$180*(((Inputs!$G$5:$G$180="moeda")+(Inputs!$G$5:$G$180="acoes"))*Inputs!$B$1+((Inputs!$G$5:$G$180&lt;&gt;"moeda")*(Inputs!$G$5:$G$180&lt;&gt;"acoes")))*INDEX(Inputs!$K$5:$AJ$180,0,MATCH(AK$2,Inputs!$K$4:$AJ$4,0)))+SUMPRODUCT((Inputs!$C$5:$C$180=$B38)*Inputs!$D$5:$D$180*(((Inputs!$G$5:$G$180="moeda")+(Inputs!$G$5:$G$180="acoes"))*Inputs!$B$1+((Inputs!$G$5:$G$180&lt;&gt;"moeda")*(Inputs!$G$5:$G$180&lt;&gt;"acoes")))*INDEX(Inputs!$K$5:$AJ$180,0,MATCH(AK$2,Inputs!$K$4:$AJ$4,0)))+SUMPRODUCT((Inputs!$E$5:$E$180=$B38)*Inputs!$F$5:$F$180*(((Inputs!$G$5:$G$180="moeda")+(Inputs!$G$5:$G$180="acoes"))*Inputs!$B$1+((Inputs!$G$5:$G$180&lt;&gt;"moeda")*(Inputs!$G$5:$G$180&lt;&gt;"acoes")))*INDEX(Inputs!$K$5:$AJ$180,0,MATCH(AK$2,Inputs!$K$4:$AJ$4,0)))))</f>
        <v>468.94024418</v>
      </c>
      <c r="AL38" s="3">
        <f>AK38</f>
        <v>468.94024418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$180=$B39)*ISNUMBER(INDEX(Inputs!$K$5:$AJ$180,0,MATCH(D$2,Inputs!$K$4:$AJ$4,0))))+SUMPRODUCT((Inputs!$C$5:$C$180=$B39)*ISNUMBER(INDEX(Inputs!$K$5:$AJ$180,0,MATCH(D$2,Inputs!$K$4:$AJ$4,0))))+SUMPRODUCT((Inputs!$E$5:$E$180=$B39)*ISNUMBER(INDEX(Inputs!$K$5:$AJ$180,0,MATCH(D$2,Inputs!$K$4:$AJ$4,0))))=0,NA(),SUMPRODUCT((Inputs!$A$5:$A$180=$B39)*Inputs!$B$5:$B$180*(((Inputs!$G$5:$G$180="moeda")+(Inputs!$G$5:$G$180="acoes"))*Inputs!$B$1+((Inputs!$G$5:$G$180&lt;&gt;"moeda")*(Inputs!$G$5:$G$180&lt;&gt;"acoes")))*INDEX(Inputs!$K$5:$AJ$180,0,MATCH(D$2,Inputs!$K$4:$AJ$4,0)))+SUMPRODUCT((Inputs!$C$5:$C$180=$B39)*Inputs!$D$5:$D$180*(((Inputs!$G$5:$G$180="moeda")+(Inputs!$G$5:$G$180="acoes"))*Inputs!$B$1+((Inputs!$G$5:$G$180&lt;&gt;"moeda")*(Inputs!$G$5:$G$180&lt;&gt;"acoes")))*INDEX(Inputs!$K$5:$AJ$180,0,MATCH(D$2,Inputs!$K$4:$AJ$4,0)))+SUMPRODUCT((Inputs!$E$5:$E$180=$B39)*Inputs!$F$5:$F$180*(((Inputs!$G$5:$G$180="moeda")+(Inputs!$G$5:$G$180="acoes"))*Inputs!$B$1+((Inputs!$G$5:$G$180&lt;&gt;"moeda")*(Inputs!$G$5:$G$180&lt;&gt;"acoes")))*INDEX(Inputs!$K$5:$AJ$180,0,MATCH(D$2,Inputs!$K$4:$AJ$4,0)))))</f>
        <v>60.90531905</v>
      </c>
      <c r="E39" s="6">
        <f>IF(ISNA(MATCH(E$2,Inputs!$K$4:$AJ$4,0)),NA(),IF(SUMPRODUCT((Inputs!$A$5:$A$180=$B39)*ISNUMBER(INDEX(Inputs!$K$5:$AJ$180,0,MATCH(E$2,Inputs!$K$4:$AJ$4,0))))+SUMPRODUCT((Inputs!$C$5:$C$180=$B39)*ISNUMBER(INDEX(Inputs!$K$5:$AJ$180,0,MATCH(E$2,Inputs!$K$4:$AJ$4,0))))+SUMPRODUCT((Inputs!$E$5:$E$180=$B39)*ISNUMBER(INDEX(Inputs!$K$5:$AJ$180,0,MATCH(E$2,Inputs!$K$4:$AJ$4,0))))=0,NA(),SUMPRODUCT((Inputs!$A$5:$A$180=$B39)*Inputs!$B$5:$B$180*(((Inputs!$G$5:$G$180="moeda")+(Inputs!$G$5:$G$180="acoes"))*Inputs!$B$1+((Inputs!$G$5:$G$180&lt;&gt;"moeda")*(Inputs!$G$5:$G$180&lt;&gt;"acoes")))*INDEX(Inputs!$K$5:$AJ$180,0,MATCH(E$2,Inputs!$K$4:$AJ$4,0)))+SUMPRODUCT((Inputs!$C$5:$C$180=$B39)*Inputs!$D$5:$D$180*(((Inputs!$G$5:$G$180="moeda")+(Inputs!$G$5:$G$180="acoes"))*Inputs!$B$1+((Inputs!$G$5:$G$180&lt;&gt;"moeda")*(Inputs!$G$5:$G$180&lt;&gt;"acoes")))*INDEX(Inputs!$K$5:$AJ$180,0,MATCH(E$2,Inputs!$K$4:$AJ$4,0)))+SUMPRODUCT((Inputs!$E$5:$E$180=$B39)*Inputs!$F$5:$F$180*(((Inputs!$G$5:$G$180="moeda")+(Inputs!$G$5:$G$180="acoes"))*Inputs!$B$1+((Inputs!$G$5:$G$180&lt;&gt;"moeda")*(Inputs!$G$5:$G$180&lt;&gt;"acoes")))*INDEX(Inputs!$K$5:$AJ$180,0,MATCH(E$2,Inputs!$K$4:$AJ$4,0)))))</f>
        <v>52.72060044</v>
      </c>
      <c r="F39" s="6">
        <f>IF(ISNA(MATCH(F$2,Inputs!$K$4:$AJ$4,0)),NA(),IF(SUMPRODUCT((Inputs!$A$5:$A$180=$B39)*ISNUMBER(INDEX(Inputs!$K$5:$AJ$180,0,MATCH(F$2,Inputs!$K$4:$AJ$4,0))))+SUMPRODUCT((Inputs!$C$5:$C$180=$B39)*ISNUMBER(INDEX(Inputs!$K$5:$AJ$180,0,MATCH(F$2,Inputs!$K$4:$AJ$4,0))))+SUMPRODUCT((Inputs!$E$5:$E$180=$B39)*ISNUMBER(INDEX(Inputs!$K$5:$AJ$180,0,MATCH(F$2,Inputs!$K$4:$AJ$4,0))))=0,NA(),SUMPRODUCT((Inputs!$A$5:$A$180=$B39)*Inputs!$B$5:$B$180*(((Inputs!$G$5:$G$180="moeda")+(Inputs!$G$5:$G$180="acoes"))*Inputs!$B$1+((Inputs!$G$5:$G$180&lt;&gt;"moeda")*(Inputs!$G$5:$G$180&lt;&gt;"acoes")))*INDEX(Inputs!$K$5:$AJ$180,0,MATCH(F$2,Inputs!$K$4:$AJ$4,0)))+SUMPRODUCT((Inputs!$C$5:$C$180=$B39)*Inputs!$D$5:$D$180*(((Inputs!$G$5:$G$180="moeda")+(Inputs!$G$5:$G$180="acoes"))*Inputs!$B$1+((Inputs!$G$5:$G$180&lt;&gt;"moeda")*(Inputs!$G$5:$G$180&lt;&gt;"acoes")))*INDEX(Inputs!$K$5:$AJ$180,0,MATCH(F$2,Inputs!$K$4:$AJ$4,0)))+SUMPRODUCT((Inputs!$E$5:$E$180=$B39)*Inputs!$F$5:$F$180*(((Inputs!$G$5:$G$180="moeda")+(Inputs!$G$5:$G$180="acoes"))*Inputs!$B$1+((Inputs!$G$5:$G$180&lt;&gt;"moeda")*(Inputs!$G$5:$G$180&lt;&gt;"acoes")))*INDEX(Inputs!$K$5:$AJ$180,0,MATCH(F$2,Inputs!$K$4:$AJ$4,0)))))</f>
        <v>55.92235634</v>
      </c>
      <c r="G39" s="6">
        <f>IF(ISNA(MATCH(G$2,Inputs!$K$4:$AJ$4,0)),NA(),IF(SUMPRODUCT((Inputs!$A$5:$A$180=$B39)*ISNUMBER(INDEX(Inputs!$K$5:$AJ$180,0,MATCH(G$2,Inputs!$K$4:$AJ$4,0))))+SUMPRODUCT((Inputs!$C$5:$C$180=$B39)*ISNUMBER(INDEX(Inputs!$K$5:$AJ$180,0,MATCH(G$2,Inputs!$K$4:$AJ$4,0))))+SUMPRODUCT((Inputs!$E$5:$E$180=$B39)*ISNUMBER(INDEX(Inputs!$K$5:$AJ$180,0,MATCH(G$2,Inputs!$K$4:$AJ$4,0))))=0,NA(),SUMPRODUCT((Inputs!$A$5:$A$180=$B39)*Inputs!$B$5:$B$180*(((Inputs!$G$5:$G$180="moeda")+(Inputs!$G$5:$G$180="acoes"))*Inputs!$B$1+((Inputs!$G$5:$G$180&lt;&gt;"moeda")*(Inputs!$G$5:$G$180&lt;&gt;"acoes")))*INDEX(Inputs!$K$5:$AJ$180,0,MATCH(G$2,Inputs!$K$4:$AJ$4,0)))+SUMPRODUCT((Inputs!$C$5:$C$180=$B39)*Inputs!$D$5:$D$180*(((Inputs!$G$5:$G$180="moeda")+(Inputs!$G$5:$G$180="acoes"))*Inputs!$B$1+((Inputs!$G$5:$G$180&lt;&gt;"moeda")*(Inputs!$G$5:$G$180&lt;&gt;"acoes")))*INDEX(Inputs!$K$5:$AJ$180,0,MATCH(G$2,Inputs!$K$4:$AJ$4,0)))+SUMPRODUCT((Inputs!$E$5:$E$180=$B39)*Inputs!$F$5:$F$180*(((Inputs!$G$5:$G$180="moeda")+(Inputs!$G$5:$G$180="acoes"))*Inputs!$B$1+((Inputs!$G$5:$G$180&lt;&gt;"moeda")*(Inputs!$G$5:$G$180&lt;&gt;"acoes")))*INDEX(Inputs!$K$5:$AJ$180,0,MATCH(G$2,Inputs!$K$4:$AJ$4,0)))))</f>
        <v>52.20629518</v>
      </c>
      <c r="H39" s="3">
        <f>G39</f>
        <v>52.20629518</v>
      </c>
      <c r="I39" s="6">
        <f>IF(ISNA(MATCH(I$2,Inputs!$K$4:$AJ$4,0)),NA(),IF(SUMPRODUCT((Inputs!$A$5:$A$180=$B39)*ISNUMBER(INDEX(Inputs!$K$5:$AJ$180,0,MATCH(I$2,Inputs!$K$4:$AJ$4,0))))+SUMPRODUCT((Inputs!$C$5:$C$180=$B39)*ISNUMBER(INDEX(Inputs!$K$5:$AJ$180,0,MATCH(I$2,Inputs!$K$4:$AJ$4,0))))+SUMPRODUCT((Inputs!$E$5:$E$180=$B39)*ISNUMBER(INDEX(Inputs!$K$5:$AJ$180,0,MATCH(I$2,Inputs!$K$4:$AJ$4,0))))=0,NA(),SUMPRODUCT((Inputs!$A$5:$A$180=$B39)*Inputs!$B$5:$B$180*(((Inputs!$G$5:$G$180="moeda")+(Inputs!$G$5:$G$180="acoes"))*Inputs!$B$1+((Inputs!$G$5:$G$180&lt;&gt;"moeda")*(Inputs!$G$5:$G$180&lt;&gt;"acoes")))*INDEX(Inputs!$K$5:$AJ$180,0,MATCH(I$2,Inputs!$K$4:$AJ$4,0)))+SUMPRODUCT((Inputs!$C$5:$C$180=$B39)*Inputs!$D$5:$D$180*(((Inputs!$G$5:$G$180="moeda")+(Inputs!$G$5:$G$180="acoes"))*Inputs!$B$1+((Inputs!$G$5:$G$180&lt;&gt;"moeda")*(Inputs!$G$5:$G$180&lt;&gt;"acoes")))*INDEX(Inputs!$K$5:$AJ$180,0,MATCH(I$2,Inputs!$K$4:$AJ$4,0)))+SUMPRODUCT((Inputs!$E$5:$E$180=$B39)*Inputs!$F$5:$F$180*(((Inputs!$G$5:$G$180="moeda")+(Inputs!$G$5:$G$180="acoes"))*Inputs!$B$1+((Inputs!$G$5:$G$180&lt;&gt;"moeda")*(Inputs!$G$5:$G$180&lt;&gt;"acoes")))*INDEX(Inputs!$K$5:$AJ$180,0,MATCH(I$2,Inputs!$K$4:$AJ$4,0)))))</f>
        <v>49.74992499</v>
      </c>
      <c r="J39" s="6">
        <f>IF(ISNA(MATCH(J$2,Inputs!$K$4:$AJ$4,0)),NA(),IF(SUMPRODUCT((Inputs!$A$5:$A$180=$B39)*ISNUMBER(INDEX(Inputs!$K$5:$AJ$180,0,MATCH(J$2,Inputs!$K$4:$AJ$4,0))))+SUMPRODUCT((Inputs!$C$5:$C$180=$B39)*ISNUMBER(INDEX(Inputs!$K$5:$AJ$180,0,MATCH(J$2,Inputs!$K$4:$AJ$4,0))))+SUMPRODUCT((Inputs!$E$5:$E$180=$B39)*ISNUMBER(INDEX(Inputs!$K$5:$AJ$180,0,MATCH(J$2,Inputs!$K$4:$AJ$4,0))))=0,NA(),SUMPRODUCT((Inputs!$A$5:$A$180=$B39)*Inputs!$B$5:$B$180*(((Inputs!$G$5:$G$180="moeda")+(Inputs!$G$5:$G$180="acoes"))*Inputs!$B$1+((Inputs!$G$5:$G$180&lt;&gt;"moeda")*(Inputs!$G$5:$G$180&lt;&gt;"acoes")))*INDEX(Inputs!$K$5:$AJ$180,0,MATCH(J$2,Inputs!$K$4:$AJ$4,0)))+SUMPRODUCT((Inputs!$C$5:$C$180=$B39)*Inputs!$D$5:$D$180*(((Inputs!$G$5:$G$180="moeda")+(Inputs!$G$5:$G$180="acoes"))*Inputs!$B$1+((Inputs!$G$5:$G$180&lt;&gt;"moeda")*(Inputs!$G$5:$G$180&lt;&gt;"acoes")))*INDEX(Inputs!$K$5:$AJ$180,0,MATCH(J$2,Inputs!$K$4:$AJ$4,0)))+SUMPRODUCT((Inputs!$E$5:$E$180=$B39)*Inputs!$F$5:$F$180*(((Inputs!$G$5:$G$180="moeda")+(Inputs!$G$5:$G$180="acoes"))*Inputs!$B$1+((Inputs!$G$5:$G$180&lt;&gt;"moeda")*(Inputs!$G$5:$G$180&lt;&gt;"acoes")))*INDEX(Inputs!$K$5:$AJ$180,0,MATCH(J$2,Inputs!$K$4:$AJ$4,0)))))</f>
        <v>47.76909873</v>
      </c>
      <c r="K39" s="6">
        <f>IF(ISNA(MATCH(K$2,Inputs!$K$4:$AJ$4,0)),NA(),IF(SUMPRODUCT((Inputs!$A$5:$A$180=$B39)*ISNUMBER(INDEX(Inputs!$K$5:$AJ$180,0,MATCH(K$2,Inputs!$K$4:$AJ$4,0))))+SUMPRODUCT((Inputs!$C$5:$C$180=$B39)*ISNUMBER(INDEX(Inputs!$K$5:$AJ$180,0,MATCH(K$2,Inputs!$K$4:$AJ$4,0))))+SUMPRODUCT((Inputs!$E$5:$E$180=$B39)*ISNUMBER(INDEX(Inputs!$K$5:$AJ$180,0,MATCH(K$2,Inputs!$K$4:$AJ$4,0))))=0,NA(),SUMPRODUCT((Inputs!$A$5:$A$180=$B39)*Inputs!$B$5:$B$180*(((Inputs!$G$5:$G$180="moeda")+(Inputs!$G$5:$G$180="acoes"))*Inputs!$B$1+((Inputs!$G$5:$G$180&lt;&gt;"moeda")*(Inputs!$G$5:$G$180&lt;&gt;"acoes")))*INDEX(Inputs!$K$5:$AJ$180,0,MATCH(K$2,Inputs!$K$4:$AJ$4,0)))+SUMPRODUCT((Inputs!$C$5:$C$180=$B39)*Inputs!$D$5:$D$180*(((Inputs!$G$5:$G$180="moeda")+(Inputs!$G$5:$G$180="acoes"))*Inputs!$B$1+((Inputs!$G$5:$G$180&lt;&gt;"moeda")*(Inputs!$G$5:$G$180&lt;&gt;"acoes")))*INDEX(Inputs!$K$5:$AJ$180,0,MATCH(K$2,Inputs!$K$4:$AJ$4,0)))+SUMPRODUCT((Inputs!$E$5:$E$180=$B39)*Inputs!$F$5:$F$180*(((Inputs!$G$5:$G$180="moeda")+(Inputs!$G$5:$G$180="acoes"))*Inputs!$B$1+((Inputs!$G$5:$G$180&lt;&gt;"moeda")*(Inputs!$G$5:$G$180&lt;&gt;"acoes")))*INDEX(Inputs!$K$5:$AJ$180,0,MATCH(K$2,Inputs!$K$4:$AJ$4,0)))))</f>
        <v>40.48209641</v>
      </c>
      <c r="L39" s="6">
        <f>IF(ISNA(MATCH(L$2,Inputs!$K$4:$AJ$4,0)),NA(),IF(SUMPRODUCT((Inputs!$A$5:$A$180=$B39)*ISNUMBER(INDEX(Inputs!$K$5:$AJ$180,0,MATCH(L$2,Inputs!$K$4:$AJ$4,0))))+SUMPRODUCT((Inputs!$C$5:$C$180=$B39)*ISNUMBER(INDEX(Inputs!$K$5:$AJ$180,0,MATCH(L$2,Inputs!$K$4:$AJ$4,0))))+SUMPRODUCT((Inputs!$E$5:$E$180=$B39)*ISNUMBER(INDEX(Inputs!$K$5:$AJ$180,0,MATCH(L$2,Inputs!$K$4:$AJ$4,0))))=0,NA(),SUMPRODUCT((Inputs!$A$5:$A$180=$B39)*Inputs!$B$5:$B$180*(((Inputs!$G$5:$G$180="moeda")+(Inputs!$G$5:$G$180="acoes"))*Inputs!$B$1+((Inputs!$G$5:$G$180&lt;&gt;"moeda")*(Inputs!$G$5:$G$180&lt;&gt;"acoes")))*INDEX(Inputs!$K$5:$AJ$180,0,MATCH(L$2,Inputs!$K$4:$AJ$4,0)))+SUMPRODUCT((Inputs!$C$5:$C$180=$B39)*Inputs!$D$5:$D$180*(((Inputs!$G$5:$G$180="moeda")+(Inputs!$G$5:$G$180="acoes"))*Inputs!$B$1+((Inputs!$G$5:$G$180&lt;&gt;"moeda")*(Inputs!$G$5:$G$180&lt;&gt;"acoes")))*INDEX(Inputs!$K$5:$AJ$180,0,MATCH(L$2,Inputs!$K$4:$AJ$4,0)))+SUMPRODUCT((Inputs!$E$5:$E$180=$B39)*Inputs!$F$5:$F$180*(((Inputs!$G$5:$G$180="moeda")+(Inputs!$G$5:$G$180="acoes"))*Inputs!$B$1+((Inputs!$G$5:$G$180&lt;&gt;"moeda")*(Inputs!$G$5:$G$180&lt;&gt;"acoes")))*INDEX(Inputs!$K$5:$AJ$180,0,MATCH(L$2,Inputs!$K$4:$AJ$4,0)))))</f>
        <v>40.36976695</v>
      </c>
      <c r="M39" s="3">
        <f>L39</f>
        <v>40.36976695</v>
      </c>
      <c r="N39" s="6">
        <f>IF(ISNA(MATCH(N$2,Inputs!$K$4:$AJ$4,0)),NA(),IF(SUMPRODUCT((Inputs!$A$5:$A$180=$B39)*ISNUMBER(INDEX(Inputs!$K$5:$AJ$180,0,MATCH(N$2,Inputs!$K$4:$AJ$4,0))))+SUMPRODUCT((Inputs!$C$5:$C$180=$B39)*ISNUMBER(INDEX(Inputs!$K$5:$AJ$180,0,MATCH(N$2,Inputs!$K$4:$AJ$4,0))))+SUMPRODUCT((Inputs!$E$5:$E$180=$B39)*ISNUMBER(INDEX(Inputs!$K$5:$AJ$180,0,MATCH(N$2,Inputs!$K$4:$AJ$4,0))))=0,NA(),SUMPRODUCT((Inputs!$A$5:$A$180=$B39)*Inputs!$B$5:$B$180*(((Inputs!$G$5:$G$180="moeda")+(Inputs!$G$5:$G$180="acoes"))*Inputs!$B$1+((Inputs!$G$5:$G$180&lt;&gt;"moeda")*(Inputs!$G$5:$G$180&lt;&gt;"acoes")))*INDEX(Inputs!$K$5:$AJ$180,0,MATCH(N$2,Inputs!$K$4:$AJ$4,0)))+SUMPRODUCT((Inputs!$C$5:$C$180=$B39)*Inputs!$D$5:$D$180*(((Inputs!$G$5:$G$180="moeda")+(Inputs!$G$5:$G$180="acoes"))*Inputs!$B$1+((Inputs!$G$5:$G$180&lt;&gt;"moeda")*(Inputs!$G$5:$G$180&lt;&gt;"acoes")))*INDEX(Inputs!$K$5:$AJ$180,0,MATCH(N$2,Inputs!$K$4:$AJ$4,0)))+SUMPRODUCT((Inputs!$E$5:$E$180=$B39)*Inputs!$F$5:$F$180*(((Inputs!$G$5:$G$180="moeda")+(Inputs!$G$5:$G$180="acoes"))*Inputs!$B$1+((Inputs!$G$5:$G$180&lt;&gt;"moeda")*(Inputs!$G$5:$G$180&lt;&gt;"acoes")))*INDEX(Inputs!$K$5:$AJ$180,0,MATCH(N$2,Inputs!$K$4:$AJ$4,0)))))</f>
        <v>36.41807566</v>
      </c>
      <c r="O39" s="6">
        <f>IF(ISNA(MATCH(O$2,Inputs!$K$4:$AJ$4,0)),NA(),IF(SUMPRODUCT((Inputs!$A$5:$A$180=$B39)*ISNUMBER(INDEX(Inputs!$K$5:$AJ$180,0,MATCH(O$2,Inputs!$K$4:$AJ$4,0))))+SUMPRODUCT((Inputs!$C$5:$C$180=$B39)*ISNUMBER(INDEX(Inputs!$K$5:$AJ$180,0,MATCH(O$2,Inputs!$K$4:$AJ$4,0))))+SUMPRODUCT((Inputs!$E$5:$E$180=$B39)*ISNUMBER(INDEX(Inputs!$K$5:$AJ$180,0,MATCH(O$2,Inputs!$K$4:$AJ$4,0))))=0,NA(),SUMPRODUCT((Inputs!$A$5:$A$180=$B39)*Inputs!$B$5:$B$180*(((Inputs!$G$5:$G$180="moeda")+(Inputs!$G$5:$G$180="acoes"))*Inputs!$B$1+((Inputs!$G$5:$G$180&lt;&gt;"moeda")*(Inputs!$G$5:$G$180&lt;&gt;"acoes")))*INDEX(Inputs!$K$5:$AJ$180,0,MATCH(O$2,Inputs!$K$4:$AJ$4,0)))+SUMPRODUCT((Inputs!$C$5:$C$180=$B39)*Inputs!$D$5:$D$180*(((Inputs!$G$5:$G$180="moeda")+(Inputs!$G$5:$G$180="acoes"))*Inputs!$B$1+((Inputs!$G$5:$G$180&lt;&gt;"moeda")*(Inputs!$G$5:$G$180&lt;&gt;"acoes")))*INDEX(Inputs!$K$5:$AJ$180,0,MATCH(O$2,Inputs!$K$4:$AJ$4,0)))+SUMPRODUCT((Inputs!$E$5:$E$180=$B39)*Inputs!$F$5:$F$180*(((Inputs!$G$5:$G$180="moeda")+(Inputs!$G$5:$G$180="acoes"))*Inputs!$B$1+((Inputs!$G$5:$G$180&lt;&gt;"moeda")*(Inputs!$G$5:$G$180&lt;&gt;"acoes")))*INDEX(Inputs!$K$5:$AJ$180,0,MATCH(O$2,Inputs!$K$4:$AJ$4,0)))))</f>
        <v>127.709</v>
      </c>
      <c r="P39" s="6">
        <f>IF(ISNA(MATCH(P$2,Inputs!$K$4:$AJ$4,0)),NA(),IF(SUMPRODUCT((Inputs!$A$5:$A$180=$B39)*ISNUMBER(INDEX(Inputs!$K$5:$AJ$180,0,MATCH(P$2,Inputs!$K$4:$AJ$4,0))))+SUMPRODUCT((Inputs!$C$5:$C$180=$B39)*ISNUMBER(INDEX(Inputs!$K$5:$AJ$180,0,MATCH(P$2,Inputs!$K$4:$AJ$4,0))))+SUMPRODUCT((Inputs!$E$5:$E$180=$B39)*ISNUMBER(INDEX(Inputs!$K$5:$AJ$180,0,MATCH(P$2,Inputs!$K$4:$AJ$4,0))))=0,NA(),SUMPRODUCT((Inputs!$A$5:$A$180=$B39)*Inputs!$B$5:$B$180*(((Inputs!$G$5:$G$180="moeda")+(Inputs!$G$5:$G$180="acoes"))*Inputs!$B$1+((Inputs!$G$5:$G$180&lt;&gt;"moeda")*(Inputs!$G$5:$G$180&lt;&gt;"acoes")))*INDEX(Inputs!$K$5:$AJ$180,0,MATCH(P$2,Inputs!$K$4:$AJ$4,0)))+SUMPRODUCT((Inputs!$C$5:$C$180=$B39)*Inputs!$D$5:$D$180*(((Inputs!$G$5:$G$180="moeda")+(Inputs!$G$5:$G$180="acoes"))*Inputs!$B$1+((Inputs!$G$5:$G$180&lt;&gt;"moeda")*(Inputs!$G$5:$G$180&lt;&gt;"acoes")))*INDEX(Inputs!$K$5:$AJ$180,0,MATCH(P$2,Inputs!$K$4:$AJ$4,0)))+SUMPRODUCT((Inputs!$E$5:$E$180=$B39)*Inputs!$F$5:$F$180*(((Inputs!$G$5:$G$180="moeda")+(Inputs!$G$5:$G$180="acoes"))*Inputs!$B$1+((Inputs!$G$5:$G$180&lt;&gt;"moeda")*(Inputs!$G$5:$G$180&lt;&gt;"acoes")))*INDEX(Inputs!$K$5:$AJ$180,0,MATCH(P$2,Inputs!$K$4:$AJ$4,0)))))</f>
        <v>128.664</v>
      </c>
      <c r="Q39" s="6">
        <f>IF(ISNA(MATCH(Q$2,Inputs!$K$4:$AJ$4,0)),NA(),IF(SUMPRODUCT((Inputs!$A$5:$A$180=$B39)*ISNUMBER(INDEX(Inputs!$K$5:$AJ$180,0,MATCH(Q$2,Inputs!$K$4:$AJ$4,0))))+SUMPRODUCT((Inputs!$C$5:$C$180=$B39)*ISNUMBER(INDEX(Inputs!$K$5:$AJ$180,0,MATCH(Q$2,Inputs!$K$4:$AJ$4,0))))+SUMPRODUCT((Inputs!$E$5:$E$180=$B39)*ISNUMBER(INDEX(Inputs!$K$5:$AJ$180,0,MATCH(Q$2,Inputs!$K$4:$AJ$4,0))))=0,NA(),SUMPRODUCT((Inputs!$A$5:$A$180=$B39)*Inputs!$B$5:$B$180*(((Inputs!$G$5:$G$180="moeda")+(Inputs!$G$5:$G$180="acoes"))*Inputs!$B$1+((Inputs!$G$5:$G$180&lt;&gt;"moeda")*(Inputs!$G$5:$G$180&lt;&gt;"acoes")))*INDEX(Inputs!$K$5:$AJ$180,0,MATCH(Q$2,Inputs!$K$4:$AJ$4,0)))+SUMPRODUCT((Inputs!$C$5:$C$180=$B39)*Inputs!$D$5:$D$180*(((Inputs!$G$5:$G$180="moeda")+(Inputs!$G$5:$G$180="acoes"))*Inputs!$B$1+((Inputs!$G$5:$G$180&lt;&gt;"moeda")*(Inputs!$G$5:$G$180&lt;&gt;"acoes")))*INDEX(Inputs!$K$5:$AJ$180,0,MATCH(Q$2,Inputs!$K$4:$AJ$4,0)))+SUMPRODUCT((Inputs!$E$5:$E$180=$B39)*Inputs!$F$5:$F$180*(((Inputs!$G$5:$G$180="moeda")+(Inputs!$G$5:$G$180="acoes"))*Inputs!$B$1+((Inputs!$G$5:$G$180&lt;&gt;"moeda")*(Inputs!$G$5:$G$180&lt;&gt;"acoes")))*INDEX(Inputs!$K$5:$AJ$180,0,MATCH(Q$2,Inputs!$K$4:$AJ$4,0)))))</f>
        <v>174.286</v>
      </c>
      <c r="R39" s="3">
        <f>Q39</f>
        <v>174.286</v>
      </c>
      <c r="S39" s="6">
        <f>IF(ISNA(MATCH(S$2,Inputs!$K$4:$AJ$4,0)),NA(),IF(SUMPRODUCT((Inputs!$A$5:$A$180=$B39)*ISNUMBER(INDEX(Inputs!$K$5:$AJ$180,0,MATCH(S$2,Inputs!$K$4:$AJ$4,0))))+SUMPRODUCT((Inputs!$C$5:$C$180=$B39)*ISNUMBER(INDEX(Inputs!$K$5:$AJ$180,0,MATCH(S$2,Inputs!$K$4:$AJ$4,0))))+SUMPRODUCT((Inputs!$E$5:$E$180=$B39)*ISNUMBER(INDEX(Inputs!$K$5:$AJ$180,0,MATCH(S$2,Inputs!$K$4:$AJ$4,0))))=0,NA(),SUMPRODUCT((Inputs!$A$5:$A$180=$B39)*Inputs!$B$5:$B$180*(((Inputs!$G$5:$G$180="moeda")+(Inputs!$G$5:$G$180="acoes"))*Inputs!$B$1+((Inputs!$G$5:$G$180&lt;&gt;"moeda")*(Inputs!$G$5:$G$180&lt;&gt;"acoes")))*INDEX(Inputs!$K$5:$AJ$180,0,MATCH(S$2,Inputs!$K$4:$AJ$4,0)))+SUMPRODUCT((Inputs!$C$5:$C$180=$B39)*Inputs!$D$5:$D$180*(((Inputs!$G$5:$G$180="moeda")+(Inputs!$G$5:$G$180="acoes"))*Inputs!$B$1+((Inputs!$G$5:$G$180&lt;&gt;"moeda")*(Inputs!$G$5:$G$180&lt;&gt;"acoes")))*INDEX(Inputs!$K$5:$AJ$180,0,MATCH(S$2,Inputs!$K$4:$AJ$4,0)))+SUMPRODUCT((Inputs!$E$5:$E$180=$B39)*Inputs!$F$5:$F$180*(((Inputs!$G$5:$G$180="moeda")+(Inputs!$G$5:$G$180="acoes"))*Inputs!$B$1+((Inputs!$G$5:$G$180&lt;&gt;"moeda")*(Inputs!$G$5:$G$180&lt;&gt;"acoes")))*INDEX(Inputs!$K$5:$AJ$180,0,MATCH(S$2,Inputs!$K$4:$AJ$4,0)))))</f>
        <v>179.40258127</v>
      </c>
      <c r="T39" s="6">
        <f>IF(ISNA(MATCH(T$2,Inputs!$K$4:$AJ$4,0)),NA(),IF(SUMPRODUCT((Inputs!$A$5:$A$180=$B39)*ISNUMBER(INDEX(Inputs!$K$5:$AJ$180,0,MATCH(T$2,Inputs!$K$4:$AJ$4,0))))+SUMPRODUCT((Inputs!$C$5:$C$180=$B39)*ISNUMBER(INDEX(Inputs!$K$5:$AJ$180,0,MATCH(T$2,Inputs!$K$4:$AJ$4,0))))+SUMPRODUCT((Inputs!$E$5:$E$180=$B39)*ISNUMBER(INDEX(Inputs!$K$5:$AJ$180,0,MATCH(T$2,Inputs!$K$4:$AJ$4,0))))=0,NA(),SUMPRODUCT((Inputs!$A$5:$A$180=$B39)*Inputs!$B$5:$B$180*(((Inputs!$G$5:$G$180="moeda")+(Inputs!$G$5:$G$180="acoes"))*Inputs!$B$1+((Inputs!$G$5:$G$180&lt;&gt;"moeda")*(Inputs!$G$5:$G$180&lt;&gt;"acoes")))*INDEX(Inputs!$K$5:$AJ$180,0,MATCH(T$2,Inputs!$K$4:$AJ$4,0)))+SUMPRODUCT((Inputs!$C$5:$C$180=$B39)*Inputs!$D$5:$D$180*(((Inputs!$G$5:$G$180="moeda")+(Inputs!$G$5:$G$180="acoes"))*Inputs!$B$1+((Inputs!$G$5:$G$180&lt;&gt;"moeda")*(Inputs!$G$5:$G$180&lt;&gt;"acoes")))*INDEX(Inputs!$K$5:$AJ$180,0,MATCH(T$2,Inputs!$K$4:$AJ$4,0)))+SUMPRODUCT((Inputs!$E$5:$E$180=$B39)*Inputs!$F$5:$F$180*(((Inputs!$G$5:$G$180="moeda")+(Inputs!$G$5:$G$180="acoes"))*Inputs!$B$1+((Inputs!$G$5:$G$180&lt;&gt;"moeda")*(Inputs!$G$5:$G$180&lt;&gt;"acoes")))*INDEX(Inputs!$K$5:$AJ$180,0,MATCH(T$2,Inputs!$K$4:$AJ$4,0)))))</f>
        <v>171.295</v>
      </c>
      <c r="U39" s="6">
        <f>IF(ISNA(MATCH(U$2,Inputs!$K$4:$AJ$4,0)),NA(),IF(SUMPRODUCT((Inputs!$A$5:$A$180=$B39)*ISNUMBER(INDEX(Inputs!$K$5:$AJ$180,0,MATCH(U$2,Inputs!$K$4:$AJ$4,0))))+SUMPRODUCT((Inputs!$C$5:$C$180=$B39)*ISNUMBER(INDEX(Inputs!$K$5:$AJ$180,0,MATCH(U$2,Inputs!$K$4:$AJ$4,0))))+SUMPRODUCT((Inputs!$E$5:$E$180=$B39)*ISNUMBER(INDEX(Inputs!$K$5:$AJ$180,0,MATCH(U$2,Inputs!$K$4:$AJ$4,0))))=0,NA(),SUMPRODUCT((Inputs!$A$5:$A$180=$B39)*Inputs!$B$5:$B$180*(((Inputs!$G$5:$G$180="moeda")+(Inputs!$G$5:$G$180="acoes"))*Inputs!$B$1+((Inputs!$G$5:$G$180&lt;&gt;"moeda")*(Inputs!$G$5:$G$180&lt;&gt;"acoes")))*INDEX(Inputs!$K$5:$AJ$180,0,MATCH(U$2,Inputs!$K$4:$AJ$4,0)))+SUMPRODUCT((Inputs!$C$5:$C$180=$B39)*Inputs!$D$5:$D$180*(((Inputs!$G$5:$G$180="moeda")+(Inputs!$G$5:$G$180="acoes"))*Inputs!$B$1+((Inputs!$G$5:$G$180&lt;&gt;"moeda")*(Inputs!$G$5:$G$180&lt;&gt;"acoes")))*INDEX(Inputs!$K$5:$AJ$180,0,MATCH(U$2,Inputs!$K$4:$AJ$4,0)))+SUMPRODUCT((Inputs!$E$5:$E$180=$B39)*Inputs!$F$5:$F$180*(((Inputs!$G$5:$G$180="moeda")+(Inputs!$G$5:$G$180="acoes"))*Inputs!$B$1+((Inputs!$G$5:$G$180&lt;&gt;"moeda")*(Inputs!$G$5:$G$180&lt;&gt;"acoes")))*INDEX(Inputs!$K$5:$AJ$180,0,MATCH(U$2,Inputs!$K$4:$AJ$4,0)))))</f>
        <v>179.941</v>
      </c>
      <c r="V39" s="6">
        <f>IF(ISNA(MATCH(V$2,Inputs!$K$4:$AJ$4,0)),NA(),IF(SUMPRODUCT((Inputs!$A$5:$A$180=$B39)*ISNUMBER(INDEX(Inputs!$K$5:$AJ$180,0,MATCH(V$2,Inputs!$K$4:$AJ$4,0))))+SUMPRODUCT((Inputs!$C$5:$C$180=$B39)*ISNUMBER(INDEX(Inputs!$K$5:$AJ$180,0,MATCH(V$2,Inputs!$K$4:$AJ$4,0))))+SUMPRODUCT((Inputs!$E$5:$E$180=$B39)*ISNUMBER(INDEX(Inputs!$K$5:$AJ$180,0,MATCH(V$2,Inputs!$K$4:$AJ$4,0))))=0,NA(),SUMPRODUCT((Inputs!$A$5:$A$180=$B39)*Inputs!$B$5:$B$180*(((Inputs!$G$5:$G$180="moeda")+(Inputs!$G$5:$G$180="acoes"))*Inputs!$B$1+((Inputs!$G$5:$G$180&lt;&gt;"moeda")*(Inputs!$G$5:$G$180&lt;&gt;"acoes")))*INDEX(Inputs!$K$5:$AJ$180,0,MATCH(V$2,Inputs!$K$4:$AJ$4,0)))+SUMPRODUCT((Inputs!$C$5:$C$180=$B39)*Inputs!$D$5:$D$180*(((Inputs!$G$5:$G$180="moeda")+(Inputs!$G$5:$G$180="acoes"))*Inputs!$B$1+((Inputs!$G$5:$G$180&lt;&gt;"moeda")*(Inputs!$G$5:$G$180&lt;&gt;"acoes")))*INDEX(Inputs!$K$5:$AJ$180,0,MATCH(V$2,Inputs!$K$4:$AJ$4,0)))+SUMPRODUCT((Inputs!$E$5:$E$180=$B39)*Inputs!$F$5:$F$180*(((Inputs!$G$5:$G$180="moeda")+(Inputs!$G$5:$G$180="acoes"))*Inputs!$B$1+((Inputs!$G$5:$G$180&lt;&gt;"moeda")*(Inputs!$G$5:$G$180&lt;&gt;"acoes")))*INDEX(Inputs!$K$5:$AJ$180,0,MATCH(V$2,Inputs!$K$4:$AJ$4,0)))))</f>
        <v>177.209</v>
      </c>
      <c r="W39" s="3">
        <f>V39</f>
        <v>177.209</v>
      </c>
      <c r="X39" s="6">
        <f>IF(ISNA(MATCH(X$2,Inputs!$K$4:$AJ$4,0)),NA(),IF(SUMPRODUCT((Inputs!$A$5:$A$180=$B39)*ISNUMBER(INDEX(Inputs!$K$5:$AJ$180,0,MATCH(X$2,Inputs!$K$4:$AJ$4,0))))+SUMPRODUCT((Inputs!$C$5:$C$180=$B39)*ISNUMBER(INDEX(Inputs!$K$5:$AJ$180,0,MATCH(X$2,Inputs!$K$4:$AJ$4,0))))+SUMPRODUCT((Inputs!$E$5:$E$180=$B39)*ISNUMBER(INDEX(Inputs!$K$5:$AJ$180,0,MATCH(X$2,Inputs!$K$4:$AJ$4,0))))=0,NA(),SUMPRODUCT((Inputs!$A$5:$A$180=$B39)*Inputs!$B$5:$B$180*(((Inputs!$G$5:$G$180="moeda")+(Inputs!$G$5:$G$180="acoes"))*Inputs!$B$1+((Inputs!$G$5:$G$180&lt;&gt;"moeda")*(Inputs!$G$5:$G$180&lt;&gt;"acoes")))*INDEX(Inputs!$K$5:$AJ$180,0,MATCH(X$2,Inputs!$K$4:$AJ$4,0)))+SUMPRODUCT((Inputs!$C$5:$C$180=$B39)*Inputs!$D$5:$D$180*(((Inputs!$G$5:$G$180="moeda")+(Inputs!$G$5:$G$180="acoes"))*Inputs!$B$1+((Inputs!$G$5:$G$180&lt;&gt;"moeda")*(Inputs!$G$5:$G$180&lt;&gt;"acoes")))*INDEX(Inputs!$K$5:$AJ$180,0,MATCH(X$2,Inputs!$K$4:$AJ$4,0)))+SUMPRODUCT((Inputs!$E$5:$E$180=$B39)*Inputs!$F$5:$F$180*(((Inputs!$G$5:$G$180="moeda")+(Inputs!$G$5:$G$180="acoes"))*Inputs!$B$1+((Inputs!$G$5:$G$180&lt;&gt;"moeda")*(Inputs!$G$5:$G$180&lt;&gt;"acoes")))*INDEX(Inputs!$K$5:$AJ$180,0,MATCH(X$2,Inputs!$K$4:$AJ$4,0)))))</f>
        <v>171.74576819</v>
      </c>
      <c r="Y39" s="6">
        <f>IF(ISNA(MATCH(Y$2,Inputs!$K$4:$AJ$4,0)),NA(),IF(SUMPRODUCT((Inputs!$A$5:$A$180=$B39)*ISNUMBER(INDEX(Inputs!$K$5:$AJ$180,0,MATCH(Y$2,Inputs!$K$4:$AJ$4,0))))+SUMPRODUCT((Inputs!$C$5:$C$180=$B39)*ISNUMBER(INDEX(Inputs!$K$5:$AJ$180,0,MATCH(Y$2,Inputs!$K$4:$AJ$4,0))))+SUMPRODUCT((Inputs!$E$5:$E$180=$B39)*ISNUMBER(INDEX(Inputs!$K$5:$AJ$180,0,MATCH(Y$2,Inputs!$K$4:$AJ$4,0))))=0,NA(),SUMPRODUCT((Inputs!$A$5:$A$180=$B39)*Inputs!$B$5:$B$180*(((Inputs!$G$5:$G$180="moeda")+(Inputs!$G$5:$G$180="acoes"))*Inputs!$B$1+((Inputs!$G$5:$G$180&lt;&gt;"moeda")*(Inputs!$G$5:$G$180&lt;&gt;"acoes")))*INDEX(Inputs!$K$5:$AJ$180,0,MATCH(Y$2,Inputs!$K$4:$AJ$4,0)))+SUMPRODUCT((Inputs!$C$5:$C$180=$B39)*Inputs!$D$5:$D$180*(((Inputs!$G$5:$G$180="moeda")+(Inputs!$G$5:$G$180="acoes"))*Inputs!$B$1+((Inputs!$G$5:$G$180&lt;&gt;"moeda")*(Inputs!$G$5:$G$180&lt;&gt;"acoes")))*INDEX(Inputs!$K$5:$AJ$180,0,MATCH(Y$2,Inputs!$K$4:$AJ$4,0)))+SUMPRODUCT((Inputs!$E$5:$E$180=$B39)*Inputs!$F$5:$F$180*(((Inputs!$G$5:$G$180="moeda")+(Inputs!$G$5:$G$180="acoes"))*Inputs!$B$1+((Inputs!$G$5:$G$180&lt;&gt;"moeda")*(Inputs!$G$5:$G$180&lt;&gt;"acoes")))*INDEX(Inputs!$K$5:$AJ$180,0,MATCH(Y$2,Inputs!$K$4:$AJ$4,0)))))</f>
        <v>174.042</v>
      </c>
      <c r="Z39" s="6">
        <f>IF(ISNA(MATCH(Z$2,Inputs!$K$4:$AJ$4,0)),NA(),IF(SUMPRODUCT((Inputs!$A$5:$A$180=$B39)*ISNUMBER(INDEX(Inputs!$K$5:$AJ$180,0,MATCH(Z$2,Inputs!$K$4:$AJ$4,0))))+SUMPRODUCT((Inputs!$C$5:$C$180=$B39)*ISNUMBER(INDEX(Inputs!$K$5:$AJ$180,0,MATCH(Z$2,Inputs!$K$4:$AJ$4,0))))+SUMPRODUCT((Inputs!$E$5:$E$180=$B39)*ISNUMBER(INDEX(Inputs!$K$5:$AJ$180,0,MATCH(Z$2,Inputs!$K$4:$AJ$4,0))))=0,NA(),SUMPRODUCT((Inputs!$A$5:$A$180=$B39)*Inputs!$B$5:$B$180*(((Inputs!$G$5:$G$180="moeda")+(Inputs!$G$5:$G$180="acoes"))*Inputs!$B$1+((Inputs!$G$5:$G$180&lt;&gt;"moeda")*(Inputs!$G$5:$G$180&lt;&gt;"acoes")))*INDEX(Inputs!$K$5:$AJ$180,0,MATCH(Z$2,Inputs!$K$4:$AJ$4,0)))+SUMPRODUCT((Inputs!$C$5:$C$180=$B39)*Inputs!$D$5:$D$180*(((Inputs!$G$5:$G$180="moeda")+(Inputs!$G$5:$G$180="acoes"))*Inputs!$B$1+((Inputs!$G$5:$G$180&lt;&gt;"moeda")*(Inputs!$G$5:$G$180&lt;&gt;"acoes")))*INDEX(Inputs!$K$5:$AJ$180,0,MATCH(Z$2,Inputs!$K$4:$AJ$4,0)))+SUMPRODUCT((Inputs!$E$5:$E$180=$B39)*Inputs!$F$5:$F$180*(((Inputs!$G$5:$G$180="moeda")+(Inputs!$G$5:$G$180="acoes"))*Inputs!$B$1+((Inputs!$G$5:$G$180&lt;&gt;"moeda")*(Inputs!$G$5:$G$180&lt;&gt;"acoes")))*INDEX(Inputs!$K$5:$AJ$180,0,MATCH(Z$2,Inputs!$K$4:$AJ$4,0)))))</f>
        <v>185.673</v>
      </c>
      <c r="AA39" s="6">
        <f>IF(ISNA(MATCH(AA$2,Inputs!$K$4:$AJ$4,0)),NA(),IF(SUMPRODUCT((Inputs!$A$5:$A$180=$B39)*ISNUMBER(INDEX(Inputs!$K$5:$AJ$180,0,MATCH(AA$2,Inputs!$K$4:$AJ$4,0))))+SUMPRODUCT((Inputs!$C$5:$C$180=$B39)*ISNUMBER(INDEX(Inputs!$K$5:$AJ$180,0,MATCH(AA$2,Inputs!$K$4:$AJ$4,0))))+SUMPRODUCT((Inputs!$E$5:$E$180=$B39)*ISNUMBER(INDEX(Inputs!$K$5:$AJ$180,0,MATCH(AA$2,Inputs!$K$4:$AJ$4,0))))=0,NA(),SUMPRODUCT((Inputs!$A$5:$A$180=$B39)*Inputs!$B$5:$B$180*(((Inputs!$G$5:$G$180="moeda")+(Inputs!$G$5:$G$180="acoes"))*Inputs!$B$1+((Inputs!$G$5:$G$180&lt;&gt;"moeda")*(Inputs!$G$5:$G$180&lt;&gt;"acoes")))*INDEX(Inputs!$K$5:$AJ$180,0,MATCH(AA$2,Inputs!$K$4:$AJ$4,0)))+SUMPRODUCT((Inputs!$C$5:$C$180=$B39)*Inputs!$D$5:$D$180*(((Inputs!$G$5:$G$180="moeda")+(Inputs!$G$5:$G$180="acoes"))*Inputs!$B$1+((Inputs!$G$5:$G$180&lt;&gt;"moeda")*(Inputs!$G$5:$G$180&lt;&gt;"acoes")))*INDEX(Inputs!$K$5:$AJ$180,0,MATCH(AA$2,Inputs!$K$4:$AJ$4,0)))+SUMPRODUCT((Inputs!$E$5:$E$180=$B39)*Inputs!$F$5:$F$180*(((Inputs!$G$5:$G$180="moeda")+(Inputs!$G$5:$G$180="acoes"))*Inputs!$B$1+((Inputs!$G$5:$G$180&lt;&gt;"moeda")*(Inputs!$G$5:$G$180&lt;&gt;"acoes")))*INDEX(Inputs!$K$5:$AJ$180,0,MATCH(AA$2,Inputs!$K$4:$AJ$4,0)))))</f>
        <v>252.354</v>
      </c>
      <c r="AB39" s="3">
        <f>AA39</f>
        <v>252.354</v>
      </c>
      <c r="AC39" s="6">
        <f>IF(ISNA(MATCH(AC$2,Inputs!$K$4:$AJ$4,0)),NA(),IF(SUMPRODUCT((Inputs!$A$5:$A$180=$B39)*ISNUMBER(INDEX(Inputs!$K$5:$AJ$180,0,MATCH(AC$2,Inputs!$K$4:$AJ$4,0))))+SUMPRODUCT((Inputs!$C$5:$C$180=$B39)*ISNUMBER(INDEX(Inputs!$K$5:$AJ$180,0,MATCH(AC$2,Inputs!$K$4:$AJ$4,0))))+SUMPRODUCT((Inputs!$E$5:$E$180=$B39)*ISNUMBER(INDEX(Inputs!$K$5:$AJ$180,0,MATCH(AC$2,Inputs!$K$4:$AJ$4,0))))=0,NA(),SUMPRODUCT((Inputs!$A$5:$A$180=$B39)*Inputs!$B$5:$B$180*(((Inputs!$G$5:$G$180="moeda")+(Inputs!$G$5:$G$180="acoes"))*Inputs!$B$1+((Inputs!$G$5:$G$180&lt;&gt;"moeda")*(Inputs!$G$5:$G$180&lt;&gt;"acoes")))*INDEX(Inputs!$K$5:$AJ$180,0,MATCH(AC$2,Inputs!$K$4:$AJ$4,0)))+SUMPRODUCT((Inputs!$C$5:$C$180=$B39)*Inputs!$D$5:$D$180*(((Inputs!$G$5:$G$180="moeda")+(Inputs!$G$5:$G$180="acoes"))*Inputs!$B$1+((Inputs!$G$5:$G$180&lt;&gt;"moeda")*(Inputs!$G$5:$G$180&lt;&gt;"acoes")))*INDEX(Inputs!$K$5:$AJ$180,0,MATCH(AC$2,Inputs!$K$4:$AJ$4,0)))+SUMPRODUCT((Inputs!$E$5:$E$180=$B39)*Inputs!$F$5:$F$180*(((Inputs!$G$5:$G$180="moeda")+(Inputs!$G$5:$G$180="acoes"))*Inputs!$B$1+((Inputs!$G$5:$G$180&lt;&gt;"moeda")*(Inputs!$G$5:$G$180&lt;&gt;"acoes")))*INDEX(Inputs!$K$5:$AJ$180,0,MATCH(AC$2,Inputs!$K$4:$AJ$4,0)))))</f>
        <v>246.17</v>
      </c>
      <c r="AD39" s="6">
        <f>IF(ISNA(MATCH(AD$2,Inputs!$K$4:$AJ$4,0)),NA(),IF(SUMPRODUCT((Inputs!$A$5:$A$180=$B39)*ISNUMBER(INDEX(Inputs!$K$5:$AJ$180,0,MATCH(AD$2,Inputs!$K$4:$AJ$4,0))))+SUMPRODUCT((Inputs!$C$5:$C$180=$B39)*ISNUMBER(INDEX(Inputs!$K$5:$AJ$180,0,MATCH(AD$2,Inputs!$K$4:$AJ$4,0))))+SUMPRODUCT((Inputs!$E$5:$E$180=$B39)*ISNUMBER(INDEX(Inputs!$K$5:$AJ$180,0,MATCH(AD$2,Inputs!$K$4:$AJ$4,0))))=0,NA(),SUMPRODUCT((Inputs!$A$5:$A$180=$B39)*Inputs!$B$5:$B$180*(((Inputs!$G$5:$G$180="moeda")+(Inputs!$G$5:$G$180="acoes"))*Inputs!$B$1+((Inputs!$G$5:$G$180&lt;&gt;"moeda")*(Inputs!$G$5:$G$180&lt;&gt;"acoes")))*INDEX(Inputs!$K$5:$AJ$180,0,MATCH(AD$2,Inputs!$K$4:$AJ$4,0)))+SUMPRODUCT((Inputs!$C$5:$C$180=$B39)*Inputs!$D$5:$D$180*(((Inputs!$G$5:$G$180="moeda")+(Inputs!$G$5:$G$180="acoes"))*Inputs!$B$1+((Inputs!$G$5:$G$180&lt;&gt;"moeda")*(Inputs!$G$5:$G$180&lt;&gt;"acoes")))*INDEX(Inputs!$K$5:$AJ$180,0,MATCH(AD$2,Inputs!$K$4:$AJ$4,0)))+SUMPRODUCT((Inputs!$E$5:$E$180=$B39)*Inputs!$F$5:$F$180*(((Inputs!$G$5:$G$180="moeda")+(Inputs!$G$5:$G$180="acoes"))*Inputs!$B$1+((Inputs!$G$5:$G$180&lt;&gt;"moeda")*(Inputs!$G$5:$G$180&lt;&gt;"acoes")))*INDEX(Inputs!$K$5:$AJ$180,0,MATCH(AD$2,Inputs!$K$4:$AJ$4,0)))))</f>
        <v>239.753</v>
      </c>
      <c r="AE39" s="6" t="e">
        <f>IF(ISNA(MATCH(AE$2,Inputs!$K$4:$AJ$4,0)),NA(),IF(SUMPRODUCT((Inputs!$A$5:$A$180=$B39)*ISNUMBER(INDEX(Inputs!$K$5:$AJ$180,0,MATCH(AE$2,Inputs!$K$4:$AJ$4,0))))+SUMPRODUCT((Inputs!$C$5:$C$180=$B39)*ISNUMBER(INDEX(Inputs!$K$5:$AJ$180,0,MATCH(AE$2,Inputs!$K$4:$AJ$4,0))))+SUMPRODUCT((Inputs!$E$5:$E$180=$B39)*ISNUMBER(INDEX(Inputs!$K$5:$AJ$180,0,MATCH(AE$2,Inputs!$K$4:$AJ$4,0))))=0,NA(),SUMPRODUCT((Inputs!$A$5:$A$180=$B39)*Inputs!$B$5:$B$180*(((Inputs!$G$5:$G$180="moeda")+(Inputs!$G$5:$G$180="acoes"))*Inputs!$B$1+((Inputs!$G$5:$G$180&lt;&gt;"moeda")*(Inputs!$G$5:$G$180&lt;&gt;"acoes")))*INDEX(Inputs!$K$5:$AJ$180,0,MATCH(AE$2,Inputs!$K$4:$AJ$4,0)))+SUMPRODUCT((Inputs!$C$5:$C$180=$B39)*Inputs!$D$5:$D$180*(((Inputs!$G$5:$G$180="moeda")+(Inputs!$G$5:$G$180="acoes"))*Inputs!$B$1+((Inputs!$G$5:$G$180&lt;&gt;"moeda")*(Inputs!$G$5:$G$180&lt;&gt;"acoes")))*INDEX(Inputs!$K$5:$AJ$180,0,MATCH(AE$2,Inputs!$K$4:$AJ$4,0)))+SUMPRODUCT((Inputs!$E$5:$E$180=$B39)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39" s="6" t="e">
        <f>IF(ISNA(MATCH(AF$2,Inputs!$K$4:$AJ$4,0)),NA(),IF(SUMPRODUCT((Inputs!$A$5:$A$180=$B39)*ISNUMBER(INDEX(Inputs!$K$5:$AJ$180,0,MATCH(AF$2,Inputs!$K$4:$AJ$4,0))))+SUMPRODUCT((Inputs!$C$5:$C$180=$B39)*ISNUMBER(INDEX(Inputs!$K$5:$AJ$180,0,MATCH(AF$2,Inputs!$K$4:$AJ$4,0))))+SUMPRODUCT((Inputs!$E$5:$E$180=$B39)*ISNUMBER(INDEX(Inputs!$K$5:$AJ$180,0,MATCH(AF$2,Inputs!$K$4:$AJ$4,0))))=0,NA(),SUMPRODUCT((Inputs!$A$5:$A$180=$B39)*Inputs!$B$5:$B$180*(((Inputs!$G$5:$G$180="moeda")+(Inputs!$G$5:$G$180="acoes"))*Inputs!$B$1+((Inputs!$G$5:$G$180&lt;&gt;"moeda")*(Inputs!$G$5:$G$180&lt;&gt;"acoes")))*INDEX(Inputs!$K$5:$AJ$180,0,MATCH(AF$2,Inputs!$K$4:$AJ$4,0)))+SUMPRODUCT((Inputs!$C$5:$C$180=$B39)*Inputs!$D$5:$D$180*(((Inputs!$G$5:$G$180="moeda")+(Inputs!$G$5:$G$180="acoes"))*Inputs!$B$1+((Inputs!$G$5:$G$180&lt;&gt;"moeda")*(Inputs!$G$5:$G$180&lt;&gt;"acoes")))*INDEX(Inputs!$K$5:$AJ$180,0,MATCH(AF$2,Inputs!$K$4:$AJ$4,0)))+SUMPRODUCT((Inputs!$E$5:$E$180=$B39)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39" s="3" t="e">
        <f>AF39</f>
        <v>#N/A</v>
      </c>
      <c r="AH39" s="6">
        <f>IF(ISNA(MATCH(AH$2,Inputs!$K$4:$AJ$4,0)),NA(),IF(SUMPRODUCT((Inputs!$A$5:$A$180=$B39)*ISNUMBER(INDEX(Inputs!$K$5:$AJ$180,0,MATCH(AH$2,Inputs!$K$4:$AJ$4,0))))+SUMPRODUCT((Inputs!$C$5:$C$180=$B39)*ISNUMBER(INDEX(Inputs!$K$5:$AJ$180,0,MATCH(AH$2,Inputs!$K$4:$AJ$4,0))))+SUMPRODUCT((Inputs!$E$5:$E$180=$B39)*ISNUMBER(INDEX(Inputs!$K$5:$AJ$180,0,MATCH(AH$2,Inputs!$K$4:$AJ$4,0))))=0,NA(),SUMPRODUCT((Inputs!$A$5:$A$180=$B39)*Inputs!$B$5:$B$180*(((Inputs!$G$5:$G$180="moeda")+(Inputs!$G$5:$G$180="acoes"))*Inputs!$B$1+((Inputs!$G$5:$G$180&lt;&gt;"moeda")*(Inputs!$G$5:$G$180&lt;&gt;"acoes")))*INDEX(Inputs!$K$5:$AJ$180,0,MATCH(AH$2,Inputs!$K$4:$AJ$4,0)))+SUMPRODUCT((Inputs!$C$5:$C$180=$B39)*Inputs!$D$5:$D$180*(((Inputs!$G$5:$G$180="moeda")+(Inputs!$G$5:$G$180="acoes"))*Inputs!$B$1+((Inputs!$G$5:$G$180&lt;&gt;"moeda")*(Inputs!$G$5:$G$180&lt;&gt;"acoes")))*INDEX(Inputs!$K$5:$AJ$180,0,MATCH(AH$2,Inputs!$K$4:$AJ$4,0)))+SUMPRODUCT((Inputs!$E$5:$E$180=$B39)*Inputs!$F$5:$F$180*(((Inputs!$G$5:$G$180="moeda")+(Inputs!$G$5:$G$180="acoes"))*Inputs!$B$1+((Inputs!$G$5:$G$180&lt;&gt;"moeda")*(Inputs!$G$5:$G$180&lt;&gt;"acoes")))*INDEX(Inputs!$K$5:$AJ$180,0,MATCH(AH$2,Inputs!$K$4:$AJ$4,0)))))</f>
        <v>67.00351859</v>
      </c>
      <c r="AI39" s="6">
        <f>IF(ISNA(MATCH(AI$2,Inputs!$K$4:$AJ$4,0)),NA(),IF(SUMPRODUCT((Inputs!$A$5:$A$180=$B39)*ISNUMBER(INDEX(Inputs!$K$5:$AJ$180,0,MATCH(AI$2,Inputs!$K$4:$AJ$4,0))))+SUMPRODUCT((Inputs!$C$5:$C$180=$B39)*ISNUMBER(INDEX(Inputs!$K$5:$AJ$180,0,MATCH(AI$2,Inputs!$K$4:$AJ$4,0))))+SUMPRODUCT((Inputs!$E$5:$E$180=$B39)*ISNUMBER(INDEX(Inputs!$K$5:$AJ$180,0,MATCH(AI$2,Inputs!$K$4:$AJ$4,0))))=0,NA(),SUMPRODUCT((Inputs!$A$5:$A$180=$B39)*Inputs!$B$5:$B$180*(((Inputs!$G$5:$G$180="moeda")+(Inputs!$G$5:$G$180="acoes"))*Inputs!$B$1+((Inputs!$G$5:$G$180&lt;&gt;"moeda")*(Inputs!$G$5:$G$180&lt;&gt;"acoes")))*INDEX(Inputs!$K$5:$AJ$180,0,MATCH(AI$2,Inputs!$K$4:$AJ$4,0)))+SUMPRODUCT((Inputs!$C$5:$C$180=$B39)*Inputs!$D$5:$D$180*(((Inputs!$G$5:$G$180="moeda")+(Inputs!$G$5:$G$180="acoes"))*Inputs!$B$1+((Inputs!$G$5:$G$180&lt;&gt;"moeda")*(Inputs!$G$5:$G$180&lt;&gt;"acoes")))*INDEX(Inputs!$K$5:$AJ$180,0,MATCH(AI$2,Inputs!$K$4:$AJ$4,0)))+SUMPRODUCT((Inputs!$E$5:$E$180=$B39)*Inputs!$F$5:$F$180*(((Inputs!$G$5:$G$180="moeda")+(Inputs!$G$5:$G$180="acoes"))*Inputs!$B$1+((Inputs!$G$5:$G$180&lt;&gt;"moeda")*(Inputs!$G$5:$G$180&lt;&gt;"acoes")))*INDEX(Inputs!$K$5:$AJ$180,0,MATCH(AI$2,Inputs!$K$4:$AJ$4,0)))))</f>
        <v>65.27087631</v>
      </c>
      <c r="AJ39" s="6">
        <f>IF(ISNA(MATCH(AJ$2,Inputs!$K$4:$AJ$4,0)),NA(),IF(SUMPRODUCT((Inputs!$A$5:$A$180=$B39)*ISNUMBER(INDEX(Inputs!$K$5:$AJ$180,0,MATCH(AJ$2,Inputs!$K$4:$AJ$4,0))))+SUMPRODUCT((Inputs!$C$5:$C$180=$B39)*ISNUMBER(INDEX(Inputs!$K$5:$AJ$180,0,MATCH(AJ$2,Inputs!$K$4:$AJ$4,0))))+SUMPRODUCT((Inputs!$E$5:$E$180=$B39)*ISNUMBER(INDEX(Inputs!$K$5:$AJ$180,0,MATCH(AJ$2,Inputs!$K$4:$AJ$4,0))))=0,NA(),SUMPRODUCT((Inputs!$A$5:$A$180=$B39)*Inputs!$B$5:$B$180*(((Inputs!$G$5:$G$180="moeda")+(Inputs!$G$5:$G$180="acoes"))*Inputs!$B$1+((Inputs!$G$5:$G$180&lt;&gt;"moeda")*(Inputs!$G$5:$G$180&lt;&gt;"acoes")))*INDEX(Inputs!$K$5:$AJ$180,0,MATCH(AJ$2,Inputs!$K$4:$AJ$4,0)))+SUMPRODUCT((Inputs!$C$5:$C$180=$B39)*Inputs!$D$5:$D$180*(((Inputs!$G$5:$G$180="moeda")+(Inputs!$G$5:$G$180="acoes"))*Inputs!$B$1+((Inputs!$G$5:$G$180&lt;&gt;"moeda")*(Inputs!$G$5:$G$180&lt;&gt;"acoes")))*INDEX(Inputs!$K$5:$AJ$180,0,MATCH(AJ$2,Inputs!$K$4:$AJ$4,0)))+SUMPRODUCT((Inputs!$E$5:$E$180=$B39)*Inputs!$F$5:$F$180*(((Inputs!$G$5:$G$180="moeda")+(Inputs!$G$5:$G$180="acoes"))*Inputs!$B$1+((Inputs!$G$5:$G$180&lt;&gt;"moeda")*(Inputs!$G$5:$G$180&lt;&gt;"acoes")))*INDEX(Inputs!$K$5:$AJ$180,0,MATCH(AJ$2,Inputs!$K$4:$AJ$4,0)))))</f>
        <v>64.58416792</v>
      </c>
      <c r="AK39" s="6">
        <f>IF(ISNA(MATCH(AK$2,Inputs!$K$4:$AJ$4,0)),NA(),IF(SUMPRODUCT((Inputs!$A$5:$A$180=$B39)*ISNUMBER(INDEX(Inputs!$K$5:$AJ$180,0,MATCH(AK$2,Inputs!$K$4:$AJ$4,0))))+SUMPRODUCT((Inputs!$C$5:$C$180=$B39)*ISNUMBER(INDEX(Inputs!$K$5:$AJ$180,0,MATCH(AK$2,Inputs!$K$4:$AJ$4,0))))+SUMPRODUCT((Inputs!$E$5:$E$180=$B39)*ISNUMBER(INDEX(Inputs!$K$5:$AJ$180,0,MATCH(AK$2,Inputs!$K$4:$AJ$4,0))))=0,NA(),SUMPRODUCT((Inputs!$A$5:$A$180=$B39)*Inputs!$B$5:$B$180*(((Inputs!$G$5:$G$180="moeda")+(Inputs!$G$5:$G$180="acoes"))*Inputs!$B$1+((Inputs!$G$5:$G$180&lt;&gt;"moeda")*(Inputs!$G$5:$G$180&lt;&gt;"acoes")))*INDEX(Inputs!$K$5:$AJ$180,0,MATCH(AK$2,Inputs!$K$4:$AJ$4,0)))+SUMPRODUCT((Inputs!$C$5:$C$180=$B39)*Inputs!$D$5:$D$180*(((Inputs!$G$5:$G$180="moeda")+(Inputs!$G$5:$G$180="acoes"))*Inputs!$B$1+((Inputs!$G$5:$G$180&lt;&gt;"moeda")*(Inputs!$G$5:$G$180&lt;&gt;"acoes")))*INDEX(Inputs!$K$5:$AJ$180,0,MATCH(AK$2,Inputs!$K$4:$AJ$4,0)))+SUMPRODUCT((Inputs!$E$5:$E$180=$B39)*Inputs!$F$5:$F$180*(((Inputs!$G$5:$G$180="moeda")+(Inputs!$G$5:$G$180="acoes"))*Inputs!$B$1+((Inputs!$G$5:$G$180&lt;&gt;"moeda")*(Inputs!$G$5:$G$180&lt;&gt;"acoes")))*INDEX(Inputs!$K$5:$AJ$180,0,MATCH(AK$2,Inputs!$K$4:$AJ$4,0)))))</f>
        <v>62.61925058</v>
      </c>
      <c r="AL39" s="3">
        <f>AK39</f>
        <v>62.61925058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$180=$B41)*ISNUMBER(INDEX(Inputs!$K$5:$AJ$180,0,MATCH(D$2,Inputs!$K$4:$AJ$4,0))))+SUMPRODUCT((Inputs!$C$5:$C$180=$B41)*ISNUMBER(INDEX(Inputs!$K$5:$AJ$180,0,MATCH(D$2,Inputs!$K$4:$AJ$4,0))))+SUMPRODUCT((Inputs!$E$5:$E$180=$B41)*ISNUMBER(INDEX(Inputs!$K$5:$AJ$180,0,MATCH(D$2,Inputs!$K$4:$AJ$4,0))))=0,NA(),SUMPRODUCT((Inputs!$A$5:$A$180=$B41)*Inputs!$B$5:$B$180*(((Inputs!$G$5:$G$180="moeda")+(Inputs!$G$5:$G$180="acoes"))*Inputs!$B$1+((Inputs!$G$5:$G$180&lt;&gt;"moeda")*(Inputs!$G$5:$G$180&lt;&gt;"acoes")))*INDEX(Inputs!$K$5:$AJ$180,0,MATCH(D$2,Inputs!$K$4:$AJ$4,0)))+SUMPRODUCT((Inputs!$C$5:$C$180=$B41)*Inputs!$D$5:$D$180*(((Inputs!$G$5:$G$180="moeda")+(Inputs!$G$5:$G$180="acoes"))*Inputs!$B$1+((Inputs!$G$5:$G$180&lt;&gt;"moeda")*(Inputs!$G$5:$G$180&lt;&gt;"acoes")))*INDEX(Inputs!$K$5:$AJ$180,0,MATCH(D$2,Inputs!$K$4:$AJ$4,0)))+SUMPRODUCT((Inputs!$E$5:$E$180=$B41)*Inputs!$F$5:$F$180*(((Inputs!$G$5:$G$180="moeda")+(Inputs!$G$5:$G$180="acoes"))*Inputs!$B$1+((Inputs!$G$5:$G$180&lt;&gt;"moeda")*(Inputs!$G$5:$G$180&lt;&gt;"acoes")))*INDEX(Inputs!$K$5:$AJ$180,0,MATCH(D$2,Inputs!$K$4:$AJ$4,0)))))</f>
        <v>0</v>
      </c>
      <c r="E41" s="6">
        <f>IF(ISNA(MATCH(E$2,Inputs!$K$4:$AJ$4,0)),NA(),IF(SUMPRODUCT((Inputs!$A$5:$A$180=$B41)*ISNUMBER(INDEX(Inputs!$K$5:$AJ$180,0,MATCH(E$2,Inputs!$K$4:$AJ$4,0))))+SUMPRODUCT((Inputs!$C$5:$C$180=$B41)*ISNUMBER(INDEX(Inputs!$K$5:$AJ$180,0,MATCH(E$2,Inputs!$K$4:$AJ$4,0))))+SUMPRODUCT((Inputs!$E$5:$E$180=$B41)*ISNUMBER(INDEX(Inputs!$K$5:$AJ$180,0,MATCH(E$2,Inputs!$K$4:$AJ$4,0))))=0,NA(),SUMPRODUCT((Inputs!$A$5:$A$180=$B41)*Inputs!$B$5:$B$180*(((Inputs!$G$5:$G$180="moeda")+(Inputs!$G$5:$G$180="acoes"))*Inputs!$B$1+((Inputs!$G$5:$G$180&lt;&gt;"moeda")*(Inputs!$G$5:$G$180&lt;&gt;"acoes")))*INDEX(Inputs!$K$5:$AJ$180,0,MATCH(E$2,Inputs!$K$4:$AJ$4,0)))+SUMPRODUCT((Inputs!$C$5:$C$180=$B41)*Inputs!$D$5:$D$180*(((Inputs!$G$5:$G$180="moeda")+(Inputs!$G$5:$G$180="acoes"))*Inputs!$B$1+((Inputs!$G$5:$G$180&lt;&gt;"moeda")*(Inputs!$G$5:$G$180&lt;&gt;"acoes")))*INDEX(Inputs!$K$5:$AJ$180,0,MATCH(E$2,Inputs!$K$4:$AJ$4,0)))+SUMPRODUCT((Inputs!$E$5:$E$180=$B41)*Inputs!$F$5:$F$180*(((Inputs!$G$5:$G$180="moeda")+(Inputs!$G$5:$G$180="acoes"))*Inputs!$B$1+((Inputs!$G$5:$G$180&lt;&gt;"moeda")*(Inputs!$G$5:$G$180&lt;&gt;"acoes")))*INDEX(Inputs!$K$5:$AJ$180,0,MATCH(E$2,Inputs!$K$4:$AJ$4,0)))))</f>
        <v>1.33071621</v>
      </c>
      <c r="F41" s="6">
        <f>IF(ISNA(MATCH(F$2,Inputs!$K$4:$AJ$4,0)),NA(),IF(SUMPRODUCT((Inputs!$A$5:$A$180=$B41)*ISNUMBER(INDEX(Inputs!$K$5:$AJ$180,0,MATCH(F$2,Inputs!$K$4:$AJ$4,0))))+SUMPRODUCT((Inputs!$C$5:$C$180=$B41)*ISNUMBER(INDEX(Inputs!$K$5:$AJ$180,0,MATCH(F$2,Inputs!$K$4:$AJ$4,0))))+SUMPRODUCT((Inputs!$E$5:$E$180=$B41)*ISNUMBER(INDEX(Inputs!$K$5:$AJ$180,0,MATCH(F$2,Inputs!$K$4:$AJ$4,0))))=0,NA(),SUMPRODUCT((Inputs!$A$5:$A$180=$B41)*Inputs!$B$5:$B$180*(((Inputs!$G$5:$G$180="moeda")+(Inputs!$G$5:$G$180="acoes"))*Inputs!$B$1+((Inputs!$G$5:$G$180&lt;&gt;"moeda")*(Inputs!$G$5:$G$180&lt;&gt;"acoes")))*INDEX(Inputs!$K$5:$AJ$180,0,MATCH(F$2,Inputs!$K$4:$AJ$4,0)))+SUMPRODUCT((Inputs!$C$5:$C$180=$B41)*Inputs!$D$5:$D$180*(((Inputs!$G$5:$G$180="moeda")+(Inputs!$G$5:$G$180="acoes"))*Inputs!$B$1+((Inputs!$G$5:$G$180&lt;&gt;"moeda")*(Inputs!$G$5:$G$180&lt;&gt;"acoes")))*INDEX(Inputs!$K$5:$AJ$180,0,MATCH(F$2,Inputs!$K$4:$AJ$4,0)))+SUMPRODUCT((Inputs!$E$5:$E$180=$B41)*Inputs!$F$5:$F$180*(((Inputs!$G$5:$G$180="moeda")+(Inputs!$G$5:$G$180="acoes"))*Inputs!$B$1+((Inputs!$G$5:$G$180&lt;&gt;"moeda")*(Inputs!$G$5:$G$180&lt;&gt;"acoes")))*INDEX(Inputs!$K$5:$AJ$180,0,MATCH(F$2,Inputs!$K$4:$AJ$4,0)))))</f>
        <v>2.803541769555</v>
      </c>
      <c r="G41" s="6">
        <f>IF(ISNA(MATCH(G$2,Inputs!$K$4:$AJ$4,0)),NA(),IF(SUMPRODUCT((Inputs!$A$5:$A$180=$B41)*ISNUMBER(INDEX(Inputs!$K$5:$AJ$180,0,MATCH(G$2,Inputs!$K$4:$AJ$4,0))))+SUMPRODUCT((Inputs!$C$5:$C$180=$B41)*ISNUMBER(INDEX(Inputs!$K$5:$AJ$180,0,MATCH(G$2,Inputs!$K$4:$AJ$4,0))))+SUMPRODUCT((Inputs!$E$5:$E$180=$B41)*ISNUMBER(INDEX(Inputs!$K$5:$AJ$180,0,MATCH(G$2,Inputs!$K$4:$AJ$4,0))))=0,NA(),SUMPRODUCT((Inputs!$A$5:$A$180=$B41)*Inputs!$B$5:$B$180*(((Inputs!$G$5:$G$180="moeda")+(Inputs!$G$5:$G$180="acoes"))*Inputs!$B$1+((Inputs!$G$5:$G$180&lt;&gt;"moeda")*(Inputs!$G$5:$G$180&lt;&gt;"acoes")))*INDEX(Inputs!$K$5:$AJ$180,0,MATCH(G$2,Inputs!$K$4:$AJ$4,0)))+SUMPRODUCT((Inputs!$C$5:$C$180=$B41)*Inputs!$D$5:$D$180*(((Inputs!$G$5:$G$180="moeda")+(Inputs!$G$5:$G$180="acoes"))*Inputs!$B$1+((Inputs!$G$5:$G$180&lt;&gt;"moeda")*(Inputs!$G$5:$G$180&lt;&gt;"acoes")))*INDEX(Inputs!$K$5:$AJ$180,0,MATCH(G$2,Inputs!$K$4:$AJ$4,0)))+SUMPRODUCT((Inputs!$E$5:$E$180=$B41)*Inputs!$F$5:$F$180*(((Inputs!$G$5:$G$180="moeda")+(Inputs!$G$5:$G$180="acoes"))*Inputs!$B$1+((Inputs!$G$5:$G$180&lt;&gt;"moeda")*(Inputs!$G$5:$G$180&lt;&gt;"acoes")))*INDEX(Inputs!$K$5:$AJ$180,0,MATCH(G$2,Inputs!$K$4:$AJ$4,0)))))</f>
        <v>9.19917964485728</v>
      </c>
      <c r="H41" s="3">
        <f>G41</f>
        <v>9.19917964485728</v>
      </c>
      <c r="I41" s="6">
        <f>IF(ISNA(MATCH(I$2,Inputs!$K$4:$AJ$4,0)),NA(),IF(SUMPRODUCT((Inputs!$A$5:$A$180=$B41)*ISNUMBER(INDEX(Inputs!$K$5:$AJ$180,0,MATCH(I$2,Inputs!$K$4:$AJ$4,0))))+SUMPRODUCT((Inputs!$C$5:$C$180=$B41)*ISNUMBER(INDEX(Inputs!$K$5:$AJ$180,0,MATCH(I$2,Inputs!$K$4:$AJ$4,0))))+SUMPRODUCT((Inputs!$E$5:$E$180=$B41)*ISNUMBER(INDEX(Inputs!$K$5:$AJ$180,0,MATCH(I$2,Inputs!$K$4:$AJ$4,0))))=0,NA(),SUMPRODUCT((Inputs!$A$5:$A$180=$B41)*Inputs!$B$5:$B$180*(((Inputs!$G$5:$G$180="moeda")+(Inputs!$G$5:$G$180="acoes"))*Inputs!$B$1+((Inputs!$G$5:$G$180&lt;&gt;"moeda")*(Inputs!$G$5:$G$180&lt;&gt;"acoes")))*INDEX(Inputs!$K$5:$AJ$180,0,MATCH(I$2,Inputs!$K$4:$AJ$4,0)))+SUMPRODUCT((Inputs!$C$5:$C$180=$B41)*Inputs!$D$5:$D$180*(((Inputs!$G$5:$G$180="moeda")+(Inputs!$G$5:$G$180="acoes"))*Inputs!$B$1+((Inputs!$G$5:$G$180&lt;&gt;"moeda")*(Inputs!$G$5:$G$180&lt;&gt;"acoes")))*INDEX(Inputs!$K$5:$AJ$180,0,MATCH(I$2,Inputs!$K$4:$AJ$4,0)))+SUMPRODUCT((Inputs!$E$5:$E$180=$B41)*Inputs!$F$5:$F$180*(((Inputs!$G$5:$G$180="moeda")+(Inputs!$G$5:$G$180="acoes"))*Inputs!$B$1+((Inputs!$G$5:$G$180&lt;&gt;"moeda")*(Inputs!$G$5:$G$180&lt;&gt;"acoes")))*INDEX(Inputs!$K$5:$AJ$180,0,MATCH(I$2,Inputs!$K$4:$AJ$4,0)))))</f>
        <v>9.99071729730728</v>
      </c>
      <c r="J41" s="6">
        <f>IF(ISNA(MATCH(J$2,Inputs!$K$4:$AJ$4,0)),NA(),IF(SUMPRODUCT((Inputs!$A$5:$A$180=$B41)*ISNUMBER(INDEX(Inputs!$K$5:$AJ$180,0,MATCH(J$2,Inputs!$K$4:$AJ$4,0))))+SUMPRODUCT((Inputs!$C$5:$C$180=$B41)*ISNUMBER(INDEX(Inputs!$K$5:$AJ$180,0,MATCH(J$2,Inputs!$K$4:$AJ$4,0))))+SUMPRODUCT((Inputs!$E$5:$E$180=$B41)*ISNUMBER(INDEX(Inputs!$K$5:$AJ$180,0,MATCH(J$2,Inputs!$K$4:$AJ$4,0))))=0,NA(),SUMPRODUCT((Inputs!$A$5:$A$180=$B41)*Inputs!$B$5:$B$180*(((Inputs!$G$5:$G$180="moeda")+(Inputs!$G$5:$G$180="acoes"))*Inputs!$B$1+((Inputs!$G$5:$G$180&lt;&gt;"moeda")*(Inputs!$G$5:$G$180&lt;&gt;"acoes")))*INDEX(Inputs!$K$5:$AJ$180,0,MATCH(J$2,Inputs!$K$4:$AJ$4,0)))+SUMPRODUCT((Inputs!$C$5:$C$180=$B41)*Inputs!$D$5:$D$180*(((Inputs!$G$5:$G$180="moeda")+(Inputs!$G$5:$G$180="acoes"))*Inputs!$B$1+((Inputs!$G$5:$G$180&lt;&gt;"moeda")*(Inputs!$G$5:$G$180&lt;&gt;"acoes")))*INDEX(Inputs!$K$5:$AJ$180,0,MATCH(J$2,Inputs!$K$4:$AJ$4,0)))+SUMPRODUCT((Inputs!$E$5:$E$180=$B41)*Inputs!$F$5:$F$180*(((Inputs!$G$5:$G$180="moeda")+(Inputs!$G$5:$G$180="acoes"))*Inputs!$B$1+((Inputs!$G$5:$G$180&lt;&gt;"moeda")*(Inputs!$G$5:$G$180&lt;&gt;"acoes")))*INDEX(Inputs!$K$5:$AJ$180,0,MATCH(J$2,Inputs!$K$4:$AJ$4,0)))))</f>
        <v>11.70036526</v>
      </c>
      <c r="K41" s="6">
        <f>IF(ISNA(MATCH(K$2,Inputs!$K$4:$AJ$4,0)),NA(),IF(SUMPRODUCT((Inputs!$A$5:$A$180=$B41)*ISNUMBER(INDEX(Inputs!$K$5:$AJ$180,0,MATCH(K$2,Inputs!$K$4:$AJ$4,0))))+SUMPRODUCT((Inputs!$C$5:$C$180=$B41)*ISNUMBER(INDEX(Inputs!$K$5:$AJ$180,0,MATCH(K$2,Inputs!$K$4:$AJ$4,0))))+SUMPRODUCT((Inputs!$E$5:$E$180=$B41)*ISNUMBER(INDEX(Inputs!$K$5:$AJ$180,0,MATCH(K$2,Inputs!$K$4:$AJ$4,0))))=0,NA(),SUMPRODUCT((Inputs!$A$5:$A$180=$B41)*Inputs!$B$5:$B$180*(((Inputs!$G$5:$G$180="moeda")+(Inputs!$G$5:$G$180="acoes"))*Inputs!$B$1+((Inputs!$G$5:$G$180&lt;&gt;"moeda")*(Inputs!$G$5:$G$180&lt;&gt;"acoes")))*INDEX(Inputs!$K$5:$AJ$180,0,MATCH(K$2,Inputs!$K$4:$AJ$4,0)))+SUMPRODUCT((Inputs!$C$5:$C$180=$B41)*Inputs!$D$5:$D$180*(((Inputs!$G$5:$G$180="moeda")+(Inputs!$G$5:$G$180="acoes"))*Inputs!$B$1+((Inputs!$G$5:$G$180&lt;&gt;"moeda")*(Inputs!$G$5:$G$180&lt;&gt;"acoes")))*INDEX(Inputs!$K$5:$AJ$180,0,MATCH(K$2,Inputs!$K$4:$AJ$4,0)))+SUMPRODUCT((Inputs!$E$5:$E$180=$B41)*Inputs!$F$5:$F$180*(((Inputs!$G$5:$G$180="moeda")+(Inputs!$G$5:$G$180="acoes"))*Inputs!$B$1+((Inputs!$G$5:$G$180&lt;&gt;"moeda")*(Inputs!$G$5:$G$180&lt;&gt;"acoes")))*INDEX(Inputs!$K$5:$AJ$180,0,MATCH(K$2,Inputs!$K$4:$AJ$4,0)))))</f>
        <v>16.59030887</v>
      </c>
      <c r="L41" s="6">
        <f>IF(ISNA(MATCH(L$2,Inputs!$K$4:$AJ$4,0)),NA(),IF(SUMPRODUCT((Inputs!$A$5:$A$180=$B41)*ISNUMBER(INDEX(Inputs!$K$5:$AJ$180,0,MATCH(L$2,Inputs!$K$4:$AJ$4,0))))+SUMPRODUCT((Inputs!$C$5:$C$180=$B41)*ISNUMBER(INDEX(Inputs!$K$5:$AJ$180,0,MATCH(L$2,Inputs!$K$4:$AJ$4,0))))+SUMPRODUCT((Inputs!$E$5:$E$180=$B41)*ISNUMBER(INDEX(Inputs!$K$5:$AJ$180,0,MATCH(L$2,Inputs!$K$4:$AJ$4,0))))=0,NA(),SUMPRODUCT((Inputs!$A$5:$A$180=$B41)*Inputs!$B$5:$B$180*(((Inputs!$G$5:$G$180="moeda")+(Inputs!$G$5:$G$180="acoes"))*Inputs!$B$1+((Inputs!$G$5:$G$180&lt;&gt;"moeda")*(Inputs!$G$5:$G$180&lt;&gt;"acoes")))*INDEX(Inputs!$K$5:$AJ$180,0,MATCH(L$2,Inputs!$K$4:$AJ$4,0)))+SUMPRODUCT((Inputs!$C$5:$C$180=$B41)*Inputs!$D$5:$D$180*(((Inputs!$G$5:$G$180="moeda")+(Inputs!$G$5:$G$180="acoes"))*Inputs!$B$1+((Inputs!$G$5:$G$180&lt;&gt;"moeda")*(Inputs!$G$5:$G$180&lt;&gt;"acoes")))*INDEX(Inputs!$K$5:$AJ$180,0,MATCH(L$2,Inputs!$K$4:$AJ$4,0)))+SUMPRODUCT((Inputs!$E$5:$E$180=$B41)*Inputs!$F$5:$F$180*(((Inputs!$G$5:$G$180="moeda")+(Inputs!$G$5:$G$180="acoes"))*Inputs!$B$1+((Inputs!$G$5:$G$180&lt;&gt;"moeda")*(Inputs!$G$5:$G$180&lt;&gt;"acoes")))*INDEX(Inputs!$K$5:$AJ$180,0,MATCH(L$2,Inputs!$K$4:$AJ$4,0)))))</f>
        <v>19.548874</v>
      </c>
      <c r="M41" s="3">
        <f>L41</f>
        <v>19.548874</v>
      </c>
      <c r="N41" s="6">
        <f>IF(ISNA(MATCH(N$2,Inputs!$K$4:$AJ$4,0)),NA(),IF(SUMPRODUCT((Inputs!$A$5:$A$180=$B41)*ISNUMBER(INDEX(Inputs!$K$5:$AJ$180,0,MATCH(N$2,Inputs!$K$4:$AJ$4,0))))+SUMPRODUCT((Inputs!$C$5:$C$180=$B41)*ISNUMBER(INDEX(Inputs!$K$5:$AJ$180,0,MATCH(N$2,Inputs!$K$4:$AJ$4,0))))+SUMPRODUCT((Inputs!$E$5:$E$180=$B41)*ISNUMBER(INDEX(Inputs!$K$5:$AJ$180,0,MATCH(N$2,Inputs!$K$4:$AJ$4,0))))=0,NA(),SUMPRODUCT((Inputs!$A$5:$A$180=$B41)*Inputs!$B$5:$B$180*(((Inputs!$G$5:$G$180="moeda")+(Inputs!$G$5:$G$180="acoes"))*Inputs!$B$1+((Inputs!$G$5:$G$180&lt;&gt;"moeda")*(Inputs!$G$5:$G$180&lt;&gt;"acoes")))*INDEX(Inputs!$K$5:$AJ$180,0,MATCH(N$2,Inputs!$K$4:$AJ$4,0)))+SUMPRODUCT((Inputs!$C$5:$C$180=$B41)*Inputs!$D$5:$D$180*(((Inputs!$G$5:$G$180="moeda")+(Inputs!$G$5:$G$180="acoes"))*Inputs!$B$1+((Inputs!$G$5:$G$180&lt;&gt;"moeda")*(Inputs!$G$5:$G$180&lt;&gt;"acoes")))*INDEX(Inputs!$K$5:$AJ$180,0,MATCH(N$2,Inputs!$K$4:$AJ$4,0)))+SUMPRODUCT((Inputs!$E$5:$E$180=$B41)*Inputs!$F$5:$F$180*(((Inputs!$G$5:$G$180="moeda")+(Inputs!$G$5:$G$180="acoes"))*Inputs!$B$1+((Inputs!$G$5:$G$180&lt;&gt;"moeda")*(Inputs!$G$5:$G$180&lt;&gt;"acoes")))*INDEX(Inputs!$K$5:$AJ$180,0,MATCH(N$2,Inputs!$K$4:$AJ$4,0)))))</f>
        <v>22.120863</v>
      </c>
      <c r="O41" s="6">
        <f>IF(ISNA(MATCH(O$2,Inputs!$K$4:$AJ$4,0)),NA(),IF(SUMPRODUCT((Inputs!$A$5:$A$180=$B41)*ISNUMBER(INDEX(Inputs!$K$5:$AJ$180,0,MATCH(O$2,Inputs!$K$4:$AJ$4,0))))+SUMPRODUCT((Inputs!$C$5:$C$180=$B41)*ISNUMBER(INDEX(Inputs!$K$5:$AJ$180,0,MATCH(O$2,Inputs!$K$4:$AJ$4,0))))+SUMPRODUCT((Inputs!$E$5:$E$180=$B41)*ISNUMBER(INDEX(Inputs!$K$5:$AJ$180,0,MATCH(O$2,Inputs!$K$4:$AJ$4,0))))=0,NA(),SUMPRODUCT((Inputs!$A$5:$A$180=$B41)*Inputs!$B$5:$B$180*(((Inputs!$G$5:$G$180="moeda")+(Inputs!$G$5:$G$180="acoes"))*Inputs!$B$1+((Inputs!$G$5:$G$180&lt;&gt;"moeda")*(Inputs!$G$5:$G$180&lt;&gt;"acoes")))*INDEX(Inputs!$K$5:$AJ$180,0,MATCH(O$2,Inputs!$K$4:$AJ$4,0)))+SUMPRODUCT((Inputs!$C$5:$C$180=$B41)*Inputs!$D$5:$D$180*(((Inputs!$G$5:$G$180="moeda")+(Inputs!$G$5:$G$180="acoes"))*Inputs!$B$1+((Inputs!$G$5:$G$180&lt;&gt;"moeda")*(Inputs!$G$5:$G$180&lt;&gt;"acoes")))*INDEX(Inputs!$K$5:$AJ$180,0,MATCH(O$2,Inputs!$K$4:$AJ$4,0)))+SUMPRODUCT((Inputs!$E$5:$E$180=$B41)*Inputs!$F$5:$F$180*(((Inputs!$G$5:$G$180="moeda")+(Inputs!$G$5:$G$180="acoes"))*Inputs!$B$1+((Inputs!$G$5:$G$180&lt;&gt;"moeda")*(Inputs!$G$5:$G$180&lt;&gt;"acoes")))*INDEX(Inputs!$K$5:$AJ$180,0,MATCH(O$2,Inputs!$K$4:$AJ$4,0)))))</f>
        <v>13.204</v>
      </c>
      <c r="P41" s="6">
        <f>IF(ISNA(MATCH(P$2,Inputs!$K$4:$AJ$4,0)),NA(),IF(SUMPRODUCT((Inputs!$A$5:$A$180=$B41)*ISNUMBER(INDEX(Inputs!$K$5:$AJ$180,0,MATCH(P$2,Inputs!$K$4:$AJ$4,0))))+SUMPRODUCT((Inputs!$C$5:$C$180=$B41)*ISNUMBER(INDEX(Inputs!$K$5:$AJ$180,0,MATCH(P$2,Inputs!$K$4:$AJ$4,0))))+SUMPRODUCT((Inputs!$E$5:$E$180=$B41)*ISNUMBER(INDEX(Inputs!$K$5:$AJ$180,0,MATCH(P$2,Inputs!$K$4:$AJ$4,0))))=0,NA(),SUMPRODUCT((Inputs!$A$5:$A$180=$B41)*Inputs!$B$5:$B$180*(((Inputs!$G$5:$G$180="moeda")+(Inputs!$G$5:$G$180="acoes"))*Inputs!$B$1+((Inputs!$G$5:$G$180&lt;&gt;"moeda")*(Inputs!$G$5:$G$180&lt;&gt;"acoes")))*INDEX(Inputs!$K$5:$AJ$180,0,MATCH(P$2,Inputs!$K$4:$AJ$4,0)))+SUMPRODUCT((Inputs!$C$5:$C$180=$B41)*Inputs!$D$5:$D$180*(((Inputs!$G$5:$G$180="moeda")+(Inputs!$G$5:$G$180="acoes"))*Inputs!$B$1+((Inputs!$G$5:$G$180&lt;&gt;"moeda")*(Inputs!$G$5:$G$180&lt;&gt;"acoes")))*INDEX(Inputs!$K$5:$AJ$180,0,MATCH(P$2,Inputs!$K$4:$AJ$4,0)))+SUMPRODUCT((Inputs!$E$5:$E$180=$B41)*Inputs!$F$5:$F$180*(((Inputs!$G$5:$G$180="moeda")+(Inputs!$G$5:$G$180="acoes"))*Inputs!$B$1+((Inputs!$G$5:$G$180&lt;&gt;"moeda")*(Inputs!$G$5:$G$180&lt;&gt;"acoes")))*INDEX(Inputs!$K$5:$AJ$180,0,MATCH(P$2,Inputs!$K$4:$AJ$4,0)))))</f>
        <v>14.811</v>
      </c>
      <c r="Q41" s="6">
        <f>IF(ISNA(MATCH(Q$2,Inputs!$K$4:$AJ$4,0)),NA(),IF(SUMPRODUCT((Inputs!$A$5:$A$180=$B41)*ISNUMBER(INDEX(Inputs!$K$5:$AJ$180,0,MATCH(Q$2,Inputs!$K$4:$AJ$4,0))))+SUMPRODUCT((Inputs!$C$5:$C$180=$B41)*ISNUMBER(INDEX(Inputs!$K$5:$AJ$180,0,MATCH(Q$2,Inputs!$K$4:$AJ$4,0))))+SUMPRODUCT((Inputs!$E$5:$E$180=$B41)*ISNUMBER(INDEX(Inputs!$K$5:$AJ$180,0,MATCH(Q$2,Inputs!$K$4:$AJ$4,0))))=0,NA(),SUMPRODUCT((Inputs!$A$5:$A$180=$B41)*Inputs!$B$5:$B$180*(((Inputs!$G$5:$G$180="moeda")+(Inputs!$G$5:$G$180="acoes"))*Inputs!$B$1+((Inputs!$G$5:$G$180&lt;&gt;"moeda")*(Inputs!$G$5:$G$180&lt;&gt;"acoes")))*INDEX(Inputs!$K$5:$AJ$180,0,MATCH(Q$2,Inputs!$K$4:$AJ$4,0)))+SUMPRODUCT((Inputs!$C$5:$C$180=$B41)*Inputs!$D$5:$D$180*(((Inputs!$G$5:$G$180="moeda")+(Inputs!$G$5:$G$180="acoes"))*Inputs!$B$1+((Inputs!$G$5:$G$180&lt;&gt;"moeda")*(Inputs!$G$5:$G$180&lt;&gt;"acoes")))*INDEX(Inputs!$K$5:$AJ$180,0,MATCH(Q$2,Inputs!$K$4:$AJ$4,0)))+SUMPRODUCT((Inputs!$E$5:$E$180=$B41)*Inputs!$F$5:$F$180*(((Inputs!$G$5:$G$180="moeda")+(Inputs!$G$5:$G$180="acoes"))*Inputs!$B$1+((Inputs!$G$5:$G$180&lt;&gt;"moeda")*(Inputs!$G$5:$G$180&lt;&gt;"acoes")))*INDEX(Inputs!$K$5:$AJ$180,0,MATCH(Q$2,Inputs!$K$4:$AJ$4,0)))))</f>
        <v>27.619</v>
      </c>
      <c r="R41" s="3">
        <f>Q41</f>
        <v>27.619</v>
      </c>
      <c r="S41" s="6">
        <f>IF(ISNA(MATCH(S$2,Inputs!$K$4:$AJ$4,0)),NA(),IF(SUMPRODUCT((Inputs!$A$5:$A$180=$B41)*ISNUMBER(INDEX(Inputs!$K$5:$AJ$180,0,MATCH(S$2,Inputs!$K$4:$AJ$4,0))))+SUMPRODUCT((Inputs!$C$5:$C$180=$B41)*ISNUMBER(INDEX(Inputs!$K$5:$AJ$180,0,MATCH(S$2,Inputs!$K$4:$AJ$4,0))))+SUMPRODUCT((Inputs!$E$5:$E$180=$B41)*ISNUMBER(INDEX(Inputs!$K$5:$AJ$180,0,MATCH(S$2,Inputs!$K$4:$AJ$4,0))))=0,NA(),SUMPRODUCT((Inputs!$A$5:$A$180=$B41)*Inputs!$B$5:$B$180*(((Inputs!$G$5:$G$180="moeda")+(Inputs!$G$5:$G$180="acoes"))*Inputs!$B$1+((Inputs!$G$5:$G$180&lt;&gt;"moeda")*(Inputs!$G$5:$G$180&lt;&gt;"acoes")))*INDEX(Inputs!$K$5:$AJ$180,0,MATCH(S$2,Inputs!$K$4:$AJ$4,0)))+SUMPRODUCT((Inputs!$C$5:$C$180=$B41)*Inputs!$D$5:$D$180*(((Inputs!$G$5:$G$180="moeda")+(Inputs!$G$5:$G$180="acoes"))*Inputs!$B$1+((Inputs!$G$5:$G$180&lt;&gt;"moeda")*(Inputs!$G$5:$G$180&lt;&gt;"acoes")))*INDEX(Inputs!$K$5:$AJ$180,0,MATCH(S$2,Inputs!$K$4:$AJ$4,0)))+SUMPRODUCT((Inputs!$E$5:$E$180=$B41)*Inputs!$F$5:$F$180*(((Inputs!$G$5:$G$180="moeda")+(Inputs!$G$5:$G$180="acoes"))*Inputs!$B$1+((Inputs!$G$5:$G$180&lt;&gt;"moeda")*(Inputs!$G$5:$G$180&lt;&gt;"acoes")))*INDEX(Inputs!$K$5:$AJ$180,0,MATCH(S$2,Inputs!$K$4:$AJ$4,0)))))</f>
        <v>29.501955374137</v>
      </c>
      <c r="T41" s="6">
        <f>IF(ISNA(MATCH(T$2,Inputs!$K$4:$AJ$4,0)),NA(),IF(SUMPRODUCT((Inputs!$A$5:$A$180=$B41)*ISNUMBER(INDEX(Inputs!$K$5:$AJ$180,0,MATCH(T$2,Inputs!$K$4:$AJ$4,0))))+SUMPRODUCT((Inputs!$C$5:$C$180=$B41)*ISNUMBER(INDEX(Inputs!$K$5:$AJ$180,0,MATCH(T$2,Inputs!$K$4:$AJ$4,0))))+SUMPRODUCT((Inputs!$E$5:$E$180=$B41)*ISNUMBER(INDEX(Inputs!$K$5:$AJ$180,0,MATCH(T$2,Inputs!$K$4:$AJ$4,0))))=0,NA(),SUMPRODUCT((Inputs!$A$5:$A$180=$B41)*Inputs!$B$5:$B$180*(((Inputs!$G$5:$G$180="moeda")+(Inputs!$G$5:$G$180="acoes"))*Inputs!$B$1+((Inputs!$G$5:$G$180&lt;&gt;"moeda")*(Inputs!$G$5:$G$180&lt;&gt;"acoes")))*INDEX(Inputs!$K$5:$AJ$180,0,MATCH(T$2,Inputs!$K$4:$AJ$4,0)))+SUMPRODUCT((Inputs!$C$5:$C$180=$B41)*Inputs!$D$5:$D$180*(((Inputs!$G$5:$G$180="moeda")+(Inputs!$G$5:$G$180="acoes"))*Inputs!$B$1+((Inputs!$G$5:$G$180&lt;&gt;"moeda")*(Inputs!$G$5:$G$180&lt;&gt;"acoes")))*INDEX(Inputs!$K$5:$AJ$180,0,MATCH(T$2,Inputs!$K$4:$AJ$4,0)))+SUMPRODUCT((Inputs!$E$5:$E$180=$B41)*Inputs!$F$5:$F$180*(((Inputs!$G$5:$G$180="moeda")+(Inputs!$G$5:$G$180="acoes"))*Inputs!$B$1+((Inputs!$G$5:$G$180&lt;&gt;"moeda")*(Inputs!$G$5:$G$180&lt;&gt;"acoes")))*INDEX(Inputs!$K$5:$AJ$180,0,MATCH(T$2,Inputs!$K$4:$AJ$4,0)))))</f>
        <v>74.196880127518</v>
      </c>
      <c r="U41" s="6">
        <f>IF(ISNA(MATCH(U$2,Inputs!$K$4:$AJ$4,0)),NA(),IF(SUMPRODUCT((Inputs!$A$5:$A$180=$B41)*ISNUMBER(INDEX(Inputs!$K$5:$AJ$180,0,MATCH(U$2,Inputs!$K$4:$AJ$4,0))))+SUMPRODUCT((Inputs!$C$5:$C$180=$B41)*ISNUMBER(INDEX(Inputs!$K$5:$AJ$180,0,MATCH(U$2,Inputs!$K$4:$AJ$4,0))))+SUMPRODUCT((Inputs!$E$5:$E$180=$B41)*ISNUMBER(INDEX(Inputs!$K$5:$AJ$180,0,MATCH(U$2,Inputs!$K$4:$AJ$4,0))))=0,NA(),SUMPRODUCT((Inputs!$A$5:$A$180=$B41)*Inputs!$B$5:$B$180*(((Inputs!$G$5:$G$180="moeda")+(Inputs!$G$5:$G$180="acoes"))*Inputs!$B$1+((Inputs!$G$5:$G$180&lt;&gt;"moeda")*(Inputs!$G$5:$G$180&lt;&gt;"acoes")))*INDEX(Inputs!$K$5:$AJ$180,0,MATCH(U$2,Inputs!$K$4:$AJ$4,0)))+SUMPRODUCT((Inputs!$C$5:$C$180=$B41)*Inputs!$D$5:$D$180*(((Inputs!$G$5:$G$180="moeda")+(Inputs!$G$5:$G$180="acoes"))*Inputs!$B$1+((Inputs!$G$5:$G$180&lt;&gt;"moeda")*(Inputs!$G$5:$G$180&lt;&gt;"acoes")))*INDEX(Inputs!$K$5:$AJ$180,0,MATCH(U$2,Inputs!$K$4:$AJ$4,0)))+SUMPRODUCT((Inputs!$E$5:$E$180=$B41)*Inputs!$F$5:$F$180*(((Inputs!$G$5:$G$180="moeda")+(Inputs!$G$5:$G$180="acoes"))*Inputs!$B$1+((Inputs!$G$5:$G$180&lt;&gt;"moeda")*(Inputs!$G$5:$G$180&lt;&gt;"acoes")))*INDEX(Inputs!$K$5:$AJ$180,0,MATCH(U$2,Inputs!$K$4:$AJ$4,0)))))</f>
        <v>85.252</v>
      </c>
      <c r="V41" s="6">
        <f>IF(ISNA(MATCH(V$2,Inputs!$K$4:$AJ$4,0)),NA(),IF(SUMPRODUCT((Inputs!$A$5:$A$180=$B41)*ISNUMBER(INDEX(Inputs!$K$5:$AJ$180,0,MATCH(V$2,Inputs!$K$4:$AJ$4,0))))+SUMPRODUCT((Inputs!$C$5:$C$180=$B41)*ISNUMBER(INDEX(Inputs!$K$5:$AJ$180,0,MATCH(V$2,Inputs!$K$4:$AJ$4,0))))+SUMPRODUCT((Inputs!$E$5:$E$180=$B41)*ISNUMBER(INDEX(Inputs!$K$5:$AJ$180,0,MATCH(V$2,Inputs!$K$4:$AJ$4,0))))=0,NA(),SUMPRODUCT((Inputs!$A$5:$A$180=$B41)*Inputs!$B$5:$B$180*(((Inputs!$G$5:$G$180="moeda")+(Inputs!$G$5:$G$180="acoes"))*Inputs!$B$1+((Inputs!$G$5:$G$180&lt;&gt;"moeda")*(Inputs!$G$5:$G$180&lt;&gt;"acoes")))*INDEX(Inputs!$K$5:$AJ$180,0,MATCH(V$2,Inputs!$K$4:$AJ$4,0)))+SUMPRODUCT((Inputs!$C$5:$C$180=$B41)*Inputs!$D$5:$D$180*(((Inputs!$G$5:$G$180="moeda")+(Inputs!$G$5:$G$180="acoes"))*Inputs!$B$1+((Inputs!$G$5:$G$180&lt;&gt;"moeda")*(Inputs!$G$5:$G$180&lt;&gt;"acoes")))*INDEX(Inputs!$K$5:$AJ$180,0,MATCH(V$2,Inputs!$K$4:$AJ$4,0)))+SUMPRODUCT((Inputs!$E$5:$E$180=$B41)*Inputs!$F$5:$F$180*(((Inputs!$G$5:$G$180="moeda")+(Inputs!$G$5:$G$180="acoes"))*Inputs!$B$1+((Inputs!$G$5:$G$180&lt;&gt;"moeda")*(Inputs!$G$5:$G$180&lt;&gt;"acoes")))*INDEX(Inputs!$K$5:$AJ$180,0,MATCH(V$2,Inputs!$K$4:$AJ$4,0)))))</f>
        <v>85.763</v>
      </c>
      <c r="W41" s="3">
        <f>V41</f>
        <v>85.763</v>
      </c>
      <c r="X41" s="6">
        <f>IF(ISNA(MATCH(X$2,Inputs!$K$4:$AJ$4,0)),NA(),IF(SUMPRODUCT((Inputs!$A$5:$A$180=$B41)*ISNUMBER(INDEX(Inputs!$K$5:$AJ$180,0,MATCH(X$2,Inputs!$K$4:$AJ$4,0))))+SUMPRODUCT((Inputs!$C$5:$C$180=$B41)*ISNUMBER(INDEX(Inputs!$K$5:$AJ$180,0,MATCH(X$2,Inputs!$K$4:$AJ$4,0))))+SUMPRODUCT((Inputs!$E$5:$E$180=$B41)*ISNUMBER(INDEX(Inputs!$K$5:$AJ$180,0,MATCH(X$2,Inputs!$K$4:$AJ$4,0))))=0,NA(),SUMPRODUCT((Inputs!$A$5:$A$180=$B41)*Inputs!$B$5:$B$180*(((Inputs!$G$5:$G$180="moeda")+(Inputs!$G$5:$G$180="acoes"))*Inputs!$B$1+((Inputs!$G$5:$G$180&lt;&gt;"moeda")*(Inputs!$G$5:$G$180&lt;&gt;"acoes")))*INDEX(Inputs!$K$5:$AJ$180,0,MATCH(X$2,Inputs!$K$4:$AJ$4,0)))+SUMPRODUCT((Inputs!$C$5:$C$180=$B41)*Inputs!$D$5:$D$180*(((Inputs!$G$5:$G$180="moeda")+(Inputs!$G$5:$G$180="acoes"))*Inputs!$B$1+((Inputs!$G$5:$G$180&lt;&gt;"moeda")*(Inputs!$G$5:$G$180&lt;&gt;"acoes")))*INDEX(Inputs!$K$5:$AJ$180,0,MATCH(X$2,Inputs!$K$4:$AJ$4,0)))+SUMPRODUCT((Inputs!$E$5:$E$180=$B41)*Inputs!$F$5:$F$180*(((Inputs!$G$5:$G$180="moeda")+(Inputs!$G$5:$G$180="acoes"))*Inputs!$B$1+((Inputs!$G$5:$G$180&lt;&gt;"moeda")*(Inputs!$G$5:$G$180&lt;&gt;"acoes")))*INDEX(Inputs!$K$5:$AJ$180,0,MATCH(X$2,Inputs!$K$4:$AJ$4,0)))))</f>
        <v>93.419046</v>
      </c>
      <c r="Y41" s="6">
        <f>IF(ISNA(MATCH(Y$2,Inputs!$K$4:$AJ$4,0)),NA(),IF(SUMPRODUCT((Inputs!$A$5:$A$180=$B41)*ISNUMBER(INDEX(Inputs!$K$5:$AJ$180,0,MATCH(Y$2,Inputs!$K$4:$AJ$4,0))))+SUMPRODUCT((Inputs!$C$5:$C$180=$B41)*ISNUMBER(INDEX(Inputs!$K$5:$AJ$180,0,MATCH(Y$2,Inputs!$K$4:$AJ$4,0))))+SUMPRODUCT((Inputs!$E$5:$E$180=$B41)*ISNUMBER(INDEX(Inputs!$K$5:$AJ$180,0,MATCH(Y$2,Inputs!$K$4:$AJ$4,0))))=0,NA(),SUMPRODUCT((Inputs!$A$5:$A$180=$B41)*Inputs!$B$5:$B$180*(((Inputs!$G$5:$G$180="moeda")+(Inputs!$G$5:$G$180="acoes"))*Inputs!$B$1+((Inputs!$G$5:$G$180&lt;&gt;"moeda")*(Inputs!$G$5:$G$180&lt;&gt;"acoes")))*INDEX(Inputs!$K$5:$AJ$180,0,MATCH(Y$2,Inputs!$K$4:$AJ$4,0)))+SUMPRODUCT((Inputs!$C$5:$C$180=$B41)*Inputs!$D$5:$D$180*(((Inputs!$G$5:$G$180="moeda")+(Inputs!$G$5:$G$180="acoes"))*Inputs!$B$1+((Inputs!$G$5:$G$180&lt;&gt;"moeda")*(Inputs!$G$5:$G$180&lt;&gt;"acoes")))*INDEX(Inputs!$K$5:$AJ$180,0,MATCH(Y$2,Inputs!$K$4:$AJ$4,0)))+SUMPRODUCT((Inputs!$E$5:$E$180=$B41)*Inputs!$F$5:$F$180*(((Inputs!$G$5:$G$180="moeda")+(Inputs!$G$5:$G$180="acoes"))*Inputs!$B$1+((Inputs!$G$5:$G$180&lt;&gt;"moeda")*(Inputs!$G$5:$G$180&lt;&gt;"acoes")))*INDEX(Inputs!$K$5:$AJ$180,0,MATCH(Y$2,Inputs!$K$4:$AJ$4,0)))))</f>
        <v>91.417</v>
      </c>
      <c r="Z41" s="6">
        <f>IF(ISNA(MATCH(Z$2,Inputs!$K$4:$AJ$4,0)),NA(),IF(SUMPRODUCT((Inputs!$A$5:$A$180=$B41)*ISNUMBER(INDEX(Inputs!$K$5:$AJ$180,0,MATCH(Z$2,Inputs!$K$4:$AJ$4,0))))+SUMPRODUCT((Inputs!$C$5:$C$180=$B41)*ISNUMBER(INDEX(Inputs!$K$5:$AJ$180,0,MATCH(Z$2,Inputs!$K$4:$AJ$4,0))))+SUMPRODUCT((Inputs!$E$5:$E$180=$B41)*ISNUMBER(INDEX(Inputs!$K$5:$AJ$180,0,MATCH(Z$2,Inputs!$K$4:$AJ$4,0))))=0,NA(),SUMPRODUCT((Inputs!$A$5:$A$180=$B41)*Inputs!$B$5:$B$180*(((Inputs!$G$5:$G$180="moeda")+(Inputs!$G$5:$G$180="acoes"))*Inputs!$B$1+((Inputs!$G$5:$G$180&lt;&gt;"moeda")*(Inputs!$G$5:$G$180&lt;&gt;"acoes")))*INDEX(Inputs!$K$5:$AJ$180,0,MATCH(Z$2,Inputs!$K$4:$AJ$4,0)))+SUMPRODUCT((Inputs!$C$5:$C$180=$B41)*Inputs!$D$5:$D$180*(((Inputs!$G$5:$G$180="moeda")+(Inputs!$G$5:$G$180="acoes"))*Inputs!$B$1+((Inputs!$G$5:$G$180&lt;&gt;"moeda")*(Inputs!$G$5:$G$180&lt;&gt;"acoes")))*INDEX(Inputs!$K$5:$AJ$180,0,MATCH(Z$2,Inputs!$K$4:$AJ$4,0)))+SUMPRODUCT((Inputs!$E$5:$E$180=$B41)*Inputs!$F$5:$F$180*(((Inputs!$G$5:$G$180="moeda")+(Inputs!$G$5:$G$180="acoes"))*Inputs!$B$1+((Inputs!$G$5:$G$180&lt;&gt;"moeda")*(Inputs!$G$5:$G$180&lt;&gt;"acoes")))*INDEX(Inputs!$K$5:$AJ$180,0,MATCH(Z$2,Inputs!$K$4:$AJ$4,0)))))</f>
        <v>87.661</v>
      </c>
      <c r="AA41" s="6">
        <f>IF(ISNA(MATCH(AA$2,Inputs!$K$4:$AJ$4,0)),NA(),IF(SUMPRODUCT((Inputs!$A$5:$A$180=$B41)*ISNUMBER(INDEX(Inputs!$K$5:$AJ$180,0,MATCH(AA$2,Inputs!$K$4:$AJ$4,0))))+SUMPRODUCT((Inputs!$C$5:$C$180=$B41)*ISNUMBER(INDEX(Inputs!$K$5:$AJ$180,0,MATCH(AA$2,Inputs!$K$4:$AJ$4,0))))+SUMPRODUCT((Inputs!$E$5:$E$180=$B41)*ISNUMBER(INDEX(Inputs!$K$5:$AJ$180,0,MATCH(AA$2,Inputs!$K$4:$AJ$4,0))))=0,NA(),SUMPRODUCT((Inputs!$A$5:$A$180=$B41)*Inputs!$B$5:$B$180*(((Inputs!$G$5:$G$180="moeda")+(Inputs!$G$5:$G$180="acoes"))*Inputs!$B$1+((Inputs!$G$5:$G$180&lt;&gt;"moeda")*(Inputs!$G$5:$G$180&lt;&gt;"acoes")))*INDEX(Inputs!$K$5:$AJ$180,0,MATCH(AA$2,Inputs!$K$4:$AJ$4,0)))+SUMPRODUCT((Inputs!$C$5:$C$180=$B41)*Inputs!$D$5:$D$180*(((Inputs!$G$5:$G$180="moeda")+(Inputs!$G$5:$G$180="acoes"))*Inputs!$B$1+((Inputs!$G$5:$G$180&lt;&gt;"moeda")*(Inputs!$G$5:$G$180&lt;&gt;"acoes")))*INDEX(Inputs!$K$5:$AJ$180,0,MATCH(AA$2,Inputs!$K$4:$AJ$4,0)))+SUMPRODUCT((Inputs!$E$5:$E$180=$B41)*Inputs!$F$5:$F$180*(((Inputs!$G$5:$G$180="moeda")+(Inputs!$G$5:$G$180="acoes"))*Inputs!$B$1+((Inputs!$G$5:$G$180&lt;&gt;"moeda")*(Inputs!$G$5:$G$180&lt;&gt;"acoes")))*INDEX(Inputs!$K$5:$AJ$180,0,MATCH(AA$2,Inputs!$K$4:$AJ$4,0)))))</f>
        <v>94.928</v>
      </c>
      <c r="AB41" s="3">
        <f>AA41</f>
        <v>94.928</v>
      </c>
      <c r="AC41" s="6">
        <f>IF(ISNA(MATCH(AC$2,Inputs!$K$4:$AJ$4,0)),NA(),IF(SUMPRODUCT((Inputs!$A$5:$A$180=$B41)*ISNUMBER(INDEX(Inputs!$K$5:$AJ$180,0,MATCH(AC$2,Inputs!$K$4:$AJ$4,0))))+SUMPRODUCT((Inputs!$C$5:$C$180=$B41)*ISNUMBER(INDEX(Inputs!$K$5:$AJ$180,0,MATCH(AC$2,Inputs!$K$4:$AJ$4,0))))+SUMPRODUCT((Inputs!$E$5:$E$180=$B41)*ISNUMBER(INDEX(Inputs!$K$5:$AJ$180,0,MATCH(AC$2,Inputs!$K$4:$AJ$4,0))))=0,NA(),SUMPRODUCT((Inputs!$A$5:$A$180=$B41)*Inputs!$B$5:$B$180*(((Inputs!$G$5:$G$180="moeda")+(Inputs!$G$5:$G$180="acoes"))*Inputs!$B$1+((Inputs!$G$5:$G$180&lt;&gt;"moeda")*(Inputs!$G$5:$G$180&lt;&gt;"acoes")))*INDEX(Inputs!$K$5:$AJ$180,0,MATCH(AC$2,Inputs!$K$4:$AJ$4,0)))+SUMPRODUCT((Inputs!$C$5:$C$180=$B41)*Inputs!$D$5:$D$180*(((Inputs!$G$5:$G$180="moeda")+(Inputs!$G$5:$G$180="acoes"))*Inputs!$B$1+((Inputs!$G$5:$G$180&lt;&gt;"moeda")*(Inputs!$G$5:$G$180&lt;&gt;"acoes")))*INDEX(Inputs!$K$5:$AJ$180,0,MATCH(AC$2,Inputs!$K$4:$AJ$4,0)))+SUMPRODUCT((Inputs!$E$5:$E$180=$B41)*Inputs!$F$5:$F$180*(((Inputs!$G$5:$G$180="moeda")+(Inputs!$G$5:$G$180="acoes"))*Inputs!$B$1+((Inputs!$G$5:$G$180&lt;&gt;"moeda")*(Inputs!$G$5:$G$180&lt;&gt;"acoes")))*INDEX(Inputs!$K$5:$AJ$180,0,MATCH(AC$2,Inputs!$K$4:$AJ$4,0)))))</f>
        <v>95.02</v>
      </c>
      <c r="AD41" s="6">
        <f>IF(ISNA(MATCH(AD$2,Inputs!$K$4:$AJ$4,0)),NA(),IF(SUMPRODUCT((Inputs!$A$5:$A$180=$B41)*ISNUMBER(INDEX(Inputs!$K$5:$AJ$180,0,MATCH(AD$2,Inputs!$K$4:$AJ$4,0))))+SUMPRODUCT((Inputs!$C$5:$C$180=$B41)*ISNUMBER(INDEX(Inputs!$K$5:$AJ$180,0,MATCH(AD$2,Inputs!$K$4:$AJ$4,0))))+SUMPRODUCT((Inputs!$E$5:$E$180=$B41)*ISNUMBER(INDEX(Inputs!$K$5:$AJ$180,0,MATCH(AD$2,Inputs!$K$4:$AJ$4,0))))=0,NA(),SUMPRODUCT((Inputs!$A$5:$A$180=$B41)*Inputs!$B$5:$B$180*(((Inputs!$G$5:$G$180="moeda")+(Inputs!$G$5:$G$180="acoes"))*Inputs!$B$1+((Inputs!$G$5:$G$180&lt;&gt;"moeda")*(Inputs!$G$5:$G$180&lt;&gt;"acoes")))*INDEX(Inputs!$K$5:$AJ$180,0,MATCH(AD$2,Inputs!$K$4:$AJ$4,0)))+SUMPRODUCT((Inputs!$C$5:$C$180=$B41)*Inputs!$D$5:$D$180*(((Inputs!$G$5:$G$180="moeda")+(Inputs!$G$5:$G$180="acoes"))*Inputs!$B$1+((Inputs!$G$5:$G$180&lt;&gt;"moeda")*(Inputs!$G$5:$G$180&lt;&gt;"acoes")))*INDEX(Inputs!$K$5:$AJ$180,0,MATCH(AD$2,Inputs!$K$4:$AJ$4,0)))+SUMPRODUCT((Inputs!$E$5:$E$180=$B41)*Inputs!$F$5:$F$180*(((Inputs!$G$5:$G$180="moeda")+(Inputs!$G$5:$G$180="acoes"))*Inputs!$B$1+((Inputs!$G$5:$G$180&lt;&gt;"moeda")*(Inputs!$G$5:$G$180&lt;&gt;"acoes")))*INDEX(Inputs!$K$5:$AJ$180,0,MATCH(AD$2,Inputs!$K$4:$AJ$4,0)))))</f>
        <v>100.794</v>
      </c>
      <c r="AE41" s="6" t="e">
        <f>IF(ISNA(MATCH(AE$2,Inputs!$K$4:$AJ$4,0)),NA(),IF(SUMPRODUCT((Inputs!$A$5:$A$180=$B41)*ISNUMBER(INDEX(Inputs!$K$5:$AJ$180,0,MATCH(AE$2,Inputs!$K$4:$AJ$4,0))))+SUMPRODUCT((Inputs!$C$5:$C$180=$B41)*ISNUMBER(INDEX(Inputs!$K$5:$AJ$180,0,MATCH(AE$2,Inputs!$K$4:$AJ$4,0))))+SUMPRODUCT((Inputs!$E$5:$E$180=$B41)*ISNUMBER(INDEX(Inputs!$K$5:$AJ$180,0,MATCH(AE$2,Inputs!$K$4:$AJ$4,0))))=0,NA(),SUMPRODUCT((Inputs!$A$5:$A$180=$B41)*Inputs!$B$5:$B$180*(((Inputs!$G$5:$G$180="moeda")+(Inputs!$G$5:$G$180="acoes"))*Inputs!$B$1+((Inputs!$G$5:$G$180&lt;&gt;"moeda")*(Inputs!$G$5:$G$180&lt;&gt;"acoes")))*INDEX(Inputs!$K$5:$AJ$180,0,MATCH(AE$2,Inputs!$K$4:$AJ$4,0)))+SUMPRODUCT((Inputs!$C$5:$C$180=$B41)*Inputs!$D$5:$D$180*(((Inputs!$G$5:$G$180="moeda")+(Inputs!$G$5:$G$180="acoes"))*Inputs!$B$1+((Inputs!$G$5:$G$180&lt;&gt;"moeda")*(Inputs!$G$5:$G$180&lt;&gt;"acoes")))*INDEX(Inputs!$K$5:$AJ$180,0,MATCH(AE$2,Inputs!$K$4:$AJ$4,0)))+SUMPRODUCT((Inputs!$E$5:$E$180=$B41)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1" s="6" t="e">
        <f>IF(ISNA(MATCH(AF$2,Inputs!$K$4:$AJ$4,0)),NA(),IF(SUMPRODUCT((Inputs!$A$5:$A$180=$B41)*ISNUMBER(INDEX(Inputs!$K$5:$AJ$180,0,MATCH(AF$2,Inputs!$K$4:$AJ$4,0))))+SUMPRODUCT((Inputs!$C$5:$C$180=$B41)*ISNUMBER(INDEX(Inputs!$K$5:$AJ$180,0,MATCH(AF$2,Inputs!$K$4:$AJ$4,0))))+SUMPRODUCT((Inputs!$E$5:$E$180=$B41)*ISNUMBER(INDEX(Inputs!$K$5:$AJ$180,0,MATCH(AF$2,Inputs!$K$4:$AJ$4,0))))=0,NA(),SUMPRODUCT((Inputs!$A$5:$A$180=$B41)*Inputs!$B$5:$B$180*(((Inputs!$G$5:$G$180="moeda")+(Inputs!$G$5:$G$180="acoes"))*Inputs!$B$1+((Inputs!$G$5:$G$180&lt;&gt;"moeda")*(Inputs!$G$5:$G$180&lt;&gt;"acoes")))*INDEX(Inputs!$K$5:$AJ$180,0,MATCH(AF$2,Inputs!$K$4:$AJ$4,0)))+SUMPRODUCT((Inputs!$C$5:$C$180=$B41)*Inputs!$D$5:$D$180*(((Inputs!$G$5:$G$180="moeda")+(Inputs!$G$5:$G$180="acoes"))*Inputs!$B$1+((Inputs!$G$5:$G$180&lt;&gt;"moeda")*(Inputs!$G$5:$G$180&lt;&gt;"acoes")))*INDEX(Inputs!$K$5:$AJ$180,0,MATCH(AF$2,Inputs!$K$4:$AJ$4,0)))+SUMPRODUCT((Inputs!$E$5:$E$180=$B41)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1" s="3" t="e">
        <f>AF41</f>
        <v>#N/A</v>
      </c>
      <c r="AH41" s="6">
        <f>IF(ISNA(MATCH(AH$2,Inputs!$K$4:$AJ$4,0)),NA(),IF(SUMPRODUCT((Inputs!$A$5:$A$180=$B41)*ISNUMBER(INDEX(Inputs!$K$5:$AJ$180,0,MATCH(AH$2,Inputs!$K$4:$AJ$4,0))))+SUMPRODUCT((Inputs!$C$5:$C$180=$B41)*ISNUMBER(INDEX(Inputs!$K$5:$AJ$180,0,MATCH(AH$2,Inputs!$K$4:$AJ$4,0))))+SUMPRODUCT((Inputs!$E$5:$E$180=$B41)*ISNUMBER(INDEX(Inputs!$K$5:$AJ$180,0,MATCH(AH$2,Inputs!$K$4:$AJ$4,0))))=0,NA(),SUMPRODUCT((Inputs!$A$5:$A$180=$B41)*Inputs!$B$5:$B$180*(((Inputs!$G$5:$G$180="moeda")+(Inputs!$G$5:$G$180="acoes"))*Inputs!$B$1+((Inputs!$G$5:$G$180&lt;&gt;"moeda")*(Inputs!$G$5:$G$180&lt;&gt;"acoes")))*INDEX(Inputs!$K$5:$AJ$180,0,MATCH(AH$2,Inputs!$K$4:$AJ$4,0)))+SUMPRODUCT((Inputs!$C$5:$C$180=$B41)*Inputs!$D$5:$D$180*(((Inputs!$G$5:$G$180="moeda")+(Inputs!$G$5:$G$180="acoes"))*Inputs!$B$1+((Inputs!$G$5:$G$180&lt;&gt;"moeda")*(Inputs!$G$5:$G$180&lt;&gt;"acoes")))*INDEX(Inputs!$K$5:$AJ$180,0,MATCH(AH$2,Inputs!$K$4:$AJ$4,0)))+SUMPRODUCT((Inputs!$E$5:$E$180=$B41)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1" s="6">
        <f>IF(ISNA(MATCH(AI$2,Inputs!$K$4:$AJ$4,0)),NA(),IF(SUMPRODUCT((Inputs!$A$5:$A$180=$B41)*ISNUMBER(INDEX(Inputs!$K$5:$AJ$180,0,MATCH(AI$2,Inputs!$K$4:$AJ$4,0))))+SUMPRODUCT((Inputs!$C$5:$C$180=$B41)*ISNUMBER(INDEX(Inputs!$K$5:$AJ$180,0,MATCH(AI$2,Inputs!$K$4:$AJ$4,0))))+SUMPRODUCT((Inputs!$E$5:$E$180=$B41)*ISNUMBER(INDEX(Inputs!$K$5:$AJ$180,0,MATCH(AI$2,Inputs!$K$4:$AJ$4,0))))=0,NA(),SUMPRODUCT((Inputs!$A$5:$A$180=$B41)*Inputs!$B$5:$B$180*(((Inputs!$G$5:$G$180="moeda")+(Inputs!$G$5:$G$180="acoes"))*Inputs!$B$1+((Inputs!$G$5:$G$180&lt;&gt;"moeda")*(Inputs!$G$5:$G$180&lt;&gt;"acoes")))*INDEX(Inputs!$K$5:$AJ$180,0,MATCH(AI$2,Inputs!$K$4:$AJ$4,0)))+SUMPRODUCT((Inputs!$C$5:$C$180=$B41)*Inputs!$D$5:$D$180*(((Inputs!$G$5:$G$180="moeda")+(Inputs!$G$5:$G$180="acoes"))*Inputs!$B$1+((Inputs!$G$5:$G$180&lt;&gt;"moeda")*(Inputs!$G$5:$G$180&lt;&gt;"acoes")))*INDEX(Inputs!$K$5:$AJ$180,0,MATCH(AI$2,Inputs!$K$4:$AJ$4,0)))+SUMPRODUCT((Inputs!$E$5:$E$180=$B41)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1" s="6">
        <f>IF(ISNA(MATCH(AJ$2,Inputs!$K$4:$AJ$4,0)),NA(),IF(SUMPRODUCT((Inputs!$A$5:$A$180=$B41)*ISNUMBER(INDEX(Inputs!$K$5:$AJ$180,0,MATCH(AJ$2,Inputs!$K$4:$AJ$4,0))))+SUMPRODUCT((Inputs!$C$5:$C$180=$B41)*ISNUMBER(INDEX(Inputs!$K$5:$AJ$180,0,MATCH(AJ$2,Inputs!$K$4:$AJ$4,0))))+SUMPRODUCT((Inputs!$E$5:$E$180=$B41)*ISNUMBER(INDEX(Inputs!$K$5:$AJ$180,0,MATCH(AJ$2,Inputs!$K$4:$AJ$4,0))))=0,NA(),SUMPRODUCT((Inputs!$A$5:$A$180=$B41)*Inputs!$B$5:$B$180*(((Inputs!$G$5:$G$180="moeda")+(Inputs!$G$5:$G$180="acoes"))*Inputs!$B$1+((Inputs!$G$5:$G$180&lt;&gt;"moeda")*(Inputs!$G$5:$G$180&lt;&gt;"acoes")))*INDEX(Inputs!$K$5:$AJ$180,0,MATCH(AJ$2,Inputs!$K$4:$AJ$4,0)))+SUMPRODUCT((Inputs!$C$5:$C$180=$B41)*Inputs!$D$5:$D$180*(((Inputs!$G$5:$G$180="moeda")+(Inputs!$G$5:$G$180="acoes"))*Inputs!$B$1+((Inputs!$G$5:$G$180&lt;&gt;"moeda")*(Inputs!$G$5:$G$180&lt;&gt;"acoes")))*INDEX(Inputs!$K$5:$AJ$180,0,MATCH(AJ$2,Inputs!$K$4:$AJ$4,0)))+SUMPRODUCT((Inputs!$E$5:$E$180=$B41)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1" s="6">
        <f>IF(ISNA(MATCH(AK$2,Inputs!$K$4:$AJ$4,0)),NA(),IF(SUMPRODUCT((Inputs!$A$5:$A$180=$B41)*ISNUMBER(INDEX(Inputs!$K$5:$AJ$180,0,MATCH(AK$2,Inputs!$K$4:$AJ$4,0))))+SUMPRODUCT((Inputs!$C$5:$C$180=$B41)*ISNUMBER(INDEX(Inputs!$K$5:$AJ$180,0,MATCH(AK$2,Inputs!$K$4:$AJ$4,0))))+SUMPRODUCT((Inputs!$E$5:$E$180=$B41)*ISNUMBER(INDEX(Inputs!$K$5:$AJ$180,0,MATCH(AK$2,Inputs!$K$4:$AJ$4,0))))=0,NA(),SUMPRODUCT((Inputs!$A$5:$A$180=$B41)*Inputs!$B$5:$B$180*(((Inputs!$G$5:$G$180="moeda")+(Inputs!$G$5:$G$180="acoes"))*Inputs!$B$1+((Inputs!$G$5:$G$180&lt;&gt;"moeda")*(Inputs!$G$5:$G$180&lt;&gt;"acoes")))*INDEX(Inputs!$K$5:$AJ$180,0,MATCH(AK$2,Inputs!$K$4:$AJ$4,0)))+SUMPRODUCT((Inputs!$C$5:$C$180=$B41)*Inputs!$D$5:$D$180*(((Inputs!$G$5:$G$180="moeda")+(Inputs!$G$5:$G$180="acoes"))*Inputs!$B$1+((Inputs!$G$5:$G$180&lt;&gt;"moeda")*(Inputs!$G$5:$G$180&lt;&gt;"acoes")))*INDEX(Inputs!$K$5:$AJ$180,0,MATCH(AK$2,Inputs!$K$4:$AJ$4,0)))+SUMPRODUCT((Inputs!$E$5:$E$180=$B41)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$180=$B42)*ISNUMBER(INDEX(Inputs!$K$5:$AJ$180,0,MATCH(D$2,Inputs!$K$4:$AJ$4,0))))+SUMPRODUCT((Inputs!$C$5:$C$180=$B42)*ISNUMBER(INDEX(Inputs!$K$5:$AJ$180,0,MATCH(D$2,Inputs!$K$4:$AJ$4,0))))+SUMPRODUCT((Inputs!$E$5:$E$180=$B42)*ISNUMBER(INDEX(Inputs!$K$5:$AJ$180,0,MATCH(D$2,Inputs!$K$4:$AJ$4,0))))=0,NA(),SUMPRODUCT((Inputs!$A$5:$A$180=$B42)*Inputs!$B$5:$B$180*(((Inputs!$G$5:$G$180="moeda")+(Inputs!$G$5:$G$180="acoes"))*Inputs!$B$1+((Inputs!$G$5:$G$180&lt;&gt;"moeda")*(Inputs!$G$5:$G$180&lt;&gt;"acoes")))*INDEX(Inputs!$K$5:$AJ$180,0,MATCH(D$2,Inputs!$K$4:$AJ$4,0)))+SUMPRODUCT((Inputs!$C$5:$C$180=$B42)*Inputs!$D$5:$D$180*(((Inputs!$G$5:$G$180="moeda")+(Inputs!$G$5:$G$180="acoes"))*Inputs!$B$1+((Inputs!$G$5:$G$180&lt;&gt;"moeda")*(Inputs!$G$5:$G$180&lt;&gt;"acoes")))*INDEX(Inputs!$K$5:$AJ$180,0,MATCH(D$2,Inputs!$K$4:$AJ$4,0)))+SUMPRODUCT((Inputs!$E$5:$E$180=$B42)*Inputs!$F$5:$F$180*(((Inputs!$G$5:$G$180="moeda")+(Inputs!$G$5:$G$180="acoes"))*Inputs!$B$1+((Inputs!$G$5:$G$180&lt;&gt;"moeda")*(Inputs!$G$5:$G$180&lt;&gt;"acoes")))*INDEX(Inputs!$K$5:$AJ$180,0,MATCH(D$2,Inputs!$K$4:$AJ$4,0)))))</f>
        <v>#N/A</v>
      </c>
      <c r="E42" s="6" t="e">
        <f>IF(ISNA(MATCH(E$2,Inputs!$K$4:$AJ$4,0)),NA(),IF(SUMPRODUCT((Inputs!$A$5:$A$180=$B42)*ISNUMBER(INDEX(Inputs!$K$5:$AJ$180,0,MATCH(E$2,Inputs!$K$4:$AJ$4,0))))+SUMPRODUCT((Inputs!$C$5:$C$180=$B42)*ISNUMBER(INDEX(Inputs!$K$5:$AJ$180,0,MATCH(E$2,Inputs!$K$4:$AJ$4,0))))+SUMPRODUCT((Inputs!$E$5:$E$180=$B42)*ISNUMBER(INDEX(Inputs!$K$5:$AJ$180,0,MATCH(E$2,Inputs!$K$4:$AJ$4,0))))=0,NA(),SUMPRODUCT((Inputs!$A$5:$A$180=$B42)*Inputs!$B$5:$B$180*(((Inputs!$G$5:$G$180="moeda")+(Inputs!$G$5:$G$180="acoes"))*Inputs!$B$1+((Inputs!$G$5:$G$180&lt;&gt;"moeda")*(Inputs!$G$5:$G$180&lt;&gt;"acoes")))*INDEX(Inputs!$K$5:$AJ$180,0,MATCH(E$2,Inputs!$K$4:$AJ$4,0)))+SUMPRODUCT((Inputs!$C$5:$C$180=$B42)*Inputs!$D$5:$D$180*(((Inputs!$G$5:$G$180="moeda")+(Inputs!$G$5:$G$180="acoes"))*Inputs!$B$1+((Inputs!$G$5:$G$180&lt;&gt;"moeda")*(Inputs!$G$5:$G$180&lt;&gt;"acoes")))*INDEX(Inputs!$K$5:$AJ$180,0,MATCH(E$2,Inputs!$K$4:$AJ$4,0)))+SUMPRODUCT((Inputs!$E$5:$E$180=$B42)*Inputs!$F$5:$F$180*(((Inputs!$G$5:$G$180="moeda")+(Inputs!$G$5:$G$180="acoes"))*Inputs!$B$1+((Inputs!$G$5:$G$180&lt;&gt;"moeda")*(Inputs!$G$5:$G$180&lt;&gt;"acoes")))*INDEX(Inputs!$K$5:$AJ$180,0,MATCH(E$2,Inputs!$K$4:$AJ$4,0)))))</f>
        <v>#N/A</v>
      </c>
      <c r="F42" s="6" t="e">
        <f>IF(ISNA(MATCH(F$2,Inputs!$K$4:$AJ$4,0)),NA(),IF(SUMPRODUCT((Inputs!$A$5:$A$180=$B42)*ISNUMBER(INDEX(Inputs!$K$5:$AJ$180,0,MATCH(F$2,Inputs!$K$4:$AJ$4,0))))+SUMPRODUCT((Inputs!$C$5:$C$180=$B42)*ISNUMBER(INDEX(Inputs!$K$5:$AJ$180,0,MATCH(F$2,Inputs!$K$4:$AJ$4,0))))+SUMPRODUCT((Inputs!$E$5:$E$180=$B42)*ISNUMBER(INDEX(Inputs!$K$5:$AJ$180,0,MATCH(F$2,Inputs!$K$4:$AJ$4,0))))=0,NA(),SUMPRODUCT((Inputs!$A$5:$A$180=$B42)*Inputs!$B$5:$B$180*(((Inputs!$G$5:$G$180="moeda")+(Inputs!$G$5:$G$180="acoes"))*Inputs!$B$1+((Inputs!$G$5:$G$180&lt;&gt;"moeda")*(Inputs!$G$5:$G$180&lt;&gt;"acoes")))*INDEX(Inputs!$K$5:$AJ$180,0,MATCH(F$2,Inputs!$K$4:$AJ$4,0)))+SUMPRODUCT((Inputs!$C$5:$C$180=$B42)*Inputs!$D$5:$D$180*(((Inputs!$G$5:$G$180="moeda")+(Inputs!$G$5:$G$180="acoes"))*Inputs!$B$1+((Inputs!$G$5:$G$180&lt;&gt;"moeda")*(Inputs!$G$5:$G$180&lt;&gt;"acoes")))*INDEX(Inputs!$K$5:$AJ$180,0,MATCH(F$2,Inputs!$K$4:$AJ$4,0)))+SUMPRODUCT((Inputs!$E$5:$E$180=$B42)*Inputs!$F$5:$F$180*(((Inputs!$G$5:$G$180="moeda")+(Inputs!$G$5:$G$180="acoes"))*Inputs!$B$1+((Inputs!$G$5:$G$180&lt;&gt;"moeda")*(Inputs!$G$5:$G$180&lt;&gt;"acoes")))*INDEX(Inputs!$K$5:$AJ$180,0,MATCH(F$2,Inputs!$K$4:$AJ$4,0)))))</f>
        <v>#N/A</v>
      </c>
      <c r="G42" s="6" t="e">
        <f>IF(ISNA(MATCH(G$2,Inputs!$K$4:$AJ$4,0)),NA(),IF(SUMPRODUCT((Inputs!$A$5:$A$180=$B42)*ISNUMBER(INDEX(Inputs!$K$5:$AJ$180,0,MATCH(G$2,Inputs!$K$4:$AJ$4,0))))+SUMPRODUCT((Inputs!$C$5:$C$180=$B42)*ISNUMBER(INDEX(Inputs!$K$5:$AJ$180,0,MATCH(G$2,Inputs!$K$4:$AJ$4,0))))+SUMPRODUCT((Inputs!$E$5:$E$180=$B42)*ISNUMBER(INDEX(Inputs!$K$5:$AJ$180,0,MATCH(G$2,Inputs!$K$4:$AJ$4,0))))=0,NA(),SUMPRODUCT((Inputs!$A$5:$A$180=$B42)*Inputs!$B$5:$B$180*(((Inputs!$G$5:$G$180="moeda")+(Inputs!$G$5:$G$180="acoes"))*Inputs!$B$1+((Inputs!$G$5:$G$180&lt;&gt;"moeda")*(Inputs!$G$5:$G$180&lt;&gt;"acoes")))*INDEX(Inputs!$K$5:$AJ$180,0,MATCH(G$2,Inputs!$K$4:$AJ$4,0)))+SUMPRODUCT((Inputs!$C$5:$C$180=$B42)*Inputs!$D$5:$D$180*(((Inputs!$G$5:$G$180="moeda")+(Inputs!$G$5:$G$180="acoes"))*Inputs!$B$1+((Inputs!$G$5:$G$180&lt;&gt;"moeda")*(Inputs!$G$5:$G$180&lt;&gt;"acoes")))*INDEX(Inputs!$K$5:$AJ$180,0,MATCH(G$2,Inputs!$K$4:$AJ$4,0)))+SUMPRODUCT((Inputs!$E$5:$E$180=$B42)*Inputs!$F$5:$F$180*(((Inputs!$G$5:$G$180="moeda")+(Inputs!$G$5:$G$180="acoes"))*Inputs!$B$1+((Inputs!$G$5:$G$180&lt;&gt;"moeda")*(Inputs!$G$5:$G$180&lt;&gt;"acoes")))*INDEX(Inputs!$K$5:$AJ$180,0,MATCH(G$2,Inputs!$K$4:$AJ$4,0)))))</f>
        <v>#N/A</v>
      </c>
      <c r="H42" s="3" t="e">
        <f>G42</f>
        <v>#N/A</v>
      </c>
      <c r="I42" s="6" t="e">
        <f>IF(ISNA(MATCH(I$2,Inputs!$K$4:$AJ$4,0)),NA(),IF(SUMPRODUCT((Inputs!$A$5:$A$180=$B42)*ISNUMBER(INDEX(Inputs!$K$5:$AJ$180,0,MATCH(I$2,Inputs!$K$4:$AJ$4,0))))+SUMPRODUCT((Inputs!$C$5:$C$180=$B42)*ISNUMBER(INDEX(Inputs!$K$5:$AJ$180,0,MATCH(I$2,Inputs!$K$4:$AJ$4,0))))+SUMPRODUCT((Inputs!$E$5:$E$180=$B42)*ISNUMBER(INDEX(Inputs!$K$5:$AJ$180,0,MATCH(I$2,Inputs!$K$4:$AJ$4,0))))=0,NA(),SUMPRODUCT((Inputs!$A$5:$A$180=$B42)*Inputs!$B$5:$B$180*(((Inputs!$G$5:$G$180="moeda")+(Inputs!$G$5:$G$180="acoes"))*Inputs!$B$1+((Inputs!$G$5:$G$180&lt;&gt;"moeda")*(Inputs!$G$5:$G$180&lt;&gt;"acoes")))*INDEX(Inputs!$K$5:$AJ$180,0,MATCH(I$2,Inputs!$K$4:$AJ$4,0)))+SUMPRODUCT((Inputs!$C$5:$C$180=$B42)*Inputs!$D$5:$D$180*(((Inputs!$G$5:$G$180="moeda")+(Inputs!$G$5:$G$180="acoes"))*Inputs!$B$1+((Inputs!$G$5:$G$180&lt;&gt;"moeda")*(Inputs!$G$5:$G$180&lt;&gt;"acoes")))*INDEX(Inputs!$K$5:$AJ$180,0,MATCH(I$2,Inputs!$K$4:$AJ$4,0)))+SUMPRODUCT((Inputs!$E$5:$E$180=$B42)*Inputs!$F$5:$F$180*(((Inputs!$G$5:$G$180="moeda")+(Inputs!$G$5:$G$180="acoes"))*Inputs!$B$1+((Inputs!$G$5:$G$180&lt;&gt;"moeda")*(Inputs!$G$5:$G$180&lt;&gt;"acoes")))*INDEX(Inputs!$K$5:$AJ$180,0,MATCH(I$2,Inputs!$K$4:$AJ$4,0)))))</f>
        <v>#N/A</v>
      </c>
      <c r="J42" s="6" t="e">
        <f>IF(ISNA(MATCH(J$2,Inputs!$K$4:$AJ$4,0)),NA(),IF(SUMPRODUCT((Inputs!$A$5:$A$180=$B42)*ISNUMBER(INDEX(Inputs!$K$5:$AJ$180,0,MATCH(J$2,Inputs!$K$4:$AJ$4,0))))+SUMPRODUCT((Inputs!$C$5:$C$180=$B42)*ISNUMBER(INDEX(Inputs!$K$5:$AJ$180,0,MATCH(J$2,Inputs!$K$4:$AJ$4,0))))+SUMPRODUCT((Inputs!$E$5:$E$180=$B42)*ISNUMBER(INDEX(Inputs!$K$5:$AJ$180,0,MATCH(J$2,Inputs!$K$4:$AJ$4,0))))=0,NA(),SUMPRODUCT((Inputs!$A$5:$A$180=$B42)*Inputs!$B$5:$B$180*(((Inputs!$G$5:$G$180="moeda")+(Inputs!$G$5:$G$180="acoes"))*Inputs!$B$1+((Inputs!$G$5:$G$180&lt;&gt;"moeda")*(Inputs!$G$5:$G$180&lt;&gt;"acoes")))*INDEX(Inputs!$K$5:$AJ$180,0,MATCH(J$2,Inputs!$K$4:$AJ$4,0)))+SUMPRODUCT((Inputs!$C$5:$C$180=$B42)*Inputs!$D$5:$D$180*(((Inputs!$G$5:$G$180="moeda")+(Inputs!$G$5:$G$180="acoes"))*Inputs!$B$1+((Inputs!$G$5:$G$180&lt;&gt;"moeda")*(Inputs!$G$5:$G$180&lt;&gt;"acoes")))*INDEX(Inputs!$K$5:$AJ$180,0,MATCH(J$2,Inputs!$K$4:$AJ$4,0)))+SUMPRODUCT((Inputs!$E$5:$E$180=$B42)*Inputs!$F$5:$F$180*(((Inputs!$G$5:$G$180="moeda")+(Inputs!$G$5:$G$180="acoes"))*Inputs!$B$1+((Inputs!$G$5:$G$180&lt;&gt;"moeda")*(Inputs!$G$5:$G$180&lt;&gt;"acoes")))*INDEX(Inputs!$K$5:$AJ$180,0,MATCH(J$2,Inputs!$K$4:$AJ$4,0)))))</f>
        <v>#N/A</v>
      </c>
      <c r="K42" s="6" t="e">
        <f>IF(ISNA(MATCH(K$2,Inputs!$K$4:$AJ$4,0)),NA(),IF(SUMPRODUCT((Inputs!$A$5:$A$180=$B42)*ISNUMBER(INDEX(Inputs!$K$5:$AJ$180,0,MATCH(K$2,Inputs!$K$4:$AJ$4,0))))+SUMPRODUCT((Inputs!$C$5:$C$180=$B42)*ISNUMBER(INDEX(Inputs!$K$5:$AJ$180,0,MATCH(K$2,Inputs!$K$4:$AJ$4,0))))+SUMPRODUCT((Inputs!$E$5:$E$180=$B42)*ISNUMBER(INDEX(Inputs!$K$5:$AJ$180,0,MATCH(K$2,Inputs!$K$4:$AJ$4,0))))=0,NA(),SUMPRODUCT((Inputs!$A$5:$A$180=$B42)*Inputs!$B$5:$B$180*(((Inputs!$G$5:$G$180="moeda")+(Inputs!$G$5:$G$180="acoes"))*Inputs!$B$1+((Inputs!$G$5:$G$180&lt;&gt;"moeda")*(Inputs!$G$5:$G$180&lt;&gt;"acoes")))*INDEX(Inputs!$K$5:$AJ$180,0,MATCH(K$2,Inputs!$K$4:$AJ$4,0)))+SUMPRODUCT((Inputs!$C$5:$C$180=$B42)*Inputs!$D$5:$D$180*(((Inputs!$G$5:$G$180="moeda")+(Inputs!$G$5:$G$180="acoes"))*Inputs!$B$1+((Inputs!$G$5:$G$180&lt;&gt;"moeda")*(Inputs!$G$5:$G$180&lt;&gt;"acoes")))*INDEX(Inputs!$K$5:$AJ$180,0,MATCH(K$2,Inputs!$K$4:$AJ$4,0)))+SUMPRODUCT((Inputs!$E$5:$E$180=$B42)*Inputs!$F$5:$F$180*(((Inputs!$G$5:$G$180="moeda")+(Inputs!$G$5:$G$180="acoes"))*Inputs!$B$1+((Inputs!$G$5:$G$180&lt;&gt;"moeda")*(Inputs!$G$5:$G$180&lt;&gt;"acoes")))*INDEX(Inputs!$K$5:$AJ$180,0,MATCH(K$2,Inputs!$K$4:$AJ$4,0)))))</f>
        <v>#N/A</v>
      </c>
      <c r="L42" s="6" t="e">
        <f>IF(ISNA(MATCH(L$2,Inputs!$K$4:$AJ$4,0)),NA(),IF(SUMPRODUCT((Inputs!$A$5:$A$180=$B42)*ISNUMBER(INDEX(Inputs!$K$5:$AJ$180,0,MATCH(L$2,Inputs!$K$4:$AJ$4,0))))+SUMPRODUCT((Inputs!$C$5:$C$180=$B42)*ISNUMBER(INDEX(Inputs!$K$5:$AJ$180,0,MATCH(L$2,Inputs!$K$4:$AJ$4,0))))+SUMPRODUCT((Inputs!$E$5:$E$180=$B42)*ISNUMBER(INDEX(Inputs!$K$5:$AJ$180,0,MATCH(L$2,Inputs!$K$4:$AJ$4,0))))=0,NA(),SUMPRODUCT((Inputs!$A$5:$A$180=$B42)*Inputs!$B$5:$B$180*(((Inputs!$G$5:$G$180="moeda")+(Inputs!$G$5:$G$180="acoes"))*Inputs!$B$1+((Inputs!$G$5:$G$180&lt;&gt;"moeda")*(Inputs!$G$5:$G$180&lt;&gt;"acoes")))*INDEX(Inputs!$K$5:$AJ$180,0,MATCH(L$2,Inputs!$K$4:$AJ$4,0)))+SUMPRODUCT((Inputs!$C$5:$C$180=$B42)*Inputs!$D$5:$D$180*(((Inputs!$G$5:$G$180="moeda")+(Inputs!$G$5:$G$180="acoes"))*Inputs!$B$1+((Inputs!$G$5:$G$180&lt;&gt;"moeda")*(Inputs!$G$5:$G$180&lt;&gt;"acoes")))*INDEX(Inputs!$K$5:$AJ$180,0,MATCH(L$2,Inputs!$K$4:$AJ$4,0)))+SUMPRODUCT((Inputs!$E$5:$E$180=$B42)*Inputs!$F$5:$F$180*(((Inputs!$G$5:$G$180="moeda")+(Inputs!$G$5:$G$180="acoes"))*Inputs!$B$1+((Inputs!$G$5:$G$180&lt;&gt;"moeda")*(Inputs!$G$5:$G$180&lt;&gt;"acoes")))*INDEX(Inputs!$K$5:$AJ$180,0,MATCH(L$2,Inputs!$K$4:$AJ$4,0)))))</f>
        <v>#N/A</v>
      </c>
      <c r="M42" s="3" t="e">
        <f>L42</f>
        <v>#N/A</v>
      </c>
      <c r="N42" s="6" t="e">
        <f>IF(ISNA(MATCH(N$2,Inputs!$K$4:$AJ$4,0)),NA(),IF(SUMPRODUCT((Inputs!$A$5:$A$180=$B42)*ISNUMBER(INDEX(Inputs!$K$5:$AJ$180,0,MATCH(N$2,Inputs!$K$4:$AJ$4,0))))+SUMPRODUCT((Inputs!$C$5:$C$180=$B42)*ISNUMBER(INDEX(Inputs!$K$5:$AJ$180,0,MATCH(N$2,Inputs!$K$4:$AJ$4,0))))+SUMPRODUCT((Inputs!$E$5:$E$180=$B42)*ISNUMBER(INDEX(Inputs!$K$5:$AJ$180,0,MATCH(N$2,Inputs!$K$4:$AJ$4,0))))=0,NA(),SUMPRODUCT((Inputs!$A$5:$A$180=$B42)*Inputs!$B$5:$B$180*(((Inputs!$G$5:$G$180="moeda")+(Inputs!$G$5:$G$180="acoes"))*Inputs!$B$1+((Inputs!$G$5:$G$180&lt;&gt;"moeda")*(Inputs!$G$5:$G$180&lt;&gt;"acoes")))*INDEX(Inputs!$K$5:$AJ$180,0,MATCH(N$2,Inputs!$K$4:$AJ$4,0)))+SUMPRODUCT((Inputs!$C$5:$C$180=$B42)*Inputs!$D$5:$D$180*(((Inputs!$G$5:$G$180="moeda")+(Inputs!$G$5:$G$180="acoes"))*Inputs!$B$1+((Inputs!$G$5:$G$180&lt;&gt;"moeda")*(Inputs!$G$5:$G$180&lt;&gt;"acoes")))*INDEX(Inputs!$K$5:$AJ$180,0,MATCH(N$2,Inputs!$K$4:$AJ$4,0)))+SUMPRODUCT((Inputs!$E$5:$E$180=$B42)*Inputs!$F$5:$F$180*(((Inputs!$G$5:$G$180="moeda")+(Inputs!$G$5:$G$180="acoes"))*Inputs!$B$1+((Inputs!$G$5:$G$180&lt;&gt;"moeda")*(Inputs!$G$5:$G$180&lt;&gt;"acoes")))*INDEX(Inputs!$K$5:$AJ$180,0,MATCH(N$2,Inputs!$K$4:$AJ$4,0)))))</f>
        <v>#N/A</v>
      </c>
      <c r="O42" s="6" t="e">
        <f>IF(ISNA(MATCH(O$2,Inputs!$K$4:$AJ$4,0)),NA(),IF(SUMPRODUCT((Inputs!$A$5:$A$180=$B42)*ISNUMBER(INDEX(Inputs!$K$5:$AJ$180,0,MATCH(O$2,Inputs!$K$4:$AJ$4,0))))+SUMPRODUCT((Inputs!$C$5:$C$180=$B42)*ISNUMBER(INDEX(Inputs!$K$5:$AJ$180,0,MATCH(O$2,Inputs!$K$4:$AJ$4,0))))+SUMPRODUCT((Inputs!$E$5:$E$180=$B42)*ISNUMBER(INDEX(Inputs!$K$5:$AJ$180,0,MATCH(O$2,Inputs!$K$4:$AJ$4,0))))=0,NA(),SUMPRODUCT((Inputs!$A$5:$A$180=$B42)*Inputs!$B$5:$B$180*(((Inputs!$G$5:$G$180="moeda")+(Inputs!$G$5:$G$180="acoes"))*Inputs!$B$1+((Inputs!$G$5:$G$180&lt;&gt;"moeda")*(Inputs!$G$5:$G$180&lt;&gt;"acoes")))*INDEX(Inputs!$K$5:$AJ$180,0,MATCH(O$2,Inputs!$K$4:$AJ$4,0)))+SUMPRODUCT((Inputs!$C$5:$C$180=$B42)*Inputs!$D$5:$D$180*(((Inputs!$G$5:$G$180="moeda")+(Inputs!$G$5:$G$180="acoes"))*Inputs!$B$1+((Inputs!$G$5:$G$180&lt;&gt;"moeda")*(Inputs!$G$5:$G$180&lt;&gt;"acoes")))*INDEX(Inputs!$K$5:$AJ$180,0,MATCH(O$2,Inputs!$K$4:$AJ$4,0)))+SUMPRODUCT((Inputs!$E$5:$E$180=$B42)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42" s="6" t="e">
        <f>IF(ISNA(MATCH(P$2,Inputs!$K$4:$AJ$4,0)),NA(),IF(SUMPRODUCT((Inputs!$A$5:$A$180=$B42)*ISNUMBER(INDEX(Inputs!$K$5:$AJ$180,0,MATCH(P$2,Inputs!$K$4:$AJ$4,0))))+SUMPRODUCT((Inputs!$C$5:$C$180=$B42)*ISNUMBER(INDEX(Inputs!$K$5:$AJ$180,0,MATCH(P$2,Inputs!$K$4:$AJ$4,0))))+SUMPRODUCT((Inputs!$E$5:$E$180=$B42)*ISNUMBER(INDEX(Inputs!$K$5:$AJ$180,0,MATCH(P$2,Inputs!$K$4:$AJ$4,0))))=0,NA(),SUMPRODUCT((Inputs!$A$5:$A$180=$B42)*Inputs!$B$5:$B$180*(((Inputs!$G$5:$G$180="moeda")+(Inputs!$G$5:$G$180="acoes"))*Inputs!$B$1+((Inputs!$G$5:$G$180&lt;&gt;"moeda")*(Inputs!$G$5:$G$180&lt;&gt;"acoes")))*INDEX(Inputs!$K$5:$AJ$180,0,MATCH(P$2,Inputs!$K$4:$AJ$4,0)))+SUMPRODUCT((Inputs!$C$5:$C$180=$B42)*Inputs!$D$5:$D$180*(((Inputs!$G$5:$G$180="moeda")+(Inputs!$G$5:$G$180="acoes"))*Inputs!$B$1+((Inputs!$G$5:$G$180&lt;&gt;"moeda")*(Inputs!$G$5:$G$180&lt;&gt;"acoes")))*INDEX(Inputs!$K$5:$AJ$180,0,MATCH(P$2,Inputs!$K$4:$AJ$4,0)))+SUMPRODUCT((Inputs!$E$5:$E$180=$B42)*Inputs!$F$5:$F$180*(((Inputs!$G$5:$G$180="moeda")+(Inputs!$G$5:$G$180="acoes"))*Inputs!$B$1+((Inputs!$G$5:$G$180&lt;&gt;"moeda")*(Inputs!$G$5:$G$180&lt;&gt;"acoes")))*INDEX(Inputs!$K$5:$AJ$180,0,MATCH(P$2,Inputs!$K$4:$AJ$4,0)))))</f>
        <v>#N/A</v>
      </c>
      <c r="Q42" s="6" t="e">
        <f>IF(ISNA(MATCH(Q$2,Inputs!$K$4:$AJ$4,0)),NA(),IF(SUMPRODUCT((Inputs!$A$5:$A$180=$B42)*ISNUMBER(INDEX(Inputs!$K$5:$AJ$180,0,MATCH(Q$2,Inputs!$K$4:$AJ$4,0))))+SUMPRODUCT((Inputs!$C$5:$C$180=$B42)*ISNUMBER(INDEX(Inputs!$K$5:$AJ$180,0,MATCH(Q$2,Inputs!$K$4:$AJ$4,0))))+SUMPRODUCT((Inputs!$E$5:$E$180=$B42)*ISNUMBER(INDEX(Inputs!$K$5:$AJ$180,0,MATCH(Q$2,Inputs!$K$4:$AJ$4,0))))=0,NA(),SUMPRODUCT((Inputs!$A$5:$A$180=$B42)*Inputs!$B$5:$B$180*(((Inputs!$G$5:$G$180="moeda")+(Inputs!$G$5:$G$180="acoes"))*Inputs!$B$1+((Inputs!$G$5:$G$180&lt;&gt;"moeda")*(Inputs!$G$5:$G$180&lt;&gt;"acoes")))*INDEX(Inputs!$K$5:$AJ$180,0,MATCH(Q$2,Inputs!$K$4:$AJ$4,0)))+SUMPRODUCT((Inputs!$C$5:$C$180=$B42)*Inputs!$D$5:$D$180*(((Inputs!$G$5:$G$180="moeda")+(Inputs!$G$5:$G$180="acoes"))*Inputs!$B$1+((Inputs!$G$5:$G$180&lt;&gt;"moeda")*(Inputs!$G$5:$G$180&lt;&gt;"acoes")))*INDEX(Inputs!$K$5:$AJ$180,0,MATCH(Q$2,Inputs!$K$4:$AJ$4,0)))+SUMPRODUCT((Inputs!$E$5:$E$180=$B42)*Inputs!$F$5:$F$180*(((Inputs!$G$5:$G$180="moeda")+(Inputs!$G$5:$G$180="acoes"))*Inputs!$B$1+((Inputs!$G$5:$G$180&lt;&gt;"moeda")*(Inputs!$G$5:$G$180&lt;&gt;"acoes")))*INDEX(Inputs!$K$5:$AJ$180,0,MATCH(Q$2,Inputs!$K$4:$AJ$4,0)))))</f>
        <v>#N/A</v>
      </c>
      <c r="R42" s="3" t="e">
        <f>Q42</f>
        <v>#N/A</v>
      </c>
      <c r="S42" s="6" t="e">
        <f>IF(ISNA(MATCH(S$2,Inputs!$K$4:$AJ$4,0)),NA(),IF(SUMPRODUCT((Inputs!$A$5:$A$180=$B42)*ISNUMBER(INDEX(Inputs!$K$5:$AJ$180,0,MATCH(S$2,Inputs!$K$4:$AJ$4,0))))+SUMPRODUCT((Inputs!$C$5:$C$180=$B42)*ISNUMBER(INDEX(Inputs!$K$5:$AJ$180,0,MATCH(S$2,Inputs!$K$4:$AJ$4,0))))+SUMPRODUCT((Inputs!$E$5:$E$180=$B42)*ISNUMBER(INDEX(Inputs!$K$5:$AJ$180,0,MATCH(S$2,Inputs!$K$4:$AJ$4,0))))=0,NA(),SUMPRODUCT((Inputs!$A$5:$A$180=$B42)*Inputs!$B$5:$B$180*(((Inputs!$G$5:$G$180="moeda")+(Inputs!$G$5:$G$180="acoes"))*Inputs!$B$1+((Inputs!$G$5:$G$180&lt;&gt;"moeda")*(Inputs!$G$5:$G$180&lt;&gt;"acoes")))*INDEX(Inputs!$K$5:$AJ$180,0,MATCH(S$2,Inputs!$K$4:$AJ$4,0)))+SUMPRODUCT((Inputs!$C$5:$C$180=$B42)*Inputs!$D$5:$D$180*(((Inputs!$G$5:$G$180="moeda")+(Inputs!$G$5:$G$180="acoes"))*Inputs!$B$1+((Inputs!$G$5:$G$180&lt;&gt;"moeda")*(Inputs!$G$5:$G$180&lt;&gt;"acoes")))*INDEX(Inputs!$K$5:$AJ$180,0,MATCH(S$2,Inputs!$K$4:$AJ$4,0)))+SUMPRODUCT((Inputs!$E$5:$E$180=$B42)*Inputs!$F$5:$F$180*(((Inputs!$G$5:$G$180="moeda")+(Inputs!$G$5:$G$180="acoes"))*Inputs!$B$1+((Inputs!$G$5:$G$180&lt;&gt;"moeda")*(Inputs!$G$5:$G$180&lt;&gt;"acoes")))*INDEX(Inputs!$K$5:$AJ$180,0,MATCH(S$2,Inputs!$K$4:$AJ$4,0)))))</f>
        <v>#N/A</v>
      </c>
      <c r="T42" s="6" t="e">
        <f>IF(ISNA(MATCH(T$2,Inputs!$K$4:$AJ$4,0)),NA(),IF(SUMPRODUCT((Inputs!$A$5:$A$180=$B42)*ISNUMBER(INDEX(Inputs!$K$5:$AJ$180,0,MATCH(T$2,Inputs!$K$4:$AJ$4,0))))+SUMPRODUCT((Inputs!$C$5:$C$180=$B42)*ISNUMBER(INDEX(Inputs!$K$5:$AJ$180,0,MATCH(T$2,Inputs!$K$4:$AJ$4,0))))+SUMPRODUCT((Inputs!$E$5:$E$180=$B42)*ISNUMBER(INDEX(Inputs!$K$5:$AJ$180,0,MATCH(T$2,Inputs!$K$4:$AJ$4,0))))=0,NA(),SUMPRODUCT((Inputs!$A$5:$A$180=$B42)*Inputs!$B$5:$B$180*(((Inputs!$G$5:$G$180="moeda")+(Inputs!$G$5:$G$180="acoes"))*Inputs!$B$1+((Inputs!$G$5:$G$180&lt;&gt;"moeda")*(Inputs!$G$5:$G$180&lt;&gt;"acoes")))*INDEX(Inputs!$K$5:$AJ$180,0,MATCH(T$2,Inputs!$K$4:$AJ$4,0)))+SUMPRODUCT((Inputs!$C$5:$C$180=$B42)*Inputs!$D$5:$D$180*(((Inputs!$G$5:$G$180="moeda")+(Inputs!$G$5:$G$180="acoes"))*Inputs!$B$1+((Inputs!$G$5:$G$180&lt;&gt;"moeda")*(Inputs!$G$5:$G$180&lt;&gt;"acoes")))*INDEX(Inputs!$K$5:$AJ$180,0,MATCH(T$2,Inputs!$K$4:$AJ$4,0)))+SUMPRODUCT((Inputs!$E$5:$E$180=$B42)*Inputs!$F$5:$F$180*(((Inputs!$G$5:$G$180="moeda")+(Inputs!$G$5:$G$180="acoes"))*Inputs!$B$1+((Inputs!$G$5:$G$180&lt;&gt;"moeda")*(Inputs!$G$5:$G$180&lt;&gt;"acoes")))*INDEX(Inputs!$K$5:$AJ$180,0,MATCH(T$2,Inputs!$K$4:$AJ$4,0)))))</f>
        <v>#N/A</v>
      </c>
      <c r="U42" s="6" t="e">
        <f>IF(ISNA(MATCH(U$2,Inputs!$K$4:$AJ$4,0)),NA(),IF(SUMPRODUCT((Inputs!$A$5:$A$180=$B42)*ISNUMBER(INDEX(Inputs!$K$5:$AJ$180,0,MATCH(U$2,Inputs!$K$4:$AJ$4,0))))+SUMPRODUCT((Inputs!$C$5:$C$180=$B42)*ISNUMBER(INDEX(Inputs!$K$5:$AJ$180,0,MATCH(U$2,Inputs!$K$4:$AJ$4,0))))+SUMPRODUCT((Inputs!$E$5:$E$180=$B42)*ISNUMBER(INDEX(Inputs!$K$5:$AJ$180,0,MATCH(U$2,Inputs!$K$4:$AJ$4,0))))=0,NA(),SUMPRODUCT((Inputs!$A$5:$A$180=$B42)*Inputs!$B$5:$B$180*(((Inputs!$G$5:$G$180="moeda")+(Inputs!$G$5:$G$180="acoes"))*Inputs!$B$1+((Inputs!$G$5:$G$180&lt;&gt;"moeda")*(Inputs!$G$5:$G$180&lt;&gt;"acoes")))*INDEX(Inputs!$K$5:$AJ$180,0,MATCH(U$2,Inputs!$K$4:$AJ$4,0)))+SUMPRODUCT((Inputs!$C$5:$C$180=$B42)*Inputs!$D$5:$D$180*(((Inputs!$G$5:$G$180="moeda")+(Inputs!$G$5:$G$180="acoes"))*Inputs!$B$1+((Inputs!$G$5:$G$180&lt;&gt;"moeda")*(Inputs!$G$5:$G$180&lt;&gt;"acoes")))*INDEX(Inputs!$K$5:$AJ$180,0,MATCH(U$2,Inputs!$K$4:$AJ$4,0)))+SUMPRODUCT((Inputs!$E$5:$E$180=$B42)*Inputs!$F$5:$F$180*(((Inputs!$G$5:$G$180="moeda")+(Inputs!$G$5:$G$180="acoes"))*Inputs!$B$1+((Inputs!$G$5:$G$180&lt;&gt;"moeda")*(Inputs!$G$5:$G$180&lt;&gt;"acoes")))*INDEX(Inputs!$K$5:$AJ$180,0,MATCH(U$2,Inputs!$K$4:$AJ$4,0)))))</f>
        <v>#N/A</v>
      </c>
      <c r="V42" s="6" t="e">
        <f>IF(ISNA(MATCH(V$2,Inputs!$K$4:$AJ$4,0)),NA(),IF(SUMPRODUCT((Inputs!$A$5:$A$180=$B42)*ISNUMBER(INDEX(Inputs!$K$5:$AJ$180,0,MATCH(V$2,Inputs!$K$4:$AJ$4,0))))+SUMPRODUCT((Inputs!$C$5:$C$180=$B42)*ISNUMBER(INDEX(Inputs!$K$5:$AJ$180,0,MATCH(V$2,Inputs!$K$4:$AJ$4,0))))+SUMPRODUCT((Inputs!$E$5:$E$180=$B42)*ISNUMBER(INDEX(Inputs!$K$5:$AJ$180,0,MATCH(V$2,Inputs!$K$4:$AJ$4,0))))=0,NA(),SUMPRODUCT((Inputs!$A$5:$A$180=$B42)*Inputs!$B$5:$B$180*(((Inputs!$G$5:$G$180="moeda")+(Inputs!$G$5:$G$180="acoes"))*Inputs!$B$1+((Inputs!$G$5:$G$180&lt;&gt;"moeda")*(Inputs!$G$5:$G$180&lt;&gt;"acoes")))*INDEX(Inputs!$K$5:$AJ$180,0,MATCH(V$2,Inputs!$K$4:$AJ$4,0)))+SUMPRODUCT((Inputs!$C$5:$C$180=$B42)*Inputs!$D$5:$D$180*(((Inputs!$G$5:$G$180="moeda")+(Inputs!$G$5:$G$180="acoes"))*Inputs!$B$1+((Inputs!$G$5:$G$180&lt;&gt;"moeda")*(Inputs!$G$5:$G$180&lt;&gt;"acoes")))*INDEX(Inputs!$K$5:$AJ$180,0,MATCH(V$2,Inputs!$K$4:$AJ$4,0)))+SUMPRODUCT((Inputs!$E$5:$E$180=$B42)*Inputs!$F$5:$F$180*(((Inputs!$G$5:$G$180="moeda")+(Inputs!$G$5:$G$180="acoes"))*Inputs!$B$1+((Inputs!$G$5:$G$180&lt;&gt;"moeda")*(Inputs!$G$5:$G$180&lt;&gt;"acoes")))*INDEX(Inputs!$K$5:$AJ$180,0,MATCH(V$2,Inputs!$K$4:$AJ$4,0)))))</f>
        <v>#N/A</v>
      </c>
      <c r="W42" s="3" t="e">
        <f>V42</f>
        <v>#N/A</v>
      </c>
      <c r="X42" s="6" t="e">
        <f>IF(ISNA(MATCH(X$2,Inputs!$K$4:$AJ$4,0)),NA(),IF(SUMPRODUCT((Inputs!$A$5:$A$180=$B42)*ISNUMBER(INDEX(Inputs!$K$5:$AJ$180,0,MATCH(X$2,Inputs!$K$4:$AJ$4,0))))+SUMPRODUCT((Inputs!$C$5:$C$180=$B42)*ISNUMBER(INDEX(Inputs!$K$5:$AJ$180,0,MATCH(X$2,Inputs!$K$4:$AJ$4,0))))+SUMPRODUCT((Inputs!$E$5:$E$180=$B42)*ISNUMBER(INDEX(Inputs!$K$5:$AJ$180,0,MATCH(X$2,Inputs!$K$4:$AJ$4,0))))=0,NA(),SUMPRODUCT((Inputs!$A$5:$A$180=$B42)*Inputs!$B$5:$B$180*(((Inputs!$G$5:$G$180="moeda")+(Inputs!$G$5:$G$180="acoes"))*Inputs!$B$1+((Inputs!$G$5:$G$180&lt;&gt;"moeda")*(Inputs!$G$5:$G$180&lt;&gt;"acoes")))*INDEX(Inputs!$K$5:$AJ$180,0,MATCH(X$2,Inputs!$K$4:$AJ$4,0)))+SUMPRODUCT((Inputs!$C$5:$C$180=$B42)*Inputs!$D$5:$D$180*(((Inputs!$G$5:$G$180="moeda")+(Inputs!$G$5:$G$180="acoes"))*Inputs!$B$1+((Inputs!$G$5:$G$180&lt;&gt;"moeda")*(Inputs!$G$5:$G$180&lt;&gt;"acoes")))*INDEX(Inputs!$K$5:$AJ$180,0,MATCH(X$2,Inputs!$K$4:$AJ$4,0)))+SUMPRODUCT((Inputs!$E$5:$E$180=$B42)*Inputs!$F$5:$F$180*(((Inputs!$G$5:$G$180="moeda")+(Inputs!$G$5:$G$180="acoes"))*Inputs!$B$1+((Inputs!$G$5:$G$180&lt;&gt;"moeda")*(Inputs!$G$5:$G$180&lt;&gt;"acoes")))*INDEX(Inputs!$K$5:$AJ$180,0,MATCH(X$2,Inputs!$K$4:$AJ$4,0)))))</f>
        <v>#N/A</v>
      </c>
      <c r="Y42" s="6" t="e">
        <f>IF(ISNA(MATCH(Y$2,Inputs!$K$4:$AJ$4,0)),NA(),IF(SUMPRODUCT((Inputs!$A$5:$A$180=$B42)*ISNUMBER(INDEX(Inputs!$K$5:$AJ$180,0,MATCH(Y$2,Inputs!$K$4:$AJ$4,0))))+SUMPRODUCT((Inputs!$C$5:$C$180=$B42)*ISNUMBER(INDEX(Inputs!$K$5:$AJ$180,0,MATCH(Y$2,Inputs!$K$4:$AJ$4,0))))+SUMPRODUCT((Inputs!$E$5:$E$180=$B42)*ISNUMBER(INDEX(Inputs!$K$5:$AJ$180,0,MATCH(Y$2,Inputs!$K$4:$AJ$4,0))))=0,NA(),SUMPRODUCT((Inputs!$A$5:$A$180=$B42)*Inputs!$B$5:$B$180*(((Inputs!$G$5:$G$180="moeda")+(Inputs!$G$5:$G$180="acoes"))*Inputs!$B$1+((Inputs!$G$5:$G$180&lt;&gt;"moeda")*(Inputs!$G$5:$G$180&lt;&gt;"acoes")))*INDEX(Inputs!$K$5:$AJ$180,0,MATCH(Y$2,Inputs!$K$4:$AJ$4,0)))+SUMPRODUCT((Inputs!$C$5:$C$180=$B42)*Inputs!$D$5:$D$180*(((Inputs!$G$5:$G$180="moeda")+(Inputs!$G$5:$G$180="acoes"))*Inputs!$B$1+((Inputs!$G$5:$G$180&lt;&gt;"moeda")*(Inputs!$G$5:$G$180&lt;&gt;"acoes")))*INDEX(Inputs!$K$5:$AJ$180,0,MATCH(Y$2,Inputs!$K$4:$AJ$4,0)))+SUMPRODUCT((Inputs!$E$5:$E$180=$B42)*Inputs!$F$5:$F$180*(((Inputs!$G$5:$G$180="moeda")+(Inputs!$G$5:$G$180="acoes"))*Inputs!$B$1+((Inputs!$G$5:$G$180&lt;&gt;"moeda")*(Inputs!$G$5:$G$180&lt;&gt;"acoes")))*INDEX(Inputs!$K$5:$AJ$180,0,MATCH(Y$2,Inputs!$K$4:$AJ$4,0)))))</f>
        <v>#N/A</v>
      </c>
      <c r="Z42" s="6" t="e">
        <f>IF(ISNA(MATCH(Z$2,Inputs!$K$4:$AJ$4,0)),NA(),IF(SUMPRODUCT((Inputs!$A$5:$A$180=$B42)*ISNUMBER(INDEX(Inputs!$K$5:$AJ$180,0,MATCH(Z$2,Inputs!$K$4:$AJ$4,0))))+SUMPRODUCT((Inputs!$C$5:$C$180=$B42)*ISNUMBER(INDEX(Inputs!$K$5:$AJ$180,0,MATCH(Z$2,Inputs!$K$4:$AJ$4,0))))+SUMPRODUCT((Inputs!$E$5:$E$180=$B42)*ISNUMBER(INDEX(Inputs!$K$5:$AJ$180,0,MATCH(Z$2,Inputs!$K$4:$AJ$4,0))))=0,NA(),SUMPRODUCT((Inputs!$A$5:$A$180=$B42)*Inputs!$B$5:$B$180*(((Inputs!$G$5:$G$180="moeda")+(Inputs!$G$5:$G$180="acoes"))*Inputs!$B$1+((Inputs!$G$5:$G$180&lt;&gt;"moeda")*(Inputs!$G$5:$G$180&lt;&gt;"acoes")))*INDEX(Inputs!$K$5:$AJ$180,0,MATCH(Z$2,Inputs!$K$4:$AJ$4,0)))+SUMPRODUCT((Inputs!$C$5:$C$180=$B42)*Inputs!$D$5:$D$180*(((Inputs!$G$5:$G$180="moeda")+(Inputs!$G$5:$G$180="acoes"))*Inputs!$B$1+((Inputs!$G$5:$G$180&lt;&gt;"moeda")*(Inputs!$G$5:$G$180&lt;&gt;"acoes")))*INDEX(Inputs!$K$5:$AJ$180,0,MATCH(Z$2,Inputs!$K$4:$AJ$4,0)))+SUMPRODUCT((Inputs!$E$5:$E$180=$B42)*Inputs!$F$5:$F$180*(((Inputs!$G$5:$G$180="moeda")+(Inputs!$G$5:$G$180="acoes"))*Inputs!$B$1+((Inputs!$G$5:$G$180&lt;&gt;"moeda")*(Inputs!$G$5:$G$180&lt;&gt;"acoes")))*INDEX(Inputs!$K$5:$AJ$180,0,MATCH(Z$2,Inputs!$K$4:$AJ$4,0)))))</f>
        <v>#N/A</v>
      </c>
      <c r="AA42" s="6" t="e">
        <f>IF(ISNA(MATCH(AA$2,Inputs!$K$4:$AJ$4,0)),NA(),IF(SUMPRODUCT((Inputs!$A$5:$A$180=$B42)*ISNUMBER(INDEX(Inputs!$K$5:$AJ$180,0,MATCH(AA$2,Inputs!$K$4:$AJ$4,0))))+SUMPRODUCT((Inputs!$C$5:$C$180=$B42)*ISNUMBER(INDEX(Inputs!$K$5:$AJ$180,0,MATCH(AA$2,Inputs!$K$4:$AJ$4,0))))+SUMPRODUCT((Inputs!$E$5:$E$180=$B42)*ISNUMBER(INDEX(Inputs!$K$5:$AJ$180,0,MATCH(AA$2,Inputs!$K$4:$AJ$4,0))))=0,NA(),SUMPRODUCT((Inputs!$A$5:$A$180=$B42)*Inputs!$B$5:$B$180*(((Inputs!$G$5:$G$180="moeda")+(Inputs!$G$5:$G$180="acoes"))*Inputs!$B$1+((Inputs!$G$5:$G$180&lt;&gt;"moeda")*(Inputs!$G$5:$G$180&lt;&gt;"acoes")))*INDEX(Inputs!$K$5:$AJ$180,0,MATCH(AA$2,Inputs!$K$4:$AJ$4,0)))+SUMPRODUCT((Inputs!$C$5:$C$180=$B42)*Inputs!$D$5:$D$180*(((Inputs!$G$5:$G$180="moeda")+(Inputs!$G$5:$G$180="acoes"))*Inputs!$B$1+((Inputs!$G$5:$G$180&lt;&gt;"moeda")*(Inputs!$G$5:$G$180&lt;&gt;"acoes")))*INDEX(Inputs!$K$5:$AJ$180,0,MATCH(AA$2,Inputs!$K$4:$AJ$4,0)))+SUMPRODUCT((Inputs!$E$5:$E$180=$B42)*Inputs!$F$5:$F$180*(((Inputs!$G$5:$G$180="moeda")+(Inputs!$G$5:$G$180="acoes"))*Inputs!$B$1+((Inputs!$G$5:$G$180&lt;&gt;"moeda")*(Inputs!$G$5:$G$180&lt;&gt;"acoes")))*INDEX(Inputs!$K$5:$AJ$180,0,MATCH(AA$2,Inputs!$K$4:$AJ$4,0)))))</f>
        <v>#N/A</v>
      </c>
      <c r="AB42" s="3" t="e">
        <f>AA42</f>
        <v>#N/A</v>
      </c>
      <c r="AC42" s="6" t="e">
        <f>IF(ISNA(MATCH(AC$2,Inputs!$K$4:$AJ$4,0)),NA(),IF(SUMPRODUCT((Inputs!$A$5:$A$180=$B42)*ISNUMBER(INDEX(Inputs!$K$5:$AJ$180,0,MATCH(AC$2,Inputs!$K$4:$AJ$4,0))))+SUMPRODUCT((Inputs!$C$5:$C$180=$B42)*ISNUMBER(INDEX(Inputs!$K$5:$AJ$180,0,MATCH(AC$2,Inputs!$K$4:$AJ$4,0))))+SUMPRODUCT((Inputs!$E$5:$E$180=$B42)*ISNUMBER(INDEX(Inputs!$K$5:$AJ$180,0,MATCH(AC$2,Inputs!$K$4:$AJ$4,0))))=0,NA(),SUMPRODUCT((Inputs!$A$5:$A$180=$B42)*Inputs!$B$5:$B$180*(((Inputs!$G$5:$G$180="moeda")+(Inputs!$G$5:$G$180="acoes"))*Inputs!$B$1+((Inputs!$G$5:$G$180&lt;&gt;"moeda")*(Inputs!$G$5:$G$180&lt;&gt;"acoes")))*INDEX(Inputs!$K$5:$AJ$180,0,MATCH(AC$2,Inputs!$K$4:$AJ$4,0)))+SUMPRODUCT((Inputs!$C$5:$C$180=$B42)*Inputs!$D$5:$D$180*(((Inputs!$G$5:$G$180="moeda")+(Inputs!$G$5:$G$180="acoes"))*Inputs!$B$1+((Inputs!$G$5:$G$180&lt;&gt;"moeda")*(Inputs!$G$5:$G$180&lt;&gt;"acoes")))*INDEX(Inputs!$K$5:$AJ$180,0,MATCH(AC$2,Inputs!$K$4:$AJ$4,0)))+SUMPRODUCT((Inputs!$E$5:$E$180=$B42)*Inputs!$F$5:$F$180*(((Inputs!$G$5:$G$180="moeda")+(Inputs!$G$5:$G$180="acoes"))*Inputs!$B$1+((Inputs!$G$5:$G$180&lt;&gt;"moeda")*(Inputs!$G$5:$G$180&lt;&gt;"acoes")))*INDEX(Inputs!$K$5:$AJ$180,0,MATCH(AC$2,Inputs!$K$4:$AJ$4,0)))))</f>
        <v>#N/A</v>
      </c>
      <c r="AD42" s="6" t="e">
        <f>IF(ISNA(MATCH(AD$2,Inputs!$K$4:$AJ$4,0)),NA(),IF(SUMPRODUCT((Inputs!$A$5:$A$180=$B42)*ISNUMBER(INDEX(Inputs!$K$5:$AJ$180,0,MATCH(AD$2,Inputs!$K$4:$AJ$4,0))))+SUMPRODUCT((Inputs!$C$5:$C$180=$B42)*ISNUMBER(INDEX(Inputs!$K$5:$AJ$180,0,MATCH(AD$2,Inputs!$K$4:$AJ$4,0))))+SUMPRODUCT((Inputs!$E$5:$E$180=$B42)*ISNUMBER(INDEX(Inputs!$K$5:$AJ$180,0,MATCH(AD$2,Inputs!$K$4:$AJ$4,0))))=0,NA(),SUMPRODUCT((Inputs!$A$5:$A$180=$B42)*Inputs!$B$5:$B$180*(((Inputs!$G$5:$G$180="moeda")+(Inputs!$G$5:$G$180="acoes"))*Inputs!$B$1+((Inputs!$G$5:$G$180&lt;&gt;"moeda")*(Inputs!$G$5:$G$180&lt;&gt;"acoes")))*INDEX(Inputs!$K$5:$AJ$180,0,MATCH(AD$2,Inputs!$K$4:$AJ$4,0)))+SUMPRODUCT((Inputs!$C$5:$C$180=$B42)*Inputs!$D$5:$D$180*(((Inputs!$G$5:$G$180="moeda")+(Inputs!$G$5:$G$180="acoes"))*Inputs!$B$1+((Inputs!$G$5:$G$180&lt;&gt;"moeda")*(Inputs!$G$5:$G$180&lt;&gt;"acoes")))*INDEX(Inputs!$K$5:$AJ$180,0,MATCH(AD$2,Inputs!$K$4:$AJ$4,0)))+SUMPRODUCT((Inputs!$E$5:$E$180=$B42)*Inputs!$F$5:$F$180*(((Inputs!$G$5:$G$180="moeda")+(Inputs!$G$5:$G$180="acoes"))*Inputs!$B$1+((Inputs!$G$5:$G$180&lt;&gt;"moeda")*(Inputs!$G$5:$G$180&lt;&gt;"acoes")))*INDEX(Inputs!$K$5:$AJ$180,0,MATCH(AD$2,Inputs!$K$4:$AJ$4,0)))))</f>
        <v>#N/A</v>
      </c>
      <c r="AE42" s="6" t="e">
        <f>IF(ISNA(MATCH(AE$2,Inputs!$K$4:$AJ$4,0)),NA(),IF(SUMPRODUCT((Inputs!$A$5:$A$180=$B42)*ISNUMBER(INDEX(Inputs!$K$5:$AJ$180,0,MATCH(AE$2,Inputs!$K$4:$AJ$4,0))))+SUMPRODUCT((Inputs!$C$5:$C$180=$B42)*ISNUMBER(INDEX(Inputs!$K$5:$AJ$180,0,MATCH(AE$2,Inputs!$K$4:$AJ$4,0))))+SUMPRODUCT((Inputs!$E$5:$E$180=$B42)*ISNUMBER(INDEX(Inputs!$K$5:$AJ$180,0,MATCH(AE$2,Inputs!$K$4:$AJ$4,0))))=0,NA(),SUMPRODUCT((Inputs!$A$5:$A$180=$B42)*Inputs!$B$5:$B$180*(((Inputs!$G$5:$G$180="moeda")+(Inputs!$G$5:$G$180="acoes"))*Inputs!$B$1+((Inputs!$G$5:$G$180&lt;&gt;"moeda")*(Inputs!$G$5:$G$180&lt;&gt;"acoes")))*INDEX(Inputs!$K$5:$AJ$180,0,MATCH(AE$2,Inputs!$K$4:$AJ$4,0)))+SUMPRODUCT((Inputs!$C$5:$C$180=$B42)*Inputs!$D$5:$D$180*(((Inputs!$G$5:$G$180="moeda")+(Inputs!$G$5:$G$180="acoes"))*Inputs!$B$1+((Inputs!$G$5:$G$180&lt;&gt;"moeda")*(Inputs!$G$5:$G$180&lt;&gt;"acoes")))*INDEX(Inputs!$K$5:$AJ$180,0,MATCH(AE$2,Inputs!$K$4:$AJ$4,0)))+SUMPRODUCT((Inputs!$E$5:$E$180=$B42)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2" s="6" t="e">
        <f>IF(ISNA(MATCH(AF$2,Inputs!$K$4:$AJ$4,0)),NA(),IF(SUMPRODUCT((Inputs!$A$5:$A$180=$B42)*ISNUMBER(INDEX(Inputs!$K$5:$AJ$180,0,MATCH(AF$2,Inputs!$K$4:$AJ$4,0))))+SUMPRODUCT((Inputs!$C$5:$C$180=$B42)*ISNUMBER(INDEX(Inputs!$K$5:$AJ$180,0,MATCH(AF$2,Inputs!$K$4:$AJ$4,0))))+SUMPRODUCT((Inputs!$E$5:$E$180=$B42)*ISNUMBER(INDEX(Inputs!$K$5:$AJ$180,0,MATCH(AF$2,Inputs!$K$4:$AJ$4,0))))=0,NA(),SUMPRODUCT((Inputs!$A$5:$A$180=$B42)*Inputs!$B$5:$B$180*(((Inputs!$G$5:$G$180="moeda")+(Inputs!$G$5:$G$180="acoes"))*Inputs!$B$1+((Inputs!$G$5:$G$180&lt;&gt;"moeda")*(Inputs!$G$5:$G$180&lt;&gt;"acoes")))*INDEX(Inputs!$K$5:$AJ$180,0,MATCH(AF$2,Inputs!$K$4:$AJ$4,0)))+SUMPRODUCT((Inputs!$C$5:$C$180=$B42)*Inputs!$D$5:$D$180*(((Inputs!$G$5:$G$180="moeda")+(Inputs!$G$5:$G$180="acoes"))*Inputs!$B$1+((Inputs!$G$5:$G$180&lt;&gt;"moeda")*(Inputs!$G$5:$G$180&lt;&gt;"acoes")))*INDEX(Inputs!$K$5:$AJ$180,0,MATCH(AF$2,Inputs!$K$4:$AJ$4,0)))+SUMPRODUCT((Inputs!$E$5:$E$180=$B42)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2" s="3" t="e">
        <f>AF42</f>
        <v>#N/A</v>
      </c>
      <c r="AH42" s="6" t="e">
        <f>IF(ISNA(MATCH(AH$2,Inputs!$K$4:$AJ$4,0)),NA(),IF(SUMPRODUCT((Inputs!$A$5:$A$180=$B42)*ISNUMBER(INDEX(Inputs!$K$5:$AJ$180,0,MATCH(AH$2,Inputs!$K$4:$AJ$4,0))))+SUMPRODUCT((Inputs!$C$5:$C$180=$B42)*ISNUMBER(INDEX(Inputs!$K$5:$AJ$180,0,MATCH(AH$2,Inputs!$K$4:$AJ$4,0))))+SUMPRODUCT((Inputs!$E$5:$E$180=$B42)*ISNUMBER(INDEX(Inputs!$K$5:$AJ$180,0,MATCH(AH$2,Inputs!$K$4:$AJ$4,0))))=0,NA(),SUMPRODUCT((Inputs!$A$5:$A$180=$B42)*Inputs!$B$5:$B$180*(((Inputs!$G$5:$G$180="moeda")+(Inputs!$G$5:$G$180="acoes"))*Inputs!$B$1+((Inputs!$G$5:$G$180&lt;&gt;"moeda")*(Inputs!$G$5:$G$180&lt;&gt;"acoes")))*INDEX(Inputs!$K$5:$AJ$180,0,MATCH(AH$2,Inputs!$K$4:$AJ$4,0)))+SUMPRODUCT((Inputs!$C$5:$C$180=$B42)*Inputs!$D$5:$D$180*(((Inputs!$G$5:$G$180="moeda")+(Inputs!$G$5:$G$180="acoes"))*Inputs!$B$1+((Inputs!$G$5:$G$180&lt;&gt;"moeda")*(Inputs!$G$5:$G$180&lt;&gt;"acoes")))*INDEX(Inputs!$K$5:$AJ$180,0,MATCH(AH$2,Inputs!$K$4:$AJ$4,0)))+SUMPRODUCT((Inputs!$E$5:$E$180=$B42)*Inputs!$F$5:$F$180*(((Inputs!$G$5:$G$180="moeda")+(Inputs!$G$5:$G$180="acoes"))*Inputs!$B$1+((Inputs!$G$5:$G$180&lt;&gt;"moeda")*(Inputs!$G$5:$G$180&lt;&gt;"acoes")))*INDEX(Inputs!$K$5:$AJ$180,0,MATCH(AH$2,Inputs!$K$4:$AJ$4,0)))))</f>
        <v>#N/A</v>
      </c>
      <c r="AI42" s="6" t="e">
        <f>IF(ISNA(MATCH(AI$2,Inputs!$K$4:$AJ$4,0)),NA(),IF(SUMPRODUCT((Inputs!$A$5:$A$180=$B42)*ISNUMBER(INDEX(Inputs!$K$5:$AJ$180,0,MATCH(AI$2,Inputs!$K$4:$AJ$4,0))))+SUMPRODUCT((Inputs!$C$5:$C$180=$B42)*ISNUMBER(INDEX(Inputs!$K$5:$AJ$180,0,MATCH(AI$2,Inputs!$K$4:$AJ$4,0))))+SUMPRODUCT((Inputs!$E$5:$E$180=$B42)*ISNUMBER(INDEX(Inputs!$K$5:$AJ$180,0,MATCH(AI$2,Inputs!$K$4:$AJ$4,0))))=0,NA(),SUMPRODUCT((Inputs!$A$5:$A$180=$B42)*Inputs!$B$5:$B$180*(((Inputs!$G$5:$G$180="moeda")+(Inputs!$G$5:$G$180="acoes"))*Inputs!$B$1+((Inputs!$G$5:$G$180&lt;&gt;"moeda")*(Inputs!$G$5:$G$180&lt;&gt;"acoes")))*INDEX(Inputs!$K$5:$AJ$180,0,MATCH(AI$2,Inputs!$K$4:$AJ$4,0)))+SUMPRODUCT((Inputs!$C$5:$C$180=$B42)*Inputs!$D$5:$D$180*(((Inputs!$G$5:$G$180="moeda")+(Inputs!$G$5:$G$180="acoes"))*Inputs!$B$1+((Inputs!$G$5:$G$180&lt;&gt;"moeda")*(Inputs!$G$5:$G$180&lt;&gt;"acoes")))*INDEX(Inputs!$K$5:$AJ$180,0,MATCH(AI$2,Inputs!$K$4:$AJ$4,0)))+SUMPRODUCT((Inputs!$E$5:$E$180=$B42)*Inputs!$F$5:$F$180*(((Inputs!$G$5:$G$180="moeda")+(Inputs!$G$5:$G$180="acoes"))*Inputs!$B$1+((Inputs!$G$5:$G$180&lt;&gt;"moeda")*(Inputs!$G$5:$G$180&lt;&gt;"acoes")))*INDEX(Inputs!$K$5:$AJ$180,0,MATCH(AI$2,Inputs!$K$4:$AJ$4,0)))))</f>
        <v>#N/A</v>
      </c>
      <c r="AJ42" s="6" t="e">
        <f>IF(ISNA(MATCH(AJ$2,Inputs!$K$4:$AJ$4,0)),NA(),IF(SUMPRODUCT((Inputs!$A$5:$A$180=$B42)*ISNUMBER(INDEX(Inputs!$K$5:$AJ$180,0,MATCH(AJ$2,Inputs!$K$4:$AJ$4,0))))+SUMPRODUCT((Inputs!$C$5:$C$180=$B42)*ISNUMBER(INDEX(Inputs!$K$5:$AJ$180,0,MATCH(AJ$2,Inputs!$K$4:$AJ$4,0))))+SUMPRODUCT((Inputs!$E$5:$E$180=$B42)*ISNUMBER(INDEX(Inputs!$K$5:$AJ$180,0,MATCH(AJ$2,Inputs!$K$4:$AJ$4,0))))=0,NA(),SUMPRODUCT((Inputs!$A$5:$A$180=$B42)*Inputs!$B$5:$B$180*(((Inputs!$G$5:$G$180="moeda")+(Inputs!$G$5:$G$180="acoes"))*Inputs!$B$1+((Inputs!$G$5:$G$180&lt;&gt;"moeda")*(Inputs!$G$5:$G$180&lt;&gt;"acoes")))*INDEX(Inputs!$K$5:$AJ$180,0,MATCH(AJ$2,Inputs!$K$4:$AJ$4,0)))+SUMPRODUCT((Inputs!$C$5:$C$180=$B42)*Inputs!$D$5:$D$180*(((Inputs!$G$5:$G$180="moeda")+(Inputs!$G$5:$G$180="acoes"))*Inputs!$B$1+((Inputs!$G$5:$G$180&lt;&gt;"moeda")*(Inputs!$G$5:$G$180&lt;&gt;"acoes")))*INDEX(Inputs!$K$5:$AJ$180,0,MATCH(AJ$2,Inputs!$K$4:$AJ$4,0)))+SUMPRODUCT((Inputs!$E$5:$E$180=$B42)*Inputs!$F$5:$F$180*(((Inputs!$G$5:$G$180="moeda")+(Inputs!$G$5:$G$180="acoes"))*Inputs!$B$1+((Inputs!$G$5:$G$180&lt;&gt;"moeda")*(Inputs!$G$5:$G$180&lt;&gt;"acoes")))*INDEX(Inputs!$K$5:$AJ$180,0,MATCH(AJ$2,Inputs!$K$4:$AJ$4,0)))))</f>
        <v>#N/A</v>
      </c>
      <c r="AK42" s="6" t="e">
        <f>IF(ISNA(MATCH(AK$2,Inputs!$K$4:$AJ$4,0)),NA(),IF(SUMPRODUCT((Inputs!$A$5:$A$180=$B42)*ISNUMBER(INDEX(Inputs!$K$5:$AJ$180,0,MATCH(AK$2,Inputs!$K$4:$AJ$4,0))))+SUMPRODUCT((Inputs!$C$5:$C$180=$B42)*ISNUMBER(INDEX(Inputs!$K$5:$AJ$180,0,MATCH(AK$2,Inputs!$K$4:$AJ$4,0))))+SUMPRODUCT((Inputs!$E$5:$E$180=$B42)*ISNUMBER(INDEX(Inputs!$K$5:$AJ$180,0,MATCH(AK$2,Inputs!$K$4:$AJ$4,0))))=0,NA(),SUMPRODUCT((Inputs!$A$5:$A$180=$B42)*Inputs!$B$5:$B$180*(((Inputs!$G$5:$G$180="moeda")+(Inputs!$G$5:$G$180="acoes"))*Inputs!$B$1+((Inputs!$G$5:$G$180&lt;&gt;"moeda")*(Inputs!$G$5:$G$180&lt;&gt;"acoes")))*INDEX(Inputs!$K$5:$AJ$180,0,MATCH(AK$2,Inputs!$K$4:$AJ$4,0)))+SUMPRODUCT((Inputs!$C$5:$C$180=$B42)*Inputs!$D$5:$D$180*(((Inputs!$G$5:$G$180="moeda")+(Inputs!$G$5:$G$180="acoes"))*Inputs!$B$1+((Inputs!$G$5:$G$180&lt;&gt;"moeda")*(Inputs!$G$5:$G$180&lt;&gt;"acoes")))*INDEX(Inputs!$K$5:$AJ$180,0,MATCH(AK$2,Inputs!$K$4:$AJ$4,0)))+SUMPRODUCT((Inputs!$E$5:$E$180=$B42)*Inputs!$F$5:$F$180*(((Inputs!$G$5:$G$180="moeda")+(Inputs!$G$5:$G$180="acoes"))*Inputs!$B$1+((Inputs!$G$5:$G$180&lt;&gt;"moeda")*(Inputs!$G$5:$G$180&lt;&gt;"acoes")))*INDEX(Inputs!$K$5:$AJ$180,0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$180=$B43)*ISNUMBER(INDEX(Inputs!$K$5:$AJ$180,0,MATCH(D$2,Inputs!$K$4:$AJ$4,0))))+SUMPRODUCT((Inputs!$C$5:$C$180=$B43)*ISNUMBER(INDEX(Inputs!$K$5:$AJ$180,0,MATCH(D$2,Inputs!$K$4:$AJ$4,0))))+SUMPRODUCT((Inputs!$E$5:$E$180=$B43)*ISNUMBER(INDEX(Inputs!$K$5:$AJ$180,0,MATCH(D$2,Inputs!$K$4:$AJ$4,0))))=0,NA(),SUMPRODUCT((Inputs!$A$5:$A$180=$B43)*Inputs!$B$5:$B$180*(((Inputs!$G$5:$G$180="moeda")+(Inputs!$G$5:$G$180="acoes"))*Inputs!$B$1+((Inputs!$G$5:$G$180&lt;&gt;"moeda")*(Inputs!$G$5:$G$180&lt;&gt;"acoes")))*INDEX(Inputs!$K$5:$AJ$180,0,MATCH(D$2,Inputs!$K$4:$AJ$4,0)))+SUMPRODUCT((Inputs!$C$5:$C$180=$B43)*Inputs!$D$5:$D$180*(((Inputs!$G$5:$G$180="moeda")+(Inputs!$G$5:$G$180="acoes"))*Inputs!$B$1+((Inputs!$G$5:$G$180&lt;&gt;"moeda")*(Inputs!$G$5:$G$180&lt;&gt;"acoes")))*INDEX(Inputs!$K$5:$AJ$180,0,MATCH(D$2,Inputs!$K$4:$AJ$4,0)))+SUMPRODUCT((Inputs!$E$5:$E$180=$B43)*Inputs!$F$5:$F$180*(((Inputs!$G$5:$G$180="moeda")+(Inputs!$G$5:$G$180="acoes"))*Inputs!$B$1+((Inputs!$G$5:$G$180&lt;&gt;"moeda")*(Inputs!$G$5:$G$180&lt;&gt;"acoes")))*INDEX(Inputs!$K$5:$AJ$180,0,MATCH(D$2,Inputs!$K$4:$AJ$4,0)))))</f>
        <v>1468.70785658</v>
      </c>
      <c r="E43" s="6">
        <f>IF(ISNA(MATCH(E$2,Inputs!$K$4:$AJ$4,0)),NA(),IF(SUMPRODUCT((Inputs!$A$5:$A$180=$B43)*ISNUMBER(INDEX(Inputs!$K$5:$AJ$180,0,MATCH(E$2,Inputs!$K$4:$AJ$4,0))))+SUMPRODUCT((Inputs!$C$5:$C$180=$B43)*ISNUMBER(INDEX(Inputs!$K$5:$AJ$180,0,MATCH(E$2,Inputs!$K$4:$AJ$4,0))))+SUMPRODUCT((Inputs!$E$5:$E$180=$B43)*ISNUMBER(INDEX(Inputs!$K$5:$AJ$180,0,MATCH(E$2,Inputs!$K$4:$AJ$4,0))))=0,NA(),SUMPRODUCT((Inputs!$A$5:$A$180=$B43)*Inputs!$B$5:$B$180*(((Inputs!$G$5:$G$180="moeda")+(Inputs!$G$5:$G$180="acoes"))*Inputs!$B$1+((Inputs!$G$5:$G$180&lt;&gt;"moeda")*(Inputs!$G$5:$G$180&lt;&gt;"acoes")))*INDEX(Inputs!$K$5:$AJ$180,0,MATCH(E$2,Inputs!$K$4:$AJ$4,0)))+SUMPRODUCT((Inputs!$C$5:$C$180=$B43)*Inputs!$D$5:$D$180*(((Inputs!$G$5:$G$180="moeda")+(Inputs!$G$5:$G$180="acoes"))*Inputs!$B$1+((Inputs!$G$5:$G$180&lt;&gt;"moeda")*(Inputs!$G$5:$G$180&lt;&gt;"acoes")))*INDEX(Inputs!$K$5:$AJ$180,0,MATCH(E$2,Inputs!$K$4:$AJ$4,0)))+SUMPRODUCT((Inputs!$E$5:$E$180=$B43)*Inputs!$F$5:$F$180*(((Inputs!$G$5:$G$180="moeda")+(Inputs!$G$5:$G$180="acoes"))*Inputs!$B$1+((Inputs!$G$5:$G$180&lt;&gt;"moeda")*(Inputs!$G$5:$G$180&lt;&gt;"acoes")))*INDEX(Inputs!$K$5:$AJ$180,0,MATCH(E$2,Inputs!$K$4:$AJ$4,0)))))</f>
        <v>1469.12340486</v>
      </c>
      <c r="F43" s="6">
        <f>IF(ISNA(MATCH(F$2,Inputs!$K$4:$AJ$4,0)),NA(),IF(SUMPRODUCT((Inputs!$A$5:$A$180=$B43)*ISNUMBER(INDEX(Inputs!$K$5:$AJ$180,0,MATCH(F$2,Inputs!$K$4:$AJ$4,0))))+SUMPRODUCT((Inputs!$C$5:$C$180=$B43)*ISNUMBER(INDEX(Inputs!$K$5:$AJ$180,0,MATCH(F$2,Inputs!$K$4:$AJ$4,0))))+SUMPRODUCT((Inputs!$E$5:$E$180=$B43)*ISNUMBER(INDEX(Inputs!$K$5:$AJ$180,0,MATCH(F$2,Inputs!$K$4:$AJ$4,0))))=0,NA(),SUMPRODUCT((Inputs!$A$5:$A$180=$B43)*Inputs!$B$5:$B$180*(((Inputs!$G$5:$G$180="moeda")+(Inputs!$G$5:$G$180="acoes"))*Inputs!$B$1+((Inputs!$G$5:$G$180&lt;&gt;"moeda")*(Inputs!$G$5:$G$180&lt;&gt;"acoes")))*INDEX(Inputs!$K$5:$AJ$180,0,MATCH(F$2,Inputs!$K$4:$AJ$4,0)))+SUMPRODUCT((Inputs!$C$5:$C$180=$B43)*Inputs!$D$5:$D$180*(((Inputs!$G$5:$G$180="moeda")+(Inputs!$G$5:$G$180="acoes"))*Inputs!$B$1+((Inputs!$G$5:$G$180&lt;&gt;"moeda")*(Inputs!$G$5:$G$180&lt;&gt;"acoes")))*INDEX(Inputs!$K$5:$AJ$180,0,MATCH(F$2,Inputs!$K$4:$AJ$4,0)))+SUMPRODUCT((Inputs!$E$5:$E$180=$B43)*Inputs!$F$5:$F$180*(((Inputs!$G$5:$G$180="moeda")+(Inputs!$G$5:$G$180="acoes"))*Inputs!$B$1+((Inputs!$G$5:$G$180&lt;&gt;"moeda")*(Inputs!$G$5:$G$180&lt;&gt;"acoes")))*INDEX(Inputs!$K$5:$AJ$180,0,MATCH(F$2,Inputs!$K$4:$AJ$4,0)))))</f>
        <v>1474.49783234</v>
      </c>
      <c r="G43" s="6">
        <f>IF(ISNA(MATCH(G$2,Inputs!$K$4:$AJ$4,0)),NA(),IF(SUMPRODUCT((Inputs!$A$5:$A$180=$B43)*ISNUMBER(INDEX(Inputs!$K$5:$AJ$180,0,MATCH(G$2,Inputs!$K$4:$AJ$4,0))))+SUMPRODUCT((Inputs!$C$5:$C$180=$B43)*ISNUMBER(INDEX(Inputs!$K$5:$AJ$180,0,MATCH(G$2,Inputs!$K$4:$AJ$4,0))))+SUMPRODUCT((Inputs!$E$5:$E$180=$B43)*ISNUMBER(INDEX(Inputs!$K$5:$AJ$180,0,MATCH(G$2,Inputs!$K$4:$AJ$4,0))))=0,NA(),SUMPRODUCT((Inputs!$A$5:$A$180=$B43)*Inputs!$B$5:$B$180*(((Inputs!$G$5:$G$180="moeda")+(Inputs!$G$5:$G$180="acoes"))*Inputs!$B$1+((Inputs!$G$5:$G$180&lt;&gt;"moeda")*(Inputs!$G$5:$G$180&lt;&gt;"acoes")))*INDEX(Inputs!$K$5:$AJ$180,0,MATCH(G$2,Inputs!$K$4:$AJ$4,0)))+SUMPRODUCT((Inputs!$C$5:$C$180=$B43)*Inputs!$D$5:$D$180*(((Inputs!$G$5:$G$180="moeda")+(Inputs!$G$5:$G$180="acoes"))*Inputs!$B$1+((Inputs!$G$5:$G$180&lt;&gt;"moeda")*(Inputs!$G$5:$G$180&lt;&gt;"acoes")))*INDEX(Inputs!$K$5:$AJ$180,0,MATCH(G$2,Inputs!$K$4:$AJ$4,0)))+SUMPRODUCT((Inputs!$E$5:$E$180=$B43)*Inputs!$F$5:$F$180*(((Inputs!$G$5:$G$180="moeda")+(Inputs!$G$5:$G$180="acoes"))*Inputs!$B$1+((Inputs!$G$5:$G$180&lt;&gt;"moeda")*(Inputs!$G$5:$G$180&lt;&gt;"acoes")))*INDEX(Inputs!$K$5:$AJ$180,0,MATCH(G$2,Inputs!$K$4:$AJ$4,0)))))</f>
        <v>1474.72765197</v>
      </c>
      <c r="H43" s="3">
        <f>G43</f>
        <v>1474.72765197</v>
      </c>
      <c r="I43" s="6">
        <f>IF(ISNA(MATCH(I$2,Inputs!$K$4:$AJ$4,0)),NA(),IF(SUMPRODUCT((Inputs!$A$5:$A$180=$B43)*ISNUMBER(INDEX(Inputs!$K$5:$AJ$180,0,MATCH(I$2,Inputs!$K$4:$AJ$4,0))))+SUMPRODUCT((Inputs!$C$5:$C$180=$B43)*ISNUMBER(INDEX(Inputs!$K$5:$AJ$180,0,MATCH(I$2,Inputs!$K$4:$AJ$4,0))))+SUMPRODUCT((Inputs!$E$5:$E$180=$B43)*ISNUMBER(INDEX(Inputs!$K$5:$AJ$180,0,MATCH(I$2,Inputs!$K$4:$AJ$4,0))))=0,NA(),SUMPRODUCT((Inputs!$A$5:$A$180=$B43)*Inputs!$B$5:$B$180*(((Inputs!$G$5:$G$180="moeda")+(Inputs!$G$5:$G$180="acoes"))*Inputs!$B$1+((Inputs!$G$5:$G$180&lt;&gt;"moeda")*(Inputs!$G$5:$G$180&lt;&gt;"acoes")))*INDEX(Inputs!$K$5:$AJ$180,0,MATCH(I$2,Inputs!$K$4:$AJ$4,0)))+SUMPRODUCT((Inputs!$C$5:$C$180=$B43)*Inputs!$D$5:$D$180*(((Inputs!$G$5:$G$180="moeda")+(Inputs!$G$5:$G$180="acoes"))*Inputs!$B$1+((Inputs!$G$5:$G$180&lt;&gt;"moeda")*(Inputs!$G$5:$G$180&lt;&gt;"acoes")))*INDEX(Inputs!$K$5:$AJ$180,0,MATCH(I$2,Inputs!$K$4:$AJ$4,0)))+SUMPRODUCT((Inputs!$E$5:$E$180=$B43)*Inputs!$F$5:$F$180*(((Inputs!$G$5:$G$180="moeda")+(Inputs!$G$5:$G$180="acoes"))*Inputs!$B$1+((Inputs!$G$5:$G$180&lt;&gt;"moeda")*(Inputs!$G$5:$G$180&lt;&gt;"acoes")))*INDEX(Inputs!$K$5:$AJ$180,0,MATCH(I$2,Inputs!$K$4:$AJ$4,0)))))</f>
        <v>1475.10780063</v>
      </c>
      <c r="J43" s="6">
        <f>IF(ISNA(MATCH(J$2,Inputs!$K$4:$AJ$4,0)),NA(),IF(SUMPRODUCT((Inputs!$A$5:$A$180=$B43)*ISNUMBER(INDEX(Inputs!$K$5:$AJ$180,0,MATCH(J$2,Inputs!$K$4:$AJ$4,0))))+SUMPRODUCT((Inputs!$C$5:$C$180=$B43)*ISNUMBER(INDEX(Inputs!$K$5:$AJ$180,0,MATCH(J$2,Inputs!$K$4:$AJ$4,0))))+SUMPRODUCT((Inputs!$E$5:$E$180=$B43)*ISNUMBER(INDEX(Inputs!$K$5:$AJ$180,0,MATCH(J$2,Inputs!$K$4:$AJ$4,0))))=0,NA(),SUMPRODUCT((Inputs!$A$5:$A$180=$B43)*Inputs!$B$5:$B$180*(((Inputs!$G$5:$G$180="moeda")+(Inputs!$G$5:$G$180="acoes"))*Inputs!$B$1+((Inputs!$G$5:$G$180&lt;&gt;"moeda")*(Inputs!$G$5:$G$180&lt;&gt;"acoes")))*INDEX(Inputs!$K$5:$AJ$180,0,MATCH(J$2,Inputs!$K$4:$AJ$4,0)))+SUMPRODUCT((Inputs!$C$5:$C$180=$B43)*Inputs!$D$5:$D$180*(((Inputs!$G$5:$G$180="moeda")+(Inputs!$G$5:$G$180="acoes"))*Inputs!$B$1+((Inputs!$G$5:$G$180&lt;&gt;"moeda")*(Inputs!$G$5:$G$180&lt;&gt;"acoes")))*INDEX(Inputs!$K$5:$AJ$180,0,MATCH(J$2,Inputs!$K$4:$AJ$4,0)))+SUMPRODUCT((Inputs!$E$5:$E$180=$B43)*Inputs!$F$5:$F$180*(((Inputs!$G$5:$G$180="moeda")+(Inputs!$G$5:$G$180="acoes"))*Inputs!$B$1+((Inputs!$G$5:$G$180&lt;&gt;"moeda")*(Inputs!$G$5:$G$180&lt;&gt;"acoes")))*INDEX(Inputs!$K$5:$AJ$180,0,MATCH(J$2,Inputs!$K$4:$AJ$4,0)))))</f>
        <v>1475.01522486</v>
      </c>
      <c r="K43" s="6">
        <f>IF(ISNA(MATCH(K$2,Inputs!$K$4:$AJ$4,0)),NA(),IF(SUMPRODUCT((Inputs!$A$5:$A$180=$B43)*ISNUMBER(INDEX(Inputs!$K$5:$AJ$180,0,MATCH(K$2,Inputs!$K$4:$AJ$4,0))))+SUMPRODUCT((Inputs!$C$5:$C$180=$B43)*ISNUMBER(INDEX(Inputs!$K$5:$AJ$180,0,MATCH(K$2,Inputs!$K$4:$AJ$4,0))))+SUMPRODUCT((Inputs!$E$5:$E$180=$B43)*ISNUMBER(INDEX(Inputs!$K$5:$AJ$180,0,MATCH(K$2,Inputs!$K$4:$AJ$4,0))))=0,NA(),SUMPRODUCT((Inputs!$A$5:$A$180=$B43)*Inputs!$B$5:$B$180*(((Inputs!$G$5:$G$180="moeda")+(Inputs!$G$5:$G$180="acoes"))*Inputs!$B$1+((Inputs!$G$5:$G$180&lt;&gt;"moeda")*(Inputs!$G$5:$G$180&lt;&gt;"acoes")))*INDEX(Inputs!$K$5:$AJ$180,0,MATCH(K$2,Inputs!$K$4:$AJ$4,0)))+SUMPRODUCT((Inputs!$C$5:$C$180=$B43)*Inputs!$D$5:$D$180*(((Inputs!$G$5:$G$180="moeda")+(Inputs!$G$5:$G$180="acoes"))*Inputs!$B$1+((Inputs!$G$5:$G$180&lt;&gt;"moeda")*(Inputs!$G$5:$G$180&lt;&gt;"acoes")))*INDEX(Inputs!$K$5:$AJ$180,0,MATCH(K$2,Inputs!$K$4:$AJ$4,0)))+SUMPRODUCT((Inputs!$E$5:$E$180=$B43)*Inputs!$F$5:$F$180*(((Inputs!$G$5:$G$180="moeda")+(Inputs!$G$5:$G$180="acoes"))*Inputs!$B$1+((Inputs!$G$5:$G$180&lt;&gt;"moeda")*(Inputs!$G$5:$G$180&lt;&gt;"acoes")))*INDEX(Inputs!$K$5:$AJ$180,0,MATCH(K$2,Inputs!$K$4:$AJ$4,0)))))</f>
        <v>1476.85481989</v>
      </c>
      <c r="L43" s="6">
        <f>IF(ISNA(MATCH(L$2,Inputs!$K$4:$AJ$4,0)),NA(),IF(SUMPRODUCT((Inputs!$A$5:$A$180=$B43)*ISNUMBER(INDEX(Inputs!$K$5:$AJ$180,0,MATCH(L$2,Inputs!$K$4:$AJ$4,0))))+SUMPRODUCT((Inputs!$C$5:$C$180=$B43)*ISNUMBER(INDEX(Inputs!$K$5:$AJ$180,0,MATCH(L$2,Inputs!$K$4:$AJ$4,0))))+SUMPRODUCT((Inputs!$E$5:$E$180=$B43)*ISNUMBER(INDEX(Inputs!$K$5:$AJ$180,0,MATCH(L$2,Inputs!$K$4:$AJ$4,0))))=0,NA(),SUMPRODUCT((Inputs!$A$5:$A$180=$B43)*Inputs!$B$5:$B$180*(((Inputs!$G$5:$G$180="moeda")+(Inputs!$G$5:$G$180="acoes"))*Inputs!$B$1+((Inputs!$G$5:$G$180&lt;&gt;"moeda")*(Inputs!$G$5:$G$180&lt;&gt;"acoes")))*INDEX(Inputs!$K$5:$AJ$180,0,MATCH(L$2,Inputs!$K$4:$AJ$4,0)))+SUMPRODUCT((Inputs!$C$5:$C$180=$B43)*Inputs!$D$5:$D$180*(((Inputs!$G$5:$G$180="moeda")+(Inputs!$G$5:$G$180="acoes"))*Inputs!$B$1+((Inputs!$G$5:$G$180&lt;&gt;"moeda")*(Inputs!$G$5:$G$180&lt;&gt;"acoes")))*INDEX(Inputs!$K$5:$AJ$180,0,MATCH(L$2,Inputs!$K$4:$AJ$4,0)))+SUMPRODUCT((Inputs!$E$5:$E$180=$B43)*Inputs!$F$5:$F$180*(((Inputs!$G$5:$G$180="moeda")+(Inputs!$G$5:$G$180="acoes"))*Inputs!$B$1+((Inputs!$G$5:$G$180&lt;&gt;"moeda")*(Inputs!$G$5:$G$180&lt;&gt;"acoes")))*INDEX(Inputs!$K$5:$AJ$180,0,MATCH(L$2,Inputs!$K$4:$AJ$4,0)))))</f>
        <v>2320.43421514</v>
      </c>
      <c r="M43" s="3">
        <f>L43</f>
        <v>2320.43421514</v>
      </c>
      <c r="N43" s="6">
        <f>IF(ISNA(MATCH(N$2,Inputs!$K$4:$AJ$4,0)),NA(),IF(SUMPRODUCT((Inputs!$A$5:$A$180=$B43)*ISNUMBER(INDEX(Inputs!$K$5:$AJ$180,0,MATCH(N$2,Inputs!$K$4:$AJ$4,0))))+SUMPRODUCT((Inputs!$C$5:$C$180=$B43)*ISNUMBER(INDEX(Inputs!$K$5:$AJ$180,0,MATCH(N$2,Inputs!$K$4:$AJ$4,0))))+SUMPRODUCT((Inputs!$E$5:$E$180=$B43)*ISNUMBER(INDEX(Inputs!$K$5:$AJ$180,0,MATCH(N$2,Inputs!$K$4:$AJ$4,0))))=0,NA(),SUMPRODUCT((Inputs!$A$5:$A$180=$B43)*Inputs!$B$5:$B$180*(((Inputs!$G$5:$G$180="moeda")+(Inputs!$G$5:$G$180="acoes"))*Inputs!$B$1+((Inputs!$G$5:$G$180&lt;&gt;"moeda")*(Inputs!$G$5:$G$180&lt;&gt;"acoes")))*INDEX(Inputs!$K$5:$AJ$180,0,MATCH(N$2,Inputs!$K$4:$AJ$4,0)))+SUMPRODUCT((Inputs!$C$5:$C$180=$B43)*Inputs!$D$5:$D$180*(((Inputs!$G$5:$G$180="moeda")+(Inputs!$G$5:$G$180="acoes"))*Inputs!$B$1+((Inputs!$G$5:$G$180&lt;&gt;"moeda")*(Inputs!$G$5:$G$180&lt;&gt;"acoes")))*INDEX(Inputs!$K$5:$AJ$180,0,MATCH(N$2,Inputs!$K$4:$AJ$4,0)))+SUMPRODUCT((Inputs!$E$5:$E$180=$B43)*Inputs!$F$5:$F$180*(((Inputs!$G$5:$G$180="moeda")+(Inputs!$G$5:$G$180="acoes"))*Inputs!$B$1+((Inputs!$G$5:$G$180&lt;&gt;"moeda")*(Inputs!$G$5:$G$180&lt;&gt;"acoes")))*INDEX(Inputs!$K$5:$AJ$180,0,MATCH(N$2,Inputs!$K$4:$AJ$4,0)))))</f>
        <v>2320.15239841</v>
      </c>
      <c r="O43" s="6">
        <f>IF(ISNA(MATCH(O$2,Inputs!$K$4:$AJ$4,0)),NA(),IF(SUMPRODUCT((Inputs!$A$5:$A$180=$B43)*ISNUMBER(INDEX(Inputs!$K$5:$AJ$180,0,MATCH(O$2,Inputs!$K$4:$AJ$4,0))))+SUMPRODUCT((Inputs!$C$5:$C$180=$B43)*ISNUMBER(INDEX(Inputs!$K$5:$AJ$180,0,MATCH(O$2,Inputs!$K$4:$AJ$4,0))))+SUMPRODUCT((Inputs!$E$5:$E$180=$B43)*ISNUMBER(INDEX(Inputs!$K$5:$AJ$180,0,MATCH(O$2,Inputs!$K$4:$AJ$4,0))))=0,NA(),SUMPRODUCT((Inputs!$A$5:$A$180=$B43)*Inputs!$B$5:$B$180*(((Inputs!$G$5:$G$180="moeda")+(Inputs!$G$5:$G$180="acoes"))*Inputs!$B$1+((Inputs!$G$5:$G$180&lt;&gt;"moeda")*(Inputs!$G$5:$G$180&lt;&gt;"acoes")))*INDEX(Inputs!$K$5:$AJ$180,0,MATCH(O$2,Inputs!$K$4:$AJ$4,0)))+SUMPRODUCT((Inputs!$C$5:$C$180=$B43)*Inputs!$D$5:$D$180*(((Inputs!$G$5:$G$180="moeda")+(Inputs!$G$5:$G$180="acoes"))*Inputs!$B$1+((Inputs!$G$5:$G$180&lt;&gt;"moeda")*(Inputs!$G$5:$G$180&lt;&gt;"acoes")))*INDEX(Inputs!$K$5:$AJ$180,0,MATCH(O$2,Inputs!$K$4:$AJ$4,0)))+SUMPRODUCT((Inputs!$E$5:$E$180=$B43)*Inputs!$F$5:$F$180*(((Inputs!$G$5:$G$180="moeda")+(Inputs!$G$5:$G$180="acoes"))*Inputs!$B$1+((Inputs!$G$5:$G$180&lt;&gt;"moeda")*(Inputs!$G$5:$G$180&lt;&gt;"acoes")))*INDEX(Inputs!$K$5:$AJ$180,0,MATCH(O$2,Inputs!$K$4:$AJ$4,0)))))</f>
        <v>4651.356</v>
      </c>
      <c r="P43" s="6">
        <f>IF(ISNA(MATCH(P$2,Inputs!$K$4:$AJ$4,0)),NA(),IF(SUMPRODUCT((Inputs!$A$5:$A$180=$B43)*ISNUMBER(INDEX(Inputs!$K$5:$AJ$180,0,MATCH(P$2,Inputs!$K$4:$AJ$4,0))))+SUMPRODUCT((Inputs!$C$5:$C$180=$B43)*ISNUMBER(INDEX(Inputs!$K$5:$AJ$180,0,MATCH(P$2,Inputs!$K$4:$AJ$4,0))))+SUMPRODUCT((Inputs!$E$5:$E$180=$B43)*ISNUMBER(INDEX(Inputs!$K$5:$AJ$180,0,MATCH(P$2,Inputs!$K$4:$AJ$4,0))))=0,NA(),SUMPRODUCT((Inputs!$A$5:$A$180=$B43)*Inputs!$B$5:$B$180*(((Inputs!$G$5:$G$180="moeda")+(Inputs!$G$5:$G$180="acoes"))*Inputs!$B$1+((Inputs!$G$5:$G$180&lt;&gt;"moeda")*(Inputs!$G$5:$G$180&lt;&gt;"acoes")))*INDEX(Inputs!$K$5:$AJ$180,0,MATCH(P$2,Inputs!$K$4:$AJ$4,0)))+SUMPRODUCT((Inputs!$C$5:$C$180=$B43)*Inputs!$D$5:$D$180*(((Inputs!$G$5:$G$180="moeda")+(Inputs!$G$5:$G$180="acoes"))*Inputs!$B$1+((Inputs!$G$5:$G$180&lt;&gt;"moeda")*(Inputs!$G$5:$G$180&lt;&gt;"acoes")))*INDEX(Inputs!$K$5:$AJ$180,0,MATCH(P$2,Inputs!$K$4:$AJ$4,0)))+SUMPRODUCT((Inputs!$E$5:$E$180=$B43)*Inputs!$F$5:$F$180*(((Inputs!$G$5:$G$180="moeda")+(Inputs!$G$5:$G$180="acoes"))*Inputs!$B$1+((Inputs!$G$5:$G$180&lt;&gt;"moeda")*(Inputs!$G$5:$G$180&lt;&gt;"acoes")))*INDEX(Inputs!$K$5:$AJ$180,0,MATCH(P$2,Inputs!$K$4:$AJ$4,0)))))</f>
        <v>4651.442</v>
      </c>
      <c r="Q43" s="6">
        <f>IF(ISNA(MATCH(Q$2,Inputs!$K$4:$AJ$4,0)),NA(),IF(SUMPRODUCT((Inputs!$A$5:$A$180=$B43)*ISNUMBER(INDEX(Inputs!$K$5:$AJ$180,0,MATCH(Q$2,Inputs!$K$4:$AJ$4,0))))+SUMPRODUCT((Inputs!$C$5:$C$180=$B43)*ISNUMBER(INDEX(Inputs!$K$5:$AJ$180,0,MATCH(Q$2,Inputs!$K$4:$AJ$4,0))))+SUMPRODUCT((Inputs!$E$5:$E$180=$B43)*ISNUMBER(INDEX(Inputs!$K$5:$AJ$180,0,MATCH(Q$2,Inputs!$K$4:$AJ$4,0))))=0,NA(),SUMPRODUCT((Inputs!$A$5:$A$180=$B43)*Inputs!$B$5:$B$180*(((Inputs!$G$5:$G$180="moeda")+(Inputs!$G$5:$G$180="acoes"))*Inputs!$B$1+((Inputs!$G$5:$G$180&lt;&gt;"moeda")*(Inputs!$G$5:$G$180&lt;&gt;"acoes")))*INDEX(Inputs!$K$5:$AJ$180,0,MATCH(Q$2,Inputs!$K$4:$AJ$4,0)))+SUMPRODUCT((Inputs!$C$5:$C$180=$B43)*Inputs!$D$5:$D$180*(((Inputs!$G$5:$G$180="moeda")+(Inputs!$G$5:$G$180="acoes"))*Inputs!$B$1+((Inputs!$G$5:$G$180&lt;&gt;"moeda")*(Inputs!$G$5:$G$180&lt;&gt;"acoes")))*INDEX(Inputs!$K$5:$AJ$180,0,MATCH(Q$2,Inputs!$K$4:$AJ$4,0)))+SUMPRODUCT((Inputs!$E$5:$E$180=$B43)*Inputs!$F$5:$F$180*(((Inputs!$G$5:$G$180="moeda")+(Inputs!$G$5:$G$180="acoes"))*Inputs!$B$1+((Inputs!$G$5:$G$180&lt;&gt;"moeda")*(Inputs!$G$5:$G$180&lt;&gt;"acoes")))*INDEX(Inputs!$K$5:$AJ$180,0,MATCH(Q$2,Inputs!$K$4:$AJ$4,0)))))</f>
        <v>4651.48</v>
      </c>
      <c r="R43" s="3">
        <f>Q43</f>
        <v>4651.48</v>
      </c>
      <c r="S43" s="6">
        <f>IF(ISNA(MATCH(S$2,Inputs!$K$4:$AJ$4,0)),NA(),IF(SUMPRODUCT((Inputs!$A$5:$A$180=$B43)*ISNUMBER(INDEX(Inputs!$K$5:$AJ$180,0,MATCH(S$2,Inputs!$K$4:$AJ$4,0))))+SUMPRODUCT((Inputs!$C$5:$C$180=$B43)*ISNUMBER(INDEX(Inputs!$K$5:$AJ$180,0,MATCH(S$2,Inputs!$K$4:$AJ$4,0))))+SUMPRODUCT((Inputs!$E$5:$E$180=$B43)*ISNUMBER(INDEX(Inputs!$K$5:$AJ$180,0,MATCH(S$2,Inputs!$K$4:$AJ$4,0))))=0,NA(),SUMPRODUCT((Inputs!$A$5:$A$180=$B43)*Inputs!$B$5:$B$180*(((Inputs!$G$5:$G$180="moeda")+(Inputs!$G$5:$G$180="acoes"))*Inputs!$B$1+((Inputs!$G$5:$G$180&lt;&gt;"moeda")*(Inputs!$G$5:$G$180&lt;&gt;"acoes")))*INDEX(Inputs!$K$5:$AJ$180,0,MATCH(S$2,Inputs!$K$4:$AJ$4,0)))+SUMPRODUCT((Inputs!$C$5:$C$180=$B43)*Inputs!$D$5:$D$180*(((Inputs!$G$5:$G$180="moeda")+(Inputs!$G$5:$G$180="acoes"))*Inputs!$B$1+((Inputs!$G$5:$G$180&lt;&gt;"moeda")*(Inputs!$G$5:$G$180&lt;&gt;"acoes")))*INDEX(Inputs!$K$5:$AJ$180,0,MATCH(S$2,Inputs!$K$4:$AJ$4,0)))+SUMPRODUCT((Inputs!$E$5:$E$180=$B43)*Inputs!$F$5:$F$180*(((Inputs!$G$5:$G$180="moeda")+(Inputs!$G$5:$G$180="acoes"))*Inputs!$B$1+((Inputs!$G$5:$G$180&lt;&gt;"moeda")*(Inputs!$G$5:$G$180&lt;&gt;"acoes")))*INDEX(Inputs!$K$5:$AJ$180,0,MATCH(S$2,Inputs!$K$4:$AJ$4,0)))))</f>
        <v>4651.518</v>
      </c>
      <c r="T43" s="6">
        <f>IF(ISNA(MATCH(T$2,Inputs!$K$4:$AJ$4,0)),NA(),IF(SUMPRODUCT((Inputs!$A$5:$A$180=$B43)*ISNUMBER(INDEX(Inputs!$K$5:$AJ$180,0,MATCH(T$2,Inputs!$K$4:$AJ$4,0))))+SUMPRODUCT((Inputs!$C$5:$C$180=$B43)*ISNUMBER(INDEX(Inputs!$K$5:$AJ$180,0,MATCH(T$2,Inputs!$K$4:$AJ$4,0))))+SUMPRODUCT((Inputs!$E$5:$E$180=$B43)*ISNUMBER(INDEX(Inputs!$K$5:$AJ$180,0,MATCH(T$2,Inputs!$K$4:$AJ$4,0))))=0,NA(),SUMPRODUCT((Inputs!$A$5:$A$180=$B43)*Inputs!$B$5:$B$180*(((Inputs!$G$5:$G$180="moeda")+(Inputs!$G$5:$G$180="acoes"))*Inputs!$B$1+((Inputs!$G$5:$G$180&lt;&gt;"moeda")*(Inputs!$G$5:$G$180&lt;&gt;"acoes")))*INDEX(Inputs!$K$5:$AJ$180,0,MATCH(T$2,Inputs!$K$4:$AJ$4,0)))+SUMPRODUCT((Inputs!$C$5:$C$180=$B43)*Inputs!$D$5:$D$180*(((Inputs!$G$5:$G$180="moeda")+(Inputs!$G$5:$G$180="acoes"))*Inputs!$B$1+((Inputs!$G$5:$G$180&lt;&gt;"moeda")*(Inputs!$G$5:$G$180&lt;&gt;"acoes")))*INDEX(Inputs!$K$5:$AJ$180,0,MATCH(T$2,Inputs!$K$4:$AJ$4,0)))+SUMPRODUCT((Inputs!$E$5:$E$180=$B43)*Inputs!$F$5:$F$180*(((Inputs!$G$5:$G$180="moeda")+(Inputs!$G$5:$G$180="acoes"))*Inputs!$B$1+((Inputs!$G$5:$G$180&lt;&gt;"moeda")*(Inputs!$G$5:$G$180&lt;&gt;"acoes")))*INDEX(Inputs!$K$5:$AJ$180,0,MATCH(T$2,Inputs!$K$4:$AJ$4,0)))))</f>
        <v>4651.55639558</v>
      </c>
      <c r="U43" s="6">
        <f>IF(ISNA(MATCH(U$2,Inputs!$K$4:$AJ$4,0)),NA(),IF(SUMPRODUCT((Inputs!$A$5:$A$180=$B43)*ISNUMBER(INDEX(Inputs!$K$5:$AJ$180,0,MATCH(U$2,Inputs!$K$4:$AJ$4,0))))+SUMPRODUCT((Inputs!$C$5:$C$180=$B43)*ISNUMBER(INDEX(Inputs!$K$5:$AJ$180,0,MATCH(U$2,Inputs!$K$4:$AJ$4,0))))+SUMPRODUCT((Inputs!$E$5:$E$180=$B43)*ISNUMBER(INDEX(Inputs!$K$5:$AJ$180,0,MATCH(U$2,Inputs!$K$4:$AJ$4,0))))=0,NA(),SUMPRODUCT((Inputs!$A$5:$A$180=$B43)*Inputs!$B$5:$B$180*(((Inputs!$G$5:$G$180="moeda")+(Inputs!$G$5:$G$180="acoes"))*Inputs!$B$1+((Inputs!$G$5:$G$180&lt;&gt;"moeda")*(Inputs!$G$5:$G$180&lt;&gt;"acoes")))*INDEX(Inputs!$K$5:$AJ$180,0,MATCH(U$2,Inputs!$K$4:$AJ$4,0)))+SUMPRODUCT((Inputs!$C$5:$C$180=$B43)*Inputs!$D$5:$D$180*(((Inputs!$G$5:$G$180="moeda")+(Inputs!$G$5:$G$180="acoes"))*Inputs!$B$1+((Inputs!$G$5:$G$180&lt;&gt;"moeda")*(Inputs!$G$5:$G$180&lt;&gt;"acoes")))*INDEX(Inputs!$K$5:$AJ$180,0,MATCH(U$2,Inputs!$K$4:$AJ$4,0)))+SUMPRODUCT((Inputs!$E$5:$E$180=$B43)*Inputs!$F$5:$F$180*(((Inputs!$G$5:$G$180="moeda")+(Inputs!$G$5:$G$180="acoes"))*Inputs!$B$1+((Inputs!$G$5:$G$180&lt;&gt;"moeda")*(Inputs!$G$5:$G$180&lt;&gt;"acoes")))*INDEX(Inputs!$K$5:$AJ$180,0,MATCH(U$2,Inputs!$K$4:$AJ$4,0)))))</f>
        <v>4651.594</v>
      </c>
      <c r="V43" s="6">
        <f>IF(ISNA(MATCH(V$2,Inputs!$K$4:$AJ$4,0)),NA(),IF(SUMPRODUCT((Inputs!$A$5:$A$180=$B43)*ISNUMBER(INDEX(Inputs!$K$5:$AJ$180,0,MATCH(V$2,Inputs!$K$4:$AJ$4,0))))+SUMPRODUCT((Inputs!$C$5:$C$180=$B43)*ISNUMBER(INDEX(Inputs!$K$5:$AJ$180,0,MATCH(V$2,Inputs!$K$4:$AJ$4,0))))+SUMPRODUCT((Inputs!$E$5:$E$180=$B43)*ISNUMBER(INDEX(Inputs!$K$5:$AJ$180,0,MATCH(V$2,Inputs!$K$4:$AJ$4,0))))=0,NA(),SUMPRODUCT((Inputs!$A$5:$A$180=$B43)*Inputs!$B$5:$B$180*(((Inputs!$G$5:$G$180="moeda")+(Inputs!$G$5:$G$180="acoes"))*Inputs!$B$1+((Inputs!$G$5:$G$180&lt;&gt;"moeda")*(Inputs!$G$5:$G$180&lt;&gt;"acoes")))*INDEX(Inputs!$K$5:$AJ$180,0,MATCH(V$2,Inputs!$K$4:$AJ$4,0)))+SUMPRODUCT((Inputs!$C$5:$C$180=$B43)*Inputs!$D$5:$D$180*(((Inputs!$G$5:$G$180="moeda")+(Inputs!$G$5:$G$180="acoes"))*Inputs!$B$1+((Inputs!$G$5:$G$180&lt;&gt;"moeda")*(Inputs!$G$5:$G$180&lt;&gt;"acoes")))*INDEX(Inputs!$K$5:$AJ$180,0,MATCH(V$2,Inputs!$K$4:$AJ$4,0)))+SUMPRODUCT((Inputs!$E$5:$E$180=$B43)*Inputs!$F$5:$F$180*(((Inputs!$G$5:$G$180="moeda")+(Inputs!$G$5:$G$180="acoes"))*Inputs!$B$1+((Inputs!$G$5:$G$180&lt;&gt;"moeda")*(Inputs!$G$5:$G$180&lt;&gt;"acoes")))*INDEX(Inputs!$K$5:$AJ$180,0,MATCH(V$2,Inputs!$K$4:$AJ$4,0)))))</f>
        <v>4651.632</v>
      </c>
      <c r="W43" s="3">
        <f>V43</f>
        <v>4651.632</v>
      </c>
      <c r="X43" s="6">
        <f>IF(ISNA(MATCH(X$2,Inputs!$K$4:$AJ$4,0)),NA(),IF(SUMPRODUCT((Inputs!$A$5:$A$180=$B43)*ISNUMBER(INDEX(Inputs!$K$5:$AJ$180,0,MATCH(X$2,Inputs!$K$4:$AJ$4,0))))+SUMPRODUCT((Inputs!$C$5:$C$180=$B43)*ISNUMBER(INDEX(Inputs!$K$5:$AJ$180,0,MATCH(X$2,Inputs!$K$4:$AJ$4,0))))+SUMPRODUCT((Inputs!$E$5:$E$180=$B43)*ISNUMBER(INDEX(Inputs!$K$5:$AJ$180,0,MATCH(X$2,Inputs!$K$4:$AJ$4,0))))=0,NA(),SUMPRODUCT((Inputs!$A$5:$A$180=$B43)*Inputs!$B$5:$B$180*(((Inputs!$G$5:$G$180="moeda")+(Inputs!$G$5:$G$180="acoes"))*Inputs!$B$1+((Inputs!$G$5:$G$180&lt;&gt;"moeda")*(Inputs!$G$5:$G$180&lt;&gt;"acoes")))*INDEX(Inputs!$K$5:$AJ$180,0,MATCH(X$2,Inputs!$K$4:$AJ$4,0)))+SUMPRODUCT((Inputs!$C$5:$C$180=$B43)*Inputs!$D$5:$D$180*(((Inputs!$G$5:$G$180="moeda")+(Inputs!$G$5:$G$180="acoes"))*Inputs!$B$1+((Inputs!$G$5:$G$180&lt;&gt;"moeda")*(Inputs!$G$5:$G$180&lt;&gt;"acoes")))*INDEX(Inputs!$K$5:$AJ$180,0,MATCH(X$2,Inputs!$K$4:$AJ$4,0)))+SUMPRODUCT((Inputs!$E$5:$E$180=$B43)*Inputs!$F$5:$F$180*(((Inputs!$G$5:$G$180="moeda")+(Inputs!$G$5:$G$180="acoes"))*Inputs!$B$1+((Inputs!$G$5:$G$180&lt;&gt;"moeda")*(Inputs!$G$5:$G$180&lt;&gt;"acoes")))*INDEX(Inputs!$K$5:$AJ$180,0,MATCH(X$2,Inputs!$K$4:$AJ$4,0)))))</f>
        <v>4651.632083</v>
      </c>
      <c r="Y43" s="6">
        <f>IF(ISNA(MATCH(Y$2,Inputs!$K$4:$AJ$4,0)),NA(),IF(SUMPRODUCT((Inputs!$A$5:$A$180=$B43)*ISNUMBER(INDEX(Inputs!$K$5:$AJ$180,0,MATCH(Y$2,Inputs!$K$4:$AJ$4,0))))+SUMPRODUCT((Inputs!$C$5:$C$180=$B43)*ISNUMBER(INDEX(Inputs!$K$5:$AJ$180,0,MATCH(Y$2,Inputs!$K$4:$AJ$4,0))))+SUMPRODUCT((Inputs!$E$5:$E$180=$B43)*ISNUMBER(INDEX(Inputs!$K$5:$AJ$180,0,MATCH(Y$2,Inputs!$K$4:$AJ$4,0))))=0,NA(),SUMPRODUCT((Inputs!$A$5:$A$180=$B43)*Inputs!$B$5:$B$180*(((Inputs!$G$5:$G$180="moeda")+(Inputs!$G$5:$G$180="acoes"))*Inputs!$B$1+((Inputs!$G$5:$G$180&lt;&gt;"moeda")*(Inputs!$G$5:$G$180&lt;&gt;"acoes")))*INDEX(Inputs!$K$5:$AJ$180,0,MATCH(Y$2,Inputs!$K$4:$AJ$4,0)))+SUMPRODUCT((Inputs!$C$5:$C$180=$B43)*Inputs!$D$5:$D$180*(((Inputs!$G$5:$G$180="moeda")+(Inputs!$G$5:$G$180="acoes"))*Inputs!$B$1+((Inputs!$G$5:$G$180&lt;&gt;"moeda")*(Inputs!$G$5:$G$180&lt;&gt;"acoes")))*INDEX(Inputs!$K$5:$AJ$180,0,MATCH(Y$2,Inputs!$K$4:$AJ$4,0)))+SUMPRODUCT((Inputs!$E$5:$E$180=$B43)*Inputs!$F$5:$F$180*(((Inputs!$G$5:$G$180="moeda")+(Inputs!$G$5:$G$180="acoes"))*Inputs!$B$1+((Inputs!$G$5:$G$180&lt;&gt;"moeda")*(Inputs!$G$5:$G$180&lt;&gt;"acoes")))*INDEX(Inputs!$K$5:$AJ$180,0,MATCH(Y$2,Inputs!$K$4:$AJ$4,0)))))</f>
        <v>4651.632</v>
      </c>
      <c r="Z43" s="6">
        <f>IF(ISNA(MATCH(Z$2,Inputs!$K$4:$AJ$4,0)),NA(),IF(SUMPRODUCT((Inputs!$A$5:$A$180=$B43)*ISNUMBER(INDEX(Inputs!$K$5:$AJ$180,0,MATCH(Z$2,Inputs!$K$4:$AJ$4,0))))+SUMPRODUCT((Inputs!$C$5:$C$180=$B43)*ISNUMBER(INDEX(Inputs!$K$5:$AJ$180,0,MATCH(Z$2,Inputs!$K$4:$AJ$4,0))))+SUMPRODUCT((Inputs!$E$5:$E$180=$B43)*ISNUMBER(INDEX(Inputs!$K$5:$AJ$180,0,MATCH(Z$2,Inputs!$K$4:$AJ$4,0))))=0,NA(),SUMPRODUCT((Inputs!$A$5:$A$180=$B43)*Inputs!$B$5:$B$180*(((Inputs!$G$5:$G$180="moeda")+(Inputs!$G$5:$G$180="acoes"))*Inputs!$B$1+((Inputs!$G$5:$G$180&lt;&gt;"moeda")*(Inputs!$G$5:$G$180&lt;&gt;"acoes")))*INDEX(Inputs!$K$5:$AJ$180,0,MATCH(Z$2,Inputs!$K$4:$AJ$4,0)))+SUMPRODUCT((Inputs!$C$5:$C$180=$B43)*Inputs!$D$5:$D$180*(((Inputs!$G$5:$G$180="moeda")+(Inputs!$G$5:$G$180="acoes"))*Inputs!$B$1+((Inputs!$G$5:$G$180&lt;&gt;"moeda")*(Inputs!$G$5:$G$180&lt;&gt;"acoes")))*INDEX(Inputs!$K$5:$AJ$180,0,MATCH(Z$2,Inputs!$K$4:$AJ$4,0)))+SUMPRODUCT((Inputs!$E$5:$E$180=$B43)*Inputs!$F$5:$F$180*(((Inputs!$G$5:$G$180="moeda")+(Inputs!$G$5:$G$180="acoes"))*Inputs!$B$1+((Inputs!$G$5:$G$180&lt;&gt;"moeda")*(Inputs!$G$5:$G$180&lt;&gt;"acoes")))*INDEX(Inputs!$K$5:$AJ$180,0,MATCH(Z$2,Inputs!$K$4:$AJ$4,0)))))</f>
        <v>4651.632</v>
      </c>
      <c r="AA43" s="6">
        <f>IF(ISNA(MATCH(AA$2,Inputs!$K$4:$AJ$4,0)),NA(),IF(SUMPRODUCT((Inputs!$A$5:$A$180=$B43)*ISNUMBER(INDEX(Inputs!$K$5:$AJ$180,0,MATCH(AA$2,Inputs!$K$4:$AJ$4,0))))+SUMPRODUCT((Inputs!$C$5:$C$180=$B43)*ISNUMBER(INDEX(Inputs!$K$5:$AJ$180,0,MATCH(AA$2,Inputs!$K$4:$AJ$4,0))))+SUMPRODUCT((Inputs!$E$5:$E$180=$B43)*ISNUMBER(INDEX(Inputs!$K$5:$AJ$180,0,MATCH(AA$2,Inputs!$K$4:$AJ$4,0))))=0,NA(),SUMPRODUCT((Inputs!$A$5:$A$180=$B43)*Inputs!$B$5:$B$180*(((Inputs!$G$5:$G$180="moeda")+(Inputs!$G$5:$G$180="acoes"))*Inputs!$B$1+((Inputs!$G$5:$G$180&lt;&gt;"moeda")*(Inputs!$G$5:$G$180&lt;&gt;"acoes")))*INDEX(Inputs!$K$5:$AJ$180,0,MATCH(AA$2,Inputs!$K$4:$AJ$4,0)))+SUMPRODUCT((Inputs!$C$5:$C$180=$B43)*Inputs!$D$5:$D$180*(((Inputs!$G$5:$G$180="moeda")+(Inputs!$G$5:$G$180="acoes"))*Inputs!$B$1+((Inputs!$G$5:$G$180&lt;&gt;"moeda")*(Inputs!$G$5:$G$180&lt;&gt;"acoes")))*INDEX(Inputs!$K$5:$AJ$180,0,MATCH(AA$2,Inputs!$K$4:$AJ$4,0)))+SUMPRODUCT((Inputs!$E$5:$E$180=$B43)*Inputs!$F$5:$F$180*(((Inputs!$G$5:$G$180="moeda")+(Inputs!$G$5:$G$180="acoes"))*Inputs!$B$1+((Inputs!$G$5:$G$180&lt;&gt;"moeda")*(Inputs!$G$5:$G$180&lt;&gt;"acoes")))*INDEX(Inputs!$K$5:$AJ$180,0,MATCH(AA$2,Inputs!$K$4:$AJ$4,0)))))</f>
        <v>4651.632</v>
      </c>
      <c r="AB43" s="3">
        <f>AA43</f>
        <v>4651.632</v>
      </c>
      <c r="AC43" s="6">
        <f>IF(ISNA(MATCH(AC$2,Inputs!$K$4:$AJ$4,0)),NA(),IF(SUMPRODUCT((Inputs!$A$5:$A$180=$B43)*ISNUMBER(INDEX(Inputs!$K$5:$AJ$180,0,MATCH(AC$2,Inputs!$K$4:$AJ$4,0))))+SUMPRODUCT((Inputs!$C$5:$C$180=$B43)*ISNUMBER(INDEX(Inputs!$K$5:$AJ$180,0,MATCH(AC$2,Inputs!$K$4:$AJ$4,0))))+SUMPRODUCT((Inputs!$E$5:$E$180=$B43)*ISNUMBER(INDEX(Inputs!$K$5:$AJ$180,0,MATCH(AC$2,Inputs!$K$4:$AJ$4,0))))=0,NA(),SUMPRODUCT((Inputs!$A$5:$A$180=$B43)*Inputs!$B$5:$B$180*(((Inputs!$G$5:$G$180="moeda")+(Inputs!$G$5:$G$180="acoes"))*Inputs!$B$1+((Inputs!$G$5:$G$180&lt;&gt;"moeda")*(Inputs!$G$5:$G$180&lt;&gt;"acoes")))*INDEX(Inputs!$K$5:$AJ$180,0,MATCH(AC$2,Inputs!$K$4:$AJ$4,0)))+SUMPRODUCT((Inputs!$C$5:$C$180=$B43)*Inputs!$D$5:$D$180*(((Inputs!$G$5:$G$180="moeda")+(Inputs!$G$5:$G$180="acoes"))*Inputs!$B$1+((Inputs!$G$5:$G$180&lt;&gt;"moeda")*(Inputs!$G$5:$G$180&lt;&gt;"acoes")))*INDEX(Inputs!$K$5:$AJ$180,0,MATCH(AC$2,Inputs!$K$4:$AJ$4,0)))+SUMPRODUCT((Inputs!$E$5:$E$180=$B43)*Inputs!$F$5:$F$180*(((Inputs!$G$5:$G$180="moeda")+(Inputs!$G$5:$G$180="acoes"))*Inputs!$B$1+((Inputs!$G$5:$G$180&lt;&gt;"moeda")*(Inputs!$G$5:$G$180&lt;&gt;"acoes")))*INDEX(Inputs!$K$5:$AJ$180,0,MATCH(AC$2,Inputs!$K$4:$AJ$4,0)))))</f>
        <v>4651.632</v>
      </c>
      <c r="AD43" s="6">
        <f>IF(ISNA(MATCH(AD$2,Inputs!$K$4:$AJ$4,0)),NA(),IF(SUMPRODUCT((Inputs!$A$5:$A$180=$B43)*ISNUMBER(INDEX(Inputs!$K$5:$AJ$180,0,MATCH(AD$2,Inputs!$K$4:$AJ$4,0))))+SUMPRODUCT((Inputs!$C$5:$C$180=$B43)*ISNUMBER(INDEX(Inputs!$K$5:$AJ$180,0,MATCH(AD$2,Inputs!$K$4:$AJ$4,0))))+SUMPRODUCT((Inputs!$E$5:$E$180=$B43)*ISNUMBER(INDEX(Inputs!$K$5:$AJ$180,0,MATCH(AD$2,Inputs!$K$4:$AJ$4,0))))=0,NA(),SUMPRODUCT((Inputs!$A$5:$A$180=$B43)*Inputs!$B$5:$B$180*(((Inputs!$G$5:$G$180="moeda")+(Inputs!$G$5:$G$180="acoes"))*Inputs!$B$1+((Inputs!$G$5:$G$180&lt;&gt;"moeda")*(Inputs!$G$5:$G$180&lt;&gt;"acoes")))*INDEX(Inputs!$K$5:$AJ$180,0,MATCH(AD$2,Inputs!$K$4:$AJ$4,0)))+SUMPRODUCT((Inputs!$C$5:$C$180=$B43)*Inputs!$D$5:$D$180*(((Inputs!$G$5:$G$180="moeda")+(Inputs!$G$5:$G$180="acoes"))*Inputs!$B$1+((Inputs!$G$5:$G$180&lt;&gt;"moeda")*(Inputs!$G$5:$G$180&lt;&gt;"acoes")))*INDEX(Inputs!$K$5:$AJ$180,0,MATCH(AD$2,Inputs!$K$4:$AJ$4,0)))+SUMPRODUCT((Inputs!$E$5:$E$180=$B43)*Inputs!$F$5:$F$180*(((Inputs!$G$5:$G$180="moeda")+(Inputs!$G$5:$G$180="acoes"))*Inputs!$B$1+((Inputs!$G$5:$G$180&lt;&gt;"moeda")*(Inputs!$G$5:$G$180&lt;&gt;"acoes")))*INDEX(Inputs!$K$5:$AJ$180,0,MATCH(AD$2,Inputs!$K$4:$AJ$4,0)))))</f>
        <v>4664.728</v>
      </c>
      <c r="AE43" s="6" t="e">
        <f>IF(ISNA(MATCH(AE$2,Inputs!$K$4:$AJ$4,0)),NA(),IF(SUMPRODUCT((Inputs!$A$5:$A$180=$B43)*ISNUMBER(INDEX(Inputs!$K$5:$AJ$180,0,MATCH(AE$2,Inputs!$K$4:$AJ$4,0))))+SUMPRODUCT((Inputs!$C$5:$C$180=$B43)*ISNUMBER(INDEX(Inputs!$K$5:$AJ$180,0,MATCH(AE$2,Inputs!$K$4:$AJ$4,0))))+SUMPRODUCT((Inputs!$E$5:$E$180=$B43)*ISNUMBER(INDEX(Inputs!$K$5:$AJ$180,0,MATCH(AE$2,Inputs!$K$4:$AJ$4,0))))=0,NA(),SUMPRODUCT((Inputs!$A$5:$A$180=$B43)*Inputs!$B$5:$B$180*(((Inputs!$G$5:$G$180="moeda")+(Inputs!$G$5:$G$180="acoes"))*Inputs!$B$1+((Inputs!$G$5:$G$180&lt;&gt;"moeda")*(Inputs!$G$5:$G$180&lt;&gt;"acoes")))*INDEX(Inputs!$K$5:$AJ$180,0,MATCH(AE$2,Inputs!$K$4:$AJ$4,0)))+SUMPRODUCT((Inputs!$C$5:$C$180=$B43)*Inputs!$D$5:$D$180*(((Inputs!$G$5:$G$180="moeda")+(Inputs!$G$5:$G$180="acoes"))*Inputs!$B$1+((Inputs!$G$5:$G$180&lt;&gt;"moeda")*(Inputs!$G$5:$G$180&lt;&gt;"acoes")))*INDEX(Inputs!$K$5:$AJ$180,0,MATCH(AE$2,Inputs!$K$4:$AJ$4,0)))+SUMPRODUCT((Inputs!$E$5:$E$180=$B43)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3" s="6" t="e">
        <f>IF(ISNA(MATCH(AF$2,Inputs!$K$4:$AJ$4,0)),NA(),IF(SUMPRODUCT((Inputs!$A$5:$A$180=$B43)*ISNUMBER(INDEX(Inputs!$K$5:$AJ$180,0,MATCH(AF$2,Inputs!$K$4:$AJ$4,0))))+SUMPRODUCT((Inputs!$C$5:$C$180=$B43)*ISNUMBER(INDEX(Inputs!$K$5:$AJ$180,0,MATCH(AF$2,Inputs!$K$4:$AJ$4,0))))+SUMPRODUCT((Inputs!$E$5:$E$180=$B43)*ISNUMBER(INDEX(Inputs!$K$5:$AJ$180,0,MATCH(AF$2,Inputs!$K$4:$AJ$4,0))))=0,NA(),SUMPRODUCT((Inputs!$A$5:$A$180=$B43)*Inputs!$B$5:$B$180*(((Inputs!$G$5:$G$180="moeda")+(Inputs!$G$5:$G$180="acoes"))*Inputs!$B$1+((Inputs!$G$5:$G$180&lt;&gt;"moeda")*(Inputs!$G$5:$G$180&lt;&gt;"acoes")))*INDEX(Inputs!$K$5:$AJ$180,0,MATCH(AF$2,Inputs!$K$4:$AJ$4,0)))+SUMPRODUCT((Inputs!$C$5:$C$180=$B43)*Inputs!$D$5:$D$180*(((Inputs!$G$5:$G$180="moeda")+(Inputs!$G$5:$G$180="acoes"))*Inputs!$B$1+((Inputs!$G$5:$G$180&lt;&gt;"moeda")*(Inputs!$G$5:$G$180&lt;&gt;"acoes")))*INDEX(Inputs!$K$5:$AJ$180,0,MATCH(AF$2,Inputs!$K$4:$AJ$4,0)))+SUMPRODUCT((Inputs!$E$5:$E$180=$B43)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3" s="3" t="e">
        <f>AF43</f>
        <v>#N/A</v>
      </c>
      <c r="AH43" s="6">
        <f>IF(ISNA(MATCH(AH$2,Inputs!$K$4:$AJ$4,0)),NA(),IF(SUMPRODUCT((Inputs!$A$5:$A$180=$B43)*ISNUMBER(INDEX(Inputs!$K$5:$AJ$180,0,MATCH(AH$2,Inputs!$K$4:$AJ$4,0))))+SUMPRODUCT((Inputs!$C$5:$C$180=$B43)*ISNUMBER(INDEX(Inputs!$K$5:$AJ$180,0,MATCH(AH$2,Inputs!$K$4:$AJ$4,0))))+SUMPRODUCT((Inputs!$E$5:$E$180=$B43)*ISNUMBER(INDEX(Inputs!$K$5:$AJ$180,0,MATCH(AH$2,Inputs!$K$4:$AJ$4,0))))=0,NA(),SUMPRODUCT((Inputs!$A$5:$A$180=$B43)*Inputs!$B$5:$B$180*(((Inputs!$G$5:$G$180="moeda")+(Inputs!$G$5:$G$180="acoes"))*Inputs!$B$1+((Inputs!$G$5:$G$180&lt;&gt;"moeda")*(Inputs!$G$5:$G$180&lt;&gt;"acoes")))*INDEX(Inputs!$K$5:$AJ$180,0,MATCH(AH$2,Inputs!$K$4:$AJ$4,0)))+SUMPRODUCT((Inputs!$C$5:$C$180=$B43)*Inputs!$D$5:$D$180*(((Inputs!$G$5:$G$180="moeda")+(Inputs!$G$5:$G$180="acoes"))*Inputs!$B$1+((Inputs!$G$5:$G$180&lt;&gt;"moeda")*(Inputs!$G$5:$G$180&lt;&gt;"acoes")))*INDEX(Inputs!$K$5:$AJ$180,0,MATCH(AH$2,Inputs!$K$4:$AJ$4,0)))+SUMPRODUCT((Inputs!$E$5:$E$180=$B43)*Inputs!$F$5:$F$180*(((Inputs!$G$5:$G$180="moeda")+(Inputs!$G$5:$G$180="acoes"))*Inputs!$B$1+((Inputs!$G$5:$G$180&lt;&gt;"moeda")*(Inputs!$G$5:$G$180&lt;&gt;"acoes")))*INDEX(Inputs!$K$5:$AJ$180,0,MATCH(AH$2,Inputs!$K$4:$AJ$4,0)))))</f>
        <v>1461.10739523</v>
      </c>
      <c r="AI43" s="6">
        <f>IF(ISNA(MATCH(AI$2,Inputs!$K$4:$AJ$4,0)),NA(),IF(SUMPRODUCT((Inputs!$A$5:$A$180=$B43)*ISNUMBER(INDEX(Inputs!$K$5:$AJ$180,0,MATCH(AI$2,Inputs!$K$4:$AJ$4,0))))+SUMPRODUCT((Inputs!$C$5:$C$180=$B43)*ISNUMBER(INDEX(Inputs!$K$5:$AJ$180,0,MATCH(AI$2,Inputs!$K$4:$AJ$4,0))))+SUMPRODUCT((Inputs!$E$5:$E$180=$B43)*ISNUMBER(INDEX(Inputs!$K$5:$AJ$180,0,MATCH(AI$2,Inputs!$K$4:$AJ$4,0))))=0,NA(),SUMPRODUCT((Inputs!$A$5:$A$180=$B43)*Inputs!$B$5:$B$180*(((Inputs!$G$5:$G$180="moeda")+(Inputs!$G$5:$G$180="acoes"))*Inputs!$B$1+((Inputs!$G$5:$G$180&lt;&gt;"moeda")*(Inputs!$G$5:$G$180&lt;&gt;"acoes")))*INDEX(Inputs!$K$5:$AJ$180,0,MATCH(AI$2,Inputs!$K$4:$AJ$4,0)))+SUMPRODUCT((Inputs!$C$5:$C$180=$B43)*Inputs!$D$5:$D$180*(((Inputs!$G$5:$G$180="moeda")+(Inputs!$G$5:$G$180="acoes"))*Inputs!$B$1+((Inputs!$G$5:$G$180&lt;&gt;"moeda")*(Inputs!$G$5:$G$180&lt;&gt;"acoes")))*INDEX(Inputs!$K$5:$AJ$180,0,MATCH(AI$2,Inputs!$K$4:$AJ$4,0)))+SUMPRODUCT((Inputs!$E$5:$E$180=$B43)*Inputs!$F$5:$F$180*(((Inputs!$G$5:$G$180="moeda")+(Inputs!$G$5:$G$180="acoes"))*Inputs!$B$1+((Inputs!$G$5:$G$180&lt;&gt;"moeda")*(Inputs!$G$5:$G$180&lt;&gt;"acoes")))*INDEX(Inputs!$K$5:$AJ$180,0,MATCH(AI$2,Inputs!$K$4:$AJ$4,0)))))</f>
        <v>1461.16167668</v>
      </c>
      <c r="AJ43" s="6">
        <f>IF(ISNA(MATCH(AJ$2,Inputs!$K$4:$AJ$4,0)),NA(),IF(SUMPRODUCT((Inputs!$A$5:$A$180=$B43)*ISNUMBER(INDEX(Inputs!$K$5:$AJ$180,0,MATCH(AJ$2,Inputs!$K$4:$AJ$4,0))))+SUMPRODUCT((Inputs!$C$5:$C$180=$B43)*ISNUMBER(INDEX(Inputs!$K$5:$AJ$180,0,MATCH(AJ$2,Inputs!$K$4:$AJ$4,0))))+SUMPRODUCT((Inputs!$E$5:$E$180=$B43)*ISNUMBER(INDEX(Inputs!$K$5:$AJ$180,0,MATCH(AJ$2,Inputs!$K$4:$AJ$4,0))))=0,NA(),SUMPRODUCT((Inputs!$A$5:$A$180=$B43)*Inputs!$B$5:$B$180*(((Inputs!$G$5:$G$180="moeda")+(Inputs!$G$5:$G$180="acoes"))*Inputs!$B$1+((Inputs!$G$5:$G$180&lt;&gt;"moeda")*(Inputs!$G$5:$G$180&lt;&gt;"acoes")))*INDEX(Inputs!$K$5:$AJ$180,0,MATCH(AJ$2,Inputs!$K$4:$AJ$4,0)))+SUMPRODUCT((Inputs!$C$5:$C$180=$B43)*Inputs!$D$5:$D$180*(((Inputs!$G$5:$G$180="moeda")+(Inputs!$G$5:$G$180="acoes"))*Inputs!$B$1+((Inputs!$G$5:$G$180&lt;&gt;"moeda")*(Inputs!$G$5:$G$180&lt;&gt;"acoes")))*INDEX(Inputs!$K$5:$AJ$180,0,MATCH(AJ$2,Inputs!$K$4:$AJ$4,0)))+SUMPRODUCT((Inputs!$E$5:$E$180=$B43)*Inputs!$F$5:$F$180*(((Inputs!$G$5:$G$180="moeda")+(Inputs!$G$5:$G$180="acoes"))*Inputs!$B$1+((Inputs!$G$5:$G$180&lt;&gt;"moeda")*(Inputs!$G$5:$G$180&lt;&gt;"acoes")))*INDEX(Inputs!$K$5:$AJ$180,0,MATCH(AJ$2,Inputs!$K$4:$AJ$4,0)))))</f>
        <v>1467.18436703</v>
      </c>
      <c r="AK43" s="6">
        <f>IF(ISNA(MATCH(AK$2,Inputs!$K$4:$AJ$4,0)),NA(),IF(SUMPRODUCT((Inputs!$A$5:$A$180=$B43)*ISNUMBER(INDEX(Inputs!$K$5:$AJ$180,0,MATCH(AK$2,Inputs!$K$4:$AJ$4,0))))+SUMPRODUCT((Inputs!$C$5:$C$180=$B43)*ISNUMBER(INDEX(Inputs!$K$5:$AJ$180,0,MATCH(AK$2,Inputs!$K$4:$AJ$4,0))))+SUMPRODUCT((Inputs!$E$5:$E$180=$B43)*ISNUMBER(INDEX(Inputs!$K$5:$AJ$180,0,MATCH(AK$2,Inputs!$K$4:$AJ$4,0))))=0,NA(),SUMPRODUCT((Inputs!$A$5:$A$180=$B43)*Inputs!$B$5:$B$180*(((Inputs!$G$5:$G$180="moeda")+(Inputs!$G$5:$G$180="acoes"))*Inputs!$B$1+((Inputs!$G$5:$G$180&lt;&gt;"moeda")*(Inputs!$G$5:$G$180&lt;&gt;"acoes")))*INDEX(Inputs!$K$5:$AJ$180,0,MATCH(AK$2,Inputs!$K$4:$AJ$4,0)))+SUMPRODUCT((Inputs!$C$5:$C$180=$B43)*Inputs!$D$5:$D$180*(((Inputs!$G$5:$G$180="moeda")+(Inputs!$G$5:$G$180="acoes"))*Inputs!$B$1+((Inputs!$G$5:$G$180&lt;&gt;"moeda")*(Inputs!$G$5:$G$180&lt;&gt;"acoes")))*INDEX(Inputs!$K$5:$AJ$180,0,MATCH(AK$2,Inputs!$K$4:$AJ$4,0)))+SUMPRODUCT((Inputs!$E$5:$E$180=$B43)*Inputs!$F$5:$F$180*(((Inputs!$G$5:$G$180="moeda")+(Inputs!$G$5:$G$180="acoes"))*Inputs!$B$1+((Inputs!$G$5:$G$180&lt;&gt;"moeda")*(Inputs!$G$5:$G$180&lt;&gt;"acoes")))*INDEX(Inputs!$K$5:$AJ$180,0,MATCH(AK$2,Inputs!$K$4:$AJ$4,0)))))</f>
        <v>1468.15627256</v>
      </c>
      <c r="AL43" s="3">
        <f>AK43</f>
        <v>1468.15627256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$180=$B44)*ISNUMBER(INDEX(Inputs!$K$5:$AJ$180,0,MATCH(D$2,Inputs!$K$4:$AJ$4,0))))+SUMPRODUCT((Inputs!$C$5:$C$180=$B44)*ISNUMBER(INDEX(Inputs!$K$5:$AJ$180,0,MATCH(D$2,Inputs!$K$4:$AJ$4,0))))+SUMPRODUCT((Inputs!$E$5:$E$180=$B44)*ISNUMBER(INDEX(Inputs!$K$5:$AJ$180,0,MATCH(D$2,Inputs!$K$4:$AJ$4,0))))=0,NA(),SUMPRODUCT((Inputs!$A$5:$A$180=$B44)*Inputs!$B$5:$B$180*(((Inputs!$G$5:$G$180="moeda")+(Inputs!$G$5:$G$180="acoes"))*Inputs!$B$1+((Inputs!$G$5:$G$180&lt;&gt;"moeda")*(Inputs!$G$5:$G$180&lt;&gt;"acoes")))*INDEX(Inputs!$K$5:$AJ$180,0,MATCH(D$2,Inputs!$K$4:$AJ$4,0)))+SUMPRODUCT((Inputs!$C$5:$C$180=$B44)*Inputs!$D$5:$D$180*(((Inputs!$G$5:$G$180="moeda")+(Inputs!$G$5:$G$180="acoes"))*Inputs!$B$1+((Inputs!$G$5:$G$180&lt;&gt;"moeda")*(Inputs!$G$5:$G$180&lt;&gt;"acoes")))*INDEX(Inputs!$K$5:$AJ$180,0,MATCH(D$2,Inputs!$K$4:$AJ$4,0)))+SUMPRODUCT((Inputs!$E$5:$E$180=$B44)*Inputs!$F$5:$F$180*(((Inputs!$G$5:$G$180="moeda")+(Inputs!$G$5:$G$180="acoes"))*Inputs!$B$1+((Inputs!$G$5:$G$180&lt;&gt;"moeda")*(Inputs!$G$5:$G$180&lt;&gt;"acoes")))*INDEX(Inputs!$K$5:$AJ$180,0,MATCH(D$2,Inputs!$K$4:$AJ$4,0)))))</f>
        <v>-23.0143155</v>
      </c>
      <c r="E44" s="6">
        <f>IF(ISNA(MATCH(E$2,Inputs!$K$4:$AJ$4,0)),NA(),IF(SUMPRODUCT((Inputs!$A$5:$A$180=$B44)*ISNUMBER(INDEX(Inputs!$K$5:$AJ$180,0,MATCH(E$2,Inputs!$K$4:$AJ$4,0))))+SUMPRODUCT((Inputs!$C$5:$C$180=$B44)*ISNUMBER(INDEX(Inputs!$K$5:$AJ$180,0,MATCH(E$2,Inputs!$K$4:$AJ$4,0))))+SUMPRODUCT((Inputs!$E$5:$E$180=$B44)*ISNUMBER(INDEX(Inputs!$K$5:$AJ$180,0,MATCH(E$2,Inputs!$K$4:$AJ$4,0))))=0,NA(),SUMPRODUCT((Inputs!$A$5:$A$180=$B44)*Inputs!$B$5:$B$180*(((Inputs!$G$5:$G$180="moeda")+(Inputs!$G$5:$G$180="acoes"))*Inputs!$B$1+((Inputs!$G$5:$G$180&lt;&gt;"moeda")*(Inputs!$G$5:$G$180&lt;&gt;"acoes")))*INDEX(Inputs!$K$5:$AJ$180,0,MATCH(E$2,Inputs!$K$4:$AJ$4,0)))+SUMPRODUCT((Inputs!$C$5:$C$180=$B44)*Inputs!$D$5:$D$180*(((Inputs!$G$5:$G$180="moeda")+(Inputs!$G$5:$G$180="acoes"))*Inputs!$B$1+((Inputs!$G$5:$G$180&lt;&gt;"moeda")*(Inputs!$G$5:$G$180&lt;&gt;"acoes")))*INDEX(Inputs!$K$5:$AJ$180,0,MATCH(E$2,Inputs!$K$4:$AJ$4,0)))+SUMPRODUCT((Inputs!$E$5:$E$180=$B44)*Inputs!$F$5:$F$180*(((Inputs!$G$5:$G$180="moeda")+(Inputs!$G$5:$G$180="acoes"))*Inputs!$B$1+((Inputs!$G$5:$G$180&lt;&gt;"moeda")*(Inputs!$G$5:$G$180&lt;&gt;"acoes")))*INDEX(Inputs!$K$5:$AJ$180,0,MATCH(E$2,Inputs!$K$4:$AJ$4,0)))))</f>
        <v>-24.83640528</v>
      </c>
      <c r="F44" s="6">
        <f>IF(ISNA(MATCH(F$2,Inputs!$K$4:$AJ$4,0)),NA(),IF(SUMPRODUCT((Inputs!$A$5:$A$180=$B44)*ISNUMBER(INDEX(Inputs!$K$5:$AJ$180,0,MATCH(F$2,Inputs!$K$4:$AJ$4,0))))+SUMPRODUCT((Inputs!$C$5:$C$180=$B44)*ISNUMBER(INDEX(Inputs!$K$5:$AJ$180,0,MATCH(F$2,Inputs!$K$4:$AJ$4,0))))+SUMPRODUCT((Inputs!$E$5:$E$180=$B44)*ISNUMBER(INDEX(Inputs!$K$5:$AJ$180,0,MATCH(F$2,Inputs!$K$4:$AJ$4,0))))=0,NA(),SUMPRODUCT((Inputs!$A$5:$A$180=$B44)*Inputs!$B$5:$B$180*(((Inputs!$G$5:$G$180="moeda")+(Inputs!$G$5:$G$180="acoes"))*Inputs!$B$1+((Inputs!$G$5:$G$180&lt;&gt;"moeda")*(Inputs!$G$5:$G$180&lt;&gt;"acoes")))*INDEX(Inputs!$K$5:$AJ$180,0,MATCH(F$2,Inputs!$K$4:$AJ$4,0)))+SUMPRODUCT((Inputs!$C$5:$C$180=$B44)*Inputs!$D$5:$D$180*(((Inputs!$G$5:$G$180="moeda")+(Inputs!$G$5:$G$180="acoes"))*Inputs!$B$1+((Inputs!$G$5:$G$180&lt;&gt;"moeda")*(Inputs!$G$5:$G$180&lt;&gt;"acoes")))*INDEX(Inputs!$K$5:$AJ$180,0,MATCH(F$2,Inputs!$K$4:$AJ$4,0)))+SUMPRODUCT((Inputs!$E$5:$E$180=$B44)*Inputs!$F$5:$F$180*(((Inputs!$G$5:$G$180="moeda")+(Inputs!$G$5:$G$180="acoes"))*Inputs!$B$1+((Inputs!$G$5:$G$180&lt;&gt;"moeda")*(Inputs!$G$5:$G$180&lt;&gt;"acoes")))*INDEX(Inputs!$K$5:$AJ$180,0,MATCH(F$2,Inputs!$K$4:$AJ$4,0)))))</f>
        <v>-24.83640528</v>
      </c>
      <c r="G44" s="6">
        <f>IF(ISNA(MATCH(G$2,Inputs!$K$4:$AJ$4,0)),NA(),IF(SUMPRODUCT((Inputs!$A$5:$A$180=$B44)*ISNUMBER(INDEX(Inputs!$K$5:$AJ$180,0,MATCH(G$2,Inputs!$K$4:$AJ$4,0))))+SUMPRODUCT((Inputs!$C$5:$C$180=$B44)*ISNUMBER(INDEX(Inputs!$K$5:$AJ$180,0,MATCH(G$2,Inputs!$K$4:$AJ$4,0))))+SUMPRODUCT((Inputs!$E$5:$E$180=$B44)*ISNUMBER(INDEX(Inputs!$K$5:$AJ$180,0,MATCH(G$2,Inputs!$K$4:$AJ$4,0))))=0,NA(),SUMPRODUCT((Inputs!$A$5:$A$180=$B44)*Inputs!$B$5:$B$180*(((Inputs!$G$5:$G$180="moeda")+(Inputs!$G$5:$G$180="acoes"))*Inputs!$B$1+((Inputs!$G$5:$G$180&lt;&gt;"moeda")*(Inputs!$G$5:$G$180&lt;&gt;"acoes")))*INDEX(Inputs!$K$5:$AJ$180,0,MATCH(G$2,Inputs!$K$4:$AJ$4,0)))+SUMPRODUCT((Inputs!$C$5:$C$180=$B44)*Inputs!$D$5:$D$180*(((Inputs!$G$5:$G$180="moeda")+(Inputs!$G$5:$G$180="acoes"))*Inputs!$B$1+((Inputs!$G$5:$G$180&lt;&gt;"moeda")*(Inputs!$G$5:$G$180&lt;&gt;"acoes")))*INDEX(Inputs!$K$5:$AJ$180,0,MATCH(G$2,Inputs!$K$4:$AJ$4,0)))+SUMPRODUCT((Inputs!$E$5:$E$180=$B44)*Inputs!$F$5:$F$180*(((Inputs!$G$5:$G$180="moeda")+(Inputs!$G$5:$G$180="acoes"))*Inputs!$B$1+((Inputs!$G$5:$G$180&lt;&gt;"moeda")*(Inputs!$G$5:$G$180&lt;&gt;"acoes")))*INDEX(Inputs!$K$5:$AJ$180,0,MATCH(G$2,Inputs!$K$4:$AJ$4,0)))))</f>
        <v>-24.83640528</v>
      </c>
      <c r="H44" s="3">
        <f>G44</f>
        <v>-24.83640528</v>
      </c>
      <c r="I44" s="6">
        <f>IF(ISNA(MATCH(I$2,Inputs!$K$4:$AJ$4,0)),NA(),IF(SUMPRODUCT((Inputs!$A$5:$A$180=$B44)*ISNUMBER(INDEX(Inputs!$K$5:$AJ$180,0,MATCH(I$2,Inputs!$K$4:$AJ$4,0))))+SUMPRODUCT((Inputs!$C$5:$C$180=$B44)*ISNUMBER(INDEX(Inputs!$K$5:$AJ$180,0,MATCH(I$2,Inputs!$K$4:$AJ$4,0))))+SUMPRODUCT((Inputs!$E$5:$E$180=$B44)*ISNUMBER(INDEX(Inputs!$K$5:$AJ$180,0,MATCH(I$2,Inputs!$K$4:$AJ$4,0))))=0,NA(),SUMPRODUCT((Inputs!$A$5:$A$180=$B44)*Inputs!$B$5:$B$180*(((Inputs!$G$5:$G$180="moeda")+(Inputs!$G$5:$G$180="acoes"))*Inputs!$B$1+((Inputs!$G$5:$G$180&lt;&gt;"moeda")*(Inputs!$G$5:$G$180&lt;&gt;"acoes")))*INDEX(Inputs!$K$5:$AJ$180,0,MATCH(I$2,Inputs!$K$4:$AJ$4,0)))+SUMPRODUCT((Inputs!$C$5:$C$180=$B44)*Inputs!$D$5:$D$180*(((Inputs!$G$5:$G$180="moeda")+(Inputs!$G$5:$G$180="acoes"))*Inputs!$B$1+((Inputs!$G$5:$G$180&lt;&gt;"moeda")*(Inputs!$G$5:$G$180&lt;&gt;"acoes")))*INDEX(Inputs!$K$5:$AJ$180,0,MATCH(I$2,Inputs!$K$4:$AJ$4,0)))+SUMPRODUCT((Inputs!$E$5:$E$180=$B44)*Inputs!$F$5:$F$180*(((Inputs!$G$5:$G$180="moeda")+(Inputs!$G$5:$G$180="acoes"))*Inputs!$B$1+((Inputs!$G$5:$G$180&lt;&gt;"moeda")*(Inputs!$G$5:$G$180&lt;&gt;"acoes")))*INDEX(Inputs!$K$5:$AJ$180,0,MATCH(I$2,Inputs!$K$4:$AJ$4,0)))))</f>
        <v>-22.89021678</v>
      </c>
      <c r="J44" s="6">
        <f>IF(ISNA(MATCH(J$2,Inputs!$K$4:$AJ$4,0)),NA(),IF(SUMPRODUCT((Inputs!$A$5:$A$180=$B44)*ISNUMBER(INDEX(Inputs!$K$5:$AJ$180,0,MATCH(J$2,Inputs!$K$4:$AJ$4,0))))+SUMPRODUCT((Inputs!$C$5:$C$180=$B44)*ISNUMBER(INDEX(Inputs!$K$5:$AJ$180,0,MATCH(J$2,Inputs!$K$4:$AJ$4,0))))+SUMPRODUCT((Inputs!$E$5:$E$180=$B44)*ISNUMBER(INDEX(Inputs!$K$5:$AJ$180,0,MATCH(J$2,Inputs!$K$4:$AJ$4,0))))=0,NA(),SUMPRODUCT((Inputs!$A$5:$A$180=$B44)*Inputs!$B$5:$B$180*(((Inputs!$G$5:$G$180="moeda")+(Inputs!$G$5:$G$180="acoes"))*Inputs!$B$1+((Inputs!$G$5:$G$180&lt;&gt;"moeda")*(Inputs!$G$5:$G$180&lt;&gt;"acoes")))*INDEX(Inputs!$K$5:$AJ$180,0,MATCH(J$2,Inputs!$K$4:$AJ$4,0)))+SUMPRODUCT((Inputs!$C$5:$C$180=$B44)*Inputs!$D$5:$D$180*(((Inputs!$G$5:$G$180="moeda")+(Inputs!$G$5:$G$180="acoes"))*Inputs!$B$1+((Inputs!$G$5:$G$180&lt;&gt;"moeda")*(Inputs!$G$5:$G$180&lt;&gt;"acoes")))*INDEX(Inputs!$K$5:$AJ$180,0,MATCH(J$2,Inputs!$K$4:$AJ$4,0)))+SUMPRODUCT((Inputs!$E$5:$E$180=$B44)*Inputs!$F$5:$F$180*(((Inputs!$G$5:$G$180="moeda")+(Inputs!$G$5:$G$180="acoes"))*Inputs!$B$1+((Inputs!$G$5:$G$180&lt;&gt;"moeda")*(Inputs!$G$5:$G$180&lt;&gt;"acoes")))*INDEX(Inputs!$K$5:$AJ$180,0,MATCH(J$2,Inputs!$K$4:$AJ$4,0)))))</f>
        <v>-27.2412731</v>
      </c>
      <c r="K44" s="6">
        <f>IF(ISNA(MATCH(K$2,Inputs!$K$4:$AJ$4,0)),NA(),IF(SUMPRODUCT((Inputs!$A$5:$A$180=$B44)*ISNUMBER(INDEX(Inputs!$K$5:$AJ$180,0,MATCH(K$2,Inputs!$K$4:$AJ$4,0))))+SUMPRODUCT((Inputs!$C$5:$C$180=$B44)*ISNUMBER(INDEX(Inputs!$K$5:$AJ$180,0,MATCH(K$2,Inputs!$K$4:$AJ$4,0))))+SUMPRODUCT((Inputs!$E$5:$E$180=$B44)*ISNUMBER(INDEX(Inputs!$K$5:$AJ$180,0,MATCH(K$2,Inputs!$K$4:$AJ$4,0))))=0,NA(),SUMPRODUCT((Inputs!$A$5:$A$180=$B44)*Inputs!$B$5:$B$180*(((Inputs!$G$5:$G$180="moeda")+(Inputs!$G$5:$G$180="acoes"))*Inputs!$B$1+((Inputs!$G$5:$G$180&lt;&gt;"moeda")*(Inputs!$G$5:$G$180&lt;&gt;"acoes")))*INDEX(Inputs!$K$5:$AJ$180,0,MATCH(K$2,Inputs!$K$4:$AJ$4,0)))+SUMPRODUCT((Inputs!$C$5:$C$180=$B44)*Inputs!$D$5:$D$180*(((Inputs!$G$5:$G$180="moeda")+(Inputs!$G$5:$G$180="acoes"))*Inputs!$B$1+((Inputs!$G$5:$G$180&lt;&gt;"moeda")*(Inputs!$G$5:$G$180&lt;&gt;"acoes")))*INDEX(Inputs!$K$5:$AJ$180,0,MATCH(K$2,Inputs!$K$4:$AJ$4,0)))+SUMPRODUCT((Inputs!$E$5:$E$180=$B44)*Inputs!$F$5:$F$180*(((Inputs!$G$5:$G$180="moeda")+(Inputs!$G$5:$G$180="acoes"))*Inputs!$B$1+((Inputs!$G$5:$G$180&lt;&gt;"moeda")*(Inputs!$G$5:$G$180&lt;&gt;"acoes")))*INDEX(Inputs!$K$5:$AJ$180,0,MATCH(K$2,Inputs!$K$4:$AJ$4,0)))))</f>
        <v>-19.97143105</v>
      </c>
      <c r="L44" s="6">
        <f>IF(ISNA(MATCH(L$2,Inputs!$K$4:$AJ$4,0)),NA(),IF(SUMPRODUCT((Inputs!$A$5:$A$180=$B44)*ISNUMBER(INDEX(Inputs!$K$5:$AJ$180,0,MATCH(L$2,Inputs!$K$4:$AJ$4,0))))+SUMPRODUCT((Inputs!$C$5:$C$180=$B44)*ISNUMBER(INDEX(Inputs!$K$5:$AJ$180,0,MATCH(L$2,Inputs!$K$4:$AJ$4,0))))+SUMPRODUCT((Inputs!$E$5:$E$180=$B44)*ISNUMBER(INDEX(Inputs!$K$5:$AJ$180,0,MATCH(L$2,Inputs!$K$4:$AJ$4,0))))=0,NA(),SUMPRODUCT((Inputs!$A$5:$A$180=$B44)*Inputs!$B$5:$B$180*(((Inputs!$G$5:$G$180="moeda")+(Inputs!$G$5:$G$180="acoes"))*Inputs!$B$1+((Inputs!$G$5:$G$180&lt;&gt;"moeda")*(Inputs!$G$5:$G$180&lt;&gt;"acoes")))*INDEX(Inputs!$K$5:$AJ$180,0,MATCH(L$2,Inputs!$K$4:$AJ$4,0)))+SUMPRODUCT((Inputs!$C$5:$C$180=$B44)*Inputs!$D$5:$D$180*(((Inputs!$G$5:$G$180="moeda")+(Inputs!$G$5:$G$180="acoes"))*Inputs!$B$1+((Inputs!$G$5:$G$180&lt;&gt;"moeda")*(Inputs!$G$5:$G$180&lt;&gt;"acoes")))*INDEX(Inputs!$K$5:$AJ$180,0,MATCH(L$2,Inputs!$K$4:$AJ$4,0)))+SUMPRODUCT((Inputs!$E$5:$E$180=$B44)*Inputs!$F$5:$F$180*(((Inputs!$G$5:$G$180="moeda")+(Inputs!$G$5:$G$180="acoes"))*Inputs!$B$1+((Inputs!$G$5:$G$180&lt;&gt;"moeda")*(Inputs!$G$5:$G$180&lt;&gt;"acoes")))*INDEX(Inputs!$K$5:$AJ$180,0,MATCH(L$2,Inputs!$K$4:$AJ$4,0)))))</f>
        <v>-19.97143105</v>
      </c>
      <c r="M44" s="3">
        <f>L44</f>
        <v>-19.97143105</v>
      </c>
      <c r="N44" s="6">
        <f>IF(ISNA(MATCH(N$2,Inputs!$K$4:$AJ$4,0)),NA(),IF(SUMPRODUCT((Inputs!$A$5:$A$180=$B44)*ISNUMBER(INDEX(Inputs!$K$5:$AJ$180,0,MATCH(N$2,Inputs!$K$4:$AJ$4,0))))+SUMPRODUCT((Inputs!$C$5:$C$180=$B44)*ISNUMBER(INDEX(Inputs!$K$5:$AJ$180,0,MATCH(N$2,Inputs!$K$4:$AJ$4,0))))+SUMPRODUCT((Inputs!$E$5:$E$180=$B44)*ISNUMBER(INDEX(Inputs!$K$5:$AJ$180,0,MATCH(N$2,Inputs!$K$4:$AJ$4,0))))=0,NA(),SUMPRODUCT((Inputs!$A$5:$A$180=$B44)*Inputs!$B$5:$B$180*(((Inputs!$G$5:$G$180="moeda")+(Inputs!$G$5:$G$180="acoes"))*Inputs!$B$1+((Inputs!$G$5:$G$180&lt;&gt;"moeda")*(Inputs!$G$5:$G$180&lt;&gt;"acoes")))*INDEX(Inputs!$K$5:$AJ$180,0,MATCH(N$2,Inputs!$K$4:$AJ$4,0)))+SUMPRODUCT((Inputs!$C$5:$C$180=$B44)*Inputs!$D$5:$D$180*(((Inputs!$G$5:$G$180="moeda")+(Inputs!$G$5:$G$180="acoes"))*Inputs!$B$1+((Inputs!$G$5:$G$180&lt;&gt;"moeda")*(Inputs!$G$5:$G$180&lt;&gt;"acoes")))*INDEX(Inputs!$K$5:$AJ$180,0,MATCH(N$2,Inputs!$K$4:$AJ$4,0)))+SUMPRODUCT((Inputs!$E$5:$E$180=$B44)*Inputs!$F$5:$F$180*(((Inputs!$G$5:$G$180="moeda")+(Inputs!$G$5:$G$180="acoes"))*Inputs!$B$1+((Inputs!$G$5:$G$180&lt;&gt;"moeda")*(Inputs!$G$5:$G$180&lt;&gt;"acoes")))*INDEX(Inputs!$K$5:$AJ$180,0,MATCH(N$2,Inputs!$K$4:$AJ$4,0)))))</f>
        <v>-9.213137</v>
      </c>
      <c r="O44" s="6">
        <f>IF(ISNA(MATCH(O$2,Inputs!$K$4:$AJ$4,0)),NA(),IF(SUMPRODUCT((Inputs!$A$5:$A$180=$B44)*ISNUMBER(INDEX(Inputs!$K$5:$AJ$180,0,MATCH(O$2,Inputs!$K$4:$AJ$4,0))))+SUMPRODUCT((Inputs!$C$5:$C$180=$B44)*ISNUMBER(INDEX(Inputs!$K$5:$AJ$180,0,MATCH(O$2,Inputs!$K$4:$AJ$4,0))))+SUMPRODUCT((Inputs!$E$5:$E$180=$B44)*ISNUMBER(INDEX(Inputs!$K$5:$AJ$180,0,MATCH(O$2,Inputs!$K$4:$AJ$4,0))))=0,NA(),SUMPRODUCT((Inputs!$A$5:$A$180=$B44)*Inputs!$B$5:$B$180*(((Inputs!$G$5:$G$180="moeda")+(Inputs!$G$5:$G$180="acoes"))*Inputs!$B$1+((Inputs!$G$5:$G$180&lt;&gt;"moeda")*(Inputs!$G$5:$G$180&lt;&gt;"acoes")))*INDEX(Inputs!$K$5:$AJ$180,0,MATCH(O$2,Inputs!$K$4:$AJ$4,0)))+SUMPRODUCT((Inputs!$C$5:$C$180=$B44)*Inputs!$D$5:$D$180*(((Inputs!$G$5:$G$180="moeda")+(Inputs!$G$5:$G$180="acoes"))*Inputs!$B$1+((Inputs!$G$5:$G$180&lt;&gt;"moeda")*(Inputs!$G$5:$G$180&lt;&gt;"acoes")))*INDEX(Inputs!$K$5:$AJ$180,0,MATCH(O$2,Inputs!$K$4:$AJ$4,0)))+SUMPRODUCT((Inputs!$E$5:$E$180=$B44)*Inputs!$F$5:$F$180*(((Inputs!$G$5:$G$180="moeda")+(Inputs!$G$5:$G$180="acoes"))*Inputs!$B$1+((Inputs!$G$5:$G$180&lt;&gt;"moeda")*(Inputs!$G$5:$G$180&lt;&gt;"acoes")))*INDEX(Inputs!$K$5:$AJ$180,0,MATCH(O$2,Inputs!$K$4:$AJ$4,0)))))</f>
        <v>-9.213</v>
      </c>
      <c r="P44" s="6">
        <f>IF(ISNA(MATCH(P$2,Inputs!$K$4:$AJ$4,0)),NA(),IF(SUMPRODUCT((Inputs!$A$5:$A$180=$B44)*ISNUMBER(INDEX(Inputs!$K$5:$AJ$180,0,MATCH(P$2,Inputs!$K$4:$AJ$4,0))))+SUMPRODUCT((Inputs!$C$5:$C$180=$B44)*ISNUMBER(INDEX(Inputs!$K$5:$AJ$180,0,MATCH(P$2,Inputs!$K$4:$AJ$4,0))))+SUMPRODUCT((Inputs!$E$5:$E$180=$B44)*ISNUMBER(INDEX(Inputs!$K$5:$AJ$180,0,MATCH(P$2,Inputs!$K$4:$AJ$4,0))))=0,NA(),SUMPRODUCT((Inputs!$A$5:$A$180=$B44)*Inputs!$B$5:$B$180*(((Inputs!$G$5:$G$180="moeda")+(Inputs!$G$5:$G$180="acoes"))*Inputs!$B$1+((Inputs!$G$5:$G$180&lt;&gt;"moeda")*(Inputs!$G$5:$G$180&lt;&gt;"acoes")))*INDEX(Inputs!$K$5:$AJ$180,0,MATCH(P$2,Inputs!$K$4:$AJ$4,0)))+SUMPRODUCT((Inputs!$C$5:$C$180=$B44)*Inputs!$D$5:$D$180*(((Inputs!$G$5:$G$180="moeda")+(Inputs!$G$5:$G$180="acoes"))*Inputs!$B$1+((Inputs!$G$5:$G$180&lt;&gt;"moeda")*(Inputs!$G$5:$G$180&lt;&gt;"acoes")))*INDEX(Inputs!$K$5:$AJ$180,0,MATCH(P$2,Inputs!$K$4:$AJ$4,0)))+SUMPRODUCT((Inputs!$E$5:$E$180=$B44)*Inputs!$F$5:$F$180*(((Inputs!$G$5:$G$180="moeda")+(Inputs!$G$5:$G$180="acoes"))*Inputs!$B$1+((Inputs!$G$5:$G$180&lt;&gt;"moeda")*(Inputs!$G$5:$G$180&lt;&gt;"acoes")))*INDEX(Inputs!$K$5:$AJ$180,0,MATCH(P$2,Inputs!$K$4:$AJ$4,0)))))</f>
        <v>-9.213</v>
      </c>
      <c r="Q44" s="6">
        <f>IF(ISNA(MATCH(Q$2,Inputs!$K$4:$AJ$4,0)),NA(),IF(SUMPRODUCT((Inputs!$A$5:$A$180=$B44)*ISNUMBER(INDEX(Inputs!$K$5:$AJ$180,0,MATCH(Q$2,Inputs!$K$4:$AJ$4,0))))+SUMPRODUCT((Inputs!$C$5:$C$180=$B44)*ISNUMBER(INDEX(Inputs!$K$5:$AJ$180,0,MATCH(Q$2,Inputs!$K$4:$AJ$4,0))))+SUMPRODUCT((Inputs!$E$5:$E$180=$B44)*ISNUMBER(INDEX(Inputs!$K$5:$AJ$180,0,MATCH(Q$2,Inputs!$K$4:$AJ$4,0))))=0,NA(),SUMPRODUCT((Inputs!$A$5:$A$180=$B44)*Inputs!$B$5:$B$180*(((Inputs!$G$5:$G$180="moeda")+(Inputs!$G$5:$G$180="acoes"))*Inputs!$B$1+((Inputs!$G$5:$G$180&lt;&gt;"moeda")*(Inputs!$G$5:$G$180&lt;&gt;"acoes")))*INDEX(Inputs!$K$5:$AJ$180,0,MATCH(Q$2,Inputs!$K$4:$AJ$4,0)))+SUMPRODUCT((Inputs!$C$5:$C$180=$B44)*Inputs!$D$5:$D$180*(((Inputs!$G$5:$G$180="moeda")+(Inputs!$G$5:$G$180="acoes"))*Inputs!$B$1+((Inputs!$G$5:$G$180&lt;&gt;"moeda")*(Inputs!$G$5:$G$180&lt;&gt;"acoes")))*INDEX(Inputs!$K$5:$AJ$180,0,MATCH(Q$2,Inputs!$K$4:$AJ$4,0)))+SUMPRODUCT((Inputs!$E$5:$E$180=$B44)*Inputs!$F$5:$F$180*(((Inputs!$G$5:$G$180="moeda")+(Inputs!$G$5:$G$180="acoes"))*Inputs!$B$1+((Inputs!$G$5:$G$180&lt;&gt;"moeda")*(Inputs!$G$5:$G$180&lt;&gt;"acoes")))*INDEX(Inputs!$K$5:$AJ$180,0,MATCH(Q$2,Inputs!$K$4:$AJ$4,0)))))</f>
        <v>-39.462</v>
      </c>
      <c r="R44" s="3">
        <f>Q44</f>
        <v>-39.462</v>
      </c>
      <c r="S44" s="6">
        <f>IF(ISNA(MATCH(S$2,Inputs!$K$4:$AJ$4,0)),NA(),IF(SUMPRODUCT((Inputs!$A$5:$A$180=$B44)*ISNUMBER(INDEX(Inputs!$K$5:$AJ$180,0,MATCH(S$2,Inputs!$K$4:$AJ$4,0))))+SUMPRODUCT((Inputs!$C$5:$C$180=$B44)*ISNUMBER(INDEX(Inputs!$K$5:$AJ$180,0,MATCH(S$2,Inputs!$K$4:$AJ$4,0))))+SUMPRODUCT((Inputs!$E$5:$E$180=$B44)*ISNUMBER(INDEX(Inputs!$K$5:$AJ$180,0,MATCH(S$2,Inputs!$K$4:$AJ$4,0))))=0,NA(),SUMPRODUCT((Inputs!$A$5:$A$180=$B44)*Inputs!$B$5:$B$180*(((Inputs!$G$5:$G$180="moeda")+(Inputs!$G$5:$G$180="acoes"))*Inputs!$B$1+((Inputs!$G$5:$G$180&lt;&gt;"moeda")*(Inputs!$G$5:$G$180&lt;&gt;"acoes")))*INDEX(Inputs!$K$5:$AJ$180,0,MATCH(S$2,Inputs!$K$4:$AJ$4,0)))+SUMPRODUCT((Inputs!$C$5:$C$180=$B44)*Inputs!$D$5:$D$180*(((Inputs!$G$5:$G$180="moeda")+(Inputs!$G$5:$G$180="acoes"))*Inputs!$B$1+((Inputs!$G$5:$G$180&lt;&gt;"moeda")*(Inputs!$G$5:$G$180&lt;&gt;"acoes")))*INDEX(Inputs!$K$5:$AJ$180,0,MATCH(S$2,Inputs!$K$4:$AJ$4,0)))+SUMPRODUCT((Inputs!$E$5:$E$180=$B44)*Inputs!$F$5:$F$180*(((Inputs!$G$5:$G$180="moeda")+(Inputs!$G$5:$G$180="acoes"))*Inputs!$B$1+((Inputs!$G$5:$G$180&lt;&gt;"moeda")*(Inputs!$G$5:$G$180&lt;&gt;"acoes")))*INDEX(Inputs!$K$5:$AJ$180,0,MATCH(S$2,Inputs!$K$4:$AJ$4,0)))))</f>
        <v>-27.15</v>
      </c>
      <c r="T44" s="6">
        <f>IF(ISNA(MATCH(T$2,Inputs!$K$4:$AJ$4,0)),NA(),IF(SUMPRODUCT((Inputs!$A$5:$A$180=$B44)*ISNUMBER(INDEX(Inputs!$K$5:$AJ$180,0,MATCH(T$2,Inputs!$K$4:$AJ$4,0))))+SUMPRODUCT((Inputs!$C$5:$C$180=$B44)*ISNUMBER(INDEX(Inputs!$K$5:$AJ$180,0,MATCH(T$2,Inputs!$K$4:$AJ$4,0))))+SUMPRODUCT((Inputs!$E$5:$E$180=$B44)*ISNUMBER(INDEX(Inputs!$K$5:$AJ$180,0,MATCH(T$2,Inputs!$K$4:$AJ$4,0))))=0,NA(),SUMPRODUCT((Inputs!$A$5:$A$180=$B44)*Inputs!$B$5:$B$180*(((Inputs!$G$5:$G$180="moeda")+(Inputs!$G$5:$G$180="acoes"))*Inputs!$B$1+((Inputs!$G$5:$G$180&lt;&gt;"moeda")*(Inputs!$G$5:$G$180&lt;&gt;"acoes")))*INDEX(Inputs!$K$5:$AJ$180,0,MATCH(T$2,Inputs!$K$4:$AJ$4,0)))+SUMPRODUCT((Inputs!$C$5:$C$180=$B44)*Inputs!$D$5:$D$180*(((Inputs!$G$5:$G$180="moeda")+(Inputs!$G$5:$G$180="acoes"))*Inputs!$B$1+((Inputs!$G$5:$G$180&lt;&gt;"moeda")*(Inputs!$G$5:$G$180&lt;&gt;"acoes")))*INDEX(Inputs!$K$5:$AJ$180,0,MATCH(T$2,Inputs!$K$4:$AJ$4,0)))+SUMPRODUCT((Inputs!$E$5:$E$180=$B44)*Inputs!$F$5:$F$180*(((Inputs!$G$5:$G$180="moeda")+(Inputs!$G$5:$G$180="acoes"))*Inputs!$B$1+((Inputs!$G$5:$G$180&lt;&gt;"moeda")*(Inputs!$G$5:$G$180&lt;&gt;"acoes")))*INDEX(Inputs!$K$5:$AJ$180,0,MATCH(T$2,Inputs!$K$4:$AJ$4,0)))))</f>
        <v>-27.15</v>
      </c>
      <c r="U44" s="6">
        <f>IF(ISNA(MATCH(U$2,Inputs!$K$4:$AJ$4,0)),NA(),IF(SUMPRODUCT((Inputs!$A$5:$A$180=$B44)*ISNUMBER(INDEX(Inputs!$K$5:$AJ$180,0,MATCH(U$2,Inputs!$K$4:$AJ$4,0))))+SUMPRODUCT((Inputs!$C$5:$C$180=$B44)*ISNUMBER(INDEX(Inputs!$K$5:$AJ$180,0,MATCH(U$2,Inputs!$K$4:$AJ$4,0))))+SUMPRODUCT((Inputs!$E$5:$E$180=$B44)*ISNUMBER(INDEX(Inputs!$K$5:$AJ$180,0,MATCH(U$2,Inputs!$K$4:$AJ$4,0))))=0,NA(),SUMPRODUCT((Inputs!$A$5:$A$180=$B44)*Inputs!$B$5:$B$180*(((Inputs!$G$5:$G$180="moeda")+(Inputs!$G$5:$G$180="acoes"))*Inputs!$B$1+((Inputs!$G$5:$G$180&lt;&gt;"moeda")*(Inputs!$G$5:$G$180&lt;&gt;"acoes")))*INDEX(Inputs!$K$5:$AJ$180,0,MATCH(U$2,Inputs!$K$4:$AJ$4,0)))+SUMPRODUCT((Inputs!$C$5:$C$180=$B44)*Inputs!$D$5:$D$180*(((Inputs!$G$5:$G$180="moeda")+(Inputs!$G$5:$G$180="acoes"))*Inputs!$B$1+((Inputs!$G$5:$G$180&lt;&gt;"moeda")*(Inputs!$G$5:$G$180&lt;&gt;"acoes")))*INDEX(Inputs!$K$5:$AJ$180,0,MATCH(U$2,Inputs!$K$4:$AJ$4,0)))+SUMPRODUCT((Inputs!$E$5:$E$180=$B44)*Inputs!$F$5:$F$180*(((Inputs!$G$5:$G$180="moeda")+(Inputs!$G$5:$G$180="acoes"))*Inputs!$B$1+((Inputs!$G$5:$G$180&lt;&gt;"moeda")*(Inputs!$G$5:$G$180&lt;&gt;"acoes")))*INDEX(Inputs!$K$5:$AJ$180,0,MATCH(U$2,Inputs!$K$4:$AJ$4,0)))))</f>
        <v>-48.065</v>
      </c>
      <c r="V44" s="6">
        <f>IF(ISNA(MATCH(V$2,Inputs!$K$4:$AJ$4,0)),NA(),IF(SUMPRODUCT((Inputs!$A$5:$A$180=$B44)*ISNUMBER(INDEX(Inputs!$K$5:$AJ$180,0,MATCH(V$2,Inputs!$K$4:$AJ$4,0))))+SUMPRODUCT((Inputs!$C$5:$C$180=$B44)*ISNUMBER(INDEX(Inputs!$K$5:$AJ$180,0,MATCH(V$2,Inputs!$K$4:$AJ$4,0))))+SUMPRODUCT((Inputs!$E$5:$E$180=$B44)*ISNUMBER(INDEX(Inputs!$K$5:$AJ$180,0,MATCH(V$2,Inputs!$K$4:$AJ$4,0))))=0,NA(),SUMPRODUCT((Inputs!$A$5:$A$180=$B44)*Inputs!$B$5:$B$180*(((Inputs!$G$5:$G$180="moeda")+(Inputs!$G$5:$G$180="acoes"))*Inputs!$B$1+((Inputs!$G$5:$G$180&lt;&gt;"moeda")*(Inputs!$G$5:$G$180&lt;&gt;"acoes")))*INDEX(Inputs!$K$5:$AJ$180,0,MATCH(V$2,Inputs!$K$4:$AJ$4,0)))+SUMPRODUCT((Inputs!$C$5:$C$180=$B44)*Inputs!$D$5:$D$180*(((Inputs!$G$5:$G$180="moeda")+(Inputs!$G$5:$G$180="acoes"))*Inputs!$B$1+((Inputs!$G$5:$G$180&lt;&gt;"moeda")*(Inputs!$G$5:$G$180&lt;&gt;"acoes")))*INDEX(Inputs!$K$5:$AJ$180,0,MATCH(V$2,Inputs!$K$4:$AJ$4,0)))+SUMPRODUCT((Inputs!$E$5:$E$180=$B44)*Inputs!$F$5:$F$180*(((Inputs!$G$5:$G$180="moeda")+(Inputs!$G$5:$G$180="acoes"))*Inputs!$B$1+((Inputs!$G$5:$G$180&lt;&gt;"moeda")*(Inputs!$G$5:$G$180&lt;&gt;"acoes")))*INDEX(Inputs!$K$5:$AJ$180,0,MATCH(V$2,Inputs!$K$4:$AJ$4,0)))))</f>
        <v>-48.065</v>
      </c>
      <c r="W44" s="3">
        <f>V44</f>
        <v>-48.065</v>
      </c>
      <c r="X44" s="6">
        <f>IF(ISNA(MATCH(X$2,Inputs!$K$4:$AJ$4,0)),NA(),IF(SUMPRODUCT((Inputs!$A$5:$A$180=$B44)*ISNUMBER(INDEX(Inputs!$K$5:$AJ$180,0,MATCH(X$2,Inputs!$K$4:$AJ$4,0))))+SUMPRODUCT((Inputs!$C$5:$C$180=$B44)*ISNUMBER(INDEX(Inputs!$K$5:$AJ$180,0,MATCH(X$2,Inputs!$K$4:$AJ$4,0))))+SUMPRODUCT((Inputs!$E$5:$E$180=$B44)*ISNUMBER(INDEX(Inputs!$K$5:$AJ$180,0,MATCH(X$2,Inputs!$K$4:$AJ$4,0))))=0,NA(),SUMPRODUCT((Inputs!$A$5:$A$180=$B44)*Inputs!$B$5:$B$180*(((Inputs!$G$5:$G$180="moeda")+(Inputs!$G$5:$G$180="acoes"))*Inputs!$B$1+((Inputs!$G$5:$G$180&lt;&gt;"moeda")*(Inputs!$G$5:$G$180&lt;&gt;"acoes")))*INDEX(Inputs!$K$5:$AJ$180,0,MATCH(X$2,Inputs!$K$4:$AJ$4,0)))+SUMPRODUCT((Inputs!$C$5:$C$180=$B44)*Inputs!$D$5:$D$180*(((Inputs!$G$5:$G$180="moeda")+(Inputs!$G$5:$G$180="acoes"))*Inputs!$B$1+((Inputs!$G$5:$G$180&lt;&gt;"moeda")*(Inputs!$G$5:$G$180&lt;&gt;"acoes")))*INDEX(Inputs!$K$5:$AJ$180,0,MATCH(X$2,Inputs!$K$4:$AJ$4,0)))+SUMPRODUCT((Inputs!$E$5:$E$180=$B44)*Inputs!$F$5:$F$180*(((Inputs!$G$5:$G$180="moeda")+(Inputs!$G$5:$G$180="acoes"))*Inputs!$B$1+((Inputs!$G$5:$G$180&lt;&gt;"moeda")*(Inputs!$G$5:$G$180&lt;&gt;"acoes")))*INDEX(Inputs!$K$5:$AJ$180,0,MATCH(X$2,Inputs!$K$4:$AJ$4,0)))))</f>
        <v>-35.559101</v>
      </c>
      <c r="Y44" s="6">
        <f>IF(ISNA(MATCH(Y$2,Inputs!$K$4:$AJ$4,0)),NA(),IF(SUMPRODUCT((Inputs!$A$5:$A$180=$B44)*ISNUMBER(INDEX(Inputs!$K$5:$AJ$180,0,MATCH(Y$2,Inputs!$K$4:$AJ$4,0))))+SUMPRODUCT((Inputs!$C$5:$C$180=$B44)*ISNUMBER(INDEX(Inputs!$K$5:$AJ$180,0,MATCH(Y$2,Inputs!$K$4:$AJ$4,0))))+SUMPRODUCT((Inputs!$E$5:$E$180=$B44)*ISNUMBER(INDEX(Inputs!$K$5:$AJ$180,0,MATCH(Y$2,Inputs!$K$4:$AJ$4,0))))=0,NA(),SUMPRODUCT((Inputs!$A$5:$A$180=$B44)*Inputs!$B$5:$B$180*(((Inputs!$G$5:$G$180="moeda")+(Inputs!$G$5:$G$180="acoes"))*Inputs!$B$1+((Inputs!$G$5:$G$180&lt;&gt;"moeda")*(Inputs!$G$5:$G$180&lt;&gt;"acoes")))*INDEX(Inputs!$K$5:$AJ$180,0,MATCH(Y$2,Inputs!$K$4:$AJ$4,0)))+SUMPRODUCT((Inputs!$C$5:$C$180=$B44)*Inputs!$D$5:$D$180*(((Inputs!$G$5:$G$180="moeda")+(Inputs!$G$5:$G$180="acoes"))*Inputs!$B$1+((Inputs!$G$5:$G$180&lt;&gt;"moeda")*(Inputs!$G$5:$G$180&lt;&gt;"acoes")))*INDEX(Inputs!$K$5:$AJ$180,0,MATCH(Y$2,Inputs!$K$4:$AJ$4,0)))+SUMPRODUCT((Inputs!$E$5:$E$180=$B44)*Inputs!$F$5:$F$180*(((Inputs!$G$5:$G$180="moeda")+(Inputs!$G$5:$G$180="acoes"))*Inputs!$B$1+((Inputs!$G$5:$G$180&lt;&gt;"moeda")*(Inputs!$G$5:$G$180&lt;&gt;"acoes")))*INDEX(Inputs!$K$5:$AJ$180,0,MATCH(Y$2,Inputs!$K$4:$AJ$4,0)))))</f>
        <v>-35.559</v>
      </c>
      <c r="Z44" s="6">
        <f>IF(ISNA(MATCH(Z$2,Inputs!$K$4:$AJ$4,0)),NA(),IF(SUMPRODUCT((Inputs!$A$5:$A$180=$B44)*ISNUMBER(INDEX(Inputs!$K$5:$AJ$180,0,MATCH(Z$2,Inputs!$K$4:$AJ$4,0))))+SUMPRODUCT((Inputs!$C$5:$C$180=$B44)*ISNUMBER(INDEX(Inputs!$K$5:$AJ$180,0,MATCH(Z$2,Inputs!$K$4:$AJ$4,0))))+SUMPRODUCT((Inputs!$E$5:$E$180=$B44)*ISNUMBER(INDEX(Inputs!$K$5:$AJ$180,0,MATCH(Z$2,Inputs!$K$4:$AJ$4,0))))=0,NA(),SUMPRODUCT((Inputs!$A$5:$A$180=$B44)*Inputs!$B$5:$B$180*(((Inputs!$G$5:$G$180="moeda")+(Inputs!$G$5:$G$180="acoes"))*Inputs!$B$1+((Inputs!$G$5:$G$180&lt;&gt;"moeda")*(Inputs!$G$5:$G$180&lt;&gt;"acoes")))*INDEX(Inputs!$K$5:$AJ$180,0,MATCH(Z$2,Inputs!$K$4:$AJ$4,0)))+SUMPRODUCT((Inputs!$C$5:$C$180=$B44)*Inputs!$D$5:$D$180*(((Inputs!$G$5:$G$180="moeda")+(Inputs!$G$5:$G$180="acoes"))*Inputs!$B$1+((Inputs!$G$5:$G$180&lt;&gt;"moeda")*(Inputs!$G$5:$G$180&lt;&gt;"acoes")))*INDEX(Inputs!$K$5:$AJ$180,0,MATCH(Z$2,Inputs!$K$4:$AJ$4,0)))+SUMPRODUCT((Inputs!$E$5:$E$180=$B44)*Inputs!$F$5:$F$180*(((Inputs!$G$5:$G$180="moeda")+(Inputs!$G$5:$G$180="acoes"))*Inputs!$B$1+((Inputs!$G$5:$G$180&lt;&gt;"moeda")*(Inputs!$G$5:$G$180&lt;&gt;"acoes")))*INDEX(Inputs!$K$5:$AJ$180,0,MATCH(Z$2,Inputs!$K$4:$AJ$4,0)))))</f>
        <v>-35.559</v>
      </c>
      <c r="AA44" s="6">
        <f>IF(ISNA(MATCH(AA$2,Inputs!$K$4:$AJ$4,0)),NA(),IF(SUMPRODUCT((Inputs!$A$5:$A$180=$B44)*ISNUMBER(INDEX(Inputs!$K$5:$AJ$180,0,MATCH(AA$2,Inputs!$K$4:$AJ$4,0))))+SUMPRODUCT((Inputs!$C$5:$C$180=$B44)*ISNUMBER(INDEX(Inputs!$K$5:$AJ$180,0,MATCH(AA$2,Inputs!$K$4:$AJ$4,0))))+SUMPRODUCT((Inputs!$E$5:$E$180=$B44)*ISNUMBER(INDEX(Inputs!$K$5:$AJ$180,0,MATCH(AA$2,Inputs!$K$4:$AJ$4,0))))=0,NA(),SUMPRODUCT((Inputs!$A$5:$A$180=$B44)*Inputs!$B$5:$B$180*(((Inputs!$G$5:$G$180="moeda")+(Inputs!$G$5:$G$180="acoes"))*Inputs!$B$1+((Inputs!$G$5:$G$180&lt;&gt;"moeda")*(Inputs!$G$5:$G$180&lt;&gt;"acoes")))*INDEX(Inputs!$K$5:$AJ$180,0,MATCH(AA$2,Inputs!$K$4:$AJ$4,0)))+SUMPRODUCT((Inputs!$C$5:$C$180=$B44)*Inputs!$D$5:$D$180*(((Inputs!$G$5:$G$180="moeda")+(Inputs!$G$5:$G$180="acoes"))*Inputs!$B$1+((Inputs!$G$5:$G$180&lt;&gt;"moeda")*(Inputs!$G$5:$G$180&lt;&gt;"acoes")))*INDEX(Inputs!$K$5:$AJ$180,0,MATCH(AA$2,Inputs!$K$4:$AJ$4,0)))+SUMPRODUCT((Inputs!$E$5:$E$180=$B44)*Inputs!$F$5:$F$180*(((Inputs!$G$5:$G$180="moeda")+(Inputs!$G$5:$G$180="acoes"))*Inputs!$B$1+((Inputs!$G$5:$G$180&lt;&gt;"moeda")*(Inputs!$G$5:$G$180&lt;&gt;"acoes")))*INDEX(Inputs!$K$5:$AJ$180,0,MATCH(AA$2,Inputs!$K$4:$AJ$4,0)))))</f>
        <v>-35.559</v>
      </c>
      <c r="AB44" s="3">
        <f>AA44</f>
        <v>-35.559</v>
      </c>
      <c r="AC44" s="6">
        <f>IF(ISNA(MATCH(AC$2,Inputs!$K$4:$AJ$4,0)),NA(),IF(SUMPRODUCT((Inputs!$A$5:$A$180=$B44)*ISNUMBER(INDEX(Inputs!$K$5:$AJ$180,0,MATCH(AC$2,Inputs!$K$4:$AJ$4,0))))+SUMPRODUCT((Inputs!$C$5:$C$180=$B44)*ISNUMBER(INDEX(Inputs!$K$5:$AJ$180,0,MATCH(AC$2,Inputs!$K$4:$AJ$4,0))))+SUMPRODUCT((Inputs!$E$5:$E$180=$B44)*ISNUMBER(INDEX(Inputs!$K$5:$AJ$180,0,MATCH(AC$2,Inputs!$K$4:$AJ$4,0))))=0,NA(),SUMPRODUCT((Inputs!$A$5:$A$180=$B44)*Inputs!$B$5:$B$180*(((Inputs!$G$5:$G$180="moeda")+(Inputs!$G$5:$G$180="acoes"))*Inputs!$B$1+((Inputs!$G$5:$G$180&lt;&gt;"moeda")*(Inputs!$G$5:$G$180&lt;&gt;"acoes")))*INDEX(Inputs!$K$5:$AJ$180,0,MATCH(AC$2,Inputs!$K$4:$AJ$4,0)))+SUMPRODUCT((Inputs!$C$5:$C$180=$B44)*Inputs!$D$5:$D$180*(((Inputs!$G$5:$G$180="moeda")+(Inputs!$G$5:$G$180="acoes"))*Inputs!$B$1+((Inputs!$G$5:$G$180&lt;&gt;"moeda")*(Inputs!$G$5:$G$180&lt;&gt;"acoes")))*INDEX(Inputs!$K$5:$AJ$180,0,MATCH(AC$2,Inputs!$K$4:$AJ$4,0)))+SUMPRODUCT((Inputs!$E$5:$E$180=$B44)*Inputs!$F$5:$F$180*(((Inputs!$G$5:$G$180="moeda")+(Inputs!$G$5:$G$180="acoes"))*Inputs!$B$1+((Inputs!$G$5:$G$180&lt;&gt;"moeda")*(Inputs!$G$5:$G$180&lt;&gt;"acoes")))*INDEX(Inputs!$K$5:$AJ$180,0,MATCH(AC$2,Inputs!$K$4:$AJ$4,0)))))</f>
        <v>-55.497</v>
      </c>
      <c r="AD44" s="6">
        <f>IF(ISNA(MATCH(AD$2,Inputs!$K$4:$AJ$4,0)),NA(),IF(SUMPRODUCT((Inputs!$A$5:$A$180=$B44)*ISNUMBER(INDEX(Inputs!$K$5:$AJ$180,0,MATCH(AD$2,Inputs!$K$4:$AJ$4,0))))+SUMPRODUCT((Inputs!$C$5:$C$180=$B44)*ISNUMBER(INDEX(Inputs!$K$5:$AJ$180,0,MATCH(AD$2,Inputs!$K$4:$AJ$4,0))))+SUMPRODUCT((Inputs!$E$5:$E$180=$B44)*ISNUMBER(INDEX(Inputs!$K$5:$AJ$180,0,MATCH(AD$2,Inputs!$K$4:$AJ$4,0))))=0,NA(),SUMPRODUCT((Inputs!$A$5:$A$180=$B44)*Inputs!$B$5:$B$180*(((Inputs!$G$5:$G$180="moeda")+(Inputs!$G$5:$G$180="acoes"))*Inputs!$B$1+((Inputs!$G$5:$G$180&lt;&gt;"moeda")*(Inputs!$G$5:$G$180&lt;&gt;"acoes")))*INDEX(Inputs!$K$5:$AJ$180,0,MATCH(AD$2,Inputs!$K$4:$AJ$4,0)))+SUMPRODUCT((Inputs!$C$5:$C$180=$B44)*Inputs!$D$5:$D$180*(((Inputs!$G$5:$G$180="moeda")+(Inputs!$G$5:$G$180="acoes"))*Inputs!$B$1+((Inputs!$G$5:$G$180&lt;&gt;"moeda")*(Inputs!$G$5:$G$180&lt;&gt;"acoes")))*INDEX(Inputs!$K$5:$AJ$180,0,MATCH(AD$2,Inputs!$K$4:$AJ$4,0)))+SUMPRODUCT((Inputs!$E$5:$E$180=$B44)*Inputs!$F$5:$F$180*(((Inputs!$G$5:$G$180="moeda")+(Inputs!$G$5:$G$180="acoes"))*Inputs!$B$1+((Inputs!$G$5:$G$180&lt;&gt;"moeda")*(Inputs!$G$5:$G$180&lt;&gt;"acoes")))*INDEX(Inputs!$K$5:$AJ$180,0,MATCH(AD$2,Inputs!$K$4:$AJ$4,0)))))</f>
        <v>-55.478</v>
      </c>
      <c r="AE44" s="6" t="e">
        <f>IF(ISNA(MATCH(AE$2,Inputs!$K$4:$AJ$4,0)),NA(),IF(SUMPRODUCT((Inputs!$A$5:$A$180=$B44)*ISNUMBER(INDEX(Inputs!$K$5:$AJ$180,0,MATCH(AE$2,Inputs!$K$4:$AJ$4,0))))+SUMPRODUCT((Inputs!$C$5:$C$180=$B44)*ISNUMBER(INDEX(Inputs!$K$5:$AJ$180,0,MATCH(AE$2,Inputs!$K$4:$AJ$4,0))))+SUMPRODUCT((Inputs!$E$5:$E$180=$B44)*ISNUMBER(INDEX(Inputs!$K$5:$AJ$180,0,MATCH(AE$2,Inputs!$K$4:$AJ$4,0))))=0,NA(),SUMPRODUCT((Inputs!$A$5:$A$180=$B44)*Inputs!$B$5:$B$180*(((Inputs!$G$5:$G$180="moeda")+(Inputs!$G$5:$G$180="acoes"))*Inputs!$B$1+((Inputs!$G$5:$G$180&lt;&gt;"moeda")*(Inputs!$G$5:$G$180&lt;&gt;"acoes")))*INDEX(Inputs!$K$5:$AJ$180,0,MATCH(AE$2,Inputs!$K$4:$AJ$4,0)))+SUMPRODUCT((Inputs!$C$5:$C$180=$B44)*Inputs!$D$5:$D$180*(((Inputs!$G$5:$G$180="moeda")+(Inputs!$G$5:$G$180="acoes"))*Inputs!$B$1+((Inputs!$G$5:$G$180&lt;&gt;"moeda")*(Inputs!$G$5:$G$180&lt;&gt;"acoes")))*INDEX(Inputs!$K$5:$AJ$180,0,MATCH(AE$2,Inputs!$K$4:$AJ$4,0)))+SUMPRODUCT((Inputs!$E$5:$E$180=$B44)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4" s="6" t="e">
        <f>IF(ISNA(MATCH(AF$2,Inputs!$K$4:$AJ$4,0)),NA(),IF(SUMPRODUCT((Inputs!$A$5:$A$180=$B44)*ISNUMBER(INDEX(Inputs!$K$5:$AJ$180,0,MATCH(AF$2,Inputs!$K$4:$AJ$4,0))))+SUMPRODUCT((Inputs!$C$5:$C$180=$B44)*ISNUMBER(INDEX(Inputs!$K$5:$AJ$180,0,MATCH(AF$2,Inputs!$K$4:$AJ$4,0))))+SUMPRODUCT((Inputs!$E$5:$E$180=$B44)*ISNUMBER(INDEX(Inputs!$K$5:$AJ$180,0,MATCH(AF$2,Inputs!$K$4:$AJ$4,0))))=0,NA(),SUMPRODUCT((Inputs!$A$5:$A$180=$B44)*Inputs!$B$5:$B$180*(((Inputs!$G$5:$G$180="moeda")+(Inputs!$G$5:$G$180="acoes"))*Inputs!$B$1+((Inputs!$G$5:$G$180&lt;&gt;"moeda")*(Inputs!$G$5:$G$180&lt;&gt;"acoes")))*INDEX(Inputs!$K$5:$AJ$180,0,MATCH(AF$2,Inputs!$K$4:$AJ$4,0)))+SUMPRODUCT((Inputs!$C$5:$C$180=$B44)*Inputs!$D$5:$D$180*(((Inputs!$G$5:$G$180="moeda")+(Inputs!$G$5:$G$180="acoes"))*Inputs!$B$1+((Inputs!$G$5:$G$180&lt;&gt;"moeda")*(Inputs!$G$5:$G$180&lt;&gt;"acoes")))*INDEX(Inputs!$K$5:$AJ$180,0,MATCH(AF$2,Inputs!$K$4:$AJ$4,0)))+SUMPRODUCT((Inputs!$E$5:$E$180=$B44)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4" s="3" t="e">
        <f>AF44</f>
        <v>#N/A</v>
      </c>
      <c r="AH44" s="6">
        <f>IF(ISNA(MATCH(AH$2,Inputs!$K$4:$AJ$4,0)),NA(),IF(SUMPRODUCT((Inputs!$A$5:$A$180=$B44)*ISNUMBER(INDEX(Inputs!$K$5:$AJ$180,0,MATCH(AH$2,Inputs!$K$4:$AJ$4,0))))+SUMPRODUCT((Inputs!$C$5:$C$180=$B44)*ISNUMBER(INDEX(Inputs!$K$5:$AJ$180,0,MATCH(AH$2,Inputs!$K$4:$AJ$4,0))))+SUMPRODUCT((Inputs!$E$5:$E$180=$B44)*ISNUMBER(INDEX(Inputs!$K$5:$AJ$180,0,MATCH(AH$2,Inputs!$K$4:$AJ$4,0))))=0,NA(),SUMPRODUCT((Inputs!$A$5:$A$180=$B44)*Inputs!$B$5:$B$180*(((Inputs!$G$5:$G$180="moeda")+(Inputs!$G$5:$G$180="acoes"))*Inputs!$B$1+((Inputs!$G$5:$G$180&lt;&gt;"moeda")*(Inputs!$G$5:$G$180&lt;&gt;"acoes")))*INDEX(Inputs!$K$5:$AJ$180,0,MATCH(AH$2,Inputs!$K$4:$AJ$4,0)))+SUMPRODUCT((Inputs!$C$5:$C$180=$B44)*Inputs!$D$5:$D$180*(((Inputs!$G$5:$G$180="moeda")+(Inputs!$G$5:$G$180="acoes"))*Inputs!$B$1+((Inputs!$G$5:$G$180&lt;&gt;"moeda")*(Inputs!$G$5:$G$180&lt;&gt;"acoes")))*INDEX(Inputs!$K$5:$AJ$180,0,MATCH(AH$2,Inputs!$K$4:$AJ$4,0)))+SUMPRODUCT((Inputs!$E$5:$E$180=$B44)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4" s="6">
        <f>IF(ISNA(MATCH(AI$2,Inputs!$K$4:$AJ$4,0)),NA(),IF(SUMPRODUCT((Inputs!$A$5:$A$180=$B44)*ISNUMBER(INDEX(Inputs!$K$5:$AJ$180,0,MATCH(AI$2,Inputs!$K$4:$AJ$4,0))))+SUMPRODUCT((Inputs!$C$5:$C$180=$B44)*ISNUMBER(INDEX(Inputs!$K$5:$AJ$180,0,MATCH(AI$2,Inputs!$K$4:$AJ$4,0))))+SUMPRODUCT((Inputs!$E$5:$E$180=$B44)*ISNUMBER(INDEX(Inputs!$K$5:$AJ$180,0,MATCH(AI$2,Inputs!$K$4:$AJ$4,0))))=0,NA(),SUMPRODUCT((Inputs!$A$5:$A$180=$B44)*Inputs!$B$5:$B$180*(((Inputs!$G$5:$G$180="moeda")+(Inputs!$G$5:$G$180="acoes"))*Inputs!$B$1+((Inputs!$G$5:$G$180&lt;&gt;"moeda")*(Inputs!$G$5:$G$180&lt;&gt;"acoes")))*INDEX(Inputs!$K$5:$AJ$180,0,MATCH(AI$2,Inputs!$K$4:$AJ$4,0)))+SUMPRODUCT((Inputs!$C$5:$C$180=$B44)*Inputs!$D$5:$D$180*(((Inputs!$G$5:$G$180="moeda")+(Inputs!$G$5:$G$180="acoes"))*Inputs!$B$1+((Inputs!$G$5:$G$180&lt;&gt;"moeda")*(Inputs!$G$5:$G$180&lt;&gt;"acoes")))*INDEX(Inputs!$K$5:$AJ$180,0,MATCH(AI$2,Inputs!$K$4:$AJ$4,0)))+SUMPRODUCT((Inputs!$E$5:$E$180=$B44)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4" s="6">
        <f>IF(ISNA(MATCH(AJ$2,Inputs!$K$4:$AJ$4,0)),NA(),IF(SUMPRODUCT((Inputs!$A$5:$A$180=$B44)*ISNUMBER(INDEX(Inputs!$K$5:$AJ$180,0,MATCH(AJ$2,Inputs!$K$4:$AJ$4,0))))+SUMPRODUCT((Inputs!$C$5:$C$180=$B44)*ISNUMBER(INDEX(Inputs!$K$5:$AJ$180,0,MATCH(AJ$2,Inputs!$K$4:$AJ$4,0))))+SUMPRODUCT((Inputs!$E$5:$E$180=$B44)*ISNUMBER(INDEX(Inputs!$K$5:$AJ$180,0,MATCH(AJ$2,Inputs!$K$4:$AJ$4,0))))=0,NA(),SUMPRODUCT((Inputs!$A$5:$A$180=$B44)*Inputs!$B$5:$B$180*(((Inputs!$G$5:$G$180="moeda")+(Inputs!$G$5:$G$180="acoes"))*Inputs!$B$1+((Inputs!$G$5:$G$180&lt;&gt;"moeda")*(Inputs!$G$5:$G$180&lt;&gt;"acoes")))*INDEX(Inputs!$K$5:$AJ$180,0,MATCH(AJ$2,Inputs!$K$4:$AJ$4,0)))+SUMPRODUCT((Inputs!$C$5:$C$180=$B44)*Inputs!$D$5:$D$180*(((Inputs!$G$5:$G$180="moeda")+(Inputs!$G$5:$G$180="acoes"))*Inputs!$B$1+((Inputs!$G$5:$G$180&lt;&gt;"moeda")*(Inputs!$G$5:$G$180&lt;&gt;"acoes")))*INDEX(Inputs!$K$5:$AJ$180,0,MATCH(AJ$2,Inputs!$K$4:$AJ$4,0)))+SUMPRODUCT((Inputs!$E$5:$E$180=$B44)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4" s="6">
        <f>IF(ISNA(MATCH(AK$2,Inputs!$K$4:$AJ$4,0)),NA(),IF(SUMPRODUCT((Inputs!$A$5:$A$180=$B44)*ISNUMBER(INDEX(Inputs!$K$5:$AJ$180,0,MATCH(AK$2,Inputs!$K$4:$AJ$4,0))))+SUMPRODUCT((Inputs!$C$5:$C$180=$B44)*ISNUMBER(INDEX(Inputs!$K$5:$AJ$180,0,MATCH(AK$2,Inputs!$K$4:$AJ$4,0))))+SUMPRODUCT((Inputs!$E$5:$E$180=$B44)*ISNUMBER(INDEX(Inputs!$K$5:$AJ$180,0,MATCH(AK$2,Inputs!$K$4:$AJ$4,0))))=0,NA(),SUMPRODUCT((Inputs!$A$5:$A$180=$B44)*Inputs!$B$5:$B$180*(((Inputs!$G$5:$G$180="moeda")+(Inputs!$G$5:$G$180="acoes"))*Inputs!$B$1+((Inputs!$G$5:$G$180&lt;&gt;"moeda")*(Inputs!$G$5:$G$180&lt;&gt;"acoes")))*INDEX(Inputs!$K$5:$AJ$180,0,MATCH(AK$2,Inputs!$K$4:$AJ$4,0)))+SUMPRODUCT((Inputs!$C$5:$C$180=$B44)*Inputs!$D$5:$D$180*(((Inputs!$G$5:$G$180="moeda")+(Inputs!$G$5:$G$180="acoes"))*Inputs!$B$1+((Inputs!$G$5:$G$180&lt;&gt;"moeda")*(Inputs!$G$5:$G$180&lt;&gt;"acoes")))*INDEX(Inputs!$K$5:$AJ$180,0,MATCH(AK$2,Inputs!$K$4:$AJ$4,0)))+SUMPRODUCT((Inputs!$E$5:$E$180=$B44)*Inputs!$F$5:$F$180*(((Inputs!$G$5:$G$180="moeda")+(Inputs!$G$5:$G$180="acoes"))*Inputs!$B$1+((Inputs!$G$5:$G$180&lt;&gt;"moeda")*(Inputs!$G$5:$G$180&lt;&gt;"acoes")))*INDEX(Inputs!$K$5:$AJ$180,0,MATCH(AK$2,Inputs!$K$4:$AJ$4,0)))))</f>
        <v>-2.67399757</v>
      </c>
      <c r="AL44" s="3">
        <f>AK44</f>
        <v>-2.67399757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$180=$B45)*ISNUMBER(INDEX(Inputs!$K$5:$AJ$180,0,MATCH(D$2,Inputs!$K$4:$AJ$4,0))))+SUMPRODUCT((Inputs!$C$5:$C$180=$B45)*ISNUMBER(INDEX(Inputs!$K$5:$AJ$180,0,MATCH(D$2,Inputs!$K$4:$AJ$4,0))))+SUMPRODUCT((Inputs!$E$5:$E$180=$B45)*ISNUMBER(INDEX(Inputs!$K$5:$AJ$180,0,MATCH(D$2,Inputs!$K$4:$AJ$4,0))))=0,NA(),SUMPRODUCT((Inputs!$A$5:$A$180=$B45)*Inputs!$B$5:$B$180*(((Inputs!$G$5:$G$180="moeda")+(Inputs!$G$5:$G$180="acoes"))*Inputs!$B$1+((Inputs!$G$5:$G$180&lt;&gt;"moeda")*(Inputs!$G$5:$G$180&lt;&gt;"acoes")))*INDEX(Inputs!$K$5:$AJ$180,0,MATCH(D$2,Inputs!$K$4:$AJ$4,0)))+SUMPRODUCT((Inputs!$C$5:$C$180=$B45)*Inputs!$D$5:$D$180*(((Inputs!$G$5:$G$180="moeda")+(Inputs!$G$5:$G$180="acoes"))*Inputs!$B$1+((Inputs!$G$5:$G$180&lt;&gt;"moeda")*(Inputs!$G$5:$G$180&lt;&gt;"acoes")))*INDEX(Inputs!$K$5:$AJ$180,0,MATCH(D$2,Inputs!$K$4:$AJ$4,0)))+SUMPRODUCT((Inputs!$E$5:$E$180=$B45)*Inputs!$F$5:$F$180*(((Inputs!$G$5:$G$180="moeda")+(Inputs!$G$5:$G$180="acoes"))*Inputs!$B$1+((Inputs!$G$5:$G$180&lt;&gt;"moeda")*(Inputs!$G$5:$G$180&lt;&gt;"acoes")))*INDEX(Inputs!$K$5:$AJ$180,0,MATCH(D$2,Inputs!$K$4:$AJ$4,0)))))</f>
        <v>0</v>
      </c>
      <c r="E45" s="6">
        <f>IF(ISNA(MATCH(E$2,Inputs!$K$4:$AJ$4,0)),NA(),IF(SUMPRODUCT((Inputs!$A$5:$A$180=$B45)*ISNUMBER(INDEX(Inputs!$K$5:$AJ$180,0,MATCH(E$2,Inputs!$K$4:$AJ$4,0))))+SUMPRODUCT((Inputs!$C$5:$C$180=$B45)*ISNUMBER(INDEX(Inputs!$K$5:$AJ$180,0,MATCH(E$2,Inputs!$K$4:$AJ$4,0))))+SUMPRODUCT((Inputs!$E$5:$E$180=$B45)*ISNUMBER(INDEX(Inputs!$K$5:$AJ$180,0,MATCH(E$2,Inputs!$K$4:$AJ$4,0))))=0,NA(),SUMPRODUCT((Inputs!$A$5:$A$180=$B45)*Inputs!$B$5:$B$180*(((Inputs!$G$5:$G$180="moeda")+(Inputs!$G$5:$G$180="acoes"))*Inputs!$B$1+((Inputs!$G$5:$G$180&lt;&gt;"moeda")*(Inputs!$G$5:$G$180&lt;&gt;"acoes")))*INDEX(Inputs!$K$5:$AJ$180,0,MATCH(E$2,Inputs!$K$4:$AJ$4,0)))+SUMPRODUCT((Inputs!$C$5:$C$180=$B45)*Inputs!$D$5:$D$180*(((Inputs!$G$5:$G$180="moeda")+(Inputs!$G$5:$G$180="acoes"))*Inputs!$B$1+((Inputs!$G$5:$G$180&lt;&gt;"moeda")*(Inputs!$G$5:$G$180&lt;&gt;"acoes")))*INDEX(Inputs!$K$5:$AJ$180,0,MATCH(E$2,Inputs!$K$4:$AJ$4,0)))+SUMPRODUCT((Inputs!$E$5:$E$180=$B45)*Inputs!$F$5:$F$180*(((Inputs!$G$5:$G$180="moeda")+(Inputs!$G$5:$G$180="acoes"))*Inputs!$B$1+((Inputs!$G$5:$G$180&lt;&gt;"moeda")*(Inputs!$G$5:$G$180&lt;&gt;"acoes")))*INDEX(Inputs!$K$5:$AJ$180,0,MATCH(E$2,Inputs!$K$4:$AJ$4,0)))))</f>
        <v>0</v>
      </c>
      <c r="F45" s="6">
        <f>IF(ISNA(MATCH(F$2,Inputs!$K$4:$AJ$4,0)),NA(),IF(SUMPRODUCT((Inputs!$A$5:$A$180=$B45)*ISNUMBER(INDEX(Inputs!$K$5:$AJ$180,0,MATCH(F$2,Inputs!$K$4:$AJ$4,0))))+SUMPRODUCT((Inputs!$C$5:$C$180=$B45)*ISNUMBER(INDEX(Inputs!$K$5:$AJ$180,0,MATCH(F$2,Inputs!$K$4:$AJ$4,0))))+SUMPRODUCT((Inputs!$E$5:$E$180=$B45)*ISNUMBER(INDEX(Inputs!$K$5:$AJ$180,0,MATCH(F$2,Inputs!$K$4:$AJ$4,0))))=0,NA(),SUMPRODUCT((Inputs!$A$5:$A$180=$B45)*Inputs!$B$5:$B$180*(((Inputs!$G$5:$G$180="moeda")+(Inputs!$G$5:$G$180="acoes"))*Inputs!$B$1+((Inputs!$G$5:$G$180&lt;&gt;"moeda")*(Inputs!$G$5:$G$180&lt;&gt;"acoes")))*INDEX(Inputs!$K$5:$AJ$180,0,MATCH(F$2,Inputs!$K$4:$AJ$4,0)))+SUMPRODUCT((Inputs!$C$5:$C$180=$B45)*Inputs!$D$5:$D$180*(((Inputs!$G$5:$G$180="moeda")+(Inputs!$G$5:$G$180="acoes"))*Inputs!$B$1+((Inputs!$G$5:$G$180&lt;&gt;"moeda")*(Inputs!$G$5:$G$180&lt;&gt;"acoes")))*INDEX(Inputs!$K$5:$AJ$180,0,MATCH(F$2,Inputs!$K$4:$AJ$4,0)))+SUMPRODUCT((Inputs!$E$5:$E$180=$B45)*Inputs!$F$5:$F$180*(((Inputs!$G$5:$G$180="moeda")+(Inputs!$G$5:$G$180="acoes"))*Inputs!$B$1+((Inputs!$G$5:$G$180&lt;&gt;"moeda")*(Inputs!$G$5:$G$180&lt;&gt;"acoes")))*INDEX(Inputs!$K$5:$AJ$180,0,MATCH(F$2,Inputs!$K$4:$AJ$4,0)))))</f>
        <v>0</v>
      </c>
      <c r="G45" s="6">
        <f>IF(ISNA(MATCH(G$2,Inputs!$K$4:$AJ$4,0)),NA(),IF(SUMPRODUCT((Inputs!$A$5:$A$180=$B45)*ISNUMBER(INDEX(Inputs!$K$5:$AJ$180,0,MATCH(G$2,Inputs!$K$4:$AJ$4,0))))+SUMPRODUCT((Inputs!$C$5:$C$180=$B45)*ISNUMBER(INDEX(Inputs!$K$5:$AJ$180,0,MATCH(G$2,Inputs!$K$4:$AJ$4,0))))+SUMPRODUCT((Inputs!$E$5:$E$180=$B45)*ISNUMBER(INDEX(Inputs!$K$5:$AJ$180,0,MATCH(G$2,Inputs!$K$4:$AJ$4,0))))=0,NA(),SUMPRODUCT((Inputs!$A$5:$A$180=$B45)*Inputs!$B$5:$B$180*(((Inputs!$G$5:$G$180="moeda")+(Inputs!$G$5:$G$180="acoes"))*Inputs!$B$1+((Inputs!$G$5:$G$180&lt;&gt;"moeda")*(Inputs!$G$5:$G$180&lt;&gt;"acoes")))*INDEX(Inputs!$K$5:$AJ$180,0,MATCH(G$2,Inputs!$K$4:$AJ$4,0)))+SUMPRODUCT((Inputs!$C$5:$C$180=$B45)*Inputs!$D$5:$D$180*(((Inputs!$G$5:$G$180="moeda")+(Inputs!$G$5:$G$180="acoes"))*Inputs!$B$1+((Inputs!$G$5:$G$180&lt;&gt;"moeda")*(Inputs!$G$5:$G$180&lt;&gt;"acoes")))*INDEX(Inputs!$K$5:$AJ$180,0,MATCH(G$2,Inputs!$K$4:$AJ$4,0)))+SUMPRODUCT((Inputs!$E$5:$E$180=$B45)*Inputs!$F$5:$F$180*(((Inputs!$G$5:$G$180="moeda")+(Inputs!$G$5:$G$180="acoes"))*Inputs!$B$1+((Inputs!$G$5:$G$180&lt;&gt;"moeda")*(Inputs!$G$5:$G$180&lt;&gt;"acoes")))*INDEX(Inputs!$K$5:$AJ$180,0,MATCH(G$2,Inputs!$K$4:$AJ$4,0)))))</f>
        <v>0</v>
      </c>
      <c r="H45" s="3">
        <f>G45</f>
        <v>0</v>
      </c>
      <c r="I45" s="6">
        <f>IF(ISNA(MATCH(I$2,Inputs!$K$4:$AJ$4,0)),NA(),IF(SUMPRODUCT((Inputs!$A$5:$A$180=$B45)*ISNUMBER(INDEX(Inputs!$K$5:$AJ$180,0,MATCH(I$2,Inputs!$K$4:$AJ$4,0))))+SUMPRODUCT((Inputs!$C$5:$C$180=$B45)*ISNUMBER(INDEX(Inputs!$K$5:$AJ$180,0,MATCH(I$2,Inputs!$K$4:$AJ$4,0))))+SUMPRODUCT((Inputs!$E$5:$E$180=$B45)*ISNUMBER(INDEX(Inputs!$K$5:$AJ$180,0,MATCH(I$2,Inputs!$K$4:$AJ$4,0))))=0,NA(),SUMPRODUCT((Inputs!$A$5:$A$180=$B45)*Inputs!$B$5:$B$180*(((Inputs!$G$5:$G$180="moeda")+(Inputs!$G$5:$G$180="acoes"))*Inputs!$B$1+((Inputs!$G$5:$G$180&lt;&gt;"moeda")*(Inputs!$G$5:$G$180&lt;&gt;"acoes")))*INDEX(Inputs!$K$5:$AJ$180,0,MATCH(I$2,Inputs!$K$4:$AJ$4,0)))+SUMPRODUCT((Inputs!$C$5:$C$180=$B45)*Inputs!$D$5:$D$180*(((Inputs!$G$5:$G$180="moeda")+(Inputs!$G$5:$G$180="acoes"))*Inputs!$B$1+((Inputs!$G$5:$G$180&lt;&gt;"moeda")*(Inputs!$G$5:$G$180&lt;&gt;"acoes")))*INDEX(Inputs!$K$5:$AJ$180,0,MATCH(I$2,Inputs!$K$4:$AJ$4,0)))+SUMPRODUCT((Inputs!$E$5:$E$180=$B45)*Inputs!$F$5:$F$180*(((Inputs!$G$5:$G$180="moeda")+(Inputs!$G$5:$G$180="acoes"))*Inputs!$B$1+((Inputs!$G$5:$G$180&lt;&gt;"moeda")*(Inputs!$G$5:$G$180&lt;&gt;"acoes")))*INDEX(Inputs!$K$5:$AJ$180,0,MATCH(I$2,Inputs!$K$4:$AJ$4,0)))))</f>
        <v>0</v>
      </c>
      <c r="J45" s="6">
        <f>IF(ISNA(MATCH(J$2,Inputs!$K$4:$AJ$4,0)),NA(),IF(SUMPRODUCT((Inputs!$A$5:$A$180=$B45)*ISNUMBER(INDEX(Inputs!$K$5:$AJ$180,0,MATCH(J$2,Inputs!$K$4:$AJ$4,0))))+SUMPRODUCT((Inputs!$C$5:$C$180=$B45)*ISNUMBER(INDEX(Inputs!$K$5:$AJ$180,0,MATCH(J$2,Inputs!$K$4:$AJ$4,0))))+SUMPRODUCT((Inputs!$E$5:$E$180=$B45)*ISNUMBER(INDEX(Inputs!$K$5:$AJ$180,0,MATCH(J$2,Inputs!$K$4:$AJ$4,0))))=0,NA(),SUMPRODUCT((Inputs!$A$5:$A$180=$B45)*Inputs!$B$5:$B$180*(((Inputs!$G$5:$G$180="moeda")+(Inputs!$G$5:$G$180="acoes"))*Inputs!$B$1+((Inputs!$G$5:$G$180&lt;&gt;"moeda")*(Inputs!$G$5:$G$180&lt;&gt;"acoes")))*INDEX(Inputs!$K$5:$AJ$180,0,MATCH(J$2,Inputs!$K$4:$AJ$4,0)))+SUMPRODUCT((Inputs!$C$5:$C$180=$B45)*Inputs!$D$5:$D$180*(((Inputs!$G$5:$G$180="moeda")+(Inputs!$G$5:$G$180="acoes"))*Inputs!$B$1+((Inputs!$G$5:$G$180&lt;&gt;"moeda")*(Inputs!$G$5:$G$180&lt;&gt;"acoes")))*INDEX(Inputs!$K$5:$AJ$180,0,MATCH(J$2,Inputs!$K$4:$AJ$4,0)))+SUMPRODUCT((Inputs!$E$5:$E$180=$B45)*Inputs!$F$5:$F$180*(((Inputs!$G$5:$G$180="moeda")+(Inputs!$G$5:$G$180="acoes"))*Inputs!$B$1+((Inputs!$G$5:$G$180&lt;&gt;"moeda")*(Inputs!$G$5:$G$180&lt;&gt;"acoes")))*INDEX(Inputs!$K$5:$AJ$180,0,MATCH(J$2,Inputs!$K$4:$AJ$4,0)))))</f>
        <v>0</v>
      </c>
      <c r="K45" s="6">
        <f>IF(ISNA(MATCH(K$2,Inputs!$K$4:$AJ$4,0)),NA(),IF(SUMPRODUCT((Inputs!$A$5:$A$180=$B45)*ISNUMBER(INDEX(Inputs!$K$5:$AJ$180,0,MATCH(K$2,Inputs!$K$4:$AJ$4,0))))+SUMPRODUCT((Inputs!$C$5:$C$180=$B45)*ISNUMBER(INDEX(Inputs!$K$5:$AJ$180,0,MATCH(K$2,Inputs!$K$4:$AJ$4,0))))+SUMPRODUCT((Inputs!$E$5:$E$180=$B45)*ISNUMBER(INDEX(Inputs!$K$5:$AJ$180,0,MATCH(K$2,Inputs!$K$4:$AJ$4,0))))=0,NA(),SUMPRODUCT((Inputs!$A$5:$A$180=$B45)*Inputs!$B$5:$B$180*(((Inputs!$G$5:$G$180="moeda")+(Inputs!$G$5:$G$180="acoes"))*Inputs!$B$1+((Inputs!$G$5:$G$180&lt;&gt;"moeda")*(Inputs!$G$5:$G$180&lt;&gt;"acoes")))*INDEX(Inputs!$K$5:$AJ$180,0,MATCH(K$2,Inputs!$K$4:$AJ$4,0)))+SUMPRODUCT((Inputs!$C$5:$C$180=$B45)*Inputs!$D$5:$D$180*(((Inputs!$G$5:$G$180="moeda")+(Inputs!$G$5:$G$180="acoes"))*Inputs!$B$1+((Inputs!$G$5:$G$180&lt;&gt;"moeda")*(Inputs!$G$5:$G$180&lt;&gt;"acoes")))*INDEX(Inputs!$K$5:$AJ$180,0,MATCH(K$2,Inputs!$K$4:$AJ$4,0)))+SUMPRODUCT((Inputs!$E$5:$E$180=$B45)*Inputs!$F$5:$F$180*(((Inputs!$G$5:$G$180="moeda")+(Inputs!$G$5:$G$180="acoes"))*Inputs!$B$1+((Inputs!$G$5:$G$180&lt;&gt;"moeda")*(Inputs!$G$5:$G$180&lt;&gt;"acoes")))*INDEX(Inputs!$K$5:$AJ$180,0,MATCH(K$2,Inputs!$K$4:$AJ$4,0)))))</f>
        <v>0</v>
      </c>
      <c r="L45" s="6">
        <f>IF(ISNA(MATCH(L$2,Inputs!$K$4:$AJ$4,0)),NA(),IF(SUMPRODUCT((Inputs!$A$5:$A$180=$B45)*ISNUMBER(INDEX(Inputs!$K$5:$AJ$180,0,MATCH(L$2,Inputs!$K$4:$AJ$4,0))))+SUMPRODUCT((Inputs!$C$5:$C$180=$B45)*ISNUMBER(INDEX(Inputs!$K$5:$AJ$180,0,MATCH(L$2,Inputs!$K$4:$AJ$4,0))))+SUMPRODUCT((Inputs!$E$5:$E$180=$B45)*ISNUMBER(INDEX(Inputs!$K$5:$AJ$180,0,MATCH(L$2,Inputs!$K$4:$AJ$4,0))))=0,NA(),SUMPRODUCT((Inputs!$A$5:$A$180=$B45)*Inputs!$B$5:$B$180*(((Inputs!$G$5:$G$180="moeda")+(Inputs!$G$5:$G$180="acoes"))*Inputs!$B$1+((Inputs!$G$5:$G$180&lt;&gt;"moeda")*(Inputs!$G$5:$G$180&lt;&gt;"acoes")))*INDEX(Inputs!$K$5:$AJ$180,0,MATCH(L$2,Inputs!$K$4:$AJ$4,0)))+SUMPRODUCT((Inputs!$C$5:$C$180=$B45)*Inputs!$D$5:$D$180*(((Inputs!$G$5:$G$180="moeda")+(Inputs!$G$5:$G$180="acoes"))*Inputs!$B$1+((Inputs!$G$5:$G$180&lt;&gt;"moeda")*(Inputs!$G$5:$G$180&lt;&gt;"acoes")))*INDEX(Inputs!$K$5:$AJ$180,0,MATCH(L$2,Inputs!$K$4:$AJ$4,0)))+SUMPRODUCT((Inputs!$E$5:$E$180=$B45)*Inputs!$F$5:$F$180*(((Inputs!$G$5:$G$180="moeda")+(Inputs!$G$5:$G$180="acoes"))*Inputs!$B$1+((Inputs!$G$5:$G$180&lt;&gt;"moeda")*(Inputs!$G$5:$G$180&lt;&gt;"acoes")))*INDEX(Inputs!$K$5:$AJ$180,0,MATCH(L$2,Inputs!$K$4:$AJ$4,0)))))</f>
        <v>0</v>
      </c>
      <c r="M45" s="3">
        <f>L45</f>
        <v>0</v>
      </c>
      <c r="N45" s="6">
        <f>IF(ISNA(MATCH(N$2,Inputs!$K$4:$AJ$4,0)),NA(),IF(SUMPRODUCT((Inputs!$A$5:$A$180=$B45)*ISNUMBER(INDEX(Inputs!$K$5:$AJ$180,0,MATCH(N$2,Inputs!$K$4:$AJ$4,0))))+SUMPRODUCT((Inputs!$C$5:$C$180=$B45)*ISNUMBER(INDEX(Inputs!$K$5:$AJ$180,0,MATCH(N$2,Inputs!$K$4:$AJ$4,0))))+SUMPRODUCT((Inputs!$E$5:$E$180=$B45)*ISNUMBER(INDEX(Inputs!$K$5:$AJ$180,0,MATCH(N$2,Inputs!$K$4:$AJ$4,0))))=0,NA(),SUMPRODUCT((Inputs!$A$5:$A$180=$B45)*Inputs!$B$5:$B$180*(((Inputs!$G$5:$G$180="moeda")+(Inputs!$G$5:$G$180="acoes"))*Inputs!$B$1+((Inputs!$G$5:$G$180&lt;&gt;"moeda")*(Inputs!$G$5:$G$180&lt;&gt;"acoes")))*INDEX(Inputs!$K$5:$AJ$180,0,MATCH(N$2,Inputs!$K$4:$AJ$4,0)))+SUMPRODUCT((Inputs!$C$5:$C$180=$B45)*Inputs!$D$5:$D$180*(((Inputs!$G$5:$G$180="moeda")+(Inputs!$G$5:$G$180="acoes"))*Inputs!$B$1+((Inputs!$G$5:$G$180&lt;&gt;"moeda")*(Inputs!$G$5:$G$180&lt;&gt;"acoes")))*INDEX(Inputs!$K$5:$AJ$180,0,MATCH(N$2,Inputs!$K$4:$AJ$4,0)))+SUMPRODUCT((Inputs!$E$5:$E$180=$B45)*Inputs!$F$5:$F$180*(((Inputs!$G$5:$G$180="moeda")+(Inputs!$G$5:$G$180="acoes"))*Inputs!$B$1+((Inputs!$G$5:$G$180&lt;&gt;"moeda")*(Inputs!$G$5:$G$180&lt;&gt;"acoes")))*INDEX(Inputs!$K$5:$AJ$180,0,MATCH(N$2,Inputs!$K$4:$AJ$4,0)))))</f>
        <v>0</v>
      </c>
      <c r="O45" s="6">
        <f>IF(ISNA(MATCH(O$2,Inputs!$K$4:$AJ$4,0)),NA(),IF(SUMPRODUCT((Inputs!$A$5:$A$180=$B45)*ISNUMBER(INDEX(Inputs!$K$5:$AJ$180,0,MATCH(O$2,Inputs!$K$4:$AJ$4,0))))+SUMPRODUCT((Inputs!$C$5:$C$180=$B45)*ISNUMBER(INDEX(Inputs!$K$5:$AJ$180,0,MATCH(O$2,Inputs!$K$4:$AJ$4,0))))+SUMPRODUCT((Inputs!$E$5:$E$180=$B45)*ISNUMBER(INDEX(Inputs!$K$5:$AJ$180,0,MATCH(O$2,Inputs!$K$4:$AJ$4,0))))=0,NA(),SUMPRODUCT((Inputs!$A$5:$A$180=$B45)*Inputs!$B$5:$B$180*(((Inputs!$G$5:$G$180="moeda")+(Inputs!$G$5:$G$180="acoes"))*Inputs!$B$1+((Inputs!$G$5:$G$180&lt;&gt;"moeda")*(Inputs!$G$5:$G$180&lt;&gt;"acoes")))*INDEX(Inputs!$K$5:$AJ$180,0,MATCH(O$2,Inputs!$K$4:$AJ$4,0)))+SUMPRODUCT((Inputs!$C$5:$C$180=$B45)*Inputs!$D$5:$D$180*(((Inputs!$G$5:$G$180="moeda")+(Inputs!$G$5:$G$180="acoes"))*Inputs!$B$1+((Inputs!$G$5:$G$180&lt;&gt;"moeda")*(Inputs!$G$5:$G$180&lt;&gt;"acoes")))*INDEX(Inputs!$K$5:$AJ$180,0,MATCH(O$2,Inputs!$K$4:$AJ$4,0)))+SUMPRODUCT((Inputs!$E$5:$E$180=$B45)*Inputs!$F$5:$F$180*(((Inputs!$G$5:$G$180="moeda")+(Inputs!$G$5:$G$180="acoes"))*Inputs!$B$1+((Inputs!$G$5:$G$180&lt;&gt;"moeda")*(Inputs!$G$5:$G$180&lt;&gt;"acoes")))*INDEX(Inputs!$K$5:$AJ$180,0,MATCH(O$2,Inputs!$K$4:$AJ$4,0)))))</f>
        <v>73.884</v>
      </c>
      <c r="P45" s="6">
        <f>IF(ISNA(MATCH(P$2,Inputs!$K$4:$AJ$4,0)),NA(),IF(SUMPRODUCT((Inputs!$A$5:$A$180=$B45)*ISNUMBER(INDEX(Inputs!$K$5:$AJ$180,0,MATCH(P$2,Inputs!$K$4:$AJ$4,0))))+SUMPRODUCT((Inputs!$C$5:$C$180=$B45)*ISNUMBER(INDEX(Inputs!$K$5:$AJ$180,0,MATCH(P$2,Inputs!$K$4:$AJ$4,0))))+SUMPRODUCT((Inputs!$E$5:$E$180=$B45)*ISNUMBER(INDEX(Inputs!$K$5:$AJ$180,0,MATCH(P$2,Inputs!$K$4:$AJ$4,0))))=0,NA(),SUMPRODUCT((Inputs!$A$5:$A$180=$B45)*Inputs!$B$5:$B$180*(((Inputs!$G$5:$G$180="moeda")+(Inputs!$G$5:$G$180="acoes"))*Inputs!$B$1+((Inputs!$G$5:$G$180&lt;&gt;"moeda")*(Inputs!$G$5:$G$180&lt;&gt;"acoes")))*INDEX(Inputs!$K$5:$AJ$180,0,MATCH(P$2,Inputs!$K$4:$AJ$4,0)))+SUMPRODUCT((Inputs!$C$5:$C$180=$B45)*Inputs!$D$5:$D$180*(((Inputs!$G$5:$G$180="moeda")+(Inputs!$G$5:$G$180="acoes"))*Inputs!$B$1+((Inputs!$G$5:$G$180&lt;&gt;"moeda")*(Inputs!$G$5:$G$180&lt;&gt;"acoes")))*INDEX(Inputs!$K$5:$AJ$180,0,MATCH(P$2,Inputs!$K$4:$AJ$4,0)))+SUMPRODUCT((Inputs!$E$5:$E$180=$B45)*Inputs!$F$5:$F$180*(((Inputs!$G$5:$G$180="moeda")+(Inputs!$G$5:$G$180="acoes"))*Inputs!$B$1+((Inputs!$G$5:$G$180&lt;&gt;"moeda")*(Inputs!$G$5:$G$180&lt;&gt;"acoes")))*INDEX(Inputs!$K$5:$AJ$180,0,MATCH(P$2,Inputs!$K$4:$AJ$4,0)))))</f>
        <v>73.884</v>
      </c>
      <c r="Q45" s="6">
        <f>IF(ISNA(MATCH(Q$2,Inputs!$K$4:$AJ$4,0)),NA(),IF(SUMPRODUCT((Inputs!$A$5:$A$180=$B45)*ISNUMBER(INDEX(Inputs!$K$5:$AJ$180,0,MATCH(Q$2,Inputs!$K$4:$AJ$4,0))))+SUMPRODUCT((Inputs!$C$5:$C$180=$B45)*ISNUMBER(INDEX(Inputs!$K$5:$AJ$180,0,MATCH(Q$2,Inputs!$K$4:$AJ$4,0))))+SUMPRODUCT((Inputs!$E$5:$E$180=$B45)*ISNUMBER(INDEX(Inputs!$K$5:$AJ$180,0,MATCH(Q$2,Inputs!$K$4:$AJ$4,0))))=0,NA(),SUMPRODUCT((Inputs!$A$5:$A$180=$B45)*Inputs!$B$5:$B$180*(((Inputs!$G$5:$G$180="moeda")+(Inputs!$G$5:$G$180="acoes"))*Inputs!$B$1+((Inputs!$G$5:$G$180&lt;&gt;"moeda")*(Inputs!$G$5:$G$180&lt;&gt;"acoes")))*INDEX(Inputs!$K$5:$AJ$180,0,MATCH(Q$2,Inputs!$K$4:$AJ$4,0)))+SUMPRODUCT((Inputs!$C$5:$C$180=$B45)*Inputs!$D$5:$D$180*(((Inputs!$G$5:$G$180="moeda")+(Inputs!$G$5:$G$180="acoes"))*Inputs!$B$1+((Inputs!$G$5:$G$180&lt;&gt;"moeda")*(Inputs!$G$5:$G$180&lt;&gt;"acoes")))*INDEX(Inputs!$K$5:$AJ$180,0,MATCH(Q$2,Inputs!$K$4:$AJ$4,0)))+SUMPRODUCT((Inputs!$E$5:$E$180=$B45)*Inputs!$F$5:$F$180*(((Inputs!$G$5:$G$180="moeda")+(Inputs!$G$5:$G$180="acoes"))*Inputs!$B$1+((Inputs!$G$5:$G$180&lt;&gt;"moeda")*(Inputs!$G$5:$G$180&lt;&gt;"acoes")))*INDEX(Inputs!$K$5:$AJ$180,0,MATCH(Q$2,Inputs!$K$4:$AJ$4,0)))))</f>
        <v>73.884</v>
      </c>
      <c r="R45" s="3">
        <f>Q45</f>
        <v>73.884</v>
      </c>
      <c r="S45" s="6">
        <f>IF(ISNA(MATCH(S$2,Inputs!$K$4:$AJ$4,0)),NA(),IF(SUMPRODUCT((Inputs!$A$5:$A$180=$B45)*ISNUMBER(INDEX(Inputs!$K$5:$AJ$180,0,MATCH(S$2,Inputs!$K$4:$AJ$4,0))))+SUMPRODUCT((Inputs!$C$5:$C$180=$B45)*ISNUMBER(INDEX(Inputs!$K$5:$AJ$180,0,MATCH(S$2,Inputs!$K$4:$AJ$4,0))))+SUMPRODUCT((Inputs!$E$5:$E$180=$B45)*ISNUMBER(INDEX(Inputs!$K$5:$AJ$180,0,MATCH(S$2,Inputs!$K$4:$AJ$4,0))))=0,NA(),SUMPRODUCT((Inputs!$A$5:$A$180=$B45)*Inputs!$B$5:$B$180*(((Inputs!$G$5:$G$180="moeda")+(Inputs!$G$5:$G$180="acoes"))*Inputs!$B$1+((Inputs!$G$5:$G$180&lt;&gt;"moeda")*(Inputs!$G$5:$G$180&lt;&gt;"acoes")))*INDEX(Inputs!$K$5:$AJ$180,0,MATCH(S$2,Inputs!$K$4:$AJ$4,0)))+SUMPRODUCT((Inputs!$C$5:$C$180=$B45)*Inputs!$D$5:$D$180*(((Inputs!$G$5:$G$180="moeda")+(Inputs!$G$5:$G$180="acoes"))*Inputs!$B$1+((Inputs!$G$5:$G$180&lt;&gt;"moeda")*(Inputs!$G$5:$G$180&lt;&gt;"acoes")))*INDEX(Inputs!$K$5:$AJ$180,0,MATCH(S$2,Inputs!$K$4:$AJ$4,0)))+SUMPRODUCT((Inputs!$E$5:$E$180=$B45)*Inputs!$F$5:$F$180*(((Inputs!$G$5:$G$180="moeda")+(Inputs!$G$5:$G$180="acoes"))*Inputs!$B$1+((Inputs!$G$5:$G$180&lt;&gt;"moeda")*(Inputs!$G$5:$G$180&lt;&gt;"acoes")))*INDEX(Inputs!$K$5:$AJ$180,0,MATCH(S$2,Inputs!$K$4:$AJ$4,0)))))</f>
        <v>73.884</v>
      </c>
      <c r="T45" s="6">
        <f>IF(ISNA(MATCH(T$2,Inputs!$K$4:$AJ$4,0)),NA(),IF(SUMPRODUCT((Inputs!$A$5:$A$180=$B45)*ISNUMBER(INDEX(Inputs!$K$5:$AJ$180,0,MATCH(T$2,Inputs!$K$4:$AJ$4,0))))+SUMPRODUCT((Inputs!$C$5:$C$180=$B45)*ISNUMBER(INDEX(Inputs!$K$5:$AJ$180,0,MATCH(T$2,Inputs!$K$4:$AJ$4,0))))+SUMPRODUCT((Inputs!$E$5:$E$180=$B45)*ISNUMBER(INDEX(Inputs!$K$5:$AJ$180,0,MATCH(T$2,Inputs!$K$4:$AJ$4,0))))=0,NA(),SUMPRODUCT((Inputs!$A$5:$A$180=$B45)*Inputs!$B$5:$B$180*(((Inputs!$G$5:$G$180="moeda")+(Inputs!$G$5:$G$180="acoes"))*Inputs!$B$1+((Inputs!$G$5:$G$180&lt;&gt;"moeda")*(Inputs!$G$5:$G$180&lt;&gt;"acoes")))*INDEX(Inputs!$K$5:$AJ$180,0,MATCH(T$2,Inputs!$K$4:$AJ$4,0)))+SUMPRODUCT((Inputs!$C$5:$C$180=$B45)*Inputs!$D$5:$D$180*(((Inputs!$G$5:$G$180="moeda")+(Inputs!$G$5:$G$180="acoes"))*Inputs!$B$1+((Inputs!$G$5:$G$180&lt;&gt;"moeda")*(Inputs!$G$5:$G$180&lt;&gt;"acoes")))*INDEX(Inputs!$K$5:$AJ$180,0,MATCH(T$2,Inputs!$K$4:$AJ$4,0)))+SUMPRODUCT((Inputs!$E$5:$E$180=$B45)*Inputs!$F$5:$F$180*(((Inputs!$G$5:$G$180="moeda")+(Inputs!$G$5:$G$180="acoes"))*Inputs!$B$1+((Inputs!$G$5:$G$180&lt;&gt;"moeda")*(Inputs!$G$5:$G$180&lt;&gt;"acoes")))*INDEX(Inputs!$K$5:$AJ$180,0,MATCH(T$2,Inputs!$K$4:$AJ$4,0)))))</f>
        <v>73.884</v>
      </c>
      <c r="U45" s="6">
        <f>IF(ISNA(MATCH(U$2,Inputs!$K$4:$AJ$4,0)),NA(),IF(SUMPRODUCT((Inputs!$A$5:$A$180=$B45)*ISNUMBER(INDEX(Inputs!$K$5:$AJ$180,0,MATCH(U$2,Inputs!$K$4:$AJ$4,0))))+SUMPRODUCT((Inputs!$C$5:$C$180=$B45)*ISNUMBER(INDEX(Inputs!$K$5:$AJ$180,0,MATCH(U$2,Inputs!$K$4:$AJ$4,0))))+SUMPRODUCT((Inputs!$E$5:$E$180=$B45)*ISNUMBER(INDEX(Inputs!$K$5:$AJ$180,0,MATCH(U$2,Inputs!$K$4:$AJ$4,0))))=0,NA(),SUMPRODUCT((Inputs!$A$5:$A$180=$B45)*Inputs!$B$5:$B$180*(((Inputs!$G$5:$G$180="moeda")+(Inputs!$G$5:$G$180="acoes"))*Inputs!$B$1+((Inputs!$G$5:$G$180&lt;&gt;"moeda")*(Inputs!$G$5:$G$180&lt;&gt;"acoes")))*INDEX(Inputs!$K$5:$AJ$180,0,MATCH(U$2,Inputs!$K$4:$AJ$4,0)))+SUMPRODUCT((Inputs!$C$5:$C$180=$B45)*Inputs!$D$5:$D$180*(((Inputs!$G$5:$G$180="moeda")+(Inputs!$G$5:$G$180="acoes"))*Inputs!$B$1+((Inputs!$G$5:$G$180&lt;&gt;"moeda")*(Inputs!$G$5:$G$180&lt;&gt;"acoes")))*INDEX(Inputs!$K$5:$AJ$180,0,MATCH(U$2,Inputs!$K$4:$AJ$4,0)))+SUMPRODUCT((Inputs!$E$5:$E$180=$B45)*Inputs!$F$5:$F$180*(((Inputs!$G$5:$G$180="moeda")+(Inputs!$G$5:$G$180="acoes"))*Inputs!$B$1+((Inputs!$G$5:$G$180&lt;&gt;"moeda")*(Inputs!$G$5:$G$180&lt;&gt;"acoes")))*INDEX(Inputs!$K$5:$AJ$180,0,MATCH(U$2,Inputs!$K$4:$AJ$4,0)))))</f>
        <v>73.884</v>
      </c>
      <c r="V45" s="6">
        <f>IF(ISNA(MATCH(V$2,Inputs!$K$4:$AJ$4,0)),NA(),IF(SUMPRODUCT((Inputs!$A$5:$A$180=$B45)*ISNUMBER(INDEX(Inputs!$K$5:$AJ$180,0,MATCH(V$2,Inputs!$K$4:$AJ$4,0))))+SUMPRODUCT((Inputs!$C$5:$C$180=$B45)*ISNUMBER(INDEX(Inputs!$K$5:$AJ$180,0,MATCH(V$2,Inputs!$K$4:$AJ$4,0))))+SUMPRODUCT((Inputs!$E$5:$E$180=$B45)*ISNUMBER(INDEX(Inputs!$K$5:$AJ$180,0,MATCH(V$2,Inputs!$K$4:$AJ$4,0))))=0,NA(),SUMPRODUCT((Inputs!$A$5:$A$180=$B45)*Inputs!$B$5:$B$180*(((Inputs!$G$5:$G$180="moeda")+(Inputs!$G$5:$G$180="acoes"))*Inputs!$B$1+((Inputs!$G$5:$G$180&lt;&gt;"moeda")*(Inputs!$G$5:$G$180&lt;&gt;"acoes")))*INDEX(Inputs!$K$5:$AJ$180,0,MATCH(V$2,Inputs!$K$4:$AJ$4,0)))+SUMPRODUCT((Inputs!$C$5:$C$180=$B45)*Inputs!$D$5:$D$180*(((Inputs!$G$5:$G$180="moeda")+(Inputs!$G$5:$G$180="acoes"))*Inputs!$B$1+((Inputs!$G$5:$G$180&lt;&gt;"moeda")*(Inputs!$G$5:$G$180&lt;&gt;"acoes")))*INDEX(Inputs!$K$5:$AJ$180,0,MATCH(V$2,Inputs!$K$4:$AJ$4,0)))+SUMPRODUCT((Inputs!$E$5:$E$180=$B45)*Inputs!$F$5:$F$180*(((Inputs!$G$5:$G$180="moeda")+(Inputs!$G$5:$G$180="acoes"))*Inputs!$B$1+((Inputs!$G$5:$G$180&lt;&gt;"moeda")*(Inputs!$G$5:$G$180&lt;&gt;"acoes")))*INDEX(Inputs!$K$5:$AJ$180,0,MATCH(V$2,Inputs!$K$4:$AJ$4,0)))))</f>
        <v>52.817</v>
      </c>
      <c r="W45" s="3">
        <f>V45</f>
        <v>52.817</v>
      </c>
      <c r="X45" s="6">
        <f>IF(ISNA(MATCH(X$2,Inputs!$K$4:$AJ$4,0)),NA(),IF(SUMPRODUCT((Inputs!$A$5:$A$180=$B45)*ISNUMBER(INDEX(Inputs!$K$5:$AJ$180,0,MATCH(X$2,Inputs!$K$4:$AJ$4,0))))+SUMPRODUCT((Inputs!$C$5:$C$180=$B45)*ISNUMBER(INDEX(Inputs!$K$5:$AJ$180,0,MATCH(X$2,Inputs!$K$4:$AJ$4,0))))+SUMPRODUCT((Inputs!$E$5:$E$180=$B45)*ISNUMBER(INDEX(Inputs!$K$5:$AJ$180,0,MATCH(X$2,Inputs!$K$4:$AJ$4,0))))=0,NA(),SUMPRODUCT((Inputs!$A$5:$A$180=$B45)*Inputs!$B$5:$B$180*(((Inputs!$G$5:$G$180="moeda")+(Inputs!$G$5:$G$180="acoes"))*Inputs!$B$1+((Inputs!$G$5:$G$180&lt;&gt;"moeda")*(Inputs!$G$5:$G$180&lt;&gt;"acoes")))*INDEX(Inputs!$K$5:$AJ$180,0,MATCH(X$2,Inputs!$K$4:$AJ$4,0)))+SUMPRODUCT((Inputs!$C$5:$C$180=$B45)*Inputs!$D$5:$D$180*(((Inputs!$G$5:$G$180="moeda")+(Inputs!$G$5:$G$180="acoes"))*Inputs!$B$1+((Inputs!$G$5:$G$180&lt;&gt;"moeda")*(Inputs!$G$5:$G$180&lt;&gt;"acoes")))*INDEX(Inputs!$K$5:$AJ$180,0,MATCH(X$2,Inputs!$K$4:$AJ$4,0)))+SUMPRODUCT((Inputs!$E$5:$E$180=$B45)*Inputs!$F$5:$F$180*(((Inputs!$G$5:$G$180="moeda")+(Inputs!$G$5:$G$180="acoes"))*Inputs!$B$1+((Inputs!$G$5:$G$180&lt;&gt;"moeda")*(Inputs!$G$5:$G$180&lt;&gt;"acoes")))*INDEX(Inputs!$K$5:$AJ$180,0,MATCH(X$2,Inputs!$K$4:$AJ$4,0)))))</f>
        <v>52.817</v>
      </c>
      <c r="Y45" s="6">
        <f>IF(ISNA(MATCH(Y$2,Inputs!$K$4:$AJ$4,0)),NA(),IF(SUMPRODUCT((Inputs!$A$5:$A$180=$B45)*ISNUMBER(INDEX(Inputs!$K$5:$AJ$180,0,MATCH(Y$2,Inputs!$K$4:$AJ$4,0))))+SUMPRODUCT((Inputs!$C$5:$C$180=$B45)*ISNUMBER(INDEX(Inputs!$K$5:$AJ$180,0,MATCH(Y$2,Inputs!$K$4:$AJ$4,0))))+SUMPRODUCT((Inputs!$E$5:$E$180=$B45)*ISNUMBER(INDEX(Inputs!$K$5:$AJ$180,0,MATCH(Y$2,Inputs!$K$4:$AJ$4,0))))=0,NA(),SUMPRODUCT((Inputs!$A$5:$A$180=$B45)*Inputs!$B$5:$B$180*(((Inputs!$G$5:$G$180="moeda")+(Inputs!$G$5:$G$180="acoes"))*Inputs!$B$1+((Inputs!$G$5:$G$180&lt;&gt;"moeda")*(Inputs!$G$5:$G$180&lt;&gt;"acoes")))*INDEX(Inputs!$K$5:$AJ$180,0,MATCH(Y$2,Inputs!$K$4:$AJ$4,0)))+SUMPRODUCT((Inputs!$C$5:$C$180=$B45)*Inputs!$D$5:$D$180*(((Inputs!$G$5:$G$180="moeda")+(Inputs!$G$5:$G$180="acoes"))*Inputs!$B$1+((Inputs!$G$5:$G$180&lt;&gt;"moeda")*(Inputs!$G$5:$G$180&lt;&gt;"acoes")))*INDEX(Inputs!$K$5:$AJ$180,0,MATCH(Y$2,Inputs!$K$4:$AJ$4,0)))+SUMPRODUCT((Inputs!$E$5:$E$180=$B45)*Inputs!$F$5:$F$180*(((Inputs!$G$5:$G$180="moeda")+(Inputs!$G$5:$G$180="acoes"))*Inputs!$B$1+((Inputs!$G$5:$G$180&lt;&gt;"moeda")*(Inputs!$G$5:$G$180&lt;&gt;"acoes")))*INDEX(Inputs!$K$5:$AJ$180,0,MATCH(Y$2,Inputs!$K$4:$AJ$4,0)))))</f>
        <v>52.817</v>
      </c>
      <c r="Z45" s="6">
        <f>IF(ISNA(MATCH(Z$2,Inputs!$K$4:$AJ$4,0)),NA(),IF(SUMPRODUCT((Inputs!$A$5:$A$180=$B45)*ISNUMBER(INDEX(Inputs!$K$5:$AJ$180,0,MATCH(Z$2,Inputs!$K$4:$AJ$4,0))))+SUMPRODUCT((Inputs!$C$5:$C$180=$B45)*ISNUMBER(INDEX(Inputs!$K$5:$AJ$180,0,MATCH(Z$2,Inputs!$K$4:$AJ$4,0))))+SUMPRODUCT((Inputs!$E$5:$E$180=$B45)*ISNUMBER(INDEX(Inputs!$K$5:$AJ$180,0,MATCH(Z$2,Inputs!$K$4:$AJ$4,0))))=0,NA(),SUMPRODUCT((Inputs!$A$5:$A$180=$B45)*Inputs!$B$5:$B$180*(((Inputs!$G$5:$G$180="moeda")+(Inputs!$G$5:$G$180="acoes"))*Inputs!$B$1+((Inputs!$G$5:$G$180&lt;&gt;"moeda")*(Inputs!$G$5:$G$180&lt;&gt;"acoes")))*INDEX(Inputs!$K$5:$AJ$180,0,MATCH(Z$2,Inputs!$K$4:$AJ$4,0)))+SUMPRODUCT((Inputs!$C$5:$C$180=$B45)*Inputs!$D$5:$D$180*(((Inputs!$G$5:$G$180="moeda")+(Inputs!$G$5:$G$180="acoes"))*Inputs!$B$1+((Inputs!$G$5:$G$180&lt;&gt;"moeda")*(Inputs!$G$5:$G$180&lt;&gt;"acoes")))*INDEX(Inputs!$K$5:$AJ$180,0,MATCH(Z$2,Inputs!$K$4:$AJ$4,0)))+SUMPRODUCT((Inputs!$E$5:$E$180=$B45)*Inputs!$F$5:$F$180*(((Inputs!$G$5:$G$180="moeda")+(Inputs!$G$5:$G$180="acoes"))*Inputs!$B$1+((Inputs!$G$5:$G$180&lt;&gt;"moeda")*(Inputs!$G$5:$G$180&lt;&gt;"acoes")))*INDEX(Inputs!$K$5:$AJ$180,0,MATCH(Z$2,Inputs!$K$4:$AJ$4,0)))))</f>
        <v>52.817</v>
      </c>
      <c r="AA45" s="6">
        <f>IF(ISNA(MATCH(AA$2,Inputs!$K$4:$AJ$4,0)),NA(),IF(SUMPRODUCT((Inputs!$A$5:$A$180=$B45)*ISNUMBER(INDEX(Inputs!$K$5:$AJ$180,0,MATCH(AA$2,Inputs!$K$4:$AJ$4,0))))+SUMPRODUCT((Inputs!$C$5:$C$180=$B45)*ISNUMBER(INDEX(Inputs!$K$5:$AJ$180,0,MATCH(AA$2,Inputs!$K$4:$AJ$4,0))))+SUMPRODUCT((Inputs!$E$5:$E$180=$B45)*ISNUMBER(INDEX(Inputs!$K$5:$AJ$180,0,MATCH(AA$2,Inputs!$K$4:$AJ$4,0))))=0,NA(),SUMPRODUCT((Inputs!$A$5:$A$180=$B45)*Inputs!$B$5:$B$180*(((Inputs!$G$5:$G$180="moeda")+(Inputs!$G$5:$G$180="acoes"))*Inputs!$B$1+((Inputs!$G$5:$G$180&lt;&gt;"moeda")*(Inputs!$G$5:$G$180&lt;&gt;"acoes")))*INDEX(Inputs!$K$5:$AJ$180,0,MATCH(AA$2,Inputs!$K$4:$AJ$4,0)))+SUMPRODUCT((Inputs!$C$5:$C$180=$B45)*Inputs!$D$5:$D$180*(((Inputs!$G$5:$G$180="moeda")+(Inputs!$G$5:$G$180="acoes"))*Inputs!$B$1+((Inputs!$G$5:$G$180&lt;&gt;"moeda")*(Inputs!$G$5:$G$180&lt;&gt;"acoes")))*INDEX(Inputs!$K$5:$AJ$180,0,MATCH(AA$2,Inputs!$K$4:$AJ$4,0)))+SUMPRODUCT((Inputs!$E$5:$E$180=$B45)*Inputs!$F$5:$F$180*(((Inputs!$G$5:$G$180="moeda")+(Inputs!$G$5:$G$180="acoes"))*Inputs!$B$1+((Inputs!$G$5:$G$180&lt;&gt;"moeda")*(Inputs!$G$5:$G$180&lt;&gt;"acoes")))*INDEX(Inputs!$K$5:$AJ$180,0,MATCH(AA$2,Inputs!$K$4:$AJ$4,0)))))</f>
        <v>52.817</v>
      </c>
      <c r="AB45" s="3">
        <f>AA45</f>
        <v>52.817</v>
      </c>
      <c r="AC45" s="6">
        <f>IF(ISNA(MATCH(AC$2,Inputs!$K$4:$AJ$4,0)),NA(),IF(SUMPRODUCT((Inputs!$A$5:$A$180=$B45)*ISNUMBER(INDEX(Inputs!$K$5:$AJ$180,0,MATCH(AC$2,Inputs!$K$4:$AJ$4,0))))+SUMPRODUCT((Inputs!$C$5:$C$180=$B45)*ISNUMBER(INDEX(Inputs!$K$5:$AJ$180,0,MATCH(AC$2,Inputs!$K$4:$AJ$4,0))))+SUMPRODUCT((Inputs!$E$5:$E$180=$B45)*ISNUMBER(INDEX(Inputs!$K$5:$AJ$180,0,MATCH(AC$2,Inputs!$K$4:$AJ$4,0))))=0,NA(),SUMPRODUCT((Inputs!$A$5:$A$180=$B45)*Inputs!$B$5:$B$180*(((Inputs!$G$5:$G$180="moeda")+(Inputs!$G$5:$G$180="acoes"))*Inputs!$B$1+((Inputs!$G$5:$G$180&lt;&gt;"moeda")*(Inputs!$G$5:$G$180&lt;&gt;"acoes")))*INDEX(Inputs!$K$5:$AJ$180,0,MATCH(AC$2,Inputs!$K$4:$AJ$4,0)))+SUMPRODUCT((Inputs!$C$5:$C$180=$B45)*Inputs!$D$5:$D$180*(((Inputs!$G$5:$G$180="moeda")+(Inputs!$G$5:$G$180="acoes"))*Inputs!$B$1+((Inputs!$G$5:$G$180&lt;&gt;"moeda")*(Inputs!$G$5:$G$180&lt;&gt;"acoes")))*INDEX(Inputs!$K$5:$AJ$180,0,MATCH(AC$2,Inputs!$K$4:$AJ$4,0)))+SUMPRODUCT((Inputs!$E$5:$E$180=$B45)*Inputs!$F$5:$F$180*(((Inputs!$G$5:$G$180="moeda")+(Inputs!$G$5:$G$180="acoes"))*Inputs!$B$1+((Inputs!$G$5:$G$180&lt;&gt;"moeda")*(Inputs!$G$5:$G$180&lt;&gt;"acoes")))*INDEX(Inputs!$K$5:$AJ$180,0,MATCH(AC$2,Inputs!$K$4:$AJ$4,0)))))</f>
        <v>52.817</v>
      </c>
      <c r="AD45" s="6">
        <f>IF(ISNA(MATCH(AD$2,Inputs!$K$4:$AJ$4,0)),NA(),IF(SUMPRODUCT((Inputs!$A$5:$A$180=$B45)*ISNUMBER(INDEX(Inputs!$K$5:$AJ$180,0,MATCH(AD$2,Inputs!$K$4:$AJ$4,0))))+SUMPRODUCT((Inputs!$C$5:$C$180=$B45)*ISNUMBER(INDEX(Inputs!$K$5:$AJ$180,0,MATCH(AD$2,Inputs!$K$4:$AJ$4,0))))+SUMPRODUCT((Inputs!$E$5:$E$180=$B45)*ISNUMBER(INDEX(Inputs!$K$5:$AJ$180,0,MATCH(AD$2,Inputs!$K$4:$AJ$4,0))))=0,NA(),SUMPRODUCT((Inputs!$A$5:$A$180=$B45)*Inputs!$B$5:$B$180*(((Inputs!$G$5:$G$180="moeda")+(Inputs!$G$5:$G$180="acoes"))*Inputs!$B$1+((Inputs!$G$5:$G$180&lt;&gt;"moeda")*(Inputs!$G$5:$G$180&lt;&gt;"acoes")))*INDEX(Inputs!$K$5:$AJ$180,0,MATCH(AD$2,Inputs!$K$4:$AJ$4,0)))+SUMPRODUCT((Inputs!$C$5:$C$180=$B45)*Inputs!$D$5:$D$180*(((Inputs!$G$5:$G$180="moeda")+(Inputs!$G$5:$G$180="acoes"))*Inputs!$B$1+((Inputs!$G$5:$G$180&lt;&gt;"moeda")*(Inputs!$G$5:$G$180&lt;&gt;"acoes")))*INDEX(Inputs!$K$5:$AJ$180,0,MATCH(AD$2,Inputs!$K$4:$AJ$4,0)))+SUMPRODUCT((Inputs!$E$5:$E$180=$B45)*Inputs!$F$5:$F$180*(((Inputs!$G$5:$G$180="moeda")+(Inputs!$G$5:$G$180="acoes"))*Inputs!$B$1+((Inputs!$G$5:$G$180&lt;&gt;"moeda")*(Inputs!$G$5:$G$180&lt;&gt;"acoes")))*INDEX(Inputs!$K$5:$AJ$180,0,MATCH(AD$2,Inputs!$K$4:$AJ$4,0)))))</f>
        <v>52.817</v>
      </c>
      <c r="AE45" s="6" t="e">
        <f>IF(ISNA(MATCH(AE$2,Inputs!$K$4:$AJ$4,0)),NA(),IF(SUMPRODUCT((Inputs!$A$5:$A$180=$B45)*ISNUMBER(INDEX(Inputs!$K$5:$AJ$180,0,MATCH(AE$2,Inputs!$K$4:$AJ$4,0))))+SUMPRODUCT((Inputs!$C$5:$C$180=$B45)*ISNUMBER(INDEX(Inputs!$K$5:$AJ$180,0,MATCH(AE$2,Inputs!$K$4:$AJ$4,0))))+SUMPRODUCT((Inputs!$E$5:$E$180=$B45)*ISNUMBER(INDEX(Inputs!$K$5:$AJ$180,0,MATCH(AE$2,Inputs!$K$4:$AJ$4,0))))=0,NA(),SUMPRODUCT((Inputs!$A$5:$A$180=$B45)*Inputs!$B$5:$B$180*(((Inputs!$G$5:$G$180="moeda")+(Inputs!$G$5:$G$180="acoes"))*Inputs!$B$1+((Inputs!$G$5:$G$180&lt;&gt;"moeda")*(Inputs!$G$5:$G$180&lt;&gt;"acoes")))*INDEX(Inputs!$K$5:$AJ$180,0,MATCH(AE$2,Inputs!$K$4:$AJ$4,0)))+SUMPRODUCT((Inputs!$C$5:$C$180=$B45)*Inputs!$D$5:$D$180*(((Inputs!$G$5:$G$180="moeda")+(Inputs!$G$5:$G$180="acoes"))*Inputs!$B$1+((Inputs!$G$5:$G$180&lt;&gt;"moeda")*(Inputs!$G$5:$G$180&lt;&gt;"acoes")))*INDEX(Inputs!$K$5:$AJ$180,0,MATCH(AE$2,Inputs!$K$4:$AJ$4,0)))+SUMPRODUCT((Inputs!$E$5:$E$180=$B45)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5" s="6" t="e">
        <f>IF(ISNA(MATCH(AF$2,Inputs!$K$4:$AJ$4,0)),NA(),IF(SUMPRODUCT((Inputs!$A$5:$A$180=$B45)*ISNUMBER(INDEX(Inputs!$K$5:$AJ$180,0,MATCH(AF$2,Inputs!$K$4:$AJ$4,0))))+SUMPRODUCT((Inputs!$C$5:$C$180=$B45)*ISNUMBER(INDEX(Inputs!$K$5:$AJ$180,0,MATCH(AF$2,Inputs!$K$4:$AJ$4,0))))+SUMPRODUCT((Inputs!$E$5:$E$180=$B45)*ISNUMBER(INDEX(Inputs!$K$5:$AJ$180,0,MATCH(AF$2,Inputs!$K$4:$AJ$4,0))))=0,NA(),SUMPRODUCT((Inputs!$A$5:$A$180=$B45)*Inputs!$B$5:$B$180*(((Inputs!$G$5:$G$180="moeda")+(Inputs!$G$5:$G$180="acoes"))*Inputs!$B$1+((Inputs!$G$5:$G$180&lt;&gt;"moeda")*(Inputs!$G$5:$G$180&lt;&gt;"acoes")))*INDEX(Inputs!$K$5:$AJ$180,0,MATCH(AF$2,Inputs!$K$4:$AJ$4,0)))+SUMPRODUCT((Inputs!$C$5:$C$180=$B45)*Inputs!$D$5:$D$180*(((Inputs!$G$5:$G$180="moeda")+(Inputs!$G$5:$G$180="acoes"))*Inputs!$B$1+((Inputs!$G$5:$G$180&lt;&gt;"moeda")*(Inputs!$G$5:$G$180&lt;&gt;"acoes")))*INDEX(Inputs!$K$5:$AJ$180,0,MATCH(AF$2,Inputs!$K$4:$AJ$4,0)))+SUMPRODUCT((Inputs!$E$5:$E$180=$B45)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5" s="3" t="e">
        <f>AF45</f>
        <v>#N/A</v>
      </c>
      <c r="AH45" s="6">
        <f>IF(ISNA(MATCH(AH$2,Inputs!$K$4:$AJ$4,0)),NA(),IF(SUMPRODUCT((Inputs!$A$5:$A$180=$B45)*ISNUMBER(INDEX(Inputs!$K$5:$AJ$180,0,MATCH(AH$2,Inputs!$K$4:$AJ$4,0))))+SUMPRODUCT((Inputs!$C$5:$C$180=$B45)*ISNUMBER(INDEX(Inputs!$K$5:$AJ$180,0,MATCH(AH$2,Inputs!$K$4:$AJ$4,0))))+SUMPRODUCT((Inputs!$E$5:$E$180=$B45)*ISNUMBER(INDEX(Inputs!$K$5:$AJ$180,0,MATCH(AH$2,Inputs!$K$4:$AJ$4,0))))=0,NA(),SUMPRODUCT((Inputs!$A$5:$A$180=$B45)*Inputs!$B$5:$B$180*(((Inputs!$G$5:$G$180="moeda")+(Inputs!$G$5:$G$180="acoes"))*Inputs!$B$1+((Inputs!$G$5:$G$180&lt;&gt;"moeda")*(Inputs!$G$5:$G$180&lt;&gt;"acoes")))*INDEX(Inputs!$K$5:$AJ$180,0,MATCH(AH$2,Inputs!$K$4:$AJ$4,0)))+SUMPRODUCT((Inputs!$C$5:$C$180=$B45)*Inputs!$D$5:$D$180*(((Inputs!$G$5:$G$180="moeda")+(Inputs!$G$5:$G$180="acoes"))*Inputs!$B$1+((Inputs!$G$5:$G$180&lt;&gt;"moeda")*(Inputs!$G$5:$G$180&lt;&gt;"acoes")))*INDEX(Inputs!$K$5:$AJ$180,0,MATCH(AH$2,Inputs!$K$4:$AJ$4,0)))+SUMPRODUCT((Inputs!$E$5:$E$180=$B45)*Inputs!$F$5:$F$180*(((Inputs!$G$5:$G$180="moeda")+(Inputs!$G$5:$G$180="acoes"))*Inputs!$B$1+((Inputs!$G$5:$G$180&lt;&gt;"moeda")*(Inputs!$G$5:$G$180&lt;&gt;"acoes")))*INDEX(Inputs!$K$5:$AJ$180,0,MATCH(AH$2,Inputs!$K$4:$AJ$4,0)))))</f>
        <v>0</v>
      </c>
      <c r="AI45" s="6">
        <f>IF(ISNA(MATCH(AI$2,Inputs!$K$4:$AJ$4,0)),NA(),IF(SUMPRODUCT((Inputs!$A$5:$A$180=$B45)*ISNUMBER(INDEX(Inputs!$K$5:$AJ$180,0,MATCH(AI$2,Inputs!$K$4:$AJ$4,0))))+SUMPRODUCT((Inputs!$C$5:$C$180=$B45)*ISNUMBER(INDEX(Inputs!$K$5:$AJ$180,0,MATCH(AI$2,Inputs!$K$4:$AJ$4,0))))+SUMPRODUCT((Inputs!$E$5:$E$180=$B45)*ISNUMBER(INDEX(Inputs!$K$5:$AJ$180,0,MATCH(AI$2,Inputs!$K$4:$AJ$4,0))))=0,NA(),SUMPRODUCT((Inputs!$A$5:$A$180=$B45)*Inputs!$B$5:$B$180*(((Inputs!$G$5:$G$180="moeda")+(Inputs!$G$5:$G$180="acoes"))*Inputs!$B$1+((Inputs!$G$5:$G$180&lt;&gt;"moeda")*(Inputs!$G$5:$G$180&lt;&gt;"acoes")))*INDEX(Inputs!$K$5:$AJ$180,0,MATCH(AI$2,Inputs!$K$4:$AJ$4,0)))+SUMPRODUCT((Inputs!$C$5:$C$180=$B45)*Inputs!$D$5:$D$180*(((Inputs!$G$5:$G$180="moeda")+(Inputs!$G$5:$G$180="acoes"))*Inputs!$B$1+((Inputs!$G$5:$G$180&lt;&gt;"moeda")*(Inputs!$G$5:$G$180&lt;&gt;"acoes")))*INDEX(Inputs!$K$5:$AJ$180,0,MATCH(AI$2,Inputs!$K$4:$AJ$4,0)))+SUMPRODUCT((Inputs!$E$5:$E$180=$B45)*Inputs!$F$5:$F$180*(((Inputs!$G$5:$G$180="moeda")+(Inputs!$G$5:$G$180="acoes"))*Inputs!$B$1+((Inputs!$G$5:$G$180&lt;&gt;"moeda")*(Inputs!$G$5:$G$180&lt;&gt;"acoes")))*INDEX(Inputs!$K$5:$AJ$180,0,MATCH(AI$2,Inputs!$K$4:$AJ$4,0)))))</f>
        <v>0</v>
      </c>
      <c r="AJ45" s="6">
        <f>IF(ISNA(MATCH(AJ$2,Inputs!$K$4:$AJ$4,0)),NA(),IF(SUMPRODUCT((Inputs!$A$5:$A$180=$B45)*ISNUMBER(INDEX(Inputs!$K$5:$AJ$180,0,MATCH(AJ$2,Inputs!$K$4:$AJ$4,0))))+SUMPRODUCT((Inputs!$C$5:$C$180=$B45)*ISNUMBER(INDEX(Inputs!$K$5:$AJ$180,0,MATCH(AJ$2,Inputs!$K$4:$AJ$4,0))))+SUMPRODUCT((Inputs!$E$5:$E$180=$B45)*ISNUMBER(INDEX(Inputs!$K$5:$AJ$180,0,MATCH(AJ$2,Inputs!$K$4:$AJ$4,0))))=0,NA(),SUMPRODUCT((Inputs!$A$5:$A$180=$B45)*Inputs!$B$5:$B$180*(((Inputs!$G$5:$G$180="moeda")+(Inputs!$G$5:$G$180="acoes"))*Inputs!$B$1+((Inputs!$G$5:$G$180&lt;&gt;"moeda")*(Inputs!$G$5:$G$180&lt;&gt;"acoes")))*INDEX(Inputs!$K$5:$AJ$180,0,MATCH(AJ$2,Inputs!$K$4:$AJ$4,0)))+SUMPRODUCT((Inputs!$C$5:$C$180=$B45)*Inputs!$D$5:$D$180*(((Inputs!$G$5:$G$180="moeda")+(Inputs!$G$5:$G$180="acoes"))*Inputs!$B$1+((Inputs!$G$5:$G$180&lt;&gt;"moeda")*(Inputs!$G$5:$G$180&lt;&gt;"acoes")))*INDEX(Inputs!$K$5:$AJ$180,0,MATCH(AJ$2,Inputs!$K$4:$AJ$4,0)))+SUMPRODUCT((Inputs!$E$5:$E$180=$B45)*Inputs!$F$5:$F$180*(((Inputs!$G$5:$G$180="moeda")+(Inputs!$G$5:$G$180="acoes"))*Inputs!$B$1+((Inputs!$G$5:$G$180&lt;&gt;"moeda")*(Inputs!$G$5:$G$180&lt;&gt;"acoes")))*INDEX(Inputs!$K$5:$AJ$180,0,MATCH(AJ$2,Inputs!$K$4:$AJ$4,0)))))</f>
        <v>0</v>
      </c>
      <c r="AK45" s="6">
        <f>IF(ISNA(MATCH(AK$2,Inputs!$K$4:$AJ$4,0)),NA(),IF(SUMPRODUCT((Inputs!$A$5:$A$180=$B45)*ISNUMBER(INDEX(Inputs!$K$5:$AJ$180,0,MATCH(AK$2,Inputs!$K$4:$AJ$4,0))))+SUMPRODUCT((Inputs!$C$5:$C$180=$B45)*ISNUMBER(INDEX(Inputs!$K$5:$AJ$180,0,MATCH(AK$2,Inputs!$K$4:$AJ$4,0))))+SUMPRODUCT((Inputs!$E$5:$E$180=$B45)*ISNUMBER(INDEX(Inputs!$K$5:$AJ$180,0,MATCH(AK$2,Inputs!$K$4:$AJ$4,0))))=0,NA(),SUMPRODUCT((Inputs!$A$5:$A$180=$B45)*Inputs!$B$5:$B$180*(((Inputs!$G$5:$G$180="moeda")+(Inputs!$G$5:$G$180="acoes"))*Inputs!$B$1+((Inputs!$G$5:$G$180&lt;&gt;"moeda")*(Inputs!$G$5:$G$180&lt;&gt;"acoes")))*INDEX(Inputs!$K$5:$AJ$180,0,MATCH(AK$2,Inputs!$K$4:$AJ$4,0)))+SUMPRODUCT((Inputs!$C$5:$C$180=$B45)*Inputs!$D$5:$D$180*(((Inputs!$G$5:$G$180="moeda")+(Inputs!$G$5:$G$180="acoes"))*Inputs!$B$1+((Inputs!$G$5:$G$180&lt;&gt;"moeda")*(Inputs!$G$5:$G$180&lt;&gt;"acoes")))*INDEX(Inputs!$K$5:$AJ$180,0,MATCH(AK$2,Inputs!$K$4:$AJ$4,0)))+SUMPRODUCT((Inputs!$E$5:$E$180=$B45)*Inputs!$F$5:$F$180*(((Inputs!$G$5:$G$180="moeda")+(Inputs!$G$5:$G$180="acoes"))*Inputs!$B$1+((Inputs!$G$5:$G$180&lt;&gt;"moeda")*(Inputs!$G$5:$G$180&lt;&gt;"acoes")))*INDEX(Inputs!$K$5:$AJ$180,0,MATCH(AK$2,Inputs!$K$4:$AJ$4,0)))))</f>
        <v>0</v>
      </c>
      <c r="AL45" s="3">
        <f>AK45</f>
        <v>0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$180=$B46)*ISNUMBER(INDEX(Inputs!$K$5:$AJ$180,0,MATCH(D$2,Inputs!$K$4:$AJ$4,0))))+SUMPRODUCT((Inputs!$C$5:$C$180=$B46)*ISNUMBER(INDEX(Inputs!$K$5:$AJ$180,0,MATCH(D$2,Inputs!$K$4:$AJ$4,0))))+SUMPRODUCT((Inputs!$E$5:$E$180=$B46)*ISNUMBER(INDEX(Inputs!$K$5:$AJ$180,0,MATCH(D$2,Inputs!$K$4:$AJ$4,0))))=0,NA(),SUMPRODUCT((Inputs!$A$5:$A$180=$B46)*Inputs!$B$5:$B$180*(((Inputs!$G$5:$G$180="moeda")+(Inputs!$G$5:$G$180="acoes"))*Inputs!$B$1+((Inputs!$G$5:$G$180&lt;&gt;"moeda")*(Inputs!$G$5:$G$180&lt;&gt;"acoes")))*INDEX(Inputs!$K$5:$AJ$180,0,MATCH(D$2,Inputs!$K$4:$AJ$4,0)))+SUMPRODUCT((Inputs!$C$5:$C$180=$B46)*Inputs!$D$5:$D$180*(((Inputs!$G$5:$G$180="moeda")+(Inputs!$G$5:$G$180="acoes"))*Inputs!$B$1+((Inputs!$G$5:$G$180&lt;&gt;"moeda")*(Inputs!$G$5:$G$180&lt;&gt;"acoes")))*INDEX(Inputs!$K$5:$AJ$180,0,MATCH(D$2,Inputs!$K$4:$AJ$4,0)))+SUMPRODUCT((Inputs!$E$5:$E$180=$B46)*Inputs!$F$5:$F$180*(((Inputs!$G$5:$G$180="moeda")+(Inputs!$G$5:$G$180="acoes"))*Inputs!$B$1+((Inputs!$G$5:$G$180&lt;&gt;"moeda")*(Inputs!$G$5:$G$180&lt;&gt;"acoes")))*INDEX(Inputs!$K$5:$AJ$180,0,MATCH(D$2,Inputs!$K$4:$AJ$4,0)))))</f>
        <v>125.89858391</v>
      </c>
      <c r="E46" s="6">
        <f>IF(ISNA(MATCH(E$2,Inputs!$K$4:$AJ$4,0)),NA(),IF(SUMPRODUCT((Inputs!$A$5:$A$180=$B46)*ISNUMBER(INDEX(Inputs!$K$5:$AJ$180,0,MATCH(E$2,Inputs!$K$4:$AJ$4,0))))+SUMPRODUCT((Inputs!$C$5:$C$180=$B46)*ISNUMBER(INDEX(Inputs!$K$5:$AJ$180,0,MATCH(E$2,Inputs!$K$4:$AJ$4,0))))+SUMPRODUCT((Inputs!$E$5:$E$180=$B46)*ISNUMBER(INDEX(Inputs!$K$5:$AJ$180,0,MATCH(E$2,Inputs!$K$4:$AJ$4,0))))=0,NA(),SUMPRODUCT((Inputs!$A$5:$A$180=$B46)*Inputs!$B$5:$B$180*(((Inputs!$G$5:$G$180="moeda")+(Inputs!$G$5:$G$180="acoes"))*Inputs!$B$1+((Inputs!$G$5:$G$180&lt;&gt;"moeda")*(Inputs!$G$5:$G$180&lt;&gt;"acoes")))*INDEX(Inputs!$K$5:$AJ$180,0,MATCH(E$2,Inputs!$K$4:$AJ$4,0)))+SUMPRODUCT((Inputs!$C$5:$C$180=$B46)*Inputs!$D$5:$D$180*(((Inputs!$G$5:$G$180="moeda")+(Inputs!$G$5:$G$180="acoes"))*Inputs!$B$1+((Inputs!$G$5:$G$180&lt;&gt;"moeda")*(Inputs!$G$5:$G$180&lt;&gt;"acoes")))*INDEX(Inputs!$K$5:$AJ$180,0,MATCH(E$2,Inputs!$K$4:$AJ$4,0)))+SUMPRODUCT((Inputs!$E$5:$E$180=$B46)*Inputs!$F$5:$F$180*(((Inputs!$G$5:$G$180="moeda")+(Inputs!$G$5:$G$180="acoes"))*Inputs!$B$1+((Inputs!$G$5:$G$180&lt;&gt;"moeda")*(Inputs!$G$5:$G$180&lt;&gt;"acoes")))*INDEX(Inputs!$K$5:$AJ$180,0,MATCH(E$2,Inputs!$K$4:$AJ$4,0)))))</f>
        <v>125.89858391</v>
      </c>
      <c r="F46" s="6">
        <f>IF(ISNA(MATCH(F$2,Inputs!$K$4:$AJ$4,0)),NA(),IF(SUMPRODUCT((Inputs!$A$5:$A$180=$B46)*ISNUMBER(INDEX(Inputs!$K$5:$AJ$180,0,MATCH(F$2,Inputs!$K$4:$AJ$4,0))))+SUMPRODUCT((Inputs!$C$5:$C$180=$B46)*ISNUMBER(INDEX(Inputs!$K$5:$AJ$180,0,MATCH(F$2,Inputs!$K$4:$AJ$4,0))))+SUMPRODUCT((Inputs!$E$5:$E$180=$B46)*ISNUMBER(INDEX(Inputs!$K$5:$AJ$180,0,MATCH(F$2,Inputs!$K$4:$AJ$4,0))))=0,NA(),SUMPRODUCT((Inputs!$A$5:$A$180=$B46)*Inputs!$B$5:$B$180*(((Inputs!$G$5:$G$180="moeda")+(Inputs!$G$5:$G$180="acoes"))*Inputs!$B$1+((Inputs!$G$5:$G$180&lt;&gt;"moeda")*(Inputs!$G$5:$G$180&lt;&gt;"acoes")))*INDEX(Inputs!$K$5:$AJ$180,0,MATCH(F$2,Inputs!$K$4:$AJ$4,0)))+SUMPRODUCT((Inputs!$C$5:$C$180=$B46)*Inputs!$D$5:$D$180*(((Inputs!$G$5:$G$180="moeda")+(Inputs!$G$5:$G$180="acoes"))*Inputs!$B$1+((Inputs!$G$5:$G$180&lt;&gt;"moeda")*(Inputs!$G$5:$G$180&lt;&gt;"acoes")))*INDEX(Inputs!$K$5:$AJ$180,0,MATCH(F$2,Inputs!$K$4:$AJ$4,0)))+SUMPRODUCT((Inputs!$E$5:$E$180=$B46)*Inputs!$F$5:$F$180*(((Inputs!$G$5:$G$180="moeda")+(Inputs!$G$5:$G$180="acoes"))*Inputs!$B$1+((Inputs!$G$5:$G$180&lt;&gt;"moeda")*(Inputs!$G$5:$G$180&lt;&gt;"acoes")))*INDEX(Inputs!$K$5:$AJ$180,0,MATCH(F$2,Inputs!$K$4:$AJ$4,0)))))</f>
        <v>125.89858391</v>
      </c>
      <c r="G46" s="6">
        <f>IF(ISNA(MATCH(G$2,Inputs!$K$4:$AJ$4,0)),NA(),IF(SUMPRODUCT((Inputs!$A$5:$A$180=$B46)*ISNUMBER(INDEX(Inputs!$K$5:$AJ$180,0,MATCH(G$2,Inputs!$K$4:$AJ$4,0))))+SUMPRODUCT((Inputs!$C$5:$C$180=$B46)*ISNUMBER(INDEX(Inputs!$K$5:$AJ$180,0,MATCH(G$2,Inputs!$K$4:$AJ$4,0))))+SUMPRODUCT((Inputs!$E$5:$E$180=$B46)*ISNUMBER(INDEX(Inputs!$K$5:$AJ$180,0,MATCH(G$2,Inputs!$K$4:$AJ$4,0))))=0,NA(),SUMPRODUCT((Inputs!$A$5:$A$180=$B46)*Inputs!$B$5:$B$180*(((Inputs!$G$5:$G$180="moeda")+(Inputs!$G$5:$G$180="acoes"))*Inputs!$B$1+((Inputs!$G$5:$G$180&lt;&gt;"moeda")*(Inputs!$G$5:$G$180&lt;&gt;"acoes")))*INDEX(Inputs!$K$5:$AJ$180,0,MATCH(G$2,Inputs!$K$4:$AJ$4,0)))+SUMPRODUCT((Inputs!$C$5:$C$180=$B46)*Inputs!$D$5:$D$180*(((Inputs!$G$5:$G$180="moeda")+(Inputs!$G$5:$G$180="acoes"))*Inputs!$B$1+((Inputs!$G$5:$G$180&lt;&gt;"moeda")*(Inputs!$G$5:$G$180&lt;&gt;"acoes")))*INDEX(Inputs!$K$5:$AJ$180,0,MATCH(G$2,Inputs!$K$4:$AJ$4,0)))+SUMPRODUCT((Inputs!$E$5:$E$180=$B46)*Inputs!$F$5:$F$180*(((Inputs!$G$5:$G$180="moeda")+(Inputs!$G$5:$G$180="acoes"))*Inputs!$B$1+((Inputs!$G$5:$G$180&lt;&gt;"moeda")*(Inputs!$G$5:$G$180&lt;&gt;"acoes")))*INDEX(Inputs!$K$5:$AJ$180,0,MATCH(G$2,Inputs!$K$4:$AJ$4,0)))))</f>
        <v>143.39483164</v>
      </c>
      <c r="H46" s="3">
        <f>G46</f>
        <v>143.39483164</v>
      </c>
      <c r="I46" s="6">
        <f>IF(ISNA(MATCH(I$2,Inputs!$K$4:$AJ$4,0)),NA(),IF(SUMPRODUCT((Inputs!$A$5:$A$180=$B46)*ISNUMBER(INDEX(Inputs!$K$5:$AJ$180,0,MATCH(I$2,Inputs!$K$4:$AJ$4,0))))+SUMPRODUCT((Inputs!$C$5:$C$180=$B46)*ISNUMBER(INDEX(Inputs!$K$5:$AJ$180,0,MATCH(I$2,Inputs!$K$4:$AJ$4,0))))+SUMPRODUCT((Inputs!$E$5:$E$180=$B46)*ISNUMBER(INDEX(Inputs!$K$5:$AJ$180,0,MATCH(I$2,Inputs!$K$4:$AJ$4,0))))=0,NA(),SUMPRODUCT((Inputs!$A$5:$A$180=$B46)*Inputs!$B$5:$B$180*(((Inputs!$G$5:$G$180="moeda")+(Inputs!$G$5:$G$180="acoes"))*Inputs!$B$1+((Inputs!$G$5:$G$180&lt;&gt;"moeda")*(Inputs!$G$5:$G$180&lt;&gt;"acoes")))*INDEX(Inputs!$K$5:$AJ$180,0,MATCH(I$2,Inputs!$K$4:$AJ$4,0)))+SUMPRODUCT((Inputs!$C$5:$C$180=$B46)*Inputs!$D$5:$D$180*(((Inputs!$G$5:$G$180="moeda")+(Inputs!$G$5:$G$180="acoes"))*Inputs!$B$1+((Inputs!$G$5:$G$180&lt;&gt;"moeda")*(Inputs!$G$5:$G$180&lt;&gt;"acoes")))*INDEX(Inputs!$K$5:$AJ$180,0,MATCH(I$2,Inputs!$K$4:$AJ$4,0)))+SUMPRODUCT((Inputs!$E$5:$E$180=$B46)*Inputs!$F$5:$F$180*(((Inputs!$G$5:$G$180="moeda")+(Inputs!$G$5:$G$180="acoes"))*Inputs!$B$1+((Inputs!$G$5:$G$180&lt;&gt;"moeda")*(Inputs!$G$5:$G$180&lt;&gt;"acoes")))*INDEX(Inputs!$K$5:$AJ$180,0,MATCH(I$2,Inputs!$K$4:$AJ$4,0)))))</f>
        <v>156.22491938</v>
      </c>
      <c r="J46" s="6">
        <f>IF(ISNA(MATCH(J$2,Inputs!$K$4:$AJ$4,0)),NA(),IF(SUMPRODUCT((Inputs!$A$5:$A$180=$B46)*ISNUMBER(INDEX(Inputs!$K$5:$AJ$180,0,MATCH(J$2,Inputs!$K$4:$AJ$4,0))))+SUMPRODUCT((Inputs!$C$5:$C$180=$B46)*ISNUMBER(INDEX(Inputs!$K$5:$AJ$180,0,MATCH(J$2,Inputs!$K$4:$AJ$4,0))))+SUMPRODUCT((Inputs!$E$5:$E$180=$B46)*ISNUMBER(INDEX(Inputs!$K$5:$AJ$180,0,MATCH(J$2,Inputs!$K$4:$AJ$4,0))))=0,NA(),SUMPRODUCT((Inputs!$A$5:$A$180=$B46)*Inputs!$B$5:$B$180*(((Inputs!$G$5:$G$180="moeda")+(Inputs!$G$5:$G$180="acoes"))*Inputs!$B$1+((Inputs!$G$5:$G$180&lt;&gt;"moeda")*(Inputs!$G$5:$G$180&lt;&gt;"acoes")))*INDEX(Inputs!$K$5:$AJ$180,0,MATCH(J$2,Inputs!$K$4:$AJ$4,0)))+SUMPRODUCT((Inputs!$C$5:$C$180=$B46)*Inputs!$D$5:$D$180*(((Inputs!$G$5:$G$180="moeda")+(Inputs!$G$5:$G$180="acoes"))*Inputs!$B$1+((Inputs!$G$5:$G$180&lt;&gt;"moeda")*(Inputs!$G$5:$G$180&lt;&gt;"acoes")))*INDEX(Inputs!$K$5:$AJ$180,0,MATCH(J$2,Inputs!$K$4:$AJ$4,0)))+SUMPRODUCT((Inputs!$E$5:$E$180=$B46)*Inputs!$F$5:$F$180*(((Inputs!$G$5:$G$180="moeda")+(Inputs!$G$5:$G$180="acoes"))*Inputs!$B$1+((Inputs!$G$5:$G$180&lt;&gt;"moeda")*(Inputs!$G$5:$G$180&lt;&gt;"acoes")))*INDEX(Inputs!$K$5:$AJ$180,0,MATCH(J$2,Inputs!$K$4:$AJ$4,0)))))</f>
        <v>156.22491938</v>
      </c>
      <c r="K46" s="6">
        <f>IF(ISNA(MATCH(K$2,Inputs!$K$4:$AJ$4,0)),NA(),IF(SUMPRODUCT((Inputs!$A$5:$A$180=$B46)*ISNUMBER(INDEX(Inputs!$K$5:$AJ$180,0,MATCH(K$2,Inputs!$K$4:$AJ$4,0))))+SUMPRODUCT((Inputs!$C$5:$C$180=$B46)*ISNUMBER(INDEX(Inputs!$K$5:$AJ$180,0,MATCH(K$2,Inputs!$K$4:$AJ$4,0))))+SUMPRODUCT((Inputs!$E$5:$E$180=$B46)*ISNUMBER(INDEX(Inputs!$K$5:$AJ$180,0,MATCH(K$2,Inputs!$K$4:$AJ$4,0))))=0,NA(),SUMPRODUCT((Inputs!$A$5:$A$180=$B46)*Inputs!$B$5:$B$180*(((Inputs!$G$5:$G$180="moeda")+(Inputs!$G$5:$G$180="acoes"))*Inputs!$B$1+((Inputs!$G$5:$G$180&lt;&gt;"moeda")*(Inputs!$G$5:$G$180&lt;&gt;"acoes")))*INDEX(Inputs!$K$5:$AJ$180,0,MATCH(K$2,Inputs!$K$4:$AJ$4,0)))+SUMPRODUCT((Inputs!$C$5:$C$180=$B46)*Inputs!$D$5:$D$180*(((Inputs!$G$5:$G$180="moeda")+(Inputs!$G$5:$G$180="acoes"))*Inputs!$B$1+((Inputs!$G$5:$G$180&lt;&gt;"moeda")*(Inputs!$G$5:$G$180&lt;&gt;"acoes")))*INDEX(Inputs!$K$5:$AJ$180,0,MATCH(K$2,Inputs!$K$4:$AJ$4,0)))+SUMPRODUCT((Inputs!$E$5:$E$180=$B46)*Inputs!$F$5:$F$180*(((Inputs!$G$5:$G$180="moeda")+(Inputs!$G$5:$G$180="acoes"))*Inputs!$B$1+((Inputs!$G$5:$G$180&lt;&gt;"moeda")*(Inputs!$G$5:$G$180&lt;&gt;"acoes")))*INDEX(Inputs!$K$5:$AJ$180,0,MATCH(K$2,Inputs!$K$4:$AJ$4,0)))))</f>
        <v>156.22491938</v>
      </c>
      <c r="L46" s="6">
        <f>IF(ISNA(MATCH(L$2,Inputs!$K$4:$AJ$4,0)),NA(),IF(SUMPRODUCT((Inputs!$A$5:$A$180=$B46)*ISNUMBER(INDEX(Inputs!$K$5:$AJ$180,0,MATCH(L$2,Inputs!$K$4:$AJ$4,0))))+SUMPRODUCT((Inputs!$C$5:$C$180=$B46)*ISNUMBER(INDEX(Inputs!$K$5:$AJ$180,0,MATCH(L$2,Inputs!$K$4:$AJ$4,0))))+SUMPRODUCT((Inputs!$E$5:$E$180=$B46)*ISNUMBER(INDEX(Inputs!$K$5:$AJ$180,0,MATCH(L$2,Inputs!$K$4:$AJ$4,0))))=0,NA(),SUMPRODUCT((Inputs!$A$5:$A$180=$B46)*Inputs!$B$5:$B$180*(((Inputs!$G$5:$G$180="moeda")+(Inputs!$G$5:$G$180="acoes"))*Inputs!$B$1+((Inputs!$G$5:$G$180&lt;&gt;"moeda")*(Inputs!$G$5:$G$180&lt;&gt;"acoes")))*INDEX(Inputs!$K$5:$AJ$180,0,MATCH(L$2,Inputs!$K$4:$AJ$4,0)))+SUMPRODUCT((Inputs!$C$5:$C$180=$B46)*Inputs!$D$5:$D$180*(((Inputs!$G$5:$G$180="moeda")+(Inputs!$G$5:$G$180="acoes"))*Inputs!$B$1+((Inputs!$G$5:$G$180&lt;&gt;"moeda")*(Inputs!$G$5:$G$180&lt;&gt;"acoes")))*INDEX(Inputs!$K$5:$AJ$180,0,MATCH(L$2,Inputs!$K$4:$AJ$4,0)))+SUMPRODUCT((Inputs!$E$5:$E$180=$B46)*Inputs!$F$5:$F$180*(((Inputs!$G$5:$G$180="moeda")+(Inputs!$G$5:$G$180="acoes"))*Inputs!$B$1+((Inputs!$G$5:$G$180&lt;&gt;"moeda")*(Inputs!$G$5:$G$180&lt;&gt;"acoes")))*INDEX(Inputs!$K$5:$AJ$180,0,MATCH(L$2,Inputs!$K$4:$AJ$4,0)))))</f>
        <v>193.782383397</v>
      </c>
      <c r="M46" s="3">
        <f>L46</f>
        <v>193.782383397</v>
      </c>
      <c r="N46" s="6">
        <f>IF(ISNA(MATCH(N$2,Inputs!$K$4:$AJ$4,0)),NA(),IF(SUMPRODUCT((Inputs!$A$5:$A$180=$B46)*ISNUMBER(INDEX(Inputs!$K$5:$AJ$180,0,MATCH(N$2,Inputs!$K$4:$AJ$4,0))))+SUMPRODUCT((Inputs!$C$5:$C$180=$B46)*ISNUMBER(INDEX(Inputs!$K$5:$AJ$180,0,MATCH(N$2,Inputs!$K$4:$AJ$4,0))))+SUMPRODUCT((Inputs!$E$5:$E$180=$B46)*ISNUMBER(INDEX(Inputs!$K$5:$AJ$180,0,MATCH(N$2,Inputs!$K$4:$AJ$4,0))))=0,NA(),SUMPRODUCT((Inputs!$A$5:$A$180=$B46)*Inputs!$B$5:$B$180*(((Inputs!$G$5:$G$180="moeda")+(Inputs!$G$5:$G$180="acoes"))*Inputs!$B$1+((Inputs!$G$5:$G$180&lt;&gt;"moeda")*(Inputs!$G$5:$G$180&lt;&gt;"acoes")))*INDEX(Inputs!$K$5:$AJ$180,0,MATCH(N$2,Inputs!$K$4:$AJ$4,0)))+SUMPRODUCT((Inputs!$C$5:$C$180=$B46)*Inputs!$D$5:$D$180*(((Inputs!$G$5:$G$180="moeda")+(Inputs!$G$5:$G$180="acoes"))*Inputs!$B$1+((Inputs!$G$5:$G$180&lt;&gt;"moeda")*(Inputs!$G$5:$G$180&lt;&gt;"acoes")))*INDEX(Inputs!$K$5:$AJ$180,0,MATCH(N$2,Inputs!$K$4:$AJ$4,0)))+SUMPRODUCT((Inputs!$E$5:$E$180=$B46)*Inputs!$F$5:$F$180*(((Inputs!$G$5:$G$180="moeda")+(Inputs!$G$5:$G$180="acoes"))*Inputs!$B$1+((Inputs!$G$5:$G$180&lt;&gt;"moeda")*(Inputs!$G$5:$G$180&lt;&gt;"acoes")))*INDEX(Inputs!$K$5:$AJ$180,0,MATCH(N$2,Inputs!$K$4:$AJ$4,0)))))</f>
        <v>356.23489755</v>
      </c>
      <c r="O46" s="6">
        <f>IF(ISNA(MATCH(O$2,Inputs!$K$4:$AJ$4,0)),NA(),IF(SUMPRODUCT((Inputs!$A$5:$A$180=$B46)*ISNUMBER(INDEX(Inputs!$K$5:$AJ$180,0,MATCH(O$2,Inputs!$K$4:$AJ$4,0))))+SUMPRODUCT((Inputs!$C$5:$C$180=$B46)*ISNUMBER(INDEX(Inputs!$K$5:$AJ$180,0,MATCH(O$2,Inputs!$K$4:$AJ$4,0))))+SUMPRODUCT((Inputs!$E$5:$E$180=$B46)*ISNUMBER(INDEX(Inputs!$K$5:$AJ$180,0,MATCH(O$2,Inputs!$K$4:$AJ$4,0))))=0,NA(),SUMPRODUCT((Inputs!$A$5:$A$180=$B46)*Inputs!$B$5:$B$180*(((Inputs!$G$5:$G$180="moeda")+(Inputs!$G$5:$G$180="acoes"))*Inputs!$B$1+((Inputs!$G$5:$G$180&lt;&gt;"moeda")*(Inputs!$G$5:$G$180&lt;&gt;"acoes")))*INDEX(Inputs!$K$5:$AJ$180,0,MATCH(O$2,Inputs!$K$4:$AJ$4,0)))+SUMPRODUCT((Inputs!$C$5:$C$180=$B46)*Inputs!$D$5:$D$180*(((Inputs!$G$5:$G$180="moeda")+(Inputs!$G$5:$G$180="acoes"))*Inputs!$B$1+((Inputs!$G$5:$G$180&lt;&gt;"moeda")*(Inputs!$G$5:$G$180&lt;&gt;"acoes")))*INDEX(Inputs!$K$5:$AJ$180,0,MATCH(O$2,Inputs!$K$4:$AJ$4,0)))+SUMPRODUCT((Inputs!$E$5:$E$180=$B46)*Inputs!$F$5:$F$180*(((Inputs!$G$5:$G$180="moeda")+(Inputs!$G$5:$G$180="acoes"))*Inputs!$B$1+((Inputs!$G$5:$G$180&lt;&gt;"moeda")*(Inputs!$G$5:$G$180&lt;&gt;"acoes")))*INDEX(Inputs!$K$5:$AJ$180,0,MATCH(O$2,Inputs!$K$4:$AJ$4,0)))))</f>
        <v>186.235</v>
      </c>
      <c r="P46" s="6">
        <f>IF(ISNA(MATCH(P$2,Inputs!$K$4:$AJ$4,0)),NA(),IF(SUMPRODUCT((Inputs!$A$5:$A$180=$B46)*ISNUMBER(INDEX(Inputs!$K$5:$AJ$180,0,MATCH(P$2,Inputs!$K$4:$AJ$4,0))))+SUMPRODUCT((Inputs!$C$5:$C$180=$B46)*ISNUMBER(INDEX(Inputs!$K$5:$AJ$180,0,MATCH(P$2,Inputs!$K$4:$AJ$4,0))))+SUMPRODUCT((Inputs!$E$5:$E$180=$B46)*ISNUMBER(INDEX(Inputs!$K$5:$AJ$180,0,MATCH(P$2,Inputs!$K$4:$AJ$4,0))))=0,NA(),SUMPRODUCT((Inputs!$A$5:$A$180=$B46)*Inputs!$B$5:$B$180*(((Inputs!$G$5:$G$180="moeda")+(Inputs!$G$5:$G$180="acoes"))*Inputs!$B$1+((Inputs!$G$5:$G$180&lt;&gt;"moeda")*(Inputs!$G$5:$G$180&lt;&gt;"acoes")))*INDEX(Inputs!$K$5:$AJ$180,0,MATCH(P$2,Inputs!$K$4:$AJ$4,0)))+SUMPRODUCT((Inputs!$C$5:$C$180=$B46)*Inputs!$D$5:$D$180*(((Inputs!$G$5:$G$180="moeda")+(Inputs!$G$5:$G$180="acoes"))*Inputs!$B$1+((Inputs!$G$5:$G$180&lt;&gt;"moeda")*(Inputs!$G$5:$G$180&lt;&gt;"acoes")))*INDEX(Inputs!$K$5:$AJ$180,0,MATCH(P$2,Inputs!$K$4:$AJ$4,0)))+SUMPRODUCT((Inputs!$E$5:$E$180=$B46)*Inputs!$F$5:$F$180*(((Inputs!$G$5:$G$180="moeda")+(Inputs!$G$5:$G$180="acoes"))*Inputs!$B$1+((Inputs!$G$5:$G$180&lt;&gt;"moeda")*(Inputs!$G$5:$G$180&lt;&gt;"acoes")))*INDEX(Inputs!$K$5:$AJ$180,0,MATCH(P$2,Inputs!$K$4:$AJ$4,0)))))</f>
        <v>93.705</v>
      </c>
      <c r="Q46" s="6">
        <f>IF(ISNA(MATCH(Q$2,Inputs!$K$4:$AJ$4,0)),NA(),IF(SUMPRODUCT((Inputs!$A$5:$A$180=$B46)*ISNUMBER(INDEX(Inputs!$K$5:$AJ$180,0,MATCH(Q$2,Inputs!$K$4:$AJ$4,0))))+SUMPRODUCT((Inputs!$C$5:$C$180=$B46)*ISNUMBER(INDEX(Inputs!$K$5:$AJ$180,0,MATCH(Q$2,Inputs!$K$4:$AJ$4,0))))+SUMPRODUCT((Inputs!$E$5:$E$180=$B46)*ISNUMBER(INDEX(Inputs!$K$5:$AJ$180,0,MATCH(Q$2,Inputs!$K$4:$AJ$4,0))))=0,NA(),SUMPRODUCT((Inputs!$A$5:$A$180=$B46)*Inputs!$B$5:$B$180*(((Inputs!$G$5:$G$180="moeda")+(Inputs!$G$5:$G$180="acoes"))*Inputs!$B$1+((Inputs!$G$5:$G$180&lt;&gt;"moeda")*(Inputs!$G$5:$G$180&lt;&gt;"acoes")))*INDEX(Inputs!$K$5:$AJ$180,0,MATCH(Q$2,Inputs!$K$4:$AJ$4,0)))+SUMPRODUCT((Inputs!$C$5:$C$180=$B46)*Inputs!$D$5:$D$180*(((Inputs!$G$5:$G$180="moeda")+(Inputs!$G$5:$G$180="acoes"))*Inputs!$B$1+((Inputs!$G$5:$G$180&lt;&gt;"moeda")*(Inputs!$G$5:$G$180&lt;&gt;"acoes")))*INDEX(Inputs!$K$5:$AJ$180,0,MATCH(Q$2,Inputs!$K$4:$AJ$4,0)))+SUMPRODUCT((Inputs!$E$5:$E$180=$B46)*Inputs!$F$5:$F$180*(((Inputs!$G$5:$G$180="moeda")+(Inputs!$G$5:$G$180="acoes"))*Inputs!$B$1+((Inputs!$G$5:$G$180&lt;&gt;"moeda")*(Inputs!$G$5:$G$180&lt;&gt;"acoes")))*INDEX(Inputs!$K$5:$AJ$180,0,MATCH(Q$2,Inputs!$K$4:$AJ$4,0)))))</f>
        <v>207.423</v>
      </c>
      <c r="R46" s="3">
        <f>Q46</f>
        <v>207.423</v>
      </c>
      <c r="S46" s="6">
        <f>IF(ISNA(MATCH(S$2,Inputs!$K$4:$AJ$4,0)),NA(),IF(SUMPRODUCT((Inputs!$A$5:$A$180=$B46)*ISNUMBER(INDEX(Inputs!$K$5:$AJ$180,0,MATCH(S$2,Inputs!$K$4:$AJ$4,0))))+SUMPRODUCT((Inputs!$C$5:$C$180=$B46)*ISNUMBER(INDEX(Inputs!$K$5:$AJ$180,0,MATCH(S$2,Inputs!$K$4:$AJ$4,0))))+SUMPRODUCT((Inputs!$E$5:$E$180=$B46)*ISNUMBER(INDEX(Inputs!$K$5:$AJ$180,0,MATCH(S$2,Inputs!$K$4:$AJ$4,0))))=0,NA(),SUMPRODUCT((Inputs!$A$5:$A$180=$B46)*Inputs!$B$5:$B$180*(((Inputs!$G$5:$G$180="moeda")+(Inputs!$G$5:$G$180="acoes"))*Inputs!$B$1+((Inputs!$G$5:$G$180&lt;&gt;"moeda")*(Inputs!$G$5:$G$180&lt;&gt;"acoes")))*INDEX(Inputs!$K$5:$AJ$180,0,MATCH(S$2,Inputs!$K$4:$AJ$4,0)))+SUMPRODUCT((Inputs!$C$5:$C$180=$B46)*Inputs!$D$5:$D$180*(((Inputs!$G$5:$G$180="moeda")+(Inputs!$G$5:$G$180="acoes"))*Inputs!$B$1+((Inputs!$G$5:$G$180&lt;&gt;"moeda")*(Inputs!$G$5:$G$180&lt;&gt;"acoes")))*INDEX(Inputs!$K$5:$AJ$180,0,MATCH(S$2,Inputs!$K$4:$AJ$4,0)))+SUMPRODUCT((Inputs!$E$5:$E$180=$B46)*Inputs!$F$5:$F$180*(((Inputs!$G$5:$G$180="moeda")+(Inputs!$G$5:$G$180="acoes"))*Inputs!$B$1+((Inputs!$G$5:$G$180&lt;&gt;"moeda")*(Inputs!$G$5:$G$180&lt;&gt;"acoes")))*INDEX(Inputs!$K$5:$AJ$180,0,MATCH(S$2,Inputs!$K$4:$AJ$4,0)))))</f>
        <v>0</v>
      </c>
      <c r="T46" s="6">
        <f>IF(ISNA(MATCH(T$2,Inputs!$K$4:$AJ$4,0)),NA(),IF(SUMPRODUCT((Inputs!$A$5:$A$180=$B46)*ISNUMBER(INDEX(Inputs!$K$5:$AJ$180,0,MATCH(T$2,Inputs!$K$4:$AJ$4,0))))+SUMPRODUCT((Inputs!$C$5:$C$180=$B46)*ISNUMBER(INDEX(Inputs!$K$5:$AJ$180,0,MATCH(T$2,Inputs!$K$4:$AJ$4,0))))+SUMPRODUCT((Inputs!$E$5:$E$180=$B46)*ISNUMBER(INDEX(Inputs!$K$5:$AJ$180,0,MATCH(T$2,Inputs!$K$4:$AJ$4,0))))=0,NA(),SUMPRODUCT((Inputs!$A$5:$A$180=$B46)*Inputs!$B$5:$B$180*(((Inputs!$G$5:$G$180="moeda")+(Inputs!$G$5:$G$180="acoes"))*Inputs!$B$1+((Inputs!$G$5:$G$180&lt;&gt;"moeda")*(Inputs!$G$5:$G$180&lt;&gt;"acoes")))*INDEX(Inputs!$K$5:$AJ$180,0,MATCH(T$2,Inputs!$K$4:$AJ$4,0)))+SUMPRODUCT((Inputs!$C$5:$C$180=$B46)*Inputs!$D$5:$D$180*(((Inputs!$G$5:$G$180="moeda")+(Inputs!$G$5:$G$180="acoes"))*Inputs!$B$1+((Inputs!$G$5:$G$180&lt;&gt;"moeda")*(Inputs!$G$5:$G$180&lt;&gt;"acoes")))*INDEX(Inputs!$K$5:$AJ$180,0,MATCH(T$2,Inputs!$K$4:$AJ$4,0)))+SUMPRODUCT((Inputs!$E$5:$E$180=$B46)*Inputs!$F$5:$F$180*(((Inputs!$G$5:$G$180="moeda")+(Inputs!$G$5:$G$180="acoes"))*Inputs!$B$1+((Inputs!$G$5:$G$180&lt;&gt;"moeda")*(Inputs!$G$5:$G$180&lt;&gt;"acoes")))*INDEX(Inputs!$K$5:$AJ$180,0,MATCH(T$2,Inputs!$K$4:$AJ$4,0)))))</f>
        <v>0</v>
      </c>
      <c r="U46" s="6">
        <f>IF(ISNA(MATCH(U$2,Inputs!$K$4:$AJ$4,0)),NA(),IF(SUMPRODUCT((Inputs!$A$5:$A$180=$B46)*ISNUMBER(INDEX(Inputs!$K$5:$AJ$180,0,MATCH(U$2,Inputs!$K$4:$AJ$4,0))))+SUMPRODUCT((Inputs!$C$5:$C$180=$B46)*ISNUMBER(INDEX(Inputs!$K$5:$AJ$180,0,MATCH(U$2,Inputs!$K$4:$AJ$4,0))))+SUMPRODUCT((Inputs!$E$5:$E$180=$B46)*ISNUMBER(INDEX(Inputs!$K$5:$AJ$180,0,MATCH(U$2,Inputs!$K$4:$AJ$4,0))))=0,NA(),SUMPRODUCT((Inputs!$A$5:$A$180=$B46)*Inputs!$B$5:$B$180*(((Inputs!$G$5:$G$180="moeda")+(Inputs!$G$5:$G$180="acoes"))*Inputs!$B$1+((Inputs!$G$5:$G$180&lt;&gt;"moeda")*(Inputs!$G$5:$G$180&lt;&gt;"acoes")))*INDEX(Inputs!$K$5:$AJ$180,0,MATCH(U$2,Inputs!$K$4:$AJ$4,0)))+SUMPRODUCT((Inputs!$C$5:$C$180=$B46)*Inputs!$D$5:$D$180*(((Inputs!$G$5:$G$180="moeda")+(Inputs!$G$5:$G$180="acoes"))*Inputs!$B$1+((Inputs!$G$5:$G$180&lt;&gt;"moeda")*(Inputs!$G$5:$G$180&lt;&gt;"acoes")))*INDEX(Inputs!$K$5:$AJ$180,0,MATCH(U$2,Inputs!$K$4:$AJ$4,0)))+SUMPRODUCT((Inputs!$E$5:$E$180=$B46)*Inputs!$F$5:$F$180*(((Inputs!$G$5:$G$180="moeda")+(Inputs!$G$5:$G$180="acoes"))*Inputs!$B$1+((Inputs!$G$5:$G$180&lt;&gt;"moeda")*(Inputs!$G$5:$G$180&lt;&gt;"acoes")))*INDEX(Inputs!$K$5:$AJ$180,0,MATCH(U$2,Inputs!$K$4:$AJ$4,0)))))</f>
        <v>-184.073</v>
      </c>
      <c r="V46" s="6">
        <f>IF(ISNA(MATCH(V$2,Inputs!$K$4:$AJ$4,0)),NA(),IF(SUMPRODUCT((Inputs!$A$5:$A$180=$B46)*ISNUMBER(INDEX(Inputs!$K$5:$AJ$180,0,MATCH(V$2,Inputs!$K$4:$AJ$4,0))))+SUMPRODUCT((Inputs!$C$5:$C$180=$B46)*ISNUMBER(INDEX(Inputs!$K$5:$AJ$180,0,MATCH(V$2,Inputs!$K$4:$AJ$4,0))))+SUMPRODUCT((Inputs!$E$5:$E$180=$B46)*ISNUMBER(INDEX(Inputs!$K$5:$AJ$180,0,MATCH(V$2,Inputs!$K$4:$AJ$4,0))))=0,NA(),SUMPRODUCT((Inputs!$A$5:$A$180=$B46)*Inputs!$B$5:$B$180*(((Inputs!$G$5:$G$180="moeda")+(Inputs!$G$5:$G$180="acoes"))*Inputs!$B$1+((Inputs!$G$5:$G$180&lt;&gt;"moeda")*(Inputs!$G$5:$G$180&lt;&gt;"acoes")))*INDEX(Inputs!$K$5:$AJ$180,0,MATCH(V$2,Inputs!$K$4:$AJ$4,0)))+SUMPRODUCT((Inputs!$C$5:$C$180=$B46)*Inputs!$D$5:$D$180*(((Inputs!$G$5:$G$180="moeda")+(Inputs!$G$5:$G$180="acoes"))*Inputs!$B$1+((Inputs!$G$5:$G$180&lt;&gt;"moeda")*(Inputs!$G$5:$G$180&lt;&gt;"acoes")))*INDEX(Inputs!$K$5:$AJ$180,0,MATCH(V$2,Inputs!$K$4:$AJ$4,0)))+SUMPRODUCT((Inputs!$E$5:$E$180=$B46)*Inputs!$F$5:$F$180*(((Inputs!$G$5:$G$180="moeda")+(Inputs!$G$5:$G$180="acoes"))*Inputs!$B$1+((Inputs!$G$5:$G$180&lt;&gt;"moeda")*(Inputs!$G$5:$G$180&lt;&gt;"acoes")))*INDEX(Inputs!$K$5:$AJ$180,0,MATCH(V$2,Inputs!$K$4:$AJ$4,0)))))</f>
        <v>-300.502</v>
      </c>
      <c r="W46" s="3">
        <f>V46</f>
        <v>-300.502</v>
      </c>
      <c r="X46" s="6">
        <f>IF(ISNA(MATCH(X$2,Inputs!$K$4:$AJ$4,0)),NA(),IF(SUMPRODUCT((Inputs!$A$5:$A$180=$B46)*ISNUMBER(INDEX(Inputs!$K$5:$AJ$180,0,MATCH(X$2,Inputs!$K$4:$AJ$4,0))))+SUMPRODUCT((Inputs!$C$5:$C$180=$B46)*ISNUMBER(INDEX(Inputs!$K$5:$AJ$180,0,MATCH(X$2,Inputs!$K$4:$AJ$4,0))))+SUMPRODUCT((Inputs!$E$5:$E$180=$B46)*ISNUMBER(INDEX(Inputs!$K$5:$AJ$180,0,MATCH(X$2,Inputs!$K$4:$AJ$4,0))))=0,NA(),SUMPRODUCT((Inputs!$A$5:$A$180=$B46)*Inputs!$B$5:$B$180*(((Inputs!$G$5:$G$180="moeda")+(Inputs!$G$5:$G$180="acoes"))*Inputs!$B$1+((Inputs!$G$5:$G$180&lt;&gt;"moeda")*(Inputs!$G$5:$G$180&lt;&gt;"acoes")))*INDEX(Inputs!$K$5:$AJ$180,0,MATCH(X$2,Inputs!$K$4:$AJ$4,0)))+SUMPRODUCT((Inputs!$C$5:$C$180=$B46)*Inputs!$D$5:$D$180*(((Inputs!$G$5:$G$180="moeda")+(Inputs!$G$5:$G$180="acoes"))*Inputs!$B$1+((Inputs!$G$5:$G$180&lt;&gt;"moeda")*(Inputs!$G$5:$G$180&lt;&gt;"acoes")))*INDEX(Inputs!$K$5:$AJ$180,0,MATCH(X$2,Inputs!$K$4:$AJ$4,0)))+SUMPRODUCT((Inputs!$E$5:$E$180=$B46)*Inputs!$F$5:$F$180*(((Inputs!$G$5:$G$180="moeda")+(Inputs!$G$5:$G$180="acoes"))*Inputs!$B$1+((Inputs!$G$5:$G$180&lt;&gt;"moeda")*(Inputs!$G$5:$G$180&lt;&gt;"acoes")))*INDEX(Inputs!$K$5:$AJ$180,0,MATCH(X$2,Inputs!$K$4:$AJ$4,0)))))</f>
        <v>0</v>
      </c>
      <c r="Y46" s="6">
        <f>IF(ISNA(MATCH(Y$2,Inputs!$K$4:$AJ$4,0)),NA(),IF(SUMPRODUCT((Inputs!$A$5:$A$180=$B46)*ISNUMBER(INDEX(Inputs!$K$5:$AJ$180,0,MATCH(Y$2,Inputs!$K$4:$AJ$4,0))))+SUMPRODUCT((Inputs!$C$5:$C$180=$B46)*ISNUMBER(INDEX(Inputs!$K$5:$AJ$180,0,MATCH(Y$2,Inputs!$K$4:$AJ$4,0))))+SUMPRODUCT((Inputs!$E$5:$E$180=$B46)*ISNUMBER(INDEX(Inputs!$K$5:$AJ$180,0,MATCH(Y$2,Inputs!$K$4:$AJ$4,0))))=0,NA(),SUMPRODUCT((Inputs!$A$5:$A$180=$B46)*Inputs!$B$5:$B$180*(((Inputs!$G$5:$G$180="moeda")+(Inputs!$G$5:$G$180="acoes"))*Inputs!$B$1+((Inputs!$G$5:$G$180&lt;&gt;"moeda")*(Inputs!$G$5:$G$180&lt;&gt;"acoes")))*INDEX(Inputs!$K$5:$AJ$180,0,MATCH(Y$2,Inputs!$K$4:$AJ$4,0)))+SUMPRODUCT((Inputs!$C$5:$C$180=$B46)*Inputs!$D$5:$D$180*(((Inputs!$G$5:$G$180="moeda")+(Inputs!$G$5:$G$180="acoes"))*Inputs!$B$1+((Inputs!$G$5:$G$180&lt;&gt;"moeda")*(Inputs!$G$5:$G$180&lt;&gt;"acoes")))*INDEX(Inputs!$K$5:$AJ$180,0,MATCH(Y$2,Inputs!$K$4:$AJ$4,0)))+SUMPRODUCT((Inputs!$E$5:$E$180=$B46)*Inputs!$F$5:$F$180*(((Inputs!$G$5:$G$180="moeda")+(Inputs!$G$5:$G$180="acoes"))*Inputs!$B$1+((Inputs!$G$5:$G$180&lt;&gt;"moeda")*(Inputs!$G$5:$G$180&lt;&gt;"acoes")))*INDEX(Inputs!$K$5:$AJ$180,0,MATCH(Y$2,Inputs!$K$4:$AJ$4,0)))))</f>
        <v>0</v>
      </c>
      <c r="Z46" s="6">
        <f>IF(ISNA(MATCH(Z$2,Inputs!$K$4:$AJ$4,0)),NA(),IF(SUMPRODUCT((Inputs!$A$5:$A$180=$B46)*ISNUMBER(INDEX(Inputs!$K$5:$AJ$180,0,MATCH(Z$2,Inputs!$K$4:$AJ$4,0))))+SUMPRODUCT((Inputs!$C$5:$C$180=$B46)*ISNUMBER(INDEX(Inputs!$K$5:$AJ$180,0,MATCH(Z$2,Inputs!$K$4:$AJ$4,0))))+SUMPRODUCT((Inputs!$E$5:$E$180=$B46)*ISNUMBER(INDEX(Inputs!$K$5:$AJ$180,0,MATCH(Z$2,Inputs!$K$4:$AJ$4,0))))=0,NA(),SUMPRODUCT((Inputs!$A$5:$A$180=$B46)*Inputs!$B$5:$B$180*(((Inputs!$G$5:$G$180="moeda")+(Inputs!$G$5:$G$180="acoes"))*Inputs!$B$1+((Inputs!$G$5:$G$180&lt;&gt;"moeda")*(Inputs!$G$5:$G$180&lt;&gt;"acoes")))*INDEX(Inputs!$K$5:$AJ$180,0,MATCH(Z$2,Inputs!$K$4:$AJ$4,0)))+SUMPRODUCT((Inputs!$C$5:$C$180=$B46)*Inputs!$D$5:$D$180*(((Inputs!$G$5:$G$180="moeda")+(Inputs!$G$5:$G$180="acoes"))*Inputs!$B$1+((Inputs!$G$5:$G$180&lt;&gt;"moeda")*(Inputs!$G$5:$G$180&lt;&gt;"acoes")))*INDEX(Inputs!$K$5:$AJ$180,0,MATCH(Z$2,Inputs!$K$4:$AJ$4,0)))+SUMPRODUCT((Inputs!$E$5:$E$180=$B46)*Inputs!$F$5:$F$180*(((Inputs!$G$5:$G$180="moeda")+(Inputs!$G$5:$G$180="acoes"))*Inputs!$B$1+((Inputs!$G$5:$G$180&lt;&gt;"moeda")*(Inputs!$G$5:$G$180&lt;&gt;"acoes")))*INDEX(Inputs!$K$5:$AJ$180,0,MATCH(Z$2,Inputs!$K$4:$AJ$4,0)))))</f>
        <v>-169.009</v>
      </c>
      <c r="AA46" s="6">
        <f>IF(ISNA(MATCH(AA$2,Inputs!$K$4:$AJ$4,0)),NA(),IF(SUMPRODUCT((Inputs!$A$5:$A$180=$B46)*ISNUMBER(INDEX(Inputs!$K$5:$AJ$180,0,MATCH(AA$2,Inputs!$K$4:$AJ$4,0))))+SUMPRODUCT((Inputs!$C$5:$C$180=$B46)*ISNUMBER(INDEX(Inputs!$K$5:$AJ$180,0,MATCH(AA$2,Inputs!$K$4:$AJ$4,0))))+SUMPRODUCT((Inputs!$E$5:$E$180=$B46)*ISNUMBER(INDEX(Inputs!$K$5:$AJ$180,0,MATCH(AA$2,Inputs!$K$4:$AJ$4,0))))=0,NA(),SUMPRODUCT((Inputs!$A$5:$A$180=$B46)*Inputs!$B$5:$B$180*(((Inputs!$G$5:$G$180="moeda")+(Inputs!$G$5:$G$180="acoes"))*Inputs!$B$1+((Inputs!$G$5:$G$180&lt;&gt;"moeda")*(Inputs!$G$5:$G$180&lt;&gt;"acoes")))*INDEX(Inputs!$K$5:$AJ$180,0,MATCH(AA$2,Inputs!$K$4:$AJ$4,0)))+SUMPRODUCT((Inputs!$C$5:$C$180=$B46)*Inputs!$D$5:$D$180*(((Inputs!$G$5:$G$180="moeda")+(Inputs!$G$5:$G$180="acoes"))*Inputs!$B$1+((Inputs!$G$5:$G$180&lt;&gt;"moeda")*(Inputs!$G$5:$G$180&lt;&gt;"acoes")))*INDEX(Inputs!$K$5:$AJ$180,0,MATCH(AA$2,Inputs!$K$4:$AJ$4,0)))+SUMPRODUCT((Inputs!$E$5:$E$180=$B46)*Inputs!$F$5:$F$180*(((Inputs!$G$5:$G$180="moeda")+(Inputs!$G$5:$G$180="acoes"))*Inputs!$B$1+((Inputs!$G$5:$G$180&lt;&gt;"moeda")*(Inputs!$G$5:$G$180&lt;&gt;"acoes")))*INDEX(Inputs!$K$5:$AJ$180,0,MATCH(AA$2,Inputs!$K$4:$AJ$4,0)))))</f>
        <v>0</v>
      </c>
      <c r="AB46" s="3">
        <f>AA46</f>
        <v>0</v>
      </c>
      <c r="AC46" s="6">
        <f>IF(ISNA(MATCH(AC$2,Inputs!$K$4:$AJ$4,0)),NA(),IF(SUMPRODUCT((Inputs!$A$5:$A$180=$B46)*ISNUMBER(INDEX(Inputs!$K$5:$AJ$180,0,MATCH(AC$2,Inputs!$K$4:$AJ$4,0))))+SUMPRODUCT((Inputs!$C$5:$C$180=$B46)*ISNUMBER(INDEX(Inputs!$K$5:$AJ$180,0,MATCH(AC$2,Inputs!$K$4:$AJ$4,0))))+SUMPRODUCT((Inputs!$E$5:$E$180=$B46)*ISNUMBER(INDEX(Inputs!$K$5:$AJ$180,0,MATCH(AC$2,Inputs!$K$4:$AJ$4,0))))=0,NA(),SUMPRODUCT((Inputs!$A$5:$A$180=$B46)*Inputs!$B$5:$B$180*(((Inputs!$G$5:$G$180="moeda")+(Inputs!$G$5:$G$180="acoes"))*Inputs!$B$1+((Inputs!$G$5:$G$180&lt;&gt;"moeda")*(Inputs!$G$5:$G$180&lt;&gt;"acoes")))*INDEX(Inputs!$K$5:$AJ$180,0,MATCH(AC$2,Inputs!$K$4:$AJ$4,0)))+SUMPRODUCT((Inputs!$C$5:$C$180=$B46)*Inputs!$D$5:$D$180*(((Inputs!$G$5:$G$180="moeda")+(Inputs!$G$5:$G$180="acoes"))*Inputs!$B$1+((Inputs!$G$5:$G$180&lt;&gt;"moeda")*(Inputs!$G$5:$G$180&lt;&gt;"acoes")))*INDEX(Inputs!$K$5:$AJ$180,0,MATCH(AC$2,Inputs!$K$4:$AJ$4,0)))+SUMPRODUCT((Inputs!$E$5:$E$180=$B46)*Inputs!$F$5:$F$180*(((Inputs!$G$5:$G$180="moeda")+(Inputs!$G$5:$G$180="acoes"))*Inputs!$B$1+((Inputs!$G$5:$G$180&lt;&gt;"moeda")*(Inputs!$G$5:$G$180&lt;&gt;"acoes")))*INDEX(Inputs!$K$5:$AJ$180,0,MATCH(AC$2,Inputs!$K$4:$AJ$4,0)))))</f>
        <v>0</v>
      </c>
      <c r="AD46" s="6">
        <f>IF(ISNA(MATCH(AD$2,Inputs!$K$4:$AJ$4,0)),NA(),IF(SUMPRODUCT((Inputs!$A$5:$A$180=$B46)*ISNUMBER(INDEX(Inputs!$K$5:$AJ$180,0,MATCH(AD$2,Inputs!$K$4:$AJ$4,0))))+SUMPRODUCT((Inputs!$C$5:$C$180=$B46)*ISNUMBER(INDEX(Inputs!$K$5:$AJ$180,0,MATCH(AD$2,Inputs!$K$4:$AJ$4,0))))+SUMPRODUCT((Inputs!$E$5:$E$180=$B46)*ISNUMBER(INDEX(Inputs!$K$5:$AJ$180,0,MATCH(AD$2,Inputs!$K$4:$AJ$4,0))))=0,NA(),SUMPRODUCT((Inputs!$A$5:$A$180=$B46)*Inputs!$B$5:$B$180*(((Inputs!$G$5:$G$180="moeda")+(Inputs!$G$5:$G$180="acoes"))*Inputs!$B$1+((Inputs!$G$5:$G$180&lt;&gt;"moeda")*(Inputs!$G$5:$G$180&lt;&gt;"acoes")))*INDEX(Inputs!$K$5:$AJ$180,0,MATCH(AD$2,Inputs!$K$4:$AJ$4,0)))+SUMPRODUCT((Inputs!$C$5:$C$180=$B46)*Inputs!$D$5:$D$180*(((Inputs!$G$5:$G$180="moeda")+(Inputs!$G$5:$G$180="acoes"))*Inputs!$B$1+((Inputs!$G$5:$G$180&lt;&gt;"moeda")*(Inputs!$G$5:$G$180&lt;&gt;"acoes")))*INDEX(Inputs!$K$5:$AJ$180,0,MATCH(AD$2,Inputs!$K$4:$AJ$4,0)))+SUMPRODUCT((Inputs!$E$5:$E$180=$B46)*Inputs!$F$5:$F$180*(((Inputs!$G$5:$G$180="moeda")+(Inputs!$G$5:$G$180="acoes"))*Inputs!$B$1+((Inputs!$G$5:$G$180&lt;&gt;"moeda")*(Inputs!$G$5:$G$180&lt;&gt;"acoes")))*INDEX(Inputs!$K$5:$AJ$180,0,MATCH(AD$2,Inputs!$K$4:$AJ$4,0)))))</f>
        <v>0</v>
      </c>
      <c r="AE46" s="6" t="e">
        <f>IF(ISNA(MATCH(AE$2,Inputs!$K$4:$AJ$4,0)),NA(),IF(SUMPRODUCT((Inputs!$A$5:$A$180=$B46)*ISNUMBER(INDEX(Inputs!$K$5:$AJ$180,0,MATCH(AE$2,Inputs!$K$4:$AJ$4,0))))+SUMPRODUCT((Inputs!$C$5:$C$180=$B46)*ISNUMBER(INDEX(Inputs!$K$5:$AJ$180,0,MATCH(AE$2,Inputs!$K$4:$AJ$4,0))))+SUMPRODUCT((Inputs!$E$5:$E$180=$B46)*ISNUMBER(INDEX(Inputs!$K$5:$AJ$180,0,MATCH(AE$2,Inputs!$K$4:$AJ$4,0))))=0,NA(),SUMPRODUCT((Inputs!$A$5:$A$180=$B46)*Inputs!$B$5:$B$180*(((Inputs!$G$5:$G$180="moeda")+(Inputs!$G$5:$G$180="acoes"))*Inputs!$B$1+((Inputs!$G$5:$G$180&lt;&gt;"moeda")*(Inputs!$G$5:$G$180&lt;&gt;"acoes")))*INDEX(Inputs!$K$5:$AJ$180,0,MATCH(AE$2,Inputs!$K$4:$AJ$4,0)))+SUMPRODUCT((Inputs!$C$5:$C$180=$B46)*Inputs!$D$5:$D$180*(((Inputs!$G$5:$G$180="moeda")+(Inputs!$G$5:$G$180="acoes"))*Inputs!$B$1+((Inputs!$G$5:$G$180&lt;&gt;"moeda")*(Inputs!$G$5:$G$180&lt;&gt;"acoes")))*INDEX(Inputs!$K$5:$AJ$180,0,MATCH(AE$2,Inputs!$K$4:$AJ$4,0)))+SUMPRODUCT((Inputs!$E$5:$E$180=$B46)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6" s="6" t="e">
        <f>IF(ISNA(MATCH(AF$2,Inputs!$K$4:$AJ$4,0)),NA(),IF(SUMPRODUCT((Inputs!$A$5:$A$180=$B46)*ISNUMBER(INDEX(Inputs!$K$5:$AJ$180,0,MATCH(AF$2,Inputs!$K$4:$AJ$4,0))))+SUMPRODUCT((Inputs!$C$5:$C$180=$B46)*ISNUMBER(INDEX(Inputs!$K$5:$AJ$180,0,MATCH(AF$2,Inputs!$K$4:$AJ$4,0))))+SUMPRODUCT((Inputs!$E$5:$E$180=$B46)*ISNUMBER(INDEX(Inputs!$K$5:$AJ$180,0,MATCH(AF$2,Inputs!$K$4:$AJ$4,0))))=0,NA(),SUMPRODUCT((Inputs!$A$5:$A$180=$B46)*Inputs!$B$5:$B$180*(((Inputs!$G$5:$G$180="moeda")+(Inputs!$G$5:$G$180="acoes"))*Inputs!$B$1+((Inputs!$G$5:$G$180&lt;&gt;"moeda")*(Inputs!$G$5:$G$180&lt;&gt;"acoes")))*INDEX(Inputs!$K$5:$AJ$180,0,MATCH(AF$2,Inputs!$K$4:$AJ$4,0)))+SUMPRODUCT((Inputs!$C$5:$C$180=$B46)*Inputs!$D$5:$D$180*(((Inputs!$G$5:$G$180="moeda")+(Inputs!$G$5:$G$180="acoes"))*Inputs!$B$1+((Inputs!$G$5:$G$180&lt;&gt;"moeda")*(Inputs!$G$5:$G$180&lt;&gt;"acoes")))*INDEX(Inputs!$K$5:$AJ$180,0,MATCH(AF$2,Inputs!$K$4:$AJ$4,0)))+SUMPRODUCT((Inputs!$E$5:$E$180=$B46)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6" s="3" t="e">
        <f>AF46</f>
        <v>#N/A</v>
      </c>
      <c r="AH46" s="6">
        <f>IF(ISNA(MATCH(AH$2,Inputs!$K$4:$AJ$4,0)),NA(),IF(SUMPRODUCT((Inputs!$A$5:$A$180=$B46)*ISNUMBER(INDEX(Inputs!$K$5:$AJ$180,0,MATCH(AH$2,Inputs!$K$4:$AJ$4,0))))+SUMPRODUCT((Inputs!$C$5:$C$180=$B46)*ISNUMBER(INDEX(Inputs!$K$5:$AJ$180,0,MATCH(AH$2,Inputs!$K$4:$AJ$4,0))))+SUMPRODUCT((Inputs!$E$5:$E$180=$B46)*ISNUMBER(INDEX(Inputs!$K$5:$AJ$180,0,MATCH(AH$2,Inputs!$K$4:$AJ$4,0))))=0,NA(),SUMPRODUCT((Inputs!$A$5:$A$180=$B46)*Inputs!$B$5:$B$180*(((Inputs!$G$5:$G$180="moeda")+(Inputs!$G$5:$G$180="acoes"))*Inputs!$B$1+((Inputs!$G$5:$G$180&lt;&gt;"moeda")*(Inputs!$G$5:$G$180&lt;&gt;"acoes")))*INDEX(Inputs!$K$5:$AJ$180,0,MATCH(AH$2,Inputs!$K$4:$AJ$4,0)))+SUMPRODUCT((Inputs!$C$5:$C$180=$B46)*Inputs!$D$5:$D$180*(((Inputs!$G$5:$G$180="moeda")+(Inputs!$G$5:$G$180="acoes"))*Inputs!$B$1+((Inputs!$G$5:$G$180&lt;&gt;"moeda")*(Inputs!$G$5:$G$180&lt;&gt;"acoes")))*INDEX(Inputs!$K$5:$AJ$180,0,MATCH(AH$2,Inputs!$K$4:$AJ$4,0)))+SUMPRODUCT((Inputs!$E$5:$E$180=$B46)*Inputs!$F$5:$F$180*(((Inputs!$G$5:$G$180="moeda")+(Inputs!$G$5:$G$180="acoes"))*Inputs!$B$1+((Inputs!$G$5:$G$180&lt;&gt;"moeda")*(Inputs!$G$5:$G$180&lt;&gt;"acoes")))*INDEX(Inputs!$K$5:$AJ$180,0,MATCH(AH$2,Inputs!$K$4:$AJ$4,0)))))</f>
        <v>102.87647304</v>
      </c>
      <c r="AI46" s="6">
        <f>IF(ISNA(MATCH(AI$2,Inputs!$K$4:$AJ$4,0)),NA(),IF(SUMPRODUCT((Inputs!$A$5:$A$180=$B46)*ISNUMBER(INDEX(Inputs!$K$5:$AJ$180,0,MATCH(AI$2,Inputs!$K$4:$AJ$4,0))))+SUMPRODUCT((Inputs!$C$5:$C$180=$B46)*ISNUMBER(INDEX(Inputs!$K$5:$AJ$180,0,MATCH(AI$2,Inputs!$K$4:$AJ$4,0))))+SUMPRODUCT((Inputs!$E$5:$E$180=$B46)*ISNUMBER(INDEX(Inputs!$K$5:$AJ$180,0,MATCH(AI$2,Inputs!$K$4:$AJ$4,0))))=0,NA(),SUMPRODUCT((Inputs!$A$5:$A$180=$B46)*Inputs!$B$5:$B$180*(((Inputs!$G$5:$G$180="moeda")+(Inputs!$G$5:$G$180="acoes"))*Inputs!$B$1+((Inputs!$G$5:$G$180&lt;&gt;"moeda")*(Inputs!$G$5:$G$180&lt;&gt;"acoes")))*INDEX(Inputs!$K$5:$AJ$180,0,MATCH(AI$2,Inputs!$K$4:$AJ$4,0)))+SUMPRODUCT((Inputs!$C$5:$C$180=$B46)*Inputs!$D$5:$D$180*(((Inputs!$G$5:$G$180="moeda")+(Inputs!$G$5:$G$180="acoes"))*Inputs!$B$1+((Inputs!$G$5:$G$180&lt;&gt;"moeda")*(Inputs!$G$5:$G$180&lt;&gt;"acoes")))*INDEX(Inputs!$K$5:$AJ$180,0,MATCH(AI$2,Inputs!$K$4:$AJ$4,0)))+SUMPRODUCT((Inputs!$E$5:$E$180=$B46)*Inputs!$F$5:$F$180*(((Inputs!$G$5:$G$180="moeda")+(Inputs!$G$5:$G$180="acoes"))*Inputs!$B$1+((Inputs!$G$5:$G$180&lt;&gt;"moeda")*(Inputs!$G$5:$G$180&lt;&gt;"acoes")))*INDEX(Inputs!$K$5:$AJ$180,0,MATCH(AI$2,Inputs!$K$4:$AJ$4,0)))))</f>
        <v>102.87647304</v>
      </c>
      <c r="AJ46" s="6">
        <f>IF(ISNA(MATCH(AJ$2,Inputs!$K$4:$AJ$4,0)),NA(),IF(SUMPRODUCT((Inputs!$A$5:$A$180=$B46)*ISNUMBER(INDEX(Inputs!$K$5:$AJ$180,0,MATCH(AJ$2,Inputs!$K$4:$AJ$4,0))))+SUMPRODUCT((Inputs!$C$5:$C$180=$B46)*ISNUMBER(INDEX(Inputs!$K$5:$AJ$180,0,MATCH(AJ$2,Inputs!$K$4:$AJ$4,0))))+SUMPRODUCT((Inputs!$E$5:$E$180=$B46)*ISNUMBER(INDEX(Inputs!$K$5:$AJ$180,0,MATCH(AJ$2,Inputs!$K$4:$AJ$4,0))))=0,NA(),SUMPRODUCT((Inputs!$A$5:$A$180=$B46)*Inputs!$B$5:$B$180*(((Inputs!$G$5:$G$180="moeda")+(Inputs!$G$5:$G$180="acoes"))*Inputs!$B$1+((Inputs!$G$5:$G$180&lt;&gt;"moeda")*(Inputs!$G$5:$G$180&lt;&gt;"acoes")))*INDEX(Inputs!$K$5:$AJ$180,0,MATCH(AJ$2,Inputs!$K$4:$AJ$4,0)))+SUMPRODUCT((Inputs!$C$5:$C$180=$B46)*Inputs!$D$5:$D$180*(((Inputs!$G$5:$G$180="moeda")+(Inputs!$G$5:$G$180="acoes"))*Inputs!$B$1+((Inputs!$G$5:$G$180&lt;&gt;"moeda")*(Inputs!$G$5:$G$180&lt;&gt;"acoes")))*INDEX(Inputs!$K$5:$AJ$180,0,MATCH(AJ$2,Inputs!$K$4:$AJ$4,0)))+SUMPRODUCT((Inputs!$E$5:$E$180=$B46)*Inputs!$F$5:$F$180*(((Inputs!$G$5:$G$180="moeda")+(Inputs!$G$5:$G$180="acoes"))*Inputs!$B$1+((Inputs!$G$5:$G$180&lt;&gt;"moeda")*(Inputs!$G$5:$G$180&lt;&gt;"acoes")))*INDEX(Inputs!$K$5:$AJ$180,0,MATCH(AJ$2,Inputs!$K$4:$AJ$4,0)))))</f>
        <v>102.87647304</v>
      </c>
      <c r="AK46" s="6">
        <f>IF(ISNA(MATCH(AK$2,Inputs!$K$4:$AJ$4,0)),NA(),IF(SUMPRODUCT((Inputs!$A$5:$A$180=$B46)*ISNUMBER(INDEX(Inputs!$K$5:$AJ$180,0,MATCH(AK$2,Inputs!$K$4:$AJ$4,0))))+SUMPRODUCT((Inputs!$C$5:$C$180=$B46)*ISNUMBER(INDEX(Inputs!$K$5:$AJ$180,0,MATCH(AK$2,Inputs!$K$4:$AJ$4,0))))+SUMPRODUCT((Inputs!$E$5:$E$180=$B46)*ISNUMBER(INDEX(Inputs!$K$5:$AJ$180,0,MATCH(AK$2,Inputs!$K$4:$AJ$4,0))))=0,NA(),SUMPRODUCT((Inputs!$A$5:$A$180=$B46)*Inputs!$B$5:$B$180*(((Inputs!$G$5:$G$180="moeda")+(Inputs!$G$5:$G$180="acoes"))*Inputs!$B$1+((Inputs!$G$5:$G$180&lt;&gt;"moeda")*(Inputs!$G$5:$G$180&lt;&gt;"acoes")))*INDEX(Inputs!$K$5:$AJ$180,0,MATCH(AK$2,Inputs!$K$4:$AJ$4,0)))+SUMPRODUCT((Inputs!$C$5:$C$180=$B46)*Inputs!$D$5:$D$180*(((Inputs!$G$5:$G$180="moeda")+(Inputs!$G$5:$G$180="acoes"))*Inputs!$B$1+((Inputs!$G$5:$G$180&lt;&gt;"moeda")*(Inputs!$G$5:$G$180&lt;&gt;"acoes")))*INDEX(Inputs!$K$5:$AJ$180,0,MATCH(AK$2,Inputs!$K$4:$AJ$4,0)))+SUMPRODUCT((Inputs!$E$5:$E$180=$B46)*Inputs!$F$5:$F$180*(((Inputs!$G$5:$G$180="moeda")+(Inputs!$G$5:$G$180="acoes"))*Inputs!$B$1+((Inputs!$G$5:$G$180&lt;&gt;"moeda")*(Inputs!$G$5:$G$180&lt;&gt;"acoes")))*INDEX(Inputs!$K$5:$AJ$180,0,MATCH(AK$2,Inputs!$K$4:$AJ$4,0)))))</f>
        <v>115.72452726</v>
      </c>
      <c r="AL46" s="3">
        <f>AK46</f>
        <v>115.72452726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$180=$B47)*ISNUMBER(INDEX(Inputs!$K$5:$AJ$180,0,MATCH(D$2,Inputs!$K$4:$AJ$4,0))))+SUMPRODUCT((Inputs!$C$5:$C$180=$B47)*ISNUMBER(INDEX(Inputs!$K$5:$AJ$180,0,MATCH(D$2,Inputs!$K$4:$AJ$4,0))))+SUMPRODUCT((Inputs!$E$5:$E$180=$B47)*ISNUMBER(INDEX(Inputs!$K$5:$AJ$180,0,MATCH(D$2,Inputs!$K$4:$AJ$4,0))))=0,NA(),SUMPRODUCT((Inputs!$A$5:$A$180=$B47)*Inputs!$B$5:$B$180*(((Inputs!$G$5:$G$180="moeda")+(Inputs!$G$5:$G$180="acoes"))*Inputs!$B$1+((Inputs!$G$5:$G$180&lt;&gt;"moeda")*(Inputs!$G$5:$G$180&lt;&gt;"acoes")))*INDEX(Inputs!$K$5:$AJ$180,0,MATCH(D$2,Inputs!$K$4:$AJ$4,0)))+SUMPRODUCT((Inputs!$C$5:$C$180=$B47)*Inputs!$D$5:$D$180*(((Inputs!$G$5:$G$180="moeda")+(Inputs!$G$5:$G$180="acoes"))*Inputs!$B$1+((Inputs!$G$5:$G$180&lt;&gt;"moeda")*(Inputs!$G$5:$G$180&lt;&gt;"acoes")))*INDEX(Inputs!$K$5:$AJ$180,0,MATCH(D$2,Inputs!$K$4:$AJ$4,0)))+SUMPRODUCT((Inputs!$E$5:$E$180=$B47)*Inputs!$F$5:$F$180*(((Inputs!$G$5:$G$180="moeda")+(Inputs!$G$5:$G$180="acoes"))*Inputs!$B$1+((Inputs!$G$5:$G$180&lt;&gt;"moeda")*(Inputs!$G$5:$G$180&lt;&gt;"acoes")))*INDEX(Inputs!$K$5:$AJ$180,0,MATCH(D$2,Inputs!$K$4:$AJ$4,0)))))</f>
        <v>121.28632605</v>
      </c>
      <c r="E47" s="6">
        <f>IF(ISNA(MATCH(E$2,Inputs!$K$4:$AJ$4,0)),NA(),IF(SUMPRODUCT((Inputs!$A$5:$A$180=$B47)*ISNUMBER(INDEX(Inputs!$K$5:$AJ$180,0,MATCH(E$2,Inputs!$K$4:$AJ$4,0))))+SUMPRODUCT((Inputs!$C$5:$C$180=$B47)*ISNUMBER(INDEX(Inputs!$K$5:$AJ$180,0,MATCH(E$2,Inputs!$K$4:$AJ$4,0))))+SUMPRODUCT((Inputs!$E$5:$E$180=$B47)*ISNUMBER(INDEX(Inputs!$K$5:$AJ$180,0,MATCH(E$2,Inputs!$K$4:$AJ$4,0))))=0,NA(),SUMPRODUCT((Inputs!$A$5:$A$180=$B47)*Inputs!$B$5:$B$180*(((Inputs!$G$5:$G$180="moeda")+(Inputs!$G$5:$G$180="acoes"))*Inputs!$B$1+((Inputs!$G$5:$G$180&lt;&gt;"moeda")*(Inputs!$G$5:$G$180&lt;&gt;"acoes")))*INDEX(Inputs!$K$5:$AJ$180,0,MATCH(E$2,Inputs!$K$4:$AJ$4,0)))+SUMPRODUCT((Inputs!$C$5:$C$180=$B47)*Inputs!$D$5:$D$180*(((Inputs!$G$5:$G$180="moeda")+(Inputs!$G$5:$G$180="acoes"))*Inputs!$B$1+((Inputs!$G$5:$G$180&lt;&gt;"moeda")*(Inputs!$G$5:$G$180&lt;&gt;"acoes")))*INDEX(Inputs!$K$5:$AJ$180,0,MATCH(E$2,Inputs!$K$4:$AJ$4,0)))+SUMPRODUCT((Inputs!$E$5:$E$180=$B47)*Inputs!$F$5:$F$180*(((Inputs!$G$5:$G$180="moeda")+(Inputs!$G$5:$G$180="acoes"))*Inputs!$B$1+((Inputs!$G$5:$G$180&lt;&gt;"moeda")*(Inputs!$G$5:$G$180&lt;&gt;"acoes")))*INDEX(Inputs!$K$5:$AJ$180,0,MATCH(E$2,Inputs!$K$4:$AJ$4,0)))))</f>
        <v>186.82095282</v>
      </c>
      <c r="F47" s="6">
        <f>IF(ISNA(MATCH(F$2,Inputs!$K$4:$AJ$4,0)),NA(),IF(SUMPRODUCT((Inputs!$A$5:$A$180=$B47)*ISNUMBER(INDEX(Inputs!$K$5:$AJ$180,0,MATCH(F$2,Inputs!$K$4:$AJ$4,0))))+SUMPRODUCT((Inputs!$C$5:$C$180=$B47)*ISNUMBER(INDEX(Inputs!$K$5:$AJ$180,0,MATCH(F$2,Inputs!$K$4:$AJ$4,0))))+SUMPRODUCT((Inputs!$E$5:$E$180=$B47)*ISNUMBER(INDEX(Inputs!$K$5:$AJ$180,0,MATCH(F$2,Inputs!$K$4:$AJ$4,0))))=0,NA(),SUMPRODUCT((Inputs!$A$5:$A$180=$B47)*Inputs!$B$5:$B$180*(((Inputs!$G$5:$G$180="moeda")+(Inputs!$G$5:$G$180="acoes"))*Inputs!$B$1+((Inputs!$G$5:$G$180&lt;&gt;"moeda")*(Inputs!$G$5:$G$180&lt;&gt;"acoes")))*INDEX(Inputs!$K$5:$AJ$180,0,MATCH(F$2,Inputs!$K$4:$AJ$4,0)))+SUMPRODUCT((Inputs!$C$5:$C$180=$B47)*Inputs!$D$5:$D$180*(((Inputs!$G$5:$G$180="moeda")+(Inputs!$G$5:$G$180="acoes"))*Inputs!$B$1+((Inputs!$G$5:$G$180&lt;&gt;"moeda")*(Inputs!$G$5:$G$180&lt;&gt;"acoes")))*INDEX(Inputs!$K$5:$AJ$180,0,MATCH(F$2,Inputs!$K$4:$AJ$4,0)))+SUMPRODUCT((Inputs!$E$5:$E$180=$B47)*Inputs!$F$5:$F$180*(((Inputs!$G$5:$G$180="moeda")+(Inputs!$G$5:$G$180="acoes"))*Inputs!$B$1+((Inputs!$G$5:$G$180&lt;&gt;"moeda")*(Inputs!$G$5:$G$180&lt;&gt;"acoes")))*INDEX(Inputs!$K$5:$AJ$180,0,MATCH(F$2,Inputs!$K$4:$AJ$4,0)))))</f>
        <v>239.43139772</v>
      </c>
      <c r="G47" s="6">
        <f>IF(ISNA(MATCH(G$2,Inputs!$K$4:$AJ$4,0)),NA(),IF(SUMPRODUCT((Inputs!$A$5:$A$180=$B47)*ISNUMBER(INDEX(Inputs!$K$5:$AJ$180,0,MATCH(G$2,Inputs!$K$4:$AJ$4,0))))+SUMPRODUCT((Inputs!$C$5:$C$180=$B47)*ISNUMBER(INDEX(Inputs!$K$5:$AJ$180,0,MATCH(G$2,Inputs!$K$4:$AJ$4,0))))+SUMPRODUCT((Inputs!$E$5:$E$180=$B47)*ISNUMBER(INDEX(Inputs!$K$5:$AJ$180,0,MATCH(G$2,Inputs!$K$4:$AJ$4,0))))=0,NA(),SUMPRODUCT((Inputs!$A$5:$A$180=$B47)*Inputs!$B$5:$B$180*(((Inputs!$G$5:$G$180="moeda")+(Inputs!$G$5:$G$180="acoes"))*Inputs!$B$1+((Inputs!$G$5:$G$180&lt;&gt;"moeda")*(Inputs!$G$5:$G$180&lt;&gt;"acoes")))*INDEX(Inputs!$K$5:$AJ$180,0,MATCH(G$2,Inputs!$K$4:$AJ$4,0)))+SUMPRODUCT((Inputs!$C$5:$C$180=$B47)*Inputs!$D$5:$D$180*(((Inputs!$G$5:$G$180="moeda")+(Inputs!$G$5:$G$180="acoes"))*Inputs!$B$1+((Inputs!$G$5:$G$180&lt;&gt;"moeda")*(Inputs!$G$5:$G$180&lt;&gt;"acoes")))*INDEX(Inputs!$K$5:$AJ$180,0,MATCH(G$2,Inputs!$K$4:$AJ$4,0)))+SUMPRODUCT((Inputs!$E$5:$E$180=$B47)*Inputs!$F$5:$F$180*(((Inputs!$G$5:$G$180="moeda")+(Inputs!$G$5:$G$180="acoes"))*Inputs!$B$1+((Inputs!$G$5:$G$180&lt;&gt;"moeda")*(Inputs!$G$5:$G$180&lt;&gt;"acoes")))*INDEX(Inputs!$K$5:$AJ$180,0,MATCH(G$2,Inputs!$K$4:$AJ$4,0)))))</f>
        <v>251.99589812</v>
      </c>
      <c r="H47" s="3">
        <f>G47</f>
        <v>251.99589812</v>
      </c>
      <c r="I47" s="6">
        <f>IF(ISNA(MATCH(I$2,Inputs!$K$4:$AJ$4,0)),NA(),IF(SUMPRODUCT((Inputs!$A$5:$A$180=$B47)*ISNUMBER(INDEX(Inputs!$K$5:$AJ$180,0,MATCH(I$2,Inputs!$K$4:$AJ$4,0))))+SUMPRODUCT((Inputs!$C$5:$C$180=$B47)*ISNUMBER(INDEX(Inputs!$K$5:$AJ$180,0,MATCH(I$2,Inputs!$K$4:$AJ$4,0))))+SUMPRODUCT((Inputs!$E$5:$E$180=$B47)*ISNUMBER(INDEX(Inputs!$K$5:$AJ$180,0,MATCH(I$2,Inputs!$K$4:$AJ$4,0))))=0,NA(),SUMPRODUCT((Inputs!$A$5:$A$180=$B47)*Inputs!$B$5:$B$180*(((Inputs!$G$5:$G$180="moeda")+(Inputs!$G$5:$G$180="acoes"))*Inputs!$B$1+((Inputs!$G$5:$G$180&lt;&gt;"moeda")*(Inputs!$G$5:$G$180&lt;&gt;"acoes")))*INDEX(Inputs!$K$5:$AJ$180,0,MATCH(I$2,Inputs!$K$4:$AJ$4,0)))+SUMPRODUCT((Inputs!$C$5:$C$180=$B47)*Inputs!$D$5:$D$180*(((Inputs!$G$5:$G$180="moeda")+(Inputs!$G$5:$G$180="acoes"))*Inputs!$B$1+((Inputs!$G$5:$G$180&lt;&gt;"moeda")*(Inputs!$G$5:$G$180&lt;&gt;"acoes")))*INDEX(Inputs!$K$5:$AJ$180,0,MATCH(I$2,Inputs!$K$4:$AJ$4,0)))+SUMPRODUCT((Inputs!$E$5:$E$180=$B47)*Inputs!$F$5:$F$180*(((Inputs!$G$5:$G$180="moeda")+(Inputs!$G$5:$G$180="acoes"))*Inputs!$B$1+((Inputs!$G$5:$G$180&lt;&gt;"moeda")*(Inputs!$G$5:$G$180&lt;&gt;"acoes")))*INDEX(Inputs!$K$5:$AJ$180,0,MATCH(I$2,Inputs!$K$4:$AJ$4,0)))))</f>
        <v>135.27750577</v>
      </c>
      <c r="J47" s="6">
        <f>IF(ISNA(MATCH(J$2,Inputs!$K$4:$AJ$4,0)),NA(),IF(SUMPRODUCT((Inputs!$A$5:$A$180=$B47)*ISNUMBER(INDEX(Inputs!$K$5:$AJ$180,0,MATCH(J$2,Inputs!$K$4:$AJ$4,0))))+SUMPRODUCT((Inputs!$C$5:$C$180=$B47)*ISNUMBER(INDEX(Inputs!$K$5:$AJ$180,0,MATCH(J$2,Inputs!$K$4:$AJ$4,0))))+SUMPRODUCT((Inputs!$E$5:$E$180=$B47)*ISNUMBER(INDEX(Inputs!$K$5:$AJ$180,0,MATCH(J$2,Inputs!$K$4:$AJ$4,0))))=0,NA(),SUMPRODUCT((Inputs!$A$5:$A$180=$B47)*Inputs!$B$5:$B$180*(((Inputs!$G$5:$G$180="moeda")+(Inputs!$G$5:$G$180="acoes"))*Inputs!$B$1+((Inputs!$G$5:$G$180&lt;&gt;"moeda")*(Inputs!$G$5:$G$180&lt;&gt;"acoes")))*INDEX(Inputs!$K$5:$AJ$180,0,MATCH(J$2,Inputs!$K$4:$AJ$4,0)))+SUMPRODUCT((Inputs!$C$5:$C$180=$B47)*Inputs!$D$5:$D$180*(((Inputs!$G$5:$G$180="moeda")+(Inputs!$G$5:$G$180="acoes"))*Inputs!$B$1+((Inputs!$G$5:$G$180&lt;&gt;"moeda")*(Inputs!$G$5:$G$180&lt;&gt;"acoes")))*INDEX(Inputs!$K$5:$AJ$180,0,MATCH(J$2,Inputs!$K$4:$AJ$4,0)))+SUMPRODUCT((Inputs!$E$5:$E$180=$B47)*Inputs!$F$5:$F$180*(((Inputs!$G$5:$G$180="moeda")+(Inputs!$G$5:$G$180="acoes"))*Inputs!$B$1+((Inputs!$G$5:$G$180&lt;&gt;"moeda")*(Inputs!$G$5:$G$180&lt;&gt;"acoes")))*INDEX(Inputs!$K$5:$AJ$180,0,MATCH(J$2,Inputs!$K$4:$AJ$4,0)))))</f>
        <v>213.0565861</v>
      </c>
      <c r="K47" s="6">
        <f>IF(ISNA(MATCH(K$2,Inputs!$K$4:$AJ$4,0)),NA(),IF(SUMPRODUCT((Inputs!$A$5:$A$180=$B47)*ISNUMBER(INDEX(Inputs!$K$5:$AJ$180,0,MATCH(K$2,Inputs!$K$4:$AJ$4,0))))+SUMPRODUCT((Inputs!$C$5:$C$180=$B47)*ISNUMBER(INDEX(Inputs!$K$5:$AJ$180,0,MATCH(K$2,Inputs!$K$4:$AJ$4,0))))+SUMPRODUCT((Inputs!$E$5:$E$180=$B47)*ISNUMBER(INDEX(Inputs!$K$5:$AJ$180,0,MATCH(K$2,Inputs!$K$4:$AJ$4,0))))=0,NA(),SUMPRODUCT((Inputs!$A$5:$A$180=$B47)*Inputs!$B$5:$B$180*(((Inputs!$G$5:$G$180="moeda")+(Inputs!$G$5:$G$180="acoes"))*Inputs!$B$1+((Inputs!$G$5:$G$180&lt;&gt;"moeda")*(Inputs!$G$5:$G$180&lt;&gt;"acoes")))*INDEX(Inputs!$K$5:$AJ$180,0,MATCH(K$2,Inputs!$K$4:$AJ$4,0)))+SUMPRODUCT((Inputs!$C$5:$C$180=$B47)*Inputs!$D$5:$D$180*(((Inputs!$G$5:$G$180="moeda")+(Inputs!$G$5:$G$180="acoes"))*Inputs!$B$1+((Inputs!$G$5:$G$180&lt;&gt;"moeda")*(Inputs!$G$5:$G$180&lt;&gt;"acoes")))*INDEX(Inputs!$K$5:$AJ$180,0,MATCH(K$2,Inputs!$K$4:$AJ$4,0)))+SUMPRODUCT((Inputs!$E$5:$E$180=$B47)*Inputs!$F$5:$F$180*(((Inputs!$G$5:$G$180="moeda")+(Inputs!$G$5:$G$180="acoes"))*Inputs!$B$1+((Inputs!$G$5:$G$180&lt;&gt;"moeda")*(Inputs!$G$5:$G$180&lt;&gt;"acoes")))*INDEX(Inputs!$K$5:$AJ$180,0,MATCH(K$2,Inputs!$K$4:$AJ$4,0)))))</f>
        <v>301.79249417</v>
      </c>
      <c r="L47" s="6">
        <f>IF(ISNA(MATCH(L$2,Inputs!$K$4:$AJ$4,0)),NA(),IF(SUMPRODUCT((Inputs!$A$5:$A$180=$B47)*ISNUMBER(INDEX(Inputs!$K$5:$AJ$180,0,MATCH(L$2,Inputs!$K$4:$AJ$4,0))))+SUMPRODUCT((Inputs!$C$5:$C$180=$B47)*ISNUMBER(INDEX(Inputs!$K$5:$AJ$180,0,MATCH(L$2,Inputs!$K$4:$AJ$4,0))))+SUMPRODUCT((Inputs!$E$5:$E$180=$B47)*ISNUMBER(INDEX(Inputs!$K$5:$AJ$180,0,MATCH(L$2,Inputs!$K$4:$AJ$4,0))))=0,NA(),SUMPRODUCT((Inputs!$A$5:$A$180=$B47)*Inputs!$B$5:$B$180*(((Inputs!$G$5:$G$180="moeda")+(Inputs!$G$5:$G$180="acoes"))*Inputs!$B$1+((Inputs!$G$5:$G$180&lt;&gt;"moeda")*(Inputs!$G$5:$G$180&lt;&gt;"acoes")))*INDEX(Inputs!$K$5:$AJ$180,0,MATCH(L$2,Inputs!$K$4:$AJ$4,0)))+SUMPRODUCT((Inputs!$C$5:$C$180=$B47)*Inputs!$D$5:$D$180*(((Inputs!$G$5:$G$180="moeda")+(Inputs!$G$5:$G$180="acoes"))*Inputs!$B$1+((Inputs!$G$5:$G$180&lt;&gt;"moeda")*(Inputs!$G$5:$G$180&lt;&gt;"acoes")))*INDEX(Inputs!$K$5:$AJ$180,0,MATCH(L$2,Inputs!$K$4:$AJ$4,0)))+SUMPRODUCT((Inputs!$E$5:$E$180=$B47)*Inputs!$F$5:$F$180*(((Inputs!$G$5:$G$180="moeda")+(Inputs!$G$5:$G$180="acoes"))*Inputs!$B$1+((Inputs!$G$5:$G$180&lt;&gt;"moeda")*(Inputs!$G$5:$G$180&lt;&gt;"acoes")))*INDEX(Inputs!$K$5:$AJ$180,0,MATCH(L$2,Inputs!$K$4:$AJ$4,0)))))</f>
        <v>187.291</v>
      </c>
      <c r="M47" s="3">
        <f>L47</f>
        <v>187.291</v>
      </c>
      <c r="N47" s="6">
        <f>IF(ISNA(MATCH(N$2,Inputs!$K$4:$AJ$4,0)),NA(),IF(SUMPRODUCT((Inputs!$A$5:$A$180=$B47)*ISNUMBER(INDEX(Inputs!$K$5:$AJ$180,0,MATCH(N$2,Inputs!$K$4:$AJ$4,0))))+SUMPRODUCT((Inputs!$C$5:$C$180=$B47)*ISNUMBER(INDEX(Inputs!$K$5:$AJ$180,0,MATCH(N$2,Inputs!$K$4:$AJ$4,0))))+SUMPRODUCT((Inputs!$E$5:$E$180=$B47)*ISNUMBER(INDEX(Inputs!$K$5:$AJ$180,0,MATCH(N$2,Inputs!$K$4:$AJ$4,0))))=0,NA(),SUMPRODUCT((Inputs!$A$5:$A$180=$B47)*Inputs!$B$5:$B$180*(((Inputs!$G$5:$G$180="moeda")+(Inputs!$G$5:$G$180="acoes"))*Inputs!$B$1+((Inputs!$G$5:$G$180&lt;&gt;"moeda")*(Inputs!$G$5:$G$180&lt;&gt;"acoes")))*INDEX(Inputs!$K$5:$AJ$180,0,MATCH(N$2,Inputs!$K$4:$AJ$4,0)))+SUMPRODUCT((Inputs!$C$5:$C$180=$B47)*Inputs!$D$5:$D$180*(((Inputs!$G$5:$G$180="moeda")+(Inputs!$G$5:$G$180="acoes"))*Inputs!$B$1+((Inputs!$G$5:$G$180&lt;&gt;"moeda")*(Inputs!$G$5:$G$180&lt;&gt;"acoes")))*INDEX(Inputs!$K$5:$AJ$180,0,MATCH(N$2,Inputs!$K$4:$AJ$4,0)))+SUMPRODUCT((Inputs!$E$5:$E$180=$B47)*Inputs!$F$5:$F$180*(((Inputs!$G$5:$G$180="moeda")+(Inputs!$G$5:$G$180="acoes"))*Inputs!$B$1+((Inputs!$G$5:$G$180&lt;&gt;"moeda")*(Inputs!$G$5:$G$180&lt;&gt;"acoes")))*INDEX(Inputs!$K$5:$AJ$180,0,MATCH(N$2,Inputs!$K$4:$AJ$4,0)))))</f>
        <v>118.68901586</v>
      </c>
      <c r="O47" s="6">
        <f>IF(ISNA(MATCH(O$2,Inputs!$K$4:$AJ$4,0)),NA(),IF(SUMPRODUCT((Inputs!$A$5:$A$180=$B47)*ISNUMBER(INDEX(Inputs!$K$5:$AJ$180,0,MATCH(O$2,Inputs!$K$4:$AJ$4,0))))+SUMPRODUCT((Inputs!$C$5:$C$180=$B47)*ISNUMBER(INDEX(Inputs!$K$5:$AJ$180,0,MATCH(O$2,Inputs!$K$4:$AJ$4,0))))+SUMPRODUCT((Inputs!$E$5:$E$180=$B47)*ISNUMBER(INDEX(Inputs!$K$5:$AJ$180,0,MATCH(O$2,Inputs!$K$4:$AJ$4,0))))=0,NA(),SUMPRODUCT((Inputs!$A$5:$A$180=$B47)*Inputs!$B$5:$B$180*(((Inputs!$G$5:$G$180="moeda")+(Inputs!$G$5:$G$180="acoes"))*Inputs!$B$1+((Inputs!$G$5:$G$180&lt;&gt;"moeda")*(Inputs!$G$5:$G$180&lt;&gt;"acoes")))*INDEX(Inputs!$K$5:$AJ$180,0,MATCH(O$2,Inputs!$K$4:$AJ$4,0)))+SUMPRODUCT((Inputs!$C$5:$C$180=$B47)*Inputs!$D$5:$D$180*(((Inputs!$G$5:$G$180="moeda")+(Inputs!$G$5:$G$180="acoes"))*Inputs!$B$1+((Inputs!$G$5:$G$180&lt;&gt;"moeda")*(Inputs!$G$5:$G$180&lt;&gt;"acoes")))*INDEX(Inputs!$K$5:$AJ$180,0,MATCH(O$2,Inputs!$K$4:$AJ$4,0)))+SUMPRODUCT((Inputs!$E$5:$E$180=$B47)*Inputs!$F$5:$F$180*(((Inputs!$G$5:$G$180="moeda")+(Inputs!$G$5:$G$180="acoes"))*Inputs!$B$1+((Inputs!$G$5:$G$180&lt;&gt;"moeda")*(Inputs!$G$5:$G$180&lt;&gt;"acoes")))*INDEX(Inputs!$K$5:$AJ$180,0,MATCH(O$2,Inputs!$K$4:$AJ$4,0)))))</f>
        <v>193.118</v>
      </c>
      <c r="P47" s="6">
        <f>IF(ISNA(MATCH(P$2,Inputs!$K$4:$AJ$4,0)),NA(),IF(SUMPRODUCT((Inputs!$A$5:$A$180=$B47)*ISNUMBER(INDEX(Inputs!$K$5:$AJ$180,0,MATCH(P$2,Inputs!$K$4:$AJ$4,0))))+SUMPRODUCT((Inputs!$C$5:$C$180=$B47)*ISNUMBER(INDEX(Inputs!$K$5:$AJ$180,0,MATCH(P$2,Inputs!$K$4:$AJ$4,0))))+SUMPRODUCT((Inputs!$E$5:$E$180=$B47)*ISNUMBER(INDEX(Inputs!$K$5:$AJ$180,0,MATCH(P$2,Inputs!$K$4:$AJ$4,0))))=0,NA(),SUMPRODUCT((Inputs!$A$5:$A$180=$B47)*Inputs!$B$5:$B$180*(((Inputs!$G$5:$G$180="moeda")+(Inputs!$G$5:$G$180="acoes"))*Inputs!$B$1+((Inputs!$G$5:$G$180&lt;&gt;"moeda")*(Inputs!$G$5:$G$180&lt;&gt;"acoes")))*INDEX(Inputs!$K$5:$AJ$180,0,MATCH(P$2,Inputs!$K$4:$AJ$4,0)))+SUMPRODUCT((Inputs!$C$5:$C$180=$B47)*Inputs!$D$5:$D$180*(((Inputs!$G$5:$G$180="moeda")+(Inputs!$G$5:$G$180="acoes"))*Inputs!$B$1+((Inputs!$G$5:$G$180&lt;&gt;"moeda")*(Inputs!$G$5:$G$180&lt;&gt;"acoes")))*INDEX(Inputs!$K$5:$AJ$180,0,MATCH(P$2,Inputs!$K$4:$AJ$4,0)))+SUMPRODUCT((Inputs!$E$5:$E$180=$B47)*Inputs!$F$5:$F$180*(((Inputs!$G$5:$G$180="moeda")+(Inputs!$G$5:$G$180="acoes"))*Inputs!$B$1+((Inputs!$G$5:$G$180&lt;&gt;"moeda")*(Inputs!$G$5:$G$180&lt;&gt;"acoes")))*INDEX(Inputs!$K$5:$AJ$180,0,MATCH(P$2,Inputs!$K$4:$AJ$4,0)))))</f>
        <v>367.316</v>
      </c>
      <c r="Q47" s="6">
        <f>IF(ISNA(MATCH(Q$2,Inputs!$K$4:$AJ$4,0)),NA(),IF(SUMPRODUCT((Inputs!$A$5:$A$180=$B47)*ISNUMBER(INDEX(Inputs!$K$5:$AJ$180,0,MATCH(Q$2,Inputs!$K$4:$AJ$4,0))))+SUMPRODUCT((Inputs!$C$5:$C$180=$B47)*ISNUMBER(INDEX(Inputs!$K$5:$AJ$180,0,MATCH(Q$2,Inputs!$K$4:$AJ$4,0))))+SUMPRODUCT((Inputs!$E$5:$E$180=$B47)*ISNUMBER(INDEX(Inputs!$K$5:$AJ$180,0,MATCH(Q$2,Inputs!$K$4:$AJ$4,0))))=0,NA(),SUMPRODUCT((Inputs!$A$5:$A$180=$B47)*Inputs!$B$5:$B$180*(((Inputs!$G$5:$G$180="moeda")+(Inputs!$G$5:$G$180="acoes"))*Inputs!$B$1+((Inputs!$G$5:$G$180&lt;&gt;"moeda")*(Inputs!$G$5:$G$180&lt;&gt;"acoes")))*INDEX(Inputs!$K$5:$AJ$180,0,MATCH(Q$2,Inputs!$K$4:$AJ$4,0)))+SUMPRODUCT((Inputs!$C$5:$C$180=$B47)*Inputs!$D$5:$D$180*(((Inputs!$G$5:$G$180="moeda")+(Inputs!$G$5:$G$180="acoes"))*Inputs!$B$1+((Inputs!$G$5:$G$180&lt;&gt;"moeda")*(Inputs!$G$5:$G$180&lt;&gt;"acoes")))*INDEX(Inputs!$K$5:$AJ$180,0,MATCH(Q$2,Inputs!$K$4:$AJ$4,0)))+SUMPRODUCT((Inputs!$E$5:$E$180=$B47)*Inputs!$F$5:$F$180*(((Inputs!$G$5:$G$180="moeda")+(Inputs!$G$5:$G$180="acoes"))*Inputs!$B$1+((Inputs!$G$5:$G$180&lt;&gt;"moeda")*(Inputs!$G$5:$G$180&lt;&gt;"acoes")))*INDEX(Inputs!$K$5:$AJ$180,0,MATCH(Q$2,Inputs!$K$4:$AJ$4,0)))))</f>
        <v>190.126</v>
      </c>
      <c r="R47" s="3">
        <f>Q47</f>
        <v>190.126</v>
      </c>
      <c r="S47" s="6">
        <f>IF(ISNA(MATCH(S$2,Inputs!$K$4:$AJ$4,0)),NA(),IF(SUMPRODUCT((Inputs!$A$5:$A$180=$B47)*ISNUMBER(INDEX(Inputs!$K$5:$AJ$180,0,MATCH(S$2,Inputs!$K$4:$AJ$4,0))))+SUMPRODUCT((Inputs!$C$5:$C$180=$B47)*ISNUMBER(INDEX(Inputs!$K$5:$AJ$180,0,MATCH(S$2,Inputs!$K$4:$AJ$4,0))))+SUMPRODUCT((Inputs!$E$5:$E$180=$B47)*ISNUMBER(INDEX(Inputs!$K$5:$AJ$180,0,MATCH(S$2,Inputs!$K$4:$AJ$4,0))))=0,NA(),SUMPRODUCT((Inputs!$A$5:$A$180=$B47)*Inputs!$B$5:$B$180*(((Inputs!$G$5:$G$180="moeda")+(Inputs!$G$5:$G$180="acoes"))*Inputs!$B$1+((Inputs!$G$5:$G$180&lt;&gt;"moeda")*(Inputs!$G$5:$G$180&lt;&gt;"acoes")))*INDEX(Inputs!$K$5:$AJ$180,0,MATCH(S$2,Inputs!$K$4:$AJ$4,0)))+SUMPRODUCT((Inputs!$C$5:$C$180=$B47)*Inputs!$D$5:$D$180*(((Inputs!$G$5:$G$180="moeda")+(Inputs!$G$5:$G$180="acoes"))*Inputs!$B$1+((Inputs!$G$5:$G$180&lt;&gt;"moeda")*(Inputs!$G$5:$G$180&lt;&gt;"acoes")))*INDEX(Inputs!$K$5:$AJ$180,0,MATCH(S$2,Inputs!$K$4:$AJ$4,0)))+SUMPRODUCT((Inputs!$E$5:$E$180=$B47)*Inputs!$F$5:$F$180*(((Inputs!$G$5:$G$180="moeda")+(Inputs!$G$5:$G$180="acoes"))*Inputs!$B$1+((Inputs!$G$5:$G$180&lt;&gt;"moeda")*(Inputs!$G$5:$G$180&lt;&gt;"acoes")))*INDEX(Inputs!$K$5:$AJ$180,0,MATCH(S$2,Inputs!$K$4:$AJ$4,0)))))</f>
        <v>484.972</v>
      </c>
      <c r="T47" s="6">
        <f>IF(ISNA(MATCH(T$2,Inputs!$K$4:$AJ$4,0)),NA(),IF(SUMPRODUCT((Inputs!$A$5:$A$180=$B47)*ISNUMBER(INDEX(Inputs!$K$5:$AJ$180,0,MATCH(T$2,Inputs!$K$4:$AJ$4,0))))+SUMPRODUCT((Inputs!$C$5:$C$180=$B47)*ISNUMBER(INDEX(Inputs!$K$5:$AJ$180,0,MATCH(T$2,Inputs!$K$4:$AJ$4,0))))+SUMPRODUCT((Inputs!$E$5:$E$180=$B47)*ISNUMBER(INDEX(Inputs!$K$5:$AJ$180,0,MATCH(T$2,Inputs!$K$4:$AJ$4,0))))=0,NA(),SUMPRODUCT((Inputs!$A$5:$A$180=$B47)*Inputs!$B$5:$B$180*(((Inputs!$G$5:$G$180="moeda")+(Inputs!$G$5:$G$180="acoes"))*Inputs!$B$1+((Inputs!$G$5:$G$180&lt;&gt;"moeda")*(Inputs!$G$5:$G$180&lt;&gt;"acoes")))*INDEX(Inputs!$K$5:$AJ$180,0,MATCH(T$2,Inputs!$K$4:$AJ$4,0)))+SUMPRODUCT((Inputs!$C$5:$C$180=$B47)*Inputs!$D$5:$D$180*(((Inputs!$G$5:$G$180="moeda")+(Inputs!$G$5:$G$180="acoes"))*Inputs!$B$1+((Inputs!$G$5:$G$180&lt;&gt;"moeda")*(Inputs!$G$5:$G$180&lt;&gt;"acoes")))*INDEX(Inputs!$K$5:$AJ$180,0,MATCH(T$2,Inputs!$K$4:$AJ$4,0)))+SUMPRODUCT((Inputs!$E$5:$E$180=$B47)*Inputs!$F$5:$F$180*(((Inputs!$G$5:$G$180="moeda")+(Inputs!$G$5:$G$180="acoes"))*Inputs!$B$1+((Inputs!$G$5:$G$180&lt;&gt;"moeda")*(Inputs!$G$5:$G$180&lt;&gt;"acoes")))*INDEX(Inputs!$K$5:$AJ$180,0,MATCH(T$2,Inputs!$K$4:$AJ$4,0)))))</f>
        <v>658.558</v>
      </c>
      <c r="U47" s="6">
        <f>IF(ISNA(MATCH(U$2,Inputs!$K$4:$AJ$4,0)),NA(),IF(SUMPRODUCT((Inputs!$A$5:$A$180=$B47)*ISNUMBER(INDEX(Inputs!$K$5:$AJ$180,0,MATCH(U$2,Inputs!$K$4:$AJ$4,0))))+SUMPRODUCT((Inputs!$C$5:$C$180=$B47)*ISNUMBER(INDEX(Inputs!$K$5:$AJ$180,0,MATCH(U$2,Inputs!$K$4:$AJ$4,0))))+SUMPRODUCT((Inputs!$E$5:$E$180=$B47)*ISNUMBER(INDEX(Inputs!$K$5:$AJ$180,0,MATCH(U$2,Inputs!$K$4:$AJ$4,0))))=0,NA(),SUMPRODUCT((Inputs!$A$5:$A$180=$B47)*Inputs!$B$5:$B$180*(((Inputs!$G$5:$G$180="moeda")+(Inputs!$G$5:$G$180="acoes"))*Inputs!$B$1+((Inputs!$G$5:$G$180&lt;&gt;"moeda")*(Inputs!$G$5:$G$180&lt;&gt;"acoes")))*INDEX(Inputs!$K$5:$AJ$180,0,MATCH(U$2,Inputs!$K$4:$AJ$4,0)))+SUMPRODUCT((Inputs!$C$5:$C$180=$B47)*Inputs!$D$5:$D$180*(((Inputs!$G$5:$G$180="moeda")+(Inputs!$G$5:$G$180="acoes"))*Inputs!$B$1+((Inputs!$G$5:$G$180&lt;&gt;"moeda")*(Inputs!$G$5:$G$180&lt;&gt;"acoes")))*INDEX(Inputs!$K$5:$AJ$180,0,MATCH(U$2,Inputs!$K$4:$AJ$4,0)))+SUMPRODUCT((Inputs!$E$5:$E$180=$B47)*Inputs!$F$5:$F$180*(((Inputs!$G$5:$G$180="moeda")+(Inputs!$G$5:$G$180="acoes"))*Inputs!$B$1+((Inputs!$G$5:$G$180&lt;&gt;"moeda")*(Inputs!$G$5:$G$180&lt;&gt;"acoes")))*INDEX(Inputs!$K$5:$AJ$180,0,MATCH(U$2,Inputs!$K$4:$AJ$4,0)))))</f>
        <v>849.263</v>
      </c>
      <c r="V47" s="6">
        <f>IF(ISNA(MATCH(V$2,Inputs!$K$4:$AJ$4,0)),NA(),IF(SUMPRODUCT((Inputs!$A$5:$A$180=$B47)*ISNUMBER(INDEX(Inputs!$K$5:$AJ$180,0,MATCH(V$2,Inputs!$K$4:$AJ$4,0))))+SUMPRODUCT((Inputs!$C$5:$C$180=$B47)*ISNUMBER(INDEX(Inputs!$K$5:$AJ$180,0,MATCH(V$2,Inputs!$K$4:$AJ$4,0))))+SUMPRODUCT((Inputs!$E$5:$E$180=$B47)*ISNUMBER(INDEX(Inputs!$K$5:$AJ$180,0,MATCH(V$2,Inputs!$K$4:$AJ$4,0))))=0,NA(),SUMPRODUCT((Inputs!$A$5:$A$180=$B47)*Inputs!$B$5:$B$180*(((Inputs!$G$5:$G$180="moeda")+(Inputs!$G$5:$G$180="acoes"))*Inputs!$B$1+((Inputs!$G$5:$G$180&lt;&gt;"moeda")*(Inputs!$G$5:$G$180&lt;&gt;"acoes")))*INDEX(Inputs!$K$5:$AJ$180,0,MATCH(V$2,Inputs!$K$4:$AJ$4,0)))+SUMPRODUCT((Inputs!$C$5:$C$180=$B47)*Inputs!$D$5:$D$180*(((Inputs!$G$5:$G$180="moeda")+(Inputs!$G$5:$G$180="acoes"))*Inputs!$B$1+((Inputs!$G$5:$G$180&lt;&gt;"moeda")*(Inputs!$G$5:$G$180&lt;&gt;"acoes")))*INDEX(Inputs!$K$5:$AJ$180,0,MATCH(V$2,Inputs!$K$4:$AJ$4,0)))+SUMPRODUCT((Inputs!$E$5:$E$180=$B47)*Inputs!$F$5:$F$180*(((Inputs!$G$5:$G$180="moeda")+(Inputs!$G$5:$G$180="acoes"))*Inputs!$B$1+((Inputs!$G$5:$G$180&lt;&gt;"moeda")*(Inputs!$G$5:$G$180&lt;&gt;"acoes")))*INDEX(Inputs!$K$5:$AJ$180,0,MATCH(V$2,Inputs!$K$4:$AJ$4,0)))))</f>
        <v>933.186</v>
      </c>
      <c r="W47" s="3">
        <f>V47</f>
        <v>933.186</v>
      </c>
      <c r="X47" s="6">
        <f>IF(ISNA(MATCH(X$2,Inputs!$K$4:$AJ$4,0)),NA(),IF(SUMPRODUCT((Inputs!$A$5:$A$180=$B47)*ISNUMBER(INDEX(Inputs!$K$5:$AJ$180,0,MATCH(X$2,Inputs!$K$4:$AJ$4,0))))+SUMPRODUCT((Inputs!$C$5:$C$180=$B47)*ISNUMBER(INDEX(Inputs!$K$5:$AJ$180,0,MATCH(X$2,Inputs!$K$4:$AJ$4,0))))+SUMPRODUCT((Inputs!$E$5:$E$180=$B47)*ISNUMBER(INDEX(Inputs!$K$5:$AJ$180,0,MATCH(X$2,Inputs!$K$4:$AJ$4,0))))=0,NA(),SUMPRODUCT((Inputs!$A$5:$A$180=$B47)*Inputs!$B$5:$B$180*(((Inputs!$G$5:$G$180="moeda")+(Inputs!$G$5:$G$180="acoes"))*Inputs!$B$1+((Inputs!$G$5:$G$180&lt;&gt;"moeda")*(Inputs!$G$5:$G$180&lt;&gt;"acoes")))*INDEX(Inputs!$K$5:$AJ$180,0,MATCH(X$2,Inputs!$K$4:$AJ$4,0)))+SUMPRODUCT((Inputs!$C$5:$C$180=$B47)*Inputs!$D$5:$D$180*(((Inputs!$G$5:$G$180="moeda")+(Inputs!$G$5:$G$180="acoes"))*Inputs!$B$1+((Inputs!$G$5:$G$180&lt;&gt;"moeda")*(Inputs!$G$5:$G$180&lt;&gt;"acoes")))*INDEX(Inputs!$K$5:$AJ$180,0,MATCH(X$2,Inputs!$K$4:$AJ$4,0)))+SUMPRODUCT((Inputs!$E$5:$E$180=$B47)*Inputs!$F$5:$F$180*(((Inputs!$G$5:$G$180="moeda")+(Inputs!$G$5:$G$180="acoes"))*Inputs!$B$1+((Inputs!$G$5:$G$180&lt;&gt;"moeda")*(Inputs!$G$5:$G$180&lt;&gt;"acoes")))*INDEX(Inputs!$K$5:$AJ$180,0,MATCH(X$2,Inputs!$K$4:$AJ$4,0)))))</f>
        <v>557.914</v>
      </c>
      <c r="Y47" s="6">
        <f>IF(ISNA(MATCH(Y$2,Inputs!$K$4:$AJ$4,0)),NA(),IF(SUMPRODUCT((Inputs!$A$5:$A$180=$B47)*ISNUMBER(INDEX(Inputs!$K$5:$AJ$180,0,MATCH(Y$2,Inputs!$K$4:$AJ$4,0))))+SUMPRODUCT((Inputs!$C$5:$C$180=$B47)*ISNUMBER(INDEX(Inputs!$K$5:$AJ$180,0,MATCH(Y$2,Inputs!$K$4:$AJ$4,0))))+SUMPRODUCT((Inputs!$E$5:$E$180=$B47)*ISNUMBER(INDEX(Inputs!$K$5:$AJ$180,0,MATCH(Y$2,Inputs!$K$4:$AJ$4,0))))=0,NA(),SUMPRODUCT((Inputs!$A$5:$A$180=$B47)*Inputs!$B$5:$B$180*(((Inputs!$G$5:$G$180="moeda")+(Inputs!$G$5:$G$180="acoes"))*Inputs!$B$1+((Inputs!$G$5:$G$180&lt;&gt;"moeda")*(Inputs!$G$5:$G$180&lt;&gt;"acoes")))*INDEX(Inputs!$K$5:$AJ$180,0,MATCH(Y$2,Inputs!$K$4:$AJ$4,0)))+SUMPRODUCT((Inputs!$C$5:$C$180=$B47)*Inputs!$D$5:$D$180*(((Inputs!$G$5:$G$180="moeda")+(Inputs!$G$5:$G$180="acoes"))*Inputs!$B$1+((Inputs!$G$5:$G$180&lt;&gt;"moeda")*(Inputs!$G$5:$G$180&lt;&gt;"acoes")))*INDEX(Inputs!$K$5:$AJ$180,0,MATCH(Y$2,Inputs!$K$4:$AJ$4,0)))+SUMPRODUCT((Inputs!$E$5:$E$180=$B47)*Inputs!$F$5:$F$180*(((Inputs!$G$5:$G$180="moeda")+(Inputs!$G$5:$G$180="acoes"))*Inputs!$B$1+((Inputs!$G$5:$G$180&lt;&gt;"moeda")*(Inputs!$G$5:$G$180&lt;&gt;"acoes")))*INDEX(Inputs!$K$5:$AJ$180,0,MATCH(Y$2,Inputs!$K$4:$AJ$4,0)))))</f>
        <v>710.213</v>
      </c>
      <c r="Z47" s="6">
        <f>IF(ISNA(MATCH(Z$2,Inputs!$K$4:$AJ$4,0)),NA(),IF(SUMPRODUCT((Inputs!$A$5:$A$180=$B47)*ISNUMBER(INDEX(Inputs!$K$5:$AJ$180,0,MATCH(Z$2,Inputs!$K$4:$AJ$4,0))))+SUMPRODUCT((Inputs!$C$5:$C$180=$B47)*ISNUMBER(INDEX(Inputs!$K$5:$AJ$180,0,MATCH(Z$2,Inputs!$K$4:$AJ$4,0))))+SUMPRODUCT((Inputs!$E$5:$E$180=$B47)*ISNUMBER(INDEX(Inputs!$K$5:$AJ$180,0,MATCH(Z$2,Inputs!$K$4:$AJ$4,0))))=0,NA(),SUMPRODUCT((Inputs!$A$5:$A$180=$B47)*Inputs!$B$5:$B$180*(((Inputs!$G$5:$G$180="moeda")+(Inputs!$G$5:$G$180="acoes"))*Inputs!$B$1+((Inputs!$G$5:$G$180&lt;&gt;"moeda")*(Inputs!$G$5:$G$180&lt;&gt;"acoes")))*INDEX(Inputs!$K$5:$AJ$180,0,MATCH(Z$2,Inputs!$K$4:$AJ$4,0)))+SUMPRODUCT((Inputs!$C$5:$C$180=$B47)*Inputs!$D$5:$D$180*(((Inputs!$G$5:$G$180="moeda")+(Inputs!$G$5:$G$180="acoes"))*Inputs!$B$1+((Inputs!$G$5:$G$180&lt;&gt;"moeda")*(Inputs!$G$5:$G$180&lt;&gt;"acoes")))*INDEX(Inputs!$K$5:$AJ$180,0,MATCH(Z$2,Inputs!$K$4:$AJ$4,0)))+SUMPRODUCT((Inputs!$E$5:$E$180=$B47)*Inputs!$F$5:$F$180*(((Inputs!$G$5:$G$180="moeda")+(Inputs!$G$5:$G$180="acoes"))*Inputs!$B$1+((Inputs!$G$5:$G$180&lt;&gt;"moeda")*(Inputs!$G$5:$G$180&lt;&gt;"acoes")))*INDEX(Inputs!$K$5:$AJ$180,0,MATCH(Z$2,Inputs!$K$4:$AJ$4,0)))))</f>
        <v>895.13</v>
      </c>
      <c r="AA47" s="6">
        <f>IF(ISNA(MATCH(AA$2,Inputs!$K$4:$AJ$4,0)),NA(),IF(SUMPRODUCT((Inputs!$A$5:$A$180=$B47)*ISNUMBER(INDEX(Inputs!$K$5:$AJ$180,0,MATCH(AA$2,Inputs!$K$4:$AJ$4,0))))+SUMPRODUCT((Inputs!$C$5:$C$180=$B47)*ISNUMBER(INDEX(Inputs!$K$5:$AJ$180,0,MATCH(AA$2,Inputs!$K$4:$AJ$4,0))))+SUMPRODUCT((Inputs!$E$5:$E$180=$B47)*ISNUMBER(INDEX(Inputs!$K$5:$AJ$180,0,MATCH(AA$2,Inputs!$K$4:$AJ$4,0))))=0,NA(),SUMPRODUCT((Inputs!$A$5:$A$180=$B47)*Inputs!$B$5:$B$180*(((Inputs!$G$5:$G$180="moeda")+(Inputs!$G$5:$G$180="acoes"))*Inputs!$B$1+((Inputs!$G$5:$G$180&lt;&gt;"moeda")*(Inputs!$G$5:$G$180&lt;&gt;"acoes")))*INDEX(Inputs!$K$5:$AJ$180,0,MATCH(AA$2,Inputs!$K$4:$AJ$4,0)))+SUMPRODUCT((Inputs!$C$5:$C$180=$B47)*Inputs!$D$5:$D$180*(((Inputs!$G$5:$G$180="moeda")+(Inputs!$G$5:$G$180="acoes"))*Inputs!$B$1+((Inputs!$G$5:$G$180&lt;&gt;"moeda")*(Inputs!$G$5:$G$180&lt;&gt;"acoes")))*INDEX(Inputs!$K$5:$AJ$180,0,MATCH(AA$2,Inputs!$K$4:$AJ$4,0)))+SUMPRODUCT((Inputs!$E$5:$E$180=$B47)*Inputs!$F$5:$F$180*(((Inputs!$G$5:$G$180="moeda")+(Inputs!$G$5:$G$180="acoes"))*Inputs!$B$1+((Inputs!$G$5:$G$180&lt;&gt;"moeda")*(Inputs!$G$5:$G$180&lt;&gt;"acoes")))*INDEX(Inputs!$K$5:$AJ$180,0,MATCH(AA$2,Inputs!$K$4:$AJ$4,0)))))</f>
        <v>332.45</v>
      </c>
      <c r="AB47" s="3">
        <f>AA47</f>
        <v>332.45</v>
      </c>
      <c r="AC47" s="6">
        <f>IF(ISNA(MATCH(AC$2,Inputs!$K$4:$AJ$4,0)),NA(),IF(SUMPRODUCT((Inputs!$A$5:$A$180=$B47)*ISNUMBER(INDEX(Inputs!$K$5:$AJ$180,0,MATCH(AC$2,Inputs!$K$4:$AJ$4,0))))+SUMPRODUCT((Inputs!$C$5:$C$180=$B47)*ISNUMBER(INDEX(Inputs!$K$5:$AJ$180,0,MATCH(AC$2,Inputs!$K$4:$AJ$4,0))))+SUMPRODUCT((Inputs!$E$5:$E$180=$B47)*ISNUMBER(INDEX(Inputs!$K$5:$AJ$180,0,MATCH(AC$2,Inputs!$K$4:$AJ$4,0))))=0,NA(),SUMPRODUCT((Inputs!$A$5:$A$180=$B47)*Inputs!$B$5:$B$180*(((Inputs!$G$5:$G$180="moeda")+(Inputs!$G$5:$G$180="acoes"))*Inputs!$B$1+((Inputs!$G$5:$G$180&lt;&gt;"moeda")*(Inputs!$G$5:$G$180&lt;&gt;"acoes")))*INDEX(Inputs!$K$5:$AJ$180,0,MATCH(AC$2,Inputs!$K$4:$AJ$4,0)))+SUMPRODUCT((Inputs!$C$5:$C$180=$B47)*Inputs!$D$5:$D$180*(((Inputs!$G$5:$G$180="moeda")+(Inputs!$G$5:$G$180="acoes"))*Inputs!$B$1+((Inputs!$G$5:$G$180&lt;&gt;"moeda")*(Inputs!$G$5:$G$180&lt;&gt;"acoes")))*INDEX(Inputs!$K$5:$AJ$180,0,MATCH(AC$2,Inputs!$K$4:$AJ$4,0)))+SUMPRODUCT((Inputs!$E$5:$E$180=$B47)*Inputs!$F$5:$F$180*(((Inputs!$G$5:$G$180="moeda")+(Inputs!$G$5:$G$180="acoes"))*Inputs!$B$1+((Inputs!$G$5:$G$180&lt;&gt;"moeda")*(Inputs!$G$5:$G$180&lt;&gt;"acoes")))*INDEX(Inputs!$K$5:$AJ$180,0,MATCH(AC$2,Inputs!$K$4:$AJ$4,0)))))</f>
        <v>533.662</v>
      </c>
      <c r="AD47" s="6">
        <f>IF(ISNA(MATCH(AD$2,Inputs!$K$4:$AJ$4,0)),NA(),IF(SUMPRODUCT((Inputs!$A$5:$A$180=$B47)*ISNUMBER(INDEX(Inputs!$K$5:$AJ$180,0,MATCH(AD$2,Inputs!$K$4:$AJ$4,0))))+SUMPRODUCT((Inputs!$C$5:$C$180=$B47)*ISNUMBER(INDEX(Inputs!$K$5:$AJ$180,0,MATCH(AD$2,Inputs!$K$4:$AJ$4,0))))+SUMPRODUCT((Inputs!$E$5:$E$180=$B47)*ISNUMBER(INDEX(Inputs!$K$5:$AJ$180,0,MATCH(AD$2,Inputs!$K$4:$AJ$4,0))))=0,NA(),SUMPRODUCT((Inputs!$A$5:$A$180=$B47)*Inputs!$B$5:$B$180*(((Inputs!$G$5:$G$180="moeda")+(Inputs!$G$5:$G$180="acoes"))*Inputs!$B$1+((Inputs!$G$5:$G$180&lt;&gt;"moeda")*(Inputs!$G$5:$G$180&lt;&gt;"acoes")))*INDEX(Inputs!$K$5:$AJ$180,0,MATCH(AD$2,Inputs!$K$4:$AJ$4,0)))+SUMPRODUCT((Inputs!$C$5:$C$180=$B47)*Inputs!$D$5:$D$180*(((Inputs!$G$5:$G$180="moeda")+(Inputs!$G$5:$G$180="acoes"))*Inputs!$B$1+((Inputs!$G$5:$G$180&lt;&gt;"moeda")*(Inputs!$G$5:$G$180&lt;&gt;"acoes")))*INDEX(Inputs!$K$5:$AJ$180,0,MATCH(AD$2,Inputs!$K$4:$AJ$4,0)))+SUMPRODUCT((Inputs!$E$5:$E$180=$B47)*Inputs!$F$5:$F$180*(((Inputs!$G$5:$G$180="moeda")+(Inputs!$G$5:$G$180="acoes"))*Inputs!$B$1+((Inputs!$G$5:$G$180&lt;&gt;"moeda")*(Inputs!$G$5:$G$180&lt;&gt;"acoes")))*INDEX(Inputs!$K$5:$AJ$180,0,MATCH(AD$2,Inputs!$K$4:$AJ$4,0)))))</f>
        <v>755.511</v>
      </c>
      <c r="AE47" s="6" t="e">
        <f>IF(ISNA(MATCH(AE$2,Inputs!$K$4:$AJ$4,0)),NA(),IF(SUMPRODUCT((Inputs!$A$5:$A$180=$B47)*ISNUMBER(INDEX(Inputs!$K$5:$AJ$180,0,MATCH(AE$2,Inputs!$K$4:$AJ$4,0))))+SUMPRODUCT((Inputs!$C$5:$C$180=$B47)*ISNUMBER(INDEX(Inputs!$K$5:$AJ$180,0,MATCH(AE$2,Inputs!$K$4:$AJ$4,0))))+SUMPRODUCT((Inputs!$E$5:$E$180=$B47)*ISNUMBER(INDEX(Inputs!$K$5:$AJ$180,0,MATCH(AE$2,Inputs!$K$4:$AJ$4,0))))=0,NA(),SUMPRODUCT((Inputs!$A$5:$A$180=$B47)*Inputs!$B$5:$B$180*(((Inputs!$G$5:$G$180="moeda")+(Inputs!$G$5:$G$180="acoes"))*Inputs!$B$1+((Inputs!$G$5:$G$180&lt;&gt;"moeda")*(Inputs!$G$5:$G$180&lt;&gt;"acoes")))*INDEX(Inputs!$K$5:$AJ$180,0,MATCH(AE$2,Inputs!$K$4:$AJ$4,0)))+SUMPRODUCT((Inputs!$C$5:$C$180=$B47)*Inputs!$D$5:$D$180*(((Inputs!$G$5:$G$180="moeda")+(Inputs!$G$5:$G$180="acoes"))*Inputs!$B$1+((Inputs!$G$5:$G$180&lt;&gt;"moeda")*(Inputs!$G$5:$G$180&lt;&gt;"acoes")))*INDEX(Inputs!$K$5:$AJ$180,0,MATCH(AE$2,Inputs!$K$4:$AJ$4,0)))+SUMPRODUCT((Inputs!$E$5:$E$180=$B47)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47" s="6" t="e">
        <f>IF(ISNA(MATCH(AF$2,Inputs!$K$4:$AJ$4,0)),NA(),IF(SUMPRODUCT((Inputs!$A$5:$A$180=$B47)*ISNUMBER(INDEX(Inputs!$K$5:$AJ$180,0,MATCH(AF$2,Inputs!$K$4:$AJ$4,0))))+SUMPRODUCT((Inputs!$C$5:$C$180=$B47)*ISNUMBER(INDEX(Inputs!$K$5:$AJ$180,0,MATCH(AF$2,Inputs!$K$4:$AJ$4,0))))+SUMPRODUCT((Inputs!$E$5:$E$180=$B47)*ISNUMBER(INDEX(Inputs!$K$5:$AJ$180,0,MATCH(AF$2,Inputs!$K$4:$AJ$4,0))))=0,NA(),SUMPRODUCT((Inputs!$A$5:$A$180=$B47)*Inputs!$B$5:$B$180*(((Inputs!$G$5:$G$180="moeda")+(Inputs!$G$5:$G$180="acoes"))*Inputs!$B$1+((Inputs!$G$5:$G$180&lt;&gt;"moeda")*(Inputs!$G$5:$G$180&lt;&gt;"acoes")))*INDEX(Inputs!$K$5:$AJ$180,0,MATCH(AF$2,Inputs!$K$4:$AJ$4,0)))+SUMPRODUCT((Inputs!$C$5:$C$180=$B47)*Inputs!$D$5:$D$180*(((Inputs!$G$5:$G$180="moeda")+(Inputs!$G$5:$G$180="acoes"))*Inputs!$B$1+((Inputs!$G$5:$G$180&lt;&gt;"moeda")*(Inputs!$G$5:$G$180&lt;&gt;"acoes")))*INDEX(Inputs!$K$5:$AJ$180,0,MATCH(AF$2,Inputs!$K$4:$AJ$4,0)))+SUMPRODUCT((Inputs!$E$5:$E$180=$B47)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47" s="3" t="e">
        <f>AF47</f>
        <v>#N/A</v>
      </c>
      <c r="AH47" s="6">
        <f>IF(ISNA(MATCH(AH$2,Inputs!$K$4:$AJ$4,0)),NA(),IF(SUMPRODUCT((Inputs!$A$5:$A$180=$B47)*ISNUMBER(INDEX(Inputs!$K$5:$AJ$180,0,MATCH(AH$2,Inputs!$K$4:$AJ$4,0))))+SUMPRODUCT((Inputs!$C$5:$C$180=$B47)*ISNUMBER(INDEX(Inputs!$K$5:$AJ$180,0,MATCH(AH$2,Inputs!$K$4:$AJ$4,0))))+SUMPRODUCT((Inputs!$E$5:$E$180=$B47)*ISNUMBER(INDEX(Inputs!$K$5:$AJ$180,0,MATCH(AH$2,Inputs!$K$4:$AJ$4,0))))=0,NA(),SUMPRODUCT((Inputs!$A$5:$A$180=$B47)*Inputs!$B$5:$B$180*(((Inputs!$G$5:$G$180="moeda")+(Inputs!$G$5:$G$180="acoes"))*Inputs!$B$1+((Inputs!$G$5:$G$180&lt;&gt;"moeda")*(Inputs!$G$5:$G$180&lt;&gt;"acoes")))*INDEX(Inputs!$K$5:$AJ$180,0,MATCH(AH$2,Inputs!$K$4:$AJ$4,0)))+SUMPRODUCT((Inputs!$C$5:$C$180=$B47)*Inputs!$D$5:$D$180*(((Inputs!$G$5:$G$180="moeda")+(Inputs!$G$5:$G$180="acoes"))*Inputs!$B$1+((Inputs!$G$5:$G$180&lt;&gt;"moeda")*(Inputs!$G$5:$G$180&lt;&gt;"acoes")))*INDEX(Inputs!$K$5:$AJ$180,0,MATCH(AH$2,Inputs!$K$4:$AJ$4,0)))+SUMPRODUCT((Inputs!$E$5:$E$180=$B47)*Inputs!$F$5:$F$180*(((Inputs!$G$5:$G$180="moeda")+(Inputs!$G$5:$G$180="acoes"))*Inputs!$B$1+((Inputs!$G$5:$G$180&lt;&gt;"moeda")*(Inputs!$G$5:$G$180&lt;&gt;"acoes")))*INDEX(Inputs!$K$5:$AJ$180,0,MATCH(AH$2,Inputs!$K$4:$AJ$4,0)))))</f>
        <v>58.7194642900001</v>
      </c>
      <c r="AI47" s="6">
        <f>IF(ISNA(MATCH(AI$2,Inputs!$K$4:$AJ$4,0)),NA(),IF(SUMPRODUCT((Inputs!$A$5:$A$180=$B47)*ISNUMBER(INDEX(Inputs!$K$5:$AJ$180,0,MATCH(AI$2,Inputs!$K$4:$AJ$4,0))))+SUMPRODUCT((Inputs!$C$5:$C$180=$B47)*ISNUMBER(INDEX(Inputs!$K$5:$AJ$180,0,MATCH(AI$2,Inputs!$K$4:$AJ$4,0))))+SUMPRODUCT((Inputs!$E$5:$E$180=$B47)*ISNUMBER(INDEX(Inputs!$K$5:$AJ$180,0,MATCH(AI$2,Inputs!$K$4:$AJ$4,0))))=0,NA(),SUMPRODUCT((Inputs!$A$5:$A$180=$B47)*Inputs!$B$5:$B$180*(((Inputs!$G$5:$G$180="moeda")+(Inputs!$G$5:$G$180="acoes"))*Inputs!$B$1+((Inputs!$G$5:$G$180&lt;&gt;"moeda")*(Inputs!$G$5:$G$180&lt;&gt;"acoes")))*INDEX(Inputs!$K$5:$AJ$180,0,MATCH(AI$2,Inputs!$K$4:$AJ$4,0)))+SUMPRODUCT((Inputs!$C$5:$C$180=$B47)*Inputs!$D$5:$D$180*(((Inputs!$G$5:$G$180="moeda")+(Inputs!$G$5:$G$180="acoes"))*Inputs!$B$1+((Inputs!$G$5:$G$180&lt;&gt;"moeda")*(Inputs!$G$5:$G$180&lt;&gt;"acoes")))*INDEX(Inputs!$K$5:$AJ$180,0,MATCH(AI$2,Inputs!$K$4:$AJ$4,0)))+SUMPRODUCT((Inputs!$E$5:$E$180=$B47)*Inputs!$F$5:$F$180*(((Inputs!$G$5:$G$180="moeda")+(Inputs!$G$5:$G$180="acoes"))*Inputs!$B$1+((Inputs!$G$5:$G$180&lt;&gt;"moeda")*(Inputs!$G$5:$G$180&lt;&gt;"acoes")))*INDEX(Inputs!$K$5:$AJ$180,0,MATCH(AI$2,Inputs!$K$4:$AJ$4,0)))))</f>
        <v>-14.90600837</v>
      </c>
      <c r="AJ47" s="6">
        <f>IF(ISNA(MATCH(AJ$2,Inputs!$K$4:$AJ$4,0)),NA(),IF(SUMPRODUCT((Inputs!$A$5:$A$180=$B47)*ISNUMBER(INDEX(Inputs!$K$5:$AJ$180,0,MATCH(AJ$2,Inputs!$K$4:$AJ$4,0))))+SUMPRODUCT((Inputs!$C$5:$C$180=$B47)*ISNUMBER(INDEX(Inputs!$K$5:$AJ$180,0,MATCH(AJ$2,Inputs!$K$4:$AJ$4,0))))+SUMPRODUCT((Inputs!$E$5:$E$180=$B47)*ISNUMBER(INDEX(Inputs!$K$5:$AJ$180,0,MATCH(AJ$2,Inputs!$K$4:$AJ$4,0))))=0,NA(),SUMPRODUCT((Inputs!$A$5:$A$180=$B47)*Inputs!$B$5:$B$180*(((Inputs!$G$5:$G$180="moeda")+(Inputs!$G$5:$G$180="acoes"))*Inputs!$B$1+((Inputs!$G$5:$G$180&lt;&gt;"moeda")*(Inputs!$G$5:$G$180&lt;&gt;"acoes")))*INDEX(Inputs!$K$5:$AJ$180,0,MATCH(AJ$2,Inputs!$K$4:$AJ$4,0)))+SUMPRODUCT((Inputs!$C$5:$C$180=$B47)*Inputs!$D$5:$D$180*(((Inputs!$G$5:$G$180="moeda")+(Inputs!$G$5:$G$180="acoes"))*Inputs!$B$1+((Inputs!$G$5:$G$180&lt;&gt;"moeda")*(Inputs!$G$5:$G$180&lt;&gt;"acoes")))*INDEX(Inputs!$K$5:$AJ$180,0,MATCH(AJ$2,Inputs!$K$4:$AJ$4,0)))+SUMPRODUCT((Inputs!$E$5:$E$180=$B47)*Inputs!$F$5:$F$180*(((Inputs!$G$5:$G$180="moeda")+(Inputs!$G$5:$G$180="acoes"))*Inputs!$B$1+((Inputs!$G$5:$G$180&lt;&gt;"moeda")*(Inputs!$G$5:$G$180&lt;&gt;"acoes")))*INDEX(Inputs!$K$5:$AJ$180,0,MATCH(AJ$2,Inputs!$K$4:$AJ$4,0)))))</f>
        <v>117.47883588</v>
      </c>
      <c r="AK47" s="6">
        <f>IF(ISNA(MATCH(AK$2,Inputs!$K$4:$AJ$4,0)),NA(),IF(SUMPRODUCT((Inputs!$A$5:$A$180=$B47)*ISNUMBER(INDEX(Inputs!$K$5:$AJ$180,0,MATCH(AK$2,Inputs!$K$4:$AJ$4,0))))+SUMPRODUCT((Inputs!$C$5:$C$180=$B47)*ISNUMBER(INDEX(Inputs!$K$5:$AJ$180,0,MATCH(AK$2,Inputs!$K$4:$AJ$4,0))))+SUMPRODUCT((Inputs!$E$5:$E$180=$B47)*ISNUMBER(INDEX(Inputs!$K$5:$AJ$180,0,MATCH(AK$2,Inputs!$K$4:$AJ$4,0))))=0,NA(),SUMPRODUCT((Inputs!$A$5:$A$180=$B47)*Inputs!$B$5:$B$180*(((Inputs!$G$5:$G$180="moeda")+(Inputs!$G$5:$G$180="acoes"))*Inputs!$B$1+((Inputs!$G$5:$G$180&lt;&gt;"moeda")*(Inputs!$G$5:$G$180&lt;&gt;"acoes")))*INDEX(Inputs!$K$5:$AJ$180,0,MATCH(AK$2,Inputs!$K$4:$AJ$4,0)))+SUMPRODUCT((Inputs!$C$5:$C$180=$B47)*Inputs!$D$5:$D$180*(((Inputs!$G$5:$G$180="moeda")+(Inputs!$G$5:$G$180="acoes"))*Inputs!$B$1+((Inputs!$G$5:$G$180&lt;&gt;"moeda")*(Inputs!$G$5:$G$180&lt;&gt;"acoes")))*INDEX(Inputs!$K$5:$AJ$180,0,MATCH(AK$2,Inputs!$K$4:$AJ$4,0)))+SUMPRODUCT((Inputs!$E$5:$E$180=$B47)*Inputs!$F$5:$F$180*(((Inputs!$G$5:$G$180="moeda")+(Inputs!$G$5:$G$180="acoes"))*Inputs!$B$1+((Inputs!$G$5:$G$180&lt;&gt;"moeda")*(Inputs!$G$5:$G$180&lt;&gt;"acoes")))*INDEX(Inputs!$K$5:$AJ$180,0,MATCH(AK$2,Inputs!$K$4:$AJ$4,0)))))</f>
        <v>169.64349684</v>
      </c>
      <c r="AL47" s="3">
        <f>AK47</f>
        <v>169.64349684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 do periodo) - memo p/ check IS [Model linha 4]</t>
        </is>
      </c>
      <c r="D50" s="6">
        <f>IF(ISNA(MATCH(D$2,Inputs!$K$4:$AJ$4,0)),NA(),IF(SUMPRODUCT((Inputs!$A$5:$A$180=$B50)*ISNUMBER(INDEX(Inputs!$K$5:$AJ$180,0,MATCH(D$2,Inputs!$K$4:$AJ$4,0))))+SUMPRODUCT((Inputs!$C$5:$C$180=$B50)*ISNUMBER(INDEX(Inputs!$K$5:$AJ$180,0,MATCH(D$2,Inputs!$K$4:$AJ$4,0))))+SUMPRODUCT((Inputs!$E$5:$E$180=$B50)*ISNUMBER(INDEX(Inputs!$K$5:$AJ$180,0,MATCH(D$2,Inputs!$K$4:$AJ$4,0))))=0,NA(),SUMPRODUCT((Inputs!$A$5:$A$180=$B50)*Inputs!$B$5:$B$180*(((Inputs!$G$5:$G$180="moeda")+(Inputs!$G$5:$G$180="acoes"))*Inputs!$B$1+((Inputs!$G$5:$G$180&lt;&gt;"moeda")*(Inputs!$G$5:$G$180&lt;&gt;"acoes")))*INDEX(Inputs!$K$5:$AJ$180,0,MATCH(D$2,Inputs!$K$4:$AJ$4,0)))+SUMPRODUCT((Inputs!$C$5:$C$180=$B50)*Inputs!$D$5:$D$180*(((Inputs!$G$5:$G$180="moeda")+(Inputs!$G$5:$G$180="acoes"))*Inputs!$B$1+((Inputs!$G$5:$G$180&lt;&gt;"moeda")*(Inputs!$G$5:$G$180&lt;&gt;"acoes")))*INDEX(Inputs!$K$5:$AJ$180,0,MATCH(D$2,Inputs!$K$4:$AJ$4,0)))+SUMPRODUCT((Inputs!$E$5:$E$180=$B50)*Inputs!$F$5:$F$180*(((Inputs!$G$5:$G$180="moeda")+(Inputs!$G$5:$G$180="acoes"))*Inputs!$B$1+((Inputs!$G$5:$G$180&lt;&gt;"moeda")*(Inputs!$G$5:$G$180&lt;&gt;"acoes")))*INDEX(Inputs!$K$5:$AJ$180,0,MATCH(D$2,Inputs!$K$4:$AJ$4,0)))))</f>
        <v>118.61195704</v>
      </c>
      <c r="E50" s="6">
        <f>IF(ISNA(MATCH(E$2,Inputs!$K$4:$AJ$4,0)),NA(),IF(SUMPRODUCT((Inputs!$A$5:$A$180=$B50)*ISNUMBER(INDEX(Inputs!$K$5:$AJ$180,0,MATCH(E$2,Inputs!$K$4:$AJ$4,0))))+SUMPRODUCT((Inputs!$C$5:$C$180=$B50)*ISNUMBER(INDEX(Inputs!$K$5:$AJ$180,0,MATCH(E$2,Inputs!$K$4:$AJ$4,0))))+SUMPRODUCT((Inputs!$E$5:$E$180=$B50)*ISNUMBER(INDEX(Inputs!$K$5:$AJ$180,0,MATCH(E$2,Inputs!$K$4:$AJ$4,0))))=0,NA(),SUMPRODUCT((Inputs!$A$5:$A$180=$B50)*Inputs!$B$5:$B$180*(((Inputs!$G$5:$G$180="moeda")+(Inputs!$G$5:$G$180="acoes"))*Inputs!$B$1+((Inputs!$G$5:$G$180&lt;&gt;"moeda")*(Inputs!$G$5:$G$180&lt;&gt;"acoes")))*INDEX(Inputs!$K$5:$AJ$180,0,MATCH(E$2,Inputs!$K$4:$AJ$4,0)))+SUMPRODUCT((Inputs!$C$5:$C$180=$B50)*Inputs!$D$5:$D$180*(((Inputs!$G$5:$G$180="moeda")+(Inputs!$G$5:$G$180="acoes"))*Inputs!$B$1+((Inputs!$G$5:$G$180&lt;&gt;"moeda")*(Inputs!$G$5:$G$180&lt;&gt;"acoes")))*INDEX(Inputs!$K$5:$AJ$180,0,MATCH(E$2,Inputs!$K$4:$AJ$4,0)))+SUMPRODUCT((Inputs!$E$5:$E$180=$B50)*Inputs!$F$5:$F$180*(((Inputs!$G$5:$G$180="moeda")+(Inputs!$G$5:$G$180="acoes"))*Inputs!$B$1+((Inputs!$G$5:$G$180&lt;&gt;"moeda")*(Inputs!$G$5:$G$180&lt;&gt;"acoes")))*INDEX(Inputs!$K$5:$AJ$180,0,MATCH(E$2,Inputs!$K$4:$AJ$4,0)))))</f>
        <v>65.5346259299989</v>
      </c>
      <c r="F50" s="6">
        <f>IF(ISNA(MATCH(F$2,Inputs!$K$4:$AJ$4,0)),NA(),IF(SUMPRODUCT((Inputs!$A$5:$A$180=$B50)*ISNUMBER(INDEX(Inputs!$K$5:$AJ$180,0,MATCH(F$2,Inputs!$K$4:$AJ$4,0))))+SUMPRODUCT((Inputs!$C$5:$C$180=$B50)*ISNUMBER(INDEX(Inputs!$K$5:$AJ$180,0,MATCH(F$2,Inputs!$K$4:$AJ$4,0))))+SUMPRODUCT((Inputs!$E$5:$E$180=$B50)*ISNUMBER(INDEX(Inputs!$K$5:$AJ$180,0,MATCH(F$2,Inputs!$K$4:$AJ$4,0))))=0,NA(),SUMPRODUCT((Inputs!$A$5:$A$180=$B50)*Inputs!$B$5:$B$180*(((Inputs!$G$5:$G$180="moeda")+(Inputs!$G$5:$G$180="acoes"))*Inputs!$B$1+((Inputs!$G$5:$G$180&lt;&gt;"moeda")*(Inputs!$G$5:$G$180&lt;&gt;"acoes")))*INDEX(Inputs!$K$5:$AJ$180,0,MATCH(F$2,Inputs!$K$4:$AJ$4,0)))+SUMPRODUCT((Inputs!$C$5:$C$180=$B50)*Inputs!$D$5:$D$180*(((Inputs!$G$5:$G$180="moeda")+(Inputs!$G$5:$G$180="acoes"))*Inputs!$B$1+((Inputs!$G$5:$G$180&lt;&gt;"moeda")*(Inputs!$G$5:$G$180&lt;&gt;"acoes")))*INDEX(Inputs!$K$5:$AJ$180,0,MATCH(F$2,Inputs!$K$4:$AJ$4,0)))+SUMPRODUCT((Inputs!$E$5:$E$180=$B50)*Inputs!$F$5:$F$180*(((Inputs!$G$5:$G$180="moeda")+(Inputs!$G$5:$G$180="acoes"))*Inputs!$B$1+((Inputs!$G$5:$G$180&lt;&gt;"moeda")*(Inputs!$G$5:$G$180&lt;&gt;"acoes")))*INDEX(Inputs!$K$5:$AJ$180,0,MATCH(F$2,Inputs!$K$4:$AJ$4,0)))))</f>
        <v>94.9625657674031</v>
      </c>
      <c r="G50" s="6">
        <f>IF(ISNA(MATCH(G$2,Inputs!$K$4:$AJ$4,0)),NA(),IF(SUMPRODUCT((Inputs!$A$5:$A$180=$B50)*ISNUMBER(INDEX(Inputs!$K$5:$AJ$180,0,MATCH(G$2,Inputs!$K$4:$AJ$4,0))))+SUMPRODUCT((Inputs!$C$5:$C$180=$B50)*ISNUMBER(INDEX(Inputs!$K$5:$AJ$180,0,MATCH(G$2,Inputs!$K$4:$AJ$4,0))))+SUMPRODUCT((Inputs!$E$5:$E$180=$B50)*ISNUMBER(INDEX(Inputs!$K$5:$AJ$180,0,MATCH(G$2,Inputs!$K$4:$AJ$4,0))))=0,NA(),SUMPRODUCT((Inputs!$A$5:$A$180=$B50)*Inputs!$B$5:$B$180*(((Inputs!$G$5:$G$180="moeda")+(Inputs!$G$5:$G$180="acoes"))*Inputs!$B$1+((Inputs!$G$5:$G$180&lt;&gt;"moeda")*(Inputs!$G$5:$G$180&lt;&gt;"acoes")))*INDEX(Inputs!$K$5:$AJ$180,0,MATCH(G$2,Inputs!$K$4:$AJ$4,0)))+SUMPRODUCT((Inputs!$C$5:$C$180=$B50)*Inputs!$D$5:$D$180*(((Inputs!$G$5:$G$180="moeda")+(Inputs!$G$5:$G$180="acoes"))*Inputs!$B$1+((Inputs!$G$5:$G$180&lt;&gt;"moeda")*(Inputs!$G$5:$G$180&lt;&gt;"acoes")))*INDEX(Inputs!$K$5:$AJ$180,0,MATCH(G$2,Inputs!$K$4:$AJ$4,0)))+SUMPRODUCT((Inputs!$E$5:$E$180=$B50)*Inputs!$F$5:$F$180*(((Inputs!$G$5:$G$180="moeda")+(Inputs!$G$5:$G$180="acoes"))*Inputs!$B$1+((Inputs!$G$5:$G$180&lt;&gt;"moeda")*(Inputs!$G$5:$G$180&lt;&gt;"acoes")))*INDEX(Inputs!$K$5:$AJ$180,0,MATCH(G$2,Inputs!$K$4:$AJ$4,0)))))</f>
        <v>70.8158031599996</v>
      </c>
      <c r="H50" s="3">
        <f>SUM(D50:G50)</f>
        <v>349.924951897401</v>
      </c>
      <c r="I50" s="6">
        <f>IF(ISNA(MATCH(I$2,Inputs!$K$4:$AJ$4,0)),NA(),IF(SUMPRODUCT((Inputs!$A$5:$A$180=$B50)*ISNUMBER(INDEX(Inputs!$K$5:$AJ$180,0,MATCH(I$2,Inputs!$K$4:$AJ$4,0))))+SUMPRODUCT((Inputs!$C$5:$C$180=$B50)*ISNUMBER(INDEX(Inputs!$K$5:$AJ$180,0,MATCH(I$2,Inputs!$K$4:$AJ$4,0))))+SUMPRODUCT((Inputs!$E$5:$E$180=$B50)*ISNUMBER(INDEX(Inputs!$K$5:$AJ$180,0,MATCH(I$2,Inputs!$K$4:$AJ$4,0))))=0,NA(),SUMPRODUCT((Inputs!$A$5:$A$180=$B50)*Inputs!$B$5:$B$180*(((Inputs!$G$5:$G$180="moeda")+(Inputs!$G$5:$G$180="acoes"))*Inputs!$B$1+((Inputs!$G$5:$G$180&lt;&gt;"moeda")*(Inputs!$G$5:$G$180&lt;&gt;"acoes")))*INDEX(Inputs!$K$5:$AJ$180,0,MATCH(I$2,Inputs!$K$4:$AJ$4,0)))+SUMPRODUCT((Inputs!$C$5:$C$180=$B50)*Inputs!$D$5:$D$180*(((Inputs!$G$5:$G$180="moeda")+(Inputs!$G$5:$G$180="acoes"))*Inputs!$B$1+((Inputs!$G$5:$G$180&lt;&gt;"moeda")*(Inputs!$G$5:$G$180&lt;&gt;"acoes")))*INDEX(Inputs!$K$5:$AJ$180,0,MATCH(I$2,Inputs!$K$4:$AJ$4,0)))+SUMPRODUCT((Inputs!$E$5:$E$180=$B50)*Inputs!$F$5:$F$180*(((Inputs!$G$5:$G$180="moeda")+(Inputs!$G$5:$G$180="acoes"))*Inputs!$B$1+((Inputs!$G$5:$G$180&lt;&gt;"moeda")*(Inputs!$G$5:$G$180&lt;&gt;"acoes")))*INDEX(Inputs!$K$5:$AJ$180,0,MATCH(I$2,Inputs!$K$4:$AJ$4,0)))))</f>
        <v>110.440730339442</v>
      </c>
      <c r="J50" s="6">
        <f>IF(ISNA(MATCH(J$2,Inputs!$K$4:$AJ$4,0)),NA(),IF(SUMPRODUCT((Inputs!$A$5:$A$180=$B50)*ISNUMBER(INDEX(Inputs!$K$5:$AJ$180,0,MATCH(J$2,Inputs!$K$4:$AJ$4,0))))+SUMPRODUCT((Inputs!$C$5:$C$180=$B50)*ISNUMBER(INDEX(Inputs!$K$5:$AJ$180,0,MATCH(J$2,Inputs!$K$4:$AJ$4,0))))+SUMPRODUCT((Inputs!$E$5:$E$180=$B50)*ISNUMBER(INDEX(Inputs!$K$5:$AJ$180,0,MATCH(J$2,Inputs!$K$4:$AJ$4,0))))=0,NA(),SUMPRODUCT((Inputs!$A$5:$A$180=$B50)*Inputs!$B$5:$B$180*(((Inputs!$G$5:$G$180="moeda")+(Inputs!$G$5:$G$180="acoes"))*Inputs!$B$1+((Inputs!$G$5:$G$180&lt;&gt;"moeda")*(Inputs!$G$5:$G$180&lt;&gt;"acoes")))*INDEX(Inputs!$K$5:$AJ$180,0,MATCH(J$2,Inputs!$K$4:$AJ$4,0)))+SUMPRODUCT((Inputs!$C$5:$C$180=$B50)*Inputs!$D$5:$D$180*(((Inputs!$G$5:$G$180="moeda")+(Inputs!$G$5:$G$180="acoes"))*Inputs!$B$1+((Inputs!$G$5:$G$180&lt;&gt;"moeda")*(Inputs!$G$5:$G$180&lt;&gt;"acoes")))*INDEX(Inputs!$K$5:$AJ$180,0,MATCH(J$2,Inputs!$K$4:$AJ$4,0)))+SUMPRODUCT((Inputs!$E$5:$E$180=$B50)*Inputs!$F$5:$F$180*(((Inputs!$G$5:$G$180="moeda")+(Inputs!$G$5:$G$180="acoes"))*Inputs!$B$1+((Inputs!$G$5:$G$180&lt;&gt;"moeda")*(Inputs!$G$5:$G$180&lt;&gt;"acoes")))*INDEX(Inputs!$K$5:$AJ$180,0,MATCH(J$2,Inputs!$K$4:$AJ$4,0)))))</f>
        <v>70.5092383980513</v>
      </c>
      <c r="K50" s="6">
        <f>IF(ISNA(MATCH(K$2,Inputs!$K$4:$AJ$4,0)),NA(),IF(SUMPRODUCT((Inputs!$A$5:$A$180=$B50)*ISNUMBER(INDEX(Inputs!$K$5:$AJ$180,0,MATCH(K$2,Inputs!$K$4:$AJ$4,0))))+SUMPRODUCT((Inputs!$C$5:$C$180=$B50)*ISNUMBER(INDEX(Inputs!$K$5:$AJ$180,0,MATCH(K$2,Inputs!$K$4:$AJ$4,0))))+SUMPRODUCT((Inputs!$E$5:$E$180=$B50)*ISNUMBER(INDEX(Inputs!$K$5:$AJ$180,0,MATCH(K$2,Inputs!$K$4:$AJ$4,0))))=0,NA(),SUMPRODUCT((Inputs!$A$5:$A$180=$B50)*Inputs!$B$5:$B$180*(((Inputs!$G$5:$G$180="moeda")+(Inputs!$G$5:$G$180="acoes"))*Inputs!$B$1+((Inputs!$G$5:$G$180&lt;&gt;"moeda")*(Inputs!$G$5:$G$180&lt;&gt;"acoes")))*INDEX(Inputs!$K$5:$AJ$180,0,MATCH(K$2,Inputs!$K$4:$AJ$4,0)))+SUMPRODUCT((Inputs!$C$5:$C$180=$B50)*Inputs!$D$5:$D$180*(((Inputs!$G$5:$G$180="moeda")+(Inputs!$G$5:$G$180="acoes"))*Inputs!$B$1+((Inputs!$G$5:$G$180&lt;&gt;"moeda")*(Inputs!$G$5:$G$180&lt;&gt;"acoes")))*INDEX(Inputs!$K$5:$AJ$180,0,MATCH(K$2,Inputs!$K$4:$AJ$4,0)))+SUMPRODUCT((Inputs!$E$5:$E$180=$B50)*Inputs!$F$5:$F$180*(((Inputs!$G$5:$G$180="moeda")+(Inputs!$G$5:$G$180="acoes"))*Inputs!$B$1+((Inputs!$G$5:$G$180&lt;&gt;"moeda")*(Inputs!$G$5:$G$180&lt;&gt;"acoes")))*INDEX(Inputs!$K$5:$AJ$180,0,MATCH(K$2,Inputs!$K$4:$AJ$4,0)))))</f>
        <v>96.0057500299999</v>
      </c>
      <c r="L50" s="6">
        <f>IF(ISNA(MATCH(L$2,Inputs!$K$4:$AJ$4,0)),NA(),IF(SUMPRODUCT((Inputs!$A$5:$A$180=$B50)*ISNUMBER(INDEX(Inputs!$K$5:$AJ$180,0,MATCH(L$2,Inputs!$K$4:$AJ$4,0))))+SUMPRODUCT((Inputs!$C$5:$C$180=$B50)*ISNUMBER(INDEX(Inputs!$K$5:$AJ$180,0,MATCH(L$2,Inputs!$K$4:$AJ$4,0))))+SUMPRODUCT((Inputs!$E$5:$E$180=$B50)*ISNUMBER(INDEX(Inputs!$K$5:$AJ$180,0,MATCH(L$2,Inputs!$K$4:$AJ$4,0))))=0,NA(),SUMPRODUCT((Inputs!$A$5:$A$180=$B50)*Inputs!$B$5:$B$180*(((Inputs!$G$5:$G$180="moeda")+(Inputs!$G$5:$G$180="acoes"))*Inputs!$B$1+((Inputs!$G$5:$G$180&lt;&gt;"moeda")*(Inputs!$G$5:$G$180&lt;&gt;"acoes")))*INDEX(Inputs!$K$5:$AJ$180,0,MATCH(L$2,Inputs!$K$4:$AJ$4,0)))+SUMPRODUCT((Inputs!$C$5:$C$180=$B50)*Inputs!$D$5:$D$180*(((Inputs!$G$5:$G$180="moeda")+(Inputs!$G$5:$G$180="acoes"))*Inputs!$B$1+((Inputs!$G$5:$G$180&lt;&gt;"moeda")*(Inputs!$G$5:$G$180&lt;&gt;"acoes")))*INDEX(Inputs!$K$5:$AJ$180,0,MATCH(L$2,Inputs!$K$4:$AJ$4,0)))+SUMPRODUCT((Inputs!$E$5:$E$180=$B50)*Inputs!$F$5:$F$180*(((Inputs!$G$5:$G$180="moeda")+(Inputs!$G$5:$G$180="acoes"))*Inputs!$B$1+((Inputs!$G$5:$G$180&lt;&gt;"moeda")*(Inputs!$G$5:$G$180&lt;&gt;"acoes")))*INDEX(Inputs!$K$5:$AJ$180,0,MATCH(L$2,Inputs!$K$4:$AJ$4,0)))))</f>
        <v>30.95268579</v>
      </c>
      <c r="M50" s="3">
        <f>SUM(I50:L50)</f>
        <v>307.908404557494</v>
      </c>
      <c r="N50" s="6">
        <f>IF(ISNA(MATCH(N$2,Inputs!$K$4:$AJ$4,0)),NA(),IF(SUMPRODUCT((Inputs!$A$5:$A$180=$B50)*ISNUMBER(INDEX(Inputs!$K$5:$AJ$180,0,MATCH(N$2,Inputs!$K$4:$AJ$4,0))))+SUMPRODUCT((Inputs!$C$5:$C$180=$B50)*ISNUMBER(INDEX(Inputs!$K$5:$AJ$180,0,MATCH(N$2,Inputs!$K$4:$AJ$4,0))))+SUMPRODUCT((Inputs!$E$5:$E$180=$B50)*ISNUMBER(INDEX(Inputs!$K$5:$AJ$180,0,MATCH(N$2,Inputs!$K$4:$AJ$4,0))))=0,NA(),SUMPRODUCT((Inputs!$A$5:$A$180=$B50)*Inputs!$B$5:$B$180*(((Inputs!$G$5:$G$180="moeda")+(Inputs!$G$5:$G$180="acoes"))*Inputs!$B$1+((Inputs!$G$5:$G$180&lt;&gt;"moeda")*(Inputs!$G$5:$G$180&lt;&gt;"acoes")))*INDEX(Inputs!$K$5:$AJ$180,0,MATCH(N$2,Inputs!$K$4:$AJ$4,0)))+SUMPRODUCT((Inputs!$C$5:$C$180=$B50)*Inputs!$D$5:$D$180*(((Inputs!$G$5:$G$180="moeda")+(Inputs!$G$5:$G$180="acoes"))*Inputs!$B$1+((Inputs!$G$5:$G$180&lt;&gt;"moeda")*(Inputs!$G$5:$G$180&lt;&gt;"acoes")))*INDEX(Inputs!$K$5:$AJ$180,0,MATCH(N$2,Inputs!$K$4:$AJ$4,0)))+SUMPRODUCT((Inputs!$E$5:$E$180=$B50)*Inputs!$F$5:$F$180*(((Inputs!$G$5:$G$180="moeda")+(Inputs!$G$5:$G$180="acoes"))*Inputs!$B$1+((Inputs!$G$5:$G$180&lt;&gt;"moeda")*(Inputs!$G$5:$G$180&lt;&gt;"acoes")))*INDEX(Inputs!$K$5:$AJ$180,0,MATCH(N$2,Inputs!$K$4:$AJ$4,0)))))</f>
        <v>93.85183176</v>
      </c>
      <c r="O50" s="6">
        <f>IF(ISNA(MATCH(O$2,Inputs!$K$4:$AJ$4,0)),NA(),IF(SUMPRODUCT((Inputs!$A$5:$A$180=$B50)*ISNUMBER(INDEX(Inputs!$K$5:$AJ$180,0,MATCH(O$2,Inputs!$K$4:$AJ$4,0))))+SUMPRODUCT((Inputs!$C$5:$C$180=$B50)*ISNUMBER(INDEX(Inputs!$K$5:$AJ$180,0,MATCH(O$2,Inputs!$K$4:$AJ$4,0))))+SUMPRODUCT((Inputs!$E$5:$E$180=$B50)*ISNUMBER(INDEX(Inputs!$K$5:$AJ$180,0,MATCH(O$2,Inputs!$K$4:$AJ$4,0))))=0,NA(),SUMPRODUCT((Inputs!$A$5:$A$180=$B50)*Inputs!$B$5:$B$180*(((Inputs!$G$5:$G$180="moeda")+(Inputs!$G$5:$G$180="acoes"))*Inputs!$B$1+((Inputs!$G$5:$G$180&lt;&gt;"moeda")*(Inputs!$G$5:$G$180&lt;&gt;"acoes")))*INDEX(Inputs!$K$5:$AJ$180,0,MATCH(O$2,Inputs!$K$4:$AJ$4,0)))+SUMPRODUCT((Inputs!$C$5:$C$180=$B50)*Inputs!$D$5:$D$180*(((Inputs!$G$5:$G$180="moeda")+(Inputs!$G$5:$G$180="acoes"))*Inputs!$B$1+((Inputs!$G$5:$G$180&lt;&gt;"moeda")*(Inputs!$G$5:$G$180&lt;&gt;"acoes")))*INDEX(Inputs!$K$5:$AJ$180,0,MATCH(O$2,Inputs!$K$4:$AJ$4,0)))+SUMPRODUCT((Inputs!$E$5:$E$180=$B50)*Inputs!$F$5:$F$180*(((Inputs!$G$5:$G$180="moeda")+(Inputs!$G$5:$G$180="acoes"))*Inputs!$B$1+((Inputs!$G$5:$G$180&lt;&gt;"moeda")*(Inputs!$G$5:$G$180&lt;&gt;"acoes")))*INDEX(Inputs!$K$5:$AJ$180,0,MATCH(O$2,Inputs!$K$4:$AJ$4,0)))))</f>
        <v>74.4269289448081</v>
      </c>
      <c r="P50" s="6">
        <f>IF(ISNA(MATCH(P$2,Inputs!$K$4:$AJ$4,0)),NA(),IF(SUMPRODUCT((Inputs!$A$5:$A$180=$B50)*ISNUMBER(INDEX(Inputs!$K$5:$AJ$180,0,MATCH(P$2,Inputs!$K$4:$AJ$4,0))))+SUMPRODUCT((Inputs!$C$5:$C$180=$B50)*ISNUMBER(INDEX(Inputs!$K$5:$AJ$180,0,MATCH(P$2,Inputs!$K$4:$AJ$4,0))))+SUMPRODUCT((Inputs!$E$5:$E$180=$B50)*ISNUMBER(INDEX(Inputs!$K$5:$AJ$180,0,MATCH(P$2,Inputs!$K$4:$AJ$4,0))))=0,NA(),SUMPRODUCT((Inputs!$A$5:$A$180=$B50)*Inputs!$B$5:$B$180*(((Inputs!$G$5:$G$180="moeda")+(Inputs!$G$5:$G$180="acoes"))*Inputs!$B$1+((Inputs!$G$5:$G$180&lt;&gt;"moeda")*(Inputs!$G$5:$G$180&lt;&gt;"acoes")))*INDEX(Inputs!$K$5:$AJ$180,0,MATCH(P$2,Inputs!$K$4:$AJ$4,0)))+SUMPRODUCT((Inputs!$C$5:$C$180=$B50)*Inputs!$D$5:$D$180*(((Inputs!$G$5:$G$180="moeda")+(Inputs!$G$5:$G$180="acoes"))*Inputs!$B$1+((Inputs!$G$5:$G$180&lt;&gt;"moeda")*(Inputs!$G$5:$G$180&lt;&gt;"acoes")))*INDEX(Inputs!$K$5:$AJ$180,0,MATCH(P$2,Inputs!$K$4:$AJ$4,0)))+SUMPRODUCT((Inputs!$E$5:$E$180=$B50)*Inputs!$F$5:$F$180*(((Inputs!$G$5:$G$180="moeda")+(Inputs!$G$5:$G$180="acoes"))*Inputs!$B$1+((Inputs!$G$5:$G$180&lt;&gt;"moeda")*(Inputs!$G$5:$G$180&lt;&gt;"acoes")))*INDEX(Inputs!$K$5:$AJ$180,0,MATCH(P$2,Inputs!$K$4:$AJ$4,0)))))</f>
        <v>174.198435338059</v>
      </c>
      <c r="Q50" s="6">
        <f>IF(ISNA(MATCH(Q$2,Inputs!$K$4:$AJ$4,0)),NA(),IF(SUMPRODUCT((Inputs!$A$5:$A$180=$B50)*ISNUMBER(INDEX(Inputs!$K$5:$AJ$180,0,MATCH(Q$2,Inputs!$K$4:$AJ$4,0))))+SUMPRODUCT((Inputs!$C$5:$C$180=$B50)*ISNUMBER(INDEX(Inputs!$K$5:$AJ$180,0,MATCH(Q$2,Inputs!$K$4:$AJ$4,0))))+SUMPRODUCT((Inputs!$E$5:$E$180=$B50)*ISNUMBER(INDEX(Inputs!$K$5:$AJ$180,0,MATCH(Q$2,Inputs!$K$4:$AJ$4,0))))=0,NA(),SUMPRODUCT((Inputs!$A$5:$A$180=$B50)*Inputs!$B$5:$B$180*(((Inputs!$G$5:$G$180="moeda")+(Inputs!$G$5:$G$180="acoes"))*Inputs!$B$1+((Inputs!$G$5:$G$180&lt;&gt;"moeda")*(Inputs!$G$5:$G$180&lt;&gt;"acoes")))*INDEX(Inputs!$K$5:$AJ$180,0,MATCH(Q$2,Inputs!$K$4:$AJ$4,0)))+SUMPRODUCT((Inputs!$C$5:$C$180=$B50)*Inputs!$D$5:$D$180*(((Inputs!$G$5:$G$180="moeda")+(Inputs!$G$5:$G$180="acoes"))*Inputs!$B$1+((Inputs!$G$5:$G$180&lt;&gt;"moeda")*(Inputs!$G$5:$G$180&lt;&gt;"acoes")))*INDEX(Inputs!$K$5:$AJ$180,0,MATCH(Q$2,Inputs!$K$4:$AJ$4,0)))+SUMPRODUCT((Inputs!$E$5:$E$180=$B50)*Inputs!$F$5:$F$180*(((Inputs!$G$5:$G$180="moeda")+(Inputs!$G$5:$G$180="acoes"))*Inputs!$B$1+((Inputs!$G$5:$G$180&lt;&gt;"moeda")*(Inputs!$G$5:$G$180&lt;&gt;"acoes")))*INDEX(Inputs!$K$5:$AJ$180,0,MATCH(Q$2,Inputs!$K$4:$AJ$4,0)))))</f>
        <v>81.2788017439298</v>
      </c>
      <c r="R50" s="3">
        <f>SUM(N50:Q50)</f>
        <v>423.755997786797</v>
      </c>
      <c r="S50" s="6">
        <f>IF(ISNA(MATCH(S$2,Inputs!$K$4:$AJ$4,0)),NA(),IF(SUMPRODUCT((Inputs!$A$5:$A$180=$B50)*ISNUMBER(INDEX(Inputs!$K$5:$AJ$180,0,MATCH(S$2,Inputs!$K$4:$AJ$4,0))))+SUMPRODUCT((Inputs!$C$5:$C$180=$B50)*ISNUMBER(INDEX(Inputs!$K$5:$AJ$180,0,MATCH(S$2,Inputs!$K$4:$AJ$4,0))))+SUMPRODUCT((Inputs!$E$5:$E$180=$B50)*ISNUMBER(INDEX(Inputs!$K$5:$AJ$180,0,MATCH(S$2,Inputs!$K$4:$AJ$4,0))))=0,NA(),SUMPRODUCT((Inputs!$A$5:$A$180=$B50)*Inputs!$B$5:$B$180*(((Inputs!$G$5:$G$180="moeda")+(Inputs!$G$5:$G$180="acoes"))*Inputs!$B$1+((Inputs!$G$5:$G$180&lt;&gt;"moeda")*(Inputs!$G$5:$G$180&lt;&gt;"acoes")))*INDEX(Inputs!$K$5:$AJ$180,0,MATCH(S$2,Inputs!$K$4:$AJ$4,0)))+SUMPRODUCT((Inputs!$C$5:$C$180=$B50)*Inputs!$D$5:$D$180*(((Inputs!$G$5:$G$180="moeda")+(Inputs!$G$5:$G$180="acoes"))*Inputs!$B$1+((Inputs!$G$5:$G$180&lt;&gt;"moeda")*(Inputs!$G$5:$G$180&lt;&gt;"acoes")))*INDEX(Inputs!$K$5:$AJ$180,0,MATCH(S$2,Inputs!$K$4:$AJ$4,0)))+SUMPRODUCT((Inputs!$E$5:$E$180=$B50)*Inputs!$F$5:$F$180*(((Inputs!$G$5:$G$180="moeda")+(Inputs!$G$5:$G$180="acoes"))*Inputs!$B$1+((Inputs!$G$5:$G$180&lt;&gt;"moeda")*(Inputs!$G$5:$G$180&lt;&gt;"acoes")))*INDEX(Inputs!$K$5:$AJ$180,0,MATCH(S$2,Inputs!$K$4:$AJ$4,0)))))</f>
        <v>167.9596009</v>
      </c>
      <c r="T50" s="6">
        <f>IF(ISNA(MATCH(T$2,Inputs!$K$4:$AJ$4,0)),NA(),IF(SUMPRODUCT((Inputs!$A$5:$A$180=$B50)*ISNUMBER(INDEX(Inputs!$K$5:$AJ$180,0,MATCH(T$2,Inputs!$K$4:$AJ$4,0))))+SUMPRODUCT((Inputs!$C$5:$C$180=$B50)*ISNUMBER(INDEX(Inputs!$K$5:$AJ$180,0,MATCH(T$2,Inputs!$K$4:$AJ$4,0))))+SUMPRODUCT((Inputs!$E$5:$E$180=$B50)*ISNUMBER(INDEX(Inputs!$K$5:$AJ$180,0,MATCH(T$2,Inputs!$K$4:$AJ$4,0))))=0,NA(),SUMPRODUCT((Inputs!$A$5:$A$180=$B50)*Inputs!$B$5:$B$180*(((Inputs!$G$5:$G$180="moeda")+(Inputs!$G$5:$G$180="acoes"))*Inputs!$B$1+((Inputs!$G$5:$G$180&lt;&gt;"moeda")*(Inputs!$G$5:$G$180&lt;&gt;"acoes")))*INDEX(Inputs!$K$5:$AJ$180,0,MATCH(T$2,Inputs!$K$4:$AJ$4,0)))+SUMPRODUCT((Inputs!$C$5:$C$180=$B50)*Inputs!$D$5:$D$180*(((Inputs!$G$5:$G$180="moeda")+(Inputs!$G$5:$G$180="acoes"))*Inputs!$B$1+((Inputs!$G$5:$G$180&lt;&gt;"moeda")*(Inputs!$G$5:$G$180&lt;&gt;"acoes")))*INDEX(Inputs!$K$5:$AJ$180,0,MATCH(T$2,Inputs!$K$4:$AJ$4,0)))+SUMPRODUCT((Inputs!$E$5:$E$180=$B50)*Inputs!$F$5:$F$180*(((Inputs!$G$5:$G$180="moeda")+(Inputs!$G$5:$G$180="acoes"))*Inputs!$B$1+((Inputs!$G$5:$G$180&lt;&gt;"moeda")*(Inputs!$G$5:$G$180&lt;&gt;"acoes")))*INDEX(Inputs!$K$5:$AJ$180,0,MATCH(T$2,Inputs!$K$4:$AJ$4,0)))))</f>
        <v>173.586</v>
      </c>
      <c r="U50" s="6">
        <f>IF(ISNA(MATCH(U$2,Inputs!$K$4:$AJ$4,0)),NA(),IF(SUMPRODUCT((Inputs!$A$5:$A$180=$B50)*ISNUMBER(INDEX(Inputs!$K$5:$AJ$180,0,MATCH(U$2,Inputs!$K$4:$AJ$4,0))))+SUMPRODUCT((Inputs!$C$5:$C$180=$B50)*ISNUMBER(INDEX(Inputs!$K$5:$AJ$180,0,MATCH(U$2,Inputs!$K$4:$AJ$4,0))))+SUMPRODUCT((Inputs!$E$5:$E$180=$B50)*ISNUMBER(INDEX(Inputs!$K$5:$AJ$180,0,MATCH(U$2,Inputs!$K$4:$AJ$4,0))))=0,NA(),SUMPRODUCT((Inputs!$A$5:$A$180=$B50)*Inputs!$B$5:$B$180*(((Inputs!$G$5:$G$180="moeda")+(Inputs!$G$5:$G$180="acoes"))*Inputs!$B$1+((Inputs!$G$5:$G$180&lt;&gt;"moeda")*(Inputs!$G$5:$G$180&lt;&gt;"acoes")))*INDEX(Inputs!$K$5:$AJ$180,0,MATCH(U$2,Inputs!$K$4:$AJ$4,0)))+SUMPRODUCT((Inputs!$C$5:$C$180=$B50)*Inputs!$D$5:$D$180*(((Inputs!$G$5:$G$180="moeda")+(Inputs!$G$5:$G$180="acoes"))*Inputs!$B$1+((Inputs!$G$5:$G$180&lt;&gt;"moeda")*(Inputs!$G$5:$G$180&lt;&gt;"acoes")))*INDEX(Inputs!$K$5:$AJ$180,0,MATCH(U$2,Inputs!$K$4:$AJ$4,0)))+SUMPRODUCT((Inputs!$E$5:$E$180=$B50)*Inputs!$F$5:$F$180*(((Inputs!$G$5:$G$180="moeda")+(Inputs!$G$5:$G$180="acoes"))*Inputs!$B$1+((Inputs!$G$5:$G$180&lt;&gt;"moeda")*(Inputs!$G$5:$G$180&lt;&gt;"acoes")))*INDEX(Inputs!$K$5:$AJ$180,0,MATCH(U$2,Inputs!$K$4:$AJ$4,0)))))</f>
        <v>190.705474</v>
      </c>
      <c r="V50" s="6">
        <f>IF(ISNA(MATCH(V$2,Inputs!$K$4:$AJ$4,0)),NA(),IF(SUMPRODUCT((Inputs!$A$5:$A$180=$B50)*ISNUMBER(INDEX(Inputs!$K$5:$AJ$180,0,MATCH(V$2,Inputs!$K$4:$AJ$4,0))))+SUMPRODUCT((Inputs!$C$5:$C$180=$B50)*ISNUMBER(INDEX(Inputs!$K$5:$AJ$180,0,MATCH(V$2,Inputs!$K$4:$AJ$4,0))))+SUMPRODUCT((Inputs!$E$5:$E$180=$B50)*ISNUMBER(INDEX(Inputs!$K$5:$AJ$180,0,MATCH(V$2,Inputs!$K$4:$AJ$4,0))))=0,NA(),SUMPRODUCT((Inputs!$A$5:$A$180=$B50)*Inputs!$B$5:$B$180*(((Inputs!$G$5:$G$180="moeda")+(Inputs!$G$5:$G$180="acoes"))*Inputs!$B$1+((Inputs!$G$5:$G$180&lt;&gt;"moeda")*(Inputs!$G$5:$G$180&lt;&gt;"acoes")))*INDEX(Inputs!$K$5:$AJ$180,0,MATCH(V$2,Inputs!$K$4:$AJ$4,0)))+SUMPRODUCT((Inputs!$C$5:$C$180=$B50)*Inputs!$D$5:$D$180*(((Inputs!$G$5:$G$180="moeda")+(Inputs!$G$5:$G$180="acoes"))*Inputs!$B$1+((Inputs!$G$5:$G$180&lt;&gt;"moeda")*(Inputs!$G$5:$G$180&lt;&gt;"acoes")))*INDEX(Inputs!$K$5:$AJ$180,0,MATCH(V$2,Inputs!$K$4:$AJ$4,0)))+SUMPRODUCT((Inputs!$E$5:$E$180=$B50)*Inputs!$F$5:$F$180*(((Inputs!$G$5:$G$180="moeda")+(Inputs!$G$5:$G$180="acoes"))*Inputs!$B$1+((Inputs!$G$5:$G$180&lt;&gt;"moeda")*(Inputs!$G$5:$G$180&lt;&gt;"acoes")))*INDEX(Inputs!$K$5:$AJ$180,0,MATCH(V$2,Inputs!$K$4:$AJ$4,0)))))</f>
        <v>83.9209250999994</v>
      </c>
      <c r="W50" s="3">
        <f>SUM(S50:V50)</f>
        <v>616.171999999999</v>
      </c>
      <c r="X50" s="6">
        <f>IF(ISNA(MATCH(X$2,Inputs!$K$4:$AJ$4,0)),NA(),IF(SUMPRODUCT((Inputs!$A$5:$A$180=$B50)*ISNUMBER(INDEX(Inputs!$K$5:$AJ$180,0,MATCH(X$2,Inputs!$K$4:$AJ$4,0))))+SUMPRODUCT((Inputs!$C$5:$C$180=$B50)*ISNUMBER(INDEX(Inputs!$K$5:$AJ$180,0,MATCH(X$2,Inputs!$K$4:$AJ$4,0))))+SUMPRODUCT((Inputs!$E$5:$E$180=$B50)*ISNUMBER(INDEX(Inputs!$K$5:$AJ$180,0,MATCH(X$2,Inputs!$K$4:$AJ$4,0))))=0,NA(),SUMPRODUCT((Inputs!$A$5:$A$180=$B50)*Inputs!$B$5:$B$180*(((Inputs!$G$5:$G$180="moeda")+(Inputs!$G$5:$G$180="acoes"))*Inputs!$B$1+((Inputs!$G$5:$G$180&lt;&gt;"moeda")*(Inputs!$G$5:$G$180&lt;&gt;"acoes")))*INDEX(Inputs!$K$5:$AJ$180,0,MATCH(X$2,Inputs!$K$4:$AJ$4,0)))+SUMPRODUCT((Inputs!$C$5:$C$180=$B50)*Inputs!$D$5:$D$180*(((Inputs!$G$5:$G$180="moeda")+(Inputs!$G$5:$G$180="acoes"))*Inputs!$B$1+((Inputs!$G$5:$G$180&lt;&gt;"moeda")*(Inputs!$G$5:$G$180&lt;&gt;"acoes")))*INDEX(Inputs!$K$5:$AJ$180,0,MATCH(X$2,Inputs!$K$4:$AJ$4,0)))+SUMPRODUCT((Inputs!$E$5:$E$180=$B50)*Inputs!$F$5:$F$180*(((Inputs!$G$5:$G$180="moeda")+(Inputs!$G$5:$G$180="acoes"))*Inputs!$B$1+((Inputs!$G$5:$G$180&lt;&gt;"moeda")*(Inputs!$G$5:$G$180&lt;&gt;"acoes")))*INDEX(Inputs!$K$5:$AJ$180,0,MATCH(X$2,Inputs!$K$4:$AJ$4,0)))))</f>
        <v>179.28629</v>
      </c>
      <c r="Y50" s="6">
        <f>IF(ISNA(MATCH(Y$2,Inputs!$K$4:$AJ$4,0)),NA(),IF(SUMPRODUCT((Inputs!$A$5:$A$180=$B50)*ISNUMBER(INDEX(Inputs!$K$5:$AJ$180,0,MATCH(Y$2,Inputs!$K$4:$AJ$4,0))))+SUMPRODUCT((Inputs!$C$5:$C$180=$B50)*ISNUMBER(INDEX(Inputs!$K$5:$AJ$180,0,MATCH(Y$2,Inputs!$K$4:$AJ$4,0))))+SUMPRODUCT((Inputs!$E$5:$E$180=$B50)*ISNUMBER(INDEX(Inputs!$K$5:$AJ$180,0,MATCH(Y$2,Inputs!$K$4:$AJ$4,0))))=0,NA(),SUMPRODUCT((Inputs!$A$5:$A$180=$B50)*Inputs!$B$5:$B$180*(((Inputs!$G$5:$G$180="moeda")+(Inputs!$G$5:$G$180="acoes"))*Inputs!$B$1+((Inputs!$G$5:$G$180&lt;&gt;"moeda")*(Inputs!$G$5:$G$180&lt;&gt;"acoes")))*INDEX(Inputs!$K$5:$AJ$180,0,MATCH(Y$2,Inputs!$K$4:$AJ$4,0)))+SUMPRODUCT((Inputs!$C$5:$C$180=$B50)*Inputs!$D$5:$D$180*(((Inputs!$G$5:$G$180="moeda")+(Inputs!$G$5:$G$180="acoes"))*Inputs!$B$1+((Inputs!$G$5:$G$180&lt;&gt;"moeda")*(Inputs!$G$5:$G$180&lt;&gt;"acoes")))*INDEX(Inputs!$K$5:$AJ$180,0,MATCH(Y$2,Inputs!$K$4:$AJ$4,0)))+SUMPRODUCT((Inputs!$E$5:$E$180=$B50)*Inputs!$F$5:$F$180*(((Inputs!$G$5:$G$180="moeda")+(Inputs!$G$5:$G$180="acoes"))*Inputs!$B$1+((Inputs!$G$5:$G$180&lt;&gt;"moeda")*(Inputs!$G$5:$G$180&lt;&gt;"acoes")))*INDEX(Inputs!$K$5:$AJ$180,0,MATCH(Y$2,Inputs!$K$4:$AJ$4,0)))))</f>
        <v>152.299179</v>
      </c>
      <c r="Z50" s="6">
        <f>IF(ISNA(MATCH(Z$2,Inputs!$K$4:$AJ$4,0)),NA(),IF(SUMPRODUCT((Inputs!$A$5:$A$180=$B50)*ISNUMBER(INDEX(Inputs!$K$5:$AJ$180,0,MATCH(Z$2,Inputs!$K$4:$AJ$4,0))))+SUMPRODUCT((Inputs!$C$5:$C$180=$B50)*ISNUMBER(INDEX(Inputs!$K$5:$AJ$180,0,MATCH(Z$2,Inputs!$K$4:$AJ$4,0))))+SUMPRODUCT((Inputs!$E$5:$E$180=$B50)*ISNUMBER(INDEX(Inputs!$K$5:$AJ$180,0,MATCH(Z$2,Inputs!$K$4:$AJ$4,0))))=0,NA(),SUMPRODUCT((Inputs!$A$5:$A$180=$B50)*Inputs!$B$5:$B$180*(((Inputs!$G$5:$G$180="moeda")+(Inputs!$G$5:$G$180="acoes"))*Inputs!$B$1+((Inputs!$G$5:$G$180&lt;&gt;"moeda")*(Inputs!$G$5:$G$180&lt;&gt;"acoes")))*INDEX(Inputs!$K$5:$AJ$180,0,MATCH(Z$2,Inputs!$K$4:$AJ$4,0)))+SUMPRODUCT((Inputs!$C$5:$C$180=$B50)*Inputs!$D$5:$D$180*(((Inputs!$G$5:$G$180="moeda")+(Inputs!$G$5:$G$180="acoes"))*Inputs!$B$1+((Inputs!$G$5:$G$180&lt;&gt;"moeda")*(Inputs!$G$5:$G$180&lt;&gt;"acoes")))*INDEX(Inputs!$K$5:$AJ$180,0,MATCH(Z$2,Inputs!$K$4:$AJ$4,0)))+SUMPRODUCT((Inputs!$E$5:$E$180=$B50)*Inputs!$F$5:$F$180*(((Inputs!$G$5:$G$180="moeda")+(Inputs!$G$5:$G$180="acoes"))*Inputs!$B$1+((Inputs!$G$5:$G$180&lt;&gt;"moeda")*(Inputs!$G$5:$G$180&lt;&gt;"acoes")))*INDEX(Inputs!$K$5:$AJ$180,0,MATCH(Z$2,Inputs!$K$4:$AJ$4,0)))))</f>
        <v>184.916722720184</v>
      </c>
      <c r="AA50" s="6">
        <f>IF(ISNA(MATCH(AA$2,Inputs!$K$4:$AJ$4,0)),NA(),IF(SUMPRODUCT((Inputs!$A$5:$A$180=$B50)*ISNUMBER(INDEX(Inputs!$K$5:$AJ$180,0,MATCH(AA$2,Inputs!$K$4:$AJ$4,0))))+SUMPRODUCT((Inputs!$C$5:$C$180=$B50)*ISNUMBER(INDEX(Inputs!$K$5:$AJ$180,0,MATCH(AA$2,Inputs!$K$4:$AJ$4,0))))+SUMPRODUCT((Inputs!$E$5:$E$180=$B50)*ISNUMBER(INDEX(Inputs!$K$5:$AJ$180,0,MATCH(AA$2,Inputs!$K$4:$AJ$4,0))))=0,NA(),SUMPRODUCT((Inputs!$A$5:$A$180=$B50)*Inputs!$B$5:$B$180*(((Inputs!$G$5:$G$180="moeda")+(Inputs!$G$5:$G$180="acoes"))*Inputs!$B$1+((Inputs!$G$5:$G$180&lt;&gt;"moeda")*(Inputs!$G$5:$G$180&lt;&gt;"acoes")))*INDEX(Inputs!$K$5:$AJ$180,0,MATCH(AA$2,Inputs!$K$4:$AJ$4,0)))+SUMPRODUCT((Inputs!$C$5:$C$180=$B50)*Inputs!$D$5:$D$180*(((Inputs!$G$5:$G$180="moeda")+(Inputs!$G$5:$G$180="acoes"))*Inputs!$B$1+((Inputs!$G$5:$G$180&lt;&gt;"moeda")*(Inputs!$G$5:$G$180&lt;&gt;"acoes")))*INDEX(Inputs!$K$5:$AJ$180,0,MATCH(AA$2,Inputs!$K$4:$AJ$4,0)))+SUMPRODUCT((Inputs!$E$5:$E$180=$B50)*Inputs!$F$5:$F$180*(((Inputs!$G$5:$G$180="moeda")+(Inputs!$G$5:$G$180="acoes"))*Inputs!$B$1+((Inputs!$G$5:$G$180&lt;&gt;"moeda")*(Inputs!$G$5:$G$180&lt;&gt;"acoes")))*INDEX(Inputs!$K$5:$AJ$180,0,MATCH(AA$2,Inputs!$K$4:$AJ$4,0)))))</f>
        <v>96.3284097835915</v>
      </c>
      <c r="AB50" s="3">
        <f>SUM(X50:AA50)</f>
        <v>612.830601503776</v>
      </c>
      <c r="AC50" s="6">
        <f>IF(ISNA(MATCH(AC$2,Inputs!$K$4:$AJ$4,0)),NA(),IF(SUMPRODUCT((Inputs!$A$5:$A$180=$B50)*ISNUMBER(INDEX(Inputs!$K$5:$AJ$180,0,MATCH(AC$2,Inputs!$K$4:$AJ$4,0))))+SUMPRODUCT((Inputs!$C$5:$C$180=$B50)*ISNUMBER(INDEX(Inputs!$K$5:$AJ$180,0,MATCH(AC$2,Inputs!$K$4:$AJ$4,0))))+SUMPRODUCT((Inputs!$E$5:$E$180=$B50)*ISNUMBER(INDEX(Inputs!$K$5:$AJ$180,0,MATCH(AC$2,Inputs!$K$4:$AJ$4,0))))=0,NA(),SUMPRODUCT((Inputs!$A$5:$A$180=$B50)*Inputs!$B$5:$B$180*(((Inputs!$G$5:$G$180="moeda")+(Inputs!$G$5:$G$180="acoes"))*Inputs!$B$1+((Inputs!$G$5:$G$180&lt;&gt;"moeda")*(Inputs!$G$5:$G$180&lt;&gt;"acoes")))*INDEX(Inputs!$K$5:$AJ$180,0,MATCH(AC$2,Inputs!$K$4:$AJ$4,0)))+SUMPRODUCT((Inputs!$C$5:$C$180=$B50)*Inputs!$D$5:$D$180*(((Inputs!$G$5:$G$180="moeda")+(Inputs!$G$5:$G$180="acoes"))*Inputs!$B$1+((Inputs!$G$5:$G$180&lt;&gt;"moeda")*(Inputs!$G$5:$G$180&lt;&gt;"acoes")))*INDEX(Inputs!$K$5:$AJ$180,0,MATCH(AC$2,Inputs!$K$4:$AJ$4,0)))+SUMPRODUCT((Inputs!$E$5:$E$180=$B50)*Inputs!$F$5:$F$180*(((Inputs!$G$5:$G$180="moeda")+(Inputs!$G$5:$G$180="acoes"))*Inputs!$B$1+((Inputs!$G$5:$G$180&lt;&gt;"moeda")*(Inputs!$G$5:$G$180&lt;&gt;"acoes")))*INDEX(Inputs!$K$5:$AJ$180,0,MATCH(AC$2,Inputs!$K$4:$AJ$4,0)))))</f>
        <v>201.21196412</v>
      </c>
      <c r="AD50" s="6">
        <f>IF(ISNA(MATCH(AD$2,Inputs!$K$4:$AJ$4,0)),NA(),IF(SUMPRODUCT((Inputs!$A$5:$A$180=$B50)*ISNUMBER(INDEX(Inputs!$K$5:$AJ$180,0,MATCH(AD$2,Inputs!$K$4:$AJ$4,0))))+SUMPRODUCT((Inputs!$C$5:$C$180=$B50)*ISNUMBER(INDEX(Inputs!$K$5:$AJ$180,0,MATCH(AD$2,Inputs!$K$4:$AJ$4,0))))+SUMPRODUCT((Inputs!$E$5:$E$180=$B50)*ISNUMBER(INDEX(Inputs!$K$5:$AJ$180,0,MATCH(AD$2,Inputs!$K$4:$AJ$4,0))))=0,NA(),SUMPRODUCT((Inputs!$A$5:$A$180=$B50)*Inputs!$B$5:$B$180*(((Inputs!$G$5:$G$180="moeda")+(Inputs!$G$5:$G$180="acoes"))*Inputs!$B$1+((Inputs!$G$5:$G$180&lt;&gt;"moeda")*(Inputs!$G$5:$G$180&lt;&gt;"acoes")))*INDEX(Inputs!$K$5:$AJ$180,0,MATCH(AD$2,Inputs!$K$4:$AJ$4,0)))+SUMPRODUCT((Inputs!$C$5:$C$180=$B50)*Inputs!$D$5:$D$180*(((Inputs!$G$5:$G$180="moeda")+(Inputs!$G$5:$G$180="acoes"))*Inputs!$B$1+((Inputs!$G$5:$G$180&lt;&gt;"moeda")*(Inputs!$G$5:$G$180&lt;&gt;"acoes")))*INDEX(Inputs!$K$5:$AJ$180,0,MATCH(AD$2,Inputs!$K$4:$AJ$4,0)))+SUMPRODUCT((Inputs!$E$5:$E$180=$B50)*Inputs!$F$5:$F$180*(((Inputs!$G$5:$G$180="moeda")+(Inputs!$G$5:$G$180="acoes"))*Inputs!$B$1+((Inputs!$G$5:$G$180&lt;&gt;"moeda")*(Inputs!$G$5:$G$180&lt;&gt;"acoes")))*INDEX(Inputs!$K$5:$AJ$180,0,MATCH(AD$2,Inputs!$K$4:$AJ$4,0)))))</f>
        <v>221.850208</v>
      </c>
      <c r="AE50" s="6" t="e">
        <f>IF(ISNA(MATCH(AE$2,Inputs!$K$4:$AJ$4,0)),NA(),IF(SUMPRODUCT((Inputs!$A$5:$A$180=$B50)*ISNUMBER(INDEX(Inputs!$K$5:$AJ$180,0,MATCH(AE$2,Inputs!$K$4:$AJ$4,0))))+SUMPRODUCT((Inputs!$C$5:$C$180=$B50)*ISNUMBER(INDEX(Inputs!$K$5:$AJ$180,0,MATCH(AE$2,Inputs!$K$4:$AJ$4,0))))+SUMPRODUCT((Inputs!$E$5:$E$180=$B50)*ISNUMBER(INDEX(Inputs!$K$5:$AJ$180,0,MATCH(AE$2,Inputs!$K$4:$AJ$4,0))))=0,NA(),SUMPRODUCT((Inputs!$A$5:$A$180=$B50)*Inputs!$B$5:$B$180*(((Inputs!$G$5:$G$180="moeda")+(Inputs!$G$5:$G$180="acoes"))*Inputs!$B$1+((Inputs!$G$5:$G$180&lt;&gt;"moeda")*(Inputs!$G$5:$G$180&lt;&gt;"acoes")))*INDEX(Inputs!$K$5:$AJ$180,0,MATCH(AE$2,Inputs!$K$4:$AJ$4,0)))+SUMPRODUCT((Inputs!$C$5:$C$180=$B50)*Inputs!$D$5:$D$180*(((Inputs!$G$5:$G$180="moeda")+(Inputs!$G$5:$G$180="acoes"))*Inputs!$B$1+((Inputs!$G$5:$G$180&lt;&gt;"moeda")*(Inputs!$G$5:$G$180&lt;&gt;"acoes")))*INDEX(Inputs!$K$5:$AJ$180,0,MATCH(AE$2,Inputs!$K$4:$AJ$4,0)))+SUMPRODUCT((Inputs!$E$5:$E$180=$B50)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0" s="6" t="e">
        <f>IF(ISNA(MATCH(AF$2,Inputs!$K$4:$AJ$4,0)),NA(),IF(SUMPRODUCT((Inputs!$A$5:$A$180=$B50)*ISNUMBER(INDEX(Inputs!$K$5:$AJ$180,0,MATCH(AF$2,Inputs!$K$4:$AJ$4,0))))+SUMPRODUCT((Inputs!$C$5:$C$180=$B50)*ISNUMBER(INDEX(Inputs!$K$5:$AJ$180,0,MATCH(AF$2,Inputs!$K$4:$AJ$4,0))))+SUMPRODUCT((Inputs!$E$5:$E$180=$B50)*ISNUMBER(INDEX(Inputs!$K$5:$AJ$180,0,MATCH(AF$2,Inputs!$K$4:$AJ$4,0))))=0,NA(),SUMPRODUCT((Inputs!$A$5:$A$180=$B50)*Inputs!$B$5:$B$180*(((Inputs!$G$5:$G$180="moeda")+(Inputs!$G$5:$G$180="acoes"))*Inputs!$B$1+((Inputs!$G$5:$G$180&lt;&gt;"moeda")*(Inputs!$G$5:$G$180&lt;&gt;"acoes")))*INDEX(Inputs!$K$5:$AJ$180,0,MATCH(AF$2,Inputs!$K$4:$AJ$4,0)))+SUMPRODUCT((Inputs!$C$5:$C$180=$B50)*Inputs!$D$5:$D$180*(((Inputs!$G$5:$G$180="moeda")+(Inputs!$G$5:$G$180="acoes"))*Inputs!$B$1+((Inputs!$G$5:$G$180&lt;&gt;"moeda")*(Inputs!$G$5:$G$180&lt;&gt;"acoes")))*INDEX(Inputs!$K$5:$AJ$180,0,MATCH(AF$2,Inputs!$K$4:$AJ$4,0)))+SUMPRODUCT((Inputs!$E$5:$E$180=$B50)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0" s="3" t="e">
        <f>SUM(AC50:AF50)</f>
        <v>#N/A</v>
      </c>
      <c r="AH50">
        <f>IF(ISNA(MATCH(AH$2,Inputs!$K$4:$AJ$4,0)),NA(),IF(SUMPRODUCT((Inputs!$A$5:$A$180=$B50)*ISNUMBER(INDEX(Inputs!$K$5:$AJ$180,0,MATCH(AH$2,Inputs!$K$4:$AJ$4,0))))+SUMPRODUCT((Inputs!$C$5:$C$180=$B50)*ISNUMBER(INDEX(Inputs!$K$5:$AJ$180,0,MATCH(AH$2,Inputs!$K$4:$AJ$4,0))))+SUMPRODUCT((Inputs!$E$5:$E$180=$B50)*ISNUMBER(INDEX(Inputs!$K$5:$AJ$180,0,MATCH(AH$2,Inputs!$K$4:$AJ$4,0))))=0,NA(),SUMPRODUCT((Inputs!$A$5:$A$180=$B50)*Inputs!$B$5:$B$180*(((Inputs!$G$5:$G$180="moeda")+(Inputs!$G$5:$G$180="acoes"))*Inputs!$B$1+((Inputs!$G$5:$G$180&lt;&gt;"moeda")*(Inputs!$G$5:$G$180&lt;&gt;"acoes")))*INDEX(Inputs!$K$5:$AJ$180,0,MATCH(AH$2,Inputs!$K$4:$AJ$4,0)))+SUMPRODUCT((Inputs!$C$5:$C$180=$B50)*Inputs!$D$5:$D$180*(((Inputs!$G$5:$G$180="moeda")+(Inputs!$G$5:$G$180="acoes"))*Inputs!$B$1+((Inputs!$G$5:$G$180&lt;&gt;"moeda")*(Inputs!$G$5:$G$180&lt;&gt;"acoes")))*INDEX(Inputs!$K$5:$AJ$180,0,MATCH(AH$2,Inputs!$K$4:$AJ$4,0)))+SUMPRODUCT((Inputs!$E$5:$E$180=$B50)*Inputs!$F$5:$F$180*(((Inputs!$G$5:$G$180="moeda")+(Inputs!$G$5:$G$180="acoes"))*Inputs!$B$1+((Inputs!$G$5:$G$180&lt;&gt;"moeda")*(Inputs!$G$5:$G$180&lt;&gt;"acoes")))*INDEX(Inputs!$K$5:$AJ$180,0,MATCH(AH$2,Inputs!$K$4:$AJ$4,0)))))</f>
        <v>58.719107756418</v>
      </c>
      <c r="AI50">
        <f>IF(ISNA(MATCH(AI$2,Inputs!$K$4:$AJ$4,0)),NA(),IF(SUMPRODUCT((Inputs!$A$5:$A$180=$B50)*ISNUMBER(INDEX(Inputs!$K$5:$AJ$180,0,MATCH(AI$2,Inputs!$K$4:$AJ$4,0))))+SUMPRODUCT((Inputs!$C$5:$C$180=$B50)*ISNUMBER(INDEX(Inputs!$K$5:$AJ$180,0,MATCH(AI$2,Inputs!$K$4:$AJ$4,0))))+SUMPRODUCT((Inputs!$E$5:$E$180=$B50)*ISNUMBER(INDEX(Inputs!$K$5:$AJ$180,0,MATCH(AI$2,Inputs!$K$4:$AJ$4,0))))=0,NA(),SUMPRODUCT((Inputs!$A$5:$A$180=$B50)*Inputs!$B$5:$B$180*(((Inputs!$G$5:$G$180="moeda")+(Inputs!$G$5:$G$180="acoes"))*Inputs!$B$1+((Inputs!$G$5:$G$180&lt;&gt;"moeda")*(Inputs!$G$5:$G$180&lt;&gt;"acoes")))*INDEX(Inputs!$K$5:$AJ$180,0,MATCH(AI$2,Inputs!$K$4:$AJ$4,0)))+SUMPRODUCT((Inputs!$C$5:$C$180=$B50)*Inputs!$D$5:$D$180*(((Inputs!$G$5:$G$180="moeda")+(Inputs!$G$5:$G$180="acoes"))*Inputs!$B$1+((Inputs!$G$5:$G$180&lt;&gt;"moeda")*(Inputs!$G$5:$G$180&lt;&gt;"acoes")))*INDEX(Inputs!$K$5:$AJ$180,0,MATCH(AI$2,Inputs!$K$4:$AJ$4,0)))+SUMPRODUCT((Inputs!$E$5:$E$180=$B50)*Inputs!$F$5:$F$180*(((Inputs!$G$5:$G$180="moeda")+(Inputs!$G$5:$G$180="acoes"))*Inputs!$B$1+((Inputs!$G$5:$G$180&lt;&gt;"moeda")*(Inputs!$G$5:$G$180&lt;&gt;"acoes")))*INDEX(Inputs!$K$5:$AJ$180,0,MATCH(AI$2,Inputs!$K$4:$AJ$4,0)))))</f>
        <v>-73.3055463168123</v>
      </c>
      <c r="AJ50">
        <f>IF(ISNA(MATCH(AJ$2,Inputs!$K$4:$AJ$4,0)),NA(),IF(SUMPRODUCT((Inputs!$A$5:$A$180=$B50)*ISNUMBER(INDEX(Inputs!$K$5:$AJ$180,0,MATCH(AJ$2,Inputs!$K$4:$AJ$4,0))))+SUMPRODUCT((Inputs!$C$5:$C$180=$B50)*ISNUMBER(INDEX(Inputs!$K$5:$AJ$180,0,MATCH(AJ$2,Inputs!$K$4:$AJ$4,0))))+SUMPRODUCT((Inputs!$E$5:$E$180=$B50)*ISNUMBER(INDEX(Inputs!$K$5:$AJ$180,0,MATCH(AJ$2,Inputs!$K$4:$AJ$4,0))))=0,NA(),SUMPRODUCT((Inputs!$A$5:$A$180=$B50)*Inputs!$B$5:$B$180*(((Inputs!$G$5:$G$180="moeda")+(Inputs!$G$5:$G$180="acoes"))*Inputs!$B$1+((Inputs!$G$5:$G$180&lt;&gt;"moeda")*(Inputs!$G$5:$G$180&lt;&gt;"acoes")))*INDEX(Inputs!$K$5:$AJ$180,0,MATCH(AJ$2,Inputs!$K$4:$AJ$4,0)))+SUMPRODUCT((Inputs!$C$5:$C$180=$B50)*Inputs!$D$5:$D$180*(((Inputs!$G$5:$G$180="moeda")+(Inputs!$G$5:$G$180="acoes"))*Inputs!$B$1+((Inputs!$G$5:$G$180&lt;&gt;"moeda")*(Inputs!$G$5:$G$180&lt;&gt;"acoes")))*INDEX(Inputs!$K$5:$AJ$180,0,MATCH(AJ$2,Inputs!$K$4:$AJ$4,0)))+SUMPRODUCT((Inputs!$E$5:$E$180=$B50)*Inputs!$F$5:$F$180*(((Inputs!$G$5:$G$180="moeda")+(Inputs!$G$5:$G$180="acoes"))*Inputs!$B$1+((Inputs!$G$5:$G$180&lt;&gt;"moeda")*(Inputs!$G$5:$G$180&lt;&gt;"acoes")))*INDEX(Inputs!$K$5:$AJ$180,0,MATCH(AJ$2,Inputs!$K$4:$AJ$4,0)))))</f>
        <v>132.064543995985</v>
      </c>
      <c r="AK50">
        <f>IF(ISNA(MATCH(AK$2,Inputs!$K$4:$AJ$4,0)),NA(),IF(SUMPRODUCT((Inputs!$A$5:$A$180=$B50)*ISNUMBER(INDEX(Inputs!$K$5:$AJ$180,0,MATCH(AK$2,Inputs!$K$4:$AJ$4,0))))+SUMPRODUCT((Inputs!$C$5:$C$180=$B50)*ISNUMBER(INDEX(Inputs!$K$5:$AJ$180,0,MATCH(AK$2,Inputs!$K$4:$AJ$4,0))))+SUMPRODUCT((Inputs!$E$5:$E$180=$B50)*ISNUMBER(INDEX(Inputs!$K$5:$AJ$180,0,MATCH(AK$2,Inputs!$K$4:$AJ$4,0))))=0,NA(),SUMPRODUCT((Inputs!$A$5:$A$180=$B50)*Inputs!$B$5:$B$180*(((Inputs!$G$5:$G$180="moeda")+(Inputs!$G$5:$G$180="acoes"))*Inputs!$B$1+((Inputs!$G$5:$G$180&lt;&gt;"moeda")*(Inputs!$G$5:$G$180&lt;&gt;"acoes")))*INDEX(Inputs!$K$5:$AJ$180,0,MATCH(AK$2,Inputs!$K$4:$AJ$4,0)))+SUMPRODUCT((Inputs!$C$5:$C$180=$B50)*Inputs!$D$5:$D$180*(((Inputs!$G$5:$G$180="moeda")+(Inputs!$G$5:$G$180="acoes"))*Inputs!$B$1+((Inputs!$G$5:$G$180&lt;&gt;"moeda")*(Inputs!$G$5:$G$180&lt;&gt;"acoes")))*INDEX(Inputs!$K$5:$AJ$180,0,MATCH(AK$2,Inputs!$K$4:$AJ$4,0)))+SUMPRODUCT((Inputs!$E$5:$E$180=$B50)*Inputs!$F$5:$F$180*(((Inputs!$G$5:$G$180="moeda")+(Inputs!$G$5:$G$180="acoes"))*Inputs!$B$1+((Inputs!$G$5:$G$180&lt;&gt;"moeda")*(Inputs!$G$5:$G$180&lt;&gt;"acoes")))*INDEX(Inputs!$K$5:$AJ$180,0,MATCH(AK$2,Inputs!$K$4:$AJ$4,0)))))</f>
        <v>139.482617970001</v>
      </c>
      <c r="AL50">
        <f>SUM(AH50:AK50)</f>
        <v>256.960723405592</v>
      </c>
    </row>
    <row r="52">
      <c r="C52" s="250" t="inlineStr">
        <is>
          <t>Receita bruta por negocio, deducoes, volumes e acoes (memo) - codigos 45-56 [Model linhas 361+ e 230]</t>
        </is>
      </c>
    </row>
    <row r="53">
      <c r="B53" s="46" t="n">
        <v>45</v>
      </c>
      <c r="C53" s="29" t="inlineStr">
        <is>
          <t>Marca Fleury</t>
        </is>
      </c>
      <c r="D53" s="6">
        <f>IF(ISNA(MATCH(D$2,Inputs!$K$4:$AJ$4,0)),NA(),IF(SUMPRODUCT((Inputs!$A$5:$A$180=$B53)*ISNUMBER(INDEX(Inputs!$K$5:$AJ$180,0,MATCH(D$2,Inputs!$K$4:$AJ$4,0))))+SUMPRODUCT((Inputs!$C$5:$C$180=$B53)*ISNUMBER(INDEX(Inputs!$K$5:$AJ$180,0,MATCH(D$2,Inputs!$K$4:$AJ$4,0))))+SUMPRODUCT((Inputs!$E$5:$E$180=$B53)*ISNUMBER(INDEX(Inputs!$K$5:$AJ$180,0,MATCH(D$2,Inputs!$K$4:$AJ$4,0))))=0,NA(),SUMPRODUCT((Inputs!$A$5:$A$180=$B53)*Inputs!$B$5:$B$180*(((Inputs!$G$5:$G$180="moeda")+(Inputs!$G$5:$G$180="acoes"))*Inputs!$B$1+((Inputs!$G$5:$G$180&lt;&gt;"moeda")*(Inputs!$G$5:$G$180&lt;&gt;"acoes")))*INDEX(Inputs!$K$5:$AJ$180,0,MATCH(D$2,Inputs!$K$4:$AJ$4,0)))+SUMPRODUCT((Inputs!$C$5:$C$180=$B53)*Inputs!$D$5:$D$180*(((Inputs!$G$5:$G$180="moeda")+(Inputs!$G$5:$G$180="acoes"))*Inputs!$B$1+((Inputs!$G$5:$G$180&lt;&gt;"moeda")*(Inputs!$G$5:$G$180&lt;&gt;"acoes")))*INDEX(Inputs!$K$5:$AJ$180,0,MATCH(D$2,Inputs!$K$4:$AJ$4,0)))+SUMPRODUCT((Inputs!$E$5:$E$180=$B53)*Inputs!$F$5:$F$180*(((Inputs!$G$5:$G$180="moeda")+(Inputs!$G$5:$G$180="acoes"))*Inputs!$B$1+((Inputs!$G$5:$G$180&lt;&gt;"moeda")*(Inputs!$G$5:$G$180&lt;&gt;"acoes")))*INDEX(Inputs!$K$5:$AJ$180,0,MATCH(D$2,Inputs!$K$4:$AJ$4,0)))))</f>
        <v>390.315686736866</v>
      </c>
      <c r="E53" s="6">
        <f>IF(ISNA(MATCH(E$2,Inputs!$K$4:$AJ$4,0)),NA(),IF(SUMPRODUCT((Inputs!$A$5:$A$180=$B53)*ISNUMBER(INDEX(Inputs!$K$5:$AJ$180,0,MATCH(E$2,Inputs!$K$4:$AJ$4,0))))+SUMPRODUCT((Inputs!$C$5:$C$180=$B53)*ISNUMBER(INDEX(Inputs!$K$5:$AJ$180,0,MATCH(E$2,Inputs!$K$4:$AJ$4,0))))+SUMPRODUCT((Inputs!$E$5:$E$180=$B53)*ISNUMBER(INDEX(Inputs!$K$5:$AJ$180,0,MATCH(E$2,Inputs!$K$4:$AJ$4,0))))=0,NA(),SUMPRODUCT((Inputs!$A$5:$A$180=$B53)*Inputs!$B$5:$B$180*(((Inputs!$G$5:$G$180="moeda")+(Inputs!$G$5:$G$180="acoes"))*Inputs!$B$1+((Inputs!$G$5:$G$180&lt;&gt;"moeda")*(Inputs!$G$5:$G$180&lt;&gt;"acoes")))*INDEX(Inputs!$K$5:$AJ$180,0,MATCH(E$2,Inputs!$K$4:$AJ$4,0)))+SUMPRODUCT((Inputs!$C$5:$C$180=$B53)*Inputs!$D$5:$D$180*(((Inputs!$G$5:$G$180="moeda")+(Inputs!$G$5:$G$180="acoes"))*Inputs!$B$1+((Inputs!$G$5:$G$180&lt;&gt;"moeda")*(Inputs!$G$5:$G$180&lt;&gt;"acoes")))*INDEX(Inputs!$K$5:$AJ$180,0,MATCH(E$2,Inputs!$K$4:$AJ$4,0)))+SUMPRODUCT((Inputs!$E$5:$E$180=$B53)*Inputs!$F$5:$F$180*(((Inputs!$G$5:$G$180="moeda")+(Inputs!$G$5:$G$180="acoes"))*Inputs!$B$1+((Inputs!$G$5:$G$180&lt;&gt;"moeda")*(Inputs!$G$5:$G$180&lt;&gt;"acoes")))*INDEX(Inputs!$K$5:$AJ$180,0,MATCH(E$2,Inputs!$K$4:$AJ$4,0)))))</f>
        <v>393.47364947</v>
      </c>
      <c r="F53" s="6">
        <f>IF(ISNA(MATCH(F$2,Inputs!$K$4:$AJ$4,0)),NA(),IF(SUMPRODUCT((Inputs!$A$5:$A$180=$B53)*ISNUMBER(INDEX(Inputs!$K$5:$AJ$180,0,MATCH(F$2,Inputs!$K$4:$AJ$4,0))))+SUMPRODUCT((Inputs!$C$5:$C$180=$B53)*ISNUMBER(INDEX(Inputs!$K$5:$AJ$180,0,MATCH(F$2,Inputs!$K$4:$AJ$4,0))))+SUMPRODUCT((Inputs!$E$5:$E$180=$B53)*ISNUMBER(INDEX(Inputs!$K$5:$AJ$180,0,MATCH(F$2,Inputs!$K$4:$AJ$4,0))))=0,NA(),SUMPRODUCT((Inputs!$A$5:$A$180=$B53)*Inputs!$B$5:$B$180*(((Inputs!$G$5:$G$180="moeda")+(Inputs!$G$5:$G$180="acoes"))*Inputs!$B$1+((Inputs!$G$5:$G$180&lt;&gt;"moeda")*(Inputs!$G$5:$G$180&lt;&gt;"acoes")))*INDEX(Inputs!$K$5:$AJ$180,0,MATCH(F$2,Inputs!$K$4:$AJ$4,0)))+SUMPRODUCT((Inputs!$C$5:$C$180=$B53)*Inputs!$D$5:$D$180*(((Inputs!$G$5:$G$180="moeda")+(Inputs!$G$5:$G$180="acoes"))*Inputs!$B$1+((Inputs!$G$5:$G$180&lt;&gt;"moeda")*(Inputs!$G$5:$G$180&lt;&gt;"acoes")))*INDEX(Inputs!$K$5:$AJ$180,0,MATCH(F$2,Inputs!$K$4:$AJ$4,0)))+SUMPRODUCT((Inputs!$E$5:$E$180=$B53)*Inputs!$F$5:$F$180*(((Inputs!$G$5:$G$180="moeda")+(Inputs!$G$5:$G$180="acoes"))*Inputs!$B$1+((Inputs!$G$5:$G$180&lt;&gt;"moeda")*(Inputs!$G$5:$G$180&lt;&gt;"acoes")))*INDEX(Inputs!$K$5:$AJ$180,0,MATCH(F$2,Inputs!$K$4:$AJ$4,0)))))</f>
        <v>430.289524728265</v>
      </c>
      <c r="G53" s="6">
        <f>IF(ISNA(MATCH(G$2,Inputs!$K$4:$AJ$4,0)),NA(),IF(SUMPRODUCT((Inputs!$A$5:$A$180=$B53)*ISNUMBER(INDEX(Inputs!$K$5:$AJ$180,0,MATCH(G$2,Inputs!$K$4:$AJ$4,0))))+SUMPRODUCT((Inputs!$C$5:$C$180=$B53)*ISNUMBER(INDEX(Inputs!$K$5:$AJ$180,0,MATCH(G$2,Inputs!$K$4:$AJ$4,0))))+SUMPRODUCT((Inputs!$E$5:$E$180=$B53)*ISNUMBER(INDEX(Inputs!$K$5:$AJ$180,0,MATCH(G$2,Inputs!$K$4:$AJ$4,0))))=0,NA(),SUMPRODUCT((Inputs!$A$5:$A$180=$B53)*Inputs!$B$5:$B$180*(((Inputs!$G$5:$G$180="moeda")+(Inputs!$G$5:$G$180="acoes"))*Inputs!$B$1+((Inputs!$G$5:$G$180&lt;&gt;"moeda")*(Inputs!$G$5:$G$180&lt;&gt;"acoes")))*INDEX(Inputs!$K$5:$AJ$180,0,MATCH(G$2,Inputs!$K$4:$AJ$4,0)))+SUMPRODUCT((Inputs!$C$5:$C$180=$B53)*Inputs!$D$5:$D$180*(((Inputs!$G$5:$G$180="moeda")+(Inputs!$G$5:$G$180="acoes"))*Inputs!$B$1+((Inputs!$G$5:$G$180&lt;&gt;"moeda")*(Inputs!$G$5:$G$180&lt;&gt;"acoes")))*INDEX(Inputs!$K$5:$AJ$180,0,MATCH(G$2,Inputs!$K$4:$AJ$4,0)))+SUMPRODUCT((Inputs!$E$5:$E$180=$B53)*Inputs!$F$5:$F$180*(((Inputs!$G$5:$G$180="moeda")+(Inputs!$G$5:$G$180="acoes"))*Inputs!$B$1+((Inputs!$G$5:$G$180&lt;&gt;"moeda")*(Inputs!$G$5:$G$180&lt;&gt;"acoes")))*INDEX(Inputs!$K$5:$AJ$180,0,MATCH(G$2,Inputs!$K$4:$AJ$4,0)))))</f>
        <v>420.1253551948</v>
      </c>
      <c r="H53" s="3">
        <f>SUM(D53:G53)</f>
        <v>1634.20421612993</v>
      </c>
      <c r="I53" s="6">
        <f>IF(ISNA(MATCH(I$2,Inputs!$K$4:$AJ$4,0)),NA(),IF(SUMPRODUCT((Inputs!$A$5:$A$180=$B53)*ISNUMBER(INDEX(Inputs!$K$5:$AJ$180,0,MATCH(I$2,Inputs!$K$4:$AJ$4,0))))+SUMPRODUCT((Inputs!$C$5:$C$180=$B53)*ISNUMBER(INDEX(Inputs!$K$5:$AJ$180,0,MATCH(I$2,Inputs!$K$4:$AJ$4,0))))+SUMPRODUCT((Inputs!$E$5:$E$180=$B53)*ISNUMBER(INDEX(Inputs!$K$5:$AJ$180,0,MATCH(I$2,Inputs!$K$4:$AJ$4,0))))=0,NA(),SUMPRODUCT((Inputs!$A$5:$A$180=$B53)*Inputs!$B$5:$B$180*(((Inputs!$G$5:$G$180="moeda")+(Inputs!$G$5:$G$180="acoes"))*Inputs!$B$1+((Inputs!$G$5:$G$180&lt;&gt;"moeda")*(Inputs!$G$5:$G$180&lt;&gt;"acoes")))*INDEX(Inputs!$K$5:$AJ$180,0,MATCH(I$2,Inputs!$K$4:$AJ$4,0)))+SUMPRODUCT((Inputs!$C$5:$C$180=$B53)*Inputs!$D$5:$D$180*(((Inputs!$G$5:$G$180="moeda")+(Inputs!$G$5:$G$180="acoes"))*Inputs!$B$1+((Inputs!$G$5:$G$180&lt;&gt;"moeda")*(Inputs!$G$5:$G$180&lt;&gt;"acoes")))*INDEX(Inputs!$K$5:$AJ$180,0,MATCH(I$2,Inputs!$K$4:$AJ$4,0)))+SUMPRODUCT((Inputs!$E$5:$E$180=$B53)*Inputs!$F$5:$F$180*(((Inputs!$G$5:$G$180="moeda")+(Inputs!$G$5:$G$180="acoes"))*Inputs!$B$1+((Inputs!$G$5:$G$180&lt;&gt;"moeda")*(Inputs!$G$5:$G$180&lt;&gt;"acoes")))*INDEX(Inputs!$K$5:$AJ$180,0,MATCH(I$2,Inputs!$K$4:$AJ$4,0)))))</f>
        <v>460.88136144</v>
      </c>
      <c r="J53" s="6">
        <f>IF(ISNA(MATCH(J$2,Inputs!$K$4:$AJ$4,0)),NA(),IF(SUMPRODUCT((Inputs!$A$5:$A$180=$B53)*ISNUMBER(INDEX(Inputs!$K$5:$AJ$180,0,MATCH(J$2,Inputs!$K$4:$AJ$4,0))))+SUMPRODUCT((Inputs!$C$5:$C$180=$B53)*ISNUMBER(INDEX(Inputs!$K$5:$AJ$180,0,MATCH(J$2,Inputs!$K$4:$AJ$4,0))))+SUMPRODUCT((Inputs!$E$5:$E$180=$B53)*ISNUMBER(INDEX(Inputs!$K$5:$AJ$180,0,MATCH(J$2,Inputs!$K$4:$AJ$4,0))))=0,NA(),SUMPRODUCT((Inputs!$A$5:$A$180=$B53)*Inputs!$B$5:$B$180*(((Inputs!$G$5:$G$180="moeda")+(Inputs!$G$5:$G$180="acoes"))*Inputs!$B$1+((Inputs!$G$5:$G$180&lt;&gt;"moeda")*(Inputs!$G$5:$G$180&lt;&gt;"acoes")))*INDEX(Inputs!$K$5:$AJ$180,0,MATCH(J$2,Inputs!$K$4:$AJ$4,0)))+SUMPRODUCT((Inputs!$C$5:$C$180=$B53)*Inputs!$D$5:$D$180*(((Inputs!$G$5:$G$180="moeda")+(Inputs!$G$5:$G$180="acoes"))*Inputs!$B$1+((Inputs!$G$5:$G$180&lt;&gt;"moeda")*(Inputs!$G$5:$G$180&lt;&gt;"acoes")))*INDEX(Inputs!$K$5:$AJ$180,0,MATCH(J$2,Inputs!$K$4:$AJ$4,0)))+SUMPRODUCT((Inputs!$E$5:$E$180=$B53)*Inputs!$F$5:$F$180*(((Inputs!$G$5:$G$180="moeda")+(Inputs!$G$5:$G$180="acoes"))*Inputs!$B$1+((Inputs!$G$5:$G$180&lt;&gt;"moeda")*(Inputs!$G$5:$G$180&lt;&gt;"acoes")))*INDEX(Inputs!$K$5:$AJ$180,0,MATCH(J$2,Inputs!$K$4:$AJ$4,0)))))</f>
        <v>447.893503927077</v>
      </c>
      <c r="K53" s="6">
        <f>IF(ISNA(MATCH(K$2,Inputs!$K$4:$AJ$4,0)),NA(),IF(SUMPRODUCT((Inputs!$A$5:$A$180=$B53)*ISNUMBER(INDEX(Inputs!$K$5:$AJ$180,0,MATCH(K$2,Inputs!$K$4:$AJ$4,0))))+SUMPRODUCT((Inputs!$C$5:$C$180=$B53)*ISNUMBER(INDEX(Inputs!$K$5:$AJ$180,0,MATCH(K$2,Inputs!$K$4:$AJ$4,0))))+SUMPRODUCT((Inputs!$E$5:$E$180=$B53)*ISNUMBER(INDEX(Inputs!$K$5:$AJ$180,0,MATCH(K$2,Inputs!$K$4:$AJ$4,0))))=0,NA(),SUMPRODUCT((Inputs!$A$5:$A$180=$B53)*Inputs!$B$5:$B$180*(((Inputs!$G$5:$G$180="moeda")+(Inputs!$G$5:$G$180="acoes"))*Inputs!$B$1+((Inputs!$G$5:$G$180&lt;&gt;"moeda")*(Inputs!$G$5:$G$180&lt;&gt;"acoes")))*INDEX(Inputs!$K$5:$AJ$180,0,MATCH(K$2,Inputs!$K$4:$AJ$4,0)))+SUMPRODUCT((Inputs!$C$5:$C$180=$B53)*Inputs!$D$5:$D$180*(((Inputs!$G$5:$G$180="moeda")+(Inputs!$G$5:$G$180="acoes"))*Inputs!$B$1+((Inputs!$G$5:$G$180&lt;&gt;"moeda")*(Inputs!$G$5:$G$180&lt;&gt;"acoes")))*INDEX(Inputs!$K$5:$AJ$180,0,MATCH(K$2,Inputs!$K$4:$AJ$4,0)))+SUMPRODUCT((Inputs!$E$5:$E$180=$B53)*Inputs!$F$5:$F$180*(((Inputs!$G$5:$G$180="moeda")+(Inputs!$G$5:$G$180="acoes"))*Inputs!$B$1+((Inputs!$G$5:$G$180&lt;&gt;"moeda")*(Inputs!$G$5:$G$180&lt;&gt;"acoes")))*INDEX(Inputs!$K$5:$AJ$180,0,MATCH(K$2,Inputs!$K$4:$AJ$4,0)))))</f>
        <v>467.536305</v>
      </c>
      <c r="L53" s="6">
        <f>IF(ISNA(MATCH(L$2,Inputs!$K$4:$AJ$4,0)),NA(),IF(SUMPRODUCT((Inputs!$A$5:$A$180=$B53)*ISNUMBER(INDEX(Inputs!$K$5:$AJ$180,0,MATCH(L$2,Inputs!$K$4:$AJ$4,0))))+SUMPRODUCT((Inputs!$C$5:$C$180=$B53)*ISNUMBER(INDEX(Inputs!$K$5:$AJ$180,0,MATCH(L$2,Inputs!$K$4:$AJ$4,0))))+SUMPRODUCT((Inputs!$E$5:$E$180=$B53)*ISNUMBER(INDEX(Inputs!$K$5:$AJ$180,0,MATCH(L$2,Inputs!$K$4:$AJ$4,0))))=0,NA(),SUMPRODUCT((Inputs!$A$5:$A$180=$B53)*Inputs!$B$5:$B$180*(((Inputs!$G$5:$G$180="moeda")+(Inputs!$G$5:$G$180="acoes"))*Inputs!$B$1+((Inputs!$G$5:$G$180&lt;&gt;"moeda")*(Inputs!$G$5:$G$180&lt;&gt;"acoes")))*INDEX(Inputs!$K$5:$AJ$180,0,MATCH(L$2,Inputs!$K$4:$AJ$4,0)))+SUMPRODUCT((Inputs!$C$5:$C$180=$B53)*Inputs!$D$5:$D$180*(((Inputs!$G$5:$G$180="moeda")+(Inputs!$G$5:$G$180="acoes"))*Inputs!$B$1+((Inputs!$G$5:$G$180&lt;&gt;"moeda")*(Inputs!$G$5:$G$180&lt;&gt;"acoes")))*INDEX(Inputs!$K$5:$AJ$180,0,MATCH(L$2,Inputs!$K$4:$AJ$4,0)))+SUMPRODUCT((Inputs!$E$5:$E$180=$B53)*Inputs!$F$5:$F$180*(((Inputs!$G$5:$G$180="moeda")+(Inputs!$G$5:$G$180="acoes"))*Inputs!$B$1+((Inputs!$G$5:$G$180&lt;&gt;"moeda")*(Inputs!$G$5:$G$180&lt;&gt;"acoes")))*INDEX(Inputs!$K$5:$AJ$180,0,MATCH(L$2,Inputs!$K$4:$AJ$4,0)))))</f>
        <v>441.22525712</v>
      </c>
      <c r="M53" s="3">
        <f>SUM(I53:L53)</f>
        <v>1817.53642748708</v>
      </c>
      <c r="N53" s="6">
        <f>IF(ISNA(MATCH(N$2,Inputs!$K$4:$AJ$4,0)),NA(),IF(SUMPRODUCT((Inputs!$A$5:$A$180=$B53)*ISNUMBER(INDEX(Inputs!$K$5:$AJ$180,0,MATCH(N$2,Inputs!$K$4:$AJ$4,0))))+SUMPRODUCT((Inputs!$C$5:$C$180=$B53)*ISNUMBER(INDEX(Inputs!$K$5:$AJ$180,0,MATCH(N$2,Inputs!$K$4:$AJ$4,0))))+SUMPRODUCT((Inputs!$E$5:$E$180=$B53)*ISNUMBER(INDEX(Inputs!$K$5:$AJ$180,0,MATCH(N$2,Inputs!$K$4:$AJ$4,0))))=0,NA(),SUMPRODUCT((Inputs!$A$5:$A$180=$B53)*Inputs!$B$5:$B$180*(((Inputs!$G$5:$G$180="moeda")+(Inputs!$G$5:$G$180="acoes"))*Inputs!$B$1+((Inputs!$G$5:$G$180&lt;&gt;"moeda")*(Inputs!$G$5:$G$180&lt;&gt;"acoes")))*INDEX(Inputs!$K$5:$AJ$180,0,MATCH(N$2,Inputs!$K$4:$AJ$4,0)))+SUMPRODUCT((Inputs!$C$5:$C$180=$B53)*Inputs!$D$5:$D$180*(((Inputs!$G$5:$G$180="moeda")+(Inputs!$G$5:$G$180="acoes"))*Inputs!$B$1+((Inputs!$G$5:$G$180&lt;&gt;"moeda")*(Inputs!$G$5:$G$180&lt;&gt;"acoes")))*INDEX(Inputs!$K$5:$AJ$180,0,MATCH(N$2,Inputs!$K$4:$AJ$4,0)))+SUMPRODUCT((Inputs!$E$5:$E$180=$B53)*Inputs!$F$5:$F$180*(((Inputs!$G$5:$G$180="moeda")+(Inputs!$G$5:$G$180="acoes"))*Inputs!$B$1+((Inputs!$G$5:$G$180&lt;&gt;"moeda")*(Inputs!$G$5:$G$180&lt;&gt;"acoes")))*INDEX(Inputs!$K$5:$AJ$180,0,MATCH(N$2,Inputs!$K$4:$AJ$4,0)))))</f>
        <v>513.382763</v>
      </c>
      <c r="O53" s="6" t="e">
        <f>IF(ISNA(MATCH(O$2,Inputs!$K$4:$AJ$4,0)),NA(),IF(SUMPRODUCT((Inputs!$A$5:$A$180=$B53)*ISNUMBER(INDEX(Inputs!$K$5:$AJ$180,0,MATCH(O$2,Inputs!$K$4:$AJ$4,0))))+SUMPRODUCT((Inputs!$C$5:$C$180=$B53)*ISNUMBER(INDEX(Inputs!$K$5:$AJ$180,0,MATCH(O$2,Inputs!$K$4:$AJ$4,0))))+SUMPRODUCT((Inputs!$E$5:$E$180=$B53)*ISNUMBER(INDEX(Inputs!$K$5:$AJ$180,0,MATCH(O$2,Inputs!$K$4:$AJ$4,0))))=0,NA(),SUMPRODUCT((Inputs!$A$5:$A$180=$B53)*Inputs!$B$5:$B$180*(((Inputs!$G$5:$G$180="moeda")+(Inputs!$G$5:$G$180="acoes"))*Inputs!$B$1+((Inputs!$G$5:$G$180&lt;&gt;"moeda")*(Inputs!$G$5:$G$180&lt;&gt;"acoes")))*INDEX(Inputs!$K$5:$AJ$180,0,MATCH(O$2,Inputs!$K$4:$AJ$4,0)))+SUMPRODUCT((Inputs!$C$5:$C$180=$B53)*Inputs!$D$5:$D$180*(((Inputs!$G$5:$G$180="moeda")+(Inputs!$G$5:$G$180="acoes"))*Inputs!$B$1+((Inputs!$G$5:$G$180&lt;&gt;"moeda")*(Inputs!$G$5:$G$180&lt;&gt;"acoes")))*INDEX(Inputs!$K$5:$AJ$180,0,MATCH(O$2,Inputs!$K$4:$AJ$4,0)))+SUMPRODUCT((Inputs!$E$5:$E$180=$B53)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3" s="6">
        <f>IF(ISNA(MATCH(P$2,Inputs!$K$4:$AJ$4,0)),NA(),IF(SUMPRODUCT((Inputs!$A$5:$A$180=$B53)*ISNUMBER(INDEX(Inputs!$K$5:$AJ$180,0,MATCH(P$2,Inputs!$K$4:$AJ$4,0))))+SUMPRODUCT((Inputs!$C$5:$C$180=$B53)*ISNUMBER(INDEX(Inputs!$K$5:$AJ$180,0,MATCH(P$2,Inputs!$K$4:$AJ$4,0))))+SUMPRODUCT((Inputs!$E$5:$E$180=$B53)*ISNUMBER(INDEX(Inputs!$K$5:$AJ$180,0,MATCH(P$2,Inputs!$K$4:$AJ$4,0))))=0,NA(),SUMPRODUCT((Inputs!$A$5:$A$180=$B53)*Inputs!$B$5:$B$180*(((Inputs!$G$5:$G$180="moeda")+(Inputs!$G$5:$G$180="acoes"))*Inputs!$B$1+((Inputs!$G$5:$G$180&lt;&gt;"moeda")*(Inputs!$G$5:$G$180&lt;&gt;"acoes")))*INDEX(Inputs!$K$5:$AJ$180,0,MATCH(P$2,Inputs!$K$4:$AJ$4,0)))+SUMPRODUCT((Inputs!$C$5:$C$180=$B53)*Inputs!$D$5:$D$180*(((Inputs!$G$5:$G$180="moeda")+(Inputs!$G$5:$G$180="acoes"))*Inputs!$B$1+((Inputs!$G$5:$G$180&lt;&gt;"moeda")*(Inputs!$G$5:$G$180&lt;&gt;"acoes")))*INDEX(Inputs!$K$5:$AJ$180,0,MATCH(P$2,Inputs!$K$4:$AJ$4,0)))+SUMPRODUCT((Inputs!$E$5:$E$180=$B53)*Inputs!$F$5:$F$180*(((Inputs!$G$5:$G$180="moeda")+(Inputs!$G$5:$G$180="acoes"))*Inputs!$B$1+((Inputs!$G$5:$G$180&lt;&gt;"moeda")*(Inputs!$G$5:$G$180&lt;&gt;"acoes")))*INDEX(Inputs!$K$5:$AJ$180,0,MATCH(P$2,Inputs!$K$4:$AJ$4,0)))))</f>
        <v>516.36538311</v>
      </c>
      <c r="Q53" s="6">
        <f>IF(ISNA(MATCH(Q$2,Inputs!$K$4:$AJ$4,0)),NA(),IF(SUMPRODUCT((Inputs!$A$5:$A$180=$B53)*ISNUMBER(INDEX(Inputs!$K$5:$AJ$180,0,MATCH(Q$2,Inputs!$K$4:$AJ$4,0))))+SUMPRODUCT((Inputs!$C$5:$C$180=$B53)*ISNUMBER(INDEX(Inputs!$K$5:$AJ$180,0,MATCH(Q$2,Inputs!$K$4:$AJ$4,0))))+SUMPRODUCT((Inputs!$E$5:$E$180=$B53)*ISNUMBER(INDEX(Inputs!$K$5:$AJ$180,0,MATCH(Q$2,Inputs!$K$4:$AJ$4,0))))=0,NA(),SUMPRODUCT((Inputs!$A$5:$A$180=$B53)*Inputs!$B$5:$B$180*(((Inputs!$G$5:$G$180="moeda")+(Inputs!$G$5:$G$180="acoes"))*Inputs!$B$1+((Inputs!$G$5:$G$180&lt;&gt;"moeda")*(Inputs!$G$5:$G$180&lt;&gt;"acoes")))*INDEX(Inputs!$K$5:$AJ$180,0,MATCH(Q$2,Inputs!$K$4:$AJ$4,0)))+SUMPRODUCT((Inputs!$C$5:$C$180=$B53)*Inputs!$D$5:$D$180*(((Inputs!$G$5:$G$180="moeda")+(Inputs!$G$5:$G$180="acoes"))*Inputs!$B$1+((Inputs!$G$5:$G$180&lt;&gt;"moeda")*(Inputs!$G$5:$G$180&lt;&gt;"acoes")))*INDEX(Inputs!$K$5:$AJ$180,0,MATCH(Q$2,Inputs!$K$4:$AJ$4,0)))+SUMPRODUCT((Inputs!$E$5:$E$180=$B53)*Inputs!$F$5:$F$180*(((Inputs!$G$5:$G$180="moeda")+(Inputs!$G$5:$G$180="acoes"))*Inputs!$B$1+((Inputs!$G$5:$G$180&lt;&gt;"moeda")*(Inputs!$G$5:$G$180&lt;&gt;"acoes")))*INDEX(Inputs!$K$5:$AJ$180,0,MATCH(Q$2,Inputs!$K$4:$AJ$4,0)))))</f>
        <v>461.316368</v>
      </c>
      <c r="R53" s="3" t="e">
        <f>SUM(N53:Q53)</f>
        <v>#N/A</v>
      </c>
      <c r="S53" s="6">
        <f>IF(ISNA(MATCH(S$2,Inputs!$K$4:$AJ$4,0)),NA(),IF(SUMPRODUCT((Inputs!$A$5:$A$180=$B53)*ISNUMBER(INDEX(Inputs!$K$5:$AJ$180,0,MATCH(S$2,Inputs!$K$4:$AJ$4,0))))+SUMPRODUCT((Inputs!$C$5:$C$180=$B53)*ISNUMBER(INDEX(Inputs!$K$5:$AJ$180,0,MATCH(S$2,Inputs!$K$4:$AJ$4,0))))+SUMPRODUCT((Inputs!$E$5:$E$180=$B53)*ISNUMBER(INDEX(Inputs!$K$5:$AJ$180,0,MATCH(S$2,Inputs!$K$4:$AJ$4,0))))=0,NA(),SUMPRODUCT((Inputs!$A$5:$A$180=$B53)*Inputs!$B$5:$B$180*(((Inputs!$G$5:$G$180="moeda")+(Inputs!$G$5:$G$180="acoes"))*Inputs!$B$1+((Inputs!$G$5:$G$180&lt;&gt;"moeda")*(Inputs!$G$5:$G$180&lt;&gt;"acoes")))*INDEX(Inputs!$K$5:$AJ$180,0,MATCH(S$2,Inputs!$K$4:$AJ$4,0)))+SUMPRODUCT((Inputs!$C$5:$C$180=$B53)*Inputs!$D$5:$D$180*(((Inputs!$G$5:$G$180="moeda")+(Inputs!$G$5:$G$180="acoes"))*Inputs!$B$1+((Inputs!$G$5:$G$180&lt;&gt;"moeda")*(Inputs!$G$5:$G$180&lt;&gt;"acoes")))*INDEX(Inputs!$K$5:$AJ$180,0,MATCH(S$2,Inputs!$K$4:$AJ$4,0)))+SUMPRODUCT((Inputs!$E$5:$E$180=$B53)*Inputs!$F$5:$F$180*(((Inputs!$G$5:$G$180="moeda")+(Inputs!$G$5:$G$180="acoes"))*Inputs!$B$1+((Inputs!$G$5:$G$180&lt;&gt;"moeda")*(Inputs!$G$5:$G$180&lt;&gt;"acoes")))*INDEX(Inputs!$K$5:$AJ$180,0,MATCH(S$2,Inputs!$K$4:$AJ$4,0)))))</f>
        <v>524.27157081</v>
      </c>
      <c r="T53" s="6">
        <f>IF(ISNA(MATCH(T$2,Inputs!$K$4:$AJ$4,0)),NA(),IF(SUMPRODUCT((Inputs!$A$5:$A$180=$B53)*ISNUMBER(INDEX(Inputs!$K$5:$AJ$180,0,MATCH(T$2,Inputs!$K$4:$AJ$4,0))))+SUMPRODUCT((Inputs!$C$5:$C$180=$B53)*ISNUMBER(INDEX(Inputs!$K$5:$AJ$180,0,MATCH(T$2,Inputs!$K$4:$AJ$4,0))))+SUMPRODUCT((Inputs!$E$5:$E$180=$B53)*ISNUMBER(INDEX(Inputs!$K$5:$AJ$180,0,MATCH(T$2,Inputs!$K$4:$AJ$4,0))))=0,NA(),SUMPRODUCT((Inputs!$A$5:$A$180=$B53)*Inputs!$B$5:$B$180*(((Inputs!$G$5:$G$180="moeda")+(Inputs!$G$5:$G$180="acoes"))*Inputs!$B$1+((Inputs!$G$5:$G$180&lt;&gt;"moeda")*(Inputs!$G$5:$G$180&lt;&gt;"acoes")))*INDEX(Inputs!$K$5:$AJ$180,0,MATCH(T$2,Inputs!$K$4:$AJ$4,0)))+SUMPRODUCT((Inputs!$C$5:$C$180=$B53)*Inputs!$D$5:$D$180*(((Inputs!$G$5:$G$180="moeda")+(Inputs!$G$5:$G$180="acoes"))*Inputs!$B$1+((Inputs!$G$5:$G$180&lt;&gt;"moeda")*(Inputs!$G$5:$G$180&lt;&gt;"acoes")))*INDEX(Inputs!$K$5:$AJ$180,0,MATCH(T$2,Inputs!$K$4:$AJ$4,0)))+SUMPRODUCT((Inputs!$E$5:$E$180=$B53)*Inputs!$F$5:$F$180*(((Inputs!$G$5:$G$180="moeda")+(Inputs!$G$5:$G$180="acoes"))*Inputs!$B$1+((Inputs!$G$5:$G$180&lt;&gt;"moeda")*(Inputs!$G$5:$G$180&lt;&gt;"acoes")))*INDEX(Inputs!$K$5:$AJ$180,0,MATCH(T$2,Inputs!$K$4:$AJ$4,0)))))</f>
        <v>537.839508303141</v>
      </c>
      <c r="U53" s="6">
        <f>IF(ISNA(MATCH(U$2,Inputs!$K$4:$AJ$4,0)),NA(),IF(SUMPRODUCT((Inputs!$A$5:$A$180=$B53)*ISNUMBER(INDEX(Inputs!$K$5:$AJ$180,0,MATCH(U$2,Inputs!$K$4:$AJ$4,0))))+SUMPRODUCT((Inputs!$C$5:$C$180=$B53)*ISNUMBER(INDEX(Inputs!$K$5:$AJ$180,0,MATCH(U$2,Inputs!$K$4:$AJ$4,0))))+SUMPRODUCT((Inputs!$E$5:$E$180=$B53)*ISNUMBER(INDEX(Inputs!$K$5:$AJ$180,0,MATCH(U$2,Inputs!$K$4:$AJ$4,0))))=0,NA(),SUMPRODUCT((Inputs!$A$5:$A$180=$B53)*Inputs!$B$5:$B$180*(((Inputs!$G$5:$G$180="moeda")+(Inputs!$G$5:$G$180="acoes"))*Inputs!$B$1+((Inputs!$G$5:$G$180&lt;&gt;"moeda")*(Inputs!$G$5:$G$180&lt;&gt;"acoes")))*INDEX(Inputs!$K$5:$AJ$180,0,MATCH(U$2,Inputs!$K$4:$AJ$4,0)))+SUMPRODUCT((Inputs!$C$5:$C$180=$B53)*Inputs!$D$5:$D$180*(((Inputs!$G$5:$G$180="moeda")+(Inputs!$G$5:$G$180="acoes"))*Inputs!$B$1+((Inputs!$G$5:$G$180&lt;&gt;"moeda")*(Inputs!$G$5:$G$180&lt;&gt;"acoes")))*INDEX(Inputs!$K$5:$AJ$180,0,MATCH(U$2,Inputs!$K$4:$AJ$4,0)))+SUMPRODUCT((Inputs!$E$5:$E$180=$B53)*Inputs!$F$5:$F$180*(((Inputs!$G$5:$G$180="moeda")+(Inputs!$G$5:$G$180="acoes"))*Inputs!$B$1+((Inputs!$G$5:$G$180&lt;&gt;"moeda")*(Inputs!$G$5:$G$180&lt;&gt;"acoes")))*INDEX(Inputs!$K$5:$AJ$180,0,MATCH(U$2,Inputs!$K$4:$AJ$4,0)))))</f>
        <v>522.393136</v>
      </c>
      <c r="V53" s="6">
        <f>IF(ISNA(MATCH(V$2,Inputs!$K$4:$AJ$4,0)),NA(),IF(SUMPRODUCT((Inputs!$A$5:$A$180=$B53)*ISNUMBER(INDEX(Inputs!$K$5:$AJ$180,0,MATCH(V$2,Inputs!$K$4:$AJ$4,0))))+SUMPRODUCT((Inputs!$C$5:$C$180=$B53)*ISNUMBER(INDEX(Inputs!$K$5:$AJ$180,0,MATCH(V$2,Inputs!$K$4:$AJ$4,0))))+SUMPRODUCT((Inputs!$E$5:$E$180=$B53)*ISNUMBER(INDEX(Inputs!$K$5:$AJ$180,0,MATCH(V$2,Inputs!$K$4:$AJ$4,0))))=0,NA(),SUMPRODUCT((Inputs!$A$5:$A$180=$B53)*Inputs!$B$5:$B$180*(((Inputs!$G$5:$G$180="moeda")+(Inputs!$G$5:$G$180="acoes"))*Inputs!$B$1+((Inputs!$G$5:$G$180&lt;&gt;"moeda")*(Inputs!$G$5:$G$180&lt;&gt;"acoes")))*INDEX(Inputs!$K$5:$AJ$180,0,MATCH(V$2,Inputs!$K$4:$AJ$4,0)))+SUMPRODUCT((Inputs!$C$5:$C$180=$B53)*Inputs!$D$5:$D$180*(((Inputs!$G$5:$G$180="moeda")+(Inputs!$G$5:$G$180="acoes"))*Inputs!$B$1+((Inputs!$G$5:$G$180&lt;&gt;"moeda")*(Inputs!$G$5:$G$180&lt;&gt;"acoes")))*INDEX(Inputs!$K$5:$AJ$180,0,MATCH(V$2,Inputs!$K$4:$AJ$4,0)))+SUMPRODUCT((Inputs!$E$5:$E$180=$B53)*Inputs!$F$5:$F$180*(((Inputs!$G$5:$G$180="moeda")+(Inputs!$G$5:$G$180="acoes"))*Inputs!$B$1+((Inputs!$G$5:$G$180&lt;&gt;"moeda")*(Inputs!$G$5:$G$180&lt;&gt;"acoes")))*INDEX(Inputs!$K$5:$AJ$180,0,MATCH(V$2,Inputs!$K$4:$AJ$4,0)))))</f>
        <v>505.17684355</v>
      </c>
      <c r="W53" s="3">
        <f>SUM(S53:V53)</f>
        <v>2089.68105866314</v>
      </c>
      <c r="X53" s="6">
        <f>IF(ISNA(MATCH(X$2,Inputs!$K$4:$AJ$4,0)),NA(),IF(SUMPRODUCT((Inputs!$A$5:$A$180=$B53)*ISNUMBER(INDEX(Inputs!$K$5:$AJ$180,0,MATCH(X$2,Inputs!$K$4:$AJ$4,0))))+SUMPRODUCT((Inputs!$C$5:$C$180=$B53)*ISNUMBER(INDEX(Inputs!$K$5:$AJ$180,0,MATCH(X$2,Inputs!$K$4:$AJ$4,0))))+SUMPRODUCT((Inputs!$E$5:$E$180=$B53)*ISNUMBER(INDEX(Inputs!$K$5:$AJ$180,0,MATCH(X$2,Inputs!$K$4:$AJ$4,0))))=0,NA(),SUMPRODUCT((Inputs!$A$5:$A$180=$B53)*Inputs!$B$5:$B$180*(((Inputs!$G$5:$G$180="moeda")+(Inputs!$G$5:$G$180="acoes"))*Inputs!$B$1+((Inputs!$G$5:$G$180&lt;&gt;"moeda")*(Inputs!$G$5:$G$180&lt;&gt;"acoes")))*INDEX(Inputs!$K$5:$AJ$180,0,MATCH(X$2,Inputs!$K$4:$AJ$4,0)))+SUMPRODUCT((Inputs!$C$5:$C$180=$B53)*Inputs!$D$5:$D$180*(((Inputs!$G$5:$G$180="moeda")+(Inputs!$G$5:$G$180="acoes"))*Inputs!$B$1+((Inputs!$G$5:$G$180&lt;&gt;"moeda")*(Inputs!$G$5:$G$180&lt;&gt;"acoes")))*INDEX(Inputs!$K$5:$AJ$180,0,MATCH(X$2,Inputs!$K$4:$AJ$4,0)))+SUMPRODUCT((Inputs!$E$5:$E$180=$B53)*Inputs!$F$5:$F$180*(((Inputs!$G$5:$G$180="moeda")+(Inputs!$G$5:$G$180="acoes"))*Inputs!$B$1+((Inputs!$G$5:$G$180&lt;&gt;"moeda")*(Inputs!$G$5:$G$180&lt;&gt;"acoes")))*INDEX(Inputs!$K$5:$AJ$180,0,MATCH(X$2,Inputs!$K$4:$AJ$4,0)))))</f>
        <v>554.13673</v>
      </c>
      <c r="Y53" s="6">
        <f>IF(ISNA(MATCH(Y$2,Inputs!$K$4:$AJ$4,0)),NA(),IF(SUMPRODUCT((Inputs!$A$5:$A$180=$B53)*ISNUMBER(INDEX(Inputs!$K$5:$AJ$180,0,MATCH(Y$2,Inputs!$K$4:$AJ$4,0))))+SUMPRODUCT((Inputs!$C$5:$C$180=$B53)*ISNUMBER(INDEX(Inputs!$K$5:$AJ$180,0,MATCH(Y$2,Inputs!$K$4:$AJ$4,0))))+SUMPRODUCT((Inputs!$E$5:$E$180=$B53)*ISNUMBER(INDEX(Inputs!$K$5:$AJ$180,0,MATCH(Y$2,Inputs!$K$4:$AJ$4,0))))=0,NA(),SUMPRODUCT((Inputs!$A$5:$A$180=$B53)*Inputs!$B$5:$B$180*(((Inputs!$G$5:$G$180="moeda")+(Inputs!$G$5:$G$180="acoes"))*Inputs!$B$1+((Inputs!$G$5:$G$180&lt;&gt;"moeda")*(Inputs!$G$5:$G$180&lt;&gt;"acoes")))*INDEX(Inputs!$K$5:$AJ$180,0,MATCH(Y$2,Inputs!$K$4:$AJ$4,0)))+SUMPRODUCT((Inputs!$C$5:$C$180=$B53)*Inputs!$D$5:$D$180*(((Inputs!$G$5:$G$180="moeda")+(Inputs!$G$5:$G$180="acoes"))*Inputs!$B$1+((Inputs!$G$5:$G$180&lt;&gt;"moeda")*(Inputs!$G$5:$G$180&lt;&gt;"acoes")))*INDEX(Inputs!$K$5:$AJ$180,0,MATCH(Y$2,Inputs!$K$4:$AJ$4,0)))+SUMPRODUCT((Inputs!$E$5:$E$180=$B53)*Inputs!$F$5:$F$180*(((Inputs!$G$5:$G$180="moeda")+(Inputs!$G$5:$G$180="acoes"))*Inputs!$B$1+((Inputs!$G$5:$G$180&lt;&gt;"moeda")*(Inputs!$G$5:$G$180&lt;&gt;"acoes")))*INDEX(Inputs!$K$5:$AJ$180,0,MATCH(Y$2,Inputs!$K$4:$AJ$4,0)))))</f>
        <v>560.847492</v>
      </c>
      <c r="Z53" s="6">
        <f>IF(ISNA(MATCH(Z$2,Inputs!$K$4:$AJ$4,0)),NA(),IF(SUMPRODUCT((Inputs!$A$5:$A$180=$B53)*ISNUMBER(INDEX(Inputs!$K$5:$AJ$180,0,MATCH(Z$2,Inputs!$K$4:$AJ$4,0))))+SUMPRODUCT((Inputs!$C$5:$C$180=$B53)*ISNUMBER(INDEX(Inputs!$K$5:$AJ$180,0,MATCH(Z$2,Inputs!$K$4:$AJ$4,0))))+SUMPRODUCT((Inputs!$E$5:$E$180=$B53)*ISNUMBER(INDEX(Inputs!$K$5:$AJ$180,0,MATCH(Z$2,Inputs!$K$4:$AJ$4,0))))=0,NA(),SUMPRODUCT((Inputs!$A$5:$A$180=$B53)*Inputs!$B$5:$B$180*(((Inputs!$G$5:$G$180="moeda")+(Inputs!$G$5:$G$180="acoes"))*Inputs!$B$1+((Inputs!$G$5:$G$180&lt;&gt;"moeda")*(Inputs!$G$5:$G$180&lt;&gt;"acoes")))*INDEX(Inputs!$K$5:$AJ$180,0,MATCH(Z$2,Inputs!$K$4:$AJ$4,0)))+SUMPRODUCT((Inputs!$C$5:$C$180=$B53)*Inputs!$D$5:$D$180*(((Inputs!$G$5:$G$180="moeda")+(Inputs!$G$5:$G$180="acoes"))*Inputs!$B$1+((Inputs!$G$5:$G$180&lt;&gt;"moeda")*(Inputs!$G$5:$G$180&lt;&gt;"acoes")))*INDEX(Inputs!$K$5:$AJ$180,0,MATCH(Z$2,Inputs!$K$4:$AJ$4,0)))+SUMPRODUCT((Inputs!$E$5:$E$180=$B53)*Inputs!$F$5:$F$180*(((Inputs!$G$5:$G$180="moeda")+(Inputs!$G$5:$G$180="acoes"))*Inputs!$B$1+((Inputs!$G$5:$G$180&lt;&gt;"moeda")*(Inputs!$G$5:$G$180&lt;&gt;"acoes")))*INDEX(Inputs!$K$5:$AJ$180,0,MATCH(Z$2,Inputs!$K$4:$AJ$4,0)))))</f>
        <v>586.022739445018</v>
      </c>
      <c r="AA53" s="6">
        <f>IF(ISNA(MATCH(AA$2,Inputs!$K$4:$AJ$4,0)),NA(),IF(SUMPRODUCT((Inputs!$A$5:$A$180=$B53)*ISNUMBER(INDEX(Inputs!$K$5:$AJ$180,0,MATCH(AA$2,Inputs!$K$4:$AJ$4,0))))+SUMPRODUCT((Inputs!$C$5:$C$180=$B53)*ISNUMBER(INDEX(Inputs!$K$5:$AJ$180,0,MATCH(AA$2,Inputs!$K$4:$AJ$4,0))))+SUMPRODUCT((Inputs!$E$5:$E$180=$B53)*ISNUMBER(INDEX(Inputs!$K$5:$AJ$180,0,MATCH(AA$2,Inputs!$K$4:$AJ$4,0))))=0,NA(),SUMPRODUCT((Inputs!$A$5:$A$180=$B53)*Inputs!$B$5:$B$180*(((Inputs!$G$5:$G$180="moeda")+(Inputs!$G$5:$G$180="acoes"))*Inputs!$B$1+((Inputs!$G$5:$G$180&lt;&gt;"moeda")*(Inputs!$G$5:$G$180&lt;&gt;"acoes")))*INDEX(Inputs!$K$5:$AJ$180,0,MATCH(AA$2,Inputs!$K$4:$AJ$4,0)))+SUMPRODUCT((Inputs!$C$5:$C$180=$B53)*Inputs!$D$5:$D$180*(((Inputs!$G$5:$G$180="moeda")+(Inputs!$G$5:$G$180="acoes"))*Inputs!$B$1+((Inputs!$G$5:$G$180&lt;&gt;"moeda")*(Inputs!$G$5:$G$180&lt;&gt;"acoes")))*INDEX(Inputs!$K$5:$AJ$180,0,MATCH(AA$2,Inputs!$K$4:$AJ$4,0)))+SUMPRODUCT((Inputs!$E$5:$E$180=$B53)*Inputs!$F$5:$F$180*(((Inputs!$G$5:$G$180="moeda")+(Inputs!$G$5:$G$180="acoes"))*Inputs!$B$1+((Inputs!$G$5:$G$180&lt;&gt;"moeda")*(Inputs!$G$5:$G$180&lt;&gt;"acoes")))*INDEX(Inputs!$K$5:$AJ$180,0,MATCH(AA$2,Inputs!$K$4:$AJ$4,0)))))</f>
        <v>548.688281952783</v>
      </c>
      <c r="AB53" s="3">
        <f>SUM(X53:AA53)</f>
        <v>2249.6952433978</v>
      </c>
      <c r="AC53" s="6">
        <f>IF(ISNA(MATCH(AC$2,Inputs!$K$4:$AJ$4,0)),NA(),IF(SUMPRODUCT((Inputs!$A$5:$A$180=$B53)*ISNUMBER(INDEX(Inputs!$K$5:$AJ$180,0,MATCH(AC$2,Inputs!$K$4:$AJ$4,0))))+SUMPRODUCT((Inputs!$C$5:$C$180=$B53)*ISNUMBER(INDEX(Inputs!$K$5:$AJ$180,0,MATCH(AC$2,Inputs!$K$4:$AJ$4,0))))+SUMPRODUCT((Inputs!$E$5:$E$180=$B53)*ISNUMBER(INDEX(Inputs!$K$5:$AJ$180,0,MATCH(AC$2,Inputs!$K$4:$AJ$4,0))))=0,NA(),SUMPRODUCT((Inputs!$A$5:$A$180=$B53)*Inputs!$B$5:$B$180*(((Inputs!$G$5:$G$180="moeda")+(Inputs!$G$5:$G$180="acoes"))*Inputs!$B$1+((Inputs!$G$5:$G$180&lt;&gt;"moeda")*(Inputs!$G$5:$G$180&lt;&gt;"acoes")))*INDEX(Inputs!$K$5:$AJ$180,0,MATCH(AC$2,Inputs!$K$4:$AJ$4,0)))+SUMPRODUCT((Inputs!$C$5:$C$180=$B53)*Inputs!$D$5:$D$180*(((Inputs!$G$5:$G$180="moeda")+(Inputs!$G$5:$G$180="acoes"))*Inputs!$B$1+((Inputs!$G$5:$G$180&lt;&gt;"moeda")*(Inputs!$G$5:$G$180&lt;&gt;"acoes")))*INDEX(Inputs!$K$5:$AJ$180,0,MATCH(AC$2,Inputs!$K$4:$AJ$4,0)))+SUMPRODUCT((Inputs!$E$5:$E$180=$B53)*Inputs!$F$5:$F$180*(((Inputs!$G$5:$G$180="moeda")+(Inputs!$G$5:$G$180="acoes"))*Inputs!$B$1+((Inputs!$G$5:$G$180&lt;&gt;"moeda")*(Inputs!$G$5:$G$180&lt;&gt;"acoes")))*INDEX(Inputs!$K$5:$AJ$180,0,MATCH(AC$2,Inputs!$K$4:$AJ$4,0)))))</f>
        <v>621.154913435433</v>
      </c>
      <c r="AD53" s="6">
        <f>IF(ISNA(MATCH(AD$2,Inputs!$K$4:$AJ$4,0)),NA(),IF(SUMPRODUCT((Inputs!$A$5:$A$180=$B53)*ISNUMBER(INDEX(Inputs!$K$5:$AJ$180,0,MATCH(AD$2,Inputs!$K$4:$AJ$4,0))))+SUMPRODUCT((Inputs!$C$5:$C$180=$B53)*ISNUMBER(INDEX(Inputs!$K$5:$AJ$180,0,MATCH(AD$2,Inputs!$K$4:$AJ$4,0))))+SUMPRODUCT((Inputs!$E$5:$E$180=$B53)*ISNUMBER(INDEX(Inputs!$K$5:$AJ$180,0,MATCH(AD$2,Inputs!$K$4:$AJ$4,0))))=0,NA(),SUMPRODUCT((Inputs!$A$5:$A$180=$B53)*Inputs!$B$5:$B$180*(((Inputs!$G$5:$G$180="moeda")+(Inputs!$G$5:$G$180="acoes"))*Inputs!$B$1+((Inputs!$G$5:$G$180&lt;&gt;"moeda")*(Inputs!$G$5:$G$180&lt;&gt;"acoes")))*INDEX(Inputs!$K$5:$AJ$180,0,MATCH(AD$2,Inputs!$K$4:$AJ$4,0)))+SUMPRODUCT((Inputs!$C$5:$C$180=$B53)*Inputs!$D$5:$D$180*(((Inputs!$G$5:$G$180="moeda")+(Inputs!$G$5:$G$180="acoes"))*Inputs!$B$1+((Inputs!$G$5:$G$180&lt;&gt;"moeda")*(Inputs!$G$5:$G$180&lt;&gt;"acoes")))*INDEX(Inputs!$K$5:$AJ$180,0,MATCH(AD$2,Inputs!$K$4:$AJ$4,0)))+SUMPRODUCT((Inputs!$E$5:$E$180=$B53)*Inputs!$F$5:$F$180*(((Inputs!$G$5:$G$180="moeda")+(Inputs!$G$5:$G$180="acoes"))*Inputs!$B$1+((Inputs!$G$5:$G$180&lt;&gt;"moeda")*(Inputs!$G$5:$G$180&lt;&gt;"acoes")))*INDEX(Inputs!$K$5:$AJ$180,0,MATCH(AD$2,Inputs!$K$4:$AJ$4,0)))))</f>
        <v>627.978348</v>
      </c>
      <c r="AE53" s="6" t="e">
        <f>IF(ISNA(MATCH(AE$2,Inputs!$K$4:$AJ$4,0)),NA(),IF(SUMPRODUCT((Inputs!$A$5:$A$180=$B53)*ISNUMBER(INDEX(Inputs!$K$5:$AJ$180,0,MATCH(AE$2,Inputs!$K$4:$AJ$4,0))))+SUMPRODUCT((Inputs!$C$5:$C$180=$B53)*ISNUMBER(INDEX(Inputs!$K$5:$AJ$180,0,MATCH(AE$2,Inputs!$K$4:$AJ$4,0))))+SUMPRODUCT((Inputs!$E$5:$E$180=$B53)*ISNUMBER(INDEX(Inputs!$K$5:$AJ$180,0,MATCH(AE$2,Inputs!$K$4:$AJ$4,0))))=0,NA(),SUMPRODUCT((Inputs!$A$5:$A$180=$B53)*Inputs!$B$5:$B$180*(((Inputs!$G$5:$G$180="moeda")+(Inputs!$G$5:$G$180="acoes"))*Inputs!$B$1+((Inputs!$G$5:$G$180&lt;&gt;"moeda")*(Inputs!$G$5:$G$180&lt;&gt;"acoes")))*INDEX(Inputs!$K$5:$AJ$180,0,MATCH(AE$2,Inputs!$K$4:$AJ$4,0)))+SUMPRODUCT((Inputs!$C$5:$C$180=$B53)*Inputs!$D$5:$D$180*(((Inputs!$G$5:$G$180="moeda")+(Inputs!$G$5:$G$180="acoes"))*Inputs!$B$1+((Inputs!$G$5:$G$180&lt;&gt;"moeda")*(Inputs!$G$5:$G$180&lt;&gt;"acoes")))*INDEX(Inputs!$K$5:$AJ$180,0,MATCH(AE$2,Inputs!$K$4:$AJ$4,0)))+SUMPRODUCT((Inputs!$E$5:$E$180=$B53)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3" s="6" t="e">
        <f>IF(ISNA(MATCH(AF$2,Inputs!$K$4:$AJ$4,0)),NA(),IF(SUMPRODUCT((Inputs!$A$5:$A$180=$B53)*ISNUMBER(INDEX(Inputs!$K$5:$AJ$180,0,MATCH(AF$2,Inputs!$K$4:$AJ$4,0))))+SUMPRODUCT((Inputs!$C$5:$C$180=$B53)*ISNUMBER(INDEX(Inputs!$K$5:$AJ$180,0,MATCH(AF$2,Inputs!$K$4:$AJ$4,0))))+SUMPRODUCT((Inputs!$E$5:$E$180=$B53)*ISNUMBER(INDEX(Inputs!$K$5:$AJ$180,0,MATCH(AF$2,Inputs!$K$4:$AJ$4,0))))=0,NA(),SUMPRODUCT((Inputs!$A$5:$A$180=$B53)*Inputs!$B$5:$B$180*(((Inputs!$G$5:$G$180="moeda")+(Inputs!$G$5:$G$180="acoes"))*Inputs!$B$1+((Inputs!$G$5:$G$180&lt;&gt;"moeda")*(Inputs!$G$5:$G$180&lt;&gt;"acoes")))*INDEX(Inputs!$K$5:$AJ$180,0,MATCH(AF$2,Inputs!$K$4:$AJ$4,0)))+SUMPRODUCT((Inputs!$C$5:$C$180=$B53)*Inputs!$D$5:$D$180*(((Inputs!$G$5:$G$180="moeda")+(Inputs!$G$5:$G$180="acoes"))*Inputs!$B$1+((Inputs!$G$5:$G$180&lt;&gt;"moeda")*(Inputs!$G$5:$G$180&lt;&gt;"acoes")))*INDEX(Inputs!$K$5:$AJ$180,0,MATCH(AF$2,Inputs!$K$4:$AJ$4,0)))+SUMPRODUCT((Inputs!$E$5:$E$180=$B53)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3" s="3" t="e">
        <f>SUM(AC53:AF53)</f>
        <v>#N/A</v>
      </c>
      <c r="AH53" s="6">
        <f>IF(ISNA(MATCH(AH$2,Inputs!$K$4:$AJ$4,0)),NA(),IF(SUMPRODUCT((Inputs!$A$5:$A$180=$B53)*ISNUMBER(INDEX(Inputs!$K$5:$AJ$180,0,MATCH(AH$2,Inputs!$K$4:$AJ$4,0))))+SUMPRODUCT((Inputs!$C$5:$C$180=$B53)*ISNUMBER(INDEX(Inputs!$K$5:$AJ$180,0,MATCH(AH$2,Inputs!$K$4:$AJ$4,0))))+SUMPRODUCT((Inputs!$E$5:$E$180=$B53)*ISNUMBER(INDEX(Inputs!$K$5:$AJ$180,0,MATCH(AH$2,Inputs!$K$4:$AJ$4,0))))=0,NA(),SUMPRODUCT((Inputs!$A$5:$A$180=$B53)*Inputs!$B$5:$B$180*(((Inputs!$G$5:$G$180="moeda")+(Inputs!$G$5:$G$180="acoes"))*Inputs!$B$1+((Inputs!$G$5:$G$180&lt;&gt;"moeda")*(Inputs!$G$5:$G$180&lt;&gt;"acoes")))*INDEX(Inputs!$K$5:$AJ$180,0,MATCH(AH$2,Inputs!$K$4:$AJ$4,0)))+SUMPRODUCT((Inputs!$C$5:$C$180=$B53)*Inputs!$D$5:$D$180*(((Inputs!$G$5:$G$180="moeda")+(Inputs!$G$5:$G$180="acoes"))*Inputs!$B$1+((Inputs!$G$5:$G$180&lt;&gt;"moeda")*(Inputs!$G$5:$G$180&lt;&gt;"acoes")))*INDEX(Inputs!$K$5:$AJ$180,0,MATCH(AH$2,Inputs!$K$4:$AJ$4,0)))+SUMPRODUCT((Inputs!$E$5:$E$180=$B53)*Inputs!$F$5:$F$180*(((Inputs!$G$5:$G$180="moeda")+(Inputs!$G$5:$G$180="acoes"))*Inputs!$B$1+((Inputs!$G$5:$G$180&lt;&gt;"moeda")*(Inputs!$G$5:$G$180&lt;&gt;"acoes")))*INDEX(Inputs!$K$5:$AJ$180,0,MATCH(AH$2,Inputs!$K$4:$AJ$4,0)))))</f>
        <v>322.197192057469</v>
      </c>
      <c r="AI53" s="6">
        <f>IF(ISNA(MATCH(AI$2,Inputs!$K$4:$AJ$4,0)),NA(),IF(SUMPRODUCT((Inputs!$A$5:$A$180=$B53)*ISNUMBER(INDEX(Inputs!$K$5:$AJ$180,0,MATCH(AI$2,Inputs!$K$4:$AJ$4,0))))+SUMPRODUCT((Inputs!$C$5:$C$180=$B53)*ISNUMBER(INDEX(Inputs!$K$5:$AJ$180,0,MATCH(AI$2,Inputs!$K$4:$AJ$4,0))))+SUMPRODUCT((Inputs!$E$5:$E$180=$B53)*ISNUMBER(INDEX(Inputs!$K$5:$AJ$180,0,MATCH(AI$2,Inputs!$K$4:$AJ$4,0))))=0,NA(),SUMPRODUCT((Inputs!$A$5:$A$180=$B53)*Inputs!$B$5:$B$180*(((Inputs!$G$5:$G$180="moeda")+(Inputs!$G$5:$G$180="acoes"))*Inputs!$B$1+((Inputs!$G$5:$G$180&lt;&gt;"moeda")*(Inputs!$G$5:$G$180&lt;&gt;"acoes")))*INDEX(Inputs!$K$5:$AJ$180,0,MATCH(AI$2,Inputs!$K$4:$AJ$4,0)))+SUMPRODUCT((Inputs!$C$5:$C$180=$B53)*Inputs!$D$5:$D$180*(((Inputs!$G$5:$G$180="moeda")+(Inputs!$G$5:$G$180="acoes"))*Inputs!$B$1+((Inputs!$G$5:$G$180&lt;&gt;"moeda")*(Inputs!$G$5:$G$180&lt;&gt;"acoes")))*INDEX(Inputs!$K$5:$AJ$180,0,MATCH(AI$2,Inputs!$K$4:$AJ$4,0)))+SUMPRODUCT((Inputs!$E$5:$E$180=$B53)*Inputs!$F$5:$F$180*(((Inputs!$G$5:$G$180="moeda")+(Inputs!$G$5:$G$180="acoes"))*Inputs!$B$1+((Inputs!$G$5:$G$180&lt;&gt;"moeda")*(Inputs!$G$5:$G$180&lt;&gt;"acoes")))*INDEX(Inputs!$K$5:$AJ$180,0,MATCH(AI$2,Inputs!$K$4:$AJ$4,0)))))</f>
        <v>186.347851237132</v>
      </c>
      <c r="AJ53" s="6">
        <f>IF(ISNA(MATCH(AJ$2,Inputs!$K$4:$AJ$4,0)),NA(),IF(SUMPRODUCT((Inputs!$A$5:$A$180=$B53)*ISNUMBER(INDEX(Inputs!$K$5:$AJ$180,0,MATCH(AJ$2,Inputs!$K$4:$AJ$4,0))))+SUMPRODUCT((Inputs!$C$5:$C$180=$B53)*ISNUMBER(INDEX(Inputs!$K$5:$AJ$180,0,MATCH(AJ$2,Inputs!$K$4:$AJ$4,0))))+SUMPRODUCT((Inputs!$E$5:$E$180=$B53)*ISNUMBER(INDEX(Inputs!$K$5:$AJ$180,0,MATCH(AJ$2,Inputs!$K$4:$AJ$4,0))))=0,NA(),SUMPRODUCT((Inputs!$A$5:$A$180=$B53)*Inputs!$B$5:$B$180*(((Inputs!$G$5:$G$180="moeda")+(Inputs!$G$5:$G$180="acoes"))*Inputs!$B$1+((Inputs!$G$5:$G$180&lt;&gt;"moeda")*(Inputs!$G$5:$G$180&lt;&gt;"acoes")))*INDEX(Inputs!$K$5:$AJ$180,0,MATCH(AJ$2,Inputs!$K$4:$AJ$4,0)))+SUMPRODUCT((Inputs!$C$5:$C$180=$B53)*Inputs!$D$5:$D$180*(((Inputs!$G$5:$G$180="moeda")+(Inputs!$G$5:$G$180="acoes"))*Inputs!$B$1+((Inputs!$G$5:$G$180&lt;&gt;"moeda")*(Inputs!$G$5:$G$180&lt;&gt;"acoes")))*INDEX(Inputs!$K$5:$AJ$180,0,MATCH(AJ$2,Inputs!$K$4:$AJ$4,0)))+SUMPRODUCT((Inputs!$E$5:$E$180=$B53)*Inputs!$F$5:$F$180*(((Inputs!$G$5:$G$180="moeda")+(Inputs!$G$5:$G$180="acoes"))*Inputs!$B$1+((Inputs!$G$5:$G$180&lt;&gt;"moeda")*(Inputs!$G$5:$G$180&lt;&gt;"acoes")))*INDEX(Inputs!$K$5:$AJ$180,0,MATCH(AJ$2,Inputs!$K$4:$AJ$4,0)))))</f>
        <v>385.743366084491</v>
      </c>
      <c r="AK53" s="6">
        <f>IF(ISNA(MATCH(AK$2,Inputs!$K$4:$AJ$4,0)),NA(),IF(SUMPRODUCT((Inputs!$A$5:$A$180=$B53)*ISNUMBER(INDEX(Inputs!$K$5:$AJ$180,0,MATCH(AK$2,Inputs!$K$4:$AJ$4,0))))+SUMPRODUCT((Inputs!$C$5:$C$180=$B53)*ISNUMBER(INDEX(Inputs!$K$5:$AJ$180,0,MATCH(AK$2,Inputs!$K$4:$AJ$4,0))))+SUMPRODUCT((Inputs!$E$5:$E$180=$B53)*ISNUMBER(INDEX(Inputs!$K$5:$AJ$180,0,MATCH(AK$2,Inputs!$K$4:$AJ$4,0))))=0,NA(),SUMPRODUCT((Inputs!$A$5:$A$180=$B53)*Inputs!$B$5:$B$180*(((Inputs!$G$5:$G$180="moeda")+(Inputs!$G$5:$G$180="acoes"))*Inputs!$B$1+((Inputs!$G$5:$G$180&lt;&gt;"moeda")*(Inputs!$G$5:$G$180&lt;&gt;"acoes")))*INDEX(Inputs!$K$5:$AJ$180,0,MATCH(AK$2,Inputs!$K$4:$AJ$4,0)))+SUMPRODUCT((Inputs!$C$5:$C$180=$B53)*Inputs!$D$5:$D$180*(((Inputs!$G$5:$G$180="moeda")+(Inputs!$G$5:$G$180="acoes"))*Inputs!$B$1+((Inputs!$G$5:$G$180&lt;&gt;"moeda")*(Inputs!$G$5:$G$180&lt;&gt;"acoes")))*INDEX(Inputs!$K$5:$AJ$180,0,MATCH(AK$2,Inputs!$K$4:$AJ$4,0)))+SUMPRODUCT((Inputs!$E$5:$E$180=$B53)*Inputs!$F$5:$F$180*(((Inputs!$G$5:$G$180="moeda")+(Inputs!$G$5:$G$180="acoes"))*Inputs!$B$1+((Inputs!$G$5:$G$180&lt;&gt;"moeda")*(Inputs!$G$5:$G$180&lt;&gt;"acoes")))*INDEX(Inputs!$K$5:$AJ$180,0,MATCH(AK$2,Inputs!$K$4:$AJ$4,0)))))</f>
        <v>409.801660750001</v>
      </c>
      <c r="AL53" s="3">
        <f>SUM(AH53:AK53)</f>
        <v>1304.09007012909</v>
      </c>
    </row>
    <row r="54">
      <c r="B54" s="46" t="n">
        <v>46</v>
      </c>
      <c r="C54" s="29" t="inlineStr">
        <is>
          <t>Outras Marcas SP</t>
        </is>
      </c>
      <c r="D54" s="6">
        <f>IF(ISNA(MATCH(D$2,Inputs!$K$4:$AJ$4,0)),NA(),IF(SUMPRODUCT((Inputs!$A$5:$A$180=$B54)*ISNUMBER(INDEX(Inputs!$K$5:$AJ$180,0,MATCH(D$2,Inputs!$K$4:$AJ$4,0))))+SUMPRODUCT((Inputs!$C$5:$C$180=$B54)*ISNUMBER(INDEX(Inputs!$K$5:$AJ$180,0,MATCH(D$2,Inputs!$K$4:$AJ$4,0))))+SUMPRODUCT((Inputs!$E$5:$E$180=$B54)*ISNUMBER(INDEX(Inputs!$K$5:$AJ$180,0,MATCH(D$2,Inputs!$K$4:$AJ$4,0))))=0,NA(),SUMPRODUCT((Inputs!$A$5:$A$180=$B54)*Inputs!$B$5:$B$180*(((Inputs!$G$5:$G$180="moeda")+(Inputs!$G$5:$G$180="acoes"))*Inputs!$B$1+((Inputs!$G$5:$G$180&lt;&gt;"moeda")*(Inputs!$G$5:$G$180&lt;&gt;"acoes")))*INDEX(Inputs!$K$5:$AJ$180,0,MATCH(D$2,Inputs!$K$4:$AJ$4,0)))+SUMPRODUCT((Inputs!$C$5:$C$180=$B54)*Inputs!$D$5:$D$180*(((Inputs!$G$5:$G$180="moeda")+(Inputs!$G$5:$G$180="acoes"))*Inputs!$B$1+((Inputs!$G$5:$G$180&lt;&gt;"moeda")*(Inputs!$G$5:$G$180&lt;&gt;"acoes")))*INDEX(Inputs!$K$5:$AJ$180,0,MATCH(D$2,Inputs!$K$4:$AJ$4,0)))+SUMPRODUCT((Inputs!$E$5:$E$180=$B54)*Inputs!$F$5:$F$180*(((Inputs!$G$5:$G$180="moeda")+(Inputs!$G$5:$G$180="acoes"))*Inputs!$B$1+((Inputs!$G$5:$G$180&lt;&gt;"moeda")*(Inputs!$G$5:$G$180&lt;&gt;"acoes")))*INDEX(Inputs!$K$5:$AJ$180,0,MATCH(D$2,Inputs!$K$4:$AJ$4,0)))))</f>
        <v>129.339606052738</v>
      </c>
      <c r="E54" s="6">
        <f>IF(ISNA(MATCH(E$2,Inputs!$K$4:$AJ$4,0)),NA(),IF(SUMPRODUCT((Inputs!$A$5:$A$180=$B54)*ISNUMBER(INDEX(Inputs!$K$5:$AJ$180,0,MATCH(E$2,Inputs!$K$4:$AJ$4,0))))+SUMPRODUCT((Inputs!$C$5:$C$180=$B54)*ISNUMBER(INDEX(Inputs!$K$5:$AJ$180,0,MATCH(E$2,Inputs!$K$4:$AJ$4,0))))+SUMPRODUCT((Inputs!$E$5:$E$180=$B54)*ISNUMBER(INDEX(Inputs!$K$5:$AJ$180,0,MATCH(E$2,Inputs!$K$4:$AJ$4,0))))=0,NA(),SUMPRODUCT((Inputs!$A$5:$A$180=$B54)*Inputs!$B$5:$B$180*(((Inputs!$G$5:$G$180="moeda")+(Inputs!$G$5:$G$180="acoes"))*Inputs!$B$1+((Inputs!$G$5:$G$180&lt;&gt;"moeda")*(Inputs!$G$5:$G$180&lt;&gt;"acoes")))*INDEX(Inputs!$K$5:$AJ$180,0,MATCH(E$2,Inputs!$K$4:$AJ$4,0)))+SUMPRODUCT((Inputs!$C$5:$C$180=$B54)*Inputs!$D$5:$D$180*(((Inputs!$G$5:$G$180="moeda")+(Inputs!$G$5:$G$180="acoes"))*Inputs!$B$1+((Inputs!$G$5:$G$180&lt;&gt;"moeda")*(Inputs!$G$5:$G$180&lt;&gt;"acoes")))*INDEX(Inputs!$K$5:$AJ$180,0,MATCH(E$2,Inputs!$K$4:$AJ$4,0)))+SUMPRODUCT((Inputs!$E$5:$E$180=$B54)*Inputs!$F$5:$F$180*(((Inputs!$G$5:$G$180="moeda")+(Inputs!$G$5:$G$180="acoes"))*Inputs!$B$1+((Inputs!$G$5:$G$180&lt;&gt;"moeda")*(Inputs!$G$5:$G$180&lt;&gt;"acoes")))*INDEX(Inputs!$K$5:$AJ$180,0,MATCH(E$2,Inputs!$K$4:$AJ$4,0)))))</f>
        <v>134.22810704</v>
      </c>
      <c r="F54" s="6">
        <f>IF(ISNA(MATCH(F$2,Inputs!$K$4:$AJ$4,0)),NA(),IF(SUMPRODUCT((Inputs!$A$5:$A$180=$B54)*ISNUMBER(INDEX(Inputs!$K$5:$AJ$180,0,MATCH(F$2,Inputs!$K$4:$AJ$4,0))))+SUMPRODUCT((Inputs!$C$5:$C$180=$B54)*ISNUMBER(INDEX(Inputs!$K$5:$AJ$180,0,MATCH(F$2,Inputs!$K$4:$AJ$4,0))))+SUMPRODUCT((Inputs!$E$5:$E$180=$B54)*ISNUMBER(INDEX(Inputs!$K$5:$AJ$180,0,MATCH(F$2,Inputs!$K$4:$AJ$4,0))))=0,NA(),SUMPRODUCT((Inputs!$A$5:$A$180=$B54)*Inputs!$B$5:$B$180*(((Inputs!$G$5:$G$180="moeda")+(Inputs!$G$5:$G$180="acoes"))*Inputs!$B$1+((Inputs!$G$5:$G$180&lt;&gt;"moeda")*(Inputs!$G$5:$G$180&lt;&gt;"acoes")))*INDEX(Inputs!$K$5:$AJ$180,0,MATCH(F$2,Inputs!$K$4:$AJ$4,0)))+SUMPRODUCT((Inputs!$C$5:$C$180=$B54)*Inputs!$D$5:$D$180*(((Inputs!$G$5:$G$180="moeda")+(Inputs!$G$5:$G$180="acoes"))*Inputs!$B$1+((Inputs!$G$5:$G$180&lt;&gt;"moeda")*(Inputs!$G$5:$G$180&lt;&gt;"acoes")))*INDEX(Inputs!$K$5:$AJ$180,0,MATCH(F$2,Inputs!$K$4:$AJ$4,0)))+SUMPRODUCT((Inputs!$E$5:$E$180=$B54)*Inputs!$F$5:$F$180*(((Inputs!$G$5:$G$180="moeda")+(Inputs!$G$5:$G$180="acoes"))*Inputs!$B$1+((Inputs!$G$5:$G$180&lt;&gt;"moeda")*(Inputs!$G$5:$G$180&lt;&gt;"acoes")))*INDEX(Inputs!$K$5:$AJ$180,0,MATCH(F$2,Inputs!$K$4:$AJ$4,0)))))</f>
        <v>138.41611284</v>
      </c>
      <c r="G54" s="6">
        <f>IF(ISNA(MATCH(G$2,Inputs!$K$4:$AJ$4,0)),NA(),IF(SUMPRODUCT((Inputs!$A$5:$A$180=$B54)*ISNUMBER(INDEX(Inputs!$K$5:$AJ$180,0,MATCH(G$2,Inputs!$K$4:$AJ$4,0))))+SUMPRODUCT((Inputs!$C$5:$C$180=$B54)*ISNUMBER(INDEX(Inputs!$K$5:$AJ$180,0,MATCH(G$2,Inputs!$K$4:$AJ$4,0))))+SUMPRODUCT((Inputs!$E$5:$E$180=$B54)*ISNUMBER(INDEX(Inputs!$K$5:$AJ$180,0,MATCH(G$2,Inputs!$K$4:$AJ$4,0))))=0,NA(),SUMPRODUCT((Inputs!$A$5:$A$180=$B54)*Inputs!$B$5:$B$180*(((Inputs!$G$5:$G$180="moeda")+(Inputs!$G$5:$G$180="acoes"))*Inputs!$B$1+((Inputs!$G$5:$G$180&lt;&gt;"moeda")*(Inputs!$G$5:$G$180&lt;&gt;"acoes")))*INDEX(Inputs!$K$5:$AJ$180,0,MATCH(G$2,Inputs!$K$4:$AJ$4,0)))+SUMPRODUCT((Inputs!$C$5:$C$180=$B54)*Inputs!$D$5:$D$180*(((Inputs!$G$5:$G$180="moeda")+(Inputs!$G$5:$G$180="acoes"))*Inputs!$B$1+((Inputs!$G$5:$G$180&lt;&gt;"moeda")*(Inputs!$G$5:$G$180&lt;&gt;"acoes")))*INDEX(Inputs!$K$5:$AJ$180,0,MATCH(G$2,Inputs!$K$4:$AJ$4,0)))+SUMPRODUCT((Inputs!$E$5:$E$180=$B54)*Inputs!$F$5:$F$180*(((Inputs!$G$5:$G$180="moeda")+(Inputs!$G$5:$G$180="acoes"))*Inputs!$B$1+((Inputs!$G$5:$G$180&lt;&gt;"moeda")*(Inputs!$G$5:$G$180&lt;&gt;"acoes")))*INDEX(Inputs!$K$5:$AJ$180,0,MATCH(G$2,Inputs!$K$4:$AJ$4,0)))))</f>
        <v>133.76757361</v>
      </c>
      <c r="H54" s="3">
        <f>SUM(D54:G54)</f>
        <v>535.751399542738</v>
      </c>
      <c r="I54" s="6">
        <f>IF(ISNA(MATCH(I$2,Inputs!$K$4:$AJ$4,0)),NA(),IF(SUMPRODUCT((Inputs!$A$5:$A$180=$B54)*ISNUMBER(INDEX(Inputs!$K$5:$AJ$180,0,MATCH(I$2,Inputs!$K$4:$AJ$4,0))))+SUMPRODUCT((Inputs!$C$5:$C$180=$B54)*ISNUMBER(INDEX(Inputs!$K$5:$AJ$180,0,MATCH(I$2,Inputs!$K$4:$AJ$4,0))))+SUMPRODUCT((Inputs!$E$5:$E$180=$B54)*ISNUMBER(INDEX(Inputs!$K$5:$AJ$180,0,MATCH(I$2,Inputs!$K$4:$AJ$4,0))))=0,NA(),SUMPRODUCT((Inputs!$A$5:$A$180=$B54)*Inputs!$B$5:$B$180*(((Inputs!$G$5:$G$180="moeda")+(Inputs!$G$5:$G$180="acoes"))*Inputs!$B$1+((Inputs!$G$5:$G$180&lt;&gt;"moeda")*(Inputs!$G$5:$G$180&lt;&gt;"acoes")))*INDEX(Inputs!$K$5:$AJ$180,0,MATCH(I$2,Inputs!$K$4:$AJ$4,0)))+SUMPRODUCT((Inputs!$C$5:$C$180=$B54)*Inputs!$D$5:$D$180*(((Inputs!$G$5:$G$180="moeda")+(Inputs!$G$5:$G$180="acoes"))*Inputs!$B$1+((Inputs!$G$5:$G$180&lt;&gt;"moeda")*(Inputs!$G$5:$G$180&lt;&gt;"acoes")))*INDEX(Inputs!$K$5:$AJ$180,0,MATCH(I$2,Inputs!$K$4:$AJ$4,0)))+SUMPRODUCT((Inputs!$E$5:$E$180=$B54)*Inputs!$F$5:$F$180*(((Inputs!$G$5:$G$180="moeda")+(Inputs!$G$5:$G$180="acoes"))*Inputs!$B$1+((Inputs!$G$5:$G$180&lt;&gt;"moeda")*(Inputs!$G$5:$G$180&lt;&gt;"acoes")))*INDEX(Inputs!$K$5:$AJ$180,0,MATCH(I$2,Inputs!$K$4:$AJ$4,0)))))</f>
        <v>151.03867056</v>
      </c>
      <c r="J54" s="6">
        <f>IF(ISNA(MATCH(J$2,Inputs!$K$4:$AJ$4,0)),NA(),IF(SUMPRODUCT((Inputs!$A$5:$A$180=$B54)*ISNUMBER(INDEX(Inputs!$K$5:$AJ$180,0,MATCH(J$2,Inputs!$K$4:$AJ$4,0))))+SUMPRODUCT((Inputs!$C$5:$C$180=$B54)*ISNUMBER(INDEX(Inputs!$K$5:$AJ$180,0,MATCH(J$2,Inputs!$K$4:$AJ$4,0))))+SUMPRODUCT((Inputs!$E$5:$E$180=$B54)*ISNUMBER(INDEX(Inputs!$K$5:$AJ$180,0,MATCH(J$2,Inputs!$K$4:$AJ$4,0))))=0,NA(),SUMPRODUCT((Inputs!$A$5:$A$180=$B54)*Inputs!$B$5:$B$180*(((Inputs!$G$5:$G$180="moeda")+(Inputs!$G$5:$G$180="acoes"))*Inputs!$B$1+((Inputs!$G$5:$G$180&lt;&gt;"moeda")*(Inputs!$G$5:$G$180&lt;&gt;"acoes")))*INDEX(Inputs!$K$5:$AJ$180,0,MATCH(J$2,Inputs!$K$4:$AJ$4,0)))+SUMPRODUCT((Inputs!$C$5:$C$180=$B54)*Inputs!$D$5:$D$180*(((Inputs!$G$5:$G$180="moeda")+(Inputs!$G$5:$G$180="acoes"))*Inputs!$B$1+((Inputs!$G$5:$G$180&lt;&gt;"moeda")*(Inputs!$G$5:$G$180&lt;&gt;"acoes")))*INDEX(Inputs!$K$5:$AJ$180,0,MATCH(J$2,Inputs!$K$4:$AJ$4,0)))+SUMPRODUCT((Inputs!$E$5:$E$180=$B54)*Inputs!$F$5:$F$180*(((Inputs!$G$5:$G$180="moeda")+(Inputs!$G$5:$G$180="acoes"))*Inputs!$B$1+((Inputs!$G$5:$G$180&lt;&gt;"moeda")*(Inputs!$G$5:$G$180&lt;&gt;"acoes")))*INDEX(Inputs!$K$5:$AJ$180,0,MATCH(J$2,Inputs!$K$4:$AJ$4,0)))))</f>
        <v>156.341420521005</v>
      </c>
      <c r="K54" s="6">
        <f>IF(ISNA(MATCH(K$2,Inputs!$K$4:$AJ$4,0)),NA(),IF(SUMPRODUCT((Inputs!$A$5:$A$180=$B54)*ISNUMBER(INDEX(Inputs!$K$5:$AJ$180,0,MATCH(K$2,Inputs!$K$4:$AJ$4,0))))+SUMPRODUCT((Inputs!$C$5:$C$180=$B54)*ISNUMBER(INDEX(Inputs!$K$5:$AJ$180,0,MATCH(K$2,Inputs!$K$4:$AJ$4,0))))+SUMPRODUCT((Inputs!$E$5:$E$180=$B54)*ISNUMBER(INDEX(Inputs!$K$5:$AJ$180,0,MATCH(K$2,Inputs!$K$4:$AJ$4,0))))=0,NA(),SUMPRODUCT((Inputs!$A$5:$A$180=$B54)*Inputs!$B$5:$B$180*(((Inputs!$G$5:$G$180="moeda")+(Inputs!$G$5:$G$180="acoes"))*Inputs!$B$1+((Inputs!$G$5:$G$180&lt;&gt;"moeda")*(Inputs!$G$5:$G$180&lt;&gt;"acoes")))*INDEX(Inputs!$K$5:$AJ$180,0,MATCH(K$2,Inputs!$K$4:$AJ$4,0)))+SUMPRODUCT((Inputs!$C$5:$C$180=$B54)*Inputs!$D$5:$D$180*(((Inputs!$G$5:$G$180="moeda")+(Inputs!$G$5:$G$180="acoes"))*Inputs!$B$1+((Inputs!$G$5:$G$180&lt;&gt;"moeda")*(Inputs!$G$5:$G$180&lt;&gt;"acoes")))*INDEX(Inputs!$K$5:$AJ$180,0,MATCH(K$2,Inputs!$K$4:$AJ$4,0)))+SUMPRODUCT((Inputs!$E$5:$E$180=$B54)*Inputs!$F$5:$F$180*(((Inputs!$G$5:$G$180="moeda")+(Inputs!$G$5:$G$180="acoes"))*Inputs!$B$1+((Inputs!$G$5:$G$180&lt;&gt;"moeda")*(Inputs!$G$5:$G$180&lt;&gt;"acoes")))*INDEX(Inputs!$K$5:$AJ$180,0,MATCH(K$2,Inputs!$K$4:$AJ$4,0)))))</f>
        <v>165.44623</v>
      </c>
      <c r="L54" s="6">
        <f>IF(ISNA(MATCH(L$2,Inputs!$K$4:$AJ$4,0)),NA(),IF(SUMPRODUCT((Inputs!$A$5:$A$180=$B54)*ISNUMBER(INDEX(Inputs!$K$5:$AJ$180,0,MATCH(L$2,Inputs!$K$4:$AJ$4,0))))+SUMPRODUCT((Inputs!$C$5:$C$180=$B54)*ISNUMBER(INDEX(Inputs!$K$5:$AJ$180,0,MATCH(L$2,Inputs!$K$4:$AJ$4,0))))+SUMPRODUCT((Inputs!$E$5:$E$180=$B54)*ISNUMBER(INDEX(Inputs!$K$5:$AJ$180,0,MATCH(L$2,Inputs!$K$4:$AJ$4,0))))=0,NA(),SUMPRODUCT((Inputs!$A$5:$A$180=$B54)*Inputs!$B$5:$B$180*(((Inputs!$G$5:$G$180="moeda")+(Inputs!$G$5:$G$180="acoes"))*Inputs!$B$1+((Inputs!$G$5:$G$180&lt;&gt;"moeda")*(Inputs!$G$5:$G$180&lt;&gt;"acoes")))*INDEX(Inputs!$K$5:$AJ$180,0,MATCH(L$2,Inputs!$K$4:$AJ$4,0)))+SUMPRODUCT((Inputs!$C$5:$C$180=$B54)*Inputs!$D$5:$D$180*(((Inputs!$G$5:$G$180="moeda")+(Inputs!$G$5:$G$180="acoes"))*Inputs!$B$1+((Inputs!$G$5:$G$180&lt;&gt;"moeda")*(Inputs!$G$5:$G$180&lt;&gt;"acoes")))*INDEX(Inputs!$K$5:$AJ$180,0,MATCH(L$2,Inputs!$K$4:$AJ$4,0)))+SUMPRODUCT((Inputs!$E$5:$E$180=$B54)*Inputs!$F$5:$F$180*(((Inputs!$G$5:$G$180="moeda")+(Inputs!$G$5:$G$180="acoes"))*Inputs!$B$1+((Inputs!$G$5:$G$180&lt;&gt;"moeda")*(Inputs!$G$5:$G$180&lt;&gt;"acoes")))*INDEX(Inputs!$K$5:$AJ$180,0,MATCH(L$2,Inputs!$K$4:$AJ$4,0)))))</f>
        <v>151.836198</v>
      </c>
      <c r="M54" s="3">
        <f>SUM(I54:L54)</f>
        <v>624.662519081005</v>
      </c>
      <c r="N54" s="6">
        <f>IF(ISNA(MATCH(N$2,Inputs!$K$4:$AJ$4,0)),NA(),IF(SUMPRODUCT((Inputs!$A$5:$A$180=$B54)*ISNUMBER(INDEX(Inputs!$K$5:$AJ$180,0,MATCH(N$2,Inputs!$K$4:$AJ$4,0))))+SUMPRODUCT((Inputs!$C$5:$C$180=$B54)*ISNUMBER(INDEX(Inputs!$K$5:$AJ$180,0,MATCH(N$2,Inputs!$K$4:$AJ$4,0))))+SUMPRODUCT((Inputs!$E$5:$E$180=$B54)*ISNUMBER(INDEX(Inputs!$K$5:$AJ$180,0,MATCH(N$2,Inputs!$K$4:$AJ$4,0))))=0,NA(),SUMPRODUCT((Inputs!$A$5:$A$180=$B54)*Inputs!$B$5:$B$180*(((Inputs!$G$5:$G$180="moeda")+(Inputs!$G$5:$G$180="acoes"))*Inputs!$B$1+((Inputs!$G$5:$G$180&lt;&gt;"moeda")*(Inputs!$G$5:$G$180&lt;&gt;"acoes")))*INDEX(Inputs!$K$5:$AJ$180,0,MATCH(N$2,Inputs!$K$4:$AJ$4,0)))+SUMPRODUCT((Inputs!$C$5:$C$180=$B54)*Inputs!$D$5:$D$180*(((Inputs!$G$5:$G$180="moeda")+(Inputs!$G$5:$G$180="acoes"))*Inputs!$B$1+((Inputs!$G$5:$G$180&lt;&gt;"moeda")*(Inputs!$G$5:$G$180&lt;&gt;"acoes")))*INDEX(Inputs!$K$5:$AJ$180,0,MATCH(N$2,Inputs!$K$4:$AJ$4,0)))+SUMPRODUCT((Inputs!$E$5:$E$180=$B54)*Inputs!$F$5:$F$180*(((Inputs!$G$5:$G$180="moeda")+(Inputs!$G$5:$G$180="acoes"))*Inputs!$B$1+((Inputs!$G$5:$G$180&lt;&gt;"moeda")*(Inputs!$G$5:$G$180&lt;&gt;"acoes")))*INDEX(Inputs!$K$5:$AJ$180,0,MATCH(N$2,Inputs!$K$4:$AJ$4,0)))))</f>
        <v>178.979496</v>
      </c>
      <c r="O54" s="6" t="e">
        <f>IF(ISNA(MATCH(O$2,Inputs!$K$4:$AJ$4,0)),NA(),IF(SUMPRODUCT((Inputs!$A$5:$A$180=$B54)*ISNUMBER(INDEX(Inputs!$K$5:$AJ$180,0,MATCH(O$2,Inputs!$K$4:$AJ$4,0))))+SUMPRODUCT((Inputs!$C$5:$C$180=$B54)*ISNUMBER(INDEX(Inputs!$K$5:$AJ$180,0,MATCH(O$2,Inputs!$K$4:$AJ$4,0))))+SUMPRODUCT((Inputs!$E$5:$E$180=$B54)*ISNUMBER(INDEX(Inputs!$K$5:$AJ$180,0,MATCH(O$2,Inputs!$K$4:$AJ$4,0))))=0,NA(),SUMPRODUCT((Inputs!$A$5:$A$180=$B54)*Inputs!$B$5:$B$180*(((Inputs!$G$5:$G$180="moeda")+(Inputs!$G$5:$G$180="acoes"))*Inputs!$B$1+((Inputs!$G$5:$G$180&lt;&gt;"moeda")*(Inputs!$G$5:$G$180&lt;&gt;"acoes")))*INDEX(Inputs!$K$5:$AJ$180,0,MATCH(O$2,Inputs!$K$4:$AJ$4,0)))+SUMPRODUCT((Inputs!$C$5:$C$180=$B54)*Inputs!$D$5:$D$180*(((Inputs!$G$5:$G$180="moeda")+(Inputs!$G$5:$G$180="acoes"))*Inputs!$B$1+((Inputs!$G$5:$G$180&lt;&gt;"moeda")*(Inputs!$G$5:$G$180&lt;&gt;"acoes")))*INDEX(Inputs!$K$5:$AJ$180,0,MATCH(O$2,Inputs!$K$4:$AJ$4,0)))+SUMPRODUCT((Inputs!$E$5:$E$180=$B54)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4" s="6">
        <f>IF(ISNA(MATCH(P$2,Inputs!$K$4:$AJ$4,0)),NA(),IF(SUMPRODUCT((Inputs!$A$5:$A$180=$B54)*ISNUMBER(INDEX(Inputs!$K$5:$AJ$180,0,MATCH(P$2,Inputs!$K$4:$AJ$4,0))))+SUMPRODUCT((Inputs!$C$5:$C$180=$B54)*ISNUMBER(INDEX(Inputs!$K$5:$AJ$180,0,MATCH(P$2,Inputs!$K$4:$AJ$4,0))))+SUMPRODUCT((Inputs!$E$5:$E$180=$B54)*ISNUMBER(INDEX(Inputs!$K$5:$AJ$180,0,MATCH(P$2,Inputs!$K$4:$AJ$4,0))))=0,NA(),SUMPRODUCT((Inputs!$A$5:$A$180=$B54)*Inputs!$B$5:$B$180*(((Inputs!$G$5:$G$180="moeda")+(Inputs!$G$5:$G$180="acoes"))*Inputs!$B$1+((Inputs!$G$5:$G$180&lt;&gt;"moeda")*(Inputs!$G$5:$G$180&lt;&gt;"acoes")))*INDEX(Inputs!$K$5:$AJ$180,0,MATCH(P$2,Inputs!$K$4:$AJ$4,0)))+SUMPRODUCT((Inputs!$C$5:$C$180=$B54)*Inputs!$D$5:$D$180*(((Inputs!$G$5:$G$180="moeda")+(Inputs!$G$5:$G$180="acoes"))*Inputs!$B$1+((Inputs!$G$5:$G$180&lt;&gt;"moeda")*(Inputs!$G$5:$G$180&lt;&gt;"acoes")))*INDEX(Inputs!$K$5:$AJ$180,0,MATCH(P$2,Inputs!$K$4:$AJ$4,0)))+SUMPRODUCT((Inputs!$E$5:$E$180=$B54)*Inputs!$F$5:$F$180*(((Inputs!$G$5:$G$180="moeda")+(Inputs!$G$5:$G$180="acoes"))*Inputs!$B$1+((Inputs!$G$5:$G$180&lt;&gt;"moeda")*(Inputs!$G$5:$G$180&lt;&gt;"acoes")))*INDEX(Inputs!$K$5:$AJ$180,0,MATCH(P$2,Inputs!$K$4:$AJ$4,0)))))</f>
        <v>247.76214341</v>
      </c>
      <c r="Q54" s="6">
        <f>IF(ISNA(MATCH(Q$2,Inputs!$K$4:$AJ$4,0)),NA(),IF(SUMPRODUCT((Inputs!$A$5:$A$180=$B54)*ISNUMBER(INDEX(Inputs!$K$5:$AJ$180,0,MATCH(Q$2,Inputs!$K$4:$AJ$4,0))))+SUMPRODUCT((Inputs!$C$5:$C$180=$B54)*ISNUMBER(INDEX(Inputs!$K$5:$AJ$180,0,MATCH(Q$2,Inputs!$K$4:$AJ$4,0))))+SUMPRODUCT((Inputs!$E$5:$E$180=$B54)*ISNUMBER(INDEX(Inputs!$K$5:$AJ$180,0,MATCH(Q$2,Inputs!$K$4:$AJ$4,0))))=0,NA(),SUMPRODUCT((Inputs!$A$5:$A$180=$B54)*Inputs!$B$5:$B$180*(((Inputs!$G$5:$G$180="moeda")+(Inputs!$G$5:$G$180="acoes"))*Inputs!$B$1+((Inputs!$G$5:$G$180&lt;&gt;"moeda")*(Inputs!$G$5:$G$180&lt;&gt;"acoes")))*INDEX(Inputs!$K$5:$AJ$180,0,MATCH(Q$2,Inputs!$K$4:$AJ$4,0)))+SUMPRODUCT((Inputs!$C$5:$C$180=$B54)*Inputs!$D$5:$D$180*(((Inputs!$G$5:$G$180="moeda")+(Inputs!$G$5:$G$180="acoes"))*Inputs!$B$1+((Inputs!$G$5:$G$180&lt;&gt;"moeda")*(Inputs!$G$5:$G$180&lt;&gt;"acoes")))*INDEX(Inputs!$K$5:$AJ$180,0,MATCH(Q$2,Inputs!$K$4:$AJ$4,0)))+SUMPRODUCT((Inputs!$E$5:$E$180=$B54)*Inputs!$F$5:$F$180*(((Inputs!$G$5:$G$180="moeda")+(Inputs!$G$5:$G$180="acoes"))*Inputs!$B$1+((Inputs!$G$5:$G$180&lt;&gt;"moeda")*(Inputs!$G$5:$G$180&lt;&gt;"acoes")))*INDEX(Inputs!$K$5:$AJ$180,0,MATCH(Q$2,Inputs!$K$4:$AJ$4,0)))))</f>
        <v>222.190043</v>
      </c>
      <c r="R54" s="3" t="e">
        <f>SUM(N54:Q54)</f>
        <v>#N/A</v>
      </c>
      <c r="S54" s="6">
        <f>IF(ISNA(MATCH(S$2,Inputs!$K$4:$AJ$4,0)),NA(),IF(SUMPRODUCT((Inputs!$A$5:$A$180=$B54)*ISNUMBER(INDEX(Inputs!$K$5:$AJ$180,0,MATCH(S$2,Inputs!$K$4:$AJ$4,0))))+SUMPRODUCT((Inputs!$C$5:$C$180=$B54)*ISNUMBER(INDEX(Inputs!$K$5:$AJ$180,0,MATCH(S$2,Inputs!$K$4:$AJ$4,0))))+SUMPRODUCT((Inputs!$E$5:$E$180=$B54)*ISNUMBER(INDEX(Inputs!$K$5:$AJ$180,0,MATCH(S$2,Inputs!$K$4:$AJ$4,0))))=0,NA(),SUMPRODUCT((Inputs!$A$5:$A$180=$B54)*Inputs!$B$5:$B$180*(((Inputs!$G$5:$G$180="moeda")+(Inputs!$G$5:$G$180="acoes"))*Inputs!$B$1+((Inputs!$G$5:$G$180&lt;&gt;"moeda")*(Inputs!$G$5:$G$180&lt;&gt;"acoes")))*INDEX(Inputs!$K$5:$AJ$180,0,MATCH(S$2,Inputs!$K$4:$AJ$4,0)))+SUMPRODUCT((Inputs!$C$5:$C$180=$B54)*Inputs!$D$5:$D$180*(((Inputs!$G$5:$G$180="moeda")+(Inputs!$G$5:$G$180="acoes"))*Inputs!$B$1+((Inputs!$G$5:$G$180&lt;&gt;"moeda")*(Inputs!$G$5:$G$180&lt;&gt;"acoes")))*INDEX(Inputs!$K$5:$AJ$180,0,MATCH(S$2,Inputs!$K$4:$AJ$4,0)))+SUMPRODUCT((Inputs!$E$5:$E$180=$B54)*Inputs!$F$5:$F$180*(((Inputs!$G$5:$G$180="moeda")+(Inputs!$G$5:$G$180="acoes"))*Inputs!$B$1+((Inputs!$G$5:$G$180&lt;&gt;"moeda")*(Inputs!$G$5:$G$180&lt;&gt;"acoes")))*INDEX(Inputs!$K$5:$AJ$180,0,MATCH(S$2,Inputs!$K$4:$AJ$4,0)))))</f>
        <v>260.104847016275</v>
      </c>
      <c r="T54" s="6">
        <f>IF(ISNA(MATCH(T$2,Inputs!$K$4:$AJ$4,0)),NA(),IF(SUMPRODUCT((Inputs!$A$5:$A$180=$B54)*ISNUMBER(INDEX(Inputs!$K$5:$AJ$180,0,MATCH(T$2,Inputs!$K$4:$AJ$4,0))))+SUMPRODUCT((Inputs!$C$5:$C$180=$B54)*ISNUMBER(INDEX(Inputs!$K$5:$AJ$180,0,MATCH(T$2,Inputs!$K$4:$AJ$4,0))))+SUMPRODUCT((Inputs!$E$5:$E$180=$B54)*ISNUMBER(INDEX(Inputs!$K$5:$AJ$180,0,MATCH(T$2,Inputs!$K$4:$AJ$4,0))))=0,NA(),SUMPRODUCT((Inputs!$A$5:$A$180=$B54)*Inputs!$B$5:$B$180*(((Inputs!$G$5:$G$180="moeda")+(Inputs!$G$5:$G$180="acoes"))*Inputs!$B$1+((Inputs!$G$5:$G$180&lt;&gt;"moeda")*(Inputs!$G$5:$G$180&lt;&gt;"acoes")))*INDEX(Inputs!$K$5:$AJ$180,0,MATCH(T$2,Inputs!$K$4:$AJ$4,0)))+SUMPRODUCT((Inputs!$C$5:$C$180=$B54)*Inputs!$D$5:$D$180*(((Inputs!$G$5:$G$180="moeda")+(Inputs!$G$5:$G$180="acoes"))*Inputs!$B$1+((Inputs!$G$5:$G$180&lt;&gt;"moeda")*(Inputs!$G$5:$G$180&lt;&gt;"acoes")))*INDEX(Inputs!$K$5:$AJ$180,0,MATCH(T$2,Inputs!$K$4:$AJ$4,0)))+SUMPRODUCT((Inputs!$E$5:$E$180=$B54)*Inputs!$F$5:$F$180*(((Inputs!$G$5:$G$180="moeda")+(Inputs!$G$5:$G$180="acoes"))*Inputs!$B$1+((Inputs!$G$5:$G$180&lt;&gt;"moeda")*(Inputs!$G$5:$G$180&lt;&gt;"acoes")))*INDEX(Inputs!$K$5:$AJ$180,0,MATCH(T$2,Inputs!$K$4:$AJ$4,0)))))</f>
        <v>275.116410952598</v>
      </c>
      <c r="U54" s="6">
        <f>IF(ISNA(MATCH(U$2,Inputs!$K$4:$AJ$4,0)),NA(),IF(SUMPRODUCT((Inputs!$A$5:$A$180=$B54)*ISNUMBER(INDEX(Inputs!$K$5:$AJ$180,0,MATCH(U$2,Inputs!$K$4:$AJ$4,0))))+SUMPRODUCT((Inputs!$C$5:$C$180=$B54)*ISNUMBER(INDEX(Inputs!$K$5:$AJ$180,0,MATCH(U$2,Inputs!$K$4:$AJ$4,0))))+SUMPRODUCT((Inputs!$E$5:$E$180=$B54)*ISNUMBER(INDEX(Inputs!$K$5:$AJ$180,0,MATCH(U$2,Inputs!$K$4:$AJ$4,0))))=0,NA(),SUMPRODUCT((Inputs!$A$5:$A$180=$B54)*Inputs!$B$5:$B$180*(((Inputs!$G$5:$G$180="moeda")+(Inputs!$G$5:$G$180="acoes"))*Inputs!$B$1+((Inputs!$G$5:$G$180&lt;&gt;"moeda")*(Inputs!$G$5:$G$180&lt;&gt;"acoes")))*INDEX(Inputs!$K$5:$AJ$180,0,MATCH(U$2,Inputs!$K$4:$AJ$4,0)))+SUMPRODUCT((Inputs!$C$5:$C$180=$B54)*Inputs!$D$5:$D$180*(((Inputs!$G$5:$G$180="moeda")+(Inputs!$G$5:$G$180="acoes"))*Inputs!$B$1+((Inputs!$G$5:$G$180&lt;&gt;"moeda")*(Inputs!$G$5:$G$180&lt;&gt;"acoes")))*INDEX(Inputs!$K$5:$AJ$180,0,MATCH(U$2,Inputs!$K$4:$AJ$4,0)))+SUMPRODUCT((Inputs!$E$5:$E$180=$B54)*Inputs!$F$5:$F$180*(((Inputs!$G$5:$G$180="moeda")+(Inputs!$G$5:$G$180="acoes"))*Inputs!$B$1+((Inputs!$G$5:$G$180&lt;&gt;"moeda")*(Inputs!$G$5:$G$180&lt;&gt;"acoes")))*INDEX(Inputs!$K$5:$AJ$180,0,MATCH(U$2,Inputs!$K$4:$AJ$4,0)))))</f>
        <v>272.523471</v>
      </c>
      <c r="V54" s="6">
        <f>IF(ISNA(MATCH(V$2,Inputs!$K$4:$AJ$4,0)),NA(),IF(SUMPRODUCT((Inputs!$A$5:$A$180=$B54)*ISNUMBER(INDEX(Inputs!$K$5:$AJ$180,0,MATCH(V$2,Inputs!$K$4:$AJ$4,0))))+SUMPRODUCT((Inputs!$C$5:$C$180=$B54)*ISNUMBER(INDEX(Inputs!$K$5:$AJ$180,0,MATCH(V$2,Inputs!$K$4:$AJ$4,0))))+SUMPRODUCT((Inputs!$E$5:$E$180=$B54)*ISNUMBER(INDEX(Inputs!$K$5:$AJ$180,0,MATCH(V$2,Inputs!$K$4:$AJ$4,0))))=0,NA(),SUMPRODUCT((Inputs!$A$5:$A$180=$B54)*Inputs!$B$5:$B$180*(((Inputs!$G$5:$G$180="moeda")+(Inputs!$G$5:$G$180="acoes"))*Inputs!$B$1+((Inputs!$G$5:$G$180&lt;&gt;"moeda")*(Inputs!$G$5:$G$180&lt;&gt;"acoes")))*INDEX(Inputs!$K$5:$AJ$180,0,MATCH(V$2,Inputs!$K$4:$AJ$4,0)))+SUMPRODUCT((Inputs!$C$5:$C$180=$B54)*Inputs!$D$5:$D$180*(((Inputs!$G$5:$G$180="moeda")+(Inputs!$G$5:$G$180="acoes"))*Inputs!$B$1+((Inputs!$G$5:$G$180&lt;&gt;"moeda")*(Inputs!$G$5:$G$180&lt;&gt;"acoes")))*INDEX(Inputs!$K$5:$AJ$180,0,MATCH(V$2,Inputs!$K$4:$AJ$4,0)))+SUMPRODUCT((Inputs!$E$5:$E$180=$B54)*Inputs!$F$5:$F$180*(((Inputs!$G$5:$G$180="moeda")+(Inputs!$G$5:$G$180="acoes"))*Inputs!$B$1+((Inputs!$G$5:$G$180&lt;&gt;"moeda")*(Inputs!$G$5:$G$180&lt;&gt;"acoes")))*INDEX(Inputs!$K$5:$AJ$180,0,MATCH(V$2,Inputs!$K$4:$AJ$4,0)))))</f>
        <v>252.227442297001</v>
      </c>
      <c r="W54" s="3">
        <f>SUM(S54:V54)</f>
        <v>1059.97217126587</v>
      </c>
      <c r="X54" s="6">
        <f>IF(ISNA(MATCH(X$2,Inputs!$K$4:$AJ$4,0)),NA(),IF(SUMPRODUCT((Inputs!$A$5:$A$180=$B54)*ISNUMBER(INDEX(Inputs!$K$5:$AJ$180,0,MATCH(X$2,Inputs!$K$4:$AJ$4,0))))+SUMPRODUCT((Inputs!$C$5:$C$180=$B54)*ISNUMBER(INDEX(Inputs!$K$5:$AJ$180,0,MATCH(X$2,Inputs!$K$4:$AJ$4,0))))+SUMPRODUCT((Inputs!$E$5:$E$180=$B54)*ISNUMBER(INDEX(Inputs!$K$5:$AJ$180,0,MATCH(X$2,Inputs!$K$4:$AJ$4,0))))=0,NA(),SUMPRODUCT((Inputs!$A$5:$A$180=$B54)*Inputs!$B$5:$B$180*(((Inputs!$G$5:$G$180="moeda")+(Inputs!$G$5:$G$180="acoes"))*Inputs!$B$1+((Inputs!$G$5:$G$180&lt;&gt;"moeda")*(Inputs!$G$5:$G$180&lt;&gt;"acoes")))*INDEX(Inputs!$K$5:$AJ$180,0,MATCH(X$2,Inputs!$K$4:$AJ$4,0)))+SUMPRODUCT((Inputs!$C$5:$C$180=$B54)*Inputs!$D$5:$D$180*(((Inputs!$G$5:$G$180="moeda")+(Inputs!$G$5:$G$180="acoes"))*Inputs!$B$1+((Inputs!$G$5:$G$180&lt;&gt;"moeda")*(Inputs!$G$5:$G$180&lt;&gt;"acoes")))*INDEX(Inputs!$K$5:$AJ$180,0,MATCH(X$2,Inputs!$K$4:$AJ$4,0)))+SUMPRODUCT((Inputs!$E$5:$E$180=$B54)*Inputs!$F$5:$F$180*(((Inputs!$G$5:$G$180="moeda")+(Inputs!$G$5:$G$180="acoes"))*Inputs!$B$1+((Inputs!$G$5:$G$180&lt;&gt;"moeda")*(Inputs!$G$5:$G$180&lt;&gt;"acoes")))*INDEX(Inputs!$K$5:$AJ$180,0,MATCH(X$2,Inputs!$K$4:$AJ$4,0)))))</f>
        <v>284.97237</v>
      </c>
      <c r="Y54" s="6">
        <f>IF(ISNA(MATCH(Y$2,Inputs!$K$4:$AJ$4,0)),NA(),IF(SUMPRODUCT((Inputs!$A$5:$A$180=$B54)*ISNUMBER(INDEX(Inputs!$K$5:$AJ$180,0,MATCH(Y$2,Inputs!$K$4:$AJ$4,0))))+SUMPRODUCT((Inputs!$C$5:$C$180=$B54)*ISNUMBER(INDEX(Inputs!$K$5:$AJ$180,0,MATCH(Y$2,Inputs!$K$4:$AJ$4,0))))+SUMPRODUCT((Inputs!$E$5:$E$180=$B54)*ISNUMBER(INDEX(Inputs!$K$5:$AJ$180,0,MATCH(Y$2,Inputs!$K$4:$AJ$4,0))))=0,NA(),SUMPRODUCT((Inputs!$A$5:$A$180=$B54)*Inputs!$B$5:$B$180*(((Inputs!$G$5:$G$180="moeda")+(Inputs!$G$5:$G$180="acoes"))*Inputs!$B$1+((Inputs!$G$5:$G$180&lt;&gt;"moeda")*(Inputs!$G$5:$G$180&lt;&gt;"acoes")))*INDEX(Inputs!$K$5:$AJ$180,0,MATCH(Y$2,Inputs!$K$4:$AJ$4,0)))+SUMPRODUCT((Inputs!$C$5:$C$180=$B54)*Inputs!$D$5:$D$180*(((Inputs!$G$5:$G$180="moeda")+(Inputs!$G$5:$G$180="acoes"))*Inputs!$B$1+((Inputs!$G$5:$G$180&lt;&gt;"moeda")*(Inputs!$G$5:$G$180&lt;&gt;"acoes")))*INDEX(Inputs!$K$5:$AJ$180,0,MATCH(Y$2,Inputs!$K$4:$AJ$4,0)))+SUMPRODUCT((Inputs!$E$5:$E$180=$B54)*Inputs!$F$5:$F$180*(((Inputs!$G$5:$G$180="moeda")+(Inputs!$G$5:$G$180="acoes"))*Inputs!$B$1+((Inputs!$G$5:$G$180&lt;&gt;"moeda")*(Inputs!$G$5:$G$180&lt;&gt;"acoes")))*INDEX(Inputs!$K$5:$AJ$180,0,MATCH(Y$2,Inputs!$K$4:$AJ$4,0)))))</f>
        <v>292.180676</v>
      </c>
      <c r="Z54" s="6">
        <f>IF(ISNA(MATCH(Z$2,Inputs!$K$4:$AJ$4,0)),NA(),IF(SUMPRODUCT((Inputs!$A$5:$A$180=$B54)*ISNUMBER(INDEX(Inputs!$K$5:$AJ$180,0,MATCH(Z$2,Inputs!$K$4:$AJ$4,0))))+SUMPRODUCT((Inputs!$C$5:$C$180=$B54)*ISNUMBER(INDEX(Inputs!$K$5:$AJ$180,0,MATCH(Z$2,Inputs!$K$4:$AJ$4,0))))+SUMPRODUCT((Inputs!$E$5:$E$180=$B54)*ISNUMBER(INDEX(Inputs!$K$5:$AJ$180,0,MATCH(Z$2,Inputs!$K$4:$AJ$4,0))))=0,NA(),SUMPRODUCT((Inputs!$A$5:$A$180=$B54)*Inputs!$B$5:$B$180*(((Inputs!$G$5:$G$180="moeda")+(Inputs!$G$5:$G$180="acoes"))*Inputs!$B$1+((Inputs!$G$5:$G$180&lt;&gt;"moeda")*(Inputs!$G$5:$G$180&lt;&gt;"acoes")))*INDEX(Inputs!$K$5:$AJ$180,0,MATCH(Z$2,Inputs!$K$4:$AJ$4,0)))+SUMPRODUCT((Inputs!$C$5:$C$180=$B54)*Inputs!$D$5:$D$180*(((Inputs!$G$5:$G$180="moeda")+(Inputs!$G$5:$G$180="acoes"))*Inputs!$B$1+((Inputs!$G$5:$G$180&lt;&gt;"moeda")*(Inputs!$G$5:$G$180&lt;&gt;"acoes")))*INDEX(Inputs!$K$5:$AJ$180,0,MATCH(Z$2,Inputs!$K$4:$AJ$4,0)))+SUMPRODUCT((Inputs!$E$5:$E$180=$B54)*Inputs!$F$5:$F$180*(((Inputs!$G$5:$G$180="moeda")+(Inputs!$G$5:$G$180="acoes"))*Inputs!$B$1+((Inputs!$G$5:$G$180&lt;&gt;"moeda")*(Inputs!$G$5:$G$180&lt;&gt;"acoes")))*INDEX(Inputs!$K$5:$AJ$180,0,MATCH(Z$2,Inputs!$K$4:$AJ$4,0)))))</f>
        <v>346.355975155029</v>
      </c>
      <c r="AA54" s="6">
        <f>IF(ISNA(MATCH(AA$2,Inputs!$K$4:$AJ$4,0)),NA(),IF(SUMPRODUCT((Inputs!$A$5:$A$180=$B54)*ISNUMBER(INDEX(Inputs!$K$5:$AJ$180,0,MATCH(AA$2,Inputs!$K$4:$AJ$4,0))))+SUMPRODUCT((Inputs!$C$5:$C$180=$B54)*ISNUMBER(INDEX(Inputs!$K$5:$AJ$180,0,MATCH(AA$2,Inputs!$K$4:$AJ$4,0))))+SUMPRODUCT((Inputs!$E$5:$E$180=$B54)*ISNUMBER(INDEX(Inputs!$K$5:$AJ$180,0,MATCH(AA$2,Inputs!$K$4:$AJ$4,0))))=0,NA(),SUMPRODUCT((Inputs!$A$5:$A$180=$B54)*Inputs!$B$5:$B$180*(((Inputs!$G$5:$G$180="moeda")+(Inputs!$G$5:$G$180="acoes"))*Inputs!$B$1+((Inputs!$G$5:$G$180&lt;&gt;"moeda")*(Inputs!$G$5:$G$180&lt;&gt;"acoes")))*INDEX(Inputs!$K$5:$AJ$180,0,MATCH(AA$2,Inputs!$K$4:$AJ$4,0)))+SUMPRODUCT((Inputs!$C$5:$C$180=$B54)*Inputs!$D$5:$D$180*(((Inputs!$G$5:$G$180="moeda")+(Inputs!$G$5:$G$180="acoes"))*Inputs!$B$1+((Inputs!$G$5:$G$180&lt;&gt;"moeda")*(Inputs!$G$5:$G$180&lt;&gt;"acoes")))*INDEX(Inputs!$K$5:$AJ$180,0,MATCH(AA$2,Inputs!$K$4:$AJ$4,0)))+SUMPRODUCT((Inputs!$E$5:$E$180=$B54)*Inputs!$F$5:$F$180*(((Inputs!$G$5:$G$180="moeda")+(Inputs!$G$5:$G$180="acoes"))*Inputs!$B$1+((Inputs!$G$5:$G$180&lt;&gt;"moeda")*(Inputs!$G$5:$G$180&lt;&gt;"acoes")))*INDEX(Inputs!$K$5:$AJ$180,0,MATCH(AA$2,Inputs!$K$4:$AJ$4,0)))))</f>
        <v>316.543483</v>
      </c>
      <c r="AB54" s="3">
        <f>SUM(X54:AA54)</f>
        <v>1240.05250415503</v>
      </c>
      <c r="AC54" s="6">
        <f>IF(ISNA(MATCH(AC$2,Inputs!$K$4:$AJ$4,0)),NA(),IF(SUMPRODUCT((Inputs!$A$5:$A$180=$B54)*ISNUMBER(INDEX(Inputs!$K$5:$AJ$180,0,MATCH(AC$2,Inputs!$K$4:$AJ$4,0))))+SUMPRODUCT((Inputs!$C$5:$C$180=$B54)*ISNUMBER(INDEX(Inputs!$K$5:$AJ$180,0,MATCH(AC$2,Inputs!$K$4:$AJ$4,0))))+SUMPRODUCT((Inputs!$E$5:$E$180=$B54)*ISNUMBER(INDEX(Inputs!$K$5:$AJ$180,0,MATCH(AC$2,Inputs!$K$4:$AJ$4,0))))=0,NA(),SUMPRODUCT((Inputs!$A$5:$A$180=$B54)*Inputs!$B$5:$B$180*(((Inputs!$G$5:$G$180="moeda")+(Inputs!$G$5:$G$180="acoes"))*Inputs!$B$1+((Inputs!$G$5:$G$180&lt;&gt;"moeda")*(Inputs!$G$5:$G$180&lt;&gt;"acoes")))*INDEX(Inputs!$K$5:$AJ$180,0,MATCH(AC$2,Inputs!$K$4:$AJ$4,0)))+SUMPRODUCT((Inputs!$C$5:$C$180=$B54)*Inputs!$D$5:$D$180*(((Inputs!$G$5:$G$180="moeda")+(Inputs!$G$5:$G$180="acoes"))*Inputs!$B$1+((Inputs!$G$5:$G$180&lt;&gt;"moeda")*(Inputs!$G$5:$G$180&lt;&gt;"acoes")))*INDEX(Inputs!$K$5:$AJ$180,0,MATCH(AC$2,Inputs!$K$4:$AJ$4,0)))+SUMPRODUCT((Inputs!$E$5:$E$180=$B54)*Inputs!$F$5:$F$180*(((Inputs!$G$5:$G$180="moeda")+(Inputs!$G$5:$G$180="acoes"))*Inputs!$B$1+((Inputs!$G$5:$G$180&lt;&gt;"moeda")*(Inputs!$G$5:$G$180&lt;&gt;"acoes")))*INDEX(Inputs!$K$5:$AJ$180,0,MATCH(AC$2,Inputs!$K$4:$AJ$4,0)))))</f>
        <v>364.963967882491</v>
      </c>
      <c r="AD54" s="6">
        <f>IF(ISNA(MATCH(AD$2,Inputs!$K$4:$AJ$4,0)),NA(),IF(SUMPRODUCT((Inputs!$A$5:$A$180=$B54)*ISNUMBER(INDEX(Inputs!$K$5:$AJ$180,0,MATCH(AD$2,Inputs!$K$4:$AJ$4,0))))+SUMPRODUCT((Inputs!$C$5:$C$180=$B54)*ISNUMBER(INDEX(Inputs!$K$5:$AJ$180,0,MATCH(AD$2,Inputs!$K$4:$AJ$4,0))))+SUMPRODUCT((Inputs!$E$5:$E$180=$B54)*ISNUMBER(INDEX(Inputs!$K$5:$AJ$180,0,MATCH(AD$2,Inputs!$K$4:$AJ$4,0))))=0,NA(),SUMPRODUCT((Inputs!$A$5:$A$180=$B54)*Inputs!$B$5:$B$180*(((Inputs!$G$5:$G$180="moeda")+(Inputs!$G$5:$G$180="acoes"))*Inputs!$B$1+((Inputs!$G$5:$G$180&lt;&gt;"moeda")*(Inputs!$G$5:$G$180&lt;&gt;"acoes")))*INDEX(Inputs!$K$5:$AJ$180,0,MATCH(AD$2,Inputs!$K$4:$AJ$4,0)))+SUMPRODUCT((Inputs!$C$5:$C$180=$B54)*Inputs!$D$5:$D$180*(((Inputs!$G$5:$G$180="moeda")+(Inputs!$G$5:$G$180="acoes"))*Inputs!$B$1+((Inputs!$G$5:$G$180&lt;&gt;"moeda")*(Inputs!$G$5:$G$180&lt;&gt;"acoes")))*INDEX(Inputs!$K$5:$AJ$180,0,MATCH(AD$2,Inputs!$K$4:$AJ$4,0)))+SUMPRODUCT((Inputs!$E$5:$E$180=$B54)*Inputs!$F$5:$F$180*(((Inputs!$G$5:$G$180="moeda")+(Inputs!$G$5:$G$180="acoes"))*Inputs!$B$1+((Inputs!$G$5:$G$180&lt;&gt;"moeda")*(Inputs!$G$5:$G$180&lt;&gt;"acoes")))*INDEX(Inputs!$K$5:$AJ$180,0,MATCH(AD$2,Inputs!$K$4:$AJ$4,0)))))</f>
        <v>373.079278</v>
      </c>
      <c r="AE54" s="6" t="e">
        <f>IF(ISNA(MATCH(AE$2,Inputs!$K$4:$AJ$4,0)),NA(),IF(SUMPRODUCT((Inputs!$A$5:$A$180=$B54)*ISNUMBER(INDEX(Inputs!$K$5:$AJ$180,0,MATCH(AE$2,Inputs!$K$4:$AJ$4,0))))+SUMPRODUCT((Inputs!$C$5:$C$180=$B54)*ISNUMBER(INDEX(Inputs!$K$5:$AJ$180,0,MATCH(AE$2,Inputs!$K$4:$AJ$4,0))))+SUMPRODUCT((Inputs!$E$5:$E$180=$B54)*ISNUMBER(INDEX(Inputs!$K$5:$AJ$180,0,MATCH(AE$2,Inputs!$K$4:$AJ$4,0))))=0,NA(),SUMPRODUCT((Inputs!$A$5:$A$180=$B54)*Inputs!$B$5:$B$180*(((Inputs!$G$5:$G$180="moeda")+(Inputs!$G$5:$G$180="acoes"))*Inputs!$B$1+((Inputs!$G$5:$G$180&lt;&gt;"moeda")*(Inputs!$G$5:$G$180&lt;&gt;"acoes")))*INDEX(Inputs!$K$5:$AJ$180,0,MATCH(AE$2,Inputs!$K$4:$AJ$4,0)))+SUMPRODUCT((Inputs!$C$5:$C$180=$B54)*Inputs!$D$5:$D$180*(((Inputs!$G$5:$G$180="moeda")+(Inputs!$G$5:$G$180="acoes"))*Inputs!$B$1+((Inputs!$G$5:$G$180&lt;&gt;"moeda")*(Inputs!$G$5:$G$180&lt;&gt;"acoes")))*INDEX(Inputs!$K$5:$AJ$180,0,MATCH(AE$2,Inputs!$K$4:$AJ$4,0)))+SUMPRODUCT((Inputs!$E$5:$E$180=$B54)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4" s="6" t="e">
        <f>IF(ISNA(MATCH(AF$2,Inputs!$K$4:$AJ$4,0)),NA(),IF(SUMPRODUCT((Inputs!$A$5:$A$180=$B54)*ISNUMBER(INDEX(Inputs!$K$5:$AJ$180,0,MATCH(AF$2,Inputs!$K$4:$AJ$4,0))))+SUMPRODUCT((Inputs!$C$5:$C$180=$B54)*ISNUMBER(INDEX(Inputs!$K$5:$AJ$180,0,MATCH(AF$2,Inputs!$K$4:$AJ$4,0))))+SUMPRODUCT((Inputs!$E$5:$E$180=$B54)*ISNUMBER(INDEX(Inputs!$K$5:$AJ$180,0,MATCH(AF$2,Inputs!$K$4:$AJ$4,0))))=0,NA(),SUMPRODUCT((Inputs!$A$5:$A$180=$B54)*Inputs!$B$5:$B$180*(((Inputs!$G$5:$G$180="moeda")+(Inputs!$G$5:$G$180="acoes"))*Inputs!$B$1+((Inputs!$G$5:$G$180&lt;&gt;"moeda")*(Inputs!$G$5:$G$180&lt;&gt;"acoes")))*INDEX(Inputs!$K$5:$AJ$180,0,MATCH(AF$2,Inputs!$K$4:$AJ$4,0)))+SUMPRODUCT((Inputs!$C$5:$C$180=$B54)*Inputs!$D$5:$D$180*(((Inputs!$G$5:$G$180="moeda")+(Inputs!$G$5:$G$180="acoes"))*Inputs!$B$1+((Inputs!$G$5:$G$180&lt;&gt;"moeda")*(Inputs!$G$5:$G$180&lt;&gt;"acoes")))*INDEX(Inputs!$K$5:$AJ$180,0,MATCH(AF$2,Inputs!$K$4:$AJ$4,0)))+SUMPRODUCT((Inputs!$E$5:$E$180=$B54)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4" s="3" t="e">
        <f>SUM(AC54:AF54)</f>
        <v>#N/A</v>
      </c>
      <c r="AH54" s="6">
        <f>IF(ISNA(MATCH(AH$2,Inputs!$K$4:$AJ$4,0)),NA(),IF(SUMPRODUCT((Inputs!$A$5:$A$180=$B54)*ISNUMBER(INDEX(Inputs!$K$5:$AJ$180,0,MATCH(AH$2,Inputs!$K$4:$AJ$4,0))))+SUMPRODUCT((Inputs!$C$5:$C$180=$B54)*ISNUMBER(INDEX(Inputs!$K$5:$AJ$180,0,MATCH(AH$2,Inputs!$K$4:$AJ$4,0))))+SUMPRODUCT((Inputs!$E$5:$E$180=$B54)*ISNUMBER(INDEX(Inputs!$K$5:$AJ$180,0,MATCH(AH$2,Inputs!$K$4:$AJ$4,0))))=0,NA(),SUMPRODUCT((Inputs!$A$5:$A$180=$B54)*Inputs!$B$5:$B$180*(((Inputs!$G$5:$G$180="moeda")+(Inputs!$G$5:$G$180="acoes"))*Inputs!$B$1+((Inputs!$G$5:$G$180&lt;&gt;"moeda")*(Inputs!$G$5:$G$180&lt;&gt;"acoes")))*INDEX(Inputs!$K$5:$AJ$180,0,MATCH(AH$2,Inputs!$K$4:$AJ$4,0)))+SUMPRODUCT((Inputs!$C$5:$C$180=$B54)*Inputs!$D$5:$D$180*(((Inputs!$G$5:$G$180="moeda")+(Inputs!$G$5:$G$180="acoes"))*Inputs!$B$1+((Inputs!$G$5:$G$180&lt;&gt;"moeda")*(Inputs!$G$5:$G$180&lt;&gt;"acoes")))*INDEX(Inputs!$K$5:$AJ$180,0,MATCH(AH$2,Inputs!$K$4:$AJ$4,0)))+SUMPRODUCT((Inputs!$E$5:$E$180=$B54)*Inputs!$F$5:$F$180*(((Inputs!$G$5:$G$180="moeda")+(Inputs!$G$5:$G$180="acoes"))*Inputs!$B$1+((Inputs!$G$5:$G$180&lt;&gt;"moeda")*(Inputs!$G$5:$G$180&lt;&gt;"acoes")))*INDEX(Inputs!$K$5:$AJ$180,0,MATCH(AH$2,Inputs!$K$4:$AJ$4,0)))))</f>
        <v>104.417205371121</v>
      </c>
      <c r="AI54" s="6">
        <f>IF(ISNA(MATCH(AI$2,Inputs!$K$4:$AJ$4,0)),NA(),IF(SUMPRODUCT((Inputs!$A$5:$A$180=$B54)*ISNUMBER(INDEX(Inputs!$K$5:$AJ$180,0,MATCH(AI$2,Inputs!$K$4:$AJ$4,0))))+SUMPRODUCT((Inputs!$C$5:$C$180=$B54)*ISNUMBER(INDEX(Inputs!$K$5:$AJ$180,0,MATCH(AI$2,Inputs!$K$4:$AJ$4,0))))+SUMPRODUCT((Inputs!$E$5:$E$180=$B54)*ISNUMBER(INDEX(Inputs!$K$5:$AJ$180,0,MATCH(AI$2,Inputs!$K$4:$AJ$4,0))))=0,NA(),SUMPRODUCT((Inputs!$A$5:$A$180=$B54)*Inputs!$B$5:$B$180*(((Inputs!$G$5:$G$180="moeda")+(Inputs!$G$5:$G$180="acoes"))*Inputs!$B$1+((Inputs!$G$5:$G$180&lt;&gt;"moeda")*(Inputs!$G$5:$G$180&lt;&gt;"acoes")))*INDEX(Inputs!$K$5:$AJ$180,0,MATCH(AI$2,Inputs!$K$4:$AJ$4,0)))+SUMPRODUCT((Inputs!$C$5:$C$180=$B54)*Inputs!$D$5:$D$180*(((Inputs!$G$5:$G$180="moeda")+(Inputs!$G$5:$G$180="acoes"))*Inputs!$B$1+((Inputs!$G$5:$G$180&lt;&gt;"moeda")*(Inputs!$G$5:$G$180&lt;&gt;"acoes")))*INDEX(Inputs!$K$5:$AJ$180,0,MATCH(AI$2,Inputs!$K$4:$AJ$4,0)))+SUMPRODUCT((Inputs!$E$5:$E$180=$B54)*Inputs!$F$5:$F$180*(((Inputs!$G$5:$G$180="moeda")+(Inputs!$G$5:$G$180="acoes"))*Inputs!$B$1+((Inputs!$G$5:$G$180&lt;&gt;"moeda")*(Inputs!$G$5:$G$180&lt;&gt;"acoes")))*INDEX(Inputs!$K$5:$AJ$180,0,MATCH(AI$2,Inputs!$K$4:$AJ$4,0)))))</f>
        <v>60.3140950214189</v>
      </c>
      <c r="AJ54" s="6">
        <f>IF(ISNA(MATCH(AJ$2,Inputs!$K$4:$AJ$4,0)),NA(),IF(SUMPRODUCT((Inputs!$A$5:$A$180=$B54)*ISNUMBER(INDEX(Inputs!$K$5:$AJ$180,0,MATCH(AJ$2,Inputs!$K$4:$AJ$4,0))))+SUMPRODUCT((Inputs!$C$5:$C$180=$B54)*ISNUMBER(INDEX(Inputs!$K$5:$AJ$180,0,MATCH(AJ$2,Inputs!$K$4:$AJ$4,0))))+SUMPRODUCT((Inputs!$E$5:$E$180=$B54)*ISNUMBER(INDEX(Inputs!$K$5:$AJ$180,0,MATCH(AJ$2,Inputs!$K$4:$AJ$4,0))))=0,NA(),SUMPRODUCT((Inputs!$A$5:$A$180=$B54)*Inputs!$B$5:$B$180*(((Inputs!$G$5:$G$180="moeda")+(Inputs!$G$5:$G$180="acoes"))*Inputs!$B$1+((Inputs!$G$5:$G$180&lt;&gt;"moeda")*(Inputs!$G$5:$G$180&lt;&gt;"acoes")))*INDEX(Inputs!$K$5:$AJ$180,0,MATCH(AJ$2,Inputs!$K$4:$AJ$4,0)))+SUMPRODUCT((Inputs!$C$5:$C$180=$B54)*Inputs!$D$5:$D$180*(((Inputs!$G$5:$G$180="moeda")+(Inputs!$G$5:$G$180="acoes"))*Inputs!$B$1+((Inputs!$G$5:$G$180&lt;&gt;"moeda")*(Inputs!$G$5:$G$180&lt;&gt;"acoes")))*INDEX(Inputs!$K$5:$AJ$180,0,MATCH(AJ$2,Inputs!$K$4:$AJ$4,0)))+SUMPRODUCT((Inputs!$E$5:$E$180=$B54)*Inputs!$F$5:$F$180*(((Inputs!$G$5:$G$180="moeda")+(Inputs!$G$5:$G$180="acoes"))*Inputs!$B$1+((Inputs!$G$5:$G$180&lt;&gt;"moeda")*(Inputs!$G$5:$G$180&lt;&gt;"acoes")))*INDEX(Inputs!$K$5:$AJ$180,0,MATCH(AJ$2,Inputs!$K$4:$AJ$4,0)))))</f>
        <v>129.863325094117</v>
      </c>
      <c r="AK54" s="6">
        <f>IF(ISNA(MATCH(AK$2,Inputs!$K$4:$AJ$4,0)),NA(),IF(SUMPRODUCT((Inputs!$A$5:$A$180=$B54)*ISNUMBER(INDEX(Inputs!$K$5:$AJ$180,0,MATCH(AK$2,Inputs!$K$4:$AJ$4,0))))+SUMPRODUCT((Inputs!$C$5:$C$180=$B54)*ISNUMBER(INDEX(Inputs!$K$5:$AJ$180,0,MATCH(AK$2,Inputs!$K$4:$AJ$4,0))))+SUMPRODUCT((Inputs!$E$5:$E$180=$B54)*ISNUMBER(INDEX(Inputs!$K$5:$AJ$180,0,MATCH(AK$2,Inputs!$K$4:$AJ$4,0))))=0,NA(),SUMPRODUCT((Inputs!$A$5:$A$180=$B54)*Inputs!$B$5:$B$180*(((Inputs!$G$5:$G$180="moeda")+(Inputs!$G$5:$G$180="acoes"))*Inputs!$B$1+((Inputs!$G$5:$G$180&lt;&gt;"moeda")*(Inputs!$G$5:$G$180&lt;&gt;"acoes")))*INDEX(Inputs!$K$5:$AJ$180,0,MATCH(AK$2,Inputs!$K$4:$AJ$4,0)))+SUMPRODUCT((Inputs!$C$5:$C$180=$B54)*Inputs!$D$5:$D$180*(((Inputs!$G$5:$G$180="moeda")+(Inputs!$G$5:$G$180="acoes"))*Inputs!$B$1+((Inputs!$G$5:$G$180&lt;&gt;"moeda")*(Inputs!$G$5:$G$180&lt;&gt;"acoes")))*INDEX(Inputs!$K$5:$AJ$180,0,MATCH(AK$2,Inputs!$K$4:$AJ$4,0)))+SUMPRODUCT((Inputs!$E$5:$E$180=$B54)*Inputs!$F$5:$F$180*(((Inputs!$G$5:$G$180="moeda")+(Inputs!$G$5:$G$180="acoes"))*Inputs!$B$1+((Inputs!$G$5:$G$180&lt;&gt;"moeda")*(Inputs!$G$5:$G$180&lt;&gt;"acoes")))*INDEX(Inputs!$K$5:$AJ$180,0,MATCH(AK$2,Inputs!$K$4:$AJ$4,0)))))</f>
        <v>126.11387746</v>
      </c>
      <c r="AL54" s="3">
        <f>SUM(AH54:AK54)</f>
        <v>420.708502946657</v>
      </c>
    </row>
    <row r="55">
      <c r="B55" s="46" t="n">
        <v>47</v>
      </c>
      <c r="C55" s="29" t="inlineStr">
        <is>
          <t>Marcas Rio de Janeiro</t>
        </is>
      </c>
      <c r="D55" s="6">
        <f>IF(ISNA(MATCH(D$2,Inputs!$K$4:$AJ$4,0)),NA(),IF(SUMPRODUCT((Inputs!$A$5:$A$180=$B55)*ISNUMBER(INDEX(Inputs!$K$5:$AJ$180,0,MATCH(D$2,Inputs!$K$4:$AJ$4,0))))+SUMPRODUCT((Inputs!$C$5:$C$180=$B55)*ISNUMBER(INDEX(Inputs!$K$5:$AJ$180,0,MATCH(D$2,Inputs!$K$4:$AJ$4,0))))+SUMPRODUCT((Inputs!$E$5:$E$180=$B55)*ISNUMBER(INDEX(Inputs!$K$5:$AJ$180,0,MATCH(D$2,Inputs!$K$4:$AJ$4,0))))=0,NA(),SUMPRODUCT((Inputs!$A$5:$A$180=$B55)*Inputs!$B$5:$B$180*(((Inputs!$G$5:$G$180="moeda")+(Inputs!$G$5:$G$180="acoes"))*Inputs!$B$1+((Inputs!$G$5:$G$180&lt;&gt;"moeda")*(Inputs!$G$5:$G$180&lt;&gt;"acoes")))*INDEX(Inputs!$K$5:$AJ$180,0,MATCH(D$2,Inputs!$K$4:$AJ$4,0)))+SUMPRODUCT((Inputs!$C$5:$C$180=$B55)*Inputs!$D$5:$D$180*(((Inputs!$G$5:$G$180="moeda")+(Inputs!$G$5:$G$180="acoes"))*Inputs!$B$1+((Inputs!$G$5:$G$180&lt;&gt;"moeda")*(Inputs!$G$5:$G$180&lt;&gt;"acoes")))*INDEX(Inputs!$K$5:$AJ$180,0,MATCH(D$2,Inputs!$K$4:$AJ$4,0)))+SUMPRODUCT((Inputs!$E$5:$E$180=$B55)*Inputs!$F$5:$F$180*(((Inputs!$G$5:$G$180="moeda")+(Inputs!$G$5:$G$180="acoes"))*Inputs!$B$1+((Inputs!$G$5:$G$180&lt;&gt;"moeda")*(Inputs!$G$5:$G$180&lt;&gt;"acoes")))*INDEX(Inputs!$K$5:$AJ$180,0,MATCH(D$2,Inputs!$K$4:$AJ$4,0)))))</f>
        <v>155.20112220809</v>
      </c>
      <c r="E55" s="6">
        <f>IF(ISNA(MATCH(E$2,Inputs!$K$4:$AJ$4,0)),NA(),IF(SUMPRODUCT((Inputs!$A$5:$A$180=$B55)*ISNUMBER(INDEX(Inputs!$K$5:$AJ$180,0,MATCH(E$2,Inputs!$K$4:$AJ$4,0))))+SUMPRODUCT((Inputs!$C$5:$C$180=$B55)*ISNUMBER(INDEX(Inputs!$K$5:$AJ$180,0,MATCH(E$2,Inputs!$K$4:$AJ$4,0))))+SUMPRODUCT((Inputs!$E$5:$E$180=$B55)*ISNUMBER(INDEX(Inputs!$K$5:$AJ$180,0,MATCH(E$2,Inputs!$K$4:$AJ$4,0))))=0,NA(),SUMPRODUCT((Inputs!$A$5:$A$180=$B55)*Inputs!$B$5:$B$180*(((Inputs!$G$5:$G$180="moeda")+(Inputs!$G$5:$G$180="acoes"))*Inputs!$B$1+((Inputs!$G$5:$G$180&lt;&gt;"moeda")*(Inputs!$G$5:$G$180&lt;&gt;"acoes")))*INDEX(Inputs!$K$5:$AJ$180,0,MATCH(E$2,Inputs!$K$4:$AJ$4,0)))+SUMPRODUCT((Inputs!$C$5:$C$180=$B55)*Inputs!$D$5:$D$180*(((Inputs!$G$5:$G$180="moeda")+(Inputs!$G$5:$G$180="acoes"))*Inputs!$B$1+((Inputs!$G$5:$G$180&lt;&gt;"moeda")*(Inputs!$G$5:$G$180&lt;&gt;"acoes")))*INDEX(Inputs!$K$5:$AJ$180,0,MATCH(E$2,Inputs!$K$4:$AJ$4,0)))+SUMPRODUCT((Inputs!$E$5:$E$180=$B55)*Inputs!$F$5:$F$180*(((Inputs!$G$5:$G$180="moeda")+(Inputs!$G$5:$G$180="acoes"))*Inputs!$B$1+((Inputs!$G$5:$G$180&lt;&gt;"moeda")*(Inputs!$G$5:$G$180&lt;&gt;"acoes")))*INDEX(Inputs!$K$5:$AJ$180,0,MATCH(E$2,Inputs!$K$4:$AJ$4,0)))))</f>
        <v>158.687036479999</v>
      </c>
      <c r="F55" s="6">
        <f>IF(ISNA(MATCH(F$2,Inputs!$K$4:$AJ$4,0)),NA(),IF(SUMPRODUCT((Inputs!$A$5:$A$180=$B55)*ISNUMBER(INDEX(Inputs!$K$5:$AJ$180,0,MATCH(F$2,Inputs!$K$4:$AJ$4,0))))+SUMPRODUCT((Inputs!$C$5:$C$180=$B55)*ISNUMBER(INDEX(Inputs!$K$5:$AJ$180,0,MATCH(F$2,Inputs!$K$4:$AJ$4,0))))+SUMPRODUCT((Inputs!$E$5:$E$180=$B55)*ISNUMBER(INDEX(Inputs!$K$5:$AJ$180,0,MATCH(F$2,Inputs!$K$4:$AJ$4,0))))=0,NA(),SUMPRODUCT((Inputs!$A$5:$A$180=$B55)*Inputs!$B$5:$B$180*(((Inputs!$G$5:$G$180="moeda")+(Inputs!$G$5:$G$180="acoes"))*Inputs!$B$1+((Inputs!$G$5:$G$180&lt;&gt;"moeda")*(Inputs!$G$5:$G$180&lt;&gt;"acoes")))*INDEX(Inputs!$K$5:$AJ$180,0,MATCH(F$2,Inputs!$K$4:$AJ$4,0)))+SUMPRODUCT((Inputs!$C$5:$C$180=$B55)*Inputs!$D$5:$D$180*(((Inputs!$G$5:$G$180="moeda")+(Inputs!$G$5:$G$180="acoes"))*Inputs!$B$1+((Inputs!$G$5:$G$180&lt;&gt;"moeda")*(Inputs!$G$5:$G$180&lt;&gt;"acoes")))*INDEX(Inputs!$K$5:$AJ$180,0,MATCH(F$2,Inputs!$K$4:$AJ$4,0)))+SUMPRODUCT((Inputs!$E$5:$E$180=$B55)*Inputs!$F$5:$F$180*(((Inputs!$G$5:$G$180="moeda")+(Inputs!$G$5:$G$180="acoes"))*Inputs!$B$1+((Inputs!$G$5:$G$180&lt;&gt;"moeda")*(Inputs!$G$5:$G$180&lt;&gt;"acoes")))*INDEX(Inputs!$K$5:$AJ$180,0,MATCH(F$2,Inputs!$K$4:$AJ$4,0)))))</f>
        <v>159.76068278</v>
      </c>
      <c r="G55" s="6">
        <f>IF(ISNA(MATCH(G$2,Inputs!$K$4:$AJ$4,0)),NA(),IF(SUMPRODUCT((Inputs!$A$5:$A$180=$B55)*ISNUMBER(INDEX(Inputs!$K$5:$AJ$180,0,MATCH(G$2,Inputs!$K$4:$AJ$4,0))))+SUMPRODUCT((Inputs!$C$5:$C$180=$B55)*ISNUMBER(INDEX(Inputs!$K$5:$AJ$180,0,MATCH(G$2,Inputs!$K$4:$AJ$4,0))))+SUMPRODUCT((Inputs!$E$5:$E$180=$B55)*ISNUMBER(INDEX(Inputs!$K$5:$AJ$180,0,MATCH(G$2,Inputs!$K$4:$AJ$4,0))))=0,NA(),SUMPRODUCT((Inputs!$A$5:$A$180=$B55)*Inputs!$B$5:$B$180*(((Inputs!$G$5:$G$180="moeda")+(Inputs!$G$5:$G$180="acoes"))*Inputs!$B$1+((Inputs!$G$5:$G$180&lt;&gt;"moeda")*(Inputs!$G$5:$G$180&lt;&gt;"acoes")))*INDEX(Inputs!$K$5:$AJ$180,0,MATCH(G$2,Inputs!$K$4:$AJ$4,0)))+SUMPRODUCT((Inputs!$C$5:$C$180=$B55)*Inputs!$D$5:$D$180*(((Inputs!$G$5:$G$180="moeda")+(Inputs!$G$5:$G$180="acoes"))*Inputs!$B$1+((Inputs!$G$5:$G$180&lt;&gt;"moeda")*(Inputs!$G$5:$G$180&lt;&gt;"acoes")))*INDEX(Inputs!$K$5:$AJ$180,0,MATCH(G$2,Inputs!$K$4:$AJ$4,0)))+SUMPRODUCT((Inputs!$E$5:$E$180=$B55)*Inputs!$F$5:$F$180*(((Inputs!$G$5:$G$180="moeda")+(Inputs!$G$5:$G$180="acoes"))*Inputs!$B$1+((Inputs!$G$5:$G$180&lt;&gt;"moeda")*(Inputs!$G$5:$G$180&lt;&gt;"acoes")))*INDEX(Inputs!$K$5:$AJ$180,0,MATCH(G$2,Inputs!$K$4:$AJ$4,0)))))</f>
        <v>145.98747663</v>
      </c>
      <c r="H55" s="3">
        <f>SUM(D55:G55)</f>
        <v>619.636318098089</v>
      </c>
      <c r="I55" s="6">
        <f>IF(ISNA(MATCH(I$2,Inputs!$K$4:$AJ$4,0)),NA(),IF(SUMPRODUCT((Inputs!$A$5:$A$180=$B55)*ISNUMBER(INDEX(Inputs!$K$5:$AJ$180,0,MATCH(I$2,Inputs!$K$4:$AJ$4,0))))+SUMPRODUCT((Inputs!$C$5:$C$180=$B55)*ISNUMBER(INDEX(Inputs!$K$5:$AJ$180,0,MATCH(I$2,Inputs!$K$4:$AJ$4,0))))+SUMPRODUCT((Inputs!$E$5:$E$180=$B55)*ISNUMBER(INDEX(Inputs!$K$5:$AJ$180,0,MATCH(I$2,Inputs!$K$4:$AJ$4,0))))=0,NA(),SUMPRODUCT((Inputs!$A$5:$A$180=$B55)*Inputs!$B$5:$B$180*(((Inputs!$G$5:$G$180="moeda")+(Inputs!$G$5:$G$180="acoes"))*Inputs!$B$1+((Inputs!$G$5:$G$180&lt;&gt;"moeda")*(Inputs!$G$5:$G$180&lt;&gt;"acoes")))*INDEX(Inputs!$K$5:$AJ$180,0,MATCH(I$2,Inputs!$K$4:$AJ$4,0)))+SUMPRODUCT((Inputs!$C$5:$C$180=$B55)*Inputs!$D$5:$D$180*(((Inputs!$G$5:$G$180="moeda")+(Inputs!$G$5:$G$180="acoes"))*Inputs!$B$1+((Inputs!$G$5:$G$180&lt;&gt;"moeda")*(Inputs!$G$5:$G$180&lt;&gt;"acoes")))*INDEX(Inputs!$K$5:$AJ$180,0,MATCH(I$2,Inputs!$K$4:$AJ$4,0)))+SUMPRODUCT((Inputs!$E$5:$E$180=$B55)*Inputs!$F$5:$F$180*(((Inputs!$G$5:$G$180="moeda")+(Inputs!$G$5:$G$180="acoes"))*Inputs!$B$1+((Inputs!$G$5:$G$180&lt;&gt;"moeda")*(Inputs!$G$5:$G$180&lt;&gt;"acoes")))*INDEX(Inputs!$K$5:$AJ$180,0,MATCH(I$2,Inputs!$K$4:$AJ$4,0)))))</f>
        <v>159.52179541</v>
      </c>
      <c r="J55" s="6">
        <f>IF(ISNA(MATCH(J$2,Inputs!$K$4:$AJ$4,0)),NA(),IF(SUMPRODUCT((Inputs!$A$5:$A$180=$B55)*ISNUMBER(INDEX(Inputs!$K$5:$AJ$180,0,MATCH(J$2,Inputs!$K$4:$AJ$4,0))))+SUMPRODUCT((Inputs!$C$5:$C$180=$B55)*ISNUMBER(INDEX(Inputs!$K$5:$AJ$180,0,MATCH(J$2,Inputs!$K$4:$AJ$4,0))))+SUMPRODUCT((Inputs!$E$5:$E$180=$B55)*ISNUMBER(INDEX(Inputs!$K$5:$AJ$180,0,MATCH(J$2,Inputs!$K$4:$AJ$4,0))))=0,NA(),SUMPRODUCT((Inputs!$A$5:$A$180=$B55)*Inputs!$B$5:$B$180*(((Inputs!$G$5:$G$180="moeda")+(Inputs!$G$5:$G$180="acoes"))*Inputs!$B$1+((Inputs!$G$5:$G$180&lt;&gt;"moeda")*(Inputs!$G$5:$G$180&lt;&gt;"acoes")))*INDEX(Inputs!$K$5:$AJ$180,0,MATCH(J$2,Inputs!$K$4:$AJ$4,0)))+SUMPRODUCT((Inputs!$C$5:$C$180=$B55)*Inputs!$D$5:$D$180*(((Inputs!$G$5:$G$180="moeda")+(Inputs!$G$5:$G$180="acoes"))*Inputs!$B$1+((Inputs!$G$5:$G$180&lt;&gt;"moeda")*(Inputs!$G$5:$G$180&lt;&gt;"acoes")))*INDEX(Inputs!$K$5:$AJ$180,0,MATCH(J$2,Inputs!$K$4:$AJ$4,0)))+SUMPRODUCT((Inputs!$E$5:$E$180=$B55)*Inputs!$F$5:$F$180*(((Inputs!$G$5:$G$180="moeda")+(Inputs!$G$5:$G$180="acoes"))*Inputs!$B$1+((Inputs!$G$5:$G$180&lt;&gt;"moeda")*(Inputs!$G$5:$G$180&lt;&gt;"acoes")))*INDEX(Inputs!$K$5:$AJ$180,0,MATCH(J$2,Inputs!$K$4:$AJ$4,0)))))</f>
        <v>171.349672198942</v>
      </c>
      <c r="K55" s="6">
        <f>IF(ISNA(MATCH(K$2,Inputs!$K$4:$AJ$4,0)),NA(),IF(SUMPRODUCT((Inputs!$A$5:$A$180=$B55)*ISNUMBER(INDEX(Inputs!$K$5:$AJ$180,0,MATCH(K$2,Inputs!$K$4:$AJ$4,0))))+SUMPRODUCT((Inputs!$C$5:$C$180=$B55)*ISNUMBER(INDEX(Inputs!$K$5:$AJ$180,0,MATCH(K$2,Inputs!$K$4:$AJ$4,0))))+SUMPRODUCT((Inputs!$E$5:$E$180=$B55)*ISNUMBER(INDEX(Inputs!$K$5:$AJ$180,0,MATCH(K$2,Inputs!$K$4:$AJ$4,0))))=0,NA(),SUMPRODUCT((Inputs!$A$5:$A$180=$B55)*Inputs!$B$5:$B$180*(((Inputs!$G$5:$G$180="moeda")+(Inputs!$G$5:$G$180="acoes"))*Inputs!$B$1+((Inputs!$G$5:$G$180&lt;&gt;"moeda")*(Inputs!$G$5:$G$180&lt;&gt;"acoes")))*INDEX(Inputs!$K$5:$AJ$180,0,MATCH(K$2,Inputs!$K$4:$AJ$4,0)))+SUMPRODUCT((Inputs!$C$5:$C$180=$B55)*Inputs!$D$5:$D$180*(((Inputs!$G$5:$G$180="moeda")+(Inputs!$G$5:$G$180="acoes"))*Inputs!$B$1+((Inputs!$G$5:$G$180&lt;&gt;"moeda")*(Inputs!$G$5:$G$180&lt;&gt;"acoes")))*INDEX(Inputs!$K$5:$AJ$180,0,MATCH(K$2,Inputs!$K$4:$AJ$4,0)))+SUMPRODUCT((Inputs!$E$5:$E$180=$B55)*Inputs!$F$5:$F$180*(((Inputs!$G$5:$G$180="moeda")+(Inputs!$G$5:$G$180="acoes"))*Inputs!$B$1+((Inputs!$G$5:$G$180&lt;&gt;"moeda")*(Inputs!$G$5:$G$180&lt;&gt;"acoes")))*INDEX(Inputs!$K$5:$AJ$180,0,MATCH(K$2,Inputs!$K$4:$AJ$4,0)))))</f>
        <v>179.385965</v>
      </c>
      <c r="L55" s="6">
        <f>IF(ISNA(MATCH(L$2,Inputs!$K$4:$AJ$4,0)),NA(),IF(SUMPRODUCT((Inputs!$A$5:$A$180=$B55)*ISNUMBER(INDEX(Inputs!$K$5:$AJ$180,0,MATCH(L$2,Inputs!$K$4:$AJ$4,0))))+SUMPRODUCT((Inputs!$C$5:$C$180=$B55)*ISNUMBER(INDEX(Inputs!$K$5:$AJ$180,0,MATCH(L$2,Inputs!$K$4:$AJ$4,0))))+SUMPRODUCT((Inputs!$E$5:$E$180=$B55)*ISNUMBER(INDEX(Inputs!$K$5:$AJ$180,0,MATCH(L$2,Inputs!$K$4:$AJ$4,0))))=0,NA(),SUMPRODUCT((Inputs!$A$5:$A$180=$B55)*Inputs!$B$5:$B$180*(((Inputs!$G$5:$G$180="moeda")+(Inputs!$G$5:$G$180="acoes"))*Inputs!$B$1+((Inputs!$G$5:$G$180&lt;&gt;"moeda")*(Inputs!$G$5:$G$180&lt;&gt;"acoes")))*INDEX(Inputs!$K$5:$AJ$180,0,MATCH(L$2,Inputs!$K$4:$AJ$4,0)))+SUMPRODUCT((Inputs!$C$5:$C$180=$B55)*Inputs!$D$5:$D$180*(((Inputs!$G$5:$G$180="moeda")+(Inputs!$G$5:$G$180="acoes"))*Inputs!$B$1+((Inputs!$G$5:$G$180&lt;&gt;"moeda")*(Inputs!$G$5:$G$180&lt;&gt;"acoes")))*INDEX(Inputs!$K$5:$AJ$180,0,MATCH(L$2,Inputs!$K$4:$AJ$4,0)))+SUMPRODUCT((Inputs!$E$5:$E$180=$B55)*Inputs!$F$5:$F$180*(((Inputs!$G$5:$G$180="moeda")+(Inputs!$G$5:$G$180="acoes"))*Inputs!$B$1+((Inputs!$G$5:$G$180&lt;&gt;"moeda")*(Inputs!$G$5:$G$180&lt;&gt;"acoes")))*INDEX(Inputs!$K$5:$AJ$180,0,MATCH(L$2,Inputs!$K$4:$AJ$4,0)))))</f>
        <v>167.181327</v>
      </c>
      <c r="M55" s="3">
        <f>SUM(I55:L55)</f>
        <v>677.438759608942</v>
      </c>
      <c r="N55" s="6">
        <f>IF(ISNA(MATCH(N$2,Inputs!$K$4:$AJ$4,0)),NA(),IF(SUMPRODUCT((Inputs!$A$5:$A$180=$B55)*ISNUMBER(INDEX(Inputs!$K$5:$AJ$180,0,MATCH(N$2,Inputs!$K$4:$AJ$4,0))))+SUMPRODUCT((Inputs!$C$5:$C$180=$B55)*ISNUMBER(INDEX(Inputs!$K$5:$AJ$180,0,MATCH(N$2,Inputs!$K$4:$AJ$4,0))))+SUMPRODUCT((Inputs!$E$5:$E$180=$B55)*ISNUMBER(INDEX(Inputs!$K$5:$AJ$180,0,MATCH(N$2,Inputs!$K$4:$AJ$4,0))))=0,NA(),SUMPRODUCT((Inputs!$A$5:$A$180=$B55)*Inputs!$B$5:$B$180*(((Inputs!$G$5:$G$180="moeda")+(Inputs!$G$5:$G$180="acoes"))*Inputs!$B$1+((Inputs!$G$5:$G$180&lt;&gt;"moeda")*(Inputs!$G$5:$G$180&lt;&gt;"acoes")))*INDEX(Inputs!$K$5:$AJ$180,0,MATCH(N$2,Inputs!$K$4:$AJ$4,0)))+SUMPRODUCT((Inputs!$C$5:$C$180=$B55)*Inputs!$D$5:$D$180*(((Inputs!$G$5:$G$180="moeda")+(Inputs!$G$5:$G$180="acoes"))*Inputs!$B$1+((Inputs!$G$5:$G$180&lt;&gt;"moeda")*(Inputs!$G$5:$G$180&lt;&gt;"acoes")))*INDEX(Inputs!$K$5:$AJ$180,0,MATCH(N$2,Inputs!$K$4:$AJ$4,0)))+SUMPRODUCT((Inputs!$E$5:$E$180=$B55)*Inputs!$F$5:$F$180*(((Inputs!$G$5:$G$180="moeda")+(Inputs!$G$5:$G$180="acoes"))*Inputs!$B$1+((Inputs!$G$5:$G$180&lt;&gt;"moeda")*(Inputs!$G$5:$G$180&lt;&gt;"acoes")))*INDEX(Inputs!$K$5:$AJ$180,0,MATCH(N$2,Inputs!$K$4:$AJ$4,0)))))</f>
        <v>187.006096</v>
      </c>
      <c r="O55" s="6" t="e">
        <f>IF(ISNA(MATCH(O$2,Inputs!$K$4:$AJ$4,0)),NA(),IF(SUMPRODUCT((Inputs!$A$5:$A$180=$B55)*ISNUMBER(INDEX(Inputs!$K$5:$AJ$180,0,MATCH(O$2,Inputs!$K$4:$AJ$4,0))))+SUMPRODUCT((Inputs!$C$5:$C$180=$B55)*ISNUMBER(INDEX(Inputs!$K$5:$AJ$180,0,MATCH(O$2,Inputs!$K$4:$AJ$4,0))))+SUMPRODUCT((Inputs!$E$5:$E$180=$B55)*ISNUMBER(INDEX(Inputs!$K$5:$AJ$180,0,MATCH(O$2,Inputs!$K$4:$AJ$4,0))))=0,NA(),SUMPRODUCT((Inputs!$A$5:$A$180=$B55)*Inputs!$B$5:$B$180*(((Inputs!$G$5:$G$180="moeda")+(Inputs!$G$5:$G$180="acoes"))*Inputs!$B$1+((Inputs!$G$5:$G$180&lt;&gt;"moeda")*(Inputs!$G$5:$G$180&lt;&gt;"acoes")))*INDEX(Inputs!$K$5:$AJ$180,0,MATCH(O$2,Inputs!$K$4:$AJ$4,0)))+SUMPRODUCT((Inputs!$C$5:$C$180=$B55)*Inputs!$D$5:$D$180*(((Inputs!$G$5:$G$180="moeda")+(Inputs!$G$5:$G$180="acoes"))*Inputs!$B$1+((Inputs!$G$5:$G$180&lt;&gt;"moeda")*(Inputs!$G$5:$G$180&lt;&gt;"acoes")))*INDEX(Inputs!$K$5:$AJ$180,0,MATCH(O$2,Inputs!$K$4:$AJ$4,0)))+SUMPRODUCT((Inputs!$E$5:$E$180=$B55)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5" s="6">
        <f>IF(ISNA(MATCH(P$2,Inputs!$K$4:$AJ$4,0)),NA(),IF(SUMPRODUCT((Inputs!$A$5:$A$180=$B55)*ISNUMBER(INDEX(Inputs!$K$5:$AJ$180,0,MATCH(P$2,Inputs!$K$4:$AJ$4,0))))+SUMPRODUCT((Inputs!$C$5:$C$180=$B55)*ISNUMBER(INDEX(Inputs!$K$5:$AJ$180,0,MATCH(P$2,Inputs!$K$4:$AJ$4,0))))+SUMPRODUCT((Inputs!$E$5:$E$180=$B55)*ISNUMBER(INDEX(Inputs!$K$5:$AJ$180,0,MATCH(P$2,Inputs!$K$4:$AJ$4,0))))=0,NA(),SUMPRODUCT((Inputs!$A$5:$A$180=$B55)*Inputs!$B$5:$B$180*(((Inputs!$G$5:$G$180="moeda")+(Inputs!$G$5:$G$180="acoes"))*Inputs!$B$1+((Inputs!$G$5:$G$180&lt;&gt;"moeda")*(Inputs!$G$5:$G$180&lt;&gt;"acoes")))*INDEX(Inputs!$K$5:$AJ$180,0,MATCH(P$2,Inputs!$K$4:$AJ$4,0)))+SUMPRODUCT((Inputs!$C$5:$C$180=$B55)*Inputs!$D$5:$D$180*(((Inputs!$G$5:$G$180="moeda")+(Inputs!$G$5:$G$180="acoes"))*Inputs!$B$1+((Inputs!$G$5:$G$180&lt;&gt;"moeda")*(Inputs!$G$5:$G$180&lt;&gt;"acoes")))*INDEX(Inputs!$K$5:$AJ$180,0,MATCH(P$2,Inputs!$K$4:$AJ$4,0)))+SUMPRODUCT((Inputs!$E$5:$E$180=$B55)*Inputs!$F$5:$F$180*(((Inputs!$G$5:$G$180="moeda")+(Inputs!$G$5:$G$180="acoes"))*Inputs!$B$1+((Inputs!$G$5:$G$180&lt;&gt;"moeda")*(Inputs!$G$5:$G$180&lt;&gt;"acoes")))*INDEX(Inputs!$K$5:$AJ$180,0,MATCH(P$2,Inputs!$K$4:$AJ$4,0)))))</f>
        <v>232.98465544</v>
      </c>
      <c r="Q55" s="6">
        <f>IF(ISNA(MATCH(Q$2,Inputs!$K$4:$AJ$4,0)),NA(),IF(SUMPRODUCT((Inputs!$A$5:$A$180=$B55)*ISNUMBER(INDEX(Inputs!$K$5:$AJ$180,0,MATCH(Q$2,Inputs!$K$4:$AJ$4,0))))+SUMPRODUCT((Inputs!$C$5:$C$180=$B55)*ISNUMBER(INDEX(Inputs!$K$5:$AJ$180,0,MATCH(Q$2,Inputs!$K$4:$AJ$4,0))))+SUMPRODUCT((Inputs!$E$5:$E$180=$B55)*ISNUMBER(INDEX(Inputs!$K$5:$AJ$180,0,MATCH(Q$2,Inputs!$K$4:$AJ$4,0))))=0,NA(),SUMPRODUCT((Inputs!$A$5:$A$180=$B55)*Inputs!$B$5:$B$180*(((Inputs!$G$5:$G$180="moeda")+(Inputs!$G$5:$G$180="acoes"))*Inputs!$B$1+((Inputs!$G$5:$G$180&lt;&gt;"moeda")*(Inputs!$G$5:$G$180&lt;&gt;"acoes")))*INDEX(Inputs!$K$5:$AJ$180,0,MATCH(Q$2,Inputs!$K$4:$AJ$4,0)))+SUMPRODUCT((Inputs!$C$5:$C$180=$B55)*Inputs!$D$5:$D$180*(((Inputs!$G$5:$G$180="moeda")+(Inputs!$G$5:$G$180="acoes"))*Inputs!$B$1+((Inputs!$G$5:$G$180&lt;&gt;"moeda")*(Inputs!$G$5:$G$180&lt;&gt;"acoes")))*INDEX(Inputs!$K$5:$AJ$180,0,MATCH(Q$2,Inputs!$K$4:$AJ$4,0)))+SUMPRODUCT((Inputs!$E$5:$E$180=$B55)*Inputs!$F$5:$F$180*(((Inputs!$G$5:$G$180="moeda")+(Inputs!$G$5:$G$180="acoes"))*Inputs!$B$1+((Inputs!$G$5:$G$180&lt;&gt;"moeda")*(Inputs!$G$5:$G$180&lt;&gt;"acoes")))*INDEX(Inputs!$K$5:$AJ$180,0,MATCH(Q$2,Inputs!$K$4:$AJ$4,0)))))</f>
        <v>201.689043</v>
      </c>
      <c r="R55" s="3" t="e">
        <f>SUM(N55:Q55)</f>
        <v>#N/A</v>
      </c>
      <c r="S55" s="6">
        <f>IF(ISNA(MATCH(S$2,Inputs!$K$4:$AJ$4,0)),NA(),IF(SUMPRODUCT((Inputs!$A$5:$A$180=$B55)*ISNUMBER(INDEX(Inputs!$K$5:$AJ$180,0,MATCH(S$2,Inputs!$K$4:$AJ$4,0))))+SUMPRODUCT((Inputs!$C$5:$C$180=$B55)*ISNUMBER(INDEX(Inputs!$K$5:$AJ$180,0,MATCH(S$2,Inputs!$K$4:$AJ$4,0))))+SUMPRODUCT((Inputs!$E$5:$E$180=$B55)*ISNUMBER(INDEX(Inputs!$K$5:$AJ$180,0,MATCH(S$2,Inputs!$K$4:$AJ$4,0))))=0,NA(),SUMPRODUCT((Inputs!$A$5:$A$180=$B55)*Inputs!$B$5:$B$180*(((Inputs!$G$5:$G$180="moeda")+(Inputs!$G$5:$G$180="acoes"))*Inputs!$B$1+((Inputs!$G$5:$G$180&lt;&gt;"moeda")*(Inputs!$G$5:$G$180&lt;&gt;"acoes")))*INDEX(Inputs!$K$5:$AJ$180,0,MATCH(S$2,Inputs!$K$4:$AJ$4,0)))+SUMPRODUCT((Inputs!$C$5:$C$180=$B55)*Inputs!$D$5:$D$180*(((Inputs!$G$5:$G$180="moeda")+(Inputs!$G$5:$G$180="acoes"))*Inputs!$B$1+((Inputs!$G$5:$G$180&lt;&gt;"moeda")*(Inputs!$G$5:$G$180&lt;&gt;"acoes")))*INDEX(Inputs!$K$5:$AJ$180,0,MATCH(S$2,Inputs!$K$4:$AJ$4,0)))+SUMPRODUCT((Inputs!$E$5:$E$180=$B55)*Inputs!$F$5:$F$180*(((Inputs!$G$5:$G$180="moeda")+(Inputs!$G$5:$G$180="acoes"))*Inputs!$B$1+((Inputs!$G$5:$G$180&lt;&gt;"moeda")*(Inputs!$G$5:$G$180&lt;&gt;"acoes")))*INDEX(Inputs!$K$5:$AJ$180,0,MATCH(S$2,Inputs!$K$4:$AJ$4,0)))))</f>
        <v>217.491723434036</v>
      </c>
      <c r="T55" s="6">
        <f>IF(ISNA(MATCH(T$2,Inputs!$K$4:$AJ$4,0)),NA(),IF(SUMPRODUCT((Inputs!$A$5:$A$180=$B55)*ISNUMBER(INDEX(Inputs!$K$5:$AJ$180,0,MATCH(T$2,Inputs!$K$4:$AJ$4,0))))+SUMPRODUCT((Inputs!$C$5:$C$180=$B55)*ISNUMBER(INDEX(Inputs!$K$5:$AJ$180,0,MATCH(T$2,Inputs!$K$4:$AJ$4,0))))+SUMPRODUCT((Inputs!$E$5:$E$180=$B55)*ISNUMBER(INDEX(Inputs!$K$5:$AJ$180,0,MATCH(T$2,Inputs!$K$4:$AJ$4,0))))=0,NA(),SUMPRODUCT((Inputs!$A$5:$A$180=$B55)*Inputs!$B$5:$B$180*(((Inputs!$G$5:$G$180="moeda")+(Inputs!$G$5:$G$180="acoes"))*Inputs!$B$1+((Inputs!$G$5:$G$180&lt;&gt;"moeda")*(Inputs!$G$5:$G$180&lt;&gt;"acoes")))*INDEX(Inputs!$K$5:$AJ$180,0,MATCH(T$2,Inputs!$K$4:$AJ$4,0)))+SUMPRODUCT((Inputs!$C$5:$C$180=$B55)*Inputs!$D$5:$D$180*(((Inputs!$G$5:$G$180="moeda")+(Inputs!$G$5:$G$180="acoes"))*Inputs!$B$1+((Inputs!$G$5:$G$180&lt;&gt;"moeda")*(Inputs!$G$5:$G$180&lt;&gt;"acoes")))*INDEX(Inputs!$K$5:$AJ$180,0,MATCH(T$2,Inputs!$K$4:$AJ$4,0)))+SUMPRODUCT((Inputs!$E$5:$E$180=$B55)*Inputs!$F$5:$F$180*(((Inputs!$G$5:$G$180="moeda")+(Inputs!$G$5:$G$180="acoes"))*Inputs!$B$1+((Inputs!$G$5:$G$180&lt;&gt;"moeda")*(Inputs!$G$5:$G$180&lt;&gt;"acoes")))*INDEX(Inputs!$K$5:$AJ$180,0,MATCH(T$2,Inputs!$K$4:$AJ$4,0)))))</f>
        <v>239.352098344972</v>
      </c>
      <c r="U55" s="6">
        <f>IF(ISNA(MATCH(U$2,Inputs!$K$4:$AJ$4,0)),NA(),IF(SUMPRODUCT((Inputs!$A$5:$A$180=$B55)*ISNUMBER(INDEX(Inputs!$K$5:$AJ$180,0,MATCH(U$2,Inputs!$K$4:$AJ$4,0))))+SUMPRODUCT((Inputs!$C$5:$C$180=$B55)*ISNUMBER(INDEX(Inputs!$K$5:$AJ$180,0,MATCH(U$2,Inputs!$K$4:$AJ$4,0))))+SUMPRODUCT((Inputs!$E$5:$E$180=$B55)*ISNUMBER(INDEX(Inputs!$K$5:$AJ$180,0,MATCH(U$2,Inputs!$K$4:$AJ$4,0))))=0,NA(),SUMPRODUCT((Inputs!$A$5:$A$180=$B55)*Inputs!$B$5:$B$180*(((Inputs!$G$5:$G$180="moeda")+(Inputs!$G$5:$G$180="acoes"))*Inputs!$B$1+((Inputs!$G$5:$G$180&lt;&gt;"moeda")*(Inputs!$G$5:$G$180&lt;&gt;"acoes")))*INDEX(Inputs!$K$5:$AJ$180,0,MATCH(U$2,Inputs!$K$4:$AJ$4,0)))+SUMPRODUCT((Inputs!$C$5:$C$180=$B55)*Inputs!$D$5:$D$180*(((Inputs!$G$5:$G$180="moeda")+(Inputs!$G$5:$G$180="acoes"))*Inputs!$B$1+((Inputs!$G$5:$G$180&lt;&gt;"moeda")*(Inputs!$G$5:$G$180&lt;&gt;"acoes")))*INDEX(Inputs!$K$5:$AJ$180,0,MATCH(U$2,Inputs!$K$4:$AJ$4,0)))+SUMPRODUCT((Inputs!$E$5:$E$180=$B55)*Inputs!$F$5:$F$180*(((Inputs!$G$5:$G$180="moeda")+(Inputs!$G$5:$G$180="acoes"))*Inputs!$B$1+((Inputs!$G$5:$G$180&lt;&gt;"moeda")*(Inputs!$G$5:$G$180&lt;&gt;"acoes")))*INDEX(Inputs!$K$5:$AJ$180,0,MATCH(U$2,Inputs!$K$4:$AJ$4,0)))))</f>
        <v>241.885631</v>
      </c>
      <c r="V55" s="6">
        <f>IF(ISNA(MATCH(V$2,Inputs!$K$4:$AJ$4,0)),NA(),IF(SUMPRODUCT((Inputs!$A$5:$A$180=$B55)*ISNUMBER(INDEX(Inputs!$K$5:$AJ$180,0,MATCH(V$2,Inputs!$K$4:$AJ$4,0))))+SUMPRODUCT((Inputs!$C$5:$C$180=$B55)*ISNUMBER(INDEX(Inputs!$K$5:$AJ$180,0,MATCH(V$2,Inputs!$K$4:$AJ$4,0))))+SUMPRODUCT((Inputs!$E$5:$E$180=$B55)*ISNUMBER(INDEX(Inputs!$K$5:$AJ$180,0,MATCH(V$2,Inputs!$K$4:$AJ$4,0))))=0,NA(),SUMPRODUCT((Inputs!$A$5:$A$180=$B55)*Inputs!$B$5:$B$180*(((Inputs!$G$5:$G$180="moeda")+(Inputs!$G$5:$G$180="acoes"))*Inputs!$B$1+((Inputs!$G$5:$G$180&lt;&gt;"moeda")*(Inputs!$G$5:$G$180&lt;&gt;"acoes")))*INDEX(Inputs!$K$5:$AJ$180,0,MATCH(V$2,Inputs!$K$4:$AJ$4,0)))+SUMPRODUCT((Inputs!$C$5:$C$180=$B55)*Inputs!$D$5:$D$180*(((Inputs!$G$5:$G$180="moeda")+(Inputs!$G$5:$G$180="acoes"))*Inputs!$B$1+((Inputs!$G$5:$G$180&lt;&gt;"moeda")*(Inputs!$G$5:$G$180&lt;&gt;"acoes")))*INDEX(Inputs!$K$5:$AJ$180,0,MATCH(V$2,Inputs!$K$4:$AJ$4,0)))+SUMPRODUCT((Inputs!$E$5:$E$180=$B55)*Inputs!$F$5:$F$180*(((Inputs!$G$5:$G$180="moeda")+(Inputs!$G$5:$G$180="acoes"))*Inputs!$B$1+((Inputs!$G$5:$G$180&lt;&gt;"moeda")*(Inputs!$G$5:$G$180&lt;&gt;"acoes")))*INDEX(Inputs!$K$5:$AJ$180,0,MATCH(V$2,Inputs!$K$4:$AJ$4,0)))))</f>
        <v>213.783914483012</v>
      </c>
      <c r="W55" s="3">
        <f>SUM(S55:V55)</f>
        <v>912.51336726202</v>
      </c>
      <c r="X55" s="6">
        <f>IF(ISNA(MATCH(X$2,Inputs!$K$4:$AJ$4,0)),NA(),IF(SUMPRODUCT((Inputs!$A$5:$A$180=$B55)*ISNUMBER(INDEX(Inputs!$K$5:$AJ$180,0,MATCH(X$2,Inputs!$K$4:$AJ$4,0))))+SUMPRODUCT((Inputs!$C$5:$C$180=$B55)*ISNUMBER(INDEX(Inputs!$K$5:$AJ$180,0,MATCH(X$2,Inputs!$K$4:$AJ$4,0))))+SUMPRODUCT((Inputs!$E$5:$E$180=$B55)*ISNUMBER(INDEX(Inputs!$K$5:$AJ$180,0,MATCH(X$2,Inputs!$K$4:$AJ$4,0))))=0,NA(),SUMPRODUCT((Inputs!$A$5:$A$180=$B55)*Inputs!$B$5:$B$180*(((Inputs!$G$5:$G$180="moeda")+(Inputs!$G$5:$G$180="acoes"))*Inputs!$B$1+((Inputs!$G$5:$G$180&lt;&gt;"moeda")*(Inputs!$G$5:$G$180&lt;&gt;"acoes")))*INDEX(Inputs!$K$5:$AJ$180,0,MATCH(X$2,Inputs!$K$4:$AJ$4,0)))+SUMPRODUCT((Inputs!$C$5:$C$180=$B55)*Inputs!$D$5:$D$180*(((Inputs!$G$5:$G$180="moeda")+(Inputs!$G$5:$G$180="acoes"))*Inputs!$B$1+((Inputs!$G$5:$G$180&lt;&gt;"moeda")*(Inputs!$G$5:$G$180&lt;&gt;"acoes")))*INDEX(Inputs!$K$5:$AJ$180,0,MATCH(X$2,Inputs!$K$4:$AJ$4,0)))+SUMPRODUCT((Inputs!$E$5:$E$180=$B55)*Inputs!$F$5:$F$180*(((Inputs!$G$5:$G$180="moeda")+(Inputs!$G$5:$G$180="acoes"))*Inputs!$B$1+((Inputs!$G$5:$G$180&lt;&gt;"moeda")*(Inputs!$G$5:$G$180&lt;&gt;"acoes")))*INDEX(Inputs!$K$5:$AJ$180,0,MATCH(X$2,Inputs!$K$4:$AJ$4,0)))))</f>
        <v>235.788503</v>
      </c>
      <c r="Y55" s="6">
        <f>IF(ISNA(MATCH(Y$2,Inputs!$K$4:$AJ$4,0)),NA(),IF(SUMPRODUCT((Inputs!$A$5:$A$180=$B55)*ISNUMBER(INDEX(Inputs!$K$5:$AJ$180,0,MATCH(Y$2,Inputs!$K$4:$AJ$4,0))))+SUMPRODUCT((Inputs!$C$5:$C$180=$B55)*ISNUMBER(INDEX(Inputs!$K$5:$AJ$180,0,MATCH(Y$2,Inputs!$K$4:$AJ$4,0))))+SUMPRODUCT((Inputs!$E$5:$E$180=$B55)*ISNUMBER(INDEX(Inputs!$K$5:$AJ$180,0,MATCH(Y$2,Inputs!$K$4:$AJ$4,0))))=0,NA(),SUMPRODUCT((Inputs!$A$5:$A$180=$B55)*Inputs!$B$5:$B$180*(((Inputs!$G$5:$G$180="moeda")+(Inputs!$G$5:$G$180="acoes"))*Inputs!$B$1+((Inputs!$G$5:$G$180&lt;&gt;"moeda")*(Inputs!$G$5:$G$180&lt;&gt;"acoes")))*INDEX(Inputs!$K$5:$AJ$180,0,MATCH(Y$2,Inputs!$K$4:$AJ$4,0)))+SUMPRODUCT((Inputs!$C$5:$C$180=$B55)*Inputs!$D$5:$D$180*(((Inputs!$G$5:$G$180="moeda")+(Inputs!$G$5:$G$180="acoes"))*Inputs!$B$1+((Inputs!$G$5:$G$180&lt;&gt;"moeda")*(Inputs!$G$5:$G$180&lt;&gt;"acoes")))*INDEX(Inputs!$K$5:$AJ$180,0,MATCH(Y$2,Inputs!$K$4:$AJ$4,0)))+SUMPRODUCT((Inputs!$E$5:$E$180=$B55)*Inputs!$F$5:$F$180*(((Inputs!$G$5:$G$180="moeda")+(Inputs!$G$5:$G$180="acoes"))*Inputs!$B$1+((Inputs!$G$5:$G$180&lt;&gt;"moeda")*(Inputs!$G$5:$G$180&lt;&gt;"acoes")))*INDEX(Inputs!$K$5:$AJ$180,0,MATCH(Y$2,Inputs!$K$4:$AJ$4,0)))))</f>
        <v>258.331341</v>
      </c>
      <c r="Z55" s="6">
        <f>IF(ISNA(MATCH(Z$2,Inputs!$K$4:$AJ$4,0)),NA(),IF(SUMPRODUCT((Inputs!$A$5:$A$180=$B55)*ISNUMBER(INDEX(Inputs!$K$5:$AJ$180,0,MATCH(Z$2,Inputs!$K$4:$AJ$4,0))))+SUMPRODUCT((Inputs!$C$5:$C$180=$B55)*ISNUMBER(INDEX(Inputs!$K$5:$AJ$180,0,MATCH(Z$2,Inputs!$K$4:$AJ$4,0))))+SUMPRODUCT((Inputs!$E$5:$E$180=$B55)*ISNUMBER(INDEX(Inputs!$K$5:$AJ$180,0,MATCH(Z$2,Inputs!$K$4:$AJ$4,0))))=0,NA(),SUMPRODUCT((Inputs!$A$5:$A$180=$B55)*Inputs!$B$5:$B$180*(((Inputs!$G$5:$G$180="moeda")+(Inputs!$G$5:$G$180="acoes"))*Inputs!$B$1+((Inputs!$G$5:$G$180&lt;&gt;"moeda")*(Inputs!$G$5:$G$180&lt;&gt;"acoes")))*INDEX(Inputs!$K$5:$AJ$180,0,MATCH(Z$2,Inputs!$K$4:$AJ$4,0)))+SUMPRODUCT((Inputs!$C$5:$C$180=$B55)*Inputs!$D$5:$D$180*(((Inputs!$G$5:$G$180="moeda")+(Inputs!$G$5:$G$180="acoes"))*Inputs!$B$1+((Inputs!$G$5:$G$180&lt;&gt;"moeda")*(Inputs!$G$5:$G$180&lt;&gt;"acoes")))*INDEX(Inputs!$K$5:$AJ$180,0,MATCH(Z$2,Inputs!$K$4:$AJ$4,0)))+SUMPRODUCT((Inputs!$E$5:$E$180=$B55)*Inputs!$F$5:$F$180*(((Inputs!$G$5:$G$180="moeda")+(Inputs!$G$5:$G$180="acoes"))*Inputs!$B$1+((Inputs!$G$5:$G$180&lt;&gt;"moeda")*(Inputs!$G$5:$G$180&lt;&gt;"acoes")))*INDEX(Inputs!$K$5:$AJ$180,0,MATCH(Z$2,Inputs!$K$4:$AJ$4,0)))))</f>
        <v>267.138504778681</v>
      </c>
      <c r="AA55" s="6">
        <f>IF(ISNA(MATCH(AA$2,Inputs!$K$4:$AJ$4,0)),NA(),IF(SUMPRODUCT((Inputs!$A$5:$A$180=$B55)*ISNUMBER(INDEX(Inputs!$K$5:$AJ$180,0,MATCH(AA$2,Inputs!$K$4:$AJ$4,0))))+SUMPRODUCT((Inputs!$C$5:$C$180=$B55)*ISNUMBER(INDEX(Inputs!$K$5:$AJ$180,0,MATCH(AA$2,Inputs!$K$4:$AJ$4,0))))+SUMPRODUCT((Inputs!$E$5:$E$180=$B55)*ISNUMBER(INDEX(Inputs!$K$5:$AJ$180,0,MATCH(AA$2,Inputs!$K$4:$AJ$4,0))))=0,NA(),SUMPRODUCT((Inputs!$A$5:$A$180=$B55)*Inputs!$B$5:$B$180*(((Inputs!$G$5:$G$180="moeda")+(Inputs!$G$5:$G$180="acoes"))*Inputs!$B$1+((Inputs!$G$5:$G$180&lt;&gt;"moeda")*(Inputs!$G$5:$G$180&lt;&gt;"acoes")))*INDEX(Inputs!$K$5:$AJ$180,0,MATCH(AA$2,Inputs!$K$4:$AJ$4,0)))+SUMPRODUCT((Inputs!$C$5:$C$180=$B55)*Inputs!$D$5:$D$180*(((Inputs!$G$5:$G$180="moeda")+(Inputs!$G$5:$G$180="acoes"))*Inputs!$B$1+((Inputs!$G$5:$G$180&lt;&gt;"moeda")*(Inputs!$G$5:$G$180&lt;&gt;"acoes")))*INDEX(Inputs!$K$5:$AJ$180,0,MATCH(AA$2,Inputs!$K$4:$AJ$4,0)))+SUMPRODUCT((Inputs!$E$5:$E$180=$B55)*Inputs!$F$5:$F$180*(((Inputs!$G$5:$G$180="moeda")+(Inputs!$G$5:$G$180="acoes"))*Inputs!$B$1+((Inputs!$G$5:$G$180&lt;&gt;"moeda")*(Inputs!$G$5:$G$180&lt;&gt;"acoes")))*INDEX(Inputs!$K$5:$AJ$180,0,MATCH(AA$2,Inputs!$K$4:$AJ$4,0)))))</f>
        <v>244.00199</v>
      </c>
      <c r="AB55" s="3">
        <f>SUM(X55:AA55)</f>
        <v>1005.26033877868</v>
      </c>
      <c r="AC55" s="6">
        <f>IF(ISNA(MATCH(AC$2,Inputs!$K$4:$AJ$4,0)),NA(),IF(SUMPRODUCT((Inputs!$A$5:$A$180=$B55)*ISNUMBER(INDEX(Inputs!$K$5:$AJ$180,0,MATCH(AC$2,Inputs!$K$4:$AJ$4,0))))+SUMPRODUCT((Inputs!$C$5:$C$180=$B55)*ISNUMBER(INDEX(Inputs!$K$5:$AJ$180,0,MATCH(AC$2,Inputs!$K$4:$AJ$4,0))))+SUMPRODUCT((Inputs!$E$5:$E$180=$B55)*ISNUMBER(INDEX(Inputs!$K$5:$AJ$180,0,MATCH(AC$2,Inputs!$K$4:$AJ$4,0))))=0,NA(),SUMPRODUCT((Inputs!$A$5:$A$180=$B55)*Inputs!$B$5:$B$180*(((Inputs!$G$5:$G$180="moeda")+(Inputs!$G$5:$G$180="acoes"))*Inputs!$B$1+((Inputs!$G$5:$G$180&lt;&gt;"moeda")*(Inputs!$G$5:$G$180&lt;&gt;"acoes")))*INDEX(Inputs!$K$5:$AJ$180,0,MATCH(AC$2,Inputs!$K$4:$AJ$4,0)))+SUMPRODUCT((Inputs!$C$5:$C$180=$B55)*Inputs!$D$5:$D$180*(((Inputs!$G$5:$G$180="moeda")+(Inputs!$G$5:$G$180="acoes"))*Inputs!$B$1+((Inputs!$G$5:$G$180&lt;&gt;"moeda")*(Inputs!$G$5:$G$180&lt;&gt;"acoes")))*INDEX(Inputs!$K$5:$AJ$180,0,MATCH(AC$2,Inputs!$K$4:$AJ$4,0)))+SUMPRODUCT((Inputs!$E$5:$E$180=$B55)*Inputs!$F$5:$F$180*(((Inputs!$G$5:$G$180="moeda")+(Inputs!$G$5:$G$180="acoes"))*Inputs!$B$1+((Inputs!$G$5:$G$180&lt;&gt;"moeda")*(Inputs!$G$5:$G$180&lt;&gt;"acoes")))*INDEX(Inputs!$K$5:$AJ$180,0,MATCH(AC$2,Inputs!$K$4:$AJ$4,0)))))</f>
        <v>257.5395388405</v>
      </c>
      <c r="AD55" s="6">
        <f>IF(ISNA(MATCH(AD$2,Inputs!$K$4:$AJ$4,0)),NA(),IF(SUMPRODUCT((Inputs!$A$5:$A$180=$B55)*ISNUMBER(INDEX(Inputs!$K$5:$AJ$180,0,MATCH(AD$2,Inputs!$K$4:$AJ$4,0))))+SUMPRODUCT((Inputs!$C$5:$C$180=$B55)*ISNUMBER(INDEX(Inputs!$K$5:$AJ$180,0,MATCH(AD$2,Inputs!$K$4:$AJ$4,0))))+SUMPRODUCT((Inputs!$E$5:$E$180=$B55)*ISNUMBER(INDEX(Inputs!$K$5:$AJ$180,0,MATCH(AD$2,Inputs!$K$4:$AJ$4,0))))=0,NA(),SUMPRODUCT((Inputs!$A$5:$A$180=$B55)*Inputs!$B$5:$B$180*(((Inputs!$G$5:$G$180="moeda")+(Inputs!$G$5:$G$180="acoes"))*Inputs!$B$1+((Inputs!$G$5:$G$180&lt;&gt;"moeda")*(Inputs!$G$5:$G$180&lt;&gt;"acoes")))*INDEX(Inputs!$K$5:$AJ$180,0,MATCH(AD$2,Inputs!$K$4:$AJ$4,0)))+SUMPRODUCT((Inputs!$C$5:$C$180=$B55)*Inputs!$D$5:$D$180*(((Inputs!$G$5:$G$180="moeda")+(Inputs!$G$5:$G$180="acoes"))*Inputs!$B$1+((Inputs!$G$5:$G$180&lt;&gt;"moeda")*(Inputs!$G$5:$G$180&lt;&gt;"acoes")))*INDEX(Inputs!$K$5:$AJ$180,0,MATCH(AD$2,Inputs!$K$4:$AJ$4,0)))+SUMPRODUCT((Inputs!$E$5:$E$180=$B55)*Inputs!$F$5:$F$180*(((Inputs!$G$5:$G$180="moeda")+(Inputs!$G$5:$G$180="acoes"))*Inputs!$B$1+((Inputs!$G$5:$G$180&lt;&gt;"moeda")*(Inputs!$G$5:$G$180&lt;&gt;"acoes")))*INDEX(Inputs!$K$5:$AJ$180,0,MATCH(AD$2,Inputs!$K$4:$AJ$4,0)))))</f>
        <v>281.27138</v>
      </c>
      <c r="AE55" s="6" t="e">
        <f>IF(ISNA(MATCH(AE$2,Inputs!$K$4:$AJ$4,0)),NA(),IF(SUMPRODUCT((Inputs!$A$5:$A$180=$B55)*ISNUMBER(INDEX(Inputs!$K$5:$AJ$180,0,MATCH(AE$2,Inputs!$K$4:$AJ$4,0))))+SUMPRODUCT((Inputs!$C$5:$C$180=$B55)*ISNUMBER(INDEX(Inputs!$K$5:$AJ$180,0,MATCH(AE$2,Inputs!$K$4:$AJ$4,0))))+SUMPRODUCT((Inputs!$E$5:$E$180=$B55)*ISNUMBER(INDEX(Inputs!$K$5:$AJ$180,0,MATCH(AE$2,Inputs!$K$4:$AJ$4,0))))=0,NA(),SUMPRODUCT((Inputs!$A$5:$A$180=$B55)*Inputs!$B$5:$B$180*(((Inputs!$G$5:$G$180="moeda")+(Inputs!$G$5:$G$180="acoes"))*Inputs!$B$1+((Inputs!$G$5:$G$180&lt;&gt;"moeda")*(Inputs!$G$5:$G$180&lt;&gt;"acoes")))*INDEX(Inputs!$K$5:$AJ$180,0,MATCH(AE$2,Inputs!$K$4:$AJ$4,0)))+SUMPRODUCT((Inputs!$C$5:$C$180=$B55)*Inputs!$D$5:$D$180*(((Inputs!$G$5:$G$180="moeda")+(Inputs!$G$5:$G$180="acoes"))*Inputs!$B$1+((Inputs!$G$5:$G$180&lt;&gt;"moeda")*(Inputs!$G$5:$G$180&lt;&gt;"acoes")))*INDEX(Inputs!$K$5:$AJ$180,0,MATCH(AE$2,Inputs!$K$4:$AJ$4,0)))+SUMPRODUCT((Inputs!$E$5:$E$180=$B55)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5" s="6" t="e">
        <f>IF(ISNA(MATCH(AF$2,Inputs!$K$4:$AJ$4,0)),NA(),IF(SUMPRODUCT((Inputs!$A$5:$A$180=$B55)*ISNUMBER(INDEX(Inputs!$K$5:$AJ$180,0,MATCH(AF$2,Inputs!$K$4:$AJ$4,0))))+SUMPRODUCT((Inputs!$C$5:$C$180=$B55)*ISNUMBER(INDEX(Inputs!$K$5:$AJ$180,0,MATCH(AF$2,Inputs!$K$4:$AJ$4,0))))+SUMPRODUCT((Inputs!$E$5:$E$180=$B55)*ISNUMBER(INDEX(Inputs!$K$5:$AJ$180,0,MATCH(AF$2,Inputs!$K$4:$AJ$4,0))))=0,NA(),SUMPRODUCT((Inputs!$A$5:$A$180=$B55)*Inputs!$B$5:$B$180*(((Inputs!$G$5:$G$180="moeda")+(Inputs!$G$5:$G$180="acoes"))*Inputs!$B$1+((Inputs!$G$5:$G$180&lt;&gt;"moeda")*(Inputs!$G$5:$G$180&lt;&gt;"acoes")))*INDEX(Inputs!$K$5:$AJ$180,0,MATCH(AF$2,Inputs!$K$4:$AJ$4,0)))+SUMPRODUCT((Inputs!$C$5:$C$180=$B55)*Inputs!$D$5:$D$180*(((Inputs!$G$5:$G$180="moeda")+(Inputs!$G$5:$G$180="acoes"))*Inputs!$B$1+((Inputs!$G$5:$G$180&lt;&gt;"moeda")*(Inputs!$G$5:$G$180&lt;&gt;"acoes")))*INDEX(Inputs!$K$5:$AJ$180,0,MATCH(AF$2,Inputs!$K$4:$AJ$4,0)))+SUMPRODUCT((Inputs!$E$5:$E$180=$B55)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5" s="3" t="e">
        <f>SUM(AC55:AF55)</f>
        <v>#N/A</v>
      </c>
      <c r="AH55" s="6">
        <f>IF(ISNA(MATCH(AH$2,Inputs!$K$4:$AJ$4,0)),NA(),IF(SUMPRODUCT((Inputs!$A$5:$A$180=$B55)*ISNUMBER(INDEX(Inputs!$K$5:$AJ$180,0,MATCH(AH$2,Inputs!$K$4:$AJ$4,0))))+SUMPRODUCT((Inputs!$C$5:$C$180=$B55)*ISNUMBER(INDEX(Inputs!$K$5:$AJ$180,0,MATCH(AH$2,Inputs!$K$4:$AJ$4,0))))+SUMPRODUCT((Inputs!$E$5:$E$180=$B55)*ISNUMBER(INDEX(Inputs!$K$5:$AJ$180,0,MATCH(AH$2,Inputs!$K$4:$AJ$4,0))))=0,NA(),SUMPRODUCT((Inputs!$A$5:$A$180=$B55)*Inputs!$B$5:$B$180*(((Inputs!$G$5:$G$180="moeda")+(Inputs!$G$5:$G$180="acoes"))*Inputs!$B$1+((Inputs!$G$5:$G$180&lt;&gt;"moeda")*(Inputs!$G$5:$G$180&lt;&gt;"acoes")))*INDEX(Inputs!$K$5:$AJ$180,0,MATCH(AH$2,Inputs!$K$4:$AJ$4,0)))+SUMPRODUCT((Inputs!$C$5:$C$180=$B55)*Inputs!$D$5:$D$180*(((Inputs!$G$5:$G$180="moeda")+(Inputs!$G$5:$G$180="acoes"))*Inputs!$B$1+((Inputs!$G$5:$G$180&lt;&gt;"moeda")*(Inputs!$G$5:$G$180&lt;&gt;"acoes")))*INDEX(Inputs!$K$5:$AJ$180,0,MATCH(AH$2,Inputs!$K$4:$AJ$4,0)))+SUMPRODUCT((Inputs!$E$5:$E$180=$B55)*Inputs!$F$5:$F$180*(((Inputs!$G$5:$G$180="moeda")+(Inputs!$G$5:$G$180="acoes"))*Inputs!$B$1+((Inputs!$G$5:$G$180&lt;&gt;"moeda")*(Inputs!$G$5:$G$180&lt;&gt;"acoes")))*INDEX(Inputs!$K$5:$AJ$180,0,MATCH(AH$2,Inputs!$K$4:$AJ$4,0)))))</f>
        <v>125.611225374678</v>
      </c>
      <c r="AI55" s="6">
        <f>IF(ISNA(MATCH(AI$2,Inputs!$K$4:$AJ$4,0)),NA(),IF(SUMPRODUCT((Inputs!$A$5:$A$180=$B55)*ISNUMBER(INDEX(Inputs!$K$5:$AJ$180,0,MATCH(AI$2,Inputs!$K$4:$AJ$4,0))))+SUMPRODUCT((Inputs!$C$5:$C$180=$B55)*ISNUMBER(INDEX(Inputs!$K$5:$AJ$180,0,MATCH(AI$2,Inputs!$K$4:$AJ$4,0))))+SUMPRODUCT((Inputs!$E$5:$E$180=$B55)*ISNUMBER(INDEX(Inputs!$K$5:$AJ$180,0,MATCH(AI$2,Inputs!$K$4:$AJ$4,0))))=0,NA(),SUMPRODUCT((Inputs!$A$5:$A$180=$B55)*Inputs!$B$5:$B$180*(((Inputs!$G$5:$G$180="moeda")+(Inputs!$G$5:$G$180="acoes"))*Inputs!$B$1+((Inputs!$G$5:$G$180&lt;&gt;"moeda")*(Inputs!$G$5:$G$180&lt;&gt;"acoes")))*INDEX(Inputs!$K$5:$AJ$180,0,MATCH(AI$2,Inputs!$K$4:$AJ$4,0)))+SUMPRODUCT((Inputs!$C$5:$C$180=$B55)*Inputs!$D$5:$D$180*(((Inputs!$G$5:$G$180="moeda")+(Inputs!$G$5:$G$180="acoes"))*Inputs!$B$1+((Inputs!$G$5:$G$180&lt;&gt;"moeda")*(Inputs!$G$5:$G$180&lt;&gt;"acoes")))*INDEX(Inputs!$K$5:$AJ$180,0,MATCH(AI$2,Inputs!$K$4:$AJ$4,0)))+SUMPRODUCT((Inputs!$E$5:$E$180=$B55)*Inputs!$F$5:$F$180*(((Inputs!$G$5:$G$180="moeda")+(Inputs!$G$5:$G$180="acoes"))*Inputs!$B$1+((Inputs!$G$5:$G$180&lt;&gt;"moeda")*(Inputs!$G$5:$G$180&lt;&gt;"acoes")))*INDEX(Inputs!$K$5:$AJ$180,0,MATCH(AI$2,Inputs!$K$4:$AJ$4,0)))))</f>
        <v>68.5079120203125</v>
      </c>
      <c r="AJ55" s="6">
        <f>IF(ISNA(MATCH(AJ$2,Inputs!$K$4:$AJ$4,0)),NA(),IF(SUMPRODUCT((Inputs!$A$5:$A$180=$B55)*ISNUMBER(INDEX(Inputs!$K$5:$AJ$180,0,MATCH(AJ$2,Inputs!$K$4:$AJ$4,0))))+SUMPRODUCT((Inputs!$C$5:$C$180=$B55)*ISNUMBER(INDEX(Inputs!$K$5:$AJ$180,0,MATCH(AJ$2,Inputs!$K$4:$AJ$4,0))))+SUMPRODUCT((Inputs!$E$5:$E$180=$B55)*ISNUMBER(INDEX(Inputs!$K$5:$AJ$180,0,MATCH(AJ$2,Inputs!$K$4:$AJ$4,0))))=0,NA(),SUMPRODUCT((Inputs!$A$5:$A$180=$B55)*Inputs!$B$5:$B$180*(((Inputs!$G$5:$G$180="moeda")+(Inputs!$G$5:$G$180="acoes"))*Inputs!$B$1+((Inputs!$G$5:$G$180&lt;&gt;"moeda")*(Inputs!$G$5:$G$180&lt;&gt;"acoes")))*INDEX(Inputs!$K$5:$AJ$180,0,MATCH(AJ$2,Inputs!$K$4:$AJ$4,0)))+SUMPRODUCT((Inputs!$C$5:$C$180=$B55)*Inputs!$D$5:$D$180*(((Inputs!$G$5:$G$180="moeda")+(Inputs!$G$5:$G$180="acoes"))*Inputs!$B$1+((Inputs!$G$5:$G$180&lt;&gt;"moeda")*(Inputs!$G$5:$G$180&lt;&gt;"acoes")))*INDEX(Inputs!$K$5:$AJ$180,0,MATCH(AJ$2,Inputs!$K$4:$AJ$4,0)))+SUMPRODUCT((Inputs!$E$5:$E$180=$B55)*Inputs!$F$5:$F$180*(((Inputs!$G$5:$G$180="moeda")+(Inputs!$G$5:$G$180="acoes"))*Inputs!$B$1+((Inputs!$G$5:$G$180&lt;&gt;"moeda")*(Inputs!$G$5:$G$180&lt;&gt;"acoes")))*INDEX(Inputs!$K$5:$AJ$180,0,MATCH(AJ$2,Inputs!$K$4:$AJ$4,0)))))</f>
        <v>156.931915748075</v>
      </c>
      <c r="AK55" s="6">
        <f>IF(ISNA(MATCH(AK$2,Inputs!$K$4:$AJ$4,0)),NA(),IF(SUMPRODUCT((Inputs!$A$5:$A$180=$B55)*ISNUMBER(INDEX(Inputs!$K$5:$AJ$180,0,MATCH(AK$2,Inputs!$K$4:$AJ$4,0))))+SUMPRODUCT((Inputs!$C$5:$C$180=$B55)*ISNUMBER(INDEX(Inputs!$K$5:$AJ$180,0,MATCH(AK$2,Inputs!$K$4:$AJ$4,0))))+SUMPRODUCT((Inputs!$E$5:$E$180=$B55)*ISNUMBER(INDEX(Inputs!$K$5:$AJ$180,0,MATCH(AK$2,Inputs!$K$4:$AJ$4,0))))=0,NA(),SUMPRODUCT((Inputs!$A$5:$A$180=$B55)*Inputs!$B$5:$B$180*(((Inputs!$G$5:$G$180="moeda")+(Inputs!$G$5:$G$180="acoes"))*Inputs!$B$1+((Inputs!$G$5:$G$180&lt;&gt;"moeda")*(Inputs!$G$5:$G$180&lt;&gt;"acoes")))*INDEX(Inputs!$K$5:$AJ$180,0,MATCH(AK$2,Inputs!$K$4:$AJ$4,0)))+SUMPRODUCT((Inputs!$C$5:$C$180=$B55)*Inputs!$D$5:$D$180*(((Inputs!$G$5:$G$180="moeda")+(Inputs!$G$5:$G$180="acoes"))*Inputs!$B$1+((Inputs!$G$5:$G$180&lt;&gt;"moeda")*(Inputs!$G$5:$G$180&lt;&gt;"acoes")))*INDEX(Inputs!$K$5:$AJ$180,0,MATCH(AK$2,Inputs!$K$4:$AJ$4,0)))+SUMPRODUCT((Inputs!$E$5:$E$180=$B55)*Inputs!$F$5:$F$180*(((Inputs!$G$5:$G$180="moeda")+(Inputs!$G$5:$G$180="acoes"))*Inputs!$B$1+((Inputs!$G$5:$G$180&lt;&gt;"moeda")*(Inputs!$G$5:$G$180&lt;&gt;"acoes")))*INDEX(Inputs!$K$5:$AJ$180,0,MATCH(AK$2,Inputs!$K$4:$AJ$4,0)))))</f>
        <v>159.757345269999</v>
      </c>
      <c r="AL55" s="3">
        <f>SUM(AH55:AK55)</f>
        <v>510.808398413065</v>
      </c>
    </row>
    <row r="56">
      <c r="B56" s="46" t="n">
        <v>48</v>
      </c>
      <c r="C56" s="29" t="inlineStr">
        <is>
          <t>Marcas MG</t>
        </is>
      </c>
      <c r="D56" s="6">
        <f>IF(ISNA(MATCH(D$2,Inputs!$K$4:$AJ$4,0)),NA(),IF(SUMPRODUCT((Inputs!$A$5:$A$180=$B56)*ISNUMBER(INDEX(Inputs!$K$5:$AJ$180,0,MATCH(D$2,Inputs!$K$4:$AJ$4,0))))+SUMPRODUCT((Inputs!$C$5:$C$180=$B56)*ISNUMBER(INDEX(Inputs!$K$5:$AJ$180,0,MATCH(D$2,Inputs!$K$4:$AJ$4,0))))+SUMPRODUCT((Inputs!$E$5:$E$180=$B56)*ISNUMBER(INDEX(Inputs!$K$5:$AJ$180,0,MATCH(D$2,Inputs!$K$4:$AJ$4,0))))=0,NA(),SUMPRODUCT((Inputs!$A$5:$A$180=$B56)*Inputs!$B$5:$B$180*(((Inputs!$G$5:$G$180="moeda")+(Inputs!$G$5:$G$180="acoes"))*Inputs!$B$1+((Inputs!$G$5:$G$180&lt;&gt;"moeda")*(Inputs!$G$5:$G$180&lt;&gt;"acoes")))*INDEX(Inputs!$K$5:$AJ$180,0,MATCH(D$2,Inputs!$K$4:$AJ$4,0)))+SUMPRODUCT((Inputs!$C$5:$C$180=$B56)*Inputs!$D$5:$D$180*(((Inputs!$G$5:$G$180="moeda")+(Inputs!$G$5:$G$180="acoes"))*Inputs!$B$1+((Inputs!$G$5:$G$180&lt;&gt;"moeda")*(Inputs!$G$5:$G$180&lt;&gt;"acoes")))*INDEX(Inputs!$K$5:$AJ$180,0,MATCH(D$2,Inputs!$K$4:$AJ$4,0)))+SUMPRODUCT((Inputs!$E$5:$E$180=$B56)*Inputs!$F$5:$F$180*(((Inputs!$G$5:$G$180="moeda")+(Inputs!$G$5:$G$180="acoes"))*Inputs!$B$1+((Inputs!$G$5:$G$180&lt;&gt;"moeda")*(Inputs!$G$5:$G$180&lt;&gt;"acoes")))*INDEX(Inputs!$K$5:$AJ$180,0,MATCH(D$2,Inputs!$K$4:$AJ$4,0)))))</f>
        <v>0</v>
      </c>
      <c r="E56" s="6">
        <f>IF(ISNA(MATCH(E$2,Inputs!$K$4:$AJ$4,0)),NA(),IF(SUMPRODUCT((Inputs!$A$5:$A$180=$B56)*ISNUMBER(INDEX(Inputs!$K$5:$AJ$180,0,MATCH(E$2,Inputs!$K$4:$AJ$4,0))))+SUMPRODUCT((Inputs!$C$5:$C$180=$B56)*ISNUMBER(INDEX(Inputs!$K$5:$AJ$180,0,MATCH(E$2,Inputs!$K$4:$AJ$4,0))))+SUMPRODUCT((Inputs!$E$5:$E$180=$B56)*ISNUMBER(INDEX(Inputs!$K$5:$AJ$180,0,MATCH(E$2,Inputs!$K$4:$AJ$4,0))))=0,NA(),SUMPRODUCT((Inputs!$A$5:$A$180=$B56)*Inputs!$B$5:$B$180*(((Inputs!$G$5:$G$180="moeda")+(Inputs!$G$5:$G$180="acoes"))*Inputs!$B$1+((Inputs!$G$5:$G$180&lt;&gt;"moeda")*(Inputs!$G$5:$G$180&lt;&gt;"acoes")))*INDEX(Inputs!$K$5:$AJ$180,0,MATCH(E$2,Inputs!$K$4:$AJ$4,0)))+SUMPRODUCT((Inputs!$C$5:$C$180=$B56)*Inputs!$D$5:$D$180*(((Inputs!$G$5:$G$180="moeda")+(Inputs!$G$5:$G$180="acoes"))*Inputs!$B$1+((Inputs!$G$5:$G$180&lt;&gt;"moeda")*(Inputs!$G$5:$G$180&lt;&gt;"acoes")))*INDEX(Inputs!$K$5:$AJ$180,0,MATCH(E$2,Inputs!$K$4:$AJ$4,0)))+SUMPRODUCT((Inputs!$E$5:$E$180=$B56)*Inputs!$F$5:$F$180*(((Inputs!$G$5:$G$180="moeda")+(Inputs!$G$5:$G$180="acoes"))*Inputs!$B$1+((Inputs!$G$5:$G$180&lt;&gt;"moeda")*(Inputs!$G$5:$G$180&lt;&gt;"acoes")))*INDEX(Inputs!$K$5:$AJ$180,0,MATCH(E$2,Inputs!$K$4:$AJ$4,0)))))</f>
        <v>0</v>
      </c>
      <c r="F56" s="6">
        <f>IF(ISNA(MATCH(F$2,Inputs!$K$4:$AJ$4,0)),NA(),IF(SUMPRODUCT((Inputs!$A$5:$A$180=$B56)*ISNUMBER(INDEX(Inputs!$K$5:$AJ$180,0,MATCH(F$2,Inputs!$K$4:$AJ$4,0))))+SUMPRODUCT((Inputs!$C$5:$C$180=$B56)*ISNUMBER(INDEX(Inputs!$K$5:$AJ$180,0,MATCH(F$2,Inputs!$K$4:$AJ$4,0))))+SUMPRODUCT((Inputs!$E$5:$E$180=$B56)*ISNUMBER(INDEX(Inputs!$K$5:$AJ$180,0,MATCH(F$2,Inputs!$K$4:$AJ$4,0))))=0,NA(),SUMPRODUCT((Inputs!$A$5:$A$180=$B56)*Inputs!$B$5:$B$180*(((Inputs!$G$5:$G$180="moeda")+(Inputs!$G$5:$G$180="acoes"))*Inputs!$B$1+((Inputs!$G$5:$G$180&lt;&gt;"moeda")*(Inputs!$G$5:$G$180&lt;&gt;"acoes")))*INDEX(Inputs!$K$5:$AJ$180,0,MATCH(F$2,Inputs!$K$4:$AJ$4,0)))+SUMPRODUCT((Inputs!$C$5:$C$180=$B56)*Inputs!$D$5:$D$180*(((Inputs!$G$5:$G$180="moeda")+(Inputs!$G$5:$G$180="acoes"))*Inputs!$B$1+((Inputs!$G$5:$G$180&lt;&gt;"moeda")*(Inputs!$G$5:$G$180&lt;&gt;"acoes")))*INDEX(Inputs!$K$5:$AJ$180,0,MATCH(F$2,Inputs!$K$4:$AJ$4,0)))+SUMPRODUCT((Inputs!$E$5:$E$180=$B56)*Inputs!$F$5:$F$180*(((Inputs!$G$5:$G$180="moeda")+(Inputs!$G$5:$G$180="acoes"))*Inputs!$B$1+((Inputs!$G$5:$G$180&lt;&gt;"moeda")*(Inputs!$G$5:$G$180&lt;&gt;"acoes")))*INDEX(Inputs!$K$5:$AJ$180,0,MATCH(F$2,Inputs!$K$4:$AJ$4,0)))))</f>
        <v>0</v>
      </c>
      <c r="G56" s="6">
        <f>IF(ISNA(MATCH(G$2,Inputs!$K$4:$AJ$4,0)),NA(),IF(SUMPRODUCT((Inputs!$A$5:$A$180=$B56)*ISNUMBER(INDEX(Inputs!$K$5:$AJ$180,0,MATCH(G$2,Inputs!$K$4:$AJ$4,0))))+SUMPRODUCT((Inputs!$C$5:$C$180=$B56)*ISNUMBER(INDEX(Inputs!$K$5:$AJ$180,0,MATCH(G$2,Inputs!$K$4:$AJ$4,0))))+SUMPRODUCT((Inputs!$E$5:$E$180=$B56)*ISNUMBER(INDEX(Inputs!$K$5:$AJ$180,0,MATCH(G$2,Inputs!$K$4:$AJ$4,0))))=0,NA(),SUMPRODUCT((Inputs!$A$5:$A$180=$B56)*Inputs!$B$5:$B$180*(((Inputs!$G$5:$G$180="moeda")+(Inputs!$G$5:$G$180="acoes"))*Inputs!$B$1+((Inputs!$G$5:$G$180&lt;&gt;"moeda")*(Inputs!$G$5:$G$180&lt;&gt;"acoes")))*INDEX(Inputs!$K$5:$AJ$180,0,MATCH(G$2,Inputs!$K$4:$AJ$4,0)))+SUMPRODUCT((Inputs!$C$5:$C$180=$B56)*Inputs!$D$5:$D$180*(((Inputs!$G$5:$G$180="moeda")+(Inputs!$G$5:$G$180="acoes"))*Inputs!$B$1+((Inputs!$G$5:$G$180&lt;&gt;"moeda")*(Inputs!$G$5:$G$180&lt;&gt;"acoes")))*INDEX(Inputs!$K$5:$AJ$180,0,MATCH(G$2,Inputs!$K$4:$AJ$4,0)))+SUMPRODUCT((Inputs!$E$5:$E$180=$B56)*Inputs!$F$5:$F$180*(((Inputs!$G$5:$G$180="moeda")+(Inputs!$G$5:$G$180="acoes"))*Inputs!$B$1+((Inputs!$G$5:$G$180&lt;&gt;"moeda")*(Inputs!$G$5:$G$180&lt;&gt;"acoes")))*INDEX(Inputs!$K$5:$AJ$180,0,MATCH(G$2,Inputs!$K$4:$AJ$4,0)))))</f>
        <v>0</v>
      </c>
      <c r="H56" s="3">
        <f>SUM(D56:G56)</f>
        <v>0</v>
      </c>
      <c r="I56" s="6">
        <f>IF(ISNA(MATCH(I$2,Inputs!$K$4:$AJ$4,0)),NA(),IF(SUMPRODUCT((Inputs!$A$5:$A$180=$B56)*ISNUMBER(INDEX(Inputs!$K$5:$AJ$180,0,MATCH(I$2,Inputs!$K$4:$AJ$4,0))))+SUMPRODUCT((Inputs!$C$5:$C$180=$B56)*ISNUMBER(INDEX(Inputs!$K$5:$AJ$180,0,MATCH(I$2,Inputs!$K$4:$AJ$4,0))))+SUMPRODUCT((Inputs!$E$5:$E$180=$B56)*ISNUMBER(INDEX(Inputs!$K$5:$AJ$180,0,MATCH(I$2,Inputs!$K$4:$AJ$4,0))))=0,NA(),SUMPRODUCT((Inputs!$A$5:$A$180=$B56)*Inputs!$B$5:$B$180*(((Inputs!$G$5:$G$180="moeda")+(Inputs!$G$5:$G$180="acoes"))*Inputs!$B$1+((Inputs!$G$5:$G$180&lt;&gt;"moeda")*(Inputs!$G$5:$G$180&lt;&gt;"acoes")))*INDEX(Inputs!$K$5:$AJ$180,0,MATCH(I$2,Inputs!$K$4:$AJ$4,0)))+SUMPRODUCT((Inputs!$C$5:$C$180=$B56)*Inputs!$D$5:$D$180*(((Inputs!$G$5:$G$180="moeda")+(Inputs!$G$5:$G$180="acoes"))*Inputs!$B$1+((Inputs!$G$5:$G$180&lt;&gt;"moeda")*(Inputs!$G$5:$G$180&lt;&gt;"acoes")))*INDEX(Inputs!$K$5:$AJ$180,0,MATCH(I$2,Inputs!$K$4:$AJ$4,0)))+SUMPRODUCT((Inputs!$E$5:$E$180=$B56)*Inputs!$F$5:$F$180*(((Inputs!$G$5:$G$180="moeda")+(Inputs!$G$5:$G$180="acoes"))*Inputs!$B$1+((Inputs!$G$5:$G$180&lt;&gt;"moeda")*(Inputs!$G$5:$G$180&lt;&gt;"acoes")))*INDEX(Inputs!$K$5:$AJ$180,0,MATCH(I$2,Inputs!$K$4:$AJ$4,0)))))</f>
        <v>0</v>
      </c>
      <c r="J56" s="6">
        <f>IF(ISNA(MATCH(J$2,Inputs!$K$4:$AJ$4,0)),NA(),IF(SUMPRODUCT((Inputs!$A$5:$A$180=$B56)*ISNUMBER(INDEX(Inputs!$K$5:$AJ$180,0,MATCH(J$2,Inputs!$K$4:$AJ$4,0))))+SUMPRODUCT((Inputs!$C$5:$C$180=$B56)*ISNUMBER(INDEX(Inputs!$K$5:$AJ$180,0,MATCH(J$2,Inputs!$K$4:$AJ$4,0))))+SUMPRODUCT((Inputs!$E$5:$E$180=$B56)*ISNUMBER(INDEX(Inputs!$K$5:$AJ$180,0,MATCH(J$2,Inputs!$K$4:$AJ$4,0))))=0,NA(),SUMPRODUCT((Inputs!$A$5:$A$180=$B56)*Inputs!$B$5:$B$180*(((Inputs!$G$5:$G$180="moeda")+(Inputs!$G$5:$G$180="acoes"))*Inputs!$B$1+((Inputs!$G$5:$G$180&lt;&gt;"moeda")*(Inputs!$G$5:$G$180&lt;&gt;"acoes")))*INDEX(Inputs!$K$5:$AJ$180,0,MATCH(J$2,Inputs!$K$4:$AJ$4,0)))+SUMPRODUCT((Inputs!$C$5:$C$180=$B56)*Inputs!$D$5:$D$180*(((Inputs!$G$5:$G$180="moeda")+(Inputs!$G$5:$G$180="acoes"))*Inputs!$B$1+((Inputs!$G$5:$G$180&lt;&gt;"moeda")*(Inputs!$G$5:$G$180&lt;&gt;"acoes")))*INDEX(Inputs!$K$5:$AJ$180,0,MATCH(J$2,Inputs!$K$4:$AJ$4,0)))+SUMPRODUCT((Inputs!$E$5:$E$180=$B56)*Inputs!$F$5:$F$180*(((Inputs!$G$5:$G$180="moeda")+(Inputs!$G$5:$G$180="acoes"))*Inputs!$B$1+((Inputs!$G$5:$G$180&lt;&gt;"moeda")*(Inputs!$G$5:$G$180&lt;&gt;"acoes")))*INDEX(Inputs!$K$5:$AJ$180,0,MATCH(J$2,Inputs!$K$4:$AJ$4,0)))))</f>
        <v>0</v>
      </c>
      <c r="K56" s="6">
        <f>IF(ISNA(MATCH(K$2,Inputs!$K$4:$AJ$4,0)),NA(),IF(SUMPRODUCT((Inputs!$A$5:$A$180=$B56)*ISNUMBER(INDEX(Inputs!$K$5:$AJ$180,0,MATCH(K$2,Inputs!$K$4:$AJ$4,0))))+SUMPRODUCT((Inputs!$C$5:$C$180=$B56)*ISNUMBER(INDEX(Inputs!$K$5:$AJ$180,0,MATCH(K$2,Inputs!$K$4:$AJ$4,0))))+SUMPRODUCT((Inputs!$E$5:$E$180=$B56)*ISNUMBER(INDEX(Inputs!$K$5:$AJ$180,0,MATCH(K$2,Inputs!$K$4:$AJ$4,0))))=0,NA(),SUMPRODUCT((Inputs!$A$5:$A$180=$B56)*Inputs!$B$5:$B$180*(((Inputs!$G$5:$G$180="moeda")+(Inputs!$G$5:$G$180="acoes"))*Inputs!$B$1+((Inputs!$G$5:$G$180&lt;&gt;"moeda")*(Inputs!$G$5:$G$180&lt;&gt;"acoes")))*INDEX(Inputs!$K$5:$AJ$180,0,MATCH(K$2,Inputs!$K$4:$AJ$4,0)))+SUMPRODUCT((Inputs!$C$5:$C$180=$B56)*Inputs!$D$5:$D$180*(((Inputs!$G$5:$G$180="moeda")+(Inputs!$G$5:$G$180="acoes"))*Inputs!$B$1+((Inputs!$G$5:$G$180&lt;&gt;"moeda")*(Inputs!$G$5:$G$180&lt;&gt;"acoes")))*INDEX(Inputs!$K$5:$AJ$180,0,MATCH(K$2,Inputs!$K$4:$AJ$4,0)))+SUMPRODUCT((Inputs!$E$5:$E$180=$B56)*Inputs!$F$5:$F$180*(((Inputs!$G$5:$G$180="moeda")+(Inputs!$G$5:$G$180="acoes"))*Inputs!$B$1+((Inputs!$G$5:$G$180&lt;&gt;"moeda")*(Inputs!$G$5:$G$180&lt;&gt;"acoes")))*INDEX(Inputs!$K$5:$AJ$180,0,MATCH(K$2,Inputs!$K$4:$AJ$4,0)))))</f>
        <v>0</v>
      </c>
      <c r="L56" s="6">
        <f>IF(ISNA(MATCH(L$2,Inputs!$K$4:$AJ$4,0)),NA(),IF(SUMPRODUCT((Inputs!$A$5:$A$180=$B56)*ISNUMBER(INDEX(Inputs!$K$5:$AJ$180,0,MATCH(L$2,Inputs!$K$4:$AJ$4,0))))+SUMPRODUCT((Inputs!$C$5:$C$180=$B56)*ISNUMBER(INDEX(Inputs!$K$5:$AJ$180,0,MATCH(L$2,Inputs!$K$4:$AJ$4,0))))+SUMPRODUCT((Inputs!$E$5:$E$180=$B56)*ISNUMBER(INDEX(Inputs!$K$5:$AJ$180,0,MATCH(L$2,Inputs!$K$4:$AJ$4,0))))=0,NA(),SUMPRODUCT((Inputs!$A$5:$A$180=$B56)*Inputs!$B$5:$B$180*(((Inputs!$G$5:$G$180="moeda")+(Inputs!$G$5:$G$180="acoes"))*Inputs!$B$1+((Inputs!$G$5:$G$180&lt;&gt;"moeda")*(Inputs!$G$5:$G$180&lt;&gt;"acoes")))*INDEX(Inputs!$K$5:$AJ$180,0,MATCH(L$2,Inputs!$K$4:$AJ$4,0)))+SUMPRODUCT((Inputs!$C$5:$C$180=$B56)*Inputs!$D$5:$D$180*(((Inputs!$G$5:$G$180="moeda")+(Inputs!$G$5:$G$180="acoes"))*Inputs!$B$1+((Inputs!$G$5:$G$180&lt;&gt;"moeda")*(Inputs!$G$5:$G$180&lt;&gt;"acoes")))*INDEX(Inputs!$K$5:$AJ$180,0,MATCH(L$2,Inputs!$K$4:$AJ$4,0)))+SUMPRODUCT((Inputs!$E$5:$E$180=$B56)*Inputs!$F$5:$F$180*(((Inputs!$G$5:$G$180="moeda")+(Inputs!$G$5:$G$180="acoes"))*Inputs!$B$1+((Inputs!$G$5:$G$180&lt;&gt;"moeda")*(Inputs!$G$5:$G$180&lt;&gt;"acoes")))*INDEX(Inputs!$K$5:$AJ$180,0,MATCH(L$2,Inputs!$K$4:$AJ$4,0)))))</f>
        <v>8.5069792</v>
      </c>
      <c r="M56" s="3">
        <f>SUM(I56:L56)</f>
        <v>8.5069792</v>
      </c>
      <c r="N56" s="6">
        <f>IF(ISNA(MATCH(N$2,Inputs!$K$4:$AJ$4,0)),NA(),IF(SUMPRODUCT((Inputs!$A$5:$A$180=$B56)*ISNUMBER(INDEX(Inputs!$K$5:$AJ$180,0,MATCH(N$2,Inputs!$K$4:$AJ$4,0))))+SUMPRODUCT((Inputs!$C$5:$C$180=$B56)*ISNUMBER(INDEX(Inputs!$K$5:$AJ$180,0,MATCH(N$2,Inputs!$K$4:$AJ$4,0))))+SUMPRODUCT((Inputs!$E$5:$E$180=$B56)*ISNUMBER(INDEX(Inputs!$K$5:$AJ$180,0,MATCH(N$2,Inputs!$K$4:$AJ$4,0))))=0,NA(),SUMPRODUCT((Inputs!$A$5:$A$180=$B56)*Inputs!$B$5:$B$180*(((Inputs!$G$5:$G$180="moeda")+(Inputs!$G$5:$G$180="acoes"))*Inputs!$B$1+((Inputs!$G$5:$G$180&lt;&gt;"moeda")*(Inputs!$G$5:$G$180&lt;&gt;"acoes")))*INDEX(Inputs!$K$5:$AJ$180,0,MATCH(N$2,Inputs!$K$4:$AJ$4,0)))+SUMPRODUCT((Inputs!$C$5:$C$180=$B56)*Inputs!$D$5:$D$180*(((Inputs!$G$5:$G$180="moeda")+(Inputs!$G$5:$G$180="acoes"))*Inputs!$B$1+((Inputs!$G$5:$G$180&lt;&gt;"moeda")*(Inputs!$G$5:$G$180&lt;&gt;"acoes")))*INDEX(Inputs!$K$5:$AJ$180,0,MATCH(N$2,Inputs!$K$4:$AJ$4,0)))+SUMPRODUCT((Inputs!$E$5:$E$180=$B56)*Inputs!$F$5:$F$180*(((Inputs!$G$5:$G$180="moeda")+(Inputs!$G$5:$G$180="acoes"))*Inputs!$B$1+((Inputs!$G$5:$G$180&lt;&gt;"moeda")*(Inputs!$G$5:$G$180&lt;&gt;"acoes")))*INDEX(Inputs!$K$5:$AJ$180,0,MATCH(N$2,Inputs!$K$4:$AJ$4,0)))))</f>
        <v>9.993879</v>
      </c>
      <c r="O56" s="6" t="e">
        <f>IF(ISNA(MATCH(O$2,Inputs!$K$4:$AJ$4,0)),NA(),IF(SUMPRODUCT((Inputs!$A$5:$A$180=$B56)*ISNUMBER(INDEX(Inputs!$K$5:$AJ$180,0,MATCH(O$2,Inputs!$K$4:$AJ$4,0))))+SUMPRODUCT((Inputs!$C$5:$C$180=$B56)*ISNUMBER(INDEX(Inputs!$K$5:$AJ$180,0,MATCH(O$2,Inputs!$K$4:$AJ$4,0))))+SUMPRODUCT((Inputs!$E$5:$E$180=$B56)*ISNUMBER(INDEX(Inputs!$K$5:$AJ$180,0,MATCH(O$2,Inputs!$K$4:$AJ$4,0))))=0,NA(),SUMPRODUCT((Inputs!$A$5:$A$180=$B56)*Inputs!$B$5:$B$180*(((Inputs!$G$5:$G$180="moeda")+(Inputs!$G$5:$G$180="acoes"))*Inputs!$B$1+((Inputs!$G$5:$G$180&lt;&gt;"moeda")*(Inputs!$G$5:$G$180&lt;&gt;"acoes")))*INDEX(Inputs!$K$5:$AJ$180,0,MATCH(O$2,Inputs!$K$4:$AJ$4,0)))+SUMPRODUCT((Inputs!$C$5:$C$180=$B56)*Inputs!$D$5:$D$180*(((Inputs!$G$5:$G$180="moeda")+(Inputs!$G$5:$G$180="acoes"))*Inputs!$B$1+((Inputs!$G$5:$G$180&lt;&gt;"moeda")*(Inputs!$G$5:$G$180&lt;&gt;"acoes")))*INDEX(Inputs!$K$5:$AJ$180,0,MATCH(O$2,Inputs!$K$4:$AJ$4,0)))+SUMPRODUCT((Inputs!$E$5:$E$180=$B56)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6" s="6">
        <f>IF(ISNA(MATCH(P$2,Inputs!$K$4:$AJ$4,0)),NA(),IF(SUMPRODUCT((Inputs!$A$5:$A$180=$B56)*ISNUMBER(INDEX(Inputs!$K$5:$AJ$180,0,MATCH(P$2,Inputs!$K$4:$AJ$4,0))))+SUMPRODUCT((Inputs!$C$5:$C$180=$B56)*ISNUMBER(INDEX(Inputs!$K$5:$AJ$180,0,MATCH(P$2,Inputs!$K$4:$AJ$4,0))))+SUMPRODUCT((Inputs!$E$5:$E$180=$B56)*ISNUMBER(INDEX(Inputs!$K$5:$AJ$180,0,MATCH(P$2,Inputs!$K$4:$AJ$4,0))))=0,NA(),SUMPRODUCT((Inputs!$A$5:$A$180=$B56)*Inputs!$B$5:$B$180*(((Inputs!$G$5:$G$180="moeda")+(Inputs!$G$5:$G$180="acoes"))*Inputs!$B$1+((Inputs!$G$5:$G$180&lt;&gt;"moeda")*(Inputs!$G$5:$G$180&lt;&gt;"acoes")))*INDEX(Inputs!$K$5:$AJ$180,0,MATCH(P$2,Inputs!$K$4:$AJ$4,0)))+SUMPRODUCT((Inputs!$C$5:$C$180=$B56)*Inputs!$D$5:$D$180*(((Inputs!$G$5:$G$180="moeda")+(Inputs!$G$5:$G$180="acoes"))*Inputs!$B$1+((Inputs!$G$5:$G$180&lt;&gt;"moeda")*(Inputs!$G$5:$G$180&lt;&gt;"acoes")))*INDEX(Inputs!$K$5:$AJ$180,0,MATCH(P$2,Inputs!$K$4:$AJ$4,0)))+SUMPRODUCT((Inputs!$E$5:$E$180=$B56)*Inputs!$F$5:$F$180*(((Inputs!$G$5:$G$180="moeda")+(Inputs!$G$5:$G$180="acoes"))*Inputs!$B$1+((Inputs!$G$5:$G$180&lt;&gt;"moeda")*(Inputs!$G$5:$G$180&lt;&gt;"acoes")))*INDEX(Inputs!$K$5:$AJ$180,0,MATCH(P$2,Inputs!$K$4:$AJ$4,0)))))</f>
        <v>146.85365603985</v>
      </c>
      <c r="Q56" s="6">
        <f>IF(ISNA(MATCH(Q$2,Inputs!$K$4:$AJ$4,0)),NA(),IF(SUMPRODUCT((Inputs!$A$5:$A$180=$B56)*ISNUMBER(INDEX(Inputs!$K$5:$AJ$180,0,MATCH(Q$2,Inputs!$K$4:$AJ$4,0))))+SUMPRODUCT((Inputs!$C$5:$C$180=$B56)*ISNUMBER(INDEX(Inputs!$K$5:$AJ$180,0,MATCH(Q$2,Inputs!$K$4:$AJ$4,0))))+SUMPRODUCT((Inputs!$E$5:$E$180=$B56)*ISNUMBER(INDEX(Inputs!$K$5:$AJ$180,0,MATCH(Q$2,Inputs!$K$4:$AJ$4,0))))=0,NA(),SUMPRODUCT((Inputs!$A$5:$A$180=$B56)*Inputs!$B$5:$B$180*(((Inputs!$G$5:$G$180="moeda")+(Inputs!$G$5:$G$180="acoes"))*Inputs!$B$1+((Inputs!$G$5:$G$180&lt;&gt;"moeda")*(Inputs!$G$5:$G$180&lt;&gt;"acoes")))*INDEX(Inputs!$K$5:$AJ$180,0,MATCH(Q$2,Inputs!$K$4:$AJ$4,0)))+SUMPRODUCT((Inputs!$C$5:$C$180=$B56)*Inputs!$D$5:$D$180*(((Inputs!$G$5:$G$180="moeda")+(Inputs!$G$5:$G$180="acoes"))*Inputs!$B$1+((Inputs!$G$5:$G$180&lt;&gt;"moeda")*(Inputs!$G$5:$G$180&lt;&gt;"acoes")))*INDEX(Inputs!$K$5:$AJ$180,0,MATCH(Q$2,Inputs!$K$4:$AJ$4,0)))+SUMPRODUCT((Inputs!$E$5:$E$180=$B56)*Inputs!$F$5:$F$180*(((Inputs!$G$5:$G$180="moeda")+(Inputs!$G$5:$G$180="acoes"))*Inputs!$B$1+((Inputs!$G$5:$G$180&lt;&gt;"moeda")*(Inputs!$G$5:$G$180&lt;&gt;"acoes")))*INDEX(Inputs!$K$5:$AJ$180,0,MATCH(Q$2,Inputs!$K$4:$AJ$4,0)))))</f>
        <v>139.428568</v>
      </c>
      <c r="R56" s="3" t="e">
        <f>SUM(N56:Q56)</f>
        <v>#N/A</v>
      </c>
      <c r="S56" s="6">
        <f>IF(ISNA(MATCH(S$2,Inputs!$K$4:$AJ$4,0)),NA(),IF(SUMPRODUCT((Inputs!$A$5:$A$180=$B56)*ISNUMBER(INDEX(Inputs!$K$5:$AJ$180,0,MATCH(S$2,Inputs!$K$4:$AJ$4,0))))+SUMPRODUCT((Inputs!$C$5:$C$180=$B56)*ISNUMBER(INDEX(Inputs!$K$5:$AJ$180,0,MATCH(S$2,Inputs!$K$4:$AJ$4,0))))+SUMPRODUCT((Inputs!$E$5:$E$180=$B56)*ISNUMBER(INDEX(Inputs!$K$5:$AJ$180,0,MATCH(S$2,Inputs!$K$4:$AJ$4,0))))=0,NA(),SUMPRODUCT((Inputs!$A$5:$A$180=$B56)*Inputs!$B$5:$B$180*(((Inputs!$G$5:$G$180="moeda")+(Inputs!$G$5:$G$180="acoes"))*Inputs!$B$1+((Inputs!$G$5:$G$180&lt;&gt;"moeda")*(Inputs!$G$5:$G$180&lt;&gt;"acoes")))*INDEX(Inputs!$K$5:$AJ$180,0,MATCH(S$2,Inputs!$K$4:$AJ$4,0)))+SUMPRODUCT((Inputs!$C$5:$C$180=$B56)*Inputs!$D$5:$D$180*(((Inputs!$G$5:$G$180="moeda")+(Inputs!$G$5:$G$180="acoes"))*Inputs!$B$1+((Inputs!$G$5:$G$180&lt;&gt;"moeda")*(Inputs!$G$5:$G$180&lt;&gt;"acoes")))*INDEX(Inputs!$K$5:$AJ$180,0,MATCH(S$2,Inputs!$K$4:$AJ$4,0)))+SUMPRODUCT((Inputs!$E$5:$E$180=$B56)*Inputs!$F$5:$F$180*(((Inputs!$G$5:$G$180="moeda")+(Inputs!$G$5:$G$180="acoes"))*Inputs!$B$1+((Inputs!$G$5:$G$180&lt;&gt;"moeda")*(Inputs!$G$5:$G$180&lt;&gt;"acoes")))*INDEX(Inputs!$K$5:$AJ$180,0,MATCH(S$2,Inputs!$K$4:$AJ$4,0)))))</f>
        <v>163.046700426417</v>
      </c>
      <c r="T56" s="6">
        <f>IF(ISNA(MATCH(T$2,Inputs!$K$4:$AJ$4,0)),NA(),IF(SUMPRODUCT((Inputs!$A$5:$A$180=$B56)*ISNUMBER(INDEX(Inputs!$K$5:$AJ$180,0,MATCH(T$2,Inputs!$K$4:$AJ$4,0))))+SUMPRODUCT((Inputs!$C$5:$C$180=$B56)*ISNUMBER(INDEX(Inputs!$K$5:$AJ$180,0,MATCH(T$2,Inputs!$K$4:$AJ$4,0))))+SUMPRODUCT((Inputs!$E$5:$E$180=$B56)*ISNUMBER(INDEX(Inputs!$K$5:$AJ$180,0,MATCH(T$2,Inputs!$K$4:$AJ$4,0))))=0,NA(),SUMPRODUCT((Inputs!$A$5:$A$180=$B56)*Inputs!$B$5:$B$180*(((Inputs!$G$5:$G$180="moeda")+(Inputs!$G$5:$G$180="acoes"))*Inputs!$B$1+((Inputs!$G$5:$G$180&lt;&gt;"moeda")*(Inputs!$G$5:$G$180&lt;&gt;"acoes")))*INDEX(Inputs!$K$5:$AJ$180,0,MATCH(T$2,Inputs!$K$4:$AJ$4,0)))+SUMPRODUCT((Inputs!$C$5:$C$180=$B56)*Inputs!$D$5:$D$180*(((Inputs!$G$5:$G$180="moeda")+(Inputs!$G$5:$G$180="acoes"))*Inputs!$B$1+((Inputs!$G$5:$G$180&lt;&gt;"moeda")*(Inputs!$G$5:$G$180&lt;&gt;"acoes")))*INDEX(Inputs!$K$5:$AJ$180,0,MATCH(T$2,Inputs!$K$4:$AJ$4,0)))+SUMPRODUCT((Inputs!$E$5:$E$180=$B56)*Inputs!$F$5:$F$180*(((Inputs!$G$5:$G$180="moeda")+(Inputs!$G$5:$G$180="acoes"))*Inputs!$B$1+((Inputs!$G$5:$G$180&lt;&gt;"moeda")*(Inputs!$G$5:$G$180&lt;&gt;"acoes")))*INDEX(Inputs!$K$5:$AJ$180,0,MATCH(T$2,Inputs!$K$4:$AJ$4,0)))))</f>
        <v>163.888105576753</v>
      </c>
      <c r="U56" s="6">
        <f>IF(ISNA(MATCH(U$2,Inputs!$K$4:$AJ$4,0)),NA(),IF(SUMPRODUCT((Inputs!$A$5:$A$180=$B56)*ISNUMBER(INDEX(Inputs!$K$5:$AJ$180,0,MATCH(U$2,Inputs!$K$4:$AJ$4,0))))+SUMPRODUCT((Inputs!$C$5:$C$180=$B56)*ISNUMBER(INDEX(Inputs!$K$5:$AJ$180,0,MATCH(U$2,Inputs!$K$4:$AJ$4,0))))+SUMPRODUCT((Inputs!$E$5:$E$180=$B56)*ISNUMBER(INDEX(Inputs!$K$5:$AJ$180,0,MATCH(U$2,Inputs!$K$4:$AJ$4,0))))=0,NA(),SUMPRODUCT((Inputs!$A$5:$A$180=$B56)*Inputs!$B$5:$B$180*(((Inputs!$G$5:$G$180="moeda")+(Inputs!$G$5:$G$180="acoes"))*Inputs!$B$1+((Inputs!$G$5:$G$180&lt;&gt;"moeda")*(Inputs!$G$5:$G$180&lt;&gt;"acoes")))*INDEX(Inputs!$K$5:$AJ$180,0,MATCH(U$2,Inputs!$K$4:$AJ$4,0)))+SUMPRODUCT((Inputs!$C$5:$C$180=$B56)*Inputs!$D$5:$D$180*(((Inputs!$G$5:$G$180="moeda")+(Inputs!$G$5:$G$180="acoes"))*Inputs!$B$1+((Inputs!$G$5:$G$180&lt;&gt;"moeda")*(Inputs!$G$5:$G$180&lt;&gt;"acoes")))*INDEX(Inputs!$K$5:$AJ$180,0,MATCH(U$2,Inputs!$K$4:$AJ$4,0)))+SUMPRODUCT((Inputs!$E$5:$E$180=$B56)*Inputs!$F$5:$F$180*(((Inputs!$G$5:$G$180="moeda")+(Inputs!$G$5:$G$180="acoes"))*Inputs!$B$1+((Inputs!$G$5:$G$180&lt;&gt;"moeda")*(Inputs!$G$5:$G$180&lt;&gt;"acoes")))*INDEX(Inputs!$K$5:$AJ$180,0,MATCH(U$2,Inputs!$K$4:$AJ$4,0)))))</f>
        <v>162.345725</v>
      </c>
      <c r="V56" s="6">
        <f>IF(ISNA(MATCH(V$2,Inputs!$K$4:$AJ$4,0)),NA(),IF(SUMPRODUCT((Inputs!$A$5:$A$180=$B56)*ISNUMBER(INDEX(Inputs!$K$5:$AJ$180,0,MATCH(V$2,Inputs!$K$4:$AJ$4,0))))+SUMPRODUCT((Inputs!$C$5:$C$180=$B56)*ISNUMBER(INDEX(Inputs!$K$5:$AJ$180,0,MATCH(V$2,Inputs!$K$4:$AJ$4,0))))+SUMPRODUCT((Inputs!$E$5:$E$180=$B56)*ISNUMBER(INDEX(Inputs!$K$5:$AJ$180,0,MATCH(V$2,Inputs!$K$4:$AJ$4,0))))=0,NA(),SUMPRODUCT((Inputs!$A$5:$A$180=$B56)*Inputs!$B$5:$B$180*(((Inputs!$G$5:$G$180="moeda")+(Inputs!$G$5:$G$180="acoes"))*Inputs!$B$1+((Inputs!$G$5:$G$180&lt;&gt;"moeda")*(Inputs!$G$5:$G$180&lt;&gt;"acoes")))*INDEX(Inputs!$K$5:$AJ$180,0,MATCH(V$2,Inputs!$K$4:$AJ$4,0)))+SUMPRODUCT((Inputs!$C$5:$C$180=$B56)*Inputs!$D$5:$D$180*(((Inputs!$G$5:$G$180="moeda")+(Inputs!$G$5:$G$180="acoes"))*Inputs!$B$1+((Inputs!$G$5:$G$180&lt;&gt;"moeda")*(Inputs!$G$5:$G$180&lt;&gt;"acoes")))*INDEX(Inputs!$K$5:$AJ$180,0,MATCH(V$2,Inputs!$K$4:$AJ$4,0)))+SUMPRODUCT((Inputs!$E$5:$E$180=$B56)*Inputs!$F$5:$F$180*(((Inputs!$G$5:$G$180="moeda")+(Inputs!$G$5:$G$180="acoes"))*Inputs!$B$1+((Inputs!$G$5:$G$180&lt;&gt;"moeda")*(Inputs!$G$5:$G$180&lt;&gt;"acoes")))*INDEX(Inputs!$K$5:$AJ$180,0,MATCH(V$2,Inputs!$K$4:$AJ$4,0)))))</f>
        <v>152.069036670173</v>
      </c>
      <c r="W56" s="3">
        <f>SUM(S56:V56)</f>
        <v>641.349567673343</v>
      </c>
      <c r="X56" s="6">
        <f>IF(ISNA(MATCH(X$2,Inputs!$K$4:$AJ$4,0)),NA(),IF(SUMPRODUCT((Inputs!$A$5:$A$180=$B56)*ISNUMBER(INDEX(Inputs!$K$5:$AJ$180,0,MATCH(X$2,Inputs!$K$4:$AJ$4,0))))+SUMPRODUCT((Inputs!$C$5:$C$180=$B56)*ISNUMBER(INDEX(Inputs!$K$5:$AJ$180,0,MATCH(X$2,Inputs!$K$4:$AJ$4,0))))+SUMPRODUCT((Inputs!$E$5:$E$180=$B56)*ISNUMBER(INDEX(Inputs!$K$5:$AJ$180,0,MATCH(X$2,Inputs!$K$4:$AJ$4,0))))=0,NA(),SUMPRODUCT((Inputs!$A$5:$A$180=$B56)*Inputs!$B$5:$B$180*(((Inputs!$G$5:$G$180="moeda")+(Inputs!$G$5:$G$180="acoes"))*Inputs!$B$1+((Inputs!$G$5:$G$180&lt;&gt;"moeda")*(Inputs!$G$5:$G$180&lt;&gt;"acoes")))*INDEX(Inputs!$K$5:$AJ$180,0,MATCH(X$2,Inputs!$K$4:$AJ$4,0)))+SUMPRODUCT((Inputs!$C$5:$C$180=$B56)*Inputs!$D$5:$D$180*(((Inputs!$G$5:$G$180="moeda")+(Inputs!$G$5:$G$180="acoes"))*Inputs!$B$1+((Inputs!$G$5:$G$180&lt;&gt;"moeda")*(Inputs!$G$5:$G$180&lt;&gt;"acoes")))*INDEX(Inputs!$K$5:$AJ$180,0,MATCH(X$2,Inputs!$K$4:$AJ$4,0)))+SUMPRODUCT((Inputs!$E$5:$E$180=$B56)*Inputs!$F$5:$F$180*(((Inputs!$G$5:$G$180="moeda")+(Inputs!$G$5:$G$180="acoes"))*Inputs!$B$1+((Inputs!$G$5:$G$180&lt;&gt;"moeda")*(Inputs!$G$5:$G$180&lt;&gt;"acoes")))*INDEX(Inputs!$K$5:$AJ$180,0,MATCH(X$2,Inputs!$K$4:$AJ$4,0)))))</f>
        <v>168.573027</v>
      </c>
      <c r="Y56" s="6">
        <f>IF(ISNA(MATCH(Y$2,Inputs!$K$4:$AJ$4,0)),NA(),IF(SUMPRODUCT((Inputs!$A$5:$A$180=$B56)*ISNUMBER(INDEX(Inputs!$K$5:$AJ$180,0,MATCH(Y$2,Inputs!$K$4:$AJ$4,0))))+SUMPRODUCT((Inputs!$C$5:$C$180=$B56)*ISNUMBER(INDEX(Inputs!$K$5:$AJ$180,0,MATCH(Y$2,Inputs!$K$4:$AJ$4,0))))+SUMPRODUCT((Inputs!$E$5:$E$180=$B56)*ISNUMBER(INDEX(Inputs!$K$5:$AJ$180,0,MATCH(Y$2,Inputs!$K$4:$AJ$4,0))))=0,NA(),SUMPRODUCT((Inputs!$A$5:$A$180=$B56)*Inputs!$B$5:$B$180*(((Inputs!$G$5:$G$180="moeda")+(Inputs!$G$5:$G$180="acoes"))*Inputs!$B$1+((Inputs!$G$5:$G$180&lt;&gt;"moeda")*(Inputs!$G$5:$G$180&lt;&gt;"acoes")))*INDEX(Inputs!$K$5:$AJ$180,0,MATCH(Y$2,Inputs!$K$4:$AJ$4,0)))+SUMPRODUCT((Inputs!$C$5:$C$180=$B56)*Inputs!$D$5:$D$180*(((Inputs!$G$5:$G$180="moeda")+(Inputs!$G$5:$G$180="acoes"))*Inputs!$B$1+((Inputs!$G$5:$G$180&lt;&gt;"moeda")*(Inputs!$G$5:$G$180&lt;&gt;"acoes")))*INDEX(Inputs!$K$5:$AJ$180,0,MATCH(Y$2,Inputs!$K$4:$AJ$4,0)))+SUMPRODUCT((Inputs!$E$5:$E$180=$B56)*Inputs!$F$5:$F$180*(((Inputs!$G$5:$G$180="moeda")+(Inputs!$G$5:$G$180="acoes"))*Inputs!$B$1+((Inputs!$G$5:$G$180&lt;&gt;"moeda")*(Inputs!$G$5:$G$180&lt;&gt;"acoes")))*INDEX(Inputs!$K$5:$AJ$180,0,MATCH(Y$2,Inputs!$K$4:$AJ$4,0)))))</f>
        <v>172.094632</v>
      </c>
      <c r="Z56" s="6">
        <f>IF(ISNA(MATCH(Z$2,Inputs!$K$4:$AJ$4,0)),NA(),IF(SUMPRODUCT((Inputs!$A$5:$A$180=$B56)*ISNUMBER(INDEX(Inputs!$K$5:$AJ$180,0,MATCH(Z$2,Inputs!$K$4:$AJ$4,0))))+SUMPRODUCT((Inputs!$C$5:$C$180=$B56)*ISNUMBER(INDEX(Inputs!$K$5:$AJ$180,0,MATCH(Z$2,Inputs!$K$4:$AJ$4,0))))+SUMPRODUCT((Inputs!$E$5:$E$180=$B56)*ISNUMBER(INDEX(Inputs!$K$5:$AJ$180,0,MATCH(Z$2,Inputs!$K$4:$AJ$4,0))))=0,NA(),SUMPRODUCT((Inputs!$A$5:$A$180=$B56)*Inputs!$B$5:$B$180*(((Inputs!$G$5:$G$180="moeda")+(Inputs!$G$5:$G$180="acoes"))*Inputs!$B$1+((Inputs!$G$5:$G$180&lt;&gt;"moeda")*(Inputs!$G$5:$G$180&lt;&gt;"acoes")))*INDEX(Inputs!$K$5:$AJ$180,0,MATCH(Z$2,Inputs!$K$4:$AJ$4,0)))+SUMPRODUCT((Inputs!$C$5:$C$180=$B56)*Inputs!$D$5:$D$180*(((Inputs!$G$5:$G$180="moeda")+(Inputs!$G$5:$G$180="acoes"))*Inputs!$B$1+((Inputs!$G$5:$G$180&lt;&gt;"moeda")*(Inputs!$G$5:$G$180&lt;&gt;"acoes")))*INDEX(Inputs!$K$5:$AJ$180,0,MATCH(Z$2,Inputs!$K$4:$AJ$4,0)))+SUMPRODUCT((Inputs!$E$5:$E$180=$B56)*Inputs!$F$5:$F$180*(((Inputs!$G$5:$G$180="moeda")+(Inputs!$G$5:$G$180="acoes"))*Inputs!$B$1+((Inputs!$G$5:$G$180&lt;&gt;"moeda")*(Inputs!$G$5:$G$180&lt;&gt;"acoes")))*INDEX(Inputs!$K$5:$AJ$180,0,MATCH(Z$2,Inputs!$K$4:$AJ$4,0)))))</f>
        <v>187.584298868216</v>
      </c>
      <c r="AA56" s="6">
        <f>IF(ISNA(MATCH(AA$2,Inputs!$K$4:$AJ$4,0)),NA(),IF(SUMPRODUCT((Inputs!$A$5:$A$180=$B56)*ISNUMBER(INDEX(Inputs!$K$5:$AJ$180,0,MATCH(AA$2,Inputs!$K$4:$AJ$4,0))))+SUMPRODUCT((Inputs!$C$5:$C$180=$B56)*ISNUMBER(INDEX(Inputs!$K$5:$AJ$180,0,MATCH(AA$2,Inputs!$K$4:$AJ$4,0))))+SUMPRODUCT((Inputs!$E$5:$E$180=$B56)*ISNUMBER(INDEX(Inputs!$K$5:$AJ$180,0,MATCH(AA$2,Inputs!$K$4:$AJ$4,0))))=0,NA(),SUMPRODUCT((Inputs!$A$5:$A$180=$B56)*Inputs!$B$5:$B$180*(((Inputs!$G$5:$G$180="moeda")+(Inputs!$G$5:$G$180="acoes"))*Inputs!$B$1+((Inputs!$G$5:$G$180&lt;&gt;"moeda")*(Inputs!$G$5:$G$180&lt;&gt;"acoes")))*INDEX(Inputs!$K$5:$AJ$180,0,MATCH(AA$2,Inputs!$K$4:$AJ$4,0)))+SUMPRODUCT((Inputs!$C$5:$C$180=$B56)*Inputs!$D$5:$D$180*(((Inputs!$G$5:$G$180="moeda")+(Inputs!$G$5:$G$180="acoes"))*Inputs!$B$1+((Inputs!$G$5:$G$180&lt;&gt;"moeda")*(Inputs!$G$5:$G$180&lt;&gt;"acoes")))*INDEX(Inputs!$K$5:$AJ$180,0,MATCH(AA$2,Inputs!$K$4:$AJ$4,0)))+SUMPRODUCT((Inputs!$E$5:$E$180=$B56)*Inputs!$F$5:$F$180*(((Inputs!$G$5:$G$180="moeda")+(Inputs!$G$5:$G$180="acoes"))*Inputs!$B$1+((Inputs!$G$5:$G$180&lt;&gt;"moeda")*(Inputs!$G$5:$G$180&lt;&gt;"acoes")))*INDEX(Inputs!$K$5:$AJ$180,0,MATCH(AA$2,Inputs!$K$4:$AJ$4,0)))))</f>
        <v>184.394027</v>
      </c>
      <c r="AB56" s="3">
        <f>SUM(X56:AA56)</f>
        <v>712.645984868216</v>
      </c>
      <c r="AC56" s="6">
        <f>IF(ISNA(MATCH(AC$2,Inputs!$K$4:$AJ$4,0)),NA(),IF(SUMPRODUCT((Inputs!$A$5:$A$180=$B56)*ISNUMBER(INDEX(Inputs!$K$5:$AJ$180,0,MATCH(AC$2,Inputs!$K$4:$AJ$4,0))))+SUMPRODUCT((Inputs!$C$5:$C$180=$B56)*ISNUMBER(INDEX(Inputs!$K$5:$AJ$180,0,MATCH(AC$2,Inputs!$K$4:$AJ$4,0))))+SUMPRODUCT((Inputs!$E$5:$E$180=$B56)*ISNUMBER(INDEX(Inputs!$K$5:$AJ$180,0,MATCH(AC$2,Inputs!$K$4:$AJ$4,0))))=0,NA(),SUMPRODUCT((Inputs!$A$5:$A$180=$B56)*Inputs!$B$5:$B$180*(((Inputs!$G$5:$G$180="moeda")+(Inputs!$G$5:$G$180="acoes"))*Inputs!$B$1+((Inputs!$G$5:$G$180&lt;&gt;"moeda")*(Inputs!$G$5:$G$180&lt;&gt;"acoes")))*INDEX(Inputs!$K$5:$AJ$180,0,MATCH(AC$2,Inputs!$K$4:$AJ$4,0)))+SUMPRODUCT((Inputs!$C$5:$C$180=$B56)*Inputs!$D$5:$D$180*(((Inputs!$G$5:$G$180="moeda")+(Inputs!$G$5:$G$180="acoes"))*Inputs!$B$1+((Inputs!$G$5:$G$180&lt;&gt;"moeda")*(Inputs!$G$5:$G$180&lt;&gt;"acoes")))*INDEX(Inputs!$K$5:$AJ$180,0,MATCH(AC$2,Inputs!$K$4:$AJ$4,0)))+SUMPRODUCT((Inputs!$E$5:$E$180=$B56)*Inputs!$F$5:$F$180*(((Inputs!$G$5:$G$180="moeda")+(Inputs!$G$5:$G$180="acoes"))*Inputs!$B$1+((Inputs!$G$5:$G$180&lt;&gt;"moeda")*(Inputs!$G$5:$G$180&lt;&gt;"acoes")))*INDEX(Inputs!$K$5:$AJ$180,0,MATCH(AC$2,Inputs!$K$4:$AJ$4,0)))))</f>
        <v>201.793709039573</v>
      </c>
      <c r="AD56" s="6">
        <f>IF(ISNA(MATCH(AD$2,Inputs!$K$4:$AJ$4,0)),NA(),IF(SUMPRODUCT((Inputs!$A$5:$A$180=$B56)*ISNUMBER(INDEX(Inputs!$K$5:$AJ$180,0,MATCH(AD$2,Inputs!$K$4:$AJ$4,0))))+SUMPRODUCT((Inputs!$C$5:$C$180=$B56)*ISNUMBER(INDEX(Inputs!$K$5:$AJ$180,0,MATCH(AD$2,Inputs!$K$4:$AJ$4,0))))+SUMPRODUCT((Inputs!$E$5:$E$180=$B56)*ISNUMBER(INDEX(Inputs!$K$5:$AJ$180,0,MATCH(AD$2,Inputs!$K$4:$AJ$4,0))))=0,NA(),SUMPRODUCT((Inputs!$A$5:$A$180=$B56)*Inputs!$B$5:$B$180*(((Inputs!$G$5:$G$180="moeda")+(Inputs!$G$5:$G$180="acoes"))*Inputs!$B$1+((Inputs!$G$5:$G$180&lt;&gt;"moeda")*(Inputs!$G$5:$G$180&lt;&gt;"acoes")))*INDEX(Inputs!$K$5:$AJ$180,0,MATCH(AD$2,Inputs!$K$4:$AJ$4,0)))+SUMPRODUCT((Inputs!$C$5:$C$180=$B56)*Inputs!$D$5:$D$180*(((Inputs!$G$5:$G$180="moeda")+(Inputs!$G$5:$G$180="acoes"))*Inputs!$B$1+((Inputs!$G$5:$G$180&lt;&gt;"moeda")*(Inputs!$G$5:$G$180&lt;&gt;"acoes")))*INDEX(Inputs!$K$5:$AJ$180,0,MATCH(AD$2,Inputs!$K$4:$AJ$4,0)))+SUMPRODUCT((Inputs!$E$5:$E$180=$B56)*Inputs!$F$5:$F$180*(((Inputs!$G$5:$G$180="moeda")+(Inputs!$G$5:$G$180="acoes"))*Inputs!$B$1+((Inputs!$G$5:$G$180&lt;&gt;"moeda")*(Inputs!$G$5:$G$180&lt;&gt;"acoes")))*INDEX(Inputs!$K$5:$AJ$180,0,MATCH(AD$2,Inputs!$K$4:$AJ$4,0)))))</f>
        <v>205.11335</v>
      </c>
      <c r="AE56" s="6" t="e">
        <f>IF(ISNA(MATCH(AE$2,Inputs!$K$4:$AJ$4,0)),NA(),IF(SUMPRODUCT((Inputs!$A$5:$A$180=$B56)*ISNUMBER(INDEX(Inputs!$K$5:$AJ$180,0,MATCH(AE$2,Inputs!$K$4:$AJ$4,0))))+SUMPRODUCT((Inputs!$C$5:$C$180=$B56)*ISNUMBER(INDEX(Inputs!$K$5:$AJ$180,0,MATCH(AE$2,Inputs!$K$4:$AJ$4,0))))+SUMPRODUCT((Inputs!$E$5:$E$180=$B56)*ISNUMBER(INDEX(Inputs!$K$5:$AJ$180,0,MATCH(AE$2,Inputs!$K$4:$AJ$4,0))))=0,NA(),SUMPRODUCT((Inputs!$A$5:$A$180=$B56)*Inputs!$B$5:$B$180*(((Inputs!$G$5:$G$180="moeda")+(Inputs!$G$5:$G$180="acoes"))*Inputs!$B$1+((Inputs!$G$5:$G$180&lt;&gt;"moeda")*(Inputs!$G$5:$G$180&lt;&gt;"acoes")))*INDEX(Inputs!$K$5:$AJ$180,0,MATCH(AE$2,Inputs!$K$4:$AJ$4,0)))+SUMPRODUCT((Inputs!$C$5:$C$180=$B56)*Inputs!$D$5:$D$180*(((Inputs!$G$5:$G$180="moeda")+(Inputs!$G$5:$G$180="acoes"))*Inputs!$B$1+((Inputs!$G$5:$G$180&lt;&gt;"moeda")*(Inputs!$G$5:$G$180&lt;&gt;"acoes")))*INDEX(Inputs!$K$5:$AJ$180,0,MATCH(AE$2,Inputs!$K$4:$AJ$4,0)))+SUMPRODUCT((Inputs!$E$5:$E$180=$B56)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6" s="6" t="e">
        <f>IF(ISNA(MATCH(AF$2,Inputs!$K$4:$AJ$4,0)),NA(),IF(SUMPRODUCT((Inputs!$A$5:$A$180=$B56)*ISNUMBER(INDEX(Inputs!$K$5:$AJ$180,0,MATCH(AF$2,Inputs!$K$4:$AJ$4,0))))+SUMPRODUCT((Inputs!$C$5:$C$180=$B56)*ISNUMBER(INDEX(Inputs!$K$5:$AJ$180,0,MATCH(AF$2,Inputs!$K$4:$AJ$4,0))))+SUMPRODUCT((Inputs!$E$5:$E$180=$B56)*ISNUMBER(INDEX(Inputs!$K$5:$AJ$180,0,MATCH(AF$2,Inputs!$K$4:$AJ$4,0))))=0,NA(),SUMPRODUCT((Inputs!$A$5:$A$180=$B56)*Inputs!$B$5:$B$180*(((Inputs!$G$5:$G$180="moeda")+(Inputs!$G$5:$G$180="acoes"))*Inputs!$B$1+((Inputs!$G$5:$G$180&lt;&gt;"moeda")*(Inputs!$G$5:$G$180&lt;&gt;"acoes")))*INDEX(Inputs!$K$5:$AJ$180,0,MATCH(AF$2,Inputs!$K$4:$AJ$4,0)))+SUMPRODUCT((Inputs!$C$5:$C$180=$B56)*Inputs!$D$5:$D$180*(((Inputs!$G$5:$G$180="moeda")+(Inputs!$G$5:$G$180="acoes"))*Inputs!$B$1+((Inputs!$G$5:$G$180&lt;&gt;"moeda")*(Inputs!$G$5:$G$180&lt;&gt;"acoes")))*INDEX(Inputs!$K$5:$AJ$180,0,MATCH(AF$2,Inputs!$K$4:$AJ$4,0)))+SUMPRODUCT((Inputs!$E$5:$E$180=$B56)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6" s="3" t="e">
        <f>SUM(AC56:AF56)</f>
        <v>#N/A</v>
      </c>
      <c r="AH56" s="6">
        <f>IF(ISNA(MATCH(AH$2,Inputs!$K$4:$AJ$4,0)),NA(),IF(SUMPRODUCT((Inputs!$A$5:$A$180=$B56)*ISNUMBER(INDEX(Inputs!$K$5:$AJ$180,0,MATCH(AH$2,Inputs!$K$4:$AJ$4,0))))+SUMPRODUCT((Inputs!$C$5:$C$180=$B56)*ISNUMBER(INDEX(Inputs!$K$5:$AJ$180,0,MATCH(AH$2,Inputs!$K$4:$AJ$4,0))))+SUMPRODUCT((Inputs!$E$5:$E$180=$B56)*ISNUMBER(INDEX(Inputs!$K$5:$AJ$180,0,MATCH(AH$2,Inputs!$K$4:$AJ$4,0))))=0,NA(),SUMPRODUCT((Inputs!$A$5:$A$180=$B56)*Inputs!$B$5:$B$180*(((Inputs!$G$5:$G$180="moeda")+(Inputs!$G$5:$G$180="acoes"))*Inputs!$B$1+((Inputs!$G$5:$G$180&lt;&gt;"moeda")*(Inputs!$G$5:$G$180&lt;&gt;"acoes")))*INDEX(Inputs!$K$5:$AJ$180,0,MATCH(AH$2,Inputs!$K$4:$AJ$4,0)))+SUMPRODUCT((Inputs!$C$5:$C$180=$B56)*Inputs!$D$5:$D$180*(((Inputs!$G$5:$G$180="moeda")+(Inputs!$G$5:$G$180="acoes"))*Inputs!$B$1+((Inputs!$G$5:$G$180&lt;&gt;"moeda")*(Inputs!$G$5:$G$180&lt;&gt;"acoes")))*INDEX(Inputs!$K$5:$AJ$180,0,MATCH(AH$2,Inputs!$K$4:$AJ$4,0)))+SUMPRODUCT((Inputs!$E$5:$E$180=$B56)*Inputs!$F$5:$F$180*(((Inputs!$G$5:$G$180="moeda")+(Inputs!$G$5:$G$180="acoes"))*Inputs!$B$1+((Inputs!$G$5:$G$180&lt;&gt;"moeda")*(Inputs!$G$5:$G$180&lt;&gt;"acoes")))*INDEX(Inputs!$K$5:$AJ$180,0,MATCH(AH$2,Inputs!$K$4:$AJ$4,0)))))</f>
        <v>0</v>
      </c>
      <c r="AI56" s="6">
        <f>IF(ISNA(MATCH(AI$2,Inputs!$K$4:$AJ$4,0)),NA(),IF(SUMPRODUCT((Inputs!$A$5:$A$180=$B56)*ISNUMBER(INDEX(Inputs!$K$5:$AJ$180,0,MATCH(AI$2,Inputs!$K$4:$AJ$4,0))))+SUMPRODUCT((Inputs!$C$5:$C$180=$B56)*ISNUMBER(INDEX(Inputs!$K$5:$AJ$180,0,MATCH(AI$2,Inputs!$K$4:$AJ$4,0))))+SUMPRODUCT((Inputs!$E$5:$E$180=$B56)*ISNUMBER(INDEX(Inputs!$K$5:$AJ$180,0,MATCH(AI$2,Inputs!$K$4:$AJ$4,0))))=0,NA(),SUMPRODUCT((Inputs!$A$5:$A$180=$B56)*Inputs!$B$5:$B$180*(((Inputs!$G$5:$G$180="moeda")+(Inputs!$G$5:$G$180="acoes"))*Inputs!$B$1+((Inputs!$G$5:$G$180&lt;&gt;"moeda")*(Inputs!$G$5:$G$180&lt;&gt;"acoes")))*INDEX(Inputs!$K$5:$AJ$180,0,MATCH(AI$2,Inputs!$K$4:$AJ$4,0)))+SUMPRODUCT((Inputs!$C$5:$C$180=$B56)*Inputs!$D$5:$D$180*(((Inputs!$G$5:$G$180="moeda")+(Inputs!$G$5:$G$180="acoes"))*Inputs!$B$1+((Inputs!$G$5:$G$180&lt;&gt;"moeda")*(Inputs!$G$5:$G$180&lt;&gt;"acoes")))*INDEX(Inputs!$K$5:$AJ$180,0,MATCH(AI$2,Inputs!$K$4:$AJ$4,0)))+SUMPRODUCT((Inputs!$E$5:$E$180=$B56)*Inputs!$F$5:$F$180*(((Inputs!$G$5:$G$180="moeda")+(Inputs!$G$5:$G$180="acoes"))*Inputs!$B$1+((Inputs!$G$5:$G$180&lt;&gt;"moeda")*(Inputs!$G$5:$G$180&lt;&gt;"acoes")))*INDEX(Inputs!$K$5:$AJ$180,0,MATCH(AI$2,Inputs!$K$4:$AJ$4,0)))))</f>
        <v>0</v>
      </c>
      <c r="AJ56" s="6">
        <f>IF(ISNA(MATCH(AJ$2,Inputs!$K$4:$AJ$4,0)),NA(),IF(SUMPRODUCT((Inputs!$A$5:$A$180=$B56)*ISNUMBER(INDEX(Inputs!$K$5:$AJ$180,0,MATCH(AJ$2,Inputs!$K$4:$AJ$4,0))))+SUMPRODUCT((Inputs!$C$5:$C$180=$B56)*ISNUMBER(INDEX(Inputs!$K$5:$AJ$180,0,MATCH(AJ$2,Inputs!$K$4:$AJ$4,0))))+SUMPRODUCT((Inputs!$E$5:$E$180=$B56)*ISNUMBER(INDEX(Inputs!$K$5:$AJ$180,0,MATCH(AJ$2,Inputs!$K$4:$AJ$4,0))))=0,NA(),SUMPRODUCT((Inputs!$A$5:$A$180=$B56)*Inputs!$B$5:$B$180*(((Inputs!$G$5:$G$180="moeda")+(Inputs!$G$5:$G$180="acoes"))*Inputs!$B$1+((Inputs!$G$5:$G$180&lt;&gt;"moeda")*(Inputs!$G$5:$G$180&lt;&gt;"acoes")))*INDEX(Inputs!$K$5:$AJ$180,0,MATCH(AJ$2,Inputs!$K$4:$AJ$4,0)))+SUMPRODUCT((Inputs!$C$5:$C$180=$B56)*Inputs!$D$5:$D$180*(((Inputs!$G$5:$G$180="moeda")+(Inputs!$G$5:$G$180="acoes"))*Inputs!$B$1+((Inputs!$G$5:$G$180&lt;&gt;"moeda")*(Inputs!$G$5:$G$180&lt;&gt;"acoes")))*INDEX(Inputs!$K$5:$AJ$180,0,MATCH(AJ$2,Inputs!$K$4:$AJ$4,0)))+SUMPRODUCT((Inputs!$E$5:$E$180=$B56)*Inputs!$F$5:$F$180*(((Inputs!$G$5:$G$180="moeda")+(Inputs!$G$5:$G$180="acoes"))*Inputs!$B$1+((Inputs!$G$5:$G$180&lt;&gt;"moeda")*(Inputs!$G$5:$G$180&lt;&gt;"acoes")))*INDEX(Inputs!$K$5:$AJ$180,0,MATCH(AJ$2,Inputs!$K$4:$AJ$4,0)))))</f>
        <v>0</v>
      </c>
      <c r="AK56" s="6">
        <f>IF(ISNA(MATCH(AK$2,Inputs!$K$4:$AJ$4,0)),NA(),IF(SUMPRODUCT((Inputs!$A$5:$A$180=$B56)*ISNUMBER(INDEX(Inputs!$K$5:$AJ$180,0,MATCH(AK$2,Inputs!$K$4:$AJ$4,0))))+SUMPRODUCT((Inputs!$C$5:$C$180=$B56)*ISNUMBER(INDEX(Inputs!$K$5:$AJ$180,0,MATCH(AK$2,Inputs!$K$4:$AJ$4,0))))+SUMPRODUCT((Inputs!$E$5:$E$180=$B56)*ISNUMBER(INDEX(Inputs!$K$5:$AJ$180,0,MATCH(AK$2,Inputs!$K$4:$AJ$4,0))))=0,NA(),SUMPRODUCT((Inputs!$A$5:$A$180=$B56)*Inputs!$B$5:$B$180*(((Inputs!$G$5:$G$180="moeda")+(Inputs!$G$5:$G$180="acoes"))*Inputs!$B$1+((Inputs!$G$5:$G$180&lt;&gt;"moeda")*(Inputs!$G$5:$G$180&lt;&gt;"acoes")))*INDEX(Inputs!$K$5:$AJ$180,0,MATCH(AK$2,Inputs!$K$4:$AJ$4,0)))+SUMPRODUCT((Inputs!$C$5:$C$180=$B56)*Inputs!$D$5:$D$180*(((Inputs!$G$5:$G$180="moeda")+(Inputs!$G$5:$G$180="acoes"))*Inputs!$B$1+((Inputs!$G$5:$G$180&lt;&gt;"moeda")*(Inputs!$G$5:$G$180&lt;&gt;"acoes")))*INDEX(Inputs!$K$5:$AJ$180,0,MATCH(AK$2,Inputs!$K$4:$AJ$4,0)))+SUMPRODUCT((Inputs!$E$5:$E$180=$B56)*Inputs!$F$5:$F$180*(((Inputs!$G$5:$G$180="moeda")+(Inputs!$G$5:$G$180="acoes"))*Inputs!$B$1+((Inputs!$G$5:$G$180&lt;&gt;"moeda")*(Inputs!$G$5:$G$180&lt;&gt;"acoes")))*INDEX(Inputs!$K$5:$AJ$180,0,MATCH(AK$2,Inputs!$K$4:$AJ$4,0)))))</f>
        <v>0</v>
      </c>
      <c r="AL56" s="3">
        <f>SUM(AH56:AK56)</f>
        <v>0</v>
      </c>
    </row>
    <row r="57">
      <c r="B57" s="46" t="n">
        <v>49</v>
      </c>
      <c r="C57" s="29" t="inlineStr">
        <is>
          <t>Marcas Regionais</t>
        </is>
      </c>
      <c r="D57" s="6">
        <f>IF(ISNA(MATCH(D$2,Inputs!$K$4:$AJ$4,0)),NA(),IF(SUMPRODUCT((Inputs!$A$5:$A$180=$B57)*ISNUMBER(INDEX(Inputs!$K$5:$AJ$180,0,MATCH(D$2,Inputs!$K$4:$AJ$4,0))))+SUMPRODUCT((Inputs!$C$5:$C$180=$B57)*ISNUMBER(INDEX(Inputs!$K$5:$AJ$180,0,MATCH(D$2,Inputs!$K$4:$AJ$4,0))))+SUMPRODUCT((Inputs!$E$5:$E$180=$B57)*ISNUMBER(INDEX(Inputs!$K$5:$AJ$180,0,MATCH(D$2,Inputs!$K$4:$AJ$4,0))))=0,NA(),SUMPRODUCT((Inputs!$A$5:$A$180=$B57)*Inputs!$B$5:$B$180*(((Inputs!$G$5:$G$180="moeda")+(Inputs!$G$5:$G$180="acoes"))*Inputs!$B$1+((Inputs!$G$5:$G$180&lt;&gt;"moeda")*(Inputs!$G$5:$G$180&lt;&gt;"acoes")))*INDEX(Inputs!$K$5:$AJ$180,0,MATCH(D$2,Inputs!$K$4:$AJ$4,0)))+SUMPRODUCT((Inputs!$C$5:$C$180=$B57)*Inputs!$D$5:$D$180*(((Inputs!$G$5:$G$180="moeda")+(Inputs!$G$5:$G$180="acoes"))*Inputs!$B$1+((Inputs!$G$5:$G$180&lt;&gt;"moeda")*(Inputs!$G$5:$G$180&lt;&gt;"acoes")))*INDEX(Inputs!$K$5:$AJ$180,0,MATCH(D$2,Inputs!$K$4:$AJ$4,0)))+SUMPRODUCT((Inputs!$E$5:$E$180=$B57)*Inputs!$F$5:$F$180*(((Inputs!$G$5:$G$180="moeda")+(Inputs!$G$5:$G$180="acoes"))*Inputs!$B$1+((Inputs!$G$5:$G$180&lt;&gt;"moeda")*(Inputs!$G$5:$G$180&lt;&gt;"acoes")))*INDEX(Inputs!$K$5:$AJ$180,0,MATCH(D$2,Inputs!$K$4:$AJ$4,0)))))</f>
        <v>106.827649419352</v>
      </c>
      <c r="E57" s="6">
        <f>IF(ISNA(MATCH(E$2,Inputs!$K$4:$AJ$4,0)),NA(),IF(SUMPRODUCT((Inputs!$A$5:$A$180=$B57)*ISNUMBER(INDEX(Inputs!$K$5:$AJ$180,0,MATCH(E$2,Inputs!$K$4:$AJ$4,0))))+SUMPRODUCT((Inputs!$C$5:$C$180=$B57)*ISNUMBER(INDEX(Inputs!$K$5:$AJ$180,0,MATCH(E$2,Inputs!$K$4:$AJ$4,0))))+SUMPRODUCT((Inputs!$E$5:$E$180=$B57)*ISNUMBER(INDEX(Inputs!$K$5:$AJ$180,0,MATCH(E$2,Inputs!$K$4:$AJ$4,0))))=0,NA(),SUMPRODUCT((Inputs!$A$5:$A$180=$B57)*Inputs!$B$5:$B$180*(((Inputs!$G$5:$G$180="moeda")+(Inputs!$G$5:$G$180="acoes"))*Inputs!$B$1+((Inputs!$G$5:$G$180&lt;&gt;"moeda")*(Inputs!$G$5:$G$180&lt;&gt;"acoes")))*INDEX(Inputs!$K$5:$AJ$180,0,MATCH(E$2,Inputs!$K$4:$AJ$4,0)))+SUMPRODUCT((Inputs!$C$5:$C$180=$B57)*Inputs!$D$5:$D$180*(((Inputs!$G$5:$G$180="moeda")+(Inputs!$G$5:$G$180="acoes"))*Inputs!$B$1+((Inputs!$G$5:$G$180&lt;&gt;"moeda")*(Inputs!$G$5:$G$180&lt;&gt;"acoes")))*INDEX(Inputs!$K$5:$AJ$180,0,MATCH(E$2,Inputs!$K$4:$AJ$4,0)))+SUMPRODUCT((Inputs!$E$5:$E$180=$B57)*Inputs!$F$5:$F$180*(((Inputs!$G$5:$G$180="moeda")+(Inputs!$G$5:$G$180="acoes"))*Inputs!$B$1+((Inputs!$G$5:$G$180&lt;&gt;"moeda")*(Inputs!$G$5:$G$180&lt;&gt;"acoes")))*INDEX(Inputs!$K$5:$AJ$180,0,MATCH(E$2,Inputs!$K$4:$AJ$4,0)))))</f>
        <v>107.26347615</v>
      </c>
      <c r="F57" s="6">
        <f>IF(ISNA(MATCH(F$2,Inputs!$K$4:$AJ$4,0)),NA(),IF(SUMPRODUCT((Inputs!$A$5:$A$180=$B57)*ISNUMBER(INDEX(Inputs!$K$5:$AJ$180,0,MATCH(F$2,Inputs!$K$4:$AJ$4,0))))+SUMPRODUCT((Inputs!$C$5:$C$180=$B57)*ISNUMBER(INDEX(Inputs!$K$5:$AJ$180,0,MATCH(F$2,Inputs!$K$4:$AJ$4,0))))+SUMPRODUCT((Inputs!$E$5:$E$180=$B57)*ISNUMBER(INDEX(Inputs!$K$5:$AJ$180,0,MATCH(F$2,Inputs!$K$4:$AJ$4,0))))=0,NA(),SUMPRODUCT((Inputs!$A$5:$A$180=$B57)*Inputs!$B$5:$B$180*(((Inputs!$G$5:$G$180="moeda")+(Inputs!$G$5:$G$180="acoes"))*Inputs!$B$1+((Inputs!$G$5:$G$180&lt;&gt;"moeda")*(Inputs!$G$5:$G$180&lt;&gt;"acoes")))*INDEX(Inputs!$K$5:$AJ$180,0,MATCH(F$2,Inputs!$K$4:$AJ$4,0)))+SUMPRODUCT((Inputs!$C$5:$C$180=$B57)*Inputs!$D$5:$D$180*(((Inputs!$G$5:$G$180="moeda")+(Inputs!$G$5:$G$180="acoes"))*Inputs!$B$1+((Inputs!$G$5:$G$180&lt;&gt;"moeda")*(Inputs!$G$5:$G$180&lt;&gt;"acoes")))*INDEX(Inputs!$K$5:$AJ$180,0,MATCH(F$2,Inputs!$K$4:$AJ$4,0)))+SUMPRODUCT((Inputs!$E$5:$E$180=$B57)*Inputs!$F$5:$F$180*(((Inputs!$G$5:$G$180="moeda")+(Inputs!$G$5:$G$180="acoes"))*Inputs!$B$1+((Inputs!$G$5:$G$180&lt;&gt;"moeda")*(Inputs!$G$5:$G$180&lt;&gt;"acoes")))*INDEX(Inputs!$K$5:$AJ$180,0,MATCH(F$2,Inputs!$K$4:$AJ$4,0)))))</f>
        <v>109.3935775</v>
      </c>
      <c r="G57" s="6">
        <f>IF(ISNA(MATCH(G$2,Inputs!$K$4:$AJ$4,0)),NA(),IF(SUMPRODUCT((Inputs!$A$5:$A$180=$B57)*ISNUMBER(INDEX(Inputs!$K$5:$AJ$180,0,MATCH(G$2,Inputs!$K$4:$AJ$4,0))))+SUMPRODUCT((Inputs!$C$5:$C$180=$B57)*ISNUMBER(INDEX(Inputs!$K$5:$AJ$180,0,MATCH(G$2,Inputs!$K$4:$AJ$4,0))))+SUMPRODUCT((Inputs!$E$5:$E$180=$B57)*ISNUMBER(INDEX(Inputs!$K$5:$AJ$180,0,MATCH(G$2,Inputs!$K$4:$AJ$4,0))))=0,NA(),SUMPRODUCT((Inputs!$A$5:$A$180=$B57)*Inputs!$B$5:$B$180*(((Inputs!$G$5:$G$180="moeda")+(Inputs!$G$5:$G$180="acoes"))*Inputs!$B$1+((Inputs!$G$5:$G$180&lt;&gt;"moeda")*(Inputs!$G$5:$G$180&lt;&gt;"acoes")))*INDEX(Inputs!$K$5:$AJ$180,0,MATCH(G$2,Inputs!$K$4:$AJ$4,0)))+SUMPRODUCT((Inputs!$C$5:$C$180=$B57)*Inputs!$D$5:$D$180*(((Inputs!$G$5:$G$180="moeda")+(Inputs!$G$5:$G$180="acoes"))*Inputs!$B$1+((Inputs!$G$5:$G$180&lt;&gt;"moeda")*(Inputs!$G$5:$G$180&lt;&gt;"acoes")))*INDEX(Inputs!$K$5:$AJ$180,0,MATCH(G$2,Inputs!$K$4:$AJ$4,0)))+SUMPRODUCT((Inputs!$E$5:$E$180=$B57)*Inputs!$F$5:$F$180*(((Inputs!$G$5:$G$180="moeda")+(Inputs!$G$5:$G$180="acoes"))*Inputs!$B$1+((Inputs!$G$5:$G$180&lt;&gt;"moeda")*(Inputs!$G$5:$G$180&lt;&gt;"acoes")))*INDEX(Inputs!$K$5:$AJ$180,0,MATCH(G$2,Inputs!$K$4:$AJ$4,0)))))</f>
        <v>141.59059045</v>
      </c>
      <c r="H57" s="3">
        <f>SUM(D57:G57)</f>
        <v>465.075293519352</v>
      </c>
      <c r="I57" s="6">
        <f>IF(ISNA(MATCH(I$2,Inputs!$K$4:$AJ$4,0)),NA(),IF(SUMPRODUCT((Inputs!$A$5:$A$180=$B57)*ISNUMBER(INDEX(Inputs!$K$5:$AJ$180,0,MATCH(I$2,Inputs!$K$4:$AJ$4,0))))+SUMPRODUCT((Inputs!$C$5:$C$180=$B57)*ISNUMBER(INDEX(Inputs!$K$5:$AJ$180,0,MATCH(I$2,Inputs!$K$4:$AJ$4,0))))+SUMPRODUCT((Inputs!$E$5:$E$180=$B57)*ISNUMBER(INDEX(Inputs!$K$5:$AJ$180,0,MATCH(I$2,Inputs!$K$4:$AJ$4,0))))=0,NA(),SUMPRODUCT((Inputs!$A$5:$A$180=$B57)*Inputs!$B$5:$B$180*(((Inputs!$G$5:$G$180="moeda")+(Inputs!$G$5:$G$180="acoes"))*Inputs!$B$1+((Inputs!$G$5:$G$180&lt;&gt;"moeda")*(Inputs!$G$5:$G$180&lt;&gt;"acoes")))*INDEX(Inputs!$K$5:$AJ$180,0,MATCH(I$2,Inputs!$K$4:$AJ$4,0)))+SUMPRODUCT((Inputs!$C$5:$C$180=$B57)*Inputs!$D$5:$D$180*(((Inputs!$G$5:$G$180="moeda")+(Inputs!$G$5:$G$180="acoes"))*Inputs!$B$1+((Inputs!$G$5:$G$180&lt;&gt;"moeda")*(Inputs!$G$5:$G$180&lt;&gt;"acoes")))*INDEX(Inputs!$K$5:$AJ$180,0,MATCH(I$2,Inputs!$K$4:$AJ$4,0)))+SUMPRODUCT((Inputs!$E$5:$E$180=$B57)*Inputs!$F$5:$F$180*(((Inputs!$G$5:$G$180="moeda")+(Inputs!$G$5:$G$180="acoes"))*Inputs!$B$1+((Inputs!$G$5:$G$180&lt;&gt;"moeda")*(Inputs!$G$5:$G$180&lt;&gt;"acoes")))*INDEX(Inputs!$K$5:$AJ$180,0,MATCH(I$2,Inputs!$K$4:$AJ$4,0)))))</f>
        <v>148.502178229443</v>
      </c>
      <c r="J57" s="6">
        <f>IF(ISNA(MATCH(J$2,Inputs!$K$4:$AJ$4,0)),NA(),IF(SUMPRODUCT((Inputs!$A$5:$A$180=$B57)*ISNUMBER(INDEX(Inputs!$K$5:$AJ$180,0,MATCH(J$2,Inputs!$K$4:$AJ$4,0))))+SUMPRODUCT((Inputs!$C$5:$C$180=$B57)*ISNUMBER(INDEX(Inputs!$K$5:$AJ$180,0,MATCH(J$2,Inputs!$K$4:$AJ$4,0))))+SUMPRODUCT((Inputs!$E$5:$E$180=$B57)*ISNUMBER(INDEX(Inputs!$K$5:$AJ$180,0,MATCH(J$2,Inputs!$K$4:$AJ$4,0))))=0,NA(),SUMPRODUCT((Inputs!$A$5:$A$180=$B57)*Inputs!$B$5:$B$180*(((Inputs!$G$5:$G$180="moeda")+(Inputs!$G$5:$G$180="acoes"))*Inputs!$B$1+((Inputs!$G$5:$G$180&lt;&gt;"moeda")*(Inputs!$G$5:$G$180&lt;&gt;"acoes")))*INDEX(Inputs!$K$5:$AJ$180,0,MATCH(J$2,Inputs!$K$4:$AJ$4,0)))+SUMPRODUCT((Inputs!$C$5:$C$180=$B57)*Inputs!$D$5:$D$180*(((Inputs!$G$5:$G$180="moeda")+(Inputs!$G$5:$G$180="acoes"))*Inputs!$B$1+((Inputs!$G$5:$G$180&lt;&gt;"moeda")*(Inputs!$G$5:$G$180&lt;&gt;"acoes")))*INDEX(Inputs!$K$5:$AJ$180,0,MATCH(J$2,Inputs!$K$4:$AJ$4,0)))+SUMPRODUCT((Inputs!$E$5:$E$180=$B57)*Inputs!$F$5:$F$180*(((Inputs!$G$5:$G$180="moeda")+(Inputs!$G$5:$G$180="acoes"))*Inputs!$B$1+((Inputs!$G$5:$G$180&lt;&gt;"moeda")*(Inputs!$G$5:$G$180&lt;&gt;"acoes")))*INDEX(Inputs!$K$5:$AJ$180,0,MATCH(J$2,Inputs!$K$4:$AJ$4,0)))))</f>
        <v>160.663107996909</v>
      </c>
      <c r="K57" s="6">
        <f>IF(ISNA(MATCH(K$2,Inputs!$K$4:$AJ$4,0)),NA(),IF(SUMPRODUCT((Inputs!$A$5:$A$180=$B57)*ISNUMBER(INDEX(Inputs!$K$5:$AJ$180,0,MATCH(K$2,Inputs!$K$4:$AJ$4,0))))+SUMPRODUCT((Inputs!$C$5:$C$180=$B57)*ISNUMBER(INDEX(Inputs!$K$5:$AJ$180,0,MATCH(K$2,Inputs!$K$4:$AJ$4,0))))+SUMPRODUCT((Inputs!$E$5:$E$180=$B57)*ISNUMBER(INDEX(Inputs!$K$5:$AJ$180,0,MATCH(K$2,Inputs!$K$4:$AJ$4,0))))=0,NA(),SUMPRODUCT((Inputs!$A$5:$A$180=$B57)*Inputs!$B$5:$B$180*(((Inputs!$G$5:$G$180="moeda")+(Inputs!$G$5:$G$180="acoes"))*Inputs!$B$1+((Inputs!$G$5:$G$180&lt;&gt;"moeda")*(Inputs!$G$5:$G$180&lt;&gt;"acoes")))*INDEX(Inputs!$K$5:$AJ$180,0,MATCH(K$2,Inputs!$K$4:$AJ$4,0)))+SUMPRODUCT((Inputs!$C$5:$C$180=$B57)*Inputs!$D$5:$D$180*(((Inputs!$G$5:$G$180="moeda")+(Inputs!$G$5:$G$180="acoes"))*Inputs!$B$1+((Inputs!$G$5:$G$180&lt;&gt;"moeda")*(Inputs!$G$5:$G$180&lt;&gt;"acoes")))*INDEX(Inputs!$K$5:$AJ$180,0,MATCH(K$2,Inputs!$K$4:$AJ$4,0)))+SUMPRODUCT((Inputs!$E$5:$E$180=$B57)*Inputs!$F$5:$F$180*(((Inputs!$G$5:$G$180="moeda")+(Inputs!$G$5:$G$180="acoes"))*Inputs!$B$1+((Inputs!$G$5:$G$180&lt;&gt;"moeda")*(Inputs!$G$5:$G$180&lt;&gt;"acoes")))*INDEX(Inputs!$K$5:$AJ$180,0,MATCH(K$2,Inputs!$K$4:$AJ$4,0)))))</f>
        <v>174.007403</v>
      </c>
      <c r="L57" s="6">
        <f>IF(ISNA(MATCH(L$2,Inputs!$K$4:$AJ$4,0)),NA(),IF(SUMPRODUCT((Inputs!$A$5:$A$180=$B57)*ISNUMBER(INDEX(Inputs!$K$5:$AJ$180,0,MATCH(L$2,Inputs!$K$4:$AJ$4,0))))+SUMPRODUCT((Inputs!$C$5:$C$180=$B57)*ISNUMBER(INDEX(Inputs!$K$5:$AJ$180,0,MATCH(L$2,Inputs!$K$4:$AJ$4,0))))+SUMPRODUCT((Inputs!$E$5:$E$180=$B57)*ISNUMBER(INDEX(Inputs!$K$5:$AJ$180,0,MATCH(L$2,Inputs!$K$4:$AJ$4,0))))=0,NA(),SUMPRODUCT((Inputs!$A$5:$A$180=$B57)*Inputs!$B$5:$B$180*(((Inputs!$G$5:$G$180="moeda")+(Inputs!$G$5:$G$180="acoes"))*Inputs!$B$1+((Inputs!$G$5:$G$180&lt;&gt;"moeda")*(Inputs!$G$5:$G$180&lt;&gt;"acoes")))*INDEX(Inputs!$K$5:$AJ$180,0,MATCH(L$2,Inputs!$K$4:$AJ$4,0)))+SUMPRODUCT((Inputs!$C$5:$C$180=$B57)*Inputs!$D$5:$D$180*(((Inputs!$G$5:$G$180="moeda")+(Inputs!$G$5:$G$180="acoes"))*Inputs!$B$1+((Inputs!$G$5:$G$180&lt;&gt;"moeda")*(Inputs!$G$5:$G$180&lt;&gt;"acoes")))*INDEX(Inputs!$K$5:$AJ$180,0,MATCH(L$2,Inputs!$K$4:$AJ$4,0)))+SUMPRODUCT((Inputs!$E$5:$E$180=$B57)*Inputs!$F$5:$F$180*(((Inputs!$G$5:$G$180="moeda")+(Inputs!$G$5:$G$180="acoes"))*Inputs!$B$1+((Inputs!$G$5:$G$180&lt;&gt;"moeda")*(Inputs!$G$5:$G$180&lt;&gt;"acoes")))*INDEX(Inputs!$K$5:$AJ$180,0,MATCH(L$2,Inputs!$K$4:$AJ$4,0)))))</f>
        <v>156.72236188</v>
      </c>
      <c r="M57" s="3">
        <f>SUM(I57:L57)</f>
        <v>639.895051106352</v>
      </c>
      <c r="N57" s="6">
        <f>IF(ISNA(MATCH(N$2,Inputs!$K$4:$AJ$4,0)),NA(),IF(SUMPRODUCT((Inputs!$A$5:$A$180=$B57)*ISNUMBER(INDEX(Inputs!$K$5:$AJ$180,0,MATCH(N$2,Inputs!$K$4:$AJ$4,0))))+SUMPRODUCT((Inputs!$C$5:$C$180=$B57)*ISNUMBER(INDEX(Inputs!$K$5:$AJ$180,0,MATCH(N$2,Inputs!$K$4:$AJ$4,0))))+SUMPRODUCT((Inputs!$E$5:$E$180=$B57)*ISNUMBER(INDEX(Inputs!$K$5:$AJ$180,0,MATCH(N$2,Inputs!$K$4:$AJ$4,0))))=0,NA(),SUMPRODUCT((Inputs!$A$5:$A$180=$B57)*Inputs!$B$5:$B$180*(((Inputs!$G$5:$G$180="moeda")+(Inputs!$G$5:$G$180="acoes"))*Inputs!$B$1+((Inputs!$G$5:$G$180&lt;&gt;"moeda")*(Inputs!$G$5:$G$180&lt;&gt;"acoes")))*INDEX(Inputs!$K$5:$AJ$180,0,MATCH(N$2,Inputs!$K$4:$AJ$4,0)))+SUMPRODUCT((Inputs!$C$5:$C$180=$B57)*Inputs!$D$5:$D$180*(((Inputs!$G$5:$G$180="moeda")+(Inputs!$G$5:$G$180="acoes"))*Inputs!$B$1+((Inputs!$G$5:$G$180&lt;&gt;"moeda")*(Inputs!$G$5:$G$180&lt;&gt;"acoes")))*INDEX(Inputs!$K$5:$AJ$180,0,MATCH(N$2,Inputs!$K$4:$AJ$4,0)))+SUMPRODUCT((Inputs!$E$5:$E$180=$B57)*Inputs!$F$5:$F$180*(((Inputs!$G$5:$G$180="moeda")+(Inputs!$G$5:$G$180="acoes"))*Inputs!$B$1+((Inputs!$G$5:$G$180&lt;&gt;"moeda")*(Inputs!$G$5:$G$180&lt;&gt;"acoes")))*INDEX(Inputs!$K$5:$AJ$180,0,MATCH(N$2,Inputs!$K$4:$AJ$4,0)))))</f>
        <v>172.3578786</v>
      </c>
      <c r="O57" s="6" t="e">
        <f>IF(ISNA(MATCH(O$2,Inputs!$K$4:$AJ$4,0)),NA(),IF(SUMPRODUCT((Inputs!$A$5:$A$180=$B57)*ISNUMBER(INDEX(Inputs!$K$5:$AJ$180,0,MATCH(O$2,Inputs!$K$4:$AJ$4,0))))+SUMPRODUCT((Inputs!$C$5:$C$180=$B57)*ISNUMBER(INDEX(Inputs!$K$5:$AJ$180,0,MATCH(O$2,Inputs!$K$4:$AJ$4,0))))+SUMPRODUCT((Inputs!$E$5:$E$180=$B57)*ISNUMBER(INDEX(Inputs!$K$5:$AJ$180,0,MATCH(O$2,Inputs!$K$4:$AJ$4,0))))=0,NA(),SUMPRODUCT((Inputs!$A$5:$A$180=$B57)*Inputs!$B$5:$B$180*(((Inputs!$G$5:$G$180="moeda")+(Inputs!$G$5:$G$180="acoes"))*Inputs!$B$1+((Inputs!$G$5:$G$180&lt;&gt;"moeda")*(Inputs!$G$5:$G$180&lt;&gt;"acoes")))*INDEX(Inputs!$K$5:$AJ$180,0,MATCH(O$2,Inputs!$K$4:$AJ$4,0)))+SUMPRODUCT((Inputs!$C$5:$C$180=$B57)*Inputs!$D$5:$D$180*(((Inputs!$G$5:$G$180="moeda")+(Inputs!$G$5:$G$180="acoes"))*Inputs!$B$1+((Inputs!$G$5:$G$180&lt;&gt;"moeda")*(Inputs!$G$5:$G$180&lt;&gt;"acoes")))*INDEX(Inputs!$K$5:$AJ$180,0,MATCH(O$2,Inputs!$K$4:$AJ$4,0)))+SUMPRODUCT((Inputs!$E$5:$E$180=$B57)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7" s="6">
        <f>IF(ISNA(MATCH(P$2,Inputs!$K$4:$AJ$4,0)),NA(),IF(SUMPRODUCT((Inputs!$A$5:$A$180=$B57)*ISNUMBER(INDEX(Inputs!$K$5:$AJ$180,0,MATCH(P$2,Inputs!$K$4:$AJ$4,0))))+SUMPRODUCT((Inputs!$C$5:$C$180=$B57)*ISNUMBER(INDEX(Inputs!$K$5:$AJ$180,0,MATCH(P$2,Inputs!$K$4:$AJ$4,0))))+SUMPRODUCT((Inputs!$E$5:$E$180=$B57)*ISNUMBER(INDEX(Inputs!$K$5:$AJ$180,0,MATCH(P$2,Inputs!$K$4:$AJ$4,0))))=0,NA(),SUMPRODUCT((Inputs!$A$5:$A$180=$B57)*Inputs!$B$5:$B$180*(((Inputs!$G$5:$G$180="moeda")+(Inputs!$G$5:$G$180="acoes"))*Inputs!$B$1+((Inputs!$G$5:$G$180&lt;&gt;"moeda")*(Inputs!$G$5:$G$180&lt;&gt;"acoes")))*INDEX(Inputs!$K$5:$AJ$180,0,MATCH(P$2,Inputs!$K$4:$AJ$4,0)))+SUMPRODUCT((Inputs!$C$5:$C$180=$B57)*Inputs!$D$5:$D$180*(((Inputs!$G$5:$G$180="moeda")+(Inputs!$G$5:$G$180="acoes"))*Inputs!$B$1+((Inputs!$G$5:$G$180&lt;&gt;"moeda")*(Inputs!$G$5:$G$180&lt;&gt;"acoes")))*INDEX(Inputs!$K$5:$AJ$180,0,MATCH(P$2,Inputs!$K$4:$AJ$4,0)))+SUMPRODUCT((Inputs!$E$5:$E$180=$B57)*Inputs!$F$5:$F$180*(((Inputs!$G$5:$G$180="moeda")+(Inputs!$G$5:$G$180="acoes"))*Inputs!$B$1+((Inputs!$G$5:$G$180&lt;&gt;"moeda")*(Inputs!$G$5:$G$180&lt;&gt;"acoes")))*INDEX(Inputs!$K$5:$AJ$180,0,MATCH(P$2,Inputs!$K$4:$AJ$4,0)))))</f>
        <v>221.45745508012</v>
      </c>
      <c r="Q57" s="6">
        <f>IF(ISNA(MATCH(Q$2,Inputs!$K$4:$AJ$4,0)),NA(),IF(SUMPRODUCT((Inputs!$A$5:$A$180=$B57)*ISNUMBER(INDEX(Inputs!$K$5:$AJ$180,0,MATCH(Q$2,Inputs!$K$4:$AJ$4,0))))+SUMPRODUCT((Inputs!$C$5:$C$180=$B57)*ISNUMBER(INDEX(Inputs!$K$5:$AJ$180,0,MATCH(Q$2,Inputs!$K$4:$AJ$4,0))))+SUMPRODUCT((Inputs!$E$5:$E$180=$B57)*ISNUMBER(INDEX(Inputs!$K$5:$AJ$180,0,MATCH(Q$2,Inputs!$K$4:$AJ$4,0))))=0,NA(),SUMPRODUCT((Inputs!$A$5:$A$180=$B57)*Inputs!$B$5:$B$180*(((Inputs!$G$5:$G$180="moeda")+(Inputs!$G$5:$G$180="acoes"))*Inputs!$B$1+((Inputs!$G$5:$G$180&lt;&gt;"moeda")*(Inputs!$G$5:$G$180&lt;&gt;"acoes")))*INDEX(Inputs!$K$5:$AJ$180,0,MATCH(Q$2,Inputs!$K$4:$AJ$4,0)))+SUMPRODUCT((Inputs!$C$5:$C$180=$B57)*Inputs!$D$5:$D$180*(((Inputs!$G$5:$G$180="moeda")+(Inputs!$G$5:$G$180="acoes"))*Inputs!$B$1+((Inputs!$G$5:$G$180&lt;&gt;"moeda")*(Inputs!$G$5:$G$180&lt;&gt;"acoes")))*INDEX(Inputs!$K$5:$AJ$180,0,MATCH(Q$2,Inputs!$K$4:$AJ$4,0)))+SUMPRODUCT((Inputs!$E$5:$E$180=$B57)*Inputs!$F$5:$F$180*(((Inputs!$G$5:$G$180="moeda")+(Inputs!$G$5:$G$180="acoes"))*Inputs!$B$1+((Inputs!$G$5:$G$180&lt;&gt;"moeda")*(Inputs!$G$5:$G$180&lt;&gt;"acoes")))*INDEX(Inputs!$K$5:$AJ$180,0,MATCH(Q$2,Inputs!$K$4:$AJ$4,0)))))</f>
        <v>201.105045</v>
      </c>
      <c r="R57" s="3" t="e">
        <f>SUM(N57:Q57)</f>
        <v>#N/A</v>
      </c>
      <c r="S57" s="6">
        <f>IF(ISNA(MATCH(S$2,Inputs!$K$4:$AJ$4,0)),NA(),IF(SUMPRODUCT((Inputs!$A$5:$A$180=$B57)*ISNUMBER(INDEX(Inputs!$K$5:$AJ$180,0,MATCH(S$2,Inputs!$K$4:$AJ$4,0))))+SUMPRODUCT((Inputs!$C$5:$C$180=$B57)*ISNUMBER(INDEX(Inputs!$K$5:$AJ$180,0,MATCH(S$2,Inputs!$K$4:$AJ$4,0))))+SUMPRODUCT((Inputs!$E$5:$E$180=$B57)*ISNUMBER(INDEX(Inputs!$K$5:$AJ$180,0,MATCH(S$2,Inputs!$K$4:$AJ$4,0))))=0,NA(),SUMPRODUCT((Inputs!$A$5:$A$180=$B57)*Inputs!$B$5:$B$180*(((Inputs!$G$5:$G$180="moeda")+(Inputs!$G$5:$G$180="acoes"))*Inputs!$B$1+((Inputs!$G$5:$G$180&lt;&gt;"moeda")*(Inputs!$G$5:$G$180&lt;&gt;"acoes")))*INDEX(Inputs!$K$5:$AJ$180,0,MATCH(S$2,Inputs!$K$4:$AJ$4,0)))+SUMPRODUCT((Inputs!$C$5:$C$180=$B57)*Inputs!$D$5:$D$180*(((Inputs!$G$5:$G$180="moeda")+(Inputs!$G$5:$G$180="acoes"))*Inputs!$B$1+((Inputs!$G$5:$G$180&lt;&gt;"moeda")*(Inputs!$G$5:$G$180&lt;&gt;"acoes")))*INDEX(Inputs!$K$5:$AJ$180,0,MATCH(S$2,Inputs!$K$4:$AJ$4,0)))+SUMPRODUCT((Inputs!$E$5:$E$180=$B57)*Inputs!$F$5:$F$180*(((Inputs!$G$5:$G$180="moeda")+(Inputs!$G$5:$G$180="acoes"))*Inputs!$B$1+((Inputs!$G$5:$G$180&lt;&gt;"moeda")*(Inputs!$G$5:$G$180&lt;&gt;"acoes")))*INDEX(Inputs!$K$5:$AJ$180,0,MATCH(S$2,Inputs!$K$4:$AJ$4,0)))))</f>
        <v>212.529530462451</v>
      </c>
      <c r="T57" s="6">
        <f>IF(ISNA(MATCH(T$2,Inputs!$K$4:$AJ$4,0)),NA(),IF(SUMPRODUCT((Inputs!$A$5:$A$180=$B57)*ISNUMBER(INDEX(Inputs!$K$5:$AJ$180,0,MATCH(T$2,Inputs!$K$4:$AJ$4,0))))+SUMPRODUCT((Inputs!$C$5:$C$180=$B57)*ISNUMBER(INDEX(Inputs!$K$5:$AJ$180,0,MATCH(T$2,Inputs!$K$4:$AJ$4,0))))+SUMPRODUCT((Inputs!$E$5:$E$180=$B57)*ISNUMBER(INDEX(Inputs!$K$5:$AJ$180,0,MATCH(T$2,Inputs!$K$4:$AJ$4,0))))=0,NA(),SUMPRODUCT((Inputs!$A$5:$A$180=$B57)*Inputs!$B$5:$B$180*(((Inputs!$G$5:$G$180="moeda")+(Inputs!$G$5:$G$180="acoes"))*Inputs!$B$1+((Inputs!$G$5:$G$180&lt;&gt;"moeda")*(Inputs!$G$5:$G$180&lt;&gt;"acoes")))*INDEX(Inputs!$K$5:$AJ$180,0,MATCH(T$2,Inputs!$K$4:$AJ$4,0)))+SUMPRODUCT((Inputs!$C$5:$C$180=$B57)*Inputs!$D$5:$D$180*(((Inputs!$G$5:$G$180="moeda")+(Inputs!$G$5:$G$180="acoes"))*Inputs!$B$1+((Inputs!$G$5:$G$180&lt;&gt;"moeda")*(Inputs!$G$5:$G$180&lt;&gt;"acoes")))*INDEX(Inputs!$K$5:$AJ$180,0,MATCH(T$2,Inputs!$K$4:$AJ$4,0)))+SUMPRODUCT((Inputs!$E$5:$E$180=$B57)*Inputs!$F$5:$F$180*(((Inputs!$G$5:$G$180="moeda")+(Inputs!$G$5:$G$180="acoes"))*Inputs!$B$1+((Inputs!$G$5:$G$180&lt;&gt;"moeda")*(Inputs!$G$5:$G$180&lt;&gt;"acoes")))*INDEX(Inputs!$K$5:$AJ$180,0,MATCH(T$2,Inputs!$K$4:$AJ$4,0)))))</f>
        <v>218.365689718371</v>
      </c>
      <c r="U57" s="6">
        <f>IF(ISNA(MATCH(U$2,Inputs!$K$4:$AJ$4,0)),NA(),IF(SUMPRODUCT((Inputs!$A$5:$A$180=$B57)*ISNUMBER(INDEX(Inputs!$K$5:$AJ$180,0,MATCH(U$2,Inputs!$K$4:$AJ$4,0))))+SUMPRODUCT((Inputs!$C$5:$C$180=$B57)*ISNUMBER(INDEX(Inputs!$K$5:$AJ$180,0,MATCH(U$2,Inputs!$K$4:$AJ$4,0))))+SUMPRODUCT((Inputs!$E$5:$E$180=$B57)*ISNUMBER(INDEX(Inputs!$K$5:$AJ$180,0,MATCH(U$2,Inputs!$K$4:$AJ$4,0))))=0,NA(),SUMPRODUCT((Inputs!$A$5:$A$180=$B57)*Inputs!$B$5:$B$180*(((Inputs!$G$5:$G$180="moeda")+(Inputs!$G$5:$G$180="acoes"))*Inputs!$B$1+((Inputs!$G$5:$G$180&lt;&gt;"moeda")*(Inputs!$G$5:$G$180&lt;&gt;"acoes")))*INDEX(Inputs!$K$5:$AJ$180,0,MATCH(U$2,Inputs!$K$4:$AJ$4,0)))+SUMPRODUCT((Inputs!$C$5:$C$180=$B57)*Inputs!$D$5:$D$180*(((Inputs!$G$5:$G$180="moeda")+(Inputs!$G$5:$G$180="acoes"))*Inputs!$B$1+((Inputs!$G$5:$G$180&lt;&gt;"moeda")*(Inputs!$G$5:$G$180&lt;&gt;"acoes")))*INDEX(Inputs!$K$5:$AJ$180,0,MATCH(U$2,Inputs!$K$4:$AJ$4,0)))+SUMPRODUCT((Inputs!$E$5:$E$180=$B57)*Inputs!$F$5:$F$180*(((Inputs!$G$5:$G$180="moeda")+(Inputs!$G$5:$G$180="acoes"))*Inputs!$B$1+((Inputs!$G$5:$G$180&lt;&gt;"moeda")*(Inputs!$G$5:$G$180&lt;&gt;"acoes")))*INDEX(Inputs!$K$5:$AJ$180,0,MATCH(U$2,Inputs!$K$4:$AJ$4,0)))))</f>
        <v>234.342798</v>
      </c>
      <c r="V57" s="6">
        <f>IF(ISNA(MATCH(V$2,Inputs!$K$4:$AJ$4,0)),NA(),IF(SUMPRODUCT((Inputs!$A$5:$A$180=$B57)*ISNUMBER(INDEX(Inputs!$K$5:$AJ$180,0,MATCH(V$2,Inputs!$K$4:$AJ$4,0))))+SUMPRODUCT((Inputs!$C$5:$C$180=$B57)*ISNUMBER(INDEX(Inputs!$K$5:$AJ$180,0,MATCH(V$2,Inputs!$K$4:$AJ$4,0))))+SUMPRODUCT((Inputs!$E$5:$E$180=$B57)*ISNUMBER(INDEX(Inputs!$K$5:$AJ$180,0,MATCH(V$2,Inputs!$K$4:$AJ$4,0))))=0,NA(),SUMPRODUCT((Inputs!$A$5:$A$180=$B57)*Inputs!$B$5:$B$180*(((Inputs!$G$5:$G$180="moeda")+(Inputs!$G$5:$G$180="acoes"))*Inputs!$B$1+((Inputs!$G$5:$G$180&lt;&gt;"moeda")*(Inputs!$G$5:$G$180&lt;&gt;"acoes")))*INDEX(Inputs!$K$5:$AJ$180,0,MATCH(V$2,Inputs!$K$4:$AJ$4,0)))+SUMPRODUCT((Inputs!$C$5:$C$180=$B57)*Inputs!$D$5:$D$180*(((Inputs!$G$5:$G$180="moeda")+(Inputs!$G$5:$G$180="acoes"))*Inputs!$B$1+((Inputs!$G$5:$G$180&lt;&gt;"moeda")*(Inputs!$G$5:$G$180&lt;&gt;"acoes")))*INDEX(Inputs!$K$5:$AJ$180,0,MATCH(V$2,Inputs!$K$4:$AJ$4,0)))+SUMPRODUCT((Inputs!$E$5:$E$180=$B57)*Inputs!$F$5:$F$180*(((Inputs!$G$5:$G$180="moeda")+(Inputs!$G$5:$G$180="acoes"))*Inputs!$B$1+((Inputs!$G$5:$G$180&lt;&gt;"moeda")*(Inputs!$G$5:$G$180&lt;&gt;"acoes")))*INDEX(Inputs!$K$5:$AJ$180,0,MATCH(V$2,Inputs!$K$4:$AJ$4,0)))))</f>
        <v>230.446687523073</v>
      </c>
      <c r="W57" s="3">
        <f>SUM(S57:V57)</f>
        <v>895.684705703895</v>
      </c>
      <c r="X57" s="6">
        <f>IF(ISNA(MATCH(X$2,Inputs!$K$4:$AJ$4,0)),NA(),IF(SUMPRODUCT((Inputs!$A$5:$A$180=$B57)*ISNUMBER(INDEX(Inputs!$K$5:$AJ$180,0,MATCH(X$2,Inputs!$K$4:$AJ$4,0))))+SUMPRODUCT((Inputs!$C$5:$C$180=$B57)*ISNUMBER(INDEX(Inputs!$K$5:$AJ$180,0,MATCH(X$2,Inputs!$K$4:$AJ$4,0))))+SUMPRODUCT((Inputs!$E$5:$E$180=$B57)*ISNUMBER(INDEX(Inputs!$K$5:$AJ$180,0,MATCH(X$2,Inputs!$K$4:$AJ$4,0))))=0,NA(),SUMPRODUCT((Inputs!$A$5:$A$180=$B57)*Inputs!$B$5:$B$180*(((Inputs!$G$5:$G$180="moeda")+(Inputs!$G$5:$G$180="acoes"))*Inputs!$B$1+((Inputs!$G$5:$G$180&lt;&gt;"moeda")*(Inputs!$G$5:$G$180&lt;&gt;"acoes")))*INDEX(Inputs!$K$5:$AJ$180,0,MATCH(X$2,Inputs!$K$4:$AJ$4,0)))+SUMPRODUCT((Inputs!$C$5:$C$180=$B57)*Inputs!$D$5:$D$180*(((Inputs!$G$5:$G$180="moeda")+(Inputs!$G$5:$G$180="acoes"))*Inputs!$B$1+((Inputs!$G$5:$G$180&lt;&gt;"moeda")*(Inputs!$G$5:$G$180&lt;&gt;"acoes")))*INDEX(Inputs!$K$5:$AJ$180,0,MATCH(X$2,Inputs!$K$4:$AJ$4,0)))+SUMPRODUCT((Inputs!$E$5:$E$180=$B57)*Inputs!$F$5:$F$180*(((Inputs!$G$5:$G$180="moeda")+(Inputs!$G$5:$G$180="acoes"))*Inputs!$B$1+((Inputs!$G$5:$G$180&lt;&gt;"moeda")*(Inputs!$G$5:$G$180&lt;&gt;"acoes")))*INDEX(Inputs!$K$5:$AJ$180,0,MATCH(X$2,Inputs!$K$4:$AJ$4,0)))))</f>
        <v>242.430426</v>
      </c>
      <c r="Y57" s="6">
        <f>IF(ISNA(MATCH(Y$2,Inputs!$K$4:$AJ$4,0)),NA(),IF(SUMPRODUCT((Inputs!$A$5:$A$180=$B57)*ISNUMBER(INDEX(Inputs!$K$5:$AJ$180,0,MATCH(Y$2,Inputs!$K$4:$AJ$4,0))))+SUMPRODUCT((Inputs!$C$5:$C$180=$B57)*ISNUMBER(INDEX(Inputs!$K$5:$AJ$180,0,MATCH(Y$2,Inputs!$K$4:$AJ$4,0))))+SUMPRODUCT((Inputs!$E$5:$E$180=$B57)*ISNUMBER(INDEX(Inputs!$K$5:$AJ$180,0,MATCH(Y$2,Inputs!$K$4:$AJ$4,0))))=0,NA(),SUMPRODUCT((Inputs!$A$5:$A$180=$B57)*Inputs!$B$5:$B$180*(((Inputs!$G$5:$G$180="moeda")+(Inputs!$G$5:$G$180="acoes"))*Inputs!$B$1+((Inputs!$G$5:$G$180&lt;&gt;"moeda")*(Inputs!$G$5:$G$180&lt;&gt;"acoes")))*INDEX(Inputs!$K$5:$AJ$180,0,MATCH(Y$2,Inputs!$K$4:$AJ$4,0)))+SUMPRODUCT((Inputs!$C$5:$C$180=$B57)*Inputs!$D$5:$D$180*(((Inputs!$G$5:$G$180="moeda")+(Inputs!$G$5:$G$180="acoes"))*Inputs!$B$1+((Inputs!$G$5:$G$180&lt;&gt;"moeda")*(Inputs!$G$5:$G$180&lt;&gt;"acoes")))*INDEX(Inputs!$K$5:$AJ$180,0,MATCH(Y$2,Inputs!$K$4:$AJ$4,0)))+SUMPRODUCT((Inputs!$E$5:$E$180=$B57)*Inputs!$F$5:$F$180*(((Inputs!$G$5:$G$180="moeda")+(Inputs!$G$5:$G$180="acoes"))*Inputs!$B$1+((Inputs!$G$5:$G$180&lt;&gt;"moeda")*(Inputs!$G$5:$G$180&lt;&gt;"acoes")))*INDEX(Inputs!$K$5:$AJ$180,0,MATCH(Y$2,Inputs!$K$4:$AJ$4,0)))))</f>
        <v>254.313886</v>
      </c>
      <c r="Z57" s="6">
        <f>IF(ISNA(MATCH(Z$2,Inputs!$K$4:$AJ$4,0)),NA(),IF(SUMPRODUCT((Inputs!$A$5:$A$180=$B57)*ISNUMBER(INDEX(Inputs!$K$5:$AJ$180,0,MATCH(Z$2,Inputs!$K$4:$AJ$4,0))))+SUMPRODUCT((Inputs!$C$5:$C$180=$B57)*ISNUMBER(INDEX(Inputs!$K$5:$AJ$180,0,MATCH(Z$2,Inputs!$K$4:$AJ$4,0))))+SUMPRODUCT((Inputs!$E$5:$E$180=$B57)*ISNUMBER(INDEX(Inputs!$K$5:$AJ$180,0,MATCH(Z$2,Inputs!$K$4:$AJ$4,0))))=0,NA(),SUMPRODUCT((Inputs!$A$5:$A$180=$B57)*Inputs!$B$5:$B$180*(((Inputs!$G$5:$G$180="moeda")+(Inputs!$G$5:$G$180="acoes"))*Inputs!$B$1+((Inputs!$G$5:$G$180&lt;&gt;"moeda")*(Inputs!$G$5:$G$180&lt;&gt;"acoes")))*INDEX(Inputs!$K$5:$AJ$180,0,MATCH(Z$2,Inputs!$K$4:$AJ$4,0)))+SUMPRODUCT((Inputs!$C$5:$C$180=$B57)*Inputs!$D$5:$D$180*(((Inputs!$G$5:$G$180="moeda")+(Inputs!$G$5:$G$180="acoes"))*Inputs!$B$1+((Inputs!$G$5:$G$180&lt;&gt;"moeda")*(Inputs!$G$5:$G$180&lt;&gt;"acoes")))*INDEX(Inputs!$K$5:$AJ$180,0,MATCH(Z$2,Inputs!$K$4:$AJ$4,0)))+SUMPRODUCT((Inputs!$E$5:$E$180=$B57)*Inputs!$F$5:$F$180*(((Inputs!$G$5:$G$180="moeda")+(Inputs!$G$5:$G$180="acoes"))*Inputs!$B$1+((Inputs!$G$5:$G$180&lt;&gt;"moeda")*(Inputs!$G$5:$G$180&lt;&gt;"acoes")))*INDEX(Inputs!$K$5:$AJ$180,0,MATCH(Z$2,Inputs!$K$4:$AJ$4,0)))))</f>
        <v>275.621203033573</v>
      </c>
      <c r="AA57" s="6">
        <f>IF(ISNA(MATCH(AA$2,Inputs!$K$4:$AJ$4,0)),NA(),IF(SUMPRODUCT((Inputs!$A$5:$A$180=$B57)*ISNUMBER(INDEX(Inputs!$K$5:$AJ$180,0,MATCH(AA$2,Inputs!$K$4:$AJ$4,0))))+SUMPRODUCT((Inputs!$C$5:$C$180=$B57)*ISNUMBER(INDEX(Inputs!$K$5:$AJ$180,0,MATCH(AA$2,Inputs!$K$4:$AJ$4,0))))+SUMPRODUCT((Inputs!$E$5:$E$180=$B57)*ISNUMBER(INDEX(Inputs!$K$5:$AJ$180,0,MATCH(AA$2,Inputs!$K$4:$AJ$4,0))))=0,NA(),SUMPRODUCT((Inputs!$A$5:$A$180=$B57)*Inputs!$B$5:$B$180*(((Inputs!$G$5:$G$180="moeda")+(Inputs!$G$5:$G$180="acoes"))*Inputs!$B$1+((Inputs!$G$5:$G$180&lt;&gt;"moeda")*(Inputs!$G$5:$G$180&lt;&gt;"acoes")))*INDEX(Inputs!$K$5:$AJ$180,0,MATCH(AA$2,Inputs!$K$4:$AJ$4,0)))+SUMPRODUCT((Inputs!$C$5:$C$180=$B57)*Inputs!$D$5:$D$180*(((Inputs!$G$5:$G$180="moeda")+(Inputs!$G$5:$G$180="acoes"))*Inputs!$B$1+((Inputs!$G$5:$G$180&lt;&gt;"moeda")*(Inputs!$G$5:$G$180&lt;&gt;"acoes")))*INDEX(Inputs!$K$5:$AJ$180,0,MATCH(AA$2,Inputs!$K$4:$AJ$4,0)))+SUMPRODUCT((Inputs!$E$5:$E$180=$B57)*Inputs!$F$5:$F$180*(((Inputs!$G$5:$G$180="moeda")+(Inputs!$G$5:$G$180="acoes"))*Inputs!$B$1+((Inputs!$G$5:$G$180&lt;&gt;"moeda")*(Inputs!$G$5:$G$180&lt;&gt;"acoes")))*INDEX(Inputs!$K$5:$AJ$180,0,MATCH(AA$2,Inputs!$K$4:$AJ$4,0)))))</f>
        <v>241.983079</v>
      </c>
      <c r="AB57" s="3">
        <f>SUM(X57:AA57)</f>
        <v>1014.34859403357</v>
      </c>
      <c r="AC57" s="6">
        <f>IF(ISNA(MATCH(AC$2,Inputs!$K$4:$AJ$4,0)),NA(),IF(SUMPRODUCT((Inputs!$A$5:$A$180=$B57)*ISNUMBER(INDEX(Inputs!$K$5:$AJ$180,0,MATCH(AC$2,Inputs!$K$4:$AJ$4,0))))+SUMPRODUCT((Inputs!$C$5:$C$180=$B57)*ISNUMBER(INDEX(Inputs!$K$5:$AJ$180,0,MATCH(AC$2,Inputs!$K$4:$AJ$4,0))))+SUMPRODUCT((Inputs!$E$5:$E$180=$B57)*ISNUMBER(INDEX(Inputs!$K$5:$AJ$180,0,MATCH(AC$2,Inputs!$K$4:$AJ$4,0))))=0,NA(),SUMPRODUCT((Inputs!$A$5:$A$180=$B57)*Inputs!$B$5:$B$180*(((Inputs!$G$5:$G$180="moeda")+(Inputs!$G$5:$G$180="acoes"))*Inputs!$B$1+((Inputs!$G$5:$G$180&lt;&gt;"moeda")*(Inputs!$G$5:$G$180&lt;&gt;"acoes")))*INDEX(Inputs!$K$5:$AJ$180,0,MATCH(AC$2,Inputs!$K$4:$AJ$4,0)))+SUMPRODUCT((Inputs!$C$5:$C$180=$B57)*Inputs!$D$5:$D$180*(((Inputs!$G$5:$G$180="moeda")+(Inputs!$G$5:$G$180="acoes"))*Inputs!$B$1+((Inputs!$G$5:$G$180&lt;&gt;"moeda")*(Inputs!$G$5:$G$180&lt;&gt;"acoes")))*INDEX(Inputs!$K$5:$AJ$180,0,MATCH(AC$2,Inputs!$K$4:$AJ$4,0)))+SUMPRODUCT((Inputs!$E$5:$E$180=$B57)*Inputs!$F$5:$F$180*(((Inputs!$G$5:$G$180="moeda")+(Inputs!$G$5:$G$180="acoes"))*Inputs!$B$1+((Inputs!$G$5:$G$180&lt;&gt;"moeda")*(Inputs!$G$5:$G$180&lt;&gt;"acoes")))*INDEX(Inputs!$K$5:$AJ$180,0,MATCH(AC$2,Inputs!$K$4:$AJ$4,0)))))</f>
        <v>264.269334131226</v>
      </c>
      <c r="AD57" s="6">
        <f>IF(ISNA(MATCH(AD$2,Inputs!$K$4:$AJ$4,0)),NA(),IF(SUMPRODUCT((Inputs!$A$5:$A$180=$B57)*ISNUMBER(INDEX(Inputs!$K$5:$AJ$180,0,MATCH(AD$2,Inputs!$K$4:$AJ$4,0))))+SUMPRODUCT((Inputs!$C$5:$C$180=$B57)*ISNUMBER(INDEX(Inputs!$K$5:$AJ$180,0,MATCH(AD$2,Inputs!$K$4:$AJ$4,0))))+SUMPRODUCT((Inputs!$E$5:$E$180=$B57)*ISNUMBER(INDEX(Inputs!$K$5:$AJ$180,0,MATCH(AD$2,Inputs!$K$4:$AJ$4,0))))=0,NA(),SUMPRODUCT((Inputs!$A$5:$A$180=$B57)*Inputs!$B$5:$B$180*(((Inputs!$G$5:$G$180="moeda")+(Inputs!$G$5:$G$180="acoes"))*Inputs!$B$1+((Inputs!$G$5:$G$180&lt;&gt;"moeda")*(Inputs!$G$5:$G$180&lt;&gt;"acoes")))*INDEX(Inputs!$K$5:$AJ$180,0,MATCH(AD$2,Inputs!$K$4:$AJ$4,0)))+SUMPRODUCT((Inputs!$C$5:$C$180=$B57)*Inputs!$D$5:$D$180*(((Inputs!$G$5:$G$180="moeda")+(Inputs!$G$5:$G$180="acoes"))*Inputs!$B$1+((Inputs!$G$5:$G$180&lt;&gt;"moeda")*(Inputs!$G$5:$G$180&lt;&gt;"acoes")))*INDEX(Inputs!$K$5:$AJ$180,0,MATCH(AD$2,Inputs!$K$4:$AJ$4,0)))+SUMPRODUCT((Inputs!$E$5:$E$180=$B57)*Inputs!$F$5:$F$180*(((Inputs!$G$5:$G$180="moeda")+(Inputs!$G$5:$G$180="acoes"))*Inputs!$B$1+((Inputs!$G$5:$G$180&lt;&gt;"moeda")*(Inputs!$G$5:$G$180&lt;&gt;"acoes")))*INDEX(Inputs!$K$5:$AJ$180,0,MATCH(AD$2,Inputs!$K$4:$AJ$4,0)))))</f>
        <v>280.26126</v>
      </c>
      <c r="AE57" s="6" t="e">
        <f>IF(ISNA(MATCH(AE$2,Inputs!$K$4:$AJ$4,0)),NA(),IF(SUMPRODUCT((Inputs!$A$5:$A$180=$B57)*ISNUMBER(INDEX(Inputs!$K$5:$AJ$180,0,MATCH(AE$2,Inputs!$K$4:$AJ$4,0))))+SUMPRODUCT((Inputs!$C$5:$C$180=$B57)*ISNUMBER(INDEX(Inputs!$K$5:$AJ$180,0,MATCH(AE$2,Inputs!$K$4:$AJ$4,0))))+SUMPRODUCT((Inputs!$E$5:$E$180=$B57)*ISNUMBER(INDEX(Inputs!$K$5:$AJ$180,0,MATCH(AE$2,Inputs!$K$4:$AJ$4,0))))=0,NA(),SUMPRODUCT((Inputs!$A$5:$A$180=$B57)*Inputs!$B$5:$B$180*(((Inputs!$G$5:$G$180="moeda")+(Inputs!$G$5:$G$180="acoes"))*Inputs!$B$1+((Inputs!$G$5:$G$180&lt;&gt;"moeda")*(Inputs!$G$5:$G$180&lt;&gt;"acoes")))*INDEX(Inputs!$K$5:$AJ$180,0,MATCH(AE$2,Inputs!$K$4:$AJ$4,0)))+SUMPRODUCT((Inputs!$C$5:$C$180=$B57)*Inputs!$D$5:$D$180*(((Inputs!$G$5:$G$180="moeda")+(Inputs!$G$5:$G$180="acoes"))*Inputs!$B$1+((Inputs!$G$5:$G$180&lt;&gt;"moeda")*(Inputs!$G$5:$G$180&lt;&gt;"acoes")))*INDEX(Inputs!$K$5:$AJ$180,0,MATCH(AE$2,Inputs!$K$4:$AJ$4,0)))+SUMPRODUCT((Inputs!$E$5:$E$180=$B57)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7" s="6" t="e">
        <f>IF(ISNA(MATCH(AF$2,Inputs!$K$4:$AJ$4,0)),NA(),IF(SUMPRODUCT((Inputs!$A$5:$A$180=$B57)*ISNUMBER(INDEX(Inputs!$K$5:$AJ$180,0,MATCH(AF$2,Inputs!$K$4:$AJ$4,0))))+SUMPRODUCT((Inputs!$C$5:$C$180=$B57)*ISNUMBER(INDEX(Inputs!$K$5:$AJ$180,0,MATCH(AF$2,Inputs!$K$4:$AJ$4,0))))+SUMPRODUCT((Inputs!$E$5:$E$180=$B57)*ISNUMBER(INDEX(Inputs!$K$5:$AJ$180,0,MATCH(AF$2,Inputs!$K$4:$AJ$4,0))))=0,NA(),SUMPRODUCT((Inputs!$A$5:$A$180=$B57)*Inputs!$B$5:$B$180*(((Inputs!$G$5:$G$180="moeda")+(Inputs!$G$5:$G$180="acoes"))*Inputs!$B$1+((Inputs!$G$5:$G$180&lt;&gt;"moeda")*(Inputs!$G$5:$G$180&lt;&gt;"acoes")))*INDEX(Inputs!$K$5:$AJ$180,0,MATCH(AF$2,Inputs!$K$4:$AJ$4,0)))+SUMPRODUCT((Inputs!$C$5:$C$180=$B57)*Inputs!$D$5:$D$180*(((Inputs!$G$5:$G$180="moeda")+(Inputs!$G$5:$G$180="acoes"))*Inputs!$B$1+((Inputs!$G$5:$G$180&lt;&gt;"moeda")*(Inputs!$G$5:$G$180&lt;&gt;"acoes")))*INDEX(Inputs!$K$5:$AJ$180,0,MATCH(AF$2,Inputs!$K$4:$AJ$4,0)))+SUMPRODUCT((Inputs!$E$5:$E$180=$B57)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7" s="3" t="e">
        <f>SUM(AC57:AF57)</f>
        <v>#N/A</v>
      </c>
      <c r="AH57" s="6">
        <f>IF(ISNA(MATCH(AH$2,Inputs!$K$4:$AJ$4,0)),NA(),IF(SUMPRODUCT((Inputs!$A$5:$A$180=$B57)*ISNUMBER(INDEX(Inputs!$K$5:$AJ$180,0,MATCH(AH$2,Inputs!$K$4:$AJ$4,0))))+SUMPRODUCT((Inputs!$C$5:$C$180=$B57)*ISNUMBER(INDEX(Inputs!$K$5:$AJ$180,0,MATCH(AH$2,Inputs!$K$4:$AJ$4,0))))+SUMPRODUCT((Inputs!$E$5:$E$180=$B57)*ISNUMBER(INDEX(Inputs!$K$5:$AJ$180,0,MATCH(AH$2,Inputs!$K$4:$AJ$4,0))))=0,NA(),SUMPRODUCT((Inputs!$A$5:$A$180=$B57)*Inputs!$B$5:$B$180*(((Inputs!$G$5:$G$180="moeda")+(Inputs!$G$5:$G$180="acoes"))*Inputs!$B$1+((Inputs!$G$5:$G$180&lt;&gt;"moeda")*(Inputs!$G$5:$G$180&lt;&gt;"acoes")))*INDEX(Inputs!$K$5:$AJ$180,0,MATCH(AH$2,Inputs!$K$4:$AJ$4,0)))+SUMPRODUCT((Inputs!$C$5:$C$180=$B57)*Inputs!$D$5:$D$180*(((Inputs!$G$5:$G$180="moeda")+(Inputs!$G$5:$G$180="acoes"))*Inputs!$B$1+((Inputs!$G$5:$G$180&lt;&gt;"moeda")*(Inputs!$G$5:$G$180&lt;&gt;"acoes")))*INDEX(Inputs!$K$5:$AJ$180,0,MATCH(AH$2,Inputs!$K$4:$AJ$4,0)))+SUMPRODUCT((Inputs!$E$5:$E$180=$B57)*Inputs!$F$5:$F$180*(((Inputs!$G$5:$G$180="moeda")+(Inputs!$G$5:$G$180="acoes"))*Inputs!$B$1+((Inputs!$G$5:$G$180&lt;&gt;"moeda")*(Inputs!$G$5:$G$180&lt;&gt;"acoes")))*INDEX(Inputs!$K$5:$AJ$180,0,MATCH(AH$2,Inputs!$K$4:$AJ$4,0)))))</f>
        <v>89.1158136576708</v>
      </c>
      <c r="AI57" s="6">
        <f>IF(ISNA(MATCH(AI$2,Inputs!$K$4:$AJ$4,0)),NA(),IF(SUMPRODUCT((Inputs!$A$5:$A$180=$B57)*ISNUMBER(INDEX(Inputs!$K$5:$AJ$180,0,MATCH(AI$2,Inputs!$K$4:$AJ$4,0))))+SUMPRODUCT((Inputs!$C$5:$C$180=$B57)*ISNUMBER(INDEX(Inputs!$K$5:$AJ$180,0,MATCH(AI$2,Inputs!$K$4:$AJ$4,0))))+SUMPRODUCT((Inputs!$E$5:$E$180=$B57)*ISNUMBER(INDEX(Inputs!$K$5:$AJ$180,0,MATCH(AI$2,Inputs!$K$4:$AJ$4,0))))=0,NA(),SUMPRODUCT((Inputs!$A$5:$A$180=$B57)*Inputs!$B$5:$B$180*(((Inputs!$G$5:$G$180="moeda")+(Inputs!$G$5:$G$180="acoes"))*Inputs!$B$1+((Inputs!$G$5:$G$180&lt;&gt;"moeda")*(Inputs!$G$5:$G$180&lt;&gt;"acoes")))*INDEX(Inputs!$K$5:$AJ$180,0,MATCH(AI$2,Inputs!$K$4:$AJ$4,0)))+SUMPRODUCT((Inputs!$C$5:$C$180=$B57)*Inputs!$D$5:$D$180*(((Inputs!$G$5:$G$180="moeda")+(Inputs!$G$5:$G$180="acoes"))*Inputs!$B$1+((Inputs!$G$5:$G$180&lt;&gt;"moeda")*(Inputs!$G$5:$G$180&lt;&gt;"acoes")))*INDEX(Inputs!$K$5:$AJ$180,0,MATCH(AI$2,Inputs!$K$4:$AJ$4,0)))+SUMPRODUCT((Inputs!$E$5:$E$180=$B57)*Inputs!$F$5:$F$180*(((Inputs!$G$5:$G$180="moeda")+(Inputs!$G$5:$G$180="acoes"))*Inputs!$B$1+((Inputs!$G$5:$G$180&lt;&gt;"moeda")*(Inputs!$G$5:$G$180&lt;&gt;"acoes")))*INDEX(Inputs!$K$5:$AJ$180,0,MATCH(AI$2,Inputs!$K$4:$AJ$4,0)))))</f>
        <v>55.7600280116218</v>
      </c>
      <c r="AJ57" s="6">
        <f>IF(ISNA(MATCH(AJ$2,Inputs!$K$4:$AJ$4,0)),NA(),IF(SUMPRODUCT((Inputs!$A$5:$A$180=$B57)*ISNUMBER(INDEX(Inputs!$K$5:$AJ$180,0,MATCH(AJ$2,Inputs!$K$4:$AJ$4,0))))+SUMPRODUCT((Inputs!$C$5:$C$180=$B57)*ISNUMBER(INDEX(Inputs!$K$5:$AJ$180,0,MATCH(AJ$2,Inputs!$K$4:$AJ$4,0))))+SUMPRODUCT((Inputs!$E$5:$E$180=$B57)*ISNUMBER(INDEX(Inputs!$K$5:$AJ$180,0,MATCH(AJ$2,Inputs!$K$4:$AJ$4,0))))=0,NA(),SUMPRODUCT((Inputs!$A$5:$A$180=$B57)*Inputs!$B$5:$B$180*(((Inputs!$G$5:$G$180="moeda")+(Inputs!$G$5:$G$180="acoes"))*Inputs!$B$1+((Inputs!$G$5:$G$180&lt;&gt;"moeda")*(Inputs!$G$5:$G$180&lt;&gt;"acoes")))*INDEX(Inputs!$K$5:$AJ$180,0,MATCH(AJ$2,Inputs!$K$4:$AJ$4,0)))+SUMPRODUCT((Inputs!$C$5:$C$180=$B57)*Inputs!$D$5:$D$180*(((Inputs!$G$5:$G$180="moeda")+(Inputs!$G$5:$G$180="acoes"))*Inputs!$B$1+((Inputs!$G$5:$G$180&lt;&gt;"moeda")*(Inputs!$G$5:$G$180&lt;&gt;"acoes")))*INDEX(Inputs!$K$5:$AJ$180,0,MATCH(AJ$2,Inputs!$K$4:$AJ$4,0)))+SUMPRODUCT((Inputs!$E$5:$E$180=$B57)*Inputs!$F$5:$F$180*(((Inputs!$G$5:$G$180="moeda")+(Inputs!$G$5:$G$180="acoes"))*Inputs!$B$1+((Inputs!$G$5:$G$180&lt;&gt;"moeda")*(Inputs!$G$5:$G$180&lt;&gt;"acoes")))*INDEX(Inputs!$K$5:$AJ$180,0,MATCH(AJ$2,Inputs!$K$4:$AJ$4,0)))))</f>
        <v>101.706942393195</v>
      </c>
      <c r="AK57" s="6">
        <f>IF(ISNA(MATCH(AK$2,Inputs!$K$4:$AJ$4,0)),NA(),IF(SUMPRODUCT((Inputs!$A$5:$A$180=$B57)*ISNUMBER(INDEX(Inputs!$K$5:$AJ$180,0,MATCH(AK$2,Inputs!$K$4:$AJ$4,0))))+SUMPRODUCT((Inputs!$C$5:$C$180=$B57)*ISNUMBER(INDEX(Inputs!$K$5:$AJ$180,0,MATCH(AK$2,Inputs!$K$4:$AJ$4,0))))+SUMPRODUCT((Inputs!$E$5:$E$180=$B57)*ISNUMBER(INDEX(Inputs!$K$5:$AJ$180,0,MATCH(AK$2,Inputs!$K$4:$AJ$4,0))))=0,NA(),SUMPRODUCT((Inputs!$A$5:$A$180=$B57)*Inputs!$B$5:$B$180*(((Inputs!$G$5:$G$180="moeda")+(Inputs!$G$5:$G$180="acoes"))*Inputs!$B$1+((Inputs!$G$5:$G$180&lt;&gt;"moeda")*(Inputs!$G$5:$G$180&lt;&gt;"acoes")))*INDEX(Inputs!$K$5:$AJ$180,0,MATCH(AK$2,Inputs!$K$4:$AJ$4,0)))+SUMPRODUCT((Inputs!$C$5:$C$180=$B57)*Inputs!$D$5:$D$180*(((Inputs!$G$5:$G$180="moeda")+(Inputs!$G$5:$G$180="acoes"))*Inputs!$B$1+((Inputs!$G$5:$G$180&lt;&gt;"moeda")*(Inputs!$G$5:$G$180&lt;&gt;"acoes")))*INDEX(Inputs!$K$5:$AJ$180,0,MATCH(AK$2,Inputs!$K$4:$AJ$4,0)))+SUMPRODUCT((Inputs!$E$5:$E$180=$B57)*Inputs!$F$5:$F$180*(((Inputs!$G$5:$G$180="moeda")+(Inputs!$G$5:$G$180="acoes"))*Inputs!$B$1+((Inputs!$G$5:$G$180&lt;&gt;"moeda")*(Inputs!$G$5:$G$180&lt;&gt;"acoes")))*INDEX(Inputs!$K$5:$AJ$180,0,MATCH(AK$2,Inputs!$K$4:$AJ$4,0)))))</f>
        <v>115.9558259</v>
      </c>
      <c r="AL57" s="3">
        <f>SUM(AH57:AK57)</f>
        <v>362.538609962488</v>
      </c>
    </row>
    <row r="58">
      <c r="B58" s="46" t="n">
        <v>50</v>
      </c>
      <c r="C58" s="29" t="inlineStr">
        <is>
          <t>B2B</t>
        </is>
      </c>
      <c r="D58" s="6">
        <f>IF(ISNA(MATCH(D$2,Inputs!$K$4:$AJ$4,0)),NA(),IF(SUMPRODUCT((Inputs!$A$5:$A$180=$B58)*ISNUMBER(INDEX(Inputs!$K$5:$AJ$180,0,MATCH(D$2,Inputs!$K$4:$AJ$4,0))))+SUMPRODUCT((Inputs!$C$5:$C$180=$B58)*ISNUMBER(INDEX(Inputs!$K$5:$AJ$180,0,MATCH(D$2,Inputs!$K$4:$AJ$4,0))))+SUMPRODUCT((Inputs!$E$5:$E$180=$B58)*ISNUMBER(INDEX(Inputs!$K$5:$AJ$180,0,MATCH(D$2,Inputs!$K$4:$AJ$4,0))))=0,NA(),SUMPRODUCT((Inputs!$A$5:$A$180=$B58)*Inputs!$B$5:$B$180*(((Inputs!$G$5:$G$180="moeda")+(Inputs!$G$5:$G$180="acoes"))*Inputs!$B$1+((Inputs!$G$5:$G$180&lt;&gt;"moeda")*(Inputs!$G$5:$G$180&lt;&gt;"acoes")))*INDEX(Inputs!$K$5:$AJ$180,0,MATCH(D$2,Inputs!$K$4:$AJ$4,0)))+SUMPRODUCT((Inputs!$C$5:$C$180=$B58)*Inputs!$D$5:$D$180*(((Inputs!$G$5:$G$180="moeda")+(Inputs!$G$5:$G$180="acoes"))*Inputs!$B$1+((Inputs!$G$5:$G$180&lt;&gt;"moeda")*(Inputs!$G$5:$G$180&lt;&gt;"acoes")))*INDEX(Inputs!$K$5:$AJ$180,0,MATCH(D$2,Inputs!$K$4:$AJ$4,0)))+SUMPRODUCT((Inputs!$E$5:$E$180=$B58)*Inputs!$F$5:$F$180*(((Inputs!$G$5:$G$180="moeda")+(Inputs!$G$5:$G$180="acoes"))*Inputs!$B$1+((Inputs!$G$5:$G$180&lt;&gt;"moeda")*(Inputs!$G$5:$G$180&lt;&gt;"acoes")))*INDEX(Inputs!$K$5:$AJ$180,0,MATCH(D$2,Inputs!$K$4:$AJ$4,0)))))</f>
        <v>168.726365557233</v>
      </c>
      <c r="E58" s="6">
        <f>IF(ISNA(MATCH(E$2,Inputs!$K$4:$AJ$4,0)),NA(),IF(SUMPRODUCT((Inputs!$A$5:$A$180=$B58)*ISNUMBER(INDEX(Inputs!$K$5:$AJ$180,0,MATCH(E$2,Inputs!$K$4:$AJ$4,0))))+SUMPRODUCT((Inputs!$C$5:$C$180=$B58)*ISNUMBER(INDEX(Inputs!$K$5:$AJ$180,0,MATCH(E$2,Inputs!$K$4:$AJ$4,0))))+SUMPRODUCT((Inputs!$E$5:$E$180=$B58)*ISNUMBER(INDEX(Inputs!$K$5:$AJ$180,0,MATCH(E$2,Inputs!$K$4:$AJ$4,0))))=0,NA(),SUMPRODUCT((Inputs!$A$5:$A$180=$B58)*Inputs!$B$5:$B$180*(((Inputs!$G$5:$G$180="moeda")+(Inputs!$G$5:$G$180="acoes"))*Inputs!$B$1+((Inputs!$G$5:$G$180&lt;&gt;"moeda")*(Inputs!$G$5:$G$180&lt;&gt;"acoes")))*INDEX(Inputs!$K$5:$AJ$180,0,MATCH(E$2,Inputs!$K$4:$AJ$4,0)))+SUMPRODUCT((Inputs!$C$5:$C$180=$B58)*Inputs!$D$5:$D$180*(((Inputs!$G$5:$G$180="moeda")+(Inputs!$G$5:$G$180="acoes"))*Inputs!$B$1+((Inputs!$G$5:$G$180&lt;&gt;"moeda")*(Inputs!$G$5:$G$180&lt;&gt;"acoes")))*INDEX(Inputs!$K$5:$AJ$180,0,MATCH(E$2,Inputs!$K$4:$AJ$4,0)))+SUMPRODUCT((Inputs!$E$5:$E$180=$B58)*Inputs!$F$5:$F$180*(((Inputs!$G$5:$G$180="moeda")+(Inputs!$G$5:$G$180="acoes"))*Inputs!$B$1+((Inputs!$G$5:$G$180&lt;&gt;"moeda")*(Inputs!$G$5:$G$180&lt;&gt;"acoes")))*INDEX(Inputs!$K$5:$AJ$180,0,MATCH(E$2,Inputs!$K$4:$AJ$4,0)))))</f>
        <v>170.37753754</v>
      </c>
      <c r="F58" s="6">
        <f>IF(ISNA(MATCH(F$2,Inputs!$K$4:$AJ$4,0)),NA(),IF(SUMPRODUCT((Inputs!$A$5:$A$180=$B58)*ISNUMBER(INDEX(Inputs!$K$5:$AJ$180,0,MATCH(F$2,Inputs!$K$4:$AJ$4,0))))+SUMPRODUCT((Inputs!$C$5:$C$180=$B58)*ISNUMBER(INDEX(Inputs!$K$5:$AJ$180,0,MATCH(F$2,Inputs!$K$4:$AJ$4,0))))+SUMPRODUCT((Inputs!$E$5:$E$180=$B58)*ISNUMBER(INDEX(Inputs!$K$5:$AJ$180,0,MATCH(F$2,Inputs!$K$4:$AJ$4,0))))=0,NA(),SUMPRODUCT((Inputs!$A$5:$A$180=$B58)*Inputs!$B$5:$B$180*(((Inputs!$G$5:$G$180="moeda")+(Inputs!$G$5:$G$180="acoes"))*Inputs!$B$1+((Inputs!$G$5:$G$180&lt;&gt;"moeda")*(Inputs!$G$5:$G$180&lt;&gt;"acoes")))*INDEX(Inputs!$K$5:$AJ$180,0,MATCH(F$2,Inputs!$K$4:$AJ$4,0)))+SUMPRODUCT((Inputs!$C$5:$C$180=$B58)*Inputs!$D$5:$D$180*(((Inputs!$G$5:$G$180="moeda")+(Inputs!$G$5:$G$180="acoes"))*Inputs!$B$1+((Inputs!$G$5:$G$180&lt;&gt;"moeda")*(Inputs!$G$5:$G$180&lt;&gt;"acoes")))*INDEX(Inputs!$K$5:$AJ$180,0,MATCH(F$2,Inputs!$K$4:$AJ$4,0)))+SUMPRODUCT((Inputs!$E$5:$E$180=$B58)*Inputs!$F$5:$F$180*(((Inputs!$G$5:$G$180="moeda")+(Inputs!$G$5:$G$180="acoes"))*Inputs!$B$1+((Inputs!$G$5:$G$180&lt;&gt;"moeda")*(Inputs!$G$5:$G$180&lt;&gt;"acoes")))*INDEX(Inputs!$K$5:$AJ$180,0,MATCH(F$2,Inputs!$K$4:$AJ$4,0)))))</f>
        <v>182.92207006</v>
      </c>
      <c r="G58" s="6">
        <f>IF(ISNA(MATCH(G$2,Inputs!$K$4:$AJ$4,0)),NA(),IF(SUMPRODUCT((Inputs!$A$5:$A$180=$B58)*ISNUMBER(INDEX(Inputs!$K$5:$AJ$180,0,MATCH(G$2,Inputs!$K$4:$AJ$4,0))))+SUMPRODUCT((Inputs!$C$5:$C$180=$B58)*ISNUMBER(INDEX(Inputs!$K$5:$AJ$180,0,MATCH(G$2,Inputs!$K$4:$AJ$4,0))))+SUMPRODUCT((Inputs!$E$5:$E$180=$B58)*ISNUMBER(INDEX(Inputs!$K$5:$AJ$180,0,MATCH(G$2,Inputs!$K$4:$AJ$4,0))))=0,NA(),SUMPRODUCT((Inputs!$A$5:$A$180=$B58)*Inputs!$B$5:$B$180*(((Inputs!$G$5:$G$180="moeda")+(Inputs!$G$5:$G$180="acoes"))*Inputs!$B$1+((Inputs!$G$5:$G$180&lt;&gt;"moeda")*(Inputs!$G$5:$G$180&lt;&gt;"acoes")))*INDEX(Inputs!$K$5:$AJ$180,0,MATCH(G$2,Inputs!$K$4:$AJ$4,0)))+SUMPRODUCT((Inputs!$C$5:$C$180=$B58)*Inputs!$D$5:$D$180*(((Inputs!$G$5:$G$180="moeda")+(Inputs!$G$5:$G$180="acoes"))*Inputs!$B$1+((Inputs!$G$5:$G$180&lt;&gt;"moeda")*(Inputs!$G$5:$G$180&lt;&gt;"acoes")))*INDEX(Inputs!$K$5:$AJ$180,0,MATCH(G$2,Inputs!$K$4:$AJ$4,0)))+SUMPRODUCT((Inputs!$E$5:$E$180=$B58)*Inputs!$F$5:$F$180*(((Inputs!$G$5:$G$180="moeda")+(Inputs!$G$5:$G$180="acoes"))*Inputs!$B$1+((Inputs!$G$5:$G$180&lt;&gt;"moeda")*(Inputs!$G$5:$G$180&lt;&gt;"acoes")))*INDEX(Inputs!$K$5:$AJ$180,0,MATCH(G$2,Inputs!$K$4:$AJ$4,0)))))</f>
        <v>172.43353089</v>
      </c>
      <c r="H58" s="3">
        <f>SUM(D58:G58)</f>
        <v>694.459504047233</v>
      </c>
      <c r="I58" s="6">
        <f>IF(ISNA(MATCH(I$2,Inputs!$K$4:$AJ$4,0)),NA(),IF(SUMPRODUCT((Inputs!$A$5:$A$180=$B58)*ISNUMBER(INDEX(Inputs!$K$5:$AJ$180,0,MATCH(I$2,Inputs!$K$4:$AJ$4,0))))+SUMPRODUCT((Inputs!$C$5:$C$180=$B58)*ISNUMBER(INDEX(Inputs!$K$5:$AJ$180,0,MATCH(I$2,Inputs!$K$4:$AJ$4,0))))+SUMPRODUCT((Inputs!$E$5:$E$180=$B58)*ISNUMBER(INDEX(Inputs!$K$5:$AJ$180,0,MATCH(I$2,Inputs!$K$4:$AJ$4,0))))=0,NA(),SUMPRODUCT((Inputs!$A$5:$A$180=$B58)*Inputs!$B$5:$B$180*(((Inputs!$G$5:$G$180="moeda")+(Inputs!$G$5:$G$180="acoes"))*Inputs!$B$1+((Inputs!$G$5:$G$180&lt;&gt;"moeda")*(Inputs!$G$5:$G$180&lt;&gt;"acoes")))*INDEX(Inputs!$K$5:$AJ$180,0,MATCH(I$2,Inputs!$K$4:$AJ$4,0)))+SUMPRODUCT((Inputs!$C$5:$C$180=$B58)*Inputs!$D$5:$D$180*(((Inputs!$G$5:$G$180="moeda")+(Inputs!$G$5:$G$180="acoes"))*Inputs!$B$1+((Inputs!$G$5:$G$180&lt;&gt;"moeda")*(Inputs!$G$5:$G$180&lt;&gt;"acoes")))*INDEX(Inputs!$K$5:$AJ$180,0,MATCH(I$2,Inputs!$K$4:$AJ$4,0)))+SUMPRODUCT((Inputs!$E$5:$E$180=$B58)*Inputs!$F$5:$F$180*(((Inputs!$G$5:$G$180="moeda")+(Inputs!$G$5:$G$180="acoes"))*Inputs!$B$1+((Inputs!$G$5:$G$180&lt;&gt;"moeda")*(Inputs!$G$5:$G$180&lt;&gt;"acoes")))*INDEX(Inputs!$K$5:$AJ$180,0,MATCH(I$2,Inputs!$K$4:$AJ$4,0)))))</f>
        <v>174.20319546</v>
      </c>
      <c r="J58" s="6">
        <f>IF(ISNA(MATCH(J$2,Inputs!$K$4:$AJ$4,0)),NA(),IF(SUMPRODUCT((Inputs!$A$5:$A$180=$B58)*ISNUMBER(INDEX(Inputs!$K$5:$AJ$180,0,MATCH(J$2,Inputs!$K$4:$AJ$4,0))))+SUMPRODUCT((Inputs!$C$5:$C$180=$B58)*ISNUMBER(INDEX(Inputs!$K$5:$AJ$180,0,MATCH(J$2,Inputs!$K$4:$AJ$4,0))))+SUMPRODUCT((Inputs!$E$5:$E$180=$B58)*ISNUMBER(INDEX(Inputs!$K$5:$AJ$180,0,MATCH(J$2,Inputs!$K$4:$AJ$4,0))))=0,NA(),SUMPRODUCT((Inputs!$A$5:$A$180=$B58)*Inputs!$B$5:$B$180*(((Inputs!$G$5:$G$180="moeda")+(Inputs!$G$5:$G$180="acoes"))*Inputs!$B$1+((Inputs!$G$5:$G$180&lt;&gt;"moeda")*(Inputs!$G$5:$G$180&lt;&gt;"acoes")))*INDEX(Inputs!$K$5:$AJ$180,0,MATCH(J$2,Inputs!$K$4:$AJ$4,0)))+SUMPRODUCT((Inputs!$C$5:$C$180=$B58)*Inputs!$D$5:$D$180*(((Inputs!$G$5:$G$180="moeda")+(Inputs!$G$5:$G$180="acoes"))*Inputs!$B$1+((Inputs!$G$5:$G$180&lt;&gt;"moeda")*(Inputs!$G$5:$G$180&lt;&gt;"acoes")))*INDEX(Inputs!$K$5:$AJ$180,0,MATCH(J$2,Inputs!$K$4:$AJ$4,0)))+SUMPRODUCT((Inputs!$E$5:$E$180=$B58)*Inputs!$F$5:$F$180*(((Inputs!$G$5:$G$180="moeda")+(Inputs!$G$5:$G$180="acoes"))*Inputs!$B$1+((Inputs!$G$5:$G$180&lt;&gt;"moeda")*(Inputs!$G$5:$G$180&lt;&gt;"acoes")))*INDEX(Inputs!$K$5:$AJ$180,0,MATCH(J$2,Inputs!$K$4:$AJ$4,0)))))</f>
        <v>171.748216896316</v>
      </c>
      <c r="K58" s="6">
        <f>IF(ISNA(MATCH(K$2,Inputs!$K$4:$AJ$4,0)),NA(),IF(SUMPRODUCT((Inputs!$A$5:$A$180=$B58)*ISNUMBER(INDEX(Inputs!$K$5:$AJ$180,0,MATCH(K$2,Inputs!$K$4:$AJ$4,0))))+SUMPRODUCT((Inputs!$C$5:$C$180=$B58)*ISNUMBER(INDEX(Inputs!$K$5:$AJ$180,0,MATCH(K$2,Inputs!$K$4:$AJ$4,0))))+SUMPRODUCT((Inputs!$E$5:$E$180=$B58)*ISNUMBER(INDEX(Inputs!$K$5:$AJ$180,0,MATCH(K$2,Inputs!$K$4:$AJ$4,0))))=0,NA(),SUMPRODUCT((Inputs!$A$5:$A$180=$B58)*Inputs!$B$5:$B$180*(((Inputs!$G$5:$G$180="moeda")+(Inputs!$G$5:$G$180="acoes"))*Inputs!$B$1+((Inputs!$G$5:$G$180&lt;&gt;"moeda")*(Inputs!$G$5:$G$180&lt;&gt;"acoes")))*INDEX(Inputs!$K$5:$AJ$180,0,MATCH(K$2,Inputs!$K$4:$AJ$4,0)))+SUMPRODUCT((Inputs!$C$5:$C$180=$B58)*Inputs!$D$5:$D$180*(((Inputs!$G$5:$G$180="moeda")+(Inputs!$G$5:$G$180="acoes"))*Inputs!$B$1+((Inputs!$G$5:$G$180&lt;&gt;"moeda")*(Inputs!$G$5:$G$180&lt;&gt;"acoes")))*INDEX(Inputs!$K$5:$AJ$180,0,MATCH(K$2,Inputs!$K$4:$AJ$4,0)))+SUMPRODUCT((Inputs!$E$5:$E$180=$B58)*Inputs!$F$5:$F$180*(((Inputs!$G$5:$G$180="moeda")+(Inputs!$G$5:$G$180="acoes"))*Inputs!$B$1+((Inputs!$G$5:$G$180&lt;&gt;"moeda")*(Inputs!$G$5:$G$180&lt;&gt;"acoes")))*INDEX(Inputs!$K$5:$AJ$180,0,MATCH(K$2,Inputs!$K$4:$AJ$4,0)))))</f>
        <v>146.603407</v>
      </c>
      <c r="L58" s="6">
        <f>IF(ISNA(MATCH(L$2,Inputs!$K$4:$AJ$4,0)),NA(),IF(SUMPRODUCT((Inputs!$A$5:$A$180=$B58)*ISNUMBER(INDEX(Inputs!$K$5:$AJ$180,0,MATCH(L$2,Inputs!$K$4:$AJ$4,0))))+SUMPRODUCT((Inputs!$C$5:$C$180=$B58)*ISNUMBER(INDEX(Inputs!$K$5:$AJ$180,0,MATCH(L$2,Inputs!$K$4:$AJ$4,0))))+SUMPRODUCT((Inputs!$E$5:$E$180=$B58)*ISNUMBER(INDEX(Inputs!$K$5:$AJ$180,0,MATCH(L$2,Inputs!$K$4:$AJ$4,0))))=0,NA(),SUMPRODUCT((Inputs!$A$5:$A$180=$B58)*Inputs!$B$5:$B$180*(((Inputs!$G$5:$G$180="moeda")+(Inputs!$G$5:$G$180="acoes"))*Inputs!$B$1+((Inputs!$G$5:$G$180&lt;&gt;"moeda")*(Inputs!$G$5:$G$180&lt;&gt;"acoes")))*INDEX(Inputs!$K$5:$AJ$180,0,MATCH(L$2,Inputs!$K$4:$AJ$4,0)))+SUMPRODUCT((Inputs!$C$5:$C$180=$B58)*Inputs!$D$5:$D$180*(((Inputs!$G$5:$G$180="moeda")+(Inputs!$G$5:$G$180="acoes"))*Inputs!$B$1+((Inputs!$G$5:$G$180&lt;&gt;"moeda")*(Inputs!$G$5:$G$180&lt;&gt;"acoes")))*INDEX(Inputs!$K$5:$AJ$180,0,MATCH(L$2,Inputs!$K$4:$AJ$4,0)))+SUMPRODUCT((Inputs!$E$5:$E$180=$B58)*Inputs!$F$5:$F$180*(((Inputs!$G$5:$G$180="moeda")+(Inputs!$G$5:$G$180="acoes"))*Inputs!$B$1+((Inputs!$G$5:$G$180&lt;&gt;"moeda")*(Inputs!$G$5:$G$180&lt;&gt;"acoes")))*INDEX(Inputs!$K$5:$AJ$180,0,MATCH(L$2,Inputs!$K$4:$AJ$4,0)))))</f>
        <v>129.838387</v>
      </c>
      <c r="M58" s="3">
        <f>SUM(I58:L58)</f>
        <v>622.393206356316</v>
      </c>
      <c r="N58" s="6">
        <f>IF(ISNA(MATCH(N$2,Inputs!$K$4:$AJ$4,0)),NA(),IF(SUMPRODUCT((Inputs!$A$5:$A$180=$B58)*ISNUMBER(INDEX(Inputs!$K$5:$AJ$180,0,MATCH(N$2,Inputs!$K$4:$AJ$4,0))))+SUMPRODUCT((Inputs!$C$5:$C$180=$B58)*ISNUMBER(INDEX(Inputs!$K$5:$AJ$180,0,MATCH(N$2,Inputs!$K$4:$AJ$4,0))))+SUMPRODUCT((Inputs!$E$5:$E$180=$B58)*ISNUMBER(INDEX(Inputs!$K$5:$AJ$180,0,MATCH(N$2,Inputs!$K$4:$AJ$4,0))))=0,NA(),SUMPRODUCT((Inputs!$A$5:$A$180=$B58)*Inputs!$B$5:$B$180*(((Inputs!$G$5:$G$180="moeda")+(Inputs!$G$5:$G$180="acoes"))*Inputs!$B$1+((Inputs!$G$5:$G$180&lt;&gt;"moeda")*(Inputs!$G$5:$G$180&lt;&gt;"acoes")))*INDEX(Inputs!$K$5:$AJ$180,0,MATCH(N$2,Inputs!$K$4:$AJ$4,0)))+SUMPRODUCT((Inputs!$C$5:$C$180=$B58)*Inputs!$D$5:$D$180*(((Inputs!$G$5:$G$180="moeda")+(Inputs!$G$5:$G$180="acoes"))*Inputs!$B$1+((Inputs!$G$5:$G$180&lt;&gt;"moeda")*(Inputs!$G$5:$G$180&lt;&gt;"acoes")))*INDEX(Inputs!$K$5:$AJ$180,0,MATCH(N$2,Inputs!$K$4:$AJ$4,0)))+SUMPRODUCT((Inputs!$E$5:$E$180=$B58)*Inputs!$F$5:$F$180*(((Inputs!$G$5:$G$180="moeda")+(Inputs!$G$5:$G$180="acoes"))*Inputs!$B$1+((Inputs!$G$5:$G$180&lt;&gt;"moeda")*(Inputs!$G$5:$G$180&lt;&gt;"acoes")))*INDEX(Inputs!$K$5:$AJ$180,0,MATCH(N$2,Inputs!$K$4:$AJ$4,0)))))</f>
        <v>121.832221</v>
      </c>
      <c r="O58" s="6" t="e">
        <f>IF(ISNA(MATCH(O$2,Inputs!$K$4:$AJ$4,0)),NA(),IF(SUMPRODUCT((Inputs!$A$5:$A$180=$B58)*ISNUMBER(INDEX(Inputs!$K$5:$AJ$180,0,MATCH(O$2,Inputs!$K$4:$AJ$4,0))))+SUMPRODUCT((Inputs!$C$5:$C$180=$B58)*ISNUMBER(INDEX(Inputs!$K$5:$AJ$180,0,MATCH(O$2,Inputs!$K$4:$AJ$4,0))))+SUMPRODUCT((Inputs!$E$5:$E$180=$B58)*ISNUMBER(INDEX(Inputs!$K$5:$AJ$180,0,MATCH(O$2,Inputs!$K$4:$AJ$4,0))))=0,NA(),SUMPRODUCT((Inputs!$A$5:$A$180=$B58)*Inputs!$B$5:$B$180*(((Inputs!$G$5:$G$180="moeda")+(Inputs!$G$5:$G$180="acoes"))*Inputs!$B$1+((Inputs!$G$5:$G$180&lt;&gt;"moeda")*(Inputs!$G$5:$G$180&lt;&gt;"acoes")))*INDEX(Inputs!$K$5:$AJ$180,0,MATCH(O$2,Inputs!$K$4:$AJ$4,0)))+SUMPRODUCT((Inputs!$C$5:$C$180=$B58)*Inputs!$D$5:$D$180*(((Inputs!$G$5:$G$180="moeda")+(Inputs!$G$5:$G$180="acoes"))*Inputs!$B$1+((Inputs!$G$5:$G$180&lt;&gt;"moeda")*(Inputs!$G$5:$G$180&lt;&gt;"acoes")))*INDEX(Inputs!$K$5:$AJ$180,0,MATCH(O$2,Inputs!$K$4:$AJ$4,0)))+SUMPRODUCT((Inputs!$E$5:$E$180=$B58)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8" s="6">
        <f>IF(ISNA(MATCH(P$2,Inputs!$K$4:$AJ$4,0)),NA(),IF(SUMPRODUCT((Inputs!$A$5:$A$180=$B58)*ISNUMBER(INDEX(Inputs!$K$5:$AJ$180,0,MATCH(P$2,Inputs!$K$4:$AJ$4,0))))+SUMPRODUCT((Inputs!$C$5:$C$180=$B58)*ISNUMBER(INDEX(Inputs!$K$5:$AJ$180,0,MATCH(P$2,Inputs!$K$4:$AJ$4,0))))+SUMPRODUCT((Inputs!$E$5:$E$180=$B58)*ISNUMBER(INDEX(Inputs!$K$5:$AJ$180,0,MATCH(P$2,Inputs!$K$4:$AJ$4,0))))=0,NA(),SUMPRODUCT((Inputs!$A$5:$A$180=$B58)*Inputs!$B$5:$B$180*(((Inputs!$G$5:$G$180="moeda")+(Inputs!$G$5:$G$180="acoes"))*Inputs!$B$1+((Inputs!$G$5:$G$180&lt;&gt;"moeda")*(Inputs!$G$5:$G$180&lt;&gt;"acoes")))*INDEX(Inputs!$K$5:$AJ$180,0,MATCH(P$2,Inputs!$K$4:$AJ$4,0)))+SUMPRODUCT((Inputs!$C$5:$C$180=$B58)*Inputs!$D$5:$D$180*(((Inputs!$G$5:$G$180="moeda")+(Inputs!$G$5:$G$180="acoes"))*Inputs!$B$1+((Inputs!$G$5:$G$180&lt;&gt;"moeda")*(Inputs!$G$5:$G$180&lt;&gt;"acoes")))*INDEX(Inputs!$K$5:$AJ$180,0,MATCH(P$2,Inputs!$K$4:$AJ$4,0)))+SUMPRODUCT((Inputs!$E$5:$E$180=$B58)*Inputs!$F$5:$F$180*(((Inputs!$G$5:$G$180="moeda")+(Inputs!$G$5:$G$180="acoes"))*Inputs!$B$1+((Inputs!$G$5:$G$180&lt;&gt;"moeda")*(Inputs!$G$5:$G$180&lt;&gt;"acoes")))*INDEX(Inputs!$K$5:$AJ$180,0,MATCH(P$2,Inputs!$K$4:$AJ$4,0)))))</f>
        <v>462.55425082</v>
      </c>
      <c r="Q58" s="6">
        <f>IF(ISNA(MATCH(Q$2,Inputs!$K$4:$AJ$4,0)),NA(),IF(SUMPRODUCT((Inputs!$A$5:$A$180=$B58)*ISNUMBER(INDEX(Inputs!$K$5:$AJ$180,0,MATCH(Q$2,Inputs!$K$4:$AJ$4,0))))+SUMPRODUCT((Inputs!$C$5:$C$180=$B58)*ISNUMBER(INDEX(Inputs!$K$5:$AJ$180,0,MATCH(Q$2,Inputs!$K$4:$AJ$4,0))))+SUMPRODUCT((Inputs!$E$5:$E$180=$B58)*ISNUMBER(INDEX(Inputs!$K$5:$AJ$180,0,MATCH(Q$2,Inputs!$K$4:$AJ$4,0))))=0,NA(),SUMPRODUCT((Inputs!$A$5:$A$180=$B58)*Inputs!$B$5:$B$180*(((Inputs!$G$5:$G$180="moeda")+(Inputs!$G$5:$G$180="acoes"))*Inputs!$B$1+((Inputs!$G$5:$G$180&lt;&gt;"moeda")*(Inputs!$G$5:$G$180&lt;&gt;"acoes")))*INDEX(Inputs!$K$5:$AJ$180,0,MATCH(Q$2,Inputs!$K$4:$AJ$4,0)))+SUMPRODUCT((Inputs!$C$5:$C$180=$B58)*Inputs!$D$5:$D$180*(((Inputs!$G$5:$G$180="moeda")+(Inputs!$G$5:$G$180="acoes"))*Inputs!$B$1+((Inputs!$G$5:$G$180&lt;&gt;"moeda")*(Inputs!$G$5:$G$180&lt;&gt;"acoes")))*INDEX(Inputs!$K$5:$AJ$180,0,MATCH(Q$2,Inputs!$K$4:$AJ$4,0)))+SUMPRODUCT((Inputs!$E$5:$E$180=$B58)*Inputs!$F$5:$F$180*(((Inputs!$G$5:$G$180="moeda")+(Inputs!$G$5:$G$180="acoes"))*Inputs!$B$1+((Inputs!$G$5:$G$180&lt;&gt;"moeda")*(Inputs!$G$5:$G$180&lt;&gt;"acoes")))*INDEX(Inputs!$K$5:$AJ$180,0,MATCH(Q$2,Inputs!$K$4:$AJ$4,0)))))</f>
        <v>441.410801</v>
      </c>
      <c r="R58" s="3" t="e">
        <f>SUM(N58:Q58)</f>
        <v>#N/A</v>
      </c>
      <c r="S58" s="6">
        <f>IF(ISNA(MATCH(S$2,Inputs!$K$4:$AJ$4,0)),NA(),IF(SUMPRODUCT((Inputs!$A$5:$A$180=$B58)*ISNUMBER(INDEX(Inputs!$K$5:$AJ$180,0,MATCH(S$2,Inputs!$K$4:$AJ$4,0))))+SUMPRODUCT((Inputs!$C$5:$C$180=$B58)*ISNUMBER(INDEX(Inputs!$K$5:$AJ$180,0,MATCH(S$2,Inputs!$K$4:$AJ$4,0))))+SUMPRODUCT((Inputs!$E$5:$E$180=$B58)*ISNUMBER(INDEX(Inputs!$K$5:$AJ$180,0,MATCH(S$2,Inputs!$K$4:$AJ$4,0))))=0,NA(),SUMPRODUCT((Inputs!$A$5:$A$180=$B58)*Inputs!$B$5:$B$180*(((Inputs!$G$5:$G$180="moeda")+(Inputs!$G$5:$G$180="acoes"))*Inputs!$B$1+((Inputs!$G$5:$G$180&lt;&gt;"moeda")*(Inputs!$G$5:$G$180&lt;&gt;"acoes")))*INDEX(Inputs!$K$5:$AJ$180,0,MATCH(S$2,Inputs!$K$4:$AJ$4,0)))+SUMPRODUCT((Inputs!$C$5:$C$180=$B58)*Inputs!$D$5:$D$180*(((Inputs!$G$5:$G$180="moeda")+(Inputs!$G$5:$G$180="acoes"))*Inputs!$B$1+((Inputs!$G$5:$G$180&lt;&gt;"moeda")*(Inputs!$G$5:$G$180&lt;&gt;"acoes")))*INDEX(Inputs!$K$5:$AJ$180,0,MATCH(S$2,Inputs!$K$4:$AJ$4,0)))+SUMPRODUCT((Inputs!$E$5:$E$180=$B58)*Inputs!$F$5:$F$180*(((Inputs!$G$5:$G$180="moeda")+(Inputs!$G$5:$G$180="acoes"))*Inputs!$B$1+((Inputs!$G$5:$G$180&lt;&gt;"moeda")*(Inputs!$G$5:$G$180&lt;&gt;"acoes")))*INDEX(Inputs!$K$5:$AJ$180,0,MATCH(S$2,Inputs!$K$4:$AJ$4,0)))))</f>
        <v>489.42055982907</v>
      </c>
      <c r="T58" s="6">
        <f>IF(ISNA(MATCH(T$2,Inputs!$K$4:$AJ$4,0)),NA(),IF(SUMPRODUCT((Inputs!$A$5:$A$180=$B58)*ISNUMBER(INDEX(Inputs!$K$5:$AJ$180,0,MATCH(T$2,Inputs!$K$4:$AJ$4,0))))+SUMPRODUCT((Inputs!$C$5:$C$180=$B58)*ISNUMBER(INDEX(Inputs!$K$5:$AJ$180,0,MATCH(T$2,Inputs!$K$4:$AJ$4,0))))+SUMPRODUCT((Inputs!$E$5:$E$180=$B58)*ISNUMBER(INDEX(Inputs!$K$5:$AJ$180,0,MATCH(T$2,Inputs!$K$4:$AJ$4,0))))=0,NA(),SUMPRODUCT((Inputs!$A$5:$A$180=$B58)*Inputs!$B$5:$B$180*(((Inputs!$G$5:$G$180="moeda")+(Inputs!$G$5:$G$180="acoes"))*Inputs!$B$1+((Inputs!$G$5:$G$180&lt;&gt;"moeda")*(Inputs!$G$5:$G$180&lt;&gt;"acoes")))*INDEX(Inputs!$K$5:$AJ$180,0,MATCH(T$2,Inputs!$K$4:$AJ$4,0)))+SUMPRODUCT((Inputs!$C$5:$C$180=$B58)*Inputs!$D$5:$D$180*(((Inputs!$G$5:$G$180="moeda")+(Inputs!$G$5:$G$180="acoes"))*Inputs!$B$1+((Inputs!$G$5:$G$180&lt;&gt;"moeda")*(Inputs!$G$5:$G$180&lt;&gt;"acoes")))*INDEX(Inputs!$K$5:$AJ$180,0,MATCH(T$2,Inputs!$K$4:$AJ$4,0)))+SUMPRODUCT((Inputs!$E$5:$E$180=$B58)*Inputs!$F$5:$F$180*(((Inputs!$G$5:$G$180="moeda")+(Inputs!$G$5:$G$180="acoes"))*Inputs!$B$1+((Inputs!$G$5:$G$180&lt;&gt;"moeda")*(Inputs!$G$5:$G$180&lt;&gt;"acoes")))*INDEX(Inputs!$K$5:$AJ$180,0,MATCH(T$2,Inputs!$K$4:$AJ$4,0)))))</f>
        <v>501.640815262192</v>
      </c>
      <c r="U58" s="6">
        <f>IF(ISNA(MATCH(U$2,Inputs!$K$4:$AJ$4,0)),NA(),IF(SUMPRODUCT((Inputs!$A$5:$A$180=$B58)*ISNUMBER(INDEX(Inputs!$K$5:$AJ$180,0,MATCH(U$2,Inputs!$K$4:$AJ$4,0))))+SUMPRODUCT((Inputs!$C$5:$C$180=$B58)*ISNUMBER(INDEX(Inputs!$K$5:$AJ$180,0,MATCH(U$2,Inputs!$K$4:$AJ$4,0))))+SUMPRODUCT((Inputs!$E$5:$E$180=$B58)*ISNUMBER(INDEX(Inputs!$K$5:$AJ$180,0,MATCH(U$2,Inputs!$K$4:$AJ$4,0))))=0,NA(),SUMPRODUCT((Inputs!$A$5:$A$180=$B58)*Inputs!$B$5:$B$180*(((Inputs!$G$5:$G$180="moeda")+(Inputs!$G$5:$G$180="acoes"))*Inputs!$B$1+((Inputs!$G$5:$G$180&lt;&gt;"moeda")*(Inputs!$G$5:$G$180&lt;&gt;"acoes")))*INDEX(Inputs!$K$5:$AJ$180,0,MATCH(U$2,Inputs!$K$4:$AJ$4,0)))+SUMPRODUCT((Inputs!$C$5:$C$180=$B58)*Inputs!$D$5:$D$180*(((Inputs!$G$5:$G$180="moeda")+(Inputs!$G$5:$G$180="acoes"))*Inputs!$B$1+((Inputs!$G$5:$G$180&lt;&gt;"moeda")*(Inputs!$G$5:$G$180&lt;&gt;"acoes")))*INDEX(Inputs!$K$5:$AJ$180,0,MATCH(U$2,Inputs!$K$4:$AJ$4,0)))+SUMPRODUCT((Inputs!$E$5:$E$180=$B58)*Inputs!$F$5:$F$180*(((Inputs!$G$5:$G$180="moeda")+(Inputs!$G$5:$G$180="acoes"))*Inputs!$B$1+((Inputs!$G$5:$G$180&lt;&gt;"moeda")*(Inputs!$G$5:$G$180&lt;&gt;"acoes")))*INDEX(Inputs!$K$5:$AJ$180,0,MATCH(U$2,Inputs!$K$4:$AJ$4,0)))))</f>
        <v>501.259219</v>
      </c>
      <c r="V58" s="6">
        <f>IF(ISNA(MATCH(V$2,Inputs!$K$4:$AJ$4,0)),NA(),IF(SUMPRODUCT((Inputs!$A$5:$A$180=$B58)*ISNUMBER(INDEX(Inputs!$K$5:$AJ$180,0,MATCH(V$2,Inputs!$K$4:$AJ$4,0))))+SUMPRODUCT((Inputs!$C$5:$C$180=$B58)*ISNUMBER(INDEX(Inputs!$K$5:$AJ$180,0,MATCH(V$2,Inputs!$K$4:$AJ$4,0))))+SUMPRODUCT((Inputs!$E$5:$E$180=$B58)*ISNUMBER(INDEX(Inputs!$K$5:$AJ$180,0,MATCH(V$2,Inputs!$K$4:$AJ$4,0))))=0,NA(),SUMPRODUCT((Inputs!$A$5:$A$180=$B58)*Inputs!$B$5:$B$180*(((Inputs!$G$5:$G$180="moeda")+(Inputs!$G$5:$G$180="acoes"))*Inputs!$B$1+((Inputs!$G$5:$G$180&lt;&gt;"moeda")*(Inputs!$G$5:$G$180&lt;&gt;"acoes")))*INDEX(Inputs!$K$5:$AJ$180,0,MATCH(V$2,Inputs!$K$4:$AJ$4,0)))+SUMPRODUCT((Inputs!$C$5:$C$180=$B58)*Inputs!$D$5:$D$180*(((Inputs!$G$5:$G$180="moeda")+(Inputs!$G$5:$G$180="acoes"))*Inputs!$B$1+((Inputs!$G$5:$G$180&lt;&gt;"moeda")*(Inputs!$G$5:$G$180&lt;&gt;"acoes")))*INDEX(Inputs!$K$5:$AJ$180,0,MATCH(V$2,Inputs!$K$4:$AJ$4,0)))+SUMPRODUCT((Inputs!$E$5:$E$180=$B58)*Inputs!$F$5:$F$180*(((Inputs!$G$5:$G$180="moeda")+(Inputs!$G$5:$G$180="acoes"))*Inputs!$B$1+((Inputs!$G$5:$G$180&lt;&gt;"moeda")*(Inputs!$G$5:$G$180&lt;&gt;"acoes")))*INDEX(Inputs!$K$5:$AJ$180,0,MATCH(V$2,Inputs!$K$4:$AJ$4,0)))))</f>
        <v>465.728886</v>
      </c>
      <c r="W58" s="3">
        <f>SUM(S58:V58)</f>
        <v>1958.04948009126</v>
      </c>
      <c r="X58" s="6">
        <f>IF(ISNA(MATCH(X$2,Inputs!$K$4:$AJ$4,0)),NA(),IF(SUMPRODUCT((Inputs!$A$5:$A$180=$B58)*ISNUMBER(INDEX(Inputs!$K$5:$AJ$180,0,MATCH(X$2,Inputs!$K$4:$AJ$4,0))))+SUMPRODUCT((Inputs!$C$5:$C$180=$B58)*ISNUMBER(INDEX(Inputs!$K$5:$AJ$180,0,MATCH(X$2,Inputs!$K$4:$AJ$4,0))))+SUMPRODUCT((Inputs!$E$5:$E$180=$B58)*ISNUMBER(INDEX(Inputs!$K$5:$AJ$180,0,MATCH(X$2,Inputs!$K$4:$AJ$4,0))))=0,NA(),SUMPRODUCT((Inputs!$A$5:$A$180=$B58)*Inputs!$B$5:$B$180*(((Inputs!$G$5:$G$180="moeda")+(Inputs!$G$5:$G$180="acoes"))*Inputs!$B$1+((Inputs!$G$5:$G$180&lt;&gt;"moeda")*(Inputs!$G$5:$G$180&lt;&gt;"acoes")))*INDEX(Inputs!$K$5:$AJ$180,0,MATCH(X$2,Inputs!$K$4:$AJ$4,0)))+SUMPRODUCT((Inputs!$C$5:$C$180=$B58)*Inputs!$D$5:$D$180*(((Inputs!$G$5:$G$180="moeda")+(Inputs!$G$5:$G$180="acoes"))*Inputs!$B$1+((Inputs!$G$5:$G$180&lt;&gt;"moeda")*(Inputs!$G$5:$G$180&lt;&gt;"acoes")))*INDEX(Inputs!$K$5:$AJ$180,0,MATCH(X$2,Inputs!$K$4:$AJ$4,0)))+SUMPRODUCT((Inputs!$E$5:$E$180=$B58)*Inputs!$F$5:$F$180*(((Inputs!$G$5:$G$180="moeda")+(Inputs!$G$5:$G$180="acoes"))*Inputs!$B$1+((Inputs!$G$5:$G$180&lt;&gt;"moeda")*(Inputs!$G$5:$G$180&lt;&gt;"acoes")))*INDEX(Inputs!$K$5:$AJ$180,0,MATCH(X$2,Inputs!$K$4:$AJ$4,0)))))</f>
        <v>480.04979</v>
      </c>
      <c r="Y58" s="6">
        <f>IF(ISNA(MATCH(Y$2,Inputs!$K$4:$AJ$4,0)),NA(),IF(SUMPRODUCT((Inputs!$A$5:$A$180=$B58)*ISNUMBER(INDEX(Inputs!$K$5:$AJ$180,0,MATCH(Y$2,Inputs!$K$4:$AJ$4,0))))+SUMPRODUCT((Inputs!$C$5:$C$180=$B58)*ISNUMBER(INDEX(Inputs!$K$5:$AJ$180,0,MATCH(Y$2,Inputs!$K$4:$AJ$4,0))))+SUMPRODUCT((Inputs!$E$5:$E$180=$B58)*ISNUMBER(INDEX(Inputs!$K$5:$AJ$180,0,MATCH(Y$2,Inputs!$K$4:$AJ$4,0))))=0,NA(),SUMPRODUCT((Inputs!$A$5:$A$180=$B58)*Inputs!$B$5:$B$180*(((Inputs!$G$5:$G$180="moeda")+(Inputs!$G$5:$G$180="acoes"))*Inputs!$B$1+((Inputs!$G$5:$G$180&lt;&gt;"moeda")*(Inputs!$G$5:$G$180&lt;&gt;"acoes")))*INDEX(Inputs!$K$5:$AJ$180,0,MATCH(Y$2,Inputs!$K$4:$AJ$4,0)))+SUMPRODUCT((Inputs!$C$5:$C$180=$B58)*Inputs!$D$5:$D$180*(((Inputs!$G$5:$G$180="moeda")+(Inputs!$G$5:$G$180="acoes"))*Inputs!$B$1+((Inputs!$G$5:$G$180&lt;&gt;"moeda")*(Inputs!$G$5:$G$180&lt;&gt;"acoes")))*INDEX(Inputs!$K$5:$AJ$180,0,MATCH(Y$2,Inputs!$K$4:$AJ$4,0)))+SUMPRODUCT((Inputs!$E$5:$E$180=$B58)*Inputs!$F$5:$F$180*(((Inputs!$G$5:$G$180="moeda")+(Inputs!$G$5:$G$180="acoes"))*Inputs!$B$1+((Inputs!$G$5:$G$180&lt;&gt;"moeda")*(Inputs!$G$5:$G$180&lt;&gt;"acoes")))*INDEX(Inputs!$K$5:$AJ$180,0,MATCH(Y$2,Inputs!$K$4:$AJ$4,0)))))</f>
        <v>485.926475</v>
      </c>
      <c r="Z58" s="6">
        <f>IF(ISNA(MATCH(Z$2,Inputs!$K$4:$AJ$4,0)),NA(),IF(SUMPRODUCT((Inputs!$A$5:$A$180=$B58)*ISNUMBER(INDEX(Inputs!$K$5:$AJ$180,0,MATCH(Z$2,Inputs!$K$4:$AJ$4,0))))+SUMPRODUCT((Inputs!$C$5:$C$180=$B58)*ISNUMBER(INDEX(Inputs!$K$5:$AJ$180,0,MATCH(Z$2,Inputs!$K$4:$AJ$4,0))))+SUMPRODUCT((Inputs!$E$5:$E$180=$B58)*ISNUMBER(INDEX(Inputs!$K$5:$AJ$180,0,MATCH(Z$2,Inputs!$K$4:$AJ$4,0))))=0,NA(),SUMPRODUCT((Inputs!$A$5:$A$180=$B58)*Inputs!$B$5:$B$180*(((Inputs!$G$5:$G$180="moeda")+(Inputs!$G$5:$G$180="acoes"))*Inputs!$B$1+((Inputs!$G$5:$G$180&lt;&gt;"moeda")*(Inputs!$G$5:$G$180&lt;&gt;"acoes")))*INDEX(Inputs!$K$5:$AJ$180,0,MATCH(Z$2,Inputs!$K$4:$AJ$4,0)))+SUMPRODUCT((Inputs!$C$5:$C$180=$B58)*Inputs!$D$5:$D$180*(((Inputs!$G$5:$G$180="moeda")+(Inputs!$G$5:$G$180="acoes"))*Inputs!$B$1+((Inputs!$G$5:$G$180&lt;&gt;"moeda")*(Inputs!$G$5:$G$180&lt;&gt;"acoes")))*INDEX(Inputs!$K$5:$AJ$180,0,MATCH(Z$2,Inputs!$K$4:$AJ$4,0)))+SUMPRODUCT((Inputs!$E$5:$E$180=$B58)*Inputs!$F$5:$F$180*(((Inputs!$G$5:$G$180="moeda")+(Inputs!$G$5:$G$180="acoes"))*Inputs!$B$1+((Inputs!$G$5:$G$180&lt;&gt;"moeda")*(Inputs!$G$5:$G$180&lt;&gt;"acoes")))*INDEX(Inputs!$K$5:$AJ$180,0,MATCH(Z$2,Inputs!$K$4:$AJ$4,0)))))</f>
        <v>511.573079515603</v>
      </c>
      <c r="AA58" s="6">
        <f>IF(ISNA(MATCH(AA$2,Inputs!$K$4:$AJ$4,0)),NA(),IF(SUMPRODUCT((Inputs!$A$5:$A$180=$B58)*ISNUMBER(INDEX(Inputs!$K$5:$AJ$180,0,MATCH(AA$2,Inputs!$K$4:$AJ$4,0))))+SUMPRODUCT((Inputs!$C$5:$C$180=$B58)*ISNUMBER(INDEX(Inputs!$K$5:$AJ$180,0,MATCH(AA$2,Inputs!$K$4:$AJ$4,0))))+SUMPRODUCT((Inputs!$E$5:$E$180=$B58)*ISNUMBER(INDEX(Inputs!$K$5:$AJ$180,0,MATCH(AA$2,Inputs!$K$4:$AJ$4,0))))=0,NA(),SUMPRODUCT((Inputs!$A$5:$A$180=$B58)*Inputs!$B$5:$B$180*(((Inputs!$G$5:$G$180="moeda")+(Inputs!$G$5:$G$180="acoes"))*Inputs!$B$1+((Inputs!$G$5:$G$180&lt;&gt;"moeda")*(Inputs!$G$5:$G$180&lt;&gt;"acoes")))*INDEX(Inputs!$K$5:$AJ$180,0,MATCH(AA$2,Inputs!$K$4:$AJ$4,0)))+SUMPRODUCT((Inputs!$C$5:$C$180=$B58)*Inputs!$D$5:$D$180*(((Inputs!$G$5:$G$180="moeda")+(Inputs!$G$5:$G$180="acoes"))*Inputs!$B$1+((Inputs!$G$5:$G$180&lt;&gt;"moeda")*(Inputs!$G$5:$G$180&lt;&gt;"acoes")))*INDEX(Inputs!$K$5:$AJ$180,0,MATCH(AA$2,Inputs!$K$4:$AJ$4,0)))+SUMPRODUCT((Inputs!$E$5:$E$180=$B58)*Inputs!$F$5:$F$180*(((Inputs!$G$5:$G$180="moeda")+(Inputs!$G$5:$G$180="acoes"))*Inputs!$B$1+((Inputs!$G$5:$G$180&lt;&gt;"moeda")*(Inputs!$G$5:$G$180&lt;&gt;"acoes")))*INDEX(Inputs!$K$5:$AJ$180,0,MATCH(AA$2,Inputs!$K$4:$AJ$4,0)))))</f>
        <v>485.00749</v>
      </c>
      <c r="AB58" s="3">
        <f>SUM(X58:AA58)</f>
        <v>1962.5568345156</v>
      </c>
      <c r="AC58" s="6">
        <f>IF(ISNA(MATCH(AC$2,Inputs!$K$4:$AJ$4,0)),NA(),IF(SUMPRODUCT((Inputs!$A$5:$A$180=$B58)*ISNUMBER(INDEX(Inputs!$K$5:$AJ$180,0,MATCH(AC$2,Inputs!$K$4:$AJ$4,0))))+SUMPRODUCT((Inputs!$C$5:$C$180=$B58)*ISNUMBER(INDEX(Inputs!$K$5:$AJ$180,0,MATCH(AC$2,Inputs!$K$4:$AJ$4,0))))+SUMPRODUCT((Inputs!$E$5:$E$180=$B58)*ISNUMBER(INDEX(Inputs!$K$5:$AJ$180,0,MATCH(AC$2,Inputs!$K$4:$AJ$4,0))))=0,NA(),SUMPRODUCT((Inputs!$A$5:$A$180=$B58)*Inputs!$B$5:$B$180*(((Inputs!$G$5:$G$180="moeda")+(Inputs!$G$5:$G$180="acoes"))*Inputs!$B$1+((Inputs!$G$5:$G$180&lt;&gt;"moeda")*(Inputs!$G$5:$G$180&lt;&gt;"acoes")))*INDEX(Inputs!$K$5:$AJ$180,0,MATCH(AC$2,Inputs!$K$4:$AJ$4,0)))+SUMPRODUCT((Inputs!$C$5:$C$180=$B58)*Inputs!$D$5:$D$180*(((Inputs!$G$5:$G$180="moeda")+(Inputs!$G$5:$G$180="acoes"))*Inputs!$B$1+((Inputs!$G$5:$G$180&lt;&gt;"moeda")*(Inputs!$G$5:$G$180&lt;&gt;"acoes")))*INDEX(Inputs!$K$5:$AJ$180,0,MATCH(AC$2,Inputs!$K$4:$AJ$4,0)))+SUMPRODUCT((Inputs!$E$5:$E$180=$B58)*Inputs!$F$5:$F$180*(((Inputs!$G$5:$G$180="moeda")+(Inputs!$G$5:$G$180="acoes"))*Inputs!$B$1+((Inputs!$G$5:$G$180&lt;&gt;"moeda")*(Inputs!$G$5:$G$180&lt;&gt;"acoes")))*INDEX(Inputs!$K$5:$AJ$180,0,MATCH(AC$2,Inputs!$K$4:$AJ$4,0)))))</f>
        <v>506.496753097178</v>
      </c>
      <c r="AD58" s="6">
        <f>IF(ISNA(MATCH(AD$2,Inputs!$K$4:$AJ$4,0)),NA(),IF(SUMPRODUCT((Inputs!$A$5:$A$180=$B58)*ISNUMBER(INDEX(Inputs!$K$5:$AJ$180,0,MATCH(AD$2,Inputs!$K$4:$AJ$4,0))))+SUMPRODUCT((Inputs!$C$5:$C$180=$B58)*ISNUMBER(INDEX(Inputs!$K$5:$AJ$180,0,MATCH(AD$2,Inputs!$K$4:$AJ$4,0))))+SUMPRODUCT((Inputs!$E$5:$E$180=$B58)*ISNUMBER(INDEX(Inputs!$K$5:$AJ$180,0,MATCH(AD$2,Inputs!$K$4:$AJ$4,0))))=0,NA(),SUMPRODUCT((Inputs!$A$5:$A$180=$B58)*Inputs!$B$5:$B$180*(((Inputs!$G$5:$G$180="moeda")+(Inputs!$G$5:$G$180="acoes"))*Inputs!$B$1+((Inputs!$G$5:$G$180&lt;&gt;"moeda")*(Inputs!$G$5:$G$180&lt;&gt;"acoes")))*INDEX(Inputs!$K$5:$AJ$180,0,MATCH(AD$2,Inputs!$K$4:$AJ$4,0)))+SUMPRODUCT((Inputs!$C$5:$C$180=$B58)*Inputs!$D$5:$D$180*(((Inputs!$G$5:$G$180="moeda")+(Inputs!$G$5:$G$180="acoes"))*Inputs!$B$1+((Inputs!$G$5:$G$180&lt;&gt;"moeda")*(Inputs!$G$5:$G$180&lt;&gt;"acoes")))*INDEX(Inputs!$K$5:$AJ$180,0,MATCH(AD$2,Inputs!$K$4:$AJ$4,0)))+SUMPRODUCT((Inputs!$E$5:$E$180=$B58)*Inputs!$F$5:$F$180*(((Inputs!$G$5:$G$180="moeda")+(Inputs!$G$5:$G$180="acoes"))*Inputs!$B$1+((Inputs!$G$5:$G$180&lt;&gt;"moeda")*(Inputs!$G$5:$G$180&lt;&gt;"acoes")))*INDEX(Inputs!$K$5:$AJ$180,0,MATCH(AD$2,Inputs!$K$4:$AJ$4,0)))))</f>
        <v>545.082445</v>
      </c>
      <c r="AE58" s="6" t="e">
        <f>IF(ISNA(MATCH(AE$2,Inputs!$K$4:$AJ$4,0)),NA(),IF(SUMPRODUCT((Inputs!$A$5:$A$180=$B58)*ISNUMBER(INDEX(Inputs!$K$5:$AJ$180,0,MATCH(AE$2,Inputs!$K$4:$AJ$4,0))))+SUMPRODUCT((Inputs!$C$5:$C$180=$B58)*ISNUMBER(INDEX(Inputs!$K$5:$AJ$180,0,MATCH(AE$2,Inputs!$K$4:$AJ$4,0))))+SUMPRODUCT((Inputs!$E$5:$E$180=$B58)*ISNUMBER(INDEX(Inputs!$K$5:$AJ$180,0,MATCH(AE$2,Inputs!$K$4:$AJ$4,0))))=0,NA(),SUMPRODUCT((Inputs!$A$5:$A$180=$B58)*Inputs!$B$5:$B$180*(((Inputs!$G$5:$G$180="moeda")+(Inputs!$G$5:$G$180="acoes"))*Inputs!$B$1+((Inputs!$G$5:$G$180&lt;&gt;"moeda")*(Inputs!$G$5:$G$180&lt;&gt;"acoes")))*INDEX(Inputs!$K$5:$AJ$180,0,MATCH(AE$2,Inputs!$K$4:$AJ$4,0)))+SUMPRODUCT((Inputs!$C$5:$C$180=$B58)*Inputs!$D$5:$D$180*(((Inputs!$G$5:$G$180="moeda")+(Inputs!$G$5:$G$180="acoes"))*Inputs!$B$1+((Inputs!$G$5:$G$180&lt;&gt;"moeda")*(Inputs!$G$5:$G$180&lt;&gt;"acoes")))*INDEX(Inputs!$K$5:$AJ$180,0,MATCH(AE$2,Inputs!$K$4:$AJ$4,0)))+SUMPRODUCT((Inputs!$E$5:$E$180=$B58)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8" s="6" t="e">
        <f>IF(ISNA(MATCH(AF$2,Inputs!$K$4:$AJ$4,0)),NA(),IF(SUMPRODUCT((Inputs!$A$5:$A$180=$B58)*ISNUMBER(INDEX(Inputs!$K$5:$AJ$180,0,MATCH(AF$2,Inputs!$K$4:$AJ$4,0))))+SUMPRODUCT((Inputs!$C$5:$C$180=$B58)*ISNUMBER(INDEX(Inputs!$K$5:$AJ$180,0,MATCH(AF$2,Inputs!$K$4:$AJ$4,0))))+SUMPRODUCT((Inputs!$E$5:$E$180=$B58)*ISNUMBER(INDEX(Inputs!$K$5:$AJ$180,0,MATCH(AF$2,Inputs!$K$4:$AJ$4,0))))=0,NA(),SUMPRODUCT((Inputs!$A$5:$A$180=$B58)*Inputs!$B$5:$B$180*(((Inputs!$G$5:$G$180="moeda")+(Inputs!$G$5:$G$180="acoes"))*Inputs!$B$1+((Inputs!$G$5:$G$180&lt;&gt;"moeda")*(Inputs!$G$5:$G$180&lt;&gt;"acoes")))*INDEX(Inputs!$K$5:$AJ$180,0,MATCH(AF$2,Inputs!$K$4:$AJ$4,0)))+SUMPRODUCT((Inputs!$C$5:$C$180=$B58)*Inputs!$D$5:$D$180*(((Inputs!$G$5:$G$180="moeda")+(Inputs!$G$5:$G$180="acoes"))*Inputs!$B$1+((Inputs!$G$5:$G$180&lt;&gt;"moeda")*(Inputs!$G$5:$G$180&lt;&gt;"acoes")))*INDEX(Inputs!$K$5:$AJ$180,0,MATCH(AF$2,Inputs!$K$4:$AJ$4,0)))+SUMPRODUCT((Inputs!$E$5:$E$180=$B58)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8" s="3" t="e">
        <f>SUM(AC58:AF58)</f>
        <v>#N/A</v>
      </c>
      <c r="AH58" s="6">
        <f>IF(ISNA(MATCH(AH$2,Inputs!$K$4:$AJ$4,0)),NA(),IF(SUMPRODUCT((Inputs!$A$5:$A$180=$B58)*ISNUMBER(INDEX(Inputs!$K$5:$AJ$180,0,MATCH(AH$2,Inputs!$K$4:$AJ$4,0))))+SUMPRODUCT((Inputs!$C$5:$C$180=$B58)*ISNUMBER(INDEX(Inputs!$K$5:$AJ$180,0,MATCH(AH$2,Inputs!$K$4:$AJ$4,0))))+SUMPRODUCT((Inputs!$E$5:$E$180=$B58)*ISNUMBER(INDEX(Inputs!$K$5:$AJ$180,0,MATCH(AH$2,Inputs!$K$4:$AJ$4,0))))=0,NA(),SUMPRODUCT((Inputs!$A$5:$A$180=$B58)*Inputs!$B$5:$B$180*(((Inputs!$G$5:$G$180="moeda")+(Inputs!$G$5:$G$180="acoes"))*Inputs!$B$1+((Inputs!$G$5:$G$180&lt;&gt;"moeda")*(Inputs!$G$5:$G$180&lt;&gt;"acoes")))*INDEX(Inputs!$K$5:$AJ$180,0,MATCH(AH$2,Inputs!$K$4:$AJ$4,0)))+SUMPRODUCT((Inputs!$C$5:$C$180=$B58)*Inputs!$D$5:$D$180*(((Inputs!$G$5:$G$180="moeda")+(Inputs!$G$5:$G$180="acoes"))*Inputs!$B$1+((Inputs!$G$5:$G$180&lt;&gt;"moeda")*(Inputs!$G$5:$G$180&lt;&gt;"acoes")))*INDEX(Inputs!$K$5:$AJ$180,0,MATCH(AH$2,Inputs!$K$4:$AJ$4,0)))+SUMPRODUCT((Inputs!$E$5:$E$180=$B58)*Inputs!$F$5:$F$180*(((Inputs!$G$5:$G$180="moeda")+(Inputs!$G$5:$G$180="acoes"))*Inputs!$B$1+((Inputs!$G$5:$G$180&lt;&gt;"moeda")*(Inputs!$G$5:$G$180&lt;&gt;"acoes")))*INDEX(Inputs!$K$5:$AJ$180,0,MATCH(AH$2,Inputs!$K$4:$AJ$4,0)))))</f>
        <v>123.546911576893</v>
      </c>
      <c r="AI58" s="6">
        <f>IF(ISNA(MATCH(AI$2,Inputs!$K$4:$AJ$4,0)),NA(),IF(SUMPRODUCT((Inputs!$A$5:$A$180=$B58)*ISNUMBER(INDEX(Inputs!$K$5:$AJ$180,0,MATCH(AI$2,Inputs!$K$4:$AJ$4,0))))+SUMPRODUCT((Inputs!$C$5:$C$180=$B58)*ISNUMBER(INDEX(Inputs!$K$5:$AJ$180,0,MATCH(AI$2,Inputs!$K$4:$AJ$4,0))))+SUMPRODUCT((Inputs!$E$5:$E$180=$B58)*ISNUMBER(INDEX(Inputs!$K$5:$AJ$180,0,MATCH(AI$2,Inputs!$K$4:$AJ$4,0))))=0,NA(),SUMPRODUCT((Inputs!$A$5:$A$180=$B58)*Inputs!$B$5:$B$180*(((Inputs!$G$5:$G$180="moeda")+(Inputs!$G$5:$G$180="acoes"))*Inputs!$B$1+((Inputs!$G$5:$G$180&lt;&gt;"moeda")*(Inputs!$G$5:$G$180&lt;&gt;"acoes")))*INDEX(Inputs!$K$5:$AJ$180,0,MATCH(AI$2,Inputs!$K$4:$AJ$4,0)))+SUMPRODUCT((Inputs!$C$5:$C$180=$B58)*Inputs!$D$5:$D$180*(((Inputs!$G$5:$G$180="moeda")+(Inputs!$G$5:$G$180="acoes"))*Inputs!$B$1+((Inputs!$G$5:$G$180&lt;&gt;"moeda")*(Inputs!$G$5:$G$180&lt;&gt;"acoes")))*INDEX(Inputs!$K$5:$AJ$180,0,MATCH(AI$2,Inputs!$K$4:$AJ$4,0)))+SUMPRODUCT((Inputs!$E$5:$E$180=$B58)*Inputs!$F$5:$F$180*(((Inputs!$G$5:$G$180="moeda")+(Inputs!$G$5:$G$180="acoes"))*Inputs!$B$1+((Inputs!$G$5:$G$180&lt;&gt;"moeda")*(Inputs!$G$5:$G$180&lt;&gt;"acoes")))*INDEX(Inputs!$K$5:$AJ$180,0,MATCH(AI$2,Inputs!$K$4:$AJ$4,0)))))</f>
        <v>113.716580449383</v>
      </c>
      <c r="AJ58" s="6">
        <f>IF(ISNA(MATCH(AJ$2,Inputs!$K$4:$AJ$4,0)),NA(),IF(SUMPRODUCT((Inputs!$A$5:$A$180=$B58)*ISNUMBER(INDEX(Inputs!$K$5:$AJ$180,0,MATCH(AJ$2,Inputs!$K$4:$AJ$4,0))))+SUMPRODUCT((Inputs!$C$5:$C$180=$B58)*ISNUMBER(INDEX(Inputs!$K$5:$AJ$180,0,MATCH(AJ$2,Inputs!$K$4:$AJ$4,0))))+SUMPRODUCT((Inputs!$E$5:$E$180=$B58)*ISNUMBER(INDEX(Inputs!$K$5:$AJ$180,0,MATCH(AJ$2,Inputs!$K$4:$AJ$4,0))))=0,NA(),SUMPRODUCT((Inputs!$A$5:$A$180=$B58)*Inputs!$B$5:$B$180*(((Inputs!$G$5:$G$180="moeda")+(Inputs!$G$5:$G$180="acoes"))*Inputs!$B$1+((Inputs!$G$5:$G$180&lt;&gt;"moeda")*(Inputs!$G$5:$G$180&lt;&gt;"acoes")))*INDEX(Inputs!$K$5:$AJ$180,0,MATCH(AJ$2,Inputs!$K$4:$AJ$4,0)))+SUMPRODUCT((Inputs!$C$5:$C$180=$B58)*Inputs!$D$5:$D$180*(((Inputs!$G$5:$G$180="moeda")+(Inputs!$G$5:$G$180="acoes"))*Inputs!$B$1+((Inputs!$G$5:$G$180&lt;&gt;"moeda")*(Inputs!$G$5:$G$180&lt;&gt;"acoes")))*INDEX(Inputs!$K$5:$AJ$180,0,MATCH(AJ$2,Inputs!$K$4:$AJ$4,0)))+SUMPRODUCT((Inputs!$E$5:$E$180=$B58)*Inputs!$F$5:$F$180*(((Inputs!$G$5:$G$180="moeda")+(Inputs!$G$5:$G$180="acoes"))*Inputs!$B$1+((Inputs!$G$5:$G$180&lt;&gt;"moeda")*(Inputs!$G$5:$G$180&lt;&gt;"acoes")))*INDEX(Inputs!$K$5:$AJ$180,0,MATCH(AJ$2,Inputs!$K$4:$AJ$4,0)))))</f>
        <v>156.08889868557</v>
      </c>
      <c r="AK58" s="6">
        <f>IF(ISNA(MATCH(AK$2,Inputs!$K$4:$AJ$4,0)),NA(),IF(SUMPRODUCT((Inputs!$A$5:$A$180=$B58)*ISNUMBER(INDEX(Inputs!$K$5:$AJ$180,0,MATCH(AK$2,Inputs!$K$4:$AJ$4,0))))+SUMPRODUCT((Inputs!$C$5:$C$180=$B58)*ISNUMBER(INDEX(Inputs!$K$5:$AJ$180,0,MATCH(AK$2,Inputs!$K$4:$AJ$4,0))))+SUMPRODUCT((Inputs!$E$5:$E$180=$B58)*ISNUMBER(INDEX(Inputs!$K$5:$AJ$180,0,MATCH(AK$2,Inputs!$K$4:$AJ$4,0))))=0,NA(),SUMPRODUCT((Inputs!$A$5:$A$180=$B58)*Inputs!$B$5:$B$180*(((Inputs!$G$5:$G$180="moeda")+(Inputs!$G$5:$G$180="acoes"))*Inputs!$B$1+((Inputs!$G$5:$G$180&lt;&gt;"moeda")*(Inputs!$G$5:$G$180&lt;&gt;"acoes")))*INDEX(Inputs!$K$5:$AJ$180,0,MATCH(AK$2,Inputs!$K$4:$AJ$4,0)))+SUMPRODUCT((Inputs!$C$5:$C$180=$B58)*Inputs!$D$5:$D$180*(((Inputs!$G$5:$G$180="moeda")+(Inputs!$G$5:$G$180="acoes"))*Inputs!$B$1+((Inputs!$G$5:$G$180&lt;&gt;"moeda")*(Inputs!$G$5:$G$180&lt;&gt;"acoes")))*INDEX(Inputs!$K$5:$AJ$180,0,MATCH(AK$2,Inputs!$K$4:$AJ$4,0)))+SUMPRODUCT((Inputs!$E$5:$E$180=$B58)*Inputs!$F$5:$F$180*(((Inputs!$G$5:$G$180="moeda")+(Inputs!$G$5:$G$180="acoes"))*Inputs!$B$1+((Inputs!$G$5:$G$180&lt;&gt;"moeda")*(Inputs!$G$5:$G$180&lt;&gt;"acoes")))*INDEX(Inputs!$K$5:$AJ$180,0,MATCH(AK$2,Inputs!$K$4:$AJ$4,0)))))</f>
        <v>175.1428185</v>
      </c>
      <c r="AL58" s="3">
        <f>SUM(AH58:AK58)</f>
        <v>568.495209211847</v>
      </c>
    </row>
    <row r="59">
      <c r="B59" s="46" t="n">
        <v>51</v>
      </c>
      <c r="C59" s="29" t="inlineStr">
        <is>
          <t>Novos Elos e Plataformas</t>
        </is>
      </c>
      <c r="D59" s="6">
        <f>IF(ISNA(MATCH(D$2,Inputs!$K$4:$AJ$4,0)),NA(),IF(SUMPRODUCT((Inputs!$A$5:$A$180=$B59)*ISNUMBER(INDEX(Inputs!$K$5:$AJ$180,0,MATCH(D$2,Inputs!$K$4:$AJ$4,0))))+SUMPRODUCT((Inputs!$C$5:$C$180=$B59)*ISNUMBER(INDEX(Inputs!$K$5:$AJ$180,0,MATCH(D$2,Inputs!$K$4:$AJ$4,0))))+SUMPRODUCT((Inputs!$E$5:$E$180=$B59)*ISNUMBER(INDEX(Inputs!$K$5:$AJ$180,0,MATCH(D$2,Inputs!$K$4:$AJ$4,0))))=0,NA(),SUMPRODUCT((Inputs!$A$5:$A$180=$B59)*Inputs!$B$5:$B$180*(((Inputs!$G$5:$G$180="moeda")+(Inputs!$G$5:$G$180="acoes"))*Inputs!$B$1+((Inputs!$G$5:$G$180&lt;&gt;"moeda")*(Inputs!$G$5:$G$180&lt;&gt;"acoes")))*INDEX(Inputs!$K$5:$AJ$180,0,MATCH(D$2,Inputs!$K$4:$AJ$4,0)))+SUMPRODUCT((Inputs!$C$5:$C$180=$B59)*Inputs!$D$5:$D$180*(((Inputs!$G$5:$G$180="moeda")+(Inputs!$G$5:$G$180="acoes"))*Inputs!$B$1+((Inputs!$G$5:$G$180&lt;&gt;"moeda")*(Inputs!$G$5:$G$180&lt;&gt;"acoes")))*INDEX(Inputs!$K$5:$AJ$180,0,MATCH(D$2,Inputs!$K$4:$AJ$4,0)))+SUMPRODUCT((Inputs!$E$5:$E$180=$B59)*Inputs!$F$5:$F$180*(((Inputs!$G$5:$G$180="moeda")+(Inputs!$G$5:$G$180="acoes"))*Inputs!$B$1+((Inputs!$G$5:$G$180&lt;&gt;"moeda")*(Inputs!$G$5:$G$180&lt;&gt;"acoes")))*INDEX(Inputs!$K$5:$AJ$180,0,MATCH(D$2,Inputs!$K$4:$AJ$4,0)))))</f>
        <v>13.85916205</v>
      </c>
      <c r="E59" s="6">
        <f>IF(ISNA(MATCH(E$2,Inputs!$K$4:$AJ$4,0)),NA(),IF(SUMPRODUCT((Inputs!$A$5:$A$180=$B59)*ISNUMBER(INDEX(Inputs!$K$5:$AJ$180,0,MATCH(E$2,Inputs!$K$4:$AJ$4,0))))+SUMPRODUCT((Inputs!$C$5:$C$180=$B59)*ISNUMBER(INDEX(Inputs!$K$5:$AJ$180,0,MATCH(E$2,Inputs!$K$4:$AJ$4,0))))+SUMPRODUCT((Inputs!$E$5:$E$180=$B59)*ISNUMBER(INDEX(Inputs!$K$5:$AJ$180,0,MATCH(E$2,Inputs!$K$4:$AJ$4,0))))=0,NA(),SUMPRODUCT((Inputs!$A$5:$A$180=$B59)*Inputs!$B$5:$B$180*(((Inputs!$G$5:$G$180="moeda")+(Inputs!$G$5:$G$180="acoes"))*Inputs!$B$1+((Inputs!$G$5:$G$180&lt;&gt;"moeda")*(Inputs!$G$5:$G$180&lt;&gt;"acoes")))*INDEX(Inputs!$K$5:$AJ$180,0,MATCH(E$2,Inputs!$K$4:$AJ$4,0)))+SUMPRODUCT((Inputs!$C$5:$C$180=$B59)*Inputs!$D$5:$D$180*(((Inputs!$G$5:$G$180="moeda")+(Inputs!$G$5:$G$180="acoes"))*Inputs!$B$1+((Inputs!$G$5:$G$180&lt;&gt;"moeda")*(Inputs!$G$5:$G$180&lt;&gt;"acoes")))*INDEX(Inputs!$K$5:$AJ$180,0,MATCH(E$2,Inputs!$K$4:$AJ$4,0)))+SUMPRODUCT((Inputs!$E$5:$E$180=$B59)*Inputs!$F$5:$F$180*(((Inputs!$G$5:$G$180="moeda")+(Inputs!$G$5:$G$180="acoes"))*Inputs!$B$1+((Inputs!$G$5:$G$180&lt;&gt;"moeda")*(Inputs!$G$5:$G$180&lt;&gt;"acoes")))*INDEX(Inputs!$K$5:$AJ$180,0,MATCH(E$2,Inputs!$K$4:$AJ$4,0)))))</f>
        <v>41.10253789</v>
      </c>
      <c r="F59" s="6">
        <f>IF(ISNA(MATCH(F$2,Inputs!$K$4:$AJ$4,0)),NA(),IF(SUMPRODUCT((Inputs!$A$5:$A$180=$B59)*ISNUMBER(INDEX(Inputs!$K$5:$AJ$180,0,MATCH(F$2,Inputs!$K$4:$AJ$4,0))))+SUMPRODUCT((Inputs!$C$5:$C$180=$B59)*ISNUMBER(INDEX(Inputs!$K$5:$AJ$180,0,MATCH(F$2,Inputs!$K$4:$AJ$4,0))))+SUMPRODUCT((Inputs!$E$5:$E$180=$B59)*ISNUMBER(INDEX(Inputs!$K$5:$AJ$180,0,MATCH(F$2,Inputs!$K$4:$AJ$4,0))))=0,NA(),SUMPRODUCT((Inputs!$A$5:$A$180=$B59)*Inputs!$B$5:$B$180*(((Inputs!$G$5:$G$180="moeda")+(Inputs!$G$5:$G$180="acoes"))*Inputs!$B$1+((Inputs!$G$5:$G$180&lt;&gt;"moeda")*(Inputs!$G$5:$G$180&lt;&gt;"acoes")))*INDEX(Inputs!$K$5:$AJ$180,0,MATCH(F$2,Inputs!$K$4:$AJ$4,0)))+SUMPRODUCT((Inputs!$C$5:$C$180=$B59)*Inputs!$D$5:$D$180*(((Inputs!$G$5:$G$180="moeda")+(Inputs!$G$5:$G$180="acoes"))*Inputs!$B$1+((Inputs!$G$5:$G$180&lt;&gt;"moeda")*(Inputs!$G$5:$G$180&lt;&gt;"acoes")))*INDEX(Inputs!$K$5:$AJ$180,0,MATCH(F$2,Inputs!$K$4:$AJ$4,0)))+SUMPRODUCT((Inputs!$E$5:$E$180=$B59)*Inputs!$F$5:$F$180*(((Inputs!$G$5:$G$180="moeda")+(Inputs!$G$5:$G$180="acoes"))*Inputs!$B$1+((Inputs!$G$5:$G$180&lt;&gt;"moeda")*(Inputs!$G$5:$G$180&lt;&gt;"acoes")))*INDEX(Inputs!$K$5:$AJ$180,0,MATCH(F$2,Inputs!$K$4:$AJ$4,0)))))</f>
        <v>86.6682125317355</v>
      </c>
      <c r="G59" s="6">
        <f>IF(ISNA(MATCH(G$2,Inputs!$K$4:$AJ$4,0)),NA(),IF(SUMPRODUCT((Inputs!$A$5:$A$180=$B59)*ISNUMBER(INDEX(Inputs!$K$5:$AJ$180,0,MATCH(G$2,Inputs!$K$4:$AJ$4,0))))+SUMPRODUCT((Inputs!$C$5:$C$180=$B59)*ISNUMBER(INDEX(Inputs!$K$5:$AJ$180,0,MATCH(G$2,Inputs!$K$4:$AJ$4,0))))+SUMPRODUCT((Inputs!$E$5:$E$180=$B59)*ISNUMBER(INDEX(Inputs!$K$5:$AJ$180,0,MATCH(G$2,Inputs!$K$4:$AJ$4,0))))=0,NA(),SUMPRODUCT((Inputs!$A$5:$A$180=$B59)*Inputs!$B$5:$B$180*(((Inputs!$G$5:$G$180="moeda")+(Inputs!$G$5:$G$180="acoes"))*Inputs!$B$1+((Inputs!$G$5:$G$180&lt;&gt;"moeda")*(Inputs!$G$5:$G$180&lt;&gt;"acoes")))*INDEX(Inputs!$K$5:$AJ$180,0,MATCH(G$2,Inputs!$K$4:$AJ$4,0)))+SUMPRODUCT((Inputs!$C$5:$C$180=$B59)*Inputs!$D$5:$D$180*(((Inputs!$G$5:$G$180="moeda")+(Inputs!$G$5:$G$180="acoes"))*Inputs!$B$1+((Inputs!$G$5:$G$180&lt;&gt;"moeda")*(Inputs!$G$5:$G$180&lt;&gt;"acoes")))*INDEX(Inputs!$K$5:$AJ$180,0,MATCH(G$2,Inputs!$K$4:$AJ$4,0)))+SUMPRODUCT((Inputs!$E$5:$E$180=$B59)*Inputs!$F$5:$F$180*(((Inputs!$G$5:$G$180="moeda")+(Inputs!$G$5:$G$180="acoes"))*Inputs!$B$1+((Inputs!$G$5:$G$180&lt;&gt;"moeda")*(Inputs!$G$5:$G$180&lt;&gt;"acoes")))*INDEX(Inputs!$K$5:$AJ$180,0,MATCH(G$2,Inputs!$K$4:$AJ$4,0)))))</f>
        <v>81.6565942752</v>
      </c>
      <c r="H59" s="3">
        <f>SUM(D59:G59)</f>
        <v>223.286506746936</v>
      </c>
      <c r="I59" s="6">
        <f>IF(ISNA(MATCH(I$2,Inputs!$K$4:$AJ$4,0)),NA(),IF(SUMPRODUCT((Inputs!$A$5:$A$180=$B59)*ISNUMBER(INDEX(Inputs!$K$5:$AJ$180,0,MATCH(I$2,Inputs!$K$4:$AJ$4,0))))+SUMPRODUCT((Inputs!$C$5:$C$180=$B59)*ISNUMBER(INDEX(Inputs!$K$5:$AJ$180,0,MATCH(I$2,Inputs!$K$4:$AJ$4,0))))+SUMPRODUCT((Inputs!$E$5:$E$180=$B59)*ISNUMBER(INDEX(Inputs!$K$5:$AJ$180,0,MATCH(I$2,Inputs!$K$4:$AJ$4,0))))=0,NA(),SUMPRODUCT((Inputs!$A$5:$A$180=$B59)*Inputs!$B$5:$B$180*(((Inputs!$G$5:$G$180="moeda")+(Inputs!$G$5:$G$180="acoes"))*Inputs!$B$1+((Inputs!$G$5:$G$180&lt;&gt;"moeda")*(Inputs!$G$5:$G$180&lt;&gt;"acoes")))*INDEX(Inputs!$K$5:$AJ$180,0,MATCH(I$2,Inputs!$K$4:$AJ$4,0)))+SUMPRODUCT((Inputs!$C$5:$C$180=$B59)*Inputs!$D$5:$D$180*(((Inputs!$G$5:$G$180="moeda")+(Inputs!$G$5:$G$180="acoes"))*Inputs!$B$1+((Inputs!$G$5:$G$180&lt;&gt;"moeda")*(Inputs!$G$5:$G$180&lt;&gt;"acoes")))*INDEX(Inputs!$K$5:$AJ$180,0,MATCH(I$2,Inputs!$K$4:$AJ$4,0)))+SUMPRODUCT((Inputs!$E$5:$E$180=$B59)*Inputs!$F$5:$F$180*(((Inputs!$G$5:$G$180="moeda")+(Inputs!$G$5:$G$180="acoes"))*Inputs!$B$1+((Inputs!$G$5:$G$180&lt;&gt;"moeda")*(Inputs!$G$5:$G$180&lt;&gt;"acoes")))*INDEX(Inputs!$K$5:$AJ$180,0,MATCH(I$2,Inputs!$K$4:$AJ$4,0)))))</f>
        <v>79.26090508</v>
      </c>
      <c r="J59" s="6">
        <f>IF(ISNA(MATCH(J$2,Inputs!$K$4:$AJ$4,0)),NA(),IF(SUMPRODUCT((Inputs!$A$5:$A$180=$B59)*ISNUMBER(INDEX(Inputs!$K$5:$AJ$180,0,MATCH(J$2,Inputs!$K$4:$AJ$4,0))))+SUMPRODUCT((Inputs!$C$5:$C$180=$B59)*ISNUMBER(INDEX(Inputs!$K$5:$AJ$180,0,MATCH(J$2,Inputs!$K$4:$AJ$4,0))))+SUMPRODUCT((Inputs!$E$5:$E$180=$B59)*ISNUMBER(INDEX(Inputs!$K$5:$AJ$180,0,MATCH(J$2,Inputs!$K$4:$AJ$4,0))))=0,NA(),SUMPRODUCT((Inputs!$A$5:$A$180=$B59)*Inputs!$B$5:$B$180*(((Inputs!$G$5:$G$180="moeda")+(Inputs!$G$5:$G$180="acoes"))*Inputs!$B$1+((Inputs!$G$5:$G$180&lt;&gt;"moeda")*(Inputs!$G$5:$G$180&lt;&gt;"acoes")))*INDEX(Inputs!$K$5:$AJ$180,0,MATCH(J$2,Inputs!$K$4:$AJ$4,0)))+SUMPRODUCT((Inputs!$C$5:$C$180=$B59)*Inputs!$D$5:$D$180*(((Inputs!$G$5:$G$180="moeda")+(Inputs!$G$5:$G$180="acoes"))*Inputs!$B$1+((Inputs!$G$5:$G$180&lt;&gt;"moeda")*(Inputs!$G$5:$G$180&lt;&gt;"acoes")))*INDEX(Inputs!$K$5:$AJ$180,0,MATCH(J$2,Inputs!$K$4:$AJ$4,0)))+SUMPRODUCT((Inputs!$E$5:$E$180=$B59)*Inputs!$F$5:$F$180*(((Inputs!$G$5:$G$180="moeda")+(Inputs!$G$5:$G$180="acoes"))*Inputs!$B$1+((Inputs!$G$5:$G$180&lt;&gt;"moeda")*(Inputs!$G$5:$G$180&lt;&gt;"acoes")))*INDEX(Inputs!$K$5:$AJ$180,0,MATCH(J$2,Inputs!$K$4:$AJ$4,0)))))</f>
        <v>88.3856158078027</v>
      </c>
      <c r="K59" s="6">
        <f>IF(ISNA(MATCH(K$2,Inputs!$K$4:$AJ$4,0)),NA(),IF(SUMPRODUCT((Inputs!$A$5:$A$180=$B59)*ISNUMBER(INDEX(Inputs!$K$5:$AJ$180,0,MATCH(K$2,Inputs!$K$4:$AJ$4,0))))+SUMPRODUCT((Inputs!$C$5:$C$180=$B59)*ISNUMBER(INDEX(Inputs!$K$5:$AJ$180,0,MATCH(K$2,Inputs!$K$4:$AJ$4,0))))+SUMPRODUCT((Inputs!$E$5:$E$180=$B59)*ISNUMBER(INDEX(Inputs!$K$5:$AJ$180,0,MATCH(K$2,Inputs!$K$4:$AJ$4,0))))=0,NA(),SUMPRODUCT((Inputs!$A$5:$A$180=$B59)*Inputs!$B$5:$B$180*(((Inputs!$G$5:$G$180="moeda")+(Inputs!$G$5:$G$180="acoes"))*Inputs!$B$1+((Inputs!$G$5:$G$180&lt;&gt;"moeda")*(Inputs!$G$5:$G$180&lt;&gt;"acoes")))*INDEX(Inputs!$K$5:$AJ$180,0,MATCH(K$2,Inputs!$K$4:$AJ$4,0)))+SUMPRODUCT((Inputs!$C$5:$C$180=$B59)*Inputs!$D$5:$D$180*(((Inputs!$G$5:$G$180="moeda")+(Inputs!$G$5:$G$180="acoes"))*Inputs!$B$1+((Inputs!$G$5:$G$180&lt;&gt;"moeda")*(Inputs!$G$5:$G$180&lt;&gt;"acoes")))*INDEX(Inputs!$K$5:$AJ$180,0,MATCH(K$2,Inputs!$K$4:$AJ$4,0)))+SUMPRODUCT((Inputs!$E$5:$E$180=$B59)*Inputs!$F$5:$F$180*(((Inputs!$G$5:$G$180="moeda")+(Inputs!$G$5:$G$180="acoes"))*Inputs!$B$1+((Inputs!$G$5:$G$180&lt;&gt;"moeda")*(Inputs!$G$5:$G$180&lt;&gt;"acoes")))*INDEX(Inputs!$K$5:$AJ$180,0,MATCH(K$2,Inputs!$K$4:$AJ$4,0)))))</f>
        <v>101.369994</v>
      </c>
      <c r="L59" s="6">
        <f>IF(ISNA(MATCH(L$2,Inputs!$K$4:$AJ$4,0)),NA(),IF(SUMPRODUCT((Inputs!$A$5:$A$180=$B59)*ISNUMBER(INDEX(Inputs!$K$5:$AJ$180,0,MATCH(L$2,Inputs!$K$4:$AJ$4,0))))+SUMPRODUCT((Inputs!$C$5:$C$180=$B59)*ISNUMBER(INDEX(Inputs!$K$5:$AJ$180,0,MATCH(L$2,Inputs!$K$4:$AJ$4,0))))+SUMPRODUCT((Inputs!$E$5:$E$180=$B59)*ISNUMBER(INDEX(Inputs!$K$5:$AJ$180,0,MATCH(L$2,Inputs!$K$4:$AJ$4,0))))=0,NA(),SUMPRODUCT((Inputs!$A$5:$A$180=$B59)*Inputs!$B$5:$B$180*(((Inputs!$G$5:$G$180="moeda")+(Inputs!$G$5:$G$180="acoes"))*Inputs!$B$1+((Inputs!$G$5:$G$180&lt;&gt;"moeda")*(Inputs!$G$5:$G$180&lt;&gt;"acoes")))*INDEX(Inputs!$K$5:$AJ$180,0,MATCH(L$2,Inputs!$K$4:$AJ$4,0)))+SUMPRODUCT((Inputs!$C$5:$C$180=$B59)*Inputs!$D$5:$D$180*(((Inputs!$G$5:$G$180="moeda")+(Inputs!$G$5:$G$180="acoes"))*Inputs!$B$1+((Inputs!$G$5:$G$180&lt;&gt;"moeda")*(Inputs!$G$5:$G$180&lt;&gt;"acoes")))*INDEX(Inputs!$K$5:$AJ$180,0,MATCH(L$2,Inputs!$K$4:$AJ$4,0)))+SUMPRODUCT((Inputs!$E$5:$E$180=$B59)*Inputs!$F$5:$F$180*(((Inputs!$G$5:$G$180="moeda")+(Inputs!$G$5:$G$180="acoes"))*Inputs!$B$1+((Inputs!$G$5:$G$180&lt;&gt;"moeda")*(Inputs!$G$5:$G$180&lt;&gt;"acoes")))*INDEX(Inputs!$K$5:$AJ$180,0,MATCH(L$2,Inputs!$K$4:$AJ$4,0)))))</f>
        <v>143.71703405</v>
      </c>
      <c r="M59" s="3">
        <f>SUM(I59:L59)</f>
        <v>412.733548937803</v>
      </c>
      <c r="N59" s="6">
        <f>IF(ISNA(MATCH(N$2,Inputs!$K$4:$AJ$4,0)),NA(),IF(SUMPRODUCT((Inputs!$A$5:$A$180=$B59)*ISNUMBER(INDEX(Inputs!$K$5:$AJ$180,0,MATCH(N$2,Inputs!$K$4:$AJ$4,0))))+SUMPRODUCT((Inputs!$C$5:$C$180=$B59)*ISNUMBER(INDEX(Inputs!$K$5:$AJ$180,0,MATCH(N$2,Inputs!$K$4:$AJ$4,0))))+SUMPRODUCT((Inputs!$E$5:$E$180=$B59)*ISNUMBER(INDEX(Inputs!$K$5:$AJ$180,0,MATCH(N$2,Inputs!$K$4:$AJ$4,0))))=0,NA(),SUMPRODUCT((Inputs!$A$5:$A$180=$B59)*Inputs!$B$5:$B$180*(((Inputs!$G$5:$G$180="moeda")+(Inputs!$G$5:$G$180="acoes"))*Inputs!$B$1+((Inputs!$G$5:$G$180&lt;&gt;"moeda")*(Inputs!$G$5:$G$180&lt;&gt;"acoes")))*INDEX(Inputs!$K$5:$AJ$180,0,MATCH(N$2,Inputs!$K$4:$AJ$4,0)))+SUMPRODUCT((Inputs!$C$5:$C$180=$B59)*Inputs!$D$5:$D$180*(((Inputs!$G$5:$G$180="moeda")+(Inputs!$G$5:$G$180="acoes"))*Inputs!$B$1+((Inputs!$G$5:$G$180&lt;&gt;"moeda")*(Inputs!$G$5:$G$180&lt;&gt;"acoes")))*INDEX(Inputs!$K$5:$AJ$180,0,MATCH(N$2,Inputs!$K$4:$AJ$4,0)))+SUMPRODUCT((Inputs!$E$5:$E$180=$B59)*Inputs!$F$5:$F$180*(((Inputs!$G$5:$G$180="moeda")+(Inputs!$G$5:$G$180="acoes"))*Inputs!$B$1+((Inputs!$G$5:$G$180&lt;&gt;"moeda")*(Inputs!$G$5:$G$180&lt;&gt;"acoes")))*INDEX(Inputs!$K$5:$AJ$180,0,MATCH(N$2,Inputs!$K$4:$AJ$4,0)))))</f>
        <v>146.85354669</v>
      </c>
      <c r="O59" s="6" t="e">
        <f>IF(ISNA(MATCH(O$2,Inputs!$K$4:$AJ$4,0)),NA(),IF(SUMPRODUCT((Inputs!$A$5:$A$180=$B59)*ISNUMBER(INDEX(Inputs!$K$5:$AJ$180,0,MATCH(O$2,Inputs!$K$4:$AJ$4,0))))+SUMPRODUCT((Inputs!$C$5:$C$180=$B59)*ISNUMBER(INDEX(Inputs!$K$5:$AJ$180,0,MATCH(O$2,Inputs!$K$4:$AJ$4,0))))+SUMPRODUCT((Inputs!$E$5:$E$180=$B59)*ISNUMBER(INDEX(Inputs!$K$5:$AJ$180,0,MATCH(O$2,Inputs!$K$4:$AJ$4,0))))=0,NA(),SUMPRODUCT((Inputs!$A$5:$A$180=$B59)*Inputs!$B$5:$B$180*(((Inputs!$G$5:$G$180="moeda")+(Inputs!$G$5:$G$180="acoes"))*Inputs!$B$1+((Inputs!$G$5:$G$180&lt;&gt;"moeda")*(Inputs!$G$5:$G$180&lt;&gt;"acoes")))*INDEX(Inputs!$K$5:$AJ$180,0,MATCH(O$2,Inputs!$K$4:$AJ$4,0)))+SUMPRODUCT((Inputs!$C$5:$C$180=$B59)*Inputs!$D$5:$D$180*(((Inputs!$G$5:$G$180="moeda")+(Inputs!$G$5:$G$180="acoes"))*Inputs!$B$1+((Inputs!$G$5:$G$180&lt;&gt;"moeda")*(Inputs!$G$5:$G$180&lt;&gt;"acoes")))*INDEX(Inputs!$K$5:$AJ$180,0,MATCH(O$2,Inputs!$K$4:$AJ$4,0)))+SUMPRODUCT((Inputs!$E$5:$E$180=$B59)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59" s="6">
        <f>IF(ISNA(MATCH(P$2,Inputs!$K$4:$AJ$4,0)),NA(),IF(SUMPRODUCT((Inputs!$A$5:$A$180=$B59)*ISNUMBER(INDEX(Inputs!$K$5:$AJ$180,0,MATCH(P$2,Inputs!$K$4:$AJ$4,0))))+SUMPRODUCT((Inputs!$C$5:$C$180=$B59)*ISNUMBER(INDEX(Inputs!$K$5:$AJ$180,0,MATCH(P$2,Inputs!$K$4:$AJ$4,0))))+SUMPRODUCT((Inputs!$E$5:$E$180=$B59)*ISNUMBER(INDEX(Inputs!$K$5:$AJ$180,0,MATCH(P$2,Inputs!$K$4:$AJ$4,0))))=0,NA(),SUMPRODUCT((Inputs!$A$5:$A$180=$B59)*Inputs!$B$5:$B$180*(((Inputs!$G$5:$G$180="moeda")+(Inputs!$G$5:$G$180="acoes"))*Inputs!$B$1+((Inputs!$G$5:$G$180&lt;&gt;"moeda")*(Inputs!$G$5:$G$180&lt;&gt;"acoes")))*INDEX(Inputs!$K$5:$AJ$180,0,MATCH(P$2,Inputs!$K$4:$AJ$4,0)))+SUMPRODUCT((Inputs!$C$5:$C$180=$B59)*Inputs!$D$5:$D$180*(((Inputs!$G$5:$G$180="moeda")+(Inputs!$G$5:$G$180="acoes"))*Inputs!$B$1+((Inputs!$G$5:$G$180&lt;&gt;"moeda")*(Inputs!$G$5:$G$180&lt;&gt;"acoes")))*INDEX(Inputs!$K$5:$AJ$180,0,MATCH(P$2,Inputs!$K$4:$AJ$4,0)))+SUMPRODUCT((Inputs!$E$5:$E$180=$B59)*Inputs!$F$5:$F$180*(((Inputs!$G$5:$G$180="moeda")+(Inputs!$G$5:$G$180="acoes"))*Inputs!$B$1+((Inputs!$G$5:$G$180&lt;&gt;"moeda")*(Inputs!$G$5:$G$180&lt;&gt;"acoes")))*INDEX(Inputs!$K$5:$AJ$180,0,MATCH(P$2,Inputs!$K$4:$AJ$4,0)))))</f>
        <v>183.042780266</v>
      </c>
      <c r="Q59" s="6">
        <f>IF(ISNA(MATCH(Q$2,Inputs!$K$4:$AJ$4,0)),NA(),IF(SUMPRODUCT((Inputs!$A$5:$A$180=$B59)*ISNUMBER(INDEX(Inputs!$K$5:$AJ$180,0,MATCH(Q$2,Inputs!$K$4:$AJ$4,0))))+SUMPRODUCT((Inputs!$C$5:$C$180=$B59)*ISNUMBER(INDEX(Inputs!$K$5:$AJ$180,0,MATCH(Q$2,Inputs!$K$4:$AJ$4,0))))+SUMPRODUCT((Inputs!$E$5:$E$180=$B59)*ISNUMBER(INDEX(Inputs!$K$5:$AJ$180,0,MATCH(Q$2,Inputs!$K$4:$AJ$4,0))))=0,NA(),SUMPRODUCT((Inputs!$A$5:$A$180=$B59)*Inputs!$B$5:$B$180*(((Inputs!$G$5:$G$180="moeda")+(Inputs!$G$5:$G$180="acoes"))*Inputs!$B$1+((Inputs!$G$5:$G$180&lt;&gt;"moeda")*(Inputs!$G$5:$G$180&lt;&gt;"acoes")))*INDEX(Inputs!$K$5:$AJ$180,0,MATCH(Q$2,Inputs!$K$4:$AJ$4,0)))+SUMPRODUCT((Inputs!$C$5:$C$180=$B59)*Inputs!$D$5:$D$180*(((Inputs!$G$5:$G$180="moeda")+(Inputs!$G$5:$G$180="acoes"))*Inputs!$B$1+((Inputs!$G$5:$G$180&lt;&gt;"moeda")*(Inputs!$G$5:$G$180&lt;&gt;"acoes")))*INDEX(Inputs!$K$5:$AJ$180,0,MATCH(Q$2,Inputs!$K$4:$AJ$4,0)))+SUMPRODUCT((Inputs!$E$5:$E$180=$B59)*Inputs!$F$5:$F$180*(((Inputs!$G$5:$G$180="moeda")+(Inputs!$G$5:$G$180="acoes"))*Inputs!$B$1+((Inputs!$G$5:$G$180&lt;&gt;"moeda")*(Inputs!$G$5:$G$180&lt;&gt;"acoes")))*INDEX(Inputs!$K$5:$AJ$180,0,MATCH(Q$2,Inputs!$K$4:$AJ$4,0)))))</f>
        <v>168.24368</v>
      </c>
      <c r="R59" s="3" t="e">
        <f>SUM(N59:Q59)</f>
        <v>#N/A</v>
      </c>
      <c r="S59" s="6">
        <f>IF(ISNA(MATCH(S$2,Inputs!$K$4:$AJ$4,0)),NA(),IF(SUMPRODUCT((Inputs!$A$5:$A$180=$B59)*ISNUMBER(INDEX(Inputs!$K$5:$AJ$180,0,MATCH(S$2,Inputs!$K$4:$AJ$4,0))))+SUMPRODUCT((Inputs!$C$5:$C$180=$B59)*ISNUMBER(INDEX(Inputs!$K$5:$AJ$180,0,MATCH(S$2,Inputs!$K$4:$AJ$4,0))))+SUMPRODUCT((Inputs!$E$5:$E$180=$B59)*ISNUMBER(INDEX(Inputs!$K$5:$AJ$180,0,MATCH(S$2,Inputs!$K$4:$AJ$4,0))))=0,NA(),SUMPRODUCT((Inputs!$A$5:$A$180=$B59)*Inputs!$B$5:$B$180*(((Inputs!$G$5:$G$180="moeda")+(Inputs!$G$5:$G$180="acoes"))*Inputs!$B$1+((Inputs!$G$5:$G$180&lt;&gt;"moeda")*(Inputs!$G$5:$G$180&lt;&gt;"acoes")))*INDEX(Inputs!$K$5:$AJ$180,0,MATCH(S$2,Inputs!$K$4:$AJ$4,0)))+SUMPRODUCT((Inputs!$C$5:$C$180=$B59)*Inputs!$D$5:$D$180*(((Inputs!$G$5:$G$180="moeda")+(Inputs!$G$5:$G$180="acoes"))*Inputs!$B$1+((Inputs!$G$5:$G$180&lt;&gt;"moeda")*(Inputs!$G$5:$G$180&lt;&gt;"acoes")))*INDEX(Inputs!$K$5:$AJ$180,0,MATCH(S$2,Inputs!$K$4:$AJ$4,0)))+SUMPRODUCT((Inputs!$E$5:$E$180=$B59)*Inputs!$F$5:$F$180*(((Inputs!$G$5:$G$180="moeda")+(Inputs!$G$5:$G$180="acoes"))*Inputs!$B$1+((Inputs!$G$5:$G$180&lt;&gt;"moeda")*(Inputs!$G$5:$G$180&lt;&gt;"acoes")))*INDEX(Inputs!$K$5:$AJ$180,0,MATCH(S$2,Inputs!$K$4:$AJ$4,0)))))</f>
        <v>188.714009753</v>
      </c>
      <c r="T59" s="6">
        <f>IF(ISNA(MATCH(T$2,Inputs!$K$4:$AJ$4,0)),NA(),IF(SUMPRODUCT((Inputs!$A$5:$A$180=$B59)*ISNUMBER(INDEX(Inputs!$K$5:$AJ$180,0,MATCH(T$2,Inputs!$K$4:$AJ$4,0))))+SUMPRODUCT((Inputs!$C$5:$C$180=$B59)*ISNUMBER(INDEX(Inputs!$K$5:$AJ$180,0,MATCH(T$2,Inputs!$K$4:$AJ$4,0))))+SUMPRODUCT((Inputs!$E$5:$E$180=$B59)*ISNUMBER(INDEX(Inputs!$K$5:$AJ$180,0,MATCH(T$2,Inputs!$K$4:$AJ$4,0))))=0,NA(),SUMPRODUCT((Inputs!$A$5:$A$180=$B59)*Inputs!$B$5:$B$180*(((Inputs!$G$5:$G$180="moeda")+(Inputs!$G$5:$G$180="acoes"))*Inputs!$B$1+((Inputs!$G$5:$G$180&lt;&gt;"moeda")*(Inputs!$G$5:$G$180&lt;&gt;"acoes")))*INDEX(Inputs!$K$5:$AJ$180,0,MATCH(T$2,Inputs!$K$4:$AJ$4,0)))+SUMPRODUCT((Inputs!$C$5:$C$180=$B59)*Inputs!$D$5:$D$180*(((Inputs!$G$5:$G$180="moeda")+(Inputs!$G$5:$G$180="acoes"))*Inputs!$B$1+((Inputs!$G$5:$G$180&lt;&gt;"moeda")*(Inputs!$G$5:$G$180&lt;&gt;"acoes")))*INDEX(Inputs!$K$5:$AJ$180,0,MATCH(T$2,Inputs!$K$4:$AJ$4,0)))+SUMPRODUCT((Inputs!$E$5:$E$180=$B59)*Inputs!$F$5:$F$180*(((Inputs!$G$5:$G$180="moeda")+(Inputs!$G$5:$G$180="acoes"))*Inputs!$B$1+((Inputs!$G$5:$G$180&lt;&gt;"moeda")*(Inputs!$G$5:$G$180&lt;&gt;"acoes")))*INDEX(Inputs!$K$5:$AJ$180,0,MATCH(T$2,Inputs!$K$4:$AJ$4,0)))))</f>
        <v>200.69931886</v>
      </c>
      <c r="U59" s="6">
        <f>IF(ISNA(MATCH(U$2,Inputs!$K$4:$AJ$4,0)),NA(),IF(SUMPRODUCT((Inputs!$A$5:$A$180=$B59)*ISNUMBER(INDEX(Inputs!$K$5:$AJ$180,0,MATCH(U$2,Inputs!$K$4:$AJ$4,0))))+SUMPRODUCT((Inputs!$C$5:$C$180=$B59)*ISNUMBER(INDEX(Inputs!$K$5:$AJ$180,0,MATCH(U$2,Inputs!$K$4:$AJ$4,0))))+SUMPRODUCT((Inputs!$E$5:$E$180=$B59)*ISNUMBER(INDEX(Inputs!$K$5:$AJ$180,0,MATCH(U$2,Inputs!$K$4:$AJ$4,0))))=0,NA(),SUMPRODUCT((Inputs!$A$5:$A$180=$B59)*Inputs!$B$5:$B$180*(((Inputs!$G$5:$G$180="moeda")+(Inputs!$G$5:$G$180="acoes"))*Inputs!$B$1+((Inputs!$G$5:$G$180&lt;&gt;"moeda")*(Inputs!$G$5:$G$180&lt;&gt;"acoes")))*INDEX(Inputs!$K$5:$AJ$180,0,MATCH(U$2,Inputs!$K$4:$AJ$4,0)))+SUMPRODUCT((Inputs!$C$5:$C$180=$B59)*Inputs!$D$5:$D$180*(((Inputs!$G$5:$G$180="moeda")+(Inputs!$G$5:$G$180="acoes"))*Inputs!$B$1+((Inputs!$G$5:$G$180&lt;&gt;"moeda")*(Inputs!$G$5:$G$180&lt;&gt;"acoes")))*INDEX(Inputs!$K$5:$AJ$180,0,MATCH(U$2,Inputs!$K$4:$AJ$4,0)))+SUMPRODUCT((Inputs!$E$5:$E$180=$B59)*Inputs!$F$5:$F$180*(((Inputs!$G$5:$G$180="moeda")+(Inputs!$G$5:$G$180="acoes"))*Inputs!$B$1+((Inputs!$G$5:$G$180&lt;&gt;"moeda")*(Inputs!$G$5:$G$180&lt;&gt;"acoes")))*INDEX(Inputs!$K$5:$AJ$180,0,MATCH(U$2,Inputs!$K$4:$AJ$4,0)))))</f>
        <v>198.427812</v>
      </c>
      <c r="V59" s="6">
        <f>IF(ISNA(MATCH(V$2,Inputs!$K$4:$AJ$4,0)),NA(),IF(SUMPRODUCT((Inputs!$A$5:$A$180=$B59)*ISNUMBER(INDEX(Inputs!$K$5:$AJ$180,0,MATCH(V$2,Inputs!$K$4:$AJ$4,0))))+SUMPRODUCT((Inputs!$C$5:$C$180=$B59)*ISNUMBER(INDEX(Inputs!$K$5:$AJ$180,0,MATCH(V$2,Inputs!$K$4:$AJ$4,0))))+SUMPRODUCT((Inputs!$E$5:$E$180=$B59)*ISNUMBER(INDEX(Inputs!$K$5:$AJ$180,0,MATCH(V$2,Inputs!$K$4:$AJ$4,0))))=0,NA(),SUMPRODUCT((Inputs!$A$5:$A$180=$B59)*Inputs!$B$5:$B$180*(((Inputs!$G$5:$G$180="moeda")+(Inputs!$G$5:$G$180="acoes"))*Inputs!$B$1+((Inputs!$G$5:$G$180&lt;&gt;"moeda")*(Inputs!$G$5:$G$180&lt;&gt;"acoes")))*INDEX(Inputs!$K$5:$AJ$180,0,MATCH(V$2,Inputs!$K$4:$AJ$4,0)))+SUMPRODUCT((Inputs!$C$5:$C$180=$B59)*Inputs!$D$5:$D$180*(((Inputs!$G$5:$G$180="moeda")+(Inputs!$G$5:$G$180="acoes"))*Inputs!$B$1+((Inputs!$G$5:$G$180&lt;&gt;"moeda")*(Inputs!$G$5:$G$180&lt;&gt;"acoes")))*INDEX(Inputs!$K$5:$AJ$180,0,MATCH(V$2,Inputs!$K$4:$AJ$4,0)))+SUMPRODUCT((Inputs!$E$5:$E$180=$B59)*Inputs!$F$5:$F$180*(((Inputs!$G$5:$G$180="moeda")+(Inputs!$G$5:$G$180="acoes"))*Inputs!$B$1+((Inputs!$G$5:$G$180&lt;&gt;"moeda")*(Inputs!$G$5:$G$180&lt;&gt;"acoes")))*INDEX(Inputs!$K$5:$AJ$180,0,MATCH(V$2,Inputs!$K$4:$AJ$4,0)))))</f>
        <v>174.87353161</v>
      </c>
      <c r="W59" s="3">
        <f>SUM(S59:V59)</f>
        <v>762.714672223</v>
      </c>
      <c r="X59" s="6">
        <f>IF(ISNA(MATCH(X$2,Inputs!$K$4:$AJ$4,0)),NA(),IF(SUMPRODUCT((Inputs!$A$5:$A$180=$B59)*ISNUMBER(INDEX(Inputs!$K$5:$AJ$180,0,MATCH(X$2,Inputs!$K$4:$AJ$4,0))))+SUMPRODUCT((Inputs!$C$5:$C$180=$B59)*ISNUMBER(INDEX(Inputs!$K$5:$AJ$180,0,MATCH(X$2,Inputs!$K$4:$AJ$4,0))))+SUMPRODUCT((Inputs!$E$5:$E$180=$B59)*ISNUMBER(INDEX(Inputs!$K$5:$AJ$180,0,MATCH(X$2,Inputs!$K$4:$AJ$4,0))))=0,NA(),SUMPRODUCT((Inputs!$A$5:$A$180=$B59)*Inputs!$B$5:$B$180*(((Inputs!$G$5:$G$180="moeda")+(Inputs!$G$5:$G$180="acoes"))*Inputs!$B$1+((Inputs!$G$5:$G$180&lt;&gt;"moeda")*(Inputs!$G$5:$G$180&lt;&gt;"acoes")))*INDEX(Inputs!$K$5:$AJ$180,0,MATCH(X$2,Inputs!$K$4:$AJ$4,0)))+SUMPRODUCT((Inputs!$C$5:$C$180=$B59)*Inputs!$D$5:$D$180*(((Inputs!$G$5:$G$180="moeda")+(Inputs!$G$5:$G$180="acoes"))*Inputs!$B$1+((Inputs!$G$5:$G$180&lt;&gt;"moeda")*(Inputs!$G$5:$G$180&lt;&gt;"acoes")))*INDEX(Inputs!$K$5:$AJ$180,0,MATCH(X$2,Inputs!$K$4:$AJ$4,0)))+SUMPRODUCT((Inputs!$E$5:$E$180=$B59)*Inputs!$F$5:$F$180*(((Inputs!$G$5:$G$180="moeda")+(Inputs!$G$5:$G$180="acoes"))*Inputs!$B$1+((Inputs!$G$5:$G$180&lt;&gt;"moeda")*(Inputs!$G$5:$G$180&lt;&gt;"acoes")))*INDEX(Inputs!$K$5:$AJ$180,0,MATCH(X$2,Inputs!$K$4:$AJ$4,0)))))</f>
        <v>222.490154</v>
      </c>
      <c r="Y59" s="6">
        <f>IF(ISNA(MATCH(Y$2,Inputs!$K$4:$AJ$4,0)),NA(),IF(SUMPRODUCT((Inputs!$A$5:$A$180=$B59)*ISNUMBER(INDEX(Inputs!$K$5:$AJ$180,0,MATCH(Y$2,Inputs!$K$4:$AJ$4,0))))+SUMPRODUCT((Inputs!$C$5:$C$180=$B59)*ISNUMBER(INDEX(Inputs!$K$5:$AJ$180,0,MATCH(Y$2,Inputs!$K$4:$AJ$4,0))))+SUMPRODUCT((Inputs!$E$5:$E$180=$B59)*ISNUMBER(INDEX(Inputs!$K$5:$AJ$180,0,MATCH(Y$2,Inputs!$K$4:$AJ$4,0))))=0,NA(),SUMPRODUCT((Inputs!$A$5:$A$180=$B59)*Inputs!$B$5:$B$180*(((Inputs!$G$5:$G$180="moeda")+(Inputs!$G$5:$G$180="acoes"))*Inputs!$B$1+((Inputs!$G$5:$G$180&lt;&gt;"moeda")*(Inputs!$G$5:$G$180&lt;&gt;"acoes")))*INDEX(Inputs!$K$5:$AJ$180,0,MATCH(Y$2,Inputs!$K$4:$AJ$4,0)))+SUMPRODUCT((Inputs!$C$5:$C$180=$B59)*Inputs!$D$5:$D$180*(((Inputs!$G$5:$G$180="moeda")+(Inputs!$G$5:$G$180="acoes"))*Inputs!$B$1+((Inputs!$G$5:$G$180&lt;&gt;"moeda")*(Inputs!$G$5:$G$180&lt;&gt;"acoes")))*INDEX(Inputs!$K$5:$AJ$180,0,MATCH(Y$2,Inputs!$K$4:$AJ$4,0)))+SUMPRODUCT((Inputs!$E$5:$E$180=$B59)*Inputs!$F$5:$F$180*(((Inputs!$G$5:$G$180="moeda")+(Inputs!$G$5:$G$180="acoes"))*Inputs!$B$1+((Inputs!$G$5:$G$180&lt;&gt;"moeda")*(Inputs!$G$5:$G$180&lt;&gt;"acoes")))*INDEX(Inputs!$K$5:$AJ$180,0,MATCH(Y$2,Inputs!$K$4:$AJ$4,0)))))</f>
        <v>174.107667</v>
      </c>
      <c r="Z59" s="6">
        <f>IF(ISNA(MATCH(Z$2,Inputs!$K$4:$AJ$4,0)),NA(),IF(SUMPRODUCT((Inputs!$A$5:$A$180=$B59)*ISNUMBER(INDEX(Inputs!$K$5:$AJ$180,0,MATCH(Z$2,Inputs!$K$4:$AJ$4,0))))+SUMPRODUCT((Inputs!$C$5:$C$180=$B59)*ISNUMBER(INDEX(Inputs!$K$5:$AJ$180,0,MATCH(Z$2,Inputs!$K$4:$AJ$4,0))))+SUMPRODUCT((Inputs!$E$5:$E$180=$B59)*ISNUMBER(INDEX(Inputs!$K$5:$AJ$180,0,MATCH(Z$2,Inputs!$K$4:$AJ$4,0))))=0,NA(),SUMPRODUCT((Inputs!$A$5:$A$180=$B59)*Inputs!$B$5:$B$180*(((Inputs!$G$5:$G$180="moeda")+(Inputs!$G$5:$G$180="acoes"))*Inputs!$B$1+((Inputs!$G$5:$G$180&lt;&gt;"moeda")*(Inputs!$G$5:$G$180&lt;&gt;"acoes")))*INDEX(Inputs!$K$5:$AJ$180,0,MATCH(Z$2,Inputs!$K$4:$AJ$4,0)))+SUMPRODUCT((Inputs!$C$5:$C$180=$B59)*Inputs!$D$5:$D$180*(((Inputs!$G$5:$G$180="moeda")+(Inputs!$G$5:$G$180="acoes"))*Inputs!$B$1+((Inputs!$G$5:$G$180&lt;&gt;"moeda")*(Inputs!$G$5:$G$180&lt;&gt;"acoes")))*INDEX(Inputs!$K$5:$AJ$180,0,MATCH(Z$2,Inputs!$K$4:$AJ$4,0)))+SUMPRODUCT((Inputs!$E$5:$E$180=$B59)*Inputs!$F$5:$F$180*(((Inputs!$G$5:$G$180="moeda")+(Inputs!$G$5:$G$180="acoes"))*Inputs!$B$1+((Inputs!$G$5:$G$180&lt;&gt;"moeda")*(Inputs!$G$5:$G$180&lt;&gt;"acoes")))*INDEX(Inputs!$K$5:$AJ$180,0,MATCH(Z$2,Inputs!$K$4:$AJ$4,0)))))</f>
        <v>204.330322536826</v>
      </c>
      <c r="AA59" s="6">
        <f>IF(ISNA(MATCH(AA$2,Inputs!$K$4:$AJ$4,0)),NA(),IF(SUMPRODUCT((Inputs!$A$5:$A$180=$B59)*ISNUMBER(INDEX(Inputs!$K$5:$AJ$180,0,MATCH(AA$2,Inputs!$K$4:$AJ$4,0))))+SUMPRODUCT((Inputs!$C$5:$C$180=$B59)*ISNUMBER(INDEX(Inputs!$K$5:$AJ$180,0,MATCH(AA$2,Inputs!$K$4:$AJ$4,0))))+SUMPRODUCT((Inputs!$E$5:$E$180=$B59)*ISNUMBER(INDEX(Inputs!$K$5:$AJ$180,0,MATCH(AA$2,Inputs!$K$4:$AJ$4,0))))=0,NA(),SUMPRODUCT((Inputs!$A$5:$A$180=$B59)*Inputs!$B$5:$B$180*(((Inputs!$G$5:$G$180="moeda")+(Inputs!$G$5:$G$180="acoes"))*Inputs!$B$1+((Inputs!$G$5:$G$180&lt;&gt;"moeda")*(Inputs!$G$5:$G$180&lt;&gt;"acoes")))*INDEX(Inputs!$K$5:$AJ$180,0,MATCH(AA$2,Inputs!$K$4:$AJ$4,0)))+SUMPRODUCT((Inputs!$C$5:$C$180=$B59)*Inputs!$D$5:$D$180*(((Inputs!$G$5:$G$180="moeda")+(Inputs!$G$5:$G$180="acoes"))*Inputs!$B$1+((Inputs!$G$5:$G$180&lt;&gt;"moeda")*(Inputs!$G$5:$G$180&lt;&gt;"acoes")))*INDEX(Inputs!$K$5:$AJ$180,0,MATCH(AA$2,Inputs!$K$4:$AJ$4,0)))+SUMPRODUCT((Inputs!$E$5:$E$180=$B59)*Inputs!$F$5:$F$180*(((Inputs!$G$5:$G$180="moeda")+(Inputs!$G$5:$G$180="acoes"))*Inputs!$B$1+((Inputs!$G$5:$G$180&lt;&gt;"moeda")*(Inputs!$G$5:$G$180&lt;&gt;"acoes")))*INDEX(Inputs!$K$5:$AJ$180,0,MATCH(AA$2,Inputs!$K$4:$AJ$4,0)))))</f>
        <v>217.547823</v>
      </c>
      <c r="AB59" s="3">
        <f>SUM(X59:AA59)</f>
        <v>818.475966536826</v>
      </c>
      <c r="AC59" s="6">
        <f>IF(ISNA(MATCH(AC$2,Inputs!$K$4:$AJ$4,0)),NA(),IF(SUMPRODUCT((Inputs!$A$5:$A$180=$B59)*ISNUMBER(INDEX(Inputs!$K$5:$AJ$180,0,MATCH(AC$2,Inputs!$K$4:$AJ$4,0))))+SUMPRODUCT((Inputs!$C$5:$C$180=$B59)*ISNUMBER(INDEX(Inputs!$K$5:$AJ$180,0,MATCH(AC$2,Inputs!$K$4:$AJ$4,0))))+SUMPRODUCT((Inputs!$E$5:$E$180=$B59)*ISNUMBER(INDEX(Inputs!$K$5:$AJ$180,0,MATCH(AC$2,Inputs!$K$4:$AJ$4,0))))=0,NA(),SUMPRODUCT((Inputs!$A$5:$A$180=$B59)*Inputs!$B$5:$B$180*(((Inputs!$G$5:$G$180="moeda")+(Inputs!$G$5:$G$180="acoes"))*Inputs!$B$1+((Inputs!$G$5:$G$180&lt;&gt;"moeda")*(Inputs!$G$5:$G$180&lt;&gt;"acoes")))*INDEX(Inputs!$K$5:$AJ$180,0,MATCH(AC$2,Inputs!$K$4:$AJ$4,0)))+SUMPRODUCT((Inputs!$C$5:$C$180=$B59)*Inputs!$D$5:$D$180*(((Inputs!$G$5:$G$180="moeda")+(Inputs!$G$5:$G$180="acoes"))*Inputs!$B$1+((Inputs!$G$5:$G$180&lt;&gt;"moeda")*(Inputs!$G$5:$G$180&lt;&gt;"acoes")))*INDEX(Inputs!$K$5:$AJ$180,0,MATCH(AC$2,Inputs!$K$4:$AJ$4,0)))+SUMPRODUCT((Inputs!$E$5:$E$180=$B59)*Inputs!$F$5:$F$180*(((Inputs!$G$5:$G$180="moeda")+(Inputs!$G$5:$G$180="acoes"))*Inputs!$B$1+((Inputs!$G$5:$G$180&lt;&gt;"moeda")*(Inputs!$G$5:$G$180&lt;&gt;"acoes")))*INDEX(Inputs!$K$5:$AJ$180,0,MATCH(AC$2,Inputs!$K$4:$AJ$4,0)))))</f>
        <v>194.006040727325</v>
      </c>
      <c r="AD59" s="6">
        <f>IF(ISNA(MATCH(AD$2,Inputs!$K$4:$AJ$4,0)),NA(),IF(SUMPRODUCT((Inputs!$A$5:$A$180=$B59)*ISNUMBER(INDEX(Inputs!$K$5:$AJ$180,0,MATCH(AD$2,Inputs!$K$4:$AJ$4,0))))+SUMPRODUCT((Inputs!$C$5:$C$180=$B59)*ISNUMBER(INDEX(Inputs!$K$5:$AJ$180,0,MATCH(AD$2,Inputs!$K$4:$AJ$4,0))))+SUMPRODUCT((Inputs!$E$5:$E$180=$B59)*ISNUMBER(INDEX(Inputs!$K$5:$AJ$180,0,MATCH(AD$2,Inputs!$K$4:$AJ$4,0))))=0,NA(),SUMPRODUCT((Inputs!$A$5:$A$180=$B59)*Inputs!$B$5:$B$180*(((Inputs!$G$5:$G$180="moeda")+(Inputs!$G$5:$G$180="acoes"))*Inputs!$B$1+((Inputs!$G$5:$G$180&lt;&gt;"moeda")*(Inputs!$G$5:$G$180&lt;&gt;"acoes")))*INDEX(Inputs!$K$5:$AJ$180,0,MATCH(AD$2,Inputs!$K$4:$AJ$4,0)))+SUMPRODUCT((Inputs!$C$5:$C$180=$B59)*Inputs!$D$5:$D$180*(((Inputs!$G$5:$G$180="moeda")+(Inputs!$G$5:$G$180="acoes"))*Inputs!$B$1+((Inputs!$G$5:$G$180&lt;&gt;"moeda")*(Inputs!$G$5:$G$180&lt;&gt;"acoes")))*INDEX(Inputs!$K$5:$AJ$180,0,MATCH(AD$2,Inputs!$K$4:$AJ$4,0)))+SUMPRODUCT((Inputs!$E$5:$E$180=$B59)*Inputs!$F$5:$F$180*(((Inputs!$G$5:$G$180="moeda")+(Inputs!$G$5:$G$180="acoes"))*Inputs!$B$1+((Inputs!$G$5:$G$180&lt;&gt;"moeda")*(Inputs!$G$5:$G$180&lt;&gt;"acoes")))*INDEX(Inputs!$K$5:$AJ$180,0,MATCH(AD$2,Inputs!$K$4:$AJ$4,0)))))</f>
        <v>201.792396</v>
      </c>
      <c r="AE59" s="6" t="e">
        <f>IF(ISNA(MATCH(AE$2,Inputs!$K$4:$AJ$4,0)),NA(),IF(SUMPRODUCT((Inputs!$A$5:$A$180=$B59)*ISNUMBER(INDEX(Inputs!$K$5:$AJ$180,0,MATCH(AE$2,Inputs!$K$4:$AJ$4,0))))+SUMPRODUCT((Inputs!$C$5:$C$180=$B59)*ISNUMBER(INDEX(Inputs!$K$5:$AJ$180,0,MATCH(AE$2,Inputs!$K$4:$AJ$4,0))))+SUMPRODUCT((Inputs!$E$5:$E$180=$B59)*ISNUMBER(INDEX(Inputs!$K$5:$AJ$180,0,MATCH(AE$2,Inputs!$K$4:$AJ$4,0))))=0,NA(),SUMPRODUCT((Inputs!$A$5:$A$180=$B59)*Inputs!$B$5:$B$180*(((Inputs!$G$5:$G$180="moeda")+(Inputs!$G$5:$G$180="acoes"))*Inputs!$B$1+((Inputs!$G$5:$G$180&lt;&gt;"moeda")*(Inputs!$G$5:$G$180&lt;&gt;"acoes")))*INDEX(Inputs!$K$5:$AJ$180,0,MATCH(AE$2,Inputs!$K$4:$AJ$4,0)))+SUMPRODUCT((Inputs!$C$5:$C$180=$B59)*Inputs!$D$5:$D$180*(((Inputs!$G$5:$G$180="moeda")+(Inputs!$G$5:$G$180="acoes"))*Inputs!$B$1+((Inputs!$G$5:$G$180&lt;&gt;"moeda")*(Inputs!$G$5:$G$180&lt;&gt;"acoes")))*INDEX(Inputs!$K$5:$AJ$180,0,MATCH(AE$2,Inputs!$K$4:$AJ$4,0)))+SUMPRODUCT((Inputs!$E$5:$E$180=$B59)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59" s="6" t="e">
        <f>IF(ISNA(MATCH(AF$2,Inputs!$K$4:$AJ$4,0)),NA(),IF(SUMPRODUCT((Inputs!$A$5:$A$180=$B59)*ISNUMBER(INDEX(Inputs!$K$5:$AJ$180,0,MATCH(AF$2,Inputs!$K$4:$AJ$4,0))))+SUMPRODUCT((Inputs!$C$5:$C$180=$B59)*ISNUMBER(INDEX(Inputs!$K$5:$AJ$180,0,MATCH(AF$2,Inputs!$K$4:$AJ$4,0))))+SUMPRODUCT((Inputs!$E$5:$E$180=$B59)*ISNUMBER(INDEX(Inputs!$K$5:$AJ$180,0,MATCH(AF$2,Inputs!$K$4:$AJ$4,0))))=0,NA(),SUMPRODUCT((Inputs!$A$5:$A$180=$B59)*Inputs!$B$5:$B$180*(((Inputs!$G$5:$G$180="moeda")+(Inputs!$G$5:$G$180="acoes"))*Inputs!$B$1+((Inputs!$G$5:$G$180&lt;&gt;"moeda")*(Inputs!$G$5:$G$180&lt;&gt;"acoes")))*INDEX(Inputs!$K$5:$AJ$180,0,MATCH(AF$2,Inputs!$K$4:$AJ$4,0)))+SUMPRODUCT((Inputs!$C$5:$C$180=$B59)*Inputs!$D$5:$D$180*(((Inputs!$G$5:$G$180="moeda")+(Inputs!$G$5:$G$180="acoes"))*Inputs!$B$1+((Inputs!$G$5:$G$180&lt;&gt;"moeda")*(Inputs!$G$5:$G$180&lt;&gt;"acoes")))*INDEX(Inputs!$K$5:$AJ$180,0,MATCH(AF$2,Inputs!$K$4:$AJ$4,0)))+SUMPRODUCT((Inputs!$E$5:$E$180=$B59)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59" s="3" t="e">
        <f>SUM(AC59:AF59)</f>
        <v>#N/A</v>
      </c>
      <c r="AH59" s="6">
        <f>IF(ISNA(MATCH(AH$2,Inputs!$K$4:$AJ$4,0)),NA(),IF(SUMPRODUCT((Inputs!$A$5:$A$180=$B59)*ISNUMBER(INDEX(Inputs!$K$5:$AJ$180,0,MATCH(AH$2,Inputs!$K$4:$AJ$4,0))))+SUMPRODUCT((Inputs!$C$5:$C$180=$B59)*ISNUMBER(INDEX(Inputs!$K$5:$AJ$180,0,MATCH(AH$2,Inputs!$K$4:$AJ$4,0))))+SUMPRODUCT((Inputs!$E$5:$E$180=$B59)*ISNUMBER(INDEX(Inputs!$K$5:$AJ$180,0,MATCH(AH$2,Inputs!$K$4:$AJ$4,0))))=0,NA(),SUMPRODUCT((Inputs!$A$5:$A$180=$B59)*Inputs!$B$5:$B$180*(((Inputs!$G$5:$G$180="moeda")+(Inputs!$G$5:$G$180="acoes"))*Inputs!$B$1+((Inputs!$G$5:$G$180&lt;&gt;"moeda")*(Inputs!$G$5:$G$180&lt;&gt;"acoes")))*INDEX(Inputs!$K$5:$AJ$180,0,MATCH(AH$2,Inputs!$K$4:$AJ$4,0)))+SUMPRODUCT((Inputs!$C$5:$C$180=$B59)*Inputs!$D$5:$D$180*(((Inputs!$G$5:$G$180="moeda")+(Inputs!$G$5:$G$180="acoes"))*Inputs!$B$1+((Inputs!$G$5:$G$180&lt;&gt;"moeda")*(Inputs!$G$5:$G$180&lt;&gt;"acoes")))*INDEX(Inputs!$K$5:$AJ$180,0,MATCH(AH$2,Inputs!$K$4:$AJ$4,0)))+SUMPRODUCT((Inputs!$E$5:$E$180=$B59)*Inputs!$F$5:$F$180*(((Inputs!$G$5:$G$180="moeda")+(Inputs!$G$5:$G$180="acoes"))*Inputs!$B$1+((Inputs!$G$5:$G$180&lt;&gt;"moeda")*(Inputs!$G$5:$G$180&lt;&gt;"acoes")))*INDEX(Inputs!$K$5:$AJ$180,0,MATCH(AH$2,Inputs!$K$4:$AJ$4,0)))))</f>
        <v>5.7181568905464</v>
      </c>
      <c r="AI59" s="6">
        <f>IF(ISNA(MATCH(AI$2,Inputs!$K$4:$AJ$4,0)),NA(),IF(SUMPRODUCT((Inputs!$A$5:$A$180=$B59)*ISNUMBER(INDEX(Inputs!$K$5:$AJ$180,0,MATCH(AI$2,Inputs!$K$4:$AJ$4,0))))+SUMPRODUCT((Inputs!$C$5:$C$180=$B59)*ISNUMBER(INDEX(Inputs!$K$5:$AJ$180,0,MATCH(AI$2,Inputs!$K$4:$AJ$4,0))))+SUMPRODUCT((Inputs!$E$5:$E$180=$B59)*ISNUMBER(INDEX(Inputs!$K$5:$AJ$180,0,MATCH(AI$2,Inputs!$K$4:$AJ$4,0))))=0,NA(),SUMPRODUCT((Inputs!$A$5:$A$180=$B59)*Inputs!$B$5:$B$180*(((Inputs!$G$5:$G$180="moeda")+(Inputs!$G$5:$G$180="acoes"))*Inputs!$B$1+((Inputs!$G$5:$G$180&lt;&gt;"moeda")*(Inputs!$G$5:$G$180&lt;&gt;"acoes")))*INDEX(Inputs!$K$5:$AJ$180,0,MATCH(AI$2,Inputs!$K$4:$AJ$4,0)))+SUMPRODUCT((Inputs!$C$5:$C$180=$B59)*Inputs!$D$5:$D$180*(((Inputs!$G$5:$G$180="moeda")+(Inputs!$G$5:$G$180="acoes"))*Inputs!$B$1+((Inputs!$G$5:$G$180&lt;&gt;"moeda")*(Inputs!$G$5:$G$180&lt;&gt;"acoes")))*INDEX(Inputs!$K$5:$AJ$180,0,MATCH(AI$2,Inputs!$K$4:$AJ$4,0)))+SUMPRODUCT((Inputs!$E$5:$E$180=$B59)*Inputs!$F$5:$F$180*(((Inputs!$G$5:$G$180="moeda")+(Inputs!$G$5:$G$180="acoes"))*Inputs!$B$1+((Inputs!$G$5:$G$180&lt;&gt;"moeda")*(Inputs!$G$5:$G$180&lt;&gt;"acoes")))*INDEX(Inputs!$K$5:$AJ$180,0,MATCH(AI$2,Inputs!$K$4:$AJ$4,0)))))</f>
        <v>7.55082886673788</v>
      </c>
      <c r="AJ59" s="6">
        <f>IF(ISNA(MATCH(AJ$2,Inputs!$K$4:$AJ$4,0)),NA(),IF(SUMPRODUCT((Inputs!$A$5:$A$180=$B59)*ISNUMBER(INDEX(Inputs!$K$5:$AJ$180,0,MATCH(AJ$2,Inputs!$K$4:$AJ$4,0))))+SUMPRODUCT((Inputs!$C$5:$C$180=$B59)*ISNUMBER(INDEX(Inputs!$K$5:$AJ$180,0,MATCH(AJ$2,Inputs!$K$4:$AJ$4,0))))+SUMPRODUCT((Inputs!$E$5:$E$180=$B59)*ISNUMBER(INDEX(Inputs!$K$5:$AJ$180,0,MATCH(AJ$2,Inputs!$K$4:$AJ$4,0))))=0,NA(),SUMPRODUCT((Inputs!$A$5:$A$180=$B59)*Inputs!$B$5:$B$180*(((Inputs!$G$5:$G$180="moeda")+(Inputs!$G$5:$G$180="acoes"))*Inputs!$B$1+((Inputs!$G$5:$G$180&lt;&gt;"moeda")*(Inputs!$G$5:$G$180&lt;&gt;"acoes")))*INDEX(Inputs!$K$5:$AJ$180,0,MATCH(AJ$2,Inputs!$K$4:$AJ$4,0)))+SUMPRODUCT((Inputs!$C$5:$C$180=$B59)*Inputs!$D$5:$D$180*(((Inputs!$G$5:$G$180="moeda")+(Inputs!$G$5:$G$180="acoes"))*Inputs!$B$1+((Inputs!$G$5:$G$180&lt;&gt;"moeda")*(Inputs!$G$5:$G$180&lt;&gt;"acoes")))*INDEX(Inputs!$K$5:$AJ$180,0,MATCH(AJ$2,Inputs!$K$4:$AJ$4,0)))+SUMPRODUCT((Inputs!$E$5:$E$180=$B59)*Inputs!$F$5:$F$180*(((Inputs!$G$5:$G$180="moeda")+(Inputs!$G$5:$G$180="acoes"))*Inputs!$B$1+((Inputs!$G$5:$G$180&lt;&gt;"moeda")*(Inputs!$G$5:$G$180&lt;&gt;"acoes")))*INDEX(Inputs!$K$5:$AJ$180,0,MATCH(AJ$2,Inputs!$K$4:$AJ$4,0)))))</f>
        <v>13.51103897</v>
      </c>
      <c r="AK59" s="6">
        <f>IF(ISNA(MATCH(AK$2,Inputs!$K$4:$AJ$4,0)),NA(),IF(SUMPRODUCT((Inputs!$A$5:$A$180=$B59)*ISNUMBER(INDEX(Inputs!$K$5:$AJ$180,0,MATCH(AK$2,Inputs!$K$4:$AJ$4,0))))+SUMPRODUCT((Inputs!$C$5:$C$180=$B59)*ISNUMBER(INDEX(Inputs!$K$5:$AJ$180,0,MATCH(AK$2,Inputs!$K$4:$AJ$4,0))))+SUMPRODUCT((Inputs!$E$5:$E$180=$B59)*ISNUMBER(INDEX(Inputs!$K$5:$AJ$180,0,MATCH(AK$2,Inputs!$K$4:$AJ$4,0))))=0,NA(),SUMPRODUCT((Inputs!$A$5:$A$180=$B59)*Inputs!$B$5:$B$180*(((Inputs!$G$5:$G$180="moeda")+(Inputs!$G$5:$G$180="acoes"))*Inputs!$B$1+((Inputs!$G$5:$G$180&lt;&gt;"moeda")*(Inputs!$G$5:$G$180&lt;&gt;"acoes")))*INDEX(Inputs!$K$5:$AJ$180,0,MATCH(AK$2,Inputs!$K$4:$AJ$4,0)))+SUMPRODUCT((Inputs!$C$5:$C$180=$B59)*Inputs!$D$5:$D$180*(((Inputs!$G$5:$G$180="moeda")+(Inputs!$G$5:$G$180="acoes"))*Inputs!$B$1+((Inputs!$G$5:$G$180&lt;&gt;"moeda")*(Inputs!$G$5:$G$180&lt;&gt;"acoes")))*INDEX(Inputs!$K$5:$AJ$180,0,MATCH(AK$2,Inputs!$K$4:$AJ$4,0)))+SUMPRODUCT((Inputs!$E$5:$E$180=$B59)*Inputs!$F$5:$F$180*(((Inputs!$G$5:$G$180="moeda")+(Inputs!$G$5:$G$180="acoes"))*Inputs!$B$1+((Inputs!$G$5:$G$180&lt;&gt;"moeda")*(Inputs!$G$5:$G$180&lt;&gt;"acoes")))*INDEX(Inputs!$K$5:$AJ$180,0,MATCH(AK$2,Inputs!$K$4:$AJ$4,0)))))</f>
        <v>13.77126534</v>
      </c>
      <c r="AL59" s="3">
        <f>SUM(AH59:AK59)</f>
        <v>40.5512900672843</v>
      </c>
    </row>
    <row r="60">
      <c r="B60" s="46" t="n">
        <v>52</v>
      </c>
      <c r="C60" s="29" t="inlineStr">
        <is>
          <t>Deducoes da receita</t>
        </is>
      </c>
      <c r="D60" s="6">
        <f>IF(ISNA(MATCH(D$2,Inputs!$K$4:$AJ$4,0)),NA(),IF(SUMPRODUCT((Inputs!$A$5:$A$180=$B60)*ISNUMBER(INDEX(Inputs!$K$5:$AJ$180,0,MATCH(D$2,Inputs!$K$4:$AJ$4,0))))+SUMPRODUCT((Inputs!$C$5:$C$180=$B60)*ISNUMBER(INDEX(Inputs!$K$5:$AJ$180,0,MATCH(D$2,Inputs!$K$4:$AJ$4,0))))+SUMPRODUCT((Inputs!$E$5:$E$180=$B60)*ISNUMBER(INDEX(Inputs!$K$5:$AJ$180,0,MATCH(D$2,Inputs!$K$4:$AJ$4,0))))=0,NA(),SUMPRODUCT((Inputs!$A$5:$A$180=$B60)*Inputs!$B$5:$B$180*(((Inputs!$G$5:$G$180="moeda")+(Inputs!$G$5:$G$180="acoes"))*Inputs!$B$1+((Inputs!$G$5:$G$180&lt;&gt;"moeda")*(Inputs!$G$5:$G$180&lt;&gt;"acoes")))*INDEX(Inputs!$K$5:$AJ$180,0,MATCH(D$2,Inputs!$K$4:$AJ$4,0)))+SUMPRODUCT((Inputs!$C$5:$C$180=$B60)*Inputs!$D$5:$D$180*(((Inputs!$G$5:$G$180="moeda")+(Inputs!$G$5:$G$180="acoes"))*Inputs!$B$1+((Inputs!$G$5:$G$180&lt;&gt;"moeda")*(Inputs!$G$5:$G$180&lt;&gt;"acoes")))*INDEX(Inputs!$K$5:$AJ$180,0,MATCH(D$2,Inputs!$K$4:$AJ$4,0)))+SUMPRODUCT((Inputs!$E$5:$E$180=$B60)*Inputs!$F$5:$F$180*(((Inputs!$G$5:$G$180="moeda")+(Inputs!$G$5:$G$180="acoes"))*Inputs!$B$1+((Inputs!$G$5:$G$180&lt;&gt;"moeda")*(Inputs!$G$5:$G$180&lt;&gt;"acoes")))*INDEX(Inputs!$K$5:$AJ$180,0,MATCH(D$2,Inputs!$K$4:$AJ$4,0)))))</f>
        <v>-70.46114024</v>
      </c>
      <c r="E60" s="6">
        <f>IF(ISNA(MATCH(E$2,Inputs!$K$4:$AJ$4,0)),NA(),IF(SUMPRODUCT((Inputs!$A$5:$A$180=$B60)*ISNUMBER(INDEX(Inputs!$K$5:$AJ$180,0,MATCH(E$2,Inputs!$K$4:$AJ$4,0))))+SUMPRODUCT((Inputs!$C$5:$C$180=$B60)*ISNUMBER(INDEX(Inputs!$K$5:$AJ$180,0,MATCH(E$2,Inputs!$K$4:$AJ$4,0))))+SUMPRODUCT((Inputs!$E$5:$E$180=$B60)*ISNUMBER(INDEX(Inputs!$K$5:$AJ$180,0,MATCH(E$2,Inputs!$K$4:$AJ$4,0))))=0,NA(),SUMPRODUCT((Inputs!$A$5:$A$180=$B60)*Inputs!$B$5:$B$180*(((Inputs!$G$5:$G$180="moeda")+(Inputs!$G$5:$G$180="acoes"))*Inputs!$B$1+((Inputs!$G$5:$G$180&lt;&gt;"moeda")*(Inputs!$G$5:$G$180&lt;&gt;"acoes")))*INDEX(Inputs!$K$5:$AJ$180,0,MATCH(E$2,Inputs!$K$4:$AJ$4,0)))+SUMPRODUCT((Inputs!$C$5:$C$180=$B60)*Inputs!$D$5:$D$180*(((Inputs!$G$5:$G$180="moeda")+(Inputs!$G$5:$G$180="acoes"))*Inputs!$B$1+((Inputs!$G$5:$G$180&lt;&gt;"moeda")*(Inputs!$G$5:$G$180&lt;&gt;"acoes")))*INDEX(Inputs!$K$5:$AJ$180,0,MATCH(E$2,Inputs!$K$4:$AJ$4,0)))+SUMPRODUCT((Inputs!$E$5:$E$180=$B60)*Inputs!$F$5:$F$180*(((Inputs!$G$5:$G$180="moeda")+(Inputs!$G$5:$G$180="acoes"))*Inputs!$B$1+((Inputs!$G$5:$G$180&lt;&gt;"moeda")*(Inputs!$G$5:$G$180&lt;&gt;"acoes")))*INDEX(Inputs!$K$5:$AJ$180,0,MATCH(E$2,Inputs!$K$4:$AJ$4,0)))))</f>
        <v>-73.06623912</v>
      </c>
      <c r="F60" s="6">
        <f>IF(ISNA(MATCH(F$2,Inputs!$K$4:$AJ$4,0)),NA(),IF(SUMPRODUCT((Inputs!$A$5:$A$180=$B60)*ISNUMBER(INDEX(Inputs!$K$5:$AJ$180,0,MATCH(F$2,Inputs!$K$4:$AJ$4,0))))+SUMPRODUCT((Inputs!$C$5:$C$180=$B60)*ISNUMBER(INDEX(Inputs!$K$5:$AJ$180,0,MATCH(F$2,Inputs!$K$4:$AJ$4,0))))+SUMPRODUCT((Inputs!$E$5:$E$180=$B60)*ISNUMBER(INDEX(Inputs!$K$5:$AJ$180,0,MATCH(F$2,Inputs!$K$4:$AJ$4,0))))=0,NA(),SUMPRODUCT((Inputs!$A$5:$A$180=$B60)*Inputs!$B$5:$B$180*(((Inputs!$G$5:$G$180="moeda")+(Inputs!$G$5:$G$180="acoes"))*Inputs!$B$1+((Inputs!$G$5:$G$180&lt;&gt;"moeda")*(Inputs!$G$5:$G$180&lt;&gt;"acoes")))*INDEX(Inputs!$K$5:$AJ$180,0,MATCH(F$2,Inputs!$K$4:$AJ$4,0)))+SUMPRODUCT((Inputs!$C$5:$C$180=$B60)*Inputs!$D$5:$D$180*(((Inputs!$G$5:$G$180="moeda")+(Inputs!$G$5:$G$180="acoes"))*Inputs!$B$1+((Inputs!$G$5:$G$180&lt;&gt;"moeda")*(Inputs!$G$5:$G$180&lt;&gt;"acoes")))*INDEX(Inputs!$K$5:$AJ$180,0,MATCH(F$2,Inputs!$K$4:$AJ$4,0)))+SUMPRODUCT((Inputs!$E$5:$E$180=$B60)*Inputs!$F$5:$F$180*(((Inputs!$G$5:$G$180="moeda")+(Inputs!$G$5:$G$180="acoes"))*Inputs!$B$1+((Inputs!$G$5:$G$180&lt;&gt;"moeda")*(Inputs!$G$5:$G$180&lt;&gt;"acoes")))*INDEX(Inputs!$K$5:$AJ$180,0,MATCH(F$2,Inputs!$K$4:$AJ$4,0)))))</f>
        <v>-78.61996292</v>
      </c>
      <c r="G60" s="6">
        <f>IF(ISNA(MATCH(G$2,Inputs!$K$4:$AJ$4,0)),NA(),IF(SUMPRODUCT((Inputs!$A$5:$A$180=$B60)*ISNUMBER(INDEX(Inputs!$K$5:$AJ$180,0,MATCH(G$2,Inputs!$K$4:$AJ$4,0))))+SUMPRODUCT((Inputs!$C$5:$C$180=$B60)*ISNUMBER(INDEX(Inputs!$K$5:$AJ$180,0,MATCH(G$2,Inputs!$K$4:$AJ$4,0))))+SUMPRODUCT((Inputs!$E$5:$E$180=$B60)*ISNUMBER(INDEX(Inputs!$K$5:$AJ$180,0,MATCH(G$2,Inputs!$K$4:$AJ$4,0))))=0,NA(),SUMPRODUCT((Inputs!$A$5:$A$180=$B60)*Inputs!$B$5:$B$180*(((Inputs!$G$5:$G$180="moeda")+(Inputs!$G$5:$G$180="acoes"))*Inputs!$B$1+((Inputs!$G$5:$G$180&lt;&gt;"moeda")*(Inputs!$G$5:$G$180&lt;&gt;"acoes")))*INDEX(Inputs!$K$5:$AJ$180,0,MATCH(G$2,Inputs!$K$4:$AJ$4,0)))+SUMPRODUCT((Inputs!$C$5:$C$180=$B60)*Inputs!$D$5:$D$180*(((Inputs!$G$5:$G$180="moeda")+(Inputs!$G$5:$G$180="acoes"))*Inputs!$B$1+((Inputs!$G$5:$G$180&lt;&gt;"moeda")*(Inputs!$G$5:$G$180&lt;&gt;"acoes")))*INDEX(Inputs!$K$5:$AJ$180,0,MATCH(G$2,Inputs!$K$4:$AJ$4,0)))+SUMPRODUCT((Inputs!$E$5:$E$180=$B60)*Inputs!$F$5:$F$180*(((Inputs!$G$5:$G$180="moeda")+(Inputs!$G$5:$G$180="acoes"))*Inputs!$B$1+((Inputs!$G$5:$G$180&lt;&gt;"moeda")*(Inputs!$G$5:$G$180&lt;&gt;"acoes")))*INDEX(Inputs!$K$5:$AJ$180,0,MATCH(G$2,Inputs!$K$4:$AJ$4,0)))))</f>
        <v>-77.61433756</v>
      </c>
      <c r="H60" s="3">
        <f>SUM(D60:G60)</f>
        <v>-299.76167984</v>
      </c>
      <c r="I60" s="6">
        <f>IF(ISNA(MATCH(I$2,Inputs!$K$4:$AJ$4,0)),NA(),IF(SUMPRODUCT((Inputs!$A$5:$A$180=$B60)*ISNUMBER(INDEX(Inputs!$K$5:$AJ$180,0,MATCH(I$2,Inputs!$K$4:$AJ$4,0))))+SUMPRODUCT((Inputs!$C$5:$C$180=$B60)*ISNUMBER(INDEX(Inputs!$K$5:$AJ$180,0,MATCH(I$2,Inputs!$K$4:$AJ$4,0))))+SUMPRODUCT((Inputs!$E$5:$E$180=$B60)*ISNUMBER(INDEX(Inputs!$K$5:$AJ$180,0,MATCH(I$2,Inputs!$K$4:$AJ$4,0))))=0,NA(),SUMPRODUCT((Inputs!$A$5:$A$180=$B60)*Inputs!$B$5:$B$180*(((Inputs!$G$5:$G$180="moeda")+(Inputs!$G$5:$G$180="acoes"))*Inputs!$B$1+((Inputs!$G$5:$G$180&lt;&gt;"moeda")*(Inputs!$G$5:$G$180&lt;&gt;"acoes")))*INDEX(Inputs!$K$5:$AJ$180,0,MATCH(I$2,Inputs!$K$4:$AJ$4,0)))+SUMPRODUCT((Inputs!$C$5:$C$180=$B60)*Inputs!$D$5:$D$180*(((Inputs!$G$5:$G$180="moeda")+(Inputs!$G$5:$G$180="acoes"))*Inputs!$B$1+((Inputs!$G$5:$G$180&lt;&gt;"moeda")*(Inputs!$G$5:$G$180&lt;&gt;"acoes")))*INDEX(Inputs!$K$5:$AJ$180,0,MATCH(I$2,Inputs!$K$4:$AJ$4,0)))+SUMPRODUCT((Inputs!$E$5:$E$180=$B60)*Inputs!$F$5:$F$180*(((Inputs!$G$5:$G$180="moeda")+(Inputs!$G$5:$G$180="acoes"))*Inputs!$B$1+((Inputs!$G$5:$G$180&lt;&gt;"moeda")*(Inputs!$G$5:$G$180&lt;&gt;"acoes")))*INDEX(Inputs!$K$5:$AJ$180,0,MATCH(I$2,Inputs!$K$4:$AJ$4,0)))))</f>
        <v>-83.4955361</v>
      </c>
      <c r="J60" s="6">
        <f>IF(ISNA(MATCH(J$2,Inputs!$K$4:$AJ$4,0)),NA(),IF(SUMPRODUCT((Inputs!$A$5:$A$180=$B60)*ISNUMBER(INDEX(Inputs!$K$5:$AJ$180,0,MATCH(J$2,Inputs!$K$4:$AJ$4,0))))+SUMPRODUCT((Inputs!$C$5:$C$180=$B60)*ISNUMBER(INDEX(Inputs!$K$5:$AJ$180,0,MATCH(J$2,Inputs!$K$4:$AJ$4,0))))+SUMPRODUCT((Inputs!$E$5:$E$180=$B60)*ISNUMBER(INDEX(Inputs!$K$5:$AJ$180,0,MATCH(J$2,Inputs!$K$4:$AJ$4,0))))=0,NA(),SUMPRODUCT((Inputs!$A$5:$A$180=$B60)*Inputs!$B$5:$B$180*(((Inputs!$G$5:$G$180="moeda")+(Inputs!$G$5:$G$180="acoes"))*Inputs!$B$1+((Inputs!$G$5:$G$180&lt;&gt;"moeda")*(Inputs!$G$5:$G$180&lt;&gt;"acoes")))*INDEX(Inputs!$K$5:$AJ$180,0,MATCH(J$2,Inputs!$K$4:$AJ$4,0)))+SUMPRODUCT((Inputs!$C$5:$C$180=$B60)*Inputs!$D$5:$D$180*(((Inputs!$G$5:$G$180="moeda")+(Inputs!$G$5:$G$180="acoes"))*Inputs!$B$1+((Inputs!$G$5:$G$180&lt;&gt;"moeda")*(Inputs!$G$5:$G$180&lt;&gt;"acoes")))*INDEX(Inputs!$K$5:$AJ$180,0,MATCH(J$2,Inputs!$K$4:$AJ$4,0)))+SUMPRODUCT((Inputs!$E$5:$E$180=$B60)*Inputs!$F$5:$F$180*(((Inputs!$G$5:$G$180="moeda")+(Inputs!$G$5:$G$180="acoes"))*Inputs!$B$1+((Inputs!$G$5:$G$180&lt;&gt;"moeda")*(Inputs!$G$5:$G$180&lt;&gt;"acoes")))*INDEX(Inputs!$K$5:$AJ$180,0,MATCH(J$2,Inputs!$K$4:$AJ$4,0)))))</f>
        <v>-84.63557609</v>
      </c>
      <c r="K60" s="6">
        <f>IF(ISNA(MATCH(K$2,Inputs!$K$4:$AJ$4,0)),NA(),IF(SUMPRODUCT((Inputs!$A$5:$A$180=$B60)*ISNUMBER(INDEX(Inputs!$K$5:$AJ$180,0,MATCH(K$2,Inputs!$K$4:$AJ$4,0))))+SUMPRODUCT((Inputs!$C$5:$C$180=$B60)*ISNUMBER(INDEX(Inputs!$K$5:$AJ$180,0,MATCH(K$2,Inputs!$K$4:$AJ$4,0))))+SUMPRODUCT((Inputs!$E$5:$E$180=$B60)*ISNUMBER(INDEX(Inputs!$K$5:$AJ$180,0,MATCH(K$2,Inputs!$K$4:$AJ$4,0))))=0,NA(),SUMPRODUCT((Inputs!$A$5:$A$180=$B60)*Inputs!$B$5:$B$180*(((Inputs!$G$5:$G$180="moeda")+(Inputs!$G$5:$G$180="acoes"))*Inputs!$B$1+((Inputs!$G$5:$G$180&lt;&gt;"moeda")*(Inputs!$G$5:$G$180&lt;&gt;"acoes")))*INDEX(Inputs!$K$5:$AJ$180,0,MATCH(K$2,Inputs!$K$4:$AJ$4,0)))+SUMPRODUCT((Inputs!$C$5:$C$180=$B60)*Inputs!$D$5:$D$180*(((Inputs!$G$5:$G$180="moeda")+(Inputs!$G$5:$G$180="acoes"))*Inputs!$B$1+((Inputs!$G$5:$G$180&lt;&gt;"moeda")*(Inputs!$G$5:$G$180&lt;&gt;"acoes")))*INDEX(Inputs!$K$5:$AJ$180,0,MATCH(K$2,Inputs!$K$4:$AJ$4,0)))+SUMPRODUCT((Inputs!$E$5:$E$180=$B60)*Inputs!$F$5:$F$180*(((Inputs!$G$5:$G$180="moeda")+(Inputs!$G$5:$G$180="acoes"))*Inputs!$B$1+((Inputs!$G$5:$G$180&lt;&gt;"moeda")*(Inputs!$G$5:$G$180&lt;&gt;"acoes")))*INDEX(Inputs!$K$5:$AJ$180,0,MATCH(K$2,Inputs!$K$4:$AJ$4,0)))))</f>
        <v>-87.57188678</v>
      </c>
      <c r="L60" s="6">
        <f>IF(ISNA(MATCH(L$2,Inputs!$K$4:$AJ$4,0)),NA(),IF(SUMPRODUCT((Inputs!$A$5:$A$180=$B60)*ISNUMBER(INDEX(Inputs!$K$5:$AJ$180,0,MATCH(L$2,Inputs!$K$4:$AJ$4,0))))+SUMPRODUCT((Inputs!$C$5:$C$180=$B60)*ISNUMBER(INDEX(Inputs!$K$5:$AJ$180,0,MATCH(L$2,Inputs!$K$4:$AJ$4,0))))+SUMPRODUCT((Inputs!$E$5:$E$180=$B60)*ISNUMBER(INDEX(Inputs!$K$5:$AJ$180,0,MATCH(L$2,Inputs!$K$4:$AJ$4,0))))=0,NA(),SUMPRODUCT((Inputs!$A$5:$A$180=$B60)*Inputs!$B$5:$B$180*(((Inputs!$G$5:$G$180="moeda")+(Inputs!$G$5:$G$180="acoes"))*Inputs!$B$1+((Inputs!$G$5:$G$180&lt;&gt;"moeda")*(Inputs!$G$5:$G$180&lt;&gt;"acoes")))*INDEX(Inputs!$K$5:$AJ$180,0,MATCH(L$2,Inputs!$K$4:$AJ$4,0)))+SUMPRODUCT((Inputs!$C$5:$C$180=$B60)*Inputs!$D$5:$D$180*(((Inputs!$G$5:$G$180="moeda")+(Inputs!$G$5:$G$180="acoes"))*Inputs!$B$1+((Inputs!$G$5:$G$180&lt;&gt;"moeda")*(Inputs!$G$5:$G$180&lt;&gt;"acoes")))*INDEX(Inputs!$K$5:$AJ$180,0,MATCH(L$2,Inputs!$K$4:$AJ$4,0)))+SUMPRODUCT((Inputs!$E$5:$E$180=$B60)*Inputs!$F$5:$F$180*(((Inputs!$G$5:$G$180="moeda")+(Inputs!$G$5:$G$180="acoes"))*Inputs!$B$1+((Inputs!$G$5:$G$180&lt;&gt;"moeda")*(Inputs!$G$5:$G$180&lt;&gt;"acoes")))*INDEX(Inputs!$K$5:$AJ$180,0,MATCH(L$2,Inputs!$K$4:$AJ$4,0)))))</f>
        <v>-84.28051397</v>
      </c>
      <c r="M60" s="3">
        <f>SUM(I60:L60)</f>
        <v>-339.98351294</v>
      </c>
      <c r="N60" s="6">
        <f>IF(ISNA(MATCH(N$2,Inputs!$K$4:$AJ$4,0)),NA(),IF(SUMPRODUCT((Inputs!$A$5:$A$180=$B60)*ISNUMBER(INDEX(Inputs!$K$5:$AJ$180,0,MATCH(N$2,Inputs!$K$4:$AJ$4,0))))+SUMPRODUCT((Inputs!$C$5:$C$180=$B60)*ISNUMBER(INDEX(Inputs!$K$5:$AJ$180,0,MATCH(N$2,Inputs!$K$4:$AJ$4,0))))+SUMPRODUCT((Inputs!$E$5:$E$180=$B60)*ISNUMBER(INDEX(Inputs!$K$5:$AJ$180,0,MATCH(N$2,Inputs!$K$4:$AJ$4,0))))=0,NA(),SUMPRODUCT((Inputs!$A$5:$A$180=$B60)*Inputs!$B$5:$B$180*(((Inputs!$G$5:$G$180="moeda")+(Inputs!$G$5:$G$180="acoes"))*Inputs!$B$1+((Inputs!$G$5:$G$180&lt;&gt;"moeda")*(Inputs!$G$5:$G$180&lt;&gt;"acoes")))*INDEX(Inputs!$K$5:$AJ$180,0,MATCH(N$2,Inputs!$K$4:$AJ$4,0)))+SUMPRODUCT((Inputs!$C$5:$C$180=$B60)*Inputs!$D$5:$D$180*(((Inputs!$G$5:$G$180="moeda")+(Inputs!$G$5:$G$180="acoes"))*Inputs!$B$1+((Inputs!$G$5:$G$180&lt;&gt;"moeda")*(Inputs!$G$5:$G$180&lt;&gt;"acoes")))*INDEX(Inputs!$K$5:$AJ$180,0,MATCH(N$2,Inputs!$K$4:$AJ$4,0)))+SUMPRODUCT((Inputs!$E$5:$E$180=$B60)*Inputs!$F$5:$F$180*(((Inputs!$G$5:$G$180="moeda")+(Inputs!$G$5:$G$180="acoes"))*Inputs!$B$1+((Inputs!$G$5:$G$180&lt;&gt;"moeda")*(Inputs!$G$5:$G$180&lt;&gt;"acoes")))*INDEX(Inputs!$K$5:$AJ$180,0,MATCH(N$2,Inputs!$K$4:$AJ$4,0)))))</f>
        <v>-93.58246261</v>
      </c>
      <c r="O60" s="6">
        <f>IF(ISNA(MATCH(O$2,Inputs!$K$4:$AJ$4,0)),NA(),IF(SUMPRODUCT((Inputs!$A$5:$A$180=$B60)*ISNUMBER(INDEX(Inputs!$K$5:$AJ$180,0,MATCH(O$2,Inputs!$K$4:$AJ$4,0))))+SUMPRODUCT((Inputs!$C$5:$C$180=$B60)*ISNUMBER(INDEX(Inputs!$K$5:$AJ$180,0,MATCH(O$2,Inputs!$K$4:$AJ$4,0))))+SUMPRODUCT((Inputs!$E$5:$E$180=$B60)*ISNUMBER(INDEX(Inputs!$K$5:$AJ$180,0,MATCH(O$2,Inputs!$K$4:$AJ$4,0))))=0,NA(),SUMPRODUCT((Inputs!$A$5:$A$180=$B60)*Inputs!$B$5:$B$180*(((Inputs!$G$5:$G$180="moeda")+(Inputs!$G$5:$G$180="acoes"))*Inputs!$B$1+((Inputs!$G$5:$G$180&lt;&gt;"moeda")*(Inputs!$G$5:$G$180&lt;&gt;"acoes")))*INDEX(Inputs!$K$5:$AJ$180,0,MATCH(O$2,Inputs!$K$4:$AJ$4,0)))+SUMPRODUCT((Inputs!$C$5:$C$180=$B60)*Inputs!$D$5:$D$180*(((Inputs!$G$5:$G$180="moeda")+(Inputs!$G$5:$G$180="acoes"))*Inputs!$B$1+((Inputs!$G$5:$G$180&lt;&gt;"moeda")*(Inputs!$G$5:$G$180&lt;&gt;"acoes")))*INDEX(Inputs!$K$5:$AJ$180,0,MATCH(O$2,Inputs!$K$4:$AJ$4,0)))+SUMPRODUCT((Inputs!$E$5:$E$180=$B60)*Inputs!$F$5:$F$180*(((Inputs!$G$5:$G$180="moeda")+(Inputs!$G$5:$G$180="acoes"))*Inputs!$B$1+((Inputs!$G$5:$G$180&lt;&gt;"moeda")*(Inputs!$G$5:$G$180&lt;&gt;"acoes")))*INDEX(Inputs!$K$5:$AJ$180,0,MATCH(O$2,Inputs!$K$4:$AJ$4,0)))))</f>
        <v>-124.984</v>
      </c>
      <c r="P60" s="6">
        <f>IF(ISNA(MATCH(P$2,Inputs!$K$4:$AJ$4,0)),NA(),IF(SUMPRODUCT((Inputs!$A$5:$A$180=$B60)*ISNUMBER(INDEX(Inputs!$K$5:$AJ$180,0,MATCH(P$2,Inputs!$K$4:$AJ$4,0))))+SUMPRODUCT((Inputs!$C$5:$C$180=$B60)*ISNUMBER(INDEX(Inputs!$K$5:$AJ$180,0,MATCH(P$2,Inputs!$K$4:$AJ$4,0))))+SUMPRODUCT((Inputs!$E$5:$E$180=$B60)*ISNUMBER(INDEX(Inputs!$K$5:$AJ$180,0,MATCH(P$2,Inputs!$K$4:$AJ$4,0))))=0,NA(),SUMPRODUCT((Inputs!$A$5:$A$180=$B60)*Inputs!$B$5:$B$180*(((Inputs!$G$5:$G$180="moeda")+(Inputs!$G$5:$G$180="acoes"))*Inputs!$B$1+((Inputs!$G$5:$G$180&lt;&gt;"moeda")*(Inputs!$G$5:$G$180&lt;&gt;"acoes")))*INDEX(Inputs!$K$5:$AJ$180,0,MATCH(P$2,Inputs!$K$4:$AJ$4,0)))+SUMPRODUCT((Inputs!$C$5:$C$180=$B60)*Inputs!$D$5:$D$180*(((Inputs!$G$5:$G$180="moeda")+(Inputs!$G$5:$G$180="acoes"))*Inputs!$B$1+((Inputs!$G$5:$G$180&lt;&gt;"moeda")*(Inputs!$G$5:$G$180&lt;&gt;"acoes")))*INDEX(Inputs!$K$5:$AJ$180,0,MATCH(P$2,Inputs!$K$4:$AJ$4,0)))+SUMPRODUCT((Inputs!$E$5:$E$180=$B60)*Inputs!$F$5:$F$180*(((Inputs!$G$5:$G$180="moeda")+(Inputs!$G$5:$G$180="acoes"))*Inputs!$B$1+((Inputs!$G$5:$G$180&lt;&gt;"moeda")*(Inputs!$G$5:$G$180&lt;&gt;"acoes")))*INDEX(Inputs!$K$5:$AJ$180,0,MATCH(P$2,Inputs!$K$4:$AJ$4,0)))))</f>
        <v>-140.975</v>
      </c>
      <c r="Q60" s="6">
        <f>IF(ISNA(MATCH(Q$2,Inputs!$K$4:$AJ$4,0)),NA(),IF(SUMPRODUCT((Inputs!$A$5:$A$180=$B60)*ISNUMBER(INDEX(Inputs!$K$5:$AJ$180,0,MATCH(Q$2,Inputs!$K$4:$AJ$4,0))))+SUMPRODUCT((Inputs!$C$5:$C$180=$B60)*ISNUMBER(INDEX(Inputs!$K$5:$AJ$180,0,MATCH(Q$2,Inputs!$K$4:$AJ$4,0))))+SUMPRODUCT((Inputs!$E$5:$E$180=$B60)*ISNUMBER(INDEX(Inputs!$K$5:$AJ$180,0,MATCH(Q$2,Inputs!$K$4:$AJ$4,0))))=0,NA(),SUMPRODUCT((Inputs!$A$5:$A$180=$B60)*Inputs!$B$5:$B$180*(((Inputs!$G$5:$G$180="moeda")+(Inputs!$G$5:$G$180="acoes"))*Inputs!$B$1+((Inputs!$G$5:$G$180&lt;&gt;"moeda")*(Inputs!$G$5:$G$180&lt;&gt;"acoes")))*INDEX(Inputs!$K$5:$AJ$180,0,MATCH(Q$2,Inputs!$K$4:$AJ$4,0)))+SUMPRODUCT((Inputs!$C$5:$C$180=$B60)*Inputs!$D$5:$D$180*(((Inputs!$G$5:$G$180="moeda")+(Inputs!$G$5:$G$180="acoes"))*Inputs!$B$1+((Inputs!$G$5:$G$180&lt;&gt;"moeda")*(Inputs!$G$5:$G$180&lt;&gt;"acoes")))*INDEX(Inputs!$K$5:$AJ$180,0,MATCH(Q$2,Inputs!$K$4:$AJ$4,0)))+SUMPRODUCT((Inputs!$E$5:$E$180=$B60)*Inputs!$F$5:$F$180*(((Inputs!$G$5:$G$180="moeda")+(Inputs!$G$5:$G$180="acoes"))*Inputs!$B$1+((Inputs!$G$5:$G$180&lt;&gt;"moeda")*(Inputs!$G$5:$G$180&lt;&gt;"acoes")))*INDEX(Inputs!$K$5:$AJ$180,0,MATCH(Q$2,Inputs!$K$4:$AJ$4,0)))))</f>
        <v>-130.94253739</v>
      </c>
      <c r="R60" s="3">
        <f>SUM(N60:Q60)</f>
        <v>-490.484</v>
      </c>
      <c r="S60" s="6">
        <f>IF(ISNA(MATCH(S$2,Inputs!$K$4:$AJ$4,0)),NA(),IF(SUMPRODUCT((Inputs!$A$5:$A$180=$B60)*ISNUMBER(INDEX(Inputs!$K$5:$AJ$180,0,MATCH(S$2,Inputs!$K$4:$AJ$4,0))))+SUMPRODUCT((Inputs!$C$5:$C$180=$B60)*ISNUMBER(INDEX(Inputs!$K$5:$AJ$180,0,MATCH(S$2,Inputs!$K$4:$AJ$4,0))))+SUMPRODUCT((Inputs!$E$5:$E$180=$B60)*ISNUMBER(INDEX(Inputs!$K$5:$AJ$180,0,MATCH(S$2,Inputs!$K$4:$AJ$4,0))))=0,NA(),SUMPRODUCT((Inputs!$A$5:$A$180=$B60)*Inputs!$B$5:$B$180*(((Inputs!$G$5:$G$180="moeda")+(Inputs!$G$5:$G$180="acoes"))*Inputs!$B$1+((Inputs!$G$5:$G$180&lt;&gt;"moeda")*(Inputs!$G$5:$G$180&lt;&gt;"acoes")))*INDEX(Inputs!$K$5:$AJ$180,0,MATCH(S$2,Inputs!$K$4:$AJ$4,0)))+SUMPRODUCT((Inputs!$C$5:$C$180=$B60)*Inputs!$D$5:$D$180*(((Inputs!$G$5:$G$180="moeda")+(Inputs!$G$5:$G$180="acoes"))*Inputs!$B$1+((Inputs!$G$5:$G$180&lt;&gt;"moeda")*(Inputs!$G$5:$G$180&lt;&gt;"acoes")))*INDEX(Inputs!$K$5:$AJ$180,0,MATCH(S$2,Inputs!$K$4:$AJ$4,0)))+SUMPRODUCT((Inputs!$E$5:$E$180=$B60)*Inputs!$F$5:$F$180*(((Inputs!$G$5:$G$180="moeda")+(Inputs!$G$5:$G$180="acoes"))*Inputs!$B$1+((Inputs!$G$5:$G$180&lt;&gt;"moeda")*(Inputs!$G$5:$G$180&lt;&gt;"acoes")))*INDEX(Inputs!$K$5:$AJ$180,0,MATCH(S$2,Inputs!$K$4:$AJ$4,0)))))</f>
        <v>-151.131</v>
      </c>
      <c r="T60" s="6">
        <f>IF(ISNA(MATCH(T$2,Inputs!$K$4:$AJ$4,0)),NA(),IF(SUMPRODUCT((Inputs!$A$5:$A$180=$B60)*ISNUMBER(INDEX(Inputs!$K$5:$AJ$180,0,MATCH(T$2,Inputs!$K$4:$AJ$4,0))))+SUMPRODUCT((Inputs!$C$5:$C$180=$B60)*ISNUMBER(INDEX(Inputs!$K$5:$AJ$180,0,MATCH(T$2,Inputs!$K$4:$AJ$4,0))))+SUMPRODUCT((Inputs!$E$5:$E$180=$B60)*ISNUMBER(INDEX(Inputs!$K$5:$AJ$180,0,MATCH(T$2,Inputs!$K$4:$AJ$4,0))))=0,NA(),SUMPRODUCT((Inputs!$A$5:$A$180=$B60)*Inputs!$B$5:$B$180*(((Inputs!$G$5:$G$180="moeda")+(Inputs!$G$5:$G$180="acoes"))*Inputs!$B$1+((Inputs!$G$5:$G$180&lt;&gt;"moeda")*(Inputs!$G$5:$G$180&lt;&gt;"acoes")))*INDEX(Inputs!$K$5:$AJ$180,0,MATCH(T$2,Inputs!$K$4:$AJ$4,0)))+SUMPRODUCT((Inputs!$C$5:$C$180=$B60)*Inputs!$D$5:$D$180*(((Inputs!$G$5:$G$180="moeda")+(Inputs!$G$5:$G$180="acoes"))*Inputs!$B$1+((Inputs!$G$5:$G$180&lt;&gt;"moeda")*(Inputs!$G$5:$G$180&lt;&gt;"acoes")))*INDEX(Inputs!$K$5:$AJ$180,0,MATCH(T$2,Inputs!$K$4:$AJ$4,0)))+SUMPRODUCT((Inputs!$E$5:$E$180=$B60)*Inputs!$F$5:$F$180*(((Inputs!$G$5:$G$180="moeda")+(Inputs!$G$5:$G$180="acoes"))*Inputs!$B$1+((Inputs!$G$5:$G$180&lt;&gt;"moeda")*(Inputs!$G$5:$G$180&lt;&gt;"acoes")))*INDEX(Inputs!$K$5:$AJ$180,0,MATCH(T$2,Inputs!$K$4:$AJ$4,0)))))</f>
        <v>-158.7</v>
      </c>
      <c r="U60" s="6">
        <f>IF(ISNA(MATCH(U$2,Inputs!$K$4:$AJ$4,0)),NA(),IF(SUMPRODUCT((Inputs!$A$5:$A$180=$B60)*ISNUMBER(INDEX(Inputs!$K$5:$AJ$180,0,MATCH(U$2,Inputs!$K$4:$AJ$4,0))))+SUMPRODUCT((Inputs!$C$5:$C$180=$B60)*ISNUMBER(INDEX(Inputs!$K$5:$AJ$180,0,MATCH(U$2,Inputs!$K$4:$AJ$4,0))))+SUMPRODUCT((Inputs!$E$5:$E$180=$B60)*ISNUMBER(INDEX(Inputs!$K$5:$AJ$180,0,MATCH(U$2,Inputs!$K$4:$AJ$4,0))))=0,NA(),SUMPRODUCT((Inputs!$A$5:$A$180=$B60)*Inputs!$B$5:$B$180*(((Inputs!$G$5:$G$180="moeda")+(Inputs!$G$5:$G$180="acoes"))*Inputs!$B$1+((Inputs!$G$5:$G$180&lt;&gt;"moeda")*(Inputs!$G$5:$G$180&lt;&gt;"acoes")))*INDEX(Inputs!$K$5:$AJ$180,0,MATCH(U$2,Inputs!$K$4:$AJ$4,0)))+SUMPRODUCT((Inputs!$C$5:$C$180=$B60)*Inputs!$D$5:$D$180*(((Inputs!$G$5:$G$180="moeda")+(Inputs!$G$5:$G$180="acoes"))*Inputs!$B$1+((Inputs!$G$5:$G$180&lt;&gt;"moeda")*(Inputs!$G$5:$G$180&lt;&gt;"acoes")))*INDEX(Inputs!$K$5:$AJ$180,0,MATCH(U$2,Inputs!$K$4:$AJ$4,0)))+SUMPRODUCT((Inputs!$E$5:$E$180=$B60)*Inputs!$F$5:$F$180*(((Inputs!$G$5:$G$180="moeda")+(Inputs!$G$5:$G$180="acoes"))*Inputs!$B$1+((Inputs!$G$5:$G$180&lt;&gt;"moeda")*(Inputs!$G$5:$G$180&lt;&gt;"acoes")))*INDEX(Inputs!$K$5:$AJ$180,0,MATCH(U$2,Inputs!$K$4:$AJ$4,0)))))</f>
        <v>-170.507</v>
      </c>
      <c r="V60" s="6">
        <f>IF(ISNA(MATCH(V$2,Inputs!$K$4:$AJ$4,0)),NA(),IF(SUMPRODUCT((Inputs!$A$5:$A$180=$B60)*ISNUMBER(INDEX(Inputs!$K$5:$AJ$180,0,MATCH(V$2,Inputs!$K$4:$AJ$4,0))))+SUMPRODUCT((Inputs!$C$5:$C$180=$B60)*ISNUMBER(INDEX(Inputs!$K$5:$AJ$180,0,MATCH(V$2,Inputs!$K$4:$AJ$4,0))))+SUMPRODUCT((Inputs!$E$5:$E$180=$B60)*ISNUMBER(INDEX(Inputs!$K$5:$AJ$180,0,MATCH(V$2,Inputs!$K$4:$AJ$4,0))))=0,NA(),SUMPRODUCT((Inputs!$A$5:$A$180=$B60)*Inputs!$B$5:$B$180*(((Inputs!$G$5:$G$180="moeda")+(Inputs!$G$5:$G$180="acoes"))*Inputs!$B$1+((Inputs!$G$5:$G$180&lt;&gt;"moeda")*(Inputs!$G$5:$G$180&lt;&gt;"acoes")))*INDEX(Inputs!$K$5:$AJ$180,0,MATCH(V$2,Inputs!$K$4:$AJ$4,0)))+SUMPRODUCT((Inputs!$C$5:$C$180=$B60)*Inputs!$D$5:$D$180*(((Inputs!$G$5:$G$180="moeda")+(Inputs!$G$5:$G$180="acoes"))*Inputs!$B$1+((Inputs!$G$5:$G$180&lt;&gt;"moeda")*(Inputs!$G$5:$G$180&lt;&gt;"acoes")))*INDEX(Inputs!$K$5:$AJ$180,0,MATCH(V$2,Inputs!$K$4:$AJ$4,0)))+SUMPRODUCT((Inputs!$E$5:$E$180=$B60)*Inputs!$F$5:$F$180*(((Inputs!$G$5:$G$180="moeda")+(Inputs!$G$5:$G$180="acoes"))*Inputs!$B$1+((Inputs!$G$5:$G$180&lt;&gt;"moeda")*(Inputs!$G$5:$G$180&lt;&gt;"acoes")))*INDEX(Inputs!$K$5:$AJ$180,0,MATCH(V$2,Inputs!$K$4:$AJ$4,0)))))</f>
        <v>-154.969</v>
      </c>
      <c r="W60" s="3">
        <f>SUM(S60:V60)</f>
        <v>-635.307</v>
      </c>
      <c r="X60" s="6">
        <f>IF(ISNA(MATCH(X$2,Inputs!$K$4:$AJ$4,0)),NA(),IF(SUMPRODUCT((Inputs!$A$5:$A$180=$B60)*ISNUMBER(INDEX(Inputs!$K$5:$AJ$180,0,MATCH(X$2,Inputs!$K$4:$AJ$4,0))))+SUMPRODUCT((Inputs!$C$5:$C$180=$B60)*ISNUMBER(INDEX(Inputs!$K$5:$AJ$180,0,MATCH(X$2,Inputs!$K$4:$AJ$4,0))))+SUMPRODUCT((Inputs!$E$5:$E$180=$B60)*ISNUMBER(INDEX(Inputs!$K$5:$AJ$180,0,MATCH(X$2,Inputs!$K$4:$AJ$4,0))))=0,NA(),SUMPRODUCT((Inputs!$A$5:$A$180=$B60)*Inputs!$B$5:$B$180*(((Inputs!$G$5:$G$180="moeda")+(Inputs!$G$5:$G$180="acoes"))*Inputs!$B$1+((Inputs!$G$5:$G$180&lt;&gt;"moeda")*(Inputs!$G$5:$G$180&lt;&gt;"acoes")))*INDEX(Inputs!$K$5:$AJ$180,0,MATCH(X$2,Inputs!$K$4:$AJ$4,0)))+SUMPRODUCT((Inputs!$C$5:$C$180=$B60)*Inputs!$D$5:$D$180*(((Inputs!$G$5:$G$180="moeda")+(Inputs!$G$5:$G$180="acoes"))*Inputs!$B$1+((Inputs!$G$5:$G$180&lt;&gt;"moeda")*(Inputs!$G$5:$G$180&lt;&gt;"acoes")))*INDEX(Inputs!$K$5:$AJ$180,0,MATCH(X$2,Inputs!$K$4:$AJ$4,0)))+SUMPRODUCT((Inputs!$E$5:$E$180=$B60)*Inputs!$F$5:$F$180*(((Inputs!$G$5:$G$180="moeda")+(Inputs!$G$5:$G$180="acoes"))*Inputs!$B$1+((Inputs!$G$5:$G$180&lt;&gt;"moeda")*(Inputs!$G$5:$G$180&lt;&gt;"acoes")))*INDEX(Inputs!$K$5:$AJ$180,0,MATCH(X$2,Inputs!$K$4:$AJ$4,0)))))</f>
        <v>-173.367</v>
      </c>
      <c r="Y60" s="6">
        <f>IF(ISNA(MATCH(Y$2,Inputs!$K$4:$AJ$4,0)),NA(),IF(SUMPRODUCT((Inputs!$A$5:$A$180=$B60)*ISNUMBER(INDEX(Inputs!$K$5:$AJ$180,0,MATCH(Y$2,Inputs!$K$4:$AJ$4,0))))+SUMPRODUCT((Inputs!$C$5:$C$180=$B60)*ISNUMBER(INDEX(Inputs!$K$5:$AJ$180,0,MATCH(Y$2,Inputs!$K$4:$AJ$4,0))))+SUMPRODUCT((Inputs!$E$5:$E$180=$B60)*ISNUMBER(INDEX(Inputs!$K$5:$AJ$180,0,MATCH(Y$2,Inputs!$K$4:$AJ$4,0))))=0,NA(),SUMPRODUCT((Inputs!$A$5:$A$180=$B60)*Inputs!$B$5:$B$180*(((Inputs!$G$5:$G$180="moeda")+(Inputs!$G$5:$G$180="acoes"))*Inputs!$B$1+((Inputs!$G$5:$G$180&lt;&gt;"moeda")*(Inputs!$G$5:$G$180&lt;&gt;"acoes")))*INDEX(Inputs!$K$5:$AJ$180,0,MATCH(Y$2,Inputs!$K$4:$AJ$4,0)))+SUMPRODUCT((Inputs!$C$5:$C$180=$B60)*Inputs!$D$5:$D$180*(((Inputs!$G$5:$G$180="moeda")+(Inputs!$G$5:$G$180="acoes"))*Inputs!$B$1+((Inputs!$G$5:$G$180&lt;&gt;"moeda")*(Inputs!$G$5:$G$180&lt;&gt;"acoes")))*INDEX(Inputs!$K$5:$AJ$180,0,MATCH(Y$2,Inputs!$K$4:$AJ$4,0)))+SUMPRODUCT((Inputs!$E$5:$E$180=$B60)*Inputs!$F$5:$F$180*(((Inputs!$G$5:$G$180="moeda")+(Inputs!$G$5:$G$180="acoes"))*Inputs!$B$1+((Inputs!$G$5:$G$180&lt;&gt;"moeda")*(Inputs!$G$5:$G$180&lt;&gt;"acoes")))*INDEX(Inputs!$K$5:$AJ$180,0,MATCH(Y$2,Inputs!$K$4:$AJ$4,0)))))</f>
        <v>-173.269</v>
      </c>
      <c r="Z60" s="6">
        <f>IF(ISNA(MATCH(Z$2,Inputs!$K$4:$AJ$4,0)),NA(),IF(SUMPRODUCT((Inputs!$A$5:$A$180=$B60)*ISNUMBER(INDEX(Inputs!$K$5:$AJ$180,0,MATCH(Z$2,Inputs!$K$4:$AJ$4,0))))+SUMPRODUCT((Inputs!$C$5:$C$180=$B60)*ISNUMBER(INDEX(Inputs!$K$5:$AJ$180,0,MATCH(Z$2,Inputs!$K$4:$AJ$4,0))))+SUMPRODUCT((Inputs!$E$5:$E$180=$B60)*ISNUMBER(INDEX(Inputs!$K$5:$AJ$180,0,MATCH(Z$2,Inputs!$K$4:$AJ$4,0))))=0,NA(),SUMPRODUCT((Inputs!$A$5:$A$180=$B60)*Inputs!$B$5:$B$180*(((Inputs!$G$5:$G$180="moeda")+(Inputs!$G$5:$G$180="acoes"))*Inputs!$B$1+((Inputs!$G$5:$G$180&lt;&gt;"moeda")*(Inputs!$G$5:$G$180&lt;&gt;"acoes")))*INDEX(Inputs!$K$5:$AJ$180,0,MATCH(Z$2,Inputs!$K$4:$AJ$4,0)))+SUMPRODUCT((Inputs!$C$5:$C$180=$B60)*Inputs!$D$5:$D$180*(((Inputs!$G$5:$G$180="moeda")+(Inputs!$G$5:$G$180="acoes"))*Inputs!$B$1+((Inputs!$G$5:$G$180&lt;&gt;"moeda")*(Inputs!$G$5:$G$180&lt;&gt;"acoes")))*INDEX(Inputs!$K$5:$AJ$180,0,MATCH(Z$2,Inputs!$K$4:$AJ$4,0)))+SUMPRODUCT((Inputs!$E$5:$E$180=$B60)*Inputs!$F$5:$F$180*(((Inputs!$G$5:$G$180="moeda")+(Inputs!$G$5:$G$180="acoes"))*Inputs!$B$1+((Inputs!$G$5:$G$180&lt;&gt;"moeda")*(Inputs!$G$5:$G$180&lt;&gt;"acoes")))*INDEX(Inputs!$K$5:$AJ$180,0,MATCH(Z$2,Inputs!$K$4:$AJ$4,0)))))</f>
        <v>-187.64646682</v>
      </c>
      <c r="AA60" s="6">
        <f>IF(ISNA(MATCH(AA$2,Inputs!$K$4:$AJ$4,0)),NA(),IF(SUMPRODUCT((Inputs!$A$5:$A$180=$B60)*ISNUMBER(INDEX(Inputs!$K$5:$AJ$180,0,MATCH(AA$2,Inputs!$K$4:$AJ$4,0))))+SUMPRODUCT((Inputs!$C$5:$C$180=$B60)*ISNUMBER(INDEX(Inputs!$K$5:$AJ$180,0,MATCH(AA$2,Inputs!$K$4:$AJ$4,0))))+SUMPRODUCT((Inputs!$E$5:$E$180=$B60)*ISNUMBER(INDEX(Inputs!$K$5:$AJ$180,0,MATCH(AA$2,Inputs!$K$4:$AJ$4,0))))=0,NA(),SUMPRODUCT((Inputs!$A$5:$A$180=$B60)*Inputs!$B$5:$B$180*(((Inputs!$G$5:$G$180="moeda")+(Inputs!$G$5:$G$180="acoes"))*Inputs!$B$1+((Inputs!$G$5:$G$180&lt;&gt;"moeda")*(Inputs!$G$5:$G$180&lt;&gt;"acoes")))*INDEX(Inputs!$K$5:$AJ$180,0,MATCH(AA$2,Inputs!$K$4:$AJ$4,0)))+SUMPRODUCT((Inputs!$C$5:$C$180=$B60)*Inputs!$D$5:$D$180*(((Inputs!$G$5:$G$180="moeda")+(Inputs!$G$5:$G$180="acoes"))*Inputs!$B$1+((Inputs!$G$5:$G$180&lt;&gt;"moeda")*(Inputs!$G$5:$G$180&lt;&gt;"acoes")))*INDEX(Inputs!$K$5:$AJ$180,0,MATCH(AA$2,Inputs!$K$4:$AJ$4,0)))+SUMPRODUCT((Inputs!$E$5:$E$180=$B60)*Inputs!$F$5:$F$180*(((Inputs!$G$5:$G$180="moeda")+(Inputs!$G$5:$G$180="acoes"))*Inputs!$B$1+((Inputs!$G$5:$G$180&lt;&gt;"moeda")*(Inputs!$G$5:$G$180&lt;&gt;"acoes")))*INDEX(Inputs!$K$5:$AJ$180,0,MATCH(AA$2,Inputs!$K$4:$AJ$4,0)))))</f>
        <v>-177.57069386</v>
      </c>
      <c r="AB60" s="3">
        <f>SUM(X60:AA60)</f>
        <v>-711.85316068</v>
      </c>
      <c r="AC60" s="6">
        <f>IF(ISNA(MATCH(AC$2,Inputs!$K$4:$AJ$4,0)),NA(),IF(SUMPRODUCT((Inputs!$A$5:$A$180=$B60)*ISNUMBER(INDEX(Inputs!$K$5:$AJ$180,0,MATCH(AC$2,Inputs!$K$4:$AJ$4,0))))+SUMPRODUCT((Inputs!$C$5:$C$180=$B60)*ISNUMBER(INDEX(Inputs!$K$5:$AJ$180,0,MATCH(AC$2,Inputs!$K$4:$AJ$4,0))))+SUMPRODUCT((Inputs!$E$5:$E$180=$B60)*ISNUMBER(INDEX(Inputs!$K$5:$AJ$180,0,MATCH(AC$2,Inputs!$K$4:$AJ$4,0))))=0,NA(),SUMPRODUCT((Inputs!$A$5:$A$180=$B60)*Inputs!$B$5:$B$180*(((Inputs!$G$5:$G$180="moeda")+(Inputs!$G$5:$G$180="acoes"))*Inputs!$B$1+((Inputs!$G$5:$G$180&lt;&gt;"moeda")*(Inputs!$G$5:$G$180&lt;&gt;"acoes")))*INDEX(Inputs!$K$5:$AJ$180,0,MATCH(AC$2,Inputs!$K$4:$AJ$4,0)))+SUMPRODUCT((Inputs!$C$5:$C$180=$B60)*Inputs!$D$5:$D$180*(((Inputs!$G$5:$G$180="moeda")+(Inputs!$G$5:$G$180="acoes"))*Inputs!$B$1+((Inputs!$G$5:$G$180&lt;&gt;"moeda")*(Inputs!$G$5:$G$180&lt;&gt;"acoes")))*INDEX(Inputs!$K$5:$AJ$180,0,MATCH(AC$2,Inputs!$K$4:$AJ$4,0)))+SUMPRODUCT((Inputs!$E$5:$E$180=$B60)*Inputs!$F$5:$F$180*(((Inputs!$G$5:$G$180="moeda")+(Inputs!$G$5:$G$180="acoes"))*Inputs!$B$1+((Inputs!$G$5:$G$180&lt;&gt;"moeda")*(Inputs!$G$5:$G$180&lt;&gt;"acoes")))*INDEX(Inputs!$K$5:$AJ$180,0,MATCH(AC$2,Inputs!$K$4:$AJ$4,0)))))</f>
        <v>-187.106397</v>
      </c>
      <c r="AD60" s="6">
        <f>IF(ISNA(MATCH(AD$2,Inputs!$K$4:$AJ$4,0)),NA(),IF(SUMPRODUCT((Inputs!$A$5:$A$180=$B60)*ISNUMBER(INDEX(Inputs!$K$5:$AJ$180,0,MATCH(AD$2,Inputs!$K$4:$AJ$4,0))))+SUMPRODUCT((Inputs!$C$5:$C$180=$B60)*ISNUMBER(INDEX(Inputs!$K$5:$AJ$180,0,MATCH(AD$2,Inputs!$K$4:$AJ$4,0))))+SUMPRODUCT((Inputs!$E$5:$E$180=$B60)*ISNUMBER(INDEX(Inputs!$K$5:$AJ$180,0,MATCH(AD$2,Inputs!$K$4:$AJ$4,0))))=0,NA(),SUMPRODUCT((Inputs!$A$5:$A$180=$B60)*Inputs!$B$5:$B$180*(((Inputs!$G$5:$G$180="moeda")+(Inputs!$G$5:$G$180="acoes"))*Inputs!$B$1+((Inputs!$G$5:$G$180&lt;&gt;"moeda")*(Inputs!$G$5:$G$180&lt;&gt;"acoes")))*INDEX(Inputs!$K$5:$AJ$180,0,MATCH(AD$2,Inputs!$K$4:$AJ$4,0)))+SUMPRODUCT((Inputs!$C$5:$C$180=$B60)*Inputs!$D$5:$D$180*(((Inputs!$G$5:$G$180="moeda")+(Inputs!$G$5:$G$180="acoes"))*Inputs!$B$1+((Inputs!$G$5:$G$180&lt;&gt;"moeda")*(Inputs!$G$5:$G$180&lt;&gt;"acoes")))*INDEX(Inputs!$K$5:$AJ$180,0,MATCH(AD$2,Inputs!$K$4:$AJ$4,0)))+SUMPRODUCT((Inputs!$E$5:$E$180=$B60)*Inputs!$F$5:$F$180*(((Inputs!$G$5:$G$180="moeda")+(Inputs!$G$5:$G$180="acoes"))*Inputs!$B$1+((Inputs!$G$5:$G$180&lt;&gt;"moeda")*(Inputs!$G$5:$G$180&lt;&gt;"acoes")))*INDEX(Inputs!$K$5:$AJ$180,0,MATCH(AD$2,Inputs!$K$4:$AJ$4,0)))))</f>
        <v>-197.924695</v>
      </c>
      <c r="AE60" s="6" t="e">
        <f>IF(ISNA(MATCH(AE$2,Inputs!$K$4:$AJ$4,0)),NA(),IF(SUMPRODUCT((Inputs!$A$5:$A$180=$B60)*ISNUMBER(INDEX(Inputs!$K$5:$AJ$180,0,MATCH(AE$2,Inputs!$K$4:$AJ$4,0))))+SUMPRODUCT((Inputs!$C$5:$C$180=$B60)*ISNUMBER(INDEX(Inputs!$K$5:$AJ$180,0,MATCH(AE$2,Inputs!$K$4:$AJ$4,0))))+SUMPRODUCT((Inputs!$E$5:$E$180=$B60)*ISNUMBER(INDEX(Inputs!$K$5:$AJ$180,0,MATCH(AE$2,Inputs!$K$4:$AJ$4,0))))=0,NA(),SUMPRODUCT((Inputs!$A$5:$A$180=$B60)*Inputs!$B$5:$B$180*(((Inputs!$G$5:$G$180="moeda")+(Inputs!$G$5:$G$180="acoes"))*Inputs!$B$1+((Inputs!$G$5:$G$180&lt;&gt;"moeda")*(Inputs!$G$5:$G$180&lt;&gt;"acoes")))*INDEX(Inputs!$K$5:$AJ$180,0,MATCH(AE$2,Inputs!$K$4:$AJ$4,0)))+SUMPRODUCT((Inputs!$C$5:$C$180=$B60)*Inputs!$D$5:$D$180*(((Inputs!$G$5:$G$180="moeda")+(Inputs!$G$5:$G$180="acoes"))*Inputs!$B$1+((Inputs!$G$5:$G$180&lt;&gt;"moeda")*(Inputs!$G$5:$G$180&lt;&gt;"acoes")))*INDEX(Inputs!$K$5:$AJ$180,0,MATCH(AE$2,Inputs!$K$4:$AJ$4,0)))+SUMPRODUCT((Inputs!$E$5:$E$180=$B60)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0" s="6" t="e">
        <f>IF(ISNA(MATCH(AF$2,Inputs!$K$4:$AJ$4,0)),NA(),IF(SUMPRODUCT((Inputs!$A$5:$A$180=$B60)*ISNUMBER(INDEX(Inputs!$K$5:$AJ$180,0,MATCH(AF$2,Inputs!$K$4:$AJ$4,0))))+SUMPRODUCT((Inputs!$C$5:$C$180=$B60)*ISNUMBER(INDEX(Inputs!$K$5:$AJ$180,0,MATCH(AF$2,Inputs!$K$4:$AJ$4,0))))+SUMPRODUCT((Inputs!$E$5:$E$180=$B60)*ISNUMBER(INDEX(Inputs!$K$5:$AJ$180,0,MATCH(AF$2,Inputs!$K$4:$AJ$4,0))))=0,NA(),SUMPRODUCT((Inputs!$A$5:$A$180=$B60)*Inputs!$B$5:$B$180*(((Inputs!$G$5:$G$180="moeda")+(Inputs!$G$5:$G$180="acoes"))*Inputs!$B$1+((Inputs!$G$5:$G$180&lt;&gt;"moeda")*(Inputs!$G$5:$G$180&lt;&gt;"acoes")))*INDEX(Inputs!$K$5:$AJ$180,0,MATCH(AF$2,Inputs!$K$4:$AJ$4,0)))+SUMPRODUCT((Inputs!$C$5:$C$180=$B60)*Inputs!$D$5:$D$180*(((Inputs!$G$5:$G$180="moeda")+(Inputs!$G$5:$G$180="acoes"))*Inputs!$B$1+((Inputs!$G$5:$G$180&lt;&gt;"moeda")*(Inputs!$G$5:$G$180&lt;&gt;"acoes")))*INDEX(Inputs!$K$5:$AJ$180,0,MATCH(AF$2,Inputs!$K$4:$AJ$4,0)))+SUMPRODUCT((Inputs!$E$5:$E$180=$B60)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0" s="3" t="e">
        <f>SUM(AC60:AF60)</f>
        <v>#N/A</v>
      </c>
      <c r="AH60" s="6">
        <f>IF(ISNA(MATCH(AH$2,Inputs!$K$4:$AJ$4,0)),NA(),IF(SUMPRODUCT((Inputs!$A$5:$A$180=$B60)*ISNUMBER(INDEX(Inputs!$K$5:$AJ$180,0,MATCH(AH$2,Inputs!$K$4:$AJ$4,0))))+SUMPRODUCT((Inputs!$C$5:$C$180=$B60)*ISNUMBER(INDEX(Inputs!$K$5:$AJ$180,0,MATCH(AH$2,Inputs!$K$4:$AJ$4,0))))+SUMPRODUCT((Inputs!$E$5:$E$180=$B60)*ISNUMBER(INDEX(Inputs!$K$5:$AJ$180,0,MATCH(AH$2,Inputs!$K$4:$AJ$4,0))))=0,NA(),SUMPRODUCT((Inputs!$A$5:$A$180=$B60)*Inputs!$B$5:$B$180*(((Inputs!$G$5:$G$180="moeda")+(Inputs!$G$5:$G$180="acoes"))*Inputs!$B$1+((Inputs!$G$5:$G$180&lt;&gt;"moeda")*(Inputs!$G$5:$G$180&lt;&gt;"acoes")))*INDEX(Inputs!$K$5:$AJ$180,0,MATCH(AH$2,Inputs!$K$4:$AJ$4,0)))+SUMPRODUCT((Inputs!$C$5:$C$180=$B60)*Inputs!$D$5:$D$180*(((Inputs!$G$5:$G$180="moeda")+(Inputs!$G$5:$G$180="acoes"))*Inputs!$B$1+((Inputs!$G$5:$G$180&lt;&gt;"moeda")*(Inputs!$G$5:$G$180&lt;&gt;"acoes")))*INDEX(Inputs!$K$5:$AJ$180,0,MATCH(AH$2,Inputs!$K$4:$AJ$4,0)))+SUMPRODUCT((Inputs!$E$5:$E$180=$B60)*Inputs!$F$5:$F$180*(((Inputs!$G$5:$G$180="moeda")+(Inputs!$G$5:$G$180="acoes"))*Inputs!$B$1+((Inputs!$G$5:$G$180&lt;&gt;"moeda")*(Inputs!$G$5:$G$180&lt;&gt;"acoes")))*INDEX(Inputs!$K$5:$AJ$180,0,MATCH(AH$2,Inputs!$K$4:$AJ$4,0)))))</f>
        <v>-56.67248943</v>
      </c>
      <c r="AI60" s="6">
        <f>IF(ISNA(MATCH(AI$2,Inputs!$K$4:$AJ$4,0)),NA(),IF(SUMPRODUCT((Inputs!$A$5:$A$180=$B60)*ISNUMBER(INDEX(Inputs!$K$5:$AJ$180,0,MATCH(AI$2,Inputs!$K$4:$AJ$4,0))))+SUMPRODUCT((Inputs!$C$5:$C$180=$B60)*ISNUMBER(INDEX(Inputs!$K$5:$AJ$180,0,MATCH(AI$2,Inputs!$K$4:$AJ$4,0))))+SUMPRODUCT((Inputs!$E$5:$E$180=$B60)*ISNUMBER(INDEX(Inputs!$K$5:$AJ$180,0,MATCH(AI$2,Inputs!$K$4:$AJ$4,0))))=0,NA(),SUMPRODUCT((Inputs!$A$5:$A$180=$B60)*Inputs!$B$5:$B$180*(((Inputs!$G$5:$G$180="moeda")+(Inputs!$G$5:$G$180="acoes"))*Inputs!$B$1+((Inputs!$G$5:$G$180&lt;&gt;"moeda")*(Inputs!$G$5:$G$180&lt;&gt;"acoes")))*INDEX(Inputs!$K$5:$AJ$180,0,MATCH(AI$2,Inputs!$K$4:$AJ$4,0)))+SUMPRODUCT((Inputs!$C$5:$C$180=$B60)*Inputs!$D$5:$D$180*(((Inputs!$G$5:$G$180="moeda")+(Inputs!$G$5:$G$180="acoes"))*Inputs!$B$1+((Inputs!$G$5:$G$180&lt;&gt;"moeda")*(Inputs!$G$5:$G$180&lt;&gt;"acoes")))*INDEX(Inputs!$K$5:$AJ$180,0,MATCH(AI$2,Inputs!$K$4:$AJ$4,0)))+SUMPRODUCT((Inputs!$E$5:$E$180=$B60)*Inputs!$F$5:$F$180*(((Inputs!$G$5:$G$180="moeda")+(Inputs!$G$5:$G$180="acoes"))*Inputs!$B$1+((Inputs!$G$5:$G$180&lt;&gt;"moeda")*(Inputs!$G$5:$G$180&lt;&gt;"acoes")))*INDEX(Inputs!$K$5:$AJ$180,0,MATCH(AI$2,Inputs!$K$4:$AJ$4,0)))))</f>
        <v>-37.25303616</v>
      </c>
      <c r="AJ60" s="6">
        <f>IF(ISNA(MATCH(AJ$2,Inputs!$K$4:$AJ$4,0)),NA(),IF(SUMPRODUCT((Inputs!$A$5:$A$180=$B60)*ISNUMBER(INDEX(Inputs!$K$5:$AJ$180,0,MATCH(AJ$2,Inputs!$K$4:$AJ$4,0))))+SUMPRODUCT((Inputs!$C$5:$C$180=$B60)*ISNUMBER(INDEX(Inputs!$K$5:$AJ$180,0,MATCH(AJ$2,Inputs!$K$4:$AJ$4,0))))+SUMPRODUCT((Inputs!$E$5:$E$180=$B60)*ISNUMBER(INDEX(Inputs!$K$5:$AJ$180,0,MATCH(AJ$2,Inputs!$K$4:$AJ$4,0))))=0,NA(),SUMPRODUCT((Inputs!$A$5:$A$180=$B60)*Inputs!$B$5:$B$180*(((Inputs!$G$5:$G$180="moeda")+(Inputs!$G$5:$G$180="acoes"))*Inputs!$B$1+((Inputs!$G$5:$G$180&lt;&gt;"moeda")*(Inputs!$G$5:$G$180&lt;&gt;"acoes")))*INDEX(Inputs!$K$5:$AJ$180,0,MATCH(AJ$2,Inputs!$K$4:$AJ$4,0)))+SUMPRODUCT((Inputs!$C$5:$C$180=$B60)*Inputs!$D$5:$D$180*(((Inputs!$G$5:$G$180="moeda")+(Inputs!$G$5:$G$180="acoes"))*Inputs!$B$1+((Inputs!$G$5:$G$180&lt;&gt;"moeda")*(Inputs!$G$5:$G$180&lt;&gt;"acoes")))*INDEX(Inputs!$K$5:$AJ$180,0,MATCH(AJ$2,Inputs!$K$4:$AJ$4,0)))+SUMPRODUCT((Inputs!$E$5:$E$180=$B60)*Inputs!$F$5:$F$180*(((Inputs!$G$5:$G$180="moeda")+(Inputs!$G$5:$G$180="acoes"))*Inputs!$B$1+((Inputs!$G$5:$G$180&lt;&gt;"moeda")*(Inputs!$G$5:$G$180&lt;&gt;"acoes")))*INDEX(Inputs!$K$5:$AJ$180,0,MATCH(AJ$2,Inputs!$K$4:$AJ$4,0)))))</f>
        <v>-69.26220633</v>
      </c>
      <c r="AK60" s="6">
        <f>IF(ISNA(MATCH(AK$2,Inputs!$K$4:$AJ$4,0)),NA(),IF(SUMPRODUCT((Inputs!$A$5:$A$180=$B60)*ISNUMBER(INDEX(Inputs!$K$5:$AJ$180,0,MATCH(AK$2,Inputs!$K$4:$AJ$4,0))))+SUMPRODUCT((Inputs!$C$5:$C$180=$B60)*ISNUMBER(INDEX(Inputs!$K$5:$AJ$180,0,MATCH(AK$2,Inputs!$K$4:$AJ$4,0))))+SUMPRODUCT((Inputs!$E$5:$E$180=$B60)*ISNUMBER(INDEX(Inputs!$K$5:$AJ$180,0,MATCH(AK$2,Inputs!$K$4:$AJ$4,0))))=0,NA(),SUMPRODUCT((Inputs!$A$5:$A$180=$B60)*Inputs!$B$5:$B$180*(((Inputs!$G$5:$G$180="moeda")+(Inputs!$G$5:$G$180="acoes"))*Inputs!$B$1+((Inputs!$G$5:$G$180&lt;&gt;"moeda")*(Inputs!$G$5:$G$180&lt;&gt;"acoes")))*INDEX(Inputs!$K$5:$AJ$180,0,MATCH(AK$2,Inputs!$K$4:$AJ$4,0)))+SUMPRODUCT((Inputs!$C$5:$C$180=$B60)*Inputs!$D$5:$D$180*(((Inputs!$G$5:$G$180="moeda")+(Inputs!$G$5:$G$180="acoes"))*Inputs!$B$1+((Inputs!$G$5:$G$180&lt;&gt;"moeda")*(Inputs!$G$5:$G$180&lt;&gt;"acoes")))*INDEX(Inputs!$K$5:$AJ$180,0,MATCH(AK$2,Inputs!$K$4:$AJ$4,0)))+SUMPRODUCT((Inputs!$E$5:$E$180=$B60)*Inputs!$F$5:$F$180*(((Inputs!$G$5:$G$180="moeda")+(Inputs!$G$5:$G$180="acoes"))*Inputs!$B$1+((Inputs!$G$5:$G$180&lt;&gt;"moeda")*(Inputs!$G$5:$G$180&lt;&gt;"acoes")))*INDEX(Inputs!$K$5:$AJ$180,0,MATCH(AK$2,Inputs!$K$4:$AJ$4,0)))))</f>
        <v>-72.38792959</v>
      </c>
      <c r="AL60" s="3">
        <f>SUM(AH60:AK60)</f>
        <v>-235.57566151</v>
      </c>
    </row>
    <row r="61">
      <c r="B61" s="46" t="n">
        <v>53</v>
      </c>
      <c r="C61" s="29" t="inlineStr">
        <is>
          <t>Exames PSC (mil)</t>
        </is>
      </c>
      <c r="D61" s="6">
        <f>IF(ISNA(MATCH(D$2,Inputs!$K$4:$AJ$4,0)),NA(),IF(SUMPRODUCT((Inputs!$A$5:$A$180=$B61)*ISNUMBER(INDEX(Inputs!$K$5:$AJ$180,0,MATCH(D$2,Inputs!$K$4:$AJ$4,0))))+SUMPRODUCT((Inputs!$C$5:$C$180=$B61)*ISNUMBER(INDEX(Inputs!$K$5:$AJ$180,0,MATCH(D$2,Inputs!$K$4:$AJ$4,0))))+SUMPRODUCT((Inputs!$E$5:$E$180=$B61)*ISNUMBER(INDEX(Inputs!$K$5:$AJ$180,0,MATCH(D$2,Inputs!$K$4:$AJ$4,0))))=0,NA(),SUMPRODUCT((Inputs!$A$5:$A$180=$B61)*Inputs!$B$5:$B$180*(((Inputs!$G$5:$G$180="moeda")+(Inputs!$G$5:$G$180="acoes"))*Inputs!$B$1+((Inputs!$G$5:$G$180&lt;&gt;"moeda")*(Inputs!$G$5:$G$180&lt;&gt;"acoes")))*INDEX(Inputs!$K$5:$AJ$180,0,MATCH(D$2,Inputs!$K$4:$AJ$4,0)))+SUMPRODUCT((Inputs!$C$5:$C$180=$B61)*Inputs!$D$5:$D$180*(((Inputs!$G$5:$G$180="moeda")+(Inputs!$G$5:$G$180="acoes"))*Inputs!$B$1+((Inputs!$G$5:$G$180&lt;&gt;"moeda")*(Inputs!$G$5:$G$180&lt;&gt;"acoes")))*INDEX(Inputs!$K$5:$AJ$180,0,MATCH(D$2,Inputs!$K$4:$AJ$4,0)))+SUMPRODUCT((Inputs!$E$5:$E$180=$B61)*Inputs!$F$5:$F$180*(((Inputs!$G$5:$G$180="moeda")+(Inputs!$G$5:$G$180="acoes"))*Inputs!$B$1+((Inputs!$G$5:$G$180&lt;&gt;"moeda")*(Inputs!$G$5:$G$180&lt;&gt;"acoes")))*INDEX(Inputs!$K$5:$AJ$180,0,MATCH(D$2,Inputs!$K$4:$AJ$4,0)))))</f>
        <v>14679.154</v>
      </c>
      <c r="E61" s="6">
        <f>IF(ISNA(MATCH(E$2,Inputs!$K$4:$AJ$4,0)),NA(),IF(SUMPRODUCT((Inputs!$A$5:$A$180=$B61)*ISNUMBER(INDEX(Inputs!$K$5:$AJ$180,0,MATCH(E$2,Inputs!$K$4:$AJ$4,0))))+SUMPRODUCT((Inputs!$C$5:$C$180=$B61)*ISNUMBER(INDEX(Inputs!$K$5:$AJ$180,0,MATCH(E$2,Inputs!$K$4:$AJ$4,0))))+SUMPRODUCT((Inputs!$E$5:$E$180=$B61)*ISNUMBER(INDEX(Inputs!$K$5:$AJ$180,0,MATCH(E$2,Inputs!$K$4:$AJ$4,0))))=0,NA(),SUMPRODUCT((Inputs!$A$5:$A$180=$B61)*Inputs!$B$5:$B$180*(((Inputs!$G$5:$G$180="moeda")+(Inputs!$G$5:$G$180="acoes"))*Inputs!$B$1+((Inputs!$G$5:$G$180&lt;&gt;"moeda")*(Inputs!$G$5:$G$180&lt;&gt;"acoes")))*INDEX(Inputs!$K$5:$AJ$180,0,MATCH(E$2,Inputs!$K$4:$AJ$4,0)))+SUMPRODUCT((Inputs!$C$5:$C$180=$B61)*Inputs!$D$5:$D$180*(((Inputs!$G$5:$G$180="moeda")+(Inputs!$G$5:$G$180="acoes"))*Inputs!$B$1+((Inputs!$G$5:$G$180&lt;&gt;"moeda")*(Inputs!$G$5:$G$180&lt;&gt;"acoes")))*INDEX(Inputs!$K$5:$AJ$180,0,MATCH(E$2,Inputs!$K$4:$AJ$4,0)))+SUMPRODUCT((Inputs!$E$5:$E$180=$B61)*Inputs!$F$5:$F$180*(((Inputs!$G$5:$G$180="moeda")+(Inputs!$G$5:$G$180="acoes"))*Inputs!$B$1+((Inputs!$G$5:$G$180&lt;&gt;"moeda")*(Inputs!$G$5:$G$180&lt;&gt;"acoes")))*INDEX(Inputs!$K$5:$AJ$180,0,MATCH(E$2,Inputs!$K$4:$AJ$4,0)))))</f>
        <v>15004.562</v>
      </c>
      <c r="F61" s="6">
        <f>IF(ISNA(MATCH(F$2,Inputs!$K$4:$AJ$4,0)),NA(),IF(SUMPRODUCT((Inputs!$A$5:$A$180=$B61)*ISNUMBER(INDEX(Inputs!$K$5:$AJ$180,0,MATCH(F$2,Inputs!$K$4:$AJ$4,0))))+SUMPRODUCT((Inputs!$C$5:$C$180=$B61)*ISNUMBER(INDEX(Inputs!$K$5:$AJ$180,0,MATCH(F$2,Inputs!$K$4:$AJ$4,0))))+SUMPRODUCT((Inputs!$E$5:$E$180=$B61)*ISNUMBER(INDEX(Inputs!$K$5:$AJ$180,0,MATCH(F$2,Inputs!$K$4:$AJ$4,0))))=0,NA(),SUMPRODUCT((Inputs!$A$5:$A$180=$B61)*Inputs!$B$5:$B$180*(((Inputs!$G$5:$G$180="moeda")+(Inputs!$G$5:$G$180="acoes"))*Inputs!$B$1+((Inputs!$G$5:$G$180&lt;&gt;"moeda")*(Inputs!$G$5:$G$180&lt;&gt;"acoes")))*INDEX(Inputs!$K$5:$AJ$180,0,MATCH(F$2,Inputs!$K$4:$AJ$4,0)))+SUMPRODUCT((Inputs!$C$5:$C$180=$B61)*Inputs!$D$5:$D$180*(((Inputs!$G$5:$G$180="moeda")+(Inputs!$G$5:$G$180="acoes"))*Inputs!$B$1+((Inputs!$G$5:$G$180&lt;&gt;"moeda")*(Inputs!$G$5:$G$180&lt;&gt;"acoes")))*INDEX(Inputs!$K$5:$AJ$180,0,MATCH(F$2,Inputs!$K$4:$AJ$4,0)))+SUMPRODUCT((Inputs!$E$5:$E$180=$B61)*Inputs!$F$5:$F$180*(((Inputs!$G$5:$G$180="moeda")+(Inputs!$G$5:$G$180="acoes"))*Inputs!$B$1+((Inputs!$G$5:$G$180&lt;&gt;"moeda")*(Inputs!$G$5:$G$180&lt;&gt;"acoes")))*INDEX(Inputs!$K$5:$AJ$180,0,MATCH(F$2,Inputs!$K$4:$AJ$4,0)))))</f>
        <v>15768.101</v>
      </c>
      <c r="G61" s="6">
        <f>IF(ISNA(MATCH(G$2,Inputs!$K$4:$AJ$4,0)),NA(),IF(SUMPRODUCT((Inputs!$A$5:$A$180=$B61)*ISNUMBER(INDEX(Inputs!$K$5:$AJ$180,0,MATCH(G$2,Inputs!$K$4:$AJ$4,0))))+SUMPRODUCT((Inputs!$C$5:$C$180=$B61)*ISNUMBER(INDEX(Inputs!$K$5:$AJ$180,0,MATCH(G$2,Inputs!$K$4:$AJ$4,0))))+SUMPRODUCT((Inputs!$E$5:$E$180=$B61)*ISNUMBER(INDEX(Inputs!$K$5:$AJ$180,0,MATCH(G$2,Inputs!$K$4:$AJ$4,0))))=0,NA(),SUMPRODUCT((Inputs!$A$5:$A$180=$B61)*Inputs!$B$5:$B$180*(((Inputs!$G$5:$G$180="moeda")+(Inputs!$G$5:$G$180="acoes"))*Inputs!$B$1+((Inputs!$G$5:$G$180&lt;&gt;"moeda")*(Inputs!$G$5:$G$180&lt;&gt;"acoes")))*INDEX(Inputs!$K$5:$AJ$180,0,MATCH(G$2,Inputs!$K$4:$AJ$4,0)))+SUMPRODUCT((Inputs!$C$5:$C$180=$B61)*Inputs!$D$5:$D$180*(((Inputs!$G$5:$G$180="moeda")+(Inputs!$G$5:$G$180="acoes"))*Inputs!$B$1+((Inputs!$G$5:$G$180&lt;&gt;"moeda")*(Inputs!$G$5:$G$180&lt;&gt;"acoes")))*INDEX(Inputs!$K$5:$AJ$180,0,MATCH(G$2,Inputs!$K$4:$AJ$4,0)))+SUMPRODUCT((Inputs!$E$5:$E$180=$B61)*Inputs!$F$5:$F$180*(((Inputs!$G$5:$G$180="moeda")+(Inputs!$G$5:$G$180="acoes"))*Inputs!$B$1+((Inputs!$G$5:$G$180&lt;&gt;"moeda")*(Inputs!$G$5:$G$180&lt;&gt;"acoes")))*INDEX(Inputs!$K$5:$AJ$180,0,MATCH(G$2,Inputs!$K$4:$AJ$4,0)))))</f>
        <v>16663.758</v>
      </c>
      <c r="H61" s="3">
        <f>SUM(D61:G61)</f>
        <v>62115.575</v>
      </c>
      <c r="I61" s="6">
        <f>IF(ISNA(MATCH(I$2,Inputs!$K$4:$AJ$4,0)),NA(),IF(SUMPRODUCT((Inputs!$A$5:$A$180=$B61)*ISNUMBER(INDEX(Inputs!$K$5:$AJ$180,0,MATCH(I$2,Inputs!$K$4:$AJ$4,0))))+SUMPRODUCT((Inputs!$C$5:$C$180=$B61)*ISNUMBER(INDEX(Inputs!$K$5:$AJ$180,0,MATCH(I$2,Inputs!$K$4:$AJ$4,0))))+SUMPRODUCT((Inputs!$E$5:$E$180=$B61)*ISNUMBER(INDEX(Inputs!$K$5:$AJ$180,0,MATCH(I$2,Inputs!$K$4:$AJ$4,0))))=0,NA(),SUMPRODUCT((Inputs!$A$5:$A$180=$B61)*Inputs!$B$5:$B$180*(((Inputs!$G$5:$G$180="moeda")+(Inputs!$G$5:$G$180="acoes"))*Inputs!$B$1+((Inputs!$G$5:$G$180&lt;&gt;"moeda")*(Inputs!$G$5:$G$180&lt;&gt;"acoes")))*INDEX(Inputs!$K$5:$AJ$180,0,MATCH(I$2,Inputs!$K$4:$AJ$4,0)))+SUMPRODUCT((Inputs!$C$5:$C$180=$B61)*Inputs!$D$5:$D$180*(((Inputs!$G$5:$G$180="moeda")+(Inputs!$G$5:$G$180="acoes"))*Inputs!$B$1+((Inputs!$G$5:$G$180&lt;&gt;"moeda")*(Inputs!$G$5:$G$180&lt;&gt;"acoes")))*INDEX(Inputs!$K$5:$AJ$180,0,MATCH(I$2,Inputs!$K$4:$AJ$4,0)))+SUMPRODUCT((Inputs!$E$5:$E$180=$B61)*Inputs!$F$5:$F$180*(((Inputs!$G$5:$G$180="moeda")+(Inputs!$G$5:$G$180="acoes"))*Inputs!$B$1+((Inputs!$G$5:$G$180&lt;&gt;"moeda")*(Inputs!$G$5:$G$180&lt;&gt;"acoes")))*INDEX(Inputs!$K$5:$AJ$180,0,MATCH(I$2,Inputs!$K$4:$AJ$4,0)))))</f>
        <v>18443.28</v>
      </c>
      <c r="J61" s="6">
        <f>IF(ISNA(MATCH(J$2,Inputs!$K$4:$AJ$4,0)),NA(),IF(SUMPRODUCT((Inputs!$A$5:$A$180=$B61)*ISNUMBER(INDEX(Inputs!$K$5:$AJ$180,0,MATCH(J$2,Inputs!$K$4:$AJ$4,0))))+SUMPRODUCT((Inputs!$C$5:$C$180=$B61)*ISNUMBER(INDEX(Inputs!$K$5:$AJ$180,0,MATCH(J$2,Inputs!$K$4:$AJ$4,0))))+SUMPRODUCT((Inputs!$E$5:$E$180=$B61)*ISNUMBER(INDEX(Inputs!$K$5:$AJ$180,0,MATCH(J$2,Inputs!$K$4:$AJ$4,0))))=0,NA(),SUMPRODUCT((Inputs!$A$5:$A$180=$B61)*Inputs!$B$5:$B$180*(((Inputs!$G$5:$G$180="moeda")+(Inputs!$G$5:$G$180="acoes"))*Inputs!$B$1+((Inputs!$G$5:$G$180&lt;&gt;"moeda")*(Inputs!$G$5:$G$180&lt;&gt;"acoes")))*INDEX(Inputs!$K$5:$AJ$180,0,MATCH(J$2,Inputs!$K$4:$AJ$4,0)))+SUMPRODUCT((Inputs!$C$5:$C$180=$B61)*Inputs!$D$5:$D$180*(((Inputs!$G$5:$G$180="moeda")+(Inputs!$G$5:$G$180="acoes"))*Inputs!$B$1+((Inputs!$G$5:$G$180&lt;&gt;"moeda")*(Inputs!$G$5:$G$180&lt;&gt;"acoes")))*INDEX(Inputs!$K$5:$AJ$180,0,MATCH(J$2,Inputs!$K$4:$AJ$4,0)))+SUMPRODUCT((Inputs!$E$5:$E$180=$B61)*Inputs!$F$5:$F$180*(((Inputs!$G$5:$G$180="moeda")+(Inputs!$G$5:$G$180="acoes"))*Inputs!$B$1+((Inputs!$G$5:$G$180&lt;&gt;"moeda")*(Inputs!$G$5:$G$180&lt;&gt;"acoes")))*INDEX(Inputs!$K$5:$AJ$180,0,MATCH(J$2,Inputs!$K$4:$AJ$4,0)))))</f>
        <v>19516.8069996043</v>
      </c>
      <c r="K61" s="6">
        <f>IF(ISNA(MATCH(K$2,Inputs!$K$4:$AJ$4,0)),NA(),IF(SUMPRODUCT((Inputs!$A$5:$A$180=$B61)*ISNUMBER(INDEX(Inputs!$K$5:$AJ$180,0,MATCH(K$2,Inputs!$K$4:$AJ$4,0))))+SUMPRODUCT((Inputs!$C$5:$C$180=$B61)*ISNUMBER(INDEX(Inputs!$K$5:$AJ$180,0,MATCH(K$2,Inputs!$K$4:$AJ$4,0))))+SUMPRODUCT((Inputs!$E$5:$E$180=$B61)*ISNUMBER(INDEX(Inputs!$K$5:$AJ$180,0,MATCH(K$2,Inputs!$K$4:$AJ$4,0))))=0,NA(),SUMPRODUCT((Inputs!$A$5:$A$180=$B61)*Inputs!$B$5:$B$180*(((Inputs!$G$5:$G$180="moeda")+(Inputs!$G$5:$G$180="acoes"))*Inputs!$B$1+((Inputs!$G$5:$G$180&lt;&gt;"moeda")*(Inputs!$G$5:$G$180&lt;&gt;"acoes")))*INDEX(Inputs!$K$5:$AJ$180,0,MATCH(K$2,Inputs!$K$4:$AJ$4,0)))+SUMPRODUCT((Inputs!$C$5:$C$180=$B61)*Inputs!$D$5:$D$180*(((Inputs!$G$5:$G$180="moeda")+(Inputs!$G$5:$G$180="acoes"))*Inputs!$B$1+((Inputs!$G$5:$G$180&lt;&gt;"moeda")*(Inputs!$G$5:$G$180&lt;&gt;"acoes")))*INDEX(Inputs!$K$5:$AJ$180,0,MATCH(K$2,Inputs!$K$4:$AJ$4,0)))+SUMPRODUCT((Inputs!$E$5:$E$180=$B61)*Inputs!$F$5:$F$180*(((Inputs!$G$5:$G$180="moeda")+(Inputs!$G$5:$G$180="acoes"))*Inputs!$B$1+((Inputs!$G$5:$G$180&lt;&gt;"moeda")*(Inputs!$G$5:$G$180&lt;&gt;"acoes")))*INDEX(Inputs!$K$5:$AJ$180,0,MATCH(K$2,Inputs!$K$4:$AJ$4,0)))))</f>
        <v>20759.489</v>
      </c>
      <c r="L61" s="6">
        <f>IF(ISNA(MATCH(L$2,Inputs!$K$4:$AJ$4,0)),NA(),IF(SUMPRODUCT((Inputs!$A$5:$A$180=$B61)*ISNUMBER(INDEX(Inputs!$K$5:$AJ$180,0,MATCH(L$2,Inputs!$K$4:$AJ$4,0))))+SUMPRODUCT((Inputs!$C$5:$C$180=$B61)*ISNUMBER(INDEX(Inputs!$K$5:$AJ$180,0,MATCH(L$2,Inputs!$K$4:$AJ$4,0))))+SUMPRODUCT((Inputs!$E$5:$E$180=$B61)*ISNUMBER(INDEX(Inputs!$K$5:$AJ$180,0,MATCH(L$2,Inputs!$K$4:$AJ$4,0))))=0,NA(),SUMPRODUCT((Inputs!$A$5:$A$180=$B61)*Inputs!$B$5:$B$180*(((Inputs!$G$5:$G$180="moeda")+(Inputs!$G$5:$G$180="acoes"))*Inputs!$B$1+((Inputs!$G$5:$G$180&lt;&gt;"moeda")*(Inputs!$G$5:$G$180&lt;&gt;"acoes")))*INDEX(Inputs!$K$5:$AJ$180,0,MATCH(L$2,Inputs!$K$4:$AJ$4,0)))+SUMPRODUCT((Inputs!$C$5:$C$180=$B61)*Inputs!$D$5:$D$180*(((Inputs!$G$5:$G$180="moeda")+(Inputs!$G$5:$G$180="acoes"))*Inputs!$B$1+((Inputs!$G$5:$G$180&lt;&gt;"moeda")*(Inputs!$G$5:$G$180&lt;&gt;"acoes")))*INDEX(Inputs!$K$5:$AJ$180,0,MATCH(L$2,Inputs!$K$4:$AJ$4,0)))+SUMPRODUCT((Inputs!$E$5:$E$180=$B61)*Inputs!$F$5:$F$180*(((Inputs!$G$5:$G$180="moeda")+(Inputs!$G$5:$G$180="acoes"))*Inputs!$B$1+((Inputs!$G$5:$G$180&lt;&gt;"moeda")*(Inputs!$G$5:$G$180&lt;&gt;"acoes")))*INDEX(Inputs!$K$5:$AJ$180,0,MATCH(L$2,Inputs!$K$4:$AJ$4,0)))))</f>
        <v>19863.724</v>
      </c>
      <c r="M61" s="3">
        <f>SUM(I61:L61)</f>
        <v>78583.2999996043</v>
      </c>
      <c r="N61" s="6">
        <f>IF(ISNA(MATCH(N$2,Inputs!$K$4:$AJ$4,0)),NA(),IF(SUMPRODUCT((Inputs!$A$5:$A$180=$B61)*ISNUMBER(INDEX(Inputs!$K$5:$AJ$180,0,MATCH(N$2,Inputs!$K$4:$AJ$4,0))))+SUMPRODUCT((Inputs!$C$5:$C$180=$B61)*ISNUMBER(INDEX(Inputs!$K$5:$AJ$180,0,MATCH(N$2,Inputs!$K$4:$AJ$4,0))))+SUMPRODUCT((Inputs!$E$5:$E$180=$B61)*ISNUMBER(INDEX(Inputs!$K$5:$AJ$180,0,MATCH(N$2,Inputs!$K$4:$AJ$4,0))))=0,NA(),SUMPRODUCT((Inputs!$A$5:$A$180=$B61)*Inputs!$B$5:$B$180*(((Inputs!$G$5:$G$180="moeda")+(Inputs!$G$5:$G$180="acoes"))*Inputs!$B$1+((Inputs!$G$5:$G$180&lt;&gt;"moeda")*(Inputs!$G$5:$G$180&lt;&gt;"acoes")))*INDEX(Inputs!$K$5:$AJ$180,0,MATCH(N$2,Inputs!$K$4:$AJ$4,0)))+SUMPRODUCT((Inputs!$C$5:$C$180=$B61)*Inputs!$D$5:$D$180*(((Inputs!$G$5:$G$180="moeda")+(Inputs!$G$5:$G$180="acoes"))*Inputs!$B$1+((Inputs!$G$5:$G$180&lt;&gt;"moeda")*(Inputs!$G$5:$G$180&lt;&gt;"acoes")))*INDEX(Inputs!$K$5:$AJ$180,0,MATCH(N$2,Inputs!$K$4:$AJ$4,0)))+SUMPRODUCT((Inputs!$E$5:$E$180=$B61)*Inputs!$F$5:$F$180*(((Inputs!$G$5:$G$180="moeda")+(Inputs!$G$5:$G$180="acoes"))*Inputs!$B$1+((Inputs!$G$5:$G$180&lt;&gt;"moeda")*(Inputs!$G$5:$G$180&lt;&gt;"acoes")))*INDEX(Inputs!$K$5:$AJ$180,0,MATCH(N$2,Inputs!$K$4:$AJ$4,0)))))</f>
        <v>24639.577</v>
      </c>
      <c r="O61" s="6" t="e">
        <f>IF(ISNA(MATCH(O$2,Inputs!$K$4:$AJ$4,0)),NA(),IF(SUMPRODUCT((Inputs!$A$5:$A$180=$B61)*ISNUMBER(INDEX(Inputs!$K$5:$AJ$180,0,MATCH(O$2,Inputs!$K$4:$AJ$4,0))))+SUMPRODUCT((Inputs!$C$5:$C$180=$B61)*ISNUMBER(INDEX(Inputs!$K$5:$AJ$180,0,MATCH(O$2,Inputs!$K$4:$AJ$4,0))))+SUMPRODUCT((Inputs!$E$5:$E$180=$B61)*ISNUMBER(INDEX(Inputs!$K$5:$AJ$180,0,MATCH(O$2,Inputs!$K$4:$AJ$4,0))))=0,NA(),SUMPRODUCT((Inputs!$A$5:$A$180=$B61)*Inputs!$B$5:$B$180*(((Inputs!$G$5:$G$180="moeda")+(Inputs!$G$5:$G$180="acoes"))*Inputs!$B$1+((Inputs!$G$5:$G$180&lt;&gt;"moeda")*(Inputs!$G$5:$G$180&lt;&gt;"acoes")))*INDEX(Inputs!$K$5:$AJ$180,0,MATCH(O$2,Inputs!$K$4:$AJ$4,0)))+SUMPRODUCT((Inputs!$C$5:$C$180=$B61)*Inputs!$D$5:$D$180*(((Inputs!$G$5:$G$180="moeda")+(Inputs!$G$5:$G$180="acoes"))*Inputs!$B$1+((Inputs!$G$5:$G$180&lt;&gt;"moeda")*(Inputs!$G$5:$G$180&lt;&gt;"acoes")))*INDEX(Inputs!$K$5:$AJ$180,0,MATCH(O$2,Inputs!$K$4:$AJ$4,0)))+SUMPRODUCT((Inputs!$E$5:$E$180=$B61)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61" s="6">
        <f>IF(ISNA(MATCH(P$2,Inputs!$K$4:$AJ$4,0)),NA(),IF(SUMPRODUCT((Inputs!$A$5:$A$180=$B61)*ISNUMBER(INDEX(Inputs!$K$5:$AJ$180,0,MATCH(P$2,Inputs!$K$4:$AJ$4,0))))+SUMPRODUCT((Inputs!$C$5:$C$180=$B61)*ISNUMBER(INDEX(Inputs!$K$5:$AJ$180,0,MATCH(P$2,Inputs!$K$4:$AJ$4,0))))+SUMPRODUCT((Inputs!$E$5:$E$180=$B61)*ISNUMBER(INDEX(Inputs!$K$5:$AJ$180,0,MATCH(P$2,Inputs!$K$4:$AJ$4,0))))=0,NA(),SUMPRODUCT((Inputs!$A$5:$A$180=$B61)*Inputs!$B$5:$B$180*(((Inputs!$G$5:$G$180="moeda")+(Inputs!$G$5:$G$180="acoes"))*Inputs!$B$1+((Inputs!$G$5:$G$180&lt;&gt;"moeda")*(Inputs!$G$5:$G$180&lt;&gt;"acoes")))*INDEX(Inputs!$K$5:$AJ$180,0,MATCH(P$2,Inputs!$K$4:$AJ$4,0)))+SUMPRODUCT((Inputs!$C$5:$C$180=$B61)*Inputs!$D$5:$D$180*(((Inputs!$G$5:$G$180="moeda")+(Inputs!$G$5:$G$180="acoes"))*Inputs!$B$1+((Inputs!$G$5:$G$180&lt;&gt;"moeda")*(Inputs!$G$5:$G$180&lt;&gt;"acoes")))*INDEX(Inputs!$K$5:$AJ$180,0,MATCH(P$2,Inputs!$K$4:$AJ$4,0)))+SUMPRODUCT((Inputs!$E$5:$E$180=$B61)*Inputs!$F$5:$F$180*(((Inputs!$G$5:$G$180="moeda")+(Inputs!$G$5:$G$180="acoes"))*Inputs!$B$1+((Inputs!$G$5:$G$180&lt;&gt;"moeda")*(Inputs!$G$5:$G$180&lt;&gt;"acoes")))*INDEX(Inputs!$K$5:$AJ$180,0,MATCH(P$2,Inputs!$K$4:$AJ$4,0)))))</f>
        <v>36037.031</v>
      </c>
      <c r="Q61" s="6">
        <f>IF(ISNA(MATCH(Q$2,Inputs!$K$4:$AJ$4,0)),NA(),IF(SUMPRODUCT((Inputs!$A$5:$A$180=$B61)*ISNUMBER(INDEX(Inputs!$K$5:$AJ$180,0,MATCH(Q$2,Inputs!$K$4:$AJ$4,0))))+SUMPRODUCT((Inputs!$C$5:$C$180=$B61)*ISNUMBER(INDEX(Inputs!$K$5:$AJ$180,0,MATCH(Q$2,Inputs!$K$4:$AJ$4,0))))+SUMPRODUCT((Inputs!$E$5:$E$180=$B61)*ISNUMBER(INDEX(Inputs!$K$5:$AJ$180,0,MATCH(Q$2,Inputs!$K$4:$AJ$4,0))))=0,NA(),SUMPRODUCT((Inputs!$A$5:$A$180=$B61)*Inputs!$B$5:$B$180*(((Inputs!$G$5:$G$180="moeda")+(Inputs!$G$5:$G$180="acoes"))*Inputs!$B$1+((Inputs!$G$5:$G$180&lt;&gt;"moeda")*(Inputs!$G$5:$G$180&lt;&gt;"acoes")))*INDEX(Inputs!$K$5:$AJ$180,0,MATCH(Q$2,Inputs!$K$4:$AJ$4,0)))+SUMPRODUCT((Inputs!$C$5:$C$180=$B61)*Inputs!$D$5:$D$180*(((Inputs!$G$5:$G$180="moeda")+(Inputs!$G$5:$G$180="acoes"))*Inputs!$B$1+((Inputs!$G$5:$G$180&lt;&gt;"moeda")*(Inputs!$G$5:$G$180&lt;&gt;"acoes")))*INDEX(Inputs!$K$5:$AJ$180,0,MATCH(Q$2,Inputs!$K$4:$AJ$4,0)))+SUMPRODUCT((Inputs!$E$5:$E$180=$B61)*Inputs!$F$5:$F$180*(((Inputs!$G$5:$G$180="moeda")+(Inputs!$G$5:$G$180="acoes"))*Inputs!$B$1+((Inputs!$G$5:$G$180&lt;&gt;"moeda")*(Inputs!$G$5:$G$180&lt;&gt;"acoes")))*INDEX(Inputs!$K$5:$AJ$180,0,MATCH(Q$2,Inputs!$K$4:$AJ$4,0)))))</f>
        <v>32350.275</v>
      </c>
      <c r="R61" s="3" t="e">
        <f>SUM(N61:Q61)</f>
        <v>#N/A</v>
      </c>
      <c r="S61" s="6">
        <f>IF(ISNA(MATCH(S$2,Inputs!$K$4:$AJ$4,0)),NA(),IF(SUMPRODUCT((Inputs!$A$5:$A$180=$B61)*ISNUMBER(INDEX(Inputs!$K$5:$AJ$180,0,MATCH(S$2,Inputs!$K$4:$AJ$4,0))))+SUMPRODUCT((Inputs!$C$5:$C$180=$B61)*ISNUMBER(INDEX(Inputs!$K$5:$AJ$180,0,MATCH(S$2,Inputs!$K$4:$AJ$4,0))))+SUMPRODUCT((Inputs!$E$5:$E$180=$B61)*ISNUMBER(INDEX(Inputs!$K$5:$AJ$180,0,MATCH(S$2,Inputs!$K$4:$AJ$4,0))))=0,NA(),SUMPRODUCT((Inputs!$A$5:$A$180=$B61)*Inputs!$B$5:$B$180*(((Inputs!$G$5:$G$180="moeda")+(Inputs!$G$5:$G$180="acoes"))*Inputs!$B$1+((Inputs!$G$5:$G$180&lt;&gt;"moeda")*(Inputs!$G$5:$G$180&lt;&gt;"acoes")))*INDEX(Inputs!$K$5:$AJ$180,0,MATCH(S$2,Inputs!$K$4:$AJ$4,0)))+SUMPRODUCT((Inputs!$C$5:$C$180=$B61)*Inputs!$D$5:$D$180*(((Inputs!$G$5:$G$180="moeda")+(Inputs!$G$5:$G$180="acoes"))*Inputs!$B$1+((Inputs!$G$5:$G$180&lt;&gt;"moeda")*(Inputs!$G$5:$G$180&lt;&gt;"acoes")))*INDEX(Inputs!$K$5:$AJ$180,0,MATCH(S$2,Inputs!$K$4:$AJ$4,0)))+SUMPRODUCT((Inputs!$E$5:$E$180=$B61)*Inputs!$F$5:$F$180*(((Inputs!$G$5:$G$180="moeda")+(Inputs!$G$5:$G$180="acoes"))*Inputs!$B$1+((Inputs!$G$5:$G$180&lt;&gt;"moeda")*(Inputs!$G$5:$G$180&lt;&gt;"acoes")))*INDEX(Inputs!$K$5:$AJ$180,0,MATCH(S$2,Inputs!$K$4:$AJ$4,0)))))</f>
        <v>37322.5040000428</v>
      </c>
      <c r="T61" s="6">
        <f>IF(ISNA(MATCH(T$2,Inputs!$K$4:$AJ$4,0)),NA(),IF(SUMPRODUCT((Inputs!$A$5:$A$180=$B61)*ISNUMBER(INDEX(Inputs!$K$5:$AJ$180,0,MATCH(T$2,Inputs!$K$4:$AJ$4,0))))+SUMPRODUCT((Inputs!$C$5:$C$180=$B61)*ISNUMBER(INDEX(Inputs!$K$5:$AJ$180,0,MATCH(T$2,Inputs!$K$4:$AJ$4,0))))+SUMPRODUCT((Inputs!$E$5:$E$180=$B61)*ISNUMBER(INDEX(Inputs!$K$5:$AJ$180,0,MATCH(T$2,Inputs!$K$4:$AJ$4,0))))=0,NA(),SUMPRODUCT((Inputs!$A$5:$A$180=$B61)*Inputs!$B$5:$B$180*(((Inputs!$G$5:$G$180="moeda")+(Inputs!$G$5:$G$180="acoes"))*Inputs!$B$1+((Inputs!$G$5:$G$180&lt;&gt;"moeda")*(Inputs!$G$5:$G$180&lt;&gt;"acoes")))*INDEX(Inputs!$K$5:$AJ$180,0,MATCH(T$2,Inputs!$K$4:$AJ$4,0)))+SUMPRODUCT((Inputs!$C$5:$C$180=$B61)*Inputs!$D$5:$D$180*(((Inputs!$G$5:$G$180="moeda")+(Inputs!$G$5:$G$180="acoes"))*Inputs!$B$1+((Inputs!$G$5:$G$180&lt;&gt;"moeda")*(Inputs!$G$5:$G$180&lt;&gt;"acoes")))*INDEX(Inputs!$K$5:$AJ$180,0,MATCH(T$2,Inputs!$K$4:$AJ$4,0)))+SUMPRODUCT((Inputs!$E$5:$E$180=$B61)*Inputs!$F$5:$F$180*(((Inputs!$G$5:$G$180="moeda")+(Inputs!$G$5:$G$180="acoes"))*Inputs!$B$1+((Inputs!$G$5:$G$180&lt;&gt;"moeda")*(Inputs!$G$5:$G$180&lt;&gt;"acoes")))*INDEX(Inputs!$K$5:$AJ$180,0,MATCH(T$2,Inputs!$K$4:$AJ$4,0)))))</f>
        <v>37661.768</v>
      </c>
      <c r="U61" s="6">
        <f>IF(ISNA(MATCH(U$2,Inputs!$K$4:$AJ$4,0)),NA(),IF(SUMPRODUCT((Inputs!$A$5:$A$180=$B61)*ISNUMBER(INDEX(Inputs!$K$5:$AJ$180,0,MATCH(U$2,Inputs!$K$4:$AJ$4,0))))+SUMPRODUCT((Inputs!$C$5:$C$180=$B61)*ISNUMBER(INDEX(Inputs!$K$5:$AJ$180,0,MATCH(U$2,Inputs!$K$4:$AJ$4,0))))+SUMPRODUCT((Inputs!$E$5:$E$180=$B61)*ISNUMBER(INDEX(Inputs!$K$5:$AJ$180,0,MATCH(U$2,Inputs!$K$4:$AJ$4,0))))=0,NA(),SUMPRODUCT((Inputs!$A$5:$A$180=$B61)*Inputs!$B$5:$B$180*(((Inputs!$G$5:$G$180="moeda")+(Inputs!$G$5:$G$180="acoes"))*Inputs!$B$1+((Inputs!$G$5:$G$180&lt;&gt;"moeda")*(Inputs!$G$5:$G$180&lt;&gt;"acoes")))*INDEX(Inputs!$K$5:$AJ$180,0,MATCH(U$2,Inputs!$K$4:$AJ$4,0)))+SUMPRODUCT((Inputs!$C$5:$C$180=$B61)*Inputs!$D$5:$D$180*(((Inputs!$G$5:$G$180="moeda")+(Inputs!$G$5:$G$180="acoes"))*Inputs!$B$1+((Inputs!$G$5:$G$180&lt;&gt;"moeda")*(Inputs!$G$5:$G$180&lt;&gt;"acoes")))*INDEX(Inputs!$K$5:$AJ$180,0,MATCH(U$2,Inputs!$K$4:$AJ$4,0)))+SUMPRODUCT((Inputs!$E$5:$E$180=$B61)*Inputs!$F$5:$F$180*(((Inputs!$G$5:$G$180="moeda")+(Inputs!$G$5:$G$180="acoes"))*Inputs!$B$1+((Inputs!$G$5:$G$180&lt;&gt;"moeda")*(Inputs!$G$5:$G$180&lt;&gt;"acoes")))*INDEX(Inputs!$K$5:$AJ$180,0,MATCH(U$2,Inputs!$K$4:$AJ$4,0)))))</f>
        <v>38316.821</v>
      </c>
      <c r="V61" s="6">
        <f>IF(ISNA(MATCH(V$2,Inputs!$K$4:$AJ$4,0)),NA(),IF(SUMPRODUCT((Inputs!$A$5:$A$180=$B61)*ISNUMBER(INDEX(Inputs!$K$5:$AJ$180,0,MATCH(V$2,Inputs!$K$4:$AJ$4,0))))+SUMPRODUCT((Inputs!$C$5:$C$180=$B61)*ISNUMBER(INDEX(Inputs!$K$5:$AJ$180,0,MATCH(V$2,Inputs!$K$4:$AJ$4,0))))+SUMPRODUCT((Inputs!$E$5:$E$180=$B61)*ISNUMBER(INDEX(Inputs!$K$5:$AJ$180,0,MATCH(V$2,Inputs!$K$4:$AJ$4,0))))=0,NA(),SUMPRODUCT((Inputs!$A$5:$A$180=$B61)*Inputs!$B$5:$B$180*(((Inputs!$G$5:$G$180="moeda")+(Inputs!$G$5:$G$180="acoes"))*Inputs!$B$1+((Inputs!$G$5:$G$180&lt;&gt;"moeda")*(Inputs!$G$5:$G$180&lt;&gt;"acoes")))*INDEX(Inputs!$K$5:$AJ$180,0,MATCH(V$2,Inputs!$K$4:$AJ$4,0)))+SUMPRODUCT((Inputs!$C$5:$C$180=$B61)*Inputs!$D$5:$D$180*(((Inputs!$G$5:$G$180="moeda")+(Inputs!$G$5:$G$180="acoes"))*Inputs!$B$1+((Inputs!$G$5:$G$180&lt;&gt;"moeda")*(Inputs!$G$5:$G$180&lt;&gt;"acoes")))*INDEX(Inputs!$K$5:$AJ$180,0,MATCH(V$2,Inputs!$K$4:$AJ$4,0)))+SUMPRODUCT((Inputs!$E$5:$E$180=$B61)*Inputs!$F$5:$F$180*(((Inputs!$G$5:$G$180="moeda")+(Inputs!$G$5:$G$180="acoes"))*Inputs!$B$1+((Inputs!$G$5:$G$180&lt;&gt;"moeda")*(Inputs!$G$5:$G$180&lt;&gt;"acoes")))*INDEX(Inputs!$K$5:$AJ$180,0,MATCH(V$2,Inputs!$K$4:$AJ$4,0)))))</f>
        <v>35997.7738700073</v>
      </c>
      <c r="W61" s="3">
        <f>SUM(S61:V61)</f>
        <v>149298.86687005</v>
      </c>
      <c r="X61" s="6">
        <f>IF(ISNA(MATCH(X$2,Inputs!$K$4:$AJ$4,0)),NA(),IF(SUMPRODUCT((Inputs!$A$5:$A$180=$B61)*ISNUMBER(INDEX(Inputs!$K$5:$AJ$180,0,MATCH(X$2,Inputs!$K$4:$AJ$4,0))))+SUMPRODUCT((Inputs!$C$5:$C$180=$B61)*ISNUMBER(INDEX(Inputs!$K$5:$AJ$180,0,MATCH(X$2,Inputs!$K$4:$AJ$4,0))))+SUMPRODUCT((Inputs!$E$5:$E$180=$B61)*ISNUMBER(INDEX(Inputs!$K$5:$AJ$180,0,MATCH(X$2,Inputs!$K$4:$AJ$4,0))))=0,NA(),SUMPRODUCT((Inputs!$A$5:$A$180=$B61)*Inputs!$B$5:$B$180*(((Inputs!$G$5:$G$180="moeda")+(Inputs!$G$5:$G$180="acoes"))*Inputs!$B$1+((Inputs!$G$5:$G$180&lt;&gt;"moeda")*(Inputs!$G$5:$G$180&lt;&gt;"acoes")))*INDEX(Inputs!$K$5:$AJ$180,0,MATCH(X$2,Inputs!$K$4:$AJ$4,0)))+SUMPRODUCT((Inputs!$C$5:$C$180=$B61)*Inputs!$D$5:$D$180*(((Inputs!$G$5:$G$180="moeda")+(Inputs!$G$5:$G$180="acoes"))*Inputs!$B$1+((Inputs!$G$5:$G$180&lt;&gt;"moeda")*(Inputs!$G$5:$G$180&lt;&gt;"acoes")))*INDEX(Inputs!$K$5:$AJ$180,0,MATCH(X$2,Inputs!$K$4:$AJ$4,0)))+SUMPRODUCT((Inputs!$E$5:$E$180=$B61)*Inputs!$F$5:$F$180*(((Inputs!$G$5:$G$180="moeda")+(Inputs!$G$5:$G$180="acoes"))*Inputs!$B$1+((Inputs!$G$5:$G$180&lt;&gt;"moeda")*(Inputs!$G$5:$G$180&lt;&gt;"acoes")))*INDEX(Inputs!$K$5:$AJ$180,0,MATCH(X$2,Inputs!$K$4:$AJ$4,0)))))</f>
        <v>40343.756</v>
      </c>
      <c r="Y61" s="6">
        <f>IF(ISNA(MATCH(Y$2,Inputs!$K$4:$AJ$4,0)),NA(),IF(SUMPRODUCT((Inputs!$A$5:$A$180=$B61)*ISNUMBER(INDEX(Inputs!$K$5:$AJ$180,0,MATCH(Y$2,Inputs!$K$4:$AJ$4,0))))+SUMPRODUCT((Inputs!$C$5:$C$180=$B61)*ISNUMBER(INDEX(Inputs!$K$5:$AJ$180,0,MATCH(Y$2,Inputs!$K$4:$AJ$4,0))))+SUMPRODUCT((Inputs!$E$5:$E$180=$B61)*ISNUMBER(INDEX(Inputs!$K$5:$AJ$180,0,MATCH(Y$2,Inputs!$K$4:$AJ$4,0))))=0,NA(),SUMPRODUCT((Inputs!$A$5:$A$180=$B61)*Inputs!$B$5:$B$180*(((Inputs!$G$5:$G$180="moeda")+(Inputs!$G$5:$G$180="acoes"))*Inputs!$B$1+((Inputs!$G$5:$G$180&lt;&gt;"moeda")*(Inputs!$G$5:$G$180&lt;&gt;"acoes")))*INDEX(Inputs!$K$5:$AJ$180,0,MATCH(Y$2,Inputs!$K$4:$AJ$4,0)))+SUMPRODUCT((Inputs!$C$5:$C$180=$B61)*Inputs!$D$5:$D$180*(((Inputs!$G$5:$G$180="moeda")+(Inputs!$G$5:$G$180="acoes"))*Inputs!$B$1+((Inputs!$G$5:$G$180&lt;&gt;"moeda")*(Inputs!$G$5:$G$180&lt;&gt;"acoes")))*INDEX(Inputs!$K$5:$AJ$180,0,MATCH(Y$2,Inputs!$K$4:$AJ$4,0)))+SUMPRODUCT((Inputs!$E$5:$E$180=$B61)*Inputs!$F$5:$F$180*(((Inputs!$G$5:$G$180="moeda")+(Inputs!$G$5:$G$180="acoes"))*Inputs!$B$1+((Inputs!$G$5:$G$180&lt;&gt;"moeda")*(Inputs!$G$5:$G$180&lt;&gt;"acoes")))*INDEX(Inputs!$K$5:$AJ$180,0,MATCH(Y$2,Inputs!$K$4:$AJ$4,0)))))</f>
        <v>39674.485</v>
      </c>
      <c r="Z61" s="6">
        <f>IF(ISNA(MATCH(Z$2,Inputs!$K$4:$AJ$4,0)),NA(),IF(SUMPRODUCT((Inputs!$A$5:$A$180=$B61)*ISNUMBER(INDEX(Inputs!$K$5:$AJ$180,0,MATCH(Z$2,Inputs!$K$4:$AJ$4,0))))+SUMPRODUCT((Inputs!$C$5:$C$180=$B61)*ISNUMBER(INDEX(Inputs!$K$5:$AJ$180,0,MATCH(Z$2,Inputs!$K$4:$AJ$4,0))))+SUMPRODUCT((Inputs!$E$5:$E$180=$B61)*ISNUMBER(INDEX(Inputs!$K$5:$AJ$180,0,MATCH(Z$2,Inputs!$K$4:$AJ$4,0))))=0,NA(),SUMPRODUCT((Inputs!$A$5:$A$180=$B61)*Inputs!$B$5:$B$180*(((Inputs!$G$5:$G$180="moeda")+(Inputs!$G$5:$G$180="acoes"))*Inputs!$B$1+((Inputs!$G$5:$G$180&lt;&gt;"moeda")*(Inputs!$G$5:$G$180&lt;&gt;"acoes")))*INDEX(Inputs!$K$5:$AJ$180,0,MATCH(Z$2,Inputs!$K$4:$AJ$4,0)))+SUMPRODUCT((Inputs!$C$5:$C$180=$B61)*Inputs!$D$5:$D$180*(((Inputs!$G$5:$G$180="moeda")+(Inputs!$G$5:$G$180="acoes"))*Inputs!$B$1+((Inputs!$G$5:$G$180&lt;&gt;"moeda")*(Inputs!$G$5:$G$180&lt;&gt;"acoes")))*INDEX(Inputs!$K$5:$AJ$180,0,MATCH(Z$2,Inputs!$K$4:$AJ$4,0)))+SUMPRODUCT((Inputs!$E$5:$E$180=$B61)*Inputs!$F$5:$F$180*(((Inputs!$G$5:$G$180="moeda")+(Inputs!$G$5:$G$180="acoes"))*Inputs!$B$1+((Inputs!$G$5:$G$180&lt;&gt;"moeda")*(Inputs!$G$5:$G$180&lt;&gt;"acoes")))*INDEX(Inputs!$K$5:$AJ$180,0,MATCH(Z$2,Inputs!$K$4:$AJ$4,0)))))</f>
        <v>44294.023</v>
      </c>
      <c r="AA61" s="6">
        <f>IF(ISNA(MATCH(AA$2,Inputs!$K$4:$AJ$4,0)),NA(),IF(SUMPRODUCT((Inputs!$A$5:$A$180=$B61)*ISNUMBER(INDEX(Inputs!$K$5:$AJ$180,0,MATCH(AA$2,Inputs!$K$4:$AJ$4,0))))+SUMPRODUCT((Inputs!$C$5:$C$180=$B61)*ISNUMBER(INDEX(Inputs!$K$5:$AJ$180,0,MATCH(AA$2,Inputs!$K$4:$AJ$4,0))))+SUMPRODUCT((Inputs!$E$5:$E$180=$B61)*ISNUMBER(INDEX(Inputs!$K$5:$AJ$180,0,MATCH(AA$2,Inputs!$K$4:$AJ$4,0))))=0,NA(),SUMPRODUCT((Inputs!$A$5:$A$180=$B61)*Inputs!$B$5:$B$180*(((Inputs!$G$5:$G$180="moeda")+(Inputs!$G$5:$G$180="acoes"))*Inputs!$B$1+((Inputs!$G$5:$G$180&lt;&gt;"moeda")*(Inputs!$G$5:$G$180&lt;&gt;"acoes")))*INDEX(Inputs!$K$5:$AJ$180,0,MATCH(AA$2,Inputs!$K$4:$AJ$4,0)))+SUMPRODUCT((Inputs!$C$5:$C$180=$B61)*Inputs!$D$5:$D$180*(((Inputs!$G$5:$G$180="moeda")+(Inputs!$G$5:$G$180="acoes"))*Inputs!$B$1+((Inputs!$G$5:$G$180&lt;&gt;"moeda")*(Inputs!$G$5:$G$180&lt;&gt;"acoes")))*INDEX(Inputs!$K$5:$AJ$180,0,MATCH(AA$2,Inputs!$K$4:$AJ$4,0)))+SUMPRODUCT((Inputs!$E$5:$E$180=$B61)*Inputs!$F$5:$F$180*(((Inputs!$G$5:$G$180="moeda")+(Inputs!$G$5:$G$180="acoes"))*Inputs!$B$1+((Inputs!$G$5:$G$180&lt;&gt;"moeda")*(Inputs!$G$5:$G$180&lt;&gt;"acoes")))*INDEX(Inputs!$K$5:$AJ$180,0,MATCH(AA$2,Inputs!$K$4:$AJ$4,0)))))</f>
        <v>40889.107</v>
      </c>
      <c r="AB61" s="3">
        <f>SUM(X61:AA61)</f>
        <v>165201.371</v>
      </c>
      <c r="AC61" s="6">
        <f>IF(ISNA(MATCH(AC$2,Inputs!$K$4:$AJ$4,0)),NA(),IF(SUMPRODUCT((Inputs!$A$5:$A$180=$B61)*ISNUMBER(INDEX(Inputs!$K$5:$AJ$180,0,MATCH(AC$2,Inputs!$K$4:$AJ$4,0))))+SUMPRODUCT((Inputs!$C$5:$C$180=$B61)*ISNUMBER(INDEX(Inputs!$K$5:$AJ$180,0,MATCH(AC$2,Inputs!$K$4:$AJ$4,0))))+SUMPRODUCT((Inputs!$E$5:$E$180=$B61)*ISNUMBER(INDEX(Inputs!$K$5:$AJ$180,0,MATCH(AC$2,Inputs!$K$4:$AJ$4,0))))=0,NA(),SUMPRODUCT((Inputs!$A$5:$A$180=$B61)*Inputs!$B$5:$B$180*(((Inputs!$G$5:$G$180="moeda")+(Inputs!$G$5:$G$180="acoes"))*Inputs!$B$1+((Inputs!$G$5:$G$180&lt;&gt;"moeda")*(Inputs!$G$5:$G$180&lt;&gt;"acoes")))*INDEX(Inputs!$K$5:$AJ$180,0,MATCH(AC$2,Inputs!$K$4:$AJ$4,0)))+SUMPRODUCT((Inputs!$C$5:$C$180=$B61)*Inputs!$D$5:$D$180*(((Inputs!$G$5:$G$180="moeda")+(Inputs!$G$5:$G$180="acoes"))*Inputs!$B$1+((Inputs!$G$5:$G$180&lt;&gt;"moeda")*(Inputs!$G$5:$G$180&lt;&gt;"acoes")))*INDEX(Inputs!$K$5:$AJ$180,0,MATCH(AC$2,Inputs!$K$4:$AJ$4,0)))+SUMPRODUCT((Inputs!$E$5:$E$180=$B61)*Inputs!$F$5:$F$180*(((Inputs!$G$5:$G$180="moeda")+(Inputs!$G$5:$G$180="acoes"))*Inputs!$B$1+((Inputs!$G$5:$G$180&lt;&gt;"moeda")*(Inputs!$G$5:$G$180&lt;&gt;"acoes")))*INDEX(Inputs!$K$5:$AJ$180,0,MATCH(AC$2,Inputs!$K$4:$AJ$4,0)))))</f>
        <v>47509.718</v>
      </c>
      <c r="AD61" s="6">
        <f>IF(ISNA(MATCH(AD$2,Inputs!$K$4:$AJ$4,0)),NA(),IF(SUMPRODUCT((Inputs!$A$5:$A$180=$B61)*ISNUMBER(INDEX(Inputs!$K$5:$AJ$180,0,MATCH(AD$2,Inputs!$K$4:$AJ$4,0))))+SUMPRODUCT((Inputs!$C$5:$C$180=$B61)*ISNUMBER(INDEX(Inputs!$K$5:$AJ$180,0,MATCH(AD$2,Inputs!$K$4:$AJ$4,0))))+SUMPRODUCT((Inputs!$E$5:$E$180=$B61)*ISNUMBER(INDEX(Inputs!$K$5:$AJ$180,0,MATCH(AD$2,Inputs!$K$4:$AJ$4,0))))=0,NA(),SUMPRODUCT((Inputs!$A$5:$A$180=$B61)*Inputs!$B$5:$B$180*(((Inputs!$G$5:$G$180="moeda")+(Inputs!$G$5:$G$180="acoes"))*Inputs!$B$1+((Inputs!$G$5:$G$180&lt;&gt;"moeda")*(Inputs!$G$5:$G$180&lt;&gt;"acoes")))*INDEX(Inputs!$K$5:$AJ$180,0,MATCH(AD$2,Inputs!$K$4:$AJ$4,0)))+SUMPRODUCT((Inputs!$C$5:$C$180=$B61)*Inputs!$D$5:$D$180*(((Inputs!$G$5:$G$180="moeda")+(Inputs!$G$5:$G$180="acoes"))*Inputs!$B$1+((Inputs!$G$5:$G$180&lt;&gt;"moeda")*(Inputs!$G$5:$G$180&lt;&gt;"acoes")))*INDEX(Inputs!$K$5:$AJ$180,0,MATCH(AD$2,Inputs!$K$4:$AJ$4,0)))+SUMPRODUCT((Inputs!$E$5:$E$180=$B61)*Inputs!$F$5:$F$180*(((Inputs!$G$5:$G$180="moeda")+(Inputs!$G$5:$G$180="acoes"))*Inputs!$B$1+((Inputs!$G$5:$G$180&lt;&gt;"moeda")*(Inputs!$G$5:$G$180&lt;&gt;"acoes")))*INDEX(Inputs!$K$5:$AJ$180,0,MATCH(AD$2,Inputs!$K$4:$AJ$4,0)))))</f>
        <v>46692.56</v>
      </c>
      <c r="AE61" s="6" t="e">
        <f>IF(ISNA(MATCH(AE$2,Inputs!$K$4:$AJ$4,0)),NA(),IF(SUMPRODUCT((Inputs!$A$5:$A$180=$B61)*ISNUMBER(INDEX(Inputs!$K$5:$AJ$180,0,MATCH(AE$2,Inputs!$K$4:$AJ$4,0))))+SUMPRODUCT((Inputs!$C$5:$C$180=$B61)*ISNUMBER(INDEX(Inputs!$K$5:$AJ$180,0,MATCH(AE$2,Inputs!$K$4:$AJ$4,0))))+SUMPRODUCT((Inputs!$E$5:$E$180=$B61)*ISNUMBER(INDEX(Inputs!$K$5:$AJ$180,0,MATCH(AE$2,Inputs!$K$4:$AJ$4,0))))=0,NA(),SUMPRODUCT((Inputs!$A$5:$A$180=$B61)*Inputs!$B$5:$B$180*(((Inputs!$G$5:$G$180="moeda")+(Inputs!$G$5:$G$180="acoes"))*Inputs!$B$1+((Inputs!$G$5:$G$180&lt;&gt;"moeda")*(Inputs!$G$5:$G$180&lt;&gt;"acoes")))*INDEX(Inputs!$K$5:$AJ$180,0,MATCH(AE$2,Inputs!$K$4:$AJ$4,0)))+SUMPRODUCT((Inputs!$C$5:$C$180=$B61)*Inputs!$D$5:$D$180*(((Inputs!$G$5:$G$180="moeda")+(Inputs!$G$5:$G$180="acoes"))*Inputs!$B$1+((Inputs!$G$5:$G$180&lt;&gt;"moeda")*(Inputs!$G$5:$G$180&lt;&gt;"acoes")))*INDEX(Inputs!$K$5:$AJ$180,0,MATCH(AE$2,Inputs!$K$4:$AJ$4,0)))+SUMPRODUCT((Inputs!$E$5:$E$180=$B61)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1" s="6" t="e">
        <f>IF(ISNA(MATCH(AF$2,Inputs!$K$4:$AJ$4,0)),NA(),IF(SUMPRODUCT((Inputs!$A$5:$A$180=$B61)*ISNUMBER(INDEX(Inputs!$K$5:$AJ$180,0,MATCH(AF$2,Inputs!$K$4:$AJ$4,0))))+SUMPRODUCT((Inputs!$C$5:$C$180=$B61)*ISNUMBER(INDEX(Inputs!$K$5:$AJ$180,0,MATCH(AF$2,Inputs!$K$4:$AJ$4,0))))+SUMPRODUCT((Inputs!$E$5:$E$180=$B61)*ISNUMBER(INDEX(Inputs!$K$5:$AJ$180,0,MATCH(AF$2,Inputs!$K$4:$AJ$4,0))))=0,NA(),SUMPRODUCT((Inputs!$A$5:$A$180=$B61)*Inputs!$B$5:$B$180*(((Inputs!$G$5:$G$180="moeda")+(Inputs!$G$5:$G$180="acoes"))*Inputs!$B$1+((Inputs!$G$5:$G$180&lt;&gt;"moeda")*(Inputs!$G$5:$G$180&lt;&gt;"acoes")))*INDEX(Inputs!$K$5:$AJ$180,0,MATCH(AF$2,Inputs!$K$4:$AJ$4,0)))+SUMPRODUCT((Inputs!$C$5:$C$180=$B61)*Inputs!$D$5:$D$180*(((Inputs!$G$5:$G$180="moeda")+(Inputs!$G$5:$G$180="acoes"))*Inputs!$B$1+((Inputs!$G$5:$G$180&lt;&gt;"moeda")*(Inputs!$G$5:$G$180&lt;&gt;"acoes")))*INDEX(Inputs!$K$5:$AJ$180,0,MATCH(AF$2,Inputs!$K$4:$AJ$4,0)))+SUMPRODUCT((Inputs!$E$5:$E$180=$B61)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1" s="3" t="e">
        <f>SUM(AC61:AF61)</f>
        <v>#N/A</v>
      </c>
      <c r="AH61" s="6">
        <f>IF(ISNA(MATCH(AH$2,Inputs!$K$4:$AJ$4,0)),NA(),IF(SUMPRODUCT((Inputs!$A$5:$A$180=$B61)*ISNUMBER(INDEX(Inputs!$K$5:$AJ$180,0,MATCH(AH$2,Inputs!$K$4:$AJ$4,0))))+SUMPRODUCT((Inputs!$C$5:$C$180=$B61)*ISNUMBER(INDEX(Inputs!$K$5:$AJ$180,0,MATCH(AH$2,Inputs!$K$4:$AJ$4,0))))+SUMPRODUCT((Inputs!$E$5:$E$180=$B61)*ISNUMBER(INDEX(Inputs!$K$5:$AJ$180,0,MATCH(AH$2,Inputs!$K$4:$AJ$4,0))))=0,NA(),SUMPRODUCT((Inputs!$A$5:$A$180=$B61)*Inputs!$B$5:$B$180*(((Inputs!$G$5:$G$180="moeda")+(Inputs!$G$5:$G$180="acoes"))*Inputs!$B$1+((Inputs!$G$5:$G$180&lt;&gt;"moeda")*(Inputs!$G$5:$G$180&lt;&gt;"acoes")))*INDEX(Inputs!$K$5:$AJ$180,0,MATCH(AH$2,Inputs!$K$4:$AJ$4,0)))+SUMPRODUCT((Inputs!$C$5:$C$180=$B61)*Inputs!$D$5:$D$180*(((Inputs!$G$5:$G$180="moeda")+(Inputs!$G$5:$G$180="acoes"))*Inputs!$B$1+((Inputs!$G$5:$G$180&lt;&gt;"moeda")*(Inputs!$G$5:$G$180&lt;&gt;"acoes")))*INDEX(Inputs!$K$5:$AJ$180,0,MATCH(AH$2,Inputs!$K$4:$AJ$4,0)))+SUMPRODUCT((Inputs!$E$5:$E$180=$B61)*Inputs!$F$5:$F$180*(((Inputs!$G$5:$G$180="moeda")+(Inputs!$G$5:$G$180="acoes"))*Inputs!$B$1+((Inputs!$G$5:$G$180&lt;&gt;"moeda")*(Inputs!$G$5:$G$180&lt;&gt;"acoes")))*INDEX(Inputs!$K$5:$AJ$180,0,MATCH(AH$2,Inputs!$K$4:$AJ$4,0)))))</f>
        <v>12170.1127735337</v>
      </c>
      <c r="AI61" s="6">
        <f>IF(ISNA(MATCH(AI$2,Inputs!$K$4:$AJ$4,0)),NA(),IF(SUMPRODUCT((Inputs!$A$5:$A$180=$B61)*ISNUMBER(INDEX(Inputs!$K$5:$AJ$180,0,MATCH(AI$2,Inputs!$K$4:$AJ$4,0))))+SUMPRODUCT((Inputs!$C$5:$C$180=$B61)*ISNUMBER(INDEX(Inputs!$K$5:$AJ$180,0,MATCH(AI$2,Inputs!$K$4:$AJ$4,0))))+SUMPRODUCT((Inputs!$E$5:$E$180=$B61)*ISNUMBER(INDEX(Inputs!$K$5:$AJ$180,0,MATCH(AI$2,Inputs!$K$4:$AJ$4,0))))=0,NA(),SUMPRODUCT((Inputs!$A$5:$A$180=$B61)*Inputs!$B$5:$B$180*(((Inputs!$G$5:$G$180="moeda")+(Inputs!$G$5:$G$180="acoes"))*Inputs!$B$1+((Inputs!$G$5:$G$180&lt;&gt;"moeda")*(Inputs!$G$5:$G$180&lt;&gt;"acoes")))*INDEX(Inputs!$K$5:$AJ$180,0,MATCH(AI$2,Inputs!$K$4:$AJ$4,0)))+SUMPRODUCT((Inputs!$C$5:$C$180=$B61)*Inputs!$D$5:$D$180*(((Inputs!$G$5:$G$180="moeda")+(Inputs!$G$5:$G$180="acoes"))*Inputs!$B$1+((Inputs!$G$5:$G$180&lt;&gt;"moeda")*(Inputs!$G$5:$G$180&lt;&gt;"acoes")))*INDEX(Inputs!$K$5:$AJ$180,0,MATCH(AI$2,Inputs!$K$4:$AJ$4,0)))+SUMPRODUCT((Inputs!$E$5:$E$180=$B61)*Inputs!$F$5:$F$180*(((Inputs!$G$5:$G$180="moeda")+(Inputs!$G$5:$G$180="acoes"))*Inputs!$B$1+((Inputs!$G$5:$G$180&lt;&gt;"moeda")*(Inputs!$G$5:$G$180&lt;&gt;"acoes")))*INDEX(Inputs!$K$5:$AJ$180,0,MATCH(AI$2,Inputs!$K$4:$AJ$4,0)))))</f>
        <v>6775.003</v>
      </c>
      <c r="AJ61" s="6">
        <f>IF(ISNA(MATCH(AJ$2,Inputs!$K$4:$AJ$4,0)),NA(),IF(SUMPRODUCT((Inputs!$A$5:$A$180=$B61)*ISNUMBER(INDEX(Inputs!$K$5:$AJ$180,0,MATCH(AJ$2,Inputs!$K$4:$AJ$4,0))))+SUMPRODUCT((Inputs!$C$5:$C$180=$B61)*ISNUMBER(INDEX(Inputs!$K$5:$AJ$180,0,MATCH(AJ$2,Inputs!$K$4:$AJ$4,0))))+SUMPRODUCT((Inputs!$E$5:$E$180=$B61)*ISNUMBER(INDEX(Inputs!$K$5:$AJ$180,0,MATCH(AJ$2,Inputs!$K$4:$AJ$4,0))))=0,NA(),SUMPRODUCT((Inputs!$A$5:$A$180=$B61)*Inputs!$B$5:$B$180*(((Inputs!$G$5:$G$180="moeda")+(Inputs!$G$5:$G$180="acoes"))*Inputs!$B$1+((Inputs!$G$5:$G$180&lt;&gt;"moeda")*(Inputs!$G$5:$G$180&lt;&gt;"acoes")))*INDEX(Inputs!$K$5:$AJ$180,0,MATCH(AJ$2,Inputs!$K$4:$AJ$4,0)))+SUMPRODUCT((Inputs!$C$5:$C$180=$B61)*Inputs!$D$5:$D$180*(((Inputs!$G$5:$G$180="moeda")+(Inputs!$G$5:$G$180="acoes"))*Inputs!$B$1+((Inputs!$G$5:$G$180&lt;&gt;"moeda")*(Inputs!$G$5:$G$180&lt;&gt;"acoes")))*INDEX(Inputs!$K$5:$AJ$180,0,MATCH(AJ$2,Inputs!$K$4:$AJ$4,0)))+SUMPRODUCT((Inputs!$E$5:$E$180=$B61)*Inputs!$F$5:$F$180*(((Inputs!$G$5:$G$180="moeda")+(Inputs!$G$5:$G$180="acoes"))*Inputs!$B$1+((Inputs!$G$5:$G$180&lt;&gt;"moeda")*(Inputs!$G$5:$G$180&lt;&gt;"acoes")))*INDEX(Inputs!$K$5:$AJ$180,0,MATCH(AJ$2,Inputs!$K$4:$AJ$4,0)))))</f>
        <v>14460.532</v>
      </c>
      <c r="AK61" s="6">
        <f>IF(ISNA(MATCH(AK$2,Inputs!$K$4:$AJ$4,0)),NA(),IF(SUMPRODUCT((Inputs!$A$5:$A$180=$B61)*ISNUMBER(INDEX(Inputs!$K$5:$AJ$180,0,MATCH(AK$2,Inputs!$K$4:$AJ$4,0))))+SUMPRODUCT((Inputs!$C$5:$C$180=$B61)*ISNUMBER(INDEX(Inputs!$K$5:$AJ$180,0,MATCH(AK$2,Inputs!$K$4:$AJ$4,0))))+SUMPRODUCT((Inputs!$E$5:$E$180=$B61)*ISNUMBER(INDEX(Inputs!$K$5:$AJ$180,0,MATCH(AK$2,Inputs!$K$4:$AJ$4,0))))=0,NA(),SUMPRODUCT((Inputs!$A$5:$A$180=$B61)*Inputs!$B$5:$B$180*(((Inputs!$G$5:$G$180="moeda")+(Inputs!$G$5:$G$180="acoes"))*Inputs!$B$1+((Inputs!$G$5:$G$180&lt;&gt;"moeda")*(Inputs!$G$5:$G$180&lt;&gt;"acoes")))*INDEX(Inputs!$K$5:$AJ$180,0,MATCH(AK$2,Inputs!$K$4:$AJ$4,0)))+SUMPRODUCT((Inputs!$C$5:$C$180=$B61)*Inputs!$D$5:$D$180*(((Inputs!$G$5:$G$180="moeda")+(Inputs!$G$5:$G$180="acoes"))*Inputs!$B$1+((Inputs!$G$5:$G$180&lt;&gt;"moeda")*(Inputs!$G$5:$G$180&lt;&gt;"acoes")))*INDEX(Inputs!$K$5:$AJ$180,0,MATCH(AK$2,Inputs!$K$4:$AJ$4,0)))+SUMPRODUCT((Inputs!$E$5:$E$180=$B61)*Inputs!$F$5:$F$180*(((Inputs!$G$5:$G$180="moeda")+(Inputs!$G$5:$G$180="acoes"))*Inputs!$B$1+((Inputs!$G$5:$G$180&lt;&gt;"moeda")*(Inputs!$G$5:$G$180&lt;&gt;"acoes")))*INDEX(Inputs!$K$5:$AJ$180,0,MATCH(AK$2,Inputs!$K$4:$AJ$4,0)))))</f>
        <v>14770.758</v>
      </c>
      <c r="AL61" s="3">
        <f>SUM(AH61:AK61)</f>
        <v>48176.4057735337</v>
      </c>
    </row>
    <row r="62">
      <c r="B62" s="46" t="n">
        <v>54</v>
      </c>
      <c r="C62" s="29" t="inlineStr">
        <is>
          <t>Exames B2B (mil)</t>
        </is>
      </c>
      <c r="D62" s="6">
        <f>IF(ISNA(MATCH(D$2,Inputs!$K$4:$AJ$4,0)),NA(),IF(SUMPRODUCT((Inputs!$A$5:$A$180=$B62)*ISNUMBER(INDEX(Inputs!$K$5:$AJ$180,0,MATCH(D$2,Inputs!$K$4:$AJ$4,0))))+SUMPRODUCT((Inputs!$C$5:$C$180=$B62)*ISNUMBER(INDEX(Inputs!$K$5:$AJ$180,0,MATCH(D$2,Inputs!$K$4:$AJ$4,0))))+SUMPRODUCT((Inputs!$E$5:$E$180=$B62)*ISNUMBER(INDEX(Inputs!$K$5:$AJ$180,0,MATCH(D$2,Inputs!$K$4:$AJ$4,0))))=0,NA(),SUMPRODUCT((Inputs!$A$5:$A$180=$B62)*Inputs!$B$5:$B$180*(((Inputs!$G$5:$G$180="moeda")+(Inputs!$G$5:$G$180="acoes"))*Inputs!$B$1+((Inputs!$G$5:$G$180&lt;&gt;"moeda")*(Inputs!$G$5:$G$180&lt;&gt;"acoes")))*INDEX(Inputs!$K$5:$AJ$180,0,MATCH(D$2,Inputs!$K$4:$AJ$4,0)))+SUMPRODUCT((Inputs!$C$5:$C$180=$B62)*Inputs!$D$5:$D$180*(((Inputs!$G$5:$G$180="moeda")+(Inputs!$G$5:$G$180="acoes"))*Inputs!$B$1+((Inputs!$G$5:$G$180&lt;&gt;"moeda")*(Inputs!$G$5:$G$180&lt;&gt;"acoes")))*INDEX(Inputs!$K$5:$AJ$180,0,MATCH(D$2,Inputs!$K$4:$AJ$4,0)))+SUMPRODUCT((Inputs!$E$5:$E$180=$B62)*Inputs!$F$5:$F$180*(((Inputs!$G$5:$G$180="moeda")+(Inputs!$G$5:$G$180="acoes"))*Inputs!$B$1+((Inputs!$G$5:$G$180&lt;&gt;"moeda")*(Inputs!$G$5:$G$180&lt;&gt;"acoes")))*INDEX(Inputs!$K$5:$AJ$180,0,MATCH(D$2,Inputs!$K$4:$AJ$4,0)))))</f>
        <v>9279.2405</v>
      </c>
      <c r="E62" s="6">
        <f>IF(ISNA(MATCH(E$2,Inputs!$K$4:$AJ$4,0)),NA(),IF(SUMPRODUCT((Inputs!$A$5:$A$180=$B62)*ISNUMBER(INDEX(Inputs!$K$5:$AJ$180,0,MATCH(E$2,Inputs!$K$4:$AJ$4,0))))+SUMPRODUCT((Inputs!$C$5:$C$180=$B62)*ISNUMBER(INDEX(Inputs!$K$5:$AJ$180,0,MATCH(E$2,Inputs!$K$4:$AJ$4,0))))+SUMPRODUCT((Inputs!$E$5:$E$180=$B62)*ISNUMBER(INDEX(Inputs!$K$5:$AJ$180,0,MATCH(E$2,Inputs!$K$4:$AJ$4,0))))=0,NA(),SUMPRODUCT((Inputs!$A$5:$A$180=$B62)*Inputs!$B$5:$B$180*(((Inputs!$G$5:$G$180="moeda")+(Inputs!$G$5:$G$180="acoes"))*Inputs!$B$1+((Inputs!$G$5:$G$180&lt;&gt;"moeda")*(Inputs!$G$5:$G$180&lt;&gt;"acoes")))*INDEX(Inputs!$K$5:$AJ$180,0,MATCH(E$2,Inputs!$K$4:$AJ$4,0)))+SUMPRODUCT((Inputs!$C$5:$C$180=$B62)*Inputs!$D$5:$D$180*(((Inputs!$G$5:$G$180="moeda")+(Inputs!$G$5:$G$180="acoes"))*Inputs!$B$1+((Inputs!$G$5:$G$180&lt;&gt;"moeda")*(Inputs!$G$5:$G$180&lt;&gt;"acoes")))*INDEX(Inputs!$K$5:$AJ$180,0,MATCH(E$2,Inputs!$K$4:$AJ$4,0)))+SUMPRODUCT((Inputs!$E$5:$E$180=$B62)*Inputs!$F$5:$F$180*(((Inputs!$G$5:$G$180="moeda")+(Inputs!$G$5:$G$180="acoes"))*Inputs!$B$1+((Inputs!$G$5:$G$180&lt;&gt;"moeda")*(Inputs!$G$5:$G$180&lt;&gt;"acoes")))*INDEX(Inputs!$K$5:$AJ$180,0,MATCH(E$2,Inputs!$K$4:$AJ$4,0)))))</f>
        <v>9367.924</v>
      </c>
      <c r="F62" s="6">
        <f>IF(ISNA(MATCH(F$2,Inputs!$K$4:$AJ$4,0)),NA(),IF(SUMPRODUCT((Inputs!$A$5:$A$180=$B62)*ISNUMBER(INDEX(Inputs!$K$5:$AJ$180,0,MATCH(F$2,Inputs!$K$4:$AJ$4,0))))+SUMPRODUCT((Inputs!$C$5:$C$180=$B62)*ISNUMBER(INDEX(Inputs!$K$5:$AJ$180,0,MATCH(F$2,Inputs!$K$4:$AJ$4,0))))+SUMPRODUCT((Inputs!$E$5:$E$180=$B62)*ISNUMBER(INDEX(Inputs!$K$5:$AJ$180,0,MATCH(F$2,Inputs!$K$4:$AJ$4,0))))=0,NA(),SUMPRODUCT((Inputs!$A$5:$A$180=$B62)*Inputs!$B$5:$B$180*(((Inputs!$G$5:$G$180="moeda")+(Inputs!$G$5:$G$180="acoes"))*Inputs!$B$1+((Inputs!$G$5:$G$180&lt;&gt;"moeda")*(Inputs!$G$5:$G$180&lt;&gt;"acoes")))*INDEX(Inputs!$K$5:$AJ$180,0,MATCH(F$2,Inputs!$K$4:$AJ$4,0)))+SUMPRODUCT((Inputs!$C$5:$C$180=$B62)*Inputs!$D$5:$D$180*(((Inputs!$G$5:$G$180="moeda")+(Inputs!$G$5:$G$180="acoes"))*Inputs!$B$1+((Inputs!$G$5:$G$180&lt;&gt;"moeda")*(Inputs!$G$5:$G$180&lt;&gt;"acoes")))*INDEX(Inputs!$K$5:$AJ$180,0,MATCH(F$2,Inputs!$K$4:$AJ$4,0)))+SUMPRODUCT((Inputs!$E$5:$E$180=$B62)*Inputs!$F$5:$F$180*(((Inputs!$G$5:$G$180="moeda")+(Inputs!$G$5:$G$180="acoes"))*Inputs!$B$1+((Inputs!$G$5:$G$180&lt;&gt;"moeda")*(Inputs!$G$5:$G$180&lt;&gt;"acoes")))*INDEX(Inputs!$K$5:$AJ$180,0,MATCH(F$2,Inputs!$K$4:$AJ$4,0)))))</f>
        <v>9361.24174</v>
      </c>
      <c r="G62" s="6">
        <f>IF(ISNA(MATCH(G$2,Inputs!$K$4:$AJ$4,0)),NA(),IF(SUMPRODUCT((Inputs!$A$5:$A$180=$B62)*ISNUMBER(INDEX(Inputs!$K$5:$AJ$180,0,MATCH(G$2,Inputs!$K$4:$AJ$4,0))))+SUMPRODUCT((Inputs!$C$5:$C$180=$B62)*ISNUMBER(INDEX(Inputs!$K$5:$AJ$180,0,MATCH(G$2,Inputs!$K$4:$AJ$4,0))))+SUMPRODUCT((Inputs!$E$5:$E$180=$B62)*ISNUMBER(INDEX(Inputs!$K$5:$AJ$180,0,MATCH(G$2,Inputs!$K$4:$AJ$4,0))))=0,NA(),SUMPRODUCT((Inputs!$A$5:$A$180=$B62)*Inputs!$B$5:$B$180*(((Inputs!$G$5:$G$180="moeda")+(Inputs!$G$5:$G$180="acoes"))*Inputs!$B$1+((Inputs!$G$5:$G$180&lt;&gt;"moeda")*(Inputs!$G$5:$G$180&lt;&gt;"acoes")))*INDEX(Inputs!$K$5:$AJ$180,0,MATCH(G$2,Inputs!$K$4:$AJ$4,0)))+SUMPRODUCT((Inputs!$C$5:$C$180=$B62)*Inputs!$D$5:$D$180*(((Inputs!$G$5:$G$180="moeda")+(Inputs!$G$5:$G$180="acoes"))*Inputs!$B$1+((Inputs!$G$5:$G$180&lt;&gt;"moeda")*(Inputs!$G$5:$G$180&lt;&gt;"acoes")))*INDEX(Inputs!$K$5:$AJ$180,0,MATCH(G$2,Inputs!$K$4:$AJ$4,0)))+SUMPRODUCT((Inputs!$E$5:$E$180=$B62)*Inputs!$F$5:$F$180*(((Inputs!$G$5:$G$180="moeda")+(Inputs!$G$5:$G$180="acoes"))*Inputs!$B$1+((Inputs!$G$5:$G$180&lt;&gt;"moeda")*(Inputs!$G$5:$G$180&lt;&gt;"acoes")))*INDEX(Inputs!$K$5:$AJ$180,0,MATCH(G$2,Inputs!$K$4:$AJ$4,0)))))</f>
        <v>8963.542</v>
      </c>
      <c r="H62" s="3">
        <f>SUM(D62:G62)</f>
        <v>36971.94824</v>
      </c>
      <c r="I62" s="6">
        <f>IF(ISNA(MATCH(I$2,Inputs!$K$4:$AJ$4,0)),NA(),IF(SUMPRODUCT((Inputs!$A$5:$A$180=$B62)*ISNUMBER(INDEX(Inputs!$K$5:$AJ$180,0,MATCH(I$2,Inputs!$K$4:$AJ$4,0))))+SUMPRODUCT((Inputs!$C$5:$C$180=$B62)*ISNUMBER(INDEX(Inputs!$K$5:$AJ$180,0,MATCH(I$2,Inputs!$K$4:$AJ$4,0))))+SUMPRODUCT((Inputs!$E$5:$E$180=$B62)*ISNUMBER(INDEX(Inputs!$K$5:$AJ$180,0,MATCH(I$2,Inputs!$K$4:$AJ$4,0))))=0,NA(),SUMPRODUCT((Inputs!$A$5:$A$180=$B62)*Inputs!$B$5:$B$180*(((Inputs!$G$5:$G$180="moeda")+(Inputs!$G$5:$G$180="acoes"))*Inputs!$B$1+((Inputs!$G$5:$G$180&lt;&gt;"moeda")*(Inputs!$G$5:$G$180&lt;&gt;"acoes")))*INDEX(Inputs!$K$5:$AJ$180,0,MATCH(I$2,Inputs!$K$4:$AJ$4,0)))+SUMPRODUCT((Inputs!$C$5:$C$180=$B62)*Inputs!$D$5:$D$180*(((Inputs!$G$5:$G$180="moeda")+(Inputs!$G$5:$G$180="acoes"))*Inputs!$B$1+((Inputs!$G$5:$G$180&lt;&gt;"moeda")*(Inputs!$G$5:$G$180&lt;&gt;"acoes")))*INDEX(Inputs!$K$5:$AJ$180,0,MATCH(I$2,Inputs!$K$4:$AJ$4,0)))+SUMPRODUCT((Inputs!$E$5:$E$180=$B62)*Inputs!$F$5:$F$180*(((Inputs!$G$5:$G$180="moeda")+(Inputs!$G$5:$G$180="acoes"))*Inputs!$B$1+((Inputs!$G$5:$G$180&lt;&gt;"moeda")*(Inputs!$G$5:$G$180&lt;&gt;"acoes")))*INDEX(Inputs!$K$5:$AJ$180,0,MATCH(I$2,Inputs!$K$4:$AJ$4,0)))))</f>
        <v>9172.471</v>
      </c>
      <c r="J62" s="6">
        <f>IF(ISNA(MATCH(J$2,Inputs!$K$4:$AJ$4,0)),NA(),IF(SUMPRODUCT((Inputs!$A$5:$A$180=$B62)*ISNUMBER(INDEX(Inputs!$K$5:$AJ$180,0,MATCH(J$2,Inputs!$K$4:$AJ$4,0))))+SUMPRODUCT((Inputs!$C$5:$C$180=$B62)*ISNUMBER(INDEX(Inputs!$K$5:$AJ$180,0,MATCH(J$2,Inputs!$K$4:$AJ$4,0))))+SUMPRODUCT((Inputs!$E$5:$E$180=$B62)*ISNUMBER(INDEX(Inputs!$K$5:$AJ$180,0,MATCH(J$2,Inputs!$K$4:$AJ$4,0))))=0,NA(),SUMPRODUCT((Inputs!$A$5:$A$180=$B62)*Inputs!$B$5:$B$180*(((Inputs!$G$5:$G$180="moeda")+(Inputs!$G$5:$G$180="acoes"))*Inputs!$B$1+((Inputs!$G$5:$G$180&lt;&gt;"moeda")*(Inputs!$G$5:$G$180&lt;&gt;"acoes")))*INDEX(Inputs!$K$5:$AJ$180,0,MATCH(J$2,Inputs!$K$4:$AJ$4,0)))+SUMPRODUCT((Inputs!$C$5:$C$180=$B62)*Inputs!$D$5:$D$180*(((Inputs!$G$5:$G$180="moeda")+(Inputs!$G$5:$G$180="acoes"))*Inputs!$B$1+((Inputs!$G$5:$G$180&lt;&gt;"moeda")*(Inputs!$G$5:$G$180&lt;&gt;"acoes")))*INDEX(Inputs!$K$5:$AJ$180,0,MATCH(J$2,Inputs!$K$4:$AJ$4,0)))+SUMPRODUCT((Inputs!$E$5:$E$180=$B62)*Inputs!$F$5:$F$180*(((Inputs!$G$5:$G$180="moeda")+(Inputs!$G$5:$G$180="acoes"))*Inputs!$B$1+((Inputs!$G$5:$G$180&lt;&gt;"moeda")*(Inputs!$G$5:$G$180&lt;&gt;"acoes")))*INDEX(Inputs!$K$5:$AJ$180,0,MATCH(J$2,Inputs!$K$4:$AJ$4,0)))))</f>
        <v>9101.283</v>
      </c>
      <c r="K62" s="6">
        <f>IF(ISNA(MATCH(K$2,Inputs!$K$4:$AJ$4,0)),NA(),IF(SUMPRODUCT((Inputs!$A$5:$A$180=$B62)*ISNUMBER(INDEX(Inputs!$K$5:$AJ$180,0,MATCH(K$2,Inputs!$K$4:$AJ$4,0))))+SUMPRODUCT((Inputs!$C$5:$C$180=$B62)*ISNUMBER(INDEX(Inputs!$K$5:$AJ$180,0,MATCH(K$2,Inputs!$K$4:$AJ$4,0))))+SUMPRODUCT((Inputs!$E$5:$E$180=$B62)*ISNUMBER(INDEX(Inputs!$K$5:$AJ$180,0,MATCH(K$2,Inputs!$K$4:$AJ$4,0))))=0,NA(),SUMPRODUCT((Inputs!$A$5:$A$180=$B62)*Inputs!$B$5:$B$180*(((Inputs!$G$5:$G$180="moeda")+(Inputs!$G$5:$G$180="acoes"))*Inputs!$B$1+((Inputs!$G$5:$G$180&lt;&gt;"moeda")*(Inputs!$G$5:$G$180&lt;&gt;"acoes")))*INDEX(Inputs!$K$5:$AJ$180,0,MATCH(K$2,Inputs!$K$4:$AJ$4,0)))+SUMPRODUCT((Inputs!$C$5:$C$180=$B62)*Inputs!$D$5:$D$180*(((Inputs!$G$5:$G$180="moeda")+(Inputs!$G$5:$G$180="acoes"))*Inputs!$B$1+((Inputs!$G$5:$G$180&lt;&gt;"moeda")*(Inputs!$G$5:$G$180&lt;&gt;"acoes")))*INDEX(Inputs!$K$5:$AJ$180,0,MATCH(K$2,Inputs!$K$4:$AJ$4,0)))+SUMPRODUCT((Inputs!$E$5:$E$180=$B62)*Inputs!$F$5:$F$180*(((Inputs!$G$5:$G$180="moeda")+(Inputs!$G$5:$G$180="acoes"))*Inputs!$B$1+((Inputs!$G$5:$G$180&lt;&gt;"moeda")*(Inputs!$G$5:$G$180&lt;&gt;"acoes")))*INDEX(Inputs!$K$5:$AJ$180,0,MATCH(K$2,Inputs!$K$4:$AJ$4,0)))))</f>
        <v>8325.894</v>
      </c>
      <c r="L62" s="6">
        <f>IF(ISNA(MATCH(L$2,Inputs!$K$4:$AJ$4,0)),NA(),IF(SUMPRODUCT((Inputs!$A$5:$A$180=$B62)*ISNUMBER(INDEX(Inputs!$K$5:$AJ$180,0,MATCH(L$2,Inputs!$K$4:$AJ$4,0))))+SUMPRODUCT((Inputs!$C$5:$C$180=$B62)*ISNUMBER(INDEX(Inputs!$K$5:$AJ$180,0,MATCH(L$2,Inputs!$K$4:$AJ$4,0))))+SUMPRODUCT((Inputs!$E$5:$E$180=$B62)*ISNUMBER(INDEX(Inputs!$K$5:$AJ$180,0,MATCH(L$2,Inputs!$K$4:$AJ$4,0))))=0,NA(),SUMPRODUCT((Inputs!$A$5:$A$180=$B62)*Inputs!$B$5:$B$180*(((Inputs!$G$5:$G$180="moeda")+(Inputs!$G$5:$G$180="acoes"))*Inputs!$B$1+((Inputs!$G$5:$G$180&lt;&gt;"moeda")*(Inputs!$G$5:$G$180&lt;&gt;"acoes")))*INDEX(Inputs!$K$5:$AJ$180,0,MATCH(L$2,Inputs!$K$4:$AJ$4,0)))+SUMPRODUCT((Inputs!$C$5:$C$180=$B62)*Inputs!$D$5:$D$180*(((Inputs!$G$5:$G$180="moeda")+(Inputs!$G$5:$G$180="acoes"))*Inputs!$B$1+((Inputs!$G$5:$G$180&lt;&gt;"moeda")*(Inputs!$G$5:$G$180&lt;&gt;"acoes")))*INDEX(Inputs!$K$5:$AJ$180,0,MATCH(L$2,Inputs!$K$4:$AJ$4,0)))+SUMPRODUCT((Inputs!$E$5:$E$180=$B62)*Inputs!$F$5:$F$180*(((Inputs!$G$5:$G$180="moeda")+(Inputs!$G$5:$G$180="acoes"))*Inputs!$B$1+((Inputs!$G$5:$G$180&lt;&gt;"moeda")*(Inputs!$G$5:$G$180&lt;&gt;"acoes")))*INDEX(Inputs!$K$5:$AJ$180,0,MATCH(L$2,Inputs!$K$4:$AJ$4,0)))))</f>
        <v>6781.81</v>
      </c>
      <c r="M62" s="3">
        <f>SUM(I62:L62)</f>
        <v>33381.458</v>
      </c>
      <c r="N62" s="6">
        <f>IF(ISNA(MATCH(N$2,Inputs!$K$4:$AJ$4,0)),NA(),IF(SUMPRODUCT((Inputs!$A$5:$A$180=$B62)*ISNUMBER(INDEX(Inputs!$K$5:$AJ$180,0,MATCH(N$2,Inputs!$K$4:$AJ$4,0))))+SUMPRODUCT((Inputs!$C$5:$C$180=$B62)*ISNUMBER(INDEX(Inputs!$K$5:$AJ$180,0,MATCH(N$2,Inputs!$K$4:$AJ$4,0))))+SUMPRODUCT((Inputs!$E$5:$E$180=$B62)*ISNUMBER(INDEX(Inputs!$K$5:$AJ$180,0,MATCH(N$2,Inputs!$K$4:$AJ$4,0))))=0,NA(),SUMPRODUCT((Inputs!$A$5:$A$180=$B62)*Inputs!$B$5:$B$180*(((Inputs!$G$5:$G$180="moeda")+(Inputs!$G$5:$G$180="acoes"))*Inputs!$B$1+((Inputs!$G$5:$G$180&lt;&gt;"moeda")*(Inputs!$G$5:$G$180&lt;&gt;"acoes")))*INDEX(Inputs!$K$5:$AJ$180,0,MATCH(N$2,Inputs!$K$4:$AJ$4,0)))+SUMPRODUCT((Inputs!$C$5:$C$180=$B62)*Inputs!$D$5:$D$180*(((Inputs!$G$5:$G$180="moeda")+(Inputs!$G$5:$G$180="acoes"))*Inputs!$B$1+((Inputs!$G$5:$G$180&lt;&gt;"moeda")*(Inputs!$G$5:$G$180&lt;&gt;"acoes")))*INDEX(Inputs!$K$5:$AJ$180,0,MATCH(N$2,Inputs!$K$4:$AJ$4,0)))+SUMPRODUCT((Inputs!$E$5:$E$180=$B62)*Inputs!$F$5:$F$180*(((Inputs!$G$5:$G$180="moeda")+(Inputs!$G$5:$G$180="acoes"))*Inputs!$B$1+((Inputs!$G$5:$G$180&lt;&gt;"moeda")*(Inputs!$G$5:$G$180&lt;&gt;"acoes")))*INDEX(Inputs!$K$5:$AJ$180,0,MATCH(N$2,Inputs!$K$4:$AJ$4,0)))))</f>
        <v>6572.057</v>
      </c>
      <c r="O62" s="6" t="e">
        <f>IF(ISNA(MATCH(O$2,Inputs!$K$4:$AJ$4,0)),NA(),IF(SUMPRODUCT((Inputs!$A$5:$A$180=$B62)*ISNUMBER(INDEX(Inputs!$K$5:$AJ$180,0,MATCH(O$2,Inputs!$K$4:$AJ$4,0))))+SUMPRODUCT((Inputs!$C$5:$C$180=$B62)*ISNUMBER(INDEX(Inputs!$K$5:$AJ$180,0,MATCH(O$2,Inputs!$K$4:$AJ$4,0))))+SUMPRODUCT((Inputs!$E$5:$E$180=$B62)*ISNUMBER(INDEX(Inputs!$K$5:$AJ$180,0,MATCH(O$2,Inputs!$K$4:$AJ$4,0))))=0,NA(),SUMPRODUCT((Inputs!$A$5:$A$180=$B62)*Inputs!$B$5:$B$180*(((Inputs!$G$5:$G$180="moeda")+(Inputs!$G$5:$G$180="acoes"))*Inputs!$B$1+((Inputs!$G$5:$G$180&lt;&gt;"moeda")*(Inputs!$G$5:$G$180&lt;&gt;"acoes")))*INDEX(Inputs!$K$5:$AJ$180,0,MATCH(O$2,Inputs!$K$4:$AJ$4,0)))+SUMPRODUCT((Inputs!$C$5:$C$180=$B62)*Inputs!$D$5:$D$180*(((Inputs!$G$5:$G$180="moeda")+(Inputs!$G$5:$G$180="acoes"))*Inputs!$B$1+((Inputs!$G$5:$G$180&lt;&gt;"moeda")*(Inputs!$G$5:$G$180&lt;&gt;"acoes")))*INDEX(Inputs!$K$5:$AJ$180,0,MATCH(O$2,Inputs!$K$4:$AJ$4,0)))+SUMPRODUCT((Inputs!$E$5:$E$180=$B62)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62" s="6">
        <f>IF(ISNA(MATCH(P$2,Inputs!$K$4:$AJ$4,0)),NA(),IF(SUMPRODUCT((Inputs!$A$5:$A$180=$B62)*ISNUMBER(INDEX(Inputs!$K$5:$AJ$180,0,MATCH(P$2,Inputs!$K$4:$AJ$4,0))))+SUMPRODUCT((Inputs!$C$5:$C$180=$B62)*ISNUMBER(INDEX(Inputs!$K$5:$AJ$180,0,MATCH(P$2,Inputs!$K$4:$AJ$4,0))))+SUMPRODUCT((Inputs!$E$5:$E$180=$B62)*ISNUMBER(INDEX(Inputs!$K$5:$AJ$180,0,MATCH(P$2,Inputs!$K$4:$AJ$4,0))))=0,NA(),SUMPRODUCT((Inputs!$A$5:$A$180=$B62)*Inputs!$B$5:$B$180*(((Inputs!$G$5:$G$180="moeda")+(Inputs!$G$5:$G$180="acoes"))*Inputs!$B$1+((Inputs!$G$5:$G$180&lt;&gt;"moeda")*(Inputs!$G$5:$G$180&lt;&gt;"acoes")))*INDEX(Inputs!$K$5:$AJ$180,0,MATCH(P$2,Inputs!$K$4:$AJ$4,0)))+SUMPRODUCT((Inputs!$C$5:$C$180=$B62)*Inputs!$D$5:$D$180*(((Inputs!$G$5:$G$180="moeda")+(Inputs!$G$5:$G$180="acoes"))*Inputs!$B$1+((Inputs!$G$5:$G$180&lt;&gt;"moeda")*(Inputs!$G$5:$G$180&lt;&gt;"acoes")))*INDEX(Inputs!$K$5:$AJ$180,0,MATCH(P$2,Inputs!$K$4:$AJ$4,0)))+SUMPRODUCT((Inputs!$E$5:$E$180=$B62)*Inputs!$F$5:$F$180*(((Inputs!$G$5:$G$180="moeda")+(Inputs!$G$5:$G$180="acoes"))*Inputs!$B$1+((Inputs!$G$5:$G$180&lt;&gt;"moeda")*(Inputs!$G$5:$G$180&lt;&gt;"acoes")))*INDEX(Inputs!$K$5:$AJ$180,0,MATCH(P$2,Inputs!$K$4:$AJ$4,0)))))</f>
        <v>43098.373</v>
      </c>
      <c r="Q62" s="6">
        <f>IF(ISNA(MATCH(Q$2,Inputs!$K$4:$AJ$4,0)),NA(),IF(SUMPRODUCT((Inputs!$A$5:$A$180=$B62)*ISNUMBER(INDEX(Inputs!$K$5:$AJ$180,0,MATCH(Q$2,Inputs!$K$4:$AJ$4,0))))+SUMPRODUCT((Inputs!$C$5:$C$180=$B62)*ISNUMBER(INDEX(Inputs!$K$5:$AJ$180,0,MATCH(Q$2,Inputs!$K$4:$AJ$4,0))))+SUMPRODUCT((Inputs!$E$5:$E$180=$B62)*ISNUMBER(INDEX(Inputs!$K$5:$AJ$180,0,MATCH(Q$2,Inputs!$K$4:$AJ$4,0))))=0,NA(),SUMPRODUCT((Inputs!$A$5:$A$180=$B62)*Inputs!$B$5:$B$180*(((Inputs!$G$5:$G$180="moeda")+(Inputs!$G$5:$G$180="acoes"))*Inputs!$B$1+((Inputs!$G$5:$G$180&lt;&gt;"moeda")*(Inputs!$G$5:$G$180&lt;&gt;"acoes")))*INDEX(Inputs!$K$5:$AJ$180,0,MATCH(Q$2,Inputs!$K$4:$AJ$4,0)))+SUMPRODUCT((Inputs!$C$5:$C$180=$B62)*Inputs!$D$5:$D$180*(((Inputs!$G$5:$G$180="moeda")+(Inputs!$G$5:$G$180="acoes"))*Inputs!$B$1+((Inputs!$G$5:$G$180&lt;&gt;"moeda")*(Inputs!$G$5:$G$180&lt;&gt;"acoes")))*INDEX(Inputs!$K$5:$AJ$180,0,MATCH(Q$2,Inputs!$K$4:$AJ$4,0)))+SUMPRODUCT((Inputs!$E$5:$E$180=$B62)*Inputs!$F$5:$F$180*(((Inputs!$G$5:$G$180="moeda")+(Inputs!$G$5:$G$180="acoes"))*Inputs!$B$1+((Inputs!$G$5:$G$180&lt;&gt;"moeda")*(Inputs!$G$5:$G$180&lt;&gt;"acoes")))*INDEX(Inputs!$K$5:$AJ$180,0,MATCH(Q$2,Inputs!$K$4:$AJ$4,0)))))</f>
        <v>40482.54</v>
      </c>
      <c r="R62" s="3" t="e">
        <f>SUM(N62:Q62)</f>
        <v>#N/A</v>
      </c>
      <c r="S62" s="6">
        <f>IF(ISNA(MATCH(S$2,Inputs!$K$4:$AJ$4,0)),NA(),IF(SUMPRODUCT((Inputs!$A$5:$A$180=$B62)*ISNUMBER(INDEX(Inputs!$K$5:$AJ$180,0,MATCH(S$2,Inputs!$K$4:$AJ$4,0))))+SUMPRODUCT((Inputs!$C$5:$C$180=$B62)*ISNUMBER(INDEX(Inputs!$K$5:$AJ$180,0,MATCH(S$2,Inputs!$K$4:$AJ$4,0))))+SUMPRODUCT((Inputs!$E$5:$E$180=$B62)*ISNUMBER(INDEX(Inputs!$K$5:$AJ$180,0,MATCH(S$2,Inputs!$K$4:$AJ$4,0))))=0,NA(),SUMPRODUCT((Inputs!$A$5:$A$180=$B62)*Inputs!$B$5:$B$180*(((Inputs!$G$5:$G$180="moeda")+(Inputs!$G$5:$G$180="acoes"))*Inputs!$B$1+((Inputs!$G$5:$G$180&lt;&gt;"moeda")*(Inputs!$G$5:$G$180&lt;&gt;"acoes")))*INDEX(Inputs!$K$5:$AJ$180,0,MATCH(S$2,Inputs!$K$4:$AJ$4,0)))+SUMPRODUCT((Inputs!$C$5:$C$180=$B62)*Inputs!$D$5:$D$180*(((Inputs!$G$5:$G$180="moeda")+(Inputs!$G$5:$G$180="acoes"))*Inputs!$B$1+((Inputs!$G$5:$G$180&lt;&gt;"moeda")*(Inputs!$G$5:$G$180&lt;&gt;"acoes")))*INDEX(Inputs!$K$5:$AJ$180,0,MATCH(S$2,Inputs!$K$4:$AJ$4,0)))+SUMPRODUCT((Inputs!$E$5:$E$180=$B62)*Inputs!$F$5:$F$180*(((Inputs!$G$5:$G$180="moeda")+(Inputs!$G$5:$G$180="acoes"))*Inputs!$B$1+((Inputs!$G$5:$G$180&lt;&gt;"moeda")*(Inputs!$G$5:$G$180&lt;&gt;"acoes")))*INDEX(Inputs!$K$5:$AJ$180,0,MATCH(S$2,Inputs!$K$4:$AJ$4,0)))))</f>
        <v>44185.14</v>
      </c>
      <c r="T62" s="6">
        <f>IF(ISNA(MATCH(T$2,Inputs!$K$4:$AJ$4,0)),NA(),IF(SUMPRODUCT((Inputs!$A$5:$A$180=$B62)*ISNUMBER(INDEX(Inputs!$K$5:$AJ$180,0,MATCH(T$2,Inputs!$K$4:$AJ$4,0))))+SUMPRODUCT((Inputs!$C$5:$C$180=$B62)*ISNUMBER(INDEX(Inputs!$K$5:$AJ$180,0,MATCH(T$2,Inputs!$K$4:$AJ$4,0))))+SUMPRODUCT((Inputs!$E$5:$E$180=$B62)*ISNUMBER(INDEX(Inputs!$K$5:$AJ$180,0,MATCH(T$2,Inputs!$K$4:$AJ$4,0))))=0,NA(),SUMPRODUCT((Inputs!$A$5:$A$180=$B62)*Inputs!$B$5:$B$180*(((Inputs!$G$5:$G$180="moeda")+(Inputs!$G$5:$G$180="acoes"))*Inputs!$B$1+((Inputs!$G$5:$G$180&lt;&gt;"moeda")*(Inputs!$G$5:$G$180&lt;&gt;"acoes")))*INDEX(Inputs!$K$5:$AJ$180,0,MATCH(T$2,Inputs!$K$4:$AJ$4,0)))+SUMPRODUCT((Inputs!$C$5:$C$180=$B62)*Inputs!$D$5:$D$180*(((Inputs!$G$5:$G$180="moeda")+(Inputs!$G$5:$G$180="acoes"))*Inputs!$B$1+((Inputs!$G$5:$G$180&lt;&gt;"moeda")*(Inputs!$G$5:$G$180&lt;&gt;"acoes")))*INDEX(Inputs!$K$5:$AJ$180,0,MATCH(T$2,Inputs!$K$4:$AJ$4,0)))+SUMPRODUCT((Inputs!$E$5:$E$180=$B62)*Inputs!$F$5:$F$180*(((Inputs!$G$5:$G$180="moeda")+(Inputs!$G$5:$G$180="acoes"))*Inputs!$B$1+((Inputs!$G$5:$G$180&lt;&gt;"moeda")*(Inputs!$G$5:$G$180&lt;&gt;"acoes")))*INDEX(Inputs!$K$5:$AJ$180,0,MATCH(T$2,Inputs!$K$4:$AJ$4,0)))))</f>
        <v>47746.356</v>
      </c>
      <c r="U62" s="6">
        <f>IF(ISNA(MATCH(U$2,Inputs!$K$4:$AJ$4,0)),NA(),IF(SUMPRODUCT((Inputs!$A$5:$A$180=$B62)*ISNUMBER(INDEX(Inputs!$K$5:$AJ$180,0,MATCH(U$2,Inputs!$K$4:$AJ$4,0))))+SUMPRODUCT((Inputs!$C$5:$C$180=$B62)*ISNUMBER(INDEX(Inputs!$K$5:$AJ$180,0,MATCH(U$2,Inputs!$K$4:$AJ$4,0))))+SUMPRODUCT((Inputs!$E$5:$E$180=$B62)*ISNUMBER(INDEX(Inputs!$K$5:$AJ$180,0,MATCH(U$2,Inputs!$K$4:$AJ$4,0))))=0,NA(),SUMPRODUCT((Inputs!$A$5:$A$180=$B62)*Inputs!$B$5:$B$180*(((Inputs!$G$5:$G$180="moeda")+(Inputs!$G$5:$G$180="acoes"))*Inputs!$B$1+((Inputs!$G$5:$G$180&lt;&gt;"moeda")*(Inputs!$G$5:$G$180&lt;&gt;"acoes")))*INDEX(Inputs!$K$5:$AJ$180,0,MATCH(U$2,Inputs!$K$4:$AJ$4,0)))+SUMPRODUCT((Inputs!$C$5:$C$180=$B62)*Inputs!$D$5:$D$180*(((Inputs!$G$5:$G$180="moeda")+(Inputs!$G$5:$G$180="acoes"))*Inputs!$B$1+((Inputs!$G$5:$G$180&lt;&gt;"moeda")*(Inputs!$G$5:$G$180&lt;&gt;"acoes")))*INDEX(Inputs!$K$5:$AJ$180,0,MATCH(U$2,Inputs!$K$4:$AJ$4,0)))+SUMPRODUCT((Inputs!$E$5:$E$180=$B62)*Inputs!$F$5:$F$180*(((Inputs!$G$5:$G$180="moeda")+(Inputs!$G$5:$G$180="acoes"))*Inputs!$B$1+((Inputs!$G$5:$G$180&lt;&gt;"moeda")*(Inputs!$G$5:$G$180&lt;&gt;"acoes")))*INDEX(Inputs!$K$5:$AJ$180,0,MATCH(U$2,Inputs!$K$4:$AJ$4,0)))))</f>
        <v>49313.0979999999</v>
      </c>
      <c r="V62" s="6">
        <f>IF(ISNA(MATCH(V$2,Inputs!$K$4:$AJ$4,0)),NA(),IF(SUMPRODUCT((Inputs!$A$5:$A$180=$B62)*ISNUMBER(INDEX(Inputs!$K$5:$AJ$180,0,MATCH(V$2,Inputs!$K$4:$AJ$4,0))))+SUMPRODUCT((Inputs!$C$5:$C$180=$B62)*ISNUMBER(INDEX(Inputs!$K$5:$AJ$180,0,MATCH(V$2,Inputs!$K$4:$AJ$4,0))))+SUMPRODUCT((Inputs!$E$5:$E$180=$B62)*ISNUMBER(INDEX(Inputs!$K$5:$AJ$180,0,MATCH(V$2,Inputs!$K$4:$AJ$4,0))))=0,NA(),SUMPRODUCT((Inputs!$A$5:$A$180=$B62)*Inputs!$B$5:$B$180*(((Inputs!$G$5:$G$180="moeda")+(Inputs!$G$5:$G$180="acoes"))*Inputs!$B$1+((Inputs!$G$5:$G$180&lt;&gt;"moeda")*(Inputs!$G$5:$G$180&lt;&gt;"acoes")))*INDEX(Inputs!$K$5:$AJ$180,0,MATCH(V$2,Inputs!$K$4:$AJ$4,0)))+SUMPRODUCT((Inputs!$C$5:$C$180=$B62)*Inputs!$D$5:$D$180*(((Inputs!$G$5:$G$180="moeda")+(Inputs!$G$5:$G$180="acoes"))*Inputs!$B$1+((Inputs!$G$5:$G$180&lt;&gt;"moeda")*(Inputs!$G$5:$G$180&lt;&gt;"acoes")))*INDEX(Inputs!$K$5:$AJ$180,0,MATCH(V$2,Inputs!$K$4:$AJ$4,0)))+SUMPRODUCT((Inputs!$E$5:$E$180=$B62)*Inputs!$F$5:$F$180*(((Inputs!$G$5:$G$180="moeda")+(Inputs!$G$5:$G$180="acoes"))*Inputs!$B$1+((Inputs!$G$5:$G$180&lt;&gt;"moeda")*(Inputs!$G$5:$G$180&lt;&gt;"acoes")))*INDEX(Inputs!$K$5:$AJ$180,0,MATCH(V$2,Inputs!$K$4:$AJ$4,0)))))</f>
        <v>45175.0470000095</v>
      </c>
      <c r="W62" s="3">
        <f>SUM(S62:V62)</f>
        <v>186419.641000009</v>
      </c>
      <c r="X62" s="6">
        <f>IF(ISNA(MATCH(X$2,Inputs!$K$4:$AJ$4,0)),NA(),IF(SUMPRODUCT((Inputs!$A$5:$A$180=$B62)*ISNUMBER(INDEX(Inputs!$K$5:$AJ$180,0,MATCH(X$2,Inputs!$K$4:$AJ$4,0))))+SUMPRODUCT((Inputs!$C$5:$C$180=$B62)*ISNUMBER(INDEX(Inputs!$K$5:$AJ$180,0,MATCH(X$2,Inputs!$K$4:$AJ$4,0))))+SUMPRODUCT((Inputs!$E$5:$E$180=$B62)*ISNUMBER(INDEX(Inputs!$K$5:$AJ$180,0,MATCH(X$2,Inputs!$K$4:$AJ$4,0))))=0,NA(),SUMPRODUCT((Inputs!$A$5:$A$180=$B62)*Inputs!$B$5:$B$180*(((Inputs!$G$5:$G$180="moeda")+(Inputs!$G$5:$G$180="acoes"))*Inputs!$B$1+((Inputs!$G$5:$G$180&lt;&gt;"moeda")*(Inputs!$G$5:$G$180&lt;&gt;"acoes")))*INDEX(Inputs!$K$5:$AJ$180,0,MATCH(X$2,Inputs!$K$4:$AJ$4,0)))+SUMPRODUCT((Inputs!$C$5:$C$180=$B62)*Inputs!$D$5:$D$180*(((Inputs!$G$5:$G$180="moeda")+(Inputs!$G$5:$G$180="acoes"))*Inputs!$B$1+((Inputs!$G$5:$G$180&lt;&gt;"moeda")*(Inputs!$G$5:$G$180&lt;&gt;"acoes")))*INDEX(Inputs!$K$5:$AJ$180,0,MATCH(X$2,Inputs!$K$4:$AJ$4,0)))+SUMPRODUCT((Inputs!$E$5:$E$180=$B62)*Inputs!$F$5:$F$180*(((Inputs!$G$5:$G$180="moeda")+(Inputs!$G$5:$G$180="acoes"))*Inputs!$B$1+((Inputs!$G$5:$G$180&lt;&gt;"moeda")*(Inputs!$G$5:$G$180&lt;&gt;"acoes")))*INDEX(Inputs!$K$5:$AJ$180,0,MATCH(X$2,Inputs!$K$4:$AJ$4,0)))))</f>
        <v>49242.257</v>
      </c>
      <c r="Y62" s="6">
        <f>IF(ISNA(MATCH(Y$2,Inputs!$K$4:$AJ$4,0)),NA(),IF(SUMPRODUCT((Inputs!$A$5:$A$180=$B62)*ISNUMBER(INDEX(Inputs!$K$5:$AJ$180,0,MATCH(Y$2,Inputs!$K$4:$AJ$4,0))))+SUMPRODUCT((Inputs!$C$5:$C$180=$B62)*ISNUMBER(INDEX(Inputs!$K$5:$AJ$180,0,MATCH(Y$2,Inputs!$K$4:$AJ$4,0))))+SUMPRODUCT((Inputs!$E$5:$E$180=$B62)*ISNUMBER(INDEX(Inputs!$K$5:$AJ$180,0,MATCH(Y$2,Inputs!$K$4:$AJ$4,0))))=0,NA(),SUMPRODUCT((Inputs!$A$5:$A$180=$B62)*Inputs!$B$5:$B$180*(((Inputs!$G$5:$G$180="moeda")+(Inputs!$G$5:$G$180="acoes"))*Inputs!$B$1+((Inputs!$G$5:$G$180&lt;&gt;"moeda")*(Inputs!$G$5:$G$180&lt;&gt;"acoes")))*INDEX(Inputs!$K$5:$AJ$180,0,MATCH(Y$2,Inputs!$K$4:$AJ$4,0)))+SUMPRODUCT((Inputs!$C$5:$C$180=$B62)*Inputs!$D$5:$D$180*(((Inputs!$G$5:$G$180="moeda")+(Inputs!$G$5:$G$180="acoes"))*Inputs!$B$1+((Inputs!$G$5:$G$180&lt;&gt;"moeda")*(Inputs!$G$5:$G$180&lt;&gt;"acoes")))*INDEX(Inputs!$K$5:$AJ$180,0,MATCH(Y$2,Inputs!$K$4:$AJ$4,0)))+SUMPRODUCT((Inputs!$E$5:$E$180=$B62)*Inputs!$F$5:$F$180*(((Inputs!$G$5:$G$180="moeda")+(Inputs!$G$5:$G$180="acoes"))*Inputs!$B$1+((Inputs!$G$5:$G$180&lt;&gt;"moeda")*(Inputs!$G$5:$G$180&lt;&gt;"acoes")))*INDEX(Inputs!$K$5:$AJ$180,0,MATCH(Y$2,Inputs!$K$4:$AJ$4,0)))))</f>
        <v>49738.982</v>
      </c>
      <c r="Z62" s="6">
        <f>IF(ISNA(MATCH(Z$2,Inputs!$K$4:$AJ$4,0)),NA(),IF(SUMPRODUCT((Inputs!$A$5:$A$180=$B62)*ISNUMBER(INDEX(Inputs!$K$5:$AJ$180,0,MATCH(Z$2,Inputs!$K$4:$AJ$4,0))))+SUMPRODUCT((Inputs!$C$5:$C$180=$B62)*ISNUMBER(INDEX(Inputs!$K$5:$AJ$180,0,MATCH(Z$2,Inputs!$K$4:$AJ$4,0))))+SUMPRODUCT((Inputs!$E$5:$E$180=$B62)*ISNUMBER(INDEX(Inputs!$K$5:$AJ$180,0,MATCH(Z$2,Inputs!$K$4:$AJ$4,0))))=0,NA(),SUMPRODUCT((Inputs!$A$5:$A$180=$B62)*Inputs!$B$5:$B$180*(((Inputs!$G$5:$G$180="moeda")+(Inputs!$G$5:$G$180="acoes"))*Inputs!$B$1+((Inputs!$G$5:$G$180&lt;&gt;"moeda")*(Inputs!$G$5:$G$180&lt;&gt;"acoes")))*INDEX(Inputs!$K$5:$AJ$180,0,MATCH(Z$2,Inputs!$K$4:$AJ$4,0)))+SUMPRODUCT((Inputs!$C$5:$C$180=$B62)*Inputs!$D$5:$D$180*(((Inputs!$G$5:$G$180="moeda")+(Inputs!$G$5:$G$180="acoes"))*Inputs!$B$1+((Inputs!$G$5:$G$180&lt;&gt;"moeda")*(Inputs!$G$5:$G$180&lt;&gt;"acoes")))*INDEX(Inputs!$K$5:$AJ$180,0,MATCH(Z$2,Inputs!$K$4:$AJ$4,0)))+SUMPRODUCT((Inputs!$E$5:$E$180=$B62)*Inputs!$F$5:$F$180*(((Inputs!$G$5:$G$180="moeda")+(Inputs!$G$5:$G$180="acoes"))*Inputs!$B$1+((Inputs!$G$5:$G$180&lt;&gt;"moeda")*(Inputs!$G$5:$G$180&lt;&gt;"acoes")))*INDEX(Inputs!$K$5:$AJ$180,0,MATCH(Z$2,Inputs!$K$4:$AJ$4,0)))))</f>
        <v>53681.259</v>
      </c>
      <c r="AA62" s="6">
        <f>IF(ISNA(MATCH(AA$2,Inputs!$K$4:$AJ$4,0)),NA(),IF(SUMPRODUCT((Inputs!$A$5:$A$180=$B62)*ISNUMBER(INDEX(Inputs!$K$5:$AJ$180,0,MATCH(AA$2,Inputs!$K$4:$AJ$4,0))))+SUMPRODUCT((Inputs!$C$5:$C$180=$B62)*ISNUMBER(INDEX(Inputs!$K$5:$AJ$180,0,MATCH(AA$2,Inputs!$K$4:$AJ$4,0))))+SUMPRODUCT((Inputs!$E$5:$E$180=$B62)*ISNUMBER(INDEX(Inputs!$K$5:$AJ$180,0,MATCH(AA$2,Inputs!$K$4:$AJ$4,0))))=0,NA(),SUMPRODUCT((Inputs!$A$5:$A$180=$B62)*Inputs!$B$5:$B$180*(((Inputs!$G$5:$G$180="moeda")+(Inputs!$G$5:$G$180="acoes"))*Inputs!$B$1+((Inputs!$G$5:$G$180&lt;&gt;"moeda")*(Inputs!$G$5:$G$180&lt;&gt;"acoes")))*INDEX(Inputs!$K$5:$AJ$180,0,MATCH(AA$2,Inputs!$K$4:$AJ$4,0)))+SUMPRODUCT((Inputs!$C$5:$C$180=$B62)*Inputs!$D$5:$D$180*(((Inputs!$G$5:$G$180="moeda")+(Inputs!$G$5:$G$180="acoes"))*Inputs!$B$1+((Inputs!$G$5:$G$180&lt;&gt;"moeda")*(Inputs!$G$5:$G$180&lt;&gt;"acoes")))*INDEX(Inputs!$K$5:$AJ$180,0,MATCH(AA$2,Inputs!$K$4:$AJ$4,0)))+SUMPRODUCT((Inputs!$E$5:$E$180=$B62)*Inputs!$F$5:$F$180*(((Inputs!$G$5:$G$180="moeda")+(Inputs!$G$5:$G$180="acoes"))*Inputs!$B$1+((Inputs!$G$5:$G$180&lt;&gt;"moeda")*(Inputs!$G$5:$G$180&lt;&gt;"acoes")))*INDEX(Inputs!$K$5:$AJ$180,0,MATCH(AA$2,Inputs!$K$4:$AJ$4,0)))))</f>
        <v>50715.319</v>
      </c>
      <c r="AB62" s="3">
        <f>SUM(X62:AA62)</f>
        <v>203377.817</v>
      </c>
      <c r="AC62" s="6">
        <f>IF(ISNA(MATCH(AC$2,Inputs!$K$4:$AJ$4,0)),NA(),IF(SUMPRODUCT((Inputs!$A$5:$A$180=$B62)*ISNUMBER(INDEX(Inputs!$K$5:$AJ$180,0,MATCH(AC$2,Inputs!$K$4:$AJ$4,0))))+SUMPRODUCT((Inputs!$C$5:$C$180=$B62)*ISNUMBER(INDEX(Inputs!$K$5:$AJ$180,0,MATCH(AC$2,Inputs!$K$4:$AJ$4,0))))+SUMPRODUCT((Inputs!$E$5:$E$180=$B62)*ISNUMBER(INDEX(Inputs!$K$5:$AJ$180,0,MATCH(AC$2,Inputs!$K$4:$AJ$4,0))))=0,NA(),SUMPRODUCT((Inputs!$A$5:$A$180=$B62)*Inputs!$B$5:$B$180*(((Inputs!$G$5:$G$180="moeda")+(Inputs!$G$5:$G$180="acoes"))*Inputs!$B$1+((Inputs!$G$5:$G$180&lt;&gt;"moeda")*(Inputs!$G$5:$G$180&lt;&gt;"acoes")))*INDEX(Inputs!$K$5:$AJ$180,0,MATCH(AC$2,Inputs!$K$4:$AJ$4,0)))+SUMPRODUCT((Inputs!$C$5:$C$180=$B62)*Inputs!$D$5:$D$180*(((Inputs!$G$5:$G$180="moeda")+(Inputs!$G$5:$G$180="acoes"))*Inputs!$B$1+((Inputs!$G$5:$G$180&lt;&gt;"moeda")*(Inputs!$G$5:$G$180&lt;&gt;"acoes")))*INDEX(Inputs!$K$5:$AJ$180,0,MATCH(AC$2,Inputs!$K$4:$AJ$4,0)))+SUMPRODUCT((Inputs!$E$5:$E$180=$B62)*Inputs!$F$5:$F$180*(((Inputs!$G$5:$G$180="moeda")+(Inputs!$G$5:$G$180="acoes"))*Inputs!$B$1+((Inputs!$G$5:$G$180&lt;&gt;"moeda")*(Inputs!$G$5:$G$180&lt;&gt;"acoes")))*INDEX(Inputs!$K$5:$AJ$180,0,MATCH(AC$2,Inputs!$K$4:$AJ$4,0)))))</f>
        <v>56978.643</v>
      </c>
      <c r="AD62" s="6">
        <f>IF(ISNA(MATCH(AD$2,Inputs!$K$4:$AJ$4,0)),NA(),IF(SUMPRODUCT((Inputs!$A$5:$A$180=$B62)*ISNUMBER(INDEX(Inputs!$K$5:$AJ$180,0,MATCH(AD$2,Inputs!$K$4:$AJ$4,0))))+SUMPRODUCT((Inputs!$C$5:$C$180=$B62)*ISNUMBER(INDEX(Inputs!$K$5:$AJ$180,0,MATCH(AD$2,Inputs!$K$4:$AJ$4,0))))+SUMPRODUCT((Inputs!$E$5:$E$180=$B62)*ISNUMBER(INDEX(Inputs!$K$5:$AJ$180,0,MATCH(AD$2,Inputs!$K$4:$AJ$4,0))))=0,NA(),SUMPRODUCT((Inputs!$A$5:$A$180=$B62)*Inputs!$B$5:$B$180*(((Inputs!$G$5:$G$180="moeda")+(Inputs!$G$5:$G$180="acoes"))*Inputs!$B$1+((Inputs!$G$5:$G$180&lt;&gt;"moeda")*(Inputs!$G$5:$G$180&lt;&gt;"acoes")))*INDEX(Inputs!$K$5:$AJ$180,0,MATCH(AD$2,Inputs!$K$4:$AJ$4,0)))+SUMPRODUCT((Inputs!$C$5:$C$180=$B62)*Inputs!$D$5:$D$180*(((Inputs!$G$5:$G$180="moeda")+(Inputs!$G$5:$G$180="acoes"))*Inputs!$B$1+((Inputs!$G$5:$G$180&lt;&gt;"moeda")*(Inputs!$G$5:$G$180&lt;&gt;"acoes")))*INDEX(Inputs!$K$5:$AJ$180,0,MATCH(AD$2,Inputs!$K$4:$AJ$4,0)))+SUMPRODUCT((Inputs!$E$5:$E$180=$B62)*Inputs!$F$5:$F$180*(((Inputs!$G$5:$G$180="moeda")+(Inputs!$G$5:$G$180="acoes"))*Inputs!$B$1+((Inputs!$G$5:$G$180&lt;&gt;"moeda")*(Inputs!$G$5:$G$180&lt;&gt;"acoes")))*INDEX(Inputs!$K$5:$AJ$180,0,MATCH(AD$2,Inputs!$K$4:$AJ$4,0)))))</f>
        <v>60275.898</v>
      </c>
      <c r="AE62" s="6" t="e">
        <f>IF(ISNA(MATCH(AE$2,Inputs!$K$4:$AJ$4,0)),NA(),IF(SUMPRODUCT((Inputs!$A$5:$A$180=$B62)*ISNUMBER(INDEX(Inputs!$K$5:$AJ$180,0,MATCH(AE$2,Inputs!$K$4:$AJ$4,0))))+SUMPRODUCT((Inputs!$C$5:$C$180=$B62)*ISNUMBER(INDEX(Inputs!$K$5:$AJ$180,0,MATCH(AE$2,Inputs!$K$4:$AJ$4,0))))+SUMPRODUCT((Inputs!$E$5:$E$180=$B62)*ISNUMBER(INDEX(Inputs!$K$5:$AJ$180,0,MATCH(AE$2,Inputs!$K$4:$AJ$4,0))))=0,NA(),SUMPRODUCT((Inputs!$A$5:$A$180=$B62)*Inputs!$B$5:$B$180*(((Inputs!$G$5:$G$180="moeda")+(Inputs!$G$5:$G$180="acoes"))*Inputs!$B$1+((Inputs!$G$5:$G$180&lt;&gt;"moeda")*(Inputs!$G$5:$G$180&lt;&gt;"acoes")))*INDEX(Inputs!$K$5:$AJ$180,0,MATCH(AE$2,Inputs!$K$4:$AJ$4,0)))+SUMPRODUCT((Inputs!$C$5:$C$180=$B62)*Inputs!$D$5:$D$180*(((Inputs!$G$5:$G$180="moeda")+(Inputs!$G$5:$G$180="acoes"))*Inputs!$B$1+((Inputs!$G$5:$G$180&lt;&gt;"moeda")*(Inputs!$G$5:$G$180&lt;&gt;"acoes")))*INDEX(Inputs!$K$5:$AJ$180,0,MATCH(AE$2,Inputs!$K$4:$AJ$4,0)))+SUMPRODUCT((Inputs!$E$5:$E$180=$B62)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2" s="6" t="e">
        <f>IF(ISNA(MATCH(AF$2,Inputs!$K$4:$AJ$4,0)),NA(),IF(SUMPRODUCT((Inputs!$A$5:$A$180=$B62)*ISNUMBER(INDEX(Inputs!$K$5:$AJ$180,0,MATCH(AF$2,Inputs!$K$4:$AJ$4,0))))+SUMPRODUCT((Inputs!$C$5:$C$180=$B62)*ISNUMBER(INDEX(Inputs!$K$5:$AJ$180,0,MATCH(AF$2,Inputs!$K$4:$AJ$4,0))))+SUMPRODUCT((Inputs!$E$5:$E$180=$B62)*ISNUMBER(INDEX(Inputs!$K$5:$AJ$180,0,MATCH(AF$2,Inputs!$K$4:$AJ$4,0))))=0,NA(),SUMPRODUCT((Inputs!$A$5:$A$180=$B62)*Inputs!$B$5:$B$180*(((Inputs!$G$5:$G$180="moeda")+(Inputs!$G$5:$G$180="acoes"))*Inputs!$B$1+((Inputs!$G$5:$G$180&lt;&gt;"moeda")*(Inputs!$G$5:$G$180&lt;&gt;"acoes")))*INDEX(Inputs!$K$5:$AJ$180,0,MATCH(AF$2,Inputs!$K$4:$AJ$4,0)))+SUMPRODUCT((Inputs!$C$5:$C$180=$B62)*Inputs!$D$5:$D$180*(((Inputs!$G$5:$G$180="moeda")+(Inputs!$G$5:$G$180="acoes"))*Inputs!$B$1+((Inputs!$G$5:$G$180&lt;&gt;"moeda")*(Inputs!$G$5:$G$180&lt;&gt;"acoes")))*INDEX(Inputs!$K$5:$AJ$180,0,MATCH(AF$2,Inputs!$K$4:$AJ$4,0)))+SUMPRODUCT((Inputs!$E$5:$E$180=$B62)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2" s="3" t="e">
        <f>SUM(AC62:AF62)</f>
        <v>#N/A</v>
      </c>
      <c r="AH62" s="6">
        <f>IF(ISNA(MATCH(AH$2,Inputs!$K$4:$AJ$4,0)),NA(),IF(SUMPRODUCT((Inputs!$A$5:$A$180=$B62)*ISNUMBER(INDEX(Inputs!$K$5:$AJ$180,0,MATCH(AH$2,Inputs!$K$4:$AJ$4,0))))+SUMPRODUCT((Inputs!$C$5:$C$180=$B62)*ISNUMBER(INDEX(Inputs!$K$5:$AJ$180,0,MATCH(AH$2,Inputs!$K$4:$AJ$4,0))))+SUMPRODUCT((Inputs!$E$5:$E$180=$B62)*ISNUMBER(INDEX(Inputs!$K$5:$AJ$180,0,MATCH(AH$2,Inputs!$K$4:$AJ$4,0))))=0,NA(),SUMPRODUCT((Inputs!$A$5:$A$180=$B62)*Inputs!$B$5:$B$180*(((Inputs!$G$5:$G$180="moeda")+(Inputs!$G$5:$G$180="acoes"))*Inputs!$B$1+((Inputs!$G$5:$G$180&lt;&gt;"moeda")*(Inputs!$G$5:$G$180&lt;&gt;"acoes")))*INDEX(Inputs!$K$5:$AJ$180,0,MATCH(AH$2,Inputs!$K$4:$AJ$4,0)))+SUMPRODUCT((Inputs!$C$5:$C$180=$B62)*Inputs!$D$5:$D$180*(((Inputs!$G$5:$G$180="moeda")+(Inputs!$G$5:$G$180="acoes"))*Inputs!$B$1+((Inputs!$G$5:$G$180&lt;&gt;"moeda")*(Inputs!$G$5:$G$180&lt;&gt;"acoes")))*INDEX(Inputs!$K$5:$AJ$180,0,MATCH(AH$2,Inputs!$K$4:$AJ$4,0)))+SUMPRODUCT((Inputs!$E$5:$E$180=$B62)*Inputs!$F$5:$F$180*(((Inputs!$G$5:$G$180="moeda")+(Inputs!$G$5:$G$180="acoes"))*Inputs!$B$1+((Inputs!$G$5:$G$180&lt;&gt;"moeda")*(Inputs!$G$5:$G$180&lt;&gt;"acoes")))*INDEX(Inputs!$K$5:$AJ$180,0,MATCH(AH$2,Inputs!$K$4:$AJ$4,0)))))</f>
        <v>7765.04180815767</v>
      </c>
      <c r="AI62" s="6">
        <f>IF(ISNA(MATCH(AI$2,Inputs!$K$4:$AJ$4,0)),NA(),IF(SUMPRODUCT((Inputs!$A$5:$A$180=$B62)*ISNUMBER(INDEX(Inputs!$K$5:$AJ$180,0,MATCH(AI$2,Inputs!$K$4:$AJ$4,0))))+SUMPRODUCT((Inputs!$C$5:$C$180=$B62)*ISNUMBER(INDEX(Inputs!$K$5:$AJ$180,0,MATCH(AI$2,Inputs!$K$4:$AJ$4,0))))+SUMPRODUCT((Inputs!$E$5:$E$180=$B62)*ISNUMBER(INDEX(Inputs!$K$5:$AJ$180,0,MATCH(AI$2,Inputs!$K$4:$AJ$4,0))))=0,NA(),SUMPRODUCT((Inputs!$A$5:$A$180=$B62)*Inputs!$B$5:$B$180*(((Inputs!$G$5:$G$180="moeda")+(Inputs!$G$5:$G$180="acoes"))*Inputs!$B$1+((Inputs!$G$5:$G$180&lt;&gt;"moeda")*(Inputs!$G$5:$G$180&lt;&gt;"acoes")))*INDEX(Inputs!$K$5:$AJ$180,0,MATCH(AI$2,Inputs!$K$4:$AJ$4,0)))+SUMPRODUCT((Inputs!$C$5:$C$180=$B62)*Inputs!$D$5:$D$180*(((Inputs!$G$5:$G$180="moeda")+(Inputs!$G$5:$G$180="acoes"))*Inputs!$B$1+((Inputs!$G$5:$G$180&lt;&gt;"moeda")*(Inputs!$G$5:$G$180&lt;&gt;"acoes")))*INDEX(Inputs!$K$5:$AJ$180,0,MATCH(AI$2,Inputs!$K$4:$AJ$4,0)))+SUMPRODUCT((Inputs!$E$5:$E$180=$B62)*Inputs!$F$5:$F$180*(((Inputs!$G$5:$G$180="moeda")+(Inputs!$G$5:$G$180="acoes"))*Inputs!$B$1+((Inputs!$G$5:$G$180&lt;&gt;"moeda")*(Inputs!$G$5:$G$180&lt;&gt;"acoes")))*INDEX(Inputs!$K$5:$AJ$180,0,MATCH(AI$2,Inputs!$K$4:$AJ$4,0)))))</f>
        <v>5981.309</v>
      </c>
      <c r="AJ62" s="6">
        <f>IF(ISNA(MATCH(AJ$2,Inputs!$K$4:$AJ$4,0)),NA(),IF(SUMPRODUCT((Inputs!$A$5:$A$180=$B62)*ISNUMBER(INDEX(Inputs!$K$5:$AJ$180,0,MATCH(AJ$2,Inputs!$K$4:$AJ$4,0))))+SUMPRODUCT((Inputs!$C$5:$C$180=$B62)*ISNUMBER(INDEX(Inputs!$K$5:$AJ$180,0,MATCH(AJ$2,Inputs!$K$4:$AJ$4,0))))+SUMPRODUCT((Inputs!$E$5:$E$180=$B62)*ISNUMBER(INDEX(Inputs!$K$5:$AJ$180,0,MATCH(AJ$2,Inputs!$K$4:$AJ$4,0))))=0,NA(),SUMPRODUCT((Inputs!$A$5:$A$180=$B62)*Inputs!$B$5:$B$180*(((Inputs!$G$5:$G$180="moeda")+(Inputs!$G$5:$G$180="acoes"))*Inputs!$B$1+((Inputs!$G$5:$G$180&lt;&gt;"moeda")*(Inputs!$G$5:$G$180&lt;&gt;"acoes")))*INDEX(Inputs!$K$5:$AJ$180,0,MATCH(AJ$2,Inputs!$K$4:$AJ$4,0)))+SUMPRODUCT((Inputs!$C$5:$C$180=$B62)*Inputs!$D$5:$D$180*(((Inputs!$G$5:$G$180="moeda")+(Inputs!$G$5:$G$180="acoes"))*Inputs!$B$1+((Inputs!$G$5:$G$180&lt;&gt;"moeda")*(Inputs!$G$5:$G$180&lt;&gt;"acoes")))*INDEX(Inputs!$K$5:$AJ$180,0,MATCH(AJ$2,Inputs!$K$4:$AJ$4,0)))+SUMPRODUCT((Inputs!$E$5:$E$180=$B62)*Inputs!$F$5:$F$180*(((Inputs!$G$5:$G$180="moeda")+(Inputs!$G$5:$G$180="acoes"))*Inputs!$B$1+((Inputs!$G$5:$G$180&lt;&gt;"moeda")*(Inputs!$G$5:$G$180&lt;&gt;"acoes")))*INDEX(Inputs!$K$5:$AJ$180,0,MATCH(AJ$2,Inputs!$K$4:$AJ$4,0)))))</f>
        <v>8500.653</v>
      </c>
      <c r="AK62" s="6">
        <f>IF(ISNA(MATCH(AK$2,Inputs!$K$4:$AJ$4,0)),NA(),IF(SUMPRODUCT((Inputs!$A$5:$A$180=$B62)*ISNUMBER(INDEX(Inputs!$K$5:$AJ$180,0,MATCH(AK$2,Inputs!$K$4:$AJ$4,0))))+SUMPRODUCT((Inputs!$C$5:$C$180=$B62)*ISNUMBER(INDEX(Inputs!$K$5:$AJ$180,0,MATCH(AK$2,Inputs!$K$4:$AJ$4,0))))+SUMPRODUCT((Inputs!$E$5:$E$180=$B62)*ISNUMBER(INDEX(Inputs!$K$5:$AJ$180,0,MATCH(AK$2,Inputs!$K$4:$AJ$4,0))))=0,NA(),SUMPRODUCT((Inputs!$A$5:$A$180=$B62)*Inputs!$B$5:$B$180*(((Inputs!$G$5:$G$180="moeda")+(Inputs!$G$5:$G$180="acoes"))*Inputs!$B$1+((Inputs!$G$5:$G$180&lt;&gt;"moeda")*(Inputs!$G$5:$G$180&lt;&gt;"acoes")))*INDEX(Inputs!$K$5:$AJ$180,0,MATCH(AK$2,Inputs!$K$4:$AJ$4,0)))+SUMPRODUCT((Inputs!$C$5:$C$180=$B62)*Inputs!$D$5:$D$180*(((Inputs!$G$5:$G$180="moeda")+(Inputs!$G$5:$G$180="acoes"))*Inputs!$B$1+((Inputs!$G$5:$G$180&lt;&gt;"moeda")*(Inputs!$G$5:$G$180&lt;&gt;"acoes")))*INDEX(Inputs!$K$5:$AJ$180,0,MATCH(AK$2,Inputs!$K$4:$AJ$4,0)))+SUMPRODUCT((Inputs!$E$5:$E$180=$B62)*Inputs!$F$5:$F$180*(((Inputs!$G$5:$G$180="moeda")+(Inputs!$G$5:$G$180="acoes"))*Inputs!$B$1+((Inputs!$G$5:$G$180&lt;&gt;"moeda")*(Inputs!$G$5:$G$180&lt;&gt;"acoes")))*INDEX(Inputs!$K$5:$AJ$180,0,MATCH(AK$2,Inputs!$K$4:$AJ$4,0)))))</f>
        <v>8855.04075</v>
      </c>
      <c r="AL62" s="3">
        <f>SUM(AH62:AK62)</f>
        <v>31102.0445581577</v>
      </c>
    </row>
    <row r="63">
      <c r="B63" s="46" t="n">
        <v>55</v>
      </c>
      <c r="C63" s="24" t="inlineStr">
        <is>
          <t>Acoes (milhoes)</t>
        </is>
      </c>
      <c r="D63" s="6">
        <f>IF(ISNA(MATCH(D$2,Inputs!$K$4:$AJ$4,0)),NA(),IF(SUMPRODUCT((Inputs!$A$5:$A$180=$B63)*ISNUMBER(INDEX(Inputs!$K$5:$AJ$180,0,MATCH(D$2,Inputs!$K$4:$AJ$4,0))))+SUMPRODUCT((Inputs!$C$5:$C$180=$B63)*ISNUMBER(INDEX(Inputs!$K$5:$AJ$180,0,MATCH(D$2,Inputs!$K$4:$AJ$4,0))))+SUMPRODUCT((Inputs!$E$5:$E$180=$B63)*ISNUMBER(INDEX(Inputs!$K$5:$AJ$180,0,MATCH(D$2,Inputs!$K$4:$AJ$4,0))))=0,NA(),SUMPRODUCT((Inputs!$A$5:$A$180=$B63)*Inputs!$B$5:$B$180*(((Inputs!$G$5:$G$180="moeda")+(Inputs!$G$5:$G$180="acoes"))*Inputs!$B$1+((Inputs!$G$5:$G$180&lt;&gt;"moeda")*(Inputs!$G$5:$G$180&lt;&gt;"acoes")))*INDEX(Inputs!$K$5:$AJ$180,0,MATCH(D$2,Inputs!$K$4:$AJ$4,0)))+SUMPRODUCT((Inputs!$C$5:$C$180=$B63)*Inputs!$D$5:$D$180*(((Inputs!$G$5:$G$180="moeda")+(Inputs!$G$5:$G$180="acoes"))*Inputs!$B$1+((Inputs!$G$5:$G$180&lt;&gt;"moeda")*(Inputs!$G$5:$G$180&lt;&gt;"acoes")))*INDEX(Inputs!$K$5:$AJ$180,0,MATCH(D$2,Inputs!$K$4:$AJ$4,0)))+SUMPRODUCT((Inputs!$E$5:$E$180=$B63)*Inputs!$F$5:$F$180*(((Inputs!$G$5:$G$180="moeda")+(Inputs!$G$5:$G$180="acoes"))*Inputs!$B$1+((Inputs!$G$5:$G$180&lt;&gt;"moeda")*(Inputs!$G$5:$G$180&lt;&gt;"acoes")))*INDEX(Inputs!$K$5:$AJ$180,0,MATCH(D$2,Inputs!$K$4:$AJ$4,0)))))</f>
        <v>317.36631</v>
      </c>
      <c r="E63" s="6">
        <f>IF(ISNA(MATCH(E$2,Inputs!$K$4:$AJ$4,0)),NA(),IF(SUMPRODUCT((Inputs!$A$5:$A$180=$B63)*ISNUMBER(INDEX(Inputs!$K$5:$AJ$180,0,MATCH(E$2,Inputs!$K$4:$AJ$4,0))))+SUMPRODUCT((Inputs!$C$5:$C$180=$B63)*ISNUMBER(INDEX(Inputs!$K$5:$AJ$180,0,MATCH(E$2,Inputs!$K$4:$AJ$4,0))))+SUMPRODUCT((Inputs!$E$5:$E$180=$B63)*ISNUMBER(INDEX(Inputs!$K$5:$AJ$180,0,MATCH(E$2,Inputs!$K$4:$AJ$4,0))))=0,NA(),SUMPRODUCT((Inputs!$A$5:$A$180=$B63)*Inputs!$B$5:$B$180*(((Inputs!$G$5:$G$180="moeda")+(Inputs!$G$5:$G$180="acoes"))*Inputs!$B$1+((Inputs!$G$5:$G$180&lt;&gt;"moeda")*(Inputs!$G$5:$G$180&lt;&gt;"acoes")))*INDEX(Inputs!$K$5:$AJ$180,0,MATCH(E$2,Inputs!$K$4:$AJ$4,0)))+SUMPRODUCT((Inputs!$C$5:$C$180=$B63)*Inputs!$D$5:$D$180*(((Inputs!$G$5:$G$180="moeda")+(Inputs!$G$5:$G$180="acoes"))*Inputs!$B$1+((Inputs!$G$5:$G$180&lt;&gt;"moeda")*(Inputs!$G$5:$G$180&lt;&gt;"acoes")))*INDEX(Inputs!$K$5:$AJ$180,0,MATCH(E$2,Inputs!$K$4:$AJ$4,0)))+SUMPRODUCT((Inputs!$E$5:$E$180=$B63)*Inputs!$F$5:$F$180*(((Inputs!$G$5:$G$180="moeda")+(Inputs!$G$5:$G$180="acoes"))*Inputs!$B$1+((Inputs!$G$5:$G$180&lt;&gt;"moeda")*(Inputs!$G$5:$G$180&lt;&gt;"acoes")))*INDEX(Inputs!$K$5:$AJ$180,0,MATCH(E$2,Inputs!$K$4:$AJ$4,0)))))</f>
        <v>317.36631</v>
      </c>
      <c r="F63" s="6">
        <f>IF(ISNA(MATCH(F$2,Inputs!$K$4:$AJ$4,0)),NA(),IF(SUMPRODUCT((Inputs!$A$5:$A$180=$B63)*ISNUMBER(INDEX(Inputs!$K$5:$AJ$180,0,MATCH(F$2,Inputs!$K$4:$AJ$4,0))))+SUMPRODUCT((Inputs!$C$5:$C$180=$B63)*ISNUMBER(INDEX(Inputs!$K$5:$AJ$180,0,MATCH(F$2,Inputs!$K$4:$AJ$4,0))))+SUMPRODUCT((Inputs!$E$5:$E$180=$B63)*ISNUMBER(INDEX(Inputs!$K$5:$AJ$180,0,MATCH(F$2,Inputs!$K$4:$AJ$4,0))))=0,NA(),SUMPRODUCT((Inputs!$A$5:$A$180=$B63)*Inputs!$B$5:$B$180*(((Inputs!$G$5:$G$180="moeda")+(Inputs!$G$5:$G$180="acoes"))*Inputs!$B$1+((Inputs!$G$5:$G$180&lt;&gt;"moeda")*(Inputs!$G$5:$G$180&lt;&gt;"acoes")))*INDEX(Inputs!$K$5:$AJ$180,0,MATCH(F$2,Inputs!$K$4:$AJ$4,0)))+SUMPRODUCT((Inputs!$C$5:$C$180=$B63)*Inputs!$D$5:$D$180*(((Inputs!$G$5:$G$180="moeda")+(Inputs!$G$5:$G$180="acoes"))*Inputs!$B$1+((Inputs!$G$5:$G$180&lt;&gt;"moeda")*(Inputs!$G$5:$G$180&lt;&gt;"acoes")))*INDEX(Inputs!$K$5:$AJ$180,0,MATCH(F$2,Inputs!$K$4:$AJ$4,0)))+SUMPRODUCT((Inputs!$E$5:$E$180=$B63)*Inputs!$F$5:$F$180*(((Inputs!$G$5:$G$180="moeda")+(Inputs!$G$5:$G$180="acoes"))*Inputs!$B$1+((Inputs!$G$5:$G$180&lt;&gt;"moeda")*(Inputs!$G$5:$G$180&lt;&gt;"acoes")))*INDEX(Inputs!$K$5:$AJ$180,0,MATCH(F$2,Inputs!$K$4:$AJ$4,0)))))</f>
        <v>317.943996</v>
      </c>
      <c r="G63" s="6">
        <f>IF(ISNA(MATCH(G$2,Inputs!$K$4:$AJ$4,0)),NA(),IF(SUMPRODUCT((Inputs!$A$5:$A$180=$B63)*ISNUMBER(INDEX(Inputs!$K$5:$AJ$180,0,MATCH(G$2,Inputs!$K$4:$AJ$4,0))))+SUMPRODUCT((Inputs!$C$5:$C$180=$B63)*ISNUMBER(INDEX(Inputs!$K$5:$AJ$180,0,MATCH(G$2,Inputs!$K$4:$AJ$4,0))))+SUMPRODUCT((Inputs!$E$5:$E$180=$B63)*ISNUMBER(INDEX(Inputs!$K$5:$AJ$180,0,MATCH(G$2,Inputs!$K$4:$AJ$4,0))))=0,NA(),SUMPRODUCT((Inputs!$A$5:$A$180=$B63)*Inputs!$B$5:$B$180*(((Inputs!$G$5:$G$180="moeda")+(Inputs!$G$5:$G$180="acoes"))*Inputs!$B$1+((Inputs!$G$5:$G$180&lt;&gt;"moeda")*(Inputs!$G$5:$G$180&lt;&gt;"acoes")))*INDEX(Inputs!$K$5:$AJ$180,0,MATCH(G$2,Inputs!$K$4:$AJ$4,0)))+SUMPRODUCT((Inputs!$C$5:$C$180=$B63)*Inputs!$D$5:$D$180*(((Inputs!$G$5:$G$180="moeda")+(Inputs!$G$5:$G$180="acoes"))*Inputs!$B$1+((Inputs!$G$5:$G$180&lt;&gt;"moeda")*(Inputs!$G$5:$G$180&lt;&gt;"acoes")))*INDEX(Inputs!$K$5:$AJ$180,0,MATCH(G$2,Inputs!$K$4:$AJ$4,0)))+SUMPRODUCT((Inputs!$E$5:$E$180=$B63)*Inputs!$F$5:$F$180*(((Inputs!$G$5:$G$180="moeda")+(Inputs!$G$5:$G$180="acoes"))*Inputs!$B$1+((Inputs!$G$5:$G$180&lt;&gt;"moeda")*(Inputs!$G$5:$G$180&lt;&gt;"acoes")))*INDEX(Inputs!$K$5:$AJ$180,0,MATCH(G$2,Inputs!$K$4:$AJ$4,0)))))</f>
        <v>317.943996</v>
      </c>
      <c r="H63" s="3">
        <f>G63</f>
        <v>317.943996</v>
      </c>
      <c r="I63" s="6">
        <f>IF(ISNA(MATCH(I$2,Inputs!$K$4:$AJ$4,0)),NA(),IF(SUMPRODUCT((Inputs!$A$5:$A$180=$B63)*ISNUMBER(INDEX(Inputs!$K$5:$AJ$180,0,MATCH(I$2,Inputs!$K$4:$AJ$4,0))))+SUMPRODUCT((Inputs!$C$5:$C$180=$B63)*ISNUMBER(INDEX(Inputs!$K$5:$AJ$180,0,MATCH(I$2,Inputs!$K$4:$AJ$4,0))))+SUMPRODUCT((Inputs!$E$5:$E$180=$B63)*ISNUMBER(INDEX(Inputs!$K$5:$AJ$180,0,MATCH(I$2,Inputs!$K$4:$AJ$4,0))))=0,NA(),SUMPRODUCT((Inputs!$A$5:$A$180=$B63)*Inputs!$B$5:$B$180*(((Inputs!$G$5:$G$180="moeda")+(Inputs!$G$5:$G$180="acoes"))*Inputs!$B$1+((Inputs!$G$5:$G$180&lt;&gt;"moeda")*(Inputs!$G$5:$G$180&lt;&gt;"acoes")))*INDEX(Inputs!$K$5:$AJ$180,0,MATCH(I$2,Inputs!$K$4:$AJ$4,0)))+SUMPRODUCT((Inputs!$C$5:$C$180=$B63)*Inputs!$D$5:$D$180*(((Inputs!$G$5:$G$180="moeda")+(Inputs!$G$5:$G$180="acoes"))*Inputs!$B$1+((Inputs!$G$5:$G$180&lt;&gt;"moeda")*(Inputs!$G$5:$G$180&lt;&gt;"acoes")))*INDEX(Inputs!$K$5:$AJ$180,0,MATCH(I$2,Inputs!$K$4:$AJ$4,0)))+SUMPRODUCT((Inputs!$E$5:$E$180=$B63)*Inputs!$F$5:$F$180*(((Inputs!$G$5:$G$180="moeda")+(Inputs!$G$5:$G$180="acoes"))*Inputs!$B$1+((Inputs!$G$5:$G$180&lt;&gt;"moeda")*(Inputs!$G$5:$G$180&lt;&gt;"acoes")))*INDEX(Inputs!$K$5:$AJ$180,0,MATCH(I$2,Inputs!$K$4:$AJ$4,0)))))</f>
        <v>317.943996</v>
      </c>
      <c r="J63" s="6">
        <f>IF(ISNA(MATCH(J$2,Inputs!$K$4:$AJ$4,0)),NA(),IF(SUMPRODUCT((Inputs!$A$5:$A$180=$B63)*ISNUMBER(INDEX(Inputs!$K$5:$AJ$180,0,MATCH(J$2,Inputs!$K$4:$AJ$4,0))))+SUMPRODUCT((Inputs!$C$5:$C$180=$B63)*ISNUMBER(INDEX(Inputs!$K$5:$AJ$180,0,MATCH(J$2,Inputs!$K$4:$AJ$4,0))))+SUMPRODUCT((Inputs!$E$5:$E$180=$B63)*ISNUMBER(INDEX(Inputs!$K$5:$AJ$180,0,MATCH(J$2,Inputs!$K$4:$AJ$4,0))))=0,NA(),SUMPRODUCT((Inputs!$A$5:$A$180=$B63)*Inputs!$B$5:$B$180*(((Inputs!$G$5:$G$180="moeda")+(Inputs!$G$5:$G$180="acoes"))*Inputs!$B$1+((Inputs!$G$5:$G$180&lt;&gt;"moeda")*(Inputs!$G$5:$G$180&lt;&gt;"acoes")))*INDEX(Inputs!$K$5:$AJ$180,0,MATCH(J$2,Inputs!$K$4:$AJ$4,0)))+SUMPRODUCT((Inputs!$C$5:$C$180=$B63)*Inputs!$D$5:$D$180*(((Inputs!$G$5:$G$180="moeda")+(Inputs!$G$5:$G$180="acoes"))*Inputs!$B$1+((Inputs!$G$5:$G$180&lt;&gt;"moeda")*(Inputs!$G$5:$G$180&lt;&gt;"acoes")))*INDEX(Inputs!$K$5:$AJ$180,0,MATCH(J$2,Inputs!$K$4:$AJ$4,0)))+SUMPRODUCT((Inputs!$E$5:$E$180=$B63)*Inputs!$F$5:$F$180*(((Inputs!$G$5:$G$180="moeda")+(Inputs!$G$5:$G$180="acoes"))*Inputs!$B$1+((Inputs!$G$5:$G$180&lt;&gt;"moeda")*(Inputs!$G$5:$G$180&lt;&gt;"acoes")))*INDEX(Inputs!$K$5:$AJ$180,0,MATCH(J$2,Inputs!$K$4:$AJ$4,0)))))</f>
        <v>317.943996</v>
      </c>
      <c r="K63" s="6">
        <f>IF(ISNA(MATCH(K$2,Inputs!$K$4:$AJ$4,0)),NA(),IF(SUMPRODUCT((Inputs!$A$5:$A$180=$B63)*ISNUMBER(INDEX(Inputs!$K$5:$AJ$180,0,MATCH(K$2,Inputs!$K$4:$AJ$4,0))))+SUMPRODUCT((Inputs!$C$5:$C$180=$B63)*ISNUMBER(INDEX(Inputs!$K$5:$AJ$180,0,MATCH(K$2,Inputs!$K$4:$AJ$4,0))))+SUMPRODUCT((Inputs!$E$5:$E$180=$B63)*ISNUMBER(INDEX(Inputs!$K$5:$AJ$180,0,MATCH(K$2,Inputs!$K$4:$AJ$4,0))))=0,NA(),SUMPRODUCT((Inputs!$A$5:$A$180=$B63)*Inputs!$B$5:$B$180*(((Inputs!$G$5:$G$180="moeda")+(Inputs!$G$5:$G$180="acoes"))*Inputs!$B$1+((Inputs!$G$5:$G$180&lt;&gt;"moeda")*(Inputs!$G$5:$G$180&lt;&gt;"acoes")))*INDEX(Inputs!$K$5:$AJ$180,0,MATCH(K$2,Inputs!$K$4:$AJ$4,0)))+SUMPRODUCT((Inputs!$C$5:$C$180=$B63)*Inputs!$D$5:$D$180*(((Inputs!$G$5:$G$180="moeda")+(Inputs!$G$5:$G$180="acoes"))*Inputs!$B$1+((Inputs!$G$5:$G$180&lt;&gt;"moeda")*(Inputs!$G$5:$G$180&lt;&gt;"acoes")))*INDEX(Inputs!$K$5:$AJ$180,0,MATCH(K$2,Inputs!$K$4:$AJ$4,0)))+SUMPRODUCT((Inputs!$E$5:$E$180=$B63)*Inputs!$F$5:$F$180*(((Inputs!$G$5:$G$180="moeda")+(Inputs!$G$5:$G$180="acoes"))*Inputs!$B$1+((Inputs!$G$5:$G$180&lt;&gt;"moeda")*(Inputs!$G$5:$G$180&lt;&gt;"acoes")))*INDEX(Inputs!$K$5:$AJ$180,0,MATCH(K$2,Inputs!$K$4:$AJ$4,0)))))</f>
        <v>318.13788</v>
      </c>
      <c r="L63" s="6">
        <f>IF(ISNA(MATCH(L$2,Inputs!$K$4:$AJ$4,0)),NA(),IF(SUMPRODUCT((Inputs!$A$5:$A$180=$B63)*ISNUMBER(INDEX(Inputs!$K$5:$AJ$180,0,MATCH(L$2,Inputs!$K$4:$AJ$4,0))))+SUMPRODUCT((Inputs!$C$5:$C$180=$B63)*ISNUMBER(INDEX(Inputs!$K$5:$AJ$180,0,MATCH(L$2,Inputs!$K$4:$AJ$4,0))))+SUMPRODUCT((Inputs!$E$5:$E$180=$B63)*ISNUMBER(INDEX(Inputs!$K$5:$AJ$180,0,MATCH(L$2,Inputs!$K$4:$AJ$4,0))))=0,NA(),SUMPRODUCT((Inputs!$A$5:$A$180=$B63)*Inputs!$B$5:$B$180*(((Inputs!$G$5:$G$180="moeda")+(Inputs!$G$5:$G$180="acoes"))*Inputs!$B$1+((Inputs!$G$5:$G$180&lt;&gt;"moeda")*(Inputs!$G$5:$G$180&lt;&gt;"acoes")))*INDEX(Inputs!$K$5:$AJ$180,0,MATCH(L$2,Inputs!$K$4:$AJ$4,0)))+SUMPRODUCT((Inputs!$C$5:$C$180=$B63)*Inputs!$D$5:$D$180*(((Inputs!$G$5:$G$180="moeda")+(Inputs!$G$5:$G$180="acoes"))*Inputs!$B$1+((Inputs!$G$5:$G$180&lt;&gt;"moeda")*(Inputs!$G$5:$G$180&lt;&gt;"acoes")))*INDEX(Inputs!$K$5:$AJ$180,0,MATCH(L$2,Inputs!$K$4:$AJ$4,0)))+SUMPRODUCT((Inputs!$E$5:$E$180=$B63)*Inputs!$F$5:$F$180*(((Inputs!$G$5:$G$180="moeda")+(Inputs!$G$5:$G$180="acoes"))*Inputs!$B$1+((Inputs!$G$5:$G$180&lt;&gt;"moeda")*(Inputs!$G$5:$G$180&lt;&gt;"acoes")))*INDEX(Inputs!$K$5:$AJ$180,0,MATCH(L$2,Inputs!$K$4:$AJ$4,0)))))</f>
        <v>367.197096</v>
      </c>
      <c r="M63" s="3">
        <f>L63</f>
        <v>367.197096</v>
      </c>
      <c r="N63" s="6">
        <f>IF(ISNA(MATCH(N$2,Inputs!$K$4:$AJ$4,0)),NA(),IF(SUMPRODUCT((Inputs!$A$5:$A$180=$B63)*ISNUMBER(INDEX(Inputs!$K$5:$AJ$180,0,MATCH(N$2,Inputs!$K$4:$AJ$4,0))))+SUMPRODUCT((Inputs!$C$5:$C$180=$B63)*ISNUMBER(INDEX(Inputs!$K$5:$AJ$180,0,MATCH(N$2,Inputs!$K$4:$AJ$4,0))))+SUMPRODUCT((Inputs!$E$5:$E$180=$B63)*ISNUMBER(INDEX(Inputs!$K$5:$AJ$180,0,MATCH(N$2,Inputs!$K$4:$AJ$4,0))))=0,NA(),SUMPRODUCT((Inputs!$A$5:$A$180=$B63)*Inputs!$B$5:$B$180*(((Inputs!$G$5:$G$180="moeda")+(Inputs!$G$5:$G$180="acoes"))*Inputs!$B$1+((Inputs!$G$5:$G$180&lt;&gt;"moeda")*(Inputs!$G$5:$G$180&lt;&gt;"acoes")))*INDEX(Inputs!$K$5:$AJ$180,0,MATCH(N$2,Inputs!$K$4:$AJ$4,0)))+SUMPRODUCT((Inputs!$C$5:$C$180=$B63)*Inputs!$D$5:$D$180*(((Inputs!$G$5:$G$180="moeda")+(Inputs!$G$5:$G$180="acoes"))*Inputs!$B$1+((Inputs!$G$5:$G$180&lt;&gt;"moeda")*(Inputs!$G$5:$G$180&lt;&gt;"acoes")))*INDEX(Inputs!$K$5:$AJ$180,0,MATCH(N$2,Inputs!$K$4:$AJ$4,0)))+SUMPRODUCT((Inputs!$E$5:$E$180=$B63)*Inputs!$F$5:$F$180*(((Inputs!$G$5:$G$180="moeda")+(Inputs!$G$5:$G$180="acoes"))*Inputs!$B$1+((Inputs!$G$5:$G$180&lt;&gt;"moeda")*(Inputs!$G$5:$G$180&lt;&gt;"acoes")))*INDEX(Inputs!$K$5:$AJ$180,0,MATCH(N$2,Inputs!$K$4:$AJ$4,0)))))</f>
        <v>367.197096</v>
      </c>
      <c r="O63" s="6">
        <f>IF(ISNA(MATCH(O$2,Inputs!$K$4:$AJ$4,0)),NA(),IF(SUMPRODUCT((Inputs!$A$5:$A$180=$B63)*ISNUMBER(INDEX(Inputs!$K$5:$AJ$180,0,MATCH(O$2,Inputs!$K$4:$AJ$4,0))))+SUMPRODUCT((Inputs!$C$5:$C$180=$B63)*ISNUMBER(INDEX(Inputs!$K$5:$AJ$180,0,MATCH(O$2,Inputs!$K$4:$AJ$4,0))))+SUMPRODUCT((Inputs!$E$5:$E$180=$B63)*ISNUMBER(INDEX(Inputs!$K$5:$AJ$180,0,MATCH(O$2,Inputs!$K$4:$AJ$4,0))))=0,NA(),SUMPRODUCT((Inputs!$A$5:$A$180=$B63)*Inputs!$B$5:$B$180*(((Inputs!$G$5:$G$180="moeda")+(Inputs!$G$5:$G$180="acoes"))*Inputs!$B$1+((Inputs!$G$5:$G$180&lt;&gt;"moeda")*(Inputs!$G$5:$G$180&lt;&gt;"acoes")))*INDEX(Inputs!$K$5:$AJ$180,0,MATCH(O$2,Inputs!$K$4:$AJ$4,0)))+SUMPRODUCT((Inputs!$C$5:$C$180=$B63)*Inputs!$D$5:$D$180*(((Inputs!$G$5:$G$180="moeda")+(Inputs!$G$5:$G$180="acoes"))*Inputs!$B$1+((Inputs!$G$5:$G$180&lt;&gt;"moeda")*(Inputs!$G$5:$G$180&lt;&gt;"acoes")))*INDEX(Inputs!$K$5:$AJ$180,0,MATCH(O$2,Inputs!$K$4:$AJ$4,0)))+SUMPRODUCT((Inputs!$E$5:$E$180=$B63)*Inputs!$F$5:$F$180*(((Inputs!$G$5:$G$180="moeda")+(Inputs!$G$5:$G$180="acoes"))*Inputs!$B$1+((Inputs!$G$5:$G$180&lt;&gt;"moeda")*(Inputs!$G$5:$G$180&lt;&gt;"acoes")))*INDEX(Inputs!$K$5:$AJ$180,0,MATCH(O$2,Inputs!$K$4:$AJ$4,0)))))</f>
        <v>547.185685</v>
      </c>
      <c r="P63" s="6">
        <f>IF(ISNA(MATCH(P$2,Inputs!$K$4:$AJ$4,0)),NA(),IF(SUMPRODUCT((Inputs!$A$5:$A$180=$B63)*ISNUMBER(INDEX(Inputs!$K$5:$AJ$180,0,MATCH(P$2,Inputs!$K$4:$AJ$4,0))))+SUMPRODUCT((Inputs!$C$5:$C$180=$B63)*ISNUMBER(INDEX(Inputs!$K$5:$AJ$180,0,MATCH(P$2,Inputs!$K$4:$AJ$4,0))))+SUMPRODUCT((Inputs!$E$5:$E$180=$B63)*ISNUMBER(INDEX(Inputs!$K$5:$AJ$180,0,MATCH(P$2,Inputs!$K$4:$AJ$4,0))))=0,NA(),SUMPRODUCT((Inputs!$A$5:$A$180=$B63)*Inputs!$B$5:$B$180*(((Inputs!$G$5:$G$180="moeda")+(Inputs!$G$5:$G$180="acoes"))*Inputs!$B$1+((Inputs!$G$5:$G$180&lt;&gt;"moeda")*(Inputs!$G$5:$G$180&lt;&gt;"acoes")))*INDEX(Inputs!$K$5:$AJ$180,0,MATCH(P$2,Inputs!$K$4:$AJ$4,0)))+SUMPRODUCT((Inputs!$C$5:$C$180=$B63)*Inputs!$D$5:$D$180*(((Inputs!$G$5:$G$180="moeda")+(Inputs!$G$5:$G$180="acoes"))*Inputs!$B$1+((Inputs!$G$5:$G$180&lt;&gt;"moeda")*(Inputs!$G$5:$G$180&lt;&gt;"acoes")))*INDEX(Inputs!$K$5:$AJ$180,0,MATCH(P$2,Inputs!$K$4:$AJ$4,0)))+SUMPRODUCT((Inputs!$E$5:$E$180=$B63)*Inputs!$F$5:$F$180*(((Inputs!$G$5:$G$180="moeda")+(Inputs!$G$5:$G$180="acoes"))*Inputs!$B$1+((Inputs!$G$5:$G$180&lt;&gt;"moeda")*(Inputs!$G$5:$G$180&lt;&gt;"acoes")))*INDEX(Inputs!$K$5:$AJ$180,0,MATCH(P$2,Inputs!$K$4:$AJ$4,0)))))</f>
        <v>547.191026</v>
      </c>
      <c r="Q63" s="6">
        <f>IF(ISNA(MATCH(Q$2,Inputs!$K$4:$AJ$4,0)),NA(),IF(SUMPRODUCT((Inputs!$A$5:$A$180=$B63)*ISNUMBER(INDEX(Inputs!$K$5:$AJ$180,0,MATCH(Q$2,Inputs!$K$4:$AJ$4,0))))+SUMPRODUCT((Inputs!$C$5:$C$180=$B63)*ISNUMBER(INDEX(Inputs!$K$5:$AJ$180,0,MATCH(Q$2,Inputs!$K$4:$AJ$4,0))))+SUMPRODUCT((Inputs!$E$5:$E$180=$B63)*ISNUMBER(INDEX(Inputs!$K$5:$AJ$180,0,MATCH(Q$2,Inputs!$K$4:$AJ$4,0))))=0,NA(),SUMPRODUCT((Inputs!$A$5:$A$180=$B63)*Inputs!$B$5:$B$180*(((Inputs!$G$5:$G$180="moeda")+(Inputs!$G$5:$G$180="acoes"))*Inputs!$B$1+((Inputs!$G$5:$G$180&lt;&gt;"moeda")*(Inputs!$G$5:$G$180&lt;&gt;"acoes")))*INDEX(Inputs!$K$5:$AJ$180,0,MATCH(Q$2,Inputs!$K$4:$AJ$4,0)))+SUMPRODUCT((Inputs!$C$5:$C$180=$B63)*Inputs!$D$5:$D$180*(((Inputs!$G$5:$G$180="moeda")+(Inputs!$G$5:$G$180="acoes"))*Inputs!$B$1+((Inputs!$G$5:$G$180&lt;&gt;"moeda")*(Inputs!$G$5:$G$180&lt;&gt;"acoes")))*INDEX(Inputs!$K$5:$AJ$180,0,MATCH(Q$2,Inputs!$K$4:$AJ$4,0)))+SUMPRODUCT((Inputs!$E$5:$E$180=$B63)*Inputs!$F$5:$F$180*(((Inputs!$G$5:$G$180="moeda")+(Inputs!$G$5:$G$180="acoes"))*Inputs!$B$1+((Inputs!$G$5:$G$180&lt;&gt;"moeda")*(Inputs!$G$5:$G$180&lt;&gt;"acoes")))*INDEX(Inputs!$K$5:$AJ$180,0,MATCH(Q$2,Inputs!$K$4:$AJ$4,0)))))</f>
        <v>547.191026</v>
      </c>
      <c r="R63" s="3">
        <f>Q63</f>
        <v>547.191026</v>
      </c>
      <c r="S63" s="6">
        <f>IF(ISNA(MATCH(S$2,Inputs!$K$4:$AJ$4,0)),NA(),IF(SUMPRODUCT((Inputs!$A$5:$A$180=$B63)*ISNUMBER(INDEX(Inputs!$K$5:$AJ$180,0,MATCH(S$2,Inputs!$K$4:$AJ$4,0))))+SUMPRODUCT((Inputs!$C$5:$C$180=$B63)*ISNUMBER(INDEX(Inputs!$K$5:$AJ$180,0,MATCH(S$2,Inputs!$K$4:$AJ$4,0))))+SUMPRODUCT((Inputs!$E$5:$E$180=$B63)*ISNUMBER(INDEX(Inputs!$K$5:$AJ$180,0,MATCH(S$2,Inputs!$K$4:$AJ$4,0))))=0,NA(),SUMPRODUCT((Inputs!$A$5:$A$180=$B63)*Inputs!$B$5:$B$180*(((Inputs!$G$5:$G$180="moeda")+(Inputs!$G$5:$G$180="acoes"))*Inputs!$B$1+((Inputs!$G$5:$G$180&lt;&gt;"moeda")*(Inputs!$G$5:$G$180&lt;&gt;"acoes")))*INDEX(Inputs!$K$5:$AJ$180,0,MATCH(S$2,Inputs!$K$4:$AJ$4,0)))+SUMPRODUCT((Inputs!$C$5:$C$180=$B63)*Inputs!$D$5:$D$180*(((Inputs!$G$5:$G$180="moeda")+(Inputs!$G$5:$G$180="acoes"))*Inputs!$B$1+((Inputs!$G$5:$G$180&lt;&gt;"moeda")*(Inputs!$G$5:$G$180&lt;&gt;"acoes")))*INDEX(Inputs!$K$5:$AJ$180,0,MATCH(S$2,Inputs!$K$4:$AJ$4,0)))+SUMPRODUCT((Inputs!$E$5:$E$180=$B63)*Inputs!$F$5:$F$180*(((Inputs!$G$5:$G$180="moeda")+(Inputs!$G$5:$G$180="acoes"))*Inputs!$B$1+((Inputs!$G$5:$G$180&lt;&gt;"moeda")*(Inputs!$G$5:$G$180&lt;&gt;"acoes")))*INDEX(Inputs!$K$5:$AJ$180,0,MATCH(S$2,Inputs!$K$4:$AJ$4,0)))))</f>
        <v>547.191026</v>
      </c>
      <c r="T63" s="6">
        <f>IF(ISNA(MATCH(T$2,Inputs!$K$4:$AJ$4,0)),NA(),IF(SUMPRODUCT((Inputs!$A$5:$A$180=$B63)*ISNUMBER(INDEX(Inputs!$K$5:$AJ$180,0,MATCH(T$2,Inputs!$K$4:$AJ$4,0))))+SUMPRODUCT((Inputs!$C$5:$C$180=$B63)*ISNUMBER(INDEX(Inputs!$K$5:$AJ$180,0,MATCH(T$2,Inputs!$K$4:$AJ$4,0))))+SUMPRODUCT((Inputs!$E$5:$E$180=$B63)*ISNUMBER(INDEX(Inputs!$K$5:$AJ$180,0,MATCH(T$2,Inputs!$K$4:$AJ$4,0))))=0,NA(),SUMPRODUCT((Inputs!$A$5:$A$180=$B63)*Inputs!$B$5:$B$180*(((Inputs!$G$5:$G$180="moeda")+(Inputs!$G$5:$G$180="acoes"))*Inputs!$B$1+((Inputs!$G$5:$G$180&lt;&gt;"moeda")*(Inputs!$G$5:$G$180&lt;&gt;"acoes")))*INDEX(Inputs!$K$5:$AJ$180,0,MATCH(T$2,Inputs!$K$4:$AJ$4,0)))+SUMPRODUCT((Inputs!$C$5:$C$180=$B63)*Inputs!$D$5:$D$180*(((Inputs!$G$5:$G$180="moeda")+(Inputs!$G$5:$G$180="acoes"))*Inputs!$B$1+((Inputs!$G$5:$G$180&lt;&gt;"moeda")*(Inputs!$G$5:$G$180&lt;&gt;"acoes")))*INDEX(Inputs!$K$5:$AJ$180,0,MATCH(T$2,Inputs!$K$4:$AJ$4,0)))+SUMPRODUCT((Inputs!$E$5:$E$180=$B63)*Inputs!$F$5:$F$180*(((Inputs!$G$5:$G$180="moeda")+(Inputs!$G$5:$G$180="acoes"))*Inputs!$B$1+((Inputs!$G$5:$G$180&lt;&gt;"moeda")*(Inputs!$G$5:$G$180&lt;&gt;"acoes")))*INDEX(Inputs!$K$5:$AJ$180,0,MATCH(T$2,Inputs!$K$4:$AJ$4,0)))))</f>
        <v>547.191026</v>
      </c>
      <c r="U63" s="6">
        <f>IF(ISNA(MATCH(U$2,Inputs!$K$4:$AJ$4,0)),NA(),IF(SUMPRODUCT((Inputs!$A$5:$A$180=$B63)*ISNUMBER(INDEX(Inputs!$K$5:$AJ$180,0,MATCH(U$2,Inputs!$K$4:$AJ$4,0))))+SUMPRODUCT((Inputs!$C$5:$C$180=$B63)*ISNUMBER(INDEX(Inputs!$K$5:$AJ$180,0,MATCH(U$2,Inputs!$K$4:$AJ$4,0))))+SUMPRODUCT((Inputs!$E$5:$E$180=$B63)*ISNUMBER(INDEX(Inputs!$K$5:$AJ$180,0,MATCH(U$2,Inputs!$K$4:$AJ$4,0))))=0,NA(),SUMPRODUCT((Inputs!$A$5:$A$180=$B63)*Inputs!$B$5:$B$180*(((Inputs!$G$5:$G$180="moeda")+(Inputs!$G$5:$G$180="acoes"))*Inputs!$B$1+((Inputs!$G$5:$G$180&lt;&gt;"moeda")*(Inputs!$G$5:$G$180&lt;&gt;"acoes")))*INDEX(Inputs!$K$5:$AJ$180,0,MATCH(U$2,Inputs!$K$4:$AJ$4,0)))+SUMPRODUCT((Inputs!$C$5:$C$180=$B63)*Inputs!$D$5:$D$180*(((Inputs!$G$5:$G$180="moeda")+(Inputs!$G$5:$G$180="acoes"))*Inputs!$B$1+((Inputs!$G$5:$G$180&lt;&gt;"moeda")*(Inputs!$G$5:$G$180&lt;&gt;"acoes")))*INDEX(Inputs!$K$5:$AJ$180,0,MATCH(U$2,Inputs!$K$4:$AJ$4,0)))+SUMPRODUCT((Inputs!$E$5:$E$180=$B63)*Inputs!$F$5:$F$180*(((Inputs!$G$5:$G$180="moeda")+(Inputs!$G$5:$G$180="acoes"))*Inputs!$B$1+((Inputs!$G$5:$G$180&lt;&gt;"moeda")*(Inputs!$G$5:$G$180&lt;&gt;"acoes")))*INDEX(Inputs!$K$5:$AJ$180,0,MATCH(U$2,Inputs!$K$4:$AJ$4,0)))))</f>
        <v>547.191026</v>
      </c>
      <c r="V63" s="6">
        <f>IF(ISNA(MATCH(V$2,Inputs!$K$4:$AJ$4,0)),NA(),IF(SUMPRODUCT((Inputs!$A$5:$A$180=$B63)*ISNUMBER(INDEX(Inputs!$K$5:$AJ$180,0,MATCH(V$2,Inputs!$K$4:$AJ$4,0))))+SUMPRODUCT((Inputs!$C$5:$C$180=$B63)*ISNUMBER(INDEX(Inputs!$K$5:$AJ$180,0,MATCH(V$2,Inputs!$K$4:$AJ$4,0))))+SUMPRODUCT((Inputs!$E$5:$E$180=$B63)*ISNUMBER(INDEX(Inputs!$K$5:$AJ$180,0,MATCH(V$2,Inputs!$K$4:$AJ$4,0))))=0,NA(),SUMPRODUCT((Inputs!$A$5:$A$180=$B63)*Inputs!$B$5:$B$180*(((Inputs!$G$5:$G$180="moeda")+(Inputs!$G$5:$G$180="acoes"))*Inputs!$B$1+((Inputs!$G$5:$G$180&lt;&gt;"moeda")*(Inputs!$G$5:$G$180&lt;&gt;"acoes")))*INDEX(Inputs!$K$5:$AJ$180,0,MATCH(V$2,Inputs!$K$4:$AJ$4,0)))+SUMPRODUCT((Inputs!$C$5:$C$180=$B63)*Inputs!$D$5:$D$180*(((Inputs!$G$5:$G$180="moeda")+(Inputs!$G$5:$G$180="acoes"))*Inputs!$B$1+((Inputs!$G$5:$G$180&lt;&gt;"moeda")*(Inputs!$G$5:$G$180&lt;&gt;"acoes")))*INDEX(Inputs!$K$5:$AJ$180,0,MATCH(V$2,Inputs!$K$4:$AJ$4,0)))+SUMPRODUCT((Inputs!$E$5:$E$180=$B63)*Inputs!$F$5:$F$180*(((Inputs!$G$5:$G$180="moeda")+(Inputs!$G$5:$G$180="acoes"))*Inputs!$B$1+((Inputs!$G$5:$G$180&lt;&gt;"moeda")*(Inputs!$G$5:$G$180&lt;&gt;"acoes")))*INDEX(Inputs!$K$5:$AJ$180,0,MATCH(V$2,Inputs!$K$4:$AJ$4,0)))))</f>
        <v>547.191026</v>
      </c>
      <c r="W63" s="3">
        <f>V63</f>
        <v>547.191026</v>
      </c>
      <c r="X63" s="6">
        <f>IF(ISNA(MATCH(X$2,Inputs!$K$4:$AJ$4,0)),NA(),IF(SUMPRODUCT((Inputs!$A$5:$A$180=$B63)*ISNUMBER(INDEX(Inputs!$K$5:$AJ$180,0,MATCH(X$2,Inputs!$K$4:$AJ$4,0))))+SUMPRODUCT((Inputs!$C$5:$C$180=$B63)*ISNUMBER(INDEX(Inputs!$K$5:$AJ$180,0,MATCH(X$2,Inputs!$K$4:$AJ$4,0))))+SUMPRODUCT((Inputs!$E$5:$E$180=$B63)*ISNUMBER(INDEX(Inputs!$K$5:$AJ$180,0,MATCH(X$2,Inputs!$K$4:$AJ$4,0))))=0,NA(),SUMPRODUCT((Inputs!$A$5:$A$180=$B63)*Inputs!$B$5:$B$180*(((Inputs!$G$5:$G$180="moeda")+(Inputs!$G$5:$G$180="acoes"))*Inputs!$B$1+((Inputs!$G$5:$G$180&lt;&gt;"moeda")*(Inputs!$G$5:$G$180&lt;&gt;"acoes")))*INDEX(Inputs!$K$5:$AJ$180,0,MATCH(X$2,Inputs!$K$4:$AJ$4,0)))+SUMPRODUCT((Inputs!$C$5:$C$180=$B63)*Inputs!$D$5:$D$180*(((Inputs!$G$5:$G$180="moeda")+(Inputs!$G$5:$G$180="acoes"))*Inputs!$B$1+((Inputs!$G$5:$G$180&lt;&gt;"moeda")*(Inputs!$G$5:$G$180&lt;&gt;"acoes")))*INDEX(Inputs!$K$5:$AJ$180,0,MATCH(X$2,Inputs!$K$4:$AJ$4,0)))+SUMPRODUCT((Inputs!$E$5:$E$180=$B63)*Inputs!$F$5:$F$180*(((Inputs!$G$5:$G$180="moeda")+(Inputs!$G$5:$G$180="acoes"))*Inputs!$B$1+((Inputs!$G$5:$G$180&lt;&gt;"moeda")*(Inputs!$G$5:$G$180&lt;&gt;"acoes")))*INDEX(Inputs!$K$5:$AJ$180,0,MATCH(X$2,Inputs!$K$4:$AJ$4,0)))))</f>
        <v>547.191026</v>
      </c>
      <c r="Y63" s="6">
        <f>IF(ISNA(MATCH(Y$2,Inputs!$K$4:$AJ$4,0)),NA(),IF(SUMPRODUCT((Inputs!$A$5:$A$180=$B63)*ISNUMBER(INDEX(Inputs!$K$5:$AJ$180,0,MATCH(Y$2,Inputs!$K$4:$AJ$4,0))))+SUMPRODUCT((Inputs!$C$5:$C$180=$B63)*ISNUMBER(INDEX(Inputs!$K$5:$AJ$180,0,MATCH(Y$2,Inputs!$K$4:$AJ$4,0))))+SUMPRODUCT((Inputs!$E$5:$E$180=$B63)*ISNUMBER(INDEX(Inputs!$K$5:$AJ$180,0,MATCH(Y$2,Inputs!$K$4:$AJ$4,0))))=0,NA(),SUMPRODUCT((Inputs!$A$5:$A$180=$B63)*Inputs!$B$5:$B$180*(((Inputs!$G$5:$G$180="moeda")+(Inputs!$G$5:$G$180="acoes"))*Inputs!$B$1+((Inputs!$G$5:$G$180&lt;&gt;"moeda")*(Inputs!$G$5:$G$180&lt;&gt;"acoes")))*INDEX(Inputs!$K$5:$AJ$180,0,MATCH(Y$2,Inputs!$K$4:$AJ$4,0)))+SUMPRODUCT((Inputs!$C$5:$C$180=$B63)*Inputs!$D$5:$D$180*(((Inputs!$G$5:$G$180="moeda")+(Inputs!$G$5:$G$180="acoes"))*Inputs!$B$1+((Inputs!$G$5:$G$180&lt;&gt;"moeda")*(Inputs!$G$5:$G$180&lt;&gt;"acoes")))*INDEX(Inputs!$K$5:$AJ$180,0,MATCH(Y$2,Inputs!$K$4:$AJ$4,0)))+SUMPRODUCT((Inputs!$E$5:$E$180=$B63)*Inputs!$F$5:$F$180*(((Inputs!$G$5:$G$180="moeda")+(Inputs!$G$5:$G$180="acoes"))*Inputs!$B$1+((Inputs!$G$5:$G$180&lt;&gt;"moeda")*(Inputs!$G$5:$G$180&lt;&gt;"acoes")))*INDEX(Inputs!$K$5:$AJ$180,0,MATCH(Y$2,Inputs!$K$4:$AJ$4,0)))))</f>
        <v>547.191026</v>
      </c>
      <c r="Z63" s="6">
        <f>IF(ISNA(MATCH(Z$2,Inputs!$K$4:$AJ$4,0)),NA(),IF(SUMPRODUCT((Inputs!$A$5:$A$180=$B63)*ISNUMBER(INDEX(Inputs!$K$5:$AJ$180,0,MATCH(Z$2,Inputs!$K$4:$AJ$4,0))))+SUMPRODUCT((Inputs!$C$5:$C$180=$B63)*ISNUMBER(INDEX(Inputs!$K$5:$AJ$180,0,MATCH(Z$2,Inputs!$K$4:$AJ$4,0))))+SUMPRODUCT((Inputs!$E$5:$E$180=$B63)*ISNUMBER(INDEX(Inputs!$K$5:$AJ$180,0,MATCH(Z$2,Inputs!$K$4:$AJ$4,0))))=0,NA(),SUMPRODUCT((Inputs!$A$5:$A$180=$B63)*Inputs!$B$5:$B$180*(((Inputs!$G$5:$G$180="moeda")+(Inputs!$G$5:$G$180="acoes"))*Inputs!$B$1+((Inputs!$G$5:$G$180&lt;&gt;"moeda")*(Inputs!$G$5:$G$180&lt;&gt;"acoes")))*INDEX(Inputs!$K$5:$AJ$180,0,MATCH(Z$2,Inputs!$K$4:$AJ$4,0)))+SUMPRODUCT((Inputs!$C$5:$C$180=$B63)*Inputs!$D$5:$D$180*(((Inputs!$G$5:$G$180="moeda")+(Inputs!$G$5:$G$180="acoes"))*Inputs!$B$1+((Inputs!$G$5:$G$180&lt;&gt;"moeda")*(Inputs!$G$5:$G$180&lt;&gt;"acoes")))*INDEX(Inputs!$K$5:$AJ$180,0,MATCH(Z$2,Inputs!$K$4:$AJ$4,0)))+SUMPRODUCT((Inputs!$E$5:$E$180=$B63)*Inputs!$F$5:$F$180*(((Inputs!$G$5:$G$180="moeda")+(Inputs!$G$5:$G$180="acoes"))*Inputs!$B$1+((Inputs!$G$5:$G$180&lt;&gt;"moeda")*(Inputs!$G$5:$G$180&lt;&gt;"acoes")))*INDEX(Inputs!$K$5:$AJ$180,0,MATCH(Z$2,Inputs!$K$4:$AJ$4,0)))))</f>
        <v>547.191026</v>
      </c>
      <c r="AA63" s="6">
        <f>IF(ISNA(MATCH(AA$2,Inputs!$K$4:$AJ$4,0)),NA(),IF(SUMPRODUCT((Inputs!$A$5:$A$180=$B63)*ISNUMBER(INDEX(Inputs!$K$5:$AJ$180,0,MATCH(AA$2,Inputs!$K$4:$AJ$4,0))))+SUMPRODUCT((Inputs!$C$5:$C$180=$B63)*ISNUMBER(INDEX(Inputs!$K$5:$AJ$180,0,MATCH(AA$2,Inputs!$K$4:$AJ$4,0))))+SUMPRODUCT((Inputs!$E$5:$E$180=$B63)*ISNUMBER(INDEX(Inputs!$K$5:$AJ$180,0,MATCH(AA$2,Inputs!$K$4:$AJ$4,0))))=0,NA(),SUMPRODUCT((Inputs!$A$5:$A$180=$B63)*Inputs!$B$5:$B$180*(((Inputs!$G$5:$G$180="moeda")+(Inputs!$G$5:$G$180="acoes"))*Inputs!$B$1+((Inputs!$G$5:$G$180&lt;&gt;"moeda")*(Inputs!$G$5:$G$180&lt;&gt;"acoes")))*INDEX(Inputs!$K$5:$AJ$180,0,MATCH(AA$2,Inputs!$K$4:$AJ$4,0)))+SUMPRODUCT((Inputs!$C$5:$C$180=$B63)*Inputs!$D$5:$D$180*(((Inputs!$G$5:$G$180="moeda")+(Inputs!$G$5:$G$180="acoes"))*Inputs!$B$1+((Inputs!$G$5:$G$180&lt;&gt;"moeda")*(Inputs!$G$5:$G$180&lt;&gt;"acoes")))*INDEX(Inputs!$K$5:$AJ$180,0,MATCH(AA$2,Inputs!$K$4:$AJ$4,0)))+SUMPRODUCT((Inputs!$E$5:$E$180=$B63)*Inputs!$F$5:$F$180*(((Inputs!$G$5:$G$180="moeda")+(Inputs!$G$5:$G$180="acoes"))*Inputs!$B$1+((Inputs!$G$5:$G$180&lt;&gt;"moeda")*(Inputs!$G$5:$G$180&lt;&gt;"acoes")))*INDEX(Inputs!$K$5:$AJ$180,0,MATCH(AA$2,Inputs!$K$4:$AJ$4,0)))))</f>
        <v>547.191026</v>
      </c>
      <c r="AB63" s="3">
        <f>AA63</f>
        <v>547.191026</v>
      </c>
      <c r="AC63" s="6">
        <f>IF(ISNA(MATCH(AC$2,Inputs!$K$4:$AJ$4,0)),NA(),IF(SUMPRODUCT((Inputs!$A$5:$A$180=$B63)*ISNUMBER(INDEX(Inputs!$K$5:$AJ$180,0,MATCH(AC$2,Inputs!$K$4:$AJ$4,0))))+SUMPRODUCT((Inputs!$C$5:$C$180=$B63)*ISNUMBER(INDEX(Inputs!$K$5:$AJ$180,0,MATCH(AC$2,Inputs!$K$4:$AJ$4,0))))+SUMPRODUCT((Inputs!$E$5:$E$180=$B63)*ISNUMBER(INDEX(Inputs!$K$5:$AJ$180,0,MATCH(AC$2,Inputs!$K$4:$AJ$4,0))))=0,NA(),SUMPRODUCT((Inputs!$A$5:$A$180=$B63)*Inputs!$B$5:$B$180*(((Inputs!$G$5:$G$180="moeda")+(Inputs!$G$5:$G$180="acoes"))*Inputs!$B$1+((Inputs!$G$5:$G$180&lt;&gt;"moeda")*(Inputs!$G$5:$G$180&lt;&gt;"acoes")))*INDEX(Inputs!$K$5:$AJ$180,0,MATCH(AC$2,Inputs!$K$4:$AJ$4,0)))+SUMPRODUCT((Inputs!$C$5:$C$180=$B63)*Inputs!$D$5:$D$180*(((Inputs!$G$5:$G$180="moeda")+(Inputs!$G$5:$G$180="acoes"))*Inputs!$B$1+((Inputs!$G$5:$G$180&lt;&gt;"moeda")*(Inputs!$G$5:$G$180&lt;&gt;"acoes")))*INDEX(Inputs!$K$5:$AJ$180,0,MATCH(AC$2,Inputs!$K$4:$AJ$4,0)))+SUMPRODUCT((Inputs!$E$5:$E$180=$B63)*Inputs!$F$5:$F$180*(((Inputs!$G$5:$G$180="moeda")+(Inputs!$G$5:$G$180="acoes"))*Inputs!$B$1+((Inputs!$G$5:$G$180&lt;&gt;"moeda")*(Inputs!$G$5:$G$180&lt;&gt;"acoes")))*INDEX(Inputs!$K$5:$AJ$180,0,MATCH(AC$2,Inputs!$K$4:$AJ$4,0)))))</f>
        <v>547.191026</v>
      </c>
      <c r="AD63" s="6">
        <f>IF(ISNA(MATCH(AD$2,Inputs!$K$4:$AJ$4,0)),NA(),IF(SUMPRODUCT((Inputs!$A$5:$A$180=$B63)*ISNUMBER(INDEX(Inputs!$K$5:$AJ$180,0,MATCH(AD$2,Inputs!$K$4:$AJ$4,0))))+SUMPRODUCT((Inputs!$C$5:$C$180=$B63)*ISNUMBER(INDEX(Inputs!$K$5:$AJ$180,0,MATCH(AD$2,Inputs!$K$4:$AJ$4,0))))+SUMPRODUCT((Inputs!$E$5:$E$180=$B63)*ISNUMBER(INDEX(Inputs!$K$5:$AJ$180,0,MATCH(AD$2,Inputs!$K$4:$AJ$4,0))))=0,NA(),SUMPRODUCT((Inputs!$A$5:$A$180=$B63)*Inputs!$B$5:$B$180*(((Inputs!$G$5:$G$180="moeda")+(Inputs!$G$5:$G$180="acoes"))*Inputs!$B$1+((Inputs!$G$5:$G$180&lt;&gt;"moeda")*(Inputs!$G$5:$G$180&lt;&gt;"acoes")))*INDEX(Inputs!$K$5:$AJ$180,0,MATCH(AD$2,Inputs!$K$4:$AJ$4,0)))+SUMPRODUCT((Inputs!$C$5:$C$180=$B63)*Inputs!$D$5:$D$180*(((Inputs!$G$5:$G$180="moeda")+(Inputs!$G$5:$G$180="acoes"))*Inputs!$B$1+((Inputs!$G$5:$G$180&lt;&gt;"moeda")*(Inputs!$G$5:$G$180&lt;&gt;"acoes")))*INDEX(Inputs!$K$5:$AJ$180,0,MATCH(AD$2,Inputs!$K$4:$AJ$4,0)))+SUMPRODUCT((Inputs!$E$5:$E$180=$B63)*Inputs!$F$5:$F$180*(((Inputs!$G$5:$G$180="moeda")+(Inputs!$G$5:$G$180="acoes"))*Inputs!$B$1+((Inputs!$G$5:$G$180&lt;&gt;"moeda")*(Inputs!$G$5:$G$180&lt;&gt;"acoes")))*INDEX(Inputs!$K$5:$AJ$180,0,MATCH(AD$2,Inputs!$K$4:$AJ$4,0)))))</f>
        <v>547.191026</v>
      </c>
      <c r="AE63" s="6" t="e">
        <f>IF(ISNA(MATCH(AE$2,Inputs!$K$4:$AJ$4,0)),NA(),IF(SUMPRODUCT((Inputs!$A$5:$A$180=$B63)*ISNUMBER(INDEX(Inputs!$K$5:$AJ$180,0,MATCH(AE$2,Inputs!$K$4:$AJ$4,0))))+SUMPRODUCT((Inputs!$C$5:$C$180=$B63)*ISNUMBER(INDEX(Inputs!$K$5:$AJ$180,0,MATCH(AE$2,Inputs!$K$4:$AJ$4,0))))+SUMPRODUCT((Inputs!$E$5:$E$180=$B63)*ISNUMBER(INDEX(Inputs!$K$5:$AJ$180,0,MATCH(AE$2,Inputs!$K$4:$AJ$4,0))))=0,NA(),SUMPRODUCT((Inputs!$A$5:$A$180=$B63)*Inputs!$B$5:$B$180*(((Inputs!$G$5:$G$180="moeda")+(Inputs!$G$5:$G$180="acoes"))*Inputs!$B$1+((Inputs!$G$5:$G$180&lt;&gt;"moeda")*(Inputs!$G$5:$G$180&lt;&gt;"acoes")))*INDEX(Inputs!$K$5:$AJ$180,0,MATCH(AE$2,Inputs!$K$4:$AJ$4,0)))+SUMPRODUCT((Inputs!$C$5:$C$180=$B63)*Inputs!$D$5:$D$180*(((Inputs!$G$5:$G$180="moeda")+(Inputs!$G$5:$G$180="acoes"))*Inputs!$B$1+((Inputs!$G$5:$G$180&lt;&gt;"moeda")*(Inputs!$G$5:$G$180&lt;&gt;"acoes")))*INDEX(Inputs!$K$5:$AJ$180,0,MATCH(AE$2,Inputs!$K$4:$AJ$4,0)))+SUMPRODUCT((Inputs!$E$5:$E$180=$B63)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3" s="6" t="e">
        <f>IF(ISNA(MATCH(AF$2,Inputs!$K$4:$AJ$4,0)),NA(),IF(SUMPRODUCT((Inputs!$A$5:$A$180=$B63)*ISNUMBER(INDEX(Inputs!$K$5:$AJ$180,0,MATCH(AF$2,Inputs!$K$4:$AJ$4,0))))+SUMPRODUCT((Inputs!$C$5:$C$180=$B63)*ISNUMBER(INDEX(Inputs!$K$5:$AJ$180,0,MATCH(AF$2,Inputs!$K$4:$AJ$4,0))))+SUMPRODUCT((Inputs!$E$5:$E$180=$B63)*ISNUMBER(INDEX(Inputs!$K$5:$AJ$180,0,MATCH(AF$2,Inputs!$K$4:$AJ$4,0))))=0,NA(),SUMPRODUCT((Inputs!$A$5:$A$180=$B63)*Inputs!$B$5:$B$180*(((Inputs!$G$5:$G$180="moeda")+(Inputs!$G$5:$G$180="acoes"))*Inputs!$B$1+((Inputs!$G$5:$G$180&lt;&gt;"moeda")*(Inputs!$G$5:$G$180&lt;&gt;"acoes")))*INDEX(Inputs!$K$5:$AJ$180,0,MATCH(AF$2,Inputs!$K$4:$AJ$4,0)))+SUMPRODUCT((Inputs!$C$5:$C$180=$B63)*Inputs!$D$5:$D$180*(((Inputs!$G$5:$G$180="moeda")+(Inputs!$G$5:$G$180="acoes"))*Inputs!$B$1+((Inputs!$G$5:$G$180&lt;&gt;"moeda")*(Inputs!$G$5:$G$180&lt;&gt;"acoes")))*INDEX(Inputs!$K$5:$AJ$180,0,MATCH(AF$2,Inputs!$K$4:$AJ$4,0)))+SUMPRODUCT((Inputs!$E$5:$E$180=$B63)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3" s="3" t="e">
        <f>AF63</f>
        <v>#N/A</v>
      </c>
      <c r="AH63" s="6">
        <f>IF(ISNA(MATCH(AH$2,Inputs!$K$4:$AJ$4,0)),NA(),IF(SUMPRODUCT((Inputs!$A$5:$A$180=$B63)*ISNUMBER(INDEX(Inputs!$K$5:$AJ$180,0,MATCH(AH$2,Inputs!$K$4:$AJ$4,0))))+SUMPRODUCT((Inputs!$C$5:$C$180=$B63)*ISNUMBER(INDEX(Inputs!$K$5:$AJ$180,0,MATCH(AH$2,Inputs!$K$4:$AJ$4,0))))+SUMPRODUCT((Inputs!$E$5:$E$180=$B63)*ISNUMBER(INDEX(Inputs!$K$5:$AJ$180,0,MATCH(AH$2,Inputs!$K$4:$AJ$4,0))))=0,NA(),SUMPRODUCT((Inputs!$A$5:$A$180=$B63)*Inputs!$B$5:$B$180*(((Inputs!$G$5:$G$180="moeda")+(Inputs!$G$5:$G$180="acoes"))*Inputs!$B$1+((Inputs!$G$5:$G$180&lt;&gt;"moeda")*(Inputs!$G$5:$G$180&lt;&gt;"acoes")))*INDEX(Inputs!$K$5:$AJ$180,0,MATCH(AH$2,Inputs!$K$4:$AJ$4,0)))+SUMPRODUCT((Inputs!$C$5:$C$180=$B63)*Inputs!$D$5:$D$180*(((Inputs!$G$5:$G$180="moeda")+(Inputs!$G$5:$G$180="acoes"))*Inputs!$B$1+((Inputs!$G$5:$G$180&lt;&gt;"moeda")*(Inputs!$G$5:$G$180&lt;&gt;"acoes")))*INDEX(Inputs!$K$5:$AJ$180,0,MATCH(AH$2,Inputs!$K$4:$AJ$4,0)))+SUMPRODUCT((Inputs!$E$5:$E$180=$B63)*Inputs!$F$5:$F$180*(((Inputs!$G$5:$G$180="moeda")+(Inputs!$G$5:$G$180="acoes"))*Inputs!$B$1+((Inputs!$G$5:$G$180&lt;&gt;"moeda")*(Inputs!$G$5:$G$180&lt;&gt;"acoes")))*INDEX(Inputs!$K$5:$AJ$180,0,MATCH(AH$2,Inputs!$K$4:$AJ$4,0)))))</f>
        <v>316.78821</v>
      </c>
      <c r="AI63" s="6">
        <f>IF(ISNA(MATCH(AI$2,Inputs!$K$4:$AJ$4,0)),NA(),IF(SUMPRODUCT((Inputs!$A$5:$A$180=$B63)*ISNUMBER(INDEX(Inputs!$K$5:$AJ$180,0,MATCH(AI$2,Inputs!$K$4:$AJ$4,0))))+SUMPRODUCT((Inputs!$C$5:$C$180=$B63)*ISNUMBER(INDEX(Inputs!$K$5:$AJ$180,0,MATCH(AI$2,Inputs!$K$4:$AJ$4,0))))+SUMPRODUCT((Inputs!$E$5:$E$180=$B63)*ISNUMBER(INDEX(Inputs!$K$5:$AJ$180,0,MATCH(AI$2,Inputs!$K$4:$AJ$4,0))))=0,NA(),SUMPRODUCT((Inputs!$A$5:$A$180=$B63)*Inputs!$B$5:$B$180*(((Inputs!$G$5:$G$180="moeda")+(Inputs!$G$5:$G$180="acoes"))*Inputs!$B$1+((Inputs!$G$5:$G$180&lt;&gt;"moeda")*(Inputs!$G$5:$G$180&lt;&gt;"acoes")))*INDEX(Inputs!$K$5:$AJ$180,0,MATCH(AI$2,Inputs!$K$4:$AJ$4,0)))+SUMPRODUCT((Inputs!$C$5:$C$180=$B63)*Inputs!$D$5:$D$180*(((Inputs!$G$5:$G$180="moeda")+(Inputs!$G$5:$G$180="acoes"))*Inputs!$B$1+((Inputs!$G$5:$G$180&lt;&gt;"moeda")*(Inputs!$G$5:$G$180&lt;&gt;"acoes")))*INDEX(Inputs!$K$5:$AJ$180,0,MATCH(AI$2,Inputs!$K$4:$AJ$4,0)))+SUMPRODUCT((Inputs!$E$5:$E$180=$B63)*Inputs!$F$5:$F$180*(((Inputs!$G$5:$G$180="moeda")+(Inputs!$G$5:$G$180="acoes"))*Inputs!$B$1+((Inputs!$G$5:$G$180&lt;&gt;"moeda")*(Inputs!$G$5:$G$180&lt;&gt;"acoes")))*INDEX(Inputs!$K$5:$AJ$180,0,MATCH(AI$2,Inputs!$K$4:$AJ$4,0)))))</f>
        <v>316.78821</v>
      </c>
      <c r="AJ63" s="6">
        <f>IF(ISNA(MATCH(AJ$2,Inputs!$K$4:$AJ$4,0)),NA(),IF(SUMPRODUCT((Inputs!$A$5:$A$180=$B63)*ISNUMBER(INDEX(Inputs!$K$5:$AJ$180,0,MATCH(AJ$2,Inputs!$K$4:$AJ$4,0))))+SUMPRODUCT((Inputs!$C$5:$C$180=$B63)*ISNUMBER(INDEX(Inputs!$K$5:$AJ$180,0,MATCH(AJ$2,Inputs!$K$4:$AJ$4,0))))+SUMPRODUCT((Inputs!$E$5:$E$180=$B63)*ISNUMBER(INDEX(Inputs!$K$5:$AJ$180,0,MATCH(AJ$2,Inputs!$K$4:$AJ$4,0))))=0,NA(),SUMPRODUCT((Inputs!$A$5:$A$180=$B63)*Inputs!$B$5:$B$180*(((Inputs!$G$5:$G$180="moeda")+(Inputs!$G$5:$G$180="acoes"))*Inputs!$B$1+((Inputs!$G$5:$G$180&lt;&gt;"moeda")*(Inputs!$G$5:$G$180&lt;&gt;"acoes")))*INDEX(Inputs!$K$5:$AJ$180,0,MATCH(AJ$2,Inputs!$K$4:$AJ$4,0)))+SUMPRODUCT((Inputs!$C$5:$C$180=$B63)*Inputs!$D$5:$D$180*(((Inputs!$G$5:$G$180="moeda")+(Inputs!$G$5:$G$180="acoes"))*Inputs!$B$1+((Inputs!$G$5:$G$180&lt;&gt;"moeda")*(Inputs!$G$5:$G$180&lt;&gt;"acoes")))*INDEX(Inputs!$K$5:$AJ$180,0,MATCH(AJ$2,Inputs!$K$4:$AJ$4,0)))+SUMPRODUCT((Inputs!$E$5:$E$180=$B63)*Inputs!$F$5:$F$180*(((Inputs!$G$5:$G$180="moeda")+(Inputs!$G$5:$G$180="acoes"))*Inputs!$B$1+((Inputs!$G$5:$G$180&lt;&gt;"moeda")*(Inputs!$G$5:$G$180&lt;&gt;"acoes")))*INDEX(Inputs!$K$5:$AJ$180,0,MATCH(AJ$2,Inputs!$K$4:$AJ$4,0)))))</f>
        <v>316.78821</v>
      </c>
      <c r="AK63" s="6">
        <f>IF(ISNA(MATCH(AK$2,Inputs!$K$4:$AJ$4,0)),NA(),IF(SUMPRODUCT((Inputs!$A$5:$A$180=$B63)*ISNUMBER(INDEX(Inputs!$K$5:$AJ$180,0,MATCH(AK$2,Inputs!$K$4:$AJ$4,0))))+SUMPRODUCT((Inputs!$C$5:$C$180=$B63)*ISNUMBER(INDEX(Inputs!$K$5:$AJ$180,0,MATCH(AK$2,Inputs!$K$4:$AJ$4,0))))+SUMPRODUCT((Inputs!$E$5:$E$180=$B63)*ISNUMBER(INDEX(Inputs!$K$5:$AJ$180,0,MATCH(AK$2,Inputs!$K$4:$AJ$4,0))))=0,NA(),SUMPRODUCT((Inputs!$A$5:$A$180=$B63)*Inputs!$B$5:$B$180*(((Inputs!$G$5:$G$180="moeda")+(Inputs!$G$5:$G$180="acoes"))*Inputs!$B$1+((Inputs!$G$5:$G$180&lt;&gt;"moeda")*(Inputs!$G$5:$G$180&lt;&gt;"acoes")))*INDEX(Inputs!$K$5:$AJ$180,0,MATCH(AK$2,Inputs!$K$4:$AJ$4,0)))+SUMPRODUCT((Inputs!$C$5:$C$180=$B63)*Inputs!$D$5:$D$180*(((Inputs!$G$5:$G$180="moeda")+(Inputs!$G$5:$G$180="acoes"))*Inputs!$B$1+((Inputs!$G$5:$G$180&lt;&gt;"moeda")*(Inputs!$G$5:$G$180&lt;&gt;"acoes")))*INDEX(Inputs!$K$5:$AJ$180,0,MATCH(AK$2,Inputs!$K$4:$AJ$4,0)))+SUMPRODUCT((Inputs!$E$5:$E$180=$B63)*Inputs!$F$5:$F$180*(((Inputs!$G$5:$G$180="moeda")+(Inputs!$G$5:$G$180="acoes"))*Inputs!$B$1+((Inputs!$G$5:$G$180&lt;&gt;"moeda")*(Inputs!$G$5:$G$180&lt;&gt;"acoes")))*INDEX(Inputs!$K$5:$AJ$180,0,MATCH(AK$2,Inputs!$K$4:$AJ$4,0)))))</f>
        <v>317.36631</v>
      </c>
      <c r="AL63" s="3">
        <f>AK63</f>
        <v>317.36631</v>
      </c>
    </row>
    <row r="64">
      <c r="B64" s="46" t="n">
        <v>56</v>
      </c>
      <c r="C64" s="24" t="inlineStr">
        <is>
          <t>Divida liquida/EBITDA LTM divulgado (x)</t>
        </is>
      </c>
      <c r="D64" s="262">
        <f>IF(ISNA(MATCH(D$2,Inputs!$K$4:$AJ$4,0)),NA(),IF(SUMPRODUCT((Inputs!$A$5:$A$180=$B64)*ISNUMBER(INDEX(Inputs!$K$5:$AJ$180,0,MATCH(D$2,Inputs!$K$4:$AJ$4,0))))+SUMPRODUCT((Inputs!$C$5:$C$180=$B64)*ISNUMBER(INDEX(Inputs!$K$5:$AJ$180,0,MATCH(D$2,Inputs!$K$4:$AJ$4,0))))+SUMPRODUCT((Inputs!$E$5:$E$180=$B64)*ISNUMBER(INDEX(Inputs!$K$5:$AJ$180,0,MATCH(D$2,Inputs!$K$4:$AJ$4,0))))=0,NA(),SUMPRODUCT((Inputs!$A$5:$A$180=$B64)*Inputs!$B$5:$B$180*(((Inputs!$G$5:$G$180="moeda")+(Inputs!$G$5:$G$180="acoes"))*Inputs!$B$1+((Inputs!$G$5:$G$180&lt;&gt;"moeda")*(Inputs!$G$5:$G$180&lt;&gt;"acoes")))*INDEX(Inputs!$K$5:$AJ$180,0,MATCH(D$2,Inputs!$K$4:$AJ$4,0)))+SUMPRODUCT((Inputs!$C$5:$C$180=$B64)*Inputs!$D$5:$D$180*(((Inputs!$G$5:$G$180="moeda")+(Inputs!$G$5:$G$180="acoes"))*Inputs!$B$1+((Inputs!$G$5:$G$180&lt;&gt;"moeda")*(Inputs!$G$5:$G$180&lt;&gt;"acoes")))*INDEX(Inputs!$K$5:$AJ$180,0,MATCH(D$2,Inputs!$K$4:$AJ$4,0)))+SUMPRODUCT((Inputs!$E$5:$E$180=$B64)*Inputs!$F$5:$F$180*(((Inputs!$G$5:$G$180="moeda")+(Inputs!$G$5:$G$180="acoes"))*Inputs!$B$1+((Inputs!$G$5:$G$180&lt;&gt;"moeda")*(Inputs!$G$5:$G$180&lt;&gt;"acoes")))*INDEX(Inputs!$K$5:$AJ$180,0,MATCH(D$2,Inputs!$K$4:$AJ$4,0)))))</f>
        <v>0.973069579788152</v>
      </c>
      <c r="E64" s="262">
        <f>IF(ISNA(MATCH(E$2,Inputs!$K$4:$AJ$4,0)),NA(),IF(SUMPRODUCT((Inputs!$A$5:$A$180=$B64)*ISNUMBER(INDEX(Inputs!$K$5:$AJ$180,0,MATCH(E$2,Inputs!$K$4:$AJ$4,0))))+SUMPRODUCT((Inputs!$C$5:$C$180=$B64)*ISNUMBER(INDEX(Inputs!$K$5:$AJ$180,0,MATCH(E$2,Inputs!$K$4:$AJ$4,0))))+SUMPRODUCT((Inputs!$E$5:$E$180=$B64)*ISNUMBER(INDEX(Inputs!$K$5:$AJ$180,0,MATCH(E$2,Inputs!$K$4:$AJ$4,0))))=0,NA(),SUMPRODUCT((Inputs!$A$5:$A$180=$B64)*Inputs!$B$5:$B$180*(((Inputs!$G$5:$G$180="moeda")+(Inputs!$G$5:$G$180="acoes"))*Inputs!$B$1+((Inputs!$G$5:$G$180&lt;&gt;"moeda")*(Inputs!$G$5:$G$180&lt;&gt;"acoes")))*INDEX(Inputs!$K$5:$AJ$180,0,MATCH(E$2,Inputs!$K$4:$AJ$4,0)))+SUMPRODUCT((Inputs!$C$5:$C$180=$B64)*Inputs!$D$5:$D$180*(((Inputs!$G$5:$G$180="moeda")+(Inputs!$G$5:$G$180="acoes"))*Inputs!$B$1+((Inputs!$G$5:$G$180&lt;&gt;"moeda")*(Inputs!$G$5:$G$180&lt;&gt;"acoes")))*INDEX(Inputs!$K$5:$AJ$180,0,MATCH(E$2,Inputs!$K$4:$AJ$4,0)))+SUMPRODUCT((Inputs!$E$5:$E$180=$B64)*Inputs!$F$5:$F$180*(((Inputs!$G$5:$G$180="moeda")+(Inputs!$G$5:$G$180="acoes"))*Inputs!$B$1+((Inputs!$G$5:$G$180&lt;&gt;"moeda")*(Inputs!$G$5:$G$180&lt;&gt;"acoes")))*INDEX(Inputs!$K$5:$AJ$180,0,MATCH(E$2,Inputs!$K$4:$AJ$4,0)))))</f>
        <v>1.03604374260443</v>
      </c>
      <c r="F64" s="262">
        <f>IF(ISNA(MATCH(F$2,Inputs!$K$4:$AJ$4,0)),NA(),IF(SUMPRODUCT((Inputs!$A$5:$A$180=$B64)*ISNUMBER(INDEX(Inputs!$K$5:$AJ$180,0,MATCH(F$2,Inputs!$K$4:$AJ$4,0))))+SUMPRODUCT((Inputs!$C$5:$C$180=$B64)*ISNUMBER(INDEX(Inputs!$K$5:$AJ$180,0,MATCH(F$2,Inputs!$K$4:$AJ$4,0))))+SUMPRODUCT((Inputs!$E$5:$E$180=$B64)*ISNUMBER(INDEX(Inputs!$K$5:$AJ$180,0,MATCH(F$2,Inputs!$K$4:$AJ$4,0))))=0,NA(),SUMPRODUCT((Inputs!$A$5:$A$180=$B64)*Inputs!$B$5:$B$180*(((Inputs!$G$5:$G$180="moeda")+(Inputs!$G$5:$G$180="acoes"))*Inputs!$B$1+((Inputs!$G$5:$G$180&lt;&gt;"moeda")*(Inputs!$G$5:$G$180&lt;&gt;"acoes")))*INDEX(Inputs!$K$5:$AJ$180,0,MATCH(F$2,Inputs!$K$4:$AJ$4,0)))+SUMPRODUCT((Inputs!$C$5:$C$180=$B64)*Inputs!$D$5:$D$180*(((Inputs!$G$5:$G$180="moeda")+(Inputs!$G$5:$G$180="acoes"))*Inputs!$B$1+((Inputs!$G$5:$G$180&lt;&gt;"moeda")*(Inputs!$G$5:$G$180&lt;&gt;"acoes")))*INDEX(Inputs!$K$5:$AJ$180,0,MATCH(F$2,Inputs!$K$4:$AJ$4,0)))+SUMPRODUCT((Inputs!$E$5:$E$180=$B64)*Inputs!$F$5:$F$180*(((Inputs!$G$5:$G$180="moeda")+(Inputs!$G$5:$G$180="acoes"))*Inputs!$B$1+((Inputs!$G$5:$G$180&lt;&gt;"moeda")*(Inputs!$G$5:$G$180&lt;&gt;"acoes")))*INDEX(Inputs!$K$5:$AJ$180,0,MATCH(F$2,Inputs!$K$4:$AJ$4,0)))))</f>
        <v>1.32494655840149</v>
      </c>
      <c r="G64" s="262">
        <f>IF(ISNA(MATCH(G$2,Inputs!$K$4:$AJ$4,0)),NA(),IF(SUMPRODUCT((Inputs!$A$5:$A$180=$B64)*ISNUMBER(INDEX(Inputs!$K$5:$AJ$180,0,MATCH(G$2,Inputs!$K$4:$AJ$4,0))))+SUMPRODUCT((Inputs!$C$5:$C$180=$B64)*ISNUMBER(INDEX(Inputs!$K$5:$AJ$180,0,MATCH(G$2,Inputs!$K$4:$AJ$4,0))))+SUMPRODUCT((Inputs!$E$5:$E$180=$B64)*ISNUMBER(INDEX(Inputs!$K$5:$AJ$180,0,MATCH(G$2,Inputs!$K$4:$AJ$4,0))))=0,NA(),SUMPRODUCT((Inputs!$A$5:$A$180=$B64)*Inputs!$B$5:$B$180*(((Inputs!$G$5:$G$180="moeda")+(Inputs!$G$5:$G$180="acoes"))*Inputs!$B$1+((Inputs!$G$5:$G$180&lt;&gt;"moeda")*(Inputs!$G$5:$G$180&lt;&gt;"acoes")))*INDEX(Inputs!$K$5:$AJ$180,0,MATCH(G$2,Inputs!$K$4:$AJ$4,0)))+SUMPRODUCT((Inputs!$C$5:$C$180=$B64)*Inputs!$D$5:$D$180*(((Inputs!$G$5:$G$180="moeda")+(Inputs!$G$5:$G$180="acoes"))*Inputs!$B$1+((Inputs!$G$5:$G$180&lt;&gt;"moeda")*(Inputs!$G$5:$G$180&lt;&gt;"acoes")))*INDEX(Inputs!$K$5:$AJ$180,0,MATCH(G$2,Inputs!$K$4:$AJ$4,0)))+SUMPRODUCT((Inputs!$E$5:$E$180=$B64)*Inputs!$F$5:$F$180*(((Inputs!$G$5:$G$180="moeda")+(Inputs!$G$5:$G$180="acoes"))*Inputs!$B$1+((Inputs!$G$5:$G$180&lt;&gt;"moeda")*(Inputs!$G$5:$G$180&lt;&gt;"acoes")))*INDEX(Inputs!$K$5:$AJ$180,0,MATCH(G$2,Inputs!$K$4:$AJ$4,0)))))</f>
        <v>1.33654160762345</v>
      </c>
      <c r="H64" s="263">
        <f>G64</f>
        <v>1.33654160762345</v>
      </c>
      <c r="I64" s="262">
        <f>IF(ISNA(MATCH(I$2,Inputs!$K$4:$AJ$4,0)),NA(),IF(SUMPRODUCT((Inputs!$A$5:$A$180=$B64)*ISNUMBER(INDEX(Inputs!$K$5:$AJ$180,0,MATCH(I$2,Inputs!$K$4:$AJ$4,0))))+SUMPRODUCT((Inputs!$C$5:$C$180=$B64)*ISNUMBER(INDEX(Inputs!$K$5:$AJ$180,0,MATCH(I$2,Inputs!$K$4:$AJ$4,0))))+SUMPRODUCT((Inputs!$E$5:$E$180=$B64)*ISNUMBER(INDEX(Inputs!$K$5:$AJ$180,0,MATCH(I$2,Inputs!$K$4:$AJ$4,0))))=0,NA(),SUMPRODUCT((Inputs!$A$5:$A$180=$B64)*Inputs!$B$5:$B$180*(((Inputs!$G$5:$G$180="moeda")+(Inputs!$G$5:$G$180="acoes"))*Inputs!$B$1+((Inputs!$G$5:$G$180&lt;&gt;"moeda")*(Inputs!$G$5:$G$180&lt;&gt;"acoes")))*INDEX(Inputs!$K$5:$AJ$180,0,MATCH(I$2,Inputs!$K$4:$AJ$4,0)))+SUMPRODUCT((Inputs!$C$5:$C$180=$B64)*Inputs!$D$5:$D$180*(((Inputs!$G$5:$G$180="moeda")+(Inputs!$G$5:$G$180="acoes"))*Inputs!$B$1+((Inputs!$G$5:$G$180&lt;&gt;"moeda")*(Inputs!$G$5:$G$180&lt;&gt;"acoes")))*INDEX(Inputs!$K$5:$AJ$180,0,MATCH(I$2,Inputs!$K$4:$AJ$4,0)))+SUMPRODUCT((Inputs!$E$5:$E$180=$B64)*Inputs!$F$5:$F$180*(((Inputs!$G$5:$G$180="moeda")+(Inputs!$G$5:$G$180="acoes"))*Inputs!$B$1+((Inputs!$G$5:$G$180&lt;&gt;"moeda")*(Inputs!$G$5:$G$180&lt;&gt;"acoes")))*INDEX(Inputs!$K$5:$AJ$180,0,MATCH(I$2,Inputs!$K$4:$AJ$4,0)))))</f>
        <v>1.40870760836382</v>
      </c>
      <c r="J64" s="262">
        <f>IF(ISNA(MATCH(J$2,Inputs!$K$4:$AJ$4,0)),NA(),IF(SUMPRODUCT((Inputs!$A$5:$A$180=$B64)*ISNUMBER(INDEX(Inputs!$K$5:$AJ$180,0,MATCH(J$2,Inputs!$K$4:$AJ$4,0))))+SUMPRODUCT((Inputs!$C$5:$C$180=$B64)*ISNUMBER(INDEX(Inputs!$K$5:$AJ$180,0,MATCH(J$2,Inputs!$K$4:$AJ$4,0))))+SUMPRODUCT((Inputs!$E$5:$E$180=$B64)*ISNUMBER(INDEX(Inputs!$K$5:$AJ$180,0,MATCH(J$2,Inputs!$K$4:$AJ$4,0))))=0,NA(),SUMPRODUCT((Inputs!$A$5:$A$180=$B64)*Inputs!$B$5:$B$180*(((Inputs!$G$5:$G$180="moeda")+(Inputs!$G$5:$G$180="acoes"))*Inputs!$B$1+((Inputs!$G$5:$G$180&lt;&gt;"moeda")*(Inputs!$G$5:$G$180&lt;&gt;"acoes")))*INDEX(Inputs!$K$5:$AJ$180,0,MATCH(J$2,Inputs!$K$4:$AJ$4,0)))+SUMPRODUCT((Inputs!$C$5:$C$180=$B64)*Inputs!$D$5:$D$180*(((Inputs!$G$5:$G$180="moeda")+(Inputs!$G$5:$G$180="acoes"))*Inputs!$B$1+((Inputs!$G$5:$G$180&lt;&gt;"moeda")*(Inputs!$G$5:$G$180&lt;&gt;"acoes")))*INDEX(Inputs!$K$5:$AJ$180,0,MATCH(J$2,Inputs!$K$4:$AJ$4,0)))+SUMPRODUCT((Inputs!$E$5:$E$180=$B64)*Inputs!$F$5:$F$180*(((Inputs!$G$5:$G$180="moeda")+(Inputs!$G$5:$G$180="acoes"))*Inputs!$B$1+((Inputs!$G$5:$G$180&lt;&gt;"moeda")*(Inputs!$G$5:$G$180&lt;&gt;"acoes")))*INDEX(Inputs!$K$5:$AJ$180,0,MATCH(J$2,Inputs!$K$4:$AJ$4,0)))))</f>
        <v>1.80033504288454</v>
      </c>
      <c r="K64" s="262">
        <f>IF(ISNA(MATCH(K$2,Inputs!$K$4:$AJ$4,0)),NA(),IF(SUMPRODUCT((Inputs!$A$5:$A$180=$B64)*ISNUMBER(INDEX(Inputs!$K$5:$AJ$180,0,MATCH(K$2,Inputs!$K$4:$AJ$4,0))))+SUMPRODUCT((Inputs!$C$5:$C$180=$B64)*ISNUMBER(INDEX(Inputs!$K$5:$AJ$180,0,MATCH(K$2,Inputs!$K$4:$AJ$4,0))))+SUMPRODUCT((Inputs!$E$5:$E$180=$B64)*ISNUMBER(INDEX(Inputs!$K$5:$AJ$180,0,MATCH(K$2,Inputs!$K$4:$AJ$4,0))))=0,NA(),SUMPRODUCT((Inputs!$A$5:$A$180=$B64)*Inputs!$B$5:$B$180*(((Inputs!$G$5:$G$180="moeda")+(Inputs!$G$5:$G$180="acoes"))*Inputs!$B$1+((Inputs!$G$5:$G$180&lt;&gt;"moeda")*(Inputs!$G$5:$G$180&lt;&gt;"acoes")))*INDEX(Inputs!$K$5:$AJ$180,0,MATCH(K$2,Inputs!$K$4:$AJ$4,0)))+SUMPRODUCT((Inputs!$C$5:$C$180=$B64)*Inputs!$D$5:$D$180*(((Inputs!$G$5:$G$180="moeda")+(Inputs!$G$5:$G$180="acoes"))*Inputs!$B$1+((Inputs!$G$5:$G$180&lt;&gt;"moeda")*(Inputs!$G$5:$G$180&lt;&gt;"acoes")))*INDEX(Inputs!$K$5:$AJ$180,0,MATCH(K$2,Inputs!$K$4:$AJ$4,0)))+SUMPRODUCT((Inputs!$E$5:$E$180=$B64)*Inputs!$F$5:$F$180*(((Inputs!$G$5:$G$180="moeda")+(Inputs!$G$5:$G$180="acoes"))*Inputs!$B$1+((Inputs!$G$5:$G$180&lt;&gt;"moeda")*(Inputs!$G$5:$G$180&lt;&gt;"acoes")))*INDEX(Inputs!$K$5:$AJ$180,0,MATCH(K$2,Inputs!$K$4:$AJ$4,0)))))</f>
        <v>1.67174669927067</v>
      </c>
      <c r="L64" s="262">
        <f>IF(ISNA(MATCH(L$2,Inputs!$K$4:$AJ$4,0)),NA(),IF(SUMPRODUCT((Inputs!$A$5:$A$180=$B64)*ISNUMBER(INDEX(Inputs!$K$5:$AJ$180,0,MATCH(L$2,Inputs!$K$4:$AJ$4,0))))+SUMPRODUCT((Inputs!$C$5:$C$180=$B64)*ISNUMBER(INDEX(Inputs!$K$5:$AJ$180,0,MATCH(L$2,Inputs!$K$4:$AJ$4,0))))+SUMPRODUCT((Inputs!$E$5:$E$180=$B64)*ISNUMBER(INDEX(Inputs!$K$5:$AJ$180,0,MATCH(L$2,Inputs!$K$4:$AJ$4,0))))=0,NA(),SUMPRODUCT((Inputs!$A$5:$A$180=$B64)*Inputs!$B$5:$B$180*(((Inputs!$G$5:$G$180="moeda")+(Inputs!$G$5:$G$180="acoes"))*Inputs!$B$1+((Inputs!$G$5:$G$180&lt;&gt;"moeda")*(Inputs!$G$5:$G$180&lt;&gt;"acoes")))*INDEX(Inputs!$K$5:$AJ$180,0,MATCH(L$2,Inputs!$K$4:$AJ$4,0)))+SUMPRODUCT((Inputs!$C$5:$C$180=$B64)*Inputs!$D$5:$D$180*(((Inputs!$G$5:$G$180="moeda")+(Inputs!$G$5:$G$180="acoes"))*Inputs!$B$1+((Inputs!$G$5:$G$180&lt;&gt;"moeda")*(Inputs!$G$5:$G$180&lt;&gt;"acoes")))*INDEX(Inputs!$K$5:$AJ$180,0,MATCH(L$2,Inputs!$K$4:$AJ$4,0)))+SUMPRODUCT((Inputs!$E$5:$E$180=$B64)*Inputs!$F$5:$F$180*(((Inputs!$G$5:$G$180="moeda")+(Inputs!$G$5:$G$180="acoes"))*Inputs!$B$1+((Inputs!$G$5:$G$180&lt;&gt;"moeda")*(Inputs!$G$5:$G$180&lt;&gt;"acoes")))*INDEX(Inputs!$K$5:$AJ$180,0,MATCH(L$2,Inputs!$K$4:$AJ$4,0)))))</f>
        <v>1.21489330082338</v>
      </c>
      <c r="M64" s="263">
        <f>L64</f>
        <v>1.21489330082338</v>
      </c>
      <c r="N64" s="262">
        <f>IF(ISNA(MATCH(N$2,Inputs!$K$4:$AJ$4,0)),NA(),IF(SUMPRODUCT((Inputs!$A$5:$A$180=$B64)*ISNUMBER(INDEX(Inputs!$K$5:$AJ$180,0,MATCH(N$2,Inputs!$K$4:$AJ$4,0))))+SUMPRODUCT((Inputs!$C$5:$C$180=$B64)*ISNUMBER(INDEX(Inputs!$K$5:$AJ$180,0,MATCH(N$2,Inputs!$K$4:$AJ$4,0))))+SUMPRODUCT((Inputs!$E$5:$E$180=$B64)*ISNUMBER(INDEX(Inputs!$K$5:$AJ$180,0,MATCH(N$2,Inputs!$K$4:$AJ$4,0))))=0,NA(),SUMPRODUCT((Inputs!$A$5:$A$180=$B64)*Inputs!$B$5:$B$180*(((Inputs!$G$5:$G$180="moeda")+(Inputs!$G$5:$G$180="acoes"))*Inputs!$B$1+((Inputs!$G$5:$G$180&lt;&gt;"moeda")*(Inputs!$G$5:$G$180&lt;&gt;"acoes")))*INDEX(Inputs!$K$5:$AJ$180,0,MATCH(N$2,Inputs!$K$4:$AJ$4,0)))+SUMPRODUCT((Inputs!$C$5:$C$180=$B64)*Inputs!$D$5:$D$180*(((Inputs!$G$5:$G$180="moeda")+(Inputs!$G$5:$G$180="acoes"))*Inputs!$B$1+((Inputs!$G$5:$G$180&lt;&gt;"moeda")*(Inputs!$G$5:$G$180&lt;&gt;"acoes")))*INDEX(Inputs!$K$5:$AJ$180,0,MATCH(N$2,Inputs!$K$4:$AJ$4,0)))+SUMPRODUCT((Inputs!$E$5:$E$180=$B64)*Inputs!$F$5:$F$180*(((Inputs!$G$5:$G$180="moeda")+(Inputs!$G$5:$G$180="acoes"))*Inputs!$B$1+((Inputs!$G$5:$G$180&lt;&gt;"moeda")*(Inputs!$G$5:$G$180&lt;&gt;"acoes")))*INDEX(Inputs!$K$5:$AJ$180,0,MATCH(N$2,Inputs!$K$4:$AJ$4,0)))))</f>
        <v>1.20801562418868</v>
      </c>
      <c r="O64" s="262" t="e">
        <f>IF(ISNA(MATCH(O$2,Inputs!$K$4:$AJ$4,0)),NA(),IF(SUMPRODUCT((Inputs!$A$5:$A$180=$B64)*ISNUMBER(INDEX(Inputs!$K$5:$AJ$180,0,MATCH(O$2,Inputs!$K$4:$AJ$4,0))))+SUMPRODUCT((Inputs!$C$5:$C$180=$B64)*ISNUMBER(INDEX(Inputs!$K$5:$AJ$180,0,MATCH(O$2,Inputs!$K$4:$AJ$4,0))))+SUMPRODUCT((Inputs!$E$5:$E$180=$B64)*ISNUMBER(INDEX(Inputs!$K$5:$AJ$180,0,MATCH(O$2,Inputs!$K$4:$AJ$4,0))))=0,NA(),SUMPRODUCT((Inputs!$A$5:$A$180=$B64)*Inputs!$B$5:$B$180*(((Inputs!$G$5:$G$180="moeda")+(Inputs!$G$5:$G$180="acoes"))*Inputs!$B$1+((Inputs!$G$5:$G$180&lt;&gt;"moeda")*(Inputs!$G$5:$G$180&lt;&gt;"acoes")))*INDEX(Inputs!$K$5:$AJ$180,0,MATCH(O$2,Inputs!$K$4:$AJ$4,0)))+SUMPRODUCT((Inputs!$C$5:$C$180=$B64)*Inputs!$D$5:$D$180*(((Inputs!$G$5:$G$180="moeda")+(Inputs!$G$5:$G$180="acoes"))*Inputs!$B$1+((Inputs!$G$5:$G$180&lt;&gt;"moeda")*(Inputs!$G$5:$G$180&lt;&gt;"acoes")))*INDEX(Inputs!$K$5:$AJ$180,0,MATCH(O$2,Inputs!$K$4:$AJ$4,0)))+SUMPRODUCT((Inputs!$E$5:$E$180=$B64)*Inputs!$F$5:$F$180*(((Inputs!$G$5:$G$180="moeda")+(Inputs!$G$5:$G$180="acoes"))*Inputs!$B$1+((Inputs!$G$5:$G$180&lt;&gt;"moeda")*(Inputs!$G$5:$G$180&lt;&gt;"acoes")))*INDEX(Inputs!$K$5:$AJ$180,0,MATCH(O$2,Inputs!$K$4:$AJ$4,0)))))</f>
        <v>#N/A</v>
      </c>
      <c r="P64" s="262">
        <f>IF(ISNA(MATCH(P$2,Inputs!$K$4:$AJ$4,0)),NA(),IF(SUMPRODUCT((Inputs!$A$5:$A$180=$B64)*ISNUMBER(INDEX(Inputs!$K$5:$AJ$180,0,MATCH(P$2,Inputs!$K$4:$AJ$4,0))))+SUMPRODUCT((Inputs!$C$5:$C$180=$B64)*ISNUMBER(INDEX(Inputs!$K$5:$AJ$180,0,MATCH(P$2,Inputs!$K$4:$AJ$4,0))))+SUMPRODUCT((Inputs!$E$5:$E$180=$B64)*ISNUMBER(INDEX(Inputs!$K$5:$AJ$180,0,MATCH(P$2,Inputs!$K$4:$AJ$4,0))))=0,NA(),SUMPRODUCT((Inputs!$A$5:$A$180=$B64)*Inputs!$B$5:$B$180*(((Inputs!$G$5:$G$180="moeda")+(Inputs!$G$5:$G$180="acoes"))*Inputs!$B$1+((Inputs!$G$5:$G$180&lt;&gt;"moeda")*(Inputs!$G$5:$G$180&lt;&gt;"acoes")))*INDEX(Inputs!$K$5:$AJ$180,0,MATCH(P$2,Inputs!$K$4:$AJ$4,0)))+SUMPRODUCT((Inputs!$C$5:$C$180=$B64)*Inputs!$D$5:$D$180*(((Inputs!$G$5:$G$180="moeda")+(Inputs!$G$5:$G$180="acoes"))*Inputs!$B$1+((Inputs!$G$5:$G$180&lt;&gt;"moeda")*(Inputs!$G$5:$G$180&lt;&gt;"acoes")))*INDEX(Inputs!$K$5:$AJ$180,0,MATCH(P$2,Inputs!$K$4:$AJ$4,0)))+SUMPRODUCT((Inputs!$E$5:$E$180=$B64)*Inputs!$F$5:$F$180*(((Inputs!$G$5:$G$180="moeda")+(Inputs!$G$5:$G$180="acoes"))*Inputs!$B$1+((Inputs!$G$5:$G$180&lt;&gt;"moeda")*(Inputs!$G$5:$G$180&lt;&gt;"acoes")))*INDEX(Inputs!$K$5:$AJ$180,0,MATCH(P$2,Inputs!$K$4:$AJ$4,0)))))</f>
        <v>1.2</v>
      </c>
      <c r="Q64" s="262">
        <f>IF(ISNA(MATCH(Q$2,Inputs!$K$4:$AJ$4,0)),NA(),IF(SUMPRODUCT((Inputs!$A$5:$A$180=$B64)*ISNUMBER(INDEX(Inputs!$K$5:$AJ$180,0,MATCH(Q$2,Inputs!$K$4:$AJ$4,0))))+SUMPRODUCT((Inputs!$C$5:$C$180=$B64)*ISNUMBER(INDEX(Inputs!$K$5:$AJ$180,0,MATCH(Q$2,Inputs!$K$4:$AJ$4,0))))+SUMPRODUCT((Inputs!$E$5:$E$180=$B64)*ISNUMBER(INDEX(Inputs!$K$5:$AJ$180,0,MATCH(Q$2,Inputs!$K$4:$AJ$4,0))))=0,NA(),SUMPRODUCT((Inputs!$A$5:$A$180=$B64)*Inputs!$B$5:$B$180*(((Inputs!$G$5:$G$180="moeda")+(Inputs!$G$5:$G$180="acoes"))*Inputs!$B$1+((Inputs!$G$5:$G$180&lt;&gt;"moeda")*(Inputs!$G$5:$G$180&lt;&gt;"acoes")))*INDEX(Inputs!$K$5:$AJ$180,0,MATCH(Q$2,Inputs!$K$4:$AJ$4,0)))+SUMPRODUCT((Inputs!$C$5:$C$180=$B64)*Inputs!$D$5:$D$180*(((Inputs!$G$5:$G$180="moeda")+(Inputs!$G$5:$G$180="acoes"))*Inputs!$B$1+((Inputs!$G$5:$G$180&lt;&gt;"moeda")*(Inputs!$G$5:$G$180&lt;&gt;"acoes")))*INDEX(Inputs!$K$5:$AJ$180,0,MATCH(Q$2,Inputs!$K$4:$AJ$4,0)))+SUMPRODUCT((Inputs!$E$5:$E$180=$B64)*Inputs!$F$5:$F$180*(((Inputs!$G$5:$G$180="moeda")+(Inputs!$G$5:$G$180="acoes"))*Inputs!$B$1+((Inputs!$G$5:$G$180&lt;&gt;"moeda")*(Inputs!$G$5:$G$180&lt;&gt;"acoes")))*INDEX(Inputs!$K$5:$AJ$180,0,MATCH(Q$2,Inputs!$K$4:$AJ$4,0)))))</f>
        <v>1.2</v>
      </c>
      <c r="R64" s="263">
        <f>Q64</f>
        <v>1.2</v>
      </c>
      <c r="S64" s="262">
        <f>IF(ISNA(MATCH(S$2,Inputs!$K$4:$AJ$4,0)),NA(),IF(SUMPRODUCT((Inputs!$A$5:$A$180=$B64)*ISNUMBER(INDEX(Inputs!$K$5:$AJ$180,0,MATCH(S$2,Inputs!$K$4:$AJ$4,0))))+SUMPRODUCT((Inputs!$C$5:$C$180=$B64)*ISNUMBER(INDEX(Inputs!$K$5:$AJ$180,0,MATCH(S$2,Inputs!$K$4:$AJ$4,0))))+SUMPRODUCT((Inputs!$E$5:$E$180=$B64)*ISNUMBER(INDEX(Inputs!$K$5:$AJ$180,0,MATCH(S$2,Inputs!$K$4:$AJ$4,0))))=0,NA(),SUMPRODUCT((Inputs!$A$5:$A$180=$B64)*Inputs!$B$5:$B$180*(((Inputs!$G$5:$G$180="moeda")+(Inputs!$G$5:$G$180="acoes"))*Inputs!$B$1+((Inputs!$G$5:$G$180&lt;&gt;"moeda")*(Inputs!$G$5:$G$180&lt;&gt;"acoes")))*INDEX(Inputs!$K$5:$AJ$180,0,MATCH(S$2,Inputs!$K$4:$AJ$4,0)))+SUMPRODUCT((Inputs!$C$5:$C$180=$B64)*Inputs!$D$5:$D$180*(((Inputs!$G$5:$G$180="moeda")+(Inputs!$G$5:$G$180="acoes"))*Inputs!$B$1+((Inputs!$G$5:$G$180&lt;&gt;"moeda")*(Inputs!$G$5:$G$180&lt;&gt;"acoes")))*INDEX(Inputs!$K$5:$AJ$180,0,MATCH(S$2,Inputs!$K$4:$AJ$4,0)))+SUMPRODUCT((Inputs!$E$5:$E$180=$B64)*Inputs!$F$5:$F$180*(((Inputs!$G$5:$G$180="moeda")+(Inputs!$G$5:$G$180="acoes"))*Inputs!$B$1+((Inputs!$G$5:$G$180&lt;&gt;"moeda")*(Inputs!$G$5:$G$180&lt;&gt;"acoes")))*INDEX(Inputs!$K$5:$AJ$180,0,MATCH(S$2,Inputs!$K$4:$AJ$4,0)))))</f>
        <v>1.2</v>
      </c>
      <c r="T64" s="262">
        <f>IF(ISNA(MATCH(T$2,Inputs!$K$4:$AJ$4,0)),NA(),IF(SUMPRODUCT((Inputs!$A$5:$A$180=$B64)*ISNUMBER(INDEX(Inputs!$K$5:$AJ$180,0,MATCH(T$2,Inputs!$K$4:$AJ$4,0))))+SUMPRODUCT((Inputs!$C$5:$C$180=$B64)*ISNUMBER(INDEX(Inputs!$K$5:$AJ$180,0,MATCH(T$2,Inputs!$K$4:$AJ$4,0))))+SUMPRODUCT((Inputs!$E$5:$E$180=$B64)*ISNUMBER(INDEX(Inputs!$K$5:$AJ$180,0,MATCH(T$2,Inputs!$K$4:$AJ$4,0))))=0,NA(),SUMPRODUCT((Inputs!$A$5:$A$180=$B64)*Inputs!$B$5:$B$180*(((Inputs!$G$5:$G$180="moeda")+(Inputs!$G$5:$G$180="acoes"))*Inputs!$B$1+((Inputs!$G$5:$G$180&lt;&gt;"moeda")*(Inputs!$G$5:$G$180&lt;&gt;"acoes")))*INDEX(Inputs!$K$5:$AJ$180,0,MATCH(T$2,Inputs!$K$4:$AJ$4,0)))+SUMPRODUCT((Inputs!$C$5:$C$180=$B64)*Inputs!$D$5:$D$180*(((Inputs!$G$5:$G$180="moeda")+(Inputs!$G$5:$G$180="acoes"))*Inputs!$B$1+((Inputs!$G$5:$G$180&lt;&gt;"moeda")*(Inputs!$G$5:$G$180&lt;&gt;"acoes")))*INDEX(Inputs!$K$5:$AJ$180,0,MATCH(T$2,Inputs!$K$4:$AJ$4,0)))+SUMPRODUCT((Inputs!$E$5:$E$180=$B64)*Inputs!$F$5:$F$180*(((Inputs!$G$5:$G$180="moeda")+(Inputs!$G$5:$G$180="acoes"))*Inputs!$B$1+((Inputs!$G$5:$G$180&lt;&gt;"moeda")*(Inputs!$G$5:$G$180&lt;&gt;"acoes")))*INDEX(Inputs!$K$5:$AJ$180,0,MATCH(T$2,Inputs!$K$4:$AJ$4,0)))))</f>
        <v>1.1</v>
      </c>
      <c r="U64" s="262">
        <f>IF(ISNA(MATCH(U$2,Inputs!$K$4:$AJ$4,0)),NA(),IF(SUMPRODUCT((Inputs!$A$5:$A$180=$B64)*ISNUMBER(INDEX(Inputs!$K$5:$AJ$180,0,MATCH(U$2,Inputs!$K$4:$AJ$4,0))))+SUMPRODUCT((Inputs!$C$5:$C$180=$B64)*ISNUMBER(INDEX(Inputs!$K$5:$AJ$180,0,MATCH(U$2,Inputs!$K$4:$AJ$4,0))))+SUMPRODUCT((Inputs!$E$5:$E$180=$B64)*ISNUMBER(INDEX(Inputs!$K$5:$AJ$180,0,MATCH(U$2,Inputs!$K$4:$AJ$4,0))))=0,NA(),SUMPRODUCT((Inputs!$A$5:$A$180=$B64)*Inputs!$B$5:$B$180*(((Inputs!$G$5:$G$180="moeda")+(Inputs!$G$5:$G$180="acoes"))*Inputs!$B$1+((Inputs!$G$5:$G$180&lt;&gt;"moeda")*(Inputs!$G$5:$G$180&lt;&gt;"acoes")))*INDEX(Inputs!$K$5:$AJ$180,0,MATCH(U$2,Inputs!$K$4:$AJ$4,0)))+SUMPRODUCT((Inputs!$C$5:$C$180=$B64)*Inputs!$D$5:$D$180*(((Inputs!$G$5:$G$180="moeda")+(Inputs!$G$5:$G$180="acoes"))*Inputs!$B$1+((Inputs!$G$5:$G$180&lt;&gt;"moeda")*(Inputs!$G$5:$G$180&lt;&gt;"acoes")))*INDEX(Inputs!$K$5:$AJ$180,0,MATCH(U$2,Inputs!$K$4:$AJ$4,0)))+SUMPRODUCT((Inputs!$E$5:$E$180=$B64)*Inputs!$F$5:$F$180*(((Inputs!$G$5:$G$180="moeda")+(Inputs!$G$5:$G$180="acoes"))*Inputs!$B$1+((Inputs!$G$5:$G$180&lt;&gt;"moeda")*(Inputs!$G$5:$G$180&lt;&gt;"acoes")))*INDEX(Inputs!$K$5:$AJ$180,0,MATCH(U$2,Inputs!$K$4:$AJ$4,0)))))</f>
        <v>1</v>
      </c>
      <c r="V64" s="262">
        <f>IF(ISNA(MATCH(V$2,Inputs!$K$4:$AJ$4,0)),NA(),IF(SUMPRODUCT((Inputs!$A$5:$A$180=$B64)*ISNUMBER(INDEX(Inputs!$K$5:$AJ$180,0,MATCH(V$2,Inputs!$K$4:$AJ$4,0))))+SUMPRODUCT((Inputs!$C$5:$C$180=$B64)*ISNUMBER(INDEX(Inputs!$K$5:$AJ$180,0,MATCH(V$2,Inputs!$K$4:$AJ$4,0))))+SUMPRODUCT((Inputs!$E$5:$E$180=$B64)*ISNUMBER(INDEX(Inputs!$K$5:$AJ$180,0,MATCH(V$2,Inputs!$K$4:$AJ$4,0))))=0,NA(),SUMPRODUCT((Inputs!$A$5:$A$180=$B64)*Inputs!$B$5:$B$180*(((Inputs!$G$5:$G$180="moeda")+(Inputs!$G$5:$G$180="acoes"))*Inputs!$B$1+((Inputs!$G$5:$G$180&lt;&gt;"moeda")*(Inputs!$G$5:$G$180&lt;&gt;"acoes")))*INDEX(Inputs!$K$5:$AJ$180,0,MATCH(V$2,Inputs!$K$4:$AJ$4,0)))+SUMPRODUCT((Inputs!$C$5:$C$180=$B64)*Inputs!$D$5:$D$180*(((Inputs!$G$5:$G$180="moeda")+(Inputs!$G$5:$G$180="acoes"))*Inputs!$B$1+((Inputs!$G$5:$G$180&lt;&gt;"moeda")*(Inputs!$G$5:$G$180&lt;&gt;"acoes")))*INDEX(Inputs!$K$5:$AJ$180,0,MATCH(V$2,Inputs!$K$4:$AJ$4,0)))+SUMPRODUCT((Inputs!$E$5:$E$180=$B64)*Inputs!$F$5:$F$180*(((Inputs!$G$5:$G$180="moeda")+(Inputs!$G$5:$G$180="acoes"))*Inputs!$B$1+((Inputs!$G$5:$G$180&lt;&gt;"moeda")*(Inputs!$G$5:$G$180&lt;&gt;"acoes")))*INDEX(Inputs!$K$5:$AJ$180,0,MATCH(V$2,Inputs!$K$4:$AJ$4,0)))))</f>
        <v>1</v>
      </c>
      <c r="W64" s="263">
        <f>V64</f>
        <v>1</v>
      </c>
      <c r="X64" s="262">
        <f>IF(ISNA(MATCH(X$2,Inputs!$K$4:$AJ$4,0)),NA(),IF(SUMPRODUCT((Inputs!$A$5:$A$180=$B64)*ISNUMBER(INDEX(Inputs!$K$5:$AJ$180,0,MATCH(X$2,Inputs!$K$4:$AJ$4,0))))+SUMPRODUCT((Inputs!$C$5:$C$180=$B64)*ISNUMBER(INDEX(Inputs!$K$5:$AJ$180,0,MATCH(X$2,Inputs!$K$4:$AJ$4,0))))+SUMPRODUCT((Inputs!$E$5:$E$180=$B64)*ISNUMBER(INDEX(Inputs!$K$5:$AJ$180,0,MATCH(X$2,Inputs!$K$4:$AJ$4,0))))=0,NA(),SUMPRODUCT((Inputs!$A$5:$A$180=$B64)*Inputs!$B$5:$B$180*(((Inputs!$G$5:$G$180="moeda")+(Inputs!$G$5:$G$180="acoes"))*Inputs!$B$1+((Inputs!$G$5:$G$180&lt;&gt;"moeda")*(Inputs!$G$5:$G$180&lt;&gt;"acoes")))*INDEX(Inputs!$K$5:$AJ$180,0,MATCH(X$2,Inputs!$K$4:$AJ$4,0)))+SUMPRODUCT((Inputs!$C$5:$C$180=$B64)*Inputs!$D$5:$D$180*(((Inputs!$G$5:$G$180="moeda")+(Inputs!$G$5:$G$180="acoes"))*Inputs!$B$1+((Inputs!$G$5:$G$180&lt;&gt;"moeda")*(Inputs!$G$5:$G$180&lt;&gt;"acoes")))*INDEX(Inputs!$K$5:$AJ$180,0,MATCH(X$2,Inputs!$K$4:$AJ$4,0)))+SUMPRODUCT((Inputs!$E$5:$E$180=$B64)*Inputs!$F$5:$F$180*(((Inputs!$G$5:$G$180="moeda")+(Inputs!$G$5:$G$180="acoes"))*Inputs!$B$1+((Inputs!$G$5:$G$180&lt;&gt;"moeda")*(Inputs!$G$5:$G$180&lt;&gt;"acoes")))*INDEX(Inputs!$K$5:$AJ$180,0,MATCH(X$2,Inputs!$K$4:$AJ$4,0)))))</f>
        <v>1</v>
      </c>
      <c r="Y64" s="262">
        <f>IF(ISNA(MATCH(Y$2,Inputs!$K$4:$AJ$4,0)),NA(),IF(SUMPRODUCT((Inputs!$A$5:$A$180=$B64)*ISNUMBER(INDEX(Inputs!$K$5:$AJ$180,0,MATCH(Y$2,Inputs!$K$4:$AJ$4,0))))+SUMPRODUCT((Inputs!$C$5:$C$180=$B64)*ISNUMBER(INDEX(Inputs!$K$5:$AJ$180,0,MATCH(Y$2,Inputs!$K$4:$AJ$4,0))))+SUMPRODUCT((Inputs!$E$5:$E$180=$B64)*ISNUMBER(INDEX(Inputs!$K$5:$AJ$180,0,MATCH(Y$2,Inputs!$K$4:$AJ$4,0))))=0,NA(),SUMPRODUCT((Inputs!$A$5:$A$180=$B64)*Inputs!$B$5:$B$180*(((Inputs!$G$5:$G$180="moeda")+(Inputs!$G$5:$G$180="acoes"))*Inputs!$B$1+((Inputs!$G$5:$G$180&lt;&gt;"moeda")*(Inputs!$G$5:$G$180&lt;&gt;"acoes")))*INDEX(Inputs!$K$5:$AJ$180,0,MATCH(Y$2,Inputs!$K$4:$AJ$4,0)))+SUMPRODUCT((Inputs!$C$5:$C$180=$B64)*Inputs!$D$5:$D$180*(((Inputs!$G$5:$G$180="moeda")+(Inputs!$G$5:$G$180="acoes"))*Inputs!$B$1+((Inputs!$G$5:$G$180&lt;&gt;"moeda")*(Inputs!$G$5:$G$180&lt;&gt;"acoes")))*INDEX(Inputs!$K$5:$AJ$180,0,MATCH(Y$2,Inputs!$K$4:$AJ$4,0)))+SUMPRODUCT((Inputs!$E$5:$E$180=$B64)*Inputs!$F$5:$F$180*(((Inputs!$G$5:$G$180="moeda")+(Inputs!$G$5:$G$180="acoes"))*Inputs!$B$1+((Inputs!$G$5:$G$180&lt;&gt;"moeda")*(Inputs!$G$5:$G$180&lt;&gt;"acoes")))*INDEX(Inputs!$K$5:$AJ$180,0,MATCH(Y$2,Inputs!$K$4:$AJ$4,0)))))</f>
        <v>1.1</v>
      </c>
      <c r="Z64" s="262">
        <f>IF(ISNA(MATCH(Z$2,Inputs!$K$4:$AJ$4,0)),NA(),IF(SUMPRODUCT((Inputs!$A$5:$A$180=$B64)*ISNUMBER(INDEX(Inputs!$K$5:$AJ$180,0,MATCH(Z$2,Inputs!$K$4:$AJ$4,0))))+SUMPRODUCT((Inputs!$C$5:$C$180=$B64)*ISNUMBER(INDEX(Inputs!$K$5:$AJ$180,0,MATCH(Z$2,Inputs!$K$4:$AJ$4,0))))+SUMPRODUCT((Inputs!$E$5:$E$180=$B64)*ISNUMBER(INDEX(Inputs!$K$5:$AJ$180,0,MATCH(Z$2,Inputs!$K$4:$AJ$4,0))))=0,NA(),SUMPRODUCT((Inputs!$A$5:$A$180=$B64)*Inputs!$B$5:$B$180*(((Inputs!$G$5:$G$180="moeda")+(Inputs!$G$5:$G$180="acoes"))*Inputs!$B$1+((Inputs!$G$5:$G$180&lt;&gt;"moeda")*(Inputs!$G$5:$G$180&lt;&gt;"acoes")))*INDEX(Inputs!$K$5:$AJ$180,0,MATCH(Z$2,Inputs!$K$4:$AJ$4,0)))+SUMPRODUCT((Inputs!$C$5:$C$180=$B64)*Inputs!$D$5:$D$180*(((Inputs!$G$5:$G$180="moeda")+(Inputs!$G$5:$G$180="acoes"))*Inputs!$B$1+((Inputs!$G$5:$G$180&lt;&gt;"moeda")*(Inputs!$G$5:$G$180&lt;&gt;"acoes")))*INDEX(Inputs!$K$5:$AJ$180,0,MATCH(Z$2,Inputs!$K$4:$AJ$4,0)))+SUMPRODUCT((Inputs!$E$5:$E$180=$B64)*Inputs!$F$5:$F$180*(((Inputs!$G$5:$G$180="moeda")+(Inputs!$G$5:$G$180="acoes"))*Inputs!$B$1+((Inputs!$G$5:$G$180&lt;&gt;"moeda")*(Inputs!$G$5:$G$180&lt;&gt;"acoes")))*INDEX(Inputs!$K$5:$AJ$180,0,MATCH(Z$2,Inputs!$K$4:$AJ$4,0)))))</f>
        <v>1</v>
      </c>
      <c r="AA64" s="262">
        <f>IF(ISNA(MATCH(AA$2,Inputs!$K$4:$AJ$4,0)),NA(),IF(SUMPRODUCT((Inputs!$A$5:$A$180=$B64)*ISNUMBER(INDEX(Inputs!$K$5:$AJ$180,0,MATCH(AA$2,Inputs!$K$4:$AJ$4,0))))+SUMPRODUCT((Inputs!$C$5:$C$180=$B64)*ISNUMBER(INDEX(Inputs!$K$5:$AJ$180,0,MATCH(AA$2,Inputs!$K$4:$AJ$4,0))))+SUMPRODUCT((Inputs!$E$5:$E$180=$B64)*ISNUMBER(INDEX(Inputs!$K$5:$AJ$180,0,MATCH(AA$2,Inputs!$K$4:$AJ$4,0))))=0,NA(),SUMPRODUCT((Inputs!$A$5:$A$180=$B64)*Inputs!$B$5:$B$180*(((Inputs!$G$5:$G$180="moeda")+(Inputs!$G$5:$G$180="acoes"))*Inputs!$B$1+((Inputs!$G$5:$G$180&lt;&gt;"moeda")*(Inputs!$G$5:$G$180&lt;&gt;"acoes")))*INDEX(Inputs!$K$5:$AJ$180,0,MATCH(AA$2,Inputs!$K$4:$AJ$4,0)))+SUMPRODUCT((Inputs!$C$5:$C$180=$B64)*Inputs!$D$5:$D$180*(((Inputs!$G$5:$G$180="moeda")+(Inputs!$G$5:$G$180="acoes"))*Inputs!$B$1+((Inputs!$G$5:$G$180&lt;&gt;"moeda")*(Inputs!$G$5:$G$180&lt;&gt;"acoes")))*INDEX(Inputs!$K$5:$AJ$180,0,MATCH(AA$2,Inputs!$K$4:$AJ$4,0)))+SUMPRODUCT((Inputs!$E$5:$E$180=$B64)*Inputs!$F$5:$F$180*(((Inputs!$G$5:$G$180="moeda")+(Inputs!$G$5:$G$180="acoes"))*Inputs!$B$1+((Inputs!$G$5:$G$180&lt;&gt;"moeda")*(Inputs!$G$5:$G$180&lt;&gt;"acoes")))*INDEX(Inputs!$K$5:$AJ$180,0,MATCH(AA$2,Inputs!$K$4:$AJ$4,0)))))</f>
        <v>1</v>
      </c>
      <c r="AB64" s="263">
        <f>AA64</f>
        <v>1</v>
      </c>
      <c r="AC64" s="262">
        <f>IF(ISNA(MATCH(AC$2,Inputs!$K$4:$AJ$4,0)),NA(),IF(SUMPRODUCT((Inputs!$A$5:$A$180=$B64)*ISNUMBER(INDEX(Inputs!$K$5:$AJ$180,0,MATCH(AC$2,Inputs!$K$4:$AJ$4,0))))+SUMPRODUCT((Inputs!$C$5:$C$180=$B64)*ISNUMBER(INDEX(Inputs!$K$5:$AJ$180,0,MATCH(AC$2,Inputs!$K$4:$AJ$4,0))))+SUMPRODUCT((Inputs!$E$5:$E$180=$B64)*ISNUMBER(INDEX(Inputs!$K$5:$AJ$180,0,MATCH(AC$2,Inputs!$K$4:$AJ$4,0))))=0,NA(),SUMPRODUCT((Inputs!$A$5:$A$180=$B64)*Inputs!$B$5:$B$180*(((Inputs!$G$5:$G$180="moeda")+(Inputs!$G$5:$G$180="acoes"))*Inputs!$B$1+((Inputs!$G$5:$G$180&lt;&gt;"moeda")*(Inputs!$G$5:$G$180&lt;&gt;"acoes")))*INDEX(Inputs!$K$5:$AJ$180,0,MATCH(AC$2,Inputs!$K$4:$AJ$4,0)))+SUMPRODUCT((Inputs!$C$5:$C$180=$B64)*Inputs!$D$5:$D$180*(((Inputs!$G$5:$G$180="moeda")+(Inputs!$G$5:$G$180="acoes"))*Inputs!$B$1+((Inputs!$G$5:$G$180&lt;&gt;"moeda")*(Inputs!$G$5:$G$180&lt;&gt;"acoes")))*INDEX(Inputs!$K$5:$AJ$180,0,MATCH(AC$2,Inputs!$K$4:$AJ$4,0)))+SUMPRODUCT((Inputs!$E$5:$E$180=$B64)*Inputs!$F$5:$F$180*(((Inputs!$G$5:$G$180="moeda")+(Inputs!$G$5:$G$180="acoes"))*Inputs!$B$1+((Inputs!$G$5:$G$180&lt;&gt;"moeda")*(Inputs!$G$5:$G$180&lt;&gt;"acoes")))*INDEX(Inputs!$K$5:$AJ$180,0,MATCH(AC$2,Inputs!$K$4:$AJ$4,0)))))</f>
        <v>1</v>
      </c>
      <c r="AD64" s="262">
        <f>IF(ISNA(MATCH(AD$2,Inputs!$K$4:$AJ$4,0)),NA(),IF(SUMPRODUCT((Inputs!$A$5:$A$180=$B64)*ISNUMBER(INDEX(Inputs!$K$5:$AJ$180,0,MATCH(AD$2,Inputs!$K$4:$AJ$4,0))))+SUMPRODUCT((Inputs!$C$5:$C$180=$B64)*ISNUMBER(INDEX(Inputs!$K$5:$AJ$180,0,MATCH(AD$2,Inputs!$K$4:$AJ$4,0))))+SUMPRODUCT((Inputs!$E$5:$E$180=$B64)*ISNUMBER(INDEX(Inputs!$K$5:$AJ$180,0,MATCH(AD$2,Inputs!$K$4:$AJ$4,0))))=0,NA(),SUMPRODUCT((Inputs!$A$5:$A$180=$B64)*Inputs!$B$5:$B$180*(((Inputs!$G$5:$G$180="moeda")+(Inputs!$G$5:$G$180="acoes"))*Inputs!$B$1+((Inputs!$G$5:$G$180&lt;&gt;"moeda")*(Inputs!$G$5:$G$180&lt;&gt;"acoes")))*INDEX(Inputs!$K$5:$AJ$180,0,MATCH(AD$2,Inputs!$K$4:$AJ$4,0)))+SUMPRODUCT((Inputs!$C$5:$C$180=$B64)*Inputs!$D$5:$D$180*(((Inputs!$G$5:$G$180="moeda")+(Inputs!$G$5:$G$180="acoes"))*Inputs!$B$1+((Inputs!$G$5:$G$180&lt;&gt;"moeda")*(Inputs!$G$5:$G$180&lt;&gt;"acoes")))*INDEX(Inputs!$K$5:$AJ$180,0,MATCH(AD$2,Inputs!$K$4:$AJ$4,0)))+SUMPRODUCT((Inputs!$E$5:$E$180=$B64)*Inputs!$F$5:$F$180*(((Inputs!$G$5:$G$180="moeda")+(Inputs!$G$5:$G$180="acoes"))*Inputs!$B$1+((Inputs!$G$5:$G$180&lt;&gt;"moeda")*(Inputs!$G$5:$G$180&lt;&gt;"acoes")))*INDEX(Inputs!$K$5:$AJ$180,0,MATCH(AD$2,Inputs!$K$4:$AJ$4,0)))))</f>
        <v>1.1</v>
      </c>
      <c r="AE64" s="262" t="e">
        <f>IF(ISNA(MATCH(AE$2,Inputs!$K$4:$AJ$4,0)),NA(),IF(SUMPRODUCT((Inputs!$A$5:$A$180=$B64)*ISNUMBER(INDEX(Inputs!$K$5:$AJ$180,0,MATCH(AE$2,Inputs!$K$4:$AJ$4,0))))+SUMPRODUCT((Inputs!$C$5:$C$180=$B64)*ISNUMBER(INDEX(Inputs!$K$5:$AJ$180,0,MATCH(AE$2,Inputs!$K$4:$AJ$4,0))))+SUMPRODUCT((Inputs!$E$5:$E$180=$B64)*ISNUMBER(INDEX(Inputs!$K$5:$AJ$180,0,MATCH(AE$2,Inputs!$K$4:$AJ$4,0))))=0,NA(),SUMPRODUCT((Inputs!$A$5:$A$180=$B64)*Inputs!$B$5:$B$180*(((Inputs!$G$5:$G$180="moeda")+(Inputs!$G$5:$G$180="acoes"))*Inputs!$B$1+((Inputs!$G$5:$G$180&lt;&gt;"moeda")*(Inputs!$G$5:$G$180&lt;&gt;"acoes")))*INDEX(Inputs!$K$5:$AJ$180,0,MATCH(AE$2,Inputs!$K$4:$AJ$4,0)))+SUMPRODUCT((Inputs!$C$5:$C$180=$B64)*Inputs!$D$5:$D$180*(((Inputs!$G$5:$G$180="moeda")+(Inputs!$G$5:$G$180="acoes"))*Inputs!$B$1+((Inputs!$G$5:$G$180&lt;&gt;"moeda")*(Inputs!$G$5:$G$180&lt;&gt;"acoes")))*INDEX(Inputs!$K$5:$AJ$180,0,MATCH(AE$2,Inputs!$K$4:$AJ$4,0)))+SUMPRODUCT((Inputs!$E$5:$E$180=$B64)*Inputs!$F$5:$F$180*(((Inputs!$G$5:$G$180="moeda")+(Inputs!$G$5:$G$180="acoes"))*Inputs!$B$1+((Inputs!$G$5:$G$180&lt;&gt;"moeda")*(Inputs!$G$5:$G$180&lt;&gt;"acoes")))*INDEX(Inputs!$K$5:$AJ$180,0,MATCH(AE$2,Inputs!$K$4:$AJ$4,0)))))</f>
        <v>#N/A</v>
      </c>
      <c r="AF64" s="262" t="e">
        <f>IF(ISNA(MATCH(AF$2,Inputs!$K$4:$AJ$4,0)),NA(),IF(SUMPRODUCT((Inputs!$A$5:$A$180=$B64)*ISNUMBER(INDEX(Inputs!$K$5:$AJ$180,0,MATCH(AF$2,Inputs!$K$4:$AJ$4,0))))+SUMPRODUCT((Inputs!$C$5:$C$180=$B64)*ISNUMBER(INDEX(Inputs!$K$5:$AJ$180,0,MATCH(AF$2,Inputs!$K$4:$AJ$4,0))))+SUMPRODUCT((Inputs!$E$5:$E$180=$B64)*ISNUMBER(INDEX(Inputs!$K$5:$AJ$180,0,MATCH(AF$2,Inputs!$K$4:$AJ$4,0))))=0,NA(),SUMPRODUCT((Inputs!$A$5:$A$180=$B64)*Inputs!$B$5:$B$180*(((Inputs!$G$5:$G$180="moeda")+(Inputs!$G$5:$G$180="acoes"))*Inputs!$B$1+((Inputs!$G$5:$G$180&lt;&gt;"moeda")*(Inputs!$G$5:$G$180&lt;&gt;"acoes")))*INDEX(Inputs!$K$5:$AJ$180,0,MATCH(AF$2,Inputs!$K$4:$AJ$4,0)))+SUMPRODUCT((Inputs!$C$5:$C$180=$B64)*Inputs!$D$5:$D$180*(((Inputs!$G$5:$G$180="moeda")+(Inputs!$G$5:$G$180="acoes"))*Inputs!$B$1+((Inputs!$G$5:$G$180&lt;&gt;"moeda")*(Inputs!$G$5:$G$180&lt;&gt;"acoes")))*INDEX(Inputs!$K$5:$AJ$180,0,MATCH(AF$2,Inputs!$K$4:$AJ$4,0)))+SUMPRODUCT((Inputs!$E$5:$E$180=$B64)*Inputs!$F$5:$F$180*(((Inputs!$G$5:$G$180="moeda")+(Inputs!$G$5:$G$180="acoes"))*Inputs!$B$1+((Inputs!$G$5:$G$180&lt;&gt;"moeda")*(Inputs!$G$5:$G$180&lt;&gt;"acoes")))*INDEX(Inputs!$K$5:$AJ$180,0,MATCH(AF$2,Inputs!$K$4:$AJ$4,0)))))</f>
        <v>#N/A</v>
      </c>
      <c r="AG64" s="263" t="e">
        <f>AF64</f>
        <v>#N/A</v>
      </c>
      <c r="AH64" s="262">
        <f>IF(ISNA(MATCH(AH$2,Inputs!$K$4:$AJ$4,0)),NA(),IF(SUMPRODUCT((Inputs!$A$5:$A$180=$B64)*ISNUMBER(INDEX(Inputs!$K$5:$AJ$180,0,MATCH(AH$2,Inputs!$K$4:$AJ$4,0))))+SUMPRODUCT((Inputs!$C$5:$C$180=$B64)*ISNUMBER(INDEX(Inputs!$K$5:$AJ$180,0,MATCH(AH$2,Inputs!$K$4:$AJ$4,0))))+SUMPRODUCT((Inputs!$E$5:$E$180=$B64)*ISNUMBER(INDEX(Inputs!$K$5:$AJ$180,0,MATCH(AH$2,Inputs!$K$4:$AJ$4,0))))=0,NA(),SUMPRODUCT((Inputs!$A$5:$A$180=$B64)*Inputs!$B$5:$B$180*(((Inputs!$G$5:$G$180="moeda")+(Inputs!$G$5:$G$180="acoes"))*Inputs!$B$1+((Inputs!$G$5:$G$180&lt;&gt;"moeda")*(Inputs!$G$5:$G$180&lt;&gt;"acoes")))*INDEX(Inputs!$K$5:$AJ$180,0,MATCH(AH$2,Inputs!$K$4:$AJ$4,0)))+SUMPRODUCT((Inputs!$C$5:$C$180=$B64)*Inputs!$D$5:$D$180*(((Inputs!$G$5:$G$180="moeda")+(Inputs!$G$5:$G$180="acoes"))*Inputs!$B$1+((Inputs!$G$5:$G$180&lt;&gt;"moeda")*(Inputs!$G$5:$G$180&lt;&gt;"acoes")))*INDEX(Inputs!$K$5:$AJ$180,0,MATCH(AH$2,Inputs!$K$4:$AJ$4,0)))+SUMPRODUCT((Inputs!$E$5:$E$180=$B64)*Inputs!$F$5:$F$180*(((Inputs!$G$5:$G$180="moeda")+(Inputs!$G$5:$G$180="acoes"))*Inputs!$B$1+((Inputs!$G$5:$G$180&lt;&gt;"moeda")*(Inputs!$G$5:$G$180&lt;&gt;"acoes")))*INDEX(Inputs!$K$5:$AJ$180,0,MATCH(AH$2,Inputs!$K$4:$AJ$4,0)))))</f>
        <v>1.05584588950658</v>
      </c>
      <c r="AI64" s="262">
        <f>IF(ISNA(MATCH(AI$2,Inputs!$K$4:$AJ$4,0)),NA(),IF(SUMPRODUCT((Inputs!$A$5:$A$180=$B64)*ISNUMBER(INDEX(Inputs!$K$5:$AJ$180,0,MATCH(AI$2,Inputs!$K$4:$AJ$4,0))))+SUMPRODUCT((Inputs!$C$5:$C$180=$B64)*ISNUMBER(INDEX(Inputs!$K$5:$AJ$180,0,MATCH(AI$2,Inputs!$K$4:$AJ$4,0))))+SUMPRODUCT((Inputs!$E$5:$E$180=$B64)*ISNUMBER(INDEX(Inputs!$K$5:$AJ$180,0,MATCH(AI$2,Inputs!$K$4:$AJ$4,0))))=0,NA(),SUMPRODUCT((Inputs!$A$5:$A$180=$B64)*Inputs!$B$5:$B$180*(((Inputs!$G$5:$G$180="moeda")+(Inputs!$G$5:$G$180="acoes"))*Inputs!$B$1+((Inputs!$G$5:$G$180&lt;&gt;"moeda")*(Inputs!$G$5:$G$180&lt;&gt;"acoes")))*INDEX(Inputs!$K$5:$AJ$180,0,MATCH(AI$2,Inputs!$K$4:$AJ$4,0)))+SUMPRODUCT((Inputs!$C$5:$C$180=$B64)*Inputs!$D$5:$D$180*(((Inputs!$G$5:$G$180="moeda")+(Inputs!$G$5:$G$180="acoes"))*Inputs!$B$1+((Inputs!$G$5:$G$180&lt;&gt;"moeda")*(Inputs!$G$5:$G$180&lt;&gt;"acoes")))*INDEX(Inputs!$K$5:$AJ$180,0,MATCH(AI$2,Inputs!$K$4:$AJ$4,0)))+SUMPRODUCT((Inputs!$E$5:$E$180=$B64)*Inputs!$F$5:$F$180*(((Inputs!$G$5:$G$180="moeda")+(Inputs!$G$5:$G$180="acoes"))*Inputs!$B$1+((Inputs!$G$5:$G$180&lt;&gt;"moeda")*(Inputs!$G$5:$G$180&lt;&gt;"acoes")))*INDEX(Inputs!$K$5:$AJ$180,0,MATCH(AI$2,Inputs!$K$4:$AJ$4,0)))))</f>
        <v>1.39368095194644</v>
      </c>
      <c r="AJ64" s="262">
        <f>IF(ISNA(MATCH(AJ$2,Inputs!$K$4:$AJ$4,0)),NA(),IF(SUMPRODUCT((Inputs!$A$5:$A$180=$B64)*ISNUMBER(INDEX(Inputs!$K$5:$AJ$180,0,MATCH(AJ$2,Inputs!$K$4:$AJ$4,0))))+SUMPRODUCT((Inputs!$C$5:$C$180=$B64)*ISNUMBER(INDEX(Inputs!$K$5:$AJ$180,0,MATCH(AJ$2,Inputs!$K$4:$AJ$4,0))))+SUMPRODUCT((Inputs!$E$5:$E$180=$B64)*ISNUMBER(INDEX(Inputs!$K$5:$AJ$180,0,MATCH(AJ$2,Inputs!$K$4:$AJ$4,0))))=0,NA(),SUMPRODUCT((Inputs!$A$5:$A$180=$B64)*Inputs!$B$5:$B$180*(((Inputs!$G$5:$G$180="moeda")+(Inputs!$G$5:$G$180="acoes"))*Inputs!$B$1+((Inputs!$G$5:$G$180&lt;&gt;"moeda")*(Inputs!$G$5:$G$180&lt;&gt;"acoes")))*INDEX(Inputs!$K$5:$AJ$180,0,MATCH(AJ$2,Inputs!$K$4:$AJ$4,0)))+SUMPRODUCT((Inputs!$C$5:$C$180=$B64)*Inputs!$D$5:$D$180*(((Inputs!$G$5:$G$180="moeda")+(Inputs!$G$5:$G$180="acoes"))*Inputs!$B$1+((Inputs!$G$5:$G$180&lt;&gt;"moeda")*(Inputs!$G$5:$G$180&lt;&gt;"acoes")))*INDEX(Inputs!$K$5:$AJ$180,0,MATCH(AJ$2,Inputs!$K$4:$AJ$4,0)))+SUMPRODUCT((Inputs!$E$5:$E$180=$B64)*Inputs!$F$5:$F$180*(((Inputs!$G$5:$G$180="moeda")+(Inputs!$G$5:$G$180="acoes"))*Inputs!$B$1+((Inputs!$G$5:$G$180&lt;&gt;"moeda")*(Inputs!$G$5:$G$180&lt;&gt;"acoes")))*INDEX(Inputs!$K$5:$AJ$180,0,MATCH(AJ$2,Inputs!$K$4:$AJ$4,0)))))</f>
        <v>1.12471152698309</v>
      </c>
      <c r="AK64" s="262">
        <f>IF(ISNA(MATCH(AK$2,Inputs!$K$4:$AJ$4,0)),NA(),IF(SUMPRODUCT((Inputs!$A$5:$A$180=$B64)*ISNUMBER(INDEX(Inputs!$K$5:$AJ$180,0,MATCH(AK$2,Inputs!$K$4:$AJ$4,0))))+SUMPRODUCT((Inputs!$C$5:$C$180=$B64)*ISNUMBER(INDEX(Inputs!$K$5:$AJ$180,0,MATCH(AK$2,Inputs!$K$4:$AJ$4,0))))+SUMPRODUCT((Inputs!$E$5:$E$180=$B64)*ISNUMBER(INDEX(Inputs!$K$5:$AJ$180,0,MATCH(AK$2,Inputs!$K$4:$AJ$4,0))))=0,NA(),SUMPRODUCT((Inputs!$A$5:$A$180=$B64)*Inputs!$B$5:$B$180*(((Inputs!$G$5:$G$180="moeda")+(Inputs!$G$5:$G$180="acoes"))*Inputs!$B$1+((Inputs!$G$5:$G$180&lt;&gt;"moeda")*(Inputs!$G$5:$G$180&lt;&gt;"acoes")))*INDEX(Inputs!$K$5:$AJ$180,0,MATCH(AK$2,Inputs!$K$4:$AJ$4,0)))+SUMPRODUCT((Inputs!$C$5:$C$180=$B64)*Inputs!$D$5:$D$180*(((Inputs!$G$5:$G$180="moeda")+(Inputs!$G$5:$G$180="acoes"))*Inputs!$B$1+((Inputs!$G$5:$G$180&lt;&gt;"moeda")*(Inputs!$G$5:$G$180&lt;&gt;"acoes")))*INDEX(Inputs!$K$5:$AJ$180,0,MATCH(AK$2,Inputs!$K$4:$AJ$4,0)))+SUMPRODUCT((Inputs!$E$5:$E$180=$B64)*Inputs!$F$5:$F$180*(((Inputs!$G$5:$G$180="moeda")+(Inputs!$G$5:$G$180="acoes"))*Inputs!$B$1+((Inputs!$G$5:$G$180&lt;&gt;"moeda")*(Inputs!$G$5:$G$180&lt;&gt;"acoes")))*INDEX(Inputs!$K$5:$AJ$180,0,MATCH(AK$2,Inputs!$K$4:$AJ$4,0)))))</f>
        <v>1.07608714215497</v>
      </c>
      <c r="AL64" s="263">
        <f>AK64</f>
        <v>1.07608714215497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0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0.000935814918193501</v>
      </c>
      <c r="E1" s="3">
        <f>SUM(E2,E3)</f>
        <v>4.2464307625778e-09</v>
      </c>
      <c r="F1" s="3">
        <f>SUM(F2,F3)</f>
        <v>8.77753336681053e-09</v>
      </c>
      <c r="G1" s="3">
        <f>SUM(G2,G3)</f>
        <v>7.40328687243164e-09</v>
      </c>
      <c r="H1" s="3">
        <f>SUM(H2,H3)</f>
        <v>7.40419636713341e-09</v>
      </c>
      <c r="I1" s="3">
        <f>SUM(I2,I3)</f>
        <v>3.96721588913351e-09</v>
      </c>
      <c r="J1" s="3">
        <f>SUM(J2,J3)</f>
        <v>2.94221536023542e-09</v>
      </c>
      <c r="K1" s="3">
        <f>SUM(K2,K3)</f>
        <v>4.61113813798875e-09</v>
      </c>
      <c r="L1" s="3">
        <f>SUM(L2,L3)</f>
        <v>0.000637888916941165</v>
      </c>
      <c r="M1" s="3">
        <f>SUM(M2,M3)</f>
        <v>0.000637888916571683</v>
      </c>
      <c r="N1" s="3">
        <f>SUM(N2,N3)</f>
        <v>5.99969189352123e-06</v>
      </c>
      <c r="O1" s="3">
        <f>SUM(O2,O3)</f>
        <v>8.40507155430714e-07</v>
      </c>
      <c r="P1" s="3">
        <f>SUM(P2,P3)</f>
        <v>9.99898475129157e-09</v>
      </c>
      <c r="Q1" s="3">
        <f>SUM(Q2,Q3)</f>
        <v>1.00097340691718e-05</v>
      </c>
      <c r="R1" s="3">
        <f>SUM(R2,R3)</f>
        <v>1.00097340691718e-05</v>
      </c>
      <c r="S1" s="3">
        <f>SUM(S2,S3)</f>
        <v>3.72400018022745e-05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0.000463355863757897</v>
      </c>
      <c r="Y1" s="3">
        <f>SUM(Y2,Y3)</f>
        <v>0.000275707519904245</v>
      </c>
      <c r="Z1" s="3">
        <f>SUM(Z2,Z3)</f>
        <v>0</v>
      </c>
      <c r="AA1" s="3">
        <f>SUM(AA2,AA3)</f>
        <v>3.5527136788005e-13</v>
      </c>
      <c r="AB1" s="3">
        <f>SUM(AB2,AB3)</f>
        <v>0</v>
      </c>
      <c r="AC1" s="3">
        <f>SUM(AC2,AC3)</f>
        <v>0.000463189999209135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0.000935814918193501</v>
      </c>
      <c r="E2" s="3">
        <f>ABS(E163-E239)</f>
        <v>4.2464307625778e-09</v>
      </c>
      <c r="F2" s="3">
        <f>ABS(F163-F239)</f>
        <v>8.77753336681053e-09</v>
      </c>
      <c r="G2" s="3">
        <f>ABS(G163-G239)</f>
        <v>7.40328687243164e-09</v>
      </c>
      <c r="H2" s="3">
        <f>ABS(H163-H239)</f>
        <v>7.40419636713341e-09</v>
      </c>
      <c r="I2" s="3">
        <f>ABS(I163-I239)</f>
        <v>3.96721588913351e-09</v>
      </c>
      <c r="J2" s="3">
        <f>ABS(J163-J239)</f>
        <v>2.94221536023542e-09</v>
      </c>
      <c r="K2" s="3">
        <f>ABS(K163-K239)</f>
        <v>4.61113813798875e-09</v>
      </c>
      <c r="L2" s="3">
        <f>ABS(L163-L239)</f>
        <v>0.000637888916571683</v>
      </c>
      <c r="M2" s="3">
        <f>ABS(M163-M239)</f>
        <v>0.000637888916571683</v>
      </c>
      <c r="N2" s="3">
        <f>ABS(N163-N239)</f>
        <v>5.99969189352123e-06</v>
      </c>
      <c r="O2" s="3">
        <f>ABS(O163-O239)</f>
        <v>8.40506800159346e-07</v>
      </c>
      <c r="P2" s="3">
        <f>ABS(P163-P239)</f>
        <v>9.99898475129157e-09</v>
      </c>
      <c r="Q2" s="3">
        <f>ABS(Q163-Q239)</f>
        <v>1.00097340691718e-05</v>
      </c>
      <c r="R2" s="3">
        <f>ABS(R163-R239)</f>
        <v>1.00097340691718e-05</v>
      </c>
      <c r="S2" s="3">
        <f>ABS(S163-S239)</f>
        <v>3.72400018022745e-05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0.000463355863757897</v>
      </c>
      <c r="Y2" s="3">
        <f>ABS(Y163-Y239)</f>
        <v>0.000275707519904245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0.000463189999209135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>
        <f>ABS(AH163-AH239)</f>
        <v>0</v>
      </c>
      <c r="AI2" s="3">
        <f>ABS(AI163-AI239)</f>
        <v>0</v>
      </c>
      <c r="AJ2" s="3">
        <f>ABS(AJ163-AJ239)</f>
        <v>0</v>
      </c>
      <c r="AK2" s="3">
        <f>ABS(AK163-AK239)</f>
        <v>0</v>
      </c>
      <c r="AL2" s="3">
        <f>ABS(AL163-AL239)</f>
        <v>0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>
        <f>IF(COUNT(D4)=0,"",ABS(D103-D4))</f>
        <v>0</v>
      </c>
      <c r="E3" s="3">
        <f>IF(COUNT(E4)=0,"",ABS(E103-E4))</f>
        <v>0</v>
      </c>
      <c r="F3" s="3">
        <f>IF(COUNT(F4)=0,"",ABS(F103-F4))</f>
        <v>0</v>
      </c>
      <c r="G3" s="3">
        <f>IF(COUNT(G4)=0,"",ABS(G103-G4))</f>
        <v>0</v>
      </c>
      <c r="H3" s="3">
        <f>IF(COUNT(H4)=0,"",ABS(H103-H4))</f>
        <v>0</v>
      </c>
      <c r="I3" s="3">
        <f>IF(COUNT(I4)=0,"",ABS(I103-I4))</f>
        <v>0</v>
      </c>
      <c r="J3" s="3">
        <f>IF(COUNT(J4)=0,"",ABS(J103-J4))</f>
        <v>0</v>
      </c>
      <c r="K3" s="3">
        <f>IF(COUNT(K4)=0,"",ABS(K103-K4))</f>
        <v>0</v>
      </c>
      <c r="L3" s="3">
        <f>IF(COUNT(L4)=0,"",ABS(L103-L4))</f>
        <v>3.69482222595252e-13</v>
      </c>
      <c r="M3" s="3">
        <f>IF(COUNT(M4)=0,"",ABS(M103-M4))</f>
        <v>0</v>
      </c>
      <c r="N3" s="3">
        <f>IF(COUNT(N4)=0,"",ABS(N103-N4))</f>
        <v>0</v>
      </c>
      <c r="O3" s="3">
        <f>IF(COUNT(O4)=0,"",ABS(O103-O4))</f>
        <v>3.5527136788005e-13</v>
      </c>
      <c r="P3" s="3">
        <f>IF(COUNT(P4)=0,"",ABS(P103-P4))</f>
        <v>0</v>
      </c>
      <c r="Q3" s="3">
        <f>IF(COUNT(Q4)=0,"",ABS(Q103-Q4))</f>
        <v>0</v>
      </c>
      <c r="R3" s="3">
        <f>IF(COUNT(R4)=0,"",ABS(R103-R4))</f>
        <v>0</v>
      </c>
      <c r="S3" s="3">
        <f>IF(COUNT(S4)=0,"",ABS(S103-S4))</f>
        <v>0</v>
      </c>
      <c r="T3" s="3">
        <f>IF(COUNT(T4)=0,"",ABS(T103-T4))</f>
        <v>0</v>
      </c>
      <c r="U3" s="3">
        <f>IF(COUNT(U4)=0,"",ABS(U103-U4))</f>
        <v>0</v>
      </c>
      <c r="V3" s="3">
        <f>IF(COUNT(V4)=0,"",ABS(V103-V4))</f>
        <v>0</v>
      </c>
      <c r="W3" s="3">
        <f>IF(COUNT(W4)=0,"",ABS(W103-W4))</f>
        <v>0</v>
      </c>
      <c r="X3" s="3">
        <f>IF(COUNT(X4)=0,"",ABS(X103-X4))</f>
        <v>0</v>
      </c>
      <c r="Y3" s="3">
        <f>IF(COUNT(Y4)=0,"",ABS(Y103-Y4))</f>
        <v>0</v>
      </c>
      <c r="Z3" s="3">
        <f>IF(COUNT(Z4)=0,"",ABS(Z103-Z4))</f>
        <v>0</v>
      </c>
      <c r="AA3" s="3">
        <f>IF(COUNT(AA4)=0,"",ABS(AA103-AA4))</f>
        <v>3.5527136788005e-13</v>
      </c>
      <c r="AB3" s="3">
        <f>IF(COUNT(AB4)=0,"",ABS(AB103-AB4))</f>
        <v>0</v>
      </c>
      <c r="AC3" s="3">
        <f>IF(COUNT(AC4)=0,"",ABS(AC103-AC4))</f>
        <v>0</v>
      </c>
      <c r="AD3" s="3">
        <f>IF(COUNT(AD4)=0,"",ABS(AD103-AD4))</f>
        <v>0</v>
      </c>
      <c r="AE3" s="3">
        <f>IF(COUNT(AE4)=0,"",ABS(AE103-AE4))</f>
        <v>0</v>
      </c>
      <c r="AF3" s="3">
        <f>IF(COUNT(AF4)=0,"",ABS(AF103-AF4))</f>
        <v>0</v>
      </c>
      <c r="AG3" s="3">
        <f>IF(COUNT(AG4)=0,"",ABS(AG103-AG4))</f>
        <v>0</v>
      </c>
      <c r="AH3" s="3">
        <f>IF(COUNT(AH4)=0,"",ABS(AH103-AH4))</f>
        <v>0</v>
      </c>
      <c r="AI3" s="3">
        <f>IF(COUNT(AI4)=0,"",ABS(AI103-AI4))</f>
        <v>0</v>
      </c>
      <c r="AJ3" s="3" t="str">
        <f>IF(COUNT(AJ4)=0,"",ABS(AJ103-AJ4))</f>
        <v/>
      </c>
      <c r="AK3" s="3" t="str">
        <f>IF(COUNT(AK4)=0,"",ABS(AK103-AK4))</f>
        <v/>
      </c>
      <c r="AL3" s="3" t="str">
        <f>IF(COUNT(AL4)=0,"",ABS(AL103-AL4))</f>
        <v/>
      </c>
      <c r="AM3" s="3" t="str">
        <f>IF(COUNT(AM4)=0,"",ABS(AM103-AM4))</f>
        <v/>
      </c>
      <c r="AN3" s="3" t="str">
        <f>IF(COUNT(AN4)=0,"",ABS(AN103-AN4))</f>
        <v/>
      </c>
      <c r="AO3" s="3" t="str">
        <f>IF(COUNT(AO4)=0,"",ABS(AO103-AO4))</f>
        <v/>
      </c>
      <c r="AP3" s="3" t="str">
        <f>IF(COUNT(AP4)=0,"",ABS(AP103-AP4))</f>
        <v/>
      </c>
      <c r="AQ3" s="3" t="str">
        <f>IF(COUNT(AQ4)=0,"",ABS(AQ103-AQ4))</f>
        <v/>
      </c>
      <c r="AR3" s="3" t="str">
        <f>IF(COUNT(AR4)=0,"",ABS(AR103-AR4))</f>
        <v/>
      </c>
      <c r="AS3" s="3" t="str">
        <f>IF(COUNT(AS4)=0,"",ABS(AS103-AS4))</f>
        <v/>
      </c>
      <c r="AT3" s="3" t="str">
        <f>IF(COUNT(AT4)=0,"",ABS(AT103-AT4))</f>
        <v/>
      </c>
      <c r="AU3" s="3" t="str">
        <f>IF(COUNT(AU4)=0,"",ABS(AU103-AU4))</f>
        <v/>
      </c>
      <c r="AV3" s="3" t="str">
        <f>IF(COUNT(AV4)=0,"",ABS(AV103-AV4))</f>
        <v/>
      </c>
      <c r="AW3" s="3" t="str">
        <f>IF(COUNT(AW4)=0,"",ABS(AW103-AW4))</f>
        <v/>
      </c>
      <c r="AX3" s="3" t="str">
        <f>IF(COUNT(AX4)=0,"",ABS(AX103-AX4))</f>
        <v/>
      </c>
      <c r="AY3" s="3" t="str">
        <f>IF(COUNT(AY4)=0,"",ABS(AY103-AY4))</f>
        <v/>
      </c>
      <c r="AZ3" s="3" t="str">
        <f>IF(COUNT(AZ4)=0,"",ABS(AZ103-AZ4))</f>
        <v/>
      </c>
      <c r="BA3" s="3" t="str">
        <f>IF(COUNT(BA4)=0,"",ABS(BA103-BA4))</f>
        <v/>
      </c>
      <c r="BB3" s="3" t="str">
        <f>IF(COUNT(BB4)=0,"",ABS(BB103-BB4))</f>
        <v/>
      </c>
      <c r="BC3" s="3" t="str">
        <f>IF(COUNT(BC4)=0,"",ABS(BC103-BC4))</f>
        <v/>
      </c>
      <c r="BD3" s="3" t="str">
        <f>IF(COUNT(BD4)=0,"",ABS(BD103-BD4))</f>
        <v/>
      </c>
      <c r="BE3" s="3" t="str">
        <f>IF(COUNT(BE4)=0,"",ABS(BE103-BE4))</f>
        <v/>
      </c>
      <c r="BF3" s="3" t="str">
        <f>IF(COUNT(BF4)=0,"",ABS(BF103-BF4))</f>
        <v/>
      </c>
      <c r="BG3" s="3" t="str">
        <f>IF(COUNT(BG4)=0,"",ABS(BG103-BG4))</f>
        <v/>
      </c>
      <c r="BH3" s="3" t="str">
        <f>IF(COUNT(BH4)=0,"",ABS(BH103-BH4))</f>
        <v/>
      </c>
      <c r="BI3" s="3" t="str">
        <f>IF(COUNT(BI4)=0,"",ABS(BI103-BI4))</f>
        <v/>
      </c>
      <c r="BJ3" s="3" t="str">
        <f>IF(COUNT(BJ4)=0,"",ABS(BJ103-BJ4))</f>
        <v/>
      </c>
      <c r="BK3" s="3" t="str">
        <f>IF(COUNT(BK4)=0,"",ABS(BK103-BK4))</f>
        <v/>
      </c>
      <c r="BL3" s="3" t="str">
        <f>IF(COUNT(BL4)=0,"",ABS(BL103-BL4))</f>
        <v/>
      </c>
      <c r="BM3" s="3" t="str">
        <f>IF(COUNT(BM4)=0,"",ABS(BM103-BM4))</f>
        <v/>
      </c>
      <c r="BN3" s="3" t="str">
        <f>IF(COUNT(BN4)=0,"",ABS(BN103-BN4))</f>
        <v/>
      </c>
      <c r="BO3" s="3" t="str">
        <f>IF(COUNT(BO4)=0,"",ABS(BO103-BO4))</f>
        <v/>
      </c>
      <c r="BP3" s="3" t="str">
        <f>IF(COUNT(BP4)=0,"",ABS(BP103-BP4))</f>
        <v/>
      </c>
      <c r="BQ3" s="3" t="str">
        <f>IF(COUNT(BQ4)=0,"",ABS(BQ103-BQ4))</f>
        <v/>
      </c>
      <c r="BR3" s="3" t="str">
        <f>IF(COUNT(BR4)=0,"",ABS(BR103-BR4))</f>
        <v/>
      </c>
      <c r="BS3" s="3" t="str">
        <f>IF(COUNT(BS4)=0,"",ABS(BS103-BS4))</f>
        <v/>
      </c>
      <c r="BT3" s="3" t="str">
        <f>IF(COUNT(BT4)=0,"",ABS(BT103-BT4))</f>
        <v/>
      </c>
      <c r="BU3" s="3" t="str">
        <f>IF(COUNT(BU4)=0,"",ABS(BU103-BU4))</f>
        <v/>
      </c>
      <c r="BV3" s="3" t="str">
        <f>IF(COUNT(BV4)=0,"",ABS(BV103-BV4))</f>
        <v/>
      </c>
      <c r="BW3" s="3" t="str">
        <f>IF(COUNT(BW4)=0,"",ABS(BW103-BW4))</f>
        <v/>
      </c>
      <c r="BX3" s="3" t="str">
        <f>IF(COUNT(BX4)=0,"",ABS(BX103-BX4))</f>
        <v/>
      </c>
      <c r="BY3" s="3" t="str">
        <f>IF(COUNT(BY4)=0,"",ABS(BY103-BY4))</f>
        <v/>
      </c>
      <c r="BZ3" s="3" t="str">
        <f>IF(COUNT(BZ4)=0,"",ABS(BZ103-BZ4))</f>
        <v/>
      </c>
      <c r="CA3" s="3" t="str">
        <f>IF(COUNT(CA4)=0,"",ABS(CA103-CA4))</f>
        <v/>
      </c>
      <c r="CB3" s="3" t="str">
        <f>IF(COUNT(CB4)=0,"",ABS(CB103-CB4))</f>
        <v/>
      </c>
      <c r="CC3" s="3" t="str">
        <f>IF(COUNT(CC4)=0,"",ABS(CC103-CC4))</f>
        <v/>
      </c>
      <c r="CD3" s="3" t="str">
        <f>IF(COUNT(CD4)=0,"",ABS(CD103-CD4))</f>
        <v/>
      </c>
      <c r="CE3" s="3" t="str">
        <f>IF(COUNT(CE4)=0,"",ABS(CE103-CE4))</f>
        <v/>
      </c>
      <c r="CF3" s="3" t="str">
        <f>IF(COUNT(CF4)=0,"",ABS(CF103-CF4))</f>
        <v/>
      </c>
      <c r="CG3" s="3" t="str">
        <f>IF(COUNT(CG4)=0,"",ABS(CG103-CG4))</f>
        <v/>
      </c>
      <c r="CH3" s="3" t="str">
        <f>IF(COUNT(CH4)=0,"",ABS(CH103-CH4))</f>
        <v/>
      </c>
      <c r="CI3" s="3" t="str">
        <f>IF(COUNT(CI4)=0,"",ABS(CI103-CI4))</f>
        <v/>
      </c>
      <c r="CJ3" s="3" t="str">
        <f>IF(COUNT(CJ4)=0,"",ABS(CJ103-CJ4))</f>
        <v/>
      </c>
      <c r="CK3" s="3" t="str">
        <f>IF(COUNT(CK4)=0,"",ABS(CK103-CK4))</f>
        <v/>
      </c>
      <c r="CL3" s="3" t="str">
        <f>IF(COUNT(CL4)=0,"",ABS(CL103-CL4))</f>
        <v/>
      </c>
      <c r="CM3" s="3" t="str">
        <f>IF(COUNT(CM4)=0,"",ABS(CM103-CM4))</f>
        <v/>
      </c>
      <c r="CN3" s="3" t="str">
        <f>IF(COUNT(CN4)=0,"",ABS(CN103-CN4))</f>
        <v/>
      </c>
      <c r="CO3" s="3" t="str">
        <f>IF(COUNT(CO4)=0,"",ABS(CO103-CO4))</f>
        <v/>
      </c>
      <c r="CP3" s="3" t="str">
        <f>IF(COUNT(CP4)=0,"",ABS(CP103-CP4))</f>
        <v/>
      </c>
      <c r="CQ3" s="3" t="str">
        <f>IF(COUNT(CQ4)=0,"",ABS(CQ103-CQ4))</f>
        <v/>
      </c>
      <c r="CR3" s="3" t="str">
        <f>IF(COUNT(CR4)=0,"",ABS(CR103-CR4))</f>
        <v/>
      </c>
      <c r="CS3" s="3" t="str">
        <f>IF(COUNT(CS4)=0,"",ABS(CS103-CS4))</f>
        <v/>
      </c>
      <c r="CT3" s="3" t="str">
        <f>IF(COUNT(CT4)=0,"",ABS(CT103-CT4))</f>
        <v/>
      </c>
      <c r="CU3" s="3" t="str">
        <f>IF(COUNT(CU4)=0,"",ABS(CU103-CU4))</f>
        <v/>
      </c>
      <c r="CV3" s="3" t="str">
        <f>IF(COUNT(CV4)=0,"",ABS(CV103-CV4))</f>
        <v/>
      </c>
      <c r="CW3" s="3" t="str">
        <f>IF(COUNT(CW4)=0,"",ABS(CW103-CW4))</f>
        <v/>
      </c>
      <c r="CX3" s="3" t="str">
        <f>IF(COUNT(CX4)=0,"",ABS(CX103-CX4))</f>
        <v/>
      </c>
      <c r="CY3" s="3" t="str">
        <f>IF(COUNT(CY4)=0,"",ABS(CY103-CY4))</f>
        <v/>
      </c>
    </row>
    <row r="4" outlineLevel="1">
      <c r="C4" s="14" t="inlineStr">
        <is>
          <t>Net Income reportado (lucro liquido do periodo) - base do check IS</t>
        </is>
      </c>
      <c r="D4" s="16">
        <f>INDEX('Inputs (2)'!$D$50:$AL$50,MATCH(D$7,'Inputs (2)'!$D$2:$AL$2,0))</f>
        <v>58.719107756418</v>
      </c>
      <c r="E4" s="16">
        <f>INDEX('Inputs (2)'!$D$50:$AL$50,MATCH(E$7,'Inputs (2)'!$D$2:$AL$2,0))</f>
        <v>-73.3055463168123</v>
      </c>
      <c r="F4" s="16">
        <f>INDEX('Inputs (2)'!$D$50:$AL$50,MATCH(F$7,'Inputs (2)'!$D$2:$AL$2,0))</f>
        <v>132.064543995985</v>
      </c>
      <c r="G4" s="16">
        <f>INDEX('Inputs (2)'!$D$50:$AL$50,MATCH(G$7,'Inputs (2)'!$D$2:$AL$2,0))</f>
        <v>139.482617970001</v>
      </c>
      <c r="H4" s="16">
        <f>SUM(D4:G4)</f>
        <v>256.960723405592</v>
      </c>
      <c r="I4" s="16">
        <f>INDEX('Inputs (2)'!$D$50:$AL$50,MATCH(I$7,'Inputs (2)'!$D$2:$AL$2,0))</f>
        <v>118.61195704</v>
      </c>
      <c r="J4" s="16">
        <f>INDEX('Inputs (2)'!$D$50:$AL$50,MATCH(J$7,'Inputs (2)'!$D$2:$AL$2,0))</f>
        <v>65.5346259299989</v>
      </c>
      <c r="K4" s="16">
        <f>INDEX('Inputs (2)'!$D$50:$AL$50,MATCH(K$7,'Inputs (2)'!$D$2:$AL$2,0))</f>
        <v>94.9625657674031</v>
      </c>
      <c r="L4" s="16">
        <f>INDEX('Inputs (2)'!$D$50:$AL$50,MATCH(L$7,'Inputs (2)'!$D$2:$AL$2,0))</f>
        <v>70.8158031599996</v>
      </c>
      <c r="M4" s="16">
        <f>SUM(I4:L4)</f>
        <v>349.924951897401</v>
      </c>
      <c r="N4" s="16">
        <f>INDEX('Inputs (2)'!$D$50:$AL$50,MATCH(N$7,'Inputs (2)'!$D$2:$AL$2,0))</f>
        <v>110.440730339442</v>
      </c>
      <c r="O4" s="16">
        <f>INDEX('Inputs (2)'!$D$50:$AL$50,MATCH(O$7,'Inputs (2)'!$D$2:$AL$2,0))</f>
        <v>70.5092383980513</v>
      </c>
      <c r="P4" s="16">
        <f>INDEX('Inputs (2)'!$D$50:$AL$50,MATCH(P$7,'Inputs (2)'!$D$2:$AL$2,0))</f>
        <v>96.0057500299999</v>
      </c>
      <c r="Q4" s="16">
        <f>INDEX('Inputs (2)'!$D$50:$AL$50,MATCH(Q$7,'Inputs (2)'!$D$2:$AL$2,0))</f>
        <v>30.95268579</v>
      </c>
      <c r="R4" s="16">
        <f>SUM(N4:Q4)</f>
        <v>307.908404557494</v>
      </c>
      <c r="S4" s="16">
        <f>INDEX('Inputs (2)'!$D$50:$AL$50,MATCH(S$7,'Inputs (2)'!$D$2:$AL$2,0))</f>
        <v>93.85183176</v>
      </c>
      <c r="T4" s="16">
        <f>INDEX('Inputs (2)'!$D$50:$AL$50,MATCH(T$7,'Inputs (2)'!$D$2:$AL$2,0))</f>
        <v>74.4269289448081</v>
      </c>
      <c r="U4" s="16">
        <f>INDEX('Inputs (2)'!$D$50:$AL$50,MATCH(U$7,'Inputs (2)'!$D$2:$AL$2,0))</f>
        <v>174.198435338059</v>
      </c>
      <c r="V4" s="16">
        <f>INDEX('Inputs (2)'!$D$50:$AL$50,MATCH(V$7,'Inputs (2)'!$D$2:$AL$2,0))</f>
        <v>81.2788017439298</v>
      </c>
      <c r="W4" s="16">
        <f>SUM(S4:V4)</f>
        <v>423.755997786797</v>
      </c>
      <c r="X4" s="16">
        <f>INDEX('Inputs (2)'!$D$50:$AL$50,MATCH(X$7,'Inputs (2)'!$D$2:$AL$2,0))</f>
        <v>167.9596009</v>
      </c>
      <c r="Y4" s="16">
        <f>INDEX('Inputs (2)'!$D$50:$AL$50,MATCH(Y$7,'Inputs (2)'!$D$2:$AL$2,0))</f>
        <v>173.586</v>
      </c>
      <c r="Z4" s="16">
        <f>INDEX('Inputs (2)'!$D$50:$AL$50,MATCH(Z$7,'Inputs (2)'!$D$2:$AL$2,0))</f>
        <v>190.705474</v>
      </c>
      <c r="AA4" s="16">
        <f>INDEX('Inputs (2)'!$D$50:$AL$50,MATCH(AA$7,'Inputs (2)'!$D$2:$AL$2,0))</f>
        <v>83.9209250999994</v>
      </c>
      <c r="AB4" s="16">
        <f>SUM(X4:AA4)</f>
        <v>616.171999999999</v>
      </c>
      <c r="AC4" s="16">
        <f>INDEX('Inputs (2)'!$D$50:$AL$50,MATCH(AC$7,'Inputs (2)'!$D$2:$AL$2,0))</f>
        <v>179.28629</v>
      </c>
      <c r="AD4" s="16">
        <f>INDEX('Inputs (2)'!$D$50:$AL$50,MATCH(AD$7,'Inputs (2)'!$D$2:$AL$2,0))</f>
        <v>152.299179</v>
      </c>
      <c r="AE4" s="16">
        <f>INDEX('Inputs (2)'!$D$50:$AL$50,MATCH(AE$7,'Inputs (2)'!$D$2:$AL$2,0))</f>
        <v>184.916722720184</v>
      </c>
      <c r="AF4" s="16">
        <f>INDEX('Inputs (2)'!$D$50:$AL$50,MATCH(AF$7,'Inputs (2)'!$D$2:$AL$2,0))</f>
        <v>96.3284097835915</v>
      </c>
      <c r="AG4" s="16">
        <f>SUM(AC4:AF4)</f>
        <v>612.830601503776</v>
      </c>
      <c r="AH4" s="6">
        <f>INDEX('Inputs (2)'!$D$50:$AL$50,MATCH(AH$7,'Inputs (2)'!$D$2:$AL$2,0))</f>
        <v>201.21196412</v>
      </c>
      <c r="AI4" s="6">
        <f>INDEX('Inputs (2)'!$D$50:$AL$50,MATCH(AI$7,'Inputs (2)'!$D$2:$AL$2,0))</f>
        <v>221.850208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1"/>
    <row r="12"/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713.933873516418</v>
      </c>
      <c r="E15" s="15">
        <f>INDEX('Inputs (2)'!$D$4:$AL$4,MATCH(E$7,'Inputs (2)'!$D$2:$AL$2,0))</f>
        <v>454.943895321088</v>
      </c>
      <c r="F15" s="15">
        <f>INDEX('Inputs (2)'!$D$4:$AL$4,MATCH(F$7,'Inputs (2)'!$D$2:$AL$2,0))</f>
        <v>874.583070435985</v>
      </c>
      <c r="G15" s="15">
        <f>INDEX('Inputs (2)'!$D$4:$AL$4,MATCH(G$7,'Inputs (2)'!$D$2:$AL$2,0))</f>
        <v>928.154743530001</v>
      </c>
      <c r="H15" s="16">
        <f>SUM(D15:G15)</f>
        <v>2971.61558280349</v>
      </c>
      <c r="I15" s="15">
        <f>INDEX('Inputs (2)'!$D$4:$AL$4,MATCH(I$7,'Inputs (2)'!$D$2:$AL$2,0))</f>
        <v>893.807975809999</v>
      </c>
      <c r="J15" s="15">
        <f>INDEX('Inputs (2)'!$D$4:$AL$4,MATCH(J$7,'Inputs (2)'!$D$2:$AL$2,0))</f>
        <v>932.066355889999</v>
      </c>
      <c r="K15" s="15">
        <f>INDEX('Inputs (2)'!$D$4:$AL$4,MATCH(K$7,'Inputs (2)'!$D$2:$AL$2,0))</f>
        <v>1028.82986343</v>
      </c>
      <c r="L15" s="15">
        <f>INDEX('Inputs (2)'!$D$4:$AL$4,MATCH(L$7,'Inputs (2)'!$D$2:$AL$2,0))</f>
        <v>1017.94642707</v>
      </c>
      <c r="M15" s="16">
        <f>SUM(I15:L15)</f>
        <v>3872.6506222</v>
      </c>
      <c r="N15" s="15">
        <f>INDEX('Inputs (2)'!$D$4:$AL$4,MATCH(N$7,'Inputs (2)'!$D$2:$AL$2,0))</f>
        <v>1089.91257007944</v>
      </c>
      <c r="O15" s="15">
        <f>INDEX('Inputs (2)'!$D$4:$AL$4,MATCH(O$7,'Inputs (2)'!$D$2:$AL$2,0))</f>
        <v>1111.74596125805</v>
      </c>
      <c r="P15" s="15">
        <f>INDEX('Inputs (2)'!$D$4:$AL$4,MATCH(P$7,'Inputs (2)'!$D$2:$AL$2,0))</f>
        <v>1146.63487622</v>
      </c>
      <c r="Q15" s="15">
        <f>INDEX('Inputs (2)'!$D$4:$AL$4,MATCH(Q$7,'Inputs (2)'!$D$2:$AL$2,0))</f>
        <v>1114.74676428</v>
      </c>
      <c r="R15" s="16">
        <f>SUM(N15:Q15)</f>
        <v>4463.04017183749</v>
      </c>
      <c r="S15" s="15">
        <f>INDEX('Inputs (2)'!$D$4:$AL$4,MATCH(S$7,'Inputs (2)'!$D$2:$AL$2,0))</f>
        <v>1236.82329968</v>
      </c>
      <c r="T15" s="15">
        <f>INDEX('Inputs (2)'!$D$4:$AL$4,MATCH(T$7,'Inputs (2)'!$D$2:$AL$2,0))</f>
        <v>1659.541</v>
      </c>
      <c r="U15" s="15">
        <f>INDEX('Inputs (2)'!$D$4:$AL$4,MATCH(U$7,'Inputs (2)'!$D$2:$AL$2,0))</f>
        <v>1870.045</v>
      </c>
      <c r="V15" s="15">
        <f>INDEX('Inputs (2)'!$D$4:$AL$4,MATCH(V$7,'Inputs (2)'!$D$2:$AL$2,0))</f>
        <v>1704.44070032</v>
      </c>
      <c r="W15" s="16">
        <f>SUM(S15:V15)</f>
        <v>6470.85</v>
      </c>
      <c r="X15" s="15">
        <f>INDEX('Inputs (2)'!$D$4:$AL$4,MATCH(X$7,'Inputs (2)'!$D$2:$AL$2,0))</f>
        <v>1904.4484785</v>
      </c>
      <c r="Y15" s="15">
        <f>INDEX('Inputs (2)'!$D$4:$AL$4,MATCH(Y$7,'Inputs (2)'!$D$2:$AL$2,0))</f>
        <v>1978.202</v>
      </c>
      <c r="Z15" s="15">
        <f>INDEX('Inputs (2)'!$D$4:$AL$4,MATCH(Z$7,'Inputs (2)'!$D$2:$AL$2,0))</f>
        <v>1962.671474</v>
      </c>
      <c r="AA15" s="15">
        <f>INDEX('Inputs (2)'!$D$4:$AL$4,MATCH(AA$7,'Inputs (2)'!$D$2:$AL$2,0))</f>
        <v>1839.3370475</v>
      </c>
      <c r="AB15" s="16">
        <f>SUM(X15:AA15)</f>
        <v>7684.659</v>
      </c>
      <c r="AC15" s="15">
        <f>INDEX('Inputs (2)'!$D$4:$AL$4,MATCH(AC$7,'Inputs (2)'!$D$2:$AL$2,0))</f>
        <v>2015.074</v>
      </c>
      <c r="AD15" s="15">
        <f>INDEX('Inputs (2)'!$D$4:$AL$4,MATCH(AD$7,'Inputs (2)'!$D$2:$AL$2,0))</f>
        <v>2024.533</v>
      </c>
      <c r="AE15" s="15">
        <f>INDEX('Inputs (2)'!$D$4:$AL$4,MATCH(AE$7,'Inputs (2)'!$D$2:$AL$2,0))</f>
        <v>2190.97918382714</v>
      </c>
      <c r="AF15" s="15">
        <f>INDEX('Inputs (2)'!$D$4:$AL$4,MATCH(AF$7,'Inputs (2)'!$D$2:$AL$2,0))</f>
        <v>2060.59533814</v>
      </c>
      <c r="AG15" s="16">
        <f>SUM(AC15:AF15)</f>
        <v>8291.18152196714</v>
      </c>
      <c r="AH15" s="16">
        <f>INDEX('Inputs (2)'!$D$4:$AL$4,MATCH(AH$7,'Inputs (2)'!$D$2:$AL$2,0))</f>
        <v>2223.11781868</v>
      </c>
      <c r="AI15" s="16">
        <f>INDEX('Inputs (2)'!$D$4:$AL$4,MATCH(AI$7,'Inputs (2)'!$D$2:$AL$2,0))</f>
        <v>2316.653662</v>
      </c>
      <c r="AJ15" s="16">
        <f>AE15*(1+AJ16)</f>
        <v>2190.97918382714</v>
      </c>
      <c r="AK15" s="16">
        <f>AF15*(1+AK16)</f>
        <v>2060.59533814</v>
      </c>
      <c r="AL15" s="16">
        <f>SUM(AH15:AK15)</f>
        <v>8791.34600264714</v>
      </c>
      <c r="AM15" s="16">
        <f>AH15*(1+AM16)</f>
        <v>2223.11781868</v>
      </c>
      <c r="AN15" s="16">
        <f>AI15*(1+AN16)</f>
        <v>2316.653662</v>
      </c>
      <c r="AO15" s="16">
        <f>AJ15*(1+AO16)</f>
        <v>2190.97918382714</v>
      </c>
      <c r="AP15" s="16">
        <f>AK15*(1+AP16)</f>
        <v>2060.59533814</v>
      </c>
      <c r="AQ15" s="16">
        <f>SUM(AM15:AP15)</f>
        <v>8791.34600264714</v>
      </c>
      <c r="AR15" s="16">
        <f>AM15*(1+AR16)</f>
        <v>2223.11781868</v>
      </c>
      <c r="AS15" s="16">
        <f>AN15*(1+AS16)</f>
        <v>2316.653662</v>
      </c>
      <c r="AT15" s="16">
        <f>AO15*(1+AT16)</f>
        <v>2190.97918382714</v>
      </c>
      <c r="AU15" s="16">
        <f>AP15*(1+AU16)</f>
        <v>2060.59533814</v>
      </c>
      <c r="AV15" s="16">
        <f>SUM(AR15:AU15)</f>
        <v>8791.34600264714</v>
      </c>
      <c r="AW15" s="16">
        <f>AR15*(1+AW16)</f>
        <v>2223.11781868</v>
      </c>
      <c r="AX15" s="16">
        <f>AS15*(1+AX16)</f>
        <v>2316.653662</v>
      </c>
      <c r="AY15" s="16">
        <f>AT15*(1+AY16)</f>
        <v>2190.97918382714</v>
      </c>
      <c r="AZ15" s="16">
        <f>AU15*(1+AZ16)</f>
        <v>2060.59533814</v>
      </c>
      <c r="BA15" s="16">
        <f>SUM(AW15:AZ15)</f>
        <v>8791.34600264714</v>
      </c>
      <c r="BB15" s="16">
        <f>AW15*(1+BB16)</f>
        <v>2223.11781868</v>
      </c>
      <c r="BC15" s="16">
        <f>AX15*(1+BC16)</f>
        <v>2316.653662</v>
      </c>
      <c r="BD15" s="16">
        <f>AY15*(1+BD16)</f>
        <v>2190.97918382714</v>
      </c>
      <c r="BE15" s="16">
        <f>AZ15*(1+BE16)</f>
        <v>2060.59533814</v>
      </c>
      <c r="BF15" s="16">
        <f>SUM(BB15:BE15)</f>
        <v>8791.34600264714</v>
      </c>
      <c r="BG15" s="16">
        <f>BB15*(1+BG16)</f>
        <v>2223.11781868</v>
      </c>
      <c r="BH15" s="16">
        <f>BC15*(1+BH16)</f>
        <v>2316.653662</v>
      </c>
      <c r="BI15" s="16">
        <f>BD15*(1+BI16)</f>
        <v>2190.97918382714</v>
      </c>
      <c r="BJ15" s="16">
        <f>BE15*(1+BJ16)</f>
        <v>2060.59533814</v>
      </c>
      <c r="BK15" s="16">
        <f>SUM(BG15:BJ15)</f>
        <v>8791.34600264714</v>
      </c>
      <c r="BL15" s="16">
        <f>BG15*(1+BL16)</f>
        <v>2223.11781868</v>
      </c>
      <c r="BM15" s="16">
        <f>BH15*(1+BM16)</f>
        <v>2316.653662</v>
      </c>
      <c r="BN15" s="16">
        <f>BI15*(1+BN16)</f>
        <v>2190.97918382714</v>
      </c>
      <c r="BO15" s="16">
        <f>BJ15*(1+BO16)</f>
        <v>2060.59533814</v>
      </c>
      <c r="BP15" s="16">
        <f>SUM(BL15:BO15)</f>
        <v>8791.34600264714</v>
      </c>
      <c r="BQ15" s="16">
        <f>BL15*(1+BQ16)</f>
        <v>2223.11781868</v>
      </c>
      <c r="BR15" s="16">
        <f>BM15*(1+BR16)</f>
        <v>2316.653662</v>
      </c>
      <c r="BS15" s="16">
        <f>BN15*(1+BS16)</f>
        <v>2190.97918382714</v>
      </c>
      <c r="BT15" s="16">
        <f>BO15*(1+BT16)</f>
        <v>2060.59533814</v>
      </c>
      <c r="BU15" s="16">
        <f>SUM(BQ15:BT15)</f>
        <v>8791.34600264714</v>
      </c>
      <c r="BV15" s="16">
        <f>BQ15*(1+BV16)</f>
        <v>2223.11781868</v>
      </c>
      <c r="BW15" s="16">
        <f>BR15*(1+BW16)</f>
        <v>2316.653662</v>
      </c>
      <c r="BX15" s="16">
        <f>BS15*(1+BX16)</f>
        <v>2190.97918382714</v>
      </c>
      <c r="BY15" s="16">
        <f>BT15*(1+BY16)</f>
        <v>2060.59533814</v>
      </c>
      <c r="BZ15" s="16">
        <f>SUM(BV15:BY15)</f>
        <v>8791.34600264714</v>
      </c>
      <c r="CA15" s="16">
        <f>BV15*(1+CA16)</f>
        <v>2223.11781868</v>
      </c>
      <c r="CB15" s="16">
        <f>BW15*(1+CB16)</f>
        <v>2316.653662</v>
      </c>
      <c r="CC15" s="16">
        <f>BX15*(1+CC16)</f>
        <v>2190.97918382714</v>
      </c>
      <c r="CD15" s="16">
        <f>BY15*(1+CD16)</f>
        <v>2060.59533814</v>
      </c>
      <c r="CE15" s="16">
        <f>SUM(CA15:CD15)</f>
        <v>8791.34600264714</v>
      </c>
      <c r="CF15" s="16">
        <f>CA15*(1+CF16)</f>
        <v>2223.11781868</v>
      </c>
      <c r="CG15" s="16">
        <f>CB15*(1+CG16)</f>
        <v>2316.653662</v>
      </c>
      <c r="CH15" s="16">
        <f>CC15*(1+CH16)</f>
        <v>2190.97918382714</v>
      </c>
      <c r="CI15" s="16">
        <f>CD15*(1+CI16)</f>
        <v>2060.59533814</v>
      </c>
      <c r="CJ15" s="16">
        <f>SUM(CF15:CI15)</f>
        <v>8791.34600264714</v>
      </c>
      <c r="CK15" s="16">
        <f>CF15*(1+CK16)</f>
        <v>2223.11781868</v>
      </c>
      <c r="CL15" s="16">
        <f>CG15*(1+CL16)</f>
        <v>2316.653662</v>
      </c>
      <c r="CM15" s="16">
        <f>CH15*(1+CM16)</f>
        <v>2190.97918382714</v>
      </c>
      <c r="CN15" s="16">
        <f>CI15*(1+CN16)</f>
        <v>2060.59533814</v>
      </c>
      <c r="CO15" s="16">
        <f>SUM(CK15:CN15)</f>
        <v>8791.34600264714</v>
      </c>
      <c r="CP15" s="16">
        <f>CK15*(1+CP16)</f>
        <v>2223.11781868</v>
      </c>
      <c r="CQ15" s="16">
        <f>CL15*(1+CQ16)</f>
        <v>2316.653662</v>
      </c>
      <c r="CR15" s="16">
        <f>CM15*(1+CR16)</f>
        <v>2190.97918382714</v>
      </c>
      <c r="CS15" s="16">
        <f>CN15*(1+CS16)</f>
        <v>2060.59533814</v>
      </c>
      <c r="CT15" s="16">
        <f>SUM(CP15:CS15)</f>
        <v>8791.34600264714</v>
      </c>
      <c r="CU15" s="16">
        <f>CP15*(1+CU16)</f>
        <v>2223.11781868</v>
      </c>
      <c r="CV15" s="16">
        <f>CQ15*(1+CV16)</f>
        <v>2316.653662</v>
      </c>
      <c r="CW15" s="16">
        <f>CR15*(1+CW16)</f>
        <v>2190.97918382714</v>
      </c>
      <c r="CX15" s="16">
        <f>CS15*(1+CX16)</f>
        <v>2060.59533814</v>
      </c>
      <c r="CY15" s="16">
        <f>SUM(CU15:CX15)</f>
        <v>8791.34600264714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0.21940349557938</v>
      </c>
      <c r="O16" s="47">
        <f>O15/J15-1</f>
        <v>0.192775551045915</v>
      </c>
      <c r="P16" s="47">
        <f>P15/K15-1</f>
        <v>0.114503881523473</v>
      </c>
      <c r="Q16" s="47">
        <f>Q15/L15-1</f>
        <v>0.0950937442637572</v>
      </c>
      <c r="R16" s="47">
        <f>R15/M15-1</f>
        <v>0.152451023144996</v>
      </c>
      <c r="S16" s="47">
        <f>S15/N15-1</f>
        <v>0.134791297608256</v>
      </c>
      <c r="T16" s="47">
        <f>T15/O15-1</f>
        <v>0.492734003838489</v>
      </c>
      <c r="U16" s="47">
        <f>U15/P15-1</f>
        <v>0.630898413071819</v>
      </c>
      <c r="V16" s="47">
        <f>V15/Q15-1</f>
        <v>0.528993628809388</v>
      </c>
      <c r="W16" s="47">
        <f>W15/R15-1</f>
        <v>0.449874917288917</v>
      </c>
      <c r="X16" s="47">
        <f>X15/S15-1</f>
        <v>0.53979026672018</v>
      </c>
      <c r="Y16" s="47">
        <f>Y15/T15-1</f>
        <v>0.192017551841142</v>
      </c>
      <c r="Z16" s="47">
        <f>Z15/U15-1</f>
        <v>0.0495316818579232</v>
      </c>
      <c r="AA16" s="47">
        <f>AA15/V15-1</f>
        <v>0.0791440542077369</v>
      </c>
      <c r="AB16" s="47">
        <f>AB15/W15-1</f>
        <v>0.187581075129233</v>
      </c>
      <c r="AC16" s="47">
        <f>AC15/X15-1</f>
        <v>0.0580879570904076</v>
      </c>
      <c r="AD16" s="47">
        <f>AD15/Y15-1</f>
        <v>0.0234207628947904</v>
      </c>
      <c r="AE16" s="47">
        <f>AE15/Z15-1</f>
        <v>0.116324974837404</v>
      </c>
      <c r="AF16" s="44">
        <f>AF15/AA15-1</f>
        <v>0.120292412388872</v>
      </c>
      <c r="AG16" s="47">
        <f>AG15/AB15-1</f>
        <v>0.0789264067497519</v>
      </c>
      <c r="AH16" s="44">
        <f>AH15/AC15-1</f>
        <v>0.103243761112495</v>
      </c>
      <c r="AI16" s="44">
        <f>AI15/AD15-1</f>
        <v>0.144290392895547</v>
      </c>
      <c r="AJ16" s="44" t="n"/>
      <c r="AK16" s="44" t="n"/>
      <c r="AL16" s="22">
        <f>AL15/AG15-1</f>
        <v>0.0603248740067788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receita liquida pela soma dos negocios, linha 373)</t>
        </is>
      </c>
      <c r="D17" s="15">
        <f>IF(COUNT(D373)=0,"",D15-D373)</f>
        <v>-0.00014198196072357</v>
      </c>
      <c r="E17" s="15">
        <f>IF(COUNT(E373)=0,"",E15-E373)</f>
        <v>-0.00036412551810372</v>
      </c>
      <c r="F17" s="15">
        <f>IF(COUNT(F373)=0,"",F15-F373)</f>
        <v>-0.000210209462125022</v>
      </c>
      <c r="G17" s="15">
        <f>IF(COUNT(G373)=0,"",G15-G373)</f>
        <v>-0.000120099999776357</v>
      </c>
      <c r="H17" s="16">
        <f>IF(COUNT(H373)=0,"",H15-H373)</f>
        <v>-0.000836416940728668</v>
      </c>
      <c r="I17" s="15">
        <f>IF(COUNT(I373)=0,"",I15-I373)</f>
        <v>-0.000475974279652291</v>
      </c>
      <c r="J17" s="15">
        <f>IF(COUNT(J373)=0,"",J15-J373)</f>
        <v>0.000250439999831542</v>
      </c>
      <c r="K17" s="15">
        <f>IF(COUNT(K373)=0,"",K15-K373)</f>
        <v>-0.000354089999518692</v>
      </c>
      <c r="L17" s="15">
        <f>IF(COUNT(L373)=0,"",L15-L373)</f>
        <v>-0.000356419999661739</v>
      </c>
      <c r="M17" s="16">
        <f>IF(COUNT(M373)=0,"",M15-M373)</f>
        <v>-0.000936044279114867</v>
      </c>
      <c r="N17" s="15">
        <f>IF(COUNT(N373)=0,"",N15-N373)</f>
        <v>0</v>
      </c>
      <c r="O17" s="15">
        <f>IF(COUNT(O373)=0,"",O15-O373)</f>
        <v>0</v>
      </c>
      <c r="P17" s="15">
        <f>IF(COUNT(P373)=0,"",P15-P373)</f>
        <v>-0.142541000000165</v>
      </c>
      <c r="Q17" s="15">
        <f>IF(COUNT(Q373)=0,"",Q15-Q373)</f>
        <v>-0.000266000000237909</v>
      </c>
      <c r="R17" s="16">
        <f>IF(COUNT(R373)=0,"",R15-R373)</f>
        <v>-0.142807000000175</v>
      </c>
      <c r="S17" s="15">
        <f>IF(COUNT(S373)=0,"",S15-S373)</f>
        <v>-0.000117999999929452</v>
      </c>
      <c r="T17" s="15" t="str">
        <f>IF(COUNT(T373)=0,"",T15-T373)</f>
        <v/>
      </c>
      <c r="U17" s="15">
        <f>IF(COUNT(U373)=0,"",U15-U373)</f>
        <v>-0.000324165970596368</v>
      </c>
      <c r="V17" s="15">
        <f>IF(COUNT(V373)=0,"",V15-V373)</f>
        <v>-0.000310289999788438</v>
      </c>
      <c r="W17" s="16" t="str">
        <f>IF(COUNT(W373)=0,"",W15-W373)</f>
        <v/>
      </c>
      <c r="X17" s="15">
        <f>IF(COUNT(X373)=0,"",X15-X373)</f>
        <v>0.000536768751544514</v>
      </c>
      <c r="Y17" s="15">
        <f>IF(COUNT(Y373)=0,"",Y15-Y373)</f>
        <v>5.29819726580172e-05</v>
      </c>
      <c r="Z17" s="15">
        <f>IF(COUNT(Z373)=0,"",Z15-Z373)</f>
        <v>0.000682000000097105</v>
      </c>
      <c r="AA17" s="15">
        <f>IF(COUNT(AA373)=0,"",AA15-AA373)</f>
        <v>-0.00029463326086443</v>
      </c>
      <c r="AB17" s="16">
        <f>IF(COUNT(AB373)=0,"",AB15-AB373)</f>
        <v>0.00097711746366258</v>
      </c>
      <c r="AC17" s="15">
        <f>IF(COUNT(AC373)=0,"",AC15-AC373)</f>
        <v>0</v>
      </c>
      <c r="AD17" s="15">
        <f>IF(COUNT(AD373)=0,"",AD15-AD373)</f>
        <v>-0.000168999999459629</v>
      </c>
      <c r="AE17" s="15">
        <f>IF(COUNT(AE373)=0,"",AE15-AE373)</f>
        <v>-0.000472685805107176</v>
      </c>
      <c r="AF17" s="15">
        <f>IF(COUNT(AF373)=0,"",AF15-AF373)</f>
        <v>-0.000141952782996668</v>
      </c>
      <c r="AG17" s="16">
        <f>IF(COUNT(AG373)=0,"",AG15-AG373)</f>
        <v>-0.000783638586653979</v>
      </c>
      <c r="AH17" s="44" t="str">
        <f>IF(COUNT(AH373)=0,"",AH15-AH373)</f>
        <v/>
      </c>
      <c r="AI17" s="44" t="str">
        <f>IF(COUNT(AI373)=0,"",AI15-AI373)</f>
        <v/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>
        <f>INDEX('Inputs (2)'!$D$5:$AL$5,MATCH(D$7,'Inputs (2)'!$D$2:$AL$2,0))</f>
        <v>-454.633</v>
      </c>
      <c r="E20" s="25">
        <f>INDEX('Inputs (2)'!$D$5:$AL$5,MATCH(E$7,'Inputs (2)'!$D$2:$AL$2,0))</f>
        <v>-383.28332135</v>
      </c>
      <c r="F20" s="25">
        <f>INDEX('Inputs (2)'!$D$5:$AL$5,MATCH(F$7,'Inputs (2)'!$D$2:$AL$2,0))</f>
        <v>-489.05019073</v>
      </c>
      <c r="G20" s="25">
        <f>INDEX('Inputs (2)'!$D$5:$AL$5,MATCH(G$7,'Inputs (2)'!$D$2:$AL$2,0))</f>
        <v>-538.56040391</v>
      </c>
      <c r="H20" s="3">
        <f>SUM(D20:G20)</f>
        <v>-1865.52691599</v>
      </c>
      <c r="I20" s="25">
        <f>INDEX('Inputs (2)'!$D$5:$AL$5,MATCH(I$7,'Inputs (2)'!$D$2:$AL$2,0))</f>
        <v>-534.68033785</v>
      </c>
      <c r="J20" s="25">
        <f>INDEX('Inputs (2)'!$D$5:$AL$5,MATCH(J$7,'Inputs (2)'!$D$2:$AL$2,0))</f>
        <v>-598.85567232</v>
      </c>
      <c r="K20" s="25">
        <f>INDEX('Inputs (2)'!$D$5:$AL$5,MATCH(K$7,'Inputs (2)'!$D$2:$AL$2,0))</f>
        <v>-637.06668857</v>
      </c>
      <c r="L20" s="25">
        <f>INDEX('Inputs (2)'!$D$5:$AL$5,MATCH(L$7,'Inputs (2)'!$D$2:$AL$2,0))</f>
        <v>-650.17978605</v>
      </c>
      <c r="M20" s="3">
        <f>SUM(I20:L20)</f>
        <v>-2420.78248479</v>
      </c>
      <c r="N20" s="25">
        <f>INDEX('Inputs (2)'!$D$5:$AL$5,MATCH(N$7,'Inputs (2)'!$D$2:$AL$2,0))</f>
        <v>-673.037739710001</v>
      </c>
      <c r="O20" s="25">
        <f>INDEX('Inputs (2)'!$D$5:$AL$5,MATCH(O$7,'Inputs (2)'!$D$2:$AL$2,0))</f>
        <v>-712.98908279</v>
      </c>
      <c r="P20" s="25">
        <f>INDEX('Inputs (2)'!$D$5:$AL$5,MATCH(P$7,'Inputs (2)'!$D$2:$AL$2,0))</f>
        <v>-712.41349757</v>
      </c>
      <c r="Q20" s="25">
        <f>INDEX('Inputs (2)'!$D$5:$AL$5,MATCH(Q$7,'Inputs (2)'!$D$2:$AL$2,0))</f>
        <v>-758.9403701</v>
      </c>
      <c r="R20" s="3">
        <f>SUM(N20:Q20)</f>
        <v>-2857.38069017</v>
      </c>
      <c r="S20" s="25">
        <f>INDEX('Inputs (2)'!$D$5:$AL$5,MATCH(S$7,'Inputs (2)'!$D$2:$AL$2,0))</f>
        <v>-776.43264322</v>
      </c>
      <c r="T20" s="25">
        <f>INDEX('Inputs (2)'!$D$5:$AL$5,MATCH(T$7,'Inputs (2)'!$D$2:$AL$2,0))</f>
        <v>-1075.179</v>
      </c>
      <c r="U20" s="25">
        <f>INDEX('Inputs (2)'!$D$5:$AL$5,MATCH(U$7,'Inputs (2)'!$D$2:$AL$2,0))</f>
        <v>-1198.06756466194</v>
      </c>
      <c r="V20" s="25">
        <f>INDEX('Inputs (2)'!$D$5:$AL$5,MATCH(V$7,'Inputs (2)'!$D$2:$AL$2,0))</f>
        <v>-1157.671</v>
      </c>
      <c r="W20" s="3">
        <f>SUM(S20:V20)</f>
        <v>-4207.35020788194</v>
      </c>
      <c r="X20" s="25">
        <f>INDEX('Inputs (2)'!$D$5:$AL$5,MATCH(X$7,'Inputs (2)'!$D$2:$AL$2,0))</f>
        <v>-1192.092</v>
      </c>
      <c r="Y20" s="25">
        <f>INDEX('Inputs (2)'!$D$5:$AL$5,MATCH(Y$7,'Inputs (2)'!$D$2:$AL$2,0))</f>
        <v>-1260.839</v>
      </c>
      <c r="Z20" s="25">
        <f>INDEX('Inputs (2)'!$D$5:$AL$5,MATCH(Z$7,'Inputs (2)'!$D$2:$AL$2,0))</f>
        <v>-1251.884</v>
      </c>
      <c r="AA20" s="25">
        <f>INDEX('Inputs (2)'!$D$5:$AL$5,MATCH(AA$7,'Inputs (2)'!$D$2:$AL$2,0))</f>
        <v>-1231.388</v>
      </c>
      <c r="AB20" s="3">
        <f>SUM(X20:AA20)</f>
        <v>-4936.203</v>
      </c>
      <c r="AC20" s="25">
        <f>INDEX('Inputs (2)'!$D$5:$AL$5,MATCH(AC$7,'Inputs (2)'!$D$2:$AL$2,0))</f>
        <v>-1282.082</v>
      </c>
      <c r="AD20" s="25">
        <f>INDEX('Inputs (2)'!$D$5:$AL$5,MATCH(AD$7,'Inputs (2)'!$D$2:$AL$2,0))</f>
        <v>-1326.516</v>
      </c>
      <c r="AE20" s="25">
        <f>INDEX('Inputs (2)'!$D$5:$AL$5,MATCH(AE$7,'Inputs (2)'!$D$2:$AL$2,0))</f>
        <v>-1399.705</v>
      </c>
      <c r="AF20" s="25">
        <f>INDEX('Inputs (2)'!$D$5:$AL$5,MATCH(AF$7,'Inputs (2)'!$D$2:$AL$2,0))</f>
        <v>-1394.057</v>
      </c>
      <c r="AG20" s="3">
        <f>SUM(AC20:AF20)</f>
        <v>-5402.36</v>
      </c>
      <c r="AH20" s="3">
        <f>INDEX('Inputs (2)'!$D$5:$AL$5,MATCH(AH$7,'Inputs (2)'!$D$2:$AL$2,0))</f>
        <v>-1417.643</v>
      </c>
      <c r="AI20" s="3">
        <f>INDEX('Inputs (2)'!$D$5:$AL$5,MATCH(AI$7,'Inputs (2)'!$D$2:$AL$2,0))</f>
        <v>-1508.18</v>
      </c>
      <c r="AJ20" s="3">
        <f>(100%-AJ21)*-AJ15</f>
        <v>-2190.97918382714</v>
      </c>
      <c r="AK20" s="3">
        <f>(100%-AK21)*-AK15</f>
        <v>-2060.59533814</v>
      </c>
      <c r="AL20" s="3">
        <f>SUM(AH20:AK20)</f>
        <v>-7177.39752196714</v>
      </c>
      <c r="AM20" s="3">
        <f>(100%-AM21)*-AM15</f>
        <v>-2223.11781868</v>
      </c>
      <c r="AN20" s="3">
        <f>(100%-AN21)*-AN15</f>
        <v>-2316.653662</v>
      </c>
      <c r="AO20" s="3">
        <f>(100%-AO21)*-AO15</f>
        <v>-2190.97918382714</v>
      </c>
      <c r="AP20" s="3">
        <f>(100%-AP21)*-AP15</f>
        <v>-2060.59533814</v>
      </c>
      <c r="AQ20" s="3">
        <f>SUM(AM20:AP20)</f>
        <v>-8791.34600264714</v>
      </c>
      <c r="AR20" s="3">
        <f>(100%-AR21)*-AR15</f>
        <v>-2223.11781868</v>
      </c>
      <c r="AS20" s="3">
        <f>(100%-AS21)*-AS15</f>
        <v>-2316.653662</v>
      </c>
      <c r="AT20" s="3">
        <f>(100%-AT21)*-AT15</f>
        <v>-2190.97918382714</v>
      </c>
      <c r="AU20" s="3">
        <f>(100%-AU21)*-AU15</f>
        <v>-2060.59533814</v>
      </c>
      <c r="AV20" s="3">
        <f>SUM(AR20:AU20)</f>
        <v>-8791.34600264714</v>
      </c>
      <c r="AW20" s="3">
        <f>(100%-AW21)*-AW15</f>
        <v>-2223.11781868</v>
      </c>
      <c r="AX20" s="3">
        <f>(100%-AX21)*-AX15</f>
        <v>-2316.653662</v>
      </c>
      <c r="AY20" s="3">
        <f>(100%-AY21)*-AY15</f>
        <v>-2190.97918382714</v>
      </c>
      <c r="AZ20" s="3">
        <f>(100%-AZ21)*-AZ15</f>
        <v>-2060.59533814</v>
      </c>
      <c r="BA20" s="3">
        <f>SUM(AW20:AZ20)</f>
        <v>-8791.34600264714</v>
      </c>
      <c r="BB20" s="3">
        <f>(100%-BB21)*-BB15</f>
        <v>-2223.11781868</v>
      </c>
      <c r="BC20" s="3">
        <f>(100%-BC21)*-BC15</f>
        <v>-2316.653662</v>
      </c>
      <c r="BD20" s="3">
        <f>(100%-BD21)*-BD15</f>
        <v>-2190.97918382714</v>
      </c>
      <c r="BE20" s="3">
        <f>(100%-BE21)*-BE15</f>
        <v>-2060.59533814</v>
      </c>
      <c r="BF20" s="3">
        <f>SUM(BB20:BE20)</f>
        <v>-8791.34600264714</v>
      </c>
      <c r="BG20" s="3">
        <f>(100%-BG21)*-BG15</f>
        <v>-2223.11781868</v>
      </c>
      <c r="BH20" s="3">
        <f>(100%-BH21)*-BH15</f>
        <v>-2316.653662</v>
      </c>
      <c r="BI20" s="3">
        <f>(100%-BI21)*-BI15</f>
        <v>-2190.97918382714</v>
      </c>
      <c r="BJ20" s="3">
        <f>(100%-BJ21)*-BJ15</f>
        <v>-2060.59533814</v>
      </c>
      <c r="BK20" s="3">
        <f>SUM(BG20:BJ20)</f>
        <v>-8791.34600264714</v>
      </c>
      <c r="BL20" s="3">
        <f>(100%-BL21)*-BL15</f>
        <v>-2223.11781868</v>
      </c>
      <c r="BM20" s="3">
        <f>(100%-BM21)*-BM15</f>
        <v>-2316.653662</v>
      </c>
      <c r="BN20" s="3">
        <f>(100%-BN21)*-BN15</f>
        <v>-2190.97918382714</v>
      </c>
      <c r="BO20" s="3">
        <f>(100%-BO21)*-BO15</f>
        <v>-2060.59533814</v>
      </c>
      <c r="BP20" s="3">
        <f>SUM(BL20:BO20)</f>
        <v>-8791.34600264714</v>
      </c>
      <c r="BQ20" s="3">
        <f>(100%-BQ21)*-BQ15</f>
        <v>-2223.11781868</v>
      </c>
      <c r="BR20" s="3">
        <f>(100%-BR21)*-BR15</f>
        <v>-2316.653662</v>
      </c>
      <c r="BS20" s="3">
        <f>(100%-BS21)*-BS15</f>
        <v>-2190.97918382714</v>
      </c>
      <c r="BT20" s="3">
        <f>(100%-BT21)*-BT15</f>
        <v>-2060.59533814</v>
      </c>
      <c r="BU20" s="3">
        <f>SUM(BQ20:BT20)</f>
        <v>-8791.34600264714</v>
      </c>
      <c r="BV20" s="3">
        <f>(100%-BV21)*-BV15</f>
        <v>-2223.11781868</v>
      </c>
      <c r="BW20" s="3">
        <f>(100%-BW21)*-BW15</f>
        <v>-2316.653662</v>
      </c>
      <c r="BX20" s="3">
        <f>(100%-BX21)*-BX15</f>
        <v>-2190.97918382714</v>
      </c>
      <c r="BY20" s="3">
        <f>(100%-BY21)*-BY15</f>
        <v>-2060.59533814</v>
      </c>
      <c r="BZ20" s="3">
        <f>SUM(BV20:BY20)</f>
        <v>-8791.34600264714</v>
      </c>
      <c r="CA20" s="3">
        <f>(100%-CA21)*-CA15</f>
        <v>-2223.11781868</v>
      </c>
      <c r="CB20" s="3">
        <f>(100%-CB21)*-CB15</f>
        <v>-2316.653662</v>
      </c>
      <c r="CC20" s="3">
        <f>(100%-CC21)*-CC15</f>
        <v>-2190.97918382714</v>
      </c>
      <c r="CD20" s="3">
        <f>(100%-CD21)*-CD15</f>
        <v>-2060.59533814</v>
      </c>
      <c r="CE20" s="3">
        <f>SUM(CA20:CD20)</f>
        <v>-8791.34600264714</v>
      </c>
      <c r="CF20" s="3">
        <f>(100%-CF21)*-CF15</f>
        <v>-2223.11781868</v>
      </c>
      <c r="CG20" s="3">
        <f>(100%-CG21)*-CG15</f>
        <v>-2316.653662</v>
      </c>
      <c r="CH20" s="3">
        <f>(100%-CH21)*-CH15</f>
        <v>-2190.97918382714</v>
      </c>
      <c r="CI20" s="3">
        <f>(100%-CI21)*-CI15</f>
        <v>-2060.59533814</v>
      </c>
      <c r="CJ20" s="3">
        <f>SUM(CF20:CI20)</f>
        <v>-8791.34600264714</v>
      </c>
      <c r="CK20" s="3">
        <f>(100%-CK21)*-CK15</f>
        <v>-2223.11781868</v>
      </c>
      <c r="CL20" s="3">
        <f>(100%-CL21)*-CL15</f>
        <v>-2316.653662</v>
      </c>
      <c r="CM20" s="3">
        <f>(100%-CM21)*-CM15</f>
        <v>-2190.97918382714</v>
      </c>
      <c r="CN20" s="3">
        <f>(100%-CN21)*-CN15</f>
        <v>-2060.59533814</v>
      </c>
      <c r="CO20" s="3">
        <f>SUM(CK20:CN20)</f>
        <v>-8791.34600264714</v>
      </c>
      <c r="CP20" s="3">
        <f>(100%-CP21)*-CP15</f>
        <v>-2223.11781868</v>
      </c>
      <c r="CQ20" s="3">
        <f>(100%-CQ21)*-CQ15</f>
        <v>-2316.653662</v>
      </c>
      <c r="CR20" s="3">
        <f>(100%-CR21)*-CR15</f>
        <v>-2190.97918382714</v>
      </c>
      <c r="CS20" s="3">
        <f>(100%-CS21)*-CS15</f>
        <v>-2060.59533814</v>
      </c>
      <c r="CT20" s="3">
        <f>SUM(CP20:CS20)</f>
        <v>-8791.34600264714</v>
      </c>
      <c r="CU20" s="3">
        <f>(100%-CU21)*-CU15</f>
        <v>-2223.11781868</v>
      </c>
      <c r="CV20" s="3">
        <f>(100%-CV21)*-CV15</f>
        <v>-2316.653662</v>
      </c>
      <c r="CW20" s="3">
        <f>(100%-CW21)*-CW15</f>
        <v>-2190.97918382714</v>
      </c>
      <c r="CX20" s="3">
        <f>(100%-CX21)*-CX15</f>
        <v>-2060.59533814</v>
      </c>
      <c r="CY20" s="3">
        <f>SUM(CU20:CX20)</f>
        <v>-8791.34600264714</v>
      </c>
    </row>
    <row r="21" hidden="1" outlineLevel="1" customFormat="1" s="1">
      <c r="C21" s="57" t="inlineStr">
        <is>
          <t>% Gross Margin</t>
        </is>
      </c>
      <c r="D21" s="54">
        <f>(D15+D20)/D$15</f>
        <v>0.363200126979904</v>
      </c>
      <c r="E21" s="54">
        <f>(E15+E20)/E$15</f>
        <v>0.157515189692811</v>
      </c>
      <c r="F21" s="54">
        <f>(F15+F20)/F$15</f>
        <v>0.440819051658289</v>
      </c>
      <c r="G21" s="54">
        <f>(G15+G20)/G$15</f>
        <v>0.419751493310564</v>
      </c>
      <c r="H21" s="54">
        <f>(H15+H20)/H$15</f>
        <v>0.3722179521518</v>
      </c>
      <c r="I21" s="54">
        <f>(I15+I20)/I$15</f>
        <v>0.401795069723501</v>
      </c>
      <c r="J21" s="54">
        <f>(J15+J20)/J$15</f>
        <v>0.357496739866581</v>
      </c>
      <c r="K21" s="54">
        <f>(K15+K20)/K$15</f>
        <v>0.380785189840725</v>
      </c>
      <c r="L21" s="54">
        <f>(L15+L20)/L$15</f>
        <v>0.361282903736456</v>
      </c>
      <c r="M21" s="54">
        <f>(M15+M20)/M$15</f>
        <v>0.374902948664451</v>
      </c>
      <c r="N21" s="54">
        <f>(N15+N20)/N$15</f>
        <v>0.382484652268077</v>
      </c>
      <c r="O21" s="54">
        <f>(O15+O20)/O$15</f>
        <v>0.35867625551508</v>
      </c>
      <c r="P21" s="54">
        <f>(P15+P20)/P$15</f>
        <v>0.378691933810225</v>
      </c>
      <c r="Q21" s="54">
        <f>(Q15+Q20)/Q$15</f>
        <v>0.319181365294037</v>
      </c>
      <c r="R21" s="54">
        <f>(R15+R20)/R$15</f>
        <v>0.35976809973602</v>
      </c>
      <c r="S21" s="54">
        <f>(S15+S20)/S$15</f>
        <v>0.372236403194471</v>
      </c>
      <c r="T21" s="54">
        <f>(T15+T20)/T$15</f>
        <v>0.35212266524298</v>
      </c>
      <c r="U21" s="54">
        <f>(U15+U20)/U$15</f>
        <v>0.35933757494502</v>
      </c>
      <c r="V21" s="54">
        <f>(V15+V20)/V$15</f>
        <v>0.320791272009256</v>
      </c>
      <c r="W21" s="54">
        <f>(W15+W20)/W$15</f>
        <v>0.349799453258546</v>
      </c>
      <c r="X21" s="54">
        <f>(X15+X20)/X$15</f>
        <v>0.374048700472629</v>
      </c>
      <c r="Y21" s="54">
        <f>(Y15+Y20)/Y$15</f>
        <v>0.362633846290723</v>
      </c>
      <c r="Z21" s="54">
        <f>(Z15+Z20)/Z$15</f>
        <v>0.36215305690024</v>
      </c>
      <c r="AA21" s="54">
        <f>(AA15+AA20)/AA$15</f>
        <v>0.330526179704973</v>
      </c>
      <c r="AB21" s="54">
        <f>(AB15+AB20)/AB$15</f>
        <v>0.357654907003681</v>
      </c>
      <c r="AC21" s="54">
        <f>(AC15+AC20)/AC$15</f>
        <v>0.363754383213718</v>
      </c>
      <c r="AD21" s="54">
        <f>(AD15+AD20)/AD$15</f>
        <v>0.34477926514411</v>
      </c>
      <c r="AE21" s="54">
        <f>(AE15+AE20)/AE$15</f>
        <v>0.361150936379489</v>
      </c>
      <c r="AF21" s="44">
        <f>(AF15+AF20)/AF$15</f>
        <v>0.32346881787166</v>
      </c>
      <c r="AG21" s="54">
        <f>(AG15+AG20)/AG$15</f>
        <v>0.348420971644793</v>
      </c>
      <c r="AH21" s="55">
        <f>(AH15+AH20)/AH$15</f>
        <v>0.362317647725148</v>
      </c>
      <c r="AI21" s="55">
        <f>(AI15+AI20)/AI$15</f>
        <v>0.348983395861612</v>
      </c>
      <c r="AJ21" s="55" t="n"/>
      <c r="AK21" s="55" t="n"/>
      <c r="AL21" s="54">
        <f>(AL15+AL20)/AL$15</f>
        <v>0.183583774338313</v>
      </c>
      <c r="AM21" s="55" t="n"/>
      <c r="AN21" s="55" t="n"/>
      <c r="AO21" s="55" t="n"/>
      <c r="AP21" s="55" t="n"/>
      <c r="AQ21" s="54">
        <f>(AQ15+AQ20)/AQ$15</f>
        <v>0</v>
      </c>
      <c r="AR21" s="55" t="n"/>
      <c r="AS21" s="55" t="n"/>
      <c r="AT21" s="55" t="n"/>
      <c r="AU21" s="55" t="n"/>
      <c r="AV21" s="54">
        <f>(AV15+AV20)/AV$15</f>
        <v>0</v>
      </c>
      <c r="AW21" s="55" t="n"/>
      <c r="AX21" s="55" t="n"/>
      <c r="AY21" s="55" t="n"/>
      <c r="AZ21" s="55" t="n"/>
      <c r="BA21" s="54">
        <f>(BA15+BA20)/BA$15</f>
        <v>0</v>
      </c>
      <c r="BB21" s="55" t="n"/>
      <c r="BC21" s="55" t="n"/>
      <c r="BD21" s="55" t="n"/>
      <c r="BE21" s="55" t="n"/>
      <c r="BF21" s="54">
        <f>(BF15+BF20)/BF$15</f>
        <v>0</v>
      </c>
      <c r="BG21" s="55" t="n"/>
      <c r="BH21" s="55" t="n"/>
      <c r="BI21" s="55" t="n"/>
      <c r="BJ21" s="55" t="n"/>
      <c r="BK21" s="54">
        <f>(BK15+BK20)/BK$15</f>
        <v>0</v>
      </c>
      <c r="BL21" s="55" t="n"/>
      <c r="BM21" s="55" t="n"/>
      <c r="BN21" s="55" t="n"/>
      <c r="BO21" s="55" t="n"/>
      <c r="BP21" s="54">
        <f>(BP15+BP20)/BP$15</f>
        <v>0</v>
      </c>
      <c r="BQ21" s="55" t="n"/>
      <c r="BR21" s="55" t="n"/>
      <c r="BS21" s="55" t="n"/>
      <c r="BT21" s="55" t="n"/>
      <c r="BU21" s="54">
        <f>(BU15+BU20)/BU$15</f>
        <v>0</v>
      </c>
      <c r="BV21" s="55" t="n"/>
      <c r="BW21" s="55" t="n"/>
      <c r="BX21" s="55" t="n"/>
      <c r="BY21" s="55" t="n"/>
      <c r="BZ21" s="54">
        <f>(BZ15+BZ20)/BZ$15</f>
        <v>0</v>
      </c>
      <c r="CA21" s="55" t="n"/>
      <c r="CB21" s="55" t="n"/>
      <c r="CC21" s="55" t="n"/>
      <c r="CD21" s="55" t="n"/>
      <c r="CE21" s="54">
        <f>(CE15+CE20)/CE$15</f>
        <v>0</v>
      </c>
      <c r="CF21" s="55" t="n"/>
      <c r="CG21" s="55" t="n"/>
      <c r="CH21" s="55" t="n"/>
      <c r="CI21" s="55" t="n"/>
      <c r="CJ21" s="54">
        <f>(CJ15+CJ20)/CJ$15</f>
        <v>0</v>
      </c>
      <c r="CK21" s="55" t="n"/>
      <c r="CL21" s="55" t="n"/>
      <c r="CM21" s="55" t="n"/>
      <c r="CN21" s="55" t="n"/>
      <c r="CO21" s="54">
        <f>(CO15+CO20)/CO$15</f>
        <v>0</v>
      </c>
      <c r="CP21" s="55" t="n"/>
      <c r="CQ21" s="55" t="n"/>
      <c r="CR21" s="55" t="n"/>
      <c r="CS21" s="55" t="n"/>
      <c r="CT21" s="54">
        <f>(CT15+CT20)/CT$15</f>
        <v>0</v>
      </c>
      <c r="CU21" s="55" t="n"/>
      <c r="CV21" s="55" t="n"/>
      <c r="CW21" s="55" t="n"/>
      <c r="CX21" s="55" t="n"/>
      <c r="CY21" s="54">
        <f>(CY15+CY20)/CY$15</f>
        <v>0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>
        <f>INDEX('Inputs (2)'!$D$6:$AL$6,MATCH(D$7,'Inputs (2)'!$D$2:$AL$2,0))</f>
        <v>-63.35490183</v>
      </c>
      <c r="E24" s="25">
        <f>INDEX('Inputs (2)'!$D$6:$AL$6,MATCH(E$7,'Inputs (2)'!$D$2:$AL$2,0))</f>
        <v>-52.0518947179</v>
      </c>
      <c r="F24" s="25">
        <f>INDEX('Inputs (2)'!$D$6:$AL$6,MATCH(F$7,'Inputs (2)'!$D$2:$AL$2,0))</f>
        <v>-61.6972132</v>
      </c>
      <c r="G24" s="25">
        <f>INDEX('Inputs (2)'!$D$6:$AL$6,MATCH(G$7,'Inputs (2)'!$D$2:$AL$2,0))</f>
        <v>-91.52204745</v>
      </c>
      <c r="H24" s="3">
        <f>SUM(D24:G24)</f>
        <v>-268.6260571979</v>
      </c>
      <c r="I24" s="25">
        <f>INDEX('Inputs (2)'!$D$6:$AL$6,MATCH(I$7,'Inputs (2)'!$D$2:$AL$2,0))</f>
        <v>-73.595387</v>
      </c>
      <c r="J24" s="25">
        <f>INDEX('Inputs (2)'!$D$6:$AL$6,MATCH(J$7,'Inputs (2)'!$D$2:$AL$2,0))</f>
        <v>-113.47448102</v>
      </c>
      <c r="K24" s="25">
        <f>INDEX('Inputs (2)'!$D$6:$AL$6,MATCH(K$7,'Inputs (2)'!$D$2:$AL$2,0))</f>
        <v>-103.2100733</v>
      </c>
      <c r="L24" s="25">
        <f>INDEX('Inputs (2)'!$D$6:$AL$6,MATCH(L$7,'Inputs (2)'!$D$2:$AL$2,0))</f>
        <v>-105.59846189</v>
      </c>
      <c r="M24" s="3">
        <f>SUM(I24:L24)</f>
        <v>-395.87840321</v>
      </c>
      <c r="N24" s="25">
        <f>INDEX('Inputs (2)'!$D$6:$AL$6,MATCH(N$7,'Inputs (2)'!$D$2:$AL$2,0))</f>
        <v>-90.29549809</v>
      </c>
      <c r="O24" s="25">
        <f>INDEX('Inputs (2)'!$D$6:$AL$6,MATCH(O$7,'Inputs (2)'!$D$2:$AL$2,0))</f>
        <v>-100.75198281</v>
      </c>
      <c r="P24" s="25">
        <f>INDEX('Inputs (2)'!$D$6:$AL$6,MATCH(P$7,'Inputs (2)'!$D$2:$AL$2,0))</f>
        <v>-101.77671757</v>
      </c>
      <c r="Q24" s="25">
        <f>INDEX('Inputs (2)'!$D$6:$AL$6,MATCH(Q$7,'Inputs (2)'!$D$2:$AL$2,0))</f>
        <v>-123.12782083</v>
      </c>
      <c r="R24" s="3">
        <f>SUM(N24:Q24)</f>
        <v>-415.9520193</v>
      </c>
      <c r="S24" s="25">
        <f>INDEX('Inputs (2)'!$D$6:$AL$6,MATCH(S$7,'Inputs (2)'!$D$2:$AL$2,0))</f>
        <v>-114.61168622</v>
      </c>
      <c r="T24" s="25">
        <f>INDEX('Inputs (2)'!$D$6:$AL$6,MATCH(T$7,'Inputs (2)'!$D$2:$AL$2,0))</f>
        <v>-220.784</v>
      </c>
      <c r="U24" s="25">
        <f>INDEX('Inputs (2)'!$D$6:$AL$6,MATCH(U$7,'Inputs (2)'!$D$2:$AL$2,0))</f>
        <v>-166.013</v>
      </c>
      <c r="V24" s="25">
        <f>INDEX('Inputs (2)'!$D$6:$AL$6,MATCH(V$7,'Inputs (2)'!$D$2:$AL$2,0))</f>
        <v>-170.937</v>
      </c>
      <c r="W24" s="3">
        <f>SUM(S24:V24)</f>
        <v>-672.34568622</v>
      </c>
      <c r="X24" s="25">
        <f>INDEX('Inputs (2)'!$D$6:$AL$6,MATCH(X$7,'Inputs (2)'!$D$2:$AL$2,0))</f>
        <v>-195.223</v>
      </c>
      <c r="Y24" s="25">
        <f>INDEX('Inputs (2)'!$D$6:$AL$6,MATCH(Y$7,'Inputs (2)'!$D$2:$AL$2,0))</f>
        <v>-195.315</v>
      </c>
      <c r="Z24" s="25">
        <f>INDEX('Inputs (2)'!$D$6:$AL$6,MATCH(Z$7,'Inputs (2)'!$D$2:$AL$2,0))</f>
        <v>-173.406</v>
      </c>
      <c r="AA24" s="25">
        <f>INDEX('Inputs (2)'!$D$6:$AL$6,MATCH(AA$7,'Inputs (2)'!$D$2:$AL$2,0))</f>
        <v>-202.562</v>
      </c>
      <c r="AB24" s="3">
        <f>SUM(X24:AA24)</f>
        <v>-766.506</v>
      </c>
      <c r="AC24" s="25">
        <f>INDEX('Inputs (2)'!$D$6:$AL$6,MATCH(AC$7,'Inputs (2)'!$D$2:$AL$2,0))</f>
        <v>-185.366348</v>
      </c>
      <c r="AD24" s="25">
        <f>INDEX('Inputs (2)'!$D$6:$AL$6,MATCH(AD$7,'Inputs (2)'!$D$2:$AL$2,0))</f>
        <v>-165.927</v>
      </c>
      <c r="AE24" s="25">
        <f>INDEX('Inputs (2)'!$D$6:$AL$6,MATCH(AE$7,'Inputs (2)'!$D$2:$AL$2,0))</f>
        <v>-191.910278533221</v>
      </c>
      <c r="AF24" s="25">
        <f>INDEX('Inputs (2)'!$D$6:$AL$6,MATCH(AF$7,'Inputs (2)'!$D$2:$AL$2,0))</f>
        <v>-210.60018183</v>
      </c>
      <c r="AG24" s="3">
        <f>SUM(AC24:AF24)</f>
        <v>-753.803808363221</v>
      </c>
      <c r="AH24" s="3">
        <f>INDEX('Inputs (2)'!$D$6:$AL$6,MATCH(AH$7,'Inputs (2)'!$D$2:$AL$2,0))</f>
        <v>-199.47864252</v>
      </c>
      <c r="AI24" s="3">
        <f>INDEX('Inputs (2)'!$D$6:$AL$6,MATCH(AI$7,'Inputs (2)'!$D$2:$AL$2,0))</f>
        <v>-195.541</v>
      </c>
      <c r="AJ24" s="3">
        <f>-AJ15*AJ25</f>
        <v>0</v>
      </c>
      <c r="AK24" s="3">
        <f>-AK15*AK25</f>
        <v>0</v>
      </c>
      <c r="AL24" s="3">
        <f>SUM(AH24:AK24)</f>
        <v>-395.01964252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>
        <f>-(D24/D$15)</f>
        <v>0.0887405741346199</v>
      </c>
      <c r="E25" s="56">
        <f>-(E24/E$15)</f>
        <v>0.114413876641125</v>
      </c>
      <c r="F25" s="56">
        <f>-(F24/F$15)</f>
        <v>0.0705447147167433</v>
      </c>
      <c r="G25" s="56">
        <f>-(G24/G$15)</f>
        <v>0.0986064533828908</v>
      </c>
      <c r="H25" s="56">
        <f>-(H24/H$15)</f>
        <v>0.0903973107263329</v>
      </c>
      <c r="I25" s="56">
        <f>-(I24/I$15)</f>
        <v>0.0823391477719869</v>
      </c>
      <c r="J25" s="56">
        <f>-(J24/J$15)</f>
        <v>0.1217450670791</v>
      </c>
      <c r="K25" s="56">
        <f>-(K24/K$15)</f>
        <v>0.100317921328517</v>
      </c>
      <c r="L25" s="56">
        <f>-(L24/L$15)</f>
        <v>0.103736757732869</v>
      </c>
      <c r="M25" s="56">
        <f>-(M24/M$15)</f>
        <v>0.102224146154736</v>
      </c>
      <c r="N25" s="56">
        <f>-(N24/N$15)</f>
        <v>0.0828465517040678</v>
      </c>
      <c r="O25" s="56">
        <f>-(O24/O$15)</f>
        <v>0.0906250045612841</v>
      </c>
      <c r="P25" s="56">
        <f>-(P24/P$15)</f>
        <v>0.0887612261590345</v>
      </c>
      <c r="Q25" s="56">
        <f>-(Q24/Q$15)</f>
        <v>0.110453624783138</v>
      </c>
      <c r="R25" s="56">
        <f>-(R24/R$15)</f>
        <v>0.0931992550559425</v>
      </c>
      <c r="S25" s="56">
        <f>-(S24/S$15)</f>
        <v>0.0926661765263099</v>
      </c>
      <c r="T25" s="56">
        <f>-(T24/T$15)</f>
        <v>0.133039195777628</v>
      </c>
      <c r="U25" s="56">
        <f>-(U24/U$15)</f>
        <v>0.0887748690539533</v>
      </c>
      <c r="V25" s="56">
        <f>-(V24/V$15)</f>
        <v>0.100289203354454</v>
      </c>
      <c r="W25" s="56">
        <f>-(W24/W$15)</f>
        <v>0.103903766308908</v>
      </c>
      <c r="X25" s="56">
        <f>-(X24/X$15)</f>
        <v>0.102508942722233</v>
      </c>
      <c r="Y25" s="56">
        <f>-(Y24/Y$15)</f>
        <v>0.0987335974789228</v>
      </c>
      <c r="Z25" s="56">
        <f>-(Z24/Z$15)</f>
        <v>0.0883520254393834</v>
      </c>
      <c r="AA25" s="56">
        <f>-(AA24/AA$15)</f>
        <v>0.110127722526613</v>
      </c>
      <c r="AB25" s="56">
        <f>-(AB24/AB$15)</f>
        <v>0.0997449594054857</v>
      </c>
      <c r="AC25" s="56">
        <f>-(AC24/AC$15)</f>
        <v>0.0919898465267281</v>
      </c>
      <c r="AD25" s="56">
        <f>-(AD24/AD$15)</f>
        <v>0.0819581602275685</v>
      </c>
      <c r="AE25" s="56">
        <f>-(AE24/AE$15)</f>
        <v>0.0875911007963105</v>
      </c>
      <c r="AF25" s="44">
        <f>-(AF24/AF$15)</f>
        <v>0.102203561238811</v>
      </c>
      <c r="AG25" s="56">
        <f>-(AG24/AG$15)</f>
        <v>0.090916331570603</v>
      </c>
      <c r="AH25" s="45">
        <f>-(AH24/AH$15)</f>
        <v>0.0897292266041224</v>
      </c>
      <c r="AI25" s="45">
        <f>-(AI24/AI$15)</f>
        <v>0.0844066608692758</v>
      </c>
      <c r="AJ25" s="45" t="n"/>
      <c r="AK25" s="45" t="n"/>
      <c r="AL25" s="56">
        <f>-(AL24/AL$15)</f>
        <v>0.044932783034709</v>
      </c>
      <c r="AM25" s="45" t="n"/>
      <c r="AN25" s="45" t="n"/>
      <c r="AO25" s="45" t="n"/>
      <c r="AP25" s="45" t="n"/>
      <c r="AQ25" s="56">
        <f>-(AQ24/AQ$15)</f>
        <v>0</v>
      </c>
      <c r="AR25" s="45" t="n"/>
      <c r="AS25" s="45" t="n"/>
      <c r="AT25" s="45" t="n"/>
      <c r="AU25" s="45" t="n"/>
      <c r="AV25" s="56">
        <f>-(AV24/AV$15)</f>
        <v>0</v>
      </c>
      <c r="AW25" s="45" t="n"/>
      <c r="AX25" s="45" t="n"/>
      <c r="AY25" s="45" t="n"/>
      <c r="AZ25" s="45" t="n"/>
      <c r="BA25" s="56">
        <f>-(BA24/BA$15)</f>
        <v>0</v>
      </c>
      <c r="BB25" s="45" t="n"/>
      <c r="BC25" s="45" t="n"/>
      <c r="BD25" s="45" t="n"/>
      <c r="BE25" s="45" t="n"/>
      <c r="BF25" s="56">
        <f>-(BF24/BF$15)</f>
        <v>0</v>
      </c>
      <c r="BG25" s="45" t="n"/>
      <c r="BH25" s="45" t="n"/>
      <c r="BI25" s="45" t="n"/>
      <c r="BJ25" s="45" t="n"/>
      <c r="BK25" s="56">
        <f>-(BK24/BK$15)</f>
        <v>0</v>
      </c>
      <c r="BL25" s="45" t="n"/>
      <c r="BM25" s="45" t="n"/>
      <c r="BN25" s="45" t="n"/>
      <c r="BO25" s="45" t="n"/>
      <c r="BP25" s="56">
        <f>-(BP24/BP$15)</f>
        <v>0</v>
      </c>
      <c r="BQ25" s="45" t="n"/>
      <c r="BR25" s="45" t="n"/>
      <c r="BS25" s="45" t="n"/>
      <c r="BT25" s="45" t="n"/>
      <c r="BU25" s="56">
        <f>-(BU24/BU$15)</f>
        <v>0</v>
      </c>
      <c r="BV25" s="45" t="n"/>
      <c r="BW25" s="45" t="n"/>
      <c r="BX25" s="45" t="n"/>
      <c r="BY25" s="45" t="n"/>
      <c r="BZ25" s="56">
        <f>-(BZ24/BZ$15)</f>
        <v>0</v>
      </c>
      <c r="CA25" s="45" t="n"/>
      <c r="CB25" s="45" t="n"/>
      <c r="CC25" s="45" t="n"/>
      <c r="CD25" s="45" t="n"/>
      <c r="CE25" s="56">
        <f>-(CE24/CE$15)</f>
        <v>0</v>
      </c>
      <c r="CF25" s="45" t="n"/>
      <c r="CG25" s="45" t="n"/>
      <c r="CH25" s="45" t="n"/>
      <c r="CI25" s="45" t="n"/>
      <c r="CJ25" s="56">
        <f>-(CJ24/CJ$15)</f>
        <v>0</v>
      </c>
      <c r="CK25" s="45" t="n"/>
      <c r="CL25" s="45" t="n"/>
      <c r="CM25" s="45" t="n"/>
      <c r="CN25" s="45" t="n"/>
      <c r="CO25" s="56">
        <f>-(CO24/CO$15)</f>
        <v>0</v>
      </c>
      <c r="CP25" s="45" t="n"/>
      <c r="CQ25" s="45" t="n"/>
      <c r="CR25" s="45" t="n"/>
      <c r="CS25" s="45" t="n"/>
      <c r="CT25" s="56">
        <f>-(CT24/CT$15)</f>
        <v>0</v>
      </c>
      <c r="CU25" s="45" t="n"/>
      <c r="CV25" s="45" t="n"/>
      <c r="CW25" s="45" t="n"/>
      <c r="CX25" s="45" t="n"/>
      <c r="CY25" s="56">
        <f>-(CY24/CY$15)</f>
        <v>0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195.945971686418</v>
      </c>
      <c r="E35" s="16">
        <f>SUM(E15,E20,E24)</f>
        <v>19.6086792531876</v>
      </c>
      <c r="F35" s="16">
        <f>SUM(F15,F20,F24)</f>
        <v>323.835666505985</v>
      </c>
      <c r="G35" s="16">
        <f>SUM(G15,G20,G24)</f>
        <v>298.072292170001</v>
      </c>
      <c r="H35" s="16">
        <f>SUM(D35:G35)</f>
        <v>837.462609615592</v>
      </c>
      <c r="I35" s="16">
        <f>SUM(I15,I20,I24)</f>
        <v>285.53225096</v>
      </c>
      <c r="J35" s="16">
        <f>SUM(J15,J20,J24)</f>
        <v>219.736202549999</v>
      </c>
      <c r="K35" s="16">
        <f>SUM(K15,K20,K24)</f>
        <v>288.55310156</v>
      </c>
      <c r="L35" s="16">
        <f>SUM(L15,L20,L24)</f>
        <v>262.16817913</v>
      </c>
      <c r="M35" s="16">
        <f>SUM(I35:L35)</f>
        <v>1055.9897342</v>
      </c>
      <c r="N35" s="16">
        <f>SUM(N15,N20,N24)</f>
        <v>326.579332279442</v>
      </c>
      <c r="O35" s="16">
        <f>SUM(O15,O20,O24)</f>
        <v>298.004895658051</v>
      </c>
      <c r="P35" s="16">
        <f>SUM(P15,P20,P24)</f>
        <v>332.44466108</v>
      </c>
      <c r="Q35" s="16">
        <f>SUM(Q15,Q20,Q24)</f>
        <v>232.67857335</v>
      </c>
      <c r="R35" s="16">
        <f>SUM(N35:Q35)</f>
        <v>1189.70746236749</v>
      </c>
      <c r="S35" s="16">
        <f>SUM(S15,S20,S24)</f>
        <v>345.77897024</v>
      </c>
      <c r="T35" s="16">
        <f>SUM(T15,T20,T24)</f>
        <v>363.578</v>
      </c>
      <c r="U35" s="16">
        <f>SUM(U15,U20,U24)</f>
        <v>505.964435338059</v>
      </c>
      <c r="V35" s="16">
        <f>SUM(V15,V20,V24)</f>
        <v>375.83270032</v>
      </c>
      <c r="W35" s="16">
        <f>SUM(S35:V35)</f>
        <v>1591.15410589806</v>
      </c>
      <c r="X35" s="16">
        <f>SUM(X15,X20,X24)</f>
        <v>517.1334785</v>
      </c>
      <c r="Y35" s="16">
        <f>SUM(Y15,Y20,Y24)</f>
        <v>522.048</v>
      </c>
      <c r="Z35" s="16">
        <f>SUM(Z15,Z20,Z24)</f>
        <v>537.381474</v>
      </c>
      <c r="AA35" s="16">
        <f>SUM(AA15,AA20,AA24)</f>
        <v>405.387047499999</v>
      </c>
      <c r="AB35" s="16">
        <f>SUM(X35:AA35)</f>
        <v>1981.95</v>
      </c>
      <c r="AC35" s="16">
        <f>SUM(AC15,AC20,AC24)</f>
        <v>547.625652</v>
      </c>
      <c r="AD35" s="16">
        <f>SUM(AD15,AD20,AD24)</f>
        <v>532.09</v>
      </c>
      <c r="AE35" s="16">
        <f>SUM(AE15,AE20,AE24)</f>
        <v>599.363905293919</v>
      </c>
      <c r="AF35" s="16">
        <f>SUM(AF15,AF20,AF24)</f>
        <v>455.93815631</v>
      </c>
      <c r="AG35" s="16">
        <f>SUM(AC35:AF35)</f>
        <v>2135.01771360392</v>
      </c>
      <c r="AH35" s="16">
        <f>SUM(AH15,AH20,AH24)</f>
        <v>605.99617616</v>
      </c>
      <c r="AI35" s="16">
        <f>SUM(AI15,AI20,AI24)</f>
        <v>612.932662</v>
      </c>
      <c r="AJ35" s="16">
        <f>SUM(AJ15,AJ20,AJ24)</f>
        <v>0</v>
      </c>
      <c r="AK35" s="16">
        <f>SUM(AK15,AK20,AK24)</f>
        <v>0</v>
      </c>
      <c r="AL35" s="16">
        <f>SUM(AH35:AK35)</f>
        <v>1218.92883816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>
        <f>INDEX('Inputs (2)'!$D$7:$AL$7,MATCH(D$7,'Inputs (2)'!$D$2:$AL$2,0))</f>
        <v>-87.25438368</v>
      </c>
      <c r="E36" s="25">
        <f>INDEX('Inputs (2)'!$D$7:$AL$7,MATCH(E$7,'Inputs (2)'!$D$2:$AL$2,0))</f>
        <v>-84.69920834</v>
      </c>
      <c r="F36" s="25">
        <f>INDEX('Inputs (2)'!$D$7:$AL$7,MATCH(F$7,'Inputs (2)'!$D$2:$AL$2,0))</f>
        <v>-87.78008586</v>
      </c>
      <c r="G36" s="25">
        <f>INDEX('Inputs (2)'!$D$7:$AL$7,MATCH(G$7,'Inputs (2)'!$D$2:$AL$2,0))</f>
        <v>-98.73427442</v>
      </c>
      <c r="H36" s="3">
        <f>SUM(D36:G36)</f>
        <v>-358.4679523</v>
      </c>
      <c r="I36" s="25">
        <f>INDEX('Inputs (2)'!$D$7:$AL$7,MATCH(I$7,'Inputs (2)'!$D$2:$AL$2,0))</f>
        <v>-86.83643829</v>
      </c>
      <c r="J36" s="25">
        <f>INDEX('Inputs (2)'!$D$7:$AL$7,MATCH(J$7,'Inputs (2)'!$D$2:$AL$2,0))</f>
        <v>-90.88444056</v>
      </c>
      <c r="K36" s="25">
        <f>INDEX('Inputs (2)'!$D$7:$AL$7,MATCH(K$7,'Inputs (2)'!$D$2:$AL$2,0))</f>
        <v>-103.83367925</v>
      </c>
      <c r="L36" s="25">
        <f>INDEX('Inputs (2)'!$D$7:$AL$7,MATCH(L$7,'Inputs (2)'!$D$2:$AL$2,0))</f>
        <v>-107.72515852</v>
      </c>
      <c r="M36" s="3">
        <f>SUM(I36:L36)</f>
        <v>-389.27971662</v>
      </c>
      <c r="N36" s="25">
        <f>INDEX('Inputs (2)'!$D$7:$AL$7,MATCH(N$7,'Inputs (2)'!$D$2:$AL$2,0))</f>
        <v>-107.45963589</v>
      </c>
      <c r="O36" s="25">
        <f>INDEX('Inputs (2)'!$D$7:$AL$7,MATCH(O$7,'Inputs (2)'!$D$2:$AL$2,0))</f>
        <v>-113.84256518</v>
      </c>
      <c r="P36" s="25">
        <f>INDEX('Inputs (2)'!$D$7:$AL$7,MATCH(P$7,'Inputs (2)'!$D$2:$AL$2,0))</f>
        <v>-109.7525059</v>
      </c>
      <c r="Q36" s="25">
        <f>INDEX('Inputs (2)'!$D$7:$AL$7,MATCH(Q$7,'Inputs (2)'!$D$2:$AL$2,0))</f>
        <v>-124.2846005</v>
      </c>
      <c r="R36" s="3">
        <f>SUM(N36:Q36)</f>
        <v>-455.33930747</v>
      </c>
      <c r="S36" s="25">
        <f>INDEX('Inputs (2)'!$D$7:$AL$7,MATCH(S$7,'Inputs (2)'!$D$2:$AL$2,0))</f>
        <v>-131.26208815</v>
      </c>
      <c r="T36" s="25">
        <f>INDEX('Inputs (2)'!$D$7:$AL$7,MATCH(T$7,'Inputs (2)'!$D$2:$AL$2,0))</f>
        <v>-166.076</v>
      </c>
      <c r="U36" s="25">
        <f>INDEX('Inputs (2)'!$D$7:$AL$7,MATCH(U$7,'Inputs (2)'!$D$2:$AL$2,0))</f>
        <v>-188.161</v>
      </c>
      <c r="V36" s="25">
        <f>INDEX('Inputs (2)'!$D$7:$AL$7,MATCH(V$7,'Inputs (2)'!$D$2:$AL$2,0))</f>
        <v>-189.879</v>
      </c>
      <c r="W36" s="3">
        <f>SUM(S36:V36)</f>
        <v>-675.37808815</v>
      </c>
      <c r="X36" s="25">
        <f>INDEX('Inputs (2)'!$D$7:$AL$7,MATCH(X$7,'Inputs (2)'!$D$2:$AL$2,0))</f>
        <v>-189.554</v>
      </c>
      <c r="Y36" s="25">
        <f>INDEX('Inputs (2)'!$D$7:$AL$7,MATCH(Y$7,'Inputs (2)'!$D$2:$AL$2,0))</f>
        <v>-191.804</v>
      </c>
      <c r="Z36" s="25">
        <f>INDEX('Inputs (2)'!$D$7:$AL$7,MATCH(Z$7,'Inputs (2)'!$D$2:$AL$2,0))</f>
        <v>-196.609</v>
      </c>
      <c r="AA36" s="25">
        <f>INDEX('Inputs (2)'!$D$7:$AL$7,MATCH(AA$7,'Inputs (2)'!$D$2:$AL$2,0))</f>
        <v>-202.016</v>
      </c>
      <c r="AB36" s="3">
        <f>SUM(X36:AA36)</f>
        <v>-779.983</v>
      </c>
      <c r="AC36" s="25">
        <f>INDEX('Inputs (2)'!$D$7:$AL$7,MATCH(AC$7,'Inputs (2)'!$D$2:$AL$2,0))</f>
        <v>-212.141077</v>
      </c>
      <c r="AD36" s="25">
        <f>INDEX('Inputs (2)'!$D$7:$AL$7,MATCH(AD$7,'Inputs (2)'!$D$2:$AL$2,0))</f>
        <v>-222.403</v>
      </c>
      <c r="AE36" s="25">
        <f>INDEX('Inputs (2)'!$D$7:$AL$7,MATCH(AE$7,'Inputs (2)'!$D$2:$AL$2,0))</f>
        <v>-229.37499664</v>
      </c>
      <c r="AF36" s="25">
        <f>INDEX('Inputs (2)'!$D$7:$AL$7,MATCH(AF$7,'Inputs (2)'!$D$2:$AL$2,0))</f>
        <v>-236.39185589</v>
      </c>
      <c r="AG36" s="3">
        <f>SUM(AC36:AF36)</f>
        <v>-900.31092953</v>
      </c>
      <c r="AH36" s="3">
        <f>INDEX('Inputs (2)'!$D$7:$AL$7,MATCH(AH$7,'Inputs (2)'!$D$2:$AL$2,0))</f>
        <v>-233.12169578</v>
      </c>
      <c r="AI36" s="3">
        <f>INDEX('Inputs (2)'!$D$7:$AL$7,MATCH(AI$7,'Inputs (2)'!$D$2:$AL$2,0))</f>
        <v>-215.806</v>
      </c>
      <c r="AJ36" s="3">
        <f>-AJ37*AJ15</f>
        <v>0</v>
      </c>
      <c r="AK36" s="3">
        <f>-AK37*AK15</f>
        <v>0</v>
      </c>
      <c r="AL36" s="3">
        <f>SUM(AH36:AK36)</f>
        <v>-448.92769578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>
        <f>-D36/D15</f>
        <v>0.122216338118594</v>
      </c>
      <c r="E37" s="48">
        <f>-E36/E15</f>
        <v>0.186175062927752</v>
      </c>
      <c r="F37" s="48">
        <f>-F36/F15</f>
        <v>0.100367922530493</v>
      </c>
      <c r="G37" s="48">
        <f>-G36/G15</f>
        <v>0.106376953959734</v>
      </c>
      <c r="H37" s="48" t="n"/>
      <c r="I37" s="48">
        <f>-I36/I15</f>
        <v>0.0971533490863134</v>
      </c>
      <c r="J37" s="48">
        <f>-J36/J15</f>
        <v>0.0975085518168044</v>
      </c>
      <c r="K37" s="48">
        <f>-K36/K15</f>
        <v>0.100924052596831</v>
      </c>
      <c r="L37" s="48">
        <f>-L36/L15</f>
        <v>0.105825960635345</v>
      </c>
      <c r="M37" s="48" t="n"/>
      <c r="N37" s="48">
        <f>-N36/N15</f>
        <v>0.0985947302930614</v>
      </c>
      <c r="O37" s="48">
        <f>-O36/O15</f>
        <v>0.102399800986168</v>
      </c>
      <c r="P37" s="48">
        <f>-P36/P15</f>
        <v>0.0957170483613846</v>
      </c>
      <c r="Q37" s="48">
        <f>-Q36/Q15</f>
        <v>0.111491331020166</v>
      </c>
      <c r="R37" s="48" t="n"/>
      <c r="S37" s="48">
        <f>-S36/S15</f>
        <v>0.106128408305342</v>
      </c>
      <c r="T37" s="48">
        <f>-T36/T15</f>
        <v>0.100073454045426</v>
      </c>
      <c r="U37" s="48">
        <f>-U36/U15</f>
        <v>0.100618434315752</v>
      </c>
      <c r="V37" s="48">
        <f>-V36/V15</f>
        <v>0.111402526332744</v>
      </c>
      <c r="W37" s="48" t="n"/>
      <c r="X37" s="48">
        <f>-X36/X15</f>
        <v>0.0995322279074194</v>
      </c>
      <c r="Y37" s="48">
        <f>-Y36/Y15</f>
        <v>0.096958753453894</v>
      </c>
      <c r="Z37" s="48">
        <f>-Z36/Z15</f>
        <v>0.100174177188862</v>
      </c>
      <c r="AA37" s="48">
        <f>-AA36/AA15</f>
        <v>0.109830876442454</v>
      </c>
      <c r="AB37" s="48" t="n"/>
      <c r="AC37" s="48">
        <f>-AC36/AC15</f>
        <v>0.105277065259142</v>
      </c>
      <c r="AD37" s="48">
        <f>-AD36/AD15</f>
        <v>0.109853976200931</v>
      </c>
      <c r="AE37" s="48">
        <f>-AE36/AE15</f>
        <v>0.104690632541444</v>
      </c>
      <c r="AF37" s="218">
        <f>-AF36/AF15</f>
        <v>0.114720174075216</v>
      </c>
      <c r="AG37" s="48" t="n"/>
      <c r="AH37" s="218">
        <f>-AH36/AH15</f>
        <v>0.104862501582763</v>
      </c>
      <c r="AI37" s="218">
        <f>-AI36/AI15</f>
        <v>0.0931541919881505</v>
      </c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108.691588006418</v>
      </c>
      <c r="E39" s="16">
        <f>SUM(E35,E36)</f>
        <v>-65.0905290868124</v>
      </c>
      <c r="F39" s="16">
        <f>SUM(F35,F36)</f>
        <v>236.055580645985</v>
      </c>
      <c r="G39" s="16">
        <f>SUM(G35,G36)</f>
        <v>199.338017750001</v>
      </c>
      <c r="H39" s="16">
        <f>SUM(D39:G39)</f>
        <v>478.994657315592</v>
      </c>
      <c r="I39" s="16">
        <f>SUM(I35,I36)</f>
        <v>198.69581267</v>
      </c>
      <c r="J39" s="16">
        <f>SUM(J35,J36)</f>
        <v>128.851761989999</v>
      </c>
      <c r="K39" s="16">
        <f>SUM(K35,K36)</f>
        <v>184.71942231</v>
      </c>
      <c r="L39" s="16">
        <f>SUM(L35,L36)</f>
        <v>154.44302061</v>
      </c>
      <c r="M39" s="16">
        <f>SUM(I39:L39)</f>
        <v>666.710017579999</v>
      </c>
      <c r="N39" s="16">
        <f>SUM(N35,N36)</f>
        <v>219.119696389442</v>
      </c>
      <c r="O39" s="16">
        <f>SUM(O35,O36)</f>
        <v>184.162330478051</v>
      </c>
      <c r="P39" s="16">
        <f>SUM(P35,P36)</f>
        <v>222.69215518</v>
      </c>
      <c r="Q39" s="16">
        <f>SUM(Q35,Q36)</f>
        <v>108.39397285</v>
      </c>
      <c r="R39" s="16">
        <f>SUM(N39:Q39)</f>
        <v>734.368154897493</v>
      </c>
      <c r="S39" s="16">
        <f>SUM(S35,S36)</f>
        <v>214.51688209</v>
      </c>
      <c r="T39" s="16">
        <f>SUM(T35,T36)</f>
        <v>197.502</v>
      </c>
      <c r="U39" s="16">
        <f>SUM(U35,U36)</f>
        <v>317.803435338059</v>
      </c>
      <c r="V39" s="16">
        <f>SUM(V35,V36)</f>
        <v>185.95370032</v>
      </c>
      <c r="W39" s="16">
        <f>SUM(S39:V39)</f>
        <v>915.776017748059</v>
      </c>
      <c r="X39" s="16">
        <f>SUM(X35,X36)</f>
        <v>327.5794785</v>
      </c>
      <c r="Y39" s="16">
        <f>SUM(Y35,Y36)</f>
        <v>330.244</v>
      </c>
      <c r="Z39" s="16">
        <f>SUM(Z35,Z36)</f>
        <v>340.772474</v>
      </c>
      <c r="AA39" s="16">
        <f>SUM(AA35,AA36)</f>
        <v>203.371047499999</v>
      </c>
      <c r="AB39" s="16">
        <f>SUM(X39:AA39)</f>
        <v>1201.967</v>
      </c>
      <c r="AC39" s="16">
        <f>SUM(AC35,AC36)</f>
        <v>335.484575</v>
      </c>
      <c r="AD39" s="16">
        <f>SUM(AD35,AD36)</f>
        <v>309.687</v>
      </c>
      <c r="AE39" s="16">
        <f>SUM(AE35,AE36)</f>
        <v>369.988908653919</v>
      </c>
      <c r="AF39" s="16">
        <f>SUM(AF35,AF36)</f>
        <v>219.54630042</v>
      </c>
      <c r="AG39" s="16">
        <f>SUM(AC39:AF39)</f>
        <v>1234.70678407392</v>
      </c>
      <c r="AH39" s="16">
        <f>SUM(AH35,AH36)</f>
        <v>372.87448038</v>
      </c>
      <c r="AI39" s="16">
        <f>SUM(AI35,AI36)</f>
        <v>397.126662</v>
      </c>
      <c r="AJ39" s="16">
        <f>SUM(AJ35,AJ36)</f>
        <v>0</v>
      </c>
      <c r="AK39" s="16">
        <f>SUM(AK35,AK36)</f>
        <v>0</v>
      </c>
      <c r="AL39" s="16">
        <f>SUM(AL35,AL36)</f>
        <v>770.00114238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>
        <f>INDEX('Inputs (2)'!$D$8:$AL$8,MATCH(D$7,'Inputs (2)'!$D$2:$AL$2,0))</f>
        <v>-38.71850578</v>
      </c>
      <c r="E40" s="25">
        <f>INDEX('Inputs (2)'!$D$8:$AL$8,MATCH(E$7,'Inputs (2)'!$D$2:$AL$2,0))</f>
        <v>-45.37789143</v>
      </c>
      <c r="F40" s="25">
        <f>INDEX('Inputs (2)'!$D$8:$AL$8,MATCH(F$7,'Inputs (2)'!$D$2:$AL$2,0))</f>
        <v>-43.12406456</v>
      </c>
      <c r="G40" s="25">
        <f>INDEX('Inputs (2)'!$D$8:$AL$8,MATCH(G$7,'Inputs (2)'!$D$2:$AL$2,0))</f>
        <v>-47.82265651</v>
      </c>
      <c r="H40" s="3">
        <f>SUM(D40:G40)</f>
        <v>-175.04311828</v>
      </c>
      <c r="I40" s="25">
        <f>INDEX('Inputs (2)'!$D$8:$AL$8,MATCH(I$7,'Inputs (2)'!$D$2:$AL$2,0))</f>
        <v>-37.42879707</v>
      </c>
      <c r="J40" s="25">
        <f>INDEX('Inputs (2)'!$D$8:$AL$8,MATCH(J$7,'Inputs (2)'!$D$2:$AL$2,0))</f>
        <v>-43.00856677</v>
      </c>
      <c r="K40" s="25">
        <f>INDEX('Inputs (2)'!$D$8:$AL$8,MATCH(K$7,'Inputs (2)'!$D$2:$AL$2,0))</f>
        <v>-65.28109683</v>
      </c>
      <c r="L40" s="25">
        <f>INDEX('Inputs (2)'!$D$8:$AL$8,MATCH(L$7,'Inputs (2)'!$D$2:$AL$2,0))</f>
        <v>-74.31202259</v>
      </c>
      <c r="M40" s="3">
        <f>SUM(I40:L40)</f>
        <v>-220.03048326</v>
      </c>
      <c r="N40" s="25">
        <f>INDEX('Inputs (2)'!$D$8:$AL$8,MATCH(N$7,'Inputs (2)'!$D$2:$AL$2,0))</f>
        <v>-85.80839103</v>
      </c>
      <c r="O40" s="25">
        <f>INDEX('Inputs (2)'!$D$8:$AL$8,MATCH(O$7,'Inputs (2)'!$D$2:$AL$2,0))</f>
        <v>-107.82061116</v>
      </c>
      <c r="P40" s="25">
        <f>INDEX('Inputs (2)'!$D$8:$AL$8,MATCH(P$7,'Inputs (2)'!$D$2:$AL$2,0))</f>
        <v>-128.3653378</v>
      </c>
      <c r="Q40" s="25">
        <f>INDEX('Inputs (2)'!$D$8:$AL$8,MATCH(Q$7,'Inputs (2)'!$D$2:$AL$2,0))</f>
        <v>-121.0444737</v>
      </c>
      <c r="R40" s="3">
        <f>SUM(N40:Q40)</f>
        <v>-443.03881369</v>
      </c>
      <c r="S40" s="25">
        <f>INDEX('Inputs (2)'!$D$8:$AL$8,MATCH(S$7,'Inputs (2)'!$D$2:$AL$2,0))</f>
        <v>-134.54669035</v>
      </c>
      <c r="T40" s="25">
        <f>INDEX('Inputs (2)'!$D$8:$AL$8,MATCH(T$7,'Inputs (2)'!$D$2:$AL$2,0))</f>
        <v>-158.388627</v>
      </c>
      <c r="U40" s="25">
        <f>INDEX('Inputs (2)'!$D$8:$AL$8,MATCH(U$7,'Inputs (2)'!$D$2:$AL$2,0))</f>
        <v>-163.758</v>
      </c>
      <c r="V40" s="25">
        <f>INDEX('Inputs (2)'!$D$8:$AL$8,MATCH(V$7,'Inputs (2)'!$D$2:$AL$2,0))</f>
        <v>-148.22368265</v>
      </c>
      <c r="W40" s="3">
        <f>SUM(S40:V40)</f>
        <v>-604.917</v>
      </c>
      <c r="X40" s="25">
        <f>INDEX('Inputs (2)'!$D$8:$AL$8,MATCH(X$7,'Inputs (2)'!$D$2:$AL$2,0))</f>
        <v>-146.74136103</v>
      </c>
      <c r="Y40" s="25">
        <f>INDEX('Inputs (2)'!$D$8:$AL$8,MATCH(Y$7,'Inputs (2)'!$D$2:$AL$2,0))</f>
        <v>-140.543</v>
      </c>
      <c r="Z40" s="25">
        <f>INDEX('Inputs (2)'!$D$8:$AL$8,MATCH(Z$7,'Inputs (2)'!$D$2:$AL$2,0))</f>
        <v>-158.257</v>
      </c>
      <c r="AA40" s="25">
        <f>INDEX('Inputs (2)'!$D$8:$AL$8,MATCH(AA$7,'Inputs (2)'!$D$2:$AL$2,0))</f>
        <v>-171.25363897</v>
      </c>
      <c r="AB40" s="3">
        <f>SUM(X40:AA40)</f>
        <v>-616.795</v>
      </c>
      <c r="AC40" s="25">
        <f>INDEX('Inputs (2)'!$D$8:$AL$8,MATCH(AC$7,'Inputs (2)'!$D$2:$AL$2,0))</f>
        <v>-182.470204</v>
      </c>
      <c r="AD40" s="25">
        <f>INDEX('Inputs (2)'!$D$8:$AL$8,MATCH(AD$7,'Inputs (2)'!$D$2:$AL$2,0))</f>
        <v>-198.558</v>
      </c>
      <c r="AE40" s="25">
        <f>INDEX('Inputs (2)'!$D$8:$AL$8,MATCH(AE$7,'Inputs (2)'!$D$2:$AL$2,0))</f>
        <v>-220.2903303</v>
      </c>
      <c r="AF40" s="25">
        <f>INDEX('Inputs (2)'!$D$8:$AL$8,MATCH(AF$7,'Inputs (2)'!$D$2:$AL$2,0))</f>
        <v>-202.05934008</v>
      </c>
      <c r="AG40" s="3">
        <f>SUM(AC40:AF40)</f>
        <v>-803.37787438</v>
      </c>
      <c r="AH40" s="3">
        <f>INDEX('Inputs (2)'!$D$8:$AL$8,MATCH(AH$7,'Inputs (2)'!$D$2:$AL$2,0))</f>
        <v>-195.87519551</v>
      </c>
      <c r="AI40" s="3">
        <f>INDEX('Inputs (2)'!$D$8:$AL$8,MATCH(AI$7,'Inputs (2)'!$D$2:$AL$2,0))</f>
        <v>-190.784577</v>
      </c>
      <c r="AJ40" s="3" t="n"/>
      <c r="AK40" s="3" t="n"/>
      <c r="AL40" s="3">
        <f>SUM(AH40:AK40)</f>
        <v>-386.65977251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>
        <f>-D40/SUM(D178+D183)</f>
        <v>0.0228807944185306</v>
      </c>
      <c r="E41" s="48">
        <f>-E40/SUM(E178+E183)</f>
        <v>0.0220530418518557</v>
      </c>
      <c r="F41" s="48">
        <f>-F40/SUM(F178+F183)</f>
        <v>0.0211886793456518</v>
      </c>
      <c r="G41" s="48">
        <f>-G40/SUM(G178+G183)</f>
        <v>0.023761601356345</v>
      </c>
      <c r="H41" s="3" t="n"/>
      <c r="I41" s="48">
        <f>-I40/SUM(I178+I183)</f>
        <v>0.0187194800901534</v>
      </c>
      <c r="J41" s="48">
        <f>-J40/SUM(J178+J183)</f>
        <v>0.0233757642978306</v>
      </c>
      <c r="K41" s="48">
        <f>-K40/SUM(K178+K183)</f>
        <v>0.0263771550208474</v>
      </c>
      <c r="L41" s="48">
        <f>-L40/SUM(L178+L183)</f>
        <v>0.0326962318087136</v>
      </c>
      <c r="M41" s="3" t="n"/>
      <c r="N41" s="48">
        <f>-N40/SUM(N178+N183)</f>
        <v>0.0406648508436728</v>
      </c>
      <c r="O41" s="48">
        <f>-O40/SUM(O178+O183)</f>
        <v>0.0372325153808363</v>
      </c>
      <c r="P41" s="48">
        <f>-P40/SUM(P178+P183)</f>
        <v>0.0437765792469676</v>
      </c>
      <c r="Q41" s="48">
        <f>-Q40/SUM(Q178+Q183)</f>
        <v>0.0420804847251437</v>
      </c>
      <c r="R41" s="3" t="n"/>
      <c r="S41" s="48">
        <f>-S40/SUM(S178+S183)</f>
        <v>0.0470502345273137</v>
      </c>
      <c r="T41" s="48">
        <f>-T40/SUM(T178+T183)</f>
        <v>0.0493095933970212</v>
      </c>
      <c r="U41" s="48">
        <f>-U40/SUM(U178+U183)</f>
        <v>0.0530607854103091</v>
      </c>
      <c r="V41" s="48">
        <f>-V40/SUM(V178+V183)</f>
        <v>0.0462152521665005</v>
      </c>
      <c r="W41" s="3" t="n"/>
      <c r="X41" s="48">
        <f>-X40/SUM(X178+X183)</f>
        <v>0.0453977607083148</v>
      </c>
      <c r="Y41" s="48">
        <f>-Y40/SUM(Y178+Y183)</f>
        <v>0.0339396161094545</v>
      </c>
      <c r="Z41" s="48">
        <f>-Z40/SUM(Z178+Z183)</f>
        <v>0.037591361376555</v>
      </c>
      <c r="AA41" s="48">
        <f>-AA40/SUM(AA178+AA183)</f>
        <v>0.0384886862455483</v>
      </c>
      <c r="AB41" s="3" t="n"/>
      <c r="AC41" s="48">
        <f>-AC40/SUM(AC178+AC183)</f>
        <v>0.0399718402894979</v>
      </c>
      <c r="AD41" s="48">
        <f>-AD40/SUM(AD178+AD183)</f>
        <v>0.0440185315982905</v>
      </c>
      <c r="AE41" s="48">
        <f>-AE40/SUM(AE178+AE183)</f>
        <v>0.0472652292871906</v>
      </c>
      <c r="AF41" s="231">
        <f>-AF40/SUM(AF178+AF183)</f>
        <v>0.0453267469013574</v>
      </c>
      <c r="AG41" s="3" t="n"/>
      <c r="AH41" s="6">
        <f>-AH40/SUM(AH178+AH183)</f>
        <v>0.0431111377081163</v>
      </c>
      <c r="AI41" s="6">
        <f>-AI40/SUM(AI178+AI183)</f>
        <v>0.0427754394870299</v>
      </c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>
        <f>INDEX('Inputs (2)'!$D$9:$AL$9,MATCH(D$7,'Inputs (2)'!$D$2:$AL$2,0))</f>
        <v>9.87809727</v>
      </c>
      <c r="E89" s="25">
        <f>INDEX('Inputs (2)'!$D$9:$AL$9,MATCH(E$7,'Inputs (2)'!$D$2:$AL$2,0))</f>
        <v>8.77768171</v>
      </c>
      <c r="F89" s="25">
        <f>INDEX('Inputs (2)'!$D$9:$AL$9,MATCH(F$7,'Inputs (2)'!$D$2:$AL$2,0))</f>
        <v>9.81101742</v>
      </c>
      <c r="G89" s="25">
        <f>INDEX('Inputs (2)'!$D$9:$AL$9,MATCH(G$7,'Inputs (2)'!$D$2:$AL$2,0))</f>
        <v>8.64034112</v>
      </c>
      <c r="H89" s="3">
        <f>SUM(D89:G89)</f>
        <v>37.10713752</v>
      </c>
      <c r="I89" s="25">
        <f>INDEX('Inputs (2)'!$D$9:$AL$9,MATCH(I$7,'Inputs (2)'!$D$2:$AL$2,0))</f>
        <v>6.69925278</v>
      </c>
      <c r="J89" s="25">
        <f>INDEX('Inputs (2)'!$D$9:$AL$9,MATCH(J$7,'Inputs (2)'!$D$2:$AL$2,0))</f>
        <v>6.79723379</v>
      </c>
      <c r="K89" s="25">
        <f>INDEX('Inputs (2)'!$D$9:$AL$9,MATCH(K$7,'Inputs (2)'!$D$2:$AL$2,0))</f>
        <v>16.4558964</v>
      </c>
      <c r="L89" s="25">
        <f>INDEX('Inputs (2)'!$D$9:$AL$9,MATCH(L$7,'Inputs (2)'!$D$2:$AL$2,0))</f>
        <v>18.92533787</v>
      </c>
      <c r="M89" s="3">
        <f>SUM(I89:L89)</f>
        <v>48.87772084</v>
      </c>
      <c r="N89" s="25">
        <f>INDEX('Inputs (2)'!$D$9:$AL$9,MATCH(N$7,'Inputs (2)'!$D$2:$AL$2,0))</f>
        <v>20.19570061</v>
      </c>
      <c r="O89" s="25">
        <f>INDEX('Inputs (2)'!$D$9:$AL$9,MATCH(O$7,'Inputs (2)'!$D$2:$AL$2,0))</f>
        <v>21.47671546</v>
      </c>
      <c r="P89" s="25">
        <f>INDEX('Inputs (2)'!$D$9:$AL$9,MATCH(P$7,'Inputs (2)'!$D$2:$AL$2,0))</f>
        <v>28.95401388</v>
      </c>
      <c r="Q89" s="25">
        <f>INDEX('Inputs (2)'!$D$9:$AL$9,MATCH(Q$7,'Inputs (2)'!$D$2:$AL$2,0))</f>
        <v>42.83506655</v>
      </c>
      <c r="R89" s="3">
        <f>SUM(N89:Q89)</f>
        <v>113.4614965</v>
      </c>
      <c r="S89" s="25">
        <f>INDEX('Inputs (2)'!$D$9:$AL$9,MATCH(S$7,'Inputs (2)'!$D$2:$AL$2,0))</f>
        <v>45.00753287</v>
      </c>
      <c r="T89" s="25">
        <f>INDEX('Inputs (2)'!$D$9:$AL$9,MATCH(T$7,'Inputs (2)'!$D$2:$AL$2,0))</f>
        <v>58.87857805</v>
      </c>
      <c r="U89" s="25">
        <f>INDEX('Inputs (2)'!$D$9:$AL$9,MATCH(U$7,'Inputs (2)'!$D$2:$AL$2,0))</f>
        <v>60.852</v>
      </c>
      <c r="V89" s="25">
        <f>INDEX('Inputs (2)'!$D$9:$AL$9,MATCH(V$7,'Inputs (2)'!$D$2:$AL$2,0))</f>
        <v>55.57188908</v>
      </c>
      <c r="W89" s="3">
        <f>SUM(S89:V89)</f>
        <v>220.31</v>
      </c>
      <c r="X89" s="25">
        <f>INDEX('Inputs (2)'!$D$9:$AL$9,MATCH(X$7,'Inputs (2)'!$D$2:$AL$2,0))</f>
        <v>36.46648343</v>
      </c>
      <c r="Y89" s="25">
        <f>INDEX('Inputs (2)'!$D$9:$AL$9,MATCH(Y$7,'Inputs (2)'!$D$2:$AL$2,0))</f>
        <v>39.213</v>
      </c>
      <c r="Z89" s="25">
        <f>INDEX('Inputs (2)'!$D$9:$AL$9,MATCH(Z$7,'Inputs (2)'!$D$2:$AL$2,0))</f>
        <v>62.182</v>
      </c>
      <c r="AA89" s="25">
        <f>INDEX('Inputs (2)'!$D$9:$AL$9,MATCH(AA$7,'Inputs (2)'!$D$2:$AL$2,0))</f>
        <v>67.62451657</v>
      </c>
      <c r="AB89" s="3">
        <f>SUM(X89:AA89)</f>
        <v>205.486</v>
      </c>
      <c r="AC89" s="25">
        <f>INDEX('Inputs (2)'!$D$9:$AL$9,MATCH(AC$7,'Inputs (2)'!$D$2:$AL$2,0))</f>
        <v>79.099815</v>
      </c>
      <c r="AD89" s="25">
        <f>INDEX('Inputs (2)'!$D$9:$AL$9,MATCH(AD$7,'Inputs (2)'!$D$2:$AL$2,0))</f>
        <v>80.601</v>
      </c>
      <c r="AE89" s="25">
        <f>INDEX('Inputs (2)'!$D$9:$AL$9,MATCH(AE$7,'Inputs (2)'!$D$2:$AL$2,0))</f>
        <v>90.06051204</v>
      </c>
      <c r="AF89" s="25">
        <f>INDEX('Inputs (2)'!$D$9:$AL$9,MATCH(AF$7,'Inputs (2)'!$D$2:$AL$2,0))</f>
        <v>85.67562359</v>
      </c>
      <c r="AG89" s="3">
        <f>SUM(AC89:AF89)</f>
        <v>335.43695063</v>
      </c>
      <c r="AH89" s="3">
        <f>INDEX('Inputs (2)'!$D$9:$AL$9,MATCH(AH$7,'Inputs (2)'!$D$2:$AL$2,0))</f>
        <v>80.81498743</v>
      </c>
      <c r="AI89" s="3">
        <f>INDEX('Inputs (2)'!$D$9:$AL$9,MATCH(AI$7,'Inputs (2)'!$D$2:$AL$2,0))</f>
        <v>79.498624</v>
      </c>
      <c r="AJ89" s="3">
        <f>AH89</f>
        <v>80.81498743</v>
      </c>
      <c r="AK89" s="3">
        <f>AI89</f>
        <v>79.498624</v>
      </c>
      <c r="AL89" s="3">
        <f>SUM(AH89:AK89)</f>
        <v>320.62722286</v>
      </c>
      <c r="AM89" s="3">
        <f>AK89</f>
        <v>79.498624</v>
      </c>
      <c r="AN89" s="3">
        <f>AL89</f>
        <v>320.62722286</v>
      </c>
      <c r="AO89" s="3">
        <f>AM89</f>
        <v>79.498624</v>
      </c>
      <c r="AP89" s="3">
        <f>AN89</f>
        <v>320.62722286</v>
      </c>
      <c r="AQ89" s="3">
        <f>SUM(AM89:AP89)</f>
        <v>800.25169372</v>
      </c>
      <c r="AR89" s="3">
        <f>AP89</f>
        <v>320.62722286</v>
      </c>
      <c r="AS89" s="3">
        <f>AQ89</f>
        <v>800.25169372</v>
      </c>
      <c r="AT89" s="3">
        <f>AR89</f>
        <v>320.62722286</v>
      </c>
      <c r="AU89" s="3">
        <f>AS89</f>
        <v>800.25169372</v>
      </c>
      <c r="AV89" s="3">
        <f>SUM(AR89:AU89)</f>
        <v>2241.75783316</v>
      </c>
      <c r="AW89" s="3">
        <f>AU89</f>
        <v>800.25169372</v>
      </c>
      <c r="AX89" s="3">
        <f>AV89</f>
        <v>2241.75783316</v>
      </c>
      <c r="AY89" s="3">
        <f>AW89</f>
        <v>800.25169372</v>
      </c>
      <c r="AZ89" s="3">
        <f>AX89</f>
        <v>2241.75783316</v>
      </c>
      <c r="BA89" s="3">
        <f>SUM(AW89:AZ89)</f>
        <v>6084.01905376</v>
      </c>
      <c r="BB89" s="3">
        <f>AZ89</f>
        <v>2241.75783316</v>
      </c>
      <c r="BC89" s="3">
        <f>BA89</f>
        <v>6084.01905376</v>
      </c>
      <c r="BD89" s="3">
        <f>BB89</f>
        <v>2241.75783316</v>
      </c>
      <c r="BE89" s="3">
        <f>BC89</f>
        <v>6084.01905376</v>
      </c>
      <c r="BF89" s="3">
        <f>SUM(BB89:BE89)</f>
        <v>16651.55377384</v>
      </c>
      <c r="BG89" s="3">
        <f>BE89</f>
        <v>6084.01905376</v>
      </c>
      <c r="BH89" s="3">
        <f>BF89</f>
        <v>16651.55377384</v>
      </c>
      <c r="BI89" s="3">
        <f>BG89</f>
        <v>6084.01905376</v>
      </c>
      <c r="BJ89" s="3">
        <f>BH89</f>
        <v>16651.55377384</v>
      </c>
      <c r="BK89" s="3">
        <f>SUM(BG89:BJ89)</f>
        <v>45471.1456552</v>
      </c>
      <c r="BL89" s="3">
        <f>BJ89</f>
        <v>16651.55377384</v>
      </c>
      <c r="BM89" s="3">
        <f>BK89</f>
        <v>45471.1456552</v>
      </c>
      <c r="BN89" s="3">
        <f>BL89</f>
        <v>16651.55377384</v>
      </c>
      <c r="BO89" s="3">
        <f>BM89</f>
        <v>45471.1456552</v>
      </c>
      <c r="BP89" s="3">
        <f>SUM(BL89:BO89)</f>
        <v>124245.39885808</v>
      </c>
      <c r="BQ89" s="3">
        <f>BO89</f>
        <v>45471.1456552</v>
      </c>
      <c r="BR89" s="3">
        <f>BP89</f>
        <v>124245.39885808</v>
      </c>
      <c r="BS89" s="3">
        <f>BQ89</f>
        <v>45471.1456552</v>
      </c>
      <c r="BT89" s="3">
        <f>BR89</f>
        <v>124245.39885808</v>
      </c>
      <c r="BU89" s="3">
        <f>SUM(BQ89:BT89)</f>
        <v>339433.08902656</v>
      </c>
      <c r="BV89" s="3">
        <f>BT89</f>
        <v>124245.39885808</v>
      </c>
      <c r="BW89" s="3">
        <f>BU89</f>
        <v>339433.08902656</v>
      </c>
      <c r="BX89" s="3">
        <f>BV89</f>
        <v>124245.39885808</v>
      </c>
      <c r="BY89" s="3">
        <f>BW89</f>
        <v>339433.08902656</v>
      </c>
      <c r="BZ89" s="3">
        <f>SUM(BV89:BY89)</f>
        <v>927356.97576928</v>
      </c>
      <c r="CA89" s="3">
        <f>BY89</f>
        <v>339433.08902656</v>
      </c>
      <c r="CB89" s="3">
        <f>BZ89</f>
        <v>927356.97576928</v>
      </c>
      <c r="CC89" s="3">
        <f>CA89</f>
        <v>339433.08902656</v>
      </c>
      <c r="CD89" s="3">
        <f>CB89</f>
        <v>927356.97576928</v>
      </c>
      <c r="CE89" s="3">
        <f>SUM(CA89:CD89)</f>
        <v>2533580.12959168</v>
      </c>
      <c r="CF89" s="3">
        <f>CD89</f>
        <v>927356.97576928</v>
      </c>
      <c r="CG89" s="3">
        <f>CE89</f>
        <v>2533580.12959168</v>
      </c>
      <c r="CH89" s="3">
        <f>CF89</f>
        <v>927356.97576928</v>
      </c>
      <c r="CI89" s="3">
        <f>CG89</f>
        <v>2533580.12959168</v>
      </c>
      <c r="CJ89" s="3">
        <f>SUM(CF89:CI89)</f>
        <v>6921874.21072192</v>
      </c>
      <c r="CK89" s="3">
        <f>CI89</f>
        <v>2533580.12959168</v>
      </c>
      <c r="CL89" s="3">
        <f>CJ89</f>
        <v>6921874.21072192</v>
      </c>
      <c r="CM89" s="3">
        <f>CK89</f>
        <v>2533580.12959168</v>
      </c>
      <c r="CN89" s="3">
        <f>CL89</f>
        <v>6921874.21072192</v>
      </c>
      <c r="CO89" s="3">
        <f>SUM(CK89:CN89)</f>
        <v>18910908.6806272</v>
      </c>
      <c r="CP89" s="3">
        <f>CN89</f>
        <v>6921874.21072192</v>
      </c>
      <c r="CQ89" s="3">
        <f>CO89</f>
        <v>18910908.6806272</v>
      </c>
      <c r="CR89" s="3">
        <f>CP89</f>
        <v>6921874.21072192</v>
      </c>
      <c r="CS89" s="3">
        <f>CQ89</f>
        <v>18910908.6806272</v>
      </c>
      <c r="CT89" s="3">
        <f>SUM(CP89:CS89)</f>
        <v>51665565.7826982</v>
      </c>
      <c r="CU89" s="3">
        <f>CS89</f>
        <v>18910908.6806272</v>
      </c>
      <c r="CV89" s="3">
        <f>CT89</f>
        <v>51665565.7826982</v>
      </c>
      <c r="CW89" s="3">
        <f>CU89</f>
        <v>18910908.6806272</v>
      </c>
      <c r="CX89" s="3">
        <f>CV89</f>
        <v>51665565.7826982</v>
      </c>
      <c r="CY89" s="3">
        <f>SUM(CU89:CX89)</f>
        <v>141152948.926651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79.8511794964181</v>
      </c>
      <c r="E96" s="16">
        <f>SUM(E39,E40,E89)</f>
        <v>-101.690738806812</v>
      </c>
      <c r="F96" s="16">
        <f>SUM(F39,F40,F89)</f>
        <v>202.742533505985</v>
      </c>
      <c r="G96" s="16">
        <f>SUM(G39,G40,G89)</f>
        <v>160.155702360001</v>
      </c>
      <c r="H96" s="16">
        <f>SUM(D96:G96)</f>
        <v>341.058676555592</v>
      </c>
      <c r="I96" s="16">
        <f>SUM(I39,I40,I89)</f>
        <v>167.96626838</v>
      </c>
      <c r="J96" s="16">
        <f>SUM(J39,J40,J89)</f>
        <v>92.6404290099987</v>
      </c>
      <c r="K96" s="16">
        <f>SUM(K39,K40,K89)</f>
        <v>135.89422188</v>
      </c>
      <c r="L96" s="16">
        <f>SUM(L39,L40,L89)</f>
        <v>99.05633589</v>
      </c>
      <c r="M96" s="16">
        <f>SUM(I96:L96)</f>
        <v>495.557255159999</v>
      </c>
      <c r="N96" s="16">
        <f>SUM(N39,N40,N89)</f>
        <v>153.507005969442</v>
      </c>
      <c r="O96" s="16">
        <f>SUM(O39,O40,O89)</f>
        <v>97.818434778051</v>
      </c>
      <c r="P96" s="16">
        <f>SUM(P39,P40,P89)</f>
        <v>123.28083126</v>
      </c>
      <c r="Q96" s="16">
        <f>SUM(Q39,Q40,Q89)</f>
        <v>30.1845657000001</v>
      </c>
      <c r="R96" s="16">
        <f>SUM(N96:Q96)</f>
        <v>404.790837707493</v>
      </c>
      <c r="S96" s="16">
        <f>SUM(S39,S40,S89)</f>
        <v>124.97772461</v>
      </c>
      <c r="T96" s="16">
        <f>SUM(T39,T40,T89)</f>
        <v>97.9919510499998</v>
      </c>
      <c r="U96" s="16">
        <f>SUM(U39,U40,U89)</f>
        <v>214.897435338059</v>
      </c>
      <c r="V96" s="16">
        <f>SUM(V39,V40,V89)</f>
        <v>93.3019067500001</v>
      </c>
      <c r="W96" s="16">
        <f>SUM(S96:V96)</f>
        <v>531.169017748059</v>
      </c>
      <c r="X96" s="16">
        <f>SUM(X39,X40,X89)</f>
        <v>217.3046009</v>
      </c>
      <c r="Y96" s="16">
        <f>SUM(Y39,Y40,Y89)</f>
        <v>228.914</v>
      </c>
      <c r="Z96" s="16">
        <f>SUM(Z39,Z40,Z89)</f>
        <v>244.697474</v>
      </c>
      <c r="AA96" s="16">
        <f>SUM(AA39,AA40,AA89)</f>
        <v>99.7419250999991</v>
      </c>
      <c r="AB96" s="16">
        <f>SUM(X96:AA96)</f>
        <v>790.657999999999</v>
      </c>
      <c r="AC96" s="16">
        <f>SUM(AC39,AC40,AC89)</f>
        <v>232.114186</v>
      </c>
      <c r="AD96" s="16">
        <f>SUM(AD39,AD40,AD89)</f>
        <v>191.73</v>
      </c>
      <c r="AE96" s="16">
        <f>SUM(AE39,AE40,AE89)</f>
        <v>239.759090393919</v>
      </c>
      <c r="AF96" s="16">
        <f>SUM(AF39,AF40,AF89)</f>
        <v>103.16258393</v>
      </c>
      <c r="AG96" s="16">
        <f>SUM(AC96:AF96)</f>
        <v>766.765860323919</v>
      </c>
      <c r="AH96" s="16">
        <f>SUM(AH39,AH40,AH89)</f>
        <v>257.8142723</v>
      </c>
      <c r="AI96" s="16">
        <f>SUM(AI39,AI40,AI89)</f>
        <v>285.840709</v>
      </c>
      <c r="AJ96" s="16">
        <f>SUM(AJ39,AJ40,AJ89)</f>
        <v>80.81498743</v>
      </c>
      <c r="AK96" s="16">
        <f>SUM(AK39,AK40,AK89)</f>
        <v>79.498624</v>
      </c>
      <c r="AL96" s="16">
        <f>SUM(AH96:AK96)</f>
        <v>703.96859273</v>
      </c>
      <c r="AM96" s="16">
        <f>SUM(AM39,AM40,AM89)</f>
        <v>79.498624</v>
      </c>
      <c r="AN96" s="16">
        <f>SUM(AN39,AN40,AN89)</f>
        <v>320.62722286</v>
      </c>
      <c r="AO96" s="16">
        <f>SUM(AO39,AO40,AO89)</f>
        <v>79.498624</v>
      </c>
      <c r="AP96" s="16">
        <f>SUM(AP39,AP40,AP89)</f>
        <v>320.62722286</v>
      </c>
      <c r="AQ96" s="16">
        <f>SUM(AM96:AP96)</f>
        <v>800.25169372</v>
      </c>
      <c r="AR96" s="16">
        <f>SUM(AR39,AR40,AR89)</f>
        <v>320.62722286</v>
      </c>
      <c r="AS96" s="16">
        <f>SUM(AS39,AS40,AS89)</f>
        <v>800.25169372</v>
      </c>
      <c r="AT96" s="16">
        <f>SUM(AT39,AT40,AT89)</f>
        <v>320.62722286</v>
      </c>
      <c r="AU96" s="16">
        <f>SUM(AU39,AU40,AU89)</f>
        <v>800.25169372</v>
      </c>
      <c r="AV96" s="16">
        <f>SUM(AR96:AU96)</f>
        <v>2241.75783316</v>
      </c>
      <c r="AW96" s="16">
        <f>SUM(AW39,AW40,AW89)</f>
        <v>800.25169372</v>
      </c>
      <c r="AX96" s="16">
        <f>SUM(AX39,AX40,AX89)</f>
        <v>2241.75783316</v>
      </c>
      <c r="AY96" s="16">
        <f>SUM(AY39,AY40,AY89)</f>
        <v>800.25169372</v>
      </c>
      <c r="AZ96" s="16">
        <f>SUM(AZ39,AZ40,AZ89)</f>
        <v>2241.75783316</v>
      </c>
      <c r="BA96" s="16">
        <f>SUM(AW96:AZ96)</f>
        <v>6084.01905376</v>
      </c>
      <c r="BB96" s="16">
        <f>SUM(BB39,BB40,BB89)</f>
        <v>2241.75783316</v>
      </c>
      <c r="BC96" s="16">
        <f>SUM(BC39,BC40,BC89)</f>
        <v>6084.01905376</v>
      </c>
      <c r="BD96" s="16">
        <f>SUM(BD39,BD40,BD89)</f>
        <v>2241.75783316</v>
      </c>
      <c r="BE96" s="16">
        <f>SUM(BE39,BE40,BE89)</f>
        <v>6084.01905376</v>
      </c>
      <c r="BF96" s="16">
        <f>SUM(BB96:BE96)</f>
        <v>16651.55377384</v>
      </c>
      <c r="BG96" s="16">
        <f>SUM(BG39,BG40,BG89)</f>
        <v>6084.01905376</v>
      </c>
      <c r="BH96" s="16">
        <f>SUM(BH39,BH40,BH89)</f>
        <v>16651.55377384</v>
      </c>
      <c r="BI96" s="16">
        <f>SUM(BI39,BI40,BI89)</f>
        <v>6084.01905376</v>
      </c>
      <c r="BJ96" s="16">
        <f>SUM(BJ39,BJ40,BJ89)</f>
        <v>16651.55377384</v>
      </c>
      <c r="BK96" s="16">
        <f>SUM(BG96:BJ96)</f>
        <v>45471.1456552</v>
      </c>
      <c r="BL96" s="16">
        <f>SUM(BL39,BL40,BL89)</f>
        <v>16651.55377384</v>
      </c>
      <c r="BM96" s="16">
        <f>SUM(BM39,BM40,BM89)</f>
        <v>45471.1456552</v>
      </c>
      <c r="BN96" s="16">
        <f>SUM(BN39,BN40,BN89)</f>
        <v>16651.55377384</v>
      </c>
      <c r="BO96" s="16">
        <f>SUM(BO39,BO40,BO89)</f>
        <v>45471.1456552</v>
      </c>
      <c r="BP96" s="16">
        <f>SUM(BL96:BO96)</f>
        <v>124245.39885808</v>
      </c>
      <c r="BQ96" s="16">
        <f>SUM(BQ39,BQ40,BQ89)</f>
        <v>45471.1456552</v>
      </c>
      <c r="BR96" s="16">
        <f>SUM(BR39,BR40,BR89)</f>
        <v>124245.39885808</v>
      </c>
      <c r="BS96" s="16">
        <f>SUM(BS39,BS40,BS89)</f>
        <v>45471.1456552</v>
      </c>
      <c r="BT96" s="16">
        <f>SUM(BT39,BT40,BT89)</f>
        <v>124245.39885808</v>
      </c>
      <c r="BU96" s="16">
        <f>SUM(BQ96:BT96)</f>
        <v>339433.08902656</v>
      </c>
      <c r="BV96" s="16">
        <f>SUM(BV39,BV40,BV89)</f>
        <v>124245.39885808</v>
      </c>
      <c r="BW96" s="16">
        <f>SUM(BW39,BW40,BW89)</f>
        <v>339433.08902656</v>
      </c>
      <c r="BX96" s="16">
        <f>SUM(BX39,BX40,BX89)</f>
        <v>124245.39885808</v>
      </c>
      <c r="BY96" s="16">
        <f>SUM(BY39,BY40,BY89)</f>
        <v>339433.08902656</v>
      </c>
      <c r="BZ96" s="16">
        <f>SUM(BV96:BY96)</f>
        <v>927356.97576928</v>
      </c>
      <c r="CA96" s="16">
        <f>SUM(CA39,CA40,CA89)</f>
        <v>339433.08902656</v>
      </c>
      <c r="CB96" s="16">
        <f>SUM(CB39,CB40,CB89)</f>
        <v>927356.97576928</v>
      </c>
      <c r="CC96" s="16">
        <f>SUM(CC39,CC40,CC89)</f>
        <v>339433.08902656</v>
      </c>
      <c r="CD96" s="16">
        <f>SUM(CD39,CD40,CD89)</f>
        <v>927356.97576928</v>
      </c>
      <c r="CE96" s="16">
        <f>SUM(CA96:CD96)</f>
        <v>2533580.12959168</v>
      </c>
      <c r="CF96" s="16">
        <f>SUM(CF39,CF40,CF89)</f>
        <v>927356.97576928</v>
      </c>
      <c r="CG96" s="16">
        <f>SUM(CG39,CG40,CG89)</f>
        <v>2533580.12959168</v>
      </c>
      <c r="CH96" s="16">
        <f>SUM(CH39,CH40,CH89)</f>
        <v>927356.97576928</v>
      </c>
      <c r="CI96" s="16">
        <f>SUM(CI39,CI40,CI89)</f>
        <v>2533580.12959168</v>
      </c>
      <c r="CJ96" s="16">
        <f>SUM(CF96:CI96)</f>
        <v>6921874.21072192</v>
      </c>
      <c r="CK96" s="16">
        <f>SUM(CK39,CK40,CK89)</f>
        <v>2533580.12959168</v>
      </c>
      <c r="CL96" s="16">
        <f>SUM(CL39,CL40,CL89)</f>
        <v>6921874.21072192</v>
      </c>
      <c r="CM96" s="16">
        <f>SUM(CM39,CM40,CM89)</f>
        <v>2533580.12959168</v>
      </c>
      <c r="CN96" s="16">
        <f>SUM(CN39,CN40,CN89)</f>
        <v>6921874.21072192</v>
      </c>
      <c r="CO96" s="16">
        <f>SUM(CK96:CN96)</f>
        <v>18910908.6806272</v>
      </c>
      <c r="CP96" s="16">
        <f>SUM(CP39,CP40,CP89)</f>
        <v>6921874.21072192</v>
      </c>
      <c r="CQ96" s="16">
        <f>SUM(CQ39,CQ40,CQ89)</f>
        <v>18910908.6806272</v>
      </c>
      <c r="CR96" s="16">
        <f>SUM(CR39,CR40,CR89)</f>
        <v>6921874.21072192</v>
      </c>
      <c r="CS96" s="16">
        <f>SUM(CS39,CS40,CS89)</f>
        <v>18910908.6806272</v>
      </c>
      <c r="CT96" s="16">
        <f>SUM(CP96:CS96)</f>
        <v>51665565.7826982</v>
      </c>
      <c r="CU96" s="16">
        <f>SUM(CU39,CU40,CU89)</f>
        <v>18910908.6806272</v>
      </c>
      <c r="CV96" s="16">
        <f>SUM(CV39,CV40,CV89)</f>
        <v>51665565.7826982</v>
      </c>
      <c r="CW96" s="16">
        <f>SUM(CW39,CW40,CW89)</f>
        <v>18910908.6806272</v>
      </c>
      <c r="CX96" s="16">
        <f>SUM(CX39,CX40,CX89)</f>
        <v>51665565.7826982</v>
      </c>
      <c r="CY96" s="16">
        <f>SUM(CU96:CX96)</f>
        <v>141152948.926651</v>
      </c>
    </row>
    <row r="97">
      <c r="C97" s="26" t="inlineStr">
        <is>
          <t>Taxes</t>
        </is>
      </c>
      <c r="D97" s="25">
        <f>INDEX('Inputs (2)'!$D$10:$AL$10,MATCH(D$7,'Inputs (2)'!$D$2:$AL$2,0))</f>
        <v>-21.17096331</v>
      </c>
      <c r="E97" s="25">
        <f>INDEX('Inputs (2)'!$D$10:$AL$10,MATCH(E$7,'Inputs (2)'!$D$2:$AL$2,0))</f>
        <v>29.41262276</v>
      </c>
      <c r="F97" s="25">
        <f>INDEX('Inputs (2)'!$D$10:$AL$10,MATCH(F$7,'Inputs (2)'!$D$2:$AL$2,0))</f>
        <v>-70.97032536</v>
      </c>
      <c r="G97" s="25">
        <f>INDEX('Inputs (2)'!$D$10:$AL$10,MATCH(G$7,'Inputs (2)'!$D$2:$AL$2,0))</f>
        <v>-21.0436467</v>
      </c>
      <c r="H97" s="3">
        <f>SUM(D97:G97)</f>
        <v>-83.77231261</v>
      </c>
      <c r="I97" s="25">
        <f>INDEX('Inputs (2)'!$D$10:$AL$10,MATCH(I$7,'Inputs (2)'!$D$2:$AL$2,0))</f>
        <v>-49.15601659</v>
      </c>
      <c r="J97" s="25">
        <f>INDEX('Inputs (2)'!$D$10:$AL$10,MATCH(J$7,'Inputs (2)'!$D$2:$AL$2,0))</f>
        <v>-27.14299102</v>
      </c>
      <c r="K97" s="25">
        <f>INDEX('Inputs (2)'!$D$10:$AL$10,MATCH(K$7,'Inputs (2)'!$D$2:$AL$2,0))</f>
        <v>-39.94616017</v>
      </c>
      <c r="L97" s="25">
        <f>INDEX('Inputs (2)'!$D$10:$AL$10,MATCH(L$7,'Inputs (2)'!$D$2:$AL$2,0))</f>
        <v>-28.37167513</v>
      </c>
      <c r="M97" s="3">
        <f>SUM(I97:L97)</f>
        <v>-144.61684291</v>
      </c>
      <c r="N97" s="25">
        <f>INDEX('Inputs (2)'!$D$10:$AL$10,MATCH(N$7,'Inputs (2)'!$D$2:$AL$2,0))</f>
        <v>-42.67500254</v>
      </c>
      <c r="O97" s="25">
        <f>INDEX('Inputs (2)'!$D$10:$AL$10,MATCH(O$7,'Inputs (2)'!$D$2:$AL$2,0))</f>
        <v>-27.30873652</v>
      </c>
      <c r="P97" s="25">
        <f>INDEX('Inputs (2)'!$D$10:$AL$10,MATCH(P$7,'Inputs (2)'!$D$2:$AL$2,0))</f>
        <v>-26.85181194</v>
      </c>
      <c r="Q97" s="25">
        <f>INDEX('Inputs (2)'!$D$10:$AL$10,MATCH(Q$7,'Inputs (2)'!$D$2:$AL$2,0))</f>
        <v>0.17334404</v>
      </c>
      <c r="R97" s="3">
        <f>SUM(N97:Q97)</f>
        <v>-96.66220696</v>
      </c>
      <c r="S97" s="25">
        <f>INDEX('Inputs (2)'!$D$10:$AL$10,MATCH(S$7,'Inputs (2)'!$D$2:$AL$2,0))</f>
        <v>-31.1542375</v>
      </c>
      <c r="T97" s="25">
        <f>INDEX('Inputs (2)'!$D$10:$AL$10,MATCH(T$7,'Inputs (2)'!$D$2:$AL$2,0))</f>
        <v>-24.2056574939299</v>
      </c>
      <c r="U97" s="25">
        <f>INDEX('Inputs (2)'!$D$10:$AL$10,MATCH(U$7,'Inputs (2)'!$D$2:$AL$2,0))</f>
        <v>-43.257</v>
      </c>
      <c r="V97" s="25">
        <f>INDEX('Inputs (2)'!$D$10:$AL$10,MATCH(V$7,'Inputs (2)'!$D$2:$AL$2,0))</f>
        <v>-11.8881050060701</v>
      </c>
      <c r="W97" s="3">
        <f>SUM(S97:V97)</f>
        <v>-110.505</v>
      </c>
      <c r="X97" s="25">
        <f>INDEX('Inputs (2)'!$D$10:$AL$10,MATCH(X$7,'Inputs (2)'!$D$2:$AL$2,0))</f>
        <v>-48.642</v>
      </c>
      <c r="Y97" s="25">
        <f>INDEX('Inputs (2)'!$D$10:$AL$10,MATCH(Y$7,'Inputs (2)'!$D$2:$AL$2,0))</f>
        <v>-55.949</v>
      </c>
      <c r="Z97" s="25">
        <f>INDEX('Inputs (2)'!$D$10:$AL$10,MATCH(Z$7,'Inputs (2)'!$D$2:$AL$2,0))</f>
        <v>-57.35</v>
      </c>
      <c r="AA97" s="25">
        <f>INDEX('Inputs (2)'!$D$10:$AL$10,MATCH(AA$7,'Inputs (2)'!$D$2:$AL$2,0))</f>
        <v>-20.816</v>
      </c>
      <c r="AB97" s="3">
        <f>SUM(X97:AA97)</f>
        <v>-182.757</v>
      </c>
      <c r="AC97" s="25">
        <f>INDEX('Inputs (2)'!$D$10:$AL$10,MATCH(AC$7,'Inputs (2)'!$D$2:$AL$2,0))</f>
        <v>-54.01302</v>
      </c>
      <c r="AD97" s="25">
        <f>INDEX('Inputs (2)'!$D$10:$AL$10,MATCH(AD$7,'Inputs (2)'!$D$2:$AL$2,0))</f>
        <v>-44.404</v>
      </c>
      <c r="AE97" s="25">
        <f>INDEX('Inputs (2)'!$D$10:$AL$10,MATCH(AE$7,'Inputs (2)'!$D$2:$AL$2,0))</f>
        <v>-53.90447839</v>
      </c>
      <c r="AF97" s="25">
        <f>INDEX('Inputs (2)'!$D$10:$AL$10,MATCH(AF$7,'Inputs (2)'!$D$2:$AL$2,0))</f>
        <v>-4.21478333</v>
      </c>
      <c r="AG97" s="3">
        <f>SUM(AC97:AF97)</f>
        <v>-156.53628172</v>
      </c>
      <c r="AH97" s="3">
        <f>INDEX('Inputs (2)'!$D$10:$AL$10,MATCH(AH$7,'Inputs (2)'!$D$2:$AL$2,0))</f>
        <v>-55.10018466</v>
      </c>
      <c r="AI97" s="3">
        <f>INDEX('Inputs (2)'!$D$10:$AL$10,MATCH(AI$7,'Inputs (2)'!$D$2:$AL$2,0))</f>
        <v>-61.143775</v>
      </c>
      <c r="AJ97" s="3">
        <f>AJ98*-AJ96</f>
        <v>0</v>
      </c>
      <c r="AK97" s="3">
        <f>AK98*-AK96</f>
        <v>0</v>
      </c>
      <c r="AL97" s="3">
        <f>SUM(AH97:AK97)</f>
        <v>-116.24395966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>
        <f>-D97/D96</f>
        <v>0.265130251594464</v>
      </c>
      <c r="E98" s="48">
        <f>-E97/E96</f>
        <v>0.289236002266409</v>
      </c>
      <c r="F98" s="48">
        <f>-F97/F96</f>
        <v>0.350051487138513</v>
      </c>
      <c r="G98" s="48">
        <f>-G97/G96</f>
        <v>0.131394926249318</v>
      </c>
      <c r="H98" s="48">
        <f>-H97/H96</f>
        <v>0.245624340820267</v>
      </c>
      <c r="I98" s="48">
        <f>-I97/I96</f>
        <v>0.292654096945177</v>
      </c>
      <c r="J98" s="48">
        <f>-J97/J96</f>
        <v>0.292992933107752</v>
      </c>
      <c r="K98" s="48">
        <f>-K97/K96</f>
        <v>0.29395039478039</v>
      </c>
      <c r="L98" s="48">
        <f>-L97/L96</f>
        <v>0.286419590176505</v>
      </c>
      <c r="M98" s="48">
        <f>-M97/M96</f>
        <v>0.291826709031448</v>
      </c>
      <c r="N98" s="48">
        <f>-N97/N96</f>
        <v>0.278000357511338</v>
      </c>
      <c r="O98" s="48">
        <f>-O97/O96</f>
        <v>0.279177811237353</v>
      </c>
      <c r="P98" s="48">
        <f>-P97/P96</f>
        <v>0.21781011423722</v>
      </c>
      <c r="Q98" s="48">
        <f>-Q97/Q96</f>
        <v>-0.00574280384627166</v>
      </c>
      <c r="R98" s="48">
        <f>-R97/R96</f>
        <v>0.23879544188164</v>
      </c>
      <c r="S98" s="48">
        <f>-S97/S96</f>
        <v>0.24927832217476</v>
      </c>
      <c r="T98" s="48">
        <f>-T97/T96</f>
        <v>0.247016793058637</v>
      </c>
      <c r="U98" s="48">
        <f>-U97/U96</f>
        <v>0.20129137386843</v>
      </c>
      <c r="V98" s="48">
        <f>-V97/V96</f>
        <v>0.127415456127</v>
      </c>
      <c r="W98" s="48">
        <f>-W97/W96</f>
        <v>0.208041124967146</v>
      </c>
      <c r="X98" s="48">
        <f>-X97/X96</f>
        <v>0.223842476406582</v>
      </c>
      <c r="Y98" s="48">
        <f>-Y97/Y96</f>
        <v>0.244410564666207</v>
      </c>
      <c r="Z98" s="48">
        <f>-Z97/Z96</f>
        <v>0.234371034005852</v>
      </c>
      <c r="AA98" s="48">
        <f>-AA97/AA96</f>
        <v>0.208698598699898</v>
      </c>
      <c r="AB98" s="48">
        <f>-AB97/AB96</f>
        <v>0.231145451004101</v>
      </c>
      <c r="AC98" s="48">
        <f>-AC97/AC96</f>
        <v>0.23270021074886</v>
      </c>
      <c r="AD98" s="48">
        <f>-AD97/AD96</f>
        <v>0.231596515933865</v>
      </c>
      <c r="AE98" s="48">
        <f>-AE97/AE96</f>
        <v>0.224827673067312</v>
      </c>
      <c r="AF98" s="44">
        <f>-AF97/AF96</f>
        <v>0.0408557363477819</v>
      </c>
      <c r="AG98" s="48">
        <f>-AG97/AG96</f>
        <v>0.204151345045372</v>
      </c>
      <c r="AH98" s="44">
        <f>-AH97/AH96</f>
        <v>0.213720459183438</v>
      </c>
      <c r="AI98" s="44">
        <f>-AI97/AI96</f>
        <v>0.213908561918659</v>
      </c>
      <c r="AJ98" s="44" t="n"/>
      <c r="AK98" s="44" t="n"/>
      <c r="AL98" s="48">
        <f>-AL97/AL96</f>
        <v>0.165126627608775</v>
      </c>
      <c r="AM98" s="44" t="n"/>
      <c r="AN98" s="44" t="n"/>
      <c r="AO98" s="44" t="n"/>
      <c r="AP98" s="44" t="n"/>
      <c r="AQ98" s="48">
        <f>-AQ97/AQ96</f>
        <v>0</v>
      </c>
      <c r="AR98" s="44" t="n"/>
      <c r="AS98" s="44" t="n"/>
      <c r="AT98" s="44" t="n"/>
      <c r="AU98" s="44" t="n"/>
      <c r="AV98" s="48">
        <f>-AV97/AV96</f>
        <v>0</v>
      </c>
      <c r="AW98" s="44" t="n"/>
      <c r="AX98" s="44" t="n"/>
      <c r="AY98" s="44" t="n"/>
      <c r="AZ98" s="44" t="n"/>
      <c r="BA98" s="48">
        <f>-BA97/BA96</f>
        <v>0</v>
      </c>
      <c r="BB98" s="44" t="n"/>
      <c r="BC98" s="44" t="n"/>
      <c r="BD98" s="44" t="n"/>
      <c r="BE98" s="44" t="n"/>
      <c r="BF98" s="48">
        <f>-BF97/BF96</f>
        <v>0</v>
      </c>
      <c r="BG98" s="44" t="n"/>
      <c r="BH98" s="44" t="n"/>
      <c r="BI98" s="44" t="n"/>
      <c r="BJ98" s="44" t="n"/>
      <c r="BK98" s="48">
        <f>-BK97/BK96</f>
        <v>0</v>
      </c>
      <c r="BL98" s="44" t="n"/>
      <c r="BM98" s="44" t="n"/>
      <c r="BN98" s="44" t="n"/>
      <c r="BO98" s="44" t="n"/>
      <c r="BP98" s="48">
        <f>-BP97/BP96</f>
        <v>0</v>
      </c>
      <c r="BQ98" s="44" t="n"/>
      <c r="BR98" s="44" t="n"/>
      <c r="BS98" s="44" t="n"/>
      <c r="BT98" s="44" t="n"/>
      <c r="BU98" s="48">
        <f>-BU97/BU96</f>
        <v>0</v>
      </c>
      <c r="BV98" s="44" t="n"/>
      <c r="BW98" s="44" t="n"/>
      <c r="BX98" s="44" t="n"/>
      <c r="BY98" s="44" t="n"/>
      <c r="BZ98" s="48">
        <f>-BZ97/BZ96</f>
        <v>0</v>
      </c>
      <c r="CA98" s="44" t="n"/>
      <c r="CB98" s="44" t="n"/>
      <c r="CC98" s="44" t="n"/>
      <c r="CD98" s="44" t="n"/>
      <c r="CE98" s="48">
        <f>-CE97/CE96</f>
        <v>0</v>
      </c>
      <c r="CF98" s="44" t="n"/>
      <c r="CG98" s="44" t="n"/>
      <c r="CH98" s="44" t="n"/>
      <c r="CI98" s="44" t="n"/>
      <c r="CJ98" s="48">
        <f>-CJ97/CJ96</f>
        <v>0</v>
      </c>
      <c r="CK98" s="44" t="n"/>
      <c r="CL98" s="44" t="n"/>
      <c r="CM98" s="44" t="n"/>
      <c r="CN98" s="44" t="n"/>
      <c r="CO98" s="48">
        <f>-CO97/CO96</f>
        <v>0</v>
      </c>
      <c r="CP98" s="44" t="n"/>
      <c r="CQ98" s="44" t="n"/>
      <c r="CR98" s="44" t="n"/>
      <c r="CS98" s="44" t="n"/>
      <c r="CT98" s="48">
        <f>-CT97/CT96</f>
        <v>0</v>
      </c>
      <c r="CU98" s="44" t="n"/>
      <c r="CV98" s="44" t="n"/>
      <c r="CW98" s="44" t="n"/>
      <c r="CX98" s="44" t="n"/>
      <c r="CY98" s="48">
        <f>-CY97/CY96</f>
        <v>0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>
        <f>INDEX('Inputs (2)'!$D$11:$AL$11,MATCH(D$7,'Inputs (2)'!$D$2:$AL$2,0))</f>
        <v>0.0388915699999984</v>
      </c>
      <c r="E101" s="25">
        <f>INDEX('Inputs (2)'!$D$11:$AL$11,MATCH(E$7,'Inputs (2)'!$D$2:$AL$2,0))</f>
        <v>-1.02743027</v>
      </c>
      <c r="F101" s="25">
        <f>INDEX('Inputs (2)'!$D$11:$AL$11,MATCH(F$7,'Inputs (2)'!$D$2:$AL$2,0))</f>
        <v>0.292335850000004</v>
      </c>
      <c r="G101" s="25">
        <f>INDEX('Inputs (2)'!$D$11:$AL$11,MATCH(G$7,'Inputs (2)'!$D$2:$AL$2,0))</f>
        <v>0.370562310000001</v>
      </c>
      <c r="H101" s="3">
        <f>SUM(D101:G101)</f>
        <v>-0.325640539999998</v>
      </c>
      <c r="I101" s="25">
        <f>INDEX('Inputs (2)'!$D$11:$AL$11,MATCH(I$7,'Inputs (2)'!$D$2:$AL$2,0))</f>
        <v>-0.198294749999998</v>
      </c>
      <c r="J101" s="25">
        <f>INDEX('Inputs (2)'!$D$11:$AL$11,MATCH(J$7,'Inputs (2)'!$D$2:$AL$2,0))</f>
        <v>-0.00223524199999671</v>
      </c>
      <c r="K101" s="25">
        <f>INDEX('Inputs (2)'!$D$11:$AL$11,MATCH(K$7,'Inputs (2)'!$D$2:$AL$2,0))</f>
        <v>0.44109465</v>
      </c>
      <c r="L101" s="25">
        <f>INDEX('Inputs (2)'!$D$11:$AL$11,MATCH(L$7,'Inputs (2)'!$D$2:$AL$2,0))</f>
        <v>0.309085383441993</v>
      </c>
      <c r="M101" s="3">
        <f>SUM(I101:L101)</f>
        <v>0.549650041441998</v>
      </c>
      <c r="N101" s="25">
        <f>INDEX('Inputs (2)'!$D$11:$AL$11,MATCH(N$7,'Inputs (2)'!$D$2:$AL$2,0))</f>
        <v>0.000197683550001122</v>
      </c>
      <c r="O101" s="25">
        <f>INDEX('Inputs (2)'!$D$11:$AL$11,MATCH(O$7,'Inputs (2)'!$D$2:$AL$2,0))</f>
        <v>0.414430566612997</v>
      </c>
      <c r="P101" s="25">
        <f>INDEX('Inputs (2)'!$D$11:$AL$11,MATCH(P$7,'Inputs (2)'!$D$2:$AL$2,0))</f>
        <v>0.24977188</v>
      </c>
      <c r="Q101" s="25">
        <f>INDEX('Inputs (2)'!$D$11:$AL$11,MATCH(Q$7,'Inputs (2)'!$D$2:$AL$2,0))</f>
        <v>-0.0614080706760011</v>
      </c>
      <c r="R101" s="3">
        <f>SUM(N101:Q101)</f>
        <v>0.602992059486997</v>
      </c>
      <c r="S101" s="25">
        <f>INDEX('Inputs (2)'!$D$11:$AL$11,MATCH(S$7,'Inputs (2)'!$D$2:$AL$2,0))</f>
        <v>0</v>
      </c>
      <c r="T101" s="25">
        <f>INDEX('Inputs (2)'!$D$11:$AL$11,MATCH(T$7,'Inputs (2)'!$D$2:$AL$2,0))</f>
        <v>0.255</v>
      </c>
      <c r="U101" s="25">
        <f>INDEX('Inputs (2)'!$D$11:$AL$11,MATCH(U$7,'Inputs (2)'!$D$2:$AL$2,0))</f>
        <v>0.176</v>
      </c>
      <c r="V101" s="25">
        <f>INDEX('Inputs (2)'!$D$11:$AL$11,MATCH(V$7,'Inputs (2)'!$D$2:$AL$2,0))</f>
        <v>-0.274</v>
      </c>
      <c r="W101" s="3">
        <f>SUM(S101:V101)</f>
        <v>0.157</v>
      </c>
      <c r="X101" s="25">
        <f>INDEX('Inputs (2)'!$D$11:$AL$11,MATCH(X$7,'Inputs (2)'!$D$2:$AL$2,0))</f>
        <v>-0.348</v>
      </c>
      <c r="Y101" s="25">
        <f>INDEX('Inputs (2)'!$D$11:$AL$11,MATCH(Y$7,'Inputs (2)'!$D$2:$AL$2,0))</f>
        <v>-0.802</v>
      </c>
      <c r="Z101" s="25">
        <f>INDEX('Inputs (2)'!$D$11:$AL$11,MATCH(Z$7,'Inputs (2)'!$D$2:$AL$2,0))</f>
        <v>-0.655</v>
      </c>
      <c r="AA101" s="25">
        <f>INDEX('Inputs (2)'!$D$11:$AL$11,MATCH(AA$7,'Inputs (2)'!$D$2:$AL$2,0))</f>
        <v>-2.442</v>
      </c>
      <c r="AB101" s="3">
        <f>SUM(X101:AA101)</f>
        <v>-4.247</v>
      </c>
      <c r="AC101" s="25">
        <f>INDEX('Inputs (2)'!$D$11:$AL$11,MATCH(AC$7,'Inputs (2)'!$D$2:$AL$2,0))</f>
        <v>-2.271</v>
      </c>
      <c r="AD101" s="25">
        <f>INDEX('Inputs (2)'!$D$11:$AL$11,MATCH(AD$7,'Inputs (2)'!$D$2:$AL$2,0))</f>
        <v>-2.776</v>
      </c>
      <c r="AE101" s="25">
        <f>INDEX('Inputs (2)'!$D$11:$AL$11,MATCH(AE$7,'Inputs (2)'!$D$2:$AL$2,0))</f>
        <v>-3.60633808341797</v>
      </c>
      <c r="AF101" s="25">
        <f>INDEX('Inputs (2)'!$D$11:$AL$11,MATCH(AF$7,'Inputs (2)'!$D$2:$AL$2,0))</f>
        <v>-4.9056465948825</v>
      </c>
      <c r="AG101" s="3">
        <f>SUM(AC101:AF101)</f>
        <v>-13.5589846783005</v>
      </c>
      <c r="AH101" s="3">
        <f>INDEX('Inputs (2)'!$D$11:$AL$11,MATCH(AH$7,'Inputs (2)'!$D$2:$AL$2,0))</f>
        <v>-5.061568</v>
      </c>
      <c r="AI101" s="3">
        <f>INDEX('Inputs (2)'!$D$11:$AL$11,MATCH(AI$7,'Inputs (2)'!$D$2:$AL$2,0))</f>
        <v>-5.364726</v>
      </c>
      <c r="AJ101" s="3">
        <f>AE101*(1+AJ129)</f>
        <v>-3.60633808341797</v>
      </c>
      <c r="AK101" s="3">
        <f>AF101*(1+AK129)</f>
        <v>-4.9056465948825</v>
      </c>
      <c r="AL101" s="3">
        <f>SUM(AH101:AK101)</f>
        <v>-18.9382786783005</v>
      </c>
      <c r="AM101" s="3">
        <f>AH101*(1+AM129)</f>
        <v>-5.061568</v>
      </c>
      <c r="AN101" s="3">
        <f>AI101*(1+AN129)</f>
        <v>-5.364726</v>
      </c>
      <c r="AO101" s="3">
        <f>AJ101*(1+AO129)</f>
        <v>-3.60633808341797</v>
      </c>
      <c r="AP101" s="3">
        <f>AK101*(1+AP129)</f>
        <v>-4.9056465948825</v>
      </c>
      <c r="AQ101" s="3">
        <f>SUM(AM101:AP101)</f>
        <v>-18.9382786783005</v>
      </c>
      <c r="AR101" s="3">
        <f>AM101*(1+AR129)</f>
        <v>-5.061568</v>
      </c>
      <c r="AS101" s="3">
        <f>AN101*(1+AS129)</f>
        <v>-5.364726</v>
      </c>
      <c r="AT101" s="3">
        <f>AO101*(1+AT129)</f>
        <v>-3.60633808341797</v>
      </c>
      <c r="AU101" s="3">
        <f>AP101*(1+AU129)</f>
        <v>-4.9056465948825</v>
      </c>
      <c r="AV101" s="3">
        <f>SUM(AR101:AU101)</f>
        <v>-18.9382786783005</v>
      </c>
      <c r="AW101" s="3">
        <f>AR101*(1+AW129)</f>
        <v>-5.061568</v>
      </c>
      <c r="AX101" s="3">
        <f>AS101*(1+AX129)</f>
        <v>-5.364726</v>
      </c>
      <c r="AY101" s="3">
        <f>AT101*(1+AY129)</f>
        <v>-3.60633808341797</v>
      </c>
      <c r="AZ101" s="3">
        <f>AU101*(1+AZ129)</f>
        <v>-4.9056465948825</v>
      </c>
      <c r="BA101" s="3">
        <f>SUM(AW101:AZ101)</f>
        <v>-18.9382786783005</v>
      </c>
      <c r="BB101" s="3">
        <f>AW101*(1+BB129)</f>
        <v>-5.061568</v>
      </c>
      <c r="BC101" s="3">
        <f>AX101*(1+BC129)</f>
        <v>-5.364726</v>
      </c>
      <c r="BD101" s="3">
        <f>AY101*(1+BD129)</f>
        <v>-3.60633808341797</v>
      </c>
      <c r="BE101" s="3">
        <f>AZ101*(1+BE129)</f>
        <v>-4.9056465948825</v>
      </c>
      <c r="BF101" s="3">
        <f>SUM(BB101:BE101)</f>
        <v>-18.9382786783005</v>
      </c>
      <c r="BG101" s="3">
        <f>BB101*(1+BG129)</f>
        <v>-5.061568</v>
      </c>
      <c r="BH101" s="3">
        <f>BC101*(1+BH129)</f>
        <v>-5.364726</v>
      </c>
      <c r="BI101" s="3">
        <f>BD101*(1+BI129)</f>
        <v>-3.60633808341797</v>
      </c>
      <c r="BJ101" s="3">
        <f>BE101*(1+BJ129)</f>
        <v>-4.9056465948825</v>
      </c>
      <c r="BK101" s="3">
        <f>SUM(BG101:BJ101)</f>
        <v>-18.9382786783005</v>
      </c>
      <c r="BL101" s="3">
        <f>BG101*(1+BL129)</f>
        <v>-5.061568</v>
      </c>
      <c r="BM101" s="3">
        <f>BH101*(1+BM129)</f>
        <v>-5.364726</v>
      </c>
      <c r="BN101" s="3">
        <f>BI101*(1+BN129)</f>
        <v>-3.60633808341797</v>
      </c>
      <c r="BO101" s="3">
        <f>BJ101*(1+BO129)</f>
        <v>-4.9056465948825</v>
      </c>
      <c r="BP101" s="3">
        <f>SUM(BL101:BO101)</f>
        <v>-18.9382786783005</v>
      </c>
      <c r="BQ101" s="3">
        <f>BL101*(1+BQ129)</f>
        <v>-5.061568</v>
      </c>
      <c r="BR101" s="3">
        <f>BM101*(1+BR129)</f>
        <v>-5.364726</v>
      </c>
      <c r="BS101" s="3">
        <f>BN101*(1+BS129)</f>
        <v>-3.60633808341797</v>
      </c>
      <c r="BT101" s="3">
        <f>BO101*(1+BT129)</f>
        <v>-4.9056465948825</v>
      </c>
      <c r="BU101" s="3">
        <f>SUM(BQ101:BT101)</f>
        <v>-18.9382786783005</v>
      </c>
      <c r="BV101" s="3">
        <f>BQ101*(1+BV129)</f>
        <v>-5.061568</v>
      </c>
      <c r="BW101" s="3">
        <f>BR101*(1+BW129)</f>
        <v>-5.364726</v>
      </c>
      <c r="BX101" s="3">
        <f>BS101*(1+BX129)</f>
        <v>-3.60633808341797</v>
      </c>
      <c r="BY101" s="3">
        <f>BT101*(1+BY129)</f>
        <v>-4.9056465948825</v>
      </c>
      <c r="BZ101" s="3">
        <f>SUM(BV101:BY101)</f>
        <v>-18.9382786783005</v>
      </c>
      <c r="CA101" s="3">
        <f>BV101*(1+CA129)</f>
        <v>-5.061568</v>
      </c>
      <c r="CB101" s="3">
        <f>BW101*(1+CB129)</f>
        <v>-5.364726</v>
      </c>
      <c r="CC101" s="3">
        <f>BX101*(1+CC129)</f>
        <v>-3.60633808341797</v>
      </c>
      <c r="CD101" s="3">
        <f>BY101*(1+CD129)</f>
        <v>-4.9056465948825</v>
      </c>
      <c r="CE101" s="3">
        <f>SUM(CA101:CD101)</f>
        <v>-18.9382786783005</v>
      </c>
      <c r="CF101" s="3">
        <f>CA101*(1+CF129)</f>
        <v>-5.061568</v>
      </c>
      <c r="CG101" s="3">
        <f>CB101*(1+CG129)</f>
        <v>-5.364726</v>
      </c>
      <c r="CH101" s="3">
        <f>CC101*(1+CH129)</f>
        <v>-3.60633808341797</v>
      </c>
      <c r="CI101" s="3">
        <f>CD101*(1+CI129)</f>
        <v>-4.9056465948825</v>
      </c>
      <c r="CJ101" s="3">
        <f>SUM(CF101:CI101)</f>
        <v>-18.9382786783005</v>
      </c>
      <c r="CK101" s="3">
        <f>CF101*(1+CK129)</f>
        <v>-5.061568</v>
      </c>
      <c r="CL101" s="3">
        <f>CG101*(1+CL129)</f>
        <v>-5.364726</v>
      </c>
      <c r="CM101" s="3">
        <f>CH101*(1+CM129)</f>
        <v>-3.60633808341797</v>
      </c>
      <c r="CN101" s="3">
        <f>CI101*(1+CN129)</f>
        <v>-4.9056465948825</v>
      </c>
      <c r="CO101" s="3">
        <f>SUM(CK101:CN101)</f>
        <v>-18.9382786783005</v>
      </c>
      <c r="CP101" s="3">
        <f>CK101*(1+CP129)</f>
        <v>-5.061568</v>
      </c>
      <c r="CQ101" s="3">
        <f>CL101*(1+CQ129)</f>
        <v>-5.364726</v>
      </c>
      <c r="CR101" s="3">
        <f>CM101*(1+CR129)</f>
        <v>-3.60633808341797</v>
      </c>
      <c r="CS101" s="3">
        <f>CN101*(1+CS129)</f>
        <v>-4.9056465948825</v>
      </c>
      <c r="CT101" s="3">
        <f>SUM(CP101:CS101)</f>
        <v>-18.9382786783005</v>
      </c>
      <c r="CU101" s="3">
        <f>CP101*(1+CU129)</f>
        <v>-5.061568</v>
      </c>
      <c r="CV101" s="3">
        <f>CQ101*(1+CV129)</f>
        <v>-5.364726</v>
      </c>
      <c r="CW101" s="3">
        <f>CR101*(1+CW129)</f>
        <v>-3.60633808341797</v>
      </c>
      <c r="CX101" s="3">
        <f>CS101*(1+CX129)</f>
        <v>-4.9056465948825</v>
      </c>
      <c r="CY101" s="3">
        <f>SUM(CU101:CX101)</f>
        <v>-18.9382786783005</v>
      </c>
    </row>
    <row r="102">
      <c r="C102" s="26" t="inlineStr">
        <is>
          <t>Minority Interest Expense, after tax (enter as - )</t>
        </is>
      </c>
      <c r="D102" s="25">
        <f>INDEX('Inputs (2)'!$D$12:$AL$12,MATCH(D$7,'Inputs (2)'!$D$2:$AL$2,0))</f>
        <v>0</v>
      </c>
      <c r="E102" s="25">
        <f>INDEX('Inputs (2)'!$D$12:$AL$12,MATCH(E$7,'Inputs (2)'!$D$2:$AL$2,0))</f>
        <v>0</v>
      </c>
      <c r="F102" s="25">
        <f>INDEX('Inputs (2)'!$D$12:$AL$12,MATCH(F$7,'Inputs (2)'!$D$2:$AL$2,0))</f>
        <v>0</v>
      </c>
      <c r="G102" s="25">
        <f>INDEX('Inputs (2)'!$D$12:$AL$12,MATCH(G$7,'Inputs (2)'!$D$2:$AL$2,0))</f>
        <v>0</v>
      </c>
      <c r="H102" s="3">
        <f>SUM(D102:G102)</f>
        <v>0</v>
      </c>
      <c r="I102" s="25">
        <f>INDEX('Inputs (2)'!$D$12:$AL$12,MATCH(I$7,'Inputs (2)'!$D$2:$AL$2,0))</f>
        <v>0</v>
      </c>
      <c r="J102" s="25">
        <f>INDEX('Inputs (2)'!$D$12:$AL$12,MATCH(J$7,'Inputs (2)'!$D$2:$AL$2,0))</f>
        <v>0.039423182</v>
      </c>
      <c r="K102" s="25">
        <f>INDEX('Inputs (2)'!$D$12:$AL$12,MATCH(K$7,'Inputs (2)'!$D$2:$AL$2,0))</f>
        <v>-1.426590592597</v>
      </c>
      <c r="L102" s="25">
        <f>INDEX('Inputs (2)'!$D$12:$AL$12,MATCH(L$7,'Inputs (2)'!$D$2:$AL$2,0))</f>
        <v>-0.177942983442</v>
      </c>
      <c r="M102" s="3">
        <f>SUM(I102:L102)</f>
        <v>-1.565110394039</v>
      </c>
      <c r="N102" s="25">
        <f>INDEX('Inputs (2)'!$D$12:$AL$12,MATCH(N$7,'Inputs (2)'!$D$2:$AL$2,0))</f>
        <v>-0.39147077355</v>
      </c>
      <c r="O102" s="25">
        <f>INDEX('Inputs (2)'!$D$12:$AL$12,MATCH(O$7,'Inputs (2)'!$D$2:$AL$2,0))</f>
        <v>-0.414890426612999</v>
      </c>
      <c r="P102" s="25">
        <f>INDEX('Inputs (2)'!$D$12:$AL$12,MATCH(P$7,'Inputs (2)'!$D$2:$AL$2,0))</f>
        <v>-0.67304117</v>
      </c>
      <c r="Q102" s="25">
        <f>INDEX('Inputs (2)'!$D$12:$AL$12,MATCH(Q$7,'Inputs (2)'!$D$2:$AL$2,0))</f>
        <v>0.656184120676</v>
      </c>
      <c r="R102" s="3">
        <f>SUM(N102:Q102)</f>
        <v>-0.823218249487</v>
      </c>
      <c r="S102" s="25">
        <f>INDEX('Inputs (2)'!$D$12:$AL$12,MATCH(S$7,'Inputs (2)'!$D$2:$AL$2,0))</f>
        <v>0.02834465</v>
      </c>
      <c r="T102" s="25">
        <f>INDEX('Inputs (2)'!$D$12:$AL$12,MATCH(T$7,'Inputs (2)'!$D$2:$AL$2,0))</f>
        <v>0.385635388738</v>
      </c>
      <c r="U102" s="25">
        <f>INDEX('Inputs (2)'!$D$12:$AL$12,MATCH(U$7,'Inputs (2)'!$D$2:$AL$2,0))</f>
        <v>2.382</v>
      </c>
      <c r="V102" s="25">
        <f>INDEX('Inputs (2)'!$D$12:$AL$12,MATCH(V$7,'Inputs (2)'!$D$2:$AL$2,0))</f>
        <v>0.139</v>
      </c>
      <c r="W102" s="3">
        <f>SUM(S102:V102)</f>
        <v>2.934980038738</v>
      </c>
      <c r="X102" s="25">
        <f>INDEX('Inputs (2)'!$D$12:$AL$12,MATCH(X$7,'Inputs (2)'!$D$2:$AL$2,0))</f>
        <v>-0.355</v>
      </c>
      <c r="Y102" s="25">
        <f>INDEX('Inputs (2)'!$D$12:$AL$12,MATCH(Y$7,'Inputs (2)'!$D$2:$AL$2,0))</f>
        <v>1.423</v>
      </c>
      <c r="Z102" s="25">
        <f>INDEX('Inputs (2)'!$D$12:$AL$12,MATCH(Z$7,'Inputs (2)'!$D$2:$AL$2,0))</f>
        <v>4.013</v>
      </c>
      <c r="AA102" s="25">
        <f>INDEX('Inputs (2)'!$D$12:$AL$12,MATCH(AA$7,'Inputs (2)'!$D$2:$AL$2,0))</f>
        <v>7.437</v>
      </c>
      <c r="AB102" s="3">
        <f>SUM(X102:AA102)</f>
        <v>12.518</v>
      </c>
      <c r="AC102" s="25">
        <f>INDEX('Inputs (2)'!$D$12:$AL$12,MATCH(AC$7,'Inputs (2)'!$D$2:$AL$2,0))</f>
        <v>3.456124</v>
      </c>
      <c r="AD102" s="25">
        <f>INDEX('Inputs (2)'!$D$12:$AL$12,MATCH(AD$7,'Inputs (2)'!$D$2:$AL$2,0))</f>
        <v>7.749179</v>
      </c>
      <c r="AE102" s="25">
        <f>INDEX('Inputs (2)'!$D$12:$AL$12,MATCH(AE$7,'Inputs (2)'!$D$2:$AL$2,0))</f>
        <v>2.668448799683</v>
      </c>
      <c r="AF102" s="25">
        <f>INDEX('Inputs (2)'!$D$12:$AL$12,MATCH(AF$7,'Inputs (2)'!$D$2:$AL$2,0))</f>
        <v>2.28625577847376</v>
      </c>
      <c r="AG102" s="3">
        <f>SUM(AC102:AF102)</f>
        <v>16.1600075781568</v>
      </c>
      <c r="AH102" s="3">
        <f>INDEX('Inputs (2)'!$D$12:$AL$12,MATCH(AH$7,'Inputs (2)'!$D$2:$AL$2,0))</f>
        <v>3.55944448</v>
      </c>
      <c r="AI102" s="3">
        <f>INDEX('Inputs (2)'!$D$12:$AL$12,MATCH(AI$7,'Inputs (2)'!$D$2:$AL$2,0))</f>
        <v>2.518</v>
      </c>
      <c r="AJ102" s="3">
        <f>AE102*(1+AJ216)</f>
        <v>2.668448799683</v>
      </c>
      <c r="AK102" s="3">
        <f>AF102*(1+AK216)</f>
        <v>2.28625577847376</v>
      </c>
      <c r="AL102" s="3">
        <f>SUM(AH102:AK102)</f>
        <v>11.0321490581568</v>
      </c>
      <c r="AM102" s="3">
        <f>AH102*(1+AM216)</f>
        <v>3.55944448</v>
      </c>
      <c r="AN102" s="3">
        <f>AI102*(1+AN216)</f>
        <v>2.518</v>
      </c>
      <c r="AO102" s="3">
        <f>AJ102*(1+AO216)</f>
        <v>2.668448799683</v>
      </c>
      <c r="AP102" s="3">
        <f>AK102*(1+AP216)</f>
        <v>2.28625577847376</v>
      </c>
      <c r="AQ102" s="3">
        <f>SUM(AM102:AP102)</f>
        <v>11.0321490581568</v>
      </c>
      <c r="AR102" s="3">
        <f>AM102*(1+AR216)</f>
        <v>3.55944448</v>
      </c>
      <c r="AS102" s="3">
        <f>AN102*(1+AS216)</f>
        <v>2.518</v>
      </c>
      <c r="AT102" s="3">
        <f>AO102*(1+AT216)</f>
        <v>2.668448799683</v>
      </c>
      <c r="AU102" s="3">
        <f>AP102*(1+AU216)</f>
        <v>2.28625577847376</v>
      </c>
      <c r="AV102" s="3">
        <f>SUM(AR102:AU102)</f>
        <v>11.0321490581568</v>
      </c>
      <c r="AW102" s="3">
        <f>AR102*(1+AW216)</f>
        <v>3.55944448</v>
      </c>
      <c r="AX102" s="3">
        <f>AS102*(1+AX216)</f>
        <v>2.518</v>
      </c>
      <c r="AY102" s="3">
        <f>AT102*(1+AY216)</f>
        <v>2.668448799683</v>
      </c>
      <c r="AZ102" s="3">
        <f>AU102*(1+AZ216)</f>
        <v>2.28625577847376</v>
      </c>
      <c r="BA102" s="3">
        <f>SUM(AW102:AZ102)</f>
        <v>11.0321490581568</v>
      </c>
      <c r="BB102" s="3">
        <f>AW102*(1+BB216)</f>
        <v>3.55944448</v>
      </c>
      <c r="BC102" s="3">
        <f>AX102*(1+BC216)</f>
        <v>2.518</v>
      </c>
      <c r="BD102" s="3">
        <f>AY102*(1+BD216)</f>
        <v>2.668448799683</v>
      </c>
      <c r="BE102" s="3">
        <f>AZ102*(1+BE216)</f>
        <v>2.28625577847376</v>
      </c>
      <c r="BF102" s="3">
        <f>SUM(BB102:BE102)</f>
        <v>11.0321490581568</v>
      </c>
      <c r="BG102" s="3">
        <f>BB102*(1+BG216)</f>
        <v>3.55944448</v>
      </c>
      <c r="BH102" s="3">
        <f>BC102*(1+BH216)</f>
        <v>2.518</v>
      </c>
      <c r="BI102" s="3">
        <f>BD102*(1+BI216)</f>
        <v>2.668448799683</v>
      </c>
      <c r="BJ102" s="3">
        <f>BE102*(1+BJ216)</f>
        <v>2.28625577847376</v>
      </c>
      <c r="BK102" s="3">
        <f>SUM(BG102:BJ102)</f>
        <v>11.0321490581568</v>
      </c>
      <c r="BL102" s="3">
        <f>BG102*(1+BL216)</f>
        <v>3.55944448</v>
      </c>
      <c r="BM102" s="3">
        <f>BH102*(1+BM216)</f>
        <v>2.518</v>
      </c>
      <c r="BN102" s="3">
        <f>BI102*(1+BN216)</f>
        <v>2.668448799683</v>
      </c>
      <c r="BO102" s="3">
        <f>BJ102*(1+BO216)</f>
        <v>2.28625577847376</v>
      </c>
      <c r="BP102" s="3">
        <f>SUM(BL102:BO102)</f>
        <v>11.0321490581568</v>
      </c>
      <c r="BQ102" s="3">
        <f>BL102*(1+BQ216)</f>
        <v>3.55944448</v>
      </c>
      <c r="BR102" s="3">
        <f>BM102*(1+BR216)</f>
        <v>2.518</v>
      </c>
      <c r="BS102" s="3">
        <f>BN102*(1+BS216)</f>
        <v>2.668448799683</v>
      </c>
      <c r="BT102" s="3">
        <f>BO102*(1+BT216)</f>
        <v>2.28625577847376</v>
      </c>
      <c r="BU102" s="3">
        <f>SUM(BQ102:BT102)</f>
        <v>11.0321490581568</v>
      </c>
      <c r="BV102" s="3">
        <f>BQ102*(1+BV216)</f>
        <v>3.55944448</v>
      </c>
      <c r="BW102" s="3">
        <f>BR102*(1+BW216)</f>
        <v>2.518</v>
      </c>
      <c r="BX102" s="3">
        <f>BS102*(1+BX216)</f>
        <v>2.668448799683</v>
      </c>
      <c r="BY102" s="3">
        <f>BT102*(1+BY216)</f>
        <v>2.28625577847376</v>
      </c>
      <c r="BZ102" s="3">
        <f>SUM(BV102:BY102)</f>
        <v>11.0321490581568</v>
      </c>
      <c r="CA102" s="3">
        <f>BV102*(1+CA216)</f>
        <v>3.55944448</v>
      </c>
      <c r="CB102" s="3">
        <f>BW102*(1+CB216)</f>
        <v>2.518</v>
      </c>
      <c r="CC102" s="3">
        <f>BX102*(1+CC216)</f>
        <v>2.668448799683</v>
      </c>
      <c r="CD102" s="3">
        <f>BY102*(1+CD216)</f>
        <v>2.28625577847376</v>
      </c>
      <c r="CE102" s="3">
        <f>SUM(CA102:CD102)</f>
        <v>11.0321490581568</v>
      </c>
      <c r="CF102" s="3">
        <f>CA102*(1+CF216)</f>
        <v>3.55944448</v>
      </c>
      <c r="CG102" s="3">
        <f>CB102*(1+CG216)</f>
        <v>2.518</v>
      </c>
      <c r="CH102" s="3">
        <f>CC102*(1+CH216)</f>
        <v>2.668448799683</v>
      </c>
      <c r="CI102" s="3">
        <f>CD102*(1+CI216)</f>
        <v>2.28625577847376</v>
      </c>
      <c r="CJ102" s="3">
        <f>SUM(CF102:CI102)</f>
        <v>11.0321490581568</v>
      </c>
      <c r="CK102" s="3">
        <f>CF102*(1+CK216)</f>
        <v>3.55944448</v>
      </c>
      <c r="CL102" s="3">
        <f>CG102*(1+CL216)</f>
        <v>2.518</v>
      </c>
      <c r="CM102" s="3">
        <f>CH102*(1+CM216)</f>
        <v>2.668448799683</v>
      </c>
      <c r="CN102" s="3">
        <f>CI102*(1+CN216)</f>
        <v>2.28625577847376</v>
      </c>
      <c r="CO102" s="3">
        <f>SUM(CK102:CN102)</f>
        <v>11.0321490581568</v>
      </c>
      <c r="CP102" s="3">
        <f>CK102*(1+CP216)</f>
        <v>3.55944448</v>
      </c>
      <c r="CQ102" s="3">
        <f>CL102*(1+CQ216)</f>
        <v>2.518</v>
      </c>
      <c r="CR102" s="3">
        <f>CM102*(1+CR216)</f>
        <v>2.668448799683</v>
      </c>
      <c r="CS102" s="3">
        <f>CN102*(1+CS216)</f>
        <v>2.28625577847376</v>
      </c>
      <c r="CT102" s="3">
        <f>SUM(CP102:CS102)</f>
        <v>11.0321490581568</v>
      </c>
      <c r="CU102" s="3">
        <f>CP102*(1+CU216)</f>
        <v>3.55944448</v>
      </c>
      <c r="CV102" s="3">
        <f>CQ102*(1+CV216)</f>
        <v>2.518</v>
      </c>
      <c r="CW102" s="3">
        <f>CR102*(1+CW216)</f>
        <v>2.668448799683</v>
      </c>
      <c r="CX102" s="3">
        <f>CS102*(1+CX216)</f>
        <v>2.28625577847376</v>
      </c>
      <c r="CY102" s="3">
        <f>SUM(CU102:CX102)</f>
        <v>11.0321490581568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58.7191077564181</v>
      </c>
      <c r="E103" s="16">
        <f>SUM(E96,E97,E101,E102)</f>
        <v>-73.3055463168124</v>
      </c>
      <c r="F103" s="16">
        <f>SUM(F96,F97,F101,F102)</f>
        <v>132.064543995985</v>
      </c>
      <c r="G103" s="16">
        <f>SUM(G96,G97,G101,G102)</f>
        <v>139.482617970001</v>
      </c>
      <c r="H103" s="16">
        <f>SUM(D103:G103)</f>
        <v>256.960723405592</v>
      </c>
      <c r="I103" s="16">
        <f>SUM(I96,I97,I101,I102)</f>
        <v>118.61195704</v>
      </c>
      <c r="J103" s="16">
        <f>SUM(J96,J97,J101,J102)</f>
        <v>65.5346259299987</v>
      </c>
      <c r="K103" s="16">
        <f>SUM(K96,K97,K101,K102)</f>
        <v>94.9625657674033</v>
      </c>
      <c r="L103" s="16">
        <f>SUM(L96,L97,L101,L102)</f>
        <v>70.81580316</v>
      </c>
      <c r="M103" s="16">
        <f>SUM(I103:L103)</f>
        <v>349.924951897402</v>
      </c>
      <c r="N103" s="16">
        <f>SUM(N96,N97,N101,N102)</f>
        <v>110.440730339442</v>
      </c>
      <c r="O103" s="16">
        <f>SUM(O96,O97,O101,O102)</f>
        <v>70.509238398051</v>
      </c>
      <c r="P103" s="16">
        <f>SUM(P96,P97,P101,P102)</f>
        <v>96.0057500300001</v>
      </c>
      <c r="Q103" s="16">
        <f>SUM(Q96,Q97,Q101,Q102)</f>
        <v>30.9526857900001</v>
      </c>
      <c r="R103" s="16">
        <f>SUM(N103:Q103)</f>
        <v>307.908404557493</v>
      </c>
      <c r="S103" s="16">
        <f>SUM(S96,S97,S101,S102)</f>
        <v>93.8518317599999</v>
      </c>
      <c r="T103" s="16">
        <f>SUM(T96,T97,T101,T102)</f>
        <v>74.4269289448079</v>
      </c>
      <c r="U103" s="16">
        <f>SUM(U96,U97,U101,U102)</f>
        <v>174.198435338059</v>
      </c>
      <c r="V103" s="16">
        <f>SUM(V96,V97,V101,V102)</f>
        <v>81.27880174393</v>
      </c>
      <c r="W103" s="16">
        <f>SUM(S103:V103)</f>
        <v>423.755997786797</v>
      </c>
      <c r="X103" s="16">
        <f>SUM(X96,X97,X101,X102)</f>
        <v>167.9596009</v>
      </c>
      <c r="Y103" s="16">
        <f>SUM(Y96,Y97,Y101,Y102)</f>
        <v>173.586</v>
      </c>
      <c r="Z103" s="16">
        <f>SUM(Z96,Z97,Z101,Z102)</f>
        <v>190.705474</v>
      </c>
      <c r="AA103" s="16">
        <f>SUM(AA96,AA97,AA101,AA102)</f>
        <v>83.9209250999991</v>
      </c>
      <c r="AB103" s="16">
        <f>SUM(X103:AA103)</f>
        <v>616.171999999999</v>
      </c>
      <c r="AC103" s="16">
        <f>SUM(AC96,AC97,AC101,AC102)</f>
        <v>179.28629</v>
      </c>
      <c r="AD103" s="16">
        <f>SUM(AD96,AD97,AD101,AD102)</f>
        <v>152.299179</v>
      </c>
      <c r="AE103" s="16">
        <f>SUM(AE96,AE97,AE101,AE102)</f>
        <v>184.916722720184</v>
      </c>
      <c r="AF103" s="16">
        <f>SUM(AF96,AF97,AF101,AF102)</f>
        <v>96.3284097835912</v>
      </c>
      <c r="AG103" s="16">
        <f>SUM(AC103:AF103)</f>
        <v>612.830601503775</v>
      </c>
      <c r="AH103" s="16">
        <f>SUM(AH96,AH97,AH101,AH102)</f>
        <v>201.21196412</v>
      </c>
      <c r="AI103" s="16">
        <f>SUM(AI96,AI97,AI101,AI102)</f>
        <v>221.850208</v>
      </c>
      <c r="AJ103" s="16">
        <f>SUM(AJ96,AJ97,AJ101,AJ102)</f>
        <v>79.877098146265</v>
      </c>
      <c r="AK103" s="16">
        <f>SUM(AK96,AK97,AK101,AK102)</f>
        <v>76.8792331835913</v>
      </c>
      <c r="AL103" s="16">
        <f>SUM(AH103:AK103)</f>
        <v>579.818503449857</v>
      </c>
      <c r="AM103" s="16">
        <f>SUM(AM96,AM97,AM101,AM102)</f>
        <v>77.99650048</v>
      </c>
      <c r="AN103" s="16">
        <f>SUM(AN96,AN97,AN101,AN102)</f>
        <v>317.78049686</v>
      </c>
      <c r="AO103" s="16">
        <f>SUM(AO96,AO97,AO101,AO102)</f>
        <v>78.560734716265</v>
      </c>
      <c r="AP103" s="16">
        <f>SUM(AP96,AP97,AP101,AP102)</f>
        <v>318.007832043591</v>
      </c>
      <c r="AQ103" s="16">
        <f>SUM(AM103:AP103)</f>
        <v>792.345564099856</v>
      </c>
      <c r="AR103" s="16">
        <f>SUM(AR96,AR97,AR101,AR102)</f>
        <v>319.12509934</v>
      </c>
      <c r="AS103" s="16">
        <f>SUM(AS96,AS97,AS101,AS102)</f>
        <v>797.40496772</v>
      </c>
      <c r="AT103" s="16">
        <f>SUM(AT96,AT97,AT101,AT102)</f>
        <v>319.689333576265</v>
      </c>
      <c r="AU103" s="16">
        <f>SUM(AU96,AU97,AU101,AU102)</f>
        <v>797.632302903591</v>
      </c>
      <c r="AV103" s="16">
        <f>SUM(AR103:AU103)</f>
        <v>2233.85170353986</v>
      </c>
      <c r="AW103" s="16">
        <f>SUM(AW96,AW97,AW101,AW102)</f>
        <v>798.7495702</v>
      </c>
      <c r="AX103" s="16">
        <f>SUM(AX96,AX97,AX101,AX102)</f>
        <v>2238.91110716</v>
      </c>
      <c r="AY103" s="16">
        <f>SUM(AY96,AY97,AY101,AY102)</f>
        <v>799.313804436265</v>
      </c>
      <c r="AZ103" s="16">
        <f>SUM(AZ96,AZ97,AZ101,AZ102)</f>
        <v>2239.13844234359</v>
      </c>
      <c r="BA103" s="16">
        <f>SUM(AW103:AZ103)</f>
        <v>6076.11292413986</v>
      </c>
      <c r="BB103" s="16">
        <f>SUM(BB96,BB97,BB101,BB102)</f>
        <v>2240.25570964</v>
      </c>
      <c r="BC103" s="16">
        <f>SUM(BC96,BC97,BC101,BC102)</f>
        <v>6081.17232776</v>
      </c>
      <c r="BD103" s="16">
        <f>SUM(BD96,BD97,BD101,BD102)</f>
        <v>2240.81994387627</v>
      </c>
      <c r="BE103" s="16">
        <f>SUM(BE96,BE97,BE101,BE102)</f>
        <v>6081.39966294359</v>
      </c>
      <c r="BF103" s="16">
        <f>SUM(BB103:BE103)</f>
        <v>16643.6476442199</v>
      </c>
      <c r="BG103" s="16">
        <f>SUM(BG96,BG97,BG101,BG102)</f>
        <v>6082.51693024</v>
      </c>
      <c r="BH103" s="16">
        <f>SUM(BH96,BH97,BH101,BH102)</f>
        <v>16648.70704784</v>
      </c>
      <c r="BI103" s="16">
        <f>SUM(BI96,BI97,BI101,BI102)</f>
        <v>6083.08116447626</v>
      </c>
      <c r="BJ103" s="16">
        <f>SUM(BJ96,BJ97,BJ101,BJ102)</f>
        <v>16648.9343830236</v>
      </c>
      <c r="BK103" s="16">
        <f>SUM(BG103:BJ103)</f>
        <v>45463.2395255799</v>
      </c>
      <c r="BL103" s="16">
        <f>SUM(BL96,BL97,BL101,BL102)</f>
        <v>16650.05165032</v>
      </c>
      <c r="BM103" s="16">
        <f>SUM(BM96,BM97,BM101,BM102)</f>
        <v>45468.2989292</v>
      </c>
      <c r="BN103" s="16">
        <f>SUM(BN96,BN97,BN101,BN102)</f>
        <v>16650.6158845563</v>
      </c>
      <c r="BO103" s="16">
        <f>SUM(BO96,BO97,BO101,BO102)</f>
        <v>45468.5262643836</v>
      </c>
      <c r="BP103" s="16">
        <f>SUM(BL103:BO103)</f>
        <v>124237.49272846</v>
      </c>
      <c r="BQ103" s="16">
        <f>SUM(BQ96,BQ97,BQ101,BQ102)</f>
        <v>45469.64353168</v>
      </c>
      <c r="BR103" s="16">
        <f>SUM(BR96,BR97,BR101,BR102)</f>
        <v>124242.55213208</v>
      </c>
      <c r="BS103" s="16">
        <f>SUM(BS96,BS97,BS101,BS102)</f>
        <v>45470.2077659163</v>
      </c>
      <c r="BT103" s="16">
        <f>SUM(BT96,BT97,BT101,BT102)</f>
        <v>124242.779467264</v>
      </c>
      <c r="BU103" s="16">
        <f>SUM(BQ103:BT103)</f>
        <v>339425.18289694</v>
      </c>
      <c r="BV103" s="16">
        <f>SUM(BV96,BV97,BV101,BV102)</f>
        <v>124243.89673456</v>
      </c>
      <c r="BW103" s="16">
        <f>SUM(BW96,BW97,BW101,BW102)</f>
        <v>339430.24230056</v>
      </c>
      <c r="BX103" s="16">
        <f>SUM(BX96,BX97,BX101,BX102)</f>
        <v>124244.460968796</v>
      </c>
      <c r="BY103" s="16">
        <f>SUM(BY96,BY97,BY101,BY102)</f>
        <v>339430.469635744</v>
      </c>
      <c r="BZ103" s="16">
        <f>SUM(BV103:BY103)</f>
        <v>927349.06963966</v>
      </c>
      <c r="CA103" s="16">
        <f>SUM(CA96,CA97,CA101,CA102)</f>
        <v>339431.58690304</v>
      </c>
      <c r="CB103" s="16">
        <f>SUM(CB96,CB97,CB101,CB102)</f>
        <v>927354.12904328</v>
      </c>
      <c r="CC103" s="16">
        <f>SUM(CC96,CC97,CC101,CC102)</f>
        <v>339432.151137276</v>
      </c>
      <c r="CD103" s="16">
        <f>SUM(CD96,CD97,CD101,CD102)</f>
        <v>927354.356378463</v>
      </c>
      <c r="CE103" s="16">
        <f>SUM(CA103:CD103)</f>
        <v>2533572.22346206</v>
      </c>
      <c r="CF103" s="16">
        <f>SUM(CF96,CF97,CF101,CF102)</f>
        <v>927355.47364576</v>
      </c>
      <c r="CG103" s="16">
        <f>SUM(CG96,CG97,CG101,CG102)</f>
        <v>2533577.28286568</v>
      </c>
      <c r="CH103" s="16">
        <f>SUM(CH96,CH97,CH101,CH102)</f>
        <v>927356.037879996</v>
      </c>
      <c r="CI103" s="16">
        <f>SUM(CI96,CI97,CI101,CI102)</f>
        <v>2533577.51020086</v>
      </c>
      <c r="CJ103" s="16">
        <f>SUM(CF103:CI103)</f>
        <v>6921866.3045923</v>
      </c>
      <c r="CK103" s="16">
        <f>SUM(CK96,CK97,CK101,CK102)</f>
        <v>2533578.62746816</v>
      </c>
      <c r="CL103" s="16">
        <f>SUM(CL96,CL97,CL101,CL102)</f>
        <v>6921871.36399592</v>
      </c>
      <c r="CM103" s="16">
        <f>SUM(CM96,CM97,CM101,CM102)</f>
        <v>2533579.1917024</v>
      </c>
      <c r="CN103" s="16">
        <f>SUM(CN96,CN97,CN101,CN102)</f>
        <v>6921871.5913311</v>
      </c>
      <c r="CO103" s="16">
        <f>SUM(CK103:CN103)</f>
        <v>18910900.7744976</v>
      </c>
      <c r="CP103" s="16">
        <f>SUM(CP96,CP97,CP101,CP102)</f>
        <v>6921872.7085984</v>
      </c>
      <c r="CQ103" s="16">
        <f>SUM(CQ96,CQ97,CQ101,CQ102)</f>
        <v>18910905.8339012</v>
      </c>
      <c r="CR103" s="16">
        <f>SUM(CR96,CR97,CR101,CR102)</f>
        <v>6921873.27283264</v>
      </c>
      <c r="CS103" s="16">
        <f>SUM(CS96,CS97,CS101,CS102)</f>
        <v>18910906.0612364</v>
      </c>
      <c r="CT103" s="16">
        <f>SUM(CP103:CS103)</f>
        <v>51665557.8765686</v>
      </c>
      <c r="CU103" s="16">
        <f>SUM(CU96,CU97,CU101,CU102)</f>
        <v>18910907.1785037</v>
      </c>
      <c r="CV103" s="16">
        <f>SUM(CV96,CV97,CV101,CV102)</f>
        <v>51665562.9359722</v>
      </c>
      <c r="CW103" s="16">
        <f>SUM(CW96,CW97,CW101,CW102)</f>
        <v>18910907.7427379</v>
      </c>
      <c r="CX103" s="16">
        <f>SUM(CX96,CX97,CX101,CX102)</f>
        <v>51665563.1633074</v>
      </c>
      <c r="CY103" s="16">
        <f>SUM(CU103:CX103)</f>
        <v>141152941.020521</v>
      </c>
    </row>
    <row r="104">
      <c r="C104" s="24" t="inlineStr">
        <is>
          <t>Common Dividends</t>
        </is>
      </c>
      <c r="D104" s="25">
        <f>INDEX('Inputs (2)'!$D$13:$AL$13,MATCH(D$7,'Inputs (2)'!$D$2:$AL$2,0))</f>
        <v>-31.1765432</v>
      </c>
      <c r="E104" s="25">
        <f>INDEX('Inputs (2)'!$D$13:$AL$13,MATCH(E$7,'Inputs (2)'!$D$2:$AL$2,0))</f>
        <v>0</v>
      </c>
      <c r="F104" s="25">
        <f>INDEX('Inputs (2)'!$D$13:$AL$13,MATCH(F$7,'Inputs (2)'!$D$2:$AL$2,0))</f>
        <v>0</v>
      </c>
      <c r="G104" s="25">
        <f>INDEX('Inputs (2)'!$D$13:$AL$13,MATCH(G$7,'Inputs (2)'!$D$2:$AL$2,0))</f>
        <v>-197.75241252</v>
      </c>
      <c r="H104" s="3">
        <f>SUM(D104:G104)</f>
        <v>-228.92895572</v>
      </c>
      <c r="I104" s="25">
        <f>INDEX('Inputs (2)'!$D$13:$AL$13,MATCH(I$7,'Inputs (2)'!$D$2:$AL$2,0))</f>
        <v>-75.10232011</v>
      </c>
      <c r="J104" s="25">
        <f>INDEX('Inputs (2)'!$D$13:$AL$13,MATCH(J$7,'Inputs (2)'!$D$2:$AL$2,0))</f>
        <v>-156.2545951</v>
      </c>
      <c r="K104" s="25">
        <f>INDEX('Inputs (2)'!$D$13:$AL$13,MATCH(K$7,'Inputs (2)'!$D$2:$AL$2,0))</f>
        <v>-42.22723762</v>
      </c>
      <c r="L104" s="25">
        <f>INDEX('Inputs (2)'!$D$13:$AL$13,MATCH(L$7,'Inputs (2)'!$D$2:$AL$2,0))</f>
        <v>-22.55733515</v>
      </c>
      <c r="M104" s="3">
        <f>SUM(I104:L104)</f>
        <v>-296.14148798</v>
      </c>
      <c r="N104" s="25">
        <f>INDEX('Inputs (2)'!$D$13:$AL$13,MATCH(N$7,'Inputs (2)'!$D$2:$AL$2,0))</f>
        <v>-4.12979244</v>
      </c>
      <c r="O104" s="25">
        <f>INDEX('Inputs (2)'!$D$13:$AL$13,MATCH(O$7,'Inputs (2)'!$D$2:$AL$2,0))</f>
        <v>-225.0161942</v>
      </c>
      <c r="P104" s="25">
        <f>INDEX('Inputs (2)'!$D$13:$AL$13,MATCH(P$7,'Inputs (2)'!$D$2:$AL$2,0))</f>
        <v>-0.0015808</v>
      </c>
      <c r="Q104" s="25">
        <f>INDEX('Inputs (2)'!$D$13:$AL$13,MATCH(Q$7,'Inputs (2)'!$D$2:$AL$2,0))</f>
        <v>-108.0538068</v>
      </c>
      <c r="R104" s="3">
        <f>SUM(N104:Q104)</f>
        <v>-337.20137424</v>
      </c>
      <c r="S104" s="25">
        <f>INDEX('Inputs (2)'!$D$13:$AL$13,MATCH(S$7,'Inputs (2)'!$D$2:$AL$2,0))</f>
        <v>0</v>
      </c>
      <c r="T104" s="25">
        <f>INDEX('Inputs (2)'!$D$13:$AL$13,MATCH(T$7,'Inputs (2)'!$D$2:$AL$2,0))</f>
        <v>-273.224548</v>
      </c>
      <c r="U104" s="25">
        <f>INDEX('Inputs (2)'!$D$13:$AL$13,MATCH(U$7,'Inputs (2)'!$D$2:$AL$2,0))</f>
        <v>-13.87953525</v>
      </c>
      <c r="V104" s="25">
        <f>INDEX('Inputs (2)'!$D$13:$AL$13,MATCH(V$7,'Inputs (2)'!$D$2:$AL$2,0))</f>
        <v>-223.00491675</v>
      </c>
      <c r="W104" s="3">
        <f>SUM(S104:V104)</f>
        <v>-510.109</v>
      </c>
      <c r="X104" s="25">
        <f>INDEX('Inputs (2)'!$D$13:$AL$13,MATCH(X$7,'Inputs (2)'!$D$2:$AL$2,0))</f>
        <v>-0.496</v>
      </c>
      <c r="Y104" s="25">
        <f>INDEX('Inputs (2)'!$D$13:$AL$13,MATCH(Y$7,'Inputs (2)'!$D$2:$AL$2,0))</f>
        <v>-80.533</v>
      </c>
      <c r="Z104" s="25">
        <f>INDEX('Inputs (2)'!$D$13:$AL$13,MATCH(Z$7,'Inputs (2)'!$D$2:$AL$2,0))</f>
        <v>0</v>
      </c>
      <c r="AA104" s="25">
        <f>INDEX('Inputs (2)'!$D$13:$AL$13,MATCH(AA$7,'Inputs (2)'!$D$2:$AL$2,0))</f>
        <v>-262.333</v>
      </c>
      <c r="AB104" s="3">
        <f>SUM(X104:AA104)</f>
        <v>-343.362</v>
      </c>
      <c r="AC104" s="25">
        <f>INDEX('Inputs (2)'!$D$13:$AL$13,MATCH(AC$7,'Inputs (2)'!$D$2:$AL$2,0))</f>
        <v>0</v>
      </c>
      <c r="AD104" s="25">
        <f>INDEX('Inputs (2)'!$D$13:$AL$13,MATCH(AD$7,'Inputs (2)'!$D$2:$AL$2,0))</f>
        <v>-254.045</v>
      </c>
      <c r="AE104" s="25">
        <f>INDEX('Inputs (2)'!$D$13:$AL$13,MATCH(AE$7,'Inputs (2)'!$D$2:$AL$2,0))</f>
        <v>0</v>
      </c>
      <c r="AF104" s="25">
        <f>INDEX('Inputs (2)'!$D$13:$AL$13,MATCH(AF$7,'Inputs (2)'!$D$2:$AL$2,0))</f>
        <v>-259.01</v>
      </c>
      <c r="AG104" s="3">
        <f>SUM(AC104:AF104)</f>
        <v>-513.055</v>
      </c>
      <c r="AH104" s="3">
        <f>INDEX('Inputs (2)'!$D$13:$AL$13,MATCH(AH$7,'Inputs (2)'!$D$2:$AL$2,0))</f>
        <v>-0.391</v>
      </c>
      <c r="AI104" s="3">
        <f>INDEX('Inputs (2)'!$D$13:$AL$13,MATCH(AI$7,'Inputs (2)'!$D$2:$AL$2,0))</f>
        <v>-222.897</v>
      </c>
      <c r="AJ104" s="3" t="n"/>
      <c r="AK104" s="3" t="n"/>
      <c r="AL104" s="3">
        <f>SUM(AH104:AK104)</f>
        <v>-223.288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>
        <f>-D104/D103</f>
        <v>0.530943748827525</v>
      </c>
      <c r="E105" s="40">
        <f>-E104/E103</f>
        <v>0</v>
      </c>
      <c r="F105" s="40">
        <f>-F104/F103</f>
        <v>0</v>
      </c>
      <c r="G105" s="40">
        <f>-G104/G103</f>
        <v>1.41775667389991</v>
      </c>
      <c r="H105" s="40">
        <f>-H104/H103</f>
        <v>0.890910302111245</v>
      </c>
      <c r="I105" s="40">
        <f>-I104/I103</f>
        <v>0.633176637366106</v>
      </c>
      <c r="J105" s="40">
        <f>-J104/J103</f>
        <v>2.38430589757092</v>
      </c>
      <c r="K105" s="40">
        <f>-K104/K103</f>
        <v>0.444672458865837</v>
      </c>
      <c r="L105" s="40">
        <f>-L104/L103</f>
        <v>0.318535328887457</v>
      </c>
      <c r="M105" s="40">
        <f>-M104/M103</f>
        <v>0.846300003398526</v>
      </c>
      <c r="N105" s="40">
        <f>-N104/N103</f>
        <v>0.0373937443849474</v>
      </c>
      <c r="O105" s="40">
        <f>-O104/O103</f>
        <v>3.19130087506689</v>
      </c>
      <c r="P105" s="40">
        <f>-P104/P103</f>
        <v>1.646568043587e-05</v>
      </c>
      <c r="Q105" s="40">
        <f>-Q104/Q103</f>
        <v>3.49093476194913</v>
      </c>
      <c r="R105" s="40">
        <f>-R104/R103</f>
        <v>1.09513533651218</v>
      </c>
      <c r="S105" s="40">
        <f>-S104/S103</f>
        <v>0</v>
      </c>
      <c r="T105" s="40">
        <f>-T104/T103</f>
        <v>3.67104422920113</v>
      </c>
      <c r="U105" s="40">
        <f>-U104/U103</f>
        <v>0.0796765781682517</v>
      </c>
      <c r="V105" s="40">
        <f>-V104/V103</f>
        <v>2.74370330227776</v>
      </c>
      <c r="W105" s="40">
        <f>-W104/W103</f>
        <v>1.20378001176198</v>
      </c>
      <c r="X105" s="40">
        <f>-X104/X103</f>
        <v>0.00295309108465499</v>
      </c>
      <c r="Y105" s="40">
        <f>-Y104/Y103</f>
        <v>0.463937183874276</v>
      </c>
      <c r="Z105" s="40">
        <f>-Z104/Z103</f>
        <v>0</v>
      </c>
      <c r="AA105" s="40">
        <f>-AA104/AA103</f>
        <v>3.12595457792449</v>
      </c>
      <c r="AB105" s="40">
        <f>-AB104/AB103</f>
        <v>0.557250248307292</v>
      </c>
      <c r="AC105" s="40">
        <f>-AC104/AC103</f>
        <v>0</v>
      </c>
      <c r="AD105" s="40">
        <f>-AD104/AD103</f>
        <v>1.66806545949929</v>
      </c>
      <c r="AE105" s="40">
        <f>-AE104/AE103</f>
        <v>0</v>
      </c>
      <c r="AF105" s="44">
        <f>-AF104/AF103</f>
        <v>2.68882254551783</v>
      </c>
      <c r="AG105" s="3" t="n"/>
      <c r="AH105" s="44">
        <f>-AH104/AH103</f>
        <v>0.00194322440869775</v>
      </c>
      <c r="AI105" s="44">
        <f>-AI104/AI103</f>
        <v>1.00471846300906</v>
      </c>
      <c r="AJ105" s="44" t="n"/>
      <c r="AK105" s="44" t="n"/>
      <c r="AL105" s="3">
        <f>-AL104/AL103</f>
        <v>0.385099817738587</v>
      </c>
      <c r="AM105" s="44" t="n"/>
      <c r="AN105" s="44" t="n"/>
      <c r="AO105" s="44" t="n"/>
      <c r="AP105" s="44" t="n"/>
      <c r="AQ105" s="3">
        <f>-AQ104/AQ103</f>
        <v>0</v>
      </c>
      <c r="AR105" s="44" t="n"/>
      <c r="AS105" s="44" t="n"/>
      <c r="AT105" s="44" t="n"/>
      <c r="AU105" s="44" t="n"/>
      <c r="AV105" s="3">
        <f>-AV104/AV103</f>
        <v>0</v>
      </c>
      <c r="AW105" s="44" t="n"/>
      <c r="AX105" s="44" t="n"/>
      <c r="AY105" s="44" t="n"/>
      <c r="AZ105" s="44" t="n"/>
      <c r="BA105" s="3">
        <f>-BA104/BA103</f>
        <v>0</v>
      </c>
      <c r="BB105" s="44" t="n"/>
      <c r="BC105" s="44" t="n"/>
      <c r="BD105" s="44" t="n"/>
      <c r="BE105" s="44" t="n"/>
      <c r="BF105" s="3">
        <f>-BF104/BF103</f>
        <v>0</v>
      </c>
      <c r="BG105" s="44" t="n"/>
      <c r="BH105" s="44" t="n"/>
      <c r="BI105" s="44" t="n"/>
      <c r="BJ105" s="44" t="n"/>
      <c r="BK105" s="3">
        <f>-BK104/BK103</f>
        <v>0</v>
      </c>
      <c r="BL105" s="44" t="n"/>
      <c r="BM105" s="44" t="n"/>
      <c r="BN105" s="44" t="n"/>
      <c r="BO105" s="44" t="n"/>
      <c r="BP105" s="3">
        <f>-BP104/BP103</f>
        <v>0</v>
      </c>
      <c r="BQ105" s="44" t="n"/>
      <c r="BR105" s="44" t="n"/>
      <c r="BS105" s="44" t="n"/>
      <c r="BT105" s="44" t="n"/>
      <c r="BU105" s="3">
        <f>-BU104/BU103</f>
        <v>0</v>
      </c>
      <c r="BV105" s="44" t="n"/>
      <c r="BW105" s="44" t="n"/>
      <c r="BX105" s="44" t="n"/>
      <c r="BY105" s="44" t="n"/>
      <c r="BZ105" s="3">
        <f>-BZ104/BZ103</f>
        <v>0</v>
      </c>
      <c r="CA105" s="44" t="n"/>
      <c r="CB105" s="44" t="n"/>
      <c r="CC105" s="44" t="n"/>
      <c r="CD105" s="44" t="n"/>
      <c r="CE105" s="3">
        <f>-CE104/CE103</f>
        <v>0</v>
      </c>
      <c r="CF105" s="44" t="n"/>
      <c r="CG105" s="44" t="n"/>
      <c r="CH105" s="44" t="n"/>
      <c r="CI105" s="44" t="n"/>
      <c r="CJ105" s="3">
        <f>-CJ104/CJ103</f>
        <v>0</v>
      </c>
      <c r="CK105" s="44" t="n"/>
      <c r="CL105" s="44" t="n"/>
      <c r="CM105" s="44" t="n"/>
      <c r="CN105" s="44" t="n"/>
      <c r="CO105" s="3">
        <f>-CO104/CO103</f>
        <v>0</v>
      </c>
      <c r="CP105" s="44" t="n"/>
      <c r="CQ105" s="44" t="n"/>
      <c r="CR105" s="44" t="n"/>
      <c r="CS105" s="44" t="n"/>
      <c r="CT105" s="3">
        <f>-CT104/CT103</f>
        <v>0</v>
      </c>
      <c r="CU105" s="44" t="n"/>
      <c r="CV105" s="44" t="n"/>
      <c r="CW105" s="44" t="n"/>
      <c r="CX105" s="44" t="n"/>
      <c r="CY105" s="3">
        <f>-CY104/CY103</f>
        <v>0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>
        <f>INDEX('Inputs (2)'!$D$15:$AL$15,MATCH(D$7,'Inputs (2)'!$D$2:$AL$2,0))</f>
        <v>803.57634139</v>
      </c>
      <c r="E110" s="25">
        <f>INDEX('Inputs (2)'!$D$15:$AL$15,MATCH(E$7,'Inputs (2)'!$D$2:$AL$2,0))</f>
        <v>1152.75829087</v>
      </c>
      <c r="F110" s="25">
        <f>INDEX('Inputs (2)'!$D$15:$AL$15,MATCH(F$7,'Inputs (2)'!$D$2:$AL$2,0))</f>
        <v>1209.19289322</v>
      </c>
      <c r="G110" s="25">
        <f>INDEX('Inputs (2)'!$D$15:$AL$15,MATCH(G$7,'Inputs (2)'!$D$2:$AL$2,0))</f>
        <v>1111.41967783</v>
      </c>
      <c r="H110" s="3">
        <f>G110</f>
        <v>1111.41967783</v>
      </c>
      <c r="I110" s="25">
        <f>INDEX('Inputs (2)'!$D$15:$AL$15,MATCH(I$7,'Inputs (2)'!$D$2:$AL$2,0))</f>
        <v>1097.37400565</v>
      </c>
      <c r="J110" s="25">
        <f>INDEX('Inputs (2)'!$D$15:$AL$15,MATCH(J$7,'Inputs (2)'!$D$2:$AL$2,0))</f>
        <v>672.07445116</v>
      </c>
      <c r="K110" s="25">
        <f>INDEX('Inputs (2)'!$D$15:$AL$15,MATCH(K$7,'Inputs (2)'!$D$2:$AL$2,0))</f>
        <v>1028.20945984</v>
      </c>
      <c r="L110" s="25">
        <f>INDEX('Inputs (2)'!$D$15:$AL$15,MATCH(L$7,'Inputs (2)'!$D$2:$AL$2,0))</f>
        <v>861.42660329</v>
      </c>
      <c r="M110" s="3">
        <f>L110</f>
        <v>861.42660329</v>
      </c>
      <c r="N110" s="25">
        <f>INDEX('Inputs (2)'!$D$15:$AL$15,MATCH(N$7,'Inputs (2)'!$D$2:$AL$2,0))</f>
        <v>564.73251232</v>
      </c>
      <c r="O110" s="25">
        <f>INDEX('Inputs (2)'!$D$15:$AL$15,MATCH(O$7,'Inputs (2)'!$D$2:$AL$2,0))</f>
        <v>779.92863828</v>
      </c>
      <c r="P110" s="25">
        <f>INDEX('Inputs (2)'!$D$15:$AL$15,MATCH(P$7,'Inputs (2)'!$D$2:$AL$2,0))</f>
        <v>894.09475116</v>
      </c>
      <c r="Q110" s="25">
        <f>INDEX('Inputs (2)'!$D$15:$AL$15,MATCH(Q$7,'Inputs (2)'!$D$2:$AL$2,0))</f>
        <v>1431.131409</v>
      </c>
      <c r="R110" s="3">
        <f>Q110</f>
        <v>1431.131409</v>
      </c>
      <c r="S110" s="25">
        <f>INDEX('Inputs (2)'!$D$15:$AL$15,MATCH(S$7,'Inputs (2)'!$D$2:$AL$2,0))</f>
        <v>1399.25993934</v>
      </c>
      <c r="T110" s="25">
        <f>INDEX('Inputs (2)'!$D$15:$AL$15,MATCH(T$7,'Inputs (2)'!$D$2:$AL$2,0))</f>
        <v>1028.607</v>
      </c>
      <c r="U110" s="25">
        <f>INDEX('Inputs (2)'!$D$15:$AL$15,MATCH(U$7,'Inputs (2)'!$D$2:$AL$2,0))</f>
        <v>1098.312</v>
      </c>
      <c r="V110" s="25">
        <f>INDEX('Inputs (2)'!$D$15:$AL$15,MATCH(V$7,'Inputs (2)'!$D$2:$AL$2,0))</f>
        <v>1057.615</v>
      </c>
      <c r="W110" s="3">
        <f>V110</f>
        <v>1057.615</v>
      </c>
      <c r="X110" s="25">
        <f>INDEX('Inputs (2)'!$D$15:$AL$15,MATCH(X$7,'Inputs (2)'!$D$2:$AL$2,0))</f>
        <v>1026.176</v>
      </c>
      <c r="Y110" s="25">
        <f>INDEX('Inputs (2)'!$D$15:$AL$15,MATCH(Y$7,'Inputs (2)'!$D$2:$AL$2,0))</f>
        <v>2126.948</v>
      </c>
      <c r="Z110" s="25">
        <f>INDEX('Inputs (2)'!$D$15:$AL$15,MATCH(Z$7,'Inputs (2)'!$D$2:$AL$2,0))</f>
        <v>2337.434</v>
      </c>
      <c r="AA110" s="25">
        <f>INDEX('Inputs (2)'!$D$15:$AL$15,MATCH(AA$7,'Inputs (2)'!$D$2:$AL$2,0))</f>
        <v>2445.961</v>
      </c>
      <c r="AB110" s="3">
        <f>AA110</f>
        <v>2445.961</v>
      </c>
      <c r="AC110" s="25">
        <f>INDEX('Inputs (2)'!$D$15:$AL$15,MATCH(AC$7,'Inputs (2)'!$D$2:$AL$2,0))</f>
        <v>2545.291089</v>
      </c>
      <c r="AD110" s="25">
        <f>INDEX('Inputs (2)'!$D$15:$AL$15,MATCH(AD$7,'Inputs (2)'!$D$2:$AL$2,0))</f>
        <v>2190.792</v>
      </c>
      <c r="AE110" s="25">
        <f>INDEX('Inputs (2)'!$D$15:$AL$15,MATCH(AE$7,'Inputs (2)'!$D$2:$AL$2,0))</f>
        <v>2622.425</v>
      </c>
      <c r="AF110" s="25">
        <f>INDEX('Inputs (2)'!$D$15:$AL$15,MATCH(AF$7,'Inputs (2)'!$D$2:$AL$2,0))</f>
        <v>2275.013</v>
      </c>
      <c r="AG110" s="3">
        <f>AF110</f>
        <v>2275.013</v>
      </c>
      <c r="AH110" s="3">
        <f>INDEX('Inputs (2)'!$D$15:$AL$15,MATCH(AH$7,'Inputs (2)'!$D$2:$AL$2,0))</f>
        <v>2266.553</v>
      </c>
      <c r="AI110" s="3">
        <f>INDEX('Inputs (2)'!$D$15:$AL$15,MATCH(AI$7,'Inputs (2)'!$D$2:$AL$2,0))</f>
        <v>2037.673</v>
      </c>
      <c r="AJ110" s="3">
        <f>AI110+AJ280</f>
        <v>9016.09898743</v>
      </c>
      <c r="AK110" s="3">
        <f>AJ110+AK280</f>
        <v>9095.59761143</v>
      </c>
      <c r="AL110" s="3">
        <f>AK110</f>
        <v>9095.59761143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>
        <f>INDEX('Inputs (2)'!$D$16:$AL$16,MATCH(D$7,'Inputs (2)'!$D$2:$AL$2,0))</f>
        <v>548.08151402</v>
      </c>
      <c r="E111" s="25">
        <f>INDEX('Inputs (2)'!$D$16:$AL$16,MATCH(E$7,'Inputs (2)'!$D$2:$AL$2,0))</f>
        <v>425.91700577</v>
      </c>
      <c r="F111" s="25">
        <f>INDEX('Inputs (2)'!$D$16:$AL$16,MATCH(F$7,'Inputs (2)'!$D$2:$AL$2,0))</f>
        <v>642.00719746</v>
      </c>
      <c r="G111" s="25">
        <f>INDEX('Inputs (2)'!$D$16:$AL$16,MATCH(G$7,'Inputs (2)'!$D$2:$AL$2,0))</f>
        <v>704.46811931</v>
      </c>
      <c r="H111" s="3">
        <f>G111</f>
        <v>704.46811931</v>
      </c>
      <c r="I111" s="25">
        <f>INDEX('Inputs (2)'!$D$16:$AL$16,MATCH(I$7,'Inputs (2)'!$D$2:$AL$2,0))</f>
        <v>722.33269323</v>
      </c>
      <c r="J111" s="25">
        <f>INDEX('Inputs (2)'!$D$16:$AL$16,MATCH(J$7,'Inputs (2)'!$D$2:$AL$2,0))</f>
        <v>710.16007206</v>
      </c>
      <c r="K111" s="25">
        <f>INDEX('Inputs (2)'!$D$16:$AL$16,MATCH(K$7,'Inputs (2)'!$D$2:$AL$2,0))</f>
        <v>798.87962103</v>
      </c>
      <c r="L111" s="25">
        <f>INDEX('Inputs (2)'!$D$16:$AL$16,MATCH(L$7,'Inputs (2)'!$D$2:$AL$2,0))</f>
        <v>793.850845533222</v>
      </c>
      <c r="M111" s="3">
        <f>L111</f>
        <v>793.850845533222</v>
      </c>
      <c r="N111" s="25">
        <f>INDEX('Inputs (2)'!$D$16:$AL$16,MATCH(N$7,'Inputs (2)'!$D$2:$AL$2,0))</f>
        <v>867.74374465</v>
      </c>
      <c r="O111" s="25">
        <f>INDEX('Inputs (2)'!$D$16:$AL$16,MATCH(O$7,'Inputs (2)'!$D$2:$AL$2,0))</f>
        <v>900.92993497</v>
      </c>
      <c r="P111" s="25">
        <f>INDEX('Inputs (2)'!$D$16:$AL$16,MATCH(P$7,'Inputs (2)'!$D$2:$AL$2,0))</f>
        <v>885.46691962</v>
      </c>
      <c r="Q111" s="25">
        <f>INDEX('Inputs (2)'!$D$16:$AL$16,MATCH(Q$7,'Inputs (2)'!$D$2:$AL$2,0))</f>
        <v>856.84906289</v>
      </c>
      <c r="R111" s="3">
        <f>Q111</f>
        <v>856.84906289</v>
      </c>
      <c r="S111" s="25">
        <f>INDEX('Inputs (2)'!$D$16:$AL$16,MATCH(S$7,'Inputs (2)'!$D$2:$AL$2,0))</f>
        <v>973.70141759</v>
      </c>
      <c r="T111" s="25">
        <f>INDEX('Inputs (2)'!$D$16:$AL$16,MATCH(T$7,'Inputs (2)'!$D$2:$AL$2,0))</f>
        <v>1486.024</v>
      </c>
      <c r="U111" s="25">
        <f>INDEX('Inputs (2)'!$D$16:$AL$16,MATCH(U$7,'Inputs (2)'!$D$2:$AL$2,0))</f>
        <v>1558.622</v>
      </c>
      <c r="V111" s="25">
        <f>INDEX('Inputs (2)'!$D$16:$AL$16,MATCH(V$7,'Inputs (2)'!$D$2:$AL$2,0))</f>
        <v>1505.194</v>
      </c>
      <c r="W111" s="3">
        <f>V111</f>
        <v>1505.194</v>
      </c>
      <c r="X111" s="25">
        <f>INDEX('Inputs (2)'!$D$16:$AL$16,MATCH(X$7,'Inputs (2)'!$D$2:$AL$2,0))</f>
        <v>1731.049</v>
      </c>
      <c r="Y111" s="25">
        <f>INDEX('Inputs (2)'!$D$16:$AL$16,MATCH(Y$7,'Inputs (2)'!$D$2:$AL$2,0))</f>
        <v>1759.05</v>
      </c>
      <c r="Z111" s="25">
        <f>INDEX('Inputs (2)'!$D$16:$AL$16,MATCH(Z$7,'Inputs (2)'!$D$2:$AL$2,0))</f>
        <v>1763.847</v>
      </c>
      <c r="AA111" s="25">
        <f>INDEX('Inputs (2)'!$D$16:$AL$16,MATCH(AA$7,'Inputs (2)'!$D$2:$AL$2,0))</f>
        <v>1634.904</v>
      </c>
      <c r="AB111" s="3">
        <f>AA111</f>
        <v>1634.904</v>
      </c>
      <c r="AC111" s="25">
        <f>INDEX('Inputs (2)'!$D$16:$AL$16,MATCH(AC$7,'Inputs (2)'!$D$2:$AL$2,0))</f>
        <v>1789.123657</v>
      </c>
      <c r="AD111" s="25">
        <f>INDEX('Inputs (2)'!$D$16:$AL$16,MATCH(AD$7,'Inputs (2)'!$D$2:$AL$2,0))</f>
        <v>1859.62</v>
      </c>
      <c r="AE111" s="25">
        <f>INDEX('Inputs (2)'!$D$16:$AL$16,MATCH(AE$7,'Inputs (2)'!$D$2:$AL$2,0))</f>
        <v>1911.173</v>
      </c>
      <c r="AF111" s="25">
        <f>INDEX('Inputs (2)'!$D$16:$AL$16,MATCH(AF$7,'Inputs (2)'!$D$2:$AL$2,0))</f>
        <v>1747.166</v>
      </c>
      <c r="AG111" s="3">
        <f>AF111</f>
        <v>1747.166</v>
      </c>
      <c r="AH111" s="3">
        <f>INDEX('Inputs (2)'!$D$16:$AL$16,MATCH(AH$7,'Inputs (2)'!$D$2:$AL$2,0))</f>
        <v>2005.869</v>
      </c>
      <c r="AI111" s="3">
        <f>INDEX('Inputs (2)'!$D$16:$AL$16,MATCH(AI$7,'Inputs (2)'!$D$2:$AL$2,0))</f>
        <v>2094.735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>
        <f>(E111/E$15)*(E$5-D$5)</f>
        <v>85.1939061578468</v>
      </c>
      <c r="F112" s="3">
        <f>(F111/F$15)*(F$5-E$5)</f>
        <v>67.5346506957605</v>
      </c>
      <c r="G112" s="3">
        <f>(G111/G$15)*(G$5-F$5)</f>
        <v>69.8278680665118</v>
      </c>
      <c r="H112" s="3" t="n"/>
      <c r="I112" s="3">
        <f>(I111/I$15)*(I$5-H$5)</f>
        <v>72.7336789893666</v>
      </c>
      <c r="J112" s="3">
        <f>(J111/J$15)*(J$5-I$5)</f>
        <v>69.3347272424099</v>
      </c>
      <c r="K112" s="3">
        <f>(K111/K$15)*(K$5-J$5)</f>
        <v>71.4373947989124</v>
      </c>
      <c r="L112" s="3">
        <f>(L111/L$15)*(L$5-K$5)</f>
        <v>71.7466812072558</v>
      </c>
      <c r="M112" s="3" t="n"/>
      <c r="N112" s="3">
        <f>(N111/N$15)*(N$5-M$5)</f>
        <v>71.654313531596</v>
      </c>
      <c r="O112" s="3">
        <f>(O111/O$15)*(O$5-N$5)</f>
        <v>73.7440269083562</v>
      </c>
      <c r="P112" s="3">
        <f>(P111/P$15)*(P$5-O$5)</f>
        <v>71.0452457835497</v>
      </c>
      <c r="Q112" s="3">
        <f>(Q111/Q$15)*(Q$5-P$5)</f>
        <v>70.7157143773324</v>
      </c>
      <c r="R112" s="3" t="n"/>
      <c r="S112" s="3">
        <f>(S111/S$15)*(S$5-R$5)</f>
        <v>70.8533932096631</v>
      </c>
      <c r="T112" s="3">
        <f>(T111/T$15)*(T$5-S$5)</f>
        <v>81.4852926200678</v>
      </c>
      <c r="U112" s="3">
        <f>(U111/U$15)*(U$5-T$5)</f>
        <v>76.6790232320613</v>
      </c>
      <c r="V112" s="3">
        <f>(V111/V$15)*(V$5-U$5)</f>
        <v>81.2453304911115</v>
      </c>
      <c r="W112" s="3" t="n"/>
      <c r="X112" s="3">
        <f>(X111/X$15)*(X$5-W$5)</f>
        <v>82.7144765418237</v>
      </c>
      <c r="Y112" s="3">
        <f>(Y111/Y$15)*(Y$5-X$5)</f>
        <v>80.9187079984754</v>
      </c>
      <c r="Z112" s="3">
        <f>(Z111/Z$15)*(Z$5-Y$5)</f>
        <v>82.680125609244</v>
      </c>
      <c r="AA112" s="3">
        <f>(AA111/AA$15)*(AA$5-Z$5)</f>
        <v>81.7746634334565</v>
      </c>
      <c r="AB112" s="3" t="n"/>
      <c r="AC112" s="3">
        <f>(AC111/AC$15)*(AC$5-AB$5)</f>
        <v>79.9082957400076</v>
      </c>
      <c r="AD112" s="3">
        <f>(AD111/AD$15)*(AD$5-AC$5)</f>
        <v>83.5873853377544</v>
      </c>
      <c r="AE112" s="3">
        <f>(AE111/AE$15)*(AE$5-AD$5)</f>
        <v>80.2508382087268</v>
      </c>
      <c r="AF112" s="6">
        <f>(AF111/AF$15)*(AF$5-AE$5)</f>
        <v>78.006229085761</v>
      </c>
      <c r="AG112" s="3" t="n"/>
      <c r="AH112" s="6">
        <f>(AH111/AH$15)*(AH$5-AG$5)</f>
        <v>81.2049674034778</v>
      </c>
      <c r="AI112" s="6">
        <f>(AI111/AI$15)*(AI$5-AH$5)</f>
        <v>82.2828582997746</v>
      </c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>
        <f>INDEX('Inputs (2)'!$D$17:$AL$17,MATCH(D$7,'Inputs (2)'!$D$2:$AL$2,0))</f>
        <v>36.86838604</v>
      </c>
      <c r="E115" s="25">
        <f>INDEX('Inputs (2)'!$D$17:$AL$17,MATCH(E$7,'Inputs (2)'!$D$2:$AL$2,0))</f>
        <v>83.86315236</v>
      </c>
      <c r="F115" s="25">
        <f>INDEX('Inputs (2)'!$D$17:$AL$17,MATCH(F$7,'Inputs (2)'!$D$2:$AL$2,0))</f>
        <v>81.68701938</v>
      </c>
      <c r="G115" s="25">
        <f>INDEX('Inputs (2)'!$D$17:$AL$17,MATCH(G$7,'Inputs (2)'!$D$2:$AL$2,0))</f>
        <v>63.09252977</v>
      </c>
      <c r="H115" s="3">
        <f>G115</f>
        <v>63.09252977</v>
      </c>
      <c r="I115" s="25">
        <f>INDEX('Inputs (2)'!$D$17:$AL$17,MATCH(I$7,'Inputs (2)'!$D$2:$AL$2,0))</f>
        <v>63.8348316</v>
      </c>
      <c r="J115" s="25">
        <f>INDEX('Inputs (2)'!$D$17:$AL$17,MATCH(J$7,'Inputs (2)'!$D$2:$AL$2,0))</f>
        <v>71.51351074</v>
      </c>
      <c r="K115" s="25">
        <f>INDEX('Inputs (2)'!$D$17:$AL$17,MATCH(K$7,'Inputs (2)'!$D$2:$AL$2,0))</f>
        <v>68.37885212</v>
      </c>
      <c r="L115" s="25">
        <f>INDEX('Inputs (2)'!$D$17:$AL$17,MATCH(L$7,'Inputs (2)'!$D$2:$AL$2,0))</f>
        <v>72.60991872</v>
      </c>
      <c r="M115" s="3">
        <f>L115</f>
        <v>72.60991872</v>
      </c>
      <c r="N115" s="25">
        <f>INDEX('Inputs (2)'!$D$17:$AL$17,MATCH(N$7,'Inputs (2)'!$D$2:$AL$2,0))</f>
        <v>95.16856361</v>
      </c>
      <c r="O115" s="25">
        <f>INDEX('Inputs (2)'!$D$17:$AL$17,MATCH(O$7,'Inputs (2)'!$D$2:$AL$2,0))</f>
        <v>76.20863578</v>
      </c>
      <c r="P115" s="25">
        <f>INDEX('Inputs (2)'!$D$17:$AL$17,MATCH(P$7,'Inputs (2)'!$D$2:$AL$2,0))</f>
        <v>85.47263984</v>
      </c>
      <c r="Q115" s="25">
        <f>INDEX('Inputs (2)'!$D$17:$AL$17,MATCH(Q$7,'Inputs (2)'!$D$2:$AL$2,0))</f>
        <v>96.57554571</v>
      </c>
      <c r="R115" s="3">
        <f>Q115</f>
        <v>96.57554571</v>
      </c>
      <c r="S115" s="25">
        <f>INDEX('Inputs (2)'!$D$17:$AL$17,MATCH(S$7,'Inputs (2)'!$D$2:$AL$2,0))</f>
        <v>99.24706762</v>
      </c>
      <c r="T115" s="25">
        <f>INDEX('Inputs (2)'!$D$17:$AL$17,MATCH(T$7,'Inputs (2)'!$D$2:$AL$2,0))</f>
        <v>132.464</v>
      </c>
      <c r="U115" s="25">
        <f>INDEX('Inputs (2)'!$D$17:$AL$17,MATCH(U$7,'Inputs (2)'!$D$2:$AL$2,0))</f>
        <v>135.196</v>
      </c>
      <c r="V115" s="25">
        <f>INDEX('Inputs (2)'!$D$17:$AL$17,MATCH(V$7,'Inputs (2)'!$D$2:$AL$2,0))</f>
        <v>134.929</v>
      </c>
      <c r="W115" s="3">
        <f>V115</f>
        <v>134.929</v>
      </c>
      <c r="X115" s="25">
        <f>INDEX('Inputs (2)'!$D$17:$AL$17,MATCH(X$7,'Inputs (2)'!$D$2:$AL$2,0))</f>
        <v>127.562</v>
      </c>
      <c r="Y115" s="25">
        <f>INDEX('Inputs (2)'!$D$17:$AL$17,MATCH(Y$7,'Inputs (2)'!$D$2:$AL$2,0))</f>
        <v>139.551</v>
      </c>
      <c r="Z115" s="25">
        <f>INDEX('Inputs (2)'!$D$17:$AL$17,MATCH(Z$7,'Inputs (2)'!$D$2:$AL$2,0))</f>
        <v>139.511</v>
      </c>
      <c r="AA115" s="25">
        <f>INDEX('Inputs (2)'!$D$17:$AL$17,MATCH(AA$7,'Inputs (2)'!$D$2:$AL$2,0))</f>
        <v>155.036</v>
      </c>
      <c r="AB115" s="3">
        <f>AA115</f>
        <v>155.036</v>
      </c>
      <c r="AC115" s="25">
        <f>INDEX('Inputs (2)'!$D$17:$AL$17,MATCH(AC$7,'Inputs (2)'!$D$2:$AL$2,0))</f>
        <v>155.495579</v>
      </c>
      <c r="AD115" s="25">
        <f>INDEX('Inputs (2)'!$D$17:$AL$17,MATCH(AD$7,'Inputs (2)'!$D$2:$AL$2,0))</f>
        <v>149.579</v>
      </c>
      <c r="AE115" s="25">
        <f>INDEX('Inputs (2)'!$D$17:$AL$17,MATCH(AE$7,'Inputs (2)'!$D$2:$AL$2,0))</f>
        <v>154.975</v>
      </c>
      <c r="AF115" s="25">
        <f>INDEX('Inputs (2)'!$D$17:$AL$17,MATCH(AF$7,'Inputs (2)'!$D$2:$AL$2,0))</f>
        <v>180.702</v>
      </c>
      <c r="AG115" s="3">
        <f>AF115</f>
        <v>180.702</v>
      </c>
      <c r="AH115" s="3">
        <f>INDEX('Inputs (2)'!$D$17:$AL$17,MATCH(AH$7,'Inputs (2)'!$D$2:$AL$2,0))</f>
        <v>150.818</v>
      </c>
      <c r="AI115" s="3">
        <f>INDEX('Inputs (2)'!$D$17:$AL$17,MATCH(AI$7,'Inputs (2)'!$D$2:$AL$2,0))</f>
        <v>156.59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>
        <f>((E115/E$20)*(E$5-D$5))*-1</f>
        <v>19.9109808323518</v>
      </c>
      <c r="F116" s="3">
        <f>((F115/F$20)*(F$5-E$5))*-1</f>
        <v>15.3669417278871</v>
      </c>
      <c r="G116" s="3">
        <f>((G115/G$20)*(G$5-F$5))*-1</f>
        <v>10.7778304841921</v>
      </c>
      <c r="H116" s="3" t="n"/>
      <c r="I116" s="3">
        <f>((I115/I$20)*(I$5-H$5))*-1</f>
        <v>10.7449899263207</v>
      </c>
      <c r="J116" s="3">
        <f>((J115/J$20)*(J$5-I$5))*-1</f>
        <v>10.8669413652353</v>
      </c>
      <c r="K116" s="3">
        <f>((K115/K$20)*(K$5-J$5))*-1</f>
        <v>9.8747187820491</v>
      </c>
      <c r="L116" s="3">
        <f>((L115/L$20)*(L$5-K$5))*-1</f>
        <v>10.2742543917326</v>
      </c>
      <c r="M116" s="3" t="n"/>
      <c r="N116" s="3">
        <f>((N115/N$20)*(N$5-M$5))*-1</f>
        <v>12.7261373613173</v>
      </c>
      <c r="O116" s="3">
        <f>((O115/O$20)*(O$5-N$5))*-1</f>
        <v>9.72663680745669</v>
      </c>
      <c r="P116" s="3">
        <f>((P115/P$20)*(P$5-O$5))*-1</f>
        <v>11.0378072455138</v>
      </c>
      <c r="Q116" s="3">
        <f>((Q115/Q$20)*(Q$5-P$5))*-1</f>
        <v>11.707046502414</v>
      </c>
      <c r="R116" s="3" t="n"/>
      <c r="S116" s="3">
        <f>((S115/S$20)*(S$5-R$5))*-1</f>
        <v>11.5041995771281</v>
      </c>
      <c r="T116" s="3">
        <f>((T115/T$20)*(T$5-S$5))*-1</f>
        <v>11.2113648053022</v>
      </c>
      <c r="U116" s="3">
        <f>((U115/U$20)*(U$5-T$5))*-1</f>
        <v>10.3817450424924</v>
      </c>
      <c r="V116" s="3">
        <f>((V115/V$20)*(V$5-U$5))*-1</f>
        <v>10.722794299935</v>
      </c>
      <c r="W116" s="3" t="n"/>
      <c r="X116" s="3">
        <f>((X115/X$20)*(X$5-W$5))*-1</f>
        <v>9.73762259959802</v>
      </c>
      <c r="Y116" s="3">
        <f>((Y115/Y$20)*(Y$5-X$5))*-1</f>
        <v>10.0719766758484</v>
      </c>
      <c r="Z116" s="3">
        <f>((Z115/Z$20)*(Z$5-Y$5))*-1</f>
        <v>10.2525569461707</v>
      </c>
      <c r="AA116" s="3">
        <f>((AA115/AA$20)*(AA$5-Z$5))*-1</f>
        <v>11.5831175876328</v>
      </c>
      <c r="AB116" s="3" t="n"/>
      <c r="AC116" s="3">
        <f>((AC115/AC$20)*(AC$5-AB$5))*-1</f>
        <v>10.9155281097465</v>
      </c>
      <c r="AD116" s="3">
        <f>((AD115/AD$20)*(AD$5-AC$5))*-1</f>
        <v>10.2612324314219</v>
      </c>
      <c r="AE116" s="3">
        <f>((AE115/AE$20)*(AE$5-AD$5))*-1</f>
        <v>10.1862178101814</v>
      </c>
      <c r="AF116" s="6">
        <f>((AF115/AF$20)*(AF$5-AE$5))*-1</f>
        <v>11.9253258654417</v>
      </c>
      <c r="AG116" s="3" t="n"/>
      <c r="AH116" s="6">
        <f>((AH115/AH$20)*(AH$5-AG$5))*-1</f>
        <v>9.57478011036629</v>
      </c>
      <c r="AI116" s="6">
        <f>((AI115/AI$20)*(AI$5-AH$5))*-1</f>
        <v>9.44826877428424</v>
      </c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>
        <f>INDEX('Inputs (2)'!$D$18:$AL$18,MATCH(D$7,'Inputs (2)'!$D$2:$AL$2,0))</f>
        <v>12.5274</v>
      </c>
      <c r="E119" s="25">
        <f>INDEX('Inputs (2)'!$D$18:$AL$18,MATCH(E$7,'Inputs (2)'!$D$2:$AL$2,0))</f>
        <v>80.02739699</v>
      </c>
      <c r="F119" s="25">
        <f>INDEX('Inputs (2)'!$D$18:$AL$18,MATCH(F$7,'Inputs (2)'!$D$2:$AL$2,0))</f>
        <v>66.31949783</v>
      </c>
      <c r="G119" s="25">
        <f>INDEX('Inputs (2)'!$D$18:$AL$18,MATCH(G$7,'Inputs (2)'!$D$2:$AL$2,0))</f>
        <v>75.95658545</v>
      </c>
      <c r="H119" s="3">
        <f>G119</f>
        <v>75.95658545</v>
      </c>
      <c r="I119" s="25">
        <f>INDEX('Inputs (2)'!$D$18:$AL$18,MATCH(I$7,'Inputs (2)'!$D$2:$AL$2,0))</f>
        <v>90.94827093</v>
      </c>
      <c r="J119" s="25">
        <f>INDEX('Inputs (2)'!$D$18:$AL$18,MATCH(J$7,'Inputs (2)'!$D$2:$AL$2,0))</f>
        <v>107.55430088</v>
      </c>
      <c r="K119" s="25">
        <f>INDEX('Inputs (2)'!$D$18:$AL$18,MATCH(K$7,'Inputs (2)'!$D$2:$AL$2,0))</f>
        <v>115.09237981</v>
      </c>
      <c r="L119" s="25">
        <f>INDEX('Inputs (2)'!$D$18:$AL$18,MATCH(L$7,'Inputs (2)'!$D$2:$AL$2,0))</f>
        <v>25.195</v>
      </c>
      <c r="M119" s="3">
        <f>L119</f>
        <v>25.195</v>
      </c>
      <c r="N119" s="25">
        <f>INDEX('Inputs (2)'!$D$18:$AL$18,MATCH(N$7,'Inputs (2)'!$D$2:$AL$2,0))</f>
        <v>37.19035428</v>
      </c>
      <c r="O119" s="25">
        <f>INDEX('Inputs (2)'!$D$18:$AL$18,MATCH(O$7,'Inputs (2)'!$D$2:$AL$2,0))</f>
        <v>150.8146551</v>
      </c>
      <c r="P119" s="25">
        <f>INDEX('Inputs (2)'!$D$18:$AL$18,MATCH(P$7,'Inputs (2)'!$D$2:$AL$2,0))</f>
        <v>177.40878868</v>
      </c>
      <c r="Q119" s="25">
        <f>INDEX('Inputs (2)'!$D$18:$AL$18,MATCH(Q$7,'Inputs (2)'!$D$2:$AL$2,0))</f>
        <v>48.62433562</v>
      </c>
      <c r="R119" s="3">
        <f>Q119</f>
        <v>48.62433562</v>
      </c>
      <c r="S119" s="25">
        <f>INDEX('Inputs (2)'!$D$18:$AL$18,MATCH(S$7,'Inputs (2)'!$D$2:$AL$2,0))</f>
        <v>53.22583053</v>
      </c>
      <c r="T119" s="25">
        <f>INDEX('Inputs (2)'!$D$18:$AL$18,MATCH(T$7,'Inputs (2)'!$D$2:$AL$2,0))</f>
        <v>55.901</v>
      </c>
      <c r="U119" s="25">
        <f>INDEX('Inputs (2)'!$D$18:$AL$18,MATCH(U$7,'Inputs (2)'!$D$2:$AL$2,0))</f>
        <v>29.695</v>
      </c>
      <c r="V119" s="25">
        <f>INDEX('Inputs (2)'!$D$18:$AL$18,MATCH(V$7,'Inputs (2)'!$D$2:$AL$2,0))</f>
        <v>34.356</v>
      </c>
      <c r="W119" s="3">
        <f>V119</f>
        <v>34.356</v>
      </c>
      <c r="X119" s="25">
        <f>INDEX('Inputs (2)'!$D$18:$AL$18,MATCH(X$7,'Inputs (2)'!$D$2:$AL$2,0))</f>
        <v>34.109</v>
      </c>
      <c r="Y119" s="25">
        <f>INDEX('Inputs (2)'!$D$18:$AL$18,MATCH(Y$7,'Inputs (2)'!$D$2:$AL$2,0))</f>
        <v>37.285</v>
      </c>
      <c r="Z119" s="25">
        <f>INDEX('Inputs (2)'!$D$18:$AL$18,MATCH(Z$7,'Inputs (2)'!$D$2:$AL$2,0))</f>
        <v>37.378</v>
      </c>
      <c r="AA119" s="25">
        <f>INDEX('Inputs (2)'!$D$18:$AL$18,MATCH(AA$7,'Inputs (2)'!$D$2:$AL$2,0))</f>
        <v>20.478</v>
      </c>
      <c r="AB119" s="3">
        <f>AA119</f>
        <v>20.478</v>
      </c>
      <c r="AC119" s="25">
        <f>INDEX('Inputs (2)'!$D$18:$AL$18,MATCH(AC$7,'Inputs (2)'!$D$2:$AL$2,0))</f>
        <v>21.879454</v>
      </c>
      <c r="AD119" s="25">
        <f>INDEX('Inputs (2)'!$D$18:$AL$18,MATCH(AD$7,'Inputs (2)'!$D$2:$AL$2,0))</f>
        <v>11.582</v>
      </c>
      <c r="AE119" s="25">
        <f>INDEX('Inputs (2)'!$D$18:$AL$18,MATCH(AE$7,'Inputs (2)'!$D$2:$AL$2,0))</f>
        <v>12.011</v>
      </c>
      <c r="AF119" s="25">
        <f>INDEX('Inputs (2)'!$D$18:$AL$18,MATCH(AF$7,'Inputs (2)'!$D$2:$AL$2,0))</f>
        <v>11.058</v>
      </c>
      <c r="AG119" s="3">
        <f>AF119</f>
        <v>11.058</v>
      </c>
      <c r="AH119" s="3">
        <f>INDEX('Inputs (2)'!$D$18:$AL$18,MATCH(AH$7,'Inputs (2)'!$D$2:$AL$2,0))</f>
        <v>8.43</v>
      </c>
      <c r="AI119" s="3">
        <f>INDEX('Inputs (2)'!$D$18:$AL$18,MATCH(AI$7,'Inputs (2)'!$D$2:$AL$2,0))</f>
        <v>10.269</v>
      </c>
      <c r="AJ119" s="3">
        <f>AI119</f>
        <v>10.269</v>
      </c>
      <c r="AK119" s="3">
        <f>AJ119</f>
        <v>10.269</v>
      </c>
      <c r="AL119" s="3">
        <f>AK119</f>
        <v>10.269</v>
      </c>
      <c r="AM119" s="3">
        <f>AL119</f>
        <v>10.269</v>
      </c>
      <c r="AN119" s="3">
        <f>AM119</f>
        <v>10.269</v>
      </c>
      <c r="AO119" s="3">
        <f>AN119</f>
        <v>10.269</v>
      </c>
      <c r="AP119" s="3">
        <f>AO119</f>
        <v>10.269</v>
      </c>
      <c r="AQ119" s="3">
        <f>AP119</f>
        <v>10.269</v>
      </c>
      <c r="AR119" s="3">
        <f>AQ119</f>
        <v>10.269</v>
      </c>
      <c r="AS119" s="3">
        <f>AR119</f>
        <v>10.269</v>
      </c>
      <c r="AT119" s="3">
        <f>AS119</f>
        <v>10.269</v>
      </c>
      <c r="AU119" s="3">
        <f>AT119</f>
        <v>10.269</v>
      </c>
      <c r="AV119" s="3">
        <f>AU119</f>
        <v>10.269</v>
      </c>
      <c r="AW119" s="3">
        <f>AV119</f>
        <v>10.269</v>
      </c>
      <c r="AX119" s="3">
        <f>AW119</f>
        <v>10.269</v>
      </c>
      <c r="AY119" s="3">
        <f>AX119</f>
        <v>10.269</v>
      </c>
      <c r="AZ119" s="3">
        <f>AY119</f>
        <v>10.269</v>
      </c>
      <c r="BA119" s="3">
        <f>AZ119</f>
        <v>10.269</v>
      </c>
      <c r="BB119" s="3">
        <f>BA119</f>
        <v>10.269</v>
      </c>
      <c r="BC119" s="3">
        <f>BB119</f>
        <v>10.269</v>
      </c>
      <c r="BD119" s="3">
        <f>BC119</f>
        <v>10.269</v>
      </c>
      <c r="BE119" s="3">
        <f>BD119</f>
        <v>10.269</v>
      </c>
      <c r="BF119" s="3">
        <f>BE119</f>
        <v>10.269</v>
      </c>
      <c r="BG119" s="3">
        <f>BF119</f>
        <v>10.269</v>
      </c>
      <c r="BH119" s="3">
        <f>BG119</f>
        <v>10.269</v>
      </c>
      <c r="BI119" s="3">
        <f>BH119</f>
        <v>10.269</v>
      </c>
      <c r="BJ119" s="3">
        <f>BI119</f>
        <v>10.269</v>
      </c>
      <c r="BK119" s="3">
        <f>BJ119</f>
        <v>10.269</v>
      </c>
      <c r="BL119" s="3">
        <f>BK119</f>
        <v>10.269</v>
      </c>
      <c r="BM119" s="3">
        <f>BL119</f>
        <v>10.269</v>
      </c>
      <c r="BN119" s="3">
        <f>BM119</f>
        <v>10.269</v>
      </c>
      <c r="BO119" s="3">
        <f>BN119</f>
        <v>10.269</v>
      </c>
      <c r="BP119" s="3">
        <f>BO119</f>
        <v>10.269</v>
      </c>
      <c r="BQ119" s="3">
        <f>BP119</f>
        <v>10.269</v>
      </c>
      <c r="BR119" s="3">
        <f>BQ119</f>
        <v>10.269</v>
      </c>
      <c r="BS119" s="3">
        <f>BR119</f>
        <v>10.269</v>
      </c>
      <c r="BT119" s="3">
        <f>BS119</f>
        <v>10.269</v>
      </c>
      <c r="BU119" s="3">
        <f>BT119</f>
        <v>10.269</v>
      </c>
      <c r="BV119" s="3">
        <f>BU119</f>
        <v>10.269</v>
      </c>
      <c r="BW119" s="3">
        <f>BV119</f>
        <v>10.269</v>
      </c>
      <c r="BX119" s="3">
        <f>BW119</f>
        <v>10.269</v>
      </c>
      <c r="BY119" s="3">
        <f>BX119</f>
        <v>10.269</v>
      </c>
      <c r="BZ119" s="3">
        <f>BY119</f>
        <v>10.269</v>
      </c>
      <c r="CA119" s="3">
        <f>BZ119</f>
        <v>10.269</v>
      </c>
      <c r="CB119" s="3">
        <f>CA119</f>
        <v>10.269</v>
      </c>
      <c r="CC119" s="3">
        <f>CB119</f>
        <v>10.269</v>
      </c>
      <c r="CD119" s="3">
        <f>CC119</f>
        <v>10.269</v>
      </c>
      <c r="CE119" s="3">
        <f>CD119</f>
        <v>10.269</v>
      </c>
      <c r="CF119" s="3">
        <f>CE119</f>
        <v>10.269</v>
      </c>
      <c r="CG119" s="3">
        <f>CF119</f>
        <v>10.269</v>
      </c>
      <c r="CH119" s="3">
        <f>CG119</f>
        <v>10.269</v>
      </c>
      <c r="CI119" s="3">
        <f>CH119</f>
        <v>10.269</v>
      </c>
      <c r="CJ119" s="3">
        <f>CI119</f>
        <v>10.269</v>
      </c>
      <c r="CK119" s="3">
        <f>CJ119</f>
        <v>10.269</v>
      </c>
      <c r="CL119" s="3">
        <f>CK119</f>
        <v>10.269</v>
      </c>
      <c r="CM119" s="3">
        <f>CL119</f>
        <v>10.269</v>
      </c>
      <c r="CN119" s="3">
        <f>CM119</f>
        <v>10.269</v>
      </c>
      <c r="CO119" s="3">
        <f>CN119</f>
        <v>10.269</v>
      </c>
      <c r="CP119" s="3">
        <f>CO119</f>
        <v>10.269</v>
      </c>
      <c r="CQ119" s="3">
        <f>CP119</f>
        <v>10.269</v>
      </c>
      <c r="CR119" s="3">
        <f>CQ119</f>
        <v>10.269</v>
      </c>
      <c r="CS119" s="3">
        <f>CR119</f>
        <v>10.269</v>
      </c>
      <c r="CT119" s="3">
        <f>CS119</f>
        <v>10.269</v>
      </c>
      <c r="CU119" s="3">
        <f>CT119</f>
        <v>10.269</v>
      </c>
      <c r="CV119" s="3">
        <f>CU119</f>
        <v>10.269</v>
      </c>
      <c r="CW119" s="3">
        <f>CV119</f>
        <v>10.269</v>
      </c>
      <c r="CX119" s="3">
        <f>CW119</f>
        <v>10.269</v>
      </c>
      <c r="CY119" s="3">
        <f>CX119</f>
        <v>10.269</v>
      </c>
    </row>
    <row r="120">
      <c r="C120" s="26" t="inlineStr">
        <is>
          <t>Prepaid expenses</t>
        </is>
      </c>
      <c r="D120" s="25">
        <f>INDEX('Inputs (2)'!$D$19:$AL$19,MATCH(D$7,'Inputs (2)'!$D$2:$AL$2,0))</f>
        <v>14.324618</v>
      </c>
      <c r="E120" s="25">
        <f>INDEX('Inputs (2)'!$D$19:$AL$19,MATCH(E$7,'Inputs (2)'!$D$2:$AL$2,0))</f>
        <v>20.99392462</v>
      </c>
      <c r="F120" s="25">
        <f>INDEX('Inputs (2)'!$D$19:$AL$19,MATCH(F$7,'Inputs (2)'!$D$2:$AL$2,0))</f>
        <v>16.03496786</v>
      </c>
      <c r="G120" s="25">
        <f>INDEX('Inputs (2)'!$D$19:$AL$19,MATCH(G$7,'Inputs (2)'!$D$2:$AL$2,0))</f>
        <v>7.77194942</v>
      </c>
      <c r="H120" s="3">
        <f>G120</f>
        <v>7.77194942</v>
      </c>
      <c r="I120" s="25">
        <f>INDEX('Inputs (2)'!$D$19:$AL$19,MATCH(I$7,'Inputs (2)'!$D$2:$AL$2,0))</f>
        <v>21.44050233</v>
      </c>
      <c r="J120" s="25">
        <f>INDEX('Inputs (2)'!$D$19:$AL$19,MATCH(J$7,'Inputs (2)'!$D$2:$AL$2,0))</f>
        <v>19.74941461</v>
      </c>
      <c r="K120" s="25">
        <f>INDEX('Inputs (2)'!$D$19:$AL$19,MATCH(K$7,'Inputs (2)'!$D$2:$AL$2,0))</f>
        <v>12.87100357</v>
      </c>
      <c r="L120" s="25">
        <f>INDEX('Inputs (2)'!$D$19:$AL$19,MATCH(L$7,'Inputs (2)'!$D$2:$AL$2,0))</f>
        <v>6.91804293</v>
      </c>
      <c r="M120" s="3">
        <f>L120</f>
        <v>6.91804293</v>
      </c>
      <c r="N120" s="25">
        <f>INDEX('Inputs (2)'!$D$19:$AL$19,MATCH(N$7,'Inputs (2)'!$D$2:$AL$2,0))</f>
        <v>28.66972893</v>
      </c>
      <c r="O120" s="25">
        <f>INDEX('Inputs (2)'!$D$19:$AL$19,MATCH(O$7,'Inputs (2)'!$D$2:$AL$2,0))</f>
        <v>27.25646226</v>
      </c>
      <c r="P120" s="25">
        <f>INDEX('Inputs (2)'!$D$19:$AL$19,MATCH(P$7,'Inputs (2)'!$D$2:$AL$2,0))</f>
        <v>22.41682529</v>
      </c>
      <c r="Q120" s="25">
        <f>INDEX('Inputs (2)'!$D$19:$AL$19,MATCH(Q$7,'Inputs (2)'!$D$2:$AL$2,0))</f>
        <v>0</v>
      </c>
      <c r="R120" s="3">
        <f>Q120</f>
        <v>0</v>
      </c>
      <c r="S120" s="25">
        <f>INDEX('Inputs (2)'!$D$19:$AL$19,MATCH(S$7,'Inputs (2)'!$D$2:$AL$2,0))</f>
        <v>0</v>
      </c>
      <c r="T120" s="25">
        <f>INDEX('Inputs (2)'!$D$19:$AL$19,MATCH(T$7,'Inputs (2)'!$D$2:$AL$2,0))</f>
        <v>0</v>
      </c>
      <c r="U120" s="25">
        <f>INDEX('Inputs (2)'!$D$19:$AL$19,MATCH(U$7,'Inputs (2)'!$D$2:$AL$2,0))</f>
        <v>0</v>
      </c>
      <c r="V120" s="25">
        <f>INDEX('Inputs (2)'!$D$19:$AL$19,MATCH(V$7,'Inputs (2)'!$D$2:$AL$2,0))</f>
        <v>0</v>
      </c>
      <c r="W120" s="3">
        <f>V120</f>
        <v>0</v>
      </c>
      <c r="X120" s="25">
        <f>INDEX('Inputs (2)'!$D$19:$AL$19,MATCH(X$7,'Inputs (2)'!$D$2:$AL$2,0))</f>
        <v>0</v>
      </c>
      <c r="Y120" s="25">
        <f>INDEX('Inputs (2)'!$D$19:$AL$19,MATCH(Y$7,'Inputs (2)'!$D$2:$AL$2,0))</f>
        <v>0</v>
      </c>
      <c r="Z120" s="25">
        <f>INDEX('Inputs (2)'!$D$19:$AL$19,MATCH(Z$7,'Inputs (2)'!$D$2:$AL$2,0))</f>
        <v>0</v>
      </c>
      <c r="AA120" s="25">
        <f>INDEX('Inputs (2)'!$D$19:$AL$19,MATCH(AA$7,'Inputs (2)'!$D$2:$AL$2,0))</f>
        <v>0</v>
      </c>
      <c r="AB120" s="3">
        <f>AA120</f>
        <v>0</v>
      </c>
      <c r="AC120" s="25">
        <f>INDEX('Inputs (2)'!$D$19:$AL$19,MATCH(AC$7,'Inputs (2)'!$D$2:$AL$2,0))</f>
        <v>0</v>
      </c>
      <c r="AD120" s="25">
        <f>INDEX('Inputs (2)'!$D$19:$AL$19,MATCH(AD$7,'Inputs (2)'!$D$2:$AL$2,0))</f>
        <v>0</v>
      </c>
      <c r="AE120" s="25">
        <f>INDEX('Inputs (2)'!$D$19:$AL$19,MATCH(AE$7,'Inputs (2)'!$D$2:$AL$2,0))</f>
        <v>0</v>
      </c>
      <c r="AF120" s="25">
        <f>INDEX('Inputs (2)'!$D$19:$AL$19,MATCH(AF$7,'Inputs (2)'!$D$2:$AL$2,0))</f>
        <v>0</v>
      </c>
      <c r="AG120" s="3">
        <f>AF120</f>
        <v>0</v>
      </c>
      <c r="AH120" s="3">
        <f>INDEX('Inputs (2)'!$D$19:$AL$19,MATCH(AH$7,'Inputs (2)'!$D$2:$AL$2,0))</f>
        <v>0</v>
      </c>
      <c r="AI120" s="3">
        <f>INDEX('Inputs (2)'!$D$19:$AL$19,MATCH(AI$7,'Inputs (2)'!$D$2:$AL$2,0))</f>
        <v>0</v>
      </c>
      <c r="AJ120" s="3">
        <f>AI120</f>
        <v>0</v>
      </c>
      <c r="AK120" s="3">
        <f>AJ120</f>
        <v>0</v>
      </c>
      <c r="AL120" s="3">
        <f>AK120</f>
        <v>0</v>
      </c>
      <c r="AM120" s="3">
        <f>AL120</f>
        <v>0</v>
      </c>
      <c r="AN120" s="3">
        <f>AM120</f>
        <v>0</v>
      </c>
      <c r="AO120" s="3">
        <f>AN120</f>
        <v>0</v>
      </c>
      <c r="AP120" s="3">
        <f>AO120</f>
        <v>0</v>
      </c>
      <c r="AQ120" s="3">
        <f>AP120</f>
        <v>0</v>
      </c>
      <c r="AR120" s="3">
        <f>AQ120</f>
        <v>0</v>
      </c>
      <c r="AS120" s="3">
        <f>AR120</f>
        <v>0</v>
      </c>
      <c r="AT120" s="3">
        <f>AS120</f>
        <v>0</v>
      </c>
      <c r="AU120" s="3">
        <f>AT120</f>
        <v>0</v>
      </c>
      <c r="AV120" s="3">
        <f>AU120</f>
        <v>0</v>
      </c>
      <c r="AW120" s="3">
        <f>AV120</f>
        <v>0</v>
      </c>
      <c r="AX120" s="3">
        <f>AW120</f>
        <v>0</v>
      </c>
      <c r="AY120" s="3">
        <f>AX120</f>
        <v>0</v>
      </c>
      <c r="AZ120" s="3">
        <f>AY120</f>
        <v>0</v>
      </c>
      <c r="BA120" s="3">
        <f>AZ120</f>
        <v>0</v>
      </c>
      <c r="BB120" s="3">
        <f>BA120</f>
        <v>0</v>
      </c>
      <c r="BC120" s="3">
        <f>BB120</f>
        <v>0</v>
      </c>
      <c r="BD120" s="3">
        <f>BC120</f>
        <v>0</v>
      </c>
      <c r="BE120" s="3">
        <f>BD120</f>
        <v>0</v>
      </c>
      <c r="BF120" s="3">
        <f>BE120</f>
        <v>0</v>
      </c>
      <c r="BG120" s="3">
        <f>BF120</f>
        <v>0</v>
      </c>
      <c r="BH120" s="3">
        <f>BG120</f>
        <v>0</v>
      </c>
      <c r="BI120" s="3">
        <f>BH120</f>
        <v>0</v>
      </c>
      <c r="BJ120" s="3">
        <f>BI120</f>
        <v>0</v>
      </c>
      <c r="BK120" s="3">
        <f>BJ120</f>
        <v>0</v>
      </c>
      <c r="BL120" s="3">
        <f>BK120</f>
        <v>0</v>
      </c>
      <c r="BM120" s="3">
        <f>BL120</f>
        <v>0</v>
      </c>
      <c r="BN120" s="3">
        <f>BM120</f>
        <v>0</v>
      </c>
      <c r="BO120" s="3">
        <f>BN120</f>
        <v>0</v>
      </c>
      <c r="BP120" s="3">
        <f>BO120</f>
        <v>0</v>
      </c>
      <c r="BQ120" s="3">
        <f>BP120</f>
        <v>0</v>
      </c>
      <c r="BR120" s="3">
        <f>BQ120</f>
        <v>0</v>
      </c>
      <c r="BS120" s="3">
        <f>BR120</f>
        <v>0</v>
      </c>
      <c r="BT120" s="3">
        <f>BS120</f>
        <v>0</v>
      </c>
      <c r="BU120" s="3">
        <f>BT120</f>
        <v>0</v>
      </c>
      <c r="BV120" s="3">
        <f>BU120</f>
        <v>0</v>
      </c>
      <c r="BW120" s="3">
        <f>BV120</f>
        <v>0</v>
      </c>
      <c r="BX120" s="3">
        <f>BW120</f>
        <v>0</v>
      </c>
      <c r="BY120" s="3">
        <f>BX120</f>
        <v>0</v>
      </c>
      <c r="BZ120" s="3">
        <f>BY120</f>
        <v>0</v>
      </c>
      <c r="CA120" s="3">
        <f>BZ120</f>
        <v>0</v>
      </c>
      <c r="CB120" s="3">
        <f>CA120</f>
        <v>0</v>
      </c>
      <c r="CC120" s="3">
        <f>CB120</f>
        <v>0</v>
      </c>
      <c r="CD120" s="3">
        <f>CC120</f>
        <v>0</v>
      </c>
      <c r="CE120" s="3">
        <f>CD120</f>
        <v>0</v>
      </c>
      <c r="CF120" s="3">
        <f>CE120</f>
        <v>0</v>
      </c>
      <c r="CG120" s="3">
        <f>CF120</f>
        <v>0</v>
      </c>
      <c r="CH120" s="3">
        <f>CG120</f>
        <v>0</v>
      </c>
      <c r="CI120" s="3">
        <f>CH120</f>
        <v>0</v>
      </c>
      <c r="CJ120" s="3">
        <f>CI120</f>
        <v>0</v>
      </c>
      <c r="CK120" s="3">
        <f>CJ120</f>
        <v>0</v>
      </c>
      <c r="CL120" s="3">
        <f>CK120</f>
        <v>0</v>
      </c>
      <c r="CM120" s="3">
        <f>CL120</f>
        <v>0</v>
      </c>
      <c r="CN120" s="3">
        <f>CM120</f>
        <v>0</v>
      </c>
      <c r="CO120" s="3">
        <f>CN120</f>
        <v>0</v>
      </c>
      <c r="CP120" s="3">
        <f>CO120</f>
        <v>0</v>
      </c>
      <c r="CQ120" s="3">
        <f>CP120</f>
        <v>0</v>
      </c>
      <c r="CR120" s="3">
        <f>CQ120</f>
        <v>0</v>
      </c>
      <c r="CS120" s="3">
        <f>CR120</f>
        <v>0</v>
      </c>
      <c r="CT120" s="3">
        <f>CS120</f>
        <v>0</v>
      </c>
      <c r="CU120" s="3">
        <f>CT120</f>
        <v>0</v>
      </c>
      <c r="CV120" s="3">
        <f>CU120</f>
        <v>0</v>
      </c>
      <c r="CW120" s="3">
        <f>CV120</f>
        <v>0</v>
      </c>
      <c r="CX120" s="3">
        <f>CW120</f>
        <v>0</v>
      </c>
      <c r="CY120" s="3">
        <f>CX120</f>
        <v>0</v>
      </c>
    </row>
    <row r="121">
      <c r="C121" s="26" t="inlineStr">
        <is>
          <t>Other current assets</t>
        </is>
      </c>
      <c r="D121" s="25">
        <f>INDEX('Inputs (2)'!$D$20:$AL$20,MATCH(D$7,'Inputs (2)'!$D$2:$AL$2,0))</f>
        <v>82.32837364</v>
      </c>
      <c r="E121" s="25">
        <f>INDEX('Inputs (2)'!$D$20:$AL$20,MATCH(E$7,'Inputs (2)'!$D$2:$AL$2,0))</f>
        <v>98.3831463400008</v>
      </c>
      <c r="F121" s="25">
        <f>INDEX('Inputs (2)'!$D$20:$AL$20,MATCH(F$7,'Inputs (2)'!$D$2:$AL$2,0))</f>
        <v>76.273454639997</v>
      </c>
      <c r="G121" s="25">
        <f>INDEX('Inputs (2)'!$D$20:$AL$20,MATCH(G$7,'Inputs (2)'!$D$2:$AL$2,0))</f>
        <v>63.06147049</v>
      </c>
      <c r="H121" s="3">
        <f>G121</f>
        <v>63.06147049</v>
      </c>
      <c r="I121" s="25">
        <f>INDEX('Inputs (2)'!$D$20:$AL$20,MATCH(I$7,'Inputs (2)'!$D$2:$AL$2,0))</f>
        <v>63.62988346</v>
      </c>
      <c r="J121" s="25">
        <f>INDEX('Inputs (2)'!$D$20:$AL$20,MATCH(J$7,'Inputs (2)'!$D$2:$AL$2,0))</f>
        <v>61.85708362</v>
      </c>
      <c r="K121" s="25">
        <f>INDEX('Inputs (2)'!$D$20:$AL$20,MATCH(K$7,'Inputs (2)'!$D$2:$AL$2,0))</f>
        <v>151.69322796</v>
      </c>
      <c r="L121" s="25">
        <f>INDEX('Inputs (2)'!$D$20:$AL$20,MATCH(L$7,'Inputs (2)'!$D$2:$AL$2,0))</f>
        <v>71.99774145</v>
      </c>
      <c r="M121" s="3">
        <f>L121</f>
        <v>71.99774145</v>
      </c>
      <c r="N121" s="25">
        <f>INDEX('Inputs (2)'!$D$20:$AL$20,MATCH(N$7,'Inputs (2)'!$D$2:$AL$2,0))</f>
        <v>104.14867507</v>
      </c>
      <c r="O121" s="25">
        <f>INDEX('Inputs (2)'!$D$20:$AL$20,MATCH(O$7,'Inputs (2)'!$D$2:$AL$2,0))</f>
        <v>147.91897069</v>
      </c>
      <c r="P121" s="25">
        <f>INDEX('Inputs (2)'!$D$20:$AL$20,MATCH(P$7,'Inputs (2)'!$D$2:$AL$2,0))</f>
        <v>180.4205824</v>
      </c>
      <c r="Q121" s="25">
        <f>INDEX('Inputs (2)'!$D$20:$AL$20,MATCH(Q$7,'Inputs (2)'!$D$2:$AL$2,0))</f>
        <v>128.48923243</v>
      </c>
      <c r="R121" s="3">
        <f>Q121</f>
        <v>128.48923243</v>
      </c>
      <c r="S121" s="25">
        <f>INDEX('Inputs (2)'!$D$20:$AL$20,MATCH(S$7,'Inputs (2)'!$D$2:$AL$2,0))</f>
        <v>121.272759</v>
      </c>
      <c r="T121" s="25">
        <f>INDEX('Inputs (2)'!$D$20:$AL$20,MATCH(T$7,'Inputs (2)'!$D$2:$AL$2,0))</f>
        <v>208.445</v>
      </c>
      <c r="U121" s="25">
        <f>INDEX('Inputs (2)'!$D$20:$AL$20,MATCH(U$7,'Inputs (2)'!$D$2:$AL$2,0))</f>
        <v>168.103</v>
      </c>
      <c r="V121" s="25">
        <f>INDEX('Inputs (2)'!$D$20:$AL$20,MATCH(V$7,'Inputs (2)'!$D$2:$AL$2,0))</f>
        <v>239.301</v>
      </c>
      <c r="W121" s="3">
        <f>V121</f>
        <v>239.301</v>
      </c>
      <c r="X121" s="25">
        <f>INDEX('Inputs (2)'!$D$20:$AL$20,MATCH(X$7,'Inputs (2)'!$D$2:$AL$2,0))</f>
        <v>254.996</v>
      </c>
      <c r="Y121" s="25">
        <f>INDEX('Inputs (2)'!$D$20:$AL$20,MATCH(Y$7,'Inputs (2)'!$D$2:$AL$2,0))</f>
        <v>265.067</v>
      </c>
      <c r="Z121" s="25">
        <f>INDEX('Inputs (2)'!$D$20:$AL$20,MATCH(Z$7,'Inputs (2)'!$D$2:$AL$2,0))</f>
        <v>253.653</v>
      </c>
      <c r="AA121" s="25">
        <f>INDEX('Inputs (2)'!$D$20:$AL$20,MATCH(AA$7,'Inputs (2)'!$D$2:$AL$2,0))</f>
        <v>244.111</v>
      </c>
      <c r="AB121" s="3">
        <f>AA121</f>
        <v>244.111</v>
      </c>
      <c r="AC121" s="25">
        <f>INDEX('Inputs (2)'!$D$20:$AL$20,MATCH(AC$7,'Inputs (2)'!$D$2:$AL$2,0))</f>
        <v>258.051</v>
      </c>
      <c r="AD121" s="25">
        <f>INDEX('Inputs (2)'!$D$20:$AL$20,MATCH(AD$7,'Inputs (2)'!$D$2:$AL$2,0))</f>
        <v>274.276</v>
      </c>
      <c r="AE121" s="25">
        <f>INDEX('Inputs (2)'!$D$20:$AL$20,MATCH(AE$7,'Inputs (2)'!$D$2:$AL$2,0))</f>
        <v>285.309</v>
      </c>
      <c r="AF121" s="25">
        <f>INDEX('Inputs (2)'!$D$20:$AL$20,MATCH(AF$7,'Inputs (2)'!$D$2:$AL$2,0))</f>
        <v>331.206</v>
      </c>
      <c r="AG121" s="3">
        <f>AF121</f>
        <v>331.206</v>
      </c>
      <c r="AH121" s="3">
        <f>INDEX('Inputs (2)'!$D$20:$AL$20,MATCH(AH$7,'Inputs (2)'!$D$2:$AL$2,0))</f>
        <v>343.446</v>
      </c>
      <c r="AI121" s="3">
        <f>INDEX('Inputs (2)'!$D$20:$AL$20,MATCH(AI$7,'Inputs (2)'!$D$2:$AL$2,0))</f>
        <v>388.476</v>
      </c>
      <c r="AJ121" s="3">
        <f>AI121</f>
        <v>388.476</v>
      </c>
      <c r="AK121" s="3">
        <f>AJ121</f>
        <v>388.476</v>
      </c>
      <c r="AL121" s="3">
        <f>AK121</f>
        <v>388.476</v>
      </c>
      <c r="AM121" s="3">
        <f>AL121</f>
        <v>388.476</v>
      </c>
      <c r="AN121" s="3">
        <f>AM121</f>
        <v>388.476</v>
      </c>
      <c r="AO121" s="3">
        <f>AN121</f>
        <v>388.476</v>
      </c>
      <c r="AP121" s="3">
        <f>AO121</f>
        <v>388.476</v>
      </c>
      <c r="AQ121" s="3">
        <f>AP121</f>
        <v>388.476</v>
      </c>
      <c r="AR121" s="3">
        <f>AQ121</f>
        <v>388.476</v>
      </c>
      <c r="AS121" s="3">
        <f>AR121</f>
        <v>388.476</v>
      </c>
      <c r="AT121" s="3">
        <f>AS121</f>
        <v>388.476</v>
      </c>
      <c r="AU121" s="3">
        <f>AT121</f>
        <v>388.476</v>
      </c>
      <c r="AV121" s="3">
        <f>AU121</f>
        <v>388.476</v>
      </c>
      <c r="AW121" s="3">
        <f>AV121</f>
        <v>388.476</v>
      </c>
      <c r="AX121" s="3">
        <f>AW121</f>
        <v>388.476</v>
      </c>
      <c r="AY121" s="3">
        <f>AX121</f>
        <v>388.476</v>
      </c>
      <c r="AZ121" s="3">
        <f>AY121</f>
        <v>388.476</v>
      </c>
      <c r="BA121" s="3">
        <f>AZ121</f>
        <v>388.476</v>
      </c>
      <c r="BB121" s="3">
        <f>BA121</f>
        <v>388.476</v>
      </c>
      <c r="BC121" s="3">
        <f>BB121</f>
        <v>388.476</v>
      </c>
      <c r="BD121" s="3">
        <f>BC121</f>
        <v>388.476</v>
      </c>
      <c r="BE121" s="3">
        <f>BD121</f>
        <v>388.476</v>
      </c>
      <c r="BF121" s="3">
        <f>BE121</f>
        <v>388.476</v>
      </c>
      <c r="BG121" s="3">
        <f>BF121</f>
        <v>388.476</v>
      </c>
      <c r="BH121" s="3">
        <f>BG121</f>
        <v>388.476</v>
      </c>
      <c r="BI121" s="3">
        <f>BH121</f>
        <v>388.476</v>
      </c>
      <c r="BJ121" s="3">
        <f>BI121</f>
        <v>388.476</v>
      </c>
      <c r="BK121" s="3">
        <f>BJ121</f>
        <v>388.476</v>
      </c>
      <c r="BL121" s="3">
        <f>BK121</f>
        <v>388.476</v>
      </c>
      <c r="BM121" s="3">
        <f>BL121</f>
        <v>388.476</v>
      </c>
      <c r="BN121" s="3">
        <f>BM121</f>
        <v>388.476</v>
      </c>
      <c r="BO121" s="3">
        <f>BN121</f>
        <v>388.476</v>
      </c>
      <c r="BP121" s="3">
        <f>BO121</f>
        <v>388.476</v>
      </c>
      <c r="BQ121" s="3">
        <f>BP121</f>
        <v>388.476</v>
      </c>
      <c r="BR121" s="3">
        <f>BQ121</f>
        <v>388.476</v>
      </c>
      <c r="BS121" s="3">
        <f>BR121</f>
        <v>388.476</v>
      </c>
      <c r="BT121" s="3">
        <f>BS121</f>
        <v>388.476</v>
      </c>
      <c r="BU121" s="3">
        <f>BT121</f>
        <v>388.476</v>
      </c>
      <c r="BV121" s="3">
        <f>BU121</f>
        <v>388.476</v>
      </c>
      <c r="BW121" s="3">
        <f>BV121</f>
        <v>388.476</v>
      </c>
      <c r="BX121" s="3">
        <f>BW121</f>
        <v>388.476</v>
      </c>
      <c r="BY121" s="3">
        <f>BX121</f>
        <v>388.476</v>
      </c>
      <c r="BZ121" s="3">
        <f>BY121</f>
        <v>388.476</v>
      </c>
      <c r="CA121" s="3">
        <f>BZ121</f>
        <v>388.476</v>
      </c>
      <c r="CB121" s="3">
        <f>CA121</f>
        <v>388.476</v>
      </c>
      <c r="CC121" s="3">
        <f>CB121</f>
        <v>388.476</v>
      </c>
      <c r="CD121" s="3">
        <f>CC121</f>
        <v>388.476</v>
      </c>
      <c r="CE121" s="3">
        <f>CD121</f>
        <v>388.476</v>
      </c>
      <c r="CF121" s="3">
        <f>CE121</f>
        <v>388.476</v>
      </c>
      <c r="CG121" s="3">
        <f>CF121</f>
        <v>388.476</v>
      </c>
      <c r="CH121" s="3">
        <f>CG121</f>
        <v>388.476</v>
      </c>
      <c r="CI121" s="3">
        <f>CH121</f>
        <v>388.476</v>
      </c>
      <c r="CJ121" s="3">
        <f>CI121</f>
        <v>388.476</v>
      </c>
      <c r="CK121" s="3">
        <f>CJ121</f>
        <v>388.476</v>
      </c>
      <c r="CL121" s="3">
        <f>CK121</f>
        <v>388.476</v>
      </c>
      <c r="CM121" s="3">
        <f>CL121</f>
        <v>388.476</v>
      </c>
      <c r="CN121" s="3">
        <f>CM121</f>
        <v>388.476</v>
      </c>
      <c r="CO121" s="3">
        <f>CN121</f>
        <v>388.476</v>
      </c>
      <c r="CP121" s="3">
        <f>CO121</f>
        <v>388.476</v>
      </c>
      <c r="CQ121" s="3">
        <f>CP121</f>
        <v>388.476</v>
      </c>
      <c r="CR121" s="3">
        <f>CQ121</f>
        <v>388.476</v>
      </c>
      <c r="CS121" s="3">
        <f>CR121</f>
        <v>388.476</v>
      </c>
      <c r="CT121" s="3">
        <f>CS121</f>
        <v>388.476</v>
      </c>
      <c r="CU121" s="3">
        <f>CT121</f>
        <v>388.476</v>
      </c>
      <c r="CV121" s="3">
        <f>CU121</f>
        <v>388.476</v>
      </c>
      <c r="CW121" s="3">
        <f>CV121</f>
        <v>388.476</v>
      </c>
      <c r="CX121" s="3">
        <f>CW121</f>
        <v>388.476</v>
      </c>
      <c r="CY121" s="3">
        <f>CX121</f>
        <v>388.476</v>
      </c>
    </row>
    <row r="122" hidden="1" outlineLevel="1">
      <c r="C122" s="38" t="inlineStr">
        <is>
          <t>%(Var.)</t>
        </is>
      </c>
      <c r="D122" s="3" t="n"/>
      <c r="E122" s="47">
        <f>(E121-D121)/D121</f>
        <v>0.195008986454707</v>
      </c>
      <c r="F122" s="47">
        <f>(F121-E121)/E121</f>
        <v>-0.224730479990905</v>
      </c>
      <c r="G122" s="47">
        <f>(G121-F121)/F121</f>
        <v>-0.173218640906672</v>
      </c>
      <c r="H122" s="3" t="n"/>
      <c r="I122" s="47">
        <f>(I121-H121)/H121</f>
        <v>0.00901363329436086</v>
      </c>
      <c r="J122" s="47">
        <f>(J121-I121)/I121</f>
        <v>-0.0278611203352974</v>
      </c>
      <c r="K122" s="47">
        <f>(K121-J121)/J121</f>
        <v>1.45231781200486</v>
      </c>
      <c r="L122" s="47">
        <f>(L121-K121)/K121</f>
        <v>-0.525372738003933</v>
      </c>
      <c r="M122" s="3" t="n"/>
      <c r="N122" s="47">
        <f>(N121-M121)/M121</f>
        <v>0.446554752586617</v>
      </c>
      <c r="O122" s="47">
        <f>(O121-N121)/N121</f>
        <v>0.420267426259444</v>
      </c>
      <c r="P122" s="47">
        <f>(P121-O121)/O121</f>
        <v>0.219725783369024</v>
      </c>
      <c r="Q122" s="47">
        <f>(Q121-P121)/P121</f>
        <v>-0.287834953635534</v>
      </c>
      <c r="R122" s="3" t="n"/>
      <c r="S122" s="47">
        <f>(S121-R121)/R121</f>
        <v>-0.0561640325303639</v>
      </c>
      <c r="T122" s="47">
        <f>(T121-S121)/S121</f>
        <v>0.718811394403916</v>
      </c>
      <c r="U122" s="47">
        <f>(U121-T121)/T121</f>
        <v>-0.193537863705054</v>
      </c>
      <c r="V122" s="47">
        <f>(V121-U121)/U121</f>
        <v>0.423537949947354</v>
      </c>
      <c r="W122" s="3" t="n"/>
      <c r="X122" s="47">
        <f>(X121-W121)/W121</f>
        <v>0.0655868550486627</v>
      </c>
      <c r="Y122" s="47">
        <f>(Y121-X121)/X121</f>
        <v>0.0394947371723478</v>
      </c>
      <c r="Z122" s="47">
        <f>(Z121-Y121)/Y121</f>
        <v>-0.0430608110402275</v>
      </c>
      <c r="AA122" s="47">
        <f>(AA121-Z121)/Z121</f>
        <v>-0.0376183210922009</v>
      </c>
      <c r="AB122" s="3" t="n"/>
      <c r="AC122" s="47">
        <f>(AC121-AB121)/AB121</f>
        <v>0.057105169369672</v>
      </c>
      <c r="AD122" s="47">
        <f>(AD121-AC121)/AC121</f>
        <v>0.0628751680869286</v>
      </c>
      <c r="AE122" s="47">
        <f>(AE121-AD121)/AD121</f>
        <v>0.040225903834094</v>
      </c>
      <c r="AF122" s="218">
        <f>(AF121-AE121)/AE121</f>
        <v>0.160867690819428</v>
      </c>
      <c r="AG122" s="3" t="n"/>
      <c r="AH122" s="3">
        <f>(AH121-AG121)/AG121</f>
        <v>0.0369558522490533</v>
      </c>
      <c r="AI122" s="3">
        <f>(AI121-AH121)/AH121</f>
        <v>0.131112314599675</v>
      </c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>
        <f>AG124*AH15/AG15</f>
        <v>0</v>
      </c>
      <c r="AI124" s="216">
        <f>AH124*AI15/AH15</f>
        <v>0</v>
      </c>
      <c r="AJ124" s="216">
        <f>AI124*AJ15/AI15</f>
        <v>0</v>
      </c>
      <c r="AK124" s="216">
        <f>AJ124*AK15/AJ15</f>
        <v>0</v>
      </c>
      <c r="AL124" s="3">
        <f>AK124</f>
        <v>0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>
        <f>INDEX('Inputs (2)'!$D$21:$AL$21,MATCH(D$7,'Inputs (2)'!$D$2:$AL$2,0))</f>
        <v>17.5695489861008</v>
      </c>
      <c r="E127" s="25">
        <f>INDEX('Inputs (2)'!$D$21:$AL$21,MATCH(E$7,'Inputs (2)'!$D$2:$AL$2,0))</f>
        <v>18.0742044236336</v>
      </c>
      <c r="F127" s="25">
        <f>INDEX('Inputs (2)'!$D$21:$AL$21,MATCH(F$7,'Inputs (2)'!$D$2:$AL$2,0))</f>
        <v>23.1600065860319</v>
      </c>
      <c r="G127" s="25">
        <f>INDEX('Inputs (2)'!$D$21:$AL$21,MATCH(G$7,'Inputs (2)'!$D$2:$AL$2,0))</f>
        <v>34.3720942828173</v>
      </c>
      <c r="H127" s="3">
        <f>G127</f>
        <v>34.3720942828173</v>
      </c>
      <c r="I127" s="25">
        <f>INDEX('Inputs (2)'!$D$21:$AL$21,MATCH(I$7,'Inputs (2)'!$D$2:$AL$2,0))</f>
        <v>33.9309088196028</v>
      </c>
      <c r="J127" s="25">
        <f>INDEX('Inputs (2)'!$D$21:$AL$21,MATCH(J$7,'Inputs (2)'!$D$2:$AL$2,0))</f>
        <v>135.736947285287</v>
      </c>
      <c r="K127" s="25">
        <f>INDEX('Inputs (2)'!$D$21:$AL$21,MATCH(K$7,'Inputs (2)'!$D$2:$AL$2,0))</f>
        <v>355.250406008409</v>
      </c>
      <c r="L127" s="25">
        <f>INDEX('Inputs (2)'!$D$21:$AL$21,MATCH(L$7,'Inputs (2)'!$D$2:$AL$2,0))</f>
        <v>43.0832158302319</v>
      </c>
      <c r="M127" s="3">
        <f>L127</f>
        <v>43.0832158302319</v>
      </c>
      <c r="N127" s="25">
        <f>INDEX('Inputs (2)'!$D$21:$AL$21,MATCH(N$7,'Inputs (2)'!$D$2:$AL$2,0))</f>
        <v>40.5498050422764</v>
      </c>
      <c r="O127" s="25">
        <f>INDEX('Inputs (2)'!$D$21:$AL$21,MATCH(O$7,'Inputs (2)'!$D$2:$AL$2,0))</f>
        <v>42.331656162821</v>
      </c>
      <c r="P127" s="25">
        <f>INDEX('Inputs (2)'!$D$21:$AL$21,MATCH(P$7,'Inputs (2)'!$D$2:$AL$2,0))</f>
        <v>52.56045319</v>
      </c>
      <c r="Q127" s="25">
        <f>INDEX('Inputs (2)'!$D$21:$AL$21,MATCH(Q$7,'Inputs (2)'!$D$2:$AL$2,0))</f>
        <v>44.0802310958267</v>
      </c>
      <c r="R127" s="3">
        <f>Q127</f>
        <v>44.0802310958267</v>
      </c>
      <c r="S127" s="25">
        <f>INDEX('Inputs (2)'!$D$21:$AL$21,MATCH(S$7,'Inputs (2)'!$D$2:$AL$2,0))</f>
        <v>56.8724403</v>
      </c>
      <c r="T127" s="25">
        <f>INDEX('Inputs (2)'!$D$21:$AL$21,MATCH(T$7,'Inputs (2)'!$D$2:$AL$2,0))</f>
        <v>66.428</v>
      </c>
      <c r="U127" s="25">
        <f>INDEX('Inputs (2)'!$D$21:$AL$21,MATCH(U$7,'Inputs (2)'!$D$2:$AL$2,0))</f>
        <v>68.26</v>
      </c>
      <c r="V127" s="25">
        <f>INDEX('Inputs (2)'!$D$21:$AL$21,MATCH(V$7,'Inputs (2)'!$D$2:$AL$2,0))</f>
        <v>81.519</v>
      </c>
      <c r="W127" s="3">
        <f>V127</f>
        <v>81.519</v>
      </c>
      <c r="X127" s="25">
        <f>INDEX('Inputs (2)'!$D$21:$AL$21,MATCH(X$7,'Inputs (2)'!$D$2:$AL$2,0))</f>
        <v>69.005</v>
      </c>
      <c r="Y127" s="25">
        <f>INDEX('Inputs (2)'!$D$21:$AL$21,MATCH(Y$7,'Inputs (2)'!$D$2:$AL$2,0))</f>
        <v>93.409</v>
      </c>
      <c r="Z127" s="25">
        <f>INDEX('Inputs (2)'!$D$21:$AL$21,MATCH(Z$7,'Inputs (2)'!$D$2:$AL$2,0))</f>
        <v>100.357</v>
      </c>
      <c r="AA127" s="25">
        <f>INDEX('Inputs (2)'!$D$21:$AL$21,MATCH(AA$7,'Inputs (2)'!$D$2:$AL$2,0))</f>
        <v>81.91</v>
      </c>
      <c r="AB127" s="3">
        <f>AA127</f>
        <v>81.91</v>
      </c>
      <c r="AC127" s="25">
        <f>INDEX('Inputs (2)'!$D$21:$AL$21,MATCH(AC$7,'Inputs (2)'!$D$2:$AL$2,0))</f>
        <v>102.201544</v>
      </c>
      <c r="AD127" s="25">
        <f>INDEX('Inputs (2)'!$D$21:$AL$21,MATCH(AD$7,'Inputs (2)'!$D$2:$AL$2,0))</f>
        <v>241.834</v>
      </c>
      <c r="AE127" s="25">
        <f>INDEX('Inputs (2)'!$D$21:$AL$21,MATCH(AE$7,'Inputs (2)'!$D$2:$AL$2,0))</f>
        <v>109.652</v>
      </c>
      <c r="AF127" s="25">
        <f>INDEX('Inputs (2)'!$D$21:$AL$21,MATCH(AF$7,'Inputs (2)'!$D$2:$AL$2,0))</f>
        <v>111.772</v>
      </c>
      <c r="AG127" s="3">
        <f>AF127</f>
        <v>111.772</v>
      </c>
      <c r="AH127" s="3">
        <f>INDEX('Inputs (2)'!$D$21:$AL$21,MATCH(AH$7,'Inputs (2)'!$D$2:$AL$2,0))</f>
        <v>105.85</v>
      </c>
      <c r="AI127" s="3">
        <f>INDEX('Inputs (2)'!$D$21:$AL$21,MATCH(AI$7,'Inputs (2)'!$D$2:$AL$2,0))</f>
        <v>169.324</v>
      </c>
      <c r="AJ127" s="3">
        <f>AI127+AJ101+AJ130</f>
        <v>165.717661916582</v>
      </c>
      <c r="AK127" s="3">
        <f>AJ127+AK101+AK130</f>
        <v>160.8120153217</v>
      </c>
      <c r="AL127" s="3">
        <f>AK127</f>
        <v>160.8120153217</v>
      </c>
      <c r="AM127" s="3">
        <f>AL127+AM101+AM130</f>
        <v>155.7504473217</v>
      </c>
      <c r="AN127" s="3">
        <f>AM127+AN101+AN130</f>
        <v>150.3857213217</v>
      </c>
      <c r="AO127" s="3">
        <f>AN127+AO101+AO130</f>
        <v>146.779383238282</v>
      </c>
      <c r="AP127" s="3">
        <f>AO127+AP101+AP130</f>
        <v>141.873736643399</v>
      </c>
      <c r="AQ127" s="3">
        <f>AP127</f>
        <v>141.873736643399</v>
      </c>
      <c r="AR127" s="3">
        <f>AQ127+AR101+AR130</f>
        <v>136.812168643399</v>
      </c>
      <c r="AS127" s="3">
        <f>AR127+AS101+AS130</f>
        <v>131.447442643399</v>
      </c>
      <c r="AT127" s="3">
        <f>AS127+AT101+AT130</f>
        <v>127.841104559981</v>
      </c>
      <c r="AU127" s="3">
        <f>AT127+AU101+AU130</f>
        <v>122.935457965099</v>
      </c>
      <c r="AV127" s="3">
        <f>AU127</f>
        <v>122.935457965099</v>
      </c>
      <c r="AW127" s="3">
        <f>AV127+AW101+AW130</f>
        <v>117.873889965099</v>
      </c>
      <c r="AX127" s="3">
        <f>AW127+AX101+AX130</f>
        <v>112.509163965099</v>
      </c>
      <c r="AY127" s="3">
        <f>AX127+AY101+AY130</f>
        <v>108.902825881681</v>
      </c>
      <c r="AZ127" s="3">
        <f>AY127+AZ101+AZ130</f>
        <v>103.997179286798</v>
      </c>
      <c r="BA127" s="3">
        <f>AZ127</f>
        <v>103.997179286798</v>
      </c>
      <c r="BB127" s="3">
        <f>BA127+BB101+BB130</f>
        <v>98.9356112867982</v>
      </c>
      <c r="BC127" s="3">
        <f>BB127+BC101+BC130</f>
        <v>93.5708852867982</v>
      </c>
      <c r="BD127" s="3">
        <f>BC127+BD101+BD130</f>
        <v>89.9645472033802</v>
      </c>
      <c r="BE127" s="3">
        <f>BD127+BE101+BE130</f>
        <v>85.0589006084977</v>
      </c>
      <c r="BF127" s="3">
        <f>BE127</f>
        <v>85.0589006084977</v>
      </c>
      <c r="BG127" s="3">
        <f>BF127+BG101+BG130</f>
        <v>79.9973326084977</v>
      </c>
      <c r="BH127" s="3">
        <f>BG127+BH101+BH130</f>
        <v>74.6326066084977</v>
      </c>
      <c r="BI127" s="3">
        <f>BH127+BI101+BI130</f>
        <v>71.0262685250797</v>
      </c>
      <c r="BJ127" s="3">
        <f>BI127+BJ101+BJ130</f>
        <v>66.1206219301972</v>
      </c>
      <c r="BK127" s="3">
        <f>BJ127</f>
        <v>66.1206219301972</v>
      </c>
      <c r="BL127" s="3">
        <f>BK127+BL101+BL130</f>
        <v>61.0590539301972</v>
      </c>
      <c r="BM127" s="3">
        <f>BL127+BM101+BM130</f>
        <v>55.6943279301972</v>
      </c>
      <c r="BN127" s="3">
        <f>BM127+BN101+BN130</f>
        <v>52.0879898467793</v>
      </c>
      <c r="BO127" s="3">
        <f>BN127+BO101+BO130</f>
        <v>47.1823432518968</v>
      </c>
      <c r="BP127" s="3">
        <f>BO127</f>
        <v>47.1823432518968</v>
      </c>
      <c r="BQ127" s="3">
        <f>BP127+BQ101+BQ130</f>
        <v>42.1207752518968</v>
      </c>
      <c r="BR127" s="3">
        <f>BQ127+BR101+BR130</f>
        <v>36.7560492518968</v>
      </c>
      <c r="BS127" s="3">
        <f>BR127+BS101+BS130</f>
        <v>33.1497111684788</v>
      </c>
      <c r="BT127" s="3">
        <f>BS127+BT101+BT130</f>
        <v>28.2440645735963</v>
      </c>
      <c r="BU127" s="3">
        <f>BT127</f>
        <v>28.2440645735963</v>
      </c>
      <c r="BV127" s="3">
        <f>BU127+BV101+BV130</f>
        <v>23.1824965735963</v>
      </c>
      <c r="BW127" s="3">
        <f>BV127+BW101+BW130</f>
        <v>17.8177705735963</v>
      </c>
      <c r="BX127" s="3">
        <f>BW127+BX101+BX130</f>
        <v>14.2114324901783</v>
      </c>
      <c r="BY127" s="3">
        <f>BX127+BY101+BY130</f>
        <v>9.30578589529583</v>
      </c>
      <c r="BZ127" s="3">
        <f>BY127</f>
        <v>9.30578589529583</v>
      </c>
      <c r="CA127" s="3">
        <f>BZ127+CA101+CA130</f>
        <v>4.24421789529583</v>
      </c>
      <c r="CB127" s="3">
        <f>CA127+CB101+CB130</f>
        <v>-1.12050810470417</v>
      </c>
      <c r="CC127" s="3">
        <f>CB127+CC101+CC130</f>
        <v>-4.72684618812214</v>
      </c>
      <c r="CD127" s="3">
        <f>CC127+CD101+CD130</f>
        <v>-9.63249278300464</v>
      </c>
      <c r="CE127" s="3">
        <f>CD127</f>
        <v>-9.63249278300464</v>
      </c>
      <c r="CF127" s="3">
        <f>CE127+CF101+CF130</f>
        <v>-14.6940607830046</v>
      </c>
      <c r="CG127" s="3">
        <f>CF127+CG101+CG130</f>
        <v>-20.0587867830046</v>
      </c>
      <c r="CH127" s="3">
        <f>CG127+CH101+CH130</f>
        <v>-23.6651248664226</v>
      </c>
      <c r="CI127" s="3">
        <f>CH127+CI101+CI130</f>
        <v>-28.5707714613051</v>
      </c>
      <c r="CJ127" s="3">
        <f>CI127</f>
        <v>-28.5707714613051</v>
      </c>
      <c r="CK127" s="3">
        <f>CJ127+CK101+CK130</f>
        <v>-33.6323394613051</v>
      </c>
      <c r="CL127" s="3">
        <f>CK127+CL101+CL130</f>
        <v>-38.9970654613051</v>
      </c>
      <c r="CM127" s="3">
        <f>CL127+CM101+CM130</f>
        <v>-42.6034035447231</v>
      </c>
      <c r="CN127" s="3">
        <f>CM127+CN101+CN130</f>
        <v>-47.5090501396056</v>
      </c>
      <c r="CO127" s="3">
        <f>CN127</f>
        <v>-47.5090501396056</v>
      </c>
      <c r="CP127" s="3">
        <f>CO127+CP101+CP130</f>
        <v>-52.5706181396056</v>
      </c>
      <c r="CQ127" s="3">
        <f>CP127+CQ101+CQ130</f>
        <v>-57.9353441396056</v>
      </c>
      <c r="CR127" s="3">
        <f>CQ127+CR101+CR130</f>
        <v>-61.5416822230235</v>
      </c>
      <c r="CS127" s="3">
        <f>CR127+CS101+CS130</f>
        <v>-66.447328817906</v>
      </c>
      <c r="CT127" s="3">
        <f>CS127</f>
        <v>-66.447328817906</v>
      </c>
      <c r="CU127" s="3">
        <f>CT127+CU101+CU130</f>
        <v>-71.508896817906</v>
      </c>
      <c r="CV127" s="3">
        <f>CU127+CV101+CV130</f>
        <v>-76.873622817906</v>
      </c>
      <c r="CW127" s="3">
        <f>CV127+CW101+CW130</f>
        <v>-80.479960901324</v>
      </c>
      <c r="CX127" s="3">
        <f>CW127+CX101+CX130</f>
        <v>-85.3856074962065</v>
      </c>
      <c r="CY127" s="3">
        <f>CX127</f>
        <v>-85.3856074962065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-1.00099691771971</v>
      </c>
      <c r="O129" s="3">
        <f>IF(J101=0,0,O101/J101-1)</f>
        <v>-186.407471143441</v>
      </c>
      <c r="P129" s="3">
        <f>IF(K101=0,0,P101/K101-1)</f>
        <v>-0.433745387752946</v>
      </c>
      <c r="Q129" s="3">
        <f>IF(L101=0,0,Q101/L101-1)</f>
        <v>-1.19867672159763</v>
      </c>
      <c r="R129" s="3" t="n"/>
      <c r="S129" s="3">
        <f>IF(N101=0,0,S101/N101-1)</f>
        <v>-1</v>
      </c>
      <c r="T129" s="3">
        <f>IF(O101=0,0,T101/O101-1)</f>
        <v>-0.38469789503214</v>
      </c>
      <c r="U129" s="3">
        <f>IF(P101=0,0,U101/P101-1)</f>
        <v>-0.295357027380344</v>
      </c>
      <c r="V129" s="3">
        <f>IF(Q101=0,0,V101/Q101-1)</f>
        <v>3.46195421845556</v>
      </c>
      <c r="W129" s="3" t="n"/>
      <c r="X129" s="3">
        <f>IF(S101=0,0,X101/S101-1)</f>
        <v>0</v>
      </c>
      <c r="Y129" s="3">
        <f>IF(T101=0,0,Y101/T101-1)</f>
        <v>-4.14509803921569</v>
      </c>
      <c r="Z129" s="3">
        <f>IF(U101=0,0,Z101/U101-1)</f>
        <v>-4.72159090909091</v>
      </c>
      <c r="AA129" s="3">
        <f>IF(V101=0,0,AA101/V101-1)</f>
        <v>7.91240875912409</v>
      </c>
      <c r="AB129" s="3" t="n"/>
      <c r="AC129" s="3">
        <f>IF(X101=0,0,AC101/X101-1)</f>
        <v>5.52586206896552</v>
      </c>
      <c r="AD129" s="3">
        <f>IF(Y101=0,0,AD101/Y101-1)</f>
        <v>2.46134663341646</v>
      </c>
      <c r="AE129" s="3">
        <f>IF(Z101=0,0,AE101/Z101-1)</f>
        <v>4.50585966934041</v>
      </c>
      <c r="AF129" s="3">
        <f>IF(AA101=0,0,AF101/AA101-1)</f>
        <v>1.00886428946867</v>
      </c>
      <c r="AG129" s="3" t="n"/>
      <c r="AH129" s="6">
        <f>IF(AC101=0,0,AH101/AC101-1)</f>
        <v>1.22878379568472</v>
      </c>
      <c r="AI129" s="6">
        <f>IF(AD101=0,0,AI101/AD101-1)</f>
        <v>0.93253818443804</v>
      </c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>
        <f>INDEX('Inputs (2)'!$D$22:$AL$22,MATCH(D$7,'Inputs (2)'!$D$2:$AL$2,0))</f>
        <v>754.229636302314</v>
      </c>
      <c r="E132" s="25">
        <f>INDEX('Inputs (2)'!$D$22:$AL$22,MATCH(E$7,'Inputs (2)'!$D$2:$AL$2,0))</f>
        <v>738.340821293317</v>
      </c>
      <c r="F132" s="25">
        <f>INDEX('Inputs (2)'!$D$22:$AL$22,MATCH(F$7,'Inputs (2)'!$D$2:$AL$2,0))</f>
        <v>707.7424608929</v>
      </c>
      <c r="G132" s="25">
        <f>INDEX('Inputs (2)'!$D$22:$AL$22,MATCH(G$7,'Inputs (2)'!$D$2:$AL$2,0))</f>
        <v>708.768648562485</v>
      </c>
      <c r="H132" s="3">
        <f>G132</f>
        <v>708.768648562485</v>
      </c>
      <c r="I132" s="25">
        <f>INDEX('Inputs (2)'!$D$22:$AL$22,MATCH(I$7,'Inputs (2)'!$D$2:$AL$2,0))</f>
        <v>690.647707332069</v>
      </c>
      <c r="J132" s="25">
        <f>INDEX('Inputs (2)'!$D$22:$AL$22,MATCH(J$7,'Inputs (2)'!$D$2:$AL$2,0))</f>
        <v>707.228095126682</v>
      </c>
      <c r="K132" s="25">
        <f>INDEX('Inputs (2)'!$D$22:$AL$22,MATCH(K$7,'Inputs (2)'!$D$2:$AL$2,0))</f>
        <v>720.527861893454</v>
      </c>
      <c r="L132" s="25">
        <f>INDEX('Inputs (2)'!$D$22:$AL$22,MATCH(L$7,'Inputs (2)'!$D$2:$AL$2,0))</f>
        <v>814.406748984424</v>
      </c>
      <c r="M132" s="3">
        <f>L132</f>
        <v>814.406748984424</v>
      </c>
      <c r="N132" s="25">
        <f>INDEX('Inputs (2)'!$D$22:$AL$22,MATCH(N$7,'Inputs (2)'!$D$2:$AL$2,0))</f>
        <v>800.795161026482</v>
      </c>
      <c r="O132" s="25">
        <f>INDEX('Inputs (2)'!$D$22:$AL$22,MATCH(O$7,'Inputs (2)'!$D$2:$AL$2,0))</f>
        <v>825.129211877353</v>
      </c>
      <c r="P132" s="25">
        <f>INDEX('Inputs (2)'!$D$22:$AL$22,MATCH(P$7,'Inputs (2)'!$D$2:$AL$2,0))</f>
        <v>874.14140573</v>
      </c>
      <c r="Q132" s="25">
        <f>INDEX('Inputs (2)'!$D$22:$AL$22,MATCH(Q$7,'Inputs (2)'!$D$2:$AL$2,0))</f>
        <v>925.882893132822</v>
      </c>
      <c r="R132" s="3">
        <f>Q132</f>
        <v>925.882893132822</v>
      </c>
      <c r="S132" s="25">
        <f>INDEX('Inputs (2)'!$D$22:$AL$22,MATCH(S$7,'Inputs (2)'!$D$2:$AL$2,0))</f>
        <v>909.11490776</v>
      </c>
      <c r="T132" s="25">
        <f>INDEX('Inputs (2)'!$D$22:$AL$22,MATCH(T$7,'Inputs (2)'!$D$2:$AL$2,0))</f>
        <v>1351.334</v>
      </c>
      <c r="U132" s="25">
        <f>INDEX('Inputs (2)'!$D$22:$AL$22,MATCH(U$7,'Inputs (2)'!$D$2:$AL$2,0))</f>
        <v>1349.217</v>
      </c>
      <c r="V132" s="25">
        <f>INDEX('Inputs (2)'!$D$22:$AL$22,MATCH(V$7,'Inputs (2)'!$D$2:$AL$2,0))</f>
        <v>1348.492</v>
      </c>
      <c r="W132" s="3">
        <f>V132</f>
        <v>1348.492</v>
      </c>
      <c r="X132" s="25">
        <f>INDEX('Inputs (2)'!$D$22:$AL$22,MATCH(X$7,'Inputs (2)'!$D$2:$AL$2,0))</f>
        <v>1326.688</v>
      </c>
      <c r="Y132" s="25">
        <f>INDEX('Inputs (2)'!$D$22:$AL$22,MATCH(Y$7,'Inputs (2)'!$D$2:$AL$2,0))</f>
        <v>1320.192</v>
      </c>
      <c r="Z132" s="25">
        <f>INDEX('Inputs (2)'!$D$22:$AL$22,MATCH(Z$7,'Inputs (2)'!$D$2:$AL$2,0))</f>
        <v>1334.583</v>
      </c>
      <c r="AA132" s="25">
        <f>INDEX('Inputs (2)'!$D$22:$AL$22,MATCH(AA$7,'Inputs (2)'!$D$2:$AL$2,0))</f>
        <v>1375.065</v>
      </c>
      <c r="AB132" s="3">
        <f>AA132</f>
        <v>1375.065</v>
      </c>
      <c r="AC132" s="25">
        <f>INDEX('Inputs (2)'!$D$22:$AL$22,MATCH(AC$7,'Inputs (2)'!$D$2:$AL$2,0))</f>
        <v>1348.365553</v>
      </c>
      <c r="AD132" s="25">
        <f>INDEX('Inputs (2)'!$D$22:$AL$22,MATCH(AD$7,'Inputs (2)'!$D$2:$AL$2,0))</f>
        <v>1338.359</v>
      </c>
      <c r="AE132" s="25">
        <f>INDEX('Inputs (2)'!$D$22:$AL$22,MATCH(AE$7,'Inputs (2)'!$D$2:$AL$2,0))</f>
        <v>1344.449</v>
      </c>
      <c r="AF132" s="25">
        <f>INDEX('Inputs (2)'!$D$22:$AL$22,MATCH(AF$7,'Inputs (2)'!$D$2:$AL$2,0))</f>
        <v>1379.255</v>
      </c>
      <c r="AG132" s="3">
        <f>AF132</f>
        <v>1379.255</v>
      </c>
      <c r="AH132" s="3">
        <f>INDEX('Inputs (2)'!$D$22:$AL$22,MATCH(AH$7,'Inputs (2)'!$D$2:$AL$2,0))</f>
        <v>1355.204</v>
      </c>
      <c r="AI132" s="3">
        <f>INDEX('Inputs (2)'!$D$22:$AL$22,MATCH(AI$7,'Inputs (2)'!$D$2:$AL$2,0))</f>
        <v>1404.052</v>
      </c>
      <c r="AJ132" s="3">
        <f>AJ137</f>
        <v>1404.052</v>
      </c>
      <c r="AK132" s="3">
        <f>AK137</f>
        <v>1404.052</v>
      </c>
      <c r="AL132" s="3">
        <f>AK132</f>
        <v>1404.052</v>
      </c>
      <c r="AM132" s="3">
        <f>AM137</f>
        <v>1404.052</v>
      </c>
      <c r="AN132" s="3">
        <f>AN137</f>
        <v>1404.052</v>
      </c>
      <c r="AO132" s="3">
        <f>AO137</f>
        <v>1404.052</v>
      </c>
      <c r="AP132" s="3">
        <f>AP137</f>
        <v>1404.052</v>
      </c>
      <c r="AQ132" s="3">
        <f>AP132</f>
        <v>1404.052</v>
      </c>
      <c r="AR132" s="3">
        <f>AR137</f>
        <v>1404.052</v>
      </c>
      <c r="AS132" s="3">
        <f>AS137</f>
        <v>1404.052</v>
      </c>
      <c r="AT132" s="3">
        <f>AT137</f>
        <v>1404.052</v>
      </c>
      <c r="AU132" s="3">
        <f>AU137</f>
        <v>1404.052</v>
      </c>
      <c r="AV132" s="3">
        <f>AU132</f>
        <v>1404.052</v>
      </c>
      <c r="AW132" s="3">
        <f>AW137</f>
        <v>1404.052</v>
      </c>
      <c r="AX132" s="3">
        <f>AX137</f>
        <v>1404.052</v>
      </c>
      <c r="AY132" s="3">
        <f>AY137</f>
        <v>1404.052</v>
      </c>
      <c r="AZ132" s="3">
        <f>AZ137</f>
        <v>1404.052</v>
      </c>
      <c r="BA132" s="3">
        <f>AZ132</f>
        <v>1404.052</v>
      </c>
      <c r="BB132" s="3">
        <f>BB137</f>
        <v>1404.052</v>
      </c>
      <c r="BC132" s="3">
        <f>BC137</f>
        <v>1404.052</v>
      </c>
      <c r="BD132" s="3">
        <f>BD137</f>
        <v>1404.052</v>
      </c>
      <c r="BE132" s="3">
        <f>BE137</f>
        <v>1404.052</v>
      </c>
      <c r="BF132" s="3">
        <f>BE132</f>
        <v>1404.052</v>
      </c>
      <c r="BG132" s="3">
        <f>BG137</f>
        <v>1404.052</v>
      </c>
      <c r="BH132" s="3">
        <f>BH137</f>
        <v>1404.052</v>
      </c>
      <c r="BI132" s="3">
        <f>BI137</f>
        <v>1404.052</v>
      </c>
      <c r="BJ132" s="3">
        <f>BJ137</f>
        <v>1404.052</v>
      </c>
      <c r="BK132" s="3">
        <f>BJ132</f>
        <v>1404.052</v>
      </c>
      <c r="BL132" s="3">
        <f>BL137</f>
        <v>1404.052</v>
      </c>
      <c r="BM132" s="3">
        <f>BM137</f>
        <v>1404.052</v>
      </c>
      <c r="BN132" s="3">
        <f>BN137</f>
        <v>1404.052</v>
      </c>
      <c r="BO132" s="3">
        <f>BO137</f>
        <v>1404.052</v>
      </c>
      <c r="BP132" s="3">
        <f>BO132</f>
        <v>1404.052</v>
      </c>
      <c r="BQ132" s="3">
        <f>BQ137</f>
        <v>1404.052</v>
      </c>
      <c r="BR132" s="3">
        <f>BR137</f>
        <v>1404.052</v>
      </c>
      <c r="BS132" s="3">
        <f>BS137</f>
        <v>1404.052</v>
      </c>
      <c r="BT132" s="3">
        <f>BT137</f>
        <v>1404.052</v>
      </c>
      <c r="BU132" s="3">
        <f>BT132</f>
        <v>1404.052</v>
      </c>
      <c r="BV132" s="3">
        <f>BV137</f>
        <v>1404.052</v>
      </c>
      <c r="BW132" s="3">
        <f>BW137</f>
        <v>1404.052</v>
      </c>
      <c r="BX132" s="3">
        <f>BX137</f>
        <v>1404.052</v>
      </c>
      <c r="BY132" s="3">
        <f>BY137</f>
        <v>1404.052</v>
      </c>
      <c r="BZ132" s="3">
        <f>BY132</f>
        <v>1404.052</v>
      </c>
      <c r="CA132" s="3">
        <f>CA137</f>
        <v>1404.052</v>
      </c>
      <c r="CB132" s="3">
        <f>CB137</f>
        <v>1404.052</v>
      </c>
      <c r="CC132" s="3">
        <f>CC137</f>
        <v>1404.052</v>
      </c>
      <c r="CD132" s="3">
        <f>CD137</f>
        <v>1404.052</v>
      </c>
      <c r="CE132" s="3">
        <f>CD132</f>
        <v>1404.052</v>
      </c>
      <c r="CF132" s="3">
        <f>CF137</f>
        <v>1404.052</v>
      </c>
      <c r="CG132" s="3">
        <f>CG137</f>
        <v>1404.052</v>
      </c>
      <c r="CH132" s="3">
        <f>CH137</f>
        <v>1404.052</v>
      </c>
      <c r="CI132" s="3">
        <f>CI137</f>
        <v>1404.052</v>
      </c>
      <c r="CJ132" s="3">
        <f>CI132</f>
        <v>1404.052</v>
      </c>
      <c r="CK132" s="3">
        <f>CK137</f>
        <v>1404.052</v>
      </c>
      <c r="CL132" s="3">
        <f>CL137</f>
        <v>1404.052</v>
      </c>
      <c r="CM132" s="3">
        <f>CM137</f>
        <v>1404.052</v>
      </c>
      <c r="CN132" s="3">
        <f>CN137</f>
        <v>1404.052</v>
      </c>
      <c r="CO132" s="3">
        <f>CN132</f>
        <v>1404.052</v>
      </c>
      <c r="CP132" s="3">
        <f>CP137</f>
        <v>1404.052</v>
      </c>
      <c r="CQ132" s="3">
        <f>CQ137</f>
        <v>1404.052</v>
      </c>
      <c r="CR132" s="3">
        <f>CR137</f>
        <v>1404.052</v>
      </c>
      <c r="CS132" s="3">
        <f>CS137</f>
        <v>1404.052</v>
      </c>
      <c r="CT132" s="3">
        <f>CS132</f>
        <v>1404.052</v>
      </c>
      <c r="CU132" s="3">
        <f>CU137</f>
        <v>1404.052</v>
      </c>
      <c r="CV132" s="3">
        <f>CV137</f>
        <v>1404.052</v>
      </c>
      <c r="CW132" s="3">
        <f>CW137</f>
        <v>1404.052</v>
      </c>
      <c r="CX132" s="3">
        <f>CX137</f>
        <v>1404.052</v>
      </c>
      <c r="CY132" s="3">
        <f>CX132</f>
        <v>1404.052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68.810393331003</v>
      </c>
      <c r="F134" s="3">
        <f>F132-E132-F36</f>
        <v>57.1817254595837</v>
      </c>
      <c r="G134" s="3">
        <f>G132-F132-G36</f>
        <v>99.7604620895845</v>
      </c>
      <c r="H134" s="3" t="n"/>
      <c r="I134" s="3">
        <f>I132-H132-I36</f>
        <v>68.7154970595848</v>
      </c>
      <c r="J134" s="3">
        <f>J132-I132-J36</f>
        <v>107.464828354613</v>
      </c>
      <c r="K134" s="3">
        <f>K132-J132-K36</f>
        <v>117.133446016772</v>
      </c>
      <c r="L134" s="3">
        <f>L132-K132-L36</f>
        <v>201.60404561097</v>
      </c>
      <c r="M134" s="3" t="n"/>
      <c r="N134" s="3">
        <f>N132-M132-N36</f>
        <v>93.8480479320584</v>
      </c>
      <c r="O134" s="3">
        <f>O132-N132-O36</f>
        <v>138.176616030871</v>
      </c>
      <c r="P134" s="3">
        <f>P132-O132-P36</f>
        <v>158.764699752647</v>
      </c>
      <c r="Q134" s="3">
        <f>Q132-P132-Q36</f>
        <v>176.026087902822</v>
      </c>
      <c r="R134" s="3" t="n"/>
      <c r="S134" s="3">
        <f>S132-R132-S36</f>
        <v>114.494102777178</v>
      </c>
      <c r="T134" s="3">
        <f>T132-S132-T36</f>
        <v>608.29509224</v>
      </c>
      <c r="U134" s="3">
        <f>U132-T132-U36</f>
        <v>186.044</v>
      </c>
      <c r="V134" s="3">
        <f>V132-U132-V36</f>
        <v>189.154</v>
      </c>
      <c r="W134" s="3" t="n"/>
      <c r="X134" s="3">
        <f>X132-W132-X36</f>
        <v>167.75</v>
      </c>
      <c r="Y134" s="3">
        <f>Y132-X132-Y36</f>
        <v>185.308</v>
      </c>
      <c r="Z134" s="3">
        <f>Z132-Y132-Z36</f>
        <v>211</v>
      </c>
      <c r="AA134" s="3">
        <f>AA132-Z132-AA36</f>
        <v>242.498</v>
      </c>
      <c r="AB134" s="3" t="n"/>
      <c r="AC134" s="3">
        <f>AC132-AB132-AC36</f>
        <v>185.44163</v>
      </c>
      <c r="AD134" s="3">
        <f>AD132-AC132-AD36</f>
        <v>212.396447</v>
      </c>
      <c r="AE134" s="3">
        <f>AE132-AD132-AE36</f>
        <v>235.46499664</v>
      </c>
      <c r="AF134" s="6">
        <f>AF132-AE132-AF36</f>
        <v>271.19785589</v>
      </c>
      <c r="AG134" s="3">
        <f>SUM(AC134:AF134)</f>
        <v>904.50092953</v>
      </c>
      <c r="AH134" s="6">
        <f>AH132-AG132-AH36</f>
        <v>209.07069578</v>
      </c>
      <c r="AI134" s="6">
        <f>AI132-AH132-AI36</f>
        <v>264.654</v>
      </c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-87.25438368</v>
      </c>
      <c r="E136" s="3">
        <f>E36</f>
        <v>-84.69920834</v>
      </c>
      <c r="F136" s="3">
        <f>F36</f>
        <v>-87.78008586</v>
      </c>
      <c r="G136" s="3">
        <f>G36</f>
        <v>-98.73427442</v>
      </c>
      <c r="H136" s="3" t="n"/>
      <c r="I136" s="3">
        <f>I36</f>
        <v>-86.83643829</v>
      </c>
      <c r="J136" s="3">
        <f>J36</f>
        <v>-90.88444056</v>
      </c>
      <c r="K136" s="3">
        <f>K36</f>
        <v>-103.83367925</v>
      </c>
      <c r="L136" s="3">
        <f>L36</f>
        <v>-107.72515852</v>
      </c>
      <c r="M136" s="3" t="n"/>
      <c r="N136" s="3">
        <f>N36</f>
        <v>-107.45963589</v>
      </c>
      <c r="O136" s="3">
        <f>O36</f>
        <v>-113.84256518</v>
      </c>
      <c r="P136" s="3">
        <f>P36</f>
        <v>-109.7525059</v>
      </c>
      <c r="Q136" s="3">
        <f>Q36</f>
        <v>-124.2846005</v>
      </c>
      <c r="R136" s="3" t="n"/>
      <c r="S136" s="3">
        <f>S36</f>
        <v>-131.26208815</v>
      </c>
      <c r="T136" s="3">
        <f>T36</f>
        <v>-166.076</v>
      </c>
      <c r="U136" s="3">
        <f>U36</f>
        <v>-188.161</v>
      </c>
      <c r="V136" s="3">
        <f>V36</f>
        <v>-189.879</v>
      </c>
      <c r="W136" s="3" t="n"/>
      <c r="X136" s="3">
        <f>X36</f>
        <v>-189.554</v>
      </c>
      <c r="Y136" s="3">
        <f>Y36</f>
        <v>-191.804</v>
      </c>
      <c r="Z136" s="3">
        <f>Z36</f>
        <v>-196.609</v>
      </c>
      <c r="AA136" s="3">
        <f>AA36</f>
        <v>-202.016</v>
      </c>
      <c r="AB136" s="3" t="n"/>
      <c r="AC136" s="3">
        <f>AC36</f>
        <v>-212.141077</v>
      </c>
      <c r="AD136" s="3">
        <f>AD36</f>
        <v>-222.403</v>
      </c>
      <c r="AE136" s="3">
        <f>AE36</f>
        <v>-229.37499664</v>
      </c>
      <c r="AF136" s="3">
        <f>AF36</f>
        <v>-236.39185589</v>
      </c>
      <c r="AG136" s="3" t="n"/>
      <c r="AH136" s="3">
        <f>AH36</f>
        <v>-233.12169578</v>
      </c>
      <c r="AI136" s="3">
        <f>AI36</f>
        <v>-215.806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754.229636302314</v>
      </c>
      <c r="E137" s="3">
        <f>E132</f>
        <v>738.340821293317</v>
      </c>
      <c r="F137" s="3">
        <f>F132</f>
        <v>707.7424608929</v>
      </c>
      <c r="G137" s="3">
        <f>G132</f>
        <v>708.768648562485</v>
      </c>
      <c r="H137" s="3" t="n"/>
      <c r="I137" s="3">
        <f>I132</f>
        <v>690.647707332069</v>
      </c>
      <c r="J137" s="3">
        <f>J132</f>
        <v>707.228095126682</v>
      </c>
      <c r="K137" s="3">
        <f>K132</f>
        <v>720.527861893454</v>
      </c>
      <c r="L137" s="3">
        <f>L132</f>
        <v>814.406748984424</v>
      </c>
      <c r="M137" s="3" t="n"/>
      <c r="N137" s="3">
        <f>N132</f>
        <v>800.795161026482</v>
      </c>
      <c r="O137" s="3">
        <f>O132</f>
        <v>825.129211877353</v>
      </c>
      <c r="P137" s="3">
        <f>P132</f>
        <v>874.14140573</v>
      </c>
      <c r="Q137" s="3">
        <f>Q132</f>
        <v>925.882893132822</v>
      </c>
      <c r="R137" s="3" t="n"/>
      <c r="S137" s="3">
        <f>S132</f>
        <v>909.11490776</v>
      </c>
      <c r="T137" s="3">
        <f>T132</f>
        <v>1351.334</v>
      </c>
      <c r="U137" s="3">
        <f>U132</f>
        <v>1349.217</v>
      </c>
      <c r="V137" s="3">
        <f>V132</f>
        <v>1348.492</v>
      </c>
      <c r="W137" s="3" t="n"/>
      <c r="X137" s="3">
        <f>X132</f>
        <v>1326.688</v>
      </c>
      <c r="Y137" s="3">
        <f>Y132</f>
        <v>1320.192</v>
      </c>
      <c r="Z137" s="3">
        <f>Z132</f>
        <v>1334.583</v>
      </c>
      <c r="AA137" s="3">
        <f>Y137+SUM(AA134:AA136)</f>
        <v>1360.674</v>
      </c>
      <c r="AB137" s="3" t="n"/>
      <c r="AC137" s="3">
        <f>AC132</f>
        <v>1348.365553</v>
      </c>
      <c r="AD137" s="3">
        <f>AD132</f>
        <v>1338.359</v>
      </c>
      <c r="AE137" s="3">
        <f>AE132</f>
        <v>1344.449</v>
      </c>
      <c r="AF137" s="3">
        <f>AE137+SUM(AF134:AF136)</f>
        <v>1379.255</v>
      </c>
      <c r="AG137" s="3" t="n"/>
      <c r="AH137" s="3">
        <f>AH132</f>
        <v>1355.204</v>
      </c>
      <c r="AI137" s="3">
        <f>AI132</f>
        <v>1404.052</v>
      </c>
      <c r="AJ137" s="3">
        <f>AI137+SUM(AJ134:AJ136)</f>
        <v>1404.052</v>
      </c>
      <c r="AK137" s="3">
        <f>AJ137+SUM(AK134:AK136)</f>
        <v>1404.052</v>
      </c>
      <c r="AL137" s="3" t="n"/>
      <c r="AM137" s="3">
        <f>AK137+SUM(AM134:AM136)</f>
        <v>1404.052</v>
      </c>
      <c r="AN137" s="3">
        <f>AM137+SUM(AN134:AN136)</f>
        <v>1404.052</v>
      </c>
      <c r="AO137" s="3">
        <f>AN137+SUM(AO134:AO136)</f>
        <v>1404.052</v>
      </c>
      <c r="AP137" s="3">
        <f>AO137+SUM(AP134:AP136)</f>
        <v>1404.052</v>
      </c>
      <c r="AQ137" s="3" t="n"/>
      <c r="AR137" s="3">
        <f>AP137+SUM(AR134:AR136)</f>
        <v>1404.052</v>
      </c>
      <c r="AS137" s="3">
        <f>AR137+SUM(AS134:AS136)</f>
        <v>1404.052</v>
      </c>
      <c r="AT137" s="3">
        <f>AS137+SUM(AT134:AT136)</f>
        <v>1404.052</v>
      </c>
      <c r="AU137" s="3">
        <f>AT137+SUM(AU134:AU136)</f>
        <v>1404.052</v>
      </c>
      <c r="AV137" s="3" t="n"/>
      <c r="AW137" s="3">
        <f>AU137+SUM(AW134:AW136)</f>
        <v>1404.052</v>
      </c>
      <c r="AX137" s="3">
        <f>AW137+SUM(AX134:AX136)</f>
        <v>1404.052</v>
      </c>
      <c r="AY137" s="3">
        <f>AX137+SUM(AY134:AY136)</f>
        <v>1404.052</v>
      </c>
      <c r="AZ137" s="3">
        <f>AY137+SUM(AZ134:AZ136)</f>
        <v>1404.052</v>
      </c>
      <c r="BA137" s="3" t="n"/>
      <c r="BB137" s="3">
        <f>AZ137+SUM(BB134:BB136)</f>
        <v>1404.052</v>
      </c>
      <c r="BC137" s="3">
        <f>BB137+SUM(BC134:BC136)</f>
        <v>1404.052</v>
      </c>
      <c r="BD137" s="3">
        <f>BC137+SUM(BD134:BD136)</f>
        <v>1404.052</v>
      </c>
      <c r="BE137" s="3">
        <f>BD137+SUM(BE134:BE136)</f>
        <v>1404.052</v>
      </c>
      <c r="BF137" s="3" t="n"/>
      <c r="BG137" s="3">
        <f>BE137+SUM(BG134:BG136)</f>
        <v>1404.052</v>
      </c>
      <c r="BH137" s="3">
        <f>BG137+SUM(BH134:BH136)</f>
        <v>1404.052</v>
      </c>
      <c r="BI137" s="3">
        <f>BH137+SUM(BI134:BI136)</f>
        <v>1404.052</v>
      </c>
      <c r="BJ137" s="3">
        <f>BI137+SUM(BJ134:BJ136)</f>
        <v>1404.052</v>
      </c>
      <c r="BK137" s="3" t="n"/>
      <c r="BL137" s="3">
        <f>BJ137+SUM(BL134:BL136)</f>
        <v>1404.052</v>
      </c>
      <c r="BM137" s="3">
        <f>BL137+SUM(BM134:BM136)</f>
        <v>1404.052</v>
      </c>
      <c r="BN137" s="3">
        <f>BM137+SUM(BN134:BN136)</f>
        <v>1404.052</v>
      </c>
      <c r="BO137" s="3">
        <f>BN137+SUM(BO134:BO136)</f>
        <v>1404.052</v>
      </c>
      <c r="BP137" s="3" t="n"/>
      <c r="BQ137" s="3">
        <f>BO137+SUM(BQ134:BQ136)</f>
        <v>1404.052</v>
      </c>
      <c r="BR137" s="3">
        <f>BQ137+SUM(BR134:BR136)</f>
        <v>1404.052</v>
      </c>
      <c r="BS137" s="3">
        <f>BR137+SUM(BS134:BS136)</f>
        <v>1404.052</v>
      </c>
      <c r="BT137" s="3">
        <f>BS137+SUM(BT134:BT136)</f>
        <v>1404.052</v>
      </c>
      <c r="BU137" s="3" t="n"/>
      <c r="BV137" s="3">
        <f>BT137+SUM(BV134:BV136)</f>
        <v>1404.052</v>
      </c>
      <c r="BW137" s="3">
        <f>BV137+SUM(BW134:BW136)</f>
        <v>1404.052</v>
      </c>
      <c r="BX137" s="3">
        <f>BW137+SUM(BX134:BX136)</f>
        <v>1404.052</v>
      </c>
      <c r="BY137" s="3">
        <f>BX137+SUM(BY134:BY136)</f>
        <v>1404.052</v>
      </c>
      <c r="BZ137" s="3" t="n"/>
      <c r="CA137" s="3">
        <f>BY137+SUM(CA134:CA136)</f>
        <v>1404.052</v>
      </c>
      <c r="CB137" s="3">
        <f>CA137+SUM(CB134:CB136)</f>
        <v>1404.052</v>
      </c>
      <c r="CC137" s="3">
        <f>CB137+SUM(CC134:CC136)</f>
        <v>1404.052</v>
      </c>
      <c r="CD137" s="3">
        <f>CC137+SUM(CD134:CD136)</f>
        <v>1404.052</v>
      </c>
      <c r="CE137" s="3" t="n"/>
      <c r="CF137" s="3">
        <f>CD137+SUM(CF134:CF136)</f>
        <v>1404.052</v>
      </c>
      <c r="CG137" s="3">
        <f>CF137+SUM(CG134:CG136)</f>
        <v>1404.052</v>
      </c>
      <c r="CH137" s="3">
        <f>CG137+SUM(CH134:CH136)</f>
        <v>1404.052</v>
      </c>
      <c r="CI137" s="3">
        <f>CH137+SUM(CI134:CI136)</f>
        <v>1404.052</v>
      </c>
      <c r="CJ137" s="3" t="n"/>
      <c r="CK137" s="3">
        <f>CI137+SUM(CK134:CK136)</f>
        <v>1404.052</v>
      </c>
      <c r="CL137" s="3">
        <f>CK137+SUM(CL134:CL136)</f>
        <v>1404.052</v>
      </c>
      <c r="CM137" s="3">
        <f>CL137+SUM(CM134:CM136)</f>
        <v>1404.052</v>
      </c>
      <c r="CN137" s="3">
        <f>CM137+SUM(CN134:CN136)</f>
        <v>1404.052</v>
      </c>
      <c r="CO137" s="3" t="n"/>
      <c r="CP137" s="3">
        <f>CN137+SUM(CP134:CP136)</f>
        <v>1404.052</v>
      </c>
      <c r="CQ137" s="3">
        <f>CP137+SUM(CQ134:CQ136)</f>
        <v>1404.052</v>
      </c>
      <c r="CR137" s="3">
        <f>CQ137+SUM(CR134:CR136)</f>
        <v>1404.052</v>
      </c>
      <c r="CS137" s="3">
        <f>CR137+SUM(CS134:CS136)</f>
        <v>1404.052</v>
      </c>
      <c r="CT137" s="3" t="n"/>
      <c r="CU137" s="3">
        <f>CS137+SUM(CU134:CU136)</f>
        <v>1404.052</v>
      </c>
      <c r="CV137" s="3">
        <f>CU137+SUM(CV134:CV136)</f>
        <v>1404.052</v>
      </c>
      <c r="CW137" s="3">
        <f>CV137+SUM(CW134:CW136)</f>
        <v>1404.052</v>
      </c>
      <c r="CX137" s="3">
        <f>CW137+SUM(CX134:CX136)</f>
        <v>1404.052</v>
      </c>
      <c r="CY137" s="3" t="n"/>
      <c r="CZ137">
        <f>CX137+SUM(CZ134:CZ136)</f>
        <v>1404.052</v>
      </c>
      <c r="DA137">
        <f>CZ137+SUM(DA134:DA136)</f>
        <v>1404.052</v>
      </c>
      <c r="DB137">
        <f>DA137+SUM(DB134:DB136)</f>
        <v>1404.052</v>
      </c>
      <c r="DC137">
        <f>DB137+SUM(DC134:DC136)</f>
        <v>1404.052</v>
      </c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>
        <f>AF134/AF15</f>
        <v>0.131611409028421</v>
      </c>
      <c r="AG139" s="40">
        <f>AG134/AG15</f>
        <v>0.109091922198732</v>
      </c>
      <c r="AH139" s="40">
        <f>AH134/AH15</f>
        <v>0.0940439116736232</v>
      </c>
      <c r="AI139" s="40">
        <f>AI134/AI15</f>
        <v>0.114239777978518</v>
      </c>
      <c r="AJ139" s="40">
        <f>AJ134/AJ15</f>
        <v>0</v>
      </c>
      <c r="AK139" s="40">
        <f>AK134/AK15</f>
        <v>0</v>
      </c>
      <c r="AL139" s="40">
        <f>AL134/AL15</f>
        <v>0</v>
      </c>
      <c r="AM139" s="40">
        <f>AM134/AM15</f>
        <v>0</v>
      </c>
      <c r="AN139" s="40">
        <f>AN134/AN15</f>
        <v>0</v>
      </c>
      <c r="AO139" s="40">
        <f>AO134/AO15</f>
        <v>0</v>
      </c>
      <c r="AP139" s="40">
        <f>AP134/AP15</f>
        <v>0</v>
      </c>
      <c r="AQ139" s="40">
        <f>AQ134/AQ15</f>
        <v>0</v>
      </c>
      <c r="AR139" s="40">
        <f>AR134/AR15</f>
        <v>0</v>
      </c>
      <c r="AS139" s="40">
        <f>AS134/AS15</f>
        <v>0</v>
      </c>
      <c r="AT139" s="40">
        <f>AT134/AT15</f>
        <v>0</v>
      </c>
      <c r="AU139" s="40">
        <f>AU134/AU15</f>
        <v>0</v>
      </c>
      <c r="AV139" s="40">
        <f>AV134/AV15</f>
        <v>0</v>
      </c>
      <c r="AW139" s="40">
        <f>AW134/AW15</f>
        <v>0</v>
      </c>
      <c r="AX139" s="40">
        <f>AX134/AX15</f>
        <v>0</v>
      </c>
      <c r="AY139" s="40">
        <f>AY134/AY15</f>
        <v>0</v>
      </c>
      <c r="AZ139" s="40">
        <f>AZ134/AZ15</f>
        <v>0</v>
      </c>
      <c r="BA139" s="40">
        <f>BA134/BA15</f>
        <v>0</v>
      </c>
      <c r="BB139" s="40">
        <f>BB134/BB15</f>
        <v>0</v>
      </c>
      <c r="BC139" s="40">
        <f>BC134/BC15</f>
        <v>0</v>
      </c>
      <c r="BD139" s="40">
        <f>BD134/BD15</f>
        <v>0</v>
      </c>
      <c r="BE139" s="40">
        <f>BE134/BE15</f>
        <v>0</v>
      </c>
      <c r="BF139" s="40">
        <f>BF134/BF15</f>
        <v>0</v>
      </c>
      <c r="BG139" s="40">
        <f>BG134/BG15</f>
        <v>0</v>
      </c>
      <c r="BH139" s="40">
        <f>BH134/BH15</f>
        <v>0</v>
      </c>
      <c r="BI139" s="40">
        <f>BI134/BI15</f>
        <v>0</v>
      </c>
      <c r="BJ139" s="40">
        <f>BJ134/BJ15</f>
        <v>0</v>
      </c>
      <c r="BK139" s="40">
        <f>BK134/BK15</f>
        <v>0</v>
      </c>
      <c r="BL139" s="40">
        <f>BL134/BL15</f>
        <v>0</v>
      </c>
      <c r="BM139" s="40">
        <f>BM134/BM15</f>
        <v>0</v>
      </c>
      <c r="BN139" s="40">
        <f>BN134/BN15</f>
        <v>0</v>
      </c>
      <c r="BO139" s="40">
        <f>BO134/BO15</f>
        <v>0</v>
      </c>
      <c r="BP139" s="40">
        <f>BP134/BP15</f>
        <v>0</v>
      </c>
      <c r="BQ139" s="40">
        <f>BQ134/BQ15</f>
        <v>0</v>
      </c>
      <c r="BR139" s="40">
        <f>BR134/BR15</f>
        <v>0</v>
      </c>
      <c r="BS139" s="40">
        <f>BS134/BS15</f>
        <v>0</v>
      </c>
      <c r="BT139" s="40">
        <f>BT134/BT15</f>
        <v>0</v>
      </c>
      <c r="BU139" s="40">
        <f>BU134/BU15</f>
        <v>0</v>
      </c>
      <c r="BV139" s="40">
        <f>BV134/BV15</f>
        <v>0</v>
      </c>
      <c r="BW139" s="40">
        <f>BW134/BW15</f>
        <v>0</v>
      </c>
      <c r="BX139" s="40">
        <f>BX134/BX15</f>
        <v>0</v>
      </c>
      <c r="BY139" s="40">
        <f>BY134/BY15</f>
        <v>0</v>
      </c>
      <c r="BZ139" s="40">
        <f>BZ134/BZ15</f>
        <v>0</v>
      </c>
      <c r="CA139" s="40">
        <f>CA134/CA15</f>
        <v>0</v>
      </c>
      <c r="CB139" s="40">
        <f>CB134/CB15</f>
        <v>0</v>
      </c>
      <c r="CC139" s="40">
        <f>CC134/CC15</f>
        <v>0</v>
      </c>
      <c r="CD139" s="40">
        <f>CD134/CD15</f>
        <v>0</v>
      </c>
      <c r="CE139" s="40">
        <f>CE134/CE15</f>
        <v>0</v>
      </c>
      <c r="CF139" s="40">
        <f>CF134/CF15</f>
        <v>0</v>
      </c>
      <c r="CG139" s="40">
        <f>CG134/CG15</f>
        <v>0</v>
      </c>
      <c r="CH139" s="40">
        <f>CH134/CH15</f>
        <v>0</v>
      </c>
      <c r="CI139" s="40">
        <f>CI134/CI15</f>
        <v>0</v>
      </c>
      <c r="CJ139" s="40">
        <f>CJ134/CJ15</f>
        <v>0</v>
      </c>
      <c r="CK139" s="40">
        <f>CK134/CK15</f>
        <v>0</v>
      </c>
      <c r="CL139" s="40">
        <f>CL134/CL15</f>
        <v>0</v>
      </c>
      <c r="CM139" s="40">
        <f>CM134/CM15</f>
        <v>0</v>
      </c>
      <c r="CN139" s="40">
        <f>CN134/CN15</f>
        <v>0</v>
      </c>
      <c r="CO139" s="40">
        <f>CO134/CO15</f>
        <v>0</v>
      </c>
      <c r="CP139" s="40">
        <f>CP134/CP15</f>
        <v>0</v>
      </c>
      <c r="CQ139" s="40">
        <f>CQ134/CQ15</f>
        <v>0</v>
      </c>
      <c r="CR139" s="40">
        <f>CR134/CR15</f>
        <v>0</v>
      </c>
      <c r="CS139" s="40">
        <f>CS134/CS15</f>
        <v>0</v>
      </c>
      <c r="CT139" s="40">
        <f>CT134/CT15</f>
        <v>0</v>
      </c>
      <c r="CU139" s="40">
        <f>CU134/CU15</f>
        <v>0</v>
      </c>
      <c r="CV139" s="40">
        <f>CV134/CV15</f>
        <v>0</v>
      </c>
      <c r="CW139" s="40">
        <f>CW134/CW15</f>
        <v>0</v>
      </c>
      <c r="CX139" s="40">
        <f>CX134/CX15</f>
        <v>0</v>
      </c>
      <c r="CY139" s="40">
        <f>CY134/CY15</f>
        <v>0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>
        <f>INDEX('Inputs (2)'!$D$23:$AL$23,MATCH(D$7,'Inputs (2)'!$D$2:$AL$2,0))</f>
        <v>790.36075693</v>
      </c>
      <c r="E142" s="25">
        <f>INDEX('Inputs (2)'!$D$23:$AL$23,MATCH(E$7,'Inputs (2)'!$D$2:$AL$2,0))</f>
        <v>760.73000788</v>
      </c>
      <c r="F142" s="25">
        <f>INDEX('Inputs (2)'!$D$23:$AL$23,MATCH(F$7,'Inputs (2)'!$D$2:$AL$2,0))</f>
        <v>739.31711011</v>
      </c>
      <c r="G142" s="25">
        <f>INDEX('Inputs (2)'!$D$23:$AL$23,MATCH(G$7,'Inputs (2)'!$D$2:$AL$2,0))</f>
        <v>729.94134505</v>
      </c>
      <c r="H142" s="3">
        <f>G142</f>
        <v>729.94134505</v>
      </c>
      <c r="I142" s="25">
        <f>INDEX('Inputs (2)'!$D$23:$AL$23,MATCH(I$7,'Inputs (2)'!$D$2:$AL$2,0))</f>
        <v>700.21256363</v>
      </c>
      <c r="J142" s="25">
        <f>INDEX('Inputs (2)'!$D$23:$AL$23,MATCH(J$7,'Inputs (2)'!$D$2:$AL$2,0))</f>
        <v>682.61007549</v>
      </c>
      <c r="K142" s="25">
        <f>INDEX('Inputs (2)'!$D$23:$AL$23,MATCH(K$7,'Inputs (2)'!$D$2:$AL$2,0))</f>
        <v>691.23293304</v>
      </c>
      <c r="L142" s="25">
        <f>INDEX('Inputs (2)'!$D$23:$AL$23,MATCH(L$7,'Inputs (2)'!$D$2:$AL$2,0))</f>
        <v>750.77481334</v>
      </c>
      <c r="M142" s="3">
        <f>L142</f>
        <v>750.77481334</v>
      </c>
      <c r="N142" s="25">
        <f>INDEX('Inputs (2)'!$D$23:$AL$23,MATCH(N$7,'Inputs (2)'!$D$2:$AL$2,0))</f>
        <v>793.13655731</v>
      </c>
      <c r="O142" s="25">
        <f>INDEX('Inputs (2)'!$D$23:$AL$23,MATCH(O$7,'Inputs (2)'!$D$2:$AL$2,0))</f>
        <v>819.19444533</v>
      </c>
      <c r="P142" s="25">
        <f>INDEX('Inputs (2)'!$D$23:$AL$23,MATCH(P$7,'Inputs (2)'!$D$2:$AL$2,0))</f>
        <v>800.2101333</v>
      </c>
      <c r="Q142" s="25">
        <f>INDEX('Inputs (2)'!$D$23:$AL$23,MATCH(Q$7,'Inputs (2)'!$D$2:$AL$2,0))</f>
        <v>1022.28667143</v>
      </c>
      <c r="R142" s="3">
        <f>Q142</f>
        <v>1022.28667143</v>
      </c>
      <c r="S142" s="25">
        <f>INDEX('Inputs (2)'!$D$23:$AL$23,MATCH(S$7,'Inputs (2)'!$D$2:$AL$2,0))</f>
        <v>1026.53310531</v>
      </c>
      <c r="T142" s="25">
        <f>INDEX('Inputs (2)'!$D$23:$AL$23,MATCH(T$7,'Inputs (2)'!$D$2:$AL$2,0))</f>
        <v>1332.423</v>
      </c>
      <c r="U142" s="25">
        <f>INDEX('Inputs (2)'!$D$23:$AL$23,MATCH(U$7,'Inputs (2)'!$D$2:$AL$2,0))</f>
        <v>1296.497</v>
      </c>
      <c r="V142" s="25">
        <f>INDEX('Inputs (2)'!$D$23:$AL$23,MATCH(V$7,'Inputs (2)'!$D$2:$AL$2,0))</f>
        <v>1295.095</v>
      </c>
      <c r="W142" s="3">
        <f>V142</f>
        <v>1295.095</v>
      </c>
      <c r="X142" s="25">
        <f>INDEX('Inputs (2)'!$D$23:$AL$23,MATCH(X$7,'Inputs (2)'!$D$2:$AL$2,0))</f>
        <v>1249.703</v>
      </c>
      <c r="Y142" s="25">
        <f>INDEX('Inputs (2)'!$D$23:$AL$23,MATCH(Y$7,'Inputs (2)'!$D$2:$AL$2,0))</f>
        <v>1202.109</v>
      </c>
      <c r="Z142" s="25">
        <f>INDEX('Inputs (2)'!$D$23:$AL$23,MATCH(Z$7,'Inputs (2)'!$D$2:$AL$2,0))</f>
        <v>1159.406</v>
      </c>
      <c r="AA142" s="25">
        <f>INDEX('Inputs (2)'!$D$23:$AL$23,MATCH(AA$7,'Inputs (2)'!$D$2:$AL$2,0))</f>
        <v>1138.643</v>
      </c>
      <c r="AB142" s="3">
        <f>AA142</f>
        <v>1138.643</v>
      </c>
      <c r="AC142" s="25">
        <f>INDEX('Inputs (2)'!$D$23:$AL$23,MATCH(AC$7,'Inputs (2)'!$D$2:$AL$2,0))</f>
        <v>1140.475247</v>
      </c>
      <c r="AD142" s="25">
        <f>INDEX('Inputs (2)'!$D$23:$AL$23,MATCH(AD$7,'Inputs (2)'!$D$2:$AL$2,0))</f>
        <v>1096.847</v>
      </c>
      <c r="AE142" s="25">
        <f>INDEX('Inputs (2)'!$D$23:$AL$23,MATCH(AE$7,'Inputs (2)'!$D$2:$AL$2,0))</f>
        <v>1104.344</v>
      </c>
      <c r="AF142" s="25">
        <f>INDEX('Inputs (2)'!$D$23:$AL$23,MATCH(AF$7,'Inputs (2)'!$D$2:$AL$2,0))</f>
        <v>1098.591</v>
      </c>
      <c r="AG142" s="3">
        <f>AF142</f>
        <v>1098.591</v>
      </c>
      <c r="AH142" s="3">
        <f>INDEX('Inputs (2)'!$D$23:$AL$23,MATCH(AH$7,'Inputs (2)'!$D$2:$AL$2,0))</f>
        <v>1079.421</v>
      </c>
      <c r="AI142" s="3">
        <f>INDEX('Inputs (2)'!$D$23:$AL$23,MATCH(AI$7,'Inputs (2)'!$D$2:$AL$2,0))</f>
        <v>1203.367</v>
      </c>
      <c r="AJ142" s="3">
        <f>AI142</f>
        <v>1203.367</v>
      </c>
      <c r="AK142" s="3">
        <f>AJ142</f>
        <v>1203.367</v>
      </c>
      <c r="AL142" s="3">
        <f>AK142</f>
        <v>1203.367</v>
      </c>
      <c r="AM142" s="3">
        <f>AL142</f>
        <v>1203.367</v>
      </c>
      <c r="AN142" s="3">
        <f>AM142</f>
        <v>1203.367</v>
      </c>
      <c r="AO142" s="3">
        <f>AN142</f>
        <v>1203.367</v>
      </c>
      <c r="AP142" s="3">
        <f>AO142</f>
        <v>1203.367</v>
      </c>
      <c r="AQ142" s="3">
        <f>AP142</f>
        <v>1203.367</v>
      </c>
      <c r="AR142" s="3">
        <f>AQ142</f>
        <v>1203.367</v>
      </c>
      <c r="AS142" s="3">
        <f>AR142</f>
        <v>1203.367</v>
      </c>
      <c r="AT142" s="3">
        <f>AS142</f>
        <v>1203.367</v>
      </c>
      <c r="AU142" s="3">
        <f>AT142</f>
        <v>1203.367</v>
      </c>
      <c r="AV142" s="3">
        <f>AU142</f>
        <v>1203.367</v>
      </c>
      <c r="AW142" s="3">
        <f>AV142</f>
        <v>1203.367</v>
      </c>
      <c r="AX142" s="3">
        <f>AW142</f>
        <v>1203.367</v>
      </c>
      <c r="AY142" s="3">
        <f>AX142</f>
        <v>1203.367</v>
      </c>
      <c r="AZ142" s="3">
        <f>AY142</f>
        <v>1203.367</v>
      </c>
      <c r="BA142" s="3">
        <f>AZ142</f>
        <v>1203.367</v>
      </c>
      <c r="BB142" s="3">
        <f>BA142</f>
        <v>1203.367</v>
      </c>
      <c r="BC142" s="3">
        <f>BB142</f>
        <v>1203.367</v>
      </c>
      <c r="BD142" s="3">
        <f>BC142</f>
        <v>1203.367</v>
      </c>
      <c r="BE142" s="3">
        <f>BD142</f>
        <v>1203.367</v>
      </c>
      <c r="BF142" s="3">
        <f>BE142</f>
        <v>1203.367</v>
      </c>
      <c r="BG142" s="3">
        <f>BF142</f>
        <v>1203.367</v>
      </c>
      <c r="BH142" s="3">
        <f>BG142</f>
        <v>1203.367</v>
      </c>
      <c r="BI142" s="3">
        <f>BH142</f>
        <v>1203.367</v>
      </c>
      <c r="BJ142" s="3">
        <f>BI142</f>
        <v>1203.367</v>
      </c>
      <c r="BK142" s="3">
        <f>BJ142</f>
        <v>1203.367</v>
      </c>
      <c r="BL142" s="3">
        <f>BK142</f>
        <v>1203.367</v>
      </c>
      <c r="BM142" s="3">
        <f>BL142</f>
        <v>1203.367</v>
      </c>
      <c r="BN142" s="3">
        <f>BM142</f>
        <v>1203.367</v>
      </c>
      <c r="BO142" s="3">
        <f>BN142</f>
        <v>1203.367</v>
      </c>
      <c r="BP142" s="3">
        <f>BO142</f>
        <v>1203.367</v>
      </c>
      <c r="BQ142" s="3">
        <f>BP142</f>
        <v>1203.367</v>
      </c>
      <c r="BR142" s="3">
        <f>BQ142</f>
        <v>1203.367</v>
      </c>
      <c r="BS142" s="3">
        <f>BR142</f>
        <v>1203.367</v>
      </c>
      <c r="BT142" s="3">
        <f>BS142</f>
        <v>1203.367</v>
      </c>
      <c r="BU142" s="3">
        <f>BT142</f>
        <v>1203.367</v>
      </c>
      <c r="BV142" s="3">
        <f>BU142</f>
        <v>1203.367</v>
      </c>
      <c r="BW142" s="3">
        <f>BV142</f>
        <v>1203.367</v>
      </c>
      <c r="BX142" s="3">
        <f>BW142</f>
        <v>1203.367</v>
      </c>
      <c r="BY142" s="3">
        <f>BX142</f>
        <v>1203.367</v>
      </c>
      <c r="BZ142" s="3">
        <f>BY142</f>
        <v>1203.367</v>
      </c>
      <c r="CA142" s="3">
        <f>BZ142</f>
        <v>1203.367</v>
      </c>
      <c r="CB142" s="3">
        <f>CA142</f>
        <v>1203.367</v>
      </c>
      <c r="CC142" s="3">
        <f>CB142</f>
        <v>1203.367</v>
      </c>
      <c r="CD142" s="3">
        <f>CC142</f>
        <v>1203.367</v>
      </c>
      <c r="CE142" s="3">
        <f>CD142</f>
        <v>1203.367</v>
      </c>
      <c r="CF142" s="3">
        <f>CE142</f>
        <v>1203.367</v>
      </c>
      <c r="CG142" s="3">
        <f>CF142</f>
        <v>1203.367</v>
      </c>
      <c r="CH142" s="3">
        <f>CG142</f>
        <v>1203.367</v>
      </c>
      <c r="CI142" s="3">
        <f>CH142</f>
        <v>1203.367</v>
      </c>
      <c r="CJ142" s="3">
        <f>CI142</f>
        <v>1203.367</v>
      </c>
      <c r="CK142" s="3">
        <f>CJ142</f>
        <v>1203.367</v>
      </c>
      <c r="CL142" s="3">
        <f>CK142</f>
        <v>1203.367</v>
      </c>
      <c r="CM142" s="3">
        <f>CL142</f>
        <v>1203.367</v>
      </c>
      <c r="CN142" s="3">
        <f>CM142</f>
        <v>1203.367</v>
      </c>
      <c r="CO142" s="3">
        <f>CN142</f>
        <v>1203.367</v>
      </c>
      <c r="CP142" s="3">
        <f>CO142</f>
        <v>1203.367</v>
      </c>
      <c r="CQ142" s="3">
        <f>CP142</f>
        <v>1203.367</v>
      </c>
      <c r="CR142" s="3">
        <f>CQ142</f>
        <v>1203.367</v>
      </c>
      <c r="CS142" s="3">
        <f>CR142</f>
        <v>1203.367</v>
      </c>
      <c r="CT142" s="3">
        <f>CS142</f>
        <v>1203.367</v>
      </c>
      <c r="CU142" s="3">
        <f>CT142</f>
        <v>1203.367</v>
      </c>
      <c r="CV142" s="3">
        <f>CU142</f>
        <v>1203.367</v>
      </c>
      <c r="CW142" s="3">
        <f>CV142</f>
        <v>1203.367</v>
      </c>
      <c r="CX142" s="3">
        <f>CW142</f>
        <v>1203.367</v>
      </c>
      <c r="CY142" s="3">
        <f>CX142</f>
        <v>1203.367</v>
      </c>
    </row>
    <row r="143" hidden="1" outlineLevel="1">
      <c r="C143" s="38" t="inlineStr">
        <is>
          <t>%(Var.)</t>
        </is>
      </c>
      <c r="D143" s="3" t="n"/>
      <c r="E143" s="47">
        <f>(E142-D142)/D142</f>
        <v>-0.0374901572354058</v>
      </c>
      <c r="F143" s="47">
        <f>(F142-E142)/E142</f>
        <v>-0.0281478284650206</v>
      </c>
      <c r="G143" s="47">
        <f>(G142-F142)/F142</f>
        <v>-0.0126816557222718</v>
      </c>
      <c r="H143" s="3" t="n"/>
      <c r="I143" s="47">
        <f>(I142-H142)/H142</f>
        <v>-0.0407276305440182</v>
      </c>
      <c r="J143" s="47">
        <f>(J142-I142)/I142</f>
        <v>-0.0251387779287281</v>
      </c>
      <c r="K143" s="47">
        <f>(K142-J142)/J142</f>
        <v>0.0126321861625179</v>
      </c>
      <c r="L143" s="47">
        <f>(L142-K142)/K142</f>
        <v>0.0861386624594671</v>
      </c>
      <c r="M143" s="3" t="n"/>
      <c r="N143" s="47">
        <f>(N142-M142)/M142</f>
        <v>0.0564240345004964</v>
      </c>
      <c r="O143" s="47">
        <f>(O142-N142)/N142</f>
        <v>0.0328542264000263</v>
      </c>
      <c r="P143" s="47">
        <f>(P142-O142)/O142</f>
        <v>-0.0231743661571735</v>
      </c>
      <c r="Q143" s="47">
        <f>(Q142-P142)/P142</f>
        <v>0.277522776691386</v>
      </c>
      <c r="R143" s="3" t="n"/>
      <c r="S143" s="47">
        <f>(S142-R142)/R142</f>
        <v>0.00415385820697451</v>
      </c>
      <c r="T143" s="47">
        <f>(T142-S142)/S142</f>
        <v>0.297983467954134</v>
      </c>
      <c r="U143" s="47">
        <f>(U142-T142)/T142</f>
        <v>-0.0269629089260692</v>
      </c>
      <c r="V143" s="47">
        <f>(V142-U142)/U142</f>
        <v>-0.00108137542932999</v>
      </c>
      <c r="W143" s="3" t="n"/>
      <c r="X143" s="47">
        <f>(X142-W142)/W142</f>
        <v>-0.0350491662773774</v>
      </c>
      <c r="Y143" s="47">
        <f>(Y142-X142)/X142</f>
        <v>-0.0380842488175191</v>
      </c>
      <c r="Z143" s="47">
        <f>(Z142-Y142)/Y142</f>
        <v>-0.0355234009561529</v>
      </c>
      <c r="AA143" s="47">
        <f>(AA142-Z142)/Z142</f>
        <v>-0.0179083082198987</v>
      </c>
      <c r="AB143" s="3" t="n"/>
      <c r="AC143" s="47">
        <f>(AC142-AB142)/AB142</f>
        <v>0.00160914966323953</v>
      </c>
      <c r="AD143" s="47">
        <f>(AD142-AC142)/AC142</f>
        <v>-0.0382544444649399</v>
      </c>
      <c r="AE143" s="47">
        <f>(AE142-AD142)/AD142</f>
        <v>0.00683504627354597</v>
      </c>
      <c r="AF143" s="218">
        <f>(AF142-AE142)/AE142</f>
        <v>-0.00520942749722906</v>
      </c>
      <c r="AG143" s="3" t="n"/>
      <c r="AH143" s="218">
        <f>(AH142-AG142)/AG142</f>
        <v>-0.0174496241094275</v>
      </c>
      <c r="AI143" s="218">
        <f>(AI142-AH142)/AH142</f>
        <v>0.114826374510038</v>
      </c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 t="n"/>
      <c r="E145" s="25" t="n"/>
      <c r="F145" s="25" t="n"/>
      <c r="G145" s="25" t="n"/>
      <c r="H145" s="3">
        <f>G145</f>
        <v>0</v>
      </c>
      <c r="I145" s="25" t="n"/>
      <c r="J145" s="25" t="n"/>
      <c r="K145" s="25" t="n"/>
      <c r="L145" s="25" t="n"/>
      <c r="M145" s="3">
        <f>L145</f>
        <v>0</v>
      </c>
      <c r="N145" s="25" t="n"/>
      <c r="O145" s="25" t="n"/>
      <c r="P145" s="25" t="n"/>
      <c r="Q145" s="25" t="n"/>
      <c r="R145" s="3">
        <f>Q145</f>
        <v>0</v>
      </c>
      <c r="S145" s="25" t="n"/>
      <c r="T145" s="25" t="n"/>
      <c r="U145" s="25" t="n"/>
      <c r="V145" s="25" t="n"/>
      <c r="W145" s="3">
        <f>V145</f>
        <v>0</v>
      </c>
      <c r="X145" s="25" t="n"/>
      <c r="Y145" s="25" t="n"/>
      <c r="Z145" s="25" t="n"/>
      <c r="AA145" s="25" t="n"/>
      <c r="AB145" s="3">
        <f>AA145</f>
        <v>0</v>
      </c>
      <c r="AC145" s="25" t="n"/>
      <c r="AD145" s="25" t="n"/>
      <c r="AE145" s="25" t="n"/>
      <c r="AF145" s="25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Intangibles</t>
        </is>
      </c>
      <c r="D146" s="25">
        <f>INDEX('Inputs (2)'!$D$25:$AL$25,MATCH(D$7,'Inputs (2)'!$D$2:$AL$2,0))</f>
        <v>2018.04714308667</v>
      </c>
      <c r="E146" s="25">
        <f>INDEX('Inputs (2)'!$D$25:$AL$25,MATCH(E$7,'Inputs (2)'!$D$2:$AL$2,0))</f>
        <v>2016.4350344973</v>
      </c>
      <c r="F146" s="25">
        <f>INDEX('Inputs (2)'!$D$25:$AL$25,MATCH(F$7,'Inputs (2)'!$D$2:$AL$2,0))</f>
        <v>2018.35236046229</v>
      </c>
      <c r="G146" s="25">
        <f>INDEX('Inputs (2)'!$D$25:$AL$25,MATCH(G$7,'Inputs (2)'!$D$2:$AL$2,0))</f>
        <v>2030.60799782729</v>
      </c>
      <c r="H146" s="3">
        <f>G146</f>
        <v>2030.60799782729</v>
      </c>
      <c r="I146" s="25">
        <f>INDEX('Inputs (2)'!$D$25:$AL$25,MATCH(I$7,'Inputs (2)'!$D$2:$AL$2,0))</f>
        <v>2031.48169488229</v>
      </c>
      <c r="J146" s="25">
        <f>INDEX('Inputs (2)'!$D$25:$AL$25,MATCH(J$7,'Inputs (2)'!$D$2:$AL$2,0))</f>
        <v>2190.43942357097</v>
      </c>
      <c r="K146" s="25">
        <f>INDEX('Inputs (2)'!$D$25:$AL$25,MATCH(K$7,'Inputs (2)'!$D$2:$AL$2,0))</f>
        <v>2297.7921099923</v>
      </c>
      <c r="L146" s="25">
        <f>INDEX('Inputs (2)'!$D$25:$AL$25,MATCH(L$7,'Inputs (2)'!$D$2:$AL$2,0))</f>
        <v>2586.60910697806</v>
      </c>
      <c r="M146" s="3">
        <f>L146</f>
        <v>2586.60910697806</v>
      </c>
      <c r="N146" s="25">
        <f>INDEX('Inputs (2)'!$D$25:$AL$25,MATCH(N$7,'Inputs (2)'!$D$2:$AL$2,0))</f>
        <v>2617.50945189824</v>
      </c>
      <c r="O146" s="25">
        <f>INDEX('Inputs (2)'!$D$25:$AL$25,MATCH(O$7,'Inputs (2)'!$D$2:$AL$2,0))</f>
        <v>3021.34173723033</v>
      </c>
      <c r="P146" s="25">
        <f>INDEX('Inputs (2)'!$D$25:$AL$25,MATCH(P$7,'Inputs (2)'!$D$2:$AL$2,0))</f>
        <v>3013.73986065</v>
      </c>
      <c r="Q146" s="25">
        <f>INDEX('Inputs (2)'!$D$25:$AL$25,MATCH(Q$7,'Inputs (2)'!$D$2:$AL$2,0))</f>
        <v>3159.92612126809</v>
      </c>
      <c r="R146" s="3">
        <f>Q146</f>
        <v>3159.92612126809</v>
      </c>
      <c r="S146" s="25">
        <f>INDEX('Inputs (2)'!$D$25:$AL$25,MATCH(S$7,'Inputs (2)'!$D$2:$AL$2,0))</f>
        <v>3147.22512633</v>
      </c>
      <c r="T146" s="25">
        <f>INDEX('Inputs (2)'!$D$25:$AL$25,MATCH(T$7,'Inputs (2)'!$D$2:$AL$2,0))</f>
        <v>5768.121</v>
      </c>
      <c r="U146" s="25">
        <f>INDEX('Inputs (2)'!$D$25:$AL$25,MATCH(U$7,'Inputs (2)'!$D$2:$AL$2,0))</f>
        <v>5744.055</v>
      </c>
      <c r="V146" s="25">
        <f>INDEX('Inputs (2)'!$D$25:$AL$25,MATCH(V$7,'Inputs (2)'!$D$2:$AL$2,0))</f>
        <v>5807.506</v>
      </c>
      <c r="W146" s="3">
        <f>V146</f>
        <v>5807.506</v>
      </c>
      <c r="X146" s="25">
        <f>INDEX('Inputs (2)'!$D$25:$AL$25,MATCH(X$7,'Inputs (2)'!$D$2:$AL$2,0))</f>
        <v>5788.92</v>
      </c>
      <c r="Y146" s="25">
        <f>INDEX('Inputs (2)'!$D$25:$AL$25,MATCH(Y$7,'Inputs (2)'!$D$2:$AL$2,0))</f>
        <v>5783.283</v>
      </c>
      <c r="Z146" s="25">
        <f>INDEX('Inputs (2)'!$D$25:$AL$25,MATCH(Z$7,'Inputs (2)'!$D$2:$AL$2,0))</f>
        <v>5830.303</v>
      </c>
      <c r="AA146" s="25">
        <f>INDEX('Inputs (2)'!$D$25:$AL$25,MATCH(AA$7,'Inputs (2)'!$D$2:$AL$2,0))</f>
        <v>5863.532</v>
      </c>
      <c r="AB146" s="3">
        <f>AA146</f>
        <v>5863.532</v>
      </c>
      <c r="AC146" s="25">
        <f>INDEX('Inputs (2)'!$D$25:$AL$25,MATCH(AC$7,'Inputs (2)'!$D$2:$AL$2,0))</f>
        <v>5819.864287</v>
      </c>
      <c r="AD146" s="25">
        <f>INDEX('Inputs (2)'!$D$25:$AL$25,MATCH(AD$7,'Inputs (2)'!$D$2:$AL$2,0))</f>
        <v>5825.38</v>
      </c>
      <c r="AE146" s="25">
        <f>INDEX('Inputs (2)'!$D$25:$AL$25,MATCH(AE$7,'Inputs (2)'!$D$2:$AL$2,0))</f>
        <v>5957.247</v>
      </c>
      <c r="AF146" s="25">
        <f>INDEX('Inputs (2)'!$D$25:$AL$25,MATCH(AF$7,'Inputs (2)'!$D$2:$AL$2,0))</f>
        <v>5979.637</v>
      </c>
      <c r="AG146" s="3">
        <f>AF146</f>
        <v>5979.637</v>
      </c>
      <c r="AH146" s="3">
        <f>INDEX('Inputs (2)'!$D$25:$AL$25,MATCH(AH$7,'Inputs (2)'!$D$2:$AL$2,0))</f>
        <v>5905.506</v>
      </c>
      <c r="AI146" s="3">
        <f>INDEX('Inputs (2)'!$D$25:$AL$25,MATCH(AI$7,'Inputs (2)'!$D$2:$AL$2,0))</f>
        <v>6006.075</v>
      </c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-1.6121085893717</v>
      </c>
      <c r="F148" s="3">
        <f>F146-E146-F50</f>
        <v>1.91732596499878</v>
      </c>
      <c r="G148" s="3">
        <f>G146-F146-G50</f>
        <v>12.2556373650002</v>
      </c>
      <c r="H148" s="3" t="n"/>
      <c r="I148" s="3">
        <f>I146-H146-I50</f>
        <v>0.873697054999866</v>
      </c>
      <c r="J148" s="3">
        <f>J146-I146-J50</f>
        <v>158.95772868868</v>
      </c>
      <c r="K148" s="3">
        <f>K146-J146-K50</f>
        <v>107.35268642133</v>
      </c>
      <c r="L148" s="3">
        <f>L146-K146-L50</f>
        <v>288.81699698576</v>
      </c>
      <c r="M148" s="3" t="n"/>
      <c r="N148" s="3">
        <f>N146-M146-N50</f>
        <v>30.9003449201769</v>
      </c>
      <c r="O148" s="3">
        <f>O146-N146-O50</f>
        <v>403.832285332093</v>
      </c>
      <c r="P148" s="3">
        <f>P146-O146-P50</f>
        <v>-7.60187658033283</v>
      </c>
      <c r="Q148" s="3">
        <f>Q146-P146-Q50</f>
        <v>146.186260618085</v>
      </c>
      <c r="R148" s="3" t="n"/>
      <c r="S148" s="3">
        <f>S146-R146-S50</f>
        <v>-12.7009949380854</v>
      </c>
      <c r="T148" s="3">
        <f>T146-S146-T50</f>
        <v>2620.89587367</v>
      </c>
      <c r="U148" s="3">
        <f>U146-T146-U50</f>
        <v>-24.0659999999998</v>
      </c>
      <c r="V148" s="3">
        <f>V146-U146-V50</f>
        <v>63.451</v>
      </c>
      <c r="W148" s="3" t="n"/>
      <c r="X148" s="3">
        <f>X146-W146-X50</f>
        <v>-18.5860000000002</v>
      </c>
      <c r="Y148" s="3">
        <f>Y146-X146-Y50</f>
        <v>-5.63699999999972</v>
      </c>
      <c r="Z148" s="3">
        <f>Z146-Y146-Z50</f>
        <v>47.0199999999995</v>
      </c>
      <c r="AA148" s="3">
        <f>AA146-Z146-AA50</f>
        <v>33.2290000000003</v>
      </c>
      <c r="AB148" s="3" t="n"/>
      <c r="AC148" s="3">
        <f>AC146-AB146-AC50</f>
        <v>-43.6677130000007</v>
      </c>
      <c r="AD148" s="3">
        <f>AD146-AC146-AD50</f>
        <v>5.51571300000069</v>
      </c>
      <c r="AE148" s="3">
        <f>AE146-AD146-AE50</f>
        <v>131.867</v>
      </c>
      <c r="AF148" s="3" t="n"/>
      <c r="AG148" s="3" t="n"/>
      <c r="AH148" s="6">
        <f>AH146-AG146-AH50</f>
        <v>-74.1309999999994</v>
      </c>
      <c r="AI148" s="6">
        <f>AI146-AH146-AI50</f>
        <v>100.569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>
        <f>AI49</f>
        <v>0</v>
      </c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E146</f>
        <v>2016.4350344973</v>
      </c>
      <c r="F150" s="3">
        <f>F146</f>
        <v>2018.35236046229</v>
      </c>
      <c r="G150" s="3">
        <f>G146</f>
        <v>2030.60799782729</v>
      </c>
      <c r="H150" s="3" t="n"/>
      <c r="I150" s="3">
        <f>I146</f>
        <v>2031.48169488229</v>
      </c>
      <c r="J150" s="3">
        <f>J146</f>
        <v>2190.43942357097</v>
      </c>
      <c r="K150" s="3">
        <f>K146</f>
        <v>2297.7921099923</v>
      </c>
      <c r="L150" s="3">
        <f>L146</f>
        <v>2586.60910697806</v>
      </c>
      <c r="M150" s="3" t="n"/>
      <c r="N150" s="3">
        <f>N146</f>
        <v>2617.50945189824</v>
      </c>
      <c r="O150" s="3">
        <f>O146</f>
        <v>3021.34173723033</v>
      </c>
      <c r="P150" s="3">
        <f>P146</f>
        <v>3013.73986065</v>
      </c>
      <c r="Q150" s="3">
        <f>Q146</f>
        <v>3159.92612126809</v>
      </c>
      <c r="R150" s="3" t="n"/>
      <c r="S150" s="3">
        <f>S146</f>
        <v>3147.22512633</v>
      </c>
      <c r="T150" s="3">
        <f>T146</f>
        <v>5768.121</v>
      </c>
      <c r="U150" s="3">
        <f>U146</f>
        <v>5744.055</v>
      </c>
      <c r="V150" s="3">
        <f>V146</f>
        <v>5807.506</v>
      </c>
      <c r="W150" s="3" t="n"/>
      <c r="X150" s="3">
        <f>X146</f>
        <v>5788.92</v>
      </c>
      <c r="Y150" s="3">
        <f>Y146</f>
        <v>5783.283</v>
      </c>
      <c r="Z150" s="3">
        <f>Z146</f>
        <v>5830.303</v>
      </c>
      <c r="AA150" s="3">
        <f>AA146</f>
        <v>5863.532</v>
      </c>
      <c r="AB150" s="3" t="n"/>
      <c r="AC150" s="3">
        <f>AC146</f>
        <v>5819.864287</v>
      </c>
      <c r="AD150" s="3">
        <f>AD146</f>
        <v>5825.38</v>
      </c>
      <c r="AE150" s="3">
        <f>AE146</f>
        <v>5957.247</v>
      </c>
      <c r="AF150" s="3">
        <f>AF146</f>
        <v>5979.637</v>
      </c>
      <c r="AG150" s="3" t="n"/>
      <c r="AH150" s="3">
        <f>AH146</f>
        <v>5905.506</v>
      </c>
      <c r="AI150" s="3">
        <f>AI146</f>
        <v>6006.075</v>
      </c>
      <c r="AJ150" s="3">
        <f>AI150+SUM(AJ148:AJ149)</f>
        <v>6006.075</v>
      </c>
      <c r="AK150" s="3">
        <f>AJ150+SUM(AK148:AK149)</f>
        <v>6006.075</v>
      </c>
      <c r="AL150" s="3" t="n"/>
      <c r="AM150" s="3">
        <f>AK150+SUM(AM148:AM149)</f>
        <v>6006.075</v>
      </c>
      <c r="AN150" s="3">
        <f>AM150+SUM(AN148:AN149)</f>
        <v>6006.075</v>
      </c>
      <c r="AO150" s="3">
        <f>AN150+SUM(AO148:AO149)</f>
        <v>6006.075</v>
      </c>
      <c r="AP150" s="3">
        <f>AO150+SUM(AP148:AP149)</f>
        <v>6006.075</v>
      </c>
      <c r="AQ150" s="3" t="n"/>
      <c r="AR150" s="3">
        <f>AP150+SUM(AR148:AR149)</f>
        <v>6006.075</v>
      </c>
      <c r="AS150" s="3">
        <f>AR150+SUM(AS148:AS149)</f>
        <v>6006.075</v>
      </c>
      <c r="AT150" s="3">
        <f>AS150+SUM(AT148:AT149)</f>
        <v>6006.075</v>
      </c>
      <c r="AU150" s="3">
        <f>AT150+SUM(AU148:AU149)</f>
        <v>6006.075</v>
      </c>
      <c r="AV150" s="3" t="n"/>
      <c r="AW150" s="3">
        <f>AU150+SUM(AW148:AW149)</f>
        <v>6006.075</v>
      </c>
      <c r="AX150" s="3">
        <f>AW150+SUM(AX148:AX149)</f>
        <v>6006.075</v>
      </c>
      <c r="AY150" s="3">
        <f>AX150+SUM(AY148:AY149)</f>
        <v>6006.075</v>
      </c>
      <c r="AZ150" s="3">
        <f>AY150+SUM(AZ148:AZ149)</f>
        <v>6006.075</v>
      </c>
      <c r="BA150" s="3" t="n"/>
      <c r="BB150" s="3">
        <f>AZ150+SUM(BB148:BB149)</f>
        <v>6006.075</v>
      </c>
      <c r="BC150" s="3">
        <f>BB150+SUM(BC148:BC149)</f>
        <v>6006.075</v>
      </c>
      <c r="BD150" s="3">
        <f>BC150+SUM(BD148:BD149)</f>
        <v>6006.075</v>
      </c>
      <c r="BE150" s="3">
        <f>BD150+SUM(BE148:BE149)</f>
        <v>6006.075</v>
      </c>
      <c r="BF150" s="3" t="n"/>
      <c r="BG150" s="3">
        <f>BE150+SUM(BG148:BG149)</f>
        <v>6006.075</v>
      </c>
      <c r="BH150" s="3">
        <f>BG150+SUM(BH148:BH149)</f>
        <v>6006.075</v>
      </c>
      <c r="BI150" s="3">
        <f>BH150+SUM(BI148:BI149)</f>
        <v>6006.075</v>
      </c>
      <c r="BJ150" s="3">
        <f>BI150+SUM(BJ148:BJ149)</f>
        <v>6006.075</v>
      </c>
      <c r="BK150" s="3" t="n"/>
      <c r="BL150" s="3">
        <f>BJ150+SUM(BL148:BL149)</f>
        <v>6006.075</v>
      </c>
      <c r="BM150" s="3">
        <f>BL150+SUM(BM148:BM149)</f>
        <v>6006.075</v>
      </c>
      <c r="BN150" s="3">
        <f>BM150+SUM(BN148:BN149)</f>
        <v>6006.075</v>
      </c>
      <c r="BO150" s="3">
        <f>BN150+SUM(BO148:BO149)</f>
        <v>6006.075</v>
      </c>
      <c r="BP150" s="3" t="n"/>
      <c r="BQ150" s="3">
        <f>BO150+SUM(BQ148:BQ149)</f>
        <v>6006.075</v>
      </c>
      <c r="BR150" s="3">
        <f>BQ150+SUM(BR148:BR149)</f>
        <v>6006.075</v>
      </c>
      <c r="BS150" s="3">
        <f>BR150+SUM(BS148:BS149)</f>
        <v>6006.075</v>
      </c>
      <c r="BT150" s="3">
        <f>BS150+SUM(BT148:BT149)</f>
        <v>6006.075</v>
      </c>
      <c r="BU150" s="3" t="n"/>
      <c r="BV150" s="3">
        <f>BT150+SUM(BV148:BV149)</f>
        <v>6006.075</v>
      </c>
      <c r="BW150" s="3">
        <f>BV150+SUM(BW148:BW149)</f>
        <v>6006.075</v>
      </c>
      <c r="BX150" s="3">
        <f>BW150+SUM(BX148:BX149)</f>
        <v>6006.075</v>
      </c>
      <c r="BY150" s="3">
        <f>BX150+SUM(BY148:BY149)</f>
        <v>6006.075</v>
      </c>
      <c r="BZ150" s="3" t="n"/>
      <c r="CA150" s="3">
        <f>BY150+SUM(CA148:CA149)</f>
        <v>6006.075</v>
      </c>
      <c r="CB150" s="3">
        <f>CA150+SUM(CB148:CB149)</f>
        <v>6006.075</v>
      </c>
      <c r="CC150" s="3">
        <f>CB150+SUM(CC148:CC149)</f>
        <v>6006.075</v>
      </c>
      <c r="CD150" s="3">
        <f>CC150+SUM(CD148:CD149)</f>
        <v>6006.075</v>
      </c>
      <c r="CE150" s="3" t="n"/>
      <c r="CF150" s="3">
        <f>CD150+SUM(CF148:CF149)</f>
        <v>6006.075</v>
      </c>
      <c r="CG150" s="3">
        <f>CF150+SUM(CG148:CG149)</f>
        <v>6006.075</v>
      </c>
      <c r="CH150" s="3">
        <f>CG150+SUM(CH148:CH149)</f>
        <v>6006.075</v>
      </c>
      <c r="CI150" s="3">
        <f>CH150+SUM(CI148:CI149)</f>
        <v>6006.075</v>
      </c>
      <c r="CJ150" s="3" t="n"/>
      <c r="CK150" s="3">
        <f>CI150+SUM(CK148:CK149)</f>
        <v>6006.075</v>
      </c>
      <c r="CL150" s="3">
        <f>CK150+SUM(CL148:CL149)</f>
        <v>6006.075</v>
      </c>
      <c r="CM150" s="3">
        <f>CL150+SUM(CM148:CM149)</f>
        <v>6006.075</v>
      </c>
      <c r="CN150" s="3">
        <f>CM150+SUM(CN148:CN149)</f>
        <v>6006.075</v>
      </c>
      <c r="CO150" s="3" t="n"/>
      <c r="CP150" s="3">
        <f>CN150+SUM(CP148:CP149)</f>
        <v>6006.075</v>
      </c>
      <c r="CQ150" s="3">
        <f>CP150+SUM(CQ148:CQ149)</f>
        <v>6006.075</v>
      </c>
      <c r="CR150" s="3">
        <f>CQ150+SUM(CR148:CR149)</f>
        <v>6006.075</v>
      </c>
      <c r="CS150" s="3">
        <f>CR150+SUM(CS148:CS149)</f>
        <v>6006.075</v>
      </c>
      <c r="CT150" s="3" t="n"/>
      <c r="CU150" s="3">
        <f>CS150+SUM(CU148:CU149)</f>
        <v>6006.075</v>
      </c>
      <c r="CV150" s="3">
        <f>CU150+SUM(CV148:CV149)</f>
        <v>6006.075</v>
      </c>
      <c r="CW150" s="3">
        <f>CV150+SUM(CW148:CW149)</f>
        <v>6006.075</v>
      </c>
      <c r="CX150" s="3">
        <f>CW150+SUM(CX148:CX149)</f>
        <v>6006.075</v>
      </c>
      <c r="CY150" s="3" t="n"/>
      <c r="CZ150">
        <f>CX150+SUM(CZ148:CZ149)</f>
        <v>6006.075</v>
      </c>
      <c r="DA150">
        <f>CZ150+SUM(DA148:DA149)</f>
        <v>6006.075</v>
      </c>
      <c r="DB150">
        <f>DA150+SUM(DB148:DB149)</f>
        <v>6006.075</v>
      </c>
      <c r="DC150">
        <f>DB150+SUM(DC148:DC149)</f>
        <v>6006.075</v>
      </c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>
        <f>INDEX('Inputs (2)'!$D$26:$AL$26,MATCH(D$7,'Inputs (2)'!$D$2:$AL$2,0))</f>
        <v>65.82283961</v>
      </c>
      <c r="E155" s="25">
        <f>INDEX('Inputs (2)'!$D$26:$AL$26,MATCH(E$7,'Inputs (2)'!$D$2:$AL$2,0))</f>
        <v>73.44718083</v>
      </c>
      <c r="F155" s="25">
        <f>INDEX('Inputs (2)'!$D$26:$AL$26,MATCH(F$7,'Inputs (2)'!$D$2:$AL$2,0))</f>
        <v>73.41897207</v>
      </c>
      <c r="G155" s="25">
        <f>INDEX('Inputs (2)'!$D$26:$AL$26,MATCH(G$7,'Inputs (2)'!$D$2:$AL$2,0))</f>
        <v>58.07394153</v>
      </c>
      <c r="H155" s="3">
        <f>G155</f>
        <v>58.07394153</v>
      </c>
      <c r="I155" s="25">
        <f>INDEX('Inputs (2)'!$D$26:$AL$26,MATCH(I$7,'Inputs (2)'!$D$2:$AL$2,0))</f>
        <v>57.70639164</v>
      </c>
      <c r="J155" s="25">
        <f>INDEX('Inputs (2)'!$D$26:$AL$26,MATCH(J$7,'Inputs (2)'!$D$2:$AL$2,0))</f>
        <v>46.88245908</v>
      </c>
      <c r="K155" s="25">
        <f>INDEX('Inputs (2)'!$D$26:$AL$26,MATCH(K$7,'Inputs (2)'!$D$2:$AL$2,0))</f>
        <v>45.76159196</v>
      </c>
      <c r="L155" s="25">
        <f>INDEX('Inputs (2)'!$D$26:$AL$26,MATCH(L$7,'Inputs (2)'!$D$2:$AL$2,0))</f>
        <v>46.89604854</v>
      </c>
      <c r="M155" s="3">
        <f>L155</f>
        <v>46.89604854</v>
      </c>
      <c r="N155" s="25">
        <f>INDEX('Inputs (2)'!$D$26:$AL$26,MATCH(N$7,'Inputs (2)'!$D$2:$AL$2,0))</f>
        <v>46.34248186</v>
      </c>
      <c r="O155" s="25">
        <f>INDEX('Inputs (2)'!$D$26:$AL$26,MATCH(O$7,'Inputs (2)'!$D$2:$AL$2,0))</f>
        <v>48.66050671</v>
      </c>
      <c r="P155" s="25">
        <f>INDEX('Inputs (2)'!$D$26:$AL$26,MATCH(P$7,'Inputs (2)'!$D$2:$AL$2,0))</f>
        <v>50.13974602</v>
      </c>
      <c r="Q155" s="25">
        <f>INDEX('Inputs (2)'!$D$26:$AL$26,MATCH(Q$7,'Inputs (2)'!$D$2:$AL$2,0))</f>
        <v>77.92503408</v>
      </c>
      <c r="R155" s="3">
        <f>Q155</f>
        <v>77.92503408</v>
      </c>
      <c r="S155" s="25">
        <f>INDEX('Inputs (2)'!$D$26:$AL$26,MATCH(S$7,'Inputs (2)'!$D$2:$AL$2,0))</f>
        <v>77.42650597</v>
      </c>
      <c r="T155" s="25">
        <f>INDEX('Inputs (2)'!$D$26:$AL$26,MATCH(T$7,'Inputs (2)'!$D$2:$AL$2,0))</f>
        <v>80.237</v>
      </c>
      <c r="U155" s="25">
        <f>INDEX('Inputs (2)'!$D$26:$AL$26,MATCH(U$7,'Inputs (2)'!$D$2:$AL$2,0))</f>
        <v>85.086</v>
      </c>
      <c r="V155" s="25">
        <f>INDEX('Inputs (2)'!$D$26:$AL$26,MATCH(V$7,'Inputs (2)'!$D$2:$AL$2,0))</f>
        <v>75.961</v>
      </c>
      <c r="W155" s="3">
        <f>V155</f>
        <v>75.961</v>
      </c>
      <c r="X155" s="25">
        <f>INDEX('Inputs (2)'!$D$26:$AL$26,MATCH(X$7,'Inputs (2)'!$D$2:$AL$2,0))</f>
        <v>77.885</v>
      </c>
      <c r="Y155" s="25">
        <f>INDEX('Inputs (2)'!$D$26:$AL$26,MATCH(Y$7,'Inputs (2)'!$D$2:$AL$2,0))</f>
        <v>75.5</v>
      </c>
      <c r="Z155" s="25">
        <f>INDEX('Inputs (2)'!$D$26:$AL$26,MATCH(Z$7,'Inputs (2)'!$D$2:$AL$2,0))</f>
        <v>74.756</v>
      </c>
      <c r="AA155" s="25">
        <f>INDEX('Inputs (2)'!$D$26:$AL$26,MATCH(AA$7,'Inputs (2)'!$D$2:$AL$2,0))</f>
        <v>102.77</v>
      </c>
      <c r="AB155" s="3">
        <f>AA155</f>
        <v>102.77</v>
      </c>
      <c r="AC155" s="25">
        <f>INDEX('Inputs (2)'!$D$26:$AL$26,MATCH(AC$7,'Inputs (2)'!$D$2:$AL$2,0))</f>
        <v>89.979094</v>
      </c>
      <c r="AD155" s="25">
        <f>INDEX('Inputs (2)'!$D$26:$AL$26,MATCH(AD$7,'Inputs (2)'!$D$2:$AL$2,0))</f>
        <v>84.177</v>
      </c>
      <c r="AE155" s="25">
        <f>INDEX('Inputs (2)'!$D$26:$AL$26,MATCH(AE$7,'Inputs (2)'!$D$2:$AL$2,0))</f>
        <v>82.641</v>
      </c>
      <c r="AF155" s="25">
        <f>INDEX('Inputs (2)'!$D$26:$AL$26,MATCH(AF$7,'Inputs (2)'!$D$2:$AL$2,0))</f>
        <v>106.081</v>
      </c>
      <c r="AG155" s="3">
        <f>AF155</f>
        <v>106.081</v>
      </c>
      <c r="AH155" s="3">
        <f>INDEX('Inputs (2)'!$D$26:$AL$26,MATCH(AH$7,'Inputs (2)'!$D$2:$AL$2,0))</f>
        <v>104.557</v>
      </c>
      <c r="AI155" s="3">
        <f>INDEX('Inputs (2)'!$D$26:$AL$26,MATCH(AI$7,'Inputs (2)'!$D$2:$AL$2,0))</f>
        <v>87.914</v>
      </c>
      <c r="AJ155" s="3">
        <f>AI155</f>
        <v>87.914</v>
      </c>
      <c r="AK155" s="3">
        <f>AJ155</f>
        <v>87.914</v>
      </c>
      <c r="AL155" s="3">
        <f>AK155</f>
        <v>87.914</v>
      </c>
      <c r="AM155" s="3">
        <f>AL155</f>
        <v>87.914</v>
      </c>
      <c r="AN155" s="3">
        <f>AM155</f>
        <v>87.914</v>
      </c>
      <c r="AO155" s="3">
        <f>AN155</f>
        <v>87.914</v>
      </c>
      <c r="AP155" s="3">
        <f>AO155</f>
        <v>87.914</v>
      </c>
      <c r="AQ155" s="3">
        <f>AP155</f>
        <v>87.914</v>
      </c>
      <c r="AR155" s="3">
        <f>AQ155</f>
        <v>87.914</v>
      </c>
      <c r="AS155" s="3">
        <f>AR155</f>
        <v>87.914</v>
      </c>
      <c r="AT155" s="3">
        <f>AS155</f>
        <v>87.914</v>
      </c>
      <c r="AU155" s="3">
        <f>AT155</f>
        <v>87.914</v>
      </c>
      <c r="AV155" s="3">
        <f>AU155</f>
        <v>87.914</v>
      </c>
      <c r="AW155" s="3">
        <f>AV155</f>
        <v>87.914</v>
      </c>
      <c r="AX155" s="3">
        <f>AW155</f>
        <v>87.914</v>
      </c>
      <c r="AY155" s="3">
        <f>AX155</f>
        <v>87.914</v>
      </c>
      <c r="AZ155" s="3">
        <f>AY155</f>
        <v>87.914</v>
      </c>
      <c r="BA155" s="3">
        <f>AZ155</f>
        <v>87.914</v>
      </c>
      <c r="BB155" s="3">
        <f>BA155</f>
        <v>87.914</v>
      </c>
      <c r="BC155" s="3">
        <f>BB155</f>
        <v>87.914</v>
      </c>
      <c r="BD155" s="3">
        <f>BC155</f>
        <v>87.914</v>
      </c>
      <c r="BE155" s="3">
        <f>BD155</f>
        <v>87.914</v>
      </c>
      <c r="BF155" s="3">
        <f>BE155</f>
        <v>87.914</v>
      </c>
      <c r="BG155" s="3">
        <f>BF155</f>
        <v>87.914</v>
      </c>
      <c r="BH155" s="3">
        <f>BG155</f>
        <v>87.914</v>
      </c>
      <c r="BI155" s="3">
        <f>BH155</f>
        <v>87.914</v>
      </c>
      <c r="BJ155" s="3">
        <f>BI155</f>
        <v>87.914</v>
      </c>
      <c r="BK155" s="3">
        <f>BJ155</f>
        <v>87.914</v>
      </c>
      <c r="BL155" s="3">
        <f>BK155</f>
        <v>87.914</v>
      </c>
      <c r="BM155" s="3">
        <f>BL155</f>
        <v>87.914</v>
      </c>
      <c r="BN155" s="3">
        <f>BM155</f>
        <v>87.914</v>
      </c>
      <c r="BO155" s="3">
        <f>BN155</f>
        <v>87.914</v>
      </c>
      <c r="BP155" s="3">
        <f>BO155</f>
        <v>87.914</v>
      </c>
      <c r="BQ155" s="3">
        <f>BP155</f>
        <v>87.914</v>
      </c>
      <c r="BR155" s="3">
        <f>BQ155</f>
        <v>87.914</v>
      </c>
      <c r="BS155" s="3">
        <f>BR155</f>
        <v>87.914</v>
      </c>
      <c r="BT155" s="3">
        <f>BS155</f>
        <v>87.914</v>
      </c>
      <c r="BU155" s="3">
        <f>BT155</f>
        <v>87.914</v>
      </c>
      <c r="BV155" s="3">
        <f>BU155</f>
        <v>87.914</v>
      </c>
      <c r="BW155" s="3">
        <f>BV155</f>
        <v>87.914</v>
      </c>
      <c r="BX155" s="3">
        <f>BW155</f>
        <v>87.914</v>
      </c>
      <c r="BY155" s="3">
        <f>BX155</f>
        <v>87.914</v>
      </c>
      <c r="BZ155" s="3">
        <f>BY155</f>
        <v>87.914</v>
      </c>
      <c r="CA155" s="3">
        <f>BZ155</f>
        <v>87.914</v>
      </c>
      <c r="CB155" s="3">
        <f>CA155</f>
        <v>87.914</v>
      </c>
      <c r="CC155" s="3">
        <f>CB155</f>
        <v>87.914</v>
      </c>
      <c r="CD155" s="3">
        <f>CC155</f>
        <v>87.914</v>
      </c>
      <c r="CE155" s="3">
        <f>CD155</f>
        <v>87.914</v>
      </c>
      <c r="CF155" s="3">
        <f>CE155</f>
        <v>87.914</v>
      </c>
      <c r="CG155" s="3">
        <f>CF155</f>
        <v>87.914</v>
      </c>
      <c r="CH155" s="3">
        <f>CG155</f>
        <v>87.914</v>
      </c>
      <c r="CI155" s="3">
        <f>CH155</f>
        <v>87.914</v>
      </c>
      <c r="CJ155" s="3">
        <f>CI155</f>
        <v>87.914</v>
      </c>
      <c r="CK155" s="3">
        <f>CJ155</f>
        <v>87.914</v>
      </c>
      <c r="CL155" s="3">
        <f>CK155</f>
        <v>87.914</v>
      </c>
      <c r="CM155" s="3">
        <f>CL155</f>
        <v>87.914</v>
      </c>
      <c r="CN155" s="3">
        <f>CM155</f>
        <v>87.914</v>
      </c>
      <c r="CO155" s="3">
        <f>CN155</f>
        <v>87.914</v>
      </c>
      <c r="CP155" s="3">
        <f>CO155</f>
        <v>87.914</v>
      </c>
      <c r="CQ155" s="3">
        <f>CP155</f>
        <v>87.914</v>
      </c>
      <c r="CR155" s="3">
        <f>CQ155</f>
        <v>87.914</v>
      </c>
      <c r="CS155" s="3">
        <f>CR155</f>
        <v>87.914</v>
      </c>
      <c r="CT155" s="3">
        <f>CS155</f>
        <v>87.914</v>
      </c>
      <c r="CU155" s="3">
        <f>CT155</f>
        <v>87.914</v>
      </c>
      <c r="CV155" s="3">
        <f>CU155</f>
        <v>87.914</v>
      </c>
      <c r="CW155" s="3">
        <f>CV155</f>
        <v>87.914</v>
      </c>
      <c r="CX155" s="3">
        <f>CW155</f>
        <v>87.914</v>
      </c>
      <c r="CY155" s="3">
        <f>CX155</f>
        <v>87.914</v>
      </c>
    </row>
    <row r="156" hidden="1" outlineLevel="1">
      <c r="C156" s="38" t="inlineStr">
        <is>
          <t>%(Var.)</t>
        </is>
      </c>
      <c r="D156" s="3" t="n"/>
      <c r="E156" s="47">
        <f>(E155-D155)/D155</f>
        <v>0.115831241331644</v>
      </c>
      <c r="F156" s="47">
        <f>(F155-E155)/E155</f>
        <v>-0.000384068655613946</v>
      </c>
      <c r="G156" s="47">
        <f>(G155-F155)/F155</f>
        <v>-0.209006338652761</v>
      </c>
      <c r="H156" s="3" t="n"/>
      <c r="I156" s="47">
        <f>(I155-H155)/H155</f>
        <v>-0.00632899852010403</v>
      </c>
      <c r="J156" s="47">
        <f>(J155-I155)/I155</f>
        <v>-0.187569041355503</v>
      </c>
      <c r="K156" s="47">
        <f>(K155-J155)/J155</f>
        <v>-0.0239080274796881</v>
      </c>
      <c r="L156" s="47">
        <f>(L155-K155)/K155</f>
        <v>0.0247905837933177</v>
      </c>
      <c r="M156" s="3" t="n"/>
      <c r="N156" s="47">
        <f>(N155-M155)/M155</f>
        <v>-0.0118041220365896</v>
      </c>
      <c r="O156" s="47">
        <f>(O155-N155)/N155</f>
        <v>0.0500194369607289</v>
      </c>
      <c r="P156" s="47">
        <f>(P155-O155)/O155</f>
        <v>0.0303991760467223</v>
      </c>
      <c r="Q156" s="47">
        <f>(Q155-P155)/P155</f>
        <v>0.554156936672891</v>
      </c>
      <c r="R156" s="3" t="n"/>
      <c r="S156" s="47">
        <f>(S155-R155)/R155</f>
        <v>-0.00639753470608953</v>
      </c>
      <c r="T156" s="47">
        <f>(T155-S155)/S155</f>
        <v>0.036298861672629</v>
      </c>
      <c r="U156" s="47">
        <f>(U155-T155)/T155</f>
        <v>0.0604334658573973</v>
      </c>
      <c r="V156" s="47">
        <f>(V155-U155)/U155</f>
        <v>-0.107244435042193</v>
      </c>
      <c r="W156" s="3" t="n"/>
      <c r="X156" s="47">
        <f>(X155-W155)/W155</f>
        <v>0.0253287871407695</v>
      </c>
      <c r="Y156" s="47">
        <f>(Y155-X155)/X155</f>
        <v>-0.0306220710021184</v>
      </c>
      <c r="Z156" s="47">
        <f>(Z155-Y155)/Y155</f>
        <v>-0.00985430463576159</v>
      </c>
      <c r="AA156" s="47">
        <f>(AA155-Z155)/Z155</f>
        <v>0.374739151372465</v>
      </c>
      <c r="AB156" s="3" t="n"/>
      <c r="AC156" s="47">
        <f>(AC155-AB155)/AB155</f>
        <v>-0.124461477084752</v>
      </c>
      <c r="AD156" s="47">
        <f>(AD155-AC155)/AC155</f>
        <v>-0.0644826897234597</v>
      </c>
      <c r="AE156" s="47">
        <f>(AE155-AD155)/AD155</f>
        <v>-0.0182472646922556</v>
      </c>
      <c r="AF156" s="218">
        <f>(AF155-AE155)/AE155</f>
        <v>0.283636451640227</v>
      </c>
      <c r="AG156" s="3" t="n"/>
      <c r="AH156" s="218">
        <f>(AH155-AG155)/AG155</f>
        <v>-0.0143663804074245</v>
      </c>
      <c r="AI156" s="218">
        <f>(AI155-AH155)/AH155</f>
        <v>-0.159176334439588</v>
      </c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5143.73655800508</v>
      </c>
      <c r="E163" s="16">
        <f>(E110+E111+E115+E119+E120+E121+E127+E132+E142+E145+E146+E155)</f>
        <v>5468.97016587425</v>
      </c>
      <c r="F163" s="16">
        <f>(F110+F111+F115+F119+F120+F121+F127+F132+F142+F145+F146+F155)</f>
        <v>5653.50594051122</v>
      </c>
      <c r="G163" s="16">
        <f>(G110+G111+G115+G119+G120+G121+G127+G132+G142+G145+G146+G155)</f>
        <v>5587.5343595226</v>
      </c>
      <c r="H163" s="16">
        <f>SUM(H110,H111,H115,H119,H120,H121,H127,H142,H145,H146,H155,H132)</f>
        <v>5587.5343595226</v>
      </c>
      <c r="I163" s="16">
        <f>(I110+I111+I115+I119+I120+I121+I127+I132+I142+I145+I146+I155)</f>
        <v>5573.53945350397</v>
      </c>
      <c r="J163" s="16">
        <f>(J110+J111+J115+J119+J120+J121+J127+J132+J142+J145+J146+J155)</f>
        <v>5405.80583362294</v>
      </c>
      <c r="K163" s="16">
        <f>(K110+K111+K115+K119+K120+K121+K127+K132+K142+K145+K146+K155)</f>
        <v>6285.68944722417</v>
      </c>
      <c r="L163" s="16">
        <f>(L110+L111+L115+L119+L120+L121+L127+L132+L142+L145+L146+L155)</f>
        <v>6073.76808559594</v>
      </c>
      <c r="M163" s="16">
        <f>SUM(M110,M111,M115,M119,M120,M121,M127,M142,M145,M146,M155,M132)</f>
        <v>6073.76808559594</v>
      </c>
      <c r="N163" s="16">
        <f>(N110+N111+N115+N119+N120+N121+N127+N132+N142+N145+N146+N155)</f>
        <v>5995.987035997</v>
      </c>
      <c r="O163" s="16">
        <f>(O110+O111+O115+O119+O120+O121+O127+O132+O142+O145+O146+O155)</f>
        <v>6839.71485439051</v>
      </c>
      <c r="P163" s="16">
        <f>(P110+P111+P115+P119+P120+P121+P127+P132+P142+P145+P146+P155)</f>
        <v>7036.07210588</v>
      </c>
      <c r="Q163" s="16">
        <f>(Q110+Q111+Q115+Q119+Q120+Q121+Q127+Q132+Q142+Q145+Q146+Q155)</f>
        <v>7791.77053665673</v>
      </c>
      <c r="R163" s="16">
        <f>SUM(R110,R111,R115,R119,R120,R121,R127,R142,R145,R146,R155,R132)</f>
        <v>7791.77053665673</v>
      </c>
      <c r="S163" s="16">
        <f>(S110+S111+S115+S119+S120+S121+S127+S132+S142+S145+S146+S155)</f>
        <v>7863.87909975</v>
      </c>
      <c r="T163" s="16">
        <f>(T110+T111+T115+T119+T120+T121+T127+T132+T142+T145+T146+T155)</f>
        <v>11509.984</v>
      </c>
      <c r="U163" s="16">
        <f>(U110+U111+U115+U119+U120+U121+U127+U132+U142+U145+U146+U155)</f>
        <v>11533.043</v>
      </c>
      <c r="V163" s="16">
        <f>(V110+V111+V115+V119+V120+V121+V127+V132+V142+V145+V146+V155)</f>
        <v>11579.968</v>
      </c>
      <c r="W163" s="16">
        <f>SUM(W110,W111,W115,W119,W120,W121,W127,W142,W145,W146,W155,W132)</f>
        <v>11579.968</v>
      </c>
      <c r="X163" s="16">
        <f>(X110+X111+X115+X119+X120+X121+X127+X132+X142+X145+X146+X155)</f>
        <v>11686.093</v>
      </c>
      <c r="Y163" s="16">
        <f>(Y110+Y111+Y115+Y119+Y120+Y121+Y127+Y132+Y142+Y145+Y146+Y155)</f>
        <v>12802.394</v>
      </c>
      <c r="Z163" s="16">
        <f>(Z110+Z111+Z115+Z119+Z120+Z121+Z127+Z132+Z142+Z145+Z146+Z155)</f>
        <v>13031.228</v>
      </c>
      <c r="AA163" s="16">
        <f>(AA110+AA111+AA115+AA119+AA120+AA121+AA127+AA132+AA142+AA145+AA146+AA155)</f>
        <v>13062.41</v>
      </c>
      <c r="AB163" s="16">
        <f>SUM(AB110,AB111,AB115,AB119,AB120,AB121,AB127,AB142,AB145,AB146,AB155,AB132)</f>
        <v>13062.41</v>
      </c>
      <c r="AC163" s="16">
        <f>(AC110+AC111+AC115+AC119+AC120+AC121+AC127+AC132+AC142+AC145+AC146+AC155)</f>
        <v>13270.726504</v>
      </c>
      <c r="AD163" s="16">
        <f>(AD110+AD111+AD115+AD119+AD120+AD121+AD127+AD132+AD142+AD145+AD146+AD155)</f>
        <v>13072.446</v>
      </c>
      <c r="AE163" s="16">
        <f>(AE110+AE111+AE115+AE119+AE120+AE121+AE127+AE132+AE142+AE145+AE146+AE155)</f>
        <v>13584.226</v>
      </c>
      <c r="AF163" s="16">
        <f>(AF110+AF111+AF115+AF119+AF120+AF121+AF127+AF132+AF142+AF145+AF146+AF155)</f>
        <v>13220.481</v>
      </c>
      <c r="AG163" s="16">
        <f>SUM(AG110,AG111,AG115,AG119,AG120,AG121,AG127,AG142,AG145,AG146,AG155,AG132)</f>
        <v>13220.481</v>
      </c>
      <c r="AH163" s="16">
        <f>(AH110+AH111+AH115+AH119+AH120+AH121+AH127+AH132+AH142+AH145+AH146+AH155)</f>
        <v>13325.654</v>
      </c>
      <c r="AI163" s="16">
        <f>(AI110+AI111+AI115+AI119+AI120+AI121+AI127+AI132+AI142+AI145+AI146+AI155)</f>
        <v>13558.475</v>
      </c>
      <c r="AJ163" s="16">
        <f>(AJ110+AJ111+AJ115+AJ119+AJ120+AJ121+AJ127+AJ132+AJ142+AJ145+AJ146+AJ155)</f>
        <v>12275.8946493466</v>
      </c>
      <c r="AK163" s="16">
        <f>(AK110+AK111+AK115+AK119+AK120+AK121+AK127+AK132+AK142+AK145+AK146+AK155)</f>
        <v>12350.4876267517</v>
      </c>
      <c r="AL163" s="16">
        <f>SUM(AL110,AL111,AL115,AL119,AL120,AL121,AL127,AL142,AL145,AL146,AL155,AL132)</f>
        <v>12350.4876267517</v>
      </c>
      <c r="AM163" s="16" t="e">
        <f>(AM110+AM111+AM115+AM119+AM120+AM121+AM127+AM132+AM142+AM145+AM146+AM155)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(AR110+AR111+AR115+AR119+AR120+AR121+AR127+AR132+AR142+AR145+AR146+AR155)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(AW110+AW111+AW115+AW119+AW120+AW121+AW127+AW132+AW142+AW145+AW146+AW155)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(BB110+BB111+BB115+BB119+BB120+BB121+BB127+BB132+BB142+BB145+BB146+BB155)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(BG110+BG111+BG115+BG119+BG120+BG121+BG127+BG132+BG142+BG145+BG146+BG155)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(BL110+BL111+BL115+BL119+BL120+BL121+BL127+BL132+BL142+BL145+BL146+BL155)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(BQ110+BQ111+BQ115+BQ119+BQ120+BQ121+BQ127+BQ132+BQ142+BQ145+BQ146+BQ155)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(BV110+BV111+BV115+BV119+BV120+BV121+BV127+BV132+BV142+BV145+BV146+BV155)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(CA110+CA111+CA115+CA119+CA120+CA121+CA127+CA132+CA142+CA145+CA146+CA155)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(CF110+CF111+CF115+CF119+CF120+CF121+CF127+CF132+CF142+CF145+CF146+CF155)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(CK110+CK111+CK115+CK119+CK120+CK121+CK127+CK132+CK142+CK145+CK146+CK155)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(CP110+CP111+CP115+CP119+CP120+CP121+CP127+CP132+CP142+CP145+CP146+CP155)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(CU110+CU111+CU115+CU119+CU120+CU121+CU127+CU132+CU142+CU145+CU146+CU155)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>
        <f>INDEX('Inputs (2)'!$D$28:$AL$28,MATCH(D$7,'Inputs (2)'!$D$2:$AL$2,0))</f>
        <v>178.57823267</v>
      </c>
      <c r="E164" s="25">
        <f>INDEX('Inputs (2)'!$D$28:$AL$28,MATCH(E$7,'Inputs (2)'!$D$2:$AL$2,0))</f>
        <v>162.59514476</v>
      </c>
      <c r="F164" s="25">
        <f>INDEX('Inputs (2)'!$D$28:$AL$28,MATCH(F$7,'Inputs (2)'!$D$2:$AL$2,0))</f>
        <v>196.96674689</v>
      </c>
      <c r="G164" s="25">
        <f>INDEX('Inputs (2)'!$D$28:$AL$28,MATCH(G$7,'Inputs (2)'!$D$2:$AL$2,0))</f>
        <v>250.45905831</v>
      </c>
      <c r="H164" s="3">
        <f>G164</f>
        <v>250.45905831</v>
      </c>
      <c r="I164" s="25">
        <f>INDEX('Inputs (2)'!$D$28:$AL$28,MATCH(I$7,'Inputs (2)'!$D$2:$AL$2,0))</f>
        <v>217.45823862</v>
      </c>
      <c r="J164" s="25">
        <f>INDEX('Inputs (2)'!$D$28:$AL$28,MATCH(J$7,'Inputs (2)'!$D$2:$AL$2,0))</f>
        <v>271.93653186</v>
      </c>
      <c r="K164" s="25">
        <f>INDEX('Inputs (2)'!$D$28:$AL$28,MATCH(K$7,'Inputs (2)'!$D$2:$AL$2,0))</f>
        <v>290.60493982</v>
      </c>
      <c r="L164" s="25">
        <f>INDEX('Inputs (2)'!$D$28:$AL$28,MATCH(L$7,'Inputs (2)'!$D$2:$AL$2,0))</f>
        <v>356.88085195</v>
      </c>
      <c r="M164" s="3">
        <f>L164</f>
        <v>356.88085195</v>
      </c>
      <c r="N164" s="25">
        <f>INDEX('Inputs (2)'!$D$28:$AL$28,MATCH(N$7,'Inputs (2)'!$D$2:$AL$2,0))</f>
        <v>306.31845786</v>
      </c>
      <c r="O164" s="25">
        <f>INDEX('Inputs (2)'!$D$28:$AL$28,MATCH(O$7,'Inputs (2)'!$D$2:$AL$2,0))</f>
        <v>302.67521001</v>
      </c>
      <c r="P164" s="25">
        <f>INDEX('Inputs (2)'!$D$28:$AL$28,MATCH(P$7,'Inputs (2)'!$D$2:$AL$2,0))</f>
        <v>297.71210255</v>
      </c>
      <c r="Q164" s="25">
        <f>INDEX('Inputs (2)'!$D$28:$AL$28,MATCH(Q$7,'Inputs (2)'!$D$2:$AL$2,0))</f>
        <v>364.26789641</v>
      </c>
      <c r="R164" s="3">
        <f>Q164</f>
        <v>364.26789641</v>
      </c>
      <c r="S164" s="25">
        <f>INDEX('Inputs (2)'!$D$28:$AL$28,MATCH(S$7,'Inputs (2)'!$D$2:$AL$2,0))</f>
        <v>359.71789864</v>
      </c>
      <c r="T164" s="25">
        <f>INDEX('Inputs (2)'!$D$28:$AL$28,MATCH(T$7,'Inputs (2)'!$D$2:$AL$2,0))</f>
        <v>591.27</v>
      </c>
      <c r="U164" s="25">
        <f>INDEX('Inputs (2)'!$D$28:$AL$28,MATCH(U$7,'Inputs (2)'!$D$2:$AL$2,0))</f>
        <v>575.225</v>
      </c>
      <c r="V164" s="25">
        <f>INDEX('Inputs (2)'!$D$28:$AL$28,MATCH(V$7,'Inputs (2)'!$D$2:$AL$2,0))</f>
        <v>620.413</v>
      </c>
      <c r="W164" s="3">
        <f>V164</f>
        <v>620.413</v>
      </c>
      <c r="X164" s="25">
        <f>INDEX('Inputs (2)'!$D$28:$AL$28,MATCH(X$7,'Inputs (2)'!$D$2:$AL$2,0))</f>
        <v>632.446</v>
      </c>
      <c r="Y164" s="25">
        <f>INDEX('Inputs (2)'!$D$28:$AL$28,MATCH(Y$7,'Inputs (2)'!$D$2:$AL$2,0))</f>
        <v>676.475</v>
      </c>
      <c r="Z164" s="25">
        <f>INDEX('Inputs (2)'!$D$28:$AL$28,MATCH(Z$7,'Inputs (2)'!$D$2:$AL$2,0))</f>
        <v>647.545</v>
      </c>
      <c r="AA164" s="25">
        <f>INDEX('Inputs (2)'!$D$28:$AL$28,MATCH(AA$7,'Inputs (2)'!$D$2:$AL$2,0))</f>
        <v>704.009</v>
      </c>
      <c r="AB164" s="3">
        <f>AA164</f>
        <v>704.009</v>
      </c>
      <c r="AC164" s="25">
        <f>INDEX('Inputs (2)'!$D$28:$AL$28,MATCH(AC$7,'Inputs (2)'!$D$2:$AL$2,0))</f>
        <v>674.716396</v>
      </c>
      <c r="AD164" s="25">
        <f>INDEX('Inputs (2)'!$D$28:$AL$28,MATCH(AD$7,'Inputs (2)'!$D$2:$AL$2,0))</f>
        <v>652.937</v>
      </c>
      <c r="AE164" s="25">
        <f>INDEX('Inputs (2)'!$D$28:$AL$28,MATCH(AE$7,'Inputs (2)'!$D$2:$AL$2,0))</f>
        <v>721.344</v>
      </c>
      <c r="AF164" s="25">
        <f>INDEX('Inputs (2)'!$D$28:$AL$28,MATCH(AF$7,'Inputs (2)'!$D$2:$AL$2,0))</f>
        <v>800.133</v>
      </c>
      <c r="AG164" s="3">
        <f>AF164</f>
        <v>800.133</v>
      </c>
      <c r="AH164" s="3">
        <f>INDEX('Inputs (2)'!$D$28:$AL$28,MATCH(AH$7,'Inputs (2)'!$D$2:$AL$2,0))</f>
        <v>733.299</v>
      </c>
      <c r="AI164" s="3">
        <f>INDEX('Inputs (2)'!$D$28:$AL$28,MATCH(AI$7,'Inputs (2)'!$D$2:$AL$2,0))</f>
        <v>840.735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>
        <f>-(E164/E$20)*(E$5-D$5)</f>
        <v>38.6037099685032</v>
      </c>
      <c r="F165" s="3">
        <f>-(F164/F$20)*(F$5-E$5)</f>
        <v>37.0533353372812</v>
      </c>
      <c r="G165" s="3">
        <f>-(G164/G$20)*(G$5-F$5)</f>
        <v>42.7848634939204</v>
      </c>
      <c r="H165" s="3" t="n"/>
      <c r="I165" s="3">
        <f>-(I164/I$20)*(I$5-H$5)</f>
        <v>36.603630413076</v>
      </c>
      <c r="J165" s="3">
        <f>-(J164/J$20)*(J$5-I$5)</f>
        <v>41.3225181676776</v>
      </c>
      <c r="K165" s="3">
        <f>-(K164/K$20)*(K$5-J$5)</f>
        <v>41.9668065260994</v>
      </c>
      <c r="L165" s="3">
        <f>-(L164/L$20)*(L$5-K$5)</f>
        <v>50.4983991871982</v>
      </c>
      <c r="M165" s="3" t="n"/>
      <c r="N165" s="3">
        <f>-(N164/N$20)*(N$5-M$5)</f>
        <v>40.9615383816052</v>
      </c>
      <c r="O165" s="3">
        <f>-(O164/O$20)*(O$5-N$5)</f>
        <v>38.630947900534</v>
      </c>
      <c r="P165" s="3">
        <f>-(P164/P$20)*(P$5-O$5)</f>
        <v>38.4460899856951</v>
      </c>
      <c r="Q165" s="3">
        <f>-(Q164/Q$20)*(Q$5-P$5)</f>
        <v>44.1571535657067</v>
      </c>
      <c r="R165" s="3" t="n"/>
      <c r="S165" s="3">
        <f>-(S164/S$20)*(S$5-R$5)</f>
        <v>41.696612269336</v>
      </c>
      <c r="T165" s="3">
        <f>-(T164/T$20)*(T$5-S$5)</f>
        <v>50.0433602218793</v>
      </c>
      <c r="U165" s="3">
        <f>-(U164/U$20)*(U$5-T$5)</f>
        <v>44.1717158204952</v>
      </c>
      <c r="V165" s="3">
        <f>-(V164/V$20)*(V$5-U$5)</f>
        <v>49.3041598174265</v>
      </c>
      <c r="W165" s="3" t="n"/>
      <c r="X165" s="3">
        <f>-(X164/X$20)*(X$5-W$5)</f>
        <v>48.2786446012556</v>
      </c>
      <c r="Y165" s="3">
        <f>-(Y164/Y$20)*(Y$5-X$5)</f>
        <v>48.8240171822096</v>
      </c>
      <c r="Z165" s="3">
        <f>-(Z164/Z$20)*(Z$5-Y$5)</f>
        <v>47.5875879873854</v>
      </c>
      <c r="AA165" s="3">
        <f>-(AA164/AA$20)*(AA$5-Z$5)</f>
        <v>52.5982289903751</v>
      </c>
      <c r="AB165" s="3" t="n"/>
      <c r="AC165" s="3">
        <f>-(AC164/AC$20)*(AC$5-AB$5)</f>
        <v>47.3639561588104</v>
      </c>
      <c r="AD165" s="3">
        <f>-(AD164/AD$20)*(AD$5-AC$5)</f>
        <v>44.7919716007949</v>
      </c>
      <c r="AE165" s="3">
        <f>-(AE164/AE$20)*(AE$5-AD$5)</f>
        <v>47.4125962256333</v>
      </c>
      <c r="AF165" s="6">
        <f>-(AF164/AF$20)*(AF$5-AE$5)</f>
        <v>52.8043229222335</v>
      </c>
      <c r="AG165" s="3" t="n"/>
      <c r="AH165" s="6">
        <f>-(AH164/AH$20)*(AH$5-AG$5)</f>
        <v>46.5539702167612</v>
      </c>
      <c r="AI165" s="6">
        <f>-(AI164/AI$20)*(AI$5-AH$5)</f>
        <v>50.7279535599199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>
        <f>INDEX('Inputs (2)'!$D$29:$AL$29,MATCH(D$7,'Inputs (2)'!$D$2:$AL$2,0))</f>
        <v>108.91141814</v>
      </c>
      <c r="E168" s="25">
        <f>INDEX('Inputs (2)'!$D$29:$AL$29,MATCH(E$7,'Inputs (2)'!$D$2:$AL$2,0))</f>
        <v>128.82923871</v>
      </c>
      <c r="F168" s="25">
        <f>INDEX('Inputs (2)'!$D$29:$AL$29,MATCH(F$7,'Inputs (2)'!$D$2:$AL$2,0))</f>
        <v>148.59254415</v>
      </c>
      <c r="G168" s="25">
        <f>INDEX('Inputs (2)'!$D$29:$AL$29,MATCH(G$7,'Inputs (2)'!$D$2:$AL$2,0))</f>
        <v>138.77407439</v>
      </c>
      <c r="H168" s="3">
        <f>G168</f>
        <v>138.77407439</v>
      </c>
      <c r="I168" s="25">
        <f>INDEX('Inputs (2)'!$D$29:$AL$29,MATCH(I$7,'Inputs (2)'!$D$2:$AL$2,0))</f>
        <v>129.77137318</v>
      </c>
      <c r="J168" s="25">
        <f>INDEX('Inputs (2)'!$D$29:$AL$29,MATCH(J$7,'Inputs (2)'!$D$2:$AL$2,0))</f>
        <v>179.05014977</v>
      </c>
      <c r="K168" s="25">
        <f>INDEX('Inputs (2)'!$D$29:$AL$29,MATCH(K$7,'Inputs (2)'!$D$2:$AL$2,0))</f>
        <v>218.24255644</v>
      </c>
      <c r="L168" s="25">
        <f>INDEX('Inputs (2)'!$D$29:$AL$29,MATCH(L$7,'Inputs (2)'!$D$2:$AL$2,0))</f>
        <v>202.16819922</v>
      </c>
      <c r="M168" s="3">
        <f>L168</f>
        <v>202.16819922</v>
      </c>
      <c r="N168" s="25">
        <f>INDEX('Inputs (2)'!$D$29:$AL$29,MATCH(N$7,'Inputs (2)'!$D$2:$AL$2,0))</f>
        <v>172.71857732</v>
      </c>
      <c r="O168" s="25">
        <f>INDEX('Inputs (2)'!$D$29:$AL$29,MATCH(O$7,'Inputs (2)'!$D$2:$AL$2,0))</f>
        <v>210.8868834</v>
      </c>
      <c r="P168" s="25">
        <f>INDEX('Inputs (2)'!$D$29:$AL$29,MATCH(P$7,'Inputs (2)'!$D$2:$AL$2,0))</f>
        <v>241.1555246</v>
      </c>
      <c r="Q168" s="25">
        <f>INDEX('Inputs (2)'!$D$29:$AL$29,MATCH(Q$7,'Inputs (2)'!$D$2:$AL$2,0))</f>
        <v>227.60029686</v>
      </c>
      <c r="R168" s="3">
        <f>Q168</f>
        <v>227.60029686</v>
      </c>
      <c r="S168" s="25">
        <f>INDEX('Inputs (2)'!$D$29:$AL$29,MATCH(S$7,'Inputs (2)'!$D$2:$AL$2,0))</f>
        <v>191.55423713</v>
      </c>
      <c r="T168" s="25">
        <f>INDEX('Inputs (2)'!$D$29:$AL$29,MATCH(T$7,'Inputs (2)'!$D$2:$AL$2,0))</f>
        <v>328.937</v>
      </c>
      <c r="U168" s="25">
        <f>INDEX('Inputs (2)'!$D$29:$AL$29,MATCH(U$7,'Inputs (2)'!$D$2:$AL$2,0))</f>
        <v>380.761</v>
      </c>
      <c r="V168" s="25">
        <f>INDEX('Inputs (2)'!$D$29:$AL$29,MATCH(V$7,'Inputs (2)'!$D$2:$AL$2,0))</f>
        <v>338.989</v>
      </c>
      <c r="W168" s="3">
        <f>V168</f>
        <v>338.989</v>
      </c>
      <c r="X168" s="25">
        <f>INDEX('Inputs (2)'!$D$29:$AL$29,MATCH(X$7,'Inputs (2)'!$D$2:$AL$2,0))</f>
        <v>285.808</v>
      </c>
      <c r="Y168" s="25">
        <f>INDEX('Inputs (2)'!$D$29:$AL$29,MATCH(Y$7,'Inputs (2)'!$D$2:$AL$2,0))</f>
        <v>352.951</v>
      </c>
      <c r="Z168" s="25">
        <f>INDEX('Inputs (2)'!$D$29:$AL$29,MATCH(Z$7,'Inputs (2)'!$D$2:$AL$2,0))</f>
        <v>402.732</v>
      </c>
      <c r="AA168" s="25">
        <f>INDEX('Inputs (2)'!$D$29:$AL$29,MATCH(AA$7,'Inputs (2)'!$D$2:$AL$2,0))</f>
        <v>381.902</v>
      </c>
      <c r="AB168" s="3">
        <f>AA168</f>
        <v>381.902</v>
      </c>
      <c r="AC168" s="25">
        <f>INDEX('Inputs (2)'!$D$29:$AL$29,MATCH(AC$7,'Inputs (2)'!$D$2:$AL$2,0))</f>
        <v>309.762274</v>
      </c>
      <c r="AD168" s="25">
        <f>INDEX('Inputs (2)'!$D$29:$AL$29,MATCH(AD$7,'Inputs (2)'!$D$2:$AL$2,0))</f>
        <v>368.403</v>
      </c>
      <c r="AE168" s="25">
        <f>INDEX('Inputs (2)'!$D$29:$AL$29,MATCH(AE$7,'Inputs (2)'!$D$2:$AL$2,0))</f>
        <v>438.976</v>
      </c>
      <c r="AF168" s="25">
        <f>INDEX('Inputs (2)'!$D$29:$AL$29,MATCH(AF$7,'Inputs (2)'!$D$2:$AL$2,0))</f>
        <v>407.632</v>
      </c>
      <c r="AG168" s="3">
        <f>AF168</f>
        <v>407.632</v>
      </c>
      <c r="AH168" s="3">
        <f>INDEX('Inputs (2)'!$D$29:$AL$29,MATCH(AH$7,'Inputs (2)'!$D$2:$AL$2,0))</f>
        <v>345.296</v>
      </c>
      <c r="AI168" s="3">
        <f>INDEX('Inputs (2)'!$D$29:$AL$29,MATCH(AI$7,'Inputs (2)'!$D$2:$AL$2,0))</f>
        <v>406.046</v>
      </c>
      <c r="AJ168" s="3">
        <f>AH168*AJ24/AH24</f>
        <v>0</v>
      </c>
      <c r="AK168" s="3">
        <f>AI168*AK24/AI24</f>
        <v>0</v>
      </c>
      <c r="AL168" s="3">
        <f>AK168</f>
        <v>0</v>
      </c>
      <c r="AM168" s="3" t="e">
        <f>AK168*AM24/AK24</f>
        <v>#DIV/0!</v>
      </c>
      <c r="AN168" s="3">
        <f>AL168*AN24/AL24</f>
        <v>0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>
        <f>(E168-D168)/D168</f>
        <v>0.182880922038832</v>
      </c>
      <c r="F169" s="47">
        <f>(F168-E168)/E168</f>
        <v>0.153406987714086</v>
      </c>
      <c r="G169" s="47">
        <f>(G168-F168)/F168</f>
        <v>-0.0660764630968868</v>
      </c>
      <c r="H169" s="3" t="n"/>
      <c r="I169" s="47">
        <f>(I168-H168)/H168</f>
        <v>-0.0648730769747345</v>
      </c>
      <c r="J169" s="47">
        <f>(J168-I168)/I168</f>
        <v>0.379735340564268</v>
      </c>
      <c r="K169" s="47">
        <f>(K168-J168)/J168</f>
        <v>0.218890666778804</v>
      </c>
      <c r="L169" s="47">
        <f>(L168-K168)/K168</f>
        <v>-0.0736536332886074</v>
      </c>
      <c r="M169" s="3" t="n"/>
      <c r="N169" s="47">
        <f>(N168-M168)/M168</f>
        <v>-0.145668913378176</v>
      </c>
      <c r="O169" s="47">
        <f>(O168-N168)/N168</f>
        <v>0.220985528437306</v>
      </c>
      <c r="P169" s="47">
        <f>(P168-O168)/O168</f>
        <v>0.143530222041301</v>
      </c>
      <c r="Q169" s="47">
        <f>(Q168-P168)/P168</f>
        <v>-0.0562094845742547</v>
      </c>
      <c r="R169" s="3" t="n"/>
      <c r="S169" s="47">
        <f>(S168-R168)/R168</f>
        <v>-0.158374396814484</v>
      </c>
      <c r="T169" s="47">
        <f>(T168-S168)/S168</f>
        <v>0.717200334110929</v>
      </c>
      <c r="U169" s="47">
        <f>(U168-T168)/T168</f>
        <v>0.157549925973667</v>
      </c>
      <c r="V169" s="47">
        <f>(V168-U168)/U168</f>
        <v>-0.109706613860138</v>
      </c>
      <c r="W169" s="3" t="n"/>
      <c r="X169" s="47">
        <f>(X168-W168)/W168</f>
        <v>-0.156881196734997</v>
      </c>
      <c r="Y169" s="47">
        <f>(Y168-X168)/X168</f>
        <v>0.234923445110004</v>
      </c>
      <c r="Z169" s="47">
        <f>(Z168-Y168)/Y168</f>
        <v>0.141042240990959</v>
      </c>
      <c r="AA169" s="47">
        <f>(AA168-Z168)/Z168</f>
        <v>-0.0517217405123011</v>
      </c>
      <c r="AB169" s="3" t="n"/>
      <c r="AC169" s="47">
        <f>(AC168-AB168)/AB168</f>
        <v>-0.188895910469178</v>
      </c>
      <c r="AD169" s="47">
        <f>(AD168-AC168)/AC168</f>
        <v>0.189308805242048</v>
      </c>
      <c r="AE169" s="47">
        <f>(AE168-AD168)/AD168</f>
        <v>0.191564672383232</v>
      </c>
      <c r="AF169" s="218">
        <f>(AF168-AE168)/AE168</f>
        <v>-0.0714025368129465</v>
      </c>
      <c r="AG169" s="3" t="n"/>
      <c r="AH169" s="218">
        <f>(AH168-AG168)/AG168</f>
        <v>-0.15292224359226</v>
      </c>
      <c r="AI169" s="218">
        <f>(AI168-AH168)/AH168</f>
        <v>0.175936008526018</v>
      </c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>
        <f>INDEX('Inputs (2)'!$D$30:$AL$30,MATCH(D$7,'Inputs (2)'!$D$2:$AL$2,0))</f>
        <v>28.53369986</v>
      </c>
      <c r="E170" s="25">
        <f>INDEX('Inputs (2)'!$D$30:$AL$30,MATCH(E$7,'Inputs (2)'!$D$2:$AL$2,0))</f>
        <v>26.89354755</v>
      </c>
      <c r="F170" s="25">
        <f>INDEX('Inputs (2)'!$D$30:$AL$30,MATCH(F$7,'Inputs (2)'!$D$2:$AL$2,0))</f>
        <v>64.41560137</v>
      </c>
      <c r="G170" s="25">
        <f>INDEX('Inputs (2)'!$D$30:$AL$30,MATCH(G$7,'Inputs (2)'!$D$2:$AL$2,0))</f>
        <v>37.62955018</v>
      </c>
      <c r="H170" s="3">
        <f>G170</f>
        <v>37.62955018</v>
      </c>
      <c r="I170" s="25">
        <f>INDEX('Inputs (2)'!$D$30:$AL$30,MATCH(I$7,'Inputs (2)'!$D$2:$AL$2,0))</f>
        <v>82.64400593</v>
      </c>
      <c r="J170" s="25">
        <f>INDEX('Inputs (2)'!$D$30:$AL$30,MATCH(J$7,'Inputs (2)'!$D$2:$AL$2,0))</f>
        <v>84.15495263</v>
      </c>
      <c r="K170" s="25">
        <f>INDEX('Inputs (2)'!$D$30:$AL$30,MATCH(K$7,'Inputs (2)'!$D$2:$AL$2,0))</f>
        <v>191.66460878</v>
      </c>
      <c r="L170" s="25">
        <f>INDEX('Inputs (2)'!$D$30:$AL$30,MATCH(L$7,'Inputs (2)'!$D$2:$AL$2,0))</f>
        <v>91.24440729</v>
      </c>
      <c r="M170" s="3">
        <f>L170</f>
        <v>91.24440729</v>
      </c>
      <c r="N170" s="25">
        <f>INDEX('Inputs (2)'!$D$30:$AL$30,MATCH(N$7,'Inputs (2)'!$D$2:$AL$2,0))</f>
        <v>81.85342882</v>
      </c>
      <c r="O170" s="25">
        <f>INDEX('Inputs (2)'!$D$30:$AL$30,MATCH(O$7,'Inputs (2)'!$D$2:$AL$2,0))</f>
        <v>124.66710529</v>
      </c>
      <c r="P170" s="25">
        <f>INDEX('Inputs (2)'!$D$30:$AL$30,MATCH(P$7,'Inputs (2)'!$D$2:$AL$2,0))</f>
        <v>173.02486096</v>
      </c>
      <c r="Q170" s="25">
        <f>INDEX('Inputs (2)'!$D$30:$AL$30,MATCH(Q$7,'Inputs (2)'!$D$2:$AL$2,0))</f>
        <v>47.92208004</v>
      </c>
      <c r="R170" s="3">
        <f>Q170</f>
        <v>47.92208004</v>
      </c>
      <c r="S170" s="25">
        <f>INDEX('Inputs (2)'!$D$30:$AL$30,MATCH(S$7,'Inputs (2)'!$D$2:$AL$2,0))</f>
        <v>59.47314835</v>
      </c>
      <c r="T170" s="25">
        <f>INDEX('Inputs (2)'!$D$30:$AL$30,MATCH(T$7,'Inputs (2)'!$D$2:$AL$2,0))</f>
        <v>80.564</v>
      </c>
      <c r="U170" s="25">
        <f>INDEX('Inputs (2)'!$D$30:$AL$30,MATCH(U$7,'Inputs (2)'!$D$2:$AL$2,0))</f>
        <v>84.038</v>
      </c>
      <c r="V170" s="25">
        <f>INDEX('Inputs (2)'!$D$30:$AL$30,MATCH(V$7,'Inputs (2)'!$D$2:$AL$2,0))</f>
        <v>80.583</v>
      </c>
      <c r="W170" s="3">
        <f>V170</f>
        <v>80.583</v>
      </c>
      <c r="X170" s="25">
        <f>INDEX('Inputs (2)'!$D$30:$AL$30,MATCH(X$7,'Inputs (2)'!$D$2:$AL$2,0))</f>
        <v>75.011</v>
      </c>
      <c r="Y170" s="25">
        <f>INDEX('Inputs (2)'!$D$30:$AL$30,MATCH(Y$7,'Inputs (2)'!$D$2:$AL$2,0))</f>
        <v>109.283</v>
      </c>
      <c r="Z170" s="25">
        <f>INDEX('Inputs (2)'!$D$30:$AL$30,MATCH(Z$7,'Inputs (2)'!$D$2:$AL$2,0))</f>
        <v>95.523</v>
      </c>
      <c r="AA170" s="25">
        <f>INDEX('Inputs (2)'!$D$30:$AL$30,MATCH(AA$7,'Inputs (2)'!$D$2:$AL$2,0))</f>
        <v>98.581</v>
      </c>
      <c r="AB170" s="3">
        <f>AA170</f>
        <v>98.581</v>
      </c>
      <c r="AC170" s="25">
        <f>INDEX('Inputs (2)'!$D$30:$AL$30,MATCH(AC$7,'Inputs (2)'!$D$2:$AL$2,0))</f>
        <v>85.512222</v>
      </c>
      <c r="AD170" s="25">
        <f>INDEX('Inputs (2)'!$D$30:$AL$30,MATCH(AD$7,'Inputs (2)'!$D$2:$AL$2,0))</f>
        <v>103.274</v>
      </c>
      <c r="AE170" s="25">
        <f>INDEX('Inputs (2)'!$D$30:$AL$30,MATCH(AE$7,'Inputs (2)'!$D$2:$AL$2,0))</f>
        <v>117.346</v>
      </c>
      <c r="AF170" s="25">
        <f>INDEX('Inputs (2)'!$D$30:$AL$30,MATCH(AF$7,'Inputs (2)'!$D$2:$AL$2,0))</f>
        <v>97.53</v>
      </c>
      <c r="AG170" s="3">
        <f>AF170</f>
        <v>97.53</v>
      </c>
      <c r="AH170" s="3">
        <f>INDEX('Inputs (2)'!$D$30:$AL$30,MATCH(AH$7,'Inputs (2)'!$D$2:$AL$2,0))</f>
        <v>89.248</v>
      </c>
      <c r="AI170" s="3">
        <f>INDEX('Inputs (2)'!$D$30:$AL$30,MATCH(AI$7,'Inputs (2)'!$D$2:$AL$2,0))</f>
        <v>113.008</v>
      </c>
      <c r="AJ170" s="3">
        <f>AH170*AJ97/AH97</f>
        <v>0</v>
      </c>
      <c r="AK170" s="3">
        <f>AI170*AK97/AI97</f>
        <v>0</v>
      </c>
      <c r="AL170" s="3">
        <f>AK170</f>
        <v>0</v>
      </c>
      <c r="AM170" s="3" t="e">
        <f>AK170*AM97/AK97</f>
        <v>#DIV/0!</v>
      </c>
      <c r="AN170" s="3">
        <f>AL170*AN97/AL97</f>
        <v>0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>
        <f>INDEX('Inputs (2)'!$D$31:$AL$31,MATCH(D$7,'Inputs (2)'!$D$2:$AL$2,0))</f>
        <v>203.48906097</v>
      </c>
      <c r="E171" s="25">
        <f>INDEX('Inputs (2)'!$D$31:$AL$31,MATCH(E$7,'Inputs (2)'!$D$2:$AL$2,0))</f>
        <v>203.50457045</v>
      </c>
      <c r="F171" s="25">
        <f>INDEX('Inputs (2)'!$D$31:$AL$31,MATCH(F$7,'Inputs (2)'!$D$2:$AL$2,0))</f>
        <v>203.13476832</v>
      </c>
      <c r="G171" s="25">
        <f>INDEX('Inputs (2)'!$D$31:$AL$31,MATCH(G$7,'Inputs (2)'!$D$2:$AL$2,0))</f>
        <v>79.8300968</v>
      </c>
      <c r="H171" s="3">
        <f>G171</f>
        <v>79.8300968</v>
      </c>
      <c r="I171" s="25">
        <f>INDEX('Inputs (2)'!$D$31:$AL$31,MATCH(I$7,'Inputs (2)'!$D$2:$AL$2,0))</f>
        <v>163.47552906</v>
      </c>
      <c r="J171" s="25">
        <f>INDEX('Inputs (2)'!$D$31:$AL$31,MATCH(J$7,'Inputs (2)'!$D$2:$AL$2,0))</f>
        <v>7.81020024</v>
      </c>
      <c r="K171" s="25">
        <f>INDEX('Inputs (2)'!$D$31:$AL$31,MATCH(K$7,'Inputs (2)'!$D$2:$AL$2,0))</f>
        <v>7.84403098</v>
      </c>
      <c r="L171" s="25">
        <f>INDEX('Inputs (2)'!$D$31:$AL$31,MATCH(L$7,'Inputs (2)'!$D$2:$AL$2,0))</f>
        <v>22.207</v>
      </c>
      <c r="M171" s="3">
        <f>L171</f>
        <v>22.207</v>
      </c>
      <c r="N171" s="25">
        <f>INDEX('Inputs (2)'!$D$31:$AL$31,MATCH(N$7,'Inputs (2)'!$D$2:$AL$2,0))</f>
        <v>239.29000932</v>
      </c>
      <c r="O171" s="25">
        <f>INDEX('Inputs (2)'!$D$31:$AL$31,MATCH(O$7,'Inputs (2)'!$D$2:$AL$2,0))</f>
        <v>16.2889214</v>
      </c>
      <c r="P171" s="25">
        <f>INDEX('Inputs (2)'!$D$31:$AL$31,MATCH(P$7,'Inputs (2)'!$D$2:$AL$2,0))</f>
        <v>16.82895005</v>
      </c>
      <c r="Q171" s="25">
        <f>INDEX('Inputs (2)'!$D$31:$AL$31,MATCH(Q$7,'Inputs (2)'!$D$2:$AL$2,0))</f>
        <v>18.18773241</v>
      </c>
      <c r="R171" s="3">
        <f>Q171</f>
        <v>18.18773241</v>
      </c>
      <c r="S171" s="25">
        <f>INDEX('Inputs (2)'!$D$31:$AL$31,MATCH(S$7,'Inputs (2)'!$D$2:$AL$2,0))</f>
        <v>25.29456084</v>
      </c>
      <c r="T171" s="25">
        <f>INDEX('Inputs (2)'!$D$31:$AL$31,MATCH(T$7,'Inputs (2)'!$D$2:$AL$2,0))</f>
        <v>28.482</v>
      </c>
      <c r="U171" s="25">
        <f>INDEX('Inputs (2)'!$D$31:$AL$31,MATCH(U$7,'Inputs (2)'!$D$2:$AL$2,0))</f>
        <v>105.682</v>
      </c>
      <c r="V171" s="25">
        <f>INDEX('Inputs (2)'!$D$31:$AL$31,MATCH(V$7,'Inputs (2)'!$D$2:$AL$2,0))</f>
        <v>35.372</v>
      </c>
      <c r="W171" s="3">
        <f>V171</f>
        <v>35.372</v>
      </c>
      <c r="X171" s="25">
        <f>INDEX('Inputs (2)'!$D$31:$AL$31,MATCH(X$7,'Inputs (2)'!$D$2:$AL$2,0))</f>
        <v>101.781</v>
      </c>
      <c r="Y171" s="25">
        <f>INDEX('Inputs (2)'!$D$31:$AL$31,MATCH(Y$7,'Inputs (2)'!$D$2:$AL$2,0))</f>
        <v>26.325</v>
      </c>
      <c r="Z171" s="25">
        <f>INDEX('Inputs (2)'!$D$31:$AL$31,MATCH(Z$7,'Inputs (2)'!$D$2:$AL$2,0))</f>
        <v>182.758</v>
      </c>
      <c r="AA171" s="25">
        <f>INDEX('Inputs (2)'!$D$31:$AL$31,MATCH(AA$7,'Inputs (2)'!$D$2:$AL$2,0))</f>
        <v>18.137</v>
      </c>
      <c r="AB171" s="3">
        <f>AA171</f>
        <v>18.137</v>
      </c>
      <c r="AC171" s="25">
        <f>INDEX('Inputs (2)'!$D$31:$AL$31,MATCH(AC$7,'Inputs (2)'!$D$2:$AL$2,0))</f>
        <v>276.046014</v>
      </c>
      <c r="AD171" s="25">
        <f>INDEX('Inputs (2)'!$D$31:$AL$31,MATCH(AD$7,'Inputs (2)'!$D$2:$AL$2,0))</f>
        <v>25.9</v>
      </c>
      <c r="AE171" s="25">
        <f>INDEX('Inputs (2)'!$D$31:$AL$31,MATCH(AE$7,'Inputs (2)'!$D$2:$AL$2,0))</f>
        <v>185.919</v>
      </c>
      <c r="AF171" s="25">
        <f>INDEX('Inputs (2)'!$D$31:$AL$31,MATCH(AF$7,'Inputs (2)'!$D$2:$AL$2,0))</f>
        <v>310.211</v>
      </c>
      <c r="AG171" s="3">
        <f>AF171</f>
        <v>310.211</v>
      </c>
      <c r="AH171" s="3">
        <f>INDEX('Inputs (2)'!$D$31:$AL$31,MATCH(AH$7,'Inputs (2)'!$D$2:$AL$2,0))</f>
        <v>316.339</v>
      </c>
      <c r="AI171" s="3">
        <f>INDEX('Inputs (2)'!$D$31:$AL$31,MATCH(AI$7,'Inputs (2)'!$D$2:$AL$2,0))</f>
        <v>91.96</v>
      </c>
      <c r="AJ171" s="3">
        <f>AI171</f>
        <v>91.96</v>
      </c>
      <c r="AK171" s="3">
        <f>AJ171</f>
        <v>91.96</v>
      </c>
      <c r="AL171" s="3">
        <f>AK171</f>
        <v>91.96</v>
      </c>
      <c r="AM171" s="3">
        <f>AL171</f>
        <v>91.96</v>
      </c>
      <c r="AN171" s="3">
        <f>AM171</f>
        <v>91.96</v>
      </c>
      <c r="AO171" s="3">
        <f>AN171</f>
        <v>91.96</v>
      </c>
      <c r="AP171" s="3">
        <f>AO171</f>
        <v>91.96</v>
      </c>
      <c r="AQ171" s="3">
        <f>AP171</f>
        <v>91.96</v>
      </c>
      <c r="AR171" s="3">
        <f>AQ171</f>
        <v>91.96</v>
      </c>
      <c r="AS171" s="3">
        <f>AR171</f>
        <v>91.96</v>
      </c>
      <c r="AT171" s="3">
        <f>AS171</f>
        <v>91.96</v>
      </c>
      <c r="AU171" s="3">
        <f>AT171</f>
        <v>91.96</v>
      </c>
      <c r="AV171" s="3">
        <f>AU171</f>
        <v>91.96</v>
      </c>
      <c r="AW171" s="3">
        <f>AV171</f>
        <v>91.96</v>
      </c>
      <c r="AX171" s="3">
        <f>AW171</f>
        <v>91.96</v>
      </c>
      <c r="AY171" s="3">
        <f>AX171</f>
        <v>91.96</v>
      </c>
      <c r="AZ171" s="3">
        <f>AY171</f>
        <v>91.96</v>
      </c>
      <c r="BA171" s="3">
        <f>AZ171</f>
        <v>91.96</v>
      </c>
      <c r="BB171" s="3">
        <f>BA171</f>
        <v>91.96</v>
      </c>
      <c r="BC171" s="3">
        <f>BB171</f>
        <v>91.96</v>
      </c>
      <c r="BD171" s="3">
        <f>BC171</f>
        <v>91.96</v>
      </c>
      <c r="BE171" s="3">
        <f>BD171</f>
        <v>91.96</v>
      </c>
      <c r="BF171" s="3">
        <f>BE171</f>
        <v>91.96</v>
      </c>
      <c r="BG171" s="3">
        <f>BF171</f>
        <v>91.96</v>
      </c>
      <c r="BH171" s="3">
        <f>BG171</f>
        <v>91.96</v>
      </c>
      <c r="BI171" s="3">
        <f>BH171</f>
        <v>91.96</v>
      </c>
      <c r="BJ171" s="3">
        <f>BI171</f>
        <v>91.96</v>
      </c>
      <c r="BK171" s="3">
        <f>BJ171</f>
        <v>91.96</v>
      </c>
      <c r="BL171" s="3">
        <f>BK171</f>
        <v>91.96</v>
      </c>
      <c r="BM171" s="3">
        <f>BL171</f>
        <v>91.96</v>
      </c>
      <c r="BN171" s="3">
        <f>BM171</f>
        <v>91.96</v>
      </c>
      <c r="BO171" s="3">
        <f>BN171</f>
        <v>91.96</v>
      </c>
      <c r="BP171" s="3">
        <f>BO171</f>
        <v>91.96</v>
      </c>
      <c r="BQ171" s="3">
        <f>BP171</f>
        <v>91.96</v>
      </c>
      <c r="BR171" s="3">
        <f>BQ171</f>
        <v>91.96</v>
      </c>
      <c r="BS171" s="3">
        <f>BR171</f>
        <v>91.96</v>
      </c>
      <c r="BT171" s="3">
        <f>BS171</f>
        <v>91.96</v>
      </c>
      <c r="BU171" s="3">
        <f>BT171</f>
        <v>91.96</v>
      </c>
      <c r="BV171" s="3">
        <f>BU171</f>
        <v>91.96</v>
      </c>
      <c r="BW171" s="3">
        <f>BV171</f>
        <v>91.96</v>
      </c>
      <c r="BX171" s="3">
        <f>BW171</f>
        <v>91.96</v>
      </c>
      <c r="BY171" s="3">
        <f>BX171</f>
        <v>91.96</v>
      </c>
      <c r="BZ171" s="3">
        <f>BY171</f>
        <v>91.96</v>
      </c>
      <c r="CA171" s="3">
        <f>BZ171</f>
        <v>91.96</v>
      </c>
      <c r="CB171" s="3">
        <f>CA171</f>
        <v>91.96</v>
      </c>
      <c r="CC171" s="3">
        <f>CB171</f>
        <v>91.96</v>
      </c>
      <c r="CD171" s="3">
        <f>CC171</f>
        <v>91.96</v>
      </c>
      <c r="CE171" s="3">
        <f>CD171</f>
        <v>91.96</v>
      </c>
      <c r="CF171" s="3">
        <f>CE171</f>
        <v>91.96</v>
      </c>
      <c r="CG171" s="3">
        <f>CF171</f>
        <v>91.96</v>
      </c>
      <c r="CH171" s="3">
        <f>CG171</f>
        <v>91.96</v>
      </c>
      <c r="CI171" s="3">
        <f>CH171</f>
        <v>91.96</v>
      </c>
      <c r="CJ171" s="3">
        <f>CI171</f>
        <v>91.96</v>
      </c>
      <c r="CK171" s="3">
        <f>CJ171</f>
        <v>91.96</v>
      </c>
      <c r="CL171" s="3">
        <f>CK171</f>
        <v>91.96</v>
      </c>
      <c r="CM171" s="3">
        <f>CL171</f>
        <v>91.96</v>
      </c>
      <c r="CN171" s="3">
        <f>CM171</f>
        <v>91.96</v>
      </c>
      <c r="CO171" s="3">
        <f>CN171</f>
        <v>91.96</v>
      </c>
      <c r="CP171" s="3">
        <f>CO171</f>
        <v>91.96</v>
      </c>
      <c r="CQ171" s="3">
        <f>CP171</f>
        <v>91.96</v>
      </c>
      <c r="CR171" s="3">
        <f>CQ171</f>
        <v>91.96</v>
      </c>
      <c r="CS171" s="3">
        <f>CR171</f>
        <v>91.96</v>
      </c>
      <c r="CT171" s="3">
        <f>CS171</f>
        <v>91.96</v>
      </c>
      <c r="CU171" s="3">
        <f>CT171</f>
        <v>91.96</v>
      </c>
      <c r="CV171" s="3">
        <f>CU171</f>
        <v>91.96</v>
      </c>
      <c r="CW171" s="3">
        <f>CV171</f>
        <v>91.96</v>
      </c>
      <c r="CX171" s="3">
        <f>CW171</f>
        <v>91.96</v>
      </c>
      <c r="CY171" s="3">
        <f>CX171</f>
        <v>91.96</v>
      </c>
    </row>
    <row r="172" hidden="1" outlineLevel="1">
      <c r="C172" s="38" t="inlineStr">
        <is>
          <t>%(Var.)</t>
        </is>
      </c>
      <c r="D172" s="3" t="n"/>
      <c r="E172" s="47">
        <f>(E171-D171)/D171</f>
        <v>7.62177579772039e-05</v>
      </c>
      <c r="F172" s="47">
        <f>(F171-E171)/E171</f>
        <v>-0.0018171686718499</v>
      </c>
      <c r="G172" s="47">
        <f>(G171-F171)/F171</f>
        <v>-0.607009191679866</v>
      </c>
      <c r="H172" s="3" t="n"/>
      <c r="I172" s="47">
        <f>(I171-H171)/H171</f>
        <v>1.04779319596165</v>
      </c>
      <c r="J172" s="47">
        <f>(J171-I171)/I171</f>
        <v>-0.952224040595498</v>
      </c>
      <c r="K172" s="47">
        <f>(K171-J171)/J171</f>
        <v>0.00433160981286174</v>
      </c>
      <c r="L172" s="47">
        <f>(L171-K171)/K171</f>
        <v>1.83106989972648</v>
      </c>
      <c r="M172" s="3" t="n"/>
      <c r="N172" s="47">
        <f>(N171-M171)/M171</f>
        <v>9.77543159003918</v>
      </c>
      <c r="O172" s="47">
        <f>(O171-N171)/N171</f>
        <v>-0.931928117491036</v>
      </c>
      <c r="P172" s="47">
        <f>(P171-O171)/O171</f>
        <v>0.0331531251664091</v>
      </c>
      <c r="Q172" s="47">
        <f>(Q171-P171)/P171</f>
        <v>0.0807407684949426</v>
      </c>
      <c r="R172" s="3" t="n"/>
      <c r="S172" s="47">
        <f>(S171-R171)/R171</f>
        <v>0.390748459994524</v>
      </c>
      <c r="T172" s="47">
        <f>(T171-S171)/S171</f>
        <v>0.126012828614106</v>
      </c>
      <c r="U172" s="47">
        <f>(U171-T171)/T171</f>
        <v>2.71048381433888</v>
      </c>
      <c r="V172" s="47">
        <f>(V171-U171)/U171</f>
        <v>-0.665297780132852</v>
      </c>
      <c r="W172" s="3" t="n"/>
      <c r="X172" s="47">
        <f>(X171-W171)/W171</f>
        <v>1.87744543706887</v>
      </c>
      <c r="Y172" s="47">
        <f>(Y171-X171)/X171</f>
        <v>-0.74135644177204</v>
      </c>
      <c r="Z172" s="47">
        <f>(Z171-Y171)/Y171</f>
        <v>5.94237416904084</v>
      </c>
      <c r="AA172" s="47">
        <f>(AA171-Z171)/Z171</f>
        <v>-0.90075947427746</v>
      </c>
      <c r="AB172" s="3" t="n"/>
      <c r="AC172" s="47">
        <f>(AC171-AB171)/AB171</f>
        <v>14.2200481887854</v>
      </c>
      <c r="AD172" s="47">
        <f>(AD171-AC171)/AC171</f>
        <v>-0.906175062538668</v>
      </c>
      <c r="AE172" s="47">
        <f>(AE171-AD171)/AD171</f>
        <v>6.17833976833977</v>
      </c>
      <c r="AF172" s="218">
        <f>(AF171-AE171)/AE171</f>
        <v>0.668527692167019</v>
      </c>
      <c r="AG172" s="3" t="n"/>
      <c r="AH172" s="218">
        <f>(AH171-AG171)/AG171</f>
        <v>0.0197542962693134</v>
      </c>
      <c r="AI172" s="218">
        <f>(AI171-AH171)/AH171</f>
        <v>-0.709299201173425</v>
      </c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>
        <f>INDEX('Inputs (2)'!$D$32:$AL$32,MATCH(D$7,'Inputs (2)'!$D$2:$AL$2,0))</f>
        <v>113.71624701</v>
      </c>
      <c r="E178" s="25">
        <f>INDEX('Inputs (2)'!$D$32:$AL$32,MATCH(E$7,'Inputs (2)'!$D$2:$AL$2,0))</f>
        <v>365.3126805</v>
      </c>
      <c r="F178" s="25">
        <f>INDEX('Inputs (2)'!$D$32:$AL$32,MATCH(F$7,'Inputs (2)'!$D$2:$AL$2,0))</f>
        <v>350.40066429</v>
      </c>
      <c r="G178" s="25">
        <f>INDEX('Inputs (2)'!$D$32:$AL$32,MATCH(G$7,'Inputs (2)'!$D$2:$AL$2,0))</f>
        <v>498.03984388</v>
      </c>
      <c r="H178" s="3">
        <f>G178</f>
        <v>498.03984388</v>
      </c>
      <c r="I178" s="25">
        <f>INDEX('Inputs (2)'!$D$32:$AL$32,MATCH(I$7,'Inputs (2)'!$D$2:$AL$2,0))</f>
        <v>648.3722851</v>
      </c>
      <c r="J178" s="25">
        <f>INDEX('Inputs (2)'!$D$32:$AL$32,MATCH(J$7,'Inputs (2)'!$D$2:$AL$2,0))</f>
        <v>830.52788741</v>
      </c>
      <c r="K178" s="25">
        <f>INDEX('Inputs (2)'!$D$32:$AL$32,MATCH(K$7,'Inputs (2)'!$D$2:$AL$2,0))</f>
        <v>456.91694014</v>
      </c>
      <c r="L178" s="25">
        <f>INDEX('Inputs (2)'!$D$32:$AL$32,MATCH(L$7,'Inputs (2)'!$D$2:$AL$2,0))</f>
        <v>404.72740512</v>
      </c>
      <c r="M178" s="3">
        <f>L178</f>
        <v>404.72740512</v>
      </c>
      <c r="N178" s="25">
        <f>INDEX('Inputs (2)'!$D$32:$AL$32,MATCH(N$7,'Inputs (2)'!$D$2:$AL$2,0))</f>
        <v>248.22582164</v>
      </c>
      <c r="O178" s="25">
        <f>INDEX('Inputs (2)'!$D$32:$AL$32,MATCH(O$7,'Inputs (2)'!$D$2:$AL$2,0))</f>
        <v>524.45827574</v>
      </c>
      <c r="P178" s="25">
        <f>INDEX('Inputs (2)'!$D$32:$AL$32,MATCH(P$7,'Inputs (2)'!$D$2:$AL$2,0))</f>
        <v>559.5551054</v>
      </c>
      <c r="Q178" s="25">
        <f>INDEX('Inputs (2)'!$D$32:$AL$32,MATCH(Q$7,'Inputs (2)'!$D$2:$AL$2,0))</f>
        <v>401.25619901</v>
      </c>
      <c r="R178" s="3">
        <f>Q178</f>
        <v>401.25619901</v>
      </c>
      <c r="S178" s="25">
        <f>INDEX('Inputs (2)'!$D$32:$AL$32,MATCH(S$7,'Inputs (2)'!$D$2:$AL$2,0))</f>
        <v>406.69406886</v>
      </c>
      <c r="T178" s="25">
        <f>INDEX('Inputs (2)'!$D$32:$AL$32,MATCH(T$7,'Inputs (2)'!$D$2:$AL$2,0))</f>
        <v>693.333</v>
      </c>
      <c r="U178" s="25">
        <f>INDEX('Inputs (2)'!$D$32:$AL$32,MATCH(U$7,'Inputs (2)'!$D$2:$AL$2,0))</f>
        <v>509.272</v>
      </c>
      <c r="V178" s="25">
        <f>INDEX('Inputs (2)'!$D$32:$AL$32,MATCH(V$7,'Inputs (2)'!$D$2:$AL$2,0))</f>
        <v>339.192</v>
      </c>
      <c r="W178" s="3">
        <f>V178</f>
        <v>339.192</v>
      </c>
      <c r="X178" s="25">
        <f>INDEX('Inputs (2)'!$D$32:$AL$32,MATCH(X$7,'Inputs (2)'!$D$2:$AL$2,0))</f>
        <v>412.691</v>
      </c>
      <c r="Y178" s="25">
        <f>INDEX('Inputs (2)'!$D$32:$AL$32,MATCH(Y$7,'Inputs (2)'!$D$2:$AL$2,0))</f>
        <v>328.864</v>
      </c>
      <c r="Z178" s="25">
        <f>INDEX('Inputs (2)'!$D$32:$AL$32,MATCH(Z$7,'Inputs (2)'!$D$2:$AL$2,0))</f>
        <v>654.38</v>
      </c>
      <c r="AA178" s="25">
        <f>INDEX('Inputs (2)'!$D$32:$AL$32,MATCH(AA$7,'Inputs (2)'!$D$2:$AL$2,0))</f>
        <v>249.33</v>
      </c>
      <c r="AB178" s="3">
        <f>AA178</f>
        <v>249.33</v>
      </c>
      <c r="AC178" s="25">
        <f>INDEX('Inputs (2)'!$D$32:$AL$32,MATCH(AC$7,'Inputs (2)'!$D$2:$AL$2,0))</f>
        <v>378.228106</v>
      </c>
      <c r="AD178" s="25">
        <f>INDEX('Inputs (2)'!$D$32:$AL$32,MATCH(AD$7,'Inputs (2)'!$D$2:$AL$2,0))</f>
        <v>288.392</v>
      </c>
      <c r="AE178" s="25">
        <f>INDEX('Inputs (2)'!$D$32:$AL$32,MATCH(AE$7,'Inputs (2)'!$D$2:$AL$2,0))</f>
        <v>424.442</v>
      </c>
      <c r="AF178" s="25">
        <f>INDEX('Inputs (2)'!$D$32:$AL$32,MATCH(AF$7,'Inputs (2)'!$D$2:$AL$2,0))</f>
        <v>311.442</v>
      </c>
      <c r="AG178" s="3">
        <f>AF178</f>
        <v>311.442</v>
      </c>
      <c r="AH178" s="3">
        <f>INDEX('Inputs (2)'!$D$32:$AL$32,MATCH(AH$7,'Inputs (2)'!$D$2:$AL$2,0))</f>
        <v>383.255</v>
      </c>
      <c r="AI178" s="3">
        <f>INDEX('Inputs (2)'!$D$32:$AL$32,MATCH(AI$7,'Inputs (2)'!$D$2:$AL$2,0))</f>
        <v>667.641</v>
      </c>
      <c r="AJ178" s="3">
        <f>AI178</f>
        <v>667.641</v>
      </c>
      <c r="AK178" s="3">
        <f>AJ178</f>
        <v>667.641</v>
      </c>
      <c r="AL178" s="3">
        <f>AK178</f>
        <v>667.641</v>
      </c>
      <c r="AM178" s="3">
        <f>AL178</f>
        <v>667.641</v>
      </c>
      <c r="AN178" s="3">
        <f>AM178</f>
        <v>667.641</v>
      </c>
      <c r="AO178" s="3">
        <f>AN178</f>
        <v>667.641</v>
      </c>
      <c r="AP178" s="3">
        <f>AO178</f>
        <v>667.641</v>
      </c>
      <c r="AQ178" s="3">
        <f>AP178</f>
        <v>667.641</v>
      </c>
      <c r="AR178" s="3">
        <f>AQ178</f>
        <v>667.641</v>
      </c>
      <c r="AS178" s="3">
        <f>AR178</f>
        <v>667.641</v>
      </c>
      <c r="AT178" s="3">
        <f>AS178</f>
        <v>667.641</v>
      </c>
      <c r="AU178" s="3">
        <f>AT178</f>
        <v>667.641</v>
      </c>
      <c r="AV178" s="3">
        <f>AU178</f>
        <v>667.641</v>
      </c>
      <c r="AW178" s="3">
        <f>AV178</f>
        <v>667.641</v>
      </c>
      <c r="AX178" s="3">
        <f>AW178</f>
        <v>667.641</v>
      </c>
      <c r="AY178" s="3">
        <f>AX178</f>
        <v>667.641</v>
      </c>
      <c r="AZ178" s="3">
        <f>AY178</f>
        <v>667.641</v>
      </c>
      <c r="BA178" s="3">
        <f>AZ178</f>
        <v>667.641</v>
      </c>
      <c r="BB178" s="3">
        <f>BA178</f>
        <v>667.641</v>
      </c>
      <c r="BC178" s="3">
        <f>BB178</f>
        <v>667.641</v>
      </c>
      <c r="BD178" s="3">
        <f>BC178</f>
        <v>667.641</v>
      </c>
      <c r="BE178" s="3">
        <f>BD178</f>
        <v>667.641</v>
      </c>
      <c r="BF178" s="3">
        <f>BE178</f>
        <v>667.641</v>
      </c>
      <c r="BG178" s="3">
        <f>BF178</f>
        <v>667.641</v>
      </c>
      <c r="BH178" s="3">
        <f>BG178</f>
        <v>667.641</v>
      </c>
      <c r="BI178" s="3">
        <f>BH178</f>
        <v>667.641</v>
      </c>
      <c r="BJ178" s="3">
        <f>BI178</f>
        <v>667.641</v>
      </c>
      <c r="BK178" s="3">
        <f>BJ178</f>
        <v>667.641</v>
      </c>
      <c r="BL178" s="3">
        <f>BK178</f>
        <v>667.641</v>
      </c>
      <c r="BM178" s="3">
        <f>BL178</f>
        <v>667.641</v>
      </c>
      <c r="BN178" s="3">
        <f>BM178</f>
        <v>667.641</v>
      </c>
      <c r="BO178" s="3">
        <f>BN178</f>
        <v>667.641</v>
      </c>
      <c r="BP178" s="3">
        <f>BO178</f>
        <v>667.641</v>
      </c>
      <c r="BQ178" s="3">
        <f>BP178</f>
        <v>667.641</v>
      </c>
      <c r="BR178" s="3">
        <f>BQ178</f>
        <v>667.641</v>
      </c>
      <c r="BS178" s="3">
        <f>BR178</f>
        <v>667.641</v>
      </c>
      <c r="BT178" s="3">
        <f>BS178</f>
        <v>667.641</v>
      </c>
      <c r="BU178" s="3">
        <f>BT178</f>
        <v>667.641</v>
      </c>
      <c r="BV178" s="3">
        <f>BU178</f>
        <v>667.641</v>
      </c>
      <c r="BW178" s="3">
        <f>BV178</f>
        <v>667.641</v>
      </c>
      <c r="BX178" s="3">
        <f>BW178</f>
        <v>667.641</v>
      </c>
      <c r="BY178" s="3">
        <f>BX178</f>
        <v>667.641</v>
      </c>
      <c r="BZ178" s="3">
        <f>BY178</f>
        <v>667.641</v>
      </c>
      <c r="CA178" s="3">
        <f>BZ178</f>
        <v>667.641</v>
      </c>
      <c r="CB178" s="3">
        <f>CA178</f>
        <v>667.641</v>
      </c>
      <c r="CC178" s="3">
        <f>CB178</f>
        <v>667.641</v>
      </c>
      <c r="CD178" s="3">
        <f>CC178</f>
        <v>667.641</v>
      </c>
      <c r="CE178" s="3">
        <f>CD178</f>
        <v>667.641</v>
      </c>
      <c r="CF178" s="3">
        <f>CE178</f>
        <v>667.641</v>
      </c>
      <c r="CG178" s="3">
        <f>CF178</f>
        <v>667.641</v>
      </c>
      <c r="CH178" s="3">
        <f>CG178</f>
        <v>667.641</v>
      </c>
      <c r="CI178" s="3">
        <f>CH178</f>
        <v>667.641</v>
      </c>
      <c r="CJ178" s="3">
        <f>CI178</f>
        <v>667.641</v>
      </c>
      <c r="CK178" s="3">
        <f>CJ178</f>
        <v>667.641</v>
      </c>
      <c r="CL178" s="3">
        <f>CK178</f>
        <v>667.641</v>
      </c>
      <c r="CM178" s="3">
        <f>CL178</f>
        <v>667.641</v>
      </c>
      <c r="CN178" s="3">
        <f>CM178</f>
        <v>667.641</v>
      </c>
      <c r="CO178" s="3">
        <f>CN178</f>
        <v>667.641</v>
      </c>
      <c r="CP178" s="3">
        <f>CO178</f>
        <v>667.641</v>
      </c>
      <c r="CQ178" s="3">
        <f>CP178</f>
        <v>667.641</v>
      </c>
      <c r="CR178" s="3">
        <f>CQ178</f>
        <v>667.641</v>
      </c>
      <c r="CS178" s="3">
        <f>CR178</f>
        <v>667.641</v>
      </c>
      <c r="CT178" s="3">
        <f>CS178</f>
        <v>667.641</v>
      </c>
      <c r="CU178" s="3">
        <f>CT178</f>
        <v>667.641</v>
      </c>
      <c r="CV178" s="3">
        <f>CU178</f>
        <v>667.641</v>
      </c>
      <c r="CW178" s="3">
        <f>CV178</f>
        <v>667.641</v>
      </c>
      <c r="CX178" s="3">
        <f>CW178</f>
        <v>667.641</v>
      </c>
      <c r="CY178" s="3">
        <f>CX178</f>
        <v>667.641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>
        <f>INDEX('Inputs (2)'!$D$34:$AL$34,MATCH(D$7,'Inputs (2)'!$D$2:$AL$2,0))</f>
        <v>92.853</v>
      </c>
      <c r="E180" s="25">
        <f>INDEX('Inputs (2)'!$D$34:$AL$34,MATCH(E$7,'Inputs (2)'!$D$2:$AL$2,0))</f>
        <v>101.06879373</v>
      </c>
      <c r="F180" s="25">
        <f>INDEX('Inputs (2)'!$D$34:$AL$34,MATCH(F$7,'Inputs (2)'!$D$2:$AL$2,0))</f>
        <v>97.42076887</v>
      </c>
      <c r="G180" s="25">
        <f>INDEX('Inputs (2)'!$D$34:$AL$34,MATCH(G$7,'Inputs (2)'!$D$2:$AL$2,0))</f>
        <v>105.03906635</v>
      </c>
      <c r="H180" s="3">
        <f>G180</f>
        <v>105.03906635</v>
      </c>
      <c r="I180" s="25">
        <f>INDEX('Inputs (2)'!$D$34:$AL$34,MATCH(I$7,'Inputs (2)'!$D$2:$AL$2,0))</f>
        <v>106.47604073</v>
      </c>
      <c r="J180" s="25">
        <f>INDEX('Inputs (2)'!$D$34:$AL$34,MATCH(J$7,'Inputs (2)'!$D$2:$AL$2,0))</f>
        <v>107.53912171</v>
      </c>
      <c r="K180" s="25">
        <f>INDEX('Inputs (2)'!$D$34:$AL$34,MATCH(K$7,'Inputs (2)'!$D$2:$AL$2,0))</f>
        <v>102.09020266</v>
      </c>
      <c r="L180" s="25">
        <f>INDEX('Inputs (2)'!$D$34:$AL$34,MATCH(L$7,'Inputs (2)'!$D$2:$AL$2,0))</f>
        <v>129.64438544</v>
      </c>
      <c r="M180" s="3">
        <f>L180</f>
        <v>129.64438544</v>
      </c>
      <c r="N180" s="25">
        <f>INDEX('Inputs (2)'!$D$34:$AL$34,MATCH(N$7,'Inputs (2)'!$D$2:$AL$2,0))</f>
        <v>140.28839753</v>
      </c>
      <c r="O180" s="25">
        <f>INDEX('Inputs (2)'!$D$34:$AL$34,MATCH(O$7,'Inputs (2)'!$D$2:$AL$2,0))</f>
        <v>150.37974573</v>
      </c>
      <c r="P180" s="25">
        <f>INDEX('Inputs (2)'!$D$34:$AL$34,MATCH(P$7,'Inputs (2)'!$D$2:$AL$2,0))</f>
        <v>156.82602384</v>
      </c>
      <c r="Q180" s="25">
        <f>INDEX('Inputs (2)'!$D$34:$AL$34,MATCH(Q$7,'Inputs (2)'!$D$2:$AL$2,0))</f>
        <v>174.90125352</v>
      </c>
      <c r="R180" s="3">
        <f>Q180</f>
        <v>174.90125352</v>
      </c>
      <c r="S180" s="25">
        <f>INDEX('Inputs (2)'!$D$34:$AL$34,MATCH(S$7,'Inputs (2)'!$D$2:$AL$2,0))</f>
        <v>192.467104</v>
      </c>
      <c r="T180" s="25">
        <f>INDEX('Inputs (2)'!$D$34:$AL$34,MATCH(T$7,'Inputs (2)'!$D$2:$AL$2,0))</f>
        <v>269.893</v>
      </c>
      <c r="U180" s="25">
        <f>INDEX('Inputs (2)'!$D$34:$AL$34,MATCH(U$7,'Inputs (2)'!$D$2:$AL$2,0))</f>
        <v>263.101</v>
      </c>
      <c r="V180" s="25">
        <f>INDEX('Inputs (2)'!$D$34:$AL$34,MATCH(V$7,'Inputs (2)'!$D$2:$AL$2,0))</f>
        <v>272.067</v>
      </c>
      <c r="W180" s="3">
        <f>V180</f>
        <v>272.067</v>
      </c>
      <c r="X180" s="25">
        <f>INDEX('Inputs (2)'!$D$34:$AL$34,MATCH(X$7,'Inputs (2)'!$D$2:$AL$2,0))</f>
        <v>277.296</v>
      </c>
      <c r="Y180" s="25">
        <f>INDEX('Inputs (2)'!$D$34:$AL$34,MATCH(Y$7,'Inputs (2)'!$D$2:$AL$2,0))</f>
        <v>280.827</v>
      </c>
      <c r="Z180" s="25">
        <f>INDEX('Inputs (2)'!$D$34:$AL$34,MATCH(Z$7,'Inputs (2)'!$D$2:$AL$2,0))</f>
        <v>288.153</v>
      </c>
      <c r="AA180" s="25">
        <f>INDEX('Inputs (2)'!$D$34:$AL$34,MATCH(AA$7,'Inputs (2)'!$D$2:$AL$2,0))</f>
        <v>290.854</v>
      </c>
      <c r="AB180" s="3">
        <f>AA180</f>
        <v>290.854</v>
      </c>
      <c r="AC180" s="25">
        <f>INDEX('Inputs (2)'!$D$34:$AL$34,MATCH(AC$7,'Inputs (2)'!$D$2:$AL$2,0))</f>
        <v>310.350855</v>
      </c>
      <c r="AD180" s="25">
        <f>INDEX('Inputs (2)'!$D$34:$AL$34,MATCH(AD$7,'Inputs (2)'!$D$2:$AL$2,0))</f>
        <v>304.045</v>
      </c>
      <c r="AE180" s="25">
        <f>INDEX('Inputs (2)'!$D$34:$AL$34,MATCH(AE$7,'Inputs (2)'!$D$2:$AL$2,0))</f>
        <v>313.074</v>
      </c>
      <c r="AF180" s="25">
        <f>INDEX('Inputs (2)'!$D$34:$AL$34,MATCH(AF$7,'Inputs (2)'!$D$2:$AL$2,0))</f>
        <v>318.732</v>
      </c>
      <c r="AG180" s="3">
        <f>AF180</f>
        <v>318.732</v>
      </c>
      <c r="AH180" s="3">
        <f>INDEX('Inputs (2)'!$D$34:$AL$34,MATCH(AH$7,'Inputs (2)'!$D$2:$AL$2,0))</f>
        <v>308.319</v>
      </c>
      <c r="AI180" s="3">
        <f>INDEX('Inputs (2)'!$D$34:$AL$34,MATCH(AI$7,'Inputs (2)'!$D$2:$AL$2,0))</f>
        <v>319.569</v>
      </c>
      <c r="AJ180" s="3">
        <f>AI180</f>
        <v>319.569</v>
      </c>
      <c r="AK180" s="3">
        <f>AJ180</f>
        <v>319.569</v>
      </c>
      <c r="AL180" s="3">
        <f>AK180</f>
        <v>319.569</v>
      </c>
      <c r="AM180" s="3">
        <f>AL180</f>
        <v>319.569</v>
      </c>
      <c r="AN180" s="3">
        <f>AM180</f>
        <v>319.569</v>
      </c>
      <c r="AO180" s="3">
        <f>AN180</f>
        <v>319.569</v>
      </c>
      <c r="AP180" s="3">
        <f>AO180</f>
        <v>319.569</v>
      </c>
      <c r="AQ180" s="3">
        <f>AP180</f>
        <v>319.569</v>
      </c>
      <c r="AR180" s="3">
        <f>AQ180</f>
        <v>319.569</v>
      </c>
      <c r="AS180" s="3">
        <f>AR180</f>
        <v>319.569</v>
      </c>
      <c r="AT180" s="3">
        <f>AS180</f>
        <v>319.569</v>
      </c>
      <c r="AU180" s="3">
        <f>AT180</f>
        <v>319.569</v>
      </c>
      <c r="AV180" s="3">
        <f>AU180</f>
        <v>319.569</v>
      </c>
      <c r="AW180" s="3">
        <f>AV180</f>
        <v>319.569</v>
      </c>
      <c r="AX180" s="3">
        <f>AW180</f>
        <v>319.569</v>
      </c>
      <c r="AY180" s="3">
        <f>AX180</f>
        <v>319.569</v>
      </c>
      <c r="AZ180" s="3">
        <f>AY180</f>
        <v>319.569</v>
      </c>
      <c r="BA180" s="3">
        <f>AZ180</f>
        <v>319.569</v>
      </c>
      <c r="BB180" s="3">
        <f>BA180</f>
        <v>319.569</v>
      </c>
      <c r="BC180" s="3">
        <f>BB180</f>
        <v>319.569</v>
      </c>
      <c r="BD180" s="3">
        <f>BC180</f>
        <v>319.569</v>
      </c>
      <c r="BE180" s="3">
        <f>BD180</f>
        <v>319.569</v>
      </c>
      <c r="BF180" s="3">
        <f>BE180</f>
        <v>319.569</v>
      </c>
      <c r="BG180" s="3">
        <f>BF180</f>
        <v>319.569</v>
      </c>
      <c r="BH180" s="3">
        <f>BG180</f>
        <v>319.569</v>
      </c>
      <c r="BI180" s="3">
        <f>BH180</f>
        <v>319.569</v>
      </c>
      <c r="BJ180" s="3">
        <f>BI180</f>
        <v>319.569</v>
      </c>
      <c r="BK180" s="3">
        <f>BJ180</f>
        <v>319.569</v>
      </c>
      <c r="BL180" s="3">
        <f>BK180</f>
        <v>319.569</v>
      </c>
      <c r="BM180" s="3">
        <f>BL180</f>
        <v>319.569</v>
      </c>
      <c r="BN180" s="3">
        <f>BM180</f>
        <v>319.569</v>
      </c>
      <c r="BO180" s="3">
        <f>BN180</f>
        <v>319.569</v>
      </c>
      <c r="BP180" s="3">
        <f>BO180</f>
        <v>319.569</v>
      </c>
      <c r="BQ180" s="3">
        <f>BP180</f>
        <v>319.569</v>
      </c>
      <c r="BR180" s="3">
        <f>BQ180</f>
        <v>319.569</v>
      </c>
      <c r="BS180" s="3">
        <f>BR180</f>
        <v>319.569</v>
      </c>
      <c r="BT180" s="3">
        <f>BS180</f>
        <v>319.569</v>
      </c>
      <c r="BU180" s="3">
        <f>BT180</f>
        <v>319.569</v>
      </c>
      <c r="BV180" s="3">
        <f>BU180</f>
        <v>319.569</v>
      </c>
      <c r="BW180" s="3">
        <f>BV180</f>
        <v>319.569</v>
      </c>
      <c r="BX180" s="3">
        <f>BW180</f>
        <v>319.569</v>
      </c>
      <c r="BY180" s="3">
        <f>BX180</f>
        <v>319.569</v>
      </c>
      <c r="BZ180" s="3">
        <f>BY180</f>
        <v>319.569</v>
      </c>
      <c r="CA180" s="3">
        <f>BZ180</f>
        <v>319.569</v>
      </c>
      <c r="CB180" s="3">
        <f>CA180</f>
        <v>319.569</v>
      </c>
      <c r="CC180" s="3">
        <f>CB180</f>
        <v>319.569</v>
      </c>
      <c r="CD180" s="3">
        <f>CC180</f>
        <v>319.569</v>
      </c>
      <c r="CE180" s="3">
        <f>CD180</f>
        <v>319.569</v>
      </c>
      <c r="CF180" s="3">
        <f>CE180</f>
        <v>319.569</v>
      </c>
      <c r="CG180" s="3">
        <f>CF180</f>
        <v>319.569</v>
      </c>
      <c r="CH180" s="3">
        <f>CG180</f>
        <v>319.569</v>
      </c>
      <c r="CI180" s="3">
        <f>CH180</f>
        <v>319.569</v>
      </c>
      <c r="CJ180" s="3">
        <f>CI180</f>
        <v>319.569</v>
      </c>
      <c r="CK180" s="3">
        <f>CJ180</f>
        <v>319.569</v>
      </c>
      <c r="CL180" s="3">
        <f>CK180</f>
        <v>319.569</v>
      </c>
      <c r="CM180" s="3">
        <f>CL180</f>
        <v>319.569</v>
      </c>
      <c r="CN180" s="3">
        <f>CM180</f>
        <v>319.569</v>
      </c>
      <c r="CO180" s="3">
        <f>CN180</f>
        <v>319.569</v>
      </c>
      <c r="CP180" s="3">
        <f>CO180</f>
        <v>319.569</v>
      </c>
      <c r="CQ180" s="3">
        <f>CP180</f>
        <v>319.569</v>
      </c>
      <c r="CR180" s="3">
        <f>CQ180</f>
        <v>319.569</v>
      </c>
      <c r="CS180" s="3">
        <f>CR180</f>
        <v>319.569</v>
      </c>
      <c r="CT180" s="3">
        <f>CS180</f>
        <v>319.569</v>
      </c>
      <c r="CU180" s="3">
        <f>CT180</f>
        <v>319.569</v>
      </c>
      <c r="CV180" s="3">
        <f>CU180</f>
        <v>319.569</v>
      </c>
      <c r="CW180" s="3">
        <f>CV180</f>
        <v>319.569</v>
      </c>
      <c r="CX180" s="3">
        <f>CW180</f>
        <v>319.569</v>
      </c>
      <c r="CY180" s="3">
        <f>CX180</f>
        <v>319.569</v>
      </c>
    </row>
    <row r="181" hidden="1" outlineLevel="1">
      <c r="C181" s="38" t="inlineStr">
        <is>
          <t>%(Var.)</t>
        </is>
      </c>
      <c r="D181" s="3" t="n"/>
      <c r="E181" s="47">
        <f>(E180-D180)/D180</f>
        <v>0.0884817262770185</v>
      </c>
      <c r="F181" s="47">
        <f>(F180-E180)/E180</f>
        <v>-0.0360944731342644</v>
      </c>
      <c r="G181" s="47">
        <f>(G180-F180)/F180</f>
        <v>0.0781999317842171</v>
      </c>
      <c r="H181" s="3" t="n"/>
      <c r="I181" s="47">
        <f>(I180-H180)/H180</f>
        <v>0.0136803803568842</v>
      </c>
      <c r="J181" s="47">
        <f>(J180-I180)/I180</f>
        <v>0.00998422718117169</v>
      </c>
      <c r="K181" s="47">
        <f>(K180-J180)/J180</f>
        <v>-0.0506691793958859</v>
      </c>
      <c r="L181" s="47">
        <f>(L180-K180)/K180</f>
        <v>0.269900363228449</v>
      </c>
      <c r="M181" s="3" t="n"/>
      <c r="N181" s="47">
        <f>(N180-M180)/M180</f>
        <v>0.0821016047388036</v>
      </c>
      <c r="O181" s="47">
        <f>(O180-N180)/N180</f>
        <v>0.0719328781116201</v>
      </c>
      <c r="P181" s="47">
        <f>(P180-O180)/O180</f>
        <v>0.0428666645146083</v>
      </c>
      <c r="Q181" s="47">
        <f>(Q180-P180)/P180</f>
        <v>0.115256570544957</v>
      </c>
      <c r="R181" s="3" t="n"/>
      <c r="S181" s="47">
        <f>(S180-R180)/R180</f>
        <v>0.100432959321194</v>
      </c>
      <c r="T181" s="47">
        <f>(T180-S180)/S180</f>
        <v>0.402281191906956</v>
      </c>
      <c r="U181" s="47">
        <f>(U180-T180)/T180</f>
        <v>-0.0251655285613189</v>
      </c>
      <c r="V181" s="47">
        <f>(V180-U180)/U180</f>
        <v>0.0340781676998567</v>
      </c>
      <c r="W181" s="3" t="n"/>
      <c r="X181" s="47">
        <f>(X180-W180)/W180</f>
        <v>0.0192195304833</v>
      </c>
      <c r="Y181" s="47">
        <f>(Y180-X180)/X180</f>
        <v>0.0127336853037909</v>
      </c>
      <c r="Z181" s="47">
        <f>(Z180-Y180)/Y180</f>
        <v>0.0260872352017435</v>
      </c>
      <c r="AA181" s="47">
        <f>(AA180-Z180)/Z180</f>
        <v>0.00937349255430263</v>
      </c>
      <c r="AB181" s="3" t="n"/>
      <c r="AC181" s="47">
        <f>(AC180-AB180)/AB180</f>
        <v>0.0670331334621493</v>
      </c>
      <c r="AD181" s="47">
        <f>(AD180-AC180)/AC180</f>
        <v>-0.0203184714925305</v>
      </c>
      <c r="AE181" s="47">
        <f>(AE180-AD180)/AD180</f>
        <v>0.0296962620664704</v>
      </c>
      <c r="AF181" s="6">
        <f>(AF180-AE180)/AE180</f>
        <v>0.0180724046072175</v>
      </c>
      <c r="AG181" s="3" t="n"/>
      <c r="AH181" s="6">
        <f>(AH180-AG180)/AG180</f>
        <v>-0.0326700801927639</v>
      </c>
      <c r="AI181" s="6">
        <f>(AI180-AH180)/AH180</f>
        <v>0.0364881826938982</v>
      </c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>
        <f>INDEX('Inputs (2)'!$D$35:$AL$35,MATCH(D$7,'Inputs (2)'!$D$2:$AL$2,0))</f>
        <v>1578.46738402</v>
      </c>
      <c r="E183" s="25">
        <f>INDEX('Inputs (2)'!$D$35:$AL$35,MATCH(E$7,'Inputs (2)'!$D$2:$AL$2,0))</f>
        <v>1692.35771866</v>
      </c>
      <c r="F183" s="25">
        <f>INDEX('Inputs (2)'!$D$35:$AL$35,MATCH(F$7,'Inputs (2)'!$D$2:$AL$2,0))</f>
        <v>1684.84012899</v>
      </c>
      <c r="G183" s="25">
        <f>INDEX('Inputs (2)'!$D$35:$AL$35,MATCH(G$7,'Inputs (2)'!$D$2:$AL$2,0))</f>
        <v>1514.56258105</v>
      </c>
      <c r="H183" s="3">
        <f>G183</f>
        <v>1514.56258105</v>
      </c>
      <c r="I183" s="25">
        <f>INDEX('Inputs (2)'!$D$35:$AL$35,MATCH(I$7,'Inputs (2)'!$D$2:$AL$2,0))</f>
        <v>1351.08479863</v>
      </c>
      <c r="J183" s="25">
        <f>INDEX('Inputs (2)'!$D$35:$AL$35,MATCH(J$7,'Inputs (2)'!$D$2:$AL$2,0))</f>
        <v>1009.350639</v>
      </c>
      <c r="K183" s="25">
        <f>INDEX('Inputs (2)'!$D$35:$AL$35,MATCH(K$7,'Inputs (2)'!$D$2:$AL$2,0))</f>
        <v>2017.99351849</v>
      </c>
      <c r="L183" s="25">
        <f>INDEX('Inputs (2)'!$D$35:$AL$35,MATCH(L$7,'Inputs (2)'!$D$2:$AL$2,0))</f>
        <v>1868.07341868</v>
      </c>
      <c r="M183" s="3">
        <f>L183</f>
        <v>1868.07341868</v>
      </c>
      <c r="N183" s="25">
        <f>INDEX('Inputs (2)'!$D$35:$AL$35,MATCH(N$7,'Inputs (2)'!$D$2:$AL$2,0))</f>
        <v>1861.91080126</v>
      </c>
      <c r="O183" s="25">
        <f>INDEX('Inputs (2)'!$D$35:$AL$35,MATCH(O$7,'Inputs (2)'!$D$2:$AL$2,0))</f>
        <v>2371.41405674</v>
      </c>
      <c r="P183" s="25">
        <f>INDEX('Inputs (2)'!$D$35:$AL$35,MATCH(P$7,'Inputs (2)'!$D$2:$AL$2,0))</f>
        <v>2372.72832122</v>
      </c>
      <c r="Q183" s="25">
        <f>INDEX('Inputs (2)'!$D$35:$AL$35,MATCH(Q$7,'Inputs (2)'!$D$2:$AL$2,0))</f>
        <v>2475.24283589</v>
      </c>
      <c r="R183" s="3">
        <f>Q183</f>
        <v>2475.24283589</v>
      </c>
      <c r="S183" s="25">
        <f>INDEX('Inputs (2)'!$D$35:$AL$35,MATCH(S$7,'Inputs (2)'!$D$2:$AL$2,0))</f>
        <v>2452.94503181</v>
      </c>
      <c r="T183" s="25">
        <f>INDEX('Inputs (2)'!$D$35:$AL$35,MATCH(T$7,'Inputs (2)'!$D$2:$AL$2,0))</f>
        <v>2518.793</v>
      </c>
      <c r="U183" s="25">
        <f>INDEX('Inputs (2)'!$D$35:$AL$35,MATCH(U$7,'Inputs (2)'!$D$2:$AL$2,0))</f>
        <v>2576.962</v>
      </c>
      <c r="V183" s="25">
        <f>INDEX('Inputs (2)'!$D$35:$AL$35,MATCH(V$7,'Inputs (2)'!$D$2:$AL$2,0))</f>
        <v>2868.054</v>
      </c>
      <c r="W183" s="3">
        <f>V183</f>
        <v>2868.054</v>
      </c>
      <c r="X183" s="25">
        <f>INDEX('Inputs (2)'!$D$35:$AL$35,MATCH(X$7,'Inputs (2)'!$D$2:$AL$2,0))</f>
        <v>2819.657</v>
      </c>
      <c r="Y183" s="25">
        <f>INDEX('Inputs (2)'!$D$35:$AL$35,MATCH(Y$7,'Inputs (2)'!$D$2:$AL$2,0))</f>
        <v>3812.108</v>
      </c>
      <c r="Z183" s="25">
        <f>INDEX('Inputs (2)'!$D$35:$AL$35,MATCH(Z$7,'Inputs (2)'!$D$2:$AL$2,0))</f>
        <v>3555.55</v>
      </c>
      <c r="AA183" s="25">
        <f>INDEX('Inputs (2)'!$D$35:$AL$35,MATCH(AA$7,'Inputs (2)'!$D$2:$AL$2,0))</f>
        <v>4200.124</v>
      </c>
      <c r="AB183" s="3">
        <f>AA183</f>
        <v>4200.124</v>
      </c>
      <c r="AC183" s="25">
        <f>INDEX('Inputs (2)'!$D$35:$AL$35,MATCH(AC$7,'Inputs (2)'!$D$2:$AL$2,0))</f>
        <v>4186.740699</v>
      </c>
      <c r="AD183" s="25">
        <f>INDEX('Inputs (2)'!$D$35:$AL$35,MATCH(AD$7,'Inputs (2)'!$D$2:$AL$2,0))</f>
        <v>4222.39</v>
      </c>
      <c r="AE183" s="25">
        <f>INDEX('Inputs (2)'!$D$35:$AL$35,MATCH(AE$7,'Inputs (2)'!$D$2:$AL$2,0))</f>
        <v>4236.285</v>
      </c>
      <c r="AF183" s="25">
        <f>INDEX('Inputs (2)'!$D$35:$AL$35,MATCH(AF$7,'Inputs (2)'!$D$2:$AL$2,0))</f>
        <v>4146.397</v>
      </c>
      <c r="AG183" s="3">
        <f>AF183</f>
        <v>4146.397</v>
      </c>
      <c r="AH183" s="3">
        <f>INDEX('Inputs (2)'!$D$35:$AL$35,MATCH(AH$7,'Inputs (2)'!$D$2:$AL$2,0))</f>
        <v>4160.239</v>
      </c>
      <c r="AI183" s="3">
        <f>INDEX('Inputs (2)'!$D$35:$AL$35,MATCH(AI$7,'Inputs (2)'!$D$2:$AL$2,0))</f>
        <v>3792.502</v>
      </c>
      <c r="AJ183" s="3">
        <f>AJ189</f>
        <v>3792.502</v>
      </c>
      <c r="AK183" s="3">
        <f>AK189</f>
        <v>3792.502</v>
      </c>
      <c r="AL183" s="3">
        <f>AK183</f>
        <v>3792.502</v>
      </c>
      <c r="AM183" s="3">
        <f>AM189</f>
        <v>3792.502</v>
      </c>
      <c r="AN183" s="3">
        <f>AN189</f>
        <v>3792.502</v>
      </c>
      <c r="AO183" s="3">
        <f>AO189</f>
        <v>3792.502</v>
      </c>
      <c r="AP183" s="3">
        <f>AP189</f>
        <v>3792.502</v>
      </c>
      <c r="AQ183" s="3">
        <f>AP183</f>
        <v>3792.502</v>
      </c>
      <c r="AR183" s="3">
        <f>AR189</f>
        <v>3792.502</v>
      </c>
      <c r="AS183" s="3">
        <f>AS189</f>
        <v>3792.502</v>
      </c>
      <c r="AT183" s="3">
        <f>AT189</f>
        <v>3792.502</v>
      </c>
      <c r="AU183" s="3">
        <f>AU189</f>
        <v>3792.502</v>
      </c>
      <c r="AV183" s="3">
        <f>AU183</f>
        <v>3792.502</v>
      </c>
      <c r="AW183" s="3">
        <f>AW189</f>
        <v>3792.502</v>
      </c>
      <c r="AX183" s="3">
        <f>AX189</f>
        <v>3792.502</v>
      </c>
      <c r="AY183" s="3">
        <f>AY189</f>
        <v>3792.502</v>
      </c>
      <c r="AZ183" s="3">
        <f>AZ189</f>
        <v>3792.502</v>
      </c>
      <c r="BA183" s="3">
        <f>AZ183</f>
        <v>3792.502</v>
      </c>
      <c r="BB183" s="3">
        <f>BB189</f>
        <v>3792.502</v>
      </c>
      <c r="BC183" s="3">
        <f>BC189</f>
        <v>3792.502</v>
      </c>
      <c r="BD183" s="3">
        <f>BD189</f>
        <v>3792.502</v>
      </c>
      <c r="BE183" s="3">
        <f>BE189</f>
        <v>3792.502</v>
      </c>
      <c r="BF183" s="3">
        <f>BE183</f>
        <v>3792.502</v>
      </c>
      <c r="BG183" s="3">
        <f>BG189</f>
        <v>3792.502</v>
      </c>
      <c r="BH183" s="3">
        <f>BH189</f>
        <v>3792.502</v>
      </c>
      <c r="BI183" s="3">
        <f>BI189</f>
        <v>3792.502</v>
      </c>
      <c r="BJ183" s="3">
        <f>BJ189</f>
        <v>3792.502</v>
      </c>
      <c r="BK183" s="3">
        <f>BJ183</f>
        <v>3792.502</v>
      </c>
      <c r="BL183" s="3">
        <f>BL189</f>
        <v>3792.502</v>
      </c>
      <c r="BM183" s="3">
        <f>BM189</f>
        <v>3792.502</v>
      </c>
      <c r="BN183" s="3">
        <f>BN189</f>
        <v>3792.502</v>
      </c>
      <c r="BO183" s="3">
        <f>BO189</f>
        <v>3792.502</v>
      </c>
      <c r="BP183" s="3">
        <f>BO183</f>
        <v>3792.502</v>
      </c>
      <c r="BQ183" s="3">
        <f>BQ189</f>
        <v>3792.502</v>
      </c>
      <c r="BR183" s="3">
        <f>BR189</f>
        <v>3792.502</v>
      </c>
      <c r="BS183" s="3">
        <f>BS189</f>
        <v>3792.502</v>
      </c>
      <c r="BT183" s="3">
        <f>BT189</f>
        <v>3792.502</v>
      </c>
      <c r="BU183" s="3">
        <f>BT183</f>
        <v>3792.502</v>
      </c>
      <c r="BV183" s="3">
        <f>BV189</f>
        <v>3792.502</v>
      </c>
      <c r="BW183" s="3">
        <f>BW189</f>
        <v>3792.502</v>
      </c>
      <c r="BX183" s="3">
        <f>BX189</f>
        <v>3792.502</v>
      </c>
      <c r="BY183" s="3">
        <f>BY189</f>
        <v>3792.502</v>
      </c>
      <c r="BZ183" s="3">
        <f>BY183</f>
        <v>3792.502</v>
      </c>
      <c r="CA183" s="3">
        <f>CA189</f>
        <v>3792.502</v>
      </c>
      <c r="CB183" s="3">
        <f>CB189</f>
        <v>3792.502</v>
      </c>
      <c r="CC183" s="3">
        <f>CC189</f>
        <v>3792.502</v>
      </c>
      <c r="CD183" s="3">
        <f>CD189</f>
        <v>3792.502</v>
      </c>
      <c r="CE183" s="3">
        <f>CD183</f>
        <v>3792.502</v>
      </c>
      <c r="CF183" s="3">
        <f>CF189</f>
        <v>3792.502</v>
      </c>
      <c r="CG183" s="3">
        <f>CG189</f>
        <v>3792.502</v>
      </c>
      <c r="CH183" s="3">
        <f>CH189</f>
        <v>3792.502</v>
      </c>
      <c r="CI183" s="3">
        <f>CI189</f>
        <v>3792.502</v>
      </c>
      <c r="CJ183" s="3">
        <f>CI183</f>
        <v>3792.502</v>
      </c>
      <c r="CK183" s="3">
        <f>CK189</f>
        <v>3792.502</v>
      </c>
      <c r="CL183" s="3">
        <f>CL189</f>
        <v>3792.502</v>
      </c>
      <c r="CM183" s="3">
        <f>CM189</f>
        <v>3792.502</v>
      </c>
      <c r="CN183" s="3">
        <f>CN189</f>
        <v>3792.502</v>
      </c>
      <c r="CO183" s="3">
        <f>CN183</f>
        <v>3792.502</v>
      </c>
      <c r="CP183" s="3">
        <f>CP189</f>
        <v>3792.502</v>
      </c>
      <c r="CQ183" s="3">
        <f>CQ189</f>
        <v>3792.502</v>
      </c>
      <c r="CR183" s="3">
        <f>CR189</f>
        <v>3792.502</v>
      </c>
      <c r="CS183" s="3">
        <f>CS189</f>
        <v>3792.502</v>
      </c>
      <c r="CT183" s="3">
        <f>CS183</f>
        <v>3792.502</v>
      </c>
      <c r="CU183" s="3">
        <f>CU189</f>
        <v>3792.502</v>
      </c>
      <c r="CV183" s="3">
        <f>CV189</f>
        <v>3792.502</v>
      </c>
      <c r="CW183" s="3">
        <f>CW189</f>
        <v>3792.502</v>
      </c>
      <c r="CX183" s="3">
        <f>CX189</f>
        <v>3792.502</v>
      </c>
      <c r="CY183" s="3">
        <f>CX183</f>
        <v>3792.502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311.442</v>
      </c>
      <c r="AI185" s="35" t="n"/>
      <c r="AJ185" s="35" t="n"/>
      <c r="AK185" s="35" t="n"/>
      <c r="AL185" s="3" t="n"/>
      <c r="AM185" s="3">
        <f>AK178</f>
        <v>667.641</v>
      </c>
      <c r="AN185" s="35" t="n"/>
      <c r="AO185" s="35" t="n"/>
      <c r="AP185" s="35" t="n"/>
      <c r="AQ185" s="3" t="n"/>
      <c r="AR185" s="3">
        <f>AP178</f>
        <v>667.641</v>
      </c>
      <c r="AS185" s="35" t="n"/>
      <c r="AT185" s="35" t="n"/>
      <c r="AU185" s="35" t="n"/>
      <c r="AV185" s="3" t="n"/>
      <c r="AW185" s="3">
        <f>AU178</f>
        <v>667.641</v>
      </c>
      <c r="AX185" s="35" t="n"/>
      <c r="AY185" s="35" t="n"/>
      <c r="AZ185" s="35" t="n"/>
      <c r="BA185" s="3" t="n"/>
      <c r="BB185" s="3">
        <f>AZ178</f>
        <v>667.641</v>
      </c>
      <c r="BC185" s="35" t="n"/>
      <c r="BD185" s="35" t="n"/>
      <c r="BE185" s="35" t="n"/>
      <c r="BF185" s="3" t="n"/>
      <c r="BG185" s="3">
        <f>BE178</f>
        <v>667.641</v>
      </c>
      <c r="BH185" s="35" t="n"/>
      <c r="BI185" s="35" t="n"/>
      <c r="BJ185" s="35" t="n"/>
      <c r="BK185" s="3" t="n"/>
      <c r="BL185" s="3">
        <f>BJ178</f>
        <v>667.641</v>
      </c>
      <c r="BM185" s="35" t="n"/>
      <c r="BN185" s="35" t="n"/>
      <c r="BO185" s="35" t="n"/>
      <c r="BP185" s="3" t="n"/>
      <c r="BQ185" s="3">
        <f>BO178</f>
        <v>667.641</v>
      </c>
      <c r="BR185" s="35" t="n"/>
      <c r="BS185" s="35" t="n"/>
      <c r="BT185" s="35" t="n"/>
      <c r="BU185" s="3" t="n"/>
      <c r="BV185" s="3">
        <f>BT178</f>
        <v>667.641</v>
      </c>
      <c r="BW185" s="35" t="n"/>
      <c r="BX185" s="35" t="n"/>
      <c r="BY185" s="35" t="n"/>
      <c r="BZ185" s="3" t="n"/>
      <c r="CA185" s="3">
        <f>BY178</f>
        <v>667.641</v>
      </c>
      <c r="CB185" s="35" t="n"/>
      <c r="CC185" s="35" t="n"/>
      <c r="CD185" s="35" t="n"/>
      <c r="CE185" s="3" t="n"/>
      <c r="CF185" s="3">
        <f>CD178</f>
        <v>667.641</v>
      </c>
      <c r="CG185" s="35" t="n"/>
      <c r="CH185" s="35" t="n"/>
      <c r="CI185" s="35" t="n"/>
      <c r="CJ185" s="3" t="n"/>
      <c r="CK185" s="3">
        <f>CI178</f>
        <v>667.641</v>
      </c>
      <c r="CL185" s="35" t="n"/>
      <c r="CM185" s="35" t="n"/>
      <c r="CN185" s="35" t="n"/>
      <c r="CO185" s="3" t="n"/>
      <c r="CP185" s="3">
        <f>CN178</f>
        <v>667.641</v>
      </c>
      <c r="CQ185" s="35" t="n"/>
      <c r="CR185" s="35" t="n"/>
      <c r="CS185" s="35" t="n"/>
      <c r="CT185" s="3" t="n"/>
      <c r="CU185" s="3">
        <f>CS178</f>
        <v>667.641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AF183+SUM(AH187:AH188)</f>
        <v>4146.397</v>
      </c>
      <c r="AI189" s="3">
        <f>AH189+SUM(AI187:AI188)</f>
        <v>4146.397</v>
      </c>
      <c r="AJ189" s="3">
        <f>AI183+SUM(AJ187:AJ188)</f>
        <v>3792.502</v>
      </c>
      <c r="AK189" s="3">
        <f>AJ189+SUM(AK187:AK188)</f>
        <v>3792.502</v>
      </c>
      <c r="AL189" s="3" t="n"/>
      <c r="AM189" s="3">
        <f>AK189+SUM(AM187:AM188)</f>
        <v>3792.502</v>
      </c>
      <c r="AN189" s="3">
        <f>AM189+SUM(AN187:AN188)</f>
        <v>3792.502</v>
      </c>
      <c r="AO189" s="3">
        <f>AN189+SUM(AO187:AO188)</f>
        <v>3792.502</v>
      </c>
      <c r="AP189" s="3">
        <f>AO189+SUM(AP187:AP188)</f>
        <v>3792.502</v>
      </c>
      <c r="AQ189" s="3" t="n"/>
      <c r="AR189" s="3">
        <f>AP189+SUM(AR187:AR188)</f>
        <v>3792.502</v>
      </c>
      <c r="AS189" s="3">
        <f>AR189+SUM(AS187:AS188)</f>
        <v>3792.502</v>
      </c>
      <c r="AT189" s="3">
        <f>AS189+SUM(AT187:AT188)</f>
        <v>3792.502</v>
      </c>
      <c r="AU189" s="3">
        <f>AT189+SUM(AU187:AU188)</f>
        <v>3792.502</v>
      </c>
      <c r="AV189" s="3" t="n"/>
      <c r="AW189" s="3">
        <f>AU189+SUM(AW187:AW188)</f>
        <v>3792.502</v>
      </c>
      <c r="AX189" s="3">
        <f>AW189+SUM(AX187:AX188)</f>
        <v>3792.502</v>
      </c>
      <c r="AY189" s="3">
        <f>AX189+SUM(AY187:AY188)</f>
        <v>3792.502</v>
      </c>
      <c r="AZ189" s="3">
        <f>AY189+SUM(AZ187:AZ188)</f>
        <v>3792.502</v>
      </c>
      <c r="BA189" s="3" t="n"/>
      <c r="BB189" s="3">
        <f>AZ189+SUM(BB187:BB188)</f>
        <v>3792.502</v>
      </c>
      <c r="BC189" s="3">
        <f>BB189+SUM(BC187:BC188)</f>
        <v>3792.502</v>
      </c>
      <c r="BD189" s="3">
        <f>BC189+SUM(BD187:BD188)</f>
        <v>3792.502</v>
      </c>
      <c r="BE189" s="3">
        <f>BD189+SUM(BE187:BE188)</f>
        <v>3792.502</v>
      </c>
      <c r="BF189" s="3" t="n"/>
      <c r="BG189" s="3">
        <f>BE189+SUM(BG187:BG188)</f>
        <v>3792.502</v>
      </c>
      <c r="BH189" s="3">
        <f>BG189+SUM(BH187:BH188)</f>
        <v>3792.502</v>
      </c>
      <c r="BI189" s="3">
        <f>BH189+SUM(BI187:BI188)</f>
        <v>3792.502</v>
      </c>
      <c r="BJ189" s="3">
        <f>BI189+SUM(BJ187:BJ188)</f>
        <v>3792.502</v>
      </c>
      <c r="BK189" s="3" t="n"/>
      <c r="BL189" s="3">
        <f>BJ189+SUM(BL187:BL188)</f>
        <v>3792.502</v>
      </c>
      <c r="BM189" s="3">
        <f>BL189+SUM(BM187:BM188)</f>
        <v>3792.502</v>
      </c>
      <c r="BN189" s="3">
        <f>BM189+SUM(BN187:BN188)</f>
        <v>3792.502</v>
      </c>
      <c r="BO189" s="3">
        <f>BN189+SUM(BO187:BO188)</f>
        <v>3792.502</v>
      </c>
      <c r="BP189" s="3" t="n"/>
      <c r="BQ189" s="3">
        <f>BO189+SUM(BQ187:BQ188)</f>
        <v>3792.502</v>
      </c>
      <c r="BR189" s="3">
        <f>BQ189+SUM(BR187:BR188)</f>
        <v>3792.502</v>
      </c>
      <c r="BS189" s="3">
        <f>BR189+SUM(BS187:BS188)</f>
        <v>3792.502</v>
      </c>
      <c r="BT189" s="3">
        <f>BS189+SUM(BT187:BT188)</f>
        <v>3792.502</v>
      </c>
      <c r="BU189" s="3" t="n"/>
      <c r="BV189" s="3">
        <f>BT189+SUM(BV187:BV188)</f>
        <v>3792.502</v>
      </c>
      <c r="BW189" s="3">
        <f>BV189+SUM(BW187:BW188)</f>
        <v>3792.502</v>
      </c>
      <c r="BX189" s="3">
        <f>BW189+SUM(BX187:BX188)</f>
        <v>3792.502</v>
      </c>
      <c r="BY189" s="3">
        <f>BX189+SUM(BY187:BY188)</f>
        <v>3792.502</v>
      </c>
      <c r="BZ189" s="3" t="n"/>
      <c r="CA189" s="3">
        <f>BY189+SUM(CA187:CA188)</f>
        <v>3792.502</v>
      </c>
      <c r="CB189" s="3">
        <f>CA189+SUM(CB187:CB188)</f>
        <v>3792.502</v>
      </c>
      <c r="CC189" s="3">
        <f>CB189+SUM(CC187:CC188)</f>
        <v>3792.502</v>
      </c>
      <c r="CD189" s="3">
        <f>CC189+SUM(CD187:CD188)</f>
        <v>3792.502</v>
      </c>
      <c r="CE189" s="3" t="n"/>
      <c r="CF189" s="3">
        <f>CD189+SUM(CF187:CF188)</f>
        <v>3792.502</v>
      </c>
      <c r="CG189" s="3">
        <f>CF189+SUM(CG187:CG188)</f>
        <v>3792.502</v>
      </c>
      <c r="CH189" s="3">
        <f>CG189+SUM(CH187:CH188)</f>
        <v>3792.502</v>
      </c>
      <c r="CI189" s="3">
        <f>CH189+SUM(CI187:CI188)</f>
        <v>3792.502</v>
      </c>
      <c r="CJ189" s="3" t="n"/>
      <c r="CK189" s="3">
        <f>CI189+SUM(CK187:CK188)</f>
        <v>3792.502</v>
      </c>
      <c r="CL189" s="3">
        <f>CK189+SUM(CL187:CL188)</f>
        <v>3792.502</v>
      </c>
      <c r="CM189" s="3">
        <f>CL189+SUM(CM187:CM188)</f>
        <v>3792.502</v>
      </c>
      <c r="CN189" s="3">
        <f>CM189+SUM(CN187:CN188)</f>
        <v>3792.502</v>
      </c>
      <c r="CO189" s="3" t="n"/>
      <c r="CP189" s="3">
        <f>CN189+SUM(CP187:CP188)</f>
        <v>3792.502</v>
      </c>
      <c r="CQ189" s="3">
        <f>CP189+SUM(CQ187:CQ188)</f>
        <v>3792.502</v>
      </c>
      <c r="CR189" s="3">
        <f>CQ189+SUM(CR187:CR188)</f>
        <v>3792.502</v>
      </c>
      <c r="CS189" s="3">
        <f>CR189+SUM(CS187:CS188)</f>
        <v>3792.502</v>
      </c>
      <c r="CT189" s="3" t="n"/>
      <c r="CU189" s="3">
        <f>CS189+SUM(CU187:CU188)</f>
        <v>3792.502</v>
      </c>
      <c r="CV189" s="3">
        <f>CU189+SUM(CV187:CV188)</f>
        <v>3792.502</v>
      </c>
      <c r="CW189" s="3">
        <f>CV189+SUM(CW187:CW188)</f>
        <v>3792.502</v>
      </c>
      <c r="CX189" s="3">
        <f>CW189+SUM(CX187:CX188)</f>
        <v>3792.502</v>
      </c>
      <c r="CY189" s="3" t="n"/>
      <c r="CZ189">
        <f>CX189+SUM(CZ187:CZ188)</f>
        <v>3792.502</v>
      </c>
      <c r="DA189">
        <f>CZ189+SUM(DA187:DA188)</f>
        <v>3792.502</v>
      </c>
      <c r="DB189">
        <f>DA189+SUM(DB187:DB188)</f>
        <v>3792.502</v>
      </c>
      <c r="DC189">
        <f>DB189+SUM(DC187:DC188)</f>
        <v>3792.502</v>
      </c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2275.013</v>
      </c>
      <c r="AI195" s="3" t="n"/>
      <c r="AJ195" s="3" t="n"/>
      <c r="AK195" s="3" t="n"/>
      <c r="AL195" s="3" t="n"/>
      <c r="AM195" s="36">
        <f>AL110</f>
        <v>9095.59761143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>
        <f>SUM(AH259,AH266)+SUM(AH268:AH274)</f>
        <v>-72.0220000000006</v>
      </c>
      <c r="AI196" s="37">
        <f>SUM(AI259,AI266)+SUM(AI268:AI274)</f>
        <v>-287.752999999999</v>
      </c>
      <c r="AJ196" s="37">
        <f>SUM(AJ259,AJ266)+SUM(AJ268:AJ274)</f>
        <v>6978.42598743</v>
      </c>
      <c r="AK196" s="37">
        <f>SUM(AK259,AK266)+SUM(AK268:AK274)</f>
        <v>79.498624</v>
      </c>
      <c r="AL196" s="3" t="n"/>
      <c r="AM196" s="37" t="e">
        <f>SUM(AM259,AM266)+SUM(AM268:AM274)</f>
        <v>#DIV/0!</v>
      </c>
      <c r="AN196" s="37" t="e">
        <f>SUM(AN259,AN266)+SUM(AN268:AN274)</f>
        <v>#DIV/0!</v>
      </c>
      <c r="AO196" s="37" t="e">
        <f>SUM(AO259,AO266)+SUM(AO268:AO274)</f>
        <v>#DIV/0!</v>
      </c>
      <c r="AP196" s="37" t="e">
        <f>SUM(AP259,AP266)+SUM(AP268:AP274)</f>
        <v>#DIV/0!</v>
      </c>
      <c r="AQ196" s="3" t="n"/>
      <c r="AR196" s="37" t="e">
        <f>SUM(AR259,AR266)+SUM(AR268:AR274)</f>
        <v>#DIV/0!</v>
      </c>
      <c r="AS196" s="37" t="e">
        <f>SUM(AS259,AS266)+SUM(AS268:AS274)</f>
        <v>#DIV/0!</v>
      </c>
      <c r="AT196" s="37" t="e">
        <f>SUM(AT259,AT266)+SUM(AT268:AT274)</f>
        <v>#DIV/0!</v>
      </c>
      <c r="AU196" s="37" t="e">
        <f>SUM(AU259,AU266)+SUM(AU268:AU274)</f>
        <v>#DIV/0!</v>
      </c>
      <c r="AV196" s="3" t="n"/>
      <c r="AW196" s="37" t="e">
        <f>SUM(AW259,AW266)+SUM(AW268:AW274)</f>
        <v>#DIV/0!</v>
      </c>
      <c r="AX196" s="37" t="e">
        <f>SUM(AX259,AX266)+SUM(AX268:AX274)</f>
        <v>#DIV/0!</v>
      </c>
      <c r="AY196" s="37" t="e">
        <f>SUM(AY259,AY266)+SUM(AY268:AY274)</f>
        <v>#DIV/0!</v>
      </c>
      <c r="AZ196" s="37" t="e">
        <f>SUM(AZ259,AZ266)+SUM(AZ268:AZ274)</f>
        <v>#DIV/0!</v>
      </c>
      <c r="BA196" s="3" t="n"/>
      <c r="BB196" s="37" t="e">
        <f>SUM(BB259,BB266)+SUM(BB268:BB274)</f>
        <v>#DIV/0!</v>
      </c>
      <c r="BC196" s="37" t="e">
        <f>SUM(BC259,BC266)+SUM(BC268:BC274)</f>
        <v>#DIV/0!</v>
      </c>
      <c r="BD196" s="37" t="e">
        <f>SUM(BD259,BD266)+SUM(BD268:BD274)</f>
        <v>#DIV/0!</v>
      </c>
      <c r="BE196" s="37" t="e">
        <f>SUM(BE259,BE266)+SUM(BE268:BE274)</f>
        <v>#DIV/0!</v>
      </c>
      <c r="BF196" s="3" t="n"/>
      <c r="BG196" s="37" t="e">
        <f>SUM(BG259,BG266)+SUM(BG268:BG274)</f>
        <v>#DIV/0!</v>
      </c>
      <c r="BH196" s="37" t="e">
        <f>SUM(BH259,BH266)+SUM(BH268:BH274)</f>
        <v>#DIV/0!</v>
      </c>
      <c r="BI196" s="37" t="e">
        <f>SUM(BI259,BI266)+SUM(BI268:BI274)</f>
        <v>#DIV/0!</v>
      </c>
      <c r="BJ196" s="37" t="e">
        <f>SUM(BJ259,BJ266)+SUM(BJ268:BJ274)</f>
        <v>#DIV/0!</v>
      </c>
      <c r="BK196" s="3" t="n"/>
      <c r="BL196" s="37" t="e">
        <f>SUM(BL259,BL266)+SUM(BL268:BL274)</f>
        <v>#DIV/0!</v>
      </c>
      <c r="BM196" s="37" t="e">
        <f>SUM(BM259,BM266)+SUM(BM268:BM274)</f>
        <v>#DIV/0!</v>
      </c>
      <c r="BN196" s="37" t="e">
        <f>SUM(BN259,BN266)+SUM(BN268:BN274)</f>
        <v>#DIV/0!</v>
      </c>
      <c r="BO196" s="37" t="e">
        <f>SUM(BO259,BO266)+SUM(BO268:BO274)</f>
        <v>#DIV/0!</v>
      </c>
      <c r="BP196" s="3" t="n"/>
      <c r="BQ196" s="37" t="e">
        <f>SUM(BQ259,BQ266)+SUM(BQ268:BQ274)</f>
        <v>#DIV/0!</v>
      </c>
      <c r="BR196" s="37" t="e">
        <f>SUM(BR259,BR266)+SUM(BR268:BR274)</f>
        <v>#DIV/0!</v>
      </c>
      <c r="BS196" s="37" t="e">
        <f>SUM(BS259,BS266)+SUM(BS268:BS274)</f>
        <v>#DIV/0!</v>
      </c>
      <c r="BT196" s="37" t="e">
        <f>SUM(BT259,BT266)+SUM(BT268:BT274)</f>
        <v>#DIV/0!</v>
      </c>
      <c r="BU196" s="3" t="n"/>
      <c r="BV196" s="37" t="e">
        <f>SUM(BV259,BV266)+SUM(BV268:BV274)</f>
        <v>#DIV/0!</v>
      </c>
      <c r="BW196" s="37" t="e">
        <f>SUM(BW259,BW266)+SUM(BW268:BW274)</f>
        <v>#DIV/0!</v>
      </c>
      <c r="BX196" s="37" t="e">
        <f>SUM(BX259,BX266)+SUM(BX268:BX274)</f>
        <v>#DIV/0!</v>
      </c>
      <c r="BY196" s="37" t="e">
        <f>SUM(BY259,BY266)+SUM(BY268:BY274)</f>
        <v>#DIV/0!</v>
      </c>
      <c r="BZ196" s="3" t="n"/>
      <c r="CA196" s="37" t="e">
        <f>SUM(CA259,CA266)+SUM(CA268:CA274)</f>
        <v>#DIV/0!</v>
      </c>
      <c r="CB196" s="37" t="e">
        <f>SUM(CB259,CB266)+SUM(CB268:CB274)</f>
        <v>#DIV/0!</v>
      </c>
      <c r="CC196" s="37" t="e">
        <f>SUM(CC259,CC266)+SUM(CC268:CC274)</f>
        <v>#DIV/0!</v>
      </c>
      <c r="CD196" s="37" t="e">
        <f>SUM(CD259,CD266)+SUM(CD268:CD274)</f>
        <v>#DIV/0!</v>
      </c>
      <c r="CE196" s="3" t="n"/>
      <c r="CF196" s="37" t="e">
        <f>SUM(CF259,CF266)+SUM(CF268:CF274)</f>
        <v>#DIV/0!</v>
      </c>
      <c r="CG196" s="37" t="e">
        <f>SUM(CG259,CG266)+SUM(CG268:CG274)</f>
        <v>#DIV/0!</v>
      </c>
      <c r="CH196" s="37" t="e">
        <f>SUM(CH259,CH266)+SUM(CH268:CH274)</f>
        <v>#DIV/0!</v>
      </c>
      <c r="CI196" s="37" t="e">
        <f>SUM(CI259,CI266)+SUM(CI268:CI274)</f>
        <v>#DIV/0!</v>
      </c>
      <c r="CJ196" s="3" t="n"/>
      <c r="CK196" s="37" t="e">
        <f>SUM(CK259,CK266)+SUM(CK268:CK274)</f>
        <v>#DIV/0!</v>
      </c>
      <c r="CL196" s="37" t="e">
        <f>SUM(CL259,CL266)+SUM(CL268:CL274)</f>
        <v>#DIV/0!</v>
      </c>
      <c r="CM196" s="37" t="e">
        <f>SUM(CM259,CM266)+SUM(CM268:CM274)</f>
        <v>#DIV/0!</v>
      </c>
      <c r="CN196" s="37" t="e">
        <f>SUM(CN259,CN266)+SUM(CN268:CN274)</f>
        <v>#DIV/0!</v>
      </c>
      <c r="CO196" s="3" t="n"/>
      <c r="CP196" s="37" t="e">
        <f>SUM(CP259,CP266)+SUM(CP268:CP274)</f>
        <v>#DIV/0!</v>
      </c>
      <c r="CQ196" s="37" t="e">
        <f>SUM(CQ259,CQ266)+SUM(CQ268:CQ274)</f>
        <v>#DIV/0!</v>
      </c>
      <c r="CR196" s="37" t="e">
        <f>SUM(CR259,CR266)+SUM(CR268:CR274)</f>
        <v>#DIV/0!</v>
      </c>
      <c r="CS196" s="37" t="e">
        <f>SUM(CS259,CS266)+SUM(CS268:CS274)</f>
        <v>#DIV/0!</v>
      </c>
      <c r="CT196" s="3" t="n"/>
      <c r="CU196" s="37" t="e">
        <f>SUM(CU259,CU266)+SUM(CU268:CU274)</f>
        <v>#DIV/0!</v>
      </c>
      <c r="CV196" s="37" t="e">
        <f>SUM(CV259,CV266)+SUM(CV268:CV274)</f>
        <v>#DIV/0!</v>
      </c>
      <c r="CW196" s="37" t="e">
        <f>SUM(CW259,CW266)+SUM(CW268:CW274)</f>
        <v>#DIV/0!</v>
      </c>
      <c r="CX196" s="37" t="e">
        <f>SUM(CX259,CX266)+SUM(CX268:CX274)</f>
        <v>#DIV/0!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257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>
        <f>AH195+AH196-AH197-AF185+AH187+AH191</f>
        <v>2202.991</v>
      </c>
      <c r="AI198" s="1">
        <f>AI195+AI196-AI197-AG185+AI187+AI191</f>
        <v>-287.752999999999</v>
      </c>
      <c r="AJ198" s="1">
        <f>AJ195+AJ196-AJ197-AH185+AJ187+AJ191</f>
        <v>6666.98398743</v>
      </c>
      <c r="AK198" s="1">
        <f>AK195+AK196-AK197-AI185+AK187+AK191</f>
        <v>79.498624</v>
      </c>
      <c r="AL198" s="3" t="n"/>
      <c r="AM198" s="1" t="e">
        <f>AM195+AM196-AM197-AK185+AM187+AM191</f>
        <v>#DIV/0!</v>
      </c>
      <c r="AN198" s="1" t="e">
        <f>AN195+AN196-AN197-AL185+AN187+AN191</f>
        <v>#DIV/0!</v>
      </c>
      <c r="AO198" s="1" t="e">
        <f>AO195+AO196-AO197-AM185+AO187+AO191</f>
        <v>#DIV/0!</v>
      </c>
      <c r="AP198" s="1" t="e">
        <f>AP195+AP196-AP197-AN185+AP187+AP191</f>
        <v>#DIV/0!</v>
      </c>
      <c r="AQ198" s="3" t="n"/>
      <c r="AR198" s="1" t="e">
        <f>AR195+AR196-AR197-AP185+AR187+AR191</f>
        <v>#DIV/0!</v>
      </c>
      <c r="AS198" s="1" t="e">
        <f>AS195+AS196-AS197-AQ185+AS187+AS191</f>
        <v>#DIV/0!</v>
      </c>
      <c r="AT198" s="1" t="e">
        <f>AT195+AT196-AT197-AR185+AT187+AT191</f>
        <v>#DIV/0!</v>
      </c>
      <c r="AU198" s="1" t="e">
        <f>AU195+AU196-AU197-AS185+AU187+AU191</f>
        <v>#DIV/0!</v>
      </c>
      <c r="AV198" s="3" t="n"/>
      <c r="AW198" s="1" t="e">
        <f>AW195+AW196-AW197-AU185+AW187+AW191</f>
        <v>#DIV/0!</v>
      </c>
      <c r="AX198" s="1" t="e">
        <f>AX195+AX196-AX197-AV185+AX187+AX191</f>
        <v>#DIV/0!</v>
      </c>
      <c r="AY198" s="1" t="e">
        <f>AY195+AY196-AY197-AW185+AY187+AY191</f>
        <v>#DIV/0!</v>
      </c>
      <c r="AZ198" s="1" t="e">
        <f>AZ195+AZ196-AZ197-AX185+AZ187+AZ191</f>
        <v>#DIV/0!</v>
      </c>
      <c r="BA198" s="3" t="n"/>
      <c r="BB198" s="1" t="e">
        <f>BB195+BB196-BB197-AZ185+BB187+BB191</f>
        <v>#DIV/0!</v>
      </c>
      <c r="BC198" s="1" t="e">
        <f>BC195+BC196-BC197-BA185+BC187+BC191</f>
        <v>#DIV/0!</v>
      </c>
      <c r="BD198" s="1" t="e">
        <f>BD195+BD196-BD197-BB185+BD187+BD191</f>
        <v>#DIV/0!</v>
      </c>
      <c r="BE198" s="1" t="e">
        <f>BE195+BE196-BE197-BC185+BE187+BE191</f>
        <v>#DIV/0!</v>
      </c>
      <c r="BF198" s="3" t="n"/>
      <c r="BG198" s="1" t="e">
        <f>BG195+BG196-BG197-BE185+BG187+BG191</f>
        <v>#DIV/0!</v>
      </c>
      <c r="BH198" s="1" t="e">
        <f>BH195+BH196-BH197-BF185+BH187+BH191</f>
        <v>#DIV/0!</v>
      </c>
      <c r="BI198" s="1" t="e">
        <f>BI195+BI196-BI197-BG185+BI187+BI191</f>
        <v>#DIV/0!</v>
      </c>
      <c r="BJ198" s="1" t="e">
        <f>BJ195+BJ196-BJ197-BH185+BJ187+BJ191</f>
        <v>#DIV/0!</v>
      </c>
      <c r="BK198" s="3" t="n"/>
      <c r="BL198" s="1" t="e">
        <f>BL195+BL196-BL197-BJ185+BL187+BL191</f>
        <v>#DIV/0!</v>
      </c>
      <c r="BM198" s="1" t="e">
        <f>BM195+BM196-BM197-BK185+BM187+BM191</f>
        <v>#DIV/0!</v>
      </c>
      <c r="BN198" s="1" t="e">
        <f>BN195+BN196-BN197-BL185+BN187+BN191</f>
        <v>#DIV/0!</v>
      </c>
      <c r="BO198" s="1" t="e">
        <f>BO195+BO196-BO197-BM185+BO187+BO191</f>
        <v>#DIV/0!</v>
      </c>
      <c r="BP198" s="3" t="n"/>
      <c r="BQ198" s="1" t="e">
        <f>BQ195+BQ196-BQ197-BO185+BQ187+BQ191</f>
        <v>#DIV/0!</v>
      </c>
      <c r="BR198" s="1" t="e">
        <f>BR195+BR196-BR197-BP185+BR187+BR191</f>
        <v>#DIV/0!</v>
      </c>
      <c r="BS198" s="1" t="e">
        <f>BS195+BS196-BS197-BQ185+BS187+BS191</f>
        <v>#DIV/0!</v>
      </c>
      <c r="BT198" s="1" t="e">
        <f>BT195+BT196-BT197-BR185+BT187+BT191</f>
        <v>#DIV/0!</v>
      </c>
      <c r="BU198" s="3" t="n"/>
      <c r="BV198" s="1" t="e">
        <f>BV195+BV196-BV197-BT185+BV187+BV191</f>
        <v>#DIV/0!</v>
      </c>
      <c r="BW198" s="1" t="e">
        <f>BW195+BW196-BW197-BU185+BW187+BW191</f>
        <v>#DIV/0!</v>
      </c>
      <c r="BX198" s="1" t="e">
        <f>BX195+BX196-BX197-BV185+BX187+BX191</f>
        <v>#DIV/0!</v>
      </c>
      <c r="BY198" s="1" t="e">
        <f>BY195+BY196-BY197-BW185+BY187+BY191</f>
        <v>#DIV/0!</v>
      </c>
      <c r="BZ198" s="3" t="n"/>
      <c r="CA198" s="1" t="e">
        <f>CA195+CA196-CA197-BY185+CA187+CA191</f>
        <v>#DIV/0!</v>
      </c>
      <c r="CB198" s="1" t="e">
        <f>CB195+CB196-CB197-BZ185+CB187+CB191</f>
        <v>#DIV/0!</v>
      </c>
      <c r="CC198" s="1" t="e">
        <f>CC195+CC196-CC197-CA185+CC187+CC191</f>
        <v>#DIV/0!</v>
      </c>
      <c r="CD198" s="1" t="e">
        <f>CD195+CD196-CD197-CB185+CD187+CD191</f>
        <v>#DIV/0!</v>
      </c>
      <c r="CE198" s="3" t="n"/>
      <c r="CF198" s="1" t="e">
        <f>CF195+CF196-CF197-CD185+CF187+CF191</f>
        <v>#DIV/0!</v>
      </c>
      <c r="CG198" s="1" t="e">
        <f>CG195+CG196-CG197-CE185+CG187+CG191</f>
        <v>#DIV/0!</v>
      </c>
      <c r="CH198" s="1" t="e">
        <f>CH195+CH196-CH197-CF185+CH187+CH191</f>
        <v>#DIV/0!</v>
      </c>
      <c r="CI198" s="1" t="e">
        <f>CI195+CI196-CI197-CG185+CI187+CI191</f>
        <v>#DIV/0!</v>
      </c>
      <c r="CJ198" s="3" t="n"/>
      <c r="CK198" s="1" t="e">
        <f>CK195+CK196-CK197-CI185+CK187+CK191</f>
        <v>#DIV/0!</v>
      </c>
      <c r="CL198" s="1" t="e">
        <f>CL195+CL196-CL197-CJ185+CL187+CL191</f>
        <v>#DIV/0!</v>
      </c>
      <c r="CM198" s="1" t="e">
        <f>CM195+CM196-CM197-CK185+CM187+CM191</f>
        <v>#DIV/0!</v>
      </c>
      <c r="CN198" s="1" t="e">
        <f>CN195+CN196-CN197-CL185+CN187+CN191</f>
        <v>#DIV/0!</v>
      </c>
      <c r="CO198" s="3" t="n"/>
      <c r="CP198" s="1" t="e">
        <f>CP195+CP196-CP197-CN185+CP187+CP191</f>
        <v>#DIV/0!</v>
      </c>
      <c r="CQ198" s="1" t="e">
        <f>CQ195+CQ196-CQ197-CO185+CQ187+CQ191</f>
        <v>#DIV/0!</v>
      </c>
      <c r="CR198" s="1" t="e">
        <f>CR195+CR196-CR197-CP185+CR187+CR191</f>
        <v>#DIV/0!</v>
      </c>
      <c r="CS198" s="1" t="e">
        <f>CS195+CS196-CS197-CQ185+CS187+CS191</f>
        <v>#DIV/0!</v>
      </c>
      <c r="CT198" s="3" t="n"/>
      <c r="CU198" s="1" t="e">
        <f>CU195+CU196-CU197-CS185+CU187+CU191</f>
        <v>#DIV/0!</v>
      </c>
      <c r="CV198" s="1" t="e">
        <f>CV195+CV196-CV197-CT185+CV187+CV191</f>
        <v>#DIV/0!</v>
      </c>
      <c r="CW198" s="1" t="e">
        <f>CW195+CW196-CW197-CU185+CW187+CW191</f>
        <v>#DIV/0!</v>
      </c>
      <c r="CX198" s="1" t="e">
        <f>CX195+CX196-CX197-CV185+CX187+CX191</f>
        <v>#DIV/0!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>
        <f>MAX(0,AH199-AI198)</f>
        <v>287.752999999999</v>
      </c>
      <c r="AJ199" s="3">
        <f>MAX(0,AI199-AJ198)</f>
        <v>0</v>
      </c>
      <c r="AK199" s="3">
        <f>MAX(0,AJ199-AK198)</f>
        <v>0</v>
      </c>
      <c r="AL199" s="3" t="n"/>
      <c r="AM199" s="3">
        <f>AM179</f>
        <v>0</v>
      </c>
      <c r="AN199" s="3" t="e">
        <f>MAX(0,AM199-AN198)</f>
        <v>#DIV/0!</v>
      </c>
      <c r="AO199" s="3" t="e">
        <f>MAX(0,AN199-AO198)</f>
        <v>#DIV/0!</v>
      </c>
      <c r="AP199" s="3" t="e">
        <f>MAX(0,AO199-AP198)</f>
        <v>#DIV/0!</v>
      </c>
      <c r="AQ199" s="3" t="n"/>
      <c r="AR199" s="3">
        <f>AR179</f>
        <v>0</v>
      </c>
      <c r="AS199" s="3" t="e">
        <f>MAX(0,AR199-AS198)</f>
        <v>#DIV/0!</v>
      </c>
      <c r="AT199" s="3" t="e">
        <f>MAX(0,AS199-AT198)</f>
        <v>#DIV/0!</v>
      </c>
      <c r="AU199" s="3" t="e">
        <f>MAX(0,AT199-AU198)</f>
        <v>#DIV/0!</v>
      </c>
      <c r="AV199" s="3" t="n"/>
      <c r="AW199" s="3">
        <f>AW179</f>
        <v>0</v>
      </c>
      <c r="AX199" s="3" t="e">
        <f>MAX(0,AW199-AX198)</f>
        <v>#DIV/0!</v>
      </c>
      <c r="AY199" s="3" t="e">
        <f>MAX(0,AX199-AY198)</f>
        <v>#DIV/0!</v>
      </c>
      <c r="AZ199" s="3" t="e">
        <f>MAX(0,AY199-AZ198)</f>
        <v>#DIV/0!</v>
      </c>
      <c r="BA199" s="3" t="n"/>
      <c r="BB199" s="3">
        <f>BB179</f>
        <v>0</v>
      </c>
      <c r="BC199" s="3" t="e">
        <f>MAX(0,BB199-BC198)</f>
        <v>#DIV/0!</v>
      </c>
      <c r="BD199" s="3" t="e">
        <f>MAX(0,BC199-BD198)</f>
        <v>#DIV/0!</v>
      </c>
      <c r="BE199" s="3" t="e">
        <f>MAX(0,BD199-BE198)</f>
        <v>#DIV/0!</v>
      </c>
      <c r="BF199" s="3" t="n"/>
      <c r="BG199" s="3">
        <f>BG179</f>
        <v>0</v>
      </c>
      <c r="BH199" s="3" t="e">
        <f>MAX(0,BG199-BH198)</f>
        <v>#DIV/0!</v>
      </c>
      <c r="BI199" s="3" t="e">
        <f>MAX(0,BH199-BI198)</f>
        <v>#DIV/0!</v>
      </c>
      <c r="BJ199" s="3" t="e">
        <f>MAX(0,BI199-BJ198)</f>
        <v>#DIV/0!</v>
      </c>
      <c r="BK199" s="3" t="n"/>
      <c r="BL199" s="3">
        <f>BL179</f>
        <v>0</v>
      </c>
      <c r="BM199" s="3" t="e">
        <f>MAX(0,BL199-BM198)</f>
        <v>#DIV/0!</v>
      </c>
      <c r="BN199" s="3" t="e">
        <f>MAX(0,BM199-BN198)</f>
        <v>#DIV/0!</v>
      </c>
      <c r="BO199" s="3" t="e">
        <f>MAX(0,BN199-BO198)</f>
        <v>#DIV/0!</v>
      </c>
      <c r="BP199" s="3" t="n"/>
      <c r="BQ199" s="3">
        <f>BQ179</f>
        <v>0</v>
      </c>
      <c r="BR199" s="3" t="e">
        <f>MAX(0,BQ199-BR198)</f>
        <v>#DIV/0!</v>
      </c>
      <c r="BS199" s="3" t="e">
        <f>MAX(0,BR199-BS198)</f>
        <v>#DIV/0!</v>
      </c>
      <c r="BT199" s="3" t="e">
        <f>MAX(0,BS199-BT198)</f>
        <v>#DIV/0!</v>
      </c>
      <c r="BU199" s="3" t="n"/>
      <c r="BV199" s="3">
        <f>BV179</f>
        <v>0</v>
      </c>
      <c r="BW199" s="3" t="e">
        <f>MAX(0,BV199-BW198)</f>
        <v>#DIV/0!</v>
      </c>
      <c r="BX199" s="3" t="e">
        <f>MAX(0,BW199-BX198)</f>
        <v>#DIV/0!</v>
      </c>
      <c r="BY199" s="3" t="e">
        <f>MAX(0,BX199-BY198)</f>
        <v>#DIV/0!</v>
      </c>
      <c r="BZ199" s="3" t="n"/>
      <c r="CA199" s="3">
        <f>CA179</f>
        <v>0</v>
      </c>
      <c r="CB199" s="3" t="e">
        <f>MAX(0,CA199-CB198)</f>
        <v>#DIV/0!</v>
      </c>
      <c r="CC199" s="3" t="e">
        <f>MAX(0,CB199-CC198)</f>
        <v>#DIV/0!</v>
      </c>
      <c r="CD199" s="3" t="e">
        <f>MAX(0,CC199-CD198)</f>
        <v>#DIV/0!</v>
      </c>
      <c r="CE199" s="3" t="n"/>
      <c r="CF199" s="3">
        <f>CF179</f>
        <v>0</v>
      </c>
      <c r="CG199" s="3" t="e">
        <f>MAX(0,CF199-CG198)</f>
        <v>#DIV/0!</v>
      </c>
      <c r="CH199" s="3" t="e">
        <f>MAX(0,CG199-CH198)</f>
        <v>#DIV/0!</v>
      </c>
      <c r="CI199" s="3" t="e">
        <f>MAX(0,CH199-CI198)</f>
        <v>#DIV/0!</v>
      </c>
      <c r="CJ199" s="3" t="n"/>
      <c r="CK199" s="3">
        <f>CK179</f>
        <v>0</v>
      </c>
      <c r="CL199" s="3" t="e">
        <f>MAX(0,CK199-CL198)</f>
        <v>#DIV/0!</v>
      </c>
      <c r="CM199" s="3" t="e">
        <f>MAX(0,CL199-CM198)</f>
        <v>#DIV/0!</v>
      </c>
      <c r="CN199" s="3" t="e">
        <f>MAX(0,CM199-CN198)</f>
        <v>#DIV/0!</v>
      </c>
      <c r="CO199" s="3" t="n"/>
      <c r="CP199" s="3">
        <f>CP179</f>
        <v>0</v>
      </c>
      <c r="CQ199" s="3" t="e">
        <f>MAX(0,CP199-CQ198)</f>
        <v>#DIV/0!</v>
      </c>
      <c r="CR199" s="3" t="e">
        <f>MAX(0,CQ199-CR198)</f>
        <v>#DIV/0!</v>
      </c>
      <c r="CS199" s="3" t="e">
        <f>MAX(0,CR199-CS198)</f>
        <v>#DIV/0!</v>
      </c>
      <c r="CT199" s="3" t="n"/>
      <c r="CU199" s="3">
        <f>CU179</f>
        <v>0</v>
      </c>
      <c r="CV199" s="3" t="e">
        <f>MAX(0,CU199-CV198)</f>
        <v>#DIV/0!</v>
      </c>
      <c r="CW199" s="3" t="e">
        <f>MAX(0,CV199-CW198)</f>
        <v>#DIV/0!</v>
      </c>
      <c r="CX199" s="3" t="e">
        <f>MAX(0,CW199-CX198)</f>
        <v>#DIV/0!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>
        <f>INDEX('Inputs (2)'!$D$36:$AL$36,MATCH(D$7,'Inputs (2)'!$D$2:$AL$2,0))</f>
        <v>731.1126</v>
      </c>
      <c r="E201" s="25">
        <f>INDEX('Inputs (2)'!$D$36:$AL$36,MATCH(E$7,'Inputs (2)'!$D$2:$AL$2,0))</f>
        <v>704.58350024</v>
      </c>
      <c r="F201" s="25">
        <f>INDEX('Inputs (2)'!$D$36:$AL$36,MATCH(F$7,'Inputs (2)'!$D$2:$AL$2,0))</f>
        <v>686.98637337</v>
      </c>
      <c r="G201" s="25">
        <f>INDEX('Inputs (2)'!$D$36:$AL$36,MATCH(G$7,'Inputs (2)'!$D$2:$AL$2,0))</f>
        <v>680.79029472</v>
      </c>
      <c r="H201" s="3">
        <f>G201</f>
        <v>680.79029472</v>
      </c>
      <c r="I201" s="25">
        <f>INDEX('Inputs (2)'!$D$36:$AL$36,MATCH(I$7,'Inputs (2)'!$D$2:$AL$2,0))</f>
        <v>653.30756924</v>
      </c>
      <c r="J201" s="25">
        <f>INDEX('Inputs (2)'!$D$36:$AL$36,MATCH(J$7,'Inputs (2)'!$D$2:$AL$2,0))</f>
        <v>637.70299012</v>
      </c>
      <c r="K201" s="25">
        <f>INDEX('Inputs (2)'!$D$36:$AL$36,MATCH(K$7,'Inputs (2)'!$D$2:$AL$2,0))</f>
        <v>660.67497517</v>
      </c>
      <c r="L201" s="25">
        <f>INDEX('Inputs (2)'!$D$36:$AL$36,MATCH(L$7,'Inputs (2)'!$D$2:$AL$2,0))</f>
        <v>694.57460451</v>
      </c>
      <c r="M201" s="3">
        <f>L201</f>
        <v>694.57460451</v>
      </c>
      <c r="N201" s="25">
        <f>INDEX('Inputs (2)'!$D$36:$AL$36,MATCH(N$7,'Inputs (2)'!$D$2:$AL$2,0))</f>
        <v>731.44314163</v>
      </c>
      <c r="O201" s="25">
        <f>INDEX('Inputs (2)'!$D$36:$AL$36,MATCH(O$7,'Inputs (2)'!$D$2:$AL$2,0))</f>
        <v>754.21563203</v>
      </c>
      <c r="P201" s="25">
        <f>INDEX('Inputs (2)'!$D$36:$AL$36,MATCH(P$7,'Inputs (2)'!$D$2:$AL$2,0))</f>
        <v>735.36389905</v>
      </c>
      <c r="Q201" s="25">
        <f>INDEX('Inputs (2)'!$D$36:$AL$36,MATCH(Q$7,'Inputs (2)'!$D$2:$AL$2,0))</f>
        <v>943.34829983</v>
      </c>
      <c r="R201" s="3">
        <f>Q201</f>
        <v>943.34829983</v>
      </c>
      <c r="S201" s="25">
        <f>INDEX('Inputs (2)'!$D$36:$AL$36,MATCH(S$7,'Inputs (2)'!$D$2:$AL$2,0))</f>
        <v>928.19154368</v>
      </c>
      <c r="T201" s="25">
        <f>INDEX('Inputs (2)'!$D$36:$AL$36,MATCH(T$7,'Inputs (2)'!$D$2:$AL$2,0))</f>
        <v>1191.85</v>
      </c>
      <c r="U201" s="25">
        <f>INDEX('Inputs (2)'!$D$36:$AL$36,MATCH(U$7,'Inputs (2)'!$D$2:$AL$2,0))</f>
        <v>1167.495</v>
      </c>
      <c r="V201" s="25">
        <f>INDEX('Inputs (2)'!$D$36:$AL$36,MATCH(V$7,'Inputs (2)'!$D$2:$AL$2,0))</f>
        <v>1159.409</v>
      </c>
      <c r="W201" s="3">
        <f>V201</f>
        <v>1159.409</v>
      </c>
      <c r="X201" s="25">
        <f>INDEX('Inputs (2)'!$D$36:$AL$36,MATCH(X$7,'Inputs (2)'!$D$2:$AL$2,0))</f>
        <v>1112.521</v>
      </c>
      <c r="Y201" s="25">
        <f>INDEX('Inputs (2)'!$D$36:$AL$36,MATCH(Y$7,'Inputs (2)'!$D$2:$AL$2,0))</f>
        <v>1061.775</v>
      </c>
      <c r="Z201" s="25">
        <f>INDEX('Inputs (2)'!$D$36:$AL$36,MATCH(Z$7,'Inputs (2)'!$D$2:$AL$2,0))</f>
        <v>1015.306</v>
      </c>
      <c r="AA201" s="25">
        <f>INDEX('Inputs (2)'!$D$36:$AL$36,MATCH(AA$7,'Inputs (2)'!$D$2:$AL$2,0))</f>
        <v>995.637</v>
      </c>
      <c r="AB201" s="3">
        <f>AA201</f>
        <v>995.637</v>
      </c>
      <c r="AC201" s="25">
        <f>INDEX('Inputs (2)'!$D$36:$AL$36,MATCH(AC$7,'Inputs (2)'!$D$2:$AL$2,0))</f>
        <v>977.075</v>
      </c>
      <c r="AD201" s="25">
        <f>INDEX('Inputs (2)'!$D$36:$AL$36,MATCH(AD$7,'Inputs (2)'!$D$2:$AL$2,0))</f>
        <v>936.924</v>
      </c>
      <c r="AE201" s="25">
        <f>INDEX('Inputs (2)'!$D$36:$AL$36,MATCH(AE$7,'Inputs (2)'!$D$2:$AL$2,0))</f>
        <v>935.366</v>
      </c>
      <c r="AF201" s="25">
        <f>INDEX('Inputs (2)'!$D$36:$AL$36,MATCH(AF$7,'Inputs (2)'!$D$2:$AL$2,0))</f>
        <v>922.242</v>
      </c>
      <c r="AG201" s="3">
        <f>AF201</f>
        <v>922.242</v>
      </c>
      <c r="AH201" s="3">
        <f>INDEX('Inputs (2)'!$D$36:$AL$36,MATCH(AH$7,'Inputs (2)'!$D$2:$AL$2,0))</f>
        <v>910.562</v>
      </c>
      <c r="AI201" s="3">
        <f>INDEX('Inputs (2)'!$D$36:$AL$36,MATCH(AI$7,'Inputs (2)'!$D$2:$AL$2,0))</f>
        <v>1041.536</v>
      </c>
      <c r="AJ201" s="3">
        <f>AI201</f>
        <v>1041.536</v>
      </c>
      <c r="AK201" s="3">
        <f>AJ201</f>
        <v>1041.536</v>
      </c>
      <c r="AL201" s="3">
        <f>AK201</f>
        <v>1041.536</v>
      </c>
      <c r="AM201" s="3">
        <f>AL201</f>
        <v>1041.536</v>
      </c>
      <c r="AN201" s="3">
        <f>AM201</f>
        <v>1041.536</v>
      </c>
      <c r="AO201" s="3">
        <f>AN201</f>
        <v>1041.536</v>
      </c>
      <c r="AP201" s="3">
        <f>AO201</f>
        <v>1041.536</v>
      </c>
      <c r="AQ201" s="3">
        <f>AP201</f>
        <v>1041.536</v>
      </c>
      <c r="AR201" s="3">
        <f>AQ201</f>
        <v>1041.536</v>
      </c>
      <c r="AS201" s="3">
        <f>AR201</f>
        <v>1041.536</v>
      </c>
      <c r="AT201" s="3">
        <f>AS201</f>
        <v>1041.536</v>
      </c>
      <c r="AU201" s="3">
        <f>AT201</f>
        <v>1041.536</v>
      </c>
      <c r="AV201" s="3">
        <f>AU201</f>
        <v>1041.536</v>
      </c>
      <c r="AW201" s="3">
        <f>AV201</f>
        <v>1041.536</v>
      </c>
      <c r="AX201" s="3">
        <f>AW201</f>
        <v>1041.536</v>
      </c>
      <c r="AY201" s="3">
        <f>AX201</f>
        <v>1041.536</v>
      </c>
      <c r="AZ201" s="3">
        <f>AY201</f>
        <v>1041.536</v>
      </c>
      <c r="BA201" s="3">
        <f>AZ201</f>
        <v>1041.536</v>
      </c>
      <c r="BB201" s="3">
        <f>BA201</f>
        <v>1041.536</v>
      </c>
      <c r="BC201" s="3">
        <f>BB201</f>
        <v>1041.536</v>
      </c>
      <c r="BD201" s="3">
        <f>BC201</f>
        <v>1041.536</v>
      </c>
      <c r="BE201" s="3">
        <f>BD201</f>
        <v>1041.536</v>
      </c>
      <c r="BF201" s="3">
        <f>BE201</f>
        <v>1041.536</v>
      </c>
      <c r="BG201" s="3">
        <f>BF201</f>
        <v>1041.536</v>
      </c>
      <c r="BH201" s="3">
        <f>BG201</f>
        <v>1041.536</v>
      </c>
      <c r="BI201" s="3">
        <f>BH201</f>
        <v>1041.536</v>
      </c>
      <c r="BJ201" s="3">
        <f>BI201</f>
        <v>1041.536</v>
      </c>
      <c r="BK201" s="3">
        <f>BJ201</f>
        <v>1041.536</v>
      </c>
      <c r="BL201" s="3">
        <f>BK201</f>
        <v>1041.536</v>
      </c>
      <c r="BM201" s="3">
        <f>BL201</f>
        <v>1041.536</v>
      </c>
      <c r="BN201" s="3">
        <f>BM201</f>
        <v>1041.536</v>
      </c>
      <c r="BO201" s="3">
        <f>BN201</f>
        <v>1041.536</v>
      </c>
      <c r="BP201" s="3">
        <f>BO201</f>
        <v>1041.536</v>
      </c>
      <c r="BQ201" s="3">
        <f>BP201</f>
        <v>1041.536</v>
      </c>
      <c r="BR201" s="3">
        <f>BQ201</f>
        <v>1041.536</v>
      </c>
      <c r="BS201" s="3">
        <f>BR201</f>
        <v>1041.536</v>
      </c>
      <c r="BT201" s="3">
        <f>BS201</f>
        <v>1041.536</v>
      </c>
      <c r="BU201" s="3">
        <f>BT201</f>
        <v>1041.536</v>
      </c>
      <c r="BV201" s="3">
        <f>BU201</f>
        <v>1041.536</v>
      </c>
      <c r="BW201" s="3">
        <f>BV201</f>
        <v>1041.536</v>
      </c>
      <c r="BX201" s="3">
        <f>BW201</f>
        <v>1041.536</v>
      </c>
      <c r="BY201" s="3">
        <f>BX201</f>
        <v>1041.536</v>
      </c>
      <c r="BZ201" s="3">
        <f>BY201</f>
        <v>1041.536</v>
      </c>
      <c r="CA201" s="3">
        <f>BZ201</f>
        <v>1041.536</v>
      </c>
      <c r="CB201" s="3">
        <f>CA201</f>
        <v>1041.536</v>
      </c>
      <c r="CC201" s="3">
        <f>CB201</f>
        <v>1041.536</v>
      </c>
      <c r="CD201" s="3">
        <f>CC201</f>
        <v>1041.536</v>
      </c>
      <c r="CE201" s="3">
        <f>CD201</f>
        <v>1041.536</v>
      </c>
      <c r="CF201" s="3">
        <f>CE201</f>
        <v>1041.536</v>
      </c>
      <c r="CG201" s="3">
        <f>CF201</f>
        <v>1041.536</v>
      </c>
      <c r="CH201" s="3">
        <f>CG201</f>
        <v>1041.536</v>
      </c>
      <c r="CI201" s="3">
        <f>CH201</f>
        <v>1041.536</v>
      </c>
      <c r="CJ201" s="3">
        <f>CI201</f>
        <v>1041.536</v>
      </c>
      <c r="CK201" s="3">
        <f>CJ201</f>
        <v>1041.536</v>
      </c>
      <c r="CL201" s="3">
        <f>CK201</f>
        <v>1041.536</v>
      </c>
      <c r="CM201" s="3">
        <f>CL201</f>
        <v>1041.536</v>
      </c>
      <c r="CN201" s="3">
        <f>CM201</f>
        <v>1041.536</v>
      </c>
      <c r="CO201" s="3">
        <f>CN201</f>
        <v>1041.536</v>
      </c>
      <c r="CP201" s="3">
        <f>CO201</f>
        <v>1041.536</v>
      </c>
      <c r="CQ201" s="3">
        <f>CP201</f>
        <v>1041.536</v>
      </c>
      <c r="CR201" s="3">
        <f>CQ201</f>
        <v>1041.536</v>
      </c>
      <c r="CS201" s="3">
        <f>CR201</f>
        <v>1041.536</v>
      </c>
      <c r="CT201" s="3">
        <f>CS201</f>
        <v>1041.536</v>
      </c>
      <c r="CU201" s="3">
        <f>CT201</f>
        <v>1041.536</v>
      </c>
      <c r="CV201" s="3">
        <f>CU201</f>
        <v>1041.536</v>
      </c>
      <c r="CW201" s="3">
        <f>CV201</f>
        <v>1041.536</v>
      </c>
      <c r="CX201" s="3">
        <f>CW201</f>
        <v>1041.536</v>
      </c>
      <c r="CY201" s="3">
        <f>CX201</f>
        <v>1041.536</v>
      </c>
    </row>
    <row r="202" hidden="1" outlineLevel="1">
      <c r="C202" s="38" t="inlineStr">
        <is>
          <t>%(Var.)</t>
        </is>
      </c>
      <c r="D202" s="3" t="n"/>
      <c r="E202" s="47">
        <f>(E201-D201)/D201</f>
        <v>-0.0362859288158897</v>
      </c>
      <c r="F202" s="47">
        <f>(F201-E201)/E201</f>
        <v>-0.0249752185000159</v>
      </c>
      <c r="G202" s="47">
        <f>(G201-F201)/F201</f>
        <v>-0.00901921623220159</v>
      </c>
      <c r="H202" s="3" t="n"/>
      <c r="I202" s="47">
        <f>(I201-H201)/H201</f>
        <v>-0.0403688561560697</v>
      </c>
      <c r="J202" s="47">
        <f>(J201-I201)/I201</f>
        <v>-0.0238855017984148</v>
      </c>
      <c r="K202" s="47">
        <f>(K201-J201)/J201</f>
        <v>0.0360230160527825</v>
      </c>
      <c r="L202" s="47">
        <f>(L201-K201)/K201</f>
        <v>0.0513105999380058</v>
      </c>
      <c r="M202" s="3" t="n"/>
      <c r="N202" s="47">
        <f>(N201-M201)/M201</f>
        <v>0.0530807445026148</v>
      </c>
      <c r="O202" s="47">
        <f>(O201-N201)/N201</f>
        <v>0.0311336440304192</v>
      </c>
      <c r="P202" s="47">
        <f>(P201-O201)/O201</f>
        <v>-0.0249951501658217</v>
      </c>
      <c r="Q202" s="47">
        <f>(Q201-P201)/P201</f>
        <v>0.282831943543449</v>
      </c>
      <c r="R202" s="3" t="n"/>
      <c r="S202" s="47">
        <f>(S201-R201)/R201</f>
        <v>-0.0160669777564994</v>
      </c>
      <c r="T202" s="47">
        <f>(T201-S201)/S201</f>
        <v>0.284056085314755</v>
      </c>
      <c r="U202" s="47">
        <f>(U201-T201)/T201</f>
        <v>-0.0204346184503084</v>
      </c>
      <c r="V202" s="47">
        <f>(V201-U201)/U201</f>
        <v>-0.00692593972565194</v>
      </c>
      <c r="W202" s="3" t="n"/>
      <c r="X202" s="47">
        <f>(X201-W201)/W201</f>
        <v>-0.0404412937970985</v>
      </c>
      <c r="Y202" s="47">
        <f>(Y201-X201)/X201</f>
        <v>-0.0456135210031989</v>
      </c>
      <c r="Z202" s="47">
        <f>(Z201-Y201)/Y201</f>
        <v>-0.043765392856302</v>
      </c>
      <c r="AA202" s="47">
        <f>(AA201-Z201)/Z201</f>
        <v>-0.0193724847484404</v>
      </c>
      <c r="AB202" s="3" t="n"/>
      <c r="AC202" s="47">
        <f>(AC201-AB201)/AB201</f>
        <v>-0.0186433408963307</v>
      </c>
      <c r="AD202" s="47">
        <f>(AD201-AC201)/AC201</f>
        <v>-0.0410930583629712</v>
      </c>
      <c r="AE202" s="47">
        <f>(AE201-AD201)/AD201</f>
        <v>-0.00166288834526599</v>
      </c>
      <c r="AF202" s="230">
        <f>(AF201-AE201)/AE201</f>
        <v>-0.0140308713380644</v>
      </c>
      <c r="AG202" s="3" t="n"/>
      <c r="AH202" s="6">
        <f>(AH201-AG201)/AG201</f>
        <v>-0.0126647886346534</v>
      </c>
      <c r="AI202" s="6">
        <f>(AI201-AH201)/AH201</f>
        <v>0.143838640312247</v>
      </c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>
        <f>INDEX('Inputs (2)'!$D$38:$AL$38,MATCH(D$7,'Inputs (2)'!$D$2:$AL$2,0))</f>
        <v>418.369</v>
      </c>
      <c r="E205" s="25">
        <f>INDEX('Inputs (2)'!$D$38:$AL$38,MATCH(E$7,'Inputs (2)'!$D$2:$AL$2,0))</f>
        <v>469.42195361</v>
      </c>
      <c r="F205" s="25">
        <f>INDEX('Inputs (2)'!$D$38:$AL$38,MATCH(F$7,'Inputs (2)'!$D$2:$AL$2,0))</f>
        <v>468.6245004</v>
      </c>
      <c r="G205" s="25">
        <f>INDEX('Inputs (2)'!$D$38:$AL$38,MATCH(G$7,'Inputs (2)'!$D$2:$AL$2,0))</f>
        <v>468.94024418</v>
      </c>
      <c r="H205" s="3">
        <f>G205</f>
        <v>468.94024418</v>
      </c>
      <c r="I205" s="25">
        <f>INDEX('Inputs (2)'!$D$38:$AL$38,MATCH(I$7,'Inputs (2)'!$D$2:$AL$2,0))</f>
        <v>467.16584292</v>
      </c>
      <c r="J205" s="25">
        <f>INDEX('Inputs (2)'!$D$38:$AL$38,MATCH(J$7,'Inputs (2)'!$D$2:$AL$2,0))</f>
        <v>466.67550792</v>
      </c>
      <c r="K205" s="25">
        <f>INDEX('Inputs (2)'!$D$38:$AL$38,MATCH(K$7,'Inputs (2)'!$D$2:$AL$2,0))</f>
        <v>465.94036794</v>
      </c>
      <c r="L205" s="25">
        <f>INDEX('Inputs (2)'!$D$38:$AL$38,MATCH(L$7,'Inputs (2)'!$D$2:$AL$2,0))</f>
        <v>397.561</v>
      </c>
      <c r="M205" s="3">
        <f>L205</f>
        <v>397.561</v>
      </c>
      <c r="N205" s="25">
        <f>INDEX('Inputs (2)'!$D$38:$AL$38,MATCH(N$7,'Inputs (2)'!$D$2:$AL$2,0))</f>
        <v>410.47774333</v>
      </c>
      <c r="O205" s="25">
        <f>INDEX('Inputs (2)'!$D$38:$AL$38,MATCH(O$7,'Inputs (2)'!$D$2:$AL$2,0))</f>
        <v>508.20410198</v>
      </c>
      <c r="P205" s="25">
        <f>INDEX('Inputs (2)'!$D$38:$AL$38,MATCH(P$7,'Inputs (2)'!$D$2:$AL$2,0))</f>
        <v>510.90411053</v>
      </c>
      <c r="Q205" s="25">
        <f>INDEX('Inputs (2)'!$D$38:$AL$38,MATCH(Q$7,'Inputs (2)'!$D$2:$AL$2,0))</f>
        <v>397.58912424</v>
      </c>
      <c r="R205" s="3">
        <f>Q205</f>
        <v>397.58912424</v>
      </c>
      <c r="S205" s="25">
        <f>INDEX('Inputs (2)'!$D$38:$AL$38,MATCH(S$7,'Inputs (2)'!$D$2:$AL$2,0))</f>
        <v>403.13935572</v>
      </c>
      <c r="T205" s="25">
        <f>INDEX('Inputs (2)'!$D$38:$AL$38,MATCH(T$7,'Inputs (2)'!$D$2:$AL$2,0))</f>
        <v>570.569</v>
      </c>
      <c r="U205" s="25">
        <f>INDEX('Inputs (2)'!$D$38:$AL$38,MATCH(U$7,'Inputs (2)'!$D$2:$AL$2,0))</f>
        <v>549.898</v>
      </c>
      <c r="V205" s="25">
        <f>INDEX('Inputs (2)'!$D$38:$AL$38,MATCH(V$7,'Inputs (2)'!$D$2:$AL$2,0))</f>
        <v>580.533</v>
      </c>
      <c r="W205" s="3">
        <f>V205</f>
        <v>580.533</v>
      </c>
      <c r="X205" s="25">
        <f>INDEX('Inputs (2)'!$D$38:$AL$38,MATCH(X$7,'Inputs (2)'!$D$2:$AL$2,0))</f>
        <v>576.753</v>
      </c>
      <c r="Y205" s="25">
        <f>INDEX('Inputs (2)'!$D$38:$AL$38,MATCH(Y$7,'Inputs (2)'!$D$2:$AL$2,0))</f>
        <v>551.446</v>
      </c>
      <c r="Z205" s="25">
        <f>INDEX('Inputs (2)'!$D$38:$AL$38,MATCH(Z$7,'Inputs (2)'!$D$2:$AL$2,0))</f>
        <v>581.485</v>
      </c>
      <c r="AA205" s="25">
        <f>INDEX('Inputs (2)'!$D$38:$AL$38,MATCH(AA$7,'Inputs (2)'!$D$2:$AL$2,0))</f>
        <v>571.796</v>
      </c>
      <c r="AB205" s="3">
        <f>AA205</f>
        <v>571.796</v>
      </c>
      <c r="AC205" s="25">
        <f>INDEX('Inputs (2)'!$D$38:$AL$38,MATCH(AC$7,'Inputs (2)'!$D$2:$AL$2,0))</f>
        <v>580.326605</v>
      </c>
      <c r="AD205" s="25">
        <f>INDEX('Inputs (2)'!$D$38:$AL$38,MATCH(AD$7,'Inputs (2)'!$D$2:$AL$2,0))</f>
        <v>525.619</v>
      </c>
      <c r="AE205" s="25">
        <f>INDEX('Inputs (2)'!$D$38:$AL$38,MATCH(AE$7,'Inputs (2)'!$D$2:$AL$2,0))</f>
        <v>543.129</v>
      </c>
      <c r="AF205" s="25">
        <f>INDEX('Inputs (2)'!$D$38:$AL$38,MATCH(AF$7,'Inputs (2)'!$D$2:$AL$2,0))</f>
        <v>557.54</v>
      </c>
      <c r="AG205" s="3">
        <f>AF205</f>
        <v>557.54</v>
      </c>
      <c r="AH205" s="3">
        <f>INDEX('Inputs (2)'!$D$38:$AL$38,MATCH(AH$7,'Inputs (2)'!$D$2:$AL$2,0))</f>
        <v>555.293</v>
      </c>
      <c r="AI205" s="3">
        <f>INDEX('Inputs (2)'!$D$38:$AL$38,MATCH(AI$7,'Inputs (2)'!$D$2:$AL$2,0))</f>
        <v>527.353</v>
      </c>
      <c r="AJ205" s="3">
        <f>AI205</f>
        <v>527.353</v>
      </c>
      <c r="AK205" s="3">
        <f>AJ205</f>
        <v>527.353</v>
      </c>
      <c r="AL205" s="3">
        <f>AK205</f>
        <v>527.353</v>
      </c>
      <c r="AM205" s="3">
        <f>AL205</f>
        <v>527.353</v>
      </c>
      <c r="AN205" s="3">
        <f>AM205</f>
        <v>527.353</v>
      </c>
      <c r="AO205" s="3">
        <f>AN205</f>
        <v>527.353</v>
      </c>
      <c r="AP205" s="3">
        <f>AO205</f>
        <v>527.353</v>
      </c>
      <c r="AQ205" s="3">
        <f>AP205</f>
        <v>527.353</v>
      </c>
      <c r="AR205" s="3">
        <f>AQ205</f>
        <v>527.353</v>
      </c>
      <c r="AS205" s="3">
        <f>AR205</f>
        <v>527.353</v>
      </c>
      <c r="AT205" s="3">
        <f>AS205</f>
        <v>527.353</v>
      </c>
      <c r="AU205" s="3">
        <f>AT205</f>
        <v>527.353</v>
      </c>
      <c r="AV205" s="3">
        <f>AU205</f>
        <v>527.353</v>
      </c>
      <c r="AW205" s="3">
        <f>AV205</f>
        <v>527.353</v>
      </c>
      <c r="AX205" s="3">
        <f>AW205</f>
        <v>527.353</v>
      </c>
      <c r="AY205" s="3">
        <f>AX205</f>
        <v>527.353</v>
      </c>
      <c r="AZ205" s="3">
        <f>AY205</f>
        <v>527.353</v>
      </c>
      <c r="BA205" s="3">
        <f>AZ205</f>
        <v>527.353</v>
      </c>
      <c r="BB205" s="3">
        <f>BA205</f>
        <v>527.353</v>
      </c>
      <c r="BC205" s="3">
        <f>BB205</f>
        <v>527.353</v>
      </c>
      <c r="BD205" s="3">
        <f>BC205</f>
        <v>527.353</v>
      </c>
      <c r="BE205" s="3">
        <f>BD205</f>
        <v>527.353</v>
      </c>
      <c r="BF205" s="3">
        <f>BE205</f>
        <v>527.353</v>
      </c>
      <c r="BG205" s="3">
        <f>BF205</f>
        <v>527.353</v>
      </c>
      <c r="BH205" s="3">
        <f>BG205</f>
        <v>527.353</v>
      </c>
      <c r="BI205" s="3">
        <f>BH205</f>
        <v>527.353</v>
      </c>
      <c r="BJ205" s="3">
        <f>BI205</f>
        <v>527.353</v>
      </c>
      <c r="BK205" s="3">
        <f>BJ205</f>
        <v>527.353</v>
      </c>
      <c r="BL205" s="3">
        <f>BK205</f>
        <v>527.353</v>
      </c>
      <c r="BM205" s="3">
        <f>BL205</f>
        <v>527.353</v>
      </c>
      <c r="BN205" s="3">
        <f>BM205</f>
        <v>527.353</v>
      </c>
      <c r="BO205" s="3">
        <f>BN205</f>
        <v>527.353</v>
      </c>
      <c r="BP205" s="3">
        <f>BO205</f>
        <v>527.353</v>
      </c>
      <c r="BQ205" s="3">
        <f>BP205</f>
        <v>527.353</v>
      </c>
      <c r="BR205" s="3">
        <f>BQ205</f>
        <v>527.353</v>
      </c>
      <c r="BS205" s="3">
        <f>BR205</f>
        <v>527.353</v>
      </c>
      <c r="BT205" s="3">
        <f>BS205</f>
        <v>527.353</v>
      </c>
      <c r="BU205" s="3">
        <f>BT205</f>
        <v>527.353</v>
      </c>
      <c r="BV205" s="3">
        <f>BU205</f>
        <v>527.353</v>
      </c>
      <c r="BW205" s="3">
        <f>BV205</f>
        <v>527.353</v>
      </c>
      <c r="BX205" s="3">
        <f>BW205</f>
        <v>527.353</v>
      </c>
      <c r="BY205" s="3">
        <f>BX205</f>
        <v>527.353</v>
      </c>
      <c r="BZ205" s="3">
        <f>BY205</f>
        <v>527.353</v>
      </c>
      <c r="CA205" s="3">
        <f>BZ205</f>
        <v>527.353</v>
      </c>
      <c r="CB205" s="3">
        <f>CA205</f>
        <v>527.353</v>
      </c>
      <c r="CC205" s="3">
        <f>CB205</f>
        <v>527.353</v>
      </c>
      <c r="CD205" s="3">
        <f>CC205</f>
        <v>527.353</v>
      </c>
      <c r="CE205" s="3">
        <f>CD205</f>
        <v>527.353</v>
      </c>
      <c r="CF205" s="3">
        <f>CE205</f>
        <v>527.353</v>
      </c>
      <c r="CG205" s="3">
        <f>CF205</f>
        <v>527.353</v>
      </c>
      <c r="CH205" s="3">
        <f>CG205</f>
        <v>527.353</v>
      </c>
      <c r="CI205" s="3">
        <f>CH205</f>
        <v>527.353</v>
      </c>
      <c r="CJ205" s="3">
        <f>CI205</f>
        <v>527.353</v>
      </c>
      <c r="CK205" s="3">
        <f>CJ205</f>
        <v>527.353</v>
      </c>
      <c r="CL205" s="3">
        <f>CK205</f>
        <v>527.353</v>
      </c>
      <c r="CM205" s="3">
        <f>CL205</f>
        <v>527.353</v>
      </c>
      <c r="CN205" s="3">
        <f>CM205</f>
        <v>527.353</v>
      </c>
      <c r="CO205" s="3">
        <f>CN205</f>
        <v>527.353</v>
      </c>
      <c r="CP205" s="3">
        <f>CO205</f>
        <v>527.353</v>
      </c>
      <c r="CQ205" s="3">
        <f>CP205</f>
        <v>527.353</v>
      </c>
      <c r="CR205" s="3">
        <f>CQ205</f>
        <v>527.353</v>
      </c>
      <c r="CS205" s="3">
        <f>CR205</f>
        <v>527.353</v>
      </c>
      <c r="CT205" s="3">
        <f>CS205</f>
        <v>527.353</v>
      </c>
      <c r="CU205" s="3">
        <f>CT205</f>
        <v>527.353</v>
      </c>
      <c r="CV205" s="3">
        <f>CU205</f>
        <v>527.353</v>
      </c>
      <c r="CW205" s="3">
        <f>CV205</f>
        <v>527.353</v>
      </c>
      <c r="CX205" s="3">
        <f>CW205</f>
        <v>527.353</v>
      </c>
      <c r="CY205" s="3">
        <f>CX205</f>
        <v>527.353</v>
      </c>
    </row>
    <row r="206">
      <c r="C206" s="26" t="inlineStr">
        <is>
          <t>Other non-current liabilities</t>
        </is>
      </c>
      <c r="D206" s="25">
        <f>INDEX('Inputs (2)'!$D$39:$AL$39,MATCH(D$7,'Inputs (2)'!$D$2:$AL$2,0))</f>
        <v>67.00351859</v>
      </c>
      <c r="E206" s="25">
        <f>INDEX('Inputs (2)'!$D$39:$AL$39,MATCH(E$7,'Inputs (2)'!$D$2:$AL$2,0))</f>
        <v>65.27087631</v>
      </c>
      <c r="F206" s="25">
        <f>INDEX('Inputs (2)'!$D$39:$AL$39,MATCH(F$7,'Inputs (2)'!$D$2:$AL$2,0))</f>
        <v>64.58416792</v>
      </c>
      <c r="G206" s="25">
        <f>INDEX('Inputs (2)'!$D$39:$AL$39,MATCH(G$7,'Inputs (2)'!$D$2:$AL$2,0))</f>
        <v>62.61925058</v>
      </c>
      <c r="H206" s="3">
        <f>G206</f>
        <v>62.61925058</v>
      </c>
      <c r="I206" s="25">
        <f>INDEX('Inputs (2)'!$D$39:$AL$39,MATCH(I$7,'Inputs (2)'!$D$2:$AL$2,0))</f>
        <v>60.90531905</v>
      </c>
      <c r="J206" s="25">
        <f>INDEX('Inputs (2)'!$D$39:$AL$39,MATCH(J$7,'Inputs (2)'!$D$2:$AL$2,0))</f>
        <v>52.72060044</v>
      </c>
      <c r="K206" s="25">
        <f>INDEX('Inputs (2)'!$D$39:$AL$39,MATCH(K$7,'Inputs (2)'!$D$2:$AL$2,0))</f>
        <v>55.92235634</v>
      </c>
      <c r="L206" s="25">
        <f>INDEX('Inputs (2)'!$D$39:$AL$39,MATCH(L$7,'Inputs (2)'!$D$2:$AL$2,0))</f>
        <v>52.20629518</v>
      </c>
      <c r="M206" s="3">
        <f>L206</f>
        <v>52.20629518</v>
      </c>
      <c r="N206" s="25">
        <f>INDEX('Inputs (2)'!$D$39:$AL$39,MATCH(N$7,'Inputs (2)'!$D$2:$AL$2,0))</f>
        <v>49.74992499</v>
      </c>
      <c r="O206" s="25">
        <f>INDEX('Inputs (2)'!$D$39:$AL$39,MATCH(O$7,'Inputs (2)'!$D$2:$AL$2,0))</f>
        <v>47.76909873</v>
      </c>
      <c r="P206" s="25">
        <f>INDEX('Inputs (2)'!$D$39:$AL$39,MATCH(P$7,'Inputs (2)'!$D$2:$AL$2,0))</f>
        <v>40.48209641</v>
      </c>
      <c r="Q206" s="25">
        <f>INDEX('Inputs (2)'!$D$39:$AL$39,MATCH(Q$7,'Inputs (2)'!$D$2:$AL$2,0))</f>
        <v>40.36976695</v>
      </c>
      <c r="R206" s="3">
        <f>Q206</f>
        <v>40.36976695</v>
      </c>
      <c r="S206" s="25">
        <f>INDEX('Inputs (2)'!$D$39:$AL$39,MATCH(S$7,'Inputs (2)'!$D$2:$AL$2,0))</f>
        <v>36.41807566</v>
      </c>
      <c r="T206" s="25">
        <f>INDEX('Inputs (2)'!$D$39:$AL$39,MATCH(T$7,'Inputs (2)'!$D$2:$AL$2,0))</f>
        <v>127.709</v>
      </c>
      <c r="U206" s="25">
        <f>INDEX('Inputs (2)'!$D$39:$AL$39,MATCH(U$7,'Inputs (2)'!$D$2:$AL$2,0))</f>
        <v>128.664</v>
      </c>
      <c r="V206" s="25">
        <f>INDEX('Inputs (2)'!$D$39:$AL$39,MATCH(V$7,'Inputs (2)'!$D$2:$AL$2,0))</f>
        <v>174.286</v>
      </c>
      <c r="W206" s="3">
        <f>V206</f>
        <v>174.286</v>
      </c>
      <c r="X206" s="25">
        <f>INDEX('Inputs (2)'!$D$39:$AL$39,MATCH(X$7,'Inputs (2)'!$D$2:$AL$2,0))</f>
        <v>179.40258127</v>
      </c>
      <c r="Y206" s="25">
        <f>INDEX('Inputs (2)'!$D$39:$AL$39,MATCH(Y$7,'Inputs (2)'!$D$2:$AL$2,0))</f>
        <v>171.295</v>
      </c>
      <c r="Z206" s="25">
        <f>INDEX('Inputs (2)'!$D$39:$AL$39,MATCH(Z$7,'Inputs (2)'!$D$2:$AL$2,0))</f>
        <v>179.941</v>
      </c>
      <c r="AA206" s="25">
        <f>INDEX('Inputs (2)'!$D$39:$AL$39,MATCH(AA$7,'Inputs (2)'!$D$2:$AL$2,0))</f>
        <v>177.209</v>
      </c>
      <c r="AB206" s="3">
        <f>AA206</f>
        <v>177.209</v>
      </c>
      <c r="AC206" s="25">
        <f>INDEX('Inputs (2)'!$D$39:$AL$39,MATCH(AC$7,'Inputs (2)'!$D$2:$AL$2,0))</f>
        <v>171.74576819</v>
      </c>
      <c r="AD206" s="25">
        <f>INDEX('Inputs (2)'!$D$39:$AL$39,MATCH(AD$7,'Inputs (2)'!$D$2:$AL$2,0))</f>
        <v>174.042</v>
      </c>
      <c r="AE206" s="25">
        <f>INDEX('Inputs (2)'!$D$39:$AL$39,MATCH(AE$7,'Inputs (2)'!$D$2:$AL$2,0))</f>
        <v>185.673</v>
      </c>
      <c r="AF206" s="25">
        <f>INDEX('Inputs (2)'!$D$39:$AL$39,MATCH(AF$7,'Inputs (2)'!$D$2:$AL$2,0))</f>
        <v>252.354</v>
      </c>
      <c r="AG206" s="3">
        <f>AF206</f>
        <v>252.354</v>
      </c>
      <c r="AH206" s="3">
        <f>INDEX('Inputs (2)'!$D$39:$AL$39,MATCH(AH$7,'Inputs (2)'!$D$2:$AL$2,0))</f>
        <v>246.17</v>
      </c>
      <c r="AI206" s="3">
        <f>INDEX('Inputs (2)'!$D$39:$AL$39,MATCH(AI$7,'Inputs (2)'!$D$2:$AL$2,0))</f>
        <v>239.753</v>
      </c>
      <c r="AJ206" s="3">
        <f>AI206</f>
        <v>239.753</v>
      </c>
      <c r="AK206" s="3">
        <f>AJ206</f>
        <v>239.753</v>
      </c>
      <c r="AL206" s="3">
        <f>AK206</f>
        <v>239.753</v>
      </c>
      <c r="AM206" s="3">
        <f>AL206</f>
        <v>239.753</v>
      </c>
      <c r="AN206" s="3">
        <f>AM206</f>
        <v>239.753</v>
      </c>
      <c r="AO206" s="3">
        <f>AN206</f>
        <v>239.753</v>
      </c>
      <c r="AP206" s="3">
        <f>AO206</f>
        <v>239.753</v>
      </c>
      <c r="AQ206" s="3">
        <f>AP206</f>
        <v>239.753</v>
      </c>
      <c r="AR206" s="3">
        <f>AQ206</f>
        <v>239.753</v>
      </c>
      <c r="AS206" s="3">
        <f>AR206</f>
        <v>239.753</v>
      </c>
      <c r="AT206" s="3">
        <f>AS206</f>
        <v>239.753</v>
      </c>
      <c r="AU206" s="3">
        <f>AT206</f>
        <v>239.753</v>
      </c>
      <c r="AV206" s="3">
        <f>AU206</f>
        <v>239.753</v>
      </c>
      <c r="AW206" s="3">
        <f>AV206</f>
        <v>239.753</v>
      </c>
      <c r="AX206" s="3">
        <f>AW206</f>
        <v>239.753</v>
      </c>
      <c r="AY206" s="3">
        <f>AX206</f>
        <v>239.753</v>
      </c>
      <c r="AZ206" s="3">
        <f>AY206</f>
        <v>239.753</v>
      </c>
      <c r="BA206" s="3">
        <f>AZ206</f>
        <v>239.753</v>
      </c>
      <c r="BB206" s="3">
        <f>BA206</f>
        <v>239.753</v>
      </c>
      <c r="BC206" s="3">
        <f>BB206</f>
        <v>239.753</v>
      </c>
      <c r="BD206" s="3">
        <f>BC206</f>
        <v>239.753</v>
      </c>
      <c r="BE206" s="3">
        <f>BD206</f>
        <v>239.753</v>
      </c>
      <c r="BF206" s="3">
        <f>BE206</f>
        <v>239.753</v>
      </c>
      <c r="BG206" s="3">
        <f>BF206</f>
        <v>239.753</v>
      </c>
      <c r="BH206" s="3">
        <f>BG206</f>
        <v>239.753</v>
      </c>
      <c r="BI206" s="3">
        <f>BH206</f>
        <v>239.753</v>
      </c>
      <c r="BJ206" s="3">
        <f>BI206</f>
        <v>239.753</v>
      </c>
      <c r="BK206" s="3">
        <f>BJ206</f>
        <v>239.753</v>
      </c>
      <c r="BL206" s="3">
        <f>BK206</f>
        <v>239.753</v>
      </c>
      <c r="BM206" s="3">
        <f>BL206</f>
        <v>239.753</v>
      </c>
      <c r="BN206" s="3">
        <f>BM206</f>
        <v>239.753</v>
      </c>
      <c r="BO206" s="3">
        <f>BN206</f>
        <v>239.753</v>
      </c>
      <c r="BP206" s="3">
        <f>BO206</f>
        <v>239.753</v>
      </c>
      <c r="BQ206" s="3">
        <f>BP206</f>
        <v>239.753</v>
      </c>
      <c r="BR206" s="3">
        <f>BQ206</f>
        <v>239.753</v>
      </c>
      <c r="BS206" s="3">
        <f>BR206</f>
        <v>239.753</v>
      </c>
      <c r="BT206" s="3">
        <f>BS206</f>
        <v>239.753</v>
      </c>
      <c r="BU206" s="3">
        <f>BT206</f>
        <v>239.753</v>
      </c>
      <c r="BV206" s="3">
        <f>BU206</f>
        <v>239.753</v>
      </c>
      <c r="BW206" s="3">
        <f>BV206</f>
        <v>239.753</v>
      </c>
      <c r="BX206" s="3">
        <f>BW206</f>
        <v>239.753</v>
      </c>
      <c r="BY206" s="3">
        <f>BX206</f>
        <v>239.753</v>
      </c>
      <c r="BZ206" s="3">
        <f>BY206</f>
        <v>239.753</v>
      </c>
      <c r="CA206" s="3">
        <f>BZ206</f>
        <v>239.753</v>
      </c>
      <c r="CB206" s="3">
        <f>CA206</f>
        <v>239.753</v>
      </c>
      <c r="CC206" s="3">
        <f>CB206</f>
        <v>239.753</v>
      </c>
      <c r="CD206" s="3">
        <f>CC206</f>
        <v>239.753</v>
      </c>
      <c r="CE206" s="3">
        <f>CD206</f>
        <v>239.753</v>
      </c>
      <c r="CF206" s="3">
        <f>CE206</f>
        <v>239.753</v>
      </c>
      <c r="CG206" s="3">
        <f>CF206</f>
        <v>239.753</v>
      </c>
      <c r="CH206" s="3">
        <f>CG206</f>
        <v>239.753</v>
      </c>
      <c r="CI206" s="3">
        <f>CH206</f>
        <v>239.753</v>
      </c>
      <c r="CJ206" s="3">
        <f>CI206</f>
        <v>239.753</v>
      </c>
      <c r="CK206" s="3">
        <f>CJ206</f>
        <v>239.753</v>
      </c>
      <c r="CL206" s="3">
        <f>CK206</f>
        <v>239.753</v>
      </c>
      <c r="CM206" s="3">
        <f>CL206</f>
        <v>239.753</v>
      </c>
      <c r="CN206" s="3">
        <f>CM206</f>
        <v>239.753</v>
      </c>
      <c r="CO206" s="3">
        <f>CN206</f>
        <v>239.753</v>
      </c>
      <c r="CP206" s="3">
        <f>CO206</f>
        <v>239.753</v>
      </c>
      <c r="CQ206" s="3">
        <f>CP206</f>
        <v>239.753</v>
      </c>
      <c r="CR206" s="3">
        <f>CQ206</f>
        <v>239.753</v>
      </c>
      <c r="CS206" s="3">
        <f>CR206</f>
        <v>239.753</v>
      </c>
      <c r="CT206" s="3">
        <f>CS206</f>
        <v>239.753</v>
      </c>
      <c r="CU206" s="3">
        <f>CT206</f>
        <v>239.753</v>
      </c>
      <c r="CV206" s="3">
        <f>CU206</f>
        <v>239.753</v>
      </c>
      <c r="CW206" s="3">
        <f>CV206</f>
        <v>239.753</v>
      </c>
      <c r="CX206" s="3">
        <f>CW206</f>
        <v>239.753</v>
      </c>
      <c r="CY206" s="3">
        <f>CX206</f>
        <v>239.753</v>
      </c>
    </row>
    <row r="207" hidden="1" outlineLevel="1" ht="12" customHeight="1">
      <c r="C207" s="38" t="inlineStr">
        <is>
          <t>%(Var.)</t>
        </is>
      </c>
      <c r="D207" s="3" t="n"/>
      <c r="E207" s="47">
        <f>(E206-D206)/D206</f>
        <v>-0.0258589745204602</v>
      </c>
      <c r="F207" s="47">
        <f>(F206-E206)/E206</f>
        <v>-0.0105209004202506</v>
      </c>
      <c r="G207" s="47">
        <f>(G206-F206)/F206</f>
        <v>-0.0304241333949509</v>
      </c>
      <c r="H207" s="3" t="n"/>
      <c r="I207" s="47">
        <f>(I206-H206)/H206</f>
        <v>-0.0273706809667158</v>
      </c>
      <c r="J207" s="47">
        <f>(J206-I206)/I206</f>
        <v>-0.134384299067226</v>
      </c>
      <c r="K207" s="47">
        <f>(K206-J206)/J206</f>
        <v>0.060730641784777</v>
      </c>
      <c r="L207" s="47">
        <f>(L206-K206)/K206</f>
        <v>-0.0664503680318273</v>
      </c>
      <c r="M207" s="3" t="n"/>
      <c r="N207" s="47">
        <f>(N206-M206)/M206</f>
        <v>-0.0470512259399136</v>
      </c>
      <c r="O207" s="47">
        <f>(O206-N206)/N206</f>
        <v>-0.0398156632476965</v>
      </c>
      <c r="P207" s="47">
        <f>(P206-O206)/O206</f>
        <v>-0.152546363940997</v>
      </c>
      <c r="Q207" s="47">
        <f>(Q206-P206)/P206</f>
        <v>-0.00277479354977896</v>
      </c>
      <c r="R207" s="3" t="n"/>
      <c r="S207" s="47">
        <f>(S206-R206)/R206</f>
        <v>-0.0978873941703545</v>
      </c>
      <c r="T207" s="47">
        <f>(T206-S206)/S206</f>
        <v>2.50674761599965</v>
      </c>
      <c r="U207" s="47">
        <f>(U206-T206)/T206</f>
        <v>0.00747793812495583</v>
      </c>
      <c r="V207" s="47">
        <f>(V206-U206)/U206</f>
        <v>0.354582478393335</v>
      </c>
      <c r="W207" s="3" t="n"/>
      <c r="X207" s="47">
        <f>(X206-W206)/W206</f>
        <v>0.0293573853895322</v>
      </c>
      <c r="Y207" s="47">
        <f>(Y206-X206)/X206</f>
        <v>-0.0451921104624362</v>
      </c>
      <c r="Z207" s="47">
        <f>(Z206-Y206)/Y206</f>
        <v>0.0504743279138331</v>
      </c>
      <c r="AA207" s="47">
        <f>(AA206-Z206)/Z206</f>
        <v>-0.0151827543472584</v>
      </c>
      <c r="AB207" s="3" t="n"/>
      <c r="AC207" s="47">
        <f>(AC206-AB206)/AB206</f>
        <v>-0.0308293134660202</v>
      </c>
      <c r="AD207" s="47">
        <f>(AD206-AC206)/AC206</f>
        <v>0.0133699469524028</v>
      </c>
      <c r="AE207" s="47">
        <f>(AE206-AD206)/AD206</f>
        <v>0.0668286965215293</v>
      </c>
      <c r="AF207" s="230">
        <f>(AF206-AE206)/AE206</f>
        <v>0.359131376129001</v>
      </c>
      <c r="AG207" s="3" t="n"/>
      <c r="AH207" s="230">
        <f>(AH206-AG206)/AG206</f>
        <v>-0.0245052584860949</v>
      </c>
      <c r="AI207" s="230">
        <f>(AI206-AH206)/AH206</f>
        <v>-0.026067351830036</v>
      </c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3521.03416126</v>
      </c>
      <c r="E213" s="16">
        <f>SUM(E164+E168+E170+E171+E178+E179+E180+E183+E201+E204+E205+E206)</f>
        <v>3919.83802452</v>
      </c>
      <c r="F213" s="16">
        <f>SUM(F164+F168+F170+F171+F178+F179+F180+F183+F201+F204+F205+F206)</f>
        <v>3965.96626457</v>
      </c>
      <c r="G213" s="16">
        <f>SUM(G164+G168+G170+G171+G178+G179+G180+G183+G201+G204+G205+G206)</f>
        <v>3836.68406044</v>
      </c>
      <c r="H213" s="16">
        <f>SUM(H164,H168,H170,H171,H178,H179,H183,H180,H201,H204,H205,H206)</f>
        <v>3836.68406044</v>
      </c>
      <c r="I213" s="16">
        <f>SUM(I164+I168+I170+I171+I178+I179+I180+I183+I201+I204+I205+I206)</f>
        <v>3880.66100246</v>
      </c>
      <c r="J213" s="16">
        <f>SUM(J164+J168+J170+J171+J178+J179+J180+J183+J201+J204+J205+J206)</f>
        <v>3647.4685811</v>
      </c>
      <c r="K213" s="16">
        <f>SUM(K164+K168+K170+K171+K178+K179+K180+K183+K201+K204+K205+K206)</f>
        <v>4467.89449676</v>
      </c>
      <c r="L213" s="16">
        <f>SUM(L164+L168+L170+L171+L178+L179+L180+L183+L201+L204+L205+L206)</f>
        <v>4219.28756739</v>
      </c>
      <c r="M213" s="16">
        <f>SUM(M164,M168,M170,M171,M178,M179,M183,M180,M201,M204,M205,M206)</f>
        <v>4219.28756739</v>
      </c>
      <c r="N213" s="16">
        <f>SUM(N164+N168+N170+N171+N178+N179+N180+N183+N201+N204+N205+N206)</f>
        <v>4242.2763037</v>
      </c>
      <c r="O213" s="16">
        <f>SUM(O164+O168+O170+O171+O178+O179+O180+O183+O201+O204+O205+O206)</f>
        <v>5010.95903105</v>
      </c>
      <c r="P213" s="16">
        <f>SUM(P164+P168+P170+P171+P178+P179+P180+P183+P201+P204+P205+P206)</f>
        <v>5104.58099461</v>
      </c>
      <c r="Q213" s="16">
        <f>SUM(Q164+Q168+Q170+Q171+Q178+Q179+Q180+Q183+Q201+Q204+Q205+Q206)</f>
        <v>5090.68548516</v>
      </c>
      <c r="R213" s="16">
        <f>SUM(R164,R168,R170,R171,R178,R179,R183,R180,R201,R204,R205,R206)</f>
        <v>5090.68548516</v>
      </c>
      <c r="S213" s="16">
        <f>SUM(S164+S168+S170+S171+S178+S179+S180+S183+S201+S204+S205+S206)</f>
        <v>5055.89502469</v>
      </c>
      <c r="T213" s="16">
        <f>SUM(T164+T168+T170+T171+T178+T179+T180+T183+T201+T204+T205+T206)</f>
        <v>6401.4</v>
      </c>
      <c r="U213" s="16">
        <f>SUM(U164+U168+U170+U171+U178+U179+U180+U183+U201+U204+U205+U206)</f>
        <v>6341.098</v>
      </c>
      <c r="V213" s="16">
        <f>SUM(V164+V168+V170+V171+V178+V179+V180+V183+V201+V204+V205+V206)</f>
        <v>6468.898</v>
      </c>
      <c r="W213" s="16">
        <f>SUM(W164,W168,W170,W171,W178,W179,W183,W180,W201,W204,W205,W206)</f>
        <v>6468.898</v>
      </c>
      <c r="X213" s="16">
        <f>SUM(X164+X168+X170+X171+X178+X179+X180+X183+X201+X204+X205+X206)</f>
        <v>6473.36658127</v>
      </c>
      <c r="Y213" s="16">
        <f>SUM(Y164+Y168+Y170+Y171+Y178+Y179+Y180+Y183+Y201+Y204+Y205+Y206)</f>
        <v>7371.349</v>
      </c>
      <c r="Z213" s="16">
        <f>SUM(Z164+Z168+Z170+Z171+Z178+Z179+Z180+Z183+Z201+Z204+Z205+Z206)</f>
        <v>7603.373</v>
      </c>
      <c r="AA213" s="16">
        <f>SUM(AA164+AA168+AA170+AA171+AA178+AA179+AA180+AA183+AA201+AA204+AA205+AA206)</f>
        <v>7687.579</v>
      </c>
      <c r="AB213" s="16">
        <f>SUM(AB164,AB168,AB170,AB171,AB178,AB179,AB183,AB180,AB201,AB204,AB205,AB206)</f>
        <v>7687.579</v>
      </c>
      <c r="AC213" s="16">
        <f>SUM(AC164+AC168+AC170+AC171+AC178+AC179+AC180+AC183+AC201+AC204+AC205+AC206)</f>
        <v>7950.50393919</v>
      </c>
      <c r="AD213" s="16">
        <f>SUM(AD164+AD168+AD170+AD171+AD178+AD179+AD180+AD183+AD201+AD204+AD205+AD206)</f>
        <v>7601.926</v>
      </c>
      <c r="AE213" s="16">
        <f>SUM(AE164+AE168+AE170+AE171+AE178+AE179+AE180+AE183+AE201+AE204+AE205+AE206)</f>
        <v>8101.554</v>
      </c>
      <c r="AF213" s="16">
        <f>SUM(AF164+AF168+AF170+AF171+AF178+AF179+AF180+AF183+AF201+AF204+AF205+AF206)</f>
        <v>8124.213</v>
      </c>
      <c r="AG213" s="16">
        <f>SUM(AG164,AG168,AG170,AG171,AG178,AG179,AG183,AG180,AG201,AG204,AG205,AG206)</f>
        <v>8124.213</v>
      </c>
      <c r="AH213" s="16">
        <f>SUM(AH164+AH168+AH170+AH171+AH178+AH179+AH180+AH183+AH201+AH204+AH205+AH206)</f>
        <v>8048.02</v>
      </c>
      <c r="AI213" s="16">
        <f>SUM(AI164+AI168+AI170+AI171+AI178+AI179+AI180+AI183+AI201+AI204+AI205+AI206)</f>
        <v>8040.103</v>
      </c>
      <c r="AJ213" s="16">
        <f>SUM(AJ164+AJ168+AJ170+AJ171+AJ178+AJ179+AJ180+AJ183+AJ201+AJ204+AJ205+AJ206)</f>
        <v>6680.314</v>
      </c>
      <c r="AK213" s="16">
        <f>SUM(AK164+AK168+AK170+AK171+AK178+AK179+AK180+AK183+AK201+AK204+AK205+AK206)</f>
        <v>6680.314</v>
      </c>
      <c r="AL213" s="16">
        <f>SUM(AL164,AL168,AL170,AL171,AL178,AL179,AL183,AL180,AL201,AL204,AL205,AL206)</f>
        <v>6680.314</v>
      </c>
      <c r="AM213" s="16" t="e">
        <f>SUM(AM164+AM168+AM170+AM171+AM178+AM179+AM180+AM183+AM201+AM204+AM205+AM206)</f>
        <v>#DIV/0!</v>
      </c>
      <c r="AN213" s="16">
        <f>SUM(AN164+AN168+AN170+AN171+AN178+AN179+AN180+AN183+AN201+AN204+AN205+AN206)</f>
        <v>6680.314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>
        <f>INDEX('Inputs (2)'!$D$41:$AL$41,MATCH(D$7,'Inputs (2)'!$D$2:$AL$2,0))</f>
        <v>0</v>
      </c>
      <c r="E214" s="25">
        <f>INDEX('Inputs (2)'!$D$41:$AL$41,MATCH(E$7,'Inputs (2)'!$D$2:$AL$2,0))</f>
        <v>0</v>
      </c>
      <c r="F214" s="25">
        <f>INDEX('Inputs (2)'!$D$41:$AL$41,MATCH(F$7,'Inputs (2)'!$D$2:$AL$2,0))</f>
        <v>0</v>
      </c>
      <c r="G214" s="25">
        <f>INDEX('Inputs (2)'!$D$41:$AL$41,MATCH(G$7,'Inputs (2)'!$D$2:$AL$2,0))</f>
        <v>0</v>
      </c>
      <c r="H214" s="3">
        <f>G214</f>
        <v>0</v>
      </c>
      <c r="I214" s="25">
        <f>INDEX('Inputs (2)'!$D$41:$AL$41,MATCH(I$7,'Inputs (2)'!$D$2:$AL$2,0))</f>
        <v>0</v>
      </c>
      <c r="J214" s="25">
        <f>INDEX('Inputs (2)'!$D$41:$AL$41,MATCH(J$7,'Inputs (2)'!$D$2:$AL$2,0))</f>
        <v>1.33071621</v>
      </c>
      <c r="K214" s="25">
        <f>INDEX('Inputs (2)'!$D$41:$AL$41,MATCH(K$7,'Inputs (2)'!$D$2:$AL$2,0))</f>
        <v>2.803541769555</v>
      </c>
      <c r="L214" s="25">
        <f>INDEX('Inputs (2)'!$D$41:$AL$41,MATCH(L$7,'Inputs (2)'!$D$2:$AL$2,0))</f>
        <v>9.19917964485728</v>
      </c>
      <c r="M214" s="3">
        <f>L214</f>
        <v>9.19917964485728</v>
      </c>
      <c r="N214" s="25">
        <f>INDEX('Inputs (2)'!$D$41:$AL$41,MATCH(N$7,'Inputs (2)'!$D$2:$AL$2,0))</f>
        <v>9.99071729730728</v>
      </c>
      <c r="O214" s="25">
        <f>INDEX('Inputs (2)'!$D$41:$AL$41,MATCH(O$7,'Inputs (2)'!$D$2:$AL$2,0))</f>
        <v>11.70036526</v>
      </c>
      <c r="P214" s="25">
        <f>INDEX('Inputs (2)'!$D$41:$AL$41,MATCH(P$7,'Inputs (2)'!$D$2:$AL$2,0))</f>
        <v>16.59030887</v>
      </c>
      <c r="Q214" s="25">
        <f>INDEX('Inputs (2)'!$D$41:$AL$41,MATCH(Q$7,'Inputs (2)'!$D$2:$AL$2,0))</f>
        <v>19.548874</v>
      </c>
      <c r="R214" s="3">
        <f>Q214</f>
        <v>19.548874</v>
      </c>
      <c r="S214" s="25">
        <f>INDEX('Inputs (2)'!$D$41:$AL$41,MATCH(S$7,'Inputs (2)'!$D$2:$AL$2,0))</f>
        <v>22.120863</v>
      </c>
      <c r="T214" s="25">
        <f>INDEX('Inputs (2)'!$D$41:$AL$41,MATCH(T$7,'Inputs (2)'!$D$2:$AL$2,0))</f>
        <v>13.204</v>
      </c>
      <c r="U214" s="25">
        <f>INDEX('Inputs (2)'!$D$41:$AL$41,MATCH(U$7,'Inputs (2)'!$D$2:$AL$2,0))</f>
        <v>14.811</v>
      </c>
      <c r="V214" s="25">
        <f>INDEX('Inputs (2)'!$D$41:$AL$41,MATCH(V$7,'Inputs (2)'!$D$2:$AL$2,0))</f>
        <v>27.619</v>
      </c>
      <c r="W214" s="3">
        <f>V214</f>
        <v>27.619</v>
      </c>
      <c r="X214" s="25">
        <f>INDEX('Inputs (2)'!$D$41:$AL$41,MATCH(X$7,'Inputs (2)'!$D$2:$AL$2,0))</f>
        <v>29.501955374137</v>
      </c>
      <c r="Y214" s="25">
        <f>INDEX('Inputs (2)'!$D$41:$AL$41,MATCH(Y$7,'Inputs (2)'!$D$2:$AL$2,0))</f>
        <v>74.196880127518</v>
      </c>
      <c r="Z214" s="25">
        <f>INDEX('Inputs (2)'!$D$41:$AL$41,MATCH(Z$7,'Inputs (2)'!$D$2:$AL$2,0))</f>
        <v>85.252</v>
      </c>
      <c r="AA214" s="25">
        <f>INDEX('Inputs (2)'!$D$41:$AL$41,MATCH(AA$7,'Inputs (2)'!$D$2:$AL$2,0))</f>
        <v>85.763</v>
      </c>
      <c r="AB214" s="3">
        <f>AA214</f>
        <v>85.763</v>
      </c>
      <c r="AC214" s="25">
        <f>INDEX('Inputs (2)'!$D$41:$AL$41,MATCH(AC$7,'Inputs (2)'!$D$2:$AL$2,0))</f>
        <v>93.419046</v>
      </c>
      <c r="AD214" s="25">
        <f>INDEX('Inputs (2)'!$D$41:$AL$41,MATCH(AD$7,'Inputs (2)'!$D$2:$AL$2,0))</f>
        <v>91.417</v>
      </c>
      <c r="AE214" s="25">
        <f>INDEX('Inputs (2)'!$D$41:$AL$41,MATCH(AE$7,'Inputs (2)'!$D$2:$AL$2,0))</f>
        <v>87.661</v>
      </c>
      <c r="AF214" s="25">
        <f>INDEX('Inputs (2)'!$D$41:$AL$41,MATCH(AF$7,'Inputs (2)'!$D$2:$AL$2,0))</f>
        <v>94.928</v>
      </c>
      <c r="AG214" s="3">
        <f>AF214</f>
        <v>94.928</v>
      </c>
      <c r="AH214" s="3">
        <f>INDEX('Inputs (2)'!$D$41:$AL$41,MATCH(AH$7,'Inputs (2)'!$D$2:$AL$2,0))</f>
        <v>95.02</v>
      </c>
      <c r="AI214" s="3">
        <f>INDEX('Inputs (2)'!$D$41:$AL$41,MATCH(AI$7,'Inputs (2)'!$D$2:$AL$2,0))</f>
        <v>100.794</v>
      </c>
      <c r="AJ214" s="3">
        <f>AI214-AJ102+AJ217</f>
        <v>98.125551200317</v>
      </c>
      <c r="AK214" s="3">
        <f>AJ214-AK102+AK217</f>
        <v>95.8392954218432</v>
      </c>
      <c r="AL214" s="3">
        <f>AK214</f>
        <v>95.8392954218432</v>
      </c>
      <c r="AM214" s="3">
        <f>AL214-AM102+AM217</f>
        <v>92.2798509418432</v>
      </c>
      <c r="AN214" s="3">
        <f>AM214-AN102+AN217</f>
        <v>89.7618509418432</v>
      </c>
      <c r="AO214" s="3">
        <f>AN214-AO102+AO217</f>
        <v>87.0934021421602</v>
      </c>
      <c r="AP214" s="3">
        <f>AO214-AP102+AP217</f>
        <v>84.8071463636865</v>
      </c>
      <c r="AQ214" s="3">
        <f>AP214</f>
        <v>84.8071463636865</v>
      </c>
      <c r="AR214" s="3">
        <f>AQ214-AR102+AR217</f>
        <v>81.2477018836865</v>
      </c>
      <c r="AS214" s="3">
        <f>AR214-AS102+AS217</f>
        <v>78.7297018836865</v>
      </c>
      <c r="AT214" s="3">
        <f>AS214-AT102+AT217</f>
        <v>76.0612530840035</v>
      </c>
      <c r="AU214" s="3">
        <f>AT214-AU102+AU217</f>
        <v>73.7749973055297</v>
      </c>
      <c r="AV214" s="3">
        <f>AU214</f>
        <v>73.7749973055297</v>
      </c>
      <c r="AW214" s="3">
        <f>AV214-AW102+AW217</f>
        <v>70.2155528255297</v>
      </c>
      <c r="AX214" s="3">
        <f>AW214-AX102+AX217</f>
        <v>67.6975528255297</v>
      </c>
      <c r="AY214" s="3">
        <f>AX214-AY102+AY217</f>
        <v>65.0291040258467</v>
      </c>
      <c r="AZ214" s="3">
        <f>AY214-AZ102+AZ217</f>
        <v>62.742848247373</v>
      </c>
      <c r="BA214" s="3">
        <f>AZ214</f>
        <v>62.742848247373</v>
      </c>
      <c r="BB214" s="3">
        <f>BA214-BB102+BB217</f>
        <v>59.1834037673729</v>
      </c>
      <c r="BC214" s="3">
        <f>BB214-BC102+BC217</f>
        <v>56.6654037673729</v>
      </c>
      <c r="BD214" s="3">
        <f>BC214-BD102+BD217</f>
        <v>53.9969549676899</v>
      </c>
      <c r="BE214" s="3">
        <f>BD214-BE102+BE217</f>
        <v>51.7106991892162</v>
      </c>
      <c r="BF214" s="3">
        <f>BE214</f>
        <v>51.7106991892162</v>
      </c>
      <c r="BG214" s="3">
        <f>BF214-BG102+BG217</f>
        <v>48.1512547092162</v>
      </c>
      <c r="BH214" s="3">
        <f>BG214-BH102+BH217</f>
        <v>45.6332547092162</v>
      </c>
      <c r="BI214" s="3">
        <f>BH214-BI102+BI217</f>
        <v>42.9648059095332</v>
      </c>
      <c r="BJ214" s="3">
        <f>BI214-BJ102+BJ217</f>
        <v>40.6785501310594</v>
      </c>
      <c r="BK214" s="3">
        <f>BJ214</f>
        <v>40.6785501310594</v>
      </c>
      <c r="BL214" s="3">
        <f>BK214-BL102+BL217</f>
        <v>37.1191056510594</v>
      </c>
      <c r="BM214" s="3">
        <f>BL214-BM102+BM217</f>
        <v>34.6011056510594</v>
      </c>
      <c r="BN214" s="3">
        <f>BM214-BN102+BN217</f>
        <v>31.9326568513764</v>
      </c>
      <c r="BO214" s="3">
        <f>BN214-BO102+BO217</f>
        <v>29.6464010729027</v>
      </c>
      <c r="BP214" s="3">
        <f>BO214</f>
        <v>29.6464010729027</v>
      </c>
      <c r="BQ214" s="3">
        <f>BP214-BQ102+BQ217</f>
        <v>26.0869565929027</v>
      </c>
      <c r="BR214" s="3">
        <f>BQ214-BR102+BR217</f>
        <v>23.5689565929027</v>
      </c>
      <c r="BS214" s="3">
        <f>BR214-BS102+BS217</f>
        <v>20.9005077932197</v>
      </c>
      <c r="BT214" s="3">
        <f>BS214-BT102+BT217</f>
        <v>18.6142520147459</v>
      </c>
      <c r="BU214" s="3">
        <f>BT214</f>
        <v>18.6142520147459</v>
      </c>
      <c r="BV214" s="3">
        <f>BU214-BV102+BV217</f>
        <v>15.0548075347459</v>
      </c>
      <c r="BW214" s="3">
        <f>BV214-BW102+BW217</f>
        <v>12.5368075347459</v>
      </c>
      <c r="BX214" s="3">
        <f>BW214-BX102+BX217</f>
        <v>9.8683587350629</v>
      </c>
      <c r="BY214" s="3">
        <f>BX214-BY102+BY217</f>
        <v>7.58210295658914</v>
      </c>
      <c r="BZ214" s="3">
        <f>BY214</f>
        <v>7.58210295658914</v>
      </c>
      <c r="CA214" s="3">
        <f>BZ214-CA102+CA217</f>
        <v>4.02265847658914</v>
      </c>
      <c r="CB214" s="3">
        <f>CA214-CB102+CB217</f>
        <v>1.50465847658914</v>
      </c>
      <c r="CC214" s="3">
        <f>CB214-CC102+CC217</f>
        <v>-1.16379032309386</v>
      </c>
      <c r="CD214" s="3">
        <f>CC214-CD102+CD217</f>
        <v>-3.45004610156762</v>
      </c>
      <c r="CE214" s="3">
        <f>CD214</f>
        <v>-3.45004610156762</v>
      </c>
      <c r="CF214" s="3">
        <f>CE214-CF102+CF217</f>
        <v>-7.00949058156762</v>
      </c>
      <c r="CG214" s="3">
        <f>CF214-CG102+CG217</f>
        <v>-9.52749058156762</v>
      </c>
      <c r="CH214" s="3">
        <f>CG214-CH102+CH217</f>
        <v>-12.1959393812506</v>
      </c>
      <c r="CI214" s="3">
        <f>CH214-CI102+CI217</f>
        <v>-14.4821951597244</v>
      </c>
      <c r="CJ214" s="3">
        <f>CI214</f>
        <v>-14.4821951597244</v>
      </c>
      <c r="CK214" s="3">
        <f>CJ214-CK102+CK217</f>
        <v>-18.0416396397244</v>
      </c>
      <c r="CL214" s="3">
        <f>CK214-CL102+CL217</f>
        <v>-20.5596396397244</v>
      </c>
      <c r="CM214" s="3">
        <f>CL214-CM102+CM217</f>
        <v>-23.2280884394074</v>
      </c>
      <c r="CN214" s="3">
        <f>CM214-CN102+CN217</f>
        <v>-25.5143442178811</v>
      </c>
      <c r="CO214" s="3">
        <f>CN214</f>
        <v>-25.5143442178811</v>
      </c>
      <c r="CP214" s="3">
        <f>CO214-CP102+CP217</f>
        <v>-29.0737886978811</v>
      </c>
      <c r="CQ214" s="3">
        <f>CP214-CQ102+CQ217</f>
        <v>-31.5917886978811</v>
      </c>
      <c r="CR214" s="3">
        <f>CQ214-CR102+CR217</f>
        <v>-34.2602374975641</v>
      </c>
      <c r="CS214" s="3">
        <f>CR214-CS102+CS217</f>
        <v>-36.5464932760379</v>
      </c>
      <c r="CT214" s="3">
        <f>CS214</f>
        <v>-36.5464932760379</v>
      </c>
      <c r="CU214" s="3">
        <f>CT214-CU102+CU217</f>
        <v>-40.1059377560379</v>
      </c>
      <c r="CV214" s="3">
        <f>CU214-CV102+CV217</f>
        <v>-42.6239377560379</v>
      </c>
      <c r="CW214" s="3">
        <f>CV214-CW102+CW217</f>
        <v>-45.2923865557209</v>
      </c>
      <c r="CX214" s="3">
        <f>CW214-CX102+CX217</f>
        <v>-47.5786423341947</v>
      </c>
      <c r="CY214" s="3">
        <f>CX214</f>
        <v>-47.5786423341947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-27.4178141946968</v>
      </c>
      <c r="F216" s="22" t="n"/>
      <c r="G216" s="22" t="n"/>
      <c r="H216" s="40" t="n"/>
      <c r="I216" s="22" t="n"/>
      <c r="J216" s="40">
        <f>IF(I101=0,0,J101/I101-1)</f>
        <v>-0.988727679376299</v>
      </c>
      <c r="K216" s="22" t="n"/>
      <c r="L216" s="22" t="n"/>
      <c r="M216" s="40" t="n"/>
      <c r="N216" s="40">
        <f>IF(I101=0,0,N101/I101-1)</f>
        <v>-1.00099691771971</v>
      </c>
      <c r="O216" s="40">
        <f>IF(J101=0,0,O101/J101-1)</f>
        <v>-186.407471143441</v>
      </c>
      <c r="P216" s="40">
        <f>IF(K101=0,0,P101/K101-1)</f>
        <v>-0.433745387752946</v>
      </c>
      <c r="Q216" s="40">
        <f>IF(L101=0,0,Q101/L101-1)</f>
        <v>-1.19867672159763</v>
      </c>
      <c r="R216" s="40" t="n"/>
      <c r="S216" s="40">
        <f>IF(N101=0,0,S101/N101-1)</f>
        <v>-1</v>
      </c>
      <c r="T216" s="40">
        <f>IF(O101=0,0,T101/O101-1)</f>
        <v>-0.38469789503214</v>
      </c>
      <c r="U216" s="40">
        <f>IF(P101=0,0,U101/P101-1)</f>
        <v>-0.295357027380344</v>
      </c>
      <c r="V216" s="40">
        <f>IF(Q101=0,0,V101/Q101-1)</f>
        <v>3.46195421845556</v>
      </c>
      <c r="W216" s="40">
        <f>IF(R102=0,0,W102/R102-1)</f>
        <v>-4.56525142702676</v>
      </c>
      <c r="X216" s="40">
        <f>IF(S101=0,0,X101/S101-1)</f>
        <v>0</v>
      </c>
      <c r="Y216" s="40">
        <f>IF(T101=0,0,Y101/T101-1)</f>
        <v>-4.14509803921569</v>
      </c>
      <c r="Z216" s="40">
        <f>IF(U101=0,0,Z101/U101-1)</f>
        <v>-4.72159090909091</v>
      </c>
      <c r="AA216" s="40">
        <f>IF(V101=0,0,AA101/V101-1)</f>
        <v>7.91240875912409</v>
      </c>
      <c r="AB216" s="40">
        <f>IF(W102=0,0,AB102/W102-1)</f>
        <v>3.26510566844692</v>
      </c>
      <c r="AC216" s="40">
        <f>IF(X101=0,0,AC101/X101-1)</f>
        <v>5.52586206896552</v>
      </c>
      <c r="AD216" s="40">
        <f>IF(Y101=0,0,AD101/Y101-1)</f>
        <v>2.46134663341646</v>
      </c>
      <c r="AE216" s="40">
        <f>IF(Z101=0,0,AE101/Z101-1)</f>
        <v>4.50585966934041</v>
      </c>
      <c r="AF216" s="40">
        <f>IF(AA101=0,0,AF101/AA101-1)</f>
        <v>1.00886428946867</v>
      </c>
      <c r="AG216" s="40">
        <f>IF(AB102=0,0,AG102/AB102-1)</f>
        <v>0.290941650276143</v>
      </c>
      <c r="AH216" s="35">
        <f>IF(AC101=0,0,AH101/AC101-1)</f>
        <v>1.22878379568472</v>
      </c>
      <c r="AI216" s="35">
        <f>IF(AD101=0,0,AI101/AD101-1)</f>
        <v>0.93253818443804</v>
      </c>
      <c r="AJ216" s="35" t="n"/>
      <c r="AK216" s="35" t="n"/>
      <c r="AL216" s="40">
        <f>IF(AG102=0,0,AL102/AG102-1)</f>
        <v>-0.317317828918054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>
        <f>INDEX('Inputs (2)'!$D$43:$AL$43,MATCH(D$7,'Inputs (2)'!$D$2:$AL$2,0))</f>
        <v>1461.10739523</v>
      </c>
      <c r="E220" s="25">
        <f>INDEX('Inputs (2)'!$D$43:$AL$43,MATCH(E$7,'Inputs (2)'!$D$2:$AL$2,0))</f>
        <v>1461.16167668</v>
      </c>
      <c r="F220" s="25">
        <f>INDEX('Inputs (2)'!$D$43:$AL$43,MATCH(F$7,'Inputs (2)'!$D$2:$AL$2,0))</f>
        <v>1467.18436703</v>
      </c>
      <c r="G220" s="25">
        <f>INDEX('Inputs (2)'!$D$43:$AL$43,MATCH(G$7,'Inputs (2)'!$D$2:$AL$2,0))</f>
        <v>1468.15627256</v>
      </c>
      <c r="H220" s="3">
        <f>G220</f>
        <v>1468.15627256</v>
      </c>
      <c r="I220" s="25">
        <f>INDEX('Inputs (2)'!$D$43:$AL$43,MATCH(I$7,'Inputs (2)'!$D$2:$AL$2,0))</f>
        <v>1468.70785658</v>
      </c>
      <c r="J220" s="25">
        <f>INDEX('Inputs (2)'!$D$43:$AL$43,MATCH(J$7,'Inputs (2)'!$D$2:$AL$2,0))</f>
        <v>1469.12340486</v>
      </c>
      <c r="K220" s="25">
        <f>INDEX('Inputs (2)'!$D$43:$AL$43,MATCH(K$7,'Inputs (2)'!$D$2:$AL$2,0))</f>
        <v>1474.49783234</v>
      </c>
      <c r="L220" s="25">
        <f>INDEX('Inputs (2)'!$D$43:$AL$43,MATCH(L$7,'Inputs (2)'!$D$2:$AL$2,0))</f>
        <v>1474.72765197</v>
      </c>
      <c r="M220" s="3">
        <f>L220</f>
        <v>1474.72765197</v>
      </c>
      <c r="N220" s="25">
        <f>INDEX('Inputs (2)'!$D$43:$AL$43,MATCH(N$7,'Inputs (2)'!$D$2:$AL$2,0))</f>
        <v>1475.10780063</v>
      </c>
      <c r="O220" s="25">
        <f>INDEX('Inputs (2)'!$D$43:$AL$43,MATCH(O$7,'Inputs (2)'!$D$2:$AL$2,0))</f>
        <v>1475.01522486</v>
      </c>
      <c r="P220" s="25">
        <f>INDEX('Inputs (2)'!$D$43:$AL$43,MATCH(P$7,'Inputs (2)'!$D$2:$AL$2,0))</f>
        <v>1476.85481989</v>
      </c>
      <c r="Q220" s="25">
        <f>INDEX('Inputs (2)'!$D$43:$AL$43,MATCH(Q$7,'Inputs (2)'!$D$2:$AL$2,0))</f>
        <v>2320.43421514</v>
      </c>
      <c r="R220" s="3">
        <f>Q220</f>
        <v>2320.43421514</v>
      </c>
      <c r="S220" s="25">
        <f>INDEX('Inputs (2)'!$D$43:$AL$43,MATCH(S$7,'Inputs (2)'!$D$2:$AL$2,0))</f>
        <v>2320.15239841</v>
      </c>
      <c r="T220" s="25">
        <f>INDEX('Inputs (2)'!$D$43:$AL$43,MATCH(T$7,'Inputs (2)'!$D$2:$AL$2,0))</f>
        <v>4651.356</v>
      </c>
      <c r="U220" s="25">
        <f>INDEX('Inputs (2)'!$D$43:$AL$43,MATCH(U$7,'Inputs (2)'!$D$2:$AL$2,0))</f>
        <v>4651.442</v>
      </c>
      <c r="V220" s="25">
        <f>INDEX('Inputs (2)'!$D$43:$AL$43,MATCH(V$7,'Inputs (2)'!$D$2:$AL$2,0))</f>
        <v>4651.48</v>
      </c>
      <c r="W220" s="3">
        <f>V220</f>
        <v>4651.48</v>
      </c>
      <c r="X220" s="25">
        <f>INDEX('Inputs (2)'!$D$43:$AL$43,MATCH(X$7,'Inputs (2)'!$D$2:$AL$2,0))</f>
        <v>4651.518</v>
      </c>
      <c r="Y220" s="25">
        <f>INDEX('Inputs (2)'!$D$43:$AL$43,MATCH(Y$7,'Inputs (2)'!$D$2:$AL$2,0))</f>
        <v>4651.55639558</v>
      </c>
      <c r="Z220" s="25">
        <f>INDEX('Inputs (2)'!$D$43:$AL$43,MATCH(Z$7,'Inputs (2)'!$D$2:$AL$2,0))</f>
        <v>4651.594</v>
      </c>
      <c r="AA220" s="25">
        <f>INDEX('Inputs (2)'!$D$43:$AL$43,MATCH(AA$7,'Inputs (2)'!$D$2:$AL$2,0))</f>
        <v>4651.632</v>
      </c>
      <c r="AB220" s="3">
        <f>AA220</f>
        <v>4651.632</v>
      </c>
      <c r="AC220" s="25">
        <f>INDEX('Inputs (2)'!$D$43:$AL$43,MATCH(AC$7,'Inputs (2)'!$D$2:$AL$2,0))</f>
        <v>4651.632083</v>
      </c>
      <c r="AD220" s="25">
        <f>INDEX('Inputs (2)'!$D$43:$AL$43,MATCH(AD$7,'Inputs (2)'!$D$2:$AL$2,0))</f>
        <v>4651.632</v>
      </c>
      <c r="AE220" s="25">
        <f>INDEX('Inputs (2)'!$D$43:$AL$43,MATCH(AE$7,'Inputs (2)'!$D$2:$AL$2,0))</f>
        <v>4651.632</v>
      </c>
      <c r="AF220" s="25">
        <f>INDEX('Inputs (2)'!$D$43:$AL$43,MATCH(AF$7,'Inputs (2)'!$D$2:$AL$2,0))</f>
        <v>4651.632</v>
      </c>
      <c r="AG220" s="3">
        <f>AF220</f>
        <v>4651.632</v>
      </c>
      <c r="AH220" s="3">
        <f>INDEX('Inputs (2)'!$D$43:$AL$43,MATCH(AH$7,'Inputs (2)'!$D$2:$AL$2,0))</f>
        <v>4651.632</v>
      </c>
      <c r="AI220" s="3">
        <f>INDEX('Inputs (2)'!$D$43:$AL$43,MATCH(AI$7,'Inputs (2)'!$D$2:$AL$2,0))</f>
        <v>4664.728</v>
      </c>
      <c r="AJ220" s="3">
        <f>AI220+AJ224</f>
        <v>4664.728</v>
      </c>
      <c r="AK220" s="3">
        <f>AJ220+AK224</f>
        <v>4664.728</v>
      </c>
      <c r="AL220" s="3">
        <f>AK220</f>
        <v>4664.728</v>
      </c>
      <c r="AM220" s="3">
        <f>AL220+AM224</f>
        <v>4664.728</v>
      </c>
      <c r="AN220" s="3">
        <f>AM220+AN224</f>
        <v>4664.728</v>
      </c>
      <c r="AO220" s="3">
        <f>AN220+AO224</f>
        <v>4664.728</v>
      </c>
      <c r="AP220" s="3">
        <f>AO220+AP224</f>
        <v>4664.728</v>
      </c>
      <c r="AQ220" s="3">
        <f>AP220</f>
        <v>4664.728</v>
      </c>
      <c r="AR220" s="3">
        <f>AQ220+AR224</f>
        <v>4664.728</v>
      </c>
      <c r="AS220" s="3">
        <f>AR220+AS224</f>
        <v>4664.728</v>
      </c>
      <c r="AT220" s="3">
        <f>AS220+AT224</f>
        <v>4664.728</v>
      </c>
      <c r="AU220" s="3">
        <f>AT220+AU224</f>
        <v>4664.728</v>
      </c>
      <c r="AV220" s="3">
        <f>AU220</f>
        <v>4664.728</v>
      </c>
      <c r="AW220" s="3">
        <f>AV220+AW224</f>
        <v>4664.728</v>
      </c>
      <c r="AX220" s="3">
        <f>AW220+AX224</f>
        <v>4664.728</v>
      </c>
      <c r="AY220" s="3">
        <f>AX220+AY224</f>
        <v>4664.728</v>
      </c>
      <c r="AZ220" s="3">
        <f>AY220+AZ224</f>
        <v>4664.728</v>
      </c>
      <c r="BA220" s="3">
        <f>AZ220</f>
        <v>4664.728</v>
      </c>
      <c r="BB220" s="3">
        <f>BA220+BB224</f>
        <v>4664.728</v>
      </c>
      <c r="BC220" s="3">
        <f>BB220+BC224</f>
        <v>4664.728</v>
      </c>
      <c r="BD220" s="3">
        <f>BC220+BD224</f>
        <v>4664.728</v>
      </c>
      <c r="BE220" s="3">
        <f>BD220+BE224</f>
        <v>4664.728</v>
      </c>
      <c r="BF220" s="3">
        <f>BE220</f>
        <v>4664.728</v>
      </c>
      <c r="BG220" s="3">
        <f>BF220+BG224</f>
        <v>4664.728</v>
      </c>
      <c r="BH220" s="3">
        <f>BG220+BH224</f>
        <v>4664.728</v>
      </c>
      <c r="BI220" s="3">
        <f>BH220+BI224</f>
        <v>4664.728</v>
      </c>
      <c r="BJ220" s="3">
        <f>BI220+BJ224</f>
        <v>4664.728</v>
      </c>
      <c r="BK220" s="3">
        <f>BJ220</f>
        <v>4664.728</v>
      </c>
      <c r="BL220" s="3">
        <f>BK220+BL224</f>
        <v>4664.728</v>
      </c>
      <c r="BM220" s="3">
        <f>BL220+BM224</f>
        <v>4664.728</v>
      </c>
      <c r="BN220" s="3">
        <f>BM220+BN224</f>
        <v>4664.728</v>
      </c>
      <c r="BO220" s="3">
        <f>BN220+BO224</f>
        <v>4664.728</v>
      </c>
      <c r="BP220" s="3">
        <f>BO220</f>
        <v>4664.728</v>
      </c>
      <c r="BQ220" s="3">
        <f>BP220+BQ224</f>
        <v>4664.728</v>
      </c>
      <c r="BR220" s="3">
        <f>BQ220+BR224</f>
        <v>4664.728</v>
      </c>
      <c r="BS220" s="3">
        <f>BR220+BS224</f>
        <v>4664.728</v>
      </c>
      <c r="BT220" s="3">
        <f>BS220+BT224</f>
        <v>4664.728</v>
      </c>
      <c r="BU220" s="3">
        <f>BT220</f>
        <v>4664.728</v>
      </c>
      <c r="BV220" s="3">
        <f>BU220+BV224</f>
        <v>4664.728</v>
      </c>
      <c r="BW220" s="3">
        <f>BV220+BW224</f>
        <v>4664.728</v>
      </c>
      <c r="BX220" s="3">
        <f>BW220+BX224</f>
        <v>4664.728</v>
      </c>
      <c r="BY220" s="3">
        <f>BX220+BY224</f>
        <v>4664.728</v>
      </c>
      <c r="BZ220" s="3">
        <f>BY220</f>
        <v>4664.728</v>
      </c>
      <c r="CA220" s="3">
        <f>BZ220+CA224</f>
        <v>4664.728</v>
      </c>
      <c r="CB220" s="3">
        <f>CA220+CB224</f>
        <v>4664.728</v>
      </c>
      <c r="CC220" s="3">
        <f>CB220+CC224</f>
        <v>4664.728</v>
      </c>
      <c r="CD220" s="3">
        <f>CC220+CD224</f>
        <v>4664.728</v>
      </c>
      <c r="CE220" s="3">
        <f>CD220</f>
        <v>4664.728</v>
      </c>
      <c r="CF220" s="3">
        <f>CE220+CF224</f>
        <v>4664.728</v>
      </c>
      <c r="CG220" s="3">
        <f>CF220+CG224</f>
        <v>4664.728</v>
      </c>
      <c r="CH220" s="3">
        <f>CG220+CH224</f>
        <v>4664.728</v>
      </c>
      <c r="CI220" s="3">
        <f>CH220+CI224</f>
        <v>4664.728</v>
      </c>
      <c r="CJ220" s="3">
        <f>CI220</f>
        <v>4664.728</v>
      </c>
      <c r="CK220" s="3">
        <f>CJ220+CK224</f>
        <v>4664.728</v>
      </c>
      <c r="CL220" s="3">
        <f>CK220+CL224</f>
        <v>4664.728</v>
      </c>
      <c r="CM220" s="3">
        <f>CL220+CM224</f>
        <v>4664.728</v>
      </c>
      <c r="CN220" s="3">
        <f>CM220+CN224</f>
        <v>4664.728</v>
      </c>
      <c r="CO220" s="3">
        <f>CN220</f>
        <v>4664.728</v>
      </c>
      <c r="CP220" s="3">
        <f>CO220+CP224</f>
        <v>4664.728</v>
      </c>
      <c r="CQ220" s="3">
        <f>CP220+CQ224</f>
        <v>4664.728</v>
      </c>
      <c r="CR220" s="3">
        <f>CQ220+CR224</f>
        <v>4664.728</v>
      </c>
      <c r="CS220" s="3">
        <f>CR220+CS224</f>
        <v>4664.728</v>
      </c>
      <c r="CT220" s="3">
        <f>CS220</f>
        <v>4664.728</v>
      </c>
      <c r="CU220" s="3">
        <f>CT220+CU224</f>
        <v>4664.728</v>
      </c>
      <c r="CV220" s="3">
        <f>CU220+CV224</f>
        <v>4664.728</v>
      </c>
      <c r="CW220" s="3">
        <f>CV220+CW224</f>
        <v>4664.728</v>
      </c>
      <c r="CX220" s="3">
        <f>CW220+CX224</f>
        <v>4664.728</v>
      </c>
      <c r="CY220" s="3">
        <f>CX220</f>
        <v>4664.728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58" t="n"/>
      <c r="AH225" s="42">
        <f>AG225*(1+AH226)</f>
        <v>0</v>
      </c>
      <c r="AI225" s="42">
        <f>AH225*(1+AI226)</f>
        <v>0</v>
      </c>
      <c r="AJ225" s="42">
        <f>AI225*(1+AJ226)</f>
        <v>0</v>
      </c>
      <c r="AK225" s="42">
        <f>AJ225*(1+AK226)</f>
        <v>0</v>
      </c>
      <c r="AL225" s="22" t="n"/>
      <c r="AM225" s="42">
        <f>AK225*(1+AM226)</f>
        <v>0</v>
      </c>
      <c r="AN225" s="42">
        <f>AM225*(1+AN226)</f>
        <v>0</v>
      </c>
      <c r="AO225" s="42">
        <f>AN225*(1+AO226)</f>
        <v>0</v>
      </c>
      <c r="AP225" s="42">
        <f>AO225*(1+AP226)</f>
        <v>0</v>
      </c>
      <c r="AQ225" s="22" t="n"/>
      <c r="AR225" s="42">
        <f>AP225*(1+AR226)</f>
        <v>0</v>
      </c>
      <c r="AS225" s="42">
        <f>AR225*(1+AS226)</f>
        <v>0</v>
      </c>
      <c r="AT225" s="42">
        <f>AS225*(1+AT226)</f>
        <v>0</v>
      </c>
      <c r="AU225" s="42">
        <f>AT225*(1+AU226)</f>
        <v>0</v>
      </c>
      <c r="AV225" s="22" t="n"/>
      <c r="AW225" s="42">
        <f>AU225*(1+AW226)</f>
        <v>0</v>
      </c>
      <c r="AX225" s="42">
        <f>AW225*(1+AX226)</f>
        <v>0</v>
      </c>
      <c r="AY225" s="42">
        <f>AX225*(1+AY226)</f>
        <v>0</v>
      </c>
      <c r="AZ225" s="42">
        <f>AY225*(1+AZ226)</f>
        <v>0</v>
      </c>
      <c r="BA225" s="22" t="n"/>
      <c r="BB225" s="42">
        <f>AZ225*(1+BB226)</f>
        <v>0</v>
      </c>
      <c r="BC225" s="42">
        <f>BB225*(1+BC226)</f>
        <v>0</v>
      </c>
      <c r="BD225" s="42">
        <f>BC225*(1+BD226)</f>
        <v>0</v>
      </c>
      <c r="BE225" s="42">
        <f>BD225*(1+BE226)</f>
        <v>0</v>
      </c>
      <c r="BF225" s="22" t="n"/>
      <c r="BG225" s="42">
        <f>BE225*(1+BG226)</f>
        <v>0</v>
      </c>
      <c r="BH225" s="42">
        <f>BG225*(1+BH226)</f>
        <v>0</v>
      </c>
      <c r="BI225" s="42">
        <f>BH225*(1+BI226)</f>
        <v>0</v>
      </c>
      <c r="BJ225" s="42">
        <f>BI225*(1+BJ226)</f>
        <v>0</v>
      </c>
      <c r="BK225" s="22" t="n"/>
      <c r="BL225" s="42">
        <f>BJ225*(1+BL226)</f>
        <v>0</v>
      </c>
      <c r="BM225" s="42">
        <f>BL225*(1+BM226)</f>
        <v>0</v>
      </c>
      <c r="BN225" s="42">
        <f>BM225*(1+BN226)</f>
        <v>0</v>
      </c>
      <c r="BO225" s="42">
        <f>BN225*(1+BO226)</f>
        <v>0</v>
      </c>
      <c r="BP225" s="22" t="n"/>
      <c r="BQ225" s="42">
        <f>BO225*(1+BQ226)</f>
        <v>0</v>
      </c>
      <c r="BR225" s="42">
        <f>BQ225*(1+BR226)</f>
        <v>0</v>
      </c>
      <c r="BS225" s="42">
        <f>BR225*(1+BS226)</f>
        <v>0</v>
      </c>
      <c r="BT225" s="42">
        <f>BS225*(1+BT226)</f>
        <v>0</v>
      </c>
      <c r="BU225" s="22" t="n"/>
      <c r="BV225" s="42">
        <f>BT225*(1+BV226)</f>
        <v>0</v>
      </c>
      <c r="BW225" s="42">
        <f>BV225*(1+BW226)</f>
        <v>0</v>
      </c>
      <c r="BX225" s="42">
        <f>BW225*(1+BX226)</f>
        <v>0</v>
      </c>
      <c r="BY225" s="42">
        <f>BX225*(1+BY226)</f>
        <v>0</v>
      </c>
      <c r="BZ225" s="22" t="n"/>
      <c r="CA225" s="42">
        <f>BY225*(1+CA226)</f>
        <v>0</v>
      </c>
      <c r="CB225" s="42">
        <f>CA225*(1+CB226)</f>
        <v>0</v>
      </c>
      <c r="CC225" s="42">
        <f>CB225*(1+CC226)</f>
        <v>0</v>
      </c>
      <c r="CD225" s="42">
        <f>CC225*(1+CD226)</f>
        <v>0</v>
      </c>
      <c r="CE225" s="22" t="n"/>
      <c r="CF225" s="42">
        <f>CD225*(1+CF226)</f>
        <v>0</v>
      </c>
      <c r="CG225" s="42">
        <f>CF225*(1+CG226)</f>
        <v>0</v>
      </c>
      <c r="CH225" s="42">
        <f>CG225*(1+CH226)</f>
        <v>0</v>
      </c>
      <c r="CI225" s="42">
        <f>CH225*(1+CI226)</f>
        <v>0</v>
      </c>
      <c r="CJ225" s="22" t="n"/>
      <c r="CK225" s="42">
        <f>CI225*(1+CK226)</f>
        <v>0</v>
      </c>
      <c r="CL225" s="42">
        <f>CK225*(1+CL226)</f>
        <v>0</v>
      </c>
      <c r="CM225" s="42">
        <f>CL225*(1+CM226)</f>
        <v>0</v>
      </c>
      <c r="CN225" s="42">
        <f>CM225*(1+CN226)</f>
        <v>0</v>
      </c>
      <c r="CO225" s="22" t="n"/>
      <c r="CP225" s="42">
        <f>CN225*(1+CP226)</f>
        <v>0</v>
      </c>
      <c r="CQ225" s="42">
        <f>CP225*(1+CQ226)</f>
        <v>0</v>
      </c>
      <c r="CR225" s="42">
        <f>CQ225*(1+CR226)</f>
        <v>0</v>
      </c>
      <c r="CS225" s="42">
        <f>CR225*(1+CS226)</f>
        <v>0</v>
      </c>
      <c r="CT225" s="22" t="n"/>
      <c r="CU225" s="42">
        <f>CS225*(1+CU226)</f>
        <v>0</v>
      </c>
      <c r="CV225" s="42">
        <f>CU225*(1+CV226)</f>
        <v>0</v>
      </c>
      <c r="CW225" s="42">
        <f>CV225*(1+CW226)</f>
        <v>0</v>
      </c>
      <c r="CX225" s="42">
        <f>CW225*(1+CX226)</f>
        <v>0</v>
      </c>
      <c r="CY225" s="22" t="n"/>
      <c r="CZ225">
        <f>CX225*(1+CZ226)</f>
        <v>0</v>
      </c>
      <c r="DA225">
        <f>CZ225*(1+DA226)</f>
        <v>0</v>
      </c>
      <c r="DB225">
        <f>DA225*(1+DB226)</f>
        <v>0</v>
      </c>
      <c r="DC225">
        <f>DB225*(1+DC226)</f>
        <v>0</v>
      </c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n"/>
      <c r="AI228" s="43" t="n"/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n"/>
      <c r="AI229" s="43" t="n"/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>
        <f>INDEX('Inputs (2)'!$D$63:$AL$63,MATCH(D$7,'Inputs (2)'!$D$2:$AL$2,0))</f>
        <v>316.78821</v>
      </c>
      <c r="E230" s="22">
        <f>INDEX('Inputs (2)'!$D$63:$AL$63,MATCH(E$7,'Inputs (2)'!$D$2:$AL$2,0))</f>
        <v>316.78821</v>
      </c>
      <c r="F230" s="22">
        <f>INDEX('Inputs (2)'!$D$63:$AL$63,MATCH(F$7,'Inputs (2)'!$D$2:$AL$2,0))</f>
        <v>316.78821</v>
      </c>
      <c r="G230" s="22">
        <f>INDEX('Inputs (2)'!$D$63:$AL$63,MATCH(G$7,'Inputs (2)'!$D$2:$AL$2,0))</f>
        <v>317.36631</v>
      </c>
      <c r="H230" s="22" t="n"/>
      <c r="I230" s="22">
        <f>INDEX('Inputs (2)'!$D$63:$AL$63,MATCH(I$7,'Inputs (2)'!$D$2:$AL$2,0))</f>
        <v>317.36631</v>
      </c>
      <c r="J230" s="22">
        <f>INDEX('Inputs (2)'!$D$63:$AL$63,MATCH(J$7,'Inputs (2)'!$D$2:$AL$2,0))</f>
        <v>317.36631</v>
      </c>
      <c r="K230" s="22">
        <f>INDEX('Inputs (2)'!$D$63:$AL$63,MATCH(K$7,'Inputs (2)'!$D$2:$AL$2,0))</f>
        <v>317.943996</v>
      </c>
      <c r="L230" s="22">
        <f>INDEX('Inputs (2)'!$D$63:$AL$63,MATCH(L$7,'Inputs (2)'!$D$2:$AL$2,0))</f>
        <v>317.943996</v>
      </c>
      <c r="M230" s="22" t="n"/>
      <c r="N230" s="22">
        <f>INDEX('Inputs (2)'!$D$63:$AL$63,MATCH(N$7,'Inputs (2)'!$D$2:$AL$2,0))</f>
        <v>317.943996</v>
      </c>
      <c r="O230" s="22">
        <f>INDEX('Inputs (2)'!$D$63:$AL$63,MATCH(O$7,'Inputs (2)'!$D$2:$AL$2,0))</f>
        <v>317.943996</v>
      </c>
      <c r="P230" s="22">
        <f>INDEX('Inputs (2)'!$D$63:$AL$63,MATCH(P$7,'Inputs (2)'!$D$2:$AL$2,0))</f>
        <v>318.13788</v>
      </c>
      <c r="Q230" s="22">
        <f>INDEX('Inputs (2)'!$D$63:$AL$63,MATCH(Q$7,'Inputs (2)'!$D$2:$AL$2,0))</f>
        <v>367.197096</v>
      </c>
      <c r="R230" s="22" t="n"/>
      <c r="S230" s="22">
        <f>INDEX('Inputs (2)'!$D$63:$AL$63,MATCH(S$7,'Inputs (2)'!$D$2:$AL$2,0))</f>
        <v>367.197096</v>
      </c>
      <c r="T230" s="22">
        <f>INDEX('Inputs (2)'!$D$63:$AL$63,MATCH(T$7,'Inputs (2)'!$D$2:$AL$2,0))</f>
        <v>547.185685</v>
      </c>
      <c r="U230" s="22">
        <f>INDEX('Inputs (2)'!$D$63:$AL$63,MATCH(U$7,'Inputs (2)'!$D$2:$AL$2,0))</f>
        <v>547.191026</v>
      </c>
      <c r="V230" s="22">
        <f>INDEX('Inputs (2)'!$D$63:$AL$63,MATCH(V$7,'Inputs (2)'!$D$2:$AL$2,0))</f>
        <v>547.191026</v>
      </c>
      <c r="W230" s="22" t="n"/>
      <c r="X230" s="22">
        <f>INDEX('Inputs (2)'!$D$63:$AL$63,MATCH(X$7,'Inputs (2)'!$D$2:$AL$2,0))</f>
        <v>547.191026</v>
      </c>
      <c r="Y230" s="22">
        <f>INDEX('Inputs (2)'!$D$63:$AL$63,MATCH(Y$7,'Inputs (2)'!$D$2:$AL$2,0))</f>
        <v>547.191026</v>
      </c>
      <c r="Z230" s="22">
        <f>INDEX('Inputs (2)'!$D$63:$AL$63,MATCH(Z$7,'Inputs (2)'!$D$2:$AL$2,0))</f>
        <v>547.191026</v>
      </c>
      <c r="AA230" s="22">
        <f>INDEX('Inputs (2)'!$D$63:$AL$63,MATCH(AA$7,'Inputs (2)'!$D$2:$AL$2,0))</f>
        <v>547.191026</v>
      </c>
      <c r="AB230" s="22" t="n"/>
      <c r="AC230" s="22">
        <f>INDEX('Inputs (2)'!$D$63:$AL$63,MATCH(AC$7,'Inputs (2)'!$D$2:$AL$2,0))</f>
        <v>547.191026</v>
      </c>
      <c r="AD230" s="22">
        <f>INDEX('Inputs (2)'!$D$63:$AL$63,MATCH(AD$7,'Inputs (2)'!$D$2:$AL$2,0))</f>
        <v>547.191026</v>
      </c>
      <c r="AE230" s="22">
        <f>INDEX('Inputs (2)'!$D$63:$AL$63,MATCH(AE$7,'Inputs (2)'!$D$2:$AL$2,0))</f>
        <v>547.191026</v>
      </c>
      <c r="AF230" s="22">
        <f>INDEX('Inputs (2)'!$D$63:$AL$63,MATCH(AF$7,'Inputs (2)'!$D$2:$AL$2,0))</f>
        <v>547.191026</v>
      </c>
      <c r="AG230" s="3">
        <f>AF230</f>
        <v>547.191026</v>
      </c>
      <c r="AH230" s="1">
        <f>INDEX('Inputs (2)'!$D$63:$AL$63,MATCH(AH$7,'Inputs (2)'!$D$2:$AL$2,0))</f>
        <v>547.191026</v>
      </c>
      <c r="AI230" s="1">
        <f>INDEX('Inputs (2)'!$D$63:$AL$63,MATCH(AI$7,'Inputs (2)'!$D$2:$AL$2,0))</f>
        <v>547.191026</v>
      </c>
      <c r="AJ230" s="43" t="e">
        <f>AI230+AJ229-AJ228</f>
        <v>#DIV/0!</v>
      </c>
      <c r="AK230" s="43" t="e">
        <f>AJ230+AK229-AK228</f>
        <v>#DIV/0!</v>
      </c>
      <c r="AL230" s="22" t="n"/>
      <c r="AM230" s="1" t="e">
        <f>AK230+AM229-AM228</f>
        <v>#DIV/0!</v>
      </c>
      <c r="AN230" s="1" t="e">
        <f>AM230+AN229-AN228</f>
        <v>#DIV/0!</v>
      </c>
      <c r="AO230" s="43" t="e">
        <f>AN230+AO229-AO228</f>
        <v>#DIV/0!</v>
      </c>
      <c r="AP230" s="43" t="e">
        <f>AO230+AP229-AP228</f>
        <v>#DIV/0!</v>
      </c>
      <c r="AQ230" s="22" t="n"/>
      <c r="AR230" s="1" t="e">
        <f>AP230+AR229-AR228</f>
        <v>#DIV/0!</v>
      </c>
      <c r="AS230" s="1" t="e">
        <f>AR230+AS229-AS228</f>
        <v>#DIV/0!</v>
      </c>
      <c r="AT230" s="43" t="e">
        <f>AS230+AT229-AT228</f>
        <v>#DIV/0!</v>
      </c>
      <c r="AU230" s="43" t="e">
        <f>AT230+AU229-AU228</f>
        <v>#DIV/0!</v>
      </c>
      <c r="AV230" s="22" t="n"/>
      <c r="AW230" s="1" t="e">
        <f>AU230+AW229-AW228</f>
        <v>#DIV/0!</v>
      </c>
      <c r="AX230" s="1" t="e">
        <f>AW230+AX229-AX228</f>
        <v>#DIV/0!</v>
      </c>
      <c r="AY230" s="43" t="e">
        <f>AX230+AY229-AY228</f>
        <v>#DIV/0!</v>
      </c>
      <c r="AZ230" s="43" t="e">
        <f>AY230+AZ229-AZ228</f>
        <v>#DIV/0!</v>
      </c>
      <c r="BA230" s="22" t="n"/>
      <c r="BB230" s="1" t="e">
        <f>AZ230+BB229-BB228</f>
        <v>#DIV/0!</v>
      </c>
      <c r="BC230" s="1" t="e">
        <f>BB230+BC229-BC228</f>
        <v>#DIV/0!</v>
      </c>
      <c r="BD230" s="43" t="e">
        <f>BC230+BD229-BD228</f>
        <v>#DIV/0!</v>
      </c>
      <c r="BE230" s="43" t="e">
        <f>BD230+BE229-BE228</f>
        <v>#DIV/0!</v>
      </c>
      <c r="BF230" s="22" t="n"/>
      <c r="BG230" s="1" t="e">
        <f>BE230+BG229-BG228</f>
        <v>#DIV/0!</v>
      </c>
      <c r="BH230" s="1" t="e">
        <f>BG230+BH229-BH228</f>
        <v>#DIV/0!</v>
      </c>
      <c r="BI230" s="43" t="e">
        <f>BH230+BI229-BI228</f>
        <v>#DIV/0!</v>
      </c>
      <c r="BJ230" s="43" t="e">
        <f>BI230+BJ229-BJ228</f>
        <v>#DIV/0!</v>
      </c>
      <c r="BK230" s="22" t="n"/>
      <c r="BL230" s="1" t="e">
        <f>BJ230+BL229-BL228</f>
        <v>#DIV/0!</v>
      </c>
      <c r="BM230" s="1" t="e">
        <f>BL230+BM229-BM228</f>
        <v>#DIV/0!</v>
      </c>
      <c r="BN230" s="43" t="e">
        <f>BM230+BN229-BN228</f>
        <v>#DIV/0!</v>
      </c>
      <c r="BO230" s="43" t="e">
        <f>BN230+BO229-BO228</f>
        <v>#DIV/0!</v>
      </c>
      <c r="BP230" s="22" t="n"/>
      <c r="BQ230" s="1" t="e">
        <f>BO230+BQ229-BQ228</f>
        <v>#DIV/0!</v>
      </c>
      <c r="BR230" s="1" t="e">
        <f>BQ230+BR229-BR228</f>
        <v>#DIV/0!</v>
      </c>
      <c r="BS230" s="43" t="e">
        <f>BR230+BS229-BS228</f>
        <v>#DIV/0!</v>
      </c>
      <c r="BT230" s="43" t="e">
        <f>BS230+BT229-BT228</f>
        <v>#DIV/0!</v>
      </c>
      <c r="BU230" s="22" t="n"/>
      <c r="BV230" s="1" t="e">
        <f>BT230+BV229-BV228</f>
        <v>#DIV/0!</v>
      </c>
      <c r="BW230" s="1" t="e">
        <f>BV230+BW229-BW228</f>
        <v>#DIV/0!</v>
      </c>
      <c r="BX230" s="43" t="e">
        <f>BW230+BX229-BX228</f>
        <v>#DIV/0!</v>
      </c>
      <c r="BY230" s="43" t="e">
        <f>BX230+BY229-BY228</f>
        <v>#DIV/0!</v>
      </c>
      <c r="BZ230" s="22" t="n"/>
      <c r="CA230" s="1" t="e">
        <f>BY230+CA229-CA228</f>
        <v>#DIV/0!</v>
      </c>
      <c r="CB230" s="1" t="e">
        <f>CA230+CB229-CB228</f>
        <v>#DIV/0!</v>
      </c>
      <c r="CC230" s="43" t="e">
        <f>CB230+CC229-CC228</f>
        <v>#DIV/0!</v>
      </c>
      <c r="CD230" s="43" t="e">
        <f>CC230+CD229-CD228</f>
        <v>#DIV/0!</v>
      </c>
      <c r="CE230" s="22" t="n"/>
      <c r="CF230" s="1" t="e">
        <f>CD230+CF229-CF228</f>
        <v>#DIV/0!</v>
      </c>
      <c r="CG230" s="1" t="e">
        <f>CF230+CG229-CG228</f>
        <v>#DIV/0!</v>
      </c>
      <c r="CH230" s="43" t="e">
        <f>CG230+CH229-CH228</f>
        <v>#DIV/0!</v>
      </c>
      <c r="CI230" s="43" t="e">
        <f>CH230+CI229-CI228</f>
        <v>#DIV/0!</v>
      </c>
      <c r="CJ230" s="22" t="n"/>
      <c r="CK230" s="1" t="e">
        <f>CI230+CK229-CK228</f>
        <v>#DIV/0!</v>
      </c>
      <c r="CL230" s="1" t="e">
        <f>CK230+CL229-CL228</f>
        <v>#DIV/0!</v>
      </c>
      <c r="CM230" s="43" t="e">
        <f>CL230+CM229-CM228</f>
        <v>#DIV/0!</v>
      </c>
      <c r="CN230" s="43" t="e">
        <f>CM230+CN229-CN228</f>
        <v>#DIV/0!</v>
      </c>
      <c r="CO230" s="22" t="n"/>
      <c r="CP230" s="1" t="e">
        <f>CN230+CP229-CP228</f>
        <v>#DIV/0!</v>
      </c>
      <c r="CQ230" s="1" t="e">
        <f>CP230+CQ229-CQ228</f>
        <v>#DIV/0!</v>
      </c>
      <c r="CR230" s="43" t="e">
        <f>CQ230+CR229-CR228</f>
        <v>#DIV/0!</v>
      </c>
      <c r="CS230" s="43" t="e">
        <f>CR230+CS229-CS228</f>
        <v>#DIV/0!</v>
      </c>
      <c r="CT230" s="22" t="n"/>
      <c r="CU230" s="1" t="e">
        <f>CS230+CU229-CU228</f>
        <v>#DIV/0!</v>
      </c>
      <c r="CV230" s="1" t="e">
        <f>CU230+CV229-CV228</f>
        <v>#DIV/0!</v>
      </c>
      <c r="CW230" s="43" t="e">
        <f>CV230+CW229-CW228</f>
        <v>#DIV/0!</v>
      </c>
      <c r="CX230" s="43" t="e">
        <f>CW230+CX229-CX228</f>
        <v>#DIV/0!</v>
      </c>
      <c r="CY230" s="22" t="n"/>
      <c r="CZ230" t="e">
        <f>CX230+CZ229-CZ228</f>
        <v>#DIV/0!</v>
      </c>
      <c r="DA230" t="e">
        <f>CZ230+DA229-DA228</f>
        <v>#DIV/0!</v>
      </c>
      <c r="DB230" t="e">
        <f>DA230+DB229-DB228</f>
        <v>#DIV/0!</v>
      </c>
      <c r="DC230" t="e">
        <f>DB230+DC229-DC228</f>
        <v>#DIV/0!</v>
      </c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43">
        <f>AVERAGE(AG230,AH230)</f>
        <v>547.191026</v>
      </c>
      <c r="AI231" s="43">
        <f>AVERAGE(AH230,AI230)</f>
        <v>547.191026</v>
      </c>
      <c r="AJ231" s="43" t="e">
        <f>AVERAGE(AI230,AJ230)</f>
        <v>#DIV/0!</v>
      </c>
      <c r="AK231" s="43" t="e">
        <f>AVERAGE(AJ230,AK230)</f>
        <v>#DIV/0!</v>
      </c>
      <c r="AL231" s="22" t="n"/>
      <c r="AM231" s="43" t="e">
        <f>AVERAGE(AK230,AM230)</f>
        <v>#DIV/0!</v>
      </c>
      <c r="AN231" s="43" t="e">
        <f>AVERAGE(AM230,AN230)</f>
        <v>#DIV/0!</v>
      </c>
      <c r="AO231" s="43" t="e">
        <f>AVERAGE(AN230,AO230)</f>
        <v>#DIV/0!</v>
      </c>
      <c r="AP231" s="43" t="e">
        <f>AVERAGE(AO230,AP230)</f>
        <v>#DIV/0!</v>
      </c>
      <c r="AQ231" s="22" t="n"/>
      <c r="AR231" s="43" t="e">
        <f>AVERAGE(AP230,AR230)</f>
        <v>#DIV/0!</v>
      </c>
      <c r="AS231" s="43" t="e">
        <f>AVERAGE(AR230,AS230)</f>
        <v>#DIV/0!</v>
      </c>
      <c r="AT231" s="43" t="e">
        <f>AVERAGE(AS230,AT230)</f>
        <v>#DIV/0!</v>
      </c>
      <c r="AU231" s="43" t="e">
        <f>AVERAGE(AT230,AU230)</f>
        <v>#DIV/0!</v>
      </c>
      <c r="AV231" s="22" t="n"/>
      <c r="AW231" s="43" t="e">
        <f>AVERAGE(AU230,AW230)</f>
        <v>#DIV/0!</v>
      </c>
      <c r="AX231" s="43" t="e">
        <f>AVERAGE(AW230,AX230)</f>
        <v>#DIV/0!</v>
      </c>
      <c r="AY231" s="43" t="e">
        <f>AVERAGE(AX230,AY230)</f>
        <v>#DIV/0!</v>
      </c>
      <c r="AZ231" s="43" t="e">
        <f>AVERAGE(AY230,AZ230)</f>
        <v>#DIV/0!</v>
      </c>
      <c r="BA231" s="22" t="n"/>
      <c r="BB231" s="43" t="e">
        <f>AVERAGE(AZ230,BB230)</f>
        <v>#DIV/0!</v>
      </c>
      <c r="BC231" s="43" t="e">
        <f>AVERAGE(BB230,BC230)</f>
        <v>#DIV/0!</v>
      </c>
      <c r="BD231" s="43" t="e">
        <f>AVERAGE(BC230,BD230)</f>
        <v>#DIV/0!</v>
      </c>
      <c r="BE231" s="43" t="e">
        <f>AVERAGE(BD230,BE230)</f>
        <v>#DIV/0!</v>
      </c>
      <c r="BF231" s="22" t="n"/>
      <c r="BG231" s="43" t="e">
        <f>AVERAGE(BE230,BG230)</f>
        <v>#DIV/0!</v>
      </c>
      <c r="BH231" s="43" t="e">
        <f>AVERAGE(BG230,BH230)</f>
        <v>#DIV/0!</v>
      </c>
      <c r="BI231" s="43" t="e">
        <f>AVERAGE(BH230,BI230)</f>
        <v>#DIV/0!</v>
      </c>
      <c r="BJ231" s="43" t="e">
        <f>AVERAGE(BI230,BJ230)</f>
        <v>#DIV/0!</v>
      </c>
      <c r="BK231" s="22" t="n"/>
      <c r="BL231" s="43" t="e">
        <f>AVERAGE(BJ230,BL230)</f>
        <v>#DIV/0!</v>
      </c>
      <c r="BM231" s="43" t="e">
        <f>AVERAGE(BL230,BM230)</f>
        <v>#DIV/0!</v>
      </c>
      <c r="BN231" s="43" t="e">
        <f>AVERAGE(BM230,BN230)</f>
        <v>#DIV/0!</v>
      </c>
      <c r="BO231" s="43" t="e">
        <f>AVERAGE(BN230,BO230)</f>
        <v>#DIV/0!</v>
      </c>
      <c r="BP231" s="22" t="n"/>
      <c r="BQ231" s="43" t="e">
        <f>AVERAGE(BO230,BQ230)</f>
        <v>#DIV/0!</v>
      </c>
      <c r="BR231" s="43" t="e">
        <f>AVERAGE(BQ230,BR230)</f>
        <v>#DIV/0!</v>
      </c>
      <c r="BS231" s="43" t="e">
        <f>AVERAGE(BR230,BS230)</f>
        <v>#DIV/0!</v>
      </c>
      <c r="BT231" s="43" t="e">
        <f>AVERAGE(BS230,BT230)</f>
        <v>#DIV/0!</v>
      </c>
      <c r="BU231" s="22" t="n"/>
      <c r="BV231" s="43" t="e">
        <f>AVERAGE(BT230,BV230)</f>
        <v>#DIV/0!</v>
      </c>
      <c r="BW231" s="43" t="e">
        <f>AVERAGE(BV230,BW230)</f>
        <v>#DIV/0!</v>
      </c>
      <c r="BX231" s="43" t="e">
        <f>AVERAGE(BW230,BX230)</f>
        <v>#DIV/0!</v>
      </c>
      <c r="BY231" s="43" t="e">
        <f>AVERAGE(BX230,BY230)</f>
        <v>#DIV/0!</v>
      </c>
      <c r="BZ231" s="22" t="n"/>
      <c r="CA231" s="43" t="e">
        <f>AVERAGE(BY230,CA230)</f>
        <v>#DIV/0!</v>
      </c>
      <c r="CB231" s="43" t="e">
        <f>AVERAGE(CA230,CB230)</f>
        <v>#DIV/0!</v>
      </c>
      <c r="CC231" s="43" t="e">
        <f>AVERAGE(CB230,CC230)</f>
        <v>#DIV/0!</v>
      </c>
      <c r="CD231" s="43" t="e">
        <f>AVERAGE(CC230,CD230)</f>
        <v>#DIV/0!</v>
      </c>
      <c r="CE231" s="22" t="n"/>
      <c r="CF231" s="43" t="e">
        <f>AVERAGE(CD230,CF230)</f>
        <v>#DIV/0!</v>
      </c>
      <c r="CG231" s="43" t="e">
        <f>AVERAGE(CF230,CG230)</f>
        <v>#DIV/0!</v>
      </c>
      <c r="CH231" s="43" t="e">
        <f>AVERAGE(CG230,CH230)</f>
        <v>#DIV/0!</v>
      </c>
      <c r="CI231" s="43" t="e">
        <f>AVERAGE(CH230,CI230)</f>
        <v>#DIV/0!</v>
      </c>
      <c r="CJ231" s="22" t="n"/>
      <c r="CK231" s="43" t="e">
        <f>AVERAGE(CI230,CK230)</f>
        <v>#DIV/0!</v>
      </c>
      <c r="CL231" s="43" t="e">
        <f>AVERAGE(CK230,CL230)</f>
        <v>#DIV/0!</v>
      </c>
      <c r="CM231" s="43" t="e">
        <f>AVERAGE(CL230,CM230)</f>
        <v>#DIV/0!</v>
      </c>
      <c r="CN231" s="43" t="e">
        <f>AVERAGE(CM230,CN230)</f>
        <v>#DIV/0!</v>
      </c>
      <c r="CO231" s="22" t="n"/>
      <c r="CP231" s="43" t="e">
        <f>AVERAGE(CN230,CP230)</f>
        <v>#DIV/0!</v>
      </c>
      <c r="CQ231" s="43" t="e">
        <f>AVERAGE(CP230,CQ230)</f>
        <v>#DIV/0!</v>
      </c>
      <c r="CR231" s="43" t="e">
        <f>AVERAGE(CQ230,CR230)</f>
        <v>#DIV/0!</v>
      </c>
      <c r="CS231" s="43" t="e">
        <f>AVERAGE(CR230,CS230)</f>
        <v>#DIV/0!</v>
      </c>
      <c r="CT231" s="22" t="n"/>
      <c r="CU231" s="43" t="e">
        <f>AVERAGE(CS230,CU230)</f>
        <v>#DIV/0!</v>
      </c>
      <c r="CV231" s="43" t="e">
        <f>AVERAGE(CU230,CV230)</f>
        <v>#DIV/0!</v>
      </c>
      <c r="CW231" s="43" t="e">
        <f>AVERAGE(CV230,CW230)</f>
        <v>#DIV/0!</v>
      </c>
      <c r="CX231" s="43" t="e">
        <f>AVERAGE(CW230,CX230)</f>
        <v>#DIV/0!</v>
      </c>
      <c r="CY231" s="22" t="n"/>
      <c r="CZ231" t="e">
        <f>AVERAGE(CX230,CZ230)</f>
        <v>#DIV/0!</v>
      </c>
      <c r="DA231" t="e">
        <f>AVERAGE(CZ230,DA230)</f>
        <v>#DIV/0!</v>
      </c>
      <c r="DB231" t="e">
        <f>AVERAGE(DA230,DB230)</f>
        <v>#DIV/0!</v>
      </c>
      <c r="DC231" t="e">
        <f>AVERAGE(DB230,DC230)</f>
        <v>#DIV/0!</v>
      </c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>
        <f>INDEX('Inputs (2)'!$D$44:$AL$44,MATCH(D$7,'Inputs (2)'!$D$2:$AL$2,0))</f>
        <v>0</v>
      </c>
      <c r="E233" s="25">
        <f>INDEX('Inputs (2)'!$D$44:$AL$44,MATCH(E$7,'Inputs (2)'!$D$2:$AL$2,0))</f>
        <v>0</v>
      </c>
      <c r="F233" s="25">
        <f>INDEX('Inputs (2)'!$D$44:$AL$44,MATCH(F$7,'Inputs (2)'!$D$2:$AL$2,0))</f>
        <v>0</v>
      </c>
      <c r="G233" s="25">
        <f>INDEX('Inputs (2)'!$D$44:$AL$44,MATCH(G$7,'Inputs (2)'!$D$2:$AL$2,0))</f>
        <v>-2.67399757</v>
      </c>
      <c r="H233" s="3">
        <f>G233</f>
        <v>-2.67399757</v>
      </c>
      <c r="I233" s="25">
        <f>INDEX('Inputs (2)'!$D$44:$AL$44,MATCH(I$7,'Inputs (2)'!$D$2:$AL$2,0))</f>
        <v>-23.0143155</v>
      </c>
      <c r="J233" s="25">
        <f>INDEX('Inputs (2)'!$D$44:$AL$44,MATCH(J$7,'Inputs (2)'!$D$2:$AL$2,0))</f>
        <v>-24.83640528</v>
      </c>
      <c r="K233" s="25">
        <f>INDEX('Inputs (2)'!$D$44:$AL$44,MATCH(K$7,'Inputs (2)'!$D$2:$AL$2,0))</f>
        <v>-24.83640528</v>
      </c>
      <c r="L233" s="25">
        <f>INDEX('Inputs (2)'!$D$44:$AL$44,MATCH(L$7,'Inputs (2)'!$D$2:$AL$2,0))</f>
        <v>-24.83640528</v>
      </c>
      <c r="M233" s="3">
        <f>L233</f>
        <v>-24.83640528</v>
      </c>
      <c r="N233" s="25">
        <f>INDEX('Inputs (2)'!$D$44:$AL$44,MATCH(N$7,'Inputs (2)'!$D$2:$AL$2,0))</f>
        <v>-22.89021678</v>
      </c>
      <c r="O233" s="25">
        <f>INDEX('Inputs (2)'!$D$44:$AL$44,MATCH(O$7,'Inputs (2)'!$D$2:$AL$2,0))</f>
        <v>-27.2412731</v>
      </c>
      <c r="P233" s="25">
        <f>INDEX('Inputs (2)'!$D$44:$AL$44,MATCH(P$7,'Inputs (2)'!$D$2:$AL$2,0))</f>
        <v>-19.97143105</v>
      </c>
      <c r="Q233" s="25">
        <f>INDEX('Inputs (2)'!$D$44:$AL$44,MATCH(Q$7,'Inputs (2)'!$D$2:$AL$2,0))</f>
        <v>-19.97143105</v>
      </c>
      <c r="R233" s="3">
        <f>Q233</f>
        <v>-19.97143105</v>
      </c>
      <c r="S233" s="25">
        <f>INDEX('Inputs (2)'!$D$44:$AL$44,MATCH(S$7,'Inputs (2)'!$D$2:$AL$2,0))</f>
        <v>-9.213137</v>
      </c>
      <c r="T233" s="25">
        <f>INDEX('Inputs (2)'!$D$44:$AL$44,MATCH(T$7,'Inputs (2)'!$D$2:$AL$2,0))</f>
        <v>-9.213</v>
      </c>
      <c r="U233" s="25">
        <f>INDEX('Inputs (2)'!$D$44:$AL$44,MATCH(U$7,'Inputs (2)'!$D$2:$AL$2,0))</f>
        <v>-9.213</v>
      </c>
      <c r="V233" s="25">
        <f>INDEX('Inputs (2)'!$D$44:$AL$44,MATCH(V$7,'Inputs (2)'!$D$2:$AL$2,0))</f>
        <v>-39.462</v>
      </c>
      <c r="W233" s="3">
        <f>V233</f>
        <v>-39.462</v>
      </c>
      <c r="X233" s="25">
        <f>INDEX('Inputs (2)'!$D$44:$AL$44,MATCH(X$7,'Inputs (2)'!$D$2:$AL$2,0))</f>
        <v>-27.15</v>
      </c>
      <c r="Y233" s="25">
        <f>INDEX('Inputs (2)'!$D$44:$AL$44,MATCH(Y$7,'Inputs (2)'!$D$2:$AL$2,0))</f>
        <v>-27.15</v>
      </c>
      <c r="Z233" s="25">
        <f>INDEX('Inputs (2)'!$D$44:$AL$44,MATCH(Z$7,'Inputs (2)'!$D$2:$AL$2,0))</f>
        <v>-48.065</v>
      </c>
      <c r="AA233" s="25">
        <f>INDEX('Inputs (2)'!$D$44:$AL$44,MATCH(AA$7,'Inputs (2)'!$D$2:$AL$2,0))</f>
        <v>-48.065</v>
      </c>
      <c r="AB233" s="3">
        <f>AA233</f>
        <v>-48.065</v>
      </c>
      <c r="AC233" s="25">
        <f>INDEX('Inputs (2)'!$D$44:$AL$44,MATCH(AC$7,'Inputs (2)'!$D$2:$AL$2,0))</f>
        <v>-35.559101</v>
      </c>
      <c r="AD233" s="25">
        <f>INDEX('Inputs (2)'!$D$44:$AL$44,MATCH(AD$7,'Inputs (2)'!$D$2:$AL$2,0))</f>
        <v>-35.559</v>
      </c>
      <c r="AE233" s="25">
        <f>INDEX('Inputs (2)'!$D$44:$AL$44,MATCH(AE$7,'Inputs (2)'!$D$2:$AL$2,0))</f>
        <v>-35.559</v>
      </c>
      <c r="AF233" s="25">
        <f>INDEX('Inputs (2)'!$D$44:$AL$44,MATCH(AF$7,'Inputs (2)'!$D$2:$AL$2,0))</f>
        <v>-35.559</v>
      </c>
      <c r="AG233" s="3">
        <f>AF233</f>
        <v>-35.559</v>
      </c>
      <c r="AH233" s="3">
        <f>INDEX('Inputs (2)'!$D$44:$AL$44,MATCH(AH$7,'Inputs (2)'!$D$2:$AL$2,0))</f>
        <v>-55.497</v>
      </c>
      <c r="AI233" s="3">
        <f>INDEX('Inputs (2)'!$D$44:$AL$44,MATCH(AI$7,'Inputs (2)'!$D$2:$AL$2,0))</f>
        <v>-55.478</v>
      </c>
      <c r="AJ233" s="3">
        <f>AI233+AJ223</f>
        <v>-55.478</v>
      </c>
      <c r="AK233" s="3">
        <f>AJ233+AK223</f>
        <v>-55.478</v>
      </c>
      <c r="AL233" s="3">
        <f>AK233</f>
        <v>-55.478</v>
      </c>
      <c r="AM233" s="3">
        <f>AL233+AM223</f>
        <v>-55.478</v>
      </c>
      <c r="AN233" s="3">
        <f>AM233+AN223</f>
        <v>-55.478</v>
      </c>
      <c r="AO233" s="3">
        <f>AN233+AO223</f>
        <v>-55.478</v>
      </c>
      <c r="AP233" s="3">
        <f>AO233+AP223</f>
        <v>-55.478</v>
      </c>
      <c r="AQ233" s="3">
        <f>AP233</f>
        <v>-55.478</v>
      </c>
      <c r="AR233" s="3">
        <f>AQ233+AR223</f>
        <v>-55.478</v>
      </c>
      <c r="AS233" s="3">
        <f>AR233+AS223</f>
        <v>-55.478</v>
      </c>
      <c r="AT233" s="3">
        <f>AS233+AT223</f>
        <v>-55.478</v>
      </c>
      <c r="AU233" s="3">
        <f>AT233+AU223</f>
        <v>-55.478</v>
      </c>
      <c r="AV233" s="3">
        <f>AU233</f>
        <v>-55.478</v>
      </c>
      <c r="AW233" s="3">
        <f>AV233+AW223</f>
        <v>-55.478</v>
      </c>
      <c r="AX233" s="3">
        <f>AW233+AX223</f>
        <v>-55.478</v>
      </c>
      <c r="AY233" s="3">
        <f>AX233+AY223</f>
        <v>-55.478</v>
      </c>
      <c r="AZ233" s="3">
        <f>AY233+AZ223</f>
        <v>-55.478</v>
      </c>
      <c r="BA233" s="3">
        <f>AZ233</f>
        <v>-55.478</v>
      </c>
      <c r="BB233" s="3">
        <f>BA233+BB223</f>
        <v>-55.478</v>
      </c>
      <c r="BC233" s="3">
        <f>BB233+BC223</f>
        <v>-55.478</v>
      </c>
      <c r="BD233" s="3">
        <f>BC233+BD223</f>
        <v>-55.478</v>
      </c>
      <c r="BE233" s="3">
        <f>BD233+BE223</f>
        <v>-55.478</v>
      </c>
      <c r="BF233" s="3">
        <f>BE233</f>
        <v>-55.478</v>
      </c>
      <c r="BG233" s="3">
        <f>BF233+BG223</f>
        <v>-55.478</v>
      </c>
      <c r="BH233" s="3">
        <f>BG233+BH223</f>
        <v>-55.478</v>
      </c>
      <c r="BI233" s="3">
        <f>BH233+BI223</f>
        <v>-55.478</v>
      </c>
      <c r="BJ233" s="3">
        <f>BI233+BJ223</f>
        <v>-55.478</v>
      </c>
      <c r="BK233" s="3">
        <f>BJ233</f>
        <v>-55.478</v>
      </c>
      <c r="BL233" s="3">
        <f>BK233+BL223</f>
        <v>-55.478</v>
      </c>
      <c r="BM233" s="3">
        <f>BL233+BM223</f>
        <v>-55.478</v>
      </c>
      <c r="BN233" s="3">
        <f>BM233+BN223</f>
        <v>-55.478</v>
      </c>
      <c r="BO233" s="3">
        <f>BN233+BO223</f>
        <v>-55.478</v>
      </c>
      <c r="BP233" s="3">
        <f>BO233</f>
        <v>-55.478</v>
      </c>
      <c r="BQ233" s="3">
        <f>BP233+BQ223</f>
        <v>-55.478</v>
      </c>
      <c r="BR233" s="3">
        <f>BQ233+BR223</f>
        <v>-55.478</v>
      </c>
      <c r="BS233" s="3">
        <f>BR233+BS223</f>
        <v>-55.478</v>
      </c>
      <c r="BT233" s="3">
        <f>BS233+BT223</f>
        <v>-55.478</v>
      </c>
      <c r="BU233" s="3">
        <f>BT233</f>
        <v>-55.478</v>
      </c>
      <c r="BV233" s="3">
        <f>BU233+BV223</f>
        <v>-55.478</v>
      </c>
      <c r="BW233" s="3">
        <f>BV233+BW223</f>
        <v>-55.478</v>
      </c>
      <c r="BX233" s="3">
        <f>BW233+BX223</f>
        <v>-55.478</v>
      </c>
      <c r="BY233" s="3">
        <f>BX233+BY223</f>
        <v>-55.478</v>
      </c>
      <c r="BZ233" s="3">
        <f>BY233</f>
        <v>-55.478</v>
      </c>
      <c r="CA233" s="3">
        <f>BZ233+CA223</f>
        <v>-55.478</v>
      </c>
      <c r="CB233" s="3">
        <f>CA233+CB223</f>
        <v>-55.478</v>
      </c>
      <c r="CC233" s="3">
        <f>CB233+CC223</f>
        <v>-55.478</v>
      </c>
      <c r="CD233" s="3">
        <f>CC233+CD223</f>
        <v>-55.478</v>
      </c>
      <c r="CE233" s="3">
        <f>CD233</f>
        <v>-55.478</v>
      </c>
      <c r="CF233" s="3">
        <f>CE233+CF223</f>
        <v>-55.478</v>
      </c>
      <c r="CG233" s="3">
        <f>CF233+CG223</f>
        <v>-55.478</v>
      </c>
      <c r="CH233" s="3">
        <f>CG233+CH223</f>
        <v>-55.478</v>
      </c>
      <c r="CI233" s="3">
        <f>CH233+CI223</f>
        <v>-55.478</v>
      </c>
      <c r="CJ233" s="3">
        <f>CI233</f>
        <v>-55.478</v>
      </c>
      <c r="CK233" s="3">
        <f>CJ233+CK223</f>
        <v>-55.478</v>
      </c>
      <c r="CL233" s="3">
        <f>CK233+CL223</f>
        <v>-55.478</v>
      </c>
      <c r="CM233" s="3">
        <f>CL233+CM223</f>
        <v>-55.478</v>
      </c>
      <c r="CN233" s="3">
        <f>CM233+CN223</f>
        <v>-55.478</v>
      </c>
      <c r="CO233" s="3">
        <f>CN233</f>
        <v>-55.478</v>
      </c>
      <c r="CP233" s="3">
        <f>CO233+CP223</f>
        <v>-55.478</v>
      </c>
      <c r="CQ233" s="3">
        <f>CP233+CQ223</f>
        <v>-55.478</v>
      </c>
      <c r="CR233" s="3">
        <f>CQ233+CR223</f>
        <v>-55.478</v>
      </c>
      <c r="CS233" s="3">
        <f>CR233+CS223</f>
        <v>-55.478</v>
      </c>
      <c r="CT233" s="3">
        <f>CS233</f>
        <v>-55.478</v>
      </c>
      <c r="CU233" s="3">
        <f>CT233+CU223</f>
        <v>-55.478</v>
      </c>
      <c r="CV233" s="3">
        <f>CU233+CV223</f>
        <v>-55.478</v>
      </c>
      <c r="CW233" s="3">
        <f>CV233+CW223</f>
        <v>-55.478</v>
      </c>
      <c r="CX233" s="3">
        <f>CW233+CX223</f>
        <v>-55.478</v>
      </c>
      <c r="CY233" s="3">
        <f>CX233</f>
        <v>-55.478</v>
      </c>
    </row>
    <row r="234">
      <c r="C234" s="26" t="inlineStr">
        <is>
          <t>Comprehensive (accumulated) loss</t>
        </is>
      </c>
      <c r="D234" s="25">
        <f>INDEX('Inputs (2)'!$D$45:$AL$45,MATCH(D$7,'Inputs (2)'!$D$2:$AL$2,0))</f>
        <v>0</v>
      </c>
      <c r="E234" s="25">
        <f>INDEX('Inputs (2)'!$D$45:$AL$45,MATCH(E$7,'Inputs (2)'!$D$2:$AL$2,0))</f>
        <v>0</v>
      </c>
      <c r="F234" s="25">
        <f>INDEX('Inputs (2)'!$D$45:$AL$45,MATCH(F$7,'Inputs (2)'!$D$2:$AL$2,0))</f>
        <v>0</v>
      </c>
      <c r="G234" s="25">
        <f>INDEX('Inputs (2)'!$D$45:$AL$45,MATCH(G$7,'Inputs (2)'!$D$2:$AL$2,0))</f>
        <v>0</v>
      </c>
      <c r="H234" s="3">
        <f>G234</f>
        <v>0</v>
      </c>
      <c r="I234" s="25">
        <f>INDEX('Inputs (2)'!$D$45:$AL$45,MATCH(I$7,'Inputs (2)'!$D$2:$AL$2,0))</f>
        <v>0</v>
      </c>
      <c r="J234" s="25">
        <f>INDEX('Inputs (2)'!$D$45:$AL$45,MATCH(J$7,'Inputs (2)'!$D$2:$AL$2,0))</f>
        <v>0</v>
      </c>
      <c r="K234" s="25">
        <f>INDEX('Inputs (2)'!$D$45:$AL$45,MATCH(K$7,'Inputs (2)'!$D$2:$AL$2,0))</f>
        <v>0</v>
      </c>
      <c r="L234" s="25">
        <f>INDEX('Inputs (2)'!$D$45:$AL$45,MATCH(L$7,'Inputs (2)'!$D$2:$AL$2,0))</f>
        <v>0</v>
      </c>
      <c r="M234" s="3">
        <f>L234</f>
        <v>0</v>
      </c>
      <c r="N234" s="25">
        <f>INDEX('Inputs (2)'!$D$45:$AL$45,MATCH(N$7,'Inputs (2)'!$D$2:$AL$2,0))</f>
        <v>0</v>
      </c>
      <c r="O234" s="25">
        <f>INDEX('Inputs (2)'!$D$45:$AL$45,MATCH(O$7,'Inputs (2)'!$D$2:$AL$2,0))</f>
        <v>0</v>
      </c>
      <c r="P234" s="25">
        <f>INDEX('Inputs (2)'!$D$45:$AL$45,MATCH(P$7,'Inputs (2)'!$D$2:$AL$2,0))</f>
        <v>0</v>
      </c>
      <c r="Q234" s="25">
        <f>INDEX('Inputs (2)'!$D$45:$AL$45,MATCH(Q$7,'Inputs (2)'!$D$2:$AL$2,0))</f>
        <v>0</v>
      </c>
      <c r="R234" s="3">
        <f>Q234</f>
        <v>0</v>
      </c>
      <c r="S234" s="25">
        <f>INDEX('Inputs (2)'!$D$45:$AL$45,MATCH(S$7,'Inputs (2)'!$D$2:$AL$2,0))</f>
        <v>0</v>
      </c>
      <c r="T234" s="25">
        <f>INDEX('Inputs (2)'!$D$45:$AL$45,MATCH(T$7,'Inputs (2)'!$D$2:$AL$2,0))</f>
        <v>73.884</v>
      </c>
      <c r="U234" s="25">
        <f>INDEX('Inputs (2)'!$D$45:$AL$45,MATCH(U$7,'Inputs (2)'!$D$2:$AL$2,0))</f>
        <v>73.884</v>
      </c>
      <c r="V234" s="25">
        <f>INDEX('Inputs (2)'!$D$45:$AL$45,MATCH(V$7,'Inputs (2)'!$D$2:$AL$2,0))</f>
        <v>73.884</v>
      </c>
      <c r="W234" s="3">
        <f>V234</f>
        <v>73.884</v>
      </c>
      <c r="X234" s="25">
        <f>INDEX('Inputs (2)'!$D$45:$AL$45,MATCH(X$7,'Inputs (2)'!$D$2:$AL$2,0))</f>
        <v>73.884</v>
      </c>
      <c r="Y234" s="25">
        <f>INDEX('Inputs (2)'!$D$45:$AL$45,MATCH(Y$7,'Inputs (2)'!$D$2:$AL$2,0))</f>
        <v>73.884</v>
      </c>
      <c r="Z234" s="25">
        <f>INDEX('Inputs (2)'!$D$45:$AL$45,MATCH(Z$7,'Inputs (2)'!$D$2:$AL$2,0))</f>
        <v>73.884</v>
      </c>
      <c r="AA234" s="25">
        <f>INDEX('Inputs (2)'!$D$45:$AL$45,MATCH(AA$7,'Inputs (2)'!$D$2:$AL$2,0))</f>
        <v>52.817</v>
      </c>
      <c r="AB234" s="3">
        <f>AA234</f>
        <v>52.817</v>
      </c>
      <c r="AC234" s="25">
        <f>INDEX('Inputs (2)'!$D$45:$AL$45,MATCH(AC$7,'Inputs (2)'!$D$2:$AL$2,0))</f>
        <v>52.817</v>
      </c>
      <c r="AD234" s="25">
        <f>INDEX('Inputs (2)'!$D$45:$AL$45,MATCH(AD$7,'Inputs (2)'!$D$2:$AL$2,0))</f>
        <v>52.817</v>
      </c>
      <c r="AE234" s="25">
        <f>INDEX('Inputs (2)'!$D$45:$AL$45,MATCH(AE$7,'Inputs (2)'!$D$2:$AL$2,0))</f>
        <v>52.817</v>
      </c>
      <c r="AF234" s="25">
        <f>INDEX('Inputs (2)'!$D$45:$AL$45,MATCH(AF$7,'Inputs (2)'!$D$2:$AL$2,0))</f>
        <v>52.817</v>
      </c>
      <c r="AG234" s="3">
        <f>AF234</f>
        <v>52.817</v>
      </c>
      <c r="AH234" s="3">
        <f>INDEX('Inputs (2)'!$D$45:$AL$45,MATCH(AH$7,'Inputs (2)'!$D$2:$AL$2,0))</f>
        <v>52.817</v>
      </c>
      <c r="AI234" s="3">
        <f>INDEX('Inputs (2)'!$D$45:$AL$45,MATCH(AI$7,'Inputs (2)'!$D$2:$AL$2,0))</f>
        <v>52.817</v>
      </c>
      <c r="AJ234" s="3">
        <f>AI234</f>
        <v>52.817</v>
      </c>
      <c r="AK234" s="3">
        <f>AJ234</f>
        <v>52.817</v>
      </c>
      <c r="AL234" s="3">
        <f>AK234</f>
        <v>52.817</v>
      </c>
      <c r="AM234" s="3">
        <f>AL234</f>
        <v>52.817</v>
      </c>
      <c r="AN234" s="3">
        <f>AM234</f>
        <v>52.817</v>
      </c>
      <c r="AO234" s="3">
        <f>AN234</f>
        <v>52.817</v>
      </c>
      <c r="AP234" s="3">
        <f>AO234</f>
        <v>52.817</v>
      </c>
      <c r="AQ234" s="3">
        <f>AP234</f>
        <v>52.817</v>
      </c>
      <c r="AR234" s="3">
        <f>AQ234</f>
        <v>52.817</v>
      </c>
      <c r="AS234" s="3">
        <f>AR234</f>
        <v>52.817</v>
      </c>
      <c r="AT234" s="3">
        <f>AS234</f>
        <v>52.817</v>
      </c>
      <c r="AU234" s="3">
        <f>AT234</f>
        <v>52.817</v>
      </c>
      <c r="AV234" s="3">
        <f>AU234</f>
        <v>52.817</v>
      </c>
      <c r="AW234" s="3">
        <f>AV234</f>
        <v>52.817</v>
      </c>
      <c r="AX234" s="3">
        <f>AW234</f>
        <v>52.817</v>
      </c>
      <c r="AY234" s="3">
        <f>AX234</f>
        <v>52.817</v>
      </c>
      <c r="AZ234" s="3">
        <f>AY234</f>
        <v>52.817</v>
      </c>
      <c r="BA234" s="3">
        <f>AZ234</f>
        <v>52.817</v>
      </c>
      <c r="BB234" s="3">
        <f>BA234</f>
        <v>52.817</v>
      </c>
      <c r="BC234" s="3">
        <f>BB234</f>
        <v>52.817</v>
      </c>
      <c r="BD234" s="3">
        <f>BC234</f>
        <v>52.817</v>
      </c>
      <c r="BE234" s="3">
        <f>BD234</f>
        <v>52.817</v>
      </c>
      <c r="BF234" s="3">
        <f>BE234</f>
        <v>52.817</v>
      </c>
      <c r="BG234" s="3">
        <f>BF234</f>
        <v>52.817</v>
      </c>
      <c r="BH234" s="3">
        <f>BG234</f>
        <v>52.817</v>
      </c>
      <c r="BI234" s="3">
        <f>BH234</f>
        <v>52.817</v>
      </c>
      <c r="BJ234" s="3">
        <f>BI234</f>
        <v>52.817</v>
      </c>
      <c r="BK234" s="3">
        <f>BJ234</f>
        <v>52.817</v>
      </c>
      <c r="BL234" s="3">
        <f>BK234</f>
        <v>52.817</v>
      </c>
      <c r="BM234" s="3">
        <f>BL234</f>
        <v>52.817</v>
      </c>
      <c r="BN234" s="3">
        <f>BM234</f>
        <v>52.817</v>
      </c>
      <c r="BO234" s="3">
        <f>BN234</f>
        <v>52.817</v>
      </c>
      <c r="BP234" s="3">
        <f>BO234</f>
        <v>52.817</v>
      </c>
      <c r="BQ234" s="3">
        <f>BP234</f>
        <v>52.817</v>
      </c>
      <c r="BR234" s="3">
        <f>BQ234</f>
        <v>52.817</v>
      </c>
      <c r="BS234" s="3">
        <f>BR234</f>
        <v>52.817</v>
      </c>
      <c r="BT234" s="3">
        <f>BS234</f>
        <v>52.817</v>
      </c>
      <c r="BU234" s="3">
        <f>BT234</f>
        <v>52.817</v>
      </c>
      <c r="BV234" s="3">
        <f>BU234</f>
        <v>52.817</v>
      </c>
      <c r="BW234" s="3">
        <f>BV234</f>
        <v>52.817</v>
      </c>
      <c r="BX234" s="3">
        <f>BW234</f>
        <v>52.817</v>
      </c>
      <c r="BY234" s="3">
        <f>BX234</f>
        <v>52.817</v>
      </c>
      <c r="BZ234" s="3">
        <f>BY234</f>
        <v>52.817</v>
      </c>
      <c r="CA234" s="3">
        <f>BZ234</f>
        <v>52.817</v>
      </c>
      <c r="CB234" s="3">
        <f>CA234</f>
        <v>52.817</v>
      </c>
      <c r="CC234" s="3">
        <f>CB234</f>
        <v>52.817</v>
      </c>
      <c r="CD234" s="3">
        <f>CC234</f>
        <v>52.817</v>
      </c>
      <c r="CE234" s="3">
        <f>CD234</f>
        <v>52.817</v>
      </c>
      <c r="CF234" s="3">
        <f>CE234</f>
        <v>52.817</v>
      </c>
      <c r="CG234" s="3">
        <f>CF234</f>
        <v>52.817</v>
      </c>
      <c r="CH234" s="3">
        <f>CG234</f>
        <v>52.817</v>
      </c>
      <c r="CI234" s="3">
        <f>CH234</f>
        <v>52.817</v>
      </c>
      <c r="CJ234" s="3">
        <f>CI234</f>
        <v>52.817</v>
      </c>
      <c r="CK234" s="3">
        <f>CJ234</f>
        <v>52.817</v>
      </c>
      <c r="CL234" s="3">
        <f>CK234</f>
        <v>52.817</v>
      </c>
      <c r="CM234" s="3">
        <f>CL234</f>
        <v>52.817</v>
      </c>
      <c r="CN234" s="3">
        <f>CM234</f>
        <v>52.817</v>
      </c>
      <c r="CO234" s="3">
        <f>CN234</f>
        <v>52.817</v>
      </c>
      <c r="CP234" s="3">
        <f>CO234</f>
        <v>52.817</v>
      </c>
      <c r="CQ234" s="3">
        <f>CP234</f>
        <v>52.817</v>
      </c>
      <c r="CR234" s="3">
        <f>CQ234</f>
        <v>52.817</v>
      </c>
      <c r="CS234" s="3">
        <f>CR234</f>
        <v>52.817</v>
      </c>
      <c r="CT234" s="3">
        <f>CS234</f>
        <v>52.817</v>
      </c>
      <c r="CU234" s="3">
        <f>CT234</f>
        <v>52.817</v>
      </c>
      <c r="CV234" s="3">
        <f>CU234</f>
        <v>52.817</v>
      </c>
      <c r="CW234" s="3">
        <f>CV234</f>
        <v>52.817</v>
      </c>
      <c r="CX234" s="3">
        <f>CW234</f>
        <v>52.817</v>
      </c>
      <c r="CY234" s="3">
        <f>CX234</f>
        <v>52.817</v>
      </c>
    </row>
    <row r="235">
      <c r="C235" s="26" t="inlineStr">
        <is>
          <t>Other equity account</t>
        </is>
      </c>
      <c r="D235" s="25">
        <f>INDEX('Inputs (2)'!$D$46:$AL$46,MATCH(D$7,'Inputs (2)'!$D$2:$AL$2,0))</f>
        <v>102.87647304</v>
      </c>
      <c r="E235" s="25">
        <f>INDEX('Inputs (2)'!$D$46:$AL$46,MATCH(E$7,'Inputs (2)'!$D$2:$AL$2,0))</f>
        <v>102.87647304</v>
      </c>
      <c r="F235" s="25">
        <f>INDEX('Inputs (2)'!$D$46:$AL$46,MATCH(F$7,'Inputs (2)'!$D$2:$AL$2,0))</f>
        <v>102.87647304</v>
      </c>
      <c r="G235" s="25">
        <f>INDEX('Inputs (2)'!$D$46:$AL$46,MATCH(G$7,'Inputs (2)'!$D$2:$AL$2,0))</f>
        <v>115.72452726</v>
      </c>
      <c r="H235" s="3">
        <f>G235</f>
        <v>115.72452726</v>
      </c>
      <c r="I235" s="25">
        <f>INDEX('Inputs (2)'!$D$46:$AL$46,MATCH(I$7,'Inputs (2)'!$D$2:$AL$2,0))</f>
        <v>125.89858391</v>
      </c>
      <c r="J235" s="25">
        <f>INDEX('Inputs (2)'!$D$46:$AL$46,MATCH(J$7,'Inputs (2)'!$D$2:$AL$2,0))</f>
        <v>125.89858391</v>
      </c>
      <c r="K235" s="25">
        <f>INDEX('Inputs (2)'!$D$46:$AL$46,MATCH(K$7,'Inputs (2)'!$D$2:$AL$2,0))</f>
        <v>125.89858391</v>
      </c>
      <c r="L235" s="25">
        <f>INDEX('Inputs (2)'!$D$46:$AL$46,MATCH(L$7,'Inputs (2)'!$D$2:$AL$2,0))</f>
        <v>143.39483164</v>
      </c>
      <c r="M235" s="3">
        <f>L235</f>
        <v>143.39483164</v>
      </c>
      <c r="N235" s="25">
        <f>INDEX('Inputs (2)'!$D$46:$AL$46,MATCH(N$7,'Inputs (2)'!$D$2:$AL$2,0))</f>
        <v>156.22491938</v>
      </c>
      <c r="O235" s="25">
        <f>INDEX('Inputs (2)'!$D$46:$AL$46,MATCH(O$7,'Inputs (2)'!$D$2:$AL$2,0))</f>
        <v>156.22491938</v>
      </c>
      <c r="P235" s="25">
        <f>INDEX('Inputs (2)'!$D$46:$AL$46,MATCH(P$7,'Inputs (2)'!$D$2:$AL$2,0))</f>
        <v>156.22491938</v>
      </c>
      <c r="Q235" s="25">
        <f>INDEX('Inputs (2)'!$D$46:$AL$46,MATCH(Q$7,'Inputs (2)'!$D$2:$AL$2,0))</f>
        <v>193.782383397</v>
      </c>
      <c r="R235" s="3">
        <f>Q235</f>
        <v>193.782383397</v>
      </c>
      <c r="S235" s="25">
        <f>INDEX('Inputs (2)'!$D$46:$AL$46,MATCH(S$7,'Inputs (2)'!$D$2:$AL$2,0))</f>
        <v>356.23489755</v>
      </c>
      <c r="T235" s="25">
        <f>INDEX('Inputs (2)'!$D$46:$AL$46,MATCH(T$7,'Inputs (2)'!$D$2:$AL$2,0))</f>
        <v>186.235</v>
      </c>
      <c r="U235" s="25">
        <f>INDEX('Inputs (2)'!$D$46:$AL$46,MATCH(U$7,'Inputs (2)'!$D$2:$AL$2,0))</f>
        <v>93.705</v>
      </c>
      <c r="V235" s="25">
        <f>INDEX('Inputs (2)'!$D$46:$AL$46,MATCH(V$7,'Inputs (2)'!$D$2:$AL$2,0))</f>
        <v>207.423</v>
      </c>
      <c r="W235" s="3">
        <f>V235</f>
        <v>207.423</v>
      </c>
      <c r="X235" s="25">
        <f>INDEX('Inputs (2)'!$D$46:$AL$46,MATCH(X$7,'Inputs (2)'!$D$2:$AL$2,0))</f>
        <v>0</v>
      </c>
      <c r="Y235" s="25">
        <f>INDEX('Inputs (2)'!$D$46:$AL$46,MATCH(Y$7,'Inputs (2)'!$D$2:$AL$2,0))</f>
        <v>0</v>
      </c>
      <c r="Z235" s="25">
        <f>INDEX('Inputs (2)'!$D$46:$AL$46,MATCH(Z$7,'Inputs (2)'!$D$2:$AL$2,0))</f>
        <v>-184.073</v>
      </c>
      <c r="AA235" s="25">
        <f>INDEX('Inputs (2)'!$D$46:$AL$46,MATCH(AA$7,'Inputs (2)'!$D$2:$AL$2,0))</f>
        <v>-300.502</v>
      </c>
      <c r="AB235" s="3">
        <f>AA235</f>
        <v>-300.502</v>
      </c>
      <c r="AC235" s="25">
        <f>INDEX('Inputs (2)'!$D$46:$AL$46,MATCH(AC$7,'Inputs (2)'!$D$2:$AL$2,0))</f>
        <v>0</v>
      </c>
      <c r="AD235" s="25">
        <f>INDEX('Inputs (2)'!$D$46:$AL$46,MATCH(AD$7,'Inputs (2)'!$D$2:$AL$2,0))</f>
        <v>0</v>
      </c>
      <c r="AE235" s="25">
        <f>INDEX('Inputs (2)'!$D$46:$AL$46,MATCH(AE$7,'Inputs (2)'!$D$2:$AL$2,0))</f>
        <v>-169.009</v>
      </c>
      <c r="AF235" s="25">
        <f>INDEX('Inputs (2)'!$D$46:$AL$46,MATCH(AF$7,'Inputs (2)'!$D$2:$AL$2,0))</f>
        <v>0</v>
      </c>
      <c r="AG235" s="3">
        <f>AF235</f>
        <v>0</v>
      </c>
      <c r="AH235" s="3">
        <f>INDEX('Inputs (2)'!$D$46:$AL$46,MATCH(AH$7,'Inputs (2)'!$D$2:$AL$2,0))</f>
        <v>0</v>
      </c>
      <c r="AI235" s="3">
        <f>INDEX('Inputs (2)'!$D$46:$AL$46,MATCH(AI$7,'Inputs (2)'!$D$2:$AL$2,0))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>
      <c r="C236" s="28" t="inlineStr">
        <is>
          <t>Retained earnings</t>
        </is>
      </c>
      <c r="D236" s="25">
        <f>INDEX('Inputs (2)'!$D$47:$AL$47,MATCH(D$7,'Inputs (2)'!$D$2:$AL$2,0))</f>
        <v>58.7194642900001</v>
      </c>
      <c r="E236" s="25">
        <f>INDEX('Inputs (2)'!$D$47:$AL$47,MATCH(E$7,'Inputs (2)'!$D$2:$AL$2,0))</f>
        <v>-14.90600837</v>
      </c>
      <c r="F236" s="25">
        <f>INDEX('Inputs (2)'!$D$47:$AL$47,MATCH(F$7,'Inputs (2)'!$D$2:$AL$2,0))</f>
        <v>117.47883588</v>
      </c>
      <c r="G236" s="25">
        <f>INDEX('Inputs (2)'!$D$47:$AL$47,MATCH(G$7,'Inputs (2)'!$D$2:$AL$2,0))</f>
        <v>169.64349684</v>
      </c>
      <c r="H236" s="3">
        <f>G236</f>
        <v>169.64349684</v>
      </c>
      <c r="I236" s="25">
        <f>INDEX('Inputs (2)'!$D$47:$AL$47,MATCH(I$7,'Inputs (2)'!$D$2:$AL$2,0))</f>
        <v>121.28632605</v>
      </c>
      <c r="J236" s="25">
        <f>INDEX('Inputs (2)'!$D$47:$AL$47,MATCH(J$7,'Inputs (2)'!$D$2:$AL$2,0))</f>
        <v>186.82095282</v>
      </c>
      <c r="K236" s="25">
        <f>INDEX('Inputs (2)'!$D$47:$AL$47,MATCH(K$7,'Inputs (2)'!$D$2:$AL$2,0))</f>
        <v>239.43139772</v>
      </c>
      <c r="L236" s="25">
        <f>INDEX('Inputs (2)'!$D$47:$AL$47,MATCH(L$7,'Inputs (2)'!$D$2:$AL$2,0))</f>
        <v>251.99589812</v>
      </c>
      <c r="M236" s="3">
        <f>L236</f>
        <v>251.99589812</v>
      </c>
      <c r="N236" s="25">
        <f>INDEX('Inputs (2)'!$D$47:$AL$47,MATCH(N$7,'Inputs (2)'!$D$2:$AL$2,0))</f>
        <v>135.27750577</v>
      </c>
      <c r="O236" s="25">
        <f>INDEX('Inputs (2)'!$D$47:$AL$47,MATCH(O$7,'Inputs (2)'!$D$2:$AL$2,0))</f>
        <v>213.0565861</v>
      </c>
      <c r="P236" s="25">
        <f>INDEX('Inputs (2)'!$D$47:$AL$47,MATCH(P$7,'Inputs (2)'!$D$2:$AL$2,0))</f>
        <v>301.79249417</v>
      </c>
      <c r="Q236" s="25">
        <f>INDEX('Inputs (2)'!$D$47:$AL$47,MATCH(Q$7,'Inputs (2)'!$D$2:$AL$2,0))</f>
        <v>187.291</v>
      </c>
      <c r="R236" s="3">
        <f>Q236</f>
        <v>187.291</v>
      </c>
      <c r="S236" s="25">
        <f>INDEX('Inputs (2)'!$D$47:$AL$47,MATCH(S$7,'Inputs (2)'!$D$2:$AL$2,0))</f>
        <v>118.68901586</v>
      </c>
      <c r="T236" s="25">
        <f>INDEX('Inputs (2)'!$D$47:$AL$47,MATCH(T$7,'Inputs (2)'!$D$2:$AL$2,0))</f>
        <v>193.118</v>
      </c>
      <c r="U236" s="25">
        <f>INDEX('Inputs (2)'!$D$47:$AL$47,MATCH(U$7,'Inputs (2)'!$D$2:$AL$2,0))</f>
        <v>367.316</v>
      </c>
      <c r="V236" s="25">
        <f>INDEX('Inputs (2)'!$D$47:$AL$47,MATCH(V$7,'Inputs (2)'!$D$2:$AL$2,0))</f>
        <v>190.126</v>
      </c>
      <c r="W236" s="3">
        <f>V236</f>
        <v>190.126</v>
      </c>
      <c r="X236" s="25">
        <f>INDEX('Inputs (2)'!$D$47:$AL$47,MATCH(X$7,'Inputs (2)'!$D$2:$AL$2,0))</f>
        <v>484.972</v>
      </c>
      <c r="Y236" s="25">
        <f>INDEX('Inputs (2)'!$D$47:$AL$47,MATCH(Y$7,'Inputs (2)'!$D$2:$AL$2,0))</f>
        <v>658.558</v>
      </c>
      <c r="Z236" s="25">
        <f>INDEX('Inputs (2)'!$D$47:$AL$47,MATCH(Z$7,'Inputs (2)'!$D$2:$AL$2,0))</f>
        <v>849.263</v>
      </c>
      <c r="AA236" s="25">
        <f>INDEX('Inputs (2)'!$D$47:$AL$47,MATCH(AA$7,'Inputs (2)'!$D$2:$AL$2,0))</f>
        <v>933.186</v>
      </c>
      <c r="AB236" s="3">
        <f>AA236</f>
        <v>933.186</v>
      </c>
      <c r="AC236" s="25">
        <f>INDEX('Inputs (2)'!$D$47:$AL$47,MATCH(AC$7,'Inputs (2)'!$D$2:$AL$2,0))</f>
        <v>557.914</v>
      </c>
      <c r="AD236" s="25">
        <f>INDEX('Inputs (2)'!$D$47:$AL$47,MATCH(AD$7,'Inputs (2)'!$D$2:$AL$2,0))</f>
        <v>710.213</v>
      </c>
      <c r="AE236" s="25">
        <f>INDEX('Inputs (2)'!$D$47:$AL$47,MATCH(AE$7,'Inputs (2)'!$D$2:$AL$2,0))</f>
        <v>895.13</v>
      </c>
      <c r="AF236" s="25">
        <f>INDEX('Inputs (2)'!$D$47:$AL$47,MATCH(AF$7,'Inputs (2)'!$D$2:$AL$2,0))</f>
        <v>332.45</v>
      </c>
      <c r="AG236" s="3">
        <f>AF236</f>
        <v>332.45</v>
      </c>
      <c r="AH236" s="3">
        <f>INDEX('Inputs (2)'!$D$47:$AL$47,MATCH(AH$7,'Inputs (2)'!$D$2:$AL$2,0))</f>
        <v>533.662</v>
      </c>
      <c r="AI236" s="3">
        <f>INDEX('Inputs (2)'!$D$47:$AL$47,MATCH(AI$7,'Inputs (2)'!$D$2:$AL$2,0))</f>
        <v>755.511</v>
      </c>
      <c r="AJ236" s="3">
        <f>AI236+AJ103+AJ104</f>
        <v>835.388098146265</v>
      </c>
      <c r="AK236" s="3">
        <f>AJ236+AK103+AK104</f>
        <v>912.267331329856</v>
      </c>
      <c r="AL236" s="3">
        <f>AK236</f>
        <v>912.267331329856</v>
      </c>
      <c r="AM236" s="3">
        <f>AL236+AM103+AM104</f>
        <v>990.263831809856</v>
      </c>
      <c r="AN236" s="3">
        <f>AM236+AN103+AN104</f>
        <v>1308.04432866986</v>
      </c>
      <c r="AO236" s="3">
        <f>AN236+AO103+AO104</f>
        <v>1386.60506338612</v>
      </c>
      <c r="AP236" s="3">
        <f>AO236+AP103+AP104</f>
        <v>1704.61289542971</v>
      </c>
      <c r="AQ236" s="3">
        <f>AP236</f>
        <v>1704.61289542971</v>
      </c>
      <c r="AR236" s="3">
        <f>AQ236+AR103+AR104</f>
        <v>2023.73799476971</v>
      </c>
      <c r="AS236" s="3">
        <f>AR236+AS103+AS104</f>
        <v>2821.14296248971</v>
      </c>
      <c r="AT236" s="3">
        <f>AS236+AT103+AT104</f>
        <v>3140.83229606598</v>
      </c>
      <c r="AU236" s="3">
        <f>AT236+AU103+AU104</f>
        <v>3938.46459896957</v>
      </c>
      <c r="AV236" s="3">
        <f>AU236</f>
        <v>3938.46459896957</v>
      </c>
      <c r="AW236" s="3">
        <f>AV236+AW103+AW104</f>
        <v>4737.21416916957</v>
      </c>
      <c r="AX236" s="3">
        <f>AW236+AX103+AX104</f>
        <v>6976.12527632957</v>
      </c>
      <c r="AY236" s="3">
        <f>AX236+AY103+AY104</f>
        <v>7775.43908076583</v>
      </c>
      <c r="AZ236" s="3">
        <f>AY236+AZ103+AZ104</f>
        <v>10014.5775231094</v>
      </c>
      <c r="BA236" s="3">
        <f>AZ236</f>
        <v>10014.5775231094</v>
      </c>
      <c r="BB236" s="3">
        <f>BA236+BB103+BB104</f>
        <v>12254.8332327494</v>
      </c>
      <c r="BC236" s="3">
        <f>BB236+BC103+BC104</f>
        <v>18336.0055605094</v>
      </c>
      <c r="BD236" s="3">
        <f>BC236+BD103+BD104</f>
        <v>20576.8255043857</v>
      </c>
      <c r="BE236" s="3">
        <f>BD236+BE103+BE104</f>
        <v>26658.2251673293</v>
      </c>
      <c r="BF236" s="3">
        <f>BE236</f>
        <v>26658.2251673293</v>
      </c>
      <c r="BG236" s="3">
        <f>BF236+BG103+BG104</f>
        <v>32740.7420975693</v>
      </c>
      <c r="BH236" s="3">
        <f>BG236+BH103+BH104</f>
        <v>49389.4491454093</v>
      </c>
      <c r="BI236" s="3">
        <f>BH236+BI103+BI104</f>
        <v>55472.5303098855</v>
      </c>
      <c r="BJ236" s="3">
        <f>BI236+BJ103+BJ104</f>
        <v>72121.4646929091</v>
      </c>
      <c r="BK236" s="3">
        <f>BJ236</f>
        <v>72121.4646929091</v>
      </c>
      <c r="BL236" s="3">
        <f>BK236+BL103+BL104</f>
        <v>88771.5163432291</v>
      </c>
      <c r="BM236" s="3">
        <f>BL236+BM103+BM104</f>
        <v>134239.815272429</v>
      </c>
      <c r="BN236" s="3">
        <f>BM236+BN103+BN104</f>
        <v>150890.431156985</v>
      </c>
      <c r="BO236" s="3">
        <f>BN236+BO103+BO104</f>
        <v>196358.957421369</v>
      </c>
      <c r="BP236" s="3">
        <f>BO236</f>
        <v>196358.957421369</v>
      </c>
      <c r="BQ236" s="3">
        <f>BP236+BQ103+BQ104</f>
        <v>241828.600953049</v>
      </c>
      <c r="BR236" s="3">
        <f>BQ236+BR103+BR104</f>
        <v>366071.153085129</v>
      </c>
      <c r="BS236" s="3">
        <f>BR236+BS103+BS104</f>
        <v>411541.360851045</v>
      </c>
      <c r="BT236" s="3">
        <f>BS236+BT103+BT104</f>
        <v>535784.140318309</v>
      </c>
      <c r="BU236" s="3">
        <f>BT236</f>
        <v>535784.140318309</v>
      </c>
      <c r="BV236" s="3">
        <f>BU236+BV103+BV104</f>
        <v>660028.037052869</v>
      </c>
      <c r="BW236" s="3">
        <f>BV236+BW103+BW104</f>
        <v>999458.279353429</v>
      </c>
      <c r="BX236" s="3">
        <f>BW236+BX103+BX104</f>
        <v>1123702.74032222</v>
      </c>
      <c r="BY236" s="3">
        <f>BX236+BY103+BY104</f>
        <v>1463133.20995797</v>
      </c>
      <c r="BZ236" s="3">
        <f>BY236</f>
        <v>1463133.20995797</v>
      </c>
      <c r="CA236" s="3">
        <f>BZ236+CA103+CA104</f>
        <v>1802564.79686101</v>
      </c>
      <c r="CB236" s="3">
        <f>CA236+CB103+CB104</f>
        <v>2729918.92590429</v>
      </c>
      <c r="CC236" s="3">
        <f>CB236+CC103+CC104</f>
        <v>3069351.07704156</v>
      </c>
      <c r="CD236" s="3">
        <f>CC236+CD103+CD104</f>
        <v>3996705.43342003</v>
      </c>
      <c r="CE236" s="3">
        <f>CD236</f>
        <v>3996705.43342003</v>
      </c>
      <c r="CF236" s="3">
        <f>CE236+CF103+CF104</f>
        <v>4924060.90706579</v>
      </c>
      <c r="CG236" s="3">
        <f>CF236+CG103+CG104</f>
        <v>7457638.18993147</v>
      </c>
      <c r="CH236" s="3">
        <f>CG236+CH103+CH104</f>
        <v>8384994.22781146</v>
      </c>
      <c r="CI236" s="3">
        <f>CH236+CI103+CI104</f>
        <v>10918571.7380123</v>
      </c>
      <c r="CJ236" s="3">
        <f>CI236</f>
        <v>10918571.7380123</v>
      </c>
      <c r="CK236" s="3">
        <f>CJ236+CK103+CK104</f>
        <v>13452150.3654805</v>
      </c>
      <c r="CL236" s="3">
        <f>CK236+CL103+CL104</f>
        <v>20374021.7294764</v>
      </c>
      <c r="CM236" s="3">
        <f>CL236+CM103+CM104</f>
        <v>22907600.9211788</v>
      </c>
      <c r="CN236" s="3">
        <f>CM236+CN103+CN104</f>
        <v>29829472.5125099</v>
      </c>
      <c r="CO236" s="3">
        <f>CN236</f>
        <v>29829472.5125099</v>
      </c>
      <c r="CP236" s="3">
        <f>CO236+CP103+CP104</f>
        <v>36751345.2211083</v>
      </c>
      <c r="CQ236" s="3">
        <f>CP236+CQ103+CQ104</f>
        <v>55662251.0550095</v>
      </c>
      <c r="CR236" s="3">
        <f>CQ236+CR103+CR104</f>
        <v>62584124.3278421</v>
      </c>
      <c r="CS236" s="3">
        <f>CR236+CS103+CS104</f>
        <v>81495030.3890785</v>
      </c>
      <c r="CT236" s="3">
        <f>CS236</f>
        <v>81495030.3890785</v>
      </c>
      <c r="CU236" s="3">
        <f>CT236+CU103+CU104</f>
        <v>100405937.567582</v>
      </c>
      <c r="CV236" s="3">
        <f>CU236+CV103+CV104</f>
        <v>152071500.503554</v>
      </c>
      <c r="CW236" s="3">
        <f>CV236+CW103+CW104</f>
        <v>170982408.246292</v>
      </c>
      <c r="CX236" s="3">
        <f>CW236+CX103+CX104</f>
        <v>222647971.4096</v>
      </c>
      <c r="CY236" s="3">
        <f>CX236</f>
        <v>222647971.4096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1622.70333256</v>
      </c>
      <c r="E237" s="16">
        <f>SUM(E214+E219+E220+E233+E234+E235+E236)</f>
        <v>1549.13214135</v>
      </c>
      <c r="F237" s="16">
        <f>SUM(F214+F219+F220+F233+F234+F235+F236)</f>
        <v>1687.53967595</v>
      </c>
      <c r="G237" s="16">
        <f>SUM(G214+G219+G220+G233+G234+G235+G236)</f>
        <v>1750.85029909</v>
      </c>
      <c r="H237" s="16">
        <f>SUM(H214,H219,H220,H233,H234,H235,H236)</f>
        <v>1750.85029909</v>
      </c>
      <c r="I237" s="16">
        <f>SUM(I214+I219+I220+I233+I234+I235+I236)</f>
        <v>1692.87845104</v>
      </c>
      <c r="J237" s="16">
        <f>SUM(J214+J219+J220+J233+J234+J235+J236)</f>
        <v>1758.33725252</v>
      </c>
      <c r="K237" s="16">
        <f>SUM(K214+K219+K220+K233+K234+K235+K236)</f>
        <v>1817.79495045956</v>
      </c>
      <c r="L237" s="16">
        <f>SUM(L214+L219+L220+L233+L234+L235+L236)</f>
        <v>1854.48115609486</v>
      </c>
      <c r="M237" s="16">
        <f>SUM(M214,M219,M220,M233,M234,M235,M236)</f>
        <v>1854.48115609486</v>
      </c>
      <c r="N237" s="16">
        <f>SUM(N214+N219+N220+N233+N234+N235+N236)</f>
        <v>1753.71072629731</v>
      </c>
      <c r="O237" s="16">
        <f>SUM(O214+O219+O220+O233+O234+O235+O236)</f>
        <v>1828.7558225</v>
      </c>
      <c r="P237" s="16">
        <f>SUM(P214+P219+P220+P233+P234+P235+P236)</f>
        <v>1931.49111126</v>
      </c>
      <c r="Q237" s="16">
        <f>SUM(Q214+Q219+Q220+Q233+Q234+Q235+Q236)</f>
        <v>2701.085041487</v>
      </c>
      <c r="R237" s="16">
        <f>SUM(R214,R219,R220,R233,R234,R235,R236)</f>
        <v>2701.085041487</v>
      </c>
      <c r="S237" s="16">
        <f>SUM(S214+S219+S220+S233+S234+S235+S236)</f>
        <v>2807.98403782</v>
      </c>
      <c r="T237" s="16">
        <f>SUM(T214+T219+T220+T233+T234+T235+T236)</f>
        <v>5108.584</v>
      </c>
      <c r="U237" s="16">
        <f>SUM(U214+U219+U220+U233+U234+U235+U236)</f>
        <v>5191.945</v>
      </c>
      <c r="V237" s="16">
        <f>SUM(V214+V219+V220+V233+V234+V235+V236)</f>
        <v>5111.07</v>
      </c>
      <c r="W237" s="16">
        <f>SUM(W214,W219,W220,W233,W234,W235,W236)</f>
        <v>5111.07</v>
      </c>
      <c r="X237" s="16">
        <f>SUM(X214+X219+X220+X233+X234+X235+X236)</f>
        <v>5212.72595537414</v>
      </c>
      <c r="Y237" s="16">
        <f>SUM(Y214+Y219+Y220+Y233+Y234+Y235+Y236)</f>
        <v>5431.04527570752</v>
      </c>
      <c r="Z237" s="16">
        <f>SUM(Z214+Z219+Z220+Z233+Z234+Z235+Z236)</f>
        <v>5427.855</v>
      </c>
      <c r="AA237" s="16">
        <f>SUM(AA214+AA219+AA220+AA233+AA234+AA235+AA236)</f>
        <v>5374.831</v>
      </c>
      <c r="AB237" s="16">
        <f>SUM(AB214,AB219,AB220,AB233,AB234,AB235,AB236)</f>
        <v>5374.831</v>
      </c>
      <c r="AC237" s="16">
        <f>SUM(AC214+AC219+AC220+AC233+AC234+AC235+AC236)</f>
        <v>5320.223028</v>
      </c>
      <c r="AD237" s="16">
        <f>SUM(AD214+AD219+AD220+AD233+AD234+AD235+AD236)</f>
        <v>5470.52</v>
      </c>
      <c r="AE237" s="16">
        <f>SUM(AE214+AE219+AE220+AE233+AE234+AE235+AE236)</f>
        <v>5482.672</v>
      </c>
      <c r="AF237" s="16">
        <f>SUM(AF214+AF219+AF220+AF233+AF234+AF235+AF236)</f>
        <v>5096.268</v>
      </c>
      <c r="AG237" s="16">
        <f>SUM(AG214,AG219,AG220,AG233,AG234,AG235,AG236)</f>
        <v>5096.268</v>
      </c>
      <c r="AH237" s="16">
        <f>SUM(AH214+AH219+AH220+AH233+AH234+AH235+AH236)</f>
        <v>5277.634</v>
      </c>
      <c r="AI237" s="16">
        <f>SUM(AI214+AI219+AI220+AI233+AI234+AI235+AI236)</f>
        <v>5518.372</v>
      </c>
      <c r="AJ237" s="16">
        <f>SUM(AJ214+AJ219+AJ220+AJ233+AJ234+AJ235+AJ236)</f>
        <v>5595.58064934658</v>
      </c>
      <c r="AK237" s="16">
        <f>SUM(AK214+AK219+AK220+AK233+AK234+AK235+AK236)</f>
        <v>5670.1736267517</v>
      </c>
      <c r="AL237" s="16">
        <f>SUM(AL214,AL219,AL220,AL233,AL234,AL235,AL236)</f>
        <v>5670.1736267517</v>
      </c>
      <c r="AM237" s="16">
        <f>SUM(AM214+AM219+AM220+AM233+AM234+AM235+AM236)</f>
        <v>5744.6106827517</v>
      </c>
      <c r="AN237" s="16">
        <f>SUM(AN214+AN219+AN220+AN233+AN234+AN235+AN236)</f>
        <v>6059.8731796117</v>
      </c>
      <c r="AO237" s="16">
        <f>SUM(AO214+AO219+AO220+AO233+AO234+AO235+AO236)</f>
        <v>6135.76546552828</v>
      </c>
      <c r="AP237" s="16">
        <f>SUM(AP214+AP219+AP220+AP233+AP234+AP235+AP236)</f>
        <v>6451.4870417934</v>
      </c>
      <c r="AQ237" s="16">
        <f>SUM(AQ214,AQ219,AQ220,AQ233,AQ234,AQ235,AQ236)</f>
        <v>6451.4870417934</v>
      </c>
      <c r="AR237" s="16">
        <f>SUM(AR214+AR219+AR220+AR233+AR234+AR235+AR236)</f>
        <v>6767.0526966534</v>
      </c>
      <c r="AS237" s="16">
        <f>SUM(AS214+AS219+AS220+AS233+AS234+AS235+AS236)</f>
        <v>7561.9396643734</v>
      </c>
      <c r="AT237" s="16">
        <f>SUM(AT214+AT219+AT220+AT233+AT234+AT235+AT236)</f>
        <v>7878.96054914998</v>
      </c>
      <c r="AU237" s="16">
        <f>SUM(AU214+AU219+AU220+AU233+AU234+AU235+AU236)</f>
        <v>8674.3065962751</v>
      </c>
      <c r="AV237" s="16">
        <f>SUM(AV214,AV219,AV220,AV233,AV234,AV235,AV236)</f>
        <v>8674.3065962751</v>
      </c>
      <c r="AW237" s="16">
        <f>SUM(AW214+AW219+AW220+AW233+AW234+AW235+AW236)</f>
        <v>9469.4967219951</v>
      </c>
      <c r="AX237" s="16">
        <f>SUM(AX214+AX219+AX220+AX233+AX234+AX235+AX236)</f>
        <v>11705.8898291551</v>
      </c>
      <c r="AY237" s="16">
        <f>SUM(AY214+AY219+AY220+AY233+AY234+AY235+AY236)</f>
        <v>12502.5351847917</v>
      </c>
      <c r="AZ237" s="16">
        <f>SUM(AZ214+AZ219+AZ220+AZ233+AZ234+AZ235+AZ236)</f>
        <v>14739.3873713568</v>
      </c>
      <c r="BA237" s="16">
        <f>SUM(BA214,BA219,BA220,BA233,BA234,BA235,BA236)</f>
        <v>14739.3873713568</v>
      </c>
      <c r="BB237" s="16">
        <f>SUM(BB214+BB219+BB220+BB233+BB234+BB235+BB236)</f>
        <v>16976.0836365168</v>
      </c>
      <c r="BC237" s="16">
        <f>SUM(BC214+BC219+BC220+BC233+BC234+BC235+BC236)</f>
        <v>23054.7379642768</v>
      </c>
      <c r="BD237" s="16">
        <f>SUM(BD214+BD219+BD220+BD233+BD234+BD235+BD236)</f>
        <v>25292.8894593534</v>
      </c>
      <c r="BE237" s="16">
        <f>SUM(BE214+BE219+BE220+BE233+BE234+BE235+BE236)</f>
        <v>31372.0028665185</v>
      </c>
      <c r="BF237" s="16">
        <f>SUM(BF214,BF219,BF220,BF233,BF234,BF235,BF236)</f>
        <v>31372.0028665185</v>
      </c>
      <c r="BG237" s="16">
        <f>SUM(BG214+BG219+BG220+BG233+BG234+BG235+BG236)</f>
        <v>37450.9603522785</v>
      </c>
      <c r="BH237" s="16">
        <f>SUM(BH214+BH219+BH220+BH233+BH234+BH235+BH236)</f>
        <v>54097.1494001185</v>
      </c>
      <c r="BI237" s="16">
        <f>SUM(BI214+BI219+BI220+BI233+BI234+BI235+BI236)</f>
        <v>60177.5621157951</v>
      </c>
      <c r="BJ237" s="16">
        <f>SUM(BJ214+BJ219+BJ220+BJ233+BJ234+BJ235+BJ236)</f>
        <v>76824.2102430402</v>
      </c>
      <c r="BK237" s="16">
        <f>SUM(BK214,BK219,BK220,BK233,BK234,BK235,BK236)</f>
        <v>76824.2102430402</v>
      </c>
      <c r="BL237" s="16">
        <f>SUM(BL214+BL219+BL220+BL233+BL234+BL235+BL236)</f>
        <v>93470.7024488802</v>
      </c>
      <c r="BM237" s="16">
        <f>SUM(BM214+BM219+BM220+BM233+BM234+BM235+BM236)</f>
        <v>138936.48337808</v>
      </c>
      <c r="BN237" s="16">
        <f>SUM(BN214+BN219+BN220+BN233+BN234+BN235+BN236)</f>
        <v>155584.430813837</v>
      </c>
      <c r="BO237" s="16">
        <f>SUM(BO214+BO219+BO220+BO233+BO234+BO235+BO236)</f>
        <v>201050.670822442</v>
      </c>
      <c r="BP237" s="16">
        <f>SUM(BP214,BP219,BP220,BP233,BP234,BP235,BP236)</f>
        <v>201050.670822442</v>
      </c>
      <c r="BQ237" s="16">
        <f>SUM(BQ214+BQ219+BQ220+BQ233+BQ234+BQ235+BQ236)</f>
        <v>246516.754909642</v>
      </c>
      <c r="BR237" s="16">
        <f>SUM(BR214+BR219+BR220+BR233+BR234+BR235+BR236)</f>
        <v>370756.789041722</v>
      </c>
      <c r="BS237" s="16">
        <f>SUM(BS214+BS219+BS220+BS233+BS234+BS235+BS236)</f>
        <v>416224.328358838</v>
      </c>
      <c r="BT237" s="16">
        <f>SUM(BT214+BT219+BT220+BT233+BT234+BT235+BT236)</f>
        <v>540464.821570323</v>
      </c>
      <c r="BU237" s="16">
        <f>SUM(BU214,BU219,BU220,BU233,BU234,BU235,BU236)</f>
        <v>540464.821570323</v>
      </c>
      <c r="BV237" s="16">
        <f>SUM(BV214+BV219+BV220+BV233+BV234+BV235+BV236)</f>
        <v>664705.158860404</v>
      </c>
      <c r="BW237" s="16">
        <f>SUM(BW214+BW219+BW220+BW233+BW234+BW235+BW236)</f>
        <v>1004132.88316096</v>
      </c>
      <c r="BX237" s="16">
        <f>SUM(BX214+BX219+BX220+BX233+BX234+BX235+BX236)</f>
        <v>1128374.67568096</v>
      </c>
      <c r="BY237" s="16">
        <f>SUM(BY214+BY219+BY220+BY233+BY234+BY235+BY236)</f>
        <v>1467802.85906093</v>
      </c>
      <c r="BZ237" s="16">
        <f>SUM(BZ214,BZ219,BZ220,BZ233,BZ234,BZ235,BZ236)</f>
        <v>1467802.85906093</v>
      </c>
      <c r="CA237" s="16">
        <f>SUM(CA214+CA219+CA220+CA233+CA234+CA235+CA236)</f>
        <v>1807230.88651949</v>
      </c>
      <c r="CB237" s="16">
        <f>SUM(CB214+CB219+CB220+CB233+CB234+CB235+CB236)</f>
        <v>2734582.49756276</v>
      </c>
      <c r="CC237" s="16">
        <f>SUM(CC214+CC219+CC220+CC233+CC234+CC235+CC236)</f>
        <v>3074011.98025124</v>
      </c>
      <c r="CD237" s="16">
        <f>SUM(CD214+CD219+CD220+CD233+CD234+CD235+CD236)</f>
        <v>4001364.05037393</v>
      </c>
      <c r="CE237" s="16">
        <f>SUM(CE214,CE219,CE220,CE233,CE234,CE235,CE236)</f>
        <v>4001364.05037393</v>
      </c>
      <c r="CF237" s="16">
        <f>SUM(CF214+CF219+CF220+CF233+CF234+CF235+CF236)</f>
        <v>4928715.96457521</v>
      </c>
      <c r="CG237" s="16">
        <f>SUM(CG214+CG219+CG220+CG233+CG234+CG235+CG236)</f>
        <v>7462290.72944089</v>
      </c>
      <c r="CH237" s="16">
        <f>SUM(CH214+CH219+CH220+CH233+CH234+CH235+CH236)</f>
        <v>8389644.09887208</v>
      </c>
      <c r="CI237" s="16">
        <f>SUM(CI214+CI219+CI220+CI233+CI234+CI235+CI236)</f>
        <v>10923219.3228172</v>
      </c>
      <c r="CJ237" s="16">
        <f>SUM(CJ214,CJ219,CJ220,CJ233,CJ234,CJ235,CJ236)</f>
        <v>10923219.3228172</v>
      </c>
      <c r="CK237" s="16">
        <f>SUM(CK214+CK219+CK220+CK233+CK234+CK235+CK236)</f>
        <v>13456794.3908408</v>
      </c>
      <c r="CL237" s="16">
        <f>SUM(CL214+CL219+CL220+CL233+CL234+CL235+CL236)</f>
        <v>20378663.2368368</v>
      </c>
      <c r="CM237" s="16">
        <f>SUM(CM214+CM219+CM220+CM233+CM234+CM235+CM236)</f>
        <v>22912239.7600904</v>
      </c>
      <c r="CN237" s="16">
        <f>SUM(CN214+CN219+CN220+CN233+CN234+CN235+CN236)</f>
        <v>29834109.0651657</v>
      </c>
      <c r="CO237" s="16">
        <f>SUM(CO214,CO219,CO220,CO233,CO234,CO235,CO236)</f>
        <v>29834109.0651657</v>
      </c>
      <c r="CP237" s="16">
        <f>SUM(CP214+CP219+CP220+CP233+CP234+CP235+CP236)</f>
        <v>36755978.2143196</v>
      </c>
      <c r="CQ237" s="16">
        <f>SUM(CQ214+CQ219+CQ220+CQ233+CQ234+CQ235+CQ236)</f>
        <v>55666881.5302208</v>
      </c>
      <c r="CR237" s="16">
        <f>SUM(CR214+CR219+CR220+CR233+CR234+CR235+CR236)</f>
        <v>62588752.1346046</v>
      </c>
      <c r="CS237" s="16">
        <f>SUM(CS214+CS219+CS220+CS233+CS234+CS235+CS236)</f>
        <v>81499655.9095852</v>
      </c>
      <c r="CT237" s="16">
        <f>SUM(CT214,CT219,CT220,CT233,CT234,CT235,CT236)</f>
        <v>81499655.9095852</v>
      </c>
      <c r="CU237" s="16">
        <f>SUM(CU214+CU219+CU220+CU233+CU234+CU235+CU236)</f>
        <v>100410559.528644</v>
      </c>
      <c r="CV237" s="16">
        <f>SUM(CV214+CV219+CV220+CV233+CV234+CV235+CV236)</f>
        <v>152076119.946617</v>
      </c>
      <c r="CW237" s="16">
        <f>SUM(CW214+CW219+CW220+CW233+CW234+CW235+CW236)</f>
        <v>170987025.020906</v>
      </c>
      <c r="CX237" s="16">
        <f>SUM(CX214+CX219+CX220+CX233+CX234+CX235+CX236)</f>
        <v>222652585.897957</v>
      </c>
      <c r="CY237" s="16">
        <f>SUM(CY214,CY219,CY220,CY233,CY234,CY235,CY236)</f>
        <v>222652585.897957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5143.73749382</v>
      </c>
      <c r="E239" s="16">
        <f>E237+E213</f>
        <v>5468.97016587</v>
      </c>
      <c r="F239" s="16">
        <f>F237+F213</f>
        <v>5653.50594052</v>
      </c>
      <c r="G239" s="16">
        <f>G237+G213</f>
        <v>5587.53435953</v>
      </c>
      <c r="H239" s="16">
        <f>H237+H213</f>
        <v>5587.53435953</v>
      </c>
      <c r="I239" s="16">
        <f>I237+I213</f>
        <v>5573.5394535</v>
      </c>
      <c r="J239" s="16">
        <f>J237+J213</f>
        <v>5405.80583362</v>
      </c>
      <c r="K239" s="16">
        <f>K237+K213</f>
        <v>6285.68944721956</v>
      </c>
      <c r="L239" s="16">
        <f>L237+L213</f>
        <v>6073.76872348486</v>
      </c>
      <c r="M239" s="16">
        <f>M237+M213</f>
        <v>6073.76872348486</v>
      </c>
      <c r="N239" s="16">
        <f>N237+N213</f>
        <v>5995.98702999731</v>
      </c>
      <c r="O239" s="16">
        <f>O237+O213</f>
        <v>6839.71485355</v>
      </c>
      <c r="P239" s="16">
        <f>P237+P213</f>
        <v>7036.07210587</v>
      </c>
      <c r="Q239" s="16">
        <f>Q237+Q213</f>
        <v>7791.770526647</v>
      </c>
      <c r="R239" s="16">
        <f>R237+R213</f>
        <v>7791.770526647</v>
      </c>
      <c r="S239" s="16">
        <f>S237+S213</f>
        <v>7863.87906251</v>
      </c>
      <c r="T239" s="16">
        <f>T237+T213</f>
        <v>11509.984</v>
      </c>
      <c r="U239" s="16">
        <f>U237+U213</f>
        <v>11533.043</v>
      </c>
      <c r="V239" s="16">
        <f>V237+V213</f>
        <v>11579.968</v>
      </c>
      <c r="W239" s="16">
        <f>W237+W213</f>
        <v>11579.968</v>
      </c>
      <c r="X239" s="16">
        <f>X237+X213</f>
        <v>11686.0925366441</v>
      </c>
      <c r="Y239" s="16">
        <f>Y237+Y213</f>
        <v>12802.3942757075</v>
      </c>
      <c r="Z239" s="16">
        <f>Z237+Z213</f>
        <v>13031.228</v>
      </c>
      <c r="AA239" s="16">
        <f>AA237+AA213</f>
        <v>13062.41</v>
      </c>
      <c r="AB239" s="16">
        <f>AB237+AB213</f>
        <v>13062.41</v>
      </c>
      <c r="AC239" s="16">
        <f>AC237+AC213</f>
        <v>13270.72696719</v>
      </c>
      <c r="AD239" s="16">
        <f>AD237+AD213</f>
        <v>13072.446</v>
      </c>
      <c r="AE239" s="16">
        <f>AE237+AE213</f>
        <v>13584.226</v>
      </c>
      <c r="AF239" s="16">
        <f>AF237+AF213</f>
        <v>13220.481</v>
      </c>
      <c r="AG239" s="16">
        <f>AG237+AG213</f>
        <v>13220.481</v>
      </c>
      <c r="AH239" s="16">
        <f>AH237+AH213</f>
        <v>13325.654</v>
      </c>
      <c r="AI239" s="16">
        <f>AI237+AI213</f>
        <v>13558.475</v>
      </c>
      <c r="AJ239" s="16">
        <f>AJ237+AJ213</f>
        <v>12275.8946493466</v>
      </c>
      <c r="AK239" s="16">
        <f>AK237+AK213</f>
        <v>12350.4876267517</v>
      </c>
      <c r="AL239" s="16">
        <f>AL237+AL213</f>
        <v>12350.4876267517</v>
      </c>
      <c r="AM239" s="16" t="e">
        <f>AM237+AM213</f>
        <v>#DIV/0!</v>
      </c>
      <c r="AN239" s="16">
        <f>AN237+AN213</f>
        <v>12740.1871796117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-73.3055463168124</v>
      </c>
      <c r="F243" s="3">
        <f>F103</f>
        <v>132.064543995985</v>
      </c>
      <c r="G243" s="3">
        <f>G103</f>
        <v>139.482617970001</v>
      </c>
      <c r="H243" s="3">
        <f>SUM(D243:G243)</f>
        <v>198.241615649174</v>
      </c>
      <c r="I243" s="3">
        <f>I103</f>
        <v>118.61195704</v>
      </c>
      <c r="J243" s="3">
        <f>J103</f>
        <v>65.5346259299987</v>
      </c>
      <c r="K243" s="3">
        <f>K103</f>
        <v>94.9625657674033</v>
      </c>
      <c r="L243" s="3">
        <f>L103</f>
        <v>70.81580316</v>
      </c>
      <c r="M243" s="3">
        <f>SUM(I243:L243)</f>
        <v>349.924951897402</v>
      </c>
      <c r="N243" s="3">
        <f>N103</f>
        <v>110.440730339442</v>
      </c>
      <c r="O243" s="3">
        <f>O103</f>
        <v>70.509238398051</v>
      </c>
      <c r="P243" s="3">
        <f>P103</f>
        <v>96.0057500300001</v>
      </c>
      <c r="Q243" s="3">
        <f>Q103</f>
        <v>30.9526857900001</v>
      </c>
      <c r="R243" s="3">
        <f>SUM(N243:Q243)</f>
        <v>307.908404557493</v>
      </c>
      <c r="S243" s="3">
        <f>S103</f>
        <v>93.8518317599999</v>
      </c>
      <c r="T243" s="3">
        <f>T103</f>
        <v>74.4269289448079</v>
      </c>
      <c r="U243" s="3">
        <f>U103</f>
        <v>174.198435338059</v>
      </c>
      <c r="V243" s="3">
        <f>V103</f>
        <v>81.27880174393</v>
      </c>
      <c r="W243" s="3">
        <f>SUM(S243:V243)</f>
        <v>423.755997786797</v>
      </c>
      <c r="X243" s="3">
        <f>X103</f>
        <v>167.9596009</v>
      </c>
      <c r="Y243" s="3">
        <f>Y103</f>
        <v>173.586</v>
      </c>
      <c r="Z243" s="3">
        <f>Z103</f>
        <v>190.705474</v>
      </c>
      <c r="AA243" s="3">
        <f>AA103</f>
        <v>83.9209250999991</v>
      </c>
      <c r="AB243" s="3">
        <f>SUM(X243:AA243)</f>
        <v>616.171999999999</v>
      </c>
      <c r="AC243" s="3">
        <f>AC103</f>
        <v>179.28629</v>
      </c>
      <c r="AD243" s="3">
        <f>AD103</f>
        <v>152.299179</v>
      </c>
      <c r="AE243" s="3">
        <f>AE103</f>
        <v>184.916722720184</v>
      </c>
      <c r="AF243" s="3">
        <f>AF103</f>
        <v>96.3284097835912</v>
      </c>
      <c r="AG243" s="3">
        <f>SUM(AC243:AF243)</f>
        <v>612.830601503775</v>
      </c>
      <c r="AH243" s="3">
        <f>AH103</f>
        <v>201.21196412</v>
      </c>
      <c r="AI243" s="3">
        <f>AI103</f>
        <v>221.850208</v>
      </c>
      <c r="AJ243" s="3">
        <f>AJ103</f>
        <v>79.877098146265</v>
      </c>
      <c r="AK243" s="3">
        <f>AK103</f>
        <v>76.8792331835913</v>
      </c>
      <c r="AL243" s="3">
        <f>SUM(AH243:AK243)</f>
        <v>579.818503449857</v>
      </c>
      <c r="AM243" s="3">
        <f>AM103</f>
        <v>77.99650048</v>
      </c>
      <c r="AN243" s="3">
        <f>AN103</f>
        <v>317.78049686</v>
      </c>
      <c r="AO243" s="3">
        <f>AO103</f>
        <v>78.560734716265</v>
      </c>
      <c r="AP243" s="3">
        <f>AP103</f>
        <v>318.007832043591</v>
      </c>
      <c r="AQ243" s="3">
        <f>SUM(AM243:AP243)</f>
        <v>792.345564099856</v>
      </c>
      <c r="AR243" s="3">
        <f>AR103</f>
        <v>319.12509934</v>
      </c>
      <c r="AS243" s="3">
        <f>AS103</f>
        <v>797.40496772</v>
      </c>
      <c r="AT243" s="3">
        <f>AT103</f>
        <v>319.689333576265</v>
      </c>
      <c r="AU243" s="3">
        <f>AU103</f>
        <v>797.632302903591</v>
      </c>
      <c r="AV243" s="3">
        <f>SUM(AR243:AU243)</f>
        <v>2233.85170353986</v>
      </c>
      <c r="AW243" s="3">
        <f>AW103</f>
        <v>798.7495702</v>
      </c>
      <c r="AX243" s="3">
        <f>AX103</f>
        <v>2238.91110716</v>
      </c>
      <c r="AY243" s="3">
        <f>AY103</f>
        <v>799.313804436265</v>
      </c>
      <c r="AZ243" s="3">
        <f>AZ103</f>
        <v>2239.13844234359</v>
      </c>
      <c r="BA243" s="3">
        <f>SUM(AW243:AZ243)</f>
        <v>6076.11292413986</v>
      </c>
      <c r="BB243" s="3">
        <f>BB103</f>
        <v>2240.25570964</v>
      </c>
      <c r="BC243" s="3">
        <f>BC103</f>
        <v>6081.17232776</v>
      </c>
      <c r="BD243" s="3">
        <f>BD103</f>
        <v>2240.81994387627</v>
      </c>
      <c r="BE243" s="3">
        <f>BE103</f>
        <v>6081.39966294359</v>
      </c>
      <c r="BF243" s="3">
        <f>SUM(BB243:BE243)</f>
        <v>16643.6476442199</v>
      </c>
      <c r="BG243" s="3">
        <f>BG103</f>
        <v>6082.51693024</v>
      </c>
      <c r="BH243" s="3">
        <f>BH103</f>
        <v>16648.70704784</v>
      </c>
      <c r="BI243" s="3">
        <f>BI103</f>
        <v>6083.08116447626</v>
      </c>
      <c r="BJ243" s="3">
        <f>BJ103</f>
        <v>16648.9343830236</v>
      </c>
      <c r="BK243" s="3">
        <f>SUM(BG243:BJ243)</f>
        <v>45463.2395255799</v>
      </c>
      <c r="BL243" s="3">
        <f>BL103</f>
        <v>16650.05165032</v>
      </c>
      <c r="BM243" s="3">
        <f>BM103</f>
        <v>45468.2989292</v>
      </c>
      <c r="BN243" s="3">
        <f>BN103</f>
        <v>16650.6158845563</v>
      </c>
      <c r="BO243" s="3">
        <f>BO103</f>
        <v>45468.5262643836</v>
      </c>
      <c r="BP243" s="3">
        <f>SUM(BL243:BO243)</f>
        <v>124237.49272846</v>
      </c>
      <c r="BQ243" s="3">
        <f>BQ103</f>
        <v>45469.64353168</v>
      </c>
      <c r="BR243" s="3">
        <f>BR103</f>
        <v>124242.55213208</v>
      </c>
      <c r="BS243" s="3">
        <f>BS103</f>
        <v>45470.2077659163</v>
      </c>
      <c r="BT243" s="3">
        <f>BT103</f>
        <v>124242.779467264</v>
      </c>
      <c r="BU243" s="3">
        <f>SUM(BQ243:BT243)</f>
        <v>339425.18289694</v>
      </c>
      <c r="BV243" s="3">
        <f>BV103</f>
        <v>124243.89673456</v>
      </c>
      <c r="BW243" s="3">
        <f>BW103</f>
        <v>339430.24230056</v>
      </c>
      <c r="BX243" s="3">
        <f>BX103</f>
        <v>124244.460968796</v>
      </c>
      <c r="BY243" s="3">
        <f>BY103</f>
        <v>339430.469635744</v>
      </c>
      <c r="BZ243" s="3">
        <f>SUM(BV243:BY243)</f>
        <v>927349.06963966</v>
      </c>
      <c r="CA243" s="3">
        <f>CA103</f>
        <v>339431.58690304</v>
      </c>
      <c r="CB243" s="3">
        <f>CB103</f>
        <v>927354.12904328</v>
      </c>
      <c r="CC243" s="3">
        <f>CC103</f>
        <v>339432.151137276</v>
      </c>
      <c r="CD243" s="3">
        <f>CD103</f>
        <v>927354.356378463</v>
      </c>
      <c r="CE243" s="3">
        <f>SUM(CA243:CD243)</f>
        <v>2533572.22346206</v>
      </c>
      <c r="CF243" s="3">
        <f>CF103</f>
        <v>927355.47364576</v>
      </c>
      <c r="CG243" s="3">
        <f>CG103</f>
        <v>2533577.28286568</v>
      </c>
      <c r="CH243" s="3">
        <f>CH103</f>
        <v>927356.037879996</v>
      </c>
      <c r="CI243" s="3">
        <f>CI103</f>
        <v>2533577.51020086</v>
      </c>
      <c r="CJ243" s="3">
        <f>SUM(CF243:CI243)</f>
        <v>6921866.3045923</v>
      </c>
      <c r="CK243" s="3">
        <f>CK103</f>
        <v>2533578.62746816</v>
      </c>
      <c r="CL243" s="3">
        <f>CL103</f>
        <v>6921871.36399592</v>
      </c>
      <c r="CM243" s="3">
        <f>CM103</f>
        <v>2533579.1917024</v>
      </c>
      <c r="CN243" s="3">
        <f>CN103</f>
        <v>6921871.5913311</v>
      </c>
      <c r="CO243" s="3">
        <f>SUM(CK243:CN243)</f>
        <v>18910900.7744976</v>
      </c>
      <c r="CP243" s="3">
        <f>CP103</f>
        <v>6921872.7085984</v>
      </c>
      <c r="CQ243" s="3">
        <f>CQ103</f>
        <v>18910905.8339012</v>
      </c>
      <c r="CR243" s="3">
        <f>CR103</f>
        <v>6921873.27283264</v>
      </c>
      <c r="CS243" s="3">
        <f>CS103</f>
        <v>18910906.0612364</v>
      </c>
      <c r="CT243" s="3">
        <f>SUM(CP243:CS243)</f>
        <v>51665557.8765686</v>
      </c>
      <c r="CU243" s="3">
        <f>CU103</f>
        <v>18910907.1785037</v>
      </c>
      <c r="CV243" s="3">
        <f>CV103</f>
        <v>51665562.9359722</v>
      </c>
      <c r="CW243" s="3">
        <f>CW103</f>
        <v>18910907.7427379</v>
      </c>
      <c r="CX243" s="3">
        <f>CX103</f>
        <v>51665563.1633074</v>
      </c>
      <c r="CY243" s="3">
        <f>SUM(CU243:CX243)</f>
        <v>141152941.020521</v>
      </c>
    </row>
    <row r="244">
      <c r="C244" s="29" t="inlineStr">
        <is>
          <t>Depreciation &amp; amortization</t>
        </is>
      </c>
      <c r="D244" s="3" t="n"/>
      <c r="E244" s="3">
        <f>-E36</f>
        <v>84.69920834</v>
      </c>
      <c r="F244" s="3">
        <f>-F36</f>
        <v>87.78008586</v>
      </c>
      <c r="G244" s="3">
        <f>-G36</f>
        <v>98.73427442</v>
      </c>
      <c r="H244" s="3">
        <f>SUM(D244:G244)</f>
        <v>271.21356862</v>
      </c>
      <c r="I244" s="3">
        <f>-I36</f>
        <v>86.83643829</v>
      </c>
      <c r="J244" s="3">
        <f>-J36</f>
        <v>90.88444056</v>
      </c>
      <c r="K244" s="3">
        <f>-K36</f>
        <v>103.83367925</v>
      </c>
      <c r="L244" s="3">
        <f>-L36</f>
        <v>107.72515852</v>
      </c>
      <c r="M244" s="3">
        <f>SUM(I244:L244)</f>
        <v>389.27971662</v>
      </c>
      <c r="N244" s="3">
        <f>-N36</f>
        <v>107.45963589</v>
      </c>
      <c r="O244" s="3">
        <f>-O36</f>
        <v>113.84256518</v>
      </c>
      <c r="P244" s="3">
        <f>-P36</f>
        <v>109.7525059</v>
      </c>
      <c r="Q244" s="3">
        <f>-Q36</f>
        <v>124.2846005</v>
      </c>
      <c r="R244" s="3">
        <f>SUM(N244:Q244)</f>
        <v>455.33930747</v>
      </c>
      <c r="S244" s="3">
        <f>-S36</f>
        <v>131.26208815</v>
      </c>
      <c r="T244" s="3">
        <f>-T36</f>
        <v>166.076</v>
      </c>
      <c r="U244" s="3">
        <f>-U36</f>
        <v>188.161</v>
      </c>
      <c r="V244" s="3">
        <f>-V36</f>
        <v>189.879</v>
      </c>
      <c r="W244" s="3">
        <f>SUM(S244:V244)</f>
        <v>675.37808815</v>
      </c>
      <c r="X244" s="3">
        <f>-X36</f>
        <v>189.554</v>
      </c>
      <c r="Y244" s="3">
        <f>-Y36</f>
        <v>191.804</v>
      </c>
      <c r="Z244" s="3">
        <f>-Z36</f>
        <v>196.609</v>
      </c>
      <c r="AA244" s="3">
        <f>-AA36</f>
        <v>202.016</v>
      </c>
      <c r="AB244" s="3">
        <f>SUM(X244:AA244)</f>
        <v>779.983</v>
      </c>
      <c r="AC244" s="3">
        <f>-AC36</f>
        <v>212.141077</v>
      </c>
      <c r="AD244" s="3">
        <f>-AD36</f>
        <v>222.403</v>
      </c>
      <c r="AE244" s="3">
        <f>-AE36</f>
        <v>229.37499664</v>
      </c>
      <c r="AF244" s="3">
        <f>-AF36</f>
        <v>236.39185589</v>
      </c>
      <c r="AG244" s="3">
        <f>SUM(AC244:AF244)</f>
        <v>900.31092953</v>
      </c>
      <c r="AH244" s="3">
        <f>-AH36</f>
        <v>233.12169578</v>
      </c>
      <c r="AI244" s="3">
        <f>-AI36</f>
        <v>215.806</v>
      </c>
      <c r="AJ244" s="3">
        <f>-AJ36</f>
        <v>0</v>
      </c>
      <c r="AK244" s="3">
        <f>-AK36</f>
        <v>0</v>
      </c>
      <c r="AL244" s="3">
        <f>SUM(AH244:AK244)</f>
        <v>448.92769578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38.3087090599993</v>
      </c>
      <c r="F245" s="3">
        <f>SUM(F246:F255)</f>
        <v>-82.6478050399962</v>
      </c>
      <c r="G245" s="3">
        <f>SUM(G246:G255)</f>
        <v>-138.129654540003</v>
      </c>
      <c r="H245" s="3">
        <f>SUM(D245:G245)</f>
        <v>-182.46875052</v>
      </c>
      <c r="I245" s="3">
        <f>SUM(I246:I255)</f>
        <v>37.04643874</v>
      </c>
      <c r="J245" s="3">
        <f>SUM(J246:J255)</f>
        <v>-59.5358476500001</v>
      </c>
      <c r="K245" s="3">
        <f>SUM(K246:K255)</f>
        <v>-11.41154104</v>
      </c>
      <c r="L245" s="3">
        <f>SUM(L246:L255)</f>
        <v>72.1084903567785</v>
      </c>
      <c r="M245" s="3">
        <f>SUM(I245:L245)</f>
        <v>38.2075404067785</v>
      </c>
      <c r="N245" s="3">
        <f>SUM(N246:N255)</f>
        <v>-21.7527597167786</v>
      </c>
      <c r="O245" s="3">
        <f>SUM(O246:O255)</f>
        <v>-218.14358683</v>
      </c>
      <c r="P245" s="3">
        <f>SUM(P246:P255)</f>
        <v>28.84622958</v>
      </c>
      <c r="Q245" s="3">
        <f>SUM(Q246:Q255)</f>
        <v>36.5891604500001</v>
      </c>
      <c r="R245" s="3">
        <f>SUM(N245:Q245)</f>
        <v>-174.460956516779</v>
      </c>
      <c r="S245" s="3">
        <f>SUM(S246:S255)</f>
        <v>-133.29682737</v>
      </c>
      <c r="T245" s="3">
        <f>SUM(T246:T255)</f>
        <v>-74.7441259400002</v>
      </c>
      <c r="U245" s="3">
        <f>SUM(U246:U255)</f>
        <v>87.0000000000002</v>
      </c>
      <c r="V245" s="3">
        <f>SUM(V246:V255)</f>
        <v>-61.8779999999999</v>
      </c>
      <c r="W245" s="3">
        <f>SUM(S245:V245)</f>
        <v>-182.91895331</v>
      </c>
      <c r="X245" s="3">
        <f>SUM(X246:X255)</f>
        <v>-218.027</v>
      </c>
      <c r="Y245" s="3">
        <f>SUM(Y246:Y255)</f>
        <v>-8.55599999999998</v>
      </c>
      <c r="Z245" s="3">
        <f>SUM(Z246:Z255)</f>
        <v>200.127</v>
      </c>
      <c r="AA245" s="3">
        <f>SUM(AA246:AA255)</f>
        <v>4.24200000000005</v>
      </c>
      <c r="AB245" s="3">
        <f>SUM(X245:AA245)</f>
        <v>-22.2140000000001</v>
      </c>
      <c r="AC245" s="3">
        <f>SUM(AC246:AC255)</f>
        <v>-18.082179</v>
      </c>
      <c r="AD245" s="3">
        <f>SUM(AD246:AD255)</f>
        <v>-320.737821</v>
      </c>
      <c r="AE245" s="3">
        <f>SUM(AE246:AE255)</f>
        <v>262.17</v>
      </c>
      <c r="AF245" s="3">
        <f>SUM(AF246:AF255)</f>
        <v>259.668</v>
      </c>
      <c r="AG245" s="3">
        <f>SUM(AC245:AF245)</f>
        <v>183.018</v>
      </c>
      <c r="AH245" s="3">
        <f>SUM(AH246:AH255)</f>
        <v>-372.002</v>
      </c>
      <c r="AI245" s="3">
        <f>SUM(AI246:AI255)</f>
        <v>-201.88</v>
      </c>
      <c r="AJ245" s="3">
        <f>SUM(AJ246:AJ255)</f>
        <v>891.536</v>
      </c>
      <c r="AK245" s="3">
        <f>SUM(AK246:AK255)</f>
        <v>0</v>
      </c>
      <c r="AL245" s="3">
        <f>SUM(AH245:AK245)</f>
        <v>317.654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122.16450825</v>
      </c>
      <c r="F246" s="3">
        <f>(F111-E111)*-1</f>
        <v>-216.09019169</v>
      </c>
      <c r="G246" s="3">
        <f>(G111-F111)*-1</f>
        <v>-62.46092185</v>
      </c>
      <c r="H246" s="3">
        <f>SUM(D246:G246)</f>
        <v>-156.38660529</v>
      </c>
      <c r="I246" s="3">
        <f>(I111-H111)*-1</f>
        <v>-17.86457392</v>
      </c>
      <c r="J246" s="3">
        <f>(J111-I111)*-1</f>
        <v>12.1726211700001</v>
      </c>
      <c r="K246" s="3">
        <f>(K111-J111)*-1</f>
        <v>-88.71954897</v>
      </c>
      <c r="L246" s="3">
        <f>(L111-K111)*-1</f>
        <v>5.02877549677839</v>
      </c>
      <c r="M246" s="3">
        <f>SUM(I246:L246)</f>
        <v>-89.3827262232215</v>
      </c>
      <c r="N246" s="3">
        <f>(N111-M111)*-1</f>
        <v>-73.8928991167786</v>
      </c>
      <c r="O246" s="3">
        <f>(O111-N111)*-1</f>
        <v>-33.1861903199999</v>
      </c>
      <c r="P246" s="3">
        <f>(P111-O111)*-1</f>
        <v>15.46301535</v>
      </c>
      <c r="Q246" s="3">
        <f>(Q111-P111)*-1</f>
        <v>28.6178567300001</v>
      </c>
      <c r="R246" s="3">
        <f>SUM(N246:Q246)</f>
        <v>-62.9982173567785</v>
      </c>
      <c r="S246" s="3">
        <f>(S111-R111)*-1</f>
        <v>-116.8523547</v>
      </c>
      <c r="T246" s="3">
        <f>(T111-S111)*-1</f>
        <v>-512.32258241</v>
      </c>
      <c r="U246" s="3">
        <f>(U111-T111)*-1</f>
        <v>-72.598</v>
      </c>
      <c r="V246" s="3">
        <f>(V111-U111)*-1</f>
        <v>53.4280000000001</v>
      </c>
      <c r="W246" s="3">
        <f>SUM(S246:V246)</f>
        <v>-648.34493711</v>
      </c>
      <c r="X246" s="3">
        <f>(X111-W111)*-1</f>
        <v>-225.855</v>
      </c>
      <c r="Y246" s="3">
        <f>(Y111-X111)*-1</f>
        <v>-28.001</v>
      </c>
      <c r="Z246" s="3">
        <f>(Z111-Y111)*-1</f>
        <v>-4.79700000000003</v>
      </c>
      <c r="AA246" s="3">
        <f>(AA111-Z111)*-1</f>
        <v>128.943</v>
      </c>
      <c r="AB246" s="3">
        <f>SUM(X246:AA246)</f>
        <v>-129.71</v>
      </c>
      <c r="AC246" s="3">
        <f>(AC111-AB111)*-1</f>
        <v>-154.219657</v>
      </c>
      <c r="AD246" s="3">
        <f>(AD111-AC111)*-1</f>
        <v>-70.4963430000003</v>
      </c>
      <c r="AE246" s="3">
        <f>(AE111-AD111)*-1</f>
        <v>-51.5529999999999</v>
      </c>
      <c r="AF246" s="3">
        <f>(AF111-AE111)*-1</f>
        <v>164.007</v>
      </c>
      <c r="AG246" s="3">
        <f>SUM(AC246:AF246)</f>
        <v>-112.262</v>
      </c>
      <c r="AH246" s="3">
        <f>(AH111-AG111)*-1</f>
        <v>-258.703</v>
      </c>
      <c r="AI246" s="3">
        <f>(AI111-AH111)*-1</f>
        <v>-88.866</v>
      </c>
      <c r="AJ246" s="3">
        <f>(AJ111-AI111)*-1</f>
        <v>2094.735</v>
      </c>
      <c r="AK246" s="3">
        <f>(AK111-AJ111)*-1</f>
        <v>0</v>
      </c>
      <c r="AL246" s="3">
        <f>SUM(AH246:AK246)</f>
        <v>1747.166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-46.99476632</v>
      </c>
      <c r="F247" s="3">
        <f>(F115-E115)*-1</f>
        <v>2.17613297999998</v>
      </c>
      <c r="G247" s="3">
        <f>(G115-F115)*-1</f>
        <v>18.59448961</v>
      </c>
      <c r="H247" s="3">
        <f>SUM(D247:G247)</f>
        <v>-26.22414373</v>
      </c>
      <c r="I247" s="3">
        <f>(I115-H115)*-1</f>
        <v>-0.742301830000017</v>
      </c>
      <c r="J247" s="3">
        <f>(J115-I115)*-1</f>
        <v>-7.67867914</v>
      </c>
      <c r="K247" s="3">
        <f>(K115-J115)*-1</f>
        <v>3.13465861999998</v>
      </c>
      <c r="L247" s="3">
        <f>(L115-K115)*-1</f>
        <v>-4.23106659999996</v>
      </c>
      <c r="M247" s="3">
        <f>SUM(I247:L247)</f>
        <v>-9.51738895</v>
      </c>
      <c r="N247" s="3">
        <f>(N115-M115)*-1</f>
        <v>-22.55864489</v>
      </c>
      <c r="O247" s="3">
        <f>(O115-N115)*-1</f>
        <v>18.95992783</v>
      </c>
      <c r="P247" s="3">
        <f>(P115-O115)*-1</f>
        <v>-9.26400406000001</v>
      </c>
      <c r="Q247" s="3">
        <f>(Q115-P115)*-1</f>
        <v>-11.10290587</v>
      </c>
      <c r="R247" s="3">
        <f>SUM(N247:Q247)</f>
        <v>-23.96562699</v>
      </c>
      <c r="S247" s="3">
        <f>(S115-R115)*-1</f>
        <v>-2.67152191</v>
      </c>
      <c r="T247" s="3">
        <f>(T115-S115)*-1</f>
        <v>-33.21693238</v>
      </c>
      <c r="U247" s="3">
        <f>(U115-T115)*-1</f>
        <v>-2.732</v>
      </c>
      <c r="V247" s="3">
        <f>(V115-U115)*-1</f>
        <v>0.266999999999996</v>
      </c>
      <c r="W247" s="3">
        <f>SUM(S247:V247)</f>
        <v>-38.35345429</v>
      </c>
      <c r="X247" s="3">
        <f>(X115-W115)*-1</f>
        <v>7.367</v>
      </c>
      <c r="Y247" s="3">
        <f>(Y115-X115)*-1</f>
        <v>-11.989</v>
      </c>
      <c r="Z247" s="3">
        <f>(Z115-Y115)*-1</f>
        <v>0.0400000000000205</v>
      </c>
      <c r="AA247" s="3">
        <f>(AA115-Z115)*-1</f>
        <v>-15.525</v>
      </c>
      <c r="AB247" s="3">
        <f>SUM(X247:AA247)</f>
        <v>-20.107</v>
      </c>
      <c r="AC247" s="3">
        <f>(AC115-AB115)*-1</f>
        <v>-0.459578999999991</v>
      </c>
      <c r="AD247" s="3">
        <f>(AD115-AC115)*-1</f>
        <v>5.91657899999998</v>
      </c>
      <c r="AE247" s="3">
        <f>(AE115-AD115)*-1</f>
        <v>-5.39599999999999</v>
      </c>
      <c r="AF247" s="3">
        <f>(AF115-AE115)*-1</f>
        <v>-25.727</v>
      </c>
      <c r="AG247" s="3">
        <f>SUM(AC247:AF247)</f>
        <v>-25.666</v>
      </c>
      <c r="AH247" s="3">
        <f>(AH115-AG115)*-1</f>
        <v>29.884</v>
      </c>
      <c r="AI247" s="3">
        <f>(AI115-AH115)*-1</f>
        <v>-5.77199999999999</v>
      </c>
      <c r="AJ247" s="3">
        <f>(AJ115-AI115)*-1</f>
        <v>156.59</v>
      </c>
      <c r="AK247" s="3">
        <f>(AK115-AJ115)*-1</f>
        <v>0</v>
      </c>
      <c r="AL247" s="3">
        <f>SUM(AH247:AK247)</f>
        <v>180.702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-67.49999699</v>
      </c>
      <c r="F248" s="3">
        <f>(F119-E119)*-1</f>
        <v>13.70789916</v>
      </c>
      <c r="G248" s="3">
        <f>(G119-F119)*-1</f>
        <v>-9.63708762000002</v>
      </c>
      <c r="H248" s="3">
        <f>SUM(D248:G248)</f>
        <v>-63.42918545</v>
      </c>
      <c r="I248" s="3">
        <f>(I119-H119)*-1</f>
        <v>-14.99168548</v>
      </c>
      <c r="J248" s="3">
        <f>(J119-I119)*-1</f>
        <v>-16.60602995</v>
      </c>
      <c r="K248" s="3">
        <f>(K119-J119)*-1</f>
        <v>-7.53807893</v>
      </c>
      <c r="L248" s="3">
        <f>(L119-K119)*-1</f>
        <v>89.89737981</v>
      </c>
      <c r="M248" s="3">
        <f>SUM(I248:L248)</f>
        <v>50.76158545</v>
      </c>
      <c r="N248" s="3">
        <f>(N119-M119)*-1</f>
        <v>-11.99535428</v>
      </c>
      <c r="O248" s="3">
        <f>(O119-N119)*-1</f>
        <v>-113.62430082</v>
      </c>
      <c r="P248" s="3">
        <f>(P119-O119)*-1</f>
        <v>-26.59413358</v>
      </c>
      <c r="Q248" s="3">
        <f>(Q119-P119)*-1</f>
        <v>128.78445306</v>
      </c>
      <c r="R248" s="3">
        <f>SUM(N248:Q248)</f>
        <v>-23.42933562</v>
      </c>
      <c r="S248" s="3">
        <f>(S119-R119)*-1</f>
        <v>-4.60149490999999</v>
      </c>
      <c r="T248" s="3">
        <f>(T119-S119)*-1</f>
        <v>-2.67516947</v>
      </c>
      <c r="U248" s="3">
        <f>(U119-T119)*-1</f>
        <v>26.206</v>
      </c>
      <c r="V248" s="3">
        <f>(V119-U119)*-1</f>
        <v>-4.661</v>
      </c>
      <c r="W248" s="3">
        <f>SUM(S248:V248)</f>
        <v>14.26833562</v>
      </c>
      <c r="X248" s="3">
        <f>(X119-W119)*-1</f>
        <v>0.247</v>
      </c>
      <c r="Y248" s="3">
        <f>(Y119-X119)*-1</f>
        <v>-3.176</v>
      </c>
      <c r="Z248" s="3">
        <f>(Z119-Y119)*-1</f>
        <v>-0.0929999999999964</v>
      </c>
      <c r="AA248" s="3">
        <f>(AA119-Z119)*-1</f>
        <v>16.9</v>
      </c>
      <c r="AB248" s="3">
        <f>SUM(X248:AA248)</f>
        <v>13.878</v>
      </c>
      <c r="AC248" s="3">
        <f>(AC119-AB119)*-1</f>
        <v>-1.401454</v>
      </c>
      <c r="AD248" s="3">
        <f>(AD119-AC119)*-1</f>
        <v>10.297454</v>
      </c>
      <c r="AE248" s="3">
        <f>(AE119-AD119)*-1</f>
        <v>-0.429</v>
      </c>
      <c r="AF248" s="3">
        <f>(AF119-AE119)*-1</f>
        <v>0.953000000000001</v>
      </c>
      <c r="AG248" s="3">
        <f>SUM(AC248:AF248)</f>
        <v>9.42</v>
      </c>
      <c r="AH248" s="3">
        <f>(AH119-AG119)*-1</f>
        <v>2.628</v>
      </c>
      <c r="AI248" s="3">
        <f>(AI119-AH119)*-1</f>
        <v>-1.839</v>
      </c>
      <c r="AJ248" s="3">
        <f>(AJ119-AI119)*-1</f>
        <v>0</v>
      </c>
      <c r="AK248" s="3">
        <f>(AK119-AJ119)*-1</f>
        <v>0</v>
      </c>
      <c r="AL248" s="3">
        <f>SUM(AH248:AK248)</f>
        <v>0.789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-6.66930662</v>
      </c>
      <c r="F249" s="3">
        <f>(F120-E120)*-1</f>
        <v>4.95895676</v>
      </c>
      <c r="G249" s="3">
        <f>(G120-F120)*-1</f>
        <v>8.26301844</v>
      </c>
      <c r="H249" s="3">
        <f>SUM(D249:G249)</f>
        <v>6.55266858</v>
      </c>
      <c r="I249" s="3">
        <f>(I120-H120)*-1</f>
        <v>-13.66855291</v>
      </c>
      <c r="J249" s="3">
        <f>(J120-I120)*-1</f>
        <v>1.69108772000001</v>
      </c>
      <c r="K249" s="3">
        <f>(K120-J120)*-1</f>
        <v>6.87841104</v>
      </c>
      <c r="L249" s="3">
        <f>(L120-K120)*-1</f>
        <v>5.95296064</v>
      </c>
      <c r="M249" s="3">
        <f>SUM(I249:L249)</f>
        <v>0.853906489999999</v>
      </c>
      <c r="N249" s="3">
        <f>(N120-M120)*-1</f>
        <v>-21.751686</v>
      </c>
      <c r="O249" s="3">
        <f>(O120-N120)*-1</f>
        <v>1.41326667</v>
      </c>
      <c r="P249" s="3">
        <f>(P120-O120)*-1</f>
        <v>4.83963697</v>
      </c>
      <c r="Q249" s="3">
        <f>(Q120-P120)*-1</f>
        <v>22.41682529</v>
      </c>
      <c r="R249" s="3">
        <f>SUM(N249:Q249)</f>
        <v>6.91804293</v>
      </c>
      <c r="S249" s="3">
        <f>(S120-R120)*-1</f>
        <v>0</v>
      </c>
      <c r="T249" s="3">
        <f>(T120-S120)*-1</f>
        <v>0</v>
      </c>
      <c r="U249" s="3">
        <f>(U120-T120)*-1</f>
        <v>0</v>
      </c>
      <c r="V249" s="3">
        <f>(V120-U120)*-1</f>
        <v>0</v>
      </c>
      <c r="W249" s="3">
        <f>SUM(S249:V249)</f>
        <v>0</v>
      </c>
      <c r="X249" s="3">
        <f>(X120-W120)*-1</f>
        <v>0</v>
      </c>
      <c r="Y249" s="3">
        <f>(Y120-X120)*-1</f>
        <v>0</v>
      </c>
      <c r="Z249" s="3">
        <f>(Z120-Y120)*-1</f>
        <v>0</v>
      </c>
      <c r="AA249" s="3">
        <f>(AA120-Z120)*-1</f>
        <v>0</v>
      </c>
      <c r="AB249" s="3">
        <f>SUM(X249:AA249)</f>
        <v>0</v>
      </c>
      <c r="AC249" s="3">
        <f>(AC120-AB120)*-1</f>
        <v>0</v>
      </c>
      <c r="AD249" s="3">
        <f>(AD120-AC120)*-1</f>
        <v>0</v>
      </c>
      <c r="AE249" s="3">
        <f>(AE120-AD120)*-1</f>
        <v>0</v>
      </c>
      <c r="AF249" s="3">
        <f>(AF120-AE120)*-1</f>
        <v>0</v>
      </c>
      <c r="AG249" s="3">
        <f>SUM(AC249:AF249)</f>
        <v>0</v>
      </c>
      <c r="AH249" s="3">
        <f>(AH120-AG120)*-1</f>
        <v>0</v>
      </c>
      <c r="AI249" s="3">
        <f>(AI120-AH120)*-1</f>
        <v>0</v>
      </c>
      <c r="AJ249" s="3">
        <f>(AJ120-AI120)*-1</f>
        <v>0</v>
      </c>
      <c r="AK249" s="3">
        <f>(AK120-AJ120)*-1</f>
        <v>0</v>
      </c>
      <c r="AL249" s="3">
        <f>SUM(AH249:AK249)</f>
        <v>0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-16.0547727000008</v>
      </c>
      <c r="F250" s="3">
        <f>(F121-E121)*-1</f>
        <v>22.1096917000038</v>
      </c>
      <c r="G250" s="3">
        <f>(G121-F121)*-1</f>
        <v>13.211984149997</v>
      </c>
      <c r="H250" s="3">
        <f>SUM(D250:G250)</f>
        <v>19.26690315</v>
      </c>
      <c r="I250" s="3">
        <f>(I121-H121)*-1</f>
        <v>-0.568412970000018</v>
      </c>
      <c r="J250" s="3">
        <f>(J121-I121)*-1</f>
        <v>1.77279984000001</v>
      </c>
      <c r="K250" s="3">
        <f>(K121-J121)*-1</f>
        <v>-89.83614434</v>
      </c>
      <c r="L250" s="3">
        <f>(L121-K121)*-1</f>
        <v>79.69548651</v>
      </c>
      <c r="M250" s="3">
        <f>SUM(I250:L250)</f>
        <v>-8.93627096000003</v>
      </c>
      <c r="N250" s="3">
        <f>(N121-M121)*-1</f>
        <v>-32.15093362</v>
      </c>
      <c r="O250" s="3">
        <f>(O121-N121)*-1</f>
        <v>-43.77029562</v>
      </c>
      <c r="P250" s="3">
        <f>(P121-O121)*-1</f>
        <v>-32.50161171</v>
      </c>
      <c r="Q250" s="3">
        <f>(Q121-P121)*-1</f>
        <v>51.93134997</v>
      </c>
      <c r="R250" s="3">
        <f>SUM(N250:Q250)</f>
        <v>-56.49149098</v>
      </c>
      <c r="S250" s="3">
        <f>(S121-R121)*-1</f>
        <v>7.21647343000001</v>
      </c>
      <c r="T250" s="3">
        <f>(T121-S121)*-1</f>
        <v>-87.172241</v>
      </c>
      <c r="U250" s="3">
        <f>(U121-T121)*-1</f>
        <v>40.342</v>
      </c>
      <c r="V250" s="3">
        <f>(V121-U121)*-1</f>
        <v>-71.198</v>
      </c>
      <c r="W250" s="3">
        <f>SUM(S250:V250)</f>
        <v>-110.81176757</v>
      </c>
      <c r="X250" s="3">
        <f>(X121-W121)*-1</f>
        <v>-15.695</v>
      </c>
      <c r="Y250" s="3">
        <f>(Y121-X121)*-1</f>
        <v>-10.071</v>
      </c>
      <c r="Z250" s="3">
        <f>(Z121-Y121)*-1</f>
        <v>11.414</v>
      </c>
      <c r="AA250" s="3">
        <f>(AA121-Z121)*-1</f>
        <v>9.54200000000003</v>
      </c>
      <c r="AB250" s="3">
        <f>SUM(X250:AA250)</f>
        <v>-4.81</v>
      </c>
      <c r="AC250" s="3">
        <f>(AC121-AB121)*-1</f>
        <v>-13.94</v>
      </c>
      <c r="AD250" s="3">
        <f>(AD121-AC121)*-1</f>
        <v>-16.225</v>
      </c>
      <c r="AE250" s="3">
        <f>(AE121-AD121)*-1</f>
        <v>-11.033</v>
      </c>
      <c r="AF250" s="3">
        <f>(AF121-AE121)*-1</f>
        <v>-45.8970000000001</v>
      </c>
      <c r="AG250" s="3">
        <f>SUM(AC250:AF250)</f>
        <v>-87.095</v>
      </c>
      <c r="AH250" s="3">
        <f>(AH121-AG121)*-1</f>
        <v>-12.24</v>
      </c>
      <c r="AI250" s="3">
        <f>(AI121-AH121)*-1</f>
        <v>-45.03</v>
      </c>
      <c r="AJ250" s="3">
        <f>(AJ121-AI121)*-1</f>
        <v>0</v>
      </c>
      <c r="AK250" s="3">
        <f>(AK121-AJ121)*-1</f>
        <v>0</v>
      </c>
      <c r="AL250" s="3">
        <f>SUM(AH250:AK250)</f>
        <v>-57.27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-15.9830879100001</v>
      </c>
      <c r="F251" s="3">
        <f>F164-E164</f>
        <v>34.37160213</v>
      </c>
      <c r="G251" s="3">
        <f>G164-F164</f>
        <v>53.49231142</v>
      </c>
      <c r="H251" s="3">
        <f>SUM(D251:G251)</f>
        <v>71.8808256399999</v>
      </c>
      <c r="I251" s="3">
        <f>I164-H164</f>
        <v>-33.00081969</v>
      </c>
      <c r="J251" s="3">
        <f>J164-I164</f>
        <v>54.47829324</v>
      </c>
      <c r="K251" s="3">
        <f>K164-J164</f>
        <v>18.66840796</v>
      </c>
      <c r="L251" s="3">
        <f>L164-K164</f>
        <v>66.2759121299999</v>
      </c>
      <c r="M251" s="3">
        <f>SUM(I251:L251)</f>
        <v>106.42179364</v>
      </c>
      <c r="N251" s="3">
        <f>N164-M164</f>
        <v>-50.5623940899999</v>
      </c>
      <c r="O251" s="3">
        <f>O164-N164</f>
        <v>-3.64324785000002</v>
      </c>
      <c r="P251" s="3">
        <f>P164-O164</f>
        <v>-4.96310746</v>
      </c>
      <c r="Q251" s="3">
        <f>Q164-P164</f>
        <v>66.55579386</v>
      </c>
      <c r="R251" s="3">
        <f>SUM(N251:Q251)</f>
        <v>7.38704446000003</v>
      </c>
      <c r="S251" s="3">
        <f>S164-R164</f>
        <v>-4.54999776999995</v>
      </c>
      <c r="T251" s="3">
        <f>T164-S164</f>
        <v>231.55210136</v>
      </c>
      <c r="U251" s="3">
        <f>U164-T164</f>
        <v>-16.045</v>
      </c>
      <c r="V251" s="3">
        <f>V164-U164</f>
        <v>45.188</v>
      </c>
      <c r="W251" s="3">
        <f>SUM(S251:V251)</f>
        <v>256.14510359</v>
      </c>
      <c r="X251" s="3">
        <f>X164-W164</f>
        <v>12.033</v>
      </c>
      <c r="Y251" s="3">
        <f>Y164-X164</f>
        <v>44.029</v>
      </c>
      <c r="Z251" s="3">
        <f>Z164-Y164</f>
        <v>-28.9300000000001</v>
      </c>
      <c r="AA251" s="3">
        <f>AA164-Z164</f>
        <v>56.4640000000001</v>
      </c>
      <c r="AB251" s="3">
        <f>SUM(X251:AA251)</f>
        <v>83.596</v>
      </c>
      <c r="AC251" s="3">
        <f>AC164-AB164</f>
        <v>-29.2926040000001</v>
      </c>
      <c r="AD251" s="3">
        <f>AD164-AC164</f>
        <v>-21.7793959999999</v>
      </c>
      <c r="AE251" s="3">
        <f>AE164-AD164</f>
        <v>68.407</v>
      </c>
      <c r="AF251" s="3">
        <f>AF164-AE164</f>
        <v>78.789</v>
      </c>
      <c r="AG251" s="3">
        <f>SUM(AC251:AF251)</f>
        <v>96.124</v>
      </c>
      <c r="AH251" s="3">
        <f>AH164-AG164</f>
        <v>-66.8340000000001</v>
      </c>
      <c r="AI251" s="3">
        <f>AI164-AH164</f>
        <v>107.436</v>
      </c>
      <c r="AJ251" s="3">
        <f>AJ164-AI164</f>
        <v>-840.735</v>
      </c>
      <c r="AK251" s="3">
        <f>AK164-AJ164</f>
        <v>0</v>
      </c>
      <c r="AL251" s="3">
        <f>SUM(AH251:AK251)</f>
        <v>-800.133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19.91782057</v>
      </c>
      <c r="F252" s="3">
        <f>F168-E168</f>
        <v>19.76330544</v>
      </c>
      <c r="G252" s="3">
        <f>G168-F168</f>
        <v>-9.81846976</v>
      </c>
      <c r="H252" s="3">
        <f>SUM(D252:G252)</f>
        <v>29.86265625</v>
      </c>
      <c r="I252" s="3">
        <f>I168-H168</f>
        <v>-9.00270121</v>
      </c>
      <c r="J252" s="3">
        <f>J168-I168</f>
        <v>49.27877659</v>
      </c>
      <c r="K252" s="3">
        <f>K168-J168</f>
        <v>39.19240667</v>
      </c>
      <c r="L252" s="3">
        <f>L168-K168</f>
        <v>-16.07435722</v>
      </c>
      <c r="M252" s="3">
        <f>SUM(I252:L252)</f>
        <v>63.39412483</v>
      </c>
      <c r="N252" s="3">
        <f>N168-M168</f>
        <v>-29.4496219</v>
      </c>
      <c r="O252" s="3">
        <f>O168-N168</f>
        <v>38.16830608</v>
      </c>
      <c r="P252" s="3">
        <f>P168-O168</f>
        <v>30.2686412</v>
      </c>
      <c r="Q252" s="3">
        <f>Q168-P168</f>
        <v>-13.55522774</v>
      </c>
      <c r="R252" s="3">
        <f>SUM(N252:Q252)</f>
        <v>25.43209764</v>
      </c>
      <c r="S252" s="3">
        <f>S168-R168</f>
        <v>-36.04605973</v>
      </c>
      <c r="T252" s="3">
        <f>T168-S168</f>
        <v>137.38276287</v>
      </c>
      <c r="U252" s="3">
        <f>U168-T168</f>
        <v>51.824</v>
      </c>
      <c r="V252" s="3">
        <f>V168-U168</f>
        <v>-41.772</v>
      </c>
      <c r="W252" s="3">
        <f>SUM(S252:V252)</f>
        <v>111.38870314</v>
      </c>
      <c r="X252" s="3">
        <f>X168-W168</f>
        <v>-53.181</v>
      </c>
      <c r="Y252" s="3">
        <f>Y168-X168</f>
        <v>67.143</v>
      </c>
      <c r="Z252" s="3">
        <f>Z168-Y168</f>
        <v>49.781</v>
      </c>
      <c r="AA252" s="3">
        <f>AA168-Z168</f>
        <v>-20.83</v>
      </c>
      <c r="AB252" s="3">
        <f>SUM(X252:AA252)</f>
        <v>42.913</v>
      </c>
      <c r="AC252" s="3">
        <f>AC168-AB168</f>
        <v>-72.139726</v>
      </c>
      <c r="AD252" s="3">
        <f>AD168-AC168</f>
        <v>58.640726</v>
      </c>
      <c r="AE252" s="3">
        <f>AE168-AD168</f>
        <v>70.573</v>
      </c>
      <c r="AF252" s="3">
        <f>AF168-AE168</f>
        <v>-31.344</v>
      </c>
      <c r="AG252" s="3">
        <f>SUM(AC252:AF252)</f>
        <v>25.73</v>
      </c>
      <c r="AH252" s="3">
        <f>AH168-AG168</f>
        <v>-62.336</v>
      </c>
      <c r="AI252" s="3">
        <f>AI168-AH168</f>
        <v>60.75</v>
      </c>
      <c r="AJ252" s="3">
        <f>AJ168-AI168</f>
        <v>-406.046</v>
      </c>
      <c r="AK252" s="3">
        <f>AK168-AJ168</f>
        <v>0</v>
      </c>
      <c r="AL252" s="3">
        <f>SUM(AH252:AK252)</f>
        <v>-407.632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-1.64015231</v>
      </c>
      <c r="F253" s="3">
        <f>F170-E170</f>
        <v>37.52205382</v>
      </c>
      <c r="G253" s="3">
        <f>G170-F170</f>
        <v>-26.78605119</v>
      </c>
      <c r="H253" s="3">
        <f>SUM(D253:G253)</f>
        <v>9.09585031999999</v>
      </c>
      <c r="I253" s="3">
        <f>I170-H170</f>
        <v>45.01445575</v>
      </c>
      <c r="J253" s="3">
        <f>J170-I170</f>
        <v>1.51094669999996</v>
      </c>
      <c r="K253" s="3">
        <f>K170-J170</f>
        <v>107.50965615</v>
      </c>
      <c r="L253" s="3">
        <f>L170-K170</f>
        <v>-100.42020149</v>
      </c>
      <c r="M253" s="3">
        <f>SUM(I253:L253)</f>
        <v>53.61485711</v>
      </c>
      <c r="N253" s="3">
        <f>N170-M170</f>
        <v>-9.39097846999999</v>
      </c>
      <c r="O253" s="3">
        <f>O170-N170</f>
        <v>42.81367647</v>
      </c>
      <c r="P253" s="3">
        <f>P170-O170</f>
        <v>48.35775567</v>
      </c>
      <c r="Q253" s="3">
        <f>Q170-P170</f>
        <v>-125.10278092</v>
      </c>
      <c r="R253" s="3">
        <f>SUM(N253:Q253)</f>
        <v>-43.32232725</v>
      </c>
      <c r="S253" s="3">
        <f>S170-R170</f>
        <v>11.55106831</v>
      </c>
      <c r="T253" s="3">
        <f>T170-S170</f>
        <v>21.09085165</v>
      </c>
      <c r="U253" s="3">
        <f>U170-T170</f>
        <v>3.47400000000002</v>
      </c>
      <c r="V253" s="3">
        <f>V170-U170</f>
        <v>-3.45500000000001</v>
      </c>
      <c r="W253" s="3">
        <f>SUM(S253:V253)</f>
        <v>32.66091996</v>
      </c>
      <c r="X253" s="3">
        <f>X170-W170</f>
        <v>-5.572</v>
      </c>
      <c r="Y253" s="3">
        <f>Y170-X170</f>
        <v>34.272</v>
      </c>
      <c r="Z253" s="3">
        <f>Z170-Y170</f>
        <v>-13.76</v>
      </c>
      <c r="AA253" s="3">
        <f>AA170-Z170</f>
        <v>3.05800000000001</v>
      </c>
      <c r="AB253" s="3">
        <f>SUM(X253:AA253)</f>
        <v>17.998</v>
      </c>
      <c r="AC253" s="3">
        <f>AC170-AB170</f>
        <v>-13.068778</v>
      </c>
      <c r="AD253" s="3">
        <f>AD170-AC170</f>
        <v>17.761778</v>
      </c>
      <c r="AE253" s="3">
        <f>AE170-AD170</f>
        <v>14.072</v>
      </c>
      <c r="AF253" s="3">
        <f>AF170-AE170</f>
        <v>-19.816</v>
      </c>
      <c r="AG253" s="3">
        <f>SUM(AC253:AF253)</f>
        <v>-1.051</v>
      </c>
      <c r="AH253" s="3">
        <f>AH170-AG170</f>
        <v>-8.28200000000001</v>
      </c>
      <c r="AI253" s="3">
        <f>AI170-AH170</f>
        <v>23.76</v>
      </c>
      <c r="AJ253" s="3">
        <f>AJ170-AI170</f>
        <v>-113.008</v>
      </c>
      <c r="AK253" s="3">
        <f>AK170-AJ170</f>
        <v>0</v>
      </c>
      <c r="AL253" s="3">
        <f>SUM(AH253:AK253)</f>
        <v>-97.53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0.0155094800000199</v>
      </c>
      <c r="F254" s="3">
        <f>F171-E171</f>
        <v>-0.369802130000011</v>
      </c>
      <c r="G254" s="3">
        <f>G171-F171</f>
        <v>-123.30467152</v>
      </c>
      <c r="H254" s="3">
        <f>SUM(D254:G254)</f>
        <v>-123.65896417</v>
      </c>
      <c r="I254" s="3">
        <f>I171-H171</f>
        <v>83.64543226</v>
      </c>
      <c r="J254" s="3">
        <f>J171-I171</f>
        <v>-155.66532882</v>
      </c>
      <c r="K254" s="3">
        <f>K171-J171</f>
        <v>0.0338307399999991</v>
      </c>
      <c r="L254" s="3">
        <f>L171-K171</f>
        <v>14.36296902</v>
      </c>
      <c r="M254" s="3">
        <f>SUM(I254:L254)</f>
        <v>-57.6230968</v>
      </c>
      <c r="N254" s="3">
        <f>N171-M171</f>
        <v>217.08300932</v>
      </c>
      <c r="O254" s="3">
        <f>O171-N171</f>
        <v>-223.00108792</v>
      </c>
      <c r="P254" s="3">
        <f>P171-O171</f>
        <v>0.54002865</v>
      </c>
      <c r="Q254" s="3">
        <f>Q171-P171</f>
        <v>1.35878236</v>
      </c>
      <c r="R254" s="3">
        <f>SUM(N254:Q254)</f>
        <v>-4.01926759</v>
      </c>
      <c r="S254" s="3">
        <f>S171-R171</f>
        <v>7.10682843</v>
      </c>
      <c r="T254" s="3">
        <f>T171-S171</f>
        <v>3.18743916</v>
      </c>
      <c r="U254" s="3">
        <f>U171-T171</f>
        <v>77.2</v>
      </c>
      <c r="V254" s="3">
        <f>V171-U171</f>
        <v>-70.31</v>
      </c>
      <c r="W254" s="3">
        <f>SUM(S254:V254)</f>
        <v>17.18426759</v>
      </c>
      <c r="X254" s="3">
        <f>X171-W171</f>
        <v>66.409</v>
      </c>
      <c r="Y254" s="3">
        <f>Y171-X171</f>
        <v>-75.456</v>
      </c>
      <c r="Z254" s="3">
        <f>Z171-Y171</f>
        <v>156.433</v>
      </c>
      <c r="AA254" s="3">
        <f>AA171-Z171</f>
        <v>-164.621</v>
      </c>
      <c r="AB254" s="3">
        <f>SUM(X254:AA254)</f>
        <v>-17.235</v>
      </c>
      <c r="AC254" s="3">
        <f>AC171-AB171</f>
        <v>257.909014</v>
      </c>
      <c r="AD254" s="3">
        <f>AD171-AC171</f>
        <v>-250.146014</v>
      </c>
      <c r="AE254" s="3">
        <f>AE171-AD171</f>
        <v>160.019</v>
      </c>
      <c r="AF254" s="3">
        <f>AF171-AE171</f>
        <v>124.292</v>
      </c>
      <c r="AG254" s="3">
        <f>SUM(AC254:AF254)</f>
        <v>292.074</v>
      </c>
      <c r="AH254" s="3">
        <f>AH171-AG171</f>
        <v>6.12799999999999</v>
      </c>
      <c r="AI254" s="3">
        <f>AI171-AH171</f>
        <v>-224.379</v>
      </c>
      <c r="AJ254" s="3">
        <f>AJ171-AI171</f>
        <v>0</v>
      </c>
      <c r="AK254" s="3">
        <f>AK171-AJ171</f>
        <v>0</v>
      </c>
      <c r="AL254" s="3">
        <f>SUM(AH254:AK254)</f>
        <v>-218.251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51.05295361</v>
      </c>
      <c r="F255" s="3">
        <f>F205-E205</f>
        <v>-0.797453210000015</v>
      </c>
      <c r="G255" s="3">
        <f>G205-F205</f>
        <v>0.315743779999934</v>
      </c>
      <c r="H255" s="3">
        <f>SUM(D255:G255)</f>
        <v>50.57124418</v>
      </c>
      <c r="I255" s="3">
        <f>I205-H205</f>
        <v>-1.77440125999993</v>
      </c>
      <c r="J255" s="3">
        <f>J205-I205</f>
        <v>-0.49033500000013</v>
      </c>
      <c r="K255" s="3">
        <f>K205-J205</f>
        <v>-0.735139979999985</v>
      </c>
      <c r="L255" s="3">
        <f>L205-K205</f>
        <v>-68.3793679399999</v>
      </c>
      <c r="M255" s="3">
        <f>SUM(I255:L255)</f>
        <v>-71.3792441799999</v>
      </c>
      <c r="N255" s="3">
        <f>N205-M205</f>
        <v>12.91674333</v>
      </c>
      <c r="O255" s="3">
        <f>O205-N205</f>
        <v>97.72635865</v>
      </c>
      <c r="P255" s="3">
        <f>P205-O205</f>
        <v>2.70000854999995</v>
      </c>
      <c r="Q255" s="3">
        <f>Q205-P205</f>
        <v>-113.31498629</v>
      </c>
      <c r="R255" s="3">
        <f>SUM(N255:Q255)</f>
        <v>0.0281242399999542</v>
      </c>
      <c r="S255" s="3">
        <f>S205-R205</f>
        <v>5.55023148000015</v>
      </c>
      <c r="T255" s="3">
        <f>T205-S205</f>
        <v>167.42964428</v>
      </c>
      <c r="U255" s="3">
        <f>U205-T205</f>
        <v>-20.6709999999999</v>
      </c>
      <c r="V255" s="3">
        <f>V205-U205</f>
        <v>30.635</v>
      </c>
      <c r="W255" s="3">
        <f>SUM(S255:V255)</f>
        <v>182.94387576</v>
      </c>
      <c r="X255" s="3">
        <f>X205-W205</f>
        <v>-3.77999999999997</v>
      </c>
      <c r="Y255" s="3">
        <f>Y205-X205</f>
        <v>-25.307</v>
      </c>
      <c r="Z255" s="3">
        <f>Z205-Y205</f>
        <v>30.039</v>
      </c>
      <c r="AA255" s="3">
        <f>AA205-Z205</f>
        <v>-9.68899999999997</v>
      </c>
      <c r="AB255" s="3">
        <f>SUM(X255:AA255)</f>
        <v>-8.73699999999997</v>
      </c>
      <c r="AC255" s="3">
        <f>AC205-AB205</f>
        <v>8.53060499999992</v>
      </c>
      <c r="AD255" s="3">
        <f>AD205-AC205</f>
        <v>-54.7076049999999</v>
      </c>
      <c r="AE255" s="3">
        <f>AE205-AD205</f>
        <v>17.51</v>
      </c>
      <c r="AF255" s="3">
        <f>AF205-AE205</f>
        <v>14.4109999999999</v>
      </c>
      <c r="AG255" s="3">
        <f>SUM(AC255:AF255)</f>
        <v>-14.2560000000001</v>
      </c>
      <c r="AH255" s="3">
        <f>AH205-AG205</f>
        <v>-2.24699999999996</v>
      </c>
      <c r="AI255" s="3">
        <f>AI205-AH205</f>
        <v>-27.9399999999999</v>
      </c>
      <c r="AJ255" s="3">
        <f>AJ205-AI205</f>
        <v>0</v>
      </c>
      <c r="AK255" s="3">
        <f>AK205-AJ205</f>
        <v>0</v>
      </c>
      <c r="AL255" s="3">
        <f>SUM(AH255:AK255)</f>
        <v>-30.1869999999999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-0.504655437532762</v>
      </c>
      <c r="F256" s="3">
        <f>(F127-E127)*-1</f>
        <v>-5.08580216239831</v>
      </c>
      <c r="G256" s="3">
        <f>(G127-F127)*-1</f>
        <v>-11.2120876967854</v>
      </c>
      <c r="H256" s="3">
        <f>SUM(D256:G256)</f>
        <v>-16.8025452967165</v>
      </c>
      <c r="I256" s="3">
        <f>(I127-H127)*-1</f>
        <v>0.441185463214524</v>
      </c>
      <c r="J256" s="3">
        <f>(J127-I127)*-1</f>
        <v>-101.806038465684</v>
      </c>
      <c r="K256" s="3">
        <f>(K127-J127)*-1</f>
        <v>-219.513458723122</v>
      </c>
      <c r="L256" s="3">
        <f>(L127-K127)*-1</f>
        <v>312.167190178177</v>
      </c>
      <c r="M256" s="3">
        <f>SUM(I256:L256)</f>
        <v>-8.71112154741468</v>
      </c>
      <c r="N256" s="3">
        <f>(N127-M127)*-1</f>
        <v>2.53341078795557</v>
      </c>
      <c r="O256" s="3">
        <f>(O127-N127)*-1</f>
        <v>-1.78185112054463</v>
      </c>
      <c r="P256" s="3">
        <f>(P127-O127)*-1</f>
        <v>-10.228797027179</v>
      </c>
      <c r="Q256" s="3">
        <f>(Q127-P127)*-1</f>
        <v>8.48022209417331</v>
      </c>
      <c r="R256" s="3">
        <f>SUM(N256:Q256)</f>
        <v>-0.997015265594762</v>
      </c>
      <c r="S256" s="3">
        <f>(S127-R127)*-1</f>
        <v>-12.7922092041733</v>
      </c>
      <c r="T256" s="3">
        <f>(T127-S127)*-1</f>
        <v>-9.55555970000001</v>
      </c>
      <c r="U256" s="3">
        <f>(U127-T127)*-1</f>
        <v>-1.83200000000001</v>
      </c>
      <c r="V256" s="3">
        <f>(V127-U127)*-1</f>
        <v>-13.259</v>
      </c>
      <c r="W256" s="3">
        <f>SUM(S256:V256)</f>
        <v>-37.4387689041733</v>
      </c>
      <c r="X256" s="3">
        <f>(X127-W127)*-1</f>
        <v>12.514</v>
      </c>
      <c r="Y256" s="3">
        <f>(Y127-X127)*-1</f>
        <v>-24.404</v>
      </c>
      <c r="Z256" s="3">
        <f>(Z127-Y127)*-1</f>
        <v>-6.94799999999999</v>
      </c>
      <c r="AA256" s="3">
        <f>(AA127-Z127)*-1</f>
        <v>18.447</v>
      </c>
      <c r="AB256" s="3">
        <f>SUM(X256:AA256)</f>
        <v>-0.390999999999991</v>
      </c>
      <c r="AC256" s="3">
        <f>(AC127-AB127)*-1</f>
        <v>-20.291544</v>
      </c>
      <c r="AD256" s="3">
        <f>(AD127-AC127)*-1</f>
        <v>-139.632456</v>
      </c>
      <c r="AE256" s="3">
        <f>(AE127-AD127)*-1</f>
        <v>132.182</v>
      </c>
      <c r="AF256" s="3">
        <f>(AF127-AE127)*-1</f>
        <v>-2.12</v>
      </c>
      <c r="AG256" s="3">
        <f>SUM(AC256:AF256)</f>
        <v>-29.862</v>
      </c>
      <c r="AH256" s="3">
        <f>(AH127-AG127)*-1</f>
        <v>5.922</v>
      </c>
      <c r="AI256" s="3">
        <f>(AI127-AH127)*-1</f>
        <v>-63.474</v>
      </c>
      <c r="AJ256" s="3">
        <f>(AJ127-AI127)*-1</f>
        <v>3.60633808341797</v>
      </c>
      <c r="AK256" s="3">
        <f>(AK127-AJ127)*-1</f>
        <v>4.90564659488251</v>
      </c>
      <c r="AL256" s="3">
        <f>SUM(AH256:AK256)</f>
        <v>-49.0400153216995</v>
      </c>
      <c r="AM256" s="3">
        <f>(AM127-AL127)*-1</f>
        <v>5.06156799999999</v>
      </c>
      <c r="AN256" s="3">
        <f>(AN127-AM127)*-1</f>
        <v>5.36472599999999</v>
      </c>
      <c r="AO256" s="3">
        <f>(AO127-AN127)*-1</f>
        <v>3.60633808341797</v>
      </c>
      <c r="AP256" s="3">
        <f>(AP127-AO127)*-1</f>
        <v>4.90564659488251</v>
      </c>
      <c r="AQ256" s="3">
        <f>SUM(AM256:AP256)</f>
        <v>18.9382786783005</v>
      </c>
      <c r="AR256" s="3">
        <f>(AR127-AQ127)*-1</f>
        <v>5.06156799999999</v>
      </c>
      <c r="AS256" s="3">
        <f>(AS127-AR127)*-1</f>
        <v>5.36472599999999</v>
      </c>
      <c r="AT256" s="3">
        <f>(AT127-AS127)*-1</f>
        <v>3.60633808341797</v>
      </c>
      <c r="AU256" s="3">
        <f>(AU127-AT127)*-1</f>
        <v>4.9056465948825</v>
      </c>
      <c r="AV256" s="3">
        <f>SUM(AR256:AU256)</f>
        <v>18.9382786783005</v>
      </c>
      <c r="AW256" s="3">
        <f>(AW127-AV127)*-1</f>
        <v>5.06156799999999</v>
      </c>
      <c r="AX256" s="3">
        <f>(AX127-AW127)*-1</f>
        <v>5.364726</v>
      </c>
      <c r="AY256" s="3">
        <f>(AY127-AX127)*-1</f>
        <v>3.60633808341797</v>
      </c>
      <c r="AZ256" s="3">
        <f>(AZ127-AY127)*-1</f>
        <v>4.9056465948825</v>
      </c>
      <c r="BA256" s="3">
        <f>SUM(AW256:AZ256)</f>
        <v>18.9382786783005</v>
      </c>
      <c r="BB256" s="3">
        <f>(BB127-BA127)*-1</f>
        <v>5.06156799999999</v>
      </c>
      <c r="BC256" s="3">
        <f>(BC127-BB127)*-1</f>
        <v>5.364726</v>
      </c>
      <c r="BD256" s="3">
        <f>(BD127-BC127)*-1</f>
        <v>3.60633808341797</v>
      </c>
      <c r="BE256" s="3">
        <f>(BE127-BD127)*-1</f>
        <v>4.9056465948825</v>
      </c>
      <c r="BF256" s="3">
        <f>SUM(BB256:BE256)</f>
        <v>18.9382786783005</v>
      </c>
      <c r="BG256" s="3">
        <f>(BG127-BF127)*-1</f>
        <v>5.06156799999999</v>
      </c>
      <c r="BH256" s="3">
        <f>(BH127-BG127)*-1</f>
        <v>5.364726</v>
      </c>
      <c r="BI256" s="3">
        <f>(BI127-BH127)*-1</f>
        <v>3.60633808341797</v>
      </c>
      <c r="BJ256" s="3">
        <f>(BJ127-BI127)*-1</f>
        <v>4.9056465948825</v>
      </c>
      <c r="BK256" s="3">
        <f>SUM(BG256:BJ256)</f>
        <v>18.9382786783005</v>
      </c>
      <c r="BL256" s="3">
        <f>(BL127-BK127)*-1</f>
        <v>5.061568</v>
      </c>
      <c r="BM256" s="3">
        <f>(BM127-BL127)*-1</f>
        <v>5.364726</v>
      </c>
      <c r="BN256" s="3">
        <f>(BN127-BM127)*-1</f>
        <v>3.60633808341797</v>
      </c>
      <c r="BO256" s="3">
        <f>(BO127-BN127)*-1</f>
        <v>4.9056465948825</v>
      </c>
      <c r="BP256" s="3">
        <f>SUM(BL256:BO256)</f>
        <v>18.9382786783005</v>
      </c>
      <c r="BQ256" s="3">
        <f>(BQ127-BP127)*-1</f>
        <v>5.061568</v>
      </c>
      <c r="BR256" s="3">
        <f>(BR127-BQ127)*-1</f>
        <v>5.364726</v>
      </c>
      <c r="BS256" s="3">
        <f>(BS127-BR127)*-1</f>
        <v>3.60633808341797</v>
      </c>
      <c r="BT256" s="3">
        <f>(BT127-BS127)*-1</f>
        <v>4.9056465948825</v>
      </c>
      <c r="BU256" s="3">
        <f>SUM(BQ256:BT256)</f>
        <v>18.9382786783005</v>
      </c>
      <c r="BV256" s="3">
        <f>(BV127-BU127)*-1</f>
        <v>5.061568</v>
      </c>
      <c r="BW256" s="3">
        <f>(BW127-BV127)*-1</f>
        <v>5.364726</v>
      </c>
      <c r="BX256" s="3">
        <f>(BX127-BW127)*-1</f>
        <v>3.60633808341797</v>
      </c>
      <c r="BY256" s="3">
        <f>(BY127-BX127)*-1</f>
        <v>4.9056465948825</v>
      </c>
      <c r="BZ256" s="3">
        <f>SUM(BV256:BY256)</f>
        <v>18.9382786783005</v>
      </c>
      <c r="CA256" s="3">
        <f>(CA127-BZ127)*-1</f>
        <v>5.061568</v>
      </c>
      <c r="CB256" s="3">
        <f>(CB127-CA127)*-1</f>
        <v>5.364726</v>
      </c>
      <c r="CC256" s="3">
        <f>(CC127-CB127)*-1</f>
        <v>3.60633808341797</v>
      </c>
      <c r="CD256" s="3">
        <f>(CD127-CC127)*-1</f>
        <v>4.9056465948825</v>
      </c>
      <c r="CE256" s="3">
        <f>SUM(CA256:CD256)</f>
        <v>18.9382786783005</v>
      </c>
      <c r="CF256" s="3">
        <f>(CF127-CE127)*-1</f>
        <v>5.061568</v>
      </c>
      <c r="CG256" s="3">
        <f>(CG127-CF127)*-1</f>
        <v>5.364726</v>
      </c>
      <c r="CH256" s="3">
        <f>(CH127-CG127)*-1</f>
        <v>3.60633808341797</v>
      </c>
      <c r="CI256" s="3">
        <f>(CI127-CH127)*-1</f>
        <v>4.9056465948825</v>
      </c>
      <c r="CJ256" s="3">
        <f>SUM(CF256:CI256)</f>
        <v>18.9382786783005</v>
      </c>
      <c r="CK256" s="3">
        <f>(CK127-CJ127)*-1</f>
        <v>5.061568</v>
      </c>
      <c r="CL256" s="3">
        <f>(CL127-CK127)*-1</f>
        <v>5.364726</v>
      </c>
      <c r="CM256" s="3">
        <f>(CM127-CL127)*-1</f>
        <v>3.60633808341797</v>
      </c>
      <c r="CN256" s="3">
        <f>(CN127-CM127)*-1</f>
        <v>4.9056465948825</v>
      </c>
      <c r="CO256" s="3">
        <f>SUM(CK256:CN256)</f>
        <v>18.9382786783005</v>
      </c>
      <c r="CP256" s="3">
        <f>(CP127-CO127)*-1</f>
        <v>5.061568</v>
      </c>
      <c r="CQ256" s="3">
        <f>(CQ127-CP127)*-1</f>
        <v>5.364726</v>
      </c>
      <c r="CR256" s="3">
        <f>(CR127-CQ127)*-1</f>
        <v>3.60633808341797</v>
      </c>
      <c r="CS256" s="3">
        <f>(CS127-CR127)*-1</f>
        <v>4.9056465948825</v>
      </c>
      <c r="CT256" s="3">
        <f>SUM(CP256:CS256)</f>
        <v>18.9382786783005</v>
      </c>
      <c r="CU256" s="3">
        <f>(CU127-CT127)*-1</f>
        <v>5.06156799999999</v>
      </c>
      <c r="CV256" s="3">
        <f>(CV127-CU127)*-1</f>
        <v>5.364726</v>
      </c>
      <c r="CW256" s="3">
        <f>(CW127-CV127)*-1</f>
        <v>3.60633808341797</v>
      </c>
      <c r="CX256" s="3">
        <f>(CX127-CW127)*-1</f>
        <v>4.9056465948825</v>
      </c>
      <c r="CY256" s="3">
        <f>SUM(CU256:CX256)</f>
        <v>18.9382786783005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0</v>
      </c>
      <c r="F258" s="3">
        <f>-F102</f>
        <v>0</v>
      </c>
      <c r="G258" s="3">
        <f>-G102</f>
        <v>0</v>
      </c>
      <c r="H258" s="3">
        <f>SUM(D258:G258)</f>
        <v>0</v>
      </c>
      <c r="I258" s="3">
        <f>-I102</f>
        <v>0</v>
      </c>
      <c r="J258" s="3">
        <f>-J102</f>
        <v>-0.039423182</v>
      </c>
      <c r="K258" s="3">
        <f>-K102</f>
        <v>1.426590592597</v>
      </c>
      <c r="L258" s="3">
        <f>-L102</f>
        <v>0.177942983442</v>
      </c>
      <c r="M258" s="3">
        <f>SUM(I258:L258)</f>
        <v>1.565110394039</v>
      </c>
      <c r="N258" s="3">
        <f>-N102</f>
        <v>0.39147077355</v>
      </c>
      <c r="O258" s="3">
        <f>-O102</f>
        <v>0.414890426612999</v>
      </c>
      <c r="P258" s="3">
        <f>-P102</f>
        <v>0.67304117</v>
      </c>
      <c r="Q258" s="3">
        <f>-Q102</f>
        <v>-0.656184120676</v>
      </c>
      <c r="R258" s="3">
        <f>SUM(N258:Q258)</f>
        <v>0.823218249487</v>
      </c>
      <c r="S258" s="3">
        <f>-S102</f>
        <v>-0.02834465</v>
      </c>
      <c r="T258" s="3">
        <f>-T102</f>
        <v>-0.385635388738</v>
      </c>
      <c r="U258" s="3">
        <f>-U102</f>
        <v>-2.382</v>
      </c>
      <c r="V258" s="3">
        <f>-V102</f>
        <v>-0.139</v>
      </c>
      <c r="W258" s="3">
        <f>SUM(S258:V258)</f>
        <v>-2.934980038738</v>
      </c>
      <c r="X258" s="3">
        <f>-X102</f>
        <v>0.355</v>
      </c>
      <c r="Y258" s="3">
        <f>-Y102</f>
        <v>-1.423</v>
      </c>
      <c r="Z258" s="3">
        <f>-Z102</f>
        <v>-4.013</v>
      </c>
      <c r="AA258" s="3">
        <f>-AA102</f>
        <v>-7.437</v>
      </c>
      <c r="AB258" s="3">
        <f>SUM(X258:AA258)</f>
        <v>-12.518</v>
      </c>
      <c r="AC258" s="3">
        <f>-AC102</f>
        <v>-3.456124</v>
      </c>
      <c r="AD258" s="3">
        <f>-AD102</f>
        <v>-7.749179</v>
      </c>
      <c r="AE258" s="3">
        <f>-AE102</f>
        <v>-2.668448799683</v>
      </c>
      <c r="AF258" s="3">
        <f>-AF102</f>
        <v>-2.28625577847376</v>
      </c>
      <c r="AG258" s="3">
        <f>SUM(AC258:AF258)</f>
        <v>-16.1600075781568</v>
      </c>
      <c r="AH258" s="3">
        <f>-AH102</f>
        <v>-3.55944448</v>
      </c>
      <c r="AI258" s="3">
        <f>-AI102</f>
        <v>-2.518</v>
      </c>
      <c r="AJ258" s="3">
        <f>-AJ102</f>
        <v>-2.668448799683</v>
      </c>
      <c r="AK258" s="3">
        <f>-AK102</f>
        <v>-2.28625577847376</v>
      </c>
      <c r="AL258" s="3">
        <f>SUM(AH258:AK258)</f>
        <v>-11.0321490581568</v>
      </c>
      <c r="AM258" s="3">
        <f>-AM102</f>
        <v>-3.55944448</v>
      </c>
      <c r="AN258" s="3">
        <f>-AN102</f>
        <v>-2.518</v>
      </c>
      <c r="AO258" s="3">
        <f>-AO102</f>
        <v>-2.668448799683</v>
      </c>
      <c r="AP258" s="3">
        <f>-AP102</f>
        <v>-2.28625577847376</v>
      </c>
      <c r="AQ258" s="3">
        <f>SUM(AM258:AP258)</f>
        <v>-11.0321490581568</v>
      </c>
      <c r="AR258" s="3">
        <f>-AR102</f>
        <v>-3.55944448</v>
      </c>
      <c r="AS258" s="3">
        <f>-AS102</f>
        <v>-2.518</v>
      </c>
      <c r="AT258" s="3">
        <f>-AT102</f>
        <v>-2.668448799683</v>
      </c>
      <c r="AU258" s="3">
        <f>-AU102</f>
        <v>-2.28625577847376</v>
      </c>
      <c r="AV258" s="3">
        <f>SUM(AR258:AU258)</f>
        <v>-11.0321490581568</v>
      </c>
      <c r="AW258" s="3">
        <f>-AW102</f>
        <v>-3.55944448</v>
      </c>
      <c r="AX258" s="3">
        <f>-AX102</f>
        <v>-2.518</v>
      </c>
      <c r="AY258" s="3">
        <f>-AY102</f>
        <v>-2.668448799683</v>
      </c>
      <c r="AZ258" s="3">
        <f>-AZ102</f>
        <v>-2.28625577847376</v>
      </c>
      <c r="BA258" s="3">
        <f>SUM(AW258:AZ258)</f>
        <v>-11.0321490581568</v>
      </c>
      <c r="BB258" s="3">
        <f>-BB102</f>
        <v>-3.55944448</v>
      </c>
      <c r="BC258" s="3">
        <f>-BC102</f>
        <v>-2.518</v>
      </c>
      <c r="BD258" s="3">
        <f>-BD102</f>
        <v>-2.668448799683</v>
      </c>
      <c r="BE258" s="3">
        <f>-BE102</f>
        <v>-2.28625577847376</v>
      </c>
      <c r="BF258" s="3">
        <f>SUM(BB258:BE258)</f>
        <v>-11.0321490581568</v>
      </c>
      <c r="BG258" s="3">
        <f>-BG102</f>
        <v>-3.55944448</v>
      </c>
      <c r="BH258" s="3">
        <f>-BH102</f>
        <v>-2.518</v>
      </c>
      <c r="BI258" s="3">
        <f>-BI102</f>
        <v>-2.668448799683</v>
      </c>
      <c r="BJ258" s="3">
        <f>-BJ102</f>
        <v>-2.28625577847376</v>
      </c>
      <c r="BK258" s="3">
        <f>SUM(BG258:BJ258)</f>
        <v>-11.0321490581568</v>
      </c>
      <c r="BL258" s="3">
        <f>-BL102</f>
        <v>-3.55944448</v>
      </c>
      <c r="BM258" s="3">
        <f>-BM102</f>
        <v>-2.518</v>
      </c>
      <c r="BN258" s="3">
        <f>-BN102</f>
        <v>-2.668448799683</v>
      </c>
      <c r="BO258" s="3">
        <f>-BO102</f>
        <v>-2.28625577847376</v>
      </c>
      <c r="BP258" s="3">
        <f>SUM(BL258:BO258)</f>
        <v>-11.0321490581568</v>
      </c>
      <c r="BQ258" s="3">
        <f>-BQ102</f>
        <v>-3.55944448</v>
      </c>
      <c r="BR258" s="3">
        <f>-BR102</f>
        <v>-2.518</v>
      </c>
      <c r="BS258" s="3">
        <f>-BS102</f>
        <v>-2.668448799683</v>
      </c>
      <c r="BT258" s="3">
        <f>-BT102</f>
        <v>-2.28625577847376</v>
      </c>
      <c r="BU258" s="3">
        <f>SUM(BQ258:BT258)</f>
        <v>-11.0321490581568</v>
      </c>
      <c r="BV258" s="3">
        <f>-BV102</f>
        <v>-3.55944448</v>
      </c>
      <c r="BW258" s="3">
        <f>-BW102</f>
        <v>-2.518</v>
      </c>
      <c r="BX258" s="3">
        <f>-BX102</f>
        <v>-2.668448799683</v>
      </c>
      <c r="BY258" s="3">
        <f>-BY102</f>
        <v>-2.28625577847376</v>
      </c>
      <c r="BZ258" s="3">
        <f>SUM(BV258:BY258)</f>
        <v>-11.0321490581568</v>
      </c>
      <c r="CA258" s="3">
        <f>-CA102</f>
        <v>-3.55944448</v>
      </c>
      <c r="CB258" s="3">
        <f>-CB102</f>
        <v>-2.518</v>
      </c>
      <c r="CC258" s="3">
        <f>-CC102</f>
        <v>-2.668448799683</v>
      </c>
      <c r="CD258" s="3">
        <f>-CD102</f>
        <v>-2.28625577847376</v>
      </c>
      <c r="CE258" s="3">
        <f>SUM(CA258:CD258)</f>
        <v>-11.0321490581568</v>
      </c>
      <c r="CF258" s="3">
        <f>-CF102</f>
        <v>-3.55944448</v>
      </c>
      <c r="CG258" s="3">
        <f>-CG102</f>
        <v>-2.518</v>
      </c>
      <c r="CH258" s="3">
        <f>-CH102</f>
        <v>-2.668448799683</v>
      </c>
      <c r="CI258" s="3">
        <f>-CI102</f>
        <v>-2.28625577847376</v>
      </c>
      <c r="CJ258" s="3">
        <f>SUM(CF258:CI258)</f>
        <v>-11.0321490581568</v>
      </c>
      <c r="CK258" s="3">
        <f>-CK102</f>
        <v>-3.55944448</v>
      </c>
      <c r="CL258" s="3">
        <f>-CL102</f>
        <v>-2.518</v>
      </c>
      <c r="CM258" s="3">
        <f>-CM102</f>
        <v>-2.668448799683</v>
      </c>
      <c r="CN258" s="3">
        <f>-CN102</f>
        <v>-2.28625577847376</v>
      </c>
      <c r="CO258" s="3">
        <f>SUM(CK258:CN258)</f>
        <v>-11.0321490581568</v>
      </c>
      <c r="CP258" s="3">
        <f>-CP102</f>
        <v>-3.55944448</v>
      </c>
      <c r="CQ258" s="3">
        <f>-CQ102</f>
        <v>-2.518</v>
      </c>
      <c r="CR258" s="3">
        <f>-CR102</f>
        <v>-2.668448799683</v>
      </c>
      <c r="CS258" s="3">
        <f>-CS102</f>
        <v>-2.28625577847376</v>
      </c>
      <c r="CT258" s="3">
        <f>SUM(CP258:CS258)</f>
        <v>-11.0321490581568</v>
      </c>
      <c r="CU258" s="3">
        <f>-CU102</f>
        <v>-3.55944448</v>
      </c>
      <c r="CV258" s="3">
        <f>-CV102</f>
        <v>-2.518</v>
      </c>
      <c r="CW258" s="3">
        <f>-CW102</f>
        <v>-2.668448799683</v>
      </c>
      <c r="CX258" s="3">
        <f>-CX102</f>
        <v>-2.28625577847376</v>
      </c>
      <c r="CY258" s="3">
        <f>SUM(CU258:CX258)</f>
        <v>-11.0321490581568</v>
      </c>
    </row>
    <row r="259">
      <c r="C259" s="26" t="inlineStr">
        <is>
          <t>Cash from operations</t>
        </is>
      </c>
      <c r="D259" s="3" t="n"/>
      <c r="E259" s="3">
        <f>SUM(E243,E244,E245,E256,E257,E258)</f>
        <v>49.1977156456541</v>
      </c>
      <c r="F259" s="3">
        <f>SUM(F243,F244,F245,F256,F257,F258)</f>
        <v>132.111022653591</v>
      </c>
      <c r="G259" s="3">
        <f>SUM(G243,G244,G245,G256,G257,G258)</f>
        <v>88.8751501532125</v>
      </c>
      <c r="H259" s="3">
        <f>SUM(H243,H244,H245,H256,H257,H258)</f>
        <v>270.183888452457</v>
      </c>
      <c r="I259" s="3">
        <f>SUM(I243,I244,I245,I256,I257,I258)</f>
        <v>242.936019533214</v>
      </c>
      <c r="J259" s="3">
        <f>SUM(J243,J244,J245,J256,J257,J258)</f>
        <v>-4.96224280768564</v>
      </c>
      <c r="K259" s="3">
        <f>SUM(K243,K244,K245,K256,K257,K258)</f>
        <v>-30.7021641531216</v>
      </c>
      <c r="L259" s="3">
        <f>SUM(L243,L244,L245,L256,L257,L258)</f>
        <v>562.994585198398</v>
      </c>
      <c r="M259" s="3">
        <f>SUM(M243,M244,M245,M256,M257,M258)</f>
        <v>770.266197770805</v>
      </c>
      <c r="N259" s="3">
        <f>SUM(N243,N244,N245,N256,N257,N258)</f>
        <v>199.072488074169</v>
      </c>
      <c r="O259" s="3">
        <f>SUM(O243,O244,O245,O256,O257,O258)</f>
        <v>-35.1587439458806</v>
      </c>
      <c r="P259" s="3">
        <f>SUM(P243,P244,P245,P256,P257,P258)</f>
        <v>225.048729652821</v>
      </c>
      <c r="Q259" s="3">
        <f>SUM(Q243,Q244,Q245,Q256,Q257,Q258)</f>
        <v>199.650484713497</v>
      </c>
      <c r="R259" s="3">
        <f>SUM(R243,R244,R245,R256,R257,R258)</f>
        <v>588.612958494607</v>
      </c>
      <c r="S259" s="3">
        <f>SUM(S243,S244,S245,S256,S257,S258)</f>
        <v>78.9965386858267</v>
      </c>
      <c r="T259" s="3">
        <f>SUM(T243,T244,T245,T256,T257,T258)</f>
        <v>155.81760791607</v>
      </c>
      <c r="U259" s="3">
        <f>SUM(U243,U244,U245,U256,U257,U258)</f>
        <v>445.14543533806</v>
      </c>
      <c r="V259" s="3">
        <f>SUM(V243,V244,V245,V256,V257,V258)</f>
        <v>195.88180174393</v>
      </c>
      <c r="W259" s="3">
        <f>SUM(W243,W244,W245,W256,W257,W258)</f>
        <v>875.841383683886</v>
      </c>
      <c r="X259" s="3">
        <f>SUM(X243,X244,X245,X256,X257,X258)</f>
        <v>152.3556009</v>
      </c>
      <c r="Y259" s="3">
        <f>SUM(Y243,Y244,Y245,Y256,Y257,Y258)</f>
        <v>331.007</v>
      </c>
      <c r="Z259" s="3">
        <f>SUM(Z243,Z244,Z245,Z256,Z257,Z258)</f>
        <v>576.480474</v>
      </c>
      <c r="AA259" s="3">
        <f>SUM(AA243,AA244,AA245,AA256,AA257,AA258)</f>
        <v>301.188925099999</v>
      </c>
      <c r="AB259" s="3">
        <f>SUM(AB243,AB244,AB245,AB256,AB257,AB258)</f>
        <v>1361.032</v>
      </c>
      <c r="AC259" s="3">
        <f>SUM(AC243,AC244,AC245,AC256,AC257,AC258)</f>
        <v>349.59752</v>
      </c>
      <c r="AD259" s="3">
        <f>SUM(AD243,AD244,AD245,AD256,AD257,AD258)</f>
        <v>-93.4172770000001</v>
      </c>
      <c r="AE259" s="3">
        <f>SUM(AE243,AE244,AE245,AE256,AE257,AE258)</f>
        <v>805.975270560501</v>
      </c>
      <c r="AF259" s="3">
        <f>SUM(AF243,AF244,AF245,AF256,AF257,AF258)</f>
        <v>587.982009895118</v>
      </c>
      <c r="AG259" s="3">
        <f>SUM(AG243,AG244,AG245,AG256,AG257,AG258)</f>
        <v>1650.13752345562</v>
      </c>
      <c r="AH259" s="3">
        <f>SUM(AH243,AH244,AH245,AH256,AH257,AH258)</f>
        <v>64.69421542</v>
      </c>
      <c r="AI259" s="3">
        <f>SUM(AI243,AI244,AI245,AI256,AI257,AI258)</f>
        <v>169.784208</v>
      </c>
      <c r="AJ259" s="3">
        <f>SUM(AJ243,AJ244,AJ245,AJ256,AJ257,AJ258)</f>
        <v>972.35098743</v>
      </c>
      <c r="AK259" s="3">
        <f>SUM(AK243,AK244,AK245,AK256,AK257,AK258)</f>
        <v>79.498624</v>
      </c>
      <c r="AL259" s="3">
        <f>SUM(AL243,AL244,AL245,AL256,AL257,AL258)</f>
        <v>1286.32803485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-68.810393331003</v>
      </c>
      <c r="F261" s="3">
        <f>-F134</f>
        <v>-57.1817254595837</v>
      </c>
      <c r="G261" s="3">
        <f>-G134</f>
        <v>-99.7604620895845</v>
      </c>
      <c r="H261" s="3">
        <f>SUM(D261:G261)</f>
        <v>-225.752580880171</v>
      </c>
      <c r="I261" s="3">
        <f>-I134</f>
        <v>-68.7154970595848</v>
      </c>
      <c r="J261" s="3">
        <f>-J134</f>
        <v>-107.464828354613</v>
      </c>
      <c r="K261" s="3">
        <f>-K134</f>
        <v>-117.133446016772</v>
      </c>
      <c r="L261" s="3">
        <f>-L134</f>
        <v>-201.60404561097</v>
      </c>
      <c r="M261" s="3">
        <f>SUM(I261:L261)</f>
        <v>-494.917817041939</v>
      </c>
      <c r="N261" s="3">
        <f>-N134</f>
        <v>-93.8480479320584</v>
      </c>
      <c r="O261" s="3">
        <f>-O134</f>
        <v>-138.176616030871</v>
      </c>
      <c r="P261" s="3">
        <f>-P134</f>
        <v>-158.764699752647</v>
      </c>
      <c r="Q261" s="3">
        <f>-Q134</f>
        <v>-176.026087902822</v>
      </c>
      <c r="R261" s="3">
        <f>SUM(N261:Q261)</f>
        <v>-566.815451618398</v>
      </c>
      <c r="S261" s="3">
        <f>-S134</f>
        <v>-114.494102777178</v>
      </c>
      <c r="T261" s="3">
        <f>-T134</f>
        <v>-608.29509224</v>
      </c>
      <c r="U261" s="3">
        <f>-U134</f>
        <v>-186.044</v>
      </c>
      <c r="V261" s="3">
        <f>-V134</f>
        <v>-189.154</v>
      </c>
      <c r="W261" s="3">
        <f>SUM(S261:V261)</f>
        <v>-1097.98719501718</v>
      </c>
      <c r="X261" s="3">
        <f>-X134</f>
        <v>-167.75</v>
      </c>
      <c r="Y261" s="3">
        <f>-Y134</f>
        <v>-185.308</v>
      </c>
      <c r="Z261" s="3">
        <f>-Z134</f>
        <v>-211</v>
      </c>
      <c r="AA261" s="3">
        <f>-AA134</f>
        <v>-242.498</v>
      </c>
      <c r="AB261" s="3">
        <f>SUM(X261:AA261)</f>
        <v>-806.556</v>
      </c>
      <c r="AC261" s="3">
        <f>-AC134</f>
        <v>-185.44163</v>
      </c>
      <c r="AD261" s="3">
        <f>-AD134</f>
        <v>-212.396447</v>
      </c>
      <c r="AE261" s="3">
        <f>-AE134</f>
        <v>-235.46499664</v>
      </c>
      <c r="AF261" s="3">
        <f>-AF134</f>
        <v>-271.19785589</v>
      </c>
      <c r="AG261" s="3">
        <f>SUM(AC261:AF261)</f>
        <v>-904.50092953</v>
      </c>
      <c r="AH261" s="3">
        <f>-AH134</f>
        <v>-209.07069578</v>
      </c>
      <c r="AI261" s="3">
        <f>-AI134</f>
        <v>-264.654</v>
      </c>
      <c r="AJ261" s="3">
        <f>-AJ134</f>
        <v>0</v>
      </c>
      <c r="AK261" s="3">
        <f>-AK134</f>
        <v>0</v>
      </c>
      <c r="AL261" s="3">
        <f>SUM(AH261:AK261)</f>
        <v>-473.72469578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29.6307490500001</v>
      </c>
      <c r="F263" s="3">
        <f>(F142-E142)*-1</f>
        <v>21.41289777</v>
      </c>
      <c r="G263" s="3">
        <f>(G142-F142)*-1</f>
        <v>9.37576505999994</v>
      </c>
      <c r="H263" s="3">
        <f>SUM(D263:G263)</f>
        <v>60.41941188</v>
      </c>
      <c r="I263" s="3">
        <f>(I142-H142)*-1</f>
        <v>29.7287814200001</v>
      </c>
      <c r="J263" s="3">
        <f>(J142-I142)*-1</f>
        <v>17.60248814</v>
      </c>
      <c r="K263" s="3">
        <f>(K142-J142)*-1</f>
        <v>-8.62285755000005</v>
      </c>
      <c r="L263" s="3">
        <f>(L142-K142)*-1</f>
        <v>-59.5418803</v>
      </c>
      <c r="M263" s="3">
        <f>SUM(I263:L263)</f>
        <v>-20.8334682899999</v>
      </c>
      <c r="N263" s="3">
        <f>(N142-M142)*-1</f>
        <v>-42.3617439699999</v>
      </c>
      <c r="O263" s="3">
        <f>(O142-N142)*-1</f>
        <v>-26.0578880200002</v>
      </c>
      <c r="P263" s="3">
        <f>(P142-O142)*-1</f>
        <v>18.9843120300001</v>
      </c>
      <c r="Q263" s="3">
        <f>(Q142-P142)*-1</f>
        <v>-222.07653813</v>
      </c>
      <c r="R263" s="3">
        <f>SUM(N263:Q263)</f>
        <v>-271.51185809</v>
      </c>
      <c r="S263" s="3">
        <f>(S142-R142)*-1</f>
        <v>-4.24643388000015</v>
      </c>
      <c r="T263" s="3">
        <f>(T142-S142)*-1</f>
        <v>-305.88989469</v>
      </c>
      <c r="U263" s="3">
        <f>(U142-T142)*-1</f>
        <v>35.9259999999999</v>
      </c>
      <c r="V263" s="3">
        <f>(V142-U142)*-1</f>
        <v>1.40200000000004</v>
      </c>
      <c r="W263" s="3">
        <f>SUM(S263:V263)</f>
        <v>-272.80832857</v>
      </c>
      <c r="X263" s="3">
        <f>(X142-W142)*-1</f>
        <v>45.3920000000001</v>
      </c>
      <c r="Y263" s="3">
        <f>(Y142-X142)*-1</f>
        <v>47.5940000000001</v>
      </c>
      <c r="Z263" s="3">
        <f>(Z142-Y142)*-1</f>
        <v>42.703</v>
      </c>
      <c r="AA263" s="3">
        <f>(AA142-Z142)*-1</f>
        <v>20.7629999999999</v>
      </c>
      <c r="AB263" s="3">
        <f>SUM(X263:AA263)</f>
        <v>156.452</v>
      </c>
      <c r="AC263" s="3">
        <f>(AC142-AB142)*-1</f>
        <v>-1.83224700000005</v>
      </c>
      <c r="AD263" s="3">
        <f>(AD142-AC142)*-1</f>
        <v>43.6282470000001</v>
      </c>
      <c r="AE263" s="3">
        <f>(AE142-AD142)*-1</f>
        <v>-7.49700000000007</v>
      </c>
      <c r="AF263" s="3">
        <f>(AF142-AE142)*-1</f>
        <v>5.75299999999993</v>
      </c>
      <c r="AG263" s="3">
        <f>SUM(AC263:AF263)</f>
        <v>40.0519999999999</v>
      </c>
      <c r="AH263" s="3">
        <f>(AH142-AG142)*-1</f>
        <v>19.1700000000001</v>
      </c>
      <c r="AI263" s="3">
        <f>(AI142-AH142)*-1</f>
        <v>-123.946</v>
      </c>
      <c r="AJ263" s="3">
        <f>(AJ142-AI142)*-1</f>
        <v>0</v>
      </c>
      <c r="AK263" s="3">
        <f>(AK142-AJ142)*-1</f>
        <v>0</v>
      </c>
      <c r="AL263" s="3">
        <f>SUM(AH263:AK263)</f>
        <v>-104.776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1.6121085893717</v>
      </c>
      <c r="F264" s="3">
        <f>((F146-E146)*-1)+((F145-E145)*-1)</f>
        <v>-1.91732596499878</v>
      </c>
      <c r="G264" s="3">
        <f>((G146-F146)*-1)+((G145-F145)*-1)</f>
        <v>-12.2556373650002</v>
      </c>
      <c r="H264" s="3">
        <f>SUM(D264:G264)</f>
        <v>-12.5608547406273</v>
      </c>
      <c r="I264" s="3">
        <f>((I146-H146)*-1)+((I145-H145)*-1)</f>
        <v>-0.873697054999866</v>
      </c>
      <c r="J264" s="3">
        <f>((J146-I146)*-1)+((J145-I145)*-1)</f>
        <v>-158.95772868868</v>
      </c>
      <c r="K264" s="3">
        <f>((K146-J146)*-1)+((K145-J145)*-1)</f>
        <v>-107.35268642133</v>
      </c>
      <c r="L264" s="3">
        <f>((L146-K146)*-1)+((L145-K145)*-1)</f>
        <v>-288.81699698576</v>
      </c>
      <c r="M264" s="3">
        <f>SUM(I264:L264)</f>
        <v>-556.001109150769</v>
      </c>
      <c r="N264" s="3">
        <f>((N146-M146)*-1)+((N145-M145)*-1)</f>
        <v>-30.9003449201769</v>
      </c>
      <c r="O264" s="3">
        <f>((O146-N146)*-1)+((O145-N145)*-1)</f>
        <v>-403.832285332093</v>
      </c>
      <c r="P264" s="3">
        <f>((P146-O146)*-1)+((P145-O145)*-1)</f>
        <v>7.60187658033283</v>
      </c>
      <c r="Q264" s="3">
        <f>((Q146-P146)*-1)+((Q145-P145)*-1)</f>
        <v>-146.186260618085</v>
      </c>
      <c r="R264" s="3">
        <f>SUM(N264:Q264)</f>
        <v>-573.317014290022</v>
      </c>
      <c r="S264" s="3">
        <f>((S146-R146)*-1)+((S145-R145)*-1)</f>
        <v>12.7009949380854</v>
      </c>
      <c r="T264" s="3">
        <f>((T146-S146)*-1)+((T145-S145)*-1)</f>
        <v>-2620.89587367</v>
      </c>
      <c r="U264" s="3">
        <f>((U146-T146)*-1)+((U145-T145)*-1)</f>
        <v>24.0659999999998</v>
      </c>
      <c r="V264" s="3">
        <f>((V146-U146)*-1)+((V145-U145)*-1)</f>
        <v>-63.451</v>
      </c>
      <c r="W264" s="3">
        <f>SUM(S264:V264)</f>
        <v>-2647.57987873192</v>
      </c>
      <c r="X264" s="3">
        <f>((X146-W146)*-1)+((X145-W145)*-1)</f>
        <v>18.5860000000002</v>
      </c>
      <c r="Y264" s="3">
        <f>((Y146-X146)*-1)+((Y145-X145)*-1)</f>
        <v>5.63699999999972</v>
      </c>
      <c r="Z264" s="3">
        <f>((Z146-Y146)*-1)+((Z145-Y145)*-1)</f>
        <v>-47.0199999999995</v>
      </c>
      <c r="AA264" s="3">
        <f>((AA146-Z146)*-1)+((AA145-Z145)*-1)</f>
        <v>-33.2290000000003</v>
      </c>
      <c r="AB264" s="3">
        <f>SUM(X264:AA264)</f>
        <v>-56.0259999999998</v>
      </c>
      <c r="AC264" s="3">
        <f>((AC146-AB146)*-1)+((AC145-AB145)*-1)</f>
        <v>43.6677130000007</v>
      </c>
      <c r="AD264" s="3">
        <f>((AD146-AC146)*-1)+((AD145-AC145)*-1)</f>
        <v>-5.51571300000069</v>
      </c>
      <c r="AE264" s="3">
        <f>((AE146-AD146)*-1)+((AE145-AD145)*-1)</f>
        <v>-131.867</v>
      </c>
      <c r="AF264" s="3">
        <f>((AF146-AE146)*-1)+((AF145-AE145)*-1)</f>
        <v>-22.3899999999994</v>
      </c>
      <c r="AG264" s="3">
        <f>SUM(AC264:AF264)</f>
        <v>-116.105</v>
      </c>
      <c r="AH264" s="3">
        <f>((AH146-AG146)*-1)+((AH145-AG145)*-1)</f>
        <v>74.1309999999994</v>
      </c>
      <c r="AI264" s="3">
        <f>((AI146-AH146)*-1)+((AI145-AH145)*-1)</f>
        <v>-100.569</v>
      </c>
      <c r="AJ264" s="3">
        <f>((AJ146-AI146)*-1)+((AJ145-AI145)*-1)</f>
        <v>6006.075</v>
      </c>
      <c r="AK264" s="3">
        <f>((AK146-AJ146)*-1)+((AK145-AJ145)*-1)</f>
        <v>0</v>
      </c>
      <c r="AL264" s="3">
        <f>SUM(AH264:AK264)</f>
        <v>5979.637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-9.35698350000001</v>
      </c>
      <c r="F265" s="3">
        <f>((F155-E155)*-1)+(F206-E206)</f>
        <v>-0.658499629999994</v>
      </c>
      <c r="G265" s="3">
        <f>((G155-F155)*-1)+(G206-F206)</f>
        <v>13.3801132</v>
      </c>
      <c r="H265" s="3">
        <f>SUM(D265:G265)</f>
        <v>3.36463007</v>
      </c>
      <c r="I265" s="3">
        <f>((I155-H155)*-1)+(I206-H206)</f>
        <v>-1.34638164000003</v>
      </c>
      <c r="J265" s="3">
        <f>((J155-I155)*-1)+(J206-I206)</f>
        <v>2.63921395000002</v>
      </c>
      <c r="K265" s="3">
        <f>((K155-J155)*-1)+(K206-J206)</f>
        <v>4.32262301999999</v>
      </c>
      <c r="L265" s="3">
        <f>((L155-K155)*-1)+(L206-K206)</f>
        <v>-4.85051773999998</v>
      </c>
      <c r="M265" s="3">
        <f>SUM(I265:L265)</f>
        <v>0.764937589999995</v>
      </c>
      <c r="N265" s="3">
        <f>((N155-M155)*-1)+(N206-M206)</f>
        <v>-1.90280351000001</v>
      </c>
      <c r="O265" s="3">
        <f>((O155-N155)*-1)+(O206-N206)</f>
        <v>-4.29885110999999</v>
      </c>
      <c r="P265" s="3">
        <f>((P155-O155)*-1)+(P206-O206)</f>
        <v>-8.76624163000001</v>
      </c>
      <c r="Q265" s="3">
        <f>((Q155-P155)*-1)+(Q206-P206)</f>
        <v>-27.89761752</v>
      </c>
      <c r="R265" s="3">
        <f>SUM(N265:Q265)</f>
        <v>-42.86551377</v>
      </c>
      <c r="S265" s="3">
        <f>((S155-R155)*-1)+(S206-R206)</f>
        <v>-3.45316317999999</v>
      </c>
      <c r="T265" s="3">
        <f>((T155-S155)*-1)+(T206-S206)</f>
        <v>88.48043031</v>
      </c>
      <c r="U265" s="3">
        <f>((U155-T155)*-1)+(U206-T206)</f>
        <v>-3.89400000000001</v>
      </c>
      <c r="V265" s="3">
        <f>((V155-U155)*-1)+(V206-U206)</f>
        <v>54.747</v>
      </c>
      <c r="W265" s="3">
        <f>SUM(S265:V265)</f>
        <v>135.88026713</v>
      </c>
      <c r="X265" s="3">
        <f>((X155-W155)*-1)+(X206-W206)</f>
        <v>3.19258127000002</v>
      </c>
      <c r="Y265" s="3">
        <f>((Y155-X155)*-1)+(Y206-X206)</f>
        <v>-5.72258127000004</v>
      </c>
      <c r="Z265" s="3">
        <f>((Z155-Y155)*-1)+(Z206-Y206)</f>
        <v>9.39000000000004</v>
      </c>
      <c r="AA265" s="3">
        <f>((AA155-Z155)*-1)+(AA206-Z206)</f>
        <v>-30.746</v>
      </c>
      <c r="AB265" s="3">
        <f>SUM(X265:AA265)</f>
        <v>-23.886</v>
      </c>
      <c r="AC265" s="3">
        <f>((AC155-AB155)*-1)+(AC206-AB206)</f>
        <v>7.32767419000004</v>
      </c>
      <c r="AD265" s="3">
        <f>((AD155-AC155)*-1)+(AD206-AC206)</f>
        <v>8.09832580999998</v>
      </c>
      <c r="AE265" s="3">
        <f>((AE155-AD155)*-1)+(AE206-AD206)</f>
        <v>13.167</v>
      </c>
      <c r="AF265" s="3">
        <f>((AF155-AE155)*-1)+(AF206-AE206)</f>
        <v>43.241</v>
      </c>
      <c r="AG265" s="3">
        <f>SUM(AC265:AF265)</f>
        <v>71.834</v>
      </c>
      <c r="AH265" s="3">
        <f>((AH155-AG155)*-1)+(AH206-AG206)</f>
        <v>-4.66</v>
      </c>
      <c r="AI265" s="3">
        <f>((AI155-AH155)*-1)+(AI206-AH206)</f>
        <v>10.226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5.56600000000003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-46.9245191916313</v>
      </c>
      <c r="F266" s="3">
        <f>SUM(F261,F262,F264,F265,F263)</f>
        <v>-38.3446532845825</v>
      </c>
      <c r="G266" s="3">
        <f>SUM(G261,G262,G264,G265,G263)</f>
        <v>-89.2602211945848</v>
      </c>
      <c r="H266" s="3">
        <f>SUM(H261,H262,H264,H265)</f>
        <v>-234.948805550799</v>
      </c>
      <c r="I266" s="3">
        <f>SUM(I261,I262,I264,I265,I263)</f>
        <v>-41.2067943345845</v>
      </c>
      <c r="J266" s="3">
        <f>SUM(J261,J262,J264,J265,J263)</f>
        <v>-246.180854953293</v>
      </c>
      <c r="K266" s="3">
        <f>SUM(K261,K262,K264,K265,K263)</f>
        <v>-228.786366968102</v>
      </c>
      <c r="L266" s="3">
        <f>SUM(L261,L262,L264,L265,L263)</f>
        <v>-554.813440636729</v>
      </c>
      <c r="M266" s="3">
        <f>SUM(M261,M262,M264,M265)</f>
        <v>-1050.15398860271</v>
      </c>
      <c r="N266" s="3">
        <f>SUM(N261,N262,N264,N265,N263)</f>
        <v>-169.012940332235</v>
      </c>
      <c r="O266" s="3">
        <f>SUM(O261,O262,O264,O265,O263)</f>
        <v>-572.365640492964</v>
      </c>
      <c r="P266" s="3">
        <f>SUM(P261,P262,P264,P265,P263)</f>
        <v>-140.944752772314</v>
      </c>
      <c r="Q266" s="3">
        <f>SUM(Q261,Q262,Q264,Q265,Q263)</f>
        <v>-572.186504170907</v>
      </c>
      <c r="R266" s="3">
        <f>SUM(R261,R262,R264,R265)</f>
        <v>-1182.99797967842</v>
      </c>
      <c r="S266" s="3">
        <f>SUM(S261,S262,S264,S265,S263)</f>
        <v>-109.492704899093</v>
      </c>
      <c r="T266" s="3">
        <f>SUM(T261,T262,T264,T265,T263)</f>
        <v>-3446.60043029</v>
      </c>
      <c r="U266" s="3">
        <f>SUM(U261,U262,U264,U265,U263)</f>
        <v>-129.946</v>
      </c>
      <c r="V266" s="3">
        <f>SUM(V261,V262,V264,V265,V263)</f>
        <v>-196.456</v>
      </c>
      <c r="W266" s="3">
        <f>SUM(W261,W262,W264,W265)</f>
        <v>-3609.68680661909</v>
      </c>
      <c r="X266" s="3">
        <f>SUM(X261,X262,X264,X265,X263)</f>
        <v>-100.57941873</v>
      </c>
      <c r="Y266" s="3">
        <f>SUM(Y261,Y262,Y264,Y265,Y263)</f>
        <v>-137.79958127</v>
      </c>
      <c r="Z266" s="3">
        <f>SUM(Z261,Z262,Z264,Z265,Z263)</f>
        <v>-205.927</v>
      </c>
      <c r="AA266" s="3">
        <f>SUM(AA261,AA262,AA264,AA265,AA263)</f>
        <v>-285.71</v>
      </c>
      <c r="AB266" s="3">
        <f>SUM(AB261,AB262,AB264,AB265)</f>
        <v>-886.468</v>
      </c>
      <c r="AC266" s="3">
        <f>SUM(AC261,AC262,AC264,AC265,AC263)</f>
        <v>-136.278489809999</v>
      </c>
      <c r="AD266" s="3">
        <f>SUM(AD261,AD262,AD264,AD265,AD263)</f>
        <v>-166.18558719</v>
      </c>
      <c r="AE266" s="3">
        <f>SUM(AE261,AE262,AE264,AE265,AE263)</f>
        <v>-361.66199664</v>
      </c>
      <c r="AF266" s="3">
        <f>SUM(AF261,AF262,AF264,AF265,AF263)</f>
        <v>-244.59385589</v>
      </c>
      <c r="AG266" s="3">
        <f>SUM(AG261,AG262,AG264,AG265)</f>
        <v>-948.77192953</v>
      </c>
      <c r="AH266" s="3">
        <f>SUM(AH261,AH262,AH264,AH265,AH263)</f>
        <v>-120.42969578</v>
      </c>
      <c r="AI266" s="3">
        <f>SUM(AI261,AI262,AI264,AI265,AI263)</f>
        <v>-478.943</v>
      </c>
      <c r="AJ266" s="3">
        <f>SUM(AJ261,AJ262,AJ264,AJ265,AJ263)</f>
        <v>6006.075</v>
      </c>
      <c r="AK266" s="3">
        <f>SUM(AK261,AK262,AK264,AK265,AK263)</f>
        <v>0</v>
      </c>
      <c r="AL266" s="3">
        <f>SUM(AL261,AL262,AL264,AL265)</f>
        <v>5511.47830422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0.0542814499999622</v>
      </c>
      <c r="F269" s="3">
        <f>F220-E220</f>
        <v>6.02269034999995</v>
      </c>
      <c r="G269" s="3">
        <f>G220-F220</f>
        <v>0.971905529999958</v>
      </c>
      <c r="H269" s="3">
        <f>SUM(D269:G269)</f>
        <v>7.04887732999987</v>
      </c>
      <c r="I269" s="3">
        <f>I220-H220</f>
        <v>0.551584020000064</v>
      </c>
      <c r="J269" s="3">
        <f>J220-I220</f>
        <v>0.415548280001076</v>
      </c>
      <c r="K269" s="3">
        <f>K220-J220</f>
        <v>5.37442747999899</v>
      </c>
      <c r="L269" s="3">
        <f>L220-K220</f>
        <v>0.229819630000065</v>
      </c>
      <c r="M269" s="3">
        <f>SUM(I269:L269)</f>
        <v>6.57137941000019</v>
      </c>
      <c r="N269" s="3">
        <f>N220-M220</f>
        <v>0.380148659999804</v>
      </c>
      <c r="O269" s="3">
        <f>O220-N220</f>
        <v>-0.0925757699999394</v>
      </c>
      <c r="P269" s="3">
        <f>P220-O220</f>
        <v>1.83959503000006</v>
      </c>
      <c r="Q269" s="3">
        <f>Q220-P220</f>
        <v>843.57939525</v>
      </c>
      <c r="R269" s="3">
        <f>SUM(N269:Q269)</f>
        <v>845.70656317</v>
      </c>
      <c r="S269" s="3">
        <f>S220-R220</f>
        <v>-0.281816729999719</v>
      </c>
      <c r="T269" s="3">
        <f>T220-S220</f>
        <v>2331.20360159</v>
      </c>
      <c r="U269" s="3">
        <f>U220-T220</f>
        <v>0.0860000000002401</v>
      </c>
      <c r="V269" s="3">
        <f>V220-U220</f>
        <v>0.0379999999995562</v>
      </c>
      <c r="W269" s="3">
        <f>SUM(S269:V269)</f>
        <v>2331.04578486</v>
      </c>
      <c r="X269" s="3">
        <f>X220-W220</f>
        <v>0.0380000000004657</v>
      </c>
      <c r="Y269" s="3">
        <f>Y220-X220</f>
        <v>0.0383955800007243</v>
      </c>
      <c r="Z269" s="3">
        <f>Z220-Y220</f>
        <v>0.0376044199992975</v>
      </c>
      <c r="AA269" s="3">
        <f>AA220-Z220</f>
        <v>0.0379999999995562</v>
      </c>
      <c r="AB269" s="3">
        <f>SUM(X269:AA269)</f>
        <v>0.152000000000044</v>
      </c>
      <c r="AC269" s="3">
        <f>AC220-AB220</f>
        <v>8.2999999904132e-05</v>
      </c>
      <c r="AD269" s="3">
        <f>AD220-AC220</f>
        <v>-8.2999999904132e-05</v>
      </c>
      <c r="AE269" s="3">
        <f>AE220-AD220</f>
        <v>0</v>
      </c>
      <c r="AF269" s="3">
        <f>AF220-AE220</f>
        <v>0</v>
      </c>
      <c r="AG269" s="3">
        <f>SUM(AC269:AF269)</f>
        <v>0</v>
      </c>
      <c r="AH269" s="3">
        <f>AH220-AG220</f>
        <v>0</v>
      </c>
      <c r="AI269" s="3">
        <f>AI220-AH220</f>
        <v>13.0960000000005</v>
      </c>
      <c r="AJ269" s="3">
        <f>AJ220-AI220</f>
        <v>0</v>
      </c>
      <c r="AK269" s="3">
        <f>AK220-AJ220</f>
        <v>0</v>
      </c>
      <c r="AL269" s="3">
        <f>SUM(AH269:AK269)</f>
        <v>13.0960000000005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0</v>
      </c>
      <c r="F270" s="3">
        <f>F233-E233</f>
        <v>0</v>
      </c>
      <c r="G270" s="3">
        <f>G233-F233</f>
        <v>-2.67399757</v>
      </c>
      <c r="H270" s="3">
        <f>SUM(D270:G270)</f>
        <v>-2.67399757</v>
      </c>
      <c r="I270" s="3">
        <f>I233-H233</f>
        <v>-20.34031793</v>
      </c>
      <c r="J270" s="3">
        <f>J233-I233</f>
        <v>-1.82208978</v>
      </c>
      <c r="K270" s="3">
        <f>K233-J233</f>
        <v>0</v>
      </c>
      <c r="L270" s="3">
        <f>L233-K233</f>
        <v>0</v>
      </c>
      <c r="M270" s="3">
        <f>SUM(I270:L270)</f>
        <v>-22.16240771</v>
      </c>
      <c r="N270" s="3">
        <f>N233-M233</f>
        <v>1.9461885</v>
      </c>
      <c r="O270" s="3">
        <f>O233-N233</f>
        <v>-4.35105632</v>
      </c>
      <c r="P270" s="3">
        <f>P233-O233</f>
        <v>7.26984205</v>
      </c>
      <c r="Q270" s="3">
        <f>Q233-P233</f>
        <v>0</v>
      </c>
      <c r="R270" s="3">
        <f>SUM(N270:Q270)</f>
        <v>4.86497423</v>
      </c>
      <c r="S270" s="3">
        <f>S233-R233</f>
        <v>10.75829405</v>
      </c>
      <c r="T270" s="3">
        <f>T233-S233</f>
        <v>0.000137000000000498</v>
      </c>
      <c r="U270" s="3">
        <f>U233-T233</f>
        <v>0</v>
      </c>
      <c r="V270" s="3">
        <f>V233-U233</f>
        <v>-30.249</v>
      </c>
      <c r="W270" s="3">
        <f>SUM(S270:V270)</f>
        <v>-19.49056895</v>
      </c>
      <c r="X270" s="3">
        <f>X233-W233</f>
        <v>12.312</v>
      </c>
      <c r="Y270" s="3">
        <f>Y233-X233</f>
        <v>0</v>
      </c>
      <c r="Z270" s="3">
        <f>Z233-Y233</f>
        <v>-20.915</v>
      </c>
      <c r="AA270" s="3">
        <f>AA233-Z233</f>
        <v>0</v>
      </c>
      <c r="AB270" s="3">
        <f>SUM(X270:AA270)</f>
        <v>-8.60299999999999</v>
      </c>
      <c r="AC270" s="3">
        <f>AC233-AB233</f>
        <v>12.505899</v>
      </c>
      <c r="AD270" s="3">
        <f>AD233-AC233</f>
        <v>0.0001010000000079</v>
      </c>
      <c r="AE270" s="3">
        <f>AE233-AD233</f>
        <v>0</v>
      </c>
      <c r="AF270" s="3">
        <f>AF233-AE233</f>
        <v>0</v>
      </c>
      <c r="AG270" s="3">
        <f>SUM(AC270:AF270)</f>
        <v>12.506</v>
      </c>
      <c r="AH270" s="3">
        <f>AH233-AG233</f>
        <v>-19.938</v>
      </c>
      <c r="AI270" s="3">
        <f>AI233-AH233</f>
        <v>0.0189999999999984</v>
      </c>
      <c r="AJ270" s="3">
        <f>AJ233-AI233</f>
        <v>0</v>
      </c>
      <c r="AK270" s="3">
        <f>AK233-AJ233</f>
        <v>0</v>
      </c>
      <c r="AL270" s="3">
        <f>SUM(AH270:AK270)</f>
        <v>-19.919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0</v>
      </c>
      <c r="F271" s="3">
        <f>F234-E234</f>
        <v>0</v>
      </c>
      <c r="G271" s="3">
        <f>G234-F234</f>
        <v>0</v>
      </c>
      <c r="H271" s="3">
        <f>SUM(D271:G271)</f>
        <v>0</v>
      </c>
      <c r="I271" s="3">
        <f>I234-H234</f>
        <v>0</v>
      </c>
      <c r="J271" s="3">
        <f>J234-I234</f>
        <v>0</v>
      </c>
      <c r="K271" s="3">
        <f>K234-J234</f>
        <v>0</v>
      </c>
      <c r="L271" s="3">
        <f>L234-K234</f>
        <v>0</v>
      </c>
      <c r="M271" s="3">
        <f>SUM(I271:L271)</f>
        <v>0</v>
      </c>
      <c r="N271" s="3">
        <f>N234-M234</f>
        <v>0</v>
      </c>
      <c r="O271" s="3">
        <f>O234-N234</f>
        <v>0</v>
      </c>
      <c r="P271" s="3">
        <f>P234-O234</f>
        <v>0</v>
      </c>
      <c r="Q271" s="3">
        <f>Q234-P234</f>
        <v>0</v>
      </c>
      <c r="R271" s="3">
        <f>SUM(N271:Q271)</f>
        <v>0</v>
      </c>
      <c r="S271" s="3">
        <f>S234-R234</f>
        <v>0</v>
      </c>
      <c r="T271" s="3">
        <f>T234-S234</f>
        <v>73.884</v>
      </c>
      <c r="U271" s="3">
        <f>U234-T234</f>
        <v>0</v>
      </c>
      <c r="V271" s="3">
        <f>V234-U234</f>
        <v>0</v>
      </c>
      <c r="W271" s="3">
        <f>SUM(S271:V271)</f>
        <v>73.884</v>
      </c>
      <c r="X271" s="3">
        <f>X234-W234</f>
        <v>0</v>
      </c>
      <c r="Y271" s="3">
        <f>Y234-X234</f>
        <v>0</v>
      </c>
      <c r="Z271" s="3">
        <f>Z234-Y234</f>
        <v>0</v>
      </c>
      <c r="AA271" s="3">
        <f>AA234-Z234</f>
        <v>-21.067</v>
      </c>
      <c r="AB271" s="3">
        <f>SUM(X271:AA271)</f>
        <v>-21.067</v>
      </c>
      <c r="AC271" s="3">
        <f>AC234-AB234</f>
        <v>0</v>
      </c>
      <c r="AD271" s="3">
        <f>AD234-AC234</f>
        <v>0</v>
      </c>
      <c r="AE271" s="3">
        <f>AE234-AD234</f>
        <v>0</v>
      </c>
      <c r="AF271" s="3">
        <f>AF234-AE234</f>
        <v>0</v>
      </c>
      <c r="AG271" s="3">
        <f>SUM(AC271:AF271)</f>
        <v>0</v>
      </c>
      <c r="AH271" s="3">
        <f>AH234-AG234</f>
        <v>0</v>
      </c>
      <c r="AI271" s="3">
        <f>AI234-AH234</f>
        <v>0</v>
      </c>
      <c r="AJ271" s="3">
        <f>AJ234-AI234</f>
        <v>0</v>
      </c>
      <c r="AK271" s="3">
        <f>AK234-AJ234</f>
        <v>0</v>
      </c>
      <c r="AL271" s="3">
        <f>SUM(AH271:AK271)</f>
        <v>0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12.84805422</v>
      </c>
      <c r="H272" s="3">
        <f>SUM(D272:G272)</f>
        <v>12.84805422</v>
      </c>
      <c r="I272" s="3">
        <f>I235-H235</f>
        <v>10.17405665</v>
      </c>
      <c r="J272" s="3">
        <f>J235-I235</f>
        <v>0</v>
      </c>
      <c r="K272" s="3">
        <f>K235-J235</f>
        <v>0</v>
      </c>
      <c r="L272" s="3">
        <f>L235-K235</f>
        <v>17.49624773</v>
      </c>
      <c r="M272" s="3">
        <f>SUM(I272:L272)</f>
        <v>27.67030438</v>
      </c>
      <c r="N272" s="3">
        <f>N235-M235</f>
        <v>12.83008774</v>
      </c>
      <c r="O272" s="3">
        <f>O235-N235</f>
        <v>0</v>
      </c>
      <c r="P272" s="3">
        <f>P235-O235</f>
        <v>0</v>
      </c>
      <c r="Q272" s="3">
        <f>Q235-P235</f>
        <v>37.557464017</v>
      </c>
      <c r="R272" s="3">
        <f>SUM(N272:Q272)</f>
        <v>50.387551757</v>
      </c>
      <c r="S272" s="3">
        <f>S235-R235</f>
        <v>162.452514153</v>
      </c>
      <c r="T272" s="3">
        <f>T235-S235</f>
        <v>-169.99989755</v>
      </c>
      <c r="U272" s="3">
        <f>U235-T235</f>
        <v>-92.53</v>
      </c>
      <c r="V272" s="3">
        <f>V235-U235</f>
        <v>113.718</v>
      </c>
      <c r="W272" s="3">
        <f>SUM(S272:V272)</f>
        <v>13.640616603</v>
      </c>
      <c r="X272" s="3">
        <f>X235-W235</f>
        <v>-207.423</v>
      </c>
      <c r="Y272" s="3">
        <f>Y235-X235</f>
        <v>0</v>
      </c>
      <c r="Z272" s="3">
        <f>Z235-Y235</f>
        <v>-184.073</v>
      </c>
      <c r="AA272" s="3">
        <f>AA235-Z235</f>
        <v>-116.429</v>
      </c>
      <c r="AB272" s="3">
        <f>SUM(X272:AA272)</f>
        <v>-507.925</v>
      </c>
      <c r="AC272" s="3">
        <f>AC235-AB235</f>
        <v>300.502</v>
      </c>
      <c r="AD272" s="3">
        <f>AD235-AC235</f>
        <v>0</v>
      </c>
      <c r="AE272" s="3">
        <f>AE235-AD235</f>
        <v>-169.009</v>
      </c>
      <c r="AF272" s="3">
        <f>AF235-AE235</f>
        <v>169.009</v>
      </c>
      <c r="AG272" s="3">
        <f>SUM(AC272:AF272)</f>
        <v>300.502</v>
      </c>
      <c r="AH272" s="3">
        <f>AH235-AG235</f>
        <v>0</v>
      </c>
      <c r="AI272" s="3">
        <f>AI235-AH235</f>
        <v>0</v>
      </c>
      <c r="AJ272" s="3">
        <f>AJ235-AI235</f>
        <v>0</v>
      </c>
      <c r="AK272" s="3">
        <f>AK235-AJ235</f>
        <v>0</v>
      </c>
      <c r="AL272" s="3">
        <f>SUM(AH272:AK272)</f>
        <v>0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-0.319926343187731</v>
      </c>
      <c r="F273" s="3">
        <f>(F236-E236)-F243</f>
        <v>0.320300254014597</v>
      </c>
      <c r="G273" s="3">
        <f>(G236-F236)-G243</f>
        <v>-87.3179570100009</v>
      </c>
      <c r="H273" s="3">
        <f>SUM(D273:G273)</f>
        <v>-87.317583099174</v>
      </c>
      <c r="I273" s="3">
        <f>(I236-H236)-I243</f>
        <v>-166.96912783</v>
      </c>
      <c r="J273" s="3">
        <f>(J236-I236)-J243</f>
        <v>8.40001263213708e-07</v>
      </c>
      <c r="K273" s="3">
        <f>(K236-J236)-K243</f>
        <v>-42.3521208674033</v>
      </c>
      <c r="L273" s="3">
        <f>(L236-K236)-L243</f>
        <v>-58.25130276</v>
      </c>
      <c r="M273" s="3">
        <f>SUM(I273:L273)</f>
        <v>-267.572550617402</v>
      </c>
      <c r="N273" s="3">
        <f>(N236-M236)-N243</f>
        <v>-227.159122689442</v>
      </c>
      <c r="O273" s="3">
        <f>(O236-N236)-O243</f>
        <v>7.26984193194902</v>
      </c>
      <c r="P273" s="3">
        <f>(P236-O236)-P243</f>
        <v>-7.26984196000001</v>
      </c>
      <c r="Q273" s="3">
        <f>(Q236-P236)-Q243</f>
        <v>-145.45417996</v>
      </c>
      <c r="R273" s="3">
        <f>SUM(N273:Q273)</f>
        <v>-372.613302677493</v>
      </c>
      <c r="S273" s="3">
        <f>(S236-R236)-S243</f>
        <v>-162.4538159</v>
      </c>
      <c r="T273" s="3">
        <f>(T236-S236)-T243</f>
        <v>0.00205519519207087</v>
      </c>
      <c r="U273" s="3">
        <f>(U236-T236)-U243</f>
        <v>-0.000435338059361357</v>
      </c>
      <c r="V273" s="3">
        <f>(V236-U236)-V243</f>
        <v>-258.46880174393</v>
      </c>
      <c r="W273" s="3">
        <f>SUM(S273:V273)</f>
        <v>-420.920997786797</v>
      </c>
      <c r="X273" s="3">
        <f>(X236-W236)-X243</f>
        <v>126.8863991</v>
      </c>
      <c r="Y273" s="3">
        <f>(Y236-X236)-Y243</f>
        <v>0</v>
      </c>
      <c r="Z273" s="3">
        <f>(Z236-Y236)-Z243</f>
        <v>-0.000473999999968555</v>
      </c>
      <c r="AA273" s="3">
        <f>(AA236-Z236)-AA243</f>
        <v>0.00207490000080668</v>
      </c>
      <c r="AB273" s="3">
        <f>SUM(X273:AA273)</f>
        <v>126.888000000001</v>
      </c>
      <c r="AC273" s="3">
        <f>(AC236-AB236)-AC243</f>
        <v>-554.55829</v>
      </c>
      <c r="AD273" s="3">
        <f>(AD236-AC236)-AD243</f>
        <v>-0.000179000000031238</v>
      </c>
      <c r="AE273" s="3">
        <f>(AE236-AD236)-AE243</f>
        <v>0.000277279816401688</v>
      </c>
      <c r="AF273" s="3">
        <f>(AF236-AE236)-AF243</f>
        <v>-659.008409783591</v>
      </c>
      <c r="AG273" s="3">
        <f>SUM(AC273:AF273)</f>
        <v>-1213.56660150378</v>
      </c>
      <c r="AH273" s="3">
        <f>(AH236-AG236)-AH243</f>
        <v>3.58799997854931e-05</v>
      </c>
      <c r="AI273" s="3">
        <f>(AI236-AH236)-AI243</f>
        <v>-0.00120800000019017</v>
      </c>
      <c r="AJ273" s="3">
        <f>(AJ236-AI236)-AJ243</f>
        <v>0</v>
      </c>
      <c r="AK273" s="3">
        <f>(AK236-AJ236)-AK243</f>
        <v>0</v>
      </c>
      <c r="AL273" s="3">
        <f>SUM(AH273:AK273)</f>
        <v>-0.00117212000040468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0</v>
      </c>
      <c r="F274" s="3">
        <f>(F214-E214)+F102</f>
        <v>0</v>
      </c>
      <c r="G274" s="3">
        <f>(G214-F214)+G102</f>
        <v>0</v>
      </c>
      <c r="H274" s="3">
        <f>SUM(D274:G274)</f>
        <v>0</v>
      </c>
      <c r="I274" s="3">
        <f>(I214-H214)+I102</f>
        <v>0</v>
      </c>
      <c r="J274" s="3">
        <f>(J214-I214)+J102</f>
        <v>1.370139392</v>
      </c>
      <c r="K274" s="3">
        <f>(K214-J214)+K102</f>
        <v>0.046234966958</v>
      </c>
      <c r="L274" s="3">
        <f>(L214-K214)+L102</f>
        <v>6.21769489186028</v>
      </c>
      <c r="M274" s="3">
        <f>SUM(I274:L274)</f>
        <v>7.63406925081828</v>
      </c>
      <c r="N274" s="3">
        <f>(N214-M214)+N102</f>
        <v>0.4000668789</v>
      </c>
      <c r="O274" s="3">
        <f>(O214-N214)+O102</f>
        <v>1.29475753607972</v>
      </c>
      <c r="P274" s="3">
        <f>(P214-O214)+P102</f>
        <v>4.21690244</v>
      </c>
      <c r="Q274" s="3">
        <f>(Q214-P214)+Q102</f>
        <v>3.614749250676</v>
      </c>
      <c r="R274" s="3">
        <f>SUM(N274:Q274)</f>
        <v>9.52647610565572</v>
      </c>
      <c r="S274" s="3">
        <f>(S214-R214)+S102</f>
        <v>2.60033365</v>
      </c>
      <c r="T274" s="3">
        <f>(T214-S214)+T102</f>
        <v>-8.531227611262</v>
      </c>
      <c r="U274" s="3">
        <f>(U214-T214)+U102</f>
        <v>3.989</v>
      </c>
      <c r="V274" s="3">
        <f>(V214-U214)+V102</f>
        <v>12.947</v>
      </c>
      <c r="W274" s="3">
        <f>SUM(S274:V274)</f>
        <v>11.005106038738</v>
      </c>
      <c r="X274" s="3">
        <f>(X214-W214)+X102</f>
        <v>1.527955374137</v>
      </c>
      <c r="Y274" s="3">
        <f>(Y214-X214)+Y102</f>
        <v>46.117924753381</v>
      </c>
      <c r="Z274" s="3">
        <f>(Z214-Y214)+Z102</f>
        <v>15.068119872482</v>
      </c>
      <c r="AA274" s="3">
        <f>(AA214-Z214)+AA102</f>
        <v>7.94800000000001</v>
      </c>
      <c r="AB274" s="3">
        <f>SUM(X274:AA274)</f>
        <v>70.662</v>
      </c>
      <c r="AC274" s="3">
        <f>(AC214-AB214)+AC102</f>
        <v>11.11217</v>
      </c>
      <c r="AD274" s="3">
        <f>(AD214-AC214)+AD102</f>
        <v>5.74713299999999</v>
      </c>
      <c r="AE274" s="3">
        <f>(AE214-AD214)+AE102</f>
        <v>-1.087551200317</v>
      </c>
      <c r="AF274" s="3">
        <f>(AF214-AE214)+AF102</f>
        <v>9.55325577847376</v>
      </c>
      <c r="AG274" s="3">
        <f>SUM(AC274:AF274)</f>
        <v>25.3250075781568</v>
      </c>
      <c r="AH274" s="3">
        <f>(AH214-AG214)+AH102</f>
        <v>3.65144448</v>
      </c>
      <c r="AI274" s="3">
        <f>(AI214-AH214)+AI102</f>
        <v>8.292</v>
      </c>
      <c r="AJ274" s="3">
        <f>(AJ214-AI214)+AJ102</f>
        <v>0</v>
      </c>
      <c r="AK274" s="3">
        <f>(AK214-AJ214)+AK102</f>
        <v>0</v>
      </c>
      <c r="AL274" s="3">
        <f>SUM(AH274:AK274)</f>
        <v>11.94344448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347.173462100001</v>
      </c>
      <c r="F275" s="3">
        <f>SUM(F178:F180,F183,F204,F201)-SUM(E178:E180,E183,E204,E201)</f>
        <v>-43.6747576100006</v>
      </c>
      <c r="G275" s="3">
        <f>SUM(G178:G180,G183,G204,G201)-SUM(F178:F180,F183,F204,F201)</f>
        <v>-21.2161495199998</v>
      </c>
      <c r="H275" s="3">
        <f>SUM(D275:G275)</f>
        <v>282.28255497</v>
      </c>
      <c r="I275" s="3">
        <f>SUM(I178:I180,I183,I204,I201)-SUM(H178:H180,H183,H204,H201)</f>
        <v>-39.1910923</v>
      </c>
      <c r="J275" s="3">
        <f>SUM(J178:J180,J183,J204,J201)-SUM(I178:I180,I183,I204,I201)</f>
        <v>-174.12005546</v>
      </c>
      <c r="K275" s="3">
        <f>SUM(K178:K180,K183,K204,K201)-SUM(J178:J180,J183,J204,J201)</f>
        <v>652.55499822</v>
      </c>
      <c r="L275" s="3">
        <f>SUM(L178:L180,L183,L204,L201)-SUM(K178:K180,K183,K204,K201)</f>
        <v>-140.65582271</v>
      </c>
      <c r="M275" s="3">
        <f>SUM(I275:L275)</f>
        <v>298.58802775</v>
      </c>
      <c r="N275" s="3">
        <f>SUM(N178:N180,N183,N204,N201)-SUM(M178:M180,M183,M204,M201)</f>
        <v>-115.15165169</v>
      </c>
      <c r="O275" s="3">
        <f>SUM(O178:O180,O183,O204,O201)-SUM(N178:N180,N183,N204,N201)</f>
        <v>818.59954818</v>
      </c>
      <c r="P275" s="3">
        <f>SUM(P178:P180,P183,P204,P201)-SUM(O178:O180,O183,O204,O201)</f>
        <v>24.0056392699998</v>
      </c>
      <c r="Q275" s="3">
        <f>SUM(Q178:Q180,Q183,Q204,Q201)-SUM(P178:P180,P183,P204,P201)</f>
        <v>170.27523874</v>
      </c>
      <c r="R275" s="3">
        <f>SUM(N275:Q275)</f>
        <v>897.7287745</v>
      </c>
      <c r="S275" s="3">
        <f>SUM(S178:S180,S183,S204,S201)-SUM(R178:R180,R183,R204,R201)</f>
        <v>-14.4508399000001</v>
      </c>
      <c r="T275" s="3">
        <f>SUM(T178:T180,T183,T204,T201)-SUM(S178:S180,S183,S204,S201)</f>
        <v>693.571251650001</v>
      </c>
      <c r="U275" s="3">
        <f>SUM(U178:U180,U183,U204,U201)-SUM(T178:T180,T183,T204,T201)</f>
        <v>-157.039000000001</v>
      </c>
      <c r="V275" s="3">
        <f>SUM(V178:V180,V183,V204,V201)-SUM(U178:U180,U183,U204,U201)</f>
        <v>121.892</v>
      </c>
      <c r="W275" s="3">
        <f>SUM(S275:V275)</f>
        <v>643.97341175</v>
      </c>
      <c r="X275" s="3">
        <f>SUM(X178:X180,X183,X204,X201)-SUM(W178:W180,W183,W204,W201)</f>
        <v>-16.5569999999998</v>
      </c>
      <c r="Y275" s="3">
        <f>SUM(Y178:Y180,Y183,Y204,Y201)-SUM(X178:X180,X183,X204,X201)</f>
        <v>861.409</v>
      </c>
      <c r="Z275" s="3">
        <f>SUM(Z178:Z180,Z183,Z204,Z201)-SUM(Y178:Y180,Y183,Y204,Y201)</f>
        <v>29.8150000000005</v>
      </c>
      <c r="AA275" s="3">
        <f>SUM(AA178:AA180,AA183,AA204,AA201)-SUM(Z178:Z180,Z183,Z204,Z201)</f>
        <v>222.556</v>
      </c>
      <c r="AB275" s="3">
        <f>SUM(X275:AA275)</f>
        <v>1097.223</v>
      </c>
      <c r="AC275" s="3">
        <f>SUM(AC178:AC180,AC183,AC204,AC201)-SUM(AB178:AB180,AB183,AB204,AB201)</f>
        <v>116.44966</v>
      </c>
      <c r="AD275" s="3">
        <f>SUM(AD178:AD180,AD183,AD204,AD201)-SUM(AC178:AC180,AC183,AC204,AC201)</f>
        <v>-100.64366</v>
      </c>
      <c r="AE275" s="3">
        <f>SUM(AE178:AE180,AE183,AE204,AE201)-SUM(AD178:AD180,AD183,AD204,AD201)</f>
        <v>157.415999999999</v>
      </c>
      <c r="AF275" s="3">
        <f>SUM(AF178:AF180,AF183,AF204,AF201)-SUM(AE178:AE180,AE183,AE204,AE201)</f>
        <v>-210.353999999999</v>
      </c>
      <c r="AG275" s="3">
        <f>SUM(AC275:AF275)</f>
        <v>-37.1319999999996</v>
      </c>
      <c r="AH275" s="3">
        <f>SUM(AH178:AH180,AH183,AH204,AH201)-SUM(AG178:AG180,AG183,AG204,AG201)</f>
        <v>63.5620000000008</v>
      </c>
      <c r="AI275" s="3">
        <f>SUM(AI178:AI180,AI183,AI204,AI201)-SUM(AH178:AH180,AH183,AH204,AH201)</f>
        <v>58.8729999999987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122.434999999999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346.907817206813</v>
      </c>
      <c r="F276" s="3">
        <f>SUM(F268,F269,F270,F271,F272,F273,F274,F275)</f>
        <v>-37.3317670059861</v>
      </c>
      <c r="G276" s="3">
        <f>SUM(G268,G269,G270,G271,G272,G273,G274,G275)</f>
        <v>-97.3881443500008</v>
      </c>
      <c r="H276" s="3">
        <f>SUM(H268,H269,H270,H271,H272,H273,H274,H275)</f>
        <v>212.187905850826</v>
      </c>
      <c r="I276" s="3">
        <f>SUM(I268,I269,I270,I271,I272,I273,I274,I275)</f>
        <v>-215.77489739</v>
      </c>
      <c r="J276" s="3">
        <f>SUM(J268,J269,J270,J271,J272,J273,J274,J275)</f>
        <v>-174.156456727998</v>
      </c>
      <c r="K276" s="3">
        <f>SUM(K268,K269,K270,K271,K272,K273,K274,K275)</f>
        <v>615.623539799554</v>
      </c>
      <c r="L276" s="3">
        <f>SUM(L268,L269,L270,L271,L272,L273,L274,L275)</f>
        <v>-174.96336321814</v>
      </c>
      <c r="M276" s="3">
        <f>SUM(M268,M269,M270,M271,M272,M273,M274,M275)</f>
        <v>50.7288224634169</v>
      </c>
      <c r="N276" s="3">
        <f>SUM(N268,N269,N270,N271,N272,N273,N274,N275)</f>
        <v>-326.754282600542</v>
      </c>
      <c r="O276" s="3">
        <f>SUM(O268,O269,O270,O271,O272,O273,O274,O275)</f>
        <v>822.720515558029</v>
      </c>
      <c r="P276" s="3">
        <f>SUM(P268,P269,P270,P271,P272,P273,P274,P275)</f>
        <v>30.0621368299999</v>
      </c>
      <c r="Q276" s="3">
        <f>SUM(Q268,Q269,Q270,Q271,Q272,Q273,Q274,Q275)</f>
        <v>909.572667297676</v>
      </c>
      <c r="R276" s="3">
        <f>SUM(R268,R269,R270,R271,R272,R273,R274,R275)</f>
        <v>1435.60103708516</v>
      </c>
      <c r="S276" s="3">
        <f>SUM(S268,S269,S270,S271,S272,S273,S274,S275)</f>
        <v>-1.37533067699971</v>
      </c>
      <c r="T276" s="3">
        <f>SUM(T268,T269,T270,T271,T272,T273,T274,T275)</f>
        <v>2920.12992027393</v>
      </c>
      <c r="U276" s="3">
        <f>SUM(U268,U269,U270,U271,U272,U273,U274,U275)</f>
        <v>-245.49443533806</v>
      </c>
      <c r="V276" s="3">
        <f>SUM(V268,V269,V270,V271,V272,V273,V274,V275)</f>
        <v>-40.1228017439306</v>
      </c>
      <c r="W276" s="3">
        <f>SUM(W268,W269,W270,W271,W272,W273,W274,W275)</f>
        <v>2633.13735251494</v>
      </c>
      <c r="X276" s="3">
        <f>SUM(X268,X269,X270,X271,X272,X273,X274,X275)</f>
        <v>-83.2156455258623</v>
      </c>
      <c r="Y276" s="3">
        <f>SUM(Y268,Y269,Y270,Y271,Y272,Y273,Y274,Y275)</f>
        <v>907.565320333381</v>
      </c>
      <c r="Z276" s="3">
        <f>SUM(Z268,Z269,Z270,Z271,Z272,Z273,Z274,Z275)</f>
        <v>-160.067749707518</v>
      </c>
      <c r="AA276" s="3">
        <f>SUM(AA268,AA269,AA270,AA271,AA272,AA273,AA274,AA275)</f>
        <v>93.0480749</v>
      </c>
      <c r="AB276" s="3">
        <f>SUM(AB268,AB269,AB270,AB271,AB272,AB273,AB274,AB275)</f>
        <v>757.330000000001</v>
      </c>
      <c r="AC276" s="3">
        <f>SUM(AC268,AC269,AC270,AC271,AC272,AC273,AC274,AC275)</f>
        <v>-113.988478</v>
      </c>
      <c r="AD276" s="3">
        <f>SUM(AD268,AD269,AD270,AD271,AD272,AD273,AD274,AD275)</f>
        <v>-94.8966879999997</v>
      </c>
      <c r="AE276" s="3">
        <f>SUM(AE268,AE269,AE270,AE271,AE272,AE273,AE274,AE275)</f>
        <v>-12.6802739205014</v>
      </c>
      <c r="AF276" s="3">
        <f>SUM(AF268,AF269,AF270,AF271,AF272,AF273,AF274,AF275)</f>
        <v>-690.800154005117</v>
      </c>
      <c r="AG276" s="3">
        <f>SUM(AG268,AG269,AG270,AG271,AG272,AG273,AG274,AG275)</f>
        <v>-912.365593925618</v>
      </c>
      <c r="AH276" s="3">
        <f>SUM(AH268,AH269,AH270,AH271,AH272,AH273,AH274,AH275)</f>
        <v>47.2754803600006</v>
      </c>
      <c r="AI276" s="3">
        <f>SUM(AI268,AI269,AI270,AI271,AI272,AI273,AI274,AI275)</f>
        <v>80.278791999999</v>
      </c>
      <c r="AJ276" s="3">
        <f>SUM(AJ268,AJ269,AJ270,AJ271,AJ272,AJ273,AJ274,AJ275)</f>
        <v>0</v>
      </c>
      <c r="AK276" s="3">
        <f>SUM(AK268,AK269,AK270,AK271,AK272,AK273,AK274,AK275)</f>
        <v>0</v>
      </c>
      <c r="AL276" s="3">
        <f>SUM(AL268,AL269,AL270,AL271,AL272,AL273,AL274,AL275)</f>
        <v>127.55427236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349.181013660836</v>
      </c>
      <c r="F280" s="3">
        <f>SUM(F259,F266,F276,F278)</f>
        <v>56.4346023630223</v>
      </c>
      <c r="G280" s="3">
        <f>SUM(G259,G266,G276,G278)</f>
        <v>-97.7732153913731</v>
      </c>
      <c r="H280" s="3">
        <f>SUM(D280:G280)</f>
        <v>307.842400632485</v>
      </c>
      <c r="I280" s="3">
        <f>SUM(I259,I266,I276,I278)</f>
        <v>-14.0456721913699</v>
      </c>
      <c r="J280" s="3">
        <f>SUM(J259,J266,J276,J278)</f>
        <v>-425.299554488976</v>
      </c>
      <c r="K280" s="3">
        <f>SUM(K259,K266,K276,K278)</f>
        <v>356.13500867833</v>
      </c>
      <c r="L280" s="3">
        <f>SUM(L259,L266,L276,L278)</f>
        <v>-166.782218656471</v>
      </c>
      <c r="M280" s="3">
        <f>SUM(I280:L280)</f>
        <v>-249.992436658487</v>
      </c>
      <c r="N280" s="3">
        <f>SUM(N259,N266,N276,N278)</f>
        <v>-296.694734858608</v>
      </c>
      <c r="O280" s="3">
        <f>SUM(O259,O266,O276,O278)</f>
        <v>215.196131119185</v>
      </c>
      <c r="P280" s="3">
        <f>SUM(P259,P266,P276,P278)</f>
        <v>114.166113710507</v>
      </c>
      <c r="Q280" s="3">
        <f>SUM(Q259,Q266,Q276,Q278)</f>
        <v>537.036647840266</v>
      </c>
      <c r="R280" s="3">
        <f>SUM(N280:Q280)</f>
        <v>569.704157811349</v>
      </c>
      <c r="S280" s="3">
        <f>SUM(S259,S266,S276,S278)</f>
        <v>-31.8714968902657</v>
      </c>
      <c r="T280" s="3">
        <f>SUM(T259,T266,T276,T278)</f>
        <v>-370.6529021</v>
      </c>
      <c r="U280" s="3">
        <f>SUM(U259,U266,U276,U278)</f>
        <v>69.7049999999995</v>
      </c>
      <c r="V280" s="3">
        <f>SUM(V259,V266,V276,V278)</f>
        <v>-40.6970000000004</v>
      </c>
      <c r="W280" s="3">
        <f>SUM(S280:V280)</f>
        <v>-373.516398990267</v>
      </c>
      <c r="X280" s="3">
        <f>SUM(X259,X266,X276,X278)</f>
        <v>-31.4394633558622</v>
      </c>
      <c r="Y280" s="3">
        <f>SUM(Y259,Y266,Y276,Y278)</f>
        <v>1100.77273906338</v>
      </c>
      <c r="Z280" s="3">
        <f>SUM(Z259,Z266,Z276,Z278)</f>
        <v>210.485724292482</v>
      </c>
      <c r="AA280" s="3">
        <f>SUM(AA259,AA266,AA276,AA278)</f>
        <v>108.526999999999</v>
      </c>
      <c r="AB280" s="3">
        <f>SUM(X280:AA280)</f>
        <v>1388.346</v>
      </c>
      <c r="AC280" s="3">
        <f>SUM(AC259,AC266,AC276,AC278)</f>
        <v>99.3305521900008</v>
      </c>
      <c r="AD280" s="3">
        <f>SUM(AD259,AD266,AD276,AD278)</f>
        <v>-354.49955219</v>
      </c>
      <c r="AE280" s="3">
        <f>SUM(AE259,AE266,AE276,AE278)</f>
        <v>431.632999999999</v>
      </c>
      <c r="AF280" s="3">
        <f>SUM(AF259,AF266,AF276,AF278)</f>
        <v>-347.411999999999</v>
      </c>
      <c r="AG280" s="3">
        <f>SUM(AC280:AF280)</f>
        <v>-170.947999999999</v>
      </c>
      <c r="AH280" s="3">
        <f>SUM(AH259,AH266,AH276,AH278)</f>
        <v>-8.45999999999975</v>
      </c>
      <c r="AI280" s="3">
        <f>SUM(AI259,AI266,AI276,AI278)</f>
        <v>-228.88</v>
      </c>
      <c r="AJ280" s="3">
        <f>SUM(AJ259,AJ266,AJ276,AJ278)</f>
        <v>6978.42598743</v>
      </c>
      <c r="AK280" s="3">
        <f>SUM(AK259,AK266,AK276,AK278)</f>
        <v>79.498624</v>
      </c>
      <c r="AL280" s="3">
        <f>SUM(AH280:AK280)</f>
        <v>6820.58461143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-0.000935819164340046</v>
      </c>
      <c r="F281" s="51">
        <f>(F280)-(F110-E110)</f>
        <v>1.30222872485319e-08</v>
      </c>
      <c r="G281" s="51">
        <f>(G280)-(G110-F110)</f>
        <v>-1.37315225856582e-09</v>
      </c>
      <c r="I281" s="51">
        <f>(I280)-(I110-H110)</f>
        <v>-1.13700480142143e-08</v>
      </c>
      <c r="J281" s="51">
        <f>(J280)-(J110-I110)</f>
        <v>1.02409103419632e-09</v>
      </c>
      <c r="K281" s="51">
        <f>(K280)-(K110-J110)</f>
        <v>-1.67005964613054e-09</v>
      </c>
      <c r="L281" s="51">
        <f>(L280)-(L110-K110)</f>
        <v>0.000637893529130906</v>
      </c>
      <c r="N281" s="51">
        <f>(N280)-(N110-M110)</f>
        <v>-0.000643888608351517</v>
      </c>
      <c r="O281" s="51">
        <f>(O280)-(O110-N110)</f>
        <v>5.15918435439744e-06</v>
      </c>
      <c r="P281" s="51">
        <f>(P280)-(P110-O110)</f>
        <v>8.30506792226515e-07</v>
      </c>
      <c r="Q281" s="51">
        <f>(Q280)-(Q110-P110)</f>
        <v>-9.99973383386532e-06</v>
      </c>
      <c r="S281" s="51">
        <f>(S280)-(S110-R110)</f>
        <v>-2.72302654487078e-05</v>
      </c>
      <c r="T281" s="51">
        <f>(T280)-(T110-S110)</f>
        <v>3.72399996422246e-05</v>
      </c>
      <c r="U281" s="51">
        <f>(U280)-(U110-T110)</f>
        <v>-6.53699316899292e-13</v>
      </c>
      <c r="V281" s="51">
        <f>(V280)-(V110-U110)</f>
        <v>-2.98427949019242e-13</v>
      </c>
      <c r="X281" s="51">
        <f>(X280)-(X110-W110)</f>
        <v>-0.000463355862109438</v>
      </c>
      <c r="Y281" s="51">
        <f>(Y280)-(Y110-X110)</f>
        <v>0.000739063380706284</v>
      </c>
      <c r="Z281" s="51">
        <f>(Z280)-(Z110-Y110)</f>
        <v>-0.000275707517687351</v>
      </c>
      <c r="AA281" s="51">
        <f>(AA280)-(AA110-Z110)</f>
        <v>-8.5265128291212e-13</v>
      </c>
      <c r="AC281" s="51">
        <f>(AC280)-(AC110-AB110)</f>
        <v>0.000463190000743907</v>
      </c>
      <c r="AD281" s="51">
        <f>(AD280)-(AD110-AC110)</f>
        <v>-0.00046319000028916</v>
      </c>
      <c r="AE281" s="51">
        <f>(AE280)-(AE110-AD110)</f>
        <v>0</v>
      </c>
      <c r="AF281" s="51">
        <f>(AF280)-(AF110-AE110)</f>
        <v>1.25055521493778e-12</v>
      </c>
      <c r="AH281" s="51">
        <f>(AH280)-(AH110-AG110)</f>
        <v>-1.63424829224823e-13</v>
      </c>
      <c r="AI281" s="51">
        <f>(AI280)-(AI110-AH110)</f>
        <v>0</v>
      </c>
      <c r="AJ281" s="51">
        <f>(AJ280)-(AJ110-AI110)</f>
        <v>0</v>
      </c>
      <c r="AK281" s="51">
        <f>(AK280)-(AK110-AJ110)</f>
        <v>0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2"/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4"/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>
        <f>E15/D15-1</f>
        <v>-0.362764659028851</v>
      </c>
      <c r="F287" s="236">
        <f>F15/E15-1</f>
        <v>0.922397639424807</v>
      </c>
      <c r="G287" s="236">
        <f>G15/F15-1</f>
        <v>0.0612539562048802</v>
      </c>
      <c r="H287" s="236" t="n"/>
      <c r="I287" s="220">
        <f>I15/H15-1</f>
        <v>-0.699218169071936</v>
      </c>
      <c r="J287" s="220">
        <f>J15/I15-1</f>
        <v>0.0428038025117514</v>
      </c>
      <c r="K287" s="220">
        <f>K15/J15-1</f>
        <v>0.103816114516444</v>
      </c>
      <c r="L287" s="220">
        <f>L15/K15-1</f>
        <v>-0.0105784607804016</v>
      </c>
      <c r="M287" s="236" t="n"/>
      <c r="N287" s="220">
        <f>N15/M15-1</f>
        <v>-0.718561606401695</v>
      </c>
      <c r="O287" s="220">
        <f>O15/N15-1</f>
        <v>0.0200322409136144</v>
      </c>
      <c r="P287" s="220">
        <f>P15/O15-1</f>
        <v>0.0313820928321329</v>
      </c>
      <c r="Q287" s="220">
        <f>Q15/P15-1</f>
        <v>-0.0278101709631601</v>
      </c>
      <c r="R287" s="236" t="n"/>
      <c r="S287" s="220">
        <f>S15/R15-1</f>
        <v>-0.722874262372865</v>
      </c>
      <c r="T287" s="220">
        <f>T15/S15-1</f>
        <v>0.341776954258032</v>
      </c>
      <c r="U287" s="220">
        <f>U15/T15-1</f>
        <v>0.126844711881177</v>
      </c>
      <c r="V287" s="220">
        <f>V15/U15-1</f>
        <v>-0.0885563179923478</v>
      </c>
      <c r="W287" s="236" t="n"/>
      <c r="X287" s="220">
        <f>X15/W15-1</f>
        <v>-0.705688050487958</v>
      </c>
      <c r="Y287" s="220">
        <f>Y15/X15-1</f>
        <v>0.0387269712636651</v>
      </c>
      <c r="Z287" s="220">
        <f>Z15/Y15-1</f>
        <v>-0.0078508291873125</v>
      </c>
      <c r="AA287" s="220">
        <f>AA15/Z15-1</f>
        <v>-0.0628400769735755</v>
      </c>
      <c r="AB287" s="236" t="n"/>
      <c r="AC287" s="220">
        <f>AC15/AB15-1</f>
        <v>-0.737779646435841</v>
      </c>
      <c r="AD287" s="220">
        <f>AD15/AC15-1</f>
        <v>0.0046941204144364</v>
      </c>
      <c r="AE287" s="220">
        <f>AE15/AD15-1</f>
        <v>0.0822146064436291</v>
      </c>
      <c r="AF287" s="220">
        <f>AF15/AE15-1</f>
        <v>-0.0595093949999969</v>
      </c>
      <c r="AG287" s="236" t="n"/>
      <c r="AH287" s="220">
        <f>AH15/AG15-1</f>
        <v>-0.731869599912878</v>
      </c>
      <c r="AI287" s="220">
        <f>AI15/AH15-1</f>
        <v>0.042074172827933</v>
      </c>
      <c r="AJ287" s="220">
        <f>AJ15/AI15-1</f>
        <v>-0.0542482807138136</v>
      </c>
      <c r="AK287" s="220">
        <f>AK15/AJ15-1</f>
        <v>-0.0595093949999969</v>
      </c>
      <c r="AL287" s="236" t="n"/>
      <c r="AM287" s="220">
        <f>AM15/AL15-1</f>
        <v>-0.74712429495886</v>
      </c>
      <c r="AN287" s="220">
        <f>AN15/AM15-1</f>
        <v>0.042074172827933</v>
      </c>
      <c r="AO287" s="220">
        <f>AO15/AN15-1</f>
        <v>-0.0542482807138136</v>
      </c>
      <c r="AP287" s="220">
        <f>AP15/AO15-1</f>
        <v>-0.0595093949999969</v>
      </c>
      <c r="AQ287" s="236" t="n"/>
      <c r="AR287" s="220">
        <f>AR15/AQ15-1</f>
        <v>-0.74712429495886</v>
      </c>
      <c r="AS287" s="220">
        <f>AS15/AR15-1</f>
        <v>0.042074172827933</v>
      </c>
      <c r="AT287" s="220">
        <f>AT15/AS15-1</f>
        <v>-0.0542482807138136</v>
      </c>
      <c r="AU287" s="220">
        <f>AU15/AT15-1</f>
        <v>-0.0595093949999969</v>
      </c>
      <c r="AV287" s="236" t="n"/>
      <c r="AW287" s="220">
        <f>AW15/AV15-1</f>
        <v>-0.74712429495886</v>
      </c>
      <c r="AX287" s="220">
        <f>AX15/AW15-1</f>
        <v>0.042074172827933</v>
      </c>
      <c r="AY287" s="220">
        <f>AY15/AX15-1</f>
        <v>-0.0542482807138136</v>
      </c>
      <c r="AZ287" s="220">
        <f>AZ15/AY15-1</f>
        <v>-0.0595093949999969</v>
      </c>
      <c r="BA287" s="236" t="n"/>
      <c r="BB287" s="220">
        <f>BB15/BA15-1</f>
        <v>-0.74712429495886</v>
      </c>
      <c r="BC287" s="220">
        <f>BC15/BB15-1</f>
        <v>0.042074172827933</v>
      </c>
      <c r="BD287" s="220">
        <f>BD15/BC15-1</f>
        <v>-0.0542482807138136</v>
      </c>
      <c r="BE287" s="220">
        <f>BE15/BD15-1</f>
        <v>-0.0595093949999969</v>
      </c>
      <c r="BF287" s="236" t="n"/>
      <c r="BG287" s="220">
        <f>BG15/BF15-1</f>
        <v>-0.74712429495886</v>
      </c>
      <c r="BH287" s="220">
        <f>BH15/BG15-1</f>
        <v>0.042074172827933</v>
      </c>
      <c r="BI287" s="220">
        <f>BI15/BH15-1</f>
        <v>-0.0542482807138136</v>
      </c>
      <c r="BJ287" s="220">
        <f>BJ15/BI15-1</f>
        <v>-0.0595093949999969</v>
      </c>
      <c r="BK287" s="236" t="n"/>
      <c r="BL287" s="220">
        <f>BL15/BK15-1</f>
        <v>-0.74712429495886</v>
      </c>
      <c r="BM287" s="220">
        <f>BM15/BL15-1</f>
        <v>0.042074172827933</v>
      </c>
      <c r="BN287" s="220">
        <f>BN15/BM15-1</f>
        <v>-0.0542482807138136</v>
      </c>
      <c r="BO287" s="220">
        <f>BO15/BN15-1</f>
        <v>-0.0595093949999969</v>
      </c>
      <c r="BP287" s="236" t="n"/>
      <c r="BQ287" s="220">
        <f>BQ15/BP15-1</f>
        <v>-0.74712429495886</v>
      </c>
      <c r="BR287" s="220">
        <f>BR15/BQ15-1</f>
        <v>0.042074172827933</v>
      </c>
      <c r="BS287" s="220">
        <f>BS15/BR15-1</f>
        <v>-0.0542482807138136</v>
      </c>
      <c r="BT287" s="220">
        <f>BT15/BS15-1</f>
        <v>-0.0595093949999969</v>
      </c>
      <c r="BU287" s="236" t="n"/>
      <c r="BV287" s="220">
        <f>BV15/BU15-1</f>
        <v>-0.74712429495886</v>
      </c>
      <c r="BW287" s="220">
        <f>BW15/BV15-1</f>
        <v>0.042074172827933</v>
      </c>
      <c r="BX287" s="220">
        <f>BX15/BW15-1</f>
        <v>-0.0542482807138136</v>
      </c>
      <c r="BY287" s="220">
        <f>BY15/BX15-1</f>
        <v>-0.0595093949999969</v>
      </c>
      <c r="BZ287" s="236" t="n"/>
      <c r="CA287" s="220">
        <f>CA15/BZ15-1</f>
        <v>-0.74712429495886</v>
      </c>
      <c r="CB287" s="220">
        <f>CB15/CA15-1</f>
        <v>0.042074172827933</v>
      </c>
      <c r="CC287" s="220">
        <f>CC15/CB15-1</f>
        <v>-0.0542482807138136</v>
      </c>
      <c r="CD287" s="220">
        <f>CD15/CC15-1</f>
        <v>-0.0595093949999969</v>
      </c>
      <c r="CE287" s="236" t="n"/>
      <c r="CF287" s="220">
        <f>CF15/CE15-1</f>
        <v>-0.74712429495886</v>
      </c>
      <c r="CG287" s="220">
        <f>CG15/CF15-1</f>
        <v>0.042074172827933</v>
      </c>
      <c r="CH287" s="220">
        <f>CH15/CG15-1</f>
        <v>-0.0542482807138136</v>
      </c>
      <c r="CI287" s="220">
        <f>CI15/CH15-1</f>
        <v>-0.0595093949999969</v>
      </c>
      <c r="CJ287" s="236" t="n"/>
      <c r="CK287" s="220">
        <f>CK15/CJ15-1</f>
        <v>-0.74712429495886</v>
      </c>
      <c r="CL287" s="220">
        <f>CL15/CK15-1</f>
        <v>0.042074172827933</v>
      </c>
      <c r="CM287" s="220">
        <f>CM15/CL15-1</f>
        <v>-0.0542482807138136</v>
      </c>
      <c r="CN287" s="220">
        <f>CN15/CM15-1</f>
        <v>-0.0595093949999969</v>
      </c>
      <c r="CO287" s="236" t="n"/>
      <c r="CP287" s="220">
        <f>CP15/CO15-1</f>
        <v>-0.74712429495886</v>
      </c>
      <c r="CQ287" s="220">
        <f>CQ15/CP15-1</f>
        <v>0.042074172827933</v>
      </c>
      <c r="CR287" s="220">
        <f>CR15/CQ15-1</f>
        <v>-0.0542482807138136</v>
      </c>
      <c r="CS287" s="220">
        <f>CS15/CR15-1</f>
        <v>-0.0595093949999969</v>
      </c>
      <c r="CT287" s="236" t="n"/>
      <c r="CU287" s="220">
        <f>CU15/CT15-1</f>
        <v>-0.74712429495886</v>
      </c>
      <c r="CV287" s="220">
        <f>CV15/CU15-1</f>
        <v>0.042074172827933</v>
      </c>
      <c r="CW287" s="220">
        <f>CW15/CV15-1</f>
        <v>-0.0542482807138136</v>
      </c>
      <c r="CX287" s="220">
        <f>CX15/CW15-1</f>
        <v>-0.0595093949999969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>
        <f>SUM(D15,D20)/D15</f>
        <v>0.363200126979904</v>
      </c>
      <c r="E288" s="220">
        <f>SUM(E15,E20)/E15</f>
        <v>0.157515189692811</v>
      </c>
      <c r="F288" s="220">
        <f>SUM(F15,F20)/F15</f>
        <v>0.440819051658289</v>
      </c>
      <c r="G288" s="220">
        <f>SUM(G15,G20)/G15</f>
        <v>0.419751493310564</v>
      </c>
      <c r="I288" s="221">
        <f>SUM(I15,I20)/I15</f>
        <v>0.401795069723501</v>
      </c>
      <c r="J288" s="221">
        <f>SUM(J15,J20)/J15</f>
        <v>0.357496739866581</v>
      </c>
      <c r="K288" s="221">
        <f>SUM(K15,K20)/K15</f>
        <v>0.380785189840725</v>
      </c>
      <c r="L288" s="221">
        <f>SUM(L15,L20)/L15</f>
        <v>0.361282903736456</v>
      </c>
      <c r="N288" s="221">
        <f>SUM(N15,N20)/N15</f>
        <v>0.382484652268077</v>
      </c>
      <c r="O288" s="221">
        <f>SUM(O15,O20)/O15</f>
        <v>0.35867625551508</v>
      </c>
      <c r="P288" s="221">
        <f>SUM(P15,P20)/P15</f>
        <v>0.378691933810225</v>
      </c>
      <c r="Q288" s="221">
        <f>SUM(Q15,Q20)/Q15</f>
        <v>0.319181365294037</v>
      </c>
      <c r="S288" s="221">
        <f>SUM(S15,S20)/S15</f>
        <v>0.372236403194471</v>
      </c>
      <c r="T288" s="221">
        <f>SUM(T15,T20)/T15</f>
        <v>0.35212266524298</v>
      </c>
      <c r="U288" s="221">
        <f>SUM(U15,U20)/U15</f>
        <v>0.35933757494502</v>
      </c>
      <c r="V288" s="221">
        <f>SUM(V15,V20)/V15</f>
        <v>0.320791272009256</v>
      </c>
      <c r="X288" s="221">
        <f>SUM(X15,X20)/X15</f>
        <v>0.374048700472629</v>
      </c>
      <c r="Y288" s="221">
        <f>SUM(Y15,Y20)/Y15</f>
        <v>0.362633846290723</v>
      </c>
      <c r="Z288" s="221">
        <f>SUM(Z15,Z20)/Z15</f>
        <v>0.36215305690024</v>
      </c>
      <c r="AA288" s="221">
        <f>SUM(AA15,AA20)/AA15</f>
        <v>0.330526179704973</v>
      </c>
      <c r="AC288" s="221">
        <f>SUM(AC15,AC20)/AC15</f>
        <v>0.363754383213718</v>
      </c>
      <c r="AD288" s="221">
        <f>SUM(AD15,AD20)/AD15</f>
        <v>0.34477926514411</v>
      </c>
      <c r="AE288" s="221">
        <f>SUM(AE15,AE20)/AE15</f>
        <v>0.361150936379489</v>
      </c>
      <c r="AF288" s="221">
        <f>SUM(AF15,AF20)/AF15</f>
        <v>0.32346881787166</v>
      </c>
      <c r="AH288" s="221">
        <f>SUM(AH15,AH20)/AH15</f>
        <v>0.362317647725148</v>
      </c>
      <c r="AI288" s="221">
        <f>SUM(AI15,AI20)/AI15</f>
        <v>0.348983395861612</v>
      </c>
      <c r="AJ288" s="221">
        <f>SUM(AJ15,AJ20)/AJ15</f>
        <v>0</v>
      </c>
      <c r="AK288" s="221">
        <f>SUM(AK15,AK20)/AK15</f>
        <v>0</v>
      </c>
      <c r="AM288" s="221">
        <f>SUM(AM15,AM20)/AM15</f>
        <v>0</v>
      </c>
      <c r="AN288" s="221">
        <f>SUM(AN15,AN20)/AN15</f>
        <v>0</v>
      </c>
      <c r="AO288" s="221">
        <f>SUM(AO15,AO20)/AO15</f>
        <v>0</v>
      </c>
      <c r="AP288" s="221">
        <f>SUM(AP15,AP20)/AP15</f>
        <v>0</v>
      </c>
      <c r="AR288" s="221">
        <f>SUM(AR15,AR20)/AR15</f>
        <v>0</v>
      </c>
      <c r="AS288" s="221">
        <f>SUM(AS15,AS20)/AS15</f>
        <v>0</v>
      </c>
      <c r="AT288" s="221">
        <f>SUM(AT15,AT20)/AT15</f>
        <v>0</v>
      </c>
      <c r="AU288" s="221">
        <f>SUM(AU15,AU20)/AU15</f>
        <v>0</v>
      </c>
      <c r="AW288" s="221">
        <f>SUM(AW15,AW20)/AW15</f>
        <v>0</v>
      </c>
      <c r="AX288" s="221">
        <f>SUM(AX15,AX20)/AX15</f>
        <v>0</v>
      </c>
      <c r="AY288" s="221">
        <f>SUM(AY15,AY20)/AY15</f>
        <v>0</v>
      </c>
      <c r="AZ288" s="221">
        <f>SUM(AZ15,AZ20)/AZ15</f>
        <v>0</v>
      </c>
      <c r="BB288" s="221">
        <f>SUM(BB15,BB20)/BB15</f>
        <v>0</v>
      </c>
      <c r="BC288" s="221">
        <f>SUM(BC15,BC20)/BC15</f>
        <v>0</v>
      </c>
      <c r="BD288" s="221">
        <f>SUM(BD15,BD20)/BD15</f>
        <v>0</v>
      </c>
      <c r="BE288" s="221">
        <f>SUM(BE15,BE20)/BE15</f>
        <v>0</v>
      </c>
      <c r="BG288" s="221">
        <f>SUM(BG15,BG20)/BG15</f>
        <v>0</v>
      </c>
      <c r="BH288" s="221">
        <f>SUM(BH15,BH20)/BH15</f>
        <v>0</v>
      </c>
      <c r="BI288" s="221">
        <f>SUM(BI15,BI20)/BI15</f>
        <v>0</v>
      </c>
      <c r="BJ288" s="221">
        <f>SUM(BJ15,BJ20)/BJ15</f>
        <v>0</v>
      </c>
      <c r="BL288" s="221">
        <f>SUM(BL15,BL20)/BL15</f>
        <v>0</v>
      </c>
      <c r="BM288" s="221">
        <f>SUM(BM15,BM20)/BM15</f>
        <v>0</v>
      </c>
      <c r="BN288" s="221">
        <f>SUM(BN15,BN20)/BN15</f>
        <v>0</v>
      </c>
      <c r="BO288" s="221">
        <f>SUM(BO15,BO20)/BO15</f>
        <v>0</v>
      </c>
      <c r="BQ288" s="221">
        <f>SUM(BQ15,BQ20)/BQ15</f>
        <v>0</v>
      </c>
      <c r="BR288" s="221">
        <f>SUM(BR15,BR20)/BR15</f>
        <v>0</v>
      </c>
      <c r="BS288" s="221">
        <f>SUM(BS15,BS20)/BS15</f>
        <v>0</v>
      </c>
      <c r="BT288" s="221">
        <f>SUM(BT15,BT20)/BT15</f>
        <v>0</v>
      </c>
      <c r="BV288" s="221">
        <f>SUM(BV15,BV20)/BV15</f>
        <v>0</v>
      </c>
      <c r="BW288" s="221">
        <f>SUM(BW15,BW20)/BW15</f>
        <v>0</v>
      </c>
      <c r="BX288" s="221">
        <f>SUM(BX15,BX20)/BX15</f>
        <v>0</v>
      </c>
      <c r="BY288" s="221">
        <f>SUM(BY15,BY20)/BY15</f>
        <v>0</v>
      </c>
      <c r="CA288" s="221">
        <f>SUM(CA15,CA20)/CA15</f>
        <v>0</v>
      </c>
      <c r="CB288" s="221">
        <f>SUM(CB15,CB20)/CB15</f>
        <v>0</v>
      </c>
      <c r="CC288" s="221">
        <f>SUM(CC15,CC20)/CC15</f>
        <v>0</v>
      </c>
      <c r="CD288" s="221">
        <f>SUM(CD15,CD20)/CD15</f>
        <v>0</v>
      </c>
      <c r="CF288" s="221">
        <f>SUM(CF15,CF20)/CF15</f>
        <v>0</v>
      </c>
      <c r="CG288" s="221">
        <f>SUM(CG15,CG20)/CG15</f>
        <v>0</v>
      </c>
      <c r="CH288" s="221">
        <f>SUM(CH15,CH20)/CH15</f>
        <v>0</v>
      </c>
      <c r="CI288" s="221">
        <f>SUM(CI15,CI20)/CI15</f>
        <v>0</v>
      </c>
      <c r="CK288" s="221">
        <f>SUM(CK15,CK20)/CK15</f>
        <v>0</v>
      </c>
      <c r="CL288" s="221">
        <f>SUM(CL15,CL20)/CL15</f>
        <v>0</v>
      </c>
      <c r="CM288" s="221">
        <f>SUM(CM15,CM20)/CM15</f>
        <v>0</v>
      </c>
      <c r="CN288" s="221">
        <f>SUM(CN15,CN20)/CN15</f>
        <v>0</v>
      </c>
      <c r="CP288" s="221">
        <f>SUM(CP15,CP20)/CP15</f>
        <v>0</v>
      </c>
      <c r="CQ288" s="221">
        <f>SUM(CQ15,CQ20)/CQ15</f>
        <v>0</v>
      </c>
      <c r="CR288" s="221">
        <f>SUM(CR15,CR20)/CR15</f>
        <v>0</v>
      </c>
      <c r="CS288" s="221">
        <f>SUM(CS15,CS20)/CS15</f>
        <v>0</v>
      </c>
      <c r="CU288" s="221">
        <f>SUM(CU15,CU20)/CU15</f>
        <v>0</v>
      </c>
      <c r="CV288" s="221">
        <f>SUM(CV15,CV20)/CV15</f>
        <v>0</v>
      </c>
      <c r="CW288" s="221">
        <f>SUM(CW15,CW20)/CW15</f>
        <v>0</v>
      </c>
      <c r="CX288" s="221">
        <f>SUM(CX15,CX20)/CX15</f>
        <v>0</v>
      </c>
    </row>
    <row r="289" customFormat="1" s="233">
      <c r="A289" s="224" t="n"/>
      <c r="B289" s="224" t="n"/>
      <c r="C289" s="233" t="inlineStr">
        <is>
          <t>EBIT MARGIN</t>
        </is>
      </c>
      <c r="D289" s="236">
        <f>(D39/D15)</f>
        <v>0.152243214726691</v>
      </c>
      <c r="E289" s="236">
        <f>(E39/E15)</f>
        <v>-0.143073749876066</v>
      </c>
      <c r="F289" s="236">
        <f>(F39/F15)</f>
        <v>0.269906414411052</v>
      </c>
      <c r="G289" s="236">
        <f>(G39/G15)</f>
        <v>0.214768085967938</v>
      </c>
      <c r="I289" s="222">
        <f>(I39/I15)</f>
        <v>0.2223025728652</v>
      </c>
      <c r="J289" s="222">
        <f>(J39/J15)</f>
        <v>0.138243120970677</v>
      </c>
      <c r="K289" s="222">
        <f>(K39/K15)</f>
        <v>0.179543215915377</v>
      </c>
      <c r="L289" s="222">
        <f>(L39/L15)</f>
        <v>0.151720185368242</v>
      </c>
      <c r="N289" s="222">
        <f>(N39/N15)</f>
        <v>0.201043370270948</v>
      </c>
      <c r="O289" s="222">
        <f>(O39/O15)</f>
        <v>0.165651449967628</v>
      </c>
      <c r="P289" s="222">
        <f>(P39/P15)</f>
        <v>0.194213659289806</v>
      </c>
      <c r="Q289" s="222">
        <f>(Q39/Q15)</f>
        <v>0.0972364094907333</v>
      </c>
      <c r="S289" s="222">
        <f>(S39/S15)</f>
        <v>0.173441818362818</v>
      </c>
      <c r="T289" s="222">
        <f>(T39/T15)</f>
        <v>0.119010015419926</v>
      </c>
      <c r="U289" s="222">
        <f>(U39/U15)</f>
        <v>0.169944271575315</v>
      </c>
      <c r="V289" s="222">
        <f>(V39/V15)</f>
        <v>0.109099542322058</v>
      </c>
      <c r="X289" s="222">
        <f>(X39/X15)</f>
        <v>0.172007529842977</v>
      </c>
      <c r="Y289" s="222">
        <f>(Y39/Y15)</f>
        <v>0.166941495357906</v>
      </c>
      <c r="Z289" s="222">
        <f>(Z39/Z15)</f>
        <v>0.173626854271995</v>
      </c>
      <c r="AA289" s="222">
        <f>(AA39/AA15)</f>
        <v>0.110567580735906</v>
      </c>
      <c r="AC289" s="222">
        <f>(AC39/AC15)</f>
        <v>0.166487471427848</v>
      </c>
      <c r="AD289" s="222">
        <f>(AD39/AD15)</f>
        <v>0.15296712871561</v>
      </c>
      <c r="AE289" s="222">
        <f>(AE39/AE15)</f>
        <v>0.168869203041734</v>
      </c>
      <c r="AF289" s="222">
        <f>(AF39/AF15)</f>
        <v>0.106545082557633</v>
      </c>
      <c r="AH289" s="222">
        <f>(AH39/AH15)</f>
        <v>0.167725919538263</v>
      </c>
      <c r="AI289" s="222">
        <f>(AI39/AI15)</f>
        <v>0.171422543004186</v>
      </c>
      <c r="AJ289" s="222">
        <f>(AJ39/AJ15)</f>
        <v>0</v>
      </c>
      <c r="AK289" s="222">
        <f>(AK39/AK15)</f>
        <v>0</v>
      </c>
      <c r="AM289" s="222">
        <f>(AM39/AM15)</f>
        <v>0</v>
      </c>
      <c r="AN289" s="222">
        <f>(AN39/AN15)</f>
        <v>0</v>
      </c>
      <c r="AO289" s="222">
        <f>(AO39/AO15)</f>
        <v>0</v>
      </c>
      <c r="AP289" s="222">
        <f>(AP39/AP15)</f>
        <v>0</v>
      </c>
      <c r="AR289" s="222">
        <f>(AR39/AR15)</f>
        <v>0</v>
      </c>
      <c r="AS289" s="222">
        <f>(AS39/AS15)</f>
        <v>0</v>
      </c>
      <c r="AT289" s="222">
        <f>(AT39/AT15)</f>
        <v>0</v>
      </c>
      <c r="AU289" s="222">
        <f>(AU39/AU15)</f>
        <v>0</v>
      </c>
      <c r="AW289" s="222">
        <f>(AW39/AW15)</f>
        <v>0</v>
      </c>
      <c r="AX289" s="222">
        <f>(AX39/AX15)</f>
        <v>0</v>
      </c>
      <c r="AY289" s="222">
        <f>(AY39/AY15)</f>
        <v>0</v>
      </c>
      <c r="AZ289" s="222">
        <f>(AZ39/AZ15)</f>
        <v>0</v>
      </c>
      <c r="BB289" s="222">
        <f>(BB39/BB15)</f>
        <v>0</v>
      </c>
      <c r="BC289" s="222">
        <f>(BC39/BC15)</f>
        <v>0</v>
      </c>
      <c r="BD289" s="222">
        <f>(BD39/BD15)</f>
        <v>0</v>
      </c>
      <c r="BE289" s="222">
        <f>(BE39/BE15)</f>
        <v>0</v>
      </c>
      <c r="BG289" s="222">
        <f>(BG39/BG15)</f>
        <v>0</v>
      </c>
      <c r="BH289" s="222">
        <f>(BH39/BH15)</f>
        <v>0</v>
      </c>
      <c r="BI289" s="222">
        <f>(BI39/BI15)</f>
        <v>0</v>
      </c>
      <c r="BJ289" s="222">
        <f>(BJ39/BJ15)</f>
        <v>0</v>
      </c>
      <c r="BL289" s="222">
        <f>(BL39/BL15)</f>
        <v>0</v>
      </c>
      <c r="BM289" s="222">
        <f>(BM39/BM15)</f>
        <v>0</v>
      </c>
      <c r="BN289" s="222">
        <f>(BN39/BN15)</f>
        <v>0</v>
      </c>
      <c r="BO289" s="222">
        <f>(BO39/BO15)</f>
        <v>0</v>
      </c>
      <c r="BQ289" s="222">
        <f>(BQ39/BQ15)</f>
        <v>0</v>
      </c>
      <c r="BR289" s="222">
        <f>(BR39/BR15)</f>
        <v>0</v>
      </c>
      <c r="BS289" s="222">
        <f>(BS39/BS15)</f>
        <v>0</v>
      </c>
      <c r="BT289" s="222">
        <f>(BT39/BT15)</f>
        <v>0</v>
      </c>
      <c r="BV289" s="222">
        <f>(BV39/BV15)</f>
        <v>0</v>
      </c>
      <c r="BW289" s="222">
        <f>(BW39/BW15)</f>
        <v>0</v>
      </c>
      <c r="BX289" s="222">
        <f>(BX39/BX15)</f>
        <v>0</v>
      </c>
      <c r="BY289" s="222">
        <f>(BY39/BY15)</f>
        <v>0</v>
      </c>
      <c r="CA289" s="222">
        <f>(CA39/CA15)</f>
        <v>0</v>
      </c>
      <c r="CB289" s="222">
        <f>(CB39/CB15)</f>
        <v>0</v>
      </c>
      <c r="CC289" s="222">
        <f>(CC39/CC15)</f>
        <v>0</v>
      </c>
      <c r="CD289" s="222">
        <f>(CD39/CD15)</f>
        <v>0</v>
      </c>
      <c r="CF289" s="222">
        <f>(CF39/CF15)</f>
        <v>0</v>
      </c>
      <c r="CG289" s="222">
        <f>(CG39/CG15)</f>
        <v>0</v>
      </c>
      <c r="CH289" s="222">
        <f>(CH39/CH15)</f>
        <v>0</v>
      </c>
      <c r="CI289" s="222">
        <f>(CI39/CI15)</f>
        <v>0</v>
      </c>
      <c r="CK289" s="222">
        <f>(CK39/CK15)</f>
        <v>0</v>
      </c>
      <c r="CL289" s="222">
        <f>(CL39/CL15)</f>
        <v>0</v>
      </c>
      <c r="CM289" s="222">
        <f>(CM39/CM15)</f>
        <v>0</v>
      </c>
      <c r="CN289" s="222">
        <f>(CN39/CN15)</f>
        <v>0</v>
      </c>
      <c r="CP289" s="222">
        <f>(CP39/CP15)</f>
        <v>0</v>
      </c>
      <c r="CQ289" s="222">
        <f>(CQ39/CQ15)</f>
        <v>0</v>
      </c>
      <c r="CR289" s="222">
        <f>(CR39/CR15)</f>
        <v>0</v>
      </c>
      <c r="CS289" s="222">
        <f>(CS39/CS15)</f>
        <v>0</v>
      </c>
      <c r="CU289" s="222">
        <f>(CU39/CU15)</f>
        <v>0</v>
      </c>
      <c r="CV289" s="222">
        <f>(CV39/CV15)</f>
        <v>0</v>
      </c>
      <c r="CW289" s="222">
        <f>(CW39/CW15)</f>
        <v>0</v>
      </c>
      <c r="CX289" s="222">
        <f>(CX39/CX15)</f>
        <v>0</v>
      </c>
    </row>
    <row r="290" customFormat="1" s="233">
      <c r="A290" s="224" t="n"/>
      <c r="B290" s="224" t="n"/>
      <c r="C290" s="233" t="inlineStr">
        <is>
          <t>EBITDA MARTGIN</t>
        </is>
      </c>
      <c r="D290" s="236">
        <f>D35/D15</f>
        <v>0.274459552845285</v>
      </c>
      <c r="E290" s="236">
        <f>E35/E15</f>
        <v>0.0431013130516859</v>
      </c>
      <c r="F290" s="236">
        <f>F35/F15</f>
        <v>0.370274336941545</v>
      </c>
      <c r="G290" s="236">
        <f>G35/G15</f>
        <v>0.321145039927673</v>
      </c>
      <c r="I290" s="222">
        <f>I35/I15</f>
        <v>0.319455921951514</v>
      </c>
      <c r="J290" s="222">
        <f>J35/J15</f>
        <v>0.235751672787481</v>
      </c>
      <c r="K290" s="222">
        <f>K35/K15</f>
        <v>0.280467268512208</v>
      </c>
      <c r="L290" s="222">
        <f>L35/L15</f>
        <v>0.257546146003587</v>
      </c>
      <c r="N290" s="222">
        <f>N35/N15</f>
        <v>0.299638100564009</v>
      </c>
      <c r="O290" s="222">
        <f>O35/O15</f>
        <v>0.268051250953796</v>
      </c>
      <c r="P290" s="222">
        <f>P35/P15</f>
        <v>0.289930707651191</v>
      </c>
      <c r="Q290" s="222">
        <f>Q35/Q15</f>
        <v>0.208727740510899</v>
      </c>
      <c r="S290" s="222">
        <f>S35/S15</f>
        <v>0.279570226668161</v>
      </c>
      <c r="T290" s="222">
        <f>T35/T15</f>
        <v>0.219083469465352</v>
      </c>
      <c r="U290" s="222">
        <f>U35/U15</f>
        <v>0.270562705891066</v>
      </c>
      <c r="V290" s="222">
        <f>V35/V15</f>
        <v>0.220502068654802</v>
      </c>
      <c r="X290" s="222">
        <f>X35/X15</f>
        <v>0.271539757750396</v>
      </c>
      <c r="Y290" s="222">
        <f>Y35/Y15</f>
        <v>0.2639002488118</v>
      </c>
      <c r="Z290" s="222">
        <f>Z35/Z15</f>
        <v>0.273801031460857</v>
      </c>
      <c r="AA290" s="222">
        <f>AA35/AA15</f>
        <v>0.22039845717836</v>
      </c>
      <c r="AC290" s="222">
        <f>AC35/AC15</f>
        <v>0.27176453668699</v>
      </c>
      <c r="AD290" s="222">
        <f>AD35/AD15</f>
        <v>0.262821104916541</v>
      </c>
      <c r="AE290" s="222">
        <f>AE35/AE15</f>
        <v>0.273559835583178</v>
      </c>
      <c r="AF290" s="222">
        <f>AF35/AF15</f>
        <v>0.221265256632849</v>
      </c>
      <c r="AH290" s="222">
        <f>AH35/AH15</f>
        <v>0.272588421121026</v>
      </c>
      <c r="AI290" s="222">
        <f>AI35/AI15</f>
        <v>0.264576734992337</v>
      </c>
      <c r="AJ290" s="222">
        <f>AJ35/AJ15</f>
        <v>0</v>
      </c>
      <c r="AK290" s="222">
        <f>AK35/AK15</f>
        <v>0</v>
      </c>
      <c r="AM290" s="222">
        <f>AM35/AM15</f>
        <v>0</v>
      </c>
      <c r="AN290" s="222">
        <f>AN35/AN15</f>
        <v>0</v>
      </c>
      <c r="AO290" s="222">
        <f>AO35/AO15</f>
        <v>0</v>
      </c>
      <c r="AP290" s="222">
        <f>AP35/AP15</f>
        <v>0</v>
      </c>
      <c r="AR290" s="222">
        <f>AR35/AR15</f>
        <v>0</v>
      </c>
      <c r="AS290" s="222">
        <f>AS35/AS15</f>
        <v>0</v>
      </c>
      <c r="AT290" s="222">
        <f>AT35/AT15</f>
        <v>0</v>
      </c>
      <c r="AU290" s="222">
        <f>AU35/AU15</f>
        <v>0</v>
      </c>
      <c r="AW290" s="222">
        <f>AW35/AW15</f>
        <v>0</v>
      </c>
      <c r="AX290" s="222">
        <f>AX35/AX15</f>
        <v>0</v>
      </c>
      <c r="AY290" s="222">
        <f>AY35/AY15</f>
        <v>0</v>
      </c>
      <c r="AZ290" s="222">
        <f>AZ35/AZ15</f>
        <v>0</v>
      </c>
      <c r="BB290" s="222">
        <f>BB35/BB15</f>
        <v>0</v>
      </c>
      <c r="BC290" s="222">
        <f>BC35/BC15</f>
        <v>0</v>
      </c>
      <c r="BD290" s="222">
        <f>BD35/BD15</f>
        <v>0</v>
      </c>
      <c r="BE290" s="222">
        <f>BE35/BE15</f>
        <v>0</v>
      </c>
      <c r="BG290" s="222">
        <f>BG35/BG15</f>
        <v>0</v>
      </c>
      <c r="BH290" s="222">
        <f>BH35/BH15</f>
        <v>0</v>
      </c>
      <c r="BI290" s="222">
        <f>BI35/BI15</f>
        <v>0</v>
      </c>
      <c r="BJ290" s="222">
        <f>BJ35/BJ15</f>
        <v>0</v>
      </c>
      <c r="BL290" s="222">
        <f>BL35/BL15</f>
        <v>0</v>
      </c>
      <c r="BM290" s="222">
        <f>BM35/BM15</f>
        <v>0</v>
      </c>
      <c r="BN290" s="222">
        <f>BN35/BN15</f>
        <v>0</v>
      </c>
      <c r="BO290" s="222">
        <f>BO35/BO15</f>
        <v>0</v>
      </c>
      <c r="BQ290" s="222">
        <f>BQ35/BQ15</f>
        <v>0</v>
      </c>
      <c r="BR290" s="222">
        <f>BR35/BR15</f>
        <v>0</v>
      </c>
      <c r="BS290" s="222">
        <f>BS35/BS15</f>
        <v>0</v>
      </c>
      <c r="BT290" s="222">
        <f>BT35/BT15</f>
        <v>0</v>
      </c>
      <c r="BV290" s="222">
        <f>BV35/BV15</f>
        <v>0</v>
      </c>
      <c r="BW290" s="222">
        <f>BW35/BW15</f>
        <v>0</v>
      </c>
      <c r="BX290" s="222">
        <f>BX35/BX15</f>
        <v>0</v>
      </c>
      <c r="BY290" s="222">
        <f>BY35/BY15</f>
        <v>0</v>
      </c>
      <c r="CA290" s="222">
        <f>CA35/CA15</f>
        <v>0</v>
      </c>
      <c r="CB290" s="222">
        <f>CB35/CB15</f>
        <v>0</v>
      </c>
      <c r="CC290" s="222">
        <f>CC35/CC15</f>
        <v>0</v>
      </c>
      <c r="CD290" s="222">
        <f>CD35/CD15</f>
        <v>0</v>
      </c>
      <c r="CF290" s="222">
        <f>CF35/CF15</f>
        <v>0</v>
      </c>
      <c r="CG290" s="222">
        <f>CG35/CG15</f>
        <v>0</v>
      </c>
      <c r="CH290" s="222">
        <f>CH35/CH15</f>
        <v>0</v>
      </c>
      <c r="CI290" s="222">
        <f>CI35/CI15</f>
        <v>0</v>
      </c>
      <c r="CK290" s="222">
        <f>CK35/CK15</f>
        <v>0</v>
      </c>
      <c r="CL290" s="222">
        <f>CL35/CL15</f>
        <v>0</v>
      </c>
      <c r="CM290" s="222">
        <f>CM35/CM15</f>
        <v>0</v>
      </c>
      <c r="CN290" s="222">
        <f>CN35/CN15</f>
        <v>0</v>
      </c>
      <c r="CP290" s="222">
        <f>CP35/CP15</f>
        <v>0</v>
      </c>
      <c r="CQ290" s="222">
        <f>CQ35/CQ15</f>
        <v>0</v>
      </c>
      <c r="CR290" s="222">
        <f>CR35/CR15</f>
        <v>0</v>
      </c>
      <c r="CS290" s="222">
        <f>CS35/CS15</f>
        <v>0</v>
      </c>
      <c r="CU290" s="222">
        <f>CU35/CU15</f>
        <v>0</v>
      </c>
      <c r="CV290" s="222">
        <f>CV35/CV15</f>
        <v>0</v>
      </c>
      <c r="CW290" s="222">
        <f>CW35/CW15</f>
        <v>0</v>
      </c>
      <c r="CX290" s="222">
        <f>CX35/CX15</f>
        <v>0</v>
      </c>
    </row>
    <row r="291" customFormat="1" s="233">
      <c r="A291" s="224" t="n"/>
      <c r="B291" s="224" t="n"/>
      <c r="C291" s="233" t="inlineStr">
        <is>
          <t>ETR</t>
        </is>
      </c>
      <c r="D291" s="236">
        <f>-D97/D96</f>
        <v>0.265130251594464</v>
      </c>
      <c r="E291" s="236">
        <f>-E97/E96</f>
        <v>0.289236002266409</v>
      </c>
      <c r="F291" s="236">
        <f>-F97/F96</f>
        <v>0.350051487138513</v>
      </c>
      <c r="G291" s="236">
        <f>-G97/G96</f>
        <v>0.131394926249318</v>
      </c>
      <c r="I291" s="222">
        <f>-I97/I96</f>
        <v>0.292654096945177</v>
      </c>
      <c r="J291" s="222">
        <f>-J97/J96</f>
        <v>0.292992933107752</v>
      </c>
      <c r="K291" s="222">
        <f>-K97/K96</f>
        <v>0.29395039478039</v>
      </c>
      <c r="L291" s="222">
        <f>-L97/L96</f>
        <v>0.286419590176505</v>
      </c>
      <c r="N291" s="222">
        <f>-N97/N96</f>
        <v>0.278000357511338</v>
      </c>
      <c r="O291" s="222">
        <f>-O97/O96</f>
        <v>0.279177811237353</v>
      </c>
      <c r="P291" s="222">
        <f>-P97/P96</f>
        <v>0.21781011423722</v>
      </c>
      <c r="Q291" s="222">
        <f>-Q97/Q96</f>
        <v>-0.00574280384627166</v>
      </c>
      <c r="S291" s="222">
        <f>-S97/S96</f>
        <v>0.24927832217476</v>
      </c>
      <c r="T291" s="222">
        <f>-T97/T96</f>
        <v>0.247016793058637</v>
      </c>
      <c r="U291" s="222">
        <f>-U97/U96</f>
        <v>0.20129137386843</v>
      </c>
      <c r="V291" s="222">
        <f>-V97/V96</f>
        <v>0.127415456127</v>
      </c>
      <c r="X291" s="222">
        <f>-X97/X96</f>
        <v>0.223842476406582</v>
      </c>
      <c r="Y291" s="222">
        <f>-Y97/Y96</f>
        <v>0.244410564666207</v>
      </c>
      <c r="Z291" s="222">
        <f>-Z97/Z96</f>
        <v>0.234371034005852</v>
      </c>
      <c r="AA291" s="222">
        <f>-AA97/AA96</f>
        <v>0.208698598699898</v>
      </c>
      <c r="AC291" s="222">
        <f>-AC97/AC96</f>
        <v>0.23270021074886</v>
      </c>
      <c r="AD291" s="222">
        <f>-AD97/AD96</f>
        <v>0.231596515933865</v>
      </c>
      <c r="AE291" s="222">
        <f>-AE97/AE96</f>
        <v>0.224827673067312</v>
      </c>
      <c r="AF291" s="222">
        <f>-AF97/AF96</f>
        <v>0.0408557363477819</v>
      </c>
      <c r="AH291" s="222">
        <f>-AH97/AH96</f>
        <v>0.213720459183438</v>
      </c>
      <c r="AI291" s="222">
        <f>-AI97/AI96</f>
        <v>0.213908561918659</v>
      </c>
      <c r="AJ291" s="222">
        <f>-AJ97/AJ96</f>
        <v>0</v>
      </c>
      <c r="AK291" s="222">
        <f>-AK97/AK96</f>
        <v>0</v>
      </c>
      <c r="AM291" s="222">
        <f>-AM97/AM96</f>
        <v>0</v>
      </c>
      <c r="AN291" s="222">
        <f>-AN97/AN96</f>
        <v>0</v>
      </c>
      <c r="AO291" s="222">
        <f>-AO97/AO96</f>
        <v>0</v>
      </c>
      <c r="AP291" s="222">
        <f>-AP97/AP96</f>
        <v>0</v>
      </c>
      <c r="AR291" s="222">
        <f>-AR97/AR96</f>
        <v>0</v>
      </c>
      <c r="AS291" s="222">
        <f>-AS97/AS96</f>
        <v>0</v>
      </c>
      <c r="AT291" s="222">
        <f>-AT97/AT96</f>
        <v>0</v>
      </c>
      <c r="AU291" s="222">
        <f>-AU97/AU96</f>
        <v>0</v>
      </c>
      <c r="AW291" s="222">
        <f>-AW97/AW96</f>
        <v>0</v>
      </c>
      <c r="AX291" s="222">
        <f>-AX97/AX96</f>
        <v>0</v>
      </c>
      <c r="AY291" s="222">
        <f>-AY97/AY96</f>
        <v>0</v>
      </c>
      <c r="AZ291" s="222">
        <f>-AZ97/AZ96</f>
        <v>0</v>
      </c>
      <c r="BB291" s="222">
        <f>-BB97/BB96</f>
        <v>0</v>
      </c>
      <c r="BC291" s="222">
        <f>-BC97/BC96</f>
        <v>0</v>
      </c>
      <c r="BD291" s="222">
        <f>-BD97/BD96</f>
        <v>0</v>
      </c>
      <c r="BE291" s="222">
        <f>-BE97/BE96</f>
        <v>0</v>
      </c>
      <c r="BG291" s="222">
        <f>-BG97/BG96</f>
        <v>0</v>
      </c>
      <c r="BH291" s="222">
        <f>-BH97/BH96</f>
        <v>0</v>
      </c>
      <c r="BI291" s="222">
        <f>-BI97/BI96</f>
        <v>0</v>
      </c>
      <c r="BJ291" s="222">
        <f>-BJ97/BJ96</f>
        <v>0</v>
      </c>
      <c r="BL291" s="222">
        <f>-BL97/BL96</f>
        <v>0</v>
      </c>
      <c r="BM291" s="222">
        <f>-BM97/BM96</f>
        <v>0</v>
      </c>
      <c r="BN291" s="222">
        <f>-BN97/BN96</f>
        <v>0</v>
      </c>
      <c r="BO291" s="222">
        <f>-BO97/BO96</f>
        <v>0</v>
      </c>
      <c r="BQ291" s="222">
        <f>-BQ97/BQ96</f>
        <v>0</v>
      </c>
      <c r="BR291" s="222">
        <f>-BR97/BR96</f>
        <v>0</v>
      </c>
      <c r="BS291" s="222">
        <f>-BS97/BS96</f>
        <v>0</v>
      </c>
      <c r="BT291" s="222">
        <f>-BT97/BT96</f>
        <v>0</v>
      </c>
      <c r="BV291" s="222">
        <f>-BV97/BV96</f>
        <v>0</v>
      </c>
      <c r="BW291" s="222">
        <f>-BW97/BW96</f>
        <v>0</v>
      </c>
      <c r="BX291" s="222">
        <f>-BX97/BX96</f>
        <v>0</v>
      </c>
      <c r="BY291" s="222">
        <f>-BY97/BY96</f>
        <v>0</v>
      </c>
      <c r="CA291" s="222">
        <f>-CA97/CA96</f>
        <v>0</v>
      </c>
      <c r="CB291" s="222">
        <f>-CB97/CB96</f>
        <v>0</v>
      </c>
      <c r="CC291" s="222">
        <f>-CC97/CC96</f>
        <v>0</v>
      </c>
      <c r="CD291" s="222">
        <f>-CD97/CD96</f>
        <v>0</v>
      </c>
      <c r="CF291" s="222">
        <f>-CF97/CF96</f>
        <v>0</v>
      </c>
      <c r="CG291" s="222">
        <f>-CG97/CG96</f>
        <v>0</v>
      </c>
      <c r="CH291" s="222">
        <f>-CH97/CH96</f>
        <v>0</v>
      </c>
      <c r="CI291" s="222">
        <f>-CI97/CI96</f>
        <v>0</v>
      </c>
      <c r="CK291" s="222">
        <f>-CK97/CK96</f>
        <v>0</v>
      </c>
      <c r="CL291" s="222">
        <f>-CL97/CL96</f>
        <v>0</v>
      </c>
      <c r="CM291" s="222">
        <f>-CM97/CM96</f>
        <v>0</v>
      </c>
      <c r="CN291" s="222">
        <f>-CN97/CN96</f>
        <v>0</v>
      </c>
      <c r="CP291" s="222">
        <f>-CP97/CP96</f>
        <v>0</v>
      </c>
      <c r="CQ291" s="222">
        <f>-CQ97/CQ96</f>
        <v>0</v>
      </c>
      <c r="CR291" s="222">
        <f>-CR97/CR96</f>
        <v>0</v>
      </c>
      <c r="CS291" s="222">
        <f>-CS97/CS96</f>
        <v>0</v>
      </c>
      <c r="CU291" s="222">
        <f>-CU97/CU96</f>
        <v>0</v>
      </c>
      <c r="CV291" s="222">
        <f>-CV97/CV96</f>
        <v>0</v>
      </c>
      <c r="CW291" s="222">
        <f>-CW97/CW96</f>
        <v>0</v>
      </c>
      <c r="CX291" s="222">
        <f>-CX97/CX96</f>
        <v>0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>
        <f>D35/-D40</f>
        <v>5.06078340935444</v>
      </c>
      <c r="E298" s="219">
        <f>E35/-E40</f>
        <v>0.432119665221466</v>
      </c>
      <c r="F298" s="219">
        <f>F35/-F40</f>
        <v>7.5093957355393</v>
      </c>
      <c r="G298" s="219">
        <f>G35/-G40</f>
        <v>6.23286772259655</v>
      </c>
      <c r="I298" s="219">
        <f>I35/-I40</f>
        <v>7.62867827213341</v>
      </c>
      <c r="J298" s="219">
        <f>J35/-J40</f>
        <v>5.10912636836047</v>
      </c>
      <c r="K298" s="219">
        <f>K35/-K40</f>
        <v>4.42016319534931</v>
      </c>
      <c r="L298" s="219">
        <f>L35/-L40</f>
        <v>3.52793760676458</v>
      </c>
      <c r="N298" s="219">
        <f>N35/-N40</f>
        <v>3.80591371495667</v>
      </c>
      <c r="O298" s="219">
        <f>O35/-O40</f>
        <v>2.76389544125128</v>
      </c>
      <c r="P298" s="219">
        <f>P35/-P40</f>
        <v>2.58983201211192</v>
      </c>
      <c r="Q298" s="219">
        <f>Q35/-Q40</f>
        <v>1.92225688821348</v>
      </c>
      <c r="S298" s="219">
        <f>S35/-S40</f>
        <v>2.56995522773927</v>
      </c>
      <c r="T298" s="219">
        <f>T35/-T40</f>
        <v>2.29548047032442</v>
      </c>
      <c r="U298" s="219">
        <f>U35/-U40</f>
        <v>3.08970819952649</v>
      </c>
      <c r="V298" s="219">
        <f>V35/-V40</f>
        <v>2.53557794274652</v>
      </c>
      <c r="X298" s="219">
        <f>X35/-X40</f>
        <v>3.52411532011262</v>
      </c>
      <c r="Y298" s="219">
        <f>Y35/-Y40</f>
        <v>3.71450730381449</v>
      </c>
      <c r="Z298" s="219">
        <f>Z35/-Z40</f>
        <v>3.39562530567368</v>
      </c>
      <c r="AA298" s="219">
        <f>AA35/-AA40</f>
        <v>2.36717333388177</v>
      </c>
      <c r="AC298" s="219">
        <f>AC35/-AC40</f>
        <v>3.00117849377754</v>
      </c>
      <c r="AD298" s="219">
        <f>AD35/-AD40</f>
        <v>2.67977114999144</v>
      </c>
      <c r="AE298" s="219">
        <f>AE35/-AE40</f>
        <v>2.72079080583193</v>
      </c>
      <c r="AF298" s="219">
        <f>AF35/-AF40</f>
        <v>2.25645672271068</v>
      </c>
      <c r="AH298" s="219">
        <f>AH35/-AH40</f>
        <v>3.09378721783618</v>
      </c>
      <c r="AI298" s="219">
        <f>AI35/-AI40</f>
        <v>3.21269502827789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>
        <f>(D35-D134)/-D40</f>
        <v>5.06078340935444</v>
      </c>
      <c r="E299" s="219">
        <f>(E35-E134)/-E40</f>
        <v>-1.08426620381236</v>
      </c>
      <c r="F299" s="219">
        <f>(F35-F134)/-F40</f>
        <v>6.18341391905201</v>
      </c>
      <c r="G299" s="219">
        <f>(G35-G134)/-G40</f>
        <v>4.146817524429</v>
      </c>
      <c r="I299" s="219">
        <f>(I35-I134)/-I40</f>
        <v>5.79277911322986</v>
      </c>
      <c r="J299" s="219">
        <f>(J35-J134)/-J40</f>
        <v>2.61044211949186</v>
      </c>
      <c r="K299" s="219">
        <f>(K35-K134)/-K40</f>
        <v>2.62586972136247</v>
      </c>
      <c r="L299" s="219">
        <f>(L35-L134)/-L40</f>
        <v>0.814997781088257</v>
      </c>
      <c r="N299" s="219">
        <f>(N35-N134)/-N40</f>
        <v>2.71222058301987</v>
      </c>
      <c r="O299" s="219">
        <f>(O35-O134)/-O40</f>
        <v>1.48235367901972</v>
      </c>
      <c r="P299" s="219">
        <f>(P35-P134)/-P40</f>
        <v>1.35301292626173</v>
      </c>
      <c r="Q299" s="219">
        <f>(Q35-Q134)/-Q40</f>
        <v>0.468030333938145</v>
      </c>
      <c r="S299" s="219">
        <f>(S35-S134)/-S40</f>
        <v>1.71899336104942</v>
      </c>
      <c r="T299" s="219">
        <f>(T35-T134)/-T40</f>
        <v>-1.54504207072898</v>
      </c>
      <c r="U299" s="219">
        <f>(U35-U134)/-U40</f>
        <v>1.95361713832643</v>
      </c>
      <c r="V299" s="219">
        <f>(V35-V134)/-V40</f>
        <v>1.25943909220502</v>
      </c>
      <c r="X299" s="219">
        <f>(X35-X134)/-X40</f>
        <v>2.38094751232798</v>
      </c>
      <c r="Y299" s="219">
        <f>(Y35-Y134)/-Y40</f>
        <v>2.39599268551262</v>
      </c>
      <c r="Z299" s="219">
        <f>(Z35-Z134)/-Z40</f>
        <v>2.06235094814131</v>
      </c>
      <c r="AA299" s="219">
        <f>(AA35-AA134)/-AA40</f>
        <v>0.951156708141739</v>
      </c>
      <c r="AC299" s="219">
        <f>(AC35-AC134)/-AC40</f>
        <v>1.98489404878399</v>
      </c>
      <c r="AD299" s="219">
        <f>(AD35-AD134)/-AD40</f>
        <v>1.61007641595907</v>
      </c>
      <c r="AE299" s="219">
        <f>(AE35-AE134)/-AE40</f>
        <v>1.65190595591893</v>
      </c>
      <c r="AF299" s="219">
        <f>(AF35-AF134)/-AF40</f>
        <v>0.914287359084004</v>
      </c>
      <c r="AH299" s="219">
        <f>(AH35-AH134)/-AH40</f>
        <v>2.02642034049552</v>
      </c>
      <c r="AI299" s="219">
        <f>(AI35-AI134)/-AI40</f>
        <v>1.82550742558189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 LTM</t>
        </is>
      </c>
      <c r="D300" s="219" t="str">
        <f>""</f>
        <v/>
      </c>
      <c r="E300" s="219" t="str">
        <f>""</f>
        <v/>
      </c>
      <c r="F300" s="219" t="str">
        <f>""</f>
        <v/>
      </c>
      <c r="G300" s="219">
        <f>IFERROR(SUM(G178,G179,G180,G183,G201,G204)/(G35+F35+E35+D35),"")</f>
        <v>3.34156027250521</v>
      </c>
      <c r="I300" s="219">
        <f>IFERROR(SUM(I178,I179,I180,I183,I201,I204)/(I35+G35+F35+E35),"")</f>
        <v>2.97637020740754</v>
      </c>
      <c r="J300" s="219">
        <f>IFERROR(SUM(J178,J179,J180,J183,J201,J204)/(J35+I35+G35+F35),"")</f>
        <v>2.29344813313344</v>
      </c>
      <c r="K300" s="219">
        <f>IFERROR(SUM(K178,K179,K180,K183,K201,K204)/(K35+J35+I35+G35),"")</f>
        <v>2.96519267385189</v>
      </c>
      <c r="L300" s="219">
        <f>IFERROR(SUM(L178,L179,L180,L183,L201,L204)/(L35+K35+J35+I35),"")</f>
        <v>2.93281242558315</v>
      </c>
      <c r="N300" s="219">
        <f>IFERROR(SUM(N178,N179,N180,N183,N201,N204)/(N35+L35+K35+J35),"")</f>
        <v>2.71811129752113</v>
      </c>
      <c r="O300" s="219">
        <f>IFERROR(SUM(O178,O179,O180,O183,O201,O204)/(O35+N35+L35+K35),"")</f>
        <v>3.23359984475708</v>
      </c>
      <c r="P300" s="219">
        <f>IFERROR(SUM(P178,P179,P180,P183,P201,P204)/(P35+O35+N35+L35),"")</f>
        <v>3.13687872898275</v>
      </c>
      <c r="Q300" s="219">
        <f>IFERROR(SUM(Q178,Q179,Q180,Q183,Q201,Q204)/(Q35+P35+O35+N35),"")</f>
        <v>3.35775702398347</v>
      </c>
      <c r="S300" s="219">
        <f>IFERROR(SUM(S178,S179,S180,S183,S201,S204)/(S35+Q35+P35+O35),"")</f>
        <v>3.29247611108405</v>
      </c>
      <c r="T300" s="219">
        <f>IFERROR(SUM(T178,T179,T180,T183,T201,T204)/(T35+S35+Q35+P35),"")</f>
        <v>3.66727469196762</v>
      </c>
      <c r="U300" s="219">
        <f>IFERROR(SUM(U178,U179,U180,U183,U201,U204)/(U35+T35+S35+Q35),"")</f>
        <v>3.11935778020091</v>
      </c>
      <c r="V300" s="219">
        <f>IFERROR(SUM(V178,V179,V180,V183,V201,V204)/(V35+U35+T35+S35),"")</f>
        <v>2.91531912767297</v>
      </c>
      <c r="X300" s="219">
        <f>IFERROR(SUM(X178,X179,X180,X183,X201,X204)/(X35+V35+U35+T35),"")</f>
        <v>2.62249214719894</v>
      </c>
      <c r="Y300" s="219">
        <f>IFERROR(SUM(Y178,Y179,Y180,Y183,Y201,Y204)/(Y35+X35+V35+U35),"")</f>
        <v>2.85457316369104</v>
      </c>
      <c r="Z300" s="219">
        <f>IFERROR(SUM(Z178,Z179,Z180,Z183,Z201,Z204)/(Z35+Y35+X35+V35),"")</f>
        <v>2.8239096886108</v>
      </c>
      <c r="AA300" s="219">
        <f>IFERROR(SUM(AA178,AA179,AA180,AA183,AA201,AA204)/(AA35+Z35+Y35+X35),"")</f>
        <v>2.89409167738843</v>
      </c>
      <c r="AC300" s="219">
        <f>IFERROR(SUM(AC178,AC179,AC180,AC183,AC201,AC204)/(AC35+AA35+Z35+Y35),"")</f>
        <v>2.90810575183963</v>
      </c>
      <c r="AD300" s="219">
        <f>IFERROR(SUM(AD178,AD179,AD180,AD183,AD201,AD204)/(AD35+AC35+AA35+Z35),"")</f>
        <v>2.84390408358368</v>
      </c>
      <c r="AE300" s="219">
        <f>IFERROR(SUM(AE178,AE179,AE180,AE183,AE201,AE204)/(AE35+AD35+AC35+AA35),"")</f>
        <v>2.83485808139594</v>
      </c>
      <c r="AF300" s="219">
        <f>IFERROR(SUM(AF178,AF179,AF180,AF183,AF201,AF204)/(AF35+AE35+AD35+AC35),"")</f>
        <v>2.6692111094387</v>
      </c>
      <c r="AH300" s="219">
        <f>IFERROR(SUM(AH178,AH179,AH180,AH183,AH201,AH204)/(AH35+AF35+AE35+AD35),"")</f>
        <v>2.62715688029518</v>
      </c>
      <c r="AI300" s="219">
        <f>IFERROR(SUM(AI178,AI179,AI180,AI183,AI201,AI204)/(AI35+AH35+AF35+AE35),"")</f>
        <v>2.55965566231832</v>
      </c>
      <c r="AJ300" s="219">
        <f>IFERROR(SUM(AJ178,AJ179,AJ180,AJ183,AJ201,AJ204)/(AJ35+AI35+AH35+AF35),"")</f>
        <v>3.47564792859393</v>
      </c>
      <c r="AK300" s="219">
        <f>IFERROR(SUM(AK178,AK179,AK180,AK183,AK201,AK204)/(AK35+AJ35+AI35+AH35),"")</f>
        <v>4.77570783277825</v>
      </c>
      <c r="AM300" s="219">
        <f>IFERROR(SUM(AM178,AM179,AM180,AM183,AM201,AM204)/(AM35+AK35+AJ35+AI35),"")</f>
        <v>9.49736954954441</v>
      </c>
      <c r="AN300" s="219" t="str">
        <f>IFERROR(SUM(AN178,AN179,AN180,AN183,AN201,AN204)/(AN35+AM35+AK35+AJ35),"")</f>
        <v/>
      </c>
      <c r="AO300" s="219" t="str">
        <f>IFERROR(SUM(AO178,AO179,AO180,AO183,AO201,AO204)/(AO35+AN35+AM35+AK35),"")</f>
        <v/>
      </c>
      <c r="AP300" s="219" t="str">
        <f>IFERROR(SUM(AP178,AP179,AP180,AP183,AP201,AP204)/(AP35+AO35+AN35+AM35),"")</f>
        <v/>
      </c>
      <c r="AR300" s="219" t="str">
        <f>IFERROR(SUM(AR178,AR179,AR180,AR183,AR201,AR204)/(AR35+AP35+AO35+AN35),"")</f>
        <v/>
      </c>
      <c r="AS300" s="219" t="str">
        <f>IFERROR(SUM(AS178,AS179,AS180,AS183,AS201,AS204)/(AS35+AR35+AP35+AO35),"")</f>
        <v/>
      </c>
      <c r="AT300" s="219" t="str">
        <f>IFERROR(SUM(AT178,AT179,AT180,AT183,AT201,AT204)/(AT35+AS35+AR35+AP35),"")</f>
        <v/>
      </c>
      <c r="AU300" s="219" t="str">
        <f>IFERROR(SUM(AU178,AU179,AU180,AU183,AU201,AU204)/(AU35+AT35+AS35+AR35),"")</f>
        <v/>
      </c>
      <c r="AW300" s="219" t="str">
        <f>IFERROR(SUM(AW178,AW179,AW180,AW183,AW201,AW204)/(AW35+AU35+AT35+AS35),"")</f>
        <v/>
      </c>
      <c r="AX300" s="219" t="str">
        <f>IFERROR(SUM(AX178,AX179,AX180,AX183,AX201,AX204)/(AX35+AW35+AU35+AT35),"")</f>
        <v/>
      </c>
      <c r="AY300" s="219" t="str">
        <f>IFERROR(SUM(AY178,AY179,AY180,AY183,AY201,AY204)/(AY35+AX35+AW35+AU35),"")</f>
        <v/>
      </c>
      <c r="AZ300" s="219" t="str">
        <f>IFERROR(SUM(AZ178,AZ179,AZ180,AZ183,AZ201,AZ204)/(AZ35+AY35+AX35+AW35),"")</f>
        <v/>
      </c>
      <c r="BB300" s="219" t="str">
        <f>IFERROR(SUM(BB178,BB179,BB180,BB183,BB201,BB204)/(BB35+AZ35+AY35+AX35),"")</f>
        <v/>
      </c>
      <c r="BC300" s="219" t="str">
        <f>IFERROR(SUM(BC178,BC179,BC180,BC183,BC201,BC204)/(BC35+BB35+AZ35+AY35),"")</f>
        <v/>
      </c>
      <c r="BD300" s="219" t="str">
        <f>IFERROR(SUM(BD178,BD179,BD180,BD183,BD201,BD204)/(BD35+BC35+BB35+AZ35),"")</f>
        <v/>
      </c>
      <c r="BE300" s="219" t="str">
        <f>IFERROR(SUM(BE178,BE179,BE180,BE183,BE201,BE204)/(BE35+BD35+BC35+BB35),"")</f>
        <v/>
      </c>
      <c r="BG300" s="219" t="str">
        <f>IFERROR(SUM(BG178,BG179,BG180,BG183,BG201,BG204)/(BG35+BE35+BD35+BC35),"")</f>
        <v/>
      </c>
      <c r="BH300" s="219" t="str">
        <f>IFERROR(SUM(BH178,BH179,BH180,BH183,BH201,BH204)/(BH35+BG35+BE35+BD35),"")</f>
        <v/>
      </c>
      <c r="BI300" s="219" t="str">
        <f>IFERROR(SUM(BI178,BI179,BI180,BI183,BI201,BI204)/(BI35+BH35+BG35+BE35),"")</f>
        <v/>
      </c>
      <c r="BJ300" s="219" t="str">
        <f>IFERROR(SUM(BJ178,BJ179,BJ180,BJ183,BJ201,BJ204)/(BJ35+BI35+BH35+BG35),"")</f>
        <v/>
      </c>
      <c r="BL300" s="219" t="str">
        <f>IFERROR(SUM(BL178,BL179,BL180,BL183,BL201,BL204)/(BL35+BJ35+BI35+BH35),"")</f>
        <v/>
      </c>
      <c r="BM300" s="219" t="str">
        <f>IFERROR(SUM(BM178,BM179,BM180,BM183,BM201,BM204)/(BM35+BL35+BJ35+BI35),"")</f>
        <v/>
      </c>
      <c r="BN300" s="219" t="str">
        <f>IFERROR(SUM(BN178,BN179,BN180,BN183,BN201,BN204)/(BN35+BM35+BL35+BJ35),"")</f>
        <v/>
      </c>
      <c r="BO300" s="219" t="str">
        <f>IFERROR(SUM(BO178,BO179,BO180,BO183,BO201,BO204)/(BO35+BN35+BM35+BL35),"")</f>
        <v/>
      </c>
      <c r="BQ300" s="219" t="str">
        <f>IFERROR(SUM(BQ178,BQ179,BQ180,BQ183,BQ201,BQ204)/(BQ35+BO35+BN35+BM35),"")</f>
        <v/>
      </c>
      <c r="BR300" s="219" t="str">
        <f>IFERROR(SUM(BR178,BR179,BR180,BR183,BR201,BR204)/(BR35+BQ35+BO35+BN35),"")</f>
        <v/>
      </c>
      <c r="BS300" s="219" t="str">
        <f>IFERROR(SUM(BS178,BS179,BS180,BS183,BS201,BS204)/(BS35+BR35+BQ35+BO35),"")</f>
        <v/>
      </c>
      <c r="BT300" s="219" t="str">
        <f>IFERROR(SUM(BT178,BT179,BT180,BT183,BT201,BT204)/(BT35+BS35+BR35+BQ35),"")</f>
        <v/>
      </c>
      <c r="BV300" s="219" t="str">
        <f>IFERROR(SUM(BV178,BV179,BV180,BV183,BV201,BV204)/(BV35+BT35+BS35+BR35),"")</f>
        <v/>
      </c>
      <c r="BW300" s="219" t="str">
        <f>IFERROR(SUM(BW178,BW179,BW180,BW183,BW201,BW204)/(BW35+BV35+BT35+BS35),"")</f>
        <v/>
      </c>
      <c r="BX300" s="219" t="str">
        <f>IFERROR(SUM(BX178,BX179,BX180,BX183,BX201,BX204)/(BX35+BW35+BV35+BT35),"")</f>
        <v/>
      </c>
      <c r="BY300" s="219" t="str">
        <f>IFERROR(SUM(BY178,BY179,BY180,BY183,BY201,BY204)/(BY35+BX35+BW35+BV35),"")</f>
        <v/>
      </c>
      <c r="CA300" s="219" t="str">
        <f>IFERROR(SUM(CA178,CA179,CA180,CA183,CA201,CA204)/(CA35+BY35+BX35+BW35),"")</f>
        <v/>
      </c>
      <c r="CB300" s="219" t="str">
        <f>IFERROR(SUM(CB178,CB179,CB180,CB183,CB201,CB204)/(CB35+CA35+BY35+BX35),"")</f>
        <v/>
      </c>
      <c r="CC300" s="219" t="str">
        <f>IFERROR(SUM(CC178,CC179,CC180,CC183,CC201,CC204)/(CC35+CB35+CA35+BY35),"")</f>
        <v/>
      </c>
      <c r="CD300" s="219" t="str">
        <f>IFERROR(SUM(CD178,CD179,CD180,CD183,CD201,CD204)/(CD35+CC35+CB35+CA35),"")</f>
        <v/>
      </c>
      <c r="CF300" s="219" t="str">
        <f>IFERROR(SUM(CF178,CF179,CF180,CF183,CF201,CF204)/(CF35+CD35+CC35+CB35),"")</f>
        <v/>
      </c>
      <c r="CG300" s="219" t="str">
        <f>IFERROR(SUM(CG178,CG179,CG180,CG183,CG201,CG204)/(CG35+CF35+CD35+CC35),"")</f>
        <v/>
      </c>
      <c r="CH300" s="219" t="str">
        <f>IFERROR(SUM(CH178,CH179,CH180,CH183,CH201,CH204)/(CH35+CG35+CF35+CD35),"")</f>
        <v/>
      </c>
      <c r="CI300" s="219" t="str">
        <f>IFERROR(SUM(CI178,CI179,CI180,CI183,CI201,CI204)/(CI35+CH35+CG35+CF35),"")</f>
        <v/>
      </c>
      <c r="CK300" s="219" t="str">
        <f>IFERROR(SUM(CK178,CK179,CK180,CK183,CK201,CK204)/(CK35+CI35+CH35+CG35),"")</f>
        <v/>
      </c>
      <c r="CL300" s="219" t="str">
        <f>IFERROR(SUM(CL178,CL179,CL180,CL183,CL201,CL204)/(CL35+CK35+CI35+CH35),"")</f>
        <v/>
      </c>
      <c r="CM300" s="219" t="str">
        <f>IFERROR(SUM(CM178,CM179,CM180,CM183,CM201,CM204)/(CM35+CL35+CK35+CI35),"")</f>
        <v/>
      </c>
      <c r="CN300" s="219" t="str">
        <f>IFERROR(SUM(CN178,CN179,CN180,CN183,CN201,CN204)/(CN35+CM35+CL35+CK35),"")</f>
        <v/>
      </c>
      <c r="CP300" s="219" t="str">
        <f>IFERROR(SUM(CP178,CP179,CP180,CP183,CP201,CP204)/(CP35+CN35+CM35+CL35),"")</f>
        <v/>
      </c>
      <c r="CQ300" s="219" t="str">
        <f>IFERROR(SUM(CQ178,CQ179,CQ180,CQ183,CQ201,CQ204)/(CQ35+CP35+CN35+CM35),"")</f>
        <v/>
      </c>
      <c r="CR300" s="219" t="str">
        <f>IFERROR(SUM(CR178,CR179,CR180,CR183,CR201,CR204)/(CR35+CQ35+CP35+CN35),"")</f>
        <v/>
      </c>
      <c r="CS300" s="219" t="str">
        <f>IFERROR(SUM(CS178,CS179,CS180,CS183,CS201,CS204)/(CS35+CR35+CQ35+CP35),"")</f>
        <v/>
      </c>
      <c r="CU300" s="219" t="str">
        <f>IFERROR(SUM(CU178,CU179,CU180,CU183,CU201,CU204)/(CU35+CS35+CR35+CQ35),"")</f>
        <v/>
      </c>
      <c r="CV300" s="219" t="str">
        <f>IFERROR(SUM(CV178,CV179,CV180,CV183,CV201,CV204)/(CV35+CU35+CS35+CR35),"")</f>
        <v/>
      </c>
      <c r="CW300" s="219" t="str">
        <f>IFERROR(SUM(CW178,CW179,CW180,CW183,CW201,CW204)/(CW35+CV35+CU35+CS35),"")</f>
        <v/>
      </c>
      <c r="CX300" s="219" t="str">
        <f>IFERROR(SUM(CX178,CX179,CX180,CX183,CX201,CX204)/(CX35+CW35+CV35+CU35),"")</f>
        <v/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>
        <f>SUM(D178+D179+D180+D183+D201+D204)/(SUM(D178+D179+D180+D183+D201+D204)+D237)</f>
        <v>0.607934008851844</v>
      </c>
      <c r="E301" s="221">
        <f>SUM(E178+E179+E180+E183+E201+E204)/(SUM(E178+E179+E180+E183+E201+E204)+E237)</f>
        <v>0.64891830070538</v>
      </c>
      <c r="F301" s="221">
        <f>SUM(F178+F179+F180+F183+F201+F204)/(SUM(F178+F179+F180+F183+F201+F204)+F237)</f>
        <v>0.62558920963141</v>
      </c>
      <c r="G301" s="221">
        <f>SUM(G178+G179+G180+G183+G201+G204)/(SUM(G178+G179+G180+G183+G201+G204)+G237)</f>
        <v>0.615137011435649</v>
      </c>
      <c r="I301" s="221">
        <f>SUM(I178+I179+I180+I183+I201+I204)/(SUM(I178+I179+I180+I183+I201+I204)+I237)</f>
        <v>0.61975895163541</v>
      </c>
      <c r="J301" s="221">
        <f>SUM(J178+J179+J180+J183+J201+J204)/(SUM(J178+J179+J180+J183+J201+J204)+J237)</f>
        <v>0.595175710978901</v>
      </c>
      <c r="K301" s="221">
        <f>SUM(K178+K179+K180+K183+K201+K204)/(SUM(K178+K179+K180+K183+K201+K204)+K237)</f>
        <v>0.640430120360528</v>
      </c>
      <c r="L301" s="221">
        <f>SUM(L178+L179+L180+L183+L201+L204)/(SUM(L178+L179+L180+L183+L201+L204)+L237)</f>
        <v>0.625470909247754</v>
      </c>
      <c r="N301" s="221">
        <f>SUM(N178+N179+N180+N183+N201+N204)/(SUM(N178+N179+N180+N183+N201+N204)+N237)</f>
        <v>0.629673421636179</v>
      </c>
      <c r="O301" s="221">
        <f>SUM(O178+O179+O180+O183+O201+O204)/(SUM(O178+O179+O180+O183+O201+O204)+O237)</f>
        <v>0.675131781165943</v>
      </c>
      <c r="P301" s="221">
        <f>SUM(P178+P179+P180+P183+P201+P204)/(SUM(P178+P179+P180+P183+P201+P204)+P237)</f>
        <v>0.664436581493136</v>
      </c>
      <c r="Q301" s="221">
        <f>SUM(Q178+Q179+Q180+Q183+Q201+Q204)/(SUM(Q178+Q179+Q180+Q183+Q201+Q204)+Q237)</f>
        <v>0.596602127404845</v>
      </c>
      <c r="S301" s="221">
        <f>SUM(S178+S179+S180+S183+S201+S204)/(SUM(S178+S179+S180+S183+S201+S204)+S237)</f>
        <v>0.586348338759183</v>
      </c>
      <c r="T301" s="221">
        <f>SUM(T178+T179+T180+T183+T201+T204)/(SUM(T178+T179+T180+T183+T201+T204)+T237)</f>
        <v>0.47778087970369</v>
      </c>
      <c r="U301" s="221">
        <f>SUM(U178+U179+U180+U183+U201+U204)/(SUM(U178+U179+U180+U183+U201+U204)+U237)</f>
        <v>0.465231710488707</v>
      </c>
      <c r="V301" s="221">
        <f>SUM(V178+V179+V180+V183+V201+V204)/(SUM(V178+V179+V180+V183+V201+V204)+V237)</f>
        <v>0.475776508873215</v>
      </c>
      <c r="X301" s="221">
        <f>SUM(X178+X179+X180+X183+X201+X204)/(SUM(X178+X179+X180+X183+X201+X204)+X237)</f>
        <v>0.469976232677423</v>
      </c>
      <c r="Y301" s="221">
        <f>SUM(Y178+Y179+Y180+Y183+Y201+Y204)/(SUM(Y178+Y179+Y180+Y183+Y201+Y204)+Y237)</f>
        <v>0.50240634707293</v>
      </c>
      <c r="Z301" s="221">
        <f>SUM(Z178+Z179+Z180+Z183+Z201+Z204)/(SUM(Z178+Z179+Z180+Z183+Z201+Z204)+Z237)</f>
        <v>0.503908787702751</v>
      </c>
      <c r="AA301" s="221">
        <f>SUM(AA178+AA179+AA180+AA183+AA201+AA204)/(SUM(AA178+AA179+AA180+AA183+AA201+AA204)+AA237)</f>
        <v>0.516250620118703</v>
      </c>
      <c r="AC301" s="221">
        <f>SUM(AC178+AC179+AC180+AC183+AC201+AC204)/(SUM(AC178+AC179+AC180+AC183+AC201+AC204)+AC237)</f>
        <v>0.523815888400602</v>
      </c>
      <c r="AD301" s="221">
        <f>SUM(AD178+AD179+AD180+AD183+AD201+AD204)/(SUM(AD178+AD179+AD180+AD183+AD201+AD204)+AD237)</f>
        <v>0.512530039597155</v>
      </c>
      <c r="AE301" s="221">
        <f>SUM(AE178+AE179+AE180+AE183+AE201+AE204)/(SUM(AE178+AE179+AE180+AE183+AE201+AE204)+AE237)</f>
        <v>0.518719321788168</v>
      </c>
      <c r="AF301" s="221">
        <f>SUM(AF178+AF179+AF180+AF183+AF201+AF204)/(SUM(AF178+AF179+AF180+AF183+AF201+AF204)+AF237)</f>
        <v>0.527908313054807</v>
      </c>
      <c r="AH301" s="221">
        <f>SUM(AH178+AH179+AH180+AH183+AH201+AH204)/(SUM(AH178+AH179+AH180+AH183+AH201+AH204)+AH237)</f>
        <v>0.521953831740536</v>
      </c>
      <c r="AI301" s="221">
        <f>SUM(AI178+AI179+AI180+AI183+AI201+AI204)/(SUM(AI178+AI179+AI180+AI183+AI201+AI204)+AI237)</f>
        <v>0.513354768501943</v>
      </c>
      <c r="AJ301" s="221">
        <f>SUM(AJ178+AJ179+AJ180+AJ183+AJ201+AJ204)/(SUM(AJ178+AJ179+AJ180+AJ183+AJ201+AJ204)+AJ237)</f>
        <v>0.509883101410405</v>
      </c>
      <c r="AK301" s="221">
        <f>SUM(AK178+AK179+AK180+AK183+AK201+AK204)/(SUM(AK178+AK179+AK180+AK183+AK201+AK204)+AK237)</f>
        <v>0.506573354374911</v>
      </c>
      <c r="AM301" s="221">
        <f>SUM(AM178+AM179+AM180+AM183+AM201+AM204)/(SUM(AM178+AM179+AM180+AM183+AM201+AM204)+AM237)</f>
        <v>0.503313083764485</v>
      </c>
      <c r="AN301" s="221">
        <f>SUM(AN178+AN179+AN180+AN183+AN201+AN204)/(SUM(AN178+AN179+AN180+AN183+AN201+AN204)+AN237)</f>
        <v>0.489957800446426</v>
      </c>
      <c r="AO301" s="221">
        <f>SUM(AO178+AO179+AO180+AO183+AO201+AO204)/(SUM(AO178+AO179+AO180+AO183+AO201+AO204)+AO237)</f>
        <v>0.486847992333745</v>
      </c>
      <c r="AP301" s="221">
        <f>SUM(AP178+AP179+AP180+AP183+AP201+AP204)/(SUM(AP178+AP179+AP180+AP183+AP201+AP204)+AP237)</f>
        <v>0.474323610847656</v>
      </c>
      <c r="AR301" s="221">
        <f>SUM(AR178+AR179+AR180+AR183+AR201+AR204)/(SUM(AR178+AR179+AR180+AR183+AR201+AR204)+AR237)</f>
        <v>0.46243318620023</v>
      </c>
      <c r="AS301" s="221">
        <f>SUM(AS178+AS179+AS180+AS183+AS201+AS204)/(SUM(AS178+AS179+AS180+AS183+AS201+AS204)+AS237)</f>
        <v>0.434967224998003</v>
      </c>
      <c r="AT301" s="221">
        <f>SUM(AT178+AT179+AT180+AT183+AT201+AT204)/(SUM(AT178+AT179+AT180+AT183+AT201+AT204)+AT237)</f>
        <v>0.424902145037871</v>
      </c>
      <c r="AU301" s="221">
        <f>SUM(AU178+AU179+AU180+AU183+AU201+AU204)/(SUM(AU178+AU179+AU180+AU183+AU201+AU204)+AU237)</f>
        <v>0.40158849813831</v>
      </c>
      <c r="AW301" s="221">
        <f>SUM(AW178+AW179+AW180+AW183+AW201+AW204)/(SUM(AW178+AW179+AW180+AW183+AW201+AW204)+AW237)</f>
        <v>0.380704021016477</v>
      </c>
      <c r="AX301" s="221">
        <f>SUM(AX178+AX179+AX180+AX183+AX201+AX204)/(SUM(AX178+AX179+AX180+AX183+AX201+AX204)+AX237)</f>
        <v>0.332127701438896</v>
      </c>
      <c r="AY301" s="221">
        <f>SUM(AY178+AY179+AY180+AY183+AY201+AY204)/(SUM(AY178+AY179+AY180+AY183+AY201+AY204)+AY237)</f>
        <v>0.317688107379021</v>
      </c>
      <c r="AZ301" s="221">
        <f>SUM(AZ178+AZ179+AZ180+AZ183+AZ201+AZ204)/(SUM(AZ178+AZ179+AZ180+AZ183+AZ201+AZ204)+AZ237)</f>
        <v>0.283125880832926</v>
      </c>
      <c r="BB301" s="221">
        <f>SUM(BB178+BB179+BB180+BB183+BB201+BB204)/(SUM(BB178+BB179+BB180+BB183+BB201+BB204)+BB237)</f>
        <v>0.255347778977585</v>
      </c>
      <c r="BC301" s="221">
        <f>SUM(BC178+BC179+BC180+BC183+BC201+BC204)/(SUM(BC178+BC179+BC180+BC183+BC201+BC204)+BC237)</f>
        <v>0.201594778692634</v>
      </c>
      <c r="BD301" s="221">
        <f>SUM(BD178+BD179+BD180+BD183+BD201+BD204)/(SUM(BD178+BD179+BD180+BD183+BD201+BD204)+BD237)</f>
        <v>0.187093343262519</v>
      </c>
      <c r="BE301" s="221">
        <f>SUM(BE178+BE179+BE180+BE183+BE201+BE204)/(SUM(BE178+BE179+BE180+BE183+BE201+BE204)+BE237)</f>
        <v>0.156513557281983</v>
      </c>
      <c r="BG301" s="221">
        <f>SUM(BG178+BG179+BG180+BG183+BG201+BG204)/(SUM(BG178+BG179+BG180+BG183+BG201+BG204)+BG237)</f>
        <v>0.134526251875321</v>
      </c>
      <c r="BH301" s="221">
        <f>SUM(BH178+BH179+BH180+BH183+BH201+BH204)/(SUM(BH178+BH179+BH180+BH183+BH201+BH204)+BH237)</f>
        <v>0.0971529321975572</v>
      </c>
      <c r="BI301" s="221">
        <f>SUM(BI178+BI179+BI180+BI183+BI201+BI204)/(SUM(BI178+BI179+BI180+BI183+BI201+BI204)+BI237)</f>
        <v>0.0882023174324901</v>
      </c>
      <c r="BJ301" s="221">
        <f>SUM(BJ178+BJ179+BJ180+BJ183+BJ201+BJ204)/(SUM(BJ178+BJ179+BJ180+BJ183+BJ201+BJ204)+BJ237)</f>
        <v>0.0704363932846875</v>
      </c>
      <c r="BL301" s="221">
        <f>SUM(BL178+BL179+BL180+BL183+BL201+BL204)/(SUM(BL178+BL179+BL180+BL183+BL201+BL204)+BL237)</f>
        <v>0.0586275924048549</v>
      </c>
      <c r="BM301" s="221">
        <f>SUM(BM178+BM179+BM180+BM183+BM201+BM204)/(SUM(BM178+BM179+BM180+BM183+BM201+BM204)+BM237)</f>
        <v>0.0402137277545196</v>
      </c>
      <c r="BN301" s="221">
        <f>SUM(BN178+BN179+BN180+BN183+BN201+BN204)/(SUM(BN178+BN179+BN180+BN183+BN201+BN204)+BN237)</f>
        <v>0.036065942925801</v>
      </c>
      <c r="BO301" s="221">
        <f>SUM(BO178+BO179+BO180+BO183+BO201+BO204)/(SUM(BO178+BO179+BO180+BO183+BO201+BO204)+BO237)</f>
        <v>0.0281393822474107</v>
      </c>
      <c r="BQ301" s="221">
        <f>SUM(BQ178+BQ179+BQ180+BQ183+BQ201+BQ204)/(SUM(BQ178+BQ179+BQ180+BQ183+BQ201+BQ204)+BQ237)</f>
        <v>0.0230692481230601</v>
      </c>
      <c r="BR301" s="221">
        <f>SUM(BR178+BR179+BR180+BR183+BR201+BR204)/(SUM(BR178+BR179+BR180+BR183+BR201+BR204)+BR237)</f>
        <v>0.0154582780390749</v>
      </c>
      <c r="BS301" s="221">
        <f>SUM(BS178+BS179+BS180+BS183+BS201+BS204)/(SUM(BS178+BS179+BS180+BS183+BS201+BS204)+BS237)</f>
        <v>0.0137929368913716</v>
      </c>
      <c r="BT301" s="221">
        <f>SUM(BT178+BT179+BT180+BT183+BT201+BT204)/(SUM(BT178+BT179+BT180+BT183+BT201+BT204)+BT237)</f>
        <v>0.0106560432788972</v>
      </c>
      <c r="BV301" s="221">
        <f>SUM(BV178+BV179+BV180+BV183+BV201+BV204)/(SUM(BV178+BV179+BV180+BV183+BV201+BV204)+BV237)</f>
        <v>0.00868160886795905</v>
      </c>
      <c r="BW301" s="221">
        <f>SUM(BW178+BW179+BW180+BW183+BW201+BW204)/(SUM(BW178+BW179+BW180+BW183+BW201+BW204)+BW237)</f>
        <v>0.00576387364573513</v>
      </c>
      <c r="BX301" s="221">
        <f>SUM(BX178+BX179+BX180+BX183+BX201+BX204)/(SUM(BX178+BX179+BX180+BX183+BX201+BX204)+BX237)</f>
        <v>0.00513248890994734</v>
      </c>
      <c r="BY301" s="221">
        <f>SUM(BY178+BY179+BY180+BY183+BY201+BY204)/(SUM(BY178+BY179+BY180+BY183+BY201+BY204)+BY237)</f>
        <v>0.00395029368215902</v>
      </c>
      <c r="CA301" s="221">
        <f>SUM(CA178+CA179+CA180+CA183+CA201+CA204)/(SUM(CA178+CA179+CA180+CA183+CA201+CA204)+CA237)</f>
        <v>0.00321074495827601</v>
      </c>
      <c r="CB301" s="221">
        <f>SUM(CB178+CB179+CB180+CB183+CB201+CB204)/(SUM(CB178+CB179+CB180+CB183+CB201+CB204)+CB237)</f>
        <v>0.00212423005530689</v>
      </c>
      <c r="CC301" s="221">
        <f>SUM(CC178+CC179+CC180+CC183+CC201+CC204)/(SUM(CC178+CC179+CC180+CC183+CC201+CC204)+CC237)</f>
        <v>0.00189011792801046</v>
      </c>
      <c r="CD301" s="221">
        <f>SUM(CD178+CD179+CD180+CD183+CD201+CD204)/(SUM(CD178+CD179+CD180+CD183+CD201+CD204)+CD237)</f>
        <v>0.00145270247481747</v>
      </c>
      <c r="CF301" s="221">
        <f>SUM(CF178+CF179+CF180+CF183+CF201+CF204)/(SUM(CF178+CF179+CF180+CF183+CF201+CF204)+CF237)</f>
        <v>0.00117969482227535</v>
      </c>
      <c r="CG301" s="221">
        <f>SUM(CG178+CG179+CG180+CG183+CG201+CG204)/(SUM(CG178+CG179+CG180+CG183+CG201+CG204)+CG237)</f>
        <v>0.000779480545763694</v>
      </c>
      <c r="CH301" s="221">
        <f>SUM(CH178+CH179+CH180+CH183+CH201+CH204)/(SUM(CH178+CH179+CH180+CH183+CH201+CH204)+CH237)</f>
        <v>0.000693380028323128</v>
      </c>
      <c r="CI301" s="221">
        <f>SUM(CI178+CI179+CI180+CI183+CI201+CI204)/(SUM(CI178+CI179+CI180+CI183+CI201+CI204)+CI237)</f>
        <v>0.000532640350475407</v>
      </c>
      <c r="CK301" s="221">
        <f>SUM(CK178+CK179+CK180+CK183+CK201+CK204)/(SUM(CK178+CK179+CK180+CK183+CK201+CK204)+CK237)</f>
        <v>0.000432400965471017</v>
      </c>
      <c r="CL301" s="221">
        <f>SUM(CL178+CL179+CL180+CL183+CL201+CL204)/(SUM(CL178+CL179+CL180+CL183+CL201+CL204)+CL237)</f>
        <v>0.000285572490407113</v>
      </c>
      <c r="CM301" s="221">
        <f>SUM(CM178+CM179+CM180+CM183+CM201+CM204)/(SUM(CM178+CM179+CM180+CM183+CM201+CM204)+CM237)</f>
        <v>0.000254002640011519</v>
      </c>
      <c r="CN301" s="221">
        <f>SUM(CN178+CN179+CN180+CN183+CN201+CN204)/(SUM(CN178+CN179+CN180+CN183+CN201+CN204)+CN237)</f>
        <v>0.000195082493119349</v>
      </c>
      <c r="CP301" s="221">
        <f>SUM(CP178+CP179+CP180+CP183+CP201+CP204)/(SUM(CP178+CP179+CP180+CP183+CP201+CP204)+CP237)</f>
        <v>0.00015835046393653</v>
      </c>
      <c r="CQ301" s="221">
        <f>SUM(CQ178+CQ179+CQ180+CQ183+CQ201+CQ204)/(SUM(CQ178+CQ179+CQ180+CQ183+CQ201+CQ204)+CQ237)</f>
        <v>0.000104561979381344</v>
      </c>
      <c r="CR301" s="221">
        <f>SUM(CR178+CR179+CR180+CR183+CR201+CR204)/(SUM(CR178+CR179+CR180+CR183+CR201+CR204)+CR237)</f>
        <v>9.29992439507185e-05</v>
      </c>
      <c r="CS301" s="221">
        <f>SUM(CS178+CS179+CS180+CS183+CS201+CS204)/(SUM(CS178+CS179+CS180+CS183+CS201+CS204)+CS237)</f>
        <v>7.1421555986293e-05</v>
      </c>
      <c r="CU301" s="221">
        <f>SUM(CU178+CU179+CU180+CU183+CU201+CU204)/(SUM(CU178+CU179+CU180+CU183+CU201+CU204)+CU237)</f>
        <v>5.7971099485732e-05</v>
      </c>
      <c r="CV301" s="221">
        <f>SUM(CV178+CV179+CV180+CV183+CV201+CV204)/(SUM(CV178+CV179+CV180+CV183+CV201+CV204)+CV237)</f>
        <v>3.82770495581106e-05</v>
      </c>
      <c r="CW301" s="221">
        <f>SUM(CW178+CW179+CW180+CW183+CW201+CW204)/(SUM(CW178+CW179+CW180+CW183+CW201+CW204)+CW237)</f>
        <v>3.40438101769791e-05</v>
      </c>
      <c r="CX301" s="221">
        <f>SUM(CX178+CX179+CX180+CX183+CX201+CX204)/(SUM(CX178+CX179+CX180+CX183+CX201+CX204)+CX237)</f>
        <v>2.61442991289525e-05</v>
      </c>
    </row>
    <row r="302" customFormat="1" s="233">
      <c r="A302" s="224" t="n"/>
      <c r="B302" s="224" t="n"/>
      <c r="C302" s="233" t="inlineStr">
        <is>
          <t>NET DEBT / EBITDA LTM (com arrendamentos)</t>
        </is>
      </c>
      <c r="D302" s="219" t="str">
        <f>""</f>
        <v/>
      </c>
      <c r="E302" s="219" t="str">
        <f>""</f>
        <v/>
      </c>
      <c r="F302" s="219" t="str">
        <f>""</f>
        <v/>
      </c>
      <c r="G302" s="219">
        <f>IFERROR((SUM(G178,G179,G180,G183,G201,G204)-G110)/(G35+F35+E35+D35),"")</f>
        <v>2.01443275054914</v>
      </c>
      <c r="I302" s="219">
        <f>IFERROR((SUM(I178,I179,I180,I183,I201,I204)-I110)/(I35+G35+F35+E35),"")</f>
        <v>1.79264190698865</v>
      </c>
      <c r="J302" s="219">
        <f>IFERROR((SUM(J178,J179,J180,J183,J201,J204)-J110)/(J35+I35+G35+F35),"")</f>
        <v>1.6972021117528</v>
      </c>
      <c r="K302" s="219">
        <f>IFERROR((SUM(K178,K179,K180,K183,K201,K204)-K110)/(K35+J35+I35+G35),"")</f>
        <v>2.02351737964721</v>
      </c>
      <c r="L302" s="219">
        <f>IFERROR((SUM(L178,L179,L180,L183,L201,L204)-L110)/(L35+K35+J35+I35),"")</f>
        <v>2.11705960584328</v>
      </c>
      <c r="N302" s="219">
        <f>IFERROR((SUM(N178,N179,N180,N183,N201,N204)-N110)/(N35+L35+K35+J35),"")</f>
        <v>2.20333138828664</v>
      </c>
      <c r="O302" s="219">
        <f>IFERROR((SUM(O178,O179,O180,O183,O201,O204)-O110)/(O35+N35+L35+K35),"")</f>
        <v>2.57000333086786</v>
      </c>
      <c r="P302" s="219">
        <f>IFERROR((SUM(P178,P179,P180,P183,P201,P204)-P110)/(P35+O35+N35+L35),"")</f>
        <v>2.40353153309543</v>
      </c>
      <c r="Q302" s="219">
        <f>IFERROR((SUM(Q178,Q179,Q180,Q183,Q201,Q204)-Q110)/(Q35+P35+O35+N35),"")</f>
        <v>2.15482987233555</v>
      </c>
      <c r="S302" s="219">
        <f>IFERROR((SUM(S178,S179,S180,S183,S201,S204)-S110)/(S35+Q35+P35+O35),"")</f>
        <v>2.13501749498337</v>
      </c>
      <c r="T302" s="219">
        <f>IFERROR((SUM(T178,T179,T180,T183,T201,T204)-T110)/(T35+S35+Q35+P35),"")</f>
        <v>2.86019507140471</v>
      </c>
      <c r="U302" s="219">
        <f>IFERROR((SUM(U178,U179,U180,U183,U201,U204)-U110)/(U35+T35+S35+Q35),"")</f>
        <v>2.3608550067319</v>
      </c>
      <c r="V302" s="219">
        <f>IFERROR((SUM(V178,V179,V180,V183,V201,V204)-V110)/(V35+U35+T35+S35),"")</f>
        <v>2.2506349238742</v>
      </c>
      <c r="X302" s="219">
        <f>IFERROR((SUM(X178,X179,X180,X183,X201,X204)-X110)/(X35+V35+U35+T35),"")</f>
        <v>2.04026747507148</v>
      </c>
      <c r="Y302" s="219">
        <f>IFERROR((SUM(Y178,Y179,Y180,Y183,Y201,Y204)-Y110)/(Y35+X35+V35+U35),"")</f>
        <v>1.74735209192902</v>
      </c>
      <c r="Z302" s="219">
        <f>IFERROR((SUM(Z178,Z179,Z180,Z183,Z201,Z204)-Z110)/(Z35+Y35+X35+V35),"")</f>
        <v>1.62669641033707</v>
      </c>
      <c r="AA302" s="219">
        <f>IFERROR((SUM(AA178,AA179,AA180,AA183,AA201,AA204)-AA110)/(AA35+Z35+Y35+X35),"")</f>
        <v>1.6599732586594</v>
      </c>
      <c r="AC302" s="219">
        <f>IFERROR((SUM(AC178,AC179,AC180,AC183,AC201,AC204)-AC110)/(AC35+AA35+Z35+Y35),"")</f>
        <v>1.64332849636537</v>
      </c>
      <c r="AD302" s="219">
        <f>IFERROR((SUM(AD178,AD179,AD180,AD183,AD201,AD204)-AD110)/(AD35+AC35+AA35+Z35),"")</f>
        <v>1.7606857184141</v>
      </c>
      <c r="AE302" s="219">
        <f>IFERROR((SUM(AE178,AE179,AE180,AE183,AE201,AE204)-AE110)/(AE35+AD35+AC35+AA35),"")</f>
        <v>1.57677843935761</v>
      </c>
      <c r="AF302" s="219">
        <f>IFERROR((SUM(AF178,AF179,AF180,AF183,AF201,AF204)-AF110)/(AF35+AE35+AD35+AC35),"")</f>
        <v>1.60364009075157</v>
      </c>
      <c r="AH302" s="219">
        <f>IFERROR((SUM(AH178,AH179,AH180,AH183,AH201,AH204)-AH110)/(AH35+AF35+AE35+AD35),"")</f>
        <v>1.59379992096787</v>
      </c>
      <c r="AI302" s="219">
        <f>IFERROR((SUM(AI178,AI179,AI180,AI183,AI201,AI204)-AI110)/(AI35+AH35+AF35+AE35),"")</f>
        <v>1.66367232121979</v>
      </c>
      <c r="AJ302" s="219">
        <f>IFERROR((SUM(AJ178,AJ179,AJ180,AJ183,AJ201,AJ204)-AJ110)/(AJ35+AI35+AH35+AF35),"")</f>
        <v>-1.90752519333094</v>
      </c>
      <c r="AK302" s="219">
        <f>IFERROR((SUM(AK178,AK179,AK180,AK183,AK201,AK204)-AK110)/(AK35+AJ35+AI35+AH35),"")</f>
        <v>-2.68625165712931</v>
      </c>
      <c r="AM302" s="219" t="str">
        <f>IFERROR((SUM(AM178,AM179,AM180,AM183,AM201,AM204)-AM110)/(AM35+AK35+AJ35+AI35),"")</f>
        <v/>
      </c>
      <c r="AN302" s="219" t="str">
        <f>IFERROR((SUM(AN178,AN179,AN180,AN183,AN201,AN204)-AN110)/(AN35+AM35+AK35+AJ35),"")</f>
        <v/>
      </c>
      <c r="AO302" s="219" t="str">
        <f>IFERROR((SUM(AO178,AO179,AO180,AO183,AO201,AO204)-AO110)/(AO35+AN35+AM35+AK35),"")</f>
        <v/>
      </c>
      <c r="AP302" s="219" t="str">
        <f>IFERROR((SUM(AP178,AP179,AP180,AP183,AP201,AP204)-AP110)/(AP35+AO35+AN35+AM35),"")</f>
        <v/>
      </c>
      <c r="AR302" s="219" t="str">
        <f>IFERROR((SUM(AR178,AR179,AR180,AR183,AR201,AR204)-AR110)/(AR35+AP35+AO35+AN35),"")</f>
        <v/>
      </c>
      <c r="AS302" s="219" t="str">
        <f>IFERROR((SUM(AS178,AS179,AS180,AS183,AS201,AS204)-AS110)/(AS35+AR35+AP35+AO35),"")</f>
        <v/>
      </c>
      <c r="AT302" s="219" t="str">
        <f>IFERROR((SUM(AT178,AT179,AT180,AT183,AT201,AT204)-AT110)/(AT35+AS35+AR35+AP35),"")</f>
        <v/>
      </c>
      <c r="AU302" s="219" t="str">
        <f>IFERROR((SUM(AU178,AU179,AU180,AU183,AU201,AU204)-AU110)/(AU35+AT35+AS35+AR35),"")</f>
        <v/>
      </c>
      <c r="AW302" s="219" t="str">
        <f>IFERROR((SUM(AW178,AW179,AW180,AW183,AW201,AW204)-AW110)/(AW35+AU35+AT35+AS35),"")</f>
        <v/>
      </c>
      <c r="AX302" s="219" t="str">
        <f>IFERROR((SUM(AX178,AX179,AX180,AX183,AX201,AX204)-AX110)/(AX35+AW35+AU35+AT35),"")</f>
        <v/>
      </c>
      <c r="AY302" s="219" t="str">
        <f>IFERROR((SUM(AY178,AY179,AY180,AY183,AY201,AY204)-AY110)/(AY35+AX35+AW35+AU35),"")</f>
        <v/>
      </c>
      <c r="AZ302" s="219" t="str">
        <f>IFERROR((SUM(AZ178,AZ179,AZ180,AZ183,AZ201,AZ204)-AZ110)/(AZ35+AY35+AX35+AW35),"")</f>
        <v/>
      </c>
      <c r="BB302" s="219" t="str">
        <f>IFERROR((SUM(BB178,BB179,BB180,BB183,BB201,BB204)-BB110)/(BB35+AZ35+AY35+AX35),"")</f>
        <v/>
      </c>
      <c r="BC302" s="219" t="str">
        <f>IFERROR((SUM(BC178,BC179,BC180,BC183,BC201,BC204)-BC110)/(BC35+BB35+AZ35+AY35),"")</f>
        <v/>
      </c>
      <c r="BD302" s="219" t="str">
        <f>IFERROR((SUM(BD178,BD179,BD180,BD183,BD201,BD204)-BD110)/(BD35+BC35+BB35+AZ35),"")</f>
        <v/>
      </c>
      <c r="BE302" s="219" t="str">
        <f>IFERROR((SUM(BE178,BE179,BE180,BE183,BE201,BE204)-BE110)/(BE35+BD35+BC35+BB35),"")</f>
        <v/>
      </c>
      <c r="BG302" s="219" t="str">
        <f>IFERROR((SUM(BG178,BG179,BG180,BG183,BG201,BG204)-BG110)/(BG35+BE35+BD35+BC35),"")</f>
        <v/>
      </c>
      <c r="BH302" s="219" t="str">
        <f>IFERROR((SUM(BH178,BH179,BH180,BH183,BH201,BH204)-BH110)/(BH35+BG35+BE35+BD35),"")</f>
        <v/>
      </c>
      <c r="BI302" s="219" t="str">
        <f>IFERROR((SUM(BI178,BI179,BI180,BI183,BI201,BI204)-BI110)/(BI35+BH35+BG35+BE35),"")</f>
        <v/>
      </c>
      <c r="BJ302" s="219" t="str">
        <f>IFERROR((SUM(BJ178,BJ179,BJ180,BJ183,BJ201,BJ204)-BJ110)/(BJ35+BI35+BH35+BG35),"")</f>
        <v/>
      </c>
      <c r="BL302" s="219" t="str">
        <f>IFERROR((SUM(BL178,BL179,BL180,BL183,BL201,BL204)-BL110)/(BL35+BJ35+BI35+BH35),"")</f>
        <v/>
      </c>
      <c r="BM302" s="219" t="str">
        <f>IFERROR((SUM(BM178,BM179,BM180,BM183,BM201,BM204)-BM110)/(BM35+BL35+BJ35+BI35),"")</f>
        <v/>
      </c>
      <c r="BN302" s="219" t="str">
        <f>IFERROR((SUM(BN178,BN179,BN180,BN183,BN201,BN204)-BN110)/(BN35+BM35+BL35+BJ35),"")</f>
        <v/>
      </c>
      <c r="BO302" s="219" t="str">
        <f>IFERROR((SUM(BO178,BO179,BO180,BO183,BO201,BO204)-BO110)/(BO35+BN35+BM35+BL35),"")</f>
        <v/>
      </c>
      <c r="BQ302" s="219" t="str">
        <f>IFERROR((SUM(BQ178,BQ179,BQ180,BQ183,BQ201,BQ204)-BQ110)/(BQ35+BO35+BN35+BM35),"")</f>
        <v/>
      </c>
      <c r="BR302" s="219" t="str">
        <f>IFERROR((SUM(BR178,BR179,BR180,BR183,BR201,BR204)-BR110)/(BR35+BQ35+BO35+BN35),"")</f>
        <v/>
      </c>
      <c r="BS302" s="219" t="str">
        <f>IFERROR((SUM(BS178,BS179,BS180,BS183,BS201,BS204)-BS110)/(BS35+BR35+BQ35+BO35),"")</f>
        <v/>
      </c>
      <c r="BT302" s="219" t="str">
        <f>IFERROR((SUM(BT178,BT179,BT180,BT183,BT201,BT204)-BT110)/(BT35+BS35+BR35+BQ35),"")</f>
        <v/>
      </c>
      <c r="BV302" s="219" t="str">
        <f>IFERROR((SUM(BV178,BV179,BV180,BV183,BV201,BV204)-BV110)/(BV35+BT35+BS35+BR35),"")</f>
        <v/>
      </c>
      <c r="BW302" s="219" t="str">
        <f>IFERROR((SUM(BW178,BW179,BW180,BW183,BW201,BW204)-BW110)/(BW35+BV35+BT35+BS35),"")</f>
        <v/>
      </c>
      <c r="BX302" s="219" t="str">
        <f>IFERROR((SUM(BX178,BX179,BX180,BX183,BX201,BX204)-BX110)/(BX35+BW35+BV35+BT35),"")</f>
        <v/>
      </c>
      <c r="BY302" s="219" t="str">
        <f>IFERROR((SUM(BY178,BY179,BY180,BY183,BY201,BY204)-BY110)/(BY35+BX35+BW35+BV35),"")</f>
        <v/>
      </c>
      <c r="CA302" s="219" t="str">
        <f>IFERROR((SUM(CA178,CA179,CA180,CA183,CA201,CA204)-CA110)/(CA35+BY35+BX35+BW35),"")</f>
        <v/>
      </c>
      <c r="CB302" s="219" t="str">
        <f>IFERROR((SUM(CB178,CB179,CB180,CB183,CB201,CB204)-CB110)/(CB35+CA35+BY35+BX35),"")</f>
        <v/>
      </c>
      <c r="CC302" s="219" t="str">
        <f>IFERROR((SUM(CC178,CC179,CC180,CC183,CC201,CC204)-CC110)/(CC35+CB35+CA35+BY35),"")</f>
        <v/>
      </c>
      <c r="CD302" s="219" t="str">
        <f>IFERROR((SUM(CD178,CD179,CD180,CD183,CD201,CD204)-CD110)/(CD35+CC35+CB35+CA35),"")</f>
        <v/>
      </c>
      <c r="CF302" s="219" t="str">
        <f>IFERROR((SUM(CF178,CF179,CF180,CF183,CF201,CF204)-CF110)/(CF35+CD35+CC35+CB35),"")</f>
        <v/>
      </c>
      <c r="CG302" s="219" t="str">
        <f>IFERROR((SUM(CG178,CG179,CG180,CG183,CG201,CG204)-CG110)/(CG35+CF35+CD35+CC35),"")</f>
        <v/>
      </c>
      <c r="CH302" s="219" t="str">
        <f>IFERROR((SUM(CH178,CH179,CH180,CH183,CH201,CH204)-CH110)/(CH35+CG35+CF35+CD35),"")</f>
        <v/>
      </c>
      <c r="CI302" s="219" t="str">
        <f>IFERROR((SUM(CI178,CI179,CI180,CI183,CI201,CI204)-CI110)/(CI35+CH35+CG35+CF35),"")</f>
        <v/>
      </c>
      <c r="CK302" s="219" t="str">
        <f>IFERROR((SUM(CK178,CK179,CK180,CK183,CK201,CK204)-CK110)/(CK35+CI35+CH35+CG35),"")</f>
        <v/>
      </c>
      <c r="CL302" s="219" t="str">
        <f>IFERROR((SUM(CL178,CL179,CL180,CL183,CL201,CL204)-CL110)/(CL35+CK35+CI35+CH35),"")</f>
        <v/>
      </c>
      <c r="CM302" s="219" t="str">
        <f>IFERROR((SUM(CM178,CM179,CM180,CM183,CM201,CM204)-CM110)/(CM35+CL35+CK35+CI35),"")</f>
        <v/>
      </c>
      <c r="CN302" s="219" t="str">
        <f>IFERROR((SUM(CN178,CN179,CN180,CN183,CN201,CN204)-CN110)/(CN35+CM35+CL35+CK35),"")</f>
        <v/>
      </c>
      <c r="CP302" s="219" t="str">
        <f>IFERROR((SUM(CP178,CP179,CP180,CP183,CP201,CP204)-CP110)/(CP35+CN35+CM35+CL35),"")</f>
        <v/>
      </c>
      <c r="CQ302" s="219" t="str">
        <f>IFERROR((SUM(CQ178,CQ179,CQ180,CQ183,CQ201,CQ204)-CQ110)/(CQ35+CP35+CN35+CM35),"")</f>
        <v/>
      </c>
      <c r="CR302" s="219" t="str">
        <f>IFERROR((SUM(CR178,CR179,CR180,CR183,CR201,CR204)-CR110)/(CR35+CQ35+CP35+CN35),"")</f>
        <v/>
      </c>
      <c r="CS302" s="219" t="str">
        <f>IFERROR((SUM(CS178,CS179,CS180,CS183,CS201,CS204)-CS110)/(CS35+CR35+CQ35+CP35),"")</f>
        <v/>
      </c>
      <c r="CU302" s="219" t="str">
        <f>IFERROR((SUM(CU178,CU179,CU180,CU183,CU201,CU204)-CU110)/(CU35+CS35+CR35+CQ35),"")</f>
        <v/>
      </c>
      <c r="CV302" s="219" t="str">
        <f>IFERROR((SUM(CV178,CV179,CV180,CV183,CV201,CV204)-CV110)/(CV35+CU35+CS35+CR35),"")</f>
        <v/>
      </c>
      <c r="CW302" s="219" t="str">
        <f>IFERROR((SUM(CW178,CW179,CW180,CW183,CW201,CW204)-CW110)/(CW35+CV35+CU35+CS35),"")</f>
        <v/>
      </c>
      <c r="CX302" s="219" t="str">
        <f>IFERROR((SUM(CX178,CX179,CX180,CX183,CX201,CX204)-CX110)/(CX35+CW35+CV35+CU35),"")</f>
        <v/>
      </c>
    </row>
    <row r="303" customFormat="1" s="233">
      <c r="A303" s="224" t="n"/>
      <c r="B303" s="224" t="n"/>
      <c r="C303" s="237" t="inlineStr">
        <is>
          <t>NET DEBT (EX IFRS 16) / EBITDA LTM</t>
        </is>
      </c>
      <c r="D303" s="219" t="str">
        <f>""</f>
        <v/>
      </c>
      <c r="E303" s="219" t="str">
        <f>""</f>
        <v/>
      </c>
      <c r="F303" s="219" t="str">
        <f>""</f>
        <v/>
      </c>
      <c r="G303" s="219">
        <f>IFERROR((SUM(G178,G179,G183,G204)-G110)/(G35+F35+E35+D35),"")</f>
        <v>1.07608714317844</v>
      </c>
      <c r="I303" s="219">
        <f>IFERROR((SUM(I178,I179,I183,I204)-I110)/(I35+G35+F35+E35),"")</f>
        <v>0.973069585532767</v>
      </c>
      <c r="J303" s="219">
        <f>IFERROR((SUM(J178,J179,J183,J204)-J110)/(J35+I35+G35+F35),"")</f>
        <v>1.03604374845391</v>
      </c>
      <c r="K303" s="219">
        <f>IFERROR((SUM(K178,K179,K183,K204)-K110)/(K35+J35+I35+G35),"")</f>
        <v>1.32494656183552</v>
      </c>
      <c r="L303" s="219">
        <f>IFERROR((SUM(L178,L179,L183,L204)-L110)/(L35+K35+J35+I35),"")</f>
        <v>1.33654161096484</v>
      </c>
      <c r="N303" s="219">
        <f>IFERROR((SUM(N178,N179,N183,N204)-N110)/(N35+L35+K35+J35),"")</f>
        <v>1.40870761009808</v>
      </c>
      <c r="O303" s="219">
        <f>IFERROR((SUM(O178,O179,O183,O204)-O110)/(O35+N35+L35+K35),"")</f>
        <v>1.8003350436696</v>
      </c>
      <c r="P303" s="219">
        <f>IFERROR((SUM(P178,P179,P183,P204)-P110)/(P35+O35+N35+L35),"")</f>
        <v>1.67174670011053</v>
      </c>
      <c r="Q303" s="219">
        <f>IFERROR((SUM(Q178,Q179,Q183,Q204)-Q110)/(Q35+P35+O35+N35),"")</f>
        <v>1.21489330076467</v>
      </c>
      <c r="S303" s="219">
        <f>IFERROR((SUM(S178,S179,S183,S204)-S110)/(S35+Q35+P35+O35),"")</f>
        <v>1.20801603442788</v>
      </c>
      <c r="T303" s="219">
        <f>IFERROR((SUM(T178,T179,T183,T204)-T110)/(T35+S35+Q35+P35),"")</f>
        <v>1.71326238885395</v>
      </c>
      <c r="U303" s="219">
        <f>IFERROR((SUM(U178,U179,U183,U204)-U110)/(U35+T35+S35+Q35),"")</f>
        <v>1.37287432937094</v>
      </c>
      <c r="V303" s="219">
        <f>IFERROR((SUM(V178,V179,V183,V204)-V110)/(V35+U35+T35+S35),"")</f>
        <v>1.35098856360411</v>
      </c>
      <c r="X303" s="219">
        <f>IFERROR((SUM(X178,X179,X183,X204)-X110)/(X35+V35+U35+T35),"")</f>
        <v>1.25172267657476</v>
      </c>
      <c r="Y303" s="219">
        <f>IFERROR((SUM(Y178,Y179,Y183,Y204)-Y110)/(Y35+X35+V35+U35),"")</f>
        <v>1.04843645064873</v>
      </c>
      <c r="Z303" s="219">
        <f>IFERROR((SUM(Z178,Z179,Z183,Z204)-Z110)/(Z35+Y35+X35+V35),"")</f>
        <v>0.959076095716258</v>
      </c>
      <c r="AA303" s="219">
        <f>IFERROR((SUM(AA178,AA179,AA183,AA204)-AA110)/(AA35+Z35+Y35+X35),"")</f>
        <v>1.01086959812306</v>
      </c>
      <c r="AC303" s="219">
        <f>IFERROR((SUM(AC178,AC179,AC183,AC204)-AC110)/(AC35+AA35+Z35+Y35),"")</f>
        <v>1.00359540393025</v>
      </c>
      <c r="AD303" s="219">
        <f>IFERROR((SUM(AD178,AD179,AD183,AD204)-AD110)/(AD35+AC35+AA35+Z35),"")</f>
        <v>1.14709921115731</v>
      </c>
      <c r="AE303" s="219">
        <f>IFERROR((SUM(AE178,AE179,AE183,AE204)-AE110)/(AE35+AD35+AC35+AA35),"")</f>
        <v>0.977853036989057</v>
      </c>
      <c r="AF303" s="219">
        <f>IFERROR((SUM(AF178,AF179,AF183,AF204)-AF110)/(AF35+AE35+AD35+AC35),"")</f>
        <v>1.02239245421312</v>
      </c>
      <c r="AH303" s="219">
        <f>IFERROR((SUM(AH178,AH179,AH183,AH204)-AH110)/(AH35+AF35+AE35+AD35),"")</f>
        <v>1.03809301098526</v>
      </c>
      <c r="AI303" s="219">
        <f>IFERROR((SUM(AI178,AI179,AI183,AI204)-AI110)/(AI35+AH35+AF35+AE35),"")</f>
        <v>1.06518207990731</v>
      </c>
      <c r="AJ303" s="219">
        <f>IFERROR((SUM(AJ178,AJ179,AJ183,AJ204)-AJ110)/(AJ35+AI35+AH35+AF35),"")</f>
        <v>-2.72018972400355</v>
      </c>
      <c r="AK303" s="219">
        <f>IFERROR((SUM(AK178,AK179,AK183,AK204)-AK110)/(AK35+AJ35+AI35+AH35),"")</f>
        <v>-3.80289190501664</v>
      </c>
      <c r="AM303" s="219" t="str">
        <f>IFERROR((SUM(AM178,AM179,AM183,AM204)-AM110)/(AM35+AK35+AJ35+AI35),"")</f>
        <v/>
      </c>
      <c r="AN303" s="219" t="str">
        <f>IFERROR((SUM(AN178,AN179,AN183,AN204)-AN110)/(AN35+AM35+AK35+AJ35),"")</f>
        <v/>
      </c>
      <c r="AO303" s="219" t="str">
        <f>IFERROR((SUM(AO178,AO179,AO183,AO204)-AO110)/(AO35+AN35+AM35+AK35),"")</f>
        <v/>
      </c>
      <c r="AP303" s="219" t="str">
        <f>IFERROR((SUM(AP178,AP179,AP183,AP204)-AP110)/(AP35+AO35+AN35+AM35),"")</f>
        <v/>
      </c>
      <c r="AR303" s="219" t="str">
        <f>IFERROR((SUM(AR178,AR179,AR183,AR204)-AR110)/(AR35+AP35+AO35+AN35),"")</f>
        <v/>
      </c>
      <c r="AS303" s="219" t="str">
        <f>IFERROR((SUM(AS178,AS179,AS183,AS204)-AS110)/(AS35+AR35+AP35+AO35),"")</f>
        <v/>
      </c>
      <c r="AT303" s="219" t="str">
        <f>IFERROR((SUM(AT178,AT179,AT183,AT204)-AT110)/(AT35+AS35+AR35+AP35),"")</f>
        <v/>
      </c>
      <c r="AU303" s="219" t="str">
        <f>IFERROR((SUM(AU178,AU179,AU183,AU204)-AU110)/(AU35+AT35+AS35+AR35),"")</f>
        <v/>
      </c>
      <c r="AW303" s="219" t="str">
        <f>IFERROR((SUM(AW178,AW179,AW183,AW204)-AW110)/(AW35+AU35+AT35+AS35),"")</f>
        <v/>
      </c>
      <c r="AX303" s="219" t="str">
        <f>IFERROR((SUM(AX178,AX179,AX183,AX204)-AX110)/(AX35+AW35+AU35+AT35),"")</f>
        <v/>
      </c>
      <c r="AY303" s="219" t="str">
        <f>IFERROR((SUM(AY178,AY179,AY183,AY204)-AY110)/(AY35+AX35+AW35+AU35),"")</f>
        <v/>
      </c>
      <c r="AZ303" s="219" t="str">
        <f>IFERROR((SUM(AZ178,AZ179,AZ183,AZ204)-AZ110)/(AZ35+AY35+AX35+AW35),"")</f>
        <v/>
      </c>
      <c r="BB303" s="219" t="str">
        <f>IFERROR((SUM(BB178,BB179,BB183,BB204)-BB110)/(BB35+AZ35+AY35+AX35),"")</f>
        <v/>
      </c>
      <c r="BC303" s="219" t="str">
        <f>IFERROR((SUM(BC178,BC179,BC183,BC204)-BC110)/(BC35+BB35+AZ35+AY35),"")</f>
        <v/>
      </c>
      <c r="BD303" s="219" t="str">
        <f>IFERROR((SUM(BD178,BD179,BD183,BD204)-BD110)/(BD35+BC35+BB35+AZ35),"")</f>
        <v/>
      </c>
      <c r="BE303" s="219" t="str">
        <f>IFERROR((SUM(BE178,BE179,BE183,BE204)-BE110)/(BE35+BD35+BC35+BB35),"")</f>
        <v/>
      </c>
      <c r="BG303" s="219" t="str">
        <f>IFERROR((SUM(BG178,BG179,BG183,BG204)-BG110)/(BG35+BE35+BD35+BC35),"")</f>
        <v/>
      </c>
      <c r="BH303" s="219" t="str">
        <f>IFERROR((SUM(BH178,BH179,BH183,BH204)-BH110)/(BH35+BG35+BE35+BD35),"")</f>
        <v/>
      </c>
      <c r="BI303" s="219" t="str">
        <f>IFERROR((SUM(BI178,BI179,BI183,BI204)-BI110)/(BI35+BH35+BG35+BE35),"")</f>
        <v/>
      </c>
      <c r="BJ303" s="219" t="str">
        <f>IFERROR((SUM(BJ178,BJ179,BJ183,BJ204)-BJ110)/(BJ35+BI35+BH35+BG35),"")</f>
        <v/>
      </c>
      <c r="BL303" s="219" t="str">
        <f>IFERROR((SUM(BL178,BL179,BL183,BL204)-BL110)/(BL35+BJ35+BI35+BH35),"")</f>
        <v/>
      </c>
      <c r="BM303" s="219" t="str">
        <f>IFERROR((SUM(BM178,BM179,BM183,BM204)-BM110)/(BM35+BL35+BJ35+BI35),"")</f>
        <v/>
      </c>
      <c r="BN303" s="219" t="str">
        <f>IFERROR((SUM(BN178,BN179,BN183,BN204)-BN110)/(BN35+BM35+BL35+BJ35),"")</f>
        <v/>
      </c>
      <c r="BO303" s="219" t="str">
        <f>IFERROR((SUM(BO178,BO179,BO183,BO204)-BO110)/(BO35+BN35+BM35+BL35),"")</f>
        <v/>
      </c>
      <c r="BQ303" s="219" t="str">
        <f>IFERROR((SUM(BQ178,BQ179,BQ183,BQ204)-BQ110)/(BQ35+BO35+BN35+BM35),"")</f>
        <v/>
      </c>
      <c r="BR303" s="219" t="str">
        <f>IFERROR((SUM(BR178,BR179,BR183,BR204)-BR110)/(BR35+BQ35+BO35+BN35),"")</f>
        <v/>
      </c>
      <c r="BS303" s="219" t="str">
        <f>IFERROR((SUM(BS178,BS179,BS183,BS204)-BS110)/(BS35+BR35+BQ35+BO35),"")</f>
        <v/>
      </c>
      <c r="BT303" s="219" t="str">
        <f>IFERROR((SUM(BT178,BT179,BT183,BT204)-BT110)/(BT35+BS35+BR35+BQ35),"")</f>
        <v/>
      </c>
      <c r="BV303" s="219" t="str">
        <f>IFERROR((SUM(BV178,BV179,BV183,BV204)-BV110)/(BV35+BT35+BS35+BR35),"")</f>
        <v/>
      </c>
      <c r="BW303" s="219" t="str">
        <f>IFERROR((SUM(BW178,BW179,BW183,BW204)-BW110)/(BW35+BV35+BT35+BS35),"")</f>
        <v/>
      </c>
      <c r="BX303" s="219" t="str">
        <f>IFERROR((SUM(BX178,BX179,BX183,BX204)-BX110)/(BX35+BW35+BV35+BT35),"")</f>
        <v/>
      </c>
      <c r="BY303" s="219" t="str">
        <f>IFERROR((SUM(BY178,BY179,BY183,BY204)-BY110)/(BY35+BX35+BW35+BV35),"")</f>
        <v/>
      </c>
      <c r="CA303" s="219" t="str">
        <f>IFERROR((SUM(CA178,CA179,CA183,CA204)-CA110)/(CA35+BY35+BX35+BW35),"")</f>
        <v/>
      </c>
      <c r="CB303" s="219" t="str">
        <f>IFERROR((SUM(CB178,CB179,CB183,CB204)-CB110)/(CB35+CA35+BY35+BX35),"")</f>
        <v/>
      </c>
      <c r="CC303" s="219" t="str">
        <f>IFERROR((SUM(CC178,CC179,CC183,CC204)-CC110)/(CC35+CB35+CA35+BY35),"")</f>
        <v/>
      </c>
      <c r="CD303" s="219" t="str">
        <f>IFERROR((SUM(CD178,CD179,CD183,CD204)-CD110)/(CD35+CC35+CB35+CA35),"")</f>
        <v/>
      </c>
      <c r="CF303" s="219" t="str">
        <f>IFERROR((SUM(CF178,CF179,CF183,CF204)-CF110)/(CF35+CD35+CC35+CB35),"")</f>
        <v/>
      </c>
      <c r="CG303" s="219" t="str">
        <f>IFERROR((SUM(CG178,CG179,CG183,CG204)-CG110)/(CG35+CF35+CD35+CC35),"")</f>
        <v/>
      </c>
      <c r="CH303" s="219" t="str">
        <f>IFERROR((SUM(CH178,CH179,CH183,CH204)-CH110)/(CH35+CG35+CF35+CD35),"")</f>
        <v/>
      </c>
      <c r="CI303" s="219" t="str">
        <f>IFERROR((SUM(CI178,CI179,CI183,CI204)-CI110)/(CI35+CH35+CG35+CF35),"")</f>
        <v/>
      </c>
      <c r="CK303" s="219" t="str">
        <f>IFERROR((SUM(CK178,CK179,CK183,CK204)-CK110)/(CK35+CI35+CH35+CG35),"")</f>
        <v/>
      </c>
      <c r="CL303" s="219" t="str">
        <f>IFERROR((SUM(CL178,CL179,CL183,CL204)-CL110)/(CL35+CK35+CI35+CH35),"")</f>
        <v/>
      </c>
      <c r="CM303" s="219" t="str">
        <f>IFERROR((SUM(CM178,CM179,CM183,CM204)-CM110)/(CM35+CL35+CK35+CI35),"")</f>
        <v/>
      </c>
      <c r="CN303" s="219" t="str">
        <f>IFERROR((SUM(CN178,CN179,CN183,CN204)-CN110)/(CN35+CM35+CL35+CK35),"")</f>
        <v/>
      </c>
      <c r="CP303" s="219" t="str">
        <f>IFERROR((SUM(CP178,CP179,CP183,CP204)-CP110)/(CP35+CN35+CM35+CL35),"")</f>
        <v/>
      </c>
      <c r="CQ303" s="219" t="str">
        <f>IFERROR((SUM(CQ178,CQ179,CQ183,CQ204)-CQ110)/(CQ35+CP35+CN35+CM35),"")</f>
        <v/>
      </c>
      <c r="CR303" s="219" t="str">
        <f>IFERROR((SUM(CR178,CR179,CR183,CR204)-CR110)/(CR35+CQ35+CP35+CN35),"")</f>
        <v/>
      </c>
      <c r="CS303" s="219" t="str">
        <f>IFERROR((SUM(CS178,CS179,CS183,CS204)-CS110)/(CS35+CR35+CQ35+CP35),"")</f>
        <v/>
      </c>
      <c r="CU303" s="219" t="str">
        <f>IFERROR((SUM(CU178,CU179,CU183,CU204)-CU110)/(CU35+CS35+CR35+CQ35),"")</f>
        <v/>
      </c>
      <c r="CV303" s="219" t="str">
        <f>IFERROR((SUM(CV178,CV179,CV183,CV204)-CV110)/(CV35+CU35+CS35+CR35),"")</f>
        <v/>
      </c>
      <c r="CW303" s="219" t="str">
        <f>IFERROR((SUM(CW178,CW179,CW183,CW204)-CW110)/(CW35+CV35+CU35+CS35),"")</f>
        <v/>
      </c>
      <c r="CX303" s="219" t="str">
        <f>IFERROR((SUM(CX178,CX179,CX183,CX204)-CX110)/(CX35+CW35+CV35+CU35),"")</f>
        <v/>
      </c>
    </row>
    <row r="304" customFormat="1" s="233">
      <c r="A304" s="224" t="n"/>
      <c r="B304" s="224" t="n"/>
      <c r="C304" s="233" t="inlineStr">
        <is>
          <t>INTEREST COVERAGE</t>
        </is>
      </c>
      <c r="D304" s="219">
        <f>D39/-D40</f>
        <v>2.80722579078872</v>
      </c>
      <c r="E304" s="219">
        <f>E39/-E40</f>
        <v>-1.43441061353018</v>
      </c>
      <c r="F304" s="219">
        <f>F39/-F40</f>
        <v>5.47387133041583</v>
      </c>
      <c r="G304" s="219">
        <f>G39/-G40</f>
        <v>4.16827571484487</v>
      </c>
      <c r="I304" s="219">
        <f>I39/-I40</f>
        <v>5.30863474715458</v>
      </c>
      <c r="J304" s="219">
        <f>J39/-J40</f>
        <v>2.99595572851959</v>
      </c>
      <c r="K304" s="219">
        <f>K39/-K40</f>
        <v>2.82960047057776</v>
      </c>
      <c r="L304" s="219">
        <f>L39/-L40</f>
        <v>2.07830462995342</v>
      </c>
      <c r="N304" s="219">
        <f>N39/-N40</f>
        <v>2.55359288012794</v>
      </c>
      <c r="O304" s="219">
        <f>O39/-O40</f>
        <v>1.708043837785</v>
      </c>
      <c r="P304" s="219">
        <f>P39/-P40</f>
        <v>1.73483090526327</v>
      </c>
      <c r="Q304" s="219">
        <f>Q39/-Q40</f>
        <v>0.895488819412332</v>
      </c>
      <c r="S304" s="219">
        <f>S39/-S40</f>
        <v>1.59436758742984</v>
      </c>
      <c r="T304" s="219">
        <f>T39/-T40</f>
        <v>1.24694559035479</v>
      </c>
      <c r="U304" s="219">
        <f>U39/-U40</f>
        <v>1.94068952562964</v>
      </c>
      <c r="V304" s="219">
        <f>V39/-V40</f>
        <v>1.25454783605054</v>
      </c>
      <c r="X304" s="219">
        <f>X39/-X40</f>
        <v>2.23235954880526</v>
      </c>
      <c r="Y304" s="219">
        <f>Y39/-Y40</f>
        <v>2.34977195591385</v>
      </c>
      <c r="Z304" s="219">
        <f>Z39/-Z40</f>
        <v>2.15328531439368</v>
      </c>
      <c r="AA304" s="219">
        <f>AA39/-AA40</f>
        <v>1.18754292593821</v>
      </c>
      <c r="AC304" s="219">
        <f>AC39/-AC40</f>
        <v>1.83857181964898</v>
      </c>
      <c r="AD304" s="219">
        <f>AD39/-AD40</f>
        <v>1.55968029492642</v>
      </c>
      <c r="AE304" s="219">
        <f>AE39/-AE40</f>
        <v>1.67955129101697</v>
      </c>
      <c r="AF304" s="219">
        <f>AF39/-AF40</f>
        <v>1.08654368728056</v>
      </c>
      <c r="AH304" s="219">
        <f>AH39/-AH40</f>
        <v>1.90363297103111</v>
      </c>
      <c r="AI304" s="219">
        <f>AI39/-AI40</f>
        <v>2.08154489343235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>
        <f>SUM(D110,D111,D115,D119,D120,D121)/SUM(D164,D168,D170,D171)</f>
        <v>2.88290828001978</v>
      </c>
      <c r="E307" s="219">
        <f>SUM(E110,E111,E115,E119,E120,E121)/SUM(E164,E168,E170,E171)</f>
        <v>3.5681537528658</v>
      </c>
      <c r="F307" s="219">
        <f>SUM(F110,F111,F115,F119,F120,F121)/SUM(F164,F168,F170,F171)</f>
        <v>3.41132290738941</v>
      </c>
      <c r="G307" s="219">
        <f>SUM(G110,G111,G115,G119,G120,G121)/SUM(G164,G168,G170,G171)</f>
        <v>3.99802486538168</v>
      </c>
      <c r="I307" s="219">
        <f>SUM(I110,I111,I115,I119,I120,I121)/SUM(I164,I168,I170,I171)</f>
        <v>3.47107634407525</v>
      </c>
      <c r="J307" s="219">
        <f>SUM(J110,J111,J115,J119,J120,J121)/SUM(J164,J168,J170,J171)</f>
        <v>3.02588319750856</v>
      </c>
      <c r="K307" s="219">
        <f>SUM(K110,K111,K115,K119,K120,K121)/SUM(K164,K168,K170,K171)</f>
        <v>3.07066521164233</v>
      </c>
      <c r="L307" s="219">
        <f>SUM(L110,L111,L115,L119,L120,L121)/SUM(L164,L168,L170,L171)</f>
        <v>2.72415896357666</v>
      </c>
      <c r="N307" s="219">
        <f>SUM(N110,N111,N115,N119,N120,N121)/SUM(N164,N168,N170,N171)</f>
        <v>2.12158836095603</v>
      </c>
      <c r="O307" s="219">
        <f>SUM(O110,O111,O115,O119,O120,O121)/SUM(O164,O168,O170,O171)</f>
        <v>3.18258155597242</v>
      </c>
      <c r="P307" s="219">
        <f>SUM(P110,P111,P115,P119,P120,P121)/SUM(P164,P168,P170,P171)</f>
        <v>3.08112316917596</v>
      </c>
      <c r="Q307" s="219">
        <f>SUM(Q110,Q111,Q115,Q119,Q120,Q121)/SUM(Q164,Q168,Q170,Q171)</f>
        <v>3.89324500725045</v>
      </c>
      <c r="S307" s="219">
        <f>SUM(S110,S111,S115,S119,S120,S121)/SUM(S164,S168,S170,S171)</f>
        <v>4.16122831777379</v>
      </c>
      <c r="T307" s="219">
        <f>SUM(T110,T111,T115,T119,T120,T121)/SUM(T164,T168,T170,T171)</f>
        <v>2.82869323674549</v>
      </c>
      <c r="U307" s="219">
        <f>SUM(U110,U111,U115,U119,U120,U121)/SUM(U164,U168,U170,U171)</f>
        <v>2.60968171590268</v>
      </c>
      <c r="V307" s="219">
        <f>SUM(V110,V111,V115,V119,V120,V121)/SUM(V164,V168,V170,V171)</f>
        <v>2.76317074236742</v>
      </c>
      <c r="X307" s="219">
        <f>SUM(X110,X111,X115,X119,X120,X121)/SUM(X164,X168,X170,X171)</f>
        <v>2.89840974717044</v>
      </c>
      <c r="Y307" s="219">
        <f>SUM(Y110,Y111,Y115,Y119,Y120,Y121)/SUM(Y164,Y168,Y170,Y171)</f>
        <v>3.71482806510368</v>
      </c>
      <c r="Z307" s="219">
        <f>SUM(Z110,Z111,Z115,Z119,Z120,Z121)/SUM(Z164,Z168,Z170,Z171)</f>
        <v>3.41108404751618</v>
      </c>
      <c r="AA307" s="219">
        <f>SUM(AA110,AA111,AA115,AA119,AA120,AA121)/SUM(AA164,AA168,AA170,AA171)</f>
        <v>3.74220977541702</v>
      </c>
      <c r="AC307" s="219">
        <f>SUM(AC110,AC111,AC115,AC119,AC120,AC121)/SUM(AC164,AC168,AC170,AC171)</f>
        <v>3.5436181264706</v>
      </c>
      <c r="AD307" s="219">
        <f>SUM(AD110,AD111,AD115,AD119,AD120,AD121)/SUM(AD164,AD168,AD170,AD171)</f>
        <v>3.89899557936714</v>
      </c>
      <c r="AE307" s="219">
        <f>SUM(AE110,AE111,AE115,AE119,AE120,AE121)/SUM(AE164,AE168,AE170,AE171)</f>
        <v>3.40663029478985</v>
      </c>
      <c r="AF307" s="219">
        <f>SUM(AF110,AF111,AF115,AF119,AF120,AF121)/SUM(AF164,AF168,AF170,AF171)</f>
        <v>2.81344977982131</v>
      </c>
      <c r="AH307" s="219">
        <f>SUM(AH110,AH111,AH115,AH119,AH120,AH121)/SUM(AH164,AH168,AH170,AH171)</f>
        <v>3.21733857437969</v>
      </c>
      <c r="AI307" s="219">
        <f>SUM(AI110,AI111,AI115,AI119,AI120,AI121)/SUM(AI164,AI168,AI170,AI171)</f>
        <v>3.22903132704069</v>
      </c>
      <c r="AJ307" s="219">
        <f>SUM(AJ110,AJ111,AJ115,AJ119,AJ120,AJ121)/SUM(AJ164,AJ168,AJ170,AJ171)</f>
        <v>102.379773678012</v>
      </c>
      <c r="AK307" s="219">
        <f>SUM(AK110,AK111,AK115,AK119,AK120,AK121)/SUM(AK164,AK168,AK170,AK171)</f>
        <v>103.244265022075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>
        <f>SUM(D110)/SUM(D164,D168,D170,D171)</f>
        <v>1.54678949604547</v>
      </c>
      <c r="E308" s="219">
        <f>SUM(E110)/SUM(E164,E168,E170,E171)</f>
        <v>2.20910038877707</v>
      </c>
      <c r="F308" s="219">
        <f>SUM(F110)/SUM(F164,F168,F170,F171)</f>
        <v>1.97222939168871</v>
      </c>
      <c r="G308" s="219">
        <f>SUM(G110)/SUM(G164,G168,G170,G171)</f>
        <v>2.19347842006336</v>
      </c>
      <c r="I308" s="219">
        <f>SUM(I110)/SUM(I164,I168,I170,I171)</f>
        <v>1.84945745955271</v>
      </c>
      <c r="J308" s="219">
        <f>SUM(J110)/SUM(J164,J168,J170,J171)</f>
        <v>1.23781596903325</v>
      </c>
      <c r="K308" s="219">
        <f>SUM(K110)/SUM(K164,K168,K170,K171)</f>
        <v>1.45154309754009</v>
      </c>
      <c r="L308" s="219">
        <f>SUM(L110)/SUM(L164,L168,L170,L171)</f>
        <v>1.2809308788616</v>
      </c>
      <c r="N308" s="219">
        <f>SUM(N110)/SUM(N164,N168,N170,N171)</f>
        <v>0.70575642764299</v>
      </c>
      <c r="O308" s="219">
        <f>SUM(O110)/SUM(O164,O168,O170,O171)</f>
        <v>1.19160740448384</v>
      </c>
      <c r="P308" s="219">
        <f>SUM(P110)/SUM(P164,P168,P170,P171)</f>
        <v>1.22693625347096</v>
      </c>
      <c r="Q308" s="219">
        <f>SUM(Q110)/SUM(Q164,Q168,Q170,Q171)</f>
        <v>2.17504444914381</v>
      </c>
      <c r="S308" s="219">
        <f>SUM(S110)/SUM(S164,S168,S170,S171)</f>
        <v>2.19995641849765</v>
      </c>
      <c r="T308" s="219">
        <f>SUM(T110)/SUM(T164,T168,T170,T171)</f>
        <v>0.99937236034289</v>
      </c>
      <c r="U308" s="219">
        <f>SUM(U110)/SUM(U164,U168,U170,U171)</f>
        <v>0.95863336667522</v>
      </c>
      <c r="V308" s="219">
        <f>SUM(V110)/SUM(V164,V168,V170,V171)</f>
        <v>0.983501293058956</v>
      </c>
      <c r="X308" s="219">
        <f>SUM(X110)/SUM(X164,X168,X170,X171)</f>
        <v>0.937107664883484</v>
      </c>
      <c r="Y308" s="219">
        <f>SUM(Y110)/SUM(Y164,Y168,Y170,Y171)</f>
        <v>1.82565315690358</v>
      </c>
      <c r="Z308" s="219">
        <f>SUM(Z110)/SUM(Z164,Z168,Z170,Z171)</f>
        <v>1.75937670767855</v>
      </c>
      <c r="AA308" s="219">
        <f>SUM(AA110)/SUM(AA164,AA168,AA170,AA171)</f>
        <v>2.03384501787334</v>
      </c>
      <c r="AC308" s="219">
        <f>SUM(AC110)/SUM(AC164,AC168,AC170,AC171)</f>
        <v>1.89095193278452</v>
      </c>
      <c r="AD308" s="219">
        <f>SUM(AD110)/SUM(AD164,AD168,AD170,AD171)</f>
        <v>1.90418543364096</v>
      </c>
      <c r="AE308" s="219">
        <f>SUM(AE110)/SUM(AE164,AE168,AE170,AE171)</f>
        <v>1.79178182339939</v>
      </c>
      <c r="AF308" s="219">
        <f>SUM(AF110)/SUM(AF164,AF168,AF170,AF171)</f>
        <v>1.40823556210871</v>
      </c>
      <c r="AH308" s="219">
        <f>SUM(AH110)/SUM(AH164,AH168,AH170,AH171)</f>
        <v>1.52713952871009</v>
      </c>
      <c r="AI308" s="219">
        <f>SUM(AI110)/SUM(AI164,AI168,AI170,AI171)</f>
        <v>1.40359869371358</v>
      </c>
      <c r="AJ308" s="219">
        <f>SUM(AJ110)/SUM(AJ164,AJ168,AJ170,AJ171)</f>
        <v>98.0437036475641</v>
      </c>
      <c r="AK308" s="219">
        <f>SUM(AK110)/SUM(AK164,AK168,AK170,AK171)</f>
        <v>98.9081949916268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>
        <f>D313/D316</f>
        <v>0.0213791654466962</v>
      </c>
      <c r="E311" s="238">
        <f>E313/E316</f>
        <v>-0.0124665730231485</v>
      </c>
      <c r="F311" s="238">
        <f>F313/F316</f>
        <v>0.0409845452835272</v>
      </c>
      <c r="G311" s="238">
        <f>G313/G316</f>
        <v>0.0447124902703213</v>
      </c>
      <c r="H311" s="238">
        <f>H313/H316</f>
        <v>0.0933113983642299</v>
      </c>
      <c r="I311" s="222">
        <f>I313/I316</f>
        <v>0.037103328510319</v>
      </c>
      <c r="J311" s="222">
        <f>J313/J316</f>
        <v>0.0227615634881545</v>
      </c>
      <c r="K311" s="222">
        <f>K313/K316</f>
        <v>0.0315182737525764</v>
      </c>
      <c r="L311" s="222">
        <f>L313/L316</f>
        <v>0.0247960932892749</v>
      </c>
      <c r="M311" s="222">
        <f>M313/M316</f>
        <v>0.106230342005889</v>
      </c>
      <c r="N311" s="222">
        <f>N313/N316</f>
        <v>0.0348408291835318</v>
      </c>
      <c r="O311" s="222">
        <f>O313/O316</f>
        <v>0.0249753743623252</v>
      </c>
      <c r="P311" s="222">
        <f>P313/P316</f>
        <v>0.0327407078261681</v>
      </c>
      <c r="Q311" s="222">
        <f>Q313/Q316</f>
        <v>0.0194041227305634</v>
      </c>
      <c r="R311" s="222">
        <f>R313/R316</f>
        <v>0.0994986436995628</v>
      </c>
      <c r="S311" s="222">
        <f>S313/S316</f>
        <v>0.0280792265698572</v>
      </c>
      <c r="T311" s="222">
        <f>T313/T316</f>
        <v>0.016063501637811</v>
      </c>
      <c r="U311" s="222">
        <f>U313/U316</f>
        <v>0.027917897658501</v>
      </c>
      <c r="V311" s="222">
        <f>V313/V316</f>
        <v>0.0176538954282665</v>
      </c>
      <c r="W311" s="222">
        <f>W313/W316</f>
        <v>0.0789078308565038</v>
      </c>
      <c r="X311" s="222">
        <f>X313/X316</f>
        <v>0.0272907502970953</v>
      </c>
      <c r="Y311" s="222">
        <f>Y313/Y316</f>
        <v>0.0269886175815171</v>
      </c>
      <c r="Z311" s="222">
        <f>Z313/Z316</f>
        <v>0.0287184433078011</v>
      </c>
      <c r="AA311" s="222">
        <f>AA313/AA316</f>
        <v>0.0175787057240448</v>
      </c>
      <c r="AB311" s="222">
        <f>AB313/AB316</f>
        <v>0.100946802707478</v>
      </c>
      <c r="AC311" s="222">
        <f>AC313/AC316</f>
        <v>0.0282706741412981</v>
      </c>
      <c r="AD311" s="222">
        <f>AD313/AD316</f>
        <v>0.0255456603022726</v>
      </c>
      <c r="AE311" s="222">
        <f>AE313/AE316</f>
        <v>0.0311646811051597</v>
      </c>
      <c r="AF311" s="222">
        <f>AF313/AF316</f>
        <v>0.0234865521356747</v>
      </c>
      <c r="AG311" s="222">
        <f>AG313/AG316</f>
        <v>0.109598227467978</v>
      </c>
      <c r="AH311" s="222">
        <f>AH313/AH316</f>
        <v>0.0317886572557501</v>
      </c>
      <c r="AI311" s="222">
        <f>AI313/AI316</f>
        <v>0.032316629858296</v>
      </c>
      <c r="AJ311" s="222">
        <f>AJ313/AJ316</f>
        <v>0</v>
      </c>
      <c r="AK311" s="222">
        <f>AK313/AK316</f>
        <v>0</v>
      </c>
      <c r="AL311" s="222">
        <f>AL313/AL316</f>
        <v>0.232718504065859</v>
      </c>
      <c r="AM311" s="222" t="e">
        <f>AM313/AM316</f>
        <v>#DIV/0!</v>
      </c>
      <c r="AN311" s="222">
        <f>AN313/AN316</f>
        <v>0</v>
      </c>
      <c r="AO311" s="222" t="e">
        <f>AO313/AO316</f>
        <v>#DIV/0!</v>
      </c>
      <c r="AP311" s="222" t="e">
        <f>AP313/AP316</f>
        <v>#DIV/0!</v>
      </c>
      <c r="AQ311" s="222" t="e">
        <f>AQ313/AQ316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V311" s="222" t="e">
        <f>AV313/AV316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A311" s="222" t="e">
        <f>BA313/BA316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F311" s="222" t="e">
        <f>BF313/BF316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K311" s="222" t="e">
        <f>BK313/BK316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P311" s="222" t="e">
        <f>BP313/BP316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U311" s="222" t="e">
        <f>BU313/BU316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BZ311" s="222" t="e">
        <f>BZ313/BZ316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E311" s="222" t="e">
        <f>CE313/CE316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J311" s="222" t="e">
        <f>CJ313/CJ316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O311" s="222" t="e">
        <f>CO313/CO316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T311" s="222" t="e">
        <f>CT313/CT316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  <c r="CY311" s="222" t="e">
        <f>CY313/CY316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>
        <f>D313/D317</f>
        <v>0.0213791654466962</v>
      </c>
      <c r="E312" s="238">
        <f>E313/E317</f>
        <v>-0.0124665730231485</v>
      </c>
      <c r="F312" s="238">
        <f>F313/F317</f>
        <v>0.0409845452835272</v>
      </c>
      <c r="G312" s="238">
        <f>G313/G317</f>
        <v>0.0447124902703213</v>
      </c>
      <c r="H312" s="238">
        <f>H313/H317</f>
        <v>0.0933113983642299</v>
      </c>
      <c r="I312" s="222">
        <f>I313/I317</f>
        <v>0.037103328510319</v>
      </c>
      <c r="J312" s="222">
        <f>J313/J317</f>
        <v>0.0227615634881545</v>
      </c>
      <c r="K312" s="222">
        <f>K313/K317</f>
        <v>0.0315182737525764</v>
      </c>
      <c r="L312" s="222">
        <f>L313/L317</f>
        <v>0.0247960932892749</v>
      </c>
      <c r="M312" s="222">
        <f>M313/M317</f>
        <v>0.106230342005889</v>
      </c>
      <c r="N312" s="222">
        <f>N313/N317</f>
        <v>0.0348408291835318</v>
      </c>
      <c r="O312" s="222">
        <f>O313/O317</f>
        <v>0.0249753743623252</v>
      </c>
      <c r="P312" s="222">
        <f>P313/P317</f>
        <v>0.0327407078261681</v>
      </c>
      <c r="Q312" s="222">
        <f>Q313/Q317</f>
        <v>0.0194041227305634</v>
      </c>
      <c r="R312" s="222">
        <f>R313/R317</f>
        <v>0.0994986436995628</v>
      </c>
      <c r="S312" s="222">
        <f>S313/S317</f>
        <v>0.0280792265698572</v>
      </c>
      <c r="T312" s="222">
        <f>T313/T317</f>
        <v>0.016063501637811</v>
      </c>
      <c r="U312" s="222">
        <f>U313/U317</f>
        <v>0.027917897658501</v>
      </c>
      <c r="V312" s="222">
        <f>V313/V317</f>
        <v>0.0176538954282665</v>
      </c>
      <c r="W312" s="222">
        <f>W313/W317</f>
        <v>0.0789078308565038</v>
      </c>
      <c r="X312" s="222">
        <f>X313/X317</f>
        <v>0.0272907502970953</v>
      </c>
      <c r="Y312" s="222">
        <f>Y313/Y317</f>
        <v>0.0269886175815171</v>
      </c>
      <c r="Z312" s="222">
        <f>Z313/Z317</f>
        <v>0.0287184433078011</v>
      </c>
      <c r="AA312" s="222">
        <f>AA313/AA317</f>
        <v>0.0175787057240448</v>
      </c>
      <c r="AB312" s="222">
        <f>AB313/AB317</f>
        <v>0.100946802707478</v>
      </c>
      <c r="AC312" s="222">
        <f>AC313/AC317</f>
        <v>0.0282706741412981</v>
      </c>
      <c r="AD312" s="222">
        <f>AD313/AD317</f>
        <v>0.0255456603022726</v>
      </c>
      <c r="AE312" s="222">
        <f>AE313/AE317</f>
        <v>0.0311646811051597</v>
      </c>
      <c r="AF312" s="222">
        <f>AF313/AF317</f>
        <v>0.0234865521356747</v>
      </c>
      <c r="AG312" s="222">
        <f>AG313/AG317</f>
        <v>0.109598227467978</v>
      </c>
      <c r="AH312" s="222">
        <f>AH313/AH317</f>
        <v>0.0317886572557501</v>
      </c>
      <c r="AI312" s="222">
        <f>AI313/AI317</f>
        <v>0.032316629858296</v>
      </c>
      <c r="AJ312" s="222">
        <f>AJ313/AJ317</f>
        <v>0</v>
      </c>
      <c r="AK312" s="222">
        <f>AK313/AK317</f>
        <v>0</v>
      </c>
      <c r="AL312" s="222">
        <f>AL313/AL317</f>
        <v>0.232718504065859</v>
      </c>
      <c r="AM312" s="222" t="e">
        <f>AM313/AM317</f>
        <v>#DIV/0!</v>
      </c>
      <c r="AN312" s="222">
        <f>AN313/AN317</f>
        <v>0</v>
      </c>
      <c r="AO312" s="222" t="e">
        <f>AO313/AO317</f>
        <v>#DIV/0!</v>
      </c>
      <c r="AP312" s="222" t="e">
        <f>AP313/AP317</f>
        <v>#DIV/0!</v>
      </c>
      <c r="AQ312" s="222" t="e">
        <f>AQ313/AQ317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V312" s="222" t="e">
        <f>AV313/AV317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A312" s="222" t="e">
        <f>BA313/BA317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F312" s="222" t="e">
        <f>BF313/BF317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K312" s="222" t="e">
        <f>BK313/BK317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P312" s="222" t="e">
        <f>BP313/BP317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U312" s="222" t="e">
        <f>BU313/BU317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BZ312" s="222" t="e">
        <f>BZ313/BZ317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E312" s="222" t="e">
        <f>CE313/CE317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J312" s="222" t="e">
        <f>CJ313/CJ317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O312" s="222" t="e">
        <f>CO313/CO317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T312" s="222" t="e">
        <f>CT313/CT317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  <c r="CY312" s="222" t="e">
        <f>CY313/CY317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>
        <f>D314*(1-D315)</f>
        <v>79.8741599320747</v>
      </c>
      <c r="E313" s="233">
        <f>E314*(1-E315)</f>
        <v>-46.2640046683373</v>
      </c>
      <c r="F313" s="233">
        <f>F314*(1-F315)</f>
        <v>153.423973593513</v>
      </c>
      <c r="G313" s="233">
        <f>G314*(1-G315)</f>
        <v>173.146013609054</v>
      </c>
      <c r="H313" s="233">
        <f>H314*(1-H315)</f>
        <v>361.34191035602</v>
      </c>
      <c r="I313" s="223">
        <f>I314*(1-I315)</f>
        <v>140.546669046273</v>
      </c>
      <c r="J313" s="224">
        <f>J314*(1-J315)</f>
        <v>91.0991063084471</v>
      </c>
      <c r="K313" s="224">
        <f>K314*(1-K315)</f>
        <v>130.42107519837</v>
      </c>
      <c r="L313" s="224">
        <f>L314*(1-L315)</f>
        <v>110.207513941262</v>
      </c>
      <c r="M313" s="224">
        <f>M314*(1-M315)</f>
        <v>472.146227271329</v>
      </c>
      <c r="N313" s="223">
        <f>N314*(1-N315)</f>
        <v>158.204342455401</v>
      </c>
      <c r="O313" s="224">
        <f>O314*(1-O315)</f>
        <v>132.748294142819</v>
      </c>
      <c r="P313" s="224">
        <f>P314*(1-P315)</f>
        <v>174.187551420512</v>
      </c>
      <c r="Q313" s="224">
        <f>Q314*(1-Q315)</f>
        <v>109.016458174196</v>
      </c>
      <c r="R313" s="224">
        <f>R314*(1-R315)</f>
        <v>559.004386844942</v>
      </c>
      <c r="S313" s="223">
        <f>S314*(1-S315)</f>
        <v>161.042473644444</v>
      </c>
      <c r="T313" s="224">
        <f>T314*(1-T315)</f>
        <v>148.715689337333</v>
      </c>
      <c r="U313" s="224">
        <f>U314*(1-U315)</f>
        <v>253.832345218755</v>
      </c>
      <c r="V313" s="224">
        <f>V314*(1-V315)</f>
        <v>162.260324775224</v>
      </c>
      <c r="W313" s="224">
        <f>W314*(1-W315)</f>
        <v>725.25694479782</v>
      </c>
      <c r="X313" s="223">
        <f>X314*(1-X315)</f>
        <v>254.253276812583</v>
      </c>
      <c r="Y313" s="224">
        <f>Y314*(1-Y315)</f>
        <v>249.528877482373</v>
      </c>
      <c r="Z313" s="224">
        <f>Z314*(1-Z315)</f>
        <v>260.905276907888</v>
      </c>
      <c r="AA313" s="224">
        <f>AA314*(1-AA315)</f>
        <v>160.927794870619</v>
      </c>
      <c r="AB313" s="224">
        <f>AB314*(1-AB315)</f>
        <v>924.137795692953</v>
      </c>
      <c r="AC313" s="223">
        <f>AC314*(1-AC315)</f>
        <v>257.417243694508</v>
      </c>
      <c r="AD313" s="224">
        <f>AD314*(1-AD315)</f>
        <v>237.964569769989</v>
      </c>
      <c r="AE313" s="224">
        <f>AE314*(1-AE315)</f>
        <v>286.805163260544</v>
      </c>
      <c r="AF313" s="224">
        <f>AF314*(1-AF315)</f>
        <v>210.57657465391</v>
      </c>
      <c r="AG313" s="224">
        <f>AG314*(1-AG315)</f>
        <v>982.639733368582</v>
      </c>
      <c r="AH313" s="223">
        <f>AH314*(1-AH315)</f>
        <v>293.183575215401</v>
      </c>
      <c r="AI313" s="224">
        <f>AI314*(1-AI315)</f>
        <v>312.177868832023</v>
      </c>
      <c r="AJ313" s="224">
        <f>AJ314*(1-AJ315)</f>
        <v>0</v>
      </c>
      <c r="AK313" s="224">
        <f>AK314*(1-AK315)</f>
        <v>0</v>
      </c>
      <c r="AL313" s="224">
        <f>AL314*(1-AL315)</f>
        <v>642.853450483887</v>
      </c>
      <c r="AM313" s="223">
        <f>AM314*(1-AM315)</f>
        <v>0</v>
      </c>
      <c r="AN313" s="224">
        <f>AN314*(1-AN315)</f>
        <v>0</v>
      </c>
      <c r="AO313" s="224">
        <f>AO314*(1-AO315)</f>
        <v>0</v>
      </c>
      <c r="AP313" s="224">
        <f>AP314*(1-AP315)</f>
        <v>0</v>
      </c>
      <c r="AQ313" s="224">
        <f>AQ314*(1-AQ315)</f>
        <v>0</v>
      </c>
      <c r="AR313" s="223">
        <f>AR314*(1-AR315)</f>
        <v>0</v>
      </c>
      <c r="AS313" s="224">
        <f>AS314*(1-AS315)</f>
        <v>0</v>
      </c>
      <c r="AT313" s="224">
        <f>AT314*(1-AT315)</f>
        <v>0</v>
      </c>
      <c r="AU313" s="224">
        <f>AU314*(1-AU315)</f>
        <v>0</v>
      </c>
      <c r="AV313" s="224">
        <f>AV314*(1-AV315)</f>
        <v>0</v>
      </c>
      <c r="AW313" s="223">
        <f>AW314*(1-AW315)</f>
        <v>0</v>
      </c>
      <c r="AX313" s="224">
        <f>AX314*(1-AX315)</f>
        <v>0</v>
      </c>
      <c r="AY313" s="224">
        <f>AY314*(1-AY315)</f>
        <v>0</v>
      </c>
      <c r="AZ313" s="224">
        <f>AZ314*(1-AZ315)</f>
        <v>0</v>
      </c>
      <c r="BA313" s="224">
        <f>BA314*(1-BA315)</f>
        <v>0</v>
      </c>
      <c r="BB313" s="223">
        <f>BB314*(1-BB315)</f>
        <v>0</v>
      </c>
      <c r="BC313" s="224">
        <f>BC314*(1-BC315)</f>
        <v>0</v>
      </c>
      <c r="BD313" s="224">
        <f>BD314*(1-BD315)</f>
        <v>0</v>
      </c>
      <c r="BE313" s="224">
        <f>BE314*(1-BE315)</f>
        <v>0</v>
      </c>
      <c r="BF313" s="224">
        <f>BF314*(1-BF315)</f>
        <v>0</v>
      </c>
      <c r="BG313" s="223">
        <f>BG314*(1-BG315)</f>
        <v>0</v>
      </c>
      <c r="BH313" s="224">
        <f>BH314*(1-BH315)</f>
        <v>0</v>
      </c>
      <c r="BI313" s="224">
        <f>BI314*(1-BI315)</f>
        <v>0</v>
      </c>
      <c r="BJ313" s="224">
        <f>BJ314*(1-BJ315)</f>
        <v>0</v>
      </c>
      <c r="BK313" s="224">
        <f>BK314*(1-BK315)</f>
        <v>0</v>
      </c>
      <c r="BL313" s="223">
        <f>BL314*(1-BL315)</f>
        <v>0</v>
      </c>
      <c r="BM313" s="224">
        <f>BM314*(1-BM315)</f>
        <v>0</v>
      </c>
      <c r="BN313" s="224">
        <f>BN314*(1-BN315)</f>
        <v>0</v>
      </c>
      <c r="BO313" s="224">
        <f>BO314*(1-BO315)</f>
        <v>0</v>
      </c>
      <c r="BP313" s="224">
        <f>BP314*(1-BP315)</f>
        <v>0</v>
      </c>
      <c r="BQ313" s="223">
        <f>BQ314*(1-BQ315)</f>
        <v>0</v>
      </c>
      <c r="BR313" s="224">
        <f>BR314*(1-BR315)</f>
        <v>0</v>
      </c>
      <c r="BS313" s="224">
        <f>BS314*(1-BS315)</f>
        <v>0</v>
      </c>
      <c r="BT313" s="224">
        <f>BT314*(1-BT315)</f>
        <v>0</v>
      </c>
      <c r="BU313" s="224">
        <f>BU314*(1-BU315)</f>
        <v>0</v>
      </c>
      <c r="BV313" s="223">
        <f>BV314*(1-BV315)</f>
        <v>0</v>
      </c>
      <c r="BW313" s="224">
        <f>BW314*(1-BW315)</f>
        <v>0</v>
      </c>
      <c r="BX313" s="224">
        <f>BX314*(1-BX315)</f>
        <v>0</v>
      </c>
      <c r="BY313" s="224">
        <f>BY314*(1-BY315)</f>
        <v>0</v>
      </c>
      <c r="BZ313" s="224">
        <f>BZ314*(1-BZ315)</f>
        <v>0</v>
      </c>
      <c r="CA313" s="223">
        <f>CA314*(1-CA315)</f>
        <v>0</v>
      </c>
      <c r="CB313" s="224">
        <f>CB314*(1-CB315)</f>
        <v>0</v>
      </c>
      <c r="CC313" s="224">
        <f>CC314*(1-CC315)</f>
        <v>0</v>
      </c>
      <c r="CD313" s="224">
        <f>CD314*(1-CD315)</f>
        <v>0</v>
      </c>
      <c r="CE313" s="224">
        <f>CE314*(1-CE315)</f>
        <v>0</v>
      </c>
      <c r="CF313" s="223">
        <f>CF314*(1-CF315)</f>
        <v>0</v>
      </c>
      <c r="CG313" s="224">
        <f>CG314*(1-CG315)</f>
        <v>0</v>
      </c>
      <c r="CH313" s="224">
        <f>CH314*(1-CH315)</f>
        <v>0</v>
      </c>
      <c r="CI313" s="224">
        <f>CI314*(1-CI315)</f>
        <v>0</v>
      </c>
      <c r="CJ313" s="224">
        <f>CJ314*(1-CJ315)</f>
        <v>0</v>
      </c>
      <c r="CK313" s="223">
        <f>CK314*(1-CK315)</f>
        <v>0</v>
      </c>
      <c r="CL313" s="224">
        <f>CL314*(1-CL315)</f>
        <v>0</v>
      </c>
      <c r="CM313" s="224">
        <f>CM314*(1-CM315)</f>
        <v>0</v>
      </c>
      <c r="CN313" s="224">
        <f>CN314*(1-CN315)</f>
        <v>0</v>
      </c>
      <c r="CO313" s="224">
        <f>CO314*(1-CO315)</f>
        <v>0</v>
      </c>
      <c r="CP313" s="223">
        <f>CP314*(1-CP315)</f>
        <v>0</v>
      </c>
      <c r="CQ313" s="224">
        <f>CQ314*(1-CQ315)</f>
        <v>0</v>
      </c>
      <c r="CR313" s="224">
        <f>CR314*(1-CR315)</f>
        <v>0</v>
      </c>
      <c r="CS313" s="224">
        <f>CS314*(1-CS315)</f>
        <v>0</v>
      </c>
      <c r="CT313" s="224">
        <f>CT314*(1-CT315)</f>
        <v>0</v>
      </c>
      <c r="CU313" s="223">
        <f>CU314*(1-CU315)</f>
        <v>0</v>
      </c>
      <c r="CV313" s="224">
        <f>CV314*(1-CV315)</f>
        <v>0</v>
      </c>
      <c r="CW313" s="224">
        <f>CW314*(1-CW315)</f>
        <v>0</v>
      </c>
      <c r="CX313" s="224">
        <f>CX314*(1-CX315)</f>
        <v>0</v>
      </c>
      <c r="CY313" s="224">
        <f>CY314*(1-CY315)</f>
        <v>0</v>
      </c>
    </row>
    <row r="314" customFormat="1" s="233">
      <c r="A314" s="224" t="n"/>
      <c r="B314" s="224" t="n"/>
      <c r="C314" s="233" t="inlineStr">
        <is>
          <t>EBIT</t>
        </is>
      </c>
      <c r="D314" s="239">
        <f>D39</f>
        <v>108.691588006418</v>
      </c>
      <c r="E314" s="239">
        <f>E39</f>
        <v>-65.0905290868124</v>
      </c>
      <c r="F314" s="239">
        <f>F39</f>
        <v>236.055580645985</v>
      </c>
      <c r="G314" s="239">
        <f>G39</f>
        <v>199.338017750001</v>
      </c>
      <c r="H314" s="239">
        <f>H39</f>
        <v>478.994657315592</v>
      </c>
      <c r="I314" s="36">
        <f>I39</f>
        <v>198.69581267</v>
      </c>
      <c r="J314" s="36">
        <f>J39</f>
        <v>128.851761989999</v>
      </c>
      <c r="K314" s="36">
        <f>K39</f>
        <v>184.71942231</v>
      </c>
      <c r="L314" s="36">
        <f>L39</f>
        <v>154.44302061</v>
      </c>
      <c r="M314" s="36">
        <f>M39</f>
        <v>666.710017579999</v>
      </c>
      <c r="N314" s="36">
        <f>N39</f>
        <v>219.119696389442</v>
      </c>
      <c r="O314" s="36">
        <f>O39</f>
        <v>184.162330478051</v>
      </c>
      <c r="P314" s="36">
        <f>P39</f>
        <v>222.69215518</v>
      </c>
      <c r="Q314" s="36">
        <f>Q39</f>
        <v>108.39397285</v>
      </c>
      <c r="R314" s="36">
        <f>R39</f>
        <v>734.368154897493</v>
      </c>
      <c r="S314" s="36">
        <f>S39</f>
        <v>214.51688209</v>
      </c>
      <c r="T314" s="36">
        <f>T39</f>
        <v>197.502</v>
      </c>
      <c r="U314" s="36">
        <f>U39</f>
        <v>317.803435338059</v>
      </c>
      <c r="V314" s="36">
        <f>V39</f>
        <v>185.95370032</v>
      </c>
      <c r="W314" s="36">
        <f>W39</f>
        <v>915.776017748059</v>
      </c>
      <c r="X314" s="36">
        <f>X39</f>
        <v>327.5794785</v>
      </c>
      <c r="Y314" s="36">
        <f>Y39</f>
        <v>330.244</v>
      </c>
      <c r="Z314" s="36">
        <f>Z39</f>
        <v>340.772474</v>
      </c>
      <c r="AA314" s="36">
        <f>AA39</f>
        <v>203.371047499999</v>
      </c>
      <c r="AB314" s="36">
        <f>AB39</f>
        <v>1201.967</v>
      </c>
      <c r="AC314" s="36">
        <f>AC39</f>
        <v>335.484575</v>
      </c>
      <c r="AD314" s="36">
        <f>AD39</f>
        <v>309.687</v>
      </c>
      <c r="AE314" s="36">
        <f>AE39</f>
        <v>369.988908653919</v>
      </c>
      <c r="AF314" s="36">
        <f>AF39</f>
        <v>219.54630042</v>
      </c>
      <c r="AG314" s="36">
        <f>AG39</f>
        <v>1234.70678407392</v>
      </c>
      <c r="AH314" s="36">
        <f>AH39</f>
        <v>372.87448038</v>
      </c>
      <c r="AI314" s="36">
        <f>AI39</f>
        <v>397.126662</v>
      </c>
      <c r="AJ314" s="36">
        <f>AJ39</f>
        <v>0</v>
      </c>
      <c r="AK314" s="36">
        <f>AK39</f>
        <v>0</v>
      </c>
      <c r="AL314" s="36">
        <f>AL39</f>
        <v>770.00114238</v>
      </c>
      <c r="AM314" s="36">
        <f>AM39</f>
        <v>0</v>
      </c>
      <c r="AN314" s="36">
        <f>AN39</f>
        <v>0</v>
      </c>
      <c r="AO314" s="36">
        <f>AO39</f>
        <v>0</v>
      </c>
      <c r="AP314" s="36">
        <f>AP39</f>
        <v>0</v>
      </c>
      <c r="AQ314" s="36">
        <f>AQ39</f>
        <v>0</v>
      </c>
      <c r="AR314" s="36">
        <f>AR39</f>
        <v>0</v>
      </c>
      <c r="AS314" s="36">
        <f>AS39</f>
        <v>0</v>
      </c>
      <c r="AT314" s="36">
        <f>AT39</f>
        <v>0</v>
      </c>
      <c r="AU314" s="36">
        <f>AU39</f>
        <v>0</v>
      </c>
      <c r="AV314" s="36">
        <f>AV39</f>
        <v>0</v>
      </c>
      <c r="AW314" s="36">
        <f>AW39</f>
        <v>0</v>
      </c>
      <c r="AX314" s="36">
        <f>AX39</f>
        <v>0</v>
      </c>
      <c r="AY314" s="36">
        <f>AY39</f>
        <v>0</v>
      </c>
      <c r="AZ314" s="36">
        <f>AZ39</f>
        <v>0</v>
      </c>
      <c r="BA314" s="36">
        <f>BA39</f>
        <v>0</v>
      </c>
      <c r="BB314" s="36">
        <f>BB39</f>
        <v>0</v>
      </c>
      <c r="BC314" s="36">
        <f>BC39</f>
        <v>0</v>
      </c>
      <c r="BD314" s="36">
        <f>BD39</f>
        <v>0</v>
      </c>
      <c r="BE314" s="36">
        <f>BE39</f>
        <v>0</v>
      </c>
      <c r="BF314" s="36">
        <f>BF39</f>
        <v>0</v>
      </c>
      <c r="BG314" s="36">
        <f>BG39</f>
        <v>0</v>
      </c>
      <c r="BH314" s="36">
        <f>BH39</f>
        <v>0</v>
      </c>
      <c r="BI314" s="36">
        <f>BI39</f>
        <v>0</v>
      </c>
      <c r="BJ314" s="36">
        <f>BJ39</f>
        <v>0</v>
      </c>
      <c r="BK314" s="36">
        <f>BK39</f>
        <v>0</v>
      </c>
      <c r="BL314" s="36">
        <f>BL39</f>
        <v>0</v>
      </c>
      <c r="BM314" s="36">
        <f>BM39</f>
        <v>0</v>
      </c>
      <c r="BN314" s="36">
        <f>BN39</f>
        <v>0</v>
      </c>
      <c r="BO314" s="36">
        <f>BO39</f>
        <v>0</v>
      </c>
      <c r="BP314" s="36">
        <f>BP39</f>
        <v>0</v>
      </c>
      <c r="BQ314" s="36">
        <f>BQ39</f>
        <v>0</v>
      </c>
      <c r="BR314" s="36">
        <f>BR39</f>
        <v>0</v>
      </c>
      <c r="BS314" s="36">
        <f>BS39</f>
        <v>0</v>
      </c>
      <c r="BT314" s="36">
        <f>BT39</f>
        <v>0</v>
      </c>
      <c r="BU314" s="36">
        <f>BU39</f>
        <v>0</v>
      </c>
      <c r="BV314" s="36">
        <f>BV39</f>
        <v>0</v>
      </c>
      <c r="BW314" s="36">
        <f>BW39</f>
        <v>0</v>
      </c>
      <c r="BX314" s="36">
        <f>BX39</f>
        <v>0</v>
      </c>
      <c r="BY314" s="36">
        <f>BY39</f>
        <v>0</v>
      </c>
      <c r="BZ314" s="36">
        <f>BZ39</f>
        <v>0</v>
      </c>
      <c r="CA314" s="36">
        <f>CA39</f>
        <v>0</v>
      </c>
      <c r="CB314" s="36">
        <f>CB39</f>
        <v>0</v>
      </c>
      <c r="CC314" s="36">
        <f>CC39</f>
        <v>0</v>
      </c>
      <c r="CD314" s="36">
        <f>CD39</f>
        <v>0</v>
      </c>
      <c r="CE314" s="36">
        <f>CE39</f>
        <v>0</v>
      </c>
      <c r="CF314" s="36">
        <f>CF39</f>
        <v>0</v>
      </c>
      <c r="CG314" s="36">
        <f>CG39</f>
        <v>0</v>
      </c>
      <c r="CH314" s="36">
        <f>CH39</f>
        <v>0</v>
      </c>
      <c r="CI314" s="36">
        <f>CI39</f>
        <v>0</v>
      </c>
      <c r="CJ314" s="36">
        <f>CJ39</f>
        <v>0</v>
      </c>
      <c r="CK314" s="36">
        <f>CK39</f>
        <v>0</v>
      </c>
      <c r="CL314" s="36">
        <f>CL39</f>
        <v>0</v>
      </c>
      <c r="CM314" s="36">
        <f>CM39</f>
        <v>0</v>
      </c>
      <c r="CN314" s="36">
        <f>CN39</f>
        <v>0</v>
      </c>
      <c r="CO314" s="36">
        <f>CO39</f>
        <v>0</v>
      </c>
      <c r="CP314" s="36">
        <f>CP39</f>
        <v>0</v>
      </c>
      <c r="CQ314" s="36">
        <f>CQ39</f>
        <v>0</v>
      </c>
      <c r="CR314" s="36">
        <f>CR39</f>
        <v>0</v>
      </c>
      <c r="CS314" s="36">
        <f>CS39</f>
        <v>0</v>
      </c>
      <c r="CT314" s="36">
        <f>CT39</f>
        <v>0</v>
      </c>
      <c r="CU314" s="36">
        <f>CU39</f>
        <v>0</v>
      </c>
      <c r="CV314" s="36">
        <f>CV39</f>
        <v>0</v>
      </c>
      <c r="CW314" s="36">
        <f>CW39</f>
        <v>0</v>
      </c>
      <c r="CX314" s="36">
        <f>CX39</f>
        <v>0</v>
      </c>
      <c r="CY314" s="36">
        <f>CY39</f>
        <v>0</v>
      </c>
    </row>
    <row r="315" customFormat="1" s="233">
      <c r="A315" s="224" t="n"/>
      <c r="B315" s="224" t="n"/>
      <c r="C315" s="233" t="inlineStr">
        <is>
          <t>ETR</t>
        </is>
      </c>
      <c r="D315" s="240">
        <f>D98</f>
        <v>0.265130251594464</v>
      </c>
      <c r="E315" s="240">
        <f>E98</f>
        <v>0.289236002266409</v>
      </c>
      <c r="F315" s="240">
        <f>F98</f>
        <v>0.350051487138513</v>
      </c>
      <c r="G315" s="240">
        <f>G98</f>
        <v>0.131394926249318</v>
      </c>
      <c r="H315" s="240">
        <f>H98</f>
        <v>0.245624340820267</v>
      </c>
      <c r="I315" s="225">
        <f>I98</f>
        <v>0.292654096945177</v>
      </c>
      <c r="J315" s="225">
        <f>J98</f>
        <v>0.292992933107752</v>
      </c>
      <c r="K315" s="225">
        <f>K98</f>
        <v>0.29395039478039</v>
      </c>
      <c r="L315" s="225">
        <f>L98</f>
        <v>0.286419590176505</v>
      </c>
      <c r="M315" s="225">
        <f>M98</f>
        <v>0.291826709031448</v>
      </c>
      <c r="N315" s="225">
        <f>N98</f>
        <v>0.278000357511338</v>
      </c>
      <c r="O315" s="225">
        <f>O98</f>
        <v>0.279177811237353</v>
      </c>
      <c r="P315" s="225">
        <f>P98</f>
        <v>0.21781011423722</v>
      </c>
      <c r="Q315" s="225">
        <f>Q98</f>
        <v>-0.00574280384627166</v>
      </c>
      <c r="R315" s="225">
        <f>R98</f>
        <v>0.23879544188164</v>
      </c>
      <c r="S315" s="225">
        <f>S98</f>
        <v>0.24927832217476</v>
      </c>
      <c r="T315" s="225">
        <f>T98</f>
        <v>0.247016793058637</v>
      </c>
      <c r="U315" s="225">
        <f>U98</f>
        <v>0.20129137386843</v>
      </c>
      <c r="V315" s="225">
        <f>V98</f>
        <v>0.127415456127</v>
      </c>
      <c r="W315" s="225">
        <f>W98</f>
        <v>0.208041124967146</v>
      </c>
      <c r="X315" s="225">
        <f>X98</f>
        <v>0.223842476406582</v>
      </c>
      <c r="Y315" s="225">
        <f>Y98</f>
        <v>0.244410564666207</v>
      </c>
      <c r="Z315" s="225">
        <f>Z98</f>
        <v>0.234371034005852</v>
      </c>
      <c r="AA315" s="225">
        <f>AA98</f>
        <v>0.208698598699898</v>
      </c>
      <c r="AB315" s="225">
        <f>AB98</f>
        <v>0.231145451004101</v>
      </c>
      <c r="AC315" s="225">
        <f>AC98</f>
        <v>0.23270021074886</v>
      </c>
      <c r="AD315" s="225">
        <f>AD98</f>
        <v>0.231596515933865</v>
      </c>
      <c r="AE315" s="225">
        <f>AE98</f>
        <v>0.224827673067312</v>
      </c>
      <c r="AF315" s="225">
        <f>AF98</f>
        <v>0.0408557363477819</v>
      </c>
      <c r="AG315" s="225">
        <f>AG98</f>
        <v>0.204151345045372</v>
      </c>
      <c r="AH315" s="225">
        <f>AH98</f>
        <v>0.213720459183438</v>
      </c>
      <c r="AI315" s="225">
        <f>AI98</f>
        <v>0.213908561918659</v>
      </c>
      <c r="AJ315" s="225">
        <f>AJ98</f>
        <v>0</v>
      </c>
      <c r="AK315" s="225">
        <f>AK98</f>
        <v>0</v>
      </c>
      <c r="AL315" s="225">
        <f>AL98</f>
        <v>0.165126627608775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Q315" s="225">
        <f>AQ98</f>
        <v>0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V315" s="225">
        <f>AV98</f>
        <v>0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A315" s="225">
        <f>BA98</f>
        <v>0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F315" s="225">
        <f>BF98</f>
        <v>0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K315" s="225">
        <f>BK98</f>
        <v>0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P315" s="225">
        <f>BP98</f>
        <v>0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U315" s="225">
        <f>BU98</f>
        <v>0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BZ315" s="225">
        <f>BZ98</f>
        <v>0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E315" s="225">
        <f>CE98</f>
        <v>0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J315" s="225">
        <f>CJ98</f>
        <v>0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O315" s="225">
        <f>CO98</f>
        <v>0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T315" s="225">
        <f>CT98</f>
        <v>0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  <c r="CY315" s="225">
        <f>CY98</f>
        <v>0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3736.07473739898</v>
      </c>
      <c r="E316" s="239">
        <f>E319-E320+E321</f>
        <v>3711.04429280061</v>
      </c>
      <c r="F316" s="239">
        <f>F319-F320+F321</f>
        <v>3743.45921205519</v>
      </c>
      <c r="G316" s="239">
        <f>G319-G320+G321</f>
        <v>3872.43055714978</v>
      </c>
      <c r="H316" s="239">
        <f>H319-H320+H321</f>
        <v>3872.43055714978</v>
      </c>
      <c r="I316" s="36">
        <f>I319-I320+I321</f>
        <v>3787.98007319436</v>
      </c>
      <c r="J316" s="36">
        <f>J319-J320+J321</f>
        <v>4002.32200023766</v>
      </c>
      <c r="K316" s="36">
        <f>K319-K320+K321</f>
        <v>4137.95108901576</v>
      </c>
      <c r="L316" s="36">
        <f>L319-L320+L321</f>
        <v>4444.55151283571</v>
      </c>
      <c r="M316" s="36">
        <f>M319-M320+M321</f>
        <v>4444.55151283571</v>
      </c>
      <c r="N316" s="36">
        <f>N319-N320+N321</f>
        <v>4540.77432032472</v>
      </c>
      <c r="O316" s="36">
        <f>O319-O320+O321</f>
        <v>5315.16734111769</v>
      </c>
      <c r="P316" s="36">
        <f>P319-P320+P321</f>
        <v>5320.21336696</v>
      </c>
      <c r="Q316" s="36">
        <f>Q319-Q320+Q321</f>
        <v>5618.21112389091</v>
      </c>
      <c r="R316" s="36">
        <f>R319-R320+R321</f>
        <v>5618.21112389091</v>
      </c>
      <c r="S316" s="36">
        <f>S319-S320+S321</f>
        <v>5735.28879949</v>
      </c>
      <c r="T316" s="36">
        <f>T319-T320+T321</f>
        <v>9257.987</v>
      </c>
      <c r="U316" s="36">
        <f>U319-U320+U321</f>
        <v>9092.101</v>
      </c>
      <c r="V316" s="36">
        <f>V319-V320+V321</f>
        <v>9191.191</v>
      </c>
      <c r="W316" s="36">
        <f>W319-W320+W321</f>
        <v>9191.191</v>
      </c>
      <c r="X316" s="36">
        <f>X319-X320+X321</f>
        <v>9316.46341873</v>
      </c>
      <c r="Y316" s="36">
        <f>Y319-Y320+Y321</f>
        <v>9245.708</v>
      </c>
      <c r="Z316" s="36">
        <f>Z319-Z320+Z321</f>
        <v>9084.938</v>
      </c>
      <c r="AA316" s="36">
        <f>AA319-AA320+AA321</f>
        <v>9154.701</v>
      </c>
      <c r="AB316" s="36">
        <f>AB319-AB320+AB321</f>
        <v>9154.701</v>
      </c>
      <c r="AC316" s="36">
        <f>AC319-AC320+AC321</f>
        <v>9105.45119681</v>
      </c>
      <c r="AD316" s="36">
        <f>AD319-AD320+AD321</f>
        <v>9315.264</v>
      </c>
      <c r="AE316" s="36">
        <f>AE319-AE320+AE321</f>
        <v>9202.891</v>
      </c>
      <c r="AF316" s="36">
        <f>AF319-AF320+AF321</f>
        <v>8965.836</v>
      </c>
      <c r="AG316" s="36">
        <f>AG319-AG320+AG321</f>
        <v>8965.836</v>
      </c>
      <c r="AH316" s="36">
        <f>AH319-AH320+AH321</f>
        <v>9222.899</v>
      </c>
      <c r="AI316" s="36">
        <f>AI319-AI320+AI321</f>
        <v>9659.976</v>
      </c>
      <c r="AJ316" s="36">
        <f>AJ319-AJ320+AJ321</f>
        <v>2762.365</v>
      </c>
      <c r="AK316" s="36">
        <f>AK319-AK320+AK321</f>
        <v>2762.365</v>
      </c>
      <c r="AL316" s="36">
        <f>AL319-AL320+AL321</f>
        <v>2762.365</v>
      </c>
      <c r="AM316" s="36" t="e">
        <f>AM319-AM320+AM321</f>
        <v>#DIV/0!</v>
      </c>
      <c r="AN316" s="36">
        <f>AN319-AN320+AN321</f>
        <v>2762.365</v>
      </c>
      <c r="AO316" s="36" t="e">
        <f>AO319-AO320+AO321</f>
        <v>#DIV/0!</v>
      </c>
      <c r="AP316" s="36" t="e">
        <f>AP319-AP320+AP321</f>
        <v>#DIV/0!</v>
      </c>
      <c r="AQ316" s="36" t="e">
        <f>AQ319-AQ320+AQ321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V316" s="36" t="e">
        <f>AV319-AV320+AV321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A316" s="36" t="e">
        <f>BA319-BA320+BA321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F316" s="36" t="e">
        <f>BF319-BF320+BF321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K316" s="36" t="e">
        <f>BK319-BK320+BK321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P316" s="36" t="e">
        <f>BP319-BP320+BP321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U316" s="36" t="e">
        <f>BU319-BU320+BU321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BZ316" s="36" t="e">
        <f>BZ319-BZ320+BZ321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E316" s="36" t="e">
        <f>CE319-CE320+CE321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J316" s="36" t="e">
        <f>CJ319-CJ320+CJ321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O316" s="36" t="e">
        <f>CO319-CO320+CO321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T316" s="36" t="e">
        <f>CT319-CT320+CT321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  <c r="CY316" s="36" t="e">
        <f>CY319-CY320+CY321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3736.07473739898</v>
      </c>
      <c r="E317" s="241">
        <f>E316-E145</f>
        <v>3711.04429280061</v>
      </c>
      <c r="F317" s="241">
        <f>F316-F145</f>
        <v>3743.45921205519</v>
      </c>
      <c r="G317" s="241">
        <f>G316-G145</f>
        <v>3872.43055714978</v>
      </c>
      <c r="H317" s="241">
        <f>H316-H145</f>
        <v>3872.43055714978</v>
      </c>
      <c r="I317" s="226">
        <f>I316-I145</f>
        <v>3787.98007319436</v>
      </c>
      <c r="J317" s="226">
        <f>J316-J145</f>
        <v>4002.32200023766</v>
      </c>
      <c r="K317" s="226">
        <f>K316-K145</f>
        <v>4137.95108901576</v>
      </c>
      <c r="L317" s="226">
        <f>L316-L145</f>
        <v>4444.55151283571</v>
      </c>
      <c r="M317" s="226">
        <f>M316-M145</f>
        <v>4444.55151283571</v>
      </c>
      <c r="N317" s="226">
        <f>N316-N145</f>
        <v>4540.77432032472</v>
      </c>
      <c r="O317" s="226">
        <f>O316-O145</f>
        <v>5315.16734111769</v>
      </c>
      <c r="P317" s="226">
        <f>P316-P145</f>
        <v>5320.21336696</v>
      </c>
      <c r="Q317" s="226">
        <f>Q316-Q145</f>
        <v>5618.21112389091</v>
      </c>
      <c r="R317" s="226">
        <f>R316-R145</f>
        <v>5618.21112389091</v>
      </c>
      <c r="S317" s="226">
        <f>S316-S145</f>
        <v>5735.28879949</v>
      </c>
      <c r="T317" s="226">
        <f>T316-T145</f>
        <v>9257.987</v>
      </c>
      <c r="U317" s="226">
        <f>U316-U145</f>
        <v>9092.101</v>
      </c>
      <c r="V317" s="226">
        <f>V316-V145</f>
        <v>9191.191</v>
      </c>
      <c r="W317" s="226">
        <f>W316-W145</f>
        <v>9191.191</v>
      </c>
      <c r="X317" s="226">
        <f>X316-X145</f>
        <v>9316.46341873</v>
      </c>
      <c r="Y317" s="226">
        <f>Y316-Y145</f>
        <v>9245.708</v>
      </c>
      <c r="Z317" s="226">
        <f>Z316-Z145</f>
        <v>9084.938</v>
      </c>
      <c r="AA317" s="226">
        <f>AA316-AA145</f>
        <v>9154.701</v>
      </c>
      <c r="AB317" s="226">
        <f>AB316-AB145</f>
        <v>9154.701</v>
      </c>
      <c r="AC317" s="226">
        <f>AC316-AC145</f>
        <v>9105.45119681</v>
      </c>
      <c r="AD317" s="226">
        <f>AD316-AD145</f>
        <v>9315.264</v>
      </c>
      <c r="AE317" s="226">
        <f>AE316-AE145</f>
        <v>9202.891</v>
      </c>
      <c r="AF317" s="226">
        <f>AF316-AF145</f>
        <v>8965.836</v>
      </c>
      <c r="AG317" s="226">
        <f>AG316-AG145</f>
        <v>8965.836</v>
      </c>
      <c r="AH317" s="226">
        <f>AH316-AH145</f>
        <v>9222.899</v>
      </c>
      <c r="AI317" s="226">
        <f>AI316-AI145</f>
        <v>9659.976</v>
      </c>
      <c r="AJ317" s="226">
        <f>AJ316-AJ145</f>
        <v>2762.365</v>
      </c>
      <c r="AK317" s="226">
        <f>AK316-AK145</f>
        <v>2762.365</v>
      </c>
      <c r="AL317" s="226">
        <f>AL316-AL145</f>
        <v>2762.365</v>
      </c>
      <c r="AM317" s="226" t="e">
        <f>AM316-AM145</f>
        <v>#DIV/0!</v>
      </c>
      <c r="AN317" s="226">
        <f>AN316-AN145</f>
        <v>2762.365</v>
      </c>
      <c r="AO317" s="226" t="e">
        <f>AO316-AO145</f>
        <v>#DIV/0!</v>
      </c>
      <c r="AP317" s="226" t="e">
        <f>AP316-AP145</f>
        <v>#DIV/0!</v>
      </c>
      <c r="AQ317" s="226" t="e">
        <f>AQ316-AQ145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V317" s="226" t="e">
        <f>AV316-AV145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A317" s="226" t="e">
        <f>BA316-BA145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F317" s="226" t="e">
        <f>BF316-BF145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K317" s="226" t="e">
        <f>BK316-BK145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P317" s="226" t="e">
        <f>BP316-BP145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U317" s="226" t="e">
        <f>BU316-BU145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BZ317" s="226" t="e">
        <f>BZ316-BZ145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E317" s="226" t="e">
        <f>CE316-CE145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J317" s="226" t="e">
        <f>CJ316-CJ145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O317" s="226" t="e">
        <f>CO316-CO145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T317" s="226" t="e">
        <f>CT316-CT145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  <c r="CY317" s="226" t="e">
        <f>CY316-CY145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174.61788006</v>
      </c>
      <c r="E318" s="242">
        <f>E319-E320</f>
        <v>187.362124610001</v>
      </c>
      <c r="F318" s="242">
        <f>F319-F320</f>
        <v>269.212476439997</v>
      </c>
      <c r="G318" s="242">
        <f>G319-G320</f>
        <v>407.65787476</v>
      </c>
      <c r="H318" s="242">
        <f>H319-H320</f>
        <v>407.65787476</v>
      </c>
      <c r="I318" s="36">
        <f>I319-I320</f>
        <v>368.83703476</v>
      </c>
      <c r="J318" s="36">
        <f>J319-J320</f>
        <v>427.88254741</v>
      </c>
      <c r="K318" s="36">
        <f>K319-K320</f>
        <v>438.55894847</v>
      </c>
      <c r="L318" s="36">
        <f>L319-L320</f>
        <v>298.071090173222</v>
      </c>
      <c r="M318" s="36">
        <f>M319-M320</f>
        <v>298.071090173222</v>
      </c>
      <c r="N318" s="36">
        <f>N319-N320</f>
        <v>332.74059322</v>
      </c>
      <c r="O318" s="36">
        <f>O319-O320</f>
        <v>648.6105387</v>
      </c>
      <c r="P318" s="36">
        <f>P319-P320</f>
        <v>622.46431767</v>
      </c>
      <c r="Q318" s="36">
        <f>Q319-Q320</f>
        <v>472.56017093</v>
      </c>
      <c r="R318" s="36">
        <f>R319-R320</f>
        <v>472.56017093</v>
      </c>
      <c r="S318" s="36">
        <f>S319-S320</f>
        <v>611.40722978</v>
      </c>
      <c r="T318" s="36">
        <f>T319-T320</f>
        <v>853.581</v>
      </c>
      <c r="U318" s="36">
        <f>U319-U320</f>
        <v>745.91</v>
      </c>
      <c r="V318" s="36">
        <f>V319-V320</f>
        <v>838.423</v>
      </c>
      <c r="W318" s="36">
        <f>W319-W320</f>
        <v>838.423</v>
      </c>
      <c r="X318" s="36">
        <f>X319-X320</f>
        <v>1052.67</v>
      </c>
      <c r="Y318" s="36">
        <f>Y319-Y320</f>
        <v>1035.919</v>
      </c>
      <c r="Z318" s="36">
        <f>Z319-Z320</f>
        <v>865.831</v>
      </c>
      <c r="AA318" s="36">
        <f>AA319-AA320</f>
        <v>851.9</v>
      </c>
      <c r="AB318" s="36">
        <f>AB319-AB320</f>
        <v>851.9</v>
      </c>
      <c r="AC318" s="36">
        <f>AC319-AC320</f>
        <v>878.512784</v>
      </c>
      <c r="AD318" s="36">
        <f>AD319-AD320</f>
        <v>1144.543</v>
      </c>
      <c r="AE318" s="36">
        <f>AE319-AE320</f>
        <v>899.883</v>
      </c>
      <c r="AF318" s="36">
        <f>AF319-AF320</f>
        <v>654.626</v>
      </c>
      <c r="AG318" s="36">
        <f>AG319-AG320</f>
        <v>654.626</v>
      </c>
      <c r="AH318" s="36">
        <f>AH319-AH320</f>
        <v>1024.381</v>
      </c>
      <c r="AI318" s="36">
        <f>AI319-AI320</f>
        <v>1198.321</v>
      </c>
      <c r="AJ318" s="36">
        <f>AJ319-AJ320</f>
        <v>306.785</v>
      </c>
      <c r="AK318" s="36">
        <f>AK319-AK320</f>
        <v>306.785</v>
      </c>
      <c r="AL318" s="36">
        <f>AL319-AL320</f>
        <v>306.785</v>
      </c>
      <c r="AM318" s="36" t="e">
        <f>AM319-AM320</f>
        <v>#DIV/0!</v>
      </c>
      <c r="AN318" s="36">
        <f>AN319-AN320</f>
        <v>306.785</v>
      </c>
      <c r="AO318" s="36" t="e">
        <f>AO319-AO320</f>
        <v>#DIV/0!</v>
      </c>
      <c r="AP318" s="36" t="e">
        <f>AP319-AP320</f>
        <v>#DIV/0!</v>
      </c>
      <c r="AQ318" s="36" t="e">
        <f>AQ319-AQ320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V318" s="36" t="e">
        <f>AV319-AV320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A318" s="36" t="e">
        <f>BA319-BA320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F318" s="36" t="e">
        <f>BF319-BF320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K318" s="36" t="e">
        <f>BK319-BK320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P318" s="36" t="e">
        <f>BP319-BP320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U318" s="36" t="e">
        <f>BU319-BU320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BZ318" s="36" t="e">
        <f>BZ319-BZ320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E318" s="36" t="e">
        <f>CE319-CE320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J318" s="36" t="e">
        <f>CJ319-CJ320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O318" s="36" t="e">
        <f>CO319-CO320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T318" s="36" t="e">
        <f>CT319-CT320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  <c r="CY318" s="36" t="e">
        <f>CY319-CY320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694.1302917</v>
      </c>
      <c r="E319" s="241">
        <f>E111+E115+E119+E120+E121</f>
        <v>709.184626080001</v>
      </c>
      <c r="F319" s="241">
        <f>F111+F115+F119+F120+F121</f>
        <v>882.322137169997</v>
      </c>
      <c r="G319" s="241">
        <f>G111+G115+G119+G120+G121</f>
        <v>914.35065444</v>
      </c>
      <c r="H319" s="241">
        <f>H111+H115+H119+H120+H121</f>
        <v>914.35065444</v>
      </c>
      <c r="I319" s="226">
        <f>I111+I115+I119+I120+I121</f>
        <v>962.18618155</v>
      </c>
      <c r="J319" s="226">
        <f>J111+J115+J119+J120+J121</f>
        <v>970.83438191</v>
      </c>
      <c r="K319" s="226">
        <f>K111+K115+K119+K120+K121</f>
        <v>1146.91508449</v>
      </c>
      <c r="L319" s="226">
        <f>L111+L115+L119+L120+L121</f>
        <v>970.571548633222</v>
      </c>
      <c r="M319" s="226">
        <f>M111+M115+M119+M120+M121</f>
        <v>970.571548633222</v>
      </c>
      <c r="N319" s="226">
        <f>N111+N115+N119+N120+N121</f>
        <v>1132.92106654</v>
      </c>
      <c r="O319" s="226">
        <f>O111+O115+O119+O120+O121</f>
        <v>1303.1286588</v>
      </c>
      <c r="P319" s="226">
        <f>P111+P115+P119+P120+P121</f>
        <v>1351.18575583</v>
      </c>
      <c r="Q319" s="226">
        <f>Q111+Q115+Q119+Q120+Q121</f>
        <v>1130.53817665</v>
      </c>
      <c r="R319" s="226">
        <f>R111+R115+R119+R120+R121</f>
        <v>1130.53817665</v>
      </c>
      <c r="S319" s="226">
        <f>S111+S115+S119+S120+S121</f>
        <v>1247.44707474</v>
      </c>
      <c r="T319" s="226">
        <f>T111+T115+T119+T120+T121</f>
        <v>1882.834</v>
      </c>
      <c r="U319" s="226">
        <f>U111+U115+U119+U120+U121</f>
        <v>1891.616</v>
      </c>
      <c r="V319" s="226">
        <f>V111+V115+V119+V120+V121</f>
        <v>1913.78</v>
      </c>
      <c r="W319" s="226">
        <f>W111+W115+W119+W120+W121</f>
        <v>1913.78</v>
      </c>
      <c r="X319" s="226">
        <f>X111+X115+X119+X120+X121</f>
        <v>2147.716</v>
      </c>
      <c r="Y319" s="226">
        <f>Y111+Y115+Y119+Y120+Y121</f>
        <v>2200.953</v>
      </c>
      <c r="Z319" s="226">
        <f>Z111+Z115+Z119+Z120+Z121</f>
        <v>2194.389</v>
      </c>
      <c r="AA319" s="226">
        <f>AA111+AA115+AA119+AA120+AA121</f>
        <v>2054.529</v>
      </c>
      <c r="AB319" s="226">
        <f>AB111+AB115+AB119+AB120+AB121</f>
        <v>2054.529</v>
      </c>
      <c r="AC319" s="226">
        <f>AC111+AC115+AC119+AC120+AC121</f>
        <v>2224.54969</v>
      </c>
      <c r="AD319" s="226">
        <f>AD111+AD115+AD119+AD120+AD121</f>
        <v>2295.057</v>
      </c>
      <c r="AE319" s="226">
        <f>AE111+AE115+AE119+AE120+AE121</f>
        <v>2363.468</v>
      </c>
      <c r="AF319" s="226">
        <f>AF111+AF115+AF119+AF120+AF121</f>
        <v>2270.132</v>
      </c>
      <c r="AG319" s="226">
        <f>AG111+AG115+AG119+AG120+AG121</f>
        <v>2270.132</v>
      </c>
      <c r="AH319" s="226">
        <f>AH111+AH115+AH119+AH120+AH121</f>
        <v>2508.563</v>
      </c>
      <c r="AI319" s="226">
        <f>AI111+AI115+AI119+AI120+AI121</f>
        <v>2650.07</v>
      </c>
      <c r="AJ319" s="226">
        <f>AJ111+AJ115+AJ119+AJ120+AJ121</f>
        <v>398.745</v>
      </c>
      <c r="AK319" s="226">
        <f>AK111+AK115+AK119+AK120+AK121</f>
        <v>398.745</v>
      </c>
      <c r="AL319" s="226">
        <f>AL111+AL115+AL119+AL120+AL121</f>
        <v>398.745</v>
      </c>
      <c r="AM319" s="226">
        <f>AM111+AM115+AM119+AM120+AM121</f>
        <v>398.745</v>
      </c>
      <c r="AN319" s="226">
        <f>AN111+AN115+AN119+AN120+AN121</f>
        <v>398.745</v>
      </c>
      <c r="AO319" s="226">
        <f>AO111+AO115+AO119+AO120+AO121</f>
        <v>398.745</v>
      </c>
      <c r="AP319" s="226">
        <f>AP111+AP115+AP119+AP120+AP121</f>
        <v>398.745</v>
      </c>
      <c r="AQ319" s="226">
        <f>AQ111+AQ115+AQ119+AQ120+AQ121</f>
        <v>398.745</v>
      </c>
      <c r="AR319" s="226">
        <f>AR111+AR115+AR119+AR120+AR121</f>
        <v>398.745</v>
      </c>
      <c r="AS319" s="226">
        <f>AS111+AS115+AS119+AS120+AS121</f>
        <v>398.745</v>
      </c>
      <c r="AT319" s="226">
        <f>AT111+AT115+AT119+AT120+AT121</f>
        <v>398.745</v>
      </c>
      <c r="AU319" s="226">
        <f>AU111+AU115+AU119+AU120+AU121</f>
        <v>398.745</v>
      </c>
      <c r="AV319" s="226">
        <f>AV111+AV115+AV119+AV120+AV121</f>
        <v>398.745</v>
      </c>
      <c r="AW319" s="226">
        <f>AW111+AW115+AW119+AW120+AW121</f>
        <v>398.745</v>
      </c>
      <c r="AX319" s="226">
        <f>AX111+AX115+AX119+AX120+AX121</f>
        <v>398.745</v>
      </c>
      <c r="AY319" s="226">
        <f>AY111+AY115+AY119+AY120+AY121</f>
        <v>398.745</v>
      </c>
      <c r="AZ319" s="226">
        <f>AZ111+AZ115+AZ119+AZ120+AZ121</f>
        <v>398.745</v>
      </c>
      <c r="BA319" s="226">
        <f>BA111+BA115+BA119+BA120+BA121</f>
        <v>398.745</v>
      </c>
      <c r="BB319" s="226">
        <f>BB111+BB115+BB119+BB120+BB121</f>
        <v>398.745</v>
      </c>
      <c r="BC319" s="226">
        <f>BC111+BC115+BC119+BC120+BC121</f>
        <v>398.745</v>
      </c>
      <c r="BD319" s="226">
        <f>BD111+BD115+BD119+BD120+BD121</f>
        <v>398.745</v>
      </c>
      <c r="BE319" s="226">
        <f>BE111+BE115+BE119+BE120+BE121</f>
        <v>398.745</v>
      </c>
      <c r="BF319" s="226">
        <f>BF111+BF115+BF119+BF120+BF121</f>
        <v>398.745</v>
      </c>
      <c r="BG319" s="226">
        <f>BG111+BG115+BG119+BG120+BG121</f>
        <v>398.745</v>
      </c>
      <c r="BH319" s="226">
        <f>BH111+BH115+BH119+BH120+BH121</f>
        <v>398.745</v>
      </c>
      <c r="BI319" s="226">
        <f>BI111+BI115+BI119+BI120+BI121</f>
        <v>398.745</v>
      </c>
      <c r="BJ319" s="226">
        <f>BJ111+BJ115+BJ119+BJ120+BJ121</f>
        <v>398.745</v>
      </c>
      <c r="BK319" s="226">
        <f>BK111+BK115+BK119+BK120+BK121</f>
        <v>398.745</v>
      </c>
      <c r="BL319" s="226">
        <f>BL111+BL115+BL119+BL120+BL121</f>
        <v>398.745</v>
      </c>
      <c r="BM319" s="226">
        <f>BM111+BM115+BM119+BM120+BM121</f>
        <v>398.745</v>
      </c>
      <c r="BN319" s="226">
        <f>BN111+BN115+BN119+BN120+BN121</f>
        <v>398.745</v>
      </c>
      <c r="BO319" s="226">
        <f>BO111+BO115+BO119+BO120+BO121</f>
        <v>398.745</v>
      </c>
      <c r="BP319" s="226">
        <f>BP111+BP115+BP119+BP120+BP121</f>
        <v>398.745</v>
      </c>
      <c r="BQ319" s="226">
        <f>BQ111+BQ115+BQ119+BQ120+BQ121</f>
        <v>398.745</v>
      </c>
      <c r="BR319" s="226">
        <f>BR111+BR115+BR119+BR120+BR121</f>
        <v>398.745</v>
      </c>
      <c r="BS319" s="226">
        <f>BS111+BS115+BS119+BS120+BS121</f>
        <v>398.745</v>
      </c>
      <c r="BT319" s="226">
        <f>BT111+BT115+BT119+BT120+BT121</f>
        <v>398.745</v>
      </c>
      <c r="BU319" s="226">
        <f>BU111+BU115+BU119+BU120+BU121</f>
        <v>398.745</v>
      </c>
      <c r="BV319" s="226">
        <f>BV111+BV115+BV119+BV120+BV121</f>
        <v>398.745</v>
      </c>
      <c r="BW319" s="226">
        <f>BW111+BW115+BW119+BW120+BW121</f>
        <v>398.745</v>
      </c>
      <c r="BX319" s="226">
        <f>BX111+BX115+BX119+BX120+BX121</f>
        <v>398.745</v>
      </c>
      <c r="BY319" s="226">
        <f>BY111+BY115+BY119+BY120+BY121</f>
        <v>398.745</v>
      </c>
      <c r="BZ319" s="226">
        <f>BZ111+BZ115+BZ119+BZ120+BZ121</f>
        <v>398.745</v>
      </c>
      <c r="CA319" s="226">
        <f>CA111+CA115+CA119+CA120+CA121</f>
        <v>398.745</v>
      </c>
      <c r="CB319" s="226">
        <f>CB111+CB115+CB119+CB120+CB121</f>
        <v>398.745</v>
      </c>
      <c r="CC319" s="226">
        <f>CC111+CC115+CC119+CC120+CC121</f>
        <v>398.745</v>
      </c>
      <c r="CD319" s="226">
        <f>CD111+CD115+CD119+CD120+CD121</f>
        <v>398.745</v>
      </c>
      <c r="CE319" s="226">
        <f>CE111+CE115+CE119+CE120+CE121</f>
        <v>398.745</v>
      </c>
      <c r="CF319" s="226">
        <f>CF111+CF115+CF119+CF120+CF121</f>
        <v>398.745</v>
      </c>
      <c r="CG319" s="226">
        <f>CG111+CG115+CG119+CG120+CG121</f>
        <v>398.745</v>
      </c>
      <c r="CH319" s="226">
        <f>CH111+CH115+CH119+CH120+CH121</f>
        <v>398.745</v>
      </c>
      <c r="CI319" s="226">
        <f>CI111+CI115+CI119+CI120+CI121</f>
        <v>398.745</v>
      </c>
      <c r="CJ319" s="226">
        <f>CJ111+CJ115+CJ119+CJ120+CJ121</f>
        <v>398.745</v>
      </c>
      <c r="CK319" s="226">
        <f>CK111+CK115+CK119+CK120+CK121</f>
        <v>398.745</v>
      </c>
      <c r="CL319" s="226">
        <f>CL111+CL115+CL119+CL120+CL121</f>
        <v>398.745</v>
      </c>
      <c r="CM319" s="226">
        <f>CM111+CM115+CM119+CM120+CM121</f>
        <v>398.745</v>
      </c>
      <c r="CN319" s="226">
        <f>CN111+CN115+CN119+CN120+CN121</f>
        <v>398.745</v>
      </c>
      <c r="CO319" s="226">
        <f>CO111+CO115+CO119+CO120+CO121</f>
        <v>398.745</v>
      </c>
      <c r="CP319" s="226">
        <f>CP111+CP115+CP119+CP120+CP121</f>
        <v>398.745</v>
      </c>
      <c r="CQ319" s="226">
        <f>CQ111+CQ115+CQ119+CQ120+CQ121</f>
        <v>398.745</v>
      </c>
      <c r="CR319" s="226">
        <f>CR111+CR115+CR119+CR120+CR121</f>
        <v>398.745</v>
      </c>
      <c r="CS319" s="226">
        <f>CS111+CS115+CS119+CS120+CS121</f>
        <v>398.745</v>
      </c>
      <c r="CT319" s="226">
        <f>CT111+CT115+CT119+CT120+CT121</f>
        <v>398.745</v>
      </c>
      <c r="CU319" s="226">
        <f>CU111+CU115+CU119+CU120+CU121</f>
        <v>398.745</v>
      </c>
      <c r="CV319" s="226">
        <f>CV111+CV115+CV119+CV120+CV121</f>
        <v>398.745</v>
      </c>
      <c r="CW319" s="226">
        <f>CW111+CW115+CW119+CW120+CW121</f>
        <v>398.745</v>
      </c>
      <c r="CX319" s="226">
        <f>CX111+CX115+CX119+CX120+CX121</f>
        <v>398.745</v>
      </c>
      <c r="CY319" s="226">
        <f>CY111+CY115+CY119+CY120+CY121</f>
        <v>398.745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519.51241164</v>
      </c>
      <c r="E320" s="241">
        <f>E164+E168+E170+E171</f>
        <v>521.82250147</v>
      </c>
      <c r="F320" s="241">
        <f>F164+F168+F170+F171</f>
        <v>613.10966073</v>
      </c>
      <c r="G320" s="241">
        <f>G164+G168+G170+G171</f>
        <v>506.69277968</v>
      </c>
      <c r="H320" s="241">
        <f>H164+H168+H170+H171</f>
        <v>506.69277968</v>
      </c>
      <c r="I320" s="226">
        <f>I164+I168+I170+I171</f>
        <v>593.34914679</v>
      </c>
      <c r="J320" s="226">
        <f>J164+J168+J170+J171</f>
        <v>542.9518345</v>
      </c>
      <c r="K320" s="226">
        <f>K164+K168+K170+K171</f>
        <v>708.35613602</v>
      </c>
      <c r="L320" s="226">
        <f>L164+L168+L170+L171</f>
        <v>672.50045846</v>
      </c>
      <c r="M320" s="226">
        <f>M164+M168+M170+M171</f>
        <v>672.50045846</v>
      </c>
      <c r="N320" s="226">
        <f>N164+N168+N170+N171</f>
        <v>800.18047332</v>
      </c>
      <c r="O320" s="226">
        <f>O164+O168+O170+O171</f>
        <v>654.5181201</v>
      </c>
      <c r="P320" s="226">
        <f>P164+P168+P170+P171</f>
        <v>728.72143816</v>
      </c>
      <c r="Q320" s="226">
        <f>Q164+Q168+Q170+Q171</f>
        <v>657.97800572</v>
      </c>
      <c r="R320" s="226">
        <f>R164+R168+R170+R171</f>
        <v>657.97800572</v>
      </c>
      <c r="S320" s="226">
        <f>S164+S168+S170+S171</f>
        <v>636.03984496</v>
      </c>
      <c r="T320" s="226">
        <f>T164+T168+T170+T171</f>
        <v>1029.253</v>
      </c>
      <c r="U320" s="226">
        <f>U164+U168+U170+U171</f>
        <v>1145.706</v>
      </c>
      <c r="V320" s="226">
        <f>V164+V168+V170+V171</f>
        <v>1075.357</v>
      </c>
      <c r="W320" s="226">
        <f>W164+W168+W170+W171</f>
        <v>1075.357</v>
      </c>
      <c r="X320" s="226">
        <f>X164+X168+X170+X171</f>
        <v>1095.046</v>
      </c>
      <c r="Y320" s="226">
        <f>Y164+Y168+Y170+Y171</f>
        <v>1165.034</v>
      </c>
      <c r="Z320" s="226">
        <f>Z164+Z168+Z170+Z171</f>
        <v>1328.558</v>
      </c>
      <c r="AA320" s="226">
        <f>AA164+AA168+AA170+AA171</f>
        <v>1202.629</v>
      </c>
      <c r="AB320" s="226">
        <f>AB164+AB168+AB170+AB171</f>
        <v>1202.629</v>
      </c>
      <c r="AC320" s="226">
        <f>AC164+AC168+AC170+AC171</f>
        <v>1346.036906</v>
      </c>
      <c r="AD320" s="226">
        <f>AD164+AD168+AD170+AD171</f>
        <v>1150.514</v>
      </c>
      <c r="AE320" s="226">
        <f>AE164+AE168+AE170+AE171</f>
        <v>1463.585</v>
      </c>
      <c r="AF320" s="226">
        <f>AF164+AF168+AF170+AF171</f>
        <v>1615.506</v>
      </c>
      <c r="AG320" s="226">
        <f>AG164+AG168+AG170+AG171</f>
        <v>1615.506</v>
      </c>
      <c r="AH320" s="226">
        <f>AH164+AH168+AH170+AH171</f>
        <v>1484.182</v>
      </c>
      <c r="AI320" s="226">
        <f>AI164+AI168+AI170+AI171</f>
        <v>1451.749</v>
      </c>
      <c r="AJ320" s="226">
        <f>AJ164+AJ168+AJ170+AJ171</f>
        <v>91.96</v>
      </c>
      <c r="AK320" s="226">
        <f>AK164+AK168+AK170+AK171</f>
        <v>91.96</v>
      </c>
      <c r="AL320" s="226">
        <f>AL164+AL168+AL170+AL171</f>
        <v>91.96</v>
      </c>
      <c r="AM320" s="226" t="e">
        <f>AM164+AM168+AM170+AM171</f>
        <v>#DIV/0!</v>
      </c>
      <c r="AN320" s="226">
        <f>AN164+AN168+AN170+AN171</f>
        <v>91.96</v>
      </c>
      <c r="AO320" s="226" t="e">
        <f>AO164+AO168+AO170+AO171</f>
        <v>#DIV/0!</v>
      </c>
      <c r="AP320" s="226" t="e">
        <f>AP164+AP168+AP170+AP171</f>
        <v>#DIV/0!</v>
      </c>
      <c r="AQ320" s="226" t="e">
        <f>AQ164+AQ168+AQ170+AQ171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V320" s="226" t="e">
        <f>AV164+AV168+AV170+AV171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A320" s="226" t="e">
        <f>BA164+BA168+BA170+BA171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F320" s="226" t="e">
        <f>BF164+BF168+BF170+BF171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K320" s="226" t="e">
        <f>BK164+BK168+BK170+BK171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P320" s="226" t="e">
        <f>BP164+BP168+BP170+BP171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U320" s="226" t="e">
        <f>BU164+BU168+BU170+BU171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BZ320" s="226" t="e">
        <f>BZ164+BZ168+BZ170+BZ171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E320" s="226" t="e">
        <f>CE164+CE168+CE170+CE171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J320" s="226" t="e">
        <f>CJ164+CJ168+CJ170+CJ171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O320" s="226" t="e">
        <f>CO164+CO168+CO170+CO171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T320" s="226" t="e">
        <f>CT164+CT168+CT170+CT171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  <c r="CY320" s="226" t="e">
        <f>CY164+CY168+CY170+CY171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3561.45685733898</v>
      </c>
      <c r="E321" s="241">
        <f>E132+E142+E145+E146+E155-E206</f>
        <v>3523.68216819061</v>
      </c>
      <c r="F321" s="241">
        <f>F132+F142+F145+F146+F155-F206</f>
        <v>3474.24673561519</v>
      </c>
      <c r="G321" s="241">
        <f>G132+G142+G145+G146+G155-G206</f>
        <v>3464.77268238978</v>
      </c>
      <c r="H321" s="241">
        <f>H132+H142+H145+H146+H155-H206</f>
        <v>3464.77268238978</v>
      </c>
      <c r="I321" s="226">
        <f>I132+I142+I145+I146+I155-I206</f>
        <v>3419.14303843436</v>
      </c>
      <c r="J321" s="226">
        <f>J132+J142+J145+J146+J155-J206</f>
        <v>3574.43945282766</v>
      </c>
      <c r="K321" s="226">
        <f>K132+K142+K145+K146+K155-K206</f>
        <v>3699.39214054576</v>
      </c>
      <c r="L321" s="226">
        <f>L132+L142+L145+L146+L155-L206</f>
        <v>4146.48042266249</v>
      </c>
      <c r="M321" s="226">
        <f>M132+M142+M145+M146+M155-M206</f>
        <v>4146.48042266249</v>
      </c>
      <c r="N321" s="226">
        <f>N132+N142+N145+N146+N155-N206</f>
        <v>4208.03372710472</v>
      </c>
      <c r="O321" s="226">
        <f>O132+O142+O145+O146+O155-O206</f>
        <v>4666.55680241769</v>
      </c>
      <c r="P321" s="226">
        <f>P132+P142+P145+P146+P155-P206</f>
        <v>4697.74904929</v>
      </c>
      <c r="Q321" s="226">
        <f>Q132+Q142+Q145+Q146+Q155-Q206</f>
        <v>5145.65095296091</v>
      </c>
      <c r="R321" s="226">
        <f>R132+R142+R145+R146+R155-R206</f>
        <v>5145.65095296091</v>
      </c>
      <c r="S321" s="226">
        <f>S132+S142+S145+S146+S155-S206</f>
        <v>5123.88156971</v>
      </c>
      <c r="T321" s="226">
        <f>T132+T142+T145+T146+T155-T206</f>
        <v>8404.406</v>
      </c>
      <c r="U321" s="226">
        <f>U132+U142+U145+U146+U155-U206</f>
        <v>8346.191</v>
      </c>
      <c r="V321" s="226">
        <f>V132+V142+V145+V146+V155-V206</f>
        <v>8352.768</v>
      </c>
      <c r="W321" s="226">
        <f>W132+W142+W145+W146+W155-W206</f>
        <v>8352.768</v>
      </c>
      <c r="X321" s="226">
        <f>X132+X142+X145+X146+X155-X206</f>
        <v>8263.79341873</v>
      </c>
      <c r="Y321" s="226">
        <f>Y132+Y142+Y145+Y146+Y155-Y206</f>
        <v>8209.789</v>
      </c>
      <c r="Z321" s="226">
        <f>Z132+Z142+Z145+Z146+Z155-Z206</f>
        <v>8219.107</v>
      </c>
      <c r="AA321" s="226">
        <f>AA132+AA142+AA145+AA146+AA155-AA206</f>
        <v>8302.801</v>
      </c>
      <c r="AB321" s="226">
        <f>AB132+AB142+AB145+AB146+AB155-AB206</f>
        <v>8302.801</v>
      </c>
      <c r="AC321" s="226">
        <f>AC132+AC142+AC145+AC146+AC155-AC206</f>
        <v>8226.93841281</v>
      </c>
      <c r="AD321" s="226">
        <f>AD132+AD142+AD145+AD146+AD155-AD206</f>
        <v>8170.721</v>
      </c>
      <c r="AE321" s="226">
        <f>AE132+AE142+AE145+AE146+AE155-AE206</f>
        <v>8303.008</v>
      </c>
      <c r="AF321" s="226">
        <f>AF132+AF142+AF145+AF146+AF155-AF206</f>
        <v>8311.21</v>
      </c>
      <c r="AG321" s="226">
        <f>AG132+AG142+AG145+AG146+AG155-AG206</f>
        <v>8311.21</v>
      </c>
      <c r="AH321" s="226">
        <f>AH132+AH142+AH145+AH146+AH155-AH206</f>
        <v>8198.518</v>
      </c>
      <c r="AI321" s="226">
        <f>AI132+AI142+AI145+AI146+AI155-AI206</f>
        <v>8461.655</v>
      </c>
      <c r="AJ321" s="226">
        <f>AJ132+AJ142+AJ145+AJ146+AJ155-AJ206</f>
        <v>2455.58</v>
      </c>
      <c r="AK321" s="226">
        <f>AK132+AK142+AK145+AK146+AK155-AK206</f>
        <v>2455.58</v>
      </c>
      <c r="AL321" s="226">
        <f>AL132+AL142+AL145+AL146+AL155-AL206</f>
        <v>2455.58</v>
      </c>
      <c r="AM321" s="226">
        <f>AM132+AM142+AM145+AM146+AM155-AM206</f>
        <v>2455.58</v>
      </c>
      <c r="AN321" s="226">
        <f>AN132+AN142+AN145+AN146+AN155-AN206</f>
        <v>2455.58</v>
      </c>
      <c r="AO321" s="226">
        <f>AO132+AO142+AO145+AO146+AO155-AO206</f>
        <v>2455.58</v>
      </c>
      <c r="AP321" s="226">
        <f>AP132+AP142+AP145+AP146+AP155-AP206</f>
        <v>2455.58</v>
      </c>
      <c r="AQ321" s="226">
        <f>AQ132+AQ142+AQ145+AQ146+AQ155-AQ206</f>
        <v>2455.58</v>
      </c>
      <c r="AR321" s="226">
        <f>AR132+AR142+AR145+AR146+AR155-AR206</f>
        <v>2455.58</v>
      </c>
      <c r="AS321" s="226">
        <f>AS132+AS142+AS145+AS146+AS155-AS206</f>
        <v>2455.58</v>
      </c>
      <c r="AT321" s="226">
        <f>AT132+AT142+AT145+AT146+AT155-AT206</f>
        <v>2455.58</v>
      </c>
      <c r="AU321" s="226">
        <f>AU132+AU142+AU145+AU146+AU155-AU206</f>
        <v>2455.58</v>
      </c>
      <c r="AV321" s="226">
        <f>AV132+AV142+AV145+AV146+AV155-AV206</f>
        <v>2455.58</v>
      </c>
      <c r="AW321" s="226">
        <f>AW132+AW142+AW145+AW146+AW155-AW206</f>
        <v>2455.58</v>
      </c>
      <c r="AX321" s="226">
        <f>AX132+AX142+AX145+AX146+AX155-AX206</f>
        <v>2455.58</v>
      </c>
      <c r="AY321" s="226">
        <f>AY132+AY142+AY145+AY146+AY155-AY206</f>
        <v>2455.58</v>
      </c>
      <c r="AZ321" s="226">
        <f>AZ132+AZ142+AZ145+AZ146+AZ155-AZ206</f>
        <v>2455.58</v>
      </c>
      <c r="BA321" s="226">
        <f>BA132+BA142+BA145+BA146+BA155-BA206</f>
        <v>2455.58</v>
      </c>
      <c r="BB321" s="226">
        <f>BB132+BB142+BB145+BB146+BB155-BB206</f>
        <v>2455.58</v>
      </c>
      <c r="BC321" s="226">
        <f>BC132+BC142+BC145+BC146+BC155-BC206</f>
        <v>2455.58</v>
      </c>
      <c r="BD321" s="226">
        <f>BD132+BD142+BD145+BD146+BD155-BD206</f>
        <v>2455.58</v>
      </c>
      <c r="BE321" s="226">
        <f>BE132+BE142+BE145+BE146+BE155-BE206</f>
        <v>2455.58</v>
      </c>
      <c r="BF321" s="226">
        <f>BF132+BF142+BF145+BF146+BF155-BF206</f>
        <v>2455.58</v>
      </c>
      <c r="BG321" s="226">
        <f>BG132+BG142+BG145+BG146+BG155-BG206</f>
        <v>2455.58</v>
      </c>
      <c r="BH321" s="226">
        <f>BH132+BH142+BH145+BH146+BH155-BH206</f>
        <v>2455.58</v>
      </c>
      <c r="BI321" s="226">
        <f>BI132+BI142+BI145+BI146+BI155-BI206</f>
        <v>2455.58</v>
      </c>
      <c r="BJ321" s="226">
        <f>BJ132+BJ142+BJ145+BJ146+BJ155-BJ206</f>
        <v>2455.58</v>
      </c>
      <c r="BK321" s="226">
        <f>BK132+BK142+BK145+BK146+BK155-BK206</f>
        <v>2455.58</v>
      </c>
      <c r="BL321" s="226">
        <f>BL132+BL142+BL145+BL146+BL155-BL206</f>
        <v>2455.58</v>
      </c>
      <c r="BM321" s="226">
        <f>BM132+BM142+BM145+BM146+BM155-BM206</f>
        <v>2455.58</v>
      </c>
      <c r="BN321" s="226">
        <f>BN132+BN142+BN145+BN146+BN155-BN206</f>
        <v>2455.58</v>
      </c>
      <c r="BO321" s="226">
        <f>BO132+BO142+BO145+BO146+BO155-BO206</f>
        <v>2455.58</v>
      </c>
      <c r="BP321" s="226">
        <f>BP132+BP142+BP145+BP146+BP155-BP206</f>
        <v>2455.58</v>
      </c>
      <c r="BQ321" s="226">
        <f>BQ132+BQ142+BQ145+BQ146+BQ155-BQ206</f>
        <v>2455.58</v>
      </c>
      <c r="BR321" s="226">
        <f>BR132+BR142+BR145+BR146+BR155-BR206</f>
        <v>2455.58</v>
      </c>
      <c r="BS321" s="226">
        <f>BS132+BS142+BS145+BS146+BS155-BS206</f>
        <v>2455.58</v>
      </c>
      <c r="BT321" s="226">
        <f>BT132+BT142+BT145+BT146+BT155-BT206</f>
        <v>2455.58</v>
      </c>
      <c r="BU321" s="226">
        <f>BU132+BU142+BU145+BU146+BU155-BU206</f>
        <v>2455.58</v>
      </c>
      <c r="BV321" s="226">
        <f>BV132+BV142+BV145+BV146+BV155-BV206</f>
        <v>2455.58</v>
      </c>
      <c r="BW321" s="226">
        <f>BW132+BW142+BW145+BW146+BW155-BW206</f>
        <v>2455.58</v>
      </c>
      <c r="BX321" s="226">
        <f>BX132+BX142+BX145+BX146+BX155-BX206</f>
        <v>2455.58</v>
      </c>
      <c r="BY321" s="226">
        <f>BY132+BY142+BY145+BY146+BY155-BY206</f>
        <v>2455.58</v>
      </c>
      <c r="BZ321" s="226">
        <f>BZ132+BZ142+BZ145+BZ146+BZ155-BZ206</f>
        <v>2455.58</v>
      </c>
      <c r="CA321" s="226">
        <f>CA132+CA142+CA145+CA146+CA155-CA206</f>
        <v>2455.58</v>
      </c>
      <c r="CB321" s="226">
        <f>CB132+CB142+CB145+CB146+CB155-CB206</f>
        <v>2455.58</v>
      </c>
      <c r="CC321" s="226">
        <f>CC132+CC142+CC145+CC146+CC155-CC206</f>
        <v>2455.58</v>
      </c>
      <c r="CD321" s="226">
        <f>CD132+CD142+CD145+CD146+CD155-CD206</f>
        <v>2455.58</v>
      </c>
      <c r="CE321" s="226">
        <f>CE132+CE142+CE145+CE146+CE155-CE206</f>
        <v>2455.58</v>
      </c>
      <c r="CF321" s="226">
        <f>CF132+CF142+CF145+CF146+CF155-CF206</f>
        <v>2455.58</v>
      </c>
      <c r="CG321" s="226">
        <f>CG132+CG142+CG145+CG146+CG155-CG206</f>
        <v>2455.58</v>
      </c>
      <c r="CH321" s="226">
        <f>CH132+CH142+CH145+CH146+CH155-CH206</f>
        <v>2455.58</v>
      </c>
      <c r="CI321" s="226">
        <f>CI132+CI142+CI145+CI146+CI155-CI206</f>
        <v>2455.58</v>
      </c>
      <c r="CJ321" s="226">
        <f>CJ132+CJ142+CJ145+CJ146+CJ155-CJ206</f>
        <v>2455.58</v>
      </c>
      <c r="CK321" s="226">
        <f>CK132+CK142+CK145+CK146+CK155-CK206</f>
        <v>2455.58</v>
      </c>
      <c r="CL321" s="226">
        <f>CL132+CL142+CL145+CL146+CL155-CL206</f>
        <v>2455.58</v>
      </c>
      <c r="CM321" s="226">
        <f>CM132+CM142+CM145+CM146+CM155-CM206</f>
        <v>2455.58</v>
      </c>
      <c r="CN321" s="226">
        <f>CN132+CN142+CN145+CN146+CN155-CN206</f>
        <v>2455.58</v>
      </c>
      <c r="CO321" s="226">
        <f>CO132+CO142+CO145+CO146+CO155-CO206</f>
        <v>2455.58</v>
      </c>
      <c r="CP321" s="226">
        <f>CP132+CP142+CP145+CP146+CP155-CP206</f>
        <v>2455.58</v>
      </c>
      <c r="CQ321" s="226">
        <f>CQ132+CQ142+CQ145+CQ146+CQ155-CQ206</f>
        <v>2455.58</v>
      </c>
      <c r="CR321" s="226">
        <f>CR132+CR142+CR145+CR146+CR155-CR206</f>
        <v>2455.58</v>
      </c>
      <c r="CS321" s="226">
        <f>CS132+CS142+CS145+CS146+CS155-CS206</f>
        <v>2455.58</v>
      </c>
      <c r="CT321" s="226">
        <f>CT132+CT142+CT145+CT146+CT155-CT206</f>
        <v>2455.58</v>
      </c>
      <c r="CU321" s="226">
        <f>CU132+CU142+CU145+CU146+CU155-CU206</f>
        <v>2455.58</v>
      </c>
      <c r="CV321" s="226">
        <f>CV132+CV142+CV145+CV146+CV155-CV206</f>
        <v>2455.58</v>
      </c>
      <c r="CW321" s="226">
        <f>CW132+CW142+CW145+CW146+CW155-CW206</f>
        <v>2455.58</v>
      </c>
      <c r="CX321" s="226">
        <f>CX132+CX142+CX145+CX146+CX155-CX206</f>
        <v>2455.58</v>
      </c>
      <c r="CY321" s="226">
        <f>CY132+CY142+CY145+CY146+CY155-CY206</f>
        <v>2455.58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>
        <f>D103/D15</f>
        <v>0.082247263975867</v>
      </c>
      <c r="E330" s="238">
        <f>E103/E15</f>
        <v>-0.161130959379233</v>
      </c>
      <c r="F330" s="238">
        <f>F103/F15</f>
        <v>0.151002858916707</v>
      </c>
      <c r="G330" s="238">
        <f>G103/G15</f>
        <v>0.150279486198082</v>
      </c>
      <c r="I330" s="222">
        <f>I103/I15</f>
        <v>0.132704070952723</v>
      </c>
      <c r="J330" s="222">
        <f>J103/J15</f>
        <v>0.070311116280366</v>
      </c>
      <c r="K330" s="222">
        <f>K103/K15</f>
        <v>0.0923015253958599</v>
      </c>
      <c r="L330" s="222">
        <f>L103/L15</f>
        <v>0.069567318354692</v>
      </c>
      <c r="N330" s="222">
        <f>N103/N15</f>
        <v>0.101329898719667</v>
      </c>
      <c r="O330" s="222">
        <f>O103/O15</f>
        <v>0.063422077394608</v>
      </c>
      <c r="P330" s="222">
        <f>P103/P15</f>
        <v>0.0837282660950388</v>
      </c>
      <c r="Q330" s="222">
        <f>Q103/Q15</f>
        <v>0.0277665625788939</v>
      </c>
      <c r="S330" s="222">
        <f>S103/S15</f>
        <v>0.0758813581408775</v>
      </c>
      <c r="T330" s="222">
        <f>T103/T15</f>
        <v>0.044847900078882</v>
      </c>
      <c r="U330" s="222">
        <f>U103/U15</f>
        <v>0.093152001870575</v>
      </c>
      <c r="V330" s="222">
        <f>V103/V15</f>
        <v>0.0476864943020137</v>
      </c>
      <c r="X330" s="222">
        <f>X103/X15</f>
        <v>0.0881933025735041</v>
      </c>
      <c r="Y330" s="222">
        <f>Y103/Y15</f>
        <v>0.0877493804980482</v>
      </c>
      <c r="Z330" s="222">
        <f>Z103/Z15</f>
        <v>0.0971662738906247</v>
      </c>
      <c r="AA330" s="222">
        <f>AA103/AA15</f>
        <v>0.0456256373534493</v>
      </c>
      <c r="AC330" s="222">
        <f>AC103/AC15</f>
        <v>0.0889725588241424</v>
      </c>
      <c r="AD330" s="222">
        <f>AD103/AD15</f>
        <v>0.0752268197159542</v>
      </c>
      <c r="AE330" s="222">
        <f>AE103/AE15</f>
        <v>0.0843991234992824</v>
      </c>
      <c r="AF330" s="222">
        <f>AF103/AF15</f>
        <v>0.0467478538850536</v>
      </c>
      <c r="AH330" s="222">
        <f>AH103/AH15</f>
        <v>0.0905089070985325</v>
      </c>
      <c r="AI330" s="222">
        <f>AI103/AI15</f>
        <v>0.0957632172814618</v>
      </c>
      <c r="AJ330" s="222">
        <f>AJ103/AJ15</f>
        <v>0.0364572601765837</v>
      </c>
      <c r="AK330" s="222">
        <f>AK103/AK15</f>
        <v>0.0373092337736658</v>
      </c>
      <c r="AM330" s="222">
        <f>AM103/AM15</f>
        <v>0.0350842856031406</v>
      </c>
      <c r="AN330" s="222">
        <f>AN103/AN15</f>
        <v>0.137172207513166</v>
      </c>
      <c r="AO330" s="222">
        <f>AO103/AO15</f>
        <v>0.0358564496167587</v>
      </c>
      <c r="AP330" s="222">
        <f>AP103/AP15</f>
        <v>0.154328133310561</v>
      </c>
      <c r="AR330" s="222">
        <f>AR103/AR15</f>
        <v>0.143548442038706</v>
      </c>
      <c r="AS330" s="222">
        <f>AS103/AS15</f>
        <v>0.344205515394817</v>
      </c>
      <c r="AT330" s="222">
        <f>AT103/AT15</f>
        <v>0.145911625238648</v>
      </c>
      <c r="AU330" s="222">
        <f>AU103/AU15</f>
        <v>0.38708827887749</v>
      </c>
      <c r="AW330" s="222">
        <f>AW103/AW15</f>
        <v>0.359292505097308</v>
      </c>
      <c r="AX330" s="222">
        <f>AX103/AX15</f>
        <v>0.966441874279609</v>
      </c>
      <c r="AY330" s="222">
        <f>AY103/AY15</f>
        <v>0.364820355362777</v>
      </c>
      <c r="AZ330" s="222">
        <f>AZ103/AZ15</f>
        <v>1.08664636908514</v>
      </c>
      <c r="BB330" s="222">
        <f>BB103/BB15</f>
        <v>1.00770894408564</v>
      </c>
      <c r="BC330" s="222">
        <f>BC103/BC15</f>
        <v>2.62498120781249</v>
      </c>
      <c r="BD330" s="222">
        <f>BD103/BD15</f>
        <v>1.02274816685481</v>
      </c>
      <c r="BE330" s="222">
        <f>BE103/BE15</f>
        <v>2.95128284063429</v>
      </c>
      <c r="BG330" s="222">
        <f>BG103/BG15</f>
        <v>2.73602994817952</v>
      </c>
      <c r="BH330" s="222">
        <f>BH103/BH15</f>
        <v>7.18653259264785</v>
      </c>
      <c r="BI330" s="222">
        <f>BI103/BI15</f>
        <v>2.77642125008715</v>
      </c>
      <c r="BJ330" s="222">
        <f>BJ103/BJ15</f>
        <v>8.07967196414788</v>
      </c>
      <c r="BL330" s="222">
        <f>BL103/BL15</f>
        <v>7.48950483434393</v>
      </c>
      <c r="BM330" s="222">
        <f>BM103/BM15</f>
        <v>19.6267140293843</v>
      </c>
      <c r="BN330" s="222">
        <f>BN103/BN15</f>
        <v>7.59962303953589</v>
      </c>
      <c r="BO330" s="222">
        <f>BO103/BO15</f>
        <v>22.0657231542734</v>
      </c>
      <c r="BQ330" s="222">
        <f>BQ103/BQ15</f>
        <v>20.4530966148605</v>
      </c>
      <c r="BR330" s="222">
        <f>BR103/BR15</f>
        <v>53.630179672528</v>
      </c>
      <c r="BS330" s="222">
        <f>BS103/BS15</f>
        <v>20.753372784898</v>
      </c>
      <c r="BT330" s="222">
        <f>BT103/BT15</f>
        <v>60.2946037815516</v>
      </c>
      <c r="BV330" s="222">
        <f>BV103/BV15</f>
        <v>55.8872299482225</v>
      </c>
      <c r="BW330" s="222">
        <f>BW103/BW15</f>
        <v>146.517473832288</v>
      </c>
      <c r="BX330" s="222">
        <f>BX103/BX15</f>
        <v>56.7072758545198</v>
      </c>
      <c r="BY330" s="222">
        <f>BY103/BY15</f>
        <v>164.724467416359</v>
      </c>
      <c r="CA330" s="222">
        <f>CA103/CA15</f>
        <v>152.68268017598</v>
      </c>
      <c r="CB330" s="222">
        <f>CB103/CB15</f>
        <v>400.298993438096</v>
      </c>
      <c r="CC330" s="222">
        <f>CC103/CC15</f>
        <v>154.922581484488</v>
      </c>
      <c r="CD330" s="222">
        <f>CD103/CD15</f>
        <v>450.04195594053</v>
      </c>
      <c r="CF330" s="222">
        <f>CF103/CF15</f>
        <v>417.141847298218</v>
      </c>
      <c r="CG330" s="222">
        <f>CG103/CG15</f>
        <v>1093.63662096923</v>
      </c>
      <c r="CH330" s="222">
        <f>CH103/CH15</f>
        <v>423.260998883667</v>
      </c>
      <c r="CI330" s="222">
        <f>CI103/CI15</f>
        <v>1229.53666025849</v>
      </c>
      <c r="CK330" s="222">
        <f>CK103/CK15</f>
        <v>1139.65108199821</v>
      </c>
      <c r="CL330" s="222">
        <f>CL103/CL15</f>
        <v>2987.87491524312</v>
      </c>
      <c r="CM330" s="222">
        <f>CM103/CM15</f>
        <v>1156.36844494196</v>
      </c>
      <c r="CN330" s="222">
        <f>CN103/CN15</f>
        <v>3359.16104594274</v>
      </c>
      <c r="CP330" s="222">
        <f>CP103/CP15</f>
        <v>3113.58788564267</v>
      </c>
      <c r="CQ330" s="222">
        <f>CQ103/CQ15</f>
        <v>8163.02675885317</v>
      </c>
      <c r="CR330" s="222">
        <f>CR103/CR15</f>
        <v>3159.26017185691</v>
      </c>
      <c r="CS330" s="222">
        <f>CS103/CS15</f>
        <v>9177.39922594717</v>
      </c>
      <c r="CU330" s="222">
        <f>CU103/CU15</f>
        <v>8506.47996233157</v>
      </c>
      <c r="CV330" s="222">
        <f>CV103/CV15</f>
        <v>22301.8070346211</v>
      </c>
      <c r="CW330" s="222">
        <f>CW103/CW15</f>
        <v>8631.25851780339</v>
      </c>
      <c r="CX330" s="222">
        <f>CX103/CX15</f>
        <v>25073.1243573245</v>
      </c>
    </row>
    <row r="331" customFormat="1" s="233">
      <c r="A331" s="224" t="n"/>
      <c r="B331" s="224" t="n"/>
      <c r="C331" s="233" t="inlineStr">
        <is>
          <t>ASSET TURNOVER</t>
        </is>
      </c>
      <c r="D331" s="238">
        <f>D103/D163</f>
        <v>0.0114156522392335</v>
      </c>
      <c r="E331" s="238">
        <f>E103/E163</f>
        <v>-0.0134039031286421</v>
      </c>
      <c r="F331" s="238">
        <f>F103/F163</f>
        <v>0.023359760365626</v>
      </c>
      <c r="G331" s="238">
        <f>G103/G163</f>
        <v>0.0249631785677142</v>
      </c>
      <c r="I331" s="222">
        <f>I103/I163</f>
        <v>0.0212812626571488</v>
      </c>
      <c r="J331" s="222">
        <f>J103/J163</f>
        <v>0.0121230077340898</v>
      </c>
      <c r="K331" s="222">
        <f>K103/K163</f>
        <v>0.0151077406169565</v>
      </c>
      <c r="L331" s="222">
        <f>L103/L163</f>
        <v>0.0116592866507269</v>
      </c>
      <c r="N331" s="222">
        <f>N103/N163</f>
        <v>0.0184191075925297</v>
      </c>
      <c r="O331" s="222">
        <f>O103/O163</f>
        <v>0.0103087979395501</v>
      </c>
      <c r="P331" s="222">
        <f>P103/P163</f>
        <v>0.0136447933712573</v>
      </c>
      <c r="Q331" s="222">
        <f>Q103/Q163</f>
        <v>0.00397248425686842</v>
      </c>
      <c r="S331" s="222">
        <f>S103/S163</f>
        <v>0.0119345466238136</v>
      </c>
      <c r="T331" s="222">
        <f>T103/T163</f>
        <v>0.00646629299787106</v>
      </c>
      <c r="U331" s="222">
        <f>U103/U163</f>
        <v>0.0151042908049558</v>
      </c>
      <c r="V331" s="222">
        <f>V103/V163</f>
        <v>0.00701891419250295</v>
      </c>
      <c r="X331" s="222">
        <f>X103/X163</f>
        <v>0.0143726051897756</v>
      </c>
      <c r="Y331" s="222">
        <f>Y103/Y163</f>
        <v>0.0135588703175359</v>
      </c>
      <c r="Z331" s="222">
        <f>Z103/Z163</f>
        <v>0.0146344975316217</v>
      </c>
      <c r="AA331" s="222">
        <f>AA103/AA163</f>
        <v>0.00642461269398213</v>
      </c>
      <c r="AC331" s="222">
        <f>AC103/AC163</f>
        <v>0.0135099076863622</v>
      </c>
      <c r="AD331" s="222">
        <f>AD103/AD163</f>
        <v>0.0116503964904502</v>
      </c>
      <c r="AE331" s="222">
        <f>AE103/AE163</f>
        <v>0.0136126064687222</v>
      </c>
      <c r="AF331" s="222">
        <f>AF103/AF163</f>
        <v>0.00728630144270781</v>
      </c>
      <c r="AH331" s="222">
        <f>AH103/AH163</f>
        <v>0.0150995939201183</v>
      </c>
      <c r="AI331" s="222">
        <f>AI103/AI163</f>
        <v>0.0163624749833591</v>
      </c>
      <c r="AJ331" s="222">
        <f>AJ103/AJ163</f>
        <v>0.00650682499548143</v>
      </c>
      <c r="AK331" s="222">
        <f>AK103/AK163</f>
        <v>0.00622479334476377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>
        <f>D163/D237</f>
        <v>3.16985640862045</v>
      </c>
      <c r="E332" s="238">
        <f>E163/E237</f>
        <v>3.53034451993765</v>
      </c>
      <c r="F332" s="238">
        <f>F163/F237</f>
        <v>3.35014697496139</v>
      </c>
      <c r="G332" s="238">
        <f>G163/G237</f>
        <v>3.19132615873939</v>
      </c>
      <c r="I332" s="222">
        <f>I163/I237</f>
        <v>3.29234473395295</v>
      </c>
      <c r="J332" s="222">
        <f>J163/J237</f>
        <v>3.07438509073017</v>
      </c>
      <c r="K332" s="222">
        <f>K163/K237</f>
        <v>3.4578649509589</v>
      </c>
      <c r="L332" s="222">
        <f>L163/L237</f>
        <v>3.27518457959746</v>
      </c>
      <c r="N332" s="222">
        <f>N163/N237</f>
        <v>3.41902854677556</v>
      </c>
      <c r="O332" s="222">
        <f>O163/O237</f>
        <v>3.74009190851968</v>
      </c>
      <c r="P332" s="222">
        <f>P163/P237</f>
        <v>3.64281878640904</v>
      </c>
      <c r="Q332" s="222">
        <f>Q163/Q237</f>
        <v>2.88468168050244</v>
      </c>
      <c r="S332" s="222">
        <f>S163/S237</f>
        <v>2.80054266471372</v>
      </c>
      <c r="T332" s="222">
        <f>T163/T237</f>
        <v>2.25306738618764</v>
      </c>
      <c r="U332" s="222">
        <f>U163/U237</f>
        <v>2.22133381613249</v>
      </c>
      <c r="V332" s="222">
        <f>V163/V237</f>
        <v>2.26566413686371</v>
      </c>
      <c r="X332" s="222">
        <f>X163/X237</f>
        <v>2.24183912602427</v>
      </c>
      <c r="Y332" s="222">
        <f>Y163/Y237</f>
        <v>2.35726151230293</v>
      </c>
      <c r="Z332" s="222">
        <f>Z163/Z237</f>
        <v>2.40080621166188</v>
      </c>
      <c r="AA332" s="222">
        <f>AA163/AA237</f>
        <v>2.43029222686258</v>
      </c>
      <c r="AC332" s="222">
        <f>AC163/AC237</f>
        <v>2.49439289183123</v>
      </c>
      <c r="AD332" s="222">
        <f>AD163/AD237</f>
        <v>2.38961670919766</v>
      </c>
      <c r="AE332" s="222">
        <f>AE163/AE237</f>
        <v>2.47766526978087</v>
      </c>
      <c r="AF332" s="222">
        <f>AF163/AF237</f>
        <v>2.5941494835044</v>
      </c>
      <c r="AH332" s="222">
        <f>AH163/AH237</f>
        <v>2.52492954229111</v>
      </c>
      <c r="AI332" s="222">
        <f>AI163/AI237</f>
        <v>2.45697009915243</v>
      </c>
      <c r="AJ332" s="222">
        <f>AJ163/AJ237</f>
        <v>2.19385536884007</v>
      </c>
      <c r="AK332" s="222">
        <f>AK163/AK237</f>
        <v>2.17814981334654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>
        <f>PRODUCT(D330:D332)</f>
        <v>0.00297619771843966</v>
      </c>
      <c r="E333" s="238">
        <f>PRODUCT(E330:E332)</f>
        <v>0.00762478079859176</v>
      </c>
      <c r="F333" s="238">
        <f>PRODUCT(F330:F332)</f>
        <v>0.0118172769441398</v>
      </c>
      <c r="G333" s="238">
        <f>PRODUCT(G330:G332)</f>
        <v>0.0119721121634384</v>
      </c>
      <c r="I333" s="222">
        <f>PRODUCT(I330:I332)</f>
        <v>0.00929794431089103</v>
      </c>
      <c r="J333" s="222">
        <f>PRODUCT(J330:J332)</f>
        <v>0.00262055114714236</v>
      </c>
      <c r="K333" s="222">
        <f>PRODUCT(K330:K332)</f>
        <v>0.0048218803081283</v>
      </c>
      <c r="L333" s="222">
        <f>PRODUCT(L330:L332)</f>
        <v>0.00265651959136054</v>
      </c>
      <c r="N333" s="222">
        <f>PRODUCT(N330:N332)</f>
        <v>0.0063812964430284</v>
      </c>
      <c r="O333" s="222">
        <f>PRODUCT(O330:O332)</f>
        <v>0.00244529221435524</v>
      </c>
      <c r="P333" s="222">
        <f>PRODUCT(P330:P332)</f>
        <v>0.0041617561366471</v>
      </c>
      <c r="Q333" s="222">
        <f>PRODUCT(Q330:Q332)</f>
        <v>0.000318186830022846</v>
      </c>
      <c r="S333" s="222">
        <f>PRODUCT(S330:S332)</f>
        <v>0.00253619834088759</v>
      </c>
      <c r="T333" s="222">
        <f>PRODUCT(T330:T332)</f>
        <v>0.000653388781019319</v>
      </c>
      <c r="U333" s="222">
        <f>PRODUCT(U330:U332)</f>
        <v>0.00312540540673334</v>
      </c>
      <c r="V333" s="222">
        <f>PRODUCT(V330:V332)</f>
        <v>0.000758334578911347</v>
      </c>
      <c r="X333" s="222">
        <f>PRODUCT(X330:X332)</f>
        <v>0.00284168245733829</v>
      </c>
      <c r="Y333" s="222">
        <f>PRODUCT(Y330:Y332)</f>
        <v>0.00280462842599851</v>
      </c>
      <c r="Z333" s="222">
        <f>PRODUCT(Z330:Z332)</f>
        <v>0.00341389744551492</v>
      </c>
      <c r="AA333" s="222">
        <f>PRODUCT(AA330:AA332)</f>
        <v>0.000712384388453988</v>
      </c>
      <c r="AC333" s="222">
        <f>PRODUCT(AC330:AC332)</f>
        <v>0.00299828783482106</v>
      </c>
      <c r="AD333" s="222">
        <f>PRODUCT(AD330:AD332)</f>
        <v>0.00209431331601399</v>
      </c>
      <c r="AE333" s="222">
        <f>PRODUCT(AE330:AE332)</f>
        <v>0.00284656994216385</v>
      </c>
      <c r="AF333" s="222">
        <f>PRODUCT(AF330:AF332)</f>
        <v>0.000883616486719868</v>
      </c>
      <c r="AH333" s="222">
        <f>PRODUCT(AH330:AH332)</f>
        <v>0.00345068926106857</v>
      </c>
      <c r="AI333" s="222">
        <f>PRODUCT(AI330:AI332)</f>
        <v>0.00384988356577656</v>
      </c>
      <c r="AJ333" s="222">
        <f>PRODUCT(AJ330:AJ332)</f>
        <v>0.000520428590303484</v>
      </c>
      <c r="AK333" s="222">
        <f>PRODUCT(AK330:AK332)</f>
        <v>0.000505858457253267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>
        <f>D103/D237</f>
        <v>0.0361859784091168</v>
      </c>
      <c r="E334" s="238">
        <f>E103/E237</f>
        <v>-0.0473203959559769</v>
      </c>
      <c r="F334" s="238">
        <f>F103/F237</f>
        <v>0.0782586305247251</v>
      </c>
      <c r="G334" s="238">
        <f>G103/G237</f>
        <v>0.0796656447684286</v>
      </c>
      <c r="I334" s="222">
        <f>I103/I237</f>
        <v>0.0700652530411334</v>
      </c>
      <c r="J334" s="222">
        <f>J103/J237</f>
        <v>0.0372707942324923</v>
      </c>
      <c r="K334" s="222">
        <f>K103/K237</f>
        <v>0.052240526767552</v>
      </c>
      <c r="L334" s="222">
        <f>L103/L237</f>
        <v>0.0381863158475673</v>
      </c>
      <c r="N334" s="222">
        <f>N103/N237</f>
        <v>0.0629754546649897</v>
      </c>
      <c r="O334" s="222">
        <f>O103/O237</f>
        <v>0.0385558517602757</v>
      </c>
      <c r="P334" s="222">
        <f>P103/P237</f>
        <v>0.0497055096294858</v>
      </c>
      <c r="Q334" s="222">
        <f>Q103/Q237</f>
        <v>0.0114593525618727</v>
      </c>
      <c r="S334" s="222">
        <f>S103/S237</f>
        <v>0.0334232070040051</v>
      </c>
      <c r="T334" s="222">
        <f>T103/T237</f>
        <v>0.0145689938630368</v>
      </c>
      <c r="U334" s="222">
        <f>U103/U237</f>
        <v>0.0335516719337473</v>
      </c>
      <c r="V334" s="222">
        <f>V103/V237</f>
        <v>0.0159025021656776</v>
      </c>
      <c r="X334" s="222">
        <f>X103/X237</f>
        <v>0.0322210686573384</v>
      </c>
      <c r="Y334" s="222">
        <f>Y103/Y237</f>
        <v>0.0319618031498341</v>
      </c>
      <c r="Z334" s="222">
        <f>Z103/Z237</f>
        <v>0.0351345925784679</v>
      </c>
      <c r="AA334" s="222">
        <f>AA103/AA237</f>
        <v>0.0156136862907874</v>
      </c>
      <c r="AC334" s="222">
        <f>AC103/AC237</f>
        <v>0.0336990177021579</v>
      </c>
      <c r="AD334" s="222">
        <f>AD103/AD237</f>
        <v>0.0278399821223577</v>
      </c>
      <c r="AE334" s="222">
        <f>AE103/AE237</f>
        <v>0.0337274822787473</v>
      </c>
      <c r="AF334" s="222">
        <f>AF103/AF237</f>
        <v>0.0189017551242578</v>
      </c>
      <c r="AH334" s="222">
        <f>AH103/AH237</f>
        <v>0.038125410765506</v>
      </c>
      <c r="AI334" s="222">
        <f>AI103/AI237</f>
        <v>0.0402021117822431</v>
      </c>
      <c r="AJ334" s="222">
        <f>AJ103/AJ237</f>
        <v>0.0142750329504397</v>
      </c>
      <c r="AK334" s="222">
        <f>AK103/AK237</f>
        <v>0.013558532462018</v>
      </c>
      <c r="AM334" s="222">
        <f>AM103/AM237</f>
        <v>0.0135773344422079</v>
      </c>
      <c r="AN334" s="222">
        <f>AN103/AN237</f>
        <v>0.0524401233229047</v>
      </c>
      <c r="AO334" s="222">
        <f>AO103/AO237</f>
        <v>0.0128037382063627</v>
      </c>
      <c r="AP334" s="222">
        <f>AP103/AP237</f>
        <v>0.0492921755842496</v>
      </c>
      <c r="AR334" s="222">
        <f>AR103/AR237</f>
        <v>0.0471586543869861</v>
      </c>
      <c r="AS334" s="222">
        <f>AS103/AS237</f>
        <v>0.105449792396099</v>
      </c>
      <c r="AT334" s="222">
        <f>AT103/AT237</f>
        <v>0.0405750646398089</v>
      </c>
      <c r="AU334" s="222">
        <f>AU103/AU237</f>
        <v>0.0919534367445703</v>
      </c>
      <c r="AW334" s="222">
        <f>AW103/AW237</f>
        <v>0.0843497382859555</v>
      </c>
      <c r="AX334" s="222">
        <f>AX103/AX237</f>
        <v>0.191263640768572</v>
      </c>
      <c r="AY334" s="222">
        <f>AY103/AY237</f>
        <v>0.0639321379721903</v>
      </c>
      <c r="AZ334" s="222">
        <f>AZ103/AZ237</f>
        <v>0.151915299186378</v>
      </c>
      <c r="BB334" s="222">
        <f>BB103/BB237</f>
        <v>0.131965402480761</v>
      </c>
      <c r="BC334" s="222">
        <f>BC103/BC237</f>
        <v>0.263771045118047</v>
      </c>
      <c r="BD334" s="222">
        <f>BD103/BD237</f>
        <v>0.088594857755471</v>
      </c>
      <c r="BE334" s="222">
        <f>BE103/BE237</f>
        <v>0.193847988884188</v>
      </c>
      <c r="BG334" s="222">
        <f>BG103/BG237</f>
        <v>0.162412842635421</v>
      </c>
      <c r="BH334" s="222">
        <f>BH103/BH237</f>
        <v>0.307755717860497</v>
      </c>
      <c r="BI334" s="222">
        <f>BI103/BI237</f>
        <v>0.101085536711691</v>
      </c>
      <c r="BJ334" s="222">
        <f>BJ103/BJ237</f>
        <v>0.216714683175437</v>
      </c>
      <c r="BL334" s="222">
        <f>BL103/BL237</f>
        <v>0.178131234858602</v>
      </c>
      <c r="BM334" s="222">
        <f>BM103/BM237</f>
        <v>0.327259606862725</v>
      </c>
      <c r="BN334" s="222">
        <f>BN103/BN237</f>
        <v>0.107019807814057</v>
      </c>
      <c r="BO334" s="222">
        <f>BO103/BO237</f>
        <v>0.226154561327175</v>
      </c>
      <c r="BQ334" s="222">
        <f>BQ103/BQ237</f>
        <v>0.184448491334175</v>
      </c>
      <c r="BR334" s="222">
        <f>BR103/BR237</f>
        <v>0.33510526524195</v>
      </c>
      <c r="BS334" s="222">
        <f>BS103/BS237</f>
        <v>0.109244473875912</v>
      </c>
      <c r="BT334" s="222">
        <f>BT103/BT237</f>
        <v>0.229881343814895</v>
      </c>
      <c r="BV334" s="222">
        <f>BV103/BV237</f>
        <v>0.186915800303955</v>
      </c>
      <c r="BW334" s="222">
        <f>BW103/BW237</f>
        <v>0.338033190619203</v>
      </c>
      <c r="BX334" s="222">
        <f>BX103/BX237</f>
        <v>0.110109224929048</v>
      </c>
      <c r="BY334" s="222">
        <f>BY103/BY237</f>
        <v>0.231250721130837</v>
      </c>
      <c r="CA334" s="222">
        <f>CA103/CA237</f>
        <v>0.187818606595832</v>
      </c>
      <c r="CB334" s="222">
        <f>CB103/CB237</f>
        <v>0.339120918776375</v>
      </c>
      <c r="CC334" s="222">
        <f>CC103/CC237</f>
        <v>0.110419918112855</v>
      </c>
      <c r="CD334" s="222">
        <f>CD103/CD237</f>
        <v>0.231759556167303</v>
      </c>
      <c r="CF334" s="222">
        <f>CF103/CF237</f>
        <v>0.18815356379046</v>
      </c>
      <c r="CG334" s="222">
        <f>CG103/CG237</f>
        <v>0.339517364670608</v>
      </c>
      <c r="CH334" s="222">
        <f>CH103/CH237</f>
        <v>0.110535801870865</v>
      </c>
      <c r="CI334" s="222">
        <f>CI103/CI237</f>
        <v>0.231944213086389</v>
      </c>
      <c r="CK334" s="222">
        <f>CK103/CK237</f>
        <v>0.18827504930837</v>
      </c>
      <c r="CL334" s="222">
        <f>CL103/CL237</f>
        <v>0.339662679713154</v>
      </c>
      <c r="CM334" s="222">
        <f>CM103/CM237</f>
        <v>0.11057754362869</v>
      </c>
      <c r="CN334" s="222">
        <f>CN103/CN237</f>
        <v>0.23201200934849</v>
      </c>
      <c r="CP334" s="222">
        <f>CP103/CP237</f>
        <v>0.18831964335809</v>
      </c>
      <c r="CQ334" s="222">
        <f>CQ103/CQ237</f>
        <v>0.339715560025304</v>
      </c>
      <c r="CR334" s="222">
        <f>CR103/CR237</f>
        <v>0.110592926632349</v>
      </c>
      <c r="CS334" s="222">
        <f>CS103/CS237</f>
        <v>0.232036636844405</v>
      </c>
      <c r="CU334" s="222">
        <f>CU103/CU237</f>
        <v>0.188335841043779</v>
      </c>
      <c r="CV334" s="222">
        <f>CV103/CV237</f>
        <v>0.339734883781283</v>
      </c>
      <c r="CW334" s="222">
        <f>CW103/CW237</f>
        <v>0.110598495648578</v>
      </c>
      <c r="CX334" s="222">
        <f>CX103/CX237</f>
        <v>0.232045646157399</v>
      </c>
    </row>
    <row r="335"/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7"/>
    <row r="338"/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2"/>
    <row r="343"/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7"/>
    <row r="348"/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3"/>
    <row r="354"/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61">
      <c r="C361" s="12" t="inlineStr">
        <is>
          <t>Receita bruta por negocio - como divulgado pela Fleury (R$ milhoes)</t>
        </is>
      </c>
      <c r="D361" s="12" t="str">
        <f>D7</f>
        <v>1Q20</v>
      </c>
      <c r="E361" s="12" t="str">
        <f>E7</f>
        <v>2Q20</v>
      </c>
      <c r="F361" s="12" t="str">
        <f>F7</f>
        <v>3Q20</v>
      </c>
      <c r="G361" s="12" t="str">
        <f>G7</f>
        <v>4Q20</v>
      </c>
      <c r="H361" s="12">
        <f>H7</f>
        <v>2020</v>
      </c>
      <c r="I361" s="12" t="str">
        <f>I7</f>
        <v>1Q21</v>
      </c>
      <c r="J361" s="12" t="str">
        <f>J7</f>
        <v>2Q21</v>
      </c>
      <c r="K361" s="12" t="str">
        <f>K7</f>
        <v>3Q21</v>
      </c>
      <c r="L361" s="12" t="str">
        <f>L7</f>
        <v>4Q21</v>
      </c>
      <c r="M361" s="12">
        <f>M7</f>
        <v>2021</v>
      </c>
      <c r="N361" s="12" t="str">
        <f>N7</f>
        <v>1Q22</v>
      </c>
      <c r="O361" s="12" t="str">
        <f>O7</f>
        <v>2Q22</v>
      </c>
      <c r="P361" s="12" t="str">
        <f>P7</f>
        <v>3Q22</v>
      </c>
      <c r="Q361" s="12" t="str">
        <f>Q7</f>
        <v>4Q22</v>
      </c>
      <c r="R361" s="12">
        <f>R7</f>
        <v>2022</v>
      </c>
      <c r="S361" s="12" t="str">
        <f>S7</f>
        <v>1Q23</v>
      </c>
      <c r="T361" s="12" t="str">
        <f>T7</f>
        <v>2Q23</v>
      </c>
      <c r="U361" s="12" t="str">
        <f>U7</f>
        <v>3Q23</v>
      </c>
      <c r="V361" s="12" t="str">
        <f>V7</f>
        <v>4Q23</v>
      </c>
      <c r="W361" s="12">
        <f>W7</f>
        <v>2023</v>
      </c>
      <c r="X361" s="12" t="str">
        <f>X7</f>
        <v>1Q24</v>
      </c>
      <c r="Y361" s="12" t="str">
        <f>Y7</f>
        <v>2Q24</v>
      </c>
      <c r="Z361" s="12" t="str">
        <f>Z7</f>
        <v>3Q24</v>
      </c>
      <c r="AA361" s="12" t="str">
        <f>AA7</f>
        <v>4Q24</v>
      </c>
      <c r="AB361" s="12">
        <f>AB7</f>
        <v>2024</v>
      </c>
      <c r="AC361" s="12" t="str">
        <f>AC7</f>
        <v>1Q25</v>
      </c>
      <c r="AD361" s="12" t="str">
        <f>AD7</f>
        <v>2Q25</v>
      </c>
      <c r="AE361" s="12" t="str">
        <f>AE7</f>
        <v>3Q25</v>
      </c>
      <c r="AF361" s="12" t="str">
        <f>AF7</f>
        <v>4Q25</v>
      </c>
      <c r="AG361" s="12">
        <f>AG7</f>
        <v>2025</v>
      </c>
    </row>
    <row r="362"/>
    <row r="363">
      <c r="C363" s="264" t="inlineStr">
        <is>
          <t>B2C - Unidades de Atendimento (PSC)</t>
        </is>
      </c>
      <c r="D363" s="15">
        <f>IF(COUNT(D364:D368)=0,"",SUM(D364:D368))</f>
        <v>641.341436460939</v>
      </c>
      <c r="E363" s="15">
        <f>IF(COUNT(E364:E368)=0,"",SUM(E364:E368))</f>
        <v>370.929886290485</v>
      </c>
      <c r="F363" s="15">
        <f>IF(COUNT(F364:F368)=0,"",SUM(F364:F368))</f>
        <v>774.245549319878</v>
      </c>
      <c r="G363" s="15">
        <f>IF(COUNT(G364:G368)=0,"",SUM(G364:G368))</f>
        <v>811.62870938</v>
      </c>
      <c r="H363" s="16">
        <f>IF(COUNT(H364:H368)=0,"",SUM(H364:H368))</f>
        <v>2598.1455814513</v>
      </c>
      <c r="I363" s="15">
        <f>IF(COUNT(I364:I368)=0,"",SUM(I364:I368))</f>
        <v>781.684064417046</v>
      </c>
      <c r="J363" s="15">
        <f>IF(COUNT(J364:J368)=0,"",SUM(J364:J368))</f>
        <v>793.652269139999</v>
      </c>
      <c r="K363" s="15">
        <f>IF(COUNT(K364:K368)=0,"",SUM(K364:K368))</f>
        <v>837.859897848264</v>
      </c>
      <c r="L363" s="15">
        <f>IF(COUNT(L364:L368)=0,"",SUM(L364:L368))</f>
        <v>841.4709958848</v>
      </c>
      <c r="M363" s="16">
        <f>IF(COUNT(M364:M368)=0,"",SUM(M364:M368))</f>
        <v>3254.66722729011</v>
      </c>
      <c r="N363" s="15">
        <f>IF(COUNT(N364:N368)=0,"",SUM(N364:N368))</f>
        <v>919.944005639443</v>
      </c>
      <c r="O363" s="15">
        <f>IF(COUNT(O364:O368)=0,"",SUM(O364:O368))</f>
        <v>936.247704643933</v>
      </c>
      <c r="P363" s="15">
        <f>IF(COUNT(P364:P368)=0,"",SUM(P364:P368))</f>
        <v>986.375903</v>
      </c>
      <c r="Q363" s="15">
        <f>IF(COUNT(Q364:Q368)=0,"",SUM(Q364:Q368))</f>
        <v>925.4721232</v>
      </c>
      <c r="R363" s="16">
        <f>IF(COUNT(R364:R368)=0,"",SUM(R364:R368))</f>
        <v>3768.03973648338</v>
      </c>
      <c r="S363" s="15">
        <f>IF(COUNT(S364:S368)=0,"",SUM(S364:S368))</f>
        <v>1061.7201126</v>
      </c>
      <c r="T363" s="15" t="str">
        <f>IF(COUNT(T364:T368)=0,"",SUM(T364:T368))</f>
        <v/>
      </c>
      <c r="U363" s="15">
        <f>IF(COUNT(U364:U368)=0,"",SUM(U364:U368))</f>
        <v>1365.42329307997</v>
      </c>
      <c r="V363" s="15">
        <f>IF(COUNT(V364:V368)=0,"",SUM(V364:V368))</f>
        <v>1225.729067</v>
      </c>
      <c r="W363" s="16" t="str">
        <f>IF(COUNT(W364:W368)=0,"",SUM(W364:W368))</f>
        <v/>
      </c>
      <c r="X363" s="15">
        <f>IF(COUNT(X364:X368)=0,"",SUM(X364:X368))</f>
        <v>1377.44437214918</v>
      </c>
      <c r="Y363" s="15">
        <f>IF(COUNT(Y364:Y368)=0,"",SUM(Y364:Y368))</f>
        <v>1434.56181289584</v>
      </c>
      <c r="Z363" s="15">
        <f>IF(COUNT(Z364:Z368)=0,"",SUM(Z364:Z368))</f>
        <v>1433.490761</v>
      </c>
      <c r="AA363" s="15">
        <f>IF(COUNT(AA364:AA368)=0,"",SUM(AA364:AA368))</f>
        <v>1353.70392452326</v>
      </c>
      <c r="AB363" s="16">
        <f>IF(COUNT(AB364:AB368)=0,"",SUM(AB364:AB368))</f>
        <v>5599.20087056827</v>
      </c>
      <c r="AC363" s="15">
        <f>IF(COUNT(AC364:AC368)=0,"",SUM(AC364:AC368))</f>
        <v>1485.901056</v>
      </c>
      <c r="AD363" s="15">
        <f>IF(COUNT(AD364:AD368)=0,"",SUM(AD364:AD368))</f>
        <v>1537.768027</v>
      </c>
      <c r="AE363" s="15">
        <f>IF(COUNT(AE364:AE368)=0,"",SUM(AE364:AE368))</f>
        <v>1662.72272128052</v>
      </c>
      <c r="AF363" s="15">
        <f>IF(COUNT(AF364:AF368)=0,"",SUM(AF364:AF368))</f>
        <v>1535.61086095278</v>
      </c>
      <c r="AG363" s="16">
        <f>IF(COUNT(AG364:AG368)=0,"",SUM(AG364:AG368))</f>
        <v>6222.0026652333</v>
      </c>
    </row>
    <row r="364">
      <c r="C364" s="14" t="inlineStr">
        <is>
          <t xml:space="preserve">   Marca Fleury</t>
        </is>
      </c>
      <c r="D364" s="15">
        <f>IFERROR(INDEX('Inputs (2)'!$D$53:$AL$53,MATCH(D$7,'Inputs (2)'!$D$2:$AL$2,0)),"")</f>
        <v>322.197192057469</v>
      </c>
      <c r="E364" s="15">
        <f>IFERROR(INDEX('Inputs (2)'!$D$53:$AL$53,MATCH(E$7,'Inputs (2)'!$D$2:$AL$2,0)),"")</f>
        <v>186.347851237132</v>
      </c>
      <c r="F364" s="15">
        <f>IFERROR(INDEX('Inputs (2)'!$D$53:$AL$53,MATCH(F$7,'Inputs (2)'!$D$2:$AL$2,0)),"")</f>
        <v>385.743366084491</v>
      </c>
      <c r="G364" s="15">
        <f>IFERROR(INDEX('Inputs (2)'!$D$53:$AL$53,MATCH(G$7,'Inputs (2)'!$D$2:$AL$2,0)),"")</f>
        <v>409.801660750001</v>
      </c>
      <c r="H364" s="16">
        <f>IF(COUNT(D364:G364)=4,SUM(D364:G364),"")</f>
        <v>1304.09007012909</v>
      </c>
      <c r="I364" s="15">
        <f>IFERROR(INDEX('Inputs (2)'!$D$53:$AL$53,MATCH(I$7,'Inputs (2)'!$D$2:$AL$2,0)),"")</f>
        <v>390.315686736866</v>
      </c>
      <c r="J364" s="15">
        <f>IFERROR(INDEX('Inputs (2)'!$D$53:$AL$53,MATCH(J$7,'Inputs (2)'!$D$2:$AL$2,0)),"")</f>
        <v>393.47364947</v>
      </c>
      <c r="K364" s="15">
        <f>IFERROR(INDEX('Inputs (2)'!$D$53:$AL$53,MATCH(K$7,'Inputs (2)'!$D$2:$AL$2,0)),"")</f>
        <v>430.289524728265</v>
      </c>
      <c r="L364" s="15">
        <f>IFERROR(INDEX('Inputs (2)'!$D$53:$AL$53,MATCH(L$7,'Inputs (2)'!$D$2:$AL$2,0)),"")</f>
        <v>420.1253551948</v>
      </c>
      <c r="M364" s="16">
        <f>IF(COUNT(I364:L364)=4,SUM(I364:L364),"")</f>
        <v>1634.20421612993</v>
      </c>
      <c r="N364" s="15">
        <f>IFERROR(INDEX('Inputs (2)'!$D$53:$AL$53,MATCH(N$7,'Inputs (2)'!$D$2:$AL$2,0)),"")</f>
        <v>460.88136144</v>
      </c>
      <c r="O364" s="15">
        <f>IFERROR(INDEX('Inputs (2)'!$D$53:$AL$53,MATCH(O$7,'Inputs (2)'!$D$2:$AL$2,0)),"")</f>
        <v>447.893503927077</v>
      </c>
      <c r="P364" s="15">
        <f>IFERROR(INDEX('Inputs (2)'!$D$53:$AL$53,MATCH(P$7,'Inputs (2)'!$D$2:$AL$2,0)),"")</f>
        <v>467.536305</v>
      </c>
      <c r="Q364" s="15">
        <f>IFERROR(INDEX('Inputs (2)'!$D$53:$AL$53,MATCH(Q$7,'Inputs (2)'!$D$2:$AL$2,0)),"")</f>
        <v>441.22525712</v>
      </c>
      <c r="R364" s="16">
        <f>IF(COUNT(N364:Q364)=4,SUM(N364:Q364),"")</f>
        <v>1817.53642748708</v>
      </c>
      <c r="S364" s="15">
        <f>IFERROR(INDEX('Inputs (2)'!$D$53:$AL$53,MATCH(S$7,'Inputs (2)'!$D$2:$AL$2,0)),"")</f>
        <v>513.382763</v>
      </c>
      <c r="T364" s="15" t="str">
        <f>IFERROR(INDEX('Inputs (2)'!$D$53:$AL$53,MATCH(T$7,'Inputs (2)'!$D$2:$AL$2,0)),"")</f>
        <v/>
      </c>
      <c r="U364" s="15">
        <f>IFERROR(INDEX('Inputs (2)'!$D$53:$AL$53,MATCH(U$7,'Inputs (2)'!$D$2:$AL$2,0)),"")</f>
        <v>516.36538311</v>
      </c>
      <c r="V364" s="15">
        <f>IFERROR(INDEX('Inputs (2)'!$D$53:$AL$53,MATCH(V$7,'Inputs (2)'!$D$2:$AL$2,0)),"")</f>
        <v>461.316368</v>
      </c>
      <c r="W364" s="16" t="str">
        <f>IF(COUNT(S364:V364)=4,SUM(S364:V364),"")</f>
        <v/>
      </c>
      <c r="X364" s="15">
        <f>IFERROR(INDEX('Inputs (2)'!$D$53:$AL$53,MATCH(X$7,'Inputs (2)'!$D$2:$AL$2,0)),"")</f>
        <v>524.27157081</v>
      </c>
      <c r="Y364" s="15">
        <f>IFERROR(INDEX('Inputs (2)'!$D$53:$AL$53,MATCH(Y$7,'Inputs (2)'!$D$2:$AL$2,0)),"")</f>
        <v>537.839508303141</v>
      </c>
      <c r="Z364" s="15">
        <f>IFERROR(INDEX('Inputs (2)'!$D$53:$AL$53,MATCH(Z$7,'Inputs (2)'!$D$2:$AL$2,0)),"")</f>
        <v>522.393136</v>
      </c>
      <c r="AA364" s="15">
        <f>IFERROR(INDEX('Inputs (2)'!$D$53:$AL$53,MATCH(AA$7,'Inputs (2)'!$D$2:$AL$2,0)),"")</f>
        <v>505.17684355</v>
      </c>
      <c r="AB364" s="16">
        <f>IF(COUNT(X364:AA364)=4,SUM(X364:AA364),"")</f>
        <v>2089.68105866314</v>
      </c>
      <c r="AC364" s="15">
        <f>IFERROR(INDEX('Inputs (2)'!$D$53:$AL$53,MATCH(AC$7,'Inputs (2)'!$D$2:$AL$2,0)),"")</f>
        <v>554.13673</v>
      </c>
      <c r="AD364" s="15">
        <f>IFERROR(INDEX('Inputs (2)'!$D$53:$AL$53,MATCH(AD$7,'Inputs (2)'!$D$2:$AL$2,0)),"")</f>
        <v>560.847492</v>
      </c>
      <c r="AE364" s="15">
        <f>IFERROR(INDEX('Inputs (2)'!$D$53:$AL$53,MATCH(AE$7,'Inputs (2)'!$D$2:$AL$2,0)),"")</f>
        <v>586.022739445018</v>
      </c>
      <c r="AF364" s="15">
        <f>IFERROR(INDEX('Inputs (2)'!$D$53:$AL$53,MATCH(AF$7,'Inputs (2)'!$D$2:$AL$2,0)),"")</f>
        <v>548.688281952783</v>
      </c>
      <c r="AG364" s="16">
        <f>IF(COUNT(AC364:AF364)=4,SUM(AC364:AF364),"")</f>
        <v>2249.6952433978</v>
      </c>
    </row>
    <row r="365">
      <c r="C365" s="14" t="inlineStr">
        <is>
          <t xml:space="preserve">   Outras Marcas SP</t>
        </is>
      </c>
      <c r="D365" s="15">
        <f>IFERROR(INDEX('Inputs (2)'!$D$54:$AL$54,MATCH(D$7,'Inputs (2)'!$D$2:$AL$2,0)),"")</f>
        <v>104.417205371121</v>
      </c>
      <c r="E365" s="15">
        <f>IFERROR(INDEX('Inputs (2)'!$D$54:$AL$54,MATCH(E$7,'Inputs (2)'!$D$2:$AL$2,0)),"")</f>
        <v>60.3140950214189</v>
      </c>
      <c r="F365" s="15">
        <f>IFERROR(INDEX('Inputs (2)'!$D$54:$AL$54,MATCH(F$7,'Inputs (2)'!$D$2:$AL$2,0)),"")</f>
        <v>129.863325094117</v>
      </c>
      <c r="G365" s="15">
        <f>IFERROR(INDEX('Inputs (2)'!$D$54:$AL$54,MATCH(G$7,'Inputs (2)'!$D$2:$AL$2,0)),"")</f>
        <v>126.11387746</v>
      </c>
      <c r="H365" s="16">
        <f>IF(COUNT(D365:G365)=4,SUM(D365:G365),"")</f>
        <v>420.708502946657</v>
      </c>
      <c r="I365" s="15">
        <f>IFERROR(INDEX('Inputs (2)'!$D$54:$AL$54,MATCH(I$7,'Inputs (2)'!$D$2:$AL$2,0)),"")</f>
        <v>129.339606052738</v>
      </c>
      <c r="J365" s="15">
        <f>IFERROR(INDEX('Inputs (2)'!$D$54:$AL$54,MATCH(J$7,'Inputs (2)'!$D$2:$AL$2,0)),"")</f>
        <v>134.22810704</v>
      </c>
      <c r="K365" s="15">
        <f>IFERROR(INDEX('Inputs (2)'!$D$54:$AL$54,MATCH(K$7,'Inputs (2)'!$D$2:$AL$2,0)),"")</f>
        <v>138.41611284</v>
      </c>
      <c r="L365" s="15">
        <f>IFERROR(INDEX('Inputs (2)'!$D$54:$AL$54,MATCH(L$7,'Inputs (2)'!$D$2:$AL$2,0)),"")</f>
        <v>133.76757361</v>
      </c>
      <c r="M365" s="16">
        <f>IF(COUNT(I365:L365)=4,SUM(I365:L365),"")</f>
        <v>535.751399542738</v>
      </c>
      <c r="N365" s="15">
        <f>IFERROR(INDEX('Inputs (2)'!$D$54:$AL$54,MATCH(N$7,'Inputs (2)'!$D$2:$AL$2,0)),"")</f>
        <v>151.03867056</v>
      </c>
      <c r="O365" s="15">
        <f>IFERROR(INDEX('Inputs (2)'!$D$54:$AL$54,MATCH(O$7,'Inputs (2)'!$D$2:$AL$2,0)),"")</f>
        <v>156.341420521005</v>
      </c>
      <c r="P365" s="15">
        <f>IFERROR(INDEX('Inputs (2)'!$D$54:$AL$54,MATCH(P$7,'Inputs (2)'!$D$2:$AL$2,0)),"")</f>
        <v>165.44623</v>
      </c>
      <c r="Q365" s="15">
        <f>IFERROR(INDEX('Inputs (2)'!$D$54:$AL$54,MATCH(Q$7,'Inputs (2)'!$D$2:$AL$2,0)),"")</f>
        <v>151.836198</v>
      </c>
      <c r="R365" s="16">
        <f>IF(COUNT(N365:Q365)=4,SUM(N365:Q365),"")</f>
        <v>624.662519081005</v>
      </c>
      <c r="S365" s="15">
        <f>IFERROR(INDEX('Inputs (2)'!$D$54:$AL$54,MATCH(S$7,'Inputs (2)'!$D$2:$AL$2,0)),"")</f>
        <v>178.979496</v>
      </c>
      <c r="T365" s="15" t="str">
        <f>IFERROR(INDEX('Inputs (2)'!$D$54:$AL$54,MATCH(T$7,'Inputs (2)'!$D$2:$AL$2,0)),"")</f>
        <v/>
      </c>
      <c r="U365" s="15">
        <f>IFERROR(INDEX('Inputs (2)'!$D$54:$AL$54,MATCH(U$7,'Inputs (2)'!$D$2:$AL$2,0)),"")</f>
        <v>247.76214341</v>
      </c>
      <c r="V365" s="15">
        <f>IFERROR(INDEX('Inputs (2)'!$D$54:$AL$54,MATCH(V$7,'Inputs (2)'!$D$2:$AL$2,0)),"")</f>
        <v>222.190043</v>
      </c>
      <c r="W365" s="16" t="str">
        <f>IF(COUNT(S365:V365)=4,SUM(S365:V365),"")</f>
        <v/>
      </c>
      <c r="X365" s="15">
        <f>IFERROR(INDEX('Inputs (2)'!$D$54:$AL$54,MATCH(X$7,'Inputs (2)'!$D$2:$AL$2,0)),"")</f>
        <v>260.104847016275</v>
      </c>
      <c r="Y365" s="15">
        <f>IFERROR(INDEX('Inputs (2)'!$D$54:$AL$54,MATCH(Y$7,'Inputs (2)'!$D$2:$AL$2,0)),"")</f>
        <v>275.116410952598</v>
      </c>
      <c r="Z365" s="15">
        <f>IFERROR(INDEX('Inputs (2)'!$D$54:$AL$54,MATCH(Z$7,'Inputs (2)'!$D$2:$AL$2,0)),"")</f>
        <v>272.523471</v>
      </c>
      <c r="AA365" s="15">
        <f>IFERROR(INDEX('Inputs (2)'!$D$54:$AL$54,MATCH(AA$7,'Inputs (2)'!$D$2:$AL$2,0)),"")</f>
        <v>252.227442297001</v>
      </c>
      <c r="AB365" s="16">
        <f>IF(COUNT(X365:AA365)=4,SUM(X365:AA365),"")</f>
        <v>1059.97217126587</v>
      </c>
      <c r="AC365" s="15">
        <f>IFERROR(INDEX('Inputs (2)'!$D$54:$AL$54,MATCH(AC$7,'Inputs (2)'!$D$2:$AL$2,0)),"")</f>
        <v>284.97237</v>
      </c>
      <c r="AD365" s="15">
        <f>IFERROR(INDEX('Inputs (2)'!$D$54:$AL$54,MATCH(AD$7,'Inputs (2)'!$D$2:$AL$2,0)),"")</f>
        <v>292.180676</v>
      </c>
      <c r="AE365" s="15">
        <f>IFERROR(INDEX('Inputs (2)'!$D$54:$AL$54,MATCH(AE$7,'Inputs (2)'!$D$2:$AL$2,0)),"")</f>
        <v>346.355975155029</v>
      </c>
      <c r="AF365" s="15">
        <f>IFERROR(INDEX('Inputs (2)'!$D$54:$AL$54,MATCH(AF$7,'Inputs (2)'!$D$2:$AL$2,0)),"")</f>
        <v>316.543483</v>
      </c>
      <c r="AG365" s="16">
        <f>IF(COUNT(AC365:AF365)=4,SUM(AC365:AF365),"")</f>
        <v>1240.05250415503</v>
      </c>
    </row>
    <row r="366">
      <c r="C366" s="14" t="inlineStr">
        <is>
          <t xml:space="preserve">   Rio de Janeiro</t>
        </is>
      </c>
      <c r="D366" s="15">
        <f>IFERROR(INDEX('Inputs (2)'!$D$55:$AL$55,MATCH(D$7,'Inputs (2)'!$D$2:$AL$2,0)),"")</f>
        <v>125.611225374678</v>
      </c>
      <c r="E366" s="15">
        <f>IFERROR(INDEX('Inputs (2)'!$D$55:$AL$55,MATCH(E$7,'Inputs (2)'!$D$2:$AL$2,0)),"")</f>
        <v>68.5079120203125</v>
      </c>
      <c r="F366" s="15">
        <f>IFERROR(INDEX('Inputs (2)'!$D$55:$AL$55,MATCH(F$7,'Inputs (2)'!$D$2:$AL$2,0)),"")</f>
        <v>156.931915748075</v>
      </c>
      <c r="G366" s="15">
        <f>IFERROR(INDEX('Inputs (2)'!$D$55:$AL$55,MATCH(G$7,'Inputs (2)'!$D$2:$AL$2,0)),"")</f>
        <v>159.757345269999</v>
      </c>
      <c r="H366" s="16">
        <f>IF(COUNT(D366:G366)=4,SUM(D366:G366),"")</f>
        <v>510.808398413065</v>
      </c>
      <c r="I366" s="15">
        <f>IFERROR(INDEX('Inputs (2)'!$D$55:$AL$55,MATCH(I$7,'Inputs (2)'!$D$2:$AL$2,0)),"")</f>
        <v>155.20112220809</v>
      </c>
      <c r="J366" s="15">
        <f>IFERROR(INDEX('Inputs (2)'!$D$55:$AL$55,MATCH(J$7,'Inputs (2)'!$D$2:$AL$2,0)),"")</f>
        <v>158.687036479999</v>
      </c>
      <c r="K366" s="15">
        <f>IFERROR(INDEX('Inputs (2)'!$D$55:$AL$55,MATCH(K$7,'Inputs (2)'!$D$2:$AL$2,0)),"")</f>
        <v>159.76068278</v>
      </c>
      <c r="L366" s="15">
        <f>IFERROR(INDEX('Inputs (2)'!$D$55:$AL$55,MATCH(L$7,'Inputs (2)'!$D$2:$AL$2,0)),"")</f>
        <v>145.98747663</v>
      </c>
      <c r="M366" s="16">
        <f>IF(COUNT(I366:L366)=4,SUM(I366:L366),"")</f>
        <v>619.636318098089</v>
      </c>
      <c r="N366" s="15">
        <f>IFERROR(INDEX('Inputs (2)'!$D$55:$AL$55,MATCH(N$7,'Inputs (2)'!$D$2:$AL$2,0)),"")</f>
        <v>159.52179541</v>
      </c>
      <c r="O366" s="15">
        <f>IFERROR(INDEX('Inputs (2)'!$D$55:$AL$55,MATCH(O$7,'Inputs (2)'!$D$2:$AL$2,0)),"")</f>
        <v>171.349672198942</v>
      </c>
      <c r="P366" s="15">
        <f>IFERROR(INDEX('Inputs (2)'!$D$55:$AL$55,MATCH(P$7,'Inputs (2)'!$D$2:$AL$2,0)),"")</f>
        <v>179.385965</v>
      </c>
      <c r="Q366" s="15">
        <f>IFERROR(INDEX('Inputs (2)'!$D$55:$AL$55,MATCH(Q$7,'Inputs (2)'!$D$2:$AL$2,0)),"")</f>
        <v>167.181327</v>
      </c>
      <c r="R366" s="16">
        <f>IF(COUNT(N366:Q366)=4,SUM(N366:Q366),"")</f>
        <v>677.438759608942</v>
      </c>
      <c r="S366" s="15">
        <f>IFERROR(INDEX('Inputs (2)'!$D$55:$AL$55,MATCH(S$7,'Inputs (2)'!$D$2:$AL$2,0)),"")</f>
        <v>187.006096</v>
      </c>
      <c r="T366" s="15" t="str">
        <f>IFERROR(INDEX('Inputs (2)'!$D$55:$AL$55,MATCH(T$7,'Inputs (2)'!$D$2:$AL$2,0)),"")</f>
        <v/>
      </c>
      <c r="U366" s="15">
        <f>IFERROR(INDEX('Inputs (2)'!$D$55:$AL$55,MATCH(U$7,'Inputs (2)'!$D$2:$AL$2,0)),"")</f>
        <v>232.98465544</v>
      </c>
      <c r="V366" s="15">
        <f>IFERROR(INDEX('Inputs (2)'!$D$55:$AL$55,MATCH(V$7,'Inputs (2)'!$D$2:$AL$2,0)),"")</f>
        <v>201.689043</v>
      </c>
      <c r="W366" s="16" t="str">
        <f>IF(COUNT(S366:V366)=4,SUM(S366:V366),"")</f>
        <v/>
      </c>
      <c r="X366" s="15">
        <f>IFERROR(INDEX('Inputs (2)'!$D$55:$AL$55,MATCH(X$7,'Inputs (2)'!$D$2:$AL$2,0)),"")</f>
        <v>217.491723434036</v>
      </c>
      <c r="Y366" s="15">
        <f>IFERROR(INDEX('Inputs (2)'!$D$55:$AL$55,MATCH(Y$7,'Inputs (2)'!$D$2:$AL$2,0)),"")</f>
        <v>239.352098344972</v>
      </c>
      <c r="Z366" s="15">
        <f>IFERROR(INDEX('Inputs (2)'!$D$55:$AL$55,MATCH(Z$7,'Inputs (2)'!$D$2:$AL$2,0)),"")</f>
        <v>241.885631</v>
      </c>
      <c r="AA366" s="15">
        <f>IFERROR(INDEX('Inputs (2)'!$D$55:$AL$55,MATCH(AA$7,'Inputs (2)'!$D$2:$AL$2,0)),"")</f>
        <v>213.783914483012</v>
      </c>
      <c r="AB366" s="16">
        <f>IF(COUNT(X366:AA366)=4,SUM(X366:AA366),"")</f>
        <v>912.51336726202</v>
      </c>
      <c r="AC366" s="15">
        <f>IFERROR(INDEX('Inputs (2)'!$D$55:$AL$55,MATCH(AC$7,'Inputs (2)'!$D$2:$AL$2,0)),"")</f>
        <v>235.788503</v>
      </c>
      <c r="AD366" s="15">
        <f>IFERROR(INDEX('Inputs (2)'!$D$55:$AL$55,MATCH(AD$7,'Inputs (2)'!$D$2:$AL$2,0)),"")</f>
        <v>258.331341</v>
      </c>
      <c r="AE366" s="15">
        <f>IFERROR(INDEX('Inputs (2)'!$D$55:$AL$55,MATCH(AE$7,'Inputs (2)'!$D$2:$AL$2,0)),"")</f>
        <v>267.138504778681</v>
      </c>
      <c r="AF366" s="15">
        <f>IFERROR(INDEX('Inputs (2)'!$D$55:$AL$55,MATCH(AF$7,'Inputs (2)'!$D$2:$AL$2,0)),"")</f>
        <v>244.00199</v>
      </c>
      <c r="AG366" s="16">
        <f>IF(COUNT(AC366:AF366)=4,SUM(AC366:AF366),"")</f>
        <v>1005.26033877868</v>
      </c>
    </row>
    <row r="367">
      <c r="C367" s="14" t="inlineStr">
        <is>
          <t xml:space="preserve">   Minas Gerais</t>
        </is>
      </c>
      <c r="D367" s="15">
        <f>IFERROR(INDEX('Inputs (2)'!$D$56:$AL$56,MATCH(D$7,'Inputs (2)'!$D$2:$AL$2,0)),"")</f>
        <v>0</v>
      </c>
      <c r="E367" s="15">
        <f>IFERROR(INDEX('Inputs (2)'!$D$56:$AL$56,MATCH(E$7,'Inputs (2)'!$D$2:$AL$2,0)),"")</f>
        <v>0</v>
      </c>
      <c r="F367" s="15">
        <f>IFERROR(INDEX('Inputs (2)'!$D$56:$AL$56,MATCH(F$7,'Inputs (2)'!$D$2:$AL$2,0)),"")</f>
        <v>0</v>
      </c>
      <c r="G367" s="15">
        <f>IFERROR(INDEX('Inputs (2)'!$D$56:$AL$56,MATCH(G$7,'Inputs (2)'!$D$2:$AL$2,0)),"")</f>
        <v>0</v>
      </c>
      <c r="H367" s="16">
        <f>IF(COUNT(D367:G367)=4,SUM(D367:G367),"")</f>
        <v>0</v>
      </c>
      <c r="I367" s="15">
        <f>IFERROR(INDEX('Inputs (2)'!$D$56:$AL$56,MATCH(I$7,'Inputs (2)'!$D$2:$AL$2,0)),"")</f>
        <v>0</v>
      </c>
      <c r="J367" s="15">
        <f>IFERROR(INDEX('Inputs (2)'!$D$56:$AL$56,MATCH(J$7,'Inputs (2)'!$D$2:$AL$2,0)),"")</f>
        <v>0</v>
      </c>
      <c r="K367" s="15">
        <f>IFERROR(INDEX('Inputs (2)'!$D$56:$AL$56,MATCH(K$7,'Inputs (2)'!$D$2:$AL$2,0)),"")</f>
        <v>0</v>
      </c>
      <c r="L367" s="15">
        <f>IFERROR(INDEX('Inputs (2)'!$D$56:$AL$56,MATCH(L$7,'Inputs (2)'!$D$2:$AL$2,0)),"")</f>
        <v>0</v>
      </c>
      <c r="M367" s="16">
        <f>IF(COUNT(I367:L367)=4,SUM(I367:L367),"")</f>
        <v>0</v>
      </c>
      <c r="N367" s="15">
        <f>IFERROR(INDEX('Inputs (2)'!$D$56:$AL$56,MATCH(N$7,'Inputs (2)'!$D$2:$AL$2,0)),"")</f>
        <v>0</v>
      </c>
      <c r="O367" s="15">
        <f>IFERROR(INDEX('Inputs (2)'!$D$56:$AL$56,MATCH(O$7,'Inputs (2)'!$D$2:$AL$2,0)),"")</f>
        <v>0</v>
      </c>
      <c r="P367" s="15">
        <f>IFERROR(INDEX('Inputs (2)'!$D$56:$AL$56,MATCH(P$7,'Inputs (2)'!$D$2:$AL$2,0)),"")</f>
        <v>0</v>
      </c>
      <c r="Q367" s="15">
        <f>IFERROR(INDEX('Inputs (2)'!$D$56:$AL$56,MATCH(Q$7,'Inputs (2)'!$D$2:$AL$2,0)),"")</f>
        <v>8.5069792</v>
      </c>
      <c r="R367" s="16">
        <f>IF(COUNT(N367:Q367)=4,SUM(N367:Q367),"")</f>
        <v>8.5069792</v>
      </c>
      <c r="S367" s="15">
        <f>IFERROR(INDEX('Inputs (2)'!$D$56:$AL$56,MATCH(S$7,'Inputs (2)'!$D$2:$AL$2,0)),"")</f>
        <v>9.993879</v>
      </c>
      <c r="T367" s="15" t="str">
        <f>IFERROR(INDEX('Inputs (2)'!$D$56:$AL$56,MATCH(T$7,'Inputs (2)'!$D$2:$AL$2,0)),"")</f>
        <v/>
      </c>
      <c r="U367" s="15">
        <f>IFERROR(INDEX('Inputs (2)'!$D$56:$AL$56,MATCH(U$7,'Inputs (2)'!$D$2:$AL$2,0)),"")</f>
        <v>146.85365603985</v>
      </c>
      <c r="V367" s="15">
        <f>IFERROR(INDEX('Inputs (2)'!$D$56:$AL$56,MATCH(V$7,'Inputs (2)'!$D$2:$AL$2,0)),"")</f>
        <v>139.428568</v>
      </c>
      <c r="W367" s="16" t="str">
        <f>IF(COUNT(S367:V367)=4,SUM(S367:V367),"")</f>
        <v/>
      </c>
      <c r="X367" s="15">
        <f>IFERROR(INDEX('Inputs (2)'!$D$56:$AL$56,MATCH(X$7,'Inputs (2)'!$D$2:$AL$2,0)),"")</f>
        <v>163.046700426417</v>
      </c>
      <c r="Y367" s="15">
        <f>IFERROR(INDEX('Inputs (2)'!$D$56:$AL$56,MATCH(Y$7,'Inputs (2)'!$D$2:$AL$2,0)),"")</f>
        <v>163.888105576753</v>
      </c>
      <c r="Z367" s="15">
        <f>IFERROR(INDEX('Inputs (2)'!$D$56:$AL$56,MATCH(Z$7,'Inputs (2)'!$D$2:$AL$2,0)),"")</f>
        <v>162.345725</v>
      </c>
      <c r="AA367" s="15">
        <f>IFERROR(INDEX('Inputs (2)'!$D$56:$AL$56,MATCH(AA$7,'Inputs (2)'!$D$2:$AL$2,0)),"")</f>
        <v>152.069036670173</v>
      </c>
      <c r="AB367" s="16">
        <f>IF(COUNT(X367:AA367)=4,SUM(X367:AA367),"")</f>
        <v>641.349567673343</v>
      </c>
      <c r="AC367" s="15">
        <f>IFERROR(INDEX('Inputs (2)'!$D$56:$AL$56,MATCH(AC$7,'Inputs (2)'!$D$2:$AL$2,0)),"")</f>
        <v>168.573027</v>
      </c>
      <c r="AD367" s="15">
        <f>IFERROR(INDEX('Inputs (2)'!$D$56:$AL$56,MATCH(AD$7,'Inputs (2)'!$D$2:$AL$2,0)),"")</f>
        <v>172.094632</v>
      </c>
      <c r="AE367" s="15">
        <f>IFERROR(INDEX('Inputs (2)'!$D$56:$AL$56,MATCH(AE$7,'Inputs (2)'!$D$2:$AL$2,0)),"")</f>
        <v>187.584298868216</v>
      </c>
      <c r="AF367" s="15">
        <f>IFERROR(INDEX('Inputs (2)'!$D$56:$AL$56,MATCH(AF$7,'Inputs (2)'!$D$2:$AL$2,0)),"")</f>
        <v>184.394027</v>
      </c>
      <c r="AG367" s="16">
        <f>IF(COUNT(AC367:AF367)=4,SUM(AC367:AF367),"")</f>
        <v>712.645984868216</v>
      </c>
    </row>
    <row r="368">
      <c r="C368" s="14" t="inlineStr">
        <is>
          <t xml:space="preserve">   Regionais</t>
        </is>
      </c>
      <c r="D368" s="15">
        <f>IFERROR(INDEX('Inputs (2)'!$D$57:$AL$57,MATCH(D$7,'Inputs (2)'!$D$2:$AL$2,0)),"")</f>
        <v>89.1158136576708</v>
      </c>
      <c r="E368" s="15">
        <f>IFERROR(INDEX('Inputs (2)'!$D$57:$AL$57,MATCH(E$7,'Inputs (2)'!$D$2:$AL$2,0)),"")</f>
        <v>55.7600280116218</v>
      </c>
      <c r="F368" s="15">
        <f>IFERROR(INDEX('Inputs (2)'!$D$57:$AL$57,MATCH(F$7,'Inputs (2)'!$D$2:$AL$2,0)),"")</f>
        <v>101.706942393195</v>
      </c>
      <c r="G368" s="15">
        <f>IFERROR(INDEX('Inputs (2)'!$D$57:$AL$57,MATCH(G$7,'Inputs (2)'!$D$2:$AL$2,0)),"")</f>
        <v>115.9558259</v>
      </c>
      <c r="H368" s="16">
        <f>IF(COUNT(D368:G368)=4,SUM(D368:G368),"")</f>
        <v>362.538609962488</v>
      </c>
      <c r="I368" s="15">
        <f>IFERROR(INDEX('Inputs (2)'!$D$57:$AL$57,MATCH(I$7,'Inputs (2)'!$D$2:$AL$2,0)),"")</f>
        <v>106.827649419352</v>
      </c>
      <c r="J368" s="15">
        <f>IFERROR(INDEX('Inputs (2)'!$D$57:$AL$57,MATCH(J$7,'Inputs (2)'!$D$2:$AL$2,0)),"")</f>
        <v>107.26347615</v>
      </c>
      <c r="K368" s="15">
        <f>IFERROR(INDEX('Inputs (2)'!$D$57:$AL$57,MATCH(K$7,'Inputs (2)'!$D$2:$AL$2,0)),"")</f>
        <v>109.3935775</v>
      </c>
      <c r="L368" s="15">
        <f>IFERROR(INDEX('Inputs (2)'!$D$57:$AL$57,MATCH(L$7,'Inputs (2)'!$D$2:$AL$2,0)),"")</f>
        <v>141.59059045</v>
      </c>
      <c r="M368" s="16">
        <f>IF(COUNT(I368:L368)=4,SUM(I368:L368),"")</f>
        <v>465.075293519352</v>
      </c>
      <c r="N368" s="15">
        <f>IFERROR(INDEX('Inputs (2)'!$D$57:$AL$57,MATCH(N$7,'Inputs (2)'!$D$2:$AL$2,0)),"")</f>
        <v>148.502178229443</v>
      </c>
      <c r="O368" s="15">
        <f>IFERROR(INDEX('Inputs (2)'!$D$57:$AL$57,MATCH(O$7,'Inputs (2)'!$D$2:$AL$2,0)),"")</f>
        <v>160.663107996909</v>
      </c>
      <c r="P368" s="15">
        <f>IFERROR(INDEX('Inputs (2)'!$D$57:$AL$57,MATCH(P$7,'Inputs (2)'!$D$2:$AL$2,0)),"")</f>
        <v>174.007403</v>
      </c>
      <c r="Q368" s="15">
        <f>IFERROR(INDEX('Inputs (2)'!$D$57:$AL$57,MATCH(Q$7,'Inputs (2)'!$D$2:$AL$2,0)),"")</f>
        <v>156.72236188</v>
      </c>
      <c r="R368" s="16">
        <f>IF(COUNT(N368:Q368)=4,SUM(N368:Q368),"")</f>
        <v>639.895051106352</v>
      </c>
      <c r="S368" s="15">
        <f>IFERROR(INDEX('Inputs (2)'!$D$57:$AL$57,MATCH(S$7,'Inputs (2)'!$D$2:$AL$2,0)),"")</f>
        <v>172.3578786</v>
      </c>
      <c r="T368" s="15" t="str">
        <f>IFERROR(INDEX('Inputs (2)'!$D$57:$AL$57,MATCH(T$7,'Inputs (2)'!$D$2:$AL$2,0)),"")</f>
        <v/>
      </c>
      <c r="U368" s="15">
        <f>IFERROR(INDEX('Inputs (2)'!$D$57:$AL$57,MATCH(U$7,'Inputs (2)'!$D$2:$AL$2,0)),"")</f>
        <v>221.45745508012</v>
      </c>
      <c r="V368" s="15">
        <f>IFERROR(INDEX('Inputs (2)'!$D$57:$AL$57,MATCH(V$7,'Inputs (2)'!$D$2:$AL$2,0)),"")</f>
        <v>201.105045</v>
      </c>
      <c r="W368" s="16" t="str">
        <f>IF(COUNT(S368:V368)=4,SUM(S368:V368),"")</f>
        <v/>
      </c>
      <c r="X368" s="15">
        <f>IFERROR(INDEX('Inputs (2)'!$D$57:$AL$57,MATCH(X$7,'Inputs (2)'!$D$2:$AL$2,0)),"")</f>
        <v>212.529530462451</v>
      </c>
      <c r="Y368" s="15">
        <f>IFERROR(INDEX('Inputs (2)'!$D$57:$AL$57,MATCH(Y$7,'Inputs (2)'!$D$2:$AL$2,0)),"")</f>
        <v>218.365689718371</v>
      </c>
      <c r="Z368" s="15">
        <f>IFERROR(INDEX('Inputs (2)'!$D$57:$AL$57,MATCH(Z$7,'Inputs (2)'!$D$2:$AL$2,0)),"")</f>
        <v>234.342798</v>
      </c>
      <c r="AA368" s="15">
        <f>IFERROR(INDEX('Inputs (2)'!$D$57:$AL$57,MATCH(AA$7,'Inputs (2)'!$D$2:$AL$2,0)),"")</f>
        <v>230.446687523073</v>
      </c>
      <c r="AB368" s="16">
        <f>IF(COUNT(X368:AA368)=4,SUM(X368:AA368),"")</f>
        <v>895.684705703895</v>
      </c>
      <c r="AC368" s="15">
        <f>IFERROR(INDEX('Inputs (2)'!$D$57:$AL$57,MATCH(AC$7,'Inputs (2)'!$D$2:$AL$2,0)),"")</f>
        <v>242.430426</v>
      </c>
      <c r="AD368" s="15">
        <f>IFERROR(INDEX('Inputs (2)'!$D$57:$AL$57,MATCH(AD$7,'Inputs (2)'!$D$2:$AL$2,0)),"")</f>
        <v>254.313886</v>
      </c>
      <c r="AE368" s="15">
        <f>IFERROR(INDEX('Inputs (2)'!$D$57:$AL$57,MATCH(AE$7,'Inputs (2)'!$D$2:$AL$2,0)),"")</f>
        <v>275.621203033573</v>
      </c>
      <c r="AF368" s="15">
        <f>IFERROR(INDEX('Inputs (2)'!$D$57:$AL$57,MATCH(AF$7,'Inputs (2)'!$D$2:$AL$2,0)),"")</f>
        <v>241.983079</v>
      </c>
      <c r="AG368" s="16">
        <f>IF(COUNT(AC368:AF368)=4,SUM(AC368:AF368),"")</f>
        <v>1014.34859403357</v>
      </c>
    </row>
    <row r="369">
      <c r="C369" s="14" t="inlineStr">
        <is>
          <t>B2B</t>
        </is>
      </c>
      <c r="D369" s="15">
        <f>IFERROR(INDEX('Inputs (2)'!$D$58:$AL$58,MATCH(D$7,'Inputs (2)'!$D$2:$AL$2,0)),"")</f>
        <v>123.546911576893</v>
      </c>
      <c r="E369" s="15">
        <f>IFERROR(INDEX('Inputs (2)'!$D$58:$AL$58,MATCH(E$7,'Inputs (2)'!$D$2:$AL$2,0)),"")</f>
        <v>113.716580449383</v>
      </c>
      <c r="F369" s="15">
        <f>IFERROR(INDEX('Inputs (2)'!$D$58:$AL$58,MATCH(F$7,'Inputs (2)'!$D$2:$AL$2,0)),"")</f>
        <v>156.08889868557</v>
      </c>
      <c r="G369" s="15">
        <f>IFERROR(INDEX('Inputs (2)'!$D$58:$AL$58,MATCH(G$7,'Inputs (2)'!$D$2:$AL$2,0)),"")</f>
        <v>175.1428185</v>
      </c>
      <c r="H369" s="16">
        <f>IF(COUNT(D369:G369)=4,SUM(D369:G369),"")</f>
        <v>568.495209211847</v>
      </c>
      <c r="I369" s="15">
        <f>IFERROR(INDEX('Inputs (2)'!$D$58:$AL$58,MATCH(I$7,'Inputs (2)'!$D$2:$AL$2,0)),"")</f>
        <v>168.726365557233</v>
      </c>
      <c r="J369" s="15">
        <f>IFERROR(INDEX('Inputs (2)'!$D$58:$AL$58,MATCH(J$7,'Inputs (2)'!$D$2:$AL$2,0)),"")</f>
        <v>170.37753754</v>
      </c>
      <c r="K369" s="15">
        <f>IFERROR(INDEX('Inputs (2)'!$D$58:$AL$58,MATCH(K$7,'Inputs (2)'!$D$2:$AL$2,0)),"")</f>
        <v>182.92207006</v>
      </c>
      <c r="L369" s="15">
        <f>IFERROR(INDEX('Inputs (2)'!$D$58:$AL$58,MATCH(L$7,'Inputs (2)'!$D$2:$AL$2,0)),"")</f>
        <v>172.43353089</v>
      </c>
      <c r="M369" s="16">
        <f>IF(COUNT(I369:L369)=4,SUM(I369:L369),"")</f>
        <v>694.459504047233</v>
      </c>
      <c r="N369" s="15">
        <f>IFERROR(INDEX('Inputs (2)'!$D$58:$AL$58,MATCH(N$7,'Inputs (2)'!$D$2:$AL$2,0)),"")</f>
        <v>174.20319546</v>
      </c>
      <c r="O369" s="15">
        <f>IFERROR(INDEX('Inputs (2)'!$D$58:$AL$58,MATCH(O$7,'Inputs (2)'!$D$2:$AL$2,0)),"")</f>
        <v>171.748216896316</v>
      </c>
      <c r="P369" s="15">
        <f>IFERROR(INDEX('Inputs (2)'!$D$58:$AL$58,MATCH(P$7,'Inputs (2)'!$D$2:$AL$2,0)),"")</f>
        <v>146.603407</v>
      </c>
      <c r="Q369" s="15">
        <f>IFERROR(INDEX('Inputs (2)'!$D$58:$AL$58,MATCH(Q$7,'Inputs (2)'!$D$2:$AL$2,0)),"")</f>
        <v>129.838387</v>
      </c>
      <c r="R369" s="16">
        <f>IF(COUNT(N369:Q369)=4,SUM(N369:Q369),"")</f>
        <v>622.393206356316</v>
      </c>
      <c r="S369" s="15">
        <f>IFERROR(INDEX('Inputs (2)'!$D$58:$AL$58,MATCH(S$7,'Inputs (2)'!$D$2:$AL$2,0)),"")</f>
        <v>121.832221</v>
      </c>
      <c r="T369" s="15" t="str">
        <f>IFERROR(INDEX('Inputs (2)'!$D$58:$AL$58,MATCH(T$7,'Inputs (2)'!$D$2:$AL$2,0)),"")</f>
        <v/>
      </c>
      <c r="U369" s="15">
        <f>IFERROR(INDEX('Inputs (2)'!$D$58:$AL$58,MATCH(U$7,'Inputs (2)'!$D$2:$AL$2,0)),"")</f>
        <v>462.55425082</v>
      </c>
      <c r="V369" s="15">
        <f>IFERROR(INDEX('Inputs (2)'!$D$58:$AL$58,MATCH(V$7,'Inputs (2)'!$D$2:$AL$2,0)),"")</f>
        <v>441.410801</v>
      </c>
      <c r="W369" s="16" t="str">
        <f>IF(COUNT(S369:V369)=4,SUM(S369:V369),"")</f>
        <v/>
      </c>
      <c r="X369" s="15">
        <f>IFERROR(INDEX('Inputs (2)'!$D$58:$AL$58,MATCH(X$7,'Inputs (2)'!$D$2:$AL$2,0)),"")</f>
        <v>489.42055982907</v>
      </c>
      <c r="Y369" s="15">
        <f>IFERROR(INDEX('Inputs (2)'!$D$58:$AL$58,MATCH(Y$7,'Inputs (2)'!$D$2:$AL$2,0)),"")</f>
        <v>501.640815262192</v>
      </c>
      <c r="Z369" s="15">
        <f>IFERROR(INDEX('Inputs (2)'!$D$58:$AL$58,MATCH(Z$7,'Inputs (2)'!$D$2:$AL$2,0)),"")</f>
        <v>501.259219</v>
      </c>
      <c r="AA369" s="15">
        <f>IFERROR(INDEX('Inputs (2)'!$D$58:$AL$58,MATCH(AA$7,'Inputs (2)'!$D$2:$AL$2,0)),"")</f>
        <v>465.728886</v>
      </c>
      <c r="AB369" s="16">
        <f>IF(COUNT(X369:AA369)=4,SUM(X369:AA369),"")</f>
        <v>1958.04948009126</v>
      </c>
      <c r="AC369" s="15">
        <f>IFERROR(INDEX('Inputs (2)'!$D$58:$AL$58,MATCH(AC$7,'Inputs (2)'!$D$2:$AL$2,0)),"")</f>
        <v>480.04979</v>
      </c>
      <c r="AD369" s="15">
        <f>IFERROR(INDEX('Inputs (2)'!$D$58:$AL$58,MATCH(AD$7,'Inputs (2)'!$D$2:$AL$2,0)),"")</f>
        <v>485.926475</v>
      </c>
      <c r="AE369" s="15">
        <f>IFERROR(INDEX('Inputs (2)'!$D$58:$AL$58,MATCH(AE$7,'Inputs (2)'!$D$2:$AL$2,0)),"")</f>
        <v>511.573079515603</v>
      </c>
      <c r="AF369" s="15">
        <f>IFERROR(INDEX('Inputs (2)'!$D$58:$AL$58,MATCH(AF$7,'Inputs (2)'!$D$2:$AL$2,0)),"")</f>
        <v>485.00749</v>
      </c>
      <c r="AG369" s="16">
        <f>IF(COUNT(AC369:AF369)=4,SUM(AC369:AF369),"")</f>
        <v>1962.5568345156</v>
      </c>
    </row>
    <row r="370">
      <c r="C370" s="14" t="inlineStr">
        <is>
          <t>Novos Elos e Plataformas</t>
        </is>
      </c>
      <c r="D370" s="15">
        <f>IFERROR(INDEX('Inputs (2)'!$D$59:$AL$59,MATCH(D$7,'Inputs (2)'!$D$2:$AL$2,0)),"")</f>
        <v>5.7181568905464</v>
      </c>
      <c r="E370" s="15">
        <f>IFERROR(INDEX('Inputs (2)'!$D$59:$AL$59,MATCH(E$7,'Inputs (2)'!$D$2:$AL$2,0)),"")</f>
        <v>7.55082886673788</v>
      </c>
      <c r="F370" s="15">
        <f>IFERROR(INDEX('Inputs (2)'!$D$59:$AL$59,MATCH(F$7,'Inputs (2)'!$D$2:$AL$2,0)),"")</f>
        <v>13.51103897</v>
      </c>
      <c r="G370" s="15">
        <f>IFERROR(INDEX('Inputs (2)'!$D$59:$AL$59,MATCH(G$7,'Inputs (2)'!$D$2:$AL$2,0)),"")</f>
        <v>13.77126534</v>
      </c>
      <c r="H370" s="16">
        <f>IF(COUNT(D370:G370)=4,SUM(D370:G370),"")</f>
        <v>40.5512900672843</v>
      </c>
      <c r="I370" s="15">
        <f>IFERROR(INDEX('Inputs (2)'!$D$59:$AL$59,MATCH(I$7,'Inputs (2)'!$D$2:$AL$2,0)),"")</f>
        <v>13.85916205</v>
      </c>
      <c r="J370" s="15">
        <f>IFERROR(INDEX('Inputs (2)'!$D$59:$AL$59,MATCH(J$7,'Inputs (2)'!$D$2:$AL$2,0)),"")</f>
        <v>41.10253789</v>
      </c>
      <c r="K370" s="15">
        <f>IFERROR(INDEX('Inputs (2)'!$D$59:$AL$59,MATCH(K$7,'Inputs (2)'!$D$2:$AL$2,0)),"")</f>
        <v>86.6682125317355</v>
      </c>
      <c r="L370" s="15">
        <f>IFERROR(INDEX('Inputs (2)'!$D$59:$AL$59,MATCH(L$7,'Inputs (2)'!$D$2:$AL$2,0)),"")</f>
        <v>81.6565942752</v>
      </c>
      <c r="M370" s="16">
        <f>IF(COUNT(I370:L370)=4,SUM(I370:L370),"")</f>
        <v>223.286506746936</v>
      </c>
      <c r="N370" s="15">
        <f>IFERROR(INDEX('Inputs (2)'!$D$59:$AL$59,MATCH(N$7,'Inputs (2)'!$D$2:$AL$2,0)),"")</f>
        <v>79.26090508</v>
      </c>
      <c r="O370" s="15">
        <f>IFERROR(INDEX('Inputs (2)'!$D$59:$AL$59,MATCH(O$7,'Inputs (2)'!$D$2:$AL$2,0)),"")</f>
        <v>88.3856158078027</v>
      </c>
      <c r="P370" s="15">
        <f>IFERROR(INDEX('Inputs (2)'!$D$59:$AL$59,MATCH(P$7,'Inputs (2)'!$D$2:$AL$2,0)),"")</f>
        <v>101.369994</v>
      </c>
      <c r="Q370" s="15">
        <f>IFERROR(INDEX('Inputs (2)'!$D$59:$AL$59,MATCH(Q$7,'Inputs (2)'!$D$2:$AL$2,0)),"")</f>
        <v>143.71703405</v>
      </c>
      <c r="R370" s="16">
        <f>IF(COUNT(N370:Q370)=4,SUM(N370:Q370),"")</f>
        <v>412.733548937803</v>
      </c>
      <c r="S370" s="15">
        <f>IFERROR(INDEX('Inputs (2)'!$D$59:$AL$59,MATCH(S$7,'Inputs (2)'!$D$2:$AL$2,0)),"")</f>
        <v>146.85354669</v>
      </c>
      <c r="T370" s="15" t="str">
        <f>IFERROR(INDEX('Inputs (2)'!$D$59:$AL$59,MATCH(T$7,'Inputs (2)'!$D$2:$AL$2,0)),"")</f>
        <v/>
      </c>
      <c r="U370" s="15">
        <f>IFERROR(INDEX('Inputs (2)'!$D$59:$AL$59,MATCH(U$7,'Inputs (2)'!$D$2:$AL$2,0)),"")</f>
        <v>183.042780266</v>
      </c>
      <c r="V370" s="15">
        <f>IFERROR(INDEX('Inputs (2)'!$D$59:$AL$59,MATCH(V$7,'Inputs (2)'!$D$2:$AL$2,0)),"")</f>
        <v>168.24368</v>
      </c>
      <c r="W370" s="16" t="str">
        <f>IF(COUNT(S370:V370)=4,SUM(S370:V370),"")</f>
        <v/>
      </c>
      <c r="X370" s="15">
        <f>IFERROR(INDEX('Inputs (2)'!$D$59:$AL$59,MATCH(X$7,'Inputs (2)'!$D$2:$AL$2,0)),"")</f>
        <v>188.714009753</v>
      </c>
      <c r="Y370" s="15">
        <f>IFERROR(INDEX('Inputs (2)'!$D$59:$AL$59,MATCH(Y$7,'Inputs (2)'!$D$2:$AL$2,0)),"")</f>
        <v>200.69931886</v>
      </c>
      <c r="Z370" s="15">
        <f>IFERROR(INDEX('Inputs (2)'!$D$59:$AL$59,MATCH(Z$7,'Inputs (2)'!$D$2:$AL$2,0)),"")</f>
        <v>198.427812</v>
      </c>
      <c r="AA370" s="15">
        <f>IFERROR(INDEX('Inputs (2)'!$D$59:$AL$59,MATCH(AA$7,'Inputs (2)'!$D$2:$AL$2,0)),"")</f>
        <v>174.87353161</v>
      </c>
      <c r="AB370" s="16">
        <f>IF(COUNT(X370:AA370)=4,SUM(X370:AA370),"")</f>
        <v>762.714672223</v>
      </c>
      <c r="AC370" s="15">
        <f>IFERROR(INDEX('Inputs (2)'!$D$59:$AL$59,MATCH(AC$7,'Inputs (2)'!$D$2:$AL$2,0)),"")</f>
        <v>222.490154</v>
      </c>
      <c r="AD370" s="15">
        <f>IFERROR(INDEX('Inputs (2)'!$D$59:$AL$59,MATCH(AD$7,'Inputs (2)'!$D$2:$AL$2,0)),"")</f>
        <v>174.107667</v>
      </c>
      <c r="AE370" s="15">
        <f>IFERROR(INDEX('Inputs (2)'!$D$59:$AL$59,MATCH(AE$7,'Inputs (2)'!$D$2:$AL$2,0)),"")</f>
        <v>204.330322536826</v>
      </c>
      <c r="AF370" s="15">
        <f>IFERROR(INDEX('Inputs (2)'!$D$59:$AL$59,MATCH(AF$7,'Inputs (2)'!$D$2:$AL$2,0)),"")</f>
        <v>217.547823</v>
      </c>
      <c r="AG370" s="16">
        <f>IF(COUNT(AC370:AF370)=4,SUM(AC370:AF370),"")</f>
        <v>818.475966536826</v>
      </c>
    </row>
    <row r="371">
      <c r="C371" s="264" t="inlineStr">
        <is>
          <t>Receita bruta (soma dos negocios)</t>
        </is>
      </c>
      <c r="D371" s="15">
        <f>IF(COUNT(D363,D369,D370)=0,"",SUM(D363,D369,D370))</f>
        <v>770.606504928379</v>
      </c>
      <c r="E371" s="15">
        <f>IF(COUNT(E363,E369,E370)=0,"",SUM(E363,E369,E370))</f>
        <v>492.197295606606</v>
      </c>
      <c r="F371" s="15">
        <f>IF(COUNT(F363,F369,F370)=0,"",SUM(F363,F369,F370))</f>
        <v>943.845486975448</v>
      </c>
      <c r="G371" s="15">
        <f>IF(COUNT(G363,G369,G370)=0,"",SUM(G363,G369,G370))</f>
        <v>1000.54279322</v>
      </c>
      <c r="H371" s="16">
        <f>IF(COUNT(H363,H369,H370)=0,"",SUM(H363,H369,H370))</f>
        <v>3207.19208073043</v>
      </c>
      <c r="I371" s="15">
        <f>IF(COUNT(I363,I369,I370)=0,"",SUM(I363,I369,I370))</f>
        <v>964.269592024279</v>
      </c>
      <c r="J371" s="15">
        <f>IF(COUNT(J363,J369,J370)=0,"",SUM(J363,J369,J370))</f>
        <v>1005.13234457</v>
      </c>
      <c r="K371" s="15">
        <f>IF(COUNT(K363,K369,K370)=0,"",SUM(K363,K369,K370))</f>
        <v>1107.45018044</v>
      </c>
      <c r="L371" s="15">
        <f>IF(COUNT(L363,L369,L370)=0,"",SUM(L363,L369,L370))</f>
        <v>1095.56112105</v>
      </c>
      <c r="M371" s="16">
        <f>IF(COUNT(M363,M369,M370)=0,"",SUM(M363,M369,M370))</f>
        <v>4172.41323808428</v>
      </c>
      <c r="N371" s="15">
        <f>IF(COUNT(N363,N369,N370)=0,"",SUM(N363,N369,N370))</f>
        <v>1173.40810617944</v>
      </c>
      <c r="O371" s="15">
        <f>IF(COUNT(O363,O369,O370)=0,"",SUM(O363,O369,O370))</f>
        <v>1196.38153734805</v>
      </c>
      <c r="P371" s="15">
        <f>IF(COUNT(P363,P369,P370)=0,"",SUM(P363,P369,P370))</f>
        <v>1234.349304</v>
      </c>
      <c r="Q371" s="15">
        <f>IF(COUNT(Q363,Q369,Q370)=0,"",SUM(Q363,Q369,Q370))</f>
        <v>1199.02754425</v>
      </c>
      <c r="R371" s="16">
        <f>IF(COUNT(R363,R369,R370)=0,"",SUM(R363,R369,R370))</f>
        <v>4803.16649177749</v>
      </c>
      <c r="S371" s="15">
        <f>IF(COUNT(S363,S369,S370)=0,"",SUM(S363,S369,S370))</f>
        <v>1330.40588029</v>
      </c>
      <c r="T371" s="15" t="str">
        <f>IF(COUNT(T363,T369,T370)=0,"",SUM(T363,T369,T370))</f>
        <v/>
      </c>
      <c r="U371" s="15">
        <f>IF(COUNT(U363,U369,U370)=0,"",SUM(U363,U369,U370))</f>
        <v>2011.02032416597</v>
      </c>
      <c r="V371" s="15">
        <f>IF(COUNT(V363,V369,V370)=0,"",SUM(V363,V369,V370))</f>
        <v>1835.383548</v>
      </c>
      <c r="W371" s="16" t="str">
        <f>IF(COUNT(W363,W369,W370)=0,"",SUM(W363,W369,W370))</f>
        <v/>
      </c>
      <c r="X371" s="15">
        <f>IF(COUNT(X363,X369,X370)=0,"",SUM(X363,X369,X370))</f>
        <v>2055.57894173125</v>
      </c>
      <c r="Y371" s="15">
        <f>IF(COUNT(Y363,Y369,Y370)=0,"",SUM(Y363,Y369,Y370))</f>
        <v>2136.90194701803</v>
      </c>
      <c r="Z371" s="15">
        <f>IF(COUNT(Z363,Z369,Z370)=0,"",SUM(Z363,Z369,Z370))</f>
        <v>2133.177792</v>
      </c>
      <c r="AA371" s="15">
        <f>IF(COUNT(AA363,AA369,AA370)=0,"",SUM(AA363,AA369,AA370))</f>
        <v>1994.30634213326</v>
      </c>
      <c r="AB371" s="16">
        <f>IF(COUNT(AB363,AB369,AB370)=0,"",SUM(AB363,AB369,AB370))</f>
        <v>8319.96502288254</v>
      </c>
      <c r="AC371" s="15">
        <f>IF(COUNT(AC363,AC369,AC370)=0,"",SUM(AC363,AC369,AC370))</f>
        <v>2188.441</v>
      </c>
      <c r="AD371" s="15">
        <f>IF(COUNT(AD363,AD369,AD370)=0,"",SUM(AD363,AD369,AD370))</f>
        <v>2197.802169</v>
      </c>
      <c r="AE371" s="15">
        <f>IF(COUNT(AE363,AE369,AE370)=0,"",SUM(AE363,AE369,AE370))</f>
        <v>2378.62612333295</v>
      </c>
      <c r="AF371" s="15">
        <f>IF(COUNT(AF363,AF369,AF370)=0,"",SUM(AF363,AF369,AF370))</f>
        <v>2238.16617395278</v>
      </c>
      <c r="AG371" s="16">
        <f>IF(COUNT(AG363,AG369,AG370)=0,"",SUM(AG363,AG369,AG370))</f>
        <v>9003.03546628573</v>
      </c>
    </row>
    <row r="372">
      <c r="C372" s="14" t="inlineStr">
        <is>
          <t>(-) Deducoes (impostos, glosas, abatimentos)</t>
        </is>
      </c>
      <c r="D372" s="15">
        <f>IFERROR(INDEX('Inputs (2)'!$D$60:$AL$60,MATCH(D$7,'Inputs (2)'!$D$2:$AL$2,0)),"")</f>
        <v>-56.67248943</v>
      </c>
      <c r="E372" s="15">
        <f>IFERROR(INDEX('Inputs (2)'!$D$60:$AL$60,MATCH(E$7,'Inputs (2)'!$D$2:$AL$2,0)),"")</f>
        <v>-37.25303616</v>
      </c>
      <c r="F372" s="15">
        <f>IFERROR(INDEX('Inputs (2)'!$D$60:$AL$60,MATCH(F$7,'Inputs (2)'!$D$2:$AL$2,0)),"")</f>
        <v>-69.26220633</v>
      </c>
      <c r="G372" s="15">
        <f>IFERROR(INDEX('Inputs (2)'!$D$60:$AL$60,MATCH(G$7,'Inputs (2)'!$D$2:$AL$2,0)),"")</f>
        <v>-72.38792959</v>
      </c>
      <c r="H372" s="16">
        <f>IF(COUNT(D372:G372)=4,SUM(D372:G372),"")</f>
        <v>-235.57566151</v>
      </c>
      <c r="I372" s="15">
        <f>IFERROR(INDEX('Inputs (2)'!$D$60:$AL$60,MATCH(I$7,'Inputs (2)'!$D$2:$AL$2,0)),"")</f>
        <v>-70.46114024</v>
      </c>
      <c r="J372" s="15">
        <f>IFERROR(INDEX('Inputs (2)'!$D$60:$AL$60,MATCH(J$7,'Inputs (2)'!$D$2:$AL$2,0)),"")</f>
        <v>-73.06623912</v>
      </c>
      <c r="K372" s="15">
        <f>IFERROR(INDEX('Inputs (2)'!$D$60:$AL$60,MATCH(K$7,'Inputs (2)'!$D$2:$AL$2,0)),"")</f>
        <v>-78.61996292</v>
      </c>
      <c r="L372" s="15">
        <f>IFERROR(INDEX('Inputs (2)'!$D$60:$AL$60,MATCH(L$7,'Inputs (2)'!$D$2:$AL$2,0)),"")</f>
        <v>-77.61433756</v>
      </c>
      <c r="M372" s="16">
        <f>IF(COUNT(I372:L372)=4,SUM(I372:L372),"")</f>
        <v>-299.76167984</v>
      </c>
      <c r="N372" s="15">
        <f>IFERROR(INDEX('Inputs (2)'!$D$60:$AL$60,MATCH(N$7,'Inputs (2)'!$D$2:$AL$2,0)),"")</f>
        <v>-83.4955361</v>
      </c>
      <c r="O372" s="15">
        <f>IFERROR(INDEX('Inputs (2)'!$D$60:$AL$60,MATCH(O$7,'Inputs (2)'!$D$2:$AL$2,0)),"")</f>
        <v>-84.63557609</v>
      </c>
      <c r="P372" s="15">
        <f>IFERROR(INDEX('Inputs (2)'!$D$60:$AL$60,MATCH(P$7,'Inputs (2)'!$D$2:$AL$2,0)),"")</f>
        <v>-87.57188678</v>
      </c>
      <c r="Q372" s="15">
        <f>IFERROR(INDEX('Inputs (2)'!$D$60:$AL$60,MATCH(Q$7,'Inputs (2)'!$D$2:$AL$2,0)),"")</f>
        <v>-84.28051397</v>
      </c>
      <c r="R372" s="16">
        <f>IF(COUNT(N372:Q372)=4,SUM(N372:Q372),"")</f>
        <v>-339.98351294</v>
      </c>
      <c r="S372" s="15">
        <f>IFERROR(INDEX('Inputs (2)'!$D$60:$AL$60,MATCH(S$7,'Inputs (2)'!$D$2:$AL$2,0)),"")</f>
        <v>-93.58246261</v>
      </c>
      <c r="T372" s="15">
        <f>IFERROR(INDEX('Inputs (2)'!$D$60:$AL$60,MATCH(T$7,'Inputs (2)'!$D$2:$AL$2,0)),"")</f>
        <v>-124.984</v>
      </c>
      <c r="U372" s="15">
        <f>IFERROR(INDEX('Inputs (2)'!$D$60:$AL$60,MATCH(U$7,'Inputs (2)'!$D$2:$AL$2,0)),"")</f>
        <v>-140.975</v>
      </c>
      <c r="V372" s="15">
        <f>IFERROR(INDEX('Inputs (2)'!$D$60:$AL$60,MATCH(V$7,'Inputs (2)'!$D$2:$AL$2,0)),"")</f>
        <v>-130.94253739</v>
      </c>
      <c r="W372" s="16">
        <f>IF(COUNT(S372:V372)=4,SUM(S372:V372),"")</f>
        <v>-490.484</v>
      </c>
      <c r="X372" s="15">
        <f>IFERROR(INDEX('Inputs (2)'!$D$60:$AL$60,MATCH(X$7,'Inputs (2)'!$D$2:$AL$2,0)),"")</f>
        <v>-151.131</v>
      </c>
      <c r="Y372" s="15">
        <f>IFERROR(INDEX('Inputs (2)'!$D$60:$AL$60,MATCH(Y$7,'Inputs (2)'!$D$2:$AL$2,0)),"")</f>
        <v>-158.7</v>
      </c>
      <c r="Z372" s="15">
        <f>IFERROR(INDEX('Inputs (2)'!$D$60:$AL$60,MATCH(Z$7,'Inputs (2)'!$D$2:$AL$2,0)),"")</f>
        <v>-170.507</v>
      </c>
      <c r="AA372" s="15">
        <f>IFERROR(INDEX('Inputs (2)'!$D$60:$AL$60,MATCH(AA$7,'Inputs (2)'!$D$2:$AL$2,0)),"")</f>
        <v>-154.969</v>
      </c>
      <c r="AB372" s="16">
        <f>IF(COUNT(X372:AA372)=4,SUM(X372:AA372),"")</f>
        <v>-635.307</v>
      </c>
      <c r="AC372" s="15">
        <f>IFERROR(INDEX('Inputs (2)'!$D$60:$AL$60,MATCH(AC$7,'Inputs (2)'!$D$2:$AL$2,0)),"")</f>
        <v>-173.367</v>
      </c>
      <c r="AD372" s="15">
        <f>IFERROR(INDEX('Inputs (2)'!$D$60:$AL$60,MATCH(AD$7,'Inputs (2)'!$D$2:$AL$2,0)),"")</f>
        <v>-173.269</v>
      </c>
      <c r="AE372" s="15">
        <f>IFERROR(INDEX('Inputs (2)'!$D$60:$AL$60,MATCH(AE$7,'Inputs (2)'!$D$2:$AL$2,0)),"")</f>
        <v>-187.64646682</v>
      </c>
      <c r="AF372" s="15">
        <f>IFERROR(INDEX('Inputs (2)'!$D$60:$AL$60,MATCH(AF$7,'Inputs (2)'!$D$2:$AL$2,0)),"")</f>
        <v>-177.57069386</v>
      </c>
      <c r="AG372" s="16">
        <f>IF(COUNT(AC372:AF372)=4,SUM(AC372:AF372),"")</f>
        <v>-711.85316068</v>
      </c>
    </row>
    <row r="373">
      <c r="C373" s="264" t="inlineStr">
        <is>
          <t>Receita liquida (receita bruta - deducoes)</t>
        </is>
      </c>
      <c r="D373" s="15">
        <f>IF(COUNT(D371)=0,"",D371+D372)</f>
        <v>713.934015498379</v>
      </c>
      <c r="E373" s="15">
        <f>IF(COUNT(E371)=0,"",E371+E372)</f>
        <v>454.944259446606</v>
      </c>
      <c r="F373" s="15">
        <f>IF(COUNT(F371)=0,"",F371+F372)</f>
        <v>874.583280645448</v>
      </c>
      <c r="G373" s="15">
        <f>IF(COUNT(G371)=0,"",G371+G372)</f>
        <v>928.154863630001</v>
      </c>
      <c r="H373" s="16">
        <f>IF(COUNT(H371)=0,"",H371+H372)</f>
        <v>2971.61641922043</v>
      </c>
      <c r="I373" s="15">
        <f>IF(COUNT(I371)=0,"",I371+I372)</f>
        <v>893.808451784279</v>
      </c>
      <c r="J373" s="15">
        <f>IF(COUNT(J371)=0,"",J371+J372)</f>
        <v>932.066105449999</v>
      </c>
      <c r="K373" s="15">
        <f>IF(COUNT(K371)=0,"",K371+K372)</f>
        <v>1028.83021752</v>
      </c>
      <c r="L373" s="15">
        <f>IF(COUNT(L371)=0,"",L371+L372)</f>
        <v>1017.94678349</v>
      </c>
      <c r="M373" s="16">
        <f>IF(COUNT(M371)=0,"",M371+M372)</f>
        <v>3872.65155824428</v>
      </c>
      <c r="N373" s="15">
        <f>IF(COUNT(N371)=0,"",N371+N372)</f>
        <v>1089.91257007944</v>
      </c>
      <c r="O373" s="15">
        <f>IF(COUNT(O371)=0,"",O371+O372)</f>
        <v>1111.74596125805</v>
      </c>
      <c r="P373" s="15">
        <f>IF(COUNT(P371)=0,"",P371+P372)</f>
        <v>1146.77741722</v>
      </c>
      <c r="Q373" s="15">
        <f>IF(COUNT(Q371)=0,"",Q371+Q372)</f>
        <v>1114.74703028</v>
      </c>
      <c r="R373" s="16">
        <f>IF(COUNT(R371)=0,"",R371+R372)</f>
        <v>4463.18297883749</v>
      </c>
      <c r="S373" s="15">
        <f>IF(COUNT(S371)=0,"",S371+S372)</f>
        <v>1236.82341768</v>
      </c>
      <c r="T373" s="15" t="str">
        <f>IF(COUNT(T371)=0,"",T371+T372)</f>
        <v/>
      </c>
      <c r="U373" s="15">
        <f>IF(COUNT(U371)=0,"",U371+U372)</f>
        <v>1870.04532416597</v>
      </c>
      <c r="V373" s="15">
        <f>IF(COUNT(V371)=0,"",V371+V372)</f>
        <v>1704.44101061</v>
      </c>
      <c r="W373" s="16" t="str">
        <f>IF(COUNT(W371)=0,"",W371+W372)</f>
        <v/>
      </c>
      <c r="X373" s="15">
        <f>IF(COUNT(X371)=0,"",X371+X372)</f>
        <v>1904.44794173125</v>
      </c>
      <c r="Y373" s="15">
        <f>IF(COUNT(Y371)=0,"",Y371+Y372)</f>
        <v>1978.20194701803</v>
      </c>
      <c r="Z373" s="15">
        <f>IF(COUNT(Z371)=0,"",Z371+Z372)</f>
        <v>1962.670792</v>
      </c>
      <c r="AA373" s="15">
        <f>IF(COUNT(AA371)=0,"",AA371+AA372)</f>
        <v>1839.33734213326</v>
      </c>
      <c r="AB373" s="16">
        <f>IF(COUNT(AB371)=0,"",AB371+AB372)</f>
        <v>7684.65802288254</v>
      </c>
      <c r="AC373" s="15">
        <f>IF(COUNT(AC371)=0,"",AC371+AC372)</f>
        <v>2015.074</v>
      </c>
      <c r="AD373" s="15">
        <f>IF(COUNT(AD371)=0,"",AD371+AD372)</f>
        <v>2024.533169</v>
      </c>
      <c r="AE373" s="15">
        <f>IF(COUNT(AE371)=0,"",AE371+AE372)</f>
        <v>2190.97965651295</v>
      </c>
      <c r="AF373" s="15">
        <f>IF(COUNT(AF371)=0,"",AF371+AF372)</f>
        <v>2060.59548009278</v>
      </c>
      <c r="AG373" s="16">
        <f>IF(COUNT(AG371)=0,"",AG371+AG372)</f>
        <v>8291.18230560573</v>
      </c>
    </row>
    <row r="374">
      <c r="C374" s="14" t="inlineStr">
        <is>
          <t>Check vs Net Revenues (linha 15)</t>
        </is>
      </c>
      <c r="D374" s="15">
        <f>IF(COUNT(D373)=0,"",D15-D373)</f>
        <v>-0.00014198196072357</v>
      </c>
      <c r="E374" s="15">
        <f>IF(COUNT(E373)=0,"",E15-E373)</f>
        <v>-0.00036412551810372</v>
      </c>
      <c r="F374" s="15">
        <f>IF(COUNT(F373)=0,"",F15-F373)</f>
        <v>-0.000210209462125022</v>
      </c>
      <c r="G374" s="15">
        <f>IF(COUNT(G373)=0,"",G15-G373)</f>
        <v>-0.000120099999776357</v>
      </c>
      <c r="H374" s="16">
        <f>IF(COUNT(H373)=0,"",H15-H373)</f>
        <v>-0.000836416940728668</v>
      </c>
      <c r="I374" s="15">
        <f>IF(COUNT(I373)=0,"",I15-I373)</f>
        <v>-0.000475974279652291</v>
      </c>
      <c r="J374" s="15">
        <f>IF(COUNT(J373)=0,"",J15-J373)</f>
        <v>0.000250439999831542</v>
      </c>
      <c r="K374" s="15">
        <f>IF(COUNT(K373)=0,"",K15-K373)</f>
        <v>-0.000354089999518692</v>
      </c>
      <c r="L374" s="15">
        <f>IF(COUNT(L373)=0,"",L15-L373)</f>
        <v>-0.000356419999661739</v>
      </c>
      <c r="M374" s="16">
        <f>IF(COUNT(M373)=0,"",M15-M373)</f>
        <v>-0.000936044279114867</v>
      </c>
      <c r="N374" s="15">
        <f>IF(COUNT(N373)=0,"",N15-N373)</f>
        <v>0</v>
      </c>
      <c r="O374" s="15">
        <f>IF(COUNT(O373)=0,"",O15-O373)</f>
        <v>0</v>
      </c>
      <c r="P374" s="15">
        <f>IF(COUNT(P373)=0,"",P15-P373)</f>
        <v>-0.142541000000165</v>
      </c>
      <c r="Q374" s="15">
        <f>IF(COUNT(Q373)=0,"",Q15-Q373)</f>
        <v>-0.000266000000237909</v>
      </c>
      <c r="R374" s="16">
        <f>IF(COUNT(R373)=0,"",R15-R373)</f>
        <v>-0.142807000000175</v>
      </c>
      <c r="S374" s="15">
        <f>IF(COUNT(S373)=0,"",S15-S373)</f>
        <v>-0.000117999999929452</v>
      </c>
      <c r="T374" s="15" t="str">
        <f>IF(COUNT(T373)=0,"",T15-T373)</f>
        <v/>
      </c>
      <c r="U374" s="15">
        <f>IF(COUNT(U373)=0,"",U15-U373)</f>
        <v>-0.000324165970596368</v>
      </c>
      <c r="V374" s="15">
        <f>IF(COUNT(V373)=0,"",V15-V373)</f>
        <v>-0.000310289999788438</v>
      </c>
      <c r="W374" s="16" t="str">
        <f>IF(COUNT(W373)=0,"",W15-W373)</f>
        <v/>
      </c>
      <c r="X374" s="15">
        <f>IF(COUNT(X373)=0,"",X15-X373)</f>
        <v>0.000536768751544514</v>
      </c>
      <c r="Y374" s="15">
        <f>IF(COUNT(Y373)=0,"",Y15-Y373)</f>
        <v>5.29819726580172e-05</v>
      </c>
      <c r="Z374" s="15">
        <f>IF(COUNT(Z373)=0,"",Z15-Z373)</f>
        <v>0.000682000000097105</v>
      </c>
      <c r="AA374" s="15">
        <f>IF(COUNT(AA373)=0,"",AA15-AA373)</f>
        <v>-0.00029463326086443</v>
      </c>
      <c r="AB374" s="16">
        <f>IF(COUNT(AB373)=0,"",AB15-AB373)</f>
        <v>0.00097711746366258</v>
      </c>
      <c r="AC374" s="15">
        <f>IF(COUNT(AC373)=0,"",AC15-AC373)</f>
        <v>0</v>
      </c>
      <c r="AD374" s="15">
        <f>IF(COUNT(AD373)=0,"",AD15-AD373)</f>
        <v>-0.000168999999459629</v>
      </c>
      <c r="AE374" s="15">
        <f>IF(COUNT(AE373)=0,"",AE15-AE373)</f>
        <v>-0.000472685805107176</v>
      </c>
      <c r="AF374" s="15">
        <f>IF(COUNT(AF373)=0,"",AF15-AF373)</f>
        <v>-0.000141952782996668</v>
      </c>
      <c r="AG374" s="16">
        <f>IF(COUNT(AG373)=0,"",AG15-AG373)</f>
        <v>-0.000783638586653979</v>
      </c>
    </row>
    <row r="375"/>
    <row r="376">
      <c r="C376" s="264" t="inlineStr">
        <is>
          <t>Volume e receita media por exame (Combinada inclui lab-to-lab do Pardini: quebra no 2T23)</t>
        </is>
      </c>
    </row>
    <row r="377">
      <c r="C377" s="14" t="inlineStr">
        <is>
          <t>Exames PSC (mil)</t>
        </is>
      </c>
      <c r="D377" s="15">
        <f>IFERROR(INDEX('Inputs (2)'!$D$61:$AL$61,MATCH(D$7,'Inputs (2)'!$D$2:$AL$2,0)),"")</f>
        <v>12170.1127735337</v>
      </c>
      <c r="E377" s="15">
        <f>IFERROR(INDEX('Inputs (2)'!$D$61:$AL$61,MATCH(E$7,'Inputs (2)'!$D$2:$AL$2,0)),"")</f>
        <v>6775.003</v>
      </c>
      <c r="F377" s="15">
        <f>IFERROR(INDEX('Inputs (2)'!$D$61:$AL$61,MATCH(F$7,'Inputs (2)'!$D$2:$AL$2,0)),"")</f>
        <v>14460.532</v>
      </c>
      <c r="G377" s="15">
        <f>IFERROR(INDEX('Inputs (2)'!$D$61:$AL$61,MATCH(G$7,'Inputs (2)'!$D$2:$AL$2,0)),"")</f>
        <v>14770.758</v>
      </c>
      <c r="H377" s="16">
        <f>IF(COUNT(D377:G377)=4,SUM(D377:G377),"")</f>
        <v>48176.4057735337</v>
      </c>
      <c r="I377" s="15">
        <f>IFERROR(INDEX('Inputs (2)'!$D$61:$AL$61,MATCH(I$7,'Inputs (2)'!$D$2:$AL$2,0)),"")</f>
        <v>14679.154</v>
      </c>
      <c r="J377" s="15">
        <f>IFERROR(INDEX('Inputs (2)'!$D$61:$AL$61,MATCH(J$7,'Inputs (2)'!$D$2:$AL$2,0)),"")</f>
        <v>15004.562</v>
      </c>
      <c r="K377" s="15">
        <f>IFERROR(INDEX('Inputs (2)'!$D$61:$AL$61,MATCH(K$7,'Inputs (2)'!$D$2:$AL$2,0)),"")</f>
        <v>15768.101</v>
      </c>
      <c r="L377" s="15">
        <f>IFERROR(INDEX('Inputs (2)'!$D$61:$AL$61,MATCH(L$7,'Inputs (2)'!$D$2:$AL$2,0)),"")</f>
        <v>16663.758</v>
      </c>
      <c r="M377" s="16">
        <f>IF(COUNT(I377:L377)=4,SUM(I377:L377),"")</f>
        <v>62115.575</v>
      </c>
      <c r="N377" s="15">
        <f>IFERROR(INDEX('Inputs (2)'!$D$61:$AL$61,MATCH(N$7,'Inputs (2)'!$D$2:$AL$2,0)),"")</f>
        <v>18443.28</v>
      </c>
      <c r="O377" s="15">
        <f>IFERROR(INDEX('Inputs (2)'!$D$61:$AL$61,MATCH(O$7,'Inputs (2)'!$D$2:$AL$2,0)),"")</f>
        <v>19516.8069996043</v>
      </c>
      <c r="P377" s="15">
        <f>IFERROR(INDEX('Inputs (2)'!$D$61:$AL$61,MATCH(P$7,'Inputs (2)'!$D$2:$AL$2,0)),"")</f>
        <v>20759.489</v>
      </c>
      <c r="Q377" s="15">
        <f>IFERROR(INDEX('Inputs (2)'!$D$61:$AL$61,MATCH(Q$7,'Inputs (2)'!$D$2:$AL$2,0)),"")</f>
        <v>19863.724</v>
      </c>
      <c r="R377" s="16">
        <f>IF(COUNT(N377:Q377)=4,SUM(N377:Q377),"")</f>
        <v>78583.2999996043</v>
      </c>
      <c r="S377" s="15">
        <f>IFERROR(INDEX('Inputs (2)'!$D$61:$AL$61,MATCH(S$7,'Inputs (2)'!$D$2:$AL$2,0)),"")</f>
        <v>24639.577</v>
      </c>
      <c r="T377" s="15" t="str">
        <f>IFERROR(INDEX('Inputs (2)'!$D$61:$AL$61,MATCH(T$7,'Inputs (2)'!$D$2:$AL$2,0)),"")</f>
        <v/>
      </c>
      <c r="U377" s="15">
        <f>IFERROR(INDEX('Inputs (2)'!$D$61:$AL$61,MATCH(U$7,'Inputs (2)'!$D$2:$AL$2,0)),"")</f>
        <v>36037.031</v>
      </c>
      <c r="V377" s="15">
        <f>IFERROR(INDEX('Inputs (2)'!$D$61:$AL$61,MATCH(V$7,'Inputs (2)'!$D$2:$AL$2,0)),"")</f>
        <v>32350.275</v>
      </c>
      <c r="W377" s="16" t="str">
        <f>IF(COUNT(S377:V377)=4,SUM(S377:V377),"")</f>
        <v/>
      </c>
      <c r="X377" s="15">
        <f>IFERROR(INDEX('Inputs (2)'!$D$61:$AL$61,MATCH(X$7,'Inputs (2)'!$D$2:$AL$2,0)),"")</f>
        <v>37322.5040000428</v>
      </c>
      <c r="Y377" s="15">
        <f>IFERROR(INDEX('Inputs (2)'!$D$61:$AL$61,MATCH(Y$7,'Inputs (2)'!$D$2:$AL$2,0)),"")</f>
        <v>37661.768</v>
      </c>
      <c r="Z377" s="15">
        <f>IFERROR(INDEX('Inputs (2)'!$D$61:$AL$61,MATCH(Z$7,'Inputs (2)'!$D$2:$AL$2,0)),"")</f>
        <v>38316.821</v>
      </c>
      <c r="AA377" s="15">
        <f>IFERROR(INDEX('Inputs (2)'!$D$61:$AL$61,MATCH(AA$7,'Inputs (2)'!$D$2:$AL$2,0)),"")</f>
        <v>35997.7738700073</v>
      </c>
      <c r="AB377" s="16">
        <f>IF(COUNT(X377:AA377)=4,SUM(X377:AA377),"")</f>
        <v>149298.86687005</v>
      </c>
      <c r="AC377" s="15">
        <f>IFERROR(INDEX('Inputs (2)'!$D$61:$AL$61,MATCH(AC$7,'Inputs (2)'!$D$2:$AL$2,0)),"")</f>
        <v>40343.756</v>
      </c>
      <c r="AD377" s="15">
        <f>IFERROR(INDEX('Inputs (2)'!$D$61:$AL$61,MATCH(AD$7,'Inputs (2)'!$D$2:$AL$2,0)),"")</f>
        <v>39674.485</v>
      </c>
      <c r="AE377" s="15">
        <f>IFERROR(INDEX('Inputs (2)'!$D$61:$AL$61,MATCH(AE$7,'Inputs (2)'!$D$2:$AL$2,0)),"")</f>
        <v>44294.023</v>
      </c>
      <c r="AF377" s="15">
        <f>IFERROR(INDEX('Inputs (2)'!$D$61:$AL$61,MATCH(AF$7,'Inputs (2)'!$D$2:$AL$2,0)),"")</f>
        <v>40889.107</v>
      </c>
      <c r="AG377" s="16">
        <f>IF(COUNT(AC377:AF377)=4,SUM(AC377:AF377),"")</f>
        <v>165201.371</v>
      </c>
    </row>
    <row r="378">
      <c r="C378" s="14" t="inlineStr">
        <is>
          <t>Receita bruta PSC por exame (R$)</t>
        </is>
      </c>
      <c r="D378" s="265">
        <f>IFERROR(D363/D377*1000,"")</f>
        <v>52.6980684891978</v>
      </c>
      <c r="E378" s="265">
        <f>IFERROR(E363/E377*1000,"")</f>
        <v>54.7497744710201</v>
      </c>
      <c r="F378" s="265">
        <f>IFERROR(F363/F377*1000,"")</f>
        <v>53.5419823641259</v>
      </c>
      <c r="G378" s="265">
        <f>IFERROR(G363/G377*1000,"")</f>
        <v>54.9483451952838</v>
      </c>
      <c r="H378" s="266">
        <f>IFERROR(H363/H377*1000,"")</f>
        <v>53.9298343189941</v>
      </c>
      <c r="I378" s="265">
        <f>IFERROR(I363/I377*1000,"")</f>
        <v>53.2513021129859</v>
      </c>
      <c r="J378" s="265">
        <f>IFERROR(J363/J377*1000,"")</f>
        <v>52.8940644278719</v>
      </c>
      <c r="K378" s="265">
        <f>IFERROR(K363/K377*1000,"")</f>
        <v>53.1363857859779</v>
      </c>
      <c r="L378" s="265">
        <f>IFERROR(L363/L377*1000,"")</f>
        <v>50.4970725021811</v>
      </c>
      <c r="M378" s="266">
        <f>IFERROR(M363/M377*1000,"")</f>
        <v>52.3969588511434</v>
      </c>
      <c r="N378" s="265">
        <f>IFERROR(N363/N377*1000,"")</f>
        <v>49.8796312607867</v>
      </c>
      <c r="O378" s="265">
        <f>IFERROR(O363/O377*1000,"")</f>
        <v>47.9713564141366</v>
      </c>
      <c r="P378" s="265">
        <f>IFERROR(P363/P377*1000,"")</f>
        <v>47.514459676729</v>
      </c>
      <c r="Q378" s="265">
        <f>IFERROR(Q363/Q377*1000,"")</f>
        <v>46.5910683817395</v>
      </c>
      <c r="R378" s="266">
        <f>IFERROR(R363/R377*1000,"")</f>
        <v>47.9496246212917</v>
      </c>
      <c r="S378" s="265">
        <f>IFERROR(S363/S377*1000,"")</f>
        <v>43.09003001959</v>
      </c>
      <c r="T378" s="265" t="str">
        <f>IFERROR(T363/T377*1000,"")</f>
        <v/>
      </c>
      <c r="U378" s="265">
        <f>IFERROR(U363/U377*1000,"")</f>
        <v>37.8894502457755</v>
      </c>
      <c r="V378" s="265">
        <f>IFERROR(V363/V377*1000,"")</f>
        <v>37.8892935840576</v>
      </c>
      <c r="W378" s="266" t="str">
        <f>IFERROR(W363/W377*1000,"")</f>
        <v/>
      </c>
      <c r="X378" s="265">
        <f>IFERROR(X363/X377*1000,"")</f>
        <v>36.9065369287013</v>
      </c>
      <c r="Y378" s="265">
        <f>IFERROR(Y363/Y377*1000,"")</f>
        <v>38.0906656558406</v>
      </c>
      <c r="Z378" s="265">
        <f>IFERROR(Z363/Z377*1000,"")</f>
        <v>37.4115264155134</v>
      </c>
      <c r="AA378" s="265">
        <f>IFERROR(AA363/AA377*1000,"")</f>
        <v>37.6052121837218</v>
      </c>
      <c r="AB378" s="266">
        <f>IFERROR(AB363/AB377*1000,"")</f>
        <v>37.5033045323902</v>
      </c>
      <c r="AC378" s="265">
        <f>IFERROR(AC363/AC377*1000,"")</f>
        <v>36.8310044310203</v>
      </c>
      <c r="AD378" s="265">
        <f>IFERROR(AD363/AD377*1000,"")</f>
        <v>38.7596216308794</v>
      </c>
      <c r="AE378" s="265">
        <f>IFERROR(AE363/AE377*1000,"")</f>
        <v>37.5383089786294</v>
      </c>
      <c r="AF378" s="265">
        <f>IFERROR(AF363/AF377*1000,"")</f>
        <v>37.5555000737185</v>
      </c>
      <c r="AG378" s="266">
        <f>IFERROR(AG363/AG377*1000,"")</f>
        <v>37.6631418224326</v>
      </c>
    </row>
    <row r="379">
      <c r="C379" s="14" t="inlineStr">
        <is>
          <t>Exames B2B (mil)</t>
        </is>
      </c>
      <c r="D379" s="15">
        <f>IFERROR(INDEX('Inputs (2)'!$D$62:$AL$62,MATCH(D$7,'Inputs (2)'!$D$2:$AL$2,0)),"")</f>
        <v>7765.04180815767</v>
      </c>
      <c r="E379" s="15">
        <f>IFERROR(INDEX('Inputs (2)'!$D$62:$AL$62,MATCH(E$7,'Inputs (2)'!$D$2:$AL$2,0)),"")</f>
        <v>5981.309</v>
      </c>
      <c r="F379" s="15">
        <f>IFERROR(INDEX('Inputs (2)'!$D$62:$AL$62,MATCH(F$7,'Inputs (2)'!$D$2:$AL$2,0)),"")</f>
        <v>8500.653</v>
      </c>
      <c r="G379" s="15">
        <f>IFERROR(INDEX('Inputs (2)'!$D$62:$AL$62,MATCH(G$7,'Inputs (2)'!$D$2:$AL$2,0)),"")</f>
        <v>8855.04075</v>
      </c>
      <c r="H379" s="16">
        <f>IF(COUNT(D379:G379)=4,SUM(D379:G379),"")</f>
        <v>31102.0445581577</v>
      </c>
      <c r="I379" s="15">
        <f>IFERROR(INDEX('Inputs (2)'!$D$62:$AL$62,MATCH(I$7,'Inputs (2)'!$D$2:$AL$2,0)),"")</f>
        <v>9279.2405</v>
      </c>
      <c r="J379" s="15">
        <f>IFERROR(INDEX('Inputs (2)'!$D$62:$AL$62,MATCH(J$7,'Inputs (2)'!$D$2:$AL$2,0)),"")</f>
        <v>9367.924</v>
      </c>
      <c r="K379" s="15">
        <f>IFERROR(INDEX('Inputs (2)'!$D$62:$AL$62,MATCH(K$7,'Inputs (2)'!$D$2:$AL$2,0)),"")</f>
        <v>9361.24174</v>
      </c>
      <c r="L379" s="15">
        <f>IFERROR(INDEX('Inputs (2)'!$D$62:$AL$62,MATCH(L$7,'Inputs (2)'!$D$2:$AL$2,0)),"")</f>
        <v>8963.542</v>
      </c>
      <c r="M379" s="16">
        <f>IF(COUNT(I379:L379)=4,SUM(I379:L379),"")</f>
        <v>36971.94824</v>
      </c>
      <c r="N379" s="15">
        <f>IFERROR(INDEX('Inputs (2)'!$D$62:$AL$62,MATCH(N$7,'Inputs (2)'!$D$2:$AL$2,0)),"")</f>
        <v>9172.471</v>
      </c>
      <c r="O379" s="15">
        <f>IFERROR(INDEX('Inputs (2)'!$D$62:$AL$62,MATCH(O$7,'Inputs (2)'!$D$2:$AL$2,0)),"")</f>
        <v>9101.283</v>
      </c>
      <c r="P379" s="15">
        <f>IFERROR(INDEX('Inputs (2)'!$D$62:$AL$62,MATCH(P$7,'Inputs (2)'!$D$2:$AL$2,0)),"")</f>
        <v>8325.894</v>
      </c>
      <c r="Q379" s="15">
        <f>IFERROR(INDEX('Inputs (2)'!$D$62:$AL$62,MATCH(Q$7,'Inputs (2)'!$D$2:$AL$2,0)),"")</f>
        <v>6781.81</v>
      </c>
      <c r="R379" s="16">
        <f>IF(COUNT(N379:Q379)=4,SUM(N379:Q379),"")</f>
        <v>33381.458</v>
      </c>
      <c r="S379" s="15">
        <f>IFERROR(INDEX('Inputs (2)'!$D$62:$AL$62,MATCH(S$7,'Inputs (2)'!$D$2:$AL$2,0)),"")</f>
        <v>6572.057</v>
      </c>
      <c r="T379" s="15" t="str">
        <f>IFERROR(INDEX('Inputs (2)'!$D$62:$AL$62,MATCH(T$7,'Inputs (2)'!$D$2:$AL$2,0)),"")</f>
        <v/>
      </c>
      <c r="U379" s="15">
        <f>IFERROR(INDEX('Inputs (2)'!$D$62:$AL$62,MATCH(U$7,'Inputs (2)'!$D$2:$AL$2,0)),"")</f>
        <v>43098.373</v>
      </c>
      <c r="V379" s="15">
        <f>IFERROR(INDEX('Inputs (2)'!$D$62:$AL$62,MATCH(V$7,'Inputs (2)'!$D$2:$AL$2,0)),"")</f>
        <v>40482.54</v>
      </c>
      <c r="W379" s="16" t="str">
        <f>IF(COUNT(S379:V379)=4,SUM(S379:V379),"")</f>
        <v/>
      </c>
      <c r="X379" s="15">
        <f>IFERROR(INDEX('Inputs (2)'!$D$62:$AL$62,MATCH(X$7,'Inputs (2)'!$D$2:$AL$2,0)),"")</f>
        <v>44185.14</v>
      </c>
      <c r="Y379" s="15">
        <f>IFERROR(INDEX('Inputs (2)'!$D$62:$AL$62,MATCH(Y$7,'Inputs (2)'!$D$2:$AL$2,0)),"")</f>
        <v>47746.356</v>
      </c>
      <c r="Z379" s="15">
        <f>IFERROR(INDEX('Inputs (2)'!$D$62:$AL$62,MATCH(Z$7,'Inputs (2)'!$D$2:$AL$2,0)),"")</f>
        <v>49313.0979999999</v>
      </c>
      <c r="AA379" s="15">
        <f>IFERROR(INDEX('Inputs (2)'!$D$62:$AL$62,MATCH(AA$7,'Inputs (2)'!$D$2:$AL$2,0)),"")</f>
        <v>45175.0470000095</v>
      </c>
      <c r="AB379" s="16">
        <f>IF(COUNT(X379:AA379)=4,SUM(X379:AA379),"")</f>
        <v>186419.641000009</v>
      </c>
      <c r="AC379" s="15">
        <f>IFERROR(INDEX('Inputs (2)'!$D$62:$AL$62,MATCH(AC$7,'Inputs (2)'!$D$2:$AL$2,0)),"")</f>
        <v>49242.257</v>
      </c>
      <c r="AD379" s="15">
        <f>IFERROR(INDEX('Inputs (2)'!$D$62:$AL$62,MATCH(AD$7,'Inputs (2)'!$D$2:$AL$2,0)),"")</f>
        <v>49738.982</v>
      </c>
      <c r="AE379" s="15">
        <f>IFERROR(INDEX('Inputs (2)'!$D$62:$AL$62,MATCH(AE$7,'Inputs (2)'!$D$2:$AL$2,0)),"")</f>
        <v>53681.259</v>
      </c>
      <c r="AF379" s="15">
        <f>IFERROR(INDEX('Inputs (2)'!$D$62:$AL$62,MATCH(AF$7,'Inputs (2)'!$D$2:$AL$2,0)),"")</f>
        <v>50715.319</v>
      </c>
      <c r="AG379" s="16">
        <f>IF(COUNT(AC379:AF379)=4,SUM(AC379:AF379),"")</f>
        <v>203377.817</v>
      </c>
    </row>
    <row r="380">
      <c r="C380" s="14" t="inlineStr">
        <is>
          <t>Receita bruta B2B por exame (R$)</t>
        </is>
      </c>
      <c r="D380" s="265">
        <f>IFERROR(D369/D379*1000,"")</f>
        <v>15.9106563273232</v>
      </c>
      <c r="E380" s="265">
        <f>IFERROR(E369/E379*1000,"")</f>
        <v>19.0119889223886</v>
      </c>
      <c r="F380" s="265">
        <f>IFERROR(F369/F379*1000,"")</f>
        <v>18.3619892125428</v>
      </c>
      <c r="G380" s="265">
        <f>IFERROR(G369/G379*1000,"")</f>
        <v>19.7788834003955</v>
      </c>
      <c r="H380" s="266">
        <f>IFERROR(H369/H379*1000,"")</f>
        <v>18.2783870735192</v>
      </c>
      <c r="I380" s="265">
        <f>IFERROR(I369/I379*1000,"")</f>
        <v>18.18320858881</v>
      </c>
      <c r="J380" s="265">
        <f>IFERROR(J369/J379*1000,"")</f>
        <v>18.1873313169492</v>
      </c>
      <c r="K380" s="265">
        <f>IFERROR(K369/K379*1000,"")</f>
        <v>19.5403638898017</v>
      </c>
      <c r="L380" s="265">
        <f>IFERROR(L369/L379*1000,"")</f>
        <v>19.2372090062165</v>
      </c>
      <c r="M380" s="266">
        <f>IFERROR(M369/M379*1000,"")</f>
        <v>18.7834165389179</v>
      </c>
      <c r="N380" s="265">
        <f>IFERROR(N369/N379*1000,"")</f>
        <v>18.9919592506752</v>
      </c>
      <c r="O380" s="265">
        <f>IFERROR(O369/O379*1000,"")</f>
        <v>18.8707698569879</v>
      </c>
      <c r="P380" s="265">
        <f>IFERROR(P369/P379*1000,"")</f>
        <v>17.6081279679996</v>
      </c>
      <c r="Q380" s="265">
        <f>IFERROR(Q369/Q379*1000,"")</f>
        <v>19.1450935664668</v>
      </c>
      <c r="R380" s="266">
        <f>IFERROR(R369/R379*1000,"")</f>
        <v>18.6448778347643</v>
      </c>
      <c r="S380" s="265">
        <f>IFERROR(S369/S379*1000,"")</f>
        <v>18.5379130156662</v>
      </c>
      <c r="T380" s="265" t="str">
        <f>IFERROR(T369/T379*1000,"")</f>
        <v/>
      </c>
      <c r="U380" s="265">
        <f>IFERROR(U369/U379*1000,"")</f>
        <v>10.7325223348919</v>
      </c>
      <c r="V380" s="265">
        <f>IFERROR(V369/V379*1000,"")</f>
        <v>10.9037328438384</v>
      </c>
      <c r="W380" s="266" t="str">
        <f>IFERROR(W369/W379*1000,"")</f>
        <v/>
      </c>
      <c r="X380" s="265">
        <f>IFERROR(X369/X379*1000,"")</f>
        <v>11.0765872831696</v>
      </c>
      <c r="Y380" s="265">
        <f>IFERROR(Y369/Y379*1000,"")</f>
        <v>10.5063685962169</v>
      </c>
      <c r="Z380" s="265">
        <f>IFERROR(Z369/Z379*1000,"")</f>
        <v>10.1648292102841</v>
      </c>
      <c r="AA380" s="265">
        <f>IFERROR(AA369/AA379*1000,"")</f>
        <v>10.3094278131</v>
      </c>
      <c r="AB380" s="266">
        <f>IFERROR(AB369/AB379*1000,"")</f>
        <v>10.5034505462392</v>
      </c>
      <c r="AC380" s="265">
        <f>IFERROR(AC369/AC379*1000,"")</f>
        <v>9.7487365374012</v>
      </c>
      <c r="AD380" s="265">
        <f>IFERROR(AD369/AD379*1000,"")</f>
        <v>9.76952996343994</v>
      </c>
      <c r="AE380" s="265">
        <f>IFERROR(AE369/AE379*1000,"")</f>
        <v>9.52982640581517</v>
      </c>
      <c r="AF380" s="265">
        <f>IFERROR(AF369/AF379*1000,"")</f>
        <v>9.56333312228599</v>
      </c>
      <c r="AG380" s="266">
        <f>IFERROR(AG369/AG379*1000,"")</f>
        <v>9.64980774926699</v>
      </c>
    </row>
    <row r="381"/>
    <row r="382">
      <c r="C382" s="264" t="inlineStr">
        <is>
          <t>Alavancagem</t>
        </is>
      </c>
    </row>
    <row r="383">
      <c r="C383" s="14" t="inlineStr">
        <is>
          <t>Divida liquida / EBITDA LTM - divulgado pela companhia (x)</t>
        </is>
      </c>
      <c r="D383" s="267">
        <f>IFERROR(INDEX('Inputs (2)'!$D$64:$AL$64,MATCH(D$7,'Inputs (2)'!$D$2:$AL$2,0)),"")</f>
        <v>1.05584588950658</v>
      </c>
      <c r="E383" s="267">
        <f>IFERROR(INDEX('Inputs (2)'!$D$64:$AL$64,MATCH(E$7,'Inputs (2)'!$D$2:$AL$2,0)),"")</f>
        <v>1.39368095194644</v>
      </c>
      <c r="F383" s="267">
        <f>IFERROR(INDEX('Inputs (2)'!$D$64:$AL$64,MATCH(F$7,'Inputs (2)'!$D$2:$AL$2,0)),"")</f>
        <v>1.12471152698309</v>
      </c>
      <c r="G383" s="267">
        <f>IFERROR(INDEX('Inputs (2)'!$D$64:$AL$64,MATCH(G$7,'Inputs (2)'!$D$2:$AL$2,0)),"")</f>
        <v>1.07608714215497</v>
      </c>
      <c r="H383" s="268">
        <f>IF(G383="","",G383)</f>
        <v>1.07608714215497</v>
      </c>
      <c r="I383" s="267">
        <f>IFERROR(INDEX('Inputs (2)'!$D$64:$AL$64,MATCH(I$7,'Inputs (2)'!$D$2:$AL$2,0)),"")</f>
        <v>0.973069579788152</v>
      </c>
      <c r="J383" s="267">
        <f>IFERROR(INDEX('Inputs (2)'!$D$64:$AL$64,MATCH(J$7,'Inputs (2)'!$D$2:$AL$2,0)),"")</f>
        <v>1.03604374260443</v>
      </c>
      <c r="K383" s="267">
        <f>IFERROR(INDEX('Inputs (2)'!$D$64:$AL$64,MATCH(K$7,'Inputs (2)'!$D$2:$AL$2,0)),"")</f>
        <v>1.32494655840149</v>
      </c>
      <c r="L383" s="267">
        <f>IFERROR(INDEX('Inputs (2)'!$D$64:$AL$64,MATCH(L$7,'Inputs (2)'!$D$2:$AL$2,0)),"")</f>
        <v>1.33654160762345</v>
      </c>
      <c r="M383" s="268">
        <f>IF(L383="","",L383)</f>
        <v>1.33654160762345</v>
      </c>
      <c r="N383" s="267">
        <f>IFERROR(INDEX('Inputs (2)'!$D$64:$AL$64,MATCH(N$7,'Inputs (2)'!$D$2:$AL$2,0)),"")</f>
        <v>1.40870760836382</v>
      </c>
      <c r="O383" s="267">
        <f>IFERROR(INDEX('Inputs (2)'!$D$64:$AL$64,MATCH(O$7,'Inputs (2)'!$D$2:$AL$2,0)),"")</f>
        <v>1.80033504288454</v>
      </c>
      <c r="P383" s="267">
        <f>IFERROR(INDEX('Inputs (2)'!$D$64:$AL$64,MATCH(P$7,'Inputs (2)'!$D$2:$AL$2,0)),"")</f>
        <v>1.67174669927067</v>
      </c>
      <c r="Q383" s="267">
        <f>IFERROR(INDEX('Inputs (2)'!$D$64:$AL$64,MATCH(Q$7,'Inputs (2)'!$D$2:$AL$2,0)),"")</f>
        <v>1.21489330082338</v>
      </c>
      <c r="R383" s="268">
        <f>IF(Q383="","",Q383)</f>
        <v>1.21489330082338</v>
      </c>
      <c r="S383" s="267">
        <f>IFERROR(INDEX('Inputs (2)'!$D$64:$AL$64,MATCH(S$7,'Inputs (2)'!$D$2:$AL$2,0)),"")</f>
        <v>1.20801562418868</v>
      </c>
      <c r="T383" s="267" t="str">
        <f>IFERROR(INDEX('Inputs (2)'!$D$64:$AL$64,MATCH(T$7,'Inputs (2)'!$D$2:$AL$2,0)),"")</f>
        <v/>
      </c>
      <c r="U383" s="267">
        <f>IFERROR(INDEX('Inputs (2)'!$D$64:$AL$64,MATCH(U$7,'Inputs (2)'!$D$2:$AL$2,0)),"")</f>
        <v>1.2</v>
      </c>
      <c r="V383" s="267">
        <f>IFERROR(INDEX('Inputs (2)'!$D$64:$AL$64,MATCH(V$7,'Inputs (2)'!$D$2:$AL$2,0)),"")</f>
        <v>1.2</v>
      </c>
      <c r="W383" s="268">
        <f>IF(V383="","",V383)</f>
        <v>1.2</v>
      </c>
      <c r="X383" s="267">
        <f>IFERROR(INDEX('Inputs (2)'!$D$64:$AL$64,MATCH(X$7,'Inputs (2)'!$D$2:$AL$2,0)),"")</f>
        <v>1.2</v>
      </c>
      <c r="Y383" s="267">
        <f>IFERROR(INDEX('Inputs (2)'!$D$64:$AL$64,MATCH(Y$7,'Inputs (2)'!$D$2:$AL$2,0)),"")</f>
        <v>1.1</v>
      </c>
      <c r="Z383" s="267">
        <f>IFERROR(INDEX('Inputs (2)'!$D$64:$AL$64,MATCH(Z$7,'Inputs (2)'!$D$2:$AL$2,0)),"")</f>
        <v>1</v>
      </c>
      <c r="AA383" s="267">
        <f>IFERROR(INDEX('Inputs (2)'!$D$64:$AL$64,MATCH(AA$7,'Inputs (2)'!$D$2:$AL$2,0)),"")</f>
        <v>1</v>
      </c>
      <c r="AB383" s="268">
        <f>IF(AA383="","",AA383)</f>
        <v>1</v>
      </c>
      <c r="AC383" s="267">
        <f>IFERROR(INDEX('Inputs (2)'!$D$64:$AL$64,MATCH(AC$7,'Inputs (2)'!$D$2:$AL$2,0)),"")</f>
        <v>1</v>
      </c>
      <c r="AD383" s="267">
        <f>IFERROR(INDEX('Inputs (2)'!$D$64:$AL$64,MATCH(AD$7,'Inputs (2)'!$D$2:$AL$2,0)),"")</f>
        <v>1.1</v>
      </c>
      <c r="AE383" s="267">
        <f>IFERROR(INDEX('Inputs (2)'!$D$64:$AL$64,MATCH(AE$7,'Inputs (2)'!$D$2:$AL$2,0)),"")</f>
        <v>1</v>
      </c>
      <c r="AF383" s="267">
        <f>IFERROR(INDEX('Inputs (2)'!$D$64:$AL$64,MATCH(AF$7,'Inputs (2)'!$D$2:$AL$2,0)),"")</f>
        <v>1</v>
      </c>
      <c r="AG383" s="268">
        <f>IF(AF383="","",AF383)</f>
        <v>1</v>
      </c>
    </row>
    <row r="384">
      <c r="C384" s="14" t="inlineStr">
        <is>
          <t>Divida liquida / EBITDA LTM - modelo, linha 303 (x)</t>
        </is>
      </c>
      <c r="D384" s="267" t="str">
        <f>IF(ISNUMBER(D303),D303,"")</f>
        <v/>
      </c>
      <c r="E384" s="267" t="str">
        <f>IF(ISNUMBER(E303),E303,"")</f>
        <v/>
      </c>
      <c r="F384" s="267" t="str">
        <f>IF(ISNUMBER(F303),F303,"")</f>
        <v/>
      </c>
      <c r="G384" s="267">
        <f>IF(ISNUMBER(G303),G303,"")</f>
        <v>1.07608714317844</v>
      </c>
      <c r="H384" s="268" t="str">
        <f>IF(ISNUMBER(H303),H303,"")</f>
        <v/>
      </c>
      <c r="I384" s="267">
        <f>IF(ISNUMBER(I303),I303,"")</f>
        <v>0.973069585532767</v>
      </c>
      <c r="J384" s="267">
        <f>IF(ISNUMBER(J303),J303,"")</f>
        <v>1.03604374845391</v>
      </c>
      <c r="K384" s="267">
        <f>IF(ISNUMBER(K303),K303,"")</f>
        <v>1.32494656183552</v>
      </c>
      <c r="L384" s="267">
        <f>IF(ISNUMBER(L303),L303,"")</f>
        <v>1.33654161096484</v>
      </c>
      <c r="M384" s="268" t="str">
        <f>IF(ISNUMBER(M303),M303,"")</f>
        <v/>
      </c>
      <c r="N384" s="267">
        <f>IF(ISNUMBER(N303),N303,"")</f>
        <v>1.40870761009808</v>
      </c>
      <c r="O384" s="267">
        <f>IF(ISNUMBER(O303),O303,"")</f>
        <v>1.8003350436696</v>
      </c>
      <c r="P384" s="267">
        <f>IF(ISNUMBER(P303),P303,"")</f>
        <v>1.67174670011053</v>
      </c>
      <c r="Q384" s="267">
        <f>IF(ISNUMBER(Q303),Q303,"")</f>
        <v>1.21489330076467</v>
      </c>
      <c r="R384" s="268" t="str">
        <f>IF(ISNUMBER(R303),R303,"")</f>
        <v/>
      </c>
      <c r="S384" s="267">
        <f>IF(ISNUMBER(S303),S303,"")</f>
        <v>1.20801603442788</v>
      </c>
      <c r="T384" s="267">
        <f>IF(ISNUMBER(T303),T303,"")</f>
        <v>1.71326238885395</v>
      </c>
      <c r="U384" s="267">
        <f>IF(ISNUMBER(U303),U303,"")</f>
        <v>1.37287432937094</v>
      </c>
      <c r="V384" s="267">
        <f>IF(ISNUMBER(V303),V303,"")</f>
        <v>1.35098856360411</v>
      </c>
      <c r="W384" s="268" t="str">
        <f>IF(ISNUMBER(W303),W303,"")</f>
        <v/>
      </c>
      <c r="X384" s="267">
        <f>IF(ISNUMBER(X303),X303,"")</f>
        <v>1.25172267657476</v>
      </c>
      <c r="Y384" s="267">
        <f>IF(ISNUMBER(Y303),Y303,"")</f>
        <v>1.04843645064873</v>
      </c>
      <c r="Z384" s="267">
        <f>IF(ISNUMBER(Z303),Z303,"")</f>
        <v>0.959076095716258</v>
      </c>
      <c r="AA384" s="267">
        <f>IF(ISNUMBER(AA303),AA303,"")</f>
        <v>1.01086959812306</v>
      </c>
      <c r="AB384" s="268" t="str">
        <f>IF(ISNUMBER(AB303),AB303,"")</f>
        <v/>
      </c>
      <c r="AC384" s="267">
        <f>IF(ISNUMBER(AC303),AC303,"")</f>
        <v>1.00359540393025</v>
      </c>
      <c r="AD384" s="267">
        <f>IF(ISNUMBER(AD303),AD303,"")</f>
        <v>1.14709921115731</v>
      </c>
      <c r="AE384" s="267">
        <f>IF(ISNUMBER(AE303),AE303,"")</f>
        <v>0.977853036989057</v>
      </c>
      <c r="AF384" s="267">
        <f>IF(ISNUMBER(AF303),AF303,"")</f>
        <v>1.02239245421312</v>
      </c>
      <c r="AG384" s="268" t="str">
        <f>IF(ISNUMBER(AG303),AG303,"")</f>
        <v/>
      </c>
    </row>
    <row r="385"/>
    <row r="386"/>
    <row r="387"/>
    <row r="388"/>
    <row r="389"/>
    <row r="390"/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4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5">
        <f>YEAR(S17)</f>
        <v>2038</v>
      </c>
      <c r="T16" s="255">
        <f>YEAR(T17)</f>
        <v>2039</v>
      </c>
      <c r="U16" s="255">
        <f>YEAR(U17)</f>
        <v>2040</v>
      </c>
      <c r="V16" s="255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6470.85</v>
      </c>
      <c r="E18" s="83">
        <f>Model!AB15</f>
        <v>7684.659</v>
      </c>
      <c r="F18" s="83">
        <f>Model!AG15</f>
        <v>8291.18152196714</v>
      </c>
      <c r="G18" s="83">
        <f>Model!AL15</f>
        <v>8791.34600264714</v>
      </c>
      <c r="H18" s="83">
        <f>Model!AQ15</f>
        <v>8791.34600264714</v>
      </c>
      <c r="I18" s="83">
        <f>Model!AV15</f>
        <v>8791.34600264714</v>
      </c>
      <c r="J18" s="83">
        <f>Model!BA15</f>
        <v>8791.34600264714</v>
      </c>
      <c r="K18" s="83">
        <f>Model!BF15</f>
        <v>8791.34600264714</v>
      </c>
      <c r="L18" s="83">
        <f>Model!BK15</f>
        <v>8791.34600264714</v>
      </c>
      <c r="M18" s="83">
        <f>Model!BP15</f>
        <v>8791.34600264714</v>
      </c>
      <c r="N18" s="83">
        <f>Model!BU15</f>
        <v>8791.34600264714</v>
      </c>
      <c r="O18" s="83">
        <f>Model!BZ15</f>
        <v>8791.34600264714</v>
      </c>
      <c r="P18" s="83">
        <f>Model!CE15</f>
        <v>8791.34600264714</v>
      </c>
      <c r="Q18" s="83">
        <f>Model!CJ15</f>
        <v>8791.34600264714</v>
      </c>
      <c r="R18" s="83">
        <f>Model!CO15</f>
        <v>8791.34600264714</v>
      </c>
      <c r="S18" s="83" t="n"/>
      <c r="T18" s="83" t="n"/>
      <c r="U18" s="83" t="n"/>
      <c r="V18" s="84" t="n"/>
      <c r="X18" s="85">
        <f>((L18/F18)^(1/6))-1</f>
        <v>0.00981036689951464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0.187581075129233</v>
      </c>
      <c r="F19" s="87">
        <f>F18/E18-1</f>
        <v>0.0789264067497519</v>
      </c>
      <c r="G19" s="87">
        <f>G18/F18-1</f>
        <v>0.0603248740067788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Model!W35</f>
        <v>1591.15410589806</v>
      </c>
      <c r="E20" s="83">
        <f>Model!AB35</f>
        <v>1981.95</v>
      </c>
      <c r="F20" s="83">
        <f>Model!AG35</f>
        <v>2135.01771360392</v>
      </c>
      <c r="G20" s="83">
        <f>Model!AL35</f>
        <v>1218.92883816</v>
      </c>
      <c r="H20" s="83">
        <f>Model!AQ35</f>
        <v>0</v>
      </c>
      <c r="I20" s="83">
        <f>Model!BA35</f>
        <v>0</v>
      </c>
      <c r="J20" s="83">
        <f>Model!BA35</f>
        <v>0</v>
      </c>
      <c r="K20" s="83">
        <f>Model!BF35</f>
        <v>0</v>
      </c>
      <c r="L20" s="83">
        <f>Model!BK35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0.245895686949637</v>
      </c>
      <c r="E21" s="92">
        <f>E20/E18</f>
        <v>0.257909947598195</v>
      </c>
      <c r="F21" s="92">
        <f>F20/F18</f>
        <v>0.257504640074189</v>
      </c>
      <c r="G21" s="92">
        <f>G20/G18</f>
        <v>0.138650991303604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Model!W39</f>
        <v>915.776017748059</v>
      </c>
      <c r="E22" s="83">
        <f>Model!AB39</f>
        <v>1201.967</v>
      </c>
      <c r="F22" s="83">
        <f>Model!AG39</f>
        <v>1234.70678407392</v>
      </c>
      <c r="G22" s="83">
        <f>Model!AL39</f>
        <v>770.00114238</v>
      </c>
      <c r="H22" s="83">
        <f>Model!AQ39</f>
        <v>0</v>
      </c>
      <c r="I22" s="83">
        <f>Model!AV39</f>
        <v>0</v>
      </c>
      <c r="J22" s="83">
        <f>Model!BA39</f>
        <v>0</v>
      </c>
      <c r="K22" s="83">
        <f>Model!BF39</f>
        <v>0</v>
      </c>
      <c r="L22" s="83">
        <f>Model!BK39</f>
        <v>0</v>
      </c>
      <c r="M22" s="83">
        <f>Model!BP39</f>
        <v>0</v>
      </c>
      <c r="N22" s="83">
        <f>Model!BU39</f>
        <v>0</v>
      </c>
      <c r="O22" s="83">
        <f>Model!BZ39</f>
        <v>0</v>
      </c>
      <c r="P22" s="83">
        <f>Model!CE39</f>
        <v>0</v>
      </c>
      <c r="Q22" s="83">
        <f>Model!CJ39</f>
        <v>0</v>
      </c>
      <c r="R22" s="83">
        <f>Model!CO39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0.141523295664103</v>
      </c>
      <c r="E23" s="92">
        <f>E22/E18</f>
        <v>0.156411234382684</v>
      </c>
      <c r="F23" s="92">
        <f>F22/F18</f>
        <v>0.148918074076971</v>
      </c>
      <c r="G23" s="92">
        <f>G22/G18</f>
        <v>0.0875862629167533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Model!W98</f>
        <v>0.208041124967146</v>
      </c>
      <c r="E24" s="95">
        <f>Model!AB98</f>
        <v>0.231145451004101</v>
      </c>
      <c r="F24" s="95">
        <f>Model!AG98</f>
        <v>0.204151345045372</v>
      </c>
      <c r="G24" s="95">
        <f>Model!AL98</f>
        <v>0.165126627608775</v>
      </c>
      <c r="H24" s="95">
        <f>Model!AQ98</f>
        <v>0</v>
      </c>
      <c r="I24" s="95">
        <f>Model!AV98</f>
        <v>0</v>
      </c>
      <c r="J24" s="95">
        <f>Model!BA98</f>
        <v>0</v>
      </c>
      <c r="K24" s="95">
        <f>Model!BF98</f>
        <v>0</v>
      </c>
      <c r="L24" s="95">
        <f>Model!BK98</f>
        <v>0</v>
      </c>
      <c r="M24" s="95">
        <f>Model!BP98</f>
        <v>0</v>
      </c>
      <c r="N24" s="95">
        <f>Model!BU98</f>
        <v>0</v>
      </c>
      <c r="O24" s="95">
        <f>Model!BZ98</f>
        <v>0</v>
      </c>
      <c r="P24" s="95">
        <f>Model!CE98</f>
        <v>0</v>
      </c>
      <c r="Q24" s="95">
        <f>Model!CJ98</f>
        <v>0</v>
      </c>
      <c r="R24" s="95">
        <f>Model!CO98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725.25694479782</v>
      </c>
      <c r="E25" s="97">
        <f>E22*(1-E24)</f>
        <v>924.137795692953</v>
      </c>
      <c r="F25" s="97">
        <f>F22*(1-F24)</f>
        <v>982.639733368582</v>
      </c>
      <c r="G25" s="97">
        <f>G22*(1-G24)</f>
        <v>642.853450483887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Model!W36</f>
        <v>-675.37808815</v>
      </c>
      <c r="E26" s="100">
        <f>Model!AB36</f>
        <v>-779.983</v>
      </c>
      <c r="F26" s="100">
        <f>Model!AG36</f>
        <v>-900.31092953</v>
      </c>
      <c r="G26" s="100">
        <f>Model!AL36</f>
        <v>-448.92769578</v>
      </c>
      <c r="H26" s="100">
        <f>Model!AQ36</f>
        <v>0</v>
      </c>
      <c r="I26" s="100">
        <f>Model!AV36</f>
        <v>0</v>
      </c>
      <c r="J26" s="100">
        <f>Model!BA36</f>
        <v>0</v>
      </c>
      <c r="K26" s="100">
        <f>Model!BF36</f>
        <v>0</v>
      </c>
      <c r="L26" s="101">
        <f>Model!BK36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-47.0386861799998</v>
      </c>
      <c r="E27" s="103">
        <f>SUM(E28:E39)</f>
        <v>-46.1</v>
      </c>
      <c r="F27" s="103">
        <f>SUM(F28:F39)</f>
        <v>254.852</v>
      </c>
      <c r="G27" s="103">
        <f>SUM(G28:G39)</f>
        <v>323.22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Model!W246</f>
        <v>-648.34493711</v>
      </c>
      <c r="E28" s="106">
        <f>Model!AB246</f>
        <v>-129.71</v>
      </c>
      <c r="F28" s="106">
        <f>Model!AG246</f>
        <v>-112.262</v>
      </c>
      <c r="G28" s="106">
        <f>Model!AL246</f>
        <v>1747.166</v>
      </c>
      <c r="H28" s="106">
        <f>Model!AQ246</f>
        <v>0</v>
      </c>
      <c r="I28" s="106">
        <f>Model!AV246</f>
        <v>0</v>
      </c>
      <c r="J28" s="106">
        <f>Model!BA246</f>
        <v>0</v>
      </c>
      <c r="K28" s="106">
        <f>Model!BF246</f>
        <v>0</v>
      </c>
      <c r="L28" s="107">
        <f>Model!BK246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Model!W247</f>
        <v>-38.35345429</v>
      </c>
      <c r="E29" s="106">
        <f>Model!AB247</f>
        <v>-20.107</v>
      </c>
      <c r="F29" s="106">
        <f>Model!AG247</f>
        <v>-25.666</v>
      </c>
      <c r="G29" s="106">
        <f>Model!AL247</f>
        <v>180.702</v>
      </c>
      <c r="H29" s="106">
        <f>Model!AQ247</f>
        <v>0</v>
      </c>
      <c r="I29" s="106">
        <f>Model!AV247</f>
        <v>0</v>
      </c>
      <c r="J29" s="106">
        <f>Model!BA247</f>
        <v>0</v>
      </c>
      <c r="K29" s="106">
        <f>Model!BF247</f>
        <v>0</v>
      </c>
      <c r="L29" s="107">
        <f>Model!BK247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Model!W248</f>
        <v>14.26833562</v>
      </c>
      <c r="E30" s="106">
        <f>Model!AB248</f>
        <v>13.878</v>
      </c>
      <c r="F30" s="106">
        <f>Model!AG248</f>
        <v>9.42</v>
      </c>
      <c r="G30" s="106">
        <f>Model!AL248</f>
        <v>0.789</v>
      </c>
      <c r="H30" s="106">
        <f>Model!AQ248</f>
        <v>0</v>
      </c>
      <c r="I30" s="106">
        <f>Model!AV248</f>
        <v>0</v>
      </c>
      <c r="J30" s="106">
        <f>Model!BA248</f>
        <v>0</v>
      </c>
      <c r="K30" s="106">
        <f>Model!BF248</f>
        <v>0</v>
      </c>
      <c r="L30" s="107">
        <f>Model!BK248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Model!W249</f>
        <v>0</v>
      </c>
      <c r="E31" s="106">
        <f>Model!AB249</f>
        <v>0</v>
      </c>
      <c r="F31" s="106">
        <f>Model!AG249</f>
        <v>0</v>
      </c>
      <c r="G31" s="106">
        <f>Model!AL249</f>
        <v>0</v>
      </c>
      <c r="H31" s="106">
        <f>Model!AQ249</f>
        <v>0</v>
      </c>
      <c r="I31" s="106">
        <f>Model!AV249</f>
        <v>0</v>
      </c>
      <c r="J31" s="106">
        <f>Model!BA249</f>
        <v>0</v>
      </c>
      <c r="K31" s="106">
        <f>Model!BF249</f>
        <v>0</v>
      </c>
      <c r="L31" s="107">
        <f>Model!BK249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Model!W250</f>
        <v>-110.81176757</v>
      </c>
      <c r="E32" s="106">
        <f>Model!AB250</f>
        <v>-4.81</v>
      </c>
      <c r="F32" s="106">
        <f>Model!AG250</f>
        <v>-87.095</v>
      </c>
      <c r="G32" s="106">
        <f>Model!AL250</f>
        <v>-57.27</v>
      </c>
      <c r="H32" s="106">
        <f>Model!AQ250</f>
        <v>0</v>
      </c>
      <c r="I32" s="106">
        <f>Model!AV250</f>
        <v>0</v>
      </c>
      <c r="J32" s="106">
        <f>Model!BA250</f>
        <v>0</v>
      </c>
      <c r="K32" s="106">
        <f>Model!BF250</f>
        <v>0</v>
      </c>
      <c r="L32" s="107">
        <f>Model!BK250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Model!W251</f>
        <v>256.14510359</v>
      </c>
      <c r="E33" s="106">
        <f>Model!AB251</f>
        <v>83.596</v>
      </c>
      <c r="F33" s="106">
        <f>Model!AG251</f>
        <v>96.124</v>
      </c>
      <c r="G33" s="106">
        <f>Model!AL251</f>
        <v>-800.133</v>
      </c>
      <c r="H33" s="106">
        <f>Model!AQ251</f>
        <v>0</v>
      </c>
      <c r="I33" s="106">
        <f>Model!AV251</f>
        <v>0</v>
      </c>
      <c r="J33" s="106">
        <f>Model!BA251</f>
        <v>0</v>
      </c>
      <c r="K33" s="106">
        <f>Model!BF251</f>
        <v>0</v>
      </c>
      <c r="L33" s="107">
        <f>Model!BK251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Model!W252</f>
        <v>111.38870314</v>
      </c>
      <c r="E34" s="106">
        <f>Model!AB252</f>
        <v>42.913</v>
      </c>
      <c r="F34" s="106">
        <f>Model!AG252</f>
        <v>25.73</v>
      </c>
      <c r="G34" s="106">
        <f>Model!AL252</f>
        <v>-407.632</v>
      </c>
      <c r="H34" s="106" t="e">
        <f>Model!AQ252</f>
        <v>#DIV/0!</v>
      </c>
      <c r="I34" s="106" t="e">
        <f>Model!AV252</f>
        <v>#DIV/0!</v>
      </c>
      <c r="J34" s="106" t="e">
        <f>Model!BA252</f>
        <v>#DIV/0!</v>
      </c>
      <c r="K34" s="106" t="e">
        <f>Model!BF252</f>
        <v>#DIV/0!</v>
      </c>
      <c r="L34" s="107" t="e">
        <f>Model!BK252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Model!W253</f>
        <v>32.66091996</v>
      </c>
      <c r="E35" s="106">
        <f>Model!AB253</f>
        <v>17.998</v>
      </c>
      <c r="F35" s="106">
        <f>Model!AG253</f>
        <v>-1.051</v>
      </c>
      <c r="G35" s="106">
        <f>Model!AL253</f>
        <v>-97.53</v>
      </c>
      <c r="H35" s="106" t="e">
        <f>Model!AQ253</f>
        <v>#DIV/0!</v>
      </c>
      <c r="I35" s="106" t="e">
        <f>Model!AV253</f>
        <v>#DIV/0!</v>
      </c>
      <c r="J35" s="106" t="e">
        <f>Model!BA253</f>
        <v>#DIV/0!</v>
      </c>
      <c r="K35" s="106" t="e">
        <f>Model!BF253</f>
        <v>#DIV/0!</v>
      </c>
      <c r="L35" s="107" t="e">
        <f>Model!BK253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Model!W254</f>
        <v>17.18426759</v>
      </c>
      <c r="E36" s="106">
        <f>Model!AB254</f>
        <v>-17.235</v>
      </c>
      <c r="F36" s="106">
        <f>Model!AG254</f>
        <v>292.074</v>
      </c>
      <c r="G36" s="106">
        <f>Model!AL254</f>
        <v>-218.251</v>
      </c>
      <c r="H36" s="106">
        <f>Model!AQ254</f>
        <v>0</v>
      </c>
      <c r="I36" s="106">
        <f>Model!AV254</f>
        <v>0</v>
      </c>
      <c r="J36" s="106">
        <f>Model!BA254</f>
        <v>0</v>
      </c>
      <c r="K36" s="106">
        <f>Model!BF254</f>
        <v>0</v>
      </c>
      <c r="L36" s="107">
        <f>Model!BK254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Model!W255</f>
        <v>182.94387576</v>
      </c>
      <c r="E37" s="106">
        <f>Model!AB255</f>
        <v>-8.73699999999997</v>
      </c>
      <c r="F37" s="106">
        <f>Model!AG255</f>
        <v>-14.2560000000001</v>
      </c>
      <c r="G37" s="106">
        <f>Model!AL255</f>
        <v>-30.1869999999999</v>
      </c>
      <c r="H37" s="106">
        <f>Model!AQ255</f>
        <v>0</v>
      </c>
      <c r="I37" s="106">
        <f>Model!AV255</f>
        <v>0</v>
      </c>
      <c r="J37" s="106">
        <f>Model!BA255</f>
        <v>0</v>
      </c>
      <c r="K37" s="106">
        <f>Model!BF255</f>
        <v>0</v>
      </c>
      <c r="L37" s="107">
        <f>Model!BK255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(Model!W155-Model!R155)*-1</f>
        <v>1.96403408</v>
      </c>
      <c r="E38" s="106">
        <f>(Model!AB155-Model!W155)*-1</f>
        <v>-26.809</v>
      </c>
      <c r="F38" s="106">
        <f>(Model!AG155-Model!AB155)*-1</f>
        <v>-3.31099999999999</v>
      </c>
      <c r="G38" s="106">
        <f>(Model!AL155-Model!AG155)*-1</f>
        <v>18.167</v>
      </c>
      <c r="H38" s="106">
        <f>(Model!AQ155-Model!AL155)*-1</f>
        <v>0</v>
      </c>
      <c r="I38" s="106">
        <f>(Model!AV155-Model!AQ155)*-1</f>
        <v>0</v>
      </c>
      <c r="J38" s="106">
        <f>(Model!BA155-Model!AV155)*-1</f>
        <v>0</v>
      </c>
      <c r="K38" s="106">
        <f>(Model!BF155-Model!BA155)*-1</f>
        <v>0</v>
      </c>
      <c r="L38" s="107">
        <f>(Model!BK155-Model!BF155)*-1</f>
        <v>0</v>
      </c>
      <c r="M38">
        <f>(Model!BP155-Model!BK155)*-1</f>
        <v>0</v>
      </c>
      <c r="N38">
        <f>(Model!BU155-Model!BP155)*-1</f>
        <v>0</v>
      </c>
      <c r="O38">
        <f>(Model!BZ155-Model!BU155)*-1</f>
        <v>0</v>
      </c>
      <c r="P38">
        <f>(Model!CE155-Model!BZ155)*-1</f>
        <v>0</v>
      </c>
      <c r="Q38">
        <f>(Model!CJ155-Model!CE155)*-1</f>
        <v>0</v>
      </c>
      <c r="R38">
        <f>(Model!CO155-Model!CJ155)*-1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Model!W206-Model!R206</f>
        <v>133.91623305</v>
      </c>
      <c r="E39" s="106">
        <f>Model!AB206-Model!W206</f>
        <v>2.923</v>
      </c>
      <c r="F39" s="106">
        <f>Model!AG206-Model!AB206</f>
        <v>75.145</v>
      </c>
      <c r="G39" s="106">
        <f>Model!AL206-Model!AG206</f>
        <v>-12.601</v>
      </c>
      <c r="H39" s="106">
        <f>Model!AQ206-Model!AL206</f>
        <v>0</v>
      </c>
      <c r="I39" s="106">
        <f>Model!AV206-Model!AQ206</f>
        <v>0</v>
      </c>
      <c r="J39" s="106">
        <f>Model!BA206-Model!AV206</f>
        <v>0</v>
      </c>
      <c r="K39" s="106">
        <f>Model!BF206-Model!BA206</f>
        <v>0</v>
      </c>
      <c r="L39" s="107">
        <f>Model!BK206-Model!BF206</f>
        <v>0</v>
      </c>
      <c r="M39">
        <f>Model!BP206-Model!BK206</f>
        <v>0</v>
      </c>
      <c r="N39">
        <f>Model!BU206-Model!BP206</f>
        <v>0</v>
      </c>
      <c r="O39">
        <f>Model!BZ206-Model!BU206</f>
        <v>0</v>
      </c>
      <c r="P39">
        <f>Model!CE206-Model!BZ206</f>
        <v>0</v>
      </c>
      <c r="Q39">
        <f>Model!CJ206-Model!CE206</f>
        <v>0</v>
      </c>
      <c r="R39">
        <f>Model!CO206-Model!CJ206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-722.41677433</v>
      </c>
      <c r="E44" s="103">
        <f>SUM(E27+E40+E41+E42+E26)</f>
        <v>-826.083</v>
      </c>
      <c r="F44" s="103">
        <f>SUM(F27+F40+F41+F42+F26)</f>
        <v>-645.45892953</v>
      </c>
      <c r="G44" s="103">
        <f>SUM(G27+G40+G41+G42+G26)</f>
        <v>-125.70769578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Model!W316</f>
        <v>9191.191</v>
      </c>
      <c r="E46" s="106">
        <f>Model!AB316</f>
        <v>9154.701</v>
      </c>
      <c r="F46" s="106">
        <f>Model!AG316</f>
        <v>8965.836</v>
      </c>
      <c r="G46" s="106">
        <f>Model!AL316</f>
        <v>2762.365</v>
      </c>
      <c r="H46" s="106" t="e">
        <f>Model!AQ316</f>
        <v>#DIV/0!</v>
      </c>
      <c r="I46" s="106" t="e">
        <f>Model!AV316</f>
        <v>#DIV/0!</v>
      </c>
      <c r="J46" s="106" t="e">
        <f>Model!BA316</f>
        <v>#DIV/0!</v>
      </c>
      <c r="K46" s="106" t="e">
        <f>Model!BF316</f>
        <v>#DIV/0!</v>
      </c>
      <c r="L46" s="106" t="e">
        <f>Model!BK316</f>
        <v>#DIV/0!</v>
      </c>
      <c r="M46" s="115" t="e">
        <f>Model!BP316</f>
        <v>#DIV/0!</v>
      </c>
      <c r="N46" s="115" t="e">
        <f>Model!BU316</f>
        <v>#DIV/0!</v>
      </c>
      <c r="O46" s="115" t="e">
        <f>Model!BZ316</f>
        <v>#DIV/0!</v>
      </c>
      <c r="P46" s="115" t="e">
        <f>Model!CE316</f>
        <v>#DIV/0!</v>
      </c>
      <c r="Q46" s="115" t="e">
        <f>Model!CJ316</f>
        <v>#DIV/0!</v>
      </c>
      <c r="R46" s="115" t="e">
        <f>Model!CO316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Model!W317</f>
        <v>9191.191</v>
      </c>
      <c r="E47" s="106">
        <f>Model!AB317</f>
        <v>9154.701</v>
      </c>
      <c r="F47" s="106">
        <f>Model!AG317</f>
        <v>8965.836</v>
      </c>
      <c r="G47" s="106">
        <f>Model!AL317</f>
        <v>2762.365</v>
      </c>
      <c r="H47" s="106" t="e">
        <f>Model!AQ317</f>
        <v>#DIV/0!</v>
      </c>
      <c r="I47" s="106" t="e">
        <f>Model!AV317</f>
        <v>#DIV/0!</v>
      </c>
      <c r="J47" s="106" t="e">
        <f>Model!BA317</f>
        <v>#DIV/0!</v>
      </c>
      <c r="K47" s="106" t="e">
        <f>Model!BF317</f>
        <v>#DIV/0!</v>
      </c>
      <c r="L47" s="106" t="e">
        <f>Model!BK317</f>
        <v>#DIV/0!</v>
      </c>
      <c r="M47" t="e">
        <f>Model!BP317</f>
        <v>#DIV/0!</v>
      </c>
      <c r="N47" t="e">
        <f>Model!BU317</f>
        <v>#DIV/0!</v>
      </c>
      <c r="O47" t="e">
        <f>Model!BZ317</f>
        <v>#DIV/0!</v>
      </c>
      <c r="P47" t="e">
        <f>Model!CE317</f>
        <v>#DIV/0!</v>
      </c>
      <c r="Q47" t="e">
        <f>Model!CJ317</f>
        <v>#DIV/0!</v>
      </c>
      <c r="R47" t="e">
        <f>Model!CO317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1.42039932929986</v>
      </c>
      <c r="E48" s="92">
        <f>E46/E18</f>
        <v>1.19129567102457</v>
      </c>
      <c r="F48" s="92">
        <f>F46/F18</f>
        <v>1.08137012514385</v>
      </c>
      <c r="G48" s="92">
        <f>G46/G18</f>
        <v>0.314214114558593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0.10962524439748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0.704027367073538</v>
      </c>
      <c r="E51" s="124">
        <f>E18/E46</f>
        <v>0.839422172280668</v>
      </c>
      <c r="F51" s="124">
        <f>F18/F46</f>
        <v>0.924752752779232</v>
      </c>
      <c r="G51" s="124">
        <f>G18/G46</f>
        <v>3.18254322026493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2.84017046782037</v>
      </c>
      <c r="E53" s="125">
        <f>E25+E44</f>
        <v>98.0547956929534</v>
      </c>
      <c r="F53" s="125">
        <f>F25+F44</f>
        <v>337.180803838582</v>
      </c>
      <c r="G53" s="126">
        <f>(G25+G44)*stub_year_fraction</f>
        <v>134.599579991423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0.204151345045372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2026-10-12T09:46:50Z</dcterms:modified>
  <cp:lastModifiedBy>Lucas Nascimento</cp:lastModifiedBy>
</cp:coreProperties>
</file>