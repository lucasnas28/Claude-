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elevered_beta">#REF!</definedName>
    <definedName name="risk_free_rate">#REF!</definedName>
    <definedName name="risk_premium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totalcap">#REF!</definedName>
    <definedName name="Useful_Life_of_Depreciable_PP_E">"PPElife"</definedName>
    <definedName name="wacc">#REF!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25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;(#,##0)"/>
    <numFmt numFmtId="187" formatCode="_(&quot;$&quot;* #,##0.00_);_(&quot;$&quot;* \(#,##0.00\);_(&quot;$&quot;* &quot;-&quot;??_);_(@_)"/>
    <numFmt numFmtId="188" formatCode="0_);\(0\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b val="1"/>
    </font>
    <font>
      <name val="Verdana"/>
      <color rgb="FF808080"/>
      <sz val="10"/>
    </font>
    <font>
      <color rgb="FF80808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7" fontId="3" fillId="0" borderId="0"/>
    <xf numFmtId="188" fontId="21" fillId="0" borderId="0"/>
  </cellStyleXfs>
  <cellXfs count="25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0" fontId="23" fillId="0" borderId="0" pivotButton="0" quotePrefix="0" xfId="0"/>
    <xf numFmtId="186" fontId="0" fillId="0" borderId="0" pivotButton="0" quotePrefix="0" xfId="0"/>
    <xf numFmtId="0" fontId="24" fillId="0" borderId="0" applyAlignment="1" pivotButton="0" quotePrefix="0" xfId="2">
      <alignment horizontal="center"/>
    </xf>
    <xf numFmtId="168" fontId="24" fillId="5" borderId="0" applyAlignment="1" pivotButton="0" quotePrefix="0" xfId="2">
      <alignment horizontal="center"/>
    </xf>
    <xf numFmtId="0" fontId="25" fillId="13" borderId="3" applyAlignment="1" pivotButton="0" quotePrefix="0" xfId="5">
      <alignment horizontal="centerContinuous"/>
    </xf>
    <xf numFmtId="1" fontId="25" fillId="0" borderId="0" applyAlignment="1" pivotButton="0" quotePrefix="0" xfId="5">
      <alignment horizontal="center"/>
    </xf>
    <xf numFmtId="186" fontId="0" fillId="0" borderId="0" pivotButton="0" quotePrefix="0" xfId="0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9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3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0.001</v>
      </c>
      <c r="D1" t="inlineStr">
        <is>
          <t>Fleury S.A. (FLRY3) - fonte: "Dados Historicos - 2T26.xlsm" (RI Fleury), consolidado contabil. Abas "Fleury" ate 1T23; abas "Combinada" (colunas contabeis) a partir do 2T23. Moeda: BRL. Unidade dos brutos: R$ mil. Fator converte p/ R$ milhoes.</t>
        </is>
      </c>
    </row>
    <row r="2">
      <c r="J2" t="inlineStr">
        <is>
          <t>Aba de origem</t>
        </is>
      </c>
      <c r="K2" t="inlineStr">
        <is>
          <t>Fleury</t>
        </is>
      </c>
      <c r="L2" t="inlineStr">
        <is>
          <t>Fleury</t>
        </is>
      </c>
      <c r="M2" t="inlineStr">
        <is>
          <t>Fleury</t>
        </is>
      </c>
      <c r="N2" t="inlineStr">
        <is>
          <t>Fleury</t>
        </is>
      </c>
      <c r="O2" t="inlineStr">
        <is>
          <t>Fleury</t>
        </is>
      </c>
      <c r="P2" t="inlineStr">
        <is>
          <t>Fleury</t>
        </is>
      </c>
      <c r="Q2" t="inlineStr">
        <is>
          <t>Fleury</t>
        </is>
      </c>
      <c r="R2" t="inlineStr">
        <is>
          <t>Fleury</t>
        </is>
      </c>
      <c r="S2" t="inlineStr">
        <is>
          <t>Fleury</t>
        </is>
      </c>
      <c r="T2" t="inlineStr">
        <is>
          <t>Fleury</t>
        </is>
      </c>
      <c r="U2" t="inlineStr">
        <is>
          <t>Fleury</t>
        </is>
      </c>
      <c r="V2" t="inlineStr">
        <is>
          <t>Fleury</t>
        </is>
      </c>
      <c r="W2" t="inlineStr">
        <is>
          <t>Fleury</t>
        </is>
      </c>
      <c r="X2" t="inlineStr">
        <is>
          <t>Combinada</t>
        </is>
      </c>
      <c r="Y2" t="inlineStr">
        <is>
          <t>Combinada</t>
        </is>
      </c>
      <c r="Z2" t="inlineStr">
        <is>
          <t>Combinada</t>
        </is>
      </c>
      <c r="AA2" t="inlineStr">
        <is>
          <t>Combinada</t>
        </is>
      </c>
      <c r="AB2" t="inlineStr">
        <is>
          <t>Combinada</t>
        </is>
      </c>
      <c r="AC2" t="inlineStr">
        <is>
          <t>Combinada</t>
        </is>
      </c>
      <c r="AD2" t="inlineStr">
        <is>
          <t>Combinada</t>
        </is>
      </c>
      <c r="AE2" t="inlineStr">
        <is>
          <t>Combinada</t>
        </is>
      </c>
      <c r="AF2" t="inlineStr">
        <is>
          <t>Combinada</t>
        </is>
      </c>
      <c r="AG2" t="inlineStr">
        <is>
          <t>Combinada</t>
        </is>
      </c>
      <c r="AH2" t="inlineStr">
        <is>
          <t>Combinada</t>
        </is>
      </c>
      <c r="AI2" t="inlineStr">
        <is>
          <t>Combinada</t>
        </is>
      </c>
      <c r="AJ2" t="inlineStr">
        <is>
          <t>Combinada</t>
        </is>
      </c>
    </row>
    <row r="3">
      <c r="J3" t="inlineStr">
        <is>
          <t>Coluna lida (BP)</t>
        </is>
      </c>
      <c r="K3" t="inlineStr">
        <is>
          <t>1T20</t>
        </is>
      </c>
      <c r="L3" t="inlineStr">
        <is>
          <t>2T20</t>
        </is>
      </c>
      <c r="M3" t="inlineStr">
        <is>
          <t>3T20</t>
        </is>
      </c>
      <c r="N3" t="inlineStr">
        <is>
          <t>2020</t>
        </is>
      </c>
      <c r="O3" t="inlineStr">
        <is>
          <t>1T21</t>
        </is>
      </c>
      <c r="P3" t="inlineStr">
        <is>
          <t>2T21</t>
        </is>
      </c>
      <c r="Q3" t="inlineStr">
        <is>
          <t>3T21</t>
        </is>
      </c>
      <c r="R3" t="inlineStr">
        <is>
          <t>2021</t>
        </is>
      </c>
      <c r="S3" t="inlineStr">
        <is>
          <t>1T22</t>
        </is>
      </c>
      <c r="T3" t="inlineStr">
        <is>
          <t>2T22</t>
        </is>
      </c>
      <c r="U3" t="inlineStr">
        <is>
          <t>3T22</t>
        </is>
      </c>
      <c r="V3" t="inlineStr">
        <is>
          <t>2022</t>
        </is>
      </c>
      <c r="W3" t="inlineStr">
        <is>
          <t>1T23</t>
        </is>
      </c>
      <c r="X3" t="inlineStr">
        <is>
          <t>2T23</t>
        </is>
      </c>
      <c r="Y3" t="inlineStr">
        <is>
          <t>3T23</t>
        </is>
      </c>
      <c r="Z3" t="inlineStr">
        <is>
          <t>4T23</t>
        </is>
      </c>
      <c r="AA3" t="inlineStr">
        <is>
          <t>1T24</t>
        </is>
      </c>
      <c r="AB3" t="inlineStr">
        <is>
          <t>2T24</t>
        </is>
      </c>
      <c r="AC3" t="inlineStr">
        <is>
          <t>3T24</t>
        </is>
      </c>
      <c r="AD3" t="inlineStr">
        <is>
          <t>4T24</t>
        </is>
      </c>
      <c r="AE3" t="inlineStr">
        <is>
          <t>1T25</t>
        </is>
      </c>
      <c r="AF3" t="inlineStr">
        <is>
          <t>2T25</t>
        </is>
      </c>
      <c r="AG3" t="inlineStr">
        <is>
          <t>3T25</t>
        </is>
      </c>
      <c r="AH3" t="inlineStr">
        <is>
          <t>4T25</t>
        </is>
      </c>
      <c r="AI3" t="inlineStr">
        <is>
          <t>1T26</t>
        </is>
      </c>
      <c r="AJ3" t="inlineStr">
        <is>
          <t>2T26</t>
        </is>
      </c>
    </row>
    <row r="4">
      <c r="A4" s="250" t="inlineStr">
        <is>
          <t>COD1</t>
        </is>
      </c>
      <c r="B4" s="250" t="inlineStr">
        <is>
          <t>SINAL1</t>
        </is>
      </c>
      <c r="C4" s="250" t="inlineStr">
        <is>
          <t>COD2</t>
        </is>
      </c>
      <c r="D4" s="250" t="inlineStr">
        <is>
          <t>SINAL2</t>
        </is>
      </c>
      <c r="E4" s="250" t="inlineStr">
        <is>
          <t>COD3</t>
        </is>
      </c>
      <c r="F4" s="250" t="inlineStr">
        <is>
          <t>SINAL3</t>
        </is>
      </c>
      <c r="G4" s="250" t="inlineStr">
        <is>
          <t>UNID</t>
        </is>
      </c>
      <c r="H4" s="250" t="inlineStr">
        <is>
          <t>Conta (PT) / origem</t>
        </is>
      </c>
      <c r="I4" s="250" t="inlineStr">
        <is>
          <t>Account (EN)</t>
        </is>
      </c>
      <c r="J4" s="250" t="inlineStr">
        <is>
          <t>ORIGEM</t>
        </is>
      </c>
      <c r="K4" s="250" t="inlineStr">
        <is>
          <t>1Q20</t>
        </is>
      </c>
      <c r="L4" s="250" t="inlineStr">
        <is>
          <t>2Q20</t>
        </is>
      </c>
      <c r="M4" s="250" t="inlineStr">
        <is>
          <t>3Q20</t>
        </is>
      </c>
      <c r="N4" s="250" t="inlineStr">
        <is>
          <t>4Q20</t>
        </is>
      </c>
      <c r="O4" s="250" t="inlineStr">
        <is>
          <t>1Q21</t>
        </is>
      </c>
      <c r="P4" s="250" t="inlineStr">
        <is>
          <t>2Q21</t>
        </is>
      </c>
      <c r="Q4" s="250" t="inlineStr">
        <is>
          <t>3Q21</t>
        </is>
      </c>
      <c r="R4" s="250" t="inlineStr">
        <is>
          <t>4Q21</t>
        </is>
      </c>
      <c r="S4" s="250" t="inlineStr">
        <is>
          <t>1Q22</t>
        </is>
      </c>
      <c r="T4" s="250" t="inlineStr">
        <is>
          <t>2Q22</t>
        </is>
      </c>
      <c r="U4" s="250" t="inlineStr">
        <is>
          <t>3Q22</t>
        </is>
      </c>
      <c r="V4" s="250" t="inlineStr">
        <is>
          <t>4Q22</t>
        </is>
      </c>
      <c r="W4" s="250" t="inlineStr">
        <is>
          <t>1Q23</t>
        </is>
      </c>
      <c r="X4" s="250" t="inlineStr">
        <is>
          <t>2Q23</t>
        </is>
      </c>
      <c r="Y4" s="250" t="inlineStr">
        <is>
          <t>3Q23</t>
        </is>
      </c>
      <c r="Z4" s="250" t="inlineStr">
        <is>
          <t>4Q23</t>
        </is>
      </c>
      <c r="AA4" s="250" t="inlineStr">
        <is>
          <t>1Q24</t>
        </is>
      </c>
      <c r="AB4" s="250" t="inlineStr">
        <is>
          <t>2Q24</t>
        </is>
      </c>
      <c r="AC4" s="250" t="inlineStr">
        <is>
          <t>3Q24</t>
        </is>
      </c>
      <c r="AD4" s="250" t="inlineStr">
        <is>
          <t>4Q24</t>
        </is>
      </c>
      <c r="AE4" s="250" t="inlineStr">
        <is>
          <t>1Q25</t>
        </is>
      </c>
      <c r="AF4" s="250" t="inlineStr">
        <is>
          <t>2Q25</t>
        </is>
      </c>
      <c r="AG4" s="250" t="inlineStr">
        <is>
          <t>3Q25</t>
        </is>
      </c>
      <c r="AH4" s="250" t="inlineStr">
        <is>
          <t>4Q25</t>
        </is>
      </c>
      <c r="AI4" s="250" t="inlineStr">
        <is>
          <t>1Q26</t>
        </is>
      </c>
      <c r="AJ4" s="250" t="inlineStr">
        <is>
          <t>2Q26</t>
        </is>
      </c>
    </row>
    <row r="5">
      <c r="H5" s="250" t="inlineStr">
        <is>
          <t>DRE (R$ mil, trimestre isolado como divulgado; custos e despesas ja negativos na fonte)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Fleury DRE: Receita Líquida (l.15) | Combinada DRE: Receita Líquida (l.13)</t>
        </is>
      </c>
      <c r="J6" t="inlineStr">
        <is>
          <t>fonte</t>
        </is>
      </c>
      <c r="K6" s="256" t="n">
        <v>713933.873516418</v>
      </c>
      <c r="L6" s="256" t="n">
        <v>454943.8953210876</v>
      </c>
      <c r="M6" s="256" t="n">
        <v>874583.0704359853</v>
      </c>
      <c r="N6" s="256" t="n">
        <v>928154.7435300009</v>
      </c>
      <c r="O6" s="256" t="n">
        <v>893807.9758099994</v>
      </c>
      <c r="P6" s="256" t="n">
        <v>932066.355889999</v>
      </c>
      <c r="Q6" s="256" t="n">
        <v>1028829.86343</v>
      </c>
      <c r="R6" s="256" t="n">
        <v>1017946.42707</v>
      </c>
      <c r="S6" s="256" t="n">
        <v>1089912.570079443</v>
      </c>
      <c r="T6" s="256" t="n">
        <v>1111745.961258051</v>
      </c>
      <c r="U6" s="256" t="n">
        <v>1146634.87622</v>
      </c>
      <c r="V6" s="256" t="n">
        <v>1114746.76428</v>
      </c>
      <c r="W6" s="256" t="n">
        <v>1236823.29968</v>
      </c>
      <c r="X6" s="256" t="n">
        <v>1659541</v>
      </c>
      <c r="Y6" s="256" t="n">
        <v>1870045</v>
      </c>
      <c r="Z6" s="256" t="n">
        <v>1704440.70032</v>
      </c>
      <c r="AA6" s="256" t="n">
        <v>1904448.4785</v>
      </c>
      <c r="AB6" s="256" t="n">
        <v>1978202</v>
      </c>
      <c r="AC6" s="256" t="n">
        <v>1962671.474</v>
      </c>
      <c r="AD6" s="256" t="n">
        <v>1839337.047499999</v>
      </c>
      <c r="AE6" s="256" t="n">
        <v>2015074</v>
      </c>
      <c r="AF6" s="256" t="n">
        <v>2024533</v>
      </c>
      <c r="AG6" s="256" t="n">
        <v>2190979.18382714</v>
      </c>
      <c r="AH6" s="256" t="n">
        <v>2060595.33814</v>
      </c>
      <c r="AI6" s="256" t="n">
        <v>2223117.81868</v>
      </c>
      <c r="AJ6" s="256" t="n">
        <v>2316653.662</v>
      </c>
    </row>
    <row r="7">
      <c r="A7" t="n">
        <v>2</v>
      </c>
      <c r="B7" t="n">
        <v>1</v>
      </c>
      <c r="G7" t="inlineStr">
        <is>
          <t>moeda</t>
        </is>
      </c>
      <c r="H7" t="inlineStr">
        <is>
          <t>Fleury DRE: Pessoal e Serviços Médicos (l.18) | Combinada DRE: Pessoal e Serviços Médicos (l.16)</t>
        </is>
      </c>
      <c r="J7" t="inlineStr">
        <is>
          <t>fonte</t>
        </is>
      </c>
      <c r="K7" s="256" t="n">
        <v>-260074</v>
      </c>
      <c r="L7" s="256" t="n">
        <v>-195123.13597</v>
      </c>
      <c r="M7" s="256" t="n">
        <v>-253006.62764</v>
      </c>
      <c r="N7" s="256" t="n">
        <v>-279294.71621</v>
      </c>
      <c r="O7" s="256" t="n">
        <v>-283198.1646399999</v>
      </c>
      <c r="P7" s="256" t="n">
        <v>-316306.2003600001</v>
      </c>
      <c r="Q7" s="256" t="n">
        <v>-339155.8487599999</v>
      </c>
      <c r="R7" s="256" t="n">
        <v>-357590.13146</v>
      </c>
      <c r="S7" s="256" t="n">
        <v>-363945.8280700001</v>
      </c>
      <c r="T7" s="256" t="n">
        <v>-382157.20466</v>
      </c>
      <c r="U7" s="256" t="n">
        <v>-387841.05179</v>
      </c>
      <c r="V7" s="256" t="n">
        <v>-409434.77865</v>
      </c>
      <c r="W7" s="256" t="n">
        <v>-415399</v>
      </c>
      <c r="X7" s="256" t="n">
        <v>-528450</v>
      </c>
      <c r="Y7" s="256" t="n">
        <v>-583227</v>
      </c>
      <c r="Z7" s="256" t="n">
        <v>-558411</v>
      </c>
      <c r="AA7" s="256" t="n">
        <v>-558172</v>
      </c>
      <c r="AB7" s="256" t="n">
        <v>-593782</v>
      </c>
      <c r="AC7" s="256" t="n">
        <v>-584497</v>
      </c>
      <c r="AD7" s="256" t="n">
        <v>-597559</v>
      </c>
      <c r="AE7" s="256" t="n">
        <v>-576724</v>
      </c>
      <c r="AF7" s="256" t="n">
        <v>-628800</v>
      </c>
      <c r="AG7" s="256" t="n">
        <v>-653924</v>
      </c>
      <c r="AH7" s="256" t="n">
        <v>-658396</v>
      </c>
      <c r="AI7" s="256" t="n">
        <v>-675490</v>
      </c>
      <c r="AJ7" s="256" t="n">
        <v>-693259</v>
      </c>
    </row>
    <row r="8">
      <c r="A8" t="n">
        <v>2</v>
      </c>
      <c r="B8" t="n">
        <v>1</v>
      </c>
      <c r="G8" t="inlineStr">
        <is>
          <t>moeda</t>
        </is>
      </c>
      <c r="H8" t="inlineStr">
        <is>
          <t>Fleury DRE: Aluguéis, Serviços com Ocupação e Utilidades (l.19) | Combinada DRE: Aluguéis, Serviços com Ocupação e Utilidades (l.17)</t>
        </is>
      </c>
      <c r="J8" t="inlineStr">
        <is>
          <t>fonte</t>
        </is>
      </c>
      <c r="K8" s="256" t="n">
        <v>-112173</v>
      </c>
      <c r="L8" s="256" t="n">
        <v>-100145.94584</v>
      </c>
      <c r="M8" s="256" t="n">
        <v>-110722.45702</v>
      </c>
      <c r="N8" s="256" t="n">
        <v>-123285.78427</v>
      </c>
      <c r="O8" s="256" t="n">
        <v>-127743.6042</v>
      </c>
      <c r="P8" s="256" t="n">
        <v>-139249.29594</v>
      </c>
      <c r="Q8" s="256" t="n">
        <v>-143291.91475</v>
      </c>
      <c r="R8" s="256" t="n">
        <v>-133736.8259999999</v>
      </c>
      <c r="S8" s="256" t="n">
        <v>-143814.67313</v>
      </c>
      <c r="T8" s="256" t="n">
        <v>-155664.60617</v>
      </c>
      <c r="U8" s="256" t="n">
        <v>-150945.28427</v>
      </c>
      <c r="V8" s="256" t="n">
        <v>-145879.32341</v>
      </c>
      <c r="W8" s="256" t="n">
        <v>-157275</v>
      </c>
      <c r="X8" s="256" t="n">
        <v>-215279</v>
      </c>
      <c r="Y8" s="256" t="n">
        <v>-233578</v>
      </c>
      <c r="Z8" s="256" t="n">
        <v>-238413</v>
      </c>
      <c r="AA8" s="256" t="n">
        <v>-232772</v>
      </c>
      <c r="AB8" s="256" t="n">
        <v>-243374</v>
      </c>
      <c r="AC8" s="256" t="n">
        <v>-248722</v>
      </c>
      <c r="AD8" s="256" t="n">
        <v>-254094</v>
      </c>
      <c r="AE8" s="256" t="n">
        <v>-260595</v>
      </c>
      <c r="AF8" s="256" t="n">
        <v>-268355</v>
      </c>
      <c r="AG8" s="256" t="n">
        <v>-290252</v>
      </c>
      <c r="AH8" s="256" t="n">
        <v>-279230</v>
      </c>
      <c r="AI8" s="256" t="n">
        <v>-285077</v>
      </c>
      <c r="AJ8" s="256" t="n">
        <v>-321874</v>
      </c>
    </row>
    <row r="9">
      <c r="A9" t="n">
        <v>2</v>
      </c>
      <c r="B9" t="n">
        <v>1</v>
      </c>
      <c r="G9" t="inlineStr">
        <is>
          <t>moeda</t>
        </is>
      </c>
      <c r="H9" t="inlineStr">
        <is>
          <t>Fleury DRE: Material Direto e Intermediação de Exames (l.20) | Combinada DRE: Material Direto e Intermediação de Exames (l.18)</t>
        </is>
      </c>
      <c r="J9" t="inlineStr">
        <is>
          <t>fonte</t>
        </is>
      </c>
      <c r="K9" s="256" t="n">
        <v>-81237</v>
      </c>
      <c r="L9" s="256" t="n">
        <v>-87384.56641</v>
      </c>
      <c r="M9" s="256" t="n">
        <v>-124293.78483</v>
      </c>
      <c r="N9" s="256" t="n">
        <v>-133945.14328</v>
      </c>
      <c r="O9" s="256" t="n">
        <v>-122595.91533</v>
      </c>
      <c r="P9" s="256" t="n">
        <v>-141464.99492</v>
      </c>
      <c r="Q9" s="256" t="n">
        <v>-153105.15959</v>
      </c>
      <c r="R9" s="256" t="n">
        <v>-157149.8889899999</v>
      </c>
      <c r="S9" s="256" t="n">
        <v>-163674.3688900006</v>
      </c>
      <c r="T9" s="256" t="n">
        <v>-172449.53282</v>
      </c>
      <c r="U9" s="256" t="n">
        <v>-171594.51997</v>
      </c>
      <c r="V9" s="256" t="n">
        <v>-200344.3389499999</v>
      </c>
      <c r="W9" s="256" t="n">
        <v>-200613.64322</v>
      </c>
      <c r="X9" s="256" t="n">
        <v>-327996</v>
      </c>
      <c r="Y9" s="256" t="n">
        <v>-377692.5646619406</v>
      </c>
      <c r="Z9" s="256" t="n">
        <v>-358028</v>
      </c>
      <c r="AA9" s="256" t="n">
        <v>-397723</v>
      </c>
      <c r="AB9" s="256" t="n">
        <v>-418959</v>
      </c>
      <c r="AC9" s="256" t="n">
        <v>-408903</v>
      </c>
      <c r="AD9" s="256" t="n">
        <v>-382625</v>
      </c>
      <c r="AE9" s="256" t="n">
        <v>-437908</v>
      </c>
      <c r="AF9" s="256" t="n">
        <v>-424918</v>
      </c>
      <c r="AG9" s="256" t="n">
        <v>-451367</v>
      </c>
      <c r="AH9" s="256" t="n">
        <v>-450906</v>
      </c>
      <c r="AI9" s="256" t="n">
        <v>-450940</v>
      </c>
      <c r="AJ9" s="256" t="n">
        <v>-484625</v>
      </c>
    </row>
    <row r="10">
      <c r="A10" t="n">
        <v>2</v>
      </c>
      <c r="B10" t="n">
        <v>1</v>
      </c>
      <c r="G10" t="inlineStr">
        <is>
          <t>moeda</t>
        </is>
      </c>
      <c r="H10" t="inlineStr">
        <is>
          <t>Fleury DRE: Gastos Gerais (l.22) | Combinada DRE: Gastos Gerais (l.20)</t>
        </is>
      </c>
      <c r="J10" t="inlineStr">
        <is>
          <t>fonte</t>
        </is>
      </c>
      <c r="K10" s="256" t="n">
        <v>-1149</v>
      </c>
      <c r="L10" s="256" t="n">
        <v>-629.67313</v>
      </c>
      <c r="M10" s="256" t="n">
        <v>-1027.32124</v>
      </c>
      <c r="N10" s="256" t="n">
        <v>-2034.76015</v>
      </c>
      <c r="O10" s="256" t="n">
        <v>-1142.65368</v>
      </c>
      <c r="P10" s="256" t="n">
        <v>-1835.1811</v>
      </c>
      <c r="Q10" s="256" t="n">
        <v>-1513.76547</v>
      </c>
      <c r="R10" s="256" t="n">
        <v>-1702.9396</v>
      </c>
      <c r="S10" s="256" t="n">
        <v>-1602.86962</v>
      </c>
      <c r="T10" s="256" t="n">
        <v>-2717.73914</v>
      </c>
      <c r="U10" s="256" t="n">
        <v>-2032.64154</v>
      </c>
      <c r="V10" s="256" t="n">
        <v>-3281.929090000001</v>
      </c>
      <c r="W10" s="256" t="n">
        <v>-3145</v>
      </c>
      <c r="X10" s="256" t="n">
        <v>-3454</v>
      </c>
      <c r="Y10" s="256" t="n">
        <v>-3570</v>
      </c>
      <c r="Z10" s="256" t="n">
        <v>-2819</v>
      </c>
      <c r="AA10" s="256" t="n">
        <v>-3425</v>
      </c>
      <c r="AB10" s="256" t="n">
        <v>-4724</v>
      </c>
      <c r="AC10" s="256" t="n">
        <v>-9762</v>
      </c>
      <c r="AD10" s="256" t="n">
        <v>2890</v>
      </c>
      <c r="AE10" s="256" t="n">
        <v>-6855</v>
      </c>
      <c r="AF10" s="256" t="n">
        <v>-4443</v>
      </c>
      <c r="AG10" s="256" t="n">
        <v>-4162</v>
      </c>
      <c r="AH10" s="256" t="n">
        <v>-5525</v>
      </c>
      <c r="AI10" s="256" t="n">
        <v>-6136</v>
      </c>
      <c r="AJ10" s="256" t="n">
        <v>-8422</v>
      </c>
    </row>
    <row r="11">
      <c r="A11" t="n">
        <v>4</v>
      </c>
      <c r="B11" t="n">
        <v>1</v>
      </c>
      <c r="G11" t="inlineStr">
        <is>
          <t>moeda</t>
        </is>
      </c>
      <c r="H11" t="inlineStr">
        <is>
          <t>Fleury DRE: Depreciação e Amortização Custos (l.21) | Combinada DRE: Depreciação e Amortização Custos (l.19)</t>
        </is>
      </c>
      <c r="J11" t="inlineStr">
        <is>
          <t>fonte</t>
        </is>
      </c>
      <c r="K11" s="256" t="n">
        <v>-71713.21518000001</v>
      </c>
      <c r="L11" s="256" t="n">
        <v>-69081.03359000001</v>
      </c>
      <c r="M11" s="256" t="n">
        <v>-72351.60991999999</v>
      </c>
      <c r="N11" s="256" t="n">
        <v>-83214.00241</v>
      </c>
      <c r="O11" s="256" t="n">
        <v>-71869.52937000002</v>
      </c>
      <c r="P11" s="256" t="n">
        <v>-74966.50411000001</v>
      </c>
      <c r="Q11" s="256" t="n">
        <v>-85222.83483000001</v>
      </c>
      <c r="R11" s="256" t="n">
        <v>-92917.14043000001</v>
      </c>
      <c r="S11" s="256" t="n">
        <v>-92124.97173000002</v>
      </c>
      <c r="T11" s="256" t="n">
        <v>-98401.39643000002</v>
      </c>
      <c r="U11" s="256" t="n">
        <v>-99149.98273</v>
      </c>
      <c r="V11" s="256" t="n">
        <v>-105872.62601</v>
      </c>
      <c r="W11" s="256" t="n">
        <v>-103719.58673</v>
      </c>
      <c r="X11" s="256" t="n">
        <v>-129263</v>
      </c>
      <c r="Y11" s="256" t="n">
        <v>-144412</v>
      </c>
      <c r="Z11" s="256" t="n">
        <v>-146171</v>
      </c>
      <c r="AA11" s="256" t="n">
        <v>-147107</v>
      </c>
      <c r="AB11" s="256" t="n">
        <v>-150040</v>
      </c>
      <c r="AC11" s="256" t="n">
        <v>-153788</v>
      </c>
      <c r="AD11" s="256" t="n">
        <v>-154396</v>
      </c>
      <c r="AE11" s="256" t="n">
        <v>-160872.937</v>
      </c>
      <c r="AF11" s="256" t="n">
        <v>-170039</v>
      </c>
      <c r="AG11" s="256" t="n">
        <v>-175424.31835</v>
      </c>
      <c r="AH11" s="256" t="n">
        <v>-176448.55554</v>
      </c>
      <c r="AI11" s="256" t="n">
        <v>-177408.8603</v>
      </c>
      <c r="AJ11" s="256" t="n">
        <v>-164335</v>
      </c>
    </row>
    <row r="12">
      <c r="A12" t="n">
        <v>3</v>
      </c>
      <c r="B12" t="n">
        <v>1</v>
      </c>
      <c r="G12" t="inlineStr">
        <is>
          <t>moeda</t>
        </is>
      </c>
      <c r="H12" t="inlineStr">
        <is>
          <t>Fleury DRE: SG&amp;A (l.35) | Combinada DRE: SG&amp;A (l.33)</t>
        </is>
      </c>
      <c r="J12" t="inlineStr">
        <is>
          <t>fonte</t>
        </is>
      </c>
      <c r="K12" s="256" t="n">
        <v>-64744</v>
      </c>
      <c r="L12" s="256" t="n">
        <v>-52518.82781789998</v>
      </c>
      <c r="M12" s="256" t="n">
        <v>-59456.9281</v>
      </c>
      <c r="N12" s="256" t="n">
        <v>-82130.52755000001</v>
      </c>
      <c r="O12" s="256" t="n">
        <v>-75695.03457999998</v>
      </c>
      <c r="P12" s="256" t="n">
        <v>-115884.22273</v>
      </c>
      <c r="Q12" s="256" t="n">
        <v>-101782.81322</v>
      </c>
      <c r="R12" s="256" t="n">
        <v>-123333.4140200001</v>
      </c>
      <c r="S12" s="256" t="n">
        <v>-93586.94485</v>
      </c>
      <c r="T12" s="256" t="n">
        <v>-108251.66897</v>
      </c>
      <c r="U12" s="256" t="n">
        <v>-110987.03846</v>
      </c>
      <c r="V12" s="256" t="n">
        <v>-125699.27284</v>
      </c>
      <c r="W12" s="256" t="n">
        <v>-113453.4706</v>
      </c>
      <c r="X12" s="256" t="n">
        <v>-179447</v>
      </c>
      <c r="Y12" s="256" t="n">
        <v>-130664</v>
      </c>
      <c r="Z12" s="256" t="n">
        <v>-133497</v>
      </c>
      <c r="AA12" s="256" t="n">
        <v>-139962</v>
      </c>
      <c r="AB12" s="256" t="n">
        <v>-145978</v>
      </c>
      <c r="AC12" s="256" t="n">
        <v>-133693</v>
      </c>
      <c r="AD12" s="256" t="n">
        <v>-163614</v>
      </c>
      <c r="AE12" s="256" t="n">
        <v>-144996</v>
      </c>
      <c r="AF12" s="256" t="n">
        <v>-126585</v>
      </c>
      <c r="AG12" s="256" t="n">
        <v>-146464</v>
      </c>
      <c r="AH12" s="256" t="n">
        <v>-157502.88136</v>
      </c>
      <c r="AI12" s="256" t="n">
        <v>-152425.16452</v>
      </c>
      <c r="AJ12" s="256" t="n">
        <v>-148244</v>
      </c>
    </row>
    <row r="13">
      <c r="A13" t="n">
        <v>3</v>
      </c>
      <c r="B13" t="n">
        <v>1</v>
      </c>
      <c r="G13" t="inlineStr">
        <is>
          <t>moeda</t>
        </is>
      </c>
      <c r="H13" t="inlineStr">
        <is>
          <t>Fleury DRE: [nao existe] | Combinada DRE: Comercial (l.36) [0 em 1Q20..1Q23 (13 per.): linha inexistente/vazia na fonte; total divulgado confirma]</t>
        </is>
      </c>
      <c r="J13" t="inlineStr">
        <is>
          <t>fonte</t>
        </is>
      </c>
      <c r="K13" s="256" t="n">
        <v>0</v>
      </c>
      <c r="L13" s="256" t="n">
        <v>0</v>
      </c>
      <c r="M13" s="256" t="n">
        <v>0</v>
      </c>
      <c r="N13" s="256" t="n">
        <v>0</v>
      </c>
      <c r="O13" s="256" t="n">
        <v>0</v>
      </c>
      <c r="P13" s="256" t="n">
        <v>0</v>
      </c>
      <c r="Q13" s="256" t="n">
        <v>0</v>
      </c>
      <c r="R13" s="256" t="n">
        <v>0</v>
      </c>
      <c r="S13" s="256" t="n">
        <v>0</v>
      </c>
      <c r="T13" s="256" t="n">
        <v>0</v>
      </c>
      <c r="U13" s="256" t="n">
        <v>0</v>
      </c>
      <c r="V13" s="256" t="n">
        <v>0</v>
      </c>
      <c r="W13" s="256" t="n">
        <v>0</v>
      </c>
      <c r="X13" s="256" t="n">
        <v>-38444</v>
      </c>
      <c r="Y13" s="256" t="n">
        <v>-37203</v>
      </c>
      <c r="Z13" s="256" t="n">
        <v>-42613</v>
      </c>
      <c r="AA13" s="256" t="n">
        <v>-34716</v>
      </c>
      <c r="AB13" s="256" t="n">
        <v>-49585</v>
      </c>
      <c r="AC13" s="256" t="n">
        <v>-43879</v>
      </c>
      <c r="AD13" s="256" t="n">
        <v>-42222</v>
      </c>
      <c r="AE13" s="256" t="n">
        <v>-41781</v>
      </c>
      <c r="AF13" s="256" t="n">
        <v>-41424</v>
      </c>
      <c r="AG13" s="256" t="n">
        <v>-38133</v>
      </c>
      <c r="AH13" s="256" t="n">
        <v>-45673</v>
      </c>
      <c r="AI13" s="256" t="n">
        <v>-46353</v>
      </c>
      <c r="AJ13" s="256" t="n">
        <v>-47969</v>
      </c>
    </row>
    <row r="14">
      <c r="A14" t="n">
        <v>3</v>
      </c>
      <c r="B14" t="n">
        <v>1</v>
      </c>
      <c r="G14" t="inlineStr">
        <is>
          <t>moeda</t>
        </is>
      </c>
      <c r="H14" t="inlineStr">
        <is>
          <t>Fleury DRE: Outras receitas (despesas) operacionais líquidas (l.38) | Combinada DRE: Outras receitas (despesas) operacionais líquidas (l.37)</t>
        </is>
      </c>
      <c r="J14" t="inlineStr">
        <is>
          <t>fonte</t>
        </is>
      </c>
      <c r="K14" s="256" t="n">
        <v>720.91431</v>
      </c>
      <c r="L14" s="256" t="n">
        <v>529.2969400000002</v>
      </c>
      <c r="M14" s="256" t="n">
        <v>-2663.94185</v>
      </c>
      <c r="N14" s="256" t="n">
        <v>278.0302200000007</v>
      </c>
      <c r="O14" s="256" t="n">
        <v>2480.66151</v>
      </c>
      <c r="P14" s="256" t="n">
        <v>-147.2569000000001</v>
      </c>
      <c r="Q14" s="256" t="n">
        <v>1096.81176</v>
      </c>
      <c r="R14" s="256" t="n">
        <v>18356.16885</v>
      </c>
      <c r="S14" s="256" t="n">
        <v>4570.77789</v>
      </c>
      <c r="T14" s="256" t="n">
        <v>9537.914409999999</v>
      </c>
      <c r="U14" s="256" t="n">
        <v>10479.79976</v>
      </c>
      <c r="V14" s="256" t="n">
        <v>289.28109</v>
      </c>
      <c r="W14" s="256" t="n">
        <v>-904.88192</v>
      </c>
      <c r="X14" s="256" t="n">
        <v>-2584</v>
      </c>
      <c r="Y14" s="256" t="n">
        <v>7912</v>
      </c>
      <c r="Z14" s="256" t="n">
        <v>6256</v>
      </c>
      <c r="AA14" s="256" t="n">
        <v>-19156</v>
      </c>
      <c r="AB14" s="256" t="n">
        <v>-505</v>
      </c>
      <c r="AC14" s="256" t="n">
        <v>10260</v>
      </c>
      <c r="AD14" s="256" t="n">
        <v>-405</v>
      </c>
      <c r="AE14" s="256" t="n">
        <v>-4986.442</v>
      </c>
      <c r="AF14" s="256" t="n">
        <v>281</v>
      </c>
      <c r="AG14" s="256" t="n">
        <v>1368.23072677881</v>
      </c>
      <c r="AH14" s="256" t="n">
        <v>-5395.29901</v>
      </c>
      <c r="AI14" s="256" t="n">
        <v>-15879.574</v>
      </c>
      <c r="AJ14" s="256" t="n">
        <v>-2725</v>
      </c>
    </row>
    <row r="15">
      <c r="A15" t="n">
        <v>3</v>
      </c>
      <c r="B15" t="n">
        <v>1</v>
      </c>
      <c r="G15" t="inlineStr">
        <is>
          <t>moeda</t>
        </is>
      </c>
      <c r="H15" t="inlineStr">
        <is>
          <t>Fleury DRE: Reversão de (provisão) para riscos tributários, trabalhistas e cíveis (l.39) | Combinada DRE: Reversão de (provisão) para riscos tributários, trabalhistas e cíveis (l.38)</t>
        </is>
      </c>
      <c r="J15" t="inlineStr">
        <is>
          <t>fonte</t>
        </is>
      </c>
      <c r="K15" s="256" t="n">
        <v>668.1838600000001</v>
      </c>
      <c r="L15" s="256" t="n">
        <v>-62.36383999999999</v>
      </c>
      <c r="M15" s="256" t="n">
        <v>423.65675</v>
      </c>
      <c r="N15" s="256" t="n">
        <v>-9669.55012</v>
      </c>
      <c r="O15" s="256" t="n">
        <v>-381.01393</v>
      </c>
      <c r="P15" s="256" t="n">
        <v>2556.99861</v>
      </c>
      <c r="Q15" s="256" t="n">
        <v>-2524.071840000001</v>
      </c>
      <c r="R15" s="256" t="n">
        <v>-621.21672</v>
      </c>
      <c r="S15" s="256" t="n">
        <v>-1279.33113</v>
      </c>
      <c r="T15" s="256" t="n">
        <v>-2038.22825</v>
      </c>
      <c r="U15" s="256" t="n">
        <v>-1269.47887</v>
      </c>
      <c r="V15" s="256" t="n">
        <v>2282.17092</v>
      </c>
      <c r="W15" s="256" t="n">
        <v>-253.3337</v>
      </c>
      <c r="X15" s="256" t="n">
        <v>-309</v>
      </c>
      <c r="Y15" s="256" t="n">
        <v>-6058</v>
      </c>
      <c r="Z15" s="256" t="n">
        <v>-1083</v>
      </c>
      <c r="AA15" s="256" t="n">
        <v>-1389</v>
      </c>
      <c r="AB15" s="256" t="n">
        <v>753</v>
      </c>
      <c r="AC15" s="256" t="n">
        <v>-6094</v>
      </c>
      <c r="AD15" s="256" t="n">
        <v>3679</v>
      </c>
      <c r="AE15" s="256" t="n">
        <v>6397.094</v>
      </c>
      <c r="AF15" s="256" t="n">
        <v>1801</v>
      </c>
      <c r="AG15" s="256" t="n">
        <v>-8681.509260000001</v>
      </c>
      <c r="AH15" s="256" t="n">
        <v>-2029.00146</v>
      </c>
      <c r="AI15" s="256" t="n">
        <v>15179.096</v>
      </c>
      <c r="AJ15" s="256" t="n">
        <v>3397</v>
      </c>
    </row>
    <row r="16">
      <c r="A16" t="n">
        <v>4</v>
      </c>
      <c r="B16" t="n">
        <v>1</v>
      </c>
      <c r="G16" t="inlineStr">
        <is>
          <t>moeda</t>
        </is>
      </c>
      <c r="H16" t="inlineStr">
        <is>
          <t>Fleury DRE: Depreciação e Amortização (l.36) | Combinada DRE: Depreciação e Amortização (l.34)</t>
        </is>
      </c>
      <c r="J16" t="inlineStr">
        <is>
          <t>fonte</t>
        </is>
      </c>
      <c r="K16" s="256" t="n">
        <v>-15541.1685</v>
      </c>
      <c r="L16" s="256" t="n">
        <v>-15618.17475</v>
      </c>
      <c r="M16" s="256" t="n">
        <v>-15428.47594</v>
      </c>
      <c r="N16" s="256" t="n">
        <v>-15520.27201</v>
      </c>
      <c r="O16" s="256" t="n">
        <v>-14966.90892</v>
      </c>
      <c r="P16" s="256" t="n">
        <v>-15917.93645</v>
      </c>
      <c r="Q16" s="256" t="n">
        <v>-18610.84442</v>
      </c>
      <c r="R16" s="256" t="n">
        <v>-14808.01809</v>
      </c>
      <c r="S16" s="256" t="n">
        <v>-15334.66416</v>
      </c>
      <c r="T16" s="256" t="n">
        <v>-15441.16875</v>
      </c>
      <c r="U16" s="256" t="n">
        <v>-10602.52317</v>
      </c>
      <c r="V16" s="256" t="n">
        <v>-18411.97449</v>
      </c>
      <c r="W16" s="256" t="n">
        <v>-27542.50142</v>
      </c>
      <c r="X16" s="256" t="n">
        <v>-36813</v>
      </c>
      <c r="Y16" s="256" t="n">
        <v>-43749</v>
      </c>
      <c r="Z16" s="256" t="n">
        <v>-43708</v>
      </c>
      <c r="AA16" s="256" t="n">
        <v>-42447</v>
      </c>
      <c r="AB16" s="256" t="n">
        <v>-41764</v>
      </c>
      <c r="AC16" s="256" t="n">
        <v>-42821</v>
      </c>
      <c r="AD16" s="256" t="n">
        <v>-47620</v>
      </c>
      <c r="AE16" s="256" t="n">
        <v>-51268.14</v>
      </c>
      <c r="AF16" s="256" t="n">
        <v>-52364</v>
      </c>
      <c r="AG16" s="256" t="n">
        <v>-53950.67829</v>
      </c>
      <c r="AH16" s="256" t="n">
        <v>-59943.30035</v>
      </c>
      <c r="AI16" s="256" t="n">
        <v>-55712.83548</v>
      </c>
      <c r="AJ16" s="256" t="n">
        <v>-51471</v>
      </c>
    </row>
    <row r="17">
      <c r="A17" t="n">
        <v>4</v>
      </c>
      <c r="B17" t="n">
        <v>1</v>
      </c>
      <c r="G17" t="inlineStr">
        <is>
          <t>moeda</t>
        </is>
      </c>
      <c r="H17" t="inlineStr">
        <is>
          <t>Fleury DRE: Amortização de Ágio (l.37) | Combinada DRE: Amortização de Ágio (l.35)</t>
        </is>
      </c>
      <c r="J17" t="inlineStr">
        <is>
          <t>fonte</t>
        </is>
      </c>
      <c r="K17" s="256" t="n">
        <v>0</v>
      </c>
      <c r="L17" s="256" t="n">
        <v>0</v>
      </c>
      <c r="M17" s="256" t="n">
        <v>0</v>
      </c>
      <c r="N17" s="256" t="n">
        <v>0</v>
      </c>
      <c r="O17" s="256" t="n">
        <v>0</v>
      </c>
      <c r="P17" s="256" t="n">
        <v>0</v>
      </c>
      <c r="Q17" s="256" t="n">
        <v>0</v>
      </c>
      <c r="R17" s="256" t="n">
        <v>0</v>
      </c>
      <c r="S17" s="256" t="n">
        <v>0</v>
      </c>
      <c r="T17" s="256" t="n">
        <v>0</v>
      </c>
      <c r="U17" s="256" t="n">
        <v>0</v>
      </c>
      <c r="V17" s="256" t="n">
        <v>0</v>
      </c>
      <c r="W17" s="256" t="n">
        <v>0</v>
      </c>
      <c r="X17" s="256" t="n">
        <v>0</v>
      </c>
      <c r="Y17" s="256" t="n">
        <v>0</v>
      </c>
      <c r="Z17" s="256" t="n">
        <v>0</v>
      </c>
      <c r="AA17" s="256" t="n">
        <v>0</v>
      </c>
      <c r="AB17" s="256" t="n">
        <v>0</v>
      </c>
      <c r="AC17" s="256" t="n">
        <v>0</v>
      </c>
      <c r="AD17" s="256" t="n">
        <v>0</v>
      </c>
      <c r="AE17" s="256" t="n">
        <v>0</v>
      </c>
      <c r="AF17" s="256" t="n">
        <v>0</v>
      </c>
      <c r="AG17" s="256" t="n">
        <v>0</v>
      </c>
      <c r="AH17" s="256" t="n">
        <v>0</v>
      </c>
      <c r="AI17" s="256" t="n">
        <v>0</v>
      </c>
      <c r="AJ17" s="256" t="n">
        <v>0</v>
      </c>
    </row>
    <row r="18">
      <c r="A18" t="n">
        <v>8</v>
      </c>
      <c r="B18" t="n">
        <v>1</v>
      </c>
      <c r="G18" t="inlineStr">
        <is>
          <t>moeda</t>
        </is>
      </c>
      <c r="H18" t="inlineStr">
        <is>
          <t>Fleury DRE: Equivalência Patrimonial (l.40) | Combinada DRE: Equivalência Patrimonial (l.39)</t>
        </is>
      </c>
      <c r="J18" t="inlineStr">
        <is>
          <t>fonte</t>
        </is>
      </c>
      <c r="K18" s="256" t="n">
        <v>38.89156999999837</v>
      </c>
      <c r="L18" s="256" t="n">
        <v>-1027.430270000001</v>
      </c>
      <c r="M18" s="256" t="n">
        <v>292.335850000004</v>
      </c>
      <c r="N18" s="256" t="n">
        <v>370.5623100000006</v>
      </c>
      <c r="O18" s="256" t="n">
        <v>-198.2947499999984</v>
      </c>
      <c r="P18" s="256" t="n">
        <v>-2.23524199999671</v>
      </c>
      <c r="Q18" s="256" t="n">
        <v>441.09465</v>
      </c>
      <c r="R18" s="256" t="n">
        <v>309.0853834419926</v>
      </c>
      <c r="S18" s="256" t="n">
        <v>0.1976835500011221</v>
      </c>
      <c r="T18" s="256" t="n">
        <v>414.4305666129971</v>
      </c>
      <c r="U18" s="256" t="n">
        <v>249.77188</v>
      </c>
      <c r="V18" s="256" t="n">
        <v>-61.40807067600108</v>
      </c>
      <c r="W18" s="256" t="n">
        <v>0</v>
      </c>
      <c r="X18" s="256" t="n">
        <v>255</v>
      </c>
      <c r="Y18" s="256" t="n">
        <v>176</v>
      </c>
      <c r="Z18" s="256" t="n">
        <v>-274</v>
      </c>
      <c r="AA18" s="256" t="n">
        <v>-348</v>
      </c>
      <c r="AB18" s="256" t="n">
        <v>-802</v>
      </c>
      <c r="AC18" s="256" t="n">
        <v>-655</v>
      </c>
      <c r="AD18" s="256" t="n">
        <v>-2442</v>
      </c>
      <c r="AE18" s="256" t="n">
        <v>-2271</v>
      </c>
      <c r="AF18" s="256" t="n">
        <v>-2776</v>
      </c>
      <c r="AG18" s="256" t="n">
        <v>-3606.33808341797</v>
      </c>
      <c r="AH18" s="256" t="n">
        <v>-4905.6465948825</v>
      </c>
      <c r="AI18" s="256" t="n">
        <v>-5061.568</v>
      </c>
      <c r="AJ18" s="256" t="n">
        <v>-5364.726</v>
      </c>
    </row>
    <row r="19">
      <c r="A19" t="n">
        <v>6</v>
      </c>
      <c r="B19" t="n">
        <v>1</v>
      </c>
      <c r="G19" t="inlineStr">
        <is>
          <t>moeda</t>
        </is>
      </c>
      <c r="H19" t="inlineStr">
        <is>
          <t>Fleury DRE: Receitas financeiras (l.45) | Combinada DRE: Receitas financeiras (l.44)</t>
        </is>
      </c>
      <c r="J19" t="inlineStr">
        <is>
          <t>fonte</t>
        </is>
      </c>
      <c r="K19" s="256" t="n">
        <v>9878.09727</v>
      </c>
      <c r="L19" s="256" t="n">
        <v>8777.681710000001</v>
      </c>
      <c r="M19" s="256" t="n">
        <v>9811.017420000002</v>
      </c>
      <c r="N19" s="256" t="n">
        <v>8640.341119999999</v>
      </c>
      <c r="O19" s="256" t="n">
        <v>6699.252779999999</v>
      </c>
      <c r="P19" s="256" t="n">
        <v>6797.233789999999</v>
      </c>
      <c r="Q19" s="256" t="n">
        <v>16455.8964</v>
      </c>
      <c r="R19" s="256" t="n">
        <v>18925.33787</v>
      </c>
      <c r="S19" s="256" t="n">
        <v>20195.70061</v>
      </c>
      <c r="T19" s="256" t="n">
        <v>21476.71546</v>
      </c>
      <c r="U19" s="256" t="n">
        <v>28954.01388</v>
      </c>
      <c r="V19" s="256" t="n">
        <v>42835.06655</v>
      </c>
      <c r="W19" s="256" t="n">
        <v>45007.53287</v>
      </c>
      <c r="X19" s="256" t="n">
        <v>58878.57805</v>
      </c>
      <c r="Y19" s="256" t="n">
        <v>60852</v>
      </c>
      <c r="Z19" s="256" t="n">
        <v>55571.88907999999</v>
      </c>
      <c r="AA19" s="256" t="n">
        <v>36466.48343</v>
      </c>
      <c r="AB19" s="256" t="n">
        <v>39213</v>
      </c>
      <c r="AC19" s="256" t="n">
        <v>62182</v>
      </c>
      <c r="AD19" s="256" t="n">
        <v>67624.51657000001</v>
      </c>
      <c r="AE19" s="256" t="n">
        <v>79099.815</v>
      </c>
      <c r="AF19" s="256" t="n">
        <v>80601</v>
      </c>
      <c r="AG19" s="256" t="n">
        <v>90060.51204</v>
      </c>
      <c r="AH19" s="256" t="n">
        <v>85675.62359</v>
      </c>
      <c r="AI19" s="256" t="n">
        <v>80814.98742999999</v>
      </c>
      <c r="AJ19" s="256" t="n">
        <v>79498.624</v>
      </c>
    </row>
    <row r="20">
      <c r="A20" t="n">
        <v>6</v>
      </c>
      <c r="B20" t="n">
        <v>1</v>
      </c>
      <c r="G20" t="inlineStr">
        <is>
          <t>moeda</t>
        </is>
      </c>
      <c r="H20" t="inlineStr">
        <is>
          <t>Fleury DRE: [nao existe] | Combinada DRE: Variação Cambial Líquida (l.46) [0 em 1Q20..2Q26 (20 per.): linha inexistente/vazia na fonte; total divulgado confirma]</t>
        </is>
      </c>
      <c r="J20" t="inlineStr">
        <is>
          <t>fonte</t>
        </is>
      </c>
      <c r="K20" s="256" t="n">
        <v>0</v>
      </c>
      <c r="L20" s="256" t="n">
        <v>0</v>
      </c>
      <c r="M20" s="256" t="n">
        <v>0</v>
      </c>
      <c r="N20" s="256" t="n">
        <v>0</v>
      </c>
      <c r="O20" s="256" t="n">
        <v>0</v>
      </c>
      <c r="P20" s="256" t="n">
        <v>0</v>
      </c>
      <c r="Q20" s="256" t="n">
        <v>0</v>
      </c>
      <c r="R20" s="256" t="n">
        <v>0</v>
      </c>
      <c r="S20" s="256" t="n">
        <v>0</v>
      </c>
      <c r="T20" s="256" t="n">
        <v>0</v>
      </c>
      <c r="U20" s="256" t="n">
        <v>0</v>
      </c>
      <c r="V20" s="256" t="n">
        <v>0</v>
      </c>
      <c r="W20" s="256" t="n">
        <v>0</v>
      </c>
      <c r="X20" s="256" t="n">
        <v>0</v>
      </c>
      <c r="Y20" s="256" t="n">
        <v>0</v>
      </c>
      <c r="Z20" s="256" t="n">
        <v>0</v>
      </c>
      <c r="AA20" s="256" t="n">
        <v>0</v>
      </c>
      <c r="AB20" s="256" t="n">
        <v>0</v>
      </c>
      <c r="AC20" s="256" t="n">
        <v>0</v>
      </c>
      <c r="AD20" s="256" t="n">
        <v>0</v>
      </c>
      <c r="AE20" s="256" t="n">
        <v>0</v>
      </c>
      <c r="AF20" s="256" t="n">
        <v>0</v>
      </c>
      <c r="AG20" s="256" t="n">
        <v>0</v>
      </c>
      <c r="AH20" s="256" t="n">
        <v>0</v>
      </c>
      <c r="AI20" s="256" t="n">
        <v>0</v>
      </c>
      <c r="AJ20" s="256" t="n">
        <v>0</v>
      </c>
    </row>
    <row r="21">
      <c r="A21" t="n">
        <v>5</v>
      </c>
      <c r="B21" t="n">
        <v>1</v>
      </c>
      <c r="G21" t="inlineStr">
        <is>
          <t>moeda</t>
        </is>
      </c>
      <c r="H21" t="inlineStr">
        <is>
          <t>Fleury DRE: Despesas financeiras (l.46) | Combinada DRE: Despesas financeiras (l.45)</t>
        </is>
      </c>
      <c r="J21" t="inlineStr">
        <is>
          <t>fonte</t>
        </is>
      </c>
      <c r="K21" s="256" t="n">
        <v>-38718.50577999999</v>
      </c>
      <c r="L21" s="256" t="n">
        <v>-45377.89143</v>
      </c>
      <c r="M21" s="256" t="n">
        <v>-43124.06456</v>
      </c>
      <c r="N21" s="256" t="n">
        <v>-47822.65651000001</v>
      </c>
      <c r="O21" s="256" t="n">
        <v>-37428.79707</v>
      </c>
      <c r="P21" s="256" t="n">
        <v>-43008.56677</v>
      </c>
      <c r="Q21" s="256" t="n">
        <v>-65281.09682999999</v>
      </c>
      <c r="R21" s="256" t="n">
        <v>-74312.02259000001</v>
      </c>
      <c r="S21" s="256" t="n">
        <v>-85808.39102999998</v>
      </c>
      <c r="T21" s="256" t="n">
        <v>-107820.61116</v>
      </c>
      <c r="U21" s="256" t="n">
        <v>-128365.3378</v>
      </c>
      <c r="V21" s="256" t="n">
        <v>-121044.4737</v>
      </c>
      <c r="W21" s="256" t="n">
        <v>-134546.69035</v>
      </c>
      <c r="X21" s="256" t="n">
        <v>-158388.627</v>
      </c>
      <c r="Y21" s="256" t="n">
        <v>-163758</v>
      </c>
      <c r="Z21" s="256" t="n">
        <v>-148223.68265</v>
      </c>
      <c r="AA21" s="256" t="n">
        <v>-146741.36103</v>
      </c>
      <c r="AB21" s="256" t="n">
        <v>-140543</v>
      </c>
      <c r="AC21" s="256" t="n">
        <v>-158257</v>
      </c>
      <c r="AD21" s="256" t="n">
        <v>-171253.63897</v>
      </c>
      <c r="AE21" s="256" t="n">
        <v>-182470.204</v>
      </c>
      <c r="AF21" s="256" t="n">
        <v>-198558</v>
      </c>
      <c r="AG21" s="256" t="n">
        <v>-220290.3303</v>
      </c>
      <c r="AH21" s="256" t="n">
        <v>-202059.34008</v>
      </c>
      <c r="AI21" s="256" t="n">
        <v>-195875.19551</v>
      </c>
      <c r="AJ21" s="256" t="n">
        <v>-190784.577</v>
      </c>
    </row>
    <row r="22">
      <c r="A22" t="n">
        <v>7</v>
      </c>
      <c r="B22" t="n">
        <v>1</v>
      </c>
      <c r="G22" t="inlineStr">
        <is>
          <t>moeda</t>
        </is>
      </c>
      <c r="H22" t="inlineStr">
        <is>
          <t>Fleury DRE: Imposto de Renda e Contribuição Social (l.50) | Combinada DRE: Imposto de Renda e Contribuição Social (l.50)</t>
        </is>
      </c>
      <c r="J22" t="inlineStr">
        <is>
          <t>fonte</t>
        </is>
      </c>
      <c r="K22" s="256" t="n">
        <v>-21170.96331</v>
      </c>
      <c r="L22" s="256" t="n">
        <v>29412.62276</v>
      </c>
      <c r="M22" s="256" t="n">
        <v>-70970.32535999999</v>
      </c>
      <c r="N22" s="256" t="n">
        <v>-21043.6467</v>
      </c>
      <c r="O22" s="256" t="n">
        <v>-49156.01659</v>
      </c>
      <c r="P22" s="256" t="n">
        <v>-27142.99102</v>
      </c>
      <c r="Q22" s="256" t="n">
        <v>-39946.16017</v>
      </c>
      <c r="R22" s="256" t="n">
        <v>-28371.67513</v>
      </c>
      <c r="S22" s="256" t="n">
        <v>-42675.00254000001</v>
      </c>
      <c r="T22" s="256" t="n">
        <v>-27308.73652000001</v>
      </c>
      <c r="U22" s="256" t="n">
        <v>-26851.81193999999</v>
      </c>
      <c r="V22" s="256" t="n">
        <v>173.3440399999999</v>
      </c>
      <c r="W22" s="256" t="n">
        <v>-31154.2375</v>
      </c>
      <c r="X22" s="256" t="n">
        <v>-24205.65749392989</v>
      </c>
      <c r="Y22" s="256" t="n">
        <v>-43257</v>
      </c>
      <c r="Z22" s="256" t="n">
        <v>-11888.10500607011</v>
      </c>
      <c r="AA22" s="256" t="n">
        <v>-48642</v>
      </c>
      <c r="AB22" s="256" t="n">
        <v>-55949</v>
      </c>
      <c r="AC22" s="256" t="n">
        <v>-57350</v>
      </c>
      <c r="AD22" s="256" t="n">
        <v>-20816</v>
      </c>
      <c r="AE22" s="256" t="n">
        <v>-54013.02</v>
      </c>
      <c r="AF22" s="256" t="n">
        <v>-44404</v>
      </c>
      <c r="AG22" s="256" t="n">
        <v>-53904.47839</v>
      </c>
      <c r="AH22" s="256" t="n">
        <v>-4214.78333</v>
      </c>
      <c r="AI22" s="256" t="n">
        <v>-55100.18466</v>
      </c>
      <c r="AJ22" s="256" t="n">
        <v>-61143.775</v>
      </c>
    </row>
    <row r="23">
      <c r="A23" t="n">
        <v>9</v>
      </c>
      <c r="B23" t="n">
        <v>1</v>
      </c>
      <c r="G23" t="inlineStr">
        <is>
          <t>moeda</t>
        </is>
      </c>
      <c r="H23" t="inlineStr">
        <is>
          <t>Fleury DRE: Participação dos não-controladores (l.55) | Combinada DRE: Participação dos não-controladores (l.55) [0 em 1Q20..4Q20 (4 per.): linha inexistente/vazia na fonte; total divulgado confirma]</t>
        </is>
      </c>
      <c r="J23" t="inlineStr">
        <is>
          <t>fonte</t>
        </is>
      </c>
      <c r="K23" s="256" t="n">
        <v>0</v>
      </c>
      <c r="L23" s="256" t="n">
        <v>0</v>
      </c>
      <c r="M23" s="256" t="n">
        <v>0</v>
      </c>
      <c r="N23" s="256" t="n">
        <v>0</v>
      </c>
      <c r="O23" s="256" t="n">
        <v>0</v>
      </c>
      <c r="P23" s="256" t="n">
        <v>39.423182</v>
      </c>
      <c r="Q23" s="256" t="n">
        <v>-1426.590592597</v>
      </c>
      <c r="R23" s="256" t="n">
        <v>-177.942983442</v>
      </c>
      <c r="S23" s="256" t="n">
        <v>-391.4707735500003</v>
      </c>
      <c r="T23" s="256" t="n">
        <v>-414.8904266129995</v>
      </c>
      <c r="U23" s="256" t="n">
        <v>-673.0411700000001</v>
      </c>
      <c r="V23" s="256" t="n">
        <v>656.1841206760001</v>
      </c>
      <c r="W23" s="256" t="n">
        <v>28.34465</v>
      </c>
      <c r="X23" s="256" t="n">
        <v>385.635388738</v>
      </c>
      <c r="Y23" s="256" t="n">
        <v>2382</v>
      </c>
      <c r="Z23" s="256" t="n">
        <v>139</v>
      </c>
      <c r="AA23" s="256" t="n">
        <v>-355</v>
      </c>
      <c r="AB23" s="256" t="n">
        <v>1423</v>
      </c>
      <c r="AC23" s="256" t="n">
        <v>4013</v>
      </c>
      <c r="AD23" s="256" t="n">
        <v>7437</v>
      </c>
      <c r="AE23" s="256" t="n">
        <v>3456.124</v>
      </c>
      <c r="AF23" s="256" t="n">
        <v>7749.179</v>
      </c>
      <c r="AG23" s="256" t="n">
        <v>2668.448799683</v>
      </c>
      <c r="AH23" s="256" t="n">
        <v>2286.25577847376</v>
      </c>
      <c r="AI23" s="256" t="n">
        <v>3559.44448</v>
      </c>
      <c r="AJ23" s="256" t="n">
        <v>2518</v>
      </c>
    </row>
    <row r="24">
      <c r="H24" s="250" t="inlineStr">
        <is>
          <t>DRE - subtotais divulgados (memoria, sem codigo)</t>
        </is>
      </c>
    </row>
    <row r="25">
      <c r="G25" t="inlineStr">
        <is>
          <t>moeda</t>
        </is>
      </c>
      <c r="H25" t="inlineStr">
        <is>
          <t>Fleury DRE: Receita Bruta (l.10) | Combinada DRE: Receita Bruta (l.7)</t>
        </is>
      </c>
      <c r="J25" t="inlineStr">
        <is>
          <t>memoria</t>
        </is>
      </c>
      <c r="K25" s="256" t="n">
        <v>770606.3629464181</v>
      </c>
      <c r="L25" s="256" t="n">
        <v>492196.9314810876</v>
      </c>
      <c r="M25" s="256" t="n">
        <v>943845.2767659853</v>
      </c>
      <c r="N25" s="256" t="n">
        <v>1000542.673120001</v>
      </c>
      <c r="O25" s="256" t="n">
        <v>964269.1160499995</v>
      </c>
      <c r="P25" s="256" t="n">
        <v>1005132.595009999</v>
      </c>
      <c r="Q25" s="256" t="n">
        <v>1107449.82635</v>
      </c>
      <c r="R25" s="256" t="n">
        <v>1095560.76463</v>
      </c>
      <c r="S25" s="256" t="n">
        <v>1173408.106179443</v>
      </c>
      <c r="T25" s="256" t="n">
        <v>1196381.537348052</v>
      </c>
      <c r="U25" s="256" t="n">
        <v>1234206.763</v>
      </c>
      <c r="V25" s="256" t="n">
        <v>1199027.27825</v>
      </c>
      <c r="W25" s="256" t="n">
        <v>1330405.76229</v>
      </c>
      <c r="X25" s="256" t="n">
        <v>1784525</v>
      </c>
      <c r="Y25" s="256" t="n">
        <v>2011020</v>
      </c>
      <c r="Z25" s="256" t="n">
        <v>1835383.23771</v>
      </c>
      <c r="AA25" s="256" t="n">
        <v>2055579.4785</v>
      </c>
      <c r="AB25" s="256" t="n">
        <v>2136902</v>
      </c>
      <c r="AC25" s="256" t="n">
        <v>2133178.474</v>
      </c>
      <c r="AD25" s="256" t="n">
        <v>1994306.047499999</v>
      </c>
      <c r="AE25" s="256" t="n">
        <v>2188441</v>
      </c>
      <c r="AF25" s="256" t="n">
        <v>2197802</v>
      </c>
      <c r="AG25" s="256" t="n">
        <v>2378625.65064714</v>
      </c>
      <c r="AH25" s="256" t="n">
        <v>2238166.032</v>
      </c>
      <c r="AI25" s="256" t="n">
        <v>2410224.21568</v>
      </c>
      <c r="AJ25" s="256" t="n">
        <v>2514578.357</v>
      </c>
    </row>
    <row r="26">
      <c r="G26" t="inlineStr">
        <is>
          <t>moeda</t>
        </is>
      </c>
      <c r="H26" t="inlineStr">
        <is>
          <t>Fleury DRE: Custo do serviço prestado (l.17) | Combinada DRE: Custo do serviço prestado (l.15)</t>
        </is>
      </c>
      <c r="J26" t="inlineStr">
        <is>
          <t>memoria</t>
        </is>
      </c>
      <c r="K26" s="256" t="n">
        <v>-526346.2151800001</v>
      </c>
      <c r="L26" s="256" t="n">
        <v>-452364.35494</v>
      </c>
      <c r="M26" s="256" t="n">
        <v>-561401.80065</v>
      </c>
      <c r="N26" s="256" t="n">
        <v>-621774.40632</v>
      </c>
      <c r="O26" s="256" t="n">
        <v>-606549.8672199999</v>
      </c>
      <c r="P26" s="256" t="n">
        <v>-673822.1764300001</v>
      </c>
      <c r="Q26" s="256" t="n">
        <v>-722289.5233999998</v>
      </c>
      <c r="R26" s="256" t="n">
        <v>-743096.9264799999</v>
      </c>
      <c r="S26" s="256" t="n">
        <v>-765162.7114400008</v>
      </c>
      <c r="T26" s="256" t="n">
        <v>-811390.4792200001</v>
      </c>
      <c r="U26" s="256" t="n">
        <v>-811563.4803000001</v>
      </c>
      <c r="V26" s="256" t="n">
        <v>-864812.9961099999</v>
      </c>
      <c r="W26" s="256" t="n">
        <v>-880152.2299499999</v>
      </c>
      <c r="X26" s="256" t="n">
        <v>-1204442</v>
      </c>
      <c r="Y26" s="256" t="n">
        <v>-1342479.564661941</v>
      </c>
      <c r="Z26" s="256" t="n">
        <v>-1303842</v>
      </c>
      <c r="AA26" s="256" t="n">
        <v>-1339199</v>
      </c>
      <c r="AB26" s="256" t="n">
        <v>-1410879</v>
      </c>
      <c r="AC26" s="256" t="n">
        <v>-1405672</v>
      </c>
      <c r="AD26" s="256" t="n">
        <v>-1385784</v>
      </c>
      <c r="AE26" s="256" t="n">
        <v>-1442954.937</v>
      </c>
      <c r="AF26" s="256" t="n">
        <v>-1496555</v>
      </c>
      <c r="AG26" s="256" t="n">
        <v>-1575129.31835</v>
      </c>
      <c r="AH26" s="256" t="n">
        <v>-1570505.55554</v>
      </c>
      <c r="AI26" s="256" t="n">
        <v>-1595051.8603</v>
      </c>
      <c r="AJ26" s="256" t="n">
        <v>-1672515</v>
      </c>
    </row>
    <row r="27">
      <c r="G27" t="inlineStr">
        <is>
          <t>moeda</t>
        </is>
      </c>
      <c r="H27" t="inlineStr">
        <is>
          <t>Fleury DRE: Lucro Bruto (l.30) | Combinada DRE: Lucro Bruto (l.28)</t>
        </is>
      </c>
      <c r="J27" t="inlineStr">
        <is>
          <t>memoria</t>
        </is>
      </c>
      <c r="K27" s="256" t="n">
        <v>187587.658336418</v>
      </c>
      <c r="L27" s="256" t="n">
        <v>2579.540381087631</v>
      </c>
      <c r="M27" s="256" t="n">
        <v>313181.2697859854</v>
      </c>
      <c r="N27" s="256" t="n">
        <v>306380.337210001</v>
      </c>
      <c r="O27" s="256" t="n">
        <v>287258.1085899995</v>
      </c>
      <c r="P27" s="256" t="n">
        <v>258244.1794599988</v>
      </c>
      <c r="Q27" s="256" t="n">
        <v>306540.3400300001</v>
      </c>
      <c r="R27" s="256" t="n">
        <v>274849.5005899997</v>
      </c>
      <c r="S27" s="256" t="n">
        <v>324749.8586394422</v>
      </c>
      <c r="T27" s="256" t="n">
        <v>300355.4820380514</v>
      </c>
      <c r="U27" s="256" t="n">
        <v>335071.3959199999</v>
      </c>
      <c r="V27" s="256" t="n">
        <v>249933.7681700001</v>
      </c>
      <c r="W27" s="256" t="n">
        <v>356671.06973</v>
      </c>
      <c r="X27" s="256" t="n">
        <v>455099</v>
      </c>
      <c r="Y27" s="256" t="n">
        <v>527565.4353380594</v>
      </c>
      <c r="Z27" s="256" t="n">
        <v>400598.7003199998</v>
      </c>
      <c r="AA27" s="256" t="n">
        <v>565249.4785</v>
      </c>
      <c r="AB27" s="256" t="n">
        <v>567323</v>
      </c>
      <c r="AC27" s="256" t="n">
        <v>556999.4739999999</v>
      </c>
      <c r="AD27" s="256" t="n">
        <v>453553.0474999994</v>
      </c>
      <c r="AE27" s="256" t="n">
        <v>572119.0630000001</v>
      </c>
      <c r="AF27" s="256" t="n">
        <v>527978</v>
      </c>
      <c r="AG27" s="256" t="n">
        <v>615849.8654771403</v>
      </c>
      <c r="AH27" s="256" t="n">
        <v>490089.7826000003</v>
      </c>
      <c r="AI27" s="256" t="n">
        <v>628065.95838</v>
      </c>
      <c r="AJ27" s="256" t="n">
        <v>644138.662</v>
      </c>
    </row>
    <row r="28">
      <c r="G28" t="inlineStr">
        <is>
          <t>moeda</t>
        </is>
      </c>
      <c r="H28" t="inlineStr">
        <is>
          <t>Fleury DRE: (Despesas) Receitas Operacionais (l.33) | Combinada DRE: (Despesas) Receitas Operacionais (l.31)</t>
        </is>
      </c>
      <c r="J28" t="inlineStr">
        <is>
          <t>memoria</t>
        </is>
      </c>
      <c r="K28" s="256" t="n">
        <v>-78857.17876000001</v>
      </c>
      <c r="L28" s="256" t="n">
        <v>-68697.49973789997</v>
      </c>
      <c r="M28" s="256" t="n">
        <v>-76833.35329000001</v>
      </c>
      <c r="N28" s="256" t="n">
        <v>-106671.75715</v>
      </c>
      <c r="O28" s="256" t="n">
        <v>-88760.59066999998</v>
      </c>
      <c r="P28" s="256" t="n">
        <v>-129394.652712</v>
      </c>
      <c r="Q28" s="256" t="n">
        <v>-121379.82307</v>
      </c>
      <c r="R28" s="256" t="n">
        <v>-120097.394596558</v>
      </c>
      <c r="S28" s="256" t="n">
        <v>-105629.96456645</v>
      </c>
      <c r="T28" s="256" t="n">
        <v>-115778.720993387</v>
      </c>
      <c r="U28" s="256" t="n">
        <v>-112129.46886</v>
      </c>
      <c r="V28" s="256" t="n">
        <v>-141601.203390676</v>
      </c>
      <c r="W28" s="256" t="n">
        <v>-142154.18764</v>
      </c>
      <c r="X28" s="256" t="n">
        <v>-257342</v>
      </c>
      <c r="Y28" s="256" t="n">
        <v>-209586</v>
      </c>
      <c r="Z28" s="256" t="n">
        <v>-214919</v>
      </c>
      <c r="AA28" s="256" t="n">
        <v>-238018</v>
      </c>
      <c r="AB28" s="256" t="n">
        <v>-237881</v>
      </c>
      <c r="AC28" s="256" t="n">
        <v>-216882</v>
      </c>
      <c r="AD28" s="256" t="n">
        <v>-252624</v>
      </c>
      <c r="AE28" s="256" t="n">
        <v>-238905.488</v>
      </c>
      <c r="AF28" s="256" t="n">
        <v>-221067</v>
      </c>
      <c r="AG28" s="256" t="n">
        <v>-249467.2949066392</v>
      </c>
      <c r="AH28" s="256" t="n">
        <v>-275449.1287748825</v>
      </c>
      <c r="AI28" s="256" t="n">
        <v>-260253.046</v>
      </c>
      <c r="AJ28" s="256" t="n">
        <v>-252376.726</v>
      </c>
    </row>
    <row r="29">
      <c r="G29" t="inlineStr">
        <is>
          <t>moeda</t>
        </is>
      </c>
      <c r="H29" t="inlineStr">
        <is>
          <t>Fleury DRE: Lucro Operacional Antes do Resultado Financeiro (l.42) | Combinada DRE: Lucro Operacional Antes do Resultado Financeiro (l.41)</t>
        </is>
      </c>
      <c r="J29" t="inlineStr">
        <is>
          <t>memoria</t>
        </is>
      </c>
      <c r="K29" s="256" t="n">
        <v>108730.479576418</v>
      </c>
      <c r="L29" s="256" t="n">
        <v>-66117.95935681234</v>
      </c>
      <c r="M29" s="256" t="n">
        <v>236347.9164959854</v>
      </c>
      <c r="N29" s="256" t="n">
        <v>199708.5800600009</v>
      </c>
      <c r="O29" s="256" t="n">
        <v>198497.5179199995</v>
      </c>
      <c r="P29" s="256" t="n">
        <v>128849.5267479989</v>
      </c>
      <c r="Q29" s="256" t="n">
        <v>185160.5169600001</v>
      </c>
      <c r="R29" s="256" t="n">
        <v>154752.1059934417</v>
      </c>
      <c r="S29" s="256" t="n">
        <v>219119.8940729922</v>
      </c>
      <c r="T29" s="256" t="n">
        <v>184576.7610446644</v>
      </c>
      <c r="U29" s="256" t="n">
        <v>222941.9270599999</v>
      </c>
      <c r="V29" s="256" t="n">
        <v>108332.564779324</v>
      </c>
      <c r="W29" s="256" t="n">
        <v>214516.88209</v>
      </c>
      <c r="X29" s="256" t="n">
        <v>197757</v>
      </c>
      <c r="Y29" s="256" t="n">
        <v>317979.4353380594</v>
      </c>
      <c r="Z29" s="256" t="n">
        <v>185679.7003199998</v>
      </c>
      <c r="AA29" s="256" t="n">
        <v>327231.4785</v>
      </c>
      <c r="AB29" s="256" t="n">
        <v>329442</v>
      </c>
      <c r="AC29" s="256" t="n">
        <v>340117.4739999999</v>
      </c>
      <c r="AD29" s="256" t="n">
        <v>200929.0474999994</v>
      </c>
      <c r="AE29" s="256" t="n">
        <v>333213.5750000001</v>
      </c>
      <c r="AF29" s="256" t="n">
        <v>306911</v>
      </c>
      <c r="AG29" s="256" t="n">
        <v>366382.5705705011</v>
      </c>
      <c r="AH29" s="256" t="n">
        <v>214640.6538251177</v>
      </c>
      <c r="AI29" s="256" t="n">
        <v>367812.9123799999</v>
      </c>
      <c r="AJ29" s="256" t="n">
        <v>391761.936</v>
      </c>
    </row>
    <row r="30">
      <c r="G30" t="inlineStr">
        <is>
          <t>moeda</t>
        </is>
      </c>
      <c r="H30" t="inlineStr">
        <is>
          <t>Fleury DRE: Lucro Antes do Imposto de Renda e da Contribuição Social (l.48) | Combinada DRE: Lucro Antes do Imposto de Renda e da Contribuição Social (l.48)</t>
        </is>
      </c>
      <c r="J30" t="inlineStr">
        <is>
          <t>memoria</t>
        </is>
      </c>
      <c r="K30" s="256" t="n">
        <v>79890.07106641798</v>
      </c>
      <c r="L30" s="256" t="n">
        <v>-102718.1690768123</v>
      </c>
      <c r="M30" s="256" t="n">
        <v>203034.8693559854</v>
      </c>
      <c r="N30" s="256" t="n">
        <v>160526.2646700009</v>
      </c>
      <c r="O30" s="256" t="n">
        <v>167767.9736299995</v>
      </c>
      <c r="P30" s="256" t="n">
        <v>92638.19376799886</v>
      </c>
      <c r="Q30" s="256" t="n">
        <v>136335.3165300001</v>
      </c>
      <c r="R30" s="256" t="n">
        <v>99365.42127344164</v>
      </c>
      <c r="S30" s="256" t="n">
        <v>153507.2036529923</v>
      </c>
      <c r="T30" s="256" t="n">
        <v>98232.86534466434</v>
      </c>
      <c r="U30" s="256" t="n">
        <v>123530.6031399999</v>
      </c>
      <c r="V30" s="256" t="n">
        <v>30123.15762932401</v>
      </c>
      <c r="W30" s="256" t="n">
        <v>124977.72461</v>
      </c>
      <c r="X30" s="256" t="n">
        <v>98246.95104999999</v>
      </c>
      <c r="Y30" s="256" t="n">
        <v>215073.4353380594</v>
      </c>
      <c r="Z30" s="256" t="n">
        <v>93027.90674999985</v>
      </c>
      <c r="AA30" s="256" t="n">
        <v>216956.6009</v>
      </c>
      <c r="AB30" s="256" t="n">
        <v>228112</v>
      </c>
      <c r="AC30" s="256" t="n">
        <v>244042.4739999999</v>
      </c>
      <c r="AD30" s="256" t="n">
        <v>97299.92509999944</v>
      </c>
      <c r="AE30" s="256" t="n">
        <v>229843.1860000001</v>
      </c>
      <c r="AF30" s="256" t="n">
        <v>188954</v>
      </c>
      <c r="AG30" s="256" t="n">
        <v>236152.7523105011</v>
      </c>
      <c r="AH30" s="256" t="n">
        <v>98256.93733511775</v>
      </c>
      <c r="AI30" s="256" t="n">
        <v>252752.7042999999</v>
      </c>
      <c r="AJ30" s="256" t="n">
        <v>280475.983</v>
      </c>
    </row>
    <row r="31">
      <c r="A31" t="n">
        <v>44</v>
      </c>
      <c r="B31" t="n">
        <v>1</v>
      </c>
      <c r="G31" t="inlineStr">
        <is>
          <t>moeda</t>
        </is>
      </c>
      <c r="H31" t="inlineStr">
        <is>
          <t>Fleury DRE: Lucro Líquido do Período (l.56) | Combinada DRE: Lucro Líquido do Período (l.56) - COD 44 alimenta o check IS do Model (linha 4)</t>
        </is>
      </c>
      <c r="J31" t="inlineStr">
        <is>
          <t>memoria</t>
        </is>
      </c>
      <c r="K31" s="256" t="n">
        <v>58719.10775641799</v>
      </c>
      <c r="L31" s="256" t="n">
        <v>-73305.54631681234</v>
      </c>
      <c r="M31" s="256" t="n">
        <v>132064.5439959854</v>
      </c>
      <c r="N31" s="256" t="n">
        <v>139482.6179700009</v>
      </c>
      <c r="O31" s="256" t="n">
        <v>118611.9570399995</v>
      </c>
      <c r="P31" s="256" t="n">
        <v>65534.62592999886</v>
      </c>
      <c r="Q31" s="256" t="n">
        <v>94962.56576740311</v>
      </c>
      <c r="R31" s="256" t="n">
        <v>70815.80315999963</v>
      </c>
      <c r="S31" s="256" t="n">
        <v>110440.7303394422</v>
      </c>
      <c r="T31" s="256" t="n">
        <v>70509.23839805134</v>
      </c>
      <c r="U31" s="256" t="n">
        <v>96005.75002999992</v>
      </c>
      <c r="V31" s="256" t="n">
        <v>30952.68579000001</v>
      </c>
      <c r="W31" s="256" t="n">
        <v>93851.83176</v>
      </c>
      <c r="X31" s="256" t="n">
        <v>74426.9289448081</v>
      </c>
      <c r="Y31" s="256" t="n">
        <v>174198.4353380594</v>
      </c>
      <c r="Z31" s="256" t="n">
        <v>81278.80174392974</v>
      </c>
      <c r="AA31" s="256" t="n">
        <v>167959.6009</v>
      </c>
      <c r="AB31" s="256" t="n">
        <v>173586</v>
      </c>
      <c r="AC31" s="256" t="n">
        <v>190705.4739999999</v>
      </c>
      <c r="AD31" s="256" t="n">
        <v>83920.92509999944</v>
      </c>
      <c r="AE31" s="256" t="n">
        <v>179286.2900000001</v>
      </c>
      <c r="AF31" s="256" t="n">
        <v>152299.179</v>
      </c>
      <c r="AG31" s="256" t="n">
        <v>184916.7227201842</v>
      </c>
      <c r="AH31" s="256" t="n">
        <v>96328.4097835915</v>
      </c>
      <c r="AI31" s="256" t="n">
        <v>201211.9641199999</v>
      </c>
      <c r="AJ31" s="256" t="n">
        <v>221850.208</v>
      </c>
    </row>
    <row r="32">
      <c r="G32" t="inlineStr">
        <is>
          <t>moeda</t>
        </is>
      </c>
      <c r="H32" t="inlineStr">
        <is>
          <t>Fleury DRE: EBITDA (l.65) | Combinada DRE: EBITDA (l.68)</t>
        </is>
      </c>
      <c r="J32" t="inlineStr">
        <is>
          <t>memoria</t>
        </is>
      </c>
      <c r="K32" s="256" t="n">
        <v>195945.971686418</v>
      </c>
      <c r="L32" s="256" t="n">
        <v>19608.67925318767</v>
      </c>
      <c r="M32" s="256" t="n">
        <v>323835.6665059853</v>
      </c>
      <c r="N32" s="256" t="n">
        <v>298072.2921700009</v>
      </c>
      <c r="O32" s="256" t="n">
        <v>285532.2509599996</v>
      </c>
      <c r="P32" s="256" t="n">
        <v>219736.2025499989</v>
      </c>
      <c r="Q32" s="256" t="n">
        <v>288553.1015600001</v>
      </c>
      <c r="R32" s="256" t="n">
        <v>262168.1791299997</v>
      </c>
      <c r="S32" s="256" t="n">
        <v>326579.3322794423</v>
      </c>
      <c r="T32" s="256" t="n">
        <v>298004.8956580514</v>
      </c>
      <c r="U32" s="256" t="n">
        <v>332444.6610799999</v>
      </c>
      <c r="V32" s="256" t="n">
        <v>232678.57335</v>
      </c>
      <c r="W32" s="256" t="n">
        <v>345778.97024</v>
      </c>
      <c r="X32" s="256" t="n">
        <v>363578</v>
      </c>
      <c r="Y32" s="256" t="n">
        <v>505964.4353380594</v>
      </c>
      <c r="Z32" s="256" t="n">
        <v>375832.7003199998</v>
      </c>
      <c r="AA32" s="256" t="n">
        <v>517133.4785</v>
      </c>
      <c r="AB32" s="256" t="n">
        <v>522048</v>
      </c>
      <c r="AC32" s="256" t="n">
        <v>537381.4739999999</v>
      </c>
      <c r="AD32" s="256" t="n">
        <v>405387.0474999994</v>
      </c>
      <c r="AE32" s="256" t="n">
        <v>547625.652</v>
      </c>
      <c r="AF32" s="256" t="n">
        <v>532090</v>
      </c>
      <c r="AG32" s="256" t="n">
        <v>599363.9052939191</v>
      </c>
      <c r="AH32" s="256" t="n">
        <v>455938.1563100002</v>
      </c>
      <c r="AI32" s="256" t="n">
        <v>605996.1761599998</v>
      </c>
      <c r="AJ32" s="256" t="n">
        <v>612932.662</v>
      </c>
    </row>
    <row r="33">
      <c r="H33" s="250" t="inlineStr">
        <is>
          <t>DFC (R$ mil, trimestre isolado)</t>
        </is>
      </c>
    </row>
    <row r="34">
      <c r="A34" t="n">
        <v>10</v>
      </c>
      <c r="B34" t="n">
        <v>1</v>
      </c>
      <c r="G34" t="inlineStr">
        <is>
          <t>moeda</t>
        </is>
      </c>
      <c r="H34" t="inlineStr">
        <is>
          <t>Fleury DFC: Dividendos e/ou juros sobre capital próprio (l.63) | Combinada DFC: Dividendos e/ou juros sobre capital próprio e JCSP (l.59)</t>
        </is>
      </c>
      <c r="I34" t="inlineStr">
        <is>
          <t>Dividends / interest on equity paid</t>
        </is>
      </c>
      <c r="J34" t="inlineStr">
        <is>
          <t>fonte</t>
        </is>
      </c>
      <c r="K34" s="256" t="n">
        <v>-31176.5432</v>
      </c>
      <c r="L34" s="256" t="n">
        <v>0</v>
      </c>
      <c r="M34" s="256" t="n">
        <v>0</v>
      </c>
      <c r="N34" s="256" t="n">
        <v>-197752.41252</v>
      </c>
      <c r="O34" s="256" t="n">
        <v>-75102.32011</v>
      </c>
      <c r="P34" s="256" t="n">
        <v>-156254.5951</v>
      </c>
      <c r="Q34" s="256" t="n">
        <v>-42227.23762</v>
      </c>
      <c r="R34" s="256" t="n">
        <v>-22557.33515</v>
      </c>
      <c r="S34" s="256" t="n">
        <v>-4129.79244</v>
      </c>
      <c r="T34" s="256" t="n">
        <v>-225016.1942</v>
      </c>
      <c r="U34" s="256" t="n">
        <v>-1.5808</v>
      </c>
      <c r="V34" s="256" t="n">
        <v>-108053.8068</v>
      </c>
      <c r="W34" s="256" t="n">
        <v>0</v>
      </c>
      <c r="X34" s="256" t="n">
        <v>-273224.548</v>
      </c>
      <c r="Y34" s="256" t="n">
        <v>-13879.53525000002</v>
      </c>
      <c r="Z34" s="256" t="n">
        <v>-223004.91675</v>
      </c>
      <c r="AA34" s="256" t="n">
        <v>-496</v>
      </c>
      <c r="AB34" s="256" t="n">
        <v>-80533</v>
      </c>
      <c r="AC34" s="256" t="n">
        <v>0</v>
      </c>
      <c r="AD34" s="256" t="n">
        <v>-262333</v>
      </c>
      <c r="AE34" s="256" t="n">
        <v>0</v>
      </c>
      <c r="AF34" s="256" t="n">
        <v>-254045</v>
      </c>
      <c r="AG34" s="256" t="n">
        <v>0</v>
      </c>
      <c r="AH34" s="256" t="n">
        <v>-259010</v>
      </c>
      <c r="AI34" s="256" t="n">
        <v>-391</v>
      </c>
      <c r="AJ34" s="256" t="n">
        <v>-222897</v>
      </c>
    </row>
    <row r="35">
      <c r="G35" t="inlineStr">
        <is>
          <t>moeda</t>
        </is>
      </c>
      <c r="H35" t="inlineStr">
        <is>
          <t>Fleury DFC: Depreciações e amortizações (l.13) | Combinada DFC: Depreciações e amortizações (l.10) - memoria p/ conferir o cod 4</t>
        </is>
      </c>
      <c r="J35" t="inlineStr">
        <is>
          <t>memoria</t>
        </is>
      </c>
      <c r="K35" s="256" t="n">
        <v>87254.38368000001</v>
      </c>
      <c r="L35" s="256" t="n">
        <v>84699.20834</v>
      </c>
      <c r="M35" s="256" t="n">
        <v>87780.08586000001</v>
      </c>
      <c r="N35" s="256" t="n">
        <v>98734.27442</v>
      </c>
      <c r="O35" s="256" t="n">
        <v>86836.43828999999</v>
      </c>
      <c r="P35" s="256" t="n">
        <v>90884.44055999999</v>
      </c>
      <c r="Q35" s="256" t="n">
        <v>103833.67925</v>
      </c>
      <c r="R35" s="256" t="n">
        <v>107725.15852</v>
      </c>
      <c r="S35" s="256" t="n">
        <v>107459.63589</v>
      </c>
      <c r="T35" s="256" t="n">
        <v>113842.56518</v>
      </c>
      <c r="U35" s="256" t="n">
        <v>109752.5059</v>
      </c>
      <c r="V35" s="256" t="n">
        <v>124284.6005</v>
      </c>
      <c r="W35" s="256" t="n">
        <v>131262.08829</v>
      </c>
      <c r="X35" s="256" t="n">
        <v>166076</v>
      </c>
      <c r="Y35" s="256" t="n">
        <v>188161</v>
      </c>
      <c r="Z35" s="256" t="n">
        <v>189879</v>
      </c>
      <c r="AA35" s="256" t="n">
        <v>189554</v>
      </c>
      <c r="AB35" s="256" t="n">
        <v>191804</v>
      </c>
      <c r="AC35" s="256" t="n">
        <v>196609</v>
      </c>
      <c r="AD35" s="256" t="n">
        <v>202016</v>
      </c>
      <c r="AE35" s="256" t="n">
        <v>212141</v>
      </c>
      <c r="AF35" s="256" t="n">
        <v>222404</v>
      </c>
      <c r="AG35" s="256" t="n">
        <v>229374</v>
      </c>
      <c r="AH35" s="256" t="n">
        <v>236392</v>
      </c>
      <c r="AI35" s="256" t="n">
        <v>233122</v>
      </c>
      <c r="AJ35" s="256" t="n">
        <v>215806</v>
      </c>
    </row>
    <row r="36">
      <c r="H36" s="250" t="inlineStr">
        <is>
          <t>BALANCO (R$ mil, saldo de fim de trimestre; 4T21 e 4T22 da aba Fleury lidos da coluna anual)</t>
        </is>
      </c>
    </row>
    <row r="37">
      <c r="A37" t="n">
        <v>11</v>
      </c>
      <c r="B37" t="n">
        <v>1</v>
      </c>
      <c r="G37" t="inlineStr">
        <is>
          <t>moeda</t>
        </is>
      </c>
      <c r="H37" t="inlineStr">
        <is>
          <t>Fleury BP: Caixa e Equivalente de Caixa (l.12) | Combinada BP: Caixa e Equivalente de Caixa AC (l.9)</t>
        </is>
      </c>
      <c r="J37" t="inlineStr">
        <is>
          <t>fonte</t>
        </is>
      </c>
      <c r="K37" s="256" t="n">
        <v>19411.32227</v>
      </c>
      <c r="L37" s="256" t="n">
        <v>19598.34642</v>
      </c>
      <c r="M37" s="256" t="n">
        <v>18636.40956000001</v>
      </c>
      <c r="N37" s="256" t="n">
        <v>28183.77816</v>
      </c>
      <c r="O37" s="256" t="n">
        <v>13585.43702</v>
      </c>
      <c r="P37" s="256" t="n">
        <v>35432.93066000001</v>
      </c>
      <c r="Q37" s="256" t="n">
        <v>25929.55784</v>
      </c>
      <c r="R37" s="256" t="n">
        <v>33722.30695</v>
      </c>
      <c r="S37" s="256" t="n">
        <v>13714.19443</v>
      </c>
      <c r="T37" s="256" t="n">
        <v>20642.61124</v>
      </c>
      <c r="U37" s="256" t="n">
        <v>8886.992880000002</v>
      </c>
      <c r="V37" s="256" t="n">
        <v>17255.94149</v>
      </c>
      <c r="W37" s="256" t="n">
        <v>9869.667449999999</v>
      </c>
      <c r="X37" s="256" t="n">
        <v>31512</v>
      </c>
      <c r="Y37" s="256" t="n">
        <v>14117</v>
      </c>
      <c r="Z37" s="256" t="n">
        <v>21920</v>
      </c>
      <c r="AA37" s="256" t="n">
        <v>91401</v>
      </c>
      <c r="AB37" s="256" t="n">
        <v>10412</v>
      </c>
      <c r="AC37" s="256" t="n">
        <v>12634</v>
      </c>
      <c r="AD37" s="256" t="n">
        <v>21788</v>
      </c>
      <c r="AE37" s="256" t="n">
        <v>7535.596</v>
      </c>
      <c r="AF37" s="256" t="n">
        <v>7432</v>
      </c>
      <c r="AG37" s="256" t="n">
        <v>11689</v>
      </c>
      <c r="AH37" s="256" t="n">
        <v>21772</v>
      </c>
      <c r="AI37" s="256" t="n">
        <v>9720</v>
      </c>
      <c r="AJ37" s="256" t="n">
        <v>19060</v>
      </c>
    </row>
    <row r="38">
      <c r="A38" t="n">
        <v>11</v>
      </c>
      <c r="B38" t="n">
        <v>1</v>
      </c>
      <c r="G38" t="inlineStr">
        <is>
          <t>moeda</t>
        </is>
      </c>
      <c r="H38" t="inlineStr">
        <is>
          <t>Fleury BP: Títulos e Valores Mobilíarios (l.13) | Combinada BP: Títulos e Valores Mobilíarios AC (l.10)</t>
        </is>
      </c>
      <c r="J38" t="inlineStr">
        <is>
          <t>fonte</t>
        </is>
      </c>
      <c r="K38" s="256" t="n">
        <v>709987.4674399999</v>
      </c>
      <c r="L38" s="256" t="n">
        <v>1064096.82842</v>
      </c>
      <c r="M38" s="256" t="n">
        <v>1121191.88649</v>
      </c>
      <c r="N38" s="256" t="n">
        <v>1013620.60986</v>
      </c>
      <c r="O38" s="256" t="n">
        <v>1021467.55549</v>
      </c>
      <c r="P38" s="256" t="n">
        <v>570834.56283</v>
      </c>
      <c r="Q38" s="256" t="n">
        <v>938811.7619</v>
      </c>
      <c r="R38" s="256" t="n">
        <v>763371.8632699999</v>
      </c>
      <c r="S38" s="256" t="n">
        <v>492795.4640799999</v>
      </c>
      <c r="T38" s="256" t="n">
        <v>699803.40461</v>
      </c>
      <c r="U38" s="256" t="n">
        <v>766586.53788</v>
      </c>
      <c r="V38" s="256" t="n">
        <v>1292234.27653</v>
      </c>
      <c r="W38" s="256" t="n">
        <v>1271657.31157</v>
      </c>
      <c r="X38" s="256" t="n">
        <v>879132</v>
      </c>
      <c r="Y38" s="256" t="n">
        <v>962521</v>
      </c>
      <c r="Z38" s="256" t="n">
        <v>902213</v>
      </c>
      <c r="AA38" s="256" t="n">
        <v>798128</v>
      </c>
      <c r="AB38" s="256" t="n">
        <v>1993649</v>
      </c>
      <c r="AC38" s="256" t="n">
        <v>2222581</v>
      </c>
      <c r="AD38" s="256" t="n">
        <v>2319955</v>
      </c>
      <c r="AE38" s="256" t="n">
        <v>2453023.209</v>
      </c>
      <c r="AF38" s="256" t="n">
        <v>2077180</v>
      </c>
      <c r="AG38" s="256" t="n">
        <v>2500949</v>
      </c>
      <c r="AH38" s="256" t="n">
        <v>2140619</v>
      </c>
      <c r="AI38" s="256" t="n">
        <v>2140485</v>
      </c>
      <c r="AJ38" s="256" t="n">
        <v>1880069</v>
      </c>
    </row>
    <row r="39">
      <c r="A39" t="n">
        <v>12</v>
      </c>
      <c r="B39" t="n">
        <v>1</v>
      </c>
      <c r="G39" t="inlineStr">
        <is>
          <t>moeda</t>
        </is>
      </c>
      <c r="H39" t="inlineStr">
        <is>
          <t>Fleury BP: Contas a Receber (l.14) | Combinada BP: Contas a Receber AC (l.11)</t>
        </is>
      </c>
      <c r="J39" t="inlineStr">
        <is>
          <t>fonte</t>
        </is>
      </c>
      <c r="K39" s="256" t="n">
        <v>548081.5140200001</v>
      </c>
      <c r="L39" s="256" t="n">
        <v>425917.00577</v>
      </c>
      <c r="M39" s="256" t="n">
        <v>642007.1974600001</v>
      </c>
      <c r="N39" s="256" t="n">
        <v>704468.11931</v>
      </c>
      <c r="O39" s="256" t="n">
        <v>722332.69323</v>
      </c>
      <c r="P39" s="256" t="n">
        <v>710160.0720599999</v>
      </c>
      <c r="Q39" s="256" t="n">
        <v>798879.6210299999</v>
      </c>
      <c r="R39" s="256" t="n">
        <v>793850.8455332215</v>
      </c>
      <c r="S39" s="256" t="n">
        <v>867743.7446500001</v>
      </c>
      <c r="T39" s="256" t="n">
        <v>900929.9349700001</v>
      </c>
      <c r="U39" s="256" t="n">
        <v>885466.9196200001</v>
      </c>
      <c r="V39" s="256" t="n">
        <v>856849.0628900001</v>
      </c>
      <c r="W39" s="256" t="n">
        <v>973701.4175900001</v>
      </c>
      <c r="X39" s="256" t="n">
        <v>1486024</v>
      </c>
      <c r="Y39" s="256" t="n">
        <v>1558622</v>
      </c>
      <c r="Z39" s="256" t="n">
        <v>1505194</v>
      </c>
      <c r="AA39" s="256" t="n">
        <v>1731049</v>
      </c>
      <c r="AB39" s="256" t="n">
        <v>1759050</v>
      </c>
      <c r="AC39" s="256" t="n">
        <v>1763847</v>
      </c>
      <c r="AD39" s="256" t="n">
        <v>1634904</v>
      </c>
      <c r="AE39" s="256" t="n">
        <v>1789123.657</v>
      </c>
      <c r="AF39" s="256" t="n">
        <v>1859620</v>
      </c>
      <c r="AG39" s="256" t="n">
        <v>1911173</v>
      </c>
      <c r="AH39" s="256" t="n">
        <v>1747166</v>
      </c>
      <c r="AI39" s="256" t="n">
        <v>2005869</v>
      </c>
      <c r="AJ39" s="256" t="n">
        <v>2094735</v>
      </c>
    </row>
    <row r="40">
      <c r="A40" t="n">
        <v>13</v>
      </c>
      <c r="B40" t="n">
        <v>1</v>
      </c>
      <c r="G40" t="inlineStr">
        <is>
          <t>moeda</t>
        </is>
      </c>
      <c r="H40" t="inlineStr">
        <is>
          <t>Fleury BP: Estoques (l.15) | Combinada BP: Estoques AC (l.12)</t>
        </is>
      </c>
      <c r="J40" t="inlineStr">
        <is>
          <t>fonte</t>
        </is>
      </c>
      <c r="K40" s="256" t="n">
        <v>36868.38604</v>
      </c>
      <c r="L40" s="256" t="n">
        <v>83863.15235999998</v>
      </c>
      <c r="M40" s="256" t="n">
        <v>81687.01938000001</v>
      </c>
      <c r="N40" s="256" t="n">
        <v>63092.52976999999</v>
      </c>
      <c r="O40" s="256" t="n">
        <v>63834.8316</v>
      </c>
      <c r="P40" s="256" t="n">
        <v>71513.51074</v>
      </c>
      <c r="Q40" s="256" t="n">
        <v>68378.85212000001</v>
      </c>
      <c r="R40" s="256" t="n">
        <v>72609.91871999999</v>
      </c>
      <c r="S40" s="256" t="n">
        <v>95168.56361</v>
      </c>
      <c r="T40" s="256" t="n">
        <v>76208.63578</v>
      </c>
      <c r="U40" s="256" t="n">
        <v>85472.63984</v>
      </c>
      <c r="V40" s="256" t="n">
        <v>96575.54571000001</v>
      </c>
      <c r="W40" s="256" t="n">
        <v>99247.06762</v>
      </c>
      <c r="X40" s="256" t="n">
        <v>132464</v>
      </c>
      <c r="Y40" s="256" t="n">
        <v>135196</v>
      </c>
      <c r="Z40" s="256" t="n">
        <v>134929</v>
      </c>
      <c r="AA40" s="256" t="n">
        <v>127562</v>
      </c>
      <c r="AB40" s="256" t="n">
        <v>139551</v>
      </c>
      <c r="AC40" s="256" t="n">
        <v>139511</v>
      </c>
      <c r="AD40" s="256" t="n">
        <v>155036</v>
      </c>
      <c r="AE40" s="256" t="n">
        <v>155495.579</v>
      </c>
      <c r="AF40" s="256" t="n">
        <v>149579</v>
      </c>
      <c r="AG40" s="256" t="n">
        <v>154975</v>
      </c>
      <c r="AH40" s="256" t="n">
        <v>180702</v>
      </c>
      <c r="AI40" s="256" t="n">
        <v>150818</v>
      </c>
      <c r="AJ40" s="256" t="n">
        <v>156590</v>
      </c>
    </row>
    <row r="41">
      <c r="A41" t="n">
        <v>15</v>
      </c>
      <c r="B41" t="n">
        <v>1</v>
      </c>
      <c r="G41" t="inlineStr">
        <is>
          <t>moeda</t>
        </is>
      </c>
      <c r="H41" t="inlineStr">
        <is>
          <t>Fleury BP: Despesas do Exercício Seguinte (l.18) | Combinada BP: Despesas do Exercício Seguinte AC (l.16)</t>
        </is>
      </c>
      <c r="J41" t="inlineStr">
        <is>
          <t>fonte</t>
        </is>
      </c>
      <c r="K41" s="256" t="n">
        <v>14324.618</v>
      </c>
      <c r="L41" s="256" t="n">
        <v>20993.92462</v>
      </c>
      <c r="M41" s="256" t="n">
        <v>16034.96786</v>
      </c>
      <c r="N41" s="256" t="n">
        <v>7771.949419999999</v>
      </c>
      <c r="O41" s="256" t="n">
        <v>21440.50233000001</v>
      </c>
      <c r="P41" s="256" t="n">
        <v>19749.41461</v>
      </c>
      <c r="Q41" s="256" t="n">
        <v>12871.00357</v>
      </c>
      <c r="R41" s="256" t="n">
        <v>6918.04293</v>
      </c>
      <c r="S41" s="256" t="n">
        <v>28669.72893</v>
      </c>
      <c r="T41" s="256" t="n">
        <v>27256.46226</v>
      </c>
      <c r="U41" s="256" t="n">
        <v>22416.82529</v>
      </c>
      <c r="V41" s="256" t="n">
        <v>0</v>
      </c>
      <c r="W41" s="256" t="n">
        <v>0</v>
      </c>
      <c r="X41" s="256" t="n">
        <v>0</v>
      </c>
      <c r="Y41" s="256" t="n">
        <v>0</v>
      </c>
      <c r="Z41" s="256" t="n">
        <v>0</v>
      </c>
      <c r="AA41" s="256" t="n">
        <v>0</v>
      </c>
      <c r="AB41" s="256" t="n">
        <v>0</v>
      </c>
      <c r="AC41" s="256" t="n">
        <v>0</v>
      </c>
      <c r="AD41" s="256" t="n">
        <v>0</v>
      </c>
      <c r="AE41" s="256" t="n">
        <v>0</v>
      </c>
      <c r="AF41" s="256" t="n">
        <v>0</v>
      </c>
      <c r="AG41" s="256" t="n">
        <v>0</v>
      </c>
      <c r="AH41" s="256" t="n">
        <v>0</v>
      </c>
      <c r="AI41" s="256" t="n">
        <v>0</v>
      </c>
      <c r="AJ41" s="256" t="n">
        <v>0</v>
      </c>
    </row>
    <row r="42">
      <c r="A42" t="n">
        <v>14</v>
      </c>
      <c r="B42" t="n">
        <v>1</v>
      </c>
      <c r="G42" t="inlineStr">
        <is>
          <t>moeda</t>
        </is>
      </c>
      <c r="H42" t="inlineStr">
        <is>
          <t>Fleury BP: Imposto de Renda e Contribuições Sociais Diferidos (l.19) | Combinada BP: Imposto de Renda e Contribuições Sociais Diferidos AC (l.17)</t>
        </is>
      </c>
      <c r="J42" t="inlineStr">
        <is>
          <t>fonte</t>
        </is>
      </c>
      <c r="K42" s="256" t="n">
        <v>0</v>
      </c>
      <c r="L42" s="256" t="n">
        <v>0</v>
      </c>
      <c r="M42" s="256" t="n">
        <v>0</v>
      </c>
      <c r="N42" s="256" t="n">
        <v>0</v>
      </c>
      <c r="O42" s="256" t="n">
        <v>0</v>
      </c>
      <c r="P42" s="256" t="n">
        <v>0</v>
      </c>
      <c r="Q42" s="256" t="n">
        <v>0</v>
      </c>
      <c r="R42" s="256" t="n">
        <v>0</v>
      </c>
      <c r="S42" s="256" t="n">
        <v>0</v>
      </c>
      <c r="T42" s="256" t="n">
        <v>0</v>
      </c>
      <c r="U42" s="256" t="n">
        <v>0</v>
      </c>
      <c r="V42" s="256" t="n">
        <v>0</v>
      </c>
      <c r="W42" s="256" t="n">
        <v>0</v>
      </c>
      <c r="X42" s="256" t="n">
        <v>0</v>
      </c>
      <c r="Y42" s="256" t="n">
        <v>0</v>
      </c>
      <c r="Z42" s="256" t="n">
        <v>0</v>
      </c>
      <c r="AA42" s="256" t="n">
        <v>0</v>
      </c>
      <c r="AB42" s="256" t="n">
        <v>0</v>
      </c>
      <c r="AC42" s="256" t="n">
        <v>0</v>
      </c>
      <c r="AD42" s="256" t="n">
        <v>0</v>
      </c>
      <c r="AE42" s="256" t="n">
        <v>0</v>
      </c>
      <c r="AF42" s="256" t="n">
        <v>0</v>
      </c>
      <c r="AG42" s="256" t="n">
        <v>0</v>
      </c>
      <c r="AH42" s="256" t="n">
        <v>0</v>
      </c>
      <c r="AI42" s="256" t="n">
        <v>0</v>
      </c>
      <c r="AJ42" s="256" t="n">
        <v>0</v>
      </c>
    </row>
    <row r="43">
      <c r="A43" t="n">
        <v>16</v>
      </c>
      <c r="B43" t="n">
        <v>1</v>
      </c>
      <c r="G43" t="inlineStr">
        <is>
          <t>moeda</t>
        </is>
      </c>
      <c r="H43" t="inlineStr">
        <is>
          <t>Fleury BP: Imposto a Recuperar (l.16) | Combinada BP: Imposto a Recuperar AC (l.13)</t>
        </is>
      </c>
      <c r="J43" t="inlineStr">
        <is>
          <t>fonte</t>
        </is>
      </c>
      <c r="K43" s="256" t="n">
        <v>71914.01168</v>
      </c>
      <c r="L43" s="256" t="n">
        <v>91788.56802999999</v>
      </c>
      <c r="M43" s="256" t="n">
        <v>61991.45415</v>
      </c>
      <c r="N43" s="256" t="n">
        <v>55570.06755999999</v>
      </c>
      <c r="O43" s="256" t="n">
        <v>60139.99233000001</v>
      </c>
      <c r="P43" s="256" t="n">
        <v>49718.49825</v>
      </c>
      <c r="Q43" s="256" t="n">
        <v>129474.38855</v>
      </c>
      <c r="R43" s="256" t="n">
        <v>27296.75458000001</v>
      </c>
      <c r="S43" s="256" t="n">
        <v>60850.37061000001</v>
      </c>
      <c r="T43" s="256" t="n">
        <v>103606.69989</v>
      </c>
      <c r="U43" s="256" t="n">
        <v>144075.20776</v>
      </c>
      <c r="V43" s="256" t="n">
        <v>77022.16918000001</v>
      </c>
      <c r="W43" s="256" t="n">
        <v>88263.75900000001</v>
      </c>
      <c r="X43" s="256" t="n">
        <v>18671</v>
      </c>
      <c r="Y43" s="256" t="n">
        <v>16989</v>
      </c>
      <c r="Z43" s="256" t="n">
        <v>20280</v>
      </c>
      <c r="AA43" s="256" t="n">
        <v>16158</v>
      </c>
      <c r="AB43" s="256" t="n">
        <v>15285</v>
      </c>
      <c r="AC43" s="256" t="n">
        <v>16360</v>
      </c>
      <c r="AD43" s="256" t="n">
        <v>21602</v>
      </c>
      <c r="AE43" s="256" t="n">
        <v>22377</v>
      </c>
      <c r="AF43" s="256" t="n">
        <v>20753</v>
      </c>
      <c r="AG43" s="256" t="n">
        <v>18599</v>
      </c>
      <c r="AH43" s="256" t="n">
        <v>22863</v>
      </c>
      <c r="AI43" s="256" t="n">
        <v>15587</v>
      </c>
      <c r="AJ43" s="256" t="n">
        <v>243400</v>
      </c>
    </row>
    <row r="44">
      <c r="A44" t="n">
        <v>16</v>
      </c>
      <c r="B44" t="n">
        <v>1</v>
      </c>
      <c r="G44" t="inlineStr">
        <is>
          <t>moeda</t>
        </is>
      </c>
      <c r="H44" t="inlineStr">
        <is>
          <t>Fleury BP: [nao existe] | Combinada BP: IRPJ e CSLL a compensar (l.14) [0 em 1Q20..1Q23 (13 per.): linha inexistente/vazia na fonte; total divulgado confirma]</t>
        </is>
      </c>
      <c r="J44" t="inlineStr">
        <is>
          <t>fonte</t>
        </is>
      </c>
      <c r="K44" s="256" t="n">
        <v>0</v>
      </c>
      <c r="L44" s="256" t="n">
        <v>0</v>
      </c>
      <c r="M44" s="256" t="n">
        <v>0</v>
      </c>
      <c r="N44" s="256" t="n">
        <v>0</v>
      </c>
      <c r="O44" s="256" t="n">
        <v>0</v>
      </c>
      <c r="P44" s="256" t="n">
        <v>0</v>
      </c>
      <c r="Q44" s="256" t="n">
        <v>0</v>
      </c>
      <c r="R44" s="256" t="n">
        <v>0</v>
      </c>
      <c r="S44" s="256" t="n">
        <v>0</v>
      </c>
      <c r="T44" s="256" t="n">
        <v>0</v>
      </c>
      <c r="U44" s="256" t="n">
        <v>0</v>
      </c>
      <c r="V44" s="256" t="n">
        <v>0</v>
      </c>
      <c r="W44" s="256" t="n">
        <v>0</v>
      </c>
      <c r="X44" s="256" t="n">
        <v>112671</v>
      </c>
      <c r="Y44" s="256" t="n">
        <v>91941</v>
      </c>
      <c r="Z44" s="256" t="n">
        <v>162486</v>
      </c>
      <c r="AA44" s="256" t="n">
        <v>174335</v>
      </c>
      <c r="AB44" s="256" t="n">
        <v>169898</v>
      </c>
      <c r="AC44" s="256" t="n">
        <v>153615</v>
      </c>
      <c r="AD44" s="256" t="n">
        <v>143242</v>
      </c>
      <c r="AE44" s="256" t="n">
        <v>164655</v>
      </c>
      <c r="AF44" s="256" t="n">
        <v>174606</v>
      </c>
      <c r="AG44" s="256" t="n">
        <v>181166</v>
      </c>
      <c r="AH44" s="256" t="n">
        <v>225290</v>
      </c>
      <c r="AI44" s="256" t="n">
        <v>204296</v>
      </c>
      <c r="AJ44" s="256" t="n">
        <v>0</v>
      </c>
    </row>
    <row r="45">
      <c r="A45" t="n">
        <v>16</v>
      </c>
      <c r="B45" t="n">
        <v>1</v>
      </c>
      <c r="G45" t="inlineStr">
        <is>
          <t>moeda</t>
        </is>
      </c>
      <c r="H45" t="inlineStr">
        <is>
          <t>Fleury BP: Créditos com Partes Relacionadas (l.17) | Combinada BP: Créditos com Partes Relacionadas AC (l.15)</t>
        </is>
      </c>
      <c r="J45" t="inlineStr">
        <is>
          <t>fonte</t>
        </is>
      </c>
      <c r="K45" s="256" t="n">
        <v>25.5</v>
      </c>
      <c r="L45" s="256" t="n">
        <v>25.5</v>
      </c>
      <c r="M45" s="256" t="n">
        <v>0</v>
      </c>
      <c r="N45" s="256" t="n">
        <v>0</v>
      </c>
      <c r="O45" s="256" t="n">
        <v>0</v>
      </c>
      <c r="P45" s="256" t="n">
        <v>0</v>
      </c>
      <c r="Q45" s="256" t="n">
        <v>0</v>
      </c>
      <c r="R45" s="256" t="n">
        <v>0</v>
      </c>
      <c r="S45" s="256" t="n">
        <v>0</v>
      </c>
      <c r="T45" s="256" t="n">
        <v>0</v>
      </c>
      <c r="U45" s="256" t="n">
        <v>0</v>
      </c>
      <c r="V45" s="256" t="n">
        <v>0</v>
      </c>
      <c r="W45" s="256" t="n">
        <v>0</v>
      </c>
      <c r="X45" s="256" t="n">
        <v>0</v>
      </c>
      <c r="Y45" s="256" t="n">
        <v>0</v>
      </c>
      <c r="Z45" s="256" t="n">
        <v>0</v>
      </c>
      <c r="AA45" s="256" t="n">
        <v>0</v>
      </c>
      <c r="AB45" s="256" t="n">
        <v>0</v>
      </c>
      <c r="AC45" s="256" t="n">
        <v>0</v>
      </c>
      <c r="AD45" s="256" t="n">
        <v>0</v>
      </c>
      <c r="AE45" s="256" t="n">
        <v>0</v>
      </c>
      <c r="AF45" s="256" t="n">
        <v>0</v>
      </c>
      <c r="AG45" s="256" t="n">
        <v>0</v>
      </c>
      <c r="AH45" s="256" t="n">
        <v>0</v>
      </c>
      <c r="AI45" s="256" t="n">
        <v>0</v>
      </c>
      <c r="AJ45" s="256" t="n">
        <v>0</v>
      </c>
    </row>
    <row r="46">
      <c r="A46" t="n">
        <v>16</v>
      </c>
      <c r="B46" t="n">
        <v>1</v>
      </c>
      <c r="G46" t="inlineStr">
        <is>
          <t>moeda</t>
        </is>
      </c>
      <c r="H46" t="inlineStr">
        <is>
          <t>Fleury BP: Instrumentos Financeiros Derivativos (l.20) | Combinada BP: Instrumentos Financeiros Derivativos AC (l.18)</t>
        </is>
      </c>
      <c r="J46" t="inlineStr">
        <is>
          <t>fonte</t>
        </is>
      </c>
      <c r="K46" s="256" t="n">
        <v>1527.55538</v>
      </c>
      <c r="L46" s="256" t="n">
        <v>896.27566</v>
      </c>
      <c r="M46" s="256" t="n">
        <v>365.71655</v>
      </c>
      <c r="N46" s="256" t="n">
        <v>0.39701</v>
      </c>
      <c r="O46" s="256" t="n">
        <v>215.78719</v>
      </c>
      <c r="P46" s="256" t="n">
        <v>0</v>
      </c>
      <c r="Q46" s="256" t="n">
        <v>276.29003</v>
      </c>
      <c r="R46" s="256" t="n">
        <v>68</v>
      </c>
      <c r="S46" s="256" t="n">
        <v>0</v>
      </c>
      <c r="T46" s="256" t="n">
        <v>192.94505</v>
      </c>
      <c r="U46" s="256" t="n">
        <v>275.56128</v>
      </c>
      <c r="V46" s="256" t="n">
        <v>0</v>
      </c>
      <c r="W46" s="256" t="n">
        <v>0</v>
      </c>
      <c r="X46" s="256" t="n">
        <v>0</v>
      </c>
      <c r="Y46" s="256" t="n">
        <v>0</v>
      </c>
      <c r="Z46" s="256" t="n">
        <v>0</v>
      </c>
      <c r="AA46" s="256" t="n">
        <v>0</v>
      </c>
      <c r="AB46" s="256" t="n">
        <v>0</v>
      </c>
      <c r="AC46" s="256" t="n">
        <v>0</v>
      </c>
      <c r="AD46" s="256" t="n">
        <v>0</v>
      </c>
      <c r="AE46" s="256" t="n">
        <v>0</v>
      </c>
      <c r="AF46" s="256" t="n">
        <v>0</v>
      </c>
      <c r="AG46" s="256" t="n">
        <v>0</v>
      </c>
      <c r="AH46" s="256" t="n">
        <v>0</v>
      </c>
      <c r="AI46" s="256" t="n">
        <v>0</v>
      </c>
      <c r="AJ46" s="256" t="n">
        <v>0</v>
      </c>
    </row>
    <row r="47">
      <c r="A47" t="n">
        <v>16</v>
      </c>
      <c r="B47" t="n">
        <v>1</v>
      </c>
      <c r="G47" t="inlineStr">
        <is>
          <t>moeda</t>
        </is>
      </c>
      <c r="H47" t="inlineStr">
        <is>
          <t>Fleury BP: Notas Promissórias a Receber (l.21) | Combinada BP: Notas Promissórias a Receber AC (l.19)</t>
        </is>
      </c>
      <c r="J47" t="inlineStr">
        <is>
          <t>fonte</t>
        </is>
      </c>
      <c r="K47" s="256" t="n">
        <v>0</v>
      </c>
      <c r="L47" s="256" t="n">
        <v>0</v>
      </c>
      <c r="M47" s="256" t="n">
        <v>0</v>
      </c>
      <c r="N47" s="256" t="n">
        <v>0</v>
      </c>
      <c r="O47" s="256" t="n">
        <v>0</v>
      </c>
      <c r="P47" s="256" t="n">
        <v>0</v>
      </c>
      <c r="Q47" s="256" t="n">
        <v>0</v>
      </c>
      <c r="R47" s="256" t="n">
        <v>0</v>
      </c>
      <c r="S47" s="256" t="n">
        <v>0</v>
      </c>
      <c r="T47" s="256" t="n">
        <v>0</v>
      </c>
      <c r="U47" s="256" t="n">
        <v>0</v>
      </c>
      <c r="V47" s="256" t="n">
        <v>0</v>
      </c>
      <c r="W47" s="256" t="n">
        <v>0</v>
      </c>
      <c r="X47" s="256" t="n">
        <v>0</v>
      </c>
      <c r="Y47" s="256" t="n">
        <v>0</v>
      </c>
      <c r="Z47" s="256" t="n">
        <v>0</v>
      </c>
      <c r="AA47" s="256" t="n">
        <v>0</v>
      </c>
      <c r="AB47" s="256" t="n">
        <v>0</v>
      </c>
      <c r="AC47" s="256" t="n">
        <v>0</v>
      </c>
      <c r="AD47" s="256" t="n">
        <v>0</v>
      </c>
      <c r="AE47" s="256" t="n">
        <v>0</v>
      </c>
      <c r="AF47" s="256" t="n">
        <v>0</v>
      </c>
      <c r="AG47" s="256" t="n">
        <v>0</v>
      </c>
      <c r="AH47" s="256" t="n">
        <v>0</v>
      </c>
      <c r="AI47" s="256" t="n">
        <v>0</v>
      </c>
      <c r="AJ47" s="256" t="n">
        <v>0</v>
      </c>
    </row>
    <row r="48">
      <c r="A48" t="n">
        <v>16</v>
      </c>
      <c r="B48" t="n">
        <v>1</v>
      </c>
      <c r="G48" t="inlineStr">
        <is>
          <t>moeda</t>
        </is>
      </c>
      <c r="H48" t="inlineStr">
        <is>
          <t>Fleury BP: Outros (l.22) | Combinada BP: Outros AC (l.20)</t>
        </is>
      </c>
      <c r="J48" t="inlineStr">
        <is>
          <t>fonte</t>
        </is>
      </c>
      <c r="K48" s="256" t="n">
        <v>8861.30658</v>
      </c>
      <c r="L48" s="256" t="n">
        <v>5672.802650000801</v>
      </c>
      <c r="M48" s="256" t="n">
        <v>13916.28393999697</v>
      </c>
      <c r="N48" s="256" t="n">
        <v>7491.005920000001</v>
      </c>
      <c r="O48" s="256" t="n">
        <v>3274.10394</v>
      </c>
      <c r="P48" s="256" t="n">
        <v>12138.58537</v>
      </c>
      <c r="Q48" s="256" t="n">
        <v>21942.54938</v>
      </c>
      <c r="R48" s="256" t="n">
        <v>44632.98687</v>
      </c>
      <c r="S48" s="256" t="n">
        <v>43298.30446</v>
      </c>
      <c r="T48" s="256" t="n">
        <v>44119.32575</v>
      </c>
      <c r="U48" s="256" t="n">
        <v>36069.81336</v>
      </c>
      <c r="V48" s="256" t="n">
        <v>36499</v>
      </c>
      <c r="W48" s="256" t="n">
        <v>33009</v>
      </c>
      <c r="X48" s="256" t="n">
        <v>77103</v>
      </c>
      <c r="Y48" s="256" t="n">
        <v>59173</v>
      </c>
      <c r="Z48" s="256" t="n">
        <v>56535</v>
      </c>
      <c r="AA48" s="256" t="n">
        <v>64503</v>
      </c>
      <c r="AB48" s="256" t="n">
        <v>79884</v>
      </c>
      <c r="AC48" s="256" t="n">
        <v>83678</v>
      </c>
      <c r="AD48" s="256" t="n">
        <v>79267</v>
      </c>
      <c r="AE48" s="256" t="n">
        <v>71019</v>
      </c>
      <c r="AF48" s="256" t="n">
        <v>78917</v>
      </c>
      <c r="AG48" s="256" t="n">
        <v>85544</v>
      </c>
      <c r="AH48" s="256" t="n">
        <v>83053</v>
      </c>
      <c r="AI48" s="256" t="n">
        <v>123563</v>
      </c>
      <c r="AJ48" s="256" t="n">
        <v>145076</v>
      </c>
    </row>
    <row r="49">
      <c r="A49" t="n">
        <v>16</v>
      </c>
      <c r="B49" t="n">
        <v>1</v>
      </c>
      <c r="G49" t="inlineStr">
        <is>
          <t>moeda</t>
        </is>
      </c>
      <c r="H49" t="inlineStr">
        <is>
          <t>Fleury BP: Ativos Mantidos para Venda (l.23) | Combinada BP: Ativos Mantidos para Venda AC (l.21)</t>
        </is>
      </c>
      <c r="J49" t="inlineStr">
        <is>
          <t>fonte</t>
        </is>
      </c>
      <c r="K49" s="256" t="n">
        <v>0</v>
      </c>
      <c r="L49" s="256" t="n">
        <v>0</v>
      </c>
      <c r="M49" s="256" t="n">
        <v>0</v>
      </c>
      <c r="N49" s="256" t="n">
        <v>0</v>
      </c>
      <c r="O49" s="256" t="n">
        <v>0</v>
      </c>
      <c r="P49" s="256" t="n">
        <v>0</v>
      </c>
      <c r="Q49" s="256" t="n">
        <v>0</v>
      </c>
      <c r="R49" s="256" t="n">
        <v>0</v>
      </c>
      <c r="S49" s="256" t="n">
        <v>0</v>
      </c>
      <c r="T49" s="256" t="n">
        <v>0</v>
      </c>
      <c r="U49" s="256" t="n">
        <v>0</v>
      </c>
      <c r="V49" s="256" t="n">
        <v>14968.06325</v>
      </c>
      <c r="W49" s="256" t="n">
        <v>0</v>
      </c>
      <c r="X49" s="256" t="n">
        <v>0</v>
      </c>
      <c r="Y49" s="256" t="n">
        <v>0</v>
      </c>
      <c r="Z49" s="256" t="n">
        <v>0</v>
      </c>
      <c r="AA49" s="256" t="n">
        <v>0</v>
      </c>
      <c r="AB49" s="256" t="n">
        <v>0</v>
      </c>
      <c r="AC49" s="256" t="n">
        <v>0</v>
      </c>
      <c r="AD49" s="256" t="n">
        <v>0</v>
      </c>
      <c r="AE49" s="256" t="n">
        <v>0</v>
      </c>
      <c r="AF49" s="256" t="n">
        <v>0</v>
      </c>
      <c r="AG49" s="256" t="n">
        <v>0</v>
      </c>
      <c r="AH49" s="256" t="n">
        <v>0</v>
      </c>
      <c r="AI49" s="256" t="n">
        <v>0</v>
      </c>
      <c r="AJ49" s="256" t="n">
        <v>0</v>
      </c>
    </row>
    <row r="50">
      <c r="A50" t="n">
        <v>22</v>
      </c>
      <c r="B50" t="n">
        <v>1</v>
      </c>
      <c r="G50" t="inlineStr">
        <is>
          <t>moeda</t>
        </is>
      </c>
      <c r="H50" t="inlineStr">
        <is>
          <t>Fleury BP: Partes Relacionadas (l.28) | Combinada BP: Partes Relacionadas ANC (l.26)</t>
        </is>
      </c>
      <c r="J50" t="inlineStr">
        <is>
          <t>fonte</t>
        </is>
      </c>
      <c r="K50" s="256" t="n">
        <v>0</v>
      </c>
      <c r="L50" s="256" t="n">
        <v>0</v>
      </c>
      <c r="M50" s="256" t="n">
        <v>0</v>
      </c>
      <c r="N50" s="256" t="n">
        <v>0.09265000000002328</v>
      </c>
      <c r="O50" s="256" t="n">
        <v>0.09265000000000001</v>
      </c>
      <c r="P50" s="256" t="n">
        <v>0.09265000000000001</v>
      </c>
      <c r="Q50" s="256" t="n">
        <v>0.09265000000000001</v>
      </c>
      <c r="R50" s="256" t="n">
        <v>0</v>
      </c>
      <c r="S50" s="256" t="n">
        <v>0</v>
      </c>
      <c r="T50" s="256" t="n">
        <v>55</v>
      </c>
      <c r="U50" s="256" t="n">
        <v>55</v>
      </c>
      <c r="V50" s="256" t="n">
        <v>0</v>
      </c>
      <c r="W50" s="256" t="n">
        <v>0</v>
      </c>
      <c r="X50" s="256" t="n">
        <v>0</v>
      </c>
      <c r="Y50" s="256" t="n">
        <v>0</v>
      </c>
      <c r="Z50" s="256" t="n">
        <v>0</v>
      </c>
      <c r="AA50" s="256" t="n">
        <v>0</v>
      </c>
      <c r="AB50" s="256" t="n">
        <v>0</v>
      </c>
      <c r="AC50" s="256" t="n">
        <v>0</v>
      </c>
      <c r="AD50" s="256" t="n">
        <v>0</v>
      </c>
      <c r="AE50" s="256" t="n">
        <v>0</v>
      </c>
      <c r="AF50" s="256" t="n">
        <v>0</v>
      </c>
      <c r="AG50" s="256" t="n">
        <v>0</v>
      </c>
      <c r="AH50" s="256" t="n">
        <v>0</v>
      </c>
      <c r="AI50" s="256" t="n">
        <v>0</v>
      </c>
      <c r="AJ50" s="256" t="n">
        <v>0</v>
      </c>
    </row>
    <row r="51">
      <c r="A51" t="n">
        <v>22</v>
      </c>
      <c r="B51" t="n">
        <v>1</v>
      </c>
      <c r="G51" t="inlineStr">
        <is>
          <t>moeda</t>
        </is>
      </c>
      <c r="H51" t="inlineStr">
        <is>
          <t>Fleury BP: Contas a Receber (l.29) | Combinada BP: Contas a Receber ANC (l.27)</t>
        </is>
      </c>
      <c r="J51" t="inlineStr">
        <is>
          <t>fonte</t>
        </is>
      </c>
      <c r="K51" s="256" t="n">
        <v>0</v>
      </c>
      <c r="L51" s="256" t="n">
        <v>0</v>
      </c>
      <c r="M51" s="256" t="n">
        <v>0</v>
      </c>
      <c r="N51" s="256" t="n">
        <v>0</v>
      </c>
      <c r="O51" s="256" t="n">
        <v>0</v>
      </c>
      <c r="P51" s="256" t="n">
        <v>0</v>
      </c>
      <c r="Q51" s="256" t="n">
        <v>0</v>
      </c>
      <c r="R51" s="256" t="n">
        <v>0</v>
      </c>
      <c r="S51" s="256" t="n">
        <v>0</v>
      </c>
      <c r="T51" s="256" t="n">
        <v>0</v>
      </c>
      <c r="U51" s="256" t="n">
        <v>0</v>
      </c>
      <c r="V51" s="256" t="n">
        <v>0</v>
      </c>
      <c r="W51" s="256" t="n">
        <v>0</v>
      </c>
      <c r="X51" s="256" t="n">
        <v>3060</v>
      </c>
      <c r="Y51" s="256" t="n">
        <v>2774</v>
      </c>
      <c r="Z51" s="256" t="n">
        <v>2548</v>
      </c>
      <c r="AA51" s="256" t="n">
        <v>2818</v>
      </c>
      <c r="AB51" s="256" t="n">
        <v>2764</v>
      </c>
      <c r="AC51" s="256" t="n">
        <v>2416</v>
      </c>
      <c r="AD51" s="256" t="n">
        <v>3786</v>
      </c>
      <c r="AE51" s="256" t="n">
        <v>2137</v>
      </c>
      <c r="AF51" s="256" t="n">
        <v>2072</v>
      </c>
      <c r="AG51" s="256" t="n">
        <v>1826</v>
      </c>
      <c r="AH51" s="256" t="n">
        <v>9532</v>
      </c>
      <c r="AI51" s="256" t="n">
        <v>7242</v>
      </c>
      <c r="AJ51" s="256" t="n">
        <v>4742</v>
      </c>
    </row>
    <row r="52">
      <c r="A52" t="n">
        <v>22</v>
      </c>
      <c r="B52" t="n">
        <v>1</v>
      </c>
      <c r="G52" t="inlineStr">
        <is>
          <t>moeda</t>
        </is>
      </c>
      <c r="H52" t="inlineStr">
        <is>
          <t>Fleury BP: Instrumentos Financeiros e Derivativos (l.30) | Combinada BP: Instrumentos Financeiros e Derivativos ANC (l.28)</t>
        </is>
      </c>
      <c r="J52" t="inlineStr">
        <is>
          <t>fonte</t>
        </is>
      </c>
      <c r="K52" s="256" t="n">
        <v>0</v>
      </c>
      <c r="L52" s="256" t="n">
        <v>0</v>
      </c>
      <c r="M52" s="256" t="n">
        <v>0</v>
      </c>
      <c r="N52" s="256" t="n">
        <v>0</v>
      </c>
      <c r="O52" s="256" t="n">
        <v>0</v>
      </c>
      <c r="P52" s="256" t="n">
        <v>0</v>
      </c>
      <c r="Q52" s="256" t="n">
        <v>0</v>
      </c>
      <c r="R52" s="256" t="n">
        <v>0</v>
      </c>
      <c r="S52" s="256" t="n">
        <v>0</v>
      </c>
      <c r="T52" s="256" t="n">
        <v>0</v>
      </c>
      <c r="U52" s="256" t="n">
        <v>0</v>
      </c>
      <c r="V52" s="256" t="n">
        <v>0</v>
      </c>
      <c r="W52" s="256" t="n">
        <v>0</v>
      </c>
      <c r="X52" s="256" t="n">
        <v>0</v>
      </c>
      <c r="Y52" s="256" t="n">
        <v>0</v>
      </c>
      <c r="Z52" s="256" t="n">
        <v>0</v>
      </c>
      <c r="AA52" s="256" t="n">
        <v>0</v>
      </c>
      <c r="AB52" s="256" t="n">
        <v>0</v>
      </c>
      <c r="AC52" s="256" t="n">
        <v>0</v>
      </c>
      <c r="AD52" s="256" t="n">
        <v>0</v>
      </c>
      <c r="AE52" s="256" t="n">
        <v>0</v>
      </c>
      <c r="AF52" s="256" t="n">
        <v>0</v>
      </c>
      <c r="AG52" s="256" t="n">
        <v>0</v>
      </c>
      <c r="AH52" s="256" t="n">
        <v>0</v>
      </c>
      <c r="AI52" s="256" t="n">
        <v>0</v>
      </c>
      <c r="AJ52" s="256" t="n">
        <v>0</v>
      </c>
    </row>
    <row r="53">
      <c r="A53" t="n">
        <v>22</v>
      </c>
      <c r="B53" t="n">
        <v>1</v>
      </c>
      <c r="G53" t="inlineStr">
        <is>
          <t>moeda</t>
        </is>
      </c>
      <c r="H53" t="inlineStr">
        <is>
          <t>Fleury BP: Impostos a Recuperar (l.31) | Combinada BP: Impostos a Recuperar ANC (l.29)</t>
        </is>
      </c>
      <c r="J53" t="inlineStr">
        <is>
          <t>fonte</t>
        </is>
      </c>
      <c r="K53" s="256" t="n">
        <v>0</v>
      </c>
      <c r="L53" s="256" t="n">
        <v>0</v>
      </c>
      <c r="M53" s="256" t="n">
        <v>0</v>
      </c>
      <c r="N53" s="256" t="n">
        <v>0</v>
      </c>
      <c r="O53" s="256" t="n">
        <v>0</v>
      </c>
      <c r="P53" s="256" t="n">
        <v>0</v>
      </c>
      <c r="Q53" s="256" t="n">
        <v>0</v>
      </c>
      <c r="R53" s="256" t="n">
        <v>0</v>
      </c>
      <c r="S53" s="256" t="n">
        <v>0</v>
      </c>
      <c r="T53" s="256" t="n">
        <v>0</v>
      </c>
      <c r="U53" s="256" t="n">
        <v>0</v>
      </c>
      <c r="V53" s="256" t="n">
        <v>0</v>
      </c>
      <c r="W53" s="256" t="n">
        <v>0</v>
      </c>
      <c r="X53" s="256" t="n">
        <v>0</v>
      </c>
      <c r="Y53" s="256" t="n">
        <v>0</v>
      </c>
      <c r="Z53" s="256" t="n">
        <v>0</v>
      </c>
      <c r="AA53" s="256" t="n">
        <v>0</v>
      </c>
      <c r="AB53" s="256" t="n">
        <v>0</v>
      </c>
      <c r="AC53" s="256" t="n">
        <v>0</v>
      </c>
      <c r="AD53" s="256" t="n">
        <v>7509</v>
      </c>
      <c r="AE53" s="256" t="n">
        <v>4332</v>
      </c>
      <c r="AF53" s="256" t="n">
        <v>4457</v>
      </c>
      <c r="AG53" s="256" t="n">
        <v>8722</v>
      </c>
      <c r="AH53" s="256" t="n">
        <v>1989</v>
      </c>
      <c r="AI53" s="256" t="n">
        <v>1989</v>
      </c>
      <c r="AJ53" s="256" t="n">
        <v>8754</v>
      </c>
    </row>
    <row r="54">
      <c r="A54" t="n">
        <v>22</v>
      </c>
      <c r="B54" t="n">
        <v>1</v>
      </c>
      <c r="G54" t="inlineStr">
        <is>
          <t>moeda</t>
        </is>
      </c>
      <c r="H54" t="inlineStr">
        <is>
          <t>Fleury BP: [nao existe] | Combinada BP: IRPJ e CSLL a compensar ANC (l.30) [0 em 1Q20..1Q23 (13 per.): linha inexistente/vazia na fonte; total divulgado confirma]</t>
        </is>
      </c>
      <c r="J54" t="inlineStr">
        <is>
          <t>fonte</t>
        </is>
      </c>
      <c r="K54" s="256" t="n">
        <v>0</v>
      </c>
      <c r="L54" s="256" t="n">
        <v>0</v>
      </c>
      <c r="M54" s="256" t="n">
        <v>0</v>
      </c>
      <c r="N54" s="256" t="n">
        <v>0</v>
      </c>
      <c r="O54" s="256" t="n">
        <v>0</v>
      </c>
      <c r="P54" s="256" t="n">
        <v>0</v>
      </c>
      <c r="Q54" s="256" t="n">
        <v>0</v>
      </c>
      <c r="R54" s="256" t="n">
        <v>0</v>
      </c>
      <c r="S54" s="256" t="n">
        <v>0</v>
      </c>
      <c r="T54" s="256" t="n">
        <v>0</v>
      </c>
      <c r="U54" s="256" t="n">
        <v>0</v>
      </c>
      <c r="V54" s="256" t="n">
        <v>0</v>
      </c>
      <c r="W54" s="256" t="n">
        <v>0</v>
      </c>
      <c r="X54" s="256" t="n">
        <v>0</v>
      </c>
      <c r="Y54" s="256" t="n">
        <v>0</v>
      </c>
      <c r="Z54" s="256" t="n">
        <v>0</v>
      </c>
      <c r="AA54" s="256" t="n">
        <v>0</v>
      </c>
      <c r="AB54" s="256" t="n">
        <v>0</v>
      </c>
      <c r="AC54" s="256" t="n">
        <v>0</v>
      </c>
      <c r="AD54" s="256" t="n">
        <v>18341</v>
      </c>
      <c r="AE54" s="256" t="n">
        <v>12276</v>
      </c>
      <c r="AF54" s="256" t="n">
        <v>9671</v>
      </c>
      <c r="AG54" s="256" t="n">
        <v>4670</v>
      </c>
      <c r="AH54" s="256" t="n">
        <v>7956</v>
      </c>
      <c r="AI54" s="256" t="n">
        <v>7646</v>
      </c>
      <c r="AJ54" s="256" t="n">
        <v>0</v>
      </c>
    </row>
    <row r="55">
      <c r="A55" t="n">
        <v>22</v>
      </c>
      <c r="B55" t="n">
        <v>1</v>
      </c>
      <c r="G55" t="inlineStr">
        <is>
          <t>moeda</t>
        </is>
      </c>
      <c r="H55" t="inlineStr">
        <is>
          <t>Fleury BP: Depósitos Judiciais (l.32) | Combinada BP: Depósitos Judiciais ANC (l.31)</t>
        </is>
      </c>
      <c r="J55" t="inlineStr">
        <is>
          <t>fonte</t>
        </is>
      </c>
      <c r="K55" s="256" t="n">
        <v>43449.47013999999</v>
      </c>
      <c r="L55" s="256" t="n">
        <v>40994.98778</v>
      </c>
      <c r="M55" s="256" t="n">
        <v>38208.27623</v>
      </c>
      <c r="N55" s="256" t="n">
        <v>24987.65357</v>
      </c>
      <c r="O55" s="256" t="n">
        <v>23550.96251</v>
      </c>
      <c r="P55" s="256" t="n">
        <v>23710.98661</v>
      </c>
      <c r="Q55" s="256" t="n">
        <v>23716.08139</v>
      </c>
      <c r="R55" s="256" t="n">
        <v>24009.03879</v>
      </c>
      <c r="S55" s="256" t="n">
        <v>24082.69692</v>
      </c>
      <c r="T55" s="256" t="n">
        <v>25976.73505</v>
      </c>
      <c r="U55" s="256" t="n">
        <v>22524.50943</v>
      </c>
      <c r="V55" s="256" t="n">
        <v>24160.16329</v>
      </c>
      <c r="W55" s="256" t="n">
        <v>24463.64082</v>
      </c>
      <c r="X55" s="256" t="n">
        <v>25124</v>
      </c>
      <c r="Y55" s="256" t="n">
        <v>25461</v>
      </c>
      <c r="Z55" s="256" t="n">
        <v>25856</v>
      </c>
      <c r="AA55" s="256" t="n">
        <v>25755</v>
      </c>
      <c r="AB55" s="256" t="n">
        <v>27021</v>
      </c>
      <c r="AC55" s="256" t="n">
        <v>27745</v>
      </c>
      <c r="AD55" s="256" t="n">
        <v>27605</v>
      </c>
      <c r="AE55" s="256" t="n">
        <v>28193.094</v>
      </c>
      <c r="AF55" s="256" t="n">
        <v>28171</v>
      </c>
      <c r="AG55" s="256" t="n">
        <v>21142</v>
      </c>
      <c r="AH55" s="256" t="n">
        <v>19488</v>
      </c>
      <c r="AI55" s="256" t="n">
        <v>23546</v>
      </c>
      <c r="AJ55" s="256" t="n">
        <v>13274</v>
      </c>
    </row>
    <row r="56">
      <c r="A56" t="n">
        <v>14</v>
      </c>
      <c r="B56" t="n">
        <v>1</v>
      </c>
      <c r="G56" t="inlineStr">
        <is>
          <t>moeda</t>
        </is>
      </c>
      <c r="H56" t="inlineStr">
        <is>
          <t>Fleury BP: Imposto de Renda e Contribuição Social Diferidos (l.33) | Combinada BP: Imposto de Renda e Contribuição Social Diferidos ANC (l.32)</t>
        </is>
      </c>
      <c r="J56" t="inlineStr">
        <is>
          <t>fonte</t>
        </is>
      </c>
      <c r="K56" s="256" t="n">
        <v>12527.4</v>
      </c>
      <c r="L56" s="256" t="n">
        <v>80027.39699000001</v>
      </c>
      <c r="M56" s="256" t="n">
        <v>66319.49782999999</v>
      </c>
      <c r="N56" s="256" t="n">
        <v>75956.58545</v>
      </c>
      <c r="O56" s="256" t="n">
        <v>90948.27093000001</v>
      </c>
      <c r="P56" s="256" t="n">
        <v>107554.30088</v>
      </c>
      <c r="Q56" s="256" t="n">
        <v>115092.37981</v>
      </c>
      <c r="R56" s="256" t="n">
        <v>25195</v>
      </c>
      <c r="S56" s="256" t="n">
        <v>37190.35428</v>
      </c>
      <c r="T56" s="256" t="n">
        <v>150814.6551</v>
      </c>
      <c r="U56" s="256" t="n">
        <v>177408.78868</v>
      </c>
      <c r="V56" s="256" t="n">
        <v>48624.33562000001</v>
      </c>
      <c r="W56" s="256" t="n">
        <v>53225.83053</v>
      </c>
      <c r="X56" s="256" t="n">
        <v>55901</v>
      </c>
      <c r="Y56" s="256" t="n">
        <v>29695</v>
      </c>
      <c r="Z56" s="256" t="n">
        <v>34356</v>
      </c>
      <c r="AA56" s="256" t="n">
        <v>34109</v>
      </c>
      <c r="AB56" s="256" t="n">
        <v>37285</v>
      </c>
      <c r="AC56" s="256" t="n">
        <v>37378</v>
      </c>
      <c r="AD56" s="256" t="n">
        <v>20478</v>
      </c>
      <c r="AE56" s="256" t="n">
        <v>21879.454</v>
      </c>
      <c r="AF56" s="256" t="n">
        <v>11582</v>
      </c>
      <c r="AG56" s="256" t="n">
        <v>12011</v>
      </c>
      <c r="AH56" s="256" t="n">
        <v>11058</v>
      </c>
      <c r="AI56" s="256" t="n">
        <v>8430</v>
      </c>
      <c r="AJ56" s="256" t="n">
        <v>10269</v>
      </c>
    </row>
    <row r="57">
      <c r="A57" t="n">
        <v>11</v>
      </c>
      <c r="B57" t="n">
        <v>1</v>
      </c>
      <c r="G57" t="inlineStr">
        <is>
          <t>moeda</t>
        </is>
      </c>
      <c r="H57" t="inlineStr">
        <is>
          <t>Fleury BP: Títulos e Valores Mobiliários (l.34) | Combinada BP: Títulos e Valores Mobiliários ANC (l.33)</t>
        </is>
      </c>
      <c r="J57" t="inlineStr">
        <is>
          <t>fonte</t>
        </is>
      </c>
      <c r="K57" s="256" t="n">
        <v>74177.55168</v>
      </c>
      <c r="L57" s="256" t="n">
        <v>69063.11603</v>
      </c>
      <c r="M57" s="256" t="n">
        <v>69364.59717000001</v>
      </c>
      <c r="N57" s="256" t="n">
        <v>69615.28981</v>
      </c>
      <c r="O57" s="256" t="n">
        <v>62321.01314</v>
      </c>
      <c r="P57" s="256" t="n">
        <v>65806.95767</v>
      </c>
      <c r="Q57" s="256" t="n">
        <v>63468.1401</v>
      </c>
      <c r="R57" s="256" t="n">
        <v>64332.43307</v>
      </c>
      <c r="S57" s="256" t="n">
        <v>58222.85381</v>
      </c>
      <c r="T57" s="256" t="n">
        <v>59482.62243000001</v>
      </c>
      <c r="U57" s="256" t="n">
        <v>118621.2204</v>
      </c>
      <c r="V57" s="256" t="n">
        <v>121641.19098</v>
      </c>
      <c r="W57" s="256" t="n">
        <v>117732.96032</v>
      </c>
      <c r="X57" s="256" t="n">
        <v>117963</v>
      </c>
      <c r="Y57" s="256" t="n">
        <v>121674</v>
      </c>
      <c r="Z57" s="256" t="n">
        <v>133482</v>
      </c>
      <c r="AA57" s="256" t="n">
        <v>136647</v>
      </c>
      <c r="AB57" s="256" t="n">
        <v>122887</v>
      </c>
      <c r="AC57" s="256" t="n">
        <v>102219</v>
      </c>
      <c r="AD57" s="256" t="n">
        <v>104218</v>
      </c>
      <c r="AE57" s="256" t="n">
        <v>84732.284</v>
      </c>
      <c r="AF57" s="256" t="n">
        <v>106180</v>
      </c>
      <c r="AG57" s="256" t="n">
        <v>109787</v>
      </c>
      <c r="AH57" s="256" t="n">
        <v>112622</v>
      </c>
      <c r="AI57" s="256" t="n">
        <v>116348</v>
      </c>
      <c r="AJ57" s="256" t="n">
        <v>138544</v>
      </c>
    </row>
    <row r="58">
      <c r="A58" t="n">
        <v>22</v>
      </c>
      <c r="B58" t="n">
        <v>1</v>
      </c>
      <c r="G58" t="inlineStr">
        <is>
          <t>moeda</t>
        </is>
      </c>
      <c r="H58" t="inlineStr">
        <is>
          <t>Fleury BP: Notas Promissórias a Receber (l.35) | Combinada BP: Notas Promissórias a Receber ANC (l.34)</t>
        </is>
      </c>
      <c r="J58" t="inlineStr">
        <is>
          <t>fonte</t>
        </is>
      </c>
      <c r="K58" s="256" t="n">
        <v>0</v>
      </c>
      <c r="L58" s="256" t="n">
        <v>0</v>
      </c>
      <c r="M58" s="256" t="n">
        <v>0</v>
      </c>
      <c r="N58" s="256" t="n">
        <v>0</v>
      </c>
      <c r="O58" s="256" t="n">
        <v>0</v>
      </c>
      <c r="P58" s="256" t="n">
        <v>0</v>
      </c>
      <c r="Q58" s="256" t="n">
        <v>0</v>
      </c>
      <c r="R58" s="256" t="n">
        <v>0</v>
      </c>
      <c r="S58" s="256" t="n">
        <v>0</v>
      </c>
      <c r="T58" s="256" t="n">
        <v>0</v>
      </c>
      <c r="U58" s="256" t="n">
        <v>0</v>
      </c>
      <c r="V58" s="256" t="n">
        <v>0</v>
      </c>
      <c r="W58" s="256" t="n">
        <v>0</v>
      </c>
      <c r="X58" s="256" t="n">
        <v>0</v>
      </c>
      <c r="Y58" s="256" t="n">
        <v>0</v>
      </c>
      <c r="Z58" s="256" t="n">
        <v>0</v>
      </c>
      <c r="AA58" s="256" t="n">
        <v>0</v>
      </c>
      <c r="AB58" s="256" t="n">
        <v>0</v>
      </c>
      <c r="AC58" s="256" t="n">
        <v>0</v>
      </c>
      <c r="AD58" s="256" t="n">
        <v>0</v>
      </c>
      <c r="AE58" s="256" t="n">
        <v>0</v>
      </c>
      <c r="AF58" s="256" t="n">
        <v>0</v>
      </c>
      <c r="AG58" s="256" t="n">
        <v>0</v>
      </c>
      <c r="AH58" s="256" t="n">
        <v>0</v>
      </c>
      <c r="AI58" s="256" t="n">
        <v>0</v>
      </c>
      <c r="AJ58" s="256" t="n">
        <v>0</v>
      </c>
    </row>
    <row r="59">
      <c r="A59" t="n">
        <v>22</v>
      </c>
      <c r="B59" t="n">
        <v>1</v>
      </c>
      <c r="G59" t="inlineStr">
        <is>
          <t>moeda</t>
        </is>
      </c>
      <c r="H59" t="inlineStr">
        <is>
          <t>Fleury BP: Créditos a Receber (l.36) | Combinada BP: Créditos a Receber ANC (l.35)</t>
        </is>
      </c>
      <c r="J59" t="inlineStr">
        <is>
          <t>fonte</t>
        </is>
      </c>
      <c r="K59" s="256" t="n">
        <v>0</v>
      </c>
      <c r="L59" s="256" t="n">
        <v>0</v>
      </c>
      <c r="M59" s="256" t="n">
        <v>0</v>
      </c>
      <c r="N59" s="256" t="n">
        <v>0</v>
      </c>
      <c r="O59" s="256" t="n">
        <v>0</v>
      </c>
      <c r="P59" s="256" t="n">
        <v>0</v>
      </c>
      <c r="Q59" s="256" t="n">
        <v>0</v>
      </c>
      <c r="R59" s="256" t="n">
        <v>0</v>
      </c>
      <c r="S59" s="256" t="n">
        <v>0</v>
      </c>
      <c r="T59" s="256" t="n">
        <v>0</v>
      </c>
      <c r="U59" s="256" t="n">
        <v>0</v>
      </c>
      <c r="V59" s="256" t="n">
        <v>0</v>
      </c>
      <c r="W59" s="256" t="n">
        <v>0</v>
      </c>
      <c r="X59" s="256" t="n">
        <v>0</v>
      </c>
      <c r="Y59" s="256" t="n">
        <v>0</v>
      </c>
      <c r="Z59" s="256" t="n">
        <v>0</v>
      </c>
      <c r="AA59" s="256" t="n">
        <v>0</v>
      </c>
      <c r="AB59" s="256" t="n">
        <v>0</v>
      </c>
      <c r="AC59" s="256" t="n">
        <v>0</v>
      </c>
      <c r="AD59" s="256" t="n">
        <v>0</v>
      </c>
      <c r="AE59" s="256" t="n">
        <v>0</v>
      </c>
      <c r="AF59" s="256" t="n">
        <v>0</v>
      </c>
      <c r="AG59" s="256" t="n">
        <v>0</v>
      </c>
      <c r="AH59" s="256" t="n">
        <v>0</v>
      </c>
      <c r="AI59" s="256" t="n">
        <v>0</v>
      </c>
      <c r="AJ59" s="256" t="n">
        <v>0</v>
      </c>
    </row>
    <row r="60">
      <c r="A60" t="n">
        <v>22</v>
      </c>
      <c r="B60" t="n">
        <v>1</v>
      </c>
      <c r="G60" t="inlineStr">
        <is>
          <t>moeda</t>
        </is>
      </c>
      <c r="H60" t="inlineStr">
        <is>
          <t>Fleury BP: Outros (l.37) | Combinada BP: Outros ANC (l.36)</t>
        </is>
      </c>
      <c r="J60" t="inlineStr">
        <is>
          <t>fonte</t>
        </is>
      </c>
      <c r="K60" s="256" t="n">
        <v>22373.36947</v>
      </c>
      <c r="L60" s="256" t="n">
        <v>32452.19305</v>
      </c>
      <c r="M60" s="256" t="n">
        <v>35210.69584</v>
      </c>
      <c r="N60" s="256" t="n">
        <v>33086.19531</v>
      </c>
      <c r="O60" s="256" t="n">
        <v>34155.33648000001</v>
      </c>
      <c r="P60" s="256" t="n">
        <v>23171.37982</v>
      </c>
      <c r="Q60" s="256" t="n">
        <v>22045.41792</v>
      </c>
      <c r="R60" s="256" t="n">
        <v>22887.00975</v>
      </c>
      <c r="S60" s="256" t="n">
        <v>22259.78494000001</v>
      </c>
      <c r="T60" s="256" t="n">
        <v>22628.77166</v>
      </c>
      <c r="U60" s="256" t="n">
        <v>27560.23659</v>
      </c>
      <c r="V60" s="256" t="n">
        <v>53764.87079</v>
      </c>
      <c r="W60" s="256" t="n">
        <v>52962.86515</v>
      </c>
      <c r="X60" s="256" t="n">
        <v>52053</v>
      </c>
      <c r="Y60" s="256" t="n">
        <v>56851</v>
      </c>
      <c r="Z60" s="256" t="n">
        <v>47557</v>
      </c>
      <c r="AA60" s="256" t="n">
        <v>49312</v>
      </c>
      <c r="AB60" s="256" t="n">
        <v>45715</v>
      </c>
      <c r="AC60" s="256" t="n">
        <v>44595</v>
      </c>
      <c r="AD60" s="256" t="n">
        <v>45529</v>
      </c>
      <c r="AE60" s="256" t="n">
        <v>43041</v>
      </c>
      <c r="AF60" s="256" t="n">
        <v>39806</v>
      </c>
      <c r="AG60" s="256" t="n">
        <v>46281</v>
      </c>
      <c r="AH60" s="256" t="n">
        <v>67116</v>
      </c>
      <c r="AI60" s="256" t="n">
        <v>64134</v>
      </c>
      <c r="AJ60" s="256" t="n">
        <v>61144</v>
      </c>
    </row>
    <row r="61">
      <c r="A61" t="n">
        <v>17</v>
      </c>
      <c r="B61" t="n">
        <v>1</v>
      </c>
      <c r="G61" t="inlineStr">
        <is>
          <t>moeda</t>
        </is>
      </c>
      <c r="H61" t="inlineStr">
        <is>
          <t>Fleury BP: Investimentos (l.41) | Combinada BP: Investimentos (l.40)</t>
        </is>
      </c>
      <c r="J61" t="inlineStr">
        <is>
          <t>fonte</t>
        </is>
      </c>
      <c r="K61" s="256" t="n">
        <v>17569.54898610083</v>
      </c>
      <c r="L61" s="256" t="n">
        <v>18074.20442363359</v>
      </c>
      <c r="M61" s="256" t="n">
        <v>23160.0065860319</v>
      </c>
      <c r="N61" s="256" t="n">
        <v>34372.09428281728</v>
      </c>
      <c r="O61" s="256" t="n">
        <v>33930.90881960276</v>
      </c>
      <c r="P61" s="256" t="n">
        <v>135736.9472852871</v>
      </c>
      <c r="Q61" s="256" t="n">
        <v>355250.406008409</v>
      </c>
      <c r="R61" s="256" t="n">
        <v>43083.21583023194</v>
      </c>
      <c r="S61" s="256" t="n">
        <v>40549.80504227636</v>
      </c>
      <c r="T61" s="256" t="n">
        <v>42331.65616282099</v>
      </c>
      <c r="U61" s="256" t="n">
        <v>52560.45319</v>
      </c>
      <c r="V61" s="256" t="n">
        <v>44080.2310958267</v>
      </c>
      <c r="W61" s="256" t="n">
        <v>56872.44029999999</v>
      </c>
      <c r="X61" s="256" t="n">
        <v>66428</v>
      </c>
      <c r="Y61" s="256" t="n">
        <v>68260</v>
      </c>
      <c r="Z61" s="256" t="n">
        <v>81519</v>
      </c>
      <c r="AA61" s="256" t="n">
        <v>69005</v>
      </c>
      <c r="AB61" s="256" t="n">
        <v>93409</v>
      </c>
      <c r="AC61" s="256" t="n">
        <v>100357</v>
      </c>
      <c r="AD61" s="256" t="n">
        <v>81910</v>
      </c>
      <c r="AE61" s="256" t="n">
        <v>102201.544</v>
      </c>
      <c r="AF61" s="256" t="n">
        <v>241834</v>
      </c>
      <c r="AG61" s="256" t="n">
        <v>109652</v>
      </c>
      <c r="AH61" s="256" t="n">
        <v>111772</v>
      </c>
      <c r="AI61" s="256" t="n">
        <v>105850</v>
      </c>
      <c r="AJ61" s="256" t="n">
        <v>169324</v>
      </c>
    </row>
    <row r="62">
      <c r="A62" t="n">
        <v>18</v>
      </c>
      <c r="B62" t="n">
        <v>1</v>
      </c>
      <c r="G62" t="inlineStr">
        <is>
          <t>moeda</t>
        </is>
      </c>
      <c r="H62" t="inlineStr">
        <is>
          <t>Fleury BP: Imobilizado (l.42) | Combinada BP: Imobilizado (l.41)</t>
        </is>
      </c>
      <c r="J62" t="inlineStr">
        <is>
          <t>fonte</t>
        </is>
      </c>
      <c r="K62" s="256" t="n">
        <v>754229.6363023134</v>
      </c>
      <c r="L62" s="256" t="n">
        <v>738340.8212933164</v>
      </c>
      <c r="M62" s="256" t="n">
        <v>707742.4608929002</v>
      </c>
      <c r="N62" s="256" t="n">
        <v>708768.6485624847</v>
      </c>
      <c r="O62" s="256" t="n">
        <v>690647.7073320694</v>
      </c>
      <c r="P62" s="256" t="n">
        <v>707228.0951266824</v>
      </c>
      <c r="Q62" s="256" t="n">
        <v>720527.8618934545</v>
      </c>
      <c r="R62" s="256" t="n">
        <v>814406.7489844239</v>
      </c>
      <c r="S62" s="256" t="n">
        <v>800795.1610264824</v>
      </c>
      <c r="T62" s="256" t="n">
        <v>825129.2118773529</v>
      </c>
      <c r="U62" s="256" t="n">
        <v>874141.40573</v>
      </c>
      <c r="V62" s="256" t="n">
        <v>925882.893132822</v>
      </c>
      <c r="W62" s="256" t="n">
        <v>909114.90776</v>
      </c>
      <c r="X62" s="256" t="n">
        <v>1351334</v>
      </c>
      <c r="Y62" s="256" t="n">
        <v>1349217</v>
      </c>
      <c r="Z62" s="256" t="n">
        <v>1348492</v>
      </c>
      <c r="AA62" s="256" t="n">
        <v>1326688</v>
      </c>
      <c r="AB62" s="256" t="n">
        <v>1320192</v>
      </c>
      <c r="AC62" s="256" t="n">
        <v>1334583</v>
      </c>
      <c r="AD62" s="256" t="n">
        <v>1375065</v>
      </c>
      <c r="AE62" s="256" t="n">
        <v>1348365.553</v>
      </c>
      <c r="AF62" s="256" t="n">
        <v>1338359</v>
      </c>
      <c r="AG62" s="256" t="n">
        <v>1344449</v>
      </c>
      <c r="AH62" s="256" t="n">
        <v>1379255</v>
      </c>
      <c r="AI62" s="256" t="n">
        <v>1355204</v>
      </c>
      <c r="AJ62" s="256" t="n">
        <v>1404052</v>
      </c>
    </row>
    <row r="63">
      <c r="A63" t="n">
        <v>21</v>
      </c>
      <c r="B63" t="n">
        <v>1</v>
      </c>
      <c r="G63" t="inlineStr">
        <is>
          <t>moeda</t>
        </is>
      </c>
      <c r="H63" t="inlineStr">
        <is>
          <t>Fleury BP: Intangível (l.43) | Combinada BP: Intangível (l.42)</t>
        </is>
      </c>
      <c r="J63" t="inlineStr">
        <is>
          <t>fonte</t>
        </is>
      </c>
      <c r="K63" s="256" t="n">
        <v>2018047.143086667</v>
      </c>
      <c r="L63" s="256" t="n">
        <v>2016435.034497295</v>
      </c>
      <c r="M63" s="256" t="n">
        <v>2018352.360462294</v>
      </c>
      <c r="N63" s="256" t="n">
        <v>2030607.997827294</v>
      </c>
      <c r="O63" s="256" t="n">
        <v>2031481.694882294</v>
      </c>
      <c r="P63" s="256" t="n">
        <v>2190439.423570974</v>
      </c>
      <c r="Q63" s="256" t="n">
        <v>2297792.109992304</v>
      </c>
      <c r="R63" s="256" t="n">
        <v>2586609.106978063</v>
      </c>
      <c r="S63" s="256" t="n">
        <v>2617509.45189824</v>
      </c>
      <c r="T63" s="256" t="n">
        <v>3021341.737230333</v>
      </c>
      <c r="U63" s="256" t="n">
        <v>3013739.86065</v>
      </c>
      <c r="V63" s="256" t="n">
        <v>3159926.121268085</v>
      </c>
      <c r="W63" s="256" t="n">
        <v>3147225.12633</v>
      </c>
      <c r="X63" s="256" t="n">
        <v>5768121</v>
      </c>
      <c r="Y63" s="256" t="n">
        <v>5744055</v>
      </c>
      <c r="Z63" s="256" t="n">
        <v>5807506</v>
      </c>
      <c r="AA63" s="256" t="n">
        <v>5788920</v>
      </c>
      <c r="AB63" s="256" t="n">
        <v>5783283</v>
      </c>
      <c r="AC63" s="256" t="n">
        <v>5830303</v>
      </c>
      <c r="AD63" s="256" t="n">
        <v>5863532</v>
      </c>
      <c r="AE63" s="256" t="n">
        <v>5819864.287</v>
      </c>
      <c r="AF63" s="256" t="n">
        <v>5825380</v>
      </c>
      <c r="AG63" s="256" t="n">
        <v>5957247</v>
      </c>
      <c r="AH63" s="256" t="n">
        <v>5979637</v>
      </c>
      <c r="AI63" s="256" t="n">
        <v>5905506</v>
      </c>
      <c r="AJ63" s="256" t="n">
        <v>6006075</v>
      </c>
    </row>
    <row r="64">
      <c r="A64" t="n">
        <v>19</v>
      </c>
      <c r="B64" t="n">
        <v>1</v>
      </c>
      <c r="G64" t="inlineStr">
        <is>
          <t>moeda</t>
        </is>
      </c>
      <c r="H64" t="inlineStr">
        <is>
          <t>Fleury BP: Direito de Uso (l.44) | Combinada BP: Direito de Uso (l.43)</t>
        </is>
      </c>
      <c r="J64" t="inlineStr">
        <is>
          <t>fonte</t>
        </is>
      </c>
      <c r="K64" s="256" t="n">
        <v>790360.75693</v>
      </c>
      <c r="L64" s="256" t="n">
        <v>760730.00788</v>
      </c>
      <c r="M64" s="256" t="n">
        <v>739317.11011</v>
      </c>
      <c r="N64" s="256" t="n">
        <v>729941.3450500001</v>
      </c>
      <c r="O64" s="256" t="n">
        <v>700212.56363</v>
      </c>
      <c r="P64" s="256" t="n">
        <v>682610.07549</v>
      </c>
      <c r="Q64" s="256" t="n">
        <v>691232.93304</v>
      </c>
      <c r="R64" s="256" t="n">
        <v>750774.81334</v>
      </c>
      <c r="S64" s="256" t="n">
        <v>793136.5573099999</v>
      </c>
      <c r="T64" s="256" t="n">
        <v>819194.4453300001</v>
      </c>
      <c r="U64" s="256" t="n">
        <v>800210.1333</v>
      </c>
      <c r="V64" s="256" t="n">
        <v>1022286.67143</v>
      </c>
      <c r="W64" s="256" t="n">
        <v>1026533.10531</v>
      </c>
      <c r="X64" s="256" t="n">
        <v>1332423</v>
      </c>
      <c r="Y64" s="256" t="n">
        <v>1296497</v>
      </c>
      <c r="Z64" s="256" t="n">
        <v>1295095</v>
      </c>
      <c r="AA64" s="256" t="n">
        <v>1249703</v>
      </c>
      <c r="AB64" s="256" t="n">
        <v>1202109</v>
      </c>
      <c r="AC64" s="256" t="n">
        <v>1159406</v>
      </c>
      <c r="AD64" s="256" t="n">
        <v>1138643</v>
      </c>
      <c r="AE64" s="256" t="n">
        <v>1140475.247</v>
      </c>
      <c r="AF64" s="256" t="n">
        <v>1096847</v>
      </c>
      <c r="AG64" s="256" t="n">
        <v>1104344</v>
      </c>
      <c r="AH64" s="256" t="n">
        <v>1098591</v>
      </c>
      <c r="AI64" s="256" t="n">
        <v>1079421</v>
      </c>
      <c r="AJ64" s="256" t="n">
        <v>1203367</v>
      </c>
    </row>
    <row r="65">
      <c r="A65" t="n">
        <v>27</v>
      </c>
      <c r="B65" t="n">
        <v>1</v>
      </c>
      <c r="G65" t="inlineStr">
        <is>
          <t>moeda</t>
        </is>
      </c>
      <c r="H65" t="inlineStr">
        <is>
          <t>Fleury BP: Empréstimos e Financiamentos (l.51) | Combinada BP: Empréstimos e Financiamentos PC (l.50)</t>
        </is>
      </c>
      <c r="J65" t="inlineStr">
        <is>
          <t>fonte</t>
        </is>
      </c>
      <c r="K65" s="256" t="n">
        <v>59040.90445</v>
      </c>
      <c r="L65" s="256" t="n">
        <v>311454.30246</v>
      </c>
      <c r="M65" s="256" t="n">
        <v>326180.57893</v>
      </c>
      <c r="N65" s="256" t="n">
        <v>472249.7837199999</v>
      </c>
      <c r="O65" s="256" t="n">
        <v>634399.33369</v>
      </c>
      <c r="P65" s="256" t="n">
        <v>734082.04401</v>
      </c>
      <c r="Q65" s="256" t="n">
        <v>365445.86972</v>
      </c>
      <c r="R65" s="256" t="n">
        <v>375056.13713</v>
      </c>
      <c r="S65" s="256" t="n">
        <v>226601.60284</v>
      </c>
      <c r="T65" s="256" t="n">
        <v>499570.14269</v>
      </c>
      <c r="U65" s="256" t="n">
        <v>526220.7363</v>
      </c>
      <c r="V65" s="256" t="n">
        <v>360919.05258</v>
      </c>
      <c r="W65" s="256" t="n">
        <v>371514.42415</v>
      </c>
      <c r="X65" s="256" t="n">
        <v>463884</v>
      </c>
      <c r="Y65" s="256" t="n">
        <v>347068</v>
      </c>
      <c r="Z65" s="256" t="n">
        <v>12473</v>
      </c>
      <c r="AA65" s="256" t="n">
        <v>9338</v>
      </c>
      <c r="AB65" s="256" t="n">
        <v>19513</v>
      </c>
      <c r="AC65" s="256" t="n">
        <v>24133</v>
      </c>
      <c r="AD65" s="256" t="n">
        <v>22387</v>
      </c>
      <c r="AE65" s="256" t="n">
        <v>20307.133</v>
      </c>
      <c r="AF65" s="256" t="n">
        <v>17480</v>
      </c>
      <c r="AG65" s="256" t="n">
        <v>17715</v>
      </c>
      <c r="AH65" s="256" t="n">
        <v>17358</v>
      </c>
      <c r="AI65" s="256" t="n">
        <v>10818</v>
      </c>
      <c r="AJ65" s="256" t="n">
        <v>41631</v>
      </c>
    </row>
    <row r="66">
      <c r="A66" t="n">
        <v>27</v>
      </c>
      <c r="B66" t="n">
        <v>1</v>
      </c>
      <c r="G66" t="inlineStr">
        <is>
          <t>moeda</t>
        </is>
      </c>
      <c r="H66" t="inlineStr">
        <is>
          <t>Fleury BP: [nao existe] | Combinada BP: Debêntures PC (l.51) [0 em 1Q20..1Q23 (13 per.): linha inexistente/vazia na fonte; total divulgado confirma]</t>
        </is>
      </c>
      <c r="J66" t="inlineStr">
        <is>
          <t>fonte</t>
        </is>
      </c>
      <c r="K66" s="256" t="n">
        <v>0</v>
      </c>
      <c r="L66" s="256" t="n">
        <v>0</v>
      </c>
      <c r="M66" s="256" t="n">
        <v>0</v>
      </c>
      <c r="N66" s="256" t="n">
        <v>0</v>
      </c>
      <c r="O66" s="256" t="n">
        <v>0</v>
      </c>
      <c r="P66" s="256" t="n">
        <v>0</v>
      </c>
      <c r="Q66" s="256" t="n">
        <v>0</v>
      </c>
      <c r="R66" s="256" t="n">
        <v>0</v>
      </c>
      <c r="S66" s="256" t="n">
        <v>0</v>
      </c>
      <c r="T66" s="256" t="n">
        <v>0</v>
      </c>
      <c r="U66" s="256" t="n">
        <v>0</v>
      </c>
      <c r="V66" s="256" t="n">
        <v>0</v>
      </c>
      <c r="W66" s="256" t="n">
        <v>0</v>
      </c>
      <c r="X66" s="256" t="n">
        <v>90695</v>
      </c>
      <c r="Y66" s="256" t="n">
        <v>97435</v>
      </c>
      <c r="Z66" s="256" t="n">
        <v>295622</v>
      </c>
      <c r="AA66" s="256" t="n">
        <v>308025</v>
      </c>
      <c r="AB66" s="256" t="n">
        <v>293475</v>
      </c>
      <c r="AC66" s="256" t="n">
        <v>593175</v>
      </c>
      <c r="AD66" s="256" t="n">
        <v>184370</v>
      </c>
      <c r="AE66" s="256" t="n">
        <v>291791.961</v>
      </c>
      <c r="AF66" s="256" t="n">
        <v>207393</v>
      </c>
      <c r="AG66" s="256" t="n">
        <v>341336</v>
      </c>
      <c r="AH66" s="256" t="n">
        <v>214745</v>
      </c>
      <c r="AI66" s="256" t="n">
        <v>328970</v>
      </c>
      <c r="AJ66" s="256" t="n">
        <v>557886</v>
      </c>
    </row>
    <row r="67">
      <c r="A67" t="n">
        <v>29</v>
      </c>
      <c r="B67" t="n">
        <v>1</v>
      </c>
      <c r="G67" t="inlineStr">
        <is>
          <t>moeda</t>
        </is>
      </c>
      <c r="H67" t="inlineStr">
        <is>
          <t>Fleury BP: Arrendamento Mercantil Financeiro (l.52) | Combinada BP: Arrendamento Mercantil Financeiro PC (l.52)</t>
        </is>
      </c>
      <c r="J67" t="inlineStr">
        <is>
          <t>fonte</t>
        </is>
      </c>
      <c r="K67" s="256" t="n">
        <v>92853</v>
      </c>
      <c r="L67" s="256" t="n">
        <v>101068.79373</v>
      </c>
      <c r="M67" s="256" t="n">
        <v>97420.76887000001</v>
      </c>
      <c r="N67" s="256" t="n">
        <v>105039.06635</v>
      </c>
      <c r="O67" s="256" t="n">
        <v>106476.04073</v>
      </c>
      <c r="P67" s="256" t="n">
        <v>107539.12171</v>
      </c>
      <c r="Q67" s="256" t="n">
        <v>102090.20266</v>
      </c>
      <c r="R67" s="256" t="n">
        <v>129644.38544</v>
      </c>
      <c r="S67" s="256" t="n">
        <v>140288.39753</v>
      </c>
      <c r="T67" s="256" t="n">
        <v>150379.74573</v>
      </c>
      <c r="U67" s="256" t="n">
        <v>156826.02384</v>
      </c>
      <c r="V67" s="256" t="n">
        <v>174901.25352</v>
      </c>
      <c r="W67" s="256" t="n">
        <v>192467.104</v>
      </c>
      <c r="X67" s="256" t="n">
        <v>269893</v>
      </c>
      <c r="Y67" s="256" t="n">
        <v>263101</v>
      </c>
      <c r="Z67" s="256" t="n">
        <v>272067</v>
      </c>
      <c r="AA67" s="256" t="n">
        <v>277296</v>
      </c>
      <c r="AB67" s="256" t="n">
        <v>280827</v>
      </c>
      <c r="AC67" s="256" t="n">
        <v>288153</v>
      </c>
      <c r="AD67" s="256" t="n">
        <v>290854</v>
      </c>
      <c r="AE67" s="256" t="n">
        <v>310350.855</v>
      </c>
      <c r="AF67" s="256" t="n">
        <v>304045</v>
      </c>
      <c r="AG67" s="256" t="n">
        <v>313074</v>
      </c>
      <c r="AH67" s="256" t="n">
        <v>318732</v>
      </c>
      <c r="AI67" s="256" t="n">
        <v>308319</v>
      </c>
      <c r="AJ67" s="256" t="n">
        <v>319569</v>
      </c>
    </row>
    <row r="68">
      <c r="A68" t="n">
        <v>26</v>
      </c>
      <c r="B68" t="n">
        <v>1</v>
      </c>
      <c r="G68" t="inlineStr">
        <is>
          <t>moeda</t>
        </is>
      </c>
      <c r="H68" t="inlineStr">
        <is>
          <t>Fleury BP: Instrumentos Financeiros Derivativos (l.53) | Combinada BP: Instrumentos Financeiros Derivativos PC (l.53)</t>
        </is>
      </c>
      <c r="J68" t="inlineStr">
        <is>
          <t>fonte</t>
        </is>
      </c>
      <c r="K68" s="256" t="n">
        <v>0</v>
      </c>
      <c r="L68" s="256" t="n">
        <v>1.02195</v>
      </c>
      <c r="M68" s="256" t="n">
        <v>8.60379</v>
      </c>
      <c r="N68" s="256" t="n">
        <v>367.02708</v>
      </c>
      <c r="O68" s="256" t="n">
        <v>121.68251</v>
      </c>
      <c r="P68" s="256" t="n">
        <v>507.3662</v>
      </c>
      <c r="Q68" s="256" t="n">
        <v>113.42423</v>
      </c>
      <c r="R68" s="256" t="n">
        <v>0</v>
      </c>
      <c r="S68" s="256" t="n">
        <v>999.9412600000001</v>
      </c>
      <c r="T68" s="256" t="n">
        <v>297.57553</v>
      </c>
      <c r="U68" s="256" t="n">
        <v>12.70915</v>
      </c>
      <c r="V68" s="256" t="n">
        <v>0</v>
      </c>
      <c r="W68" s="256" t="n">
        <v>275.521</v>
      </c>
      <c r="X68" s="256" t="n">
        <v>0</v>
      </c>
      <c r="Y68" s="256" t="n">
        <v>0</v>
      </c>
      <c r="Z68" s="256" t="n">
        <v>0</v>
      </c>
      <c r="AA68" s="256" t="n">
        <v>0</v>
      </c>
      <c r="AB68" s="256" t="n">
        <v>0</v>
      </c>
      <c r="AC68" s="256" t="n">
        <v>0</v>
      </c>
      <c r="AD68" s="256" t="n">
        <v>0</v>
      </c>
      <c r="AE68" s="256" t="n">
        <v>0</v>
      </c>
      <c r="AF68" s="256" t="n">
        <v>0</v>
      </c>
      <c r="AG68" s="256" t="n">
        <v>0</v>
      </c>
      <c r="AH68" s="256" t="n">
        <v>0</v>
      </c>
      <c r="AI68" s="256" t="n">
        <v>0</v>
      </c>
      <c r="AJ68" s="256" t="n">
        <v>0</v>
      </c>
    </row>
    <row r="69">
      <c r="A69" t="n">
        <v>23</v>
      </c>
      <c r="B69" t="n">
        <v>1</v>
      </c>
      <c r="G69" t="inlineStr">
        <is>
          <t>moeda</t>
        </is>
      </c>
      <c r="H69" t="inlineStr">
        <is>
          <t>Fleury BP: Fornecedores (l.54) | Combinada BP: Fornecedores PC (l.54)</t>
        </is>
      </c>
      <c r="J69" t="inlineStr">
        <is>
          <t>fonte</t>
        </is>
      </c>
      <c r="K69" s="256" t="n">
        <v>178578.2326700001</v>
      </c>
      <c r="L69" s="256" t="n">
        <v>162595.14476</v>
      </c>
      <c r="M69" s="256" t="n">
        <v>196966.74689</v>
      </c>
      <c r="N69" s="256" t="n">
        <v>250459.05831</v>
      </c>
      <c r="O69" s="256" t="n">
        <v>217458.23862</v>
      </c>
      <c r="P69" s="256" t="n">
        <v>271936.53186</v>
      </c>
      <c r="Q69" s="256" t="n">
        <v>290604.93982</v>
      </c>
      <c r="R69" s="256" t="n">
        <v>356880.85195</v>
      </c>
      <c r="S69" s="256" t="n">
        <v>306318.45786</v>
      </c>
      <c r="T69" s="256" t="n">
        <v>302675.21001</v>
      </c>
      <c r="U69" s="256" t="n">
        <v>297712.10255</v>
      </c>
      <c r="V69" s="256" t="n">
        <v>364267.89641</v>
      </c>
      <c r="W69" s="256" t="n">
        <v>359717.89864</v>
      </c>
      <c r="X69" s="256" t="n">
        <v>591270</v>
      </c>
      <c r="Y69" s="256" t="n">
        <v>575225</v>
      </c>
      <c r="Z69" s="256" t="n">
        <v>620413</v>
      </c>
      <c r="AA69" s="256" t="n">
        <v>632446</v>
      </c>
      <c r="AB69" s="256" t="n">
        <v>676475</v>
      </c>
      <c r="AC69" s="256" t="n">
        <v>647545</v>
      </c>
      <c r="AD69" s="256" t="n">
        <v>704009</v>
      </c>
      <c r="AE69" s="256" t="n">
        <v>674716.3959999999</v>
      </c>
      <c r="AF69" s="256" t="n">
        <v>652937</v>
      </c>
      <c r="AG69" s="256" t="n">
        <v>721344</v>
      </c>
      <c r="AH69" s="256" t="n">
        <v>800133</v>
      </c>
      <c r="AI69" s="256" t="n">
        <v>733299</v>
      </c>
      <c r="AJ69" s="256" t="n">
        <v>840735</v>
      </c>
    </row>
    <row r="70">
      <c r="A70" t="n">
        <v>24</v>
      </c>
      <c r="B70" t="n">
        <v>1</v>
      </c>
      <c r="G70" t="inlineStr">
        <is>
          <t>moeda</t>
        </is>
      </c>
      <c r="H70" t="inlineStr">
        <is>
          <t>Fleury BP: Salários e Encargos a Recolher (l.55) | Combinada BP: Obrigações Trabalhistas (l.55)</t>
        </is>
      </c>
      <c r="J70" t="inlineStr">
        <is>
          <t>fonte</t>
        </is>
      </c>
      <c r="K70" s="256" t="n">
        <v>108911.41814</v>
      </c>
      <c r="L70" s="256" t="n">
        <v>128829.23871</v>
      </c>
      <c r="M70" s="256" t="n">
        <v>148592.54415</v>
      </c>
      <c r="N70" s="256" t="n">
        <v>138774.07439</v>
      </c>
      <c r="O70" s="256" t="n">
        <v>129771.37318</v>
      </c>
      <c r="P70" s="256" t="n">
        <v>179050.14977</v>
      </c>
      <c r="Q70" s="256" t="n">
        <v>218242.55644</v>
      </c>
      <c r="R70" s="256" t="n">
        <v>202168.19922</v>
      </c>
      <c r="S70" s="256" t="n">
        <v>172718.57732</v>
      </c>
      <c r="T70" s="256" t="n">
        <v>210886.8834</v>
      </c>
      <c r="U70" s="256" t="n">
        <v>241155.5246</v>
      </c>
      <c r="V70" s="256" t="n">
        <v>227600.29686</v>
      </c>
      <c r="W70" s="256" t="n">
        <v>191554.23713</v>
      </c>
      <c r="X70" s="256" t="n">
        <v>328937</v>
      </c>
      <c r="Y70" s="256" t="n">
        <v>380761</v>
      </c>
      <c r="Z70" s="256" t="n">
        <v>338989</v>
      </c>
      <c r="AA70" s="256" t="n">
        <v>285808</v>
      </c>
      <c r="AB70" s="256" t="n">
        <v>352951</v>
      </c>
      <c r="AC70" s="256" t="n">
        <v>402732</v>
      </c>
      <c r="AD70" s="256" t="n">
        <v>381902</v>
      </c>
      <c r="AE70" s="256" t="n">
        <v>309762.274</v>
      </c>
      <c r="AF70" s="256" t="n">
        <v>368403</v>
      </c>
      <c r="AG70" s="256" t="n">
        <v>438976</v>
      </c>
      <c r="AH70" s="256" t="n">
        <v>407632</v>
      </c>
      <c r="AI70" s="256" t="n">
        <v>345296</v>
      </c>
      <c r="AJ70" s="256" t="n">
        <v>406046</v>
      </c>
    </row>
    <row r="71">
      <c r="A71" t="n">
        <v>25</v>
      </c>
      <c r="B71" t="n">
        <v>1</v>
      </c>
      <c r="G71" t="inlineStr">
        <is>
          <t>moeda</t>
        </is>
      </c>
      <c r="H71" t="inlineStr">
        <is>
          <t>Fleury BP: [nao existe] | Combinada BP: Obrigações Tributárias (l.56) [0 em 1Q20..1Q23 (13 per.): linha inexistente/vazia na fonte; total divulgado confirma]</t>
        </is>
      </c>
      <c r="J71" t="inlineStr">
        <is>
          <t>fonte</t>
        </is>
      </c>
      <c r="K71" s="256" t="n">
        <v>0</v>
      </c>
      <c r="L71" s="256" t="n">
        <v>0</v>
      </c>
      <c r="M71" s="256" t="n">
        <v>0</v>
      </c>
      <c r="N71" s="256" t="n">
        <v>0</v>
      </c>
      <c r="O71" s="256" t="n">
        <v>0</v>
      </c>
      <c r="P71" s="256" t="n">
        <v>0</v>
      </c>
      <c r="Q71" s="256" t="n">
        <v>0</v>
      </c>
      <c r="R71" s="256" t="n">
        <v>0</v>
      </c>
      <c r="S71" s="256" t="n">
        <v>0</v>
      </c>
      <c r="T71" s="256" t="n">
        <v>0</v>
      </c>
      <c r="U71" s="256" t="n">
        <v>0</v>
      </c>
      <c r="V71" s="256" t="n">
        <v>0</v>
      </c>
      <c r="W71" s="256" t="n">
        <v>0</v>
      </c>
      <c r="X71" s="256" t="n">
        <v>70035</v>
      </c>
      <c r="Y71" s="256" t="n">
        <v>68007</v>
      </c>
      <c r="Z71" s="256" t="n">
        <v>63016</v>
      </c>
      <c r="AA71" s="256" t="n">
        <v>70697</v>
      </c>
      <c r="AB71" s="256" t="n">
        <v>75872</v>
      </c>
      <c r="AC71" s="256" t="n">
        <v>66146</v>
      </c>
      <c r="AD71" s="256" t="n">
        <v>62176</v>
      </c>
      <c r="AE71" s="256" t="n">
        <v>68674.27499999999</v>
      </c>
      <c r="AF71" s="256" t="n">
        <v>69104</v>
      </c>
      <c r="AG71" s="256" t="n">
        <v>69669</v>
      </c>
      <c r="AH71" s="256" t="n">
        <v>59250</v>
      </c>
      <c r="AI71" s="256" t="n">
        <v>76505</v>
      </c>
      <c r="AJ71" s="256" t="n">
        <v>79919</v>
      </c>
    </row>
    <row r="72">
      <c r="A72" t="n">
        <v>25</v>
      </c>
      <c r="B72" t="n">
        <v>1</v>
      </c>
      <c r="G72" t="inlineStr">
        <is>
          <t>moeda</t>
        </is>
      </c>
      <c r="H72" t="inlineStr">
        <is>
          <t>Fleury BP: Provisão para Imposto de Renda e Contribuição Social (l.56) | Combinada BP: Provisão para Imposto de Renda e Contribuição Social PC (l.57)</t>
        </is>
      </c>
      <c r="J72" t="inlineStr">
        <is>
          <t>fonte</t>
        </is>
      </c>
      <c r="K72" s="256" t="n">
        <v>474.162670000001</v>
      </c>
      <c r="L72" s="256" t="n">
        <v>748.7988100000003</v>
      </c>
      <c r="M72" s="256" t="n">
        <v>30783.43419999999</v>
      </c>
      <c r="N72" s="256" t="n">
        <v>212.357569999989</v>
      </c>
      <c r="O72" s="256" t="n">
        <v>43393.95959000001</v>
      </c>
      <c r="P72" s="256" t="n">
        <v>52079.59609999998</v>
      </c>
      <c r="Q72" s="256" t="n">
        <v>154887.85622</v>
      </c>
      <c r="R72" s="256" t="n">
        <v>52865.87557999999</v>
      </c>
      <c r="S72" s="256" t="n">
        <v>45947.8586</v>
      </c>
      <c r="T72" s="256" t="n">
        <v>85707.86882999999</v>
      </c>
      <c r="U72" s="256" t="n">
        <v>133431.00994</v>
      </c>
      <c r="V72" s="256" t="n">
        <v>7110.00227</v>
      </c>
      <c r="W72" s="256" t="n">
        <v>10984.444</v>
      </c>
      <c r="X72" s="256" t="n">
        <v>0</v>
      </c>
      <c r="Y72" s="256" t="n">
        <v>0</v>
      </c>
      <c r="Z72" s="256" t="n">
        <v>0</v>
      </c>
      <c r="AA72" s="256" t="n">
        <v>0</v>
      </c>
      <c r="AB72" s="256" t="n">
        <v>0</v>
      </c>
      <c r="AC72" s="256" t="n">
        <v>0</v>
      </c>
      <c r="AD72" s="256" t="n">
        <v>0</v>
      </c>
      <c r="AE72" s="256" t="n">
        <v>0</v>
      </c>
      <c r="AF72" s="256" t="n">
        <v>0</v>
      </c>
      <c r="AG72" s="256" t="n">
        <v>0</v>
      </c>
      <c r="AH72" s="256" t="n">
        <v>0</v>
      </c>
      <c r="AI72" s="256" t="n">
        <v>0</v>
      </c>
      <c r="AJ72" s="256" t="n">
        <v>0</v>
      </c>
    </row>
    <row r="73">
      <c r="A73" t="n">
        <v>33</v>
      </c>
      <c r="B73" t="n">
        <v>1</v>
      </c>
      <c r="G73" t="inlineStr">
        <is>
          <t>moeda</t>
        </is>
      </c>
      <c r="H73" t="inlineStr">
        <is>
          <t>Fleury BP: Imposto de Renda e Contribuição Social Diferidos (l.57) | Combinada BP: Imposto de Renda e Contribuição Social Diferidos PC (l.58)</t>
        </is>
      </c>
      <c r="J73" t="inlineStr">
        <is>
          <t>fonte</t>
        </is>
      </c>
      <c r="K73" s="256" t="n">
        <v>0</v>
      </c>
      <c r="L73" s="256" t="n">
        <v>0</v>
      </c>
      <c r="M73" s="256" t="n">
        <v>0</v>
      </c>
      <c r="N73" s="256" t="n">
        <v>0</v>
      </c>
      <c r="O73" s="256" t="n">
        <v>0</v>
      </c>
      <c r="P73" s="256" t="n">
        <v>0</v>
      </c>
      <c r="Q73" s="256" t="n">
        <v>0</v>
      </c>
      <c r="R73" s="256" t="n">
        <v>0</v>
      </c>
      <c r="S73" s="256" t="n">
        <v>0</v>
      </c>
      <c r="T73" s="256" t="n">
        <v>0</v>
      </c>
      <c r="U73" s="256" t="n">
        <v>0</v>
      </c>
      <c r="V73" s="256" t="n">
        <v>0</v>
      </c>
      <c r="W73" s="256" t="n">
        <v>0</v>
      </c>
      <c r="X73" s="256" t="n">
        <v>0</v>
      </c>
      <c r="Y73" s="256" t="n">
        <v>0</v>
      </c>
      <c r="Z73" s="256" t="n">
        <v>0</v>
      </c>
      <c r="AA73" s="256" t="n">
        <v>0</v>
      </c>
      <c r="AB73" s="256" t="n">
        <v>0</v>
      </c>
      <c r="AC73" s="256" t="n">
        <v>0</v>
      </c>
      <c r="AD73" s="256" t="n">
        <v>0</v>
      </c>
      <c r="AE73" s="256" t="n">
        <v>0</v>
      </c>
      <c r="AF73" s="256" t="n">
        <v>0</v>
      </c>
      <c r="AG73" s="256" t="n">
        <v>0</v>
      </c>
      <c r="AH73" s="256" t="n">
        <v>0</v>
      </c>
      <c r="AI73" s="256" t="n">
        <v>0</v>
      </c>
      <c r="AJ73" s="256" t="n">
        <v>0</v>
      </c>
    </row>
    <row r="74">
      <c r="A74" t="n">
        <v>25</v>
      </c>
      <c r="B74" t="n">
        <v>1</v>
      </c>
      <c r="G74" t="inlineStr">
        <is>
          <t>moeda</t>
        </is>
      </c>
      <c r="H74" t="inlineStr">
        <is>
          <t>Fleury BP: Impostos e Contribuições a Recolher (l.58) | Combinada BP: Impostos e Contribuições a Recolher PC (l.59)</t>
        </is>
      </c>
      <c r="J74" t="inlineStr">
        <is>
          <t>fonte</t>
        </is>
      </c>
      <c r="K74" s="256" t="n">
        <v>28059.53719</v>
      </c>
      <c r="L74" s="256" t="n">
        <v>26144.74874</v>
      </c>
      <c r="M74" s="256" t="n">
        <v>33632.16717</v>
      </c>
      <c r="N74" s="256" t="n">
        <v>37417.19261</v>
      </c>
      <c r="O74" s="256" t="n">
        <v>39250.04633999999</v>
      </c>
      <c r="P74" s="256" t="n">
        <v>32075.35653</v>
      </c>
      <c r="Q74" s="256" t="n">
        <v>36776.75255999999</v>
      </c>
      <c r="R74" s="256" t="n">
        <v>38378.53171</v>
      </c>
      <c r="S74" s="256" t="n">
        <v>35905.57022</v>
      </c>
      <c r="T74" s="256" t="n">
        <v>38959.23646</v>
      </c>
      <c r="U74" s="256" t="n">
        <v>39593.85102</v>
      </c>
      <c r="V74" s="256" t="n">
        <v>40812.07777</v>
      </c>
      <c r="W74" s="256" t="n">
        <v>48488.70435</v>
      </c>
      <c r="X74" s="256" t="n">
        <v>10529</v>
      </c>
      <c r="Y74" s="256" t="n">
        <v>16031</v>
      </c>
      <c r="Z74" s="256" t="n">
        <v>17567</v>
      </c>
      <c r="AA74" s="256" t="n">
        <v>4314</v>
      </c>
      <c r="AB74" s="256" t="n">
        <v>33411</v>
      </c>
      <c r="AC74" s="256" t="n">
        <v>29377</v>
      </c>
      <c r="AD74" s="256" t="n">
        <v>36405</v>
      </c>
      <c r="AE74" s="256" t="n">
        <v>16837.947</v>
      </c>
      <c r="AF74" s="256" t="n">
        <v>34170</v>
      </c>
      <c r="AG74" s="256" t="n">
        <v>47677</v>
      </c>
      <c r="AH74" s="256" t="n">
        <v>38280</v>
      </c>
      <c r="AI74" s="256" t="n">
        <v>12743</v>
      </c>
      <c r="AJ74" s="256" t="n">
        <v>33089</v>
      </c>
    </row>
    <row r="75">
      <c r="A75" t="n">
        <v>26</v>
      </c>
      <c r="B75" t="n">
        <v>1</v>
      </c>
      <c r="G75" t="inlineStr">
        <is>
          <t>moeda</t>
        </is>
      </c>
      <c r="H75" t="inlineStr">
        <is>
          <t>Fleury BP: Dividendos e Juros Sobre o Capital Próprio (l.59) | Combinada BP: Dividendos e Juros Sobre o Capital Próprio PC (l.60)</t>
        </is>
      </c>
      <c r="J75" t="inlineStr">
        <is>
          <t>fonte</t>
        </is>
      </c>
      <c r="K75" s="256" t="n">
        <v>0</v>
      </c>
      <c r="L75" s="256" t="n">
        <v>0</v>
      </c>
      <c r="M75" s="256" t="n">
        <v>0</v>
      </c>
      <c r="N75" s="256" t="n">
        <v>0</v>
      </c>
      <c r="O75" s="256" t="n">
        <v>0</v>
      </c>
      <c r="P75" s="256" t="n">
        <v>0</v>
      </c>
      <c r="Q75" s="256" t="n">
        <v>0</v>
      </c>
      <c r="R75" s="256" t="n">
        <v>15011</v>
      </c>
      <c r="S75" s="256" t="n">
        <v>0</v>
      </c>
      <c r="T75" s="256" t="n">
        <v>0</v>
      </c>
      <c r="U75" s="256" t="n">
        <v>0</v>
      </c>
      <c r="V75" s="256" t="n">
        <v>0</v>
      </c>
      <c r="W75" s="256" t="n">
        <v>0</v>
      </c>
      <c r="X75" s="256" t="n">
        <v>74</v>
      </c>
      <c r="Y75" s="256" t="n">
        <v>78725</v>
      </c>
      <c r="Z75" s="256" t="n">
        <v>756</v>
      </c>
      <c r="AA75" s="256" t="n">
        <v>80796</v>
      </c>
      <c r="AB75" s="256" t="n">
        <v>0</v>
      </c>
      <c r="AC75" s="256" t="n">
        <v>160906</v>
      </c>
      <c r="AD75" s="256" t="n">
        <v>482</v>
      </c>
      <c r="AE75" s="256" t="n">
        <v>254535.014</v>
      </c>
      <c r="AF75" s="256" t="n">
        <v>490</v>
      </c>
      <c r="AG75" s="256" t="n">
        <v>147403</v>
      </c>
      <c r="AH75" s="256" t="n">
        <v>291836</v>
      </c>
      <c r="AI75" s="256" t="n">
        <v>293863</v>
      </c>
      <c r="AJ75" s="256" t="n">
        <v>71216</v>
      </c>
    </row>
    <row r="76">
      <c r="A76" t="n">
        <v>26</v>
      </c>
      <c r="B76" t="n">
        <v>1</v>
      </c>
      <c r="G76" t="inlineStr">
        <is>
          <t>moeda</t>
        </is>
      </c>
      <c r="H76" t="inlineStr">
        <is>
          <t>Fleury BP: Contas a Pagar - Aquisição de Empresas (l.60) | Combinada BP: Contas a Pagar - Aquisição de Empresas PC (l.61)</t>
        </is>
      </c>
      <c r="J76" t="inlineStr">
        <is>
          <t>fonte</t>
        </is>
      </c>
      <c r="K76" s="256" t="n">
        <v>54675.34256</v>
      </c>
      <c r="L76" s="256" t="n">
        <v>53858.37804</v>
      </c>
      <c r="M76" s="256" t="n">
        <v>24220.08536</v>
      </c>
      <c r="N76" s="256" t="n">
        <v>25790.06016</v>
      </c>
      <c r="O76" s="256" t="n">
        <v>13972.95141</v>
      </c>
      <c r="P76" s="256" t="n">
        <v>96445.84340000001</v>
      </c>
      <c r="Q76" s="256" t="n">
        <v>91471.07042</v>
      </c>
      <c r="R76" s="256" t="n">
        <v>29671.26799</v>
      </c>
      <c r="S76" s="256" t="n">
        <v>21624.2188</v>
      </c>
      <c r="T76" s="256" t="n">
        <v>24888.13305</v>
      </c>
      <c r="U76" s="256" t="n">
        <v>33334.3691</v>
      </c>
      <c r="V76" s="256" t="n">
        <v>40337.14643</v>
      </c>
      <c r="W76" s="256" t="n">
        <v>35179.64471</v>
      </c>
      <c r="X76" s="256" t="n">
        <v>138754</v>
      </c>
      <c r="Y76" s="256" t="n">
        <v>64769</v>
      </c>
      <c r="Z76" s="256" t="n">
        <v>31097</v>
      </c>
      <c r="AA76" s="256" t="n">
        <v>95328</v>
      </c>
      <c r="AB76" s="256" t="n">
        <v>15876</v>
      </c>
      <c r="AC76" s="256" t="n">
        <v>37072</v>
      </c>
      <c r="AD76" s="256" t="n">
        <v>42573</v>
      </c>
      <c r="AE76" s="256" t="n">
        <v>66129.012</v>
      </c>
      <c r="AF76" s="256" t="n">
        <v>63519</v>
      </c>
      <c r="AG76" s="256" t="n">
        <v>65391</v>
      </c>
      <c r="AH76" s="256" t="n">
        <v>79339</v>
      </c>
      <c r="AI76" s="256" t="n">
        <v>43467</v>
      </c>
      <c r="AJ76" s="256" t="n">
        <v>68124</v>
      </c>
    </row>
    <row r="77">
      <c r="A77" t="n">
        <v>26</v>
      </c>
      <c r="B77" t="n">
        <v>1</v>
      </c>
      <c r="G77" t="inlineStr">
        <is>
          <t>moeda</t>
        </is>
      </c>
      <c r="H77" t="inlineStr">
        <is>
          <t>Fleury BP: [nao existe] | Combinada BP: Partes Relacionadas (l.62) [0 em 1Q20..1Q23 (13 per.): linha inexistente/vazia na fonte; total divulgado confirma]</t>
        </is>
      </c>
      <c r="J77" t="inlineStr">
        <is>
          <t>fonte</t>
        </is>
      </c>
      <c r="K77" s="256" t="n">
        <v>0</v>
      </c>
      <c r="L77" s="256" t="n">
        <v>0</v>
      </c>
      <c r="M77" s="256" t="n">
        <v>0</v>
      </c>
      <c r="N77" s="256" t="n">
        <v>0</v>
      </c>
      <c r="O77" s="256" t="n">
        <v>0</v>
      </c>
      <c r="P77" s="256" t="n">
        <v>0</v>
      </c>
      <c r="Q77" s="256" t="n">
        <v>0</v>
      </c>
      <c r="R77" s="256" t="n">
        <v>0</v>
      </c>
      <c r="S77" s="256" t="n">
        <v>0</v>
      </c>
      <c r="T77" s="256" t="n">
        <v>0</v>
      </c>
      <c r="U77" s="256" t="n">
        <v>0</v>
      </c>
      <c r="V77" s="256" t="n">
        <v>0</v>
      </c>
      <c r="W77" s="256" t="n">
        <v>0</v>
      </c>
      <c r="X77" s="256" t="n">
        <v>0</v>
      </c>
      <c r="Y77" s="256" t="n">
        <v>0</v>
      </c>
      <c r="Z77" s="256" t="n">
        <v>0</v>
      </c>
      <c r="AA77" s="256" t="n">
        <v>0</v>
      </c>
      <c r="AB77" s="256" t="n">
        <v>0</v>
      </c>
      <c r="AC77" s="256" t="n">
        <v>0</v>
      </c>
      <c r="AD77" s="256" t="n">
        <v>0</v>
      </c>
      <c r="AE77" s="256" t="n">
        <v>0</v>
      </c>
      <c r="AF77" s="256" t="n">
        <v>0</v>
      </c>
      <c r="AG77" s="256" t="n">
        <v>0</v>
      </c>
      <c r="AH77" s="256" t="n">
        <v>0</v>
      </c>
      <c r="AI77" s="256" t="n">
        <v>0</v>
      </c>
      <c r="AJ77" s="256" t="n">
        <v>0</v>
      </c>
    </row>
    <row r="78">
      <c r="A78" t="n">
        <v>26</v>
      </c>
      <c r="B78" t="n">
        <v>1</v>
      </c>
      <c r="G78" t="inlineStr">
        <is>
          <t>moeda</t>
        </is>
      </c>
      <c r="H78" t="inlineStr">
        <is>
          <t>Fleury BP: Outras Contas a Pagar (l.61) | Combinada BP: Outras Contas a Pagar PC (l.63)</t>
        </is>
      </c>
      <c r="J78" t="inlineStr">
        <is>
          <t>fonte</t>
        </is>
      </c>
      <c r="K78" s="256" t="n">
        <v>203489.06097</v>
      </c>
      <c r="L78" s="256" t="n">
        <v>203503.5485</v>
      </c>
      <c r="M78" s="256" t="n">
        <v>203126.16453</v>
      </c>
      <c r="N78" s="256" t="n">
        <v>79463.06972</v>
      </c>
      <c r="O78" s="256" t="n">
        <v>163353.84655</v>
      </c>
      <c r="P78" s="256" t="n">
        <v>7302.83404</v>
      </c>
      <c r="Q78" s="256" t="n">
        <v>7730.606749999999</v>
      </c>
      <c r="R78" s="256" t="n">
        <v>7196</v>
      </c>
      <c r="S78" s="256" t="n">
        <v>238290.06806</v>
      </c>
      <c r="T78" s="256" t="n">
        <v>15991.34587</v>
      </c>
      <c r="U78" s="256" t="n">
        <v>16816.2409</v>
      </c>
      <c r="V78" s="256" t="n">
        <v>18187.73241</v>
      </c>
      <c r="W78" s="256" t="n">
        <v>25019.03984</v>
      </c>
      <c r="X78" s="256" t="n">
        <v>28408</v>
      </c>
      <c r="Y78" s="256" t="n">
        <v>26957</v>
      </c>
      <c r="Z78" s="256" t="n">
        <v>34616</v>
      </c>
      <c r="AA78" s="256" t="n">
        <v>20985</v>
      </c>
      <c r="AB78" s="256" t="n">
        <v>26325</v>
      </c>
      <c r="AC78" s="256" t="n">
        <v>21852</v>
      </c>
      <c r="AD78" s="256" t="n">
        <v>17655</v>
      </c>
      <c r="AE78" s="256" t="n">
        <v>21511</v>
      </c>
      <c r="AF78" s="256" t="n">
        <v>25410</v>
      </c>
      <c r="AG78" s="256" t="n">
        <v>38516</v>
      </c>
      <c r="AH78" s="256" t="n">
        <v>18375</v>
      </c>
      <c r="AI78" s="256" t="n">
        <v>22476</v>
      </c>
      <c r="AJ78" s="256" t="n">
        <v>20744</v>
      </c>
    </row>
    <row r="79">
      <c r="A79" t="n">
        <v>30</v>
      </c>
      <c r="B79" t="n">
        <v>1</v>
      </c>
      <c r="G79" t="inlineStr">
        <is>
          <t>moeda</t>
        </is>
      </c>
      <c r="H79" t="inlineStr">
        <is>
          <t>Fleury BP: Empréstimos e Financiamentos (l.65) | Combinada BP: Empréstimos e Financiamentos PNC (l.67)</t>
        </is>
      </c>
      <c r="J79" t="inlineStr">
        <is>
          <t>fonte</t>
        </is>
      </c>
      <c r="K79" s="256" t="n">
        <v>1490597.48095</v>
      </c>
      <c r="L79" s="256" t="n">
        <v>1608024.96604</v>
      </c>
      <c r="M79" s="256" t="n">
        <v>1601886.11074</v>
      </c>
      <c r="N79" s="256" t="n">
        <v>1431470.82595</v>
      </c>
      <c r="O79" s="256" t="n">
        <v>1275306.32972</v>
      </c>
      <c r="P79" s="256" t="n">
        <v>906945.4151700001</v>
      </c>
      <c r="Q79" s="256" t="n">
        <v>1899452.2545</v>
      </c>
      <c r="R79" s="256" t="n">
        <v>1749380.06419</v>
      </c>
      <c r="S79" s="256" t="n">
        <v>1749307.87365</v>
      </c>
      <c r="T79" s="256" t="n">
        <v>2198942.45932</v>
      </c>
      <c r="U79" s="256" t="n">
        <v>2198909.55949</v>
      </c>
      <c r="V79" s="256" t="n">
        <v>2198916.76294</v>
      </c>
      <c r="W79" s="256" t="n">
        <v>2199004.17427</v>
      </c>
      <c r="X79" s="256" t="n">
        <v>287</v>
      </c>
      <c r="Y79" s="256" t="n">
        <v>2612</v>
      </c>
      <c r="Z79" s="256" t="n">
        <v>2421</v>
      </c>
      <c r="AA79" s="256" t="n">
        <v>2230</v>
      </c>
      <c r="AB79" s="256" t="n">
        <v>2039</v>
      </c>
      <c r="AC79" s="256" t="n">
        <v>1848</v>
      </c>
      <c r="AD79" s="256" t="n">
        <v>1657</v>
      </c>
      <c r="AE79" s="256" t="n">
        <v>1466</v>
      </c>
      <c r="AF79" s="256" t="n">
        <v>1274</v>
      </c>
      <c r="AG79" s="256" t="n">
        <v>1083</v>
      </c>
      <c r="AH79" s="256" t="n">
        <v>892</v>
      </c>
      <c r="AI79" s="256" t="n">
        <v>701</v>
      </c>
      <c r="AJ79" s="256" t="n">
        <v>510</v>
      </c>
    </row>
    <row r="80">
      <c r="A80" t="n">
        <v>30</v>
      </c>
      <c r="B80" t="n">
        <v>1</v>
      </c>
      <c r="G80" t="inlineStr">
        <is>
          <t>moeda</t>
        </is>
      </c>
      <c r="H80" t="inlineStr">
        <is>
          <t>Fleury BP: [nao existe] | Combinada BP: Debêntures PNC (l.68) [0 em 1Q20..1Q23 (13 per.): linha inexistente/vazia na fonte; total divulgado confirma]</t>
        </is>
      </c>
      <c r="J80" t="inlineStr">
        <is>
          <t>fonte</t>
        </is>
      </c>
      <c r="K80" s="256" t="n">
        <v>0</v>
      </c>
      <c r="L80" s="256" t="n">
        <v>0</v>
      </c>
      <c r="M80" s="256" t="n">
        <v>0</v>
      </c>
      <c r="N80" s="256" t="n">
        <v>0</v>
      </c>
      <c r="O80" s="256" t="n">
        <v>0</v>
      </c>
      <c r="P80" s="256" t="n">
        <v>0</v>
      </c>
      <c r="Q80" s="256" t="n">
        <v>0</v>
      </c>
      <c r="R80" s="256" t="n">
        <v>0</v>
      </c>
      <c r="S80" s="256" t="n">
        <v>0</v>
      </c>
      <c r="T80" s="256" t="n">
        <v>0</v>
      </c>
      <c r="U80" s="256" t="n">
        <v>0</v>
      </c>
      <c r="V80" s="256" t="n">
        <v>0</v>
      </c>
      <c r="W80" s="256" t="n">
        <v>0</v>
      </c>
      <c r="X80" s="256" t="n">
        <v>2199092</v>
      </c>
      <c r="Y80" s="256" t="n">
        <v>2199179</v>
      </c>
      <c r="Z80" s="256" t="n">
        <v>2499057</v>
      </c>
      <c r="AA80" s="256" t="n">
        <v>2499144</v>
      </c>
      <c r="AB80" s="256" t="n">
        <v>3497881</v>
      </c>
      <c r="AC80" s="256" t="n">
        <v>3247972</v>
      </c>
      <c r="AD80" s="256" t="n">
        <v>3896657</v>
      </c>
      <c r="AE80" s="256" t="n">
        <v>3896906.699</v>
      </c>
      <c r="AF80" s="256" t="n">
        <v>3897096</v>
      </c>
      <c r="AG80" s="256" t="n">
        <v>3897285</v>
      </c>
      <c r="AH80" s="256" t="n">
        <v>3797474</v>
      </c>
      <c r="AI80" s="256" t="n">
        <v>3797664</v>
      </c>
      <c r="AJ80" s="256" t="n">
        <v>3447853</v>
      </c>
    </row>
    <row r="81">
      <c r="A81" t="n">
        <v>31</v>
      </c>
      <c r="B81" t="n">
        <v>1</v>
      </c>
      <c r="G81" t="inlineStr">
        <is>
          <t>moeda</t>
        </is>
      </c>
      <c r="H81" t="inlineStr">
        <is>
          <t>Fleury BP: Arrendamento Financeiro Mercantil (l.66) | Combinada BP: Arrendamento Financeiro Mercantil PNC (l.69)</t>
        </is>
      </c>
      <c r="J81" t="inlineStr">
        <is>
          <t>fonte</t>
        </is>
      </c>
      <c r="K81" s="256" t="n">
        <v>731112.6</v>
      </c>
      <c r="L81" s="256" t="n">
        <v>704583.50024</v>
      </c>
      <c r="M81" s="256" t="n">
        <v>686986.37337</v>
      </c>
      <c r="N81" s="256" t="n">
        <v>680790.29472</v>
      </c>
      <c r="O81" s="256" t="n">
        <v>653307.56924</v>
      </c>
      <c r="P81" s="256" t="n">
        <v>637702.99012</v>
      </c>
      <c r="Q81" s="256" t="n">
        <v>660674.9751700001</v>
      </c>
      <c r="R81" s="256" t="n">
        <v>694574.60451</v>
      </c>
      <c r="S81" s="256" t="n">
        <v>731443.14163</v>
      </c>
      <c r="T81" s="256" t="n">
        <v>754215.63203</v>
      </c>
      <c r="U81" s="256" t="n">
        <v>735363.89905</v>
      </c>
      <c r="V81" s="256" t="n">
        <v>943348.29983</v>
      </c>
      <c r="W81" s="256" t="n">
        <v>928191.54368</v>
      </c>
      <c r="X81" s="256" t="n">
        <v>1191850</v>
      </c>
      <c r="Y81" s="256" t="n">
        <v>1167495</v>
      </c>
      <c r="Z81" s="256" t="n">
        <v>1159409</v>
      </c>
      <c r="AA81" s="256" t="n">
        <v>1112521</v>
      </c>
      <c r="AB81" s="256" t="n">
        <v>1061775</v>
      </c>
      <c r="AC81" s="256" t="n">
        <v>1015306</v>
      </c>
      <c r="AD81" s="256" t="n">
        <v>995637</v>
      </c>
      <c r="AE81" s="256" t="n">
        <v>977075</v>
      </c>
      <c r="AF81" s="256" t="n">
        <v>936924</v>
      </c>
      <c r="AG81" s="256" t="n">
        <v>935366</v>
      </c>
      <c r="AH81" s="256" t="n">
        <v>922242</v>
      </c>
      <c r="AI81" s="256" t="n">
        <v>910562</v>
      </c>
      <c r="AJ81" s="256" t="n">
        <v>1041536</v>
      </c>
    </row>
    <row r="82">
      <c r="A82" t="n">
        <v>34</v>
      </c>
      <c r="B82" t="n">
        <v>1</v>
      </c>
      <c r="G82" t="inlineStr">
        <is>
          <t>moeda</t>
        </is>
      </c>
      <c r="H82" t="inlineStr">
        <is>
          <t>Fleury BP: Instrumentos Financeiros Derivativos (l.67) | Combinada BP: Instrumentos Financeiros Derivativos PNC (l.70)</t>
        </is>
      </c>
      <c r="J82" t="inlineStr">
        <is>
          <t>fonte</t>
        </is>
      </c>
      <c r="K82" s="256" t="n">
        <v>0</v>
      </c>
      <c r="L82" s="256" t="n">
        <v>0</v>
      </c>
      <c r="M82" s="256" t="n">
        <v>0</v>
      </c>
      <c r="N82" s="256" t="n">
        <v>0</v>
      </c>
      <c r="O82" s="256" t="n">
        <v>0</v>
      </c>
      <c r="P82" s="256" t="n">
        <v>0</v>
      </c>
      <c r="Q82" s="256" t="n">
        <v>0</v>
      </c>
      <c r="R82" s="256" t="n">
        <v>0</v>
      </c>
      <c r="S82" s="256" t="n">
        <v>0</v>
      </c>
      <c r="T82" s="256" t="n">
        <v>0</v>
      </c>
      <c r="U82" s="256" t="n">
        <v>0</v>
      </c>
      <c r="V82" s="256" t="n">
        <v>0</v>
      </c>
      <c r="W82" s="256" t="n">
        <v>0</v>
      </c>
      <c r="X82" s="256" t="n">
        <v>0</v>
      </c>
      <c r="Y82" s="256" t="n">
        <v>0</v>
      </c>
      <c r="Z82" s="256" t="n">
        <v>0</v>
      </c>
      <c r="AA82" s="256" t="n">
        <v>0</v>
      </c>
      <c r="AB82" s="256" t="n">
        <v>0</v>
      </c>
      <c r="AC82" s="256" t="n">
        <v>0</v>
      </c>
      <c r="AD82" s="256" t="n">
        <v>0</v>
      </c>
      <c r="AE82" s="256" t="n">
        <v>0</v>
      </c>
      <c r="AF82" s="256" t="n">
        <v>0</v>
      </c>
      <c r="AG82" s="256" t="n">
        <v>0</v>
      </c>
      <c r="AH82" s="256" t="n">
        <v>0</v>
      </c>
      <c r="AI82" s="256" t="n">
        <v>0</v>
      </c>
      <c r="AJ82" s="256" t="n">
        <v>0</v>
      </c>
    </row>
    <row r="83">
      <c r="A83" t="n">
        <v>33</v>
      </c>
      <c r="B83" t="n">
        <v>1</v>
      </c>
      <c r="G83" t="inlineStr">
        <is>
          <t>moeda</t>
        </is>
      </c>
      <c r="H83" t="inlineStr">
        <is>
          <t>Fleury BP: Imposto de Renda e Contribuição Social Diferidos (l.68) | Combinada BP: Imposto de Renda e Contribuição Social Diferidos PNC (l.71)</t>
        </is>
      </c>
      <c r="J83" t="inlineStr">
        <is>
          <t>fonte</t>
        </is>
      </c>
      <c r="K83" s="256" t="n">
        <v>418369</v>
      </c>
      <c r="L83" s="256" t="n">
        <v>469421.95361</v>
      </c>
      <c r="M83" s="256" t="n">
        <v>468624.5004</v>
      </c>
      <c r="N83" s="256" t="n">
        <v>468940.24418</v>
      </c>
      <c r="O83" s="256" t="n">
        <v>467165.84292</v>
      </c>
      <c r="P83" s="256" t="n">
        <v>466675.5079199999</v>
      </c>
      <c r="Q83" s="256" t="n">
        <v>465940.3679399999</v>
      </c>
      <c r="R83" s="256" t="n">
        <v>397561</v>
      </c>
      <c r="S83" s="256" t="n">
        <v>410477.74333</v>
      </c>
      <c r="T83" s="256" t="n">
        <v>508204.10198</v>
      </c>
      <c r="U83" s="256" t="n">
        <v>510904.1105299999</v>
      </c>
      <c r="V83" s="256" t="n">
        <v>397589.12424</v>
      </c>
      <c r="W83" s="256" t="n">
        <v>403139.3557200001</v>
      </c>
      <c r="X83" s="256" t="n">
        <v>570569</v>
      </c>
      <c r="Y83" s="256" t="n">
        <v>549898</v>
      </c>
      <c r="Z83" s="256" t="n">
        <v>580533</v>
      </c>
      <c r="AA83" s="256" t="n">
        <v>576753</v>
      </c>
      <c r="AB83" s="256" t="n">
        <v>551446</v>
      </c>
      <c r="AC83" s="256" t="n">
        <v>581485</v>
      </c>
      <c r="AD83" s="256" t="n">
        <v>571796</v>
      </c>
      <c r="AE83" s="256" t="n">
        <v>580326.605</v>
      </c>
      <c r="AF83" s="256" t="n">
        <v>525619</v>
      </c>
      <c r="AG83" s="256" t="n">
        <v>543129</v>
      </c>
      <c r="AH83" s="256" t="n">
        <v>557540</v>
      </c>
      <c r="AI83" s="256" t="n">
        <v>555293</v>
      </c>
      <c r="AJ83" s="256" t="n">
        <v>527353</v>
      </c>
    </row>
    <row r="84">
      <c r="A84" t="n">
        <v>34</v>
      </c>
      <c r="B84" t="n">
        <v>1</v>
      </c>
      <c r="G84" t="inlineStr">
        <is>
          <t>moeda</t>
        </is>
      </c>
      <c r="H84" t="inlineStr">
        <is>
          <t>Fleury BP: [nao existe] | Combinada BP: Provisão para riscos tributários, trabalhstas e cíveis (l.72) [0 em 1Q20..1Q23 (13 per.): linha inexistente/vazia na fonte; total divulgado confirma]</t>
        </is>
      </c>
      <c r="J84" t="inlineStr">
        <is>
          <t>fonte</t>
        </is>
      </c>
      <c r="K84" s="256" t="n">
        <v>0</v>
      </c>
      <c r="L84" s="256" t="n">
        <v>0</v>
      </c>
      <c r="M84" s="256" t="n">
        <v>0</v>
      </c>
      <c r="N84" s="256" t="n">
        <v>0</v>
      </c>
      <c r="O84" s="256" t="n">
        <v>0</v>
      </c>
      <c r="P84" s="256" t="n">
        <v>0</v>
      </c>
      <c r="Q84" s="256" t="n">
        <v>0</v>
      </c>
      <c r="R84" s="256" t="n">
        <v>0</v>
      </c>
      <c r="S84" s="256" t="n">
        <v>0</v>
      </c>
      <c r="T84" s="256" t="n">
        <v>0</v>
      </c>
      <c r="U84" s="256" t="n">
        <v>0</v>
      </c>
      <c r="V84" s="256" t="n">
        <v>0</v>
      </c>
      <c r="W84" s="256" t="n">
        <v>0</v>
      </c>
      <c r="X84" s="256" t="n">
        <v>109665</v>
      </c>
      <c r="Y84" s="256" t="n">
        <v>115045</v>
      </c>
      <c r="Z84" s="256" t="n">
        <v>161339</v>
      </c>
      <c r="AA84" s="256" t="n">
        <v>167652</v>
      </c>
      <c r="AB84" s="256" t="n">
        <v>167701</v>
      </c>
      <c r="AC84" s="256" t="n">
        <v>177706</v>
      </c>
      <c r="AD84" s="256" t="n">
        <v>176249</v>
      </c>
      <c r="AE84" s="256" t="n">
        <v>171745.768</v>
      </c>
      <c r="AF84" s="256" t="n">
        <v>174042</v>
      </c>
      <c r="AG84" s="256" t="n">
        <v>184821</v>
      </c>
      <c r="AH84" s="256" t="n">
        <v>180504</v>
      </c>
      <c r="AI84" s="256" t="n">
        <v>174320</v>
      </c>
      <c r="AJ84" s="256" t="n">
        <v>168203</v>
      </c>
    </row>
    <row r="85">
      <c r="A85" t="n">
        <v>34</v>
      </c>
      <c r="B85" t="n">
        <v>1</v>
      </c>
      <c r="G85" t="inlineStr">
        <is>
          <t>moeda</t>
        </is>
      </c>
      <c r="H85" t="inlineStr">
        <is>
          <t>Fleury BP: [nao existe] | Combinada BP: Parcelamentos tributários (l.73) [0 em 1Q20..1Q23 (13 per.): linha inexistente/vazia na fonte; total divulgado confirma]</t>
        </is>
      </c>
      <c r="J85" t="inlineStr">
        <is>
          <t>fonte</t>
        </is>
      </c>
      <c r="K85" s="256" t="n">
        <v>0</v>
      </c>
      <c r="L85" s="256" t="n">
        <v>0</v>
      </c>
      <c r="M85" s="256" t="n">
        <v>0</v>
      </c>
      <c r="N85" s="256" t="n">
        <v>0</v>
      </c>
      <c r="O85" s="256" t="n">
        <v>0</v>
      </c>
      <c r="P85" s="256" t="n">
        <v>0</v>
      </c>
      <c r="Q85" s="256" t="n">
        <v>0</v>
      </c>
      <c r="R85" s="256" t="n">
        <v>0</v>
      </c>
      <c r="S85" s="256" t="n">
        <v>0</v>
      </c>
      <c r="T85" s="256" t="n">
        <v>0</v>
      </c>
      <c r="U85" s="256" t="n">
        <v>0</v>
      </c>
      <c r="V85" s="256" t="n">
        <v>0</v>
      </c>
      <c r="W85" s="256" t="n">
        <v>0</v>
      </c>
      <c r="X85" s="256" t="n">
        <v>15466</v>
      </c>
      <c r="Y85" s="256" t="n">
        <v>13619</v>
      </c>
      <c r="Z85" s="256" t="n">
        <v>12929</v>
      </c>
      <c r="AA85" s="256" t="n">
        <v>11749</v>
      </c>
      <c r="AB85" s="256" t="n">
        <v>3594</v>
      </c>
      <c r="AC85" s="256" t="n">
        <v>2235</v>
      </c>
      <c r="AD85" s="256" t="n">
        <v>960</v>
      </c>
      <c r="AE85" s="256" t="n">
        <v>0.00019</v>
      </c>
      <c r="AF85" s="256" t="n">
        <v>0</v>
      </c>
      <c r="AG85" s="256" t="n">
        <v>850</v>
      </c>
      <c r="AH85" s="256" t="n">
        <v>850</v>
      </c>
      <c r="AI85" s="256" t="n">
        <v>850</v>
      </c>
      <c r="AJ85" s="256" t="n">
        <v>550</v>
      </c>
    </row>
    <row r="86">
      <c r="A86" t="n">
        <v>34</v>
      </c>
      <c r="B86" t="n">
        <v>1</v>
      </c>
      <c r="G86" t="inlineStr">
        <is>
          <t>moeda</t>
        </is>
      </c>
      <c r="H86" t="inlineStr">
        <is>
          <t>Fleury BP: Provisão para Perdas em Investimentos (l.69) | Combinada BP: Provisão para Perdas em Investimentos PNC (l.74)</t>
        </is>
      </c>
      <c r="J86" t="inlineStr">
        <is>
          <t>fonte</t>
        </is>
      </c>
      <c r="K86" s="256" t="n">
        <v>0</v>
      </c>
      <c r="L86" s="256" t="n">
        <v>0</v>
      </c>
      <c r="M86" s="256" t="n">
        <v>0</v>
      </c>
      <c r="N86" s="256" t="n">
        <v>0</v>
      </c>
      <c r="O86" s="256" t="n">
        <v>0</v>
      </c>
      <c r="P86" s="256" t="n">
        <v>0</v>
      </c>
      <c r="Q86" s="256" t="n">
        <v>0</v>
      </c>
      <c r="R86" s="256" t="n">
        <v>0</v>
      </c>
      <c r="S86" s="256" t="n">
        <v>0</v>
      </c>
      <c r="T86" s="256" t="n">
        <v>0</v>
      </c>
      <c r="U86" s="256" t="n">
        <v>0</v>
      </c>
      <c r="V86" s="256" t="n">
        <v>0</v>
      </c>
      <c r="W86" s="256" t="n">
        <v>0</v>
      </c>
      <c r="X86" s="256" t="n">
        <v>0</v>
      </c>
      <c r="Y86" s="256" t="n">
        <v>0</v>
      </c>
      <c r="Z86" s="256" t="n">
        <v>0</v>
      </c>
      <c r="AA86" s="256" t="n">
        <v>0</v>
      </c>
      <c r="AB86" s="256" t="n">
        <v>0</v>
      </c>
      <c r="AC86" s="256" t="n">
        <v>0</v>
      </c>
      <c r="AD86" s="256" t="n">
        <v>0</v>
      </c>
      <c r="AE86" s="256" t="n">
        <v>0</v>
      </c>
      <c r="AF86" s="256" t="n">
        <v>0</v>
      </c>
      <c r="AG86" s="256" t="n">
        <v>0</v>
      </c>
      <c r="AH86" s="256" t="n">
        <v>0</v>
      </c>
      <c r="AI86" s="256" t="n">
        <v>0</v>
      </c>
      <c r="AJ86" s="256" t="n">
        <v>0</v>
      </c>
    </row>
    <row r="87">
      <c r="A87" t="n">
        <v>34</v>
      </c>
      <c r="B87" t="n">
        <v>1</v>
      </c>
      <c r="G87" t="inlineStr">
        <is>
          <t>moeda</t>
        </is>
      </c>
      <c r="H87" t="inlineStr">
        <is>
          <t>Fleury BP: Provisão para Contingências (l.70) | Combinada BP: Provisão para Contingências PNC (l.75)</t>
        </is>
      </c>
      <c r="J87" t="inlineStr">
        <is>
          <t>fonte</t>
        </is>
      </c>
      <c r="K87" s="256" t="n">
        <v>38365.2597</v>
      </c>
      <c r="L87" s="256" t="n">
        <v>38793.40135</v>
      </c>
      <c r="M87" s="256" t="n">
        <v>40356.28611000001</v>
      </c>
      <c r="N87" s="256" t="n">
        <v>42082.31877000001</v>
      </c>
      <c r="O87" s="256" t="n">
        <v>41761.59682</v>
      </c>
      <c r="P87" s="256" t="n">
        <v>34240.47781999999</v>
      </c>
      <c r="Q87" s="256" t="n">
        <v>37095.10298999999</v>
      </c>
      <c r="R87" s="256" t="n">
        <v>36196.39398</v>
      </c>
      <c r="S87" s="256" t="n">
        <v>37118.80782</v>
      </c>
      <c r="T87" s="256" t="n">
        <v>34508.83943</v>
      </c>
      <c r="U87" s="256" t="n">
        <v>31753.93463</v>
      </c>
      <c r="V87" s="256" t="n">
        <v>29086.9152</v>
      </c>
      <c r="W87" s="256" t="n">
        <v>27401.2128</v>
      </c>
      <c r="X87" s="256" t="n">
        <v>0</v>
      </c>
      <c r="Y87" s="256" t="n">
        <v>0</v>
      </c>
      <c r="Z87" s="256" t="n">
        <v>0</v>
      </c>
      <c r="AA87" s="256" t="n">
        <v>0</v>
      </c>
      <c r="AB87" s="256" t="n">
        <v>0</v>
      </c>
      <c r="AC87" s="256" t="n">
        <v>0</v>
      </c>
      <c r="AD87" s="256" t="n">
        <v>0</v>
      </c>
      <c r="AE87" s="256" t="n">
        <v>0</v>
      </c>
      <c r="AF87" s="256" t="n">
        <v>0</v>
      </c>
      <c r="AG87" s="256" t="n">
        <v>0</v>
      </c>
      <c r="AH87" s="256" t="n">
        <v>0</v>
      </c>
      <c r="AI87" s="256" t="n">
        <v>0</v>
      </c>
      <c r="AJ87" s="256" t="n">
        <v>0</v>
      </c>
    </row>
    <row r="88">
      <c r="A88" t="n">
        <v>34</v>
      </c>
      <c r="B88" t="n">
        <v>1</v>
      </c>
      <c r="G88" t="inlineStr">
        <is>
          <t>moeda</t>
        </is>
      </c>
      <c r="H88" t="inlineStr">
        <is>
          <t>Fleury BP: Impostos e Contribuições a Recolher (l.71) | Combinada BP: Impostos e Contribuições a Recolher PNC (l.76)</t>
        </is>
      </c>
      <c r="J88" t="inlineStr">
        <is>
          <t>fonte</t>
        </is>
      </c>
      <c r="K88" s="256" t="n">
        <v>21029.34889</v>
      </c>
      <c r="L88" s="256" t="n">
        <v>19444.34995</v>
      </c>
      <c r="M88" s="256" t="n">
        <v>17898.0693</v>
      </c>
      <c r="N88" s="256" t="n">
        <v>14910.4318</v>
      </c>
      <c r="O88" s="256" t="n">
        <v>14229.83693</v>
      </c>
      <c r="P88" s="256" t="n">
        <v>14273.74772</v>
      </c>
      <c r="Q88" s="256" t="n">
        <v>15329.68637</v>
      </c>
      <c r="R88" s="256" t="n">
        <v>13197.46827</v>
      </c>
      <c r="S88" s="256" t="n">
        <v>10528.30524</v>
      </c>
      <c r="T88" s="256" t="n">
        <v>11883.98585</v>
      </c>
      <c r="U88" s="256" t="n">
        <v>8071.87964</v>
      </c>
      <c r="V88" s="256" t="n">
        <v>8707.597189999999</v>
      </c>
      <c r="W88" s="256" t="n">
        <v>6440.945809999999</v>
      </c>
      <c r="X88" s="256" t="n">
        <v>0</v>
      </c>
      <c r="Y88" s="256" t="n">
        <v>0</v>
      </c>
      <c r="Z88" s="256" t="n">
        <v>0</v>
      </c>
      <c r="AA88" s="256" t="n">
        <v>0</v>
      </c>
      <c r="AB88" s="256" t="n">
        <v>0</v>
      </c>
      <c r="AC88" s="256" t="n">
        <v>0</v>
      </c>
      <c r="AD88" s="256" t="n">
        <v>0</v>
      </c>
      <c r="AE88" s="256" t="n">
        <v>0</v>
      </c>
      <c r="AF88" s="256" t="n">
        <v>0</v>
      </c>
      <c r="AG88" s="256" t="n">
        <v>0</v>
      </c>
      <c r="AH88" s="256" t="n">
        <v>0</v>
      </c>
      <c r="AI88" s="256" t="n">
        <v>0</v>
      </c>
      <c r="AJ88" s="256" t="n">
        <v>0</v>
      </c>
    </row>
    <row r="89">
      <c r="A89" t="n">
        <v>34</v>
      </c>
      <c r="B89" t="n">
        <v>1</v>
      </c>
      <c r="G89" t="inlineStr">
        <is>
          <t>moeda</t>
        </is>
      </c>
      <c r="H89" t="inlineStr">
        <is>
          <t>Fleury BP: Partes Relacionadas (l.72) | Combinada BP: Partes Relacionadas PNC (l.77)</t>
        </is>
      </c>
      <c r="J89" t="inlineStr">
        <is>
          <t>fonte</t>
        </is>
      </c>
      <c r="K89" s="256" t="n">
        <v>0</v>
      </c>
      <c r="L89" s="256" t="n">
        <v>0</v>
      </c>
      <c r="M89" s="256" t="n">
        <v>0</v>
      </c>
      <c r="N89" s="256" t="n">
        <v>0</v>
      </c>
      <c r="O89" s="256" t="n">
        <v>0</v>
      </c>
      <c r="P89" s="256" t="n">
        <v>0</v>
      </c>
      <c r="Q89" s="256" t="n">
        <v>0</v>
      </c>
      <c r="R89" s="256" t="n">
        <v>0</v>
      </c>
      <c r="S89" s="256" t="n">
        <v>0</v>
      </c>
      <c r="T89" s="256" t="n">
        <v>0</v>
      </c>
      <c r="U89" s="256" t="n">
        <v>0</v>
      </c>
      <c r="V89" s="256" t="n">
        <v>0</v>
      </c>
      <c r="W89" s="256" t="n">
        <v>0</v>
      </c>
      <c r="X89" s="256" t="n">
        <v>0</v>
      </c>
      <c r="Y89" s="256" t="n">
        <v>0</v>
      </c>
      <c r="Z89" s="256" t="n">
        <v>0</v>
      </c>
      <c r="AA89" s="256" t="n">
        <v>0</v>
      </c>
      <c r="AB89" s="256" t="n">
        <v>0</v>
      </c>
      <c r="AC89" s="256" t="n">
        <v>0</v>
      </c>
      <c r="AD89" s="256" t="n">
        <v>0</v>
      </c>
      <c r="AE89" s="256" t="n">
        <v>0</v>
      </c>
      <c r="AF89" s="256" t="n">
        <v>0</v>
      </c>
      <c r="AG89" s="256" t="n">
        <v>0</v>
      </c>
      <c r="AH89" s="256" t="n">
        <v>0</v>
      </c>
      <c r="AI89" s="256" t="n">
        <v>0</v>
      </c>
      <c r="AJ89" s="256" t="n">
        <v>0</v>
      </c>
    </row>
    <row r="90">
      <c r="A90" t="n">
        <v>34</v>
      </c>
      <c r="B90" t="n">
        <v>1</v>
      </c>
      <c r="G90" t="inlineStr">
        <is>
          <t>moeda</t>
        </is>
      </c>
      <c r="H90" t="inlineStr">
        <is>
          <t>Fleury BP: Contas a Pagar - Aquisição de Empresas (l.73) | Combinada BP: Contas a Pagar - Aquisição de Empresas PNC (l.78)</t>
        </is>
      </c>
      <c r="J90" t="inlineStr">
        <is>
          <t>fonte</t>
        </is>
      </c>
      <c r="K90" s="256" t="n">
        <v>87869.90306999999</v>
      </c>
      <c r="L90" s="256" t="n">
        <v>84332.75262</v>
      </c>
      <c r="M90" s="256" t="n">
        <v>82954.01825000001</v>
      </c>
      <c r="N90" s="256" t="n">
        <v>83091.75509999999</v>
      </c>
      <c r="O90" s="256" t="n">
        <v>75778.46891</v>
      </c>
      <c r="P90" s="256" t="n">
        <v>102405.22383</v>
      </c>
      <c r="Q90" s="256" t="n">
        <v>118541.26399</v>
      </c>
      <c r="R90" s="256" t="n">
        <v>118693.35449</v>
      </c>
      <c r="S90" s="256" t="n">
        <v>112602.92761</v>
      </c>
      <c r="T90" s="256" t="n">
        <v>172471.59742</v>
      </c>
      <c r="U90" s="256" t="n">
        <v>173818.76173</v>
      </c>
      <c r="V90" s="256" t="n">
        <v>276326.07295</v>
      </c>
      <c r="W90" s="256" t="n">
        <v>253940.85754</v>
      </c>
      <c r="X90" s="256" t="n">
        <v>319414</v>
      </c>
      <c r="Y90" s="256" t="n">
        <v>375171</v>
      </c>
      <c r="Z90" s="256" t="n">
        <v>366576</v>
      </c>
      <c r="AA90" s="256" t="n">
        <v>318283</v>
      </c>
      <c r="AB90" s="256" t="n">
        <v>312188</v>
      </c>
      <c r="AC90" s="256" t="n">
        <v>305730</v>
      </c>
      <c r="AD90" s="256" t="n">
        <v>301810</v>
      </c>
      <c r="AE90" s="256" t="n">
        <v>288368</v>
      </c>
      <c r="AF90" s="256" t="n">
        <v>324020</v>
      </c>
      <c r="AG90" s="256" t="n">
        <v>337917</v>
      </c>
      <c r="AH90" s="256" t="n">
        <v>348031</v>
      </c>
      <c r="AI90" s="256" t="n">
        <v>361874</v>
      </c>
      <c r="AJ90" s="256" t="n">
        <v>344139</v>
      </c>
    </row>
    <row r="91">
      <c r="A91" t="n">
        <v>34</v>
      </c>
      <c r="B91" t="n">
        <v>1</v>
      </c>
      <c r="G91" t="inlineStr">
        <is>
          <t>moeda</t>
        </is>
      </c>
      <c r="H91" t="inlineStr">
        <is>
          <t>Fleury BP: Dividendos a Pagar (l.74) | Combinada BP: Dividendos a Pagar PNC (l.79)</t>
        </is>
      </c>
      <c r="J91" t="inlineStr">
        <is>
          <t>fonte</t>
        </is>
      </c>
      <c r="K91" s="256" t="n">
        <v>0</v>
      </c>
      <c r="L91" s="256" t="n">
        <v>0</v>
      </c>
      <c r="M91" s="256" t="n">
        <v>0</v>
      </c>
      <c r="N91" s="256" t="n">
        <v>0</v>
      </c>
      <c r="O91" s="256" t="n">
        <v>0</v>
      </c>
      <c r="P91" s="256" t="n">
        <v>0</v>
      </c>
      <c r="Q91" s="256" t="n">
        <v>0</v>
      </c>
      <c r="R91" s="256" t="n">
        <v>0</v>
      </c>
      <c r="S91" s="256" t="n">
        <v>0</v>
      </c>
      <c r="T91" s="256" t="n">
        <v>0</v>
      </c>
      <c r="U91" s="256" t="n">
        <v>0</v>
      </c>
      <c r="V91" s="256" t="n">
        <v>0</v>
      </c>
      <c r="W91" s="256" t="n">
        <v>0</v>
      </c>
      <c r="X91" s="256" t="n">
        <v>0</v>
      </c>
      <c r="Y91" s="256" t="n">
        <v>0</v>
      </c>
      <c r="Z91" s="256" t="n">
        <v>0</v>
      </c>
      <c r="AA91" s="256" t="n">
        <v>0</v>
      </c>
      <c r="AB91" s="256" t="n">
        <v>0</v>
      </c>
      <c r="AC91" s="256" t="n">
        <v>0</v>
      </c>
      <c r="AD91" s="256" t="n">
        <v>0</v>
      </c>
      <c r="AE91" s="256" t="n">
        <v>0</v>
      </c>
      <c r="AF91" s="256" t="n">
        <v>0</v>
      </c>
      <c r="AG91" s="256" t="n">
        <v>0</v>
      </c>
      <c r="AH91" s="256" t="n">
        <v>71000</v>
      </c>
      <c r="AI91" s="256" t="n">
        <v>71000</v>
      </c>
      <c r="AJ91" s="256" t="n">
        <v>71000</v>
      </c>
    </row>
    <row r="92">
      <c r="A92" t="n">
        <v>34</v>
      </c>
      <c r="B92" t="n">
        <v>1</v>
      </c>
      <c r="G92" t="inlineStr">
        <is>
          <t>moeda</t>
        </is>
      </c>
      <c r="H92" t="inlineStr">
        <is>
          <t>Fleury BP: Outros (l.75) | Combinada BP: Outros PNC (l.80)</t>
        </is>
      </c>
      <c r="J92" t="inlineStr">
        <is>
          <t>fonte</t>
        </is>
      </c>
      <c r="K92" s="256" t="n">
        <v>7608.91</v>
      </c>
      <c r="L92" s="256" t="n">
        <v>7033.12501</v>
      </c>
      <c r="M92" s="256" t="n">
        <v>6329.81251</v>
      </c>
      <c r="N92" s="256" t="n">
        <v>5626.50001</v>
      </c>
      <c r="O92" s="256" t="n">
        <v>4913.8853</v>
      </c>
      <c r="P92" s="256" t="n">
        <v>4206.3749</v>
      </c>
      <c r="Q92" s="256" t="n">
        <v>3497.56698</v>
      </c>
      <c r="R92" s="256" t="n">
        <v>2812.432929999999</v>
      </c>
      <c r="S92" s="256" t="n">
        <v>2102.81193</v>
      </c>
      <c r="T92" s="256" t="n">
        <v>1376.27345</v>
      </c>
      <c r="U92" s="256" t="n">
        <v>656.28214</v>
      </c>
      <c r="V92" s="256" t="n">
        <v>2575.25456</v>
      </c>
      <c r="W92" s="256" t="n">
        <v>2575.91705</v>
      </c>
      <c r="X92" s="256" t="n">
        <v>2578</v>
      </c>
      <c r="Y92" s="256" t="n">
        <v>0</v>
      </c>
      <c r="Z92" s="256" t="n">
        <v>18</v>
      </c>
      <c r="AA92" s="256" t="n">
        <v>1.58127</v>
      </c>
      <c r="AB92" s="256" t="n">
        <v>0</v>
      </c>
      <c r="AC92" s="256" t="n">
        <v>0</v>
      </c>
      <c r="AD92" s="256" t="n">
        <v>0</v>
      </c>
      <c r="AE92" s="256" t="n">
        <v>0</v>
      </c>
      <c r="AF92" s="256" t="n">
        <v>0</v>
      </c>
      <c r="AG92" s="256" t="n">
        <v>2</v>
      </c>
      <c r="AH92" s="256" t="n">
        <v>0</v>
      </c>
      <c r="AI92" s="256" t="n">
        <v>0</v>
      </c>
      <c r="AJ92" s="256" t="n">
        <v>0</v>
      </c>
    </row>
    <row r="93">
      <c r="A93" t="n">
        <v>37</v>
      </c>
      <c r="B93" t="n">
        <v>1</v>
      </c>
      <c r="G93" t="inlineStr">
        <is>
          <t>moeda</t>
        </is>
      </c>
      <c r="H93" t="inlineStr">
        <is>
          <t>Fleury BP: Capital Social (l.80) | Combinada BP: Capital Social (l.85)</t>
        </is>
      </c>
      <c r="J93" t="inlineStr">
        <is>
          <t>fonte</t>
        </is>
      </c>
      <c r="K93" s="256" t="n">
        <v>1427151.15031</v>
      </c>
      <c r="L93" s="256" t="n">
        <v>1427151.15031</v>
      </c>
      <c r="M93" s="256" t="n">
        <v>1432201.93513</v>
      </c>
      <c r="N93" s="256" t="n">
        <v>1432201.93513</v>
      </c>
      <c r="O93" s="256" t="n">
        <v>1432201.93513</v>
      </c>
      <c r="P93" s="256" t="n">
        <v>1432201.935130001</v>
      </c>
      <c r="Q93" s="256" t="n">
        <v>1437252.71995</v>
      </c>
      <c r="R93" s="256" t="n">
        <v>1437252.71995</v>
      </c>
      <c r="S93" s="256" t="n">
        <v>1437252.71995</v>
      </c>
      <c r="T93" s="256" t="n">
        <v>1437252.71995</v>
      </c>
      <c r="U93" s="256" t="n">
        <v>1438948.52855</v>
      </c>
      <c r="V93" s="256" t="n">
        <v>1717221.96891</v>
      </c>
      <c r="W93" s="256" t="n">
        <v>1716902.30805</v>
      </c>
      <c r="X93" s="256" t="n">
        <v>2735982</v>
      </c>
      <c r="Y93" s="256" t="n">
        <v>2736029</v>
      </c>
      <c r="Z93" s="256" t="n">
        <v>2736029</v>
      </c>
      <c r="AA93" s="256" t="n">
        <v>2736029</v>
      </c>
      <c r="AB93" s="256" t="n">
        <v>2736029.22626</v>
      </c>
      <c r="AC93" s="256" t="n">
        <v>2736029</v>
      </c>
      <c r="AD93" s="256" t="n">
        <v>2736029</v>
      </c>
      <c r="AE93" s="256" t="n">
        <v>2736029.226</v>
      </c>
      <c r="AF93" s="256" t="n">
        <v>2736029</v>
      </c>
      <c r="AG93" s="256" t="n">
        <v>2736029</v>
      </c>
      <c r="AH93" s="256" t="n">
        <v>2736029</v>
      </c>
      <c r="AI93" s="256" t="n">
        <v>2736029</v>
      </c>
      <c r="AJ93" s="256" t="n">
        <v>2736029</v>
      </c>
    </row>
    <row r="94">
      <c r="A94" t="n">
        <v>37</v>
      </c>
      <c r="B94" t="n">
        <v>1</v>
      </c>
      <c r="G94" t="inlineStr">
        <is>
          <t>moeda</t>
        </is>
      </c>
      <c r="H94" t="inlineStr">
        <is>
          <t>Fleury BP: Reserva de Capital (l.81) | Combinada BP: Reserva de Capital (l.86)</t>
        </is>
      </c>
      <c r="J94" t="inlineStr">
        <is>
          <t>fonte</t>
        </is>
      </c>
      <c r="K94" s="256" t="n">
        <v>33956.24492</v>
      </c>
      <c r="L94" s="256" t="n">
        <v>34010.52637</v>
      </c>
      <c r="M94" s="256" t="n">
        <v>34982.4319</v>
      </c>
      <c r="N94" s="256" t="n">
        <v>35954.33743</v>
      </c>
      <c r="O94" s="256" t="n">
        <v>36505.92145</v>
      </c>
      <c r="P94" s="256" t="n">
        <v>36921.46973</v>
      </c>
      <c r="Q94" s="256" t="n">
        <v>37245.11239</v>
      </c>
      <c r="R94" s="256" t="n">
        <v>37474.93202</v>
      </c>
      <c r="S94" s="256" t="n">
        <v>37855.08068</v>
      </c>
      <c r="T94" s="256" t="n">
        <v>37762.50491</v>
      </c>
      <c r="U94" s="256" t="n">
        <v>37906.29134</v>
      </c>
      <c r="V94" s="256" t="n">
        <v>603212.24623</v>
      </c>
      <c r="W94" s="256" t="n">
        <v>603250.09036</v>
      </c>
      <c r="X94" s="256" t="n">
        <v>1915374</v>
      </c>
      <c r="Y94" s="256" t="n">
        <v>1915413</v>
      </c>
      <c r="Z94" s="256" t="n">
        <v>1915451</v>
      </c>
      <c r="AA94" s="256" t="n">
        <v>1915489</v>
      </c>
      <c r="AB94" s="256" t="n">
        <v>1915527.16932</v>
      </c>
      <c r="AC94" s="256" t="n">
        <v>1915565</v>
      </c>
      <c r="AD94" s="256" t="n">
        <v>1915603</v>
      </c>
      <c r="AE94" s="256" t="n">
        <v>1915602.857</v>
      </c>
      <c r="AF94" s="256" t="n">
        <v>1915603</v>
      </c>
      <c r="AG94" s="256" t="n">
        <v>1915603</v>
      </c>
      <c r="AH94" s="256" t="n">
        <v>1915603</v>
      </c>
      <c r="AI94" s="256" t="n">
        <v>1915603</v>
      </c>
      <c r="AJ94" s="256" t="n">
        <v>1928699</v>
      </c>
    </row>
    <row r="95">
      <c r="A95" t="n">
        <v>37</v>
      </c>
      <c r="B95" t="n">
        <v>1</v>
      </c>
      <c r="G95" t="inlineStr">
        <is>
          <t>moeda</t>
        </is>
      </c>
      <c r="H95" t="inlineStr">
        <is>
          <t>Fleury BP: Reserva de Capital - Opções Outorgadas Reconhecidas (l.82) | Combinada BP: Reserva de Capital - Opções Outorgadas Reconhecidas (l.87)</t>
        </is>
      </c>
      <c r="J95" t="inlineStr">
        <is>
          <t>fonte</t>
        </is>
      </c>
      <c r="K95" s="256" t="n">
        <v>0</v>
      </c>
      <c r="L95" s="256" t="n">
        <v>0</v>
      </c>
      <c r="M95" s="256" t="n">
        <v>0</v>
      </c>
      <c r="N95" s="256" t="n">
        <v>0</v>
      </c>
      <c r="O95" s="256" t="n">
        <v>0</v>
      </c>
      <c r="P95" s="256" t="n">
        <v>0</v>
      </c>
      <c r="Q95" s="256" t="n">
        <v>0</v>
      </c>
      <c r="R95" s="256" t="n">
        <v>0</v>
      </c>
      <c r="S95" s="256" t="n">
        <v>0</v>
      </c>
      <c r="T95" s="256" t="n">
        <v>0</v>
      </c>
      <c r="U95" s="256" t="n">
        <v>0</v>
      </c>
      <c r="V95" s="256" t="n">
        <v>0</v>
      </c>
      <c r="W95" s="256" t="n">
        <v>0</v>
      </c>
      <c r="X95" s="256" t="n">
        <v>0</v>
      </c>
      <c r="Y95" s="256" t="n">
        <v>0</v>
      </c>
      <c r="Z95" s="256" t="n">
        <v>0</v>
      </c>
      <c r="AA95" s="256" t="n">
        <v>0</v>
      </c>
      <c r="AB95" s="256" t="n">
        <v>0</v>
      </c>
      <c r="AC95" s="256" t="n">
        <v>0</v>
      </c>
      <c r="AD95" s="256" t="n">
        <v>0</v>
      </c>
      <c r="AE95" s="256" t="n">
        <v>0</v>
      </c>
      <c r="AF95" s="256" t="n">
        <v>0</v>
      </c>
      <c r="AG95" s="256" t="n">
        <v>0</v>
      </c>
      <c r="AH95" s="256" t="n">
        <v>0</v>
      </c>
      <c r="AI95" s="256" t="n">
        <v>0</v>
      </c>
      <c r="AJ95" s="256" t="n">
        <v>0</v>
      </c>
    </row>
    <row r="96">
      <c r="A96" t="n">
        <v>40</v>
      </c>
      <c r="B96" t="n">
        <v>1</v>
      </c>
      <c r="G96" t="inlineStr">
        <is>
          <t>moeda</t>
        </is>
      </c>
      <c r="H96" t="inlineStr">
        <is>
          <t>Fleury BP: Reserva de Reavaliação (l.83) | Combinada BP: Reserva de Reavaliação (l.88)</t>
        </is>
      </c>
      <c r="J96" t="inlineStr">
        <is>
          <t>fonte</t>
        </is>
      </c>
      <c r="K96" s="256" t="n">
        <v>0</v>
      </c>
      <c r="L96" s="256" t="n">
        <v>0</v>
      </c>
      <c r="M96" s="256" t="n">
        <v>0</v>
      </c>
      <c r="N96" s="256" t="n">
        <v>0</v>
      </c>
      <c r="O96" s="256" t="n">
        <v>0</v>
      </c>
      <c r="P96" s="256" t="n">
        <v>0</v>
      </c>
      <c r="Q96" s="256" t="n">
        <v>0</v>
      </c>
      <c r="R96" s="256" t="n">
        <v>0</v>
      </c>
      <c r="S96" s="256" t="n">
        <v>0</v>
      </c>
      <c r="T96" s="256" t="n">
        <v>0</v>
      </c>
      <c r="U96" s="256" t="n">
        <v>0</v>
      </c>
      <c r="V96" s="256" t="n">
        <v>0</v>
      </c>
      <c r="W96" s="256" t="n">
        <v>0</v>
      </c>
      <c r="X96" s="256" t="n">
        <v>0</v>
      </c>
      <c r="Y96" s="256" t="n">
        <v>0</v>
      </c>
      <c r="Z96" s="256" t="n">
        <v>0</v>
      </c>
      <c r="AA96" s="256" t="n">
        <v>0</v>
      </c>
      <c r="AB96" s="256" t="n">
        <v>0</v>
      </c>
      <c r="AC96" s="256" t="n">
        <v>0</v>
      </c>
      <c r="AD96" s="256" t="n">
        <v>0</v>
      </c>
      <c r="AE96" s="256" t="n">
        <v>0</v>
      </c>
      <c r="AF96" s="256" t="n">
        <v>0</v>
      </c>
      <c r="AG96" s="256" t="n">
        <v>0</v>
      </c>
      <c r="AH96" s="256" t="n">
        <v>0</v>
      </c>
      <c r="AI96" s="256" t="n">
        <v>0</v>
      </c>
      <c r="AJ96" s="256" t="n">
        <v>0</v>
      </c>
    </row>
    <row r="97">
      <c r="A97" t="n">
        <v>40</v>
      </c>
      <c r="B97" t="n">
        <v>1</v>
      </c>
      <c r="G97" t="inlineStr">
        <is>
          <t>moeda</t>
        </is>
      </c>
      <c r="H97" t="inlineStr">
        <is>
          <t>Fleury BP: Reserva Legal (l.84) | Combinada BP: Reserva Legal (l.89)</t>
        </is>
      </c>
      <c r="J97" t="inlineStr">
        <is>
          <t>fonte</t>
        </is>
      </c>
      <c r="K97" s="256" t="n">
        <v>102876.47304</v>
      </c>
      <c r="L97" s="256" t="n">
        <v>102876.47304</v>
      </c>
      <c r="M97" s="256" t="n">
        <v>102876.47304</v>
      </c>
      <c r="N97" s="256" t="n">
        <v>115724.52726</v>
      </c>
      <c r="O97" s="256" t="n">
        <v>115724.52726</v>
      </c>
      <c r="P97" s="256" t="n">
        <v>115724.52726</v>
      </c>
      <c r="Q97" s="256" t="n">
        <v>115724.52726</v>
      </c>
      <c r="R97" s="256" t="n">
        <v>133220.77499</v>
      </c>
      <c r="S97" s="256" t="n">
        <v>133220.77499</v>
      </c>
      <c r="T97" s="256" t="n">
        <v>133220.77499</v>
      </c>
      <c r="U97" s="256" t="n">
        <v>133220.77499</v>
      </c>
      <c r="V97" s="256" t="n">
        <v>148616.19521</v>
      </c>
      <c r="W97" s="256" t="n">
        <v>148616.19521</v>
      </c>
      <c r="X97" s="256" t="n">
        <v>148616</v>
      </c>
      <c r="Y97" s="256" t="n">
        <v>148616</v>
      </c>
      <c r="Z97" s="256" t="n">
        <v>169804</v>
      </c>
      <c r="AA97" s="256" t="n">
        <v>0</v>
      </c>
      <c r="AB97" s="256" t="n">
        <v>0</v>
      </c>
      <c r="AC97" s="256" t="n">
        <v>0</v>
      </c>
      <c r="AD97" s="256" t="n">
        <v>0</v>
      </c>
      <c r="AE97" s="256" t="n">
        <v>0</v>
      </c>
      <c r="AF97" s="256" t="n">
        <v>0</v>
      </c>
      <c r="AG97" s="256" t="n">
        <v>0</v>
      </c>
      <c r="AH97" s="256" t="n">
        <v>0</v>
      </c>
      <c r="AI97" s="256" t="n">
        <v>0</v>
      </c>
      <c r="AJ97" s="256" t="n">
        <v>0</v>
      </c>
    </row>
    <row r="98">
      <c r="A98" t="n">
        <v>40</v>
      </c>
      <c r="B98" t="n">
        <v>1</v>
      </c>
      <c r="G98" t="inlineStr">
        <is>
          <t>moeda</t>
        </is>
      </c>
      <c r="H98" t="inlineStr">
        <is>
          <t>Fleury BP: Reserva para Investimentos (l.85) | Combinada BP: Reserva para Investimentos (l.90)</t>
        </is>
      </c>
      <c r="J98" t="inlineStr">
        <is>
          <t>fonte</t>
        </is>
      </c>
      <c r="K98" s="256" t="n">
        <v>0</v>
      </c>
      <c r="L98" s="256" t="n">
        <v>0</v>
      </c>
      <c r="M98" s="256" t="n">
        <v>0</v>
      </c>
      <c r="N98" s="256" t="n">
        <v>0</v>
      </c>
      <c r="O98" s="256" t="n">
        <v>10174.05665</v>
      </c>
      <c r="P98" s="256" t="n">
        <v>10174.05665</v>
      </c>
      <c r="Q98" s="256" t="n">
        <v>10174.05665</v>
      </c>
      <c r="R98" s="256" t="n">
        <v>10174.05665</v>
      </c>
      <c r="S98" s="256" t="n">
        <v>23004.14439</v>
      </c>
      <c r="T98" s="256" t="n">
        <v>23004.14439</v>
      </c>
      <c r="U98" s="256" t="n">
        <v>23004.14439</v>
      </c>
      <c r="V98" s="256" t="n">
        <v>45166.188187</v>
      </c>
      <c r="W98" s="256" t="n">
        <v>207618.70234</v>
      </c>
      <c r="X98" s="256" t="n">
        <v>37619</v>
      </c>
      <c r="Y98" s="256" t="n">
        <v>37619</v>
      </c>
      <c r="Z98" s="256" t="n">
        <v>37619</v>
      </c>
      <c r="AA98" s="256" t="n">
        <v>0</v>
      </c>
      <c r="AB98" s="256" t="n">
        <v>0</v>
      </c>
      <c r="AC98" s="256" t="n">
        <v>0</v>
      </c>
      <c r="AD98" s="256" t="n">
        <v>0</v>
      </c>
      <c r="AE98" s="256" t="n">
        <v>0</v>
      </c>
      <c r="AF98" s="256" t="n">
        <v>0</v>
      </c>
      <c r="AG98" s="256" t="n">
        <v>0</v>
      </c>
      <c r="AH98" s="256" t="n">
        <v>0</v>
      </c>
      <c r="AI98" s="256" t="n">
        <v>0</v>
      </c>
      <c r="AJ98" s="256" t="n">
        <v>0</v>
      </c>
    </row>
    <row r="99">
      <c r="A99" t="n">
        <v>41</v>
      </c>
      <c r="B99" t="n">
        <v>1</v>
      </c>
      <c r="G99" t="inlineStr">
        <is>
          <t>moeda</t>
        </is>
      </c>
      <c r="H99" t="inlineStr">
        <is>
          <t>Fleury BP: Lucros Acumulados (l.86) | Combinada BP: Lucros Acumulados (l.91)</t>
        </is>
      </c>
      <c r="J99" t="inlineStr">
        <is>
          <t>fonte</t>
        </is>
      </c>
      <c r="K99" s="256" t="n">
        <v>58719.46429000011</v>
      </c>
      <c r="L99" s="256" t="n">
        <v>-14906.00837</v>
      </c>
      <c r="M99" s="256" t="n">
        <v>117478.83588</v>
      </c>
      <c r="N99" s="256" t="n">
        <v>169643.49684</v>
      </c>
      <c r="O99" s="256" t="n">
        <v>121286.32605</v>
      </c>
      <c r="P99" s="256" t="n">
        <v>186820.95282</v>
      </c>
      <c r="Q99" s="256" t="n">
        <v>239431.39772</v>
      </c>
      <c r="R99" s="256" t="n">
        <v>251995.89812</v>
      </c>
      <c r="S99" s="256" t="n">
        <v>135277.50577</v>
      </c>
      <c r="T99" s="256" t="n">
        <v>213056.5861</v>
      </c>
      <c r="U99" s="256" t="n">
        <v>301792.49417</v>
      </c>
      <c r="V99" s="256" t="n">
        <v>187291</v>
      </c>
      <c r="W99" s="256" t="n">
        <v>118689.01586</v>
      </c>
      <c r="X99" s="256" t="n">
        <v>24838</v>
      </c>
      <c r="Y99" s="256" t="n">
        <v>24838</v>
      </c>
      <c r="Z99" s="256" t="n">
        <v>190126</v>
      </c>
      <c r="AA99" s="256" t="n">
        <v>317013</v>
      </c>
      <c r="AB99" s="256" t="n">
        <v>317013</v>
      </c>
      <c r="AC99" s="256" t="n">
        <v>317013</v>
      </c>
      <c r="AD99" s="256" t="n">
        <v>347820</v>
      </c>
      <c r="AE99" s="256" t="n">
        <v>378628</v>
      </c>
      <c r="AF99" s="256" t="n">
        <v>378628</v>
      </c>
      <c r="AG99" s="256" t="n">
        <v>378628</v>
      </c>
      <c r="AH99" s="256" t="n">
        <v>332450</v>
      </c>
      <c r="AI99" s="256" t="n">
        <v>332450</v>
      </c>
      <c r="AJ99" s="256" t="n">
        <v>332449</v>
      </c>
    </row>
    <row r="100">
      <c r="A100" t="n">
        <v>40</v>
      </c>
      <c r="B100" t="n">
        <v>1</v>
      </c>
      <c r="G100" t="inlineStr">
        <is>
          <t>moeda</t>
        </is>
      </c>
      <c r="H100" t="inlineStr">
        <is>
          <t>Fleury BP: Dividendo Adicional Proposto (l.87) | Combinada BP: Dividendo Adicional Proposto (l.92)</t>
        </is>
      </c>
      <c r="J100" t="inlineStr">
        <is>
          <t>fonte</t>
        </is>
      </c>
      <c r="K100" s="256" t="n">
        <v>0</v>
      </c>
      <c r="L100" s="256" t="n">
        <v>0</v>
      </c>
      <c r="M100" s="256" t="n">
        <v>0</v>
      </c>
      <c r="N100" s="256" t="n">
        <v>0</v>
      </c>
      <c r="O100" s="256" t="n">
        <v>0</v>
      </c>
      <c r="P100" s="256" t="n">
        <v>0</v>
      </c>
      <c r="Q100" s="256" t="n">
        <v>0</v>
      </c>
      <c r="R100" s="256" t="n">
        <v>0</v>
      </c>
      <c r="S100" s="256" t="n">
        <v>0</v>
      </c>
      <c r="T100" s="256" t="n">
        <v>0</v>
      </c>
      <c r="U100" s="256" t="n">
        <v>0</v>
      </c>
      <c r="V100" s="256" t="n">
        <v>0</v>
      </c>
      <c r="W100" s="256" t="n">
        <v>0</v>
      </c>
      <c r="X100" s="256" t="n">
        <v>0</v>
      </c>
      <c r="Y100" s="256" t="n">
        <v>0</v>
      </c>
      <c r="Z100" s="256" t="n">
        <v>0</v>
      </c>
      <c r="AA100" s="256" t="n">
        <v>0</v>
      </c>
      <c r="AB100" s="256" t="n">
        <v>0</v>
      </c>
      <c r="AC100" s="256" t="n">
        <v>0</v>
      </c>
      <c r="AD100" s="256" t="n">
        <v>0</v>
      </c>
      <c r="AE100" s="256" t="n">
        <v>0</v>
      </c>
      <c r="AF100" s="256" t="n">
        <v>0</v>
      </c>
      <c r="AG100" s="256" t="n">
        <v>0</v>
      </c>
      <c r="AH100" s="256" t="n">
        <v>0</v>
      </c>
      <c r="AI100" s="256" t="n">
        <v>0</v>
      </c>
      <c r="AJ100" s="256" t="n">
        <v>0</v>
      </c>
    </row>
    <row r="101">
      <c r="A101" t="n">
        <v>41</v>
      </c>
      <c r="B101" t="n">
        <v>1</v>
      </c>
      <c r="G101" t="inlineStr">
        <is>
          <t>moeda</t>
        </is>
      </c>
      <c r="H101" t="inlineStr">
        <is>
          <t>Fleury BP: [nao existe] | Combinada BP: Lucro do Período (l.93) [0 em 1Q20..1Q23 (13 per.): linha inexistente/vazia na fonte; total divulgado confirma]</t>
        </is>
      </c>
      <c r="J101" t="inlineStr">
        <is>
          <t>fonte</t>
        </is>
      </c>
      <c r="K101" s="256" t="n">
        <v>0</v>
      </c>
      <c r="L101" s="256" t="n">
        <v>0</v>
      </c>
      <c r="M101" s="256" t="n">
        <v>0</v>
      </c>
      <c r="N101" s="256" t="n">
        <v>0</v>
      </c>
      <c r="O101" s="256" t="n">
        <v>0</v>
      </c>
      <c r="P101" s="256" t="n">
        <v>0</v>
      </c>
      <c r="Q101" s="256" t="n">
        <v>0</v>
      </c>
      <c r="R101" s="256" t="n">
        <v>0</v>
      </c>
      <c r="S101" s="256" t="n">
        <v>0</v>
      </c>
      <c r="T101" s="256" t="n">
        <v>0</v>
      </c>
      <c r="U101" s="256" t="n">
        <v>0</v>
      </c>
      <c r="V101" s="256" t="n">
        <v>0</v>
      </c>
      <c r="W101" s="256" t="n">
        <v>0</v>
      </c>
      <c r="X101" s="256" t="n">
        <v>168280</v>
      </c>
      <c r="Y101" s="256" t="n">
        <v>342478</v>
      </c>
      <c r="Z101" s="256" t="n">
        <v>0</v>
      </c>
      <c r="AA101" s="256" t="n">
        <v>167959</v>
      </c>
      <c r="AB101" s="256" t="n">
        <v>341545</v>
      </c>
      <c r="AC101" s="256" t="n">
        <v>532250</v>
      </c>
      <c r="AD101" s="256" t="n">
        <v>585366</v>
      </c>
      <c r="AE101" s="256" t="n">
        <v>179286</v>
      </c>
      <c r="AF101" s="256" t="n">
        <v>331585</v>
      </c>
      <c r="AG101" s="256" t="n">
        <v>516502</v>
      </c>
      <c r="AH101" s="256" t="n">
        <v>0</v>
      </c>
      <c r="AI101" s="256" t="n">
        <v>201212</v>
      </c>
      <c r="AJ101" s="256" t="n">
        <v>423062</v>
      </c>
    </row>
    <row r="102">
      <c r="A102" t="n">
        <v>39</v>
      </c>
      <c r="B102" t="n">
        <v>1</v>
      </c>
      <c r="G102" t="inlineStr">
        <is>
          <t>moeda</t>
        </is>
      </c>
      <c r="H102" t="inlineStr">
        <is>
          <t>Fleury BP: [nao existe] | Combinada BP: Ajustes de avaliação patrimonial (l.94) [0 em 1Q20..1Q23 (13 per.): linha inexistente/vazia na fonte; total divulgado confirma]</t>
        </is>
      </c>
      <c r="J102" t="inlineStr">
        <is>
          <t>fonte</t>
        </is>
      </c>
      <c r="K102" s="256" t="n">
        <v>0</v>
      </c>
      <c r="L102" s="256" t="n">
        <v>0</v>
      </c>
      <c r="M102" s="256" t="n">
        <v>0</v>
      </c>
      <c r="N102" s="256" t="n">
        <v>0</v>
      </c>
      <c r="O102" s="256" t="n">
        <v>0</v>
      </c>
      <c r="P102" s="256" t="n">
        <v>0</v>
      </c>
      <c r="Q102" s="256" t="n">
        <v>0</v>
      </c>
      <c r="R102" s="256" t="n">
        <v>0</v>
      </c>
      <c r="S102" s="256" t="n">
        <v>0</v>
      </c>
      <c r="T102" s="256" t="n">
        <v>0</v>
      </c>
      <c r="U102" s="256" t="n">
        <v>0</v>
      </c>
      <c r="V102" s="256" t="n">
        <v>0</v>
      </c>
      <c r="W102" s="256" t="n">
        <v>0</v>
      </c>
      <c r="X102" s="256" t="n">
        <v>73884</v>
      </c>
      <c r="Y102" s="256" t="n">
        <v>73884</v>
      </c>
      <c r="Z102" s="256" t="n">
        <v>73884</v>
      </c>
      <c r="AA102" s="256" t="n">
        <v>73884</v>
      </c>
      <c r="AB102" s="256" t="n">
        <v>73884</v>
      </c>
      <c r="AC102" s="256" t="n">
        <v>73884</v>
      </c>
      <c r="AD102" s="256" t="n">
        <v>52817</v>
      </c>
      <c r="AE102" s="256" t="n">
        <v>52817</v>
      </c>
      <c r="AF102" s="256" t="n">
        <v>52817</v>
      </c>
      <c r="AG102" s="256" t="n">
        <v>52817</v>
      </c>
      <c r="AH102" s="256" t="n">
        <v>52817</v>
      </c>
      <c r="AI102" s="256" t="n">
        <v>52817</v>
      </c>
      <c r="AJ102" s="256" t="n">
        <v>52817</v>
      </c>
    </row>
    <row r="103">
      <c r="A103" t="n">
        <v>40</v>
      </c>
      <c r="B103" t="n">
        <v>1</v>
      </c>
      <c r="G103" t="inlineStr">
        <is>
          <t>moeda</t>
        </is>
      </c>
      <c r="H103" t="inlineStr">
        <is>
          <t>Fleury BP: [nao existe] | Combinada BP: Juros sobre capital próprio (l.95) [0 em 1Q20..1Q23 (13 per.): linha inexistente/vazia na fonte; total divulgado confirma]</t>
        </is>
      </c>
      <c r="J103" t="inlineStr">
        <is>
          <t>fonte</t>
        </is>
      </c>
      <c r="K103" s="256" t="n">
        <v>0</v>
      </c>
      <c r="L103" s="256" t="n">
        <v>0</v>
      </c>
      <c r="M103" s="256" t="n">
        <v>0</v>
      </c>
      <c r="N103" s="256" t="n">
        <v>0</v>
      </c>
      <c r="O103" s="256" t="n">
        <v>0</v>
      </c>
      <c r="P103" s="256" t="n">
        <v>0</v>
      </c>
      <c r="Q103" s="256" t="n">
        <v>0</v>
      </c>
      <c r="R103" s="256" t="n">
        <v>0</v>
      </c>
      <c r="S103" s="256" t="n">
        <v>0</v>
      </c>
      <c r="T103" s="256" t="n">
        <v>0</v>
      </c>
      <c r="U103" s="256" t="n">
        <v>0</v>
      </c>
      <c r="V103" s="256" t="n">
        <v>0</v>
      </c>
      <c r="W103" s="256" t="n">
        <v>0</v>
      </c>
      <c r="X103" s="256" t="n">
        <v>0</v>
      </c>
      <c r="Y103" s="256" t="n">
        <v>-92530</v>
      </c>
      <c r="Z103" s="256" t="n">
        <v>0</v>
      </c>
      <c r="AA103" s="256" t="n">
        <v>0</v>
      </c>
      <c r="AB103" s="256" t="n">
        <v>0</v>
      </c>
      <c r="AC103" s="256" t="n">
        <v>-184073</v>
      </c>
      <c r="AD103" s="256" t="n">
        <v>-300502</v>
      </c>
      <c r="AE103" s="256" t="n">
        <v>0</v>
      </c>
      <c r="AF103" s="256" t="n">
        <v>0</v>
      </c>
      <c r="AG103" s="256" t="n">
        <v>-169009</v>
      </c>
      <c r="AH103" s="256" t="n">
        <v>0</v>
      </c>
      <c r="AI103" s="256" t="n">
        <v>0</v>
      </c>
      <c r="AJ103" s="256" t="n">
        <v>0</v>
      </c>
    </row>
    <row r="104">
      <c r="A104" t="n">
        <v>38</v>
      </c>
      <c r="B104" t="n">
        <v>1</v>
      </c>
      <c r="G104" t="inlineStr">
        <is>
          <t>moeda</t>
        </is>
      </c>
      <c r="H104" t="inlineStr">
        <is>
          <t>Fleury BP: Ações em Tesouraria (l.88) | Combinada BP: Ações em Tesouraria (l.96)</t>
        </is>
      </c>
      <c r="J104" t="inlineStr">
        <is>
          <t>fonte</t>
        </is>
      </c>
      <c r="K104" s="256" t="n">
        <v>0</v>
      </c>
      <c r="L104" s="256" t="n">
        <v>0</v>
      </c>
      <c r="M104" s="256" t="n">
        <v>0</v>
      </c>
      <c r="N104" s="256" t="n">
        <v>-2673.99757</v>
      </c>
      <c r="O104" s="256" t="n">
        <v>-23014.3155</v>
      </c>
      <c r="P104" s="256" t="n">
        <v>-24836.40528</v>
      </c>
      <c r="Q104" s="256" t="n">
        <v>-24836.40528</v>
      </c>
      <c r="R104" s="256" t="n">
        <v>-24836.40528</v>
      </c>
      <c r="S104" s="256" t="n">
        <v>-22890.21678</v>
      </c>
      <c r="T104" s="256" t="n">
        <v>-27241.2731</v>
      </c>
      <c r="U104" s="256" t="n">
        <v>-19971.43105</v>
      </c>
      <c r="V104" s="256" t="n">
        <v>-19971.43105</v>
      </c>
      <c r="W104" s="256" t="n">
        <v>-9213.137000000001</v>
      </c>
      <c r="X104" s="256" t="n">
        <v>-9213</v>
      </c>
      <c r="Y104" s="256" t="n">
        <v>-9213</v>
      </c>
      <c r="Z104" s="256" t="n">
        <v>-39462</v>
      </c>
      <c r="AA104" s="256" t="n">
        <v>-27150</v>
      </c>
      <c r="AB104" s="256" t="n">
        <v>-27150</v>
      </c>
      <c r="AC104" s="256" t="n">
        <v>-48065</v>
      </c>
      <c r="AD104" s="256" t="n">
        <v>-48065</v>
      </c>
      <c r="AE104" s="256" t="n">
        <v>-35559.101</v>
      </c>
      <c r="AF104" s="256" t="n">
        <v>-35559</v>
      </c>
      <c r="AG104" s="256" t="n">
        <v>-35559</v>
      </c>
      <c r="AH104" s="256" t="n">
        <v>-35559</v>
      </c>
      <c r="AI104" s="256" t="n">
        <v>-55497</v>
      </c>
      <c r="AJ104" s="256" t="n">
        <v>-55478</v>
      </c>
    </row>
    <row r="105">
      <c r="A105" t="n">
        <v>35</v>
      </c>
      <c r="B105" t="n">
        <v>1</v>
      </c>
      <c r="G105" t="inlineStr">
        <is>
          <t>moeda</t>
        </is>
      </c>
      <c r="H105" t="inlineStr">
        <is>
          <t>Fleury BP: Minoritários (l.90) | Combinada BP: Minoritários (l.98)</t>
        </is>
      </c>
      <c r="J105" t="inlineStr">
        <is>
          <t>fonte</t>
        </is>
      </c>
      <c r="K105" s="256" t="n">
        <v>0</v>
      </c>
      <c r="L105" s="256" t="n">
        <v>0</v>
      </c>
      <c r="M105" s="256" t="n">
        <v>0</v>
      </c>
      <c r="N105" s="256" t="n">
        <v>0</v>
      </c>
      <c r="O105" s="256" t="n">
        <v>0</v>
      </c>
      <c r="P105" s="256" t="n">
        <v>1330.71621</v>
      </c>
      <c r="Q105" s="256" t="n">
        <v>2803.541769555</v>
      </c>
      <c r="R105" s="256" t="n">
        <v>9199.17964485728</v>
      </c>
      <c r="S105" s="256" t="n">
        <v>9990.717297307281</v>
      </c>
      <c r="T105" s="256" t="n">
        <v>11700.36526</v>
      </c>
      <c r="U105" s="256" t="n">
        <v>16590.30887</v>
      </c>
      <c r="V105" s="256" t="n">
        <v>19548.874</v>
      </c>
      <c r="W105" s="256" t="n">
        <v>22120.863</v>
      </c>
      <c r="X105" s="256" t="n">
        <v>13204</v>
      </c>
      <c r="Y105" s="256" t="n">
        <v>14811</v>
      </c>
      <c r="Z105" s="256" t="n">
        <v>27619</v>
      </c>
      <c r="AA105" s="256" t="n">
        <v>29501.955374137</v>
      </c>
      <c r="AB105" s="256" t="n">
        <v>74196.880127518</v>
      </c>
      <c r="AC105" s="256" t="n">
        <v>85252</v>
      </c>
      <c r="AD105" s="256" t="n">
        <v>85763</v>
      </c>
      <c r="AE105" s="256" t="n">
        <v>93419.046</v>
      </c>
      <c r="AF105" s="256" t="n">
        <v>91417</v>
      </c>
      <c r="AG105" s="256" t="n">
        <v>87661</v>
      </c>
      <c r="AH105" s="256" t="n">
        <v>94928</v>
      </c>
      <c r="AI105" s="256" t="n">
        <v>95020</v>
      </c>
      <c r="AJ105" s="256" t="n">
        <v>100794</v>
      </c>
    </row>
    <row r="106">
      <c r="H106" s="250" t="inlineStr">
        <is>
          <t>BALANCO - totais divulgados (memoria, sem codigo)</t>
        </is>
      </c>
    </row>
    <row r="107">
      <c r="G107" t="inlineStr">
        <is>
          <t>moeda</t>
        </is>
      </c>
      <c r="H107" t="inlineStr">
        <is>
          <t>Fleury BP: Total do Circulante (l.24) | Combinada BP: Total do Circulante (l.22)</t>
        </is>
      </c>
      <c r="J107" t="inlineStr">
        <is>
          <t>memoria</t>
        </is>
      </c>
      <c r="K107" s="256" t="n">
        <v>1411001.68141</v>
      </c>
      <c r="L107" s="256" t="n">
        <v>1712852.403930001</v>
      </c>
      <c r="M107" s="256" t="n">
        <v>1955830.935389997</v>
      </c>
      <c r="N107" s="256" t="n">
        <v>1880198.45701</v>
      </c>
      <c r="O107" s="256" t="n">
        <v>1906290.90313</v>
      </c>
      <c r="P107" s="256" t="n">
        <v>1469547.57452</v>
      </c>
      <c r="Q107" s="256" t="n">
        <v>1996564.02442</v>
      </c>
      <c r="R107" s="256" t="n">
        <v>1742470.718853221</v>
      </c>
      <c r="S107" s="256" t="n">
        <v>1602240.37077</v>
      </c>
      <c r="T107" s="256" t="n">
        <v>1872760.01955</v>
      </c>
      <c r="U107" s="256" t="n">
        <v>1949250.49791</v>
      </c>
      <c r="V107" s="256" t="n">
        <v>2391404.059050001</v>
      </c>
      <c r="W107" s="256" t="n">
        <v>2475748.22323</v>
      </c>
      <c r="X107" s="256" t="n">
        <v>2737577</v>
      </c>
      <c r="Y107" s="256" t="n">
        <v>2838559</v>
      </c>
      <c r="Z107" s="256" t="n">
        <v>2803557</v>
      </c>
      <c r="AA107" s="256" t="n">
        <v>3003136</v>
      </c>
      <c r="AB107" s="256" t="n">
        <v>4167729</v>
      </c>
      <c r="AC107" s="256" t="n">
        <v>4392226</v>
      </c>
      <c r="AD107" s="256" t="n">
        <v>4375794</v>
      </c>
      <c r="AE107" s="256" t="n">
        <v>4663229.040999999</v>
      </c>
      <c r="AF107" s="256" t="n">
        <v>4368087</v>
      </c>
      <c r="AG107" s="256" t="n">
        <v>4864095</v>
      </c>
      <c r="AH107" s="256" t="n">
        <v>4421465</v>
      </c>
      <c r="AI107" s="256" t="n">
        <v>4650338</v>
      </c>
      <c r="AJ107" s="256" t="n">
        <v>4538930</v>
      </c>
    </row>
    <row r="108">
      <c r="G108" t="inlineStr">
        <is>
          <t>moeda</t>
        </is>
      </c>
      <c r="H108" t="inlineStr">
        <is>
          <t>Fleury BP: TOTAL DO ATIVO (l.47) | Combinada BP: TOTAL DO ATIVO (l.46)</t>
        </is>
      </c>
      <c r="J108" t="inlineStr">
        <is>
          <t>memoria</t>
        </is>
      </c>
      <c r="K108" s="256" t="n">
        <v>5143736.558005081</v>
      </c>
      <c r="L108" s="256" t="n">
        <v>5468970.165874246</v>
      </c>
      <c r="M108" s="256" t="n">
        <v>5653505.940511224</v>
      </c>
      <c r="N108" s="256" t="n">
        <v>5587534.359522596</v>
      </c>
      <c r="O108" s="256" t="n">
        <v>5573539.453503966</v>
      </c>
      <c r="P108" s="256" t="n">
        <v>5405805.833622944</v>
      </c>
      <c r="Q108" s="256" t="n">
        <v>6285689.447224167</v>
      </c>
      <c r="R108" s="256" t="n">
        <v>6073768.085595941</v>
      </c>
      <c r="S108" s="256" t="n">
        <v>5995987.035997</v>
      </c>
      <c r="T108" s="256" t="n">
        <v>6839714.854390506</v>
      </c>
      <c r="U108" s="256" t="n">
        <v>7036072.105880001</v>
      </c>
      <c r="V108" s="256" t="n">
        <v>7791770.536656735</v>
      </c>
      <c r="W108" s="256" t="n">
        <v>7863879.099749999</v>
      </c>
      <c r="X108" s="256" t="n">
        <v>11509984</v>
      </c>
      <c r="Y108" s="256" t="n">
        <v>11533043</v>
      </c>
      <c r="Z108" s="256" t="n">
        <v>11579968</v>
      </c>
      <c r="AA108" s="256" t="n">
        <v>11686093</v>
      </c>
      <c r="AB108" s="256" t="n">
        <v>12802394</v>
      </c>
      <c r="AC108" s="256" t="n">
        <v>13031228</v>
      </c>
      <c r="AD108" s="256" t="n">
        <v>13062410</v>
      </c>
      <c r="AE108" s="256" t="n">
        <v>13270726.504</v>
      </c>
      <c r="AF108" s="256" t="n">
        <v>13072446</v>
      </c>
      <c r="AG108" s="256" t="n">
        <v>13584226</v>
      </c>
      <c r="AH108" s="256" t="n">
        <v>13220481</v>
      </c>
      <c r="AI108" s="256" t="n">
        <v>13325654</v>
      </c>
      <c r="AJ108" s="256" t="n">
        <v>13558475</v>
      </c>
    </row>
    <row r="109">
      <c r="G109" t="inlineStr">
        <is>
          <t>moeda</t>
        </is>
      </c>
      <c r="H109" t="inlineStr">
        <is>
          <t>Fleury BP: Total do Circulante (l.62) | Combinada BP: Total do Circulante (l.64)</t>
        </is>
      </c>
      <c r="J109" t="inlineStr">
        <is>
          <t>memoria</t>
        </is>
      </c>
      <c r="K109" s="256" t="n">
        <v>726081.6586500001</v>
      </c>
      <c r="L109" s="256" t="n">
        <v>988203.9757000001</v>
      </c>
      <c r="M109" s="256" t="n">
        <v>1060931.09389</v>
      </c>
      <c r="N109" s="256" t="n">
        <v>1109771.68991</v>
      </c>
      <c r="O109" s="256" t="n">
        <v>1348197.47262</v>
      </c>
      <c r="P109" s="256" t="n">
        <v>1481018.84362</v>
      </c>
      <c r="Q109" s="256" t="n">
        <v>1267363.27882</v>
      </c>
      <c r="R109" s="256" t="n">
        <v>1206872.24902</v>
      </c>
      <c r="S109" s="256" t="n">
        <v>1188694.69249</v>
      </c>
      <c r="T109" s="256" t="n">
        <v>1329356.14157</v>
      </c>
      <c r="U109" s="256" t="n">
        <v>1445102.5674</v>
      </c>
      <c r="V109" s="256" t="n">
        <v>1234135.45825</v>
      </c>
      <c r="W109" s="256" t="n">
        <v>1235201.01782</v>
      </c>
      <c r="X109" s="256" t="n">
        <v>1992479</v>
      </c>
      <c r="Y109" s="256" t="n">
        <v>1918079</v>
      </c>
      <c r="Z109" s="256" t="n">
        <v>1686616</v>
      </c>
      <c r="AA109" s="256" t="n">
        <v>1785033</v>
      </c>
      <c r="AB109" s="256" t="n">
        <v>1774725</v>
      </c>
      <c r="AC109" s="256" t="n">
        <v>2271091</v>
      </c>
      <c r="AD109" s="256" t="n">
        <v>1742813</v>
      </c>
      <c r="AE109" s="256" t="n">
        <v>2034615.867</v>
      </c>
      <c r="AF109" s="256" t="n">
        <v>1742951</v>
      </c>
      <c r="AG109" s="256" t="n">
        <v>2201101</v>
      </c>
      <c r="AH109" s="256" t="n">
        <v>2245680</v>
      </c>
      <c r="AI109" s="256" t="n">
        <v>2175756</v>
      </c>
      <c r="AJ109" s="256" t="n">
        <v>2438959</v>
      </c>
    </row>
    <row r="110">
      <c r="G110" t="inlineStr">
        <is>
          <t>moeda</t>
        </is>
      </c>
      <c r="H110" t="inlineStr">
        <is>
          <t>Fleury BP: Total do Passivo (l.77) | Combinada BP: Total do Passivo (l.82)</t>
        </is>
      </c>
      <c r="J110" t="inlineStr">
        <is>
          <t>memoria</t>
        </is>
      </c>
      <c r="K110" s="256" t="n">
        <v>3521034.16126</v>
      </c>
      <c r="L110" s="256" t="n">
        <v>3919838.02452</v>
      </c>
      <c r="M110" s="256" t="n">
        <v>3965966.264570001</v>
      </c>
      <c r="N110" s="256" t="n">
        <v>3836684.06044</v>
      </c>
      <c r="O110" s="256" t="n">
        <v>3880661.00246</v>
      </c>
      <c r="P110" s="256" t="n">
        <v>3647468.5811</v>
      </c>
      <c r="Q110" s="256" t="n">
        <v>4467894.49676</v>
      </c>
      <c r="R110" s="256" t="n">
        <v>4219287.56739</v>
      </c>
      <c r="S110" s="256" t="n">
        <v>4242276.3037</v>
      </c>
      <c r="T110" s="256" t="n">
        <v>5010959.03105</v>
      </c>
      <c r="U110" s="256" t="n">
        <v>5104580.99461</v>
      </c>
      <c r="V110" s="256" t="n">
        <v>5090685.48516</v>
      </c>
      <c r="W110" s="256" t="n">
        <v>5055895.024689998</v>
      </c>
      <c r="X110" s="256" t="n">
        <v>6401400</v>
      </c>
      <c r="Y110" s="256" t="n">
        <v>6341098</v>
      </c>
      <c r="Z110" s="256" t="n">
        <v>6468898</v>
      </c>
      <c r="AA110" s="256" t="n">
        <v>6473366.58127</v>
      </c>
      <c r="AB110" s="256" t="n">
        <v>7371349</v>
      </c>
      <c r="AC110" s="256" t="n">
        <v>7603373</v>
      </c>
      <c r="AD110" s="256" t="n">
        <v>7687579</v>
      </c>
      <c r="AE110" s="256" t="n">
        <v>7950503.939189999</v>
      </c>
      <c r="AF110" s="256" t="n">
        <v>7601926</v>
      </c>
      <c r="AG110" s="256" t="n">
        <v>8101554</v>
      </c>
      <c r="AH110" s="256" t="n">
        <v>8124213</v>
      </c>
      <c r="AI110" s="256" t="n">
        <v>8048020</v>
      </c>
      <c r="AJ110" s="256" t="n">
        <v>8040103</v>
      </c>
    </row>
    <row r="111">
      <c r="G111" t="inlineStr">
        <is>
          <t>moeda</t>
        </is>
      </c>
      <c r="H111" t="inlineStr">
        <is>
          <t>Fleury BP: Total do Patrimônio Líquido (l.91) | Combinada BP: Total do Patrimônio Líquido (l.99)</t>
        </is>
      </c>
      <c r="J111" t="inlineStr">
        <is>
          <t>memoria</t>
        </is>
      </c>
      <c r="K111" s="256" t="n">
        <v>1622703.33256</v>
      </c>
      <c r="L111" s="256" t="n">
        <v>1549132.14135</v>
      </c>
      <c r="M111" s="256" t="n">
        <v>1687539.67595</v>
      </c>
      <c r="N111" s="256" t="n">
        <v>1750850.29909</v>
      </c>
      <c r="O111" s="256" t="n">
        <v>1692878.45104</v>
      </c>
      <c r="P111" s="256" t="n">
        <v>1758337.25252</v>
      </c>
      <c r="Q111" s="256" t="n">
        <v>1817794.950459555</v>
      </c>
      <c r="R111" s="256" t="n">
        <v>1854481.156094857</v>
      </c>
      <c r="S111" s="256" t="n">
        <v>1753710.726297307</v>
      </c>
      <c r="T111" s="256" t="n">
        <v>1828755.8225</v>
      </c>
      <c r="U111" s="256" t="n">
        <v>1931491.11126</v>
      </c>
      <c r="V111" s="256" t="n">
        <v>2701085.041487</v>
      </c>
      <c r="W111" s="256" t="n">
        <v>2807984.03782</v>
      </c>
      <c r="X111" s="256" t="n">
        <v>5108584</v>
      </c>
      <c r="Y111" s="256" t="n">
        <v>5191945</v>
      </c>
      <c r="Z111" s="256" t="n">
        <v>5111070</v>
      </c>
      <c r="AA111" s="256" t="n">
        <v>5212725.955374137</v>
      </c>
      <c r="AB111" s="256" t="n">
        <v>5431045.275707519</v>
      </c>
      <c r="AC111" s="256" t="n">
        <v>5427855</v>
      </c>
      <c r="AD111" s="256" t="n">
        <v>5374831</v>
      </c>
      <c r="AE111" s="256" t="n">
        <v>5320223.028</v>
      </c>
      <c r="AF111" s="256" t="n">
        <v>5470520</v>
      </c>
      <c r="AG111" s="256" t="n">
        <v>5482672</v>
      </c>
      <c r="AH111" s="256" t="n">
        <v>5096268</v>
      </c>
      <c r="AI111" s="256" t="n">
        <v>5277634</v>
      </c>
      <c r="AJ111" s="256" t="n">
        <v>5518372</v>
      </c>
    </row>
    <row r="112">
      <c r="G112" t="inlineStr">
        <is>
          <t>moeda</t>
        </is>
      </c>
      <c r="H112" t="inlineStr">
        <is>
          <t>Fleury BP: TOTAL DO PASSIVO E PATRIMÔNIO LÍQUIDO (l.93) | Combinada BP: TOTAL DO PASSIVO E PATRIMÔNIO LÍQUIDO (l.101)</t>
        </is>
      </c>
      <c r="J112" t="inlineStr">
        <is>
          <t>memoria</t>
        </is>
      </c>
      <c r="K112" s="256" t="n">
        <v>5143737.49382</v>
      </c>
      <c r="L112" s="256" t="n">
        <v>5468970.165870001</v>
      </c>
      <c r="M112" s="256" t="n">
        <v>5653505.940520001</v>
      </c>
      <c r="N112" s="256" t="n">
        <v>5587534.35953</v>
      </c>
      <c r="O112" s="256" t="n">
        <v>5573539.453500001</v>
      </c>
      <c r="P112" s="256" t="n">
        <v>5405805.833620001</v>
      </c>
      <c r="Q112" s="256" t="n">
        <v>6285689.447219554</v>
      </c>
      <c r="R112" s="256" t="n">
        <v>6073768.723484858</v>
      </c>
      <c r="S112" s="256" t="n">
        <v>5995987.029997308</v>
      </c>
      <c r="T112" s="256" t="n">
        <v>6839714.85355</v>
      </c>
      <c r="U112" s="256" t="n">
        <v>7036072.105870001</v>
      </c>
      <c r="V112" s="256" t="n">
        <v>7791770.526647</v>
      </c>
      <c r="W112" s="256" t="n">
        <v>7863879.062509999</v>
      </c>
      <c r="X112" s="256" t="n">
        <v>11509984</v>
      </c>
      <c r="Y112" s="256" t="n">
        <v>11533043</v>
      </c>
      <c r="Z112" s="256" t="n">
        <v>11579968</v>
      </c>
      <c r="AA112" s="256" t="n">
        <v>11686092.53664414</v>
      </c>
      <c r="AB112" s="256" t="n">
        <v>12802394.27570752</v>
      </c>
      <c r="AC112" s="256" t="n">
        <v>13031228</v>
      </c>
      <c r="AD112" s="256" t="n">
        <v>13062410</v>
      </c>
      <c r="AE112" s="256" t="n">
        <v>13270726.96719</v>
      </c>
      <c r="AF112" s="256" t="n">
        <v>13072446</v>
      </c>
      <c r="AG112" s="256" t="n">
        <v>13584226</v>
      </c>
      <c r="AH112" s="256" t="n">
        <v>13220481</v>
      </c>
      <c r="AI112" s="256" t="n">
        <v>13325654</v>
      </c>
      <c r="AJ112" s="256" t="n">
        <v>13558475</v>
      </c>
    </row>
    <row r="113">
      <c r="H113" s="250" t="inlineStr">
        <is>
          <t>CHECKS (devem ser 0)</t>
        </is>
      </c>
    </row>
    <row r="114">
      <c r="G114" t="inlineStr">
        <is>
          <t>moeda</t>
        </is>
      </c>
      <c r="H114" t="inlineStr">
        <is>
          <t>CHECK: soma das linhas codificadas 1-9 da DRE - lucro liquido do periodo</t>
        </is>
      </c>
      <c r="J114" t="inlineStr">
        <is>
          <t>derivada</t>
        </is>
      </c>
      <c r="K114" s="256">
        <f>K6+K7+K8+K9+K10+K11+K12+K13+K14+K15+K16+K17+K18+K19+K20+K21+K22+K23-K31</f>
        <v>0</v>
      </c>
      <c r="L114" s="256">
        <f>L6+L7+L8+L9+L10+L11+L12+L13+L14+L15+L16+L17+L18+L19+L20+L21+L22+L23-L31</f>
        <v>0</v>
      </c>
      <c r="M114" s="256">
        <f>M6+M7+M8+M9+M10+M11+M12+M13+M14+M15+M16+M17+M18+M19+M20+M21+M22+M23-M31</f>
        <v>0</v>
      </c>
      <c r="N114" s="256">
        <f>N6+N7+N8+N9+N10+N11+N12+N13+N14+N15+N16+N17+N18+N19+N20+N21+N22+N23-N31</f>
        <v>0</v>
      </c>
      <c r="O114" s="256">
        <f>O6+O7+O8+O9+O10+O11+O12+O13+O14+O15+O16+O17+O18+O19+O20+O21+O22+O23-O31</f>
        <v>0</v>
      </c>
      <c r="P114" s="256">
        <f>P6+P7+P8+P9+P10+P11+P12+P13+P14+P15+P16+P17+P18+P19+P20+P21+P22+P23-P31</f>
        <v>0</v>
      </c>
      <c r="Q114" s="256">
        <f>Q6+Q7+Q8+Q9+Q10+Q11+Q12+Q13+Q14+Q15+Q16+Q17+Q18+Q19+Q20+Q21+Q22+Q23-Q31</f>
        <v>0</v>
      </c>
      <c r="R114" s="256">
        <f>R6+R7+R8+R9+R10+R11+R12+R13+R14+R15+R16+R17+R18+R19+R20+R21+R22+R23-R31</f>
        <v>3.78349795937538e-10</v>
      </c>
      <c r="S114" s="256">
        <f>S6+S7+S8+S9+S10+S11+S12+S13+S14+S15+S16+S17+S18+S19+S20+S21+S22+S23-S31</f>
        <v>0</v>
      </c>
      <c r="T114" s="256">
        <f>T6+T7+T8+T9+T10+T11+T12+T13+T14+T15+T16+T17+T18+T19+T20+T21+T22+T23-T31</f>
        <v>-4.36557456851006e-10</v>
      </c>
      <c r="U114" s="256">
        <f>U6+U7+U8+U9+U10+U11+U12+U13+U14+U15+U16+U17+U18+U19+U20+U21+U22+U23-U31</f>
        <v>0</v>
      </c>
      <c r="V114" s="256">
        <f>V6+V7+V8+V9+V10+V11+V12+V13+V14+V15+V16+V17+V18+V19+V20+V21+V22+V23-V31</f>
        <v>1.41881173476577e-10</v>
      </c>
      <c r="W114" s="256">
        <f>W6+W7+W8+W9+W10+W11+W12+W13+W14+W15+W16+W17+W18+W19+W20+W21+W22+W23-W31</f>
        <v>0</v>
      </c>
      <c r="X114" s="256">
        <f>X6+X7+X8+X9+X10+X11+X12+X13+X14+X15+X16+X17+X18+X19+X20+X21+X22+X23-X31</f>
        <v>0</v>
      </c>
      <c r="Y114" s="256">
        <f>Y6+Y7+Y8+Y9+Y10+Y11+Y12+Y13+Y14+Y15+Y16+Y17+Y18+Y19+Y20+Y21+Y22+Y23-Y31</f>
        <v>0</v>
      </c>
      <c r="Z114" s="256">
        <f>Z6+Z7+Z8+Z9+Z10+Z11+Z12+Z13+Z14+Z15+Z16+Z17+Z18+Z19+Z20+Z21+Z22+Z23-Z31</f>
        <v>0</v>
      </c>
      <c r="AA114" s="256">
        <f>AA6+AA7+AA8+AA9+AA10+AA11+AA12+AA13+AA14+AA15+AA16+AA17+AA18+AA19+AA20+AA21+AA22+AA23-AA31</f>
        <v>0</v>
      </c>
      <c r="AB114" s="256">
        <f>AB6+AB7+AB8+AB9+AB10+AB11+AB12+AB13+AB14+AB15+AB16+AB17+AB18+AB19+AB20+AB21+AB22+AB23-AB31</f>
        <v>0</v>
      </c>
      <c r="AC114" s="256">
        <f>AC6+AC7+AC8+AC9+AC10+AC11+AC12+AC13+AC14+AC15+AC16+AC17+AC18+AC19+AC20+AC21+AC22+AC23-AC31</f>
        <v>0</v>
      </c>
      <c r="AD114" s="256">
        <f>AD6+AD7+AD8+AD9+AD10+AD11+AD12+AD13+AD14+AD15+AD16+AD17+AD18+AD19+AD20+AD21+AD22+AD23-AD31</f>
        <v>-5.23868948221207e-10</v>
      </c>
      <c r="AE114" s="256">
        <f>AE6+AE7+AE8+AE9+AE10+AE11+AE12+AE13+AE14+AE15+AE16+AE17+AE18+AE19+AE20+AE21+AE22+AE23-AE31</f>
        <v>0</v>
      </c>
      <c r="AF114" s="256">
        <f>AF6+AF7+AF8+AF9+AF10+AF11+AF12+AF13+AF14+AF15+AF16+AF17+AF18+AF19+AF20+AF21+AF22+AF23-AF31</f>
        <v>0</v>
      </c>
      <c r="AG114" s="256">
        <f>AG6+AG7+AG8+AG9+AG10+AG11+AG12+AG13+AG14+AG15+AG16+AG17+AG18+AG19+AG20+AG21+AG22+AG23-AG31</f>
        <v>0</v>
      </c>
      <c r="AH114" s="256">
        <f>AH6+AH7+AH8+AH9+AH10+AH11+AH12+AH13+AH14+AH15+AH16+AH17+AH18+AH19+AH20+AH21+AH22+AH23-AH31</f>
        <v>-3.78349795937538e-10</v>
      </c>
      <c r="AI114" s="256">
        <f>AI6+AI7+AI8+AI9+AI10+AI11+AI12+AI13+AI14+AI15+AI16+AI17+AI18+AI19+AI20+AI21+AI22+AI23-AI31</f>
        <v>0</v>
      </c>
      <c r="AJ114" s="256">
        <f>AJ6+AJ7+AJ8+AJ9+AJ10+AJ11+AJ12+AJ13+AJ14+AJ15+AJ16+AJ17+AJ18+AJ19+AJ20+AJ21+AJ22+AJ23-AJ31</f>
        <v>0</v>
      </c>
    </row>
    <row r="115">
      <c r="G115" t="inlineStr">
        <is>
          <t>moeda</t>
        </is>
      </c>
      <c r="H115" t="inlineStr">
        <is>
          <t>CHECK: D&amp;A da DRE (cod 4, negativa) + D&amp;A da DFC (positiva)</t>
        </is>
      </c>
      <c r="J115" t="inlineStr">
        <is>
          <t>derivada</t>
        </is>
      </c>
      <c r="K115" s="256">
        <f>K11+K16+K17+K35</f>
        <v>0</v>
      </c>
      <c r="L115" s="256">
        <f>L11+L16+L17+L35</f>
        <v>0</v>
      </c>
      <c r="M115" s="256">
        <f>M11+M16+M17+M35</f>
        <v>0</v>
      </c>
      <c r="N115" s="256">
        <f>N11+N16+N17+N35</f>
        <v>0</v>
      </c>
      <c r="O115" s="256">
        <f>O11+O16+O17+O35</f>
        <v>0</v>
      </c>
      <c r="P115" s="256">
        <f>P11+P16+P17+P35</f>
        <v>0</v>
      </c>
      <c r="Q115" s="256">
        <f>Q11+Q16+Q17+Q35</f>
        <v>0</v>
      </c>
      <c r="R115" s="256">
        <f>R11+R16+R17+R35</f>
        <v>0</v>
      </c>
      <c r="S115" s="256">
        <f>S11+S16+S17+S35</f>
        <v>0</v>
      </c>
      <c r="T115" s="256">
        <f>T11+T16+T17+T35</f>
        <v>0</v>
      </c>
      <c r="U115" s="256">
        <f>U11+U16+U17+U35</f>
        <v>0</v>
      </c>
      <c r="V115" s="256">
        <f>V11+V16+V17+V35</f>
        <v>0</v>
      </c>
      <c r="W115" s="256">
        <f>W11+W16+W17+W35</f>
        <v>0.000140000018291175</v>
      </c>
      <c r="X115" s="256">
        <f>X11+X16+X17+X35</f>
        <v>0</v>
      </c>
      <c r="Y115" s="256">
        <f>Y11+Y16+Y17+Y35</f>
        <v>0</v>
      </c>
      <c r="Z115" s="256">
        <f>Z11+Z16+Z17+Z35</f>
        <v>0</v>
      </c>
      <c r="AA115" s="256">
        <f>AA11+AA16+AA17+AA35</f>
        <v>0</v>
      </c>
      <c r="AB115" s="256">
        <f>AB11+AB16+AB17+AB35</f>
        <v>0</v>
      </c>
      <c r="AC115" s="256">
        <f>AC11+AC16+AC17+AC35</f>
        <v>0</v>
      </c>
      <c r="AD115" s="256">
        <f>AD11+AD16+AD17+AD35</f>
        <v>0</v>
      </c>
      <c r="AE115" s="256">
        <f>AE11+AE16+AE17+AE35</f>
        <v>-0.0769999999902211</v>
      </c>
      <c r="AF115" s="256">
        <f>AF11+AF16+AF17+AF35</f>
        <v>1</v>
      </c>
      <c r="AG115" s="256">
        <f>AG11+AG16+AG17+AG35</f>
        <v>-0.996639999997569</v>
      </c>
      <c r="AH115" s="256">
        <f>AH11+AH16+AH17+AH35</f>
        <v>0.144109999993816</v>
      </c>
      <c r="AI115" s="256">
        <f>AI11+AI16+AI17+AI35</f>
        <v>0.304219999990892</v>
      </c>
      <c r="AJ115" s="256">
        <f>AJ11+AJ16+AJ17+AJ35</f>
        <v>0</v>
      </c>
    </row>
    <row r="116">
      <c r="G116" t="inlineStr">
        <is>
          <t>moeda</t>
        </is>
      </c>
      <c r="H116" t="inlineStr">
        <is>
          <t>CHECK: ativo (cod 11-22) - total do ativo</t>
        </is>
      </c>
      <c r="J116" t="inlineStr">
        <is>
          <t>derivada</t>
        </is>
      </c>
      <c r="K116" s="256">
        <f>K37+K38+K57+K39+K40+K42+K56+K41+K43+K44+K45+K46+K47+K48+K49+K61+K62+K64+K63+K50+K51+K52+K53+K54+K55+K58+K59+K60-K108</f>
        <v>0</v>
      </c>
      <c r="L116" s="256">
        <f>L37+L38+L57+L39+L40+L42+L56+L41+L43+L44+L45+L46+L47+L48+L49+L61+L62+L64+L63+L50+L51+L52+L53+L54+L55+L58+L59+L60-L108</f>
        <v>0</v>
      </c>
      <c r="M116" s="256">
        <f>M37+M38+M57+M39+M40+M42+M56+M41+M43+M44+M45+M46+M47+M48+M49+M61+M62+M64+M63+M50+M51+M52+M53+M54+M55+M58+M59+M60-M108</f>
        <v>0</v>
      </c>
      <c r="N116" s="256">
        <f>N37+N38+N57+N39+N40+N42+N56+N41+N43+N44+N45+N46+N47+N48+N49+N61+N62+N64+N63+N50+N51+N52+N53+N54+N55+N58+N59+N60-N108</f>
        <v>0</v>
      </c>
      <c r="O116" s="256">
        <f>O37+O38+O57+O39+O40+O42+O56+O41+O43+O44+O45+O46+O47+O48+O49+O61+O62+O64+O63+O50+O51+O52+O53+O54+O55+O58+O59+O60-O108</f>
        <v>0</v>
      </c>
      <c r="P116" s="256">
        <f>P37+P38+P57+P39+P40+P42+P56+P41+P43+P44+P45+P46+P47+P48+P49+P61+P62+P64+P63+P50+P51+P52+P53+P54+P55+P58+P59+P60-P108</f>
        <v>0</v>
      </c>
      <c r="Q116" s="256">
        <f>Q37+Q38+Q57+Q39+Q40+Q42+Q56+Q41+Q43+Q44+Q45+Q46+Q47+Q48+Q49+Q61+Q62+Q64+Q63+Q50+Q51+Q52+Q53+Q54+Q55+Q58+Q59+Q60-Q108</f>
        <v>0</v>
      </c>
      <c r="R116" s="256">
        <f>R37+R38+R57+R39+R40+R42+R56+R41+R43+R44+R45+R46+R47+R48+R49+R61+R62+R64+R63+R50+R51+R52+R53+R54+R55+R58+R59+R60-R108</f>
        <v>0</v>
      </c>
      <c r="S116" s="256">
        <f>S37+S38+S57+S39+S40+S42+S56+S41+S43+S44+S45+S46+S47+S48+S49+S61+S62+S64+S63+S50+S51+S52+S53+S54+S55+S58+S59+S60-S108</f>
        <v>0</v>
      </c>
      <c r="T116" s="256">
        <f>T37+T38+T57+T39+T40+T42+T56+T41+T43+T44+T45+T46+T47+T48+T49+T61+T62+T64+T63+T50+T51+T52+T53+T54+T55+T58+T59+T60-T108</f>
        <v>0</v>
      </c>
      <c r="U116" s="256">
        <f>U37+U38+U57+U39+U40+U42+U56+U41+U43+U44+U45+U46+U47+U48+U49+U61+U62+U64+U63+U50+U51+U52+U53+U54+U55+U58+U59+U60-U108</f>
        <v>0</v>
      </c>
      <c r="V116" s="256">
        <f>V37+V38+V57+V39+V40+V42+V56+V41+V43+V44+V45+V46+V47+V48+V49+V61+V62+V64+V63+V50+V51+V52+V53+V54+V55+V58+V59+V60-V108</f>
        <v>0</v>
      </c>
      <c r="W116" s="256">
        <f>W37+W38+W57+W39+W40+W42+W56+W41+W43+W44+W45+W46+W47+W48+W49+W61+W62+W64+W63+W50+W51+W52+W53+W54+W55+W58+W59+W60-W108</f>
        <v>0</v>
      </c>
      <c r="X116" s="256">
        <f>X37+X38+X57+X39+X40+X42+X56+X41+X43+X44+X45+X46+X47+X48+X49+X61+X62+X64+X63+X50+X51+X52+X53+X54+X55+X58+X59+X60-X108</f>
        <v>0</v>
      </c>
      <c r="Y116" s="256">
        <f>Y37+Y38+Y57+Y39+Y40+Y42+Y56+Y41+Y43+Y44+Y45+Y46+Y47+Y48+Y49+Y61+Y62+Y64+Y63+Y50+Y51+Y52+Y53+Y54+Y55+Y58+Y59+Y60-Y108</f>
        <v>0</v>
      </c>
      <c r="Z116" s="256">
        <f>Z37+Z38+Z57+Z39+Z40+Z42+Z56+Z41+Z43+Z44+Z45+Z46+Z47+Z48+Z49+Z61+Z62+Z64+Z63+Z50+Z51+Z52+Z53+Z54+Z55+Z58+Z59+Z60-Z108</f>
        <v>0</v>
      </c>
      <c r="AA116" s="256">
        <f>AA37+AA38+AA57+AA39+AA40+AA42+AA56+AA41+AA43+AA44+AA45+AA46+AA47+AA48+AA49+AA61+AA62+AA64+AA63+AA50+AA51+AA52+AA53+AA54+AA55+AA58+AA59+AA60-AA108</f>
        <v>0</v>
      </c>
      <c r="AB116" s="256">
        <f>AB37+AB38+AB57+AB39+AB40+AB42+AB56+AB41+AB43+AB44+AB45+AB46+AB47+AB48+AB49+AB61+AB62+AB64+AB63+AB50+AB51+AB52+AB53+AB54+AB55+AB58+AB59+AB60-AB108</f>
        <v>0</v>
      </c>
      <c r="AC116" s="256">
        <f>AC37+AC38+AC57+AC39+AC40+AC42+AC56+AC41+AC43+AC44+AC45+AC46+AC47+AC48+AC49+AC61+AC62+AC64+AC63+AC50+AC51+AC52+AC53+AC54+AC55+AC58+AC59+AC60-AC108</f>
        <v>0</v>
      </c>
      <c r="AD116" s="256">
        <f>AD37+AD38+AD57+AD39+AD40+AD42+AD56+AD41+AD43+AD44+AD45+AD46+AD47+AD48+AD49+AD61+AD62+AD64+AD63+AD50+AD51+AD52+AD53+AD54+AD55+AD58+AD59+AD60-AD108</f>
        <v>0</v>
      </c>
      <c r="AE116" s="256">
        <f>AE37+AE38+AE57+AE39+AE40+AE42+AE56+AE41+AE43+AE44+AE45+AE46+AE47+AE48+AE49+AE61+AE62+AE64+AE63+AE50+AE51+AE52+AE53+AE54+AE55+AE58+AE59+AE60-AE108</f>
        <v>0</v>
      </c>
      <c r="AF116" s="256">
        <f>AF37+AF38+AF57+AF39+AF40+AF42+AF56+AF41+AF43+AF44+AF45+AF46+AF47+AF48+AF49+AF61+AF62+AF64+AF63+AF50+AF51+AF52+AF53+AF54+AF55+AF58+AF59+AF60-AF108</f>
        <v>0</v>
      </c>
      <c r="AG116" s="256">
        <f>AG37+AG38+AG57+AG39+AG40+AG42+AG56+AG41+AG43+AG44+AG45+AG46+AG47+AG48+AG49+AG61+AG62+AG64+AG63+AG50+AG51+AG52+AG53+AG54+AG55+AG58+AG59+AG60-AG108</f>
        <v>0</v>
      </c>
      <c r="AH116" s="256">
        <f>AH37+AH38+AH57+AH39+AH40+AH42+AH56+AH41+AH43+AH44+AH45+AH46+AH47+AH48+AH49+AH61+AH62+AH64+AH63+AH50+AH51+AH52+AH53+AH54+AH55+AH58+AH59+AH60-AH108</f>
        <v>0</v>
      </c>
      <c r="AI116" s="256">
        <f>AI37+AI38+AI57+AI39+AI40+AI42+AI56+AI41+AI43+AI44+AI45+AI46+AI47+AI48+AI49+AI61+AI62+AI64+AI63+AI50+AI51+AI52+AI53+AI54+AI55+AI58+AI59+AI60-AI108</f>
        <v>0</v>
      </c>
      <c r="AJ116" s="256">
        <f>AJ37+AJ38+AJ57+AJ39+AJ40+AJ42+AJ56+AJ41+AJ43+AJ44+AJ45+AJ46+AJ47+AJ48+AJ49+AJ61+AJ62+AJ64+AJ63+AJ50+AJ51+AJ52+AJ53+AJ54+AJ55+AJ58+AJ59+AJ60-AJ108</f>
        <v>0</v>
      </c>
    </row>
    <row r="117">
      <c r="G117" t="inlineStr">
        <is>
          <t>moeda</t>
        </is>
      </c>
      <c r="H117" t="inlineStr">
        <is>
          <t>CHECK: passivo (cod 23-34) - total do passivo</t>
        </is>
      </c>
      <c r="J117" t="inlineStr">
        <is>
          <t>derivada</t>
        </is>
      </c>
      <c r="K117" s="256">
        <f>K69+K70+K71+K72+K74+K68+K75+K76+K77+K78+K65+K66+K67+K79+K80+K81+K73+K83+K82+K84+K85+K86+K87+K88+K89+K90+K91+K92-K110</f>
        <v>0</v>
      </c>
      <c r="L117" s="256">
        <f>L69+L70+L71+L72+L74+L68+L75+L76+L77+L78+L65+L66+L67+L79+L80+L81+L73+L83+L82+L84+L85+L86+L87+L88+L89+L90+L91+L92-L110</f>
        <v>0</v>
      </c>
      <c r="M117" s="256">
        <f>M69+M70+M71+M72+M74+M68+M75+M76+M77+M78+M65+M66+M67+M79+M80+M81+M73+M83+M82+M84+M85+M86+M87+M88+M89+M90+M91+M92-M110</f>
        <v>0</v>
      </c>
      <c r="N117" s="256">
        <f>N69+N70+N71+N72+N74+N68+N75+N76+N77+N78+N65+N66+N67+N79+N80+N81+N73+N83+N82+N84+N85+N86+N87+N88+N89+N90+N91+N92-N110</f>
        <v>0</v>
      </c>
      <c r="O117" s="256">
        <f>O69+O70+O71+O72+O74+O68+O75+O76+O77+O78+O65+O66+O67+O79+O80+O81+O73+O83+O82+O84+O85+O86+O87+O88+O89+O90+O91+O92-O110</f>
        <v>0</v>
      </c>
      <c r="P117" s="256">
        <f>P69+P70+P71+P72+P74+P68+P75+P76+P77+P78+P65+P66+P67+P79+P80+P81+P73+P83+P82+P84+P85+P86+P87+P88+P89+P90+P91+P92-P110</f>
        <v>0</v>
      </c>
      <c r="Q117" s="256">
        <f>Q69+Q70+Q71+Q72+Q74+Q68+Q75+Q76+Q77+Q78+Q65+Q66+Q67+Q79+Q80+Q81+Q73+Q83+Q82+Q84+Q85+Q86+Q87+Q88+Q89+Q90+Q91+Q92-Q110</f>
        <v>0</v>
      </c>
      <c r="R117" s="256">
        <f>R69+R70+R71+R72+R74+R68+R75+R76+R77+R78+R65+R66+R67+R79+R80+R81+R73+R83+R82+R84+R85+R86+R87+R88+R89+R90+R91+R92-R110</f>
        <v>0</v>
      </c>
      <c r="S117" s="256">
        <f>S69+S70+S71+S72+S74+S68+S75+S76+S77+S78+S65+S66+S67+S79+S80+S81+S73+S83+S82+S84+S85+S86+S87+S88+S89+S90+S91+S92-S110</f>
        <v>0</v>
      </c>
      <c r="T117" s="256">
        <f>T69+T70+T71+T72+T74+T68+T75+T76+T77+T78+T65+T66+T67+T79+T80+T81+T73+T83+T82+T84+T85+T86+T87+T88+T89+T90+T91+T92-T110</f>
        <v>0</v>
      </c>
      <c r="U117" s="256">
        <f>U69+U70+U71+U72+U74+U68+U75+U76+U77+U78+U65+U66+U67+U79+U80+U81+U73+U83+U82+U84+U85+U86+U87+U88+U89+U90+U91+U92-U110</f>
        <v>0</v>
      </c>
      <c r="V117" s="256">
        <f>V69+V70+V71+V72+V74+V68+V75+V76+V77+V78+V65+V66+V67+V79+V80+V81+V73+V83+V82+V84+V85+V86+V87+V88+V89+V90+V91+V92-V110</f>
        <v>0</v>
      </c>
      <c r="W117" s="256">
        <f>W69+W70+W71+W72+W74+W68+W75+W76+W77+W78+W65+W66+W67+W79+W80+W81+W73+W83+W82+W84+W85+W86+W87+W88+W89+W90+W91+W92-W110</f>
        <v>0</v>
      </c>
      <c r="X117" s="256">
        <f>X69+X70+X71+X72+X74+X68+X75+X76+X77+X78+X65+X66+X67+X79+X80+X81+X73+X83+X82+X84+X85+X86+X87+X88+X89+X90+X91+X92-X110</f>
        <v>0</v>
      </c>
      <c r="Y117" s="256">
        <f>Y69+Y70+Y71+Y72+Y74+Y68+Y75+Y76+Y77+Y78+Y65+Y66+Y67+Y79+Y80+Y81+Y73+Y83+Y82+Y84+Y85+Y86+Y87+Y88+Y89+Y90+Y91+Y92-Y110</f>
        <v>0</v>
      </c>
      <c r="Z117" s="256">
        <f>Z69+Z70+Z71+Z72+Z74+Z68+Z75+Z76+Z77+Z78+Z65+Z66+Z67+Z79+Z80+Z81+Z73+Z83+Z82+Z84+Z85+Z86+Z87+Z88+Z89+Z90+Z91+Z92-Z110</f>
        <v>0</v>
      </c>
      <c r="AA117" s="256">
        <f>AA69+AA70+AA71+AA72+AA74+AA68+AA75+AA76+AA77+AA78+AA65+AA66+AA67+AA79+AA80+AA81+AA73+AA83+AA82+AA84+AA85+AA86+AA87+AA88+AA89+AA90+AA91+AA92-AA110</f>
        <v>0</v>
      </c>
      <c r="AB117" s="256">
        <f>AB69+AB70+AB71+AB72+AB74+AB68+AB75+AB76+AB77+AB78+AB65+AB66+AB67+AB79+AB80+AB81+AB73+AB83+AB82+AB84+AB85+AB86+AB87+AB88+AB89+AB90+AB91+AB92-AB110</f>
        <v>0</v>
      </c>
      <c r="AC117" s="256">
        <f>AC69+AC70+AC71+AC72+AC74+AC68+AC75+AC76+AC77+AC78+AC65+AC66+AC67+AC79+AC80+AC81+AC73+AC83+AC82+AC84+AC85+AC86+AC87+AC88+AC89+AC90+AC91+AC92-AC110</f>
        <v>0</v>
      </c>
      <c r="AD117" s="256">
        <f>AD69+AD70+AD71+AD72+AD74+AD68+AD75+AD76+AD77+AD78+AD65+AD66+AD67+AD79+AD80+AD81+AD73+AD83+AD82+AD84+AD85+AD86+AD87+AD88+AD89+AD90+AD91+AD92-AD110</f>
        <v>0</v>
      </c>
      <c r="AE117" s="256">
        <f>AE69+AE70+AE71+AE72+AE74+AE68+AE75+AE76+AE77+AE78+AE65+AE66+AE67+AE79+AE80+AE81+AE73+AE83+AE82+AE84+AE85+AE86+AE87+AE88+AE89+AE90+AE91+AE92-AE110</f>
        <v>0</v>
      </c>
      <c r="AF117" s="256">
        <f>AF69+AF70+AF71+AF72+AF74+AF68+AF75+AF76+AF77+AF78+AF65+AF66+AF67+AF79+AF80+AF81+AF73+AF83+AF82+AF84+AF85+AF86+AF87+AF88+AF89+AF90+AF91+AF92-AF110</f>
        <v>0</v>
      </c>
      <c r="AG117" s="256">
        <f>AG69+AG70+AG71+AG72+AG74+AG68+AG75+AG76+AG77+AG78+AG65+AG66+AG67+AG79+AG80+AG81+AG73+AG83+AG82+AG84+AG85+AG86+AG87+AG88+AG89+AG90+AG91+AG92-AG110</f>
        <v>0</v>
      </c>
      <c r="AH117" s="256">
        <f>AH69+AH70+AH71+AH72+AH74+AH68+AH75+AH76+AH77+AH78+AH65+AH66+AH67+AH79+AH80+AH81+AH73+AH83+AH82+AH84+AH85+AH86+AH87+AH88+AH89+AH90+AH91+AH92-AH110</f>
        <v>0</v>
      </c>
      <c r="AI117" s="256">
        <f>AI69+AI70+AI71+AI72+AI74+AI68+AI75+AI76+AI77+AI78+AI65+AI66+AI67+AI79+AI80+AI81+AI73+AI83+AI82+AI84+AI85+AI86+AI87+AI88+AI89+AI90+AI91+AI92-AI110</f>
        <v>0</v>
      </c>
      <c r="AJ117" s="256">
        <f>AJ69+AJ70+AJ71+AJ72+AJ74+AJ68+AJ75+AJ76+AJ77+AJ78+AJ65+AJ66+AJ67+AJ79+AJ80+AJ81+AJ73+AJ83+AJ82+AJ84+AJ85+AJ86+AJ87+AJ88+AJ89+AJ90+AJ91+AJ92-AJ110</f>
        <v>0</v>
      </c>
    </row>
    <row r="118">
      <c r="G118" t="inlineStr">
        <is>
          <t>moeda</t>
        </is>
      </c>
      <c r="H118" t="inlineStr">
        <is>
          <t>CHECK: PL (cod 35-41) - total do PL</t>
        </is>
      </c>
      <c r="J118" t="inlineStr">
        <is>
          <t>derivada</t>
        </is>
      </c>
      <c r="K118" s="256">
        <f>K105+K93+K94+K95+K104+K102+K96+K97+K98+K100+K103+K99+K101-K111</f>
        <v>0</v>
      </c>
      <c r="L118" s="256">
        <f>L105+L93+L94+L95+L104+L102+L96+L97+L98+L100+L103+L99+L101-L111</f>
        <v>0</v>
      </c>
      <c r="M118" s="256">
        <f>M105+M93+M94+M95+M104+M102+M96+M97+M98+M100+M103+M99+M101-M111</f>
        <v>0</v>
      </c>
      <c r="N118" s="256">
        <f>N105+N93+N94+N95+N104+N102+N96+N97+N98+N100+N103+N99+N101-N111</f>
        <v>0</v>
      </c>
      <c r="O118" s="256">
        <f>O105+O93+O94+O95+O104+O102+O96+O97+O98+O100+O103+O99+O101-O111</f>
        <v>0</v>
      </c>
      <c r="P118" s="256">
        <f>P105+P93+P94+P95+P104+P102+P96+P97+P98+P100+P103+P99+P101-P111</f>
        <v>0</v>
      </c>
      <c r="Q118" s="256">
        <f>Q105+Q93+Q94+Q95+Q104+Q102+Q96+Q97+Q98+Q100+Q103+Q99+Q101-Q111</f>
        <v>0</v>
      </c>
      <c r="R118" s="256">
        <f>R105+R93+R94+R95+R104+R102+R96+R97+R98+R100+R103+R99+R101-R111</f>
        <v>0</v>
      </c>
      <c r="S118" s="256">
        <f>S105+S93+S94+S95+S104+S102+S96+S97+S98+S100+S103+S99+S101-S111</f>
        <v>0</v>
      </c>
      <c r="T118" s="256">
        <f>T105+T93+T94+T95+T104+T102+T96+T97+T98+T100+T103+T99+T101-T111</f>
        <v>0</v>
      </c>
      <c r="U118" s="256">
        <f>U105+U93+U94+U95+U104+U102+U96+U97+U98+U100+U103+U99+U101-U111</f>
        <v>0</v>
      </c>
      <c r="V118" s="256">
        <f>V105+V93+V94+V95+V104+V102+V96+V97+V98+V100+V103+V99+V101-V111</f>
        <v>0</v>
      </c>
      <c r="W118" s="256">
        <f>W105+W93+W94+W95+W104+W102+W96+W97+W98+W100+W103+W99+W101-W111</f>
        <v>0</v>
      </c>
      <c r="X118" s="256">
        <f>X105+X93+X94+X95+X104+X102+X96+X97+X98+X100+X103+X99+X101-X111</f>
        <v>0</v>
      </c>
      <c r="Y118" s="256">
        <f>Y105+Y93+Y94+Y95+Y104+Y102+Y96+Y97+Y98+Y100+Y103+Y99+Y101-Y111</f>
        <v>0</v>
      </c>
      <c r="Z118" s="256">
        <f>Z105+Z93+Z94+Z95+Z104+Z102+Z96+Z97+Z98+Z100+Z103+Z99+Z101-Z111</f>
        <v>0</v>
      </c>
      <c r="AA118" s="256">
        <f>AA105+AA93+AA94+AA95+AA104+AA102+AA96+AA97+AA98+AA100+AA103+AA99+AA101-AA111</f>
        <v>0</v>
      </c>
      <c r="AB118" s="256">
        <f>AB105+AB93+AB94+AB95+AB104+AB102+AB96+AB97+AB98+AB100+AB103+AB99+AB101-AB111</f>
        <v>0</v>
      </c>
      <c r="AC118" s="256">
        <f>AC105+AC93+AC94+AC95+AC104+AC102+AC96+AC97+AC98+AC100+AC103+AC99+AC101-AC111</f>
        <v>0</v>
      </c>
      <c r="AD118" s="256">
        <f>AD105+AD93+AD94+AD95+AD104+AD102+AD96+AD97+AD98+AD100+AD103+AD99+AD101-AD111</f>
        <v>0</v>
      </c>
      <c r="AE118" s="256">
        <f>AE105+AE93+AE94+AE95+AE104+AE102+AE96+AE97+AE98+AE100+AE103+AE99+AE101-AE111</f>
        <v>0</v>
      </c>
      <c r="AF118" s="256">
        <f>AF105+AF93+AF94+AF95+AF104+AF102+AF96+AF97+AF98+AF100+AF103+AF99+AF101-AF111</f>
        <v>0</v>
      </c>
      <c r="AG118" s="256">
        <f>AG105+AG93+AG94+AG95+AG104+AG102+AG96+AG97+AG98+AG100+AG103+AG99+AG101-AG111</f>
        <v>0</v>
      </c>
      <c r="AH118" s="256">
        <f>AH105+AH93+AH94+AH95+AH104+AH102+AH96+AH97+AH98+AH100+AH103+AH99+AH101-AH111</f>
        <v>0</v>
      </c>
      <c r="AI118" s="256">
        <f>AI105+AI93+AI94+AI95+AI104+AI102+AI96+AI97+AI98+AI100+AI103+AI99+AI101-AI111</f>
        <v>0</v>
      </c>
      <c r="AJ118" s="256">
        <f>AJ105+AJ93+AJ94+AJ95+AJ104+AJ102+AJ96+AJ97+AJ98+AJ100+AJ103+AJ99+AJ101-AJ111</f>
        <v>0</v>
      </c>
    </row>
    <row r="119">
      <c r="H119" t="inlineStr">
        <is>
          <t>[vazio] cod 20 Goodwill: o agio esta dentro do Intangivel na fonte (cod 21); nao aberto no balanco</t>
        </is>
      </c>
    </row>
    <row r="120">
      <c r="H120" t="inlineStr">
        <is>
          <t>[vazio] cod 28 Short term debt (revolving): sem linha propria; emprestimos e debentures CP estao no cod 27</t>
        </is>
      </c>
    </row>
    <row r="121">
      <c r="H121" t="inlineStr">
        <is>
          <t>[vazio] cod 32 Convertible debt: inexistente</t>
        </is>
      </c>
    </row>
    <row r="122">
      <c r="H122" t="inlineStr">
        <is>
          <t>[vazio] cod 36 Convertible Preferred Stock: inexistente</t>
        </is>
      </c>
    </row>
    <row r="163">
      <c r="H163" s="250" t="inlineStr">
        <is>
          <t>CONVENCOES</t>
        </is>
      </c>
    </row>
    <row r="164">
      <c r="H164" t="inlineStr">
        <is>
          <t>Linhas de origem: 5 a 122. As formulas da Inputs (2) varrem as linhas 5 a 160; as linhas 123 a 160 estao livres para novas contas.</t>
        </is>
      </c>
    </row>
    <row r="165">
      <c r="H165" t="inlineStr">
        <is>
          <t>Periodos: colunas K a AJ (1Q20 a 2Q26 = 1T20 a 2T26). Linha 2 = aba de origem; linha 3 = coluna lida no balanco.</t>
        </is>
      </c>
    </row>
    <row r="166">
      <c r="H166" t="inlineStr">
        <is>
          <t>Brutos em R$ mil, como na fonte. A Inputs (2) multiplica pelo fator da celula B1 (0,001) e entrega R$ milhoes.</t>
        </is>
      </c>
    </row>
    <row r="167">
      <c r="H167" t="inlineStr">
        <is>
          <t>Fleury DRE/BP/DFC ate 1T23 (contabil pre-combinacao). Combinada a partir do 2T23, coluna "2T23 Contabil" na DRE/DFC. As colunas pro forma da Combinada (2022 a 1T23, "2T23" e "2023") nao foram usadas.</t>
        </is>
      </c>
    </row>
    <row r="168">
      <c r="H168" t="inlineStr">
        <is>
          <t>ORIGEM: fonte = copiado da planilha de fundamentos; memoria = subtotal divulgado, sem codigo; derivada = check por formula.</t>
        </is>
      </c>
    </row>
    <row r="169">
      <c r="H169" t="inlineStr">
        <is>
          <t>Uma linha da Inputs pode juntar a conta da aba Fleury e a da aba Combinada quando sao a mesma conta; a descricao mostra as duas linhas de origem.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0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44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2" t="inlineStr">
        <is>
          <t>3Q26</t>
        </is>
      </c>
      <c r="AF2" s="252" t="inlineStr">
        <is>
          <t>4Q26</t>
        </is>
      </c>
      <c r="AG2" s="253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$160=$B4)*ISNUMBER(INDEX(Inputs!$K$5:$AJ$160,0,MATCH(D$2,Inputs!$K$4:$AJ$4,0))))+SUMPRODUCT((Inputs!$C$5:$C$160=$B4)*ISNUMBER(INDEX(Inputs!$K$5:$AJ$160,0,MATCH(D$2,Inputs!$K$4:$AJ$4,0))))+SUMPRODUCT((Inputs!$E$5:$E$160=$B4)*ISNUMBER(INDEX(Inputs!$K$5:$AJ$160,0,MATCH(D$2,Inputs!$K$4:$AJ$4,0))))=0,NA(),SUMPRODUCT((Inputs!$A$5:$A$160=$B4)*Inputs!$B$5:$B$160*(((Inputs!$G$5:$G$160="moeda")+(Inputs!$G$5:$G$160="acoes"))*Inputs!$B$1+((Inputs!$G$5:$G$160&lt;&gt;"moeda")*(Inputs!$G$5:$G$160&lt;&gt;"acoes")))*INDEX(Inputs!$K$5:$AJ$160,0,MATCH(D$2,Inputs!$K$4:$AJ$4,0)))+SUMPRODUCT((Inputs!$C$5:$C$160=$B4)*Inputs!$D$5:$D$160*(((Inputs!$G$5:$G$160="moeda")+(Inputs!$G$5:$G$160="acoes"))*Inputs!$B$1+((Inputs!$G$5:$G$160&lt;&gt;"moeda")*(Inputs!$G$5:$G$160&lt;&gt;"acoes")))*INDEX(Inputs!$K$5:$AJ$160,0,MATCH(D$2,Inputs!$K$4:$AJ$4,0)))+SUMPRODUCT((Inputs!$E$5:$E$160=$B4)*Inputs!$F$5:$F$160*(((Inputs!$G$5:$G$160="moeda")+(Inputs!$G$5:$G$160="acoes"))*Inputs!$B$1+((Inputs!$G$5:$G$160&lt;&gt;"moeda")*(Inputs!$G$5:$G$160&lt;&gt;"acoes")))*INDEX(Inputs!$K$5:$AJ$160,0,MATCH(D$2,Inputs!$K$4:$AJ$4,0)))))</f>
        <v>893.807975809999</v>
      </c>
      <c r="E4" s="6">
        <f>IF(ISNA(MATCH(E$2,Inputs!$K$4:$AJ$4,0)),NA(),IF(SUMPRODUCT((Inputs!$A$5:$A$160=$B4)*ISNUMBER(INDEX(Inputs!$K$5:$AJ$160,0,MATCH(E$2,Inputs!$K$4:$AJ$4,0))))+SUMPRODUCT((Inputs!$C$5:$C$160=$B4)*ISNUMBER(INDEX(Inputs!$K$5:$AJ$160,0,MATCH(E$2,Inputs!$K$4:$AJ$4,0))))+SUMPRODUCT((Inputs!$E$5:$E$160=$B4)*ISNUMBER(INDEX(Inputs!$K$5:$AJ$160,0,MATCH(E$2,Inputs!$K$4:$AJ$4,0))))=0,NA(),SUMPRODUCT((Inputs!$A$5:$A$160=$B4)*Inputs!$B$5:$B$160*(((Inputs!$G$5:$G$160="moeda")+(Inputs!$G$5:$G$160="acoes"))*Inputs!$B$1+((Inputs!$G$5:$G$160&lt;&gt;"moeda")*(Inputs!$G$5:$G$160&lt;&gt;"acoes")))*INDEX(Inputs!$K$5:$AJ$160,0,MATCH(E$2,Inputs!$K$4:$AJ$4,0)))+SUMPRODUCT((Inputs!$C$5:$C$160=$B4)*Inputs!$D$5:$D$160*(((Inputs!$G$5:$G$160="moeda")+(Inputs!$G$5:$G$160="acoes"))*Inputs!$B$1+((Inputs!$G$5:$G$160&lt;&gt;"moeda")*(Inputs!$G$5:$G$160&lt;&gt;"acoes")))*INDEX(Inputs!$K$5:$AJ$160,0,MATCH(E$2,Inputs!$K$4:$AJ$4,0)))+SUMPRODUCT((Inputs!$E$5:$E$160=$B4)*Inputs!$F$5:$F$160*(((Inputs!$G$5:$G$160="moeda")+(Inputs!$G$5:$G$160="acoes"))*Inputs!$B$1+((Inputs!$G$5:$G$160&lt;&gt;"moeda")*(Inputs!$G$5:$G$160&lt;&gt;"acoes")))*INDEX(Inputs!$K$5:$AJ$160,0,MATCH(E$2,Inputs!$K$4:$AJ$4,0)))))</f>
        <v>932.066355889999</v>
      </c>
      <c r="F4" s="6">
        <f>IF(ISNA(MATCH(F$2,Inputs!$K$4:$AJ$4,0)),NA(),IF(SUMPRODUCT((Inputs!$A$5:$A$160=$B4)*ISNUMBER(INDEX(Inputs!$K$5:$AJ$160,0,MATCH(F$2,Inputs!$K$4:$AJ$4,0))))+SUMPRODUCT((Inputs!$C$5:$C$160=$B4)*ISNUMBER(INDEX(Inputs!$K$5:$AJ$160,0,MATCH(F$2,Inputs!$K$4:$AJ$4,0))))+SUMPRODUCT((Inputs!$E$5:$E$160=$B4)*ISNUMBER(INDEX(Inputs!$K$5:$AJ$160,0,MATCH(F$2,Inputs!$K$4:$AJ$4,0))))=0,NA(),SUMPRODUCT((Inputs!$A$5:$A$160=$B4)*Inputs!$B$5:$B$160*(((Inputs!$G$5:$G$160="moeda")+(Inputs!$G$5:$G$160="acoes"))*Inputs!$B$1+((Inputs!$G$5:$G$160&lt;&gt;"moeda")*(Inputs!$G$5:$G$160&lt;&gt;"acoes")))*INDEX(Inputs!$K$5:$AJ$160,0,MATCH(F$2,Inputs!$K$4:$AJ$4,0)))+SUMPRODUCT((Inputs!$C$5:$C$160=$B4)*Inputs!$D$5:$D$160*(((Inputs!$G$5:$G$160="moeda")+(Inputs!$G$5:$G$160="acoes"))*Inputs!$B$1+((Inputs!$G$5:$G$160&lt;&gt;"moeda")*(Inputs!$G$5:$G$160&lt;&gt;"acoes")))*INDEX(Inputs!$K$5:$AJ$160,0,MATCH(F$2,Inputs!$K$4:$AJ$4,0)))+SUMPRODUCT((Inputs!$E$5:$E$160=$B4)*Inputs!$F$5:$F$160*(((Inputs!$G$5:$G$160="moeda")+(Inputs!$G$5:$G$160="acoes"))*Inputs!$B$1+((Inputs!$G$5:$G$160&lt;&gt;"moeda")*(Inputs!$G$5:$G$160&lt;&gt;"acoes")))*INDEX(Inputs!$K$5:$AJ$160,0,MATCH(F$2,Inputs!$K$4:$AJ$4,0)))))</f>
        <v>1028.82986343</v>
      </c>
      <c r="G4" s="6">
        <f>IF(ISNA(MATCH(G$2,Inputs!$K$4:$AJ$4,0)),NA(),IF(SUMPRODUCT((Inputs!$A$5:$A$160=$B4)*ISNUMBER(INDEX(Inputs!$K$5:$AJ$160,0,MATCH(G$2,Inputs!$K$4:$AJ$4,0))))+SUMPRODUCT((Inputs!$C$5:$C$160=$B4)*ISNUMBER(INDEX(Inputs!$K$5:$AJ$160,0,MATCH(G$2,Inputs!$K$4:$AJ$4,0))))+SUMPRODUCT((Inputs!$E$5:$E$160=$B4)*ISNUMBER(INDEX(Inputs!$K$5:$AJ$160,0,MATCH(G$2,Inputs!$K$4:$AJ$4,0))))=0,NA(),SUMPRODUCT((Inputs!$A$5:$A$160=$B4)*Inputs!$B$5:$B$160*(((Inputs!$G$5:$G$160="moeda")+(Inputs!$G$5:$G$160="acoes"))*Inputs!$B$1+((Inputs!$G$5:$G$160&lt;&gt;"moeda")*(Inputs!$G$5:$G$160&lt;&gt;"acoes")))*INDEX(Inputs!$K$5:$AJ$160,0,MATCH(G$2,Inputs!$K$4:$AJ$4,0)))+SUMPRODUCT((Inputs!$C$5:$C$160=$B4)*Inputs!$D$5:$D$160*(((Inputs!$G$5:$G$160="moeda")+(Inputs!$G$5:$G$160="acoes"))*Inputs!$B$1+((Inputs!$G$5:$G$160&lt;&gt;"moeda")*(Inputs!$G$5:$G$160&lt;&gt;"acoes")))*INDEX(Inputs!$K$5:$AJ$160,0,MATCH(G$2,Inputs!$K$4:$AJ$4,0)))+SUMPRODUCT((Inputs!$E$5:$E$160=$B4)*Inputs!$F$5:$F$160*(((Inputs!$G$5:$G$160="moeda")+(Inputs!$G$5:$G$160="acoes"))*Inputs!$B$1+((Inputs!$G$5:$G$160&lt;&gt;"moeda")*(Inputs!$G$5:$G$160&lt;&gt;"acoes")))*INDEX(Inputs!$K$5:$AJ$160,0,MATCH(G$2,Inputs!$K$4:$AJ$4,0)))))</f>
        <v>1017.94642707</v>
      </c>
      <c r="H4" s="3">
        <f>SUM(D4:G4)</f>
        <v>3872.6506222</v>
      </c>
      <c r="I4" s="6">
        <f>IF(ISNA(MATCH(I$2,Inputs!$K$4:$AJ$4,0)),NA(),IF(SUMPRODUCT((Inputs!$A$5:$A$160=$B4)*ISNUMBER(INDEX(Inputs!$K$5:$AJ$160,0,MATCH(I$2,Inputs!$K$4:$AJ$4,0))))+SUMPRODUCT((Inputs!$C$5:$C$160=$B4)*ISNUMBER(INDEX(Inputs!$K$5:$AJ$160,0,MATCH(I$2,Inputs!$K$4:$AJ$4,0))))+SUMPRODUCT((Inputs!$E$5:$E$160=$B4)*ISNUMBER(INDEX(Inputs!$K$5:$AJ$160,0,MATCH(I$2,Inputs!$K$4:$AJ$4,0))))=0,NA(),SUMPRODUCT((Inputs!$A$5:$A$160=$B4)*Inputs!$B$5:$B$160*(((Inputs!$G$5:$G$160="moeda")+(Inputs!$G$5:$G$160="acoes"))*Inputs!$B$1+((Inputs!$G$5:$G$160&lt;&gt;"moeda")*(Inputs!$G$5:$G$160&lt;&gt;"acoes")))*INDEX(Inputs!$K$5:$AJ$160,0,MATCH(I$2,Inputs!$K$4:$AJ$4,0)))+SUMPRODUCT((Inputs!$C$5:$C$160=$B4)*Inputs!$D$5:$D$160*(((Inputs!$G$5:$G$160="moeda")+(Inputs!$G$5:$G$160="acoes"))*Inputs!$B$1+((Inputs!$G$5:$G$160&lt;&gt;"moeda")*(Inputs!$G$5:$G$160&lt;&gt;"acoes")))*INDEX(Inputs!$K$5:$AJ$160,0,MATCH(I$2,Inputs!$K$4:$AJ$4,0)))+SUMPRODUCT((Inputs!$E$5:$E$160=$B4)*Inputs!$F$5:$F$160*(((Inputs!$G$5:$G$160="moeda")+(Inputs!$G$5:$G$160="acoes"))*Inputs!$B$1+((Inputs!$G$5:$G$160&lt;&gt;"moeda")*(Inputs!$G$5:$G$160&lt;&gt;"acoes")))*INDEX(Inputs!$K$5:$AJ$160,0,MATCH(I$2,Inputs!$K$4:$AJ$4,0)))))</f>
        <v>1089.91257007944</v>
      </c>
      <c r="J4" s="6">
        <f>IF(ISNA(MATCH(J$2,Inputs!$K$4:$AJ$4,0)),NA(),IF(SUMPRODUCT((Inputs!$A$5:$A$160=$B4)*ISNUMBER(INDEX(Inputs!$K$5:$AJ$160,0,MATCH(J$2,Inputs!$K$4:$AJ$4,0))))+SUMPRODUCT((Inputs!$C$5:$C$160=$B4)*ISNUMBER(INDEX(Inputs!$K$5:$AJ$160,0,MATCH(J$2,Inputs!$K$4:$AJ$4,0))))+SUMPRODUCT((Inputs!$E$5:$E$160=$B4)*ISNUMBER(INDEX(Inputs!$K$5:$AJ$160,0,MATCH(J$2,Inputs!$K$4:$AJ$4,0))))=0,NA(),SUMPRODUCT((Inputs!$A$5:$A$160=$B4)*Inputs!$B$5:$B$160*(((Inputs!$G$5:$G$160="moeda")+(Inputs!$G$5:$G$160="acoes"))*Inputs!$B$1+((Inputs!$G$5:$G$160&lt;&gt;"moeda")*(Inputs!$G$5:$G$160&lt;&gt;"acoes")))*INDEX(Inputs!$K$5:$AJ$160,0,MATCH(J$2,Inputs!$K$4:$AJ$4,0)))+SUMPRODUCT((Inputs!$C$5:$C$160=$B4)*Inputs!$D$5:$D$160*(((Inputs!$G$5:$G$160="moeda")+(Inputs!$G$5:$G$160="acoes"))*Inputs!$B$1+((Inputs!$G$5:$G$160&lt;&gt;"moeda")*(Inputs!$G$5:$G$160&lt;&gt;"acoes")))*INDEX(Inputs!$K$5:$AJ$160,0,MATCH(J$2,Inputs!$K$4:$AJ$4,0)))+SUMPRODUCT((Inputs!$E$5:$E$160=$B4)*Inputs!$F$5:$F$160*(((Inputs!$G$5:$G$160="moeda")+(Inputs!$G$5:$G$160="acoes"))*Inputs!$B$1+((Inputs!$G$5:$G$160&lt;&gt;"moeda")*(Inputs!$G$5:$G$160&lt;&gt;"acoes")))*INDEX(Inputs!$K$5:$AJ$160,0,MATCH(J$2,Inputs!$K$4:$AJ$4,0)))))</f>
        <v>1111.74596125805</v>
      </c>
      <c r="K4" s="6">
        <f>IF(ISNA(MATCH(K$2,Inputs!$K$4:$AJ$4,0)),NA(),IF(SUMPRODUCT((Inputs!$A$5:$A$160=$B4)*ISNUMBER(INDEX(Inputs!$K$5:$AJ$160,0,MATCH(K$2,Inputs!$K$4:$AJ$4,0))))+SUMPRODUCT((Inputs!$C$5:$C$160=$B4)*ISNUMBER(INDEX(Inputs!$K$5:$AJ$160,0,MATCH(K$2,Inputs!$K$4:$AJ$4,0))))+SUMPRODUCT((Inputs!$E$5:$E$160=$B4)*ISNUMBER(INDEX(Inputs!$K$5:$AJ$160,0,MATCH(K$2,Inputs!$K$4:$AJ$4,0))))=0,NA(),SUMPRODUCT((Inputs!$A$5:$A$160=$B4)*Inputs!$B$5:$B$160*(((Inputs!$G$5:$G$160="moeda")+(Inputs!$G$5:$G$160="acoes"))*Inputs!$B$1+((Inputs!$G$5:$G$160&lt;&gt;"moeda")*(Inputs!$G$5:$G$160&lt;&gt;"acoes")))*INDEX(Inputs!$K$5:$AJ$160,0,MATCH(K$2,Inputs!$K$4:$AJ$4,0)))+SUMPRODUCT((Inputs!$C$5:$C$160=$B4)*Inputs!$D$5:$D$160*(((Inputs!$G$5:$G$160="moeda")+(Inputs!$G$5:$G$160="acoes"))*Inputs!$B$1+((Inputs!$G$5:$G$160&lt;&gt;"moeda")*(Inputs!$G$5:$G$160&lt;&gt;"acoes")))*INDEX(Inputs!$K$5:$AJ$160,0,MATCH(K$2,Inputs!$K$4:$AJ$4,0)))+SUMPRODUCT((Inputs!$E$5:$E$160=$B4)*Inputs!$F$5:$F$160*(((Inputs!$G$5:$G$160="moeda")+(Inputs!$G$5:$G$160="acoes"))*Inputs!$B$1+((Inputs!$G$5:$G$160&lt;&gt;"moeda")*(Inputs!$G$5:$G$160&lt;&gt;"acoes")))*INDEX(Inputs!$K$5:$AJ$160,0,MATCH(K$2,Inputs!$K$4:$AJ$4,0)))))</f>
        <v>1146.63487622</v>
      </c>
      <c r="L4" s="6">
        <f>IF(ISNA(MATCH(L$2,Inputs!$K$4:$AJ$4,0)),NA(),IF(SUMPRODUCT((Inputs!$A$5:$A$160=$B4)*ISNUMBER(INDEX(Inputs!$K$5:$AJ$160,0,MATCH(L$2,Inputs!$K$4:$AJ$4,0))))+SUMPRODUCT((Inputs!$C$5:$C$160=$B4)*ISNUMBER(INDEX(Inputs!$K$5:$AJ$160,0,MATCH(L$2,Inputs!$K$4:$AJ$4,0))))+SUMPRODUCT((Inputs!$E$5:$E$160=$B4)*ISNUMBER(INDEX(Inputs!$K$5:$AJ$160,0,MATCH(L$2,Inputs!$K$4:$AJ$4,0))))=0,NA(),SUMPRODUCT((Inputs!$A$5:$A$160=$B4)*Inputs!$B$5:$B$160*(((Inputs!$G$5:$G$160="moeda")+(Inputs!$G$5:$G$160="acoes"))*Inputs!$B$1+((Inputs!$G$5:$G$160&lt;&gt;"moeda")*(Inputs!$G$5:$G$160&lt;&gt;"acoes")))*INDEX(Inputs!$K$5:$AJ$160,0,MATCH(L$2,Inputs!$K$4:$AJ$4,0)))+SUMPRODUCT((Inputs!$C$5:$C$160=$B4)*Inputs!$D$5:$D$160*(((Inputs!$G$5:$G$160="moeda")+(Inputs!$G$5:$G$160="acoes"))*Inputs!$B$1+((Inputs!$G$5:$G$160&lt;&gt;"moeda")*(Inputs!$G$5:$G$160&lt;&gt;"acoes")))*INDEX(Inputs!$K$5:$AJ$160,0,MATCH(L$2,Inputs!$K$4:$AJ$4,0)))+SUMPRODUCT((Inputs!$E$5:$E$160=$B4)*Inputs!$F$5:$F$160*(((Inputs!$G$5:$G$160="moeda")+(Inputs!$G$5:$G$160="acoes"))*Inputs!$B$1+((Inputs!$G$5:$G$160&lt;&gt;"moeda")*(Inputs!$G$5:$G$160&lt;&gt;"acoes")))*INDEX(Inputs!$K$5:$AJ$160,0,MATCH(L$2,Inputs!$K$4:$AJ$4,0)))))</f>
        <v>1114.74676428</v>
      </c>
      <c r="M4" s="3">
        <f>SUM(I4:L4)</f>
        <v>4463.04017183749</v>
      </c>
      <c r="N4" s="6">
        <f>IF(ISNA(MATCH(N$2,Inputs!$K$4:$AJ$4,0)),NA(),IF(SUMPRODUCT((Inputs!$A$5:$A$160=$B4)*ISNUMBER(INDEX(Inputs!$K$5:$AJ$160,0,MATCH(N$2,Inputs!$K$4:$AJ$4,0))))+SUMPRODUCT((Inputs!$C$5:$C$160=$B4)*ISNUMBER(INDEX(Inputs!$K$5:$AJ$160,0,MATCH(N$2,Inputs!$K$4:$AJ$4,0))))+SUMPRODUCT((Inputs!$E$5:$E$160=$B4)*ISNUMBER(INDEX(Inputs!$K$5:$AJ$160,0,MATCH(N$2,Inputs!$K$4:$AJ$4,0))))=0,NA(),SUMPRODUCT((Inputs!$A$5:$A$160=$B4)*Inputs!$B$5:$B$160*(((Inputs!$G$5:$G$160="moeda")+(Inputs!$G$5:$G$160="acoes"))*Inputs!$B$1+((Inputs!$G$5:$G$160&lt;&gt;"moeda")*(Inputs!$G$5:$G$160&lt;&gt;"acoes")))*INDEX(Inputs!$K$5:$AJ$160,0,MATCH(N$2,Inputs!$K$4:$AJ$4,0)))+SUMPRODUCT((Inputs!$C$5:$C$160=$B4)*Inputs!$D$5:$D$160*(((Inputs!$G$5:$G$160="moeda")+(Inputs!$G$5:$G$160="acoes"))*Inputs!$B$1+((Inputs!$G$5:$G$160&lt;&gt;"moeda")*(Inputs!$G$5:$G$160&lt;&gt;"acoes")))*INDEX(Inputs!$K$5:$AJ$160,0,MATCH(N$2,Inputs!$K$4:$AJ$4,0)))+SUMPRODUCT((Inputs!$E$5:$E$160=$B4)*Inputs!$F$5:$F$160*(((Inputs!$G$5:$G$160="moeda")+(Inputs!$G$5:$G$160="acoes"))*Inputs!$B$1+((Inputs!$G$5:$G$160&lt;&gt;"moeda")*(Inputs!$G$5:$G$160&lt;&gt;"acoes")))*INDEX(Inputs!$K$5:$AJ$160,0,MATCH(N$2,Inputs!$K$4:$AJ$4,0)))))</f>
        <v>1236.82329968</v>
      </c>
      <c r="O4" s="6">
        <f>IF(ISNA(MATCH(O$2,Inputs!$K$4:$AJ$4,0)),NA(),IF(SUMPRODUCT((Inputs!$A$5:$A$160=$B4)*ISNUMBER(INDEX(Inputs!$K$5:$AJ$160,0,MATCH(O$2,Inputs!$K$4:$AJ$4,0))))+SUMPRODUCT((Inputs!$C$5:$C$160=$B4)*ISNUMBER(INDEX(Inputs!$K$5:$AJ$160,0,MATCH(O$2,Inputs!$K$4:$AJ$4,0))))+SUMPRODUCT((Inputs!$E$5:$E$160=$B4)*ISNUMBER(INDEX(Inputs!$K$5:$AJ$160,0,MATCH(O$2,Inputs!$K$4:$AJ$4,0))))=0,NA(),SUMPRODUCT((Inputs!$A$5:$A$160=$B4)*Inputs!$B$5:$B$160*(((Inputs!$G$5:$G$160="moeda")+(Inputs!$G$5:$G$160="acoes"))*Inputs!$B$1+((Inputs!$G$5:$G$160&lt;&gt;"moeda")*(Inputs!$G$5:$G$160&lt;&gt;"acoes")))*INDEX(Inputs!$K$5:$AJ$160,0,MATCH(O$2,Inputs!$K$4:$AJ$4,0)))+SUMPRODUCT((Inputs!$C$5:$C$160=$B4)*Inputs!$D$5:$D$160*(((Inputs!$G$5:$G$160="moeda")+(Inputs!$G$5:$G$160="acoes"))*Inputs!$B$1+((Inputs!$G$5:$G$160&lt;&gt;"moeda")*(Inputs!$G$5:$G$160&lt;&gt;"acoes")))*INDEX(Inputs!$K$5:$AJ$160,0,MATCH(O$2,Inputs!$K$4:$AJ$4,0)))+SUMPRODUCT((Inputs!$E$5:$E$160=$B4)*Inputs!$F$5:$F$160*(((Inputs!$G$5:$G$160="moeda")+(Inputs!$G$5:$G$160="acoes"))*Inputs!$B$1+((Inputs!$G$5:$G$160&lt;&gt;"moeda")*(Inputs!$G$5:$G$160&lt;&gt;"acoes")))*INDEX(Inputs!$K$5:$AJ$160,0,MATCH(O$2,Inputs!$K$4:$AJ$4,0)))))</f>
        <v>1659.541</v>
      </c>
      <c r="P4" s="6">
        <f>IF(ISNA(MATCH(P$2,Inputs!$K$4:$AJ$4,0)),NA(),IF(SUMPRODUCT((Inputs!$A$5:$A$160=$B4)*ISNUMBER(INDEX(Inputs!$K$5:$AJ$160,0,MATCH(P$2,Inputs!$K$4:$AJ$4,0))))+SUMPRODUCT((Inputs!$C$5:$C$160=$B4)*ISNUMBER(INDEX(Inputs!$K$5:$AJ$160,0,MATCH(P$2,Inputs!$K$4:$AJ$4,0))))+SUMPRODUCT((Inputs!$E$5:$E$160=$B4)*ISNUMBER(INDEX(Inputs!$K$5:$AJ$160,0,MATCH(P$2,Inputs!$K$4:$AJ$4,0))))=0,NA(),SUMPRODUCT((Inputs!$A$5:$A$160=$B4)*Inputs!$B$5:$B$160*(((Inputs!$G$5:$G$160="moeda")+(Inputs!$G$5:$G$160="acoes"))*Inputs!$B$1+((Inputs!$G$5:$G$160&lt;&gt;"moeda")*(Inputs!$G$5:$G$160&lt;&gt;"acoes")))*INDEX(Inputs!$K$5:$AJ$160,0,MATCH(P$2,Inputs!$K$4:$AJ$4,0)))+SUMPRODUCT((Inputs!$C$5:$C$160=$B4)*Inputs!$D$5:$D$160*(((Inputs!$G$5:$G$160="moeda")+(Inputs!$G$5:$G$160="acoes"))*Inputs!$B$1+((Inputs!$G$5:$G$160&lt;&gt;"moeda")*(Inputs!$G$5:$G$160&lt;&gt;"acoes")))*INDEX(Inputs!$K$5:$AJ$160,0,MATCH(P$2,Inputs!$K$4:$AJ$4,0)))+SUMPRODUCT((Inputs!$E$5:$E$160=$B4)*Inputs!$F$5:$F$160*(((Inputs!$G$5:$G$160="moeda")+(Inputs!$G$5:$G$160="acoes"))*Inputs!$B$1+((Inputs!$G$5:$G$160&lt;&gt;"moeda")*(Inputs!$G$5:$G$160&lt;&gt;"acoes")))*INDEX(Inputs!$K$5:$AJ$160,0,MATCH(P$2,Inputs!$K$4:$AJ$4,0)))))</f>
        <v>1870.045</v>
      </c>
      <c r="Q4" s="6">
        <f>IF(ISNA(MATCH(Q$2,Inputs!$K$4:$AJ$4,0)),NA(),IF(SUMPRODUCT((Inputs!$A$5:$A$160=$B4)*ISNUMBER(INDEX(Inputs!$K$5:$AJ$160,0,MATCH(Q$2,Inputs!$K$4:$AJ$4,0))))+SUMPRODUCT((Inputs!$C$5:$C$160=$B4)*ISNUMBER(INDEX(Inputs!$K$5:$AJ$160,0,MATCH(Q$2,Inputs!$K$4:$AJ$4,0))))+SUMPRODUCT((Inputs!$E$5:$E$160=$B4)*ISNUMBER(INDEX(Inputs!$K$5:$AJ$160,0,MATCH(Q$2,Inputs!$K$4:$AJ$4,0))))=0,NA(),SUMPRODUCT((Inputs!$A$5:$A$160=$B4)*Inputs!$B$5:$B$160*(((Inputs!$G$5:$G$160="moeda")+(Inputs!$G$5:$G$160="acoes"))*Inputs!$B$1+((Inputs!$G$5:$G$160&lt;&gt;"moeda")*(Inputs!$G$5:$G$160&lt;&gt;"acoes")))*INDEX(Inputs!$K$5:$AJ$160,0,MATCH(Q$2,Inputs!$K$4:$AJ$4,0)))+SUMPRODUCT((Inputs!$C$5:$C$160=$B4)*Inputs!$D$5:$D$160*(((Inputs!$G$5:$G$160="moeda")+(Inputs!$G$5:$G$160="acoes"))*Inputs!$B$1+((Inputs!$G$5:$G$160&lt;&gt;"moeda")*(Inputs!$G$5:$G$160&lt;&gt;"acoes")))*INDEX(Inputs!$K$5:$AJ$160,0,MATCH(Q$2,Inputs!$K$4:$AJ$4,0)))+SUMPRODUCT((Inputs!$E$5:$E$160=$B4)*Inputs!$F$5:$F$160*(((Inputs!$G$5:$G$160="moeda")+(Inputs!$G$5:$G$160="acoes"))*Inputs!$B$1+((Inputs!$G$5:$G$160&lt;&gt;"moeda")*(Inputs!$G$5:$G$160&lt;&gt;"acoes")))*INDEX(Inputs!$K$5:$AJ$160,0,MATCH(Q$2,Inputs!$K$4:$AJ$4,0)))))</f>
        <v>1704.44070032</v>
      </c>
      <c r="R4" s="3">
        <f>SUM(N4:Q4)</f>
        <v>6470.85</v>
      </c>
      <c r="S4" s="6">
        <f>IF(ISNA(MATCH(S$2,Inputs!$K$4:$AJ$4,0)),NA(),IF(SUMPRODUCT((Inputs!$A$5:$A$160=$B4)*ISNUMBER(INDEX(Inputs!$K$5:$AJ$160,0,MATCH(S$2,Inputs!$K$4:$AJ$4,0))))+SUMPRODUCT((Inputs!$C$5:$C$160=$B4)*ISNUMBER(INDEX(Inputs!$K$5:$AJ$160,0,MATCH(S$2,Inputs!$K$4:$AJ$4,0))))+SUMPRODUCT((Inputs!$E$5:$E$160=$B4)*ISNUMBER(INDEX(Inputs!$K$5:$AJ$160,0,MATCH(S$2,Inputs!$K$4:$AJ$4,0))))=0,NA(),SUMPRODUCT((Inputs!$A$5:$A$160=$B4)*Inputs!$B$5:$B$160*(((Inputs!$G$5:$G$160="moeda")+(Inputs!$G$5:$G$160="acoes"))*Inputs!$B$1+((Inputs!$G$5:$G$160&lt;&gt;"moeda")*(Inputs!$G$5:$G$160&lt;&gt;"acoes")))*INDEX(Inputs!$K$5:$AJ$160,0,MATCH(S$2,Inputs!$K$4:$AJ$4,0)))+SUMPRODUCT((Inputs!$C$5:$C$160=$B4)*Inputs!$D$5:$D$160*(((Inputs!$G$5:$G$160="moeda")+(Inputs!$G$5:$G$160="acoes"))*Inputs!$B$1+((Inputs!$G$5:$G$160&lt;&gt;"moeda")*(Inputs!$G$5:$G$160&lt;&gt;"acoes")))*INDEX(Inputs!$K$5:$AJ$160,0,MATCH(S$2,Inputs!$K$4:$AJ$4,0)))+SUMPRODUCT((Inputs!$E$5:$E$160=$B4)*Inputs!$F$5:$F$160*(((Inputs!$G$5:$G$160="moeda")+(Inputs!$G$5:$G$160="acoes"))*Inputs!$B$1+((Inputs!$G$5:$G$160&lt;&gt;"moeda")*(Inputs!$G$5:$G$160&lt;&gt;"acoes")))*INDEX(Inputs!$K$5:$AJ$160,0,MATCH(S$2,Inputs!$K$4:$AJ$4,0)))))</f>
        <v>1904.4484785</v>
      </c>
      <c r="T4" s="6">
        <f>IF(ISNA(MATCH(T$2,Inputs!$K$4:$AJ$4,0)),NA(),IF(SUMPRODUCT((Inputs!$A$5:$A$160=$B4)*ISNUMBER(INDEX(Inputs!$K$5:$AJ$160,0,MATCH(T$2,Inputs!$K$4:$AJ$4,0))))+SUMPRODUCT((Inputs!$C$5:$C$160=$B4)*ISNUMBER(INDEX(Inputs!$K$5:$AJ$160,0,MATCH(T$2,Inputs!$K$4:$AJ$4,0))))+SUMPRODUCT((Inputs!$E$5:$E$160=$B4)*ISNUMBER(INDEX(Inputs!$K$5:$AJ$160,0,MATCH(T$2,Inputs!$K$4:$AJ$4,0))))=0,NA(),SUMPRODUCT((Inputs!$A$5:$A$160=$B4)*Inputs!$B$5:$B$160*(((Inputs!$G$5:$G$160="moeda")+(Inputs!$G$5:$G$160="acoes"))*Inputs!$B$1+((Inputs!$G$5:$G$160&lt;&gt;"moeda")*(Inputs!$G$5:$G$160&lt;&gt;"acoes")))*INDEX(Inputs!$K$5:$AJ$160,0,MATCH(T$2,Inputs!$K$4:$AJ$4,0)))+SUMPRODUCT((Inputs!$C$5:$C$160=$B4)*Inputs!$D$5:$D$160*(((Inputs!$G$5:$G$160="moeda")+(Inputs!$G$5:$G$160="acoes"))*Inputs!$B$1+((Inputs!$G$5:$G$160&lt;&gt;"moeda")*(Inputs!$G$5:$G$160&lt;&gt;"acoes")))*INDEX(Inputs!$K$5:$AJ$160,0,MATCH(T$2,Inputs!$K$4:$AJ$4,0)))+SUMPRODUCT((Inputs!$E$5:$E$160=$B4)*Inputs!$F$5:$F$160*(((Inputs!$G$5:$G$160="moeda")+(Inputs!$G$5:$G$160="acoes"))*Inputs!$B$1+((Inputs!$G$5:$G$160&lt;&gt;"moeda")*(Inputs!$G$5:$G$160&lt;&gt;"acoes")))*INDEX(Inputs!$K$5:$AJ$160,0,MATCH(T$2,Inputs!$K$4:$AJ$4,0)))))</f>
        <v>1978.202</v>
      </c>
      <c r="U4" s="6">
        <f>IF(ISNA(MATCH(U$2,Inputs!$K$4:$AJ$4,0)),NA(),IF(SUMPRODUCT((Inputs!$A$5:$A$160=$B4)*ISNUMBER(INDEX(Inputs!$K$5:$AJ$160,0,MATCH(U$2,Inputs!$K$4:$AJ$4,0))))+SUMPRODUCT((Inputs!$C$5:$C$160=$B4)*ISNUMBER(INDEX(Inputs!$K$5:$AJ$160,0,MATCH(U$2,Inputs!$K$4:$AJ$4,0))))+SUMPRODUCT((Inputs!$E$5:$E$160=$B4)*ISNUMBER(INDEX(Inputs!$K$5:$AJ$160,0,MATCH(U$2,Inputs!$K$4:$AJ$4,0))))=0,NA(),SUMPRODUCT((Inputs!$A$5:$A$160=$B4)*Inputs!$B$5:$B$160*(((Inputs!$G$5:$G$160="moeda")+(Inputs!$G$5:$G$160="acoes"))*Inputs!$B$1+((Inputs!$G$5:$G$160&lt;&gt;"moeda")*(Inputs!$G$5:$G$160&lt;&gt;"acoes")))*INDEX(Inputs!$K$5:$AJ$160,0,MATCH(U$2,Inputs!$K$4:$AJ$4,0)))+SUMPRODUCT((Inputs!$C$5:$C$160=$B4)*Inputs!$D$5:$D$160*(((Inputs!$G$5:$G$160="moeda")+(Inputs!$G$5:$G$160="acoes"))*Inputs!$B$1+((Inputs!$G$5:$G$160&lt;&gt;"moeda")*(Inputs!$G$5:$G$160&lt;&gt;"acoes")))*INDEX(Inputs!$K$5:$AJ$160,0,MATCH(U$2,Inputs!$K$4:$AJ$4,0)))+SUMPRODUCT((Inputs!$E$5:$E$160=$B4)*Inputs!$F$5:$F$160*(((Inputs!$G$5:$G$160="moeda")+(Inputs!$G$5:$G$160="acoes"))*Inputs!$B$1+((Inputs!$G$5:$G$160&lt;&gt;"moeda")*(Inputs!$G$5:$G$160&lt;&gt;"acoes")))*INDEX(Inputs!$K$5:$AJ$160,0,MATCH(U$2,Inputs!$K$4:$AJ$4,0)))))</f>
        <v>1962.671474</v>
      </c>
      <c r="V4" s="6">
        <f>IF(ISNA(MATCH(V$2,Inputs!$K$4:$AJ$4,0)),NA(),IF(SUMPRODUCT((Inputs!$A$5:$A$160=$B4)*ISNUMBER(INDEX(Inputs!$K$5:$AJ$160,0,MATCH(V$2,Inputs!$K$4:$AJ$4,0))))+SUMPRODUCT((Inputs!$C$5:$C$160=$B4)*ISNUMBER(INDEX(Inputs!$K$5:$AJ$160,0,MATCH(V$2,Inputs!$K$4:$AJ$4,0))))+SUMPRODUCT((Inputs!$E$5:$E$160=$B4)*ISNUMBER(INDEX(Inputs!$K$5:$AJ$160,0,MATCH(V$2,Inputs!$K$4:$AJ$4,0))))=0,NA(),SUMPRODUCT((Inputs!$A$5:$A$160=$B4)*Inputs!$B$5:$B$160*(((Inputs!$G$5:$G$160="moeda")+(Inputs!$G$5:$G$160="acoes"))*Inputs!$B$1+((Inputs!$G$5:$G$160&lt;&gt;"moeda")*(Inputs!$G$5:$G$160&lt;&gt;"acoes")))*INDEX(Inputs!$K$5:$AJ$160,0,MATCH(V$2,Inputs!$K$4:$AJ$4,0)))+SUMPRODUCT((Inputs!$C$5:$C$160=$B4)*Inputs!$D$5:$D$160*(((Inputs!$G$5:$G$160="moeda")+(Inputs!$G$5:$G$160="acoes"))*Inputs!$B$1+((Inputs!$G$5:$G$160&lt;&gt;"moeda")*(Inputs!$G$5:$G$160&lt;&gt;"acoes")))*INDEX(Inputs!$K$5:$AJ$160,0,MATCH(V$2,Inputs!$K$4:$AJ$4,0)))+SUMPRODUCT((Inputs!$E$5:$E$160=$B4)*Inputs!$F$5:$F$160*(((Inputs!$G$5:$G$160="moeda")+(Inputs!$G$5:$G$160="acoes"))*Inputs!$B$1+((Inputs!$G$5:$G$160&lt;&gt;"moeda")*(Inputs!$G$5:$G$160&lt;&gt;"acoes")))*INDEX(Inputs!$K$5:$AJ$160,0,MATCH(V$2,Inputs!$K$4:$AJ$4,0)))))</f>
        <v>1839.3370475</v>
      </c>
      <c r="W4" s="3">
        <f>SUM(S4:V4)</f>
        <v>7684.659</v>
      </c>
      <c r="X4" s="6">
        <f>IF(ISNA(MATCH(X$2,Inputs!$K$4:$AJ$4,0)),NA(),IF(SUMPRODUCT((Inputs!$A$5:$A$160=$B4)*ISNUMBER(INDEX(Inputs!$K$5:$AJ$160,0,MATCH(X$2,Inputs!$K$4:$AJ$4,0))))+SUMPRODUCT((Inputs!$C$5:$C$160=$B4)*ISNUMBER(INDEX(Inputs!$K$5:$AJ$160,0,MATCH(X$2,Inputs!$K$4:$AJ$4,0))))+SUMPRODUCT((Inputs!$E$5:$E$160=$B4)*ISNUMBER(INDEX(Inputs!$K$5:$AJ$160,0,MATCH(X$2,Inputs!$K$4:$AJ$4,0))))=0,NA(),SUMPRODUCT((Inputs!$A$5:$A$160=$B4)*Inputs!$B$5:$B$160*(((Inputs!$G$5:$G$160="moeda")+(Inputs!$G$5:$G$160="acoes"))*Inputs!$B$1+((Inputs!$G$5:$G$160&lt;&gt;"moeda")*(Inputs!$G$5:$G$160&lt;&gt;"acoes")))*INDEX(Inputs!$K$5:$AJ$160,0,MATCH(X$2,Inputs!$K$4:$AJ$4,0)))+SUMPRODUCT((Inputs!$C$5:$C$160=$B4)*Inputs!$D$5:$D$160*(((Inputs!$G$5:$G$160="moeda")+(Inputs!$G$5:$G$160="acoes"))*Inputs!$B$1+((Inputs!$G$5:$G$160&lt;&gt;"moeda")*(Inputs!$G$5:$G$160&lt;&gt;"acoes")))*INDEX(Inputs!$K$5:$AJ$160,0,MATCH(X$2,Inputs!$K$4:$AJ$4,0)))+SUMPRODUCT((Inputs!$E$5:$E$160=$B4)*Inputs!$F$5:$F$160*(((Inputs!$G$5:$G$160="moeda")+(Inputs!$G$5:$G$160="acoes"))*Inputs!$B$1+((Inputs!$G$5:$G$160&lt;&gt;"moeda")*(Inputs!$G$5:$G$160&lt;&gt;"acoes")))*INDEX(Inputs!$K$5:$AJ$160,0,MATCH(X$2,Inputs!$K$4:$AJ$4,0)))))</f>
        <v>2015.074</v>
      </c>
      <c r="Y4" s="6">
        <f>IF(ISNA(MATCH(Y$2,Inputs!$K$4:$AJ$4,0)),NA(),IF(SUMPRODUCT((Inputs!$A$5:$A$160=$B4)*ISNUMBER(INDEX(Inputs!$K$5:$AJ$160,0,MATCH(Y$2,Inputs!$K$4:$AJ$4,0))))+SUMPRODUCT((Inputs!$C$5:$C$160=$B4)*ISNUMBER(INDEX(Inputs!$K$5:$AJ$160,0,MATCH(Y$2,Inputs!$K$4:$AJ$4,0))))+SUMPRODUCT((Inputs!$E$5:$E$160=$B4)*ISNUMBER(INDEX(Inputs!$K$5:$AJ$160,0,MATCH(Y$2,Inputs!$K$4:$AJ$4,0))))=0,NA(),SUMPRODUCT((Inputs!$A$5:$A$160=$B4)*Inputs!$B$5:$B$160*(((Inputs!$G$5:$G$160="moeda")+(Inputs!$G$5:$G$160="acoes"))*Inputs!$B$1+((Inputs!$G$5:$G$160&lt;&gt;"moeda")*(Inputs!$G$5:$G$160&lt;&gt;"acoes")))*INDEX(Inputs!$K$5:$AJ$160,0,MATCH(Y$2,Inputs!$K$4:$AJ$4,0)))+SUMPRODUCT((Inputs!$C$5:$C$160=$B4)*Inputs!$D$5:$D$160*(((Inputs!$G$5:$G$160="moeda")+(Inputs!$G$5:$G$160="acoes"))*Inputs!$B$1+((Inputs!$G$5:$G$160&lt;&gt;"moeda")*(Inputs!$G$5:$G$160&lt;&gt;"acoes")))*INDEX(Inputs!$K$5:$AJ$160,0,MATCH(Y$2,Inputs!$K$4:$AJ$4,0)))+SUMPRODUCT((Inputs!$E$5:$E$160=$B4)*Inputs!$F$5:$F$160*(((Inputs!$G$5:$G$160="moeda")+(Inputs!$G$5:$G$160="acoes"))*Inputs!$B$1+((Inputs!$G$5:$G$160&lt;&gt;"moeda")*(Inputs!$G$5:$G$160&lt;&gt;"acoes")))*INDEX(Inputs!$K$5:$AJ$160,0,MATCH(Y$2,Inputs!$K$4:$AJ$4,0)))))</f>
        <v>2024.533</v>
      </c>
      <c r="Z4" s="6">
        <f>IF(ISNA(MATCH(Z$2,Inputs!$K$4:$AJ$4,0)),NA(),IF(SUMPRODUCT((Inputs!$A$5:$A$160=$B4)*ISNUMBER(INDEX(Inputs!$K$5:$AJ$160,0,MATCH(Z$2,Inputs!$K$4:$AJ$4,0))))+SUMPRODUCT((Inputs!$C$5:$C$160=$B4)*ISNUMBER(INDEX(Inputs!$K$5:$AJ$160,0,MATCH(Z$2,Inputs!$K$4:$AJ$4,0))))+SUMPRODUCT((Inputs!$E$5:$E$160=$B4)*ISNUMBER(INDEX(Inputs!$K$5:$AJ$160,0,MATCH(Z$2,Inputs!$K$4:$AJ$4,0))))=0,NA(),SUMPRODUCT((Inputs!$A$5:$A$160=$B4)*Inputs!$B$5:$B$160*(((Inputs!$G$5:$G$160="moeda")+(Inputs!$G$5:$G$160="acoes"))*Inputs!$B$1+((Inputs!$G$5:$G$160&lt;&gt;"moeda")*(Inputs!$G$5:$G$160&lt;&gt;"acoes")))*INDEX(Inputs!$K$5:$AJ$160,0,MATCH(Z$2,Inputs!$K$4:$AJ$4,0)))+SUMPRODUCT((Inputs!$C$5:$C$160=$B4)*Inputs!$D$5:$D$160*(((Inputs!$G$5:$G$160="moeda")+(Inputs!$G$5:$G$160="acoes"))*Inputs!$B$1+((Inputs!$G$5:$G$160&lt;&gt;"moeda")*(Inputs!$G$5:$G$160&lt;&gt;"acoes")))*INDEX(Inputs!$K$5:$AJ$160,0,MATCH(Z$2,Inputs!$K$4:$AJ$4,0)))+SUMPRODUCT((Inputs!$E$5:$E$160=$B4)*Inputs!$F$5:$F$160*(((Inputs!$G$5:$G$160="moeda")+(Inputs!$G$5:$G$160="acoes"))*Inputs!$B$1+((Inputs!$G$5:$G$160&lt;&gt;"moeda")*(Inputs!$G$5:$G$160&lt;&gt;"acoes")))*INDEX(Inputs!$K$5:$AJ$160,0,MATCH(Z$2,Inputs!$K$4:$AJ$4,0)))))</f>
        <v>2190.97918382714</v>
      </c>
      <c r="AA4" s="6">
        <f>IF(ISNA(MATCH(AA$2,Inputs!$K$4:$AJ$4,0)),NA(),IF(SUMPRODUCT((Inputs!$A$5:$A$160=$B4)*ISNUMBER(INDEX(Inputs!$K$5:$AJ$160,0,MATCH(AA$2,Inputs!$K$4:$AJ$4,0))))+SUMPRODUCT((Inputs!$C$5:$C$160=$B4)*ISNUMBER(INDEX(Inputs!$K$5:$AJ$160,0,MATCH(AA$2,Inputs!$K$4:$AJ$4,0))))+SUMPRODUCT((Inputs!$E$5:$E$160=$B4)*ISNUMBER(INDEX(Inputs!$K$5:$AJ$160,0,MATCH(AA$2,Inputs!$K$4:$AJ$4,0))))=0,NA(),SUMPRODUCT((Inputs!$A$5:$A$160=$B4)*Inputs!$B$5:$B$160*(((Inputs!$G$5:$G$160="moeda")+(Inputs!$G$5:$G$160="acoes"))*Inputs!$B$1+((Inputs!$G$5:$G$160&lt;&gt;"moeda")*(Inputs!$G$5:$G$160&lt;&gt;"acoes")))*INDEX(Inputs!$K$5:$AJ$160,0,MATCH(AA$2,Inputs!$K$4:$AJ$4,0)))+SUMPRODUCT((Inputs!$C$5:$C$160=$B4)*Inputs!$D$5:$D$160*(((Inputs!$G$5:$G$160="moeda")+(Inputs!$G$5:$G$160="acoes"))*Inputs!$B$1+((Inputs!$G$5:$G$160&lt;&gt;"moeda")*(Inputs!$G$5:$G$160&lt;&gt;"acoes")))*INDEX(Inputs!$K$5:$AJ$160,0,MATCH(AA$2,Inputs!$K$4:$AJ$4,0)))+SUMPRODUCT((Inputs!$E$5:$E$160=$B4)*Inputs!$F$5:$F$160*(((Inputs!$G$5:$G$160="moeda")+(Inputs!$G$5:$G$160="acoes"))*Inputs!$B$1+((Inputs!$G$5:$G$160&lt;&gt;"moeda")*(Inputs!$G$5:$G$160&lt;&gt;"acoes")))*INDEX(Inputs!$K$5:$AJ$160,0,MATCH(AA$2,Inputs!$K$4:$AJ$4,0)))))</f>
        <v>2060.59533814</v>
      </c>
      <c r="AB4" s="3">
        <f>SUM(X4:AA4)</f>
        <v>8291.18152196714</v>
      </c>
      <c r="AC4" s="6">
        <f>IF(ISNA(MATCH(AC$2,Inputs!$K$4:$AJ$4,0)),NA(),IF(SUMPRODUCT((Inputs!$A$5:$A$160=$B4)*ISNUMBER(INDEX(Inputs!$K$5:$AJ$160,0,MATCH(AC$2,Inputs!$K$4:$AJ$4,0))))+SUMPRODUCT((Inputs!$C$5:$C$160=$B4)*ISNUMBER(INDEX(Inputs!$K$5:$AJ$160,0,MATCH(AC$2,Inputs!$K$4:$AJ$4,0))))+SUMPRODUCT((Inputs!$E$5:$E$160=$B4)*ISNUMBER(INDEX(Inputs!$K$5:$AJ$160,0,MATCH(AC$2,Inputs!$K$4:$AJ$4,0))))=0,NA(),SUMPRODUCT((Inputs!$A$5:$A$160=$B4)*Inputs!$B$5:$B$160*(((Inputs!$G$5:$G$160="moeda")+(Inputs!$G$5:$G$160="acoes"))*Inputs!$B$1+((Inputs!$G$5:$G$160&lt;&gt;"moeda")*(Inputs!$G$5:$G$160&lt;&gt;"acoes")))*INDEX(Inputs!$K$5:$AJ$160,0,MATCH(AC$2,Inputs!$K$4:$AJ$4,0)))+SUMPRODUCT((Inputs!$C$5:$C$160=$B4)*Inputs!$D$5:$D$160*(((Inputs!$G$5:$G$160="moeda")+(Inputs!$G$5:$G$160="acoes"))*Inputs!$B$1+((Inputs!$G$5:$G$160&lt;&gt;"moeda")*(Inputs!$G$5:$G$160&lt;&gt;"acoes")))*INDEX(Inputs!$K$5:$AJ$160,0,MATCH(AC$2,Inputs!$K$4:$AJ$4,0)))+SUMPRODUCT((Inputs!$E$5:$E$160=$B4)*Inputs!$F$5:$F$160*(((Inputs!$G$5:$G$160="moeda")+(Inputs!$G$5:$G$160="acoes"))*Inputs!$B$1+((Inputs!$G$5:$G$160&lt;&gt;"moeda")*(Inputs!$G$5:$G$160&lt;&gt;"acoes")))*INDEX(Inputs!$K$5:$AJ$160,0,MATCH(AC$2,Inputs!$K$4:$AJ$4,0)))))</f>
        <v>2223.11781868</v>
      </c>
      <c r="AD4" s="6">
        <f>IF(ISNA(MATCH(AD$2,Inputs!$K$4:$AJ$4,0)),NA(),IF(SUMPRODUCT((Inputs!$A$5:$A$160=$B4)*ISNUMBER(INDEX(Inputs!$K$5:$AJ$160,0,MATCH(AD$2,Inputs!$K$4:$AJ$4,0))))+SUMPRODUCT((Inputs!$C$5:$C$160=$B4)*ISNUMBER(INDEX(Inputs!$K$5:$AJ$160,0,MATCH(AD$2,Inputs!$K$4:$AJ$4,0))))+SUMPRODUCT((Inputs!$E$5:$E$160=$B4)*ISNUMBER(INDEX(Inputs!$K$5:$AJ$160,0,MATCH(AD$2,Inputs!$K$4:$AJ$4,0))))=0,NA(),SUMPRODUCT((Inputs!$A$5:$A$160=$B4)*Inputs!$B$5:$B$160*(((Inputs!$G$5:$G$160="moeda")+(Inputs!$G$5:$G$160="acoes"))*Inputs!$B$1+((Inputs!$G$5:$G$160&lt;&gt;"moeda")*(Inputs!$G$5:$G$160&lt;&gt;"acoes")))*INDEX(Inputs!$K$5:$AJ$160,0,MATCH(AD$2,Inputs!$K$4:$AJ$4,0)))+SUMPRODUCT((Inputs!$C$5:$C$160=$B4)*Inputs!$D$5:$D$160*(((Inputs!$G$5:$G$160="moeda")+(Inputs!$G$5:$G$160="acoes"))*Inputs!$B$1+((Inputs!$G$5:$G$160&lt;&gt;"moeda")*(Inputs!$G$5:$G$160&lt;&gt;"acoes")))*INDEX(Inputs!$K$5:$AJ$160,0,MATCH(AD$2,Inputs!$K$4:$AJ$4,0)))+SUMPRODUCT((Inputs!$E$5:$E$160=$B4)*Inputs!$F$5:$F$160*(((Inputs!$G$5:$G$160="moeda")+(Inputs!$G$5:$G$160="acoes"))*Inputs!$B$1+((Inputs!$G$5:$G$160&lt;&gt;"moeda")*(Inputs!$G$5:$G$160&lt;&gt;"acoes")))*INDEX(Inputs!$K$5:$AJ$160,0,MATCH(AD$2,Inputs!$K$4:$AJ$4,0)))))</f>
        <v>2316.653662</v>
      </c>
      <c r="AE4" s="6" t="e">
        <f>IF(ISNA(MATCH(AE$2,Inputs!$K$4:$AJ$4,0)),NA(),IF(SUMPRODUCT((Inputs!$A$5:$A$160=$B4)*ISNUMBER(INDEX(Inputs!$K$5:$AJ$160,0,MATCH(AE$2,Inputs!$K$4:$AJ$4,0))))+SUMPRODUCT((Inputs!$C$5:$C$160=$B4)*ISNUMBER(INDEX(Inputs!$K$5:$AJ$160,0,MATCH(AE$2,Inputs!$K$4:$AJ$4,0))))+SUMPRODUCT((Inputs!$E$5:$E$160=$B4)*ISNUMBER(INDEX(Inputs!$K$5:$AJ$160,0,MATCH(AE$2,Inputs!$K$4:$AJ$4,0))))=0,NA(),SUMPRODUCT((Inputs!$A$5:$A$160=$B4)*Inputs!$B$5:$B$160*(((Inputs!$G$5:$G$160="moeda")+(Inputs!$G$5:$G$160="acoes"))*Inputs!$B$1+((Inputs!$G$5:$G$160&lt;&gt;"moeda")*(Inputs!$G$5:$G$160&lt;&gt;"acoes")))*INDEX(Inputs!$K$5:$AJ$160,0,MATCH(AE$2,Inputs!$K$4:$AJ$4,0)))+SUMPRODUCT((Inputs!$C$5:$C$160=$B4)*Inputs!$D$5:$D$160*(((Inputs!$G$5:$G$160="moeda")+(Inputs!$G$5:$G$160="acoes"))*Inputs!$B$1+((Inputs!$G$5:$G$160&lt;&gt;"moeda")*(Inputs!$G$5:$G$160&lt;&gt;"acoes")))*INDEX(Inputs!$K$5:$AJ$160,0,MATCH(AE$2,Inputs!$K$4:$AJ$4,0)))+SUMPRODUCT((Inputs!$E$5:$E$160=$B4)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" s="6" t="e">
        <f>IF(ISNA(MATCH(AF$2,Inputs!$K$4:$AJ$4,0)),NA(),IF(SUMPRODUCT((Inputs!$A$5:$A$160=$B4)*ISNUMBER(INDEX(Inputs!$K$5:$AJ$160,0,MATCH(AF$2,Inputs!$K$4:$AJ$4,0))))+SUMPRODUCT((Inputs!$C$5:$C$160=$B4)*ISNUMBER(INDEX(Inputs!$K$5:$AJ$160,0,MATCH(AF$2,Inputs!$K$4:$AJ$4,0))))+SUMPRODUCT((Inputs!$E$5:$E$160=$B4)*ISNUMBER(INDEX(Inputs!$K$5:$AJ$160,0,MATCH(AF$2,Inputs!$K$4:$AJ$4,0))))=0,NA(),SUMPRODUCT((Inputs!$A$5:$A$160=$B4)*Inputs!$B$5:$B$160*(((Inputs!$G$5:$G$160="moeda")+(Inputs!$G$5:$G$160="acoes"))*Inputs!$B$1+((Inputs!$G$5:$G$160&lt;&gt;"moeda")*(Inputs!$G$5:$G$160&lt;&gt;"acoes")))*INDEX(Inputs!$K$5:$AJ$160,0,MATCH(AF$2,Inputs!$K$4:$AJ$4,0)))+SUMPRODUCT((Inputs!$C$5:$C$160=$B4)*Inputs!$D$5:$D$160*(((Inputs!$G$5:$G$160="moeda")+(Inputs!$G$5:$G$160="acoes"))*Inputs!$B$1+((Inputs!$G$5:$G$160&lt;&gt;"moeda")*(Inputs!$G$5:$G$160&lt;&gt;"acoes")))*INDEX(Inputs!$K$5:$AJ$160,0,MATCH(AF$2,Inputs!$K$4:$AJ$4,0)))+SUMPRODUCT((Inputs!$E$5:$E$160=$B4)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" s="3" t="e">
        <f>SUM(AC4:AF4)</f>
        <v>#N/A</v>
      </c>
      <c r="AH4" s="6">
        <f>IF(ISNA(MATCH(AH$2,Inputs!$K$4:$AJ$4,0)),NA(),IF(SUMPRODUCT((Inputs!$A$5:$A$160=$B4)*ISNUMBER(INDEX(Inputs!$K$5:$AJ$160,0,MATCH(AH$2,Inputs!$K$4:$AJ$4,0))))+SUMPRODUCT((Inputs!$C$5:$C$160=$B4)*ISNUMBER(INDEX(Inputs!$K$5:$AJ$160,0,MATCH(AH$2,Inputs!$K$4:$AJ$4,0))))+SUMPRODUCT((Inputs!$E$5:$E$160=$B4)*ISNUMBER(INDEX(Inputs!$K$5:$AJ$160,0,MATCH(AH$2,Inputs!$K$4:$AJ$4,0))))=0,NA(),SUMPRODUCT((Inputs!$A$5:$A$160=$B4)*Inputs!$B$5:$B$160*(((Inputs!$G$5:$G$160="moeda")+(Inputs!$G$5:$G$160="acoes"))*Inputs!$B$1+((Inputs!$G$5:$G$160&lt;&gt;"moeda")*(Inputs!$G$5:$G$160&lt;&gt;"acoes")))*INDEX(Inputs!$K$5:$AJ$160,0,MATCH(AH$2,Inputs!$K$4:$AJ$4,0)))+SUMPRODUCT((Inputs!$C$5:$C$160=$B4)*Inputs!$D$5:$D$160*(((Inputs!$G$5:$G$160="moeda")+(Inputs!$G$5:$G$160="acoes"))*Inputs!$B$1+((Inputs!$G$5:$G$160&lt;&gt;"moeda")*(Inputs!$G$5:$G$160&lt;&gt;"acoes")))*INDEX(Inputs!$K$5:$AJ$160,0,MATCH(AH$2,Inputs!$K$4:$AJ$4,0)))+SUMPRODUCT((Inputs!$E$5:$E$160=$B4)*Inputs!$F$5:$F$160*(((Inputs!$G$5:$G$160="moeda")+(Inputs!$G$5:$G$160="acoes"))*Inputs!$B$1+((Inputs!$G$5:$G$160&lt;&gt;"moeda")*(Inputs!$G$5:$G$160&lt;&gt;"acoes")))*INDEX(Inputs!$K$5:$AJ$160,0,MATCH(AH$2,Inputs!$K$4:$AJ$4,0)))))</f>
        <v>713.933873516418</v>
      </c>
      <c r="AI4" s="6">
        <f>IF(ISNA(MATCH(AI$2,Inputs!$K$4:$AJ$4,0)),NA(),IF(SUMPRODUCT((Inputs!$A$5:$A$160=$B4)*ISNUMBER(INDEX(Inputs!$K$5:$AJ$160,0,MATCH(AI$2,Inputs!$K$4:$AJ$4,0))))+SUMPRODUCT((Inputs!$C$5:$C$160=$B4)*ISNUMBER(INDEX(Inputs!$K$5:$AJ$160,0,MATCH(AI$2,Inputs!$K$4:$AJ$4,0))))+SUMPRODUCT((Inputs!$E$5:$E$160=$B4)*ISNUMBER(INDEX(Inputs!$K$5:$AJ$160,0,MATCH(AI$2,Inputs!$K$4:$AJ$4,0))))=0,NA(),SUMPRODUCT((Inputs!$A$5:$A$160=$B4)*Inputs!$B$5:$B$160*(((Inputs!$G$5:$G$160="moeda")+(Inputs!$G$5:$G$160="acoes"))*Inputs!$B$1+((Inputs!$G$5:$G$160&lt;&gt;"moeda")*(Inputs!$G$5:$G$160&lt;&gt;"acoes")))*INDEX(Inputs!$K$5:$AJ$160,0,MATCH(AI$2,Inputs!$K$4:$AJ$4,0)))+SUMPRODUCT((Inputs!$C$5:$C$160=$B4)*Inputs!$D$5:$D$160*(((Inputs!$G$5:$G$160="moeda")+(Inputs!$G$5:$G$160="acoes"))*Inputs!$B$1+((Inputs!$G$5:$G$160&lt;&gt;"moeda")*(Inputs!$G$5:$G$160&lt;&gt;"acoes")))*INDEX(Inputs!$K$5:$AJ$160,0,MATCH(AI$2,Inputs!$K$4:$AJ$4,0)))+SUMPRODUCT((Inputs!$E$5:$E$160=$B4)*Inputs!$F$5:$F$160*(((Inputs!$G$5:$G$160="moeda")+(Inputs!$G$5:$G$160="acoes"))*Inputs!$B$1+((Inputs!$G$5:$G$160&lt;&gt;"moeda")*(Inputs!$G$5:$G$160&lt;&gt;"acoes")))*INDEX(Inputs!$K$5:$AJ$160,0,MATCH(AI$2,Inputs!$K$4:$AJ$4,0)))))</f>
        <v>454.943895321088</v>
      </c>
      <c r="AJ4" s="6">
        <f>IF(ISNA(MATCH(AJ$2,Inputs!$K$4:$AJ$4,0)),NA(),IF(SUMPRODUCT((Inputs!$A$5:$A$160=$B4)*ISNUMBER(INDEX(Inputs!$K$5:$AJ$160,0,MATCH(AJ$2,Inputs!$K$4:$AJ$4,0))))+SUMPRODUCT((Inputs!$C$5:$C$160=$B4)*ISNUMBER(INDEX(Inputs!$K$5:$AJ$160,0,MATCH(AJ$2,Inputs!$K$4:$AJ$4,0))))+SUMPRODUCT((Inputs!$E$5:$E$160=$B4)*ISNUMBER(INDEX(Inputs!$K$5:$AJ$160,0,MATCH(AJ$2,Inputs!$K$4:$AJ$4,0))))=0,NA(),SUMPRODUCT((Inputs!$A$5:$A$160=$B4)*Inputs!$B$5:$B$160*(((Inputs!$G$5:$G$160="moeda")+(Inputs!$G$5:$G$160="acoes"))*Inputs!$B$1+((Inputs!$G$5:$G$160&lt;&gt;"moeda")*(Inputs!$G$5:$G$160&lt;&gt;"acoes")))*INDEX(Inputs!$K$5:$AJ$160,0,MATCH(AJ$2,Inputs!$K$4:$AJ$4,0)))+SUMPRODUCT((Inputs!$C$5:$C$160=$B4)*Inputs!$D$5:$D$160*(((Inputs!$G$5:$G$160="moeda")+(Inputs!$G$5:$G$160="acoes"))*Inputs!$B$1+((Inputs!$G$5:$G$160&lt;&gt;"moeda")*(Inputs!$G$5:$G$160&lt;&gt;"acoes")))*INDEX(Inputs!$K$5:$AJ$160,0,MATCH(AJ$2,Inputs!$K$4:$AJ$4,0)))+SUMPRODUCT((Inputs!$E$5:$E$160=$B4)*Inputs!$F$5:$F$160*(((Inputs!$G$5:$G$160="moeda")+(Inputs!$G$5:$G$160="acoes"))*Inputs!$B$1+((Inputs!$G$5:$G$160&lt;&gt;"moeda")*(Inputs!$G$5:$G$160&lt;&gt;"acoes")))*INDEX(Inputs!$K$5:$AJ$160,0,MATCH(AJ$2,Inputs!$K$4:$AJ$4,0)))))</f>
        <v>874.583070435985</v>
      </c>
      <c r="AK4" s="6">
        <f>IF(ISNA(MATCH(AK$2,Inputs!$K$4:$AJ$4,0)),NA(),IF(SUMPRODUCT((Inputs!$A$5:$A$160=$B4)*ISNUMBER(INDEX(Inputs!$K$5:$AJ$160,0,MATCH(AK$2,Inputs!$K$4:$AJ$4,0))))+SUMPRODUCT((Inputs!$C$5:$C$160=$B4)*ISNUMBER(INDEX(Inputs!$K$5:$AJ$160,0,MATCH(AK$2,Inputs!$K$4:$AJ$4,0))))+SUMPRODUCT((Inputs!$E$5:$E$160=$B4)*ISNUMBER(INDEX(Inputs!$K$5:$AJ$160,0,MATCH(AK$2,Inputs!$K$4:$AJ$4,0))))=0,NA(),SUMPRODUCT((Inputs!$A$5:$A$160=$B4)*Inputs!$B$5:$B$160*(((Inputs!$G$5:$G$160="moeda")+(Inputs!$G$5:$G$160="acoes"))*Inputs!$B$1+((Inputs!$G$5:$G$160&lt;&gt;"moeda")*(Inputs!$G$5:$G$160&lt;&gt;"acoes")))*INDEX(Inputs!$K$5:$AJ$160,0,MATCH(AK$2,Inputs!$K$4:$AJ$4,0)))+SUMPRODUCT((Inputs!$C$5:$C$160=$B4)*Inputs!$D$5:$D$160*(((Inputs!$G$5:$G$160="moeda")+(Inputs!$G$5:$G$160="acoes"))*Inputs!$B$1+((Inputs!$G$5:$G$160&lt;&gt;"moeda")*(Inputs!$G$5:$G$160&lt;&gt;"acoes")))*INDEX(Inputs!$K$5:$AJ$160,0,MATCH(AK$2,Inputs!$K$4:$AJ$4,0)))+SUMPRODUCT((Inputs!$E$5:$E$160=$B4)*Inputs!$F$5:$F$160*(((Inputs!$G$5:$G$160="moeda")+(Inputs!$G$5:$G$160="acoes"))*Inputs!$B$1+((Inputs!$G$5:$G$160&lt;&gt;"moeda")*(Inputs!$G$5:$G$160&lt;&gt;"acoes")))*INDEX(Inputs!$K$5:$AJ$160,0,MATCH(AK$2,Inputs!$K$4:$AJ$4,0)))))</f>
        <v>928.154743530001</v>
      </c>
      <c r="AL4" s="3">
        <f>SUM(AH4:AK4)</f>
        <v>2971.61558280349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$160=$B5)*ISNUMBER(INDEX(Inputs!$K$5:$AJ$160,0,MATCH(D$2,Inputs!$K$4:$AJ$4,0))))+SUMPRODUCT((Inputs!$C$5:$C$160=$B5)*ISNUMBER(INDEX(Inputs!$K$5:$AJ$160,0,MATCH(D$2,Inputs!$K$4:$AJ$4,0))))+SUMPRODUCT((Inputs!$E$5:$E$160=$B5)*ISNUMBER(INDEX(Inputs!$K$5:$AJ$160,0,MATCH(D$2,Inputs!$K$4:$AJ$4,0))))=0,NA(),SUMPRODUCT((Inputs!$A$5:$A$160=$B5)*Inputs!$B$5:$B$160*(((Inputs!$G$5:$G$160="moeda")+(Inputs!$G$5:$G$160="acoes"))*Inputs!$B$1+((Inputs!$G$5:$G$160&lt;&gt;"moeda")*(Inputs!$G$5:$G$160&lt;&gt;"acoes")))*INDEX(Inputs!$K$5:$AJ$160,0,MATCH(D$2,Inputs!$K$4:$AJ$4,0)))+SUMPRODUCT((Inputs!$C$5:$C$160=$B5)*Inputs!$D$5:$D$160*(((Inputs!$G$5:$G$160="moeda")+(Inputs!$G$5:$G$160="acoes"))*Inputs!$B$1+((Inputs!$G$5:$G$160&lt;&gt;"moeda")*(Inputs!$G$5:$G$160&lt;&gt;"acoes")))*INDEX(Inputs!$K$5:$AJ$160,0,MATCH(D$2,Inputs!$K$4:$AJ$4,0)))+SUMPRODUCT((Inputs!$E$5:$E$160=$B5)*Inputs!$F$5:$F$160*(((Inputs!$G$5:$G$160="moeda")+(Inputs!$G$5:$G$160="acoes"))*Inputs!$B$1+((Inputs!$G$5:$G$160&lt;&gt;"moeda")*(Inputs!$G$5:$G$160&lt;&gt;"acoes")))*INDEX(Inputs!$K$5:$AJ$160,0,MATCH(D$2,Inputs!$K$4:$AJ$4,0)))))</f>
        <v>-534.68033785</v>
      </c>
      <c r="E5" s="6">
        <f>IF(ISNA(MATCH(E$2,Inputs!$K$4:$AJ$4,0)),NA(),IF(SUMPRODUCT((Inputs!$A$5:$A$160=$B5)*ISNUMBER(INDEX(Inputs!$K$5:$AJ$160,0,MATCH(E$2,Inputs!$K$4:$AJ$4,0))))+SUMPRODUCT((Inputs!$C$5:$C$160=$B5)*ISNUMBER(INDEX(Inputs!$K$5:$AJ$160,0,MATCH(E$2,Inputs!$K$4:$AJ$4,0))))+SUMPRODUCT((Inputs!$E$5:$E$160=$B5)*ISNUMBER(INDEX(Inputs!$K$5:$AJ$160,0,MATCH(E$2,Inputs!$K$4:$AJ$4,0))))=0,NA(),SUMPRODUCT((Inputs!$A$5:$A$160=$B5)*Inputs!$B$5:$B$160*(((Inputs!$G$5:$G$160="moeda")+(Inputs!$G$5:$G$160="acoes"))*Inputs!$B$1+((Inputs!$G$5:$G$160&lt;&gt;"moeda")*(Inputs!$G$5:$G$160&lt;&gt;"acoes")))*INDEX(Inputs!$K$5:$AJ$160,0,MATCH(E$2,Inputs!$K$4:$AJ$4,0)))+SUMPRODUCT((Inputs!$C$5:$C$160=$B5)*Inputs!$D$5:$D$160*(((Inputs!$G$5:$G$160="moeda")+(Inputs!$G$5:$G$160="acoes"))*Inputs!$B$1+((Inputs!$G$5:$G$160&lt;&gt;"moeda")*(Inputs!$G$5:$G$160&lt;&gt;"acoes")))*INDEX(Inputs!$K$5:$AJ$160,0,MATCH(E$2,Inputs!$K$4:$AJ$4,0)))+SUMPRODUCT((Inputs!$E$5:$E$160=$B5)*Inputs!$F$5:$F$160*(((Inputs!$G$5:$G$160="moeda")+(Inputs!$G$5:$G$160="acoes"))*Inputs!$B$1+((Inputs!$G$5:$G$160&lt;&gt;"moeda")*(Inputs!$G$5:$G$160&lt;&gt;"acoes")))*INDEX(Inputs!$K$5:$AJ$160,0,MATCH(E$2,Inputs!$K$4:$AJ$4,0)))))</f>
        <v>-598.85567232</v>
      </c>
      <c r="F5" s="6">
        <f>IF(ISNA(MATCH(F$2,Inputs!$K$4:$AJ$4,0)),NA(),IF(SUMPRODUCT((Inputs!$A$5:$A$160=$B5)*ISNUMBER(INDEX(Inputs!$K$5:$AJ$160,0,MATCH(F$2,Inputs!$K$4:$AJ$4,0))))+SUMPRODUCT((Inputs!$C$5:$C$160=$B5)*ISNUMBER(INDEX(Inputs!$K$5:$AJ$160,0,MATCH(F$2,Inputs!$K$4:$AJ$4,0))))+SUMPRODUCT((Inputs!$E$5:$E$160=$B5)*ISNUMBER(INDEX(Inputs!$K$5:$AJ$160,0,MATCH(F$2,Inputs!$K$4:$AJ$4,0))))=0,NA(),SUMPRODUCT((Inputs!$A$5:$A$160=$B5)*Inputs!$B$5:$B$160*(((Inputs!$G$5:$G$160="moeda")+(Inputs!$G$5:$G$160="acoes"))*Inputs!$B$1+((Inputs!$G$5:$G$160&lt;&gt;"moeda")*(Inputs!$G$5:$G$160&lt;&gt;"acoes")))*INDEX(Inputs!$K$5:$AJ$160,0,MATCH(F$2,Inputs!$K$4:$AJ$4,0)))+SUMPRODUCT((Inputs!$C$5:$C$160=$B5)*Inputs!$D$5:$D$160*(((Inputs!$G$5:$G$160="moeda")+(Inputs!$G$5:$G$160="acoes"))*Inputs!$B$1+((Inputs!$G$5:$G$160&lt;&gt;"moeda")*(Inputs!$G$5:$G$160&lt;&gt;"acoes")))*INDEX(Inputs!$K$5:$AJ$160,0,MATCH(F$2,Inputs!$K$4:$AJ$4,0)))+SUMPRODUCT((Inputs!$E$5:$E$160=$B5)*Inputs!$F$5:$F$160*(((Inputs!$G$5:$G$160="moeda")+(Inputs!$G$5:$G$160="acoes"))*Inputs!$B$1+((Inputs!$G$5:$G$160&lt;&gt;"moeda")*(Inputs!$G$5:$G$160&lt;&gt;"acoes")))*INDEX(Inputs!$K$5:$AJ$160,0,MATCH(F$2,Inputs!$K$4:$AJ$4,0)))))</f>
        <v>-637.06668857</v>
      </c>
      <c r="G5" s="6">
        <f>IF(ISNA(MATCH(G$2,Inputs!$K$4:$AJ$4,0)),NA(),IF(SUMPRODUCT((Inputs!$A$5:$A$160=$B5)*ISNUMBER(INDEX(Inputs!$K$5:$AJ$160,0,MATCH(G$2,Inputs!$K$4:$AJ$4,0))))+SUMPRODUCT((Inputs!$C$5:$C$160=$B5)*ISNUMBER(INDEX(Inputs!$K$5:$AJ$160,0,MATCH(G$2,Inputs!$K$4:$AJ$4,0))))+SUMPRODUCT((Inputs!$E$5:$E$160=$B5)*ISNUMBER(INDEX(Inputs!$K$5:$AJ$160,0,MATCH(G$2,Inputs!$K$4:$AJ$4,0))))=0,NA(),SUMPRODUCT((Inputs!$A$5:$A$160=$B5)*Inputs!$B$5:$B$160*(((Inputs!$G$5:$G$160="moeda")+(Inputs!$G$5:$G$160="acoes"))*Inputs!$B$1+((Inputs!$G$5:$G$160&lt;&gt;"moeda")*(Inputs!$G$5:$G$160&lt;&gt;"acoes")))*INDEX(Inputs!$K$5:$AJ$160,0,MATCH(G$2,Inputs!$K$4:$AJ$4,0)))+SUMPRODUCT((Inputs!$C$5:$C$160=$B5)*Inputs!$D$5:$D$160*(((Inputs!$G$5:$G$160="moeda")+(Inputs!$G$5:$G$160="acoes"))*Inputs!$B$1+((Inputs!$G$5:$G$160&lt;&gt;"moeda")*(Inputs!$G$5:$G$160&lt;&gt;"acoes")))*INDEX(Inputs!$K$5:$AJ$160,0,MATCH(G$2,Inputs!$K$4:$AJ$4,0)))+SUMPRODUCT((Inputs!$E$5:$E$160=$B5)*Inputs!$F$5:$F$160*(((Inputs!$G$5:$G$160="moeda")+(Inputs!$G$5:$G$160="acoes"))*Inputs!$B$1+((Inputs!$G$5:$G$160&lt;&gt;"moeda")*(Inputs!$G$5:$G$160&lt;&gt;"acoes")))*INDEX(Inputs!$K$5:$AJ$160,0,MATCH(G$2,Inputs!$K$4:$AJ$4,0)))))</f>
        <v>-650.17978605</v>
      </c>
      <c r="H5" s="3">
        <f>SUM(D5:G5)</f>
        <v>-2420.78248479</v>
      </c>
      <c r="I5" s="6">
        <f>IF(ISNA(MATCH(I$2,Inputs!$K$4:$AJ$4,0)),NA(),IF(SUMPRODUCT((Inputs!$A$5:$A$160=$B5)*ISNUMBER(INDEX(Inputs!$K$5:$AJ$160,0,MATCH(I$2,Inputs!$K$4:$AJ$4,0))))+SUMPRODUCT((Inputs!$C$5:$C$160=$B5)*ISNUMBER(INDEX(Inputs!$K$5:$AJ$160,0,MATCH(I$2,Inputs!$K$4:$AJ$4,0))))+SUMPRODUCT((Inputs!$E$5:$E$160=$B5)*ISNUMBER(INDEX(Inputs!$K$5:$AJ$160,0,MATCH(I$2,Inputs!$K$4:$AJ$4,0))))=0,NA(),SUMPRODUCT((Inputs!$A$5:$A$160=$B5)*Inputs!$B$5:$B$160*(((Inputs!$G$5:$G$160="moeda")+(Inputs!$G$5:$G$160="acoes"))*Inputs!$B$1+((Inputs!$G$5:$G$160&lt;&gt;"moeda")*(Inputs!$G$5:$G$160&lt;&gt;"acoes")))*INDEX(Inputs!$K$5:$AJ$160,0,MATCH(I$2,Inputs!$K$4:$AJ$4,0)))+SUMPRODUCT((Inputs!$C$5:$C$160=$B5)*Inputs!$D$5:$D$160*(((Inputs!$G$5:$G$160="moeda")+(Inputs!$G$5:$G$160="acoes"))*Inputs!$B$1+((Inputs!$G$5:$G$160&lt;&gt;"moeda")*(Inputs!$G$5:$G$160&lt;&gt;"acoes")))*INDEX(Inputs!$K$5:$AJ$160,0,MATCH(I$2,Inputs!$K$4:$AJ$4,0)))+SUMPRODUCT((Inputs!$E$5:$E$160=$B5)*Inputs!$F$5:$F$160*(((Inputs!$G$5:$G$160="moeda")+(Inputs!$G$5:$G$160="acoes"))*Inputs!$B$1+((Inputs!$G$5:$G$160&lt;&gt;"moeda")*(Inputs!$G$5:$G$160&lt;&gt;"acoes")))*INDEX(Inputs!$K$5:$AJ$160,0,MATCH(I$2,Inputs!$K$4:$AJ$4,0)))))</f>
        <v>-673.037739710001</v>
      </c>
      <c r="J5" s="6">
        <f>IF(ISNA(MATCH(J$2,Inputs!$K$4:$AJ$4,0)),NA(),IF(SUMPRODUCT((Inputs!$A$5:$A$160=$B5)*ISNUMBER(INDEX(Inputs!$K$5:$AJ$160,0,MATCH(J$2,Inputs!$K$4:$AJ$4,0))))+SUMPRODUCT((Inputs!$C$5:$C$160=$B5)*ISNUMBER(INDEX(Inputs!$K$5:$AJ$160,0,MATCH(J$2,Inputs!$K$4:$AJ$4,0))))+SUMPRODUCT((Inputs!$E$5:$E$160=$B5)*ISNUMBER(INDEX(Inputs!$K$5:$AJ$160,0,MATCH(J$2,Inputs!$K$4:$AJ$4,0))))=0,NA(),SUMPRODUCT((Inputs!$A$5:$A$160=$B5)*Inputs!$B$5:$B$160*(((Inputs!$G$5:$G$160="moeda")+(Inputs!$G$5:$G$160="acoes"))*Inputs!$B$1+((Inputs!$G$5:$G$160&lt;&gt;"moeda")*(Inputs!$G$5:$G$160&lt;&gt;"acoes")))*INDEX(Inputs!$K$5:$AJ$160,0,MATCH(J$2,Inputs!$K$4:$AJ$4,0)))+SUMPRODUCT((Inputs!$C$5:$C$160=$B5)*Inputs!$D$5:$D$160*(((Inputs!$G$5:$G$160="moeda")+(Inputs!$G$5:$G$160="acoes"))*Inputs!$B$1+((Inputs!$G$5:$G$160&lt;&gt;"moeda")*(Inputs!$G$5:$G$160&lt;&gt;"acoes")))*INDEX(Inputs!$K$5:$AJ$160,0,MATCH(J$2,Inputs!$K$4:$AJ$4,0)))+SUMPRODUCT((Inputs!$E$5:$E$160=$B5)*Inputs!$F$5:$F$160*(((Inputs!$G$5:$G$160="moeda")+(Inputs!$G$5:$G$160="acoes"))*Inputs!$B$1+((Inputs!$G$5:$G$160&lt;&gt;"moeda")*(Inputs!$G$5:$G$160&lt;&gt;"acoes")))*INDEX(Inputs!$K$5:$AJ$160,0,MATCH(J$2,Inputs!$K$4:$AJ$4,0)))))</f>
        <v>-712.98908279</v>
      </c>
      <c r="K5" s="6">
        <f>IF(ISNA(MATCH(K$2,Inputs!$K$4:$AJ$4,0)),NA(),IF(SUMPRODUCT((Inputs!$A$5:$A$160=$B5)*ISNUMBER(INDEX(Inputs!$K$5:$AJ$160,0,MATCH(K$2,Inputs!$K$4:$AJ$4,0))))+SUMPRODUCT((Inputs!$C$5:$C$160=$B5)*ISNUMBER(INDEX(Inputs!$K$5:$AJ$160,0,MATCH(K$2,Inputs!$K$4:$AJ$4,0))))+SUMPRODUCT((Inputs!$E$5:$E$160=$B5)*ISNUMBER(INDEX(Inputs!$K$5:$AJ$160,0,MATCH(K$2,Inputs!$K$4:$AJ$4,0))))=0,NA(),SUMPRODUCT((Inputs!$A$5:$A$160=$B5)*Inputs!$B$5:$B$160*(((Inputs!$G$5:$G$160="moeda")+(Inputs!$G$5:$G$160="acoes"))*Inputs!$B$1+((Inputs!$G$5:$G$160&lt;&gt;"moeda")*(Inputs!$G$5:$G$160&lt;&gt;"acoes")))*INDEX(Inputs!$K$5:$AJ$160,0,MATCH(K$2,Inputs!$K$4:$AJ$4,0)))+SUMPRODUCT((Inputs!$C$5:$C$160=$B5)*Inputs!$D$5:$D$160*(((Inputs!$G$5:$G$160="moeda")+(Inputs!$G$5:$G$160="acoes"))*Inputs!$B$1+((Inputs!$G$5:$G$160&lt;&gt;"moeda")*(Inputs!$G$5:$G$160&lt;&gt;"acoes")))*INDEX(Inputs!$K$5:$AJ$160,0,MATCH(K$2,Inputs!$K$4:$AJ$4,0)))+SUMPRODUCT((Inputs!$E$5:$E$160=$B5)*Inputs!$F$5:$F$160*(((Inputs!$G$5:$G$160="moeda")+(Inputs!$G$5:$G$160="acoes"))*Inputs!$B$1+((Inputs!$G$5:$G$160&lt;&gt;"moeda")*(Inputs!$G$5:$G$160&lt;&gt;"acoes")))*INDEX(Inputs!$K$5:$AJ$160,0,MATCH(K$2,Inputs!$K$4:$AJ$4,0)))))</f>
        <v>-712.41349757</v>
      </c>
      <c r="L5" s="6">
        <f>IF(ISNA(MATCH(L$2,Inputs!$K$4:$AJ$4,0)),NA(),IF(SUMPRODUCT((Inputs!$A$5:$A$160=$B5)*ISNUMBER(INDEX(Inputs!$K$5:$AJ$160,0,MATCH(L$2,Inputs!$K$4:$AJ$4,0))))+SUMPRODUCT((Inputs!$C$5:$C$160=$B5)*ISNUMBER(INDEX(Inputs!$K$5:$AJ$160,0,MATCH(L$2,Inputs!$K$4:$AJ$4,0))))+SUMPRODUCT((Inputs!$E$5:$E$160=$B5)*ISNUMBER(INDEX(Inputs!$K$5:$AJ$160,0,MATCH(L$2,Inputs!$K$4:$AJ$4,0))))=0,NA(),SUMPRODUCT((Inputs!$A$5:$A$160=$B5)*Inputs!$B$5:$B$160*(((Inputs!$G$5:$G$160="moeda")+(Inputs!$G$5:$G$160="acoes"))*Inputs!$B$1+((Inputs!$G$5:$G$160&lt;&gt;"moeda")*(Inputs!$G$5:$G$160&lt;&gt;"acoes")))*INDEX(Inputs!$K$5:$AJ$160,0,MATCH(L$2,Inputs!$K$4:$AJ$4,0)))+SUMPRODUCT((Inputs!$C$5:$C$160=$B5)*Inputs!$D$5:$D$160*(((Inputs!$G$5:$G$160="moeda")+(Inputs!$G$5:$G$160="acoes"))*Inputs!$B$1+((Inputs!$G$5:$G$160&lt;&gt;"moeda")*(Inputs!$G$5:$G$160&lt;&gt;"acoes")))*INDEX(Inputs!$K$5:$AJ$160,0,MATCH(L$2,Inputs!$K$4:$AJ$4,0)))+SUMPRODUCT((Inputs!$E$5:$E$160=$B5)*Inputs!$F$5:$F$160*(((Inputs!$G$5:$G$160="moeda")+(Inputs!$G$5:$G$160="acoes"))*Inputs!$B$1+((Inputs!$G$5:$G$160&lt;&gt;"moeda")*(Inputs!$G$5:$G$160&lt;&gt;"acoes")))*INDEX(Inputs!$K$5:$AJ$160,0,MATCH(L$2,Inputs!$K$4:$AJ$4,0)))))</f>
        <v>-758.9403701</v>
      </c>
      <c r="M5" s="3">
        <f>SUM(I5:L5)</f>
        <v>-2857.38069017</v>
      </c>
      <c r="N5" s="6">
        <f>IF(ISNA(MATCH(N$2,Inputs!$K$4:$AJ$4,0)),NA(),IF(SUMPRODUCT((Inputs!$A$5:$A$160=$B5)*ISNUMBER(INDEX(Inputs!$K$5:$AJ$160,0,MATCH(N$2,Inputs!$K$4:$AJ$4,0))))+SUMPRODUCT((Inputs!$C$5:$C$160=$B5)*ISNUMBER(INDEX(Inputs!$K$5:$AJ$160,0,MATCH(N$2,Inputs!$K$4:$AJ$4,0))))+SUMPRODUCT((Inputs!$E$5:$E$160=$B5)*ISNUMBER(INDEX(Inputs!$K$5:$AJ$160,0,MATCH(N$2,Inputs!$K$4:$AJ$4,0))))=0,NA(),SUMPRODUCT((Inputs!$A$5:$A$160=$B5)*Inputs!$B$5:$B$160*(((Inputs!$G$5:$G$160="moeda")+(Inputs!$G$5:$G$160="acoes"))*Inputs!$B$1+((Inputs!$G$5:$G$160&lt;&gt;"moeda")*(Inputs!$G$5:$G$160&lt;&gt;"acoes")))*INDEX(Inputs!$K$5:$AJ$160,0,MATCH(N$2,Inputs!$K$4:$AJ$4,0)))+SUMPRODUCT((Inputs!$C$5:$C$160=$B5)*Inputs!$D$5:$D$160*(((Inputs!$G$5:$G$160="moeda")+(Inputs!$G$5:$G$160="acoes"))*Inputs!$B$1+((Inputs!$G$5:$G$160&lt;&gt;"moeda")*(Inputs!$G$5:$G$160&lt;&gt;"acoes")))*INDEX(Inputs!$K$5:$AJ$160,0,MATCH(N$2,Inputs!$K$4:$AJ$4,0)))+SUMPRODUCT((Inputs!$E$5:$E$160=$B5)*Inputs!$F$5:$F$160*(((Inputs!$G$5:$G$160="moeda")+(Inputs!$G$5:$G$160="acoes"))*Inputs!$B$1+((Inputs!$G$5:$G$160&lt;&gt;"moeda")*(Inputs!$G$5:$G$160&lt;&gt;"acoes")))*INDEX(Inputs!$K$5:$AJ$160,0,MATCH(N$2,Inputs!$K$4:$AJ$4,0)))))</f>
        <v>-776.43264322</v>
      </c>
      <c r="O5" s="6">
        <f>IF(ISNA(MATCH(O$2,Inputs!$K$4:$AJ$4,0)),NA(),IF(SUMPRODUCT((Inputs!$A$5:$A$160=$B5)*ISNUMBER(INDEX(Inputs!$K$5:$AJ$160,0,MATCH(O$2,Inputs!$K$4:$AJ$4,0))))+SUMPRODUCT((Inputs!$C$5:$C$160=$B5)*ISNUMBER(INDEX(Inputs!$K$5:$AJ$160,0,MATCH(O$2,Inputs!$K$4:$AJ$4,0))))+SUMPRODUCT((Inputs!$E$5:$E$160=$B5)*ISNUMBER(INDEX(Inputs!$K$5:$AJ$160,0,MATCH(O$2,Inputs!$K$4:$AJ$4,0))))=0,NA(),SUMPRODUCT((Inputs!$A$5:$A$160=$B5)*Inputs!$B$5:$B$160*(((Inputs!$G$5:$G$160="moeda")+(Inputs!$G$5:$G$160="acoes"))*Inputs!$B$1+((Inputs!$G$5:$G$160&lt;&gt;"moeda")*(Inputs!$G$5:$G$160&lt;&gt;"acoes")))*INDEX(Inputs!$K$5:$AJ$160,0,MATCH(O$2,Inputs!$K$4:$AJ$4,0)))+SUMPRODUCT((Inputs!$C$5:$C$160=$B5)*Inputs!$D$5:$D$160*(((Inputs!$G$5:$G$160="moeda")+(Inputs!$G$5:$G$160="acoes"))*Inputs!$B$1+((Inputs!$G$5:$G$160&lt;&gt;"moeda")*(Inputs!$G$5:$G$160&lt;&gt;"acoes")))*INDEX(Inputs!$K$5:$AJ$160,0,MATCH(O$2,Inputs!$K$4:$AJ$4,0)))+SUMPRODUCT((Inputs!$E$5:$E$160=$B5)*Inputs!$F$5:$F$160*(((Inputs!$G$5:$G$160="moeda")+(Inputs!$G$5:$G$160="acoes"))*Inputs!$B$1+((Inputs!$G$5:$G$160&lt;&gt;"moeda")*(Inputs!$G$5:$G$160&lt;&gt;"acoes")))*INDEX(Inputs!$K$5:$AJ$160,0,MATCH(O$2,Inputs!$K$4:$AJ$4,0)))))</f>
        <v>-1075.179</v>
      </c>
      <c r="P5" s="6">
        <f>IF(ISNA(MATCH(P$2,Inputs!$K$4:$AJ$4,0)),NA(),IF(SUMPRODUCT((Inputs!$A$5:$A$160=$B5)*ISNUMBER(INDEX(Inputs!$K$5:$AJ$160,0,MATCH(P$2,Inputs!$K$4:$AJ$4,0))))+SUMPRODUCT((Inputs!$C$5:$C$160=$B5)*ISNUMBER(INDEX(Inputs!$K$5:$AJ$160,0,MATCH(P$2,Inputs!$K$4:$AJ$4,0))))+SUMPRODUCT((Inputs!$E$5:$E$160=$B5)*ISNUMBER(INDEX(Inputs!$K$5:$AJ$160,0,MATCH(P$2,Inputs!$K$4:$AJ$4,0))))=0,NA(),SUMPRODUCT((Inputs!$A$5:$A$160=$B5)*Inputs!$B$5:$B$160*(((Inputs!$G$5:$G$160="moeda")+(Inputs!$G$5:$G$160="acoes"))*Inputs!$B$1+((Inputs!$G$5:$G$160&lt;&gt;"moeda")*(Inputs!$G$5:$G$160&lt;&gt;"acoes")))*INDEX(Inputs!$K$5:$AJ$160,0,MATCH(P$2,Inputs!$K$4:$AJ$4,0)))+SUMPRODUCT((Inputs!$C$5:$C$160=$B5)*Inputs!$D$5:$D$160*(((Inputs!$G$5:$G$160="moeda")+(Inputs!$G$5:$G$160="acoes"))*Inputs!$B$1+((Inputs!$G$5:$G$160&lt;&gt;"moeda")*(Inputs!$G$5:$G$160&lt;&gt;"acoes")))*INDEX(Inputs!$K$5:$AJ$160,0,MATCH(P$2,Inputs!$K$4:$AJ$4,0)))+SUMPRODUCT((Inputs!$E$5:$E$160=$B5)*Inputs!$F$5:$F$160*(((Inputs!$G$5:$G$160="moeda")+(Inputs!$G$5:$G$160="acoes"))*Inputs!$B$1+((Inputs!$G$5:$G$160&lt;&gt;"moeda")*(Inputs!$G$5:$G$160&lt;&gt;"acoes")))*INDEX(Inputs!$K$5:$AJ$160,0,MATCH(P$2,Inputs!$K$4:$AJ$4,0)))))</f>
        <v>-1198.06756466194</v>
      </c>
      <c r="Q5" s="6">
        <f>IF(ISNA(MATCH(Q$2,Inputs!$K$4:$AJ$4,0)),NA(),IF(SUMPRODUCT((Inputs!$A$5:$A$160=$B5)*ISNUMBER(INDEX(Inputs!$K$5:$AJ$160,0,MATCH(Q$2,Inputs!$K$4:$AJ$4,0))))+SUMPRODUCT((Inputs!$C$5:$C$160=$B5)*ISNUMBER(INDEX(Inputs!$K$5:$AJ$160,0,MATCH(Q$2,Inputs!$K$4:$AJ$4,0))))+SUMPRODUCT((Inputs!$E$5:$E$160=$B5)*ISNUMBER(INDEX(Inputs!$K$5:$AJ$160,0,MATCH(Q$2,Inputs!$K$4:$AJ$4,0))))=0,NA(),SUMPRODUCT((Inputs!$A$5:$A$160=$B5)*Inputs!$B$5:$B$160*(((Inputs!$G$5:$G$160="moeda")+(Inputs!$G$5:$G$160="acoes"))*Inputs!$B$1+((Inputs!$G$5:$G$160&lt;&gt;"moeda")*(Inputs!$G$5:$G$160&lt;&gt;"acoes")))*INDEX(Inputs!$K$5:$AJ$160,0,MATCH(Q$2,Inputs!$K$4:$AJ$4,0)))+SUMPRODUCT((Inputs!$C$5:$C$160=$B5)*Inputs!$D$5:$D$160*(((Inputs!$G$5:$G$160="moeda")+(Inputs!$G$5:$G$160="acoes"))*Inputs!$B$1+((Inputs!$G$5:$G$160&lt;&gt;"moeda")*(Inputs!$G$5:$G$160&lt;&gt;"acoes")))*INDEX(Inputs!$K$5:$AJ$160,0,MATCH(Q$2,Inputs!$K$4:$AJ$4,0)))+SUMPRODUCT((Inputs!$E$5:$E$160=$B5)*Inputs!$F$5:$F$160*(((Inputs!$G$5:$G$160="moeda")+(Inputs!$G$5:$G$160="acoes"))*Inputs!$B$1+((Inputs!$G$5:$G$160&lt;&gt;"moeda")*(Inputs!$G$5:$G$160&lt;&gt;"acoes")))*INDEX(Inputs!$K$5:$AJ$160,0,MATCH(Q$2,Inputs!$K$4:$AJ$4,0)))))</f>
        <v>-1157.671</v>
      </c>
      <c r="R5" s="3">
        <f>SUM(N5:Q5)</f>
        <v>-4207.35020788194</v>
      </c>
      <c r="S5" s="6">
        <f>IF(ISNA(MATCH(S$2,Inputs!$K$4:$AJ$4,0)),NA(),IF(SUMPRODUCT((Inputs!$A$5:$A$160=$B5)*ISNUMBER(INDEX(Inputs!$K$5:$AJ$160,0,MATCH(S$2,Inputs!$K$4:$AJ$4,0))))+SUMPRODUCT((Inputs!$C$5:$C$160=$B5)*ISNUMBER(INDEX(Inputs!$K$5:$AJ$160,0,MATCH(S$2,Inputs!$K$4:$AJ$4,0))))+SUMPRODUCT((Inputs!$E$5:$E$160=$B5)*ISNUMBER(INDEX(Inputs!$K$5:$AJ$160,0,MATCH(S$2,Inputs!$K$4:$AJ$4,0))))=0,NA(),SUMPRODUCT((Inputs!$A$5:$A$160=$B5)*Inputs!$B$5:$B$160*(((Inputs!$G$5:$G$160="moeda")+(Inputs!$G$5:$G$160="acoes"))*Inputs!$B$1+((Inputs!$G$5:$G$160&lt;&gt;"moeda")*(Inputs!$G$5:$G$160&lt;&gt;"acoes")))*INDEX(Inputs!$K$5:$AJ$160,0,MATCH(S$2,Inputs!$K$4:$AJ$4,0)))+SUMPRODUCT((Inputs!$C$5:$C$160=$B5)*Inputs!$D$5:$D$160*(((Inputs!$G$5:$G$160="moeda")+(Inputs!$G$5:$G$160="acoes"))*Inputs!$B$1+((Inputs!$G$5:$G$160&lt;&gt;"moeda")*(Inputs!$G$5:$G$160&lt;&gt;"acoes")))*INDEX(Inputs!$K$5:$AJ$160,0,MATCH(S$2,Inputs!$K$4:$AJ$4,0)))+SUMPRODUCT((Inputs!$E$5:$E$160=$B5)*Inputs!$F$5:$F$160*(((Inputs!$G$5:$G$160="moeda")+(Inputs!$G$5:$G$160="acoes"))*Inputs!$B$1+((Inputs!$G$5:$G$160&lt;&gt;"moeda")*(Inputs!$G$5:$G$160&lt;&gt;"acoes")))*INDEX(Inputs!$K$5:$AJ$160,0,MATCH(S$2,Inputs!$K$4:$AJ$4,0)))))</f>
        <v>-1192.092</v>
      </c>
      <c r="T5" s="6">
        <f>IF(ISNA(MATCH(T$2,Inputs!$K$4:$AJ$4,0)),NA(),IF(SUMPRODUCT((Inputs!$A$5:$A$160=$B5)*ISNUMBER(INDEX(Inputs!$K$5:$AJ$160,0,MATCH(T$2,Inputs!$K$4:$AJ$4,0))))+SUMPRODUCT((Inputs!$C$5:$C$160=$B5)*ISNUMBER(INDEX(Inputs!$K$5:$AJ$160,0,MATCH(T$2,Inputs!$K$4:$AJ$4,0))))+SUMPRODUCT((Inputs!$E$5:$E$160=$B5)*ISNUMBER(INDEX(Inputs!$K$5:$AJ$160,0,MATCH(T$2,Inputs!$K$4:$AJ$4,0))))=0,NA(),SUMPRODUCT((Inputs!$A$5:$A$160=$B5)*Inputs!$B$5:$B$160*(((Inputs!$G$5:$G$160="moeda")+(Inputs!$G$5:$G$160="acoes"))*Inputs!$B$1+((Inputs!$G$5:$G$160&lt;&gt;"moeda")*(Inputs!$G$5:$G$160&lt;&gt;"acoes")))*INDEX(Inputs!$K$5:$AJ$160,0,MATCH(T$2,Inputs!$K$4:$AJ$4,0)))+SUMPRODUCT((Inputs!$C$5:$C$160=$B5)*Inputs!$D$5:$D$160*(((Inputs!$G$5:$G$160="moeda")+(Inputs!$G$5:$G$160="acoes"))*Inputs!$B$1+((Inputs!$G$5:$G$160&lt;&gt;"moeda")*(Inputs!$G$5:$G$160&lt;&gt;"acoes")))*INDEX(Inputs!$K$5:$AJ$160,0,MATCH(T$2,Inputs!$K$4:$AJ$4,0)))+SUMPRODUCT((Inputs!$E$5:$E$160=$B5)*Inputs!$F$5:$F$160*(((Inputs!$G$5:$G$160="moeda")+(Inputs!$G$5:$G$160="acoes"))*Inputs!$B$1+((Inputs!$G$5:$G$160&lt;&gt;"moeda")*(Inputs!$G$5:$G$160&lt;&gt;"acoes")))*INDEX(Inputs!$K$5:$AJ$160,0,MATCH(T$2,Inputs!$K$4:$AJ$4,0)))))</f>
        <v>-1260.839</v>
      </c>
      <c r="U5" s="6">
        <f>IF(ISNA(MATCH(U$2,Inputs!$K$4:$AJ$4,0)),NA(),IF(SUMPRODUCT((Inputs!$A$5:$A$160=$B5)*ISNUMBER(INDEX(Inputs!$K$5:$AJ$160,0,MATCH(U$2,Inputs!$K$4:$AJ$4,0))))+SUMPRODUCT((Inputs!$C$5:$C$160=$B5)*ISNUMBER(INDEX(Inputs!$K$5:$AJ$160,0,MATCH(U$2,Inputs!$K$4:$AJ$4,0))))+SUMPRODUCT((Inputs!$E$5:$E$160=$B5)*ISNUMBER(INDEX(Inputs!$K$5:$AJ$160,0,MATCH(U$2,Inputs!$K$4:$AJ$4,0))))=0,NA(),SUMPRODUCT((Inputs!$A$5:$A$160=$B5)*Inputs!$B$5:$B$160*(((Inputs!$G$5:$G$160="moeda")+(Inputs!$G$5:$G$160="acoes"))*Inputs!$B$1+((Inputs!$G$5:$G$160&lt;&gt;"moeda")*(Inputs!$G$5:$G$160&lt;&gt;"acoes")))*INDEX(Inputs!$K$5:$AJ$160,0,MATCH(U$2,Inputs!$K$4:$AJ$4,0)))+SUMPRODUCT((Inputs!$C$5:$C$160=$B5)*Inputs!$D$5:$D$160*(((Inputs!$G$5:$G$160="moeda")+(Inputs!$G$5:$G$160="acoes"))*Inputs!$B$1+((Inputs!$G$5:$G$160&lt;&gt;"moeda")*(Inputs!$G$5:$G$160&lt;&gt;"acoes")))*INDEX(Inputs!$K$5:$AJ$160,0,MATCH(U$2,Inputs!$K$4:$AJ$4,0)))+SUMPRODUCT((Inputs!$E$5:$E$160=$B5)*Inputs!$F$5:$F$160*(((Inputs!$G$5:$G$160="moeda")+(Inputs!$G$5:$G$160="acoes"))*Inputs!$B$1+((Inputs!$G$5:$G$160&lt;&gt;"moeda")*(Inputs!$G$5:$G$160&lt;&gt;"acoes")))*INDEX(Inputs!$K$5:$AJ$160,0,MATCH(U$2,Inputs!$K$4:$AJ$4,0)))))</f>
        <v>-1251.884</v>
      </c>
      <c r="V5" s="6">
        <f>IF(ISNA(MATCH(V$2,Inputs!$K$4:$AJ$4,0)),NA(),IF(SUMPRODUCT((Inputs!$A$5:$A$160=$B5)*ISNUMBER(INDEX(Inputs!$K$5:$AJ$160,0,MATCH(V$2,Inputs!$K$4:$AJ$4,0))))+SUMPRODUCT((Inputs!$C$5:$C$160=$B5)*ISNUMBER(INDEX(Inputs!$K$5:$AJ$160,0,MATCH(V$2,Inputs!$K$4:$AJ$4,0))))+SUMPRODUCT((Inputs!$E$5:$E$160=$B5)*ISNUMBER(INDEX(Inputs!$K$5:$AJ$160,0,MATCH(V$2,Inputs!$K$4:$AJ$4,0))))=0,NA(),SUMPRODUCT((Inputs!$A$5:$A$160=$B5)*Inputs!$B$5:$B$160*(((Inputs!$G$5:$G$160="moeda")+(Inputs!$G$5:$G$160="acoes"))*Inputs!$B$1+((Inputs!$G$5:$G$160&lt;&gt;"moeda")*(Inputs!$G$5:$G$160&lt;&gt;"acoes")))*INDEX(Inputs!$K$5:$AJ$160,0,MATCH(V$2,Inputs!$K$4:$AJ$4,0)))+SUMPRODUCT((Inputs!$C$5:$C$160=$B5)*Inputs!$D$5:$D$160*(((Inputs!$G$5:$G$160="moeda")+(Inputs!$G$5:$G$160="acoes"))*Inputs!$B$1+((Inputs!$G$5:$G$160&lt;&gt;"moeda")*(Inputs!$G$5:$G$160&lt;&gt;"acoes")))*INDEX(Inputs!$K$5:$AJ$160,0,MATCH(V$2,Inputs!$K$4:$AJ$4,0)))+SUMPRODUCT((Inputs!$E$5:$E$160=$B5)*Inputs!$F$5:$F$160*(((Inputs!$G$5:$G$160="moeda")+(Inputs!$G$5:$G$160="acoes"))*Inputs!$B$1+((Inputs!$G$5:$G$160&lt;&gt;"moeda")*(Inputs!$G$5:$G$160&lt;&gt;"acoes")))*INDEX(Inputs!$K$5:$AJ$160,0,MATCH(V$2,Inputs!$K$4:$AJ$4,0)))))</f>
        <v>-1231.388</v>
      </c>
      <c r="W5" s="3">
        <f>SUM(S5:V5)</f>
        <v>-4936.203</v>
      </c>
      <c r="X5" s="6">
        <f>IF(ISNA(MATCH(X$2,Inputs!$K$4:$AJ$4,0)),NA(),IF(SUMPRODUCT((Inputs!$A$5:$A$160=$B5)*ISNUMBER(INDEX(Inputs!$K$5:$AJ$160,0,MATCH(X$2,Inputs!$K$4:$AJ$4,0))))+SUMPRODUCT((Inputs!$C$5:$C$160=$B5)*ISNUMBER(INDEX(Inputs!$K$5:$AJ$160,0,MATCH(X$2,Inputs!$K$4:$AJ$4,0))))+SUMPRODUCT((Inputs!$E$5:$E$160=$B5)*ISNUMBER(INDEX(Inputs!$K$5:$AJ$160,0,MATCH(X$2,Inputs!$K$4:$AJ$4,0))))=0,NA(),SUMPRODUCT((Inputs!$A$5:$A$160=$B5)*Inputs!$B$5:$B$160*(((Inputs!$G$5:$G$160="moeda")+(Inputs!$G$5:$G$160="acoes"))*Inputs!$B$1+((Inputs!$G$5:$G$160&lt;&gt;"moeda")*(Inputs!$G$5:$G$160&lt;&gt;"acoes")))*INDEX(Inputs!$K$5:$AJ$160,0,MATCH(X$2,Inputs!$K$4:$AJ$4,0)))+SUMPRODUCT((Inputs!$C$5:$C$160=$B5)*Inputs!$D$5:$D$160*(((Inputs!$G$5:$G$160="moeda")+(Inputs!$G$5:$G$160="acoes"))*Inputs!$B$1+((Inputs!$G$5:$G$160&lt;&gt;"moeda")*(Inputs!$G$5:$G$160&lt;&gt;"acoes")))*INDEX(Inputs!$K$5:$AJ$160,0,MATCH(X$2,Inputs!$K$4:$AJ$4,0)))+SUMPRODUCT((Inputs!$E$5:$E$160=$B5)*Inputs!$F$5:$F$160*(((Inputs!$G$5:$G$160="moeda")+(Inputs!$G$5:$G$160="acoes"))*Inputs!$B$1+((Inputs!$G$5:$G$160&lt;&gt;"moeda")*(Inputs!$G$5:$G$160&lt;&gt;"acoes")))*INDEX(Inputs!$K$5:$AJ$160,0,MATCH(X$2,Inputs!$K$4:$AJ$4,0)))))</f>
        <v>-1282.082</v>
      </c>
      <c r="Y5" s="6">
        <f>IF(ISNA(MATCH(Y$2,Inputs!$K$4:$AJ$4,0)),NA(),IF(SUMPRODUCT((Inputs!$A$5:$A$160=$B5)*ISNUMBER(INDEX(Inputs!$K$5:$AJ$160,0,MATCH(Y$2,Inputs!$K$4:$AJ$4,0))))+SUMPRODUCT((Inputs!$C$5:$C$160=$B5)*ISNUMBER(INDEX(Inputs!$K$5:$AJ$160,0,MATCH(Y$2,Inputs!$K$4:$AJ$4,0))))+SUMPRODUCT((Inputs!$E$5:$E$160=$B5)*ISNUMBER(INDEX(Inputs!$K$5:$AJ$160,0,MATCH(Y$2,Inputs!$K$4:$AJ$4,0))))=0,NA(),SUMPRODUCT((Inputs!$A$5:$A$160=$B5)*Inputs!$B$5:$B$160*(((Inputs!$G$5:$G$160="moeda")+(Inputs!$G$5:$G$160="acoes"))*Inputs!$B$1+((Inputs!$G$5:$G$160&lt;&gt;"moeda")*(Inputs!$G$5:$G$160&lt;&gt;"acoes")))*INDEX(Inputs!$K$5:$AJ$160,0,MATCH(Y$2,Inputs!$K$4:$AJ$4,0)))+SUMPRODUCT((Inputs!$C$5:$C$160=$B5)*Inputs!$D$5:$D$160*(((Inputs!$G$5:$G$160="moeda")+(Inputs!$G$5:$G$160="acoes"))*Inputs!$B$1+((Inputs!$G$5:$G$160&lt;&gt;"moeda")*(Inputs!$G$5:$G$160&lt;&gt;"acoes")))*INDEX(Inputs!$K$5:$AJ$160,0,MATCH(Y$2,Inputs!$K$4:$AJ$4,0)))+SUMPRODUCT((Inputs!$E$5:$E$160=$B5)*Inputs!$F$5:$F$160*(((Inputs!$G$5:$G$160="moeda")+(Inputs!$G$5:$G$160="acoes"))*Inputs!$B$1+((Inputs!$G$5:$G$160&lt;&gt;"moeda")*(Inputs!$G$5:$G$160&lt;&gt;"acoes")))*INDEX(Inputs!$K$5:$AJ$160,0,MATCH(Y$2,Inputs!$K$4:$AJ$4,0)))))</f>
        <v>-1326.516</v>
      </c>
      <c r="Z5" s="6">
        <f>IF(ISNA(MATCH(Z$2,Inputs!$K$4:$AJ$4,0)),NA(),IF(SUMPRODUCT((Inputs!$A$5:$A$160=$B5)*ISNUMBER(INDEX(Inputs!$K$5:$AJ$160,0,MATCH(Z$2,Inputs!$K$4:$AJ$4,0))))+SUMPRODUCT((Inputs!$C$5:$C$160=$B5)*ISNUMBER(INDEX(Inputs!$K$5:$AJ$160,0,MATCH(Z$2,Inputs!$K$4:$AJ$4,0))))+SUMPRODUCT((Inputs!$E$5:$E$160=$B5)*ISNUMBER(INDEX(Inputs!$K$5:$AJ$160,0,MATCH(Z$2,Inputs!$K$4:$AJ$4,0))))=0,NA(),SUMPRODUCT((Inputs!$A$5:$A$160=$B5)*Inputs!$B$5:$B$160*(((Inputs!$G$5:$G$160="moeda")+(Inputs!$G$5:$G$160="acoes"))*Inputs!$B$1+((Inputs!$G$5:$G$160&lt;&gt;"moeda")*(Inputs!$G$5:$G$160&lt;&gt;"acoes")))*INDEX(Inputs!$K$5:$AJ$160,0,MATCH(Z$2,Inputs!$K$4:$AJ$4,0)))+SUMPRODUCT((Inputs!$C$5:$C$160=$B5)*Inputs!$D$5:$D$160*(((Inputs!$G$5:$G$160="moeda")+(Inputs!$G$5:$G$160="acoes"))*Inputs!$B$1+((Inputs!$G$5:$G$160&lt;&gt;"moeda")*(Inputs!$G$5:$G$160&lt;&gt;"acoes")))*INDEX(Inputs!$K$5:$AJ$160,0,MATCH(Z$2,Inputs!$K$4:$AJ$4,0)))+SUMPRODUCT((Inputs!$E$5:$E$160=$B5)*Inputs!$F$5:$F$160*(((Inputs!$G$5:$G$160="moeda")+(Inputs!$G$5:$G$160="acoes"))*Inputs!$B$1+((Inputs!$G$5:$G$160&lt;&gt;"moeda")*(Inputs!$G$5:$G$160&lt;&gt;"acoes")))*INDEX(Inputs!$K$5:$AJ$160,0,MATCH(Z$2,Inputs!$K$4:$AJ$4,0)))))</f>
        <v>-1399.705</v>
      </c>
      <c r="AA5" s="6">
        <f>IF(ISNA(MATCH(AA$2,Inputs!$K$4:$AJ$4,0)),NA(),IF(SUMPRODUCT((Inputs!$A$5:$A$160=$B5)*ISNUMBER(INDEX(Inputs!$K$5:$AJ$160,0,MATCH(AA$2,Inputs!$K$4:$AJ$4,0))))+SUMPRODUCT((Inputs!$C$5:$C$160=$B5)*ISNUMBER(INDEX(Inputs!$K$5:$AJ$160,0,MATCH(AA$2,Inputs!$K$4:$AJ$4,0))))+SUMPRODUCT((Inputs!$E$5:$E$160=$B5)*ISNUMBER(INDEX(Inputs!$K$5:$AJ$160,0,MATCH(AA$2,Inputs!$K$4:$AJ$4,0))))=0,NA(),SUMPRODUCT((Inputs!$A$5:$A$160=$B5)*Inputs!$B$5:$B$160*(((Inputs!$G$5:$G$160="moeda")+(Inputs!$G$5:$G$160="acoes"))*Inputs!$B$1+((Inputs!$G$5:$G$160&lt;&gt;"moeda")*(Inputs!$G$5:$G$160&lt;&gt;"acoes")))*INDEX(Inputs!$K$5:$AJ$160,0,MATCH(AA$2,Inputs!$K$4:$AJ$4,0)))+SUMPRODUCT((Inputs!$C$5:$C$160=$B5)*Inputs!$D$5:$D$160*(((Inputs!$G$5:$G$160="moeda")+(Inputs!$G$5:$G$160="acoes"))*Inputs!$B$1+((Inputs!$G$5:$G$160&lt;&gt;"moeda")*(Inputs!$G$5:$G$160&lt;&gt;"acoes")))*INDEX(Inputs!$K$5:$AJ$160,0,MATCH(AA$2,Inputs!$K$4:$AJ$4,0)))+SUMPRODUCT((Inputs!$E$5:$E$160=$B5)*Inputs!$F$5:$F$160*(((Inputs!$G$5:$G$160="moeda")+(Inputs!$G$5:$G$160="acoes"))*Inputs!$B$1+((Inputs!$G$5:$G$160&lt;&gt;"moeda")*(Inputs!$G$5:$G$160&lt;&gt;"acoes")))*INDEX(Inputs!$K$5:$AJ$160,0,MATCH(AA$2,Inputs!$K$4:$AJ$4,0)))))</f>
        <v>-1394.057</v>
      </c>
      <c r="AB5" s="3">
        <f>SUM(X5:AA5)</f>
        <v>-5402.36</v>
      </c>
      <c r="AC5" s="6">
        <f>IF(ISNA(MATCH(AC$2,Inputs!$K$4:$AJ$4,0)),NA(),IF(SUMPRODUCT((Inputs!$A$5:$A$160=$B5)*ISNUMBER(INDEX(Inputs!$K$5:$AJ$160,0,MATCH(AC$2,Inputs!$K$4:$AJ$4,0))))+SUMPRODUCT((Inputs!$C$5:$C$160=$B5)*ISNUMBER(INDEX(Inputs!$K$5:$AJ$160,0,MATCH(AC$2,Inputs!$K$4:$AJ$4,0))))+SUMPRODUCT((Inputs!$E$5:$E$160=$B5)*ISNUMBER(INDEX(Inputs!$K$5:$AJ$160,0,MATCH(AC$2,Inputs!$K$4:$AJ$4,0))))=0,NA(),SUMPRODUCT((Inputs!$A$5:$A$160=$B5)*Inputs!$B$5:$B$160*(((Inputs!$G$5:$G$160="moeda")+(Inputs!$G$5:$G$160="acoes"))*Inputs!$B$1+((Inputs!$G$5:$G$160&lt;&gt;"moeda")*(Inputs!$G$5:$G$160&lt;&gt;"acoes")))*INDEX(Inputs!$K$5:$AJ$160,0,MATCH(AC$2,Inputs!$K$4:$AJ$4,0)))+SUMPRODUCT((Inputs!$C$5:$C$160=$B5)*Inputs!$D$5:$D$160*(((Inputs!$G$5:$G$160="moeda")+(Inputs!$G$5:$G$160="acoes"))*Inputs!$B$1+((Inputs!$G$5:$G$160&lt;&gt;"moeda")*(Inputs!$G$5:$G$160&lt;&gt;"acoes")))*INDEX(Inputs!$K$5:$AJ$160,0,MATCH(AC$2,Inputs!$K$4:$AJ$4,0)))+SUMPRODUCT((Inputs!$E$5:$E$160=$B5)*Inputs!$F$5:$F$160*(((Inputs!$G$5:$G$160="moeda")+(Inputs!$G$5:$G$160="acoes"))*Inputs!$B$1+((Inputs!$G$5:$G$160&lt;&gt;"moeda")*(Inputs!$G$5:$G$160&lt;&gt;"acoes")))*INDEX(Inputs!$K$5:$AJ$160,0,MATCH(AC$2,Inputs!$K$4:$AJ$4,0)))))</f>
        <v>-1417.643</v>
      </c>
      <c r="AD5" s="6">
        <f>IF(ISNA(MATCH(AD$2,Inputs!$K$4:$AJ$4,0)),NA(),IF(SUMPRODUCT((Inputs!$A$5:$A$160=$B5)*ISNUMBER(INDEX(Inputs!$K$5:$AJ$160,0,MATCH(AD$2,Inputs!$K$4:$AJ$4,0))))+SUMPRODUCT((Inputs!$C$5:$C$160=$B5)*ISNUMBER(INDEX(Inputs!$K$5:$AJ$160,0,MATCH(AD$2,Inputs!$K$4:$AJ$4,0))))+SUMPRODUCT((Inputs!$E$5:$E$160=$B5)*ISNUMBER(INDEX(Inputs!$K$5:$AJ$160,0,MATCH(AD$2,Inputs!$K$4:$AJ$4,0))))=0,NA(),SUMPRODUCT((Inputs!$A$5:$A$160=$B5)*Inputs!$B$5:$B$160*(((Inputs!$G$5:$G$160="moeda")+(Inputs!$G$5:$G$160="acoes"))*Inputs!$B$1+((Inputs!$G$5:$G$160&lt;&gt;"moeda")*(Inputs!$G$5:$G$160&lt;&gt;"acoes")))*INDEX(Inputs!$K$5:$AJ$160,0,MATCH(AD$2,Inputs!$K$4:$AJ$4,0)))+SUMPRODUCT((Inputs!$C$5:$C$160=$B5)*Inputs!$D$5:$D$160*(((Inputs!$G$5:$G$160="moeda")+(Inputs!$G$5:$G$160="acoes"))*Inputs!$B$1+((Inputs!$G$5:$G$160&lt;&gt;"moeda")*(Inputs!$G$5:$G$160&lt;&gt;"acoes")))*INDEX(Inputs!$K$5:$AJ$160,0,MATCH(AD$2,Inputs!$K$4:$AJ$4,0)))+SUMPRODUCT((Inputs!$E$5:$E$160=$B5)*Inputs!$F$5:$F$160*(((Inputs!$G$5:$G$160="moeda")+(Inputs!$G$5:$G$160="acoes"))*Inputs!$B$1+((Inputs!$G$5:$G$160&lt;&gt;"moeda")*(Inputs!$G$5:$G$160&lt;&gt;"acoes")))*INDEX(Inputs!$K$5:$AJ$160,0,MATCH(AD$2,Inputs!$K$4:$AJ$4,0)))))</f>
        <v>-1508.18</v>
      </c>
      <c r="AE5" s="6" t="e">
        <f>IF(ISNA(MATCH(AE$2,Inputs!$K$4:$AJ$4,0)),NA(),IF(SUMPRODUCT((Inputs!$A$5:$A$160=$B5)*ISNUMBER(INDEX(Inputs!$K$5:$AJ$160,0,MATCH(AE$2,Inputs!$K$4:$AJ$4,0))))+SUMPRODUCT((Inputs!$C$5:$C$160=$B5)*ISNUMBER(INDEX(Inputs!$K$5:$AJ$160,0,MATCH(AE$2,Inputs!$K$4:$AJ$4,0))))+SUMPRODUCT((Inputs!$E$5:$E$160=$B5)*ISNUMBER(INDEX(Inputs!$K$5:$AJ$160,0,MATCH(AE$2,Inputs!$K$4:$AJ$4,0))))=0,NA(),SUMPRODUCT((Inputs!$A$5:$A$160=$B5)*Inputs!$B$5:$B$160*(((Inputs!$G$5:$G$160="moeda")+(Inputs!$G$5:$G$160="acoes"))*Inputs!$B$1+((Inputs!$G$5:$G$160&lt;&gt;"moeda")*(Inputs!$G$5:$G$160&lt;&gt;"acoes")))*INDEX(Inputs!$K$5:$AJ$160,0,MATCH(AE$2,Inputs!$K$4:$AJ$4,0)))+SUMPRODUCT((Inputs!$C$5:$C$160=$B5)*Inputs!$D$5:$D$160*(((Inputs!$G$5:$G$160="moeda")+(Inputs!$G$5:$G$160="acoes"))*Inputs!$B$1+((Inputs!$G$5:$G$160&lt;&gt;"moeda")*(Inputs!$G$5:$G$160&lt;&gt;"acoes")))*INDEX(Inputs!$K$5:$AJ$160,0,MATCH(AE$2,Inputs!$K$4:$AJ$4,0)))+SUMPRODUCT((Inputs!$E$5:$E$160=$B5)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5" s="6" t="e">
        <f>IF(ISNA(MATCH(AF$2,Inputs!$K$4:$AJ$4,0)),NA(),IF(SUMPRODUCT((Inputs!$A$5:$A$160=$B5)*ISNUMBER(INDEX(Inputs!$K$5:$AJ$160,0,MATCH(AF$2,Inputs!$K$4:$AJ$4,0))))+SUMPRODUCT((Inputs!$C$5:$C$160=$B5)*ISNUMBER(INDEX(Inputs!$K$5:$AJ$160,0,MATCH(AF$2,Inputs!$K$4:$AJ$4,0))))+SUMPRODUCT((Inputs!$E$5:$E$160=$B5)*ISNUMBER(INDEX(Inputs!$K$5:$AJ$160,0,MATCH(AF$2,Inputs!$K$4:$AJ$4,0))))=0,NA(),SUMPRODUCT((Inputs!$A$5:$A$160=$B5)*Inputs!$B$5:$B$160*(((Inputs!$G$5:$G$160="moeda")+(Inputs!$G$5:$G$160="acoes"))*Inputs!$B$1+((Inputs!$G$5:$G$160&lt;&gt;"moeda")*(Inputs!$G$5:$G$160&lt;&gt;"acoes")))*INDEX(Inputs!$K$5:$AJ$160,0,MATCH(AF$2,Inputs!$K$4:$AJ$4,0)))+SUMPRODUCT((Inputs!$C$5:$C$160=$B5)*Inputs!$D$5:$D$160*(((Inputs!$G$5:$G$160="moeda")+(Inputs!$G$5:$G$160="acoes"))*Inputs!$B$1+((Inputs!$G$5:$G$160&lt;&gt;"moeda")*(Inputs!$G$5:$G$160&lt;&gt;"acoes")))*INDEX(Inputs!$K$5:$AJ$160,0,MATCH(AF$2,Inputs!$K$4:$AJ$4,0)))+SUMPRODUCT((Inputs!$E$5:$E$160=$B5)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5" s="3" t="e">
        <f>SUM(AC5:AF5)</f>
        <v>#N/A</v>
      </c>
      <c r="AH5" s="6">
        <f>IF(ISNA(MATCH(AH$2,Inputs!$K$4:$AJ$4,0)),NA(),IF(SUMPRODUCT((Inputs!$A$5:$A$160=$B5)*ISNUMBER(INDEX(Inputs!$K$5:$AJ$160,0,MATCH(AH$2,Inputs!$K$4:$AJ$4,0))))+SUMPRODUCT((Inputs!$C$5:$C$160=$B5)*ISNUMBER(INDEX(Inputs!$K$5:$AJ$160,0,MATCH(AH$2,Inputs!$K$4:$AJ$4,0))))+SUMPRODUCT((Inputs!$E$5:$E$160=$B5)*ISNUMBER(INDEX(Inputs!$K$5:$AJ$160,0,MATCH(AH$2,Inputs!$K$4:$AJ$4,0))))=0,NA(),SUMPRODUCT((Inputs!$A$5:$A$160=$B5)*Inputs!$B$5:$B$160*(((Inputs!$G$5:$G$160="moeda")+(Inputs!$G$5:$G$160="acoes"))*Inputs!$B$1+((Inputs!$G$5:$G$160&lt;&gt;"moeda")*(Inputs!$G$5:$G$160&lt;&gt;"acoes")))*INDEX(Inputs!$K$5:$AJ$160,0,MATCH(AH$2,Inputs!$K$4:$AJ$4,0)))+SUMPRODUCT((Inputs!$C$5:$C$160=$B5)*Inputs!$D$5:$D$160*(((Inputs!$G$5:$G$160="moeda")+(Inputs!$G$5:$G$160="acoes"))*Inputs!$B$1+((Inputs!$G$5:$G$160&lt;&gt;"moeda")*(Inputs!$G$5:$G$160&lt;&gt;"acoes")))*INDEX(Inputs!$K$5:$AJ$160,0,MATCH(AH$2,Inputs!$K$4:$AJ$4,0)))+SUMPRODUCT((Inputs!$E$5:$E$160=$B5)*Inputs!$F$5:$F$160*(((Inputs!$G$5:$G$160="moeda")+(Inputs!$G$5:$G$160="acoes"))*Inputs!$B$1+((Inputs!$G$5:$G$160&lt;&gt;"moeda")*(Inputs!$G$5:$G$160&lt;&gt;"acoes")))*INDEX(Inputs!$K$5:$AJ$160,0,MATCH(AH$2,Inputs!$K$4:$AJ$4,0)))))</f>
        <v>-454.633</v>
      </c>
      <c r="AI5" s="6">
        <f>IF(ISNA(MATCH(AI$2,Inputs!$K$4:$AJ$4,0)),NA(),IF(SUMPRODUCT((Inputs!$A$5:$A$160=$B5)*ISNUMBER(INDEX(Inputs!$K$5:$AJ$160,0,MATCH(AI$2,Inputs!$K$4:$AJ$4,0))))+SUMPRODUCT((Inputs!$C$5:$C$160=$B5)*ISNUMBER(INDEX(Inputs!$K$5:$AJ$160,0,MATCH(AI$2,Inputs!$K$4:$AJ$4,0))))+SUMPRODUCT((Inputs!$E$5:$E$160=$B5)*ISNUMBER(INDEX(Inputs!$K$5:$AJ$160,0,MATCH(AI$2,Inputs!$K$4:$AJ$4,0))))=0,NA(),SUMPRODUCT((Inputs!$A$5:$A$160=$B5)*Inputs!$B$5:$B$160*(((Inputs!$G$5:$G$160="moeda")+(Inputs!$G$5:$G$160="acoes"))*Inputs!$B$1+((Inputs!$G$5:$G$160&lt;&gt;"moeda")*(Inputs!$G$5:$G$160&lt;&gt;"acoes")))*INDEX(Inputs!$K$5:$AJ$160,0,MATCH(AI$2,Inputs!$K$4:$AJ$4,0)))+SUMPRODUCT((Inputs!$C$5:$C$160=$B5)*Inputs!$D$5:$D$160*(((Inputs!$G$5:$G$160="moeda")+(Inputs!$G$5:$G$160="acoes"))*Inputs!$B$1+((Inputs!$G$5:$G$160&lt;&gt;"moeda")*(Inputs!$G$5:$G$160&lt;&gt;"acoes")))*INDEX(Inputs!$K$5:$AJ$160,0,MATCH(AI$2,Inputs!$K$4:$AJ$4,0)))+SUMPRODUCT((Inputs!$E$5:$E$160=$B5)*Inputs!$F$5:$F$160*(((Inputs!$G$5:$G$160="moeda")+(Inputs!$G$5:$G$160="acoes"))*Inputs!$B$1+((Inputs!$G$5:$G$160&lt;&gt;"moeda")*(Inputs!$G$5:$G$160&lt;&gt;"acoes")))*INDEX(Inputs!$K$5:$AJ$160,0,MATCH(AI$2,Inputs!$K$4:$AJ$4,0)))))</f>
        <v>-383.28332135</v>
      </c>
      <c r="AJ5" s="6">
        <f>IF(ISNA(MATCH(AJ$2,Inputs!$K$4:$AJ$4,0)),NA(),IF(SUMPRODUCT((Inputs!$A$5:$A$160=$B5)*ISNUMBER(INDEX(Inputs!$K$5:$AJ$160,0,MATCH(AJ$2,Inputs!$K$4:$AJ$4,0))))+SUMPRODUCT((Inputs!$C$5:$C$160=$B5)*ISNUMBER(INDEX(Inputs!$K$5:$AJ$160,0,MATCH(AJ$2,Inputs!$K$4:$AJ$4,0))))+SUMPRODUCT((Inputs!$E$5:$E$160=$B5)*ISNUMBER(INDEX(Inputs!$K$5:$AJ$160,0,MATCH(AJ$2,Inputs!$K$4:$AJ$4,0))))=0,NA(),SUMPRODUCT((Inputs!$A$5:$A$160=$B5)*Inputs!$B$5:$B$160*(((Inputs!$G$5:$G$160="moeda")+(Inputs!$G$5:$G$160="acoes"))*Inputs!$B$1+((Inputs!$G$5:$G$160&lt;&gt;"moeda")*(Inputs!$G$5:$G$160&lt;&gt;"acoes")))*INDEX(Inputs!$K$5:$AJ$160,0,MATCH(AJ$2,Inputs!$K$4:$AJ$4,0)))+SUMPRODUCT((Inputs!$C$5:$C$160=$B5)*Inputs!$D$5:$D$160*(((Inputs!$G$5:$G$160="moeda")+(Inputs!$G$5:$G$160="acoes"))*Inputs!$B$1+((Inputs!$G$5:$G$160&lt;&gt;"moeda")*(Inputs!$G$5:$G$160&lt;&gt;"acoes")))*INDEX(Inputs!$K$5:$AJ$160,0,MATCH(AJ$2,Inputs!$K$4:$AJ$4,0)))+SUMPRODUCT((Inputs!$E$5:$E$160=$B5)*Inputs!$F$5:$F$160*(((Inputs!$G$5:$G$160="moeda")+(Inputs!$G$5:$G$160="acoes"))*Inputs!$B$1+((Inputs!$G$5:$G$160&lt;&gt;"moeda")*(Inputs!$G$5:$G$160&lt;&gt;"acoes")))*INDEX(Inputs!$K$5:$AJ$160,0,MATCH(AJ$2,Inputs!$K$4:$AJ$4,0)))))</f>
        <v>-489.05019073</v>
      </c>
      <c r="AK5" s="6">
        <f>IF(ISNA(MATCH(AK$2,Inputs!$K$4:$AJ$4,0)),NA(),IF(SUMPRODUCT((Inputs!$A$5:$A$160=$B5)*ISNUMBER(INDEX(Inputs!$K$5:$AJ$160,0,MATCH(AK$2,Inputs!$K$4:$AJ$4,0))))+SUMPRODUCT((Inputs!$C$5:$C$160=$B5)*ISNUMBER(INDEX(Inputs!$K$5:$AJ$160,0,MATCH(AK$2,Inputs!$K$4:$AJ$4,0))))+SUMPRODUCT((Inputs!$E$5:$E$160=$B5)*ISNUMBER(INDEX(Inputs!$K$5:$AJ$160,0,MATCH(AK$2,Inputs!$K$4:$AJ$4,0))))=0,NA(),SUMPRODUCT((Inputs!$A$5:$A$160=$B5)*Inputs!$B$5:$B$160*(((Inputs!$G$5:$G$160="moeda")+(Inputs!$G$5:$G$160="acoes"))*Inputs!$B$1+((Inputs!$G$5:$G$160&lt;&gt;"moeda")*(Inputs!$G$5:$G$160&lt;&gt;"acoes")))*INDEX(Inputs!$K$5:$AJ$160,0,MATCH(AK$2,Inputs!$K$4:$AJ$4,0)))+SUMPRODUCT((Inputs!$C$5:$C$160=$B5)*Inputs!$D$5:$D$160*(((Inputs!$G$5:$G$160="moeda")+(Inputs!$G$5:$G$160="acoes"))*Inputs!$B$1+((Inputs!$G$5:$G$160&lt;&gt;"moeda")*(Inputs!$G$5:$G$160&lt;&gt;"acoes")))*INDEX(Inputs!$K$5:$AJ$160,0,MATCH(AK$2,Inputs!$K$4:$AJ$4,0)))+SUMPRODUCT((Inputs!$E$5:$E$160=$B5)*Inputs!$F$5:$F$160*(((Inputs!$G$5:$G$160="moeda")+(Inputs!$G$5:$G$160="acoes"))*Inputs!$B$1+((Inputs!$G$5:$G$160&lt;&gt;"moeda")*(Inputs!$G$5:$G$160&lt;&gt;"acoes")))*INDEX(Inputs!$K$5:$AJ$160,0,MATCH(AK$2,Inputs!$K$4:$AJ$4,0)))))</f>
        <v>-538.56040391</v>
      </c>
      <c r="AL5" s="3">
        <f>SUM(AH5:AK5)</f>
        <v>-1865.52691599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$160=$B6)*ISNUMBER(INDEX(Inputs!$K$5:$AJ$160,0,MATCH(D$2,Inputs!$K$4:$AJ$4,0))))+SUMPRODUCT((Inputs!$C$5:$C$160=$B6)*ISNUMBER(INDEX(Inputs!$K$5:$AJ$160,0,MATCH(D$2,Inputs!$K$4:$AJ$4,0))))+SUMPRODUCT((Inputs!$E$5:$E$160=$B6)*ISNUMBER(INDEX(Inputs!$K$5:$AJ$160,0,MATCH(D$2,Inputs!$K$4:$AJ$4,0))))=0,NA(),SUMPRODUCT((Inputs!$A$5:$A$160=$B6)*Inputs!$B$5:$B$160*(((Inputs!$G$5:$G$160="moeda")+(Inputs!$G$5:$G$160="acoes"))*Inputs!$B$1+((Inputs!$G$5:$G$160&lt;&gt;"moeda")*(Inputs!$G$5:$G$160&lt;&gt;"acoes")))*INDEX(Inputs!$K$5:$AJ$160,0,MATCH(D$2,Inputs!$K$4:$AJ$4,0)))+SUMPRODUCT((Inputs!$C$5:$C$160=$B6)*Inputs!$D$5:$D$160*(((Inputs!$G$5:$G$160="moeda")+(Inputs!$G$5:$G$160="acoes"))*Inputs!$B$1+((Inputs!$G$5:$G$160&lt;&gt;"moeda")*(Inputs!$G$5:$G$160&lt;&gt;"acoes")))*INDEX(Inputs!$K$5:$AJ$160,0,MATCH(D$2,Inputs!$K$4:$AJ$4,0)))+SUMPRODUCT((Inputs!$E$5:$E$160=$B6)*Inputs!$F$5:$F$160*(((Inputs!$G$5:$G$160="moeda")+(Inputs!$G$5:$G$160="acoes"))*Inputs!$B$1+((Inputs!$G$5:$G$160&lt;&gt;"moeda")*(Inputs!$G$5:$G$160&lt;&gt;"acoes")))*INDEX(Inputs!$K$5:$AJ$160,0,MATCH(D$2,Inputs!$K$4:$AJ$4,0)))))</f>
        <v>-73.595387</v>
      </c>
      <c r="E6" s="6">
        <f>IF(ISNA(MATCH(E$2,Inputs!$K$4:$AJ$4,0)),NA(),IF(SUMPRODUCT((Inputs!$A$5:$A$160=$B6)*ISNUMBER(INDEX(Inputs!$K$5:$AJ$160,0,MATCH(E$2,Inputs!$K$4:$AJ$4,0))))+SUMPRODUCT((Inputs!$C$5:$C$160=$B6)*ISNUMBER(INDEX(Inputs!$K$5:$AJ$160,0,MATCH(E$2,Inputs!$K$4:$AJ$4,0))))+SUMPRODUCT((Inputs!$E$5:$E$160=$B6)*ISNUMBER(INDEX(Inputs!$K$5:$AJ$160,0,MATCH(E$2,Inputs!$K$4:$AJ$4,0))))=0,NA(),SUMPRODUCT((Inputs!$A$5:$A$160=$B6)*Inputs!$B$5:$B$160*(((Inputs!$G$5:$G$160="moeda")+(Inputs!$G$5:$G$160="acoes"))*Inputs!$B$1+((Inputs!$G$5:$G$160&lt;&gt;"moeda")*(Inputs!$G$5:$G$160&lt;&gt;"acoes")))*INDEX(Inputs!$K$5:$AJ$160,0,MATCH(E$2,Inputs!$K$4:$AJ$4,0)))+SUMPRODUCT((Inputs!$C$5:$C$160=$B6)*Inputs!$D$5:$D$160*(((Inputs!$G$5:$G$160="moeda")+(Inputs!$G$5:$G$160="acoes"))*Inputs!$B$1+((Inputs!$G$5:$G$160&lt;&gt;"moeda")*(Inputs!$G$5:$G$160&lt;&gt;"acoes")))*INDEX(Inputs!$K$5:$AJ$160,0,MATCH(E$2,Inputs!$K$4:$AJ$4,0)))+SUMPRODUCT((Inputs!$E$5:$E$160=$B6)*Inputs!$F$5:$F$160*(((Inputs!$G$5:$G$160="moeda")+(Inputs!$G$5:$G$160="acoes"))*Inputs!$B$1+((Inputs!$G$5:$G$160&lt;&gt;"moeda")*(Inputs!$G$5:$G$160&lt;&gt;"acoes")))*INDEX(Inputs!$K$5:$AJ$160,0,MATCH(E$2,Inputs!$K$4:$AJ$4,0)))))</f>
        <v>-113.47448102</v>
      </c>
      <c r="F6" s="6">
        <f>IF(ISNA(MATCH(F$2,Inputs!$K$4:$AJ$4,0)),NA(),IF(SUMPRODUCT((Inputs!$A$5:$A$160=$B6)*ISNUMBER(INDEX(Inputs!$K$5:$AJ$160,0,MATCH(F$2,Inputs!$K$4:$AJ$4,0))))+SUMPRODUCT((Inputs!$C$5:$C$160=$B6)*ISNUMBER(INDEX(Inputs!$K$5:$AJ$160,0,MATCH(F$2,Inputs!$K$4:$AJ$4,0))))+SUMPRODUCT((Inputs!$E$5:$E$160=$B6)*ISNUMBER(INDEX(Inputs!$K$5:$AJ$160,0,MATCH(F$2,Inputs!$K$4:$AJ$4,0))))=0,NA(),SUMPRODUCT((Inputs!$A$5:$A$160=$B6)*Inputs!$B$5:$B$160*(((Inputs!$G$5:$G$160="moeda")+(Inputs!$G$5:$G$160="acoes"))*Inputs!$B$1+((Inputs!$G$5:$G$160&lt;&gt;"moeda")*(Inputs!$G$5:$G$160&lt;&gt;"acoes")))*INDEX(Inputs!$K$5:$AJ$160,0,MATCH(F$2,Inputs!$K$4:$AJ$4,0)))+SUMPRODUCT((Inputs!$C$5:$C$160=$B6)*Inputs!$D$5:$D$160*(((Inputs!$G$5:$G$160="moeda")+(Inputs!$G$5:$G$160="acoes"))*Inputs!$B$1+((Inputs!$G$5:$G$160&lt;&gt;"moeda")*(Inputs!$G$5:$G$160&lt;&gt;"acoes")))*INDEX(Inputs!$K$5:$AJ$160,0,MATCH(F$2,Inputs!$K$4:$AJ$4,0)))+SUMPRODUCT((Inputs!$E$5:$E$160=$B6)*Inputs!$F$5:$F$160*(((Inputs!$G$5:$G$160="moeda")+(Inputs!$G$5:$G$160="acoes"))*Inputs!$B$1+((Inputs!$G$5:$G$160&lt;&gt;"moeda")*(Inputs!$G$5:$G$160&lt;&gt;"acoes")))*INDEX(Inputs!$K$5:$AJ$160,0,MATCH(F$2,Inputs!$K$4:$AJ$4,0)))))</f>
        <v>-103.2100733</v>
      </c>
      <c r="G6" s="6">
        <f>IF(ISNA(MATCH(G$2,Inputs!$K$4:$AJ$4,0)),NA(),IF(SUMPRODUCT((Inputs!$A$5:$A$160=$B6)*ISNUMBER(INDEX(Inputs!$K$5:$AJ$160,0,MATCH(G$2,Inputs!$K$4:$AJ$4,0))))+SUMPRODUCT((Inputs!$C$5:$C$160=$B6)*ISNUMBER(INDEX(Inputs!$K$5:$AJ$160,0,MATCH(G$2,Inputs!$K$4:$AJ$4,0))))+SUMPRODUCT((Inputs!$E$5:$E$160=$B6)*ISNUMBER(INDEX(Inputs!$K$5:$AJ$160,0,MATCH(G$2,Inputs!$K$4:$AJ$4,0))))=0,NA(),SUMPRODUCT((Inputs!$A$5:$A$160=$B6)*Inputs!$B$5:$B$160*(((Inputs!$G$5:$G$160="moeda")+(Inputs!$G$5:$G$160="acoes"))*Inputs!$B$1+((Inputs!$G$5:$G$160&lt;&gt;"moeda")*(Inputs!$G$5:$G$160&lt;&gt;"acoes")))*INDEX(Inputs!$K$5:$AJ$160,0,MATCH(G$2,Inputs!$K$4:$AJ$4,0)))+SUMPRODUCT((Inputs!$C$5:$C$160=$B6)*Inputs!$D$5:$D$160*(((Inputs!$G$5:$G$160="moeda")+(Inputs!$G$5:$G$160="acoes"))*Inputs!$B$1+((Inputs!$G$5:$G$160&lt;&gt;"moeda")*(Inputs!$G$5:$G$160&lt;&gt;"acoes")))*INDEX(Inputs!$K$5:$AJ$160,0,MATCH(G$2,Inputs!$K$4:$AJ$4,0)))+SUMPRODUCT((Inputs!$E$5:$E$160=$B6)*Inputs!$F$5:$F$160*(((Inputs!$G$5:$G$160="moeda")+(Inputs!$G$5:$G$160="acoes"))*Inputs!$B$1+((Inputs!$G$5:$G$160&lt;&gt;"moeda")*(Inputs!$G$5:$G$160&lt;&gt;"acoes")))*INDEX(Inputs!$K$5:$AJ$160,0,MATCH(G$2,Inputs!$K$4:$AJ$4,0)))))</f>
        <v>-105.59846189</v>
      </c>
      <c r="H6" s="3">
        <f>SUM(D6:G6)</f>
        <v>-395.87840321</v>
      </c>
      <c r="I6" s="6">
        <f>IF(ISNA(MATCH(I$2,Inputs!$K$4:$AJ$4,0)),NA(),IF(SUMPRODUCT((Inputs!$A$5:$A$160=$B6)*ISNUMBER(INDEX(Inputs!$K$5:$AJ$160,0,MATCH(I$2,Inputs!$K$4:$AJ$4,0))))+SUMPRODUCT((Inputs!$C$5:$C$160=$B6)*ISNUMBER(INDEX(Inputs!$K$5:$AJ$160,0,MATCH(I$2,Inputs!$K$4:$AJ$4,0))))+SUMPRODUCT((Inputs!$E$5:$E$160=$B6)*ISNUMBER(INDEX(Inputs!$K$5:$AJ$160,0,MATCH(I$2,Inputs!$K$4:$AJ$4,0))))=0,NA(),SUMPRODUCT((Inputs!$A$5:$A$160=$B6)*Inputs!$B$5:$B$160*(((Inputs!$G$5:$G$160="moeda")+(Inputs!$G$5:$G$160="acoes"))*Inputs!$B$1+((Inputs!$G$5:$G$160&lt;&gt;"moeda")*(Inputs!$G$5:$G$160&lt;&gt;"acoes")))*INDEX(Inputs!$K$5:$AJ$160,0,MATCH(I$2,Inputs!$K$4:$AJ$4,0)))+SUMPRODUCT((Inputs!$C$5:$C$160=$B6)*Inputs!$D$5:$D$160*(((Inputs!$G$5:$G$160="moeda")+(Inputs!$G$5:$G$160="acoes"))*Inputs!$B$1+((Inputs!$G$5:$G$160&lt;&gt;"moeda")*(Inputs!$G$5:$G$160&lt;&gt;"acoes")))*INDEX(Inputs!$K$5:$AJ$160,0,MATCH(I$2,Inputs!$K$4:$AJ$4,0)))+SUMPRODUCT((Inputs!$E$5:$E$160=$B6)*Inputs!$F$5:$F$160*(((Inputs!$G$5:$G$160="moeda")+(Inputs!$G$5:$G$160="acoes"))*Inputs!$B$1+((Inputs!$G$5:$G$160&lt;&gt;"moeda")*(Inputs!$G$5:$G$160&lt;&gt;"acoes")))*INDEX(Inputs!$K$5:$AJ$160,0,MATCH(I$2,Inputs!$K$4:$AJ$4,0)))))</f>
        <v>-90.29549809</v>
      </c>
      <c r="J6" s="6">
        <f>IF(ISNA(MATCH(J$2,Inputs!$K$4:$AJ$4,0)),NA(),IF(SUMPRODUCT((Inputs!$A$5:$A$160=$B6)*ISNUMBER(INDEX(Inputs!$K$5:$AJ$160,0,MATCH(J$2,Inputs!$K$4:$AJ$4,0))))+SUMPRODUCT((Inputs!$C$5:$C$160=$B6)*ISNUMBER(INDEX(Inputs!$K$5:$AJ$160,0,MATCH(J$2,Inputs!$K$4:$AJ$4,0))))+SUMPRODUCT((Inputs!$E$5:$E$160=$B6)*ISNUMBER(INDEX(Inputs!$K$5:$AJ$160,0,MATCH(J$2,Inputs!$K$4:$AJ$4,0))))=0,NA(),SUMPRODUCT((Inputs!$A$5:$A$160=$B6)*Inputs!$B$5:$B$160*(((Inputs!$G$5:$G$160="moeda")+(Inputs!$G$5:$G$160="acoes"))*Inputs!$B$1+((Inputs!$G$5:$G$160&lt;&gt;"moeda")*(Inputs!$G$5:$G$160&lt;&gt;"acoes")))*INDEX(Inputs!$K$5:$AJ$160,0,MATCH(J$2,Inputs!$K$4:$AJ$4,0)))+SUMPRODUCT((Inputs!$C$5:$C$160=$B6)*Inputs!$D$5:$D$160*(((Inputs!$G$5:$G$160="moeda")+(Inputs!$G$5:$G$160="acoes"))*Inputs!$B$1+((Inputs!$G$5:$G$160&lt;&gt;"moeda")*(Inputs!$G$5:$G$160&lt;&gt;"acoes")))*INDEX(Inputs!$K$5:$AJ$160,0,MATCH(J$2,Inputs!$K$4:$AJ$4,0)))+SUMPRODUCT((Inputs!$E$5:$E$160=$B6)*Inputs!$F$5:$F$160*(((Inputs!$G$5:$G$160="moeda")+(Inputs!$G$5:$G$160="acoes"))*Inputs!$B$1+((Inputs!$G$5:$G$160&lt;&gt;"moeda")*(Inputs!$G$5:$G$160&lt;&gt;"acoes")))*INDEX(Inputs!$K$5:$AJ$160,0,MATCH(J$2,Inputs!$K$4:$AJ$4,0)))))</f>
        <v>-100.75198281</v>
      </c>
      <c r="K6" s="6">
        <f>IF(ISNA(MATCH(K$2,Inputs!$K$4:$AJ$4,0)),NA(),IF(SUMPRODUCT((Inputs!$A$5:$A$160=$B6)*ISNUMBER(INDEX(Inputs!$K$5:$AJ$160,0,MATCH(K$2,Inputs!$K$4:$AJ$4,0))))+SUMPRODUCT((Inputs!$C$5:$C$160=$B6)*ISNUMBER(INDEX(Inputs!$K$5:$AJ$160,0,MATCH(K$2,Inputs!$K$4:$AJ$4,0))))+SUMPRODUCT((Inputs!$E$5:$E$160=$B6)*ISNUMBER(INDEX(Inputs!$K$5:$AJ$160,0,MATCH(K$2,Inputs!$K$4:$AJ$4,0))))=0,NA(),SUMPRODUCT((Inputs!$A$5:$A$160=$B6)*Inputs!$B$5:$B$160*(((Inputs!$G$5:$G$160="moeda")+(Inputs!$G$5:$G$160="acoes"))*Inputs!$B$1+((Inputs!$G$5:$G$160&lt;&gt;"moeda")*(Inputs!$G$5:$G$160&lt;&gt;"acoes")))*INDEX(Inputs!$K$5:$AJ$160,0,MATCH(K$2,Inputs!$K$4:$AJ$4,0)))+SUMPRODUCT((Inputs!$C$5:$C$160=$B6)*Inputs!$D$5:$D$160*(((Inputs!$G$5:$G$160="moeda")+(Inputs!$G$5:$G$160="acoes"))*Inputs!$B$1+((Inputs!$G$5:$G$160&lt;&gt;"moeda")*(Inputs!$G$5:$G$160&lt;&gt;"acoes")))*INDEX(Inputs!$K$5:$AJ$160,0,MATCH(K$2,Inputs!$K$4:$AJ$4,0)))+SUMPRODUCT((Inputs!$E$5:$E$160=$B6)*Inputs!$F$5:$F$160*(((Inputs!$G$5:$G$160="moeda")+(Inputs!$G$5:$G$160="acoes"))*Inputs!$B$1+((Inputs!$G$5:$G$160&lt;&gt;"moeda")*(Inputs!$G$5:$G$160&lt;&gt;"acoes")))*INDEX(Inputs!$K$5:$AJ$160,0,MATCH(K$2,Inputs!$K$4:$AJ$4,0)))))</f>
        <v>-101.77671757</v>
      </c>
      <c r="L6" s="6">
        <f>IF(ISNA(MATCH(L$2,Inputs!$K$4:$AJ$4,0)),NA(),IF(SUMPRODUCT((Inputs!$A$5:$A$160=$B6)*ISNUMBER(INDEX(Inputs!$K$5:$AJ$160,0,MATCH(L$2,Inputs!$K$4:$AJ$4,0))))+SUMPRODUCT((Inputs!$C$5:$C$160=$B6)*ISNUMBER(INDEX(Inputs!$K$5:$AJ$160,0,MATCH(L$2,Inputs!$K$4:$AJ$4,0))))+SUMPRODUCT((Inputs!$E$5:$E$160=$B6)*ISNUMBER(INDEX(Inputs!$K$5:$AJ$160,0,MATCH(L$2,Inputs!$K$4:$AJ$4,0))))=0,NA(),SUMPRODUCT((Inputs!$A$5:$A$160=$B6)*Inputs!$B$5:$B$160*(((Inputs!$G$5:$G$160="moeda")+(Inputs!$G$5:$G$160="acoes"))*Inputs!$B$1+((Inputs!$G$5:$G$160&lt;&gt;"moeda")*(Inputs!$G$5:$G$160&lt;&gt;"acoes")))*INDEX(Inputs!$K$5:$AJ$160,0,MATCH(L$2,Inputs!$K$4:$AJ$4,0)))+SUMPRODUCT((Inputs!$C$5:$C$160=$B6)*Inputs!$D$5:$D$160*(((Inputs!$G$5:$G$160="moeda")+(Inputs!$G$5:$G$160="acoes"))*Inputs!$B$1+((Inputs!$G$5:$G$160&lt;&gt;"moeda")*(Inputs!$G$5:$G$160&lt;&gt;"acoes")))*INDEX(Inputs!$K$5:$AJ$160,0,MATCH(L$2,Inputs!$K$4:$AJ$4,0)))+SUMPRODUCT((Inputs!$E$5:$E$160=$B6)*Inputs!$F$5:$F$160*(((Inputs!$G$5:$G$160="moeda")+(Inputs!$G$5:$G$160="acoes"))*Inputs!$B$1+((Inputs!$G$5:$G$160&lt;&gt;"moeda")*(Inputs!$G$5:$G$160&lt;&gt;"acoes")))*INDEX(Inputs!$K$5:$AJ$160,0,MATCH(L$2,Inputs!$K$4:$AJ$4,0)))))</f>
        <v>-123.12782083</v>
      </c>
      <c r="M6" s="3">
        <f>SUM(I6:L6)</f>
        <v>-415.9520193</v>
      </c>
      <c r="N6" s="6">
        <f>IF(ISNA(MATCH(N$2,Inputs!$K$4:$AJ$4,0)),NA(),IF(SUMPRODUCT((Inputs!$A$5:$A$160=$B6)*ISNUMBER(INDEX(Inputs!$K$5:$AJ$160,0,MATCH(N$2,Inputs!$K$4:$AJ$4,0))))+SUMPRODUCT((Inputs!$C$5:$C$160=$B6)*ISNUMBER(INDEX(Inputs!$K$5:$AJ$160,0,MATCH(N$2,Inputs!$K$4:$AJ$4,0))))+SUMPRODUCT((Inputs!$E$5:$E$160=$B6)*ISNUMBER(INDEX(Inputs!$K$5:$AJ$160,0,MATCH(N$2,Inputs!$K$4:$AJ$4,0))))=0,NA(),SUMPRODUCT((Inputs!$A$5:$A$160=$B6)*Inputs!$B$5:$B$160*(((Inputs!$G$5:$G$160="moeda")+(Inputs!$G$5:$G$160="acoes"))*Inputs!$B$1+((Inputs!$G$5:$G$160&lt;&gt;"moeda")*(Inputs!$G$5:$G$160&lt;&gt;"acoes")))*INDEX(Inputs!$K$5:$AJ$160,0,MATCH(N$2,Inputs!$K$4:$AJ$4,0)))+SUMPRODUCT((Inputs!$C$5:$C$160=$B6)*Inputs!$D$5:$D$160*(((Inputs!$G$5:$G$160="moeda")+(Inputs!$G$5:$G$160="acoes"))*Inputs!$B$1+((Inputs!$G$5:$G$160&lt;&gt;"moeda")*(Inputs!$G$5:$G$160&lt;&gt;"acoes")))*INDEX(Inputs!$K$5:$AJ$160,0,MATCH(N$2,Inputs!$K$4:$AJ$4,0)))+SUMPRODUCT((Inputs!$E$5:$E$160=$B6)*Inputs!$F$5:$F$160*(((Inputs!$G$5:$G$160="moeda")+(Inputs!$G$5:$G$160="acoes"))*Inputs!$B$1+((Inputs!$G$5:$G$160&lt;&gt;"moeda")*(Inputs!$G$5:$G$160&lt;&gt;"acoes")))*INDEX(Inputs!$K$5:$AJ$160,0,MATCH(N$2,Inputs!$K$4:$AJ$4,0)))))</f>
        <v>-114.61168622</v>
      </c>
      <c r="O6" s="6">
        <f>IF(ISNA(MATCH(O$2,Inputs!$K$4:$AJ$4,0)),NA(),IF(SUMPRODUCT((Inputs!$A$5:$A$160=$B6)*ISNUMBER(INDEX(Inputs!$K$5:$AJ$160,0,MATCH(O$2,Inputs!$K$4:$AJ$4,0))))+SUMPRODUCT((Inputs!$C$5:$C$160=$B6)*ISNUMBER(INDEX(Inputs!$K$5:$AJ$160,0,MATCH(O$2,Inputs!$K$4:$AJ$4,0))))+SUMPRODUCT((Inputs!$E$5:$E$160=$B6)*ISNUMBER(INDEX(Inputs!$K$5:$AJ$160,0,MATCH(O$2,Inputs!$K$4:$AJ$4,0))))=0,NA(),SUMPRODUCT((Inputs!$A$5:$A$160=$B6)*Inputs!$B$5:$B$160*(((Inputs!$G$5:$G$160="moeda")+(Inputs!$G$5:$G$160="acoes"))*Inputs!$B$1+((Inputs!$G$5:$G$160&lt;&gt;"moeda")*(Inputs!$G$5:$G$160&lt;&gt;"acoes")))*INDEX(Inputs!$K$5:$AJ$160,0,MATCH(O$2,Inputs!$K$4:$AJ$4,0)))+SUMPRODUCT((Inputs!$C$5:$C$160=$B6)*Inputs!$D$5:$D$160*(((Inputs!$G$5:$G$160="moeda")+(Inputs!$G$5:$G$160="acoes"))*Inputs!$B$1+((Inputs!$G$5:$G$160&lt;&gt;"moeda")*(Inputs!$G$5:$G$160&lt;&gt;"acoes")))*INDEX(Inputs!$K$5:$AJ$160,0,MATCH(O$2,Inputs!$K$4:$AJ$4,0)))+SUMPRODUCT((Inputs!$E$5:$E$160=$B6)*Inputs!$F$5:$F$160*(((Inputs!$G$5:$G$160="moeda")+(Inputs!$G$5:$G$160="acoes"))*Inputs!$B$1+((Inputs!$G$5:$G$160&lt;&gt;"moeda")*(Inputs!$G$5:$G$160&lt;&gt;"acoes")))*INDEX(Inputs!$K$5:$AJ$160,0,MATCH(O$2,Inputs!$K$4:$AJ$4,0)))))</f>
        <v>-220.784</v>
      </c>
      <c r="P6" s="6">
        <f>IF(ISNA(MATCH(P$2,Inputs!$K$4:$AJ$4,0)),NA(),IF(SUMPRODUCT((Inputs!$A$5:$A$160=$B6)*ISNUMBER(INDEX(Inputs!$K$5:$AJ$160,0,MATCH(P$2,Inputs!$K$4:$AJ$4,0))))+SUMPRODUCT((Inputs!$C$5:$C$160=$B6)*ISNUMBER(INDEX(Inputs!$K$5:$AJ$160,0,MATCH(P$2,Inputs!$K$4:$AJ$4,0))))+SUMPRODUCT((Inputs!$E$5:$E$160=$B6)*ISNUMBER(INDEX(Inputs!$K$5:$AJ$160,0,MATCH(P$2,Inputs!$K$4:$AJ$4,0))))=0,NA(),SUMPRODUCT((Inputs!$A$5:$A$160=$B6)*Inputs!$B$5:$B$160*(((Inputs!$G$5:$G$160="moeda")+(Inputs!$G$5:$G$160="acoes"))*Inputs!$B$1+((Inputs!$G$5:$G$160&lt;&gt;"moeda")*(Inputs!$G$5:$G$160&lt;&gt;"acoes")))*INDEX(Inputs!$K$5:$AJ$160,0,MATCH(P$2,Inputs!$K$4:$AJ$4,0)))+SUMPRODUCT((Inputs!$C$5:$C$160=$B6)*Inputs!$D$5:$D$160*(((Inputs!$G$5:$G$160="moeda")+(Inputs!$G$5:$G$160="acoes"))*Inputs!$B$1+((Inputs!$G$5:$G$160&lt;&gt;"moeda")*(Inputs!$G$5:$G$160&lt;&gt;"acoes")))*INDEX(Inputs!$K$5:$AJ$160,0,MATCH(P$2,Inputs!$K$4:$AJ$4,0)))+SUMPRODUCT((Inputs!$E$5:$E$160=$B6)*Inputs!$F$5:$F$160*(((Inputs!$G$5:$G$160="moeda")+(Inputs!$G$5:$G$160="acoes"))*Inputs!$B$1+((Inputs!$G$5:$G$160&lt;&gt;"moeda")*(Inputs!$G$5:$G$160&lt;&gt;"acoes")))*INDEX(Inputs!$K$5:$AJ$160,0,MATCH(P$2,Inputs!$K$4:$AJ$4,0)))))</f>
        <v>-166.013</v>
      </c>
      <c r="Q6" s="6">
        <f>IF(ISNA(MATCH(Q$2,Inputs!$K$4:$AJ$4,0)),NA(),IF(SUMPRODUCT((Inputs!$A$5:$A$160=$B6)*ISNUMBER(INDEX(Inputs!$K$5:$AJ$160,0,MATCH(Q$2,Inputs!$K$4:$AJ$4,0))))+SUMPRODUCT((Inputs!$C$5:$C$160=$B6)*ISNUMBER(INDEX(Inputs!$K$5:$AJ$160,0,MATCH(Q$2,Inputs!$K$4:$AJ$4,0))))+SUMPRODUCT((Inputs!$E$5:$E$160=$B6)*ISNUMBER(INDEX(Inputs!$K$5:$AJ$160,0,MATCH(Q$2,Inputs!$K$4:$AJ$4,0))))=0,NA(),SUMPRODUCT((Inputs!$A$5:$A$160=$B6)*Inputs!$B$5:$B$160*(((Inputs!$G$5:$G$160="moeda")+(Inputs!$G$5:$G$160="acoes"))*Inputs!$B$1+((Inputs!$G$5:$G$160&lt;&gt;"moeda")*(Inputs!$G$5:$G$160&lt;&gt;"acoes")))*INDEX(Inputs!$K$5:$AJ$160,0,MATCH(Q$2,Inputs!$K$4:$AJ$4,0)))+SUMPRODUCT((Inputs!$C$5:$C$160=$B6)*Inputs!$D$5:$D$160*(((Inputs!$G$5:$G$160="moeda")+(Inputs!$G$5:$G$160="acoes"))*Inputs!$B$1+((Inputs!$G$5:$G$160&lt;&gt;"moeda")*(Inputs!$G$5:$G$160&lt;&gt;"acoes")))*INDEX(Inputs!$K$5:$AJ$160,0,MATCH(Q$2,Inputs!$K$4:$AJ$4,0)))+SUMPRODUCT((Inputs!$E$5:$E$160=$B6)*Inputs!$F$5:$F$160*(((Inputs!$G$5:$G$160="moeda")+(Inputs!$G$5:$G$160="acoes"))*Inputs!$B$1+((Inputs!$G$5:$G$160&lt;&gt;"moeda")*(Inputs!$G$5:$G$160&lt;&gt;"acoes")))*INDEX(Inputs!$K$5:$AJ$160,0,MATCH(Q$2,Inputs!$K$4:$AJ$4,0)))))</f>
        <v>-170.937</v>
      </c>
      <c r="R6" s="3">
        <f>SUM(N6:Q6)</f>
        <v>-672.34568622</v>
      </c>
      <c r="S6" s="6">
        <f>IF(ISNA(MATCH(S$2,Inputs!$K$4:$AJ$4,0)),NA(),IF(SUMPRODUCT((Inputs!$A$5:$A$160=$B6)*ISNUMBER(INDEX(Inputs!$K$5:$AJ$160,0,MATCH(S$2,Inputs!$K$4:$AJ$4,0))))+SUMPRODUCT((Inputs!$C$5:$C$160=$B6)*ISNUMBER(INDEX(Inputs!$K$5:$AJ$160,0,MATCH(S$2,Inputs!$K$4:$AJ$4,0))))+SUMPRODUCT((Inputs!$E$5:$E$160=$B6)*ISNUMBER(INDEX(Inputs!$K$5:$AJ$160,0,MATCH(S$2,Inputs!$K$4:$AJ$4,0))))=0,NA(),SUMPRODUCT((Inputs!$A$5:$A$160=$B6)*Inputs!$B$5:$B$160*(((Inputs!$G$5:$G$160="moeda")+(Inputs!$G$5:$G$160="acoes"))*Inputs!$B$1+((Inputs!$G$5:$G$160&lt;&gt;"moeda")*(Inputs!$G$5:$G$160&lt;&gt;"acoes")))*INDEX(Inputs!$K$5:$AJ$160,0,MATCH(S$2,Inputs!$K$4:$AJ$4,0)))+SUMPRODUCT((Inputs!$C$5:$C$160=$B6)*Inputs!$D$5:$D$160*(((Inputs!$G$5:$G$160="moeda")+(Inputs!$G$5:$G$160="acoes"))*Inputs!$B$1+((Inputs!$G$5:$G$160&lt;&gt;"moeda")*(Inputs!$G$5:$G$160&lt;&gt;"acoes")))*INDEX(Inputs!$K$5:$AJ$160,0,MATCH(S$2,Inputs!$K$4:$AJ$4,0)))+SUMPRODUCT((Inputs!$E$5:$E$160=$B6)*Inputs!$F$5:$F$160*(((Inputs!$G$5:$G$160="moeda")+(Inputs!$G$5:$G$160="acoes"))*Inputs!$B$1+((Inputs!$G$5:$G$160&lt;&gt;"moeda")*(Inputs!$G$5:$G$160&lt;&gt;"acoes")))*INDEX(Inputs!$K$5:$AJ$160,0,MATCH(S$2,Inputs!$K$4:$AJ$4,0)))))</f>
        <v>-195.223</v>
      </c>
      <c r="T6" s="6">
        <f>IF(ISNA(MATCH(T$2,Inputs!$K$4:$AJ$4,0)),NA(),IF(SUMPRODUCT((Inputs!$A$5:$A$160=$B6)*ISNUMBER(INDEX(Inputs!$K$5:$AJ$160,0,MATCH(T$2,Inputs!$K$4:$AJ$4,0))))+SUMPRODUCT((Inputs!$C$5:$C$160=$B6)*ISNUMBER(INDEX(Inputs!$K$5:$AJ$160,0,MATCH(T$2,Inputs!$K$4:$AJ$4,0))))+SUMPRODUCT((Inputs!$E$5:$E$160=$B6)*ISNUMBER(INDEX(Inputs!$K$5:$AJ$160,0,MATCH(T$2,Inputs!$K$4:$AJ$4,0))))=0,NA(),SUMPRODUCT((Inputs!$A$5:$A$160=$B6)*Inputs!$B$5:$B$160*(((Inputs!$G$5:$G$160="moeda")+(Inputs!$G$5:$G$160="acoes"))*Inputs!$B$1+((Inputs!$G$5:$G$160&lt;&gt;"moeda")*(Inputs!$G$5:$G$160&lt;&gt;"acoes")))*INDEX(Inputs!$K$5:$AJ$160,0,MATCH(T$2,Inputs!$K$4:$AJ$4,0)))+SUMPRODUCT((Inputs!$C$5:$C$160=$B6)*Inputs!$D$5:$D$160*(((Inputs!$G$5:$G$160="moeda")+(Inputs!$G$5:$G$160="acoes"))*Inputs!$B$1+((Inputs!$G$5:$G$160&lt;&gt;"moeda")*(Inputs!$G$5:$G$160&lt;&gt;"acoes")))*INDEX(Inputs!$K$5:$AJ$160,0,MATCH(T$2,Inputs!$K$4:$AJ$4,0)))+SUMPRODUCT((Inputs!$E$5:$E$160=$B6)*Inputs!$F$5:$F$160*(((Inputs!$G$5:$G$160="moeda")+(Inputs!$G$5:$G$160="acoes"))*Inputs!$B$1+((Inputs!$G$5:$G$160&lt;&gt;"moeda")*(Inputs!$G$5:$G$160&lt;&gt;"acoes")))*INDEX(Inputs!$K$5:$AJ$160,0,MATCH(T$2,Inputs!$K$4:$AJ$4,0)))))</f>
        <v>-195.315</v>
      </c>
      <c r="U6" s="6">
        <f>IF(ISNA(MATCH(U$2,Inputs!$K$4:$AJ$4,0)),NA(),IF(SUMPRODUCT((Inputs!$A$5:$A$160=$B6)*ISNUMBER(INDEX(Inputs!$K$5:$AJ$160,0,MATCH(U$2,Inputs!$K$4:$AJ$4,0))))+SUMPRODUCT((Inputs!$C$5:$C$160=$B6)*ISNUMBER(INDEX(Inputs!$K$5:$AJ$160,0,MATCH(U$2,Inputs!$K$4:$AJ$4,0))))+SUMPRODUCT((Inputs!$E$5:$E$160=$B6)*ISNUMBER(INDEX(Inputs!$K$5:$AJ$160,0,MATCH(U$2,Inputs!$K$4:$AJ$4,0))))=0,NA(),SUMPRODUCT((Inputs!$A$5:$A$160=$B6)*Inputs!$B$5:$B$160*(((Inputs!$G$5:$G$160="moeda")+(Inputs!$G$5:$G$160="acoes"))*Inputs!$B$1+((Inputs!$G$5:$G$160&lt;&gt;"moeda")*(Inputs!$G$5:$G$160&lt;&gt;"acoes")))*INDEX(Inputs!$K$5:$AJ$160,0,MATCH(U$2,Inputs!$K$4:$AJ$4,0)))+SUMPRODUCT((Inputs!$C$5:$C$160=$B6)*Inputs!$D$5:$D$160*(((Inputs!$G$5:$G$160="moeda")+(Inputs!$G$5:$G$160="acoes"))*Inputs!$B$1+((Inputs!$G$5:$G$160&lt;&gt;"moeda")*(Inputs!$G$5:$G$160&lt;&gt;"acoes")))*INDEX(Inputs!$K$5:$AJ$160,0,MATCH(U$2,Inputs!$K$4:$AJ$4,0)))+SUMPRODUCT((Inputs!$E$5:$E$160=$B6)*Inputs!$F$5:$F$160*(((Inputs!$G$5:$G$160="moeda")+(Inputs!$G$5:$G$160="acoes"))*Inputs!$B$1+((Inputs!$G$5:$G$160&lt;&gt;"moeda")*(Inputs!$G$5:$G$160&lt;&gt;"acoes")))*INDEX(Inputs!$K$5:$AJ$160,0,MATCH(U$2,Inputs!$K$4:$AJ$4,0)))))</f>
        <v>-173.406</v>
      </c>
      <c r="V6" s="6">
        <f>IF(ISNA(MATCH(V$2,Inputs!$K$4:$AJ$4,0)),NA(),IF(SUMPRODUCT((Inputs!$A$5:$A$160=$B6)*ISNUMBER(INDEX(Inputs!$K$5:$AJ$160,0,MATCH(V$2,Inputs!$K$4:$AJ$4,0))))+SUMPRODUCT((Inputs!$C$5:$C$160=$B6)*ISNUMBER(INDEX(Inputs!$K$5:$AJ$160,0,MATCH(V$2,Inputs!$K$4:$AJ$4,0))))+SUMPRODUCT((Inputs!$E$5:$E$160=$B6)*ISNUMBER(INDEX(Inputs!$K$5:$AJ$160,0,MATCH(V$2,Inputs!$K$4:$AJ$4,0))))=0,NA(),SUMPRODUCT((Inputs!$A$5:$A$160=$B6)*Inputs!$B$5:$B$160*(((Inputs!$G$5:$G$160="moeda")+(Inputs!$G$5:$G$160="acoes"))*Inputs!$B$1+((Inputs!$G$5:$G$160&lt;&gt;"moeda")*(Inputs!$G$5:$G$160&lt;&gt;"acoes")))*INDEX(Inputs!$K$5:$AJ$160,0,MATCH(V$2,Inputs!$K$4:$AJ$4,0)))+SUMPRODUCT((Inputs!$C$5:$C$160=$B6)*Inputs!$D$5:$D$160*(((Inputs!$G$5:$G$160="moeda")+(Inputs!$G$5:$G$160="acoes"))*Inputs!$B$1+((Inputs!$G$5:$G$160&lt;&gt;"moeda")*(Inputs!$G$5:$G$160&lt;&gt;"acoes")))*INDEX(Inputs!$K$5:$AJ$160,0,MATCH(V$2,Inputs!$K$4:$AJ$4,0)))+SUMPRODUCT((Inputs!$E$5:$E$160=$B6)*Inputs!$F$5:$F$160*(((Inputs!$G$5:$G$160="moeda")+(Inputs!$G$5:$G$160="acoes"))*Inputs!$B$1+((Inputs!$G$5:$G$160&lt;&gt;"moeda")*(Inputs!$G$5:$G$160&lt;&gt;"acoes")))*INDEX(Inputs!$K$5:$AJ$160,0,MATCH(V$2,Inputs!$K$4:$AJ$4,0)))))</f>
        <v>-202.562</v>
      </c>
      <c r="W6" s="3">
        <f>SUM(S6:V6)</f>
        <v>-766.506</v>
      </c>
      <c r="X6" s="6">
        <f>IF(ISNA(MATCH(X$2,Inputs!$K$4:$AJ$4,0)),NA(),IF(SUMPRODUCT((Inputs!$A$5:$A$160=$B6)*ISNUMBER(INDEX(Inputs!$K$5:$AJ$160,0,MATCH(X$2,Inputs!$K$4:$AJ$4,0))))+SUMPRODUCT((Inputs!$C$5:$C$160=$B6)*ISNUMBER(INDEX(Inputs!$K$5:$AJ$160,0,MATCH(X$2,Inputs!$K$4:$AJ$4,0))))+SUMPRODUCT((Inputs!$E$5:$E$160=$B6)*ISNUMBER(INDEX(Inputs!$K$5:$AJ$160,0,MATCH(X$2,Inputs!$K$4:$AJ$4,0))))=0,NA(),SUMPRODUCT((Inputs!$A$5:$A$160=$B6)*Inputs!$B$5:$B$160*(((Inputs!$G$5:$G$160="moeda")+(Inputs!$G$5:$G$160="acoes"))*Inputs!$B$1+((Inputs!$G$5:$G$160&lt;&gt;"moeda")*(Inputs!$G$5:$G$160&lt;&gt;"acoes")))*INDEX(Inputs!$K$5:$AJ$160,0,MATCH(X$2,Inputs!$K$4:$AJ$4,0)))+SUMPRODUCT((Inputs!$C$5:$C$160=$B6)*Inputs!$D$5:$D$160*(((Inputs!$G$5:$G$160="moeda")+(Inputs!$G$5:$G$160="acoes"))*Inputs!$B$1+((Inputs!$G$5:$G$160&lt;&gt;"moeda")*(Inputs!$G$5:$G$160&lt;&gt;"acoes")))*INDEX(Inputs!$K$5:$AJ$160,0,MATCH(X$2,Inputs!$K$4:$AJ$4,0)))+SUMPRODUCT((Inputs!$E$5:$E$160=$B6)*Inputs!$F$5:$F$160*(((Inputs!$G$5:$G$160="moeda")+(Inputs!$G$5:$G$160="acoes"))*Inputs!$B$1+((Inputs!$G$5:$G$160&lt;&gt;"moeda")*(Inputs!$G$5:$G$160&lt;&gt;"acoes")))*INDEX(Inputs!$K$5:$AJ$160,0,MATCH(X$2,Inputs!$K$4:$AJ$4,0)))))</f>
        <v>-185.366348</v>
      </c>
      <c r="Y6" s="6">
        <f>IF(ISNA(MATCH(Y$2,Inputs!$K$4:$AJ$4,0)),NA(),IF(SUMPRODUCT((Inputs!$A$5:$A$160=$B6)*ISNUMBER(INDEX(Inputs!$K$5:$AJ$160,0,MATCH(Y$2,Inputs!$K$4:$AJ$4,0))))+SUMPRODUCT((Inputs!$C$5:$C$160=$B6)*ISNUMBER(INDEX(Inputs!$K$5:$AJ$160,0,MATCH(Y$2,Inputs!$K$4:$AJ$4,0))))+SUMPRODUCT((Inputs!$E$5:$E$160=$B6)*ISNUMBER(INDEX(Inputs!$K$5:$AJ$160,0,MATCH(Y$2,Inputs!$K$4:$AJ$4,0))))=0,NA(),SUMPRODUCT((Inputs!$A$5:$A$160=$B6)*Inputs!$B$5:$B$160*(((Inputs!$G$5:$G$160="moeda")+(Inputs!$G$5:$G$160="acoes"))*Inputs!$B$1+((Inputs!$G$5:$G$160&lt;&gt;"moeda")*(Inputs!$G$5:$G$160&lt;&gt;"acoes")))*INDEX(Inputs!$K$5:$AJ$160,0,MATCH(Y$2,Inputs!$K$4:$AJ$4,0)))+SUMPRODUCT((Inputs!$C$5:$C$160=$B6)*Inputs!$D$5:$D$160*(((Inputs!$G$5:$G$160="moeda")+(Inputs!$G$5:$G$160="acoes"))*Inputs!$B$1+((Inputs!$G$5:$G$160&lt;&gt;"moeda")*(Inputs!$G$5:$G$160&lt;&gt;"acoes")))*INDEX(Inputs!$K$5:$AJ$160,0,MATCH(Y$2,Inputs!$K$4:$AJ$4,0)))+SUMPRODUCT((Inputs!$E$5:$E$160=$B6)*Inputs!$F$5:$F$160*(((Inputs!$G$5:$G$160="moeda")+(Inputs!$G$5:$G$160="acoes"))*Inputs!$B$1+((Inputs!$G$5:$G$160&lt;&gt;"moeda")*(Inputs!$G$5:$G$160&lt;&gt;"acoes")))*INDEX(Inputs!$K$5:$AJ$160,0,MATCH(Y$2,Inputs!$K$4:$AJ$4,0)))))</f>
        <v>-165.927</v>
      </c>
      <c r="Z6" s="6">
        <f>IF(ISNA(MATCH(Z$2,Inputs!$K$4:$AJ$4,0)),NA(),IF(SUMPRODUCT((Inputs!$A$5:$A$160=$B6)*ISNUMBER(INDEX(Inputs!$K$5:$AJ$160,0,MATCH(Z$2,Inputs!$K$4:$AJ$4,0))))+SUMPRODUCT((Inputs!$C$5:$C$160=$B6)*ISNUMBER(INDEX(Inputs!$K$5:$AJ$160,0,MATCH(Z$2,Inputs!$K$4:$AJ$4,0))))+SUMPRODUCT((Inputs!$E$5:$E$160=$B6)*ISNUMBER(INDEX(Inputs!$K$5:$AJ$160,0,MATCH(Z$2,Inputs!$K$4:$AJ$4,0))))=0,NA(),SUMPRODUCT((Inputs!$A$5:$A$160=$B6)*Inputs!$B$5:$B$160*(((Inputs!$G$5:$G$160="moeda")+(Inputs!$G$5:$G$160="acoes"))*Inputs!$B$1+((Inputs!$G$5:$G$160&lt;&gt;"moeda")*(Inputs!$G$5:$G$160&lt;&gt;"acoes")))*INDEX(Inputs!$K$5:$AJ$160,0,MATCH(Z$2,Inputs!$K$4:$AJ$4,0)))+SUMPRODUCT((Inputs!$C$5:$C$160=$B6)*Inputs!$D$5:$D$160*(((Inputs!$G$5:$G$160="moeda")+(Inputs!$G$5:$G$160="acoes"))*Inputs!$B$1+((Inputs!$G$5:$G$160&lt;&gt;"moeda")*(Inputs!$G$5:$G$160&lt;&gt;"acoes")))*INDEX(Inputs!$K$5:$AJ$160,0,MATCH(Z$2,Inputs!$K$4:$AJ$4,0)))+SUMPRODUCT((Inputs!$E$5:$E$160=$B6)*Inputs!$F$5:$F$160*(((Inputs!$G$5:$G$160="moeda")+(Inputs!$G$5:$G$160="acoes"))*Inputs!$B$1+((Inputs!$G$5:$G$160&lt;&gt;"moeda")*(Inputs!$G$5:$G$160&lt;&gt;"acoes")))*INDEX(Inputs!$K$5:$AJ$160,0,MATCH(Z$2,Inputs!$K$4:$AJ$4,0)))))</f>
        <v>-191.910278533221</v>
      </c>
      <c r="AA6" s="6">
        <f>IF(ISNA(MATCH(AA$2,Inputs!$K$4:$AJ$4,0)),NA(),IF(SUMPRODUCT((Inputs!$A$5:$A$160=$B6)*ISNUMBER(INDEX(Inputs!$K$5:$AJ$160,0,MATCH(AA$2,Inputs!$K$4:$AJ$4,0))))+SUMPRODUCT((Inputs!$C$5:$C$160=$B6)*ISNUMBER(INDEX(Inputs!$K$5:$AJ$160,0,MATCH(AA$2,Inputs!$K$4:$AJ$4,0))))+SUMPRODUCT((Inputs!$E$5:$E$160=$B6)*ISNUMBER(INDEX(Inputs!$K$5:$AJ$160,0,MATCH(AA$2,Inputs!$K$4:$AJ$4,0))))=0,NA(),SUMPRODUCT((Inputs!$A$5:$A$160=$B6)*Inputs!$B$5:$B$160*(((Inputs!$G$5:$G$160="moeda")+(Inputs!$G$5:$G$160="acoes"))*Inputs!$B$1+((Inputs!$G$5:$G$160&lt;&gt;"moeda")*(Inputs!$G$5:$G$160&lt;&gt;"acoes")))*INDEX(Inputs!$K$5:$AJ$160,0,MATCH(AA$2,Inputs!$K$4:$AJ$4,0)))+SUMPRODUCT((Inputs!$C$5:$C$160=$B6)*Inputs!$D$5:$D$160*(((Inputs!$G$5:$G$160="moeda")+(Inputs!$G$5:$G$160="acoes"))*Inputs!$B$1+((Inputs!$G$5:$G$160&lt;&gt;"moeda")*(Inputs!$G$5:$G$160&lt;&gt;"acoes")))*INDEX(Inputs!$K$5:$AJ$160,0,MATCH(AA$2,Inputs!$K$4:$AJ$4,0)))+SUMPRODUCT((Inputs!$E$5:$E$160=$B6)*Inputs!$F$5:$F$160*(((Inputs!$G$5:$G$160="moeda")+(Inputs!$G$5:$G$160="acoes"))*Inputs!$B$1+((Inputs!$G$5:$G$160&lt;&gt;"moeda")*(Inputs!$G$5:$G$160&lt;&gt;"acoes")))*INDEX(Inputs!$K$5:$AJ$160,0,MATCH(AA$2,Inputs!$K$4:$AJ$4,0)))))</f>
        <v>-210.60018183</v>
      </c>
      <c r="AB6" s="3">
        <f>SUM(X6:AA6)</f>
        <v>-753.803808363221</v>
      </c>
      <c r="AC6" s="6">
        <f>IF(ISNA(MATCH(AC$2,Inputs!$K$4:$AJ$4,0)),NA(),IF(SUMPRODUCT((Inputs!$A$5:$A$160=$B6)*ISNUMBER(INDEX(Inputs!$K$5:$AJ$160,0,MATCH(AC$2,Inputs!$K$4:$AJ$4,0))))+SUMPRODUCT((Inputs!$C$5:$C$160=$B6)*ISNUMBER(INDEX(Inputs!$K$5:$AJ$160,0,MATCH(AC$2,Inputs!$K$4:$AJ$4,0))))+SUMPRODUCT((Inputs!$E$5:$E$160=$B6)*ISNUMBER(INDEX(Inputs!$K$5:$AJ$160,0,MATCH(AC$2,Inputs!$K$4:$AJ$4,0))))=0,NA(),SUMPRODUCT((Inputs!$A$5:$A$160=$B6)*Inputs!$B$5:$B$160*(((Inputs!$G$5:$G$160="moeda")+(Inputs!$G$5:$G$160="acoes"))*Inputs!$B$1+((Inputs!$G$5:$G$160&lt;&gt;"moeda")*(Inputs!$G$5:$G$160&lt;&gt;"acoes")))*INDEX(Inputs!$K$5:$AJ$160,0,MATCH(AC$2,Inputs!$K$4:$AJ$4,0)))+SUMPRODUCT((Inputs!$C$5:$C$160=$B6)*Inputs!$D$5:$D$160*(((Inputs!$G$5:$G$160="moeda")+(Inputs!$G$5:$G$160="acoes"))*Inputs!$B$1+((Inputs!$G$5:$G$160&lt;&gt;"moeda")*(Inputs!$G$5:$G$160&lt;&gt;"acoes")))*INDEX(Inputs!$K$5:$AJ$160,0,MATCH(AC$2,Inputs!$K$4:$AJ$4,0)))+SUMPRODUCT((Inputs!$E$5:$E$160=$B6)*Inputs!$F$5:$F$160*(((Inputs!$G$5:$G$160="moeda")+(Inputs!$G$5:$G$160="acoes"))*Inputs!$B$1+((Inputs!$G$5:$G$160&lt;&gt;"moeda")*(Inputs!$G$5:$G$160&lt;&gt;"acoes")))*INDEX(Inputs!$K$5:$AJ$160,0,MATCH(AC$2,Inputs!$K$4:$AJ$4,0)))))</f>
        <v>-199.47864252</v>
      </c>
      <c r="AD6" s="6">
        <f>IF(ISNA(MATCH(AD$2,Inputs!$K$4:$AJ$4,0)),NA(),IF(SUMPRODUCT((Inputs!$A$5:$A$160=$B6)*ISNUMBER(INDEX(Inputs!$K$5:$AJ$160,0,MATCH(AD$2,Inputs!$K$4:$AJ$4,0))))+SUMPRODUCT((Inputs!$C$5:$C$160=$B6)*ISNUMBER(INDEX(Inputs!$K$5:$AJ$160,0,MATCH(AD$2,Inputs!$K$4:$AJ$4,0))))+SUMPRODUCT((Inputs!$E$5:$E$160=$B6)*ISNUMBER(INDEX(Inputs!$K$5:$AJ$160,0,MATCH(AD$2,Inputs!$K$4:$AJ$4,0))))=0,NA(),SUMPRODUCT((Inputs!$A$5:$A$160=$B6)*Inputs!$B$5:$B$160*(((Inputs!$G$5:$G$160="moeda")+(Inputs!$G$5:$G$160="acoes"))*Inputs!$B$1+((Inputs!$G$5:$G$160&lt;&gt;"moeda")*(Inputs!$G$5:$G$160&lt;&gt;"acoes")))*INDEX(Inputs!$K$5:$AJ$160,0,MATCH(AD$2,Inputs!$K$4:$AJ$4,0)))+SUMPRODUCT((Inputs!$C$5:$C$160=$B6)*Inputs!$D$5:$D$160*(((Inputs!$G$5:$G$160="moeda")+(Inputs!$G$5:$G$160="acoes"))*Inputs!$B$1+((Inputs!$G$5:$G$160&lt;&gt;"moeda")*(Inputs!$G$5:$G$160&lt;&gt;"acoes")))*INDEX(Inputs!$K$5:$AJ$160,0,MATCH(AD$2,Inputs!$K$4:$AJ$4,0)))+SUMPRODUCT((Inputs!$E$5:$E$160=$B6)*Inputs!$F$5:$F$160*(((Inputs!$G$5:$G$160="moeda")+(Inputs!$G$5:$G$160="acoes"))*Inputs!$B$1+((Inputs!$G$5:$G$160&lt;&gt;"moeda")*(Inputs!$G$5:$G$160&lt;&gt;"acoes")))*INDEX(Inputs!$K$5:$AJ$160,0,MATCH(AD$2,Inputs!$K$4:$AJ$4,0)))))</f>
        <v>-195.541</v>
      </c>
      <c r="AE6" s="6" t="e">
        <f>IF(ISNA(MATCH(AE$2,Inputs!$K$4:$AJ$4,0)),NA(),IF(SUMPRODUCT((Inputs!$A$5:$A$160=$B6)*ISNUMBER(INDEX(Inputs!$K$5:$AJ$160,0,MATCH(AE$2,Inputs!$K$4:$AJ$4,0))))+SUMPRODUCT((Inputs!$C$5:$C$160=$B6)*ISNUMBER(INDEX(Inputs!$K$5:$AJ$160,0,MATCH(AE$2,Inputs!$K$4:$AJ$4,0))))+SUMPRODUCT((Inputs!$E$5:$E$160=$B6)*ISNUMBER(INDEX(Inputs!$K$5:$AJ$160,0,MATCH(AE$2,Inputs!$K$4:$AJ$4,0))))=0,NA(),SUMPRODUCT((Inputs!$A$5:$A$160=$B6)*Inputs!$B$5:$B$160*(((Inputs!$G$5:$G$160="moeda")+(Inputs!$G$5:$G$160="acoes"))*Inputs!$B$1+((Inputs!$G$5:$G$160&lt;&gt;"moeda")*(Inputs!$G$5:$G$160&lt;&gt;"acoes")))*INDEX(Inputs!$K$5:$AJ$160,0,MATCH(AE$2,Inputs!$K$4:$AJ$4,0)))+SUMPRODUCT((Inputs!$C$5:$C$160=$B6)*Inputs!$D$5:$D$160*(((Inputs!$G$5:$G$160="moeda")+(Inputs!$G$5:$G$160="acoes"))*Inputs!$B$1+((Inputs!$G$5:$G$160&lt;&gt;"moeda")*(Inputs!$G$5:$G$160&lt;&gt;"acoes")))*INDEX(Inputs!$K$5:$AJ$160,0,MATCH(AE$2,Inputs!$K$4:$AJ$4,0)))+SUMPRODUCT((Inputs!$E$5:$E$160=$B6)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6" s="6" t="e">
        <f>IF(ISNA(MATCH(AF$2,Inputs!$K$4:$AJ$4,0)),NA(),IF(SUMPRODUCT((Inputs!$A$5:$A$160=$B6)*ISNUMBER(INDEX(Inputs!$K$5:$AJ$160,0,MATCH(AF$2,Inputs!$K$4:$AJ$4,0))))+SUMPRODUCT((Inputs!$C$5:$C$160=$B6)*ISNUMBER(INDEX(Inputs!$K$5:$AJ$160,0,MATCH(AF$2,Inputs!$K$4:$AJ$4,0))))+SUMPRODUCT((Inputs!$E$5:$E$160=$B6)*ISNUMBER(INDEX(Inputs!$K$5:$AJ$160,0,MATCH(AF$2,Inputs!$K$4:$AJ$4,0))))=0,NA(),SUMPRODUCT((Inputs!$A$5:$A$160=$B6)*Inputs!$B$5:$B$160*(((Inputs!$G$5:$G$160="moeda")+(Inputs!$G$5:$G$160="acoes"))*Inputs!$B$1+((Inputs!$G$5:$G$160&lt;&gt;"moeda")*(Inputs!$G$5:$G$160&lt;&gt;"acoes")))*INDEX(Inputs!$K$5:$AJ$160,0,MATCH(AF$2,Inputs!$K$4:$AJ$4,0)))+SUMPRODUCT((Inputs!$C$5:$C$160=$B6)*Inputs!$D$5:$D$160*(((Inputs!$G$5:$G$160="moeda")+(Inputs!$G$5:$G$160="acoes"))*Inputs!$B$1+((Inputs!$G$5:$G$160&lt;&gt;"moeda")*(Inputs!$G$5:$G$160&lt;&gt;"acoes")))*INDEX(Inputs!$K$5:$AJ$160,0,MATCH(AF$2,Inputs!$K$4:$AJ$4,0)))+SUMPRODUCT((Inputs!$E$5:$E$160=$B6)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6" s="3" t="e">
        <f>SUM(AC6:AF6)</f>
        <v>#N/A</v>
      </c>
      <c r="AH6" s="6">
        <f>IF(ISNA(MATCH(AH$2,Inputs!$K$4:$AJ$4,0)),NA(),IF(SUMPRODUCT((Inputs!$A$5:$A$160=$B6)*ISNUMBER(INDEX(Inputs!$K$5:$AJ$160,0,MATCH(AH$2,Inputs!$K$4:$AJ$4,0))))+SUMPRODUCT((Inputs!$C$5:$C$160=$B6)*ISNUMBER(INDEX(Inputs!$K$5:$AJ$160,0,MATCH(AH$2,Inputs!$K$4:$AJ$4,0))))+SUMPRODUCT((Inputs!$E$5:$E$160=$B6)*ISNUMBER(INDEX(Inputs!$K$5:$AJ$160,0,MATCH(AH$2,Inputs!$K$4:$AJ$4,0))))=0,NA(),SUMPRODUCT((Inputs!$A$5:$A$160=$B6)*Inputs!$B$5:$B$160*(((Inputs!$G$5:$G$160="moeda")+(Inputs!$G$5:$G$160="acoes"))*Inputs!$B$1+((Inputs!$G$5:$G$160&lt;&gt;"moeda")*(Inputs!$G$5:$G$160&lt;&gt;"acoes")))*INDEX(Inputs!$K$5:$AJ$160,0,MATCH(AH$2,Inputs!$K$4:$AJ$4,0)))+SUMPRODUCT((Inputs!$C$5:$C$160=$B6)*Inputs!$D$5:$D$160*(((Inputs!$G$5:$G$160="moeda")+(Inputs!$G$5:$G$160="acoes"))*Inputs!$B$1+((Inputs!$G$5:$G$160&lt;&gt;"moeda")*(Inputs!$G$5:$G$160&lt;&gt;"acoes")))*INDEX(Inputs!$K$5:$AJ$160,0,MATCH(AH$2,Inputs!$K$4:$AJ$4,0)))+SUMPRODUCT((Inputs!$E$5:$E$160=$B6)*Inputs!$F$5:$F$160*(((Inputs!$G$5:$G$160="moeda")+(Inputs!$G$5:$G$160="acoes"))*Inputs!$B$1+((Inputs!$G$5:$G$160&lt;&gt;"moeda")*(Inputs!$G$5:$G$160&lt;&gt;"acoes")))*INDEX(Inputs!$K$5:$AJ$160,0,MATCH(AH$2,Inputs!$K$4:$AJ$4,0)))))</f>
        <v>-63.35490183</v>
      </c>
      <c r="AI6" s="6">
        <f>IF(ISNA(MATCH(AI$2,Inputs!$K$4:$AJ$4,0)),NA(),IF(SUMPRODUCT((Inputs!$A$5:$A$160=$B6)*ISNUMBER(INDEX(Inputs!$K$5:$AJ$160,0,MATCH(AI$2,Inputs!$K$4:$AJ$4,0))))+SUMPRODUCT((Inputs!$C$5:$C$160=$B6)*ISNUMBER(INDEX(Inputs!$K$5:$AJ$160,0,MATCH(AI$2,Inputs!$K$4:$AJ$4,0))))+SUMPRODUCT((Inputs!$E$5:$E$160=$B6)*ISNUMBER(INDEX(Inputs!$K$5:$AJ$160,0,MATCH(AI$2,Inputs!$K$4:$AJ$4,0))))=0,NA(),SUMPRODUCT((Inputs!$A$5:$A$160=$B6)*Inputs!$B$5:$B$160*(((Inputs!$G$5:$G$160="moeda")+(Inputs!$G$5:$G$160="acoes"))*Inputs!$B$1+((Inputs!$G$5:$G$160&lt;&gt;"moeda")*(Inputs!$G$5:$G$160&lt;&gt;"acoes")))*INDEX(Inputs!$K$5:$AJ$160,0,MATCH(AI$2,Inputs!$K$4:$AJ$4,0)))+SUMPRODUCT((Inputs!$C$5:$C$160=$B6)*Inputs!$D$5:$D$160*(((Inputs!$G$5:$G$160="moeda")+(Inputs!$G$5:$G$160="acoes"))*Inputs!$B$1+((Inputs!$G$5:$G$160&lt;&gt;"moeda")*(Inputs!$G$5:$G$160&lt;&gt;"acoes")))*INDEX(Inputs!$K$5:$AJ$160,0,MATCH(AI$2,Inputs!$K$4:$AJ$4,0)))+SUMPRODUCT((Inputs!$E$5:$E$160=$B6)*Inputs!$F$5:$F$160*(((Inputs!$G$5:$G$160="moeda")+(Inputs!$G$5:$G$160="acoes"))*Inputs!$B$1+((Inputs!$G$5:$G$160&lt;&gt;"moeda")*(Inputs!$G$5:$G$160&lt;&gt;"acoes")))*INDEX(Inputs!$K$5:$AJ$160,0,MATCH(AI$2,Inputs!$K$4:$AJ$4,0)))))</f>
        <v>-52.0518947179</v>
      </c>
      <c r="AJ6" s="6">
        <f>IF(ISNA(MATCH(AJ$2,Inputs!$K$4:$AJ$4,0)),NA(),IF(SUMPRODUCT((Inputs!$A$5:$A$160=$B6)*ISNUMBER(INDEX(Inputs!$K$5:$AJ$160,0,MATCH(AJ$2,Inputs!$K$4:$AJ$4,0))))+SUMPRODUCT((Inputs!$C$5:$C$160=$B6)*ISNUMBER(INDEX(Inputs!$K$5:$AJ$160,0,MATCH(AJ$2,Inputs!$K$4:$AJ$4,0))))+SUMPRODUCT((Inputs!$E$5:$E$160=$B6)*ISNUMBER(INDEX(Inputs!$K$5:$AJ$160,0,MATCH(AJ$2,Inputs!$K$4:$AJ$4,0))))=0,NA(),SUMPRODUCT((Inputs!$A$5:$A$160=$B6)*Inputs!$B$5:$B$160*(((Inputs!$G$5:$G$160="moeda")+(Inputs!$G$5:$G$160="acoes"))*Inputs!$B$1+((Inputs!$G$5:$G$160&lt;&gt;"moeda")*(Inputs!$G$5:$G$160&lt;&gt;"acoes")))*INDEX(Inputs!$K$5:$AJ$160,0,MATCH(AJ$2,Inputs!$K$4:$AJ$4,0)))+SUMPRODUCT((Inputs!$C$5:$C$160=$B6)*Inputs!$D$5:$D$160*(((Inputs!$G$5:$G$160="moeda")+(Inputs!$G$5:$G$160="acoes"))*Inputs!$B$1+((Inputs!$G$5:$G$160&lt;&gt;"moeda")*(Inputs!$G$5:$G$160&lt;&gt;"acoes")))*INDEX(Inputs!$K$5:$AJ$160,0,MATCH(AJ$2,Inputs!$K$4:$AJ$4,0)))+SUMPRODUCT((Inputs!$E$5:$E$160=$B6)*Inputs!$F$5:$F$160*(((Inputs!$G$5:$G$160="moeda")+(Inputs!$G$5:$G$160="acoes"))*Inputs!$B$1+((Inputs!$G$5:$G$160&lt;&gt;"moeda")*(Inputs!$G$5:$G$160&lt;&gt;"acoes")))*INDEX(Inputs!$K$5:$AJ$160,0,MATCH(AJ$2,Inputs!$K$4:$AJ$4,0)))))</f>
        <v>-61.6972132</v>
      </c>
      <c r="AK6" s="6">
        <f>IF(ISNA(MATCH(AK$2,Inputs!$K$4:$AJ$4,0)),NA(),IF(SUMPRODUCT((Inputs!$A$5:$A$160=$B6)*ISNUMBER(INDEX(Inputs!$K$5:$AJ$160,0,MATCH(AK$2,Inputs!$K$4:$AJ$4,0))))+SUMPRODUCT((Inputs!$C$5:$C$160=$B6)*ISNUMBER(INDEX(Inputs!$K$5:$AJ$160,0,MATCH(AK$2,Inputs!$K$4:$AJ$4,0))))+SUMPRODUCT((Inputs!$E$5:$E$160=$B6)*ISNUMBER(INDEX(Inputs!$K$5:$AJ$160,0,MATCH(AK$2,Inputs!$K$4:$AJ$4,0))))=0,NA(),SUMPRODUCT((Inputs!$A$5:$A$160=$B6)*Inputs!$B$5:$B$160*(((Inputs!$G$5:$G$160="moeda")+(Inputs!$G$5:$G$160="acoes"))*Inputs!$B$1+((Inputs!$G$5:$G$160&lt;&gt;"moeda")*(Inputs!$G$5:$G$160&lt;&gt;"acoes")))*INDEX(Inputs!$K$5:$AJ$160,0,MATCH(AK$2,Inputs!$K$4:$AJ$4,0)))+SUMPRODUCT((Inputs!$C$5:$C$160=$B6)*Inputs!$D$5:$D$160*(((Inputs!$G$5:$G$160="moeda")+(Inputs!$G$5:$G$160="acoes"))*Inputs!$B$1+((Inputs!$G$5:$G$160&lt;&gt;"moeda")*(Inputs!$G$5:$G$160&lt;&gt;"acoes")))*INDEX(Inputs!$K$5:$AJ$160,0,MATCH(AK$2,Inputs!$K$4:$AJ$4,0)))+SUMPRODUCT((Inputs!$E$5:$E$160=$B6)*Inputs!$F$5:$F$160*(((Inputs!$G$5:$G$160="moeda")+(Inputs!$G$5:$G$160="acoes"))*Inputs!$B$1+((Inputs!$G$5:$G$160&lt;&gt;"moeda")*(Inputs!$G$5:$G$160&lt;&gt;"acoes")))*INDEX(Inputs!$K$5:$AJ$160,0,MATCH(AK$2,Inputs!$K$4:$AJ$4,0)))))</f>
        <v>-91.52204745</v>
      </c>
      <c r="AL6" s="3">
        <f>SUM(AH6:AK6)</f>
        <v>-268.6260571979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$160=$B7)*ISNUMBER(INDEX(Inputs!$K$5:$AJ$160,0,MATCH(D$2,Inputs!$K$4:$AJ$4,0))))+SUMPRODUCT((Inputs!$C$5:$C$160=$B7)*ISNUMBER(INDEX(Inputs!$K$5:$AJ$160,0,MATCH(D$2,Inputs!$K$4:$AJ$4,0))))+SUMPRODUCT((Inputs!$E$5:$E$160=$B7)*ISNUMBER(INDEX(Inputs!$K$5:$AJ$160,0,MATCH(D$2,Inputs!$K$4:$AJ$4,0))))=0,NA(),SUMPRODUCT((Inputs!$A$5:$A$160=$B7)*Inputs!$B$5:$B$160*(((Inputs!$G$5:$G$160="moeda")+(Inputs!$G$5:$G$160="acoes"))*Inputs!$B$1+((Inputs!$G$5:$G$160&lt;&gt;"moeda")*(Inputs!$G$5:$G$160&lt;&gt;"acoes")))*INDEX(Inputs!$K$5:$AJ$160,0,MATCH(D$2,Inputs!$K$4:$AJ$4,0)))+SUMPRODUCT((Inputs!$C$5:$C$160=$B7)*Inputs!$D$5:$D$160*(((Inputs!$G$5:$G$160="moeda")+(Inputs!$G$5:$G$160="acoes"))*Inputs!$B$1+((Inputs!$G$5:$G$160&lt;&gt;"moeda")*(Inputs!$G$5:$G$160&lt;&gt;"acoes")))*INDEX(Inputs!$K$5:$AJ$160,0,MATCH(D$2,Inputs!$K$4:$AJ$4,0)))+SUMPRODUCT((Inputs!$E$5:$E$160=$B7)*Inputs!$F$5:$F$160*(((Inputs!$G$5:$G$160="moeda")+(Inputs!$G$5:$G$160="acoes"))*Inputs!$B$1+((Inputs!$G$5:$G$160&lt;&gt;"moeda")*(Inputs!$G$5:$G$160&lt;&gt;"acoes")))*INDEX(Inputs!$K$5:$AJ$160,0,MATCH(D$2,Inputs!$K$4:$AJ$4,0)))))</f>
        <v>-86.83643829</v>
      </c>
      <c r="E7" s="6">
        <f>IF(ISNA(MATCH(E$2,Inputs!$K$4:$AJ$4,0)),NA(),IF(SUMPRODUCT((Inputs!$A$5:$A$160=$B7)*ISNUMBER(INDEX(Inputs!$K$5:$AJ$160,0,MATCH(E$2,Inputs!$K$4:$AJ$4,0))))+SUMPRODUCT((Inputs!$C$5:$C$160=$B7)*ISNUMBER(INDEX(Inputs!$K$5:$AJ$160,0,MATCH(E$2,Inputs!$K$4:$AJ$4,0))))+SUMPRODUCT((Inputs!$E$5:$E$160=$B7)*ISNUMBER(INDEX(Inputs!$K$5:$AJ$160,0,MATCH(E$2,Inputs!$K$4:$AJ$4,0))))=0,NA(),SUMPRODUCT((Inputs!$A$5:$A$160=$B7)*Inputs!$B$5:$B$160*(((Inputs!$G$5:$G$160="moeda")+(Inputs!$G$5:$G$160="acoes"))*Inputs!$B$1+((Inputs!$G$5:$G$160&lt;&gt;"moeda")*(Inputs!$G$5:$G$160&lt;&gt;"acoes")))*INDEX(Inputs!$K$5:$AJ$160,0,MATCH(E$2,Inputs!$K$4:$AJ$4,0)))+SUMPRODUCT((Inputs!$C$5:$C$160=$B7)*Inputs!$D$5:$D$160*(((Inputs!$G$5:$G$160="moeda")+(Inputs!$G$5:$G$160="acoes"))*Inputs!$B$1+((Inputs!$G$5:$G$160&lt;&gt;"moeda")*(Inputs!$G$5:$G$160&lt;&gt;"acoes")))*INDEX(Inputs!$K$5:$AJ$160,0,MATCH(E$2,Inputs!$K$4:$AJ$4,0)))+SUMPRODUCT((Inputs!$E$5:$E$160=$B7)*Inputs!$F$5:$F$160*(((Inputs!$G$5:$G$160="moeda")+(Inputs!$G$5:$G$160="acoes"))*Inputs!$B$1+((Inputs!$G$5:$G$160&lt;&gt;"moeda")*(Inputs!$G$5:$G$160&lt;&gt;"acoes")))*INDEX(Inputs!$K$5:$AJ$160,0,MATCH(E$2,Inputs!$K$4:$AJ$4,0)))))</f>
        <v>-90.88444056</v>
      </c>
      <c r="F7" s="6">
        <f>IF(ISNA(MATCH(F$2,Inputs!$K$4:$AJ$4,0)),NA(),IF(SUMPRODUCT((Inputs!$A$5:$A$160=$B7)*ISNUMBER(INDEX(Inputs!$K$5:$AJ$160,0,MATCH(F$2,Inputs!$K$4:$AJ$4,0))))+SUMPRODUCT((Inputs!$C$5:$C$160=$B7)*ISNUMBER(INDEX(Inputs!$K$5:$AJ$160,0,MATCH(F$2,Inputs!$K$4:$AJ$4,0))))+SUMPRODUCT((Inputs!$E$5:$E$160=$B7)*ISNUMBER(INDEX(Inputs!$K$5:$AJ$160,0,MATCH(F$2,Inputs!$K$4:$AJ$4,0))))=0,NA(),SUMPRODUCT((Inputs!$A$5:$A$160=$B7)*Inputs!$B$5:$B$160*(((Inputs!$G$5:$G$160="moeda")+(Inputs!$G$5:$G$160="acoes"))*Inputs!$B$1+((Inputs!$G$5:$G$160&lt;&gt;"moeda")*(Inputs!$G$5:$G$160&lt;&gt;"acoes")))*INDEX(Inputs!$K$5:$AJ$160,0,MATCH(F$2,Inputs!$K$4:$AJ$4,0)))+SUMPRODUCT((Inputs!$C$5:$C$160=$B7)*Inputs!$D$5:$D$160*(((Inputs!$G$5:$G$160="moeda")+(Inputs!$G$5:$G$160="acoes"))*Inputs!$B$1+((Inputs!$G$5:$G$160&lt;&gt;"moeda")*(Inputs!$G$5:$G$160&lt;&gt;"acoes")))*INDEX(Inputs!$K$5:$AJ$160,0,MATCH(F$2,Inputs!$K$4:$AJ$4,0)))+SUMPRODUCT((Inputs!$E$5:$E$160=$B7)*Inputs!$F$5:$F$160*(((Inputs!$G$5:$G$160="moeda")+(Inputs!$G$5:$G$160="acoes"))*Inputs!$B$1+((Inputs!$G$5:$G$160&lt;&gt;"moeda")*(Inputs!$G$5:$G$160&lt;&gt;"acoes")))*INDEX(Inputs!$K$5:$AJ$160,0,MATCH(F$2,Inputs!$K$4:$AJ$4,0)))))</f>
        <v>-103.83367925</v>
      </c>
      <c r="G7" s="6">
        <f>IF(ISNA(MATCH(G$2,Inputs!$K$4:$AJ$4,0)),NA(),IF(SUMPRODUCT((Inputs!$A$5:$A$160=$B7)*ISNUMBER(INDEX(Inputs!$K$5:$AJ$160,0,MATCH(G$2,Inputs!$K$4:$AJ$4,0))))+SUMPRODUCT((Inputs!$C$5:$C$160=$B7)*ISNUMBER(INDEX(Inputs!$K$5:$AJ$160,0,MATCH(G$2,Inputs!$K$4:$AJ$4,0))))+SUMPRODUCT((Inputs!$E$5:$E$160=$B7)*ISNUMBER(INDEX(Inputs!$K$5:$AJ$160,0,MATCH(G$2,Inputs!$K$4:$AJ$4,0))))=0,NA(),SUMPRODUCT((Inputs!$A$5:$A$160=$B7)*Inputs!$B$5:$B$160*(((Inputs!$G$5:$G$160="moeda")+(Inputs!$G$5:$G$160="acoes"))*Inputs!$B$1+((Inputs!$G$5:$G$160&lt;&gt;"moeda")*(Inputs!$G$5:$G$160&lt;&gt;"acoes")))*INDEX(Inputs!$K$5:$AJ$160,0,MATCH(G$2,Inputs!$K$4:$AJ$4,0)))+SUMPRODUCT((Inputs!$C$5:$C$160=$B7)*Inputs!$D$5:$D$160*(((Inputs!$G$5:$G$160="moeda")+(Inputs!$G$5:$G$160="acoes"))*Inputs!$B$1+((Inputs!$G$5:$G$160&lt;&gt;"moeda")*(Inputs!$G$5:$G$160&lt;&gt;"acoes")))*INDEX(Inputs!$K$5:$AJ$160,0,MATCH(G$2,Inputs!$K$4:$AJ$4,0)))+SUMPRODUCT((Inputs!$E$5:$E$160=$B7)*Inputs!$F$5:$F$160*(((Inputs!$G$5:$G$160="moeda")+(Inputs!$G$5:$G$160="acoes"))*Inputs!$B$1+((Inputs!$G$5:$G$160&lt;&gt;"moeda")*(Inputs!$G$5:$G$160&lt;&gt;"acoes")))*INDEX(Inputs!$K$5:$AJ$160,0,MATCH(G$2,Inputs!$K$4:$AJ$4,0)))))</f>
        <v>-107.72515852</v>
      </c>
      <c r="H7" s="3">
        <f>SUM(D7:G7)</f>
        <v>-389.27971662</v>
      </c>
      <c r="I7" s="6">
        <f>IF(ISNA(MATCH(I$2,Inputs!$K$4:$AJ$4,0)),NA(),IF(SUMPRODUCT((Inputs!$A$5:$A$160=$B7)*ISNUMBER(INDEX(Inputs!$K$5:$AJ$160,0,MATCH(I$2,Inputs!$K$4:$AJ$4,0))))+SUMPRODUCT((Inputs!$C$5:$C$160=$B7)*ISNUMBER(INDEX(Inputs!$K$5:$AJ$160,0,MATCH(I$2,Inputs!$K$4:$AJ$4,0))))+SUMPRODUCT((Inputs!$E$5:$E$160=$B7)*ISNUMBER(INDEX(Inputs!$K$5:$AJ$160,0,MATCH(I$2,Inputs!$K$4:$AJ$4,0))))=0,NA(),SUMPRODUCT((Inputs!$A$5:$A$160=$B7)*Inputs!$B$5:$B$160*(((Inputs!$G$5:$G$160="moeda")+(Inputs!$G$5:$G$160="acoes"))*Inputs!$B$1+((Inputs!$G$5:$G$160&lt;&gt;"moeda")*(Inputs!$G$5:$G$160&lt;&gt;"acoes")))*INDEX(Inputs!$K$5:$AJ$160,0,MATCH(I$2,Inputs!$K$4:$AJ$4,0)))+SUMPRODUCT((Inputs!$C$5:$C$160=$B7)*Inputs!$D$5:$D$160*(((Inputs!$G$5:$G$160="moeda")+(Inputs!$G$5:$G$160="acoes"))*Inputs!$B$1+((Inputs!$G$5:$G$160&lt;&gt;"moeda")*(Inputs!$G$5:$G$160&lt;&gt;"acoes")))*INDEX(Inputs!$K$5:$AJ$160,0,MATCH(I$2,Inputs!$K$4:$AJ$4,0)))+SUMPRODUCT((Inputs!$E$5:$E$160=$B7)*Inputs!$F$5:$F$160*(((Inputs!$G$5:$G$160="moeda")+(Inputs!$G$5:$G$160="acoes"))*Inputs!$B$1+((Inputs!$G$5:$G$160&lt;&gt;"moeda")*(Inputs!$G$5:$G$160&lt;&gt;"acoes")))*INDEX(Inputs!$K$5:$AJ$160,0,MATCH(I$2,Inputs!$K$4:$AJ$4,0)))))</f>
        <v>-107.45963589</v>
      </c>
      <c r="J7" s="6">
        <f>IF(ISNA(MATCH(J$2,Inputs!$K$4:$AJ$4,0)),NA(),IF(SUMPRODUCT((Inputs!$A$5:$A$160=$B7)*ISNUMBER(INDEX(Inputs!$K$5:$AJ$160,0,MATCH(J$2,Inputs!$K$4:$AJ$4,0))))+SUMPRODUCT((Inputs!$C$5:$C$160=$B7)*ISNUMBER(INDEX(Inputs!$K$5:$AJ$160,0,MATCH(J$2,Inputs!$K$4:$AJ$4,0))))+SUMPRODUCT((Inputs!$E$5:$E$160=$B7)*ISNUMBER(INDEX(Inputs!$K$5:$AJ$160,0,MATCH(J$2,Inputs!$K$4:$AJ$4,0))))=0,NA(),SUMPRODUCT((Inputs!$A$5:$A$160=$B7)*Inputs!$B$5:$B$160*(((Inputs!$G$5:$G$160="moeda")+(Inputs!$G$5:$G$160="acoes"))*Inputs!$B$1+((Inputs!$G$5:$G$160&lt;&gt;"moeda")*(Inputs!$G$5:$G$160&lt;&gt;"acoes")))*INDEX(Inputs!$K$5:$AJ$160,0,MATCH(J$2,Inputs!$K$4:$AJ$4,0)))+SUMPRODUCT((Inputs!$C$5:$C$160=$B7)*Inputs!$D$5:$D$160*(((Inputs!$G$5:$G$160="moeda")+(Inputs!$G$5:$G$160="acoes"))*Inputs!$B$1+((Inputs!$G$5:$G$160&lt;&gt;"moeda")*(Inputs!$G$5:$G$160&lt;&gt;"acoes")))*INDEX(Inputs!$K$5:$AJ$160,0,MATCH(J$2,Inputs!$K$4:$AJ$4,0)))+SUMPRODUCT((Inputs!$E$5:$E$160=$B7)*Inputs!$F$5:$F$160*(((Inputs!$G$5:$G$160="moeda")+(Inputs!$G$5:$G$160="acoes"))*Inputs!$B$1+((Inputs!$G$5:$G$160&lt;&gt;"moeda")*(Inputs!$G$5:$G$160&lt;&gt;"acoes")))*INDEX(Inputs!$K$5:$AJ$160,0,MATCH(J$2,Inputs!$K$4:$AJ$4,0)))))</f>
        <v>-113.84256518</v>
      </c>
      <c r="K7" s="6">
        <f>IF(ISNA(MATCH(K$2,Inputs!$K$4:$AJ$4,0)),NA(),IF(SUMPRODUCT((Inputs!$A$5:$A$160=$B7)*ISNUMBER(INDEX(Inputs!$K$5:$AJ$160,0,MATCH(K$2,Inputs!$K$4:$AJ$4,0))))+SUMPRODUCT((Inputs!$C$5:$C$160=$B7)*ISNUMBER(INDEX(Inputs!$K$5:$AJ$160,0,MATCH(K$2,Inputs!$K$4:$AJ$4,0))))+SUMPRODUCT((Inputs!$E$5:$E$160=$B7)*ISNUMBER(INDEX(Inputs!$K$5:$AJ$160,0,MATCH(K$2,Inputs!$K$4:$AJ$4,0))))=0,NA(),SUMPRODUCT((Inputs!$A$5:$A$160=$B7)*Inputs!$B$5:$B$160*(((Inputs!$G$5:$G$160="moeda")+(Inputs!$G$5:$G$160="acoes"))*Inputs!$B$1+((Inputs!$G$5:$G$160&lt;&gt;"moeda")*(Inputs!$G$5:$G$160&lt;&gt;"acoes")))*INDEX(Inputs!$K$5:$AJ$160,0,MATCH(K$2,Inputs!$K$4:$AJ$4,0)))+SUMPRODUCT((Inputs!$C$5:$C$160=$B7)*Inputs!$D$5:$D$160*(((Inputs!$G$5:$G$160="moeda")+(Inputs!$G$5:$G$160="acoes"))*Inputs!$B$1+((Inputs!$G$5:$G$160&lt;&gt;"moeda")*(Inputs!$G$5:$G$160&lt;&gt;"acoes")))*INDEX(Inputs!$K$5:$AJ$160,0,MATCH(K$2,Inputs!$K$4:$AJ$4,0)))+SUMPRODUCT((Inputs!$E$5:$E$160=$B7)*Inputs!$F$5:$F$160*(((Inputs!$G$5:$G$160="moeda")+(Inputs!$G$5:$G$160="acoes"))*Inputs!$B$1+((Inputs!$G$5:$G$160&lt;&gt;"moeda")*(Inputs!$G$5:$G$160&lt;&gt;"acoes")))*INDEX(Inputs!$K$5:$AJ$160,0,MATCH(K$2,Inputs!$K$4:$AJ$4,0)))))</f>
        <v>-109.7525059</v>
      </c>
      <c r="L7" s="6">
        <f>IF(ISNA(MATCH(L$2,Inputs!$K$4:$AJ$4,0)),NA(),IF(SUMPRODUCT((Inputs!$A$5:$A$160=$B7)*ISNUMBER(INDEX(Inputs!$K$5:$AJ$160,0,MATCH(L$2,Inputs!$K$4:$AJ$4,0))))+SUMPRODUCT((Inputs!$C$5:$C$160=$B7)*ISNUMBER(INDEX(Inputs!$K$5:$AJ$160,0,MATCH(L$2,Inputs!$K$4:$AJ$4,0))))+SUMPRODUCT((Inputs!$E$5:$E$160=$B7)*ISNUMBER(INDEX(Inputs!$K$5:$AJ$160,0,MATCH(L$2,Inputs!$K$4:$AJ$4,0))))=0,NA(),SUMPRODUCT((Inputs!$A$5:$A$160=$B7)*Inputs!$B$5:$B$160*(((Inputs!$G$5:$G$160="moeda")+(Inputs!$G$5:$G$160="acoes"))*Inputs!$B$1+((Inputs!$G$5:$G$160&lt;&gt;"moeda")*(Inputs!$G$5:$G$160&lt;&gt;"acoes")))*INDEX(Inputs!$K$5:$AJ$160,0,MATCH(L$2,Inputs!$K$4:$AJ$4,0)))+SUMPRODUCT((Inputs!$C$5:$C$160=$B7)*Inputs!$D$5:$D$160*(((Inputs!$G$5:$G$160="moeda")+(Inputs!$G$5:$G$160="acoes"))*Inputs!$B$1+((Inputs!$G$5:$G$160&lt;&gt;"moeda")*(Inputs!$G$5:$G$160&lt;&gt;"acoes")))*INDEX(Inputs!$K$5:$AJ$160,0,MATCH(L$2,Inputs!$K$4:$AJ$4,0)))+SUMPRODUCT((Inputs!$E$5:$E$160=$B7)*Inputs!$F$5:$F$160*(((Inputs!$G$5:$G$160="moeda")+(Inputs!$G$5:$G$160="acoes"))*Inputs!$B$1+((Inputs!$G$5:$G$160&lt;&gt;"moeda")*(Inputs!$G$5:$G$160&lt;&gt;"acoes")))*INDEX(Inputs!$K$5:$AJ$160,0,MATCH(L$2,Inputs!$K$4:$AJ$4,0)))))</f>
        <v>-124.2846005</v>
      </c>
      <c r="M7" s="3">
        <f>SUM(I7:L7)</f>
        <v>-455.33930747</v>
      </c>
      <c r="N7" s="6">
        <f>IF(ISNA(MATCH(N$2,Inputs!$K$4:$AJ$4,0)),NA(),IF(SUMPRODUCT((Inputs!$A$5:$A$160=$B7)*ISNUMBER(INDEX(Inputs!$K$5:$AJ$160,0,MATCH(N$2,Inputs!$K$4:$AJ$4,0))))+SUMPRODUCT((Inputs!$C$5:$C$160=$B7)*ISNUMBER(INDEX(Inputs!$K$5:$AJ$160,0,MATCH(N$2,Inputs!$K$4:$AJ$4,0))))+SUMPRODUCT((Inputs!$E$5:$E$160=$B7)*ISNUMBER(INDEX(Inputs!$K$5:$AJ$160,0,MATCH(N$2,Inputs!$K$4:$AJ$4,0))))=0,NA(),SUMPRODUCT((Inputs!$A$5:$A$160=$B7)*Inputs!$B$5:$B$160*(((Inputs!$G$5:$G$160="moeda")+(Inputs!$G$5:$G$160="acoes"))*Inputs!$B$1+((Inputs!$G$5:$G$160&lt;&gt;"moeda")*(Inputs!$G$5:$G$160&lt;&gt;"acoes")))*INDEX(Inputs!$K$5:$AJ$160,0,MATCH(N$2,Inputs!$K$4:$AJ$4,0)))+SUMPRODUCT((Inputs!$C$5:$C$160=$B7)*Inputs!$D$5:$D$160*(((Inputs!$G$5:$G$160="moeda")+(Inputs!$G$5:$G$160="acoes"))*Inputs!$B$1+((Inputs!$G$5:$G$160&lt;&gt;"moeda")*(Inputs!$G$5:$G$160&lt;&gt;"acoes")))*INDEX(Inputs!$K$5:$AJ$160,0,MATCH(N$2,Inputs!$K$4:$AJ$4,0)))+SUMPRODUCT((Inputs!$E$5:$E$160=$B7)*Inputs!$F$5:$F$160*(((Inputs!$G$5:$G$160="moeda")+(Inputs!$G$5:$G$160="acoes"))*Inputs!$B$1+((Inputs!$G$5:$G$160&lt;&gt;"moeda")*(Inputs!$G$5:$G$160&lt;&gt;"acoes")))*INDEX(Inputs!$K$5:$AJ$160,0,MATCH(N$2,Inputs!$K$4:$AJ$4,0)))))</f>
        <v>-131.26208815</v>
      </c>
      <c r="O7" s="6">
        <f>IF(ISNA(MATCH(O$2,Inputs!$K$4:$AJ$4,0)),NA(),IF(SUMPRODUCT((Inputs!$A$5:$A$160=$B7)*ISNUMBER(INDEX(Inputs!$K$5:$AJ$160,0,MATCH(O$2,Inputs!$K$4:$AJ$4,0))))+SUMPRODUCT((Inputs!$C$5:$C$160=$B7)*ISNUMBER(INDEX(Inputs!$K$5:$AJ$160,0,MATCH(O$2,Inputs!$K$4:$AJ$4,0))))+SUMPRODUCT((Inputs!$E$5:$E$160=$B7)*ISNUMBER(INDEX(Inputs!$K$5:$AJ$160,0,MATCH(O$2,Inputs!$K$4:$AJ$4,0))))=0,NA(),SUMPRODUCT((Inputs!$A$5:$A$160=$B7)*Inputs!$B$5:$B$160*(((Inputs!$G$5:$G$160="moeda")+(Inputs!$G$5:$G$160="acoes"))*Inputs!$B$1+((Inputs!$G$5:$G$160&lt;&gt;"moeda")*(Inputs!$G$5:$G$160&lt;&gt;"acoes")))*INDEX(Inputs!$K$5:$AJ$160,0,MATCH(O$2,Inputs!$K$4:$AJ$4,0)))+SUMPRODUCT((Inputs!$C$5:$C$160=$B7)*Inputs!$D$5:$D$160*(((Inputs!$G$5:$G$160="moeda")+(Inputs!$G$5:$G$160="acoes"))*Inputs!$B$1+((Inputs!$G$5:$G$160&lt;&gt;"moeda")*(Inputs!$G$5:$G$160&lt;&gt;"acoes")))*INDEX(Inputs!$K$5:$AJ$160,0,MATCH(O$2,Inputs!$K$4:$AJ$4,0)))+SUMPRODUCT((Inputs!$E$5:$E$160=$B7)*Inputs!$F$5:$F$160*(((Inputs!$G$5:$G$160="moeda")+(Inputs!$G$5:$G$160="acoes"))*Inputs!$B$1+((Inputs!$G$5:$G$160&lt;&gt;"moeda")*(Inputs!$G$5:$G$160&lt;&gt;"acoes")))*INDEX(Inputs!$K$5:$AJ$160,0,MATCH(O$2,Inputs!$K$4:$AJ$4,0)))))</f>
        <v>-166.076</v>
      </c>
      <c r="P7" s="6">
        <f>IF(ISNA(MATCH(P$2,Inputs!$K$4:$AJ$4,0)),NA(),IF(SUMPRODUCT((Inputs!$A$5:$A$160=$B7)*ISNUMBER(INDEX(Inputs!$K$5:$AJ$160,0,MATCH(P$2,Inputs!$K$4:$AJ$4,0))))+SUMPRODUCT((Inputs!$C$5:$C$160=$B7)*ISNUMBER(INDEX(Inputs!$K$5:$AJ$160,0,MATCH(P$2,Inputs!$K$4:$AJ$4,0))))+SUMPRODUCT((Inputs!$E$5:$E$160=$B7)*ISNUMBER(INDEX(Inputs!$K$5:$AJ$160,0,MATCH(P$2,Inputs!$K$4:$AJ$4,0))))=0,NA(),SUMPRODUCT((Inputs!$A$5:$A$160=$B7)*Inputs!$B$5:$B$160*(((Inputs!$G$5:$G$160="moeda")+(Inputs!$G$5:$G$160="acoes"))*Inputs!$B$1+((Inputs!$G$5:$G$160&lt;&gt;"moeda")*(Inputs!$G$5:$G$160&lt;&gt;"acoes")))*INDEX(Inputs!$K$5:$AJ$160,0,MATCH(P$2,Inputs!$K$4:$AJ$4,0)))+SUMPRODUCT((Inputs!$C$5:$C$160=$B7)*Inputs!$D$5:$D$160*(((Inputs!$G$5:$G$160="moeda")+(Inputs!$G$5:$G$160="acoes"))*Inputs!$B$1+((Inputs!$G$5:$G$160&lt;&gt;"moeda")*(Inputs!$G$5:$G$160&lt;&gt;"acoes")))*INDEX(Inputs!$K$5:$AJ$160,0,MATCH(P$2,Inputs!$K$4:$AJ$4,0)))+SUMPRODUCT((Inputs!$E$5:$E$160=$B7)*Inputs!$F$5:$F$160*(((Inputs!$G$5:$G$160="moeda")+(Inputs!$G$5:$G$160="acoes"))*Inputs!$B$1+((Inputs!$G$5:$G$160&lt;&gt;"moeda")*(Inputs!$G$5:$G$160&lt;&gt;"acoes")))*INDEX(Inputs!$K$5:$AJ$160,0,MATCH(P$2,Inputs!$K$4:$AJ$4,0)))))</f>
        <v>-188.161</v>
      </c>
      <c r="Q7" s="6">
        <f>IF(ISNA(MATCH(Q$2,Inputs!$K$4:$AJ$4,0)),NA(),IF(SUMPRODUCT((Inputs!$A$5:$A$160=$B7)*ISNUMBER(INDEX(Inputs!$K$5:$AJ$160,0,MATCH(Q$2,Inputs!$K$4:$AJ$4,0))))+SUMPRODUCT((Inputs!$C$5:$C$160=$B7)*ISNUMBER(INDEX(Inputs!$K$5:$AJ$160,0,MATCH(Q$2,Inputs!$K$4:$AJ$4,0))))+SUMPRODUCT((Inputs!$E$5:$E$160=$B7)*ISNUMBER(INDEX(Inputs!$K$5:$AJ$160,0,MATCH(Q$2,Inputs!$K$4:$AJ$4,0))))=0,NA(),SUMPRODUCT((Inputs!$A$5:$A$160=$B7)*Inputs!$B$5:$B$160*(((Inputs!$G$5:$G$160="moeda")+(Inputs!$G$5:$G$160="acoes"))*Inputs!$B$1+((Inputs!$G$5:$G$160&lt;&gt;"moeda")*(Inputs!$G$5:$G$160&lt;&gt;"acoes")))*INDEX(Inputs!$K$5:$AJ$160,0,MATCH(Q$2,Inputs!$K$4:$AJ$4,0)))+SUMPRODUCT((Inputs!$C$5:$C$160=$B7)*Inputs!$D$5:$D$160*(((Inputs!$G$5:$G$160="moeda")+(Inputs!$G$5:$G$160="acoes"))*Inputs!$B$1+((Inputs!$G$5:$G$160&lt;&gt;"moeda")*(Inputs!$G$5:$G$160&lt;&gt;"acoes")))*INDEX(Inputs!$K$5:$AJ$160,0,MATCH(Q$2,Inputs!$K$4:$AJ$4,0)))+SUMPRODUCT((Inputs!$E$5:$E$160=$B7)*Inputs!$F$5:$F$160*(((Inputs!$G$5:$G$160="moeda")+(Inputs!$G$5:$G$160="acoes"))*Inputs!$B$1+((Inputs!$G$5:$G$160&lt;&gt;"moeda")*(Inputs!$G$5:$G$160&lt;&gt;"acoes")))*INDEX(Inputs!$K$5:$AJ$160,0,MATCH(Q$2,Inputs!$K$4:$AJ$4,0)))))</f>
        <v>-189.879</v>
      </c>
      <c r="R7" s="3">
        <f>SUM(N7:Q7)</f>
        <v>-675.37808815</v>
      </c>
      <c r="S7" s="6">
        <f>IF(ISNA(MATCH(S$2,Inputs!$K$4:$AJ$4,0)),NA(),IF(SUMPRODUCT((Inputs!$A$5:$A$160=$B7)*ISNUMBER(INDEX(Inputs!$K$5:$AJ$160,0,MATCH(S$2,Inputs!$K$4:$AJ$4,0))))+SUMPRODUCT((Inputs!$C$5:$C$160=$B7)*ISNUMBER(INDEX(Inputs!$K$5:$AJ$160,0,MATCH(S$2,Inputs!$K$4:$AJ$4,0))))+SUMPRODUCT((Inputs!$E$5:$E$160=$B7)*ISNUMBER(INDEX(Inputs!$K$5:$AJ$160,0,MATCH(S$2,Inputs!$K$4:$AJ$4,0))))=0,NA(),SUMPRODUCT((Inputs!$A$5:$A$160=$B7)*Inputs!$B$5:$B$160*(((Inputs!$G$5:$G$160="moeda")+(Inputs!$G$5:$G$160="acoes"))*Inputs!$B$1+((Inputs!$G$5:$G$160&lt;&gt;"moeda")*(Inputs!$G$5:$G$160&lt;&gt;"acoes")))*INDEX(Inputs!$K$5:$AJ$160,0,MATCH(S$2,Inputs!$K$4:$AJ$4,0)))+SUMPRODUCT((Inputs!$C$5:$C$160=$B7)*Inputs!$D$5:$D$160*(((Inputs!$G$5:$G$160="moeda")+(Inputs!$G$5:$G$160="acoes"))*Inputs!$B$1+((Inputs!$G$5:$G$160&lt;&gt;"moeda")*(Inputs!$G$5:$G$160&lt;&gt;"acoes")))*INDEX(Inputs!$K$5:$AJ$160,0,MATCH(S$2,Inputs!$K$4:$AJ$4,0)))+SUMPRODUCT((Inputs!$E$5:$E$160=$B7)*Inputs!$F$5:$F$160*(((Inputs!$G$5:$G$160="moeda")+(Inputs!$G$5:$G$160="acoes"))*Inputs!$B$1+((Inputs!$G$5:$G$160&lt;&gt;"moeda")*(Inputs!$G$5:$G$160&lt;&gt;"acoes")))*INDEX(Inputs!$K$5:$AJ$160,0,MATCH(S$2,Inputs!$K$4:$AJ$4,0)))))</f>
        <v>-189.554</v>
      </c>
      <c r="T7" s="6">
        <f>IF(ISNA(MATCH(T$2,Inputs!$K$4:$AJ$4,0)),NA(),IF(SUMPRODUCT((Inputs!$A$5:$A$160=$B7)*ISNUMBER(INDEX(Inputs!$K$5:$AJ$160,0,MATCH(T$2,Inputs!$K$4:$AJ$4,0))))+SUMPRODUCT((Inputs!$C$5:$C$160=$B7)*ISNUMBER(INDEX(Inputs!$K$5:$AJ$160,0,MATCH(T$2,Inputs!$K$4:$AJ$4,0))))+SUMPRODUCT((Inputs!$E$5:$E$160=$B7)*ISNUMBER(INDEX(Inputs!$K$5:$AJ$160,0,MATCH(T$2,Inputs!$K$4:$AJ$4,0))))=0,NA(),SUMPRODUCT((Inputs!$A$5:$A$160=$B7)*Inputs!$B$5:$B$160*(((Inputs!$G$5:$G$160="moeda")+(Inputs!$G$5:$G$160="acoes"))*Inputs!$B$1+((Inputs!$G$5:$G$160&lt;&gt;"moeda")*(Inputs!$G$5:$G$160&lt;&gt;"acoes")))*INDEX(Inputs!$K$5:$AJ$160,0,MATCH(T$2,Inputs!$K$4:$AJ$4,0)))+SUMPRODUCT((Inputs!$C$5:$C$160=$B7)*Inputs!$D$5:$D$160*(((Inputs!$G$5:$G$160="moeda")+(Inputs!$G$5:$G$160="acoes"))*Inputs!$B$1+((Inputs!$G$5:$G$160&lt;&gt;"moeda")*(Inputs!$G$5:$G$160&lt;&gt;"acoes")))*INDEX(Inputs!$K$5:$AJ$160,0,MATCH(T$2,Inputs!$K$4:$AJ$4,0)))+SUMPRODUCT((Inputs!$E$5:$E$160=$B7)*Inputs!$F$5:$F$160*(((Inputs!$G$5:$G$160="moeda")+(Inputs!$G$5:$G$160="acoes"))*Inputs!$B$1+((Inputs!$G$5:$G$160&lt;&gt;"moeda")*(Inputs!$G$5:$G$160&lt;&gt;"acoes")))*INDEX(Inputs!$K$5:$AJ$160,0,MATCH(T$2,Inputs!$K$4:$AJ$4,0)))))</f>
        <v>-191.804</v>
      </c>
      <c r="U7" s="6">
        <f>IF(ISNA(MATCH(U$2,Inputs!$K$4:$AJ$4,0)),NA(),IF(SUMPRODUCT((Inputs!$A$5:$A$160=$B7)*ISNUMBER(INDEX(Inputs!$K$5:$AJ$160,0,MATCH(U$2,Inputs!$K$4:$AJ$4,0))))+SUMPRODUCT((Inputs!$C$5:$C$160=$B7)*ISNUMBER(INDEX(Inputs!$K$5:$AJ$160,0,MATCH(U$2,Inputs!$K$4:$AJ$4,0))))+SUMPRODUCT((Inputs!$E$5:$E$160=$B7)*ISNUMBER(INDEX(Inputs!$K$5:$AJ$160,0,MATCH(U$2,Inputs!$K$4:$AJ$4,0))))=0,NA(),SUMPRODUCT((Inputs!$A$5:$A$160=$B7)*Inputs!$B$5:$B$160*(((Inputs!$G$5:$G$160="moeda")+(Inputs!$G$5:$G$160="acoes"))*Inputs!$B$1+((Inputs!$G$5:$G$160&lt;&gt;"moeda")*(Inputs!$G$5:$G$160&lt;&gt;"acoes")))*INDEX(Inputs!$K$5:$AJ$160,0,MATCH(U$2,Inputs!$K$4:$AJ$4,0)))+SUMPRODUCT((Inputs!$C$5:$C$160=$B7)*Inputs!$D$5:$D$160*(((Inputs!$G$5:$G$160="moeda")+(Inputs!$G$5:$G$160="acoes"))*Inputs!$B$1+((Inputs!$G$5:$G$160&lt;&gt;"moeda")*(Inputs!$G$5:$G$160&lt;&gt;"acoes")))*INDEX(Inputs!$K$5:$AJ$160,0,MATCH(U$2,Inputs!$K$4:$AJ$4,0)))+SUMPRODUCT((Inputs!$E$5:$E$160=$B7)*Inputs!$F$5:$F$160*(((Inputs!$G$5:$G$160="moeda")+(Inputs!$G$5:$G$160="acoes"))*Inputs!$B$1+((Inputs!$G$5:$G$160&lt;&gt;"moeda")*(Inputs!$G$5:$G$160&lt;&gt;"acoes")))*INDEX(Inputs!$K$5:$AJ$160,0,MATCH(U$2,Inputs!$K$4:$AJ$4,0)))))</f>
        <v>-196.609</v>
      </c>
      <c r="V7" s="6">
        <f>IF(ISNA(MATCH(V$2,Inputs!$K$4:$AJ$4,0)),NA(),IF(SUMPRODUCT((Inputs!$A$5:$A$160=$B7)*ISNUMBER(INDEX(Inputs!$K$5:$AJ$160,0,MATCH(V$2,Inputs!$K$4:$AJ$4,0))))+SUMPRODUCT((Inputs!$C$5:$C$160=$B7)*ISNUMBER(INDEX(Inputs!$K$5:$AJ$160,0,MATCH(V$2,Inputs!$K$4:$AJ$4,0))))+SUMPRODUCT((Inputs!$E$5:$E$160=$B7)*ISNUMBER(INDEX(Inputs!$K$5:$AJ$160,0,MATCH(V$2,Inputs!$K$4:$AJ$4,0))))=0,NA(),SUMPRODUCT((Inputs!$A$5:$A$160=$B7)*Inputs!$B$5:$B$160*(((Inputs!$G$5:$G$160="moeda")+(Inputs!$G$5:$G$160="acoes"))*Inputs!$B$1+((Inputs!$G$5:$G$160&lt;&gt;"moeda")*(Inputs!$G$5:$G$160&lt;&gt;"acoes")))*INDEX(Inputs!$K$5:$AJ$160,0,MATCH(V$2,Inputs!$K$4:$AJ$4,0)))+SUMPRODUCT((Inputs!$C$5:$C$160=$B7)*Inputs!$D$5:$D$160*(((Inputs!$G$5:$G$160="moeda")+(Inputs!$G$5:$G$160="acoes"))*Inputs!$B$1+((Inputs!$G$5:$G$160&lt;&gt;"moeda")*(Inputs!$G$5:$G$160&lt;&gt;"acoes")))*INDEX(Inputs!$K$5:$AJ$160,0,MATCH(V$2,Inputs!$K$4:$AJ$4,0)))+SUMPRODUCT((Inputs!$E$5:$E$160=$B7)*Inputs!$F$5:$F$160*(((Inputs!$G$5:$G$160="moeda")+(Inputs!$G$5:$G$160="acoes"))*Inputs!$B$1+((Inputs!$G$5:$G$160&lt;&gt;"moeda")*(Inputs!$G$5:$G$160&lt;&gt;"acoes")))*INDEX(Inputs!$K$5:$AJ$160,0,MATCH(V$2,Inputs!$K$4:$AJ$4,0)))))</f>
        <v>-202.016</v>
      </c>
      <c r="W7" s="3">
        <f>SUM(S7:V7)</f>
        <v>-779.983</v>
      </c>
      <c r="X7" s="6">
        <f>IF(ISNA(MATCH(X$2,Inputs!$K$4:$AJ$4,0)),NA(),IF(SUMPRODUCT((Inputs!$A$5:$A$160=$B7)*ISNUMBER(INDEX(Inputs!$K$5:$AJ$160,0,MATCH(X$2,Inputs!$K$4:$AJ$4,0))))+SUMPRODUCT((Inputs!$C$5:$C$160=$B7)*ISNUMBER(INDEX(Inputs!$K$5:$AJ$160,0,MATCH(X$2,Inputs!$K$4:$AJ$4,0))))+SUMPRODUCT((Inputs!$E$5:$E$160=$B7)*ISNUMBER(INDEX(Inputs!$K$5:$AJ$160,0,MATCH(X$2,Inputs!$K$4:$AJ$4,0))))=0,NA(),SUMPRODUCT((Inputs!$A$5:$A$160=$B7)*Inputs!$B$5:$B$160*(((Inputs!$G$5:$G$160="moeda")+(Inputs!$G$5:$G$160="acoes"))*Inputs!$B$1+((Inputs!$G$5:$G$160&lt;&gt;"moeda")*(Inputs!$G$5:$G$160&lt;&gt;"acoes")))*INDEX(Inputs!$K$5:$AJ$160,0,MATCH(X$2,Inputs!$K$4:$AJ$4,0)))+SUMPRODUCT((Inputs!$C$5:$C$160=$B7)*Inputs!$D$5:$D$160*(((Inputs!$G$5:$G$160="moeda")+(Inputs!$G$5:$G$160="acoes"))*Inputs!$B$1+((Inputs!$G$5:$G$160&lt;&gt;"moeda")*(Inputs!$G$5:$G$160&lt;&gt;"acoes")))*INDEX(Inputs!$K$5:$AJ$160,0,MATCH(X$2,Inputs!$K$4:$AJ$4,0)))+SUMPRODUCT((Inputs!$E$5:$E$160=$B7)*Inputs!$F$5:$F$160*(((Inputs!$G$5:$G$160="moeda")+(Inputs!$G$5:$G$160="acoes"))*Inputs!$B$1+((Inputs!$G$5:$G$160&lt;&gt;"moeda")*(Inputs!$G$5:$G$160&lt;&gt;"acoes")))*INDEX(Inputs!$K$5:$AJ$160,0,MATCH(X$2,Inputs!$K$4:$AJ$4,0)))))</f>
        <v>-212.141077</v>
      </c>
      <c r="Y7" s="6">
        <f>IF(ISNA(MATCH(Y$2,Inputs!$K$4:$AJ$4,0)),NA(),IF(SUMPRODUCT((Inputs!$A$5:$A$160=$B7)*ISNUMBER(INDEX(Inputs!$K$5:$AJ$160,0,MATCH(Y$2,Inputs!$K$4:$AJ$4,0))))+SUMPRODUCT((Inputs!$C$5:$C$160=$B7)*ISNUMBER(INDEX(Inputs!$K$5:$AJ$160,0,MATCH(Y$2,Inputs!$K$4:$AJ$4,0))))+SUMPRODUCT((Inputs!$E$5:$E$160=$B7)*ISNUMBER(INDEX(Inputs!$K$5:$AJ$160,0,MATCH(Y$2,Inputs!$K$4:$AJ$4,0))))=0,NA(),SUMPRODUCT((Inputs!$A$5:$A$160=$B7)*Inputs!$B$5:$B$160*(((Inputs!$G$5:$G$160="moeda")+(Inputs!$G$5:$G$160="acoes"))*Inputs!$B$1+((Inputs!$G$5:$G$160&lt;&gt;"moeda")*(Inputs!$G$5:$G$160&lt;&gt;"acoes")))*INDEX(Inputs!$K$5:$AJ$160,0,MATCH(Y$2,Inputs!$K$4:$AJ$4,0)))+SUMPRODUCT((Inputs!$C$5:$C$160=$B7)*Inputs!$D$5:$D$160*(((Inputs!$G$5:$G$160="moeda")+(Inputs!$G$5:$G$160="acoes"))*Inputs!$B$1+((Inputs!$G$5:$G$160&lt;&gt;"moeda")*(Inputs!$G$5:$G$160&lt;&gt;"acoes")))*INDEX(Inputs!$K$5:$AJ$160,0,MATCH(Y$2,Inputs!$K$4:$AJ$4,0)))+SUMPRODUCT((Inputs!$E$5:$E$160=$B7)*Inputs!$F$5:$F$160*(((Inputs!$G$5:$G$160="moeda")+(Inputs!$G$5:$G$160="acoes"))*Inputs!$B$1+((Inputs!$G$5:$G$160&lt;&gt;"moeda")*(Inputs!$G$5:$G$160&lt;&gt;"acoes")))*INDEX(Inputs!$K$5:$AJ$160,0,MATCH(Y$2,Inputs!$K$4:$AJ$4,0)))))</f>
        <v>-222.403</v>
      </c>
      <c r="Z7" s="6">
        <f>IF(ISNA(MATCH(Z$2,Inputs!$K$4:$AJ$4,0)),NA(),IF(SUMPRODUCT((Inputs!$A$5:$A$160=$B7)*ISNUMBER(INDEX(Inputs!$K$5:$AJ$160,0,MATCH(Z$2,Inputs!$K$4:$AJ$4,0))))+SUMPRODUCT((Inputs!$C$5:$C$160=$B7)*ISNUMBER(INDEX(Inputs!$K$5:$AJ$160,0,MATCH(Z$2,Inputs!$K$4:$AJ$4,0))))+SUMPRODUCT((Inputs!$E$5:$E$160=$B7)*ISNUMBER(INDEX(Inputs!$K$5:$AJ$160,0,MATCH(Z$2,Inputs!$K$4:$AJ$4,0))))=0,NA(),SUMPRODUCT((Inputs!$A$5:$A$160=$B7)*Inputs!$B$5:$B$160*(((Inputs!$G$5:$G$160="moeda")+(Inputs!$G$5:$G$160="acoes"))*Inputs!$B$1+((Inputs!$G$5:$G$160&lt;&gt;"moeda")*(Inputs!$G$5:$G$160&lt;&gt;"acoes")))*INDEX(Inputs!$K$5:$AJ$160,0,MATCH(Z$2,Inputs!$K$4:$AJ$4,0)))+SUMPRODUCT((Inputs!$C$5:$C$160=$B7)*Inputs!$D$5:$D$160*(((Inputs!$G$5:$G$160="moeda")+(Inputs!$G$5:$G$160="acoes"))*Inputs!$B$1+((Inputs!$G$5:$G$160&lt;&gt;"moeda")*(Inputs!$G$5:$G$160&lt;&gt;"acoes")))*INDEX(Inputs!$K$5:$AJ$160,0,MATCH(Z$2,Inputs!$K$4:$AJ$4,0)))+SUMPRODUCT((Inputs!$E$5:$E$160=$B7)*Inputs!$F$5:$F$160*(((Inputs!$G$5:$G$160="moeda")+(Inputs!$G$5:$G$160="acoes"))*Inputs!$B$1+((Inputs!$G$5:$G$160&lt;&gt;"moeda")*(Inputs!$G$5:$G$160&lt;&gt;"acoes")))*INDEX(Inputs!$K$5:$AJ$160,0,MATCH(Z$2,Inputs!$K$4:$AJ$4,0)))))</f>
        <v>-229.37499664</v>
      </c>
      <c r="AA7" s="6">
        <f>IF(ISNA(MATCH(AA$2,Inputs!$K$4:$AJ$4,0)),NA(),IF(SUMPRODUCT((Inputs!$A$5:$A$160=$B7)*ISNUMBER(INDEX(Inputs!$K$5:$AJ$160,0,MATCH(AA$2,Inputs!$K$4:$AJ$4,0))))+SUMPRODUCT((Inputs!$C$5:$C$160=$B7)*ISNUMBER(INDEX(Inputs!$K$5:$AJ$160,0,MATCH(AA$2,Inputs!$K$4:$AJ$4,0))))+SUMPRODUCT((Inputs!$E$5:$E$160=$B7)*ISNUMBER(INDEX(Inputs!$K$5:$AJ$160,0,MATCH(AA$2,Inputs!$K$4:$AJ$4,0))))=0,NA(),SUMPRODUCT((Inputs!$A$5:$A$160=$B7)*Inputs!$B$5:$B$160*(((Inputs!$G$5:$G$160="moeda")+(Inputs!$G$5:$G$160="acoes"))*Inputs!$B$1+((Inputs!$G$5:$G$160&lt;&gt;"moeda")*(Inputs!$G$5:$G$160&lt;&gt;"acoes")))*INDEX(Inputs!$K$5:$AJ$160,0,MATCH(AA$2,Inputs!$K$4:$AJ$4,0)))+SUMPRODUCT((Inputs!$C$5:$C$160=$B7)*Inputs!$D$5:$D$160*(((Inputs!$G$5:$G$160="moeda")+(Inputs!$G$5:$G$160="acoes"))*Inputs!$B$1+((Inputs!$G$5:$G$160&lt;&gt;"moeda")*(Inputs!$G$5:$G$160&lt;&gt;"acoes")))*INDEX(Inputs!$K$5:$AJ$160,0,MATCH(AA$2,Inputs!$K$4:$AJ$4,0)))+SUMPRODUCT((Inputs!$E$5:$E$160=$B7)*Inputs!$F$5:$F$160*(((Inputs!$G$5:$G$160="moeda")+(Inputs!$G$5:$G$160="acoes"))*Inputs!$B$1+((Inputs!$G$5:$G$160&lt;&gt;"moeda")*(Inputs!$G$5:$G$160&lt;&gt;"acoes")))*INDEX(Inputs!$K$5:$AJ$160,0,MATCH(AA$2,Inputs!$K$4:$AJ$4,0)))))</f>
        <v>-236.39185589</v>
      </c>
      <c r="AB7" s="3">
        <f>SUM(X7:AA7)</f>
        <v>-900.31092953</v>
      </c>
      <c r="AC7" s="6">
        <f>IF(ISNA(MATCH(AC$2,Inputs!$K$4:$AJ$4,0)),NA(),IF(SUMPRODUCT((Inputs!$A$5:$A$160=$B7)*ISNUMBER(INDEX(Inputs!$K$5:$AJ$160,0,MATCH(AC$2,Inputs!$K$4:$AJ$4,0))))+SUMPRODUCT((Inputs!$C$5:$C$160=$B7)*ISNUMBER(INDEX(Inputs!$K$5:$AJ$160,0,MATCH(AC$2,Inputs!$K$4:$AJ$4,0))))+SUMPRODUCT((Inputs!$E$5:$E$160=$B7)*ISNUMBER(INDEX(Inputs!$K$5:$AJ$160,0,MATCH(AC$2,Inputs!$K$4:$AJ$4,0))))=0,NA(),SUMPRODUCT((Inputs!$A$5:$A$160=$B7)*Inputs!$B$5:$B$160*(((Inputs!$G$5:$G$160="moeda")+(Inputs!$G$5:$G$160="acoes"))*Inputs!$B$1+((Inputs!$G$5:$G$160&lt;&gt;"moeda")*(Inputs!$G$5:$G$160&lt;&gt;"acoes")))*INDEX(Inputs!$K$5:$AJ$160,0,MATCH(AC$2,Inputs!$K$4:$AJ$4,0)))+SUMPRODUCT((Inputs!$C$5:$C$160=$B7)*Inputs!$D$5:$D$160*(((Inputs!$G$5:$G$160="moeda")+(Inputs!$G$5:$G$160="acoes"))*Inputs!$B$1+((Inputs!$G$5:$G$160&lt;&gt;"moeda")*(Inputs!$G$5:$G$160&lt;&gt;"acoes")))*INDEX(Inputs!$K$5:$AJ$160,0,MATCH(AC$2,Inputs!$K$4:$AJ$4,0)))+SUMPRODUCT((Inputs!$E$5:$E$160=$B7)*Inputs!$F$5:$F$160*(((Inputs!$G$5:$G$160="moeda")+(Inputs!$G$5:$G$160="acoes"))*Inputs!$B$1+((Inputs!$G$5:$G$160&lt;&gt;"moeda")*(Inputs!$G$5:$G$160&lt;&gt;"acoes")))*INDEX(Inputs!$K$5:$AJ$160,0,MATCH(AC$2,Inputs!$K$4:$AJ$4,0)))))</f>
        <v>-233.12169578</v>
      </c>
      <c r="AD7" s="6">
        <f>IF(ISNA(MATCH(AD$2,Inputs!$K$4:$AJ$4,0)),NA(),IF(SUMPRODUCT((Inputs!$A$5:$A$160=$B7)*ISNUMBER(INDEX(Inputs!$K$5:$AJ$160,0,MATCH(AD$2,Inputs!$K$4:$AJ$4,0))))+SUMPRODUCT((Inputs!$C$5:$C$160=$B7)*ISNUMBER(INDEX(Inputs!$K$5:$AJ$160,0,MATCH(AD$2,Inputs!$K$4:$AJ$4,0))))+SUMPRODUCT((Inputs!$E$5:$E$160=$B7)*ISNUMBER(INDEX(Inputs!$K$5:$AJ$160,0,MATCH(AD$2,Inputs!$K$4:$AJ$4,0))))=0,NA(),SUMPRODUCT((Inputs!$A$5:$A$160=$B7)*Inputs!$B$5:$B$160*(((Inputs!$G$5:$G$160="moeda")+(Inputs!$G$5:$G$160="acoes"))*Inputs!$B$1+((Inputs!$G$5:$G$160&lt;&gt;"moeda")*(Inputs!$G$5:$G$160&lt;&gt;"acoes")))*INDEX(Inputs!$K$5:$AJ$160,0,MATCH(AD$2,Inputs!$K$4:$AJ$4,0)))+SUMPRODUCT((Inputs!$C$5:$C$160=$B7)*Inputs!$D$5:$D$160*(((Inputs!$G$5:$G$160="moeda")+(Inputs!$G$5:$G$160="acoes"))*Inputs!$B$1+((Inputs!$G$5:$G$160&lt;&gt;"moeda")*(Inputs!$G$5:$G$160&lt;&gt;"acoes")))*INDEX(Inputs!$K$5:$AJ$160,0,MATCH(AD$2,Inputs!$K$4:$AJ$4,0)))+SUMPRODUCT((Inputs!$E$5:$E$160=$B7)*Inputs!$F$5:$F$160*(((Inputs!$G$5:$G$160="moeda")+(Inputs!$G$5:$G$160="acoes"))*Inputs!$B$1+((Inputs!$G$5:$G$160&lt;&gt;"moeda")*(Inputs!$G$5:$G$160&lt;&gt;"acoes")))*INDEX(Inputs!$K$5:$AJ$160,0,MATCH(AD$2,Inputs!$K$4:$AJ$4,0)))))</f>
        <v>-215.806</v>
      </c>
      <c r="AE7" s="6" t="e">
        <f>IF(ISNA(MATCH(AE$2,Inputs!$K$4:$AJ$4,0)),NA(),IF(SUMPRODUCT((Inputs!$A$5:$A$160=$B7)*ISNUMBER(INDEX(Inputs!$K$5:$AJ$160,0,MATCH(AE$2,Inputs!$K$4:$AJ$4,0))))+SUMPRODUCT((Inputs!$C$5:$C$160=$B7)*ISNUMBER(INDEX(Inputs!$K$5:$AJ$160,0,MATCH(AE$2,Inputs!$K$4:$AJ$4,0))))+SUMPRODUCT((Inputs!$E$5:$E$160=$B7)*ISNUMBER(INDEX(Inputs!$K$5:$AJ$160,0,MATCH(AE$2,Inputs!$K$4:$AJ$4,0))))=0,NA(),SUMPRODUCT((Inputs!$A$5:$A$160=$B7)*Inputs!$B$5:$B$160*(((Inputs!$G$5:$G$160="moeda")+(Inputs!$G$5:$G$160="acoes"))*Inputs!$B$1+((Inputs!$G$5:$G$160&lt;&gt;"moeda")*(Inputs!$G$5:$G$160&lt;&gt;"acoes")))*INDEX(Inputs!$K$5:$AJ$160,0,MATCH(AE$2,Inputs!$K$4:$AJ$4,0)))+SUMPRODUCT((Inputs!$C$5:$C$160=$B7)*Inputs!$D$5:$D$160*(((Inputs!$G$5:$G$160="moeda")+(Inputs!$G$5:$G$160="acoes"))*Inputs!$B$1+((Inputs!$G$5:$G$160&lt;&gt;"moeda")*(Inputs!$G$5:$G$160&lt;&gt;"acoes")))*INDEX(Inputs!$K$5:$AJ$160,0,MATCH(AE$2,Inputs!$K$4:$AJ$4,0)))+SUMPRODUCT((Inputs!$E$5:$E$160=$B7)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7" s="6" t="e">
        <f>IF(ISNA(MATCH(AF$2,Inputs!$K$4:$AJ$4,0)),NA(),IF(SUMPRODUCT((Inputs!$A$5:$A$160=$B7)*ISNUMBER(INDEX(Inputs!$K$5:$AJ$160,0,MATCH(AF$2,Inputs!$K$4:$AJ$4,0))))+SUMPRODUCT((Inputs!$C$5:$C$160=$B7)*ISNUMBER(INDEX(Inputs!$K$5:$AJ$160,0,MATCH(AF$2,Inputs!$K$4:$AJ$4,0))))+SUMPRODUCT((Inputs!$E$5:$E$160=$B7)*ISNUMBER(INDEX(Inputs!$K$5:$AJ$160,0,MATCH(AF$2,Inputs!$K$4:$AJ$4,0))))=0,NA(),SUMPRODUCT((Inputs!$A$5:$A$160=$B7)*Inputs!$B$5:$B$160*(((Inputs!$G$5:$G$160="moeda")+(Inputs!$G$5:$G$160="acoes"))*Inputs!$B$1+((Inputs!$G$5:$G$160&lt;&gt;"moeda")*(Inputs!$G$5:$G$160&lt;&gt;"acoes")))*INDEX(Inputs!$K$5:$AJ$160,0,MATCH(AF$2,Inputs!$K$4:$AJ$4,0)))+SUMPRODUCT((Inputs!$C$5:$C$160=$B7)*Inputs!$D$5:$D$160*(((Inputs!$G$5:$G$160="moeda")+(Inputs!$G$5:$G$160="acoes"))*Inputs!$B$1+((Inputs!$G$5:$G$160&lt;&gt;"moeda")*(Inputs!$G$5:$G$160&lt;&gt;"acoes")))*INDEX(Inputs!$K$5:$AJ$160,0,MATCH(AF$2,Inputs!$K$4:$AJ$4,0)))+SUMPRODUCT((Inputs!$E$5:$E$160=$B7)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7" s="3" t="e">
        <f>SUM(AC7:AF7)</f>
        <v>#N/A</v>
      </c>
      <c r="AH7" s="6">
        <f>IF(ISNA(MATCH(AH$2,Inputs!$K$4:$AJ$4,0)),NA(),IF(SUMPRODUCT((Inputs!$A$5:$A$160=$B7)*ISNUMBER(INDEX(Inputs!$K$5:$AJ$160,0,MATCH(AH$2,Inputs!$K$4:$AJ$4,0))))+SUMPRODUCT((Inputs!$C$5:$C$160=$B7)*ISNUMBER(INDEX(Inputs!$K$5:$AJ$160,0,MATCH(AH$2,Inputs!$K$4:$AJ$4,0))))+SUMPRODUCT((Inputs!$E$5:$E$160=$B7)*ISNUMBER(INDEX(Inputs!$K$5:$AJ$160,0,MATCH(AH$2,Inputs!$K$4:$AJ$4,0))))=0,NA(),SUMPRODUCT((Inputs!$A$5:$A$160=$B7)*Inputs!$B$5:$B$160*(((Inputs!$G$5:$G$160="moeda")+(Inputs!$G$5:$G$160="acoes"))*Inputs!$B$1+((Inputs!$G$5:$G$160&lt;&gt;"moeda")*(Inputs!$G$5:$G$160&lt;&gt;"acoes")))*INDEX(Inputs!$K$5:$AJ$160,0,MATCH(AH$2,Inputs!$K$4:$AJ$4,0)))+SUMPRODUCT((Inputs!$C$5:$C$160=$B7)*Inputs!$D$5:$D$160*(((Inputs!$G$5:$G$160="moeda")+(Inputs!$G$5:$G$160="acoes"))*Inputs!$B$1+((Inputs!$G$5:$G$160&lt;&gt;"moeda")*(Inputs!$G$5:$G$160&lt;&gt;"acoes")))*INDEX(Inputs!$K$5:$AJ$160,0,MATCH(AH$2,Inputs!$K$4:$AJ$4,0)))+SUMPRODUCT((Inputs!$E$5:$E$160=$B7)*Inputs!$F$5:$F$160*(((Inputs!$G$5:$G$160="moeda")+(Inputs!$G$5:$G$160="acoes"))*Inputs!$B$1+((Inputs!$G$5:$G$160&lt;&gt;"moeda")*(Inputs!$G$5:$G$160&lt;&gt;"acoes")))*INDEX(Inputs!$K$5:$AJ$160,0,MATCH(AH$2,Inputs!$K$4:$AJ$4,0)))))</f>
        <v>-87.25438368</v>
      </c>
      <c r="AI7" s="6">
        <f>IF(ISNA(MATCH(AI$2,Inputs!$K$4:$AJ$4,0)),NA(),IF(SUMPRODUCT((Inputs!$A$5:$A$160=$B7)*ISNUMBER(INDEX(Inputs!$K$5:$AJ$160,0,MATCH(AI$2,Inputs!$K$4:$AJ$4,0))))+SUMPRODUCT((Inputs!$C$5:$C$160=$B7)*ISNUMBER(INDEX(Inputs!$K$5:$AJ$160,0,MATCH(AI$2,Inputs!$K$4:$AJ$4,0))))+SUMPRODUCT((Inputs!$E$5:$E$160=$B7)*ISNUMBER(INDEX(Inputs!$K$5:$AJ$160,0,MATCH(AI$2,Inputs!$K$4:$AJ$4,0))))=0,NA(),SUMPRODUCT((Inputs!$A$5:$A$160=$B7)*Inputs!$B$5:$B$160*(((Inputs!$G$5:$G$160="moeda")+(Inputs!$G$5:$G$160="acoes"))*Inputs!$B$1+((Inputs!$G$5:$G$160&lt;&gt;"moeda")*(Inputs!$G$5:$G$160&lt;&gt;"acoes")))*INDEX(Inputs!$K$5:$AJ$160,0,MATCH(AI$2,Inputs!$K$4:$AJ$4,0)))+SUMPRODUCT((Inputs!$C$5:$C$160=$B7)*Inputs!$D$5:$D$160*(((Inputs!$G$5:$G$160="moeda")+(Inputs!$G$5:$G$160="acoes"))*Inputs!$B$1+((Inputs!$G$5:$G$160&lt;&gt;"moeda")*(Inputs!$G$5:$G$160&lt;&gt;"acoes")))*INDEX(Inputs!$K$5:$AJ$160,0,MATCH(AI$2,Inputs!$K$4:$AJ$4,0)))+SUMPRODUCT((Inputs!$E$5:$E$160=$B7)*Inputs!$F$5:$F$160*(((Inputs!$G$5:$G$160="moeda")+(Inputs!$G$5:$G$160="acoes"))*Inputs!$B$1+((Inputs!$G$5:$G$160&lt;&gt;"moeda")*(Inputs!$G$5:$G$160&lt;&gt;"acoes")))*INDEX(Inputs!$K$5:$AJ$160,0,MATCH(AI$2,Inputs!$K$4:$AJ$4,0)))))</f>
        <v>-84.69920834</v>
      </c>
      <c r="AJ7" s="6">
        <f>IF(ISNA(MATCH(AJ$2,Inputs!$K$4:$AJ$4,0)),NA(),IF(SUMPRODUCT((Inputs!$A$5:$A$160=$B7)*ISNUMBER(INDEX(Inputs!$K$5:$AJ$160,0,MATCH(AJ$2,Inputs!$K$4:$AJ$4,0))))+SUMPRODUCT((Inputs!$C$5:$C$160=$B7)*ISNUMBER(INDEX(Inputs!$K$5:$AJ$160,0,MATCH(AJ$2,Inputs!$K$4:$AJ$4,0))))+SUMPRODUCT((Inputs!$E$5:$E$160=$B7)*ISNUMBER(INDEX(Inputs!$K$5:$AJ$160,0,MATCH(AJ$2,Inputs!$K$4:$AJ$4,0))))=0,NA(),SUMPRODUCT((Inputs!$A$5:$A$160=$B7)*Inputs!$B$5:$B$160*(((Inputs!$G$5:$G$160="moeda")+(Inputs!$G$5:$G$160="acoes"))*Inputs!$B$1+((Inputs!$G$5:$G$160&lt;&gt;"moeda")*(Inputs!$G$5:$G$160&lt;&gt;"acoes")))*INDEX(Inputs!$K$5:$AJ$160,0,MATCH(AJ$2,Inputs!$K$4:$AJ$4,0)))+SUMPRODUCT((Inputs!$C$5:$C$160=$B7)*Inputs!$D$5:$D$160*(((Inputs!$G$5:$G$160="moeda")+(Inputs!$G$5:$G$160="acoes"))*Inputs!$B$1+((Inputs!$G$5:$G$160&lt;&gt;"moeda")*(Inputs!$G$5:$G$160&lt;&gt;"acoes")))*INDEX(Inputs!$K$5:$AJ$160,0,MATCH(AJ$2,Inputs!$K$4:$AJ$4,0)))+SUMPRODUCT((Inputs!$E$5:$E$160=$B7)*Inputs!$F$5:$F$160*(((Inputs!$G$5:$G$160="moeda")+(Inputs!$G$5:$G$160="acoes"))*Inputs!$B$1+((Inputs!$G$5:$G$160&lt;&gt;"moeda")*(Inputs!$G$5:$G$160&lt;&gt;"acoes")))*INDEX(Inputs!$K$5:$AJ$160,0,MATCH(AJ$2,Inputs!$K$4:$AJ$4,0)))))</f>
        <v>-87.78008586</v>
      </c>
      <c r="AK7" s="6">
        <f>IF(ISNA(MATCH(AK$2,Inputs!$K$4:$AJ$4,0)),NA(),IF(SUMPRODUCT((Inputs!$A$5:$A$160=$B7)*ISNUMBER(INDEX(Inputs!$K$5:$AJ$160,0,MATCH(AK$2,Inputs!$K$4:$AJ$4,0))))+SUMPRODUCT((Inputs!$C$5:$C$160=$B7)*ISNUMBER(INDEX(Inputs!$K$5:$AJ$160,0,MATCH(AK$2,Inputs!$K$4:$AJ$4,0))))+SUMPRODUCT((Inputs!$E$5:$E$160=$B7)*ISNUMBER(INDEX(Inputs!$K$5:$AJ$160,0,MATCH(AK$2,Inputs!$K$4:$AJ$4,0))))=0,NA(),SUMPRODUCT((Inputs!$A$5:$A$160=$B7)*Inputs!$B$5:$B$160*(((Inputs!$G$5:$G$160="moeda")+(Inputs!$G$5:$G$160="acoes"))*Inputs!$B$1+((Inputs!$G$5:$G$160&lt;&gt;"moeda")*(Inputs!$G$5:$G$160&lt;&gt;"acoes")))*INDEX(Inputs!$K$5:$AJ$160,0,MATCH(AK$2,Inputs!$K$4:$AJ$4,0)))+SUMPRODUCT((Inputs!$C$5:$C$160=$B7)*Inputs!$D$5:$D$160*(((Inputs!$G$5:$G$160="moeda")+(Inputs!$G$5:$G$160="acoes"))*Inputs!$B$1+((Inputs!$G$5:$G$160&lt;&gt;"moeda")*(Inputs!$G$5:$G$160&lt;&gt;"acoes")))*INDEX(Inputs!$K$5:$AJ$160,0,MATCH(AK$2,Inputs!$K$4:$AJ$4,0)))+SUMPRODUCT((Inputs!$E$5:$E$160=$B7)*Inputs!$F$5:$F$160*(((Inputs!$G$5:$G$160="moeda")+(Inputs!$G$5:$G$160="acoes"))*Inputs!$B$1+((Inputs!$G$5:$G$160&lt;&gt;"moeda")*(Inputs!$G$5:$G$160&lt;&gt;"acoes")))*INDEX(Inputs!$K$5:$AJ$160,0,MATCH(AK$2,Inputs!$K$4:$AJ$4,0)))))</f>
        <v>-98.73427442</v>
      </c>
      <c r="AL7" s="3">
        <f>SUM(AH7:AK7)</f>
        <v>-358.4679523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$160=$B8)*ISNUMBER(INDEX(Inputs!$K$5:$AJ$160,0,MATCH(D$2,Inputs!$K$4:$AJ$4,0))))+SUMPRODUCT((Inputs!$C$5:$C$160=$B8)*ISNUMBER(INDEX(Inputs!$K$5:$AJ$160,0,MATCH(D$2,Inputs!$K$4:$AJ$4,0))))+SUMPRODUCT((Inputs!$E$5:$E$160=$B8)*ISNUMBER(INDEX(Inputs!$K$5:$AJ$160,0,MATCH(D$2,Inputs!$K$4:$AJ$4,0))))=0,NA(),SUMPRODUCT((Inputs!$A$5:$A$160=$B8)*Inputs!$B$5:$B$160*(((Inputs!$G$5:$G$160="moeda")+(Inputs!$G$5:$G$160="acoes"))*Inputs!$B$1+((Inputs!$G$5:$G$160&lt;&gt;"moeda")*(Inputs!$G$5:$G$160&lt;&gt;"acoes")))*INDEX(Inputs!$K$5:$AJ$160,0,MATCH(D$2,Inputs!$K$4:$AJ$4,0)))+SUMPRODUCT((Inputs!$C$5:$C$160=$B8)*Inputs!$D$5:$D$160*(((Inputs!$G$5:$G$160="moeda")+(Inputs!$G$5:$G$160="acoes"))*Inputs!$B$1+((Inputs!$G$5:$G$160&lt;&gt;"moeda")*(Inputs!$G$5:$G$160&lt;&gt;"acoes")))*INDEX(Inputs!$K$5:$AJ$160,0,MATCH(D$2,Inputs!$K$4:$AJ$4,0)))+SUMPRODUCT((Inputs!$E$5:$E$160=$B8)*Inputs!$F$5:$F$160*(((Inputs!$G$5:$G$160="moeda")+(Inputs!$G$5:$G$160="acoes"))*Inputs!$B$1+((Inputs!$G$5:$G$160&lt;&gt;"moeda")*(Inputs!$G$5:$G$160&lt;&gt;"acoes")))*INDEX(Inputs!$K$5:$AJ$160,0,MATCH(D$2,Inputs!$K$4:$AJ$4,0)))))</f>
        <v>-37.42879707</v>
      </c>
      <c r="E8" s="6">
        <f>IF(ISNA(MATCH(E$2,Inputs!$K$4:$AJ$4,0)),NA(),IF(SUMPRODUCT((Inputs!$A$5:$A$160=$B8)*ISNUMBER(INDEX(Inputs!$K$5:$AJ$160,0,MATCH(E$2,Inputs!$K$4:$AJ$4,0))))+SUMPRODUCT((Inputs!$C$5:$C$160=$B8)*ISNUMBER(INDEX(Inputs!$K$5:$AJ$160,0,MATCH(E$2,Inputs!$K$4:$AJ$4,0))))+SUMPRODUCT((Inputs!$E$5:$E$160=$B8)*ISNUMBER(INDEX(Inputs!$K$5:$AJ$160,0,MATCH(E$2,Inputs!$K$4:$AJ$4,0))))=0,NA(),SUMPRODUCT((Inputs!$A$5:$A$160=$B8)*Inputs!$B$5:$B$160*(((Inputs!$G$5:$G$160="moeda")+(Inputs!$G$5:$G$160="acoes"))*Inputs!$B$1+((Inputs!$G$5:$G$160&lt;&gt;"moeda")*(Inputs!$G$5:$G$160&lt;&gt;"acoes")))*INDEX(Inputs!$K$5:$AJ$160,0,MATCH(E$2,Inputs!$K$4:$AJ$4,0)))+SUMPRODUCT((Inputs!$C$5:$C$160=$B8)*Inputs!$D$5:$D$160*(((Inputs!$G$5:$G$160="moeda")+(Inputs!$G$5:$G$160="acoes"))*Inputs!$B$1+((Inputs!$G$5:$G$160&lt;&gt;"moeda")*(Inputs!$G$5:$G$160&lt;&gt;"acoes")))*INDEX(Inputs!$K$5:$AJ$160,0,MATCH(E$2,Inputs!$K$4:$AJ$4,0)))+SUMPRODUCT((Inputs!$E$5:$E$160=$B8)*Inputs!$F$5:$F$160*(((Inputs!$G$5:$G$160="moeda")+(Inputs!$G$5:$G$160="acoes"))*Inputs!$B$1+((Inputs!$G$5:$G$160&lt;&gt;"moeda")*(Inputs!$G$5:$G$160&lt;&gt;"acoes")))*INDEX(Inputs!$K$5:$AJ$160,0,MATCH(E$2,Inputs!$K$4:$AJ$4,0)))))</f>
        <v>-43.00856677</v>
      </c>
      <c r="F8" s="6">
        <f>IF(ISNA(MATCH(F$2,Inputs!$K$4:$AJ$4,0)),NA(),IF(SUMPRODUCT((Inputs!$A$5:$A$160=$B8)*ISNUMBER(INDEX(Inputs!$K$5:$AJ$160,0,MATCH(F$2,Inputs!$K$4:$AJ$4,0))))+SUMPRODUCT((Inputs!$C$5:$C$160=$B8)*ISNUMBER(INDEX(Inputs!$K$5:$AJ$160,0,MATCH(F$2,Inputs!$K$4:$AJ$4,0))))+SUMPRODUCT((Inputs!$E$5:$E$160=$B8)*ISNUMBER(INDEX(Inputs!$K$5:$AJ$160,0,MATCH(F$2,Inputs!$K$4:$AJ$4,0))))=0,NA(),SUMPRODUCT((Inputs!$A$5:$A$160=$B8)*Inputs!$B$5:$B$160*(((Inputs!$G$5:$G$160="moeda")+(Inputs!$G$5:$G$160="acoes"))*Inputs!$B$1+((Inputs!$G$5:$G$160&lt;&gt;"moeda")*(Inputs!$G$5:$G$160&lt;&gt;"acoes")))*INDEX(Inputs!$K$5:$AJ$160,0,MATCH(F$2,Inputs!$K$4:$AJ$4,0)))+SUMPRODUCT((Inputs!$C$5:$C$160=$B8)*Inputs!$D$5:$D$160*(((Inputs!$G$5:$G$160="moeda")+(Inputs!$G$5:$G$160="acoes"))*Inputs!$B$1+((Inputs!$G$5:$G$160&lt;&gt;"moeda")*(Inputs!$G$5:$G$160&lt;&gt;"acoes")))*INDEX(Inputs!$K$5:$AJ$160,0,MATCH(F$2,Inputs!$K$4:$AJ$4,0)))+SUMPRODUCT((Inputs!$E$5:$E$160=$B8)*Inputs!$F$5:$F$160*(((Inputs!$G$5:$G$160="moeda")+(Inputs!$G$5:$G$160="acoes"))*Inputs!$B$1+((Inputs!$G$5:$G$160&lt;&gt;"moeda")*(Inputs!$G$5:$G$160&lt;&gt;"acoes")))*INDEX(Inputs!$K$5:$AJ$160,0,MATCH(F$2,Inputs!$K$4:$AJ$4,0)))))</f>
        <v>-65.28109683</v>
      </c>
      <c r="G8" s="6">
        <f>IF(ISNA(MATCH(G$2,Inputs!$K$4:$AJ$4,0)),NA(),IF(SUMPRODUCT((Inputs!$A$5:$A$160=$B8)*ISNUMBER(INDEX(Inputs!$K$5:$AJ$160,0,MATCH(G$2,Inputs!$K$4:$AJ$4,0))))+SUMPRODUCT((Inputs!$C$5:$C$160=$B8)*ISNUMBER(INDEX(Inputs!$K$5:$AJ$160,0,MATCH(G$2,Inputs!$K$4:$AJ$4,0))))+SUMPRODUCT((Inputs!$E$5:$E$160=$B8)*ISNUMBER(INDEX(Inputs!$K$5:$AJ$160,0,MATCH(G$2,Inputs!$K$4:$AJ$4,0))))=0,NA(),SUMPRODUCT((Inputs!$A$5:$A$160=$B8)*Inputs!$B$5:$B$160*(((Inputs!$G$5:$G$160="moeda")+(Inputs!$G$5:$G$160="acoes"))*Inputs!$B$1+((Inputs!$G$5:$G$160&lt;&gt;"moeda")*(Inputs!$G$5:$G$160&lt;&gt;"acoes")))*INDEX(Inputs!$K$5:$AJ$160,0,MATCH(G$2,Inputs!$K$4:$AJ$4,0)))+SUMPRODUCT((Inputs!$C$5:$C$160=$B8)*Inputs!$D$5:$D$160*(((Inputs!$G$5:$G$160="moeda")+(Inputs!$G$5:$G$160="acoes"))*Inputs!$B$1+((Inputs!$G$5:$G$160&lt;&gt;"moeda")*(Inputs!$G$5:$G$160&lt;&gt;"acoes")))*INDEX(Inputs!$K$5:$AJ$160,0,MATCH(G$2,Inputs!$K$4:$AJ$4,0)))+SUMPRODUCT((Inputs!$E$5:$E$160=$B8)*Inputs!$F$5:$F$160*(((Inputs!$G$5:$G$160="moeda")+(Inputs!$G$5:$G$160="acoes"))*Inputs!$B$1+((Inputs!$G$5:$G$160&lt;&gt;"moeda")*(Inputs!$G$5:$G$160&lt;&gt;"acoes")))*INDEX(Inputs!$K$5:$AJ$160,0,MATCH(G$2,Inputs!$K$4:$AJ$4,0)))))</f>
        <v>-74.31202259</v>
      </c>
      <c r="H8" s="3">
        <f>SUM(D8:G8)</f>
        <v>-220.03048326</v>
      </c>
      <c r="I8" s="6">
        <f>IF(ISNA(MATCH(I$2,Inputs!$K$4:$AJ$4,0)),NA(),IF(SUMPRODUCT((Inputs!$A$5:$A$160=$B8)*ISNUMBER(INDEX(Inputs!$K$5:$AJ$160,0,MATCH(I$2,Inputs!$K$4:$AJ$4,0))))+SUMPRODUCT((Inputs!$C$5:$C$160=$B8)*ISNUMBER(INDEX(Inputs!$K$5:$AJ$160,0,MATCH(I$2,Inputs!$K$4:$AJ$4,0))))+SUMPRODUCT((Inputs!$E$5:$E$160=$B8)*ISNUMBER(INDEX(Inputs!$K$5:$AJ$160,0,MATCH(I$2,Inputs!$K$4:$AJ$4,0))))=0,NA(),SUMPRODUCT((Inputs!$A$5:$A$160=$B8)*Inputs!$B$5:$B$160*(((Inputs!$G$5:$G$160="moeda")+(Inputs!$G$5:$G$160="acoes"))*Inputs!$B$1+((Inputs!$G$5:$G$160&lt;&gt;"moeda")*(Inputs!$G$5:$G$160&lt;&gt;"acoes")))*INDEX(Inputs!$K$5:$AJ$160,0,MATCH(I$2,Inputs!$K$4:$AJ$4,0)))+SUMPRODUCT((Inputs!$C$5:$C$160=$B8)*Inputs!$D$5:$D$160*(((Inputs!$G$5:$G$160="moeda")+(Inputs!$G$5:$G$160="acoes"))*Inputs!$B$1+((Inputs!$G$5:$G$160&lt;&gt;"moeda")*(Inputs!$G$5:$G$160&lt;&gt;"acoes")))*INDEX(Inputs!$K$5:$AJ$160,0,MATCH(I$2,Inputs!$K$4:$AJ$4,0)))+SUMPRODUCT((Inputs!$E$5:$E$160=$B8)*Inputs!$F$5:$F$160*(((Inputs!$G$5:$G$160="moeda")+(Inputs!$G$5:$G$160="acoes"))*Inputs!$B$1+((Inputs!$G$5:$G$160&lt;&gt;"moeda")*(Inputs!$G$5:$G$160&lt;&gt;"acoes")))*INDEX(Inputs!$K$5:$AJ$160,0,MATCH(I$2,Inputs!$K$4:$AJ$4,0)))))</f>
        <v>-85.80839103</v>
      </c>
      <c r="J8" s="6">
        <f>IF(ISNA(MATCH(J$2,Inputs!$K$4:$AJ$4,0)),NA(),IF(SUMPRODUCT((Inputs!$A$5:$A$160=$B8)*ISNUMBER(INDEX(Inputs!$K$5:$AJ$160,0,MATCH(J$2,Inputs!$K$4:$AJ$4,0))))+SUMPRODUCT((Inputs!$C$5:$C$160=$B8)*ISNUMBER(INDEX(Inputs!$K$5:$AJ$160,0,MATCH(J$2,Inputs!$K$4:$AJ$4,0))))+SUMPRODUCT((Inputs!$E$5:$E$160=$B8)*ISNUMBER(INDEX(Inputs!$K$5:$AJ$160,0,MATCH(J$2,Inputs!$K$4:$AJ$4,0))))=0,NA(),SUMPRODUCT((Inputs!$A$5:$A$160=$B8)*Inputs!$B$5:$B$160*(((Inputs!$G$5:$G$160="moeda")+(Inputs!$G$5:$G$160="acoes"))*Inputs!$B$1+((Inputs!$G$5:$G$160&lt;&gt;"moeda")*(Inputs!$G$5:$G$160&lt;&gt;"acoes")))*INDEX(Inputs!$K$5:$AJ$160,0,MATCH(J$2,Inputs!$K$4:$AJ$4,0)))+SUMPRODUCT((Inputs!$C$5:$C$160=$B8)*Inputs!$D$5:$D$160*(((Inputs!$G$5:$G$160="moeda")+(Inputs!$G$5:$G$160="acoes"))*Inputs!$B$1+((Inputs!$G$5:$G$160&lt;&gt;"moeda")*(Inputs!$G$5:$G$160&lt;&gt;"acoes")))*INDEX(Inputs!$K$5:$AJ$160,0,MATCH(J$2,Inputs!$K$4:$AJ$4,0)))+SUMPRODUCT((Inputs!$E$5:$E$160=$B8)*Inputs!$F$5:$F$160*(((Inputs!$G$5:$G$160="moeda")+(Inputs!$G$5:$G$160="acoes"))*Inputs!$B$1+((Inputs!$G$5:$G$160&lt;&gt;"moeda")*(Inputs!$G$5:$G$160&lt;&gt;"acoes")))*INDEX(Inputs!$K$5:$AJ$160,0,MATCH(J$2,Inputs!$K$4:$AJ$4,0)))))</f>
        <v>-107.82061116</v>
      </c>
      <c r="K8" s="6">
        <f>IF(ISNA(MATCH(K$2,Inputs!$K$4:$AJ$4,0)),NA(),IF(SUMPRODUCT((Inputs!$A$5:$A$160=$B8)*ISNUMBER(INDEX(Inputs!$K$5:$AJ$160,0,MATCH(K$2,Inputs!$K$4:$AJ$4,0))))+SUMPRODUCT((Inputs!$C$5:$C$160=$B8)*ISNUMBER(INDEX(Inputs!$K$5:$AJ$160,0,MATCH(K$2,Inputs!$K$4:$AJ$4,0))))+SUMPRODUCT((Inputs!$E$5:$E$160=$B8)*ISNUMBER(INDEX(Inputs!$K$5:$AJ$160,0,MATCH(K$2,Inputs!$K$4:$AJ$4,0))))=0,NA(),SUMPRODUCT((Inputs!$A$5:$A$160=$B8)*Inputs!$B$5:$B$160*(((Inputs!$G$5:$G$160="moeda")+(Inputs!$G$5:$G$160="acoes"))*Inputs!$B$1+((Inputs!$G$5:$G$160&lt;&gt;"moeda")*(Inputs!$G$5:$G$160&lt;&gt;"acoes")))*INDEX(Inputs!$K$5:$AJ$160,0,MATCH(K$2,Inputs!$K$4:$AJ$4,0)))+SUMPRODUCT((Inputs!$C$5:$C$160=$B8)*Inputs!$D$5:$D$160*(((Inputs!$G$5:$G$160="moeda")+(Inputs!$G$5:$G$160="acoes"))*Inputs!$B$1+((Inputs!$G$5:$G$160&lt;&gt;"moeda")*(Inputs!$G$5:$G$160&lt;&gt;"acoes")))*INDEX(Inputs!$K$5:$AJ$160,0,MATCH(K$2,Inputs!$K$4:$AJ$4,0)))+SUMPRODUCT((Inputs!$E$5:$E$160=$B8)*Inputs!$F$5:$F$160*(((Inputs!$G$5:$G$160="moeda")+(Inputs!$G$5:$G$160="acoes"))*Inputs!$B$1+((Inputs!$G$5:$G$160&lt;&gt;"moeda")*(Inputs!$G$5:$G$160&lt;&gt;"acoes")))*INDEX(Inputs!$K$5:$AJ$160,0,MATCH(K$2,Inputs!$K$4:$AJ$4,0)))))</f>
        <v>-128.3653378</v>
      </c>
      <c r="L8" s="6">
        <f>IF(ISNA(MATCH(L$2,Inputs!$K$4:$AJ$4,0)),NA(),IF(SUMPRODUCT((Inputs!$A$5:$A$160=$B8)*ISNUMBER(INDEX(Inputs!$K$5:$AJ$160,0,MATCH(L$2,Inputs!$K$4:$AJ$4,0))))+SUMPRODUCT((Inputs!$C$5:$C$160=$B8)*ISNUMBER(INDEX(Inputs!$K$5:$AJ$160,0,MATCH(L$2,Inputs!$K$4:$AJ$4,0))))+SUMPRODUCT((Inputs!$E$5:$E$160=$B8)*ISNUMBER(INDEX(Inputs!$K$5:$AJ$160,0,MATCH(L$2,Inputs!$K$4:$AJ$4,0))))=0,NA(),SUMPRODUCT((Inputs!$A$5:$A$160=$B8)*Inputs!$B$5:$B$160*(((Inputs!$G$5:$G$160="moeda")+(Inputs!$G$5:$G$160="acoes"))*Inputs!$B$1+((Inputs!$G$5:$G$160&lt;&gt;"moeda")*(Inputs!$G$5:$G$160&lt;&gt;"acoes")))*INDEX(Inputs!$K$5:$AJ$160,0,MATCH(L$2,Inputs!$K$4:$AJ$4,0)))+SUMPRODUCT((Inputs!$C$5:$C$160=$B8)*Inputs!$D$5:$D$160*(((Inputs!$G$5:$G$160="moeda")+(Inputs!$G$5:$G$160="acoes"))*Inputs!$B$1+((Inputs!$G$5:$G$160&lt;&gt;"moeda")*(Inputs!$G$5:$G$160&lt;&gt;"acoes")))*INDEX(Inputs!$K$5:$AJ$160,0,MATCH(L$2,Inputs!$K$4:$AJ$4,0)))+SUMPRODUCT((Inputs!$E$5:$E$160=$B8)*Inputs!$F$5:$F$160*(((Inputs!$G$5:$G$160="moeda")+(Inputs!$G$5:$G$160="acoes"))*Inputs!$B$1+((Inputs!$G$5:$G$160&lt;&gt;"moeda")*(Inputs!$G$5:$G$160&lt;&gt;"acoes")))*INDEX(Inputs!$K$5:$AJ$160,0,MATCH(L$2,Inputs!$K$4:$AJ$4,0)))))</f>
        <v>-121.0444737</v>
      </c>
      <c r="M8" s="3">
        <f>SUM(I8:L8)</f>
        <v>-443.03881369</v>
      </c>
      <c r="N8" s="6">
        <f>IF(ISNA(MATCH(N$2,Inputs!$K$4:$AJ$4,0)),NA(),IF(SUMPRODUCT((Inputs!$A$5:$A$160=$B8)*ISNUMBER(INDEX(Inputs!$K$5:$AJ$160,0,MATCH(N$2,Inputs!$K$4:$AJ$4,0))))+SUMPRODUCT((Inputs!$C$5:$C$160=$B8)*ISNUMBER(INDEX(Inputs!$K$5:$AJ$160,0,MATCH(N$2,Inputs!$K$4:$AJ$4,0))))+SUMPRODUCT((Inputs!$E$5:$E$160=$B8)*ISNUMBER(INDEX(Inputs!$K$5:$AJ$160,0,MATCH(N$2,Inputs!$K$4:$AJ$4,0))))=0,NA(),SUMPRODUCT((Inputs!$A$5:$A$160=$B8)*Inputs!$B$5:$B$160*(((Inputs!$G$5:$G$160="moeda")+(Inputs!$G$5:$G$160="acoes"))*Inputs!$B$1+((Inputs!$G$5:$G$160&lt;&gt;"moeda")*(Inputs!$G$5:$G$160&lt;&gt;"acoes")))*INDEX(Inputs!$K$5:$AJ$160,0,MATCH(N$2,Inputs!$K$4:$AJ$4,0)))+SUMPRODUCT((Inputs!$C$5:$C$160=$B8)*Inputs!$D$5:$D$160*(((Inputs!$G$5:$G$160="moeda")+(Inputs!$G$5:$G$160="acoes"))*Inputs!$B$1+((Inputs!$G$5:$G$160&lt;&gt;"moeda")*(Inputs!$G$5:$G$160&lt;&gt;"acoes")))*INDEX(Inputs!$K$5:$AJ$160,0,MATCH(N$2,Inputs!$K$4:$AJ$4,0)))+SUMPRODUCT((Inputs!$E$5:$E$160=$B8)*Inputs!$F$5:$F$160*(((Inputs!$G$5:$G$160="moeda")+(Inputs!$G$5:$G$160="acoes"))*Inputs!$B$1+((Inputs!$G$5:$G$160&lt;&gt;"moeda")*(Inputs!$G$5:$G$160&lt;&gt;"acoes")))*INDEX(Inputs!$K$5:$AJ$160,0,MATCH(N$2,Inputs!$K$4:$AJ$4,0)))))</f>
        <v>-134.54669035</v>
      </c>
      <c r="O8" s="6">
        <f>IF(ISNA(MATCH(O$2,Inputs!$K$4:$AJ$4,0)),NA(),IF(SUMPRODUCT((Inputs!$A$5:$A$160=$B8)*ISNUMBER(INDEX(Inputs!$K$5:$AJ$160,0,MATCH(O$2,Inputs!$K$4:$AJ$4,0))))+SUMPRODUCT((Inputs!$C$5:$C$160=$B8)*ISNUMBER(INDEX(Inputs!$K$5:$AJ$160,0,MATCH(O$2,Inputs!$K$4:$AJ$4,0))))+SUMPRODUCT((Inputs!$E$5:$E$160=$B8)*ISNUMBER(INDEX(Inputs!$K$5:$AJ$160,0,MATCH(O$2,Inputs!$K$4:$AJ$4,0))))=0,NA(),SUMPRODUCT((Inputs!$A$5:$A$160=$B8)*Inputs!$B$5:$B$160*(((Inputs!$G$5:$G$160="moeda")+(Inputs!$G$5:$G$160="acoes"))*Inputs!$B$1+((Inputs!$G$5:$G$160&lt;&gt;"moeda")*(Inputs!$G$5:$G$160&lt;&gt;"acoes")))*INDEX(Inputs!$K$5:$AJ$160,0,MATCH(O$2,Inputs!$K$4:$AJ$4,0)))+SUMPRODUCT((Inputs!$C$5:$C$160=$B8)*Inputs!$D$5:$D$160*(((Inputs!$G$5:$G$160="moeda")+(Inputs!$G$5:$G$160="acoes"))*Inputs!$B$1+((Inputs!$G$5:$G$160&lt;&gt;"moeda")*(Inputs!$G$5:$G$160&lt;&gt;"acoes")))*INDEX(Inputs!$K$5:$AJ$160,0,MATCH(O$2,Inputs!$K$4:$AJ$4,0)))+SUMPRODUCT((Inputs!$E$5:$E$160=$B8)*Inputs!$F$5:$F$160*(((Inputs!$G$5:$G$160="moeda")+(Inputs!$G$5:$G$160="acoes"))*Inputs!$B$1+((Inputs!$G$5:$G$160&lt;&gt;"moeda")*(Inputs!$G$5:$G$160&lt;&gt;"acoes")))*INDEX(Inputs!$K$5:$AJ$160,0,MATCH(O$2,Inputs!$K$4:$AJ$4,0)))))</f>
        <v>-158.388627</v>
      </c>
      <c r="P8" s="6">
        <f>IF(ISNA(MATCH(P$2,Inputs!$K$4:$AJ$4,0)),NA(),IF(SUMPRODUCT((Inputs!$A$5:$A$160=$B8)*ISNUMBER(INDEX(Inputs!$K$5:$AJ$160,0,MATCH(P$2,Inputs!$K$4:$AJ$4,0))))+SUMPRODUCT((Inputs!$C$5:$C$160=$B8)*ISNUMBER(INDEX(Inputs!$K$5:$AJ$160,0,MATCH(P$2,Inputs!$K$4:$AJ$4,0))))+SUMPRODUCT((Inputs!$E$5:$E$160=$B8)*ISNUMBER(INDEX(Inputs!$K$5:$AJ$160,0,MATCH(P$2,Inputs!$K$4:$AJ$4,0))))=0,NA(),SUMPRODUCT((Inputs!$A$5:$A$160=$B8)*Inputs!$B$5:$B$160*(((Inputs!$G$5:$G$160="moeda")+(Inputs!$G$5:$G$160="acoes"))*Inputs!$B$1+((Inputs!$G$5:$G$160&lt;&gt;"moeda")*(Inputs!$G$5:$G$160&lt;&gt;"acoes")))*INDEX(Inputs!$K$5:$AJ$160,0,MATCH(P$2,Inputs!$K$4:$AJ$4,0)))+SUMPRODUCT((Inputs!$C$5:$C$160=$B8)*Inputs!$D$5:$D$160*(((Inputs!$G$5:$G$160="moeda")+(Inputs!$G$5:$G$160="acoes"))*Inputs!$B$1+((Inputs!$G$5:$G$160&lt;&gt;"moeda")*(Inputs!$G$5:$G$160&lt;&gt;"acoes")))*INDEX(Inputs!$K$5:$AJ$160,0,MATCH(P$2,Inputs!$K$4:$AJ$4,0)))+SUMPRODUCT((Inputs!$E$5:$E$160=$B8)*Inputs!$F$5:$F$160*(((Inputs!$G$5:$G$160="moeda")+(Inputs!$G$5:$G$160="acoes"))*Inputs!$B$1+((Inputs!$G$5:$G$160&lt;&gt;"moeda")*(Inputs!$G$5:$G$160&lt;&gt;"acoes")))*INDEX(Inputs!$K$5:$AJ$160,0,MATCH(P$2,Inputs!$K$4:$AJ$4,0)))))</f>
        <v>-163.758</v>
      </c>
      <c r="Q8" s="6">
        <f>IF(ISNA(MATCH(Q$2,Inputs!$K$4:$AJ$4,0)),NA(),IF(SUMPRODUCT((Inputs!$A$5:$A$160=$B8)*ISNUMBER(INDEX(Inputs!$K$5:$AJ$160,0,MATCH(Q$2,Inputs!$K$4:$AJ$4,0))))+SUMPRODUCT((Inputs!$C$5:$C$160=$B8)*ISNUMBER(INDEX(Inputs!$K$5:$AJ$160,0,MATCH(Q$2,Inputs!$K$4:$AJ$4,0))))+SUMPRODUCT((Inputs!$E$5:$E$160=$B8)*ISNUMBER(INDEX(Inputs!$K$5:$AJ$160,0,MATCH(Q$2,Inputs!$K$4:$AJ$4,0))))=0,NA(),SUMPRODUCT((Inputs!$A$5:$A$160=$B8)*Inputs!$B$5:$B$160*(((Inputs!$G$5:$G$160="moeda")+(Inputs!$G$5:$G$160="acoes"))*Inputs!$B$1+((Inputs!$G$5:$G$160&lt;&gt;"moeda")*(Inputs!$G$5:$G$160&lt;&gt;"acoes")))*INDEX(Inputs!$K$5:$AJ$160,0,MATCH(Q$2,Inputs!$K$4:$AJ$4,0)))+SUMPRODUCT((Inputs!$C$5:$C$160=$B8)*Inputs!$D$5:$D$160*(((Inputs!$G$5:$G$160="moeda")+(Inputs!$G$5:$G$160="acoes"))*Inputs!$B$1+((Inputs!$G$5:$G$160&lt;&gt;"moeda")*(Inputs!$G$5:$G$160&lt;&gt;"acoes")))*INDEX(Inputs!$K$5:$AJ$160,0,MATCH(Q$2,Inputs!$K$4:$AJ$4,0)))+SUMPRODUCT((Inputs!$E$5:$E$160=$B8)*Inputs!$F$5:$F$160*(((Inputs!$G$5:$G$160="moeda")+(Inputs!$G$5:$G$160="acoes"))*Inputs!$B$1+((Inputs!$G$5:$G$160&lt;&gt;"moeda")*(Inputs!$G$5:$G$160&lt;&gt;"acoes")))*INDEX(Inputs!$K$5:$AJ$160,0,MATCH(Q$2,Inputs!$K$4:$AJ$4,0)))))</f>
        <v>-148.22368265</v>
      </c>
      <c r="R8" s="3">
        <f>SUM(N8:Q8)</f>
        <v>-604.917</v>
      </c>
      <c r="S8" s="6">
        <f>IF(ISNA(MATCH(S$2,Inputs!$K$4:$AJ$4,0)),NA(),IF(SUMPRODUCT((Inputs!$A$5:$A$160=$B8)*ISNUMBER(INDEX(Inputs!$K$5:$AJ$160,0,MATCH(S$2,Inputs!$K$4:$AJ$4,0))))+SUMPRODUCT((Inputs!$C$5:$C$160=$B8)*ISNUMBER(INDEX(Inputs!$K$5:$AJ$160,0,MATCH(S$2,Inputs!$K$4:$AJ$4,0))))+SUMPRODUCT((Inputs!$E$5:$E$160=$B8)*ISNUMBER(INDEX(Inputs!$K$5:$AJ$160,0,MATCH(S$2,Inputs!$K$4:$AJ$4,0))))=0,NA(),SUMPRODUCT((Inputs!$A$5:$A$160=$B8)*Inputs!$B$5:$B$160*(((Inputs!$G$5:$G$160="moeda")+(Inputs!$G$5:$G$160="acoes"))*Inputs!$B$1+((Inputs!$G$5:$G$160&lt;&gt;"moeda")*(Inputs!$G$5:$G$160&lt;&gt;"acoes")))*INDEX(Inputs!$K$5:$AJ$160,0,MATCH(S$2,Inputs!$K$4:$AJ$4,0)))+SUMPRODUCT((Inputs!$C$5:$C$160=$B8)*Inputs!$D$5:$D$160*(((Inputs!$G$5:$G$160="moeda")+(Inputs!$G$5:$G$160="acoes"))*Inputs!$B$1+((Inputs!$G$5:$G$160&lt;&gt;"moeda")*(Inputs!$G$5:$G$160&lt;&gt;"acoes")))*INDEX(Inputs!$K$5:$AJ$160,0,MATCH(S$2,Inputs!$K$4:$AJ$4,0)))+SUMPRODUCT((Inputs!$E$5:$E$160=$B8)*Inputs!$F$5:$F$160*(((Inputs!$G$5:$G$160="moeda")+(Inputs!$G$5:$G$160="acoes"))*Inputs!$B$1+((Inputs!$G$5:$G$160&lt;&gt;"moeda")*(Inputs!$G$5:$G$160&lt;&gt;"acoes")))*INDEX(Inputs!$K$5:$AJ$160,0,MATCH(S$2,Inputs!$K$4:$AJ$4,0)))))</f>
        <v>-146.74136103</v>
      </c>
      <c r="T8" s="6">
        <f>IF(ISNA(MATCH(T$2,Inputs!$K$4:$AJ$4,0)),NA(),IF(SUMPRODUCT((Inputs!$A$5:$A$160=$B8)*ISNUMBER(INDEX(Inputs!$K$5:$AJ$160,0,MATCH(T$2,Inputs!$K$4:$AJ$4,0))))+SUMPRODUCT((Inputs!$C$5:$C$160=$B8)*ISNUMBER(INDEX(Inputs!$K$5:$AJ$160,0,MATCH(T$2,Inputs!$K$4:$AJ$4,0))))+SUMPRODUCT((Inputs!$E$5:$E$160=$B8)*ISNUMBER(INDEX(Inputs!$K$5:$AJ$160,0,MATCH(T$2,Inputs!$K$4:$AJ$4,0))))=0,NA(),SUMPRODUCT((Inputs!$A$5:$A$160=$B8)*Inputs!$B$5:$B$160*(((Inputs!$G$5:$G$160="moeda")+(Inputs!$G$5:$G$160="acoes"))*Inputs!$B$1+((Inputs!$G$5:$G$160&lt;&gt;"moeda")*(Inputs!$G$5:$G$160&lt;&gt;"acoes")))*INDEX(Inputs!$K$5:$AJ$160,0,MATCH(T$2,Inputs!$K$4:$AJ$4,0)))+SUMPRODUCT((Inputs!$C$5:$C$160=$B8)*Inputs!$D$5:$D$160*(((Inputs!$G$5:$G$160="moeda")+(Inputs!$G$5:$G$160="acoes"))*Inputs!$B$1+((Inputs!$G$5:$G$160&lt;&gt;"moeda")*(Inputs!$G$5:$G$160&lt;&gt;"acoes")))*INDEX(Inputs!$K$5:$AJ$160,0,MATCH(T$2,Inputs!$K$4:$AJ$4,0)))+SUMPRODUCT((Inputs!$E$5:$E$160=$B8)*Inputs!$F$5:$F$160*(((Inputs!$G$5:$G$160="moeda")+(Inputs!$G$5:$G$160="acoes"))*Inputs!$B$1+((Inputs!$G$5:$G$160&lt;&gt;"moeda")*(Inputs!$G$5:$G$160&lt;&gt;"acoes")))*INDEX(Inputs!$K$5:$AJ$160,0,MATCH(T$2,Inputs!$K$4:$AJ$4,0)))))</f>
        <v>-140.543</v>
      </c>
      <c r="U8" s="6">
        <f>IF(ISNA(MATCH(U$2,Inputs!$K$4:$AJ$4,0)),NA(),IF(SUMPRODUCT((Inputs!$A$5:$A$160=$B8)*ISNUMBER(INDEX(Inputs!$K$5:$AJ$160,0,MATCH(U$2,Inputs!$K$4:$AJ$4,0))))+SUMPRODUCT((Inputs!$C$5:$C$160=$B8)*ISNUMBER(INDEX(Inputs!$K$5:$AJ$160,0,MATCH(U$2,Inputs!$K$4:$AJ$4,0))))+SUMPRODUCT((Inputs!$E$5:$E$160=$B8)*ISNUMBER(INDEX(Inputs!$K$5:$AJ$160,0,MATCH(U$2,Inputs!$K$4:$AJ$4,0))))=0,NA(),SUMPRODUCT((Inputs!$A$5:$A$160=$B8)*Inputs!$B$5:$B$160*(((Inputs!$G$5:$G$160="moeda")+(Inputs!$G$5:$G$160="acoes"))*Inputs!$B$1+((Inputs!$G$5:$G$160&lt;&gt;"moeda")*(Inputs!$G$5:$G$160&lt;&gt;"acoes")))*INDEX(Inputs!$K$5:$AJ$160,0,MATCH(U$2,Inputs!$K$4:$AJ$4,0)))+SUMPRODUCT((Inputs!$C$5:$C$160=$B8)*Inputs!$D$5:$D$160*(((Inputs!$G$5:$G$160="moeda")+(Inputs!$G$5:$G$160="acoes"))*Inputs!$B$1+((Inputs!$G$5:$G$160&lt;&gt;"moeda")*(Inputs!$G$5:$G$160&lt;&gt;"acoes")))*INDEX(Inputs!$K$5:$AJ$160,0,MATCH(U$2,Inputs!$K$4:$AJ$4,0)))+SUMPRODUCT((Inputs!$E$5:$E$160=$B8)*Inputs!$F$5:$F$160*(((Inputs!$G$5:$G$160="moeda")+(Inputs!$G$5:$G$160="acoes"))*Inputs!$B$1+((Inputs!$G$5:$G$160&lt;&gt;"moeda")*(Inputs!$G$5:$G$160&lt;&gt;"acoes")))*INDEX(Inputs!$K$5:$AJ$160,0,MATCH(U$2,Inputs!$K$4:$AJ$4,0)))))</f>
        <v>-158.257</v>
      </c>
      <c r="V8" s="6">
        <f>IF(ISNA(MATCH(V$2,Inputs!$K$4:$AJ$4,0)),NA(),IF(SUMPRODUCT((Inputs!$A$5:$A$160=$B8)*ISNUMBER(INDEX(Inputs!$K$5:$AJ$160,0,MATCH(V$2,Inputs!$K$4:$AJ$4,0))))+SUMPRODUCT((Inputs!$C$5:$C$160=$B8)*ISNUMBER(INDEX(Inputs!$K$5:$AJ$160,0,MATCH(V$2,Inputs!$K$4:$AJ$4,0))))+SUMPRODUCT((Inputs!$E$5:$E$160=$B8)*ISNUMBER(INDEX(Inputs!$K$5:$AJ$160,0,MATCH(V$2,Inputs!$K$4:$AJ$4,0))))=0,NA(),SUMPRODUCT((Inputs!$A$5:$A$160=$B8)*Inputs!$B$5:$B$160*(((Inputs!$G$5:$G$160="moeda")+(Inputs!$G$5:$G$160="acoes"))*Inputs!$B$1+((Inputs!$G$5:$G$160&lt;&gt;"moeda")*(Inputs!$G$5:$G$160&lt;&gt;"acoes")))*INDEX(Inputs!$K$5:$AJ$160,0,MATCH(V$2,Inputs!$K$4:$AJ$4,0)))+SUMPRODUCT((Inputs!$C$5:$C$160=$B8)*Inputs!$D$5:$D$160*(((Inputs!$G$5:$G$160="moeda")+(Inputs!$G$5:$G$160="acoes"))*Inputs!$B$1+((Inputs!$G$5:$G$160&lt;&gt;"moeda")*(Inputs!$G$5:$G$160&lt;&gt;"acoes")))*INDEX(Inputs!$K$5:$AJ$160,0,MATCH(V$2,Inputs!$K$4:$AJ$4,0)))+SUMPRODUCT((Inputs!$E$5:$E$160=$B8)*Inputs!$F$5:$F$160*(((Inputs!$G$5:$G$160="moeda")+(Inputs!$G$5:$G$160="acoes"))*Inputs!$B$1+((Inputs!$G$5:$G$160&lt;&gt;"moeda")*(Inputs!$G$5:$G$160&lt;&gt;"acoes")))*INDEX(Inputs!$K$5:$AJ$160,0,MATCH(V$2,Inputs!$K$4:$AJ$4,0)))))</f>
        <v>-171.25363897</v>
      </c>
      <c r="W8" s="3">
        <f>SUM(S8:V8)</f>
        <v>-616.795</v>
      </c>
      <c r="X8" s="6">
        <f>IF(ISNA(MATCH(X$2,Inputs!$K$4:$AJ$4,0)),NA(),IF(SUMPRODUCT((Inputs!$A$5:$A$160=$B8)*ISNUMBER(INDEX(Inputs!$K$5:$AJ$160,0,MATCH(X$2,Inputs!$K$4:$AJ$4,0))))+SUMPRODUCT((Inputs!$C$5:$C$160=$B8)*ISNUMBER(INDEX(Inputs!$K$5:$AJ$160,0,MATCH(X$2,Inputs!$K$4:$AJ$4,0))))+SUMPRODUCT((Inputs!$E$5:$E$160=$B8)*ISNUMBER(INDEX(Inputs!$K$5:$AJ$160,0,MATCH(X$2,Inputs!$K$4:$AJ$4,0))))=0,NA(),SUMPRODUCT((Inputs!$A$5:$A$160=$B8)*Inputs!$B$5:$B$160*(((Inputs!$G$5:$G$160="moeda")+(Inputs!$G$5:$G$160="acoes"))*Inputs!$B$1+((Inputs!$G$5:$G$160&lt;&gt;"moeda")*(Inputs!$G$5:$G$160&lt;&gt;"acoes")))*INDEX(Inputs!$K$5:$AJ$160,0,MATCH(X$2,Inputs!$K$4:$AJ$4,0)))+SUMPRODUCT((Inputs!$C$5:$C$160=$B8)*Inputs!$D$5:$D$160*(((Inputs!$G$5:$G$160="moeda")+(Inputs!$G$5:$G$160="acoes"))*Inputs!$B$1+((Inputs!$G$5:$G$160&lt;&gt;"moeda")*(Inputs!$G$5:$G$160&lt;&gt;"acoes")))*INDEX(Inputs!$K$5:$AJ$160,0,MATCH(X$2,Inputs!$K$4:$AJ$4,0)))+SUMPRODUCT((Inputs!$E$5:$E$160=$B8)*Inputs!$F$5:$F$160*(((Inputs!$G$5:$G$160="moeda")+(Inputs!$G$5:$G$160="acoes"))*Inputs!$B$1+((Inputs!$G$5:$G$160&lt;&gt;"moeda")*(Inputs!$G$5:$G$160&lt;&gt;"acoes")))*INDEX(Inputs!$K$5:$AJ$160,0,MATCH(X$2,Inputs!$K$4:$AJ$4,0)))))</f>
        <v>-182.470204</v>
      </c>
      <c r="Y8" s="6">
        <f>IF(ISNA(MATCH(Y$2,Inputs!$K$4:$AJ$4,0)),NA(),IF(SUMPRODUCT((Inputs!$A$5:$A$160=$B8)*ISNUMBER(INDEX(Inputs!$K$5:$AJ$160,0,MATCH(Y$2,Inputs!$K$4:$AJ$4,0))))+SUMPRODUCT((Inputs!$C$5:$C$160=$B8)*ISNUMBER(INDEX(Inputs!$K$5:$AJ$160,0,MATCH(Y$2,Inputs!$K$4:$AJ$4,0))))+SUMPRODUCT((Inputs!$E$5:$E$160=$B8)*ISNUMBER(INDEX(Inputs!$K$5:$AJ$160,0,MATCH(Y$2,Inputs!$K$4:$AJ$4,0))))=0,NA(),SUMPRODUCT((Inputs!$A$5:$A$160=$B8)*Inputs!$B$5:$B$160*(((Inputs!$G$5:$G$160="moeda")+(Inputs!$G$5:$G$160="acoes"))*Inputs!$B$1+((Inputs!$G$5:$G$160&lt;&gt;"moeda")*(Inputs!$G$5:$G$160&lt;&gt;"acoes")))*INDEX(Inputs!$K$5:$AJ$160,0,MATCH(Y$2,Inputs!$K$4:$AJ$4,0)))+SUMPRODUCT((Inputs!$C$5:$C$160=$B8)*Inputs!$D$5:$D$160*(((Inputs!$G$5:$G$160="moeda")+(Inputs!$G$5:$G$160="acoes"))*Inputs!$B$1+((Inputs!$G$5:$G$160&lt;&gt;"moeda")*(Inputs!$G$5:$G$160&lt;&gt;"acoes")))*INDEX(Inputs!$K$5:$AJ$160,0,MATCH(Y$2,Inputs!$K$4:$AJ$4,0)))+SUMPRODUCT((Inputs!$E$5:$E$160=$B8)*Inputs!$F$5:$F$160*(((Inputs!$G$5:$G$160="moeda")+(Inputs!$G$5:$G$160="acoes"))*Inputs!$B$1+((Inputs!$G$5:$G$160&lt;&gt;"moeda")*(Inputs!$G$5:$G$160&lt;&gt;"acoes")))*INDEX(Inputs!$K$5:$AJ$160,0,MATCH(Y$2,Inputs!$K$4:$AJ$4,0)))))</f>
        <v>-198.558</v>
      </c>
      <c r="Z8" s="6">
        <f>IF(ISNA(MATCH(Z$2,Inputs!$K$4:$AJ$4,0)),NA(),IF(SUMPRODUCT((Inputs!$A$5:$A$160=$B8)*ISNUMBER(INDEX(Inputs!$K$5:$AJ$160,0,MATCH(Z$2,Inputs!$K$4:$AJ$4,0))))+SUMPRODUCT((Inputs!$C$5:$C$160=$B8)*ISNUMBER(INDEX(Inputs!$K$5:$AJ$160,0,MATCH(Z$2,Inputs!$K$4:$AJ$4,0))))+SUMPRODUCT((Inputs!$E$5:$E$160=$B8)*ISNUMBER(INDEX(Inputs!$K$5:$AJ$160,0,MATCH(Z$2,Inputs!$K$4:$AJ$4,0))))=0,NA(),SUMPRODUCT((Inputs!$A$5:$A$160=$B8)*Inputs!$B$5:$B$160*(((Inputs!$G$5:$G$160="moeda")+(Inputs!$G$5:$G$160="acoes"))*Inputs!$B$1+((Inputs!$G$5:$G$160&lt;&gt;"moeda")*(Inputs!$G$5:$G$160&lt;&gt;"acoes")))*INDEX(Inputs!$K$5:$AJ$160,0,MATCH(Z$2,Inputs!$K$4:$AJ$4,0)))+SUMPRODUCT((Inputs!$C$5:$C$160=$B8)*Inputs!$D$5:$D$160*(((Inputs!$G$5:$G$160="moeda")+(Inputs!$G$5:$G$160="acoes"))*Inputs!$B$1+((Inputs!$G$5:$G$160&lt;&gt;"moeda")*(Inputs!$G$5:$G$160&lt;&gt;"acoes")))*INDEX(Inputs!$K$5:$AJ$160,0,MATCH(Z$2,Inputs!$K$4:$AJ$4,0)))+SUMPRODUCT((Inputs!$E$5:$E$160=$B8)*Inputs!$F$5:$F$160*(((Inputs!$G$5:$G$160="moeda")+(Inputs!$G$5:$G$160="acoes"))*Inputs!$B$1+((Inputs!$G$5:$G$160&lt;&gt;"moeda")*(Inputs!$G$5:$G$160&lt;&gt;"acoes")))*INDEX(Inputs!$K$5:$AJ$160,0,MATCH(Z$2,Inputs!$K$4:$AJ$4,0)))))</f>
        <v>-220.2903303</v>
      </c>
      <c r="AA8" s="6">
        <f>IF(ISNA(MATCH(AA$2,Inputs!$K$4:$AJ$4,0)),NA(),IF(SUMPRODUCT((Inputs!$A$5:$A$160=$B8)*ISNUMBER(INDEX(Inputs!$K$5:$AJ$160,0,MATCH(AA$2,Inputs!$K$4:$AJ$4,0))))+SUMPRODUCT((Inputs!$C$5:$C$160=$B8)*ISNUMBER(INDEX(Inputs!$K$5:$AJ$160,0,MATCH(AA$2,Inputs!$K$4:$AJ$4,0))))+SUMPRODUCT((Inputs!$E$5:$E$160=$B8)*ISNUMBER(INDEX(Inputs!$K$5:$AJ$160,0,MATCH(AA$2,Inputs!$K$4:$AJ$4,0))))=0,NA(),SUMPRODUCT((Inputs!$A$5:$A$160=$B8)*Inputs!$B$5:$B$160*(((Inputs!$G$5:$G$160="moeda")+(Inputs!$G$5:$G$160="acoes"))*Inputs!$B$1+((Inputs!$G$5:$G$160&lt;&gt;"moeda")*(Inputs!$G$5:$G$160&lt;&gt;"acoes")))*INDEX(Inputs!$K$5:$AJ$160,0,MATCH(AA$2,Inputs!$K$4:$AJ$4,0)))+SUMPRODUCT((Inputs!$C$5:$C$160=$B8)*Inputs!$D$5:$D$160*(((Inputs!$G$5:$G$160="moeda")+(Inputs!$G$5:$G$160="acoes"))*Inputs!$B$1+((Inputs!$G$5:$G$160&lt;&gt;"moeda")*(Inputs!$G$5:$G$160&lt;&gt;"acoes")))*INDEX(Inputs!$K$5:$AJ$160,0,MATCH(AA$2,Inputs!$K$4:$AJ$4,0)))+SUMPRODUCT((Inputs!$E$5:$E$160=$B8)*Inputs!$F$5:$F$160*(((Inputs!$G$5:$G$160="moeda")+(Inputs!$G$5:$G$160="acoes"))*Inputs!$B$1+((Inputs!$G$5:$G$160&lt;&gt;"moeda")*(Inputs!$G$5:$G$160&lt;&gt;"acoes")))*INDEX(Inputs!$K$5:$AJ$160,0,MATCH(AA$2,Inputs!$K$4:$AJ$4,0)))))</f>
        <v>-202.05934008</v>
      </c>
      <c r="AB8" s="3">
        <f>SUM(X8:AA8)</f>
        <v>-803.37787438</v>
      </c>
      <c r="AC8" s="6">
        <f>IF(ISNA(MATCH(AC$2,Inputs!$K$4:$AJ$4,0)),NA(),IF(SUMPRODUCT((Inputs!$A$5:$A$160=$B8)*ISNUMBER(INDEX(Inputs!$K$5:$AJ$160,0,MATCH(AC$2,Inputs!$K$4:$AJ$4,0))))+SUMPRODUCT((Inputs!$C$5:$C$160=$B8)*ISNUMBER(INDEX(Inputs!$K$5:$AJ$160,0,MATCH(AC$2,Inputs!$K$4:$AJ$4,0))))+SUMPRODUCT((Inputs!$E$5:$E$160=$B8)*ISNUMBER(INDEX(Inputs!$K$5:$AJ$160,0,MATCH(AC$2,Inputs!$K$4:$AJ$4,0))))=0,NA(),SUMPRODUCT((Inputs!$A$5:$A$160=$B8)*Inputs!$B$5:$B$160*(((Inputs!$G$5:$G$160="moeda")+(Inputs!$G$5:$G$160="acoes"))*Inputs!$B$1+((Inputs!$G$5:$G$160&lt;&gt;"moeda")*(Inputs!$G$5:$G$160&lt;&gt;"acoes")))*INDEX(Inputs!$K$5:$AJ$160,0,MATCH(AC$2,Inputs!$K$4:$AJ$4,0)))+SUMPRODUCT((Inputs!$C$5:$C$160=$B8)*Inputs!$D$5:$D$160*(((Inputs!$G$5:$G$160="moeda")+(Inputs!$G$5:$G$160="acoes"))*Inputs!$B$1+((Inputs!$G$5:$G$160&lt;&gt;"moeda")*(Inputs!$G$5:$G$160&lt;&gt;"acoes")))*INDEX(Inputs!$K$5:$AJ$160,0,MATCH(AC$2,Inputs!$K$4:$AJ$4,0)))+SUMPRODUCT((Inputs!$E$5:$E$160=$B8)*Inputs!$F$5:$F$160*(((Inputs!$G$5:$G$160="moeda")+(Inputs!$G$5:$G$160="acoes"))*Inputs!$B$1+((Inputs!$G$5:$G$160&lt;&gt;"moeda")*(Inputs!$G$5:$G$160&lt;&gt;"acoes")))*INDEX(Inputs!$K$5:$AJ$160,0,MATCH(AC$2,Inputs!$K$4:$AJ$4,0)))))</f>
        <v>-195.87519551</v>
      </c>
      <c r="AD8" s="6">
        <f>IF(ISNA(MATCH(AD$2,Inputs!$K$4:$AJ$4,0)),NA(),IF(SUMPRODUCT((Inputs!$A$5:$A$160=$B8)*ISNUMBER(INDEX(Inputs!$K$5:$AJ$160,0,MATCH(AD$2,Inputs!$K$4:$AJ$4,0))))+SUMPRODUCT((Inputs!$C$5:$C$160=$B8)*ISNUMBER(INDEX(Inputs!$K$5:$AJ$160,0,MATCH(AD$2,Inputs!$K$4:$AJ$4,0))))+SUMPRODUCT((Inputs!$E$5:$E$160=$B8)*ISNUMBER(INDEX(Inputs!$K$5:$AJ$160,0,MATCH(AD$2,Inputs!$K$4:$AJ$4,0))))=0,NA(),SUMPRODUCT((Inputs!$A$5:$A$160=$B8)*Inputs!$B$5:$B$160*(((Inputs!$G$5:$G$160="moeda")+(Inputs!$G$5:$G$160="acoes"))*Inputs!$B$1+((Inputs!$G$5:$G$160&lt;&gt;"moeda")*(Inputs!$G$5:$G$160&lt;&gt;"acoes")))*INDEX(Inputs!$K$5:$AJ$160,0,MATCH(AD$2,Inputs!$K$4:$AJ$4,0)))+SUMPRODUCT((Inputs!$C$5:$C$160=$B8)*Inputs!$D$5:$D$160*(((Inputs!$G$5:$G$160="moeda")+(Inputs!$G$5:$G$160="acoes"))*Inputs!$B$1+((Inputs!$G$5:$G$160&lt;&gt;"moeda")*(Inputs!$G$5:$G$160&lt;&gt;"acoes")))*INDEX(Inputs!$K$5:$AJ$160,0,MATCH(AD$2,Inputs!$K$4:$AJ$4,0)))+SUMPRODUCT((Inputs!$E$5:$E$160=$B8)*Inputs!$F$5:$F$160*(((Inputs!$G$5:$G$160="moeda")+(Inputs!$G$5:$G$160="acoes"))*Inputs!$B$1+((Inputs!$G$5:$G$160&lt;&gt;"moeda")*(Inputs!$G$5:$G$160&lt;&gt;"acoes")))*INDEX(Inputs!$K$5:$AJ$160,0,MATCH(AD$2,Inputs!$K$4:$AJ$4,0)))))</f>
        <v>-190.784577</v>
      </c>
      <c r="AE8" s="6" t="e">
        <f>IF(ISNA(MATCH(AE$2,Inputs!$K$4:$AJ$4,0)),NA(),IF(SUMPRODUCT((Inputs!$A$5:$A$160=$B8)*ISNUMBER(INDEX(Inputs!$K$5:$AJ$160,0,MATCH(AE$2,Inputs!$K$4:$AJ$4,0))))+SUMPRODUCT((Inputs!$C$5:$C$160=$B8)*ISNUMBER(INDEX(Inputs!$K$5:$AJ$160,0,MATCH(AE$2,Inputs!$K$4:$AJ$4,0))))+SUMPRODUCT((Inputs!$E$5:$E$160=$B8)*ISNUMBER(INDEX(Inputs!$K$5:$AJ$160,0,MATCH(AE$2,Inputs!$K$4:$AJ$4,0))))=0,NA(),SUMPRODUCT((Inputs!$A$5:$A$160=$B8)*Inputs!$B$5:$B$160*(((Inputs!$G$5:$G$160="moeda")+(Inputs!$G$5:$G$160="acoes"))*Inputs!$B$1+((Inputs!$G$5:$G$160&lt;&gt;"moeda")*(Inputs!$G$5:$G$160&lt;&gt;"acoes")))*INDEX(Inputs!$K$5:$AJ$160,0,MATCH(AE$2,Inputs!$K$4:$AJ$4,0)))+SUMPRODUCT((Inputs!$C$5:$C$160=$B8)*Inputs!$D$5:$D$160*(((Inputs!$G$5:$G$160="moeda")+(Inputs!$G$5:$G$160="acoes"))*Inputs!$B$1+((Inputs!$G$5:$G$160&lt;&gt;"moeda")*(Inputs!$G$5:$G$160&lt;&gt;"acoes")))*INDEX(Inputs!$K$5:$AJ$160,0,MATCH(AE$2,Inputs!$K$4:$AJ$4,0)))+SUMPRODUCT((Inputs!$E$5:$E$160=$B8)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8" s="6" t="e">
        <f>IF(ISNA(MATCH(AF$2,Inputs!$K$4:$AJ$4,0)),NA(),IF(SUMPRODUCT((Inputs!$A$5:$A$160=$B8)*ISNUMBER(INDEX(Inputs!$K$5:$AJ$160,0,MATCH(AF$2,Inputs!$K$4:$AJ$4,0))))+SUMPRODUCT((Inputs!$C$5:$C$160=$B8)*ISNUMBER(INDEX(Inputs!$K$5:$AJ$160,0,MATCH(AF$2,Inputs!$K$4:$AJ$4,0))))+SUMPRODUCT((Inputs!$E$5:$E$160=$B8)*ISNUMBER(INDEX(Inputs!$K$5:$AJ$160,0,MATCH(AF$2,Inputs!$K$4:$AJ$4,0))))=0,NA(),SUMPRODUCT((Inputs!$A$5:$A$160=$B8)*Inputs!$B$5:$B$160*(((Inputs!$G$5:$G$160="moeda")+(Inputs!$G$5:$G$160="acoes"))*Inputs!$B$1+((Inputs!$G$5:$G$160&lt;&gt;"moeda")*(Inputs!$G$5:$G$160&lt;&gt;"acoes")))*INDEX(Inputs!$K$5:$AJ$160,0,MATCH(AF$2,Inputs!$K$4:$AJ$4,0)))+SUMPRODUCT((Inputs!$C$5:$C$160=$B8)*Inputs!$D$5:$D$160*(((Inputs!$G$5:$G$160="moeda")+(Inputs!$G$5:$G$160="acoes"))*Inputs!$B$1+((Inputs!$G$5:$G$160&lt;&gt;"moeda")*(Inputs!$G$5:$G$160&lt;&gt;"acoes")))*INDEX(Inputs!$K$5:$AJ$160,0,MATCH(AF$2,Inputs!$K$4:$AJ$4,0)))+SUMPRODUCT((Inputs!$E$5:$E$160=$B8)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8" s="3" t="e">
        <f>SUM(AC8:AF8)</f>
        <v>#N/A</v>
      </c>
      <c r="AH8" s="6">
        <f>IF(ISNA(MATCH(AH$2,Inputs!$K$4:$AJ$4,0)),NA(),IF(SUMPRODUCT((Inputs!$A$5:$A$160=$B8)*ISNUMBER(INDEX(Inputs!$K$5:$AJ$160,0,MATCH(AH$2,Inputs!$K$4:$AJ$4,0))))+SUMPRODUCT((Inputs!$C$5:$C$160=$B8)*ISNUMBER(INDEX(Inputs!$K$5:$AJ$160,0,MATCH(AH$2,Inputs!$K$4:$AJ$4,0))))+SUMPRODUCT((Inputs!$E$5:$E$160=$B8)*ISNUMBER(INDEX(Inputs!$K$5:$AJ$160,0,MATCH(AH$2,Inputs!$K$4:$AJ$4,0))))=0,NA(),SUMPRODUCT((Inputs!$A$5:$A$160=$B8)*Inputs!$B$5:$B$160*(((Inputs!$G$5:$G$160="moeda")+(Inputs!$G$5:$G$160="acoes"))*Inputs!$B$1+((Inputs!$G$5:$G$160&lt;&gt;"moeda")*(Inputs!$G$5:$G$160&lt;&gt;"acoes")))*INDEX(Inputs!$K$5:$AJ$160,0,MATCH(AH$2,Inputs!$K$4:$AJ$4,0)))+SUMPRODUCT((Inputs!$C$5:$C$160=$B8)*Inputs!$D$5:$D$160*(((Inputs!$G$5:$G$160="moeda")+(Inputs!$G$5:$G$160="acoes"))*Inputs!$B$1+((Inputs!$G$5:$G$160&lt;&gt;"moeda")*(Inputs!$G$5:$G$160&lt;&gt;"acoes")))*INDEX(Inputs!$K$5:$AJ$160,0,MATCH(AH$2,Inputs!$K$4:$AJ$4,0)))+SUMPRODUCT((Inputs!$E$5:$E$160=$B8)*Inputs!$F$5:$F$160*(((Inputs!$G$5:$G$160="moeda")+(Inputs!$G$5:$G$160="acoes"))*Inputs!$B$1+((Inputs!$G$5:$G$160&lt;&gt;"moeda")*(Inputs!$G$5:$G$160&lt;&gt;"acoes")))*INDEX(Inputs!$K$5:$AJ$160,0,MATCH(AH$2,Inputs!$K$4:$AJ$4,0)))))</f>
        <v>-38.71850578</v>
      </c>
      <c r="AI8" s="6">
        <f>IF(ISNA(MATCH(AI$2,Inputs!$K$4:$AJ$4,0)),NA(),IF(SUMPRODUCT((Inputs!$A$5:$A$160=$B8)*ISNUMBER(INDEX(Inputs!$K$5:$AJ$160,0,MATCH(AI$2,Inputs!$K$4:$AJ$4,0))))+SUMPRODUCT((Inputs!$C$5:$C$160=$B8)*ISNUMBER(INDEX(Inputs!$K$5:$AJ$160,0,MATCH(AI$2,Inputs!$K$4:$AJ$4,0))))+SUMPRODUCT((Inputs!$E$5:$E$160=$B8)*ISNUMBER(INDEX(Inputs!$K$5:$AJ$160,0,MATCH(AI$2,Inputs!$K$4:$AJ$4,0))))=0,NA(),SUMPRODUCT((Inputs!$A$5:$A$160=$B8)*Inputs!$B$5:$B$160*(((Inputs!$G$5:$G$160="moeda")+(Inputs!$G$5:$G$160="acoes"))*Inputs!$B$1+((Inputs!$G$5:$G$160&lt;&gt;"moeda")*(Inputs!$G$5:$G$160&lt;&gt;"acoes")))*INDEX(Inputs!$K$5:$AJ$160,0,MATCH(AI$2,Inputs!$K$4:$AJ$4,0)))+SUMPRODUCT((Inputs!$C$5:$C$160=$B8)*Inputs!$D$5:$D$160*(((Inputs!$G$5:$G$160="moeda")+(Inputs!$G$5:$G$160="acoes"))*Inputs!$B$1+((Inputs!$G$5:$G$160&lt;&gt;"moeda")*(Inputs!$G$5:$G$160&lt;&gt;"acoes")))*INDEX(Inputs!$K$5:$AJ$160,0,MATCH(AI$2,Inputs!$K$4:$AJ$4,0)))+SUMPRODUCT((Inputs!$E$5:$E$160=$B8)*Inputs!$F$5:$F$160*(((Inputs!$G$5:$G$160="moeda")+(Inputs!$G$5:$G$160="acoes"))*Inputs!$B$1+((Inputs!$G$5:$G$160&lt;&gt;"moeda")*(Inputs!$G$5:$G$160&lt;&gt;"acoes")))*INDEX(Inputs!$K$5:$AJ$160,0,MATCH(AI$2,Inputs!$K$4:$AJ$4,0)))))</f>
        <v>-45.37789143</v>
      </c>
      <c r="AJ8" s="6">
        <f>IF(ISNA(MATCH(AJ$2,Inputs!$K$4:$AJ$4,0)),NA(),IF(SUMPRODUCT((Inputs!$A$5:$A$160=$B8)*ISNUMBER(INDEX(Inputs!$K$5:$AJ$160,0,MATCH(AJ$2,Inputs!$K$4:$AJ$4,0))))+SUMPRODUCT((Inputs!$C$5:$C$160=$B8)*ISNUMBER(INDEX(Inputs!$K$5:$AJ$160,0,MATCH(AJ$2,Inputs!$K$4:$AJ$4,0))))+SUMPRODUCT((Inputs!$E$5:$E$160=$B8)*ISNUMBER(INDEX(Inputs!$K$5:$AJ$160,0,MATCH(AJ$2,Inputs!$K$4:$AJ$4,0))))=0,NA(),SUMPRODUCT((Inputs!$A$5:$A$160=$B8)*Inputs!$B$5:$B$160*(((Inputs!$G$5:$G$160="moeda")+(Inputs!$G$5:$G$160="acoes"))*Inputs!$B$1+((Inputs!$G$5:$G$160&lt;&gt;"moeda")*(Inputs!$G$5:$G$160&lt;&gt;"acoes")))*INDEX(Inputs!$K$5:$AJ$160,0,MATCH(AJ$2,Inputs!$K$4:$AJ$4,0)))+SUMPRODUCT((Inputs!$C$5:$C$160=$B8)*Inputs!$D$5:$D$160*(((Inputs!$G$5:$G$160="moeda")+(Inputs!$G$5:$G$160="acoes"))*Inputs!$B$1+((Inputs!$G$5:$G$160&lt;&gt;"moeda")*(Inputs!$G$5:$G$160&lt;&gt;"acoes")))*INDEX(Inputs!$K$5:$AJ$160,0,MATCH(AJ$2,Inputs!$K$4:$AJ$4,0)))+SUMPRODUCT((Inputs!$E$5:$E$160=$B8)*Inputs!$F$5:$F$160*(((Inputs!$G$5:$G$160="moeda")+(Inputs!$G$5:$G$160="acoes"))*Inputs!$B$1+((Inputs!$G$5:$G$160&lt;&gt;"moeda")*(Inputs!$G$5:$G$160&lt;&gt;"acoes")))*INDEX(Inputs!$K$5:$AJ$160,0,MATCH(AJ$2,Inputs!$K$4:$AJ$4,0)))))</f>
        <v>-43.12406456</v>
      </c>
      <c r="AK8" s="6">
        <f>IF(ISNA(MATCH(AK$2,Inputs!$K$4:$AJ$4,0)),NA(),IF(SUMPRODUCT((Inputs!$A$5:$A$160=$B8)*ISNUMBER(INDEX(Inputs!$K$5:$AJ$160,0,MATCH(AK$2,Inputs!$K$4:$AJ$4,0))))+SUMPRODUCT((Inputs!$C$5:$C$160=$B8)*ISNUMBER(INDEX(Inputs!$K$5:$AJ$160,0,MATCH(AK$2,Inputs!$K$4:$AJ$4,0))))+SUMPRODUCT((Inputs!$E$5:$E$160=$B8)*ISNUMBER(INDEX(Inputs!$K$5:$AJ$160,0,MATCH(AK$2,Inputs!$K$4:$AJ$4,0))))=0,NA(),SUMPRODUCT((Inputs!$A$5:$A$160=$B8)*Inputs!$B$5:$B$160*(((Inputs!$G$5:$G$160="moeda")+(Inputs!$G$5:$G$160="acoes"))*Inputs!$B$1+((Inputs!$G$5:$G$160&lt;&gt;"moeda")*(Inputs!$G$5:$G$160&lt;&gt;"acoes")))*INDEX(Inputs!$K$5:$AJ$160,0,MATCH(AK$2,Inputs!$K$4:$AJ$4,0)))+SUMPRODUCT((Inputs!$C$5:$C$160=$B8)*Inputs!$D$5:$D$160*(((Inputs!$G$5:$G$160="moeda")+(Inputs!$G$5:$G$160="acoes"))*Inputs!$B$1+((Inputs!$G$5:$G$160&lt;&gt;"moeda")*(Inputs!$G$5:$G$160&lt;&gt;"acoes")))*INDEX(Inputs!$K$5:$AJ$160,0,MATCH(AK$2,Inputs!$K$4:$AJ$4,0)))+SUMPRODUCT((Inputs!$E$5:$E$160=$B8)*Inputs!$F$5:$F$160*(((Inputs!$G$5:$G$160="moeda")+(Inputs!$G$5:$G$160="acoes"))*Inputs!$B$1+((Inputs!$G$5:$G$160&lt;&gt;"moeda")*(Inputs!$G$5:$G$160&lt;&gt;"acoes")))*INDEX(Inputs!$K$5:$AJ$160,0,MATCH(AK$2,Inputs!$K$4:$AJ$4,0)))))</f>
        <v>-47.82265651</v>
      </c>
      <c r="AL8" s="3">
        <f>SUM(AH8:AK8)</f>
        <v>-175.04311828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$160=$B9)*ISNUMBER(INDEX(Inputs!$K$5:$AJ$160,0,MATCH(D$2,Inputs!$K$4:$AJ$4,0))))+SUMPRODUCT((Inputs!$C$5:$C$160=$B9)*ISNUMBER(INDEX(Inputs!$K$5:$AJ$160,0,MATCH(D$2,Inputs!$K$4:$AJ$4,0))))+SUMPRODUCT((Inputs!$E$5:$E$160=$B9)*ISNUMBER(INDEX(Inputs!$K$5:$AJ$160,0,MATCH(D$2,Inputs!$K$4:$AJ$4,0))))=0,NA(),SUMPRODUCT((Inputs!$A$5:$A$160=$B9)*Inputs!$B$5:$B$160*(((Inputs!$G$5:$G$160="moeda")+(Inputs!$G$5:$G$160="acoes"))*Inputs!$B$1+((Inputs!$G$5:$G$160&lt;&gt;"moeda")*(Inputs!$G$5:$G$160&lt;&gt;"acoes")))*INDEX(Inputs!$K$5:$AJ$160,0,MATCH(D$2,Inputs!$K$4:$AJ$4,0)))+SUMPRODUCT((Inputs!$C$5:$C$160=$B9)*Inputs!$D$5:$D$160*(((Inputs!$G$5:$G$160="moeda")+(Inputs!$G$5:$G$160="acoes"))*Inputs!$B$1+((Inputs!$G$5:$G$160&lt;&gt;"moeda")*(Inputs!$G$5:$G$160&lt;&gt;"acoes")))*INDEX(Inputs!$K$5:$AJ$160,0,MATCH(D$2,Inputs!$K$4:$AJ$4,0)))+SUMPRODUCT((Inputs!$E$5:$E$160=$B9)*Inputs!$F$5:$F$160*(((Inputs!$G$5:$G$160="moeda")+(Inputs!$G$5:$G$160="acoes"))*Inputs!$B$1+((Inputs!$G$5:$G$160&lt;&gt;"moeda")*(Inputs!$G$5:$G$160&lt;&gt;"acoes")))*INDEX(Inputs!$K$5:$AJ$160,0,MATCH(D$2,Inputs!$K$4:$AJ$4,0)))))</f>
        <v>6.69925278</v>
      </c>
      <c r="E9" s="6">
        <f>IF(ISNA(MATCH(E$2,Inputs!$K$4:$AJ$4,0)),NA(),IF(SUMPRODUCT((Inputs!$A$5:$A$160=$B9)*ISNUMBER(INDEX(Inputs!$K$5:$AJ$160,0,MATCH(E$2,Inputs!$K$4:$AJ$4,0))))+SUMPRODUCT((Inputs!$C$5:$C$160=$B9)*ISNUMBER(INDEX(Inputs!$K$5:$AJ$160,0,MATCH(E$2,Inputs!$K$4:$AJ$4,0))))+SUMPRODUCT((Inputs!$E$5:$E$160=$B9)*ISNUMBER(INDEX(Inputs!$K$5:$AJ$160,0,MATCH(E$2,Inputs!$K$4:$AJ$4,0))))=0,NA(),SUMPRODUCT((Inputs!$A$5:$A$160=$B9)*Inputs!$B$5:$B$160*(((Inputs!$G$5:$G$160="moeda")+(Inputs!$G$5:$G$160="acoes"))*Inputs!$B$1+((Inputs!$G$5:$G$160&lt;&gt;"moeda")*(Inputs!$G$5:$G$160&lt;&gt;"acoes")))*INDEX(Inputs!$K$5:$AJ$160,0,MATCH(E$2,Inputs!$K$4:$AJ$4,0)))+SUMPRODUCT((Inputs!$C$5:$C$160=$B9)*Inputs!$D$5:$D$160*(((Inputs!$G$5:$G$160="moeda")+(Inputs!$G$5:$G$160="acoes"))*Inputs!$B$1+((Inputs!$G$5:$G$160&lt;&gt;"moeda")*(Inputs!$G$5:$G$160&lt;&gt;"acoes")))*INDEX(Inputs!$K$5:$AJ$160,0,MATCH(E$2,Inputs!$K$4:$AJ$4,0)))+SUMPRODUCT((Inputs!$E$5:$E$160=$B9)*Inputs!$F$5:$F$160*(((Inputs!$G$5:$G$160="moeda")+(Inputs!$G$5:$G$160="acoes"))*Inputs!$B$1+((Inputs!$G$5:$G$160&lt;&gt;"moeda")*(Inputs!$G$5:$G$160&lt;&gt;"acoes")))*INDEX(Inputs!$K$5:$AJ$160,0,MATCH(E$2,Inputs!$K$4:$AJ$4,0)))))</f>
        <v>6.79723379</v>
      </c>
      <c r="F9" s="6">
        <f>IF(ISNA(MATCH(F$2,Inputs!$K$4:$AJ$4,0)),NA(),IF(SUMPRODUCT((Inputs!$A$5:$A$160=$B9)*ISNUMBER(INDEX(Inputs!$K$5:$AJ$160,0,MATCH(F$2,Inputs!$K$4:$AJ$4,0))))+SUMPRODUCT((Inputs!$C$5:$C$160=$B9)*ISNUMBER(INDEX(Inputs!$K$5:$AJ$160,0,MATCH(F$2,Inputs!$K$4:$AJ$4,0))))+SUMPRODUCT((Inputs!$E$5:$E$160=$B9)*ISNUMBER(INDEX(Inputs!$K$5:$AJ$160,0,MATCH(F$2,Inputs!$K$4:$AJ$4,0))))=0,NA(),SUMPRODUCT((Inputs!$A$5:$A$160=$B9)*Inputs!$B$5:$B$160*(((Inputs!$G$5:$G$160="moeda")+(Inputs!$G$5:$G$160="acoes"))*Inputs!$B$1+((Inputs!$G$5:$G$160&lt;&gt;"moeda")*(Inputs!$G$5:$G$160&lt;&gt;"acoes")))*INDEX(Inputs!$K$5:$AJ$160,0,MATCH(F$2,Inputs!$K$4:$AJ$4,0)))+SUMPRODUCT((Inputs!$C$5:$C$160=$B9)*Inputs!$D$5:$D$160*(((Inputs!$G$5:$G$160="moeda")+(Inputs!$G$5:$G$160="acoes"))*Inputs!$B$1+((Inputs!$G$5:$G$160&lt;&gt;"moeda")*(Inputs!$G$5:$G$160&lt;&gt;"acoes")))*INDEX(Inputs!$K$5:$AJ$160,0,MATCH(F$2,Inputs!$K$4:$AJ$4,0)))+SUMPRODUCT((Inputs!$E$5:$E$160=$B9)*Inputs!$F$5:$F$160*(((Inputs!$G$5:$G$160="moeda")+(Inputs!$G$5:$G$160="acoes"))*Inputs!$B$1+((Inputs!$G$5:$G$160&lt;&gt;"moeda")*(Inputs!$G$5:$G$160&lt;&gt;"acoes")))*INDEX(Inputs!$K$5:$AJ$160,0,MATCH(F$2,Inputs!$K$4:$AJ$4,0)))))</f>
        <v>16.4558964</v>
      </c>
      <c r="G9" s="6">
        <f>IF(ISNA(MATCH(G$2,Inputs!$K$4:$AJ$4,0)),NA(),IF(SUMPRODUCT((Inputs!$A$5:$A$160=$B9)*ISNUMBER(INDEX(Inputs!$K$5:$AJ$160,0,MATCH(G$2,Inputs!$K$4:$AJ$4,0))))+SUMPRODUCT((Inputs!$C$5:$C$160=$B9)*ISNUMBER(INDEX(Inputs!$K$5:$AJ$160,0,MATCH(G$2,Inputs!$K$4:$AJ$4,0))))+SUMPRODUCT((Inputs!$E$5:$E$160=$B9)*ISNUMBER(INDEX(Inputs!$K$5:$AJ$160,0,MATCH(G$2,Inputs!$K$4:$AJ$4,0))))=0,NA(),SUMPRODUCT((Inputs!$A$5:$A$160=$B9)*Inputs!$B$5:$B$160*(((Inputs!$G$5:$G$160="moeda")+(Inputs!$G$5:$G$160="acoes"))*Inputs!$B$1+((Inputs!$G$5:$G$160&lt;&gt;"moeda")*(Inputs!$G$5:$G$160&lt;&gt;"acoes")))*INDEX(Inputs!$K$5:$AJ$160,0,MATCH(G$2,Inputs!$K$4:$AJ$4,0)))+SUMPRODUCT((Inputs!$C$5:$C$160=$B9)*Inputs!$D$5:$D$160*(((Inputs!$G$5:$G$160="moeda")+(Inputs!$G$5:$G$160="acoes"))*Inputs!$B$1+((Inputs!$G$5:$G$160&lt;&gt;"moeda")*(Inputs!$G$5:$G$160&lt;&gt;"acoes")))*INDEX(Inputs!$K$5:$AJ$160,0,MATCH(G$2,Inputs!$K$4:$AJ$4,0)))+SUMPRODUCT((Inputs!$E$5:$E$160=$B9)*Inputs!$F$5:$F$160*(((Inputs!$G$5:$G$160="moeda")+(Inputs!$G$5:$G$160="acoes"))*Inputs!$B$1+((Inputs!$G$5:$G$160&lt;&gt;"moeda")*(Inputs!$G$5:$G$160&lt;&gt;"acoes")))*INDEX(Inputs!$K$5:$AJ$160,0,MATCH(G$2,Inputs!$K$4:$AJ$4,0)))))</f>
        <v>18.92533787</v>
      </c>
      <c r="H9" s="3">
        <f>SUM(D9:G9)</f>
        <v>48.87772084</v>
      </c>
      <c r="I9" s="6">
        <f>IF(ISNA(MATCH(I$2,Inputs!$K$4:$AJ$4,0)),NA(),IF(SUMPRODUCT((Inputs!$A$5:$A$160=$B9)*ISNUMBER(INDEX(Inputs!$K$5:$AJ$160,0,MATCH(I$2,Inputs!$K$4:$AJ$4,0))))+SUMPRODUCT((Inputs!$C$5:$C$160=$B9)*ISNUMBER(INDEX(Inputs!$K$5:$AJ$160,0,MATCH(I$2,Inputs!$K$4:$AJ$4,0))))+SUMPRODUCT((Inputs!$E$5:$E$160=$B9)*ISNUMBER(INDEX(Inputs!$K$5:$AJ$160,0,MATCH(I$2,Inputs!$K$4:$AJ$4,0))))=0,NA(),SUMPRODUCT((Inputs!$A$5:$A$160=$B9)*Inputs!$B$5:$B$160*(((Inputs!$G$5:$G$160="moeda")+(Inputs!$G$5:$G$160="acoes"))*Inputs!$B$1+((Inputs!$G$5:$G$160&lt;&gt;"moeda")*(Inputs!$G$5:$G$160&lt;&gt;"acoes")))*INDEX(Inputs!$K$5:$AJ$160,0,MATCH(I$2,Inputs!$K$4:$AJ$4,0)))+SUMPRODUCT((Inputs!$C$5:$C$160=$B9)*Inputs!$D$5:$D$160*(((Inputs!$G$5:$G$160="moeda")+(Inputs!$G$5:$G$160="acoes"))*Inputs!$B$1+((Inputs!$G$5:$G$160&lt;&gt;"moeda")*(Inputs!$G$5:$G$160&lt;&gt;"acoes")))*INDEX(Inputs!$K$5:$AJ$160,0,MATCH(I$2,Inputs!$K$4:$AJ$4,0)))+SUMPRODUCT((Inputs!$E$5:$E$160=$B9)*Inputs!$F$5:$F$160*(((Inputs!$G$5:$G$160="moeda")+(Inputs!$G$5:$G$160="acoes"))*Inputs!$B$1+((Inputs!$G$5:$G$160&lt;&gt;"moeda")*(Inputs!$G$5:$G$160&lt;&gt;"acoes")))*INDEX(Inputs!$K$5:$AJ$160,0,MATCH(I$2,Inputs!$K$4:$AJ$4,0)))))</f>
        <v>20.19570061</v>
      </c>
      <c r="J9" s="6">
        <f>IF(ISNA(MATCH(J$2,Inputs!$K$4:$AJ$4,0)),NA(),IF(SUMPRODUCT((Inputs!$A$5:$A$160=$B9)*ISNUMBER(INDEX(Inputs!$K$5:$AJ$160,0,MATCH(J$2,Inputs!$K$4:$AJ$4,0))))+SUMPRODUCT((Inputs!$C$5:$C$160=$B9)*ISNUMBER(INDEX(Inputs!$K$5:$AJ$160,0,MATCH(J$2,Inputs!$K$4:$AJ$4,0))))+SUMPRODUCT((Inputs!$E$5:$E$160=$B9)*ISNUMBER(INDEX(Inputs!$K$5:$AJ$160,0,MATCH(J$2,Inputs!$K$4:$AJ$4,0))))=0,NA(),SUMPRODUCT((Inputs!$A$5:$A$160=$B9)*Inputs!$B$5:$B$160*(((Inputs!$G$5:$G$160="moeda")+(Inputs!$G$5:$G$160="acoes"))*Inputs!$B$1+((Inputs!$G$5:$G$160&lt;&gt;"moeda")*(Inputs!$G$5:$G$160&lt;&gt;"acoes")))*INDEX(Inputs!$K$5:$AJ$160,0,MATCH(J$2,Inputs!$K$4:$AJ$4,0)))+SUMPRODUCT((Inputs!$C$5:$C$160=$B9)*Inputs!$D$5:$D$160*(((Inputs!$G$5:$G$160="moeda")+(Inputs!$G$5:$G$160="acoes"))*Inputs!$B$1+((Inputs!$G$5:$G$160&lt;&gt;"moeda")*(Inputs!$G$5:$G$160&lt;&gt;"acoes")))*INDEX(Inputs!$K$5:$AJ$160,0,MATCH(J$2,Inputs!$K$4:$AJ$4,0)))+SUMPRODUCT((Inputs!$E$5:$E$160=$B9)*Inputs!$F$5:$F$160*(((Inputs!$G$5:$G$160="moeda")+(Inputs!$G$5:$G$160="acoes"))*Inputs!$B$1+((Inputs!$G$5:$G$160&lt;&gt;"moeda")*(Inputs!$G$5:$G$160&lt;&gt;"acoes")))*INDEX(Inputs!$K$5:$AJ$160,0,MATCH(J$2,Inputs!$K$4:$AJ$4,0)))))</f>
        <v>21.47671546</v>
      </c>
      <c r="K9" s="6">
        <f>IF(ISNA(MATCH(K$2,Inputs!$K$4:$AJ$4,0)),NA(),IF(SUMPRODUCT((Inputs!$A$5:$A$160=$B9)*ISNUMBER(INDEX(Inputs!$K$5:$AJ$160,0,MATCH(K$2,Inputs!$K$4:$AJ$4,0))))+SUMPRODUCT((Inputs!$C$5:$C$160=$B9)*ISNUMBER(INDEX(Inputs!$K$5:$AJ$160,0,MATCH(K$2,Inputs!$K$4:$AJ$4,0))))+SUMPRODUCT((Inputs!$E$5:$E$160=$B9)*ISNUMBER(INDEX(Inputs!$K$5:$AJ$160,0,MATCH(K$2,Inputs!$K$4:$AJ$4,0))))=0,NA(),SUMPRODUCT((Inputs!$A$5:$A$160=$B9)*Inputs!$B$5:$B$160*(((Inputs!$G$5:$G$160="moeda")+(Inputs!$G$5:$G$160="acoes"))*Inputs!$B$1+((Inputs!$G$5:$G$160&lt;&gt;"moeda")*(Inputs!$G$5:$G$160&lt;&gt;"acoes")))*INDEX(Inputs!$K$5:$AJ$160,0,MATCH(K$2,Inputs!$K$4:$AJ$4,0)))+SUMPRODUCT((Inputs!$C$5:$C$160=$B9)*Inputs!$D$5:$D$160*(((Inputs!$G$5:$G$160="moeda")+(Inputs!$G$5:$G$160="acoes"))*Inputs!$B$1+((Inputs!$G$5:$G$160&lt;&gt;"moeda")*(Inputs!$G$5:$G$160&lt;&gt;"acoes")))*INDEX(Inputs!$K$5:$AJ$160,0,MATCH(K$2,Inputs!$K$4:$AJ$4,0)))+SUMPRODUCT((Inputs!$E$5:$E$160=$B9)*Inputs!$F$5:$F$160*(((Inputs!$G$5:$G$160="moeda")+(Inputs!$G$5:$G$160="acoes"))*Inputs!$B$1+((Inputs!$G$5:$G$160&lt;&gt;"moeda")*(Inputs!$G$5:$G$160&lt;&gt;"acoes")))*INDEX(Inputs!$K$5:$AJ$160,0,MATCH(K$2,Inputs!$K$4:$AJ$4,0)))))</f>
        <v>28.95401388</v>
      </c>
      <c r="L9" s="6">
        <f>IF(ISNA(MATCH(L$2,Inputs!$K$4:$AJ$4,0)),NA(),IF(SUMPRODUCT((Inputs!$A$5:$A$160=$B9)*ISNUMBER(INDEX(Inputs!$K$5:$AJ$160,0,MATCH(L$2,Inputs!$K$4:$AJ$4,0))))+SUMPRODUCT((Inputs!$C$5:$C$160=$B9)*ISNUMBER(INDEX(Inputs!$K$5:$AJ$160,0,MATCH(L$2,Inputs!$K$4:$AJ$4,0))))+SUMPRODUCT((Inputs!$E$5:$E$160=$B9)*ISNUMBER(INDEX(Inputs!$K$5:$AJ$160,0,MATCH(L$2,Inputs!$K$4:$AJ$4,0))))=0,NA(),SUMPRODUCT((Inputs!$A$5:$A$160=$B9)*Inputs!$B$5:$B$160*(((Inputs!$G$5:$G$160="moeda")+(Inputs!$G$5:$G$160="acoes"))*Inputs!$B$1+((Inputs!$G$5:$G$160&lt;&gt;"moeda")*(Inputs!$G$5:$G$160&lt;&gt;"acoes")))*INDEX(Inputs!$K$5:$AJ$160,0,MATCH(L$2,Inputs!$K$4:$AJ$4,0)))+SUMPRODUCT((Inputs!$C$5:$C$160=$B9)*Inputs!$D$5:$D$160*(((Inputs!$G$5:$G$160="moeda")+(Inputs!$G$5:$G$160="acoes"))*Inputs!$B$1+((Inputs!$G$5:$G$160&lt;&gt;"moeda")*(Inputs!$G$5:$G$160&lt;&gt;"acoes")))*INDEX(Inputs!$K$5:$AJ$160,0,MATCH(L$2,Inputs!$K$4:$AJ$4,0)))+SUMPRODUCT((Inputs!$E$5:$E$160=$B9)*Inputs!$F$5:$F$160*(((Inputs!$G$5:$G$160="moeda")+(Inputs!$G$5:$G$160="acoes"))*Inputs!$B$1+((Inputs!$G$5:$G$160&lt;&gt;"moeda")*(Inputs!$G$5:$G$160&lt;&gt;"acoes")))*INDEX(Inputs!$K$5:$AJ$160,0,MATCH(L$2,Inputs!$K$4:$AJ$4,0)))))</f>
        <v>42.83506655</v>
      </c>
      <c r="M9" s="3">
        <f>SUM(I9:L9)</f>
        <v>113.4614965</v>
      </c>
      <c r="N9" s="6">
        <f>IF(ISNA(MATCH(N$2,Inputs!$K$4:$AJ$4,0)),NA(),IF(SUMPRODUCT((Inputs!$A$5:$A$160=$B9)*ISNUMBER(INDEX(Inputs!$K$5:$AJ$160,0,MATCH(N$2,Inputs!$K$4:$AJ$4,0))))+SUMPRODUCT((Inputs!$C$5:$C$160=$B9)*ISNUMBER(INDEX(Inputs!$K$5:$AJ$160,0,MATCH(N$2,Inputs!$K$4:$AJ$4,0))))+SUMPRODUCT((Inputs!$E$5:$E$160=$B9)*ISNUMBER(INDEX(Inputs!$K$5:$AJ$160,0,MATCH(N$2,Inputs!$K$4:$AJ$4,0))))=0,NA(),SUMPRODUCT((Inputs!$A$5:$A$160=$B9)*Inputs!$B$5:$B$160*(((Inputs!$G$5:$G$160="moeda")+(Inputs!$G$5:$G$160="acoes"))*Inputs!$B$1+((Inputs!$G$5:$G$160&lt;&gt;"moeda")*(Inputs!$G$5:$G$160&lt;&gt;"acoes")))*INDEX(Inputs!$K$5:$AJ$160,0,MATCH(N$2,Inputs!$K$4:$AJ$4,0)))+SUMPRODUCT((Inputs!$C$5:$C$160=$B9)*Inputs!$D$5:$D$160*(((Inputs!$G$5:$G$160="moeda")+(Inputs!$G$5:$G$160="acoes"))*Inputs!$B$1+((Inputs!$G$5:$G$160&lt;&gt;"moeda")*(Inputs!$G$5:$G$160&lt;&gt;"acoes")))*INDEX(Inputs!$K$5:$AJ$160,0,MATCH(N$2,Inputs!$K$4:$AJ$4,0)))+SUMPRODUCT((Inputs!$E$5:$E$160=$B9)*Inputs!$F$5:$F$160*(((Inputs!$G$5:$G$160="moeda")+(Inputs!$G$5:$G$160="acoes"))*Inputs!$B$1+((Inputs!$G$5:$G$160&lt;&gt;"moeda")*(Inputs!$G$5:$G$160&lt;&gt;"acoes")))*INDEX(Inputs!$K$5:$AJ$160,0,MATCH(N$2,Inputs!$K$4:$AJ$4,0)))))</f>
        <v>45.00753287</v>
      </c>
      <c r="O9" s="6">
        <f>IF(ISNA(MATCH(O$2,Inputs!$K$4:$AJ$4,0)),NA(),IF(SUMPRODUCT((Inputs!$A$5:$A$160=$B9)*ISNUMBER(INDEX(Inputs!$K$5:$AJ$160,0,MATCH(O$2,Inputs!$K$4:$AJ$4,0))))+SUMPRODUCT((Inputs!$C$5:$C$160=$B9)*ISNUMBER(INDEX(Inputs!$K$5:$AJ$160,0,MATCH(O$2,Inputs!$K$4:$AJ$4,0))))+SUMPRODUCT((Inputs!$E$5:$E$160=$B9)*ISNUMBER(INDEX(Inputs!$K$5:$AJ$160,0,MATCH(O$2,Inputs!$K$4:$AJ$4,0))))=0,NA(),SUMPRODUCT((Inputs!$A$5:$A$160=$B9)*Inputs!$B$5:$B$160*(((Inputs!$G$5:$G$160="moeda")+(Inputs!$G$5:$G$160="acoes"))*Inputs!$B$1+((Inputs!$G$5:$G$160&lt;&gt;"moeda")*(Inputs!$G$5:$G$160&lt;&gt;"acoes")))*INDEX(Inputs!$K$5:$AJ$160,0,MATCH(O$2,Inputs!$K$4:$AJ$4,0)))+SUMPRODUCT((Inputs!$C$5:$C$160=$B9)*Inputs!$D$5:$D$160*(((Inputs!$G$5:$G$160="moeda")+(Inputs!$G$5:$G$160="acoes"))*Inputs!$B$1+((Inputs!$G$5:$G$160&lt;&gt;"moeda")*(Inputs!$G$5:$G$160&lt;&gt;"acoes")))*INDEX(Inputs!$K$5:$AJ$160,0,MATCH(O$2,Inputs!$K$4:$AJ$4,0)))+SUMPRODUCT((Inputs!$E$5:$E$160=$B9)*Inputs!$F$5:$F$160*(((Inputs!$G$5:$G$160="moeda")+(Inputs!$G$5:$G$160="acoes"))*Inputs!$B$1+((Inputs!$G$5:$G$160&lt;&gt;"moeda")*(Inputs!$G$5:$G$160&lt;&gt;"acoes")))*INDEX(Inputs!$K$5:$AJ$160,0,MATCH(O$2,Inputs!$K$4:$AJ$4,0)))))</f>
        <v>58.87857805</v>
      </c>
      <c r="P9" s="6">
        <f>IF(ISNA(MATCH(P$2,Inputs!$K$4:$AJ$4,0)),NA(),IF(SUMPRODUCT((Inputs!$A$5:$A$160=$B9)*ISNUMBER(INDEX(Inputs!$K$5:$AJ$160,0,MATCH(P$2,Inputs!$K$4:$AJ$4,0))))+SUMPRODUCT((Inputs!$C$5:$C$160=$B9)*ISNUMBER(INDEX(Inputs!$K$5:$AJ$160,0,MATCH(P$2,Inputs!$K$4:$AJ$4,0))))+SUMPRODUCT((Inputs!$E$5:$E$160=$B9)*ISNUMBER(INDEX(Inputs!$K$5:$AJ$160,0,MATCH(P$2,Inputs!$K$4:$AJ$4,0))))=0,NA(),SUMPRODUCT((Inputs!$A$5:$A$160=$B9)*Inputs!$B$5:$B$160*(((Inputs!$G$5:$G$160="moeda")+(Inputs!$G$5:$G$160="acoes"))*Inputs!$B$1+((Inputs!$G$5:$G$160&lt;&gt;"moeda")*(Inputs!$G$5:$G$160&lt;&gt;"acoes")))*INDEX(Inputs!$K$5:$AJ$160,0,MATCH(P$2,Inputs!$K$4:$AJ$4,0)))+SUMPRODUCT((Inputs!$C$5:$C$160=$B9)*Inputs!$D$5:$D$160*(((Inputs!$G$5:$G$160="moeda")+(Inputs!$G$5:$G$160="acoes"))*Inputs!$B$1+((Inputs!$G$5:$G$160&lt;&gt;"moeda")*(Inputs!$G$5:$G$160&lt;&gt;"acoes")))*INDEX(Inputs!$K$5:$AJ$160,0,MATCH(P$2,Inputs!$K$4:$AJ$4,0)))+SUMPRODUCT((Inputs!$E$5:$E$160=$B9)*Inputs!$F$5:$F$160*(((Inputs!$G$5:$G$160="moeda")+(Inputs!$G$5:$G$160="acoes"))*Inputs!$B$1+((Inputs!$G$5:$G$160&lt;&gt;"moeda")*(Inputs!$G$5:$G$160&lt;&gt;"acoes")))*INDEX(Inputs!$K$5:$AJ$160,0,MATCH(P$2,Inputs!$K$4:$AJ$4,0)))))</f>
        <v>60.852</v>
      </c>
      <c r="Q9" s="6">
        <f>IF(ISNA(MATCH(Q$2,Inputs!$K$4:$AJ$4,0)),NA(),IF(SUMPRODUCT((Inputs!$A$5:$A$160=$B9)*ISNUMBER(INDEX(Inputs!$K$5:$AJ$160,0,MATCH(Q$2,Inputs!$K$4:$AJ$4,0))))+SUMPRODUCT((Inputs!$C$5:$C$160=$B9)*ISNUMBER(INDEX(Inputs!$K$5:$AJ$160,0,MATCH(Q$2,Inputs!$K$4:$AJ$4,0))))+SUMPRODUCT((Inputs!$E$5:$E$160=$B9)*ISNUMBER(INDEX(Inputs!$K$5:$AJ$160,0,MATCH(Q$2,Inputs!$K$4:$AJ$4,0))))=0,NA(),SUMPRODUCT((Inputs!$A$5:$A$160=$B9)*Inputs!$B$5:$B$160*(((Inputs!$G$5:$G$160="moeda")+(Inputs!$G$5:$G$160="acoes"))*Inputs!$B$1+((Inputs!$G$5:$G$160&lt;&gt;"moeda")*(Inputs!$G$5:$G$160&lt;&gt;"acoes")))*INDEX(Inputs!$K$5:$AJ$160,0,MATCH(Q$2,Inputs!$K$4:$AJ$4,0)))+SUMPRODUCT((Inputs!$C$5:$C$160=$B9)*Inputs!$D$5:$D$160*(((Inputs!$G$5:$G$160="moeda")+(Inputs!$G$5:$G$160="acoes"))*Inputs!$B$1+((Inputs!$G$5:$G$160&lt;&gt;"moeda")*(Inputs!$G$5:$G$160&lt;&gt;"acoes")))*INDEX(Inputs!$K$5:$AJ$160,0,MATCH(Q$2,Inputs!$K$4:$AJ$4,0)))+SUMPRODUCT((Inputs!$E$5:$E$160=$B9)*Inputs!$F$5:$F$160*(((Inputs!$G$5:$G$160="moeda")+(Inputs!$G$5:$G$160="acoes"))*Inputs!$B$1+((Inputs!$G$5:$G$160&lt;&gt;"moeda")*(Inputs!$G$5:$G$160&lt;&gt;"acoes")))*INDEX(Inputs!$K$5:$AJ$160,0,MATCH(Q$2,Inputs!$K$4:$AJ$4,0)))))</f>
        <v>55.57188908</v>
      </c>
      <c r="R9" s="3">
        <f>SUM(N9:Q9)</f>
        <v>220.31</v>
      </c>
      <c r="S9" s="6">
        <f>IF(ISNA(MATCH(S$2,Inputs!$K$4:$AJ$4,0)),NA(),IF(SUMPRODUCT((Inputs!$A$5:$A$160=$B9)*ISNUMBER(INDEX(Inputs!$K$5:$AJ$160,0,MATCH(S$2,Inputs!$K$4:$AJ$4,0))))+SUMPRODUCT((Inputs!$C$5:$C$160=$B9)*ISNUMBER(INDEX(Inputs!$K$5:$AJ$160,0,MATCH(S$2,Inputs!$K$4:$AJ$4,0))))+SUMPRODUCT((Inputs!$E$5:$E$160=$B9)*ISNUMBER(INDEX(Inputs!$K$5:$AJ$160,0,MATCH(S$2,Inputs!$K$4:$AJ$4,0))))=0,NA(),SUMPRODUCT((Inputs!$A$5:$A$160=$B9)*Inputs!$B$5:$B$160*(((Inputs!$G$5:$G$160="moeda")+(Inputs!$G$5:$G$160="acoes"))*Inputs!$B$1+((Inputs!$G$5:$G$160&lt;&gt;"moeda")*(Inputs!$G$5:$G$160&lt;&gt;"acoes")))*INDEX(Inputs!$K$5:$AJ$160,0,MATCH(S$2,Inputs!$K$4:$AJ$4,0)))+SUMPRODUCT((Inputs!$C$5:$C$160=$B9)*Inputs!$D$5:$D$160*(((Inputs!$G$5:$G$160="moeda")+(Inputs!$G$5:$G$160="acoes"))*Inputs!$B$1+((Inputs!$G$5:$G$160&lt;&gt;"moeda")*(Inputs!$G$5:$G$160&lt;&gt;"acoes")))*INDEX(Inputs!$K$5:$AJ$160,0,MATCH(S$2,Inputs!$K$4:$AJ$4,0)))+SUMPRODUCT((Inputs!$E$5:$E$160=$B9)*Inputs!$F$5:$F$160*(((Inputs!$G$5:$G$160="moeda")+(Inputs!$G$5:$G$160="acoes"))*Inputs!$B$1+((Inputs!$G$5:$G$160&lt;&gt;"moeda")*(Inputs!$G$5:$G$160&lt;&gt;"acoes")))*INDEX(Inputs!$K$5:$AJ$160,0,MATCH(S$2,Inputs!$K$4:$AJ$4,0)))))</f>
        <v>36.46648343</v>
      </c>
      <c r="T9" s="6">
        <f>IF(ISNA(MATCH(T$2,Inputs!$K$4:$AJ$4,0)),NA(),IF(SUMPRODUCT((Inputs!$A$5:$A$160=$B9)*ISNUMBER(INDEX(Inputs!$K$5:$AJ$160,0,MATCH(T$2,Inputs!$K$4:$AJ$4,0))))+SUMPRODUCT((Inputs!$C$5:$C$160=$B9)*ISNUMBER(INDEX(Inputs!$K$5:$AJ$160,0,MATCH(T$2,Inputs!$K$4:$AJ$4,0))))+SUMPRODUCT((Inputs!$E$5:$E$160=$B9)*ISNUMBER(INDEX(Inputs!$K$5:$AJ$160,0,MATCH(T$2,Inputs!$K$4:$AJ$4,0))))=0,NA(),SUMPRODUCT((Inputs!$A$5:$A$160=$B9)*Inputs!$B$5:$B$160*(((Inputs!$G$5:$G$160="moeda")+(Inputs!$G$5:$G$160="acoes"))*Inputs!$B$1+((Inputs!$G$5:$G$160&lt;&gt;"moeda")*(Inputs!$G$5:$G$160&lt;&gt;"acoes")))*INDEX(Inputs!$K$5:$AJ$160,0,MATCH(T$2,Inputs!$K$4:$AJ$4,0)))+SUMPRODUCT((Inputs!$C$5:$C$160=$B9)*Inputs!$D$5:$D$160*(((Inputs!$G$5:$G$160="moeda")+(Inputs!$G$5:$G$160="acoes"))*Inputs!$B$1+((Inputs!$G$5:$G$160&lt;&gt;"moeda")*(Inputs!$G$5:$G$160&lt;&gt;"acoes")))*INDEX(Inputs!$K$5:$AJ$160,0,MATCH(T$2,Inputs!$K$4:$AJ$4,0)))+SUMPRODUCT((Inputs!$E$5:$E$160=$B9)*Inputs!$F$5:$F$160*(((Inputs!$G$5:$G$160="moeda")+(Inputs!$G$5:$G$160="acoes"))*Inputs!$B$1+((Inputs!$G$5:$G$160&lt;&gt;"moeda")*(Inputs!$G$5:$G$160&lt;&gt;"acoes")))*INDEX(Inputs!$K$5:$AJ$160,0,MATCH(T$2,Inputs!$K$4:$AJ$4,0)))))</f>
        <v>39.213</v>
      </c>
      <c r="U9" s="6">
        <f>IF(ISNA(MATCH(U$2,Inputs!$K$4:$AJ$4,0)),NA(),IF(SUMPRODUCT((Inputs!$A$5:$A$160=$B9)*ISNUMBER(INDEX(Inputs!$K$5:$AJ$160,0,MATCH(U$2,Inputs!$K$4:$AJ$4,0))))+SUMPRODUCT((Inputs!$C$5:$C$160=$B9)*ISNUMBER(INDEX(Inputs!$K$5:$AJ$160,0,MATCH(U$2,Inputs!$K$4:$AJ$4,0))))+SUMPRODUCT((Inputs!$E$5:$E$160=$B9)*ISNUMBER(INDEX(Inputs!$K$5:$AJ$160,0,MATCH(U$2,Inputs!$K$4:$AJ$4,0))))=0,NA(),SUMPRODUCT((Inputs!$A$5:$A$160=$B9)*Inputs!$B$5:$B$160*(((Inputs!$G$5:$G$160="moeda")+(Inputs!$G$5:$G$160="acoes"))*Inputs!$B$1+((Inputs!$G$5:$G$160&lt;&gt;"moeda")*(Inputs!$G$5:$G$160&lt;&gt;"acoes")))*INDEX(Inputs!$K$5:$AJ$160,0,MATCH(U$2,Inputs!$K$4:$AJ$4,0)))+SUMPRODUCT((Inputs!$C$5:$C$160=$B9)*Inputs!$D$5:$D$160*(((Inputs!$G$5:$G$160="moeda")+(Inputs!$G$5:$G$160="acoes"))*Inputs!$B$1+((Inputs!$G$5:$G$160&lt;&gt;"moeda")*(Inputs!$G$5:$G$160&lt;&gt;"acoes")))*INDEX(Inputs!$K$5:$AJ$160,0,MATCH(U$2,Inputs!$K$4:$AJ$4,0)))+SUMPRODUCT((Inputs!$E$5:$E$160=$B9)*Inputs!$F$5:$F$160*(((Inputs!$G$5:$G$160="moeda")+(Inputs!$G$5:$G$160="acoes"))*Inputs!$B$1+((Inputs!$G$5:$G$160&lt;&gt;"moeda")*(Inputs!$G$5:$G$160&lt;&gt;"acoes")))*INDEX(Inputs!$K$5:$AJ$160,0,MATCH(U$2,Inputs!$K$4:$AJ$4,0)))))</f>
        <v>62.182</v>
      </c>
      <c r="V9" s="6">
        <f>IF(ISNA(MATCH(V$2,Inputs!$K$4:$AJ$4,0)),NA(),IF(SUMPRODUCT((Inputs!$A$5:$A$160=$B9)*ISNUMBER(INDEX(Inputs!$K$5:$AJ$160,0,MATCH(V$2,Inputs!$K$4:$AJ$4,0))))+SUMPRODUCT((Inputs!$C$5:$C$160=$B9)*ISNUMBER(INDEX(Inputs!$K$5:$AJ$160,0,MATCH(V$2,Inputs!$K$4:$AJ$4,0))))+SUMPRODUCT((Inputs!$E$5:$E$160=$B9)*ISNUMBER(INDEX(Inputs!$K$5:$AJ$160,0,MATCH(V$2,Inputs!$K$4:$AJ$4,0))))=0,NA(),SUMPRODUCT((Inputs!$A$5:$A$160=$B9)*Inputs!$B$5:$B$160*(((Inputs!$G$5:$G$160="moeda")+(Inputs!$G$5:$G$160="acoes"))*Inputs!$B$1+((Inputs!$G$5:$G$160&lt;&gt;"moeda")*(Inputs!$G$5:$G$160&lt;&gt;"acoes")))*INDEX(Inputs!$K$5:$AJ$160,0,MATCH(V$2,Inputs!$K$4:$AJ$4,0)))+SUMPRODUCT((Inputs!$C$5:$C$160=$B9)*Inputs!$D$5:$D$160*(((Inputs!$G$5:$G$160="moeda")+(Inputs!$G$5:$G$160="acoes"))*Inputs!$B$1+((Inputs!$G$5:$G$160&lt;&gt;"moeda")*(Inputs!$G$5:$G$160&lt;&gt;"acoes")))*INDEX(Inputs!$K$5:$AJ$160,0,MATCH(V$2,Inputs!$K$4:$AJ$4,0)))+SUMPRODUCT((Inputs!$E$5:$E$160=$B9)*Inputs!$F$5:$F$160*(((Inputs!$G$5:$G$160="moeda")+(Inputs!$G$5:$G$160="acoes"))*Inputs!$B$1+((Inputs!$G$5:$G$160&lt;&gt;"moeda")*(Inputs!$G$5:$G$160&lt;&gt;"acoes")))*INDEX(Inputs!$K$5:$AJ$160,0,MATCH(V$2,Inputs!$K$4:$AJ$4,0)))))</f>
        <v>67.62451657</v>
      </c>
      <c r="W9" s="3">
        <f>SUM(S9:V9)</f>
        <v>205.486</v>
      </c>
      <c r="X9" s="6">
        <f>IF(ISNA(MATCH(X$2,Inputs!$K$4:$AJ$4,0)),NA(),IF(SUMPRODUCT((Inputs!$A$5:$A$160=$B9)*ISNUMBER(INDEX(Inputs!$K$5:$AJ$160,0,MATCH(X$2,Inputs!$K$4:$AJ$4,0))))+SUMPRODUCT((Inputs!$C$5:$C$160=$B9)*ISNUMBER(INDEX(Inputs!$K$5:$AJ$160,0,MATCH(X$2,Inputs!$K$4:$AJ$4,0))))+SUMPRODUCT((Inputs!$E$5:$E$160=$B9)*ISNUMBER(INDEX(Inputs!$K$5:$AJ$160,0,MATCH(X$2,Inputs!$K$4:$AJ$4,0))))=0,NA(),SUMPRODUCT((Inputs!$A$5:$A$160=$B9)*Inputs!$B$5:$B$160*(((Inputs!$G$5:$G$160="moeda")+(Inputs!$G$5:$G$160="acoes"))*Inputs!$B$1+((Inputs!$G$5:$G$160&lt;&gt;"moeda")*(Inputs!$G$5:$G$160&lt;&gt;"acoes")))*INDEX(Inputs!$K$5:$AJ$160,0,MATCH(X$2,Inputs!$K$4:$AJ$4,0)))+SUMPRODUCT((Inputs!$C$5:$C$160=$B9)*Inputs!$D$5:$D$160*(((Inputs!$G$5:$G$160="moeda")+(Inputs!$G$5:$G$160="acoes"))*Inputs!$B$1+((Inputs!$G$5:$G$160&lt;&gt;"moeda")*(Inputs!$G$5:$G$160&lt;&gt;"acoes")))*INDEX(Inputs!$K$5:$AJ$160,0,MATCH(X$2,Inputs!$K$4:$AJ$4,0)))+SUMPRODUCT((Inputs!$E$5:$E$160=$B9)*Inputs!$F$5:$F$160*(((Inputs!$G$5:$G$160="moeda")+(Inputs!$G$5:$G$160="acoes"))*Inputs!$B$1+((Inputs!$G$5:$G$160&lt;&gt;"moeda")*(Inputs!$G$5:$G$160&lt;&gt;"acoes")))*INDEX(Inputs!$K$5:$AJ$160,0,MATCH(X$2,Inputs!$K$4:$AJ$4,0)))))</f>
        <v>79.099815</v>
      </c>
      <c r="Y9" s="6">
        <f>IF(ISNA(MATCH(Y$2,Inputs!$K$4:$AJ$4,0)),NA(),IF(SUMPRODUCT((Inputs!$A$5:$A$160=$B9)*ISNUMBER(INDEX(Inputs!$K$5:$AJ$160,0,MATCH(Y$2,Inputs!$K$4:$AJ$4,0))))+SUMPRODUCT((Inputs!$C$5:$C$160=$B9)*ISNUMBER(INDEX(Inputs!$K$5:$AJ$160,0,MATCH(Y$2,Inputs!$K$4:$AJ$4,0))))+SUMPRODUCT((Inputs!$E$5:$E$160=$B9)*ISNUMBER(INDEX(Inputs!$K$5:$AJ$160,0,MATCH(Y$2,Inputs!$K$4:$AJ$4,0))))=0,NA(),SUMPRODUCT((Inputs!$A$5:$A$160=$B9)*Inputs!$B$5:$B$160*(((Inputs!$G$5:$G$160="moeda")+(Inputs!$G$5:$G$160="acoes"))*Inputs!$B$1+((Inputs!$G$5:$G$160&lt;&gt;"moeda")*(Inputs!$G$5:$G$160&lt;&gt;"acoes")))*INDEX(Inputs!$K$5:$AJ$160,0,MATCH(Y$2,Inputs!$K$4:$AJ$4,0)))+SUMPRODUCT((Inputs!$C$5:$C$160=$B9)*Inputs!$D$5:$D$160*(((Inputs!$G$5:$G$160="moeda")+(Inputs!$G$5:$G$160="acoes"))*Inputs!$B$1+((Inputs!$G$5:$G$160&lt;&gt;"moeda")*(Inputs!$G$5:$G$160&lt;&gt;"acoes")))*INDEX(Inputs!$K$5:$AJ$160,0,MATCH(Y$2,Inputs!$K$4:$AJ$4,0)))+SUMPRODUCT((Inputs!$E$5:$E$160=$B9)*Inputs!$F$5:$F$160*(((Inputs!$G$5:$G$160="moeda")+(Inputs!$G$5:$G$160="acoes"))*Inputs!$B$1+((Inputs!$G$5:$G$160&lt;&gt;"moeda")*(Inputs!$G$5:$G$160&lt;&gt;"acoes")))*INDEX(Inputs!$K$5:$AJ$160,0,MATCH(Y$2,Inputs!$K$4:$AJ$4,0)))))</f>
        <v>80.601</v>
      </c>
      <c r="Z9" s="6">
        <f>IF(ISNA(MATCH(Z$2,Inputs!$K$4:$AJ$4,0)),NA(),IF(SUMPRODUCT((Inputs!$A$5:$A$160=$B9)*ISNUMBER(INDEX(Inputs!$K$5:$AJ$160,0,MATCH(Z$2,Inputs!$K$4:$AJ$4,0))))+SUMPRODUCT((Inputs!$C$5:$C$160=$B9)*ISNUMBER(INDEX(Inputs!$K$5:$AJ$160,0,MATCH(Z$2,Inputs!$K$4:$AJ$4,0))))+SUMPRODUCT((Inputs!$E$5:$E$160=$B9)*ISNUMBER(INDEX(Inputs!$K$5:$AJ$160,0,MATCH(Z$2,Inputs!$K$4:$AJ$4,0))))=0,NA(),SUMPRODUCT((Inputs!$A$5:$A$160=$B9)*Inputs!$B$5:$B$160*(((Inputs!$G$5:$G$160="moeda")+(Inputs!$G$5:$G$160="acoes"))*Inputs!$B$1+((Inputs!$G$5:$G$160&lt;&gt;"moeda")*(Inputs!$G$5:$G$160&lt;&gt;"acoes")))*INDEX(Inputs!$K$5:$AJ$160,0,MATCH(Z$2,Inputs!$K$4:$AJ$4,0)))+SUMPRODUCT((Inputs!$C$5:$C$160=$B9)*Inputs!$D$5:$D$160*(((Inputs!$G$5:$G$160="moeda")+(Inputs!$G$5:$G$160="acoes"))*Inputs!$B$1+((Inputs!$G$5:$G$160&lt;&gt;"moeda")*(Inputs!$G$5:$G$160&lt;&gt;"acoes")))*INDEX(Inputs!$K$5:$AJ$160,0,MATCH(Z$2,Inputs!$K$4:$AJ$4,0)))+SUMPRODUCT((Inputs!$E$5:$E$160=$B9)*Inputs!$F$5:$F$160*(((Inputs!$G$5:$G$160="moeda")+(Inputs!$G$5:$G$160="acoes"))*Inputs!$B$1+((Inputs!$G$5:$G$160&lt;&gt;"moeda")*(Inputs!$G$5:$G$160&lt;&gt;"acoes")))*INDEX(Inputs!$K$5:$AJ$160,0,MATCH(Z$2,Inputs!$K$4:$AJ$4,0)))))</f>
        <v>90.06051204</v>
      </c>
      <c r="AA9" s="6">
        <f>IF(ISNA(MATCH(AA$2,Inputs!$K$4:$AJ$4,0)),NA(),IF(SUMPRODUCT((Inputs!$A$5:$A$160=$B9)*ISNUMBER(INDEX(Inputs!$K$5:$AJ$160,0,MATCH(AA$2,Inputs!$K$4:$AJ$4,0))))+SUMPRODUCT((Inputs!$C$5:$C$160=$B9)*ISNUMBER(INDEX(Inputs!$K$5:$AJ$160,0,MATCH(AA$2,Inputs!$K$4:$AJ$4,0))))+SUMPRODUCT((Inputs!$E$5:$E$160=$B9)*ISNUMBER(INDEX(Inputs!$K$5:$AJ$160,0,MATCH(AA$2,Inputs!$K$4:$AJ$4,0))))=0,NA(),SUMPRODUCT((Inputs!$A$5:$A$160=$B9)*Inputs!$B$5:$B$160*(((Inputs!$G$5:$G$160="moeda")+(Inputs!$G$5:$G$160="acoes"))*Inputs!$B$1+((Inputs!$G$5:$G$160&lt;&gt;"moeda")*(Inputs!$G$5:$G$160&lt;&gt;"acoes")))*INDEX(Inputs!$K$5:$AJ$160,0,MATCH(AA$2,Inputs!$K$4:$AJ$4,0)))+SUMPRODUCT((Inputs!$C$5:$C$160=$B9)*Inputs!$D$5:$D$160*(((Inputs!$G$5:$G$160="moeda")+(Inputs!$G$5:$G$160="acoes"))*Inputs!$B$1+((Inputs!$G$5:$G$160&lt;&gt;"moeda")*(Inputs!$G$5:$G$160&lt;&gt;"acoes")))*INDEX(Inputs!$K$5:$AJ$160,0,MATCH(AA$2,Inputs!$K$4:$AJ$4,0)))+SUMPRODUCT((Inputs!$E$5:$E$160=$B9)*Inputs!$F$5:$F$160*(((Inputs!$G$5:$G$160="moeda")+(Inputs!$G$5:$G$160="acoes"))*Inputs!$B$1+((Inputs!$G$5:$G$160&lt;&gt;"moeda")*(Inputs!$G$5:$G$160&lt;&gt;"acoes")))*INDEX(Inputs!$K$5:$AJ$160,0,MATCH(AA$2,Inputs!$K$4:$AJ$4,0)))))</f>
        <v>85.67562359</v>
      </c>
      <c r="AB9" s="3">
        <f>SUM(X9:AA9)</f>
        <v>335.43695063</v>
      </c>
      <c r="AC9" s="6">
        <f>IF(ISNA(MATCH(AC$2,Inputs!$K$4:$AJ$4,0)),NA(),IF(SUMPRODUCT((Inputs!$A$5:$A$160=$B9)*ISNUMBER(INDEX(Inputs!$K$5:$AJ$160,0,MATCH(AC$2,Inputs!$K$4:$AJ$4,0))))+SUMPRODUCT((Inputs!$C$5:$C$160=$B9)*ISNUMBER(INDEX(Inputs!$K$5:$AJ$160,0,MATCH(AC$2,Inputs!$K$4:$AJ$4,0))))+SUMPRODUCT((Inputs!$E$5:$E$160=$B9)*ISNUMBER(INDEX(Inputs!$K$5:$AJ$160,0,MATCH(AC$2,Inputs!$K$4:$AJ$4,0))))=0,NA(),SUMPRODUCT((Inputs!$A$5:$A$160=$B9)*Inputs!$B$5:$B$160*(((Inputs!$G$5:$G$160="moeda")+(Inputs!$G$5:$G$160="acoes"))*Inputs!$B$1+((Inputs!$G$5:$G$160&lt;&gt;"moeda")*(Inputs!$G$5:$G$160&lt;&gt;"acoes")))*INDEX(Inputs!$K$5:$AJ$160,0,MATCH(AC$2,Inputs!$K$4:$AJ$4,0)))+SUMPRODUCT((Inputs!$C$5:$C$160=$B9)*Inputs!$D$5:$D$160*(((Inputs!$G$5:$G$160="moeda")+(Inputs!$G$5:$G$160="acoes"))*Inputs!$B$1+((Inputs!$G$5:$G$160&lt;&gt;"moeda")*(Inputs!$G$5:$G$160&lt;&gt;"acoes")))*INDEX(Inputs!$K$5:$AJ$160,0,MATCH(AC$2,Inputs!$K$4:$AJ$4,0)))+SUMPRODUCT((Inputs!$E$5:$E$160=$B9)*Inputs!$F$5:$F$160*(((Inputs!$G$5:$G$160="moeda")+(Inputs!$G$5:$G$160="acoes"))*Inputs!$B$1+((Inputs!$G$5:$G$160&lt;&gt;"moeda")*(Inputs!$G$5:$G$160&lt;&gt;"acoes")))*INDEX(Inputs!$K$5:$AJ$160,0,MATCH(AC$2,Inputs!$K$4:$AJ$4,0)))))</f>
        <v>80.81498743</v>
      </c>
      <c r="AD9" s="6">
        <f>IF(ISNA(MATCH(AD$2,Inputs!$K$4:$AJ$4,0)),NA(),IF(SUMPRODUCT((Inputs!$A$5:$A$160=$B9)*ISNUMBER(INDEX(Inputs!$K$5:$AJ$160,0,MATCH(AD$2,Inputs!$K$4:$AJ$4,0))))+SUMPRODUCT((Inputs!$C$5:$C$160=$B9)*ISNUMBER(INDEX(Inputs!$K$5:$AJ$160,0,MATCH(AD$2,Inputs!$K$4:$AJ$4,0))))+SUMPRODUCT((Inputs!$E$5:$E$160=$B9)*ISNUMBER(INDEX(Inputs!$K$5:$AJ$160,0,MATCH(AD$2,Inputs!$K$4:$AJ$4,0))))=0,NA(),SUMPRODUCT((Inputs!$A$5:$A$160=$B9)*Inputs!$B$5:$B$160*(((Inputs!$G$5:$G$160="moeda")+(Inputs!$G$5:$G$160="acoes"))*Inputs!$B$1+((Inputs!$G$5:$G$160&lt;&gt;"moeda")*(Inputs!$G$5:$G$160&lt;&gt;"acoes")))*INDEX(Inputs!$K$5:$AJ$160,0,MATCH(AD$2,Inputs!$K$4:$AJ$4,0)))+SUMPRODUCT((Inputs!$C$5:$C$160=$B9)*Inputs!$D$5:$D$160*(((Inputs!$G$5:$G$160="moeda")+(Inputs!$G$5:$G$160="acoes"))*Inputs!$B$1+((Inputs!$G$5:$G$160&lt;&gt;"moeda")*(Inputs!$G$5:$G$160&lt;&gt;"acoes")))*INDEX(Inputs!$K$5:$AJ$160,0,MATCH(AD$2,Inputs!$K$4:$AJ$4,0)))+SUMPRODUCT((Inputs!$E$5:$E$160=$B9)*Inputs!$F$5:$F$160*(((Inputs!$G$5:$G$160="moeda")+(Inputs!$G$5:$G$160="acoes"))*Inputs!$B$1+((Inputs!$G$5:$G$160&lt;&gt;"moeda")*(Inputs!$G$5:$G$160&lt;&gt;"acoes")))*INDEX(Inputs!$K$5:$AJ$160,0,MATCH(AD$2,Inputs!$K$4:$AJ$4,0)))))</f>
        <v>79.498624</v>
      </c>
      <c r="AE9" s="6" t="e">
        <f>IF(ISNA(MATCH(AE$2,Inputs!$K$4:$AJ$4,0)),NA(),IF(SUMPRODUCT((Inputs!$A$5:$A$160=$B9)*ISNUMBER(INDEX(Inputs!$K$5:$AJ$160,0,MATCH(AE$2,Inputs!$K$4:$AJ$4,0))))+SUMPRODUCT((Inputs!$C$5:$C$160=$B9)*ISNUMBER(INDEX(Inputs!$K$5:$AJ$160,0,MATCH(AE$2,Inputs!$K$4:$AJ$4,0))))+SUMPRODUCT((Inputs!$E$5:$E$160=$B9)*ISNUMBER(INDEX(Inputs!$K$5:$AJ$160,0,MATCH(AE$2,Inputs!$K$4:$AJ$4,0))))=0,NA(),SUMPRODUCT((Inputs!$A$5:$A$160=$B9)*Inputs!$B$5:$B$160*(((Inputs!$G$5:$G$160="moeda")+(Inputs!$G$5:$G$160="acoes"))*Inputs!$B$1+((Inputs!$G$5:$G$160&lt;&gt;"moeda")*(Inputs!$G$5:$G$160&lt;&gt;"acoes")))*INDEX(Inputs!$K$5:$AJ$160,0,MATCH(AE$2,Inputs!$K$4:$AJ$4,0)))+SUMPRODUCT((Inputs!$C$5:$C$160=$B9)*Inputs!$D$5:$D$160*(((Inputs!$G$5:$G$160="moeda")+(Inputs!$G$5:$G$160="acoes"))*Inputs!$B$1+((Inputs!$G$5:$G$160&lt;&gt;"moeda")*(Inputs!$G$5:$G$160&lt;&gt;"acoes")))*INDEX(Inputs!$K$5:$AJ$160,0,MATCH(AE$2,Inputs!$K$4:$AJ$4,0)))+SUMPRODUCT((Inputs!$E$5:$E$160=$B9)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9" s="6" t="e">
        <f>IF(ISNA(MATCH(AF$2,Inputs!$K$4:$AJ$4,0)),NA(),IF(SUMPRODUCT((Inputs!$A$5:$A$160=$B9)*ISNUMBER(INDEX(Inputs!$K$5:$AJ$160,0,MATCH(AF$2,Inputs!$K$4:$AJ$4,0))))+SUMPRODUCT((Inputs!$C$5:$C$160=$B9)*ISNUMBER(INDEX(Inputs!$K$5:$AJ$160,0,MATCH(AF$2,Inputs!$K$4:$AJ$4,0))))+SUMPRODUCT((Inputs!$E$5:$E$160=$B9)*ISNUMBER(INDEX(Inputs!$K$5:$AJ$160,0,MATCH(AF$2,Inputs!$K$4:$AJ$4,0))))=0,NA(),SUMPRODUCT((Inputs!$A$5:$A$160=$B9)*Inputs!$B$5:$B$160*(((Inputs!$G$5:$G$160="moeda")+(Inputs!$G$5:$G$160="acoes"))*Inputs!$B$1+((Inputs!$G$5:$G$160&lt;&gt;"moeda")*(Inputs!$G$5:$G$160&lt;&gt;"acoes")))*INDEX(Inputs!$K$5:$AJ$160,0,MATCH(AF$2,Inputs!$K$4:$AJ$4,0)))+SUMPRODUCT((Inputs!$C$5:$C$160=$B9)*Inputs!$D$5:$D$160*(((Inputs!$G$5:$G$160="moeda")+(Inputs!$G$5:$G$160="acoes"))*Inputs!$B$1+((Inputs!$G$5:$G$160&lt;&gt;"moeda")*(Inputs!$G$5:$G$160&lt;&gt;"acoes")))*INDEX(Inputs!$K$5:$AJ$160,0,MATCH(AF$2,Inputs!$K$4:$AJ$4,0)))+SUMPRODUCT((Inputs!$E$5:$E$160=$B9)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9" s="3" t="e">
        <f>SUM(AC9:AF9)</f>
        <v>#N/A</v>
      </c>
      <c r="AH9" s="6">
        <f>IF(ISNA(MATCH(AH$2,Inputs!$K$4:$AJ$4,0)),NA(),IF(SUMPRODUCT((Inputs!$A$5:$A$160=$B9)*ISNUMBER(INDEX(Inputs!$K$5:$AJ$160,0,MATCH(AH$2,Inputs!$K$4:$AJ$4,0))))+SUMPRODUCT((Inputs!$C$5:$C$160=$B9)*ISNUMBER(INDEX(Inputs!$K$5:$AJ$160,0,MATCH(AH$2,Inputs!$K$4:$AJ$4,0))))+SUMPRODUCT((Inputs!$E$5:$E$160=$B9)*ISNUMBER(INDEX(Inputs!$K$5:$AJ$160,0,MATCH(AH$2,Inputs!$K$4:$AJ$4,0))))=0,NA(),SUMPRODUCT((Inputs!$A$5:$A$160=$B9)*Inputs!$B$5:$B$160*(((Inputs!$G$5:$G$160="moeda")+(Inputs!$G$5:$G$160="acoes"))*Inputs!$B$1+((Inputs!$G$5:$G$160&lt;&gt;"moeda")*(Inputs!$G$5:$G$160&lt;&gt;"acoes")))*INDEX(Inputs!$K$5:$AJ$160,0,MATCH(AH$2,Inputs!$K$4:$AJ$4,0)))+SUMPRODUCT((Inputs!$C$5:$C$160=$B9)*Inputs!$D$5:$D$160*(((Inputs!$G$5:$G$160="moeda")+(Inputs!$G$5:$G$160="acoes"))*Inputs!$B$1+((Inputs!$G$5:$G$160&lt;&gt;"moeda")*(Inputs!$G$5:$G$160&lt;&gt;"acoes")))*INDEX(Inputs!$K$5:$AJ$160,0,MATCH(AH$2,Inputs!$K$4:$AJ$4,0)))+SUMPRODUCT((Inputs!$E$5:$E$160=$B9)*Inputs!$F$5:$F$160*(((Inputs!$G$5:$G$160="moeda")+(Inputs!$G$5:$G$160="acoes"))*Inputs!$B$1+((Inputs!$G$5:$G$160&lt;&gt;"moeda")*(Inputs!$G$5:$G$160&lt;&gt;"acoes")))*INDEX(Inputs!$K$5:$AJ$160,0,MATCH(AH$2,Inputs!$K$4:$AJ$4,0)))))</f>
        <v>9.87809727</v>
      </c>
      <c r="AI9" s="6">
        <f>IF(ISNA(MATCH(AI$2,Inputs!$K$4:$AJ$4,0)),NA(),IF(SUMPRODUCT((Inputs!$A$5:$A$160=$B9)*ISNUMBER(INDEX(Inputs!$K$5:$AJ$160,0,MATCH(AI$2,Inputs!$K$4:$AJ$4,0))))+SUMPRODUCT((Inputs!$C$5:$C$160=$B9)*ISNUMBER(INDEX(Inputs!$K$5:$AJ$160,0,MATCH(AI$2,Inputs!$K$4:$AJ$4,0))))+SUMPRODUCT((Inputs!$E$5:$E$160=$B9)*ISNUMBER(INDEX(Inputs!$K$5:$AJ$160,0,MATCH(AI$2,Inputs!$K$4:$AJ$4,0))))=0,NA(),SUMPRODUCT((Inputs!$A$5:$A$160=$B9)*Inputs!$B$5:$B$160*(((Inputs!$G$5:$G$160="moeda")+(Inputs!$G$5:$G$160="acoes"))*Inputs!$B$1+((Inputs!$G$5:$G$160&lt;&gt;"moeda")*(Inputs!$G$5:$G$160&lt;&gt;"acoes")))*INDEX(Inputs!$K$5:$AJ$160,0,MATCH(AI$2,Inputs!$K$4:$AJ$4,0)))+SUMPRODUCT((Inputs!$C$5:$C$160=$B9)*Inputs!$D$5:$D$160*(((Inputs!$G$5:$G$160="moeda")+(Inputs!$G$5:$G$160="acoes"))*Inputs!$B$1+((Inputs!$G$5:$G$160&lt;&gt;"moeda")*(Inputs!$G$5:$G$160&lt;&gt;"acoes")))*INDEX(Inputs!$K$5:$AJ$160,0,MATCH(AI$2,Inputs!$K$4:$AJ$4,0)))+SUMPRODUCT((Inputs!$E$5:$E$160=$B9)*Inputs!$F$5:$F$160*(((Inputs!$G$5:$G$160="moeda")+(Inputs!$G$5:$G$160="acoes"))*Inputs!$B$1+((Inputs!$G$5:$G$160&lt;&gt;"moeda")*(Inputs!$G$5:$G$160&lt;&gt;"acoes")))*INDEX(Inputs!$K$5:$AJ$160,0,MATCH(AI$2,Inputs!$K$4:$AJ$4,0)))))</f>
        <v>8.77768171</v>
      </c>
      <c r="AJ9" s="6">
        <f>IF(ISNA(MATCH(AJ$2,Inputs!$K$4:$AJ$4,0)),NA(),IF(SUMPRODUCT((Inputs!$A$5:$A$160=$B9)*ISNUMBER(INDEX(Inputs!$K$5:$AJ$160,0,MATCH(AJ$2,Inputs!$K$4:$AJ$4,0))))+SUMPRODUCT((Inputs!$C$5:$C$160=$B9)*ISNUMBER(INDEX(Inputs!$K$5:$AJ$160,0,MATCH(AJ$2,Inputs!$K$4:$AJ$4,0))))+SUMPRODUCT((Inputs!$E$5:$E$160=$B9)*ISNUMBER(INDEX(Inputs!$K$5:$AJ$160,0,MATCH(AJ$2,Inputs!$K$4:$AJ$4,0))))=0,NA(),SUMPRODUCT((Inputs!$A$5:$A$160=$B9)*Inputs!$B$5:$B$160*(((Inputs!$G$5:$G$160="moeda")+(Inputs!$G$5:$G$160="acoes"))*Inputs!$B$1+((Inputs!$G$5:$G$160&lt;&gt;"moeda")*(Inputs!$G$5:$G$160&lt;&gt;"acoes")))*INDEX(Inputs!$K$5:$AJ$160,0,MATCH(AJ$2,Inputs!$K$4:$AJ$4,0)))+SUMPRODUCT((Inputs!$C$5:$C$160=$B9)*Inputs!$D$5:$D$160*(((Inputs!$G$5:$G$160="moeda")+(Inputs!$G$5:$G$160="acoes"))*Inputs!$B$1+((Inputs!$G$5:$G$160&lt;&gt;"moeda")*(Inputs!$G$5:$G$160&lt;&gt;"acoes")))*INDEX(Inputs!$K$5:$AJ$160,0,MATCH(AJ$2,Inputs!$K$4:$AJ$4,0)))+SUMPRODUCT((Inputs!$E$5:$E$160=$B9)*Inputs!$F$5:$F$160*(((Inputs!$G$5:$G$160="moeda")+(Inputs!$G$5:$G$160="acoes"))*Inputs!$B$1+((Inputs!$G$5:$G$160&lt;&gt;"moeda")*(Inputs!$G$5:$G$160&lt;&gt;"acoes")))*INDEX(Inputs!$K$5:$AJ$160,0,MATCH(AJ$2,Inputs!$K$4:$AJ$4,0)))))</f>
        <v>9.81101742</v>
      </c>
      <c r="AK9" s="6">
        <f>IF(ISNA(MATCH(AK$2,Inputs!$K$4:$AJ$4,0)),NA(),IF(SUMPRODUCT((Inputs!$A$5:$A$160=$B9)*ISNUMBER(INDEX(Inputs!$K$5:$AJ$160,0,MATCH(AK$2,Inputs!$K$4:$AJ$4,0))))+SUMPRODUCT((Inputs!$C$5:$C$160=$B9)*ISNUMBER(INDEX(Inputs!$K$5:$AJ$160,0,MATCH(AK$2,Inputs!$K$4:$AJ$4,0))))+SUMPRODUCT((Inputs!$E$5:$E$160=$B9)*ISNUMBER(INDEX(Inputs!$K$5:$AJ$160,0,MATCH(AK$2,Inputs!$K$4:$AJ$4,0))))=0,NA(),SUMPRODUCT((Inputs!$A$5:$A$160=$B9)*Inputs!$B$5:$B$160*(((Inputs!$G$5:$G$160="moeda")+(Inputs!$G$5:$G$160="acoes"))*Inputs!$B$1+((Inputs!$G$5:$G$160&lt;&gt;"moeda")*(Inputs!$G$5:$G$160&lt;&gt;"acoes")))*INDEX(Inputs!$K$5:$AJ$160,0,MATCH(AK$2,Inputs!$K$4:$AJ$4,0)))+SUMPRODUCT((Inputs!$C$5:$C$160=$B9)*Inputs!$D$5:$D$160*(((Inputs!$G$5:$G$160="moeda")+(Inputs!$G$5:$G$160="acoes"))*Inputs!$B$1+((Inputs!$G$5:$G$160&lt;&gt;"moeda")*(Inputs!$G$5:$G$160&lt;&gt;"acoes")))*INDEX(Inputs!$K$5:$AJ$160,0,MATCH(AK$2,Inputs!$K$4:$AJ$4,0)))+SUMPRODUCT((Inputs!$E$5:$E$160=$B9)*Inputs!$F$5:$F$160*(((Inputs!$G$5:$G$160="moeda")+(Inputs!$G$5:$G$160="acoes"))*Inputs!$B$1+((Inputs!$G$5:$G$160&lt;&gt;"moeda")*(Inputs!$G$5:$G$160&lt;&gt;"acoes")))*INDEX(Inputs!$K$5:$AJ$160,0,MATCH(AK$2,Inputs!$K$4:$AJ$4,0)))))</f>
        <v>8.64034112</v>
      </c>
      <c r="AL9" s="3">
        <f>SUM(AH9:AK9)</f>
        <v>37.10713752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$160=$B10)*ISNUMBER(INDEX(Inputs!$K$5:$AJ$160,0,MATCH(D$2,Inputs!$K$4:$AJ$4,0))))+SUMPRODUCT((Inputs!$C$5:$C$160=$B10)*ISNUMBER(INDEX(Inputs!$K$5:$AJ$160,0,MATCH(D$2,Inputs!$K$4:$AJ$4,0))))+SUMPRODUCT((Inputs!$E$5:$E$160=$B10)*ISNUMBER(INDEX(Inputs!$K$5:$AJ$160,0,MATCH(D$2,Inputs!$K$4:$AJ$4,0))))=0,NA(),SUMPRODUCT((Inputs!$A$5:$A$160=$B10)*Inputs!$B$5:$B$160*(((Inputs!$G$5:$G$160="moeda")+(Inputs!$G$5:$G$160="acoes"))*Inputs!$B$1+((Inputs!$G$5:$G$160&lt;&gt;"moeda")*(Inputs!$G$5:$G$160&lt;&gt;"acoes")))*INDEX(Inputs!$K$5:$AJ$160,0,MATCH(D$2,Inputs!$K$4:$AJ$4,0)))+SUMPRODUCT((Inputs!$C$5:$C$160=$B10)*Inputs!$D$5:$D$160*(((Inputs!$G$5:$G$160="moeda")+(Inputs!$G$5:$G$160="acoes"))*Inputs!$B$1+((Inputs!$G$5:$G$160&lt;&gt;"moeda")*(Inputs!$G$5:$G$160&lt;&gt;"acoes")))*INDEX(Inputs!$K$5:$AJ$160,0,MATCH(D$2,Inputs!$K$4:$AJ$4,0)))+SUMPRODUCT((Inputs!$E$5:$E$160=$B10)*Inputs!$F$5:$F$160*(((Inputs!$G$5:$G$160="moeda")+(Inputs!$G$5:$G$160="acoes"))*Inputs!$B$1+((Inputs!$G$5:$G$160&lt;&gt;"moeda")*(Inputs!$G$5:$G$160&lt;&gt;"acoes")))*INDEX(Inputs!$K$5:$AJ$160,0,MATCH(D$2,Inputs!$K$4:$AJ$4,0)))))</f>
        <v>-49.15601659</v>
      </c>
      <c r="E10" s="6">
        <f>IF(ISNA(MATCH(E$2,Inputs!$K$4:$AJ$4,0)),NA(),IF(SUMPRODUCT((Inputs!$A$5:$A$160=$B10)*ISNUMBER(INDEX(Inputs!$K$5:$AJ$160,0,MATCH(E$2,Inputs!$K$4:$AJ$4,0))))+SUMPRODUCT((Inputs!$C$5:$C$160=$B10)*ISNUMBER(INDEX(Inputs!$K$5:$AJ$160,0,MATCH(E$2,Inputs!$K$4:$AJ$4,0))))+SUMPRODUCT((Inputs!$E$5:$E$160=$B10)*ISNUMBER(INDEX(Inputs!$K$5:$AJ$160,0,MATCH(E$2,Inputs!$K$4:$AJ$4,0))))=0,NA(),SUMPRODUCT((Inputs!$A$5:$A$160=$B10)*Inputs!$B$5:$B$160*(((Inputs!$G$5:$G$160="moeda")+(Inputs!$G$5:$G$160="acoes"))*Inputs!$B$1+((Inputs!$G$5:$G$160&lt;&gt;"moeda")*(Inputs!$G$5:$G$160&lt;&gt;"acoes")))*INDEX(Inputs!$K$5:$AJ$160,0,MATCH(E$2,Inputs!$K$4:$AJ$4,0)))+SUMPRODUCT((Inputs!$C$5:$C$160=$B10)*Inputs!$D$5:$D$160*(((Inputs!$G$5:$G$160="moeda")+(Inputs!$G$5:$G$160="acoes"))*Inputs!$B$1+((Inputs!$G$5:$G$160&lt;&gt;"moeda")*(Inputs!$G$5:$G$160&lt;&gt;"acoes")))*INDEX(Inputs!$K$5:$AJ$160,0,MATCH(E$2,Inputs!$K$4:$AJ$4,0)))+SUMPRODUCT((Inputs!$E$5:$E$160=$B10)*Inputs!$F$5:$F$160*(((Inputs!$G$5:$G$160="moeda")+(Inputs!$G$5:$G$160="acoes"))*Inputs!$B$1+((Inputs!$G$5:$G$160&lt;&gt;"moeda")*(Inputs!$G$5:$G$160&lt;&gt;"acoes")))*INDEX(Inputs!$K$5:$AJ$160,0,MATCH(E$2,Inputs!$K$4:$AJ$4,0)))))</f>
        <v>-27.14299102</v>
      </c>
      <c r="F10" s="6">
        <f>IF(ISNA(MATCH(F$2,Inputs!$K$4:$AJ$4,0)),NA(),IF(SUMPRODUCT((Inputs!$A$5:$A$160=$B10)*ISNUMBER(INDEX(Inputs!$K$5:$AJ$160,0,MATCH(F$2,Inputs!$K$4:$AJ$4,0))))+SUMPRODUCT((Inputs!$C$5:$C$160=$B10)*ISNUMBER(INDEX(Inputs!$K$5:$AJ$160,0,MATCH(F$2,Inputs!$K$4:$AJ$4,0))))+SUMPRODUCT((Inputs!$E$5:$E$160=$B10)*ISNUMBER(INDEX(Inputs!$K$5:$AJ$160,0,MATCH(F$2,Inputs!$K$4:$AJ$4,0))))=0,NA(),SUMPRODUCT((Inputs!$A$5:$A$160=$B10)*Inputs!$B$5:$B$160*(((Inputs!$G$5:$G$160="moeda")+(Inputs!$G$5:$G$160="acoes"))*Inputs!$B$1+((Inputs!$G$5:$G$160&lt;&gt;"moeda")*(Inputs!$G$5:$G$160&lt;&gt;"acoes")))*INDEX(Inputs!$K$5:$AJ$160,0,MATCH(F$2,Inputs!$K$4:$AJ$4,0)))+SUMPRODUCT((Inputs!$C$5:$C$160=$B10)*Inputs!$D$5:$D$160*(((Inputs!$G$5:$G$160="moeda")+(Inputs!$G$5:$G$160="acoes"))*Inputs!$B$1+((Inputs!$G$5:$G$160&lt;&gt;"moeda")*(Inputs!$G$5:$G$160&lt;&gt;"acoes")))*INDEX(Inputs!$K$5:$AJ$160,0,MATCH(F$2,Inputs!$K$4:$AJ$4,0)))+SUMPRODUCT((Inputs!$E$5:$E$160=$B10)*Inputs!$F$5:$F$160*(((Inputs!$G$5:$G$160="moeda")+(Inputs!$G$5:$G$160="acoes"))*Inputs!$B$1+((Inputs!$G$5:$G$160&lt;&gt;"moeda")*(Inputs!$G$5:$G$160&lt;&gt;"acoes")))*INDEX(Inputs!$K$5:$AJ$160,0,MATCH(F$2,Inputs!$K$4:$AJ$4,0)))))</f>
        <v>-39.94616017</v>
      </c>
      <c r="G10" s="6">
        <f>IF(ISNA(MATCH(G$2,Inputs!$K$4:$AJ$4,0)),NA(),IF(SUMPRODUCT((Inputs!$A$5:$A$160=$B10)*ISNUMBER(INDEX(Inputs!$K$5:$AJ$160,0,MATCH(G$2,Inputs!$K$4:$AJ$4,0))))+SUMPRODUCT((Inputs!$C$5:$C$160=$B10)*ISNUMBER(INDEX(Inputs!$K$5:$AJ$160,0,MATCH(G$2,Inputs!$K$4:$AJ$4,0))))+SUMPRODUCT((Inputs!$E$5:$E$160=$B10)*ISNUMBER(INDEX(Inputs!$K$5:$AJ$160,0,MATCH(G$2,Inputs!$K$4:$AJ$4,0))))=0,NA(),SUMPRODUCT((Inputs!$A$5:$A$160=$B10)*Inputs!$B$5:$B$160*(((Inputs!$G$5:$G$160="moeda")+(Inputs!$G$5:$G$160="acoes"))*Inputs!$B$1+((Inputs!$G$5:$G$160&lt;&gt;"moeda")*(Inputs!$G$5:$G$160&lt;&gt;"acoes")))*INDEX(Inputs!$K$5:$AJ$160,0,MATCH(G$2,Inputs!$K$4:$AJ$4,0)))+SUMPRODUCT((Inputs!$C$5:$C$160=$B10)*Inputs!$D$5:$D$160*(((Inputs!$G$5:$G$160="moeda")+(Inputs!$G$5:$G$160="acoes"))*Inputs!$B$1+((Inputs!$G$5:$G$160&lt;&gt;"moeda")*(Inputs!$G$5:$G$160&lt;&gt;"acoes")))*INDEX(Inputs!$K$5:$AJ$160,0,MATCH(G$2,Inputs!$K$4:$AJ$4,0)))+SUMPRODUCT((Inputs!$E$5:$E$160=$B10)*Inputs!$F$5:$F$160*(((Inputs!$G$5:$G$160="moeda")+(Inputs!$G$5:$G$160="acoes"))*Inputs!$B$1+((Inputs!$G$5:$G$160&lt;&gt;"moeda")*(Inputs!$G$5:$G$160&lt;&gt;"acoes")))*INDEX(Inputs!$K$5:$AJ$160,0,MATCH(G$2,Inputs!$K$4:$AJ$4,0)))))</f>
        <v>-28.37167513</v>
      </c>
      <c r="H10" s="3">
        <f>SUM(D10:G10)</f>
        <v>-144.61684291</v>
      </c>
      <c r="I10" s="6">
        <f>IF(ISNA(MATCH(I$2,Inputs!$K$4:$AJ$4,0)),NA(),IF(SUMPRODUCT((Inputs!$A$5:$A$160=$B10)*ISNUMBER(INDEX(Inputs!$K$5:$AJ$160,0,MATCH(I$2,Inputs!$K$4:$AJ$4,0))))+SUMPRODUCT((Inputs!$C$5:$C$160=$B10)*ISNUMBER(INDEX(Inputs!$K$5:$AJ$160,0,MATCH(I$2,Inputs!$K$4:$AJ$4,0))))+SUMPRODUCT((Inputs!$E$5:$E$160=$B10)*ISNUMBER(INDEX(Inputs!$K$5:$AJ$160,0,MATCH(I$2,Inputs!$K$4:$AJ$4,0))))=0,NA(),SUMPRODUCT((Inputs!$A$5:$A$160=$B10)*Inputs!$B$5:$B$160*(((Inputs!$G$5:$G$160="moeda")+(Inputs!$G$5:$G$160="acoes"))*Inputs!$B$1+((Inputs!$G$5:$G$160&lt;&gt;"moeda")*(Inputs!$G$5:$G$160&lt;&gt;"acoes")))*INDEX(Inputs!$K$5:$AJ$160,0,MATCH(I$2,Inputs!$K$4:$AJ$4,0)))+SUMPRODUCT((Inputs!$C$5:$C$160=$B10)*Inputs!$D$5:$D$160*(((Inputs!$G$5:$G$160="moeda")+(Inputs!$G$5:$G$160="acoes"))*Inputs!$B$1+((Inputs!$G$5:$G$160&lt;&gt;"moeda")*(Inputs!$G$5:$G$160&lt;&gt;"acoes")))*INDEX(Inputs!$K$5:$AJ$160,0,MATCH(I$2,Inputs!$K$4:$AJ$4,0)))+SUMPRODUCT((Inputs!$E$5:$E$160=$B10)*Inputs!$F$5:$F$160*(((Inputs!$G$5:$G$160="moeda")+(Inputs!$G$5:$G$160="acoes"))*Inputs!$B$1+((Inputs!$G$5:$G$160&lt;&gt;"moeda")*(Inputs!$G$5:$G$160&lt;&gt;"acoes")))*INDEX(Inputs!$K$5:$AJ$160,0,MATCH(I$2,Inputs!$K$4:$AJ$4,0)))))</f>
        <v>-42.67500254</v>
      </c>
      <c r="J10" s="6">
        <f>IF(ISNA(MATCH(J$2,Inputs!$K$4:$AJ$4,0)),NA(),IF(SUMPRODUCT((Inputs!$A$5:$A$160=$B10)*ISNUMBER(INDEX(Inputs!$K$5:$AJ$160,0,MATCH(J$2,Inputs!$K$4:$AJ$4,0))))+SUMPRODUCT((Inputs!$C$5:$C$160=$B10)*ISNUMBER(INDEX(Inputs!$K$5:$AJ$160,0,MATCH(J$2,Inputs!$K$4:$AJ$4,0))))+SUMPRODUCT((Inputs!$E$5:$E$160=$B10)*ISNUMBER(INDEX(Inputs!$K$5:$AJ$160,0,MATCH(J$2,Inputs!$K$4:$AJ$4,0))))=0,NA(),SUMPRODUCT((Inputs!$A$5:$A$160=$B10)*Inputs!$B$5:$B$160*(((Inputs!$G$5:$G$160="moeda")+(Inputs!$G$5:$G$160="acoes"))*Inputs!$B$1+((Inputs!$G$5:$G$160&lt;&gt;"moeda")*(Inputs!$G$5:$G$160&lt;&gt;"acoes")))*INDEX(Inputs!$K$5:$AJ$160,0,MATCH(J$2,Inputs!$K$4:$AJ$4,0)))+SUMPRODUCT((Inputs!$C$5:$C$160=$B10)*Inputs!$D$5:$D$160*(((Inputs!$G$5:$G$160="moeda")+(Inputs!$G$5:$G$160="acoes"))*Inputs!$B$1+((Inputs!$G$5:$G$160&lt;&gt;"moeda")*(Inputs!$G$5:$G$160&lt;&gt;"acoes")))*INDEX(Inputs!$K$5:$AJ$160,0,MATCH(J$2,Inputs!$K$4:$AJ$4,0)))+SUMPRODUCT((Inputs!$E$5:$E$160=$B10)*Inputs!$F$5:$F$160*(((Inputs!$G$5:$G$160="moeda")+(Inputs!$G$5:$G$160="acoes"))*Inputs!$B$1+((Inputs!$G$5:$G$160&lt;&gt;"moeda")*(Inputs!$G$5:$G$160&lt;&gt;"acoes")))*INDEX(Inputs!$K$5:$AJ$160,0,MATCH(J$2,Inputs!$K$4:$AJ$4,0)))))</f>
        <v>-27.30873652</v>
      </c>
      <c r="K10" s="6">
        <f>IF(ISNA(MATCH(K$2,Inputs!$K$4:$AJ$4,0)),NA(),IF(SUMPRODUCT((Inputs!$A$5:$A$160=$B10)*ISNUMBER(INDEX(Inputs!$K$5:$AJ$160,0,MATCH(K$2,Inputs!$K$4:$AJ$4,0))))+SUMPRODUCT((Inputs!$C$5:$C$160=$B10)*ISNUMBER(INDEX(Inputs!$K$5:$AJ$160,0,MATCH(K$2,Inputs!$K$4:$AJ$4,0))))+SUMPRODUCT((Inputs!$E$5:$E$160=$B10)*ISNUMBER(INDEX(Inputs!$K$5:$AJ$160,0,MATCH(K$2,Inputs!$K$4:$AJ$4,0))))=0,NA(),SUMPRODUCT((Inputs!$A$5:$A$160=$B10)*Inputs!$B$5:$B$160*(((Inputs!$G$5:$G$160="moeda")+(Inputs!$G$5:$G$160="acoes"))*Inputs!$B$1+((Inputs!$G$5:$G$160&lt;&gt;"moeda")*(Inputs!$G$5:$G$160&lt;&gt;"acoes")))*INDEX(Inputs!$K$5:$AJ$160,0,MATCH(K$2,Inputs!$K$4:$AJ$4,0)))+SUMPRODUCT((Inputs!$C$5:$C$160=$B10)*Inputs!$D$5:$D$160*(((Inputs!$G$5:$G$160="moeda")+(Inputs!$G$5:$G$160="acoes"))*Inputs!$B$1+((Inputs!$G$5:$G$160&lt;&gt;"moeda")*(Inputs!$G$5:$G$160&lt;&gt;"acoes")))*INDEX(Inputs!$K$5:$AJ$160,0,MATCH(K$2,Inputs!$K$4:$AJ$4,0)))+SUMPRODUCT((Inputs!$E$5:$E$160=$B10)*Inputs!$F$5:$F$160*(((Inputs!$G$5:$G$160="moeda")+(Inputs!$G$5:$G$160="acoes"))*Inputs!$B$1+((Inputs!$G$5:$G$160&lt;&gt;"moeda")*(Inputs!$G$5:$G$160&lt;&gt;"acoes")))*INDEX(Inputs!$K$5:$AJ$160,0,MATCH(K$2,Inputs!$K$4:$AJ$4,0)))))</f>
        <v>-26.85181194</v>
      </c>
      <c r="L10" s="6">
        <f>IF(ISNA(MATCH(L$2,Inputs!$K$4:$AJ$4,0)),NA(),IF(SUMPRODUCT((Inputs!$A$5:$A$160=$B10)*ISNUMBER(INDEX(Inputs!$K$5:$AJ$160,0,MATCH(L$2,Inputs!$K$4:$AJ$4,0))))+SUMPRODUCT((Inputs!$C$5:$C$160=$B10)*ISNUMBER(INDEX(Inputs!$K$5:$AJ$160,0,MATCH(L$2,Inputs!$K$4:$AJ$4,0))))+SUMPRODUCT((Inputs!$E$5:$E$160=$B10)*ISNUMBER(INDEX(Inputs!$K$5:$AJ$160,0,MATCH(L$2,Inputs!$K$4:$AJ$4,0))))=0,NA(),SUMPRODUCT((Inputs!$A$5:$A$160=$B10)*Inputs!$B$5:$B$160*(((Inputs!$G$5:$G$160="moeda")+(Inputs!$G$5:$G$160="acoes"))*Inputs!$B$1+((Inputs!$G$5:$G$160&lt;&gt;"moeda")*(Inputs!$G$5:$G$160&lt;&gt;"acoes")))*INDEX(Inputs!$K$5:$AJ$160,0,MATCH(L$2,Inputs!$K$4:$AJ$4,0)))+SUMPRODUCT((Inputs!$C$5:$C$160=$B10)*Inputs!$D$5:$D$160*(((Inputs!$G$5:$G$160="moeda")+(Inputs!$G$5:$G$160="acoes"))*Inputs!$B$1+((Inputs!$G$5:$G$160&lt;&gt;"moeda")*(Inputs!$G$5:$G$160&lt;&gt;"acoes")))*INDEX(Inputs!$K$5:$AJ$160,0,MATCH(L$2,Inputs!$K$4:$AJ$4,0)))+SUMPRODUCT((Inputs!$E$5:$E$160=$B10)*Inputs!$F$5:$F$160*(((Inputs!$G$5:$G$160="moeda")+(Inputs!$G$5:$G$160="acoes"))*Inputs!$B$1+((Inputs!$G$5:$G$160&lt;&gt;"moeda")*(Inputs!$G$5:$G$160&lt;&gt;"acoes")))*INDEX(Inputs!$K$5:$AJ$160,0,MATCH(L$2,Inputs!$K$4:$AJ$4,0)))))</f>
        <v>0.17334404</v>
      </c>
      <c r="M10" s="3">
        <f>SUM(I10:L10)</f>
        <v>-96.66220696</v>
      </c>
      <c r="N10" s="6">
        <f>IF(ISNA(MATCH(N$2,Inputs!$K$4:$AJ$4,0)),NA(),IF(SUMPRODUCT((Inputs!$A$5:$A$160=$B10)*ISNUMBER(INDEX(Inputs!$K$5:$AJ$160,0,MATCH(N$2,Inputs!$K$4:$AJ$4,0))))+SUMPRODUCT((Inputs!$C$5:$C$160=$B10)*ISNUMBER(INDEX(Inputs!$K$5:$AJ$160,0,MATCH(N$2,Inputs!$K$4:$AJ$4,0))))+SUMPRODUCT((Inputs!$E$5:$E$160=$B10)*ISNUMBER(INDEX(Inputs!$K$5:$AJ$160,0,MATCH(N$2,Inputs!$K$4:$AJ$4,0))))=0,NA(),SUMPRODUCT((Inputs!$A$5:$A$160=$B10)*Inputs!$B$5:$B$160*(((Inputs!$G$5:$G$160="moeda")+(Inputs!$G$5:$G$160="acoes"))*Inputs!$B$1+((Inputs!$G$5:$G$160&lt;&gt;"moeda")*(Inputs!$G$5:$G$160&lt;&gt;"acoes")))*INDEX(Inputs!$K$5:$AJ$160,0,MATCH(N$2,Inputs!$K$4:$AJ$4,0)))+SUMPRODUCT((Inputs!$C$5:$C$160=$B10)*Inputs!$D$5:$D$160*(((Inputs!$G$5:$G$160="moeda")+(Inputs!$G$5:$G$160="acoes"))*Inputs!$B$1+((Inputs!$G$5:$G$160&lt;&gt;"moeda")*(Inputs!$G$5:$G$160&lt;&gt;"acoes")))*INDEX(Inputs!$K$5:$AJ$160,0,MATCH(N$2,Inputs!$K$4:$AJ$4,0)))+SUMPRODUCT((Inputs!$E$5:$E$160=$B10)*Inputs!$F$5:$F$160*(((Inputs!$G$5:$G$160="moeda")+(Inputs!$G$5:$G$160="acoes"))*Inputs!$B$1+((Inputs!$G$5:$G$160&lt;&gt;"moeda")*(Inputs!$G$5:$G$160&lt;&gt;"acoes")))*INDEX(Inputs!$K$5:$AJ$160,0,MATCH(N$2,Inputs!$K$4:$AJ$4,0)))))</f>
        <v>-31.1542375</v>
      </c>
      <c r="O10" s="6">
        <f>IF(ISNA(MATCH(O$2,Inputs!$K$4:$AJ$4,0)),NA(),IF(SUMPRODUCT((Inputs!$A$5:$A$160=$B10)*ISNUMBER(INDEX(Inputs!$K$5:$AJ$160,0,MATCH(O$2,Inputs!$K$4:$AJ$4,0))))+SUMPRODUCT((Inputs!$C$5:$C$160=$B10)*ISNUMBER(INDEX(Inputs!$K$5:$AJ$160,0,MATCH(O$2,Inputs!$K$4:$AJ$4,0))))+SUMPRODUCT((Inputs!$E$5:$E$160=$B10)*ISNUMBER(INDEX(Inputs!$K$5:$AJ$160,0,MATCH(O$2,Inputs!$K$4:$AJ$4,0))))=0,NA(),SUMPRODUCT((Inputs!$A$5:$A$160=$B10)*Inputs!$B$5:$B$160*(((Inputs!$G$5:$G$160="moeda")+(Inputs!$G$5:$G$160="acoes"))*Inputs!$B$1+((Inputs!$G$5:$G$160&lt;&gt;"moeda")*(Inputs!$G$5:$G$160&lt;&gt;"acoes")))*INDEX(Inputs!$K$5:$AJ$160,0,MATCH(O$2,Inputs!$K$4:$AJ$4,0)))+SUMPRODUCT((Inputs!$C$5:$C$160=$B10)*Inputs!$D$5:$D$160*(((Inputs!$G$5:$G$160="moeda")+(Inputs!$G$5:$G$160="acoes"))*Inputs!$B$1+((Inputs!$G$5:$G$160&lt;&gt;"moeda")*(Inputs!$G$5:$G$160&lt;&gt;"acoes")))*INDEX(Inputs!$K$5:$AJ$160,0,MATCH(O$2,Inputs!$K$4:$AJ$4,0)))+SUMPRODUCT((Inputs!$E$5:$E$160=$B10)*Inputs!$F$5:$F$160*(((Inputs!$G$5:$G$160="moeda")+(Inputs!$G$5:$G$160="acoes"))*Inputs!$B$1+((Inputs!$G$5:$G$160&lt;&gt;"moeda")*(Inputs!$G$5:$G$160&lt;&gt;"acoes")))*INDEX(Inputs!$K$5:$AJ$160,0,MATCH(O$2,Inputs!$K$4:$AJ$4,0)))))</f>
        <v>-24.2056574939299</v>
      </c>
      <c r="P10" s="6">
        <f>IF(ISNA(MATCH(P$2,Inputs!$K$4:$AJ$4,0)),NA(),IF(SUMPRODUCT((Inputs!$A$5:$A$160=$B10)*ISNUMBER(INDEX(Inputs!$K$5:$AJ$160,0,MATCH(P$2,Inputs!$K$4:$AJ$4,0))))+SUMPRODUCT((Inputs!$C$5:$C$160=$B10)*ISNUMBER(INDEX(Inputs!$K$5:$AJ$160,0,MATCH(P$2,Inputs!$K$4:$AJ$4,0))))+SUMPRODUCT((Inputs!$E$5:$E$160=$B10)*ISNUMBER(INDEX(Inputs!$K$5:$AJ$160,0,MATCH(P$2,Inputs!$K$4:$AJ$4,0))))=0,NA(),SUMPRODUCT((Inputs!$A$5:$A$160=$B10)*Inputs!$B$5:$B$160*(((Inputs!$G$5:$G$160="moeda")+(Inputs!$G$5:$G$160="acoes"))*Inputs!$B$1+((Inputs!$G$5:$G$160&lt;&gt;"moeda")*(Inputs!$G$5:$G$160&lt;&gt;"acoes")))*INDEX(Inputs!$K$5:$AJ$160,0,MATCH(P$2,Inputs!$K$4:$AJ$4,0)))+SUMPRODUCT((Inputs!$C$5:$C$160=$B10)*Inputs!$D$5:$D$160*(((Inputs!$G$5:$G$160="moeda")+(Inputs!$G$5:$G$160="acoes"))*Inputs!$B$1+((Inputs!$G$5:$G$160&lt;&gt;"moeda")*(Inputs!$G$5:$G$160&lt;&gt;"acoes")))*INDEX(Inputs!$K$5:$AJ$160,0,MATCH(P$2,Inputs!$K$4:$AJ$4,0)))+SUMPRODUCT((Inputs!$E$5:$E$160=$B10)*Inputs!$F$5:$F$160*(((Inputs!$G$5:$G$160="moeda")+(Inputs!$G$5:$G$160="acoes"))*Inputs!$B$1+((Inputs!$G$5:$G$160&lt;&gt;"moeda")*(Inputs!$G$5:$G$160&lt;&gt;"acoes")))*INDEX(Inputs!$K$5:$AJ$160,0,MATCH(P$2,Inputs!$K$4:$AJ$4,0)))))</f>
        <v>-43.257</v>
      </c>
      <c r="Q10" s="6">
        <f>IF(ISNA(MATCH(Q$2,Inputs!$K$4:$AJ$4,0)),NA(),IF(SUMPRODUCT((Inputs!$A$5:$A$160=$B10)*ISNUMBER(INDEX(Inputs!$K$5:$AJ$160,0,MATCH(Q$2,Inputs!$K$4:$AJ$4,0))))+SUMPRODUCT((Inputs!$C$5:$C$160=$B10)*ISNUMBER(INDEX(Inputs!$K$5:$AJ$160,0,MATCH(Q$2,Inputs!$K$4:$AJ$4,0))))+SUMPRODUCT((Inputs!$E$5:$E$160=$B10)*ISNUMBER(INDEX(Inputs!$K$5:$AJ$160,0,MATCH(Q$2,Inputs!$K$4:$AJ$4,0))))=0,NA(),SUMPRODUCT((Inputs!$A$5:$A$160=$B10)*Inputs!$B$5:$B$160*(((Inputs!$G$5:$G$160="moeda")+(Inputs!$G$5:$G$160="acoes"))*Inputs!$B$1+((Inputs!$G$5:$G$160&lt;&gt;"moeda")*(Inputs!$G$5:$G$160&lt;&gt;"acoes")))*INDEX(Inputs!$K$5:$AJ$160,0,MATCH(Q$2,Inputs!$K$4:$AJ$4,0)))+SUMPRODUCT((Inputs!$C$5:$C$160=$B10)*Inputs!$D$5:$D$160*(((Inputs!$G$5:$G$160="moeda")+(Inputs!$G$5:$G$160="acoes"))*Inputs!$B$1+((Inputs!$G$5:$G$160&lt;&gt;"moeda")*(Inputs!$G$5:$G$160&lt;&gt;"acoes")))*INDEX(Inputs!$K$5:$AJ$160,0,MATCH(Q$2,Inputs!$K$4:$AJ$4,0)))+SUMPRODUCT((Inputs!$E$5:$E$160=$B10)*Inputs!$F$5:$F$160*(((Inputs!$G$5:$G$160="moeda")+(Inputs!$G$5:$G$160="acoes"))*Inputs!$B$1+((Inputs!$G$5:$G$160&lt;&gt;"moeda")*(Inputs!$G$5:$G$160&lt;&gt;"acoes")))*INDEX(Inputs!$K$5:$AJ$160,0,MATCH(Q$2,Inputs!$K$4:$AJ$4,0)))))</f>
        <v>-11.8881050060701</v>
      </c>
      <c r="R10" s="3">
        <f>SUM(N10:Q10)</f>
        <v>-110.505</v>
      </c>
      <c r="S10" s="6">
        <f>IF(ISNA(MATCH(S$2,Inputs!$K$4:$AJ$4,0)),NA(),IF(SUMPRODUCT((Inputs!$A$5:$A$160=$B10)*ISNUMBER(INDEX(Inputs!$K$5:$AJ$160,0,MATCH(S$2,Inputs!$K$4:$AJ$4,0))))+SUMPRODUCT((Inputs!$C$5:$C$160=$B10)*ISNUMBER(INDEX(Inputs!$K$5:$AJ$160,0,MATCH(S$2,Inputs!$K$4:$AJ$4,0))))+SUMPRODUCT((Inputs!$E$5:$E$160=$B10)*ISNUMBER(INDEX(Inputs!$K$5:$AJ$160,0,MATCH(S$2,Inputs!$K$4:$AJ$4,0))))=0,NA(),SUMPRODUCT((Inputs!$A$5:$A$160=$B10)*Inputs!$B$5:$B$160*(((Inputs!$G$5:$G$160="moeda")+(Inputs!$G$5:$G$160="acoes"))*Inputs!$B$1+((Inputs!$G$5:$G$160&lt;&gt;"moeda")*(Inputs!$G$5:$G$160&lt;&gt;"acoes")))*INDEX(Inputs!$K$5:$AJ$160,0,MATCH(S$2,Inputs!$K$4:$AJ$4,0)))+SUMPRODUCT((Inputs!$C$5:$C$160=$B10)*Inputs!$D$5:$D$160*(((Inputs!$G$5:$G$160="moeda")+(Inputs!$G$5:$G$160="acoes"))*Inputs!$B$1+((Inputs!$G$5:$G$160&lt;&gt;"moeda")*(Inputs!$G$5:$G$160&lt;&gt;"acoes")))*INDEX(Inputs!$K$5:$AJ$160,0,MATCH(S$2,Inputs!$K$4:$AJ$4,0)))+SUMPRODUCT((Inputs!$E$5:$E$160=$B10)*Inputs!$F$5:$F$160*(((Inputs!$G$5:$G$160="moeda")+(Inputs!$G$5:$G$160="acoes"))*Inputs!$B$1+((Inputs!$G$5:$G$160&lt;&gt;"moeda")*(Inputs!$G$5:$G$160&lt;&gt;"acoes")))*INDEX(Inputs!$K$5:$AJ$160,0,MATCH(S$2,Inputs!$K$4:$AJ$4,0)))))</f>
        <v>-48.642</v>
      </c>
      <c r="T10" s="6">
        <f>IF(ISNA(MATCH(T$2,Inputs!$K$4:$AJ$4,0)),NA(),IF(SUMPRODUCT((Inputs!$A$5:$A$160=$B10)*ISNUMBER(INDEX(Inputs!$K$5:$AJ$160,0,MATCH(T$2,Inputs!$K$4:$AJ$4,0))))+SUMPRODUCT((Inputs!$C$5:$C$160=$B10)*ISNUMBER(INDEX(Inputs!$K$5:$AJ$160,0,MATCH(T$2,Inputs!$K$4:$AJ$4,0))))+SUMPRODUCT((Inputs!$E$5:$E$160=$B10)*ISNUMBER(INDEX(Inputs!$K$5:$AJ$160,0,MATCH(T$2,Inputs!$K$4:$AJ$4,0))))=0,NA(),SUMPRODUCT((Inputs!$A$5:$A$160=$B10)*Inputs!$B$5:$B$160*(((Inputs!$G$5:$G$160="moeda")+(Inputs!$G$5:$G$160="acoes"))*Inputs!$B$1+((Inputs!$G$5:$G$160&lt;&gt;"moeda")*(Inputs!$G$5:$G$160&lt;&gt;"acoes")))*INDEX(Inputs!$K$5:$AJ$160,0,MATCH(T$2,Inputs!$K$4:$AJ$4,0)))+SUMPRODUCT((Inputs!$C$5:$C$160=$B10)*Inputs!$D$5:$D$160*(((Inputs!$G$5:$G$160="moeda")+(Inputs!$G$5:$G$160="acoes"))*Inputs!$B$1+((Inputs!$G$5:$G$160&lt;&gt;"moeda")*(Inputs!$G$5:$G$160&lt;&gt;"acoes")))*INDEX(Inputs!$K$5:$AJ$160,0,MATCH(T$2,Inputs!$K$4:$AJ$4,0)))+SUMPRODUCT((Inputs!$E$5:$E$160=$B10)*Inputs!$F$5:$F$160*(((Inputs!$G$5:$G$160="moeda")+(Inputs!$G$5:$G$160="acoes"))*Inputs!$B$1+((Inputs!$G$5:$G$160&lt;&gt;"moeda")*(Inputs!$G$5:$G$160&lt;&gt;"acoes")))*INDEX(Inputs!$K$5:$AJ$160,0,MATCH(T$2,Inputs!$K$4:$AJ$4,0)))))</f>
        <v>-55.949</v>
      </c>
      <c r="U10" s="6">
        <f>IF(ISNA(MATCH(U$2,Inputs!$K$4:$AJ$4,0)),NA(),IF(SUMPRODUCT((Inputs!$A$5:$A$160=$B10)*ISNUMBER(INDEX(Inputs!$K$5:$AJ$160,0,MATCH(U$2,Inputs!$K$4:$AJ$4,0))))+SUMPRODUCT((Inputs!$C$5:$C$160=$B10)*ISNUMBER(INDEX(Inputs!$K$5:$AJ$160,0,MATCH(U$2,Inputs!$K$4:$AJ$4,0))))+SUMPRODUCT((Inputs!$E$5:$E$160=$B10)*ISNUMBER(INDEX(Inputs!$K$5:$AJ$160,0,MATCH(U$2,Inputs!$K$4:$AJ$4,0))))=0,NA(),SUMPRODUCT((Inputs!$A$5:$A$160=$B10)*Inputs!$B$5:$B$160*(((Inputs!$G$5:$G$160="moeda")+(Inputs!$G$5:$G$160="acoes"))*Inputs!$B$1+((Inputs!$G$5:$G$160&lt;&gt;"moeda")*(Inputs!$G$5:$G$160&lt;&gt;"acoes")))*INDEX(Inputs!$K$5:$AJ$160,0,MATCH(U$2,Inputs!$K$4:$AJ$4,0)))+SUMPRODUCT((Inputs!$C$5:$C$160=$B10)*Inputs!$D$5:$D$160*(((Inputs!$G$5:$G$160="moeda")+(Inputs!$G$5:$G$160="acoes"))*Inputs!$B$1+((Inputs!$G$5:$G$160&lt;&gt;"moeda")*(Inputs!$G$5:$G$160&lt;&gt;"acoes")))*INDEX(Inputs!$K$5:$AJ$160,0,MATCH(U$2,Inputs!$K$4:$AJ$4,0)))+SUMPRODUCT((Inputs!$E$5:$E$160=$B10)*Inputs!$F$5:$F$160*(((Inputs!$G$5:$G$160="moeda")+(Inputs!$G$5:$G$160="acoes"))*Inputs!$B$1+((Inputs!$G$5:$G$160&lt;&gt;"moeda")*(Inputs!$G$5:$G$160&lt;&gt;"acoes")))*INDEX(Inputs!$K$5:$AJ$160,0,MATCH(U$2,Inputs!$K$4:$AJ$4,0)))))</f>
        <v>-57.35</v>
      </c>
      <c r="V10" s="6">
        <f>IF(ISNA(MATCH(V$2,Inputs!$K$4:$AJ$4,0)),NA(),IF(SUMPRODUCT((Inputs!$A$5:$A$160=$B10)*ISNUMBER(INDEX(Inputs!$K$5:$AJ$160,0,MATCH(V$2,Inputs!$K$4:$AJ$4,0))))+SUMPRODUCT((Inputs!$C$5:$C$160=$B10)*ISNUMBER(INDEX(Inputs!$K$5:$AJ$160,0,MATCH(V$2,Inputs!$K$4:$AJ$4,0))))+SUMPRODUCT((Inputs!$E$5:$E$160=$B10)*ISNUMBER(INDEX(Inputs!$K$5:$AJ$160,0,MATCH(V$2,Inputs!$K$4:$AJ$4,0))))=0,NA(),SUMPRODUCT((Inputs!$A$5:$A$160=$B10)*Inputs!$B$5:$B$160*(((Inputs!$G$5:$G$160="moeda")+(Inputs!$G$5:$G$160="acoes"))*Inputs!$B$1+((Inputs!$G$5:$G$160&lt;&gt;"moeda")*(Inputs!$G$5:$G$160&lt;&gt;"acoes")))*INDEX(Inputs!$K$5:$AJ$160,0,MATCH(V$2,Inputs!$K$4:$AJ$4,0)))+SUMPRODUCT((Inputs!$C$5:$C$160=$B10)*Inputs!$D$5:$D$160*(((Inputs!$G$5:$G$160="moeda")+(Inputs!$G$5:$G$160="acoes"))*Inputs!$B$1+((Inputs!$G$5:$G$160&lt;&gt;"moeda")*(Inputs!$G$5:$G$160&lt;&gt;"acoes")))*INDEX(Inputs!$K$5:$AJ$160,0,MATCH(V$2,Inputs!$K$4:$AJ$4,0)))+SUMPRODUCT((Inputs!$E$5:$E$160=$B10)*Inputs!$F$5:$F$160*(((Inputs!$G$5:$G$160="moeda")+(Inputs!$G$5:$G$160="acoes"))*Inputs!$B$1+((Inputs!$G$5:$G$160&lt;&gt;"moeda")*(Inputs!$G$5:$G$160&lt;&gt;"acoes")))*INDEX(Inputs!$K$5:$AJ$160,0,MATCH(V$2,Inputs!$K$4:$AJ$4,0)))))</f>
        <v>-20.816</v>
      </c>
      <c r="W10" s="3">
        <f>SUM(S10:V10)</f>
        <v>-182.757</v>
      </c>
      <c r="X10" s="6">
        <f>IF(ISNA(MATCH(X$2,Inputs!$K$4:$AJ$4,0)),NA(),IF(SUMPRODUCT((Inputs!$A$5:$A$160=$B10)*ISNUMBER(INDEX(Inputs!$K$5:$AJ$160,0,MATCH(X$2,Inputs!$K$4:$AJ$4,0))))+SUMPRODUCT((Inputs!$C$5:$C$160=$B10)*ISNUMBER(INDEX(Inputs!$K$5:$AJ$160,0,MATCH(X$2,Inputs!$K$4:$AJ$4,0))))+SUMPRODUCT((Inputs!$E$5:$E$160=$B10)*ISNUMBER(INDEX(Inputs!$K$5:$AJ$160,0,MATCH(X$2,Inputs!$K$4:$AJ$4,0))))=0,NA(),SUMPRODUCT((Inputs!$A$5:$A$160=$B10)*Inputs!$B$5:$B$160*(((Inputs!$G$5:$G$160="moeda")+(Inputs!$G$5:$G$160="acoes"))*Inputs!$B$1+((Inputs!$G$5:$G$160&lt;&gt;"moeda")*(Inputs!$G$5:$G$160&lt;&gt;"acoes")))*INDEX(Inputs!$K$5:$AJ$160,0,MATCH(X$2,Inputs!$K$4:$AJ$4,0)))+SUMPRODUCT((Inputs!$C$5:$C$160=$B10)*Inputs!$D$5:$D$160*(((Inputs!$G$5:$G$160="moeda")+(Inputs!$G$5:$G$160="acoes"))*Inputs!$B$1+((Inputs!$G$5:$G$160&lt;&gt;"moeda")*(Inputs!$G$5:$G$160&lt;&gt;"acoes")))*INDEX(Inputs!$K$5:$AJ$160,0,MATCH(X$2,Inputs!$K$4:$AJ$4,0)))+SUMPRODUCT((Inputs!$E$5:$E$160=$B10)*Inputs!$F$5:$F$160*(((Inputs!$G$5:$G$160="moeda")+(Inputs!$G$5:$G$160="acoes"))*Inputs!$B$1+((Inputs!$G$5:$G$160&lt;&gt;"moeda")*(Inputs!$G$5:$G$160&lt;&gt;"acoes")))*INDEX(Inputs!$K$5:$AJ$160,0,MATCH(X$2,Inputs!$K$4:$AJ$4,0)))))</f>
        <v>-54.01302</v>
      </c>
      <c r="Y10" s="6">
        <f>IF(ISNA(MATCH(Y$2,Inputs!$K$4:$AJ$4,0)),NA(),IF(SUMPRODUCT((Inputs!$A$5:$A$160=$B10)*ISNUMBER(INDEX(Inputs!$K$5:$AJ$160,0,MATCH(Y$2,Inputs!$K$4:$AJ$4,0))))+SUMPRODUCT((Inputs!$C$5:$C$160=$B10)*ISNUMBER(INDEX(Inputs!$K$5:$AJ$160,0,MATCH(Y$2,Inputs!$K$4:$AJ$4,0))))+SUMPRODUCT((Inputs!$E$5:$E$160=$B10)*ISNUMBER(INDEX(Inputs!$K$5:$AJ$160,0,MATCH(Y$2,Inputs!$K$4:$AJ$4,0))))=0,NA(),SUMPRODUCT((Inputs!$A$5:$A$160=$B10)*Inputs!$B$5:$B$160*(((Inputs!$G$5:$G$160="moeda")+(Inputs!$G$5:$G$160="acoes"))*Inputs!$B$1+((Inputs!$G$5:$G$160&lt;&gt;"moeda")*(Inputs!$G$5:$G$160&lt;&gt;"acoes")))*INDEX(Inputs!$K$5:$AJ$160,0,MATCH(Y$2,Inputs!$K$4:$AJ$4,0)))+SUMPRODUCT((Inputs!$C$5:$C$160=$B10)*Inputs!$D$5:$D$160*(((Inputs!$G$5:$G$160="moeda")+(Inputs!$G$5:$G$160="acoes"))*Inputs!$B$1+((Inputs!$G$5:$G$160&lt;&gt;"moeda")*(Inputs!$G$5:$G$160&lt;&gt;"acoes")))*INDEX(Inputs!$K$5:$AJ$160,0,MATCH(Y$2,Inputs!$K$4:$AJ$4,0)))+SUMPRODUCT((Inputs!$E$5:$E$160=$B10)*Inputs!$F$5:$F$160*(((Inputs!$G$5:$G$160="moeda")+(Inputs!$G$5:$G$160="acoes"))*Inputs!$B$1+((Inputs!$G$5:$G$160&lt;&gt;"moeda")*(Inputs!$G$5:$G$160&lt;&gt;"acoes")))*INDEX(Inputs!$K$5:$AJ$160,0,MATCH(Y$2,Inputs!$K$4:$AJ$4,0)))))</f>
        <v>-44.404</v>
      </c>
      <c r="Z10" s="6">
        <f>IF(ISNA(MATCH(Z$2,Inputs!$K$4:$AJ$4,0)),NA(),IF(SUMPRODUCT((Inputs!$A$5:$A$160=$B10)*ISNUMBER(INDEX(Inputs!$K$5:$AJ$160,0,MATCH(Z$2,Inputs!$K$4:$AJ$4,0))))+SUMPRODUCT((Inputs!$C$5:$C$160=$B10)*ISNUMBER(INDEX(Inputs!$K$5:$AJ$160,0,MATCH(Z$2,Inputs!$K$4:$AJ$4,0))))+SUMPRODUCT((Inputs!$E$5:$E$160=$B10)*ISNUMBER(INDEX(Inputs!$K$5:$AJ$160,0,MATCH(Z$2,Inputs!$K$4:$AJ$4,0))))=0,NA(),SUMPRODUCT((Inputs!$A$5:$A$160=$B10)*Inputs!$B$5:$B$160*(((Inputs!$G$5:$G$160="moeda")+(Inputs!$G$5:$G$160="acoes"))*Inputs!$B$1+((Inputs!$G$5:$G$160&lt;&gt;"moeda")*(Inputs!$G$5:$G$160&lt;&gt;"acoes")))*INDEX(Inputs!$K$5:$AJ$160,0,MATCH(Z$2,Inputs!$K$4:$AJ$4,0)))+SUMPRODUCT((Inputs!$C$5:$C$160=$B10)*Inputs!$D$5:$D$160*(((Inputs!$G$5:$G$160="moeda")+(Inputs!$G$5:$G$160="acoes"))*Inputs!$B$1+((Inputs!$G$5:$G$160&lt;&gt;"moeda")*(Inputs!$G$5:$G$160&lt;&gt;"acoes")))*INDEX(Inputs!$K$5:$AJ$160,0,MATCH(Z$2,Inputs!$K$4:$AJ$4,0)))+SUMPRODUCT((Inputs!$E$5:$E$160=$B10)*Inputs!$F$5:$F$160*(((Inputs!$G$5:$G$160="moeda")+(Inputs!$G$5:$G$160="acoes"))*Inputs!$B$1+((Inputs!$G$5:$G$160&lt;&gt;"moeda")*(Inputs!$G$5:$G$160&lt;&gt;"acoes")))*INDEX(Inputs!$K$5:$AJ$160,0,MATCH(Z$2,Inputs!$K$4:$AJ$4,0)))))</f>
        <v>-53.90447839</v>
      </c>
      <c r="AA10" s="6">
        <f>IF(ISNA(MATCH(AA$2,Inputs!$K$4:$AJ$4,0)),NA(),IF(SUMPRODUCT((Inputs!$A$5:$A$160=$B10)*ISNUMBER(INDEX(Inputs!$K$5:$AJ$160,0,MATCH(AA$2,Inputs!$K$4:$AJ$4,0))))+SUMPRODUCT((Inputs!$C$5:$C$160=$B10)*ISNUMBER(INDEX(Inputs!$K$5:$AJ$160,0,MATCH(AA$2,Inputs!$K$4:$AJ$4,0))))+SUMPRODUCT((Inputs!$E$5:$E$160=$B10)*ISNUMBER(INDEX(Inputs!$K$5:$AJ$160,0,MATCH(AA$2,Inputs!$K$4:$AJ$4,0))))=0,NA(),SUMPRODUCT((Inputs!$A$5:$A$160=$B10)*Inputs!$B$5:$B$160*(((Inputs!$G$5:$G$160="moeda")+(Inputs!$G$5:$G$160="acoes"))*Inputs!$B$1+((Inputs!$G$5:$G$160&lt;&gt;"moeda")*(Inputs!$G$5:$G$160&lt;&gt;"acoes")))*INDEX(Inputs!$K$5:$AJ$160,0,MATCH(AA$2,Inputs!$K$4:$AJ$4,0)))+SUMPRODUCT((Inputs!$C$5:$C$160=$B10)*Inputs!$D$5:$D$160*(((Inputs!$G$5:$G$160="moeda")+(Inputs!$G$5:$G$160="acoes"))*Inputs!$B$1+((Inputs!$G$5:$G$160&lt;&gt;"moeda")*(Inputs!$G$5:$G$160&lt;&gt;"acoes")))*INDEX(Inputs!$K$5:$AJ$160,0,MATCH(AA$2,Inputs!$K$4:$AJ$4,0)))+SUMPRODUCT((Inputs!$E$5:$E$160=$B10)*Inputs!$F$5:$F$160*(((Inputs!$G$5:$G$160="moeda")+(Inputs!$G$5:$G$160="acoes"))*Inputs!$B$1+((Inputs!$G$5:$G$160&lt;&gt;"moeda")*(Inputs!$G$5:$G$160&lt;&gt;"acoes")))*INDEX(Inputs!$K$5:$AJ$160,0,MATCH(AA$2,Inputs!$K$4:$AJ$4,0)))))</f>
        <v>-4.21478333</v>
      </c>
      <c r="AB10" s="3">
        <f>SUM(X10:AA10)</f>
        <v>-156.53628172</v>
      </c>
      <c r="AC10" s="6">
        <f>IF(ISNA(MATCH(AC$2,Inputs!$K$4:$AJ$4,0)),NA(),IF(SUMPRODUCT((Inputs!$A$5:$A$160=$B10)*ISNUMBER(INDEX(Inputs!$K$5:$AJ$160,0,MATCH(AC$2,Inputs!$K$4:$AJ$4,0))))+SUMPRODUCT((Inputs!$C$5:$C$160=$B10)*ISNUMBER(INDEX(Inputs!$K$5:$AJ$160,0,MATCH(AC$2,Inputs!$K$4:$AJ$4,0))))+SUMPRODUCT((Inputs!$E$5:$E$160=$B10)*ISNUMBER(INDEX(Inputs!$K$5:$AJ$160,0,MATCH(AC$2,Inputs!$K$4:$AJ$4,0))))=0,NA(),SUMPRODUCT((Inputs!$A$5:$A$160=$B10)*Inputs!$B$5:$B$160*(((Inputs!$G$5:$G$160="moeda")+(Inputs!$G$5:$G$160="acoes"))*Inputs!$B$1+((Inputs!$G$5:$G$160&lt;&gt;"moeda")*(Inputs!$G$5:$G$160&lt;&gt;"acoes")))*INDEX(Inputs!$K$5:$AJ$160,0,MATCH(AC$2,Inputs!$K$4:$AJ$4,0)))+SUMPRODUCT((Inputs!$C$5:$C$160=$B10)*Inputs!$D$5:$D$160*(((Inputs!$G$5:$G$160="moeda")+(Inputs!$G$5:$G$160="acoes"))*Inputs!$B$1+((Inputs!$G$5:$G$160&lt;&gt;"moeda")*(Inputs!$G$5:$G$160&lt;&gt;"acoes")))*INDEX(Inputs!$K$5:$AJ$160,0,MATCH(AC$2,Inputs!$K$4:$AJ$4,0)))+SUMPRODUCT((Inputs!$E$5:$E$160=$B10)*Inputs!$F$5:$F$160*(((Inputs!$G$5:$G$160="moeda")+(Inputs!$G$5:$G$160="acoes"))*Inputs!$B$1+((Inputs!$G$5:$G$160&lt;&gt;"moeda")*(Inputs!$G$5:$G$160&lt;&gt;"acoes")))*INDEX(Inputs!$K$5:$AJ$160,0,MATCH(AC$2,Inputs!$K$4:$AJ$4,0)))))</f>
        <v>-55.10018466</v>
      </c>
      <c r="AD10" s="6">
        <f>IF(ISNA(MATCH(AD$2,Inputs!$K$4:$AJ$4,0)),NA(),IF(SUMPRODUCT((Inputs!$A$5:$A$160=$B10)*ISNUMBER(INDEX(Inputs!$K$5:$AJ$160,0,MATCH(AD$2,Inputs!$K$4:$AJ$4,0))))+SUMPRODUCT((Inputs!$C$5:$C$160=$B10)*ISNUMBER(INDEX(Inputs!$K$5:$AJ$160,0,MATCH(AD$2,Inputs!$K$4:$AJ$4,0))))+SUMPRODUCT((Inputs!$E$5:$E$160=$B10)*ISNUMBER(INDEX(Inputs!$K$5:$AJ$160,0,MATCH(AD$2,Inputs!$K$4:$AJ$4,0))))=0,NA(),SUMPRODUCT((Inputs!$A$5:$A$160=$B10)*Inputs!$B$5:$B$160*(((Inputs!$G$5:$G$160="moeda")+(Inputs!$G$5:$G$160="acoes"))*Inputs!$B$1+((Inputs!$G$5:$G$160&lt;&gt;"moeda")*(Inputs!$G$5:$G$160&lt;&gt;"acoes")))*INDEX(Inputs!$K$5:$AJ$160,0,MATCH(AD$2,Inputs!$K$4:$AJ$4,0)))+SUMPRODUCT((Inputs!$C$5:$C$160=$B10)*Inputs!$D$5:$D$160*(((Inputs!$G$5:$G$160="moeda")+(Inputs!$G$5:$G$160="acoes"))*Inputs!$B$1+((Inputs!$G$5:$G$160&lt;&gt;"moeda")*(Inputs!$G$5:$G$160&lt;&gt;"acoes")))*INDEX(Inputs!$K$5:$AJ$160,0,MATCH(AD$2,Inputs!$K$4:$AJ$4,0)))+SUMPRODUCT((Inputs!$E$5:$E$160=$B10)*Inputs!$F$5:$F$160*(((Inputs!$G$5:$G$160="moeda")+(Inputs!$G$5:$G$160="acoes"))*Inputs!$B$1+((Inputs!$G$5:$G$160&lt;&gt;"moeda")*(Inputs!$G$5:$G$160&lt;&gt;"acoes")))*INDEX(Inputs!$K$5:$AJ$160,0,MATCH(AD$2,Inputs!$K$4:$AJ$4,0)))))</f>
        <v>-61.143775</v>
      </c>
      <c r="AE10" s="6" t="e">
        <f>IF(ISNA(MATCH(AE$2,Inputs!$K$4:$AJ$4,0)),NA(),IF(SUMPRODUCT((Inputs!$A$5:$A$160=$B10)*ISNUMBER(INDEX(Inputs!$K$5:$AJ$160,0,MATCH(AE$2,Inputs!$K$4:$AJ$4,0))))+SUMPRODUCT((Inputs!$C$5:$C$160=$B10)*ISNUMBER(INDEX(Inputs!$K$5:$AJ$160,0,MATCH(AE$2,Inputs!$K$4:$AJ$4,0))))+SUMPRODUCT((Inputs!$E$5:$E$160=$B10)*ISNUMBER(INDEX(Inputs!$K$5:$AJ$160,0,MATCH(AE$2,Inputs!$K$4:$AJ$4,0))))=0,NA(),SUMPRODUCT((Inputs!$A$5:$A$160=$B10)*Inputs!$B$5:$B$160*(((Inputs!$G$5:$G$160="moeda")+(Inputs!$G$5:$G$160="acoes"))*Inputs!$B$1+((Inputs!$G$5:$G$160&lt;&gt;"moeda")*(Inputs!$G$5:$G$160&lt;&gt;"acoes")))*INDEX(Inputs!$K$5:$AJ$160,0,MATCH(AE$2,Inputs!$K$4:$AJ$4,0)))+SUMPRODUCT((Inputs!$C$5:$C$160=$B10)*Inputs!$D$5:$D$160*(((Inputs!$G$5:$G$160="moeda")+(Inputs!$G$5:$G$160="acoes"))*Inputs!$B$1+((Inputs!$G$5:$G$160&lt;&gt;"moeda")*(Inputs!$G$5:$G$160&lt;&gt;"acoes")))*INDEX(Inputs!$K$5:$AJ$160,0,MATCH(AE$2,Inputs!$K$4:$AJ$4,0)))+SUMPRODUCT((Inputs!$E$5:$E$160=$B10)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0" s="6" t="e">
        <f>IF(ISNA(MATCH(AF$2,Inputs!$K$4:$AJ$4,0)),NA(),IF(SUMPRODUCT((Inputs!$A$5:$A$160=$B10)*ISNUMBER(INDEX(Inputs!$K$5:$AJ$160,0,MATCH(AF$2,Inputs!$K$4:$AJ$4,0))))+SUMPRODUCT((Inputs!$C$5:$C$160=$B10)*ISNUMBER(INDEX(Inputs!$K$5:$AJ$160,0,MATCH(AF$2,Inputs!$K$4:$AJ$4,0))))+SUMPRODUCT((Inputs!$E$5:$E$160=$B10)*ISNUMBER(INDEX(Inputs!$K$5:$AJ$160,0,MATCH(AF$2,Inputs!$K$4:$AJ$4,0))))=0,NA(),SUMPRODUCT((Inputs!$A$5:$A$160=$B10)*Inputs!$B$5:$B$160*(((Inputs!$G$5:$G$160="moeda")+(Inputs!$G$5:$G$160="acoes"))*Inputs!$B$1+((Inputs!$G$5:$G$160&lt;&gt;"moeda")*(Inputs!$G$5:$G$160&lt;&gt;"acoes")))*INDEX(Inputs!$K$5:$AJ$160,0,MATCH(AF$2,Inputs!$K$4:$AJ$4,0)))+SUMPRODUCT((Inputs!$C$5:$C$160=$B10)*Inputs!$D$5:$D$160*(((Inputs!$G$5:$G$160="moeda")+(Inputs!$G$5:$G$160="acoes"))*Inputs!$B$1+((Inputs!$G$5:$G$160&lt;&gt;"moeda")*(Inputs!$G$5:$G$160&lt;&gt;"acoes")))*INDEX(Inputs!$K$5:$AJ$160,0,MATCH(AF$2,Inputs!$K$4:$AJ$4,0)))+SUMPRODUCT((Inputs!$E$5:$E$160=$B10)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$160=$B10)*ISNUMBER(INDEX(Inputs!$K$5:$AJ$160,0,MATCH(AH$2,Inputs!$K$4:$AJ$4,0))))+SUMPRODUCT((Inputs!$C$5:$C$160=$B10)*ISNUMBER(INDEX(Inputs!$K$5:$AJ$160,0,MATCH(AH$2,Inputs!$K$4:$AJ$4,0))))+SUMPRODUCT((Inputs!$E$5:$E$160=$B10)*ISNUMBER(INDEX(Inputs!$K$5:$AJ$160,0,MATCH(AH$2,Inputs!$K$4:$AJ$4,0))))=0,NA(),SUMPRODUCT((Inputs!$A$5:$A$160=$B10)*Inputs!$B$5:$B$160*(((Inputs!$G$5:$G$160="moeda")+(Inputs!$G$5:$G$160="acoes"))*Inputs!$B$1+((Inputs!$G$5:$G$160&lt;&gt;"moeda")*(Inputs!$G$5:$G$160&lt;&gt;"acoes")))*INDEX(Inputs!$K$5:$AJ$160,0,MATCH(AH$2,Inputs!$K$4:$AJ$4,0)))+SUMPRODUCT((Inputs!$C$5:$C$160=$B10)*Inputs!$D$5:$D$160*(((Inputs!$G$5:$G$160="moeda")+(Inputs!$G$5:$G$160="acoes"))*Inputs!$B$1+((Inputs!$G$5:$G$160&lt;&gt;"moeda")*(Inputs!$G$5:$G$160&lt;&gt;"acoes")))*INDEX(Inputs!$K$5:$AJ$160,0,MATCH(AH$2,Inputs!$K$4:$AJ$4,0)))+SUMPRODUCT((Inputs!$E$5:$E$160=$B10)*Inputs!$F$5:$F$160*(((Inputs!$G$5:$G$160="moeda")+(Inputs!$G$5:$G$160="acoes"))*Inputs!$B$1+((Inputs!$G$5:$G$160&lt;&gt;"moeda")*(Inputs!$G$5:$G$160&lt;&gt;"acoes")))*INDEX(Inputs!$K$5:$AJ$160,0,MATCH(AH$2,Inputs!$K$4:$AJ$4,0)))))</f>
        <v>-21.17096331</v>
      </c>
      <c r="AI10" s="6">
        <f>IF(ISNA(MATCH(AI$2,Inputs!$K$4:$AJ$4,0)),NA(),IF(SUMPRODUCT((Inputs!$A$5:$A$160=$B10)*ISNUMBER(INDEX(Inputs!$K$5:$AJ$160,0,MATCH(AI$2,Inputs!$K$4:$AJ$4,0))))+SUMPRODUCT((Inputs!$C$5:$C$160=$B10)*ISNUMBER(INDEX(Inputs!$K$5:$AJ$160,0,MATCH(AI$2,Inputs!$K$4:$AJ$4,0))))+SUMPRODUCT((Inputs!$E$5:$E$160=$B10)*ISNUMBER(INDEX(Inputs!$K$5:$AJ$160,0,MATCH(AI$2,Inputs!$K$4:$AJ$4,0))))=0,NA(),SUMPRODUCT((Inputs!$A$5:$A$160=$B10)*Inputs!$B$5:$B$160*(((Inputs!$G$5:$G$160="moeda")+(Inputs!$G$5:$G$160="acoes"))*Inputs!$B$1+((Inputs!$G$5:$G$160&lt;&gt;"moeda")*(Inputs!$G$5:$G$160&lt;&gt;"acoes")))*INDEX(Inputs!$K$5:$AJ$160,0,MATCH(AI$2,Inputs!$K$4:$AJ$4,0)))+SUMPRODUCT((Inputs!$C$5:$C$160=$B10)*Inputs!$D$5:$D$160*(((Inputs!$G$5:$G$160="moeda")+(Inputs!$G$5:$G$160="acoes"))*Inputs!$B$1+((Inputs!$G$5:$G$160&lt;&gt;"moeda")*(Inputs!$G$5:$G$160&lt;&gt;"acoes")))*INDEX(Inputs!$K$5:$AJ$160,0,MATCH(AI$2,Inputs!$K$4:$AJ$4,0)))+SUMPRODUCT((Inputs!$E$5:$E$160=$B10)*Inputs!$F$5:$F$160*(((Inputs!$G$5:$G$160="moeda")+(Inputs!$G$5:$G$160="acoes"))*Inputs!$B$1+((Inputs!$G$5:$G$160&lt;&gt;"moeda")*(Inputs!$G$5:$G$160&lt;&gt;"acoes")))*INDEX(Inputs!$K$5:$AJ$160,0,MATCH(AI$2,Inputs!$K$4:$AJ$4,0)))))</f>
        <v>29.41262276</v>
      </c>
      <c r="AJ10" s="6">
        <f>IF(ISNA(MATCH(AJ$2,Inputs!$K$4:$AJ$4,0)),NA(),IF(SUMPRODUCT((Inputs!$A$5:$A$160=$B10)*ISNUMBER(INDEX(Inputs!$K$5:$AJ$160,0,MATCH(AJ$2,Inputs!$K$4:$AJ$4,0))))+SUMPRODUCT((Inputs!$C$5:$C$160=$B10)*ISNUMBER(INDEX(Inputs!$K$5:$AJ$160,0,MATCH(AJ$2,Inputs!$K$4:$AJ$4,0))))+SUMPRODUCT((Inputs!$E$5:$E$160=$B10)*ISNUMBER(INDEX(Inputs!$K$5:$AJ$160,0,MATCH(AJ$2,Inputs!$K$4:$AJ$4,0))))=0,NA(),SUMPRODUCT((Inputs!$A$5:$A$160=$B10)*Inputs!$B$5:$B$160*(((Inputs!$G$5:$G$160="moeda")+(Inputs!$G$5:$G$160="acoes"))*Inputs!$B$1+((Inputs!$G$5:$G$160&lt;&gt;"moeda")*(Inputs!$G$5:$G$160&lt;&gt;"acoes")))*INDEX(Inputs!$K$5:$AJ$160,0,MATCH(AJ$2,Inputs!$K$4:$AJ$4,0)))+SUMPRODUCT((Inputs!$C$5:$C$160=$B10)*Inputs!$D$5:$D$160*(((Inputs!$G$5:$G$160="moeda")+(Inputs!$G$5:$G$160="acoes"))*Inputs!$B$1+((Inputs!$G$5:$G$160&lt;&gt;"moeda")*(Inputs!$G$5:$G$160&lt;&gt;"acoes")))*INDEX(Inputs!$K$5:$AJ$160,0,MATCH(AJ$2,Inputs!$K$4:$AJ$4,0)))+SUMPRODUCT((Inputs!$E$5:$E$160=$B10)*Inputs!$F$5:$F$160*(((Inputs!$G$5:$G$160="moeda")+(Inputs!$G$5:$G$160="acoes"))*Inputs!$B$1+((Inputs!$G$5:$G$160&lt;&gt;"moeda")*(Inputs!$G$5:$G$160&lt;&gt;"acoes")))*INDEX(Inputs!$K$5:$AJ$160,0,MATCH(AJ$2,Inputs!$K$4:$AJ$4,0)))))</f>
        <v>-70.97032536</v>
      </c>
      <c r="AK10" s="6">
        <f>IF(ISNA(MATCH(AK$2,Inputs!$K$4:$AJ$4,0)),NA(),IF(SUMPRODUCT((Inputs!$A$5:$A$160=$B10)*ISNUMBER(INDEX(Inputs!$K$5:$AJ$160,0,MATCH(AK$2,Inputs!$K$4:$AJ$4,0))))+SUMPRODUCT((Inputs!$C$5:$C$160=$B10)*ISNUMBER(INDEX(Inputs!$K$5:$AJ$160,0,MATCH(AK$2,Inputs!$K$4:$AJ$4,0))))+SUMPRODUCT((Inputs!$E$5:$E$160=$B10)*ISNUMBER(INDEX(Inputs!$K$5:$AJ$160,0,MATCH(AK$2,Inputs!$K$4:$AJ$4,0))))=0,NA(),SUMPRODUCT((Inputs!$A$5:$A$160=$B10)*Inputs!$B$5:$B$160*(((Inputs!$G$5:$G$160="moeda")+(Inputs!$G$5:$G$160="acoes"))*Inputs!$B$1+((Inputs!$G$5:$G$160&lt;&gt;"moeda")*(Inputs!$G$5:$G$160&lt;&gt;"acoes")))*INDEX(Inputs!$K$5:$AJ$160,0,MATCH(AK$2,Inputs!$K$4:$AJ$4,0)))+SUMPRODUCT((Inputs!$C$5:$C$160=$B10)*Inputs!$D$5:$D$160*(((Inputs!$G$5:$G$160="moeda")+(Inputs!$G$5:$G$160="acoes"))*Inputs!$B$1+((Inputs!$G$5:$G$160&lt;&gt;"moeda")*(Inputs!$G$5:$G$160&lt;&gt;"acoes")))*INDEX(Inputs!$K$5:$AJ$160,0,MATCH(AK$2,Inputs!$K$4:$AJ$4,0)))+SUMPRODUCT((Inputs!$E$5:$E$160=$B10)*Inputs!$F$5:$F$160*(((Inputs!$G$5:$G$160="moeda")+(Inputs!$G$5:$G$160="acoes"))*Inputs!$B$1+((Inputs!$G$5:$G$160&lt;&gt;"moeda")*(Inputs!$G$5:$G$160&lt;&gt;"acoes")))*INDEX(Inputs!$K$5:$AJ$160,0,MATCH(AK$2,Inputs!$K$4:$AJ$4,0)))))</f>
        <v>-21.0436467</v>
      </c>
      <c r="AL10" s="3">
        <f>SUM(AH10:AK10)</f>
        <v>-83.77231261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$160=$B11)*ISNUMBER(INDEX(Inputs!$K$5:$AJ$160,0,MATCH(D$2,Inputs!$K$4:$AJ$4,0))))+SUMPRODUCT((Inputs!$C$5:$C$160=$B11)*ISNUMBER(INDEX(Inputs!$K$5:$AJ$160,0,MATCH(D$2,Inputs!$K$4:$AJ$4,0))))+SUMPRODUCT((Inputs!$E$5:$E$160=$B11)*ISNUMBER(INDEX(Inputs!$K$5:$AJ$160,0,MATCH(D$2,Inputs!$K$4:$AJ$4,0))))=0,NA(),SUMPRODUCT((Inputs!$A$5:$A$160=$B11)*Inputs!$B$5:$B$160*(((Inputs!$G$5:$G$160="moeda")+(Inputs!$G$5:$G$160="acoes"))*Inputs!$B$1+((Inputs!$G$5:$G$160&lt;&gt;"moeda")*(Inputs!$G$5:$G$160&lt;&gt;"acoes")))*INDEX(Inputs!$K$5:$AJ$160,0,MATCH(D$2,Inputs!$K$4:$AJ$4,0)))+SUMPRODUCT((Inputs!$C$5:$C$160=$B11)*Inputs!$D$5:$D$160*(((Inputs!$G$5:$G$160="moeda")+(Inputs!$G$5:$G$160="acoes"))*Inputs!$B$1+((Inputs!$G$5:$G$160&lt;&gt;"moeda")*(Inputs!$G$5:$G$160&lt;&gt;"acoes")))*INDEX(Inputs!$K$5:$AJ$160,0,MATCH(D$2,Inputs!$K$4:$AJ$4,0)))+SUMPRODUCT((Inputs!$E$5:$E$160=$B11)*Inputs!$F$5:$F$160*(((Inputs!$G$5:$G$160="moeda")+(Inputs!$G$5:$G$160="acoes"))*Inputs!$B$1+((Inputs!$G$5:$G$160&lt;&gt;"moeda")*(Inputs!$G$5:$G$160&lt;&gt;"acoes")))*INDEX(Inputs!$K$5:$AJ$160,0,MATCH(D$2,Inputs!$K$4:$AJ$4,0)))))</f>
        <v>-0.198294749999998</v>
      </c>
      <c r="E11" s="6">
        <f>IF(ISNA(MATCH(E$2,Inputs!$K$4:$AJ$4,0)),NA(),IF(SUMPRODUCT((Inputs!$A$5:$A$160=$B11)*ISNUMBER(INDEX(Inputs!$K$5:$AJ$160,0,MATCH(E$2,Inputs!$K$4:$AJ$4,0))))+SUMPRODUCT((Inputs!$C$5:$C$160=$B11)*ISNUMBER(INDEX(Inputs!$K$5:$AJ$160,0,MATCH(E$2,Inputs!$K$4:$AJ$4,0))))+SUMPRODUCT((Inputs!$E$5:$E$160=$B11)*ISNUMBER(INDEX(Inputs!$K$5:$AJ$160,0,MATCH(E$2,Inputs!$K$4:$AJ$4,0))))=0,NA(),SUMPRODUCT((Inputs!$A$5:$A$160=$B11)*Inputs!$B$5:$B$160*(((Inputs!$G$5:$G$160="moeda")+(Inputs!$G$5:$G$160="acoes"))*Inputs!$B$1+((Inputs!$G$5:$G$160&lt;&gt;"moeda")*(Inputs!$G$5:$G$160&lt;&gt;"acoes")))*INDEX(Inputs!$K$5:$AJ$160,0,MATCH(E$2,Inputs!$K$4:$AJ$4,0)))+SUMPRODUCT((Inputs!$C$5:$C$160=$B11)*Inputs!$D$5:$D$160*(((Inputs!$G$5:$G$160="moeda")+(Inputs!$G$5:$G$160="acoes"))*Inputs!$B$1+((Inputs!$G$5:$G$160&lt;&gt;"moeda")*(Inputs!$G$5:$G$160&lt;&gt;"acoes")))*INDEX(Inputs!$K$5:$AJ$160,0,MATCH(E$2,Inputs!$K$4:$AJ$4,0)))+SUMPRODUCT((Inputs!$E$5:$E$160=$B11)*Inputs!$F$5:$F$160*(((Inputs!$G$5:$G$160="moeda")+(Inputs!$G$5:$G$160="acoes"))*Inputs!$B$1+((Inputs!$G$5:$G$160&lt;&gt;"moeda")*(Inputs!$G$5:$G$160&lt;&gt;"acoes")))*INDEX(Inputs!$K$5:$AJ$160,0,MATCH(E$2,Inputs!$K$4:$AJ$4,0)))))</f>
        <v>-0.00223524199999671</v>
      </c>
      <c r="F11" s="6">
        <f>IF(ISNA(MATCH(F$2,Inputs!$K$4:$AJ$4,0)),NA(),IF(SUMPRODUCT((Inputs!$A$5:$A$160=$B11)*ISNUMBER(INDEX(Inputs!$K$5:$AJ$160,0,MATCH(F$2,Inputs!$K$4:$AJ$4,0))))+SUMPRODUCT((Inputs!$C$5:$C$160=$B11)*ISNUMBER(INDEX(Inputs!$K$5:$AJ$160,0,MATCH(F$2,Inputs!$K$4:$AJ$4,0))))+SUMPRODUCT((Inputs!$E$5:$E$160=$B11)*ISNUMBER(INDEX(Inputs!$K$5:$AJ$160,0,MATCH(F$2,Inputs!$K$4:$AJ$4,0))))=0,NA(),SUMPRODUCT((Inputs!$A$5:$A$160=$B11)*Inputs!$B$5:$B$160*(((Inputs!$G$5:$G$160="moeda")+(Inputs!$G$5:$G$160="acoes"))*Inputs!$B$1+((Inputs!$G$5:$G$160&lt;&gt;"moeda")*(Inputs!$G$5:$G$160&lt;&gt;"acoes")))*INDEX(Inputs!$K$5:$AJ$160,0,MATCH(F$2,Inputs!$K$4:$AJ$4,0)))+SUMPRODUCT((Inputs!$C$5:$C$160=$B11)*Inputs!$D$5:$D$160*(((Inputs!$G$5:$G$160="moeda")+(Inputs!$G$5:$G$160="acoes"))*Inputs!$B$1+((Inputs!$G$5:$G$160&lt;&gt;"moeda")*(Inputs!$G$5:$G$160&lt;&gt;"acoes")))*INDEX(Inputs!$K$5:$AJ$160,0,MATCH(F$2,Inputs!$K$4:$AJ$4,0)))+SUMPRODUCT((Inputs!$E$5:$E$160=$B11)*Inputs!$F$5:$F$160*(((Inputs!$G$5:$G$160="moeda")+(Inputs!$G$5:$G$160="acoes"))*Inputs!$B$1+((Inputs!$G$5:$G$160&lt;&gt;"moeda")*(Inputs!$G$5:$G$160&lt;&gt;"acoes")))*INDEX(Inputs!$K$5:$AJ$160,0,MATCH(F$2,Inputs!$K$4:$AJ$4,0)))))</f>
        <v>0.44109465</v>
      </c>
      <c r="G11" s="6">
        <f>IF(ISNA(MATCH(G$2,Inputs!$K$4:$AJ$4,0)),NA(),IF(SUMPRODUCT((Inputs!$A$5:$A$160=$B11)*ISNUMBER(INDEX(Inputs!$K$5:$AJ$160,0,MATCH(G$2,Inputs!$K$4:$AJ$4,0))))+SUMPRODUCT((Inputs!$C$5:$C$160=$B11)*ISNUMBER(INDEX(Inputs!$K$5:$AJ$160,0,MATCH(G$2,Inputs!$K$4:$AJ$4,0))))+SUMPRODUCT((Inputs!$E$5:$E$160=$B11)*ISNUMBER(INDEX(Inputs!$K$5:$AJ$160,0,MATCH(G$2,Inputs!$K$4:$AJ$4,0))))=0,NA(),SUMPRODUCT((Inputs!$A$5:$A$160=$B11)*Inputs!$B$5:$B$160*(((Inputs!$G$5:$G$160="moeda")+(Inputs!$G$5:$G$160="acoes"))*Inputs!$B$1+((Inputs!$G$5:$G$160&lt;&gt;"moeda")*(Inputs!$G$5:$G$160&lt;&gt;"acoes")))*INDEX(Inputs!$K$5:$AJ$160,0,MATCH(G$2,Inputs!$K$4:$AJ$4,0)))+SUMPRODUCT((Inputs!$C$5:$C$160=$B11)*Inputs!$D$5:$D$160*(((Inputs!$G$5:$G$160="moeda")+(Inputs!$G$5:$G$160="acoes"))*Inputs!$B$1+((Inputs!$G$5:$G$160&lt;&gt;"moeda")*(Inputs!$G$5:$G$160&lt;&gt;"acoes")))*INDEX(Inputs!$K$5:$AJ$160,0,MATCH(G$2,Inputs!$K$4:$AJ$4,0)))+SUMPRODUCT((Inputs!$E$5:$E$160=$B11)*Inputs!$F$5:$F$160*(((Inputs!$G$5:$G$160="moeda")+(Inputs!$G$5:$G$160="acoes"))*Inputs!$B$1+((Inputs!$G$5:$G$160&lt;&gt;"moeda")*(Inputs!$G$5:$G$160&lt;&gt;"acoes")))*INDEX(Inputs!$K$5:$AJ$160,0,MATCH(G$2,Inputs!$K$4:$AJ$4,0)))))</f>
        <v>0.309085383441993</v>
      </c>
      <c r="H11" s="3">
        <f>SUM(D11:G11)</f>
        <v>0.549650041441998</v>
      </c>
      <c r="I11" s="6">
        <f>IF(ISNA(MATCH(I$2,Inputs!$K$4:$AJ$4,0)),NA(),IF(SUMPRODUCT((Inputs!$A$5:$A$160=$B11)*ISNUMBER(INDEX(Inputs!$K$5:$AJ$160,0,MATCH(I$2,Inputs!$K$4:$AJ$4,0))))+SUMPRODUCT((Inputs!$C$5:$C$160=$B11)*ISNUMBER(INDEX(Inputs!$K$5:$AJ$160,0,MATCH(I$2,Inputs!$K$4:$AJ$4,0))))+SUMPRODUCT((Inputs!$E$5:$E$160=$B11)*ISNUMBER(INDEX(Inputs!$K$5:$AJ$160,0,MATCH(I$2,Inputs!$K$4:$AJ$4,0))))=0,NA(),SUMPRODUCT((Inputs!$A$5:$A$160=$B11)*Inputs!$B$5:$B$160*(((Inputs!$G$5:$G$160="moeda")+(Inputs!$G$5:$G$160="acoes"))*Inputs!$B$1+((Inputs!$G$5:$G$160&lt;&gt;"moeda")*(Inputs!$G$5:$G$160&lt;&gt;"acoes")))*INDEX(Inputs!$K$5:$AJ$160,0,MATCH(I$2,Inputs!$K$4:$AJ$4,0)))+SUMPRODUCT((Inputs!$C$5:$C$160=$B11)*Inputs!$D$5:$D$160*(((Inputs!$G$5:$G$160="moeda")+(Inputs!$G$5:$G$160="acoes"))*Inputs!$B$1+((Inputs!$G$5:$G$160&lt;&gt;"moeda")*(Inputs!$G$5:$G$160&lt;&gt;"acoes")))*INDEX(Inputs!$K$5:$AJ$160,0,MATCH(I$2,Inputs!$K$4:$AJ$4,0)))+SUMPRODUCT((Inputs!$E$5:$E$160=$B11)*Inputs!$F$5:$F$160*(((Inputs!$G$5:$G$160="moeda")+(Inputs!$G$5:$G$160="acoes"))*Inputs!$B$1+((Inputs!$G$5:$G$160&lt;&gt;"moeda")*(Inputs!$G$5:$G$160&lt;&gt;"acoes")))*INDEX(Inputs!$K$5:$AJ$160,0,MATCH(I$2,Inputs!$K$4:$AJ$4,0)))))</f>
        <v>0.000197683550001122</v>
      </c>
      <c r="J11" s="6">
        <f>IF(ISNA(MATCH(J$2,Inputs!$K$4:$AJ$4,0)),NA(),IF(SUMPRODUCT((Inputs!$A$5:$A$160=$B11)*ISNUMBER(INDEX(Inputs!$K$5:$AJ$160,0,MATCH(J$2,Inputs!$K$4:$AJ$4,0))))+SUMPRODUCT((Inputs!$C$5:$C$160=$B11)*ISNUMBER(INDEX(Inputs!$K$5:$AJ$160,0,MATCH(J$2,Inputs!$K$4:$AJ$4,0))))+SUMPRODUCT((Inputs!$E$5:$E$160=$B11)*ISNUMBER(INDEX(Inputs!$K$5:$AJ$160,0,MATCH(J$2,Inputs!$K$4:$AJ$4,0))))=0,NA(),SUMPRODUCT((Inputs!$A$5:$A$160=$B11)*Inputs!$B$5:$B$160*(((Inputs!$G$5:$G$160="moeda")+(Inputs!$G$5:$G$160="acoes"))*Inputs!$B$1+((Inputs!$G$5:$G$160&lt;&gt;"moeda")*(Inputs!$G$5:$G$160&lt;&gt;"acoes")))*INDEX(Inputs!$K$5:$AJ$160,0,MATCH(J$2,Inputs!$K$4:$AJ$4,0)))+SUMPRODUCT((Inputs!$C$5:$C$160=$B11)*Inputs!$D$5:$D$160*(((Inputs!$G$5:$G$160="moeda")+(Inputs!$G$5:$G$160="acoes"))*Inputs!$B$1+((Inputs!$G$5:$G$160&lt;&gt;"moeda")*(Inputs!$G$5:$G$160&lt;&gt;"acoes")))*INDEX(Inputs!$K$5:$AJ$160,0,MATCH(J$2,Inputs!$K$4:$AJ$4,0)))+SUMPRODUCT((Inputs!$E$5:$E$160=$B11)*Inputs!$F$5:$F$160*(((Inputs!$G$5:$G$160="moeda")+(Inputs!$G$5:$G$160="acoes"))*Inputs!$B$1+((Inputs!$G$5:$G$160&lt;&gt;"moeda")*(Inputs!$G$5:$G$160&lt;&gt;"acoes")))*INDEX(Inputs!$K$5:$AJ$160,0,MATCH(J$2,Inputs!$K$4:$AJ$4,0)))))</f>
        <v>0.414430566612997</v>
      </c>
      <c r="K11" s="6">
        <f>IF(ISNA(MATCH(K$2,Inputs!$K$4:$AJ$4,0)),NA(),IF(SUMPRODUCT((Inputs!$A$5:$A$160=$B11)*ISNUMBER(INDEX(Inputs!$K$5:$AJ$160,0,MATCH(K$2,Inputs!$K$4:$AJ$4,0))))+SUMPRODUCT((Inputs!$C$5:$C$160=$B11)*ISNUMBER(INDEX(Inputs!$K$5:$AJ$160,0,MATCH(K$2,Inputs!$K$4:$AJ$4,0))))+SUMPRODUCT((Inputs!$E$5:$E$160=$B11)*ISNUMBER(INDEX(Inputs!$K$5:$AJ$160,0,MATCH(K$2,Inputs!$K$4:$AJ$4,0))))=0,NA(),SUMPRODUCT((Inputs!$A$5:$A$160=$B11)*Inputs!$B$5:$B$160*(((Inputs!$G$5:$G$160="moeda")+(Inputs!$G$5:$G$160="acoes"))*Inputs!$B$1+((Inputs!$G$5:$G$160&lt;&gt;"moeda")*(Inputs!$G$5:$G$160&lt;&gt;"acoes")))*INDEX(Inputs!$K$5:$AJ$160,0,MATCH(K$2,Inputs!$K$4:$AJ$4,0)))+SUMPRODUCT((Inputs!$C$5:$C$160=$B11)*Inputs!$D$5:$D$160*(((Inputs!$G$5:$G$160="moeda")+(Inputs!$G$5:$G$160="acoes"))*Inputs!$B$1+((Inputs!$G$5:$G$160&lt;&gt;"moeda")*(Inputs!$G$5:$G$160&lt;&gt;"acoes")))*INDEX(Inputs!$K$5:$AJ$160,0,MATCH(K$2,Inputs!$K$4:$AJ$4,0)))+SUMPRODUCT((Inputs!$E$5:$E$160=$B11)*Inputs!$F$5:$F$160*(((Inputs!$G$5:$G$160="moeda")+(Inputs!$G$5:$G$160="acoes"))*Inputs!$B$1+((Inputs!$G$5:$G$160&lt;&gt;"moeda")*(Inputs!$G$5:$G$160&lt;&gt;"acoes")))*INDEX(Inputs!$K$5:$AJ$160,0,MATCH(K$2,Inputs!$K$4:$AJ$4,0)))))</f>
        <v>0.24977188</v>
      </c>
      <c r="L11" s="6">
        <f>IF(ISNA(MATCH(L$2,Inputs!$K$4:$AJ$4,0)),NA(),IF(SUMPRODUCT((Inputs!$A$5:$A$160=$B11)*ISNUMBER(INDEX(Inputs!$K$5:$AJ$160,0,MATCH(L$2,Inputs!$K$4:$AJ$4,0))))+SUMPRODUCT((Inputs!$C$5:$C$160=$B11)*ISNUMBER(INDEX(Inputs!$K$5:$AJ$160,0,MATCH(L$2,Inputs!$K$4:$AJ$4,0))))+SUMPRODUCT((Inputs!$E$5:$E$160=$B11)*ISNUMBER(INDEX(Inputs!$K$5:$AJ$160,0,MATCH(L$2,Inputs!$K$4:$AJ$4,0))))=0,NA(),SUMPRODUCT((Inputs!$A$5:$A$160=$B11)*Inputs!$B$5:$B$160*(((Inputs!$G$5:$G$160="moeda")+(Inputs!$G$5:$G$160="acoes"))*Inputs!$B$1+((Inputs!$G$5:$G$160&lt;&gt;"moeda")*(Inputs!$G$5:$G$160&lt;&gt;"acoes")))*INDEX(Inputs!$K$5:$AJ$160,0,MATCH(L$2,Inputs!$K$4:$AJ$4,0)))+SUMPRODUCT((Inputs!$C$5:$C$160=$B11)*Inputs!$D$5:$D$160*(((Inputs!$G$5:$G$160="moeda")+(Inputs!$G$5:$G$160="acoes"))*Inputs!$B$1+((Inputs!$G$5:$G$160&lt;&gt;"moeda")*(Inputs!$G$5:$G$160&lt;&gt;"acoes")))*INDEX(Inputs!$K$5:$AJ$160,0,MATCH(L$2,Inputs!$K$4:$AJ$4,0)))+SUMPRODUCT((Inputs!$E$5:$E$160=$B11)*Inputs!$F$5:$F$160*(((Inputs!$G$5:$G$160="moeda")+(Inputs!$G$5:$G$160="acoes"))*Inputs!$B$1+((Inputs!$G$5:$G$160&lt;&gt;"moeda")*(Inputs!$G$5:$G$160&lt;&gt;"acoes")))*INDEX(Inputs!$K$5:$AJ$160,0,MATCH(L$2,Inputs!$K$4:$AJ$4,0)))))</f>
        <v>-0.0614080706760011</v>
      </c>
      <c r="M11" s="3">
        <f>SUM(I11:L11)</f>
        <v>0.602992059486997</v>
      </c>
      <c r="N11" s="6">
        <f>IF(ISNA(MATCH(N$2,Inputs!$K$4:$AJ$4,0)),NA(),IF(SUMPRODUCT((Inputs!$A$5:$A$160=$B11)*ISNUMBER(INDEX(Inputs!$K$5:$AJ$160,0,MATCH(N$2,Inputs!$K$4:$AJ$4,0))))+SUMPRODUCT((Inputs!$C$5:$C$160=$B11)*ISNUMBER(INDEX(Inputs!$K$5:$AJ$160,0,MATCH(N$2,Inputs!$K$4:$AJ$4,0))))+SUMPRODUCT((Inputs!$E$5:$E$160=$B11)*ISNUMBER(INDEX(Inputs!$K$5:$AJ$160,0,MATCH(N$2,Inputs!$K$4:$AJ$4,0))))=0,NA(),SUMPRODUCT((Inputs!$A$5:$A$160=$B11)*Inputs!$B$5:$B$160*(((Inputs!$G$5:$G$160="moeda")+(Inputs!$G$5:$G$160="acoes"))*Inputs!$B$1+((Inputs!$G$5:$G$160&lt;&gt;"moeda")*(Inputs!$G$5:$G$160&lt;&gt;"acoes")))*INDEX(Inputs!$K$5:$AJ$160,0,MATCH(N$2,Inputs!$K$4:$AJ$4,0)))+SUMPRODUCT((Inputs!$C$5:$C$160=$B11)*Inputs!$D$5:$D$160*(((Inputs!$G$5:$G$160="moeda")+(Inputs!$G$5:$G$160="acoes"))*Inputs!$B$1+((Inputs!$G$5:$G$160&lt;&gt;"moeda")*(Inputs!$G$5:$G$160&lt;&gt;"acoes")))*INDEX(Inputs!$K$5:$AJ$160,0,MATCH(N$2,Inputs!$K$4:$AJ$4,0)))+SUMPRODUCT((Inputs!$E$5:$E$160=$B11)*Inputs!$F$5:$F$160*(((Inputs!$G$5:$G$160="moeda")+(Inputs!$G$5:$G$160="acoes"))*Inputs!$B$1+((Inputs!$G$5:$G$160&lt;&gt;"moeda")*(Inputs!$G$5:$G$160&lt;&gt;"acoes")))*INDEX(Inputs!$K$5:$AJ$160,0,MATCH(N$2,Inputs!$K$4:$AJ$4,0)))))</f>
        <v>0</v>
      </c>
      <c r="O11" s="6">
        <f>IF(ISNA(MATCH(O$2,Inputs!$K$4:$AJ$4,0)),NA(),IF(SUMPRODUCT((Inputs!$A$5:$A$160=$B11)*ISNUMBER(INDEX(Inputs!$K$5:$AJ$160,0,MATCH(O$2,Inputs!$K$4:$AJ$4,0))))+SUMPRODUCT((Inputs!$C$5:$C$160=$B11)*ISNUMBER(INDEX(Inputs!$K$5:$AJ$160,0,MATCH(O$2,Inputs!$K$4:$AJ$4,0))))+SUMPRODUCT((Inputs!$E$5:$E$160=$B11)*ISNUMBER(INDEX(Inputs!$K$5:$AJ$160,0,MATCH(O$2,Inputs!$K$4:$AJ$4,0))))=0,NA(),SUMPRODUCT((Inputs!$A$5:$A$160=$B11)*Inputs!$B$5:$B$160*(((Inputs!$G$5:$G$160="moeda")+(Inputs!$G$5:$G$160="acoes"))*Inputs!$B$1+((Inputs!$G$5:$G$160&lt;&gt;"moeda")*(Inputs!$G$5:$G$160&lt;&gt;"acoes")))*INDEX(Inputs!$K$5:$AJ$160,0,MATCH(O$2,Inputs!$K$4:$AJ$4,0)))+SUMPRODUCT((Inputs!$C$5:$C$160=$B11)*Inputs!$D$5:$D$160*(((Inputs!$G$5:$G$160="moeda")+(Inputs!$G$5:$G$160="acoes"))*Inputs!$B$1+((Inputs!$G$5:$G$160&lt;&gt;"moeda")*(Inputs!$G$5:$G$160&lt;&gt;"acoes")))*INDEX(Inputs!$K$5:$AJ$160,0,MATCH(O$2,Inputs!$K$4:$AJ$4,0)))+SUMPRODUCT((Inputs!$E$5:$E$160=$B11)*Inputs!$F$5:$F$160*(((Inputs!$G$5:$G$160="moeda")+(Inputs!$G$5:$G$160="acoes"))*Inputs!$B$1+((Inputs!$G$5:$G$160&lt;&gt;"moeda")*(Inputs!$G$5:$G$160&lt;&gt;"acoes")))*INDEX(Inputs!$K$5:$AJ$160,0,MATCH(O$2,Inputs!$K$4:$AJ$4,0)))))</f>
        <v>0.255</v>
      </c>
      <c r="P11" s="6">
        <f>IF(ISNA(MATCH(P$2,Inputs!$K$4:$AJ$4,0)),NA(),IF(SUMPRODUCT((Inputs!$A$5:$A$160=$B11)*ISNUMBER(INDEX(Inputs!$K$5:$AJ$160,0,MATCH(P$2,Inputs!$K$4:$AJ$4,0))))+SUMPRODUCT((Inputs!$C$5:$C$160=$B11)*ISNUMBER(INDEX(Inputs!$K$5:$AJ$160,0,MATCH(P$2,Inputs!$K$4:$AJ$4,0))))+SUMPRODUCT((Inputs!$E$5:$E$160=$B11)*ISNUMBER(INDEX(Inputs!$K$5:$AJ$160,0,MATCH(P$2,Inputs!$K$4:$AJ$4,0))))=0,NA(),SUMPRODUCT((Inputs!$A$5:$A$160=$B11)*Inputs!$B$5:$B$160*(((Inputs!$G$5:$G$160="moeda")+(Inputs!$G$5:$G$160="acoes"))*Inputs!$B$1+((Inputs!$G$5:$G$160&lt;&gt;"moeda")*(Inputs!$G$5:$G$160&lt;&gt;"acoes")))*INDEX(Inputs!$K$5:$AJ$160,0,MATCH(P$2,Inputs!$K$4:$AJ$4,0)))+SUMPRODUCT((Inputs!$C$5:$C$160=$B11)*Inputs!$D$5:$D$160*(((Inputs!$G$5:$G$160="moeda")+(Inputs!$G$5:$G$160="acoes"))*Inputs!$B$1+((Inputs!$G$5:$G$160&lt;&gt;"moeda")*(Inputs!$G$5:$G$160&lt;&gt;"acoes")))*INDEX(Inputs!$K$5:$AJ$160,0,MATCH(P$2,Inputs!$K$4:$AJ$4,0)))+SUMPRODUCT((Inputs!$E$5:$E$160=$B11)*Inputs!$F$5:$F$160*(((Inputs!$G$5:$G$160="moeda")+(Inputs!$G$5:$G$160="acoes"))*Inputs!$B$1+((Inputs!$G$5:$G$160&lt;&gt;"moeda")*(Inputs!$G$5:$G$160&lt;&gt;"acoes")))*INDEX(Inputs!$K$5:$AJ$160,0,MATCH(P$2,Inputs!$K$4:$AJ$4,0)))))</f>
        <v>0.176</v>
      </c>
      <c r="Q11" s="6">
        <f>IF(ISNA(MATCH(Q$2,Inputs!$K$4:$AJ$4,0)),NA(),IF(SUMPRODUCT((Inputs!$A$5:$A$160=$B11)*ISNUMBER(INDEX(Inputs!$K$5:$AJ$160,0,MATCH(Q$2,Inputs!$K$4:$AJ$4,0))))+SUMPRODUCT((Inputs!$C$5:$C$160=$B11)*ISNUMBER(INDEX(Inputs!$K$5:$AJ$160,0,MATCH(Q$2,Inputs!$K$4:$AJ$4,0))))+SUMPRODUCT((Inputs!$E$5:$E$160=$B11)*ISNUMBER(INDEX(Inputs!$K$5:$AJ$160,0,MATCH(Q$2,Inputs!$K$4:$AJ$4,0))))=0,NA(),SUMPRODUCT((Inputs!$A$5:$A$160=$B11)*Inputs!$B$5:$B$160*(((Inputs!$G$5:$G$160="moeda")+(Inputs!$G$5:$G$160="acoes"))*Inputs!$B$1+((Inputs!$G$5:$G$160&lt;&gt;"moeda")*(Inputs!$G$5:$G$160&lt;&gt;"acoes")))*INDEX(Inputs!$K$5:$AJ$160,0,MATCH(Q$2,Inputs!$K$4:$AJ$4,0)))+SUMPRODUCT((Inputs!$C$5:$C$160=$B11)*Inputs!$D$5:$D$160*(((Inputs!$G$5:$G$160="moeda")+(Inputs!$G$5:$G$160="acoes"))*Inputs!$B$1+((Inputs!$G$5:$G$160&lt;&gt;"moeda")*(Inputs!$G$5:$G$160&lt;&gt;"acoes")))*INDEX(Inputs!$K$5:$AJ$160,0,MATCH(Q$2,Inputs!$K$4:$AJ$4,0)))+SUMPRODUCT((Inputs!$E$5:$E$160=$B11)*Inputs!$F$5:$F$160*(((Inputs!$G$5:$G$160="moeda")+(Inputs!$G$5:$G$160="acoes"))*Inputs!$B$1+((Inputs!$G$5:$G$160&lt;&gt;"moeda")*(Inputs!$G$5:$G$160&lt;&gt;"acoes")))*INDEX(Inputs!$K$5:$AJ$160,0,MATCH(Q$2,Inputs!$K$4:$AJ$4,0)))))</f>
        <v>-0.274</v>
      </c>
      <c r="R11" s="3">
        <f>SUM(N11:Q11)</f>
        <v>0.157</v>
      </c>
      <c r="S11" s="6">
        <f>IF(ISNA(MATCH(S$2,Inputs!$K$4:$AJ$4,0)),NA(),IF(SUMPRODUCT((Inputs!$A$5:$A$160=$B11)*ISNUMBER(INDEX(Inputs!$K$5:$AJ$160,0,MATCH(S$2,Inputs!$K$4:$AJ$4,0))))+SUMPRODUCT((Inputs!$C$5:$C$160=$B11)*ISNUMBER(INDEX(Inputs!$K$5:$AJ$160,0,MATCH(S$2,Inputs!$K$4:$AJ$4,0))))+SUMPRODUCT((Inputs!$E$5:$E$160=$B11)*ISNUMBER(INDEX(Inputs!$K$5:$AJ$160,0,MATCH(S$2,Inputs!$K$4:$AJ$4,0))))=0,NA(),SUMPRODUCT((Inputs!$A$5:$A$160=$B11)*Inputs!$B$5:$B$160*(((Inputs!$G$5:$G$160="moeda")+(Inputs!$G$5:$G$160="acoes"))*Inputs!$B$1+((Inputs!$G$5:$G$160&lt;&gt;"moeda")*(Inputs!$G$5:$G$160&lt;&gt;"acoes")))*INDEX(Inputs!$K$5:$AJ$160,0,MATCH(S$2,Inputs!$K$4:$AJ$4,0)))+SUMPRODUCT((Inputs!$C$5:$C$160=$B11)*Inputs!$D$5:$D$160*(((Inputs!$G$5:$G$160="moeda")+(Inputs!$G$5:$G$160="acoes"))*Inputs!$B$1+((Inputs!$G$5:$G$160&lt;&gt;"moeda")*(Inputs!$G$5:$G$160&lt;&gt;"acoes")))*INDEX(Inputs!$K$5:$AJ$160,0,MATCH(S$2,Inputs!$K$4:$AJ$4,0)))+SUMPRODUCT((Inputs!$E$5:$E$160=$B11)*Inputs!$F$5:$F$160*(((Inputs!$G$5:$G$160="moeda")+(Inputs!$G$5:$G$160="acoes"))*Inputs!$B$1+((Inputs!$G$5:$G$160&lt;&gt;"moeda")*(Inputs!$G$5:$G$160&lt;&gt;"acoes")))*INDEX(Inputs!$K$5:$AJ$160,0,MATCH(S$2,Inputs!$K$4:$AJ$4,0)))))</f>
        <v>-0.348</v>
      </c>
      <c r="T11" s="6">
        <f>IF(ISNA(MATCH(T$2,Inputs!$K$4:$AJ$4,0)),NA(),IF(SUMPRODUCT((Inputs!$A$5:$A$160=$B11)*ISNUMBER(INDEX(Inputs!$K$5:$AJ$160,0,MATCH(T$2,Inputs!$K$4:$AJ$4,0))))+SUMPRODUCT((Inputs!$C$5:$C$160=$B11)*ISNUMBER(INDEX(Inputs!$K$5:$AJ$160,0,MATCH(T$2,Inputs!$K$4:$AJ$4,0))))+SUMPRODUCT((Inputs!$E$5:$E$160=$B11)*ISNUMBER(INDEX(Inputs!$K$5:$AJ$160,0,MATCH(T$2,Inputs!$K$4:$AJ$4,0))))=0,NA(),SUMPRODUCT((Inputs!$A$5:$A$160=$B11)*Inputs!$B$5:$B$160*(((Inputs!$G$5:$G$160="moeda")+(Inputs!$G$5:$G$160="acoes"))*Inputs!$B$1+((Inputs!$G$5:$G$160&lt;&gt;"moeda")*(Inputs!$G$5:$G$160&lt;&gt;"acoes")))*INDEX(Inputs!$K$5:$AJ$160,0,MATCH(T$2,Inputs!$K$4:$AJ$4,0)))+SUMPRODUCT((Inputs!$C$5:$C$160=$B11)*Inputs!$D$5:$D$160*(((Inputs!$G$5:$G$160="moeda")+(Inputs!$G$5:$G$160="acoes"))*Inputs!$B$1+((Inputs!$G$5:$G$160&lt;&gt;"moeda")*(Inputs!$G$5:$G$160&lt;&gt;"acoes")))*INDEX(Inputs!$K$5:$AJ$160,0,MATCH(T$2,Inputs!$K$4:$AJ$4,0)))+SUMPRODUCT((Inputs!$E$5:$E$160=$B11)*Inputs!$F$5:$F$160*(((Inputs!$G$5:$G$160="moeda")+(Inputs!$G$5:$G$160="acoes"))*Inputs!$B$1+((Inputs!$G$5:$G$160&lt;&gt;"moeda")*(Inputs!$G$5:$G$160&lt;&gt;"acoes")))*INDEX(Inputs!$K$5:$AJ$160,0,MATCH(T$2,Inputs!$K$4:$AJ$4,0)))))</f>
        <v>-0.802</v>
      </c>
      <c r="U11" s="6">
        <f>IF(ISNA(MATCH(U$2,Inputs!$K$4:$AJ$4,0)),NA(),IF(SUMPRODUCT((Inputs!$A$5:$A$160=$B11)*ISNUMBER(INDEX(Inputs!$K$5:$AJ$160,0,MATCH(U$2,Inputs!$K$4:$AJ$4,0))))+SUMPRODUCT((Inputs!$C$5:$C$160=$B11)*ISNUMBER(INDEX(Inputs!$K$5:$AJ$160,0,MATCH(U$2,Inputs!$K$4:$AJ$4,0))))+SUMPRODUCT((Inputs!$E$5:$E$160=$B11)*ISNUMBER(INDEX(Inputs!$K$5:$AJ$160,0,MATCH(U$2,Inputs!$K$4:$AJ$4,0))))=0,NA(),SUMPRODUCT((Inputs!$A$5:$A$160=$B11)*Inputs!$B$5:$B$160*(((Inputs!$G$5:$G$160="moeda")+(Inputs!$G$5:$G$160="acoes"))*Inputs!$B$1+((Inputs!$G$5:$G$160&lt;&gt;"moeda")*(Inputs!$G$5:$G$160&lt;&gt;"acoes")))*INDEX(Inputs!$K$5:$AJ$160,0,MATCH(U$2,Inputs!$K$4:$AJ$4,0)))+SUMPRODUCT((Inputs!$C$5:$C$160=$B11)*Inputs!$D$5:$D$160*(((Inputs!$G$5:$G$160="moeda")+(Inputs!$G$5:$G$160="acoes"))*Inputs!$B$1+((Inputs!$G$5:$G$160&lt;&gt;"moeda")*(Inputs!$G$5:$G$160&lt;&gt;"acoes")))*INDEX(Inputs!$K$5:$AJ$160,0,MATCH(U$2,Inputs!$K$4:$AJ$4,0)))+SUMPRODUCT((Inputs!$E$5:$E$160=$B11)*Inputs!$F$5:$F$160*(((Inputs!$G$5:$G$160="moeda")+(Inputs!$G$5:$G$160="acoes"))*Inputs!$B$1+((Inputs!$G$5:$G$160&lt;&gt;"moeda")*(Inputs!$G$5:$G$160&lt;&gt;"acoes")))*INDEX(Inputs!$K$5:$AJ$160,0,MATCH(U$2,Inputs!$K$4:$AJ$4,0)))))</f>
        <v>-0.655</v>
      </c>
      <c r="V11" s="6">
        <f>IF(ISNA(MATCH(V$2,Inputs!$K$4:$AJ$4,0)),NA(),IF(SUMPRODUCT((Inputs!$A$5:$A$160=$B11)*ISNUMBER(INDEX(Inputs!$K$5:$AJ$160,0,MATCH(V$2,Inputs!$K$4:$AJ$4,0))))+SUMPRODUCT((Inputs!$C$5:$C$160=$B11)*ISNUMBER(INDEX(Inputs!$K$5:$AJ$160,0,MATCH(V$2,Inputs!$K$4:$AJ$4,0))))+SUMPRODUCT((Inputs!$E$5:$E$160=$B11)*ISNUMBER(INDEX(Inputs!$K$5:$AJ$160,0,MATCH(V$2,Inputs!$K$4:$AJ$4,0))))=0,NA(),SUMPRODUCT((Inputs!$A$5:$A$160=$B11)*Inputs!$B$5:$B$160*(((Inputs!$G$5:$G$160="moeda")+(Inputs!$G$5:$G$160="acoes"))*Inputs!$B$1+((Inputs!$G$5:$G$160&lt;&gt;"moeda")*(Inputs!$G$5:$G$160&lt;&gt;"acoes")))*INDEX(Inputs!$K$5:$AJ$160,0,MATCH(V$2,Inputs!$K$4:$AJ$4,0)))+SUMPRODUCT((Inputs!$C$5:$C$160=$B11)*Inputs!$D$5:$D$160*(((Inputs!$G$5:$G$160="moeda")+(Inputs!$G$5:$G$160="acoes"))*Inputs!$B$1+((Inputs!$G$5:$G$160&lt;&gt;"moeda")*(Inputs!$G$5:$G$160&lt;&gt;"acoes")))*INDEX(Inputs!$K$5:$AJ$160,0,MATCH(V$2,Inputs!$K$4:$AJ$4,0)))+SUMPRODUCT((Inputs!$E$5:$E$160=$B11)*Inputs!$F$5:$F$160*(((Inputs!$G$5:$G$160="moeda")+(Inputs!$G$5:$G$160="acoes"))*Inputs!$B$1+((Inputs!$G$5:$G$160&lt;&gt;"moeda")*(Inputs!$G$5:$G$160&lt;&gt;"acoes")))*INDEX(Inputs!$K$5:$AJ$160,0,MATCH(V$2,Inputs!$K$4:$AJ$4,0)))))</f>
        <v>-2.442</v>
      </c>
      <c r="W11" s="3">
        <f>SUM(S11:V11)</f>
        <v>-4.247</v>
      </c>
      <c r="X11" s="6">
        <f>IF(ISNA(MATCH(X$2,Inputs!$K$4:$AJ$4,0)),NA(),IF(SUMPRODUCT((Inputs!$A$5:$A$160=$B11)*ISNUMBER(INDEX(Inputs!$K$5:$AJ$160,0,MATCH(X$2,Inputs!$K$4:$AJ$4,0))))+SUMPRODUCT((Inputs!$C$5:$C$160=$B11)*ISNUMBER(INDEX(Inputs!$K$5:$AJ$160,0,MATCH(X$2,Inputs!$K$4:$AJ$4,0))))+SUMPRODUCT((Inputs!$E$5:$E$160=$B11)*ISNUMBER(INDEX(Inputs!$K$5:$AJ$160,0,MATCH(X$2,Inputs!$K$4:$AJ$4,0))))=0,NA(),SUMPRODUCT((Inputs!$A$5:$A$160=$B11)*Inputs!$B$5:$B$160*(((Inputs!$G$5:$G$160="moeda")+(Inputs!$G$5:$G$160="acoes"))*Inputs!$B$1+((Inputs!$G$5:$G$160&lt;&gt;"moeda")*(Inputs!$G$5:$G$160&lt;&gt;"acoes")))*INDEX(Inputs!$K$5:$AJ$160,0,MATCH(X$2,Inputs!$K$4:$AJ$4,0)))+SUMPRODUCT((Inputs!$C$5:$C$160=$B11)*Inputs!$D$5:$D$160*(((Inputs!$G$5:$G$160="moeda")+(Inputs!$G$5:$G$160="acoes"))*Inputs!$B$1+((Inputs!$G$5:$G$160&lt;&gt;"moeda")*(Inputs!$G$5:$G$160&lt;&gt;"acoes")))*INDEX(Inputs!$K$5:$AJ$160,0,MATCH(X$2,Inputs!$K$4:$AJ$4,0)))+SUMPRODUCT((Inputs!$E$5:$E$160=$B11)*Inputs!$F$5:$F$160*(((Inputs!$G$5:$G$160="moeda")+(Inputs!$G$5:$G$160="acoes"))*Inputs!$B$1+((Inputs!$G$5:$G$160&lt;&gt;"moeda")*(Inputs!$G$5:$G$160&lt;&gt;"acoes")))*INDEX(Inputs!$K$5:$AJ$160,0,MATCH(X$2,Inputs!$K$4:$AJ$4,0)))))</f>
        <v>-2.271</v>
      </c>
      <c r="Y11" s="6">
        <f>IF(ISNA(MATCH(Y$2,Inputs!$K$4:$AJ$4,0)),NA(),IF(SUMPRODUCT((Inputs!$A$5:$A$160=$B11)*ISNUMBER(INDEX(Inputs!$K$5:$AJ$160,0,MATCH(Y$2,Inputs!$K$4:$AJ$4,0))))+SUMPRODUCT((Inputs!$C$5:$C$160=$B11)*ISNUMBER(INDEX(Inputs!$K$5:$AJ$160,0,MATCH(Y$2,Inputs!$K$4:$AJ$4,0))))+SUMPRODUCT((Inputs!$E$5:$E$160=$B11)*ISNUMBER(INDEX(Inputs!$K$5:$AJ$160,0,MATCH(Y$2,Inputs!$K$4:$AJ$4,0))))=0,NA(),SUMPRODUCT((Inputs!$A$5:$A$160=$B11)*Inputs!$B$5:$B$160*(((Inputs!$G$5:$G$160="moeda")+(Inputs!$G$5:$G$160="acoes"))*Inputs!$B$1+((Inputs!$G$5:$G$160&lt;&gt;"moeda")*(Inputs!$G$5:$G$160&lt;&gt;"acoes")))*INDEX(Inputs!$K$5:$AJ$160,0,MATCH(Y$2,Inputs!$K$4:$AJ$4,0)))+SUMPRODUCT((Inputs!$C$5:$C$160=$B11)*Inputs!$D$5:$D$160*(((Inputs!$G$5:$G$160="moeda")+(Inputs!$G$5:$G$160="acoes"))*Inputs!$B$1+((Inputs!$G$5:$G$160&lt;&gt;"moeda")*(Inputs!$G$5:$G$160&lt;&gt;"acoes")))*INDEX(Inputs!$K$5:$AJ$160,0,MATCH(Y$2,Inputs!$K$4:$AJ$4,0)))+SUMPRODUCT((Inputs!$E$5:$E$160=$B11)*Inputs!$F$5:$F$160*(((Inputs!$G$5:$G$160="moeda")+(Inputs!$G$5:$G$160="acoes"))*Inputs!$B$1+((Inputs!$G$5:$G$160&lt;&gt;"moeda")*(Inputs!$G$5:$G$160&lt;&gt;"acoes")))*INDEX(Inputs!$K$5:$AJ$160,0,MATCH(Y$2,Inputs!$K$4:$AJ$4,0)))))</f>
        <v>-2.776</v>
      </c>
      <c r="Z11" s="6">
        <f>IF(ISNA(MATCH(Z$2,Inputs!$K$4:$AJ$4,0)),NA(),IF(SUMPRODUCT((Inputs!$A$5:$A$160=$B11)*ISNUMBER(INDEX(Inputs!$K$5:$AJ$160,0,MATCH(Z$2,Inputs!$K$4:$AJ$4,0))))+SUMPRODUCT((Inputs!$C$5:$C$160=$B11)*ISNUMBER(INDEX(Inputs!$K$5:$AJ$160,0,MATCH(Z$2,Inputs!$K$4:$AJ$4,0))))+SUMPRODUCT((Inputs!$E$5:$E$160=$B11)*ISNUMBER(INDEX(Inputs!$K$5:$AJ$160,0,MATCH(Z$2,Inputs!$K$4:$AJ$4,0))))=0,NA(),SUMPRODUCT((Inputs!$A$5:$A$160=$B11)*Inputs!$B$5:$B$160*(((Inputs!$G$5:$G$160="moeda")+(Inputs!$G$5:$G$160="acoes"))*Inputs!$B$1+((Inputs!$G$5:$G$160&lt;&gt;"moeda")*(Inputs!$G$5:$G$160&lt;&gt;"acoes")))*INDEX(Inputs!$K$5:$AJ$160,0,MATCH(Z$2,Inputs!$K$4:$AJ$4,0)))+SUMPRODUCT((Inputs!$C$5:$C$160=$B11)*Inputs!$D$5:$D$160*(((Inputs!$G$5:$G$160="moeda")+(Inputs!$G$5:$G$160="acoes"))*Inputs!$B$1+((Inputs!$G$5:$G$160&lt;&gt;"moeda")*(Inputs!$G$5:$G$160&lt;&gt;"acoes")))*INDEX(Inputs!$K$5:$AJ$160,0,MATCH(Z$2,Inputs!$K$4:$AJ$4,0)))+SUMPRODUCT((Inputs!$E$5:$E$160=$B11)*Inputs!$F$5:$F$160*(((Inputs!$G$5:$G$160="moeda")+(Inputs!$G$5:$G$160="acoes"))*Inputs!$B$1+((Inputs!$G$5:$G$160&lt;&gt;"moeda")*(Inputs!$G$5:$G$160&lt;&gt;"acoes")))*INDEX(Inputs!$K$5:$AJ$160,0,MATCH(Z$2,Inputs!$K$4:$AJ$4,0)))))</f>
        <v>-3.60633808341797</v>
      </c>
      <c r="AA11" s="6">
        <f>IF(ISNA(MATCH(AA$2,Inputs!$K$4:$AJ$4,0)),NA(),IF(SUMPRODUCT((Inputs!$A$5:$A$160=$B11)*ISNUMBER(INDEX(Inputs!$K$5:$AJ$160,0,MATCH(AA$2,Inputs!$K$4:$AJ$4,0))))+SUMPRODUCT((Inputs!$C$5:$C$160=$B11)*ISNUMBER(INDEX(Inputs!$K$5:$AJ$160,0,MATCH(AA$2,Inputs!$K$4:$AJ$4,0))))+SUMPRODUCT((Inputs!$E$5:$E$160=$B11)*ISNUMBER(INDEX(Inputs!$K$5:$AJ$160,0,MATCH(AA$2,Inputs!$K$4:$AJ$4,0))))=0,NA(),SUMPRODUCT((Inputs!$A$5:$A$160=$B11)*Inputs!$B$5:$B$160*(((Inputs!$G$5:$G$160="moeda")+(Inputs!$G$5:$G$160="acoes"))*Inputs!$B$1+((Inputs!$G$5:$G$160&lt;&gt;"moeda")*(Inputs!$G$5:$G$160&lt;&gt;"acoes")))*INDEX(Inputs!$K$5:$AJ$160,0,MATCH(AA$2,Inputs!$K$4:$AJ$4,0)))+SUMPRODUCT((Inputs!$C$5:$C$160=$B11)*Inputs!$D$5:$D$160*(((Inputs!$G$5:$G$160="moeda")+(Inputs!$G$5:$G$160="acoes"))*Inputs!$B$1+((Inputs!$G$5:$G$160&lt;&gt;"moeda")*(Inputs!$G$5:$G$160&lt;&gt;"acoes")))*INDEX(Inputs!$K$5:$AJ$160,0,MATCH(AA$2,Inputs!$K$4:$AJ$4,0)))+SUMPRODUCT((Inputs!$E$5:$E$160=$B11)*Inputs!$F$5:$F$160*(((Inputs!$G$5:$G$160="moeda")+(Inputs!$G$5:$G$160="acoes"))*Inputs!$B$1+((Inputs!$G$5:$G$160&lt;&gt;"moeda")*(Inputs!$G$5:$G$160&lt;&gt;"acoes")))*INDEX(Inputs!$K$5:$AJ$160,0,MATCH(AA$2,Inputs!$K$4:$AJ$4,0)))))</f>
        <v>-4.9056465948825</v>
      </c>
      <c r="AB11" s="3">
        <f>SUM(X11:AA11)</f>
        <v>-13.5589846783005</v>
      </c>
      <c r="AC11" s="6">
        <f>IF(ISNA(MATCH(AC$2,Inputs!$K$4:$AJ$4,0)),NA(),IF(SUMPRODUCT((Inputs!$A$5:$A$160=$B11)*ISNUMBER(INDEX(Inputs!$K$5:$AJ$160,0,MATCH(AC$2,Inputs!$K$4:$AJ$4,0))))+SUMPRODUCT((Inputs!$C$5:$C$160=$B11)*ISNUMBER(INDEX(Inputs!$K$5:$AJ$160,0,MATCH(AC$2,Inputs!$K$4:$AJ$4,0))))+SUMPRODUCT((Inputs!$E$5:$E$160=$B11)*ISNUMBER(INDEX(Inputs!$K$5:$AJ$160,0,MATCH(AC$2,Inputs!$K$4:$AJ$4,0))))=0,NA(),SUMPRODUCT((Inputs!$A$5:$A$160=$B11)*Inputs!$B$5:$B$160*(((Inputs!$G$5:$G$160="moeda")+(Inputs!$G$5:$G$160="acoes"))*Inputs!$B$1+((Inputs!$G$5:$G$160&lt;&gt;"moeda")*(Inputs!$G$5:$G$160&lt;&gt;"acoes")))*INDEX(Inputs!$K$5:$AJ$160,0,MATCH(AC$2,Inputs!$K$4:$AJ$4,0)))+SUMPRODUCT((Inputs!$C$5:$C$160=$B11)*Inputs!$D$5:$D$160*(((Inputs!$G$5:$G$160="moeda")+(Inputs!$G$5:$G$160="acoes"))*Inputs!$B$1+((Inputs!$G$5:$G$160&lt;&gt;"moeda")*(Inputs!$G$5:$G$160&lt;&gt;"acoes")))*INDEX(Inputs!$K$5:$AJ$160,0,MATCH(AC$2,Inputs!$K$4:$AJ$4,0)))+SUMPRODUCT((Inputs!$E$5:$E$160=$B11)*Inputs!$F$5:$F$160*(((Inputs!$G$5:$G$160="moeda")+(Inputs!$G$5:$G$160="acoes"))*Inputs!$B$1+((Inputs!$G$5:$G$160&lt;&gt;"moeda")*(Inputs!$G$5:$G$160&lt;&gt;"acoes")))*INDEX(Inputs!$K$5:$AJ$160,0,MATCH(AC$2,Inputs!$K$4:$AJ$4,0)))))</f>
        <v>-5.061568</v>
      </c>
      <c r="AD11" s="6">
        <f>IF(ISNA(MATCH(AD$2,Inputs!$K$4:$AJ$4,0)),NA(),IF(SUMPRODUCT((Inputs!$A$5:$A$160=$B11)*ISNUMBER(INDEX(Inputs!$K$5:$AJ$160,0,MATCH(AD$2,Inputs!$K$4:$AJ$4,0))))+SUMPRODUCT((Inputs!$C$5:$C$160=$B11)*ISNUMBER(INDEX(Inputs!$K$5:$AJ$160,0,MATCH(AD$2,Inputs!$K$4:$AJ$4,0))))+SUMPRODUCT((Inputs!$E$5:$E$160=$B11)*ISNUMBER(INDEX(Inputs!$K$5:$AJ$160,0,MATCH(AD$2,Inputs!$K$4:$AJ$4,0))))=0,NA(),SUMPRODUCT((Inputs!$A$5:$A$160=$B11)*Inputs!$B$5:$B$160*(((Inputs!$G$5:$G$160="moeda")+(Inputs!$G$5:$G$160="acoes"))*Inputs!$B$1+((Inputs!$G$5:$G$160&lt;&gt;"moeda")*(Inputs!$G$5:$G$160&lt;&gt;"acoes")))*INDEX(Inputs!$K$5:$AJ$160,0,MATCH(AD$2,Inputs!$K$4:$AJ$4,0)))+SUMPRODUCT((Inputs!$C$5:$C$160=$B11)*Inputs!$D$5:$D$160*(((Inputs!$G$5:$G$160="moeda")+(Inputs!$G$5:$G$160="acoes"))*Inputs!$B$1+((Inputs!$G$5:$G$160&lt;&gt;"moeda")*(Inputs!$G$5:$G$160&lt;&gt;"acoes")))*INDEX(Inputs!$K$5:$AJ$160,0,MATCH(AD$2,Inputs!$K$4:$AJ$4,0)))+SUMPRODUCT((Inputs!$E$5:$E$160=$B11)*Inputs!$F$5:$F$160*(((Inputs!$G$5:$G$160="moeda")+(Inputs!$G$5:$G$160="acoes"))*Inputs!$B$1+((Inputs!$G$5:$G$160&lt;&gt;"moeda")*(Inputs!$G$5:$G$160&lt;&gt;"acoes")))*INDEX(Inputs!$K$5:$AJ$160,0,MATCH(AD$2,Inputs!$K$4:$AJ$4,0)))))</f>
        <v>-5.364726</v>
      </c>
      <c r="AE11" s="6" t="e">
        <f>IF(ISNA(MATCH(AE$2,Inputs!$K$4:$AJ$4,0)),NA(),IF(SUMPRODUCT((Inputs!$A$5:$A$160=$B11)*ISNUMBER(INDEX(Inputs!$K$5:$AJ$160,0,MATCH(AE$2,Inputs!$K$4:$AJ$4,0))))+SUMPRODUCT((Inputs!$C$5:$C$160=$B11)*ISNUMBER(INDEX(Inputs!$K$5:$AJ$160,0,MATCH(AE$2,Inputs!$K$4:$AJ$4,0))))+SUMPRODUCT((Inputs!$E$5:$E$160=$B11)*ISNUMBER(INDEX(Inputs!$K$5:$AJ$160,0,MATCH(AE$2,Inputs!$K$4:$AJ$4,0))))=0,NA(),SUMPRODUCT((Inputs!$A$5:$A$160=$B11)*Inputs!$B$5:$B$160*(((Inputs!$G$5:$G$160="moeda")+(Inputs!$G$5:$G$160="acoes"))*Inputs!$B$1+((Inputs!$G$5:$G$160&lt;&gt;"moeda")*(Inputs!$G$5:$G$160&lt;&gt;"acoes")))*INDEX(Inputs!$K$5:$AJ$160,0,MATCH(AE$2,Inputs!$K$4:$AJ$4,0)))+SUMPRODUCT((Inputs!$C$5:$C$160=$B11)*Inputs!$D$5:$D$160*(((Inputs!$G$5:$G$160="moeda")+(Inputs!$G$5:$G$160="acoes"))*Inputs!$B$1+((Inputs!$G$5:$G$160&lt;&gt;"moeda")*(Inputs!$G$5:$G$160&lt;&gt;"acoes")))*INDEX(Inputs!$K$5:$AJ$160,0,MATCH(AE$2,Inputs!$K$4:$AJ$4,0)))+SUMPRODUCT((Inputs!$E$5:$E$160=$B11)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1" s="6" t="e">
        <f>IF(ISNA(MATCH(AF$2,Inputs!$K$4:$AJ$4,0)),NA(),IF(SUMPRODUCT((Inputs!$A$5:$A$160=$B11)*ISNUMBER(INDEX(Inputs!$K$5:$AJ$160,0,MATCH(AF$2,Inputs!$K$4:$AJ$4,0))))+SUMPRODUCT((Inputs!$C$5:$C$160=$B11)*ISNUMBER(INDEX(Inputs!$K$5:$AJ$160,0,MATCH(AF$2,Inputs!$K$4:$AJ$4,0))))+SUMPRODUCT((Inputs!$E$5:$E$160=$B11)*ISNUMBER(INDEX(Inputs!$K$5:$AJ$160,0,MATCH(AF$2,Inputs!$K$4:$AJ$4,0))))=0,NA(),SUMPRODUCT((Inputs!$A$5:$A$160=$B11)*Inputs!$B$5:$B$160*(((Inputs!$G$5:$G$160="moeda")+(Inputs!$G$5:$G$160="acoes"))*Inputs!$B$1+((Inputs!$G$5:$G$160&lt;&gt;"moeda")*(Inputs!$G$5:$G$160&lt;&gt;"acoes")))*INDEX(Inputs!$K$5:$AJ$160,0,MATCH(AF$2,Inputs!$K$4:$AJ$4,0)))+SUMPRODUCT((Inputs!$C$5:$C$160=$B11)*Inputs!$D$5:$D$160*(((Inputs!$G$5:$G$160="moeda")+(Inputs!$G$5:$G$160="acoes"))*Inputs!$B$1+((Inputs!$G$5:$G$160&lt;&gt;"moeda")*(Inputs!$G$5:$G$160&lt;&gt;"acoes")))*INDEX(Inputs!$K$5:$AJ$160,0,MATCH(AF$2,Inputs!$K$4:$AJ$4,0)))+SUMPRODUCT((Inputs!$E$5:$E$160=$B11)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$160=$B11)*ISNUMBER(INDEX(Inputs!$K$5:$AJ$160,0,MATCH(AH$2,Inputs!$K$4:$AJ$4,0))))+SUMPRODUCT((Inputs!$C$5:$C$160=$B11)*ISNUMBER(INDEX(Inputs!$K$5:$AJ$160,0,MATCH(AH$2,Inputs!$K$4:$AJ$4,0))))+SUMPRODUCT((Inputs!$E$5:$E$160=$B11)*ISNUMBER(INDEX(Inputs!$K$5:$AJ$160,0,MATCH(AH$2,Inputs!$K$4:$AJ$4,0))))=0,NA(),SUMPRODUCT((Inputs!$A$5:$A$160=$B11)*Inputs!$B$5:$B$160*(((Inputs!$G$5:$G$160="moeda")+(Inputs!$G$5:$G$160="acoes"))*Inputs!$B$1+((Inputs!$G$5:$G$160&lt;&gt;"moeda")*(Inputs!$G$5:$G$160&lt;&gt;"acoes")))*INDEX(Inputs!$K$5:$AJ$160,0,MATCH(AH$2,Inputs!$K$4:$AJ$4,0)))+SUMPRODUCT((Inputs!$C$5:$C$160=$B11)*Inputs!$D$5:$D$160*(((Inputs!$G$5:$G$160="moeda")+(Inputs!$G$5:$G$160="acoes"))*Inputs!$B$1+((Inputs!$G$5:$G$160&lt;&gt;"moeda")*(Inputs!$G$5:$G$160&lt;&gt;"acoes")))*INDEX(Inputs!$K$5:$AJ$160,0,MATCH(AH$2,Inputs!$K$4:$AJ$4,0)))+SUMPRODUCT((Inputs!$E$5:$E$160=$B11)*Inputs!$F$5:$F$160*(((Inputs!$G$5:$G$160="moeda")+(Inputs!$G$5:$G$160="acoes"))*Inputs!$B$1+((Inputs!$G$5:$G$160&lt;&gt;"moeda")*(Inputs!$G$5:$G$160&lt;&gt;"acoes")))*INDEX(Inputs!$K$5:$AJ$160,0,MATCH(AH$2,Inputs!$K$4:$AJ$4,0)))))</f>
        <v>0.0388915699999984</v>
      </c>
      <c r="AI11" s="6">
        <f>IF(ISNA(MATCH(AI$2,Inputs!$K$4:$AJ$4,0)),NA(),IF(SUMPRODUCT((Inputs!$A$5:$A$160=$B11)*ISNUMBER(INDEX(Inputs!$K$5:$AJ$160,0,MATCH(AI$2,Inputs!$K$4:$AJ$4,0))))+SUMPRODUCT((Inputs!$C$5:$C$160=$B11)*ISNUMBER(INDEX(Inputs!$K$5:$AJ$160,0,MATCH(AI$2,Inputs!$K$4:$AJ$4,0))))+SUMPRODUCT((Inputs!$E$5:$E$160=$B11)*ISNUMBER(INDEX(Inputs!$K$5:$AJ$160,0,MATCH(AI$2,Inputs!$K$4:$AJ$4,0))))=0,NA(),SUMPRODUCT((Inputs!$A$5:$A$160=$B11)*Inputs!$B$5:$B$160*(((Inputs!$G$5:$G$160="moeda")+(Inputs!$G$5:$G$160="acoes"))*Inputs!$B$1+((Inputs!$G$5:$G$160&lt;&gt;"moeda")*(Inputs!$G$5:$G$160&lt;&gt;"acoes")))*INDEX(Inputs!$K$5:$AJ$160,0,MATCH(AI$2,Inputs!$K$4:$AJ$4,0)))+SUMPRODUCT((Inputs!$C$5:$C$160=$B11)*Inputs!$D$5:$D$160*(((Inputs!$G$5:$G$160="moeda")+(Inputs!$G$5:$G$160="acoes"))*Inputs!$B$1+((Inputs!$G$5:$G$160&lt;&gt;"moeda")*(Inputs!$G$5:$G$160&lt;&gt;"acoes")))*INDEX(Inputs!$K$5:$AJ$160,0,MATCH(AI$2,Inputs!$K$4:$AJ$4,0)))+SUMPRODUCT((Inputs!$E$5:$E$160=$B11)*Inputs!$F$5:$F$160*(((Inputs!$G$5:$G$160="moeda")+(Inputs!$G$5:$G$160="acoes"))*Inputs!$B$1+((Inputs!$G$5:$G$160&lt;&gt;"moeda")*(Inputs!$G$5:$G$160&lt;&gt;"acoes")))*INDEX(Inputs!$K$5:$AJ$160,0,MATCH(AI$2,Inputs!$K$4:$AJ$4,0)))))</f>
        <v>-1.02743027</v>
      </c>
      <c r="AJ11" s="6">
        <f>IF(ISNA(MATCH(AJ$2,Inputs!$K$4:$AJ$4,0)),NA(),IF(SUMPRODUCT((Inputs!$A$5:$A$160=$B11)*ISNUMBER(INDEX(Inputs!$K$5:$AJ$160,0,MATCH(AJ$2,Inputs!$K$4:$AJ$4,0))))+SUMPRODUCT((Inputs!$C$5:$C$160=$B11)*ISNUMBER(INDEX(Inputs!$K$5:$AJ$160,0,MATCH(AJ$2,Inputs!$K$4:$AJ$4,0))))+SUMPRODUCT((Inputs!$E$5:$E$160=$B11)*ISNUMBER(INDEX(Inputs!$K$5:$AJ$160,0,MATCH(AJ$2,Inputs!$K$4:$AJ$4,0))))=0,NA(),SUMPRODUCT((Inputs!$A$5:$A$160=$B11)*Inputs!$B$5:$B$160*(((Inputs!$G$5:$G$160="moeda")+(Inputs!$G$5:$G$160="acoes"))*Inputs!$B$1+((Inputs!$G$5:$G$160&lt;&gt;"moeda")*(Inputs!$G$5:$G$160&lt;&gt;"acoes")))*INDEX(Inputs!$K$5:$AJ$160,0,MATCH(AJ$2,Inputs!$K$4:$AJ$4,0)))+SUMPRODUCT((Inputs!$C$5:$C$160=$B11)*Inputs!$D$5:$D$160*(((Inputs!$G$5:$G$160="moeda")+(Inputs!$G$5:$G$160="acoes"))*Inputs!$B$1+((Inputs!$G$5:$G$160&lt;&gt;"moeda")*(Inputs!$G$5:$G$160&lt;&gt;"acoes")))*INDEX(Inputs!$K$5:$AJ$160,0,MATCH(AJ$2,Inputs!$K$4:$AJ$4,0)))+SUMPRODUCT((Inputs!$E$5:$E$160=$B11)*Inputs!$F$5:$F$160*(((Inputs!$G$5:$G$160="moeda")+(Inputs!$G$5:$G$160="acoes"))*Inputs!$B$1+((Inputs!$G$5:$G$160&lt;&gt;"moeda")*(Inputs!$G$5:$G$160&lt;&gt;"acoes")))*INDEX(Inputs!$K$5:$AJ$160,0,MATCH(AJ$2,Inputs!$K$4:$AJ$4,0)))))</f>
        <v>0.292335850000004</v>
      </c>
      <c r="AK11" s="6">
        <f>IF(ISNA(MATCH(AK$2,Inputs!$K$4:$AJ$4,0)),NA(),IF(SUMPRODUCT((Inputs!$A$5:$A$160=$B11)*ISNUMBER(INDEX(Inputs!$K$5:$AJ$160,0,MATCH(AK$2,Inputs!$K$4:$AJ$4,0))))+SUMPRODUCT((Inputs!$C$5:$C$160=$B11)*ISNUMBER(INDEX(Inputs!$K$5:$AJ$160,0,MATCH(AK$2,Inputs!$K$4:$AJ$4,0))))+SUMPRODUCT((Inputs!$E$5:$E$160=$B11)*ISNUMBER(INDEX(Inputs!$K$5:$AJ$160,0,MATCH(AK$2,Inputs!$K$4:$AJ$4,0))))=0,NA(),SUMPRODUCT((Inputs!$A$5:$A$160=$B11)*Inputs!$B$5:$B$160*(((Inputs!$G$5:$G$160="moeda")+(Inputs!$G$5:$G$160="acoes"))*Inputs!$B$1+((Inputs!$G$5:$G$160&lt;&gt;"moeda")*(Inputs!$G$5:$G$160&lt;&gt;"acoes")))*INDEX(Inputs!$K$5:$AJ$160,0,MATCH(AK$2,Inputs!$K$4:$AJ$4,0)))+SUMPRODUCT((Inputs!$C$5:$C$160=$B11)*Inputs!$D$5:$D$160*(((Inputs!$G$5:$G$160="moeda")+(Inputs!$G$5:$G$160="acoes"))*Inputs!$B$1+((Inputs!$G$5:$G$160&lt;&gt;"moeda")*(Inputs!$G$5:$G$160&lt;&gt;"acoes")))*INDEX(Inputs!$K$5:$AJ$160,0,MATCH(AK$2,Inputs!$K$4:$AJ$4,0)))+SUMPRODUCT((Inputs!$E$5:$E$160=$B11)*Inputs!$F$5:$F$160*(((Inputs!$G$5:$G$160="moeda")+(Inputs!$G$5:$G$160="acoes"))*Inputs!$B$1+((Inputs!$G$5:$G$160&lt;&gt;"moeda")*(Inputs!$G$5:$G$160&lt;&gt;"acoes")))*INDEX(Inputs!$K$5:$AJ$160,0,MATCH(AK$2,Inputs!$K$4:$AJ$4,0)))))</f>
        <v>0.370562310000001</v>
      </c>
      <c r="AL11" s="3">
        <f>SUM(AH11:AK11)</f>
        <v>-0.325640539999998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$160=$B12)*ISNUMBER(INDEX(Inputs!$K$5:$AJ$160,0,MATCH(D$2,Inputs!$K$4:$AJ$4,0))))+SUMPRODUCT((Inputs!$C$5:$C$160=$B12)*ISNUMBER(INDEX(Inputs!$K$5:$AJ$160,0,MATCH(D$2,Inputs!$K$4:$AJ$4,0))))+SUMPRODUCT((Inputs!$E$5:$E$160=$B12)*ISNUMBER(INDEX(Inputs!$K$5:$AJ$160,0,MATCH(D$2,Inputs!$K$4:$AJ$4,0))))=0,NA(),SUMPRODUCT((Inputs!$A$5:$A$160=$B12)*Inputs!$B$5:$B$160*(((Inputs!$G$5:$G$160="moeda")+(Inputs!$G$5:$G$160="acoes"))*Inputs!$B$1+((Inputs!$G$5:$G$160&lt;&gt;"moeda")*(Inputs!$G$5:$G$160&lt;&gt;"acoes")))*INDEX(Inputs!$K$5:$AJ$160,0,MATCH(D$2,Inputs!$K$4:$AJ$4,0)))+SUMPRODUCT((Inputs!$C$5:$C$160=$B12)*Inputs!$D$5:$D$160*(((Inputs!$G$5:$G$160="moeda")+(Inputs!$G$5:$G$160="acoes"))*Inputs!$B$1+((Inputs!$G$5:$G$160&lt;&gt;"moeda")*(Inputs!$G$5:$G$160&lt;&gt;"acoes")))*INDEX(Inputs!$K$5:$AJ$160,0,MATCH(D$2,Inputs!$K$4:$AJ$4,0)))+SUMPRODUCT((Inputs!$E$5:$E$160=$B12)*Inputs!$F$5:$F$160*(((Inputs!$G$5:$G$160="moeda")+(Inputs!$G$5:$G$160="acoes"))*Inputs!$B$1+((Inputs!$G$5:$G$160&lt;&gt;"moeda")*(Inputs!$G$5:$G$160&lt;&gt;"acoes")))*INDEX(Inputs!$K$5:$AJ$160,0,MATCH(D$2,Inputs!$K$4:$AJ$4,0)))))</f>
        <v>0</v>
      </c>
      <c r="E12" s="6">
        <f>IF(ISNA(MATCH(E$2,Inputs!$K$4:$AJ$4,0)),NA(),IF(SUMPRODUCT((Inputs!$A$5:$A$160=$B12)*ISNUMBER(INDEX(Inputs!$K$5:$AJ$160,0,MATCH(E$2,Inputs!$K$4:$AJ$4,0))))+SUMPRODUCT((Inputs!$C$5:$C$160=$B12)*ISNUMBER(INDEX(Inputs!$K$5:$AJ$160,0,MATCH(E$2,Inputs!$K$4:$AJ$4,0))))+SUMPRODUCT((Inputs!$E$5:$E$160=$B12)*ISNUMBER(INDEX(Inputs!$K$5:$AJ$160,0,MATCH(E$2,Inputs!$K$4:$AJ$4,0))))=0,NA(),SUMPRODUCT((Inputs!$A$5:$A$160=$B12)*Inputs!$B$5:$B$160*(((Inputs!$G$5:$G$160="moeda")+(Inputs!$G$5:$G$160="acoes"))*Inputs!$B$1+((Inputs!$G$5:$G$160&lt;&gt;"moeda")*(Inputs!$G$5:$G$160&lt;&gt;"acoes")))*INDEX(Inputs!$K$5:$AJ$160,0,MATCH(E$2,Inputs!$K$4:$AJ$4,0)))+SUMPRODUCT((Inputs!$C$5:$C$160=$B12)*Inputs!$D$5:$D$160*(((Inputs!$G$5:$G$160="moeda")+(Inputs!$G$5:$G$160="acoes"))*Inputs!$B$1+((Inputs!$G$5:$G$160&lt;&gt;"moeda")*(Inputs!$G$5:$G$160&lt;&gt;"acoes")))*INDEX(Inputs!$K$5:$AJ$160,0,MATCH(E$2,Inputs!$K$4:$AJ$4,0)))+SUMPRODUCT((Inputs!$E$5:$E$160=$B12)*Inputs!$F$5:$F$160*(((Inputs!$G$5:$G$160="moeda")+(Inputs!$G$5:$G$160="acoes"))*Inputs!$B$1+((Inputs!$G$5:$G$160&lt;&gt;"moeda")*(Inputs!$G$5:$G$160&lt;&gt;"acoes")))*INDEX(Inputs!$K$5:$AJ$160,0,MATCH(E$2,Inputs!$K$4:$AJ$4,0)))))</f>
        <v>0.039423182</v>
      </c>
      <c r="F12" s="6">
        <f>IF(ISNA(MATCH(F$2,Inputs!$K$4:$AJ$4,0)),NA(),IF(SUMPRODUCT((Inputs!$A$5:$A$160=$B12)*ISNUMBER(INDEX(Inputs!$K$5:$AJ$160,0,MATCH(F$2,Inputs!$K$4:$AJ$4,0))))+SUMPRODUCT((Inputs!$C$5:$C$160=$B12)*ISNUMBER(INDEX(Inputs!$K$5:$AJ$160,0,MATCH(F$2,Inputs!$K$4:$AJ$4,0))))+SUMPRODUCT((Inputs!$E$5:$E$160=$B12)*ISNUMBER(INDEX(Inputs!$K$5:$AJ$160,0,MATCH(F$2,Inputs!$K$4:$AJ$4,0))))=0,NA(),SUMPRODUCT((Inputs!$A$5:$A$160=$B12)*Inputs!$B$5:$B$160*(((Inputs!$G$5:$G$160="moeda")+(Inputs!$G$5:$G$160="acoes"))*Inputs!$B$1+((Inputs!$G$5:$G$160&lt;&gt;"moeda")*(Inputs!$G$5:$G$160&lt;&gt;"acoes")))*INDEX(Inputs!$K$5:$AJ$160,0,MATCH(F$2,Inputs!$K$4:$AJ$4,0)))+SUMPRODUCT((Inputs!$C$5:$C$160=$B12)*Inputs!$D$5:$D$160*(((Inputs!$G$5:$G$160="moeda")+(Inputs!$G$5:$G$160="acoes"))*Inputs!$B$1+((Inputs!$G$5:$G$160&lt;&gt;"moeda")*(Inputs!$G$5:$G$160&lt;&gt;"acoes")))*INDEX(Inputs!$K$5:$AJ$160,0,MATCH(F$2,Inputs!$K$4:$AJ$4,0)))+SUMPRODUCT((Inputs!$E$5:$E$160=$B12)*Inputs!$F$5:$F$160*(((Inputs!$G$5:$G$160="moeda")+(Inputs!$G$5:$G$160="acoes"))*Inputs!$B$1+((Inputs!$G$5:$G$160&lt;&gt;"moeda")*(Inputs!$G$5:$G$160&lt;&gt;"acoes")))*INDEX(Inputs!$K$5:$AJ$160,0,MATCH(F$2,Inputs!$K$4:$AJ$4,0)))))</f>
        <v>-1.426590592597</v>
      </c>
      <c r="G12" s="6">
        <f>IF(ISNA(MATCH(G$2,Inputs!$K$4:$AJ$4,0)),NA(),IF(SUMPRODUCT((Inputs!$A$5:$A$160=$B12)*ISNUMBER(INDEX(Inputs!$K$5:$AJ$160,0,MATCH(G$2,Inputs!$K$4:$AJ$4,0))))+SUMPRODUCT((Inputs!$C$5:$C$160=$B12)*ISNUMBER(INDEX(Inputs!$K$5:$AJ$160,0,MATCH(G$2,Inputs!$K$4:$AJ$4,0))))+SUMPRODUCT((Inputs!$E$5:$E$160=$B12)*ISNUMBER(INDEX(Inputs!$K$5:$AJ$160,0,MATCH(G$2,Inputs!$K$4:$AJ$4,0))))=0,NA(),SUMPRODUCT((Inputs!$A$5:$A$160=$B12)*Inputs!$B$5:$B$160*(((Inputs!$G$5:$G$160="moeda")+(Inputs!$G$5:$G$160="acoes"))*Inputs!$B$1+((Inputs!$G$5:$G$160&lt;&gt;"moeda")*(Inputs!$G$5:$G$160&lt;&gt;"acoes")))*INDEX(Inputs!$K$5:$AJ$160,0,MATCH(G$2,Inputs!$K$4:$AJ$4,0)))+SUMPRODUCT((Inputs!$C$5:$C$160=$B12)*Inputs!$D$5:$D$160*(((Inputs!$G$5:$G$160="moeda")+(Inputs!$G$5:$G$160="acoes"))*Inputs!$B$1+((Inputs!$G$5:$G$160&lt;&gt;"moeda")*(Inputs!$G$5:$G$160&lt;&gt;"acoes")))*INDEX(Inputs!$K$5:$AJ$160,0,MATCH(G$2,Inputs!$K$4:$AJ$4,0)))+SUMPRODUCT((Inputs!$E$5:$E$160=$B12)*Inputs!$F$5:$F$160*(((Inputs!$G$5:$G$160="moeda")+(Inputs!$G$5:$G$160="acoes"))*Inputs!$B$1+((Inputs!$G$5:$G$160&lt;&gt;"moeda")*(Inputs!$G$5:$G$160&lt;&gt;"acoes")))*INDEX(Inputs!$K$5:$AJ$160,0,MATCH(G$2,Inputs!$K$4:$AJ$4,0)))))</f>
        <v>-0.177942983442</v>
      </c>
      <c r="H12" s="3">
        <f>SUM(D12:G12)</f>
        <v>-1.565110394039</v>
      </c>
      <c r="I12" s="6">
        <f>IF(ISNA(MATCH(I$2,Inputs!$K$4:$AJ$4,0)),NA(),IF(SUMPRODUCT((Inputs!$A$5:$A$160=$B12)*ISNUMBER(INDEX(Inputs!$K$5:$AJ$160,0,MATCH(I$2,Inputs!$K$4:$AJ$4,0))))+SUMPRODUCT((Inputs!$C$5:$C$160=$B12)*ISNUMBER(INDEX(Inputs!$K$5:$AJ$160,0,MATCH(I$2,Inputs!$K$4:$AJ$4,0))))+SUMPRODUCT((Inputs!$E$5:$E$160=$B12)*ISNUMBER(INDEX(Inputs!$K$5:$AJ$160,0,MATCH(I$2,Inputs!$K$4:$AJ$4,0))))=0,NA(),SUMPRODUCT((Inputs!$A$5:$A$160=$B12)*Inputs!$B$5:$B$160*(((Inputs!$G$5:$G$160="moeda")+(Inputs!$G$5:$G$160="acoes"))*Inputs!$B$1+((Inputs!$G$5:$G$160&lt;&gt;"moeda")*(Inputs!$G$5:$G$160&lt;&gt;"acoes")))*INDEX(Inputs!$K$5:$AJ$160,0,MATCH(I$2,Inputs!$K$4:$AJ$4,0)))+SUMPRODUCT((Inputs!$C$5:$C$160=$B12)*Inputs!$D$5:$D$160*(((Inputs!$G$5:$G$160="moeda")+(Inputs!$G$5:$G$160="acoes"))*Inputs!$B$1+((Inputs!$G$5:$G$160&lt;&gt;"moeda")*(Inputs!$G$5:$G$160&lt;&gt;"acoes")))*INDEX(Inputs!$K$5:$AJ$160,0,MATCH(I$2,Inputs!$K$4:$AJ$4,0)))+SUMPRODUCT((Inputs!$E$5:$E$160=$B12)*Inputs!$F$5:$F$160*(((Inputs!$G$5:$G$160="moeda")+(Inputs!$G$5:$G$160="acoes"))*Inputs!$B$1+((Inputs!$G$5:$G$160&lt;&gt;"moeda")*(Inputs!$G$5:$G$160&lt;&gt;"acoes")))*INDEX(Inputs!$K$5:$AJ$160,0,MATCH(I$2,Inputs!$K$4:$AJ$4,0)))))</f>
        <v>-0.39147077355</v>
      </c>
      <c r="J12" s="6">
        <f>IF(ISNA(MATCH(J$2,Inputs!$K$4:$AJ$4,0)),NA(),IF(SUMPRODUCT((Inputs!$A$5:$A$160=$B12)*ISNUMBER(INDEX(Inputs!$K$5:$AJ$160,0,MATCH(J$2,Inputs!$K$4:$AJ$4,0))))+SUMPRODUCT((Inputs!$C$5:$C$160=$B12)*ISNUMBER(INDEX(Inputs!$K$5:$AJ$160,0,MATCH(J$2,Inputs!$K$4:$AJ$4,0))))+SUMPRODUCT((Inputs!$E$5:$E$160=$B12)*ISNUMBER(INDEX(Inputs!$K$5:$AJ$160,0,MATCH(J$2,Inputs!$K$4:$AJ$4,0))))=0,NA(),SUMPRODUCT((Inputs!$A$5:$A$160=$B12)*Inputs!$B$5:$B$160*(((Inputs!$G$5:$G$160="moeda")+(Inputs!$G$5:$G$160="acoes"))*Inputs!$B$1+((Inputs!$G$5:$G$160&lt;&gt;"moeda")*(Inputs!$G$5:$G$160&lt;&gt;"acoes")))*INDEX(Inputs!$K$5:$AJ$160,0,MATCH(J$2,Inputs!$K$4:$AJ$4,0)))+SUMPRODUCT((Inputs!$C$5:$C$160=$B12)*Inputs!$D$5:$D$160*(((Inputs!$G$5:$G$160="moeda")+(Inputs!$G$5:$G$160="acoes"))*Inputs!$B$1+((Inputs!$G$5:$G$160&lt;&gt;"moeda")*(Inputs!$G$5:$G$160&lt;&gt;"acoes")))*INDEX(Inputs!$K$5:$AJ$160,0,MATCH(J$2,Inputs!$K$4:$AJ$4,0)))+SUMPRODUCT((Inputs!$E$5:$E$160=$B12)*Inputs!$F$5:$F$160*(((Inputs!$G$5:$G$160="moeda")+(Inputs!$G$5:$G$160="acoes"))*Inputs!$B$1+((Inputs!$G$5:$G$160&lt;&gt;"moeda")*(Inputs!$G$5:$G$160&lt;&gt;"acoes")))*INDEX(Inputs!$K$5:$AJ$160,0,MATCH(J$2,Inputs!$K$4:$AJ$4,0)))))</f>
        <v>-0.414890426612999</v>
      </c>
      <c r="K12" s="6">
        <f>IF(ISNA(MATCH(K$2,Inputs!$K$4:$AJ$4,0)),NA(),IF(SUMPRODUCT((Inputs!$A$5:$A$160=$B12)*ISNUMBER(INDEX(Inputs!$K$5:$AJ$160,0,MATCH(K$2,Inputs!$K$4:$AJ$4,0))))+SUMPRODUCT((Inputs!$C$5:$C$160=$B12)*ISNUMBER(INDEX(Inputs!$K$5:$AJ$160,0,MATCH(K$2,Inputs!$K$4:$AJ$4,0))))+SUMPRODUCT((Inputs!$E$5:$E$160=$B12)*ISNUMBER(INDEX(Inputs!$K$5:$AJ$160,0,MATCH(K$2,Inputs!$K$4:$AJ$4,0))))=0,NA(),SUMPRODUCT((Inputs!$A$5:$A$160=$B12)*Inputs!$B$5:$B$160*(((Inputs!$G$5:$G$160="moeda")+(Inputs!$G$5:$G$160="acoes"))*Inputs!$B$1+((Inputs!$G$5:$G$160&lt;&gt;"moeda")*(Inputs!$G$5:$G$160&lt;&gt;"acoes")))*INDEX(Inputs!$K$5:$AJ$160,0,MATCH(K$2,Inputs!$K$4:$AJ$4,0)))+SUMPRODUCT((Inputs!$C$5:$C$160=$B12)*Inputs!$D$5:$D$160*(((Inputs!$G$5:$G$160="moeda")+(Inputs!$G$5:$G$160="acoes"))*Inputs!$B$1+((Inputs!$G$5:$G$160&lt;&gt;"moeda")*(Inputs!$G$5:$G$160&lt;&gt;"acoes")))*INDEX(Inputs!$K$5:$AJ$160,0,MATCH(K$2,Inputs!$K$4:$AJ$4,0)))+SUMPRODUCT((Inputs!$E$5:$E$160=$B12)*Inputs!$F$5:$F$160*(((Inputs!$G$5:$G$160="moeda")+(Inputs!$G$5:$G$160="acoes"))*Inputs!$B$1+((Inputs!$G$5:$G$160&lt;&gt;"moeda")*(Inputs!$G$5:$G$160&lt;&gt;"acoes")))*INDEX(Inputs!$K$5:$AJ$160,0,MATCH(K$2,Inputs!$K$4:$AJ$4,0)))))</f>
        <v>-0.67304117</v>
      </c>
      <c r="L12" s="6">
        <f>IF(ISNA(MATCH(L$2,Inputs!$K$4:$AJ$4,0)),NA(),IF(SUMPRODUCT((Inputs!$A$5:$A$160=$B12)*ISNUMBER(INDEX(Inputs!$K$5:$AJ$160,0,MATCH(L$2,Inputs!$K$4:$AJ$4,0))))+SUMPRODUCT((Inputs!$C$5:$C$160=$B12)*ISNUMBER(INDEX(Inputs!$K$5:$AJ$160,0,MATCH(L$2,Inputs!$K$4:$AJ$4,0))))+SUMPRODUCT((Inputs!$E$5:$E$160=$B12)*ISNUMBER(INDEX(Inputs!$K$5:$AJ$160,0,MATCH(L$2,Inputs!$K$4:$AJ$4,0))))=0,NA(),SUMPRODUCT((Inputs!$A$5:$A$160=$B12)*Inputs!$B$5:$B$160*(((Inputs!$G$5:$G$160="moeda")+(Inputs!$G$5:$G$160="acoes"))*Inputs!$B$1+((Inputs!$G$5:$G$160&lt;&gt;"moeda")*(Inputs!$G$5:$G$160&lt;&gt;"acoes")))*INDEX(Inputs!$K$5:$AJ$160,0,MATCH(L$2,Inputs!$K$4:$AJ$4,0)))+SUMPRODUCT((Inputs!$C$5:$C$160=$B12)*Inputs!$D$5:$D$160*(((Inputs!$G$5:$G$160="moeda")+(Inputs!$G$5:$G$160="acoes"))*Inputs!$B$1+((Inputs!$G$5:$G$160&lt;&gt;"moeda")*(Inputs!$G$5:$G$160&lt;&gt;"acoes")))*INDEX(Inputs!$K$5:$AJ$160,0,MATCH(L$2,Inputs!$K$4:$AJ$4,0)))+SUMPRODUCT((Inputs!$E$5:$E$160=$B12)*Inputs!$F$5:$F$160*(((Inputs!$G$5:$G$160="moeda")+(Inputs!$G$5:$G$160="acoes"))*Inputs!$B$1+((Inputs!$G$5:$G$160&lt;&gt;"moeda")*(Inputs!$G$5:$G$160&lt;&gt;"acoes")))*INDEX(Inputs!$K$5:$AJ$160,0,MATCH(L$2,Inputs!$K$4:$AJ$4,0)))))</f>
        <v>0.656184120676</v>
      </c>
      <c r="M12" s="3">
        <f>SUM(I12:L12)</f>
        <v>-0.823218249487</v>
      </c>
      <c r="N12" s="6">
        <f>IF(ISNA(MATCH(N$2,Inputs!$K$4:$AJ$4,0)),NA(),IF(SUMPRODUCT((Inputs!$A$5:$A$160=$B12)*ISNUMBER(INDEX(Inputs!$K$5:$AJ$160,0,MATCH(N$2,Inputs!$K$4:$AJ$4,0))))+SUMPRODUCT((Inputs!$C$5:$C$160=$B12)*ISNUMBER(INDEX(Inputs!$K$5:$AJ$160,0,MATCH(N$2,Inputs!$K$4:$AJ$4,0))))+SUMPRODUCT((Inputs!$E$5:$E$160=$B12)*ISNUMBER(INDEX(Inputs!$K$5:$AJ$160,0,MATCH(N$2,Inputs!$K$4:$AJ$4,0))))=0,NA(),SUMPRODUCT((Inputs!$A$5:$A$160=$B12)*Inputs!$B$5:$B$160*(((Inputs!$G$5:$G$160="moeda")+(Inputs!$G$5:$G$160="acoes"))*Inputs!$B$1+((Inputs!$G$5:$G$160&lt;&gt;"moeda")*(Inputs!$G$5:$G$160&lt;&gt;"acoes")))*INDEX(Inputs!$K$5:$AJ$160,0,MATCH(N$2,Inputs!$K$4:$AJ$4,0)))+SUMPRODUCT((Inputs!$C$5:$C$160=$B12)*Inputs!$D$5:$D$160*(((Inputs!$G$5:$G$160="moeda")+(Inputs!$G$5:$G$160="acoes"))*Inputs!$B$1+((Inputs!$G$5:$G$160&lt;&gt;"moeda")*(Inputs!$G$5:$G$160&lt;&gt;"acoes")))*INDEX(Inputs!$K$5:$AJ$160,0,MATCH(N$2,Inputs!$K$4:$AJ$4,0)))+SUMPRODUCT((Inputs!$E$5:$E$160=$B12)*Inputs!$F$5:$F$160*(((Inputs!$G$5:$G$160="moeda")+(Inputs!$G$5:$G$160="acoes"))*Inputs!$B$1+((Inputs!$G$5:$G$160&lt;&gt;"moeda")*(Inputs!$G$5:$G$160&lt;&gt;"acoes")))*INDEX(Inputs!$K$5:$AJ$160,0,MATCH(N$2,Inputs!$K$4:$AJ$4,0)))))</f>
        <v>0.02834465</v>
      </c>
      <c r="O12" s="6">
        <f>IF(ISNA(MATCH(O$2,Inputs!$K$4:$AJ$4,0)),NA(),IF(SUMPRODUCT((Inputs!$A$5:$A$160=$B12)*ISNUMBER(INDEX(Inputs!$K$5:$AJ$160,0,MATCH(O$2,Inputs!$K$4:$AJ$4,0))))+SUMPRODUCT((Inputs!$C$5:$C$160=$B12)*ISNUMBER(INDEX(Inputs!$K$5:$AJ$160,0,MATCH(O$2,Inputs!$K$4:$AJ$4,0))))+SUMPRODUCT((Inputs!$E$5:$E$160=$B12)*ISNUMBER(INDEX(Inputs!$K$5:$AJ$160,0,MATCH(O$2,Inputs!$K$4:$AJ$4,0))))=0,NA(),SUMPRODUCT((Inputs!$A$5:$A$160=$B12)*Inputs!$B$5:$B$160*(((Inputs!$G$5:$G$160="moeda")+(Inputs!$G$5:$G$160="acoes"))*Inputs!$B$1+((Inputs!$G$5:$G$160&lt;&gt;"moeda")*(Inputs!$G$5:$G$160&lt;&gt;"acoes")))*INDEX(Inputs!$K$5:$AJ$160,0,MATCH(O$2,Inputs!$K$4:$AJ$4,0)))+SUMPRODUCT((Inputs!$C$5:$C$160=$B12)*Inputs!$D$5:$D$160*(((Inputs!$G$5:$G$160="moeda")+(Inputs!$G$5:$G$160="acoes"))*Inputs!$B$1+((Inputs!$G$5:$G$160&lt;&gt;"moeda")*(Inputs!$G$5:$G$160&lt;&gt;"acoes")))*INDEX(Inputs!$K$5:$AJ$160,0,MATCH(O$2,Inputs!$K$4:$AJ$4,0)))+SUMPRODUCT((Inputs!$E$5:$E$160=$B12)*Inputs!$F$5:$F$160*(((Inputs!$G$5:$G$160="moeda")+(Inputs!$G$5:$G$160="acoes"))*Inputs!$B$1+((Inputs!$G$5:$G$160&lt;&gt;"moeda")*(Inputs!$G$5:$G$160&lt;&gt;"acoes")))*INDEX(Inputs!$K$5:$AJ$160,0,MATCH(O$2,Inputs!$K$4:$AJ$4,0)))))</f>
        <v>0.385635388738</v>
      </c>
      <c r="P12" s="6">
        <f>IF(ISNA(MATCH(P$2,Inputs!$K$4:$AJ$4,0)),NA(),IF(SUMPRODUCT((Inputs!$A$5:$A$160=$B12)*ISNUMBER(INDEX(Inputs!$K$5:$AJ$160,0,MATCH(P$2,Inputs!$K$4:$AJ$4,0))))+SUMPRODUCT((Inputs!$C$5:$C$160=$B12)*ISNUMBER(INDEX(Inputs!$K$5:$AJ$160,0,MATCH(P$2,Inputs!$K$4:$AJ$4,0))))+SUMPRODUCT((Inputs!$E$5:$E$160=$B12)*ISNUMBER(INDEX(Inputs!$K$5:$AJ$160,0,MATCH(P$2,Inputs!$K$4:$AJ$4,0))))=0,NA(),SUMPRODUCT((Inputs!$A$5:$A$160=$B12)*Inputs!$B$5:$B$160*(((Inputs!$G$5:$G$160="moeda")+(Inputs!$G$5:$G$160="acoes"))*Inputs!$B$1+((Inputs!$G$5:$G$160&lt;&gt;"moeda")*(Inputs!$G$5:$G$160&lt;&gt;"acoes")))*INDEX(Inputs!$K$5:$AJ$160,0,MATCH(P$2,Inputs!$K$4:$AJ$4,0)))+SUMPRODUCT((Inputs!$C$5:$C$160=$B12)*Inputs!$D$5:$D$160*(((Inputs!$G$5:$G$160="moeda")+(Inputs!$G$5:$G$160="acoes"))*Inputs!$B$1+((Inputs!$G$5:$G$160&lt;&gt;"moeda")*(Inputs!$G$5:$G$160&lt;&gt;"acoes")))*INDEX(Inputs!$K$5:$AJ$160,0,MATCH(P$2,Inputs!$K$4:$AJ$4,0)))+SUMPRODUCT((Inputs!$E$5:$E$160=$B12)*Inputs!$F$5:$F$160*(((Inputs!$G$5:$G$160="moeda")+(Inputs!$G$5:$G$160="acoes"))*Inputs!$B$1+((Inputs!$G$5:$G$160&lt;&gt;"moeda")*(Inputs!$G$5:$G$160&lt;&gt;"acoes")))*INDEX(Inputs!$K$5:$AJ$160,0,MATCH(P$2,Inputs!$K$4:$AJ$4,0)))))</f>
        <v>2.382</v>
      </c>
      <c r="Q12" s="6">
        <f>IF(ISNA(MATCH(Q$2,Inputs!$K$4:$AJ$4,0)),NA(),IF(SUMPRODUCT((Inputs!$A$5:$A$160=$B12)*ISNUMBER(INDEX(Inputs!$K$5:$AJ$160,0,MATCH(Q$2,Inputs!$K$4:$AJ$4,0))))+SUMPRODUCT((Inputs!$C$5:$C$160=$B12)*ISNUMBER(INDEX(Inputs!$K$5:$AJ$160,0,MATCH(Q$2,Inputs!$K$4:$AJ$4,0))))+SUMPRODUCT((Inputs!$E$5:$E$160=$B12)*ISNUMBER(INDEX(Inputs!$K$5:$AJ$160,0,MATCH(Q$2,Inputs!$K$4:$AJ$4,0))))=0,NA(),SUMPRODUCT((Inputs!$A$5:$A$160=$B12)*Inputs!$B$5:$B$160*(((Inputs!$G$5:$G$160="moeda")+(Inputs!$G$5:$G$160="acoes"))*Inputs!$B$1+((Inputs!$G$5:$G$160&lt;&gt;"moeda")*(Inputs!$G$5:$G$160&lt;&gt;"acoes")))*INDEX(Inputs!$K$5:$AJ$160,0,MATCH(Q$2,Inputs!$K$4:$AJ$4,0)))+SUMPRODUCT((Inputs!$C$5:$C$160=$B12)*Inputs!$D$5:$D$160*(((Inputs!$G$5:$G$160="moeda")+(Inputs!$G$5:$G$160="acoes"))*Inputs!$B$1+((Inputs!$G$5:$G$160&lt;&gt;"moeda")*(Inputs!$G$5:$G$160&lt;&gt;"acoes")))*INDEX(Inputs!$K$5:$AJ$160,0,MATCH(Q$2,Inputs!$K$4:$AJ$4,0)))+SUMPRODUCT((Inputs!$E$5:$E$160=$B12)*Inputs!$F$5:$F$160*(((Inputs!$G$5:$G$160="moeda")+(Inputs!$G$5:$G$160="acoes"))*Inputs!$B$1+((Inputs!$G$5:$G$160&lt;&gt;"moeda")*(Inputs!$G$5:$G$160&lt;&gt;"acoes")))*INDEX(Inputs!$K$5:$AJ$160,0,MATCH(Q$2,Inputs!$K$4:$AJ$4,0)))))</f>
        <v>0.139</v>
      </c>
      <c r="R12" s="3">
        <f>SUM(N12:Q12)</f>
        <v>2.934980038738</v>
      </c>
      <c r="S12" s="6">
        <f>IF(ISNA(MATCH(S$2,Inputs!$K$4:$AJ$4,0)),NA(),IF(SUMPRODUCT((Inputs!$A$5:$A$160=$B12)*ISNUMBER(INDEX(Inputs!$K$5:$AJ$160,0,MATCH(S$2,Inputs!$K$4:$AJ$4,0))))+SUMPRODUCT((Inputs!$C$5:$C$160=$B12)*ISNUMBER(INDEX(Inputs!$K$5:$AJ$160,0,MATCH(S$2,Inputs!$K$4:$AJ$4,0))))+SUMPRODUCT((Inputs!$E$5:$E$160=$B12)*ISNUMBER(INDEX(Inputs!$K$5:$AJ$160,0,MATCH(S$2,Inputs!$K$4:$AJ$4,0))))=0,NA(),SUMPRODUCT((Inputs!$A$5:$A$160=$B12)*Inputs!$B$5:$B$160*(((Inputs!$G$5:$G$160="moeda")+(Inputs!$G$5:$G$160="acoes"))*Inputs!$B$1+((Inputs!$G$5:$G$160&lt;&gt;"moeda")*(Inputs!$G$5:$G$160&lt;&gt;"acoes")))*INDEX(Inputs!$K$5:$AJ$160,0,MATCH(S$2,Inputs!$K$4:$AJ$4,0)))+SUMPRODUCT((Inputs!$C$5:$C$160=$B12)*Inputs!$D$5:$D$160*(((Inputs!$G$5:$G$160="moeda")+(Inputs!$G$5:$G$160="acoes"))*Inputs!$B$1+((Inputs!$G$5:$G$160&lt;&gt;"moeda")*(Inputs!$G$5:$G$160&lt;&gt;"acoes")))*INDEX(Inputs!$K$5:$AJ$160,0,MATCH(S$2,Inputs!$K$4:$AJ$4,0)))+SUMPRODUCT((Inputs!$E$5:$E$160=$B12)*Inputs!$F$5:$F$160*(((Inputs!$G$5:$G$160="moeda")+(Inputs!$G$5:$G$160="acoes"))*Inputs!$B$1+((Inputs!$G$5:$G$160&lt;&gt;"moeda")*(Inputs!$G$5:$G$160&lt;&gt;"acoes")))*INDEX(Inputs!$K$5:$AJ$160,0,MATCH(S$2,Inputs!$K$4:$AJ$4,0)))))</f>
        <v>-0.355</v>
      </c>
      <c r="T12" s="6">
        <f>IF(ISNA(MATCH(T$2,Inputs!$K$4:$AJ$4,0)),NA(),IF(SUMPRODUCT((Inputs!$A$5:$A$160=$B12)*ISNUMBER(INDEX(Inputs!$K$5:$AJ$160,0,MATCH(T$2,Inputs!$K$4:$AJ$4,0))))+SUMPRODUCT((Inputs!$C$5:$C$160=$B12)*ISNUMBER(INDEX(Inputs!$K$5:$AJ$160,0,MATCH(T$2,Inputs!$K$4:$AJ$4,0))))+SUMPRODUCT((Inputs!$E$5:$E$160=$B12)*ISNUMBER(INDEX(Inputs!$K$5:$AJ$160,0,MATCH(T$2,Inputs!$K$4:$AJ$4,0))))=0,NA(),SUMPRODUCT((Inputs!$A$5:$A$160=$B12)*Inputs!$B$5:$B$160*(((Inputs!$G$5:$G$160="moeda")+(Inputs!$G$5:$G$160="acoes"))*Inputs!$B$1+((Inputs!$G$5:$G$160&lt;&gt;"moeda")*(Inputs!$G$5:$G$160&lt;&gt;"acoes")))*INDEX(Inputs!$K$5:$AJ$160,0,MATCH(T$2,Inputs!$K$4:$AJ$4,0)))+SUMPRODUCT((Inputs!$C$5:$C$160=$B12)*Inputs!$D$5:$D$160*(((Inputs!$G$5:$G$160="moeda")+(Inputs!$G$5:$G$160="acoes"))*Inputs!$B$1+((Inputs!$G$5:$G$160&lt;&gt;"moeda")*(Inputs!$G$5:$G$160&lt;&gt;"acoes")))*INDEX(Inputs!$K$5:$AJ$160,0,MATCH(T$2,Inputs!$K$4:$AJ$4,0)))+SUMPRODUCT((Inputs!$E$5:$E$160=$B12)*Inputs!$F$5:$F$160*(((Inputs!$G$5:$G$160="moeda")+(Inputs!$G$5:$G$160="acoes"))*Inputs!$B$1+((Inputs!$G$5:$G$160&lt;&gt;"moeda")*(Inputs!$G$5:$G$160&lt;&gt;"acoes")))*INDEX(Inputs!$K$5:$AJ$160,0,MATCH(T$2,Inputs!$K$4:$AJ$4,0)))))</f>
        <v>1.423</v>
      </c>
      <c r="U12" s="6">
        <f>IF(ISNA(MATCH(U$2,Inputs!$K$4:$AJ$4,0)),NA(),IF(SUMPRODUCT((Inputs!$A$5:$A$160=$B12)*ISNUMBER(INDEX(Inputs!$K$5:$AJ$160,0,MATCH(U$2,Inputs!$K$4:$AJ$4,0))))+SUMPRODUCT((Inputs!$C$5:$C$160=$B12)*ISNUMBER(INDEX(Inputs!$K$5:$AJ$160,0,MATCH(U$2,Inputs!$K$4:$AJ$4,0))))+SUMPRODUCT((Inputs!$E$5:$E$160=$B12)*ISNUMBER(INDEX(Inputs!$K$5:$AJ$160,0,MATCH(U$2,Inputs!$K$4:$AJ$4,0))))=0,NA(),SUMPRODUCT((Inputs!$A$5:$A$160=$B12)*Inputs!$B$5:$B$160*(((Inputs!$G$5:$G$160="moeda")+(Inputs!$G$5:$G$160="acoes"))*Inputs!$B$1+((Inputs!$G$5:$G$160&lt;&gt;"moeda")*(Inputs!$G$5:$G$160&lt;&gt;"acoes")))*INDEX(Inputs!$K$5:$AJ$160,0,MATCH(U$2,Inputs!$K$4:$AJ$4,0)))+SUMPRODUCT((Inputs!$C$5:$C$160=$B12)*Inputs!$D$5:$D$160*(((Inputs!$G$5:$G$160="moeda")+(Inputs!$G$5:$G$160="acoes"))*Inputs!$B$1+((Inputs!$G$5:$G$160&lt;&gt;"moeda")*(Inputs!$G$5:$G$160&lt;&gt;"acoes")))*INDEX(Inputs!$K$5:$AJ$160,0,MATCH(U$2,Inputs!$K$4:$AJ$4,0)))+SUMPRODUCT((Inputs!$E$5:$E$160=$B12)*Inputs!$F$5:$F$160*(((Inputs!$G$5:$G$160="moeda")+(Inputs!$G$5:$G$160="acoes"))*Inputs!$B$1+((Inputs!$G$5:$G$160&lt;&gt;"moeda")*(Inputs!$G$5:$G$160&lt;&gt;"acoes")))*INDEX(Inputs!$K$5:$AJ$160,0,MATCH(U$2,Inputs!$K$4:$AJ$4,0)))))</f>
        <v>4.013</v>
      </c>
      <c r="V12" s="6">
        <f>IF(ISNA(MATCH(V$2,Inputs!$K$4:$AJ$4,0)),NA(),IF(SUMPRODUCT((Inputs!$A$5:$A$160=$B12)*ISNUMBER(INDEX(Inputs!$K$5:$AJ$160,0,MATCH(V$2,Inputs!$K$4:$AJ$4,0))))+SUMPRODUCT((Inputs!$C$5:$C$160=$B12)*ISNUMBER(INDEX(Inputs!$K$5:$AJ$160,0,MATCH(V$2,Inputs!$K$4:$AJ$4,0))))+SUMPRODUCT((Inputs!$E$5:$E$160=$B12)*ISNUMBER(INDEX(Inputs!$K$5:$AJ$160,0,MATCH(V$2,Inputs!$K$4:$AJ$4,0))))=0,NA(),SUMPRODUCT((Inputs!$A$5:$A$160=$B12)*Inputs!$B$5:$B$160*(((Inputs!$G$5:$G$160="moeda")+(Inputs!$G$5:$G$160="acoes"))*Inputs!$B$1+((Inputs!$G$5:$G$160&lt;&gt;"moeda")*(Inputs!$G$5:$G$160&lt;&gt;"acoes")))*INDEX(Inputs!$K$5:$AJ$160,0,MATCH(V$2,Inputs!$K$4:$AJ$4,0)))+SUMPRODUCT((Inputs!$C$5:$C$160=$B12)*Inputs!$D$5:$D$160*(((Inputs!$G$5:$G$160="moeda")+(Inputs!$G$5:$G$160="acoes"))*Inputs!$B$1+((Inputs!$G$5:$G$160&lt;&gt;"moeda")*(Inputs!$G$5:$G$160&lt;&gt;"acoes")))*INDEX(Inputs!$K$5:$AJ$160,0,MATCH(V$2,Inputs!$K$4:$AJ$4,0)))+SUMPRODUCT((Inputs!$E$5:$E$160=$B12)*Inputs!$F$5:$F$160*(((Inputs!$G$5:$G$160="moeda")+(Inputs!$G$5:$G$160="acoes"))*Inputs!$B$1+((Inputs!$G$5:$G$160&lt;&gt;"moeda")*(Inputs!$G$5:$G$160&lt;&gt;"acoes")))*INDEX(Inputs!$K$5:$AJ$160,0,MATCH(V$2,Inputs!$K$4:$AJ$4,0)))))</f>
        <v>7.437</v>
      </c>
      <c r="W12" s="3">
        <f>SUM(S12:V12)</f>
        <v>12.518</v>
      </c>
      <c r="X12" s="6">
        <f>IF(ISNA(MATCH(X$2,Inputs!$K$4:$AJ$4,0)),NA(),IF(SUMPRODUCT((Inputs!$A$5:$A$160=$B12)*ISNUMBER(INDEX(Inputs!$K$5:$AJ$160,0,MATCH(X$2,Inputs!$K$4:$AJ$4,0))))+SUMPRODUCT((Inputs!$C$5:$C$160=$B12)*ISNUMBER(INDEX(Inputs!$K$5:$AJ$160,0,MATCH(X$2,Inputs!$K$4:$AJ$4,0))))+SUMPRODUCT((Inputs!$E$5:$E$160=$B12)*ISNUMBER(INDEX(Inputs!$K$5:$AJ$160,0,MATCH(X$2,Inputs!$K$4:$AJ$4,0))))=0,NA(),SUMPRODUCT((Inputs!$A$5:$A$160=$B12)*Inputs!$B$5:$B$160*(((Inputs!$G$5:$G$160="moeda")+(Inputs!$G$5:$G$160="acoes"))*Inputs!$B$1+((Inputs!$G$5:$G$160&lt;&gt;"moeda")*(Inputs!$G$5:$G$160&lt;&gt;"acoes")))*INDEX(Inputs!$K$5:$AJ$160,0,MATCH(X$2,Inputs!$K$4:$AJ$4,0)))+SUMPRODUCT((Inputs!$C$5:$C$160=$B12)*Inputs!$D$5:$D$160*(((Inputs!$G$5:$G$160="moeda")+(Inputs!$G$5:$G$160="acoes"))*Inputs!$B$1+((Inputs!$G$5:$G$160&lt;&gt;"moeda")*(Inputs!$G$5:$G$160&lt;&gt;"acoes")))*INDEX(Inputs!$K$5:$AJ$160,0,MATCH(X$2,Inputs!$K$4:$AJ$4,0)))+SUMPRODUCT((Inputs!$E$5:$E$160=$B12)*Inputs!$F$5:$F$160*(((Inputs!$G$5:$G$160="moeda")+(Inputs!$G$5:$G$160="acoes"))*Inputs!$B$1+((Inputs!$G$5:$G$160&lt;&gt;"moeda")*(Inputs!$G$5:$G$160&lt;&gt;"acoes")))*INDEX(Inputs!$K$5:$AJ$160,0,MATCH(X$2,Inputs!$K$4:$AJ$4,0)))))</f>
        <v>3.456124</v>
      </c>
      <c r="Y12" s="6">
        <f>IF(ISNA(MATCH(Y$2,Inputs!$K$4:$AJ$4,0)),NA(),IF(SUMPRODUCT((Inputs!$A$5:$A$160=$B12)*ISNUMBER(INDEX(Inputs!$K$5:$AJ$160,0,MATCH(Y$2,Inputs!$K$4:$AJ$4,0))))+SUMPRODUCT((Inputs!$C$5:$C$160=$B12)*ISNUMBER(INDEX(Inputs!$K$5:$AJ$160,0,MATCH(Y$2,Inputs!$K$4:$AJ$4,0))))+SUMPRODUCT((Inputs!$E$5:$E$160=$B12)*ISNUMBER(INDEX(Inputs!$K$5:$AJ$160,0,MATCH(Y$2,Inputs!$K$4:$AJ$4,0))))=0,NA(),SUMPRODUCT((Inputs!$A$5:$A$160=$B12)*Inputs!$B$5:$B$160*(((Inputs!$G$5:$G$160="moeda")+(Inputs!$G$5:$G$160="acoes"))*Inputs!$B$1+((Inputs!$G$5:$G$160&lt;&gt;"moeda")*(Inputs!$G$5:$G$160&lt;&gt;"acoes")))*INDEX(Inputs!$K$5:$AJ$160,0,MATCH(Y$2,Inputs!$K$4:$AJ$4,0)))+SUMPRODUCT((Inputs!$C$5:$C$160=$B12)*Inputs!$D$5:$D$160*(((Inputs!$G$5:$G$160="moeda")+(Inputs!$G$5:$G$160="acoes"))*Inputs!$B$1+((Inputs!$G$5:$G$160&lt;&gt;"moeda")*(Inputs!$G$5:$G$160&lt;&gt;"acoes")))*INDEX(Inputs!$K$5:$AJ$160,0,MATCH(Y$2,Inputs!$K$4:$AJ$4,0)))+SUMPRODUCT((Inputs!$E$5:$E$160=$B12)*Inputs!$F$5:$F$160*(((Inputs!$G$5:$G$160="moeda")+(Inputs!$G$5:$G$160="acoes"))*Inputs!$B$1+((Inputs!$G$5:$G$160&lt;&gt;"moeda")*(Inputs!$G$5:$G$160&lt;&gt;"acoes")))*INDEX(Inputs!$K$5:$AJ$160,0,MATCH(Y$2,Inputs!$K$4:$AJ$4,0)))))</f>
        <v>7.749179</v>
      </c>
      <c r="Z12" s="6">
        <f>IF(ISNA(MATCH(Z$2,Inputs!$K$4:$AJ$4,0)),NA(),IF(SUMPRODUCT((Inputs!$A$5:$A$160=$B12)*ISNUMBER(INDEX(Inputs!$K$5:$AJ$160,0,MATCH(Z$2,Inputs!$K$4:$AJ$4,0))))+SUMPRODUCT((Inputs!$C$5:$C$160=$B12)*ISNUMBER(INDEX(Inputs!$K$5:$AJ$160,0,MATCH(Z$2,Inputs!$K$4:$AJ$4,0))))+SUMPRODUCT((Inputs!$E$5:$E$160=$B12)*ISNUMBER(INDEX(Inputs!$K$5:$AJ$160,0,MATCH(Z$2,Inputs!$K$4:$AJ$4,0))))=0,NA(),SUMPRODUCT((Inputs!$A$5:$A$160=$B12)*Inputs!$B$5:$B$160*(((Inputs!$G$5:$G$160="moeda")+(Inputs!$G$5:$G$160="acoes"))*Inputs!$B$1+((Inputs!$G$5:$G$160&lt;&gt;"moeda")*(Inputs!$G$5:$G$160&lt;&gt;"acoes")))*INDEX(Inputs!$K$5:$AJ$160,0,MATCH(Z$2,Inputs!$K$4:$AJ$4,0)))+SUMPRODUCT((Inputs!$C$5:$C$160=$B12)*Inputs!$D$5:$D$160*(((Inputs!$G$5:$G$160="moeda")+(Inputs!$G$5:$G$160="acoes"))*Inputs!$B$1+((Inputs!$G$5:$G$160&lt;&gt;"moeda")*(Inputs!$G$5:$G$160&lt;&gt;"acoes")))*INDEX(Inputs!$K$5:$AJ$160,0,MATCH(Z$2,Inputs!$K$4:$AJ$4,0)))+SUMPRODUCT((Inputs!$E$5:$E$160=$B12)*Inputs!$F$5:$F$160*(((Inputs!$G$5:$G$160="moeda")+(Inputs!$G$5:$G$160="acoes"))*Inputs!$B$1+((Inputs!$G$5:$G$160&lt;&gt;"moeda")*(Inputs!$G$5:$G$160&lt;&gt;"acoes")))*INDEX(Inputs!$K$5:$AJ$160,0,MATCH(Z$2,Inputs!$K$4:$AJ$4,0)))))</f>
        <v>2.668448799683</v>
      </c>
      <c r="AA12" s="6">
        <f>IF(ISNA(MATCH(AA$2,Inputs!$K$4:$AJ$4,0)),NA(),IF(SUMPRODUCT((Inputs!$A$5:$A$160=$B12)*ISNUMBER(INDEX(Inputs!$K$5:$AJ$160,0,MATCH(AA$2,Inputs!$K$4:$AJ$4,0))))+SUMPRODUCT((Inputs!$C$5:$C$160=$B12)*ISNUMBER(INDEX(Inputs!$K$5:$AJ$160,0,MATCH(AA$2,Inputs!$K$4:$AJ$4,0))))+SUMPRODUCT((Inputs!$E$5:$E$160=$B12)*ISNUMBER(INDEX(Inputs!$K$5:$AJ$160,0,MATCH(AA$2,Inputs!$K$4:$AJ$4,0))))=0,NA(),SUMPRODUCT((Inputs!$A$5:$A$160=$B12)*Inputs!$B$5:$B$160*(((Inputs!$G$5:$G$160="moeda")+(Inputs!$G$5:$G$160="acoes"))*Inputs!$B$1+((Inputs!$G$5:$G$160&lt;&gt;"moeda")*(Inputs!$G$5:$G$160&lt;&gt;"acoes")))*INDEX(Inputs!$K$5:$AJ$160,0,MATCH(AA$2,Inputs!$K$4:$AJ$4,0)))+SUMPRODUCT((Inputs!$C$5:$C$160=$B12)*Inputs!$D$5:$D$160*(((Inputs!$G$5:$G$160="moeda")+(Inputs!$G$5:$G$160="acoes"))*Inputs!$B$1+((Inputs!$G$5:$G$160&lt;&gt;"moeda")*(Inputs!$G$5:$G$160&lt;&gt;"acoes")))*INDEX(Inputs!$K$5:$AJ$160,0,MATCH(AA$2,Inputs!$K$4:$AJ$4,0)))+SUMPRODUCT((Inputs!$E$5:$E$160=$B12)*Inputs!$F$5:$F$160*(((Inputs!$G$5:$G$160="moeda")+(Inputs!$G$5:$G$160="acoes"))*Inputs!$B$1+((Inputs!$G$5:$G$160&lt;&gt;"moeda")*(Inputs!$G$5:$G$160&lt;&gt;"acoes")))*INDEX(Inputs!$K$5:$AJ$160,0,MATCH(AA$2,Inputs!$K$4:$AJ$4,0)))))</f>
        <v>2.28625577847376</v>
      </c>
      <c r="AB12" s="3">
        <f>SUM(X12:AA12)</f>
        <v>16.1600075781568</v>
      </c>
      <c r="AC12" s="6">
        <f>IF(ISNA(MATCH(AC$2,Inputs!$K$4:$AJ$4,0)),NA(),IF(SUMPRODUCT((Inputs!$A$5:$A$160=$B12)*ISNUMBER(INDEX(Inputs!$K$5:$AJ$160,0,MATCH(AC$2,Inputs!$K$4:$AJ$4,0))))+SUMPRODUCT((Inputs!$C$5:$C$160=$B12)*ISNUMBER(INDEX(Inputs!$K$5:$AJ$160,0,MATCH(AC$2,Inputs!$K$4:$AJ$4,0))))+SUMPRODUCT((Inputs!$E$5:$E$160=$B12)*ISNUMBER(INDEX(Inputs!$K$5:$AJ$160,0,MATCH(AC$2,Inputs!$K$4:$AJ$4,0))))=0,NA(),SUMPRODUCT((Inputs!$A$5:$A$160=$B12)*Inputs!$B$5:$B$160*(((Inputs!$G$5:$G$160="moeda")+(Inputs!$G$5:$G$160="acoes"))*Inputs!$B$1+((Inputs!$G$5:$G$160&lt;&gt;"moeda")*(Inputs!$G$5:$G$160&lt;&gt;"acoes")))*INDEX(Inputs!$K$5:$AJ$160,0,MATCH(AC$2,Inputs!$K$4:$AJ$4,0)))+SUMPRODUCT((Inputs!$C$5:$C$160=$B12)*Inputs!$D$5:$D$160*(((Inputs!$G$5:$G$160="moeda")+(Inputs!$G$5:$G$160="acoes"))*Inputs!$B$1+((Inputs!$G$5:$G$160&lt;&gt;"moeda")*(Inputs!$G$5:$G$160&lt;&gt;"acoes")))*INDEX(Inputs!$K$5:$AJ$160,0,MATCH(AC$2,Inputs!$K$4:$AJ$4,0)))+SUMPRODUCT((Inputs!$E$5:$E$160=$B12)*Inputs!$F$5:$F$160*(((Inputs!$G$5:$G$160="moeda")+(Inputs!$G$5:$G$160="acoes"))*Inputs!$B$1+((Inputs!$G$5:$G$160&lt;&gt;"moeda")*(Inputs!$G$5:$G$160&lt;&gt;"acoes")))*INDEX(Inputs!$K$5:$AJ$160,0,MATCH(AC$2,Inputs!$K$4:$AJ$4,0)))))</f>
        <v>3.55944448</v>
      </c>
      <c r="AD12" s="6">
        <f>IF(ISNA(MATCH(AD$2,Inputs!$K$4:$AJ$4,0)),NA(),IF(SUMPRODUCT((Inputs!$A$5:$A$160=$B12)*ISNUMBER(INDEX(Inputs!$K$5:$AJ$160,0,MATCH(AD$2,Inputs!$K$4:$AJ$4,0))))+SUMPRODUCT((Inputs!$C$5:$C$160=$B12)*ISNUMBER(INDEX(Inputs!$K$5:$AJ$160,0,MATCH(AD$2,Inputs!$K$4:$AJ$4,0))))+SUMPRODUCT((Inputs!$E$5:$E$160=$B12)*ISNUMBER(INDEX(Inputs!$K$5:$AJ$160,0,MATCH(AD$2,Inputs!$K$4:$AJ$4,0))))=0,NA(),SUMPRODUCT((Inputs!$A$5:$A$160=$B12)*Inputs!$B$5:$B$160*(((Inputs!$G$5:$G$160="moeda")+(Inputs!$G$5:$G$160="acoes"))*Inputs!$B$1+((Inputs!$G$5:$G$160&lt;&gt;"moeda")*(Inputs!$G$5:$G$160&lt;&gt;"acoes")))*INDEX(Inputs!$K$5:$AJ$160,0,MATCH(AD$2,Inputs!$K$4:$AJ$4,0)))+SUMPRODUCT((Inputs!$C$5:$C$160=$B12)*Inputs!$D$5:$D$160*(((Inputs!$G$5:$G$160="moeda")+(Inputs!$G$5:$G$160="acoes"))*Inputs!$B$1+((Inputs!$G$5:$G$160&lt;&gt;"moeda")*(Inputs!$G$5:$G$160&lt;&gt;"acoes")))*INDEX(Inputs!$K$5:$AJ$160,0,MATCH(AD$2,Inputs!$K$4:$AJ$4,0)))+SUMPRODUCT((Inputs!$E$5:$E$160=$B12)*Inputs!$F$5:$F$160*(((Inputs!$G$5:$G$160="moeda")+(Inputs!$G$5:$G$160="acoes"))*Inputs!$B$1+((Inputs!$G$5:$G$160&lt;&gt;"moeda")*(Inputs!$G$5:$G$160&lt;&gt;"acoes")))*INDEX(Inputs!$K$5:$AJ$160,0,MATCH(AD$2,Inputs!$K$4:$AJ$4,0)))))</f>
        <v>2.518</v>
      </c>
      <c r="AE12" s="6" t="e">
        <f>IF(ISNA(MATCH(AE$2,Inputs!$K$4:$AJ$4,0)),NA(),IF(SUMPRODUCT((Inputs!$A$5:$A$160=$B12)*ISNUMBER(INDEX(Inputs!$K$5:$AJ$160,0,MATCH(AE$2,Inputs!$K$4:$AJ$4,0))))+SUMPRODUCT((Inputs!$C$5:$C$160=$B12)*ISNUMBER(INDEX(Inputs!$K$5:$AJ$160,0,MATCH(AE$2,Inputs!$K$4:$AJ$4,0))))+SUMPRODUCT((Inputs!$E$5:$E$160=$B12)*ISNUMBER(INDEX(Inputs!$K$5:$AJ$160,0,MATCH(AE$2,Inputs!$K$4:$AJ$4,0))))=0,NA(),SUMPRODUCT((Inputs!$A$5:$A$160=$B12)*Inputs!$B$5:$B$160*(((Inputs!$G$5:$G$160="moeda")+(Inputs!$G$5:$G$160="acoes"))*Inputs!$B$1+((Inputs!$G$5:$G$160&lt;&gt;"moeda")*(Inputs!$G$5:$G$160&lt;&gt;"acoes")))*INDEX(Inputs!$K$5:$AJ$160,0,MATCH(AE$2,Inputs!$K$4:$AJ$4,0)))+SUMPRODUCT((Inputs!$C$5:$C$160=$B12)*Inputs!$D$5:$D$160*(((Inputs!$G$5:$G$160="moeda")+(Inputs!$G$5:$G$160="acoes"))*Inputs!$B$1+((Inputs!$G$5:$G$160&lt;&gt;"moeda")*(Inputs!$G$5:$G$160&lt;&gt;"acoes")))*INDEX(Inputs!$K$5:$AJ$160,0,MATCH(AE$2,Inputs!$K$4:$AJ$4,0)))+SUMPRODUCT((Inputs!$E$5:$E$160=$B12)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2" s="6" t="e">
        <f>IF(ISNA(MATCH(AF$2,Inputs!$K$4:$AJ$4,0)),NA(),IF(SUMPRODUCT((Inputs!$A$5:$A$160=$B12)*ISNUMBER(INDEX(Inputs!$K$5:$AJ$160,0,MATCH(AF$2,Inputs!$K$4:$AJ$4,0))))+SUMPRODUCT((Inputs!$C$5:$C$160=$B12)*ISNUMBER(INDEX(Inputs!$K$5:$AJ$160,0,MATCH(AF$2,Inputs!$K$4:$AJ$4,0))))+SUMPRODUCT((Inputs!$E$5:$E$160=$B12)*ISNUMBER(INDEX(Inputs!$K$5:$AJ$160,0,MATCH(AF$2,Inputs!$K$4:$AJ$4,0))))=0,NA(),SUMPRODUCT((Inputs!$A$5:$A$160=$B12)*Inputs!$B$5:$B$160*(((Inputs!$G$5:$G$160="moeda")+(Inputs!$G$5:$G$160="acoes"))*Inputs!$B$1+((Inputs!$G$5:$G$160&lt;&gt;"moeda")*(Inputs!$G$5:$G$160&lt;&gt;"acoes")))*INDEX(Inputs!$K$5:$AJ$160,0,MATCH(AF$2,Inputs!$K$4:$AJ$4,0)))+SUMPRODUCT((Inputs!$C$5:$C$160=$B12)*Inputs!$D$5:$D$160*(((Inputs!$G$5:$G$160="moeda")+(Inputs!$G$5:$G$160="acoes"))*Inputs!$B$1+((Inputs!$G$5:$G$160&lt;&gt;"moeda")*(Inputs!$G$5:$G$160&lt;&gt;"acoes")))*INDEX(Inputs!$K$5:$AJ$160,0,MATCH(AF$2,Inputs!$K$4:$AJ$4,0)))+SUMPRODUCT((Inputs!$E$5:$E$160=$B12)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$160=$B12)*ISNUMBER(INDEX(Inputs!$K$5:$AJ$160,0,MATCH(AH$2,Inputs!$K$4:$AJ$4,0))))+SUMPRODUCT((Inputs!$C$5:$C$160=$B12)*ISNUMBER(INDEX(Inputs!$K$5:$AJ$160,0,MATCH(AH$2,Inputs!$K$4:$AJ$4,0))))+SUMPRODUCT((Inputs!$E$5:$E$160=$B12)*ISNUMBER(INDEX(Inputs!$K$5:$AJ$160,0,MATCH(AH$2,Inputs!$K$4:$AJ$4,0))))=0,NA(),SUMPRODUCT((Inputs!$A$5:$A$160=$B12)*Inputs!$B$5:$B$160*(((Inputs!$G$5:$G$160="moeda")+(Inputs!$G$5:$G$160="acoes"))*Inputs!$B$1+((Inputs!$G$5:$G$160&lt;&gt;"moeda")*(Inputs!$G$5:$G$160&lt;&gt;"acoes")))*INDEX(Inputs!$K$5:$AJ$160,0,MATCH(AH$2,Inputs!$K$4:$AJ$4,0)))+SUMPRODUCT((Inputs!$C$5:$C$160=$B12)*Inputs!$D$5:$D$160*(((Inputs!$G$5:$G$160="moeda")+(Inputs!$G$5:$G$160="acoes"))*Inputs!$B$1+((Inputs!$G$5:$G$160&lt;&gt;"moeda")*(Inputs!$G$5:$G$160&lt;&gt;"acoes")))*INDEX(Inputs!$K$5:$AJ$160,0,MATCH(AH$2,Inputs!$K$4:$AJ$4,0)))+SUMPRODUCT((Inputs!$E$5:$E$160=$B12)*Inputs!$F$5:$F$160*(((Inputs!$G$5:$G$160="moeda")+(Inputs!$G$5:$G$160="acoes"))*Inputs!$B$1+((Inputs!$G$5:$G$160&lt;&gt;"moeda")*(Inputs!$G$5:$G$160&lt;&gt;"acoes")))*INDEX(Inputs!$K$5:$AJ$160,0,MATCH(AH$2,Inputs!$K$4:$AJ$4,0)))))</f>
        <v>0</v>
      </c>
      <c r="AI12" s="6">
        <f>IF(ISNA(MATCH(AI$2,Inputs!$K$4:$AJ$4,0)),NA(),IF(SUMPRODUCT((Inputs!$A$5:$A$160=$B12)*ISNUMBER(INDEX(Inputs!$K$5:$AJ$160,0,MATCH(AI$2,Inputs!$K$4:$AJ$4,0))))+SUMPRODUCT((Inputs!$C$5:$C$160=$B12)*ISNUMBER(INDEX(Inputs!$K$5:$AJ$160,0,MATCH(AI$2,Inputs!$K$4:$AJ$4,0))))+SUMPRODUCT((Inputs!$E$5:$E$160=$B12)*ISNUMBER(INDEX(Inputs!$K$5:$AJ$160,0,MATCH(AI$2,Inputs!$K$4:$AJ$4,0))))=0,NA(),SUMPRODUCT((Inputs!$A$5:$A$160=$B12)*Inputs!$B$5:$B$160*(((Inputs!$G$5:$G$160="moeda")+(Inputs!$G$5:$G$160="acoes"))*Inputs!$B$1+((Inputs!$G$5:$G$160&lt;&gt;"moeda")*(Inputs!$G$5:$G$160&lt;&gt;"acoes")))*INDEX(Inputs!$K$5:$AJ$160,0,MATCH(AI$2,Inputs!$K$4:$AJ$4,0)))+SUMPRODUCT((Inputs!$C$5:$C$160=$B12)*Inputs!$D$5:$D$160*(((Inputs!$G$5:$G$160="moeda")+(Inputs!$G$5:$G$160="acoes"))*Inputs!$B$1+((Inputs!$G$5:$G$160&lt;&gt;"moeda")*(Inputs!$G$5:$G$160&lt;&gt;"acoes")))*INDEX(Inputs!$K$5:$AJ$160,0,MATCH(AI$2,Inputs!$K$4:$AJ$4,0)))+SUMPRODUCT((Inputs!$E$5:$E$160=$B12)*Inputs!$F$5:$F$160*(((Inputs!$G$5:$G$160="moeda")+(Inputs!$G$5:$G$160="acoes"))*Inputs!$B$1+((Inputs!$G$5:$G$160&lt;&gt;"moeda")*(Inputs!$G$5:$G$160&lt;&gt;"acoes")))*INDEX(Inputs!$K$5:$AJ$160,0,MATCH(AI$2,Inputs!$K$4:$AJ$4,0)))))</f>
        <v>0</v>
      </c>
      <c r="AJ12" s="6">
        <f>IF(ISNA(MATCH(AJ$2,Inputs!$K$4:$AJ$4,0)),NA(),IF(SUMPRODUCT((Inputs!$A$5:$A$160=$B12)*ISNUMBER(INDEX(Inputs!$K$5:$AJ$160,0,MATCH(AJ$2,Inputs!$K$4:$AJ$4,0))))+SUMPRODUCT((Inputs!$C$5:$C$160=$B12)*ISNUMBER(INDEX(Inputs!$K$5:$AJ$160,0,MATCH(AJ$2,Inputs!$K$4:$AJ$4,0))))+SUMPRODUCT((Inputs!$E$5:$E$160=$B12)*ISNUMBER(INDEX(Inputs!$K$5:$AJ$160,0,MATCH(AJ$2,Inputs!$K$4:$AJ$4,0))))=0,NA(),SUMPRODUCT((Inputs!$A$5:$A$160=$B12)*Inputs!$B$5:$B$160*(((Inputs!$G$5:$G$160="moeda")+(Inputs!$G$5:$G$160="acoes"))*Inputs!$B$1+((Inputs!$G$5:$G$160&lt;&gt;"moeda")*(Inputs!$G$5:$G$160&lt;&gt;"acoes")))*INDEX(Inputs!$K$5:$AJ$160,0,MATCH(AJ$2,Inputs!$K$4:$AJ$4,0)))+SUMPRODUCT((Inputs!$C$5:$C$160=$B12)*Inputs!$D$5:$D$160*(((Inputs!$G$5:$G$160="moeda")+(Inputs!$G$5:$G$160="acoes"))*Inputs!$B$1+((Inputs!$G$5:$G$160&lt;&gt;"moeda")*(Inputs!$G$5:$G$160&lt;&gt;"acoes")))*INDEX(Inputs!$K$5:$AJ$160,0,MATCH(AJ$2,Inputs!$K$4:$AJ$4,0)))+SUMPRODUCT((Inputs!$E$5:$E$160=$B12)*Inputs!$F$5:$F$160*(((Inputs!$G$5:$G$160="moeda")+(Inputs!$G$5:$G$160="acoes"))*Inputs!$B$1+((Inputs!$G$5:$G$160&lt;&gt;"moeda")*(Inputs!$G$5:$G$160&lt;&gt;"acoes")))*INDEX(Inputs!$K$5:$AJ$160,0,MATCH(AJ$2,Inputs!$K$4:$AJ$4,0)))))</f>
        <v>0</v>
      </c>
      <c r="AK12" s="6">
        <f>IF(ISNA(MATCH(AK$2,Inputs!$K$4:$AJ$4,0)),NA(),IF(SUMPRODUCT((Inputs!$A$5:$A$160=$B12)*ISNUMBER(INDEX(Inputs!$K$5:$AJ$160,0,MATCH(AK$2,Inputs!$K$4:$AJ$4,0))))+SUMPRODUCT((Inputs!$C$5:$C$160=$B12)*ISNUMBER(INDEX(Inputs!$K$5:$AJ$160,0,MATCH(AK$2,Inputs!$K$4:$AJ$4,0))))+SUMPRODUCT((Inputs!$E$5:$E$160=$B12)*ISNUMBER(INDEX(Inputs!$K$5:$AJ$160,0,MATCH(AK$2,Inputs!$K$4:$AJ$4,0))))=0,NA(),SUMPRODUCT((Inputs!$A$5:$A$160=$B12)*Inputs!$B$5:$B$160*(((Inputs!$G$5:$G$160="moeda")+(Inputs!$G$5:$G$160="acoes"))*Inputs!$B$1+((Inputs!$G$5:$G$160&lt;&gt;"moeda")*(Inputs!$G$5:$G$160&lt;&gt;"acoes")))*INDEX(Inputs!$K$5:$AJ$160,0,MATCH(AK$2,Inputs!$K$4:$AJ$4,0)))+SUMPRODUCT((Inputs!$C$5:$C$160=$B12)*Inputs!$D$5:$D$160*(((Inputs!$G$5:$G$160="moeda")+(Inputs!$G$5:$G$160="acoes"))*Inputs!$B$1+((Inputs!$G$5:$G$160&lt;&gt;"moeda")*(Inputs!$G$5:$G$160&lt;&gt;"acoes")))*INDEX(Inputs!$K$5:$AJ$160,0,MATCH(AK$2,Inputs!$K$4:$AJ$4,0)))+SUMPRODUCT((Inputs!$E$5:$E$160=$B12)*Inputs!$F$5:$F$160*(((Inputs!$G$5:$G$160="moeda")+(Inputs!$G$5:$G$160="acoes"))*Inputs!$B$1+((Inputs!$G$5:$G$160&lt;&gt;"moeda")*(Inputs!$G$5:$G$160&lt;&gt;"acoes")))*INDEX(Inputs!$K$5:$AJ$160,0,MATCH(AK$2,Inputs!$K$4:$AJ$4,0)))))</f>
        <v>0</v>
      </c>
      <c r="AL12" s="3">
        <f>SUM(AH12:AK12)</f>
        <v>0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$160=$B13)*ISNUMBER(INDEX(Inputs!$K$5:$AJ$160,0,MATCH(D$2,Inputs!$K$4:$AJ$4,0))))+SUMPRODUCT((Inputs!$C$5:$C$160=$B13)*ISNUMBER(INDEX(Inputs!$K$5:$AJ$160,0,MATCH(D$2,Inputs!$K$4:$AJ$4,0))))+SUMPRODUCT((Inputs!$E$5:$E$160=$B13)*ISNUMBER(INDEX(Inputs!$K$5:$AJ$160,0,MATCH(D$2,Inputs!$K$4:$AJ$4,0))))=0,NA(),SUMPRODUCT((Inputs!$A$5:$A$160=$B13)*Inputs!$B$5:$B$160*(((Inputs!$G$5:$G$160="moeda")+(Inputs!$G$5:$G$160="acoes"))*Inputs!$B$1+((Inputs!$G$5:$G$160&lt;&gt;"moeda")*(Inputs!$G$5:$G$160&lt;&gt;"acoes")))*INDEX(Inputs!$K$5:$AJ$160,0,MATCH(D$2,Inputs!$K$4:$AJ$4,0)))+SUMPRODUCT((Inputs!$C$5:$C$160=$B13)*Inputs!$D$5:$D$160*(((Inputs!$G$5:$G$160="moeda")+(Inputs!$G$5:$G$160="acoes"))*Inputs!$B$1+((Inputs!$G$5:$G$160&lt;&gt;"moeda")*(Inputs!$G$5:$G$160&lt;&gt;"acoes")))*INDEX(Inputs!$K$5:$AJ$160,0,MATCH(D$2,Inputs!$K$4:$AJ$4,0)))+SUMPRODUCT((Inputs!$E$5:$E$160=$B13)*Inputs!$F$5:$F$160*(((Inputs!$G$5:$G$160="moeda")+(Inputs!$G$5:$G$160="acoes"))*Inputs!$B$1+((Inputs!$G$5:$G$160&lt;&gt;"moeda")*(Inputs!$G$5:$G$160&lt;&gt;"acoes")))*INDEX(Inputs!$K$5:$AJ$160,0,MATCH(D$2,Inputs!$K$4:$AJ$4,0)))))</f>
        <v>-75.10232011</v>
      </c>
      <c r="E13" s="6">
        <f>IF(ISNA(MATCH(E$2,Inputs!$K$4:$AJ$4,0)),NA(),IF(SUMPRODUCT((Inputs!$A$5:$A$160=$B13)*ISNUMBER(INDEX(Inputs!$K$5:$AJ$160,0,MATCH(E$2,Inputs!$K$4:$AJ$4,0))))+SUMPRODUCT((Inputs!$C$5:$C$160=$B13)*ISNUMBER(INDEX(Inputs!$K$5:$AJ$160,0,MATCH(E$2,Inputs!$K$4:$AJ$4,0))))+SUMPRODUCT((Inputs!$E$5:$E$160=$B13)*ISNUMBER(INDEX(Inputs!$K$5:$AJ$160,0,MATCH(E$2,Inputs!$K$4:$AJ$4,0))))=0,NA(),SUMPRODUCT((Inputs!$A$5:$A$160=$B13)*Inputs!$B$5:$B$160*(((Inputs!$G$5:$G$160="moeda")+(Inputs!$G$5:$G$160="acoes"))*Inputs!$B$1+((Inputs!$G$5:$G$160&lt;&gt;"moeda")*(Inputs!$G$5:$G$160&lt;&gt;"acoes")))*INDEX(Inputs!$K$5:$AJ$160,0,MATCH(E$2,Inputs!$K$4:$AJ$4,0)))+SUMPRODUCT((Inputs!$C$5:$C$160=$B13)*Inputs!$D$5:$D$160*(((Inputs!$G$5:$G$160="moeda")+(Inputs!$G$5:$G$160="acoes"))*Inputs!$B$1+((Inputs!$G$5:$G$160&lt;&gt;"moeda")*(Inputs!$G$5:$G$160&lt;&gt;"acoes")))*INDEX(Inputs!$K$5:$AJ$160,0,MATCH(E$2,Inputs!$K$4:$AJ$4,0)))+SUMPRODUCT((Inputs!$E$5:$E$160=$B13)*Inputs!$F$5:$F$160*(((Inputs!$G$5:$G$160="moeda")+(Inputs!$G$5:$G$160="acoes"))*Inputs!$B$1+((Inputs!$G$5:$G$160&lt;&gt;"moeda")*(Inputs!$G$5:$G$160&lt;&gt;"acoes")))*INDEX(Inputs!$K$5:$AJ$160,0,MATCH(E$2,Inputs!$K$4:$AJ$4,0)))))</f>
        <v>-156.2545951</v>
      </c>
      <c r="F13" s="6">
        <f>IF(ISNA(MATCH(F$2,Inputs!$K$4:$AJ$4,0)),NA(),IF(SUMPRODUCT((Inputs!$A$5:$A$160=$B13)*ISNUMBER(INDEX(Inputs!$K$5:$AJ$160,0,MATCH(F$2,Inputs!$K$4:$AJ$4,0))))+SUMPRODUCT((Inputs!$C$5:$C$160=$B13)*ISNUMBER(INDEX(Inputs!$K$5:$AJ$160,0,MATCH(F$2,Inputs!$K$4:$AJ$4,0))))+SUMPRODUCT((Inputs!$E$5:$E$160=$B13)*ISNUMBER(INDEX(Inputs!$K$5:$AJ$160,0,MATCH(F$2,Inputs!$K$4:$AJ$4,0))))=0,NA(),SUMPRODUCT((Inputs!$A$5:$A$160=$B13)*Inputs!$B$5:$B$160*(((Inputs!$G$5:$G$160="moeda")+(Inputs!$G$5:$G$160="acoes"))*Inputs!$B$1+((Inputs!$G$5:$G$160&lt;&gt;"moeda")*(Inputs!$G$5:$G$160&lt;&gt;"acoes")))*INDEX(Inputs!$K$5:$AJ$160,0,MATCH(F$2,Inputs!$K$4:$AJ$4,0)))+SUMPRODUCT((Inputs!$C$5:$C$160=$B13)*Inputs!$D$5:$D$160*(((Inputs!$G$5:$G$160="moeda")+(Inputs!$G$5:$G$160="acoes"))*Inputs!$B$1+((Inputs!$G$5:$G$160&lt;&gt;"moeda")*(Inputs!$G$5:$G$160&lt;&gt;"acoes")))*INDEX(Inputs!$K$5:$AJ$160,0,MATCH(F$2,Inputs!$K$4:$AJ$4,0)))+SUMPRODUCT((Inputs!$E$5:$E$160=$B13)*Inputs!$F$5:$F$160*(((Inputs!$G$5:$G$160="moeda")+(Inputs!$G$5:$G$160="acoes"))*Inputs!$B$1+((Inputs!$G$5:$G$160&lt;&gt;"moeda")*(Inputs!$G$5:$G$160&lt;&gt;"acoes")))*INDEX(Inputs!$K$5:$AJ$160,0,MATCH(F$2,Inputs!$K$4:$AJ$4,0)))))</f>
        <v>-42.22723762</v>
      </c>
      <c r="G13" s="6">
        <f>IF(ISNA(MATCH(G$2,Inputs!$K$4:$AJ$4,0)),NA(),IF(SUMPRODUCT((Inputs!$A$5:$A$160=$B13)*ISNUMBER(INDEX(Inputs!$K$5:$AJ$160,0,MATCH(G$2,Inputs!$K$4:$AJ$4,0))))+SUMPRODUCT((Inputs!$C$5:$C$160=$B13)*ISNUMBER(INDEX(Inputs!$K$5:$AJ$160,0,MATCH(G$2,Inputs!$K$4:$AJ$4,0))))+SUMPRODUCT((Inputs!$E$5:$E$160=$B13)*ISNUMBER(INDEX(Inputs!$K$5:$AJ$160,0,MATCH(G$2,Inputs!$K$4:$AJ$4,0))))=0,NA(),SUMPRODUCT((Inputs!$A$5:$A$160=$B13)*Inputs!$B$5:$B$160*(((Inputs!$G$5:$G$160="moeda")+(Inputs!$G$5:$G$160="acoes"))*Inputs!$B$1+((Inputs!$G$5:$G$160&lt;&gt;"moeda")*(Inputs!$G$5:$G$160&lt;&gt;"acoes")))*INDEX(Inputs!$K$5:$AJ$160,0,MATCH(G$2,Inputs!$K$4:$AJ$4,0)))+SUMPRODUCT((Inputs!$C$5:$C$160=$B13)*Inputs!$D$5:$D$160*(((Inputs!$G$5:$G$160="moeda")+(Inputs!$G$5:$G$160="acoes"))*Inputs!$B$1+((Inputs!$G$5:$G$160&lt;&gt;"moeda")*(Inputs!$G$5:$G$160&lt;&gt;"acoes")))*INDEX(Inputs!$K$5:$AJ$160,0,MATCH(G$2,Inputs!$K$4:$AJ$4,0)))+SUMPRODUCT((Inputs!$E$5:$E$160=$B13)*Inputs!$F$5:$F$160*(((Inputs!$G$5:$G$160="moeda")+(Inputs!$G$5:$G$160="acoes"))*Inputs!$B$1+((Inputs!$G$5:$G$160&lt;&gt;"moeda")*(Inputs!$G$5:$G$160&lt;&gt;"acoes")))*INDEX(Inputs!$K$5:$AJ$160,0,MATCH(G$2,Inputs!$K$4:$AJ$4,0)))))</f>
        <v>-22.55733515</v>
      </c>
      <c r="H13" s="3">
        <f>SUM(D13:G13)</f>
        <v>-296.14148798</v>
      </c>
      <c r="I13" s="6">
        <f>IF(ISNA(MATCH(I$2,Inputs!$K$4:$AJ$4,0)),NA(),IF(SUMPRODUCT((Inputs!$A$5:$A$160=$B13)*ISNUMBER(INDEX(Inputs!$K$5:$AJ$160,0,MATCH(I$2,Inputs!$K$4:$AJ$4,0))))+SUMPRODUCT((Inputs!$C$5:$C$160=$B13)*ISNUMBER(INDEX(Inputs!$K$5:$AJ$160,0,MATCH(I$2,Inputs!$K$4:$AJ$4,0))))+SUMPRODUCT((Inputs!$E$5:$E$160=$B13)*ISNUMBER(INDEX(Inputs!$K$5:$AJ$160,0,MATCH(I$2,Inputs!$K$4:$AJ$4,0))))=0,NA(),SUMPRODUCT((Inputs!$A$5:$A$160=$B13)*Inputs!$B$5:$B$160*(((Inputs!$G$5:$G$160="moeda")+(Inputs!$G$5:$G$160="acoes"))*Inputs!$B$1+((Inputs!$G$5:$G$160&lt;&gt;"moeda")*(Inputs!$G$5:$G$160&lt;&gt;"acoes")))*INDEX(Inputs!$K$5:$AJ$160,0,MATCH(I$2,Inputs!$K$4:$AJ$4,0)))+SUMPRODUCT((Inputs!$C$5:$C$160=$B13)*Inputs!$D$5:$D$160*(((Inputs!$G$5:$G$160="moeda")+(Inputs!$G$5:$G$160="acoes"))*Inputs!$B$1+((Inputs!$G$5:$G$160&lt;&gt;"moeda")*(Inputs!$G$5:$G$160&lt;&gt;"acoes")))*INDEX(Inputs!$K$5:$AJ$160,0,MATCH(I$2,Inputs!$K$4:$AJ$4,0)))+SUMPRODUCT((Inputs!$E$5:$E$160=$B13)*Inputs!$F$5:$F$160*(((Inputs!$G$5:$G$160="moeda")+(Inputs!$G$5:$G$160="acoes"))*Inputs!$B$1+((Inputs!$G$5:$G$160&lt;&gt;"moeda")*(Inputs!$G$5:$G$160&lt;&gt;"acoes")))*INDEX(Inputs!$K$5:$AJ$160,0,MATCH(I$2,Inputs!$K$4:$AJ$4,0)))))</f>
        <v>-4.12979244</v>
      </c>
      <c r="J13" s="6">
        <f>IF(ISNA(MATCH(J$2,Inputs!$K$4:$AJ$4,0)),NA(),IF(SUMPRODUCT((Inputs!$A$5:$A$160=$B13)*ISNUMBER(INDEX(Inputs!$K$5:$AJ$160,0,MATCH(J$2,Inputs!$K$4:$AJ$4,0))))+SUMPRODUCT((Inputs!$C$5:$C$160=$B13)*ISNUMBER(INDEX(Inputs!$K$5:$AJ$160,0,MATCH(J$2,Inputs!$K$4:$AJ$4,0))))+SUMPRODUCT((Inputs!$E$5:$E$160=$B13)*ISNUMBER(INDEX(Inputs!$K$5:$AJ$160,0,MATCH(J$2,Inputs!$K$4:$AJ$4,0))))=0,NA(),SUMPRODUCT((Inputs!$A$5:$A$160=$B13)*Inputs!$B$5:$B$160*(((Inputs!$G$5:$G$160="moeda")+(Inputs!$G$5:$G$160="acoes"))*Inputs!$B$1+((Inputs!$G$5:$G$160&lt;&gt;"moeda")*(Inputs!$G$5:$G$160&lt;&gt;"acoes")))*INDEX(Inputs!$K$5:$AJ$160,0,MATCH(J$2,Inputs!$K$4:$AJ$4,0)))+SUMPRODUCT((Inputs!$C$5:$C$160=$B13)*Inputs!$D$5:$D$160*(((Inputs!$G$5:$G$160="moeda")+(Inputs!$G$5:$G$160="acoes"))*Inputs!$B$1+((Inputs!$G$5:$G$160&lt;&gt;"moeda")*(Inputs!$G$5:$G$160&lt;&gt;"acoes")))*INDEX(Inputs!$K$5:$AJ$160,0,MATCH(J$2,Inputs!$K$4:$AJ$4,0)))+SUMPRODUCT((Inputs!$E$5:$E$160=$B13)*Inputs!$F$5:$F$160*(((Inputs!$G$5:$G$160="moeda")+(Inputs!$G$5:$G$160="acoes"))*Inputs!$B$1+((Inputs!$G$5:$G$160&lt;&gt;"moeda")*(Inputs!$G$5:$G$160&lt;&gt;"acoes")))*INDEX(Inputs!$K$5:$AJ$160,0,MATCH(J$2,Inputs!$K$4:$AJ$4,0)))))</f>
        <v>-225.0161942</v>
      </c>
      <c r="K13" s="6">
        <f>IF(ISNA(MATCH(K$2,Inputs!$K$4:$AJ$4,0)),NA(),IF(SUMPRODUCT((Inputs!$A$5:$A$160=$B13)*ISNUMBER(INDEX(Inputs!$K$5:$AJ$160,0,MATCH(K$2,Inputs!$K$4:$AJ$4,0))))+SUMPRODUCT((Inputs!$C$5:$C$160=$B13)*ISNUMBER(INDEX(Inputs!$K$5:$AJ$160,0,MATCH(K$2,Inputs!$K$4:$AJ$4,0))))+SUMPRODUCT((Inputs!$E$5:$E$160=$B13)*ISNUMBER(INDEX(Inputs!$K$5:$AJ$160,0,MATCH(K$2,Inputs!$K$4:$AJ$4,0))))=0,NA(),SUMPRODUCT((Inputs!$A$5:$A$160=$B13)*Inputs!$B$5:$B$160*(((Inputs!$G$5:$G$160="moeda")+(Inputs!$G$5:$G$160="acoes"))*Inputs!$B$1+((Inputs!$G$5:$G$160&lt;&gt;"moeda")*(Inputs!$G$5:$G$160&lt;&gt;"acoes")))*INDEX(Inputs!$K$5:$AJ$160,0,MATCH(K$2,Inputs!$K$4:$AJ$4,0)))+SUMPRODUCT((Inputs!$C$5:$C$160=$B13)*Inputs!$D$5:$D$160*(((Inputs!$G$5:$G$160="moeda")+(Inputs!$G$5:$G$160="acoes"))*Inputs!$B$1+((Inputs!$G$5:$G$160&lt;&gt;"moeda")*(Inputs!$G$5:$G$160&lt;&gt;"acoes")))*INDEX(Inputs!$K$5:$AJ$160,0,MATCH(K$2,Inputs!$K$4:$AJ$4,0)))+SUMPRODUCT((Inputs!$E$5:$E$160=$B13)*Inputs!$F$5:$F$160*(((Inputs!$G$5:$G$160="moeda")+(Inputs!$G$5:$G$160="acoes"))*Inputs!$B$1+((Inputs!$G$5:$G$160&lt;&gt;"moeda")*(Inputs!$G$5:$G$160&lt;&gt;"acoes")))*INDEX(Inputs!$K$5:$AJ$160,0,MATCH(K$2,Inputs!$K$4:$AJ$4,0)))))</f>
        <v>-0.0015808</v>
      </c>
      <c r="L13" s="6">
        <f>IF(ISNA(MATCH(L$2,Inputs!$K$4:$AJ$4,0)),NA(),IF(SUMPRODUCT((Inputs!$A$5:$A$160=$B13)*ISNUMBER(INDEX(Inputs!$K$5:$AJ$160,0,MATCH(L$2,Inputs!$K$4:$AJ$4,0))))+SUMPRODUCT((Inputs!$C$5:$C$160=$B13)*ISNUMBER(INDEX(Inputs!$K$5:$AJ$160,0,MATCH(L$2,Inputs!$K$4:$AJ$4,0))))+SUMPRODUCT((Inputs!$E$5:$E$160=$B13)*ISNUMBER(INDEX(Inputs!$K$5:$AJ$160,0,MATCH(L$2,Inputs!$K$4:$AJ$4,0))))=0,NA(),SUMPRODUCT((Inputs!$A$5:$A$160=$B13)*Inputs!$B$5:$B$160*(((Inputs!$G$5:$G$160="moeda")+(Inputs!$G$5:$G$160="acoes"))*Inputs!$B$1+((Inputs!$G$5:$G$160&lt;&gt;"moeda")*(Inputs!$G$5:$G$160&lt;&gt;"acoes")))*INDEX(Inputs!$K$5:$AJ$160,0,MATCH(L$2,Inputs!$K$4:$AJ$4,0)))+SUMPRODUCT((Inputs!$C$5:$C$160=$B13)*Inputs!$D$5:$D$160*(((Inputs!$G$5:$G$160="moeda")+(Inputs!$G$5:$G$160="acoes"))*Inputs!$B$1+((Inputs!$G$5:$G$160&lt;&gt;"moeda")*(Inputs!$G$5:$G$160&lt;&gt;"acoes")))*INDEX(Inputs!$K$5:$AJ$160,0,MATCH(L$2,Inputs!$K$4:$AJ$4,0)))+SUMPRODUCT((Inputs!$E$5:$E$160=$B13)*Inputs!$F$5:$F$160*(((Inputs!$G$5:$G$160="moeda")+(Inputs!$G$5:$G$160="acoes"))*Inputs!$B$1+((Inputs!$G$5:$G$160&lt;&gt;"moeda")*(Inputs!$G$5:$G$160&lt;&gt;"acoes")))*INDEX(Inputs!$K$5:$AJ$160,0,MATCH(L$2,Inputs!$K$4:$AJ$4,0)))))</f>
        <v>-108.0538068</v>
      </c>
      <c r="M13" s="3">
        <f>SUM(I13:L13)</f>
        <v>-337.20137424</v>
      </c>
      <c r="N13" s="6">
        <f>IF(ISNA(MATCH(N$2,Inputs!$K$4:$AJ$4,0)),NA(),IF(SUMPRODUCT((Inputs!$A$5:$A$160=$B13)*ISNUMBER(INDEX(Inputs!$K$5:$AJ$160,0,MATCH(N$2,Inputs!$K$4:$AJ$4,0))))+SUMPRODUCT((Inputs!$C$5:$C$160=$B13)*ISNUMBER(INDEX(Inputs!$K$5:$AJ$160,0,MATCH(N$2,Inputs!$K$4:$AJ$4,0))))+SUMPRODUCT((Inputs!$E$5:$E$160=$B13)*ISNUMBER(INDEX(Inputs!$K$5:$AJ$160,0,MATCH(N$2,Inputs!$K$4:$AJ$4,0))))=0,NA(),SUMPRODUCT((Inputs!$A$5:$A$160=$B13)*Inputs!$B$5:$B$160*(((Inputs!$G$5:$G$160="moeda")+(Inputs!$G$5:$G$160="acoes"))*Inputs!$B$1+((Inputs!$G$5:$G$160&lt;&gt;"moeda")*(Inputs!$G$5:$G$160&lt;&gt;"acoes")))*INDEX(Inputs!$K$5:$AJ$160,0,MATCH(N$2,Inputs!$K$4:$AJ$4,0)))+SUMPRODUCT((Inputs!$C$5:$C$160=$B13)*Inputs!$D$5:$D$160*(((Inputs!$G$5:$G$160="moeda")+(Inputs!$G$5:$G$160="acoes"))*Inputs!$B$1+((Inputs!$G$5:$G$160&lt;&gt;"moeda")*(Inputs!$G$5:$G$160&lt;&gt;"acoes")))*INDEX(Inputs!$K$5:$AJ$160,0,MATCH(N$2,Inputs!$K$4:$AJ$4,0)))+SUMPRODUCT((Inputs!$E$5:$E$160=$B13)*Inputs!$F$5:$F$160*(((Inputs!$G$5:$G$160="moeda")+(Inputs!$G$5:$G$160="acoes"))*Inputs!$B$1+((Inputs!$G$5:$G$160&lt;&gt;"moeda")*(Inputs!$G$5:$G$160&lt;&gt;"acoes")))*INDEX(Inputs!$K$5:$AJ$160,0,MATCH(N$2,Inputs!$K$4:$AJ$4,0)))))</f>
        <v>0</v>
      </c>
      <c r="O13" s="6">
        <f>IF(ISNA(MATCH(O$2,Inputs!$K$4:$AJ$4,0)),NA(),IF(SUMPRODUCT((Inputs!$A$5:$A$160=$B13)*ISNUMBER(INDEX(Inputs!$K$5:$AJ$160,0,MATCH(O$2,Inputs!$K$4:$AJ$4,0))))+SUMPRODUCT((Inputs!$C$5:$C$160=$B13)*ISNUMBER(INDEX(Inputs!$K$5:$AJ$160,0,MATCH(O$2,Inputs!$K$4:$AJ$4,0))))+SUMPRODUCT((Inputs!$E$5:$E$160=$B13)*ISNUMBER(INDEX(Inputs!$K$5:$AJ$160,0,MATCH(O$2,Inputs!$K$4:$AJ$4,0))))=0,NA(),SUMPRODUCT((Inputs!$A$5:$A$160=$B13)*Inputs!$B$5:$B$160*(((Inputs!$G$5:$G$160="moeda")+(Inputs!$G$5:$G$160="acoes"))*Inputs!$B$1+((Inputs!$G$5:$G$160&lt;&gt;"moeda")*(Inputs!$G$5:$G$160&lt;&gt;"acoes")))*INDEX(Inputs!$K$5:$AJ$160,0,MATCH(O$2,Inputs!$K$4:$AJ$4,0)))+SUMPRODUCT((Inputs!$C$5:$C$160=$B13)*Inputs!$D$5:$D$160*(((Inputs!$G$5:$G$160="moeda")+(Inputs!$G$5:$G$160="acoes"))*Inputs!$B$1+((Inputs!$G$5:$G$160&lt;&gt;"moeda")*(Inputs!$G$5:$G$160&lt;&gt;"acoes")))*INDEX(Inputs!$K$5:$AJ$160,0,MATCH(O$2,Inputs!$K$4:$AJ$4,0)))+SUMPRODUCT((Inputs!$E$5:$E$160=$B13)*Inputs!$F$5:$F$160*(((Inputs!$G$5:$G$160="moeda")+(Inputs!$G$5:$G$160="acoes"))*Inputs!$B$1+((Inputs!$G$5:$G$160&lt;&gt;"moeda")*(Inputs!$G$5:$G$160&lt;&gt;"acoes")))*INDEX(Inputs!$K$5:$AJ$160,0,MATCH(O$2,Inputs!$K$4:$AJ$4,0)))))</f>
        <v>-273.224548</v>
      </c>
      <c r="P13" s="6">
        <f>IF(ISNA(MATCH(P$2,Inputs!$K$4:$AJ$4,0)),NA(),IF(SUMPRODUCT((Inputs!$A$5:$A$160=$B13)*ISNUMBER(INDEX(Inputs!$K$5:$AJ$160,0,MATCH(P$2,Inputs!$K$4:$AJ$4,0))))+SUMPRODUCT((Inputs!$C$5:$C$160=$B13)*ISNUMBER(INDEX(Inputs!$K$5:$AJ$160,0,MATCH(P$2,Inputs!$K$4:$AJ$4,0))))+SUMPRODUCT((Inputs!$E$5:$E$160=$B13)*ISNUMBER(INDEX(Inputs!$K$5:$AJ$160,0,MATCH(P$2,Inputs!$K$4:$AJ$4,0))))=0,NA(),SUMPRODUCT((Inputs!$A$5:$A$160=$B13)*Inputs!$B$5:$B$160*(((Inputs!$G$5:$G$160="moeda")+(Inputs!$G$5:$G$160="acoes"))*Inputs!$B$1+((Inputs!$G$5:$G$160&lt;&gt;"moeda")*(Inputs!$G$5:$G$160&lt;&gt;"acoes")))*INDEX(Inputs!$K$5:$AJ$160,0,MATCH(P$2,Inputs!$K$4:$AJ$4,0)))+SUMPRODUCT((Inputs!$C$5:$C$160=$B13)*Inputs!$D$5:$D$160*(((Inputs!$G$5:$G$160="moeda")+(Inputs!$G$5:$G$160="acoes"))*Inputs!$B$1+((Inputs!$G$5:$G$160&lt;&gt;"moeda")*(Inputs!$G$5:$G$160&lt;&gt;"acoes")))*INDEX(Inputs!$K$5:$AJ$160,0,MATCH(P$2,Inputs!$K$4:$AJ$4,0)))+SUMPRODUCT((Inputs!$E$5:$E$160=$B13)*Inputs!$F$5:$F$160*(((Inputs!$G$5:$G$160="moeda")+(Inputs!$G$5:$G$160="acoes"))*Inputs!$B$1+((Inputs!$G$5:$G$160&lt;&gt;"moeda")*(Inputs!$G$5:$G$160&lt;&gt;"acoes")))*INDEX(Inputs!$K$5:$AJ$160,0,MATCH(P$2,Inputs!$K$4:$AJ$4,0)))))</f>
        <v>-13.87953525</v>
      </c>
      <c r="Q13" s="6">
        <f>IF(ISNA(MATCH(Q$2,Inputs!$K$4:$AJ$4,0)),NA(),IF(SUMPRODUCT((Inputs!$A$5:$A$160=$B13)*ISNUMBER(INDEX(Inputs!$K$5:$AJ$160,0,MATCH(Q$2,Inputs!$K$4:$AJ$4,0))))+SUMPRODUCT((Inputs!$C$5:$C$160=$B13)*ISNUMBER(INDEX(Inputs!$K$5:$AJ$160,0,MATCH(Q$2,Inputs!$K$4:$AJ$4,0))))+SUMPRODUCT((Inputs!$E$5:$E$160=$B13)*ISNUMBER(INDEX(Inputs!$K$5:$AJ$160,0,MATCH(Q$2,Inputs!$K$4:$AJ$4,0))))=0,NA(),SUMPRODUCT((Inputs!$A$5:$A$160=$B13)*Inputs!$B$5:$B$160*(((Inputs!$G$5:$G$160="moeda")+(Inputs!$G$5:$G$160="acoes"))*Inputs!$B$1+((Inputs!$G$5:$G$160&lt;&gt;"moeda")*(Inputs!$G$5:$G$160&lt;&gt;"acoes")))*INDEX(Inputs!$K$5:$AJ$160,0,MATCH(Q$2,Inputs!$K$4:$AJ$4,0)))+SUMPRODUCT((Inputs!$C$5:$C$160=$B13)*Inputs!$D$5:$D$160*(((Inputs!$G$5:$G$160="moeda")+(Inputs!$G$5:$G$160="acoes"))*Inputs!$B$1+((Inputs!$G$5:$G$160&lt;&gt;"moeda")*(Inputs!$G$5:$G$160&lt;&gt;"acoes")))*INDEX(Inputs!$K$5:$AJ$160,0,MATCH(Q$2,Inputs!$K$4:$AJ$4,0)))+SUMPRODUCT((Inputs!$E$5:$E$160=$B13)*Inputs!$F$5:$F$160*(((Inputs!$G$5:$G$160="moeda")+(Inputs!$G$5:$G$160="acoes"))*Inputs!$B$1+((Inputs!$G$5:$G$160&lt;&gt;"moeda")*(Inputs!$G$5:$G$160&lt;&gt;"acoes")))*INDEX(Inputs!$K$5:$AJ$160,0,MATCH(Q$2,Inputs!$K$4:$AJ$4,0)))))</f>
        <v>-223.00491675</v>
      </c>
      <c r="R13" s="3">
        <f>SUM(N13:Q13)</f>
        <v>-510.109</v>
      </c>
      <c r="S13" s="6">
        <f>IF(ISNA(MATCH(S$2,Inputs!$K$4:$AJ$4,0)),NA(),IF(SUMPRODUCT((Inputs!$A$5:$A$160=$B13)*ISNUMBER(INDEX(Inputs!$K$5:$AJ$160,0,MATCH(S$2,Inputs!$K$4:$AJ$4,0))))+SUMPRODUCT((Inputs!$C$5:$C$160=$B13)*ISNUMBER(INDEX(Inputs!$K$5:$AJ$160,0,MATCH(S$2,Inputs!$K$4:$AJ$4,0))))+SUMPRODUCT((Inputs!$E$5:$E$160=$B13)*ISNUMBER(INDEX(Inputs!$K$5:$AJ$160,0,MATCH(S$2,Inputs!$K$4:$AJ$4,0))))=0,NA(),SUMPRODUCT((Inputs!$A$5:$A$160=$B13)*Inputs!$B$5:$B$160*(((Inputs!$G$5:$G$160="moeda")+(Inputs!$G$5:$G$160="acoes"))*Inputs!$B$1+((Inputs!$G$5:$G$160&lt;&gt;"moeda")*(Inputs!$G$5:$G$160&lt;&gt;"acoes")))*INDEX(Inputs!$K$5:$AJ$160,0,MATCH(S$2,Inputs!$K$4:$AJ$4,0)))+SUMPRODUCT((Inputs!$C$5:$C$160=$B13)*Inputs!$D$5:$D$160*(((Inputs!$G$5:$G$160="moeda")+(Inputs!$G$5:$G$160="acoes"))*Inputs!$B$1+((Inputs!$G$5:$G$160&lt;&gt;"moeda")*(Inputs!$G$5:$G$160&lt;&gt;"acoes")))*INDEX(Inputs!$K$5:$AJ$160,0,MATCH(S$2,Inputs!$K$4:$AJ$4,0)))+SUMPRODUCT((Inputs!$E$5:$E$160=$B13)*Inputs!$F$5:$F$160*(((Inputs!$G$5:$G$160="moeda")+(Inputs!$G$5:$G$160="acoes"))*Inputs!$B$1+((Inputs!$G$5:$G$160&lt;&gt;"moeda")*(Inputs!$G$5:$G$160&lt;&gt;"acoes")))*INDEX(Inputs!$K$5:$AJ$160,0,MATCH(S$2,Inputs!$K$4:$AJ$4,0)))))</f>
        <v>-0.496</v>
      </c>
      <c r="T13" s="6">
        <f>IF(ISNA(MATCH(T$2,Inputs!$K$4:$AJ$4,0)),NA(),IF(SUMPRODUCT((Inputs!$A$5:$A$160=$B13)*ISNUMBER(INDEX(Inputs!$K$5:$AJ$160,0,MATCH(T$2,Inputs!$K$4:$AJ$4,0))))+SUMPRODUCT((Inputs!$C$5:$C$160=$B13)*ISNUMBER(INDEX(Inputs!$K$5:$AJ$160,0,MATCH(T$2,Inputs!$K$4:$AJ$4,0))))+SUMPRODUCT((Inputs!$E$5:$E$160=$B13)*ISNUMBER(INDEX(Inputs!$K$5:$AJ$160,0,MATCH(T$2,Inputs!$K$4:$AJ$4,0))))=0,NA(),SUMPRODUCT((Inputs!$A$5:$A$160=$B13)*Inputs!$B$5:$B$160*(((Inputs!$G$5:$G$160="moeda")+(Inputs!$G$5:$G$160="acoes"))*Inputs!$B$1+((Inputs!$G$5:$G$160&lt;&gt;"moeda")*(Inputs!$G$5:$G$160&lt;&gt;"acoes")))*INDEX(Inputs!$K$5:$AJ$160,0,MATCH(T$2,Inputs!$K$4:$AJ$4,0)))+SUMPRODUCT((Inputs!$C$5:$C$160=$B13)*Inputs!$D$5:$D$160*(((Inputs!$G$5:$G$160="moeda")+(Inputs!$G$5:$G$160="acoes"))*Inputs!$B$1+((Inputs!$G$5:$G$160&lt;&gt;"moeda")*(Inputs!$G$5:$G$160&lt;&gt;"acoes")))*INDEX(Inputs!$K$5:$AJ$160,0,MATCH(T$2,Inputs!$K$4:$AJ$4,0)))+SUMPRODUCT((Inputs!$E$5:$E$160=$B13)*Inputs!$F$5:$F$160*(((Inputs!$G$5:$G$160="moeda")+(Inputs!$G$5:$G$160="acoes"))*Inputs!$B$1+((Inputs!$G$5:$G$160&lt;&gt;"moeda")*(Inputs!$G$5:$G$160&lt;&gt;"acoes")))*INDEX(Inputs!$K$5:$AJ$160,0,MATCH(T$2,Inputs!$K$4:$AJ$4,0)))))</f>
        <v>-80.533</v>
      </c>
      <c r="U13" s="6">
        <f>IF(ISNA(MATCH(U$2,Inputs!$K$4:$AJ$4,0)),NA(),IF(SUMPRODUCT((Inputs!$A$5:$A$160=$B13)*ISNUMBER(INDEX(Inputs!$K$5:$AJ$160,0,MATCH(U$2,Inputs!$K$4:$AJ$4,0))))+SUMPRODUCT((Inputs!$C$5:$C$160=$B13)*ISNUMBER(INDEX(Inputs!$K$5:$AJ$160,0,MATCH(U$2,Inputs!$K$4:$AJ$4,0))))+SUMPRODUCT((Inputs!$E$5:$E$160=$B13)*ISNUMBER(INDEX(Inputs!$K$5:$AJ$160,0,MATCH(U$2,Inputs!$K$4:$AJ$4,0))))=0,NA(),SUMPRODUCT((Inputs!$A$5:$A$160=$B13)*Inputs!$B$5:$B$160*(((Inputs!$G$5:$G$160="moeda")+(Inputs!$G$5:$G$160="acoes"))*Inputs!$B$1+((Inputs!$G$5:$G$160&lt;&gt;"moeda")*(Inputs!$G$5:$G$160&lt;&gt;"acoes")))*INDEX(Inputs!$K$5:$AJ$160,0,MATCH(U$2,Inputs!$K$4:$AJ$4,0)))+SUMPRODUCT((Inputs!$C$5:$C$160=$B13)*Inputs!$D$5:$D$160*(((Inputs!$G$5:$G$160="moeda")+(Inputs!$G$5:$G$160="acoes"))*Inputs!$B$1+((Inputs!$G$5:$G$160&lt;&gt;"moeda")*(Inputs!$G$5:$G$160&lt;&gt;"acoes")))*INDEX(Inputs!$K$5:$AJ$160,0,MATCH(U$2,Inputs!$K$4:$AJ$4,0)))+SUMPRODUCT((Inputs!$E$5:$E$160=$B13)*Inputs!$F$5:$F$160*(((Inputs!$G$5:$G$160="moeda")+(Inputs!$G$5:$G$160="acoes"))*Inputs!$B$1+((Inputs!$G$5:$G$160&lt;&gt;"moeda")*(Inputs!$G$5:$G$160&lt;&gt;"acoes")))*INDEX(Inputs!$K$5:$AJ$160,0,MATCH(U$2,Inputs!$K$4:$AJ$4,0)))))</f>
        <v>0</v>
      </c>
      <c r="V13" s="6">
        <f>IF(ISNA(MATCH(V$2,Inputs!$K$4:$AJ$4,0)),NA(),IF(SUMPRODUCT((Inputs!$A$5:$A$160=$B13)*ISNUMBER(INDEX(Inputs!$K$5:$AJ$160,0,MATCH(V$2,Inputs!$K$4:$AJ$4,0))))+SUMPRODUCT((Inputs!$C$5:$C$160=$B13)*ISNUMBER(INDEX(Inputs!$K$5:$AJ$160,0,MATCH(V$2,Inputs!$K$4:$AJ$4,0))))+SUMPRODUCT((Inputs!$E$5:$E$160=$B13)*ISNUMBER(INDEX(Inputs!$K$5:$AJ$160,0,MATCH(V$2,Inputs!$K$4:$AJ$4,0))))=0,NA(),SUMPRODUCT((Inputs!$A$5:$A$160=$B13)*Inputs!$B$5:$B$160*(((Inputs!$G$5:$G$160="moeda")+(Inputs!$G$5:$G$160="acoes"))*Inputs!$B$1+((Inputs!$G$5:$G$160&lt;&gt;"moeda")*(Inputs!$G$5:$G$160&lt;&gt;"acoes")))*INDEX(Inputs!$K$5:$AJ$160,0,MATCH(V$2,Inputs!$K$4:$AJ$4,0)))+SUMPRODUCT((Inputs!$C$5:$C$160=$B13)*Inputs!$D$5:$D$160*(((Inputs!$G$5:$G$160="moeda")+(Inputs!$G$5:$G$160="acoes"))*Inputs!$B$1+((Inputs!$G$5:$G$160&lt;&gt;"moeda")*(Inputs!$G$5:$G$160&lt;&gt;"acoes")))*INDEX(Inputs!$K$5:$AJ$160,0,MATCH(V$2,Inputs!$K$4:$AJ$4,0)))+SUMPRODUCT((Inputs!$E$5:$E$160=$B13)*Inputs!$F$5:$F$160*(((Inputs!$G$5:$G$160="moeda")+(Inputs!$G$5:$G$160="acoes"))*Inputs!$B$1+((Inputs!$G$5:$G$160&lt;&gt;"moeda")*(Inputs!$G$5:$G$160&lt;&gt;"acoes")))*INDEX(Inputs!$K$5:$AJ$160,0,MATCH(V$2,Inputs!$K$4:$AJ$4,0)))))</f>
        <v>-262.333</v>
      </c>
      <c r="W13" s="3">
        <f>SUM(S13:V13)</f>
        <v>-343.362</v>
      </c>
      <c r="X13" s="6">
        <f>IF(ISNA(MATCH(X$2,Inputs!$K$4:$AJ$4,0)),NA(),IF(SUMPRODUCT((Inputs!$A$5:$A$160=$B13)*ISNUMBER(INDEX(Inputs!$K$5:$AJ$160,0,MATCH(X$2,Inputs!$K$4:$AJ$4,0))))+SUMPRODUCT((Inputs!$C$5:$C$160=$B13)*ISNUMBER(INDEX(Inputs!$K$5:$AJ$160,0,MATCH(X$2,Inputs!$K$4:$AJ$4,0))))+SUMPRODUCT((Inputs!$E$5:$E$160=$B13)*ISNUMBER(INDEX(Inputs!$K$5:$AJ$160,0,MATCH(X$2,Inputs!$K$4:$AJ$4,0))))=0,NA(),SUMPRODUCT((Inputs!$A$5:$A$160=$B13)*Inputs!$B$5:$B$160*(((Inputs!$G$5:$G$160="moeda")+(Inputs!$G$5:$G$160="acoes"))*Inputs!$B$1+((Inputs!$G$5:$G$160&lt;&gt;"moeda")*(Inputs!$G$5:$G$160&lt;&gt;"acoes")))*INDEX(Inputs!$K$5:$AJ$160,0,MATCH(X$2,Inputs!$K$4:$AJ$4,0)))+SUMPRODUCT((Inputs!$C$5:$C$160=$B13)*Inputs!$D$5:$D$160*(((Inputs!$G$5:$G$160="moeda")+(Inputs!$G$5:$G$160="acoes"))*Inputs!$B$1+((Inputs!$G$5:$G$160&lt;&gt;"moeda")*(Inputs!$G$5:$G$160&lt;&gt;"acoes")))*INDEX(Inputs!$K$5:$AJ$160,0,MATCH(X$2,Inputs!$K$4:$AJ$4,0)))+SUMPRODUCT((Inputs!$E$5:$E$160=$B13)*Inputs!$F$5:$F$160*(((Inputs!$G$5:$G$160="moeda")+(Inputs!$G$5:$G$160="acoes"))*Inputs!$B$1+((Inputs!$G$5:$G$160&lt;&gt;"moeda")*(Inputs!$G$5:$G$160&lt;&gt;"acoes")))*INDEX(Inputs!$K$5:$AJ$160,0,MATCH(X$2,Inputs!$K$4:$AJ$4,0)))))</f>
        <v>0</v>
      </c>
      <c r="Y13" s="6">
        <f>IF(ISNA(MATCH(Y$2,Inputs!$K$4:$AJ$4,0)),NA(),IF(SUMPRODUCT((Inputs!$A$5:$A$160=$B13)*ISNUMBER(INDEX(Inputs!$K$5:$AJ$160,0,MATCH(Y$2,Inputs!$K$4:$AJ$4,0))))+SUMPRODUCT((Inputs!$C$5:$C$160=$B13)*ISNUMBER(INDEX(Inputs!$K$5:$AJ$160,0,MATCH(Y$2,Inputs!$K$4:$AJ$4,0))))+SUMPRODUCT((Inputs!$E$5:$E$160=$B13)*ISNUMBER(INDEX(Inputs!$K$5:$AJ$160,0,MATCH(Y$2,Inputs!$K$4:$AJ$4,0))))=0,NA(),SUMPRODUCT((Inputs!$A$5:$A$160=$B13)*Inputs!$B$5:$B$160*(((Inputs!$G$5:$G$160="moeda")+(Inputs!$G$5:$G$160="acoes"))*Inputs!$B$1+((Inputs!$G$5:$G$160&lt;&gt;"moeda")*(Inputs!$G$5:$G$160&lt;&gt;"acoes")))*INDEX(Inputs!$K$5:$AJ$160,0,MATCH(Y$2,Inputs!$K$4:$AJ$4,0)))+SUMPRODUCT((Inputs!$C$5:$C$160=$B13)*Inputs!$D$5:$D$160*(((Inputs!$G$5:$G$160="moeda")+(Inputs!$G$5:$G$160="acoes"))*Inputs!$B$1+((Inputs!$G$5:$G$160&lt;&gt;"moeda")*(Inputs!$G$5:$G$160&lt;&gt;"acoes")))*INDEX(Inputs!$K$5:$AJ$160,0,MATCH(Y$2,Inputs!$K$4:$AJ$4,0)))+SUMPRODUCT((Inputs!$E$5:$E$160=$B13)*Inputs!$F$5:$F$160*(((Inputs!$G$5:$G$160="moeda")+(Inputs!$G$5:$G$160="acoes"))*Inputs!$B$1+((Inputs!$G$5:$G$160&lt;&gt;"moeda")*(Inputs!$G$5:$G$160&lt;&gt;"acoes")))*INDEX(Inputs!$K$5:$AJ$160,0,MATCH(Y$2,Inputs!$K$4:$AJ$4,0)))))</f>
        <v>-254.045</v>
      </c>
      <c r="Z13" s="6">
        <f>IF(ISNA(MATCH(Z$2,Inputs!$K$4:$AJ$4,0)),NA(),IF(SUMPRODUCT((Inputs!$A$5:$A$160=$B13)*ISNUMBER(INDEX(Inputs!$K$5:$AJ$160,0,MATCH(Z$2,Inputs!$K$4:$AJ$4,0))))+SUMPRODUCT((Inputs!$C$5:$C$160=$B13)*ISNUMBER(INDEX(Inputs!$K$5:$AJ$160,0,MATCH(Z$2,Inputs!$K$4:$AJ$4,0))))+SUMPRODUCT((Inputs!$E$5:$E$160=$B13)*ISNUMBER(INDEX(Inputs!$K$5:$AJ$160,0,MATCH(Z$2,Inputs!$K$4:$AJ$4,0))))=0,NA(),SUMPRODUCT((Inputs!$A$5:$A$160=$B13)*Inputs!$B$5:$B$160*(((Inputs!$G$5:$G$160="moeda")+(Inputs!$G$5:$G$160="acoes"))*Inputs!$B$1+((Inputs!$G$5:$G$160&lt;&gt;"moeda")*(Inputs!$G$5:$G$160&lt;&gt;"acoes")))*INDEX(Inputs!$K$5:$AJ$160,0,MATCH(Z$2,Inputs!$K$4:$AJ$4,0)))+SUMPRODUCT((Inputs!$C$5:$C$160=$B13)*Inputs!$D$5:$D$160*(((Inputs!$G$5:$G$160="moeda")+(Inputs!$G$5:$G$160="acoes"))*Inputs!$B$1+((Inputs!$G$5:$G$160&lt;&gt;"moeda")*(Inputs!$G$5:$G$160&lt;&gt;"acoes")))*INDEX(Inputs!$K$5:$AJ$160,0,MATCH(Z$2,Inputs!$K$4:$AJ$4,0)))+SUMPRODUCT((Inputs!$E$5:$E$160=$B13)*Inputs!$F$5:$F$160*(((Inputs!$G$5:$G$160="moeda")+(Inputs!$G$5:$G$160="acoes"))*Inputs!$B$1+((Inputs!$G$5:$G$160&lt;&gt;"moeda")*(Inputs!$G$5:$G$160&lt;&gt;"acoes")))*INDEX(Inputs!$K$5:$AJ$160,0,MATCH(Z$2,Inputs!$K$4:$AJ$4,0)))))</f>
        <v>0</v>
      </c>
      <c r="AA13" s="6">
        <f>IF(ISNA(MATCH(AA$2,Inputs!$K$4:$AJ$4,0)),NA(),IF(SUMPRODUCT((Inputs!$A$5:$A$160=$B13)*ISNUMBER(INDEX(Inputs!$K$5:$AJ$160,0,MATCH(AA$2,Inputs!$K$4:$AJ$4,0))))+SUMPRODUCT((Inputs!$C$5:$C$160=$B13)*ISNUMBER(INDEX(Inputs!$K$5:$AJ$160,0,MATCH(AA$2,Inputs!$K$4:$AJ$4,0))))+SUMPRODUCT((Inputs!$E$5:$E$160=$B13)*ISNUMBER(INDEX(Inputs!$K$5:$AJ$160,0,MATCH(AA$2,Inputs!$K$4:$AJ$4,0))))=0,NA(),SUMPRODUCT((Inputs!$A$5:$A$160=$B13)*Inputs!$B$5:$B$160*(((Inputs!$G$5:$G$160="moeda")+(Inputs!$G$5:$G$160="acoes"))*Inputs!$B$1+((Inputs!$G$5:$G$160&lt;&gt;"moeda")*(Inputs!$G$5:$G$160&lt;&gt;"acoes")))*INDEX(Inputs!$K$5:$AJ$160,0,MATCH(AA$2,Inputs!$K$4:$AJ$4,0)))+SUMPRODUCT((Inputs!$C$5:$C$160=$B13)*Inputs!$D$5:$D$160*(((Inputs!$G$5:$G$160="moeda")+(Inputs!$G$5:$G$160="acoes"))*Inputs!$B$1+((Inputs!$G$5:$G$160&lt;&gt;"moeda")*(Inputs!$G$5:$G$160&lt;&gt;"acoes")))*INDEX(Inputs!$K$5:$AJ$160,0,MATCH(AA$2,Inputs!$K$4:$AJ$4,0)))+SUMPRODUCT((Inputs!$E$5:$E$160=$B13)*Inputs!$F$5:$F$160*(((Inputs!$G$5:$G$160="moeda")+(Inputs!$G$5:$G$160="acoes"))*Inputs!$B$1+((Inputs!$G$5:$G$160&lt;&gt;"moeda")*(Inputs!$G$5:$G$160&lt;&gt;"acoes")))*INDEX(Inputs!$K$5:$AJ$160,0,MATCH(AA$2,Inputs!$K$4:$AJ$4,0)))))</f>
        <v>-259.01</v>
      </c>
      <c r="AB13" s="3">
        <f>SUM(X13:AA13)</f>
        <v>-513.055</v>
      </c>
      <c r="AC13" s="6">
        <f>IF(ISNA(MATCH(AC$2,Inputs!$K$4:$AJ$4,0)),NA(),IF(SUMPRODUCT((Inputs!$A$5:$A$160=$B13)*ISNUMBER(INDEX(Inputs!$K$5:$AJ$160,0,MATCH(AC$2,Inputs!$K$4:$AJ$4,0))))+SUMPRODUCT((Inputs!$C$5:$C$160=$B13)*ISNUMBER(INDEX(Inputs!$K$5:$AJ$160,0,MATCH(AC$2,Inputs!$K$4:$AJ$4,0))))+SUMPRODUCT((Inputs!$E$5:$E$160=$B13)*ISNUMBER(INDEX(Inputs!$K$5:$AJ$160,0,MATCH(AC$2,Inputs!$K$4:$AJ$4,0))))=0,NA(),SUMPRODUCT((Inputs!$A$5:$A$160=$B13)*Inputs!$B$5:$B$160*(((Inputs!$G$5:$G$160="moeda")+(Inputs!$G$5:$G$160="acoes"))*Inputs!$B$1+((Inputs!$G$5:$G$160&lt;&gt;"moeda")*(Inputs!$G$5:$G$160&lt;&gt;"acoes")))*INDEX(Inputs!$K$5:$AJ$160,0,MATCH(AC$2,Inputs!$K$4:$AJ$4,0)))+SUMPRODUCT((Inputs!$C$5:$C$160=$B13)*Inputs!$D$5:$D$160*(((Inputs!$G$5:$G$160="moeda")+(Inputs!$G$5:$G$160="acoes"))*Inputs!$B$1+((Inputs!$G$5:$G$160&lt;&gt;"moeda")*(Inputs!$G$5:$G$160&lt;&gt;"acoes")))*INDEX(Inputs!$K$5:$AJ$160,0,MATCH(AC$2,Inputs!$K$4:$AJ$4,0)))+SUMPRODUCT((Inputs!$E$5:$E$160=$B13)*Inputs!$F$5:$F$160*(((Inputs!$G$5:$G$160="moeda")+(Inputs!$G$5:$G$160="acoes"))*Inputs!$B$1+((Inputs!$G$5:$G$160&lt;&gt;"moeda")*(Inputs!$G$5:$G$160&lt;&gt;"acoes")))*INDEX(Inputs!$K$5:$AJ$160,0,MATCH(AC$2,Inputs!$K$4:$AJ$4,0)))))</f>
        <v>-0.391</v>
      </c>
      <c r="AD13" s="6">
        <f>IF(ISNA(MATCH(AD$2,Inputs!$K$4:$AJ$4,0)),NA(),IF(SUMPRODUCT((Inputs!$A$5:$A$160=$B13)*ISNUMBER(INDEX(Inputs!$K$5:$AJ$160,0,MATCH(AD$2,Inputs!$K$4:$AJ$4,0))))+SUMPRODUCT((Inputs!$C$5:$C$160=$B13)*ISNUMBER(INDEX(Inputs!$K$5:$AJ$160,0,MATCH(AD$2,Inputs!$K$4:$AJ$4,0))))+SUMPRODUCT((Inputs!$E$5:$E$160=$B13)*ISNUMBER(INDEX(Inputs!$K$5:$AJ$160,0,MATCH(AD$2,Inputs!$K$4:$AJ$4,0))))=0,NA(),SUMPRODUCT((Inputs!$A$5:$A$160=$B13)*Inputs!$B$5:$B$160*(((Inputs!$G$5:$G$160="moeda")+(Inputs!$G$5:$G$160="acoes"))*Inputs!$B$1+((Inputs!$G$5:$G$160&lt;&gt;"moeda")*(Inputs!$G$5:$G$160&lt;&gt;"acoes")))*INDEX(Inputs!$K$5:$AJ$160,0,MATCH(AD$2,Inputs!$K$4:$AJ$4,0)))+SUMPRODUCT((Inputs!$C$5:$C$160=$B13)*Inputs!$D$5:$D$160*(((Inputs!$G$5:$G$160="moeda")+(Inputs!$G$5:$G$160="acoes"))*Inputs!$B$1+((Inputs!$G$5:$G$160&lt;&gt;"moeda")*(Inputs!$G$5:$G$160&lt;&gt;"acoes")))*INDEX(Inputs!$K$5:$AJ$160,0,MATCH(AD$2,Inputs!$K$4:$AJ$4,0)))+SUMPRODUCT((Inputs!$E$5:$E$160=$B13)*Inputs!$F$5:$F$160*(((Inputs!$G$5:$G$160="moeda")+(Inputs!$G$5:$G$160="acoes"))*Inputs!$B$1+((Inputs!$G$5:$G$160&lt;&gt;"moeda")*(Inputs!$G$5:$G$160&lt;&gt;"acoes")))*INDEX(Inputs!$K$5:$AJ$160,0,MATCH(AD$2,Inputs!$K$4:$AJ$4,0)))))</f>
        <v>-222.897</v>
      </c>
      <c r="AE13" s="6" t="e">
        <f>IF(ISNA(MATCH(AE$2,Inputs!$K$4:$AJ$4,0)),NA(),IF(SUMPRODUCT((Inputs!$A$5:$A$160=$B13)*ISNUMBER(INDEX(Inputs!$K$5:$AJ$160,0,MATCH(AE$2,Inputs!$K$4:$AJ$4,0))))+SUMPRODUCT((Inputs!$C$5:$C$160=$B13)*ISNUMBER(INDEX(Inputs!$K$5:$AJ$160,0,MATCH(AE$2,Inputs!$K$4:$AJ$4,0))))+SUMPRODUCT((Inputs!$E$5:$E$160=$B13)*ISNUMBER(INDEX(Inputs!$K$5:$AJ$160,0,MATCH(AE$2,Inputs!$K$4:$AJ$4,0))))=0,NA(),SUMPRODUCT((Inputs!$A$5:$A$160=$B13)*Inputs!$B$5:$B$160*(((Inputs!$G$5:$G$160="moeda")+(Inputs!$G$5:$G$160="acoes"))*Inputs!$B$1+((Inputs!$G$5:$G$160&lt;&gt;"moeda")*(Inputs!$G$5:$G$160&lt;&gt;"acoes")))*INDEX(Inputs!$K$5:$AJ$160,0,MATCH(AE$2,Inputs!$K$4:$AJ$4,0)))+SUMPRODUCT((Inputs!$C$5:$C$160=$B13)*Inputs!$D$5:$D$160*(((Inputs!$G$5:$G$160="moeda")+(Inputs!$G$5:$G$160="acoes"))*Inputs!$B$1+((Inputs!$G$5:$G$160&lt;&gt;"moeda")*(Inputs!$G$5:$G$160&lt;&gt;"acoes")))*INDEX(Inputs!$K$5:$AJ$160,0,MATCH(AE$2,Inputs!$K$4:$AJ$4,0)))+SUMPRODUCT((Inputs!$E$5:$E$160=$B13)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3" s="6" t="e">
        <f>IF(ISNA(MATCH(AF$2,Inputs!$K$4:$AJ$4,0)),NA(),IF(SUMPRODUCT((Inputs!$A$5:$A$160=$B13)*ISNUMBER(INDEX(Inputs!$K$5:$AJ$160,0,MATCH(AF$2,Inputs!$K$4:$AJ$4,0))))+SUMPRODUCT((Inputs!$C$5:$C$160=$B13)*ISNUMBER(INDEX(Inputs!$K$5:$AJ$160,0,MATCH(AF$2,Inputs!$K$4:$AJ$4,0))))+SUMPRODUCT((Inputs!$E$5:$E$160=$B13)*ISNUMBER(INDEX(Inputs!$K$5:$AJ$160,0,MATCH(AF$2,Inputs!$K$4:$AJ$4,0))))=0,NA(),SUMPRODUCT((Inputs!$A$5:$A$160=$B13)*Inputs!$B$5:$B$160*(((Inputs!$G$5:$G$160="moeda")+(Inputs!$G$5:$G$160="acoes"))*Inputs!$B$1+((Inputs!$G$5:$G$160&lt;&gt;"moeda")*(Inputs!$G$5:$G$160&lt;&gt;"acoes")))*INDEX(Inputs!$K$5:$AJ$160,0,MATCH(AF$2,Inputs!$K$4:$AJ$4,0)))+SUMPRODUCT((Inputs!$C$5:$C$160=$B13)*Inputs!$D$5:$D$160*(((Inputs!$G$5:$G$160="moeda")+(Inputs!$G$5:$G$160="acoes"))*Inputs!$B$1+((Inputs!$G$5:$G$160&lt;&gt;"moeda")*(Inputs!$G$5:$G$160&lt;&gt;"acoes")))*INDEX(Inputs!$K$5:$AJ$160,0,MATCH(AF$2,Inputs!$K$4:$AJ$4,0)))+SUMPRODUCT((Inputs!$E$5:$E$160=$B13)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$160=$B13)*ISNUMBER(INDEX(Inputs!$K$5:$AJ$160,0,MATCH(AH$2,Inputs!$K$4:$AJ$4,0))))+SUMPRODUCT((Inputs!$C$5:$C$160=$B13)*ISNUMBER(INDEX(Inputs!$K$5:$AJ$160,0,MATCH(AH$2,Inputs!$K$4:$AJ$4,0))))+SUMPRODUCT((Inputs!$E$5:$E$160=$B13)*ISNUMBER(INDEX(Inputs!$K$5:$AJ$160,0,MATCH(AH$2,Inputs!$K$4:$AJ$4,0))))=0,NA(),SUMPRODUCT((Inputs!$A$5:$A$160=$B13)*Inputs!$B$5:$B$160*(((Inputs!$G$5:$G$160="moeda")+(Inputs!$G$5:$G$160="acoes"))*Inputs!$B$1+((Inputs!$G$5:$G$160&lt;&gt;"moeda")*(Inputs!$G$5:$G$160&lt;&gt;"acoes")))*INDEX(Inputs!$K$5:$AJ$160,0,MATCH(AH$2,Inputs!$K$4:$AJ$4,0)))+SUMPRODUCT((Inputs!$C$5:$C$160=$B13)*Inputs!$D$5:$D$160*(((Inputs!$G$5:$G$160="moeda")+(Inputs!$G$5:$G$160="acoes"))*Inputs!$B$1+((Inputs!$G$5:$G$160&lt;&gt;"moeda")*(Inputs!$G$5:$G$160&lt;&gt;"acoes")))*INDEX(Inputs!$K$5:$AJ$160,0,MATCH(AH$2,Inputs!$K$4:$AJ$4,0)))+SUMPRODUCT((Inputs!$E$5:$E$160=$B13)*Inputs!$F$5:$F$160*(((Inputs!$G$5:$G$160="moeda")+(Inputs!$G$5:$G$160="acoes"))*Inputs!$B$1+((Inputs!$G$5:$G$160&lt;&gt;"moeda")*(Inputs!$G$5:$G$160&lt;&gt;"acoes")))*INDEX(Inputs!$K$5:$AJ$160,0,MATCH(AH$2,Inputs!$K$4:$AJ$4,0)))))</f>
        <v>-31.1765432</v>
      </c>
      <c r="AI13" s="6">
        <f>IF(ISNA(MATCH(AI$2,Inputs!$K$4:$AJ$4,0)),NA(),IF(SUMPRODUCT((Inputs!$A$5:$A$160=$B13)*ISNUMBER(INDEX(Inputs!$K$5:$AJ$160,0,MATCH(AI$2,Inputs!$K$4:$AJ$4,0))))+SUMPRODUCT((Inputs!$C$5:$C$160=$B13)*ISNUMBER(INDEX(Inputs!$K$5:$AJ$160,0,MATCH(AI$2,Inputs!$K$4:$AJ$4,0))))+SUMPRODUCT((Inputs!$E$5:$E$160=$B13)*ISNUMBER(INDEX(Inputs!$K$5:$AJ$160,0,MATCH(AI$2,Inputs!$K$4:$AJ$4,0))))=0,NA(),SUMPRODUCT((Inputs!$A$5:$A$160=$B13)*Inputs!$B$5:$B$160*(((Inputs!$G$5:$G$160="moeda")+(Inputs!$G$5:$G$160="acoes"))*Inputs!$B$1+((Inputs!$G$5:$G$160&lt;&gt;"moeda")*(Inputs!$G$5:$G$160&lt;&gt;"acoes")))*INDEX(Inputs!$K$5:$AJ$160,0,MATCH(AI$2,Inputs!$K$4:$AJ$4,0)))+SUMPRODUCT((Inputs!$C$5:$C$160=$B13)*Inputs!$D$5:$D$160*(((Inputs!$G$5:$G$160="moeda")+(Inputs!$G$5:$G$160="acoes"))*Inputs!$B$1+((Inputs!$G$5:$G$160&lt;&gt;"moeda")*(Inputs!$G$5:$G$160&lt;&gt;"acoes")))*INDEX(Inputs!$K$5:$AJ$160,0,MATCH(AI$2,Inputs!$K$4:$AJ$4,0)))+SUMPRODUCT((Inputs!$E$5:$E$160=$B13)*Inputs!$F$5:$F$160*(((Inputs!$G$5:$G$160="moeda")+(Inputs!$G$5:$G$160="acoes"))*Inputs!$B$1+((Inputs!$G$5:$G$160&lt;&gt;"moeda")*(Inputs!$G$5:$G$160&lt;&gt;"acoes")))*INDEX(Inputs!$K$5:$AJ$160,0,MATCH(AI$2,Inputs!$K$4:$AJ$4,0)))))</f>
        <v>0</v>
      </c>
      <c r="AJ13" s="6">
        <f>IF(ISNA(MATCH(AJ$2,Inputs!$K$4:$AJ$4,0)),NA(),IF(SUMPRODUCT((Inputs!$A$5:$A$160=$B13)*ISNUMBER(INDEX(Inputs!$K$5:$AJ$160,0,MATCH(AJ$2,Inputs!$K$4:$AJ$4,0))))+SUMPRODUCT((Inputs!$C$5:$C$160=$B13)*ISNUMBER(INDEX(Inputs!$K$5:$AJ$160,0,MATCH(AJ$2,Inputs!$K$4:$AJ$4,0))))+SUMPRODUCT((Inputs!$E$5:$E$160=$B13)*ISNUMBER(INDEX(Inputs!$K$5:$AJ$160,0,MATCH(AJ$2,Inputs!$K$4:$AJ$4,0))))=0,NA(),SUMPRODUCT((Inputs!$A$5:$A$160=$B13)*Inputs!$B$5:$B$160*(((Inputs!$G$5:$G$160="moeda")+(Inputs!$G$5:$G$160="acoes"))*Inputs!$B$1+((Inputs!$G$5:$G$160&lt;&gt;"moeda")*(Inputs!$G$5:$G$160&lt;&gt;"acoes")))*INDEX(Inputs!$K$5:$AJ$160,0,MATCH(AJ$2,Inputs!$K$4:$AJ$4,0)))+SUMPRODUCT((Inputs!$C$5:$C$160=$B13)*Inputs!$D$5:$D$160*(((Inputs!$G$5:$G$160="moeda")+(Inputs!$G$5:$G$160="acoes"))*Inputs!$B$1+((Inputs!$G$5:$G$160&lt;&gt;"moeda")*(Inputs!$G$5:$G$160&lt;&gt;"acoes")))*INDEX(Inputs!$K$5:$AJ$160,0,MATCH(AJ$2,Inputs!$K$4:$AJ$4,0)))+SUMPRODUCT((Inputs!$E$5:$E$160=$B13)*Inputs!$F$5:$F$160*(((Inputs!$G$5:$G$160="moeda")+(Inputs!$G$5:$G$160="acoes"))*Inputs!$B$1+((Inputs!$G$5:$G$160&lt;&gt;"moeda")*(Inputs!$G$5:$G$160&lt;&gt;"acoes")))*INDEX(Inputs!$K$5:$AJ$160,0,MATCH(AJ$2,Inputs!$K$4:$AJ$4,0)))))</f>
        <v>0</v>
      </c>
      <c r="AK13" s="6">
        <f>IF(ISNA(MATCH(AK$2,Inputs!$K$4:$AJ$4,0)),NA(),IF(SUMPRODUCT((Inputs!$A$5:$A$160=$B13)*ISNUMBER(INDEX(Inputs!$K$5:$AJ$160,0,MATCH(AK$2,Inputs!$K$4:$AJ$4,0))))+SUMPRODUCT((Inputs!$C$5:$C$160=$B13)*ISNUMBER(INDEX(Inputs!$K$5:$AJ$160,0,MATCH(AK$2,Inputs!$K$4:$AJ$4,0))))+SUMPRODUCT((Inputs!$E$5:$E$160=$B13)*ISNUMBER(INDEX(Inputs!$K$5:$AJ$160,0,MATCH(AK$2,Inputs!$K$4:$AJ$4,0))))=0,NA(),SUMPRODUCT((Inputs!$A$5:$A$160=$B13)*Inputs!$B$5:$B$160*(((Inputs!$G$5:$G$160="moeda")+(Inputs!$G$5:$G$160="acoes"))*Inputs!$B$1+((Inputs!$G$5:$G$160&lt;&gt;"moeda")*(Inputs!$G$5:$G$160&lt;&gt;"acoes")))*INDEX(Inputs!$K$5:$AJ$160,0,MATCH(AK$2,Inputs!$K$4:$AJ$4,0)))+SUMPRODUCT((Inputs!$C$5:$C$160=$B13)*Inputs!$D$5:$D$160*(((Inputs!$G$5:$G$160="moeda")+(Inputs!$G$5:$G$160="acoes"))*Inputs!$B$1+((Inputs!$G$5:$G$160&lt;&gt;"moeda")*(Inputs!$G$5:$G$160&lt;&gt;"acoes")))*INDEX(Inputs!$K$5:$AJ$160,0,MATCH(AK$2,Inputs!$K$4:$AJ$4,0)))+SUMPRODUCT((Inputs!$E$5:$E$160=$B13)*Inputs!$F$5:$F$160*(((Inputs!$G$5:$G$160="moeda")+(Inputs!$G$5:$G$160="acoes"))*Inputs!$B$1+((Inputs!$G$5:$G$160&lt;&gt;"moeda")*(Inputs!$G$5:$G$160&lt;&gt;"acoes")))*INDEX(Inputs!$K$5:$AJ$160,0,MATCH(AK$2,Inputs!$K$4:$AJ$4,0)))))</f>
        <v>-197.75241252</v>
      </c>
      <c r="AL13" s="3">
        <f>SUM(AH13:AK13)</f>
        <v>-228.92895572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$160=$B15)*ISNUMBER(INDEX(Inputs!$K$5:$AJ$160,0,MATCH(D$2,Inputs!$K$4:$AJ$4,0))))+SUMPRODUCT((Inputs!$C$5:$C$160=$B15)*ISNUMBER(INDEX(Inputs!$K$5:$AJ$160,0,MATCH(D$2,Inputs!$K$4:$AJ$4,0))))+SUMPRODUCT((Inputs!$E$5:$E$160=$B15)*ISNUMBER(INDEX(Inputs!$K$5:$AJ$160,0,MATCH(D$2,Inputs!$K$4:$AJ$4,0))))=0,NA(),SUMPRODUCT((Inputs!$A$5:$A$160=$B15)*Inputs!$B$5:$B$160*(((Inputs!$G$5:$G$160="moeda")+(Inputs!$G$5:$G$160="acoes"))*Inputs!$B$1+((Inputs!$G$5:$G$160&lt;&gt;"moeda")*(Inputs!$G$5:$G$160&lt;&gt;"acoes")))*INDEX(Inputs!$K$5:$AJ$160,0,MATCH(D$2,Inputs!$K$4:$AJ$4,0)))+SUMPRODUCT((Inputs!$C$5:$C$160=$B15)*Inputs!$D$5:$D$160*(((Inputs!$G$5:$G$160="moeda")+(Inputs!$G$5:$G$160="acoes"))*Inputs!$B$1+((Inputs!$G$5:$G$160&lt;&gt;"moeda")*(Inputs!$G$5:$G$160&lt;&gt;"acoes")))*INDEX(Inputs!$K$5:$AJ$160,0,MATCH(D$2,Inputs!$K$4:$AJ$4,0)))+SUMPRODUCT((Inputs!$E$5:$E$160=$B15)*Inputs!$F$5:$F$160*(((Inputs!$G$5:$G$160="moeda")+(Inputs!$G$5:$G$160="acoes"))*Inputs!$B$1+((Inputs!$G$5:$G$160&lt;&gt;"moeda")*(Inputs!$G$5:$G$160&lt;&gt;"acoes")))*INDEX(Inputs!$K$5:$AJ$160,0,MATCH(D$2,Inputs!$K$4:$AJ$4,0)))))</f>
        <v>1097.37400565</v>
      </c>
      <c r="E15" s="6">
        <f>IF(ISNA(MATCH(E$2,Inputs!$K$4:$AJ$4,0)),NA(),IF(SUMPRODUCT((Inputs!$A$5:$A$160=$B15)*ISNUMBER(INDEX(Inputs!$K$5:$AJ$160,0,MATCH(E$2,Inputs!$K$4:$AJ$4,0))))+SUMPRODUCT((Inputs!$C$5:$C$160=$B15)*ISNUMBER(INDEX(Inputs!$K$5:$AJ$160,0,MATCH(E$2,Inputs!$K$4:$AJ$4,0))))+SUMPRODUCT((Inputs!$E$5:$E$160=$B15)*ISNUMBER(INDEX(Inputs!$K$5:$AJ$160,0,MATCH(E$2,Inputs!$K$4:$AJ$4,0))))=0,NA(),SUMPRODUCT((Inputs!$A$5:$A$160=$B15)*Inputs!$B$5:$B$160*(((Inputs!$G$5:$G$160="moeda")+(Inputs!$G$5:$G$160="acoes"))*Inputs!$B$1+((Inputs!$G$5:$G$160&lt;&gt;"moeda")*(Inputs!$G$5:$G$160&lt;&gt;"acoes")))*INDEX(Inputs!$K$5:$AJ$160,0,MATCH(E$2,Inputs!$K$4:$AJ$4,0)))+SUMPRODUCT((Inputs!$C$5:$C$160=$B15)*Inputs!$D$5:$D$160*(((Inputs!$G$5:$G$160="moeda")+(Inputs!$G$5:$G$160="acoes"))*Inputs!$B$1+((Inputs!$G$5:$G$160&lt;&gt;"moeda")*(Inputs!$G$5:$G$160&lt;&gt;"acoes")))*INDEX(Inputs!$K$5:$AJ$160,0,MATCH(E$2,Inputs!$K$4:$AJ$4,0)))+SUMPRODUCT((Inputs!$E$5:$E$160=$B15)*Inputs!$F$5:$F$160*(((Inputs!$G$5:$G$160="moeda")+(Inputs!$G$5:$G$160="acoes"))*Inputs!$B$1+((Inputs!$G$5:$G$160&lt;&gt;"moeda")*(Inputs!$G$5:$G$160&lt;&gt;"acoes")))*INDEX(Inputs!$K$5:$AJ$160,0,MATCH(E$2,Inputs!$K$4:$AJ$4,0)))))</f>
        <v>672.07445116</v>
      </c>
      <c r="F15" s="6">
        <f>IF(ISNA(MATCH(F$2,Inputs!$K$4:$AJ$4,0)),NA(),IF(SUMPRODUCT((Inputs!$A$5:$A$160=$B15)*ISNUMBER(INDEX(Inputs!$K$5:$AJ$160,0,MATCH(F$2,Inputs!$K$4:$AJ$4,0))))+SUMPRODUCT((Inputs!$C$5:$C$160=$B15)*ISNUMBER(INDEX(Inputs!$K$5:$AJ$160,0,MATCH(F$2,Inputs!$K$4:$AJ$4,0))))+SUMPRODUCT((Inputs!$E$5:$E$160=$B15)*ISNUMBER(INDEX(Inputs!$K$5:$AJ$160,0,MATCH(F$2,Inputs!$K$4:$AJ$4,0))))=0,NA(),SUMPRODUCT((Inputs!$A$5:$A$160=$B15)*Inputs!$B$5:$B$160*(((Inputs!$G$5:$G$160="moeda")+(Inputs!$G$5:$G$160="acoes"))*Inputs!$B$1+((Inputs!$G$5:$G$160&lt;&gt;"moeda")*(Inputs!$G$5:$G$160&lt;&gt;"acoes")))*INDEX(Inputs!$K$5:$AJ$160,0,MATCH(F$2,Inputs!$K$4:$AJ$4,0)))+SUMPRODUCT((Inputs!$C$5:$C$160=$B15)*Inputs!$D$5:$D$160*(((Inputs!$G$5:$G$160="moeda")+(Inputs!$G$5:$G$160="acoes"))*Inputs!$B$1+((Inputs!$G$5:$G$160&lt;&gt;"moeda")*(Inputs!$G$5:$G$160&lt;&gt;"acoes")))*INDEX(Inputs!$K$5:$AJ$160,0,MATCH(F$2,Inputs!$K$4:$AJ$4,0)))+SUMPRODUCT((Inputs!$E$5:$E$160=$B15)*Inputs!$F$5:$F$160*(((Inputs!$G$5:$G$160="moeda")+(Inputs!$G$5:$G$160="acoes"))*Inputs!$B$1+((Inputs!$G$5:$G$160&lt;&gt;"moeda")*(Inputs!$G$5:$G$160&lt;&gt;"acoes")))*INDEX(Inputs!$K$5:$AJ$160,0,MATCH(F$2,Inputs!$K$4:$AJ$4,0)))))</f>
        <v>1028.20945984</v>
      </c>
      <c r="G15" s="6">
        <f>IF(ISNA(MATCH(G$2,Inputs!$K$4:$AJ$4,0)),NA(),IF(SUMPRODUCT((Inputs!$A$5:$A$160=$B15)*ISNUMBER(INDEX(Inputs!$K$5:$AJ$160,0,MATCH(G$2,Inputs!$K$4:$AJ$4,0))))+SUMPRODUCT((Inputs!$C$5:$C$160=$B15)*ISNUMBER(INDEX(Inputs!$K$5:$AJ$160,0,MATCH(G$2,Inputs!$K$4:$AJ$4,0))))+SUMPRODUCT((Inputs!$E$5:$E$160=$B15)*ISNUMBER(INDEX(Inputs!$K$5:$AJ$160,0,MATCH(G$2,Inputs!$K$4:$AJ$4,0))))=0,NA(),SUMPRODUCT((Inputs!$A$5:$A$160=$B15)*Inputs!$B$5:$B$160*(((Inputs!$G$5:$G$160="moeda")+(Inputs!$G$5:$G$160="acoes"))*Inputs!$B$1+((Inputs!$G$5:$G$160&lt;&gt;"moeda")*(Inputs!$G$5:$G$160&lt;&gt;"acoes")))*INDEX(Inputs!$K$5:$AJ$160,0,MATCH(G$2,Inputs!$K$4:$AJ$4,0)))+SUMPRODUCT((Inputs!$C$5:$C$160=$B15)*Inputs!$D$5:$D$160*(((Inputs!$G$5:$G$160="moeda")+(Inputs!$G$5:$G$160="acoes"))*Inputs!$B$1+((Inputs!$G$5:$G$160&lt;&gt;"moeda")*(Inputs!$G$5:$G$160&lt;&gt;"acoes")))*INDEX(Inputs!$K$5:$AJ$160,0,MATCH(G$2,Inputs!$K$4:$AJ$4,0)))+SUMPRODUCT((Inputs!$E$5:$E$160=$B15)*Inputs!$F$5:$F$160*(((Inputs!$G$5:$G$160="moeda")+(Inputs!$G$5:$G$160="acoes"))*Inputs!$B$1+((Inputs!$G$5:$G$160&lt;&gt;"moeda")*(Inputs!$G$5:$G$160&lt;&gt;"acoes")))*INDEX(Inputs!$K$5:$AJ$160,0,MATCH(G$2,Inputs!$K$4:$AJ$4,0)))))</f>
        <v>861.42660329</v>
      </c>
      <c r="H15" s="3">
        <f>G15</f>
        <v>861.42660329</v>
      </c>
      <c r="I15" s="6">
        <f>IF(ISNA(MATCH(I$2,Inputs!$K$4:$AJ$4,0)),NA(),IF(SUMPRODUCT((Inputs!$A$5:$A$160=$B15)*ISNUMBER(INDEX(Inputs!$K$5:$AJ$160,0,MATCH(I$2,Inputs!$K$4:$AJ$4,0))))+SUMPRODUCT((Inputs!$C$5:$C$160=$B15)*ISNUMBER(INDEX(Inputs!$K$5:$AJ$160,0,MATCH(I$2,Inputs!$K$4:$AJ$4,0))))+SUMPRODUCT((Inputs!$E$5:$E$160=$B15)*ISNUMBER(INDEX(Inputs!$K$5:$AJ$160,0,MATCH(I$2,Inputs!$K$4:$AJ$4,0))))=0,NA(),SUMPRODUCT((Inputs!$A$5:$A$160=$B15)*Inputs!$B$5:$B$160*(((Inputs!$G$5:$G$160="moeda")+(Inputs!$G$5:$G$160="acoes"))*Inputs!$B$1+((Inputs!$G$5:$G$160&lt;&gt;"moeda")*(Inputs!$G$5:$G$160&lt;&gt;"acoes")))*INDEX(Inputs!$K$5:$AJ$160,0,MATCH(I$2,Inputs!$K$4:$AJ$4,0)))+SUMPRODUCT((Inputs!$C$5:$C$160=$B15)*Inputs!$D$5:$D$160*(((Inputs!$G$5:$G$160="moeda")+(Inputs!$G$5:$G$160="acoes"))*Inputs!$B$1+((Inputs!$G$5:$G$160&lt;&gt;"moeda")*(Inputs!$G$5:$G$160&lt;&gt;"acoes")))*INDEX(Inputs!$K$5:$AJ$160,0,MATCH(I$2,Inputs!$K$4:$AJ$4,0)))+SUMPRODUCT((Inputs!$E$5:$E$160=$B15)*Inputs!$F$5:$F$160*(((Inputs!$G$5:$G$160="moeda")+(Inputs!$G$5:$G$160="acoes"))*Inputs!$B$1+((Inputs!$G$5:$G$160&lt;&gt;"moeda")*(Inputs!$G$5:$G$160&lt;&gt;"acoes")))*INDEX(Inputs!$K$5:$AJ$160,0,MATCH(I$2,Inputs!$K$4:$AJ$4,0)))))</f>
        <v>564.73251232</v>
      </c>
      <c r="J15" s="6">
        <f>IF(ISNA(MATCH(J$2,Inputs!$K$4:$AJ$4,0)),NA(),IF(SUMPRODUCT((Inputs!$A$5:$A$160=$B15)*ISNUMBER(INDEX(Inputs!$K$5:$AJ$160,0,MATCH(J$2,Inputs!$K$4:$AJ$4,0))))+SUMPRODUCT((Inputs!$C$5:$C$160=$B15)*ISNUMBER(INDEX(Inputs!$K$5:$AJ$160,0,MATCH(J$2,Inputs!$K$4:$AJ$4,0))))+SUMPRODUCT((Inputs!$E$5:$E$160=$B15)*ISNUMBER(INDEX(Inputs!$K$5:$AJ$160,0,MATCH(J$2,Inputs!$K$4:$AJ$4,0))))=0,NA(),SUMPRODUCT((Inputs!$A$5:$A$160=$B15)*Inputs!$B$5:$B$160*(((Inputs!$G$5:$G$160="moeda")+(Inputs!$G$5:$G$160="acoes"))*Inputs!$B$1+((Inputs!$G$5:$G$160&lt;&gt;"moeda")*(Inputs!$G$5:$G$160&lt;&gt;"acoes")))*INDEX(Inputs!$K$5:$AJ$160,0,MATCH(J$2,Inputs!$K$4:$AJ$4,0)))+SUMPRODUCT((Inputs!$C$5:$C$160=$B15)*Inputs!$D$5:$D$160*(((Inputs!$G$5:$G$160="moeda")+(Inputs!$G$5:$G$160="acoes"))*Inputs!$B$1+((Inputs!$G$5:$G$160&lt;&gt;"moeda")*(Inputs!$G$5:$G$160&lt;&gt;"acoes")))*INDEX(Inputs!$K$5:$AJ$160,0,MATCH(J$2,Inputs!$K$4:$AJ$4,0)))+SUMPRODUCT((Inputs!$E$5:$E$160=$B15)*Inputs!$F$5:$F$160*(((Inputs!$G$5:$G$160="moeda")+(Inputs!$G$5:$G$160="acoes"))*Inputs!$B$1+((Inputs!$G$5:$G$160&lt;&gt;"moeda")*(Inputs!$G$5:$G$160&lt;&gt;"acoes")))*INDEX(Inputs!$K$5:$AJ$160,0,MATCH(J$2,Inputs!$K$4:$AJ$4,0)))))</f>
        <v>779.92863828</v>
      </c>
      <c r="K15" s="6">
        <f>IF(ISNA(MATCH(K$2,Inputs!$K$4:$AJ$4,0)),NA(),IF(SUMPRODUCT((Inputs!$A$5:$A$160=$B15)*ISNUMBER(INDEX(Inputs!$K$5:$AJ$160,0,MATCH(K$2,Inputs!$K$4:$AJ$4,0))))+SUMPRODUCT((Inputs!$C$5:$C$160=$B15)*ISNUMBER(INDEX(Inputs!$K$5:$AJ$160,0,MATCH(K$2,Inputs!$K$4:$AJ$4,0))))+SUMPRODUCT((Inputs!$E$5:$E$160=$B15)*ISNUMBER(INDEX(Inputs!$K$5:$AJ$160,0,MATCH(K$2,Inputs!$K$4:$AJ$4,0))))=0,NA(),SUMPRODUCT((Inputs!$A$5:$A$160=$B15)*Inputs!$B$5:$B$160*(((Inputs!$G$5:$G$160="moeda")+(Inputs!$G$5:$G$160="acoes"))*Inputs!$B$1+((Inputs!$G$5:$G$160&lt;&gt;"moeda")*(Inputs!$G$5:$G$160&lt;&gt;"acoes")))*INDEX(Inputs!$K$5:$AJ$160,0,MATCH(K$2,Inputs!$K$4:$AJ$4,0)))+SUMPRODUCT((Inputs!$C$5:$C$160=$B15)*Inputs!$D$5:$D$160*(((Inputs!$G$5:$G$160="moeda")+(Inputs!$G$5:$G$160="acoes"))*Inputs!$B$1+((Inputs!$G$5:$G$160&lt;&gt;"moeda")*(Inputs!$G$5:$G$160&lt;&gt;"acoes")))*INDEX(Inputs!$K$5:$AJ$160,0,MATCH(K$2,Inputs!$K$4:$AJ$4,0)))+SUMPRODUCT((Inputs!$E$5:$E$160=$B15)*Inputs!$F$5:$F$160*(((Inputs!$G$5:$G$160="moeda")+(Inputs!$G$5:$G$160="acoes"))*Inputs!$B$1+((Inputs!$G$5:$G$160&lt;&gt;"moeda")*(Inputs!$G$5:$G$160&lt;&gt;"acoes")))*INDEX(Inputs!$K$5:$AJ$160,0,MATCH(K$2,Inputs!$K$4:$AJ$4,0)))))</f>
        <v>894.09475116</v>
      </c>
      <c r="L15" s="6">
        <f>IF(ISNA(MATCH(L$2,Inputs!$K$4:$AJ$4,0)),NA(),IF(SUMPRODUCT((Inputs!$A$5:$A$160=$B15)*ISNUMBER(INDEX(Inputs!$K$5:$AJ$160,0,MATCH(L$2,Inputs!$K$4:$AJ$4,0))))+SUMPRODUCT((Inputs!$C$5:$C$160=$B15)*ISNUMBER(INDEX(Inputs!$K$5:$AJ$160,0,MATCH(L$2,Inputs!$K$4:$AJ$4,0))))+SUMPRODUCT((Inputs!$E$5:$E$160=$B15)*ISNUMBER(INDEX(Inputs!$K$5:$AJ$160,0,MATCH(L$2,Inputs!$K$4:$AJ$4,0))))=0,NA(),SUMPRODUCT((Inputs!$A$5:$A$160=$B15)*Inputs!$B$5:$B$160*(((Inputs!$G$5:$G$160="moeda")+(Inputs!$G$5:$G$160="acoes"))*Inputs!$B$1+((Inputs!$G$5:$G$160&lt;&gt;"moeda")*(Inputs!$G$5:$G$160&lt;&gt;"acoes")))*INDEX(Inputs!$K$5:$AJ$160,0,MATCH(L$2,Inputs!$K$4:$AJ$4,0)))+SUMPRODUCT((Inputs!$C$5:$C$160=$B15)*Inputs!$D$5:$D$160*(((Inputs!$G$5:$G$160="moeda")+(Inputs!$G$5:$G$160="acoes"))*Inputs!$B$1+((Inputs!$G$5:$G$160&lt;&gt;"moeda")*(Inputs!$G$5:$G$160&lt;&gt;"acoes")))*INDEX(Inputs!$K$5:$AJ$160,0,MATCH(L$2,Inputs!$K$4:$AJ$4,0)))+SUMPRODUCT((Inputs!$E$5:$E$160=$B15)*Inputs!$F$5:$F$160*(((Inputs!$G$5:$G$160="moeda")+(Inputs!$G$5:$G$160="acoes"))*Inputs!$B$1+((Inputs!$G$5:$G$160&lt;&gt;"moeda")*(Inputs!$G$5:$G$160&lt;&gt;"acoes")))*INDEX(Inputs!$K$5:$AJ$160,0,MATCH(L$2,Inputs!$K$4:$AJ$4,0)))))</f>
        <v>1431.131409</v>
      </c>
      <c r="M15" s="3">
        <f>L15</f>
        <v>1431.131409</v>
      </c>
      <c r="N15" s="6">
        <f>IF(ISNA(MATCH(N$2,Inputs!$K$4:$AJ$4,0)),NA(),IF(SUMPRODUCT((Inputs!$A$5:$A$160=$B15)*ISNUMBER(INDEX(Inputs!$K$5:$AJ$160,0,MATCH(N$2,Inputs!$K$4:$AJ$4,0))))+SUMPRODUCT((Inputs!$C$5:$C$160=$B15)*ISNUMBER(INDEX(Inputs!$K$5:$AJ$160,0,MATCH(N$2,Inputs!$K$4:$AJ$4,0))))+SUMPRODUCT((Inputs!$E$5:$E$160=$B15)*ISNUMBER(INDEX(Inputs!$K$5:$AJ$160,0,MATCH(N$2,Inputs!$K$4:$AJ$4,0))))=0,NA(),SUMPRODUCT((Inputs!$A$5:$A$160=$B15)*Inputs!$B$5:$B$160*(((Inputs!$G$5:$G$160="moeda")+(Inputs!$G$5:$G$160="acoes"))*Inputs!$B$1+((Inputs!$G$5:$G$160&lt;&gt;"moeda")*(Inputs!$G$5:$G$160&lt;&gt;"acoes")))*INDEX(Inputs!$K$5:$AJ$160,0,MATCH(N$2,Inputs!$K$4:$AJ$4,0)))+SUMPRODUCT((Inputs!$C$5:$C$160=$B15)*Inputs!$D$5:$D$160*(((Inputs!$G$5:$G$160="moeda")+(Inputs!$G$5:$G$160="acoes"))*Inputs!$B$1+((Inputs!$G$5:$G$160&lt;&gt;"moeda")*(Inputs!$G$5:$G$160&lt;&gt;"acoes")))*INDEX(Inputs!$K$5:$AJ$160,0,MATCH(N$2,Inputs!$K$4:$AJ$4,0)))+SUMPRODUCT((Inputs!$E$5:$E$160=$B15)*Inputs!$F$5:$F$160*(((Inputs!$G$5:$G$160="moeda")+(Inputs!$G$5:$G$160="acoes"))*Inputs!$B$1+((Inputs!$G$5:$G$160&lt;&gt;"moeda")*(Inputs!$G$5:$G$160&lt;&gt;"acoes")))*INDEX(Inputs!$K$5:$AJ$160,0,MATCH(N$2,Inputs!$K$4:$AJ$4,0)))))</f>
        <v>1399.25993934</v>
      </c>
      <c r="O15" s="6">
        <f>IF(ISNA(MATCH(O$2,Inputs!$K$4:$AJ$4,0)),NA(),IF(SUMPRODUCT((Inputs!$A$5:$A$160=$B15)*ISNUMBER(INDEX(Inputs!$K$5:$AJ$160,0,MATCH(O$2,Inputs!$K$4:$AJ$4,0))))+SUMPRODUCT((Inputs!$C$5:$C$160=$B15)*ISNUMBER(INDEX(Inputs!$K$5:$AJ$160,0,MATCH(O$2,Inputs!$K$4:$AJ$4,0))))+SUMPRODUCT((Inputs!$E$5:$E$160=$B15)*ISNUMBER(INDEX(Inputs!$K$5:$AJ$160,0,MATCH(O$2,Inputs!$K$4:$AJ$4,0))))=0,NA(),SUMPRODUCT((Inputs!$A$5:$A$160=$B15)*Inputs!$B$5:$B$160*(((Inputs!$G$5:$G$160="moeda")+(Inputs!$G$5:$G$160="acoes"))*Inputs!$B$1+((Inputs!$G$5:$G$160&lt;&gt;"moeda")*(Inputs!$G$5:$G$160&lt;&gt;"acoes")))*INDEX(Inputs!$K$5:$AJ$160,0,MATCH(O$2,Inputs!$K$4:$AJ$4,0)))+SUMPRODUCT((Inputs!$C$5:$C$160=$B15)*Inputs!$D$5:$D$160*(((Inputs!$G$5:$G$160="moeda")+(Inputs!$G$5:$G$160="acoes"))*Inputs!$B$1+((Inputs!$G$5:$G$160&lt;&gt;"moeda")*(Inputs!$G$5:$G$160&lt;&gt;"acoes")))*INDEX(Inputs!$K$5:$AJ$160,0,MATCH(O$2,Inputs!$K$4:$AJ$4,0)))+SUMPRODUCT((Inputs!$E$5:$E$160=$B15)*Inputs!$F$5:$F$160*(((Inputs!$G$5:$G$160="moeda")+(Inputs!$G$5:$G$160="acoes"))*Inputs!$B$1+((Inputs!$G$5:$G$160&lt;&gt;"moeda")*(Inputs!$G$5:$G$160&lt;&gt;"acoes")))*INDEX(Inputs!$K$5:$AJ$160,0,MATCH(O$2,Inputs!$K$4:$AJ$4,0)))))</f>
        <v>1028.607</v>
      </c>
      <c r="P15" s="6">
        <f>IF(ISNA(MATCH(P$2,Inputs!$K$4:$AJ$4,0)),NA(),IF(SUMPRODUCT((Inputs!$A$5:$A$160=$B15)*ISNUMBER(INDEX(Inputs!$K$5:$AJ$160,0,MATCH(P$2,Inputs!$K$4:$AJ$4,0))))+SUMPRODUCT((Inputs!$C$5:$C$160=$B15)*ISNUMBER(INDEX(Inputs!$K$5:$AJ$160,0,MATCH(P$2,Inputs!$K$4:$AJ$4,0))))+SUMPRODUCT((Inputs!$E$5:$E$160=$B15)*ISNUMBER(INDEX(Inputs!$K$5:$AJ$160,0,MATCH(P$2,Inputs!$K$4:$AJ$4,0))))=0,NA(),SUMPRODUCT((Inputs!$A$5:$A$160=$B15)*Inputs!$B$5:$B$160*(((Inputs!$G$5:$G$160="moeda")+(Inputs!$G$5:$G$160="acoes"))*Inputs!$B$1+((Inputs!$G$5:$G$160&lt;&gt;"moeda")*(Inputs!$G$5:$G$160&lt;&gt;"acoes")))*INDEX(Inputs!$K$5:$AJ$160,0,MATCH(P$2,Inputs!$K$4:$AJ$4,0)))+SUMPRODUCT((Inputs!$C$5:$C$160=$B15)*Inputs!$D$5:$D$160*(((Inputs!$G$5:$G$160="moeda")+(Inputs!$G$5:$G$160="acoes"))*Inputs!$B$1+((Inputs!$G$5:$G$160&lt;&gt;"moeda")*(Inputs!$G$5:$G$160&lt;&gt;"acoes")))*INDEX(Inputs!$K$5:$AJ$160,0,MATCH(P$2,Inputs!$K$4:$AJ$4,0)))+SUMPRODUCT((Inputs!$E$5:$E$160=$B15)*Inputs!$F$5:$F$160*(((Inputs!$G$5:$G$160="moeda")+(Inputs!$G$5:$G$160="acoes"))*Inputs!$B$1+((Inputs!$G$5:$G$160&lt;&gt;"moeda")*(Inputs!$G$5:$G$160&lt;&gt;"acoes")))*INDEX(Inputs!$K$5:$AJ$160,0,MATCH(P$2,Inputs!$K$4:$AJ$4,0)))))</f>
        <v>1098.312</v>
      </c>
      <c r="Q15" s="6">
        <f>IF(ISNA(MATCH(Q$2,Inputs!$K$4:$AJ$4,0)),NA(),IF(SUMPRODUCT((Inputs!$A$5:$A$160=$B15)*ISNUMBER(INDEX(Inputs!$K$5:$AJ$160,0,MATCH(Q$2,Inputs!$K$4:$AJ$4,0))))+SUMPRODUCT((Inputs!$C$5:$C$160=$B15)*ISNUMBER(INDEX(Inputs!$K$5:$AJ$160,0,MATCH(Q$2,Inputs!$K$4:$AJ$4,0))))+SUMPRODUCT((Inputs!$E$5:$E$160=$B15)*ISNUMBER(INDEX(Inputs!$K$5:$AJ$160,0,MATCH(Q$2,Inputs!$K$4:$AJ$4,0))))=0,NA(),SUMPRODUCT((Inputs!$A$5:$A$160=$B15)*Inputs!$B$5:$B$160*(((Inputs!$G$5:$G$160="moeda")+(Inputs!$G$5:$G$160="acoes"))*Inputs!$B$1+((Inputs!$G$5:$G$160&lt;&gt;"moeda")*(Inputs!$G$5:$G$160&lt;&gt;"acoes")))*INDEX(Inputs!$K$5:$AJ$160,0,MATCH(Q$2,Inputs!$K$4:$AJ$4,0)))+SUMPRODUCT((Inputs!$C$5:$C$160=$B15)*Inputs!$D$5:$D$160*(((Inputs!$G$5:$G$160="moeda")+(Inputs!$G$5:$G$160="acoes"))*Inputs!$B$1+((Inputs!$G$5:$G$160&lt;&gt;"moeda")*(Inputs!$G$5:$G$160&lt;&gt;"acoes")))*INDEX(Inputs!$K$5:$AJ$160,0,MATCH(Q$2,Inputs!$K$4:$AJ$4,0)))+SUMPRODUCT((Inputs!$E$5:$E$160=$B15)*Inputs!$F$5:$F$160*(((Inputs!$G$5:$G$160="moeda")+(Inputs!$G$5:$G$160="acoes"))*Inputs!$B$1+((Inputs!$G$5:$G$160&lt;&gt;"moeda")*(Inputs!$G$5:$G$160&lt;&gt;"acoes")))*INDEX(Inputs!$K$5:$AJ$160,0,MATCH(Q$2,Inputs!$K$4:$AJ$4,0)))))</f>
        <v>1057.615</v>
      </c>
      <c r="R15" s="3">
        <f>Q15</f>
        <v>1057.615</v>
      </c>
      <c r="S15" s="6">
        <f>IF(ISNA(MATCH(S$2,Inputs!$K$4:$AJ$4,0)),NA(),IF(SUMPRODUCT((Inputs!$A$5:$A$160=$B15)*ISNUMBER(INDEX(Inputs!$K$5:$AJ$160,0,MATCH(S$2,Inputs!$K$4:$AJ$4,0))))+SUMPRODUCT((Inputs!$C$5:$C$160=$B15)*ISNUMBER(INDEX(Inputs!$K$5:$AJ$160,0,MATCH(S$2,Inputs!$K$4:$AJ$4,0))))+SUMPRODUCT((Inputs!$E$5:$E$160=$B15)*ISNUMBER(INDEX(Inputs!$K$5:$AJ$160,0,MATCH(S$2,Inputs!$K$4:$AJ$4,0))))=0,NA(),SUMPRODUCT((Inputs!$A$5:$A$160=$B15)*Inputs!$B$5:$B$160*(((Inputs!$G$5:$G$160="moeda")+(Inputs!$G$5:$G$160="acoes"))*Inputs!$B$1+((Inputs!$G$5:$G$160&lt;&gt;"moeda")*(Inputs!$G$5:$G$160&lt;&gt;"acoes")))*INDEX(Inputs!$K$5:$AJ$160,0,MATCH(S$2,Inputs!$K$4:$AJ$4,0)))+SUMPRODUCT((Inputs!$C$5:$C$160=$B15)*Inputs!$D$5:$D$160*(((Inputs!$G$5:$G$160="moeda")+(Inputs!$G$5:$G$160="acoes"))*Inputs!$B$1+((Inputs!$G$5:$G$160&lt;&gt;"moeda")*(Inputs!$G$5:$G$160&lt;&gt;"acoes")))*INDEX(Inputs!$K$5:$AJ$160,0,MATCH(S$2,Inputs!$K$4:$AJ$4,0)))+SUMPRODUCT((Inputs!$E$5:$E$160=$B15)*Inputs!$F$5:$F$160*(((Inputs!$G$5:$G$160="moeda")+(Inputs!$G$5:$G$160="acoes"))*Inputs!$B$1+((Inputs!$G$5:$G$160&lt;&gt;"moeda")*(Inputs!$G$5:$G$160&lt;&gt;"acoes")))*INDEX(Inputs!$K$5:$AJ$160,0,MATCH(S$2,Inputs!$K$4:$AJ$4,0)))))</f>
        <v>1026.176</v>
      </c>
      <c r="T15" s="6">
        <f>IF(ISNA(MATCH(T$2,Inputs!$K$4:$AJ$4,0)),NA(),IF(SUMPRODUCT((Inputs!$A$5:$A$160=$B15)*ISNUMBER(INDEX(Inputs!$K$5:$AJ$160,0,MATCH(T$2,Inputs!$K$4:$AJ$4,0))))+SUMPRODUCT((Inputs!$C$5:$C$160=$B15)*ISNUMBER(INDEX(Inputs!$K$5:$AJ$160,0,MATCH(T$2,Inputs!$K$4:$AJ$4,0))))+SUMPRODUCT((Inputs!$E$5:$E$160=$B15)*ISNUMBER(INDEX(Inputs!$K$5:$AJ$160,0,MATCH(T$2,Inputs!$K$4:$AJ$4,0))))=0,NA(),SUMPRODUCT((Inputs!$A$5:$A$160=$B15)*Inputs!$B$5:$B$160*(((Inputs!$G$5:$G$160="moeda")+(Inputs!$G$5:$G$160="acoes"))*Inputs!$B$1+((Inputs!$G$5:$G$160&lt;&gt;"moeda")*(Inputs!$G$5:$G$160&lt;&gt;"acoes")))*INDEX(Inputs!$K$5:$AJ$160,0,MATCH(T$2,Inputs!$K$4:$AJ$4,0)))+SUMPRODUCT((Inputs!$C$5:$C$160=$B15)*Inputs!$D$5:$D$160*(((Inputs!$G$5:$G$160="moeda")+(Inputs!$G$5:$G$160="acoes"))*Inputs!$B$1+((Inputs!$G$5:$G$160&lt;&gt;"moeda")*(Inputs!$G$5:$G$160&lt;&gt;"acoes")))*INDEX(Inputs!$K$5:$AJ$160,0,MATCH(T$2,Inputs!$K$4:$AJ$4,0)))+SUMPRODUCT((Inputs!$E$5:$E$160=$B15)*Inputs!$F$5:$F$160*(((Inputs!$G$5:$G$160="moeda")+(Inputs!$G$5:$G$160="acoes"))*Inputs!$B$1+((Inputs!$G$5:$G$160&lt;&gt;"moeda")*(Inputs!$G$5:$G$160&lt;&gt;"acoes")))*INDEX(Inputs!$K$5:$AJ$160,0,MATCH(T$2,Inputs!$K$4:$AJ$4,0)))))</f>
        <v>2126.948</v>
      </c>
      <c r="U15" s="6">
        <f>IF(ISNA(MATCH(U$2,Inputs!$K$4:$AJ$4,0)),NA(),IF(SUMPRODUCT((Inputs!$A$5:$A$160=$B15)*ISNUMBER(INDEX(Inputs!$K$5:$AJ$160,0,MATCH(U$2,Inputs!$K$4:$AJ$4,0))))+SUMPRODUCT((Inputs!$C$5:$C$160=$B15)*ISNUMBER(INDEX(Inputs!$K$5:$AJ$160,0,MATCH(U$2,Inputs!$K$4:$AJ$4,0))))+SUMPRODUCT((Inputs!$E$5:$E$160=$B15)*ISNUMBER(INDEX(Inputs!$K$5:$AJ$160,0,MATCH(U$2,Inputs!$K$4:$AJ$4,0))))=0,NA(),SUMPRODUCT((Inputs!$A$5:$A$160=$B15)*Inputs!$B$5:$B$160*(((Inputs!$G$5:$G$160="moeda")+(Inputs!$G$5:$G$160="acoes"))*Inputs!$B$1+((Inputs!$G$5:$G$160&lt;&gt;"moeda")*(Inputs!$G$5:$G$160&lt;&gt;"acoes")))*INDEX(Inputs!$K$5:$AJ$160,0,MATCH(U$2,Inputs!$K$4:$AJ$4,0)))+SUMPRODUCT((Inputs!$C$5:$C$160=$B15)*Inputs!$D$5:$D$160*(((Inputs!$G$5:$G$160="moeda")+(Inputs!$G$5:$G$160="acoes"))*Inputs!$B$1+((Inputs!$G$5:$G$160&lt;&gt;"moeda")*(Inputs!$G$5:$G$160&lt;&gt;"acoes")))*INDEX(Inputs!$K$5:$AJ$160,0,MATCH(U$2,Inputs!$K$4:$AJ$4,0)))+SUMPRODUCT((Inputs!$E$5:$E$160=$B15)*Inputs!$F$5:$F$160*(((Inputs!$G$5:$G$160="moeda")+(Inputs!$G$5:$G$160="acoes"))*Inputs!$B$1+((Inputs!$G$5:$G$160&lt;&gt;"moeda")*(Inputs!$G$5:$G$160&lt;&gt;"acoes")))*INDEX(Inputs!$K$5:$AJ$160,0,MATCH(U$2,Inputs!$K$4:$AJ$4,0)))))</f>
        <v>2337.434</v>
      </c>
      <c r="V15" s="6">
        <f>IF(ISNA(MATCH(V$2,Inputs!$K$4:$AJ$4,0)),NA(),IF(SUMPRODUCT((Inputs!$A$5:$A$160=$B15)*ISNUMBER(INDEX(Inputs!$K$5:$AJ$160,0,MATCH(V$2,Inputs!$K$4:$AJ$4,0))))+SUMPRODUCT((Inputs!$C$5:$C$160=$B15)*ISNUMBER(INDEX(Inputs!$K$5:$AJ$160,0,MATCH(V$2,Inputs!$K$4:$AJ$4,0))))+SUMPRODUCT((Inputs!$E$5:$E$160=$B15)*ISNUMBER(INDEX(Inputs!$K$5:$AJ$160,0,MATCH(V$2,Inputs!$K$4:$AJ$4,0))))=0,NA(),SUMPRODUCT((Inputs!$A$5:$A$160=$B15)*Inputs!$B$5:$B$160*(((Inputs!$G$5:$G$160="moeda")+(Inputs!$G$5:$G$160="acoes"))*Inputs!$B$1+((Inputs!$G$5:$G$160&lt;&gt;"moeda")*(Inputs!$G$5:$G$160&lt;&gt;"acoes")))*INDEX(Inputs!$K$5:$AJ$160,0,MATCH(V$2,Inputs!$K$4:$AJ$4,0)))+SUMPRODUCT((Inputs!$C$5:$C$160=$B15)*Inputs!$D$5:$D$160*(((Inputs!$G$5:$G$160="moeda")+(Inputs!$G$5:$G$160="acoes"))*Inputs!$B$1+((Inputs!$G$5:$G$160&lt;&gt;"moeda")*(Inputs!$G$5:$G$160&lt;&gt;"acoes")))*INDEX(Inputs!$K$5:$AJ$160,0,MATCH(V$2,Inputs!$K$4:$AJ$4,0)))+SUMPRODUCT((Inputs!$E$5:$E$160=$B15)*Inputs!$F$5:$F$160*(((Inputs!$G$5:$G$160="moeda")+(Inputs!$G$5:$G$160="acoes"))*Inputs!$B$1+((Inputs!$G$5:$G$160&lt;&gt;"moeda")*(Inputs!$G$5:$G$160&lt;&gt;"acoes")))*INDEX(Inputs!$K$5:$AJ$160,0,MATCH(V$2,Inputs!$K$4:$AJ$4,0)))))</f>
        <v>2445.961</v>
      </c>
      <c r="W15" s="3">
        <f>V15</f>
        <v>2445.961</v>
      </c>
      <c r="X15" s="6">
        <f>IF(ISNA(MATCH(X$2,Inputs!$K$4:$AJ$4,0)),NA(),IF(SUMPRODUCT((Inputs!$A$5:$A$160=$B15)*ISNUMBER(INDEX(Inputs!$K$5:$AJ$160,0,MATCH(X$2,Inputs!$K$4:$AJ$4,0))))+SUMPRODUCT((Inputs!$C$5:$C$160=$B15)*ISNUMBER(INDEX(Inputs!$K$5:$AJ$160,0,MATCH(X$2,Inputs!$K$4:$AJ$4,0))))+SUMPRODUCT((Inputs!$E$5:$E$160=$B15)*ISNUMBER(INDEX(Inputs!$K$5:$AJ$160,0,MATCH(X$2,Inputs!$K$4:$AJ$4,0))))=0,NA(),SUMPRODUCT((Inputs!$A$5:$A$160=$B15)*Inputs!$B$5:$B$160*(((Inputs!$G$5:$G$160="moeda")+(Inputs!$G$5:$G$160="acoes"))*Inputs!$B$1+((Inputs!$G$5:$G$160&lt;&gt;"moeda")*(Inputs!$G$5:$G$160&lt;&gt;"acoes")))*INDEX(Inputs!$K$5:$AJ$160,0,MATCH(X$2,Inputs!$K$4:$AJ$4,0)))+SUMPRODUCT((Inputs!$C$5:$C$160=$B15)*Inputs!$D$5:$D$160*(((Inputs!$G$5:$G$160="moeda")+(Inputs!$G$5:$G$160="acoes"))*Inputs!$B$1+((Inputs!$G$5:$G$160&lt;&gt;"moeda")*(Inputs!$G$5:$G$160&lt;&gt;"acoes")))*INDEX(Inputs!$K$5:$AJ$160,0,MATCH(X$2,Inputs!$K$4:$AJ$4,0)))+SUMPRODUCT((Inputs!$E$5:$E$160=$B15)*Inputs!$F$5:$F$160*(((Inputs!$G$5:$G$160="moeda")+(Inputs!$G$5:$G$160="acoes"))*Inputs!$B$1+((Inputs!$G$5:$G$160&lt;&gt;"moeda")*(Inputs!$G$5:$G$160&lt;&gt;"acoes")))*INDEX(Inputs!$K$5:$AJ$160,0,MATCH(X$2,Inputs!$K$4:$AJ$4,0)))))</f>
        <v>2545.291089</v>
      </c>
      <c r="Y15" s="6">
        <f>IF(ISNA(MATCH(Y$2,Inputs!$K$4:$AJ$4,0)),NA(),IF(SUMPRODUCT((Inputs!$A$5:$A$160=$B15)*ISNUMBER(INDEX(Inputs!$K$5:$AJ$160,0,MATCH(Y$2,Inputs!$K$4:$AJ$4,0))))+SUMPRODUCT((Inputs!$C$5:$C$160=$B15)*ISNUMBER(INDEX(Inputs!$K$5:$AJ$160,0,MATCH(Y$2,Inputs!$K$4:$AJ$4,0))))+SUMPRODUCT((Inputs!$E$5:$E$160=$B15)*ISNUMBER(INDEX(Inputs!$K$5:$AJ$160,0,MATCH(Y$2,Inputs!$K$4:$AJ$4,0))))=0,NA(),SUMPRODUCT((Inputs!$A$5:$A$160=$B15)*Inputs!$B$5:$B$160*(((Inputs!$G$5:$G$160="moeda")+(Inputs!$G$5:$G$160="acoes"))*Inputs!$B$1+((Inputs!$G$5:$G$160&lt;&gt;"moeda")*(Inputs!$G$5:$G$160&lt;&gt;"acoes")))*INDEX(Inputs!$K$5:$AJ$160,0,MATCH(Y$2,Inputs!$K$4:$AJ$4,0)))+SUMPRODUCT((Inputs!$C$5:$C$160=$B15)*Inputs!$D$5:$D$160*(((Inputs!$G$5:$G$160="moeda")+(Inputs!$G$5:$G$160="acoes"))*Inputs!$B$1+((Inputs!$G$5:$G$160&lt;&gt;"moeda")*(Inputs!$G$5:$G$160&lt;&gt;"acoes")))*INDEX(Inputs!$K$5:$AJ$160,0,MATCH(Y$2,Inputs!$K$4:$AJ$4,0)))+SUMPRODUCT((Inputs!$E$5:$E$160=$B15)*Inputs!$F$5:$F$160*(((Inputs!$G$5:$G$160="moeda")+(Inputs!$G$5:$G$160="acoes"))*Inputs!$B$1+((Inputs!$G$5:$G$160&lt;&gt;"moeda")*(Inputs!$G$5:$G$160&lt;&gt;"acoes")))*INDEX(Inputs!$K$5:$AJ$160,0,MATCH(Y$2,Inputs!$K$4:$AJ$4,0)))))</f>
        <v>2190.792</v>
      </c>
      <c r="Z15" s="6">
        <f>IF(ISNA(MATCH(Z$2,Inputs!$K$4:$AJ$4,0)),NA(),IF(SUMPRODUCT((Inputs!$A$5:$A$160=$B15)*ISNUMBER(INDEX(Inputs!$K$5:$AJ$160,0,MATCH(Z$2,Inputs!$K$4:$AJ$4,0))))+SUMPRODUCT((Inputs!$C$5:$C$160=$B15)*ISNUMBER(INDEX(Inputs!$K$5:$AJ$160,0,MATCH(Z$2,Inputs!$K$4:$AJ$4,0))))+SUMPRODUCT((Inputs!$E$5:$E$160=$B15)*ISNUMBER(INDEX(Inputs!$K$5:$AJ$160,0,MATCH(Z$2,Inputs!$K$4:$AJ$4,0))))=0,NA(),SUMPRODUCT((Inputs!$A$5:$A$160=$B15)*Inputs!$B$5:$B$160*(((Inputs!$G$5:$G$160="moeda")+(Inputs!$G$5:$G$160="acoes"))*Inputs!$B$1+((Inputs!$G$5:$G$160&lt;&gt;"moeda")*(Inputs!$G$5:$G$160&lt;&gt;"acoes")))*INDEX(Inputs!$K$5:$AJ$160,0,MATCH(Z$2,Inputs!$K$4:$AJ$4,0)))+SUMPRODUCT((Inputs!$C$5:$C$160=$B15)*Inputs!$D$5:$D$160*(((Inputs!$G$5:$G$160="moeda")+(Inputs!$G$5:$G$160="acoes"))*Inputs!$B$1+((Inputs!$G$5:$G$160&lt;&gt;"moeda")*(Inputs!$G$5:$G$160&lt;&gt;"acoes")))*INDEX(Inputs!$K$5:$AJ$160,0,MATCH(Z$2,Inputs!$K$4:$AJ$4,0)))+SUMPRODUCT((Inputs!$E$5:$E$160=$B15)*Inputs!$F$5:$F$160*(((Inputs!$G$5:$G$160="moeda")+(Inputs!$G$5:$G$160="acoes"))*Inputs!$B$1+((Inputs!$G$5:$G$160&lt;&gt;"moeda")*(Inputs!$G$5:$G$160&lt;&gt;"acoes")))*INDEX(Inputs!$K$5:$AJ$160,0,MATCH(Z$2,Inputs!$K$4:$AJ$4,0)))))</f>
        <v>2622.425</v>
      </c>
      <c r="AA15" s="6">
        <f>IF(ISNA(MATCH(AA$2,Inputs!$K$4:$AJ$4,0)),NA(),IF(SUMPRODUCT((Inputs!$A$5:$A$160=$B15)*ISNUMBER(INDEX(Inputs!$K$5:$AJ$160,0,MATCH(AA$2,Inputs!$K$4:$AJ$4,0))))+SUMPRODUCT((Inputs!$C$5:$C$160=$B15)*ISNUMBER(INDEX(Inputs!$K$5:$AJ$160,0,MATCH(AA$2,Inputs!$K$4:$AJ$4,0))))+SUMPRODUCT((Inputs!$E$5:$E$160=$B15)*ISNUMBER(INDEX(Inputs!$K$5:$AJ$160,0,MATCH(AA$2,Inputs!$K$4:$AJ$4,0))))=0,NA(),SUMPRODUCT((Inputs!$A$5:$A$160=$B15)*Inputs!$B$5:$B$160*(((Inputs!$G$5:$G$160="moeda")+(Inputs!$G$5:$G$160="acoes"))*Inputs!$B$1+((Inputs!$G$5:$G$160&lt;&gt;"moeda")*(Inputs!$G$5:$G$160&lt;&gt;"acoes")))*INDEX(Inputs!$K$5:$AJ$160,0,MATCH(AA$2,Inputs!$K$4:$AJ$4,0)))+SUMPRODUCT((Inputs!$C$5:$C$160=$B15)*Inputs!$D$5:$D$160*(((Inputs!$G$5:$G$160="moeda")+(Inputs!$G$5:$G$160="acoes"))*Inputs!$B$1+((Inputs!$G$5:$G$160&lt;&gt;"moeda")*(Inputs!$G$5:$G$160&lt;&gt;"acoes")))*INDEX(Inputs!$K$5:$AJ$160,0,MATCH(AA$2,Inputs!$K$4:$AJ$4,0)))+SUMPRODUCT((Inputs!$E$5:$E$160=$B15)*Inputs!$F$5:$F$160*(((Inputs!$G$5:$G$160="moeda")+(Inputs!$G$5:$G$160="acoes"))*Inputs!$B$1+((Inputs!$G$5:$G$160&lt;&gt;"moeda")*(Inputs!$G$5:$G$160&lt;&gt;"acoes")))*INDEX(Inputs!$K$5:$AJ$160,0,MATCH(AA$2,Inputs!$K$4:$AJ$4,0)))))</f>
        <v>2275.013</v>
      </c>
      <c r="AB15" s="3">
        <f>AA15</f>
        <v>2275.013</v>
      </c>
      <c r="AC15" s="6">
        <f>IF(ISNA(MATCH(AC$2,Inputs!$K$4:$AJ$4,0)),NA(),IF(SUMPRODUCT((Inputs!$A$5:$A$160=$B15)*ISNUMBER(INDEX(Inputs!$K$5:$AJ$160,0,MATCH(AC$2,Inputs!$K$4:$AJ$4,0))))+SUMPRODUCT((Inputs!$C$5:$C$160=$B15)*ISNUMBER(INDEX(Inputs!$K$5:$AJ$160,0,MATCH(AC$2,Inputs!$K$4:$AJ$4,0))))+SUMPRODUCT((Inputs!$E$5:$E$160=$B15)*ISNUMBER(INDEX(Inputs!$K$5:$AJ$160,0,MATCH(AC$2,Inputs!$K$4:$AJ$4,0))))=0,NA(),SUMPRODUCT((Inputs!$A$5:$A$160=$B15)*Inputs!$B$5:$B$160*(((Inputs!$G$5:$G$160="moeda")+(Inputs!$G$5:$G$160="acoes"))*Inputs!$B$1+((Inputs!$G$5:$G$160&lt;&gt;"moeda")*(Inputs!$G$5:$G$160&lt;&gt;"acoes")))*INDEX(Inputs!$K$5:$AJ$160,0,MATCH(AC$2,Inputs!$K$4:$AJ$4,0)))+SUMPRODUCT((Inputs!$C$5:$C$160=$B15)*Inputs!$D$5:$D$160*(((Inputs!$G$5:$G$160="moeda")+(Inputs!$G$5:$G$160="acoes"))*Inputs!$B$1+((Inputs!$G$5:$G$160&lt;&gt;"moeda")*(Inputs!$G$5:$G$160&lt;&gt;"acoes")))*INDEX(Inputs!$K$5:$AJ$160,0,MATCH(AC$2,Inputs!$K$4:$AJ$4,0)))+SUMPRODUCT((Inputs!$E$5:$E$160=$B15)*Inputs!$F$5:$F$160*(((Inputs!$G$5:$G$160="moeda")+(Inputs!$G$5:$G$160="acoes"))*Inputs!$B$1+((Inputs!$G$5:$G$160&lt;&gt;"moeda")*(Inputs!$G$5:$G$160&lt;&gt;"acoes")))*INDEX(Inputs!$K$5:$AJ$160,0,MATCH(AC$2,Inputs!$K$4:$AJ$4,0)))))</f>
        <v>2266.553</v>
      </c>
      <c r="AD15" s="6">
        <f>IF(ISNA(MATCH(AD$2,Inputs!$K$4:$AJ$4,0)),NA(),IF(SUMPRODUCT((Inputs!$A$5:$A$160=$B15)*ISNUMBER(INDEX(Inputs!$K$5:$AJ$160,0,MATCH(AD$2,Inputs!$K$4:$AJ$4,0))))+SUMPRODUCT((Inputs!$C$5:$C$160=$B15)*ISNUMBER(INDEX(Inputs!$K$5:$AJ$160,0,MATCH(AD$2,Inputs!$K$4:$AJ$4,0))))+SUMPRODUCT((Inputs!$E$5:$E$160=$B15)*ISNUMBER(INDEX(Inputs!$K$5:$AJ$160,0,MATCH(AD$2,Inputs!$K$4:$AJ$4,0))))=0,NA(),SUMPRODUCT((Inputs!$A$5:$A$160=$B15)*Inputs!$B$5:$B$160*(((Inputs!$G$5:$G$160="moeda")+(Inputs!$G$5:$G$160="acoes"))*Inputs!$B$1+((Inputs!$G$5:$G$160&lt;&gt;"moeda")*(Inputs!$G$5:$G$160&lt;&gt;"acoes")))*INDEX(Inputs!$K$5:$AJ$160,0,MATCH(AD$2,Inputs!$K$4:$AJ$4,0)))+SUMPRODUCT((Inputs!$C$5:$C$160=$B15)*Inputs!$D$5:$D$160*(((Inputs!$G$5:$G$160="moeda")+(Inputs!$G$5:$G$160="acoes"))*Inputs!$B$1+((Inputs!$G$5:$G$160&lt;&gt;"moeda")*(Inputs!$G$5:$G$160&lt;&gt;"acoes")))*INDEX(Inputs!$K$5:$AJ$160,0,MATCH(AD$2,Inputs!$K$4:$AJ$4,0)))+SUMPRODUCT((Inputs!$E$5:$E$160=$B15)*Inputs!$F$5:$F$160*(((Inputs!$G$5:$G$160="moeda")+(Inputs!$G$5:$G$160="acoes"))*Inputs!$B$1+((Inputs!$G$5:$G$160&lt;&gt;"moeda")*(Inputs!$G$5:$G$160&lt;&gt;"acoes")))*INDEX(Inputs!$K$5:$AJ$160,0,MATCH(AD$2,Inputs!$K$4:$AJ$4,0)))))</f>
        <v>2037.673</v>
      </c>
      <c r="AE15" s="6" t="e">
        <f>IF(ISNA(MATCH(AE$2,Inputs!$K$4:$AJ$4,0)),NA(),IF(SUMPRODUCT((Inputs!$A$5:$A$160=$B15)*ISNUMBER(INDEX(Inputs!$K$5:$AJ$160,0,MATCH(AE$2,Inputs!$K$4:$AJ$4,0))))+SUMPRODUCT((Inputs!$C$5:$C$160=$B15)*ISNUMBER(INDEX(Inputs!$K$5:$AJ$160,0,MATCH(AE$2,Inputs!$K$4:$AJ$4,0))))+SUMPRODUCT((Inputs!$E$5:$E$160=$B15)*ISNUMBER(INDEX(Inputs!$K$5:$AJ$160,0,MATCH(AE$2,Inputs!$K$4:$AJ$4,0))))=0,NA(),SUMPRODUCT((Inputs!$A$5:$A$160=$B15)*Inputs!$B$5:$B$160*(((Inputs!$G$5:$G$160="moeda")+(Inputs!$G$5:$G$160="acoes"))*Inputs!$B$1+((Inputs!$G$5:$G$160&lt;&gt;"moeda")*(Inputs!$G$5:$G$160&lt;&gt;"acoes")))*INDEX(Inputs!$K$5:$AJ$160,0,MATCH(AE$2,Inputs!$K$4:$AJ$4,0)))+SUMPRODUCT((Inputs!$C$5:$C$160=$B15)*Inputs!$D$5:$D$160*(((Inputs!$G$5:$G$160="moeda")+(Inputs!$G$5:$G$160="acoes"))*Inputs!$B$1+((Inputs!$G$5:$G$160&lt;&gt;"moeda")*(Inputs!$G$5:$G$160&lt;&gt;"acoes")))*INDEX(Inputs!$K$5:$AJ$160,0,MATCH(AE$2,Inputs!$K$4:$AJ$4,0)))+SUMPRODUCT((Inputs!$E$5:$E$160=$B15)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5" s="6" t="e">
        <f>IF(ISNA(MATCH(AF$2,Inputs!$K$4:$AJ$4,0)),NA(),IF(SUMPRODUCT((Inputs!$A$5:$A$160=$B15)*ISNUMBER(INDEX(Inputs!$K$5:$AJ$160,0,MATCH(AF$2,Inputs!$K$4:$AJ$4,0))))+SUMPRODUCT((Inputs!$C$5:$C$160=$B15)*ISNUMBER(INDEX(Inputs!$K$5:$AJ$160,0,MATCH(AF$2,Inputs!$K$4:$AJ$4,0))))+SUMPRODUCT((Inputs!$E$5:$E$160=$B15)*ISNUMBER(INDEX(Inputs!$K$5:$AJ$160,0,MATCH(AF$2,Inputs!$K$4:$AJ$4,0))))=0,NA(),SUMPRODUCT((Inputs!$A$5:$A$160=$B15)*Inputs!$B$5:$B$160*(((Inputs!$G$5:$G$160="moeda")+(Inputs!$G$5:$G$160="acoes"))*Inputs!$B$1+((Inputs!$G$5:$G$160&lt;&gt;"moeda")*(Inputs!$G$5:$G$160&lt;&gt;"acoes")))*INDEX(Inputs!$K$5:$AJ$160,0,MATCH(AF$2,Inputs!$K$4:$AJ$4,0)))+SUMPRODUCT((Inputs!$C$5:$C$160=$B15)*Inputs!$D$5:$D$160*(((Inputs!$G$5:$G$160="moeda")+(Inputs!$G$5:$G$160="acoes"))*Inputs!$B$1+((Inputs!$G$5:$G$160&lt;&gt;"moeda")*(Inputs!$G$5:$G$160&lt;&gt;"acoes")))*INDEX(Inputs!$K$5:$AJ$160,0,MATCH(AF$2,Inputs!$K$4:$AJ$4,0)))+SUMPRODUCT((Inputs!$E$5:$E$160=$B15)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5" s="3" t="e">
        <f>AF15</f>
        <v>#N/A</v>
      </c>
      <c r="AH15" s="6">
        <f>IF(ISNA(MATCH(AH$2,Inputs!$K$4:$AJ$4,0)),NA(),IF(SUMPRODUCT((Inputs!$A$5:$A$160=$B15)*ISNUMBER(INDEX(Inputs!$K$5:$AJ$160,0,MATCH(AH$2,Inputs!$K$4:$AJ$4,0))))+SUMPRODUCT((Inputs!$C$5:$C$160=$B15)*ISNUMBER(INDEX(Inputs!$K$5:$AJ$160,0,MATCH(AH$2,Inputs!$K$4:$AJ$4,0))))+SUMPRODUCT((Inputs!$E$5:$E$160=$B15)*ISNUMBER(INDEX(Inputs!$K$5:$AJ$160,0,MATCH(AH$2,Inputs!$K$4:$AJ$4,0))))=0,NA(),SUMPRODUCT((Inputs!$A$5:$A$160=$B15)*Inputs!$B$5:$B$160*(((Inputs!$G$5:$G$160="moeda")+(Inputs!$G$5:$G$160="acoes"))*Inputs!$B$1+((Inputs!$G$5:$G$160&lt;&gt;"moeda")*(Inputs!$G$5:$G$160&lt;&gt;"acoes")))*INDEX(Inputs!$K$5:$AJ$160,0,MATCH(AH$2,Inputs!$K$4:$AJ$4,0)))+SUMPRODUCT((Inputs!$C$5:$C$160=$B15)*Inputs!$D$5:$D$160*(((Inputs!$G$5:$G$160="moeda")+(Inputs!$G$5:$G$160="acoes"))*Inputs!$B$1+((Inputs!$G$5:$G$160&lt;&gt;"moeda")*(Inputs!$G$5:$G$160&lt;&gt;"acoes")))*INDEX(Inputs!$K$5:$AJ$160,0,MATCH(AH$2,Inputs!$K$4:$AJ$4,0)))+SUMPRODUCT((Inputs!$E$5:$E$160=$B15)*Inputs!$F$5:$F$160*(((Inputs!$G$5:$G$160="moeda")+(Inputs!$G$5:$G$160="acoes"))*Inputs!$B$1+((Inputs!$G$5:$G$160&lt;&gt;"moeda")*(Inputs!$G$5:$G$160&lt;&gt;"acoes")))*INDEX(Inputs!$K$5:$AJ$160,0,MATCH(AH$2,Inputs!$K$4:$AJ$4,0)))))</f>
        <v>803.57634139</v>
      </c>
      <c r="AI15" s="6">
        <f>IF(ISNA(MATCH(AI$2,Inputs!$K$4:$AJ$4,0)),NA(),IF(SUMPRODUCT((Inputs!$A$5:$A$160=$B15)*ISNUMBER(INDEX(Inputs!$K$5:$AJ$160,0,MATCH(AI$2,Inputs!$K$4:$AJ$4,0))))+SUMPRODUCT((Inputs!$C$5:$C$160=$B15)*ISNUMBER(INDEX(Inputs!$K$5:$AJ$160,0,MATCH(AI$2,Inputs!$K$4:$AJ$4,0))))+SUMPRODUCT((Inputs!$E$5:$E$160=$B15)*ISNUMBER(INDEX(Inputs!$K$5:$AJ$160,0,MATCH(AI$2,Inputs!$K$4:$AJ$4,0))))=0,NA(),SUMPRODUCT((Inputs!$A$5:$A$160=$B15)*Inputs!$B$5:$B$160*(((Inputs!$G$5:$G$160="moeda")+(Inputs!$G$5:$G$160="acoes"))*Inputs!$B$1+((Inputs!$G$5:$G$160&lt;&gt;"moeda")*(Inputs!$G$5:$G$160&lt;&gt;"acoes")))*INDEX(Inputs!$K$5:$AJ$160,0,MATCH(AI$2,Inputs!$K$4:$AJ$4,0)))+SUMPRODUCT((Inputs!$C$5:$C$160=$B15)*Inputs!$D$5:$D$160*(((Inputs!$G$5:$G$160="moeda")+(Inputs!$G$5:$G$160="acoes"))*Inputs!$B$1+((Inputs!$G$5:$G$160&lt;&gt;"moeda")*(Inputs!$G$5:$G$160&lt;&gt;"acoes")))*INDEX(Inputs!$K$5:$AJ$160,0,MATCH(AI$2,Inputs!$K$4:$AJ$4,0)))+SUMPRODUCT((Inputs!$E$5:$E$160=$B15)*Inputs!$F$5:$F$160*(((Inputs!$G$5:$G$160="moeda")+(Inputs!$G$5:$G$160="acoes"))*Inputs!$B$1+((Inputs!$G$5:$G$160&lt;&gt;"moeda")*(Inputs!$G$5:$G$160&lt;&gt;"acoes")))*INDEX(Inputs!$K$5:$AJ$160,0,MATCH(AI$2,Inputs!$K$4:$AJ$4,0)))))</f>
        <v>1152.75829087</v>
      </c>
      <c r="AJ15" s="6">
        <f>IF(ISNA(MATCH(AJ$2,Inputs!$K$4:$AJ$4,0)),NA(),IF(SUMPRODUCT((Inputs!$A$5:$A$160=$B15)*ISNUMBER(INDEX(Inputs!$K$5:$AJ$160,0,MATCH(AJ$2,Inputs!$K$4:$AJ$4,0))))+SUMPRODUCT((Inputs!$C$5:$C$160=$B15)*ISNUMBER(INDEX(Inputs!$K$5:$AJ$160,0,MATCH(AJ$2,Inputs!$K$4:$AJ$4,0))))+SUMPRODUCT((Inputs!$E$5:$E$160=$B15)*ISNUMBER(INDEX(Inputs!$K$5:$AJ$160,0,MATCH(AJ$2,Inputs!$K$4:$AJ$4,0))))=0,NA(),SUMPRODUCT((Inputs!$A$5:$A$160=$B15)*Inputs!$B$5:$B$160*(((Inputs!$G$5:$G$160="moeda")+(Inputs!$G$5:$G$160="acoes"))*Inputs!$B$1+((Inputs!$G$5:$G$160&lt;&gt;"moeda")*(Inputs!$G$5:$G$160&lt;&gt;"acoes")))*INDEX(Inputs!$K$5:$AJ$160,0,MATCH(AJ$2,Inputs!$K$4:$AJ$4,0)))+SUMPRODUCT((Inputs!$C$5:$C$160=$B15)*Inputs!$D$5:$D$160*(((Inputs!$G$5:$G$160="moeda")+(Inputs!$G$5:$G$160="acoes"))*Inputs!$B$1+((Inputs!$G$5:$G$160&lt;&gt;"moeda")*(Inputs!$G$5:$G$160&lt;&gt;"acoes")))*INDEX(Inputs!$K$5:$AJ$160,0,MATCH(AJ$2,Inputs!$K$4:$AJ$4,0)))+SUMPRODUCT((Inputs!$E$5:$E$160=$B15)*Inputs!$F$5:$F$160*(((Inputs!$G$5:$G$160="moeda")+(Inputs!$G$5:$G$160="acoes"))*Inputs!$B$1+((Inputs!$G$5:$G$160&lt;&gt;"moeda")*(Inputs!$G$5:$G$160&lt;&gt;"acoes")))*INDEX(Inputs!$K$5:$AJ$160,0,MATCH(AJ$2,Inputs!$K$4:$AJ$4,0)))))</f>
        <v>1209.19289322</v>
      </c>
      <c r="AK15" s="6">
        <f>IF(ISNA(MATCH(AK$2,Inputs!$K$4:$AJ$4,0)),NA(),IF(SUMPRODUCT((Inputs!$A$5:$A$160=$B15)*ISNUMBER(INDEX(Inputs!$K$5:$AJ$160,0,MATCH(AK$2,Inputs!$K$4:$AJ$4,0))))+SUMPRODUCT((Inputs!$C$5:$C$160=$B15)*ISNUMBER(INDEX(Inputs!$K$5:$AJ$160,0,MATCH(AK$2,Inputs!$K$4:$AJ$4,0))))+SUMPRODUCT((Inputs!$E$5:$E$160=$B15)*ISNUMBER(INDEX(Inputs!$K$5:$AJ$160,0,MATCH(AK$2,Inputs!$K$4:$AJ$4,0))))=0,NA(),SUMPRODUCT((Inputs!$A$5:$A$160=$B15)*Inputs!$B$5:$B$160*(((Inputs!$G$5:$G$160="moeda")+(Inputs!$G$5:$G$160="acoes"))*Inputs!$B$1+((Inputs!$G$5:$G$160&lt;&gt;"moeda")*(Inputs!$G$5:$G$160&lt;&gt;"acoes")))*INDEX(Inputs!$K$5:$AJ$160,0,MATCH(AK$2,Inputs!$K$4:$AJ$4,0)))+SUMPRODUCT((Inputs!$C$5:$C$160=$B15)*Inputs!$D$5:$D$160*(((Inputs!$G$5:$G$160="moeda")+(Inputs!$G$5:$G$160="acoes"))*Inputs!$B$1+((Inputs!$G$5:$G$160&lt;&gt;"moeda")*(Inputs!$G$5:$G$160&lt;&gt;"acoes")))*INDEX(Inputs!$K$5:$AJ$160,0,MATCH(AK$2,Inputs!$K$4:$AJ$4,0)))+SUMPRODUCT((Inputs!$E$5:$E$160=$B15)*Inputs!$F$5:$F$160*(((Inputs!$G$5:$G$160="moeda")+(Inputs!$G$5:$G$160="acoes"))*Inputs!$B$1+((Inputs!$G$5:$G$160&lt;&gt;"moeda")*(Inputs!$G$5:$G$160&lt;&gt;"acoes")))*INDEX(Inputs!$K$5:$AJ$160,0,MATCH(AK$2,Inputs!$K$4:$AJ$4,0)))))</f>
        <v>1111.41967783</v>
      </c>
      <c r="AL15" s="3">
        <f>AK15</f>
        <v>1111.41967783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$160=$B16)*ISNUMBER(INDEX(Inputs!$K$5:$AJ$160,0,MATCH(D$2,Inputs!$K$4:$AJ$4,0))))+SUMPRODUCT((Inputs!$C$5:$C$160=$B16)*ISNUMBER(INDEX(Inputs!$K$5:$AJ$160,0,MATCH(D$2,Inputs!$K$4:$AJ$4,0))))+SUMPRODUCT((Inputs!$E$5:$E$160=$B16)*ISNUMBER(INDEX(Inputs!$K$5:$AJ$160,0,MATCH(D$2,Inputs!$K$4:$AJ$4,0))))=0,NA(),SUMPRODUCT((Inputs!$A$5:$A$160=$B16)*Inputs!$B$5:$B$160*(((Inputs!$G$5:$G$160="moeda")+(Inputs!$G$5:$G$160="acoes"))*Inputs!$B$1+((Inputs!$G$5:$G$160&lt;&gt;"moeda")*(Inputs!$G$5:$G$160&lt;&gt;"acoes")))*INDEX(Inputs!$K$5:$AJ$160,0,MATCH(D$2,Inputs!$K$4:$AJ$4,0)))+SUMPRODUCT((Inputs!$C$5:$C$160=$B16)*Inputs!$D$5:$D$160*(((Inputs!$G$5:$G$160="moeda")+(Inputs!$G$5:$G$160="acoes"))*Inputs!$B$1+((Inputs!$G$5:$G$160&lt;&gt;"moeda")*(Inputs!$G$5:$G$160&lt;&gt;"acoes")))*INDEX(Inputs!$K$5:$AJ$160,0,MATCH(D$2,Inputs!$K$4:$AJ$4,0)))+SUMPRODUCT((Inputs!$E$5:$E$160=$B16)*Inputs!$F$5:$F$160*(((Inputs!$G$5:$G$160="moeda")+(Inputs!$G$5:$G$160="acoes"))*Inputs!$B$1+((Inputs!$G$5:$G$160&lt;&gt;"moeda")*(Inputs!$G$5:$G$160&lt;&gt;"acoes")))*INDEX(Inputs!$K$5:$AJ$160,0,MATCH(D$2,Inputs!$K$4:$AJ$4,0)))))</f>
        <v>722.33269323</v>
      </c>
      <c r="E16" s="6">
        <f>IF(ISNA(MATCH(E$2,Inputs!$K$4:$AJ$4,0)),NA(),IF(SUMPRODUCT((Inputs!$A$5:$A$160=$B16)*ISNUMBER(INDEX(Inputs!$K$5:$AJ$160,0,MATCH(E$2,Inputs!$K$4:$AJ$4,0))))+SUMPRODUCT((Inputs!$C$5:$C$160=$B16)*ISNUMBER(INDEX(Inputs!$K$5:$AJ$160,0,MATCH(E$2,Inputs!$K$4:$AJ$4,0))))+SUMPRODUCT((Inputs!$E$5:$E$160=$B16)*ISNUMBER(INDEX(Inputs!$K$5:$AJ$160,0,MATCH(E$2,Inputs!$K$4:$AJ$4,0))))=0,NA(),SUMPRODUCT((Inputs!$A$5:$A$160=$B16)*Inputs!$B$5:$B$160*(((Inputs!$G$5:$G$160="moeda")+(Inputs!$G$5:$G$160="acoes"))*Inputs!$B$1+((Inputs!$G$5:$G$160&lt;&gt;"moeda")*(Inputs!$G$5:$G$160&lt;&gt;"acoes")))*INDEX(Inputs!$K$5:$AJ$160,0,MATCH(E$2,Inputs!$K$4:$AJ$4,0)))+SUMPRODUCT((Inputs!$C$5:$C$160=$B16)*Inputs!$D$5:$D$160*(((Inputs!$G$5:$G$160="moeda")+(Inputs!$G$5:$G$160="acoes"))*Inputs!$B$1+((Inputs!$G$5:$G$160&lt;&gt;"moeda")*(Inputs!$G$5:$G$160&lt;&gt;"acoes")))*INDEX(Inputs!$K$5:$AJ$160,0,MATCH(E$2,Inputs!$K$4:$AJ$4,0)))+SUMPRODUCT((Inputs!$E$5:$E$160=$B16)*Inputs!$F$5:$F$160*(((Inputs!$G$5:$G$160="moeda")+(Inputs!$G$5:$G$160="acoes"))*Inputs!$B$1+((Inputs!$G$5:$G$160&lt;&gt;"moeda")*(Inputs!$G$5:$G$160&lt;&gt;"acoes")))*INDEX(Inputs!$K$5:$AJ$160,0,MATCH(E$2,Inputs!$K$4:$AJ$4,0)))))</f>
        <v>710.16007206</v>
      </c>
      <c r="F16" s="6">
        <f>IF(ISNA(MATCH(F$2,Inputs!$K$4:$AJ$4,0)),NA(),IF(SUMPRODUCT((Inputs!$A$5:$A$160=$B16)*ISNUMBER(INDEX(Inputs!$K$5:$AJ$160,0,MATCH(F$2,Inputs!$K$4:$AJ$4,0))))+SUMPRODUCT((Inputs!$C$5:$C$160=$B16)*ISNUMBER(INDEX(Inputs!$K$5:$AJ$160,0,MATCH(F$2,Inputs!$K$4:$AJ$4,0))))+SUMPRODUCT((Inputs!$E$5:$E$160=$B16)*ISNUMBER(INDEX(Inputs!$K$5:$AJ$160,0,MATCH(F$2,Inputs!$K$4:$AJ$4,0))))=0,NA(),SUMPRODUCT((Inputs!$A$5:$A$160=$B16)*Inputs!$B$5:$B$160*(((Inputs!$G$5:$G$160="moeda")+(Inputs!$G$5:$G$160="acoes"))*Inputs!$B$1+((Inputs!$G$5:$G$160&lt;&gt;"moeda")*(Inputs!$G$5:$G$160&lt;&gt;"acoes")))*INDEX(Inputs!$K$5:$AJ$160,0,MATCH(F$2,Inputs!$K$4:$AJ$4,0)))+SUMPRODUCT((Inputs!$C$5:$C$160=$B16)*Inputs!$D$5:$D$160*(((Inputs!$G$5:$G$160="moeda")+(Inputs!$G$5:$G$160="acoes"))*Inputs!$B$1+((Inputs!$G$5:$G$160&lt;&gt;"moeda")*(Inputs!$G$5:$G$160&lt;&gt;"acoes")))*INDEX(Inputs!$K$5:$AJ$160,0,MATCH(F$2,Inputs!$K$4:$AJ$4,0)))+SUMPRODUCT((Inputs!$E$5:$E$160=$B16)*Inputs!$F$5:$F$160*(((Inputs!$G$5:$G$160="moeda")+(Inputs!$G$5:$G$160="acoes"))*Inputs!$B$1+((Inputs!$G$5:$G$160&lt;&gt;"moeda")*(Inputs!$G$5:$G$160&lt;&gt;"acoes")))*INDEX(Inputs!$K$5:$AJ$160,0,MATCH(F$2,Inputs!$K$4:$AJ$4,0)))))</f>
        <v>798.87962103</v>
      </c>
      <c r="G16" s="6">
        <f>IF(ISNA(MATCH(G$2,Inputs!$K$4:$AJ$4,0)),NA(),IF(SUMPRODUCT((Inputs!$A$5:$A$160=$B16)*ISNUMBER(INDEX(Inputs!$K$5:$AJ$160,0,MATCH(G$2,Inputs!$K$4:$AJ$4,0))))+SUMPRODUCT((Inputs!$C$5:$C$160=$B16)*ISNUMBER(INDEX(Inputs!$K$5:$AJ$160,0,MATCH(G$2,Inputs!$K$4:$AJ$4,0))))+SUMPRODUCT((Inputs!$E$5:$E$160=$B16)*ISNUMBER(INDEX(Inputs!$K$5:$AJ$160,0,MATCH(G$2,Inputs!$K$4:$AJ$4,0))))=0,NA(),SUMPRODUCT((Inputs!$A$5:$A$160=$B16)*Inputs!$B$5:$B$160*(((Inputs!$G$5:$G$160="moeda")+(Inputs!$G$5:$G$160="acoes"))*Inputs!$B$1+((Inputs!$G$5:$G$160&lt;&gt;"moeda")*(Inputs!$G$5:$G$160&lt;&gt;"acoes")))*INDEX(Inputs!$K$5:$AJ$160,0,MATCH(G$2,Inputs!$K$4:$AJ$4,0)))+SUMPRODUCT((Inputs!$C$5:$C$160=$B16)*Inputs!$D$5:$D$160*(((Inputs!$G$5:$G$160="moeda")+(Inputs!$G$5:$G$160="acoes"))*Inputs!$B$1+((Inputs!$G$5:$G$160&lt;&gt;"moeda")*(Inputs!$G$5:$G$160&lt;&gt;"acoes")))*INDEX(Inputs!$K$5:$AJ$160,0,MATCH(G$2,Inputs!$K$4:$AJ$4,0)))+SUMPRODUCT((Inputs!$E$5:$E$160=$B16)*Inputs!$F$5:$F$160*(((Inputs!$G$5:$G$160="moeda")+(Inputs!$G$5:$G$160="acoes"))*Inputs!$B$1+((Inputs!$G$5:$G$160&lt;&gt;"moeda")*(Inputs!$G$5:$G$160&lt;&gt;"acoes")))*INDEX(Inputs!$K$5:$AJ$160,0,MATCH(G$2,Inputs!$K$4:$AJ$4,0)))))</f>
        <v>793.850845533222</v>
      </c>
      <c r="H16" s="3">
        <f>G16</f>
        <v>793.850845533222</v>
      </c>
      <c r="I16" s="6">
        <f>IF(ISNA(MATCH(I$2,Inputs!$K$4:$AJ$4,0)),NA(),IF(SUMPRODUCT((Inputs!$A$5:$A$160=$B16)*ISNUMBER(INDEX(Inputs!$K$5:$AJ$160,0,MATCH(I$2,Inputs!$K$4:$AJ$4,0))))+SUMPRODUCT((Inputs!$C$5:$C$160=$B16)*ISNUMBER(INDEX(Inputs!$K$5:$AJ$160,0,MATCH(I$2,Inputs!$K$4:$AJ$4,0))))+SUMPRODUCT((Inputs!$E$5:$E$160=$B16)*ISNUMBER(INDEX(Inputs!$K$5:$AJ$160,0,MATCH(I$2,Inputs!$K$4:$AJ$4,0))))=0,NA(),SUMPRODUCT((Inputs!$A$5:$A$160=$B16)*Inputs!$B$5:$B$160*(((Inputs!$G$5:$G$160="moeda")+(Inputs!$G$5:$G$160="acoes"))*Inputs!$B$1+((Inputs!$G$5:$G$160&lt;&gt;"moeda")*(Inputs!$G$5:$G$160&lt;&gt;"acoes")))*INDEX(Inputs!$K$5:$AJ$160,0,MATCH(I$2,Inputs!$K$4:$AJ$4,0)))+SUMPRODUCT((Inputs!$C$5:$C$160=$B16)*Inputs!$D$5:$D$160*(((Inputs!$G$5:$G$160="moeda")+(Inputs!$G$5:$G$160="acoes"))*Inputs!$B$1+((Inputs!$G$5:$G$160&lt;&gt;"moeda")*(Inputs!$G$5:$G$160&lt;&gt;"acoes")))*INDEX(Inputs!$K$5:$AJ$160,0,MATCH(I$2,Inputs!$K$4:$AJ$4,0)))+SUMPRODUCT((Inputs!$E$5:$E$160=$B16)*Inputs!$F$5:$F$160*(((Inputs!$G$5:$G$160="moeda")+(Inputs!$G$5:$G$160="acoes"))*Inputs!$B$1+((Inputs!$G$5:$G$160&lt;&gt;"moeda")*(Inputs!$G$5:$G$160&lt;&gt;"acoes")))*INDEX(Inputs!$K$5:$AJ$160,0,MATCH(I$2,Inputs!$K$4:$AJ$4,0)))))</f>
        <v>867.74374465</v>
      </c>
      <c r="J16" s="6">
        <f>IF(ISNA(MATCH(J$2,Inputs!$K$4:$AJ$4,0)),NA(),IF(SUMPRODUCT((Inputs!$A$5:$A$160=$B16)*ISNUMBER(INDEX(Inputs!$K$5:$AJ$160,0,MATCH(J$2,Inputs!$K$4:$AJ$4,0))))+SUMPRODUCT((Inputs!$C$5:$C$160=$B16)*ISNUMBER(INDEX(Inputs!$K$5:$AJ$160,0,MATCH(J$2,Inputs!$K$4:$AJ$4,0))))+SUMPRODUCT((Inputs!$E$5:$E$160=$B16)*ISNUMBER(INDEX(Inputs!$K$5:$AJ$160,0,MATCH(J$2,Inputs!$K$4:$AJ$4,0))))=0,NA(),SUMPRODUCT((Inputs!$A$5:$A$160=$B16)*Inputs!$B$5:$B$160*(((Inputs!$G$5:$G$160="moeda")+(Inputs!$G$5:$G$160="acoes"))*Inputs!$B$1+((Inputs!$G$5:$G$160&lt;&gt;"moeda")*(Inputs!$G$5:$G$160&lt;&gt;"acoes")))*INDEX(Inputs!$K$5:$AJ$160,0,MATCH(J$2,Inputs!$K$4:$AJ$4,0)))+SUMPRODUCT((Inputs!$C$5:$C$160=$B16)*Inputs!$D$5:$D$160*(((Inputs!$G$5:$G$160="moeda")+(Inputs!$G$5:$G$160="acoes"))*Inputs!$B$1+((Inputs!$G$5:$G$160&lt;&gt;"moeda")*(Inputs!$G$5:$G$160&lt;&gt;"acoes")))*INDEX(Inputs!$K$5:$AJ$160,0,MATCH(J$2,Inputs!$K$4:$AJ$4,0)))+SUMPRODUCT((Inputs!$E$5:$E$160=$B16)*Inputs!$F$5:$F$160*(((Inputs!$G$5:$G$160="moeda")+(Inputs!$G$5:$G$160="acoes"))*Inputs!$B$1+((Inputs!$G$5:$G$160&lt;&gt;"moeda")*(Inputs!$G$5:$G$160&lt;&gt;"acoes")))*INDEX(Inputs!$K$5:$AJ$160,0,MATCH(J$2,Inputs!$K$4:$AJ$4,0)))))</f>
        <v>900.92993497</v>
      </c>
      <c r="K16" s="6">
        <f>IF(ISNA(MATCH(K$2,Inputs!$K$4:$AJ$4,0)),NA(),IF(SUMPRODUCT((Inputs!$A$5:$A$160=$B16)*ISNUMBER(INDEX(Inputs!$K$5:$AJ$160,0,MATCH(K$2,Inputs!$K$4:$AJ$4,0))))+SUMPRODUCT((Inputs!$C$5:$C$160=$B16)*ISNUMBER(INDEX(Inputs!$K$5:$AJ$160,0,MATCH(K$2,Inputs!$K$4:$AJ$4,0))))+SUMPRODUCT((Inputs!$E$5:$E$160=$B16)*ISNUMBER(INDEX(Inputs!$K$5:$AJ$160,0,MATCH(K$2,Inputs!$K$4:$AJ$4,0))))=0,NA(),SUMPRODUCT((Inputs!$A$5:$A$160=$B16)*Inputs!$B$5:$B$160*(((Inputs!$G$5:$G$160="moeda")+(Inputs!$G$5:$G$160="acoes"))*Inputs!$B$1+((Inputs!$G$5:$G$160&lt;&gt;"moeda")*(Inputs!$G$5:$G$160&lt;&gt;"acoes")))*INDEX(Inputs!$K$5:$AJ$160,0,MATCH(K$2,Inputs!$K$4:$AJ$4,0)))+SUMPRODUCT((Inputs!$C$5:$C$160=$B16)*Inputs!$D$5:$D$160*(((Inputs!$G$5:$G$160="moeda")+(Inputs!$G$5:$G$160="acoes"))*Inputs!$B$1+((Inputs!$G$5:$G$160&lt;&gt;"moeda")*(Inputs!$G$5:$G$160&lt;&gt;"acoes")))*INDEX(Inputs!$K$5:$AJ$160,0,MATCH(K$2,Inputs!$K$4:$AJ$4,0)))+SUMPRODUCT((Inputs!$E$5:$E$160=$B16)*Inputs!$F$5:$F$160*(((Inputs!$G$5:$G$160="moeda")+(Inputs!$G$5:$G$160="acoes"))*Inputs!$B$1+((Inputs!$G$5:$G$160&lt;&gt;"moeda")*(Inputs!$G$5:$G$160&lt;&gt;"acoes")))*INDEX(Inputs!$K$5:$AJ$160,0,MATCH(K$2,Inputs!$K$4:$AJ$4,0)))))</f>
        <v>885.46691962</v>
      </c>
      <c r="L16" s="6">
        <f>IF(ISNA(MATCH(L$2,Inputs!$K$4:$AJ$4,0)),NA(),IF(SUMPRODUCT((Inputs!$A$5:$A$160=$B16)*ISNUMBER(INDEX(Inputs!$K$5:$AJ$160,0,MATCH(L$2,Inputs!$K$4:$AJ$4,0))))+SUMPRODUCT((Inputs!$C$5:$C$160=$B16)*ISNUMBER(INDEX(Inputs!$K$5:$AJ$160,0,MATCH(L$2,Inputs!$K$4:$AJ$4,0))))+SUMPRODUCT((Inputs!$E$5:$E$160=$B16)*ISNUMBER(INDEX(Inputs!$K$5:$AJ$160,0,MATCH(L$2,Inputs!$K$4:$AJ$4,0))))=0,NA(),SUMPRODUCT((Inputs!$A$5:$A$160=$B16)*Inputs!$B$5:$B$160*(((Inputs!$G$5:$G$160="moeda")+(Inputs!$G$5:$G$160="acoes"))*Inputs!$B$1+((Inputs!$G$5:$G$160&lt;&gt;"moeda")*(Inputs!$G$5:$G$160&lt;&gt;"acoes")))*INDEX(Inputs!$K$5:$AJ$160,0,MATCH(L$2,Inputs!$K$4:$AJ$4,0)))+SUMPRODUCT((Inputs!$C$5:$C$160=$B16)*Inputs!$D$5:$D$160*(((Inputs!$G$5:$G$160="moeda")+(Inputs!$G$5:$G$160="acoes"))*Inputs!$B$1+((Inputs!$G$5:$G$160&lt;&gt;"moeda")*(Inputs!$G$5:$G$160&lt;&gt;"acoes")))*INDEX(Inputs!$K$5:$AJ$160,0,MATCH(L$2,Inputs!$K$4:$AJ$4,0)))+SUMPRODUCT((Inputs!$E$5:$E$160=$B16)*Inputs!$F$5:$F$160*(((Inputs!$G$5:$G$160="moeda")+(Inputs!$G$5:$G$160="acoes"))*Inputs!$B$1+((Inputs!$G$5:$G$160&lt;&gt;"moeda")*(Inputs!$G$5:$G$160&lt;&gt;"acoes")))*INDEX(Inputs!$K$5:$AJ$160,0,MATCH(L$2,Inputs!$K$4:$AJ$4,0)))))</f>
        <v>856.84906289</v>
      </c>
      <c r="M16" s="3">
        <f>L16</f>
        <v>856.84906289</v>
      </c>
      <c r="N16" s="6">
        <f>IF(ISNA(MATCH(N$2,Inputs!$K$4:$AJ$4,0)),NA(),IF(SUMPRODUCT((Inputs!$A$5:$A$160=$B16)*ISNUMBER(INDEX(Inputs!$K$5:$AJ$160,0,MATCH(N$2,Inputs!$K$4:$AJ$4,0))))+SUMPRODUCT((Inputs!$C$5:$C$160=$B16)*ISNUMBER(INDEX(Inputs!$K$5:$AJ$160,0,MATCH(N$2,Inputs!$K$4:$AJ$4,0))))+SUMPRODUCT((Inputs!$E$5:$E$160=$B16)*ISNUMBER(INDEX(Inputs!$K$5:$AJ$160,0,MATCH(N$2,Inputs!$K$4:$AJ$4,0))))=0,NA(),SUMPRODUCT((Inputs!$A$5:$A$160=$B16)*Inputs!$B$5:$B$160*(((Inputs!$G$5:$G$160="moeda")+(Inputs!$G$5:$G$160="acoes"))*Inputs!$B$1+((Inputs!$G$5:$G$160&lt;&gt;"moeda")*(Inputs!$G$5:$G$160&lt;&gt;"acoes")))*INDEX(Inputs!$K$5:$AJ$160,0,MATCH(N$2,Inputs!$K$4:$AJ$4,0)))+SUMPRODUCT((Inputs!$C$5:$C$160=$B16)*Inputs!$D$5:$D$160*(((Inputs!$G$5:$G$160="moeda")+(Inputs!$G$5:$G$160="acoes"))*Inputs!$B$1+((Inputs!$G$5:$G$160&lt;&gt;"moeda")*(Inputs!$G$5:$G$160&lt;&gt;"acoes")))*INDEX(Inputs!$K$5:$AJ$160,0,MATCH(N$2,Inputs!$K$4:$AJ$4,0)))+SUMPRODUCT((Inputs!$E$5:$E$160=$B16)*Inputs!$F$5:$F$160*(((Inputs!$G$5:$G$160="moeda")+(Inputs!$G$5:$G$160="acoes"))*Inputs!$B$1+((Inputs!$G$5:$G$160&lt;&gt;"moeda")*(Inputs!$G$5:$G$160&lt;&gt;"acoes")))*INDEX(Inputs!$K$5:$AJ$160,0,MATCH(N$2,Inputs!$K$4:$AJ$4,0)))))</f>
        <v>973.70141759</v>
      </c>
      <c r="O16" s="6">
        <f>IF(ISNA(MATCH(O$2,Inputs!$K$4:$AJ$4,0)),NA(),IF(SUMPRODUCT((Inputs!$A$5:$A$160=$B16)*ISNUMBER(INDEX(Inputs!$K$5:$AJ$160,0,MATCH(O$2,Inputs!$K$4:$AJ$4,0))))+SUMPRODUCT((Inputs!$C$5:$C$160=$B16)*ISNUMBER(INDEX(Inputs!$K$5:$AJ$160,0,MATCH(O$2,Inputs!$K$4:$AJ$4,0))))+SUMPRODUCT((Inputs!$E$5:$E$160=$B16)*ISNUMBER(INDEX(Inputs!$K$5:$AJ$160,0,MATCH(O$2,Inputs!$K$4:$AJ$4,0))))=0,NA(),SUMPRODUCT((Inputs!$A$5:$A$160=$B16)*Inputs!$B$5:$B$160*(((Inputs!$G$5:$G$160="moeda")+(Inputs!$G$5:$G$160="acoes"))*Inputs!$B$1+((Inputs!$G$5:$G$160&lt;&gt;"moeda")*(Inputs!$G$5:$G$160&lt;&gt;"acoes")))*INDEX(Inputs!$K$5:$AJ$160,0,MATCH(O$2,Inputs!$K$4:$AJ$4,0)))+SUMPRODUCT((Inputs!$C$5:$C$160=$B16)*Inputs!$D$5:$D$160*(((Inputs!$G$5:$G$160="moeda")+(Inputs!$G$5:$G$160="acoes"))*Inputs!$B$1+((Inputs!$G$5:$G$160&lt;&gt;"moeda")*(Inputs!$G$5:$G$160&lt;&gt;"acoes")))*INDEX(Inputs!$K$5:$AJ$160,0,MATCH(O$2,Inputs!$K$4:$AJ$4,0)))+SUMPRODUCT((Inputs!$E$5:$E$160=$B16)*Inputs!$F$5:$F$160*(((Inputs!$G$5:$G$160="moeda")+(Inputs!$G$5:$G$160="acoes"))*Inputs!$B$1+((Inputs!$G$5:$G$160&lt;&gt;"moeda")*(Inputs!$G$5:$G$160&lt;&gt;"acoes")))*INDEX(Inputs!$K$5:$AJ$160,0,MATCH(O$2,Inputs!$K$4:$AJ$4,0)))))</f>
        <v>1486.024</v>
      </c>
      <c r="P16" s="6">
        <f>IF(ISNA(MATCH(P$2,Inputs!$K$4:$AJ$4,0)),NA(),IF(SUMPRODUCT((Inputs!$A$5:$A$160=$B16)*ISNUMBER(INDEX(Inputs!$K$5:$AJ$160,0,MATCH(P$2,Inputs!$K$4:$AJ$4,0))))+SUMPRODUCT((Inputs!$C$5:$C$160=$B16)*ISNUMBER(INDEX(Inputs!$K$5:$AJ$160,0,MATCH(P$2,Inputs!$K$4:$AJ$4,0))))+SUMPRODUCT((Inputs!$E$5:$E$160=$B16)*ISNUMBER(INDEX(Inputs!$K$5:$AJ$160,0,MATCH(P$2,Inputs!$K$4:$AJ$4,0))))=0,NA(),SUMPRODUCT((Inputs!$A$5:$A$160=$B16)*Inputs!$B$5:$B$160*(((Inputs!$G$5:$G$160="moeda")+(Inputs!$G$5:$G$160="acoes"))*Inputs!$B$1+((Inputs!$G$5:$G$160&lt;&gt;"moeda")*(Inputs!$G$5:$G$160&lt;&gt;"acoes")))*INDEX(Inputs!$K$5:$AJ$160,0,MATCH(P$2,Inputs!$K$4:$AJ$4,0)))+SUMPRODUCT((Inputs!$C$5:$C$160=$B16)*Inputs!$D$5:$D$160*(((Inputs!$G$5:$G$160="moeda")+(Inputs!$G$5:$G$160="acoes"))*Inputs!$B$1+((Inputs!$G$5:$G$160&lt;&gt;"moeda")*(Inputs!$G$5:$G$160&lt;&gt;"acoes")))*INDEX(Inputs!$K$5:$AJ$160,0,MATCH(P$2,Inputs!$K$4:$AJ$4,0)))+SUMPRODUCT((Inputs!$E$5:$E$160=$B16)*Inputs!$F$5:$F$160*(((Inputs!$G$5:$G$160="moeda")+(Inputs!$G$5:$G$160="acoes"))*Inputs!$B$1+((Inputs!$G$5:$G$160&lt;&gt;"moeda")*(Inputs!$G$5:$G$160&lt;&gt;"acoes")))*INDEX(Inputs!$K$5:$AJ$160,0,MATCH(P$2,Inputs!$K$4:$AJ$4,0)))))</f>
        <v>1558.622</v>
      </c>
      <c r="Q16" s="6">
        <f>IF(ISNA(MATCH(Q$2,Inputs!$K$4:$AJ$4,0)),NA(),IF(SUMPRODUCT((Inputs!$A$5:$A$160=$B16)*ISNUMBER(INDEX(Inputs!$K$5:$AJ$160,0,MATCH(Q$2,Inputs!$K$4:$AJ$4,0))))+SUMPRODUCT((Inputs!$C$5:$C$160=$B16)*ISNUMBER(INDEX(Inputs!$K$5:$AJ$160,0,MATCH(Q$2,Inputs!$K$4:$AJ$4,0))))+SUMPRODUCT((Inputs!$E$5:$E$160=$B16)*ISNUMBER(INDEX(Inputs!$K$5:$AJ$160,0,MATCH(Q$2,Inputs!$K$4:$AJ$4,0))))=0,NA(),SUMPRODUCT((Inputs!$A$5:$A$160=$B16)*Inputs!$B$5:$B$160*(((Inputs!$G$5:$G$160="moeda")+(Inputs!$G$5:$G$160="acoes"))*Inputs!$B$1+((Inputs!$G$5:$G$160&lt;&gt;"moeda")*(Inputs!$G$5:$G$160&lt;&gt;"acoes")))*INDEX(Inputs!$K$5:$AJ$160,0,MATCH(Q$2,Inputs!$K$4:$AJ$4,0)))+SUMPRODUCT((Inputs!$C$5:$C$160=$B16)*Inputs!$D$5:$D$160*(((Inputs!$G$5:$G$160="moeda")+(Inputs!$G$5:$G$160="acoes"))*Inputs!$B$1+((Inputs!$G$5:$G$160&lt;&gt;"moeda")*(Inputs!$G$5:$G$160&lt;&gt;"acoes")))*INDEX(Inputs!$K$5:$AJ$160,0,MATCH(Q$2,Inputs!$K$4:$AJ$4,0)))+SUMPRODUCT((Inputs!$E$5:$E$160=$B16)*Inputs!$F$5:$F$160*(((Inputs!$G$5:$G$160="moeda")+(Inputs!$G$5:$G$160="acoes"))*Inputs!$B$1+((Inputs!$G$5:$G$160&lt;&gt;"moeda")*(Inputs!$G$5:$G$160&lt;&gt;"acoes")))*INDEX(Inputs!$K$5:$AJ$160,0,MATCH(Q$2,Inputs!$K$4:$AJ$4,0)))))</f>
        <v>1505.194</v>
      </c>
      <c r="R16" s="3">
        <f>Q16</f>
        <v>1505.194</v>
      </c>
      <c r="S16" s="6">
        <f>IF(ISNA(MATCH(S$2,Inputs!$K$4:$AJ$4,0)),NA(),IF(SUMPRODUCT((Inputs!$A$5:$A$160=$B16)*ISNUMBER(INDEX(Inputs!$K$5:$AJ$160,0,MATCH(S$2,Inputs!$K$4:$AJ$4,0))))+SUMPRODUCT((Inputs!$C$5:$C$160=$B16)*ISNUMBER(INDEX(Inputs!$K$5:$AJ$160,0,MATCH(S$2,Inputs!$K$4:$AJ$4,0))))+SUMPRODUCT((Inputs!$E$5:$E$160=$B16)*ISNUMBER(INDEX(Inputs!$K$5:$AJ$160,0,MATCH(S$2,Inputs!$K$4:$AJ$4,0))))=0,NA(),SUMPRODUCT((Inputs!$A$5:$A$160=$B16)*Inputs!$B$5:$B$160*(((Inputs!$G$5:$G$160="moeda")+(Inputs!$G$5:$G$160="acoes"))*Inputs!$B$1+((Inputs!$G$5:$G$160&lt;&gt;"moeda")*(Inputs!$G$5:$G$160&lt;&gt;"acoes")))*INDEX(Inputs!$K$5:$AJ$160,0,MATCH(S$2,Inputs!$K$4:$AJ$4,0)))+SUMPRODUCT((Inputs!$C$5:$C$160=$B16)*Inputs!$D$5:$D$160*(((Inputs!$G$5:$G$160="moeda")+(Inputs!$G$5:$G$160="acoes"))*Inputs!$B$1+((Inputs!$G$5:$G$160&lt;&gt;"moeda")*(Inputs!$G$5:$G$160&lt;&gt;"acoes")))*INDEX(Inputs!$K$5:$AJ$160,0,MATCH(S$2,Inputs!$K$4:$AJ$4,0)))+SUMPRODUCT((Inputs!$E$5:$E$160=$B16)*Inputs!$F$5:$F$160*(((Inputs!$G$5:$G$160="moeda")+(Inputs!$G$5:$G$160="acoes"))*Inputs!$B$1+((Inputs!$G$5:$G$160&lt;&gt;"moeda")*(Inputs!$G$5:$G$160&lt;&gt;"acoes")))*INDEX(Inputs!$K$5:$AJ$160,0,MATCH(S$2,Inputs!$K$4:$AJ$4,0)))))</f>
        <v>1731.049</v>
      </c>
      <c r="T16" s="6">
        <f>IF(ISNA(MATCH(T$2,Inputs!$K$4:$AJ$4,0)),NA(),IF(SUMPRODUCT((Inputs!$A$5:$A$160=$B16)*ISNUMBER(INDEX(Inputs!$K$5:$AJ$160,0,MATCH(T$2,Inputs!$K$4:$AJ$4,0))))+SUMPRODUCT((Inputs!$C$5:$C$160=$B16)*ISNUMBER(INDEX(Inputs!$K$5:$AJ$160,0,MATCH(T$2,Inputs!$K$4:$AJ$4,0))))+SUMPRODUCT((Inputs!$E$5:$E$160=$B16)*ISNUMBER(INDEX(Inputs!$K$5:$AJ$160,0,MATCH(T$2,Inputs!$K$4:$AJ$4,0))))=0,NA(),SUMPRODUCT((Inputs!$A$5:$A$160=$B16)*Inputs!$B$5:$B$160*(((Inputs!$G$5:$G$160="moeda")+(Inputs!$G$5:$G$160="acoes"))*Inputs!$B$1+((Inputs!$G$5:$G$160&lt;&gt;"moeda")*(Inputs!$G$5:$G$160&lt;&gt;"acoes")))*INDEX(Inputs!$K$5:$AJ$160,0,MATCH(T$2,Inputs!$K$4:$AJ$4,0)))+SUMPRODUCT((Inputs!$C$5:$C$160=$B16)*Inputs!$D$5:$D$160*(((Inputs!$G$5:$G$160="moeda")+(Inputs!$G$5:$G$160="acoes"))*Inputs!$B$1+((Inputs!$G$5:$G$160&lt;&gt;"moeda")*(Inputs!$G$5:$G$160&lt;&gt;"acoes")))*INDEX(Inputs!$K$5:$AJ$160,0,MATCH(T$2,Inputs!$K$4:$AJ$4,0)))+SUMPRODUCT((Inputs!$E$5:$E$160=$B16)*Inputs!$F$5:$F$160*(((Inputs!$G$5:$G$160="moeda")+(Inputs!$G$5:$G$160="acoes"))*Inputs!$B$1+((Inputs!$G$5:$G$160&lt;&gt;"moeda")*(Inputs!$G$5:$G$160&lt;&gt;"acoes")))*INDEX(Inputs!$K$5:$AJ$160,0,MATCH(T$2,Inputs!$K$4:$AJ$4,0)))))</f>
        <v>1759.05</v>
      </c>
      <c r="U16" s="6">
        <f>IF(ISNA(MATCH(U$2,Inputs!$K$4:$AJ$4,0)),NA(),IF(SUMPRODUCT((Inputs!$A$5:$A$160=$B16)*ISNUMBER(INDEX(Inputs!$K$5:$AJ$160,0,MATCH(U$2,Inputs!$K$4:$AJ$4,0))))+SUMPRODUCT((Inputs!$C$5:$C$160=$B16)*ISNUMBER(INDEX(Inputs!$K$5:$AJ$160,0,MATCH(U$2,Inputs!$K$4:$AJ$4,0))))+SUMPRODUCT((Inputs!$E$5:$E$160=$B16)*ISNUMBER(INDEX(Inputs!$K$5:$AJ$160,0,MATCH(U$2,Inputs!$K$4:$AJ$4,0))))=0,NA(),SUMPRODUCT((Inputs!$A$5:$A$160=$B16)*Inputs!$B$5:$B$160*(((Inputs!$G$5:$G$160="moeda")+(Inputs!$G$5:$G$160="acoes"))*Inputs!$B$1+((Inputs!$G$5:$G$160&lt;&gt;"moeda")*(Inputs!$G$5:$G$160&lt;&gt;"acoes")))*INDEX(Inputs!$K$5:$AJ$160,0,MATCH(U$2,Inputs!$K$4:$AJ$4,0)))+SUMPRODUCT((Inputs!$C$5:$C$160=$B16)*Inputs!$D$5:$D$160*(((Inputs!$G$5:$G$160="moeda")+(Inputs!$G$5:$G$160="acoes"))*Inputs!$B$1+((Inputs!$G$5:$G$160&lt;&gt;"moeda")*(Inputs!$G$5:$G$160&lt;&gt;"acoes")))*INDEX(Inputs!$K$5:$AJ$160,0,MATCH(U$2,Inputs!$K$4:$AJ$4,0)))+SUMPRODUCT((Inputs!$E$5:$E$160=$B16)*Inputs!$F$5:$F$160*(((Inputs!$G$5:$G$160="moeda")+(Inputs!$G$5:$G$160="acoes"))*Inputs!$B$1+((Inputs!$G$5:$G$160&lt;&gt;"moeda")*(Inputs!$G$5:$G$160&lt;&gt;"acoes")))*INDEX(Inputs!$K$5:$AJ$160,0,MATCH(U$2,Inputs!$K$4:$AJ$4,0)))))</f>
        <v>1763.847</v>
      </c>
      <c r="V16" s="6">
        <f>IF(ISNA(MATCH(V$2,Inputs!$K$4:$AJ$4,0)),NA(),IF(SUMPRODUCT((Inputs!$A$5:$A$160=$B16)*ISNUMBER(INDEX(Inputs!$K$5:$AJ$160,0,MATCH(V$2,Inputs!$K$4:$AJ$4,0))))+SUMPRODUCT((Inputs!$C$5:$C$160=$B16)*ISNUMBER(INDEX(Inputs!$K$5:$AJ$160,0,MATCH(V$2,Inputs!$K$4:$AJ$4,0))))+SUMPRODUCT((Inputs!$E$5:$E$160=$B16)*ISNUMBER(INDEX(Inputs!$K$5:$AJ$160,0,MATCH(V$2,Inputs!$K$4:$AJ$4,0))))=0,NA(),SUMPRODUCT((Inputs!$A$5:$A$160=$B16)*Inputs!$B$5:$B$160*(((Inputs!$G$5:$G$160="moeda")+(Inputs!$G$5:$G$160="acoes"))*Inputs!$B$1+((Inputs!$G$5:$G$160&lt;&gt;"moeda")*(Inputs!$G$5:$G$160&lt;&gt;"acoes")))*INDEX(Inputs!$K$5:$AJ$160,0,MATCH(V$2,Inputs!$K$4:$AJ$4,0)))+SUMPRODUCT((Inputs!$C$5:$C$160=$B16)*Inputs!$D$5:$D$160*(((Inputs!$G$5:$G$160="moeda")+(Inputs!$G$5:$G$160="acoes"))*Inputs!$B$1+((Inputs!$G$5:$G$160&lt;&gt;"moeda")*(Inputs!$G$5:$G$160&lt;&gt;"acoes")))*INDEX(Inputs!$K$5:$AJ$160,0,MATCH(V$2,Inputs!$K$4:$AJ$4,0)))+SUMPRODUCT((Inputs!$E$5:$E$160=$B16)*Inputs!$F$5:$F$160*(((Inputs!$G$5:$G$160="moeda")+(Inputs!$G$5:$G$160="acoes"))*Inputs!$B$1+((Inputs!$G$5:$G$160&lt;&gt;"moeda")*(Inputs!$G$5:$G$160&lt;&gt;"acoes")))*INDEX(Inputs!$K$5:$AJ$160,0,MATCH(V$2,Inputs!$K$4:$AJ$4,0)))))</f>
        <v>1634.904</v>
      </c>
      <c r="W16" s="3">
        <f>V16</f>
        <v>1634.904</v>
      </c>
      <c r="X16" s="6">
        <f>IF(ISNA(MATCH(X$2,Inputs!$K$4:$AJ$4,0)),NA(),IF(SUMPRODUCT((Inputs!$A$5:$A$160=$B16)*ISNUMBER(INDEX(Inputs!$K$5:$AJ$160,0,MATCH(X$2,Inputs!$K$4:$AJ$4,0))))+SUMPRODUCT((Inputs!$C$5:$C$160=$B16)*ISNUMBER(INDEX(Inputs!$K$5:$AJ$160,0,MATCH(X$2,Inputs!$K$4:$AJ$4,0))))+SUMPRODUCT((Inputs!$E$5:$E$160=$B16)*ISNUMBER(INDEX(Inputs!$K$5:$AJ$160,0,MATCH(X$2,Inputs!$K$4:$AJ$4,0))))=0,NA(),SUMPRODUCT((Inputs!$A$5:$A$160=$B16)*Inputs!$B$5:$B$160*(((Inputs!$G$5:$G$160="moeda")+(Inputs!$G$5:$G$160="acoes"))*Inputs!$B$1+((Inputs!$G$5:$G$160&lt;&gt;"moeda")*(Inputs!$G$5:$G$160&lt;&gt;"acoes")))*INDEX(Inputs!$K$5:$AJ$160,0,MATCH(X$2,Inputs!$K$4:$AJ$4,0)))+SUMPRODUCT((Inputs!$C$5:$C$160=$B16)*Inputs!$D$5:$D$160*(((Inputs!$G$5:$G$160="moeda")+(Inputs!$G$5:$G$160="acoes"))*Inputs!$B$1+((Inputs!$G$5:$G$160&lt;&gt;"moeda")*(Inputs!$G$5:$G$160&lt;&gt;"acoes")))*INDEX(Inputs!$K$5:$AJ$160,0,MATCH(X$2,Inputs!$K$4:$AJ$4,0)))+SUMPRODUCT((Inputs!$E$5:$E$160=$B16)*Inputs!$F$5:$F$160*(((Inputs!$G$5:$G$160="moeda")+(Inputs!$G$5:$G$160="acoes"))*Inputs!$B$1+((Inputs!$G$5:$G$160&lt;&gt;"moeda")*(Inputs!$G$5:$G$160&lt;&gt;"acoes")))*INDEX(Inputs!$K$5:$AJ$160,0,MATCH(X$2,Inputs!$K$4:$AJ$4,0)))))</f>
        <v>1789.123657</v>
      </c>
      <c r="Y16" s="6">
        <f>IF(ISNA(MATCH(Y$2,Inputs!$K$4:$AJ$4,0)),NA(),IF(SUMPRODUCT((Inputs!$A$5:$A$160=$B16)*ISNUMBER(INDEX(Inputs!$K$5:$AJ$160,0,MATCH(Y$2,Inputs!$K$4:$AJ$4,0))))+SUMPRODUCT((Inputs!$C$5:$C$160=$B16)*ISNUMBER(INDEX(Inputs!$K$5:$AJ$160,0,MATCH(Y$2,Inputs!$K$4:$AJ$4,0))))+SUMPRODUCT((Inputs!$E$5:$E$160=$B16)*ISNUMBER(INDEX(Inputs!$K$5:$AJ$160,0,MATCH(Y$2,Inputs!$K$4:$AJ$4,0))))=0,NA(),SUMPRODUCT((Inputs!$A$5:$A$160=$B16)*Inputs!$B$5:$B$160*(((Inputs!$G$5:$G$160="moeda")+(Inputs!$G$5:$G$160="acoes"))*Inputs!$B$1+((Inputs!$G$5:$G$160&lt;&gt;"moeda")*(Inputs!$G$5:$G$160&lt;&gt;"acoes")))*INDEX(Inputs!$K$5:$AJ$160,0,MATCH(Y$2,Inputs!$K$4:$AJ$4,0)))+SUMPRODUCT((Inputs!$C$5:$C$160=$B16)*Inputs!$D$5:$D$160*(((Inputs!$G$5:$G$160="moeda")+(Inputs!$G$5:$G$160="acoes"))*Inputs!$B$1+((Inputs!$G$5:$G$160&lt;&gt;"moeda")*(Inputs!$G$5:$G$160&lt;&gt;"acoes")))*INDEX(Inputs!$K$5:$AJ$160,0,MATCH(Y$2,Inputs!$K$4:$AJ$4,0)))+SUMPRODUCT((Inputs!$E$5:$E$160=$B16)*Inputs!$F$5:$F$160*(((Inputs!$G$5:$G$160="moeda")+(Inputs!$G$5:$G$160="acoes"))*Inputs!$B$1+((Inputs!$G$5:$G$160&lt;&gt;"moeda")*(Inputs!$G$5:$G$160&lt;&gt;"acoes")))*INDEX(Inputs!$K$5:$AJ$160,0,MATCH(Y$2,Inputs!$K$4:$AJ$4,0)))))</f>
        <v>1859.62</v>
      </c>
      <c r="Z16" s="6">
        <f>IF(ISNA(MATCH(Z$2,Inputs!$K$4:$AJ$4,0)),NA(),IF(SUMPRODUCT((Inputs!$A$5:$A$160=$B16)*ISNUMBER(INDEX(Inputs!$K$5:$AJ$160,0,MATCH(Z$2,Inputs!$K$4:$AJ$4,0))))+SUMPRODUCT((Inputs!$C$5:$C$160=$B16)*ISNUMBER(INDEX(Inputs!$K$5:$AJ$160,0,MATCH(Z$2,Inputs!$K$4:$AJ$4,0))))+SUMPRODUCT((Inputs!$E$5:$E$160=$B16)*ISNUMBER(INDEX(Inputs!$K$5:$AJ$160,0,MATCH(Z$2,Inputs!$K$4:$AJ$4,0))))=0,NA(),SUMPRODUCT((Inputs!$A$5:$A$160=$B16)*Inputs!$B$5:$B$160*(((Inputs!$G$5:$G$160="moeda")+(Inputs!$G$5:$G$160="acoes"))*Inputs!$B$1+((Inputs!$G$5:$G$160&lt;&gt;"moeda")*(Inputs!$G$5:$G$160&lt;&gt;"acoes")))*INDEX(Inputs!$K$5:$AJ$160,0,MATCH(Z$2,Inputs!$K$4:$AJ$4,0)))+SUMPRODUCT((Inputs!$C$5:$C$160=$B16)*Inputs!$D$5:$D$160*(((Inputs!$G$5:$G$160="moeda")+(Inputs!$G$5:$G$160="acoes"))*Inputs!$B$1+((Inputs!$G$5:$G$160&lt;&gt;"moeda")*(Inputs!$G$5:$G$160&lt;&gt;"acoes")))*INDEX(Inputs!$K$5:$AJ$160,0,MATCH(Z$2,Inputs!$K$4:$AJ$4,0)))+SUMPRODUCT((Inputs!$E$5:$E$160=$B16)*Inputs!$F$5:$F$160*(((Inputs!$G$5:$G$160="moeda")+(Inputs!$G$5:$G$160="acoes"))*Inputs!$B$1+((Inputs!$G$5:$G$160&lt;&gt;"moeda")*(Inputs!$G$5:$G$160&lt;&gt;"acoes")))*INDEX(Inputs!$K$5:$AJ$160,0,MATCH(Z$2,Inputs!$K$4:$AJ$4,0)))))</f>
        <v>1911.173</v>
      </c>
      <c r="AA16" s="6">
        <f>IF(ISNA(MATCH(AA$2,Inputs!$K$4:$AJ$4,0)),NA(),IF(SUMPRODUCT((Inputs!$A$5:$A$160=$B16)*ISNUMBER(INDEX(Inputs!$K$5:$AJ$160,0,MATCH(AA$2,Inputs!$K$4:$AJ$4,0))))+SUMPRODUCT((Inputs!$C$5:$C$160=$B16)*ISNUMBER(INDEX(Inputs!$K$5:$AJ$160,0,MATCH(AA$2,Inputs!$K$4:$AJ$4,0))))+SUMPRODUCT((Inputs!$E$5:$E$160=$B16)*ISNUMBER(INDEX(Inputs!$K$5:$AJ$160,0,MATCH(AA$2,Inputs!$K$4:$AJ$4,0))))=0,NA(),SUMPRODUCT((Inputs!$A$5:$A$160=$B16)*Inputs!$B$5:$B$160*(((Inputs!$G$5:$G$160="moeda")+(Inputs!$G$5:$G$160="acoes"))*Inputs!$B$1+((Inputs!$G$5:$G$160&lt;&gt;"moeda")*(Inputs!$G$5:$G$160&lt;&gt;"acoes")))*INDEX(Inputs!$K$5:$AJ$160,0,MATCH(AA$2,Inputs!$K$4:$AJ$4,0)))+SUMPRODUCT((Inputs!$C$5:$C$160=$B16)*Inputs!$D$5:$D$160*(((Inputs!$G$5:$G$160="moeda")+(Inputs!$G$5:$G$160="acoes"))*Inputs!$B$1+((Inputs!$G$5:$G$160&lt;&gt;"moeda")*(Inputs!$G$5:$G$160&lt;&gt;"acoes")))*INDEX(Inputs!$K$5:$AJ$160,0,MATCH(AA$2,Inputs!$K$4:$AJ$4,0)))+SUMPRODUCT((Inputs!$E$5:$E$160=$B16)*Inputs!$F$5:$F$160*(((Inputs!$G$5:$G$160="moeda")+(Inputs!$G$5:$G$160="acoes"))*Inputs!$B$1+((Inputs!$G$5:$G$160&lt;&gt;"moeda")*(Inputs!$G$5:$G$160&lt;&gt;"acoes")))*INDEX(Inputs!$K$5:$AJ$160,0,MATCH(AA$2,Inputs!$K$4:$AJ$4,0)))))</f>
        <v>1747.166</v>
      </c>
      <c r="AB16" s="3">
        <f>AA16</f>
        <v>1747.166</v>
      </c>
      <c r="AC16" s="6">
        <f>IF(ISNA(MATCH(AC$2,Inputs!$K$4:$AJ$4,0)),NA(),IF(SUMPRODUCT((Inputs!$A$5:$A$160=$B16)*ISNUMBER(INDEX(Inputs!$K$5:$AJ$160,0,MATCH(AC$2,Inputs!$K$4:$AJ$4,0))))+SUMPRODUCT((Inputs!$C$5:$C$160=$B16)*ISNUMBER(INDEX(Inputs!$K$5:$AJ$160,0,MATCH(AC$2,Inputs!$K$4:$AJ$4,0))))+SUMPRODUCT((Inputs!$E$5:$E$160=$B16)*ISNUMBER(INDEX(Inputs!$K$5:$AJ$160,0,MATCH(AC$2,Inputs!$K$4:$AJ$4,0))))=0,NA(),SUMPRODUCT((Inputs!$A$5:$A$160=$B16)*Inputs!$B$5:$B$160*(((Inputs!$G$5:$G$160="moeda")+(Inputs!$G$5:$G$160="acoes"))*Inputs!$B$1+((Inputs!$G$5:$G$160&lt;&gt;"moeda")*(Inputs!$G$5:$G$160&lt;&gt;"acoes")))*INDEX(Inputs!$K$5:$AJ$160,0,MATCH(AC$2,Inputs!$K$4:$AJ$4,0)))+SUMPRODUCT((Inputs!$C$5:$C$160=$B16)*Inputs!$D$5:$D$160*(((Inputs!$G$5:$G$160="moeda")+(Inputs!$G$5:$G$160="acoes"))*Inputs!$B$1+((Inputs!$G$5:$G$160&lt;&gt;"moeda")*(Inputs!$G$5:$G$160&lt;&gt;"acoes")))*INDEX(Inputs!$K$5:$AJ$160,0,MATCH(AC$2,Inputs!$K$4:$AJ$4,0)))+SUMPRODUCT((Inputs!$E$5:$E$160=$B16)*Inputs!$F$5:$F$160*(((Inputs!$G$5:$G$160="moeda")+(Inputs!$G$5:$G$160="acoes"))*Inputs!$B$1+((Inputs!$G$5:$G$160&lt;&gt;"moeda")*(Inputs!$G$5:$G$160&lt;&gt;"acoes")))*INDEX(Inputs!$K$5:$AJ$160,0,MATCH(AC$2,Inputs!$K$4:$AJ$4,0)))))</f>
        <v>2005.869</v>
      </c>
      <c r="AD16" s="6">
        <f>IF(ISNA(MATCH(AD$2,Inputs!$K$4:$AJ$4,0)),NA(),IF(SUMPRODUCT((Inputs!$A$5:$A$160=$B16)*ISNUMBER(INDEX(Inputs!$K$5:$AJ$160,0,MATCH(AD$2,Inputs!$K$4:$AJ$4,0))))+SUMPRODUCT((Inputs!$C$5:$C$160=$B16)*ISNUMBER(INDEX(Inputs!$K$5:$AJ$160,0,MATCH(AD$2,Inputs!$K$4:$AJ$4,0))))+SUMPRODUCT((Inputs!$E$5:$E$160=$B16)*ISNUMBER(INDEX(Inputs!$K$5:$AJ$160,0,MATCH(AD$2,Inputs!$K$4:$AJ$4,0))))=0,NA(),SUMPRODUCT((Inputs!$A$5:$A$160=$B16)*Inputs!$B$5:$B$160*(((Inputs!$G$5:$G$160="moeda")+(Inputs!$G$5:$G$160="acoes"))*Inputs!$B$1+((Inputs!$G$5:$G$160&lt;&gt;"moeda")*(Inputs!$G$5:$G$160&lt;&gt;"acoes")))*INDEX(Inputs!$K$5:$AJ$160,0,MATCH(AD$2,Inputs!$K$4:$AJ$4,0)))+SUMPRODUCT((Inputs!$C$5:$C$160=$B16)*Inputs!$D$5:$D$160*(((Inputs!$G$5:$G$160="moeda")+(Inputs!$G$5:$G$160="acoes"))*Inputs!$B$1+((Inputs!$G$5:$G$160&lt;&gt;"moeda")*(Inputs!$G$5:$G$160&lt;&gt;"acoes")))*INDEX(Inputs!$K$5:$AJ$160,0,MATCH(AD$2,Inputs!$K$4:$AJ$4,0)))+SUMPRODUCT((Inputs!$E$5:$E$160=$B16)*Inputs!$F$5:$F$160*(((Inputs!$G$5:$G$160="moeda")+(Inputs!$G$5:$G$160="acoes"))*Inputs!$B$1+((Inputs!$G$5:$G$160&lt;&gt;"moeda")*(Inputs!$G$5:$G$160&lt;&gt;"acoes")))*INDEX(Inputs!$K$5:$AJ$160,0,MATCH(AD$2,Inputs!$K$4:$AJ$4,0)))))</f>
        <v>2094.735</v>
      </c>
      <c r="AE16" s="6" t="e">
        <f>IF(ISNA(MATCH(AE$2,Inputs!$K$4:$AJ$4,0)),NA(),IF(SUMPRODUCT((Inputs!$A$5:$A$160=$B16)*ISNUMBER(INDEX(Inputs!$K$5:$AJ$160,0,MATCH(AE$2,Inputs!$K$4:$AJ$4,0))))+SUMPRODUCT((Inputs!$C$5:$C$160=$B16)*ISNUMBER(INDEX(Inputs!$K$5:$AJ$160,0,MATCH(AE$2,Inputs!$K$4:$AJ$4,0))))+SUMPRODUCT((Inputs!$E$5:$E$160=$B16)*ISNUMBER(INDEX(Inputs!$K$5:$AJ$160,0,MATCH(AE$2,Inputs!$K$4:$AJ$4,0))))=0,NA(),SUMPRODUCT((Inputs!$A$5:$A$160=$B16)*Inputs!$B$5:$B$160*(((Inputs!$G$5:$G$160="moeda")+(Inputs!$G$5:$G$160="acoes"))*Inputs!$B$1+((Inputs!$G$5:$G$160&lt;&gt;"moeda")*(Inputs!$G$5:$G$160&lt;&gt;"acoes")))*INDEX(Inputs!$K$5:$AJ$160,0,MATCH(AE$2,Inputs!$K$4:$AJ$4,0)))+SUMPRODUCT((Inputs!$C$5:$C$160=$B16)*Inputs!$D$5:$D$160*(((Inputs!$G$5:$G$160="moeda")+(Inputs!$G$5:$G$160="acoes"))*Inputs!$B$1+((Inputs!$G$5:$G$160&lt;&gt;"moeda")*(Inputs!$G$5:$G$160&lt;&gt;"acoes")))*INDEX(Inputs!$K$5:$AJ$160,0,MATCH(AE$2,Inputs!$K$4:$AJ$4,0)))+SUMPRODUCT((Inputs!$E$5:$E$160=$B16)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6" s="6" t="e">
        <f>IF(ISNA(MATCH(AF$2,Inputs!$K$4:$AJ$4,0)),NA(),IF(SUMPRODUCT((Inputs!$A$5:$A$160=$B16)*ISNUMBER(INDEX(Inputs!$K$5:$AJ$160,0,MATCH(AF$2,Inputs!$K$4:$AJ$4,0))))+SUMPRODUCT((Inputs!$C$5:$C$160=$B16)*ISNUMBER(INDEX(Inputs!$K$5:$AJ$160,0,MATCH(AF$2,Inputs!$K$4:$AJ$4,0))))+SUMPRODUCT((Inputs!$E$5:$E$160=$B16)*ISNUMBER(INDEX(Inputs!$K$5:$AJ$160,0,MATCH(AF$2,Inputs!$K$4:$AJ$4,0))))=0,NA(),SUMPRODUCT((Inputs!$A$5:$A$160=$B16)*Inputs!$B$5:$B$160*(((Inputs!$G$5:$G$160="moeda")+(Inputs!$G$5:$G$160="acoes"))*Inputs!$B$1+((Inputs!$G$5:$G$160&lt;&gt;"moeda")*(Inputs!$G$5:$G$160&lt;&gt;"acoes")))*INDEX(Inputs!$K$5:$AJ$160,0,MATCH(AF$2,Inputs!$K$4:$AJ$4,0)))+SUMPRODUCT((Inputs!$C$5:$C$160=$B16)*Inputs!$D$5:$D$160*(((Inputs!$G$5:$G$160="moeda")+(Inputs!$G$5:$G$160="acoes"))*Inputs!$B$1+((Inputs!$G$5:$G$160&lt;&gt;"moeda")*(Inputs!$G$5:$G$160&lt;&gt;"acoes")))*INDEX(Inputs!$K$5:$AJ$160,0,MATCH(AF$2,Inputs!$K$4:$AJ$4,0)))+SUMPRODUCT((Inputs!$E$5:$E$160=$B16)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6" s="3" t="e">
        <f>AF16</f>
        <v>#N/A</v>
      </c>
      <c r="AH16" s="6">
        <f>IF(ISNA(MATCH(AH$2,Inputs!$K$4:$AJ$4,0)),NA(),IF(SUMPRODUCT((Inputs!$A$5:$A$160=$B16)*ISNUMBER(INDEX(Inputs!$K$5:$AJ$160,0,MATCH(AH$2,Inputs!$K$4:$AJ$4,0))))+SUMPRODUCT((Inputs!$C$5:$C$160=$B16)*ISNUMBER(INDEX(Inputs!$K$5:$AJ$160,0,MATCH(AH$2,Inputs!$K$4:$AJ$4,0))))+SUMPRODUCT((Inputs!$E$5:$E$160=$B16)*ISNUMBER(INDEX(Inputs!$K$5:$AJ$160,0,MATCH(AH$2,Inputs!$K$4:$AJ$4,0))))=0,NA(),SUMPRODUCT((Inputs!$A$5:$A$160=$B16)*Inputs!$B$5:$B$160*(((Inputs!$G$5:$G$160="moeda")+(Inputs!$G$5:$G$160="acoes"))*Inputs!$B$1+((Inputs!$G$5:$G$160&lt;&gt;"moeda")*(Inputs!$G$5:$G$160&lt;&gt;"acoes")))*INDEX(Inputs!$K$5:$AJ$160,0,MATCH(AH$2,Inputs!$K$4:$AJ$4,0)))+SUMPRODUCT((Inputs!$C$5:$C$160=$B16)*Inputs!$D$5:$D$160*(((Inputs!$G$5:$G$160="moeda")+(Inputs!$G$5:$G$160="acoes"))*Inputs!$B$1+((Inputs!$G$5:$G$160&lt;&gt;"moeda")*(Inputs!$G$5:$G$160&lt;&gt;"acoes")))*INDEX(Inputs!$K$5:$AJ$160,0,MATCH(AH$2,Inputs!$K$4:$AJ$4,0)))+SUMPRODUCT((Inputs!$E$5:$E$160=$B16)*Inputs!$F$5:$F$160*(((Inputs!$G$5:$G$160="moeda")+(Inputs!$G$5:$G$160="acoes"))*Inputs!$B$1+((Inputs!$G$5:$G$160&lt;&gt;"moeda")*(Inputs!$G$5:$G$160&lt;&gt;"acoes")))*INDEX(Inputs!$K$5:$AJ$160,0,MATCH(AH$2,Inputs!$K$4:$AJ$4,0)))))</f>
        <v>548.08151402</v>
      </c>
      <c r="AI16" s="6">
        <f>IF(ISNA(MATCH(AI$2,Inputs!$K$4:$AJ$4,0)),NA(),IF(SUMPRODUCT((Inputs!$A$5:$A$160=$B16)*ISNUMBER(INDEX(Inputs!$K$5:$AJ$160,0,MATCH(AI$2,Inputs!$K$4:$AJ$4,0))))+SUMPRODUCT((Inputs!$C$5:$C$160=$B16)*ISNUMBER(INDEX(Inputs!$K$5:$AJ$160,0,MATCH(AI$2,Inputs!$K$4:$AJ$4,0))))+SUMPRODUCT((Inputs!$E$5:$E$160=$B16)*ISNUMBER(INDEX(Inputs!$K$5:$AJ$160,0,MATCH(AI$2,Inputs!$K$4:$AJ$4,0))))=0,NA(),SUMPRODUCT((Inputs!$A$5:$A$160=$B16)*Inputs!$B$5:$B$160*(((Inputs!$G$5:$G$160="moeda")+(Inputs!$G$5:$G$160="acoes"))*Inputs!$B$1+((Inputs!$G$5:$G$160&lt;&gt;"moeda")*(Inputs!$G$5:$G$160&lt;&gt;"acoes")))*INDEX(Inputs!$K$5:$AJ$160,0,MATCH(AI$2,Inputs!$K$4:$AJ$4,0)))+SUMPRODUCT((Inputs!$C$5:$C$160=$B16)*Inputs!$D$5:$D$160*(((Inputs!$G$5:$G$160="moeda")+(Inputs!$G$5:$G$160="acoes"))*Inputs!$B$1+((Inputs!$G$5:$G$160&lt;&gt;"moeda")*(Inputs!$G$5:$G$160&lt;&gt;"acoes")))*INDEX(Inputs!$K$5:$AJ$160,0,MATCH(AI$2,Inputs!$K$4:$AJ$4,0)))+SUMPRODUCT((Inputs!$E$5:$E$160=$B16)*Inputs!$F$5:$F$160*(((Inputs!$G$5:$G$160="moeda")+(Inputs!$G$5:$G$160="acoes"))*Inputs!$B$1+((Inputs!$G$5:$G$160&lt;&gt;"moeda")*(Inputs!$G$5:$G$160&lt;&gt;"acoes")))*INDEX(Inputs!$K$5:$AJ$160,0,MATCH(AI$2,Inputs!$K$4:$AJ$4,0)))))</f>
        <v>425.91700577</v>
      </c>
      <c r="AJ16" s="6">
        <f>IF(ISNA(MATCH(AJ$2,Inputs!$K$4:$AJ$4,0)),NA(),IF(SUMPRODUCT((Inputs!$A$5:$A$160=$B16)*ISNUMBER(INDEX(Inputs!$K$5:$AJ$160,0,MATCH(AJ$2,Inputs!$K$4:$AJ$4,0))))+SUMPRODUCT((Inputs!$C$5:$C$160=$B16)*ISNUMBER(INDEX(Inputs!$K$5:$AJ$160,0,MATCH(AJ$2,Inputs!$K$4:$AJ$4,0))))+SUMPRODUCT((Inputs!$E$5:$E$160=$B16)*ISNUMBER(INDEX(Inputs!$K$5:$AJ$160,0,MATCH(AJ$2,Inputs!$K$4:$AJ$4,0))))=0,NA(),SUMPRODUCT((Inputs!$A$5:$A$160=$B16)*Inputs!$B$5:$B$160*(((Inputs!$G$5:$G$160="moeda")+(Inputs!$G$5:$G$160="acoes"))*Inputs!$B$1+((Inputs!$G$5:$G$160&lt;&gt;"moeda")*(Inputs!$G$5:$G$160&lt;&gt;"acoes")))*INDEX(Inputs!$K$5:$AJ$160,0,MATCH(AJ$2,Inputs!$K$4:$AJ$4,0)))+SUMPRODUCT((Inputs!$C$5:$C$160=$B16)*Inputs!$D$5:$D$160*(((Inputs!$G$5:$G$160="moeda")+(Inputs!$G$5:$G$160="acoes"))*Inputs!$B$1+((Inputs!$G$5:$G$160&lt;&gt;"moeda")*(Inputs!$G$5:$G$160&lt;&gt;"acoes")))*INDEX(Inputs!$K$5:$AJ$160,0,MATCH(AJ$2,Inputs!$K$4:$AJ$4,0)))+SUMPRODUCT((Inputs!$E$5:$E$160=$B16)*Inputs!$F$5:$F$160*(((Inputs!$G$5:$G$160="moeda")+(Inputs!$G$5:$G$160="acoes"))*Inputs!$B$1+((Inputs!$G$5:$G$160&lt;&gt;"moeda")*(Inputs!$G$5:$G$160&lt;&gt;"acoes")))*INDEX(Inputs!$K$5:$AJ$160,0,MATCH(AJ$2,Inputs!$K$4:$AJ$4,0)))))</f>
        <v>642.00719746</v>
      </c>
      <c r="AK16" s="6">
        <f>IF(ISNA(MATCH(AK$2,Inputs!$K$4:$AJ$4,0)),NA(),IF(SUMPRODUCT((Inputs!$A$5:$A$160=$B16)*ISNUMBER(INDEX(Inputs!$K$5:$AJ$160,0,MATCH(AK$2,Inputs!$K$4:$AJ$4,0))))+SUMPRODUCT((Inputs!$C$5:$C$160=$B16)*ISNUMBER(INDEX(Inputs!$K$5:$AJ$160,0,MATCH(AK$2,Inputs!$K$4:$AJ$4,0))))+SUMPRODUCT((Inputs!$E$5:$E$160=$B16)*ISNUMBER(INDEX(Inputs!$K$5:$AJ$160,0,MATCH(AK$2,Inputs!$K$4:$AJ$4,0))))=0,NA(),SUMPRODUCT((Inputs!$A$5:$A$160=$B16)*Inputs!$B$5:$B$160*(((Inputs!$G$5:$G$160="moeda")+(Inputs!$G$5:$G$160="acoes"))*Inputs!$B$1+((Inputs!$G$5:$G$160&lt;&gt;"moeda")*(Inputs!$G$5:$G$160&lt;&gt;"acoes")))*INDEX(Inputs!$K$5:$AJ$160,0,MATCH(AK$2,Inputs!$K$4:$AJ$4,0)))+SUMPRODUCT((Inputs!$C$5:$C$160=$B16)*Inputs!$D$5:$D$160*(((Inputs!$G$5:$G$160="moeda")+(Inputs!$G$5:$G$160="acoes"))*Inputs!$B$1+((Inputs!$G$5:$G$160&lt;&gt;"moeda")*(Inputs!$G$5:$G$160&lt;&gt;"acoes")))*INDEX(Inputs!$K$5:$AJ$160,0,MATCH(AK$2,Inputs!$K$4:$AJ$4,0)))+SUMPRODUCT((Inputs!$E$5:$E$160=$B16)*Inputs!$F$5:$F$160*(((Inputs!$G$5:$G$160="moeda")+(Inputs!$G$5:$G$160="acoes"))*Inputs!$B$1+((Inputs!$G$5:$G$160&lt;&gt;"moeda")*(Inputs!$G$5:$G$160&lt;&gt;"acoes")))*INDEX(Inputs!$K$5:$AJ$160,0,MATCH(AK$2,Inputs!$K$4:$AJ$4,0)))))</f>
        <v>704.46811931</v>
      </c>
      <c r="AL16" s="3">
        <f>AK16</f>
        <v>704.46811931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$160=$B17)*ISNUMBER(INDEX(Inputs!$K$5:$AJ$160,0,MATCH(D$2,Inputs!$K$4:$AJ$4,0))))+SUMPRODUCT((Inputs!$C$5:$C$160=$B17)*ISNUMBER(INDEX(Inputs!$K$5:$AJ$160,0,MATCH(D$2,Inputs!$K$4:$AJ$4,0))))+SUMPRODUCT((Inputs!$E$5:$E$160=$B17)*ISNUMBER(INDEX(Inputs!$K$5:$AJ$160,0,MATCH(D$2,Inputs!$K$4:$AJ$4,0))))=0,NA(),SUMPRODUCT((Inputs!$A$5:$A$160=$B17)*Inputs!$B$5:$B$160*(((Inputs!$G$5:$G$160="moeda")+(Inputs!$G$5:$G$160="acoes"))*Inputs!$B$1+((Inputs!$G$5:$G$160&lt;&gt;"moeda")*(Inputs!$G$5:$G$160&lt;&gt;"acoes")))*INDEX(Inputs!$K$5:$AJ$160,0,MATCH(D$2,Inputs!$K$4:$AJ$4,0)))+SUMPRODUCT((Inputs!$C$5:$C$160=$B17)*Inputs!$D$5:$D$160*(((Inputs!$G$5:$G$160="moeda")+(Inputs!$G$5:$G$160="acoes"))*Inputs!$B$1+((Inputs!$G$5:$G$160&lt;&gt;"moeda")*(Inputs!$G$5:$G$160&lt;&gt;"acoes")))*INDEX(Inputs!$K$5:$AJ$160,0,MATCH(D$2,Inputs!$K$4:$AJ$4,0)))+SUMPRODUCT((Inputs!$E$5:$E$160=$B17)*Inputs!$F$5:$F$160*(((Inputs!$G$5:$G$160="moeda")+(Inputs!$G$5:$G$160="acoes"))*Inputs!$B$1+((Inputs!$G$5:$G$160&lt;&gt;"moeda")*(Inputs!$G$5:$G$160&lt;&gt;"acoes")))*INDEX(Inputs!$K$5:$AJ$160,0,MATCH(D$2,Inputs!$K$4:$AJ$4,0)))))</f>
        <v>63.8348316</v>
      </c>
      <c r="E17" s="6">
        <f>IF(ISNA(MATCH(E$2,Inputs!$K$4:$AJ$4,0)),NA(),IF(SUMPRODUCT((Inputs!$A$5:$A$160=$B17)*ISNUMBER(INDEX(Inputs!$K$5:$AJ$160,0,MATCH(E$2,Inputs!$K$4:$AJ$4,0))))+SUMPRODUCT((Inputs!$C$5:$C$160=$B17)*ISNUMBER(INDEX(Inputs!$K$5:$AJ$160,0,MATCH(E$2,Inputs!$K$4:$AJ$4,0))))+SUMPRODUCT((Inputs!$E$5:$E$160=$B17)*ISNUMBER(INDEX(Inputs!$K$5:$AJ$160,0,MATCH(E$2,Inputs!$K$4:$AJ$4,0))))=0,NA(),SUMPRODUCT((Inputs!$A$5:$A$160=$B17)*Inputs!$B$5:$B$160*(((Inputs!$G$5:$G$160="moeda")+(Inputs!$G$5:$G$160="acoes"))*Inputs!$B$1+((Inputs!$G$5:$G$160&lt;&gt;"moeda")*(Inputs!$G$5:$G$160&lt;&gt;"acoes")))*INDEX(Inputs!$K$5:$AJ$160,0,MATCH(E$2,Inputs!$K$4:$AJ$4,0)))+SUMPRODUCT((Inputs!$C$5:$C$160=$B17)*Inputs!$D$5:$D$160*(((Inputs!$G$5:$G$160="moeda")+(Inputs!$G$5:$G$160="acoes"))*Inputs!$B$1+((Inputs!$G$5:$G$160&lt;&gt;"moeda")*(Inputs!$G$5:$G$160&lt;&gt;"acoes")))*INDEX(Inputs!$K$5:$AJ$160,0,MATCH(E$2,Inputs!$K$4:$AJ$4,0)))+SUMPRODUCT((Inputs!$E$5:$E$160=$B17)*Inputs!$F$5:$F$160*(((Inputs!$G$5:$G$160="moeda")+(Inputs!$G$5:$G$160="acoes"))*Inputs!$B$1+((Inputs!$G$5:$G$160&lt;&gt;"moeda")*(Inputs!$G$5:$G$160&lt;&gt;"acoes")))*INDEX(Inputs!$K$5:$AJ$160,0,MATCH(E$2,Inputs!$K$4:$AJ$4,0)))))</f>
        <v>71.51351074</v>
      </c>
      <c r="F17" s="6">
        <f>IF(ISNA(MATCH(F$2,Inputs!$K$4:$AJ$4,0)),NA(),IF(SUMPRODUCT((Inputs!$A$5:$A$160=$B17)*ISNUMBER(INDEX(Inputs!$K$5:$AJ$160,0,MATCH(F$2,Inputs!$K$4:$AJ$4,0))))+SUMPRODUCT((Inputs!$C$5:$C$160=$B17)*ISNUMBER(INDEX(Inputs!$K$5:$AJ$160,0,MATCH(F$2,Inputs!$K$4:$AJ$4,0))))+SUMPRODUCT((Inputs!$E$5:$E$160=$B17)*ISNUMBER(INDEX(Inputs!$K$5:$AJ$160,0,MATCH(F$2,Inputs!$K$4:$AJ$4,0))))=0,NA(),SUMPRODUCT((Inputs!$A$5:$A$160=$B17)*Inputs!$B$5:$B$160*(((Inputs!$G$5:$G$160="moeda")+(Inputs!$G$5:$G$160="acoes"))*Inputs!$B$1+((Inputs!$G$5:$G$160&lt;&gt;"moeda")*(Inputs!$G$5:$G$160&lt;&gt;"acoes")))*INDEX(Inputs!$K$5:$AJ$160,0,MATCH(F$2,Inputs!$K$4:$AJ$4,0)))+SUMPRODUCT((Inputs!$C$5:$C$160=$B17)*Inputs!$D$5:$D$160*(((Inputs!$G$5:$G$160="moeda")+(Inputs!$G$5:$G$160="acoes"))*Inputs!$B$1+((Inputs!$G$5:$G$160&lt;&gt;"moeda")*(Inputs!$G$5:$G$160&lt;&gt;"acoes")))*INDEX(Inputs!$K$5:$AJ$160,0,MATCH(F$2,Inputs!$K$4:$AJ$4,0)))+SUMPRODUCT((Inputs!$E$5:$E$160=$B17)*Inputs!$F$5:$F$160*(((Inputs!$G$5:$G$160="moeda")+(Inputs!$G$5:$G$160="acoes"))*Inputs!$B$1+((Inputs!$G$5:$G$160&lt;&gt;"moeda")*(Inputs!$G$5:$G$160&lt;&gt;"acoes")))*INDEX(Inputs!$K$5:$AJ$160,0,MATCH(F$2,Inputs!$K$4:$AJ$4,0)))))</f>
        <v>68.37885212</v>
      </c>
      <c r="G17" s="6">
        <f>IF(ISNA(MATCH(G$2,Inputs!$K$4:$AJ$4,0)),NA(),IF(SUMPRODUCT((Inputs!$A$5:$A$160=$B17)*ISNUMBER(INDEX(Inputs!$K$5:$AJ$160,0,MATCH(G$2,Inputs!$K$4:$AJ$4,0))))+SUMPRODUCT((Inputs!$C$5:$C$160=$B17)*ISNUMBER(INDEX(Inputs!$K$5:$AJ$160,0,MATCH(G$2,Inputs!$K$4:$AJ$4,0))))+SUMPRODUCT((Inputs!$E$5:$E$160=$B17)*ISNUMBER(INDEX(Inputs!$K$5:$AJ$160,0,MATCH(G$2,Inputs!$K$4:$AJ$4,0))))=0,NA(),SUMPRODUCT((Inputs!$A$5:$A$160=$B17)*Inputs!$B$5:$B$160*(((Inputs!$G$5:$G$160="moeda")+(Inputs!$G$5:$G$160="acoes"))*Inputs!$B$1+((Inputs!$G$5:$G$160&lt;&gt;"moeda")*(Inputs!$G$5:$G$160&lt;&gt;"acoes")))*INDEX(Inputs!$K$5:$AJ$160,0,MATCH(G$2,Inputs!$K$4:$AJ$4,0)))+SUMPRODUCT((Inputs!$C$5:$C$160=$B17)*Inputs!$D$5:$D$160*(((Inputs!$G$5:$G$160="moeda")+(Inputs!$G$5:$G$160="acoes"))*Inputs!$B$1+((Inputs!$G$5:$G$160&lt;&gt;"moeda")*(Inputs!$G$5:$G$160&lt;&gt;"acoes")))*INDEX(Inputs!$K$5:$AJ$160,0,MATCH(G$2,Inputs!$K$4:$AJ$4,0)))+SUMPRODUCT((Inputs!$E$5:$E$160=$B17)*Inputs!$F$5:$F$160*(((Inputs!$G$5:$G$160="moeda")+(Inputs!$G$5:$G$160="acoes"))*Inputs!$B$1+((Inputs!$G$5:$G$160&lt;&gt;"moeda")*(Inputs!$G$5:$G$160&lt;&gt;"acoes")))*INDEX(Inputs!$K$5:$AJ$160,0,MATCH(G$2,Inputs!$K$4:$AJ$4,0)))))</f>
        <v>72.60991872</v>
      </c>
      <c r="H17" s="3">
        <f>G17</f>
        <v>72.60991872</v>
      </c>
      <c r="I17" s="6">
        <f>IF(ISNA(MATCH(I$2,Inputs!$K$4:$AJ$4,0)),NA(),IF(SUMPRODUCT((Inputs!$A$5:$A$160=$B17)*ISNUMBER(INDEX(Inputs!$K$5:$AJ$160,0,MATCH(I$2,Inputs!$K$4:$AJ$4,0))))+SUMPRODUCT((Inputs!$C$5:$C$160=$B17)*ISNUMBER(INDEX(Inputs!$K$5:$AJ$160,0,MATCH(I$2,Inputs!$K$4:$AJ$4,0))))+SUMPRODUCT((Inputs!$E$5:$E$160=$B17)*ISNUMBER(INDEX(Inputs!$K$5:$AJ$160,0,MATCH(I$2,Inputs!$K$4:$AJ$4,0))))=0,NA(),SUMPRODUCT((Inputs!$A$5:$A$160=$B17)*Inputs!$B$5:$B$160*(((Inputs!$G$5:$G$160="moeda")+(Inputs!$G$5:$G$160="acoes"))*Inputs!$B$1+((Inputs!$G$5:$G$160&lt;&gt;"moeda")*(Inputs!$G$5:$G$160&lt;&gt;"acoes")))*INDEX(Inputs!$K$5:$AJ$160,0,MATCH(I$2,Inputs!$K$4:$AJ$4,0)))+SUMPRODUCT((Inputs!$C$5:$C$160=$B17)*Inputs!$D$5:$D$160*(((Inputs!$G$5:$G$160="moeda")+(Inputs!$G$5:$G$160="acoes"))*Inputs!$B$1+((Inputs!$G$5:$G$160&lt;&gt;"moeda")*(Inputs!$G$5:$G$160&lt;&gt;"acoes")))*INDEX(Inputs!$K$5:$AJ$160,0,MATCH(I$2,Inputs!$K$4:$AJ$4,0)))+SUMPRODUCT((Inputs!$E$5:$E$160=$B17)*Inputs!$F$5:$F$160*(((Inputs!$G$5:$G$160="moeda")+(Inputs!$G$5:$G$160="acoes"))*Inputs!$B$1+((Inputs!$G$5:$G$160&lt;&gt;"moeda")*(Inputs!$G$5:$G$160&lt;&gt;"acoes")))*INDEX(Inputs!$K$5:$AJ$160,0,MATCH(I$2,Inputs!$K$4:$AJ$4,0)))))</f>
        <v>95.16856361</v>
      </c>
      <c r="J17" s="6">
        <f>IF(ISNA(MATCH(J$2,Inputs!$K$4:$AJ$4,0)),NA(),IF(SUMPRODUCT((Inputs!$A$5:$A$160=$B17)*ISNUMBER(INDEX(Inputs!$K$5:$AJ$160,0,MATCH(J$2,Inputs!$K$4:$AJ$4,0))))+SUMPRODUCT((Inputs!$C$5:$C$160=$B17)*ISNUMBER(INDEX(Inputs!$K$5:$AJ$160,0,MATCH(J$2,Inputs!$K$4:$AJ$4,0))))+SUMPRODUCT((Inputs!$E$5:$E$160=$B17)*ISNUMBER(INDEX(Inputs!$K$5:$AJ$160,0,MATCH(J$2,Inputs!$K$4:$AJ$4,0))))=0,NA(),SUMPRODUCT((Inputs!$A$5:$A$160=$B17)*Inputs!$B$5:$B$160*(((Inputs!$G$5:$G$160="moeda")+(Inputs!$G$5:$G$160="acoes"))*Inputs!$B$1+((Inputs!$G$5:$G$160&lt;&gt;"moeda")*(Inputs!$G$5:$G$160&lt;&gt;"acoes")))*INDEX(Inputs!$K$5:$AJ$160,0,MATCH(J$2,Inputs!$K$4:$AJ$4,0)))+SUMPRODUCT((Inputs!$C$5:$C$160=$B17)*Inputs!$D$5:$D$160*(((Inputs!$G$5:$G$160="moeda")+(Inputs!$G$5:$G$160="acoes"))*Inputs!$B$1+((Inputs!$G$5:$G$160&lt;&gt;"moeda")*(Inputs!$G$5:$G$160&lt;&gt;"acoes")))*INDEX(Inputs!$K$5:$AJ$160,0,MATCH(J$2,Inputs!$K$4:$AJ$4,0)))+SUMPRODUCT((Inputs!$E$5:$E$160=$B17)*Inputs!$F$5:$F$160*(((Inputs!$G$5:$G$160="moeda")+(Inputs!$G$5:$G$160="acoes"))*Inputs!$B$1+((Inputs!$G$5:$G$160&lt;&gt;"moeda")*(Inputs!$G$5:$G$160&lt;&gt;"acoes")))*INDEX(Inputs!$K$5:$AJ$160,0,MATCH(J$2,Inputs!$K$4:$AJ$4,0)))))</f>
        <v>76.20863578</v>
      </c>
      <c r="K17" s="6">
        <f>IF(ISNA(MATCH(K$2,Inputs!$K$4:$AJ$4,0)),NA(),IF(SUMPRODUCT((Inputs!$A$5:$A$160=$B17)*ISNUMBER(INDEX(Inputs!$K$5:$AJ$160,0,MATCH(K$2,Inputs!$K$4:$AJ$4,0))))+SUMPRODUCT((Inputs!$C$5:$C$160=$B17)*ISNUMBER(INDEX(Inputs!$K$5:$AJ$160,0,MATCH(K$2,Inputs!$K$4:$AJ$4,0))))+SUMPRODUCT((Inputs!$E$5:$E$160=$B17)*ISNUMBER(INDEX(Inputs!$K$5:$AJ$160,0,MATCH(K$2,Inputs!$K$4:$AJ$4,0))))=0,NA(),SUMPRODUCT((Inputs!$A$5:$A$160=$B17)*Inputs!$B$5:$B$160*(((Inputs!$G$5:$G$160="moeda")+(Inputs!$G$5:$G$160="acoes"))*Inputs!$B$1+((Inputs!$G$5:$G$160&lt;&gt;"moeda")*(Inputs!$G$5:$G$160&lt;&gt;"acoes")))*INDEX(Inputs!$K$5:$AJ$160,0,MATCH(K$2,Inputs!$K$4:$AJ$4,0)))+SUMPRODUCT((Inputs!$C$5:$C$160=$B17)*Inputs!$D$5:$D$160*(((Inputs!$G$5:$G$160="moeda")+(Inputs!$G$5:$G$160="acoes"))*Inputs!$B$1+((Inputs!$G$5:$G$160&lt;&gt;"moeda")*(Inputs!$G$5:$G$160&lt;&gt;"acoes")))*INDEX(Inputs!$K$5:$AJ$160,0,MATCH(K$2,Inputs!$K$4:$AJ$4,0)))+SUMPRODUCT((Inputs!$E$5:$E$160=$B17)*Inputs!$F$5:$F$160*(((Inputs!$G$5:$G$160="moeda")+(Inputs!$G$5:$G$160="acoes"))*Inputs!$B$1+((Inputs!$G$5:$G$160&lt;&gt;"moeda")*(Inputs!$G$5:$G$160&lt;&gt;"acoes")))*INDEX(Inputs!$K$5:$AJ$160,0,MATCH(K$2,Inputs!$K$4:$AJ$4,0)))))</f>
        <v>85.47263984</v>
      </c>
      <c r="L17" s="6">
        <f>IF(ISNA(MATCH(L$2,Inputs!$K$4:$AJ$4,0)),NA(),IF(SUMPRODUCT((Inputs!$A$5:$A$160=$B17)*ISNUMBER(INDEX(Inputs!$K$5:$AJ$160,0,MATCH(L$2,Inputs!$K$4:$AJ$4,0))))+SUMPRODUCT((Inputs!$C$5:$C$160=$B17)*ISNUMBER(INDEX(Inputs!$K$5:$AJ$160,0,MATCH(L$2,Inputs!$K$4:$AJ$4,0))))+SUMPRODUCT((Inputs!$E$5:$E$160=$B17)*ISNUMBER(INDEX(Inputs!$K$5:$AJ$160,0,MATCH(L$2,Inputs!$K$4:$AJ$4,0))))=0,NA(),SUMPRODUCT((Inputs!$A$5:$A$160=$B17)*Inputs!$B$5:$B$160*(((Inputs!$G$5:$G$160="moeda")+(Inputs!$G$5:$G$160="acoes"))*Inputs!$B$1+((Inputs!$G$5:$G$160&lt;&gt;"moeda")*(Inputs!$G$5:$G$160&lt;&gt;"acoes")))*INDEX(Inputs!$K$5:$AJ$160,0,MATCH(L$2,Inputs!$K$4:$AJ$4,0)))+SUMPRODUCT((Inputs!$C$5:$C$160=$B17)*Inputs!$D$5:$D$160*(((Inputs!$G$5:$G$160="moeda")+(Inputs!$G$5:$G$160="acoes"))*Inputs!$B$1+((Inputs!$G$5:$G$160&lt;&gt;"moeda")*(Inputs!$G$5:$G$160&lt;&gt;"acoes")))*INDEX(Inputs!$K$5:$AJ$160,0,MATCH(L$2,Inputs!$K$4:$AJ$4,0)))+SUMPRODUCT((Inputs!$E$5:$E$160=$B17)*Inputs!$F$5:$F$160*(((Inputs!$G$5:$G$160="moeda")+(Inputs!$G$5:$G$160="acoes"))*Inputs!$B$1+((Inputs!$G$5:$G$160&lt;&gt;"moeda")*(Inputs!$G$5:$G$160&lt;&gt;"acoes")))*INDEX(Inputs!$K$5:$AJ$160,0,MATCH(L$2,Inputs!$K$4:$AJ$4,0)))))</f>
        <v>96.57554571</v>
      </c>
      <c r="M17" s="3">
        <f>L17</f>
        <v>96.57554571</v>
      </c>
      <c r="N17" s="6">
        <f>IF(ISNA(MATCH(N$2,Inputs!$K$4:$AJ$4,0)),NA(),IF(SUMPRODUCT((Inputs!$A$5:$A$160=$B17)*ISNUMBER(INDEX(Inputs!$K$5:$AJ$160,0,MATCH(N$2,Inputs!$K$4:$AJ$4,0))))+SUMPRODUCT((Inputs!$C$5:$C$160=$B17)*ISNUMBER(INDEX(Inputs!$K$5:$AJ$160,0,MATCH(N$2,Inputs!$K$4:$AJ$4,0))))+SUMPRODUCT((Inputs!$E$5:$E$160=$B17)*ISNUMBER(INDEX(Inputs!$K$5:$AJ$160,0,MATCH(N$2,Inputs!$K$4:$AJ$4,0))))=0,NA(),SUMPRODUCT((Inputs!$A$5:$A$160=$B17)*Inputs!$B$5:$B$160*(((Inputs!$G$5:$G$160="moeda")+(Inputs!$G$5:$G$160="acoes"))*Inputs!$B$1+((Inputs!$G$5:$G$160&lt;&gt;"moeda")*(Inputs!$G$5:$G$160&lt;&gt;"acoes")))*INDEX(Inputs!$K$5:$AJ$160,0,MATCH(N$2,Inputs!$K$4:$AJ$4,0)))+SUMPRODUCT((Inputs!$C$5:$C$160=$B17)*Inputs!$D$5:$D$160*(((Inputs!$G$5:$G$160="moeda")+(Inputs!$G$5:$G$160="acoes"))*Inputs!$B$1+((Inputs!$G$5:$G$160&lt;&gt;"moeda")*(Inputs!$G$5:$G$160&lt;&gt;"acoes")))*INDEX(Inputs!$K$5:$AJ$160,0,MATCH(N$2,Inputs!$K$4:$AJ$4,0)))+SUMPRODUCT((Inputs!$E$5:$E$160=$B17)*Inputs!$F$5:$F$160*(((Inputs!$G$5:$G$160="moeda")+(Inputs!$G$5:$G$160="acoes"))*Inputs!$B$1+((Inputs!$G$5:$G$160&lt;&gt;"moeda")*(Inputs!$G$5:$G$160&lt;&gt;"acoes")))*INDEX(Inputs!$K$5:$AJ$160,0,MATCH(N$2,Inputs!$K$4:$AJ$4,0)))))</f>
        <v>99.24706762</v>
      </c>
      <c r="O17" s="6">
        <f>IF(ISNA(MATCH(O$2,Inputs!$K$4:$AJ$4,0)),NA(),IF(SUMPRODUCT((Inputs!$A$5:$A$160=$B17)*ISNUMBER(INDEX(Inputs!$K$5:$AJ$160,0,MATCH(O$2,Inputs!$K$4:$AJ$4,0))))+SUMPRODUCT((Inputs!$C$5:$C$160=$B17)*ISNUMBER(INDEX(Inputs!$K$5:$AJ$160,0,MATCH(O$2,Inputs!$K$4:$AJ$4,0))))+SUMPRODUCT((Inputs!$E$5:$E$160=$B17)*ISNUMBER(INDEX(Inputs!$K$5:$AJ$160,0,MATCH(O$2,Inputs!$K$4:$AJ$4,0))))=0,NA(),SUMPRODUCT((Inputs!$A$5:$A$160=$B17)*Inputs!$B$5:$B$160*(((Inputs!$G$5:$G$160="moeda")+(Inputs!$G$5:$G$160="acoes"))*Inputs!$B$1+((Inputs!$G$5:$G$160&lt;&gt;"moeda")*(Inputs!$G$5:$G$160&lt;&gt;"acoes")))*INDEX(Inputs!$K$5:$AJ$160,0,MATCH(O$2,Inputs!$K$4:$AJ$4,0)))+SUMPRODUCT((Inputs!$C$5:$C$160=$B17)*Inputs!$D$5:$D$160*(((Inputs!$G$5:$G$160="moeda")+(Inputs!$G$5:$G$160="acoes"))*Inputs!$B$1+((Inputs!$G$5:$G$160&lt;&gt;"moeda")*(Inputs!$G$5:$G$160&lt;&gt;"acoes")))*INDEX(Inputs!$K$5:$AJ$160,0,MATCH(O$2,Inputs!$K$4:$AJ$4,0)))+SUMPRODUCT((Inputs!$E$5:$E$160=$B17)*Inputs!$F$5:$F$160*(((Inputs!$G$5:$G$160="moeda")+(Inputs!$G$5:$G$160="acoes"))*Inputs!$B$1+((Inputs!$G$5:$G$160&lt;&gt;"moeda")*(Inputs!$G$5:$G$160&lt;&gt;"acoes")))*INDEX(Inputs!$K$5:$AJ$160,0,MATCH(O$2,Inputs!$K$4:$AJ$4,0)))))</f>
        <v>132.464</v>
      </c>
      <c r="P17" s="6">
        <f>IF(ISNA(MATCH(P$2,Inputs!$K$4:$AJ$4,0)),NA(),IF(SUMPRODUCT((Inputs!$A$5:$A$160=$B17)*ISNUMBER(INDEX(Inputs!$K$5:$AJ$160,0,MATCH(P$2,Inputs!$K$4:$AJ$4,0))))+SUMPRODUCT((Inputs!$C$5:$C$160=$B17)*ISNUMBER(INDEX(Inputs!$K$5:$AJ$160,0,MATCH(P$2,Inputs!$K$4:$AJ$4,0))))+SUMPRODUCT((Inputs!$E$5:$E$160=$B17)*ISNUMBER(INDEX(Inputs!$K$5:$AJ$160,0,MATCH(P$2,Inputs!$K$4:$AJ$4,0))))=0,NA(),SUMPRODUCT((Inputs!$A$5:$A$160=$B17)*Inputs!$B$5:$B$160*(((Inputs!$G$5:$G$160="moeda")+(Inputs!$G$5:$G$160="acoes"))*Inputs!$B$1+((Inputs!$G$5:$G$160&lt;&gt;"moeda")*(Inputs!$G$5:$G$160&lt;&gt;"acoes")))*INDEX(Inputs!$K$5:$AJ$160,0,MATCH(P$2,Inputs!$K$4:$AJ$4,0)))+SUMPRODUCT((Inputs!$C$5:$C$160=$B17)*Inputs!$D$5:$D$160*(((Inputs!$G$5:$G$160="moeda")+(Inputs!$G$5:$G$160="acoes"))*Inputs!$B$1+((Inputs!$G$5:$G$160&lt;&gt;"moeda")*(Inputs!$G$5:$G$160&lt;&gt;"acoes")))*INDEX(Inputs!$K$5:$AJ$160,0,MATCH(P$2,Inputs!$K$4:$AJ$4,0)))+SUMPRODUCT((Inputs!$E$5:$E$160=$B17)*Inputs!$F$5:$F$160*(((Inputs!$G$5:$G$160="moeda")+(Inputs!$G$5:$G$160="acoes"))*Inputs!$B$1+((Inputs!$G$5:$G$160&lt;&gt;"moeda")*(Inputs!$G$5:$G$160&lt;&gt;"acoes")))*INDEX(Inputs!$K$5:$AJ$160,0,MATCH(P$2,Inputs!$K$4:$AJ$4,0)))))</f>
        <v>135.196</v>
      </c>
      <c r="Q17" s="6">
        <f>IF(ISNA(MATCH(Q$2,Inputs!$K$4:$AJ$4,0)),NA(),IF(SUMPRODUCT((Inputs!$A$5:$A$160=$B17)*ISNUMBER(INDEX(Inputs!$K$5:$AJ$160,0,MATCH(Q$2,Inputs!$K$4:$AJ$4,0))))+SUMPRODUCT((Inputs!$C$5:$C$160=$B17)*ISNUMBER(INDEX(Inputs!$K$5:$AJ$160,0,MATCH(Q$2,Inputs!$K$4:$AJ$4,0))))+SUMPRODUCT((Inputs!$E$5:$E$160=$B17)*ISNUMBER(INDEX(Inputs!$K$5:$AJ$160,0,MATCH(Q$2,Inputs!$K$4:$AJ$4,0))))=0,NA(),SUMPRODUCT((Inputs!$A$5:$A$160=$B17)*Inputs!$B$5:$B$160*(((Inputs!$G$5:$G$160="moeda")+(Inputs!$G$5:$G$160="acoes"))*Inputs!$B$1+((Inputs!$G$5:$G$160&lt;&gt;"moeda")*(Inputs!$G$5:$G$160&lt;&gt;"acoes")))*INDEX(Inputs!$K$5:$AJ$160,0,MATCH(Q$2,Inputs!$K$4:$AJ$4,0)))+SUMPRODUCT((Inputs!$C$5:$C$160=$B17)*Inputs!$D$5:$D$160*(((Inputs!$G$5:$G$160="moeda")+(Inputs!$G$5:$G$160="acoes"))*Inputs!$B$1+((Inputs!$G$5:$G$160&lt;&gt;"moeda")*(Inputs!$G$5:$G$160&lt;&gt;"acoes")))*INDEX(Inputs!$K$5:$AJ$160,0,MATCH(Q$2,Inputs!$K$4:$AJ$4,0)))+SUMPRODUCT((Inputs!$E$5:$E$160=$B17)*Inputs!$F$5:$F$160*(((Inputs!$G$5:$G$160="moeda")+(Inputs!$G$5:$G$160="acoes"))*Inputs!$B$1+((Inputs!$G$5:$G$160&lt;&gt;"moeda")*(Inputs!$G$5:$G$160&lt;&gt;"acoes")))*INDEX(Inputs!$K$5:$AJ$160,0,MATCH(Q$2,Inputs!$K$4:$AJ$4,0)))))</f>
        <v>134.929</v>
      </c>
      <c r="R17" s="3">
        <f>Q17</f>
        <v>134.929</v>
      </c>
      <c r="S17" s="6">
        <f>IF(ISNA(MATCH(S$2,Inputs!$K$4:$AJ$4,0)),NA(),IF(SUMPRODUCT((Inputs!$A$5:$A$160=$B17)*ISNUMBER(INDEX(Inputs!$K$5:$AJ$160,0,MATCH(S$2,Inputs!$K$4:$AJ$4,0))))+SUMPRODUCT((Inputs!$C$5:$C$160=$B17)*ISNUMBER(INDEX(Inputs!$K$5:$AJ$160,0,MATCH(S$2,Inputs!$K$4:$AJ$4,0))))+SUMPRODUCT((Inputs!$E$5:$E$160=$B17)*ISNUMBER(INDEX(Inputs!$K$5:$AJ$160,0,MATCH(S$2,Inputs!$K$4:$AJ$4,0))))=0,NA(),SUMPRODUCT((Inputs!$A$5:$A$160=$B17)*Inputs!$B$5:$B$160*(((Inputs!$G$5:$G$160="moeda")+(Inputs!$G$5:$G$160="acoes"))*Inputs!$B$1+((Inputs!$G$5:$G$160&lt;&gt;"moeda")*(Inputs!$G$5:$G$160&lt;&gt;"acoes")))*INDEX(Inputs!$K$5:$AJ$160,0,MATCH(S$2,Inputs!$K$4:$AJ$4,0)))+SUMPRODUCT((Inputs!$C$5:$C$160=$B17)*Inputs!$D$5:$D$160*(((Inputs!$G$5:$G$160="moeda")+(Inputs!$G$5:$G$160="acoes"))*Inputs!$B$1+((Inputs!$G$5:$G$160&lt;&gt;"moeda")*(Inputs!$G$5:$G$160&lt;&gt;"acoes")))*INDEX(Inputs!$K$5:$AJ$160,0,MATCH(S$2,Inputs!$K$4:$AJ$4,0)))+SUMPRODUCT((Inputs!$E$5:$E$160=$B17)*Inputs!$F$5:$F$160*(((Inputs!$G$5:$G$160="moeda")+(Inputs!$G$5:$G$160="acoes"))*Inputs!$B$1+((Inputs!$G$5:$G$160&lt;&gt;"moeda")*(Inputs!$G$5:$G$160&lt;&gt;"acoes")))*INDEX(Inputs!$K$5:$AJ$160,0,MATCH(S$2,Inputs!$K$4:$AJ$4,0)))))</f>
        <v>127.562</v>
      </c>
      <c r="T17" s="6">
        <f>IF(ISNA(MATCH(T$2,Inputs!$K$4:$AJ$4,0)),NA(),IF(SUMPRODUCT((Inputs!$A$5:$A$160=$B17)*ISNUMBER(INDEX(Inputs!$K$5:$AJ$160,0,MATCH(T$2,Inputs!$K$4:$AJ$4,0))))+SUMPRODUCT((Inputs!$C$5:$C$160=$B17)*ISNUMBER(INDEX(Inputs!$K$5:$AJ$160,0,MATCH(T$2,Inputs!$K$4:$AJ$4,0))))+SUMPRODUCT((Inputs!$E$5:$E$160=$B17)*ISNUMBER(INDEX(Inputs!$K$5:$AJ$160,0,MATCH(T$2,Inputs!$K$4:$AJ$4,0))))=0,NA(),SUMPRODUCT((Inputs!$A$5:$A$160=$B17)*Inputs!$B$5:$B$160*(((Inputs!$G$5:$G$160="moeda")+(Inputs!$G$5:$G$160="acoes"))*Inputs!$B$1+((Inputs!$G$5:$G$160&lt;&gt;"moeda")*(Inputs!$G$5:$G$160&lt;&gt;"acoes")))*INDEX(Inputs!$K$5:$AJ$160,0,MATCH(T$2,Inputs!$K$4:$AJ$4,0)))+SUMPRODUCT((Inputs!$C$5:$C$160=$B17)*Inputs!$D$5:$D$160*(((Inputs!$G$5:$G$160="moeda")+(Inputs!$G$5:$G$160="acoes"))*Inputs!$B$1+((Inputs!$G$5:$G$160&lt;&gt;"moeda")*(Inputs!$G$5:$G$160&lt;&gt;"acoes")))*INDEX(Inputs!$K$5:$AJ$160,0,MATCH(T$2,Inputs!$K$4:$AJ$4,0)))+SUMPRODUCT((Inputs!$E$5:$E$160=$B17)*Inputs!$F$5:$F$160*(((Inputs!$G$5:$G$160="moeda")+(Inputs!$G$5:$G$160="acoes"))*Inputs!$B$1+((Inputs!$G$5:$G$160&lt;&gt;"moeda")*(Inputs!$G$5:$G$160&lt;&gt;"acoes")))*INDEX(Inputs!$K$5:$AJ$160,0,MATCH(T$2,Inputs!$K$4:$AJ$4,0)))))</f>
        <v>139.551</v>
      </c>
      <c r="U17" s="6">
        <f>IF(ISNA(MATCH(U$2,Inputs!$K$4:$AJ$4,0)),NA(),IF(SUMPRODUCT((Inputs!$A$5:$A$160=$B17)*ISNUMBER(INDEX(Inputs!$K$5:$AJ$160,0,MATCH(U$2,Inputs!$K$4:$AJ$4,0))))+SUMPRODUCT((Inputs!$C$5:$C$160=$B17)*ISNUMBER(INDEX(Inputs!$K$5:$AJ$160,0,MATCH(U$2,Inputs!$K$4:$AJ$4,0))))+SUMPRODUCT((Inputs!$E$5:$E$160=$B17)*ISNUMBER(INDEX(Inputs!$K$5:$AJ$160,0,MATCH(U$2,Inputs!$K$4:$AJ$4,0))))=0,NA(),SUMPRODUCT((Inputs!$A$5:$A$160=$B17)*Inputs!$B$5:$B$160*(((Inputs!$G$5:$G$160="moeda")+(Inputs!$G$5:$G$160="acoes"))*Inputs!$B$1+((Inputs!$G$5:$G$160&lt;&gt;"moeda")*(Inputs!$G$5:$G$160&lt;&gt;"acoes")))*INDEX(Inputs!$K$5:$AJ$160,0,MATCH(U$2,Inputs!$K$4:$AJ$4,0)))+SUMPRODUCT((Inputs!$C$5:$C$160=$B17)*Inputs!$D$5:$D$160*(((Inputs!$G$5:$G$160="moeda")+(Inputs!$G$5:$G$160="acoes"))*Inputs!$B$1+((Inputs!$G$5:$G$160&lt;&gt;"moeda")*(Inputs!$G$5:$G$160&lt;&gt;"acoes")))*INDEX(Inputs!$K$5:$AJ$160,0,MATCH(U$2,Inputs!$K$4:$AJ$4,0)))+SUMPRODUCT((Inputs!$E$5:$E$160=$B17)*Inputs!$F$5:$F$160*(((Inputs!$G$5:$G$160="moeda")+(Inputs!$G$5:$G$160="acoes"))*Inputs!$B$1+((Inputs!$G$5:$G$160&lt;&gt;"moeda")*(Inputs!$G$5:$G$160&lt;&gt;"acoes")))*INDEX(Inputs!$K$5:$AJ$160,0,MATCH(U$2,Inputs!$K$4:$AJ$4,0)))))</f>
        <v>139.511</v>
      </c>
      <c r="V17" s="6">
        <f>IF(ISNA(MATCH(V$2,Inputs!$K$4:$AJ$4,0)),NA(),IF(SUMPRODUCT((Inputs!$A$5:$A$160=$B17)*ISNUMBER(INDEX(Inputs!$K$5:$AJ$160,0,MATCH(V$2,Inputs!$K$4:$AJ$4,0))))+SUMPRODUCT((Inputs!$C$5:$C$160=$B17)*ISNUMBER(INDEX(Inputs!$K$5:$AJ$160,0,MATCH(V$2,Inputs!$K$4:$AJ$4,0))))+SUMPRODUCT((Inputs!$E$5:$E$160=$B17)*ISNUMBER(INDEX(Inputs!$K$5:$AJ$160,0,MATCH(V$2,Inputs!$K$4:$AJ$4,0))))=0,NA(),SUMPRODUCT((Inputs!$A$5:$A$160=$B17)*Inputs!$B$5:$B$160*(((Inputs!$G$5:$G$160="moeda")+(Inputs!$G$5:$G$160="acoes"))*Inputs!$B$1+((Inputs!$G$5:$G$160&lt;&gt;"moeda")*(Inputs!$G$5:$G$160&lt;&gt;"acoes")))*INDEX(Inputs!$K$5:$AJ$160,0,MATCH(V$2,Inputs!$K$4:$AJ$4,0)))+SUMPRODUCT((Inputs!$C$5:$C$160=$B17)*Inputs!$D$5:$D$160*(((Inputs!$G$5:$G$160="moeda")+(Inputs!$G$5:$G$160="acoes"))*Inputs!$B$1+((Inputs!$G$5:$G$160&lt;&gt;"moeda")*(Inputs!$G$5:$G$160&lt;&gt;"acoes")))*INDEX(Inputs!$K$5:$AJ$160,0,MATCH(V$2,Inputs!$K$4:$AJ$4,0)))+SUMPRODUCT((Inputs!$E$5:$E$160=$B17)*Inputs!$F$5:$F$160*(((Inputs!$G$5:$G$160="moeda")+(Inputs!$G$5:$G$160="acoes"))*Inputs!$B$1+((Inputs!$G$5:$G$160&lt;&gt;"moeda")*(Inputs!$G$5:$G$160&lt;&gt;"acoes")))*INDEX(Inputs!$K$5:$AJ$160,0,MATCH(V$2,Inputs!$K$4:$AJ$4,0)))))</f>
        <v>155.036</v>
      </c>
      <c r="W17" s="3">
        <f>V17</f>
        <v>155.036</v>
      </c>
      <c r="X17" s="6">
        <f>IF(ISNA(MATCH(X$2,Inputs!$K$4:$AJ$4,0)),NA(),IF(SUMPRODUCT((Inputs!$A$5:$A$160=$B17)*ISNUMBER(INDEX(Inputs!$K$5:$AJ$160,0,MATCH(X$2,Inputs!$K$4:$AJ$4,0))))+SUMPRODUCT((Inputs!$C$5:$C$160=$B17)*ISNUMBER(INDEX(Inputs!$K$5:$AJ$160,0,MATCH(X$2,Inputs!$K$4:$AJ$4,0))))+SUMPRODUCT((Inputs!$E$5:$E$160=$B17)*ISNUMBER(INDEX(Inputs!$K$5:$AJ$160,0,MATCH(X$2,Inputs!$K$4:$AJ$4,0))))=0,NA(),SUMPRODUCT((Inputs!$A$5:$A$160=$B17)*Inputs!$B$5:$B$160*(((Inputs!$G$5:$G$160="moeda")+(Inputs!$G$5:$G$160="acoes"))*Inputs!$B$1+((Inputs!$G$5:$G$160&lt;&gt;"moeda")*(Inputs!$G$5:$G$160&lt;&gt;"acoes")))*INDEX(Inputs!$K$5:$AJ$160,0,MATCH(X$2,Inputs!$K$4:$AJ$4,0)))+SUMPRODUCT((Inputs!$C$5:$C$160=$B17)*Inputs!$D$5:$D$160*(((Inputs!$G$5:$G$160="moeda")+(Inputs!$G$5:$G$160="acoes"))*Inputs!$B$1+((Inputs!$G$5:$G$160&lt;&gt;"moeda")*(Inputs!$G$5:$G$160&lt;&gt;"acoes")))*INDEX(Inputs!$K$5:$AJ$160,0,MATCH(X$2,Inputs!$K$4:$AJ$4,0)))+SUMPRODUCT((Inputs!$E$5:$E$160=$B17)*Inputs!$F$5:$F$160*(((Inputs!$G$5:$G$160="moeda")+(Inputs!$G$5:$G$160="acoes"))*Inputs!$B$1+((Inputs!$G$5:$G$160&lt;&gt;"moeda")*(Inputs!$G$5:$G$160&lt;&gt;"acoes")))*INDEX(Inputs!$K$5:$AJ$160,0,MATCH(X$2,Inputs!$K$4:$AJ$4,0)))))</f>
        <v>155.495579</v>
      </c>
      <c r="Y17" s="6">
        <f>IF(ISNA(MATCH(Y$2,Inputs!$K$4:$AJ$4,0)),NA(),IF(SUMPRODUCT((Inputs!$A$5:$A$160=$B17)*ISNUMBER(INDEX(Inputs!$K$5:$AJ$160,0,MATCH(Y$2,Inputs!$K$4:$AJ$4,0))))+SUMPRODUCT((Inputs!$C$5:$C$160=$B17)*ISNUMBER(INDEX(Inputs!$K$5:$AJ$160,0,MATCH(Y$2,Inputs!$K$4:$AJ$4,0))))+SUMPRODUCT((Inputs!$E$5:$E$160=$B17)*ISNUMBER(INDEX(Inputs!$K$5:$AJ$160,0,MATCH(Y$2,Inputs!$K$4:$AJ$4,0))))=0,NA(),SUMPRODUCT((Inputs!$A$5:$A$160=$B17)*Inputs!$B$5:$B$160*(((Inputs!$G$5:$G$160="moeda")+(Inputs!$G$5:$G$160="acoes"))*Inputs!$B$1+((Inputs!$G$5:$G$160&lt;&gt;"moeda")*(Inputs!$G$5:$G$160&lt;&gt;"acoes")))*INDEX(Inputs!$K$5:$AJ$160,0,MATCH(Y$2,Inputs!$K$4:$AJ$4,0)))+SUMPRODUCT((Inputs!$C$5:$C$160=$B17)*Inputs!$D$5:$D$160*(((Inputs!$G$5:$G$160="moeda")+(Inputs!$G$5:$G$160="acoes"))*Inputs!$B$1+((Inputs!$G$5:$G$160&lt;&gt;"moeda")*(Inputs!$G$5:$G$160&lt;&gt;"acoes")))*INDEX(Inputs!$K$5:$AJ$160,0,MATCH(Y$2,Inputs!$K$4:$AJ$4,0)))+SUMPRODUCT((Inputs!$E$5:$E$160=$B17)*Inputs!$F$5:$F$160*(((Inputs!$G$5:$G$160="moeda")+(Inputs!$G$5:$G$160="acoes"))*Inputs!$B$1+((Inputs!$G$5:$G$160&lt;&gt;"moeda")*(Inputs!$G$5:$G$160&lt;&gt;"acoes")))*INDEX(Inputs!$K$5:$AJ$160,0,MATCH(Y$2,Inputs!$K$4:$AJ$4,0)))))</f>
        <v>149.579</v>
      </c>
      <c r="Z17" s="6">
        <f>IF(ISNA(MATCH(Z$2,Inputs!$K$4:$AJ$4,0)),NA(),IF(SUMPRODUCT((Inputs!$A$5:$A$160=$B17)*ISNUMBER(INDEX(Inputs!$K$5:$AJ$160,0,MATCH(Z$2,Inputs!$K$4:$AJ$4,0))))+SUMPRODUCT((Inputs!$C$5:$C$160=$B17)*ISNUMBER(INDEX(Inputs!$K$5:$AJ$160,0,MATCH(Z$2,Inputs!$K$4:$AJ$4,0))))+SUMPRODUCT((Inputs!$E$5:$E$160=$B17)*ISNUMBER(INDEX(Inputs!$K$5:$AJ$160,0,MATCH(Z$2,Inputs!$K$4:$AJ$4,0))))=0,NA(),SUMPRODUCT((Inputs!$A$5:$A$160=$B17)*Inputs!$B$5:$B$160*(((Inputs!$G$5:$G$160="moeda")+(Inputs!$G$5:$G$160="acoes"))*Inputs!$B$1+((Inputs!$G$5:$G$160&lt;&gt;"moeda")*(Inputs!$G$5:$G$160&lt;&gt;"acoes")))*INDEX(Inputs!$K$5:$AJ$160,0,MATCH(Z$2,Inputs!$K$4:$AJ$4,0)))+SUMPRODUCT((Inputs!$C$5:$C$160=$B17)*Inputs!$D$5:$D$160*(((Inputs!$G$5:$G$160="moeda")+(Inputs!$G$5:$G$160="acoes"))*Inputs!$B$1+((Inputs!$G$5:$G$160&lt;&gt;"moeda")*(Inputs!$G$5:$G$160&lt;&gt;"acoes")))*INDEX(Inputs!$K$5:$AJ$160,0,MATCH(Z$2,Inputs!$K$4:$AJ$4,0)))+SUMPRODUCT((Inputs!$E$5:$E$160=$B17)*Inputs!$F$5:$F$160*(((Inputs!$G$5:$G$160="moeda")+(Inputs!$G$5:$G$160="acoes"))*Inputs!$B$1+((Inputs!$G$5:$G$160&lt;&gt;"moeda")*(Inputs!$G$5:$G$160&lt;&gt;"acoes")))*INDEX(Inputs!$K$5:$AJ$160,0,MATCH(Z$2,Inputs!$K$4:$AJ$4,0)))))</f>
        <v>154.975</v>
      </c>
      <c r="AA17" s="6">
        <f>IF(ISNA(MATCH(AA$2,Inputs!$K$4:$AJ$4,0)),NA(),IF(SUMPRODUCT((Inputs!$A$5:$A$160=$B17)*ISNUMBER(INDEX(Inputs!$K$5:$AJ$160,0,MATCH(AA$2,Inputs!$K$4:$AJ$4,0))))+SUMPRODUCT((Inputs!$C$5:$C$160=$B17)*ISNUMBER(INDEX(Inputs!$K$5:$AJ$160,0,MATCH(AA$2,Inputs!$K$4:$AJ$4,0))))+SUMPRODUCT((Inputs!$E$5:$E$160=$B17)*ISNUMBER(INDEX(Inputs!$K$5:$AJ$160,0,MATCH(AA$2,Inputs!$K$4:$AJ$4,0))))=0,NA(),SUMPRODUCT((Inputs!$A$5:$A$160=$B17)*Inputs!$B$5:$B$160*(((Inputs!$G$5:$G$160="moeda")+(Inputs!$G$5:$G$160="acoes"))*Inputs!$B$1+((Inputs!$G$5:$G$160&lt;&gt;"moeda")*(Inputs!$G$5:$G$160&lt;&gt;"acoes")))*INDEX(Inputs!$K$5:$AJ$160,0,MATCH(AA$2,Inputs!$K$4:$AJ$4,0)))+SUMPRODUCT((Inputs!$C$5:$C$160=$B17)*Inputs!$D$5:$D$160*(((Inputs!$G$5:$G$160="moeda")+(Inputs!$G$5:$G$160="acoes"))*Inputs!$B$1+((Inputs!$G$5:$G$160&lt;&gt;"moeda")*(Inputs!$G$5:$G$160&lt;&gt;"acoes")))*INDEX(Inputs!$K$5:$AJ$160,0,MATCH(AA$2,Inputs!$K$4:$AJ$4,0)))+SUMPRODUCT((Inputs!$E$5:$E$160=$B17)*Inputs!$F$5:$F$160*(((Inputs!$G$5:$G$160="moeda")+(Inputs!$G$5:$G$160="acoes"))*Inputs!$B$1+((Inputs!$G$5:$G$160&lt;&gt;"moeda")*(Inputs!$G$5:$G$160&lt;&gt;"acoes")))*INDEX(Inputs!$K$5:$AJ$160,0,MATCH(AA$2,Inputs!$K$4:$AJ$4,0)))))</f>
        <v>180.702</v>
      </c>
      <c r="AB17" s="3">
        <f>AA17</f>
        <v>180.702</v>
      </c>
      <c r="AC17" s="6">
        <f>IF(ISNA(MATCH(AC$2,Inputs!$K$4:$AJ$4,0)),NA(),IF(SUMPRODUCT((Inputs!$A$5:$A$160=$B17)*ISNUMBER(INDEX(Inputs!$K$5:$AJ$160,0,MATCH(AC$2,Inputs!$K$4:$AJ$4,0))))+SUMPRODUCT((Inputs!$C$5:$C$160=$B17)*ISNUMBER(INDEX(Inputs!$K$5:$AJ$160,0,MATCH(AC$2,Inputs!$K$4:$AJ$4,0))))+SUMPRODUCT((Inputs!$E$5:$E$160=$B17)*ISNUMBER(INDEX(Inputs!$K$5:$AJ$160,0,MATCH(AC$2,Inputs!$K$4:$AJ$4,0))))=0,NA(),SUMPRODUCT((Inputs!$A$5:$A$160=$B17)*Inputs!$B$5:$B$160*(((Inputs!$G$5:$G$160="moeda")+(Inputs!$G$5:$G$160="acoes"))*Inputs!$B$1+((Inputs!$G$5:$G$160&lt;&gt;"moeda")*(Inputs!$G$5:$G$160&lt;&gt;"acoes")))*INDEX(Inputs!$K$5:$AJ$160,0,MATCH(AC$2,Inputs!$K$4:$AJ$4,0)))+SUMPRODUCT((Inputs!$C$5:$C$160=$B17)*Inputs!$D$5:$D$160*(((Inputs!$G$5:$G$160="moeda")+(Inputs!$G$5:$G$160="acoes"))*Inputs!$B$1+((Inputs!$G$5:$G$160&lt;&gt;"moeda")*(Inputs!$G$5:$G$160&lt;&gt;"acoes")))*INDEX(Inputs!$K$5:$AJ$160,0,MATCH(AC$2,Inputs!$K$4:$AJ$4,0)))+SUMPRODUCT((Inputs!$E$5:$E$160=$B17)*Inputs!$F$5:$F$160*(((Inputs!$G$5:$G$160="moeda")+(Inputs!$G$5:$G$160="acoes"))*Inputs!$B$1+((Inputs!$G$5:$G$160&lt;&gt;"moeda")*(Inputs!$G$5:$G$160&lt;&gt;"acoes")))*INDEX(Inputs!$K$5:$AJ$160,0,MATCH(AC$2,Inputs!$K$4:$AJ$4,0)))))</f>
        <v>150.818</v>
      </c>
      <c r="AD17" s="6">
        <f>IF(ISNA(MATCH(AD$2,Inputs!$K$4:$AJ$4,0)),NA(),IF(SUMPRODUCT((Inputs!$A$5:$A$160=$B17)*ISNUMBER(INDEX(Inputs!$K$5:$AJ$160,0,MATCH(AD$2,Inputs!$K$4:$AJ$4,0))))+SUMPRODUCT((Inputs!$C$5:$C$160=$B17)*ISNUMBER(INDEX(Inputs!$K$5:$AJ$160,0,MATCH(AD$2,Inputs!$K$4:$AJ$4,0))))+SUMPRODUCT((Inputs!$E$5:$E$160=$B17)*ISNUMBER(INDEX(Inputs!$K$5:$AJ$160,0,MATCH(AD$2,Inputs!$K$4:$AJ$4,0))))=0,NA(),SUMPRODUCT((Inputs!$A$5:$A$160=$B17)*Inputs!$B$5:$B$160*(((Inputs!$G$5:$G$160="moeda")+(Inputs!$G$5:$G$160="acoes"))*Inputs!$B$1+((Inputs!$G$5:$G$160&lt;&gt;"moeda")*(Inputs!$G$5:$G$160&lt;&gt;"acoes")))*INDEX(Inputs!$K$5:$AJ$160,0,MATCH(AD$2,Inputs!$K$4:$AJ$4,0)))+SUMPRODUCT((Inputs!$C$5:$C$160=$B17)*Inputs!$D$5:$D$160*(((Inputs!$G$5:$G$160="moeda")+(Inputs!$G$5:$G$160="acoes"))*Inputs!$B$1+((Inputs!$G$5:$G$160&lt;&gt;"moeda")*(Inputs!$G$5:$G$160&lt;&gt;"acoes")))*INDEX(Inputs!$K$5:$AJ$160,0,MATCH(AD$2,Inputs!$K$4:$AJ$4,0)))+SUMPRODUCT((Inputs!$E$5:$E$160=$B17)*Inputs!$F$5:$F$160*(((Inputs!$G$5:$G$160="moeda")+(Inputs!$G$5:$G$160="acoes"))*Inputs!$B$1+((Inputs!$G$5:$G$160&lt;&gt;"moeda")*(Inputs!$G$5:$G$160&lt;&gt;"acoes")))*INDEX(Inputs!$K$5:$AJ$160,0,MATCH(AD$2,Inputs!$K$4:$AJ$4,0)))))</f>
        <v>156.59</v>
      </c>
      <c r="AE17" s="6" t="e">
        <f>IF(ISNA(MATCH(AE$2,Inputs!$K$4:$AJ$4,0)),NA(),IF(SUMPRODUCT((Inputs!$A$5:$A$160=$B17)*ISNUMBER(INDEX(Inputs!$K$5:$AJ$160,0,MATCH(AE$2,Inputs!$K$4:$AJ$4,0))))+SUMPRODUCT((Inputs!$C$5:$C$160=$B17)*ISNUMBER(INDEX(Inputs!$K$5:$AJ$160,0,MATCH(AE$2,Inputs!$K$4:$AJ$4,0))))+SUMPRODUCT((Inputs!$E$5:$E$160=$B17)*ISNUMBER(INDEX(Inputs!$K$5:$AJ$160,0,MATCH(AE$2,Inputs!$K$4:$AJ$4,0))))=0,NA(),SUMPRODUCT((Inputs!$A$5:$A$160=$B17)*Inputs!$B$5:$B$160*(((Inputs!$G$5:$G$160="moeda")+(Inputs!$G$5:$G$160="acoes"))*Inputs!$B$1+((Inputs!$G$5:$G$160&lt;&gt;"moeda")*(Inputs!$G$5:$G$160&lt;&gt;"acoes")))*INDEX(Inputs!$K$5:$AJ$160,0,MATCH(AE$2,Inputs!$K$4:$AJ$4,0)))+SUMPRODUCT((Inputs!$C$5:$C$160=$B17)*Inputs!$D$5:$D$160*(((Inputs!$G$5:$G$160="moeda")+(Inputs!$G$5:$G$160="acoes"))*Inputs!$B$1+((Inputs!$G$5:$G$160&lt;&gt;"moeda")*(Inputs!$G$5:$G$160&lt;&gt;"acoes")))*INDEX(Inputs!$K$5:$AJ$160,0,MATCH(AE$2,Inputs!$K$4:$AJ$4,0)))+SUMPRODUCT((Inputs!$E$5:$E$160=$B17)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7" s="6" t="e">
        <f>IF(ISNA(MATCH(AF$2,Inputs!$K$4:$AJ$4,0)),NA(),IF(SUMPRODUCT((Inputs!$A$5:$A$160=$B17)*ISNUMBER(INDEX(Inputs!$K$5:$AJ$160,0,MATCH(AF$2,Inputs!$K$4:$AJ$4,0))))+SUMPRODUCT((Inputs!$C$5:$C$160=$B17)*ISNUMBER(INDEX(Inputs!$K$5:$AJ$160,0,MATCH(AF$2,Inputs!$K$4:$AJ$4,0))))+SUMPRODUCT((Inputs!$E$5:$E$160=$B17)*ISNUMBER(INDEX(Inputs!$K$5:$AJ$160,0,MATCH(AF$2,Inputs!$K$4:$AJ$4,0))))=0,NA(),SUMPRODUCT((Inputs!$A$5:$A$160=$B17)*Inputs!$B$5:$B$160*(((Inputs!$G$5:$G$160="moeda")+(Inputs!$G$5:$G$160="acoes"))*Inputs!$B$1+((Inputs!$G$5:$G$160&lt;&gt;"moeda")*(Inputs!$G$5:$G$160&lt;&gt;"acoes")))*INDEX(Inputs!$K$5:$AJ$160,0,MATCH(AF$2,Inputs!$K$4:$AJ$4,0)))+SUMPRODUCT((Inputs!$C$5:$C$160=$B17)*Inputs!$D$5:$D$160*(((Inputs!$G$5:$G$160="moeda")+(Inputs!$G$5:$G$160="acoes"))*Inputs!$B$1+((Inputs!$G$5:$G$160&lt;&gt;"moeda")*(Inputs!$G$5:$G$160&lt;&gt;"acoes")))*INDEX(Inputs!$K$5:$AJ$160,0,MATCH(AF$2,Inputs!$K$4:$AJ$4,0)))+SUMPRODUCT((Inputs!$E$5:$E$160=$B17)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7" s="3" t="e">
        <f>AF17</f>
        <v>#N/A</v>
      </c>
      <c r="AH17" s="6">
        <f>IF(ISNA(MATCH(AH$2,Inputs!$K$4:$AJ$4,0)),NA(),IF(SUMPRODUCT((Inputs!$A$5:$A$160=$B17)*ISNUMBER(INDEX(Inputs!$K$5:$AJ$160,0,MATCH(AH$2,Inputs!$K$4:$AJ$4,0))))+SUMPRODUCT((Inputs!$C$5:$C$160=$B17)*ISNUMBER(INDEX(Inputs!$K$5:$AJ$160,0,MATCH(AH$2,Inputs!$K$4:$AJ$4,0))))+SUMPRODUCT((Inputs!$E$5:$E$160=$B17)*ISNUMBER(INDEX(Inputs!$K$5:$AJ$160,0,MATCH(AH$2,Inputs!$K$4:$AJ$4,0))))=0,NA(),SUMPRODUCT((Inputs!$A$5:$A$160=$B17)*Inputs!$B$5:$B$160*(((Inputs!$G$5:$G$160="moeda")+(Inputs!$G$5:$G$160="acoes"))*Inputs!$B$1+((Inputs!$G$5:$G$160&lt;&gt;"moeda")*(Inputs!$G$5:$G$160&lt;&gt;"acoes")))*INDEX(Inputs!$K$5:$AJ$160,0,MATCH(AH$2,Inputs!$K$4:$AJ$4,0)))+SUMPRODUCT((Inputs!$C$5:$C$160=$B17)*Inputs!$D$5:$D$160*(((Inputs!$G$5:$G$160="moeda")+(Inputs!$G$5:$G$160="acoes"))*Inputs!$B$1+((Inputs!$G$5:$G$160&lt;&gt;"moeda")*(Inputs!$G$5:$G$160&lt;&gt;"acoes")))*INDEX(Inputs!$K$5:$AJ$160,0,MATCH(AH$2,Inputs!$K$4:$AJ$4,0)))+SUMPRODUCT((Inputs!$E$5:$E$160=$B17)*Inputs!$F$5:$F$160*(((Inputs!$G$5:$G$160="moeda")+(Inputs!$G$5:$G$160="acoes"))*Inputs!$B$1+((Inputs!$G$5:$G$160&lt;&gt;"moeda")*(Inputs!$G$5:$G$160&lt;&gt;"acoes")))*INDEX(Inputs!$K$5:$AJ$160,0,MATCH(AH$2,Inputs!$K$4:$AJ$4,0)))))</f>
        <v>36.86838604</v>
      </c>
      <c r="AI17" s="6">
        <f>IF(ISNA(MATCH(AI$2,Inputs!$K$4:$AJ$4,0)),NA(),IF(SUMPRODUCT((Inputs!$A$5:$A$160=$B17)*ISNUMBER(INDEX(Inputs!$K$5:$AJ$160,0,MATCH(AI$2,Inputs!$K$4:$AJ$4,0))))+SUMPRODUCT((Inputs!$C$5:$C$160=$B17)*ISNUMBER(INDEX(Inputs!$K$5:$AJ$160,0,MATCH(AI$2,Inputs!$K$4:$AJ$4,0))))+SUMPRODUCT((Inputs!$E$5:$E$160=$B17)*ISNUMBER(INDEX(Inputs!$K$5:$AJ$160,0,MATCH(AI$2,Inputs!$K$4:$AJ$4,0))))=0,NA(),SUMPRODUCT((Inputs!$A$5:$A$160=$B17)*Inputs!$B$5:$B$160*(((Inputs!$G$5:$G$160="moeda")+(Inputs!$G$5:$G$160="acoes"))*Inputs!$B$1+((Inputs!$G$5:$G$160&lt;&gt;"moeda")*(Inputs!$G$5:$G$160&lt;&gt;"acoes")))*INDEX(Inputs!$K$5:$AJ$160,0,MATCH(AI$2,Inputs!$K$4:$AJ$4,0)))+SUMPRODUCT((Inputs!$C$5:$C$160=$B17)*Inputs!$D$5:$D$160*(((Inputs!$G$5:$G$160="moeda")+(Inputs!$G$5:$G$160="acoes"))*Inputs!$B$1+((Inputs!$G$5:$G$160&lt;&gt;"moeda")*(Inputs!$G$5:$G$160&lt;&gt;"acoes")))*INDEX(Inputs!$K$5:$AJ$160,0,MATCH(AI$2,Inputs!$K$4:$AJ$4,0)))+SUMPRODUCT((Inputs!$E$5:$E$160=$B17)*Inputs!$F$5:$F$160*(((Inputs!$G$5:$G$160="moeda")+(Inputs!$G$5:$G$160="acoes"))*Inputs!$B$1+((Inputs!$G$5:$G$160&lt;&gt;"moeda")*(Inputs!$G$5:$G$160&lt;&gt;"acoes")))*INDEX(Inputs!$K$5:$AJ$160,0,MATCH(AI$2,Inputs!$K$4:$AJ$4,0)))))</f>
        <v>83.86315236</v>
      </c>
      <c r="AJ17" s="6">
        <f>IF(ISNA(MATCH(AJ$2,Inputs!$K$4:$AJ$4,0)),NA(),IF(SUMPRODUCT((Inputs!$A$5:$A$160=$B17)*ISNUMBER(INDEX(Inputs!$K$5:$AJ$160,0,MATCH(AJ$2,Inputs!$K$4:$AJ$4,0))))+SUMPRODUCT((Inputs!$C$5:$C$160=$B17)*ISNUMBER(INDEX(Inputs!$K$5:$AJ$160,0,MATCH(AJ$2,Inputs!$K$4:$AJ$4,0))))+SUMPRODUCT((Inputs!$E$5:$E$160=$B17)*ISNUMBER(INDEX(Inputs!$K$5:$AJ$160,0,MATCH(AJ$2,Inputs!$K$4:$AJ$4,0))))=0,NA(),SUMPRODUCT((Inputs!$A$5:$A$160=$B17)*Inputs!$B$5:$B$160*(((Inputs!$G$5:$G$160="moeda")+(Inputs!$G$5:$G$160="acoes"))*Inputs!$B$1+((Inputs!$G$5:$G$160&lt;&gt;"moeda")*(Inputs!$G$5:$G$160&lt;&gt;"acoes")))*INDEX(Inputs!$K$5:$AJ$160,0,MATCH(AJ$2,Inputs!$K$4:$AJ$4,0)))+SUMPRODUCT((Inputs!$C$5:$C$160=$B17)*Inputs!$D$5:$D$160*(((Inputs!$G$5:$G$160="moeda")+(Inputs!$G$5:$G$160="acoes"))*Inputs!$B$1+((Inputs!$G$5:$G$160&lt;&gt;"moeda")*(Inputs!$G$5:$G$160&lt;&gt;"acoes")))*INDEX(Inputs!$K$5:$AJ$160,0,MATCH(AJ$2,Inputs!$K$4:$AJ$4,0)))+SUMPRODUCT((Inputs!$E$5:$E$160=$B17)*Inputs!$F$5:$F$160*(((Inputs!$G$5:$G$160="moeda")+(Inputs!$G$5:$G$160="acoes"))*Inputs!$B$1+((Inputs!$G$5:$G$160&lt;&gt;"moeda")*(Inputs!$G$5:$G$160&lt;&gt;"acoes")))*INDEX(Inputs!$K$5:$AJ$160,0,MATCH(AJ$2,Inputs!$K$4:$AJ$4,0)))))</f>
        <v>81.68701938</v>
      </c>
      <c r="AK17" s="6">
        <f>IF(ISNA(MATCH(AK$2,Inputs!$K$4:$AJ$4,0)),NA(),IF(SUMPRODUCT((Inputs!$A$5:$A$160=$B17)*ISNUMBER(INDEX(Inputs!$K$5:$AJ$160,0,MATCH(AK$2,Inputs!$K$4:$AJ$4,0))))+SUMPRODUCT((Inputs!$C$5:$C$160=$B17)*ISNUMBER(INDEX(Inputs!$K$5:$AJ$160,0,MATCH(AK$2,Inputs!$K$4:$AJ$4,0))))+SUMPRODUCT((Inputs!$E$5:$E$160=$B17)*ISNUMBER(INDEX(Inputs!$K$5:$AJ$160,0,MATCH(AK$2,Inputs!$K$4:$AJ$4,0))))=0,NA(),SUMPRODUCT((Inputs!$A$5:$A$160=$B17)*Inputs!$B$5:$B$160*(((Inputs!$G$5:$G$160="moeda")+(Inputs!$G$5:$G$160="acoes"))*Inputs!$B$1+((Inputs!$G$5:$G$160&lt;&gt;"moeda")*(Inputs!$G$5:$G$160&lt;&gt;"acoes")))*INDEX(Inputs!$K$5:$AJ$160,0,MATCH(AK$2,Inputs!$K$4:$AJ$4,0)))+SUMPRODUCT((Inputs!$C$5:$C$160=$B17)*Inputs!$D$5:$D$160*(((Inputs!$G$5:$G$160="moeda")+(Inputs!$G$5:$G$160="acoes"))*Inputs!$B$1+((Inputs!$G$5:$G$160&lt;&gt;"moeda")*(Inputs!$G$5:$G$160&lt;&gt;"acoes")))*INDEX(Inputs!$K$5:$AJ$160,0,MATCH(AK$2,Inputs!$K$4:$AJ$4,0)))+SUMPRODUCT((Inputs!$E$5:$E$160=$B17)*Inputs!$F$5:$F$160*(((Inputs!$G$5:$G$160="moeda")+(Inputs!$G$5:$G$160="acoes"))*Inputs!$B$1+((Inputs!$G$5:$G$160&lt;&gt;"moeda")*(Inputs!$G$5:$G$160&lt;&gt;"acoes")))*INDEX(Inputs!$K$5:$AJ$160,0,MATCH(AK$2,Inputs!$K$4:$AJ$4,0)))))</f>
        <v>63.09252977</v>
      </c>
      <c r="AL17" s="3">
        <f>AK17</f>
        <v>63.09252977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$160=$B18)*ISNUMBER(INDEX(Inputs!$K$5:$AJ$160,0,MATCH(D$2,Inputs!$K$4:$AJ$4,0))))+SUMPRODUCT((Inputs!$C$5:$C$160=$B18)*ISNUMBER(INDEX(Inputs!$K$5:$AJ$160,0,MATCH(D$2,Inputs!$K$4:$AJ$4,0))))+SUMPRODUCT((Inputs!$E$5:$E$160=$B18)*ISNUMBER(INDEX(Inputs!$K$5:$AJ$160,0,MATCH(D$2,Inputs!$K$4:$AJ$4,0))))=0,NA(),SUMPRODUCT((Inputs!$A$5:$A$160=$B18)*Inputs!$B$5:$B$160*(((Inputs!$G$5:$G$160="moeda")+(Inputs!$G$5:$G$160="acoes"))*Inputs!$B$1+((Inputs!$G$5:$G$160&lt;&gt;"moeda")*(Inputs!$G$5:$G$160&lt;&gt;"acoes")))*INDEX(Inputs!$K$5:$AJ$160,0,MATCH(D$2,Inputs!$K$4:$AJ$4,0)))+SUMPRODUCT((Inputs!$C$5:$C$160=$B18)*Inputs!$D$5:$D$160*(((Inputs!$G$5:$G$160="moeda")+(Inputs!$G$5:$G$160="acoes"))*Inputs!$B$1+((Inputs!$G$5:$G$160&lt;&gt;"moeda")*(Inputs!$G$5:$G$160&lt;&gt;"acoes")))*INDEX(Inputs!$K$5:$AJ$160,0,MATCH(D$2,Inputs!$K$4:$AJ$4,0)))+SUMPRODUCT((Inputs!$E$5:$E$160=$B18)*Inputs!$F$5:$F$160*(((Inputs!$G$5:$G$160="moeda")+(Inputs!$G$5:$G$160="acoes"))*Inputs!$B$1+((Inputs!$G$5:$G$160&lt;&gt;"moeda")*(Inputs!$G$5:$G$160&lt;&gt;"acoes")))*INDEX(Inputs!$K$5:$AJ$160,0,MATCH(D$2,Inputs!$K$4:$AJ$4,0)))))</f>
        <v>90.94827093</v>
      </c>
      <c r="E18" s="6">
        <f>IF(ISNA(MATCH(E$2,Inputs!$K$4:$AJ$4,0)),NA(),IF(SUMPRODUCT((Inputs!$A$5:$A$160=$B18)*ISNUMBER(INDEX(Inputs!$K$5:$AJ$160,0,MATCH(E$2,Inputs!$K$4:$AJ$4,0))))+SUMPRODUCT((Inputs!$C$5:$C$160=$B18)*ISNUMBER(INDEX(Inputs!$K$5:$AJ$160,0,MATCH(E$2,Inputs!$K$4:$AJ$4,0))))+SUMPRODUCT((Inputs!$E$5:$E$160=$B18)*ISNUMBER(INDEX(Inputs!$K$5:$AJ$160,0,MATCH(E$2,Inputs!$K$4:$AJ$4,0))))=0,NA(),SUMPRODUCT((Inputs!$A$5:$A$160=$B18)*Inputs!$B$5:$B$160*(((Inputs!$G$5:$G$160="moeda")+(Inputs!$G$5:$G$160="acoes"))*Inputs!$B$1+((Inputs!$G$5:$G$160&lt;&gt;"moeda")*(Inputs!$G$5:$G$160&lt;&gt;"acoes")))*INDEX(Inputs!$K$5:$AJ$160,0,MATCH(E$2,Inputs!$K$4:$AJ$4,0)))+SUMPRODUCT((Inputs!$C$5:$C$160=$B18)*Inputs!$D$5:$D$160*(((Inputs!$G$5:$G$160="moeda")+(Inputs!$G$5:$G$160="acoes"))*Inputs!$B$1+((Inputs!$G$5:$G$160&lt;&gt;"moeda")*(Inputs!$G$5:$G$160&lt;&gt;"acoes")))*INDEX(Inputs!$K$5:$AJ$160,0,MATCH(E$2,Inputs!$K$4:$AJ$4,0)))+SUMPRODUCT((Inputs!$E$5:$E$160=$B18)*Inputs!$F$5:$F$160*(((Inputs!$G$5:$G$160="moeda")+(Inputs!$G$5:$G$160="acoes"))*Inputs!$B$1+((Inputs!$G$5:$G$160&lt;&gt;"moeda")*(Inputs!$G$5:$G$160&lt;&gt;"acoes")))*INDEX(Inputs!$K$5:$AJ$160,0,MATCH(E$2,Inputs!$K$4:$AJ$4,0)))))</f>
        <v>107.55430088</v>
      </c>
      <c r="F18" s="6">
        <f>IF(ISNA(MATCH(F$2,Inputs!$K$4:$AJ$4,0)),NA(),IF(SUMPRODUCT((Inputs!$A$5:$A$160=$B18)*ISNUMBER(INDEX(Inputs!$K$5:$AJ$160,0,MATCH(F$2,Inputs!$K$4:$AJ$4,0))))+SUMPRODUCT((Inputs!$C$5:$C$160=$B18)*ISNUMBER(INDEX(Inputs!$K$5:$AJ$160,0,MATCH(F$2,Inputs!$K$4:$AJ$4,0))))+SUMPRODUCT((Inputs!$E$5:$E$160=$B18)*ISNUMBER(INDEX(Inputs!$K$5:$AJ$160,0,MATCH(F$2,Inputs!$K$4:$AJ$4,0))))=0,NA(),SUMPRODUCT((Inputs!$A$5:$A$160=$B18)*Inputs!$B$5:$B$160*(((Inputs!$G$5:$G$160="moeda")+(Inputs!$G$5:$G$160="acoes"))*Inputs!$B$1+((Inputs!$G$5:$G$160&lt;&gt;"moeda")*(Inputs!$G$5:$G$160&lt;&gt;"acoes")))*INDEX(Inputs!$K$5:$AJ$160,0,MATCH(F$2,Inputs!$K$4:$AJ$4,0)))+SUMPRODUCT((Inputs!$C$5:$C$160=$B18)*Inputs!$D$5:$D$160*(((Inputs!$G$5:$G$160="moeda")+(Inputs!$G$5:$G$160="acoes"))*Inputs!$B$1+((Inputs!$G$5:$G$160&lt;&gt;"moeda")*(Inputs!$G$5:$G$160&lt;&gt;"acoes")))*INDEX(Inputs!$K$5:$AJ$160,0,MATCH(F$2,Inputs!$K$4:$AJ$4,0)))+SUMPRODUCT((Inputs!$E$5:$E$160=$B18)*Inputs!$F$5:$F$160*(((Inputs!$G$5:$G$160="moeda")+(Inputs!$G$5:$G$160="acoes"))*Inputs!$B$1+((Inputs!$G$5:$G$160&lt;&gt;"moeda")*(Inputs!$G$5:$G$160&lt;&gt;"acoes")))*INDEX(Inputs!$K$5:$AJ$160,0,MATCH(F$2,Inputs!$K$4:$AJ$4,0)))))</f>
        <v>115.09237981</v>
      </c>
      <c r="G18" s="6">
        <f>IF(ISNA(MATCH(G$2,Inputs!$K$4:$AJ$4,0)),NA(),IF(SUMPRODUCT((Inputs!$A$5:$A$160=$B18)*ISNUMBER(INDEX(Inputs!$K$5:$AJ$160,0,MATCH(G$2,Inputs!$K$4:$AJ$4,0))))+SUMPRODUCT((Inputs!$C$5:$C$160=$B18)*ISNUMBER(INDEX(Inputs!$K$5:$AJ$160,0,MATCH(G$2,Inputs!$K$4:$AJ$4,0))))+SUMPRODUCT((Inputs!$E$5:$E$160=$B18)*ISNUMBER(INDEX(Inputs!$K$5:$AJ$160,0,MATCH(G$2,Inputs!$K$4:$AJ$4,0))))=0,NA(),SUMPRODUCT((Inputs!$A$5:$A$160=$B18)*Inputs!$B$5:$B$160*(((Inputs!$G$5:$G$160="moeda")+(Inputs!$G$5:$G$160="acoes"))*Inputs!$B$1+((Inputs!$G$5:$G$160&lt;&gt;"moeda")*(Inputs!$G$5:$G$160&lt;&gt;"acoes")))*INDEX(Inputs!$K$5:$AJ$160,0,MATCH(G$2,Inputs!$K$4:$AJ$4,0)))+SUMPRODUCT((Inputs!$C$5:$C$160=$B18)*Inputs!$D$5:$D$160*(((Inputs!$G$5:$G$160="moeda")+(Inputs!$G$5:$G$160="acoes"))*Inputs!$B$1+((Inputs!$G$5:$G$160&lt;&gt;"moeda")*(Inputs!$G$5:$G$160&lt;&gt;"acoes")))*INDEX(Inputs!$K$5:$AJ$160,0,MATCH(G$2,Inputs!$K$4:$AJ$4,0)))+SUMPRODUCT((Inputs!$E$5:$E$160=$B18)*Inputs!$F$5:$F$160*(((Inputs!$G$5:$G$160="moeda")+(Inputs!$G$5:$G$160="acoes"))*Inputs!$B$1+((Inputs!$G$5:$G$160&lt;&gt;"moeda")*(Inputs!$G$5:$G$160&lt;&gt;"acoes")))*INDEX(Inputs!$K$5:$AJ$160,0,MATCH(G$2,Inputs!$K$4:$AJ$4,0)))))</f>
        <v>25.195</v>
      </c>
      <c r="H18" s="3">
        <f>G18</f>
        <v>25.195</v>
      </c>
      <c r="I18" s="6">
        <f>IF(ISNA(MATCH(I$2,Inputs!$K$4:$AJ$4,0)),NA(),IF(SUMPRODUCT((Inputs!$A$5:$A$160=$B18)*ISNUMBER(INDEX(Inputs!$K$5:$AJ$160,0,MATCH(I$2,Inputs!$K$4:$AJ$4,0))))+SUMPRODUCT((Inputs!$C$5:$C$160=$B18)*ISNUMBER(INDEX(Inputs!$K$5:$AJ$160,0,MATCH(I$2,Inputs!$K$4:$AJ$4,0))))+SUMPRODUCT((Inputs!$E$5:$E$160=$B18)*ISNUMBER(INDEX(Inputs!$K$5:$AJ$160,0,MATCH(I$2,Inputs!$K$4:$AJ$4,0))))=0,NA(),SUMPRODUCT((Inputs!$A$5:$A$160=$B18)*Inputs!$B$5:$B$160*(((Inputs!$G$5:$G$160="moeda")+(Inputs!$G$5:$G$160="acoes"))*Inputs!$B$1+((Inputs!$G$5:$G$160&lt;&gt;"moeda")*(Inputs!$G$5:$G$160&lt;&gt;"acoes")))*INDEX(Inputs!$K$5:$AJ$160,0,MATCH(I$2,Inputs!$K$4:$AJ$4,0)))+SUMPRODUCT((Inputs!$C$5:$C$160=$B18)*Inputs!$D$5:$D$160*(((Inputs!$G$5:$G$160="moeda")+(Inputs!$G$5:$G$160="acoes"))*Inputs!$B$1+((Inputs!$G$5:$G$160&lt;&gt;"moeda")*(Inputs!$G$5:$G$160&lt;&gt;"acoes")))*INDEX(Inputs!$K$5:$AJ$160,0,MATCH(I$2,Inputs!$K$4:$AJ$4,0)))+SUMPRODUCT((Inputs!$E$5:$E$160=$B18)*Inputs!$F$5:$F$160*(((Inputs!$G$5:$G$160="moeda")+(Inputs!$G$5:$G$160="acoes"))*Inputs!$B$1+((Inputs!$G$5:$G$160&lt;&gt;"moeda")*(Inputs!$G$5:$G$160&lt;&gt;"acoes")))*INDEX(Inputs!$K$5:$AJ$160,0,MATCH(I$2,Inputs!$K$4:$AJ$4,0)))))</f>
        <v>37.19035428</v>
      </c>
      <c r="J18" s="6">
        <f>IF(ISNA(MATCH(J$2,Inputs!$K$4:$AJ$4,0)),NA(),IF(SUMPRODUCT((Inputs!$A$5:$A$160=$B18)*ISNUMBER(INDEX(Inputs!$K$5:$AJ$160,0,MATCH(J$2,Inputs!$K$4:$AJ$4,0))))+SUMPRODUCT((Inputs!$C$5:$C$160=$B18)*ISNUMBER(INDEX(Inputs!$K$5:$AJ$160,0,MATCH(J$2,Inputs!$K$4:$AJ$4,0))))+SUMPRODUCT((Inputs!$E$5:$E$160=$B18)*ISNUMBER(INDEX(Inputs!$K$5:$AJ$160,0,MATCH(J$2,Inputs!$K$4:$AJ$4,0))))=0,NA(),SUMPRODUCT((Inputs!$A$5:$A$160=$B18)*Inputs!$B$5:$B$160*(((Inputs!$G$5:$G$160="moeda")+(Inputs!$G$5:$G$160="acoes"))*Inputs!$B$1+((Inputs!$G$5:$G$160&lt;&gt;"moeda")*(Inputs!$G$5:$G$160&lt;&gt;"acoes")))*INDEX(Inputs!$K$5:$AJ$160,0,MATCH(J$2,Inputs!$K$4:$AJ$4,0)))+SUMPRODUCT((Inputs!$C$5:$C$160=$B18)*Inputs!$D$5:$D$160*(((Inputs!$G$5:$G$160="moeda")+(Inputs!$G$5:$G$160="acoes"))*Inputs!$B$1+((Inputs!$G$5:$G$160&lt;&gt;"moeda")*(Inputs!$G$5:$G$160&lt;&gt;"acoes")))*INDEX(Inputs!$K$5:$AJ$160,0,MATCH(J$2,Inputs!$K$4:$AJ$4,0)))+SUMPRODUCT((Inputs!$E$5:$E$160=$B18)*Inputs!$F$5:$F$160*(((Inputs!$G$5:$G$160="moeda")+(Inputs!$G$5:$G$160="acoes"))*Inputs!$B$1+((Inputs!$G$5:$G$160&lt;&gt;"moeda")*(Inputs!$G$5:$G$160&lt;&gt;"acoes")))*INDEX(Inputs!$K$5:$AJ$160,0,MATCH(J$2,Inputs!$K$4:$AJ$4,0)))))</f>
        <v>150.8146551</v>
      </c>
      <c r="K18" s="6">
        <f>IF(ISNA(MATCH(K$2,Inputs!$K$4:$AJ$4,0)),NA(),IF(SUMPRODUCT((Inputs!$A$5:$A$160=$B18)*ISNUMBER(INDEX(Inputs!$K$5:$AJ$160,0,MATCH(K$2,Inputs!$K$4:$AJ$4,0))))+SUMPRODUCT((Inputs!$C$5:$C$160=$B18)*ISNUMBER(INDEX(Inputs!$K$5:$AJ$160,0,MATCH(K$2,Inputs!$K$4:$AJ$4,0))))+SUMPRODUCT((Inputs!$E$5:$E$160=$B18)*ISNUMBER(INDEX(Inputs!$K$5:$AJ$160,0,MATCH(K$2,Inputs!$K$4:$AJ$4,0))))=0,NA(),SUMPRODUCT((Inputs!$A$5:$A$160=$B18)*Inputs!$B$5:$B$160*(((Inputs!$G$5:$G$160="moeda")+(Inputs!$G$5:$G$160="acoes"))*Inputs!$B$1+((Inputs!$G$5:$G$160&lt;&gt;"moeda")*(Inputs!$G$5:$G$160&lt;&gt;"acoes")))*INDEX(Inputs!$K$5:$AJ$160,0,MATCH(K$2,Inputs!$K$4:$AJ$4,0)))+SUMPRODUCT((Inputs!$C$5:$C$160=$B18)*Inputs!$D$5:$D$160*(((Inputs!$G$5:$G$160="moeda")+(Inputs!$G$5:$G$160="acoes"))*Inputs!$B$1+((Inputs!$G$5:$G$160&lt;&gt;"moeda")*(Inputs!$G$5:$G$160&lt;&gt;"acoes")))*INDEX(Inputs!$K$5:$AJ$160,0,MATCH(K$2,Inputs!$K$4:$AJ$4,0)))+SUMPRODUCT((Inputs!$E$5:$E$160=$B18)*Inputs!$F$5:$F$160*(((Inputs!$G$5:$G$160="moeda")+(Inputs!$G$5:$G$160="acoes"))*Inputs!$B$1+((Inputs!$G$5:$G$160&lt;&gt;"moeda")*(Inputs!$G$5:$G$160&lt;&gt;"acoes")))*INDEX(Inputs!$K$5:$AJ$160,0,MATCH(K$2,Inputs!$K$4:$AJ$4,0)))))</f>
        <v>177.40878868</v>
      </c>
      <c r="L18" s="6">
        <f>IF(ISNA(MATCH(L$2,Inputs!$K$4:$AJ$4,0)),NA(),IF(SUMPRODUCT((Inputs!$A$5:$A$160=$B18)*ISNUMBER(INDEX(Inputs!$K$5:$AJ$160,0,MATCH(L$2,Inputs!$K$4:$AJ$4,0))))+SUMPRODUCT((Inputs!$C$5:$C$160=$B18)*ISNUMBER(INDEX(Inputs!$K$5:$AJ$160,0,MATCH(L$2,Inputs!$K$4:$AJ$4,0))))+SUMPRODUCT((Inputs!$E$5:$E$160=$B18)*ISNUMBER(INDEX(Inputs!$K$5:$AJ$160,0,MATCH(L$2,Inputs!$K$4:$AJ$4,0))))=0,NA(),SUMPRODUCT((Inputs!$A$5:$A$160=$B18)*Inputs!$B$5:$B$160*(((Inputs!$G$5:$G$160="moeda")+(Inputs!$G$5:$G$160="acoes"))*Inputs!$B$1+((Inputs!$G$5:$G$160&lt;&gt;"moeda")*(Inputs!$G$5:$G$160&lt;&gt;"acoes")))*INDEX(Inputs!$K$5:$AJ$160,0,MATCH(L$2,Inputs!$K$4:$AJ$4,0)))+SUMPRODUCT((Inputs!$C$5:$C$160=$B18)*Inputs!$D$5:$D$160*(((Inputs!$G$5:$G$160="moeda")+(Inputs!$G$5:$G$160="acoes"))*Inputs!$B$1+((Inputs!$G$5:$G$160&lt;&gt;"moeda")*(Inputs!$G$5:$G$160&lt;&gt;"acoes")))*INDEX(Inputs!$K$5:$AJ$160,0,MATCH(L$2,Inputs!$K$4:$AJ$4,0)))+SUMPRODUCT((Inputs!$E$5:$E$160=$B18)*Inputs!$F$5:$F$160*(((Inputs!$G$5:$G$160="moeda")+(Inputs!$G$5:$G$160="acoes"))*Inputs!$B$1+((Inputs!$G$5:$G$160&lt;&gt;"moeda")*(Inputs!$G$5:$G$160&lt;&gt;"acoes")))*INDEX(Inputs!$K$5:$AJ$160,0,MATCH(L$2,Inputs!$K$4:$AJ$4,0)))))</f>
        <v>48.62433562</v>
      </c>
      <c r="M18" s="3">
        <f>L18</f>
        <v>48.62433562</v>
      </c>
      <c r="N18" s="6">
        <f>IF(ISNA(MATCH(N$2,Inputs!$K$4:$AJ$4,0)),NA(),IF(SUMPRODUCT((Inputs!$A$5:$A$160=$B18)*ISNUMBER(INDEX(Inputs!$K$5:$AJ$160,0,MATCH(N$2,Inputs!$K$4:$AJ$4,0))))+SUMPRODUCT((Inputs!$C$5:$C$160=$B18)*ISNUMBER(INDEX(Inputs!$K$5:$AJ$160,0,MATCH(N$2,Inputs!$K$4:$AJ$4,0))))+SUMPRODUCT((Inputs!$E$5:$E$160=$B18)*ISNUMBER(INDEX(Inputs!$K$5:$AJ$160,0,MATCH(N$2,Inputs!$K$4:$AJ$4,0))))=0,NA(),SUMPRODUCT((Inputs!$A$5:$A$160=$B18)*Inputs!$B$5:$B$160*(((Inputs!$G$5:$G$160="moeda")+(Inputs!$G$5:$G$160="acoes"))*Inputs!$B$1+((Inputs!$G$5:$G$160&lt;&gt;"moeda")*(Inputs!$G$5:$G$160&lt;&gt;"acoes")))*INDEX(Inputs!$K$5:$AJ$160,0,MATCH(N$2,Inputs!$K$4:$AJ$4,0)))+SUMPRODUCT((Inputs!$C$5:$C$160=$B18)*Inputs!$D$5:$D$160*(((Inputs!$G$5:$G$160="moeda")+(Inputs!$G$5:$G$160="acoes"))*Inputs!$B$1+((Inputs!$G$5:$G$160&lt;&gt;"moeda")*(Inputs!$G$5:$G$160&lt;&gt;"acoes")))*INDEX(Inputs!$K$5:$AJ$160,0,MATCH(N$2,Inputs!$K$4:$AJ$4,0)))+SUMPRODUCT((Inputs!$E$5:$E$160=$B18)*Inputs!$F$5:$F$160*(((Inputs!$G$5:$G$160="moeda")+(Inputs!$G$5:$G$160="acoes"))*Inputs!$B$1+((Inputs!$G$5:$G$160&lt;&gt;"moeda")*(Inputs!$G$5:$G$160&lt;&gt;"acoes")))*INDEX(Inputs!$K$5:$AJ$160,0,MATCH(N$2,Inputs!$K$4:$AJ$4,0)))))</f>
        <v>53.22583053</v>
      </c>
      <c r="O18" s="6">
        <f>IF(ISNA(MATCH(O$2,Inputs!$K$4:$AJ$4,0)),NA(),IF(SUMPRODUCT((Inputs!$A$5:$A$160=$B18)*ISNUMBER(INDEX(Inputs!$K$5:$AJ$160,0,MATCH(O$2,Inputs!$K$4:$AJ$4,0))))+SUMPRODUCT((Inputs!$C$5:$C$160=$B18)*ISNUMBER(INDEX(Inputs!$K$5:$AJ$160,0,MATCH(O$2,Inputs!$K$4:$AJ$4,0))))+SUMPRODUCT((Inputs!$E$5:$E$160=$B18)*ISNUMBER(INDEX(Inputs!$K$5:$AJ$160,0,MATCH(O$2,Inputs!$K$4:$AJ$4,0))))=0,NA(),SUMPRODUCT((Inputs!$A$5:$A$160=$B18)*Inputs!$B$5:$B$160*(((Inputs!$G$5:$G$160="moeda")+(Inputs!$G$5:$G$160="acoes"))*Inputs!$B$1+((Inputs!$G$5:$G$160&lt;&gt;"moeda")*(Inputs!$G$5:$G$160&lt;&gt;"acoes")))*INDEX(Inputs!$K$5:$AJ$160,0,MATCH(O$2,Inputs!$K$4:$AJ$4,0)))+SUMPRODUCT((Inputs!$C$5:$C$160=$B18)*Inputs!$D$5:$D$160*(((Inputs!$G$5:$G$160="moeda")+(Inputs!$G$5:$G$160="acoes"))*Inputs!$B$1+((Inputs!$G$5:$G$160&lt;&gt;"moeda")*(Inputs!$G$5:$G$160&lt;&gt;"acoes")))*INDEX(Inputs!$K$5:$AJ$160,0,MATCH(O$2,Inputs!$K$4:$AJ$4,0)))+SUMPRODUCT((Inputs!$E$5:$E$160=$B18)*Inputs!$F$5:$F$160*(((Inputs!$G$5:$G$160="moeda")+(Inputs!$G$5:$G$160="acoes"))*Inputs!$B$1+((Inputs!$G$5:$G$160&lt;&gt;"moeda")*(Inputs!$G$5:$G$160&lt;&gt;"acoes")))*INDEX(Inputs!$K$5:$AJ$160,0,MATCH(O$2,Inputs!$K$4:$AJ$4,0)))))</f>
        <v>55.901</v>
      </c>
      <c r="P18" s="6">
        <f>IF(ISNA(MATCH(P$2,Inputs!$K$4:$AJ$4,0)),NA(),IF(SUMPRODUCT((Inputs!$A$5:$A$160=$B18)*ISNUMBER(INDEX(Inputs!$K$5:$AJ$160,0,MATCH(P$2,Inputs!$K$4:$AJ$4,0))))+SUMPRODUCT((Inputs!$C$5:$C$160=$B18)*ISNUMBER(INDEX(Inputs!$K$5:$AJ$160,0,MATCH(P$2,Inputs!$K$4:$AJ$4,0))))+SUMPRODUCT((Inputs!$E$5:$E$160=$B18)*ISNUMBER(INDEX(Inputs!$K$5:$AJ$160,0,MATCH(P$2,Inputs!$K$4:$AJ$4,0))))=0,NA(),SUMPRODUCT((Inputs!$A$5:$A$160=$B18)*Inputs!$B$5:$B$160*(((Inputs!$G$5:$G$160="moeda")+(Inputs!$G$5:$G$160="acoes"))*Inputs!$B$1+((Inputs!$G$5:$G$160&lt;&gt;"moeda")*(Inputs!$G$5:$G$160&lt;&gt;"acoes")))*INDEX(Inputs!$K$5:$AJ$160,0,MATCH(P$2,Inputs!$K$4:$AJ$4,0)))+SUMPRODUCT((Inputs!$C$5:$C$160=$B18)*Inputs!$D$5:$D$160*(((Inputs!$G$5:$G$160="moeda")+(Inputs!$G$5:$G$160="acoes"))*Inputs!$B$1+((Inputs!$G$5:$G$160&lt;&gt;"moeda")*(Inputs!$G$5:$G$160&lt;&gt;"acoes")))*INDEX(Inputs!$K$5:$AJ$160,0,MATCH(P$2,Inputs!$K$4:$AJ$4,0)))+SUMPRODUCT((Inputs!$E$5:$E$160=$B18)*Inputs!$F$5:$F$160*(((Inputs!$G$5:$G$160="moeda")+(Inputs!$G$5:$G$160="acoes"))*Inputs!$B$1+((Inputs!$G$5:$G$160&lt;&gt;"moeda")*(Inputs!$G$5:$G$160&lt;&gt;"acoes")))*INDEX(Inputs!$K$5:$AJ$160,0,MATCH(P$2,Inputs!$K$4:$AJ$4,0)))))</f>
        <v>29.695</v>
      </c>
      <c r="Q18" s="6">
        <f>IF(ISNA(MATCH(Q$2,Inputs!$K$4:$AJ$4,0)),NA(),IF(SUMPRODUCT((Inputs!$A$5:$A$160=$B18)*ISNUMBER(INDEX(Inputs!$K$5:$AJ$160,0,MATCH(Q$2,Inputs!$K$4:$AJ$4,0))))+SUMPRODUCT((Inputs!$C$5:$C$160=$B18)*ISNUMBER(INDEX(Inputs!$K$5:$AJ$160,0,MATCH(Q$2,Inputs!$K$4:$AJ$4,0))))+SUMPRODUCT((Inputs!$E$5:$E$160=$B18)*ISNUMBER(INDEX(Inputs!$K$5:$AJ$160,0,MATCH(Q$2,Inputs!$K$4:$AJ$4,0))))=0,NA(),SUMPRODUCT((Inputs!$A$5:$A$160=$B18)*Inputs!$B$5:$B$160*(((Inputs!$G$5:$G$160="moeda")+(Inputs!$G$5:$G$160="acoes"))*Inputs!$B$1+((Inputs!$G$5:$G$160&lt;&gt;"moeda")*(Inputs!$G$5:$G$160&lt;&gt;"acoes")))*INDEX(Inputs!$K$5:$AJ$160,0,MATCH(Q$2,Inputs!$K$4:$AJ$4,0)))+SUMPRODUCT((Inputs!$C$5:$C$160=$B18)*Inputs!$D$5:$D$160*(((Inputs!$G$5:$G$160="moeda")+(Inputs!$G$5:$G$160="acoes"))*Inputs!$B$1+((Inputs!$G$5:$G$160&lt;&gt;"moeda")*(Inputs!$G$5:$G$160&lt;&gt;"acoes")))*INDEX(Inputs!$K$5:$AJ$160,0,MATCH(Q$2,Inputs!$K$4:$AJ$4,0)))+SUMPRODUCT((Inputs!$E$5:$E$160=$B18)*Inputs!$F$5:$F$160*(((Inputs!$G$5:$G$160="moeda")+(Inputs!$G$5:$G$160="acoes"))*Inputs!$B$1+((Inputs!$G$5:$G$160&lt;&gt;"moeda")*(Inputs!$G$5:$G$160&lt;&gt;"acoes")))*INDEX(Inputs!$K$5:$AJ$160,0,MATCH(Q$2,Inputs!$K$4:$AJ$4,0)))))</f>
        <v>34.356</v>
      </c>
      <c r="R18" s="3">
        <f>Q18</f>
        <v>34.356</v>
      </c>
      <c r="S18" s="6">
        <f>IF(ISNA(MATCH(S$2,Inputs!$K$4:$AJ$4,0)),NA(),IF(SUMPRODUCT((Inputs!$A$5:$A$160=$B18)*ISNUMBER(INDEX(Inputs!$K$5:$AJ$160,0,MATCH(S$2,Inputs!$K$4:$AJ$4,0))))+SUMPRODUCT((Inputs!$C$5:$C$160=$B18)*ISNUMBER(INDEX(Inputs!$K$5:$AJ$160,0,MATCH(S$2,Inputs!$K$4:$AJ$4,0))))+SUMPRODUCT((Inputs!$E$5:$E$160=$B18)*ISNUMBER(INDEX(Inputs!$K$5:$AJ$160,0,MATCH(S$2,Inputs!$K$4:$AJ$4,0))))=0,NA(),SUMPRODUCT((Inputs!$A$5:$A$160=$B18)*Inputs!$B$5:$B$160*(((Inputs!$G$5:$G$160="moeda")+(Inputs!$G$5:$G$160="acoes"))*Inputs!$B$1+((Inputs!$G$5:$G$160&lt;&gt;"moeda")*(Inputs!$G$5:$G$160&lt;&gt;"acoes")))*INDEX(Inputs!$K$5:$AJ$160,0,MATCH(S$2,Inputs!$K$4:$AJ$4,0)))+SUMPRODUCT((Inputs!$C$5:$C$160=$B18)*Inputs!$D$5:$D$160*(((Inputs!$G$5:$G$160="moeda")+(Inputs!$G$5:$G$160="acoes"))*Inputs!$B$1+((Inputs!$G$5:$G$160&lt;&gt;"moeda")*(Inputs!$G$5:$G$160&lt;&gt;"acoes")))*INDEX(Inputs!$K$5:$AJ$160,0,MATCH(S$2,Inputs!$K$4:$AJ$4,0)))+SUMPRODUCT((Inputs!$E$5:$E$160=$B18)*Inputs!$F$5:$F$160*(((Inputs!$G$5:$G$160="moeda")+(Inputs!$G$5:$G$160="acoes"))*Inputs!$B$1+((Inputs!$G$5:$G$160&lt;&gt;"moeda")*(Inputs!$G$5:$G$160&lt;&gt;"acoes")))*INDEX(Inputs!$K$5:$AJ$160,0,MATCH(S$2,Inputs!$K$4:$AJ$4,0)))))</f>
        <v>34.109</v>
      </c>
      <c r="T18" s="6">
        <f>IF(ISNA(MATCH(T$2,Inputs!$K$4:$AJ$4,0)),NA(),IF(SUMPRODUCT((Inputs!$A$5:$A$160=$B18)*ISNUMBER(INDEX(Inputs!$K$5:$AJ$160,0,MATCH(T$2,Inputs!$K$4:$AJ$4,0))))+SUMPRODUCT((Inputs!$C$5:$C$160=$B18)*ISNUMBER(INDEX(Inputs!$K$5:$AJ$160,0,MATCH(T$2,Inputs!$K$4:$AJ$4,0))))+SUMPRODUCT((Inputs!$E$5:$E$160=$B18)*ISNUMBER(INDEX(Inputs!$K$5:$AJ$160,0,MATCH(T$2,Inputs!$K$4:$AJ$4,0))))=0,NA(),SUMPRODUCT((Inputs!$A$5:$A$160=$B18)*Inputs!$B$5:$B$160*(((Inputs!$G$5:$G$160="moeda")+(Inputs!$G$5:$G$160="acoes"))*Inputs!$B$1+((Inputs!$G$5:$G$160&lt;&gt;"moeda")*(Inputs!$G$5:$G$160&lt;&gt;"acoes")))*INDEX(Inputs!$K$5:$AJ$160,0,MATCH(T$2,Inputs!$K$4:$AJ$4,0)))+SUMPRODUCT((Inputs!$C$5:$C$160=$B18)*Inputs!$D$5:$D$160*(((Inputs!$G$5:$G$160="moeda")+(Inputs!$G$5:$G$160="acoes"))*Inputs!$B$1+((Inputs!$G$5:$G$160&lt;&gt;"moeda")*(Inputs!$G$5:$G$160&lt;&gt;"acoes")))*INDEX(Inputs!$K$5:$AJ$160,0,MATCH(T$2,Inputs!$K$4:$AJ$4,0)))+SUMPRODUCT((Inputs!$E$5:$E$160=$B18)*Inputs!$F$5:$F$160*(((Inputs!$G$5:$G$160="moeda")+(Inputs!$G$5:$G$160="acoes"))*Inputs!$B$1+((Inputs!$G$5:$G$160&lt;&gt;"moeda")*(Inputs!$G$5:$G$160&lt;&gt;"acoes")))*INDEX(Inputs!$K$5:$AJ$160,0,MATCH(T$2,Inputs!$K$4:$AJ$4,0)))))</f>
        <v>37.285</v>
      </c>
      <c r="U18" s="6">
        <f>IF(ISNA(MATCH(U$2,Inputs!$K$4:$AJ$4,0)),NA(),IF(SUMPRODUCT((Inputs!$A$5:$A$160=$B18)*ISNUMBER(INDEX(Inputs!$K$5:$AJ$160,0,MATCH(U$2,Inputs!$K$4:$AJ$4,0))))+SUMPRODUCT((Inputs!$C$5:$C$160=$B18)*ISNUMBER(INDEX(Inputs!$K$5:$AJ$160,0,MATCH(U$2,Inputs!$K$4:$AJ$4,0))))+SUMPRODUCT((Inputs!$E$5:$E$160=$B18)*ISNUMBER(INDEX(Inputs!$K$5:$AJ$160,0,MATCH(U$2,Inputs!$K$4:$AJ$4,0))))=0,NA(),SUMPRODUCT((Inputs!$A$5:$A$160=$B18)*Inputs!$B$5:$B$160*(((Inputs!$G$5:$G$160="moeda")+(Inputs!$G$5:$G$160="acoes"))*Inputs!$B$1+((Inputs!$G$5:$G$160&lt;&gt;"moeda")*(Inputs!$G$5:$G$160&lt;&gt;"acoes")))*INDEX(Inputs!$K$5:$AJ$160,0,MATCH(U$2,Inputs!$K$4:$AJ$4,0)))+SUMPRODUCT((Inputs!$C$5:$C$160=$B18)*Inputs!$D$5:$D$160*(((Inputs!$G$5:$G$160="moeda")+(Inputs!$G$5:$G$160="acoes"))*Inputs!$B$1+((Inputs!$G$5:$G$160&lt;&gt;"moeda")*(Inputs!$G$5:$G$160&lt;&gt;"acoes")))*INDEX(Inputs!$K$5:$AJ$160,0,MATCH(U$2,Inputs!$K$4:$AJ$4,0)))+SUMPRODUCT((Inputs!$E$5:$E$160=$B18)*Inputs!$F$5:$F$160*(((Inputs!$G$5:$G$160="moeda")+(Inputs!$G$5:$G$160="acoes"))*Inputs!$B$1+((Inputs!$G$5:$G$160&lt;&gt;"moeda")*(Inputs!$G$5:$G$160&lt;&gt;"acoes")))*INDEX(Inputs!$K$5:$AJ$160,0,MATCH(U$2,Inputs!$K$4:$AJ$4,0)))))</f>
        <v>37.378</v>
      </c>
      <c r="V18" s="6">
        <f>IF(ISNA(MATCH(V$2,Inputs!$K$4:$AJ$4,0)),NA(),IF(SUMPRODUCT((Inputs!$A$5:$A$160=$B18)*ISNUMBER(INDEX(Inputs!$K$5:$AJ$160,0,MATCH(V$2,Inputs!$K$4:$AJ$4,0))))+SUMPRODUCT((Inputs!$C$5:$C$160=$B18)*ISNUMBER(INDEX(Inputs!$K$5:$AJ$160,0,MATCH(V$2,Inputs!$K$4:$AJ$4,0))))+SUMPRODUCT((Inputs!$E$5:$E$160=$B18)*ISNUMBER(INDEX(Inputs!$K$5:$AJ$160,0,MATCH(V$2,Inputs!$K$4:$AJ$4,0))))=0,NA(),SUMPRODUCT((Inputs!$A$5:$A$160=$B18)*Inputs!$B$5:$B$160*(((Inputs!$G$5:$G$160="moeda")+(Inputs!$G$5:$G$160="acoes"))*Inputs!$B$1+((Inputs!$G$5:$G$160&lt;&gt;"moeda")*(Inputs!$G$5:$G$160&lt;&gt;"acoes")))*INDEX(Inputs!$K$5:$AJ$160,0,MATCH(V$2,Inputs!$K$4:$AJ$4,0)))+SUMPRODUCT((Inputs!$C$5:$C$160=$B18)*Inputs!$D$5:$D$160*(((Inputs!$G$5:$G$160="moeda")+(Inputs!$G$5:$G$160="acoes"))*Inputs!$B$1+((Inputs!$G$5:$G$160&lt;&gt;"moeda")*(Inputs!$G$5:$G$160&lt;&gt;"acoes")))*INDEX(Inputs!$K$5:$AJ$160,0,MATCH(V$2,Inputs!$K$4:$AJ$4,0)))+SUMPRODUCT((Inputs!$E$5:$E$160=$B18)*Inputs!$F$5:$F$160*(((Inputs!$G$5:$G$160="moeda")+(Inputs!$G$5:$G$160="acoes"))*Inputs!$B$1+((Inputs!$G$5:$G$160&lt;&gt;"moeda")*(Inputs!$G$5:$G$160&lt;&gt;"acoes")))*INDEX(Inputs!$K$5:$AJ$160,0,MATCH(V$2,Inputs!$K$4:$AJ$4,0)))))</f>
        <v>20.478</v>
      </c>
      <c r="W18" s="3">
        <f>V18</f>
        <v>20.478</v>
      </c>
      <c r="X18" s="6">
        <f>IF(ISNA(MATCH(X$2,Inputs!$K$4:$AJ$4,0)),NA(),IF(SUMPRODUCT((Inputs!$A$5:$A$160=$B18)*ISNUMBER(INDEX(Inputs!$K$5:$AJ$160,0,MATCH(X$2,Inputs!$K$4:$AJ$4,0))))+SUMPRODUCT((Inputs!$C$5:$C$160=$B18)*ISNUMBER(INDEX(Inputs!$K$5:$AJ$160,0,MATCH(X$2,Inputs!$K$4:$AJ$4,0))))+SUMPRODUCT((Inputs!$E$5:$E$160=$B18)*ISNUMBER(INDEX(Inputs!$K$5:$AJ$160,0,MATCH(X$2,Inputs!$K$4:$AJ$4,0))))=0,NA(),SUMPRODUCT((Inputs!$A$5:$A$160=$B18)*Inputs!$B$5:$B$160*(((Inputs!$G$5:$G$160="moeda")+(Inputs!$G$5:$G$160="acoes"))*Inputs!$B$1+((Inputs!$G$5:$G$160&lt;&gt;"moeda")*(Inputs!$G$5:$G$160&lt;&gt;"acoes")))*INDEX(Inputs!$K$5:$AJ$160,0,MATCH(X$2,Inputs!$K$4:$AJ$4,0)))+SUMPRODUCT((Inputs!$C$5:$C$160=$B18)*Inputs!$D$5:$D$160*(((Inputs!$G$5:$G$160="moeda")+(Inputs!$G$5:$G$160="acoes"))*Inputs!$B$1+((Inputs!$G$5:$G$160&lt;&gt;"moeda")*(Inputs!$G$5:$G$160&lt;&gt;"acoes")))*INDEX(Inputs!$K$5:$AJ$160,0,MATCH(X$2,Inputs!$K$4:$AJ$4,0)))+SUMPRODUCT((Inputs!$E$5:$E$160=$B18)*Inputs!$F$5:$F$160*(((Inputs!$G$5:$G$160="moeda")+(Inputs!$G$5:$G$160="acoes"))*Inputs!$B$1+((Inputs!$G$5:$G$160&lt;&gt;"moeda")*(Inputs!$G$5:$G$160&lt;&gt;"acoes")))*INDEX(Inputs!$K$5:$AJ$160,0,MATCH(X$2,Inputs!$K$4:$AJ$4,0)))))</f>
        <v>21.879454</v>
      </c>
      <c r="Y18" s="6">
        <f>IF(ISNA(MATCH(Y$2,Inputs!$K$4:$AJ$4,0)),NA(),IF(SUMPRODUCT((Inputs!$A$5:$A$160=$B18)*ISNUMBER(INDEX(Inputs!$K$5:$AJ$160,0,MATCH(Y$2,Inputs!$K$4:$AJ$4,0))))+SUMPRODUCT((Inputs!$C$5:$C$160=$B18)*ISNUMBER(INDEX(Inputs!$K$5:$AJ$160,0,MATCH(Y$2,Inputs!$K$4:$AJ$4,0))))+SUMPRODUCT((Inputs!$E$5:$E$160=$B18)*ISNUMBER(INDEX(Inputs!$K$5:$AJ$160,0,MATCH(Y$2,Inputs!$K$4:$AJ$4,0))))=0,NA(),SUMPRODUCT((Inputs!$A$5:$A$160=$B18)*Inputs!$B$5:$B$160*(((Inputs!$G$5:$G$160="moeda")+(Inputs!$G$5:$G$160="acoes"))*Inputs!$B$1+((Inputs!$G$5:$G$160&lt;&gt;"moeda")*(Inputs!$G$5:$G$160&lt;&gt;"acoes")))*INDEX(Inputs!$K$5:$AJ$160,0,MATCH(Y$2,Inputs!$K$4:$AJ$4,0)))+SUMPRODUCT((Inputs!$C$5:$C$160=$B18)*Inputs!$D$5:$D$160*(((Inputs!$G$5:$G$160="moeda")+(Inputs!$G$5:$G$160="acoes"))*Inputs!$B$1+((Inputs!$G$5:$G$160&lt;&gt;"moeda")*(Inputs!$G$5:$G$160&lt;&gt;"acoes")))*INDEX(Inputs!$K$5:$AJ$160,0,MATCH(Y$2,Inputs!$K$4:$AJ$4,0)))+SUMPRODUCT((Inputs!$E$5:$E$160=$B18)*Inputs!$F$5:$F$160*(((Inputs!$G$5:$G$160="moeda")+(Inputs!$G$5:$G$160="acoes"))*Inputs!$B$1+((Inputs!$G$5:$G$160&lt;&gt;"moeda")*(Inputs!$G$5:$G$160&lt;&gt;"acoes")))*INDEX(Inputs!$K$5:$AJ$160,0,MATCH(Y$2,Inputs!$K$4:$AJ$4,0)))))</f>
        <v>11.582</v>
      </c>
      <c r="Z18" s="6">
        <f>IF(ISNA(MATCH(Z$2,Inputs!$K$4:$AJ$4,0)),NA(),IF(SUMPRODUCT((Inputs!$A$5:$A$160=$B18)*ISNUMBER(INDEX(Inputs!$K$5:$AJ$160,0,MATCH(Z$2,Inputs!$K$4:$AJ$4,0))))+SUMPRODUCT((Inputs!$C$5:$C$160=$B18)*ISNUMBER(INDEX(Inputs!$K$5:$AJ$160,0,MATCH(Z$2,Inputs!$K$4:$AJ$4,0))))+SUMPRODUCT((Inputs!$E$5:$E$160=$B18)*ISNUMBER(INDEX(Inputs!$K$5:$AJ$160,0,MATCH(Z$2,Inputs!$K$4:$AJ$4,0))))=0,NA(),SUMPRODUCT((Inputs!$A$5:$A$160=$B18)*Inputs!$B$5:$B$160*(((Inputs!$G$5:$G$160="moeda")+(Inputs!$G$5:$G$160="acoes"))*Inputs!$B$1+((Inputs!$G$5:$G$160&lt;&gt;"moeda")*(Inputs!$G$5:$G$160&lt;&gt;"acoes")))*INDEX(Inputs!$K$5:$AJ$160,0,MATCH(Z$2,Inputs!$K$4:$AJ$4,0)))+SUMPRODUCT((Inputs!$C$5:$C$160=$B18)*Inputs!$D$5:$D$160*(((Inputs!$G$5:$G$160="moeda")+(Inputs!$G$5:$G$160="acoes"))*Inputs!$B$1+((Inputs!$G$5:$G$160&lt;&gt;"moeda")*(Inputs!$G$5:$G$160&lt;&gt;"acoes")))*INDEX(Inputs!$K$5:$AJ$160,0,MATCH(Z$2,Inputs!$K$4:$AJ$4,0)))+SUMPRODUCT((Inputs!$E$5:$E$160=$B18)*Inputs!$F$5:$F$160*(((Inputs!$G$5:$G$160="moeda")+(Inputs!$G$5:$G$160="acoes"))*Inputs!$B$1+((Inputs!$G$5:$G$160&lt;&gt;"moeda")*(Inputs!$G$5:$G$160&lt;&gt;"acoes")))*INDEX(Inputs!$K$5:$AJ$160,0,MATCH(Z$2,Inputs!$K$4:$AJ$4,0)))))</f>
        <v>12.011</v>
      </c>
      <c r="AA18" s="6">
        <f>IF(ISNA(MATCH(AA$2,Inputs!$K$4:$AJ$4,0)),NA(),IF(SUMPRODUCT((Inputs!$A$5:$A$160=$B18)*ISNUMBER(INDEX(Inputs!$K$5:$AJ$160,0,MATCH(AA$2,Inputs!$K$4:$AJ$4,0))))+SUMPRODUCT((Inputs!$C$5:$C$160=$B18)*ISNUMBER(INDEX(Inputs!$K$5:$AJ$160,0,MATCH(AA$2,Inputs!$K$4:$AJ$4,0))))+SUMPRODUCT((Inputs!$E$5:$E$160=$B18)*ISNUMBER(INDEX(Inputs!$K$5:$AJ$160,0,MATCH(AA$2,Inputs!$K$4:$AJ$4,0))))=0,NA(),SUMPRODUCT((Inputs!$A$5:$A$160=$B18)*Inputs!$B$5:$B$160*(((Inputs!$G$5:$G$160="moeda")+(Inputs!$G$5:$G$160="acoes"))*Inputs!$B$1+((Inputs!$G$5:$G$160&lt;&gt;"moeda")*(Inputs!$G$5:$G$160&lt;&gt;"acoes")))*INDEX(Inputs!$K$5:$AJ$160,0,MATCH(AA$2,Inputs!$K$4:$AJ$4,0)))+SUMPRODUCT((Inputs!$C$5:$C$160=$B18)*Inputs!$D$5:$D$160*(((Inputs!$G$5:$G$160="moeda")+(Inputs!$G$5:$G$160="acoes"))*Inputs!$B$1+((Inputs!$G$5:$G$160&lt;&gt;"moeda")*(Inputs!$G$5:$G$160&lt;&gt;"acoes")))*INDEX(Inputs!$K$5:$AJ$160,0,MATCH(AA$2,Inputs!$K$4:$AJ$4,0)))+SUMPRODUCT((Inputs!$E$5:$E$160=$B18)*Inputs!$F$5:$F$160*(((Inputs!$G$5:$G$160="moeda")+(Inputs!$G$5:$G$160="acoes"))*Inputs!$B$1+((Inputs!$G$5:$G$160&lt;&gt;"moeda")*(Inputs!$G$5:$G$160&lt;&gt;"acoes")))*INDEX(Inputs!$K$5:$AJ$160,0,MATCH(AA$2,Inputs!$K$4:$AJ$4,0)))))</f>
        <v>11.058</v>
      </c>
      <c r="AB18" s="3">
        <f>AA18</f>
        <v>11.058</v>
      </c>
      <c r="AC18" s="6">
        <f>IF(ISNA(MATCH(AC$2,Inputs!$K$4:$AJ$4,0)),NA(),IF(SUMPRODUCT((Inputs!$A$5:$A$160=$B18)*ISNUMBER(INDEX(Inputs!$K$5:$AJ$160,0,MATCH(AC$2,Inputs!$K$4:$AJ$4,0))))+SUMPRODUCT((Inputs!$C$5:$C$160=$B18)*ISNUMBER(INDEX(Inputs!$K$5:$AJ$160,0,MATCH(AC$2,Inputs!$K$4:$AJ$4,0))))+SUMPRODUCT((Inputs!$E$5:$E$160=$B18)*ISNUMBER(INDEX(Inputs!$K$5:$AJ$160,0,MATCH(AC$2,Inputs!$K$4:$AJ$4,0))))=0,NA(),SUMPRODUCT((Inputs!$A$5:$A$160=$B18)*Inputs!$B$5:$B$160*(((Inputs!$G$5:$G$160="moeda")+(Inputs!$G$5:$G$160="acoes"))*Inputs!$B$1+((Inputs!$G$5:$G$160&lt;&gt;"moeda")*(Inputs!$G$5:$G$160&lt;&gt;"acoes")))*INDEX(Inputs!$K$5:$AJ$160,0,MATCH(AC$2,Inputs!$K$4:$AJ$4,0)))+SUMPRODUCT((Inputs!$C$5:$C$160=$B18)*Inputs!$D$5:$D$160*(((Inputs!$G$5:$G$160="moeda")+(Inputs!$G$5:$G$160="acoes"))*Inputs!$B$1+((Inputs!$G$5:$G$160&lt;&gt;"moeda")*(Inputs!$G$5:$G$160&lt;&gt;"acoes")))*INDEX(Inputs!$K$5:$AJ$160,0,MATCH(AC$2,Inputs!$K$4:$AJ$4,0)))+SUMPRODUCT((Inputs!$E$5:$E$160=$B18)*Inputs!$F$5:$F$160*(((Inputs!$G$5:$G$160="moeda")+(Inputs!$G$5:$G$160="acoes"))*Inputs!$B$1+((Inputs!$G$5:$G$160&lt;&gt;"moeda")*(Inputs!$G$5:$G$160&lt;&gt;"acoes")))*INDEX(Inputs!$K$5:$AJ$160,0,MATCH(AC$2,Inputs!$K$4:$AJ$4,0)))))</f>
        <v>8.43</v>
      </c>
      <c r="AD18" s="6">
        <f>IF(ISNA(MATCH(AD$2,Inputs!$K$4:$AJ$4,0)),NA(),IF(SUMPRODUCT((Inputs!$A$5:$A$160=$B18)*ISNUMBER(INDEX(Inputs!$K$5:$AJ$160,0,MATCH(AD$2,Inputs!$K$4:$AJ$4,0))))+SUMPRODUCT((Inputs!$C$5:$C$160=$B18)*ISNUMBER(INDEX(Inputs!$K$5:$AJ$160,0,MATCH(AD$2,Inputs!$K$4:$AJ$4,0))))+SUMPRODUCT((Inputs!$E$5:$E$160=$B18)*ISNUMBER(INDEX(Inputs!$K$5:$AJ$160,0,MATCH(AD$2,Inputs!$K$4:$AJ$4,0))))=0,NA(),SUMPRODUCT((Inputs!$A$5:$A$160=$B18)*Inputs!$B$5:$B$160*(((Inputs!$G$5:$G$160="moeda")+(Inputs!$G$5:$G$160="acoes"))*Inputs!$B$1+((Inputs!$G$5:$G$160&lt;&gt;"moeda")*(Inputs!$G$5:$G$160&lt;&gt;"acoes")))*INDEX(Inputs!$K$5:$AJ$160,0,MATCH(AD$2,Inputs!$K$4:$AJ$4,0)))+SUMPRODUCT((Inputs!$C$5:$C$160=$B18)*Inputs!$D$5:$D$160*(((Inputs!$G$5:$G$160="moeda")+(Inputs!$G$5:$G$160="acoes"))*Inputs!$B$1+((Inputs!$G$5:$G$160&lt;&gt;"moeda")*(Inputs!$G$5:$G$160&lt;&gt;"acoes")))*INDEX(Inputs!$K$5:$AJ$160,0,MATCH(AD$2,Inputs!$K$4:$AJ$4,0)))+SUMPRODUCT((Inputs!$E$5:$E$160=$B18)*Inputs!$F$5:$F$160*(((Inputs!$G$5:$G$160="moeda")+(Inputs!$G$5:$G$160="acoes"))*Inputs!$B$1+((Inputs!$G$5:$G$160&lt;&gt;"moeda")*(Inputs!$G$5:$G$160&lt;&gt;"acoes")))*INDEX(Inputs!$K$5:$AJ$160,0,MATCH(AD$2,Inputs!$K$4:$AJ$4,0)))))</f>
        <v>10.269</v>
      </c>
      <c r="AE18" s="6" t="e">
        <f>IF(ISNA(MATCH(AE$2,Inputs!$K$4:$AJ$4,0)),NA(),IF(SUMPRODUCT((Inputs!$A$5:$A$160=$B18)*ISNUMBER(INDEX(Inputs!$K$5:$AJ$160,0,MATCH(AE$2,Inputs!$K$4:$AJ$4,0))))+SUMPRODUCT((Inputs!$C$5:$C$160=$B18)*ISNUMBER(INDEX(Inputs!$K$5:$AJ$160,0,MATCH(AE$2,Inputs!$K$4:$AJ$4,0))))+SUMPRODUCT((Inputs!$E$5:$E$160=$B18)*ISNUMBER(INDEX(Inputs!$K$5:$AJ$160,0,MATCH(AE$2,Inputs!$K$4:$AJ$4,0))))=0,NA(),SUMPRODUCT((Inputs!$A$5:$A$160=$B18)*Inputs!$B$5:$B$160*(((Inputs!$G$5:$G$160="moeda")+(Inputs!$G$5:$G$160="acoes"))*Inputs!$B$1+((Inputs!$G$5:$G$160&lt;&gt;"moeda")*(Inputs!$G$5:$G$160&lt;&gt;"acoes")))*INDEX(Inputs!$K$5:$AJ$160,0,MATCH(AE$2,Inputs!$K$4:$AJ$4,0)))+SUMPRODUCT((Inputs!$C$5:$C$160=$B18)*Inputs!$D$5:$D$160*(((Inputs!$G$5:$G$160="moeda")+(Inputs!$G$5:$G$160="acoes"))*Inputs!$B$1+((Inputs!$G$5:$G$160&lt;&gt;"moeda")*(Inputs!$G$5:$G$160&lt;&gt;"acoes")))*INDEX(Inputs!$K$5:$AJ$160,0,MATCH(AE$2,Inputs!$K$4:$AJ$4,0)))+SUMPRODUCT((Inputs!$E$5:$E$160=$B18)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8" s="6" t="e">
        <f>IF(ISNA(MATCH(AF$2,Inputs!$K$4:$AJ$4,0)),NA(),IF(SUMPRODUCT((Inputs!$A$5:$A$160=$B18)*ISNUMBER(INDEX(Inputs!$K$5:$AJ$160,0,MATCH(AF$2,Inputs!$K$4:$AJ$4,0))))+SUMPRODUCT((Inputs!$C$5:$C$160=$B18)*ISNUMBER(INDEX(Inputs!$K$5:$AJ$160,0,MATCH(AF$2,Inputs!$K$4:$AJ$4,0))))+SUMPRODUCT((Inputs!$E$5:$E$160=$B18)*ISNUMBER(INDEX(Inputs!$K$5:$AJ$160,0,MATCH(AF$2,Inputs!$K$4:$AJ$4,0))))=0,NA(),SUMPRODUCT((Inputs!$A$5:$A$160=$B18)*Inputs!$B$5:$B$160*(((Inputs!$G$5:$G$160="moeda")+(Inputs!$G$5:$G$160="acoes"))*Inputs!$B$1+((Inputs!$G$5:$G$160&lt;&gt;"moeda")*(Inputs!$G$5:$G$160&lt;&gt;"acoes")))*INDEX(Inputs!$K$5:$AJ$160,0,MATCH(AF$2,Inputs!$K$4:$AJ$4,0)))+SUMPRODUCT((Inputs!$C$5:$C$160=$B18)*Inputs!$D$5:$D$160*(((Inputs!$G$5:$G$160="moeda")+(Inputs!$G$5:$G$160="acoes"))*Inputs!$B$1+((Inputs!$G$5:$G$160&lt;&gt;"moeda")*(Inputs!$G$5:$G$160&lt;&gt;"acoes")))*INDEX(Inputs!$K$5:$AJ$160,0,MATCH(AF$2,Inputs!$K$4:$AJ$4,0)))+SUMPRODUCT((Inputs!$E$5:$E$160=$B18)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8" s="3" t="e">
        <f>AF18</f>
        <v>#N/A</v>
      </c>
      <c r="AH18" s="6">
        <f>IF(ISNA(MATCH(AH$2,Inputs!$K$4:$AJ$4,0)),NA(),IF(SUMPRODUCT((Inputs!$A$5:$A$160=$B18)*ISNUMBER(INDEX(Inputs!$K$5:$AJ$160,0,MATCH(AH$2,Inputs!$K$4:$AJ$4,0))))+SUMPRODUCT((Inputs!$C$5:$C$160=$B18)*ISNUMBER(INDEX(Inputs!$K$5:$AJ$160,0,MATCH(AH$2,Inputs!$K$4:$AJ$4,0))))+SUMPRODUCT((Inputs!$E$5:$E$160=$B18)*ISNUMBER(INDEX(Inputs!$K$5:$AJ$160,0,MATCH(AH$2,Inputs!$K$4:$AJ$4,0))))=0,NA(),SUMPRODUCT((Inputs!$A$5:$A$160=$B18)*Inputs!$B$5:$B$160*(((Inputs!$G$5:$G$160="moeda")+(Inputs!$G$5:$G$160="acoes"))*Inputs!$B$1+((Inputs!$G$5:$G$160&lt;&gt;"moeda")*(Inputs!$G$5:$G$160&lt;&gt;"acoes")))*INDEX(Inputs!$K$5:$AJ$160,0,MATCH(AH$2,Inputs!$K$4:$AJ$4,0)))+SUMPRODUCT((Inputs!$C$5:$C$160=$B18)*Inputs!$D$5:$D$160*(((Inputs!$G$5:$G$160="moeda")+(Inputs!$G$5:$G$160="acoes"))*Inputs!$B$1+((Inputs!$G$5:$G$160&lt;&gt;"moeda")*(Inputs!$G$5:$G$160&lt;&gt;"acoes")))*INDEX(Inputs!$K$5:$AJ$160,0,MATCH(AH$2,Inputs!$K$4:$AJ$4,0)))+SUMPRODUCT((Inputs!$E$5:$E$160=$B18)*Inputs!$F$5:$F$160*(((Inputs!$G$5:$G$160="moeda")+(Inputs!$G$5:$G$160="acoes"))*Inputs!$B$1+((Inputs!$G$5:$G$160&lt;&gt;"moeda")*(Inputs!$G$5:$G$160&lt;&gt;"acoes")))*INDEX(Inputs!$K$5:$AJ$160,0,MATCH(AH$2,Inputs!$K$4:$AJ$4,0)))))</f>
        <v>12.5274</v>
      </c>
      <c r="AI18" s="6">
        <f>IF(ISNA(MATCH(AI$2,Inputs!$K$4:$AJ$4,0)),NA(),IF(SUMPRODUCT((Inputs!$A$5:$A$160=$B18)*ISNUMBER(INDEX(Inputs!$K$5:$AJ$160,0,MATCH(AI$2,Inputs!$K$4:$AJ$4,0))))+SUMPRODUCT((Inputs!$C$5:$C$160=$B18)*ISNUMBER(INDEX(Inputs!$K$5:$AJ$160,0,MATCH(AI$2,Inputs!$K$4:$AJ$4,0))))+SUMPRODUCT((Inputs!$E$5:$E$160=$B18)*ISNUMBER(INDEX(Inputs!$K$5:$AJ$160,0,MATCH(AI$2,Inputs!$K$4:$AJ$4,0))))=0,NA(),SUMPRODUCT((Inputs!$A$5:$A$160=$B18)*Inputs!$B$5:$B$160*(((Inputs!$G$5:$G$160="moeda")+(Inputs!$G$5:$G$160="acoes"))*Inputs!$B$1+((Inputs!$G$5:$G$160&lt;&gt;"moeda")*(Inputs!$G$5:$G$160&lt;&gt;"acoes")))*INDEX(Inputs!$K$5:$AJ$160,0,MATCH(AI$2,Inputs!$K$4:$AJ$4,0)))+SUMPRODUCT((Inputs!$C$5:$C$160=$B18)*Inputs!$D$5:$D$160*(((Inputs!$G$5:$G$160="moeda")+(Inputs!$G$5:$G$160="acoes"))*Inputs!$B$1+((Inputs!$G$5:$G$160&lt;&gt;"moeda")*(Inputs!$G$5:$G$160&lt;&gt;"acoes")))*INDEX(Inputs!$K$5:$AJ$160,0,MATCH(AI$2,Inputs!$K$4:$AJ$4,0)))+SUMPRODUCT((Inputs!$E$5:$E$160=$B18)*Inputs!$F$5:$F$160*(((Inputs!$G$5:$G$160="moeda")+(Inputs!$G$5:$G$160="acoes"))*Inputs!$B$1+((Inputs!$G$5:$G$160&lt;&gt;"moeda")*(Inputs!$G$5:$G$160&lt;&gt;"acoes")))*INDEX(Inputs!$K$5:$AJ$160,0,MATCH(AI$2,Inputs!$K$4:$AJ$4,0)))))</f>
        <v>80.02739699</v>
      </c>
      <c r="AJ18" s="6">
        <f>IF(ISNA(MATCH(AJ$2,Inputs!$K$4:$AJ$4,0)),NA(),IF(SUMPRODUCT((Inputs!$A$5:$A$160=$B18)*ISNUMBER(INDEX(Inputs!$K$5:$AJ$160,0,MATCH(AJ$2,Inputs!$K$4:$AJ$4,0))))+SUMPRODUCT((Inputs!$C$5:$C$160=$B18)*ISNUMBER(INDEX(Inputs!$K$5:$AJ$160,0,MATCH(AJ$2,Inputs!$K$4:$AJ$4,0))))+SUMPRODUCT((Inputs!$E$5:$E$160=$B18)*ISNUMBER(INDEX(Inputs!$K$5:$AJ$160,0,MATCH(AJ$2,Inputs!$K$4:$AJ$4,0))))=0,NA(),SUMPRODUCT((Inputs!$A$5:$A$160=$B18)*Inputs!$B$5:$B$160*(((Inputs!$G$5:$G$160="moeda")+(Inputs!$G$5:$G$160="acoes"))*Inputs!$B$1+((Inputs!$G$5:$G$160&lt;&gt;"moeda")*(Inputs!$G$5:$G$160&lt;&gt;"acoes")))*INDEX(Inputs!$K$5:$AJ$160,0,MATCH(AJ$2,Inputs!$K$4:$AJ$4,0)))+SUMPRODUCT((Inputs!$C$5:$C$160=$B18)*Inputs!$D$5:$D$160*(((Inputs!$G$5:$G$160="moeda")+(Inputs!$G$5:$G$160="acoes"))*Inputs!$B$1+((Inputs!$G$5:$G$160&lt;&gt;"moeda")*(Inputs!$G$5:$G$160&lt;&gt;"acoes")))*INDEX(Inputs!$K$5:$AJ$160,0,MATCH(AJ$2,Inputs!$K$4:$AJ$4,0)))+SUMPRODUCT((Inputs!$E$5:$E$160=$B18)*Inputs!$F$5:$F$160*(((Inputs!$G$5:$G$160="moeda")+(Inputs!$G$5:$G$160="acoes"))*Inputs!$B$1+((Inputs!$G$5:$G$160&lt;&gt;"moeda")*(Inputs!$G$5:$G$160&lt;&gt;"acoes")))*INDEX(Inputs!$K$5:$AJ$160,0,MATCH(AJ$2,Inputs!$K$4:$AJ$4,0)))))</f>
        <v>66.31949783</v>
      </c>
      <c r="AK18" s="6">
        <f>IF(ISNA(MATCH(AK$2,Inputs!$K$4:$AJ$4,0)),NA(),IF(SUMPRODUCT((Inputs!$A$5:$A$160=$B18)*ISNUMBER(INDEX(Inputs!$K$5:$AJ$160,0,MATCH(AK$2,Inputs!$K$4:$AJ$4,0))))+SUMPRODUCT((Inputs!$C$5:$C$160=$B18)*ISNUMBER(INDEX(Inputs!$K$5:$AJ$160,0,MATCH(AK$2,Inputs!$K$4:$AJ$4,0))))+SUMPRODUCT((Inputs!$E$5:$E$160=$B18)*ISNUMBER(INDEX(Inputs!$K$5:$AJ$160,0,MATCH(AK$2,Inputs!$K$4:$AJ$4,0))))=0,NA(),SUMPRODUCT((Inputs!$A$5:$A$160=$B18)*Inputs!$B$5:$B$160*(((Inputs!$G$5:$G$160="moeda")+(Inputs!$G$5:$G$160="acoes"))*Inputs!$B$1+((Inputs!$G$5:$G$160&lt;&gt;"moeda")*(Inputs!$G$5:$G$160&lt;&gt;"acoes")))*INDEX(Inputs!$K$5:$AJ$160,0,MATCH(AK$2,Inputs!$K$4:$AJ$4,0)))+SUMPRODUCT((Inputs!$C$5:$C$160=$B18)*Inputs!$D$5:$D$160*(((Inputs!$G$5:$G$160="moeda")+(Inputs!$G$5:$G$160="acoes"))*Inputs!$B$1+((Inputs!$G$5:$G$160&lt;&gt;"moeda")*(Inputs!$G$5:$G$160&lt;&gt;"acoes")))*INDEX(Inputs!$K$5:$AJ$160,0,MATCH(AK$2,Inputs!$K$4:$AJ$4,0)))+SUMPRODUCT((Inputs!$E$5:$E$160=$B18)*Inputs!$F$5:$F$160*(((Inputs!$G$5:$G$160="moeda")+(Inputs!$G$5:$G$160="acoes"))*Inputs!$B$1+((Inputs!$G$5:$G$160&lt;&gt;"moeda")*(Inputs!$G$5:$G$160&lt;&gt;"acoes")))*INDEX(Inputs!$K$5:$AJ$160,0,MATCH(AK$2,Inputs!$K$4:$AJ$4,0)))))</f>
        <v>75.95658545</v>
      </c>
      <c r="AL18" s="3">
        <f>AK18</f>
        <v>75.95658545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$160=$B19)*ISNUMBER(INDEX(Inputs!$K$5:$AJ$160,0,MATCH(D$2,Inputs!$K$4:$AJ$4,0))))+SUMPRODUCT((Inputs!$C$5:$C$160=$B19)*ISNUMBER(INDEX(Inputs!$K$5:$AJ$160,0,MATCH(D$2,Inputs!$K$4:$AJ$4,0))))+SUMPRODUCT((Inputs!$E$5:$E$160=$B19)*ISNUMBER(INDEX(Inputs!$K$5:$AJ$160,0,MATCH(D$2,Inputs!$K$4:$AJ$4,0))))=0,NA(),SUMPRODUCT((Inputs!$A$5:$A$160=$B19)*Inputs!$B$5:$B$160*(((Inputs!$G$5:$G$160="moeda")+(Inputs!$G$5:$G$160="acoes"))*Inputs!$B$1+((Inputs!$G$5:$G$160&lt;&gt;"moeda")*(Inputs!$G$5:$G$160&lt;&gt;"acoes")))*INDEX(Inputs!$K$5:$AJ$160,0,MATCH(D$2,Inputs!$K$4:$AJ$4,0)))+SUMPRODUCT((Inputs!$C$5:$C$160=$B19)*Inputs!$D$5:$D$160*(((Inputs!$G$5:$G$160="moeda")+(Inputs!$G$5:$G$160="acoes"))*Inputs!$B$1+((Inputs!$G$5:$G$160&lt;&gt;"moeda")*(Inputs!$G$5:$G$160&lt;&gt;"acoes")))*INDEX(Inputs!$K$5:$AJ$160,0,MATCH(D$2,Inputs!$K$4:$AJ$4,0)))+SUMPRODUCT((Inputs!$E$5:$E$160=$B19)*Inputs!$F$5:$F$160*(((Inputs!$G$5:$G$160="moeda")+(Inputs!$G$5:$G$160="acoes"))*Inputs!$B$1+((Inputs!$G$5:$G$160&lt;&gt;"moeda")*(Inputs!$G$5:$G$160&lt;&gt;"acoes")))*INDEX(Inputs!$K$5:$AJ$160,0,MATCH(D$2,Inputs!$K$4:$AJ$4,0)))))</f>
        <v>21.44050233</v>
      </c>
      <c r="E19" s="6">
        <f>IF(ISNA(MATCH(E$2,Inputs!$K$4:$AJ$4,0)),NA(),IF(SUMPRODUCT((Inputs!$A$5:$A$160=$B19)*ISNUMBER(INDEX(Inputs!$K$5:$AJ$160,0,MATCH(E$2,Inputs!$K$4:$AJ$4,0))))+SUMPRODUCT((Inputs!$C$5:$C$160=$B19)*ISNUMBER(INDEX(Inputs!$K$5:$AJ$160,0,MATCH(E$2,Inputs!$K$4:$AJ$4,0))))+SUMPRODUCT((Inputs!$E$5:$E$160=$B19)*ISNUMBER(INDEX(Inputs!$K$5:$AJ$160,0,MATCH(E$2,Inputs!$K$4:$AJ$4,0))))=0,NA(),SUMPRODUCT((Inputs!$A$5:$A$160=$B19)*Inputs!$B$5:$B$160*(((Inputs!$G$5:$G$160="moeda")+(Inputs!$G$5:$G$160="acoes"))*Inputs!$B$1+((Inputs!$G$5:$G$160&lt;&gt;"moeda")*(Inputs!$G$5:$G$160&lt;&gt;"acoes")))*INDEX(Inputs!$K$5:$AJ$160,0,MATCH(E$2,Inputs!$K$4:$AJ$4,0)))+SUMPRODUCT((Inputs!$C$5:$C$160=$B19)*Inputs!$D$5:$D$160*(((Inputs!$G$5:$G$160="moeda")+(Inputs!$G$5:$G$160="acoes"))*Inputs!$B$1+((Inputs!$G$5:$G$160&lt;&gt;"moeda")*(Inputs!$G$5:$G$160&lt;&gt;"acoes")))*INDEX(Inputs!$K$5:$AJ$160,0,MATCH(E$2,Inputs!$K$4:$AJ$4,0)))+SUMPRODUCT((Inputs!$E$5:$E$160=$B19)*Inputs!$F$5:$F$160*(((Inputs!$G$5:$G$160="moeda")+(Inputs!$G$5:$G$160="acoes"))*Inputs!$B$1+((Inputs!$G$5:$G$160&lt;&gt;"moeda")*(Inputs!$G$5:$G$160&lt;&gt;"acoes")))*INDEX(Inputs!$K$5:$AJ$160,0,MATCH(E$2,Inputs!$K$4:$AJ$4,0)))))</f>
        <v>19.74941461</v>
      </c>
      <c r="F19" s="6">
        <f>IF(ISNA(MATCH(F$2,Inputs!$K$4:$AJ$4,0)),NA(),IF(SUMPRODUCT((Inputs!$A$5:$A$160=$B19)*ISNUMBER(INDEX(Inputs!$K$5:$AJ$160,0,MATCH(F$2,Inputs!$K$4:$AJ$4,0))))+SUMPRODUCT((Inputs!$C$5:$C$160=$B19)*ISNUMBER(INDEX(Inputs!$K$5:$AJ$160,0,MATCH(F$2,Inputs!$K$4:$AJ$4,0))))+SUMPRODUCT((Inputs!$E$5:$E$160=$B19)*ISNUMBER(INDEX(Inputs!$K$5:$AJ$160,0,MATCH(F$2,Inputs!$K$4:$AJ$4,0))))=0,NA(),SUMPRODUCT((Inputs!$A$5:$A$160=$B19)*Inputs!$B$5:$B$160*(((Inputs!$G$5:$G$160="moeda")+(Inputs!$G$5:$G$160="acoes"))*Inputs!$B$1+((Inputs!$G$5:$G$160&lt;&gt;"moeda")*(Inputs!$G$5:$G$160&lt;&gt;"acoes")))*INDEX(Inputs!$K$5:$AJ$160,0,MATCH(F$2,Inputs!$K$4:$AJ$4,0)))+SUMPRODUCT((Inputs!$C$5:$C$160=$B19)*Inputs!$D$5:$D$160*(((Inputs!$G$5:$G$160="moeda")+(Inputs!$G$5:$G$160="acoes"))*Inputs!$B$1+((Inputs!$G$5:$G$160&lt;&gt;"moeda")*(Inputs!$G$5:$G$160&lt;&gt;"acoes")))*INDEX(Inputs!$K$5:$AJ$160,0,MATCH(F$2,Inputs!$K$4:$AJ$4,0)))+SUMPRODUCT((Inputs!$E$5:$E$160=$B19)*Inputs!$F$5:$F$160*(((Inputs!$G$5:$G$160="moeda")+(Inputs!$G$5:$G$160="acoes"))*Inputs!$B$1+((Inputs!$G$5:$G$160&lt;&gt;"moeda")*(Inputs!$G$5:$G$160&lt;&gt;"acoes")))*INDEX(Inputs!$K$5:$AJ$160,0,MATCH(F$2,Inputs!$K$4:$AJ$4,0)))))</f>
        <v>12.87100357</v>
      </c>
      <c r="G19" s="6">
        <f>IF(ISNA(MATCH(G$2,Inputs!$K$4:$AJ$4,0)),NA(),IF(SUMPRODUCT((Inputs!$A$5:$A$160=$B19)*ISNUMBER(INDEX(Inputs!$K$5:$AJ$160,0,MATCH(G$2,Inputs!$K$4:$AJ$4,0))))+SUMPRODUCT((Inputs!$C$5:$C$160=$B19)*ISNUMBER(INDEX(Inputs!$K$5:$AJ$160,0,MATCH(G$2,Inputs!$K$4:$AJ$4,0))))+SUMPRODUCT((Inputs!$E$5:$E$160=$B19)*ISNUMBER(INDEX(Inputs!$K$5:$AJ$160,0,MATCH(G$2,Inputs!$K$4:$AJ$4,0))))=0,NA(),SUMPRODUCT((Inputs!$A$5:$A$160=$B19)*Inputs!$B$5:$B$160*(((Inputs!$G$5:$G$160="moeda")+(Inputs!$G$5:$G$160="acoes"))*Inputs!$B$1+((Inputs!$G$5:$G$160&lt;&gt;"moeda")*(Inputs!$G$5:$G$160&lt;&gt;"acoes")))*INDEX(Inputs!$K$5:$AJ$160,0,MATCH(G$2,Inputs!$K$4:$AJ$4,0)))+SUMPRODUCT((Inputs!$C$5:$C$160=$B19)*Inputs!$D$5:$D$160*(((Inputs!$G$5:$G$160="moeda")+(Inputs!$G$5:$G$160="acoes"))*Inputs!$B$1+((Inputs!$G$5:$G$160&lt;&gt;"moeda")*(Inputs!$G$5:$G$160&lt;&gt;"acoes")))*INDEX(Inputs!$K$5:$AJ$160,0,MATCH(G$2,Inputs!$K$4:$AJ$4,0)))+SUMPRODUCT((Inputs!$E$5:$E$160=$B19)*Inputs!$F$5:$F$160*(((Inputs!$G$5:$G$160="moeda")+(Inputs!$G$5:$G$160="acoes"))*Inputs!$B$1+((Inputs!$G$5:$G$160&lt;&gt;"moeda")*(Inputs!$G$5:$G$160&lt;&gt;"acoes")))*INDEX(Inputs!$K$5:$AJ$160,0,MATCH(G$2,Inputs!$K$4:$AJ$4,0)))))</f>
        <v>6.91804293</v>
      </c>
      <c r="H19" s="3">
        <f>G19</f>
        <v>6.91804293</v>
      </c>
      <c r="I19" s="6">
        <f>IF(ISNA(MATCH(I$2,Inputs!$K$4:$AJ$4,0)),NA(),IF(SUMPRODUCT((Inputs!$A$5:$A$160=$B19)*ISNUMBER(INDEX(Inputs!$K$5:$AJ$160,0,MATCH(I$2,Inputs!$K$4:$AJ$4,0))))+SUMPRODUCT((Inputs!$C$5:$C$160=$B19)*ISNUMBER(INDEX(Inputs!$K$5:$AJ$160,0,MATCH(I$2,Inputs!$K$4:$AJ$4,0))))+SUMPRODUCT((Inputs!$E$5:$E$160=$B19)*ISNUMBER(INDEX(Inputs!$K$5:$AJ$160,0,MATCH(I$2,Inputs!$K$4:$AJ$4,0))))=0,NA(),SUMPRODUCT((Inputs!$A$5:$A$160=$B19)*Inputs!$B$5:$B$160*(((Inputs!$G$5:$G$160="moeda")+(Inputs!$G$5:$G$160="acoes"))*Inputs!$B$1+((Inputs!$G$5:$G$160&lt;&gt;"moeda")*(Inputs!$G$5:$G$160&lt;&gt;"acoes")))*INDEX(Inputs!$K$5:$AJ$160,0,MATCH(I$2,Inputs!$K$4:$AJ$4,0)))+SUMPRODUCT((Inputs!$C$5:$C$160=$B19)*Inputs!$D$5:$D$160*(((Inputs!$G$5:$G$160="moeda")+(Inputs!$G$5:$G$160="acoes"))*Inputs!$B$1+((Inputs!$G$5:$G$160&lt;&gt;"moeda")*(Inputs!$G$5:$G$160&lt;&gt;"acoes")))*INDEX(Inputs!$K$5:$AJ$160,0,MATCH(I$2,Inputs!$K$4:$AJ$4,0)))+SUMPRODUCT((Inputs!$E$5:$E$160=$B19)*Inputs!$F$5:$F$160*(((Inputs!$G$5:$G$160="moeda")+(Inputs!$G$5:$G$160="acoes"))*Inputs!$B$1+((Inputs!$G$5:$G$160&lt;&gt;"moeda")*(Inputs!$G$5:$G$160&lt;&gt;"acoes")))*INDEX(Inputs!$K$5:$AJ$160,0,MATCH(I$2,Inputs!$K$4:$AJ$4,0)))))</f>
        <v>28.66972893</v>
      </c>
      <c r="J19" s="6">
        <f>IF(ISNA(MATCH(J$2,Inputs!$K$4:$AJ$4,0)),NA(),IF(SUMPRODUCT((Inputs!$A$5:$A$160=$B19)*ISNUMBER(INDEX(Inputs!$K$5:$AJ$160,0,MATCH(J$2,Inputs!$K$4:$AJ$4,0))))+SUMPRODUCT((Inputs!$C$5:$C$160=$B19)*ISNUMBER(INDEX(Inputs!$K$5:$AJ$160,0,MATCH(J$2,Inputs!$K$4:$AJ$4,0))))+SUMPRODUCT((Inputs!$E$5:$E$160=$B19)*ISNUMBER(INDEX(Inputs!$K$5:$AJ$160,0,MATCH(J$2,Inputs!$K$4:$AJ$4,0))))=0,NA(),SUMPRODUCT((Inputs!$A$5:$A$160=$B19)*Inputs!$B$5:$B$160*(((Inputs!$G$5:$G$160="moeda")+(Inputs!$G$5:$G$160="acoes"))*Inputs!$B$1+((Inputs!$G$5:$G$160&lt;&gt;"moeda")*(Inputs!$G$5:$G$160&lt;&gt;"acoes")))*INDEX(Inputs!$K$5:$AJ$160,0,MATCH(J$2,Inputs!$K$4:$AJ$4,0)))+SUMPRODUCT((Inputs!$C$5:$C$160=$B19)*Inputs!$D$5:$D$160*(((Inputs!$G$5:$G$160="moeda")+(Inputs!$G$5:$G$160="acoes"))*Inputs!$B$1+((Inputs!$G$5:$G$160&lt;&gt;"moeda")*(Inputs!$G$5:$G$160&lt;&gt;"acoes")))*INDEX(Inputs!$K$5:$AJ$160,0,MATCH(J$2,Inputs!$K$4:$AJ$4,0)))+SUMPRODUCT((Inputs!$E$5:$E$160=$B19)*Inputs!$F$5:$F$160*(((Inputs!$G$5:$G$160="moeda")+(Inputs!$G$5:$G$160="acoes"))*Inputs!$B$1+((Inputs!$G$5:$G$160&lt;&gt;"moeda")*(Inputs!$G$5:$G$160&lt;&gt;"acoes")))*INDEX(Inputs!$K$5:$AJ$160,0,MATCH(J$2,Inputs!$K$4:$AJ$4,0)))))</f>
        <v>27.25646226</v>
      </c>
      <c r="K19" s="6">
        <f>IF(ISNA(MATCH(K$2,Inputs!$K$4:$AJ$4,0)),NA(),IF(SUMPRODUCT((Inputs!$A$5:$A$160=$B19)*ISNUMBER(INDEX(Inputs!$K$5:$AJ$160,0,MATCH(K$2,Inputs!$K$4:$AJ$4,0))))+SUMPRODUCT((Inputs!$C$5:$C$160=$B19)*ISNUMBER(INDEX(Inputs!$K$5:$AJ$160,0,MATCH(K$2,Inputs!$K$4:$AJ$4,0))))+SUMPRODUCT((Inputs!$E$5:$E$160=$B19)*ISNUMBER(INDEX(Inputs!$K$5:$AJ$160,0,MATCH(K$2,Inputs!$K$4:$AJ$4,0))))=0,NA(),SUMPRODUCT((Inputs!$A$5:$A$160=$B19)*Inputs!$B$5:$B$160*(((Inputs!$G$5:$G$160="moeda")+(Inputs!$G$5:$G$160="acoes"))*Inputs!$B$1+((Inputs!$G$5:$G$160&lt;&gt;"moeda")*(Inputs!$G$5:$G$160&lt;&gt;"acoes")))*INDEX(Inputs!$K$5:$AJ$160,0,MATCH(K$2,Inputs!$K$4:$AJ$4,0)))+SUMPRODUCT((Inputs!$C$5:$C$160=$B19)*Inputs!$D$5:$D$160*(((Inputs!$G$5:$G$160="moeda")+(Inputs!$G$5:$G$160="acoes"))*Inputs!$B$1+((Inputs!$G$5:$G$160&lt;&gt;"moeda")*(Inputs!$G$5:$G$160&lt;&gt;"acoes")))*INDEX(Inputs!$K$5:$AJ$160,0,MATCH(K$2,Inputs!$K$4:$AJ$4,0)))+SUMPRODUCT((Inputs!$E$5:$E$160=$B19)*Inputs!$F$5:$F$160*(((Inputs!$G$5:$G$160="moeda")+(Inputs!$G$5:$G$160="acoes"))*Inputs!$B$1+((Inputs!$G$5:$G$160&lt;&gt;"moeda")*(Inputs!$G$5:$G$160&lt;&gt;"acoes")))*INDEX(Inputs!$K$5:$AJ$160,0,MATCH(K$2,Inputs!$K$4:$AJ$4,0)))))</f>
        <v>22.41682529</v>
      </c>
      <c r="L19" s="6">
        <f>IF(ISNA(MATCH(L$2,Inputs!$K$4:$AJ$4,0)),NA(),IF(SUMPRODUCT((Inputs!$A$5:$A$160=$B19)*ISNUMBER(INDEX(Inputs!$K$5:$AJ$160,0,MATCH(L$2,Inputs!$K$4:$AJ$4,0))))+SUMPRODUCT((Inputs!$C$5:$C$160=$B19)*ISNUMBER(INDEX(Inputs!$K$5:$AJ$160,0,MATCH(L$2,Inputs!$K$4:$AJ$4,0))))+SUMPRODUCT((Inputs!$E$5:$E$160=$B19)*ISNUMBER(INDEX(Inputs!$K$5:$AJ$160,0,MATCH(L$2,Inputs!$K$4:$AJ$4,0))))=0,NA(),SUMPRODUCT((Inputs!$A$5:$A$160=$B19)*Inputs!$B$5:$B$160*(((Inputs!$G$5:$G$160="moeda")+(Inputs!$G$5:$G$160="acoes"))*Inputs!$B$1+((Inputs!$G$5:$G$160&lt;&gt;"moeda")*(Inputs!$G$5:$G$160&lt;&gt;"acoes")))*INDEX(Inputs!$K$5:$AJ$160,0,MATCH(L$2,Inputs!$K$4:$AJ$4,0)))+SUMPRODUCT((Inputs!$C$5:$C$160=$B19)*Inputs!$D$5:$D$160*(((Inputs!$G$5:$G$160="moeda")+(Inputs!$G$5:$G$160="acoes"))*Inputs!$B$1+((Inputs!$G$5:$G$160&lt;&gt;"moeda")*(Inputs!$G$5:$G$160&lt;&gt;"acoes")))*INDEX(Inputs!$K$5:$AJ$160,0,MATCH(L$2,Inputs!$K$4:$AJ$4,0)))+SUMPRODUCT((Inputs!$E$5:$E$160=$B19)*Inputs!$F$5:$F$160*(((Inputs!$G$5:$G$160="moeda")+(Inputs!$G$5:$G$160="acoes"))*Inputs!$B$1+((Inputs!$G$5:$G$160&lt;&gt;"moeda")*(Inputs!$G$5:$G$160&lt;&gt;"acoes")))*INDEX(Inputs!$K$5:$AJ$160,0,MATCH(L$2,Inputs!$K$4:$AJ$4,0)))))</f>
        <v>0</v>
      </c>
      <c r="M19" s="3">
        <f>L19</f>
        <v>0</v>
      </c>
      <c r="N19" s="6">
        <f>IF(ISNA(MATCH(N$2,Inputs!$K$4:$AJ$4,0)),NA(),IF(SUMPRODUCT((Inputs!$A$5:$A$160=$B19)*ISNUMBER(INDEX(Inputs!$K$5:$AJ$160,0,MATCH(N$2,Inputs!$K$4:$AJ$4,0))))+SUMPRODUCT((Inputs!$C$5:$C$160=$B19)*ISNUMBER(INDEX(Inputs!$K$5:$AJ$160,0,MATCH(N$2,Inputs!$K$4:$AJ$4,0))))+SUMPRODUCT((Inputs!$E$5:$E$160=$B19)*ISNUMBER(INDEX(Inputs!$K$5:$AJ$160,0,MATCH(N$2,Inputs!$K$4:$AJ$4,0))))=0,NA(),SUMPRODUCT((Inputs!$A$5:$A$160=$B19)*Inputs!$B$5:$B$160*(((Inputs!$G$5:$G$160="moeda")+(Inputs!$G$5:$G$160="acoes"))*Inputs!$B$1+((Inputs!$G$5:$G$160&lt;&gt;"moeda")*(Inputs!$G$5:$G$160&lt;&gt;"acoes")))*INDEX(Inputs!$K$5:$AJ$160,0,MATCH(N$2,Inputs!$K$4:$AJ$4,0)))+SUMPRODUCT((Inputs!$C$5:$C$160=$B19)*Inputs!$D$5:$D$160*(((Inputs!$G$5:$G$160="moeda")+(Inputs!$G$5:$G$160="acoes"))*Inputs!$B$1+((Inputs!$G$5:$G$160&lt;&gt;"moeda")*(Inputs!$G$5:$G$160&lt;&gt;"acoes")))*INDEX(Inputs!$K$5:$AJ$160,0,MATCH(N$2,Inputs!$K$4:$AJ$4,0)))+SUMPRODUCT((Inputs!$E$5:$E$160=$B19)*Inputs!$F$5:$F$160*(((Inputs!$G$5:$G$160="moeda")+(Inputs!$G$5:$G$160="acoes"))*Inputs!$B$1+((Inputs!$G$5:$G$160&lt;&gt;"moeda")*(Inputs!$G$5:$G$160&lt;&gt;"acoes")))*INDEX(Inputs!$K$5:$AJ$160,0,MATCH(N$2,Inputs!$K$4:$AJ$4,0)))))</f>
        <v>0</v>
      </c>
      <c r="O19" s="6">
        <f>IF(ISNA(MATCH(O$2,Inputs!$K$4:$AJ$4,0)),NA(),IF(SUMPRODUCT((Inputs!$A$5:$A$160=$B19)*ISNUMBER(INDEX(Inputs!$K$5:$AJ$160,0,MATCH(O$2,Inputs!$K$4:$AJ$4,0))))+SUMPRODUCT((Inputs!$C$5:$C$160=$B19)*ISNUMBER(INDEX(Inputs!$K$5:$AJ$160,0,MATCH(O$2,Inputs!$K$4:$AJ$4,0))))+SUMPRODUCT((Inputs!$E$5:$E$160=$B19)*ISNUMBER(INDEX(Inputs!$K$5:$AJ$160,0,MATCH(O$2,Inputs!$K$4:$AJ$4,0))))=0,NA(),SUMPRODUCT((Inputs!$A$5:$A$160=$B19)*Inputs!$B$5:$B$160*(((Inputs!$G$5:$G$160="moeda")+(Inputs!$G$5:$G$160="acoes"))*Inputs!$B$1+((Inputs!$G$5:$G$160&lt;&gt;"moeda")*(Inputs!$G$5:$G$160&lt;&gt;"acoes")))*INDEX(Inputs!$K$5:$AJ$160,0,MATCH(O$2,Inputs!$K$4:$AJ$4,0)))+SUMPRODUCT((Inputs!$C$5:$C$160=$B19)*Inputs!$D$5:$D$160*(((Inputs!$G$5:$G$160="moeda")+(Inputs!$G$5:$G$160="acoes"))*Inputs!$B$1+((Inputs!$G$5:$G$160&lt;&gt;"moeda")*(Inputs!$G$5:$G$160&lt;&gt;"acoes")))*INDEX(Inputs!$K$5:$AJ$160,0,MATCH(O$2,Inputs!$K$4:$AJ$4,0)))+SUMPRODUCT((Inputs!$E$5:$E$160=$B19)*Inputs!$F$5:$F$160*(((Inputs!$G$5:$G$160="moeda")+(Inputs!$G$5:$G$160="acoes"))*Inputs!$B$1+((Inputs!$G$5:$G$160&lt;&gt;"moeda")*(Inputs!$G$5:$G$160&lt;&gt;"acoes")))*INDEX(Inputs!$K$5:$AJ$160,0,MATCH(O$2,Inputs!$K$4:$AJ$4,0)))))</f>
        <v>0</v>
      </c>
      <c r="P19" s="6">
        <f>IF(ISNA(MATCH(P$2,Inputs!$K$4:$AJ$4,0)),NA(),IF(SUMPRODUCT((Inputs!$A$5:$A$160=$B19)*ISNUMBER(INDEX(Inputs!$K$5:$AJ$160,0,MATCH(P$2,Inputs!$K$4:$AJ$4,0))))+SUMPRODUCT((Inputs!$C$5:$C$160=$B19)*ISNUMBER(INDEX(Inputs!$K$5:$AJ$160,0,MATCH(P$2,Inputs!$K$4:$AJ$4,0))))+SUMPRODUCT((Inputs!$E$5:$E$160=$B19)*ISNUMBER(INDEX(Inputs!$K$5:$AJ$160,0,MATCH(P$2,Inputs!$K$4:$AJ$4,0))))=0,NA(),SUMPRODUCT((Inputs!$A$5:$A$160=$B19)*Inputs!$B$5:$B$160*(((Inputs!$G$5:$G$160="moeda")+(Inputs!$G$5:$G$160="acoes"))*Inputs!$B$1+((Inputs!$G$5:$G$160&lt;&gt;"moeda")*(Inputs!$G$5:$G$160&lt;&gt;"acoes")))*INDEX(Inputs!$K$5:$AJ$160,0,MATCH(P$2,Inputs!$K$4:$AJ$4,0)))+SUMPRODUCT((Inputs!$C$5:$C$160=$B19)*Inputs!$D$5:$D$160*(((Inputs!$G$5:$G$160="moeda")+(Inputs!$G$5:$G$160="acoes"))*Inputs!$B$1+((Inputs!$G$5:$G$160&lt;&gt;"moeda")*(Inputs!$G$5:$G$160&lt;&gt;"acoes")))*INDEX(Inputs!$K$5:$AJ$160,0,MATCH(P$2,Inputs!$K$4:$AJ$4,0)))+SUMPRODUCT((Inputs!$E$5:$E$160=$B19)*Inputs!$F$5:$F$160*(((Inputs!$G$5:$G$160="moeda")+(Inputs!$G$5:$G$160="acoes"))*Inputs!$B$1+((Inputs!$G$5:$G$160&lt;&gt;"moeda")*(Inputs!$G$5:$G$160&lt;&gt;"acoes")))*INDEX(Inputs!$K$5:$AJ$160,0,MATCH(P$2,Inputs!$K$4:$AJ$4,0)))))</f>
        <v>0</v>
      </c>
      <c r="Q19" s="6">
        <f>IF(ISNA(MATCH(Q$2,Inputs!$K$4:$AJ$4,0)),NA(),IF(SUMPRODUCT((Inputs!$A$5:$A$160=$B19)*ISNUMBER(INDEX(Inputs!$K$5:$AJ$160,0,MATCH(Q$2,Inputs!$K$4:$AJ$4,0))))+SUMPRODUCT((Inputs!$C$5:$C$160=$B19)*ISNUMBER(INDEX(Inputs!$K$5:$AJ$160,0,MATCH(Q$2,Inputs!$K$4:$AJ$4,0))))+SUMPRODUCT((Inputs!$E$5:$E$160=$B19)*ISNUMBER(INDEX(Inputs!$K$5:$AJ$160,0,MATCH(Q$2,Inputs!$K$4:$AJ$4,0))))=0,NA(),SUMPRODUCT((Inputs!$A$5:$A$160=$B19)*Inputs!$B$5:$B$160*(((Inputs!$G$5:$G$160="moeda")+(Inputs!$G$5:$G$160="acoes"))*Inputs!$B$1+((Inputs!$G$5:$G$160&lt;&gt;"moeda")*(Inputs!$G$5:$G$160&lt;&gt;"acoes")))*INDEX(Inputs!$K$5:$AJ$160,0,MATCH(Q$2,Inputs!$K$4:$AJ$4,0)))+SUMPRODUCT((Inputs!$C$5:$C$160=$B19)*Inputs!$D$5:$D$160*(((Inputs!$G$5:$G$160="moeda")+(Inputs!$G$5:$G$160="acoes"))*Inputs!$B$1+((Inputs!$G$5:$G$160&lt;&gt;"moeda")*(Inputs!$G$5:$G$160&lt;&gt;"acoes")))*INDEX(Inputs!$K$5:$AJ$160,0,MATCH(Q$2,Inputs!$K$4:$AJ$4,0)))+SUMPRODUCT((Inputs!$E$5:$E$160=$B19)*Inputs!$F$5:$F$160*(((Inputs!$G$5:$G$160="moeda")+(Inputs!$G$5:$G$160="acoes"))*Inputs!$B$1+((Inputs!$G$5:$G$160&lt;&gt;"moeda")*(Inputs!$G$5:$G$160&lt;&gt;"acoes")))*INDEX(Inputs!$K$5:$AJ$160,0,MATCH(Q$2,Inputs!$K$4:$AJ$4,0)))))</f>
        <v>0</v>
      </c>
      <c r="R19" s="3">
        <f>Q19</f>
        <v>0</v>
      </c>
      <c r="S19" s="6">
        <f>IF(ISNA(MATCH(S$2,Inputs!$K$4:$AJ$4,0)),NA(),IF(SUMPRODUCT((Inputs!$A$5:$A$160=$B19)*ISNUMBER(INDEX(Inputs!$K$5:$AJ$160,0,MATCH(S$2,Inputs!$K$4:$AJ$4,0))))+SUMPRODUCT((Inputs!$C$5:$C$160=$B19)*ISNUMBER(INDEX(Inputs!$K$5:$AJ$160,0,MATCH(S$2,Inputs!$K$4:$AJ$4,0))))+SUMPRODUCT((Inputs!$E$5:$E$160=$B19)*ISNUMBER(INDEX(Inputs!$K$5:$AJ$160,0,MATCH(S$2,Inputs!$K$4:$AJ$4,0))))=0,NA(),SUMPRODUCT((Inputs!$A$5:$A$160=$B19)*Inputs!$B$5:$B$160*(((Inputs!$G$5:$G$160="moeda")+(Inputs!$G$5:$G$160="acoes"))*Inputs!$B$1+((Inputs!$G$5:$G$160&lt;&gt;"moeda")*(Inputs!$G$5:$G$160&lt;&gt;"acoes")))*INDEX(Inputs!$K$5:$AJ$160,0,MATCH(S$2,Inputs!$K$4:$AJ$4,0)))+SUMPRODUCT((Inputs!$C$5:$C$160=$B19)*Inputs!$D$5:$D$160*(((Inputs!$G$5:$G$160="moeda")+(Inputs!$G$5:$G$160="acoes"))*Inputs!$B$1+((Inputs!$G$5:$G$160&lt;&gt;"moeda")*(Inputs!$G$5:$G$160&lt;&gt;"acoes")))*INDEX(Inputs!$K$5:$AJ$160,0,MATCH(S$2,Inputs!$K$4:$AJ$4,0)))+SUMPRODUCT((Inputs!$E$5:$E$160=$B19)*Inputs!$F$5:$F$160*(((Inputs!$G$5:$G$160="moeda")+(Inputs!$G$5:$G$160="acoes"))*Inputs!$B$1+((Inputs!$G$5:$G$160&lt;&gt;"moeda")*(Inputs!$G$5:$G$160&lt;&gt;"acoes")))*INDEX(Inputs!$K$5:$AJ$160,0,MATCH(S$2,Inputs!$K$4:$AJ$4,0)))))</f>
        <v>0</v>
      </c>
      <c r="T19" s="6">
        <f>IF(ISNA(MATCH(T$2,Inputs!$K$4:$AJ$4,0)),NA(),IF(SUMPRODUCT((Inputs!$A$5:$A$160=$B19)*ISNUMBER(INDEX(Inputs!$K$5:$AJ$160,0,MATCH(T$2,Inputs!$K$4:$AJ$4,0))))+SUMPRODUCT((Inputs!$C$5:$C$160=$B19)*ISNUMBER(INDEX(Inputs!$K$5:$AJ$160,0,MATCH(T$2,Inputs!$K$4:$AJ$4,0))))+SUMPRODUCT((Inputs!$E$5:$E$160=$B19)*ISNUMBER(INDEX(Inputs!$K$5:$AJ$160,0,MATCH(T$2,Inputs!$K$4:$AJ$4,0))))=0,NA(),SUMPRODUCT((Inputs!$A$5:$A$160=$B19)*Inputs!$B$5:$B$160*(((Inputs!$G$5:$G$160="moeda")+(Inputs!$G$5:$G$160="acoes"))*Inputs!$B$1+((Inputs!$G$5:$G$160&lt;&gt;"moeda")*(Inputs!$G$5:$G$160&lt;&gt;"acoes")))*INDEX(Inputs!$K$5:$AJ$160,0,MATCH(T$2,Inputs!$K$4:$AJ$4,0)))+SUMPRODUCT((Inputs!$C$5:$C$160=$B19)*Inputs!$D$5:$D$160*(((Inputs!$G$5:$G$160="moeda")+(Inputs!$G$5:$G$160="acoes"))*Inputs!$B$1+((Inputs!$G$5:$G$160&lt;&gt;"moeda")*(Inputs!$G$5:$G$160&lt;&gt;"acoes")))*INDEX(Inputs!$K$5:$AJ$160,0,MATCH(T$2,Inputs!$K$4:$AJ$4,0)))+SUMPRODUCT((Inputs!$E$5:$E$160=$B19)*Inputs!$F$5:$F$160*(((Inputs!$G$5:$G$160="moeda")+(Inputs!$G$5:$G$160="acoes"))*Inputs!$B$1+((Inputs!$G$5:$G$160&lt;&gt;"moeda")*(Inputs!$G$5:$G$160&lt;&gt;"acoes")))*INDEX(Inputs!$K$5:$AJ$160,0,MATCH(T$2,Inputs!$K$4:$AJ$4,0)))))</f>
        <v>0</v>
      </c>
      <c r="U19" s="6">
        <f>IF(ISNA(MATCH(U$2,Inputs!$K$4:$AJ$4,0)),NA(),IF(SUMPRODUCT((Inputs!$A$5:$A$160=$B19)*ISNUMBER(INDEX(Inputs!$K$5:$AJ$160,0,MATCH(U$2,Inputs!$K$4:$AJ$4,0))))+SUMPRODUCT((Inputs!$C$5:$C$160=$B19)*ISNUMBER(INDEX(Inputs!$K$5:$AJ$160,0,MATCH(U$2,Inputs!$K$4:$AJ$4,0))))+SUMPRODUCT((Inputs!$E$5:$E$160=$B19)*ISNUMBER(INDEX(Inputs!$K$5:$AJ$160,0,MATCH(U$2,Inputs!$K$4:$AJ$4,0))))=0,NA(),SUMPRODUCT((Inputs!$A$5:$A$160=$B19)*Inputs!$B$5:$B$160*(((Inputs!$G$5:$G$160="moeda")+(Inputs!$G$5:$G$160="acoes"))*Inputs!$B$1+((Inputs!$G$5:$G$160&lt;&gt;"moeda")*(Inputs!$G$5:$G$160&lt;&gt;"acoes")))*INDEX(Inputs!$K$5:$AJ$160,0,MATCH(U$2,Inputs!$K$4:$AJ$4,0)))+SUMPRODUCT((Inputs!$C$5:$C$160=$B19)*Inputs!$D$5:$D$160*(((Inputs!$G$5:$G$160="moeda")+(Inputs!$G$5:$G$160="acoes"))*Inputs!$B$1+((Inputs!$G$5:$G$160&lt;&gt;"moeda")*(Inputs!$G$5:$G$160&lt;&gt;"acoes")))*INDEX(Inputs!$K$5:$AJ$160,0,MATCH(U$2,Inputs!$K$4:$AJ$4,0)))+SUMPRODUCT((Inputs!$E$5:$E$160=$B19)*Inputs!$F$5:$F$160*(((Inputs!$G$5:$G$160="moeda")+(Inputs!$G$5:$G$160="acoes"))*Inputs!$B$1+((Inputs!$G$5:$G$160&lt;&gt;"moeda")*(Inputs!$G$5:$G$160&lt;&gt;"acoes")))*INDEX(Inputs!$K$5:$AJ$160,0,MATCH(U$2,Inputs!$K$4:$AJ$4,0)))))</f>
        <v>0</v>
      </c>
      <c r="V19" s="6">
        <f>IF(ISNA(MATCH(V$2,Inputs!$K$4:$AJ$4,0)),NA(),IF(SUMPRODUCT((Inputs!$A$5:$A$160=$B19)*ISNUMBER(INDEX(Inputs!$K$5:$AJ$160,0,MATCH(V$2,Inputs!$K$4:$AJ$4,0))))+SUMPRODUCT((Inputs!$C$5:$C$160=$B19)*ISNUMBER(INDEX(Inputs!$K$5:$AJ$160,0,MATCH(V$2,Inputs!$K$4:$AJ$4,0))))+SUMPRODUCT((Inputs!$E$5:$E$160=$B19)*ISNUMBER(INDEX(Inputs!$K$5:$AJ$160,0,MATCH(V$2,Inputs!$K$4:$AJ$4,0))))=0,NA(),SUMPRODUCT((Inputs!$A$5:$A$160=$B19)*Inputs!$B$5:$B$160*(((Inputs!$G$5:$G$160="moeda")+(Inputs!$G$5:$G$160="acoes"))*Inputs!$B$1+((Inputs!$G$5:$G$160&lt;&gt;"moeda")*(Inputs!$G$5:$G$160&lt;&gt;"acoes")))*INDEX(Inputs!$K$5:$AJ$160,0,MATCH(V$2,Inputs!$K$4:$AJ$4,0)))+SUMPRODUCT((Inputs!$C$5:$C$160=$B19)*Inputs!$D$5:$D$160*(((Inputs!$G$5:$G$160="moeda")+(Inputs!$G$5:$G$160="acoes"))*Inputs!$B$1+((Inputs!$G$5:$G$160&lt;&gt;"moeda")*(Inputs!$G$5:$G$160&lt;&gt;"acoes")))*INDEX(Inputs!$K$5:$AJ$160,0,MATCH(V$2,Inputs!$K$4:$AJ$4,0)))+SUMPRODUCT((Inputs!$E$5:$E$160=$B19)*Inputs!$F$5:$F$160*(((Inputs!$G$5:$G$160="moeda")+(Inputs!$G$5:$G$160="acoes"))*Inputs!$B$1+((Inputs!$G$5:$G$160&lt;&gt;"moeda")*(Inputs!$G$5:$G$160&lt;&gt;"acoes")))*INDEX(Inputs!$K$5:$AJ$160,0,MATCH(V$2,Inputs!$K$4:$AJ$4,0)))))</f>
        <v>0</v>
      </c>
      <c r="W19" s="3">
        <f>V19</f>
        <v>0</v>
      </c>
      <c r="X19" s="6">
        <f>IF(ISNA(MATCH(X$2,Inputs!$K$4:$AJ$4,0)),NA(),IF(SUMPRODUCT((Inputs!$A$5:$A$160=$B19)*ISNUMBER(INDEX(Inputs!$K$5:$AJ$160,0,MATCH(X$2,Inputs!$K$4:$AJ$4,0))))+SUMPRODUCT((Inputs!$C$5:$C$160=$B19)*ISNUMBER(INDEX(Inputs!$K$5:$AJ$160,0,MATCH(X$2,Inputs!$K$4:$AJ$4,0))))+SUMPRODUCT((Inputs!$E$5:$E$160=$B19)*ISNUMBER(INDEX(Inputs!$K$5:$AJ$160,0,MATCH(X$2,Inputs!$K$4:$AJ$4,0))))=0,NA(),SUMPRODUCT((Inputs!$A$5:$A$160=$B19)*Inputs!$B$5:$B$160*(((Inputs!$G$5:$G$160="moeda")+(Inputs!$G$5:$G$160="acoes"))*Inputs!$B$1+((Inputs!$G$5:$G$160&lt;&gt;"moeda")*(Inputs!$G$5:$G$160&lt;&gt;"acoes")))*INDEX(Inputs!$K$5:$AJ$160,0,MATCH(X$2,Inputs!$K$4:$AJ$4,0)))+SUMPRODUCT((Inputs!$C$5:$C$160=$B19)*Inputs!$D$5:$D$160*(((Inputs!$G$5:$G$160="moeda")+(Inputs!$G$5:$G$160="acoes"))*Inputs!$B$1+((Inputs!$G$5:$G$160&lt;&gt;"moeda")*(Inputs!$G$5:$G$160&lt;&gt;"acoes")))*INDEX(Inputs!$K$5:$AJ$160,0,MATCH(X$2,Inputs!$K$4:$AJ$4,0)))+SUMPRODUCT((Inputs!$E$5:$E$160=$B19)*Inputs!$F$5:$F$160*(((Inputs!$G$5:$G$160="moeda")+(Inputs!$G$5:$G$160="acoes"))*Inputs!$B$1+((Inputs!$G$5:$G$160&lt;&gt;"moeda")*(Inputs!$G$5:$G$160&lt;&gt;"acoes")))*INDEX(Inputs!$K$5:$AJ$160,0,MATCH(X$2,Inputs!$K$4:$AJ$4,0)))))</f>
        <v>0</v>
      </c>
      <c r="Y19" s="6">
        <f>IF(ISNA(MATCH(Y$2,Inputs!$K$4:$AJ$4,0)),NA(),IF(SUMPRODUCT((Inputs!$A$5:$A$160=$B19)*ISNUMBER(INDEX(Inputs!$K$5:$AJ$160,0,MATCH(Y$2,Inputs!$K$4:$AJ$4,0))))+SUMPRODUCT((Inputs!$C$5:$C$160=$B19)*ISNUMBER(INDEX(Inputs!$K$5:$AJ$160,0,MATCH(Y$2,Inputs!$K$4:$AJ$4,0))))+SUMPRODUCT((Inputs!$E$5:$E$160=$B19)*ISNUMBER(INDEX(Inputs!$K$5:$AJ$160,0,MATCH(Y$2,Inputs!$K$4:$AJ$4,0))))=0,NA(),SUMPRODUCT((Inputs!$A$5:$A$160=$B19)*Inputs!$B$5:$B$160*(((Inputs!$G$5:$G$160="moeda")+(Inputs!$G$5:$G$160="acoes"))*Inputs!$B$1+((Inputs!$G$5:$G$160&lt;&gt;"moeda")*(Inputs!$G$5:$G$160&lt;&gt;"acoes")))*INDEX(Inputs!$K$5:$AJ$160,0,MATCH(Y$2,Inputs!$K$4:$AJ$4,0)))+SUMPRODUCT((Inputs!$C$5:$C$160=$B19)*Inputs!$D$5:$D$160*(((Inputs!$G$5:$G$160="moeda")+(Inputs!$G$5:$G$160="acoes"))*Inputs!$B$1+((Inputs!$G$5:$G$160&lt;&gt;"moeda")*(Inputs!$G$5:$G$160&lt;&gt;"acoes")))*INDEX(Inputs!$K$5:$AJ$160,0,MATCH(Y$2,Inputs!$K$4:$AJ$4,0)))+SUMPRODUCT((Inputs!$E$5:$E$160=$B19)*Inputs!$F$5:$F$160*(((Inputs!$G$5:$G$160="moeda")+(Inputs!$G$5:$G$160="acoes"))*Inputs!$B$1+((Inputs!$G$5:$G$160&lt;&gt;"moeda")*(Inputs!$G$5:$G$160&lt;&gt;"acoes")))*INDEX(Inputs!$K$5:$AJ$160,0,MATCH(Y$2,Inputs!$K$4:$AJ$4,0)))))</f>
        <v>0</v>
      </c>
      <c r="Z19" s="6">
        <f>IF(ISNA(MATCH(Z$2,Inputs!$K$4:$AJ$4,0)),NA(),IF(SUMPRODUCT((Inputs!$A$5:$A$160=$B19)*ISNUMBER(INDEX(Inputs!$K$5:$AJ$160,0,MATCH(Z$2,Inputs!$K$4:$AJ$4,0))))+SUMPRODUCT((Inputs!$C$5:$C$160=$B19)*ISNUMBER(INDEX(Inputs!$K$5:$AJ$160,0,MATCH(Z$2,Inputs!$K$4:$AJ$4,0))))+SUMPRODUCT((Inputs!$E$5:$E$160=$B19)*ISNUMBER(INDEX(Inputs!$K$5:$AJ$160,0,MATCH(Z$2,Inputs!$K$4:$AJ$4,0))))=0,NA(),SUMPRODUCT((Inputs!$A$5:$A$160=$B19)*Inputs!$B$5:$B$160*(((Inputs!$G$5:$G$160="moeda")+(Inputs!$G$5:$G$160="acoes"))*Inputs!$B$1+((Inputs!$G$5:$G$160&lt;&gt;"moeda")*(Inputs!$G$5:$G$160&lt;&gt;"acoes")))*INDEX(Inputs!$K$5:$AJ$160,0,MATCH(Z$2,Inputs!$K$4:$AJ$4,0)))+SUMPRODUCT((Inputs!$C$5:$C$160=$B19)*Inputs!$D$5:$D$160*(((Inputs!$G$5:$G$160="moeda")+(Inputs!$G$5:$G$160="acoes"))*Inputs!$B$1+((Inputs!$G$5:$G$160&lt;&gt;"moeda")*(Inputs!$G$5:$G$160&lt;&gt;"acoes")))*INDEX(Inputs!$K$5:$AJ$160,0,MATCH(Z$2,Inputs!$K$4:$AJ$4,0)))+SUMPRODUCT((Inputs!$E$5:$E$160=$B19)*Inputs!$F$5:$F$160*(((Inputs!$G$5:$G$160="moeda")+(Inputs!$G$5:$G$160="acoes"))*Inputs!$B$1+((Inputs!$G$5:$G$160&lt;&gt;"moeda")*(Inputs!$G$5:$G$160&lt;&gt;"acoes")))*INDEX(Inputs!$K$5:$AJ$160,0,MATCH(Z$2,Inputs!$K$4:$AJ$4,0)))))</f>
        <v>0</v>
      </c>
      <c r="AA19" s="6">
        <f>IF(ISNA(MATCH(AA$2,Inputs!$K$4:$AJ$4,0)),NA(),IF(SUMPRODUCT((Inputs!$A$5:$A$160=$B19)*ISNUMBER(INDEX(Inputs!$K$5:$AJ$160,0,MATCH(AA$2,Inputs!$K$4:$AJ$4,0))))+SUMPRODUCT((Inputs!$C$5:$C$160=$B19)*ISNUMBER(INDEX(Inputs!$K$5:$AJ$160,0,MATCH(AA$2,Inputs!$K$4:$AJ$4,0))))+SUMPRODUCT((Inputs!$E$5:$E$160=$B19)*ISNUMBER(INDEX(Inputs!$K$5:$AJ$160,0,MATCH(AA$2,Inputs!$K$4:$AJ$4,0))))=0,NA(),SUMPRODUCT((Inputs!$A$5:$A$160=$B19)*Inputs!$B$5:$B$160*(((Inputs!$G$5:$G$160="moeda")+(Inputs!$G$5:$G$160="acoes"))*Inputs!$B$1+((Inputs!$G$5:$G$160&lt;&gt;"moeda")*(Inputs!$G$5:$G$160&lt;&gt;"acoes")))*INDEX(Inputs!$K$5:$AJ$160,0,MATCH(AA$2,Inputs!$K$4:$AJ$4,0)))+SUMPRODUCT((Inputs!$C$5:$C$160=$B19)*Inputs!$D$5:$D$160*(((Inputs!$G$5:$G$160="moeda")+(Inputs!$G$5:$G$160="acoes"))*Inputs!$B$1+((Inputs!$G$5:$G$160&lt;&gt;"moeda")*(Inputs!$G$5:$G$160&lt;&gt;"acoes")))*INDEX(Inputs!$K$5:$AJ$160,0,MATCH(AA$2,Inputs!$K$4:$AJ$4,0)))+SUMPRODUCT((Inputs!$E$5:$E$160=$B19)*Inputs!$F$5:$F$160*(((Inputs!$G$5:$G$160="moeda")+(Inputs!$G$5:$G$160="acoes"))*Inputs!$B$1+((Inputs!$G$5:$G$160&lt;&gt;"moeda")*(Inputs!$G$5:$G$160&lt;&gt;"acoes")))*INDEX(Inputs!$K$5:$AJ$160,0,MATCH(AA$2,Inputs!$K$4:$AJ$4,0)))))</f>
        <v>0</v>
      </c>
      <c r="AB19" s="3">
        <f>AA19</f>
        <v>0</v>
      </c>
      <c r="AC19" s="6">
        <f>IF(ISNA(MATCH(AC$2,Inputs!$K$4:$AJ$4,0)),NA(),IF(SUMPRODUCT((Inputs!$A$5:$A$160=$B19)*ISNUMBER(INDEX(Inputs!$K$5:$AJ$160,0,MATCH(AC$2,Inputs!$K$4:$AJ$4,0))))+SUMPRODUCT((Inputs!$C$5:$C$160=$B19)*ISNUMBER(INDEX(Inputs!$K$5:$AJ$160,0,MATCH(AC$2,Inputs!$K$4:$AJ$4,0))))+SUMPRODUCT((Inputs!$E$5:$E$160=$B19)*ISNUMBER(INDEX(Inputs!$K$5:$AJ$160,0,MATCH(AC$2,Inputs!$K$4:$AJ$4,0))))=0,NA(),SUMPRODUCT((Inputs!$A$5:$A$160=$B19)*Inputs!$B$5:$B$160*(((Inputs!$G$5:$G$160="moeda")+(Inputs!$G$5:$G$160="acoes"))*Inputs!$B$1+((Inputs!$G$5:$G$160&lt;&gt;"moeda")*(Inputs!$G$5:$G$160&lt;&gt;"acoes")))*INDEX(Inputs!$K$5:$AJ$160,0,MATCH(AC$2,Inputs!$K$4:$AJ$4,0)))+SUMPRODUCT((Inputs!$C$5:$C$160=$B19)*Inputs!$D$5:$D$160*(((Inputs!$G$5:$G$160="moeda")+(Inputs!$G$5:$G$160="acoes"))*Inputs!$B$1+((Inputs!$G$5:$G$160&lt;&gt;"moeda")*(Inputs!$G$5:$G$160&lt;&gt;"acoes")))*INDEX(Inputs!$K$5:$AJ$160,0,MATCH(AC$2,Inputs!$K$4:$AJ$4,0)))+SUMPRODUCT((Inputs!$E$5:$E$160=$B19)*Inputs!$F$5:$F$160*(((Inputs!$G$5:$G$160="moeda")+(Inputs!$G$5:$G$160="acoes"))*Inputs!$B$1+((Inputs!$G$5:$G$160&lt;&gt;"moeda")*(Inputs!$G$5:$G$160&lt;&gt;"acoes")))*INDEX(Inputs!$K$5:$AJ$160,0,MATCH(AC$2,Inputs!$K$4:$AJ$4,0)))))</f>
        <v>0</v>
      </c>
      <c r="AD19" s="6">
        <f>IF(ISNA(MATCH(AD$2,Inputs!$K$4:$AJ$4,0)),NA(),IF(SUMPRODUCT((Inputs!$A$5:$A$160=$B19)*ISNUMBER(INDEX(Inputs!$K$5:$AJ$160,0,MATCH(AD$2,Inputs!$K$4:$AJ$4,0))))+SUMPRODUCT((Inputs!$C$5:$C$160=$B19)*ISNUMBER(INDEX(Inputs!$K$5:$AJ$160,0,MATCH(AD$2,Inputs!$K$4:$AJ$4,0))))+SUMPRODUCT((Inputs!$E$5:$E$160=$B19)*ISNUMBER(INDEX(Inputs!$K$5:$AJ$160,0,MATCH(AD$2,Inputs!$K$4:$AJ$4,0))))=0,NA(),SUMPRODUCT((Inputs!$A$5:$A$160=$B19)*Inputs!$B$5:$B$160*(((Inputs!$G$5:$G$160="moeda")+(Inputs!$G$5:$G$160="acoes"))*Inputs!$B$1+((Inputs!$G$5:$G$160&lt;&gt;"moeda")*(Inputs!$G$5:$G$160&lt;&gt;"acoes")))*INDEX(Inputs!$K$5:$AJ$160,0,MATCH(AD$2,Inputs!$K$4:$AJ$4,0)))+SUMPRODUCT((Inputs!$C$5:$C$160=$B19)*Inputs!$D$5:$D$160*(((Inputs!$G$5:$G$160="moeda")+(Inputs!$G$5:$G$160="acoes"))*Inputs!$B$1+((Inputs!$G$5:$G$160&lt;&gt;"moeda")*(Inputs!$G$5:$G$160&lt;&gt;"acoes")))*INDEX(Inputs!$K$5:$AJ$160,0,MATCH(AD$2,Inputs!$K$4:$AJ$4,0)))+SUMPRODUCT((Inputs!$E$5:$E$160=$B19)*Inputs!$F$5:$F$160*(((Inputs!$G$5:$G$160="moeda")+(Inputs!$G$5:$G$160="acoes"))*Inputs!$B$1+((Inputs!$G$5:$G$160&lt;&gt;"moeda")*(Inputs!$G$5:$G$160&lt;&gt;"acoes")))*INDEX(Inputs!$K$5:$AJ$160,0,MATCH(AD$2,Inputs!$K$4:$AJ$4,0)))))</f>
        <v>0</v>
      </c>
      <c r="AE19" s="6" t="e">
        <f>IF(ISNA(MATCH(AE$2,Inputs!$K$4:$AJ$4,0)),NA(),IF(SUMPRODUCT((Inputs!$A$5:$A$160=$B19)*ISNUMBER(INDEX(Inputs!$K$5:$AJ$160,0,MATCH(AE$2,Inputs!$K$4:$AJ$4,0))))+SUMPRODUCT((Inputs!$C$5:$C$160=$B19)*ISNUMBER(INDEX(Inputs!$K$5:$AJ$160,0,MATCH(AE$2,Inputs!$K$4:$AJ$4,0))))+SUMPRODUCT((Inputs!$E$5:$E$160=$B19)*ISNUMBER(INDEX(Inputs!$K$5:$AJ$160,0,MATCH(AE$2,Inputs!$K$4:$AJ$4,0))))=0,NA(),SUMPRODUCT((Inputs!$A$5:$A$160=$B19)*Inputs!$B$5:$B$160*(((Inputs!$G$5:$G$160="moeda")+(Inputs!$G$5:$G$160="acoes"))*Inputs!$B$1+((Inputs!$G$5:$G$160&lt;&gt;"moeda")*(Inputs!$G$5:$G$160&lt;&gt;"acoes")))*INDEX(Inputs!$K$5:$AJ$160,0,MATCH(AE$2,Inputs!$K$4:$AJ$4,0)))+SUMPRODUCT((Inputs!$C$5:$C$160=$B19)*Inputs!$D$5:$D$160*(((Inputs!$G$5:$G$160="moeda")+(Inputs!$G$5:$G$160="acoes"))*Inputs!$B$1+((Inputs!$G$5:$G$160&lt;&gt;"moeda")*(Inputs!$G$5:$G$160&lt;&gt;"acoes")))*INDEX(Inputs!$K$5:$AJ$160,0,MATCH(AE$2,Inputs!$K$4:$AJ$4,0)))+SUMPRODUCT((Inputs!$E$5:$E$160=$B19)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19" s="6" t="e">
        <f>IF(ISNA(MATCH(AF$2,Inputs!$K$4:$AJ$4,0)),NA(),IF(SUMPRODUCT((Inputs!$A$5:$A$160=$B19)*ISNUMBER(INDEX(Inputs!$K$5:$AJ$160,0,MATCH(AF$2,Inputs!$K$4:$AJ$4,0))))+SUMPRODUCT((Inputs!$C$5:$C$160=$B19)*ISNUMBER(INDEX(Inputs!$K$5:$AJ$160,0,MATCH(AF$2,Inputs!$K$4:$AJ$4,0))))+SUMPRODUCT((Inputs!$E$5:$E$160=$B19)*ISNUMBER(INDEX(Inputs!$K$5:$AJ$160,0,MATCH(AF$2,Inputs!$K$4:$AJ$4,0))))=0,NA(),SUMPRODUCT((Inputs!$A$5:$A$160=$B19)*Inputs!$B$5:$B$160*(((Inputs!$G$5:$G$160="moeda")+(Inputs!$G$5:$G$160="acoes"))*Inputs!$B$1+((Inputs!$G$5:$G$160&lt;&gt;"moeda")*(Inputs!$G$5:$G$160&lt;&gt;"acoes")))*INDEX(Inputs!$K$5:$AJ$160,0,MATCH(AF$2,Inputs!$K$4:$AJ$4,0)))+SUMPRODUCT((Inputs!$C$5:$C$160=$B19)*Inputs!$D$5:$D$160*(((Inputs!$G$5:$G$160="moeda")+(Inputs!$G$5:$G$160="acoes"))*Inputs!$B$1+((Inputs!$G$5:$G$160&lt;&gt;"moeda")*(Inputs!$G$5:$G$160&lt;&gt;"acoes")))*INDEX(Inputs!$K$5:$AJ$160,0,MATCH(AF$2,Inputs!$K$4:$AJ$4,0)))+SUMPRODUCT((Inputs!$E$5:$E$160=$B19)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19" s="3" t="e">
        <f>AF19</f>
        <v>#N/A</v>
      </c>
      <c r="AH19" s="6">
        <f>IF(ISNA(MATCH(AH$2,Inputs!$K$4:$AJ$4,0)),NA(),IF(SUMPRODUCT((Inputs!$A$5:$A$160=$B19)*ISNUMBER(INDEX(Inputs!$K$5:$AJ$160,0,MATCH(AH$2,Inputs!$K$4:$AJ$4,0))))+SUMPRODUCT((Inputs!$C$5:$C$160=$B19)*ISNUMBER(INDEX(Inputs!$K$5:$AJ$160,0,MATCH(AH$2,Inputs!$K$4:$AJ$4,0))))+SUMPRODUCT((Inputs!$E$5:$E$160=$B19)*ISNUMBER(INDEX(Inputs!$K$5:$AJ$160,0,MATCH(AH$2,Inputs!$K$4:$AJ$4,0))))=0,NA(),SUMPRODUCT((Inputs!$A$5:$A$160=$B19)*Inputs!$B$5:$B$160*(((Inputs!$G$5:$G$160="moeda")+(Inputs!$G$5:$G$160="acoes"))*Inputs!$B$1+((Inputs!$G$5:$G$160&lt;&gt;"moeda")*(Inputs!$G$5:$G$160&lt;&gt;"acoes")))*INDEX(Inputs!$K$5:$AJ$160,0,MATCH(AH$2,Inputs!$K$4:$AJ$4,0)))+SUMPRODUCT((Inputs!$C$5:$C$160=$B19)*Inputs!$D$5:$D$160*(((Inputs!$G$5:$G$160="moeda")+(Inputs!$G$5:$G$160="acoes"))*Inputs!$B$1+((Inputs!$G$5:$G$160&lt;&gt;"moeda")*(Inputs!$G$5:$G$160&lt;&gt;"acoes")))*INDEX(Inputs!$K$5:$AJ$160,0,MATCH(AH$2,Inputs!$K$4:$AJ$4,0)))+SUMPRODUCT((Inputs!$E$5:$E$160=$B19)*Inputs!$F$5:$F$160*(((Inputs!$G$5:$G$160="moeda")+(Inputs!$G$5:$G$160="acoes"))*Inputs!$B$1+((Inputs!$G$5:$G$160&lt;&gt;"moeda")*(Inputs!$G$5:$G$160&lt;&gt;"acoes")))*INDEX(Inputs!$K$5:$AJ$160,0,MATCH(AH$2,Inputs!$K$4:$AJ$4,0)))))</f>
        <v>14.324618</v>
      </c>
      <c r="AI19" s="6">
        <f>IF(ISNA(MATCH(AI$2,Inputs!$K$4:$AJ$4,0)),NA(),IF(SUMPRODUCT((Inputs!$A$5:$A$160=$B19)*ISNUMBER(INDEX(Inputs!$K$5:$AJ$160,0,MATCH(AI$2,Inputs!$K$4:$AJ$4,0))))+SUMPRODUCT((Inputs!$C$5:$C$160=$B19)*ISNUMBER(INDEX(Inputs!$K$5:$AJ$160,0,MATCH(AI$2,Inputs!$K$4:$AJ$4,0))))+SUMPRODUCT((Inputs!$E$5:$E$160=$B19)*ISNUMBER(INDEX(Inputs!$K$5:$AJ$160,0,MATCH(AI$2,Inputs!$K$4:$AJ$4,0))))=0,NA(),SUMPRODUCT((Inputs!$A$5:$A$160=$B19)*Inputs!$B$5:$B$160*(((Inputs!$G$5:$G$160="moeda")+(Inputs!$G$5:$G$160="acoes"))*Inputs!$B$1+((Inputs!$G$5:$G$160&lt;&gt;"moeda")*(Inputs!$G$5:$G$160&lt;&gt;"acoes")))*INDEX(Inputs!$K$5:$AJ$160,0,MATCH(AI$2,Inputs!$K$4:$AJ$4,0)))+SUMPRODUCT((Inputs!$C$5:$C$160=$B19)*Inputs!$D$5:$D$160*(((Inputs!$G$5:$G$160="moeda")+(Inputs!$G$5:$G$160="acoes"))*Inputs!$B$1+((Inputs!$G$5:$G$160&lt;&gt;"moeda")*(Inputs!$G$5:$G$160&lt;&gt;"acoes")))*INDEX(Inputs!$K$5:$AJ$160,0,MATCH(AI$2,Inputs!$K$4:$AJ$4,0)))+SUMPRODUCT((Inputs!$E$5:$E$160=$B19)*Inputs!$F$5:$F$160*(((Inputs!$G$5:$G$160="moeda")+(Inputs!$G$5:$G$160="acoes"))*Inputs!$B$1+((Inputs!$G$5:$G$160&lt;&gt;"moeda")*(Inputs!$G$5:$G$160&lt;&gt;"acoes")))*INDEX(Inputs!$K$5:$AJ$160,0,MATCH(AI$2,Inputs!$K$4:$AJ$4,0)))))</f>
        <v>20.99392462</v>
      </c>
      <c r="AJ19" s="6">
        <f>IF(ISNA(MATCH(AJ$2,Inputs!$K$4:$AJ$4,0)),NA(),IF(SUMPRODUCT((Inputs!$A$5:$A$160=$B19)*ISNUMBER(INDEX(Inputs!$K$5:$AJ$160,0,MATCH(AJ$2,Inputs!$K$4:$AJ$4,0))))+SUMPRODUCT((Inputs!$C$5:$C$160=$B19)*ISNUMBER(INDEX(Inputs!$K$5:$AJ$160,0,MATCH(AJ$2,Inputs!$K$4:$AJ$4,0))))+SUMPRODUCT((Inputs!$E$5:$E$160=$B19)*ISNUMBER(INDEX(Inputs!$K$5:$AJ$160,0,MATCH(AJ$2,Inputs!$K$4:$AJ$4,0))))=0,NA(),SUMPRODUCT((Inputs!$A$5:$A$160=$B19)*Inputs!$B$5:$B$160*(((Inputs!$G$5:$G$160="moeda")+(Inputs!$G$5:$G$160="acoes"))*Inputs!$B$1+((Inputs!$G$5:$G$160&lt;&gt;"moeda")*(Inputs!$G$5:$G$160&lt;&gt;"acoes")))*INDEX(Inputs!$K$5:$AJ$160,0,MATCH(AJ$2,Inputs!$K$4:$AJ$4,0)))+SUMPRODUCT((Inputs!$C$5:$C$160=$B19)*Inputs!$D$5:$D$160*(((Inputs!$G$5:$G$160="moeda")+(Inputs!$G$5:$G$160="acoes"))*Inputs!$B$1+((Inputs!$G$5:$G$160&lt;&gt;"moeda")*(Inputs!$G$5:$G$160&lt;&gt;"acoes")))*INDEX(Inputs!$K$5:$AJ$160,0,MATCH(AJ$2,Inputs!$K$4:$AJ$4,0)))+SUMPRODUCT((Inputs!$E$5:$E$160=$B19)*Inputs!$F$5:$F$160*(((Inputs!$G$5:$G$160="moeda")+(Inputs!$G$5:$G$160="acoes"))*Inputs!$B$1+((Inputs!$G$5:$G$160&lt;&gt;"moeda")*(Inputs!$G$5:$G$160&lt;&gt;"acoes")))*INDEX(Inputs!$K$5:$AJ$160,0,MATCH(AJ$2,Inputs!$K$4:$AJ$4,0)))))</f>
        <v>16.03496786</v>
      </c>
      <c r="AK19" s="6">
        <f>IF(ISNA(MATCH(AK$2,Inputs!$K$4:$AJ$4,0)),NA(),IF(SUMPRODUCT((Inputs!$A$5:$A$160=$B19)*ISNUMBER(INDEX(Inputs!$K$5:$AJ$160,0,MATCH(AK$2,Inputs!$K$4:$AJ$4,0))))+SUMPRODUCT((Inputs!$C$5:$C$160=$B19)*ISNUMBER(INDEX(Inputs!$K$5:$AJ$160,0,MATCH(AK$2,Inputs!$K$4:$AJ$4,0))))+SUMPRODUCT((Inputs!$E$5:$E$160=$B19)*ISNUMBER(INDEX(Inputs!$K$5:$AJ$160,0,MATCH(AK$2,Inputs!$K$4:$AJ$4,0))))=0,NA(),SUMPRODUCT((Inputs!$A$5:$A$160=$B19)*Inputs!$B$5:$B$160*(((Inputs!$G$5:$G$160="moeda")+(Inputs!$G$5:$G$160="acoes"))*Inputs!$B$1+((Inputs!$G$5:$G$160&lt;&gt;"moeda")*(Inputs!$G$5:$G$160&lt;&gt;"acoes")))*INDEX(Inputs!$K$5:$AJ$160,0,MATCH(AK$2,Inputs!$K$4:$AJ$4,0)))+SUMPRODUCT((Inputs!$C$5:$C$160=$B19)*Inputs!$D$5:$D$160*(((Inputs!$G$5:$G$160="moeda")+(Inputs!$G$5:$G$160="acoes"))*Inputs!$B$1+((Inputs!$G$5:$G$160&lt;&gt;"moeda")*(Inputs!$G$5:$G$160&lt;&gt;"acoes")))*INDEX(Inputs!$K$5:$AJ$160,0,MATCH(AK$2,Inputs!$K$4:$AJ$4,0)))+SUMPRODUCT((Inputs!$E$5:$E$160=$B19)*Inputs!$F$5:$F$160*(((Inputs!$G$5:$G$160="moeda")+(Inputs!$G$5:$G$160="acoes"))*Inputs!$B$1+((Inputs!$G$5:$G$160&lt;&gt;"moeda")*(Inputs!$G$5:$G$160&lt;&gt;"acoes")))*INDEX(Inputs!$K$5:$AJ$160,0,MATCH(AK$2,Inputs!$K$4:$AJ$4,0)))))</f>
        <v>7.77194942</v>
      </c>
      <c r="AL19" s="3">
        <f>AK19</f>
        <v>7.77194942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$160=$B20)*ISNUMBER(INDEX(Inputs!$K$5:$AJ$160,0,MATCH(D$2,Inputs!$K$4:$AJ$4,0))))+SUMPRODUCT((Inputs!$C$5:$C$160=$B20)*ISNUMBER(INDEX(Inputs!$K$5:$AJ$160,0,MATCH(D$2,Inputs!$K$4:$AJ$4,0))))+SUMPRODUCT((Inputs!$E$5:$E$160=$B20)*ISNUMBER(INDEX(Inputs!$K$5:$AJ$160,0,MATCH(D$2,Inputs!$K$4:$AJ$4,0))))=0,NA(),SUMPRODUCT((Inputs!$A$5:$A$160=$B20)*Inputs!$B$5:$B$160*(((Inputs!$G$5:$G$160="moeda")+(Inputs!$G$5:$G$160="acoes"))*Inputs!$B$1+((Inputs!$G$5:$G$160&lt;&gt;"moeda")*(Inputs!$G$5:$G$160&lt;&gt;"acoes")))*INDEX(Inputs!$K$5:$AJ$160,0,MATCH(D$2,Inputs!$K$4:$AJ$4,0)))+SUMPRODUCT((Inputs!$C$5:$C$160=$B20)*Inputs!$D$5:$D$160*(((Inputs!$G$5:$G$160="moeda")+(Inputs!$G$5:$G$160="acoes"))*Inputs!$B$1+((Inputs!$G$5:$G$160&lt;&gt;"moeda")*(Inputs!$G$5:$G$160&lt;&gt;"acoes")))*INDEX(Inputs!$K$5:$AJ$160,0,MATCH(D$2,Inputs!$K$4:$AJ$4,0)))+SUMPRODUCT((Inputs!$E$5:$E$160=$B20)*Inputs!$F$5:$F$160*(((Inputs!$G$5:$G$160="moeda")+(Inputs!$G$5:$G$160="acoes"))*Inputs!$B$1+((Inputs!$G$5:$G$160&lt;&gt;"moeda")*(Inputs!$G$5:$G$160&lt;&gt;"acoes")))*INDEX(Inputs!$K$5:$AJ$160,0,MATCH(D$2,Inputs!$K$4:$AJ$4,0)))))</f>
        <v>63.62988346</v>
      </c>
      <c r="E20" s="6">
        <f>IF(ISNA(MATCH(E$2,Inputs!$K$4:$AJ$4,0)),NA(),IF(SUMPRODUCT((Inputs!$A$5:$A$160=$B20)*ISNUMBER(INDEX(Inputs!$K$5:$AJ$160,0,MATCH(E$2,Inputs!$K$4:$AJ$4,0))))+SUMPRODUCT((Inputs!$C$5:$C$160=$B20)*ISNUMBER(INDEX(Inputs!$K$5:$AJ$160,0,MATCH(E$2,Inputs!$K$4:$AJ$4,0))))+SUMPRODUCT((Inputs!$E$5:$E$160=$B20)*ISNUMBER(INDEX(Inputs!$K$5:$AJ$160,0,MATCH(E$2,Inputs!$K$4:$AJ$4,0))))=0,NA(),SUMPRODUCT((Inputs!$A$5:$A$160=$B20)*Inputs!$B$5:$B$160*(((Inputs!$G$5:$G$160="moeda")+(Inputs!$G$5:$G$160="acoes"))*Inputs!$B$1+((Inputs!$G$5:$G$160&lt;&gt;"moeda")*(Inputs!$G$5:$G$160&lt;&gt;"acoes")))*INDEX(Inputs!$K$5:$AJ$160,0,MATCH(E$2,Inputs!$K$4:$AJ$4,0)))+SUMPRODUCT((Inputs!$C$5:$C$160=$B20)*Inputs!$D$5:$D$160*(((Inputs!$G$5:$G$160="moeda")+(Inputs!$G$5:$G$160="acoes"))*Inputs!$B$1+((Inputs!$G$5:$G$160&lt;&gt;"moeda")*(Inputs!$G$5:$G$160&lt;&gt;"acoes")))*INDEX(Inputs!$K$5:$AJ$160,0,MATCH(E$2,Inputs!$K$4:$AJ$4,0)))+SUMPRODUCT((Inputs!$E$5:$E$160=$B20)*Inputs!$F$5:$F$160*(((Inputs!$G$5:$G$160="moeda")+(Inputs!$G$5:$G$160="acoes"))*Inputs!$B$1+((Inputs!$G$5:$G$160&lt;&gt;"moeda")*(Inputs!$G$5:$G$160&lt;&gt;"acoes")))*INDEX(Inputs!$K$5:$AJ$160,0,MATCH(E$2,Inputs!$K$4:$AJ$4,0)))))</f>
        <v>61.85708362</v>
      </c>
      <c r="F20" s="6">
        <f>IF(ISNA(MATCH(F$2,Inputs!$K$4:$AJ$4,0)),NA(),IF(SUMPRODUCT((Inputs!$A$5:$A$160=$B20)*ISNUMBER(INDEX(Inputs!$K$5:$AJ$160,0,MATCH(F$2,Inputs!$K$4:$AJ$4,0))))+SUMPRODUCT((Inputs!$C$5:$C$160=$B20)*ISNUMBER(INDEX(Inputs!$K$5:$AJ$160,0,MATCH(F$2,Inputs!$K$4:$AJ$4,0))))+SUMPRODUCT((Inputs!$E$5:$E$160=$B20)*ISNUMBER(INDEX(Inputs!$K$5:$AJ$160,0,MATCH(F$2,Inputs!$K$4:$AJ$4,0))))=0,NA(),SUMPRODUCT((Inputs!$A$5:$A$160=$B20)*Inputs!$B$5:$B$160*(((Inputs!$G$5:$G$160="moeda")+(Inputs!$G$5:$G$160="acoes"))*Inputs!$B$1+((Inputs!$G$5:$G$160&lt;&gt;"moeda")*(Inputs!$G$5:$G$160&lt;&gt;"acoes")))*INDEX(Inputs!$K$5:$AJ$160,0,MATCH(F$2,Inputs!$K$4:$AJ$4,0)))+SUMPRODUCT((Inputs!$C$5:$C$160=$B20)*Inputs!$D$5:$D$160*(((Inputs!$G$5:$G$160="moeda")+(Inputs!$G$5:$G$160="acoes"))*Inputs!$B$1+((Inputs!$G$5:$G$160&lt;&gt;"moeda")*(Inputs!$G$5:$G$160&lt;&gt;"acoes")))*INDEX(Inputs!$K$5:$AJ$160,0,MATCH(F$2,Inputs!$K$4:$AJ$4,0)))+SUMPRODUCT((Inputs!$E$5:$E$160=$B20)*Inputs!$F$5:$F$160*(((Inputs!$G$5:$G$160="moeda")+(Inputs!$G$5:$G$160="acoes"))*Inputs!$B$1+((Inputs!$G$5:$G$160&lt;&gt;"moeda")*(Inputs!$G$5:$G$160&lt;&gt;"acoes")))*INDEX(Inputs!$K$5:$AJ$160,0,MATCH(F$2,Inputs!$K$4:$AJ$4,0)))))</f>
        <v>151.69322796</v>
      </c>
      <c r="G20" s="6">
        <f>IF(ISNA(MATCH(G$2,Inputs!$K$4:$AJ$4,0)),NA(),IF(SUMPRODUCT((Inputs!$A$5:$A$160=$B20)*ISNUMBER(INDEX(Inputs!$K$5:$AJ$160,0,MATCH(G$2,Inputs!$K$4:$AJ$4,0))))+SUMPRODUCT((Inputs!$C$5:$C$160=$B20)*ISNUMBER(INDEX(Inputs!$K$5:$AJ$160,0,MATCH(G$2,Inputs!$K$4:$AJ$4,0))))+SUMPRODUCT((Inputs!$E$5:$E$160=$B20)*ISNUMBER(INDEX(Inputs!$K$5:$AJ$160,0,MATCH(G$2,Inputs!$K$4:$AJ$4,0))))=0,NA(),SUMPRODUCT((Inputs!$A$5:$A$160=$B20)*Inputs!$B$5:$B$160*(((Inputs!$G$5:$G$160="moeda")+(Inputs!$G$5:$G$160="acoes"))*Inputs!$B$1+((Inputs!$G$5:$G$160&lt;&gt;"moeda")*(Inputs!$G$5:$G$160&lt;&gt;"acoes")))*INDEX(Inputs!$K$5:$AJ$160,0,MATCH(G$2,Inputs!$K$4:$AJ$4,0)))+SUMPRODUCT((Inputs!$C$5:$C$160=$B20)*Inputs!$D$5:$D$160*(((Inputs!$G$5:$G$160="moeda")+(Inputs!$G$5:$G$160="acoes"))*Inputs!$B$1+((Inputs!$G$5:$G$160&lt;&gt;"moeda")*(Inputs!$G$5:$G$160&lt;&gt;"acoes")))*INDEX(Inputs!$K$5:$AJ$160,0,MATCH(G$2,Inputs!$K$4:$AJ$4,0)))+SUMPRODUCT((Inputs!$E$5:$E$160=$B20)*Inputs!$F$5:$F$160*(((Inputs!$G$5:$G$160="moeda")+(Inputs!$G$5:$G$160="acoes"))*Inputs!$B$1+((Inputs!$G$5:$G$160&lt;&gt;"moeda")*(Inputs!$G$5:$G$160&lt;&gt;"acoes")))*INDEX(Inputs!$K$5:$AJ$160,0,MATCH(G$2,Inputs!$K$4:$AJ$4,0)))))</f>
        <v>71.99774145</v>
      </c>
      <c r="H20" s="3">
        <f>G20</f>
        <v>71.99774145</v>
      </c>
      <c r="I20" s="6">
        <f>IF(ISNA(MATCH(I$2,Inputs!$K$4:$AJ$4,0)),NA(),IF(SUMPRODUCT((Inputs!$A$5:$A$160=$B20)*ISNUMBER(INDEX(Inputs!$K$5:$AJ$160,0,MATCH(I$2,Inputs!$K$4:$AJ$4,0))))+SUMPRODUCT((Inputs!$C$5:$C$160=$B20)*ISNUMBER(INDEX(Inputs!$K$5:$AJ$160,0,MATCH(I$2,Inputs!$K$4:$AJ$4,0))))+SUMPRODUCT((Inputs!$E$5:$E$160=$B20)*ISNUMBER(INDEX(Inputs!$K$5:$AJ$160,0,MATCH(I$2,Inputs!$K$4:$AJ$4,0))))=0,NA(),SUMPRODUCT((Inputs!$A$5:$A$160=$B20)*Inputs!$B$5:$B$160*(((Inputs!$G$5:$G$160="moeda")+(Inputs!$G$5:$G$160="acoes"))*Inputs!$B$1+((Inputs!$G$5:$G$160&lt;&gt;"moeda")*(Inputs!$G$5:$G$160&lt;&gt;"acoes")))*INDEX(Inputs!$K$5:$AJ$160,0,MATCH(I$2,Inputs!$K$4:$AJ$4,0)))+SUMPRODUCT((Inputs!$C$5:$C$160=$B20)*Inputs!$D$5:$D$160*(((Inputs!$G$5:$G$160="moeda")+(Inputs!$G$5:$G$160="acoes"))*Inputs!$B$1+((Inputs!$G$5:$G$160&lt;&gt;"moeda")*(Inputs!$G$5:$G$160&lt;&gt;"acoes")))*INDEX(Inputs!$K$5:$AJ$160,0,MATCH(I$2,Inputs!$K$4:$AJ$4,0)))+SUMPRODUCT((Inputs!$E$5:$E$160=$B20)*Inputs!$F$5:$F$160*(((Inputs!$G$5:$G$160="moeda")+(Inputs!$G$5:$G$160="acoes"))*Inputs!$B$1+((Inputs!$G$5:$G$160&lt;&gt;"moeda")*(Inputs!$G$5:$G$160&lt;&gt;"acoes")))*INDEX(Inputs!$K$5:$AJ$160,0,MATCH(I$2,Inputs!$K$4:$AJ$4,0)))))</f>
        <v>104.14867507</v>
      </c>
      <c r="J20" s="6">
        <f>IF(ISNA(MATCH(J$2,Inputs!$K$4:$AJ$4,0)),NA(),IF(SUMPRODUCT((Inputs!$A$5:$A$160=$B20)*ISNUMBER(INDEX(Inputs!$K$5:$AJ$160,0,MATCH(J$2,Inputs!$K$4:$AJ$4,0))))+SUMPRODUCT((Inputs!$C$5:$C$160=$B20)*ISNUMBER(INDEX(Inputs!$K$5:$AJ$160,0,MATCH(J$2,Inputs!$K$4:$AJ$4,0))))+SUMPRODUCT((Inputs!$E$5:$E$160=$B20)*ISNUMBER(INDEX(Inputs!$K$5:$AJ$160,0,MATCH(J$2,Inputs!$K$4:$AJ$4,0))))=0,NA(),SUMPRODUCT((Inputs!$A$5:$A$160=$B20)*Inputs!$B$5:$B$160*(((Inputs!$G$5:$G$160="moeda")+(Inputs!$G$5:$G$160="acoes"))*Inputs!$B$1+((Inputs!$G$5:$G$160&lt;&gt;"moeda")*(Inputs!$G$5:$G$160&lt;&gt;"acoes")))*INDEX(Inputs!$K$5:$AJ$160,0,MATCH(J$2,Inputs!$K$4:$AJ$4,0)))+SUMPRODUCT((Inputs!$C$5:$C$160=$B20)*Inputs!$D$5:$D$160*(((Inputs!$G$5:$G$160="moeda")+(Inputs!$G$5:$G$160="acoes"))*Inputs!$B$1+((Inputs!$G$5:$G$160&lt;&gt;"moeda")*(Inputs!$G$5:$G$160&lt;&gt;"acoes")))*INDEX(Inputs!$K$5:$AJ$160,0,MATCH(J$2,Inputs!$K$4:$AJ$4,0)))+SUMPRODUCT((Inputs!$E$5:$E$160=$B20)*Inputs!$F$5:$F$160*(((Inputs!$G$5:$G$160="moeda")+(Inputs!$G$5:$G$160="acoes"))*Inputs!$B$1+((Inputs!$G$5:$G$160&lt;&gt;"moeda")*(Inputs!$G$5:$G$160&lt;&gt;"acoes")))*INDEX(Inputs!$K$5:$AJ$160,0,MATCH(J$2,Inputs!$K$4:$AJ$4,0)))))</f>
        <v>147.91897069</v>
      </c>
      <c r="K20" s="6">
        <f>IF(ISNA(MATCH(K$2,Inputs!$K$4:$AJ$4,0)),NA(),IF(SUMPRODUCT((Inputs!$A$5:$A$160=$B20)*ISNUMBER(INDEX(Inputs!$K$5:$AJ$160,0,MATCH(K$2,Inputs!$K$4:$AJ$4,0))))+SUMPRODUCT((Inputs!$C$5:$C$160=$B20)*ISNUMBER(INDEX(Inputs!$K$5:$AJ$160,0,MATCH(K$2,Inputs!$K$4:$AJ$4,0))))+SUMPRODUCT((Inputs!$E$5:$E$160=$B20)*ISNUMBER(INDEX(Inputs!$K$5:$AJ$160,0,MATCH(K$2,Inputs!$K$4:$AJ$4,0))))=0,NA(),SUMPRODUCT((Inputs!$A$5:$A$160=$B20)*Inputs!$B$5:$B$160*(((Inputs!$G$5:$G$160="moeda")+(Inputs!$G$5:$G$160="acoes"))*Inputs!$B$1+((Inputs!$G$5:$G$160&lt;&gt;"moeda")*(Inputs!$G$5:$G$160&lt;&gt;"acoes")))*INDEX(Inputs!$K$5:$AJ$160,0,MATCH(K$2,Inputs!$K$4:$AJ$4,0)))+SUMPRODUCT((Inputs!$C$5:$C$160=$B20)*Inputs!$D$5:$D$160*(((Inputs!$G$5:$G$160="moeda")+(Inputs!$G$5:$G$160="acoes"))*Inputs!$B$1+((Inputs!$G$5:$G$160&lt;&gt;"moeda")*(Inputs!$G$5:$G$160&lt;&gt;"acoes")))*INDEX(Inputs!$K$5:$AJ$160,0,MATCH(K$2,Inputs!$K$4:$AJ$4,0)))+SUMPRODUCT((Inputs!$E$5:$E$160=$B20)*Inputs!$F$5:$F$160*(((Inputs!$G$5:$G$160="moeda")+(Inputs!$G$5:$G$160="acoes"))*Inputs!$B$1+((Inputs!$G$5:$G$160&lt;&gt;"moeda")*(Inputs!$G$5:$G$160&lt;&gt;"acoes")))*INDEX(Inputs!$K$5:$AJ$160,0,MATCH(K$2,Inputs!$K$4:$AJ$4,0)))))</f>
        <v>180.4205824</v>
      </c>
      <c r="L20" s="6">
        <f>IF(ISNA(MATCH(L$2,Inputs!$K$4:$AJ$4,0)),NA(),IF(SUMPRODUCT((Inputs!$A$5:$A$160=$B20)*ISNUMBER(INDEX(Inputs!$K$5:$AJ$160,0,MATCH(L$2,Inputs!$K$4:$AJ$4,0))))+SUMPRODUCT((Inputs!$C$5:$C$160=$B20)*ISNUMBER(INDEX(Inputs!$K$5:$AJ$160,0,MATCH(L$2,Inputs!$K$4:$AJ$4,0))))+SUMPRODUCT((Inputs!$E$5:$E$160=$B20)*ISNUMBER(INDEX(Inputs!$K$5:$AJ$160,0,MATCH(L$2,Inputs!$K$4:$AJ$4,0))))=0,NA(),SUMPRODUCT((Inputs!$A$5:$A$160=$B20)*Inputs!$B$5:$B$160*(((Inputs!$G$5:$G$160="moeda")+(Inputs!$G$5:$G$160="acoes"))*Inputs!$B$1+((Inputs!$G$5:$G$160&lt;&gt;"moeda")*(Inputs!$G$5:$G$160&lt;&gt;"acoes")))*INDEX(Inputs!$K$5:$AJ$160,0,MATCH(L$2,Inputs!$K$4:$AJ$4,0)))+SUMPRODUCT((Inputs!$C$5:$C$160=$B20)*Inputs!$D$5:$D$160*(((Inputs!$G$5:$G$160="moeda")+(Inputs!$G$5:$G$160="acoes"))*Inputs!$B$1+((Inputs!$G$5:$G$160&lt;&gt;"moeda")*(Inputs!$G$5:$G$160&lt;&gt;"acoes")))*INDEX(Inputs!$K$5:$AJ$160,0,MATCH(L$2,Inputs!$K$4:$AJ$4,0)))+SUMPRODUCT((Inputs!$E$5:$E$160=$B20)*Inputs!$F$5:$F$160*(((Inputs!$G$5:$G$160="moeda")+(Inputs!$G$5:$G$160="acoes"))*Inputs!$B$1+((Inputs!$G$5:$G$160&lt;&gt;"moeda")*(Inputs!$G$5:$G$160&lt;&gt;"acoes")))*INDEX(Inputs!$K$5:$AJ$160,0,MATCH(L$2,Inputs!$K$4:$AJ$4,0)))))</f>
        <v>128.48923243</v>
      </c>
      <c r="M20" s="3">
        <f>L20</f>
        <v>128.48923243</v>
      </c>
      <c r="N20" s="6">
        <f>IF(ISNA(MATCH(N$2,Inputs!$K$4:$AJ$4,0)),NA(),IF(SUMPRODUCT((Inputs!$A$5:$A$160=$B20)*ISNUMBER(INDEX(Inputs!$K$5:$AJ$160,0,MATCH(N$2,Inputs!$K$4:$AJ$4,0))))+SUMPRODUCT((Inputs!$C$5:$C$160=$B20)*ISNUMBER(INDEX(Inputs!$K$5:$AJ$160,0,MATCH(N$2,Inputs!$K$4:$AJ$4,0))))+SUMPRODUCT((Inputs!$E$5:$E$160=$B20)*ISNUMBER(INDEX(Inputs!$K$5:$AJ$160,0,MATCH(N$2,Inputs!$K$4:$AJ$4,0))))=0,NA(),SUMPRODUCT((Inputs!$A$5:$A$160=$B20)*Inputs!$B$5:$B$160*(((Inputs!$G$5:$G$160="moeda")+(Inputs!$G$5:$G$160="acoes"))*Inputs!$B$1+((Inputs!$G$5:$G$160&lt;&gt;"moeda")*(Inputs!$G$5:$G$160&lt;&gt;"acoes")))*INDEX(Inputs!$K$5:$AJ$160,0,MATCH(N$2,Inputs!$K$4:$AJ$4,0)))+SUMPRODUCT((Inputs!$C$5:$C$160=$B20)*Inputs!$D$5:$D$160*(((Inputs!$G$5:$G$160="moeda")+(Inputs!$G$5:$G$160="acoes"))*Inputs!$B$1+((Inputs!$G$5:$G$160&lt;&gt;"moeda")*(Inputs!$G$5:$G$160&lt;&gt;"acoes")))*INDEX(Inputs!$K$5:$AJ$160,0,MATCH(N$2,Inputs!$K$4:$AJ$4,0)))+SUMPRODUCT((Inputs!$E$5:$E$160=$B20)*Inputs!$F$5:$F$160*(((Inputs!$G$5:$G$160="moeda")+(Inputs!$G$5:$G$160="acoes"))*Inputs!$B$1+((Inputs!$G$5:$G$160&lt;&gt;"moeda")*(Inputs!$G$5:$G$160&lt;&gt;"acoes")))*INDEX(Inputs!$K$5:$AJ$160,0,MATCH(N$2,Inputs!$K$4:$AJ$4,0)))))</f>
        <v>121.272759</v>
      </c>
      <c r="O20" s="6">
        <f>IF(ISNA(MATCH(O$2,Inputs!$K$4:$AJ$4,0)),NA(),IF(SUMPRODUCT((Inputs!$A$5:$A$160=$B20)*ISNUMBER(INDEX(Inputs!$K$5:$AJ$160,0,MATCH(O$2,Inputs!$K$4:$AJ$4,0))))+SUMPRODUCT((Inputs!$C$5:$C$160=$B20)*ISNUMBER(INDEX(Inputs!$K$5:$AJ$160,0,MATCH(O$2,Inputs!$K$4:$AJ$4,0))))+SUMPRODUCT((Inputs!$E$5:$E$160=$B20)*ISNUMBER(INDEX(Inputs!$K$5:$AJ$160,0,MATCH(O$2,Inputs!$K$4:$AJ$4,0))))=0,NA(),SUMPRODUCT((Inputs!$A$5:$A$160=$B20)*Inputs!$B$5:$B$160*(((Inputs!$G$5:$G$160="moeda")+(Inputs!$G$5:$G$160="acoes"))*Inputs!$B$1+((Inputs!$G$5:$G$160&lt;&gt;"moeda")*(Inputs!$G$5:$G$160&lt;&gt;"acoes")))*INDEX(Inputs!$K$5:$AJ$160,0,MATCH(O$2,Inputs!$K$4:$AJ$4,0)))+SUMPRODUCT((Inputs!$C$5:$C$160=$B20)*Inputs!$D$5:$D$160*(((Inputs!$G$5:$G$160="moeda")+(Inputs!$G$5:$G$160="acoes"))*Inputs!$B$1+((Inputs!$G$5:$G$160&lt;&gt;"moeda")*(Inputs!$G$5:$G$160&lt;&gt;"acoes")))*INDEX(Inputs!$K$5:$AJ$160,0,MATCH(O$2,Inputs!$K$4:$AJ$4,0)))+SUMPRODUCT((Inputs!$E$5:$E$160=$B20)*Inputs!$F$5:$F$160*(((Inputs!$G$5:$G$160="moeda")+(Inputs!$G$5:$G$160="acoes"))*Inputs!$B$1+((Inputs!$G$5:$G$160&lt;&gt;"moeda")*(Inputs!$G$5:$G$160&lt;&gt;"acoes")))*INDEX(Inputs!$K$5:$AJ$160,0,MATCH(O$2,Inputs!$K$4:$AJ$4,0)))))</f>
        <v>208.445</v>
      </c>
      <c r="P20" s="6">
        <f>IF(ISNA(MATCH(P$2,Inputs!$K$4:$AJ$4,0)),NA(),IF(SUMPRODUCT((Inputs!$A$5:$A$160=$B20)*ISNUMBER(INDEX(Inputs!$K$5:$AJ$160,0,MATCH(P$2,Inputs!$K$4:$AJ$4,0))))+SUMPRODUCT((Inputs!$C$5:$C$160=$B20)*ISNUMBER(INDEX(Inputs!$K$5:$AJ$160,0,MATCH(P$2,Inputs!$K$4:$AJ$4,0))))+SUMPRODUCT((Inputs!$E$5:$E$160=$B20)*ISNUMBER(INDEX(Inputs!$K$5:$AJ$160,0,MATCH(P$2,Inputs!$K$4:$AJ$4,0))))=0,NA(),SUMPRODUCT((Inputs!$A$5:$A$160=$B20)*Inputs!$B$5:$B$160*(((Inputs!$G$5:$G$160="moeda")+(Inputs!$G$5:$G$160="acoes"))*Inputs!$B$1+((Inputs!$G$5:$G$160&lt;&gt;"moeda")*(Inputs!$G$5:$G$160&lt;&gt;"acoes")))*INDEX(Inputs!$K$5:$AJ$160,0,MATCH(P$2,Inputs!$K$4:$AJ$4,0)))+SUMPRODUCT((Inputs!$C$5:$C$160=$B20)*Inputs!$D$5:$D$160*(((Inputs!$G$5:$G$160="moeda")+(Inputs!$G$5:$G$160="acoes"))*Inputs!$B$1+((Inputs!$G$5:$G$160&lt;&gt;"moeda")*(Inputs!$G$5:$G$160&lt;&gt;"acoes")))*INDEX(Inputs!$K$5:$AJ$160,0,MATCH(P$2,Inputs!$K$4:$AJ$4,0)))+SUMPRODUCT((Inputs!$E$5:$E$160=$B20)*Inputs!$F$5:$F$160*(((Inputs!$G$5:$G$160="moeda")+(Inputs!$G$5:$G$160="acoes"))*Inputs!$B$1+((Inputs!$G$5:$G$160&lt;&gt;"moeda")*(Inputs!$G$5:$G$160&lt;&gt;"acoes")))*INDEX(Inputs!$K$5:$AJ$160,0,MATCH(P$2,Inputs!$K$4:$AJ$4,0)))))</f>
        <v>168.103</v>
      </c>
      <c r="Q20" s="6">
        <f>IF(ISNA(MATCH(Q$2,Inputs!$K$4:$AJ$4,0)),NA(),IF(SUMPRODUCT((Inputs!$A$5:$A$160=$B20)*ISNUMBER(INDEX(Inputs!$K$5:$AJ$160,0,MATCH(Q$2,Inputs!$K$4:$AJ$4,0))))+SUMPRODUCT((Inputs!$C$5:$C$160=$B20)*ISNUMBER(INDEX(Inputs!$K$5:$AJ$160,0,MATCH(Q$2,Inputs!$K$4:$AJ$4,0))))+SUMPRODUCT((Inputs!$E$5:$E$160=$B20)*ISNUMBER(INDEX(Inputs!$K$5:$AJ$160,0,MATCH(Q$2,Inputs!$K$4:$AJ$4,0))))=0,NA(),SUMPRODUCT((Inputs!$A$5:$A$160=$B20)*Inputs!$B$5:$B$160*(((Inputs!$G$5:$G$160="moeda")+(Inputs!$G$5:$G$160="acoes"))*Inputs!$B$1+((Inputs!$G$5:$G$160&lt;&gt;"moeda")*(Inputs!$G$5:$G$160&lt;&gt;"acoes")))*INDEX(Inputs!$K$5:$AJ$160,0,MATCH(Q$2,Inputs!$K$4:$AJ$4,0)))+SUMPRODUCT((Inputs!$C$5:$C$160=$B20)*Inputs!$D$5:$D$160*(((Inputs!$G$5:$G$160="moeda")+(Inputs!$G$5:$G$160="acoes"))*Inputs!$B$1+((Inputs!$G$5:$G$160&lt;&gt;"moeda")*(Inputs!$G$5:$G$160&lt;&gt;"acoes")))*INDEX(Inputs!$K$5:$AJ$160,0,MATCH(Q$2,Inputs!$K$4:$AJ$4,0)))+SUMPRODUCT((Inputs!$E$5:$E$160=$B20)*Inputs!$F$5:$F$160*(((Inputs!$G$5:$G$160="moeda")+(Inputs!$G$5:$G$160="acoes"))*Inputs!$B$1+((Inputs!$G$5:$G$160&lt;&gt;"moeda")*(Inputs!$G$5:$G$160&lt;&gt;"acoes")))*INDEX(Inputs!$K$5:$AJ$160,0,MATCH(Q$2,Inputs!$K$4:$AJ$4,0)))))</f>
        <v>239.301</v>
      </c>
      <c r="R20" s="3">
        <f>Q20</f>
        <v>239.301</v>
      </c>
      <c r="S20" s="6">
        <f>IF(ISNA(MATCH(S$2,Inputs!$K$4:$AJ$4,0)),NA(),IF(SUMPRODUCT((Inputs!$A$5:$A$160=$B20)*ISNUMBER(INDEX(Inputs!$K$5:$AJ$160,0,MATCH(S$2,Inputs!$K$4:$AJ$4,0))))+SUMPRODUCT((Inputs!$C$5:$C$160=$B20)*ISNUMBER(INDEX(Inputs!$K$5:$AJ$160,0,MATCH(S$2,Inputs!$K$4:$AJ$4,0))))+SUMPRODUCT((Inputs!$E$5:$E$160=$B20)*ISNUMBER(INDEX(Inputs!$K$5:$AJ$160,0,MATCH(S$2,Inputs!$K$4:$AJ$4,0))))=0,NA(),SUMPRODUCT((Inputs!$A$5:$A$160=$B20)*Inputs!$B$5:$B$160*(((Inputs!$G$5:$G$160="moeda")+(Inputs!$G$5:$G$160="acoes"))*Inputs!$B$1+((Inputs!$G$5:$G$160&lt;&gt;"moeda")*(Inputs!$G$5:$G$160&lt;&gt;"acoes")))*INDEX(Inputs!$K$5:$AJ$160,0,MATCH(S$2,Inputs!$K$4:$AJ$4,0)))+SUMPRODUCT((Inputs!$C$5:$C$160=$B20)*Inputs!$D$5:$D$160*(((Inputs!$G$5:$G$160="moeda")+(Inputs!$G$5:$G$160="acoes"))*Inputs!$B$1+((Inputs!$G$5:$G$160&lt;&gt;"moeda")*(Inputs!$G$5:$G$160&lt;&gt;"acoes")))*INDEX(Inputs!$K$5:$AJ$160,0,MATCH(S$2,Inputs!$K$4:$AJ$4,0)))+SUMPRODUCT((Inputs!$E$5:$E$160=$B20)*Inputs!$F$5:$F$160*(((Inputs!$G$5:$G$160="moeda")+(Inputs!$G$5:$G$160="acoes"))*Inputs!$B$1+((Inputs!$G$5:$G$160&lt;&gt;"moeda")*(Inputs!$G$5:$G$160&lt;&gt;"acoes")))*INDEX(Inputs!$K$5:$AJ$160,0,MATCH(S$2,Inputs!$K$4:$AJ$4,0)))))</f>
        <v>254.996</v>
      </c>
      <c r="T20" s="6">
        <f>IF(ISNA(MATCH(T$2,Inputs!$K$4:$AJ$4,0)),NA(),IF(SUMPRODUCT((Inputs!$A$5:$A$160=$B20)*ISNUMBER(INDEX(Inputs!$K$5:$AJ$160,0,MATCH(T$2,Inputs!$K$4:$AJ$4,0))))+SUMPRODUCT((Inputs!$C$5:$C$160=$B20)*ISNUMBER(INDEX(Inputs!$K$5:$AJ$160,0,MATCH(T$2,Inputs!$K$4:$AJ$4,0))))+SUMPRODUCT((Inputs!$E$5:$E$160=$B20)*ISNUMBER(INDEX(Inputs!$K$5:$AJ$160,0,MATCH(T$2,Inputs!$K$4:$AJ$4,0))))=0,NA(),SUMPRODUCT((Inputs!$A$5:$A$160=$B20)*Inputs!$B$5:$B$160*(((Inputs!$G$5:$G$160="moeda")+(Inputs!$G$5:$G$160="acoes"))*Inputs!$B$1+((Inputs!$G$5:$G$160&lt;&gt;"moeda")*(Inputs!$G$5:$G$160&lt;&gt;"acoes")))*INDEX(Inputs!$K$5:$AJ$160,0,MATCH(T$2,Inputs!$K$4:$AJ$4,0)))+SUMPRODUCT((Inputs!$C$5:$C$160=$B20)*Inputs!$D$5:$D$160*(((Inputs!$G$5:$G$160="moeda")+(Inputs!$G$5:$G$160="acoes"))*Inputs!$B$1+((Inputs!$G$5:$G$160&lt;&gt;"moeda")*(Inputs!$G$5:$G$160&lt;&gt;"acoes")))*INDEX(Inputs!$K$5:$AJ$160,0,MATCH(T$2,Inputs!$K$4:$AJ$4,0)))+SUMPRODUCT((Inputs!$E$5:$E$160=$B20)*Inputs!$F$5:$F$160*(((Inputs!$G$5:$G$160="moeda")+(Inputs!$G$5:$G$160="acoes"))*Inputs!$B$1+((Inputs!$G$5:$G$160&lt;&gt;"moeda")*(Inputs!$G$5:$G$160&lt;&gt;"acoes")))*INDEX(Inputs!$K$5:$AJ$160,0,MATCH(T$2,Inputs!$K$4:$AJ$4,0)))))</f>
        <v>265.067</v>
      </c>
      <c r="U20" s="6">
        <f>IF(ISNA(MATCH(U$2,Inputs!$K$4:$AJ$4,0)),NA(),IF(SUMPRODUCT((Inputs!$A$5:$A$160=$B20)*ISNUMBER(INDEX(Inputs!$K$5:$AJ$160,0,MATCH(U$2,Inputs!$K$4:$AJ$4,0))))+SUMPRODUCT((Inputs!$C$5:$C$160=$B20)*ISNUMBER(INDEX(Inputs!$K$5:$AJ$160,0,MATCH(U$2,Inputs!$K$4:$AJ$4,0))))+SUMPRODUCT((Inputs!$E$5:$E$160=$B20)*ISNUMBER(INDEX(Inputs!$K$5:$AJ$160,0,MATCH(U$2,Inputs!$K$4:$AJ$4,0))))=0,NA(),SUMPRODUCT((Inputs!$A$5:$A$160=$B20)*Inputs!$B$5:$B$160*(((Inputs!$G$5:$G$160="moeda")+(Inputs!$G$5:$G$160="acoes"))*Inputs!$B$1+((Inputs!$G$5:$G$160&lt;&gt;"moeda")*(Inputs!$G$5:$G$160&lt;&gt;"acoes")))*INDEX(Inputs!$K$5:$AJ$160,0,MATCH(U$2,Inputs!$K$4:$AJ$4,0)))+SUMPRODUCT((Inputs!$C$5:$C$160=$B20)*Inputs!$D$5:$D$160*(((Inputs!$G$5:$G$160="moeda")+(Inputs!$G$5:$G$160="acoes"))*Inputs!$B$1+((Inputs!$G$5:$G$160&lt;&gt;"moeda")*(Inputs!$G$5:$G$160&lt;&gt;"acoes")))*INDEX(Inputs!$K$5:$AJ$160,0,MATCH(U$2,Inputs!$K$4:$AJ$4,0)))+SUMPRODUCT((Inputs!$E$5:$E$160=$B20)*Inputs!$F$5:$F$160*(((Inputs!$G$5:$G$160="moeda")+(Inputs!$G$5:$G$160="acoes"))*Inputs!$B$1+((Inputs!$G$5:$G$160&lt;&gt;"moeda")*(Inputs!$G$5:$G$160&lt;&gt;"acoes")))*INDEX(Inputs!$K$5:$AJ$160,0,MATCH(U$2,Inputs!$K$4:$AJ$4,0)))))</f>
        <v>253.653</v>
      </c>
      <c r="V20" s="6">
        <f>IF(ISNA(MATCH(V$2,Inputs!$K$4:$AJ$4,0)),NA(),IF(SUMPRODUCT((Inputs!$A$5:$A$160=$B20)*ISNUMBER(INDEX(Inputs!$K$5:$AJ$160,0,MATCH(V$2,Inputs!$K$4:$AJ$4,0))))+SUMPRODUCT((Inputs!$C$5:$C$160=$B20)*ISNUMBER(INDEX(Inputs!$K$5:$AJ$160,0,MATCH(V$2,Inputs!$K$4:$AJ$4,0))))+SUMPRODUCT((Inputs!$E$5:$E$160=$B20)*ISNUMBER(INDEX(Inputs!$K$5:$AJ$160,0,MATCH(V$2,Inputs!$K$4:$AJ$4,0))))=0,NA(),SUMPRODUCT((Inputs!$A$5:$A$160=$B20)*Inputs!$B$5:$B$160*(((Inputs!$G$5:$G$160="moeda")+(Inputs!$G$5:$G$160="acoes"))*Inputs!$B$1+((Inputs!$G$5:$G$160&lt;&gt;"moeda")*(Inputs!$G$5:$G$160&lt;&gt;"acoes")))*INDEX(Inputs!$K$5:$AJ$160,0,MATCH(V$2,Inputs!$K$4:$AJ$4,0)))+SUMPRODUCT((Inputs!$C$5:$C$160=$B20)*Inputs!$D$5:$D$160*(((Inputs!$G$5:$G$160="moeda")+(Inputs!$G$5:$G$160="acoes"))*Inputs!$B$1+((Inputs!$G$5:$G$160&lt;&gt;"moeda")*(Inputs!$G$5:$G$160&lt;&gt;"acoes")))*INDEX(Inputs!$K$5:$AJ$160,0,MATCH(V$2,Inputs!$K$4:$AJ$4,0)))+SUMPRODUCT((Inputs!$E$5:$E$160=$B20)*Inputs!$F$5:$F$160*(((Inputs!$G$5:$G$160="moeda")+(Inputs!$G$5:$G$160="acoes"))*Inputs!$B$1+((Inputs!$G$5:$G$160&lt;&gt;"moeda")*(Inputs!$G$5:$G$160&lt;&gt;"acoes")))*INDEX(Inputs!$K$5:$AJ$160,0,MATCH(V$2,Inputs!$K$4:$AJ$4,0)))))</f>
        <v>244.111</v>
      </c>
      <c r="W20" s="3">
        <f>V20</f>
        <v>244.111</v>
      </c>
      <c r="X20" s="6">
        <f>IF(ISNA(MATCH(X$2,Inputs!$K$4:$AJ$4,0)),NA(),IF(SUMPRODUCT((Inputs!$A$5:$A$160=$B20)*ISNUMBER(INDEX(Inputs!$K$5:$AJ$160,0,MATCH(X$2,Inputs!$K$4:$AJ$4,0))))+SUMPRODUCT((Inputs!$C$5:$C$160=$B20)*ISNUMBER(INDEX(Inputs!$K$5:$AJ$160,0,MATCH(X$2,Inputs!$K$4:$AJ$4,0))))+SUMPRODUCT((Inputs!$E$5:$E$160=$B20)*ISNUMBER(INDEX(Inputs!$K$5:$AJ$160,0,MATCH(X$2,Inputs!$K$4:$AJ$4,0))))=0,NA(),SUMPRODUCT((Inputs!$A$5:$A$160=$B20)*Inputs!$B$5:$B$160*(((Inputs!$G$5:$G$160="moeda")+(Inputs!$G$5:$G$160="acoes"))*Inputs!$B$1+((Inputs!$G$5:$G$160&lt;&gt;"moeda")*(Inputs!$G$5:$G$160&lt;&gt;"acoes")))*INDEX(Inputs!$K$5:$AJ$160,0,MATCH(X$2,Inputs!$K$4:$AJ$4,0)))+SUMPRODUCT((Inputs!$C$5:$C$160=$B20)*Inputs!$D$5:$D$160*(((Inputs!$G$5:$G$160="moeda")+(Inputs!$G$5:$G$160="acoes"))*Inputs!$B$1+((Inputs!$G$5:$G$160&lt;&gt;"moeda")*(Inputs!$G$5:$G$160&lt;&gt;"acoes")))*INDEX(Inputs!$K$5:$AJ$160,0,MATCH(X$2,Inputs!$K$4:$AJ$4,0)))+SUMPRODUCT((Inputs!$E$5:$E$160=$B20)*Inputs!$F$5:$F$160*(((Inputs!$G$5:$G$160="moeda")+(Inputs!$G$5:$G$160="acoes"))*Inputs!$B$1+((Inputs!$G$5:$G$160&lt;&gt;"moeda")*(Inputs!$G$5:$G$160&lt;&gt;"acoes")))*INDEX(Inputs!$K$5:$AJ$160,0,MATCH(X$2,Inputs!$K$4:$AJ$4,0)))))</f>
        <v>258.051</v>
      </c>
      <c r="Y20" s="6">
        <f>IF(ISNA(MATCH(Y$2,Inputs!$K$4:$AJ$4,0)),NA(),IF(SUMPRODUCT((Inputs!$A$5:$A$160=$B20)*ISNUMBER(INDEX(Inputs!$K$5:$AJ$160,0,MATCH(Y$2,Inputs!$K$4:$AJ$4,0))))+SUMPRODUCT((Inputs!$C$5:$C$160=$B20)*ISNUMBER(INDEX(Inputs!$K$5:$AJ$160,0,MATCH(Y$2,Inputs!$K$4:$AJ$4,0))))+SUMPRODUCT((Inputs!$E$5:$E$160=$B20)*ISNUMBER(INDEX(Inputs!$K$5:$AJ$160,0,MATCH(Y$2,Inputs!$K$4:$AJ$4,0))))=0,NA(),SUMPRODUCT((Inputs!$A$5:$A$160=$B20)*Inputs!$B$5:$B$160*(((Inputs!$G$5:$G$160="moeda")+(Inputs!$G$5:$G$160="acoes"))*Inputs!$B$1+((Inputs!$G$5:$G$160&lt;&gt;"moeda")*(Inputs!$G$5:$G$160&lt;&gt;"acoes")))*INDEX(Inputs!$K$5:$AJ$160,0,MATCH(Y$2,Inputs!$K$4:$AJ$4,0)))+SUMPRODUCT((Inputs!$C$5:$C$160=$B20)*Inputs!$D$5:$D$160*(((Inputs!$G$5:$G$160="moeda")+(Inputs!$G$5:$G$160="acoes"))*Inputs!$B$1+((Inputs!$G$5:$G$160&lt;&gt;"moeda")*(Inputs!$G$5:$G$160&lt;&gt;"acoes")))*INDEX(Inputs!$K$5:$AJ$160,0,MATCH(Y$2,Inputs!$K$4:$AJ$4,0)))+SUMPRODUCT((Inputs!$E$5:$E$160=$B20)*Inputs!$F$5:$F$160*(((Inputs!$G$5:$G$160="moeda")+(Inputs!$G$5:$G$160="acoes"))*Inputs!$B$1+((Inputs!$G$5:$G$160&lt;&gt;"moeda")*(Inputs!$G$5:$G$160&lt;&gt;"acoes")))*INDEX(Inputs!$K$5:$AJ$160,0,MATCH(Y$2,Inputs!$K$4:$AJ$4,0)))))</f>
        <v>274.276</v>
      </c>
      <c r="Z20" s="6">
        <f>IF(ISNA(MATCH(Z$2,Inputs!$K$4:$AJ$4,0)),NA(),IF(SUMPRODUCT((Inputs!$A$5:$A$160=$B20)*ISNUMBER(INDEX(Inputs!$K$5:$AJ$160,0,MATCH(Z$2,Inputs!$K$4:$AJ$4,0))))+SUMPRODUCT((Inputs!$C$5:$C$160=$B20)*ISNUMBER(INDEX(Inputs!$K$5:$AJ$160,0,MATCH(Z$2,Inputs!$K$4:$AJ$4,0))))+SUMPRODUCT((Inputs!$E$5:$E$160=$B20)*ISNUMBER(INDEX(Inputs!$K$5:$AJ$160,0,MATCH(Z$2,Inputs!$K$4:$AJ$4,0))))=0,NA(),SUMPRODUCT((Inputs!$A$5:$A$160=$B20)*Inputs!$B$5:$B$160*(((Inputs!$G$5:$G$160="moeda")+(Inputs!$G$5:$G$160="acoes"))*Inputs!$B$1+((Inputs!$G$5:$G$160&lt;&gt;"moeda")*(Inputs!$G$5:$G$160&lt;&gt;"acoes")))*INDEX(Inputs!$K$5:$AJ$160,0,MATCH(Z$2,Inputs!$K$4:$AJ$4,0)))+SUMPRODUCT((Inputs!$C$5:$C$160=$B20)*Inputs!$D$5:$D$160*(((Inputs!$G$5:$G$160="moeda")+(Inputs!$G$5:$G$160="acoes"))*Inputs!$B$1+((Inputs!$G$5:$G$160&lt;&gt;"moeda")*(Inputs!$G$5:$G$160&lt;&gt;"acoes")))*INDEX(Inputs!$K$5:$AJ$160,0,MATCH(Z$2,Inputs!$K$4:$AJ$4,0)))+SUMPRODUCT((Inputs!$E$5:$E$160=$B20)*Inputs!$F$5:$F$160*(((Inputs!$G$5:$G$160="moeda")+(Inputs!$G$5:$G$160="acoes"))*Inputs!$B$1+((Inputs!$G$5:$G$160&lt;&gt;"moeda")*(Inputs!$G$5:$G$160&lt;&gt;"acoes")))*INDEX(Inputs!$K$5:$AJ$160,0,MATCH(Z$2,Inputs!$K$4:$AJ$4,0)))))</f>
        <v>285.309</v>
      </c>
      <c r="AA20" s="6">
        <f>IF(ISNA(MATCH(AA$2,Inputs!$K$4:$AJ$4,0)),NA(),IF(SUMPRODUCT((Inputs!$A$5:$A$160=$B20)*ISNUMBER(INDEX(Inputs!$K$5:$AJ$160,0,MATCH(AA$2,Inputs!$K$4:$AJ$4,0))))+SUMPRODUCT((Inputs!$C$5:$C$160=$B20)*ISNUMBER(INDEX(Inputs!$K$5:$AJ$160,0,MATCH(AA$2,Inputs!$K$4:$AJ$4,0))))+SUMPRODUCT((Inputs!$E$5:$E$160=$B20)*ISNUMBER(INDEX(Inputs!$K$5:$AJ$160,0,MATCH(AA$2,Inputs!$K$4:$AJ$4,0))))=0,NA(),SUMPRODUCT((Inputs!$A$5:$A$160=$B20)*Inputs!$B$5:$B$160*(((Inputs!$G$5:$G$160="moeda")+(Inputs!$G$5:$G$160="acoes"))*Inputs!$B$1+((Inputs!$G$5:$G$160&lt;&gt;"moeda")*(Inputs!$G$5:$G$160&lt;&gt;"acoes")))*INDEX(Inputs!$K$5:$AJ$160,0,MATCH(AA$2,Inputs!$K$4:$AJ$4,0)))+SUMPRODUCT((Inputs!$C$5:$C$160=$B20)*Inputs!$D$5:$D$160*(((Inputs!$G$5:$G$160="moeda")+(Inputs!$G$5:$G$160="acoes"))*Inputs!$B$1+((Inputs!$G$5:$G$160&lt;&gt;"moeda")*(Inputs!$G$5:$G$160&lt;&gt;"acoes")))*INDEX(Inputs!$K$5:$AJ$160,0,MATCH(AA$2,Inputs!$K$4:$AJ$4,0)))+SUMPRODUCT((Inputs!$E$5:$E$160=$B20)*Inputs!$F$5:$F$160*(((Inputs!$G$5:$G$160="moeda")+(Inputs!$G$5:$G$160="acoes"))*Inputs!$B$1+((Inputs!$G$5:$G$160&lt;&gt;"moeda")*(Inputs!$G$5:$G$160&lt;&gt;"acoes")))*INDEX(Inputs!$K$5:$AJ$160,0,MATCH(AA$2,Inputs!$K$4:$AJ$4,0)))))</f>
        <v>331.206</v>
      </c>
      <c r="AB20" s="3">
        <f>AA20</f>
        <v>331.206</v>
      </c>
      <c r="AC20" s="6">
        <f>IF(ISNA(MATCH(AC$2,Inputs!$K$4:$AJ$4,0)),NA(),IF(SUMPRODUCT((Inputs!$A$5:$A$160=$B20)*ISNUMBER(INDEX(Inputs!$K$5:$AJ$160,0,MATCH(AC$2,Inputs!$K$4:$AJ$4,0))))+SUMPRODUCT((Inputs!$C$5:$C$160=$B20)*ISNUMBER(INDEX(Inputs!$K$5:$AJ$160,0,MATCH(AC$2,Inputs!$K$4:$AJ$4,0))))+SUMPRODUCT((Inputs!$E$5:$E$160=$B20)*ISNUMBER(INDEX(Inputs!$K$5:$AJ$160,0,MATCH(AC$2,Inputs!$K$4:$AJ$4,0))))=0,NA(),SUMPRODUCT((Inputs!$A$5:$A$160=$B20)*Inputs!$B$5:$B$160*(((Inputs!$G$5:$G$160="moeda")+(Inputs!$G$5:$G$160="acoes"))*Inputs!$B$1+((Inputs!$G$5:$G$160&lt;&gt;"moeda")*(Inputs!$G$5:$G$160&lt;&gt;"acoes")))*INDEX(Inputs!$K$5:$AJ$160,0,MATCH(AC$2,Inputs!$K$4:$AJ$4,0)))+SUMPRODUCT((Inputs!$C$5:$C$160=$B20)*Inputs!$D$5:$D$160*(((Inputs!$G$5:$G$160="moeda")+(Inputs!$G$5:$G$160="acoes"))*Inputs!$B$1+((Inputs!$G$5:$G$160&lt;&gt;"moeda")*(Inputs!$G$5:$G$160&lt;&gt;"acoes")))*INDEX(Inputs!$K$5:$AJ$160,0,MATCH(AC$2,Inputs!$K$4:$AJ$4,0)))+SUMPRODUCT((Inputs!$E$5:$E$160=$B20)*Inputs!$F$5:$F$160*(((Inputs!$G$5:$G$160="moeda")+(Inputs!$G$5:$G$160="acoes"))*Inputs!$B$1+((Inputs!$G$5:$G$160&lt;&gt;"moeda")*(Inputs!$G$5:$G$160&lt;&gt;"acoes")))*INDEX(Inputs!$K$5:$AJ$160,0,MATCH(AC$2,Inputs!$K$4:$AJ$4,0)))))</f>
        <v>343.446</v>
      </c>
      <c r="AD20" s="6">
        <f>IF(ISNA(MATCH(AD$2,Inputs!$K$4:$AJ$4,0)),NA(),IF(SUMPRODUCT((Inputs!$A$5:$A$160=$B20)*ISNUMBER(INDEX(Inputs!$K$5:$AJ$160,0,MATCH(AD$2,Inputs!$K$4:$AJ$4,0))))+SUMPRODUCT((Inputs!$C$5:$C$160=$B20)*ISNUMBER(INDEX(Inputs!$K$5:$AJ$160,0,MATCH(AD$2,Inputs!$K$4:$AJ$4,0))))+SUMPRODUCT((Inputs!$E$5:$E$160=$B20)*ISNUMBER(INDEX(Inputs!$K$5:$AJ$160,0,MATCH(AD$2,Inputs!$K$4:$AJ$4,0))))=0,NA(),SUMPRODUCT((Inputs!$A$5:$A$160=$B20)*Inputs!$B$5:$B$160*(((Inputs!$G$5:$G$160="moeda")+(Inputs!$G$5:$G$160="acoes"))*Inputs!$B$1+((Inputs!$G$5:$G$160&lt;&gt;"moeda")*(Inputs!$G$5:$G$160&lt;&gt;"acoes")))*INDEX(Inputs!$K$5:$AJ$160,0,MATCH(AD$2,Inputs!$K$4:$AJ$4,0)))+SUMPRODUCT((Inputs!$C$5:$C$160=$B20)*Inputs!$D$5:$D$160*(((Inputs!$G$5:$G$160="moeda")+(Inputs!$G$5:$G$160="acoes"))*Inputs!$B$1+((Inputs!$G$5:$G$160&lt;&gt;"moeda")*(Inputs!$G$5:$G$160&lt;&gt;"acoes")))*INDEX(Inputs!$K$5:$AJ$160,0,MATCH(AD$2,Inputs!$K$4:$AJ$4,0)))+SUMPRODUCT((Inputs!$E$5:$E$160=$B20)*Inputs!$F$5:$F$160*(((Inputs!$G$5:$G$160="moeda")+(Inputs!$G$5:$G$160="acoes"))*Inputs!$B$1+((Inputs!$G$5:$G$160&lt;&gt;"moeda")*(Inputs!$G$5:$G$160&lt;&gt;"acoes")))*INDEX(Inputs!$K$5:$AJ$160,0,MATCH(AD$2,Inputs!$K$4:$AJ$4,0)))))</f>
        <v>388.476</v>
      </c>
      <c r="AE20" s="6" t="e">
        <f>IF(ISNA(MATCH(AE$2,Inputs!$K$4:$AJ$4,0)),NA(),IF(SUMPRODUCT((Inputs!$A$5:$A$160=$B20)*ISNUMBER(INDEX(Inputs!$K$5:$AJ$160,0,MATCH(AE$2,Inputs!$K$4:$AJ$4,0))))+SUMPRODUCT((Inputs!$C$5:$C$160=$B20)*ISNUMBER(INDEX(Inputs!$K$5:$AJ$160,0,MATCH(AE$2,Inputs!$K$4:$AJ$4,0))))+SUMPRODUCT((Inputs!$E$5:$E$160=$B20)*ISNUMBER(INDEX(Inputs!$K$5:$AJ$160,0,MATCH(AE$2,Inputs!$K$4:$AJ$4,0))))=0,NA(),SUMPRODUCT((Inputs!$A$5:$A$160=$B20)*Inputs!$B$5:$B$160*(((Inputs!$G$5:$G$160="moeda")+(Inputs!$G$5:$G$160="acoes"))*Inputs!$B$1+((Inputs!$G$5:$G$160&lt;&gt;"moeda")*(Inputs!$G$5:$G$160&lt;&gt;"acoes")))*INDEX(Inputs!$K$5:$AJ$160,0,MATCH(AE$2,Inputs!$K$4:$AJ$4,0)))+SUMPRODUCT((Inputs!$C$5:$C$160=$B20)*Inputs!$D$5:$D$160*(((Inputs!$G$5:$G$160="moeda")+(Inputs!$G$5:$G$160="acoes"))*Inputs!$B$1+((Inputs!$G$5:$G$160&lt;&gt;"moeda")*(Inputs!$G$5:$G$160&lt;&gt;"acoes")))*INDEX(Inputs!$K$5:$AJ$160,0,MATCH(AE$2,Inputs!$K$4:$AJ$4,0)))+SUMPRODUCT((Inputs!$E$5:$E$160=$B20)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0" s="6" t="e">
        <f>IF(ISNA(MATCH(AF$2,Inputs!$K$4:$AJ$4,0)),NA(),IF(SUMPRODUCT((Inputs!$A$5:$A$160=$B20)*ISNUMBER(INDEX(Inputs!$K$5:$AJ$160,0,MATCH(AF$2,Inputs!$K$4:$AJ$4,0))))+SUMPRODUCT((Inputs!$C$5:$C$160=$B20)*ISNUMBER(INDEX(Inputs!$K$5:$AJ$160,0,MATCH(AF$2,Inputs!$K$4:$AJ$4,0))))+SUMPRODUCT((Inputs!$E$5:$E$160=$B20)*ISNUMBER(INDEX(Inputs!$K$5:$AJ$160,0,MATCH(AF$2,Inputs!$K$4:$AJ$4,0))))=0,NA(),SUMPRODUCT((Inputs!$A$5:$A$160=$B20)*Inputs!$B$5:$B$160*(((Inputs!$G$5:$G$160="moeda")+(Inputs!$G$5:$G$160="acoes"))*Inputs!$B$1+((Inputs!$G$5:$G$160&lt;&gt;"moeda")*(Inputs!$G$5:$G$160&lt;&gt;"acoes")))*INDEX(Inputs!$K$5:$AJ$160,0,MATCH(AF$2,Inputs!$K$4:$AJ$4,0)))+SUMPRODUCT((Inputs!$C$5:$C$160=$B20)*Inputs!$D$5:$D$160*(((Inputs!$G$5:$G$160="moeda")+(Inputs!$G$5:$G$160="acoes"))*Inputs!$B$1+((Inputs!$G$5:$G$160&lt;&gt;"moeda")*(Inputs!$G$5:$G$160&lt;&gt;"acoes")))*INDEX(Inputs!$K$5:$AJ$160,0,MATCH(AF$2,Inputs!$K$4:$AJ$4,0)))+SUMPRODUCT((Inputs!$E$5:$E$160=$B20)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0" s="3" t="e">
        <f>AF20</f>
        <v>#N/A</v>
      </c>
      <c r="AH20" s="6">
        <f>IF(ISNA(MATCH(AH$2,Inputs!$K$4:$AJ$4,0)),NA(),IF(SUMPRODUCT((Inputs!$A$5:$A$160=$B20)*ISNUMBER(INDEX(Inputs!$K$5:$AJ$160,0,MATCH(AH$2,Inputs!$K$4:$AJ$4,0))))+SUMPRODUCT((Inputs!$C$5:$C$160=$B20)*ISNUMBER(INDEX(Inputs!$K$5:$AJ$160,0,MATCH(AH$2,Inputs!$K$4:$AJ$4,0))))+SUMPRODUCT((Inputs!$E$5:$E$160=$B20)*ISNUMBER(INDEX(Inputs!$K$5:$AJ$160,0,MATCH(AH$2,Inputs!$K$4:$AJ$4,0))))=0,NA(),SUMPRODUCT((Inputs!$A$5:$A$160=$B20)*Inputs!$B$5:$B$160*(((Inputs!$G$5:$G$160="moeda")+(Inputs!$G$5:$G$160="acoes"))*Inputs!$B$1+((Inputs!$G$5:$G$160&lt;&gt;"moeda")*(Inputs!$G$5:$G$160&lt;&gt;"acoes")))*INDEX(Inputs!$K$5:$AJ$160,0,MATCH(AH$2,Inputs!$K$4:$AJ$4,0)))+SUMPRODUCT((Inputs!$C$5:$C$160=$B20)*Inputs!$D$5:$D$160*(((Inputs!$G$5:$G$160="moeda")+(Inputs!$G$5:$G$160="acoes"))*Inputs!$B$1+((Inputs!$G$5:$G$160&lt;&gt;"moeda")*(Inputs!$G$5:$G$160&lt;&gt;"acoes")))*INDEX(Inputs!$K$5:$AJ$160,0,MATCH(AH$2,Inputs!$K$4:$AJ$4,0)))+SUMPRODUCT((Inputs!$E$5:$E$160=$B20)*Inputs!$F$5:$F$160*(((Inputs!$G$5:$G$160="moeda")+(Inputs!$G$5:$G$160="acoes"))*Inputs!$B$1+((Inputs!$G$5:$G$160&lt;&gt;"moeda")*(Inputs!$G$5:$G$160&lt;&gt;"acoes")))*INDEX(Inputs!$K$5:$AJ$160,0,MATCH(AH$2,Inputs!$K$4:$AJ$4,0)))))</f>
        <v>82.32837364</v>
      </c>
      <c r="AI20" s="6">
        <f>IF(ISNA(MATCH(AI$2,Inputs!$K$4:$AJ$4,0)),NA(),IF(SUMPRODUCT((Inputs!$A$5:$A$160=$B20)*ISNUMBER(INDEX(Inputs!$K$5:$AJ$160,0,MATCH(AI$2,Inputs!$K$4:$AJ$4,0))))+SUMPRODUCT((Inputs!$C$5:$C$160=$B20)*ISNUMBER(INDEX(Inputs!$K$5:$AJ$160,0,MATCH(AI$2,Inputs!$K$4:$AJ$4,0))))+SUMPRODUCT((Inputs!$E$5:$E$160=$B20)*ISNUMBER(INDEX(Inputs!$K$5:$AJ$160,0,MATCH(AI$2,Inputs!$K$4:$AJ$4,0))))=0,NA(),SUMPRODUCT((Inputs!$A$5:$A$160=$B20)*Inputs!$B$5:$B$160*(((Inputs!$G$5:$G$160="moeda")+(Inputs!$G$5:$G$160="acoes"))*Inputs!$B$1+((Inputs!$G$5:$G$160&lt;&gt;"moeda")*(Inputs!$G$5:$G$160&lt;&gt;"acoes")))*INDEX(Inputs!$K$5:$AJ$160,0,MATCH(AI$2,Inputs!$K$4:$AJ$4,0)))+SUMPRODUCT((Inputs!$C$5:$C$160=$B20)*Inputs!$D$5:$D$160*(((Inputs!$G$5:$G$160="moeda")+(Inputs!$G$5:$G$160="acoes"))*Inputs!$B$1+((Inputs!$G$5:$G$160&lt;&gt;"moeda")*(Inputs!$G$5:$G$160&lt;&gt;"acoes")))*INDEX(Inputs!$K$5:$AJ$160,0,MATCH(AI$2,Inputs!$K$4:$AJ$4,0)))+SUMPRODUCT((Inputs!$E$5:$E$160=$B20)*Inputs!$F$5:$F$160*(((Inputs!$G$5:$G$160="moeda")+(Inputs!$G$5:$G$160="acoes"))*Inputs!$B$1+((Inputs!$G$5:$G$160&lt;&gt;"moeda")*(Inputs!$G$5:$G$160&lt;&gt;"acoes")))*INDEX(Inputs!$K$5:$AJ$160,0,MATCH(AI$2,Inputs!$K$4:$AJ$4,0)))))</f>
        <v>98.3831463400008</v>
      </c>
      <c r="AJ20" s="6">
        <f>IF(ISNA(MATCH(AJ$2,Inputs!$K$4:$AJ$4,0)),NA(),IF(SUMPRODUCT((Inputs!$A$5:$A$160=$B20)*ISNUMBER(INDEX(Inputs!$K$5:$AJ$160,0,MATCH(AJ$2,Inputs!$K$4:$AJ$4,0))))+SUMPRODUCT((Inputs!$C$5:$C$160=$B20)*ISNUMBER(INDEX(Inputs!$K$5:$AJ$160,0,MATCH(AJ$2,Inputs!$K$4:$AJ$4,0))))+SUMPRODUCT((Inputs!$E$5:$E$160=$B20)*ISNUMBER(INDEX(Inputs!$K$5:$AJ$160,0,MATCH(AJ$2,Inputs!$K$4:$AJ$4,0))))=0,NA(),SUMPRODUCT((Inputs!$A$5:$A$160=$B20)*Inputs!$B$5:$B$160*(((Inputs!$G$5:$G$160="moeda")+(Inputs!$G$5:$G$160="acoes"))*Inputs!$B$1+((Inputs!$G$5:$G$160&lt;&gt;"moeda")*(Inputs!$G$5:$G$160&lt;&gt;"acoes")))*INDEX(Inputs!$K$5:$AJ$160,0,MATCH(AJ$2,Inputs!$K$4:$AJ$4,0)))+SUMPRODUCT((Inputs!$C$5:$C$160=$B20)*Inputs!$D$5:$D$160*(((Inputs!$G$5:$G$160="moeda")+(Inputs!$G$5:$G$160="acoes"))*Inputs!$B$1+((Inputs!$G$5:$G$160&lt;&gt;"moeda")*(Inputs!$G$5:$G$160&lt;&gt;"acoes")))*INDEX(Inputs!$K$5:$AJ$160,0,MATCH(AJ$2,Inputs!$K$4:$AJ$4,0)))+SUMPRODUCT((Inputs!$E$5:$E$160=$B20)*Inputs!$F$5:$F$160*(((Inputs!$G$5:$G$160="moeda")+(Inputs!$G$5:$G$160="acoes"))*Inputs!$B$1+((Inputs!$G$5:$G$160&lt;&gt;"moeda")*(Inputs!$G$5:$G$160&lt;&gt;"acoes")))*INDEX(Inputs!$K$5:$AJ$160,0,MATCH(AJ$2,Inputs!$K$4:$AJ$4,0)))))</f>
        <v>76.273454639997</v>
      </c>
      <c r="AK20" s="6">
        <f>IF(ISNA(MATCH(AK$2,Inputs!$K$4:$AJ$4,0)),NA(),IF(SUMPRODUCT((Inputs!$A$5:$A$160=$B20)*ISNUMBER(INDEX(Inputs!$K$5:$AJ$160,0,MATCH(AK$2,Inputs!$K$4:$AJ$4,0))))+SUMPRODUCT((Inputs!$C$5:$C$160=$B20)*ISNUMBER(INDEX(Inputs!$K$5:$AJ$160,0,MATCH(AK$2,Inputs!$K$4:$AJ$4,0))))+SUMPRODUCT((Inputs!$E$5:$E$160=$B20)*ISNUMBER(INDEX(Inputs!$K$5:$AJ$160,0,MATCH(AK$2,Inputs!$K$4:$AJ$4,0))))=0,NA(),SUMPRODUCT((Inputs!$A$5:$A$160=$B20)*Inputs!$B$5:$B$160*(((Inputs!$G$5:$G$160="moeda")+(Inputs!$G$5:$G$160="acoes"))*Inputs!$B$1+((Inputs!$G$5:$G$160&lt;&gt;"moeda")*(Inputs!$G$5:$G$160&lt;&gt;"acoes")))*INDEX(Inputs!$K$5:$AJ$160,0,MATCH(AK$2,Inputs!$K$4:$AJ$4,0)))+SUMPRODUCT((Inputs!$C$5:$C$160=$B20)*Inputs!$D$5:$D$160*(((Inputs!$G$5:$G$160="moeda")+(Inputs!$G$5:$G$160="acoes"))*Inputs!$B$1+((Inputs!$G$5:$G$160&lt;&gt;"moeda")*(Inputs!$G$5:$G$160&lt;&gt;"acoes")))*INDEX(Inputs!$K$5:$AJ$160,0,MATCH(AK$2,Inputs!$K$4:$AJ$4,0)))+SUMPRODUCT((Inputs!$E$5:$E$160=$B20)*Inputs!$F$5:$F$160*(((Inputs!$G$5:$G$160="moeda")+(Inputs!$G$5:$G$160="acoes"))*Inputs!$B$1+((Inputs!$G$5:$G$160&lt;&gt;"moeda")*(Inputs!$G$5:$G$160&lt;&gt;"acoes")))*INDEX(Inputs!$K$5:$AJ$160,0,MATCH(AK$2,Inputs!$K$4:$AJ$4,0)))))</f>
        <v>63.06147049</v>
      </c>
      <c r="AL20" s="3">
        <f>AK20</f>
        <v>63.06147049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$160=$B21)*ISNUMBER(INDEX(Inputs!$K$5:$AJ$160,0,MATCH(D$2,Inputs!$K$4:$AJ$4,0))))+SUMPRODUCT((Inputs!$C$5:$C$160=$B21)*ISNUMBER(INDEX(Inputs!$K$5:$AJ$160,0,MATCH(D$2,Inputs!$K$4:$AJ$4,0))))+SUMPRODUCT((Inputs!$E$5:$E$160=$B21)*ISNUMBER(INDEX(Inputs!$K$5:$AJ$160,0,MATCH(D$2,Inputs!$K$4:$AJ$4,0))))=0,NA(),SUMPRODUCT((Inputs!$A$5:$A$160=$B21)*Inputs!$B$5:$B$160*(((Inputs!$G$5:$G$160="moeda")+(Inputs!$G$5:$G$160="acoes"))*Inputs!$B$1+((Inputs!$G$5:$G$160&lt;&gt;"moeda")*(Inputs!$G$5:$G$160&lt;&gt;"acoes")))*INDEX(Inputs!$K$5:$AJ$160,0,MATCH(D$2,Inputs!$K$4:$AJ$4,0)))+SUMPRODUCT((Inputs!$C$5:$C$160=$B21)*Inputs!$D$5:$D$160*(((Inputs!$G$5:$G$160="moeda")+(Inputs!$G$5:$G$160="acoes"))*Inputs!$B$1+((Inputs!$G$5:$G$160&lt;&gt;"moeda")*(Inputs!$G$5:$G$160&lt;&gt;"acoes")))*INDEX(Inputs!$K$5:$AJ$160,0,MATCH(D$2,Inputs!$K$4:$AJ$4,0)))+SUMPRODUCT((Inputs!$E$5:$E$160=$B21)*Inputs!$F$5:$F$160*(((Inputs!$G$5:$G$160="moeda")+(Inputs!$G$5:$G$160="acoes"))*Inputs!$B$1+((Inputs!$G$5:$G$160&lt;&gt;"moeda")*(Inputs!$G$5:$G$160&lt;&gt;"acoes")))*INDEX(Inputs!$K$5:$AJ$160,0,MATCH(D$2,Inputs!$K$4:$AJ$4,0)))))</f>
        <v>33.9309088196028</v>
      </c>
      <c r="E21" s="6">
        <f>IF(ISNA(MATCH(E$2,Inputs!$K$4:$AJ$4,0)),NA(),IF(SUMPRODUCT((Inputs!$A$5:$A$160=$B21)*ISNUMBER(INDEX(Inputs!$K$5:$AJ$160,0,MATCH(E$2,Inputs!$K$4:$AJ$4,0))))+SUMPRODUCT((Inputs!$C$5:$C$160=$B21)*ISNUMBER(INDEX(Inputs!$K$5:$AJ$160,0,MATCH(E$2,Inputs!$K$4:$AJ$4,0))))+SUMPRODUCT((Inputs!$E$5:$E$160=$B21)*ISNUMBER(INDEX(Inputs!$K$5:$AJ$160,0,MATCH(E$2,Inputs!$K$4:$AJ$4,0))))=0,NA(),SUMPRODUCT((Inputs!$A$5:$A$160=$B21)*Inputs!$B$5:$B$160*(((Inputs!$G$5:$G$160="moeda")+(Inputs!$G$5:$G$160="acoes"))*Inputs!$B$1+((Inputs!$G$5:$G$160&lt;&gt;"moeda")*(Inputs!$G$5:$G$160&lt;&gt;"acoes")))*INDEX(Inputs!$K$5:$AJ$160,0,MATCH(E$2,Inputs!$K$4:$AJ$4,0)))+SUMPRODUCT((Inputs!$C$5:$C$160=$B21)*Inputs!$D$5:$D$160*(((Inputs!$G$5:$G$160="moeda")+(Inputs!$G$5:$G$160="acoes"))*Inputs!$B$1+((Inputs!$G$5:$G$160&lt;&gt;"moeda")*(Inputs!$G$5:$G$160&lt;&gt;"acoes")))*INDEX(Inputs!$K$5:$AJ$160,0,MATCH(E$2,Inputs!$K$4:$AJ$4,0)))+SUMPRODUCT((Inputs!$E$5:$E$160=$B21)*Inputs!$F$5:$F$160*(((Inputs!$G$5:$G$160="moeda")+(Inputs!$G$5:$G$160="acoes"))*Inputs!$B$1+((Inputs!$G$5:$G$160&lt;&gt;"moeda")*(Inputs!$G$5:$G$160&lt;&gt;"acoes")))*INDEX(Inputs!$K$5:$AJ$160,0,MATCH(E$2,Inputs!$K$4:$AJ$4,0)))))</f>
        <v>135.736947285287</v>
      </c>
      <c r="F21" s="6">
        <f>IF(ISNA(MATCH(F$2,Inputs!$K$4:$AJ$4,0)),NA(),IF(SUMPRODUCT((Inputs!$A$5:$A$160=$B21)*ISNUMBER(INDEX(Inputs!$K$5:$AJ$160,0,MATCH(F$2,Inputs!$K$4:$AJ$4,0))))+SUMPRODUCT((Inputs!$C$5:$C$160=$B21)*ISNUMBER(INDEX(Inputs!$K$5:$AJ$160,0,MATCH(F$2,Inputs!$K$4:$AJ$4,0))))+SUMPRODUCT((Inputs!$E$5:$E$160=$B21)*ISNUMBER(INDEX(Inputs!$K$5:$AJ$160,0,MATCH(F$2,Inputs!$K$4:$AJ$4,0))))=0,NA(),SUMPRODUCT((Inputs!$A$5:$A$160=$B21)*Inputs!$B$5:$B$160*(((Inputs!$G$5:$G$160="moeda")+(Inputs!$G$5:$G$160="acoes"))*Inputs!$B$1+((Inputs!$G$5:$G$160&lt;&gt;"moeda")*(Inputs!$G$5:$G$160&lt;&gt;"acoes")))*INDEX(Inputs!$K$5:$AJ$160,0,MATCH(F$2,Inputs!$K$4:$AJ$4,0)))+SUMPRODUCT((Inputs!$C$5:$C$160=$B21)*Inputs!$D$5:$D$160*(((Inputs!$G$5:$G$160="moeda")+(Inputs!$G$5:$G$160="acoes"))*Inputs!$B$1+((Inputs!$G$5:$G$160&lt;&gt;"moeda")*(Inputs!$G$5:$G$160&lt;&gt;"acoes")))*INDEX(Inputs!$K$5:$AJ$160,0,MATCH(F$2,Inputs!$K$4:$AJ$4,0)))+SUMPRODUCT((Inputs!$E$5:$E$160=$B21)*Inputs!$F$5:$F$160*(((Inputs!$G$5:$G$160="moeda")+(Inputs!$G$5:$G$160="acoes"))*Inputs!$B$1+((Inputs!$G$5:$G$160&lt;&gt;"moeda")*(Inputs!$G$5:$G$160&lt;&gt;"acoes")))*INDEX(Inputs!$K$5:$AJ$160,0,MATCH(F$2,Inputs!$K$4:$AJ$4,0)))))</f>
        <v>355.250406008409</v>
      </c>
      <c r="G21" s="6">
        <f>IF(ISNA(MATCH(G$2,Inputs!$K$4:$AJ$4,0)),NA(),IF(SUMPRODUCT((Inputs!$A$5:$A$160=$B21)*ISNUMBER(INDEX(Inputs!$K$5:$AJ$160,0,MATCH(G$2,Inputs!$K$4:$AJ$4,0))))+SUMPRODUCT((Inputs!$C$5:$C$160=$B21)*ISNUMBER(INDEX(Inputs!$K$5:$AJ$160,0,MATCH(G$2,Inputs!$K$4:$AJ$4,0))))+SUMPRODUCT((Inputs!$E$5:$E$160=$B21)*ISNUMBER(INDEX(Inputs!$K$5:$AJ$160,0,MATCH(G$2,Inputs!$K$4:$AJ$4,0))))=0,NA(),SUMPRODUCT((Inputs!$A$5:$A$160=$B21)*Inputs!$B$5:$B$160*(((Inputs!$G$5:$G$160="moeda")+(Inputs!$G$5:$G$160="acoes"))*Inputs!$B$1+((Inputs!$G$5:$G$160&lt;&gt;"moeda")*(Inputs!$G$5:$G$160&lt;&gt;"acoes")))*INDEX(Inputs!$K$5:$AJ$160,0,MATCH(G$2,Inputs!$K$4:$AJ$4,0)))+SUMPRODUCT((Inputs!$C$5:$C$160=$B21)*Inputs!$D$5:$D$160*(((Inputs!$G$5:$G$160="moeda")+(Inputs!$G$5:$G$160="acoes"))*Inputs!$B$1+((Inputs!$G$5:$G$160&lt;&gt;"moeda")*(Inputs!$G$5:$G$160&lt;&gt;"acoes")))*INDEX(Inputs!$K$5:$AJ$160,0,MATCH(G$2,Inputs!$K$4:$AJ$4,0)))+SUMPRODUCT((Inputs!$E$5:$E$160=$B21)*Inputs!$F$5:$F$160*(((Inputs!$G$5:$G$160="moeda")+(Inputs!$G$5:$G$160="acoes"))*Inputs!$B$1+((Inputs!$G$5:$G$160&lt;&gt;"moeda")*(Inputs!$G$5:$G$160&lt;&gt;"acoes")))*INDEX(Inputs!$K$5:$AJ$160,0,MATCH(G$2,Inputs!$K$4:$AJ$4,0)))))</f>
        <v>43.0832158302319</v>
      </c>
      <c r="H21" s="3">
        <f>G21</f>
        <v>43.0832158302319</v>
      </c>
      <c r="I21" s="6">
        <f>IF(ISNA(MATCH(I$2,Inputs!$K$4:$AJ$4,0)),NA(),IF(SUMPRODUCT((Inputs!$A$5:$A$160=$B21)*ISNUMBER(INDEX(Inputs!$K$5:$AJ$160,0,MATCH(I$2,Inputs!$K$4:$AJ$4,0))))+SUMPRODUCT((Inputs!$C$5:$C$160=$B21)*ISNUMBER(INDEX(Inputs!$K$5:$AJ$160,0,MATCH(I$2,Inputs!$K$4:$AJ$4,0))))+SUMPRODUCT((Inputs!$E$5:$E$160=$B21)*ISNUMBER(INDEX(Inputs!$K$5:$AJ$160,0,MATCH(I$2,Inputs!$K$4:$AJ$4,0))))=0,NA(),SUMPRODUCT((Inputs!$A$5:$A$160=$B21)*Inputs!$B$5:$B$160*(((Inputs!$G$5:$G$160="moeda")+(Inputs!$G$5:$G$160="acoes"))*Inputs!$B$1+((Inputs!$G$5:$G$160&lt;&gt;"moeda")*(Inputs!$G$5:$G$160&lt;&gt;"acoes")))*INDEX(Inputs!$K$5:$AJ$160,0,MATCH(I$2,Inputs!$K$4:$AJ$4,0)))+SUMPRODUCT((Inputs!$C$5:$C$160=$B21)*Inputs!$D$5:$D$160*(((Inputs!$G$5:$G$160="moeda")+(Inputs!$G$5:$G$160="acoes"))*Inputs!$B$1+((Inputs!$G$5:$G$160&lt;&gt;"moeda")*(Inputs!$G$5:$G$160&lt;&gt;"acoes")))*INDEX(Inputs!$K$5:$AJ$160,0,MATCH(I$2,Inputs!$K$4:$AJ$4,0)))+SUMPRODUCT((Inputs!$E$5:$E$160=$B21)*Inputs!$F$5:$F$160*(((Inputs!$G$5:$G$160="moeda")+(Inputs!$G$5:$G$160="acoes"))*Inputs!$B$1+((Inputs!$G$5:$G$160&lt;&gt;"moeda")*(Inputs!$G$5:$G$160&lt;&gt;"acoes")))*INDEX(Inputs!$K$5:$AJ$160,0,MATCH(I$2,Inputs!$K$4:$AJ$4,0)))))</f>
        <v>40.5498050422764</v>
      </c>
      <c r="J21" s="6">
        <f>IF(ISNA(MATCH(J$2,Inputs!$K$4:$AJ$4,0)),NA(),IF(SUMPRODUCT((Inputs!$A$5:$A$160=$B21)*ISNUMBER(INDEX(Inputs!$K$5:$AJ$160,0,MATCH(J$2,Inputs!$K$4:$AJ$4,0))))+SUMPRODUCT((Inputs!$C$5:$C$160=$B21)*ISNUMBER(INDEX(Inputs!$K$5:$AJ$160,0,MATCH(J$2,Inputs!$K$4:$AJ$4,0))))+SUMPRODUCT((Inputs!$E$5:$E$160=$B21)*ISNUMBER(INDEX(Inputs!$K$5:$AJ$160,0,MATCH(J$2,Inputs!$K$4:$AJ$4,0))))=0,NA(),SUMPRODUCT((Inputs!$A$5:$A$160=$B21)*Inputs!$B$5:$B$160*(((Inputs!$G$5:$G$160="moeda")+(Inputs!$G$5:$G$160="acoes"))*Inputs!$B$1+((Inputs!$G$5:$G$160&lt;&gt;"moeda")*(Inputs!$G$5:$G$160&lt;&gt;"acoes")))*INDEX(Inputs!$K$5:$AJ$160,0,MATCH(J$2,Inputs!$K$4:$AJ$4,0)))+SUMPRODUCT((Inputs!$C$5:$C$160=$B21)*Inputs!$D$5:$D$160*(((Inputs!$G$5:$G$160="moeda")+(Inputs!$G$5:$G$160="acoes"))*Inputs!$B$1+((Inputs!$G$5:$G$160&lt;&gt;"moeda")*(Inputs!$G$5:$G$160&lt;&gt;"acoes")))*INDEX(Inputs!$K$5:$AJ$160,0,MATCH(J$2,Inputs!$K$4:$AJ$4,0)))+SUMPRODUCT((Inputs!$E$5:$E$160=$B21)*Inputs!$F$5:$F$160*(((Inputs!$G$5:$G$160="moeda")+(Inputs!$G$5:$G$160="acoes"))*Inputs!$B$1+((Inputs!$G$5:$G$160&lt;&gt;"moeda")*(Inputs!$G$5:$G$160&lt;&gt;"acoes")))*INDEX(Inputs!$K$5:$AJ$160,0,MATCH(J$2,Inputs!$K$4:$AJ$4,0)))))</f>
        <v>42.331656162821</v>
      </c>
      <c r="K21" s="6">
        <f>IF(ISNA(MATCH(K$2,Inputs!$K$4:$AJ$4,0)),NA(),IF(SUMPRODUCT((Inputs!$A$5:$A$160=$B21)*ISNUMBER(INDEX(Inputs!$K$5:$AJ$160,0,MATCH(K$2,Inputs!$K$4:$AJ$4,0))))+SUMPRODUCT((Inputs!$C$5:$C$160=$B21)*ISNUMBER(INDEX(Inputs!$K$5:$AJ$160,0,MATCH(K$2,Inputs!$K$4:$AJ$4,0))))+SUMPRODUCT((Inputs!$E$5:$E$160=$B21)*ISNUMBER(INDEX(Inputs!$K$5:$AJ$160,0,MATCH(K$2,Inputs!$K$4:$AJ$4,0))))=0,NA(),SUMPRODUCT((Inputs!$A$5:$A$160=$B21)*Inputs!$B$5:$B$160*(((Inputs!$G$5:$G$160="moeda")+(Inputs!$G$5:$G$160="acoes"))*Inputs!$B$1+((Inputs!$G$5:$G$160&lt;&gt;"moeda")*(Inputs!$G$5:$G$160&lt;&gt;"acoes")))*INDEX(Inputs!$K$5:$AJ$160,0,MATCH(K$2,Inputs!$K$4:$AJ$4,0)))+SUMPRODUCT((Inputs!$C$5:$C$160=$B21)*Inputs!$D$5:$D$160*(((Inputs!$G$5:$G$160="moeda")+(Inputs!$G$5:$G$160="acoes"))*Inputs!$B$1+((Inputs!$G$5:$G$160&lt;&gt;"moeda")*(Inputs!$G$5:$G$160&lt;&gt;"acoes")))*INDEX(Inputs!$K$5:$AJ$160,0,MATCH(K$2,Inputs!$K$4:$AJ$4,0)))+SUMPRODUCT((Inputs!$E$5:$E$160=$B21)*Inputs!$F$5:$F$160*(((Inputs!$G$5:$G$160="moeda")+(Inputs!$G$5:$G$160="acoes"))*Inputs!$B$1+((Inputs!$G$5:$G$160&lt;&gt;"moeda")*(Inputs!$G$5:$G$160&lt;&gt;"acoes")))*INDEX(Inputs!$K$5:$AJ$160,0,MATCH(K$2,Inputs!$K$4:$AJ$4,0)))))</f>
        <v>52.56045319</v>
      </c>
      <c r="L21" s="6">
        <f>IF(ISNA(MATCH(L$2,Inputs!$K$4:$AJ$4,0)),NA(),IF(SUMPRODUCT((Inputs!$A$5:$A$160=$B21)*ISNUMBER(INDEX(Inputs!$K$5:$AJ$160,0,MATCH(L$2,Inputs!$K$4:$AJ$4,0))))+SUMPRODUCT((Inputs!$C$5:$C$160=$B21)*ISNUMBER(INDEX(Inputs!$K$5:$AJ$160,0,MATCH(L$2,Inputs!$K$4:$AJ$4,0))))+SUMPRODUCT((Inputs!$E$5:$E$160=$B21)*ISNUMBER(INDEX(Inputs!$K$5:$AJ$160,0,MATCH(L$2,Inputs!$K$4:$AJ$4,0))))=0,NA(),SUMPRODUCT((Inputs!$A$5:$A$160=$B21)*Inputs!$B$5:$B$160*(((Inputs!$G$5:$G$160="moeda")+(Inputs!$G$5:$G$160="acoes"))*Inputs!$B$1+((Inputs!$G$5:$G$160&lt;&gt;"moeda")*(Inputs!$G$5:$G$160&lt;&gt;"acoes")))*INDEX(Inputs!$K$5:$AJ$160,0,MATCH(L$2,Inputs!$K$4:$AJ$4,0)))+SUMPRODUCT((Inputs!$C$5:$C$160=$B21)*Inputs!$D$5:$D$160*(((Inputs!$G$5:$G$160="moeda")+(Inputs!$G$5:$G$160="acoes"))*Inputs!$B$1+((Inputs!$G$5:$G$160&lt;&gt;"moeda")*(Inputs!$G$5:$G$160&lt;&gt;"acoes")))*INDEX(Inputs!$K$5:$AJ$160,0,MATCH(L$2,Inputs!$K$4:$AJ$4,0)))+SUMPRODUCT((Inputs!$E$5:$E$160=$B21)*Inputs!$F$5:$F$160*(((Inputs!$G$5:$G$160="moeda")+(Inputs!$G$5:$G$160="acoes"))*Inputs!$B$1+((Inputs!$G$5:$G$160&lt;&gt;"moeda")*(Inputs!$G$5:$G$160&lt;&gt;"acoes")))*INDEX(Inputs!$K$5:$AJ$160,0,MATCH(L$2,Inputs!$K$4:$AJ$4,0)))))</f>
        <v>44.0802310958267</v>
      </c>
      <c r="M21" s="3">
        <f>L21</f>
        <v>44.0802310958267</v>
      </c>
      <c r="N21" s="6">
        <f>IF(ISNA(MATCH(N$2,Inputs!$K$4:$AJ$4,0)),NA(),IF(SUMPRODUCT((Inputs!$A$5:$A$160=$B21)*ISNUMBER(INDEX(Inputs!$K$5:$AJ$160,0,MATCH(N$2,Inputs!$K$4:$AJ$4,0))))+SUMPRODUCT((Inputs!$C$5:$C$160=$B21)*ISNUMBER(INDEX(Inputs!$K$5:$AJ$160,0,MATCH(N$2,Inputs!$K$4:$AJ$4,0))))+SUMPRODUCT((Inputs!$E$5:$E$160=$B21)*ISNUMBER(INDEX(Inputs!$K$5:$AJ$160,0,MATCH(N$2,Inputs!$K$4:$AJ$4,0))))=0,NA(),SUMPRODUCT((Inputs!$A$5:$A$160=$B21)*Inputs!$B$5:$B$160*(((Inputs!$G$5:$G$160="moeda")+(Inputs!$G$5:$G$160="acoes"))*Inputs!$B$1+((Inputs!$G$5:$G$160&lt;&gt;"moeda")*(Inputs!$G$5:$G$160&lt;&gt;"acoes")))*INDEX(Inputs!$K$5:$AJ$160,0,MATCH(N$2,Inputs!$K$4:$AJ$4,0)))+SUMPRODUCT((Inputs!$C$5:$C$160=$B21)*Inputs!$D$5:$D$160*(((Inputs!$G$5:$G$160="moeda")+(Inputs!$G$5:$G$160="acoes"))*Inputs!$B$1+((Inputs!$G$5:$G$160&lt;&gt;"moeda")*(Inputs!$G$5:$G$160&lt;&gt;"acoes")))*INDEX(Inputs!$K$5:$AJ$160,0,MATCH(N$2,Inputs!$K$4:$AJ$4,0)))+SUMPRODUCT((Inputs!$E$5:$E$160=$B21)*Inputs!$F$5:$F$160*(((Inputs!$G$5:$G$160="moeda")+(Inputs!$G$5:$G$160="acoes"))*Inputs!$B$1+((Inputs!$G$5:$G$160&lt;&gt;"moeda")*(Inputs!$G$5:$G$160&lt;&gt;"acoes")))*INDEX(Inputs!$K$5:$AJ$160,0,MATCH(N$2,Inputs!$K$4:$AJ$4,0)))))</f>
        <v>56.8724403</v>
      </c>
      <c r="O21" s="6">
        <f>IF(ISNA(MATCH(O$2,Inputs!$K$4:$AJ$4,0)),NA(),IF(SUMPRODUCT((Inputs!$A$5:$A$160=$B21)*ISNUMBER(INDEX(Inputs!$K$5:$AJ$160,0,MATCH(O$2,Inputs!$K$4:$AJ$4,0))))+SUMPRODUCT((Inputs!$C$5:$C$160=$B21)*ISNUMBER(INDEX(Inputs!$K$5:$AJ$160,0,MATCH(O$2,Inputs!$K$4:$AJ$4,0))))+SUMPRODUCT((Inputs!$E$5:$E$160=$B21)*ISNUMBER(INDEX(Inputs!$K$5:$AJ$160,0,MATCH(O$2,Inputs!$K$4:$AJ$4,0))))=0,NA(),SUMPRODUCT((Inputs!$A$5:$A$160=$B21)*Inputs!$B$5:$B$160*(((Inputs!$G$5:$G$160="moeda")+(Inputs!$G$5:$G$160="acoes"))*Inputs!$B$1+((Inputs!$G$5:$G$160&lt;&gt;"moeda")*(Inputs!$G$5:$G$160&lt;&gt;"acoes")))*INDEX(Inputs!$K$5:$AJ$160,0,MATCH(O$2,Inputs!$K$4:$AJ$4,0)))+SUMPRODUCT((Inputs!$C$5:$C$160=$B21)*Inputs!$D$5:$D$160*(((Inputs!$G$5:$G$160="moeda")+(Inputs!$G$5:$G$160="acoes"))*Inputs!$B$1+((Inputs!$G$5:$G$160&lt;&gt;"moeda")*(Inputs!$G$5:$G$160&lt;&gt;"acoes")))*INDEX(Inputs!$K$5:$AJ$160,0,MATCH(O$2,Inputs!$K$4:$AJ$4,0)))+SUMPRODUCT((Inputs!$E$5:$E$160=$B21)*Inputs!$F$5:$F$160*(((Inputs!$G$5:$G$160="moeda")+(Inputs!$G$5:$G$160="acoes"))*Inputs!$B$1+((Inputs!$G$5:$G$160&lt;&gt;"moeda")*(Inputs!$G$5:$G$160&lt;&gt;"acoes")))*INDEX(Inputs!$K$5:$AJ$160,0,MATCH(O$2,Inputs!$K$4:$AJ$4,0)))))</f>
        <v>66.428</v>
      </c>
      <c r="P21" s="6">
        <f>IF(ISNA(MATCH(P$2,Inputs!$K$4:$AJ$4,0)),NA(),IF(SUMPRODUCT((Inputs!$A$5:$A$160=$B21)*ISNUMBER(INDEX(Inputs!$K$5:$AJ$160,0,MATCH(P$2,Inputs!$K$4:$AJ$4,0))))+SUMPRODUCT((Inputs!$C$5:$C$160=$B21)*ISNUMBER(INDEX(Inputs!$K$5:$AJ$160,0,MATCH(P$2,Inputs!$K$4:$AJ$4,0))))+SUMPRODUCT((Inputs!$E$5:$E$160=$B21)*ISNUMBER(INDEX(Inputs!$K$5:$AJ$160,0,MATCH(P$2,Inputs!$K$4:$AJ$4,0))))=0,NA(),SUMPRODUCT((Inputs!$A$5:$A$160=$B21)*Inputs!$B$5:$B$160*(((Inputs!$G$5:$G$160="moeda")+(Inputs!$G$5:$G$160="acoes"))*Inputs!$B$1+((Inputs!$G$5:$G$160&lt;&gt;"moeda")*(Inputs!$G$5:$G$160&lt;&gt;"acoes")))*INDEX(Inputs!$K$5:$AJ$160,0,MATCH(P$2,Inputs!$K$4:$AJ$4,0)))+SUMPRODUCT((Inputs!$C$5:$C$160=$B21)*Inputs!$D$5:$D$160*(((Inputs!$G$5:$G$160="moeda")+(Inputs!$G$5:$G$160="acoes"))*Inputs!$B$1+((Inputs!$G$5:$G$160&lt;&gt;"moeda")*(Inputs!$G$5:$G$160&lt;&gt;"acoes")))*INDEX(Inputs!$K$5:$AJ$160,0,MATCH(P$2,Inputs!$K$4:$AJ$4,0)))+SUMPRODUCT((Inputs!$E$5:$E$160=$B21)*Inputs!$F$5:$F$160*(((Inputs!$G$5:$G$160="moeda")+(Inputs!$G$5:$G$160="acoes"))*Inputs!$B$1+((Inputs!$G$5:$G$160&lt;&gt;"moeda")*(Inputs!$G$5:$G$160&lt;&gt;"acoes")))*INDEX(Inputs!$K$5:$AJ$160,0,MATCH(P$2,Inputs!$K$4:$AJ$4,0)))))</f>
        <v>68.26</v>
      </c>
      <c r="Q21" s="6">
        <f>IF(ISNA(MATCH(Q$2,Inputs!$K$4:$AJ$4,0)),NA(),IF(SUMPRODUCT((Inputs!$A$5:$A$160=$B21)*ISNUMBER(INDEX(Inputs!$K$5:$AJ$160,0,MATCH(Q$2,Inputs!$K$4:$AJ$4,0))))+SUMPRODUCT((Inputs!$C$5:$C$160=$B21)*ISNUMBER(INDEX(Inputs!$K$5:$AJ$160,0,MATCH(Q$2,Inputs!$K$4:$AJ$4,0))))+SUMPRODUCT((Inputs!$E$5:$E$160=$B21)*ISNUMBER(INDEX(Inputs!$K$5:$AJ$160,0,MATCH(Q$2,Inputs!$K$4:$AJ$4,0))))=0,NA(),SUMPRODUCT((Inputs!$A$5:$A$160=$B21)*Inputs!$B$5:$B$160*(((Inputs!$G$5:$G$160="moeda")+(Inputs!$G$5:$G$160="acoes"))*Inputs!$B$1+((Inputs!$G$5:$G$160&lt;&gt;"moeda")*(Inputs!$G$5:$G$160&lt;&gt;"acoes")))*INDEX(Inputs!$K$5:$AJ$160,0,MATCH(Q$2,Inputs!$K$4:$AJ$4,0)))+SUMPRODUCT((Inputs!$C$5:$C$160=$B21)*Inputs!$D$5:$D$160*(((Inputs!$G$5:$G$160="moeda")+(Inputs!$G$5:$G$160="acoes"))*Inputs!$B$1+((Inputs!$G$5:$G$160&lt;&gt;"moeda")*(Inputs!$G$5:$G$160&lt;&gt;"acoes")))*INDEX(Inputs!$K$5:$AJ$160,0,MATCH(Q$2,Inputs!$K$4:$AJ$4,0)))+SUMPRODUCT((Inputs!$E$5:$E$160=$B21)*Inputs!$F$5:$F$160*(((Inputs!$G$5:$G$160="moeda")+(Inputs!$G$5:$G$160="acoes"))*Inputs!$B$1+((Inputs!$G$5:$G$160&lt;&gt;"moeda")*(Inputs!$G$5:$G$160&lt;&gt;"acoes")))*INDEX(Inputs!$K$5:$AJ$160,0,MATCH(Q$2,Inputs!$K$4:$AJ$4,0)))))</f>
        <v>81.519</v>
      </c>
      <c r="R21" s="3">
        <f>Q21</f>
        <v>81.519</v>
      </c>
      <c r="S21" s="6">
        <f>IF(ISNA(MATCH(S$2,Inputs!$K$4:$AJ$4,0)),NA(),IF(SUMPRODUCT((Inputs!$A$5:$A$160=$B21)*ISNUMBER(INDEX(Inputs!$K$5:$AJ$160,0,MATCH(S$2,Inputs!$K$4:$AJ$4,0))))+SUMPRODUCT((Inputs!$C$5:$C$160=$B21)*ISNUMBER(INDEX(Inputs!$K$5:$AJ$160,0,MATCH(S$2,Inputs!$K$4:$AJ$4,0))))+SUMPRODUCT((Inputs!$E$5:$E$160=$B21)*ISNUMBER(INDEX(Inputs!$K$5:$AJ$160,0,MATCH(S$2,Inputs!$K$4:$AJ$4,0))))=0,NA(),SUMPRODUCT((Inputs!$A$5:$A$160=$B21)*Inputs!$B$5:$B$160*(((Inputs!$G$5:$G$160="moeda")+(Inputs!$G$5:$G$160="acoes"))*Inputs!$B$1+((Inputs!$G$5:$G$160&lt;&gt;"moeda")*(Inputs!$G$5:$G$160&lt;&gt;"acoes")))*INDEX(Inputs!$K$5:$AJ$160,0,MATCH(S$2,Inputs!$K$4:$AJ$4,0)))+SUMPRODUCT((Inputs!$C$5:$C$160=$B21)*Inputs!$D$5:$D$160*(((Inputs!$G$5:$G$160="moeda")+(Inputs!$G$5:$G$160="acoes"))*Inputs!$B$1+((Inputs!$G$5:$G$160&lt;&gt;"moeda")*(Inputs!$G$5:$G$160&lt;&gt;"acoes")))*INDEX(Inputs!$K$5:$AJ$160,0,MATCH(S$2,Inputs!$K$4:$AJ$4,0)))+SUMPRODUCT((Inputs!$E$5:$E$160=$B21)*Inputs!$F$5:$F$160*(((Inputs!$G$5:$G$160="moeda")+(Inputs!$G$5:$G$160="acoes"))*Inputs!$B$1+((Inputs!$G$5:$G$160&lt;&gt;"moeda")*(Inputs!$G$5:$G$160&lt;&gt;"acoes")))*INDEX(Inputs!$K$5:$AJ$160,0,MATCH(S$2,Inputs!$K$4:$AJ$4,0)))))</f>
        <v>69.005</v>
      </c>
      <c r="T21" s="6">
        <f>IF(ISNA(MATCH(T$2,Inputs!$K$4:$AJ$4,0)),NA(),IF(SUMPRODUCT((Inputs!$A$5:$A$160=$B21)*ISNUMBER(INDEX(Inputs!$K$5:$AJ$160,0,MATCH(T$2,Inputs!$K$4:$AJ$4,0))))+SUMPRODUCT((Inputs!$C$5:$C$160=$B21)*ISNUMBER(INDEX(Inputs!$K$5:$AJ$160,0,MATCH(T$2,Inputs!$K$4:$AJ$4,0))))+SUMPRODUCT((Inputs!$E$5:$E$160=$B21)*ISNUMBER(INDEX(Inputs!$K$5:$AJ$160,0,MATCH(T$2,Inputs!$K$4:$AJ$4,0))))=0,NA(),SUMPRODUCT((Inputs!$A$5:$A$160=$B21)*Inputs!$B$5:$B$160*(((Inputs!$G$5:$G$160="moeda")+(Inputs!$G$5:$G$160="acoes"))*Inputs!$B$1+((Inputs!$G$5:$G$160&lt;&gt;"moeda")*(Inputs!$G$5:$G$160&lt;&gt;"acoes")))*INDEX(Inputs!$K$5:$AJ$160,0,MATCH(T$2,Inputs!$K$4:$AJ$4,0)))+SUMPRODUCT((Inputs!$C$5:$C$160=$B21)*Inputs!$D$5:$D$160*(((Inputs!$G$5:$G$160="moeda")+(Inputs!$G$5:$G$160="acoes"))*Inputs!$B$1+((Inputs!$G$5:$G$160&lt;&gt;"moeda")*(Inputs!$G$5:$G$160&lt;&gt;"acoes")))*INDEX(Inputs!$K$5:$AJ$160,0,MATCH(T$2,Inputs!$K$4:$AJ$4,0)))+SUMPRODUCT((Inputs!$E$5:$E$160=$B21)*Inputs!$F$5:$F$160*(((Inputs!$G$5:$G$160="moeda")+(Inputs!$G$5:$G$160="acoes"))*Inputs!$B$1+((Inputs!$G$5:$G$160&lt;&gt;"moeda")*(Inputs!$G$5:$G$160&lt;&gt;"acoes")))*INDEX(Inputs!$K$5:$AJ$160,0,MATCH(T$2,Inputs!$K$4:$AJ$4,0)))))</f>
        <v>93.409</v>
      </c>
      <c r="U21" s="6">
        <f>IF(ISNA(MATCH(U$2,Inputs!$K$4:$AJ$4,0)),NA(),IF(SUMPRODUCT((Inputs!$A$5:$A$160=$B21)*ISNUMBER(INDEX(Inputs!$K$5:$AJ$160,0,MATCH(U$2,Inputs!$K$4:$AJ$4,0))))+SUMPRODUCT((Inputs!$C$5:$C$160=$B21)*ISNUMBER(INDEX(Inputs!$K$5:$AJ$160,0,MATCH(U$2,Inputs!$K$4:$AJ$4,0))))+SUMPRODUCT((Inputs!$E$5:$E$160=$B21)*ISNUMBER(INDEX(Inputs!$K$5:$AJ$160,0,MATCH(U$2,Inputs!$K$4:$AJ$4,0))))=0,NA(),SUMPRODUCT((Inputs!$A$5:$A$160=$B21)*Inputs!$B$5:$B$160*(((Inputs!$G$5:$G$160="moeda")+(Inputs!$G$5:$G$160="acoes"))*Inputs!$B$1+((Inputs!$G$5:$G$160&lt;&gt;"moeda")*(Inputs!$G$5:$G$160&lt;&gt;"acoes")))*INDEX(Inputs!$K$5:$AJ$160,0,MATCH(U$2,Inputs!$K$4:$AJ$4,0)))+SUMPRODUCT((Inputs!$C$5:$C$160=$B21)*Inputs!$D$5:$D$160*(((Inputs!$G$5:$G$160="moeda")+(Inputs!$G$5:$G$160="acoes"))*Inputs!$B$1+((Inputs!$G$5:$G$160&lt;&gt;"moeda")*(Inputs!$G$5:$G$160&lt;&gt;"acoes")))*INDEX(Inputs!$K$5:$AJ$160,0,MATCH(U$2,Inputs!$K$4:$AJ$4,0)))+SUMPRODUCT((Inputs!$E$5:$E$160=$B21)*Inputs!$F$5:$F$160*(((Inputs!$G$5:$G$160="moeda")+(Inputs!$G$5:$G$160="acoes"))*Inputs!$B$1+((Inputs!$G$5:$G$160&lt;&gt;"moeda")*(Inputs!$G$5:$G$160&lt;&gt;"acoes")))*INDEX(Inputs!$K$5:$AJ$160,0,MATCH(U$2,Inputs!$K$4:$AJ$4,0)))))</f>
        <v>100.357</v>
      </c>
      <c r="V21" s="6">
        <f>IF(ISNA(MATCH(V$2,Inputs!$K$4:$AJ$4,0)),NA(),IF(SUMPRODUCT((Inputs!$A$5:$A$160=$B21)*ISNUMBER(INDEX(Inputs!$K$5:$AJ$160,0,MATCH(V$2,Inputs!$K$4:$AJ$4,0))))+SUMPRODUCT((Inputs!$C$5:$C$160=$B21)*ISNUMBER(INDEX(Inputs!$K$5:$AJ$160,0,MATCH(V$2,Inputs!$K$4:$AJ$4,0))))+SUMPRODUCT((Inputs!$E$5:$E$160=$B21)*ISNUMBER(INDEX(Inputs!$K$5:$AJ$160,0,MATCH(V$2,Inputs!$K$4:$AJ$4,0))))=0,NA(),SUMPRODUCT((Inputs!$A$5:$A$160=$B21)*Inputs!$B$5:$B$160*(((Inputs!$G$5:$G$160="moeda")+(Inputs!$G$5:$G$160="acoes"))*Inputs!$B$1+((Inputs!$G$5:$G$160&lt;&gt;"moeda")*(Inputs!$G$5:$G$160&lt;&gt;"acoes")))*INDEX(Inputs!$K$5:$AJ$160,0,MATCH(V$2,Inputs!$K$4:$AJ$4,0)))+SUMPRODUCT((Inputs!$C$5:$C$160=$B21)*Inputs!$D$5:$D$160*(((Inputs!$G$5:$G$160="moeda")+(Inputs!$G$5:$G$160="acoes"))*Inputs!$B$1+((Inputs!$G$5:$G$160&lt;&gt;"moeda")*(Inputs!$G$5:$G$160&lt;&gt;"acoes")))*INDEX(Inputs!$K$5:$AJ$160,0,MATCH(V$2,Inputs!$K$4:$AJ$4,0)))+SUMPRODUCT((Inputs!$E$5:$E$160=$B21)*Inputs!$F$5:$F$160*(((Inputs!$G$5:$G$160="moeda")+(Inputs!$G$5:$G$160="acoes"))*Inputs!$B$1+((Inputs!$G$5:$G$160&lt;&gt;"moeda")*(Inputs!$G$5:$G$160&lt;&gt;"acoes")))*INDEX(Inputs!$K$5:$AJ$160,0,MATCH(V$2,Inputs!$K$4:$AJ$4,0)))))</f>
        <v>81.91</v>
      </c>
      <c r="W21" s="3">
        <f>V21</f>
        <v>81.91</v>
      </c>
      <c r="X21" s="6">
        <f>IF(ISNA(MATCH(X$2,Inputs!$K$4:$AJ$4,0)),NA(),IF(SUMPRODUCT((Inputs!$A$5:$A$160=$B21)*ISNUMBER(INDEX(Inputs!$K$5:$AJ$160,0,MATCH(X$2,Inputs!$K$4:$AJ$4,0))))+SUMPRODUCT((Inputs!$C$5:$C$160=$B21)*ISNUMBER(INDEX(Inputs!$K$5:$AJ$160,0,MATCH(X$2,Inputs!$K$4:$AJ$4,0))))+SUMPRODUCT((Inputs!$E$5:$E$160=$B21)*ISNUMBER(INDEX(Inputs!$K$5:$AJ$160,0,MATCH(X$2,Inputs!$K$4:$AJ$4,0))))=0,NA(),SUMPRODUCT((Inputs!$A$5:$A$160=$B21)*Inputs!$B$5:$B$160*(((Inputs!$G$5:$G$160="moeda")+(Inputs!$G$5:$G$160="acoes"))*Inputs!$B$1+((Inputs!$G$5:$G$160&lt;&gt;"moeda")*(Inputs!$G$5:$G$160&lt;&gt;"acoes")))*INDEX(Inputs!$K$5:$AJ$160,0,MATCH(X$2,Inputs!$K$4:$AJ$4,0)))+SUMPRODUCT((Inputs!$C$5:$C$160=$B21)*Inputs!$D$5:$D$160*(((Inputs!$G$5:$G$160="moeda")+(Inputs!$G$5:$G$160="acoes"))*Inputs!$B$1+((Inputs!$G$5:$G$160&lt;&gt;"moeda")*(Inputs!$G$5:$G$160&lt;&gt;"acoes")))*INDEX(Inputs!$K$5:$AJ$160,0,MATCH(X$2,Inputs!$K$4:$AJ$4,0)))+SUMPRODUCT((Inputs!$E$5:$E$160=$B21)*Inputs!$F$5:$F$160*(((Inputs!$G$5:$G$160="moeda")+(Inputs!$G$5:$G$160="acoes"))*Inputs!$B$1+((Inputs!$G$5:$G$160&lt;&gt;"moeda")*(Inputs!$G$5:$G$160&lt;&gt;"acoes")))*INDEX(Inputs!$K$5:$AJ$160,0,MATCH(X$2,Inputs!$K$4:$AJ$4,0)))))</f>
        <v>102.201544</v>
      </c>
      <c r="Y21" s="6">
        <f>IF(ISNA(MATCH(Y$2,Inputs!$K$4:$AJ$4,0)),NA(),IF(SUMPRODUCT((Inputs!$A$5:$A$160=$B21)*ISNUMBER(INDEX(Inputs!$K$5:$AJ$160,0,MATCH(Y$2,Inputs!$K$4:$AJ$4,0))))+SUMPRODUCT((Inputs!$C$5:$C$160=$B21)*ISNUMBER(INDEX(Inputs!$K$5:$AJ$160,0,MATCH(Y$2,Inputs!$K$4:$AJ$4,0))))+SUMPRODUCT((Inputs!$E$5:$E$160=$B21)*ISNUMBER(INDEX(Inputs!$K$5:$AJ$160,0,MATCH(Y$2,Inputs!$K$4:$AJ$4,0))))=0,NA(),SUMPRODUCT((Inputs!$A$5:$A$160=$B21)*Inputs!$B$5:$B$160*(((Inputs!$G$5:$G$160="moeda")+(Inputs!$G$5:$G$160="acoes"))*Inputs!$B$1+((Inputs!$G$5:$G$160&lt;&gt;"moeda")*(Inputs!$G$5:$G$160&lt;&gt;"acoes")))*INDEX(Inputs!$K$5:$AJ$160,0,MATCH(Y$2,Inputs!$K$4:$AJ$4,0)))+SUMPRODUCT((Inputs!$C$5:$C$160=$B21)*Inputs!$D$5:$D$160*(((Inputs!$G$5:$G$160="moeda")+(Inputs!$G$5:$G$160="acoes"))*Inputs!$B$1+((Inputs!$G$5:$G$160&lt;&gt;"moeda")*(Inputs!$G$5:$G$160&lt;&gt;"acoes")))*INDEX(Inputs!$K$5:$AJ$160,0,MATCH(Y$2,Inputs!$K$4:$AJ$4,0)))+SUMPRODUCT((Inputs!$E$5:$E$160=$B21)*Inputs!$F$5:$F$160*(((Inputs!$G$5:$G$160="moeda")+(Inputs!$G$5:$G$160="acoes"))*Inputs!$B$1+((Inputs!$G$5:$G$160&lt;&gt;"moeda")*(Inputs!$G$5:$G$160&lt;&gt;"acoes")))*INDEX(Inputs!$K$5:$AJ$160,0,MATCH(Y$2,Inputs!$K$4:$AJ$4,0)))))</f>
        <v>241.834</v>
      </c>
      <c r="Z21" s="6">
        <f>IF(ISNA(MATCH(Z$2,Inputs!$K$4:$AJ$4,0)),NA(),IF(SUMPRODUCT((Inputs!$A$5:$A$160=$B21)*ISNUMBER(INDEX(Inputs!$K$5:$AJ$160,0,MATCH(Z$2,Inputs!$K$4:$AJ$4,0))))+SUMPRODUCT((Inputs!$C$5:$C$160=$B21)*ISNUMBER(INDEX(Inputs!$K$5:$AJ$160,0,MATCH(Z$2,Inputs!$K$4:$AJ$4,0))))+SUMPRODUCT((Inputs!$E$5:$E$160=$B21)*ISNUMBER(INDEX(Inputs!$K$5:$AJ$160,0,MATCH(Z$2,Inputs!$K$4:$AJ$4,0))))=0,NA(),SUMPRODUCT((Inputs!$A$5:$A$160=$B21)*Inputs!$B$5:$B$160*(((Inputs!$G$5:$G$160="moeda")+(Inputs!$G$5:$G$160="acoes"))*Inputs!$B$1+((Inputs!$G$5:$G$160&lt;&gt;"moeda")*(Inputs!$G$5:$G$160&lt;&gt;"acoes")))*INDEX(Inputs!$K$5:$AJ$160,0,MATCH(Z$2,Inputs!$K$4:$AJ$4,0)))+SUMPRODUCT((Inputs!$C$5:$C$160=$B21)*Inputs!$D$5:$D$160*(((Inputs!$G$5:$G$160="moeda")+(Inputs!$G$5:$G$160="acoes"))*Inputs!$B$1+((Inputs!$G$5:$G$160&lt;&gt;"moeda")*(Inputs!$G$5:$G$160&lt;&gt;"acoes")))*INDEX(Inputs!$K$5:$AJ$160,0,MATCH(Z$2,Inputs!$K$4:$AJ$4,0)))+SUMPRODUCT((Inputs!$E$5:$E$160=$B21)*Inputs!$F$5:$F$160*(((Inputs!$G$5:$G$160="moeda")+(Inputs!$G$5:$G$160="acoes"))*Inputs!$B$1+((Inputs!$G$5:$G$160&lt;&gt;"moeda")*(Inputs!$G$5:$G$160&lt;&gt;"acoes")))*INDEX(Inputs!$K$5:$AJ$160,0,MATCH(Z$2,Inputs!$K$4:$AJ$4,0)))))</f>
        <v>109.652</v>
      </c>
      <c r="AA21" s="6">
        <f>IF(ISNA(MATCH(AA$2,Inputs!$K$4:$AJ$4,0)),NA(),IF(SUMPRODUCT((Inputs!$A$5:$A$160=$B21)*ISNUMBER(INDEX(Inputs!$K$5:$AJ$160,0,MATCH(AA$2,Inputs!$K$4:$AJ$4,0))))+SUMPRODUCT((Inputs!$C$5:$C$160=$B21)*ISNUMBER(INDEX(Inputs!$K$5:$AJ$160,0,MATCH(AA$2,Inputs!$K$4:$AJ$4,0))))+SUMPRODUCT((Inputs!$E$5:$E$160=$B21)*ISNUMBER(INDEX(Inputs!$K$5:$AJ$160,0,MATCH(AA$2,Inputs!$K$4:$AJ$4,0))))=0,NA(),SUMPRODUCT((Inputs!$A$5:$A$160=$B21)*Inputs!$B$5:$B$160*(((Inputs!$G$5:$G$160="moeda")+(Inputs!$G$5:$G$160="acoes"))*Inputs!$B$1+((Inputs!$G$5:$G$160&lt;&gt;"moeda")*(Inputs!$G$5:$G$160&lt;&gt;"acoes")))*INDEX(Inputs!$K$5:$AJ$160,0,MATCH(AA$2,Inputs!$K$4:$AJ$4,0)))+SUMPRODUCT((Inputs!$C$5:$C$160=$B21)*Inputs!$D$5:$D$160*(((Inputs!$G$5:$G$160="moeda")+(Inputs!$G$5:$G$160="acoes"))*Inputs!$B$1+((Inputs!$G$5:$G$160&lt;&gt;"moeda")*(Inputs!$G$5:$G$160&lt;&gt;"acoes")))*INDEX(Inputs!$K$5:$AJ$160,0,MATCH(AA$2,Inputs!$K$4:$AJ$4,0)))+SUMPRODUCT((Inputs!$E$5:$E$160=$B21)*Inputs!$F$5:$F$160*(((Inputs!$G$5:$G$160="moeda")+(Inputs!$G$5:$G$160="acoes"))*Inputs!$B$1+((Inputs!$G$5:$G$160&lt;&gt;"moeda")*(Inputs!$G$5:$G$160&lt;&gt;"acoes")))*INDEX(Inputs!$K$5:$AJ$160,0,MATCH(AA$2,Inputs!$K$4:$AJ$4,0)))))</f>
        <v>111.772</v>
      </c>
      <c r="AB21" s="3">
        <f>AA21</f>
        <v>111.772</v>
      </c>
      <c r="AC21" s="6">
        <f>IF(ISNA(MATCH(AC$2,Inputs!$K$4:$AJ$4,0)),NA(),IF(SUMPRODUCT((Inputs!$A$5:$A$160=$B21)*ISNUMBER(INDEX(Inputs!$K$5:$AJ$160,0,MATCH(AC$2,Inputs!$K$4:$AJ$4,0))))+SUMPRODUCT((Inputs!$C$5:$C$160=$B21)*ISNUMBER(INDEX(Inputs!$K$5:$AJ$160,0,MATCH(AC$2,Inputs!$K$4:$AJ$4,0))))+SUMPRODUCT((Inputs!$E$5:$E$160=$B21)*ISNUMBER(INDEX(Inputs!$K$5:$AJ$160,0,MATCH(AC$2,Inputs!$K$4:$AJ$4,0))))=0,NA(),SUMPRODUCT((Inputs!$A$5:$A$160=$B21)*Inputs!$B$5:$B$160*(((Inputs!$G$5:$G$160="moeda")+(Inputs!$G$5:$G$160="acoes"))*Inputs!$B$1+((Inputs!$G$5:$G$160&lt;&gt;"moeda")*(Inputs!$G$5:$G$160&lt;&gt;"acoes")))*INDEX(Inputs!$K$5:$AJ$160,0,MATCH(AC$2,Inputs!$K$4:$AJ$4,0)))+SUMPRODUCT((Inputs!$C$5:$C$160=$B21)*Inputs!$D$5:$D$160*(((Inputs!$G$5:$G$160="moeda")+(Inputs!$G$5:$G$160="acoes"))*Inputs!$B$1+((Inputs!$G$5:$G$160&lt;&gt;"moeda")*(Inputs!$G$5:$G$160&lt;&gt;"acoes")))*INDEX(Inputs!$K$5:$AJ$160,0,MATCH(AC$2,Inputs!$K$4:$AJ$4,0)))+SUMPRODUCT((Inputs!$E$5:$E$160=$B21)*Inputs!$F$5:$F$160*(((Inputs!$G$5:$G$160="moeda")+(Inputs!$G$5:$G$160="acoes"))*Inputs!$B$1+((Inputs!$G$5:$G$160&lt;&gt;"moeda")*(Inputs!$G$5:$G$160&lt;&gt;"acoes")))*INDEX(Inputs!$K$5:$AJ$160,0,MATCH(AC$2,Inputs!$K$4:$AJ$4,0)))))</f>
        <v>105.85</v>
      </c>
      <c r="AD21" s="6">
        <f>IF(ISNA(MATCH(AD$2,Inputs!$K$4:$AJ$4,0)),NA(),IF(SUMPRODUCT((Inputs!$A$5:$A$160=$B21)*ISNUMBER(INDEX(Inputs!$K$5:$AJ$160,0,MATCH(AD$2,Inputs!$K$4:$AJ$4,0))))+SUMPRODUCT((Inputs!$C$5:$C$160=$B21)*ISNUMBER(INDEX(Inputs!$K$5:$AJ$160,0,MATCH(AD$2,Inputs!$K$4:$AJ$4,0))))+SUMPRODUCT((Inputs!$E$5:$E$160=$B21)*ISNUMBER(INDEX(Inputs!$K$5:$AJ$160,0,MATCH(AD$2,Inputs!$K$4:$AJ$4,0))))=0,NA(),SUMPRODUCT((Inputs!$A$5:$A$160=$B21)*Inputs!$B$5:$B$160*(((Inputs!$G$5:$G$160="moeda")+(Inputs!$G$5:$G$160="acoes"))*Inputs!$B$1+((Inputs!$G$5:$G$160&lt;&gt;"moeda")*(Inputs!$G$5:$G$160&lt;&gt;"acoes")))*INDEX(Inputs!$K$5:$AJ$160,0,MATCH(AD$2,Inputs!$K$4:$AJ$4,0)))+SUMPRODUCT((Inputs!$C$5:$C$160=$B21)*Inputs!$D$5:$D$160*(((Inputs!$G$5:$G$160="moeda")+(Inputs!$G$5:$G$160="acoes"))*Inputs!$B$1+((Inputs!$G$5:$G$160&lt;&gt;"moeda")*(Inputs!$G$5:$G$160&lt;&gt;"acoes")))*INDEX(Inputs!$K$5:$AJ$160,0,MATCH(AD$2,Inputs!$K$4:$AJ$4,0)))+SUMPRODUCT((Inputs!$E$5:$E$160=$B21)*Inputs!$F$5:$F$160*(((Inputs!$G$5:$G$160="moeda")+(Inputs!$G$5:$G$160="acoes"))*Inputs!$B$1+((Inputs!$G$5:$G$160&lt;&gt;"moeda")*(Inputs!$G$5:$G$160&lt;&gt;"acoes")))*INDEX(Inputs!$K$5:$AJ$160,0,MATCH(AD$2,Inputs!$K$4:$AJ$4,0)))))</f>
        <v>169.324</v>
      </c>
      <c r="AE21" s="6" t="e">
        <f>IF(ISNA(MATCH(AE$2,Inputs!$K$4:$AJ$4,0)),NA(),IF(SUMPRODUCT((Inputs!$A$5:$A$160=$B21)*ISNUMBER(INDEX(Inputs!$K$5:$AJ$160,0,MATCH(AE$2,Inputs!$K$4:$AJ$4,0))))+SUMPRODUCT((Inputs!$C$5:$C$160=$B21)*ISNUMBER(INDEX(Inputs!$K$5:$AJ$160,0,MATCH(AE$2,Inputs!$K$4:$AJ$4,0))))+SUMPRODUCT((Inputs!$E$5:$E$160=$B21)*ISNUMBER(INDEX(Inputs!$K$5:$AJ$160,0,MATCH(AE$2,Inputs!$K$4:$AJ$4,0))))=0,NA(),SUMPRODUCT((Inputs!$A$5:$A$160=$B21)*Inputs!$B$5:$B$160*(((Inputs!$G$5:$G$160="moeda")+(Inputs!$G$5:$G$160="acoes"))*Inputs!$B$1+((Inputs!$G$5:$G$160&lt;&gt;"moeda")*(Inputs!$G$5:$G$160&lt;&gt;"acoes")))*INDEX(Inputs!$K$5:$AJ$160,0,MATCH(AE$2,Inputs!$K$4:$AJ$4,0)))+SUMPRODUCT((Inputs!$C$5:$C$160=$B21)*Inputs!$D$5:$D$160*(((Inputs!$G$5:$G$160="moeda")+(Inputs!$G$5:$G$160="acoes"))*Inputs!$B$1+((Inputs!$G$5:$G$160&lt;&gt;"moeda")*(Inputs!$G$5:$G$160&lt;&gt;"acoes")))*INDEX(Inputs!$K$5:$AJ$160,0,MATCH(AE$2,Inputs!$K$4:$AJ$4,0)))+SUMPRODUCT((Inputs!$E$5:$E$160=$B21)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1" s="6" t="e">
        <f>IF(ISNA(MATCH(AF$2,Inputs!$K$4:$AJ$4,0)),NA(),IF(SUMPRODUCT((Inputs!$A$5:$A$160=$B21)*ISNUMBER(INDEX(Inputs!$K$5:$AJ$160,0,MATCH(AF$2,Inputs!$K$4:$AJ$4,0))))+SUMPRODUCT((Inputs!$C$5:$C$160=$B21)*ISNUMBER(INDEX(Inputs!$K$5:$AJ$160,0,MATCH(AF$2,Inputs!$K$4:$AJ$4,0))))+SUMPRODUCT((Inputs!$E$5:$E$160=$B21)*ISNUMBER(INDEX(Inputs!$K$5:$AJ$160,0,MATCH(AF$2,Inputs!$K$4:$AJ$4,0))))=0,NA(),SUMPRODUCT((Inputs!$A$5:$A$160=$B21)*Inputs!$B$5:$B$160*(((Inputs!$G$5:$G$160="moeda")+(Inputs!$G$5:$G$160="acoes"))*Inputs!$B$1+((Inputs!$G$5:$G$160&lt;&gt;"moeda")*(Inputs!$G$5:$G$160&lt;&gt;"acoes")))*INDEX(Inputs!$K$5:$AJ$160,0,MATCH(AF$2,Inputs!$K$4:$AJ$4,0)))+SUMPRODUCT((Inputs!$C$5:$C$160=$B21)*Inputs!$D$5:$D$160*(((Inputs!$G$5:$G$160="moeda")+(Inputs!$G$5:$G$160="acoes"))*Inputs!$B$1+((Inputs!$G$5:$G$160&lt;&gt;"moeda")*(Inputs!$G$5:$G$160&lt;&gt;"acoes")))*INDEX(Inputs!$K$5:$AJ$160,0,MATCH(AF$2,Inputs!$K$4:$AJ$4,0)))+SUMPRODUCT((Inputs!$E$5:$E$160=$B21)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1" s="3" t="e">
        <f>AF21</f>
        <v>#N/A</v>
      </c>
      <c r="AH21" s="6">
        <f>IF(ISNA(MATCH(AH$2,Inputs!$K$4:$AJ$4,0)),NA(),IF(SUMPRODUCT((Inputs!$A$5:$A$160=$B21)*ISNUMBER(INDEX(Inputs!$K$5:$AJ$160,0,MATCH(AH$2,Inputs!$K$4:$AJ$4,0))))+SUMPRODUCT((Inputs!$C$5:$C$160=$B21)*ISNUMBER(INDEX(Inputs!$K$5:$AJ$160,0,MATCH(AH$2,Inputs!$K$4:$AJ$4,0))))+SUMPRODUCT((Inputs!$E$5:$E$160=$B21)*ISNUMBER(INDEX(Inputs!$K$5:$AJ$160,0,MATCH(AH$2,Inputs!$K$4:$AJ$4,0))))=0,NA(),SUMPRODUCT((Inputs!$A$5:$A$160=$B21)*Inputs!$B$5:$B$160*(((Inputs!$G$5:$G$160="moeda")+(Inputs!$G$5:$G$160="acoes"))*Inputs!$B$1+((Inputs!$G$5:$G$160&lt;&gt;"moeda")*(Inputs!$G$5:$G$160&lt;&gt;"acoes")))*INDEX(Inputs!$K$5:$AJ$160,0,MATCH(AH$2,Inputs!$K$4:$AJ$4,0)))+SUMPRODUCT((Inputs!$C$5:$C$160=$B21)*Inputs!$D$5:$D$160*(((Inputs!$G$5:$G$160="moeda")+(Inputs!$G$5:$G$160="acoes"))*Inputs!$B$1+((Inputs!$G$5:$G$160&lt;&gt;"moeda")*(Inputs!$G$5:$G$160&lt;&gt;"acoes")))*INDEX(Inputs!$K$5:$AJ$160,0,MATCH(AH$2,Inputs!$K$4:$AJ$4,0)))+SUMPRODUCT((Inputs!$E$5:$E$160=$B21)*Inputs!$F$5:$F$160*(((Inputs!$G$5:$G$160="moeda")+(Inputs!$G$5:$G$160="acoes"))*Inputs!$B$1+((Inputs!$G$5:$G$160&lt;&gt;"moeda")*(Inputs!$G$5:$G$160&lt;&gt;"acoes")))*INDEX(Inputs!$K$5:$AJ$160,0,MATCH(AH$2,Inputs!$K$4:$AJ$4,0)))))</f>
        <v>17.5695489861008</v>
      </c>
      <c r="AI21" s="6">
        <f>IF(ISNA(MATCH(AI$2,Inputs!$K$4:$AJ$4,0)),NA(),IF(SUMPRODUCT((Inputs!$A$5:$A$160=$B21)*ISNUMBER(INDEX(Inputs!$K$5:$AJ$160,0,MATCH(AI$2,Inputs!$K$4:$AJ$4,0))))+SUMPRODUCT((Inputs!$C$5:$C$160=$B21)*ISNUMBER(INDEX(Inputs!$K$5:$AJ$160,0,MATCH(AI$2,Inputs!$K$4:$AJ$4,0))))+SUMPRODUCT((Inputs!$E$5:$E$160=$B21)*ISNUMBER(INDEX(Inputs!$K$5:$AJ$160,0,MATCH(AI$2,Inputs!$K$4:$AJ$4,0))))=0,NA(),SUMPRODUCT((Inputs!$A$5:$A$160=$B21)*Inputs!$B$5:$B$160*(((Inputs!$G$5:$G$160="moeda")+(Inputs!$G$5:$G$160="acoes"))*Inputs!$B$1+((Inputs!$G$5:$G$160&lt;&gt;"moeda")*(Inputs!$G$5:$G$160&lt;&gt;"acoes")))*INDEX(Inputs!$K$5:$AJ$160,0,MATCH(AI$2,Inputs!$K$4:$AJ$4,0)))+SUMPRODUCT((Inputs!$C$5:$C$160=$B21)*Inputs!$D$5:$D$160*(((Inputs!$G$5:$G$160="moeda")+(Inputs!$G$5:$G$160="acoes"))*Inputs!$B$1+((Inputs!$G$5:$G$160&lt;&gt;"moeda")*(Inputs!$G$5:$G$160&lt;&gt;"acoes")))*INDEX(Inputs!$K$5:$AJ$160,0,MATCH(AI$2,Inputs!$K$4:$AJ$4,0)))+SUMPRODUCT((Inputs!$E$5:$E$160=$B21)*Inputs!$F$5:$F$160*(((Inputs!$G$5:$G$160="moeda")+(Inputs!$G$5:$G$160="acoes"))*Inputs!$B$1+((Inputs!$G$5:$G$160&lt;&gt;"moeda")*(Inputs!$G$5:$G$160&lt;&gt;"acoes")))*INDEX(Inputs!$K$5:$AJ$160,0,MATCH(AI$2,Inputs!$K$4:$AJ$4,0)))))</f>
        <v>18.0742044236336</v>
      </c>
      <c r="AJ21" s="6">
        <f>IF(ISNA(MATCH(AJ$2,Inputs!$K$4:$AJ$4,0)),NA(),IF(SUMPRODUCT((Inputs!$A$5:$A$160=$B21)*ISNUMBER(INDEX(Inputs!$K$5:$AJ$160,0,MATCH(AJ$2,Inputs!$K$4:$AJ$4,0))))+SUMPRODUCT((Inputs!$C$5:$C$160=$B21)*ISNUMBER(INDEX(Inputs!$K$5:$AJ$160,0,MATCH(AJ$2,Inputs!$K$4:$AJ$4,0))))+SUMPRODUCT((Inputs!$E$5:$E$160=$B21)*ISNUMBER(INDEX(Inputs!$K$5:$AJ$160,0,MATCH(AJ$2,Inputs!$K$4:$AJ$4,0))))=0,NA(),SUMPRODUCT((Inputs!$A$5:$A$160=$B21)*Inputs!$B$5:$B$160*(((Inputs!$G$5:$G$160="moeda")+(Inputs!$G$5:$G$160="acoes"))*Inputs!$B$1+((Inputs!$G$5:$G$160&lt;&gt;"moeda")*(Inputs!$G$5:$G$160&lt;&gt;"acoes")))*INDEX(Inputs!$K$5:$AJ$160,0,MATCH(AJ$2,Inputs!$K$4:$AJ$4,0)))+SUMPRODUCT((Inputs!$C$5:$C$160=$B21)*Inputs!$D$5:$D$160*(((Inputs!$G$5:$G$160="moeda")+(Inputs!$G$5:$G$160="acoes"))*Inputs!$B$1+((Inputs!$G$5:$G$160&lt;&gt;"moeda")*(Inputs!$G$5:$G$160&lt;&gt;"acoes")))*INDEX(Inputs!$K$5:$AJ$160,0,MATCH(AJ$2,Inputs!$K$4:$AJ$4,0)))+SUMPRODUCT((Inputs!$E$5:$E$160=$B21)*Inputs!$F$5:$F$160*(((Inputs!$G$5:$G$160="moeda")+(Inputs!$G$5:$G$160="acoes"))*Inputs!$B$1+((Inputs!$G$5:$G$160&lt;&gt;"moeda")*(Inputs!$G$5:$G$160&lt;&gt;"acoes")))*INDEX(Inputs!$K$5:$AJ$160,0,MATCH(AJ$2,Inputs!$K$4:$AJ$4,0)))))</f>
        <v>23.1600065860319</v>
      </c>
      <c r="AK21" s="6">
        <f>IF(ISNA(MATCH(AK$2,Inputs!$K$4:$AJ$4,0)),NA(),IF(SUMPRODUCT((Inputs!$A$5:$A$160=$B21)*ISNUMBER(INDEX(Inputs!$K$5:$AJ$160,0,MATCH(AK$2,Inputs!$K$4:$AJ$4,0))))+SUMPRODUCT((Inputs!$C$5:$C$160=$B21)*ISNUMBER(INDEX(Inputs!$K$5:$AJ$160,0,MATCH(AK$2,Inputs!$K$4:$AJ$4,0))))+SUMPRODUCT((Inputs!$E$5:$E$160=$B21)*ISNUMBER(INDEX(Inputs!$K$5:$AJ$160,0,MATCH(AK$2,Inputs!$K$4:$AJ$4,0))))=0,NA(),SUMPRODUCT((Inputs!$A$5:$A$160=$B21)*Inputs!$B$5:$B$160*(((Inputs!$G$5:$G$160="moeda")+(Inputs!$G$5:$G$160="acoes"))*Inputs!$B$1+((Inputs!$G$5:$G$160&lt;&gt;"moeda")*(Inputs!$G$5:$G$160&lt;&gt;"acoes")))*INDEX(Inputs!$K$5:$AJ$160,0,MATCH(AK$2,Inputs!$K$4:$AJ$4,0)))+SUMPRODUCT((Inputs!$C$5:$C$160=$B21)*Inputs!$D$5:$D$160*(((Inputs!$G$5:$G$160="moeda")+(Inputs!$G$5:$G$160="acoes"))*Inputs!$B$1+((Inputs!$G$5:$G$160&lt;&gt;"moeda")*(Inputs!$G$5:$G$160&lt;&gt;"acoes")))*INDEX(Inputs!$K$5:$AJ$160,0,MATCH(AK$2,Inputs!$K$4:$AJ$4,0)))+SUMPRODUCT((Inputs!$E$5:$E$160=$B21)*Inputs!$F$5:$F$160*(((Inputs!$G$5:$G$160="moeda")+(Inputs!$G$5:$G$160="acoes"))*Inputs!$B$1+((Inputs!$G$5:$G$160&lt;&gt;"moeda")*(Inputs!$G$5:$G$160&lt;&gt;"acoes")))*INDEX(Inputs!$K$5:$AJ$160,0,MATCH(AK$2,Inputs!$K$4:$AJ$4,0)))))</f>
        <v>34.3720942828173</v>
      </c>
      <c r="AL21" s="3">
        <f>AK21</f>
        <v>34.3720942828173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$160=$B22)*ISNUMBER(INDEX(Inputs!$K$5:$AJ$160,0,MATCH(D$2,Inputs!$K$4:$AJ$4,0))))+SUMPRODUCT((Inputs!$C$5:$C$160=$B22)*ISNUMBER(INDEX(Inputs!$K$5:$AJ$160,0,MATCH(D$2,Inputs!$K$4:$AJ$4,0))))+SUMPRODUCT((Inputs!$E$5:$E$160=$B22)*ISNUMBER(INDEX(Inputs!$K$5:$AJ$160,0,MATCH(D$2,Inputs!$K$4:$AJ$4,0))))=0,NA(),SUMPRODUCT((Inputs!$A$5:$A$160=$B22)*Inputs!$B$5:$B$160*(((Inputs!$G$5:$G$160="moeda")+(Inputs!$G$5:$G$160="acoes"))*Inputs!$B$1+((Inputs!$G$5:$G$160&lt;&gt;"moeda")*(Inputs!$G$5:$G$160&lt;&gt;"acoes")))*INDEX(Inputs!$K$5:$AJ$160,0,MATCH(D$2,Inputs!$K$4:$AJ$4,0)))+SUMPRODUCT((Inputs!$C$5:$C$160=$B22)*Inputs!$D$5:$D$160*(((Inputs!$G$5:$G$160="moeda")+(Inputs!$G$5:$G$160="acoes"))*Inputs!$B$1+((Inputs!$G$5:$G$160&lt;&gt;"moeda")*(Inputs!$G$5:$G$160&lt;&gt;"acoes")))*INDEX(Inputs!$K$5:$AJ$160,0,MATCH(D$2,Inputs!$K$4:$AJ$4,0)))+SUMPRODUCT((Inputs!$E$5:$E$160=$B22)*Inputs!$F$5:$F$160*(((Inputs!$G$5:$G$160="moeda")+(Inputs!$G$5:$G$160="acoes"))*Inputs!$B$1+((Inputs!$G$5:$G$160&lt;&gt;"moeda")*(Inputs!$G$5:$G$160&lt;&gt;"acoes")))*INDEX(Inputs!$K$5:$AJ$160,0,MATCH(D$2,Inputs!$K$4:$AJ$4,0)))))</f>
        <v>690.647707332069</v>
      </c>
      <c r="E22" s="6">
        <f>IF(ISNA(MATCH(E$2,Inputs!$K$4:$AJ$4,0)),NA(),IF(SUMPRODUCT((Inputs!$A$5:$A$160=$B22)*ISNUMBER(INDEX(Inputs!$K$5:$AJ$160,0,MATCH(E$2,Inputs!$K$4:$AJ$4,0))))+SUMPRODUCT((Inputs!$C$5:$C$160=$B22)*ISNUMBER(INDEX(Inputs!$K$5:$AJ$160,0,MATCH(E$2,Inputs!$K$4:$AJ$4,0))))+SUMPRODUCT((Inputs!$E$5:$E$160=$B22)*ISNUMBER(INDEX(Inputs!$K$5:$AJ$160,0,MATCH(E$2,Inputs!$K$4:$AJ$4,0))))=0,NA(),SUMPRODUCT((Inputs!$A$5:$A$160=$B22)*Inputs!$B$5:$B$160*(((Inputs!$G$5:$G$160="moeda")+(Inputs!$G$5:$G$160="acoes"))*Inputs!$B$1+((Inputs!$G$5:$G$160&lt;&gt;"moeda")*(Inputs!$G$5:$G$160&lt;&gt;"acoes")))*INDEX(Inputs!$K$5:$AJ$160,0,MATCH(E$2,Inputs!$K$4:$AJ$4,0)))+SUMPRODUCT((Inputs!$C$5:$C$160=$B22)*Inputs!$D$5:$D$160*(((Inputs!$G$5:$G$160="moeda")+(Inputs!$G$5:$G$160="acoes"))*Inputs!$B$1+((Inputs!$G$5:$G$160&lt;&gt;"moeda")*(Inputs!$G$5:$G$160&lt;&gt;"acoes")))*INDEX(Inputs!$K$5:$AJ$160,0,MATCH(E$2,Inputs!$K$4:$AJ$4,0)))+SUMPRODUCT((Inputs!$E$5:$E$160=$B22)*Inputs!$F$5:$F$160*(((Inputs!$G$5:$G$160="moeda")+(Inputs!$G$5:$G$160="acoes"))*Inputs!$B$1+((Inputs!$G$5:$G$160&lt;&gt;"moeda")*(Inputs!$G$5:$G$160&lt;&gt;"acoes")))*INDEX(Inputs!$K$5:$AJ$160,0,MATCH(E$2,Inputs!$K$4:$AJ$4,0)))))</f>
        <v>707.228095126682</v>
      </c>
      <c r="F22" s="6">
        <f>IF(ISNA(MATCH(F$2,Inputs!$K$4:$AJ$4,0)),NA(),IF(SUMPRODUCT((Inputs!$A$5:$A$160=$B22)*ISNUMBER(INDEX(Inputs!$K$5:$AJ$160,0,MATCH(F$2,Inputs!$K$4:$AJ$4,0))))+SUMPRODUCT((Inputs!$C$5:$C$160=$B22)*ISNUMBER(INDEX(Inputs!$K$5:$AJ$160,0,MATCH(F$2,Inputs!$K$4:$AJ$4,0))))+SUMPRODUCT((Inputs!$E$5:$E$160=$B22)*ISNUMBER(INDEX(Inputs!$K$5:$AJ$160,0,MATCH(F$2,Inputs!$K$4:$AJ$4,0))))=0,NA(),SUMPRODUCT((Inputs!$A$5:$A$160=$B22)*Inputs!$B$5:$B$160*(((Inputs!$G$5:$G$160="moeda")+(Inputs!$G$5:$G$160="acoes"))*Inputs!$B$1+((Inputs!$G$5:$G$160&lt;&gt;"moeda")*(Inputs!$G$5:$G$160&lt;&gt;"acoes")))*INDEX(Inputs!$K$5:$AJ$160,0,MATCH(F$2,Inputs!$K$4:$AJ$4,0)))+SUMPRODUCT((Inputs!$C$5:$C$160=$B22)*Inputs!$D$5:$D$160*(((Inputs!$G$5:$G$160="moeda")+(Inputs!$G$5:$G$160="acoes"))*Inputs!$B$1+((Inputs!$G$5:$G$160&lt;&gt;"moeda")*(Inputs!$G$5:$G$160&lt;&gt;"acoes")))*INDEX(Inputs!$K$5:$AJ$160,0,MATCH(F$2,Inputs!$K$4:$AJ$4,0)))+SUMPRODUCT((Inputs!$E$5:$E$160=$B22)*Inputs!$F$5:$F$160*(((Inputs!$G$5:$G$160="moeda")+(Inputs!$G$5:$G$160="acoes"))*Inputs!$B$1+((Inputs!$G$5:$G$160&lt;&gt;"moeda")*(Inputs!$G$5:$G$160&lt;&gt;"acoes")))*INDEX(Inputs!$K$5:$AJ$160,0,MATCH(F$2,Inputs!$K$4:$AJ$4,0)))))</f>
        <v>720.527861893454</v>
      </c>
      <c r="G22" s="6">
        <f>IF(ISNA(MATCH(G$2,Inputs!$K$4:$AJ$4,0)),NA(),IF(SUMPRODUCT((Inputs!$A$5:$A$160=$B22)*ISNUMBER(INDEX(Inputs!$K$5:$AJ$160,0,MATCH(G$2,Inputs!$K$4:$AJ$4,0))))+SUMPRODUCT((Inputs!$C$5:$C$160=$B22)*ISNUMBER(INDEX(Inputs!$K$5:$AJ$160,0,MATCH(G$2,Inputs!$K$4:$AJ$4,0))))+SUMPRODUCT((Inputs!$E$5:$E$160=$B22)*ISNUMBER(INDEX(Inputs!$K$5:$AJ$160,0,MATCH(G$2,Inputs!$K$4:$AJ$4,0))))=0,NA(),SUMPRODUCT((Inputs!$A$5:$A$160=$B22)*Inputs!$B$5:$B$160*(((Inputs!$G$5:$G$160="moeda")+(Inputs!$G$5:$G$160="acoes"))*Inputs!$B$1+((Inputs!$G$5:$G$160&lt;&gt;"moeda")*(Inputs!$G$5:$G$160&lt;&gt;"acoes")))*INDEX(Inputs!$K$5:$AJ$160,0,MATCH(G$2,Inputs!$K$4:$AJ$4,0)))+SUMPRODUCT((Inputs!$C$5:$C$160=$B22)*Inputs!$D$5:$D$160*(((Inputs!$G$5:$G$160="moeda")+(Inputs!$G$5:$G$160="acoes"))*Inputs!$B$1+((Inputs!$G$5:$G$160&lt;&gt;"moeda")*(Inputs!$G$5:$G$160&lt;&gt;"acoes")))*INDEX(Inputs!$K$5:$AJ$160,0,MATCH(G$2,Inputs!$K$4:$AJ$4,0)))+SUMPRODUCT((Inputs!$E$5:$E$160=$B22)*Inputs!$F$5:$F$160*(((Inputs!$G$5:$G$160="moeda")+(Inputs!$G$5:$G$160="acoes"))*Inputs!$B$1+((Inputs!$G$5:$G$160&lt;&gt;"moeda")*(Inputs!$G$5:$G$160&lt;&gt;"acoes")))*INDEX(Inputs!$K$5:$AJ$160,0,MATCH(G$2,Inputs!$K$4:$AJ$4,0)))))</f>
        <v>814.406748984424</v>
      </c>
      <c r="H22" s="3">
        <f>G22</f>
        <v>814.406748984424</v>
      </c>
      <c r="I22" s="6">
        <f>IF(ISNA(MATCH(I$2,Inputs!$K$4:$AJ$4,0)),NA(),IF(SUMPRODUCT((Inputs!$A$5:$A$160=$B22)*ISNUMBER(INDEX(Inputs!$K$5:$AJ$160,0,MATCH(I$2,Inputs!$K$4:$AJ$4,0))))+SUMPRODUCT((Inputs!$C$5:$C$160=$B22)*ISNUMBER(INDEX(Inputs!$K$5:$AJ$160,0,MATCH(I$2,Inputs!$K$4:$AJ$4,0))))+SUMPRODUCT((Inputs!$E$5:$E$160=$B22)*ISNUMBER(INDEX(Inputs!$K$5:$AJ$160,0,MATCH(I$2,Inputs!$K$4:$AJ$4,0))))=0,NA(),SUMPRODUCT((Inputs!$A$5:$A$160=$B22)*Inputs!$B$5:$B$160*(((Inputs!$G$5:$G$160="moeda")+(Inputs!$G$5:$G$160="acoes"))*Inputs!$B$1+((Inputs!$G$5:$G$160&lt;&gt;"moeda")*(Inputs!$G$5:$G$160&lt;&gt;"acoes")))*INDEX(Inputs!$K$5:$AJ$160,0,MATCH(I$2,Inputs!$K$4:$AJ$4,0)))+SUMPRODUCT((Inputs!$C$5:$C$160=$B22)*Inputs!$D$5:$D$160*(((Inputs!$G$5:$G$160="moeda")+(Inputs!$G$5:$G$160="acoes"))*Inputs!$B$1+((Inputs!$G$5:$G$160&lt;&gt;"moeda")*(Inputs!$G$5:$G$160&lt;&gt;"acoes")))*INDEX(Inputs!$K$5:$AJ$160,0,MATCH(I$2,Inputs!$K$4:$AJ$4,0)))+SUMPRODUCT((Inputs!$E$5:$E$160=$B22)*Inputs!$F$5:$F$160*(((Inputs!$G$5:$G$160="moeda")+(Inputs!$G$5:$G$160="acoes"))*Inputs!$B$1+((Inputs!$G$5:$G$160&lt;&gt;"moeda")*(Inputs!$G$5:$G$160&lt;&gt;"acoes")))*INDEX(Inputs!$K$5:$AJ$160,0,MATCH(I$2,Inputs!$K$4:$AJ$4,0)))))</f>
        <v>800.795161026482</v>
      </c>
      <c r="J22" s="6">
        <f>IF(ISNA(MATCH(J$2,Inputs!$K$4:$AJ$4,0)),NA(),IF(SUMPRODUCT((Inputs!$A$5:$A$160=$B22)*ISNUMBER(INDEX(Inputs!$K$5:$AJ$160,0,MATCH(J$2,Inputs!$K$4:$AJ$4,0))))+SUMPRODUCT((Inputs!$C$5:$C$160=$B22)*ISNUMBER(INDEX(Inputs!$K$5:$AJ$160,0,MATCH(J$2,Inputs!$K$4:$AJ$4,0))))+SUMPRODUCT((Inputs!$E$5:$E$160=$B22)*ISNUMBER(INDEX(Inputs!$K$5:$AJ$160,0,MATCH(J$2,Inputs!$K$4:$AJ$4,0))))=0,NA(),SUMPRODUCT((Inputs!$A$5:$A$160=$B22)*Inputs!$B$5:$B$160*(((Inputs!$G$5:$G$160="moeda")+(Inputs!$G$5:$G$160="acoes"))*Inputs!$B$1+((Inputs!$G$5:$G$160&lt;&gt;"moeda")*(Inputs!$G$5:$G$160&lt;&gt;"acoes")))*INDEX(Inputs!$K$5:$AJ$160,0,MATCH(J$2,Inputs!$K$4:$AJ$4,0)))+SUMPRODUCT((Inputs!$C$5:$C$160=$B22)*Inputs!$D$5:$D$160*(((Inputs!$G$5:$G$160="moeda")+(Inputs!$G$5:$G$160="acoes"))*Inputs!$B$1+((Inputs!$G$5:$G$160&lt;&gt;"moeda")*(Inputs!$G$5:$G$160&lt;&gt;"acoes")))*INDEX(Inputs!$K$5:$AJ$160,0,MATCH(J$2,Inputs!$K$4:$AJ$4,0)))+SUMPRODUCT((Inputs!$E$5:$E$160=$B22)*Inputs!$F$5:$F$160*(((Inputs!$G$5:$G$160="moeda")+(Inputs!$G$5:$G$160="acoes"))*Inputs!$B$1+((Inputs!$G$5:$G$160&lt;&gt;"moeda")*(Inputs!$G$5:$G$160&lt;&gt;"acoes")))*INDEX(Inputs!$K$5:$AJ$160,0,MATCH(J$2,Inputs!$K$4:$AJ$4,0)))))</f>
        <v>825.129211877353</v>
      </c>
      <c r="K22" s="6">
        <f>IF(ISNA(MATCH(K$2,Inputs!$K$4:$AJ$4,0)),NA(),IF(SUMPRODUCT((Inputs!$A$5:$A$160=$B22)*ISNUMBER(INDEX(Inputs!$K$5:$AJ$160,0,MATCH(K$2,Inputs!$K$4:$AJ$4,0))))+SUMPRODUCT((Inputs!$C$5:$C$160=$B22)*ISNUMBER(INDEX(Inputs!$K$5:$AJ$160,0,MATCH(K$2,Inputs!$K$4:$AJ$4,0))))+SUMPRODUCT((Inputs!$E$5:$E$160=$B22)*ISNUMBER(INDEX(Inputs!$K$5:$AJ$160,0,MATCH(K$2,Inputs!$K$4:$AJ$4,0))))=0,NA(),SUMPRODUCT((Inputs!$A$5:$A$160=$B22)*Inputs!$B$5:$B$160*(((Inputs!$G$5:$G$160="moeda")+(Inputs!$G$5:$G$160="acoes"))*Inputs!$B$1+((Inputs!$G$5:$G$160&lt;&gt;"moeda")*(Inputs!$G$5:$G$160&lt;&gt;"acoes")))*INDEX(Inputs!$K$5:$AJ$160,0,MATCH(K$2,Inputs!$K$4:$AJ$4,0)))+SUMPRODUCT((Inputs!$C$5:$C$160=$B22)*Inputs!$D$5:$D$160*(((Inputs!$G$5:$G$160="moeda")+(Inputs!$G$5:$G$160="acoes"))*Inputs!$B$1+((Inputs!$G$5:$G$160&lt;&gt;"moeda")*(Inputs!$G$5:$G$160&lt;&gt;"acoes")))*INDEX(Inputs!$K$5:$AJ$160,0,MATCH(K$2,Inputs!$K$4:$AJ$4,0)))+SUMPRODUCT((Inputs!$E$5:$E$160=$B22)*Inputs!$F$5:$F$160*(((Inputs!$G$5:$G$160="moeda")+(Inputs!$G$5:$G$160="acoes"))*Inputs!$B$1+((Inputs!$G$5:$G$160&lt;&gt;"moeda")*(Inputs!$G$5:$G$160&lt;&gt;"acoes")))*INDEX(Inputs!$K$5:$AJ$160,0,MATCH(K$2,Inputs!$K$4:$AJ$4,0)))))</f>
        <v>874.14140573</v>
      </c>
      <c r="L22" s="6">
        <f>IF(ISNA(MATCH(L$2,Inputs!$K$4:$AJ$4,0)),NA(),IF(SUMPRODUCT((Inputs!$A$5:$A$160=$B22)*ISNUMBER(INDEX(Inputs!$K$5:$AJ$160,0,MATCH(L$2,Inputs!$K$4:$AJ$4,0))))+SUMPRODUCT((Inputs!$C$5:$C$160=$B22)*ISNUMBER(INDEX(Inputs!$K$5:$AJ$160,0,MATCH(L$2,Inputs!$K$4:$AJ$4,0))))+SUMPRODUCT((Inputs!$E$5:$E$160=$B22)*ISNUMBER(INDEX(Inputs!$K$5:$AJ$160,0,MATCH(L$2,Inputs!$K$4:$AJ$4,0))))=0,NA(),SUMPRODUCT((Inputs!$A$5:$A$160=$B22)*Inputs!$B$5:$B$160*(((Inputs!$G$5:$G$160="moeda")+(Inputs!$G$5:$G$160="acoes"))*Inputs!$B$1+((Inputs!$G$5:$G$160&lt;&gt;"moeda")*(Inputs!$G$5:$G$160&lt;&gt;"acoes")))*INDEX(Inputs!$K$5:$AJ$160,0,MATCH(L$2,Inputs!$K$4:$AJ$4,0)))+SUMPRODUCT((Inputs!$C$5:$C$160=$B22)*Inputs!$D$5:$D$160*(((Inputs!$G$5:$G$160="moeda")+(Inputs!$G$5:$G$160="acoes"))*Inputs!$B$1+((Inputs!$G$5:$G$160&lt;&gt;"moeda")*(Inputs!$G$5:$G$160&lt;&gt;"acoes")))*INDEX(Inputs!$K$5:$AJ$160,0,MATCH(L$2,Inputs!$K$4:$AJ$4,0)))+SUMPRODUCT((Inputs!$E$5:$E$160=$B22)*Inputs!$F$5:$F$160*(((Inputs!$G$5:$G$160="moeda")+(Inputs!$G$5:$G$160="acoes"))*Inputs!$B$1+((Inputs!$G$5:$G$160&lt;&gt;"moeda")*(Inputs!$G$5:$G$160&lt;&gt;"acoes")))*INDEX(Inputs!$K$5:$AJ$160,0,MATCH(L$2,Inputs!$K$4:$AJ$4,0)))))</f>
        <v>925.882893132822</v>
      </c>
      <c r="M22" s="3">
        <f>L22</f>
        <v>925.882893132822</v>
      </c>
      <c r="N22" s="6">
        <f>IF(ISNA(MATCH(N$2,Inputs!$K$4:$AJ$4,0)),NA(),IF(SUMPRODUCT((Inputs!$A$5:$A$160=$B22)*ISNUMBER(INDEX(Inputs!$K$5:$AJ$160,0,MATCH(N$2,Inputs!$K$4:$AJ$4,0))))+SUMPRODUCT((Inputs!$C$5:$C$160=$B22)*ISNUMBER(INDEX(Inputs!$K$5:$AJ$160,0,MATCH(N$2,Inputs!$K$4:$AJ$4,0))))+SUMPRODUCT((Inputs!$E$5:$E$160=$B22)*ISNUMBER(INDEX(Inputs!$K$5:$AJ$160,0,MATCH(N$2,Inputs!$K$4:$AJ$4,0))))=0,NA(),SUMPRODUCT((Inputs!$A$5:$A$160=$B22)*Inputs!$B$5:$B$160*(((Inputs!$G$5:$G$160="moeda")+(Inputs!$G$5:$G$160="acoes"))*Inputs!$B$1+((Inputs!$G$5:$G$160&lt;&gt;"moeda")*(Inputs!$G$5:$G$160&lt;&gt;"acoes")))*INDEX(Inputs!$K$5:$AJ$160,0,MATCH(N$2,Inputs!$K$4:$AJ$4,0)))+SUMPRODUCT((Inputs!$C$5:$C$160=$B22)*Inputs!$D$5:$D$160*(((Inputs!$G$5:$G$160="moeda")+(Inputs!$G$5:$G$160="acoes"))*Inputs!$B$1+((Inputs!$G$5:$G$160&lt;&gt;"moeda")*(Inputs!$G$5:$G$160&lt;&gt;"acoes")))*INDEX(Inputs!$K$5:$AJ$160,0,MATCH(N$2,Inputs!$K$4:$AJ$4,0)))+SUMPRODUCT((Inputs!$E$5:$E$160=$B22)*Inputs!$F$5:$F$160*(((Inputs!$G$5:$G$160="moeda")+(Inputs!$G$5:$G$160="acoes"))*Inputs!$B$1+((Inputs!$G$5:$G$160&lt;&gt;"moeda")*(Inputs!$G$5:$G$160&lt;&gt;"acoes")))*INDEX(Inputs!$K$5:$AJ$160,0,MATCH(N$2,Inputs!$K$4:$AJ$4,0)))))</f>
        <v>909.11490776</v>
      </c>
      <c r="O22" s="6">
        <f>IF(ISNA(MATCH(O$2,Inputs!$K$4:$AJ$4,0)),NA(),IF(SUMPRODUCT((Inputs!$A$5:$A$160=$B22)*ISNUMBER(INDEX(Inputs!$K$5:$AJ$160,0,MATCH(O$2,Inputs!$K$4:$AJ$4,0))))+SUMPRODUCT((Inputs!$C$5:$C$160=$B22)*ISNUMBER(INDEX(Inputs!$K$5:$AJ$160,0,MATCH(O$2,Inputs!$K$4:$AJ$4,0))))+SUMPRODUCT((Inputs!$E$5:$E$160=$B22)*ISNUMBER(INDEX(Inputs!$K$5:$AJ$160,0,MATCH(O$2,Inputs!$K$4:$AJ$4,0))))=0,NA(),SUMPRODUCT((Inputs!$A$5:$A$160=$B22)*Inputs!$B$5:$B$160*(((Inputs!$G$5:$G$160="moeda")+(Inputs!$G$5:$G$160="acoes"))*Inputs!$B$1+((Inputs!$G$5:$G$160&lt;&gt;"moeda")*(Inputs!$G$5:$G$160&lt;&gt;"acoes")))*INDEX(Inputs!$K$5:$AJ$160,0,MATCH(O$2,Inputs!$K$4:$AJ$4,0)))+SUMPRODUCT((Inputs!$C$5:$C$160=$B22)*Inputs!$D$5:$D$160*(((Inputs!$G$5:$G$160="moeda")+(Inputs!$G$5:$G$160="acoes"))*Inputs!$B$1+((Inputs!$G$5:$G$160&lt;&gt;"moeda")*(Inputs!$G$5:$G$160&lt;&gt;"acoes")))*INDEX(Inputs!$K$5:$AJ$160,0,MATCH(O$2,Inputs!$K$4:$AJ$4,0)))+SUMPRODUCT((Inputs!$E$5:$E$160=$B22)*Inputs!$F$5:$F$160*(((Inputs!$G$5:$G$160="moeda")+(Inputs!$G$5:$G$160="acoes"))*Inputs!$B$1+((Inputs!$G$5:$G$160&lt;&gt;"moeda")*(Inputs!$G$5:$G$160&lt;&gt;"acoes")))*INDEX(Inputs!$K$5:$AJ$160,0,MATCH(O$2,Inputs!$K$4:$AJ$4,0)))))</f>
        <v>1351.334</v>
      </c>
      <c r="P22" s="6">
        <f>IF(ISNA(MATCH(P$2,Inputs!$K$4:$AJ$4,0)),NA(),IF(SUMPRODUCT((Inputs!$A$5:$A$160=$B22)*ISNUMBER(INDEX(Inputs!$K$5:$AJ$160,0,MATCH(P$2,Inputs!$K$4:$AJ$4,0))))+SUMPRODUCT((Inputs!$C$5:$C$160=$B22)*ISNUMBER(INDEX(Inputs!$K$5:$AJ$160,0,MATCH(P$2,Inputs!$K$4:$AJ$4,0))))+SUMPRODUCT((Inputs!$E$5:$E$160=$B22)*ISNUMBER(INDEX(Inputs!$K$5:$AJ$160,0,MATCH(P$2,Inputs!$K$4:$AJ$4,0))))=0,NA(),SUMPRODUCT((Inputs!$A$5:$A$160=$B22)*Inputs!$B$5:$B$160*(((Inputs!$G$5:$G$160="moeda")+(Inputs!$G$5:$G$160="acoes"))*Inputs!$B$1+((Inputs!$G$5:$G$160&lt;&gt;"moeda")*(Inputs!$G$5:$G$160&lt;&gt;"acoes")))*INDEX(Inputs!$K$5:$AJ$160,0,MATCH(P$2,Inputs!$K$4:$AJ$4,0)))+SUMPRODUCT((Inputs!$C$5:$C$160=$B22)*Inputs!$D$5:$D$160*(((Inputs!$G$5:$G$160="moeda")+(Inputs!$G$5:$G$160="acoes"))*Inputs!$B$1+((Inputs!$G$5:$G$160&lt;&gt;"moeda")*(Inputs!$G$5:$G$160&lt;&gt;"acoes")))*INDEX(Inputs!$K$5:$AJ$160,0,MATCH(P$2,Inputs!$K$4:$AJ$4,0)))+SUMPRODUCT((Inputs!$E$5:$E$160=$B22)*Inputs!$F$5:$F$160*(((Inputs!$G$5:$G$160="moeda")+(Inputs!$G$5:$G$160="acoes"))*Inputs!$B$1+((Inputs!$G$5:$G$160&lt;&gt;"moeda")*(Inputs!$G$5:$G$160&lt;&gt;"acoes")))*INDEX(Inputs!$K$5:$AJ$160,0,MATCH(P$2,Inputs!$K$4:$AJ$4,0)))))</f>
        <v>1349.217</v>
      </c>
      <c r="Q22" s="6">
        <f>IF(ISNA(MATCH(Q$2,Inputs!$K$4:$AJ$4,0)),NA(),IF(SUMPRODUCT((Inputs!$A$5:$A$160=$B22)*ISNUMBER(INDEX(Inputs!$K$5:$AJ$160,0,MATCH(Q$2,Inputs!$K$4:$AJ$4,0))))+SUMPRODUCT((Inputs!$C$5:$C$160=$B22)*ISNUMBER(INDEX(Inputs!$K$5:$AJ$160,0,MATCH(Q$2,Inputs!$K$4:$AJ$4,0))))+SUMPRODUCT((Inputs!$E$5:$E$160=$B22)*ISNUMBER(INDEX(Inputs!$K$5:$AJ$160,0,MATCH(Q$2,Inputs!$K$4:$AJ$4,0))))=0,NA(),SUMPRODUCT((Inputs!$A$5:$A$160=$B22)*Inputs!$B$5:$B$160*(((Inputs!$G$5:$G$160="moeda")+(Inputs!$G$5:$G$160="acoes"))*Inputs!$B$1+((Inputs!$G$5:$G$160&lt;&gt;"moeda")*(Inputs!$G$5:$G$160&lt;&gt;"acoes")))*INDEX(Inputs!$K$5:$AJ$160,0,MATCH(Q$2,Inputs!$K$4:$AJ$4,0)))+SUMPRODUCT((Inputs!$C$5:$C$160=$B22)*Inputs!$D$5:$D$160*(((Inputs!$G$5:$G$160="moeda")+(Inputs!$G$5:$G$160="acoes"))*Inputs!$B$1+((Inputs!$G$5:$G$160&lt;&gt;"moeda")*(Inputs!$G$5:$G$160&lt;&gt;"acoes")))*INDEX(Inputs!$K$5:$AJ$160,0,MATCH(Q$2,Inputs!$K$4:$AJ$4,0)))+SUMPRODUCT((Inputs!$E$5:$E$160=$B22)*Inputs!$F$5:$F$160*(((Inputs!$G$5:$G$160="moeda")+(Inputs!$G$5:$G$160="acoes"))*Inputs!$B$1+((Inputs!$G$5:$G$160&lt;&gt;"moeda")*(Inputs!$G$5:$G$160&lt;&gt;"acoes")))*INDEX(Inputs!$K$5:$AJ$160,0,MATCH(Q$2,Inputs!$K$4:$AJ$4,0)))))</f>
        <v>1348.492</v>
      </c>
      <c r="R22" s="3">
        <f>Q22</f>
        <v>1348.492</v>
      </c>
      <c r="S22" s="6">
        <f>IF(ISNA(MATCH(S$2,Inputs!$K$4:$AJ$4,0)),NA(),IF(SUMPRODUCT((Inputs!$A$5:$A$160=$B22)*ISNUMBER(INDEX(Inputs!$K$5:$AJ$160,0,MATCH(S$2,Inputs!$K$4:$AJ$4,0))))+SUMPRODUCT((Inputs!$C$5:$C$160=$B22)*ISNUMBER(INDEX(Inputs!$K$5:$AJ$160,0,MATCH(S$2,Inputs!$K$4:$AJ$4,0))))+SUMPRODUCT((Inputs!$E$5:$E$160=$B22)*ISNUMBER(INDEX(Inputs!$K$5:$AJ$160,0,MATCH(S$2,Inputs!$K$4:$AJ$4,0))))=0,NA(),SUMPRODUCT((Inputs!$A$5:$A$160=$B22)*Inputs!$B$5:$B$160*(((Inputs!$G$5:$G$160="moeda")+(Inputs!$G$5:$G$160="acoes"))*Inputs!$B$1+((Inputs!$G$5:$G$160&lt;&gt;"moeda")*(Inputs!$G$5:$G$160&lt;&gt;"acoes")))*INDEX(Inputs!$K$5:$AJ$160,0,MATCH(S$2,Inputs!$K$4:$AJ$4,0)))+SUMPRODUCT((Inputs!$C$5:$C$160=$B22)*Inputs!$D$5:$D$160*(((Inputs!$G$5:$G$160="moeda")+(Inputs!$G$5:$G$160="acoes"))*Inputs!$B$1+((Inputs!$G$5:$G$160&lt;&gt;"moeda")*(Inputs!$G$5:$G$160&lt;&gt;"acoes")))*INDEX(Inputs!$K$5:$AJ$160,0,MATCH(S$2,Inputs!$K$4:$AJ$4,0)))+SUMPRODUCT((Inputs!$E$5:$E$160=$B22)*Inputs!$F$5:$F$160*(((Inputs!$G$5:$G$160="moeda")+(Inputs!$G$5:$G$160="acoes"))*Inputs!$B$1+((Inputs!$G$5:$G$160&lt;&gt;"moeda")*(Inputs!$G$5:$G$160&lt;&gt;"acoes")))*INDEX(Inputs!$K$5:$AJ$160,0,MATCH(S$2,Inputs!$K$4:$AJ$4,0)))))</f>
        <v>1326.688</v>
      </c>
      <c r="T22" s="6">
        <f>IF(ISNA(MATCH(T$2,Inputs!$K$4:$AJ$4,0)),NA(),IF(SUMPRODUCT((Inputs!$A$5:$A$160=$B22)*ISNUMBER(INDEX(Inputs!$K$5:$AJ$160,0,MATCH(T$2,Inputs!$K$4:$AJ$4,0))))+SUMPRODUCT((Inputs!$C$5:$C$160=$B22)*ISNUMBER(INDEX(Inputs!$K$5:$AJ$160,0,MATCH(T$2,Inputs!$K$4:$AJ$4,0))))+SUMPRODUCT((Inputs!$E$5:$E$160=$B22)*ISNUMBER(INDEX(Inputs!$K$5:$AJ$160,0,MATCH(T$2,Inputs!$K$4:$AJ$4,0))))=0,NA(),SUMPRODUCT((Inputs!$A$5:$A$160=$B22)*Inputs!$B$5:$B$160*(((Inputs!$G$5:$G$160="moeda")+(Inputs!$G$5:$G$160="acoes"))*Inputs!$B$1+((Inputs!$G$5:$G$160&lt;&gt;"moeda")*(Inputs!$G$5:$G$160&lt;&gt;"acoes")))*INDEX(Inputs!$K$5:$AJ$160,0,MATCH(T$2,Inputs!$K$4:$AJ$4,0)))+SUMPRODUCT((Inputs!$C$5:$C$160=$B22)*Inputs!$D$5:$D$160*(((Inputs!$G$5:$G$160="moeda")+(Inputs!$G$5:$G$160="acoes"))*Inputs!$B$1+((Inputs!$G$5:$G$160&lt;&gt;"moeda")*(Inputs!$G$5:$G$160&lt;&gt;"acoes")))*INDEX(Inputs!$K$5:$AJ$160,0,MATCH(T$2,Inputs!$K$4:$AJ$4,0)))+SUMPRODUCT((Inputs!$E$5:$E$160=$B22)*Inputs!$F$5:$F$160*(((Inputs!$G$5:$G$160="moeda")+(Inputs!$G$5:$G$160="acoes"))*Inputs!$B$1+((Inputs!$G$5:$G$160&lt;&gt;"moeda")*(Inputs!$G$5:$G$160&lt;&gt;"acoes")))*INDEX(Inputs!$K$5:$AJ$160,0,MATCH(T$2,Inputs!$K$4:$AJ$4,0)))))</f>
        <v>1320.192</v>
      </c>
      <c r="U22" s="6">
        <f>IF(ISNA(MATCH(U$2,Inputs!$K$4:$AJ$4,0)),NA(),IF(SUMPRODUCT((Inputs!$A$5:$A$160=$B22)*ISNUMBER(INDEX(Inputs!$K$5:$AJ$160,0,MATCH(U$2,Inputs!$K$4:$AJ$4,0))))+SUMPRODUCT((Inputs!$C$5:$C$160=$B22)*ISNUMBER(INDEX(Inputs!$K$5:$AJ$160,0,MATCH(U$2,Inputs!$K$4:$AJ$4,0))))+SUMPRODUCT((Inputs!$E$5:$E$160=$B22)*ISNUMBER(INDEX(Inputs!$K$5:$AJ$160,0,MATCH(U$2,Inputs!$K$4:$AJ$4,0))))=0,NA(),SUMPRODUCT((Inputs!$A$5:$A$160=$B22)*Inputs!$B$5:$B$160*(((Inputs!$G$5:$G$160="moeda")+(Inputs!$G$5:$G$160="acoes"))*Inputs!$B$1+((Inputs!$G$5:$G$160&lt;&gt;"moeda")*(Inputs!$G$5:$G$160&lt;&gt;"acoes")))*INDEX(Inputs!$K$5:$AJ$160,0,MATCH(U$2,Inputs!$K$4:$AJ$4,0)))+SUMPRODUCT((Inputs!$C$5:$C$160=$B22)*Inputs!$D$5:$D$160*(((Inputs!$G$5:$G$160="moeda")+(Inputs!$G$5:$G$160="acoes"))*Inputs!$B$1+((Inputs!$G$5:$G$160&lt;&gt;"moeda")*(Inputs!$G$5:$G$160&lt;&gt;"acoes")))*INDEX(Inputs!$K$5:$AJ$160,0,MATCH(U$2,Inputs!$K$4:$AJ$4,0)))+SUMPRODUCT((Inputs!$E$5:$E$160=$B22)*Inputs!$F$5:$F$160*(((Inputs!$G$5:$G$160="moeda")+(Inputs!$G$5:$G$160="acoes"))*Inputs!$B$1+((Inputs!$G$5:$G$160&lt;&gt;"moeda")*(Inputs!$G$5:$G$160&lt;&gt;"acoes")))*INDEX(Inputs!$K$5:$AJ$160,0,MATCH(U$2,Inputs!$K$4:$AJ$4,0)))))</f>
        <v>1334.583</v>
      </c>
      <c r="V22" s="6">
        <f>IF(ISNA(MATCH(V$2,Inputs!$K$4:$AJ$4,0)),NA(),IF(SUMPRODUCT((Inputs!$A$5:$A$160=$B22)*ISNUMBER(INDEX(Inputs!$K$5:$AJ$160,0,MATCH(V$2,Inputs!$K$4:$AJ$4,0))))+SUMPRODUCT((Inputs!$C$5:$C$160=$B22)*ISNUMBER(INDEX(Inputs!$K$5:$AJ$160,0,MATCH(V$2,Inputs!$K$4:$AJ$4,0))))+SUMPRODUCT((Inputs!$E$5:$E$160=$B22)*ISNUMBER(INDEX(Inputs!$K$5:$AJ$160,0,MATCH(V$2,Inputs!$K$4:$AJ$4,0))))=0,NA(),SUMPRODUCT((Inputs!$A$5:$A$160=$B22)*Inputs!$B$5:$B$160*(((Inputs!$G$5:$G$160="moeda")+(Inputs!$G$5:$G$160="acoes"))*Inputs!$B$1+((Inputs!$G$5:$G$160&lt;&gt;"moeda")*(Inputs!$G$5:$G$160&lt;&gt;"acoes")))*INDEX(Inputs!$K$5:$AJ$160,0,MATCH(V$2,Inputs!$K$4:$AJ$4,0)))+SUMPRODUCT((Inputs!$C$5:$C$160=$B22)*Inputs!$D$5:$D$160*(((Inputs!$G$5:$G$160="moeda")+(Inputs!$G$5:$G$160="acoes"))*Inputs!$B$1+((Inputs!$G$5:$G$160&lt;&gt;"moeda")*(Inputs!$G$5:$G$160&lt;&gt;"acoes")))*INDEX(Inputs!$K$5:$AJ$160,0,MATCH(V$2,Inputs!$K$4:$AJ$4,0)))+SUMPRODUCT((Inputs!$E$5:$E$160=$B22)*Inputs!$F$5:$F$160*(((Inputs!$G$5:$G$160="moeda")+(Inputs!$G$5:$G$160="acoes"))*Inputs!$B$1+((Inputs!$G$5:$G$160&lt;&gt;"moeda")*(Inputs!$G$5:$G$160&lt;&gt;"acoes")))*INDEX(Inputs!$K$5:$AJ$160,0,MATCH(V$2,Inputs!$K$4:$AJ$4,0)))))</f>
        <v>1375.065</v>
      </c>
      <c r="W22" s="3">
        <f>V22</f>
        <v>1375.065</v>
      </c>
      <c r="X22" s="6">
        <f>IF(ISNA(MATCH(X$2,Inputs!$K$4:$AJ$4,0)),NA(),IF(SUMPRODUCT((Inputs!$A$5:$A$160=$B22)*ISNUMBER(INDEX(Inputs!$K$5:$AJ$160,0,MATCH(X$2,Inputs!$K$4:$AJ$4,0))))+SUMPRODUCT((Inputs!$C$5:$C$160=$B22)*ISNUMBER(INDEX(Inputs!$K$5:$AJ$160,0,MATCH(X$2,Inputs!$K$4:$AJ$4,0))))+SUMPRODUCT((Inputs!$E$5:$E$160=$B22)*ISNUMBER(INDEX(Inputs!$K$5:$AJ$160,0,MATCH(X$2,Inputs!$K$4:$AJ$4,0))))=0,NA(),SUMPRODUCT((Inputs!$A$5:$A$160=$B22)*Inputs!$B$5:$B$160*(((Inputs!$G$5:$G$160="moeda")+(Inputs!$G$5:$G$160="acoes"))*Inputs!$B$1+((Inputs!$G$5:$G$160&lt;&gt;"moeda")*(Inputs!$G$5:$G$160&lt;&gt;"acoes")))*INDEX(Inputs!$K$5:$AJ$160,0,MATCH(X$2,Inputs!$K$4:$AJ$4,0)))+SUMPRODUCT((Inputs!$C$5:$C$160=$B22)*Inputs!$D$5:$D$160*(((Inputs!$G$5:$G$160="moeda")+(Inputs!$G$5:$G$160="acoes"))*Inputs!$B$1+((Inputs!$G$5:$G$160&lt;&gt;"moeda")*(Inputs!$G$5:$G$160&lt;&gt;"acoes")))*INDEX(Inputs!$K$5:$AJ$160,0,MATCH(X$2,Inputs!$K$4:$AJ$4,0)))+SUMPRODUCT((Inputs!$E$5:$E$160=$B22)*Inputs!$F$5:$F$160*(((Inputs!$G$5:$G$160="moeda")+(Inputs!$G$5:$G$160="acoes"))*Inputs!$B$1+((Inputs!$G$5:$G$160&lt;&gt;"moeda")*(Inputs!$G$5:$G$160&lt;&gt;"acoes")))*INDEX(Inputs!$K$5:$AJ$160,0,MATCH(X$2,Inputs!$K$4:$AJ$4,0)))))</f>
        <v>1348.365553</v>
      </c>
      <c r="Y22" s="6">
        <f>IF(ISNA(MATCH(Y$2,Inputs!$K$4:$AJ$4,0)),NA(),IF(SUMPRODUCT((Inputs!$A$5:$A$160=$B22)*ISNUMBER(INDEX(Inputs!$K$5:$AJ$160,0,MATCH(Y$2,Inputs!$K$4:$AJ$4,0))))+SUMPRODUCT((Inputs!$C$5:$C$160=$B22)*ISNUMBER(INDEX(Inputs!$K$5:$AJ$160,0,MATCH(Y$2,Inputs!$K$4:$AJ$4,0))))+SUMPRODUCT((Inputs!$E$5:$E$160=$B22)*ISNUMBER(INDEX(Inputs!$K$5:$AJ$160,0,MATCH(Y$2,Inputs!$K$4:$AJ$4,0))))=0,NA(),SUMPRODUCT((Inputs!$A$5:$A$160=$B22)*Inputs!$B$5:$B$160*(((Inputs!$G$5:$G$160="moeda")+(Inputs!$G$5:$G$160="acoes"))*Inputs!$B$1+((Inputs!$G$5:$G$160&lt;&gt;"moeda")*(Inputs!$G$5:$G$160&lt;&gt;"acoes")))*INDEX(Inputs!$K$5:$AJ$160,0,MATCH(Y$2,Inputs!$K$4:$AJ$4,0)))+SUMPRODUCT((Inputs!$C$5:$C$160=$B22)*Inputs!$D$5:$D$160*(((Inputs!$G$5:$G$160="moeda")+(Inputs!$G$5:$G$160="acoes"))*Inputs!$B$1+((Inputs!$G$5:$G$160&lt;&gt;"moeda")*(Inputs!$G$5:$G$160&lt;&gt;"acoes")))*INDEX(Inputs!$K$5:$AJ$160,0,MATCH(Y$2,Inputs!$K$4:$AJ$4,0)))+SUMPRODUCT((Inputs!$E$5:$E$160=$B22)*Inputs!$F$5:$F$160*(((Inputs!$G$5:$G$160="moeda")+(Inputs!$G$5:$G$160="acoes"))*Inputs!$B$1+((Inputs!$G$5:$G$160&lt;&gt;"moeda")*(Inputs!$G$5:$G$160&lt;&gt;"acoes")))*INDEX(Inputs!$K$5:$AJ$160,0,MATCH(Y$2,Inputs!$K$4:$AJ$4,0)))))</f>
        <v>1338.359</v>
      </c>
      <c r="Z22" s="6">
        <f>IF(ISNA(MATCH(Z$2,Inputs!$K$4:$AJ$4,0)),NA(),IF(SUMPRODUCT((Inputs!$A$5:$A$160=$B22)*ISNUMBER(INDEX(Inputs!$K$5:$AJ$160,0,MATCH(Z$2,Inputs!$K$4:$AJ$4,0))))+SUMPRODUCT((Inputs!$C$5:$C$160=$B22)*ISNUMBER(INDEX(Inputs!$K$5:$AJ$160,0,MATCH(Z$2,Inputs!$K$4:$AJ$4,0))))+SUMPRODUCT((Inputs!$E$5:$E$160=$B22)*ISNUMBER(INDEX(Inputs!$K$5:$AJ$160,0,MATCH(Z$2,Inputs!$K$4:$AJ$4,0))))=0,NA(),SUMPRODUCT((Inputs!$A$5:$A$160=$B22)*Inputs!$B$5:$B$160*(((Inputs!$G$5:$G$160="moeda")+(Inputs!$G$5:$G$160="acoes"))*Inputs!$B$1+((Inputs!$G$5:$G$160&lt;&gt;"moeda")*(Inputs!$G$5:$G$160&lt;&gt;"acoes")))*INDEX(Inputs!$K$5:$AJ$160,0,MATCH(Z$2,Inputs!$K$4:$AJ$4,0)))+SUMPRODUCT((Inputs!$C$5:$C$160=$B22)*Inputs!$D$5:$D$160*(((Inputs!$G$5:$G$160="moeda")+(Inputs!$G$5:$G$160="acoes"))*Inputs!$B$1+((Inputs!$G$5:$G$160&lt;&gt;"moeda")*(Inputs!$G$5:$G$160&lt;&gt;"acoes")))*INDEX(Inputs!$K$5:$AJ$160,0,MATCH(Z$2,Inputs!$K$4:$AJ$4,0)))+SUMPRODUCT((Inputs!$E$5:$E$160=$B22)*Inputs!$F$5:$F$160*(((Inputs!$G$5:$G$160="moeda")+(Inputs!$G$5:$G$160="acoes"))*Inputs!$B$1+((Inputs!$G$5:$G$160&lt;&gt;"moeda")*(Inputs!$G$5:$G$160&lt;&gt;"acoes")))*INDEX(Inputs!$K$5:$AJ$160,0,MATCH(Z$2,Inputs!$K$4:$AJ$4,0)))))</f>
        <v>1344.449</v>
      </c>
      <c r="AA22" s="6">
        <f>IF(ISNA(MATCH(AA$2,Inputs!$K$4:$AJ$4,0)),NA(),IF(SUMPRODUCT((Inputs!$A$5:$A$160=$B22)*ISNUMBER(INDEX(Inputs!$K$5:$AJ$160,0,MATCH(AA$2,Inputs!$K$4:$AJ$4,0))))+SUMPRODUCT((Inputs!$C$5:$C$160=$B22)*ISNUMBER(INDEX(Inputs!$K$5:$AJ$160,0,MATCH(AA$2,Inputs!$K$4:$AJ$4,0))))+SUMPRODUCT((Inputs!$E$5:$E$160=$B22)*ISNUMBER(INDEX(Inputs!$K$5:$AJ$160,0,MATCH(AA$2,Inputs!$K$4:$AJ$4,0))))=0,NA(),SUMPRODUCT((Inputs!$A$5:$A$160=$B22)*Inputs!$B$5:$B$160*(((Inputs!$G$5:$G$160="moeda")+(Inputs!$G$5:$G$160="acoes"))*Inputs!$B$1+((Inputs!$G$5:$G$160&lt;&gt;"moeda")*(Inputs!$G$5:$G$160&lt;&gt;"acoes")))*INDEX(Inputs!$K$5:$AJ$160,0,MATCH(AA$2,Inputs!$K$4:$AJ$4,0)))+SUMPRODUCT((Inputs!$C$5:$C$160=$B22)*Inputs!$D$5:$D$160*(((Inputs!$G$5:$G$160="moeda")+(Inputs!$G$5:$G$160="acoes"))*Inputs!$B$1+((Inputs!$G$5:$G$160&lt;&gt;"moeda")*(Inputs!$G$5:$G$160&lt;&gt;"acoes")))*INDEX(Inputs!$K$5:$AJ$160,0,MATCH(AA$2,Inputs!$K$4:$AJ$4,0)))+SUMPRODUCT((Inputs!$E$5:$E$160=$B22)*Inputs!$F$5:$F$160*(((Inputs!$G$5:$G$160="moeda")+(Inputs!$G$5:$G$160="acoes"))*Inputs!$B$1+((Inputs!$G$5:$G$160&lt;&gt;"moeda")*(Inputs!$G$5:$G$160&lt;&gt;"acoes")))*INDEX(Inputs!$K$5:$AJ$160,0,MATCH(AA$2,Inputs!$K$4:$AJ$4,0)))))</f>
        <v>1379.255</v>
      </c>
      <c r="AB22" s="3">
        <f>AA22</f>
        <v>1379.255</v>
      </c>
      <c r="AC22" s="6">
        <f>IF(ISNA(MATCH(AC$2,Inputs!$K$4:$AJ$4,0)),NA(),IF(SUMPRODUCT((Inputs!$A$5:$A$160=$B22)*ISNUMBER(INDEX(Inputs!$K$5:$AJ$160,0,MATCH(AC$2,Inputs!$K$4:$AJ$4,0))))+SUMPRODUCT((Inputs!$C$5:$C$160=$B22)*ISNUMBER(INDEX(Inputs!$K$5:$AJ$160,0,MATCH(AC$2,Inputs!$K$4:$AJ$4,0))))+SUMPRODUCT((Inputs!$E$5:$E$160=$B22)*ISNUMBER(INDEX(Inputs!$K$5:$AJ$160,0,MATCH(AC$2,Inputs!$K$4:$AJ$4,0))))=0,NA(),SUMPRODUCT((Inputs!$A$5:$A$160=$B22)*Inputs!$B$5:$B$160*(((Inputs!$G$5:$G$160="moeda")+(Inputs!$G$5:$G$160="acoes"))*Inputs!$B$1+((Inputs!$G$5:$G$160&lt;&gt;"moeda")*(Inputs!$G$5:$G$160&lt;&gt;"acoes")))*INDEX(Inputs!$K$5:$AJ$160,0,MATCH(AC$2,Inputs!$K$4:$AJ$4,0)))+SUMPRODUCT((Inputs!$C$5:$C$160=$B22)*Inputs!$D$5:$D$160*(((Inputs!$G$5:$G$160="moeda")+(Inputs!$G$5:$G$160="acoes"))*Inputs!$B$1+((Inputs!$G$5:$G$160&lt;&gt;"moeda")*(Inputs!$G$5:$G$160&lt;&gt;"acoes")))*INDEX(Inputs!$K$5:$AJ$160,0,MATCH(AC$2,Inputs!$K$4:$AJ$4,0)))+SUMPRODUCT((Inputs!$E$5:$E$160=$B22)*Inputs!$F$5:$F$160*(((Inputs!$G$5:$G$160="moeda")+(Inputs!$G$5:$G$160="acoes"))*Inputs!$B$1+((Inputs!$G$5:$G$160&lt;&gt;"moeda")*(Inputs!$G$5:$G$160&lt;&gt;"acoes")))*INDEX(Inputs!$K$5:$AJ$160,0,MATCH(AC$2,Inputs!$K$4:$AJ$4,0)))))</f>
        <v>1355.204</v>
      </c>
      <c r="AD22" s="6">
        <f>IF(ISNA(MATCH(AD$2,Inputs!$K$4:$AJ$4,0)),NA(),IF(SUMPRODUCT((Inputs!$A$5:$A$160=$B22)*ISNUMBER(INDEX(Inputs!$K$5:$AJ$160,0,MATCH(AD$2,Inputs!$K$4:$AJ$4,0))))+SUMPRODUCT((Inputs!$C$5:$C$160=$B22)*ISNUMBER(INDEX(Inputs!$K$5:$AJ$160,0,MATCH(AD$2,Inputs!$K$4:$AJ$4,0))))+SUMPRODUCT((Inputs!$E$5:$E$160=$B22)*ISNUMBER(INDEX(Inputs!$K$5:$AJ$160,0,MATCH(AD$2,Inputs!$K$4:$AJ$4,0))))=0,NA(),SUMPRODUCT((Inputs!$A$5:$A$160=$B22)*Inputs!$B$5:$B$160*(((Inputs!$G$5:$G$160="moeda")+(Inputs!$G$5:$G$160="acoes"))*Inputs!$B$1+((Inputs!$G$5:$G$160&lt;&gt;"moeda")*(Inputs!$G$5:$G$160&lt;&gt;"acoes")))*INDEX(Inputs!$K$5:$AJ$160,0,MATCH(AD$2,Inputs!$K$4:$AJ$4,0)))+SUMPRODUCT((Inputs!$C$5:$C$160=$B22)*Inputs!$D$5:$D$160*(((Inputs!$G$5:$G$160="moeda")+(Inputs!$G$5:$G$160="acoes"))*Inputs!$B$1+((Inputs!$G$5:$G$160&lt;&gt;"moeda")*(Inputs!$G$5:$G$160&lt;&gt;"acoes")))*INDEX(Inputs!$K$5:$AJ$160,0,MATCH(AD$2,Inputs!$K$4:$AJ$4,0)))+SUMPRODUCT((Inputs!$E$5:$E$160=$B22)*Inputs!$F$5:$F$160*(((Inputs!$G$5:$G$160="moeda")+(Inputs!$G$5:$G$160="acoes"))*Inputs!$B$1+((Inputs!$G$5:$G$160&lt;&gt;"moeda")*(Inputs!$G$5:$G$160&lt;&gt;"acoes")))*INDEX(Inputs!$K$5:$AJ$160,0,MATCH(AD$2,Inputs!$K$4:$AJ$4,0)))))</f>
        <v>1404.052</v>
      </c>
      <c r="AE22" s="6" t="e">
        <f>IF(ISNA(MATCH(AE$2,Inputs!$K$4:$AJ$4,0)),NA(),IF(SUMPRODUCT((Inputs!$A$5:$A$160=$B22)*ISNUMBER(INDEX(Inputs!$K$5:$AJ$160,0,MATCH(AE$2,Inputs!$K$4:$AJ$4,0))))+SUMPRODUCT((Inputs!$C$5:$C$160=$B22)*ISNUMBER(INDEX(Inputs!$K$5:$AJ$160,0,MATCH(AE$2,Inputs!$K$4:$AJ$4,0))))+SUMPRODUCT((Inputs!$E$5:$E$160=$B22)*ISNUMBER(INDEX(Inputs!$K$5:$AJ$160,0,MATCH(AE$2,Inputs!$K$4:$AJ$4,0))))=0,NA(),SUMPRODUCT((Inputs!$A$5:$A$160=$B22)*Inputs!$B$5:$B$160*(((Inputs!$G$5:$G$160="moeda")+(Inputs!$G$5:$G$160="acoes"))*Inputs!$B$1+((Inputs!$G$5:$G$160&lt;&gt;"moeda")*(Inputs!$G$5:$G$160&lt;&gt;"acoes")))*INDEX(Inputs!$K$5:$AJ$160,0,MATCH(AE$2,Inputs!$K$4:$AJ$4,0)))+SUMPRODUCT((Inputs!$C$5:$C$160=$B22)*Inputs!$D$5:$D$160*(((Inputs!$G$5:$G$160="moeda")+(Inputs!$G$5:$G$160="acoes"))*Inputs!$B$1+((Inputs!$G$5:$G$160&lt;&gt;"moeda")*(Inputs!$G$5:$G$160&lt;&gt;"acoes")))*INDEX(Inputs!$K$5:$AJ$160,0,MATCH(AE$2,Inputs!$K$4:$AJ$4,0)))+SUMPRODUCT((Inputs!$E$5:$E$160=$B22)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2" s="6" t="e">
        <f>IF(ISNA(MATCH(AF$2,Inputs!$K$4:$AJ$4,0)),NA(),IF(SUMPRODUCT((Inputs!$A$5:$A$160=$B22)*ISNUMBER(INDEX(Inputs!$K$5:$AJ$160,0,MATCH(AF$2,Inputs!$K$4:$AJ$4,0))))+SUMPRODUCT((Inputs!$C$5:$C$160=$B22)*ISNUMBER(INDEX(Inputs!$K$5:$AJ$160,0,MATCH(AF$2,Inputs!$K$4:$AJ$4,0))))+SUMPRODUCT((Inputs!$E$5:$E$160=$B22)*ISNUMBER(INDEX(Inputs!$K$5:$AJ$160,0,MATCH(AF$2,Inputs!$K$4:$AJ$4,0))))=0,NA(),SUMPRODUCT((Inputs!$A$5:$A$160=$B22)*Inputs!$B$5:$B$160*(((Inputs!$G$5:$G$160="moeda")+(Inputs!$G$5:$G$160="acoes"))*Inputs!$B$1+((Inputs!$G$5:$G$160&lt;&gt;"moeda")*(Inputs!$G$5:$G$160&lt;&gt;"acoes")))*INDEX(Inputs!$K$5:$AJ$160,0,MATCH(AF$2,Inputs!$K$4:$AJ$4,0)))+SUMPRODUCT((Inputs!$C$5:$C$160=$B22)*Inputs!$D$5:$D$160*(((Inputs!$G$5:$G$160="moeda")+(Inputs!$G$5:$G$160="acoes"))*Inputs!$B$1+((Inputs!$G$5:$G$160&lt;&gt;"moeda")*(Inputs!$G$5:$G$160&lt;&gt;"acoes")))*INDEX(Inputs!$K$5:$AJ$160,0,MATCH(AF$2,Inputs!$K$4:$AJ$4,0)))+SUMPRODUCT((Inputs!$E$5:$E$160=$B22)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2" s="3" t="e">
        <f>AF22</f>
        <v>#N/A</v>
      </c>
      <c r="AH22" s="6">
        <f>IF(ISNA(MATCH(AH$2,Inputs!$K$4:$AJ$4,0)),NA(),IF(SUMPRODUCT((Inputs!$A$5:$A$160=$B22)*ISNUMBER(INDEX(Inputs!$K$5:$AJ$160,0,MATCH(AH$2,Inputs!$K$4:$AJ$4,0))))+SUMPRODUCT((Inputs!$C$5:$C$160=$B22)*ISNUMBER(INDEX(Inputs!$K$5:$AJ$160,0,MATCH(AH$2,Inputs!$K$4:$AJ$4,0))))+SUMPRODUCT((Inputs!$E$5:$E$160=$B22)*ISNUMBER(INDEX(Inputs!$K$5:$AJ$160,0,MATCH(AH$2,Inputs!$K$4:$AJ$4,0))))=0,NA(),SUMPRODUCT((Inputs!$A$5:$A$160=$B22)*Inputs!$B$5:$B$160*(((Inputs!$G$5:$G$160="moeda")+(Inputs!$G$5:$G$160="acoes"))*Inputs!$B$1+((Inputs!$G$5:$G$160&lt;&gt;"moeda")*(Inputs!$G$5:$G$160&lt;&gt;"acoes")))*INDEX(Inputs!$K$5:$AJ$160,0,MATCH(AH$2,Inputs!$K$4:$AJ$4,0)))+SUMPRODUCT((Inputs!$C$5:$C$160=$B22)*Inputs!$D$5:$D$160*(((Inputs!$G$5:$G$160="moeda")+(Inputs!$G$5:$G$160="acoes"))*Inputs!$B$1+((Inputs!$G$5:$G$160&lt;&gt;"moeda")*(Inputs!$G$5:$G$160&lt;&gt;"acoes")))*INDEX(Inputs!$K$5:$AJ$160,0,MATCH(AH$2,Inputs!$K$4:$AJ$4,0)))+SUMPRODUCT((Inputs!$E$5:$E$160=$B22)*Inputs!$F$5:$F$160*(((Inputs!$G$5:$G$160="moeda")+(Inputs!$G$5:$G$160="acoes"))*Inputs!$B$1+((Inputs!$G$5:$G$160&lt;&gt;"moeda")*(Inputs!$G$5:$G$160&lt;&gt;"acoes")))*INDEX(Inputs!$K$5:$AJ$160,0,MATCH(AH$2,Inputs!$K$4:$AJ$4,0)))))</f>
        <v>754.229636302314</v>
      </c>
      <c r="AI22" s="6">
        <f>IF(ISNA(MATCH(AI$2,Inputs!$K$4:$AJ$4,0)),NA(),IF(SUMPRODUCT((Inputs!$A$5:$A$160=$B22)*ISNUMBER(INDEX(Inputs!$K$5:$AJ$160,0,MATCH(AI$2,Inputs!$K$4:$AJ$4,0))))+SUMPRODUCT((Inputs!$C$5:$C$160=$B22)*ISNUMBER(INDEX(Inputs!$K$5:$AJ$160,0,MATCH(AI$2,Inputs!$K$4:$AJ$4,0))))+SUMPRODUCT((Inputs!$E$5:$E$160=$B22)*ISNUMBER(INDEX(Inputs!$K$5:$AJ$160,0,MATCH(AI$2,Inputs!$K$4:$AJ$4,0))))=0,NA(),SUMPRODUCT((Inputs!$A$5:$A$160=$B22)*Inputs!$B$5:$B$160*(((Inputs!$G$5:$G$160="moeda")+(Inputs!$G$5:$G$160="acoes"))*Inputs!$B$1+((Inputs!$G$5:$G$160&lt;&gt;"moeda")*(Inputs!$G$5:$G$160&lt;&gt;"acoes")))*INDEX(Inputs!$K$5:$AJ$160,0,MATCH(AI$2,Inputs!$K$4:$AJ$4,0)))+SUMPRODUCT((Inputs!$C$5:$C$160=$B22)*Inputs!$D$5:$D$160*(((Inputs!$G$5:$G$160="moeda")+(Inputs!$G$5:$G$160="acoes"))*Inputs!$B$1+((Inputs!$G$5:$G$160&lt;&gt;"moeda")*(Inputs!$G$5:$G$160&lt;&gt;"acoes")))*INDEX(Inputs!$K$5:$AJ$160,0,MATCH(AI$2,Inputs!$K$4:$AJ$4,0)))+SUMPRODUCT((Inputs!$E$5:$E$160=$B22)*Inputs!$F$5:$F$160*(((Inputs!$G$5:$G$160="moeda")+(Inputs!$G$5:$G$160="acoes"))*Inputs!$B$1+((Inputs!$G$5:$G$160&lt;&gt;"moeda")*(Inputs!$G$5:$G$160&lt;&gt;"acoes")))*INDEX(Inputs!$K$5:$AJ$160,0,MATCH(AI$2,Inputs!$K$4:$AJ$4,0)))))</f>
        <v>738.340821293317</v>
      </c>
      <c r="AJ22" s="6">
        <f>IF(ISNA(MATCH(AJ$2,Inputs!$K$4:$AJ$4,0)),NA(),IF(SUMPRODUCT((Inputs!$A$5:$A$160=$B22)*ISNUMBER(INDEX(Inputs!$K$5:$AJ$160,0,MATCH(AJ$2,Inputs!$K$4:$AJ$4,0))))+SUMPRODUCT((Inputs!$C$5:$C$160=$B22)*ISNUMBER(INDEX(Inputs!$K$5:$AJ$160,0,MATCH(AJ$2,Inputs!$K$4:$AJ$4,0))))+SUMPRODUCT((Inputs!$E$5:$E$160=$B22)*ISNUMBER(INDEX(Inputs!$K$5:$AJ$160,0,MATCH(AJ$2,Inputs!$K$4:$AJ$4,0))))=0,NA(),SUMPRODUCT((Inputs!$A$5:$A$160=$B22)*Inputs!$B$5:$B$160*(((Inputs!$G$5:$G$160="moeda")+(Inputs!$G$5:$G$160="acoes"))*Inputs!$B$1+((Inputs!$G$5:$G$160&lt;&gt;"moeda")*(Inputs!$G$5:$G$160&lt;&gt;"acoes")))*INDEX(Inputs!$K$5:$AJ$160,0,MATCH(AJ$2,Inputs!$K$4:$AJ$4,0)))+SUMPRODUCT((Inputs!$C$5:$C$160=$B22)*Inputs!$D$5:$D$160*(((Inputs!$G$5:$G$160="moeda")+(Inputs!$G$5:$G$160="acoes"))*Inputs!$B$1+((Inputs!$G$5:$G$160&lt;&gt;"moeda")*(Inputs!$G$5:$G$160&lt;&gt;"acoes")))*INDEX(Inputs!$K$5:$AJ$160,0,MATCH(AJ$2,Inputs!$K$4:$AJ$4,0)))+SUMPRODUCT((Inputs!$E$5:$E$160=$B22)*Inputs!$F$5:$F$160*(((Inputs!$G$5:$G$160="moeda")+(Inputs!$G$5:$G$160="acoes"))*Inputs!$B$1+((Inputs!$G$5:$G$160&lt;&gt;"moeda")*(Inputs!$G$5:$G$160&lt;&gt;"acoes")))*INDEX(Inputs!$K$5:$AJ$160,0,MATCH(AJ$2,Inputs!$K$4:$AJ$4,0)))))</f>
        <v>707.7424608929</v>
      </c>
      <c r="AK22" s="6">
        <f>IF(ISNA(MATCH(AK$2,Inputs!$K$4:$AJ$4,0)),NA(),IF(SUMPRODUCT((Inputs!$A$5:$A$160=$B22)*ISNUMBER(INDEX(Inputs!$K$5:$AJ$160,0,MATCH(AK$2,Inputs!$K$4:$AJ$4,0))))+SUMPRODUCT((Inputs!$C$5:$C$160=$B22)*ISNUMBER(INDEX(Inputs!$K$5:$AJ$160,0,MATCH(AK$2,Inputs!$K$4:$AJ$4,0))))+SUMPRODUCT((Inputs!$E$5:$E$160=$B22)*ISNUMBER(INDEX(Inputs!$K$5:$AJ$160,0,MATCH(AK$2,Inputs!$K$4:$AJ$4,0))))=0,NA(),SUMPRODUCT((Inputs!$A$5:$A$160=$B22)*Inputs!$B$5:$B$160*(((Inputs!$G$5:$G$160="moeda")+(Inputs!$G$5:$G$160="acoes"))*Inputs!$B$1+((Inputs!$G$5:$G$160&lt;&gt;"moeda")*(Inputs!$G$5:$G$160&lt;&gt;"acoes")))*INDEX(Inputs!$K$5:$AJ$160,0,MATCH(AK$2,Inputs!$K$4:$AJ$4,0)))+SUMPRODUCT((Inputs!$C$5:$C$160=$B22)*Inputs!$D$5:$D$160*(((Inputs!$G$5:$G$160="moeda")+(Inputs!$G$5:$G$160="acoes"))*Inputs!$B$1+((Inputs!$G$5:$G$160&lt;&gt;"moeda")*(Inputs!$G$5:$G$160&lt;&gt;"acoes")))*INDEX(Inputs!$K$5:$AJ$160,0,MATCH(AK$2,Inputs!$K$4:$AJ$4,0)))+SUMPRODUCT((Inputs!$E$5:$E$160=$B22)*Inputs!$F$5:$F$160*(((Inputs!$G$5:$G$160="moeda")+(Inputs!$G$5:$G$160="acoes"))*Inputs!$B$1+((Inputs!$G$5:$G$160&lt;&gt;"moeda")*(Inputs!$G$5:$G$160&lt;&gt;"acoes")))*INDEX(Inputs!$K$5:$AJ$160,0,MATCH(AK$2,Inputs!$K$4:$AJ$4,0)))))</f>
        <v>708.768648562485</v>
      </c>
      <c r="AL22" s="3">
        <f>AK22</f>
        <v>708.768648562485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$160=$B23)*ISNUMBER(INDEX(Inputs!$K$5:$AJ$160,0,MATCH(D$2,Inputs!$K$4:$AJ$4,0))))+SUMPRODUCT((Inputs!$C$5:$C$160=$B23)*ISNUMBER(INDEX(Inputs!$K$5:$AJ$160,0,MATCH(D$2,Inputs!$K$4:$AJ$4,0))))+SUMPRODUCT((Inputs!$E$5:$E$160=$B23)*ISNUMBER(INDEX(Inputs!$K$5:$AJ$160,0,MATCH(D$2,Inputs!$K$4:$AJ$4,0))))=0,NA(),SUMPRODUCT((Inputs!$A$5:$A$160=$B23)*Inputs!$B$5:$B$160*(((Inputs!$G$5:$G$160="moeda")+(Inputs!$G$5:$G$160="acoes"))*Inputs!$B$1+((Inputs!$G$5:$G$160&lt;&gt;"moeda")*(Inputs!$G$5:$G$160&lt;&gt;"acoes")))*INDEX(Inputs!$K$5:$AJ$160,0,MATCH(D$2,Inputs!$K$4:$AJ$4,0)))+SUMPRODUCT((Inputs!$C$5:$C$160=$B23)*Inputs!$D$5:$D$160*(((Inputs!$G$5:$G$160="moeda")+(Inputs!$G$5:$G$160="acoes"))*Inputs!$B$1+((Inputs!$G$5:$G$160&lt;&gt;"moeda")*(Inputs!$G$5:$G$160&lt;&gt;"acoes")))*INDEX(Inputs!$K$5:$AJ$160,0,MATCH(D$2,Inputs!$K$4:$AJ$4,0)))+SUMPRODUCT((Inputs!$E$5:$E$160=$B23)*Inputs!$F$5:$F$160*(((Inputs!$G$5:$G$160="moeda")+(Inputs!$G$5:$G$160="acoes"))*Inputs!$B$1+((Inputs!$G$5:$G$160&lt;&gt;"moeda")*(Inputs!$G$5:$G$160&lt;&gt;"acoes")))*INDEX(Inputs!$K$5:$AJ$160,0,MATCH(D$2,Inputs!$K$4:$AJ$4,0)))))</f>
        <v>700.21256363</v>
      </c>
      <c r="E23" s="6">
        <f>IF(ISNA(MATCH(E$2,Inputs!$K$4:$AJ$4,0)),NA(),IF(SUMPRODUCT((Inputs!$A$5:$A$160=$B23)*ISNUMBER(INDEX(Inputs!$K$5:$AJ$160,0,MATCH(E$2,Inputs!$K$4:$AJ$4,0))))+SUMPRODUCT((Inputs!$C$5:$C$160=$B23)*ISNUMBER(INDEX(Inputs!$K$5:$AJ$160,0,MATCH(E$2,Inputs!$K$4:$AJ$4,0))))+SUMPRODUCT((Inputs!$E$5:$E$160=$B23)*ISNUMBER(INDEX(Inputs!$K$5:$AJ$160,0,MATCH(E$2,Inputs!$K$4:$AJ$4,0))))=0,NA(),SUMPRODUCT((Inputs!$A$5:$A$160=$B23)*Inputs!$B$5:$B$160*(((Inputs!$G$5:$G$160="moeda")+(Inputs!$G$5:$G$160="acoes"))*Inputs!$B$1+((Inputs!$G$5:$G$160&lt;&gt;"moeda")*(Inputs!$G$5:$G$160&lt;&gt;"acoes")))*INDEX(Inputs!$K$5:$AJ$160,0,MATCH(E$2,Inputs!$K$4:$AJ$4,0)))+SUMPRODUCT((Inputs!$C$5:$C$160=$B23)*Inputs!$D$5:$D$160*(((Inputs!$G$5:$G$160="moeda")+(Inputs!$G$5:$G$160="acoes"))*Inputs!$B$1+((Inputs!$G$5:$G$160&lt;&gt;"moeda")*(Inputs!$G$5:$G$160&lt;&gt;"acoes")))*INDEX(Inputs!$K$5:$AJ$160,0,MATCH(E$2,Inputs!$K$4:$AJ$4,0)))+SUMPRODUCT((Inputs!$E$5:$E$160=$B23)*Inputs!$F$5:$F$160*(((Inputs!$G$5:$G$160="moeda")+(Inputs!$G$5:$G$160="acoes"))*Inputs!$B$1+((Inputs!$G$5:$G$160&lt;&gt;"moeda")*(Inputs!$G$5:$G$160&lt;&gt;"acoes")))*INDEX(Inputs!$K$5:$AJ$160,0,MATCH(E$2,Inputs!$K$4:$AJ$4,0)))))</f>
        <v>682.61007549</v>
      </c>
      <c r="F23" s="6">
        <f>IF(ISNA(MATCH(F$2,Inputs!$K$4:$AJ$4,0)),NA(),IF(SUMPRODUCT((Inputs!$A$5:$A$160=$B23)*ISNUMBER(INDEX(Inputs!$K$5:$AJ$160,0,MATCH(F$2,Inputs!$K$4:$AJ$4,0))))+SUMPRODUCT((Inputs!$C$5:$C$160=$B23)*ISNUMBER(INDEX(Inputs!$K$5:$AJ$160,0,MATCH(F$2,Inputs!$K$4:$AJ$4,0))))+SUMPRODUCT((Inputs!$E$5:$E$160=$B23)*ISNUMBER(INDEX(Inputs!$K$5:$AJ$160,0,MATCH(F$2,Inputs!$K$4:$AJ$4,0))))=0,NA(),SUMPRODUCT((Inputs!$A$5:$A$160=$B23)*Inputs!$B$5:$B$160*(((Inputs!$G$5:$G$160="moeda")+(Inputs!$G$5:$G$160="acoes"))*Inputs!$B$1+((Inputs!$G$5:$G$160&lt;&gt;"moeda")*(Inputs!$G$5:$G$160&lt;&gt;"acoes")))*INDEX(Inputs!$K$5:$AJ$160,0,MATCH(F$2,Inputs!$K$4:$AJ$4,0)))+SUMPRODUCT((Inputs!$C$5:$C$160=$B23)*Inputs!$D$5:$D$160*(((Inputs!$G$5:$G$160="moeda")+(Inputs!$G$5:$G$160="acoes"))*Inputs!$B$1+((Inputs!$G$5:$G$160&lt;&gt;"moeda")*(Inputs!$G$5:$G$160&lt;&gt;"acoes")))*INDEX(Inputs!$K$5:$AJ$160,0,MATCH(F$2,Inputs!$K$4:$AJ$4,0)))+SUMPRODUCT((Inputs!$E$5:$E$160=$B23)*Inputs!$F$5:$F$160*(((Inputs!$G$5:$G$160="moeda")+(Inputs!$G$5:$G$160="acoes"))*Inputs!$B$1+((Inputs!$G$5:$G$160&lt;&gt;"moeda")*(Inputs!$G$5:$G$160&lt;&gt;"acoes")))*INDEX(Inputs!$K$5:$AJ$160,0,MATCH(F$2,Inputs!$K$4:$AJ$4,0)))))</f>
        <v>691.23293304</v>
      </c>
      <c r="G23" s="6">
        <f>IF(ISNA(MATCH(G$2,Inputs!$K$4:$AJ$4,0)),NA(),IF(SUMPRODUCT((Inputs!$A$5:$A$160=$B23)*ISNUMBER(INDEX(Inputs!$K$5:$AJ$160,0,MATCH(G$2,Inputs!$K$4:$AJ$4,0))))+SUMPRODUCT((Inputs!$C$5:$C$160=$B23)*ISNUMBER(INDEX(Inputs!$K$5:$AJ$160,0,MATCH(G$2,Inputs!$K$4:$AJ$4,0))))+SUMPRODUCT((Inputs!$E$5:$E$160=$B23)*ISNUMBER(INDEX(Inputs!$K$5:$AJ$160,0,MATCH(G$2,Inputs!$K$4:$AJ$4,0))))=0,NA(),SUMPRODUCT((Inputs!$A$5:$A$160=$B23)*Inputs!$B$5:$B$160*(((Inputs!$G$5:$G$160="moeda")+(Inputs!$G$5:$G$160="acoes"))*Inputs!$B$1+((Inputs!$G$5:$G$160&lt;&gt;"moeda")*(Inputs!$G$5:$G$160&lt;&gt;"acoes")))*INDEX(Inputs!$K$5:$AJ$160,0,MATCH(G$2,Inputs!$K$4:$AJ$4,0)))+SUMPRODUCT((Inputs!$C$5:$C$160=$B23)*Inputs!$D$5:$D$160*(((Inputs!$G$5:$G$160="moeda")+(Inputs!$G$5:$G$160="acoes"))*Inputs!$B$1+((Inputs!$G$5:$G$160&lt;&gt;"moeda")*(Inputs!$G$5:$G$160&lt;&gt;"acoes")))*INDEX(Inputs!$K$5:$AJ$160,0,MATCH(G$2,Inputs!$K$4:$AJ$4,0)))+SUMPRODUCT((Inputs!$E$5:$E$160=$B23)*Inputs!$F$5:$F$160*(((Inputs!$G$5:$G$160="moeda")+(Inputs!$G$5:$G$160="acoes"))*Inputs!$B$1+((Inputs!$G$5:$G$160&lt;&gt;"moeda")*(Inputs!$G$5:$G$160&lt;&gt;"acoes")))*INDEX(Inputs!$K$5:$AJ$160,0,MATCH(G$2,Inputs!$K$4:$AJ$4,0)))))</f>
        <v>750.77481334</v>
      </c>
      <c r="H23" s="3">
        <f>G23</f>
        <v>750.77481334</v>
      </c>
      <c r="I23" s="6">
        <f>IF(ISNA(MATCH(I$2,Inputs!$K$4:$AJ$4,0)),NA(),IF(SUMPRODUCT((Inputs!$A$5:$A$160=$B23)*ISNUMBER(INDEX(Inputs!$K$5:$AJ$160,0,MATCH(I$2,Inputs!$K$4:$AJ$4,0))))+SUMPRODUCT((Inputs!$C$5:$C$160=$B23)*ISNUMBER(INDEX(Inputs!$K$5:$AJ$160,0,MATCH(I$2,Inputs!$K$4:$AJ$4,0))))+SUMPRODUCT((Inputs!$E$5:$E$160=$B23)*ISNUMBER(INDEX(Inputs!$K$5:$AJ$160,0,MATCH(I$2,Inputs!$K$4:$AJ$4,0))))=0,NA(),SUMPRODUCT((Inputs!$A$5:$A$160=$B23)*Inputs!$B$5:$B$160*(((Inputs!$G$5:$G$160="moeda")+(Inputs!$G$5:$G$160="acoes"))*Inputs!$B$1+((Inputs!$G$5:$G$160&lt;&gt;"moeda")*(Inputs!$G$5:$G$160&lt;&gt;"acoes")))*INDEX(Inputs!$K$5:$AJ$160,0,MATCH(I$2,Inputs!$K$4:$AJ$4,0)))+SUMPRODUCT((Inputs!$C$5:$C$160=$B23)*Inputs!$D$5:$D$160*(((Inputs!$G$5:$G$160="moeda")+(Inputs!$G$5:$G$160="acoes"))*Inputs!$B$1+((Inputs!$G$5:$G$160&lt;&gt;"moeda")*(Inputs!$G$5:$G$160&lt;&gt;"acoes")))*INDEX(Inputs!$K$5:$AJ$160,0,MATCH(I$2,Inputs!$K$4:$AJ$4,0)))+SUMPRODUCT((Inputs!$E$5:$E$160=$B23)*Inputs!$F$5:$F$160*(((Inputs!$G$5:$G$160="moeda")+(Inputs!$G$5:$G$160="acoes"))*Inputs!$B$1+((Inputs!$G$5:$G$160&lt;&gt;"moeda")*(Inputs!$G$5:$G$160&lt;&gt;"acoes")))*INDEX(Inputs!$K$5:$AJ$160,0,MATCH(I$2,Inputs!$K$4:$AJ$4,0)))))</f>
        <v>793.13655731</v>
      </c>
      <c r="J23" s="6">
        <f>IF(ISNA(MATCH(J$2,Inputs!$K$4:$AJ$4,0)),NA(),IF(SUMPRODUCT((Inputs!$A$5:$A$160=$B23)*ISNUMBER(INDEX(Inputs!$K$5:$AJ$160,0,MATCH(J$2,Inputs!$K$4:$AJ$4,0))))+SUMPRODUCT((Inputs!$C$5:$C$160=$B23)*ISNUMBER(INDEX(Inputs!$K$5:$AJ$160,0,MATCH(J$2,Inputs!$K$4:$AJ$4,0))))+SUMPRODUCT((Inputs!$E$5:$E$160=$B23)*ISNUMBER(INDEX(Inputs!$K$5:$AJ$160,0,MATCH(J$2,Inputs!$K$4:$AJ$4,0))))=0,NA(),SUMPRODUCT((Inputs!$A$5:$A$160=$B23)*Inputs!$B$5:$B$160*(((Inputs!$G$5:$G$160="moeda")+(Inputs!$G$5:$G$160="acoes"))*Inputs!$B$1+((Inputs!$G$5:$G$160&lt;&gt;"moeda")*(Inputs!$G$5:$G$160&lt;&gt;"acoes")))*INDEX(Inputs!$K$5:$AJ$160,0,MATCH(J$2,Inputs!$K$4:$AJ$4,0)))+SUMPRODUCT((Inputs!$C$5:$C$160=$B23)*Inputs!$D$5:$D$160*(((Inputs!$G$5:$G$160="moeda")+(Inputs!$G$5:$G$160="acoes"))*Inputs!$B$1+((Inputs!$G$5:$G$160&lt;&gt;"moeda")*(Inputs!$G$5:$G$160&lt;&gt;"acoes")))*INDEX(Inputs!$K$5:$AJ$160,0,MATCH(J$2,Inputs!$K$4:$AJ$4,0)))+SUMPRODUCT((Inputs!$E$5:$E$160=$B23)*Inputs!$F$5:$F$160*(((Inputs!$G$5:$G$160="moeda")+(Inputs!$G$5:$G$160="acoes"))*Inputs!$B$1+((Inputs!$G$5:$G$160&lt;&gt;"moeda")*(Inputs!$G$5:$G$160&lt;&gt;"acoes")))*INDEX(Inputs!$K$5:$AJ$160,0,MATCH(J$2,Inputs!$K$4:$AJ$4,0)))))</f>
        <v>819.19444533</v>
      </c>
      <c r="K23" s="6">
        <f>IF(ISNA(MATCH(K$2,Inputs!$K$4:$AJ$4,0)),NA(),IF(SUMPRODUCT((Inputs!$A$5:$A$160=$B23)*ISNUMBER(INDEX(Inputs!$K$5:$AJ$160,0,MATCH(K$2,Inputs!$K$4:$AJ$4,0))))+SUMPRODUCT((Inputs!$C$5:$C$160=$B23)*ISNUMBER(INDEX(Inputs!$K$5:$AJ$160,0,MATCH(K$2,Inputs!$K$4:$AJ$4,0))))+SUMPRODUCT((Inputs!$E$5:$E$160=$B23)*ISNUMBER(INDEX(Inputs!$K$5:$AJ$160,0,MATCH(K$2,Inputs!$K$4:$AJ$4,0))))=0,NA(),SUMPRODUCT((Inputs!$A$5:$A$160=$B23)*Inputs!$B$5:$B$160*(((Inputs!$G$5:$G$160="moeda")+(Inputs!$G$5:$G$160="acoes"))*Inputs!$B$1+((Inputs!$G$5:$G$160&lt;&gt;"moeda")*(Inputs!$G$5:$G$160&lt;&gt;"acoes")))*INDEX(Inputs!$K$5:$AJ$160,0,MATCH(K$2,Inputs!$K$4:$AJ$4,0)))+SUMPRODUCT((Inputs!$C$5:$C$160=$B23)*Inputs!$D$5:$D$160*(((Inputs!$G$5:$G$160="moeda")+(Inputs!$G$5:$G$160="acoes"))*Inputs!$B$1+((Inputs!$G$5:$G$160&lt;&gt;"moeda")*(Inputs!$G$5:$G$160&lt;&gt;"acoes")))*INDEX(Inputs!$K$5:$AJ$160,0,MATCH(K$2,Inputs!$K$4:$AJ$4,0)))+SUMPRODUCT((Inputs!$E$5:$E$160=$B23)*Inputs!$F$5:$F$160*(((Inputs!$G$5:$G$160="moeda")+(Inputs!$G$5:$G$160="acoes"))*Inputs!$B$1+((Inputs!$G$5:$G$160&lt;&gt;"moeda")*(Inputs!$G$5:$G$160&lt;&gt;"acoes")))*INDEX(Inputs!$K$5:$AJ$160,0,MATCH(K$2,Inputs!$K$4:$AJ$4,0)))))</f>
        <v>800.2101333</v>
      </c>
      <c r="L23" s="6">
        <f>IF(ISNA(MATCH(L$2,Inputs!$K$4:$AJ$4,0)),NA(),IF(SUMPRODUCT((Inputs!$A$5:$A$160=$B23)*ISNUMBER(INDEX(Inputs!$K$5:$AJ$160,0,MATCH(L$2,Inputs!$K$4:$AJ$4,0))))+SUMPRODUCT((Inputs!$C$5:$C$160=$B23)*ISNUMBER(INDEX(Inputs!$K$5:$AJ$160,0,MATCH(L$2,Inputs!$K$4:$AJ$4,0))))+SUMPRODUCT((Inputs!$E$5:$E$160=$B23)*ISNUMBER(INDEX(Inputs!$K$5:$AJ$160,0,MATCH(L$2,Inputs!$K$4:$AJ$4,0))))=0,NA(),SUMPRODUCT((Inputs!$A$5:$A$160=$B23)*Inputs!$B$5:$B$160*(((Inputs!$G$5:$G$160="moeda")+(Inputs!$G$5:$G$160="acoes"))*Inputs!$B$1+((Inputs!$G$5:$G$160&lt;&gt;"moeda")*(Inputs!$G$5:$G$160&lt;&gt;"acoes")))*INDEX(Inputs!$K$5:$AJ$160,0,MATCH(L$2,Inputs!$K$4:$AJ$4,0)))+SUMPRODUCT((Inputs!$C$5:$C$160=$B23)*Inputs!$D$5:$D$160*(((Inputs!$G$5:$G$160="moeda")+(Inputs!$G$5:$G$160="acoes"))*Inputs!$B$1+((Inputs!$G$5:$G$160&lt;&gt;"moeda")*(Inputs!$G$5:$G$160&lt;&gt;"acoes")))*INDEX(Inputs!$K$5:$AJ$160,0,MATCH(L$2,Inputs!$K$4:$AJ$4,0)))+SUMPRODUCT((Inputs!$E$5:$E$160=$B23)*Inputs!$F$5:$F$160*(((Inputs!$G$5:$G$160="moeda")+(Inputs!$G$5:$G$160="acoes"))*Inputs!$B$1+((Inputs!$G$5:$G$160&lt;&gt;"moeda")*(Inputs!$G$5:$G$160&lt;&gt;"acoes")))*INDEX(Inputs!$K$5:$AJ$160,0,MATCH(L$2,Inputs!$K$4:$AJ$4,0)))))</f>
        <v>1022.28667143</v>
      </c>
      <c r="M23" s="3">
        <f>L23</f>
        <v>1022.28667143</v>
      </c>
      <c r="N23" s="6">
        <f>IF(ISNA(MATCH(N$2,Inputs!$K$4:$AJ$4,0)),NA(),IF(SUMPRODUCT((Inputs!$A$5:$A$160=$B23)*ISNUMBER(INDEX(Inputs!$K$5:$AJ$160,0,MATCH(N$2,Inputs!$K$4:$AJ$4,0))))+SUMPRODUCT((Inputs!$C$5:$C$160=$B23)*ISNUMBER(INDEX(Inputs!$K$5:$AJ$160,0,MATCH(N$2,Inputs!$K$4:$AJ$4,0))))+SUMPRODUCT((Inputs!$E$5:$E$160=$B23)*ISNUMBER(INDEX(Inputs!$K$5:$AJ$160,0,MATCH(N$2,Inputs!$K$4:$AJ$4,0))))=0,NA(),SUMPRODUCT((Inputs!$A$5:$A$160=$B23)*Inputs!$B$5:$B$160*(((Inputs!$G$5:$G$160="moeda")+(Inputs!$G$5:$G$160="acoes"))*Inputs!$B$1+((Inputs!$G$5:$G$160&lt;&gt;"moeda")*(Inputs!$G$5:$G$160&lt;&gt;"acoes")))*INDEX(Inputs!$K$5:$AJ$160,0,MATCH(N$2,Inputs!$K$4:$AJ$4,0)))+SUMPRODUCT((Inputs!$C$5:$C$160=$B23)*Inputs!$D$5:$D$160*(((Inputs!$G$5:$G$160="moeda")+(Inputs!$G$5:$G$160="acoes"))*Inputs!$B$1+((Inputs!$G$5:$G$160&lt;&gt;"moeda")*(Inputs!$G$5:$G$160&lt;&gt;"acoes")))*INDEX(Inputs!$K$5:$AJ$160,0,MATCH(N$2,Inputs!$K$4:$AJ$4,0)))+SUMPRODUCT((Inputs!$E$5:$E$160=$B23)*Inputs!$F$5:$F$160*(((Inputs!$G$5:$G$160="moeda")+(Inputs!$G$5:$G$160="acoes"))*Inputs!$B$1+((Inputs!$G$5:$G$160&lt;&gt;"moeda")*(Inputs!$G$5:$G$160&lt;&gt;"acoes")))*INDEX(Inputs!$K$5:$AJ$160,0,MATCH(N$2,Inputs!$K$4:$AJ$4,0)))))</f>
        <v>1026.53310531</v>
      </c>
      <c r="O23" s="6">
        <f>IF(ISNA(MATCH(O$2,Inputs!$K$4:$AJ$4,0)),NA(),IF(SUMPRODUCT((Inputs!$A$5:$A$160=$B23)*ISNUMBER(INDEX(Inputs!$K$5:$AJ$160,0,MATCH(O$2,Inputs!$K$4:$AJ$4,0))))+SUMPRODUCT((Inputs!$C$5:$C$160=$B23)*ISNUMBER(INDEX(Inputs!$K$5:$AJ$160,0,MATCH(O$2,Inputs!$K$4:$AJ$4,0))))+SUMPRODUCT((Inputs!$E$5:$E$160=$B23)*ISNUMBER(INDEX(Inputs!$K$5:$AJ$160,0,MATCH(O$2,Inputs!$K$4:$AJ$4,0))))=0,NA(),SUMPRODUCT((Inputs!$A$5:$A$160=$B23)*Inputs!$B$5:$B$160*(((Inputs!$G$5:$G$160="moeda")+(Inputs!$G$5:$G$160="acoes"))*Inputs!$B$1+((Inputs!$G$5:$G$160&lt;&gt;"moeda")*(Inputs!$G$5:$G$160&lt;&gt;"acoes")))*INDEX(Inputs!$K$5:$AJ$160,0,MATCH(O$2,Inputs!$K$4:$AJ$4,0)))+SUMPRODUCT((Inputs!$C$5:$C$160=$B23)*Inputs!$D$5:$D$160*(((Inputs!$G$5:$G$160="moeda")+(Inputs!$G$5:$G$160="acoes"))*Inputs!$B$1+((Inputs!$G$5:$G$160&lt;&gt;"moeda")*(Inputs!$G$5:$G$160&lt;&gt;"acoes")))*INDEX(Inputs!$K$5:$AJ$160,0,MATCH(O$2,Inputs!$K$4:$AJ$4,0)))+SUMPRODUCT((Inputs!$E$5:$E$160=$B23)*Inputs!$F$5:$F$160*(((Inputs!$G$5:$G$160="moeda")+(Inputs!$G$5:$G$160="acoes"))*Inputs!$B$1+((Inputs!$G$5:$G$160&lt;&gt;"moeda")*(Inputs!$G$5:$G$160&lt;&gt;"acoes")))*INDEX(Inputs!$K$5:$AJ$160,0,MATCH(O$2,Inputs!$K$4:$AJ$4,0)))))</f>
        <v>1332.423</v>
      </c>
      <c r="P23" s="6">
        <f>IF(ISNA(MATCH(P$2,Inputs!$K$4:$AJ$4,0)),NA(),IF(SUMPRODUCT((Inputs!$A$5:$A$160=$B23)*ISNUMBER(INDEX(Inputs!$K$5:$AJ$160,0,MATCH(P$2,Inputs!$K$4:$AJ$4,0))))+SUMPRODUCT((Inputs!$C$5:$C$160=$B23)*ISNUMBER(INDEX(Inputs!$K$5:$AJ$160,0,MATCH(P$2,Inputs!$K$4:$AJ$4,0))))+SUMPRODUCT((Inputs!$E$5:$E$160=$B23)*ISNUMBER(INDEX(Inputs!$K$5:$AJ$160,0,MATCH(P$2,Inputs!$K$4:$AJ$4,0))))=0,NA(),SUMPRODUCT((Inputs!$A$5:$A$160=$B23)*Inputs!$B$5:$B$160*(((Inputs!$G$5:$G$160="moeda")+(Inputs!$G$5:$G$160="acoes"))*Inputs!$B$1+((Inputs!$G$5:$G$160&lt;&gt;"moeda")*(Inputs!$G$5:$G$160&lt;&gt;"acoes")))*INDEX(Inputs!$K$5:$AJ$160,0,MATCH(P$2,Inputs!$K$4:$AJ$4,0)))+SUMPRODUCT((Inputs!$C$5:$C$160=$B23)*Inputs!$D$5:$D$160*(((Inputs!$G$5:$G$160="moeda")+(Inputs!$G$5:$G$160="acoes"))*Inputs!$B$1+((Inputs!$G$5:$G$160&lt;&gt;"moeda")*(Inputs!$G$5:$G$160&lt;&gt;"acoes")))*INDEX(Inputs!$K$5:$AJ$160,0,MATCH(P$2,Inputs!$K$4:$AJ$4,0)))+SUMPRODUCT((Inputs!$E$5:$E$160=$B23)*Inputs!$F$5:$F$160*(((Inputs!$G$5:$G$160="moeda")+(Inputs!$G$5:$G$160="acoes"))*Inputs!$B$1+((Inputs!$G$5:$G$160&lt;&gt;"moeda")*(Inputs!$G$5:$G$160&lt;&gt;"acoes")))*INDEX(Inputs!$K$5:$AJ$160,0,MATCH(P$2,Inputs!$K$4:$AJ$4,0)))))</f>
        <v>1296.497</v>
      </c>
      <c r="Q23" s="6">
        <f>IF(ISNA(MATCH(Q$2,Inputs!$K$4:$AJ$4,0)),NA(),IF(SUMPRODUCT((Inputs!$A$5:$A$160=$B23)*ISNUMBER(INDEX(Inputs!$K$5:$AJ$160,0,MATCH(Q$2,Inputs!$K$4:$AJ$4,0))))+SUMPRODUCT((Inputs!$C$5:$C$160=$B23)*ISNUMBER(INDEX(Inputs!$K$5:$AJ$160,0,MATCH(Q$2,Inputs!$K$4:$AJ$4,0))))+SUMPRODUCT((Inputs!$E$5:$E$160=$B23)*ISNUMBER(INDEX(Inputs!$K$5:$AJ$160,0,MATCH(Q$2,Inputs!$K$4:$AJ$4,0))))=0,NA(),SUMPRODUCT((Inputs!$A$5:$A$160=$B23)*Inputs!$B$5:$B$160*(((Inputs!$G$5:$G$160="moeda")+(Inputs!$G$5:$G$160="acoes"))*Inputs!$B$1+((Inputs!$G$5:$G$160&lt;&gt;"moeda")*(Inputs!$G$5:$G$160&lt;&gt;"acoes")))*INDEX(Inputs!$K$5:$AJ$160,0,MATCH(Q$2,Inputs!$K$4:$AJ$4,0)))+SUMPRODUCT((Inputs!$C$5:$C$160=$B23)*Inputs!$D$5:$D$160*(((Inputs!$G$5:$G$160="moeda")+(Inputs!$G$5:$G$160="acoes"))*Inputs!$B$1+((Inputs!$G$5:$G$160&lt;&gt;"moeda")*(Inputs!$G$5:$G$160&lt;&gt;"acoes")))*INDEX(Inputs!$K$5:$AJ$160,0,MATCH(Q$2,Inputs!$K$4:$AJ$4,0)))+SUMPRODUCT((Inputs!$E$5:$E$160=$B23)*Inputs!$F$5:$F$160*(((Inputs!$G$5:$G$160="moeda")+(Inputs!$G$5:$G$160="acoes"))*Inputs!$B$1+((Inputs!$G$5:$G$160&lt;&gt;"moeda")*(Inputs!$G$5:$G$160&lt;&gt;"acoes")))*INDEX(Inputs!$K$5:$AJ$160,0,MATCH(Q$2,Inputs!$K$4:$AJ$4,0)))))</f>
        <v>1295.095</v>
      </c>
      <c r="R23" s="3">
        <f>Q23</f>
        <v>1295.095</v>
      </c>
      <c r="S23" s="6">
        <f>IF(ISNA(MATCH(S$2,Inputs!$K$4:$AJ$4,0)),NA(),IF(SUMPRODUCT((Inputs!$A$5:$A$160=$B23)*ISNUMBER(INDEX(Inputs!$K$5:$AJ$160,0,MATCH(S$2,Inputs!$K$4:$AJ$4,0))))+SUMPRODUCT((Inputs!$C$5:$C$160=$B23)*ISNUMBER(INDEX(Inputs!$K$5:$AJ$160,0,MATCH(S$2,Inputs!$K$4:$AJ$4,0))))+SUMPRODUCT((Inputs!$E$5:$E$160=$B23)*ISNUMBER(INDEX(Inputs!$K$5:$AJ$160,0,MATCH(S$2,Inputs!$K$4:$AJ$4,0))))=0,NA(),SUMPRODUCT((Inputs!$A$5:$A$160=$B23)*Inputs!$B$5:$B$160*(((Inputs!$G$5:$G$160="moeda")+(Inputs!$G$5:$G$160="acoes"))*Inputs!$B$1+((Inputs!$G$5:$G$160&lt;&gt;"moeda")*(Inputs!$G$5:$G$160&lt;&gt;"acoes")))*INDEX(Inputs!$K$5:$AJ$160,0,MATCH(S$2,Inputs!$K$4:$AJ$4,0)))+SUMPRODUCT((Inputs!$C$5:$C$160=$B23)*Inputs!$D$5:$D$160*(((Inputs!$G$5:$G$160="moeda")+(Inputs!$G$5:$G$160="acoes"))*Inputs!$B$1+((Inputs!$G$5:$G$160&lt;&gt;"moeda")*(Inputs!$G$5:$G$160&lt;&gt;"acoes")))*INDEX(Inputs!$K$5:$AJ$160,0,MATCH(S$2,Inputs!$K$4:$AJ$4,0)))+SUMPRODUCT((Inputs!$E$5:$E$160=$B23)*Inputs!$F$5:$F$160*(((Inputs!$G$5:$G$160="moeda")+(Inputs!$G$5:$G$160="acoes"))*Inputs!$B$1+((Inputs!$G$5:$G$160&lt;&gt;"moeda")*(Inputs!$G$5:$G$160&lt;&gt;"acoes")))*INDEX(Inputs!$K$5:$AJ$160,0,MATCH(S$2,Inputs!$K$4:$AJ$4,0)))))</f>
        <v>1249.703</v>
      </c>
      <c r="T23" s="6">
        <f>IF(ISNA(MATCH(T$2,Inputs!$K$4:$AJ$4,0)),NA(),IF(SUMPRODUCT((Inputs!$A$5:$A$160=$B23)*ISNUMBER(INDEX(Inputs!$K$5:$AJ$160,0,MATCH(T$2,Inputs!$K$4:$AJ$4,0))))+SUMPRODUCT((Inputs!$C$5:$C$160=$B23)*ISNUMBER(INDEX(Inputs!$K$5:$AJ$160,0,MATCH(T$2,Inputs!$K$4:$AJ$4,0))))+SUMPRODUCT((Inputs!$E$5:$E$160=$B23)*ISNUMBER(INDEX(Inputs!$K$5:$AJ$160,0,MATCH(T$2,Inputs!$K$4:$AJ$4,0))))=0,NA(),SUMPRODUCT((Inputs!$A$5:$A$160=$B23)*Inputs!$B$5:$B$160*(((Inputs!$G$5:$G$160="moeda")+(Inputs!$G$5:$G$160="acoes"))*Inputs!$B$1+((Inputs!$G$5:$G$160&lt;&gt;"moeda")*(Inputs!$G$5:$G$160&lt;&gt;"acoes")))*INDEX(Inputs!$K$5:$AJ$160,0,MATCH(T$2,Inputs!$K$4:$AJ$4,0)))+SUMPRODUCT((Inputs!$C$5:$C$160=$B23)*Inputs!$D$5:$D$160*(((Inputs!$G$5:$G$160="moeda")+(Inputs!$G$5:$G$160="acoes"))*Inputs!$B$1+((Inputs!$G$5:$G$160&lt;&gt;"moeda")*(Inputs!$G$5:$G$160&lt;&gt;"acoes")))*INDEX(Inputs!$K$5:$AJ$160,0,MATCH(T$2,Inputs!$K$4:$AJ$4,0)))+SUMPRODUCT((Inputs!$E$5:$E$160=$B23)*Inputs!$F$5:$F$160*(((Inputs!$G$5:$G$160="moeda")+(Inputs!$G$5:$G$160="acoes"))*Inputs!$B$1+((Inputs!$G$5:$G$160&lt;&gt;"moeda")*(Inputs!$G$5:$G$160&lt;&gt;"acoes")))*INDEX(Inputs!$K$5:$AJ$160,0,MATCH(T$2,Inputs!$K$4:$AJ$4,0)))))</f>
        <v>1202.109</v>
      </c>
      <c r="U23" s="6">
        <f>IF(ISNA(MATCH(U$2,Inputs!$K$4:$AJ$4,0)),NA(),IF(SUMPRODUCT((Inputs!$A$5:$A$160=$B23)*ISNUMBER(INDEX(Inputs!$K$5:$AJ$160,0,MATCH(U$2,Inputs!$K$4:$AJ$4,0))))+SUMPRODUCT((Inputs!$C$5:$C$160=$B23)*ISNUMBER(INDEX(Inputs!$K$5:$AJ$160,0,MATCH(U$2,Inputs!$K$4:$AJ$4,0))))+SUMPRODUCT((Inputs!$E$5:$E$160=$B23)*ISNUMBER(INDEX(Inputs!$K$5:$AJ$160,0,MATCH(U$2,Inputs!$K$4:$AJ$4,0))))=0,NA(),SUMPRODUCT((Inputs!$A$5:$A$160=$B23)*Inputs!$B$5:$B$160*(((Inputs!$G$5:$G$160="moeda")+(Inputs!$G$5:$G$160="acoes"))*Inputs!$B$1+((Inputs!$G$5:$G$160&lt;&gt;"moeda")*(Inputs!$G$5:$G$160&lt;&gt;"acoes")))*INDEX(Inputs!$K$5:$AJ$160,0,MATCH(U$2,Inputs!$K$4:$AJ$4,0)))+SUMPRODUCT((Inputs!$C$5:$C$160=$B23)*Inputs!$D$5:$D$160*(((Inputs!$G$5:$G$160="moeda")+(Inputs!$G$5:$G$160="acoes"))*Inputs!$B$1+((Inputs!$G$5:$G$160&lt;&gt;"moeda")*(Inputs!$G$5:$G$160&lt;&gt;"acoes")))*INDEX(Inputs!$K$5:$AJ$160,0,MATCH(U$2,Inputs!$K$4:$AJ$4,0)))+SUMPRODUCT((Inputs!$E$5:$E$160=$B23)*Inputs!$F$5:$F$160*(((Inputs!$G$5:$G$160="moeda")+(Inputs!$G$5:$G$160="acoes"))*Inputs!$B$1+((Inputs!$G$5:$G$160&lt;&gt;"moeda")*(Inputs!$G$5:$G$160&lt;&gt;"acoes")))*INDEX(Inputs!$K$5:$AJ$160,0,MATCH(U$2,Inputs!$K$4:$AJ$4,0)))))</f>
        <v>1159.406</v>
      </c>
      <c r="V23" s="6">
        <f>IF(ISNA(MATCH(V$2,Inputs!$K$4:$AJ$4,0)),NA(),IF(SUMPRODUCT((Inputs!$A$5:$A$160=$B23)*ISNUMBER(INDEX(Inputs!$K$5:$AJ$160,0,MATCH(V$2,Inputs!$K$4:$AJ$4,0))))+SUMPRODUCT((Inputs!$C$5:$C$160=$B23)*ISNUMBER(INDEX(Inputs!$K$5:$AJ$160,0,MATCH(V$2,Inputs!$K$4:$AJ$4,0))))+SUMPRODUCT((Inputs!$E$5:$E$160=$B23)*ISNUMBER(INDEX(Inputs!$K$5:$AJ$160,0,MATCH(V$2,Inputs!$K$4:$AJ$4,0))))=0,NA(),SUMPRODUCT((Inputs!$A$5:$A$160=$B23)*Inputs!$B$5:$B$160*(((Inputs!$G$5:$G$160="moeda")+(Inputs!$G$5:$G$160="acoes"))*Inputs!$B$1+((Inputs!$G$5:$G$160&lt;&gt;"moeda")*(Inputs!$G$5:$G$160&lt;&gt;"acoes")))*INDEX(Inputs!$K$5:$AJ$160,0,MATCH(V$2,Inputs!$K$4:$AJ$4,0)))+SUMPRODUCT((Inputs!$C$5:$C$160=$B23)*Inputs!$D$5:$D$160*(((Inputs!$G$5:$G$160="moeda")+(Inputs!$G$5:$G$160="acoes"))*Inputs!$B$1+((Inputs!$G$5:$G$160&lt;&gt;"moeda")*(Inputs!$G$5:$G$160&lt;&gt;"acoes")))*INDEX(Inputs!$K$5:$AJ$160,0,MATCH(V$2,Inputs!$K$4:$AJ$4,0)))+SUMPRODUCT((Inputs!$E$5:$E$160=$B23)*Inputs!$F$5:$F$160*(((Inputs!$G$5:$G$160="moeda")+(Inputs!$G$5:$G$160="acoes"))*Inputs!$B$1+((Inputs!$G$5:$G$160&lt;&gt;"moeda")*(Inputs!$G$5:$G$160&lt;&gt;"acoes")))*INDEX(Inputs!$K$5:$AJ$160,0,MATCH(V$2,Inputs!$K$4:$AJ$4,0)))))</f>
        <v>1138.643</v>
      </c>
      <c r="W23" s="3">
        <f>V23</f>
        <v>1138.643</v>
      </c>
      <c r="X23" s="6">
        <f>IF(ISNA(MATCH(X$2,Inputs!$K$4:$AJ$4,0)),NA(),IF(SUMPRODUCT((Inputs!$A$5:$A$160=$B23)*ISNUMBER(INDEX(Inputs!$K$5:$AJ$160,0,MATCH(X$2,Inputs!$K$4:$AJ$4,0))))+SUMPRODUCT((Inputs!$C$5:$C$160=$B23)*ISNUMBER(INDEX(Inputs!$K$5:$AJ$160,0,MATCH(X$2,Inputs!$K$4:$AJ$4,0))))+SUMPRODUCT((Inputs!$E$5:$E$160=$B23)*ISNUMBER(INDEX(Inputs!$K$5:$AJ$160,0,MATCH(X$2,Inputs!$K$4:$AJ$4,0))))=0,NA(),SUMPRODUCT((Inputs!$A$5:$A$160=$B23)*Inputs!$B$5:$B$160*(((Inputs!$G$5:$G$160="moeda")+(Inputs!$G$5:$G$160="acoes"))*Inputs!$B$1+((Inputs!$G$5:$G$160&lt;&gt;"moeda")*(Inputs!$G$5:$G$160&lt;&gt;"acoes")))*INDEX(Inputs!$K$5:$AJ$160,0,MATCH(X$2,Inputs!$K$4:$AJ$4,0)))+SUMPRODUCT((Inputs!$C$5:$C$160=$B23)*Inputs!$D$5:$D$160*(((Inputs!$G$5:$G$160="moeda")+(Inputs!$G$5:$G$160="acoes"))*Inputs!$B$1+((Inputs!$G$5:$G$160&lt;&gt;"moeda")*(Inputs!$G$5:$G$160&lt;&gt;"acoes")))*INDEX(Inputs!$K$5:$AJ$160,0,MATCH(X$2,Inputs!$K$4:$AJ$4,0)))+SUMPRODUCT((Inputs!$E$5:$E$160=$B23)*Inputs!$F$5:$F$160*(((Inputs!$G$5:$G$160="moeda")+(Inputs!$G$5:$G$160="acoes"))*Inputs!$B$1+((Inputs!$G$5:$G$160&lt;&gt;"moeda")*(Inputs!$G$5:$G$160&lt;&gt;"acoes")))*INDEX(Inputs!$K$5:$AJ$160,0,MATCH(X$2,Inputs!$K$4:$AJ$4,0)))))</f>
        <v>1140.475247</v>
      </c>
      <c r="Y23" s="6">
        <f>IF(ISNA(MATCH(Y$2,Inputs!$K$4:$AJ$4,0)),NA(),IF(SUMPRODUCT((Inputs!$A$5:$A$160=$B23)*ISNUMBER(INDEX(Inputs!$K$5:$AJ$160,0,MATCH(Y$2,Inputs!$K$4:$AJ$4,0))))+SUMPRODUCT((Inputs!$C$5:$C$160=$B23)*ISNUMBER(INDEX(Inputs!$K$5:$AJ$160,0,MATCH(Y$2,Inputs!$K$4:$AJ$4,0))))+SUMPRODUCT((Inputs!$E$5:$E$160=$B23)*ISNUMBER(INDEX(Inputs!$K$5:$AJ$160,0,MATCH(Y$2,Inputs!$K$4:$AJ$4,0))))=0,NA(),SUMPRODUCT((Inputs!$A$5:$A$160=$B23)*Inputs!$B$5:$B$160*(((Inputs!$G$5:$G$160="moeda")+(Inputs!$G$5:$G$160="acoes"))*Inputs!$B$1+((Inputs!$G$5:$G$160&lt;&gt;"moeda")*(Inputs!$G$5:$G$160&lt;&gt;"acoes")))*INDEX(Inputs!$K$5:$AJ$160,0,MATCH(Y$2,Inputs!$K$4:$AJ$4,0)))+SUMPRODUCT((Inputs!$C$5:$C$160=$B23)*Inputs!$D$5:$D$160*(((Inputs!$G$5:$G$160="moeda")+(Inputs!$G$5:$G$160="acoes"))*Inputs!$B$1+((Inputs!$G$5:$G$160&lt;&gt;"moeda")*(Inputs!$G$5:$G$160&lt;&gt;"acoes")))*INDEX(Inputs!$K$5:$AJ$160,0,MATCH(Y$2,Inputs!$K$4:$AJ$4,0)))+SUMPRODUCT((Inputs!$E$5:$E$160=$B23)*Inputs!$F$5:$F$160*(((Inputs!$G$5:$G$160="moeda")+(Inputs!$G$5:$G$160="acoes"))*Inputs!$B$1+((Inputs!$G$5:$G$160&lt;&gt;"moeda")*(Inputs!$G$5:$G$160&lt;&gt;"acoes")))*INDEX(Inputs!$K$5:$AJ$160,0,MATCH(Y$2,Inputs!$K$4:$AJ$4,0)))))</f>
        <v>1096.847</v>
      </c>
      <c r="Z23" s="6">
        <f>IF(ISNA(MATCH(Z$2,Inputs!$K$4:$AJ$4,0)),NA(),IF(SUMPRODUCT((Inputs!$A$5:$A$160=$B23)*ISNUMBER(INDEX(Inputs!$K$5:$AJ$160,0,MATCH(Z$2,Inputs!$K$4:$AJ$4,0))))+SUMPRODUCT((Inputs!$C$5:$C$160=$B23)*ISNUMBER(INDEX(Inputs!$K$5:$AJ$160,0,MATCH(Z$2,Inputs!$K$4:$AJ$4,0))))+SUMPRODUCT((Inputs!$E$5:$E$160=$B23)*ISNUMBER(INDEX(Inputs!$K$5:$AJ$160,0,MATCH(Z$2,Inputs!$K$4:$AJ$4,0))))=0,NA(),SUMPRODUCT((Inputs!$A$5:$A$160=$B23)*Inputs!$B$5:$B$160*(((Inputs!$G$5:$G$160="moeda")+(Inputs!$G$5:$G$160="acoes"))*Inputs!$B$1+((Inputs!$G$5:$G$160&lt;&gt;"moeda")*(Inputs!$G$5:$G$160&lt;&gt;"acoes")))*INDEX(Inputs!$K$5:$AJ$160,0,MATCH(Z$2,Inputs!$K$4:$AJ$4,0)))+SUMPRODUCT((Inputs!$C$5:$C$160=$B23)*Inputs!$D$5:$D$160*(((Inputs!$G$5:$G$160="moeda")+(Inputs!$G$5:$G$160="acoes"))*Inputs!$B$1+((Inputs!$G$5:$G$160&lt;&gt;"moeda")*(Inputs!$G$5:$G$160&lt;&gt;"acoes")))*INDEX(Inputs!$K$5:$AJ$160,0,MATCH(Z$2,Inputs!$K$4:$AJ$4,0)))+SUMPRODUCT((Inputs!$E$5:$E$160=$B23)*Inputs!$F$5:$F$160*(((Inputs!$G$5:$G$160="moeda")+(Inputs!$G$5:$G$160="acoes"))*Inputs!$B$1+((Inputs!$G$5:$G$160&lt;&gt;"moeda")*(Inputs!$G$5:$G$160&lt;&gt;"acoes")))*INDEX(Inputs!$K$5:$AJ$160,0,MATCH(Z$2,Inputs!$K$4:$AJ$4,0)))))</f>
        <v>1104.344</v>
      </c>
      <c r="AA23" s="6">
        <f>IF(ISNA(MATCH(AA$2,Inputs!$K$4:$AJ$4,0)),NA(),IF(SUMPRODUCT((Inputs!$A$5:$A$160=$B23)*ISNUMBER(INDEX(Inputs!$K$5:$AJ$160,0,MATCH(AA$2,Inputs!$K$4:$AJ$4,0))))+SUMPRODUCT((Inputs!$C$5:$C$160=$B23)*ISNUMBER(INDEX(Inputs!$K$5:$AJ$160,0,MATCH(AA$2,Inputs!$K$4:$AJ$4,0))))+SUMPRODUCT((Inputs!$E$5:$E$160=$B23)*ISNUMBER(INDEX(Inputs!$K$5:$AJ$160,0,MATCH(AA$2,Inputs!$K$4:$AJ$4,0))))=0,NA(),SUMPRODUCT((Inputs!$A$5:$A$160=$B23)*Inputs!$B$5:$B$160*(((Inputs!$G$5:$G$160="moeda")+(Inputs!$G$5:$G$160="acoes"))*Inputs!$B$1+((Inputs!$G$5:$G$160&lt;&gt;"moeda")*(Inputs!$G$5:$G$160&lt;&gt;"acoes")))*INDEX(Inputs!$K$5:$AJ$160,0,MATCH(AA$2,Inputs!$K$4:$AJ$4,0)))+SUMPRODUCT((Inputs!$C$5:$C$160=$B23)*Inputs!$D$5:$D$160*(((Inputs!$G$5:$G$160="moeda")+(Inputs!$G$5:$G$160="acoes"))*Inputs!$B$1+((Inputs!$G$5:$G$160&lt;&gt;"moeda")*(Inputs!$G$5:$G$160&lt;&gt;"acoes")))*INDEX(Inputs!$K$5:$AJ$160,0,MATCH(AA$2,Inputs!$K$4:$AJ$4,0)))+SUMPRODUCT((Inputs!$E$5:$E$160=$B23)*Inputs!$F$5:$F$160*(((Inputs!$G$5:$G$160="moeda")+(Inputs!$G$5:$G$160="acoes"))*Inputs!$B$1+((Inputs!$G$5:$G$160&lt;&gt;"moeda")*(Inputs!$G$5:$G$160&lt;&gt;"acoes")))*INDEX(Inputs!$K$5:$AJ$160,0,MATCH(AA$2,Inputs!$K$4:$AJ$4,0)))))</f>
        <v>1098.591</v>
      </c>
      <c r="AB23" s="3">
        <f>AA23</f>
        <v>1098.591</v>
      </c>
      <c r="AC23" s="6">
        <f>IF(ISNA(MATCH(AC$2,Inputs!$K$4:$AJ$4,0)),NA(),IF(SUMPRODUCT((Inputs!$A$5:$A$160=$B23)*ISNUMBER(INDEX(Inputs!$K$5:$AJ$160,0,MATCH(AC$2,Inputs!$K$4:$AJ$4,0))))+SUMPRODUCT((Inputs!$C$5:$C$160=$B23)*ISNUMBER(INDEX(Inputs!$K$5:$AJ$160,0,MATCH(AC$2,Inputs!$K$4:$AJ$4,0))))+SUMPRODUCT((Inputs!$E$5:$E$160=$B23)*ISNUMBER(INDEX(Inputs!$K$5:$AJ$160,0,MATCH(AC$2,Inputs!$K$4:$AJ$4,0))))=0,NA(),SUMPRODUCT((Inputs!$A$5:$A$160=$B23)*Inputs!$B$5:$B$160*(((Inputs!$G$5:$G$160="moeda")+(Inputs!$G$5:$G$160="acoes"))*Inputs!$B$1+((Inputs!$G$5:$G$160&lt;&gt;"moeda")*(Inputs!$G$5:$G$160&lt;&gt;"acoes")))*INDEX(Inputs!$K$5:$AJ$160,0,MATCH(AC$2,Inputs!$K$4:$AJ$4,0)))+SUMPRODUCT((Inputs!$C$5:$C$160=$B23)*Inputs!$D$5:$D$160*(((Inputs!$G$5:$G$160="moeda")+(Inputs!$G$5:$G$160="acoes"))*Inputs!$B$1+((Inputs!$G$5:$G$160&lt;&gt;"moeda")*(Inputs!$G$5:$G$160&lt;&gt;"acoes")))*INDEX(Inputs!$K$5:$AJ$160,0,MATCH(AC$2,Inputs!$K$4:$AJ$4,0)))+SUMPRODUCT((Inputs!$E$5:$E$160=$B23)*Inputs!$F$5:$F$160*(((Inputs!$G$5:$G$160="moeda")+(Inputs!$G$5:$G$160="acoes"))*Inputs!$B$1+((Inputs!$G$5:$G$160&lt;&gt;"moeda")*(Inputs!$G$5:$G$160&lt;&gt;"acoes")))*INDEX(Inputs!$K$5:$AJ$160,0,MATCH(AC$2,Inputs!$K$4:$AJ$4,0)))))</f>
        <v>1079.421</v>
      </c>
      <c r="AD23" s="6">
        <f>IF(ISNA(MATCH(AD$2,Inputs!$K$4:$AJ$4,0)),NA(),IF(SUMPRODUCT((Inputs!$A$5:$A$160=$B23)*ISNUMBER(INDEX(Inputs!$K$5:$AJ$160,0,MATCH(AD$2,Inputs!$K$4:$AJ$4,0))))+SUMPRODUCT((Inputs!$C$5:$C$160=$B23)*ISNUMBER(INDEX(Inputs!$K$5:$AJ$160,0,MATCH(AD$2,Inputs!$K$4:$AJ$4,0))))+SUMPRODUCT((Inputs!$E$5:$E$160=$B23)*ISNUMBER(INDEX(Inputs!$K$5:$AJ$160,0,MATCH(AD$2,Inputs!$K$4:$AJ$4,0))))=0,NA(),SUMPRODUCT((Inputs!$A$5:$A$160=$B23)*Inputs!$B$5:$B$160*(((Inputs!$G$5:$G$160="moeda")+(Inputs!$G$5:$G$160="acoes"))*Inputs!$B$1+((Inputs!$G$5:$G$160&lt;&gt;"moeda")*(Inputs!$G$5:$G$160&lt;&gt;"acoes")))*INDEX(Inputs!$K$5:$AJ$160,0,MATCH(AD$2,Inputs!$K$4:$AJ$4,0)))+SUMPRODUCT((Inputs!$C$5:$C$160=$B23)*Inputs!$D$5:$D$160*(((Inputs!$G$5:$G$160="moeda")+(Inputs!$G$5:$G$160="acoes"))*Inputs!$B$1+((Inputs!$G$5:$G$160&lt;&gt;"moeda")*(Inputs!$G$5:$G$160&lt;&gt;"acoes")))*INDEX(Inputs!$K$5:$AJ$160,0,MATCH(AD$2,Inputs!$K$4:$AJ$4,0)))+SUMPRODUCT((Inputs!$E$5:$E$160=$B23)*Inputs!$F$5:$F$160*(((Inputs!$G$5:$G$160="moeda")+(Inputs!$G$5:$G$160="acoes"))*Inputs!$B$1+((Inputs!$G$5:$G$160&lt;&gt;"moeda")*(Inputs!$G$5:$G$160&lt;&gt;"acoes")))*INDEX(Inputs!$K$5:$AJ$160,0,MATCH(AD$2,Inputs!$K$4:$AJ$4,0)))))</f>
        <v>1203.367</v>
      </c>
      <c r="AE23" s="6" t="e">
        <f>IF(ISNA(MATCH(AE$2,Inputs!$K$4:$AJ$4,0)),NA(),IF(SUMPRODUCT((Inputs!$A$5:$A$160=$B23)*ISNUMBER(INDEX(Inputs!$K$5:$AJ$160,0,MATCH(AE$2,Inputs!$K$4:$AJ$4,0))))+SUMPRODUCT((Inputs!$C$5:$C$160=$B23)*ISNUMBER(INDEX(Inputs!$K$5:$AJ$160,0,MATCH(AE$2,Inputs!$K$4:$AJ$4,0))))+SUMPRODUCT((Inputs!$E$5:$E$160=$B23)*ISNUMBER(INDEX(Inputs!$K$5:$AJ$160,0,MATCH(AE$2,Inputs!$K$4:$AJ$4,0))))=0,NA(),SUMPRODUCT((Inputs!$A$5:$A$160=$B23)*Inputs!$B$5:$B$160*(((Inputs!$G$5:$G$160="moeda")+(Inputs!$G$5:$G$160="acoes"))*Inputs!$B$1+((Inputs!$G$5:$G$160&lt;&gt;"moeda")*(Inputs!$G$5:$G$160&lt;&gt;"acoes")))*INDEX(Inputs!$K$5:$AJ$160,0,MATCH(AE$2,Inputs!$K$4:$AJ$4,0)))+SUMPRODUCT((Inputs!$C$5:$C$160=$B23)*Inputs!$D$5:$D$160*(((Inputs!$G$5:$G$160="moeda")+(Inputs!$G$5:$G$160="acoes"))*Inputs!$B$1+((Inputs!$G$5:$G$160&lt;&gt;"moeda")*(Inputs!$G$5:$G$160&lt;&gt;"acoes")))*INDEX(Inputs!$K$5:$AJ$160,0,MATCH(AE$2,Inputs!$K$4:$AJ$4,0)))+SUMPRODUCT((Inputs!$E$5:$E$160=$B23)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3" s="6" t="e">
        <f>IF(ISNA(MATCH(AF$2,Inputs!$K$4:$AJ$4,0)),NA(),IF(SUMPRODUCT((Inputs!$A$5:$A$160=$B23)*ISNUMBER(INDEX(Inputs!$K$5:$AJ$160,0,MATCH(AF$2,Inputs!$K$4:$AJ$4,0))))+SUMPRODUCT((Inputs!$C$5:$C$160=$B23)*ISNUMBER(INDEX(Inputs!$K$5:$AJ$160,0,MATCH(AF$2,Inputs!$K$4:$AJ$4,0))))+SUMPRODUCT((Inputs!$E$5:$E$160=$B23)*ISNUMBER(INDEX(Inputs!$K$5:$AJ$160,0,MATCH(AF$2,Inputs!$K$4:$AJ$4,0))))=0,NA(),SUMPRODUCT((Inputs!$A$5:$A$160=$B23)*Inputs!$B$5:$B$160*(((Inputs!$G$5:$G$160="moeda")+(Inputs!$G$5:$G$160="acoes"))*Inputs!$B$1+((Inputs!$G$5:$G$160&lt;&gt;"moeda")*(Inputs!$G$5:$G$160&lt;&gt;"acoes")))*INDEX(Inputs!$K$5:$AJ$160,0,MATCH(AF$2,Inputs!$K$4:$AJ$4,0)))+SUMPRODUCT((Inputs!$C$5:$C$160=$B23)*Inputs!$D$5:$D$160*(((Inputs!$G$5:$G$160="moeda")+(Inputs!$G$5:$G$160="acoes"))*Inputs!$B$1+((Inputs!$G$5:$G$160&lt;&gt;"moeda")*(Inputs!$G$5:$G$160&lt;&gt;"acoes")))*INDEX(Inputs!$K$5:$AJ$160,0,MATCH(AF$2,Inputs!$K$4:$AJ$4,0)))+SUMPRODUCT((Inputs!$E$5:$E$160=$B23)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3" s="3" t="e">
        <f>AF23</f>
        <v>#N/A</v>
      </c>
      <c r="AH23" s="6">
        <f>IF(ISNA(MATCH(AH$2,Inputs!$K$4:$AJ$4,0)),NA(),IF(SUMPRODUCT((Inputs!$A$5:$A$160=$B23)*ISNUMBER(INDEX(Inputs!$K$5:$AJ$160,0,MATCH(AH$2,Inputs!$K$4:$AJ$4,0))))+SUMPRODUCT((Inputs!$C$5:$C$160=$B23)*ISNUMBER(INDEX(Inputs!$K$5:$AJ$160,0,MATCH(AH$2,Inputs!$K$4:$AJ$4,0))))+SUMPRODUCT((Inputs!$E$5:$E$160=$B23)*ISNUMBER(INDEX(Inputs!$K$5:$AJ$160,0,MATCH(AH$2,Inputs!$K$4:$AJ$4,0))))=0,NA(),SUMPRODUCT((Inputs!$A$5:$A$160=$B23)*Inputs!$B$5:$B$160*(((Inputs!$G$5:$G$160="moeda")+(Inputs!$G$5:$G$160="acoes"))*Inputs!$B$1+((Inputs!$G$5:$G$160&lt;&gt;"moeda")*(Inputs!$G$5:$G$160&lt;&gt;"acoes")))*INDEX(Inputs!$K$5:$AJ$160,0,MATCH(AH$2,Inputs!$K$4:$AJ$4,0)))+SUMPRODUCT((Inputs!$C$5:$C$160=$B23)*Inputs!$D$5:$D$160*(((Inputs!$G$5:$G$160="moeda")+(Inputs!$G$5:$G$160="acoes"))*Inputs!$B$1+((Inputs!$G$5:$G$160&lt;&gt;"moeda")*(Inputs!$G$5:$G$160&lt;&gt;"acoes")))*INDEX(Inputs!$K$5:$AJ$160,0,MATCH(AH$2,Inputs!$K$4:$AJ$4,0)))+SUMPRODUCT((Inputs!$E$5:$E$160=$B23)*Inputs!$F$5:$F$160*(((Inputs!$G$5:$G$160="moeda")+(Inputs!$G$5:$G$160="acoes"))*Inputs!$B$1+((Inputs!$G$5:$G$160&lt;&gt;"moeda")*(Inputs!$G$5:$G$160&lt;&gt;"acoes")))*INDEX(Inputs!$K$5:$AJ$160,0,MATCH(AH$2,Inputs!$K$4:$AJ$4,0)))))</f>
        <v>790.36075693</v>
      </c>
      <c r="AI23" s="6">
        <f>IF(ISNA(MATCH(AI$2,Inputs!$K$4:$AJ$4,0)),NA(),IF(SUMPRODUCT((Inputs!$A$5:$A$160=$B23)*ISNUMBER(INDEX(Inputs!$K$5:$AJ$160,0,MATCH(AI$2,Inputs!$K$4:$AJ$4,0))))+SUMPRODUCT((Inputs!$C$5:$C$160=$B23)*ISNUMBER(INDEX(Inputs!$K$5:$AJ$160,0,MATCH(AI$2,Inputs!$K$4:$AJ$4,0))))+SUMPRODUCT((Inputs!$E$5:$E$160=$B23)*ISNUMBER(INDEX(Inputs!$K$5:$AJ$160,0,MATCH(AI$2,Inputs!$K$4:$AJ$4,0))))=0,NA(),SUMPRODUCT((Inputs!$A$5:$A$160=$B23)*Inputs!$B$5:$B$160*(((Inputs!$G$5:$G$160="moeda")+(Inputs!$G$5:$G$160="acoes"))*Inputs!$B$1+((Inputs!$G$5:$G$160&lt;&gt;"moeda")*(Inputs!$G$5:$G$160&lt;&gt;"acoes")))*INDEX(Inputs!$K$5:$AJ$160,0,MATCH(AI$2,Inputs!$K$4:$AJ$4,0)))+SUMPRODUCT((Inputs!$C$5:$C$160=$B23)*Inputs!$D$5:$D$160*(((Inputs!$G$5:$G$160="moeda")+(Inputs!$G$5:$G$160="acoes"))*Inputs!$B$1+((Inputs!$G$5:$G$160&lt;&gt;"moeda")*(Inputs!$G$5:$G$160&lt;&gt;"acoes")))*INDEX(Inputs!$K$5:$AJ$160,0,MATCH(AI$2,Inputs!$K$4:$AJ$4,0)))+SUMPRODUCT((Inputs!$E$5:$E$160=$B23)*Inputs!$F$5:$F$160*(((Inputs!$G$5:$G$160="moeda")+(Inputs!$G$5:$G$160="acoes"))*Inputs!$B$1+((Inputs!$G$5:$G$160&lt;&gt;"moeda")*(Inputs!$G$5:$G$160&lt;&gt;"acoes")))*INDEX(Inputs!$K$5:$AJ$160,0,MATCH(AI$2,Inputs!$K$4:$AJ$4,0)))))</f>
        <v>760.73000788</v>
      </c>
      <c r="AJ23" s="6">
        <f>IF(ISNA(MATCH(AJ$2,Inputs!$K$4:$AJ$4,0)),NA(),IF(SUMPRODUCT((Inputs!$A$5:$A$160=$B23)*ISNUMBER(INDEX(Inputs!$K$5:$AJ$160,0,MATCH(AJ$2,Inputs!$K$4:$AJ$4,0))))+SUMPRODUCT((Inputs!$C$5:$C$160=$B23)*ISNUMBER(INDEX(Inputs!$K$5:$AJ$160,0,MATCH(AJ$2,Inputs!$K$4:$AJ$4,0))))+SUMPRODUCT((Inputs!$E$5:$E$160=$B23)*ISNUMBER(INDEX(Inputs!$K$5:$AJ$160,0,MATCH(AJ$2,Inputs!$K$4:$AJ$4,0))))=0,NA(),SUMPRODUCT((Inputs!$A$5:$A$160=$B23)*Inputs!$B$5:$B$160*(((Inputs!$G$5:$G$160="moeda")+(Inputs!$G$5:$G$160="acoes"))*Inputs!$B$1+((Inputs!$G$5:$G$160&lt;&gt;"moeda")*(Inputs!$G$5:$G$160&lt;&gt;"acoes")))*INDEX(Inputs!$K$5:$AJ$160,0,MATCH(AJ$2,Inputs!$K$4:$AJ$4,0)))+SUMPRODUCT((Inputs!$C$5:$C$160=$B23)*Inputs!$D$5:$D$160*(((Inputs!$G$5:$G$160="moeda")+(Inputs!$G$5:$G$160="acoes"))*Inputs!$B$1+((Inputs!$G$5:$G$160&lt;&gt;"moeda")*(Inputs!$G$5:$G$160&lt;&gt;"acoes")))*INDEX(Inputs!$K$5:$AJ$160,0,MATCH(AJ$2,Inputs!$K$4:$AJ$4,0)))+SUMPRODUCT((Inputs!$E$5:$E$160=$B23)*Inputs!$F$5:$F$160*(((Inputs!$G$5:$G$160="moeda")+(Inputs!$G$5:$G$160="acoes"))*Inputs!$B$1+((Inputs!$G$5:$G$160&lt;&gt;"moeda")*(Inputs!$G$5:$G$160&lt;&gt;"acoes")))*INDEX(Inputs!$K$5:$AJ$160,0,MATCH(AJ$2,Inputs!$K$4:$AJ$4,0)))))</f>
        <v>739.31711011</v>
      </c>
      <c r="AK23" s="6">
        <f>IF(ISNA(MATCH(AK$2,Inputs!$K$4:$AJ$4,0)),NA(),IF(SUMPRODUCT((Inputs!$A$5:$A$160=$B23)*ISNUMBER(INDEX(Inputs!$K$5:$AJ$160,0,MATCH(AK$2,Inputs!$K$4:$AJ$4,0))))+SUMPRODUCT((Inputs!$C$5:$C$160=$B23)*ISNUMBER(INDEX(Inputs!$K$5:$AJ$160,0,MATCH(AK$2,Inputs!$K$4:$AJ$4,0))))+SUMPRODUCT((Inputs!$E$5:$E$160=$B23)*ISNUMBER(INDEX(Inputs!$K$5:$AJ$160,0,MATCH(AK$2,Inputs!$K$4:$AJ$4,0))))=0,NA(),SUMPRODUCT((Inputs!$A$5:$A$160=$B23)*Inputs!$B$5:$B$160*(((Inputs!$G$5:$G$160="moeda")+(Inputs!$G$5:$G$160="acoes"))*Inputs!$B$1+((Inputs!$G$5:$G$160&lt;&gt;"moeda")*(Inputs!$G$5:$G$160&lt;&gt;"acoes")))*INDEX(Inputs!$K$5:$AJ$160,0,MATCH(AK$2,Inputs!$K$4:$AJ$4,0)))+SUMPRODUCT((Inputs!$C$5:$C$160=$B23)*Inputs!$D$5:$D$160*(((Inputs!$G$5:$G$160="moeda")+(Inputs!$G$5:$G$160="acoes"))*Inputs!$B$1+((Inputs!$G$5:$G$160&lt;&gt;"moeda")*(Inputs!$G$5:$G$160&lt;&gt;"acoes")))*INDEX(Inputs!$K$5:$AJ$160,0,MATCH(AK$2,Inputs!$K$4:$AJ$4,0)))+SUMPRODUCT((Inputs!$E$5:$E$160=$B23)*Inputs!$F$5:$F$160*(((Inputs!$G$5:$G$160="moeda")+(Inputs!$G$5:$G$160="acoes"))*Inputs!$B$1+((Inputs!$G$5:$G$160&lt;&gt;"moeda")*(Inputs!$G$5:$G$160&lt;&gt;"acoes")))*INDEX(Inputs!$K$5:$AJ$160,0,MATCH(AK$2,Inputs!$K$4:$AJ$4,0)))))</f>
        <v>729.94134505</v>
      </c>
      <c r="AL23" s="3">
        <f>AK23</f>
        <v>729.94134505</v>
      </c>
    </row>
    <row r="24">
      <c r="B24" s="46" t="n">
        <v>20</v>
      </c>
      <c r="C24" s="26" t="inlineStr">
        <is>
          <t>Goodwill</t>
        </is>
      </c>
      <c r="D24" s="6" t="e">
        <f>IF(ISNA(MATCH(D$2,Inputs!$K$4:$AJ$4,0)),NA(),IF(SUMPRODUCT((Inputs!$A$5:$A$160=$B24)*ISNUMBER(INDEX(Inputs!$K$5:$AJ$160,0,MATCH(D$2,Inputs!$K$4:$AJ$4,0))))+SUMPRODUCT((Inputs!$C$5:$C$160=$B24)*ISNUMBER(INDEX(Inputs!$K$5:$AJ$160,0,MATCH(D$2,Inputs!$K$4:$AJ$4,0))))+SUMPRODUCT((Inputs!$E$5:$E$160=$B24)*ISNUMBER(INDEX(Inputs!$K$5:$AJ$160,0,MATCH(D$2,Inputs!$K$4:$AJ$4,0))))=0,NA(),SUMPRODUCT((Inputs!$A$5:$A$160=$B24)*Inputs!$B$5:$B$160*(((Inputs!$G$5:$G$160="moeda")+(Inputs!$G$5:$G$160="acoes"))*Inputs!$B$1+((Inputs!$G$5:$G$160&lt;&gt;"moeda")*(Inputs!$G$5:$G$160&lt;&gt;"acoes")))*INDEX(Inputs!$K$5:$AJ$160,0,MATCH(D$2,Inputs!$K$4:$AJ$4,0)))+SUMPRODUCT((Inputs!$C$5:$C$160=$B24)*Inputs!$D$5:$D$160*(((Inputs!$G$5:$G$160="moeda")+(Inputs!$G$5:$G$160="acoes"))*Inputs!$B$1+((Inputs!$G$5:$G$160&lt;&gt;"moeda")*(Inputs!$G$5:$G$160&lt;&gt;"acoes")))*INDEX(Inputs!$K$5:$AJ$160,0,MATCH(D$2,Inputs!$K$4:$AJ$4,0)))+SUMPRODUCT((Inputs!$E$5:$E$160=$B24)*Inputs!$F$5:$F$160*(((Inputs!$G$5:$G$160="moeda")+(Inputs!$G$5:$G$160="acoes"))*Inputs!$B$1+((Inputs!$G$5:$G$160&lt;&gt;"moeda")*(Inputs!$G$5:$G$160&lt;&gt;"acoes")))*INDEX(Inputs!$K$5:$AJ$160,0,MATCH(D$2,Inputs!$K$4:$AJ$4,0)))))</f>
        <v>#N/A</v>
      </c>
      <c r="E24" s="6" t="e">
        <f>IF(ISNA(MATCH(E$2,Inputs!$K$4:$AJ$4,0)),NA(),IF(SUMPRODUCT((Inputs!$A$5:$A$160=$B24)*ISNUMBER(INDEX(Inputs!$K$5:$AJ$160,0,MATCH(E$2,Inputs!$K$4:$AJ$4,0))))+SUMPRODUCT((Inputs!$C$5:$C$160=$B24)*ISNUMBER(INDEX(Inputs!$K$5:$AJ$160,0,MATCH(E$2,Inputs!$K$4:$AJ$4,0))))+SUMPRODUCT((Inputs!$E$5:$E$160=$B24)*ISNUMBER(INDEX(Inputs!$K$5:$AJ$160,0,MATCH(E$2,Inputs!$K$4:$AJ$4,0))))=0,NA(),SUMPRODUCT((Inputs!$A$5:$A$160=$B24)*Inputs!$B$5:$B$160*(((Inputs!$G$5:$G$160="moeda")+(Inputs!$G$5:$G$160="acoes"))*Inputs!$B$1+((Inputs!$G$5:$G$160&lt;&gt;"moeda")*(Inputs!$G$5:$G$160&lt;&gt;"acoes")))*INDEX(Inputs!$K$5:$AJ$160,0,MATCH(E$2,Inputs!$K$4:$AJ$4,0)))+SUMPRODUCT((Inputs!$C$5:$C$160=$B24)*Inputs!$D$5:$D$160*(((Inputs!$G$5:$G$160="moeda")+(Inputs!$G$5:$G$160="acoes"))*Inputs!$B$1+((Inputs!$G$5:$G$160&lt;&gt;"moeda")*(Inputs!$G$5:$G$160&lt;&gt;"acoes")))*INDEX(Inputs!$K$5:$AJ$160,0,MATCH(E$2,Inputs!$K$4:$AJ$4,0)))+SUMPRODUCT((Inputs!$E$5:$E$160=$B24)*Inputs!$F$5:$F$160*(((Inputs!$G$5:$G$160="moeda")+(Inputs!$G$5:$G$160="acoes"))*Inputs!$B$1+((Inputs!$G$5:$G$160&lt;&gt;"moeda")*(Inputs!$G$5:$G$160&lt;&gt;"acoes")))*INDEX(Inputs!$K$5:$AJ$160,0,MATCH(E$2,Inputs!$K$4:$AJ$4,0)))))</f>
        <v>#N/A</v>
      </c>
      <c r="F24" s="6" t="e">
        <f>IF(ISNA(MATCH(F$2,Inputs!$K$4:$AJ$4,0)),NA(),IF(SUMPRODUCT((Inputs!$A$5:$A$160=$B24)*ISNUMBER(INDEX(Inputs!$K$5:$AJ$160,0,MATCH(F$2,Inputs!$K$4:$AJ$4,0))))+SUMPRODUCT((Inputs!$C$5:$C$160=$B24)*ISNUMBER(INDEX(Inputs!$K$5:$AJ$160,0,MATCH(F$2,Inputs!$K$4:$AJ$4,0))))+SUMPRODUCT((Inputs!$E$5:$E$160=$B24)*ISNUMBER(INDEX(Inputs!$K$5:$AJ$160,0,MATCH(F$2,Inputs!$K$4:$AJ$4,0))))=0,NA(),SUMPRODUCT((Inputs!$A$5:$A$160=$B24)*Inputs!$B$5:$B$160*(((Inputs!$G$5:$G$160="moeda")+(Inputs!$G$5:$G$160="acoes"))*Inputs!$B$1+((Inputs!$G$5:$G$160&lt;&gt;"moeda")*(Inputs!$G$5:$G$160&lt;&gt;"acoes")))*INDEX(Inputs!$K$5:$AJ$160,0,MATCH(F$2,Inputs!$K$4:$AJ$4,0)))+SUMPRODUCT((Inputs!$C$5:$C$160=$B24)*Inputs!$D$5:$D$160*(((Inputs!$G$5:$G$160="moeda")+(Inputs!$G$5:$G$160="acoes"))*Inputs!$B$1+((Inputs!$G$5:$G$160&lt;&gt;"moeda")*(Inputs!$G$5:$G$160&lt;&gt;"acoes")))*INDEX(Inputs!$K$5:$AJ$160,0,MATCH(F$2,Inputs!$K$4:$AJ$4,0)))+SUMPRODUCT((Inputs!$E$5:$E$160=$B24)*Inputs!$F$5:$F$160*(((Inputs!$G$5:$G$160="moeda")+(Inputs!$G$5:$G$160="acoes"))*Inputs!$B$1+((Inputs!$G$5:$G$160&lt;&gt;"moeda")*(Inputs!$G$5:$G$160&lt;&gt;"acoes")))*INDEX(Inputs!$K$5:$AJ$160,0,MATCH(F$2,Inputs!$K$4:$AJ$4,0)))))</f>
        <v>#N/A</v>
      </c>
      <c r="G24" s="6" t="e">
        <f>IF(ISNA(MATCH(G$2,Inputs!$K$4:$AJ$4,0)),NA(),IF(SUMPRODUCT((Inputs!$A$5:$A$160=$B24)*ISNUMBER(INDEX(Inputs!$K$5:$AJ$160,0,MATCH(G$2,Inputs!$K$4:$AJ$4,0))))+SUMPRODUCT((Inputs!$C$5:$C$160=$B24)*ISNUMBER(INDEX(Inputs!$K$5:$AJ$160,0,MATCH(G$2,Inputs!$K$4:$AJ$4,0))))+SUMPRODUCT((Inputs!$E$5:$E$160=$B24)*ISNUMBER(INDEX(Inputs!$K$5:$AJ$160,0,MATCH(G$2,Inputs!$K$4:$AJ$4,0))))=0,NA(),SUMPRODUCT((Inputs!$A$5:$A$160=$B24)*Inputs!$B$5:$B$160*(((Inputs!$G$5:$G$160="moeda")+(Inputs!$G$5:$G$160="acoes"))*Inputs!$B$1+((Inputs!$G$5:$G$160&lt;&gt;"moeda")*(Inputs!$G$5:$G$160&lt;&gt;"acoes")))*INDEX(Inputs!$K$5:$AJ$160,0,MATCH(G$2,Inputs!$K$4:$AJ$4,0)))+SUMPRODUCT((Inputs!$C$5:$C$160=$B24)*Inputs!$D$5:$D$160*(((Inputs!$G$5:$G$160="moeda")+(Inputs!$G$5:$G$160="acoes"))*Inputs!$B$1+((Inputs!$G$5:$G$160&lt;&gt;"moeda")*(Inputs!$G$5:$G$160&lt;&gt;"acoes")))*INDEX(Inputs!$K$5:$AJ$160,0,MATCH(G$2,Inputs!$K$4:$AJ$4,0)))+SUMPRODUCT((Inputs!$E$5:$E$160=$B24)*Inputs!$F$5:$F$160*(((Inputs!$G$5:$G$160="moeda")+(Inputs!$G$5:$G$160="acoes"))*Inputs!$B$1+((Inputs!$G$5:$G$160&lt;&gt;"moeda")*(Inputs!$G$5:$G$160&lt;&gt;"acoes")))*INDEX(Inputs!$K$5:$AJ$160,0,MATCH(G$2,Inputs!$K$4:$AJ$4,0)))))</f>
        <v>#N/A</v>
      </c>
      <c r="H24" s="3" t="e">
        <f>G24</f>
        <v>#N/A</v>
      </c>
      <c r="I24" s="6" t="e">
        <f>IF(ISNA(MATCH(I$2,Inputs!$K$4:$AJ$4,0)),NA(),IF(SUMPRODUCT((Inputs!$A$5:$A$160=$B24)*ISNUMBER(INDEX(Inputs!$K$5:$AJ$160,0,MATCH(I$2,Inputs!$K$4:$AJ$4,0))))+SUMPRODUCT((Inputs!$C$5:$C$160=$B24)*ISNUMBER(INDEX(Inputs!$K$5:$AJ$160,0,MATCH(I$2,Inputs!$K$4:$AJ$4,0))))+SUMPRODUCT((Inputs!$E$5:$E$160=$B24)*ISNUMBER(INDEX(Inputs!$K$5:$AJ$160,0,MATCH(I$2,Inputs!$K$4:$AJ$4,0))))=0,NA(),SUMPRODUCT((Inputs!$A$5:$A$160=$B24)*Inputs!$B$5:$B$160*(((Inputs!$G$5:$G$160="moeda")+(Inputs!$G$5:$G$160="acoes"))*Inputs!$B$1+((Inputs!$G$5:$G$160&lt;&gt;"moeda")*(Inputs!$G$5:$G$160&lt;&gt;"acoes")))*INDEX(Inputs!$K$5:$AJ$160,0,MATCH(I$2,Inputs!$K$4:$AJ$4,0)))+SUMPRODUCT((Inputs!$C$5:$C$160=$B24)*Inputs!$D$5:$D$160*(((Inputs!$G$5:$G$160="moeda")+(Inputs!$G$5:$G$160="acoes"))*Inputs!$B$1+((Inputs!$G$5:$G$160&lt;&gt;"moeda")*(Inputs!$G$5:$G$160&lt;&gt;"acoes")))*INDEX(Inputs!$K$5:$AJ$160,0,MATCH(I$2,Inputs!$K$4:$AJ$4,0)))+SUMPRODUCT((Inputs!$E$5:$E$160=$B24)*Inputs!$F$5:$F$160*(((Inputs!$G$5:$G$160="moeda")+(Inputs!$G$5:$G$160="acoes"))*Inputs!$B$1+((Inputs!$G$5:$G$160&lt;&gt;"moeda")*(Inputs!$G$5:$G$160&lt;&gt;"acoes")))*INDEX(Inputs!$K$5:$AJ$160,0,MATCH(I$2,Inputs!$K$4:$AJ$4,0)))))</f>
        <v>#N/A</v>
      </c>
      <c r="J24" s="6" t="e">
        <f>IF(ISNA(MATCH(J$2,Inputs!$K$4:$AJ$4,0)),NA(),IF(SUMPRODUCT((Inputs!$A$5:$A$160=$B24)*ISNUMBER(INDEX(Inputs!$K$5:$AJ$160,0,MATCH(J$2,Inputs!$K$4:$AJ$4,0))))+SUMPRODUCT((Inputs!$C$5:$C$160=$B24)*ISNUMBER(INDEX(Inputs!$K$5:$AJ$160,0,MATCH(J$2,Inputs!$K$4:$AJ$4,0))))+SUMPRODUCT((Inputs!$E$5:$E$160=$B24)*ISNUMBER(INDEX(Inputs!$K$5:$AJ$160,0,MATCH(J$2,Inputs!$K$4:$AJ$4,0))))=0,NA(),SUMPRODUCT((Inputs!$A$5:$A$160=$B24)*Inputs!$B$5:$B$160*(((Inputs!$G$5:$G$160="moeda")+(Inputs!$G$5:$G$160="acoes"))*Inputs!$B$1+((Inputs!$G$5:$G$160&lt;&gt;"moeda")*(Inputs!$G$5:$G$160&lt;&gt;"acoes")))*INDEX(Inputs!$K$5:$AJ$160,0,MATCH(J$2,Inputs!$K$4:$AJ$4,0)))+SUMPRODUCT((Inputs!$C$5:$C$160=$B24)*Inputs!$D$5:$D$160*(((Inputs!$G$5:$G$160="moeda")+(Inputs!$G$5:$G$160="acoes"))*Inputs!$B$1+((Inputs!$G$5:$G$160&lt;&gt;"moeda")*(Inputs!$G$5:$G$160&lt;&gt;"acoes")))*INDEX(Inputs!$K$5:$AJ$160,0,MATCH(J$2,Inputs!$K$4:$AJ$4,0)))+SUMPRODUCT((Inputs!$E$5:$E$160=$B24)*Inputs!$F$5:$F$160*(((Inputs!$G$5:$G$160="moeda")+(Inputs!$G$5:$G$160="acoes"))*Inputs!$B$1+((Inputs!$G$5:$G$160&lt;&gt;"moeda")*(Inputs!$G$5:$G$160&lt;&gt;"acoes")))*INDEX(Inputs!$K$5:$AJ$160,0,MATCH(J$2,Inputs!$K$4:$AJ$4,0)))))</f>
        <v>#N/A</v>
      </c>
      <c r="K24" s="6" t="e">
        <f>IF(ISNA(MATCH(K$2,Inputs!$K$4:$AJ$4,0)),NA(),IF(SUMPRODUCT((Inputs!$A$5:$A$160=$B24)*ISNUMBER(INDEX(Inputs!$K$5:$AJ$160,0,MATCH(K$2,Inputs!$K$4:$AJ$4,0))))+SUMPRODUCT((Inputs!$C$5:$C$160=$B24)*ISNUMBER(INDEX(Inputs!$K$5:$AJ$160,0,MATCH(K$2,Inputs!$K$4:$AJ$4,0))))+SUMPRODUCT((Inputs!$E$5:$E$160=$B24)*ISNUMBER(INDEX(Inputs!$K$5:$AJ$160,0,MATCH(K$2,Inputs!$K$4:$AJ$4,0))))=0,NA(),SUMPRODUCT((Inputs!$A$5:$A$160=$B24)*Inputs!$B$5:$B$160*(((Inputs!$G$5:$G$160="moeda")+(Inputs!$G$5:$G$160="acoes"))*Inputs!$B$1+((Inputs!$G$5:$G$160&lt;&gt;"moeda")*(Inputs!$G$5:$G$160&lt;&gt;"acoes")))*INDEX(Inputs!$K$5:$AJ$160,0,MATCH(K$2,Inputs!$K$4:$AJ$4,0)))+SUMPRODUCT((Inputs!$C$5:$C$160=$B24)*Inputs!$D$5:$D$160*(((Inputs!$G$5:$G$160="moeda")+(Inputs!$G$5:$G$160="acoes"))*Inputs!$B$1+((Inputs!$G$5:$G$160&lt;&gt;"moeda")*(Inputs!$G$5:$G$160&lt;&gt;"acoes")))*INDEX(Inputs!$K$5:$AJ$160,0,MATCH(K$2,Inputs!$K$4:$AJ$4,0)))+SUMPRODUCT((Inputs!$E$5:$E$160=$B24)*Inputs!$F$5:$F$160*(((Inputs!$G$5:$G$160="moeda")+(Inputs!$G$5:$G$160="acoes"))*Inputs!$B$1+((Inputs!$G$5:$G$160&lt;&gt;"moeda")*(Inputs!$G$5:$G$160&lt;&gt;"acoes")))*INDEX(Inputs!$K$5:$AJ$160,0,MATCH(K$2,Inputs!$K$4:$AJ$4,0)))))</f>
        <v>#N/A</v>
      </c>
      <c r="L24" s="6" t="e">
        <f>IF(ISNA(MATCH(L$2,Inputs!$K$4:$AJ$4,0)),NA(),IF(SUMPRODUCT((Inputs!$A$5:$A$160=$B24)*ISNUMBER(INDEX(Inputs!$K$5:$AJ$160,0,MATCH(L$2,Inputs!$K$4:$AJ$4,0))))+SUMPRODUCT((Inputs!$C$5:$C$160=$B24)*ISNUMBER(INDEX(Inputs!$K$5:$AJ$160,0,MATCH(L$2,Inputs!$K$4:$AJ$4,0))))+SUMPRODUCT((Inputs!$E$5:$E$160=$B24)*ISNUMBER(INDEX(Inputs!$K$5:$AJ$160,0,MATCH(L$2,Inputs!$K$4:$AJ$4,0))))=0,NA(),SUMPRODUCT((Inputs!$A$5:$A$160=$B24)*Inputs!$B$5:$B$160*(((Inputs!$G$5:$G$160="moeda")+(Inputs!$G$5:$G$160="acoes"))*Inputs!$B$1+((Inputs!$G$5:$G$160&lt;&gt;"moeda")*(Inputs!$G$5:$G$160&lt;&gt;"acoes")))*INDEX(Inputs!$K$5:$AJ$160,0,MATCH(L$2,Inputs!$K$4:$AJ$4,0)))+SUMPRODUCT((Inputs!$C$5:$C$160=$B24)*Inputs!$D$5:$D$160*(((Inputs!$G$5:$G$160="moeda")+(Inputs!$G$5:$G$160="acoes"))*Inputs!$B$1+((Inputs!$G$5:$G$160&lt;&gt;"moeda")*(Inputs!$G$5:$G$160&lt;&gt;"acoes")))*INDEX(Inputs!$K$5:$AJ$160,0,MATCH(L$2,Inputs!$K$4:$AJ$4,0)))+SUMPRODUCT((Inputs!$E$5:$E$160=$B24)*Inputs!$F$5:$F$160*(((Inputs!$G$5:$G$160="moeda")+(Inputs!$G$5:$G$160="acoes"))*Inputs!$B$1+((Inputs!$G$5:$G$160&lt;&gt;"moeda")*(Inputs!$G$5:$G$160&lt;&gt;"acoes")))*INDEX(Inputs!$K$5:$AJ$160,0,MATCH(L$2,Inputs!$K$4:$AJ$4,0)))))</f>
        <v>#N/A</v>
      </c>
      <c r="M24" s="3" t="e">
        <f>L24</f>
        <v>#N/A</v>
      </c>
      <c r="N24" s="6" t="e">
        <f>IF(ISNA(MATCH(N$2,Inputs!$K$4:$AJ$4,0)),NA(),IF(SUMPRODUCT((Inputs!$A$5:$A$160=$B24)*ISNUMBER(INDEX(Inputs!$K$5:$AJ$160,0,MATCH(N$2,Inputs!$K$4:$AJ$4,0))))+SUMPRODUCT((Inputs!$C$5:$C$160=$B24)*ISNUMBER(INDEX(Inputs!$K$5:$AJ$160,0,MATCH(N$2,Inputs!$K$4:$AJ$4,0))))+SUMPRODUCT((Inputs!$E$5:$E$160=$B24)*ISNUMBER(INDEX(Inputs!$K$5:$AJ$160,0,MATCH(N$2,Inputs!$K$4:$AJ$4,0))))=0,NA(),SUMPRODUCT((Inputs!$A$5:$A$160=$B24)*Inputs!$B$5:$B$160*(((Inputs!$G$5:$G$160="moeda")+(Inputs!$G$5:$G$160="acoes"))*Inputs!$B$1+((Inputs!$G$5:$G$160&lt;&gt;"moeda")*(Inputs!$G$5:$G$160&lt;&gt;"acoes")))*INDEX(Inputs!$K$5:$AJ$160,0,MATCH(N$2,Inputs!$K$4:$AJ$4,0)))+SUMPRODUCT((Inputs!$C$5:$C$160=$B24)*Inputs!$D$5:$D$160*(((Inputs!$G$5:$G$160="moeda")+(Inputs!$G$5:$G$160="acoes"))*Inputs!$B$1+((Inputs!$G$5:$G$160&lt;&gt;"moeda")*(Inputs!$G$5:$G$160&lt;&gt;"acoes")))*INDEX(Inputs!$K$5:$AJ$160,0,MATCH(N$2,Inputs!$K$4:$AJ$4,0)))+SUMPRODUCT((Inputs!$E$5:$E$160=$B24)*Inputs!$F$5:$F$160*(((Inputs!$G$5:$G$160="moeda")+(Inputs!$G$5:$G$160="acoes"))*Inputs!$B$1+((Inputs!$G$5:$G$160&lt;&gt;"moeda")*(Inputs!$G$5:$G$160&lt;&gt;"acoes")))*INDEX(Inputs!$K$5:$AJ$160,0,MATCH(N$2,Inputs!$K$4:$AJ$4,0)))))</f>
        <v>#N/A</v>
      </c>
      <c r="O24" s="6" t="e">
        <f>IF(ISNA(MATCH(O$2,Inputs!$K$4:$AJ$4,0)),NA(),IF(SUMPRODUCT((Inputs!$A$5:$A$160=$B24)*ISNUMBER(INDEX(Inputs!$K$5:$AJ$160,0,MATCH(O$2,Inputs!$K$4:$AJ$4,0))))+SUMPRODUCT((Inputs!$C$5:$C$160=$B24)*ISNUMBER(INDEX(Inputs!$K$5:$AJ$160,0,MATCH(O$2,Inputs!$K$4:$AJ$4,0))))+SUMPRODUCT((Inputs!$E$5:$E$160=$B24)*ISNUMBER(INDEX(Inputs!$K$5:$AJ$160,0,MATCH(O$2,Inputs!$K$4:$AJ$4,0))))=0,NA(),SUMPRODUCT((Inputs!$A$5:$A$160=$B24)*Inputs!$B$5:$B$160*(((Inputs!$G$5:$G$160="moeda")+(Inputs!$G$5:$G$160="acoes"))*Inputs!$B$1+((Inputs!$G$5:$G$160&lt;&gt;"moeda")*(Inputs!$G$5:$G$160&lt;&gt;"acoes")))*INDEX(Inputs!$K$5:$AJ$160,0,MATCH(O$2,Inputs!$K$4:$AJ$4,0)))+SUMPRODUCT((Inputs!$C$5:$C$160=$B24)*Inputs!$D$5:$D$160*(((Inputs!$G$5:$G$160="moeda")+(Inputs!$G$5:$G$160="acoes"))*Inputs!$B$1+((Inputs!$G$5:$G$160&lt;&gt;"moeda")*(Inputs!$G$5:$G$160&lt;&gt;"acoes")))*INDEX(Inputs!$K$5:$AJ$160,0,MATCH(O$2,Inputs!$K$4:$AJ$4,0)))+SUMPRODUCT((Inputs!$E$5:$E$160=$B24)*Inputs!$F$5:$F$160*(((Inputs!$G$5:$G$160="moeda")+(Inputs!$G$5:$G$160="acoes"))*Inputs!$B$1+((Inputs!$G$5:$G$160&lt;&gt;"moeda")*(Inputs!$G$5:$G$160&lt;&gt;"acoes")))*INDEX(Inputs!$K$5:$AJ$160,0,MATCH(O$2,Inputs!$K$4:$AJ$4,0)))))</f>
        <v>#N/A</v>
      </c>
      <c r="P24" s="6" t="e">
        <f>IF(ISNA(MATCH(P$2,Inputs!$K$4:$AJ$4,0)),NA(),IF(SUMPRODUCT((Inputs!$A$5:$A$160=$B24)*ISNUMBER(INDEX(Inputs!$K$5:$AJ$160,0,MATCH(P$2,Inputs!$K$4:$AJ$4,0))))+SUMPRODUCT((Inputs!$C$5:$C$160=$B24)*ISNUMBER(INDEX(Inputs!$K$5:$AJ$160,0,MATCH(P$2,Inputs!$K$4:$AJ$4,0))))+SUMPRODUCT((Inputs!$E$5:$E$160=$B24)*ISNUMBER(INDEX(Inputs!$K$5:$AJ$160,0,MATCH(P$2,Inputs!$K$4:$AJ$4,0))))=0,NA(),SUMPRODUCT((Inputs!$A$5:$A$160=$B24)*Inputs!$B$5:$B$160*(((Inputs!$G$5:$G$160="moeda")+(Inputs!$G$5:$G$160="acoes"))*Inputs!$B$1+((Inputs!$G$5:$G$160&lt;&gt;"moeda")*(Inputs!$G$5:$G$160&lt;&gt;"acoes")))*INDEX(Inputs!$K$5:$AJ$160,0,MATCH(P$2,Inputs!$K$4:$AJ$4,0)))+SUMPRODUCT((Inputs!$C$5:$C$160=$B24)*Inputs!$D$5:$D$160*(((Inputs!$G$5:$G$160="moeda")+(Inputs!$G$5:$G$160="acoes"))*Inputs!$B$1+((Inputs!$G$5:$G$160&lt;&gt;"moeda")*(Inputs!$G$5:$G$160&lt;&gt;"acoes")))*INDEX(Inputs!$K$5:$AJ$160,0,MATCH(P$2,Inputs!$K$4:$AJ$4,0)))+SUMPRODUCT((Inputs!$E$5:$E$160=$B24)*Inputs!$F$5:$F$160*(((Inputs!$G$5:$G$160="moeda")+(Inputs!$G$5:$G$160="acoes"))*Inputs!$B$1+((Inputs!$G$5:$G$160&lt;&gt;"moeda")*(Inputs!$G$5:$G$160&lt;&gt;"acoes")))*INDEX(Inputs!$K$5:$AJ$160,0,MATCH(P$2,Inputs!$K$4:$AJ$4,0)))))</f>
        <v>#N/A</v>
      </c>
      <c r="Q24" s="6" t="e">
        <f>IF(ISNA(MATCH(Q$2,Inputs!$K$4:$AJ$4,0)),NA(),IF(SUMPRODUCT((Inputs!$A$5:$A$160=$B24)*ISNUMBER(INDEX(Inputs!$K$5:$AJ$160,0,MATCH(Q$2,Inputs!$K$4:$AJ$4,0))))+SUMPRODUCT((Inputs!$C$5:$C$160=$B24)*ISNUMBER(INDEX(Inputs!$K$5:$AJ$160,0,MATCH(Q$2,Inputs!$K$4:$AJ$4,0))))+SUMPRODUCT((Inputs!$E$5:$E$160=$B24)*ISNUMBER(INDEX(Inputs!$K$5:$AJ$160,0,MATCH(Q$2,Inputs!$K$4:$AJ$4,0))))=0,NA(),SUMPRODUCT((Inputs!$A$5:$A$160=$B24)*Inputs!$B$5:$B$160*(((Inputs!$G$5:$G$160="moeda")+(Inputs!$G$5:$G$160="acoes"))*Inputs!$B$1+((Inputs!$G$5:$G$160&lt;&gt;"moeda")*(Inputs!$G$5:$G$160&lt;&gt;"acoes")))*INDEX(Inputs!$K$5:$AJ$160,0,MATCH(Q$2,Inputs!$K$4:$AJ$4,0)))+SUMPRODUCT((Inputs!$C$5:$C$160=$B24)*Inputs!$D$5:$D$160*(((Inputs!$G$5:$G$160="moeda")+(Inputs!$G$5:$G$160="acoes"))*Inputs!$B$1+((Inputs!$G$5:$G$160&lt;&gt;"moeda")*(Inputs!$G$5:$G$160&lt;&gt;"acoes")))*INDEX(Inputs!$K$5:$AJ$160,0,MATCH(Q$2,Inputs!$K$4:$AJ$4,0)))+SUMPRODUCT((Inputs!$E$5:$E$160=$B24)*Inputs!$F$5:$F$160*(((Inputs!$G$5:$G$160="moeda")+(Inputs!$G$5:$G$160="acoes"))*Inputs!$B$1+((Inputs!$G$5:$G$160&lt;&gt;"moeda")*(Inputs!$G$5:$G$160&lt;&gt;"acoes")))*INDEX(Inputs!$K$5:$AJ$160,0,MATCH(Q$2,Inputs!$K$4:$AJ$4,0)))))</f>
        <v>#N/A</v>
      </c>
      <c r="R24" s="3" t="e">
        <f>Q24</f>
        <v>#N/A</v>
      </c>
      <c r="S24" s="6" t="e">
        <f>IF(ISNA(MATCH(S$2,Inputs!$K$4:$AJ$4,0)),NA(),IF(SUMPRODUCT((Inputs!$A$5:$A$160=$B24)*ISNUMBER(INDEX(Inputs!$K$5:$AJ$160,0,MATCH(S$2,Inputs!$K$4:$AJ$4,0))))+SUMPRODUCT((Inputs!$C$5:$C$160=$B24)*ISNUMBER(INDEX(Inputs!$K$5:$AJ$160,0,MATCH(S$2,Inputs!$K$4:$AJ$4,0))))+SUMPRODUCT((Inputs!$E$5:$E$160=$B24)*ISNUMBER(INDEX(Inputs!$K$5:$AJ$160,0,MATCH(S$2,Inputs!$K$4:$AJ$4,0))))=0,NA(),SUMPRODUCT((Inputs!$A$5:$A$160=$B24)*Inputs!$B$5:$B$160*(((Inputs!$G$5:$G$160="moeda")+(Inputs!$G$5:$G$160="acoes"))*Inputs!$B$1+((Inputs!$G$5:$G$160&lt;&gt;"moeda")*(Inputs!$G$5:$G$160&lt;&gt;"acoes")))*INDEX(Inputs!$K$5:$AJ$160,0,MATCH(S$2,Inputs!$K$4:$AJ$4,0)))+SUMPRODUCT((Inputs!$C$5:$C$160=$B24)*Inputs!$D$5:$D$160*(((Inputs!$G$5:$G$160="moeda")+(Inputs!$G$5:$G$160="acoes"))*Inputs!$B$1+((Inputs!$G$5:$G$160&lt;&gt;"moeda")*(Inputs!$G$5:$G$160&lt;&gt;"acoes")))*INDEX(Inputs!$K$5:$AJ$160,0,MATCH(S$2,Inputs!$K$4:$AJ$4,0)))+SUMPRODUCT((Inputs!$E$5:$E$160=$B24)*Inputs!$F$5:$F$160*(((Inputs!$G$5:$G$160="moeda")+(Inputs!$G$5:$G$160="acoes"))*Inputs!$B$1+((Inputs!$G$5:$G$160&lt;&gt;"moeda")*(Inputs!$G$5:$G$160&lt;&gt;"acoes")))*INDEX(Inputs!$K$5:$AJ$160,0,MATCH(S$2,Inputs!$K$4:$AJ$4,0)))))</f>
        <v>#N/A</v>
      </c>
      <c r="T24" s="6" t="e">
        <f>IF(ISNA(MATCH(T$2,Inputs!$K$4:$AJ$4,0)),NA(),IF(SUMPRODUCT((Inputs!$A$5:$A$160=$B24)*ISNUMBER(INDEX(Inputs!$K$5:$AJ$160,0,MATCH(T$2,Inputs!$K$4:$AJ$4,0))))+SUMPRODUCT((Inputs!$C$5:$C$160=$B24)*ISNUMBER(INDEX(Inputs!$K$5:$AJ$160,0,MATCH(T$2,Inputs!$K$4:$AJ$4,0))))+SUMPRODUCT((Inputs!$E$5:$E$160=$B24)*ISNUMBER(INDEX(Inputs!$K$5:$AJ$160,0,MATCH(T$2,Inputs!$K$4:$AJ$4,0))))=0,NA(),SUMPRODUCT((Inputs!$A$5:$A$160=$B24)*Inputs!$B$5:$B$160*(((Inputs!$G$5:$G$160="moeda")+(Inputs!$G$5:$G$160="acoes"))*Inputs!$B$1+((Inputs!$G$5:$G$160&lt;&gt;"moeda")*(Inputs!$G$5:$G$160&lt;&gt;"acoes")))*INDEX(Inputs!$K$5:$AJ$160,0,MATCH(T$2,Inputs!$K$4:$AJ$4,0)))+SUMPRODUCT((Inputs!$C$5:$C$160=$B24)*Inputs!$D$5:$D$160*(((Inputs!$G$5:$G$160="moeda")+(Inputs!$G$5:$G$160="acoes"))*Inputs!$B$1+((Inputs!$G$5:$G$160&lt;&gt;"moeda")*(Inputs!$G$5:$G$160&lt;&gt;"acoes")))*INDEX(Inputs!$K$5:$AJ$160,0,MATCH(T$2,Inputs!$K$4:$AJ$4,0)))+SUMPRODUCT((Inputs!$E$5:$E$160=$B24)*Inputs!$F$5:$F$160*(((Inputs!$G$5:$G$160="moeda")+(Inputs!$G$5:$G$160="acoes"))*Inputs!$B$1+((Inputs!$G$5:$G$160&lt;&gt;"moeda")*(Inputs!$G$5:$G$160&lt;&gt;"acoes")))*INDEX(Inputs!$K$5:$AJ$160,0,MATCH(T$2,Inputs!$K$4:$AJ$4,0)))))</f>
        <v>#N/A</v>
      </c>
      <c r="U24" s="6" t="e">
        <f>IF(ISNA(MATCH(U$2,Inputs!$K$4:$AJ$4,0)),NA(),IF(SUMPRODUCT((Inputs!$A$5:$A$160=$B24)*ISNUMBER(INDEX(Inputs!$K$5:$AJ$160,0,MATCH(U$2,Inputs!$K$4:$AJ$4,0))))+SUMPRODUCT((Inputs!$C$5:$C$160=$B24)*ISNUMBER(INDEX(Inputs!$K$5:$AJ$160,0,MATCH(U$2,Inputs!$K$4:$AJ$4,0))))+SUMPRODUCT((Inputs!$E$5:$E$160=$B24)*ISNUMBER(INDEX(Inputs!$K$5:$AJ$160,0,MATCH(U$2,Inputs!$K$4:$AJ$4,0))))=0,NA(),SUMPRODUCT((Inputs!$A$5:$A$160=$B24)*Inputs!$B$5:$B$160*(((Inputs!$G$5:$G$160="moeda")+(Inputs!$G$5:$G$160="acoes"))*Inputs!$B$1+((Inputs!$G$5:$G$160&lt;&gt;"moeda")*(Inputs!$G$5:$G$160&lt;&gt;"acoes")))*INDEX(Inputs!$K$5:$AJ$160,0,MATCH(U$2,Inputs!$K$4:$AJ$4,0)))+SUMPRODUCT((Inputs!$C$5:$C$160=$B24)*Inputs!$D$5:$D$160*(((Inputs!$G$5:$G$160="moeda")+(Inputs!$G$5:$G$160="acoes"))*Inputs!$B$1+((Inputs!$G$5:$G$160&lt;&gt;"moeda")*(Inputs!$G$5:$G$160&lt;&gt;"acoes")))*INDEX(Inputs!$K$5:$AJ$160,0,MATCH(U$2,Inputs!$K$4:$AJ$4,0)))+SUMPRODUCT((Inputs!$E$5:$E$160=$B24)*Inputs!$F$5:$F$160*(((Inputs!$G$5:$G$160="moeda")+(Inputs!$G$5:$G$160="acoes"))*Inputs!$B$1+((Inputs!$G$5:$G$160&lt;&gt;"moeda")*(Inputs!$G$5:$G$160&lt;&gt;"acoes")))*INDEX(Inputs!$K$5:$AJ$160,0,MATCH(U$2,Inputs!$K$4:$AJ$4,0)))))</f>
        <v>#N/A</v>
      </c>
      <c r="V24" s="6" t="e">
        <f>IF(ISNA(MATCH(V$2,Inputs!$K$4:$AJ$4,0)),NA(),IF(SUMPRODUCT((Inputs!$A$5:$A$160=$B24)*ISNUMBER(INDEX(Inputs!$K$5:$AJ$160,0,MATCH(V$2,Inputs!$K$4:$AJ$4,0))))+SUMPRODUCT((Inputs!$C$5:$C$160=$B24)*ISNUMBER(INDEX(Inputs!$K$5:$AJ$160,0,MATCH(V$2,Inputs!$K$4:$AJ$4,0))))+SUMPRODUCT((Inputs!$E$5:$E$160=$B24)*ISNUMBER(INDEX(Inputs!$K$5:$AJ$160,0,MATCH(V$2,Inputs!$K$4:$AJ$4,0))))=0,NA(),SUMPRODUCT((Inputs!$A$5:$A$160=$B24)*Inputs!$B$5:$B$160*(((Inputs!$G$5:$G$160="moeda")+(Inputs!$G$5:$G$160="acoes"))*Inputs!$B$1+((Inputs!$G$5:$G$160&lt;&gt;"moeda")*(Inputs!$G$5:$G$160&lt;&gt;"acoes")))*INDEX(Inputs!$K$5:$AJ$160,0,MATCH(V$2,Inputs!$K$4:$AJ$4,0)))+SUMPRODUCT((Inputs!$C$5:$C$160=$B24)*Inputs!$D$5:$D$160*(((Inputs!$G$5:$G$160="moeda")+(Inputs!$G$5:$G$160="acoes"))*Inputs!$B$1+((Inputs!$G$5:$G$160&lt;&gt;"moeda")*(Inputs!$G$5:$G$160&lt;&gt;"acoes")))*INDEX(Inputs!$K$5:$AJ$160,0,MATCH(V$2,Inputs!$K$4:$AJ$4,0)))+SUMPRODUCT((Inputs!$E$5:$E$160=$B24)*Inputs!$F$5:$F$160*(((Inputs!$G$5:$G$160="moeda")+(Inputs!$G$5:$G$160="acoes"))*Inputs!$B$1+((Inputs!$G$5:$G$160&lt;&gt;"moeda")*(Inputs!$G$5:$G$160&lt;&gt;"acoes")))*INDEX(Inputs!$K$5:$AJ$160,0,MATCH(V$2,Inputs!$K$4:$AJ$4,0)))))</f>
        <v>#N/A</v>
      </c>
      <c r="W24" s="3" t="e">
        <f>V24</f>
        <v>#N/A</v>
      </c>
      <c r="X24" s="6" t="e">
        <f>IF(ISNA(MATCH(X$2,Inputs!$K$4:$AJ$4,0)),NA(),IF(SUMPRODUCT((Inputs!$A$5:$A$160=$B24)*ISNUMBER(INDEX(Inputs!$K$5:$AJ$160,0,MATCH(X$2,Inputs!$K$4:$AJ$4,0))))+SUMPRODUCT((Inputs!$C$5:$C$160=$B24)*ISNUMBER(INDEX(Inputs!$K$5:$AJ$160,0,MATCH(X$2,Inputs!$K$4:$AJ$4,0))))+SUMPRODUCT((Inputs!$E$5:$E$160=$B24)*ISNUMBER(INDEX(Inputs!$K$5:$AJ$160,0,MATCH(X$2,Inputs!$K$4:$AJ$4,0))))=0,NA(),SUMPRODUCT((Inputs!$A$5:$A$160=$B24)*Inputs!$B$5:$B$160*(((Inputs!$G$5:$G$160="moeda")+(Inputs!$G$5:$G$160="acoes"))*Inputs!$B$1+((Inputs!$G$5:$G$160&lt;&gt;"moeda")*(Inputs!$G$5:$G$160&lt;&gt;"acoes")))*INDEX(Inputs!$K$5:$AJ$160,0,MATCH(X$2,Inputs!$K$4:$AJ$4,0)))+SUMPRODUCT((Inputs!$C$5:$C$160=$B24)*Inputs!$D$5:$D$160*(((Inputs!$G$5:$G$160="moeda")+(Inputs!$G$5:$G$160="acoes"))*Inputs!$B$1+((Inputs!$G$5:$G$160&lt;&gt;"moeda")*(Inputs!$G$5:$G$160&lt;&gt;"acoes")))*INDEX(Inputs!$K$5:$AJ$160,0,MATCH(X$2,Inputs!$K$4:$AJ$4,0)))+SUMPRODUCT((Inputs!$E$5:$E$160=$B24)*Inputs!$F$5:$F$160*(((Inputs!$G$5:$G$160="moeda")+(Inputs!$G$5:$G$160="acoes"))*Inputs!$B$1+((Inputs!$G$5:$G$160&lt;&gt;"moeda")*(Inputs!$G$5:$G$160&lt;&gt;"acoes")))*INDEX(Inputs!$K$5:$AJ$160,0,MATCH(X$2,Inputs!$K$4:$AJ$4,0)))))</f>
        <v>#N/A</v>
      </c>
      <c r="Y24" s="6" t="e">
        <f>IF(ISNA(MATCH(Y$2,Inputs!$K$4:$AJ$4,0)),NA(),IF(SUMPRODUCT((Inputs!$A$5:$A$160=$B24)*ISNUMBER(INDEX(Inputs!$K$5:$AJ$160,0,MATCH(Y$2,Inputs!$K$4:$AJ$4,0))))+SUMPRODUCT((Inputs!$C$5:$C$160=$B24)*ISNUMBER(INDEX(Inputs!$K$5:$AJ$160,0,MATCH(Y$2,Inputs!$K$4:$AJ$4,0))))+SUMPRODUCT((Inputs!$E$5:$E$160=$B24)*ISNUMBER(INDEX(Inputs!$K$5:$AJ$160,0,MATCH(Y$2,Inputs!$K$4:$AJ$4,0))))=0,NA(),SUMPRODUCT((Inputs!$A$5:$A$160=$B24)*Inputs!$B$5:$B$160*(((Inputs!$G$5:$G$160="moeda")+(Inputs!$G$5:$G$160="acoes"))*Inputs!$B$1+((Inputs!$G$5:$G$160&lt;&gt;"moeda")*(Inputs!$G$5:$G$160&lt;&gt;"acoes")))*INDEX(Inputs!$K$5:$AJ$160,0,MATCH(Y$2,Inputs!$K$4:$AJ$4,0)))+SUMPRODUCT((Inputs!$C$5:$C$160=$B24)*Inputs!$D$5:$D$160*(((Inputs!$G$5:$G$160="moeda")+(Inputs!$G$5:$G$160="acoes"))*Inputs!$B$1+((Inputs!$G$5:$G$160&lt;&gt;"moeda")*(Inputs!$G$5:$G$160&lt;&gt;"acoes")))*INDEX(Inputs!$K$5:$AJ$160,0,MATCH(Y$2,Inputs!$K$4:$AJ$4,0)))+SUMPRODUCT((Inputs!$E$5:$E$160=$B24)*Inputs!$F$5:$F$160*(((Inputs!$G$5:$G$160="moeda")+(Inputs!$G$5:$G$160="acoes"))*Inputs!$B$1+((Inputs!$G$5:$G$160&lt;&gt;"moeda")*(Inputs!$G$5:$G$160&lt;&gt;"acoes")))*INDEX(Inputs!$K$5:$AJ$160,0,MATCH(Y$2,Inputs!$K$4:$AJ$4,0)))))</f>
        <v>#N/A</v>
      </c>
      <c r="Z24" s="6" t="e">
        <f>IF(ISNA(MATCH(Z$2,Inputs!$K$4:$AJ$4,0)),NA(),IF(SUMPRODUCT((Inputs!$A$5:$A$160=$B24)*ISNUMBER(INDEX(Inputs!$K$5:$AJ$160,0,MATCH(Z$2,Inputs!$K$4:$AJ$4,0))))+SUMPRODUCT((Inputs!$C$5:$C$160=$B24)*ISNUMBER(INDEX(Inputs!$K$5:$AJ$160,0,MATCH(Z$2,Inputs!$K$4:$AJ$4,0))))+SUMPRODUCT((Inputs!$E$5:$E$160=$B24)*ISNUMBER(INDEX(Inputs!$K$5:$AJ$160,0,MATCH(Z$2,Inputs!$K$4:$AJ$4,0))))=0,NA(),SUMPRODUCT((Inputs!$A$5:$A$160=$B24)*Inputs!$B$5:$B$160*(((Inputs!$G$5:$G$160="moeda")+(Inputs!$G$5:$G$160="acoes"))*Inputs!$B$1+((Inputs!$G$5:$G$160&lt;&gt;"moeda")*(Inputs!$G$5:$G$160&lt;&gt;"acoes")))*INDEX(Inputs!$K$5:$AJ$160,0,MATCH(Z$2,Inputs!$K$4:$AJ$4,0)))+SUMPRODUCT((Inputs!$C$5:$C$160=$B24)*Inputs!$D$5:$D$160*(((Inputs!$G$5:$G$160="moeda")+(Inputs!$G$5:$G$160="acoes"))*Inputs!$B$1+((Inputs!$G$5:$G$160&lt;&gt;"moeda")*(Inputs!$G$5:$G$160&lt;&gt;"acoes")))*INDEX(Inputs!$K$5:$AJ$160,0,MATCH(Z$2,Inputs!$K$4:$AJ$4,0)))+SUMPRODUCT((Inputs!$E$5:$E$160=$B24)*Inputs!$F$5:$F$160*(((Inputs!$G$5:$G$160="moeda")+(Inputs!$G$5:$G$160="acoes"))*Inputs!$B$1+((Inputs!$G$5:$G$160&lt;&gt;"moeda")*(Inputs!$G$5:$G$160&lt;&gt;"acoes")))*INDEX(Inputs!$K$5:$AJ$160,0,MATCH(Z$2,Inputs!$K$4:$AJ$4,0)))))</f>
        <v>#N/A</v>
      </c>
      <c r="AA24" s="6" t="e">
        <f>IF(ISNA(MATCH(AA$2,Inputs!$K$4:$AJ$4,0)),NA(),IF(SUMPRODUCT((Inputs!$A$5:$A$160=$B24)*ISNUMBER(INDEX(Inputs!$K$5:$AJ$160,0,MATCH(AA$2,Inputs!$K$4:$AJ$4,0))))+SUMPRODUCT((Inputs!$C$5:$C$160=$B24)*ISNUMBER(INDEX(Inputs!$K$5:$AJ$160,0,MATCH(AA$2,Inputs!$K$4:$AJ$4,0))))+SUMPRODUCT((Inputs!$E$5:$E$160=$B24)*ISNUMBER(INDEX(Inputs!$K$5:$AJ$160,0,MATCH(AA$2,Inputs!$K$4:$AJ$4,0))))=0,NA(),SUMPRODUCT((Inputs!$A$5:$A$160=$B24)*Inputs!$B$5:$B$160*(((Inputs!$G$5:$G$160="moeda")+(Inputs!$G$5:$G$160="acoes"))*Inputs!$B$1+((Inputs!$G$5:$G$160&lt;&gt;"moeda")*(Inputs!$G$5:$G$160&lt;&gt;"acoes")))*INDEX(Inputs!$K$5:$AJ$160,0,MATCH(AA$2,Inputs!$K$4:$AJ$4,0)))+SUMPRODUCT((Inputs!$C$5:$C$160=$B24)*Inputs!$D$5:$D$160*(((Inputs!$G$5:$G$160="moeda")+(Inputs!$G$5:$G$160="acoes"))*Inputs!$B$1+((Inputs!$G$5:$G$160&lt;&gt;"moeda")*(Inputs!$G$5:$G$160&lt;&gt;"acoes")))*INDEX(Inputs!$K$5:$AJ$160,0,MATCH(AA$2,Inputs!$K$4:$AJ$4,0)))+SUMPRODUCT((Inputs!$E$5:$E$160=$B24)*Inputs!$F$5:$F$160*(((Inputs!$G$5:$G$160="moeda")+(Inputs!$G$5:$G$160="acoes"))*Inputs!$B$1+((Inputs!$G$5:$G$160&lt;&gt;"moeda")*(Inputs!$G$5:$G$160&lt;&gt;"acoes")))*INDEX(Inputs!$K$5:$AJ$160,0,MATCH(AA$2,Inputs!$K$4:$AJ$4,0)))))</f>
        <v>#N/A</v>
      </c>
      <c r="AB24" s="3" t="e">
        <f>AA24</f>
        <v>#N/A</v>
      </c>
      <c r="AC24" s="6" t="e">
        <f>IF(ISNA(MATCH(AC$2,Inputs!$K$4:$AJ$4,0)),NA(),IF(SUMPRODUCT((Inputs!$A$5:$A$160=$B24)*ISNUMBER(INDEX(Inputs!$K$5:$AJ$160,0,MATCH(AC$2,Inputs!$K$4:$AJ$4,0))))+SUMPRODUCT((Inputs!$C$5:$C$160=$B24)*ISNUMBER(INDEX(Inputs!$K$5:$AJ$160,0,MATCH(AC$2,Inputs!$K$4:$AJ$4,0))))+SUMPRODUCT((Inputs!$E$5:$E$160=$B24)*ISNUMBER(INDEX(Inputs!$K$5:$AJ$160,0,MATCH(AC$2,Inputs!$K$4:$AJ$4,0))))=0,NA(),SUMPRODUCT((Inputs!$A$5:$A$160=$B24)*Inputs!$B$5:$B$160*(((Inputs!$G$5:$G$160="moeda")+(Inputs!$G$5:$G$160="acoes"))*Inputs!$B$1+((Inputs!$G$5:$G$160&lt;&gt;"moeda")*(Inputs!$G$5:$G$160&lt;&gt;"acoes")))*INDEX(Inputs!$K$5:$AJ$160,0,MATCH(AC$2,Inputs!$K$4:$AJ$4,0)))+SUMPRODUCT((Inputs!$C$5:$C$160=$B24)*Inputs!$D$5:$D$160*(((Inputs!$G$5:$G$160="moeda")+(Inputs!$G$5:$G$160="acoes"))*Inputs!$B$1+((Inputs!$G$5:$G$160&lt;&gt;"moeda")*(Inputs!$G$5:$G$160&lt;&gt;"acoes")))*INDEX(Inputs!$K$5:$AJ$160,0,MATCH(AC$2,Inputs!$K$4:$AJ$4,0)))+SUMPRODUCT((Inputs!$E$5:$E$160=$B24)*Inputs!$F$5:$F$160*(((Inputs!$G$5:$G$160="moeda")+(Inputs!$G$5:$G$160="acoes"))*Inputs!$B$1+((Inputs!$G$5:$G$160&lt;&gt;"moeda")*(Inputs!$G$5:$G$160&lt;&gt;"acoes")))*INDEX(Inputs!$K$5:$AJ$160,0,MATCH(AC$2,Inputs!$K$4:$AJ$4,0)))))</f>
        <v>#N/A</v>
      </c>
      <c r="AD24" s="6" t="e">
        <f>IF(ISNA(MATCH(AD$2,Inputs!$K$4:$AJ$4,0)),NA(),IF(SUMPRODUCT((Inputs!$A$5:$A$160=$B24)*ISNUMBER(INDEX(Inputs!$K$5:$AJ$160,0,MATCH(AD$2,Inputs!$K$4:$AJ$4,0))))+SUMPRODUCT((Inputs!$C$5:$C$160=$B24)*ISNUMBER(INDEX(Inputs!$K$5:$AJ$160,0,MATCH(AD$2,Inputs!$K$4:$AJ$4,0))))+SUMPRODUCT((Inputs!$E$5:$E$160=$B24)*ISNUMBER(INDEX(Inputs!$K$5:$AJ$160,0,MATCH(AD$2,Inputs!$K$4:$AJ$4,0))))=0,NA(),SUMPRODUCT((Inputs!$A$5:$A$160=$B24)*Inputs!$B$5:$B$160*(((Inputs!$G$5:$G$160="moeda")+(Inputs!$G$5:$G$160="acoes"))*Inputs!$B$1+((Inputs!$G$5:$G$160&lt;&gt;"moeda")*(Inputs!$G$5:$G$160&lt;&gt;"acoes")))*INDEX(Inputs!$K$5:$AJ$160,0,MATCH(AD$2,Inputs!$K$4:$AJ$4,0)))+SUMPRODUCT((Inputs!$C$5:$C$160=$B24)*Inputs!$D$5:$D$160*(((Inputs!$G$5:$G$160="moeda")+(Inputs!$G$5:$G$160="acoes"))*Inputs!$B$1+((Inputs!$G$5:$G$160&lt;&gt;"moeda")*(Inputs!$G$5:$G$160&lt;&gt;"acoes")))*INDEX(Inputs!$K$5:$AJ$160,0,MATCH(AD$2,Inputs!$K$4:$AJ$4,0)))+SUMPRODUCT((Inputs!$E$5:$E$160=$B24)*Inputs!$F$5:$F$160*(((Inputs!$G$5:$G$160="moeda")+(Inputs!$G$5:$G$160="acoes"))*Inputs!$B$1+((Inputs!$G$5:$G$160&lt;&gt;"moeda")*(Inputs!$G$5:$G$160&lt;&gt;"acoes")))*INDEX(Inputs!$K$5:$AJ$160,0,MATCH(AD$2,Inputs!$K$4:$AJ$4,0)))))</f>
        <v>#N/A</v>
      </c>
      <c r="AE24" s="6" t="e">
        <f>IF(ISNA(MATCH(AE$2,Inputs!$K$4:$AJ$4,0)),NA(),IF(SUMPRODUCT((Inputs!$A$5:$A$160=$B24)*ISNUMBER(INDEX(Inputs!$K$5:$AJ$160,0,MATCH(AE$2,Inputs!$K$4:$AJ$4,0))))+SUMPRODUCT((Inputs!$C$5:$C$160=$B24)*ISNUMBER(INDEX(Inputs!$K$5:$AJ$160,0,MATCH(AE$2,Inputs!$K$4:$AJ$4,0))))+SUMPRODUCT((Inputs!$E$5:$E$160=$B24)*ISNUMBER(INDEX(Inputs!$K$5:$AJ$160,0,MATCH(AE$2,Inputs!$K$4:$AJ$4,0))))=0,NA(),SUMPRODUCT((Inputs!$A$5:$A$160=$B24)*Inputs!$B$5:$B$160*(((Inputs!$G$5:$G$160="moeda")+(Inputs!$G$5:$G$160="acoes"))*Inputs!$B$1+((Inputs!$G$5:$G$160&lt;&gt;"moeda")*(Inputs!$G$5:$G$160&lt;&gt;"acoes")))*INDEX(Inputs!$K$5:$AJ$160,0,MATCH(AE$2,Inputs!$K$4:$AJ$4,0)))+SUMPRODUCT((Inputs!$C$5:$C$160=$B24)*Inputs!$D$5:$D$160*(((Inputs!$G$5:$G$160="moeda")+(Inputs!$G$5:$G$160="acoes"))*Inputs!$B$1+((Inputs!$G$5:$G$160&lt;&gt;"moeda")*(Inputs!$G$5:$G$160&lt;&gt;"acoes")))*INDEX(Inputs!$K$5:$AJ$160,0,MATCH(AE$2,Inputs!$K$4:$AJ$4,0)))+SUMPRODUCT((Inputs!$E$5:$E$160=$B24)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4" s="6" t="e">
        <f>IF(ISNA(MATCH(AF$2,Inputs!$K$4:$AJ$4,0)),NA(),IF(SUMPRODUCT((Inputs!$A$5:$A$160=$B24)*ISNUMBER(INDEX(Inputs!$K$5:$AJ$160,0,MATCH(AF$2,Inputs!$K$4:$AJ$4,0))))+SUMPRODUCT((Inputs!$C$5:$C$160=$B24)*ISNUMBER(INDEX(Inputs!$K$5:$AJ$160,0,MATCH(AF$2,Inputs!$K$4:$AJ$4,0))))+SUMPRODUCT((Inputs!$E$5:$E$160=$B24)*ISNUMBER(INDEX(Inputs!$K$5:$AJ$160,0,MATCH(AF$2,Inputs!$K$4:$AJ$4,0))))=0,NA(),SUMPRODUCT((Inputs!$A$5:$A$160=$B24)*Inputs!$B$5:$B$160*(((Inputs!$G$5:$G$160="moeda")+(Inputs!$G$5:$G$160="acoes"))*Inputs!$B$1+((Inputs!$G$5:$G$160&lt;&gt;"moeda")*(Inputs!$G$5:$G$160&lt;&gt;"acoes")))*INDEX(Inputs!$K$5:$AJ$160,0,MATCH(AF$2,Inputs!$K$4:$AJ$4,0)))+SUMPRODUCT((Inputs!$C$5:$C$160=$B24)*Inputs!$D$5:$D$160*(((Inputs!$G$5:$G$160="moeda")+(Inputs!$G$5:$G$160="acoes"))*Inputs!$B$1+((Inputs!$G$5:$G$160&lt;&gt;"moeda")*(Inputs!$G$5:$G$160&lt;&gt;"acoes")))*INDEX(Inputs!$K$5:$AJ$160,0,MATCH(AF$2,Inputs!$K$4:$AJ$4,0)))+SUMPRODUCT((Inputs!$E$5:$E$160=$B24)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4" s="3" t="e">
        <f>AF24</f>
        <v>#N/A</v>
      </c>
      <c r="AH24" s="6" t="e">
        <f>IF(ISNA(MATCH(AH$2,Inputs!$K$4:$AJ$4,0)),NA(),IF(SUMPRODUCT((Inputs!$A$5:$A$160=$B24)*ISNUMBER(INDEX(Inputs!$K$5:$AJ$160,0,MATCH(AH$2,Inputs!$K$4:$AJ$4,0))))+SUMPRODUCT((Inputs!$C$5:$C$160=$B24)*ISNUMBER(INDEX(Inputs!$K$5:$AJ$160,0,MATCH(AH$2,Inputs!$K$4:$AJ$4,0))))+SUMPRODUCT((Inputs!$E$5:$E$160=$B24)*ISNUMBER(INDEX(Inputs!$K$5:$AJ$160,0,MATCH(AH$2,Inputs!$K$4:$AJ$4,0))))=0,NA(),SUMPRODUCT((Inputs!$A$5:$A$160=$B24)*Inputs!$B$5:$B$160*(((Inputs!$G$5:$G$160="moeda")+(Inputs!$G$5:$G$160="acoes"))*Inputs!$B$1+((Inputs!$G$5:$G$160&lt;&gt;"moeda")*(Inputs!$G$5:$G$160&lt;&gt;"acoes")))*INDEX(Inputs!$K$5:$AJ$160,0,MATCH(AH$2,Inputs!$K$4:$AJ$4,0)))+SUMPRODUCT((Inputs!$C$5:$C$160=$B24)*Inputs!$D$5:$D$160*(((Inputs!$G$5:$G$160="moeda")+(Inputs!$G$5:$G$160="acoes"))*Inputs!$B$1+((Inputs!$G$5:$G$160&lt;&gt;"moeda")*(Inputs!$G$5:$G$160&lt;&gt;"acoes")))*INDEX(Inputs!$K$5:$AJ$160,0,MATCH(AH$2,Inputs!$K$4:$AJ$4,0)))+SUMPRODUCT((Inputs!$E$5:$E$160=$B24)*Inputs!$F$5:$F$160*(((Inputs!$G$5:$G$160="moeda")+(Inputs!$G$5:$G$160="acoes"))*Inputs!$B$1+((Inputs!$G$5:$G$160&lt;&gt;"moeda")*(Inputs!$G$5:$G$160&lt;&gt;"acoes")))*INDEX(Inputs!$K$5:$AJ$160,0,MATCH(AH$2,Inputs!$K$4:$AJ$4,0)))))</f>
        <v>#N/A</v>
      </c>
      <c r="AI24" s="6" t="e">
        <f>IF(ISNA(MATCH(AI$2,Inputs!$K$4:$AJ$4,0)),NA(),IF(SUMPRODUCT((Inputs!$A$5:$A$160=$B24)*ISNUMBER(INDEX(Inputs!$K$5:$AJ$160,0,MATCH(AI$2,Inputs!$K$4:$AJ$4,0))))+SUMPRODUCT((Inputs!$C$5:$C$160=$B24)*ISNUMBER(INDEX(Inputs!$K$5:$AJ$160,0,MATCH(AI$2,Inputs!$K$4:$AJ$4,0))))+SUMPRODUCT((Inputs!$E$5:$E$160=$B24)*ISNUMBER(INDEX(Inputs!$K$5:$AJ$160,0,MATCH(AI$2,Inputs!$K$4:$AJ$4,0))))=0,NA(),SUMPRODUCT((Inputs!$A$5:$A$160=$B24)*Inputs!$B$5:$B$160*(((Inputs!$G$5:$G$160="moeda")+(Inputs!$G$5:$G$160="acoes"))*Inputs!$B$1+((Inputs!$G$5:$G$160&lt;&gt;"moeda")*(Inputs!$G$5:$G$160&lt;&gt;"acoes")))*INDEX(Inputs!$K$5:$AJ$160,0,MATCH(AI$2,Inputs!$K$4:$AJ$4,0)))+SUMPRODUCT((Inputs!$C$5:$C$160=$B24)*Inputs!$D$5:$D$160*(((Inputs!$G$5:$G$160="moeda")+(Inputs!$G$5:$G$160="acoes"))*Inputs!$B$1+((Inputs!$G$5:$G$160&lt;&gt;"moeda")*(Inputs!$G$5:$G$160&lt;&gt;"acoes")))*INDEX(Inputs!$K$5:$AJ$160,0,MATCH(AI$2,Inputs!$K$4:$AJ$4,0)))+SUMPRODUCT((Inputs!$E$5:$E$160=$B24)*Inputs!$F$5:$F$160*(((Inputs!$G$5:$G$160="moeda")+(Inputs!$G$5:$G$160="acoes"))*Inputs!$B$1+((Inputs!$G$5:$G$160&lt;&gt;"moeda")*(Inputs!$G$5:$G$160&lt;&gt;"acoes")))*INDEX(Inputs!$K$5:$AJ$160,0,MATCH(AI$2,Inputs!$K$4:$AJ$4,0)))))</f>
        <v>#N/A</v>
      </c>
      <c r="AJ24" s="6" t="e">
        <f>IF(ISNA(MATCH(AJ$2,Inputs!$K$4:$AJ$4,0)),NA(),IF(SUMPRODUCT((Inputs!$A$5:$A$160=$B24)*ISNUMBER(INDEX(Inputs!$K$5:$AJ$160,0,MATCH(AJ$2,Inputs!$K$4:$AJ$4,0))))+SUMPRODUCT((Inputs!$C$5:$C$160=$B24)*ISNUMBER(INDEX(Inputs!$K$5:$AJ$160,0,MATCH(AJ$2,Inputs!$K$4:$AJ$4,0))))+SUMPRODUCT((Inputs!$E$5:$E$160=$B24)*ISNUMBER(INDEX(Inputs!$K$5:$AJ$160,0,MATCH(AJ$2,Inputs!$K$4:$AJ$4,0))))=0,NA(),SUMPRODUCT((Inputs!$A$5:$A$160=$B24)*Inputs!$B$5:$B$160*(((Inputs!$G$5:$G$160="moeda")+(Inputs!$G$5:$G$160="acoes"))*Inputs!$B$1+((Inputs!$G$5:$G$160&lt;&gt;"moeda")*(Inputs!$G$5:$G$160&lt;&gt;"acoes")))*INDEX(Inputs!$K$5:$AJ$160,0,MATCH(AJ$2,Inputs!$K$4:$AJ$4,0)))+SUMPRODUCT((Inputs!$C$5:$C$160=$B24)*Inputs!$D$5:$D$160*(((Inputs!$G$5:$G$160="moeda")+(Inputs!$G$5:$G$160="acoes"))*Inputs!$B$1+((Inputs!$G$5:$G$160&lt;&gt;"moeda")*(Inputs!$G$5:$G$160&lt;&gt;"acoes")))*INDEX(Inputs!$K$5:$AJ$160,0,MATCH(AJ$2,Inputs!$K$4:$AJ$4,0)))+SUMPRODUCT((Inputs!$E$5:$E$160=$B24)*Inputs!$F$5:$F$160*(((Inputs!$G$5:$G$160="moeda")+(Inputs!$G$5:$G$160="acoes"))*Inputs!$B$1+((Inputs!$G$5:$G$160&lt;&gt;"moeda")*(Inputs!$G$5:$G$160&lt;&gt;"acoes")))*INDEX(Inputs!$K$5:$AJ$160,0,MATCH(AJ$2,Inputs!$K$4:$AJ$4,0)))))</f>
        <v>#N/A</v>
      </c>
      <c r="AK24" s="6" t="e">
        <f>IF(ISNA(MATCH(AK$2,Inputs!$K$4:$AJ$4,0)),NA(),IF(SUMPRODUCT((Inputs!$A$5:$A$160=$B24)*ISNUMBER(INDEX(Inputs!$K$5:$AJ$160,0,MATCH(AK$2,Inputs!$K$4:$AJ$4,0))))+SUMPRODUCT((Inputs!$C$5:$C$160=$B24)*ISNUMBER(INDEX(Inputs!$K$5:$AJ$160,0,MATCH(AK$2,Inputs!$K$4:$AJ$4,0))))+SUMPRODUCT((Inputs!$E$5:$E$160=$B24)*ISNUMBER(INDEX(Inputs!$K$5:$AJ$160,0,MATCH(AK$2,Inputs!$K$4:$AJ$4,0))))=0,NA(),SUMPRODUCT((Inputs!$A$5:$A$160=$B24)*Inputs!$B$5:$B$160*(((Inputs!$G$5:$G$160="moeda")+(Inputs!$G$5:$G$160="acoes"))*Inputs!$B$1+((Inputs!$G$5:$G$160&lt;&gt;"moeda")*(Inputs!$G$5:$G$160&lt;&gt;"acoes")))*INDEX(Inputs!$K$5:$AJ$160,0,MATCH(AK$2,Inputs!$K$4:$AJ$4,0)))+SUMPRODUCT((Inputs!$C$5:$C$160=$B24)*Inputs!$D$5:$D$160*(((Inputs!$G$5:$G$160="moeda")+(Inputs!$G$5:$G$160="acoes"))*Inputs!$B$1+((Inputs!$G$5:$G$160&lt;&gt;"moeda")*(Inputs!$G$5:$G$160&lt;&gt;"acoes")))*INDEX(Inputs!$K$5:$AJ$160,0,MATCH(AK$2,Inputs!$K$4:$AJ$4,0)))+SUMPRODUCT((Inputs!$E$5:$E$160=$B24)*Inputs!$F$5:$F$160*(((Inputs!$G$5:$G$160="moeda")+(Inputs!$G$5:$G$160="acoes"))*Inputs!$B$1+((Inputs!$G$5:$G$160&lt;&gt;"moeda")*(Inputs!$G$5:$G$160&lt;&gt;"acoes")))*INDEX(Inputs!$K$5:$AJ$160,0,MATCH(AK$2,Inputs!$K$4:$AJ$4,0)))))</f>
        <v>#N/A</v>
      </c>
      <c r="AL24" s="3" t="e">
        <f>AK24</f>
        <v>#N/A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$160=$B25)*ISNUMBER(INDEX(Inputs!$K$5:$AJ$160,0,MATCH(D$2,Inputs!$K$4:$AJ$4,0))))+SUMPRODUCT((Inputs!$C$5:$C$160=$B25)*ISNUMBER(INDEX(Inputs!$K$5:$AJ$160,0,MATCH(D$2,Inputs!$K$4:$AJ$4,0))))+SUMPRODUCT((Inputs!$E$5:$E$160=$B25)*ISNUMBER(INDEX(Inputs!$K$5:$AJ$160,0,MATCH(D$2,Inputs!$K$4:$AJ$4,0))))=0,NA(),SUMPRODUCT((Inputs!$A$5:$A$160=$B25)*Inputs!$B$5:$B$160*(((Inputs!$G$5:$G$160="moeda")+(Inputs!$G$5:$G$160="acoes"))*Inputs!$B$1+((Inputs!$G$5:$G$160&lt;&gt;"moeda")*(Inputs!$G$5:$G$160&lt;&gt;"acoes")))*INDEX(Inputs!$K$5:$AJ$160,0,MATCH(D$2,Inputs!$K$4:$AJ$4,0)))+SUMPRODUCT((Inputs!$C$5:$C$160=$B25)*Inputs!$D$5:$D$160*(((Inputs!$G$5:$G$160="moeda")+(Inputs!$G$5:$G$160="acoes"))*Inputs!$B$1+((Inputs!$G$5:$G$160&lt;&gt;"moeda")*(Inputs!$G$5:$G$160&lt;&gt;"acoes")))*INDEX(Inputs!$K$5:$AJ$160,0,MATCH(D$2,Inputs!$K$4:$AJ$4,0)))+SUMPRODUCT((Inputs!$E$5:$E$160=$B25)*Inputs!$F$5:$F$160*(((Inputs!$G$5:$G$160="moeda")+(Inputs!$G$5:$G$160="acoes"))*Inputs!$B$1+((Inputs!$G$5:$G$160&lt;&gt;"moeda")*(Inputs!$G$5:$G$160&lt;&gt;"acoes")))*INDEX(Inputs!$K$5:$AJ$160,0,MATCH(D$2,Inputs!$K$4:$AJ$4,0)))))</f>
        <v>2031.48169488229</v>
      </c>
      <c r="E25" s="6">
        <f>IF(ISNA(MATCH(E$2,Inputs!$K$4:$AJ$4,0)),NA(),IF(SUMPRODUCT((Inputs!$A$5:$A$160=$B25)*ISNUMBER(INDEX(Inputs!$K$5:$AJ$160,0,MATCH(E$2,Inputs!$K$4:$AJ$4,0))))+SUMPRODUCT((Inputs!$C$5:$C$160=$B25)*ISNUMBER(INDEX(Inputs!$K$5:$AJ$160,0,MATCH(E$2,Inputs!$K$4:$AJ$4,0))))+SUMPRODUCT((Inputs!$E$5:$E$160=$B25)*ISNUMBER(INDEX(Inputs!$K$5:$AJ$160,0,MATCH(E$2,Inputs!$K$4:$AJ$4,0))))=0,NA(),SUMPRODUCT((Inputs!$A$5:$A$160=$B25)*Inputs!$B$5:$B$160*(((Inputs!$G$5:$G$160="moeda")+(Inputs!$G$5:$G$160="acoes"))*Inputs!$B$1+((Inputs!$G$5:$G$160&lt;&gt;"moeda")*(Inputs!$G$5:$G$160&lt;&gt;"acoes")))*INDEX(Inputs!$K$5:$AJ$160,0,MATCH(E$2,Inputs!$K$4:$AJ$4,0)))+SUMPRODUCT((Inputs!$C$5:$C$160=$B25)*Inputs!$D$5:$D$160*(((Inputs!$G$5:$G$160="moeda")+(Inputs!$G$5:$G$160="acoes"))*Inputs!$B$1+((Inputs!$G$5:$G$160&lt;&gt;"moeda")*(Inputs!$G$5:$G$160&lt;&gt;"acoes")))*INDEX(Inputs!$K$5:$AJ$160,0,MATCH(E$2,Inputs!$K$4:$AJ$4,0)))+SUMPRODUCT((Inputs!$E$5:$E$160=$B25)*Inputs!$F$5:$F$160*(((Inputs!$G$5:$G$160="moeda")+(Inputs!$G$5:$G$160="acoes"))*Inputs!$B$1+((Inputs!$G$5:$G$160&lt;&gt;"moeda")*(Inputs!$G$5:$G$160&lt;&gt;"acoes")))*INDEX(Inputs!$K$5:$AJ$160,0,MATCH(E$2,Inputs!$K$4:$AJ$4,0)))))</f>
        <v>2190.43942357097</v>
      </c>
      <c r="F25" s="6">
        <f>IF(ISNA(MATCH(F$2,Inputs!$K$4:$AJ$4,0)),NA(),IF(SUMPRODUCT((Inputs!$A$5:$A$160=$B25)*ISNUMBER(INDEX(Inputs!$K$5:$AJ$160,0,MATCH(F$2,Inputs!$K$4:$AJ$4,0))))+SUMPRODUCT((Inputs!$C$5:$C$160=$B25)*ISNUMBER(INDEX(Inputs!$K$5:$AJ$160,0,MATCH(F$2,Inputs!$K$4:$AJ$4,0))))+SUMPRODUCT((Inputs!$E$5:$E$160=$B25)*ISNUMBER(INDEX(Inputs!$K$5:$AJ$160,0,MATCH(F$2,Inputs!$K$4:$AJ$4,0))))=0,NA(),SUMPRODUCT((Inputs!$A$5:$A$160=$B25)*Inputs!$B$5:$B$160*(((Inputs!$G$5:$G$160="moeda")+(Inputs!$G$5:$G$160="acoes"))*Inputs!$B$1+((Inputs!$G$5:$G$160&lt;&gt;"moeda")*(Inputs!$G$5:$G$160&lt;&gt;"acoes")))*INDEX(Inputs!$K$5:$AJ$160,0,MATCH(F$2,Inputs!$K$4:$AJ$4,0)))+SUMPRODUCT((Inputs!$C$5:$C$160=$B25)*Inputs!$D$5:$D$160*(((Inputs!$G$5:$G$160="moeda")+(Inputs!$G$5:$G$160="acoes"))*Inputs!$B$1+((Inputs!$G$5:$G$160&lt;&gt;"moeda")*(Inputs!$G$5:$G$160&lt;&gt;"acoes")))*INDEX(Inputs!$K$5:$AJ$160,0,MATCH(F$2,Inputs!$K$4:$AJ$4,0)))+SUMPRODUCT((Inputs!$E$5:$E$160=$B25)*Inputs!$F$5:$F$160*(((Inputs!$G$5:$G$160="moeda")+(Inputs!$G$5:$G$160="acoes"))*Inputs!$B$1+((Inputs!$G$5:$G$160&lt;&gt;"moeda")*(Inputs!$G$5:$G$160&lt;&gt;"acoes")))*INDEX(Inputs!$K$5:$AJ$160,0,MATCH(F$2,Inputs!$K$4:$AJ$4,0)))))</f>
        <v>2297.7921099923</v>
      </c>
      <c r="G25" s="6">
        <f>IF(ISNA(MATCH(G$2,Inputs!$K$4:$AJ$4,0)),NA(),IF(SUMPRODUCT((Inputs!$A$5:$A$160=$B25)*ISNUMBER(INDEX(Inputs!$K$5:$AJ$160,0,MATCH(G$2,Inputs!$K$4:$AJ$4,0))))+SUMPRODUCT((Inputs!$C$5:$C$160=$B25)*ISNUMBER(INDEX(Inputs!$K$5:$AJ$160,0,MATCH(G$2,Inputs!$K$4:$AJ$4,0))))+SUMPRODUCT((Inputs!$E$5:$E$160=$B25)*ISNUMBER(INDEX(Inputs!$K$5:$AJ$160,0,MATCH(G$2,Inputs!$K$4:$AJ$4,0))))=0,NA(),SUMPRODUCT((Inputs!$A$5:$A$160=$B25)*Inputs!$B$5:$B$160*(((Inputs!$G$5:$G$160="moeda")+(Inputs!$G$5:$G$160="acoes"))*Inputs!$B$1+((Inputs!$G$5:$G$160&lt;&gt;"moeda")*(Inputs!$G$5:$G$160&lt;&gt;"acoes")))*INDEX(Inputs!$K$5:$AJ$160,0,MATCH(G$2,Inputs!$K$4:$AJ$4,0)))+SUMPRODUCT((Inputs!$C$5:$C$160=$B25)*Inputs!$D$5:$D$160*(((Inputs!$G$5:$G$160="moeda")+(Inputs!$G$5:$G$160="acoes"))*Inputs!$B$1+((Inputs!$G$5:$G$160&lt;&gt;"moeda")*(Inputs!$G$5:$G$160&lt;&gt;"acoes")))*INDEX(Inputs!$K$5:$AJ$160,0,MATCH(G$2,Inputs!$K$4:$AJ$4,0)))+SUMPRODUCT((Inputs!$E$5:$E$160=$B25)*Inputs!$F$5:$F$160*(((Inputs!$G$5:$G$160="moeda")+(Inputs!$G$5:$G$160="acoes"))*Inputs!$B$1+((Inputs!$G$5:$G$160&lt;&gt;"moeda")*(Inputs!$G$5:$G$160&lt;&gt;"acoes")))*INDEX(Inputs!$K$5:$AJ$160,0,MATCH(G$2,Inputs!$K$4:$AJ$4,0)))))</f>
        <v>2586.60910697806</v>
      </c>
      <c r="H25" s="3">
        <f>G25</f>
        <v>2586.60910697806</v>
      </c>
      <c r="I25" s="6">
        <f>IF(ISNA(MATCH(I$2,Inputs!$K$4:$AJ$4,0)),NA(),IF(SUMPRODUCT((Inputs!$A$5:$A$160=$B25)*ISNUMBER(INDEX(Inputs!$K$5:$AJ$160,0,MATCH(I$2,Inputs!$K$4:$AJ$4,0))))+SUMPRODUCT((Inputs!$C$5:$C$160=$B25)*ISNUMBER(INDEX(Inputs!$K$5:$AJ$160,0,MATCH(I$2,Inputs!$K$4:$AJ$4,0))))+SUMPRODUCT((Inputs!$E$5:$E$160=$B25)*ISNUMBER(INDEX(Inputs!$K$5:$AJ$160,0,MATCH(I$2,Inputs!$K$4:$AJ$4,0))))=0,NA(),SUMPRODUCT((Inputs!$A$5:$A$160=$B25)*Inputs!$B$5:$B$160*(((Inputs!$G$5:$G$160="moeda")+(Inputs!$G$5:$G$160="acoes"))*Inputs!$B$1+((Inputs!$G$5:$G$160&lt;&gt;"moeda")*(Inputs!$G$5:$G$160&lt;&gt;"acoes")))*INDEX(Inputs!$K$5:$AJ$160,0,MATCH(I$2,Inputs!$K$4:$AJ$4,0)))+SUMPRODUCT((Inputs!$C$5:$C$160=$B25)*Inputs!$D$5:$D$160*(((Inputs!$G$5:$G$160="moeda")+(Inputs!$G$5:$G$160="acoes"))*Inputs!$B$1+((Inputs!$G$5:$G$160&lt;&gt;"moeda")*(Inputs!$G$5:$G$160&lt;&gt;"acoes")))*INDEX(Inputs!$K$5:$AJ$160,0,MATCH(I$2,Inputs!$K$4:$AJ$4,0)))+SUMPRODUCT((Inputs!$E$5:$E$160=$B25)*Inputs!$F$5:$F$160*(((Inputs!$G$5:$G$160="moeda")+(Inputs!$G$5:$G$160="acoes"))*Inputs!$B$1+((Inputs!$G$5:$G$160&lt;&gt;"moeda")*(Inputs!$G$5:$G$160&lt;&gt;"acoes")))*INDEX(Inputs!$K$5:$AJ$160,0,MATCH(I$2,Inputs!$K$4:$AJ$4,0)))))</f>
        <v>2617.50945189824</v>
      </c>
      <c r="J25" s="6">
        <f>IF(ISNA(MATCH(J$2,Inputs!$K$4:$AJ$4,0)),NA(),IF(SUMPRODUCT((Inputs!$A$5:$A$160=$B25)*ISNUMBER(INDEX(Inputs!$K$5:$AJ$160,0,MATCH(J$2,Inputs!$K$4:$AJ$4,0))))+SUMPRODUCT((Inputs!$C$5:$C$160=$B25)*ISNUMBER(INDEX(Inputs!$K$5:$AJ$160,0,MATCH(J$2,Inputs!$K$4:$AJ$4,0))))+SUMPRODUCT((Inputs!$E$5:$E$160=$B25)*ISNUMBER(INDEX(Inputs!$K$5:$AJ$160,0,MATCH(J$2,Inputs!$K$4:$AJ$4,0))))=0,NA(),SUMPRODUCT((Inputs!$A$5:$A$160=$B25)*Inputs!$B$5:$B$160*(((Inputs!$G$5:$G$160="moeda")+(Inputs!$G$5:$G$160="acoes"))*Inputs!$B$1+((Inputs!$G$5:$G$160&lt;&gt;"moeda")*(Inputs!$G$5:$G$160&lt;&gt;"acoes")))*INDEX(Inputs!$K$5:$AJ$160,0,MATCH(J$2,Inputs!$K$4:$AJ$4,0)))+SUMPRODUCT((Inputs!$C$5:$C$160=$B25)*Inputs!$D$5:$D$160*(((Inputs!$G$5:$G$160="moeda")+(Inputs!$G$5:$G$160="acoes"))*Inputs!$B$1+((Inputs!$G$5:$G$160&lt;&gt;"moeda")*(Inputs!$G$5:$G$160&lt;&gt;"acoes")))*INDEX(Inputs!$K$5:$AJ$160,0,MATCH(J$2,Inputs!$K$4:$AJ$4,0)))+SUMPRODUCT((Inputs!$E$5:$E$160=$B25)*Inputs!$F$5:$F$160*(((Inputs!$G$5:$G$160="moeda")+(Inputs!$G$5:$G$160="acoes"))*Inputs!$B$1+((Inputs!$G$5:$G$160&lt;&gt;"moeda")*(Inputs!$G$5:$G$160&lt;&gt;"acoes")))*INDEX(Inputs!$K$5:$AJ$160,0,MATCH(J$2,Inputs!$K$4:$AJ$4,0)))))</f>
        <v>3021.34173723033</v>
      </c>
      <c r="K25" s="6">
        <f>IF(ISNA(MATCH(K$2,Inputs!$K$4:$AJ$4,0)),NA(),IF(SUMPRODUCT((Inputs!$A$5:$A$160=$B25)*ISNUMBER(INDEX(Inputs!$K$5:$AJ$160,0,MATCH(K$2,Inputs!$K$4:$AJ$4,0))))+SUMPRODUCT((Inputs!$C$5:$C$160=$B25)*ISNUMBER(INDEX(Inputs!$K$5:$AJ$160,0,MATCH(K$2,Inputs!$K$4:$AJ$4,0))))+SUMPRODUCT((Inputs!$E$5:$E$160=$B25)*ISNUMBER(INDEX(Inputs!$K$5:$AJ$160,0,MATCH(K$2,Inputs!$K$4:$AJ$4,0))))=0,NA(),SUMPRODUCT((Inputs!$A$5:$A$160=$B25)*Inputs!$B$5:$B$160*(((Inputs!$G$5:$G$160="moeda")+(Inputs!$G$5:$G$160="acoes"))*Inputs!$B$1+((Inputs!$G$5:$G$160&lt;&gt;"moeda")*(Inputs!$G$5:$G$160&lt;&gt;"acoes")))*INDEX(Inputs!$K$5:$AJ$160,0,MATCH(K$2,Inputs!$K$4:$AJ$4,0)))+SUMPRODUCT((Inputs!$C$5:$C$160=$B25)*Inputs!$D$5:$D$160*(((Inputs!$G$5:$G$160="moeda")+(Inputs!$G$5:$G$160="acoes"))*Inputs!$B$1+((Inputs!$G$5:$G$160&lt;&gt;"moeda")*(Inputs!$G$5:$G$160&lt;&gt;"acoes")))*INDEX(Inputs!$K$5:$AJ$160,0,MATCH(K$2,Inputs!$K$4:$AJ$4,0)))+SUMPRODUCT((Inputs!$E$5:$E$160=$B25)*Inputs!$F$5:$F$160*(((Inputs!$G$5:$G$160="moeda")+(Inputs!$G$5:$G$160="acoes"))*Inputs!$B$1+((Inputs!$G$5:$G$160&lt;&gt;"moeda")*(Inputs!$G$5:$G$160&lt;&gt;"acoes")))*INDEX(Inputs!$K$5:$AJ$160,0,MATCH(K$2,Inputs!$K$4:$AJ$4,0)))))</f>
        <v>3013.73986065</v>
      </c>
      <c r="L25" s="6">
        <f>IF(ISNA(MATCH(L$2,Inputs!$K$4:$AJ$4,0)),NA(),IF(SUMPRODUCT((Inputs!$A$5:$A$160=$B25)*ISNUMBER(INDEX(Inputs!$K$5:$AJ$160,0,MATCH(L$2,Inputs!$K$4:$AJ$4,0))))+SUMPRODUCT((Inputs!$C$5:$C$160=$B25)*ISNUMBER(INDEX(Inputs!$K$5:$AJ$160,0,MATCH(L$2,Inputs!$K$4:$AJ$4,0))))+SUMPRODUCT((Inputs!$E$5:$E$160=$B25)*ISNUMBER(INDEX(Inputs!$K$5:$AJ$160,0,MATCH(L$2,Inputs!$K$4:$AJ$4,0))))=0,NA(),SUMPRODUCT((Inputs!$A$5:$A$160=$B25)*Inputs!$B$5:$B$160*(((Inputs!$G$5:$G$160="moeda")+(Inputs!$G$5:$G$160="acoes"))*Inputs!$B$1+((Inputs!$G$5:$G$160&lt;&gt;"moeda")*(Inputs!$G$5:$G$160&lt;&gt;"acoes")))*INDEX(Inputs!$K$5:$AJ$160,0,MATCH(L$2,Inputs!$K$4:$AJ$4,0)))+SUMPRODUCT((Inputs!$C$5:$C$160=$B25)*Inputs!$D$5:$D$160*(((Inputs!$G$5:$G$160="moeda")+(Inputs!$G$5:$G$160="acoes"))*Inputs!$B$1+((Inputs!$G$5:$G$160&lt;&gt;"moeda")*(Inputs!$G$5:$G$160&lt;&gt;"acoes")))*INDEX(Inputs!$K$5:$AJ$160,0,MATCH(L$2,Inputs!$K$4:$AJ$4,0)))+SUMPRODUCT((Inputs!$E$5:$E$160=$B25)*Inputs!$F$5:$F$160*(((Inputs!$G$5:$G$160="moeda")+(Inputs!$G$5:$G$160="acoes"))*Inputs!$B$1+((Inputs!$G$5:$G$160&lt;&gt;"moeda")*(Inputs!$G$5:$G$160&lt;&gt;"acoes")))*INDEX(Inputs!$K$5:$AJ$160,0,MATCH(L$2,Inputs!$K$4:$AJ$4,0)))))</f>
        <v>3159.92612126809</v>
      </c>
      <c r="M25" s="3">
        <f>L25</f>
        <v>3159.92612126809</v>
      </c>
      <c r="N25" s="6">
        <f>IF(ISNA(MATCH(N$2,Inputs!$K$4:$AJ$4,0)),NA(),IF(SUMPRODUCT((Inputs!$A$5:$A$160=$B25)*ISNUMBER(INDEX(Inputs!$K$5:$AJ$160,0,MATCH(N$2,Inputs!$K$4:$AJ$4,0))))+SUMPRODUCT((Inputs!$C$5:$C$160=$B25)*ISNUMBER(INDEX(Inputs!$K$5:$AJ$160,0,MATCH(N$2,Inputs!$K$4:$AJ$4,0))))+SUMPRODUCT((Inputs!$E$5:$E$160=$B25)*ISNUMBER(INDEX(Inputs!$K$5:$AJ$160,0,MATCH(N$2,Inputs!$K$4:$AJ$4,0))))=0,NA(),SUMPRODUCT((Inputs!$A$5:$A$160=$B25)*Inputs!$B$5:$B$160*(((Inputs!$G$5:$G$160="moeda")+(Inputs!$G$5:$G$160="acoes"))*Inputs!$B$1+((Inputs!$G$5:$G$160&lt;&gt;"moeda")*(Inputs!$G$5:$G$160&lt;&gt;"acoes")))*INDEX(Inputs!$K$5:$AJ$160,0,MATCH(N$2,Inputs!$K$4:$AJ$4,0)))+SUMPRODUCT((Inputs!$C$5:$C$160=$B25)*Inputs!$D$5:$D$160*(((Inputs!$G$5:$G$160="moeda")+(Inputs!$G$5:$G$160="acoes"))*Inputs!$B$1+((Inputs!$G$5:$G$160&lt;&gt;"moeda")*(Inputs!$G$5:$G$160&lt;&gt;"acoes")))*INDEX(Inputs!$K$5:$AJ$160,0,MATCH(N$2,Inputs!$K$4:$AJ$4,0)))+SUMPRODUCT((Inputs!$E$5:$E$160=$B25)*Inputs!$F$5:$F$160*(((Inputs!$G$5:$G$160="moeda")+(Inputs!$G$5:$G$160="acoes"))*Inputs!$B$1+((Inputs!$G$5:$G$160&lt;&gt;"moeda")*(Inputs!$G$5:$G$160&lt;&gt;"acoes")))*INDEX(Inputs!$K$5:$AJ$160,0,MATCH(N$2,Inputs!$K$4:$AJ$4,0)))))</f>
        <v>3147.22512633</v>
      </c>
      <c r="O25" s="6">
        <f>IF(ISNA(MATCH(O$2,Inputs!$K$4:$AJ$4,0)),NA(),IF(SUMPRODUCT((Inputs!$A$5:$A$160=$B25)*ISNUMBER(INDEX(Inputs!$K$5:$AJ$160,0,MATCH(O$2,Inputs!$K$4:$AJ$4,0))))+SUMPRODUCT((Inputs!$C$5:$C$160=$B25)*ISNUMBER(INDEX(Inputs!$K$5:$AJ$160,0,MATCH(O$2,Inputs!$K$4:$AJ$4,0))))+SUMPRODUCT((Inputs!$E$5:$E$160=$B25)*ISNUMBER(INDEX(Inputs!$K$5:$AJ$160,0,MATCH(O$2,Inputs!$K$4:$AJ$4,0))))=0,NA(),SUMPRODUCT((Inputs!$A$5:$A$160=$B25)*Inputs!$B$5:$B$160*(((Inputs!$G$5:$G$160="moeda")+(Inputs!$G$5:$G$160="acoes"))*Inputs!$B$1+((Inputs!$G$5:$G$160&lt;&gt;"moeda")*(Inputs!$G$5:$G$160&lt;&gt;"acoes")))*INDEX(Inputs!$K$5:$AJ$160,0,MATCH(O$2,Inputs!$K$4:$AJ$4,0)))+SUMPRODUCT((Inputs!$C$5:$C$160=$B25)*Inputs!$D$5:$D$160*(((Inputs!$G$5:$G$160="moeda")+(Inputs!$G$5:$G$160="acoes"))*Inputs!$B$1+((Inputs!$G$5:$G$160&lt;&gt;"moeda")*(Inputs!$G$5:$G$160&lt;&gt;"acoes")))*INDEX(Inputs!$K$5:$AJ$160,0,MATCH(O$2,Inputs!$K$4:$AJ$4,0)))+SUMPRODUCT((Inputs!$E$5:$E$160=$B25)*Inputs!$F$5:$F$160*(((Inputs!$G$5:$G$160="moeda")+(Inputs!$G$5:$G$160="acoes"))*Inputs!$B$1+((Inputs!$G$5:$G$160&lt;&gt;"moeda")*(Inputs!$G$5:$G$160&lt;&gt;"acoes")))*INDEX(Inputs!$K$5:$AJ$160,0,MATCH(O$2,Inputs!$K$4:$AJ$4,0)))))</f>
        <v>5768.121</v>
      </c>
      <c r="P25" s="6">
        <f>IF(ISNA(MATCH(P$2,Inputs!$K$4:$AJ$4,0)),NA(),IF(SUMPRODUCT((Inputs!$A$5:$A$160=$B25)*ISNUMBER(INDEX(Inputs!$K$5:$AJ$160,0,MATCH(P$2,Inputs!$K$4:$AJ$4,0))))+SUMPRODUCT((Inputs!$C$5:$C$160=$B25)*ISNUMBER(INDEX(Inputs!$K$5:$AJ$160,0,MATCH(P$2,Inputs!$K$4:$AJ$4,0))))+SUMPRODUCT((Inputs!$E$5:$E$160=$B25)*ISNUMBER(INDEX(Inputs!$K$5:$AJ$160,0,MATCH(P$2,Inputs!$K$4:$AJ$4,0))))=0,NA(),SUMPRODUCT((Inputs!$A$5:$A$160=$B25)*Inputs!$B$5:$B$160*(((Inputs!$G$5:$G$160="moeda")+(Inputs!$G$5:$G$160="acoes"))*Inputs!$B$1+((Inputs!$G$5:$G$160&lt;&gt;"moeda")*(Inputs!$G$5:$G$160&lt;&gt;"acoes")))*INDEX(Inputs!$K$5:$AJ$160,0,MATCH(P$2,Inputs!$K$4:$AJ$4,0)))+SUMPRODUCT((Inputs!$C$5:$C$160=$B25)*Inputs!$D$5:$D$160*(((Inputs!$G$5:$G$160="moeda")+(Inputs!$G$5:$G$160="acoes"))*Inputs!$B$1+((Inputs!$G$5:$G$160&lt;&gt;"moeda")*(Inputs!$G$5:$G$160&lt;&gt;"acoes")))*INDEX(Inputs!$K$5:$AJ$160,0,MATCH(P$2,Inputs!$K$4:$AJ$4,0)))+SUMPRODUCT((Inputs!$E$5:$E$160=$B25)*Inputs!$F$5:$F$160*(((Inputs!$G$5:$G$160="moeda")+(Inputs!$G$5:$G$160="acoes"))*Inputs!$B$1+((Inputs!$G$5:$G$160&lt;&gt;"moeda")*(Inputs!$G$5:$G$160&lt;&gt;"acoes")))*INDEX(Inputs!$K$5:$AJ$160,0,MATCH(P$2,Inputs!$K$4:$AJ$4,0)))))</f>
        <v>5744.055</v>
      </c>
      <c r="Q25" s="6">
        <f>IF(ISNA(MATCH(Q$2,Inputs!$K$4:$AJ$4,0)),NA(),IF(SUMPRODUCT((Inputs!$A$5:$A$160=$B25)*ISNUMBER(INDEX(Inputs!$K$5:$AJ$160,0,MATCH(Q$2,Inputs!$K$4:$AJ$4,0))))+SUMPRODUCT((Inputs!$C$5:$C$160=$B25)*ISNUMBER(INDEX(Inputs!$K$5:$AJ$160,0,MATCH(Q$2,Inputs!$K$4:$AJ$4,0))))+SUMPRODUCT((Inputs!$E$5:$E$160=$B25)*ISNUMBER(INDEX(Inputs!$K$5:$AJ$160,0,MATCH(Q$2,Inputs!$K$4:$AJ$4,0))))=0,NA(),SUMPRODUCT((Inputs!$A$5:$A$160=$B25)*Inputs!$B$5:$B$160*(((Inputs!$G$5:$G$160="moeda")+(Inputs!$G$5:$G$160="acoes"))*Inputs!$B$1+((Inputs!$G$5:$G$160&lt;&gt;"moeda")*(Inputs!$G$5:$G$160&lt;&gt;"acoes")))*INDEX(Inputs!$K$5:$AJ$160,0,MATCH(Q$2,Inputs!$K$4:$AJ$4,0)))+SUMPRODUCT((Inputs!$C$5:$C$160=$B25)*Inputs!$D$5:$D$160*(((Inputs!$G$5:$G$160="moeda")+(Inputs!$G$5:$G$160="acoes"))*Inputs!$B$1+((Inputs!$G$5:$G$160&lt;&gt;"moeda")*(Inputs!$G$5:$G$160&lt;&gt;"acoes")))*INDEX(Inputs!$K$5:$AJ$160,0,MATCH(Q$2,Inputs!$K$4:$AJ$4,0)))+SUMPRODUCT((Inputs!$E$5:$E$160=$B25)*Inputs!$F$5:$F$160*(((Inputs!$G$5:$G$160="moeda")+(Inputs!$G$5:$G$160="acoes"))*Inputs!$B$1+((Inputs!$G$5:$G$160&lt;&gt;"moeda")*(Inputs!$G$5:$G$160&lt;&gt;"acoes")))*INDEX(Inputs!$K$5:$AJ$160,0,MATCH(Q$2,Inputs!$K$4:$AJ$4,0)))))</f>
        <v>5807.506</v>
      </c>
      <c r="R25" s="3">
        <f>Q25</f>
        <v>5807.506</v>
      </c>
      <c r="S25" s="6">
        <f>IF(ISNA(MATCH(S$2,Inputs!$K$4:$AJ$4,0)),NA(),IF(SUMPRODUCT((Inputs!$A$5:$A$160=$B25)*ISNUMBER(INDEX(Inputs!$K$5:$AJ$160,0,MATCH(S$2,Inputs!$K$4:$AJ$4,0))))+SUMPRODUCT((Inputs!$C$5:$C$160=$B25)*ISNUMBER(INDEX(Inputs!$K$5:$AJ$160,0,MATCH(S$2,Inputs!$K$4:$AJ$4,0))))+SUMPRODUCT((Inputs!$E$5:$E$160=$B25)*ISNUMBER(INDEX(Inputs!$K$5:$AJ$160,0,MATCH(S$2,Inputs!$K$4:$AJ$4,0))))=0,NA(),SUMPRODUCT((Inputs!$A$5:$A$160=$B25)*Inputs!$B$5:$B$160*(((Inputs!$G$5:$G$160="moeda")+(Inputs!$G$5:$G$160="acoes"))*Inputs!$B$1+((Inputs!$G$5:$G$160&lt;&gt;"moeda")*(Inputs!$G$5:$G$160&lt;&gt;"acoes")))*INDEX(Inputs!$K$5:$AJ$160,0,MATCH(S$2,Inputs!$K$4:$AJ$4,0)))+SUMPRODUCT((Inputs!$C$5:$C$160=$B25)*Inputs!$D$5:$D$160*(((Inputs!$G$5:$G$160="moeda")+(Inputs!$G$5:$G$160="acoes"))*Inputs!$B$1+((Inputs!$G$5:$G$160&lt;&gt;"moeda")*(Inputs!$G$5:$G$160&lt;&gt;"acoes")))*INDEX(Inputs!$K$5:$AJ$160,0,MATCH(S$2,Inputs!$K$4:$AJ$4,0)))+SUMPRODUCT((Inputs!$E$5:$E$160=$B25)*Inputs!$F$5:$F$160*(((Inputs!$G$5:$G$160="moeda")+(Inputs!$G$5:$G$160="acoes"))*Inputs!$B$1+((Inputs!$G$5:$G$160&lt;&gt;"moeda")*(Inputs!$G$5:$G$160&lt;&gt;"acoes")))*INDEX(Inputs!$K$5:$AJ$160,0,MATCH(S$2,Inputs!$K$4:$AJ$4,0)))))</f>
        <v>5788.92</v>
      </c>
      <c r="T25" s="6">
        <f>IF(ISNA(MATCH(T$2,Inputs!$K$4:$AJ$4,0)),NA(),IF(SUMPRODUCT((Inputs!$A$5:$A$160=$B25)*ISNUMBER(INDEX(Inputs!$K$5:$AJ$160,0,MATCH(T$2,Inputs!$K$4:$AJ$4,0))))+SUMPRODUCT((Inputs!$C$5:$C$160=$B25)*ISNUMBER(INDEX(Inputs!$K$5:$AJ$160,0,MATCH(T$2,Inputs!$K$4:$AJ$4,0))))+SUMPRODUCT((Inputs!$E$5:$E$160=$B25)*ISNUMBER(INDEX(Inputs!$K$5:$AJ$160,0,MATCH(T$2,Inputs!$K$4:$AJ$4,0))))=0,NA(),SUMPRODUCT((Inputs!$A$5:$A$160=$B25)*Inputs!$B$5:$B$160*(((Inputs!$G$5:$G$160="moeda")+(Inputs!$G$5:$G$160="acoes"))*Inputs!$B$1+((Inputs!$G$5:$G$160&lt;&gt;"moeda")*(Inputs!$G$5:$G$160&lt;&gt;"acoes")))*INDEX(Inputs!$K$5:$AJ$160,0,MATCH(T$2,Inputs!$K$4:$AJ$4,0)))+SUMPRODUCT((Inputs!$C$5:$C$160=$B25)*Inputs!$D$5:$D$160*(((Inputs!$G$5:$G$160="moeda")+(Inputs!$G$5:$G$160="acoes"))*Inputs!$B$1+((Inputs!$G$5:$G$160&lt;&gt;"moeda")*(Inputs!$G$5:$G$160&lt;&gt;"acoes")))*INDEX(Inputs!$K$5:$AJ$160,0,MATCH(T$2,Inputs!$K$4:$AJ$4,0)))+SUMPRODUCT((Inputs!$E$5:$E$160=$B25)*Inputs!$F$5:$F$160*(((Inputs!$G$5:$G$160="moeda")+(Inputs!$G$5:$G$160="acoes"))*Inputs!$B$1+((Inputs!$G$5:$G$160&lt;&gt;"moeda")*(Inputs!$G$5:$G$160&lt;&gt;"acoes")))*INDEX(Inputs!$K$5:$AJ$160,0,MATCH(T$2,Inputs!$K$4:$AJ$4,0)))))</f>
        <v>5783.283</v>
      </c>
      <c r="U25" s="6">
        <f>IF(ISNA(MATCH(U$2,Inputs!$K$4:$AJ$4,0)),NA(),IF(SUMPRODUCT((Inputs!$A$5:$A$160=$B25)*ISNUMBER(INDEX(Inputs!$K$5:$AJ$160,0,MATCH(U$2,Inputs!$K$4:$AJ$4,0))))+SUMPRODUCT((Inputs!$C$5:$C$160=$B25)*ISNUMBER(INDEX(Inputs!$K$5:$AJ$160,0,MATCH(U$2,Inputs!$K$4:$AJ$4,0))))+SUMPRODUCT((Inputs!$E$5:$E$160=$B25)*ISNUMBER(INDEX(Inputs!$K$5:$AJ$160,0,MATCH(U$2,Inputs!$K$4:$AJ$4,0))))=0,NA(),SUMPRODUCT((Inputs!$A$5:$A$160=$B25)*Inputs!$B$5:$B$160*(((Inputs!$G$5:$G$160="moeda")+(Inputs!$G$5:$G$160="acoes"))*Inputs!$B$1+((Inputs!$G$5:$G$160&lt;&gt;"moeda")*(Inputs!$G$5:$G$160&lt;&gt;"acoes")))*INDEX(Inputs!$K$5:$AJ$160,0,MATCH(U$2,Inputs!$K$4:$AJ$4,0)))+SUMPRODUCT((Inputs!$C$5:$C$160=$B25)*Inputs!$D$5:$D$160*(((Inputs!$G$5:$G$160="moeda")+(Inputs!$G$5:$G$160="acoes"))*Inputs!$B$1+((Inputs!$G$5:$G$160&lt;&gt;"moeda")*(Inputs!$G$5:$G$160&lt;&gt;"acoes")))*INDEX(Inputs!$K$5:$AJ$160,0,MATCH(U$2,Inputs!$K$4:$AJ$4,0)))+SUMPRODUCT((Inputs!$E$5:$E$160=$B25)*Inputs!$F$5:$F$160*(((Inputs!$G$5:$G$160="moeda")+(Inputs!$G$5:$G$160="acoes"))*Inputs!$B$1+((Inputs!$G$5:$G$160&lt;&gt;"moeda")*(Inputs!$G$5:$G$160&lt;&gt;"acoes")))*INDEX(Inputs!$K$5:$AJ$160,0,MATCH(U$2,Inputs!$K$4:$AJ$4,0)))))</f>
        <v>5830.303</v>
      </c>
      <c r="V25" s="6">
        <f>IF(ISNA(MATCH(V$2,Inputs!$K$4:$AJ$4,0)),NA(),IF(SUMPRODUCT((Inputs!$A$5:$A$160=$B25)*ISNUMBER(INDEX(Inputs!$K$5:$AJ$160,0,MATCH(V$2,Inputs!$K$4:$AJ$4,0))))+SUMPRODUCT((Inputs!$C$5:$C$160=$B25)*ISNUMBER(INDEX(Inputs!$K$5:$AJ$160,0,MATCH(V$2,Inputs!$K$4:$AJ$4,0))))+SUMPRODUCT((Inputs!$E$5:$E$160=$B25)*ISNUMBER(INDEX(Inputs!$K$5:$AJ$160,0,MATCH(V$2,Inputs!$K$4:$AJ$4,0))))=0,NA(),SUMPRODUCT((Inputs!$A$5:$A$160=$B25)*Inputs!$B$5:$B$160*(((Inputs!$G$5:$G$160="moeda")+(Inputs!$G$5:$G$160="acoes"))*Inputs!$B$1+((Inputs!$G$5:$G$160&lt;&gt;"moeda")*(Inputs!$G$5:$G$160&lt;&gt;"acoes")))*INDEX(Inputs!$K$5:$AJ$160,0,MATCH(V$2,Inputs!$K$4:$AJ$4,0)))+SUMPRODUCT((Inputs!$C$5:$C$160=$B25)*Inputs!$D$5:$D$160*(((Inputs!$G$5:$G$160="moeda")+(Inputs!$G$5:$G$160="acoes"))*Inputs!$B$1+((Inputs!$G$5:$G$160&lt;&gt;"moeda")*(Inputs!$G$5:$G$160&lt;&gt;"acoes")))*INDEX(Inputs!$K$5:$AJ$160,0,MATCH(V$2,Inputs!$K$4:$AJ$4,0)))+SUMPRODUCT((Inputs!$E$5:$E$160=$B25)*Inputs!$F$5:$F$160*(((Inputs!$G$5:$G$160="moeda")+(Inputs!$G$5:$G$160="acoes"))*Inputs!$B$1+((Inputs!$G$5:$G$160&lt;&gt;"moeda")*(Inputs!$G$5:$G$160&lt;&gt;"acoes")))*INDEX(Inputs!$K$5:$AJ$160,0,MATCH(V$2,Inputs!$K$4:$AJ$4,0)))))</f>
        <v>5863.532</v>
      </c>
      <c r="W25" s="3">
        <f>V25</f>
        <v>5863.532</v>
      </c>
      <c r="X25" s="6">
        <f>IF(ISNA(MATCH(X$2,Inputs!$K$4:$AJ$4,0)),NA(),IF(SUMPRODUCT((Inputs!$A$5:$A$160=$B25)*ISNUMBER(INDEX(Inputs!$K$5:$AJ$160,0,MATCH(X$2,Inputs!$K$4:$AJ$4,0))))+SUMPRODUCT((Inputs!$C$5:$C$160=$B25)*ISNUMBER(INDEX(Inputs!$K$5:$AJ$160,0,MATCH(X$2,Inputs!$K$4:$AJ$4,0))))+SUMPRODUCT((Inputs!$E$5:$E$160=$B25)*ISNUMBER(INDEX(Inputs!$K$5:$AJ$160,0,MATCH(X$2,Inputs!$K$4:$AJ$4,0))))=0,NA(),SUMPRODUCT((Inputs!$A$5:$A$160=$B25)*Inputs!$B$5:$B$160*(((Inputs!$G$5:$G$160="moeda")+(Inputs!$G$5:$G$160="acoes"))*Inputs!$B$1+((Inputs!$G$5:$G$160&lt;&gt;"moeda")*(Inputs!$G$5:$G$160&lt;&gt;"acoes")))*INDEX(Inputs!$K$5:$AJ$160,0,MATCH(X$2,Inputs!$K$4:$AJ$4,0)))+SUMPRODUCT((Inputs!$C$5:$C$160=$B25)*Inputs!$D$5:$D$160*(((Inputs!$G$5:$G$160="moeda")+(Inputs!$G$5:$G$160="acoes"))*Inputs!$B$1+((Inputs!$G$5:$G$160&lt;&gt;"moeda")*(Inputs!$G$5:$G$160&lt;&gt;"acoes")))*INDEX(Inputs!$K$5:$AJ$160,0,MATCH(X$2,Inputs!$K$4:$AJ$4,0)))+SUMPRODUCT((Inputs!$E$5:$E$160=$B25)*Inputs!$F$5:$F$160*(((Inputs!$G$5:$G$160="moeda")+(Inputs!$G$5:$G$160="acoes"))*Inputs!$B$1+((Inputs!$G$5:$G$160&lt;&gt;"moeda")*(Inputs!$G$5:$G$160&lt;&gt;"acoes")))*INDEX(Inputs!$K$5:$AJ$160,0,MATCH(X$2,Inputs!$K$4:$AJ$4,0)))))</f>
        <v>5819.864287</v>
      </c>
      <c r="Y25" s="6">
        <f>IF(ISNA(MATCH(Y$2,Inputs!$K$4:$AJ$4,0)),NA(),IF(SUMPRODUCT((Inputs!$A$5:$A$160=$B25)*ISNUMBER(INDEX(Inputs!$K$5:$AJ$160,0,MATCH(Y$2,Inputs!$K$4:$AJ$4,0))))+SUMPRODUCT((Inputs!$C$5:$C$160=$B25)*ISNUMBER(INDEX(Inputs!$K$5:$AJ$160,0,MATCH(Y$2,Inputs!$K$4:$AJ$4,0))))+SUMPRODUCT((Inputs!$E$5:$E$160=$B25)*ISNUMBER(INDEX(Inputs!$K$5:$AJ$160,0,MATCH(Y$2,Inputs!$K$4:$AJ$4,0))))=0,NA(),SUMPRODUCT((Inputs!$A$5:$A$160=$B25)*Inputs!$B$5:$B$160*(((Inputs!$G$5:$G$160="moeda")+(Inputs!$G$5:$G$160="acoes"))*Inputs!$B$1+((Inputs!$G$5:$G$160&lt;&gt;"moeda")*(Inputs!$G$5:$G$160&lt;&gt;"acoes")))*INDEX(Inputs!$K$5:$AJ$160,0,MATCH(Y$2,Inputs!$K$4:$AJ$4,0)))+SUMPRODUCT((Inputs!$C$5:$C$160=$B25)*Inputs!$D$5:$D$160*(((Inputs!$G$5:$G$160="moeda")+(Inputs!$G$5:$G$160="acoes"))*Inputs!$B$1+((Inputs!$G$5:$G$160&lt;&gt;"moeda")*(Inputs!$G$5:$G$160&lt;&gt;"acoes")))*INDEX(Inputs!$K$5:$AJ$160,0,MATCH(Y$2,Inputs!$K$4:$AJ$4,0)))+SUMPRODUCT((Inputs!$E$5:$E$160=$B25)*Inputs!$F$5:$F$160*(((Inputs!$G$5:$G$160="moeda")+(Inputs!$G$5:$G$160="acoes"))*Inputs!$B$1+((Inputs!$G$5:$G$160&lt;&gt;"moeda")*(Inputs!$G$5:$G$160&lt;&gt;"acoes")))*INDEX(Inputs!$K$5:$AJ$160,0,MATCH(Y$2,Inputs!$K$4:$AJ$4,0)))))</f>
        <v>5825.38</v>
      </c>
      <c r="Z25" s="6">
        <f>IF(ISNA(MATCH(Z$2,Inputs!$K$4:$AJ$4,0)),NA(),IF(SUMPRODUCT((Inputs!$A$5:$A$160=$B25)*ISNUMBER(INDEX(Inputs!$K$5:$AJ$160,0,MATCH(Z$2,Inputs!$K$4:$AJ$4,0))))+SUMPRODUCT((Inputs!$C$5:$C$160=$B25)*ISNUMBER(INDEX(Inputs!$K$5:$AJ$160,0,MATCH(Z$2,Inputs!$K$4:$AJ$4,0))))+SUMPRODUCT((Inputs!$E$5:$E$160=$B25)*ISNUMBER(INDEX(Inputs!$K$5:$AJ$160,0,MATCH(Z$2,Inputs!$K$4:$AJ$4,0))))=0,NA(),SUMPRODUCT((Inputs!$A$5:$A$160=$B25)*Inputs!$B$5:$B$160*(((Inputs!$G$5:$G$160="moeda")+(Inputs!$G$5:$G$160="acoes"))*Inputs!$B$1+((Inputs!$G$5:$G$160&lt;&gt;"moeda")*(Inputs!$G$5:$G$160&lt;&gt;"acoes")))*INDEX(Inputs!$K$5:$AJ$160,0,MATCH(Z$2,Inputs!$K$4:$AJ$4,0)))+SUMPRODUCT((Inputs!$C$5:$C$160=$B25)*Inputs!$D$5:$D$160*(((Inputs!$G$5:$G$160="moeda")+(Inputs!$G$5:$G$160="acoes"))*Inputs!$B$1+((Inputs!$G$5:$G$160&lt;&gt;"moeda")*(Inputs!$G$5:$G$160&lt;&gt;"acoes")))*INDEX(Inputs!$K$5:$AJ$160,0,MATCH(Z$2,Inputs!$K$4:$AJ$4,0)))+SUMPRODUCT((Inputs!$E$5:$E$160=$B25)*Inputs!$F$5:$F$160*(((Inputs!$G$5:$G$160="moeda")+(Inputs!$G$5:$G$160="acoes"))*Inputs!$B$1+((Inputs!$G$5:$G$160&lt;&gt;"moeda")*(Inputs!$G$5:$G$160&lt;&gt;"acoes")))*INDEX(Inputs!$K$5:$AJ$160,0,MATCH(Z$2,Inputs!$K$4:$AJ$4,0)))))</f>
        <v>5957.247</v>
      </c>
      <c r="AA25" s="6">
        <f>IF(ISNA(MATCH(AA$2,Inputs!$K$4:$AJ$4,0)),NA(),IF(SUMPRODUCT((Inputs!$A$5:$A$160=$B25)*ISNUMBER(INDEX(Inputs!$K$5:$AJ$160,0,MATCH(AA$2,Inputs!$K$4:$AJ$4,0))))+SUMPRODUCT((Inputs!$C$5:$C$160=$B25)*ISNUMBER(INDEX(Inputs!$K$5:$AJ$160,0,MATCH(AA$2,Inputs!$K$4:$AJ$4,0))))+SUMPRODUCT((Inputs!$E$5:$E$160=$B25)*ISNUMBER(INDEX(Inputs!$K$5:$AJ$160,0,MATCH(AA$2,Inputs!$K$4:$AJ$4,0))))=0,NA(),SUMPRODUCT((Inputs!$A$5:$A$160=$B25)*Inputs!$B$5:$B$160*(((Inputs!$G$5:$G$160="moeda")+(Inputs!$G$5:$G$160="acoes"))*Inputs!$B$1+((Inputs!$G$5:$G$160&lt;&gt;"moeda")*(Inputs!$G$5:$G$160&lt;&gt;"acoes")))*INDEX(Inputs!$K$5:$AJ$160,0,MATCH(AA$2,Inputs!$K$4:$AJ$4,0)))+SUMPRODUCT((Inputs!$C$5:$C$160=$B25)*Inputs!$D$5:$D$160*(((Inputs!$G$5:$G$160="moeda")+(Inputs!$G$5:$G$160="acoes"))*Inputs!$B$1+((Inputs!$G$5:$G$160&lt;&gt;"moeda")*(Inputs!$G$5:$G$160&lt;&gt;"acoes")))*INDEX(Inputs!$K$5:$AJ$160,0,MATCH(AA$2,Inputs!$K$4:$AJ$4,0)))+SUMPRODUCT((Inputs!$E$5:$E$160=$B25)*Inputs!$F$5:$F$160*(((Inputs!$G$5:$G$160="moeda")+(Inputs!$G$5:$G$160="acoes"))*Inputs!$B$1+((Inputs!$G$5:$G$160&lt;&gt;"moeda")*(Inputs!$G$5:$G$160&lt;&gt;"acoes")))*INDEX(Inputs!$K$5:$AJ$160,0,MATCH(AA$2,Inputs!$K$4:$AJ$4,0)))))</f>
        <v>5979.637</v>
      </c>
      <c r="AB25" s="3">
        <f>AA25</f>
        <v>5979.637</v>
      </c>
      <c r="AC25" s="6">
        <f>IF(ISNA(MATCH(AC$2,Inputs!$K$4:$AJ$4,0)),NA(),IF(SUMPRODUCT((Inputs!$A$5:$A$160=$B25)*ISNUMBER(INDEX(Inputs!$K$5:$AJ$160,0,MATCH(AC$2,Inputs!$K$4:$AJ$4,0))))+SUMPRODUCT((Inputs!$C$5:$C$160=$B25)*ISNUMBER(INDEX(Inputs!$K$5:$AJ$160,0,MATCH(AC$2,Inputs!$K$4:$AJ$4,0))))+SUMPRODUCT((Inputs!$E$5:$E$160=$B25)*ISNUMBER(INDEX(Inputs!$K$5:$AJ$160,0,MATCH(AC$2,Inputs!$K$4:$AJ$4,0))))=0,NA(),SUMPRODUCT((Inputs!$A$5:$A$160=$B25)*Inputs!$B$5:$B$160*(((Inputs!$G$5:$G$160="moeda")+(Inputs!$G$5:$G$160="acoes"))*Inputs!$B$1+((Inputs!$G$5:$G$160&lt;&gt;"moeda")*(Inputs!$G$5:$G$160&lt;&gt;"acoes")))*INDEX(Inputs!$K$5:$AJ$160,0,MATCH(AC$2,Inputs!$K$4:$AJ$4,0)))+SUMPRODUCT((Inputs!$C$5:$C$160=$B25)*Inputs!$D$5:$D$160*(((Inputs!$G$5:$G$160="moeda")+(Inputs!$G$5:$G$160="acoes"))*Inputs!$B$1+((Inputs!$G$5:$G$160&lt;&gt;"moeda")*(Inputs!$G$5:$G$160&lt;&gt;"acoes")))*INDEX(Inputs!$K$5:$AJ$160,0,MATCH(AC$2,Inputs!$K$4:$AJ$4,0)))+SUMPRODUCT((Inputs!$E$5:$E$160=$B25)*Inputs!$F$5:$F$160*(((Inputs!$G$5:$G$160="moeda")+(Inputs!$G$5:$G$160="acoes"))*Inputs!$B$1+((Inputs!$G$5:$G$160&lt;&gt;"moeda")*(Inputs!$G$5:$G$160&lt;&gt;"acoes")))*INDEX(Inputs!$K$5:$AJ$160,0,MATCH(AC$2,Inputs!$K$4:$AJ$4,0)))))</f>
        <v>5905.506</v>
      </c>
      <c r="AD25" s="6">
        <f>IF(ISNA(MATCH(AD$2,Inputs!$K$4:$AJ$4,0)),NA(),IF(SUMPRODUCT((Inputs!$A$5:$A$160=$B25)*ISNUMBER(INDEX(Inputs!$K$5:$AJ$160,0,MATCH(AD$2,Inputs!$K$4:$AJ$4,0))))+SUMPRODUCT((Inputs!$C$5:$C$160=$B25)*ISNUMBER(INDEX(Inputs!$K$5:$AJ$160,0,MATCH(AD$2,Inputs!$K$4:$AJ$4,0))))+SUMPRODUCT((Inputs!$E$5:$E$160=$B25)*ISNUMBER(INDEX(Inputs!$K$5:$AJ$160,0,MATCH(AD$2,Inputs!$K$4:$AJ$4,0))))=0,NA(),SUMPRODUCT((Inputs!$A$5:$A$160=$B25)*Inputs!$B$5:$B$160*(((Inputs!$G$5:$G$160="moeda")+(Inputs!$G$5:$G$160="acoes"))*Inputs!$B$1+((Inputs!$G$5:$G$160&lt;&gt;"moeda")*(Inputs!$G$5:$G$160&lt;&gt;"acoes")))*INDEX(Inputs!$K$5:$AJ$160,0,MATCH(AD$2,Inputs!$K$4:$AJ$4,0)))+SUMPRODUCT((Inputs!$C$5:$C$160=$B25)*Inputs!$D$5:$D$160*(((Inputs!$G$5:$G$160="moeda")+(Inputs!$G$5:$G$160="acoes"))*Inputs!$B$1+((Inputs!$G$5:$G$160&lt;&gt;"moeda")*(Inputs!$G$5:$G$160&lt;&gt;"acoes")))*INDEX(Inputs!$K$5:$AJ$160,0,MATCH(AD$2,Inputs!$K$4:$AJ$4,0)))+SUMPRODUCT((Inputs!$E$5:$E$160=$B25)*Inputs!$F$5:$F$160*(((Inputs!$G$5:$G$160="moeda")+(Inputs!$G$5:$G$160="acoes"))*Inputs!$B$1+((Inputs!$G$5:$G$160&lt;&gt;"moeda")*(Inputs!$G$5:$G$160&lt;&gt;"acoes")))*INDEX(Inputs!$K$5:$AJ$160,0,MATCH(AD$2,Inputs!$K$4:$AJ$4,0)))))</f>
        <v>6006.075</v>
      </c>
      <c r="AE25" s="6" t="e">
        <f>IF(ISNA(MATCH(AE$2,Inputs!$K$4:$AJ$4,0)),NA(),IF(SUMPRODUCT((Inputs!$A$5:$A$160=$B25)*ISNUMBER(INDEX(Inputs!$K$5:$AJ$160,0,MATCH(AE$2,Inputs!$K$4:$AJ$4,0))))+SUMPRODUCT((Inputs!$C$5:$C$160=$B25)*ISNUMBER(INDEX(Inputs!$K$5:$AJ$160,0,MATCH(AE$2,Inputs!$K$4:$AJ$4,0))))+SUMPRODUCT((Inputs!$E$5:$E$160=$B25)*ISNUMBER(INDEX(Inputs!$K$5:$AJ$160,0,MATCH(AE$2,Inputs!$K$4:$AJ$4,0))))=0,NA(),SUMPRODUCT((Inputs!$A$5:$A$160=$B25)*Inputs!$B$5:$B$160*(((Inputs!$G$5:$G$160="moeda")+(Inputs!$G$5:$G$160="acoes"))*Inputs!$B$1+((Inputs!$G$5:$G$160&lt;&gt;"moeda")*(Inputs!$G$5:$G$160&lt;&gt;"acoes")))*INDEX(Inputs!$K$5:$AJ$160,0,MATCH(AE$2,Inputs!$K$4:$AJ$4,0)))+SUMPRODUCT((Inputs!$C$5:$C$160=$B25)*Inputs!$D$5:$D$160*(((Inputs!$G$5:$G$160="moeda")+(Inputs!$G$5:$G$160="acoes"))*Inputs!$B$1+((Inputs!$G$5:$G$160&lt;&gt;"moeda")*(Inputs!$G$5:$G$160&lt;&gt;"acoes")))*INDEX(Inputs!$K$5:$AJ$160,0,MATCH(AE$2,Inputs!$K$4:$AJ$4,0)))+SUMPRODUCT((Inputs!$E$5:$E$160=$B25)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5" s="6" t="e">
        <f>IF(ISNA(MATCH(AF$2,Inputs!$K$4:$AJ$4,0)),NA(),IF(SUMPRODUCT((Inputs!$A$5:$A$160=$B25)*ISNUMBER(INDEX(Inputs!$K$5:$AJ$160,0,MATCH(AF$2,Inputs!$K$4:$AJ$4,0))))+SUMPRODUCT((Inputs!$C$5:$C$160=$B25)*ISNUMBER(INDEX(Inputs!$K$5:$AJ$160,0,MATCH(AF$2,Inputs!$K$4:$AJ$4,0))))+SUMPRODUCT((Inputs!$E$5:$E$160=$B25)*ISNUMBER(INDEX(Inputs!$K$5:$AJ$160,0,MATCH(AF$2,Inputs!$K$4:$AJ$4,0))))=0,NA(),SUMPRODUCT((Inputs!$A$5:$A$160=$B25)*Inputs!$B$5:$B$160*(((Inputs!$G$5:$G$160="moeda")+(Inputs!$G$5:$G$160="acoes"))*Inputs!$B$1+((Inputs!$G$5:$G$160&lt;&gt;"moeda")*(Inputs!$G$5:$G$160&lt;&gt;"acoes")))*INDEX(Inputs!$K$5:$AJ$160,0,MATCH(AF$2,Inputs!$K$4:$AJ$4,0)))+SUMPRODUCT((Inputs!$C$5:$C$160=$B25)*Inputs!$D$5:$D$160*(((Inputs!$G$5:$G$160="moeda")+(Inputs!$G$5:$G$160="acoes"))*Inputs!$B$1+((Inputs!$G$5:$G$160&lt;&gt;"moeda")*(Inputs!$G$5:$G$160&lt;&gt;"acoes")))*INDEX(Inputs!$K$5:$AJ$160,0,MATCH(AF$2,Inputs!$K$4:$AJ$4,0)))+SUMPRODUCT((Inputs!$E$5:$E$160=$B25)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5" s="3" t="e">
        <f>AF25</f>
        <v>#N/A</v>
      </c>
      <c r="AH25" s="6">
        <f>IF(ISNA(MATCH(AH$2,Inputs!$K$4:$AJ$4,0)),NA(),IF(SUMPRODUCT((Inputs!$A$5:$A$160=$B25)*ISNUMBER(INDEX(Inputs!$K$5:$AJ$160,0,MATCH(AH$2,Inputs!$K$4:$AJ$4,0))))+SUMPRODUCT((Inputs!$C$5:$C$160=$B25)*ISNUMBER(INDEX(Inputs!$K$5:$AJ$160,0,MATCH(AH$2,Inputs!$K$4:$AJ$4,0))))+SUMPRODUCT((Inputs!$E$5:$E$160=$B25)*ISNUMBER(INDEX(Inputs!$K$5:$AJ$160,0,MATCH(AH$2,Inputs!$K$4:$AJ$4,0))))=0,NA(),SUMPRODUCT((Inputs!$A$5:$A$160=$B25)*Inputs!$B$5:$B$160*(((Inputs!$G$5:$G$160="moeda")+(Inputs!$G$5:$G$160="acoes"))*Inputs!$B$1+((Inputs!$G$5:$G$160&lt;&gt;"moeda")*(Inputs!$G$5:$G$160&lt;&gt;"acoes")))*INDEX(Inputs!$K$5:$AJ$160,0,MATCH(AH$2,Inputs!$K$4:$AJ$4,0)))+SUMPRODUCT((Inputs!$C$5:$C$160=$B25)*Inputs!$D$5:$D$160*(((Inputs!$G$5:$G$160="moeda")+(Inputs!$G$5:$G$160="acoes"))*Inputs!$B$1+((Inputs!$G$5:$G$160&lt;&gt;"moeda")*(Inputs!$G$5:$G$160&lt;&gt;"acoes")))*INDEX(Inputs!$K$5:$AJ$160,0,MATCH(AH$2,Inputs!$K$4:$AJ$4,0)))+SUMPRODUCT((Inputs!$E$5:$E$160=$B25)*Inputs!$F$5:$F$160*(((Inputs!$G$5:$G$160="moeda")+(Inputs!$G$5:$G$160="acoes"))*Inputs!$B$1+((Inputs!$G$5:$G$160&lt;&gt;"moeda")*(Inputs!$G$5:$G$160&lt;&gt;"acoes")))*INDEX(Inputs!$K$5:$AJ$160,0,MATCH(AH$2,Inputs!$K$4:$AJ$4,0)))))</f>
        <v>2018.04714308667</v>
      </c>
      <c r="AI25" s="6">
        <f>IF(ISNA(MATCH(AI$2,Inputs!$K$4:$AJ$4,0)),NA(),IF(SUMPRODUCT((Inputs!$A$5:$A$160=$B25)*ISNUMBER(INDEX(Inputs!$K$5:$AJ$160,0,MATCH(AI$2,Inputs!$K$4:$AJ$4,0))))+SUMPRODUCT((Inputs!$C$5:$C$160=$B25)*ISNUMBER(INDEX(Inputs!$K$5:$AJ$160,0,MATCH(AI$2,Inputs!$K$4:$AJ$4,0))))+SUMPRODUCT((Inputs!$E$5:$E$160=$B25)*ISNUMBER(INDEX(Inputs!$K$5:$AJ$160,0,MATCH(AI$2,Inputs!$K$4:$AJ$4,0))))=0,NA(),SUMPRODUCT((Inputs!$A$5:$A$160=$B25)*Inputs!$B$5:$B$160*(((Inputs!$G$5:$G$160="moeda")+(Inputs!$G$5:$G$160="acoes"))*Inputs!$B$1+((Inputs!$G$5:$G$160&lt;&gt;"moeda")*(Inputs!$G$5:$G$160&lt;&gt;"acoes")))*INDEX(Inputs!$K$5:$AJ$160,0,MATCH(AI$2,Inputs!$K$4:$AJ$4,0)))+SUMPRODUCT((Inputs!$C$5:$C$160=$B25)*Inputs!$D$5:$D$160*(((Inputs!$G$5:$G$160="moeda")+(Inputs!$G$5:$G$160="acoes"))*Inputs!$B$1+((Inputs!$G$5:$G$160&lt;&gt;"moeda")*(Inputs!$G$5:$G$160&lt;&gt;"acoes")))*INDEX(Inputs!$K$5:$AJ$160,0,MATCH(AI$2,Inputs!$K$4:$AJ$4,0)))+SUMPRODUCT((Inputs!$E$5:$E$160=$B25)*Inputs!$F$5:$F$160*(((Inputs!$G$5:$G$160="moeda")+(Inputs!$G$5:$G$160="acoes"))*Inputs!$B$1+((Inputs!$G$5:$G$160&lt;&gt;"moeda")*(Inputs!$G$5:$G$160&lt;&gt;"acoes")))*INDEX(Inputs!$K$5:$AJ$160,0,MATCH(AI$2,Inputs!$K$4:$AJ$4,0)))))</f>
        <v>2016.4350344973</v>
      </c>
      <c r="AJ25" s="6">
        <f>IF(ISNA(MATCH(AJ$2,Inputs!$K$4:$AJ$4,0)),NA(),IF(SUMPRODUCT((Inputs!$A$5:$A$160=$B25)*ISNUMBER(INDEX(Inputs!$K$5:$AJ$160,0,MATCH(AJ$2,Inputs!$K$4:$AJ$4,0))))+SUMPRODUCT((Inputs!$C$5:$C$160=$B25)*ISNUMBER(INDEX(Inputs!$K$5:$AJ$160,0,MATCH(AJ$2,Inputs!$K$4:$AJ$4,0))))+SUMPRODUCT((Inputs!$E$5:$E$160=$B25)*ISNUMBER(INDEX(Inputs!$K$5:$AJ$160,0,MATCH(AJ$2,Inputs!$K$4:$AJ$4,0))))=0,NA(),SUMPRODUCT((Inputs!$A$5:$A$160=$B25)*Inputs!$B$5:$B$160*(((Inputs!$G$5:$G$160="moeda")+(Inputs!$G$5:$G$160="acoes"))*Inputs!$B$1+((Inputs!$G$5:$G$160&lt;&gt;"moeda")*(Inputs!$G$5:$G$160&lt;&gt;"acoes")))*INDEX(Inputs!$K$5:$AJ$160,0,MATCH(AJ$2,Inputs!$K$4:$AJ$4,0)))+SUMPRODUCT((Inputs!$C$5:$C$160=$B25)*Inputs!$D$5:$D$160*(((Inputs!$G$5:$G$160="moeda")+(Inputs!$G$5:$G$160="acoes"))*Inputs!$B$1+((Inputs!$G$5:$G$160&lt;&gt;"moeda")*(Inputs!$G$5:$G$160&lt;&gt;"acoes")))*INDEX(Inputs!$K$5:$AJ$160,0,MATCH(AJ$2,Inputs!$K$4:$AJ$4,0)))+SUMPRODUCT((Inputs!$E$5:$E$160=$B25)*Inputs!$F$5:$F$160*(((Inputs!$G$5:$G$160="moeda")+(Inputs!$G$5:$G$160="acoes"))*Inputs!$B$1+((Inputs!$G$5:$G$160&lt;&gt;"moeda")*(Inputs!$G$5:$G$160&lt;&gt;"acoes")))*INDEX(Inputs!$K$5:$AJ$160,0,MATCH(AJ$2,Inputs!$K$4:$AJ$4,0)))))</f>
        <v>2018.35236046229</v>
      </c>
      <c r="AK25" s="6">
        <f>IF(ISNA(MATCH(AK$2,Inputs!$K$4:$AJ$4,0)),NA(),IF(SUMPRODUCT((Inputs!$A$5:$A$160=$B25)*ISNUMBER(INDEX(Inputs!$K$5:$AJ$160,0,MATCH(AK$2,Inputs!$K$4:$AJ$4,0))))+SUMPRODUCT((Inputs!$C$5:$C$160=$B25)*ISNUMBER(INDEX(Inputs!$K$5:$AJ$160,0,MATCH(AK$2,Inputs!$K$4:$AJ$4,0))))+SUMPRODUCT((Inputs!$E$5:$E$160=$B25)*ISNUMBER(INDEX(Inputs!$K$5:$AJ$160,0,MATCH(AK$2,Inputs!$K$4:$AJ$4,0))))=0,NA(),SUMPRODUCT((Inputs!$A$5:$A$160=$B25)*Inputs!$B$5:$B$160*(((Inputs!$G$5:$G$160="moeda")+(Inputs!$G$5:$G$160="acoes"))*Inputs!$B$1+((Inputs!$G$5:$G$160&lt;&gt;"moeda")*(Inputs!$G$5:$G$160&lt;&gt;"acoes")))*INDEX(Inputs!$K$5:$AJ$160,0,MATCH(AK$2,Inputs!$K$4:$AJ$4,0)))+SUMPRODUCT((Inputs!$C$5:$C$160=$B25)*Inputs!$D$5:$D$160*(((Inputs!$G$5:$G$160="moeda")+(Inputs!$G$5:$G$160="acoes"))*Inputs!$B$1+((Inputs!$G$5:$G$160&lt;&gt;"moeda")*(Inputs!$G$5:$G$160&lt;&gt;"acoes")))*INDEX(Inputs!$K$5:$AJ$160,0,MATCH(AK$2,Inputs!$K$4:$AJ$4,0)))+SUMPRODUCT((Inputs!$E$5:$E$160=$B25)*Inputs!$F$5:$F$160*(((Inputs!$G$5:$G$160="moeda")+(Inputs!$G$5:$G$160="acoes"))*Inputs!$B$1+((Inputs!$G$5:$G$160&lt;&gt;"moeda")*(Inputs!$G$5:$G$160&lt;&gt;"acoes")))*INDEX(Inputs!$K$5:$AJ$160,0,MATCH(AK$2,Inputs!$K$4:$AJ$4,0)))))</f>
        <v>2030.60799782729</v>
      </c>
      <c r="AL25" s="3">
        <f>AK25</f>
        <v>2030.60799782729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$160=$B26)*ISNUMBER(INDEX(Inputs!$K$5:$AJ$160,0,MATCH(D$2,Inputs!$K$4:$AJ$4,0))))+SUMPRODUCT((Inputs!$C$5:$C$160=$B26)*ISNUMBER(INDEX(Inputs!$K$5:$AJ$160,0,MATCH(D$2,Inputs!$K$4:$AJ$4,0))))+SUMPRODUCT((Inputs!$E$5:$E$160=$B26)*ISNUMBER(INDEX(Inputs!$K$5:$AJ$160,0,MATCH(D$2,Inputs!$K$4:$AJ$4,0))))=0,NA(),SUMPRODUCT((Inputs!$A$5:$A$160=$B26)*Inputs!$B$5:$B$160*(((Inputs!$G$5:$G$160="moeda")+(Inputs!$G$5:$G$160="acoes"))*Inputs!$B$1+((Inputs!$G$5:$G$160&lt;&gt;"moeda")*(Inputs!$G$5:$G$160&lt;&gt;"acoes")))*INDEX(Inputs!$K$5:$AJ$160,0,MATCH(D$2,Inputs!$K$4:$AJ$4,0)))+SUMPRODUCT((Inputs!$C$5:$C$160=$B26)*Inputs!$D$5:$D$160*(((Inputs!$G$5:$G$160="moeda")+(Inputs!$G$5:$G$160="acoes"))*Inputs!$B$1+((Inputs!$G$5:$G$160&lt;&gt;"moeda")*(Inputs!$G$5:$G$160&lt;&gt;"acoes")))*INDEX(Inputs!$K$5:$AJ$160,0,MATCH(D$2,Inputs!$K$4:$AJ$4,0)))+SUMPRODUCT((Inputs!$E$5:$E$160=$B26)*Inputs!$F$5:$F$160*(((Inputs!$G$5:$G$160="moeda")+(Inputs!$G$5:$G$160="acoes"))*Inputs!$B$1+((Inputs!$G$5:$G$160&lt;&gt;"moeda")*(Inputs!$G$5:$G$160&lt;&gt;"acoes")))*INDEX(Inputs!$K$5:$AJ$160,0,MATCH(D$2,Inputs!$K$4:$AJ$4,0)))))</f>
        <v>57.70639164</v>
      </c>
      <c r="E26" s="6">
        <f>IF(ISNA(MATCH(E$2,Inputs!$K$4:$AJ$4,0)),NA(),IF(SUMPRODUCT((Inputs!$A$5:$A$160=$B26)*ISNUMBER(INDEX(Inputs!$K$5:$AJ$160,0,MATCH(E$2,Inputs!$K$4:$AJ$4,0))))+SUMPRODUCT((Inputs!$C$5:$C$160=$B26)*ISNUMBER(INDEX(Inputs!$K$5:$AJ$160,0,MATCH(E$2,Inputs!$K$4:$AJ$4,0))))+SUMPRODUCT((Inputs!$E$5:$E$160=$B26)*ISNUMBER(INDEX(Inputs!$K$5:$AJ$160,0,MATCH(E$2,Inputs!$K$4:$AJ$4,0))))=0,NA(),SUMPRODUCT((Inputs!$A$5:$A$160=$B26)*Inputs!$B$5:$B$160*(((Inputs!$G$5:$G$160="moeda")+(Inputs!$G$5:$G$160="acoes"))*Inputs!$B$1+((Inputs!$G$5:$G$160&lt;&gt;"moeda")*(Inputs!$G$5:$G$160&lt;&gt;"acoes")))*INDEX(Inputs!$K$5:$AJ$160,0,MATCH(E$2,Inputs!$K$4:$AJ$4,0)))+SUMPRODUCT((Inputs!$C$5:$C$160=$B26)*Inputs!$D$5:$D$160*(((Inputs!$G$5:$G$160="moeda")+(Inputs!$G$5:$G$160="acoes"))*Inputs!$B$1+((Inputs!$G$5:$G$160&lt;&gt;"moeda")*(Inputs!$G$5:$G$160&lt;&gt;"acoes")))*INDEX(Inputs!$K$5:$AJ$160,0,MATCH(E$2,Inputs!$K$4:$AJ$4,0)))+SUMPRODUCT((Inputs!$E$5:$E$160=$B26)*Inputs!$F$5:$F$160*(((Inputs!$G$5:$G$160="moeda")+(Inputs!$G$5:$G$160="acoes"))*Inputs!$B$1+((Inputs!$G$5:$G$160&lt;&gt;"moeda")*(Inputs!$G$5:$G$160&lt;&gt;"acoes")))*INDEX(Inputs!$K$5:$AJ$160,0,MATCH(E$2,Inputs!$K$4:$AJ$4,0)))))</f>
        <v>46.88245908</v>
      </c>
      <c r="F26" s="6">
        <f>IF(ISNA(MATCH(F$2,Inputs!$K$4:$AJ$4,0)),NA(),IF(SUMPRODUCT((Inputs!$A$5:$A$160=$B26)*ISNUMBER(INDEX(Inputs!$K$5:$AJ$160,0,MATCH(F$2,Inputs!$K$4:$AJ$4,0))))+SUMPRODUCT((Inputs!$C$5:$C$160=$B26)*ISNUMBER(INDEX(Inputs!$K$5:$AJ$160,0,MATCH(F$2,Inputs!$K$4:$AJ$4,0))))+SUMPRODUCT((Inputs!$E$5:$E$160=$B26)*ISNUMBER(INDEX(Inputs!$K$5:$AJ$160,0,MATCH(F$2,Inputs!$K$4:$AJ$4,0))))=0,NA(),SUMPRODUCT((Inputs!$A$5:$A$160=$B26)*Inputs!$B$5:$B$160*(((Inputs!$G$5:$G$160="moeda")+(Inputs!$G$5:$G$160="acoes"))*Inputs!$B$1+((Inputs!$G$5:$G$160&lt;&gt;"moeda")*(Inputs!$G$5:$G$160&lt;&gt;"acoes")))*INDEX(Inputs!$K$5:$AJ$160,0,MATCH(F$2,Inputs!$K$4:$AJ$4,0)))+SUMPRODUCT((Inputs!$C$5:$C$160=$B26)*Inputs!$D$5:$D$160*(((Inputs!$G$5:$G$160="moeda")+(Inputs!$G$5:$G$160="acoes"))*Inputs!$B$1+((Inputs!$G$5:$G$160&lt;&gt;"moeda")*(Inputs!$G$5:$G$160&lt;&gt;"acoes")))*INDEX(Inputs!$K$5:$AJ$160,0,MATCH(F$2,Inputs!$K$4:$AJ$4,0)))+SUMPRODUCT((Inputs!$E$5:$E$160=$B26)*Inputs!$F$5:$F$160*(((Inputs!$G$5:$G$160="moeda")+(Inputs!$G$5:$G$160="acoes"))*Inputs!$B$1+((Inputs!$G$5:$G$160&lt;&gt;"moeda")*(Inputs!$G$5:$G$160&lt;&gt;"acoes")))*INDEX(Inputs!$K$5:$AJ$160,0,MATCH(F$2,Inputs!$K$4:$AJ$4,0)))))</f>
        <v>45.76159196</v>
      </c>
      <c r="G26" s="6">
        <f>IF(ISNA(MATCH(G$2,Inputs!$K$4:$AJ$4,0)),NA(),IF(SUMPRODUCT((Inputs!$A$5:$A$160=$B26)*ISNUMBER(INDEX(Inputs!$K$5:$AJ$160,0,MATCH(G$2,Inputs!$K$4:$AJ$4,0))))+SUMPRODUCT((Inputs!$C$5:$C$160=$B26)*ISNUMBER(INDEX(Inputs!$K$5:$AJ$160,0,MATCH(G$2,Inputs!$K$4:$AJ$4,0))))+SUMPRODUCT((Inputs!$E$5:$E$160=$B26)*ISNUMBER(INDEX(Inputs!$K$5:$AJ$160,0,MATCH(G$2,Inputs!$K$4:$AJ$4,0))))=0,NA(),SUMPRODUCT((Inputs!$A$5:$A$160=$B26)*Inputs!$B$5:$B$160*(((Inputs!$G$5:$G$160="moeda")+(Inputs!$G$5:$G$160="acoes"))*Inputs!$B$1+((Inputs!$G$5:$G$160&lt;&gt;"moeda")*(Inputs!$G$5:$G$160&lt;&gt;"acoes")))*INDEX(Inputs!$K$5:$AJ$160,0,MATCH(G$2,Inputs!$K$4:$AJ$4,0)))+SUMPRODUCT((Inputs!$C$5:$C$160=$B26)*Inputs!$D$5:$D$160*(((Inputs!$G$5:$G$160="moeda")+(Inputs!$G$5:$G$160="acoes"))*Inputs!$B$1+((Inputs!$G$5:$G$160&lt;&gt;"moeda")*(Inputs!$G$5:$G$160&lt;&gt;"acoes")))*INDEX(Inputs!$K$5:$AJ$160,0,MATCH(G$2,Inputs!$K$4:$AJ$4,0)))+SUMPRODUCT((Inputs!$E$5:$E$160=$B26)*Inputs!$F$5:$F$160*(((Inputs!$G$5:$G$160="moeda")+(Inputs!$G$5:$G$160="acoes"))*Inputs!$B$1+((Inputs!$G$5:$G$160&lt;&gt;"moeda")*(Inputs!$G$5:$G$160&lt;&gt;"acoes")))*INDEX(Inputs!$K$5:$AJ$160,0,MATCH(G$2,Inputs!$K$4:$AJ$4,0)))))</f>
        <v>46.89604854</v>
      </c>
      <c r="H26" s="3">
        <f>G26</f>
        <v>46.89604854</v>
      </c>
      <c r="I26" s="6">
        <f>IF(ISNA(MATCH(I$2,Inputs!$K$4:$AJ$4,0)),NA(),IF(SUMPRODUCT((Inputs!$A$5:$A$160=$B26)*ISNUMBER(INDEX(Inputs!$K$5:$AJ$160,0,MATCH(I$2,Inputs!$K$4:$AJ$4,0))))+SUMPRODUCT((Inputs!$C$5:$C$160=$B26)*ISNUMBER(INDEX(Inputs!$K$5:$AJ$160,0,MATCH(I$2,Inputs!$K$4:$AJ$4,0))))+SUMPRODUCT((Inputs!$E$5:$E$160=$B26)*ISNUMBER(INDEX(Inputs!$K$5:$AJ$160,0,MATCH(I$2,Inputs!$K$4:$AJ$4,0))))=0,NA(),SUMPRODUCT((Inputs!$A$5:$A$160=$B26)*Inputs!$B$5:$B$160*(((Inputs!$G$5:$G$160="moeda")+(Inputs!$G$5:$G$160="acoes"))*Inputs!$B$1+((Inputs!$G$5:$G$160&lt;&gt;"moeda")*(Inputs!$G$5:$G$160&lt;&gt;"acoes")))*INDEX(Inputs!$K$5:$AJ$160,0,MATCH(I$2,Inputs!$K$4:$AJ$4,0)))+SUMPRODUCT((Inputs!$C$5:$C$160=$B26)*Inputs!$D$5:$D$160*(((Inputs!$G$5:$G$160="moeda")+(Inputs!$G$5:$G$160="acoes"))*Inputs!$B$1+((Inputs!$G$5:$G$160&lt;&gt;"moeda")*(Inputs!$G$5:$G$160&lt;&gt;"acoes")))*INDEX(Inputs!$K$5:$AJ$160,0,MATCH(I$2,Inputs!$K$4:$AJ$4,0)))+SUMPRODUCT((Inputs!$E$5:$E$160=$B26)*Inputs!$F$5:$F$160*(((Inputs!$G$5:$G$160="moeda")+(Inputs!$G$5:$G$160="acoes"))*Inputs!$B$1+((Inputs!$G$5:$G$160&lt;&gt;"moeda")*(Inputs!$G$5:$G$160&lt;&gt;"acoes")))*INDEX(Inputs!$K$5:$AJ$160,0,MATCH(I$2,Inputs!$K$4:$AJ$4,0)))))</f>
        <v>46.34248186</v>
      </c>
      <c r="J26" s="6">
        <f>IF(ISNA(MATCH(J$2,Inputs!$K$4:$AJ$4,0)),NA(),IF(SUMPRODUCT((Inputs!$A$5:$A$160=$B26)*ISNUMBER(INDEX(Inputs!$K$5:$AJ$160,0,MATCH(J$2,Inputs!$K$4:$AJ$4,0))))+SUMPRODUCT((Inputs!$C$5:$C$160=$B26)*ISNUMBER(INDEX(Inputs!$K$5:$AJ$160,0,MATCH(J$2,Inputs!$K$4:$AJ$4,0))))+SUMPRODUCT((Inputs!$E$5:$E$160=$B26)*ISNUMBER(INDEX(Inputs!$K$5:$AJ$160,0,MATCH(J$2,Inputs!$K$4:$AJ$4,0))))=0,NA(),SUMPRODUCT((Inputs!$A$5:$A$160=$B26)*Inputs!$B$5:$B$160*(((Inputs!$G$5:$G$160="moeda")+(Inputs!$G$5:$G$160="acoes"))*Inputs!$B$1+((Inputs!$G$5:$G$160&lt;&gt;"moeda")*(Inputs!$G$5:$G$160&lt;&gt;"acoes")))*INDEX(Inputs!$K$5:$AJ$160,0,MATCH(J$2,Inputs!$K$4:$AJ$4,0)))+SUMPRODUCT((Inputs!$C$5:$C$160=$B26)*Inputs!$D$5:$D$160*(((Inputs!$G$5:$G$160="moeda")+(Inputs!$G$5:$G$160="acoes"))*Inputs!$B$1+((Inputs!$G$5:$G$160&lt;&gt;"moeda")*(Inputs!$G$5:$G$160&lt;&gt;"acoes")))*INDEX(Inputs!$K$5:$AJ$160,0,MATCH(J$2,Inputs!$K$4:$AJ$4,0)))+SUMPRODUCT((Inputs!$E$5:$E$160=$B26)*Inputs!$F$5:$F$160*(((Inputs!$G$5:$G$160="moeda")+(Inputs!$G$5:$G$160="acoes"))*Inputs!$B$1+((Inputs!$G$5:$G$160&lt;&gt;"moeda")*(Inputs!$G$5:$G$160&lt;&gt;"acoes")))*INDEX(Inputs!$K$5:$AJ$160,0,MATCH(J$2,Inputs!$K$4:$AJ$4,0)))))</f>
        <v>48.66050671</v>
      </c>
      <c r="K26" s="6">
        <f>IF(ISNA(MATCH(K$2,Inputs!$K$4:$AJ$4,0)),NA(),IF(SUMPRODUCT((Inputs!$A$5:$A$160=$B26)*ISNUMBER(INDEX(Inputs!$K$5:$AJ$160,0,MATCH(K$2,Inputs!$K$4:$AJ$4,0))))+SUMPRODUCT((Inputs!$C$5:$C$160=$B26)*ISNUMBER(INDEX(Inputs!$K$5:$AJ$160,0,MATCH(K$2,Inputs!$K$4:$AJ$4,0))))+SUMPRODUCT((Inputs!$E$5:$E$160=$B26)*ISNUMBER(INDEX(Inputs!$K$5:$AJ$160,0,MATCH(K$2,Inputs!$K$4:$AJ$4,0))))=0,NA(),SUMPRODUCT((Inputs!$A$5:$A$160=$B26)*Inputs!$B$5:$B$160*(((Inputs!$G$5:$G$160="moeda")+(Inputs!$G$5:$G$160="acoes"))*Inputs!$B$1+((Inputs!$G$5:$G$160&lt;&gt;"moeda")*(Inputs!$G$5:$G$160&lt;&gt;"acoes")))*INDEX(Inputs!$K$5:$AJ$160,0,MATCH(K$2,Inputs!$K$4:$AJ$4,0)))+SUMPRODUCT((Inputs!$C$5:$C$160=$B26)*Inputs!$D$5:$D$160*(((Inputs!$G$5:$G$160="moeda")+(Inputs!$G$5:$G$160="acoes"))*Inputs!$B$1+((Inputs!$G$5:$G$160&lt;&gt;"moeda")*(Inputs!$G$5:$G$160&lt;&gt;"acoes")))*INDEX(Inputs!$K$5:$AJ$160,0,MATCH(K$2,Inputs!$K$4:$AJ$4,0)))+SUMPRODUCT((Inputs!$E$5:$E$160=$B26)*Inputs!$F$5:$F$160*(((Inputs!$G$5:$G$160="moeda")+(Inputs!$G$5:$G$160="acoes"))*Inputs!$B$1+((Inputs!$G$5:$G$160&lt;&gt;"moeda")*(Inputs!$G$5:$G$160&lt;&gt;"acoes")))*INDEX(Inputs!$K$5:$AJ$160,0,MATCH(K$2,Inputs!$K$4:$AJ$4,0)))))</f>
        <v>50.13974602</v>
      </c>
      <c r="L26" s="6">
        <f>IF(ISNA(MATCH(L$2,Inputs!$K$4:$AJ$4,0)),NA(),IF(SUMPRODUCT((Inputs!$A$5:$A$160=$B26)*ISNUMBER(INDEX(Inputs!$K$5:$AJ$160,0,MATCH(L$2,Inputs!$K$4:$AJ$4,0))))+SUMPRODUCT((Inputs!$C$5:$C$160=$B26)*ISNUMBER(INDEX(Inputs!$K$5:$AJ$160,0,MATCH(L$2,Inputs!$K$4:$AJ$4,0))))+SUMPRODUCT((Inputs!$E$5:$E$160=$B26)*ISNUMBER(INDEX(Inputs!$K$5:$AJ$160,0,MATCH(L$2,Inputs!$K$4:$AJ$4,0))))=0,NA(),SUMPRODUCT((Inputs!$A$5:$A$160=$B26)*Inputs!$B$5:$B$160*(((Inputs!$G$5:$G$160="moeda")+(Inputs!$G$5:$G$160="acoes"))*Inputs!$B$1+((Inputs!$G$5:$G$160&lt;&gt;"moeda")*(Inputs!$G$5:$G$160&lt;&gt;"acoes")))*INDEX(Inputs!$K$5:$AJ$160,0,MATCH(L$2,Inputs!$K$4:$AJ$4,0)))+SUMPRODUCT((Inputs!$C$5:$C$160=$B26)*Inputs!$D$5:$D$160*(((Inputs!$G$5:$G$160="moeda")+(Inputs!$G$5:$G$160="acoes"))*Inputs!$B$1+((Inputs!$G$5:$G$160&lt;&gt;"moeda")*(Inputs!$G$5:$G$160&lt;&gt;"acoes")))*INDEX(Inputs!$K$5:$AJ$160,0,MATCH(L$2,Inputs!$K$4:$AJ$4,0)))+SUMPRODUCT((Inputs!$E$5:$E$160=$B26)*Inputs!$F$5:$F$160*(((Inputs!$G$5:$G$160="moeda")+(Inputs!$G$5:$G$160="acoes"))*Inputs!$B$1+((Inputs!$G$5:$G$160&lt;&gt;"moeda")*(Inputs!$G$5:$G$160&lt;&gt;"acoes")))*INDEX(Inputs!$K$5:$AJ$160,0,MATCH(L$2,Inputs!$K$4:$AJ$4,0)))))</f>
        <v>77.92503408</v>
      </c>
      <c r="M26" s="3">
        <f>L26</f>
        <v>77.92503408</v>
      </c>
      <c r="N26" s="6">
        <f>IF(ISNA(MATCH(N$2,Inputs!$K$4:$AJ$4,0)),NA(),IF(SUMPRODUCT((Inputs!$A$5:$A$160=$B26)*ISNUMBER(INDEX(Inputs!$K$5:$AJ$160,0,MATCH(N$2,Inputs!$K$4:$AJ$4,0))))+SUMPRODUCT((Inputs!$C$5:$C$160=$B26)*ISNUMBER(INDEX(Inputs!$K$5:$AJ$160,0,MATCH(N$2,Inputs!$K$4:$AJ$4,0))))+SUMPRODUCT((Inputs!$E$5:$E$160=$B26)*ISNUMBER(INDEX(Inputs!$K$5:$AJ$160,0,MATCH(N$2,Inputs!$K$4:$AJ$4,0))))=0,NA(),SUMPRODUCT((Inputs!$A$5:$A$160=$B26)*Inputs!$B$5:$B$160*(((Inputs!$G$5:$G$160="moeda")+(Inputs!$G$5:$G$160="acoes"))*Inputs!$B$1+((Inputs!$G$5:$G$160&lt;&gt;"moeda")*(Inputs!$G$5:$G$160&lt;&gt;"acoes")))*INDEX(Inputs!$K$5:$AJ$160,0,MATCH(N$2,Inputs!$K$4:$AJ$4,0)))+SUMPRODUCT((Inputs!$C$5:$C$160=$B26)*Inputs!$D$5:$D$160*(((Inputs!$G$5:$G$160="moeda")+(Inputs!$G$5:$G$160="acoes"))*Inputs!$B$1+((Inputs!$G$5:$G$160&lt;&gt;"moeda")*(Inputs!$G$5:$G$160&lt;&gt;"acoes")))*INDEX(Inputs!$K$5:$AJ$160,0,MATCH(N$2,Inputs!$K$4:$AJ$4,0)))+SUMPRODUCT((Inputs!$E$5:$E$160=$B26)*Inputs!$F$5:$F$160*(((Inputs!$G$5:$G$160="moeda")+(Inputs!$G$5:$G$160="acoes"))*Inputs!$B$1+((Inputs!$G$5:$G$160&lt;&gt;"moeda")*(Inputs!$G$5:$G$160&lt;&gt;"acoes")))*INDEX(Inputs!$K$5:$AJ$160,0,MATCH(N$2,Inputs!$K$4:$AJ$4,0)))))</f>
        <v>77.42650597</v>
      </c>
      <c r="O26" s="6">
        <f>IF(ISNA(MATCH(O$2,Inputs!$K$4:$AJ$4,0)),NA(),IF(SUMPRODUCT((Inputs!$A$5:$A$160=$B26)*ISNUMBER(INDEX(Inputs!$K$5:$AJ$160,0,MATCH(O$2,Inputs!$K$4:$AJ$4,0))))+SUMPRODUCT((Inputs!$C$5:$C$160=$B26)*ISNUMBER(INDEX(Inputs!$K$5:$AJ$160,0,MATCH(O$2,Inputs!$K$4:$AJ$4,0))))+SUMPRODUCT((Inputs!$E$5:$E$160=$B26)*ISNUMBER(INDEX(Inputs!$K$5:$AJ$160,0,MATCH(O$2,Inputs!$K$4:$AJ$4,0))))=0,NA(),SUMPRODUCT((Inputs!$A$5:$A$160=$B26)*Inputs!$B$5:$B$160*(((Inputs!$G$5:$G$160="moeda")+(Inputs!$G$5:$G$160="acoes"))*Inputs!$B$1+((Inputs!$G$5:$G$160&lt;&gt;"moeda")*(Inputs!$G$5:$G$160&lt;&gt;"acoes")))*INDEX(Inputs!$K$5:$AJ$160,0,MATCH(O$2,Inputs!$K$4:$AJ$4,0)))+SUMPRODUCT((Inputs!$C$5:$C$160=$B26)*Inputs!$D$5:$D$160*(((Inputs!$G$5:$G$160="moeda")+(Inputs!$G$5:$G$160="acoes"))*Inputs!$B$1+((Inputs!$G$5:$G$160&lt;&gt;"moeda")*(Inputs!$G$5:$G$160&lt;&gt;"acoes")))*INDEX(Inputs!$K$5:$AJ$160,0,MATCH(O$2,Inputs!$K$4:$AJ$4,0)))+SUMPRODUCT((Inputs!$E$5:$E$160=$B26)*Inputs!$F$5:$F$160*(((Inputs!$G$5:$G$160="moeda")+(Inputs!$G$5:$G$160="acoes"))*Inputs!$B$1+((Inputs!$G$5:$G$160&lt;&gt;"moeda")*(Inputs!$G$5:$G$160&lt;&gt;"acoes")))*INDEX(Inputs!$K$5:$AJ$160,0,MATCH(O$2,Inputs!$K$4:$AJ$4,0)))))</f>
        <v>80.237</v>
      </c>
      <c r="P26" s="6">
        <f>IF(ISNA(MATCH(P$2,Inputs!$K$4:$AJ$4,0)),NA(),IF(SUMPRODUCT((Inputs!$A$5:$A$160=$B26)*ISNUMBER(INDEX(Inputs!$K$5:$AJ$160,0,MATCH(P$2,Inputs!$K$4:$AJ$4,0))))+SUMPRODUCT((Inputs!$C$5:$C$160=$B26)*ISNUMBER(INDEX(Inputs!$K$5:$AJ$160,0,MATCH(P$2,Inputs!$K$4:$AJ$4,0))))+SUMPRODUCT((Inputs!$E$5:$E$160=$B26)*ISNUMBER(INDEX(Inputs!$K$5:$AJ$160,0,MATCH(P$2,Inputs!$K$4:$AJ$4,0))))=0,NA(),SUMPRODUCT((Inputs!$A$5:$A$160=$B26)*Inputs!$B$5:$B$160*(((Inputs!$G$5:$G$160="moeda")+(Inputs!$G$5:$G$160="acoes"))*Inputs!$B$1+((Inputs!$G$5:$G$160&lt;&gt;"moeda")*(Inputs!$G$5:$G$160&lt;&gt;"acoes")))*INDEX(Inputs!$K$5:$AJ$160,0,MATCH(P$2,Inputs!$K$4:$AJ$4,0)))+SUMPRODUCT((Inputs!$C$5:$C$160=$B26)*Inputs!$D$5:$D$160*(((Inputs!$G$5:$G$160="moeda")+(Inputs!$G$5:$G$160="acoes"))*Inputs!$B$1+((Inputs!$G$5:$G$160&lt;&gt;"moeda")*(Inputs!$G$5:$G$160&lt;&gt;"acoes")))*INDEX(Inputs!$K$5:$AJ$160,0,MATCH(P$2,Inputs!$K$4:$AJ$4,0)))+SUMPRODUCT((Inputs!$E$5:$E$160=$B26)*Inputs!$F$5:$F$160*(((Inputs!$G$5:$G$160="moeda")+(Inputs!$G$5:$G$160="acoes"))*Inputs!$B$1+((Inputs!$G$5:$G$160&lt;&gt;"moeda")*(Inputs!$G$5:$G$160&lt;&gt;"acoes")))*INDEX(Inputs!$K$5:$AJ$160,0,MATCH(P$2,Inputs!$K$4:$AJ$4,0)))))</f>
        <v>85.086</v>
      </c>
      <c r="Q26" s="6">
        <f>IF(ISNA(MATCH(Q$2,Inputs!$K$4:$AJ$4,0)),NA(),IF(SUMPRODUCT((Inputs!$A$5:$A$160=$B26)*ISNUMBER(INDEX(Inputs!$K$5:$AJ$160,0,MATCH(Q$2,Inputs!$K$4:$AJ$4,0))))+SUMPRODUCT((Inputs!$C$5:$C$160=$B26)*ISNUMBER(INDEX(Inputs!$K$5:$AJ$160,0,MATCH(Q$2,Inputs!$K$4:$AJ$4,0))))+SUMPRODUCT((Inputs!$E$5:$E$160=$B26)*ISNUMBER(INDEX(Inputs!$K$5:$AJ$160,0,MATCH(Q$2,Inputs!$K$4:$AJ$4,0))))=0,NA(),SUMPRODUCT((Inputs!$A$5:$A$160=$B26)*Inputs!$B$5:$B$160*(((Inputs!$G$5:$G$160="moeda")+(Inputs!$G$5:$G$160="acoes"))*Inputs!$B$1+((Inputs!$G$5:$G$160&lt;&gt;"moeda")*(Inputs!$G$5:$G$160&lt;&gt;"acoes")))*INDEX(Inputs!$K$5:$AJ$160,0,MATCH(Q$2,Inputs!$K$4:$AJ$4,0)))+SUMPRODUCT((Inputs!$C$5:$C$160=$B26)*Inputs!$D$5:$D$160*(((Inputs!$G$5:$G$160="moeda")+(Inputs!$G$5:$G$160="acoes"))*Inputs!$B$1+((Inputs!$G$5:$G$160&lt;&gt;"moeda")*(Inputs!$G$5:$G$160&lt;&gt;"acoes")))*INDEX(Inputs!$K$5:$AJ$160,0,MATCH(Q$2,Inputs!$K$4:$AJ$4,0)))+SUMPRODUCT((Inputs!$E$5:$E$160=$B26)*Inputs!$F$5:$F$160*(((Inputs!$G$5:$G$160="moeda")+(Inputs!$G$5:$G$160="acoes"))*Inputs!$B$1+((Inputs!$G$5:$G$160&lt;&gt;"moeda")*(Inputs!$G$5:$G$160&lt;&gt;"acoes")))*INDEX(Inputs!$K$5:$AJ$160,0,MATCH(Q$2,Inputs!$K$4:$AJ$4,0)))))</f>
        <v>75.961</v>
      </c>
      <c r="R26" s="3">
        <f>Q26</f>
        <v>75.961</v>
      </c>
      <c r="S26" s="6">
        <f>IF(ISNA(MATCH(S$2,Inputs!$K$4:$AJ$4,0)),NA(),IF(SUMPRODUCT((Inputs!$A$5:$A$160=$B26)*ISNUMBER(INDEX(Inputs!$K$5:$AJ$160,0,MATCH(S$2,Inputs!$K$4:$AJ$4,0))))+SUMPRODUCT((Inputs!$C$5:$C$160=$B26)*ISNUMBER(INDEX(Inputs!$K$5:$AJ$160,0,MATCH(S$2,Inputs!$K$4:$AJ$4,0))))+SUMPRODUCT((Inputs!$E$5:$E$160=$B26)*ISNUMBER(INDEX(Inputs!$K$5:$AJ$160,0,MATCH(S$2,Inputs!$K$4:$AJ$4,0))))=0,NA(),SUMPRODUCT((Inputs!$A$5:$A$160=$B26)*Inputs!$B$5:$B$160*(((Inputs!$G$5:$G$160="moeda")+(Inputs!$G$5:$G$160="acoes"))*Inputs!$B$1+((Inputs!$G$5:$G$160&lt;&gt;"moeda")*(Inputs!$G$5:$G$160&lt;&gt;"acoes")))*INDEX(Inputs!$K$5:$AJ$160,0,MATCH(S$2,Inputs!$K$4:$AJ$4,0)))+SUMPRODUCT((Inputs!$C$5:$C$160=$B26)*Inputs!$D$5:$D$160*(((Inputs!$G$5:$G$160="moeda")+(Inputs!$G$5:$G$160="acoes"))*Inputs!$B$1+((Inputs!$G$5:$G$160&lt;&gt;"moeda")*(Inputs!$G$5:$G$160&lt;&gt;"acoes")))*INDEX(Inputs!$K$5:$AJ$160,0,MATCH(S$2,Inputs!$K$4:$AJ$4,0)))+SUMPRODUCT((Inputs!$E$5:$E$160=$B26)*Inputs!$F$5:$F$160*(((Inputs!$G$5:$G$160="moeda")+(Inputs!$G$5:$G$160="acoes"))*Inputs!$B$1+((Inputs!$G$5:$G$160&lt;&gt;"moeda")*(Inputs!$G$5:$G$160&lt;&gt;"acoes")))*INDEX(Inputs!$K$5:$AJ$160,0,MATCH(S$2,Inputs!$K$4:$AJ$4,0)))))</f>
        <v>77.885</v>
      </c>
      <c r="T26" s="6">
        <f>IF(ISNA(MATCH(T$2,Inputs!$K$4:$AJ$4,0)),NA(),IF(SUMPRODUCT((Inputs!$A$5:$A$160=$B26)*ISNUMBER(INDEX(Inputs!$K$5:$AJ$160,0,MATCH(T$2,Inputs!$K$4:$AJ$4,0))))+SUMPRODUCT((Inputs!$C$5:$C$160=$B26)*ISNUMBER(INDEX(Inputs!$K$5:$AJ$160,0,MATCH(T$2,Inputs!$K$4:$AJ$4,0))))+SUMPRODUCT((Inputs!$E$5:$E$160=$B26)*ISNUMBER(INDEX(Inputs!$K$5:$AJ$160,0,MATCH(T$2,Inputs!$K$4:$AJ$4,0))))=0,NA(),SUMPRODUCT((Inputs!$A$5:$A$160=$B26)*Inputs!$B$5:$B$160*(((Inputs!$G$5:$G$160="moeda")+(Inputs!$G$5:$G$160="acoes"))*Inputs!$B$1+((Inputs!$G$5:$G$160&lt;&gt;"moeda")*(Inputs!$G$5:$G$160&lt;&gt;"acoes")))*INDEX(Inputs!$K$5:$AJ$160,0,MATCH(T$2,Inputs!$K$4:$AJ$4,0)))+SUMPRODUCT((Inputs!$C$5:$C$160=$B26)*Inputs!$D$5:$D$160*(((Inputs!$G$5:$G$160="moeda")+(Inputs!$G$5:$G$160="acoes"))*Inputs!$B$1+((Inputs!$G$5:$G$160&lt;&gt;"moeda")*(Inputs!$G$5:$G$160&lt;&gt;"acoes")))*INDEX(Inputs!$K$5:$AJ$160,0,MATCH(T$2,Inputs!$K$4:$AJ$4,0)))+SUMPRODUCT((Inputs!$E$5:$E$160=$B26)*Inputs!$F$5:$F$160*(((Inputs!$G$5:$G$160="moeda")+(Inputs!$G$5:$G$160="acoes"))*Inputs!$B$1+((Inputs!$G$5:$G$160&lt;&gt;"moeda")*(Inputs!$G$5:$G$160&lt;&gt;"acoes")))*INDEX(Inputs!$K$5:$AJ$160,0,MATCH(T$2,Inputs!$K$4:$AJ$4,0)))))</f>
        <v>75.5</v>
      </c>
      <c r="U26" s="6">
        <f>IF(ISNA(MATCH(U$2,Inputs!$K$4:$AJ$4,0)),NA(),IF(SUMPRODUCT((Inputs!$A$5:$A$160=$B26)*ISNUMBER(INDEX(Inputs!$K$5:$AJ$160,0,MATCH(U$2,Inputs!$K$4:$AJ$4,0))))+SUMPRODUCT((Inputs!$C$5:$C$160=$B26)*ISNUMBER(INDEX(Inputs!$K$5:$AJ$160,0,MATCH(U$2,Inputs!$K$4:$AJ$4,0))))+SUMPRODUCT((Inputs!$E$5:$E$160=$B26)*ISNUMBER(INDEX(Inputs!$K$5:$AJ$160,0,MATCH(U$2,Inputs!$K$4:$AJ$4,0))))=0,NA(),SUMPRODUCT((Inputs!$A$5:$A$160=$B26)*Inputs!$B$5:$B$160*(((Inputs!$G$5:$G$160="moeda")+(Inputs!$G$5:$G$160="acoes"))*Inputs!$B$1+((Inputs!$G$5:$G$160&lt;&gt;"moeda")*(Inputs!$G$5:$G$160&lt;&gt;"acoes")))*INDEX(Inputs!$K$5:$AJ$160,0,MATCH(U$2,Inputs!$K$4:$AJ$4,0)))+SUMPRODUCT((Inputs!$C$5:$C$160=$B26)*Inputs!$D$5:$D$160*(((Inputs!$G$5:$G$160="moeda")+(Inputs!$G$5:$G$160="acoes"))*Inputs!$B$1+((Inputs!$G$5:$G$160&lt;&gt;"moeda")*(Inputs!$G$5:$G$160&lt;&gt;"acoes")))*INDEX(Inputs!$K$5:$AJ$160,0,MATCH(U$2,Inputs!$K$4:$AJ$4,0)))+SUMPRODUCT((Inputs!$E$5:$E$160=$B26)*Inputs!$F$5:$F$160*(((Inputs!$G$5:$G$160="moeda")+(Inputs!$G$5:$G$160="acoes"))*Inputs!$B$1+((Inputs!$G$5:$G$160&lt;&gt;"moeda")*(Inputs!$G$5:$G$160&lt;&gt;"acoes")))*INDEX(Inputs!$K$5:$AJ$160,0,MATCH(U$2,Inputs!$K$4:$AJ$4,0)))))</f>
        <v>74.756</v>
      </c>
      <c r="V26" s="6">
        <f>IF(ISNA(MATCH(V$2,Inputs!$K$4:$AJ$4,0)),NA(),IF(SUMPRODUCT((Inputs!$A$5:$A$160=$B26)*ISNUMBER(INDEX(Inputs!$K$5:$AJ$160,0,MATCH(V$2,Inputs!$K$4:$AJ$4,0))))+SUMPRODUCT((Inputs!$C$5:$C$160=$B26)*ISNUMBER(INDEX(Inputs!$K$5:$AJ$160,0,MATCH(V$2,Inputs!$K$4:$AJ$4,0))))+SUMPRODUCT((Inputs!$E$5:$E$160=$B26)*ISNUMBER(INDEX(Inputs!$K$5:$AJ$160,0,MATCH(V$2,Inputs!$K$4:$AJ$4,0))))=0,NA(),SUMPRODUCT((Inputs!$A$5:$A$160=$B26)*Inputs!$B$5:$B$160*(((Inputs!$G$5:$G$160="moeda")+(Inputs!$G$5:$G$160="acoes"))*Inputs!$B$1+((Inputs!$G$5:$G$160&lt;&gt;"moeda")*(Inputs!$G$5:$G$160&lt;&gt;"acoes")))*INDEX(Inputs!$K$5:$AJ$160,0,MATCH(V$2,Inputs!$K$4:$AJ$4,0)))+SUMPRODUCT((Inputs!$C$5:$C$160=$B26)*Inputs!$D$5:$D$160*(((Inputs!$G$5:$G$160="moeda")+(Inputs!$G$5:$G$160="acoes"))*Inputs!$B$1+((Inputs!$G$5:$G$160&lt;&gt;"moeda")*(Inputs!$G$5:$G$160&lt;&gt;"acoes")))*INDEX(Inputs!$K$5:$AJ$160,0,MATCH(V$2,Inputs!$K$4:$AJ$4,0)))+SUMPRODUCT((Inputs!$E$5:$E$160=$B26)*Inputs!$F$5:$F$160*(((Inputs!$G$5:$G$160="moeda")+(Inputs!$G$5:$G$160="acoes"))*Inputs!$B$1+((Inputs!$G$5:$G$160&lt;&gt;"moeda")*(Inputs!$G$5:$G$160&lt;&gt;"acoes")))*INDEX(Inputs!$K$5:$AJ$160,0,MATCH(V$2,Inputs!$K$4:$AJ$4,0)))))</f>
        <v>102.77</v>
      </c>
      <c r="W26" s="3">
        <f>V26</f>
        <v>102.77</v>
      </c>
      <c r="X26" s="6">
        <f>IF(ISNA(MATCH(X$2,Inputs!$K$4:$AJ$4,0)),NA(),IF(SUMPRODUCT((Inputs!$A$5:$A$160=$B26)*ISNUMBER(INDEX(Inputs!$K$5:$AJ$160,0,MATCH(X$2,Inputs!$K$4:$AJ$4,0))))+SUMPRODUCT((Inputs!$C$5:$C$160=$B26)*ISNUMBER(INDEX(Inputs!$K$5:$AJ$160,0,MATCH(X$2,Inputs!$K$4:$AJ$4,0))))+SUMPRODUCT((Inputs!$E$5:$E$160=$B26)*ISNUMBER(INDEX(Inputs!$K$5:$AJ$160,0,MATCH(X$2,Inputs!$K$4:$AJ$4,0))))=0,NA(),SUMPRODUCT((Inputs!$A$5:$A$160=$B26)*Inputs!$B$5:$B$160*(((Inputs!$G$5:$G$160="moeda")+(Inputs!$G$5:$G$160="acoes"))*Inputs!$B$1+((Inputs!$G$5:$G$160&lt;&gt;"moeda")*(Inputs!$G$5:$G$160&lt;&gt;"acoes")))*INDEX(Inputs!$K$5:$AJ$160,0,MATCH(X$2,Inputs!$K$4:$AJ$4,0)))+SUMPRODUCT((Inputs!$C$5:$C$160=$B26)*Inputs!$D$5:$D$160*(((Inputs!$G$5:$G$160="moeda")+(Inputs!$G$5:$G$160="acoes"))*Inputs!$B$1+((Inputs!$G$5:$G$160&lt;&gt;"moeda")*(Inputs!$G$5:$G$160&lt;&gt;"acoes")))*INDEX(Inputs!$K$5:$AJ$160,0,MATCH(X$2,Inputs!$K$4:$AJ$4,0)))+SUMPRODUCT((Inputs!$E$5:$E$160=$B26)*Inputs!$F$5:$F$160*(((Inputs!$G$5:$G$160="moeda")+(Inputs!$G$5:$G$160="acoes"))*Inputs!$B$1+((Inputs!$G$5:$G$160&lt;&gt;"moeda")*(Inputs!$G$5:$G$160&lt;&gt;"acoes")))*INDEX(Inputs!$K$5:$AJ$160,0,MATCH(X$2,Inputs!$K$4:$AJ$4,0)))))</f>
        <v>89.979094</v>
      </c>
      <c r="Y26" s="6">
        <f>IF(ISNA(MATCH(Y$2,Inputs!$K$4:$AJ$4,0)),NA(),IF(SUMPRODUCT((Inputs!$A$5:$A$160=$B26)*ISNUMBER(INDEX(Inputs!$K$5:$AJ$160,0,MATCH(Y$2,Inputs!$K$4:$AJ$4,0))))+SUMPRODUCT((Inputs!$C$5:$C$160=$B26)*ISNUMBER(INDEX(Inputs!$K$5:$AJ$160,0,MATCH(Y$2,Inputs!$K$4:$AJ$4,0))))+SUMPRODUCT((Inputs!$E$5:$E$160=$B26)*ISNUMBER(INDEX(Inputs!$K$5:$AJ$160,0,MATCH(Y$2,Inputs!$K$4:$AJ$4,0))))=0,NA(),SUMPRODUCT((Inputs!$A$5:$A$160=$B26)*Inputs!$B$5:$B$160*(((Inputs!$G$5:$G$160="moeda")+(Inputs!$G$5:$G$160="acoes"))*Inputs!$B$1+((Inputs!$G$5:$G$160&lt;&gt;"moeda")*(Inputs!$G$5:$G$160&lt;&gt;"acoes")))*INDEX(Inputs!$K$5:$AJ$160,0,MATCH(Y$2,Inputs!$K$4:$AJ$4,0)))+SUMPRODUCT((Inputs!$C$5:$C$160=$B26)*Inputs!$D$5:$D$160*(((Inputs!$G$5:$G$160="moeda")+(Inputs!$G$5:$G$160="acoes"))*Inputs!$B$1+((Inputs!$G$5:$G$160&lt;&gt;"moeda")*(Inputs!$G$5:$G$160&lt;&gt;"acoes")))*INDEX(Inputs!$K$5:$AJ$160,0,MATCH(Y$2,Inputs!$K$4:$AJ$4,0)))+SUMPRODUCT((Inputs!$E$5:$E$160=$B26)*Inputs!$F$5:$F$160*(((Inputs!$G$5:$G$160="moeda")+(Inputs!$G$5:$G$160="acoes"))*Inputs!$B$1+((Inputs!$G$5:$G$160&lt;&gt;"moeda")*(Inputs!$G$5:$G$160&lt;&gt;"acoes")))*INDEX(Inputs!$K$5:$AJ$160,0,MATCH(Y$2,Inputs!$K$4:$AJ$4,0)))))</f>
        <v>84.177</v>
      </c>
      <c r="Z26" s="6">
        <f>IF(ISNA(MATCH(Z$2,Inputs!$K$4:$AJ$4,0)),NA(),IF(SUMPRODUCT((Inputs!$A$5:$A$160=$B26)*ISNUMBER(INDEX(Inputs!$K$5:$AJ$160,0,MATCH(Z$2,Inputs!$K$4:$AJ$4,0))))+SUMPRODUCT((Inputs!$C$5:$C$160=$B26)*ISNUMBER(INDEX(Inputs!$K$5:$AJ$160,0,MATCH(Z$2,Inputs!$K$4:$AJ$4,0))))+SUMPRODUCT((Inputs!$E$5:$E$160=$B26)*ISNUMBER(INDEX(Inputs!$K$5:$AJ$160,0,MATCH(Z$2,Inputs!$K$4:$AJ$4,0))))=0,NA(),SUMPRODUCT((Inputs!$A$5:$A$160=$B26)*Inputs!$B$5:$B$160*(((Inputs!$G$5:$G$160="moeda")+(Inputs!$G$5:$G$160="acoes"))*Inputs!$B$1+((Inputs!$G$5:$G$160&lt;&gt;"moeda")*(Inputs!$G$5:$G$160&lt;&gt;"acoes")))*INDEX(Inputs!$K$5:$AJ$160,0,MATCH(Z$2,Inputs!$K$4:$AJ$4,0)))+SUMPRODUCT((Inputs!$C$5:$C$160=$B26)*Inputs!$D$5:$D$160*(((Inputs!$G$5:$G$160="moeda")+(Inputs!$G$5:$G$160="acoes"))*Inputs!$B$1+((Inputs!$G$5:$G$160&lt;&gt;"moeda")*(Inputs!$G$5:$G$160&lt;&gt;"acoes")))*INDEX(Inputs!$K$5:$AJ$160,0,MATCH(Z$2,Inputs!$K$4:$AJ$4,0)))+SUMPRODUCT((Inputs!$E$5:$E$160=$B26)*Inputs!$F$5:$F$160*(((Inputs!$G$5:$G$160="moeda")+(Inputs!$G$5:$G$160="acoes"))*Inputs!$B$1+((Inputs!$G$5:$G$160&lt;&gt;"moeda")*(Inputs!$G$5:$G$160&lt;&gt;"acoes")))*INDEX(Inputs!$K$5:$AJ$160,0,MATCH(Z$2,Inputs!$K$4:$AJ$4,0)))))</f>
        <v>82.641</v>
      </c>
      <c r="AA26" s="6">
        <f>IF(ISNA(MATCH(AA$2,Inputs!$K$4:$AJ$4,0)),NA(),IF(SUMPRODUCT((Inputs!$A$5:$A$160=$B26)*ISNUMBER(INDEX(Inputs!$K$5:$AJ$160,0,MATCH(AA$2,Inputs!$K$4:$AJ$4,0))))+SUMPRODUCT((Inputs!$C$5:$C$160=$B26)*ISNUMBER(INDEX(Inputs!$K$5:$AJ$160,0,MATCH(AA$2,Inputs!$K$4:$AJ$4,0))))+SUMPRODUCT((Inputs!$E$5:$E$160=$B26)*ISNUMBER(INDEX(Inputs!$K$5:$AJ$160,0,MATCH(AA$2,Inputs!$K$4:$AJ$4,0))))=0,NA(),SUMPRODUCT((Inputs!$A$5:$A$160=$B26)*Inputs!$B$5:$B$160*(((Inputs!$G$5:$G$160="moeda")+(Inputs!$G$5:$G$160="acoes"))*Inputs!$B$1+((Inputs!$G$5:$G$160&lt;&gt;"moeda")*(Inputs!$G$5:$G$160&lt;&gt;"acoes")))*INDEX(Inputs!$K$5:$AJ$160,0,MATCH(AA$2,Inputs!$K$4:$AJ$4,0)))+SUMPRODUCT((Inputs!$C$5:$C$160=$B26)*Inputs!$D$5:$D$160*(((Inputs!$G$5:$G$160="moeda")+(Inputs!$G$5:$G$160="acoes"))*Inputs!$B$1+((Inputs!$G$5:$G$160&lt;&gt;"moeda")*(Inputs!$G$5:$G$160&lt;&gt;"acoes")))*INDEX(Inputs!$K$5:$AJ$160,0,MATCH(AA$2,Inputs!$K$4:$AJ$4,0)))+SUMPRODUCT((Inputs!$E$5:$E$160=$B26)*Inputs!$F$5:$F$160*(((Inputs!$G$5:$G$160="moeda")+(Inputs!$G$5:$G$160="acoes"))*Inputs!$B$1+((Inputs!$G$5:$G$160&lt;&gt;"moeda")*(Inputs!$G$5:$G$160&lt;&gt;"acoes")))*INDEX(Inputs!$K$5:$AJ$160,0,MATCH(AA$2,Inputs!$K$4:$AJ$4,0)))))</f>
        <v>106.081</v>
      </c>
      <c r="AB26" s="3">
        <f>AA26</f>
        <v>106.081</v>
      </c>
      <c r="AC26" s="6">
        <f>IF(ISNA(MATCH(AC$2,Inputs!$K$4:$AJ$4,0)),NA(),IF(SUMPRODUCT((Inputs!$A$5:$A$160=$B26)*ISNUMBER(INDEX(Inputs!$K$5:$AJ$160,0,MATCH(AC$2,Inputs!$K$4:$AJ$4,0))))+SUMPRODUCT((Inputs!$C$5:$C$160=$B26)*ISNUMBER(INDEX(Inputs!$K$5:$AJ$160,0,MATCH(AC$2,Inputs!$K$4:$AJ$4,0))))+SUMPRODUCT((Inputs!$E$5:$E$160=$B26)*ISNUMBER(INDEX(Inputs!$K$5:$AJ$160,0,MATCH(AC$2,Inputs!$K$4:$AJ$4,0))))=0,NA(),SUMPRODUCT((Inputs!$A$5:$A$160=$B26)*Inputs!$B$5:$B$160*(((Inputs!$G$5:$G$160="moeda")+(Inputs!$G$5:$G$160="acoes"))*Inputs!$B$1+((Inputs!$G$5:$G$160&lt;&gt;"moeda")*(Inputs!$G$5:$G$160&lt;&gt;"acoes")))*INDEX(Inputs!$K$5:$AJ$160,0,MATCH(AC$2,Inputs!$K$4:$AJ$4,0)))+SUMPRODUCT((Inputs!$C$5:$C$160=$B26)*Inputs!$D$5:$D$160*(((Inputs!$G$5:$G$160="moeda")+(Inputs!$G$5:$G$160="acoes"))*Inputs!$B$1+((Inputs!$G$5:$G$160&lt;&gt;"moeda")*(Inputs!$G$5:$G$160&lt;&gt;"acoes")))*INDEX(Inputs!$K$5:$AJ$160,0,MATCH(AC$2,Inputs!$K$4:$AJ$4,0)))+SUMPRODUCT((Inputs!$E$5:$E$160=$B26)*Inputs!$F$5:$F$160*(((Inputs!$G$5:$G$160="moeda")+(Inputs!$G$5:$G$160="acoes"))*Inputs!$B$1+((Inputs!$G$5:$G$160&lt;&gt;"moeda")*(Inputs!$G$5:$G$160&lt;&gt;"acoes")))*INDEX(Inputs!$K$5:$AJ$160,0,MATCH(AC$2,Inputs!$K$4:$AJ$4,0)))))</f>
        <v>104.557</v>
      </c>
      <c r="AD26" s="6">
        <f>IF(ISNA(MATCH(AD$2,Inputs!$K$4:$AJ$4,0)),NA(),IF(SUMPRODUCT((Inputs!$A$5:$A$160=$B26)*ISNUMBER(INDEX(Inputs!$K$5:$AJ$160,0,MATCH(AD$2,Inputs!$K$4:$AJ$4,0))))+SUMPRODUCT((Inputs!$C$5:$C$160=$B26)*ISNUMBER(INDEX(Inputs!$K$5:$AJ$160,0,MATCH(AD$2,Inputs!$K$4:$AJ$4,0))))+SUMPRODUCT((Inputs!$E$5:$E$160=$B26)*ISNUMBER(INDEX(Inputs!$K$5:$AJ$160,0,MATCH(AD$2,Inputs!$K$4:$AJ$4,0))))=0,NA(),SUMPRODUCT((Inputs!$A$5:$A$160=$B26)*Inputs!$B$5:$B$160*(((Inputs!$G$5:$G$160="moeda")+(Inputs!$G$5:$G$160="acoes"))*Inputs!$B$1+((Inputs!$G$5:$G$160&lt;&gt;"moeda")*(Inputs!$G$5:$G$160&lt;&gt;"acoes")))*INDEX(Inputs!$K$5:$AJ$160,0,MATCH(AD$2,Inputs!$K$4:$AJ$4,0)))+SUMPRODUCT((Inputs!$C$5:$C$160=$B26)*Inputs!$D$5:$D$160*(((Inputs!$G$5:$G$160="moeda")+(Inputs!$G$5:$G$160="acoes"))*Inputs!$B$1+((Inputs!$G$5:$G$160&lt;&gt;"moeda")*(Inputs!$G$5:$G$160&lt;&gt;"acoes")))*INDEX(Inputs!$K$5:$AJ$160,0,MATCH(AD$2,Inputs!$K$4:$AJ$4,0)))+SUMPRODUCT((Inputs!$E$5:$E$160=$B26)*Inputs!$F$5:$F$160*(((Inputs!$G$5:$G$160="moeda")+(Inputs!$G$5:$G$160="acoes"))*Inputs!$B$1+((Inputs!$G$5:$G$160&lt;&gt;"moeda")*(Inputs!$G$5:$G$160&lt;&gt;"acoes")))*INDEX(Inputs!$K$5:$AJ$160,0,MATCH(AD$2,Inputs!$K$4:$AJ$4,0)))))</f>
        <v>87.914</v>
      </c>
      <c r="AE26" s="6" t="e">
        <f>IF(ISNA(MATCH(AE$2,Inputs!$K$4:$AJ$4,0)),NA(),IF(SUMPRODUCT((Inputs!$A$5:$A$160=$B26)*ISNUMBER(INDEX(Inputs!$K$5:$AJ$160,0,MATCH(AE$2,Inputs!$K$4:$AJ$4,0))))+SUMPRODUCT((Inputs!$C$5:$C$160=$B26)*ISNUMBER(INDEX(Inputs!$K$5:$AJ$160,0,MATCH(AE$2,Inputs!$K$4:$AJ$4,0))))+SUMPRODUCT((Inputs!$E$5:$E$160=$B26)*ISNUMBER(INDEX(Inputs!$K$5:$AJ$160,0,MATCH(AE$2,Inputs!$K$4:$AJ$4,0))))=0,NA(),SUMPRODUCT((Inputs!$A$5:$A$160=$B26)*Inputs!$B$5:$B$160*(((Inputs!$G$5:$G$160="moeda")+(Inputs!$G$5:$G$160="acoes"))*Inputs!$B$1+((Inputs!$G$5:$G$160&lt;&gt;"moeda")*(Inputs!$G$5:$G$160&lt;&gt;"acoes")))*INDEX(Inputs!$K$5:$AJ$160,0,MATCH(AE$2,Inputs!$K$4:$AJ$4,0)))+SUMPRODUCT((Inputs!$C$5:$C$160=$B26)*Inputs!$D$5:$D$160*(((Inputs!$G$5:$G$160="moeda")+(Inputs!$G$5:$G$160="acoes"))*Inputs!$B$1+((Inputs!$G$5:$G$160&lt;&gt;"moeda")*(Inputs!$G$5:$G$160&lt;&gt;"acoes")))*INDEX(Inputs!$K$5:$AJ$160,0,MATCH(AE$2,Inputs!$K$4:$AJ$4,0)))+SUMPRODUCT((Inputs!$E$5:$E$160=$B26)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6" s="6" t="e">
        <f>IF(ISNA(MATCH(AF$2,Inputs!$K$4:$AJ$4,0)),NA(),IF(SUMPRODUCT((Inputs!$A$5:$A$160=$B26)*ISNUMBER(INDEX(Inputs!$K$5:$AJ$160,0,MATCH(AF$2,Inputs!$K$4:$AJ$4,0))))+SUMPRODUCT((Inputs!$C$5:$C$160=$B26)*ISNUMBER(INDEX(Inputs!$K$5:$AJ$160,0,MATCH(AF$2,Inputs!$K$4:$AJ$4,0))))+SUMPRODUCT((Inputs!$E$5:$E$160=$B26)*ISNUMBER(INDEX(Inputs!$K$5:$AJ$160,0,MATCH(AF$2,Inputs!$K$4:$AJ$4,0))))=0,NA(),SUMPRODUCT((Inputs!$A$5:$A$160=$B26)*Inputs!$B$5:$B$160*(((Inputs!$G$5:$G$160="moeda")+(Inputs!$G$5:$G$160="acoes"))*Inputs!$B$1+((Inputs!$G$5:$G$160&lt;&gt;"moeda")*(Inputs!$G$5:$G$160&lt;&gt;"acoes")))*INDEX(Inputs!$K$5:$AJ$160,0,MATCH(AF$2,Inputs!$K$4:$AJ$4,0)))+SUMPRODUCT((Inputs!$C$5:$C$160=$B26)*Inputs!$D$5:$D$160*(((Inputs!$G$5:$G$160="moeda")+(Inputs!$G$5:$G$160="acoes"))*Inputs!$B$1+((Inputs!$G$5:$G$160&lt;&gt;"moeda")*(Inputs!$G$5:$G$160&lt;&gt;"acoes")))*INDEX(Inputs!$K$5:$AJ$160,0,MATCH(AF$2,Inputs!$K$4:$AJ$4,0)))+SUMPRODUCT((Inputs!$E$5:$E$160=$B26)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6" s="3" t="e">
        <f>AF26</f>
        <v>#N/A</v>
      </c>
      <c r="AH26" s="6">
        <f>IF(ISNA(MATCH(AH$2,Inputs!$K$4:$AJ$4,0)),NA(),IF(SUMPRODUCT((Inputs!$A$5:$A$160=$B26)*ISNUMBER(INDEX(Inputs!$K$5:$AJ$160,0,MATCH(AH$2,Inputs!$K$4:$AJ$4,0))))+SUMPRODUCT((Inputs!$C$5:$C$160=$B26)*ISNUMBER(INDEX(Inputs!$K$5:$AJ$160,0,MATCH(AH$2,Inputs!$K$4:$AJ$4,0))))+SUMPRODUCT((Inputs!$E$5:$E$160=$B26)*ISNUMBER(INDEX(Inputs!$K$5:$AJ$160,0,MATCH(AH$2,Inputs!$K$4:$AJ$4,0))))=0,NA(),SUMPRODUCT((Inputs!$A$5:$A$160=$B26)*Inputs!$B$5:$B$160*(((Inputs!$G$5:$G$160="moeda")+(Inputs!$G$5:$G$160="acoes"))*Inputs!$B$1+((Inputs!$G$5:$G$160&lt;&gt;"moeda")*(Inputs!$G$5:$G$160&lt;&gt;"acoes")))*INDEX(Inputs!$K$5:$AJ$160,0,MATCH(AH$2,Inputs!$K$4:$AJ$4,0)))+SUMPRODUCT((Inputs!$C$5:$C$160=$B26)*Inputs!$D$5:$D$160*(((Inputs!$G$5:$G$160="moeda")+(Inputs!$G$5:$G$160="acoes"))*Inputs!$B$1+((Inputs!$G$5:$G$160&lt;&gt;"moeda")*(Inputs!$G$5:$G$160&lt;&gt;"acoes")))*INDEX(Inputs!$K$5:$AJ$160,0,MATCH(AH$2,Inputs!$K$4:$AJ$4,0)))+SUMPRODUCT((Inputs!$E$5:$E$160=$B26)*Inputs!$F$5:$F$160*(((Inputs!$G$5:$G$160="moeda")+(Inputs!$G$5:$G$160="acoes"))*Inputs!$B$1+((Inputs!$G$5:$G$160&lt;&gt;"moeda")*(Inputs!$G$5:$G$160&lt;&gt;"acoes")))*INDEX(Inputs!$K$5:$AJ$160,0,MATCH(AH$2,Inputs!$K$4:$AJ$4,0)))))</f>
        <v>65.82283961</v>
      </c>
      <c r="AI26" s="6">
        <f>IF(ISNA(MATCH(AI$2,Inputs!$K$4:$AJ$4,0)),NA(),IF(SUMPRODUCT((Inputs!$A$5:$A$160=$B26)*ISNUMBER(INDEX(Inputs!$K$5:$AJ$160,0,MATCH(AI$2,Inputs!$K$4:$AJ$4,0))))+SUMPRODUCT((Inputs!$C$5:$C$160=$B26)*ISNUMBER(INDEX(Inputs!$K$5:$AJ$160,0,MATCH(AI$2,Inputs!$K$4:$AJ$4,0))))+SUMPRODUCT((Inputs!$E$5:$E$160=$B26)*ISNUMBER(INDEX(Inputs!$K$5:$AJ$160,0,MATCH(AI$2,Inputs!$K$4:$AJ$4,0))))=0,NA(),SUMPRODUCT((Inputs!$A$5:$A$160=$B26)*Inputs!$B$5:$B$160*(((Inputs!$G$5:$G$160="moeda")+(Inputs!$G$5:$G$160="acoes"))*Inputs!$B$1+((Inputs!$G$5:$G$160&lt;&gt;"moeda")*(Inputs!$G$5:$G$160&lt;&gt;"acoes")))*INDEX(Inputs!$K$5:$AJ$160,0,MATCH(AI$2,Inputs!$K$4:$AJ$4,0)))+SUMPRODUCT((Inputs!$C$5:$C$160=$B26)*Inputs!$D$5:$D$160*(((Inputs!$G$5:$G$160="moeda")+(Inputs!$G$5:$G$160="acoes"))*Inputs!$B$1+((Inputs!$G$5:$G$160&lt;&gt;"moeda")*(Inputs!$G$5:$G$160&lt;&gt;"acoes")))*INDEX(Inputs!$K$5:$AJ$160,0,MATCH(AI$2,Inputs!$K$4:$AJ$4,0)))+SUMPRODUCT((Inputs!$E$5:$E$160=$B26)*Inputs!$F$5:$F$160*(((Inputs!$G$5:$G$160="moeda")+(Inputs!$G$5:$G$160="acoes"))*Inputs!$B$1+((Inputs!$G$5:$G$160&lt;&gt;"moeda")*(Inputs!$G$5:$G$160&lt;&gt;"acoes")))*INDEX(Inputs!$K$5:$AJ$160,0,MATCH(AI$2,Inputs!$K$4:$AJ$4,0)))))</f>
        <v>73.44718083</v>
      </c>
      <c r="AJ26" s="6">
        <f>IF(ISNA(MATCH(AJ$2,Inputs!$K$4:$AJ$4,0)),NA(),IF(SUMPRODUCT((Inputs!$A$5:$A$160=$B26)*ISNUMBER(INDEX(Inputs!$K$5:$AJ$160,0,MATCH(AJ$2,Inputs!$K$4:$AJ$4,0))))+SUMPRODUCT((Inputs!$C$5:$C$160=$B26)*ISNUMBER(INDEX(Inputs!$K$5:$AJ$160,0,MATCH(AJ$2,Inputs!$K$4:$AJ$4,0))))+SUMPRODUCT((Inputs!$E$5:$E$160=$B26)*ISNUMBER(INDEX(Inputs!$K$5:$AJ$160,0,MATCH(AJ$2,Inputs!$K$4:$AJ$4,0))))=0,NA(),SUMPRODUCT((Inputs!$A$5:$A$160=$B26)*Inputs!$B$5:$B$160*(((Inputs!$G$5:$G$160="moeda")+(Inputs!$G$5:$G$160="acoes"))*Inputs!$B$1+((Inputs!$G$5:$G$160&lt;&gt;"moeda")*(Inputs!$G$5:$G$160&lt;&gt;"acoes")))*INDEX(Inputs!$K$5:$AJ$160,0,MATCH(AJ$2,Inputs!$K$4:$AJ$4,0)))+SUMPRODUCT((Inputs!$C$5:$C$160=$B26)*Inputs!$D$5:$D$160*(((Inputs!$G$5:$G$160="moeda")+(Inputs!$G$5:$G$160="acoes"))*Inputs!$B$1+((Inputs!$G$5:$G$160&lt;&gt;"moeda")*(Inputs!$G$5:$G$160&lt;&gt;"acoes")))*INDEX(Inputs!$K$5:$AJ$160,0,MATCH(AJ$2,Inputs!$K$4:$AJ$4,0)))+SUMPRODUCT((Inputs!$E$5:$E$160=$B26)*Inputs!$F$5:$F$160*(((Inputs!$G$5:$G$160="moeda")+(Inputs!$G$5:$G$160="acoes"))*Inputs!$B$1+((Inputs!$G$5:$G$160&lt;&gt;"moeda")*(Inputs!$G$5:$G$160&lt;&gt;"acoes")))*INDEX(Inputs!$K$5:$AJ$160,0,MATCH(AJ$2,Inputs!$K$4:$AJ$4,0)))))</f>
        <v>73.41897207</v>
      </c>
      <c r="AK26" s="6">
        <f>IF(ISNA(MATCH(AK$2,Inputs!$K$4:$AJ$4,0)),NA(),IF(SUMPRODUCT((Inputs!$A$5:$A$160=$B26)*ISNUMBER(INDEX(Inputs!$K$5:$AJ$160,0,MATCH(AK$2,Inputs!$K$4:$AJ$4,0))))+SUMPRODUCT((Inputs!$C$5:$C$160=$B26)*ISNUMBER(INDEX(Inputs!$K$5:$AJ$160,0,MATCH(AK$2,Inputs!$K$4:$AJ$4,0))))+SUMPRODUCT((Inputs!$E$5:$E$160=$B26)*ISNUMBER(INDEX(Inputs!$K$5:$AJ$160,0,MATCH(AK$2,Inputs!$K$4:$AJ$4,0))))=0,NA(),SUMPRODUCT((Inputs!$A$5:$A$160=$B26)*Inputs!$B$5:$B$160*(((Inputs!$G$5:$G$160="moeda")+(Inputs!$G$5:$G$160="acoes"))*Inputs!$B$1+((Inputs!$G$5:$G$160&lt;&gt;"moeda")*(Inputs!$G$5:$G$160&lt;&gt;"acoes")))*INDEX(Inputs!$K$5:$AJ$160,0,MATCH(AK$2,Inputs!$K$4:$AJ$4,0)))+SUMPRODUCT((Inputs!$C$5:$C$160=$B26)*Inputs!$D$5:$D$160*(((Inputs!$G$5:$G$160="moeda")+(Inputs!$G$5:$G$160="acoes"))*Inputs!$B$1+((Inputs!$G$5:$G$160&lt;&gt;"moeda")*(Inputs!$G$5:$G$160&lt;&gt;"acoes")))*INDEX(Inputs!$K$5:$AJ$160,0,MATCH(AK$2,Inputs!$K$4:$AJ$4,0)))+SUMPRODUCT((Inputs!$E$5:$E$160=$B26)*Inputs!$F$5:$F$160*(((Inputs!$G$5:$G$160="moeda")+(Inputs!$G$5:$G$160="acoes"))*Inputs!$B$1+((Inputs!$G$5:$G$160&lt;&gt;"moeda")*(Inputs!$G$5:$G$160&lt;&gt;"acoes")))*INDEX(Inputs!$K$5:$AJ$160,0,MATCH(AK$2,Inputs!$K$4:$AJ$4,0)))))</f>
        <v>58.07394153</v>
      </c>
      <c r="AL26" s="3">
        <f>AK26</f>
        <v>58.07394153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$160=$B28)*ISNUMBER(INDEX(Inputs!$K$5:$AJ$160,0,MATCH(D$2,Inputs!$K$4:$AJ$4,0))))+SUMPRODUCT((Inputs!$C$5:$C$160=$B28)*ISNUMBER(INDEX(Inputs!$K$5:$AJ$160,0,MATCH(D$2,Inputs!$K$4:$AJ$4,0))))+SUMPRODUCT((Inputs!$E$5:$E$160=$B28)*ISNUMBER(INDEX(Inputs!$K$5:$AJ$160,0,MATCH(D$2,Inputs!$K$4:$AJ$4,0))))=0,NA(),SUMPRODUCT((Inputs!$A$5:$A$160=$B28)*Inputs!$B$5:$B$160*(((Inputs!$G$5:$G$160="moeda")+(Inputs!$G$5:$G$160="acoes"))*Inputs!$B$1+((Inputs!$G$5:$G$160&lt;&gt;"moeda")*(Inputs!$G$5:$G$160&lt;&gt;"acoes")))*INDEX(Inputs!$K$5:$AJ$160,0,MATCH(D$2,Inputs!$K$4:$AJ$4,0)))+SUMPRODUCT((Inputs!$C$5:$C$160=$B28)*Inputs!$D$5:$D$160*(((Inputs!$G$5:$G$160="moeda")+(Inputs!$G$5:$G$160="acoes"))*Inputs!$B$1+((Inputs!$G$5:$G$160&lt;&gt;"moeda")*(Inputs!$G$5:$G$160&lt;&gt;"acoes")))*INDEX(Inputs!$K$5:$AJ$160,0,MATCH(D$2,Inputs!$K$4:$AJ$4,0)))+SUMPRODUCT((Inputs!$E$5:$E$160=$B28)*Inputs!$F$5:$F$160*(((Inputs!$G$5:$G$160="moeda")+(Inputs!$G$5:$G$160="acoes"))*Inputs!$B$1+((Inputs!$G$5:$G$160&lt;&gt;"moeda")*(Inputs!$G$5:$G$160&lt;&gt;"acoes")))*INDEX(Inputs!$K$5:$AJ$160,0,MATCH(D$2,Inputs!$K$4:$AJ$4,0)))))</f>
        <v>217.45823862</v>
      </c>
      <c r="E28" s="6">
        <f>IF(ISNA(MATCH(E$2,Inputs!$K$4:$AJ$4,0)),NA(),IF(SUMPRODUCT((Inputs!$A$5:$A$160=$B28)*ISNUMBER(INDEX(Inputs!$K$5:$AJ$160,0,MATCH(E$2,Inputs!$K$4:$AJ$4,0))))+SUMPRODUCT((Inputs!$C$5:$C$160=$B28)*ISNUMBER(INDEX(Inputs!$K$5:$AJ$160,0,MATCH(E$2,Inputs!$K$4:$AJ$4,0))))+SUMPRODUCT((Inputs!$E$5:$E$160=$B28)*ISNUMBER(INDEX(Inputs!$K$5:$AJ$160,0,MATCH(E$2,Inputs!$K$4:$AJ$4,0))))=0,NA(),SUMPRODUCT((Inputs!$A$5:$A$160=$B28)*Inputs!$B$5:$B$160*(((Inputs!$G$5:$G$160="moeda")+(Inputs!$G$5:$G$160="acoes"))*Inputs!$B$1+((Inputs!$G$5:$G$160&lt;&gt;"moeda")*(Inputs!$G$5:$G$160&lt;&gt;"acoes")))*INDEX(Inputs!$K$5:$AJ$160,0,MATCH(E$2,Inputs!$K$4:$AJ$4,0)))+SUMPRODUCT((Inputs!$C$5:$C$160=$B28)*Inputs!$D$5:$D$160*(((Inputs!$G$5:$G$160="moeda")+(Inputs!$G$5:$G$160="acoes"))*Inputs!$B$1+((Inputs!$G$5:$G$160&lt;&gt;"moeda")*(Inputs!$G$5:$G$160&lt;&gt;"acoes")))*INDEX(Inputs!$K$5:$AJ$160,0,MATCH(E$2,Inputs!$K$4:$AJ$4,0)))+SUMPRODUCT((Inputs!$E$5:$E$160=$B28)*Inputs!$F$5:$F$160*(((Inputs!$G$5:$G$160="moeda")+(Inputs!$G$5:$G$160="acoes"))*Inputs!$B$1+((Inputs!$G$5:$G$160&lt;&gt;"moeda")*(Inputs!$G$5:$G$160&lt;&gt;"acoes")))*INDEX(Inputs!$K$5:$AJ$160,0,MATCH(E$2,Inputs!$K$4:$AJ$4,0)))))</f>
        <v>271.93653186</v>
      </c>
      <c r="F28" s="6">
        <f>IF(ISNA(MATCH(F$2,Inputs!$K$4:$AJ$4,0)),NA(),IF(SUMPRODUCT((Inputs!$A$5:$A$160=$B28)*ISNUMBER(INDEX(Inputs!$K$5:$AJ$160,0,MATCH(F$2,Inputs!$K$4:$AJ$4,0))))+SUMPRODUCT((Inputs!$C$5:$C$160=$B28)*ISNUMBER(INDEX(Inputs!$K$5:$AJ$160,0,MATCH(F$2,Inputs!$K$4:$AJ$4,0))))+SUMPRODUCT((Inputs!$E$5:$E$160=$B28)*ISNUMBER(INDEX(Inputs!$K$5:$AJ$160,0,MATCH(F$2,Inputs!$K$4:$AJ$4,0))))=0,NA(),SUMPRODUCT((Inputs!$A$5:$A$160=$B28)*Inputs!$B$5:$B$160*(((Inputs!$G$5:$G$160="moeda")+(Inputs!$G$5:$G$160="acoes"))*Inputs!$B$1+((Inputs!$G$5:$G$160&lt;&gt;"moeda")*(Inputs!$G$5:$G$160&lt;&gt;"acoes")))*INDEX(Inputs!$K$5:$AJ$160,0,MATCH(F$2,Inputs!$K$4:$AJ$4,0)))+SUMPRODUCT((Inputs!$C$5:$C$160=$B28)*Inputs!$D$5:$D$160*(((Inputs!$G$5:$G$160="moeda")+(Inputs!$G$5:$G$160="acoes"))*Inputs!$B$1+((Inputs!$G$5:$G$160&lt;&gt;"moeda")*(Inputs!$G$5:$G$160&lt;&gt;"acoes")))*INDEX(Inputs!$K$5:$AJ$160,0,MATCH(F$2,Inputs!$K$4:$AJ$4,0)))+SUMPRODUCT((Inputs!$E$5:$E$160=$B28)*Inputs!$F$5:$F$160*(((Inputs!$G$5:$G$160="moeda")+(Inputs!$G$5:$G$160="acoes"))*Inputs!$B$1+((Inputs!$G$5:$G$160&lt;&gt;"moeda")*(Inputs!$G$5:$G$160&lt;&gt;"acoes")))*INDEX(Inputs!$K$5:$AJ$160,0,MATCH(F$2,Inputs!$K$4:$AJ$4,0)))))</f>
        <v>290.60493982</v>
      </c>
      <c r="G28" s="6">
        <f>IF(ISNA(MATCH(G$2,Inputs!$K$4:$AJ$4,0)),NA(),IF(SUMPRODUCT((Inputs!$A$5:$A$160=$B28)*ISNUMBER(INDEX(Inputs!$K$5:$AJ$160,0,MATCH(G$2,Inputs!$K$4:$AJ$4,0))))+SUMPRODUCT((Inputs!$C$5:$C$160=$B28)*ISNUMBER(INDEX(Inputs!$K$5:$AJ$160,0,MATCH(G$2,Inputs!$K$4:$AJ$4,0))))+SUMPRODUCT((Inputs!$E$5:$E$160=$B28)*ISNUMBER(INDEX(Inputs!$K$5:$AJ$160,0,MATCH(G$2,Inputs!$K$4:$AJ$4,0))))=0,NA(),SUMPRODUCT((Inputs!$A$5:$A$160=$B28)*Inputs!$B$5:$B$160*(((Inputs!$G$5:$G$160="moeda")+(Inputs!$G$5:$G$160="acoes"))*Inputs!$B$1+((Inputs!$G$5:$G$160&lt;&gt;"moeda")*(Inputs!$G$5:$G$160&lt;&gt;"acoes")))*INDEX(Inputs!$K$5:$AJ$160,0,MATCH(G$2,Inputs!$K$4:$AJ$4,0)))+SUMPRODUCT((Inputs!$C$5:$C$160=$B28)*Inputs!$D$5:$D$160*(((Inputs!$G$5:$G$160="moeda")+(Inputs!$G$5:$G$160="acoes"))*Inputs!$B$1+((Inputs!$G$5:$G$160&lt;&gt;"moeda")*(Inputs!$G$5:$G$160&lt;&gt;"acoes")))*INDEX(Inputs!$K$5:$AJ$160,0,MATCH(G$2,Inputs!$K$4:$AJ$4,0)))+SUMPRODUCT((Inputs!$E$5:$E$160=$B28)*Inputs!$F$5:$F$160*(((Inputs!$G$5:$G$160="moeda")+(Inputs!$G$5:$G$160="acoes"))*Inputs!$B$1+((Inputs!$G$5:$G$160&lt;&gt;"moeda")*(Inputs!$G$5:$G$160&lt;&gt;"acoes")))*INDEX(Inputs!$K$5:$AJ$160,0,MATCH(G$2,Inputs!$K$4:$AJ$4,0)))))</f>
        <v>356.88085195</v>
      </c>
      <c r="H28" s="3">
        <f>G28</f>
        <v>356.88085195</v>
      </c>
      <c r="I28" s="6">
        <f>IF(ISNA(MATCH(I$2,Inputs!$K$4:$AJ$4,0)),NA(),IF(SUMPRODUCT((Inputs!$A$5:$A$160=$B28)*ISNUMBER(INDEX(Inputs!$K$5:$AJ$160,0,MATCH(I$2,Inputs!$K$4:$AJ$4,0))))+SUMPRODUCT((Inputs!$C$5:$C$160=$B28)*ISNUMBER(INDEX(Inputs!$K$5:$AJ$160,0,MATCH(I$2,Inputs!$K$4:$AJ$4,0))))+SUMPRODUCT((Inputs!$E$5:$E$160=$B28)*ISNUMBER(INDEX(Inputs!$K$5:$AJ$160,0,MATCH(I$2,Inputs!$K$4:$AJ$4,0))))=0,NA(),SUMPRODUCT((Inputs!$A$5:$A$160=$B28)*Inputs!$B$5:$B$160*(((Inputs!$G$5:$G$160="moeda")+(Inputs!$G$5:$G$160="acoes"))*Inputs!$B$1+((Inputs!$G$5:$G$160&lt;&gt;"moeda")*(Inputs!$G$5:$G$160&lt;&gt;"acoes")))*INDEX(Inputs!$K$5:$AJ$160,0,MATCH(I$2,Inputs!$K$4:$AJ$4,0)))+SUMPRODUCT((Inputs!$C$5:$C$160=$B28)*Inputs!$D$5:$D$160*(((Inputs!$G$5:$G$160="moeda")+(Inputs!$G$5:$G$160="acoes"))*Inputs!$B$1+((Inputs!$G$5:$G$160&lt;&gt;"moeda")*(Inputs!$G$5:$G$160&lt;&gt;"acoes")))*INDEX(Inputs!$K$5:$AJ$160,0,MATCH(I$2,Inputs!$K$4:$AJ$4,0)))+SUMPRODUCT((Inputs!$E$5:$E$160=$B28)*Inputs!$F$5:$F$160*(((Inputs!$G$5:$G$160="moeda")+(Inputs!$G$5:$G$160="acoes"))*Inputs!$B$1+((Inputs!$G$5:$G$160&lt;&gt;"moeda")*(Inputs!$G$5:$G$160&lt;&gt;"acoes")))*INDEX(Inputs!$K$5:$AJ$160,0,MATCH(I$2,Inputs!$K$4:$AJ$4,0)))))</f>
        <v>306.31845786</v>
      </c>
      <c r="J28" s="6">
        <f>IF(ISNA(MATCH(J$2,Inputs!$K$4:$AJ$4,0)),NA(),IF(SUMPRODUCT((Inputs!$A$5:$A$160=$B28)*ISNUMBER(INDEX(Inputs!$K$5:$AJ$160,0,MATCH(J$2,Inputs!$K$4:$AJ$4,0))))+SUMPRODUCT((Inputs!$C$5:$C$160=$B28)*ISNUMBER(INDEX(Inputs!$K$5:$AJ$160,0,MATCH(J$2,Inputs!$K$4:$AJ$4,0))))+SUMPRODUCT((Inputs!$E$5:$E$160=$B28)*ISNUMBER(INDEX(Inputs!$K$5:$AJ$160,0,MATCH(J$2,Inputs!$K$4:$AJ$4,0))))=0,NA(),SUMPRODUCT((Inputs!$A$5:$A$160=$B28)*Inputs!$B$5:$B$160*(((Inputs!$G$5:$G$160="moeda")+(Inputs!$G$5:$G$160="acoes"))*Inputs!$B$1+((Inputs!$G$5:$G$160&lt;&gt;"moeda")*(Inputs!$G$5:$G$160&lt;&gt;"acoes")))*INDEX(Inputs!$K$5:$AJ$160,0,MATCH(J$2,Inputs!$K$4:$AJ$4,0)))+SUMPRODUCT((Inputs!$C$5:$C$160=$B28)*Inputs!$D$5:$D$160*(((Inputs!$G$5:$G$160="moeda")+(Inputs!$G$5:$G$160="acoes"))*Inputs!$B$1+((Inputs!$G$5:$G$160&lt;&gt;"moeda")*(Inputs!$G$5:$G$160&lt;&gt;"acoes")))*INDEX(Inputs!$K$5:$AJ$160,0,MATCH(J$2,Inputs!$K$4:$AJ$4,0)))+SUMPRODUCT((Inputs!$E$5:$E$160=$B28)*Inputs!$F$5:$F$160*(((Inputs!$G$5:$G$160="moeda")+(Inputs!$G$5:$G$160="acoes"))*Inputs!$B$1+((Inputs!$G$5:$G$160&lt;&gt;"moeda")*(Inputs!$G$5:$G$160&lt;&gt;"acoes")))*INDEX(Inputs!$K$5:$AJ$160,0,MATCH(J$2,Inputs!$K$4:$AJ$4,0)))))</f>
        <v>302.67521001</v>
      </c>
      <c r="K28" s="6">
        <f>IF(ISNA(MATCH(K$2,Inputs!$K$4:$AJ$4,0)),NA(),IF(SUMPRODUCT((Inputs!$A$5:$A$160=$B28)*ISNUMBER(INDEX(Inputs!$K$5:$AJ$160,0,MATCH(K$2,Inputs!$K$4:$AJ$4,0))))+SUMPRODUCT((Inputs!$C$5:$C$160=$B28)*ISNUMBER(INDEX(Inputs!$K$5:$AJ$160,0,MATCH(K$2,Inputs!$K$4:$AJ$4,0))))+SUMPRODUCT((Inputs!$E$5:$E$160=$B28)*ISNUMBER(INDEX(Inputs!$K$5:$AJ$160,0,MATCH(K$2,Inputs!$K$4:$AJ$4,0))))=0,NA(),SUMPRODUCT((Inputs!$A$5:$A$160=$B28)*Inputs!$B$5:$B$160*(((Inputs!$G$5:$G$160="moeda")+(Inputs!$G$5:$G$160="acoes"))*Inputs!$B$1+((Inputs!$G$5:$G$160&lt;&gt;"moeda")*(Inputs!$G$5:$G$160&lt;&gt;"acoes")))*INDEX(Inputs!$K$5:$AJ$160,0,MATCH(K$2,Inputs!$K$4:$AJ$4,0)))+SUMPRODUCT((Inputs!$C$5:$C$160=$B28)*Inputs!$D$5:$D$160*(((Inputs!$G$5:$G$160="moeda")+(Inputs!$G$5:$G$160="acoes"))*Inputs!$B$1+((Inputs!$G$5:$G$160&lt;&gt;"moeda")*(Inputs!$G$5:$G$160&lt;&gt;"acoes")))*INDEX(Inputs!$K$5:$AJ$160,0,MATCH(K$2,Inputs!$K$4:$AJ$4,0)))+SUMPRODUCT((Inputs!$E$5:$E$160=$B28)*Inputs!$F$5:$F$160*(((Inputs!$G$5:$G$160="moeda")+(Inputs!$G$5:$G$160="acoes"))*Inputs!$B$1+((Inputs!$G$5:$G$160&lt;&gt;"moeda")*(Inputs!$G$5:$G$160&lt;&gt;"acoes")))*INDEX(Inputs!$K$5:$AJ$160,0,MATCH(K$2,Inputs!$K$4:$AJ$4,0)))))</f>
        <v>297.71210255</v>
      </c>
      <c r="L28" s="6">
        <f>IF(ISNA(MATCH(L$2,Inputs!$K$4:$AJ$4,0)),NA(),IF(SUMPRODUCT((Inputs!$A$5:$A$160=$B28)*ISNUMBER(INDEX(Inputs!$K$5:$AJ$160,0,MATCH(L$2,Inputs!$K$4:$AJ$4,0))))+SUMPRODUCT((Inputs!$C$5:$C$160=$B28)*ISNUMBER(INDEX(Inputs!$K$5:$AJ$160,0,MATCH(L$2,Inputs!$K$4:$AJ$4,0))))+SUMPRODUCT((Inputs!$E$5:$E$160=$B28)*ISNUMBER(INDEX(Inputs!$K$5:$AJ$160,0,MATCH(L$2,Inputs!$K$4:$AJ$4,0))))=0,NA(),SUMPRODUCT((Inputs!$A$5:$A$160=$B28)*Inputs!$B$5:$B$160*(((Inputs!$G$5:$G$160="moeda")+(Inputs!$G$5:$G$160="acoes"))*Inputs!$B$1+((Inputs!$G$5:$G$160&lt;&gt;"moeda")*(Inputs!$G$5:$G$160&lt;&gt;"acoes")))*INDEX(Inputs!$K$5:$AJ$160,0,MATCH(L$2,Inputs!$K$4:$AJ$4,0)))+SUMPRODUCT((Inputs!$C$5:$C$160=$B28)*Inputs!$D$5:$D$160*(((Inputs!$G$5:$G$160="moeda")+(Inputs!$G$5:$G$160="acoes"))*Inputs!$B$1+((Inputs!$G$5:$G$160&lt;&gt;"moeda")*(Inputs!$G$5:$G$160&lt;&gt;"acoes")))*INDEX(Inputs!$K$5:$AJ$160,0,MATCH(L$2,Inputs!$K$4:$AJ$4,0)))+SUMPRODUCT((Inputs!$E$5:$E$160=$B28)*Inputs!$F$5:$F$160*(((Inputs!$G$5:$G$160="moeda")+(Inputs!$G$5:$G$160="acoes"))*Inputs!$B$1+((Inputs!$G$5:$G$160&lt;&gt;"moeda")*(Inputs!$G$5:$G$160&lt;&gt;"acoes")))*INDEX(Inputs!$K$5:$AJ$160,0,MATCH(L$2,Inputs!$K$4:$AJ$4,0)))))</f>
        <v>364.26789641</v>
      </c>
      <c r="M28" s="3">
        <f>L28</f>
        <v>364.26789641</v>
      </c>
      <c r="N28" s="6">
        <f>IF(ISNA(MATCH(N$2,Inputs!$K$4:$AJ$4,0)),NA(),IF(SUMPRODUCT((Inputs!$A$5:$A$160=$B28)*ISNUMBER(INDEX(Inputs!$K$5:$AJ$160,0,MATCH(N$2,Inputs!$K$4:$AJ$4,0))))+SUMPRODUCT((Inputs!$C$5:$C$160=$B28)*ISNUMBER(INDEX(Inputs!$K$5:$AJ$160,0,MATCH(N$2,Inputs!$K$4:$AJ$4,0))))+SUMPRODUCT((Inputs!$E$5:$E$160=$B28)*ISNUMBER(INDEX(Inputs!$K$5:$AJ$160,0,MATCH(N$2,Inputs!$K$4:$AJ$4,0))))=0,NA(),SUMPRODUCT((Inputs!$A$5:$A$160=$B28)*Inputs!$B$5:$B$160*(((Inputs!$G$5:$G$160="moeda")+(Inputs!$G$5:$G$160="acoes"))*Inputs!$B$1+((Inputs!$G$5:$G$160&lt;&gt;"moeda")*(Inputs!$G$5:$G$160&lt;&gt;"acoes")))*INDEX(Inputs!$K$5:$AJ$160,0,MATCH(N$2,Inputs!$K$4:$AJ$4,0)))+SUMPRODUCT((Inputs!$C$5:$C$160=$B28)*Inputs!$D$5:$D$160*(((Inputs!$G$5:$G$160="moeda")+(Inputs!$G$5:$G$160="acoes"))*Inputs!$B$1+((Inputs!$G$5:$G$160&lt;&gt;"moeda")*(Inputs!$G$5:$G$160&lt;&gt;"acoes")))*INDEX(Inputs!$K$5:$AJ$160,0,MATCH(N$2,Inputs!$K$4:$AJ$4,0)))+SUMPRODUCT((Inputs!$E$5:$E$160=$B28)*Inputs!$F$5:$F$160*(((Inputs!$G$5:$G$160="moeda")+(Inputs!$G$5:$G$160="acoes"))*Inputs!$B$1+((Inputs!$G$5:$G$160&lt;&gt;"moeda")*(Inputs!$G$5:$G$160&lt;&gt;"acoes")))*INDEX(Inputs!$K$5:$AJ$160,0,MATCH(N$2,Inputs!$K$4:$AJ$4,0)))))</f>
        <v>359.71789864</v>
      </c>
      <c r="O28" s="6">
        <f>IF(ISNA(MATCH(O$2,Inputs!$K$4:$AJ$4,0)),NA(),IF(SUMPRODUCT((Inputs!$A$5:$A$160=$B28)*ISNUMBER(INDEX(Inputs!$K$5:$AJ$160,0,MATCH(O$2,Inputs!$K$4:$AJ$4,0))))+SUMPRODUCT((Inputs!$C$5:$C$160=$B28)*ISNUMBER(INDEX(Inputs!$K$5:$AJ$160,0,MATCH(O$2,Inputs!$K$4:$AJ$4,0))))+SUMPRODUCT((Inputs!$E$5:$E$160=$B28)*ISNUMBER(INDEX(Inputs!$K$5:$AJ$160,0,MATCH(O$2,Inputs!$K$4:$AJ$4,0))))=0,NA(),SUMPRODUCT((Inputs!$A$5:$A$160=$B28)*Inputs!$B$5:$B$160*(((Inputs!$G$5:$G$160="moeda")+(Inputs!$G$5:$G$160="acoes"))*Inputs!$B$1+((Inputs!$G$5:$G$160&lt;&gt;"moeda")*(Inputs!$G$5:$G$160&lt;&gt;"acoes")))*INDEX(Inputs!$K$5:$AJ$160,0,MATCH(O$2,Inputs!$K$4:$AJ$4,0)))+SUMPRODUCT((Inputs!$C$5:$C$160=$B28)*Inputs!$D$5:$D$160*(((Inputs!$G$5:$G$160="moeda")+(Inputs!$G$5:$G$160="acoes"))*Inputs!$B$1+((Inputs!$G$5:$G$160&lt;&gt;"moeda")*(Inputs!$G$5:$G$160&lt;&gt;"acoes")))*INDEX(Inputs!$K$5:$AJ$160,0,MATCH(O$2,Inputs!$K$4:$AJ$4,0)))+SUMPRODUCT((Inputs!$E$5:$E$160=$B28)*Inputs!$F$5:$F$160*(((Inputs!$G$5:$G$160="moeda")+(Inputs!$G$5:$G$160="acoes"))*Inputs!$B$1+((Inputs!$G$5:$G$160&lt;&gt;"moeda")*(Inputs!$G$5:$G$160&lt;&gt;"acoes")))*INDEX(Inputs!$K$5:$AJ$160,0,MATCH(O$2,Inputs!$K$4:$AJ$4,0)))))</f>
        <v>591.27</v>
      </c>
      <c r="P28" s="6">
        <f>IF(ISNA(MATCH(P$2,Inputs!$K$4:$AJ$4,0)),NA(),IF(SUMPRODUCT((Inputs!$A$5:$A$160=$B28)*ISNUMBER(INDEX(Inputs!$K$5:$AJ$160,0,MATCH(P$2,Inputs!$K$4:$AJ$4,0))))+SUMPRODUCT((Inputs!$C$5:$C$160=$B28)*ISNUMBER(INDEX(Inputs!$K$5:$AJ$160,0,MATCH(P$2,Inputs!$K$4:$AJ$4,0))))+SUMPRODUCT((Inputs!$E$5:$E$160=$B28)*ISNUMBER(INDEX(Inputs!$K$5:$AJ$160,0,MATCH(P$2,Inputs!$K$4:$AJ$4,0))))=0,NA(),SUMPRODUCT((Inputs!$A$5:$A$160=$B28)*Inputs!$B$5:$B$160*(((Inputs!$G$5:$G$160="moeda")+(Inputs!$G$5:$G$160="acoes"))*Inputs!$B$1+((Inputs!$G$5:$G$160&lt;&gt;"moeda")*(Inputs!$G$5:$G$160&lt;&gt;"acoes")))*INDEX(Inputs!$K$5:$AJ$160,0,MATCH(P$2,Inputs!$K$4:$AJ$4,0)))+SUMPRODUCT((Inputs!$C$5:$C$160=$B28)*Inputs!$D$5:$D$160*(((Inputs!$G$5:$G$160="moeda")+(Inputs!$G$5:$G$160="acoes"))*Inputs!$B$1+((Inputs!$G$5:$G$160&lt;&gt;"moeda")*(Inputs!$G$5:$G$160&lt;&gt;"acoes")))*INDEX(Inputs!$K$5:$AJ$160,0,MATCH(P$2,Inputs!$K$4:$AJ$4,0)))+SUMPRODUCT((Inputs!$E$5:$E$160=$B28)*Inputs!$F$5:$F$160*(((Inputs!$G$5:$G$160="moeda")+(Inputs!$G$5:$G$160="acoes"))*Inputs!$B$1+((Inputs!$G$5:$G$160&lt;&gt;"moeda")*(Inputs!$G$5:$G$160&lt;&gt;"acoes")))*INDEX(Inputs!$K$5:$AJ$160,0,MATCH(P$2,Inputs!$K$4:$AJ$4,0)))))</f>
        <v>575.225</v>
      </c>
      <c r="Q28" s="6">
        <f>IF(ISNA(MATCH(Q$2,Inputs!$K$4:$AJ$4,0)),NA(),IF(SUMPRODUCT((Inputs!$A$5:$A$160=$B28)*ISNUMBER(INDEX(Inputs!$K$5:$AJ$160,0,MATCH(Q$2,Inputs!$K$4:$AJ$4,0))))+SUMPRODUCT((Inputs!$C$5:$C$160=$B28)*ISNUMBER(INDEX(Inputs!$K$5:$AJ$160,0,MATCH(Q$2,Inputs!$K$4:$AJ$4,0))))+SUMPRODUCT((Inputs!$E$5:$E$160=$B28)*ISNUMBER(INDEX(Inputs!$K$5:$AJ$160,0,MATCH(Q$2,Inputs!$K$4:$AJ$4,0))))=0,NA(),SUMPRODUCT((Inputs!$A$5:$A$160=$B28)*Inputs!$B$5:$B$160*(((Inputs!$G$5:$G$160="moeda")+(Inputs!$G$5:$G$160="acoes"))*Inputs!$B$1+((Inputs!$G$5:$G$160&lt;&gt;"moeda")*(Inputs!$G$5:$G$160&lt;&gt;"acoes")))*INDEX(Inputs!$K$5:$AJ$160,0,MATCH(Q$2,Inputs!$K$4:$AJ$4,0)))+SUMPRODUCT((Inputs!$C$5:$C$160=$B28)*Inputs!$D$5:$D$160*(((Inputs!$G$5:$G$160="moeda")+(Inputs!$G$5:$G$160="acoes"))*Inputs!$B$1+((Inputs!$G$5:$G$160&lt;&gt;"moeda")*(Inputs!$G$5:$G$160&lt;&gt;"acoes")))*INDEX(Inputs!$K$5:$AJ$160,0,MATCH(Q$2,Inputs!$K$4:$AJ$4,0)))+SUMPRODUCT((Inputs!$E$5:$E$160=$B28)*Inputs!$F$5:$F$160*(((Inputs!$G$5:$G$160="moeda")+(Inputs!$G$5:$G$160="acoes"))*Inputs!$B$1+((Inputs!$G$5:$G$160&lt;&gt;"moeda")*(Inputs!$G$5:$G$160&lt;&gt;"acoes")))*INDEX(Inputs!$K$5:$AJ$160,0,MATCH(Q$2,Inputs!$K$4:$AJ$4,0)))))</f>
        <v>620.413</v>
      </c>
      <c r="R28" s="3">
        <f>Q28</f>
        <v>620.413</v>
      </c>
      <c r="S28" s="6">
        <f>IF(ISNA(MATCH(S$2,Inputs!$K$4:$AJ$4,0)),NA(),IF(SUMPRODUCT((Inputs!$A$5:$A$160=$B28)*ISNUMBER(INDEX(Inputs!$K$5:$AJ$160,0,MATCH(S$2,Inputs!$K$4:$AJ$4,0))))+SUMPRODUCT((Inputs!$C$5:$C$160=$B28)*ISNUMBER(INDEX(Inputs!$K$5:$AJ$160,0,MATCH(S$2,Inputs!$K$4:$AJ$4,0))))+SUMPRODUCT((Inputs!$E$5:$E$160=$B28)*ISNUMBER(INDEX(Inputs!$K$5:$AJ$160,0,MATCH(S$2,Inputs!$K$4:$AJ$4,0))))=0,NA(),SUMPRODUCT((Inputs!$A$5:$A$160=$B28)*Inputs!$B$5:$B$160*(((Inputs!$G$5:$G$160="moeda")+(Inputs!$G$5:$G$160="acoes"))*Inputs!$B$1+((Inputs!$G$5:$G$160&lt;&gt;"moeda")*(Inputs!$G$5:$G$160&lt;&gt;"acoes")))*INDEX(Inputs!$K$5:$AJ$160,0,MATCH(S$2,Inputs!$K$4:$AJ$4,0)))+SUMPRODUCT((Inputs!$C$5:$C$160=$B28)*Inputs!$D$5:$D$160*(((Inputs!$G$5:$G$160="moeda")+(Inputs!$G$5:$G$160="acoes"))*Inputs!$B$1+((Inputs!$G$5:$G$160&lt;&gt;"moeda")*(Inputs!$G$5:$G$160&lt;&gt;"acoes")))*INDEX(Inputs!$K$5:$AJ$160,0,MATCH(S$2,Inputs!$K$4:$AJ$4,0)))+SUMPRODUCT((Inputs!$E$5:$E$160=$B28)*Inputs!$F$5:$F$160*(((Inputs!$G$5:$G$160="moeda")+(Inputs!$G$5:$G$160="acoes"))*Inputs!$B$1+((Inputs!$G$5:$G$160&lt;&gt;"moeda")*(Inputs!$G$5:$G$160&lt;&gt;"acoes")))*INDEX(Inputs!$K$5:$AJ$160,0,MATCH(S$2,Inputs!$K$4:$AJ$4,0)))))</f>
        <v>632.446</v>
      </c>
      <c r="T28" s="6">
        <f>IF(ISNA(MATCH(T$2,Inputs!$K$4:$AJ$4,0)),NA(),IF(SUMPRODUCT((Inputs!$A$5:$A$160=$B28)*ISNUMBER(INDEX(Inputs!$K$5:$AJ$160,0,MATCH(T$2,Inputs!$K$4:$AJ$4,0))))+SUMPRODUCT((Inputs!$C$5:$C$160=$B28)*ISNUMBER(INDEX(Inputs!$K$5:$AJ$160,0,MATCH(T$2,Inputs!$K$4:$AJ$4,0))))+SUMPRODUCT((Inputs!$E$5:$E$160=$B28)*ISNUMBER(INDEX(Inputs!$K$5:$AJ$160,0,MATCH(T$2,Inputs!$K$4:$AJ$4,0))))=0,NA(),SUMPRODUCT((Inputs!$A$5:$A$160=$B28)*Inputs!$B$5:$B$160*(((Inputs!$G$5:$G$160="moeda")+(Inputs!$G$5:$G$160="acoes"))*Inputs!$B$1+((Inputs!$G$5:$G$160&lt;&gt;"moeda")*(Inputs!$G$5:$G$160&lt;&gt;"acoes")))*INDEX(Inputs!$K$5:$AJ$160,0,MATCH(T$2,Inputs!$K$4:$AJ$4,0)))+SUMPRODUCT((Inputs!$C$5:$C$160=$B28)*Inputs!$D$5:$D$160*(((Inputs!$G$5:$G$160="moeda")+(Inputs!$G$5:$G$160="acoes"))*Inputs!$B$1+((Inputs!$G$5:$G$160&lt;&gt;"moeda")*(Inputs!$G$5:$G$160&lt;&gt;"acoes")))*INDEX(Inputs!$K$5:$AJ$160,0,MATCH(T$2,Inputs!$K$4:$AJ$4,0)))+SUMPRODUCT((Inputs!$E$5:$E$160=$B28)*Inputs!$F$5:$F$160*(((Inputs!$G$5:$G$160="moeda")+(Inputs!$G$5:$G$160="acoes"))*Inputs!$B$1+((Inputs!$G$5:$G$160&lt;&gt;"moeda")*(Inputs!$G$5:$G$160&lt;&gt;"acoes")))*INDEX(Inputs!$K$5:$AJ$160,0,MATCH(T$2,Inputs!$K$4:$AJ$4,0)))))</f>
        <v>676.475</v>
      </c>
      <c r="U28" s="6">
        <f>IF(ISNA(MATCH(U$2,Inputs!$K$4:$AJ$4,0)),NA(),IF(SUMPRODUCT((Inputs!$A$5:$A$160=$B28)*ISNUMBER(INDEX(Inputs!$K$5:$AJ$160,0,MATCH(U$2,Inputs!$K$4:$AJ$4,0))))+SUMPRODUCT((Inputs!$C$5:$C$160=$B28)*ISNUMBER(INDEX(Inputs!$K$5:$AJ$160,0,MATCH(U$2,Inputs!$K$4:$AJ$4,0))))+SUMPRODUCT((Inputs!$E$5:$E$160=$B28)*ISNUMBER(INDEX(Inputs!$K$5:$AJ$160,0,MATCH(U$2,Inputs!$K$4:$AJ$4,0))))=0,NA(),SUMPRODUCT((Inputs!$A$5:$A$160=$B28)*Inputs!$B$5:$B$160*(((Inputs!$G$5:$G$160="moeda")+(Inputs!$G$5:$G$160="acoes"))*Inputs!$B$1+((Inputs!$G$5:$G$160&lt;&gt;"moeda")*(Inputs!$G$5:$G$160&lt;&gt;"acoes")))*INDEX(Inputs!$K$5:$AJ$160,0,MATCH(U$2,Inputs!$K$4:$AJ$4,0)))+SUMPRODUCT((Inputs!$C$5:$C$160=$B28)*Inputs!$D$5:$D$160*(((Inputs!$G$5:$G$160="moeda")+(Inputs!$G$5:$G$160="acoes"))*Inputs!$B$1+((Inputs!$G$5:$G$160&lt;&gt;"moeda")*(Inputs!$G$5:$G$160&lt;&gt;"acoes")))*INDEX(Inputs!$K$5:$AJ$160,0,MATCH(U$2,Inputs!$K$4:$AJ$4,0)))+SUMPRODUCT((Inputs!$E$5:$E$160=$B28)*Inputs!$F$5:$F$160*(((Inputs!$G$5:$G$160="moeda")+(Inputs!$G$5:$G$160="acoes"))*Inputs!$B$1+((Inputs!$G$5:$G$160&lt;&gt;"moeda")*(Inputs!$G$5:$G$160&lt;&gt;"acoes")))*INDEX(Inputs!$K$5:$AJ$160,0,MATCH(U$2,Inputs!$K$4:$AJ$4,0)))))</f>
        <v>647.545</v>
      </c>
      <c r="V28" s="6">
        <f>IF(ISNA(MATCH(V$2,Inputs!$K$4:$AJ$4,0)),NA(),IF(SUMPRODUCT((Inputs!$A$5:$A$160=$B28)*ISNUMBER(INDEX(Inputs!$K$5:$AJ$160,0,MATCH(V$2,Inputs!$K$4:$AJ$4,0))))+SUMPRODUCT((Inputs!$C$5:$C$160=$B28)*ISNUMBER(INDEX(Inputs!$K$5:$AJ$160,0,MATCH(V$2,Inputs!$K$4:$AJ$4,0))))+SUMPRODUCT((Inputs!$E$5:$E$160=$B28)*ISNUMBER(INDEX(Inputs!$K$5:$AJ$160,0,MATCH(V$2,Inputs!$K$4:$AJ$4,0))))=0,NA(),SUMPRODUCT((Inputs!$A$5:$A$160=$B28)*Inputs!$B$5:$B$160*(((Inputs!$G$5:$G$160="moeda")+(Inputs!$G$5:$G$160="acoes"))*Inputs!$B$1+((Inputs!$G$5:$G$160&lt;&gt;"moeda")*(Inputs!$G$5:$G$160&lt;&gt;"acoes")))*INDEX(Inputs!$K$5:$AJ$160,0,MATCH(V$2,Inputs!$K$4:$AJ$4,0)))+SUMPRODUCT((Inputs!$C$5:$C$160=$B28)*Inputs!$D$5:$D$160*(((Inputs!$G$5:$G$160="moeda")+(Inputs!$G$5:$G$160="acoes"))*Inputs!$B$1+((Inputs!$G$5:$G$160&lt;&gt;"moeda")*(Inputs!$G$5:$G$160&lt;&gt;"acoes")))*INDEX(Inputs!$K$5:$AJ$160,0,MATCH(V$2,Inputs!$K$4:$AJ$4,0)))+SUMPRODUCT((Inputs!$E$5:$E$160=$B28)*Inputs!$F$5:$F$160*(((Inputs!$G$5:$G$160="moeda")+(Inputs!$G$5:$G$160="acoes"))*Inputs!$B$1+((Inputs!$G$5:$G$160&lt;&gt;"moeda")*(Inputs!$G$5:$G$160&lt;&gt;"acoes")))*INDEX(Inputs!$K$5:$AJ$160,0,MATCH(V$2,Inputs!$K$4:$AJ$4,0)))))</f>
        <v>704.009</v>
      </c>
      <c r="W28" s="3">
        <f>V28</f>
        <v>704.009</v>
      </c>
      <c r="X28" s="6">
        <f>IF(ISNA(MATCH(X$2,Inputs!$K$4:$AJ$4,0)),NA(),IF(SUMPRODUCT((Inputs!$A$5:$A$160=$B28)*ISNUMBER(INDEX(Inputs!$K$5:$AJ$160,0,MATCH(X$2,Inputs!$K$4:$AJ$4,0))))+SUMPRODUCT((Inputs!$C$5:$C$160=$B28)*ISNUMBER(INDEX(Inputs!$K$5:$AJ$160,0,MATCH(X$2,Inputs!$K$4:$AJ$4,0))))+SUMPRODUCT((Inputs!$E$5:$E$160=$B28)*ISNUMBER(INDEX(Inputs!$K$5:$AJ$160,0,MATCH(X$2,Inputs!$K$4:$AJ$4,0))))=0,NA(),SUMPRODUCT((Inputs!$A$5:$A$160=$B28)*Inputs!$B$5:$B$160*(((Inputs!$G$5:$G$160="moeda")+(Inputs!$G$5:$G$160="acoes"))*Inputs!$B$1+((Inputs!$G$5:$G$160&lt;&gt;"moeda")*(Inputs!$G$5:$G$160&lt;&gt;"acoes")))*INDEX(Inputs!$K$5:$AJ$160,0,MATCH(X$2,Inputs!$K$4:$AJ$4,0)))+SUMPRODUCT((Inputs!$C$5:$C$160=$B28)*Inputs!$D$5:$D$160*(((Inputs!$G$5:$G$160="moeda")+(Inputs!$G$5:$G$160="acoes"))*Inputs!$B$1+((Inputs!$G$5:$G$160&lt;&gt;"moeda")*(Inputs!$G$5:$G$160&lt;&gt;"acoes")))*INDEX(Inputs!$K$5:$AJ$160,0,MATCH(X$2,Inputs!$K$4:$AJ$4,0)))+SUMPRODUCT((Inputs!$E$5:$E$160=$B28)*Inputs!$F$5:$F$160*(((Inputs!$G$5:$G$160="moeda")+(Inputs!$G$5:$G$160="acoes"))*Inputs!$B$1+((Inputs!$G$5:$G$160&lt;&gt;"moeda")*(Inputs!$G$5:$G$160&lt;&gt;"acoes")))*INDEX(Inputs!$K$5:$AJ$160,0,MATCH(X$2,Inputs!$K$4:$AJ$4,0)))))</f>
        <v>674.716396</v>
      </c>
      <c r="Y28" s="6">
        <f>IF(ISNA(MATCH(Y$2,Inputs!$K$4:$AJ$4,0)),NA(),IF(SUMPRODUCT((Inputs!$A$5:$A$160=$B28)*ISNUMBER(INDEX(Inputs!$K$5:$AJ$160,0,MATCH(Y$2,Inputs!$K$4:$AJ$4,0))))+SUMPRODUCT((Inputs!$C$5:$C$160=$B28)*ISNUMBER(INDEX(Inputs!$K$5:$AJ$160,0,MATCH(Y$2,Inputs!$K$4:$AJ$4,0))))+SUMPRODUCT((Inputs!$E$5:$E$160=$B28)*ISNUMBER(INDEX(Inputs!$K$5:$AJ$160,0,MATCH(Y$2,Inputs!$K$4:$AJ$4,0))))=0,NA(),SUMPRODUCT((Inputs!$A$5:$A$160=$B28)*Inputs!$B$5:$B$160*(((Inputs!$G$5:$G$160="moeda")+(Inputs!$G$5:$G$160="acoes"))*Inputs!$B$1+((Inputs!$G$5:$G$160&lt;&gt;"moeda")*(Inputs!$G$5:$G$160&lt;&gt;"acoes")))*INDEX(Inputs!$K$5:$AJ$160,0,MATCH(Y$2,Inputs!$K$4:$AJ$4,0)))+SUMPRODUCT((Inputs!$C$5:$C$160=$B28)*Inputs!$D$5:$D$160*(((Inputs!$G$5:$G$160="moeda")+(Inputs!$G$5:$G$160="acoes"))*Inputs!$B$1+((Inputs!$G$5:$G$160&lt;&gt;"moeda")*(Inputs!$G$5:$G$160&lt;&gt;"acoes")))*INDEX(Inputs!$K$5:$AJ$160,0,MATCH(Y$2,Inputs!$K$4:$AJ$4,0)))+SUMPRODUCT((Inputs!$E$5:$E$160=$B28)*Inputs!$F$5:$F$160*(((Inputs!$G$5:$G$160="moeda")+(Inputs!$G$5:$G$160="acoes"))*Inputs!$B$1+((Inputs!$G$5:$G$160&lt;&gt;"moeda")*(Inputs!$G$5:$G$160&lt;&gt;"acoes")))*INDEX(Inputs!$K$5:$AJ$160,0,MATCH(Y$2,Inputs!$K$4:$AJ$4,0)))))</f>
        <v>652.937</v>
      </c>
      <c r="Z28" s="6">
        <f>IF(ISNA(MATCH(Z$2,Inputs!$K$4:$AJ$4,0)),NA(),IF(SUMPRODUCT((Inputs!$A$5:$A$160=$B28)*ISNUMBER(INDEX(Inputs!$K$5:$AJ$160,0,MATCH(Z$2,Inputs!$K$4:$AJ$4,0))))+SUMPRODUCT((Inputs!$C$5:$C$160=$B28)*ISNUMBER(INDEX(Inputs!$K$5:$AJ$160,0,MATCH(Z$2,Inputs!$K$4:$AJ$4,0))))+SUMPRODUCT((Inputs!$E$5:$E$160=$B28)*ISNUMBER(INDEX(Inputs!$K$5:$AJ$160,0,MATCH(Z$2,Inputs!$K$4:$AJ$4,0))))=0,NA(),SUMPRODUCT((Inputs!$A$5:$A$160=$B28)*Inputs!$B$5:$B$160*(((Inputs!$G$5:$G$160="moeda")+(Inputs!$G$5:$G$160="acoes"))*Inputs!$B$1+((Inputs!$G$5:$G$160&lt;&gt;"moeda")*(Inputs!$G$5:$G$160&lt;&gt;"acoes")))*INDEX(Inputs!$K$5:$AJ$160,0,MATCH(Z$2,Inputs!$K$4:$AJ$4,0)))+SUMPRODUCT((Inputs!$C$5:$C$160=$B28)*Inputs!$D$5:$D$160*(((Inputs!$G$5:$G$160="moeda")+(Inputs!$G$5:$G$160="acoes"))*Inputs!$B$1+((Inputs!$G$5:$G$160&lt;&gt;"moeda")*(Inputs!$G$5:$G$160&lt;&gt;"acoes")))*INDEX(Inputs!$K$5:$AJ$160,0,MATCH(Z$2,Inputs!$K$4:$AJ$4,0)))+SUMPRODUCT((Inputs!$E$5:$E$160=$B28)*Inputs!$F$5:$F$160*(((Inputs!$G$5:$G$160="moeda")+(Inputs!$G$5:$G$160="acoes"))*Inputs!$B$1+((Inputs!$G$5:$G$160&lt;&gt;"moeda")*(Inputs!$G$5:$G$160&lt;&gt;"acoes")))*INDEX(Inputs!$K$5:$AJ$160,0,MATCH(Z$2,Inputs!$K$4:$AJ$4,0)))))</f>
        <v>721.344</v>
      </c>
      <c r="AA28" s="6">
        <f>IF(ISNA(MATCH(AA$2,Inputs!$K$4:$AJ$4,0)),NA(),IF(SUMPRODUCT((Inputs!$A$5:$A$160=$B28)*ISNUMBER(INDEX(Inputs!$K$5:$AJ$160,0,MATCH(AA$2,Inputs!$K$4:$AJ$4,0))))+SUMPRODUCT((Inputs!$C$5:$C$160=$B28)*ISNUMBER(INDEX(Inputs!$K$5:$AJ$160,0,MATCH(AA$2,Inputs!$K$4:$AJ$4,0))))+SUMPRODUCT((Inputs!$E$5:$E$160=$B28)*ISNUMBER(INDEX(Inputs!$K$5:$AJ$160,0,MATCH(AA$2,Inputs!$K$4:$AJ$4,0))))=0,NA(),SUMPRODUCT((Inputs!$A$5:$A$160=$B28)*Inputs!$B$5:$B$160*(((Inputs!$G$5:$G$160="moeda")+(Inputs!$G$5:$G$160="acoes"))*Inputs!$B$1+((Inputs!$G$5:$G$160&lt;&gt;"moeda")*(Inputs!$G$5:$G$160&lt;&gt;"acoes")))*INDEX(Inputs!$K$5:$AJ$160,0,MATCH(AA$2,Inputs!$K$4:$AJ$4,0)))+SUMPRODUCT((Inputs!$C$5:$C$160=$B28)*Inputs!$D$5:$D$160*(((Inputs!$G$5:$G$160="moeda")+(Inputs!$G$5:$G$160="acoes"))*Inputs!$B$1+((Inputs!$G$5:$G$160&lt;&gt;"moeda")*(Inputs!$G$5:$G$160&lt;&gt;"acoes")))*INDEX(Inputs!$K$5:$AJ$160,0,MATCH(AA$2,Inputs!$K$4:$AJ$4,0)))+SUMPRODUCT((Inputs!$E$5:$E$160=$B28)*Inputs!$F$5:$F$160*(((Inputs!$G$5:$G$160="moeda")+(Inputs!$G$5:$G$160="acoes"))*Inputs!$B$1+((Inputs!$G$5:$G$160&lt;&gt;"moeda")*(Inputs!$G$5:$G$160&lt;&gt;"acoes")))*INDEX(Inputs!$K$5:$AJ$160,0,MATCH(AA$2,Inputs!$K$4:$AJ$4,0)))))</f>
        <v>800.133</v>
      </c>
      <c r="AB28" s="3">
        <f>AA28</f>
        <v>800.133</v>
      </c>
      <c r="AC28" s="6">
        <f>IF(ISNA(MATCH(AC$2,Inputs!$K$4:$AJ$4,0)),NA(),IF(SUMPRODUCT((Inputs!$A$5:$A$160=$B28)*ISNUMBER(INDEX(Inputs!$K$5:$AJ$160,0,MATCH(AC$2,Inputs!$K$4:$AJ$4,0))))+SUMPRODUCT((Inputs!$C$5:$C$160=$B28)*ISNUMBER(INDEX(Inputs!$K$5:$AJ$160,0,MATCH(AC$2,Inputs!$K$4:$AJ$4,0))))+SUMPRODUCT((Inputs!$E$5:$E$160=$B28)*ISNUMBER(INDEX(Inputs!$K$5:$AJ$160,0,MATCH(AC$2,Inputs!$K$4:$AJ$4,0))))=0,NA(),SUMPRODUCT((Inputs!$A$5:$A$160=$B28)*Inputs!$B$5:$B$160*(((Inputs!$G$5:$G$160="moeda")+(Inputs!$G$5:$G$160="acoes"))*Inputs!$B$1+((Inputs!$G$5:$G$160&lt;&gt;"moeda")*(Inputs!$G$5:$G$160&lt;&gt;"acoes")))*INDEX(Inputs!$K$5:$AJ$160,0,MATCH(AC$2,Inputs!$K$4:$AJ$4,0)))+SUMPRODUCT((Inputs!$C$5:$C$160=$B28)*Inputs!$D$5:$D$160*(((Inputs!$G$5:$G$160="moeda")+(Inputs!$G$5:$G$160="acoes"))*Inputs!$B$1+((Inputs!$G$5:$G$160&lt;&gt;"moeda")*(Inputs!$G$5:$G$160&lt;&gt;"acoes")))*INDEX(Inputs!$K$5:$AJ$160,0,MATCH(AC$2,Inputs!$K$4:$AJ$4,0)))+SUMPRODUCT((Inputs!$E$5:$E$160=$B28)*Inputs!$F$5:$F$160*(((Inputs!$G$5:$G$160="moeda")+(Inputs!$G$5:$G$160="acoes"))*Inputs!$B$1+((Inputs!$G$5:$G$160&lt;&gt;"moeda")*(Inputs!$G$5:$G$160&lt;&gt;"acoes")))*INDEX(Inputs!$K$5:$AJ$160,0,MATCH(AC$2,Inputs!$K$4:$AJ$4,0)))))</f>
        <v>733.299</v>
      </c>
      <c r="AD28" s="6">
        <f>IF(ISNA(MATCH(AD$2,Inputs!$K$4:$AJ$4,0)),NA(),IF(SUMPRODUCT((Inputs!$A$5:$A$160=$B28)*ISNUMBER(INDEX(Inputs!$K$5:$AJ$160,0,MATCH(AD$2,Inputs!$K$4:$AJ$4,0))))+SUMPRODUCT((Inputs!$C$5:$C$160=$B28)*ISNUMBER(INDEX(Inputs!$K$5:$AJ$160,0,MATCH(AD$2,Inputs!$K$4:$AJ$4,0))))+SUMPRODUCT((Inputs!$E$5:$E$160=$B28)*ISNUMBER(INDEX(Inputs!$K$5:$AJ$160,0,MATCH(AD$2,Inputs!$K$4:$AJ$4,0))))=0,NA(),SUMPRODUCT((Inputs!$A$5:$A$160=$B28)*Inputs!$B$5:$B$160*(((Inputs!$G$5:$G$160="moeda")+(Inputs!$G$5:$G$160="acoes"))*Inputs!$B$1+((Inputs!$G$5:$G$160&lt;&gt;"moeda")*(Inputs!$G$5:$G$160&lt;&gt;"acoes")))*INDEX(Inputs!$K$5:$AJ$160,0,MATCH(AD$2,Inputs!$K$4:$AJ$4,0)))+SUMPRODUCT((Inputs!$C$5:$C$160=$B28)*Inputs!$D$5:$D$160*(((Inputs!$G$5:$G$160="moeda")+(Inputs!$G$5:$G$160="acoes"))*Inputs!$B$1+((Inputs!$G$5:$G$160&lt;&gt;"moeda")*(Inputs!$G$5:$G$160&lt;&gt;"acoes")))*INDEX(Inputs!$K$5:$AJ$160,0,MATCH(AD$2,Inputs!$K$4:$AJ$4,0)))+SUMPRODUCT((Inputs!$E$5:$E$160=$B28)*Inputs!$F$5:$F$160*(((Inputs!$G$5:$G$160="moeda")+(Inputs!$G$5:$G$160="acoes"))*Inputs!$B$1+((Inputs!$G$5:$G$160&lt;&gt;"moeda")*(Inputs!$G$5:$G$160&lt;&gt;"acoes")))*INDEX(Inputs!$K$5:$AJ$160,0,MATCH(AD$2,Inputs!$K$4:$AJ$4,0)))))</f>
        <v>840.735</v>
      </c>
      <c r="AE28" s="6" t="e">
        <f>IF(ISNA(MATCH(AE$2,Inputs!$K$4:$AJ$4,0)),NA(),IF(SUMPRODUCT((Inputs!$A$5:$A$160=$B28)*ISNUMBER(INDEX(Inputs!$K$5:$AJ$160,0,MATCH(AE$2,Inputs!$K$4:$AJ$4,0))))+SUMPRODUCT((Inputs!$C$5:$C$160=$B28)*ISNUMBER(INDEX(Inputs!$K$5:$AJ$160,0,MATCH(AE$2,Inputs!$K$4:$AJ$4,0))))+SUMPRODUCT((Inputs!$E$5:$E$160=$B28)*ISNUMBER(INDEX(Inputs!$K$5:$AJ$160,0,MATCH(AE$2,Inputs!$K$4:$AJ$4,0))))=0,NA(),SUMPRODUCT((Inputs!$A$5:$A$160=$B28)*Inputs!$B$5:$B$160*(((Inputs!$G$5:$G$160="moeda")+(Inputs!$G$5:$G$160="acoes"))*Inputs!$B$1+((Inputs!$G$5:$G$160&lt;&gt;"moeda")*(Inputs!$G$5:$G$160&lt;&gt;"acoes")))*INDEX(Inputs!$K$5:$AJ$160,0,MATCH(AE$2,Inputs!$K$4:$AJ$4,0)))+SUMPRODUCT((Inputs!$C$5:$C$160=$B28)*Inputs!$D$5:$D$160*(((Inputs!$G$5:$G$160="moeda")+(Inputs!$G$5:$G$160="acoes"))*Inputs!$B$1+((Inputs!$G$5:$G$160&lt;&gt;"moeda")*(Inputs!$G$5:$G$160&lt;&gt;"acoes")))*INDEX(Inputs!$K$5:$AJ$160,0,MATCH(AE$2,Inputs!$K$4:$AJ$4,0)))+SUMPRODUCT((Inputs!$E$5:$E$160=$B28)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8" s="6" t="e">
        <f>IF(ISNA(MATCH(AF$2,Inputs!$K$4:$AJ$4,0)),NA(),IF(SUMPRODUCT((Inputs!$A$5:$A$160=$B28)*ISNUMBER(INDEX(Inputs!$K$5:$AJ$160,0,MATCH(AF$2,Inputs!$K$4:$AJ$4,0))))+SUMPRODUCT((Inputs!$C$5:$C$160=$B28)*ISNUMBER(INDEX(Inputs!$K$5:$AJ$160,0,MATCH(AF$2,Inputs!$K$4:$AJ$4,0))))+SUMPRODUCT((Inputs!$E$5:$E$160=$B28)*ISNUMBER(INDEX(Inputs!$K$5:$AJ$160,0,MATCH(AF$2,Inputs!$K$4:$AJ$4,0))))=0,NA(),SUMPRODUCT((Inputs!$A$5:$A$160=$B28)*Inputs!$B$5:$B$160*(((Inputs!$G$5:$G$160="moeda")+(Inputs!$G$5:$G$160="acoes"))*Inputs!$B$1+((Inputs!$G$5:$G$160&lt;&gt;"moeda")*(Inputs!$G$5:$G$160&lt;&gt;"acoes")))*INDEX(Inputs!$K$5:$AJ$160,0,MATCH(AF$2,Inputs!$K$4:$AJ$4,0)))+SUMPRODUCT((Inputs!$C$5:$C$160=$B28)*Inputs!$D$5:$D$160*(((Inputs!$G$5:$G$160="moeda")+(Inputs!$G$5:$G$160="acoes"))*Inputs!$B$1+((Inputs!$G$5:$G$160&lt;&gt;"moeda")*(Inputs!$G$5:$G$160&lt;&gt;"acoes")))*INDEX(Inputs!$K$5:$AJ$160,0,MATCH(AF$2,Inputs!$K$4:$AJ$4,0)))+SUMPRODUCT((Inputs!$E$5:$E$160=$B28)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8" s="3" t="e">
        <f>AF28</f>
        <v>#N/A</v>
      </c>
      <c r="AH28" s="6">
        <f>IF(ISNA(MATCH(AH$2,Inputs!$K$4:$AJ$4,0)),NA(),IF(SUMPRODUCT((Inputs!$A$5:$A$160=$B28)*ISNUMBER(INDEX(Inputs!$K$5:$AJ$160,0,MATCH(AH$2,Inputs!$K$4:$AJ$4,0))))+SUMPRODUCT((Inputs!$C$5:$C$160=$B28)*ISNUMBER(INDEX(Inputs!$K$5:$AJ$160,0,MATCH(AH$2,Inputs!$K$4:$AJ$4,0))))+SUMPRODUCT((Inputs!$E$5:$E$160=$B28)*ISNUMBER(INDEX(Inputs!$K$5:$AJ$160,0,MATCH(AH$2,Inputs!$K$4:$AJ$4,0))))=0,NA(),SUMPRODUCT((Inputs!$A$5:$A$160=$B28)*Inputs!$B$5:$B$160*(((Inputs!$G$5:$G$160="moeda")+(Inputs!$G$5:$G$160="acoes"))*Inputs!$B$1+((Inputs!$G$5:$G$160&lt;&gt;"moeda")*(Inputs!$G$5:$G$160&lt;&gt;"acoes")))*INDEX(Inputs!$K$5:$AJ$160,0,MATCH(AH$2,Inputs!$K$4:$AJ$4,0)))+SUMPRODUCT((Inputs!$C$5:$C$160=$B28)*Inputs!$D$5:$D$160*(((Inputs!$G$5:$G$160="moeda")+(Inputs!$G$5:$G$160="acoes"))*Inputs!$B$1+((Inputs!$G$5:$G$160&lt;&gt;"moeda")*(Inputs!$G$5:$G$160&lt;&gt;"acoes")))*INDEX(Inputs!$K$5:$AJ$160,0,MATCH(AH$2,Inputs!$K$4:$AJ$4,0)))+SUMPRODUCT((Inputs!$E$5:$E$160=$B28)*Inputs!$F$5:$F$160*(((Inputs!$G$5:$G$160="moeda")+(Inputs!$G$5:$G$160="acoes"))*Inputs!$B$1+((Inputs!$G$5:$G$160&lt;&gt;"moeda")*(Inputs!$G$5:$G$160&lt;&gt;"acoes")))*INDEX(Inputs!$K$5:$AJ$160,0,MATCH(AH$2,Inputs!$K$4:$AJ$4,0)))))</f>
        <v>178.57823267</v>
      </c>
      <c r="AI28" s="6">
        <f>IF(ISNA(MATCH(AI$2,Inputs!$K$4:$AJ$4,0)),NA(),IF(SUMPRODUCT((Inputs!$A$5:$A$160=$B28)*ISNUMBER(INDEX(Inputs!$K$5:$AJ$160,0,MATCH(AI$2,Inputs!$K$4:$AJ$4,0))))+SUMPRODUCT((Inputs!$C$5:$C$160=$B28)*ISNUMBER(INDEX(Inputs!$K$5:$AJ$160,0,MATCH(AI$2,Inputs!$K$4:$AJ$4,0))))+SUMPRODUCT((Inputs!$E$5:$E$160=$B28)*ISNUMBER(INDEX(Inputs!$K$5:$AJ$160,0,MATCH(AI$2,Inputs!$K$4:$AJ$4,0))))=0,NA(),SUMPRODUCT((Inputs!$A$5:$A$160=$B28)*Inputs!$B$5:$B$160*(((Inputs!$G$5:$G$160="moeda")+(Inputs!$G$5:$G$160="acoes"))*Inputs!$B$1+((Inputs!$G$5:$G$160&lt;&gt;"moeda")*(Inputs!$G$5:$G$160&lt;&gt;"acoes")))*INDEX(Inputs!$K$5:$AJ$160,0,MATCH(AI$2,Inputs!$K$4:$AJ$4,0)))+SUMPRODUCT((Inputs!$C$5:$C$160=$B28)*Inputs!$D$5:$D$160*(((Inputs!$G$5:$G$160="moeda")+(Inputs!$G$5:$G$160="acoes"))*Inputs!$B$1+((Inputs!$G$5:$G$160&lt;&gt;"moeda")*(Inputs!$G$5:$G$160&lt;&gt;"acoes")))*INDEX(Inputs!$K$5:$AJ$160,0,MATCH(AI$2,Inputs!$K$4:$AJ$4,0)))+SUMPRODUCT((Inputs!$E$5:$E$160=$B28)*Inputs!$F$5:$F$160*(((Inputs!$G$5:$G$160="moeda")+(Inputs!$G$5:$G$160="acoes"))*Inputs!$B$1+((Inputs!$G$5:$G$160&lt;&gt;"moeda")*(Inputs!$G$5:$G$160&lt;&gt;"acoes")))*INDEX(Inputs!$K$5:$AJ$160,0,MATCH(AI$2,Inputs!$K$4:$AJ$4,0)))))</f>
        <v>162.59514476</v>
      </c>
      <c r="AJ28" s="6">
        <f>IF(ISNA(MATCH(AJ$2,Inputs!$K$4:$AJ$4,0)),NA(),IF(SUMPRODUCT((Inputs!$A$5:$A$160=$B28)*ISNUMBER(INDEX(Inputs!$K$5:$AJ$160,0,MATCH(AJ$2,Inputs!$K$4:$AJ$4,0))))+SUMPRODUCT((Inputs!$C$5:$C$160=$B28)*ISNUMBER(INDEX(Inputs!$K$5:$AJ$160,0,MATCH(AJ$2,Inputs!$K$4:$AJ$4,0))))+SUMPRODUCT((Inputs!$E$5:$E$160=$B28)*ISNUMBER(INDEX(Inputs!$K$5:$AJ$160,0,MATCH(AJ$2,Inputs!$K$4:$AJ$4,0))))=0,NA(),SUMPRODUCT((Inputs!$A$5:$A$160=$B28)*Inputs!$B$5:$B$160*(((Inputs!$G$5:$G$160="moeda")+(Inputs!$G$5:$G$160="acoes"))*Inputs!$B$1+((Inputs!$G$5:$G$160&lt;&gt;"moeda")*(Inputs!$G$5:$G$160&lt;&gt;"acoes")))*INDEX(Inputs!$K$5:$AJ$160,0,MATCH(AJ$2,Inputs!$K$4:$AJ$4,0)))+SUMPRODUCT((Inputs!$C$5:$C$160=$B28)*Inputs!$D$5:$D$160*(((Inputs!$G$5:$G$160="moeda")+(Inputs!$G$5:$G$160="acoes"))*Inputs!$B$1+((Inputs!$G$5:$G$160&lt;&gt;"moeda")*(Inputs!$G$5:$G$160&lt;&gt;"acoes")))*INDEX(Inputs!$K$5:$AJ$160,0,MATCH(AJ$2,Inputs!$K$4:$AJ$4,0)))+SUMPRODUCT((Inputs!$E$5:$E$160=$B28)*Inputs!$F$5:$F$160*(((Inputs!$G$5:$G$160="moeda")+(Inputs!$G$5:$G$160="acoes"))*Inputs!$B$1+((Inputs!$G$5:$G$160&lt;&gt;"moeda")*(Inputs!$G$5:$G$160&lt;&gt;"acoes")))*INDEX(Inputs!$K$5:$AJ$160,0,MATCH(AJ$2,Inputs!$K$4:$AJ$4,0)))))</f>
        <v>196.96674689</v>
      </c>
      <c r="AK28" s="6">
        <f>IF(ISNA(MATCH(AK$2,Inputs!$K$4:$AJ$4,0)),NA(),IF(SUMPRODUCT((Inputs!$A$5:$A$160=$B28)*ISNUMBER(INDEX(Inputs!$K$5:$AJ$160,0,MATCH(AK$2,Inputs!$K$4:$AJ$4,0))))+SUMPRODUCT((Inputs!$C$5:$C$160=$B28)*ISNUMBER(INDEX(Inputs!$K$5:$AJ$160,0,MATCH(AK$2,Inputs!$K$4:$AJ$4,0))))+SUMPRODUCT((Inputs!$E$5:$E$160=$B28)*ISNUMBER(INDEX(Inputs!$K$5:$AJ$160,0,MATCH(AK$2,Inputs!$K$4:$AJ$4,0))))=0,NA(),SUMPRODUCT((Inputs!$A$5:$A$160=$B28)*Inputs!$B$5:$B$160*(((Inputs!$G$5:$G$160="moeda")+(Inputs!$G$5:$G$160="acoes"))*Inputs!$B$1+((Inputs!$G$5:$G$160&lt;&gt;"moeda")*(Inputs!$G$5:$G$160&lt;&gt;"acoes")))*INDEX(Inputs!$K$5:$AJ$160,0,MATCH(AK$2,Inputs!$K$4:$AJ$4,0)))+SUMPRODUCT((Inputs!$C$5:$C$160=$B28)*Inputs!$D$5:$D$160*(((Inputs!$G$5:$G$160="moeda")+(Inputs!$G$5:$G$160="acoes"))*Inputs!$B$1+((Inputs!$G$5:$G$160&lt;&gt;"moeda")*(Inputs!$G$5:$G$160&lt;&gt;"acoes")))*INDEX(Inputs!$K$5:$AJ$160,0,MATCH(AK$2,Inputs!$K$4:$AJ$4,0)))+SUMPRODUCT((Inputs!$E$5:$E$160=$B28)*Inputs!$F$5:$F$160*(((Inputs!$G$5:$G$160="moeda")+(Inputs!$G$5:$G$160="acoes"))*Inputs!$B$1+((Inputs!$G$5:$G$160&lt;&gt;"moeda")*(Inputs!$G$5:$G$160&lt;&gt;"acoes")))*INDEX(Inputs!$K$5:$AJ$160,0,MATCH(AK$2,Inputs!$K$4:$AJ$4,0)))))</f>
        <v>250.45905831</v>
      </c>
      <c r="AL28" s="3">
        <f>AK28</f>
        <v>250.45905831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$160=$B29)*ISNUMBER(INDEX(Inputs!$K$5:$AJ$160,0,MATCH(D$2,Inputs!$K$4:$AJ$4,0))))+SUMPRODUCT((Inputs!$C$5:$C$160=$B29)*ISNUMBER(INDEX(Inputs!$K$5:$AJ$160,0,MATCH(D$2,Inputs!$K$4:$AJ$4,0))))+SUMPRODUCT((Inputs!$E$5:$E$160=$B29)*ISNUMBER(INDEX(Inputs!$K$5:$AJ$160,0,MATCH(D$2,Inputs!$K$4:$AJ$4,0))))=0,NA(),SUMPRODUCT((Inputs!$A$5:$A$160=$B29)*Inputs!$B$5:$B$160*(((Inputs!$G$5:$G$160="moeda")+(Inputs!$G$5:$G$160="acoes"))*Inputs!$B$1+((Inputs!$G$5:$G$160&lt;&gt;"moeda")*(Inputs!$G$5:$G$160&lt;&gt;"acoes")))*INDEX(Inputs!$K$5:$AJ$160,0,MATCH(D$2,Inputs!$K$4:$AJ$4,0)))+SUMPRODUCT((Inputs!$C$5:$C$160=$B29)*Inputs!$D$5:$D$160*(((Inputs!$G$5:$G$160="moeda")+(Inputs!$G$5:$G$160="acoes"))*Inputs!$B$1+((Inputs!$G$5:$G$160&lt;&gt;"moeda")*(Inputs!$G$5:$G$160&lt;&gt;"acoes")))*INDEX(Inputs!$K$5:$AJ$160,0,MATCH(D$2,Inputs!$K$4:$AJ$4,0)))+SUMPRODUCT((Inputs!$E$5:$E$160=$B29)*Inputs!$F$5:$F$160*(((Inputs!$G$5:$G$160="moeda")+(Inputs!$G$5:$G$160="acoes"))*Inputs!$B$1+((Inputs!$G$5:$G$160&lt;&gt;"moeda")*(Inputs!$G$5:$G$160&lt;&gt;"acoes")))*INDEX(Inputs!$K$5:$AJ$160,0,MATCH(D$2,Inputs!$K$4:$AJ$4,0)))))</f>
        <v>129.77137318</v>
      </c>
      <c r="E29" s="6">
        <f>IF(ISNA(MATCH(E$2,Inputs!$K$4:$AJ$4,0)),NA(),IF(SUMPRODUCT((Inputs!$A$5:$A$160=$B29)*ISNUMBER(INDEX(Inputs!$K$5:$AJ$160,0,MATCH(E$2,Inputs!$K$4:$AJ$4,0))))+SUMPRODUCT((Inputs!$C$5:$C$160=$B29)*ISNUMBER(INDEX(Inputs!$K$5:$AJ$160,0,MATCH(E$2,Inputs!$K$4:$AJ$4,0))))+SUMPRODUCT((Inputs!$E$5:$E$160=$B29)*ISNUMBER(INDEX(Inputs!$K$5:$AJ$160,0,MATCH(E$2,Inputs!$K$4:$AJ$4,0))))=0,NA(),SUMPRODUCT((Inputs!$A$5:$A$160=$B29)*Inputs!$B$5:$B$160*(((Inputs!$G$5:$G$160="moeda")+(Inputs!$G$5:$G$160="acoes"))*Inputs!$B$1+((Inputs!$G$5:$G$160&lt;&gt;"moeda")*(Inputs!$G$5:$G$160&lt;&gt;"acoes")))*INDEX(Inputs!$K$5:$AJ$160,0,MATCH(E$2,Inputs!$K$4:$AJ$4,0)))+SUMPRODUCT((Inputs!$C$5:$C$160=$B29)*Inputs!$D$5:$D$160*(((Inputs!$G$5:$G$160="moeda")+(Inputs!$G$5:$G$160="acoes"))*Inputs!$B$1+((Inputs!$G$5:$G$160&lt;&gt;"moeda")*(Inputs!$G$5:$G$160&lt;&gt;"acoes")))*INDEX(Inputs!$K$5:$AJ$160,0,MATCH(E$2,Inputs!$K$4:$AJ$4,0)))+SUMPRODUCT((Inputs!$E$5:$E$160=$B29)*Inputs!$F$5:$F$160*(((Inputs!$G$5:$G$160="moeda")+(Inputs!$G$5:$G$160="acoes"))*Inputs!$B$1+((Inputs!$G$5:$G$160&lt;&gt;"moeda")*(Inputs!$G$5:$G$160&lt;&gt;"acoes")))*INDEX(Inputs!$K$5:$AJ$160,0,MATCH(E$2,Inputs!$K$4:$AJ$4,0)))))</f>
        <v>179.05014977</v>
      </c>
      <c r="F29" s="6">
        <f>IF(ISNA(MATCH(F$2,Inputs!$K$4:$AJ$4,0)),NA(),IF(SUMPRODUCT((Inputs!$A$5:$A$160=$B29)*ISNUMBER(INDEX(Inputs!$K$5:$AJ$160,0,MATCH(F$2,Inputs!$K$4:$AJ$4,0))))+SUMPRODUCT((Inputs!$C$5:$C$160=$B29)*ISNUMBER(INDEX(Inputs!$K$5:$AJ$160,0,MATCH(F$2,Inputs!$K$4:$AJ$4,0))))+SUMPRODUCT((Inputs!$E$5:$E$160=$B29)*ISNUMBER(INDEX(Inputs!$K$5:$AJ$160,0,MATCH(F$2,Inputs!$K$4:$AJ$4,0))))=0,NA(),SUMPRODUCT((Inputs!$A$5:$A$160=$B29)*Inputs!$B$5:$B$160*(((Inputs!$G$5:$G$160="moeda")+(Inputs!$G$5:$G$160="acoes"))*Inputs!$B$1+((Inputs!$G$5:$G$160&lt;&gt;"moeda")*(Inputs!$G$5:$G$160&lt;&gt;"acoes")))*INDEX(Inputs!$K$5:$AJ$160,0,MATCH(F$2,Inputs!$K$4:$AJ$4,0)))+SUMPRODUCT((Inputs!$C$5:$C$160=$B29)*Inputs!$D$5:$D$160*(((Inputs!$G$5:$G$160="moeda")+(Inputs!$G$5:$G$160="acoes"))*Inputs!$B$1+((Inputs!$G$5:$G$160&lt;&gt;"moeda")*(Inputs!$G$5:$G$160&lt;&gt;"acoes")))*INDEX(Inputs!$K$5:$AJ$160,0,MATCH(F$2,Inputs!$K$4:$AJ$4,0)))+SUMPRODUCT((Inputs!$E$5:$E$160=$B29)*Inputs!$F$5:$F$160*(((Inputs!$G$5:$G$160="moeda")+(Inputs!$G$5:$G$160="acoes"))*Inputs!$B$1+((Inputs!$G$5:$G$160&lt;&gt;"moeda")*(Inputs!$G$5:$G$160&lt;&gt;"acoes")))*INDEX(Inputs!$K$5:$AJ$160,0,MATCH(F$2,Inputs!$K$4:$AJ$4,0)))))</f>
        <v>218.24255644</v>
      </c>
      <c r="G29" s="6">
        <f>IF(ISNA(MATCH(G$2,Inputs!$K$4:$AJ$4,0)),NA(),IF(SUMPRODUCT((Inputs!$A$5:$A$160=$B29)*ISNUMBER(INDEX(Inputs!$K$5:$AJ$160,0,MATCH(G$2,Inputs!$K$4:$AJ$4,0))))+SUMPRODUCT((Inputs!$C$5:$C$160=$B29)*ISNUMBER(INDEX(Inputs!$K$5:$AJ$160,0,MATCH(G$2,Inputs!$K$4:$AJ$4,0))))+SUMPRODUCT((Inputs!$E$5:$E$160=$B29)*ISNUMBER(INDEX(Inputs!$K$5:$AJ$160,0,MATCH(G$2,Inputs!$K$4:$AJ$4,0))))=0,NA(),SUMPRODUCT((Inputs!$A$5:$A$160=$B29)*Inputs!$B$5:$B$160*(((Inputs!$G$5:$G$160="moeda")+(Inputs!$G$5:$G$160="acoes"))*Inputs!$B$1+((Inputs!$G$5:$G$160&lt;&gt;"moeda")*(Inputs!$G$5:$G$160&lt;&gt;"acoes")))*INDEX(Inputs!$K$5:$AJ$160,0,MATCH(G$2,Inputs!$K$4:$AJ$4,0)))+SUMPRODUCT((Inputs!$C$5:$C$160=$B29)*Inputs!$D$5:$D$160*(((Inputs!$G$5:$G$160="moeda")+(Inputs!$G$5:$G$160="acoes"))*Inputs!$B$1+((Inputs!$G$5:$G$160&lt;&gt;"moeda")*(Inputs!$G$5:$G$160&lt;&gt;"acoes")))*INDEX(Inputs!$K$5:$AJ$160,0,MATCH(G$2,Inputs!$K$4:$AJ$4,0)))+SUMPRODUCT((Inputs!$E$5:$E$160=$B29)*Inputs!$F$5:$F$160*(((Inputs!$G$5:$G$160="moeda")+(Inputs!$G$5:$G$160="acoes"))*Inputs!$B$1+((Inputs!$G$5:$G$160&lt;&gt;"moeda")*(Inputs!$G$5:$G$160&lt;&gt;"acoes")))*INDEX(Inputs!$K$5:$AJ$160,0,MATCH(G$2,Inputs!$K$4:$AJ$4,0)))))</f>
        <v>202.16819922</v>
      </c>
      <c r="H29" s="3">
        <f>G29</f>
        <v>202.16819922</v>
      </c>
      <c r="I29" s="6">
        <f>IF(ISNA(MATCH(I$2,Inputs!$K$4:$AJ$4,0)),NA(),IF(SUMPRODUCT((Inputs!$A$5:$A$160=$B29)*ISNUMBER(INDEX(Inputs!$K$5:$AJ$160,0,MATCH(I$2,Inputs!$K$4:$AJ$4,0))))+SUMPRODUCT((Inputs!$C$5:$C$160=$B29)*ISNUMBER(INDEX(Inputs!$K$5:$AJ$160,0,MATCH(I$2,Inputs!$K$4:$AJ$4,0))))+SUMPRODUCT((Inputs!$E$5:$E$160=$B29)*ISNUMBER(INDEX(Inputs!$K$5:$AJ$160,0,MATCH(I$2,Inputs!$K$4:$AJ$4,0))))=0,NA(),SUMPRODUCT((Inputs!$A$5:$A$160=$B29)*Inputs!$B$5:$B$160*(((Inputs!$G$5:$G$160="moeda")+(Inputs!$G$5:$G$160="acoes"))*Inputs!$B$1+((Inputs!$G$5:$G$160&lt;&gt;"moeda")*(Inputs!$G$5:$G$160&lt;&gt;"acoes")))*INDEX(Inputs!$K$5:$AJ$160,0,MATCH(I$2,Inputs!$K$4:$AJ$4,0)))+SUMPRODUCT((Inputs!$C$5:$C$160=$B29)*Inputs!$D$5:$D$160*(((Inputs!$G$5:$G$160="moeda")+(Inputs!$G$5:$G$160="acoes"))*Inputs!$B$1+((Inputs!$G$5:$G$160&lt;&gt;"moeda")*(Inputs!$G$5:$G$160&lt;&gt;"acoes")))*INDEX(Inputs!$K$5:$AJ$160,0,MATCH(I$2,Inputs!$K$4:$AJ$4,0)))+SUMPRODUCT((Inputs!$E$5:$E$160=$B29)*Inputs!$F$5:$F$160*(((Inputs!$G$5:$G$160="moeda")+(Inputs!$G$5:$G$160="acoes"))*Inputs!$B$1+((Inputs!$G$5:$G$160&lt;&gt;"moeda")*(Inputs!$G$5:$G$160&lt;&gt;"acoes")))*INDEX(Inputs!$K$5:$AJ$160,0,MATCH(I$2,Inputs!$K$4:$AJ$4,0)))))</f>
        <v>172.71857732</v>
      </c>
      <c r="J29" s="6">
        <f>IF(ISNA(MATCH(J$2,Inputs!$K$4:$AJ$4,0)),NA(),IF(SUMPRODUCT((Inputs!$A$5:$A$160=$B29)*ISNUMBER(INDEX(Inputs!$K$5:$AJ$160,0,MATCH(J$2,Inputs!$K$4:$AJ$4,0))))+SUMPRODUCT((Inputs!$C$5:$C$160=$B29)*ISNUMBER(INDEX(Inputs!$K$5:$AJ$160,0,MATCH(J$2,Inputs!$K$4:$AJ$4,0))))+SUMPRODUCT((Inputs!$E$5:$E$160=$B29)*ISNUMBER(INDEX(Inputs!$K$5:$AJ$160,0,MATCH(J$2,Inputs!$K$4:$AJ$4,0))))=0,NA(),SUMPRODUCT((Inputs!$A$5:$A$160=$B29)*Inputs!$B$5:$B$160*(((Inputs!$G$5:$G$160="moeda")+(Inputs!$G$5:$G$160="acoes"))*Inputs!$B$1+((Inputs!$G$5:$G$160&lt;&gt;"moeda")*(Inputs!$G$5:$G$160&lt;&gt;"acoes")))*INDEX(Inputs!$K$5:$AJ$160,0,MATCH(J$2,Inputs!$K$4:$AJ$4,0)))+SUMPRODUCT((Inputs!$C$5:$C$160=$B29)*Inputs!$D$5:$D$160*(((Inputs!$G$5:$G$160="moeda")+(Inputs!$G$5:$G$160="acoes"))*Inputs!$B$1+((Inputs!$G$5:$G$160&lt;&gt;"moeda")*(Inputs!$G$5:$G$160&lt;&gt;"acoes")))*INDEX(Inputs!$K$5:$AJ$160,0,MATCH(J$2,Inputs!$K$4:$AJ$4,0)))+SUMPRODUCT((Inputs!$E$5:$E$160=$B29)*Inputs!$F$5:$F$160*(((Inputs!$G$5:$G$160="moeda")+(Inputs!$G$5:$G$160="acoes"))*Inputs!$B$1+((Inputs!$G$5:$G$160&lt;&gt;"moeda")*(Inputs!$G$5:$G$160&lt;&gt;"acoes")))*INDEX(Inputs!$K$5:$AJ$160,0,MATCH(J$2,Inputs!$K$4:$AJ$4,0)))))</f>
        <v>210.8868834</v>
      </c>
      <c r="K29" s="6">
        <f>IF(ISNA(MATCH(K$2,Inputs!$K$4:$AJ$4,0)),NA(),IF(SUMPRODUCT((Inputs!$A$5:$A$160=$B29)*ISNUMBER(INDEX(Inputs!$K$5:$AJ$160,0,MATCH(K$2,Inputs!$K$4:$AJ$4,0))))+SUMPRODUCT((Inputs!$C$5:$C$160=$B29)*ISNUMBER(INDEX(Inputs!$K$5:$AJ$160,0,MATCH(K$2,Inputs!$K$4:$AJ$4,0))))+SUMPRODUCT((Inputs!$E$5:$E$160=$B29)*ISNUMBER(INDEX(Inputs!$K$5:$AJ$160,0,MATCH(K$2,Inputs!$K$4:$AJ$4,0))))=0,NA(),SUMPRODUCT((Inputs!$A$5:$A$160=$B29)*Inputs!$B$5:$B$160*(((Inputs!$G$5:$G$160="moeda")+(Inputs!$G$5:$G$160="acoes"))*Inputs!$B$1+((Inputs!$G$5:$G$160&lt;&gt;"moeda")*(Inputs!$G$5:$G$160&lt;&gt;"acoes")))*INDEX(Inputs!$K$5:$AJ$160,0,MATCH(K$2,Inputs!$K$4:$AJ$4,0)))+SUMPRODUCT((Inputs!$C$5:$C$160=$B29)*Inputs!$D$5:$D$160*(((Inputs!$G$5:$G$160="moeda")+(Inputs!$G$5:$G$160="acoes"))*Inputs!$B$1+((Inputs!$G$5:$G$160&lt;&gt;"moeda")*(Inputs!$G$5:$G$160&lt;&gt;"acoes")))*INDEX(Inputs!$K$5:$AJ$160,0,MATCH(K$2,Inputs!$K$4:$AJ$4,0)))+SUMPRODUCT((Inputs!$E$5:$E$160=$B29)*Inputs!$F$5:$F$160*(((Inputs!$G$5:$G$160="moeda")+(Inputs!$G$5:$G$160="acoes"))*Inputs!$B$1+((Inputs!$G$5:$G$160&lt;&gt;"moeda")*(Inputs!$G$5:$G$160&lt;&gt;"acoes")))*INDEX(Inputs!$K$5:$AJ$160,0,MATCH(K$2,Inputs!$K$4:$AJ$4,0)))))</f>
        <v>241.1555246</v>
      </c>
      <c r="L29" s="6">
        <f>IF(ISNA(MATCH(L$2,Inputs!$K$4:$AJ$4,0)),NA(),IF(SUMPRODUCT((Inputs!$A$5:$A$160=$B29)*ISNUMBER(INDEX(Inputs!$K$5:$AJ$160,0,MATCH(L$2,Inputs!$K$4:$AJ$4,0))))+SUMPRODUCT((Inputs!$C$5:$C$160=$B29)*ISNUMBER(INDEX(Inputs!$K$5:$AJ$160,0,MATCH(L$2,Inputs!$K$4:$AJ$4,0))))+SUMPRODUCT((Inputs!$E$5:$E$160=$B29)*ISNUMBER(INDEX(Inputs!$K$5:$AJ$160,0,MATCH(L$2,Inputs!$K$4:$AJ$4,0))))=0,NA(),SUMPRODUCT((Inputs!$A$5:$A$160=$B29)*Inputs!$B$5:$B$160*(((Inputs!$G$5:$G$160="moeda")+(Inputs!$G$5:$G$160="acoes"))*Inputs!$B$1+((Inputs!$G$5:$G$160&lt;&gt;"moeda")*(Inputs!$G$5:$G$160&lt;&gt;"acoes")))*INDEX(Inputs!$K$5:$AJ$160,0,MATCH(L$2,Inputs!$K$4:$AJ$4,0)))+SUMPRODUCT((Inputs!$C$5:$C$160=$B29)*Inputs!$D$5:$D$160*(((Inputs!$G$5:$G$160="moeda")+(Inputs!$G$5:$G$160="acoes"))*Inputs!$B$1+((Inputs!$G$5:$G$160&lt;&gt;"moeda")*(Inputs!$G$5:$G$160&lt;&gt;"acoes")))*INDEX(Inputs!$K$5:$AJ$160,0,MATCH(L$2,Inputs!$K$4:$AJ$4,0)))+SUMPRODUCT((Inputs!$E$5:$E$160=$B29)*Inputs!$F$5:$F$160*(((Inputs!$G$5:$G$160="moeda")+(Inputs!$G$5:$G$160="acoes"))*Inputs!$B$1+((Inputs!$G$5:$G$160&lt;&gt;"moeda")*(Inputs!$G$5:$G$160&lt;&gt;"acoes")))*INDEX(Inputs!$K$5:$AJ$160,0,MATCH(L$2,Inputs!$K$4:$AJ$4,0)))))</f>
        <v>227.60029686</v>
      </c>
      <c r="M29" s="3">
        <f>L29</f>
        <v>227.60029686</v>
      </c>
      <c r="N29" s="6">
        <f>IF(ISNA(MATCH(N$2,Inputs!$K$4:$AJ$4,0)),NA(),IF(SUMPRODUCT((Inputs!$A$5:$A$160=$B29)*ISNUMBER(INDEX(Inputs!$K$5:$AJ$160,0,MATCH(N$2,Inputs!$K$4:$AJ$4,0))))+SUMPRODUCT((Inputs!$C$5:$C$160=$B29)*ISNUMBER(INDEX(Inputs!$K$5:$AJ$160,0,MATCH(N$2,Inputs!$K$4:$AJ$4,0))))+SUMPRODUCT((Inputs!$E$5:$E$160=$B29)*ISNUMBER(INDEX(Inputs!$K$5:$AJ$160,0,MATCH(N$2,Inputs!$K$4:$AJ$4,0))))=0,NA(),SUMPRODUCT((Inputs!$A$5:$A$160=$B29)*Inputs!$B$5:$B$160*(((Inputs!$G$5:$G$160="moeda")+(Inputs!$G$5:$G$160="acoes"))*Inputs!$B$1+((Inputs!$G$5:$G$160&lt;&gt;"moeda")*(Inputs!$G$5:$G$160&lt;&gt;"acoes")))*INDEX(Inputs!$K$5:$AJ$160,0,MATCH(N$2,Inputs!$K$4:$AJ$4,0)))+SUMPRODUCT((Inputs!$C$5:$C$160=$B29)*Inputs!$D$5:$D$160*(((Inputs!$G$5:$G$160="moeda")+(Inputs!$G$5:$G$160="acoes"))*Inputs!$B$1+((Inputs!$G$5:$G$160&lt;&gt;"moeda")*(Inputs!$G$5:$G$160&lt;&gt;"acoes")))*INDEX(Inputs!$K$5:$AJ$160,0,MATCH(N$2,Inputs!$K$4:$AJ$4,0)))+SUMPRODUCT((Inputs!$E$5:$E$160=$B29)*Inputs!$F$5:$F$160*(((Inputs!$G$5:$G$160="moeda")+(Inputs!$G$5:$G$160="acoes"))*Inputs!$B$1+((Inputs!$G$5:$G$160&lt;&gt;"moeda")*(Inputs!$G$5:$G$160&lt;&gt;"acoes")))*INDEX(Inputs!$K$5:$AJ$160,0,MATCH(N$2,Inputs!$K$4:$AJ$4,0)))))</f>
        <v>191.55423713</v>
      </c>
      <c r="O29" s="6">
        <f>IF(ISNA(MATCH(O$2,Inputs!$K$4:$AJ$4,0)),NA(),IF(SUMPRODUCT((Inputs!$A$5:$A$160=$B29)*ISNUMBER(INDEX(Inputs!$K$5:$AJ$160,0,MATCH(O$2,Inputs!$K$4:$AJ$4,0))))+SUMPRODUCT((Inputs!$C$5:$C$160=$B29)*ISNUMBER(INDEX(Inputs!$K$5:$AJ$160,0,MATCH(O$2,Inputs!$K$4:$AJ$4,0))))+SUMPRODUCT((Inputs!$E$5:$E$160=$B29)*ISNUMBER(INDEX(Inputs!$K$5:$AJ$160,0,MATCH(O$2,Inputs!$K$4:$AJ$4,0))))=0,NA(),SUMPRODUCT((Inputs!$A$5:$A$160=$B29)*Inputs!$B$5:$B$160*(((Inputs!$G$5:$G$160="moeda")+(Inputs!$G$5:$G$160="acoes"))*Inputs!$B$1+((Inputs!$G$5:$G$160&lt;&gt;"moeda")*(Inputs!$G$5:$G$160&lt;&gt;"acoes")))*INDEX(Inputs!$K$5:$AJ$160,0,MATCH(O$2,Inputs!$K$4:$AJ$4,0)))+SUMPRODUCT((Inputs!$C$5:$C$160=$B29)*Inputs!$D$5:$D$160*(((Inputs!$G$5:$G$160="moeda")+(Inputs!$G$5:$G$160="acoes"))*Inputs!$B$1+((Inputs!$G$5:$G$160&lt;&gt;"moeda")*(Inputs!$G$5:$G$160&lt;&gt;"acoes")))*INDEX(Inputs!$K$5:$AJ$160,0,MATCH(O$2,Inputs!$K$4:$AJ$4,0)))+SUMPRODUCT((Inputs!$E$5:$E$160=$B29)*Inputs!$F$5:$F$160*(((Inputs!$G$5:$G$160="moeda")+(Inputs!$G$5:$G$160="acoes"))*Inputs!$B$1+((Inputs!$G$5:$G$160&lt;&gt;"moeda")*(Inputs!$G$5:$G$160&lt;&gt;"acoes")))*INDEX(Inputs!$K$5:$AJ$160,0,MATCH(O$2,Inputs!$K$4:$AJ$4,0)))))</f>
        <v>328.937</v>
      </c>
      <c r="P29" s="6">
        <f>IF(ISNA(MATCH(P$2,Inputs!$K$4:$AJ$4,0)),NA(),IF(SUMPRODUCT((Inputs!$A$5:$A$160=$B29)*ISNUMBER(INDEX(Inputs!$K$5:$AJ$160,0,MATCH(P$2,Inputs!$K$4:$AJ$4,0))))+SUMPRODUCT((Inputs!$C$5:$C$160=$B29)*ISNUMBER(INDEX(Inputs!$K$5:$AJ$160,0,MATCH(P$2,Inputs!$K$4:$AJ$4,0))))+SUMPRODUCT((Inputs!$E$5:$E$160=$B29)*ISNUMBER(INDEX(Inputs!$K$5:$AJ$160,0,MATCH(P$2,Inputs!$K$4:$AJ$4,0))))=0,NA(),SUMPRODUCT((Inputs!$A$5:$A$160=$B29)*Inputs!$B$5:$B$160*(((Inputs!$G$5:$G$160="moeda")+(Inputs!$G$5:$G$160="acoes"))*Inputs!$B$1+((Inputs!$G$5:$G$160&lt;&gt;"moeda")*(Inputs!$G$5:$G$160&lt;&gt;"acoes")))*INDEX(Inputs!$K$5:$AJ$160,0,MATCH(P$2,Inputs!$K$4:$AJ$4,0)))+SUMPRODUCT((Inputs!$C$5:$C$160=$B29)*Inputs!$D$5:$D$160*(((Inputs!$G$5:$G$160="moeda")+(Inputs!$G$5:$G$160="acoes"))*Inputs!$B$1+((Inputs!$G$5:$G$160&lt;&gt;"moeda")*(Inputs!$G$5:$G$160&lt;&gt;"acoes")))*INDEX(Inputs!$K$5:$AJ$160,0,MATCH(P$2,Inputs!$K$4:$AJ$4,0)))+SUMPRODUCT((Inputs!$E$5:$E$160=$B29)*Inputs!$F$5:$F$160*(((Inputs!$G$5:$G$160="moeda")+(Inputs!$G$5:$G$160="acoes"))*Inputs!$B$1+((Inputs!$G$5:$G$160&lt;&gt;"moeda")*(Inputs!$G$5:$G$160&lt;&gt;"acoes")))*INDEX(Inputs!$K$5:$AJ$160,0,MATCH(P$2,Inputs!$K$4:$AJ$4,0)))))</f>
        <v>380.761</v>
      </c>
      <c r="Q29" s="6">
        <f>IF(ISNA(MATCH(Q$2,Inputs!$K$4:$AJ$4,0)),NA(),IF(SUMPRODUCT((Inputs!$A$5:$A$160=$B29)*ISNUMBER(INDEX(Inputs!$K$5:$AJ$160,0,MATCH(Q$2,Inputs!$K$4:$AJ$4,0))))+SUMPRODUCT((Inputs!$C$5:$C$160=$B29)*ISNUMBER(INDEX(Inputs!$K$5:$AJ$160,0,MATCH(Q$2,Inputs!$K$4:$AJ$4,0))))+SUMPRODUCT((Inputs!$E$5:$E$160=$B29)*ISNUMBER(INDEX(Inputs!$K$5:$AJ$160,0,MATCH(Q$2,Inputs!$K$4:$AJ$4,0))))=0,NA(),SUMPRODUCT((Inputs!$A$5:$A$160=$B29)*Inputs!$B$5:$B$160*(((Inputs!$G$5:$G$160="moeda")+(Inputs!$G$5:$G$160="acoes"))*Inputs!$B$1+((Inputs!$G$5:$G$160&lt;&gt;"moeda")*(Inputs!$G$5:$G$160&lt;&gt;"acoes")))*INDEX(Inputs!$K$5:$AJ$160,0,MATCH(Q$2,Inputs!$K$4:$AJ$4,0)))+SUMPRODUCT((Inputs!$C$5:$C$160=$B29)*Inputs!$D$5:$D$160*(((Inputs!$G$5:$G$160="moeda")+(Inputs!$G$5:$G$160="acoes"))*Inputs!$B$1+((Inputs!$G$5:$G$160&lt;&gt;"moeda")*(Inputs!$G$5:$G$160&lt;&gt;"acoes")))*INDEX(Inputs!$K$5:$AJ$160,0,MATCH(Q$2,Inputs!$K$4:$AJ$4,0)))+SUMPRODUCT((Inputs!$E$5:$E$160=$B29)*Inputs!$F$5:$F$160*(((Inputs!$G$5:$G$160="moeda")+(Inputs!$G$5:$G$160="acoes"))*Inputs!$B$1+((Inputs!$G$5:$G$160&lt;&gt;"moeda")*(Inputs!$G$5:$G$160&lt;&gt;"acoes")))*INDEX(Inputs!$K$5:$AJ$160,0,MATCH(Q$2,Inputs!$K$4:$AJ$4,0)))))</f>
        <v>338.989</v>
      </c>
      <c r="R29" s="3">
        <f>Q29</f>
        <v>338.989</v>
      </c>
      <c r="S29" s="6">
        <f>IF(ISNA(MATCH(S$2,Inputs!$K$4:$AJ$4,0)),NA(),IF(SUMPRODUCT((Inputs!$A$5:$A$160=$B29)*ISNUMBER(INDEX(Inputs!$K$5:$AJ$160,0,MATCH(S$2,Inputs!$K$4:$AJ$4,0))))+SUMPRODUCT((Inputs!$C$5:$C$160=$B29)*ISNUMBER(INDEX(Inputs!$K$5:$AJ$160,0,MATCH(S$2,Inputs!$K$4:$AJ$4,0))))+SUMPRODUCT((Inputs!$E$5:$E$160=$B29)*ISNUMBER(INDEX(Inputs!$K$5:$AJ$160,0,MATCH(S$2,Inputs!$K$4:$AJ$4,0))))=0,NA(),SUMPRODUCT((Inputs!$A$5:$A$160=$B29)*Inputs!$B$5:$B$160*(((Inputs!$G$5:$G$160="moeda")+(Inputs!$G$5:$G$160="acoes"))*Inputs!$B$1+((Inputs!$G$5:$G$160&lt;&gt;"moeda")*(Inputs!$G$5:$G$160&lt;&gt;"acoes")))*INDEX(Inputs!$K$5:$AJ$160,0,MATCH(S$2,Inputs!$K$4:$AJ$4,0)))+SUMPRODUCT((Inputs!$C$5:$C$160=$B29)*Inputs!$D$5:$D$160*(((Inputs!$G$5:$G$160="moeda")+(Inputs!$G$5:$G$160="acoes"))*Inputs!$B$1+((Inputs!$G$5:$G$160&lt;&gt;"moeda")*(Inputs!$G$5:$G$160&lt;&gt;"acoes")))*INDEX(Inputs!$K$5:$AJ$160,0,MATCH(S$2,Inputs!$K$4:$AJ$4,0)))+SUMPRODUCT((Inputs!$E$5:$E$160=$B29)*Inputs!$F$5:$F$160*(((Inputs!$G$5:$G$160="moeda")+(Inputs!$G$5:$G$160="acoes"))*Inputs!$B$1+((Inputs!$G$5:$G$160&lt;&gt;"moeda")*(Inputs!$G$5:$G$160&lt;&gt;"acoes")))*INDEX(Inputs!$K$5:$AJ$160,0,MATCH(S$2,Inputs!$K$4:$AJ$4,0)))))</f>
        <v>285.808</v>
      </c>
      <c r="T29" s="6">
        <f>IF(ISNA(MATCH(T$2,Inputs!$K$4:$AJ$4,0)),NA(),IF(SUMPRODUCT((Inputs!$A$5:$A$160=$B29)*ISNUMBER(INDEX(Inputs!$K$5:$AJ$160,0,MATCH(T$2,Inputs!$K$4:$AJ$4,0))))+SUMPRODUCT((Inputs!$C$5:$C$160=$B29)*ISNUMBER(INDEX(Inputs!$K$5:$AJ$160,0,MATCH(T$2,Inputs!$K$4:$AJ$4,0))))+SUMPRODUCT((Inputs!$E$5:$E$160=$B29)*ISNUMBER(INDEX(Inputs!$K$5:$AJ$160,0,MATCH(T$2,Inputs!$K$4:$AJ$4,0))))=0,NA(),SUMPRODUCT((Inputs!$A$5:$A$160=$B29)*Inputs!$B$5:$B$160*(((Inputs!$G$5:$G$160="moeda")+(Inputs!$G$5:$G$160="acoes"))*Inputs!$B$1+((Inputs!$G$5:$G$160&lt;&gt;"moeda")*(Inputs!$G$5:$G$160&lt;&gt;"acoes")))*INDEX(Inputs!$K$5:$AJ$160,0,MATCH(T$2,Inputs!$K$4:$AJ$4,0)))+SUMPRODUCT((Inputs!$C$5:$C$160=$B29)*Inputs!$D$5:$D$160*(((Inputs!$G$5:$G$160="moeda")+(Inputs!$G$5:$G$160="acoes"))*Inputs!$B$1+((Inputs!$G$5:$G$160&lt;&gt;"moeda")*(Inputs!$G$5:$G$160&lt;&gt;"acoes")))*INDEX(Inputs!$K$5:$AJ$160,0,MATCH(T$2,Inputs!$K$4:$AJ$4,0)))+SUMPRODUCT((Inputs!$E$5:$E$160=$B29)*Inputs!$F$5:$F$160*(((Inputs!$G$5:$G$160="moeda")+(Inputs!$G$5:$G$160="acoes"))*Inputs!$B$1+((Inputs!$G$5:$G$160&lt;&gt;"moeda")*(Inputs!$G$5:$G$160&lt;&gt;"acoes")))*INDEX(Inputs!$K$5:$AJ$160,0,MATCH(T$2,Inputs!$K$4:$AJ$4,0)))))</f>
        <v>352.951</v>
      </c>
      <c r="U29" s="6">
        <f>IF(ISNA(MATCH(U$2,Inputs!$K$4:$AJ$4,0)),NA(),IF(SUMPRODUCT((Inputs!$A$5:$A$160=$B29)*ISNUMBER(INDEX(Inputs!$K$5:$AJ$160,0,MATCH(U$2,Inputs!$K$4:$AJ$4,0))))+SUMPRODUCT((Inputs!$C$5:$C$160=$B29)*ISNUMBER(INDEX(Inputs!$K$5:$AJ$160,0,MATCH(U$2,Inputs!$K$4:$AJ$4,0))))+SUMPRODUCT((Inputs!$E$5:$E$160=$B29)*ISNUMBER(INDEX(Inputs!$K$5:$AJ$160,0,MATCH(U$2,Inputs!$K$4:$AJ$4,0))))=0,NA(),SUMPRODUCT((Inputs!$A$5:$A$160=$B29)*Inputs!$B$5:$B$160*(((Inputs!$G$5:$G$160="moeda")+(Inputs!$G$5:$G$160="acoes"))*Inputs!$B$1+((Inputs!$G$5:$G$160&lt;&gt;"moeda")*(Inputs!$G$5:$G$160&lt;&gt;"acoes")))*INDEX(Inputs!$K$5:$AJ$160,0,MATCH(U$2,Inputs!$K$4:$AJ$4,0)))+SUMPRODUCT((Inputs!$C$5:$C$160=$B29)*Inputs!$D$5:$D$160*(((Inputs!$G$5:$G$160="moeda")+(Inputs!$G$5:$G$160="acoes"))*Inputs!$B$1+((Inputs!$G$5:$G$160&lt;&gt;"moeda")*(Inputs!$G$5:$G$160&lt;&gt;"acoes")))*INDEX(Inputs!$K$5:$AJ$160,0,MATCH(U$2,Inputs!$K$4:$AJ$4,0)))+SUMPRODUCT((Inputs!$E$5:$E$160=$B29)*Inputs!$F$5:$F$160*(((Inputs!$G$5:$G$160="moeda")+(Inputs!$G$5:$G$160="acoes"))*Inputs!$B$1+((Inputs!$G$5:$G$160&lt;&gt;"moeda")*(Inputs!$G$5:$G$160&lt;&gt;"acoes")))*INDEX(Inputs!$K$5:$AJ$160,0,MATCH(U$2,Inputs!$K$4:$AJ$4,0)))))</f>
        <v>402.732</v>
      </c>
      <c r="V29" s="6">
        <f>IF(ISNA(MATCH(V$2,Inputs!$K$4:$AJ$4,0)),NA(),IF(SUMPRODUCT((Inputs!$A$5:$A$160=$B29)*ISNUMBER(INDEX(Inputs!$K$5:$AJ$160,0,MATCH(V$2,Inputs!$K$4:$AJ$4,0))))+SUMPRODUCT((Inputs!$C$5:$C$160=$B29)*ISNUMBER(INDEX(Inputs!$K$5:$AJ$160,0,MATCH(V$2,Inputs!$K$4:$AJ$4,0))))+SUMPRODUCT((Inputs!$E$5:$E$160=$B29)*ISNUMBER(INDEX(Inputs!$K$5:$AJ$160,0,MATCH(V$2,Inputs!$K$4:$AJ$4,0))))=0,NA(),SUMPRODUCT((Inputs!$A$5:$A$160=$B29)*Inputs!$B$5:$B$160*(((Inputs!$G$5:$G$160="moeda")+(Inputs!$G$5:$G$160="acoes"))*Inputs!$B$1+((Inputs!$G$5:$G$160&lt;&gt;"moeda")*(Inputs!$G$5:$G$160&lt;&gt;"acoes")))*INDEX(Inputs!$K$5:$AJ$160,0,MATCH(V$2,Inputs!$K$4:$AJ$4,0)))+SUMPRODUCT((Inputs!$C$5:$C$160=$B29)*Inputs!$D$5:$D$160*(((Inputs!$G$5:$G$160="moeda")+(Inputs!$G$5:$G$160="acoes"))*Inputs!$B$1+((Inputs!$G$5:$G$160&lt;&gt;"moeda")*(Inputs!$G$5:$G$160&lt;&gt;"acoes")))*INDEX(Inputs!$K$5:$AJ$160,0,MATCH(V$2,Inputs!$K$4:$AJ$4,0)))+SUMPRODUCT((Inputs!$E$5:$E$160=$B29)*Inputs!$F$5:$F$160*(((Inputs!$G$5:$G$160="moeda")+(Inputs!$G$5:$G$160="acoes"))*Inputs!$B$1+((Inputs!$G$5:$G$160&lt;&gt;"moeda")*(Inputs!$G$5:$G$160&lt;&gt;"acoes")))*INDEX(Inputs!$K$5:$AJ$160,0,MATCH(V$2,Inputs!$K$4:$AJ$4,0)))))</f>
        <v>381.902</v>
      </c>
      <c r="W29" s="3">
        <f>V29</f>
        <v>381.902</v>
      </c>
      <c r="X29" s="6">
        <f>IF(ISNA(MATCH(X$2,Inputs!$K$4:$AJ$4,0)),NA(),IF(SUMPRODUCT((Inputs!$A$5:$A$160=$B29)*ISNUMBER(INDEX(Inputs!$K$5:$AJ$160,0,MATCH(X$2,Inputs!$K$4:$AJ$4,0))))+SUMPRODUCT((Inputs!$C$5:$C$160=$B29)*ISNUMBER(INDEX(Inputs!$K$5:$AJ$160,0,MATCH(X$2,Inputs!$K$4:$AJ$4,0))))+SUMPRODUCT((Inputs!$E$5:$E$160=$B29)*ISNUMBER(INDEX(Inputs!$K$5:$AJ$160,0,MATCH(X$2,Inputs!$K$4:$AJ$4,0))))=0,NA(),SUMPRODUCT((Inputs!$A$5:$A$160=$B29)*Inputs!$B$5:$B$160*(((Inputs!$G$5:$G$160="moeda")+(Inputs!$G$5:$G$160="acoes"))*Inputs!$B$1+((Inputs!$G$5:$G$160&lt;&gt;"moeda")*(Inputs!$G$5:$G$160&lt;&gt;"acoes")))*INDEX(Inputs!$K$5:$AJ$160,0,MATCH(X$2,Inputs!$K$4:$AJ$4,0)))+SUMPRODUCT((Inputs!$C$5:$C$160=$B29)*Inputs!$D$5:$D$160*(((Inputs!$G$5:$G$160="moeda")+(Inputs!$G$5:$G$160="acoes"))*Inputs!$B$1+((Inputs!$G$5:$G$160&lt;&gt;"moeda")*(Inputs!$G$5:$G$160&lt;&gt;"acoes")))*INDEX(Inputs!$K$5:$AJ$160,0,MATCH(X$2,Inputs!$K$4:$AJ$4,0)))+SUMPRODUCT((Inputs!$E$5:$E$160=$B29)*Inputs!$F$5:$F$160*(((Inputs!$G$5:$G$160="moeda")+(Inputs!$G$5:$G$160="acoes"))*Inputs!$B$1+((Inputs!$G$5:$G$160&lt;&gt;"moeda")*(Inputs!$G$5:$G$160&lt;&gt;"acoes")))*INDEX(Inputs!$K$5:$AJ$160,0,MATCH(X$2,Inputs!$K$4:$AJ$4,0)))))</f>
        <v>309.762274</v>
      </c>
      <c r="Y29" s="6">
        <f>IF(ISNA(MATCH(Y$2,Inputs!$K$4:$AJ$4,0)),NA(),IF(SUMPRODUCT((Inputs!$A$5:$A$160=$B29)*ISNUMBER(INDEX(Inputs!$K$5:$AJ$160,0,MATCH(Y$2,Inputs!$K$4:$AJ$4,0))))+SUMPRODUCT((Inputs!$C$5:$C$160=$B29)*ISNUMBER(INDEX(Inputs!$K$5:$AJ$160,0,MATCH(Y$2,Inputs!$K$4:$AJ$4,0))))+SUMPRODUCT((Inputs!$E$5:$E$160=$B29)*ISNUMBER(INDEX(Inputs!$K$5:$AJ$160,0,MATCH(Y$2,Inputs!$K$4:$AJ$4,0))))=0,NA(),SUMPRODUCT((Inputs!$A$5:$A$160=$B29)*Inputs!$B$5:$B$160*(((Inputs!$G$5:$G$160="moeda")+(Inputs!$G$5:$G$160="acoes"))*Inputs!$B$1+((Inputs!$G$5:$G$160&lt;&gt;"moeda")*(Inputs!$G$5:$G$160&lt;&gt;"acoes")))*INDEX(Inputs!$K$5:$AJ$160,0,MATCH(Y$2,Inputs!$K$4:$AJ$4,0)))+SUMPRODUCT((Inputs!$C$5:$C$160=$B29)*Inputs!$D$5:$D$160*(((Inputs!$G$5:$G$160="moeda")+(Inputs!$G$5:$G$160="acoes"))*Inputs!$B$1+((Inputs!$G$5:$G$160&lt;&gt;"moeda")*(Inputs!$G$5:$G$160&lt;&gt;"acoes")))*INDEX(Inputs!$K$5:$AJ$160,0,MATCH(Y$2,Inputs!$K$4:$AJ$4,0)))+SUMPRODUCT((Inputs!$E$5:$E$160=$B29)*Inputs!$F$5:$F$160*(((Inputs!$G$5:$G$160="moeda")+(Inputs!$G$5:$G$160="acoes"))*Inputs!$B$1+((Inputs!$G$5:$G$160&lt;&gt;"moeda")*(Inputs!$G$5:$G$160&lt;&gt;"acoes")))*INDEX(Inputs!$K$5:$AJ$160,0,MATCH(Y$2,Inputs!$K$4:$AJ$4,0)))))</f>
        <v>368.403</v>
      </c>
      <c r="Z29" s="6">
        <f>IF(ISNA(MATCH(Z$2,Inputs!$K$4:$AJ$4,0)),NA(),IF(SUMPRODUCT((Inputs!$A$5:$A$160=$B29)*ISNUMBER(INDEX(Inputs!$K$5:$AJ$160,0,MATCH(Z$2,Inputs!$K$4:$AJ$4,0))))+SUMPRODUCT((Inputs!$C$5:$C$160=$B29)*ISNUMBER(INDEX(Inputs!$K$5:$AJ$160,0,MATCH(Z$2,Inputs!$K$4:$AJ$4,0))))+SUMPRODUCT((Inputs!$E$5:$E$160=$B29)*ISNUMBER(INDEX(Inputs!$K$5:$AJ$160,0,MATCH(Z$2,Inputs!$K$4:$AJ$4,0))))=0,NA(),SUMPRODUCT((Inputs!$A$5:$A$160=$B29)*Inputs!$B$5:$B$160*(((Inputs!$G$5:$G$160="moeda")+(Inputs!$G$5:$G$160="acoes"))*Inputs!$B$1+((Inputs!$G$5:$G$160&lt;&gt;"moeda")*(Inputs!$G$5:$G$160&lt;&gt;"acoes")))*INDEX(Inputs!$K$5:$AJ$160,0,MATCH(Z$2,Inputs!$K$4:$AJ$4,0)))+SUMPRODUCT((Inputs!$C$5:$C$160=$B29)*Inputs!$D$5:$D$160*(((Inputs!$G$5:$G$160="moeda")+(Inputs!$G$5:$G$160="acoes"))*Inputs!$B$1+((Inputs!$G$5:$G$160&lt;&gt;"moeda")*(Inputs!$G$5:$G$160&lt;&gt;"acoes")))*INDEX(Inputs!$K$5:$AJ$160,0,MATCH(Z$2,Inputs!$K$4:$AJ$4,0)))+SUMPRODUCT((Inputs!$E$5:$E$160=$B29)*Inputs!$F$5:$F$160*(((Inputs!$G$5:$G$160="moeda")+(Inputs!$G$5:$G$160="acoes"))*Inputs!$B$1+((Inputs!$G$5:$G$160&lt;&gt;"moeda")*(Inputs!$G$5:$G$160&lt;&gt;"acoes")))*INDEX(Inputs!$K$5:$AJ$160,0,MATCH(Z$2,Inputs!$K$4:$AJ$4,0)))))</f>
        <v>438.976</v>
      </c>
      <c r="AA29" s="6">
        <f>IF(ISNA(MATCH(AA$2,Inputs!$K$4:$AJ$4,0)),NA(),IF(SUMPRODUCT((Inputs!$A$5:$A$160=$B29)*ISNUMBER(INDEX(Inputs!$K$5:$AJ$160,0,MATCH(AA$2,Inputs!$K$4:$AJ$4,0))))+SUMPRODUCT((Inputs!$C$5:$C$160=$B29)*ISNUMBER(INDEX(Inputs!$K$5:$AJ$160,0,MATCH(AA$2,Inputs!$K$4:$AJ$4,0))))+SUMPRODUCT((Inputs!$E$5:$E$160=$B29)*ISNUMBER(INDEX(Inputs!$K$5:$AJ$160,0,MATCH(AA$2,Inputs!$K$4:$AJ$4,0))))=0,NA(),SUMPRODUCT((Inputs!$A$5:$A$160=$B29)*Inputs!$B$5:$B$160*(((Inputs!$G$5:$G$160="moeda")+(Inputs!$G$5:$G$160="acoes"))*Inputs!$B$1+((Inputs!$G$5:$G$160&lt;&gt;"moeda")*(Inputs!$G$5:$G$160&lt;&gt;"acoes")))*INDEX(Inputs!$K$5:$AJ$160,0,MATCH(AA$2,Inputs!$K$4:$AJ$4,0)))+SUMPRODUCT((Inputs!$C$5:$C$160=$B29)*Inputs!$D$5:$D$160*(((Inputs!$G$5:$G$160="moeda")+(Inputs!$G$5:$G$160="acoes"))*Inputs!$B$1+((Inputs!$G$5:$G$160&lt;&gt;"moeda")*(Inputs!$G$5:$G$160&lt;&gt;"acoes")))*INDEX(Inputs!$K$5:$AJ$160,0,MATCH(AA$2,Inputs!$K$4:$AJ$4,0)))+SUMPRODUCT((Inputs!$E$5:$E$160=$B29)*Inputs!$F$5:$F$160*(((Inputs!$G$5:$G$160="moeda")+(Inputs!$G$5:$G$160="acoes"))*Inputs!$B$1+((Inputs!$G$5:$G$160&lt;&gt;"moeda")*(Inputs!$G$5:$G$160&lt;&gt;"acoes")))*INDEX(Inputs!$K$5:$AJ$160,0,MATCH(AA$2,Inputs!$K$4:$AJ$4,0)))))</f>
        <v>407.632</v>
      </c>
      <c r="AB29" s="3">
        <f>AA29</f>
        <v>407.632</v>
      </c>
      <c r="AC29" s="6">
        <f>IF(ISNA(MATCH(AC$2,Inputs!$K$4:$AJ$4,0)),NA(),IF(SUMPRODUCT((Inputs!$A$5:$A$160=$B29)*ISNUMBER(INDEX(Inputs!$K$5:$AJ$160,0,MATCH(AC$2,Inputs!$K$4:$AJ$4,0))))+SUMPRODUCT((Inputs!$C$5:$C$160=$B29)*ISNUMBER(INDEX(Inputs!$K$5:$AJ$160,0,MATCH(AC$2,Inputs!$K$4:$AJ$4,0))))+SUMPRODUCT((Inputs!$E$5:$E$160=$B29)*ISNUMBER(INDEX(Inputs!$K$5:$AJ$160,0,MATCH(AC$2,Inputs!$K$4:$AJ$4,0))))=0,NA(),SUMPRODUCT((Inputs!$A$5:$A$160=$B29)*Inputs!$B$5:$B$160*(((Inputs!$G$5:$G$160="moeda")+(Inputs!$G$5:$G$160="acoes"))*Inputs!$B$1+((Inputs!$G$5:$G$160&lt;&gt;"moeda")*(Inputs!$G$5:$G$160&lt;&gt;"acoes")))*INDEX(Inputs!$K$5:$AJ$160,0,MATCH(AC$2,Inputs!$K$4:$AJ$4,0)))+SUMPRODUCT((Inputs!$C$5:$C$160=$B29)*Inputs!$D$5:$D$160*(((Inputs!$G$5:$G$160="moeda")+(Inputs!$G$5:$G$160="acoes"))*Inputs!$B$1+((Inputs!$G$5:$G$160&lt;&gt;"moeda")*(Inputs!$G$5:$G$160&lt;&gt;"acoes")))*INDEX(Inputs!$K$5:$AJ$160,0,MATCH(AC$2,Inputs!$K$4:$AJ$4,0)))+SUMPRODUCT((Inputs!$E$5:$E$160=$B29)*Inputs!$F$5:$F$160*(((Inputs!$G$5:$G$160="moeda")+(Inputs!$G$5:$G$160="acoes"))*Inputs!$B$1+((Inputs!$G$5:$G$160&lt;&gt;"moeda")*(Inputs!$G$5:$G$160&lt;&gt;"acoes")))*INDEX(Inputs!$K$5:$AJ$160,0,MATCH(AC$2,Inputs!$K$4:$AJ$4,0)))))</f>
        <v>345.296</v>
      </c>
      <c r="AD29" s="6">
        <f>IF(ISNA(MATCH(AD$2,Inputs!$K$4:$AJ$4,0)),NA(),IF(SUMPRODUCT((Inputs!$A$5:$A$160=$B29)*ISNUMBER(INDEX(Inputs!$K$5:$AJ$160,0,MATCH(AD$2,Inputs!$K$4:$AJ$4,0))))+SUMPRODUCT((Inputs!$C$5:$C$160=$B29)*ISNUMBER(INDEX(Inputs!$K$5:$AJ$160,0,MATCH(AD$2,Inputs!$K$4:$AJ$4,0))))+SUMPRODUCT((Inputs!$E$5:$E$160=$B29)*ISNUMBER(INDEX(Inputs!$K$5:$AJ$160,0,MATCH(AD$2,Inputs!$K$4:$AJ$4,0))))=0,NA(),SUMPRODUCT((Inputs!$A$5:$A$160=$B29)*Inputs!$B$5:$B$160*(((Inputs!$G$5:$G$160="moeda")+(Inputs!$G$5:$G$160="acoes"))*Inputs!$B$1+((Inputs!$G$5:$G$160&lt;&gt;"moeda")*(Inputs!$G$5:$G$160&lt;&gt;"acoes")))*INDEX(Inputs!$K$5:$AJ$160,0,MATCH(AD$2,Inputs!$K$4:$AJ$4,0)))+SUMPRODUCT((Inputs!$C$5:$C$160=$B29)*Inputs!$D$5:$D$160*(((Inputs!$G$5:$G$160="moeda")+(Inputs!$G$5:$G$160="acoes"))*Inputs!$B$1+((Inputs!$G$5:$G$160&lt;&gt;"moeda")*(Inputs!$G$5:$G$160&lt;&gt;"acoes")))*INDEX(Inputs!$K$5:$AJ$160,0,MATCH(AD$2,Inputs!$K$4:$AJ$4,0)))+SUMPRODUCT((Inputs!$E$5:$E$160=$B29)*Inputs!$F$5:$F$160*(((Inputs!$G$5:$G$160="moeda")+(Inputs!$G$5:$G$160="acoes"))*Inputs!$B$1+((Inputs!$G$5:$G$160&lt;&gt;"moeda")*(Inputs!$G$5:$G$160&lt;&gt;"acoes")))*INDEX(Inputs!$K$5:$AJ$160,0,MATCH(AD$2,Inputs!$K$4:$AJ$4,0)))))</f>
        <v>406.046</v>
      </c>
      <c r="AE29" s="6" t="e">
        <f>IF(ISNA(MATCH(AE$2,Inputs!$K$4:$AJ$4,0)),NA(),IF(SUMPRODUCT((Inputs!$A$5:$A$160=$B29)*ISNUMBER(INDEX(Inputs!$K$5:$AJ$160,0,MATCH(AE$2,Inputs!$K$4:$AJ$4,0))))+SUMPRODUCT((Inputs!$C$5:$C$160=$B29)*ISNUMBER(INDEX(Inputs!$K$5:$AJ$160,0,MATCH(AE$2,Inputs!$K$4:$AJ$4,0))))+SUMPRODUCT((Inputs!$E$5:$E$160=$B29)*ISNUMBER(INDEX(Inputs!$K$5:$AJ$160,0,MATCH(AE$2,Inputs!$K$4:$AJ$4,0))))=0,NA(),SUMPRODUCT((Inputs!$A$5:$A$160=$B29)*Inputs!$B$5:$B$160*(((Inputs!$G$5:$G$160="moeda")+(Inputs!$G$5:$G$160="acoes"))*Inputs!$B$1+((Inputs!$G$5:$G$160&lt;&gt;"moeda")*(Inputs!$G$5:$G$160&lt;&gt;"acoes")))*INDEX(Inputs!$K$5:$AJ$160,0,MATCH(AE$2,Inputs!$K$4:$AJ$4,0)))+SUMPRODUCT((Inputs!$C$5:$C$160=$B29)*Inputs!$D$5:$D$160*(((Inputs!$G$5:$G$160="moeda")+(Inputs!$G$5:$G$160="acoes"))*Inputs!$B$1+((Inputs!$G$5:$G$160&lt;&gt;"moeda")*(Inputs!$G$5:$G$160&lt;&gt;"acoes")))*INDEX(Inputs!$K$5:$AJ$160,0,MATCH(AE$2,Inputs!$K$4:$AJ$4,0)))+SUMPRODUCT((Inputs!$E$5:$E$160=$B29)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29" s="6" t="e">
        <f>IF(ISNA(MATCH(AF$2,Inputs!$K$4:$AJ$4,0)),NA(),IF(SUMPRODUCT((Inputs!$A$5:$A$160=$B29)*ISNUMBER(INDEX(Inputs!$K$5:$AJ$160,0,MATCH(AF$2,Inputs!$K$4:$AJ$4,0))))+SUMPRODUCT((Inputs!$C$5:$C$160=$B29)*ISNUMBER(INDEX(Inputs!$K$5:$AJ$160,0,MATCH(AF$2,Inputs!$K$4:$AJ$4,0))))+SUMPRODUCT((Inputs!$E$5:$E$160=$B29)*ISNUMBER(INDEX(Inputs!$K$5:$AJ$160,0,MATCH(AF$2,Inputs!$K$4:$AJ$4,0))))=0,NA(),SUMPRODUCT((Inputs!$A$5:$A$160=$B29)*Inputs!$B$5:$B$160*(((Inputs!$G$5:$G$160="moeda")+(Inputs!$G$5:$G$160="acoes"))*Inputs!$B$1+((Inputs!$G$5:$G$160&lt;&gt;"moeda")*(Inputs!$G$5:$G$160&lt;&gt;"acoes")))*INDEX(Inputs!$K$5:$AJ$160,0,MATCH(AF$2,Inputs!$K$4:$AJ$4,0)))+SUMPRODUCT((Inputs!$C$5:$C$160=$B29)*Inputs!$D$5:$D$160*(((Inputs!$G$5:$G$160="moeda")+(Inputs!$G$5:$G$160="acoes"))*Inputs!$B$1+((Inputs!$G$5:$G$160&lt;&gt;"moeda")*(Inputs!$G$5:$G$160&lt;&gt;"acoes")))*INDEX(Inputs!$K$5:$AJ$160,0,MATCH(AF$2,Inputs!$K$4:$AJ$4,0)))+SUMPRODUCT((Inputs!$E$5:$E$160=$B29)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29" s="3" t="e">
        <f>AF29</f>
        <v>#N/A</v>
      </c>
      <c r="AH29" s="6">
        <f>IF(ISNA(MATCH(AH$2,Inputs!$K$4:$AJ$4,0)),NA(),IF(SUMPRODUCT((Inputs!$A$5:$A$160=$B29)*ISNUMBER(INDEX(Inputs!$K$5:$AJ$160,0,MATCH(AH$2,Inputs!$K$4:$AJ$4,0))))+SUMPRODUCT((Inputs!$C$5:$C$160=$B29)*ISNUMBER(INDEX(Inputs!$K$5:$AJ$160,0,MATCH(AH$2,Inputs!$K$4:$AJ$4,0))))+SUMPRODUCT((Inputs!$E$5:$E$160=$B29)*ISNUMBER(INDEX(Inputs!$K$5:$AJ$160,0,MATCH(AH$2,Inputs!$K$4:$AJ$4,0))))=0,NA(),SUMPRODUCT((Inputs!$A$5:$A$160=$B29)*Inputs!$B$5:$B$160*(((Inputs!$G$5:$G$160="moeda")+(Inputs!$G$5:$G$160="acoes"))*Inputs!$B$1+((Inputs!$G$5:$G$160&lt;&gt;"moeda")*(Inputs!$G$5:$G$160&lt;&gt;"acoes")))*INDEX(Inputs!$K$5:$AJ$160,0,MATCH(AH$2,Inputs!$K$4:$AJ$4,0)))+SUMPRODUCT((Inputs!$C$5:$C$160=$B29)*Inputs!$D$5:$D$160*(((Inputs!$G$5:$G$160="moeda")+(Inputs!$G$5:$G$160="acoes"))*Inputs!$B$1+((Inputs!$G$5:$G$160&lt;&gt;"moeda")*(Inputs!$G$5:$G$160&lt;&gt;"acoes")))*INDEX(Inputs!$K$5:$AJ$160,0,MATCH(AH$2,Inputs!$K$4:$AJ$4,0)))+SUMPRODUCT((Inputs!$E$5:$E$160=$B29)*Inputs!$F$5:$F$160*(((Inputs!$G$5:$G$160="moeda")+(Inputs!$G$5:$G$160="acoes"))*Inputs!$B$1+((Inputs!$G$5:$G$160&lt;&gt;"moeda")*(Inputs!$G$5:$G$160&lt;&gt;"acoes")))*INDEX(Inputs!$K$5:$AJ$160,0,MATCH(AH$2,Inputs!$K$4:$AJ$4,0)))))</f>
        <v>108.91141814</v>
      </c>
      <c r="AI29" s="6">
        <f>IF(ISNA(MATCH(AI$2,Inputs!$K$4:$AJ$4,0)),NA(),IF(SUMPRODUCT((Inputs!$A$5:$A$160=$B29)*ISNUMBER(INDEX(Inputs!$K$5:$AJ$160,0,MATCH(AI$2,Inputs!$K$4:$AJ$4,0))))+SUMPRODUCT((Inputs!$C$5:$C$160=$B29)*ISNUMBER(INDEX(Inputs!$K$5:$AJ$160,0,MATCH(AI$2,Inputs!$K$4:$AJ$4,0))))+SUMPRODUCT((Inputs!$E$5:$E$160=$B29)*ISNUMBER(INDEX(Inputs!$K$5:$AJ$160,0,MATCH(AI$2,Inputs!$K$4:$AJ$4,0))))=0,NA(),SUMPRODUCT((Inputs!$A$5:$A$160=$B29)*Inputs!$B$5:$B$160*(((Inputs!$G$5:$G$160="moeda")+(Inputs!$G$5:$G$160="acoes"))*Inputs!$B$1+((Inputs!$G$5:$G$160&lt;&gt;"moeda")*(Inputs!$G$5:$G$160&lt;&gt;"acoes")))*INDEX(Inputs!$K$5:$AJ$160,0,MATCH(AI$2,Inputs!$K$4:$AJ$4,0)))+SUMPRODUCT((Inputs!$C$5:$C$160=$B29)*Inputs!$D$5:$D$160*(((Inputs!$G$5:$G$160="moeda")+(Inputs!$G$5:$G$160="acoes"))*Inputs!$B$1+((Inputs!$G$5:$G$160&lt;&gt;"moeda")*(Inputs!$G$5:$G$160&lt;&gt;"acoes")))*INDEX(Inputs!$K$5:$AJ$160,0,MATCH(AI$2,Inputs!$K$4:$AJ$4,0)))+SUMPRODUCT((Inputs!$E$5:$E$160=$B29)*Inputs!$F$5:$F$160*(((Inputs!$G$5:$G$160="moeda")+(Inputs!$G$5:$G$160="acoes"))*Inputs!$B$1+((Inputs!$G$5:$G$160&lt;&gt;"moeda")*(Inputs!$G$5:$G$160&lt;&gt;"acoes")))*INDEX(Inputs!$K$5:$AJ$160,0,MATCH(AI$2,Inputs!$K$4:$AJ$4,0)))))</f>
        <v>128.82923871</v>
      </c>
      <c r="AJ29" s="6">
        <f>IF(ISNA(MATCH(AJ$2,Inputs!$K$4:$AJ$4,0)),NA(),IF(SUMPRODUCT((Inputs!$A$5:$A$160=$B29)*ISNUMBER(INDEX(Inputs!$K$5:$AJ$160,0,MATCH(AJ$2,Inputs!$K$4:$AJ$4,0))))+SUMPRODUCT((Inputs!$C$5:$C$160=$B29)*ISNUMBER(INDEX(Inputs!$K$5:$AJ$160,0,MATCH(AJ$2,Inputs!$K$4:$AJ$4,0))))+SUMPRODUCT((Inputs!$E$5:$E$160=$B29)*ISNUMBER(INDEX(Inputs!$K$5:$AJ$160,0,MATCH(AJ$2,Inputs!$K$4:$AJ$4,0))))=0,NA(),SUMPRODUCT((Inputs!$A$5:$A$160=$B29)*Inputs!$B$5:$B$160*(((Inputs!$G$5:$G$160="moeda")+(Inputs!$G$5:$G$160="acoes"))*Inputs!$B$1+((Inputs!$G$5:$G$160&lt;&gt;"moeda")*(Inputs!$G$5:$G$160&lt;&gt;"acoes")))*INDEX(Inputs!$K$5:$AJ$160,0,MATCH(AJ$2,Inputs!$K$4:$AJ$4,0)))+SUMPRODUCT((Inputs!$C$5:$C$160=$B29)*Inputs!$D$5:$D$160*(((Inputs!$G$5:$G$160="moeda")+(Inputs!$G$5:$G$160="acoes"))*Inputs!$B$1+((Inputs!$G$5:$G$160&lt;&gt;"moeda")*(Inputs!$G$5:$G$160&lt;&gt;"acoes")))*INDEX(Inputs!$K$5:$AJ$160,0,MATCH(AJ$2,Inputs!$K$4:$AJ$4,0)))+SUMPRODUCT((Inputs!$E$5:$E$160=$B29)*Inputs!$F$5:$F$160*(((Inputs!$G$5:$G$160="moeda")+(Inputs!$G$5:$G$160="acoes"))*Inputs!$B$1+((Inputs!$G$5:$G$160&lt;&gt;"moeda")*(Inputs!$G$5:$G$160&lt;&gt;"acoes")))*INDEX(Inputs!$K$5:$AJ$160,0,MATCH(AJ$2,Inputs!$K$4:$AJ$4,0)))))</f>
        <v>148.59254415</v>
      </c>
      <c r="AK29" s="6">
        <f>IF(ISNA(MATCH(AK$2,Inputs!$K$4:$AJ$4,0)),NA(),IF(SUMPRODUCT((Inputs!$A$5:$A$160=$B29)*ISNUMBER(INDEX(Inputs!$K$5:$AJ$160,0,MATCH(AK$2,Inputs!$K$4:$AJ$4,0))))+SUMPRODUCT((Inputs!$C$5:$C$160=$B29)*ISNUMBER(INDEX(Inputs!$K$5:$AJ$160,0,MATCH(AK$2,Inputs!$K$4:$AJ$4,0))))+SUMPRODUCT((Inputs!$E$5:$E$160=$B29)*ISNUMBER(INDEX(Inputs!$K$5:$AJ$160,0,MATCH(AK$2,Inputs!$K$4:$AJ$4,0))))=0,NA(),SUMPRODUCT((Inputs!$A$5:$A$160=$B29)*Inputs!$B$5:$B$160*(((Inputs!$G$5:$G$160="moeda")+(Inputs!$G$5:$G$160="acoes"))*Inputs!$B$1+((Inputs!$G$5:$G$160&lt;&gt;"moeda")*(Inputs!$G$5:$G$160&lt;&gt;"acoes")))*INDEX(Inputs!$K$5:$AJ$160,0,MATCH(AK$2,Inputs!$K$4:$AJ$4,0)))+SUMPRODUCT((Inputs!$C$5:$C$160=$B29)*Inputs!$D$5:$D$160*(((Inputs!$G$5:$G$160="moeda")+(Inputs!$G$5:$G$160="acoes"))*Inputs!$B$1+((Inputs!$G$5:$G$160&lt;&gt;"moeda")*(Inputs!$G$5:$G$160&lt;&gt;"acoes")))*INDEX(Inputs!$K$5:$AJ$160,0,MATCH(AK$2,Inputs!$K$4:$AJ$4,0)))+SUMPRODUCT((Inputs!$E$5:$E$160=$B29)*Inputs!$F$5:$F$160*(((Inputs!$G$5:$G$160="moeda")+(Inputs!$G$5:$G$160="acoes"))*Inputs!$B$1+((Inputs!$G$5:$G$160&lt;&gt;"moeda")*(Inputs!$G$5:$G$160&lt;&gt;"acoes")))*INDEX(Inputs!$K$5:$AJ$160,0,MATCH(AK$2,Inputs!$K$4:$AJ$4,0)))))</f>
        <v>138.77407439</v>
      </c>
      <c r="AL29" s="3">
        <f>AK29</f>
        <v>138.77407439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$160=$B30)*ISNUMBER(INDEX(Inputs!$K$5:$AJ$160,0,MATCH(D$2,Inputs!$K$4:$AJ$4,0))))+SUMPRODUCT((Inputs!$C$5:$C$160=$B30)*ISNUMBER(INDEX(Inputs!$K$5:$AJ$160,0,MATCH(D$2,Inputs!$K$4:$AJ$4,0))))+SUMPRODUCT((Inputs!$E$5:$E$160=$B30)*ISNUMBER(INDEX(Inputs!$K$5:$AJ$160,0,MATCH(D$2,Inputs!$K$4:$AJ$4,0))))=0,NA(),SUMPRODUCT((Inputs!$A$5:$A$160=$B30)*Inputs!$B$5:$B$160*(((Inputs!$G$5:$G$160="moeda")+(Inputs!$G$5:$G$160="acoes"))*Inputs!$B$1+((Inputs!$G$5:$G$160&lt;&gt;"moeda")*(Inputs!$G$5:$G$160&lt;&gt;"acoes")))*INDEX(Inputs!$K$5:$AJ$160,0,MATCH(D$2,Inputs!$K$4:$AJ$4,0)))+SUMPRODUCT((Inputs!$C$5:$C$160=$B30)*Inputs!$D$5:$D$160*(((Inputs!$G$5:$G$160="moeda")+(Inputs!$G$5:$G$160="acoes"))*Inputs!$B$1+((Inputs!$G$5:$G$160&lt;&gt;"moeda")*(Inputs!$G$5:$G$160&lt;&gt;"acoes")))*INDEX(Inputs!$K$5:$AJ$160,0,MATCH(D$2,Inputs!$K$4:$AJ$4,0)))+SUMPRODUCT((Inputs!$E$5:$E$160=$B30)*Inputs!$F$5:$F$160*(((Inputs!$G$5:$G$160="moeda")+(Inputs!$G$5:$G$160="acoes"))*Inputs!$B$1+((Inputs!$G$5:$G$160&lt;&gt;"moeda")*(Inputs!$G$5:$G$160&lt;&gt;"acoes")))*INDEX(Inputs!$K$5:$AJ$160,0,MATCH(D$2,Inputs!$K$4:$AJ$4,0)))))</f>
        <v>82.64400593</v>
      </c>
      <c r="E30" s="6">
        <f>IF(ISNA(MATCH(E$2,Inputs!$K$4:$AJ$4,0)),NA(),IF(SUMPRODUCT((Inputs!$A$5:$A$160=$B30)*ISNUMBER(INDEX(Inputs!$K$5:$AJ$160,0,MATCH(E$2,Inputs!$K$4:$AJ$4,0))))+SUMPRODUCT((Inputs!$C$5:$C$160=$B30)*ISNUMBER(INDEX(Inputs!$K$5:$AJ$160,0,MATCH(E$2,Inputs!$K$4:$AJ$4,0))))+SUMPRODUCT((Inputs!$E$5:$E$160=$B30)*ISNUMBER(INDEX(Inputs!$K$5:$AJ$160,0,MATCH(E$2,Inputs!$K$4:$AJ$4,0))))=0,NA(),SUMPRODUCT((Inputs!$A$5:$A$160=$B30)*Inputs!$B$5:$B$160*(((Inputs!$G$5:$G$160="moeda")+(Inputs!$G$5:$G$160="acoes"))*Inputs!$B$1+((Inputs!$G$5:$G$160&lt;&gt;"moeda")*(Inputs!$G$5:$G$160&lt;&gt;"acoes")))*INDEX(Inputs!$K$5:$AJ$160,0,MATCH(E$2,Inputs!$K$4:$AJ$4,0)))+SUMPRODUCT((Inputs!$C$5:$C$160=$B30)*Inputs!$D$5:$D$160*(((Inputs!$G$5:$G$160="moeda")+(Inputs!$G$5:$G$160="acoes"))*Inputs!$B$1+((Inputs!$G$5:$G$160&lt;&gt;"moeda")*(Inputs!$G$5:$G$160&lt;&gt;"acoes")))*INDEX(Inputs!$K$5:$AJ$160,0,MATCH(E$2,Inputs!$K$4:$AJ$4,0)))+SUMPRODUCT((Inputs!$E$5:$E$160=$B30)*Inputs!$F$5:$F$160*(((Inputs!$G$5:$G$160="moeda")+(Inputs!$G$5:$G$160="acoes"))*Inputs!$B$1+((Inputs!$G$5:$G$160&lt;&gt;"moeda")*(Inputs!$G$5:$G$160&lt;&gt;"acoes")))*INDEX(Inputs!$K$5:$AJ$160,0,MATCH(E$2,Inputs!$K$4:$AJ$4,0)))))</f>
        <v>84.15495263</v>
      </c>
      <c r="F30" s="6">
        <f>IF(ISNA(MATCH(F$2,Inputs!$K$4:$AJ$4,0)),NA(),IF(SUMPRODUCT((Inputs!$A$5:$A$160=$B30)*ISNUMBER(INDEX(Inputs!$K$5:$AJ$160,0,MATCH(F$2,Inputs!$K$4:$AJ$4,0))))+SUMPRODUCT((Inputs!$C$5:$C$160=$B30)*ISNUMBER(INDEX(Inputs!$K$5:$AJ$160,0,MATCH(F$2,Inputs!$K$4:$AJ$4,0))))+SUMPRODUCT((Inputs!$E$5:$E$160=$B30)*ISNUMBER(INDEX(Inputs!$K$5:$AJ$160,0,MATCH(F$2,Inputs!$K$4:$AJ$4,0))))=0,NA(),SUMPRODUCT((Inputs!$A$5:$A$160=$B30)*Inputs!$B$5:$B$160*(((Inputs!$G$5:$G$160="moeda")+(Inputs!$G$5:$G$160="acoes"))*Inputs!$B$1+((Inputs!$G$5:$G$160&lt;&gt;"moeda")*(Inputs!$G$5:$G$160&lt;&gt;"acoes")))*INDEX(Inputs!$K$5:$AJ$160,0,MATCH(F$2,Inputs!$K$4:$AJ$4,0)))+SUMPRODUCT((Inputs!$C$5:$C$160=$B30)*Inputs!$D$5:$D$160*(((Inputs!$G$5:$G$160="moeda")+(Inputs!$G$5:$G$160="acoes"))*Inputs!$B$1+((Inputs!$G$5:$G$160&lt;&gt;"moeda")*(Inputs!$G$5:$G$160&lt;&gt;"acoes")))*INDEX(Inputs!$K$5:$AJ$160,0,MATCH(F$2,Inputs!$K$4:$AJ$4,0)))+SUMPRODUCT((Inputs!$E$5:$E$160=$B30)*Inputs!$F$5:$F$160*(((Inputs!$G$5:$G$160="moeda")+(Inputs!$G$5:$G$160="acoes"))*Inputs!$B$1+((Inputs!$G$5:$G$160&lt;&gt;"moeda")*(Inputs!$G$5:$G$160&lt;&gt;"acoes")))*INDEX(Inputs!$K$5:$AJ$160,0,MATCH(F$2,Inputs!$K$4:$AJ$4,0)))))</f>
        <v>191.66460878</v>
      </c>
      <c r="G30" s="6">
        <f>IF(ISNA(MATCH(G$2,Inputs!$K$4:$AJ$4,0)),NA(),IF(SUMPRODUCT((Inputs!$A$5:$A$160=$B30)*ISNUMBER(INDEX(Inputs!$K$5:$AJ$160,0,MATCH(G$2,Inputs!$K$4:$AJ$4,0))))+SUMPRODUCT((Inputs!$C$5:$C$160=$B30)*ISNUMBER(INDEX(Inputs!$K$5:$AJ$160,0,MATCH(G$2,Inputs!$K$4:$AJ$4,0))))+SUMPRODUCT((Inputs!$E$5:$E$160=$B30)*ISNUMBER(INDEX(Inputs!$K$5:$AJ$160,0,MATCH(G$2,Inputs!$K$4:$AJ$4,0))))=0,NA(),SUMPRODUCT((Inputs!$A$5:$A$160=$B30)*Inputs!$B$5:$B$160*(((Inputs!$G$5:$G$160="moeda")+(Inputs!$G$5:$G$160="acoes"))*Inputs!$B$1+((Inputs!$G$5:$G$160&lt;&gt;"moeda")*(Inputs!$G$5:$G$160&lt;&gt;"acoes")))*INDEX(Inputs!$K$5:$AJ$160,0,MATCH(G$2,Inputs!$K$4:$AJ$4,0)))+SUMPRODUCT((Inputs!$C$5:$C$160=$B30)*Inputs!$D$5:$D$160*(((Inputs!$G$5:$G$160="moeda")+(Inputs!$G$5:$G$160="acoes"))*Inputs!$B$1+((Inputs!$G$5:$G$160&lt;&gt;"moeda")*(Inputs!$G$5:$G$160&lt;&gt;"acoes")))*INDEX(Inputs!$K$5:$AJ$160,0,MATCH(G$2,Inputs!$K$4:$AJ$4,0)))+SUMPRODUCT((Inputs!$E$5:$E$160=$B30)*Inputs!$F$5:$F$160*(((Inputs!$G$5:$G$160="moeda")+(Inputs!$G$5:$G$160="acoes"))*Inputs!$B$1+((Inputs!$G$5:$G$160&lt;&gt;"moeda")*(Inputs!$G$5:$G$160&lt;&gt;"acoes")))*INDEX(Inputs!$K$5:$AJ$160,0,MATCH(G$2,Inputs!$K$4:$AJ$4,0)))))</f>
        <v>91.24440729</v>
      </c>
      <c r="H30" s="3">
        <f>G30</f>
        <v>91.24440729</v>
      </c>
      <c r="I30" s="6">
        <f>IF(ISNA(MATCH(I$2,Inputs!$K$4:$AJ$4,0)),NA(),IF(SUMPRODUCT((Inputs!$A$5:$A$160=$B30)*ISNUMBER(INDEX(Inputs!$K$5:$AJ$160,0,MATCH(I$2,Inputs!$K$4:$AJ$4,0))))+SUMPRODUCT((Inputs!$C$5:$C$160=$B30)*ISNUMBER(INDEX(Inputs!$K$5:$AJ$160,0,MATCH(I$2,Inputs!$K$4:$AJ$4,0))))+SUMPRODUCT((Inputs!$E$5:$E$160=$B30)*ISNUMBER(INDEX(Inputs!$K$5:$AJ$160,0,MATCH(I$2,Inputs!$K$4:$AJ$4,0))))=0,NA(),SUMPRODUCT((Inputs!$A$5:$A$160=$B30)*Inputs!$B$5:$B$160*(((Inputs!$G$5:$G$160="moeda")+(Inputs!$G$5:$G$160="acoes"))*Inputs!$B$1+((Inputs!$G$5:$G$160&lt;&gt;"moeda")*(Inputs!$G$5:$G$160&lt;&gt;"acoes")))*INDEX(Inputs!$K$5:$AJ$160,0,MATCH(I$2,Inputs!$K$4:$AJ$4,0)))+SUMPRODUCT((Inputs!$C$5:$C$160=$B30)*Inputs!$D$5:$D$160*(((Inputs!$G$5:$G$160="moeda")+(Inputs!$G$5:$G$160="acoes"))*Inputs!$B$1+((Inputs!$G$5:$G$160&lt;&gt;"moeda")*(Inputs!$G$5:$G$160&lt;&gt;"acoes")))*INDEX(Inputs!$K$5:$AJ$160,0,MATCH(I$2,Inputs!$K$4:$AJ$4,0)))+SUMPRODUCT((Inputs!$E$5:$E$160=$B30)*Inputs!$F$5:$F$160*(((Inputs!$G$5:$G$160="moeda")+(Inputs!$G$5:$G$160="acoes"))*Inputs!$B$1+((Inputs!$G$5:$G$160&lt;&gt;"moeda")*(Inputs!$G$5:$G$160&lt;&gt;"acoes")))*INDEX(Inputs!$K$5:$AJ$160,0,MATCH(I$2,Inputs!$K$4:$AJ$4,0)))))</f>
        <v>81.85342882</v>
      </c>
      <c r="J30" s="6">
        <f>IF(ISNA(MATCH(J$2,Inputs!$K$4:$AJ$4,0)),NA(),IF(SUMPRODUCT((Inputs!$A$5:$A$160=$B30)*ISNUMBER(INDEX(Inputs!$K$5:$AJ$160,0,MATCH(J$2,Inputs!$K$4:$AJ$4,0))))+SUMPRODUCT((Inputs!$C$5:$C$160=$B30)*ISNUMBER(INDEX(Inputs!$K$5:$AJ$160,0,MATCH(J$2,Inputs!$K$4:$AJ$4,0))))+SUMPRODUCT((Inputs!$E$5:$E$160=$B30)*ISNUMBER(INDEX(Inputs!$K$5:$AJ$160,0,MATCH(J$2,Inputs!$K$4:$AJ$4,0))))=0,NA(),SUMPRODUCT((Inputs!$A$5:$A$160=$B30)*Inputs!$B$5:$B$160*(((Inputs!$G$5:$G$160="moeda")+(Inputs!$G$5:$G$160="acoes"))*Inputs!$B$1+((Inputs!$G$5:$G$160&lt;&gt;"moeda")*(Inputs!$G$5:$G$160&lt;&gt;"acoes")))*INDEX(Inputs!$K$5:$AJ$160,0,MATCH(J$2,Inputs!$K$4:$AJ$4,0)))+SUMPRODUCT((Inputs!$C$5:$C$160=$B30)*Inputs!$D$5:$D$160*(((Inputs!$G$5:$G$160="moeda")+(Inputs!$G$5:$G$160="acoes"))*Inputs!$B$1+((Inputs!$G$5:$G$160&lt;&gt;"moeda")*(Inputs!$G$5:$G$160&lt;&gt;"acoes")))*INDEX(Inputs!$K$5:$AJ$160,0,MATCH(J$2,Inputs!$K$4:$AJ$4,0)))+SUMPRODUCT((Inputs!$E$5:$E$160=$B30)*Inputs!$F$5:$F$160*(((Inputs!$G$5:$G$160="moeda")+(Inputs!$G$5:$G$160="acoes"))*Inputs!$B$1+((Inputs!$G$5:$G$160&lt;&gt;"moeda")*(Inputs!$G$5:$G$160&lt;&gt;"acoes")))*INDEX(Inputs!$K$5:$AJ$160,0,MATCH(J$2,Inputs!$K$4:$AJ$4,0)))))</f>
        <v>124.66710529</v>
      </c>
      <c r="K30" s="6">
        <f>IF(ISNA(MATCH(K$2,Inputs!$K$4:$AJ$4,0)),NA(),IF(SUMPRODUCT((Inputs!$A$5:$A$160=$B30)*ISNUMBER(INDEX(Inputs!$K$5:$AJ$160,0,MATCH(K$2,Inputs!$K$4:$AJ$4,0))))+SUMPRODUCT((Inputs!$C$5:$C$160=$B30)*ISNUMBER(INDEX(Inputs!$K$5:$AJ$160,0,MATCH(K$2,Inputs!$K$4:$AJ$4,0))))+SUMPRODUCT((Inputs!$E$5:$E$160=$B30)*ISNUMBER(INDEX(Inputs!$K$5:$AJ$160,0,MATCH(K$2,Inputs!$K$4:$AJ$4,0))))=0,NA(),SUMPRODUCT((Inputs!$A$5:$A$160=$B30)*Inputs!$B$5:$B$160*(((Inputs!$G$5:$G$160="moeda")+(Inputs!$G$5:$G$160="acoes"))*Inputs!$B$1+((Inputs!$G$5:$G$160&lt;&gt;"moeda")*(Inputs!$G$5:$G$160&lt;&gt;"acoes")))*INDEX(Inputs!$K$5:$AJ$160,0,MATCH(K$2,Inputs!$K$4:$AJ$4,0)))+SUMPRODUCT((Inputs!$C$5:$C$160=$B30)*Inputs!$D$5:$D$160*(((Inputs!$G$5:$G$160="moeda")+(Inputs!$G$5:$G$160="acoes"))*Inputs!$B$1+((Inputs!$G$5:$G$160&lt;&gt;"moeda")*(Inputs!$G$5:$G$160&lt;&gt;"acoes")))*INDEX(Inputs!$K$5:$AJ$160,0,MATCH(K$2,Inputs!$K$4:$AJ$4,0)))+SUMPRODUCT((Inputs!$E$5:$E$160=$B30)*Inputs!$F$5:$F$160*(((Inputs!$G$5:$G$160="moeda")+(Inputs!$G$5:$G$160="acoes"))*Inputs!$B$1+((Inputs!$G$5:$G$160&lt;&gt;"moeda")*(Inputs!$G$5:$G$160&lt;&gt;"acoes")))*INDEX(Inputs!$K$5:$AJ$160,0,MATCH(K$2,Inputs!$K$4:$AJ$4,0)))))</f>
        <v>173.02486096</v>
      </c>
      <c r="L30" s="6">
        <f>IF(ISNA(MATCH(L$2,Inputs!$K$4:$AJ$4,0)),NA(),IF(SUMPRODUCT((Inputs!$A$5:$A$160=$B30)*ISNUMBER(INDEX(Inputs!$K$5:$AJ$160,0,MATCH(L$2,Inputs!$K$4:$AJ$4,0))))+SUMPRODUCT((Inputs!$C$5:$C$160=$B30)*ISNUMBER(INDEX(Inputs!$K$5:$AJ$160,0,MATCH(L$2,Inputs!$K$4:$AJ$4,0))))+SUMPRODUCT((Inputs!$E$5:$E$160=$B30)*ISNUMBER(INDEX(Inputs!$K$5:$AJ$160,0,MATCH(L$2,Inputs!$K$4:$AJ$4,0))))=0,NA(),SUMPRODUCT((Inputs!$A$5:$A$160=$B30)*Inputs!$B$5:$B$160*(((Inputs!$G$5:$G$160="moeda")+(Inputs!$G$5:$G$160="acoes"))*Inputs!$B$1+((Inputs!$G$5:$G$160&lt;&gt;"moeda")*(Inputs!$G$5:$G$160&lt;&gt;"acoes")))*INDEX(Inputs!$K$5:$AJ$160,0,MATCH(L$2,Inputs!$K$4:$AJ$4,0)))+SUMPRODUCT((Inputs!$C$5:$C$160=$B30)*Inputs!$D$5:$D$160*(((Inputs!$G$5:$G$160="moeda")+(Inputs!$G$5:$G$160="acoes"))*Inputs!$B$1+((Inputs!$G$5:$G$160&lt;&gt;"moeda")*(Inputs!$G$5:$G$160&lt;&gt;"acoes")))*INDEX(Inputs!$K$5:$AJ$160,0,MATCH(L$2,Inputs!$K$4:$AJ$4,0)))+SUMPRODUCT((Inputs!$E$5:$E$160=$B30)*Inputs!$F$5:$F$160*(((Inputs!$G$5:$G$160="moeda")+(Inputs!$G$5:$G$160="acoes"))*Inputs!$B$1+((Inputs!$G$5:$G$160&lt;&gt;"moeda")*(Inputs!$G$5:$G$160&lt;&gt;"acoes")))*INDEX(Inputs!$K$5:$AJ$160,0,MATCH(L$2,Inputs!$K$4:$AJ$4,0)))))</f>
        <v>47.92208004</v>
      </c>
      <c r="M30" s="3">
        <f>L30</f>
        <v>47.92208004</v>
      </c>
      <c r="N30" s="6">
        <f>IF(ISNA(MATCH(N$2,Inputs!$K$4:$AJ$4,0)),NA(),IF(SUMPRODUCT((Inputs!$A$5:$A$160=$B30)*ISNUMBER(INDEX(Inputs!$K$5:$AJ$160,0,MATCH(N$2,Inputs!$K$4:$AJ$4,0))))+SUMPRODUCT((Inputs!$C$5:$C$160=$B30)*ISNUMBER(INDEX(Inputs!$K$5:$AJ$160,0,MATCH(N$2,Inputs!$K$4:$AJ$4,0))))+SUMPRODUCT((Inputs!$E$5:$E$160=$B30)*ISNUMBER(INDEX(Inputs!$K$5:$AJ$160,0,MATCH(N$2,Inputs!$K$4:$AJ$4,0))))=0,NA(),SUMPRODUCT((Inputs!$A$5:$A$160=$B30)*Inputs!$B$5:$B$160*(((Inputs!$G$5:$G$160="moeda")+(Inputs!$G$5:$G$160="acoes"))*Inputs!$B$1+((Inputs!$G$5:$G$160&lt;&gt;"moeda")*(Inputs!$G$5:$G$160&lt;&gt;"acoes")))*INDEX(Inputs!$K$5:$AJ$160,0,MATCH(N$2,Inputs!$K$4:$AJ$4,0)))+SUMPRODUCT((Inputs!$C$5:$C$160=$B30)*Inputs!$D$5:$D$160*(((Inputs!$G$5:$G$160="moeda")+(Inputs!$G$5:$G$160="acoes"))*Inputs!$B$1+((Inputs!$G$5:$G$160&lt;&gt;"moeda")*(Inputs!$G$5:$G$160&lt;&gt;"acoes")))*INDEX(Inputs!$K$5:$AJ$160,0,MATCH(N$2,Inputs!$K$4:$AJ$4,0)))+SUMPRODUCT((Inputs!$E$5:$E$160=$B30)*Inputs!$F$5:$F$160*(((Inputs!$G$5:$G$160="moeda")+(Inputs!$G$5:$G$160="acoes"))*Inputs!$B$1+((Inputs!$G$5:$G$160&lt;&gt;"moeda")*(Inputs!$G$5:$G$160&lt;&gt;"acoes")))*INDEX(Inputs!$K$5:$AJ$160,0,MATCH(N$2,Inputs!$K$4:$AJ$4,0)))))</f>
        <v>59.47314835</v>
      </c>
      <c r="O30" s="6">
        <f>IF(ISNA(MATCH(O$2,Inputs!$K$4:$AJ$4,0)),NA(),IF(SUMPRODUCT((Inputs!$A$5:$A$160=$B30)*ISNUMBER(INDEX(Inputs!$K$5:$AJ$160,0,MATCH(O$2,Inputs!$K$4:$AJ$4,0))))+SUMPRODUCT((Inputs!$C$5:$C$160=$B30)*ISNUMBER(INDEX(Inputs!$K$5:$AJ$160,0,MATCH(O$2,Inputs!$K$4:$AJ$4,0))))+SUMPRODUCT((Inputs!$E$5:$E$160=$B30)*ISNUMBER(INDEX(Inputs!$K$5:$AJ$160,0,MATCH(O$2,Inputs!$K$4:$AJ$4,0))))=0,NA(),SUMPRODUCT((Inputs!$A$5:$A$160=$B30)*Inputs!$B$5:$B$160*(((Inputs!$G$5:$G$160="moeda")+(Inputs!$G$5:$G$160="acoes"))*Inputs!$B$1+((Inputs!$G$5:$G$160&lt;&gt;"moeda")*(Inputs!$G$5:$G$160&lt;&gt;"acoes")))*INDEX(Inputs!$K$5:$AJ$160,0,MATCH(O$2,Inputs!$K$4:$AJ$4,0)))+SUMPRODUCT((Inputs!$C$5:$C$160=$B30)*Inputs!$D$5:$D$160*(((Inputs!$G$5:$G$160="moeda")+(Inputs!$G$5:$G$160="acoes"))*Inputs!$B$1+((Inputs!$G$5:$G$160&lt;&gt;"moeda")*(Inputs!$G$5:$G$160&lt;&gt;"acoes")))*INDEX(Inputs!$K$5:$AJ$160,0,MATCH(O$2,Inputs!$K$4:$AJ$4,0)))+SUMPRODUCT((Inputs!$E$5:$E$160=$B30)*Inputs!$F$5:$F$160*(((Inputs!$G$5:$G$160="moeda")+(Inputs!$G$5:$G$160="acoes"))*Inputs!$B$1+((Inputs!$G$5:$G$160&lt;&gt;"moeda")*(Inputs!$G$5:$G$160&lt;&gt;"acoes")))*INDEX(Inputs!$K$5:$AJ$160,0,MATCH(O$2,Inputs!$K$4:$AJ$4,0)))))</f>
        <v>80.564</v>
      </c>
      <c r="P30" s="6">
        <f>IF(ISNA(MATCH(P$2,Inputs!$K$4:$AJ$4,0)),NA(),IF(SUMPRODUCT((Inputs!$A$5:$A$160=$B30)*ISNUMBER(INDEX(Inputs!$K$5:$AJ$160,0,MATCH(P$2,Inputs!$K$4:$AJ$4,0))))+SUMPRODUCT((Inputs!$C$5:$C$160=$B30)*ISNUMBER(INDEX(Inputs!$K$5:$AJ$160,0,MATCH(P$2,Inputs!$K$4:$AJ$4,0))))+SUMPRODUCT((Inputs!$E$5:$E$160=$B30)*ISNUMBER(INDEX(Inputs!$K$5:$AJ$160,0,MATCH(P$2,Inputs!$K$4:$AJ$4,0))))=0,NA(),SUMPRODUCT((Inputs!$A$5:$A$160=$B30)*Inputs!$B$5:$B$160*(((Inputs!$G$5:$G$160="moeda")+(Inputs!$G$5:$G$160="acoes"))*Inputs!$B$1+((Inputs!$G$5:$G$160&lt;&gt;"moeda")*(Inputs!$G$5:$G$160&lt;&gt;"acoes")))*INDEX(Inputs!$K$5:$AJ$160,0,MATCH(P$2,Inputs!$K$4:$AJ$4,0)))+SUMPRODUCT((Inputs!$C$5:$C$160=$B30)*Inputs!$D$5:$D$160*(((Inputs!$G$5:$G$160="moeda")+(Inputs!$G$5:$G$160="acoes"))*Inputs!$B$1+((Inputs!$G$5:$G$160&lt;&gt;"moeda")*(Inputs!$G$5:$G$160&lt;&gt;"acoes")))*INDEX(Inputs!$K$5:$AJ$160,0,MATCH(P$2,Inputs!$K$4:$AJ$4,0)))+SUMPRODUCT((Inputs!$E$5:$E$160=$B30)*Inputs!$F$5:$F$160*(((Inputs!$G$5:$G$160="moeda")+(Inputs!$G$5:$G$160="acoes"))*Inputs!$B$1+((Inputs!$G$5:$G$160&lt;&gt;"moeda")*(Inputs!$G$5:$G$160&lt;&gt;"acoes")))*INDEX(Inputs!$K$5:$AJ$160,0,MATCH(P$2,Inputs!$K$4:$AJ$4,0)))))</f>
        <v>84.038</v>
      </c>
      <c r="Q30" s="6">
        <f>IF(ISNA(MATCH(Q$2,Inputs!$K$4:$AJ$4,0)),NA(),IF(SUMPRODUCT((Inputs!$A$5:$A$160=$B30)*ISNUMBER(INDEX(Inputs!$K$5:$AJ$160,0,MATCH(Q$2,Inputs!$K$4:$AJ$4,0))))+SUMPRODUCT((Inputs!$C$5:$C$160=$B30)*ISNUMBER(INDEX(Inputs!$K$5:$AJ$160,0,MATCH(Q$2,Inputs!$K$4:$AJ$4,0))))+SUMPRODUCT((Inputs!$E$5:$E$160=$B30)*ISNUMBER(INDEX(Inputs!$K$5:$AJ$160,0,MATCH(Q$2,Inputs!$K$4:$AJ$4,0))))=0,NA(),SUMPRODUCT((Inputs!$A$5:$A$160=$B30)*Inputs!$B$5:$B$160*(((Inputs!$G$5:$G$160="moeda")+(Inputs!$G$5:$G$160="acoes"))*Inputs!$B$1+((Inputs!$G$5:$G$160&lt;&gt;"moeda")*(Inputs!$G$5:$G$160&lt;&gt;"acoes")))*INDEX(Inputs!$K$5:$AJ$160,0,MATCH(Q$2,Inputs!$K$4:$AJ$4,0)))+SUMPRODUCT((Inputs!$C$5:$C$160=$B30)*Inputs!$D$5:$D$160*(((Inputs!$G$5:$G$160="moeda")+(Inputs!$G$5:$G$160="acoes"))*Inputs!$B$1+((Inputs!$G$5:$G$160&lt;&gt;"moeda")*(Inputs!$G$5:$G$160&lt;&gt;"acoes")))*INDEX(Inputs!$K$5:$AJ$160,0,MATCH(Q$2,Inputs!$K$4:$AJ$4,0)))+SUMPRODUCT((Inputs!$E$5:$E$160=$B30)*Inputs!$F$5:$F$160*(((Inputs!$G$5:$G$160="moeda")+(Inputs!$G$5:$G$160="acoes"))*Inputs!$B$1+((Inputs!$G$5:$G$160&lt;&gt;"moeda")*(Inputs!$G$5:$G$160&lt;&gt;"acoes")))*INDEX(Inputs!$K$5:$AJ$160,0,MATCH(Q$2,Inputs!$K$4:$AJ$4,0)))))</f>
        <v>80.583</v>
      </c>
      <c r="R30" s="3">
        <f>Q30</f>
        <v>80.583</v>
      </c>
      <c r="S30" s="6">
        <f>IF(ISNA(MATCH(S$2,Inputs!$K$4:$AJ$4,0)),NA(),IF(SUMPRODUCT((Inputs!$A$5:$A$160=$B30)*ISNUMBER(INDEX(Inputs!$K$5:$AJ$160,0,MATCH(S$2,Inputs!$K$4:$AJ$4,0))))+SUMPRODUCT((Inputs!$C$5:$C$160=$B30)*ISNUMBER(INDEX(Inputs!$K$5:$AJ$160,0,MATCH(S$2,Inputs!$K$4:$AJ$4,0))))+SUMPRODUCT((Inputs!$E$5:$E$160=$B30)*ISNUMBER(INDEX(Inputs!$K$5:$AJ$160,0,MATCH(S$2,Inputs!$K$4:$AJ$4,0))))=0,NA(),SUMPRODUCT((Inputs!$A$5:$A$160=$B30)*Inputs!$B$5:$B$160*(((Inputs!$G$5:$G$160="moeda")+(Inputs!$G$5:$G$160="acoes"))*Inputs!$B$1+((Inputs!$G$5:$G$160&lt;&gt;"moeda")*(Inputs!$G$5:$G$160&lt;&gt;"acoes")))*INDEX(Inputs!$K$5:$AJ$160,0,MATCH(S$2,Inputs!$K$4:$AJ$4,0)))+SUMPRODUCT((Inputs!$C$5:$C$160=$B30)*Inputs!$D$5:$D$160*(((Inputs!$G$5:$G$160="moeda")+(Inputs!$G$5:$G$160="acoes"))*Inputs!$B$1+((Inputs!$G$5:$G$160&lt;&gt;"moeda")*(Inputs!$G$5:$G$160&lt;&gt;"acoes")))*INDEX(Inputs!$K$5:$AJ$160,0,MATCH(S$2,Inputs!$K$4:$AJ$4,0)))+SUMPRODUCT((Inputs!$E$5:$E$160=$B30)*Inputs!$F$5:$F$160*(((Inputs!$G$5:$G$160="moeda")+(Inputs!$G$5:$G$160="acoes"))*Inputs!$B$1+((Inputs!$G$5:$G$160&lt;&gt;"moeda")*(Inputs!$G$5:$G$160&lt;&gt;"acoes")))*INDEX(Inputs!$K$5:$AJ$160,0,MATCH(S$2,Inputs!$K$4:$AJ$4,0)))))</f>
        <v>75.011</v>
      </c>
      <c r="T30" s="6">
        <f>IF(ISNA(MATCH(T$2,Inputs!$K$4:$AJ$4,0)),NA(),IF(SUMPRODUCT((Inputs!$A$5:$A$160=$B30)*ISNUMBER(INDEX(Inputs!$K$5:$AJ$160,0,MATCH(T$2,Inputs!$K$4:$AJ$4,0))))+SUMPRODUCT((Inputs!$C$5:$C$160=$B30)*ISNUMBER(INDEX(Inputs!$K$5:$AJ$160,0,MATCH(T$2,Inputs!$K$4:$AJ$4,0))))+SUMPRODUCT((Inputs!$E$5:$E$160=$B30)*ISNUMBER(INDEX(Inputs!$K$5:$AJ$160,0,MATCH(T$2,Inputs!$K$4:$AJ$4,0))))=0,NA(),SUMPRODUCT((Inputs!$A$5:$A$160=$B30)*Inputs!$B$5:$B$160*(((Inputs!$G$5:$G$160="moeda")+(Inputs!$G$5:$G$160="acoes"))*Inputs!$B$1+((Inputs!$G$5:$G$160&lt;&gt;"moeda")*(Inputs!$G$5:$G$160&lt;&gt;"acoes")))*INDEX(Inputs!$K$5:$AJ$160,0,MATCH(T$2,Inputs!$K$4:$AJ$4,0)))+SUMPRODUCT((Inputs!$C$5:$C$160=$B30)*Inputs!$D$5:$D$160*(((Inputs!$G$5:$G$160="moeda")+(Inputs!$G$5:$G$160="acoes"))*Inputs!$B$1+((Inputs!$G$5:$G$160&lt;&gt;"moeda")*(Inputs!$G$5:$G$160&lt;&gt;"acoes")))*INDEX(Inputs!$K$5:$AJ$160,0,MATCH(T$2,Inputs!$K$4:$AJ$4,0)))+SUMPRODUCT((Inputs!$E$5:$E$160=$B30)*Inputs!$F$5:$F$160*(((Inputs!$G$5:$G$160="moeda")+(Inputs!$G$5:$G$160="acoes"))*Inputs!$B$1+((Inputs!$G$5:$G$160&lt;&gt;"moeda")*(Inputs!$G$5:$G$160&lt;&gt;"acoes")))*INDEX(Inputs!$K$5:$AJ$160,0,MATCH(T$2,Inputs!$K$4:$AJ$4,0)))))</f>
        <v>109.283</v>
      </c>
      <c r="U30" s="6">
        <f>IF(ISNA(MATCH(U$2,Inputs!$K$4:$AJ$4,0)),NA(),IF(SUMPRODUCT((Inputs!$A$5:$A$160=$B30)*ISNUMBER(INDEX(Inputs!$K$5:$AJ$160,0,MATCH(U$2,Inputs!$K$4:$AJ$4,0))))+SUMPRODUCT((Inputs!$C$5:$C$160=$B30)*ISNUMBER(INDEX(Inputs!$K$5:$AJ$160,0,MATCH(U$2,Inputs!$K$4:$AJ$4,0))))+SUMPRODUCT((Inputs!$E$5:$E$160=$B30)*ISNUMBER(INDEX(Inputs!$K$5:$AJ$160,0,MATCH(U$2,Inputs!$K$4:$AJ$4,0))))=0,NA(),SUMPRODUCT((Inputs!$A$5:$A$160=$B30)*Inputs!$B$5:$B$160*(((Inputs!$G$5:$G$160="moeda")+(Inputs!$G$5:$G$160="acoes"))*Inputs!$B$1+((Inputs!$G$5:$G$160&lt;&gt;"moeda")*(Inputs!$G$5:$G$160&lt;&gt;"acoes")))*INDEX(Inputs!$K$5:$AJ$160,0,MATCH(U$2,Inputs!$K$4:$AJ$4,0)))+SUMPRODUCT((Inputs!$C$5:$C$160=$B30)*Inputs!$D$5:$D$160*(((Inputs!$G$5:$G$160="moeda")+(Inputs!$G$5:$G$160="acoes"))*Inputs!$B$1+((Inputs!$G$5:$G$160&lt;&gt;"moeda")*(Inputs!$G$5:$G$160&lt;&gt;"acoes")))*INDEX(Inputs!$K$5:$AJ$160,0,MATCH(U$2,Inputs!$K$4:$AJ$4,0)))+SUMPRODUCT((Inputs!$E$5:$E$160=$B30)*Inputs!$F$5:$F$160*(((Inputs!$G$5:$G$160="moeda")+(Inputs!$G$5:$G$160="acoes"))*Inputs!$B$1+((Inputs!$G$5:$G$160&lt;&gt;"moeda")*(Inputs!$G$5:$G$160&lt;&gt;"acoes")))*INDEX(Inputs!$K$5:$AJ$160,0,MATCH(U$2,Inputs!$K$4:$AJ$4,0)))))</f>
        <v>95.523</v>
      </c>
      <c r="V30" s="6">
        <f>IF(ISNA(MATCH(V$2,Inputs!$K$4:$AJ$4,0)),NA(),IF(SUMPRODUCT((Inputs!$A$5:$A$160=$B30)*ISNUMBER(INDEX(Inputs!$K$5:$AJ$160,0,MATCH(V$2,Inputs!$K$4:$AJ$4,0))))+SUMPRODUCT((Inputs!$C$5:$C$160=$B30)*ISNUMBER(INDEX(Inputs!$K$5:$AJ$160,0,MATCH(V$2,Inputs!$K$4:$AJ$4,0))))+SUMPRODUCT((Inputs!$E$5:$E$160=$B30)*ISNUMBER(INDEX(Inputs!$K$5:$AJ$160,0,MATCH(V$2,Inputs!$K$4:$AJ$4,0))))=0,NA(),SUMPRODUCT((Inputs!$A$5:$A$160=$B30)*Inputs!$B$5:$B$160*(((Inputs!$G$5:$G$160="moeda")+(Inputs!$G$5:$G$160="acoes"))*Inputs!$B$1+((Inputs!$G$5:$G$160&lt;&gt;"moeda")*(Inputs!$G$5:$G$160&lt;&gt;"acoes")))*INDEX(Inputs!$K$5:$AJ$160,0,MATCH(V$2,Inputs!$K$4:$AJ$4,0)))+SUMPRODUCT((Inputs!$C$5:$C$160=$B30)*Inputs!$D$5:$D$160*(((Inputs!$G$5:$G$160="moeda")+(Inputs!$G$5:$G$160="acoes"))*Inputs!$B$1+((Inputs!$G$5:$G$160&lt;&gt;"moeda")*(Inputs!$G$5:$G$160&lt;&gt;"acoes")))*INDEX(Inputs!$K$5:$AJ$160,0,MATCH(V$2,Inputs!$K$4:$AJ$4,0)))+SUMPRODUCT((Inputs!$E$5:$E$160=$B30)*Inputs!$F$5:$F$160*(((Inputs!$G$5:$G$160="moeda")+(Inputs!$G$5:$G$160="acoes"))*Inputs!$B$1+((Inputs!$G$5:$G$160&lt;&gt;"moeda")*(Inputs!$G$5:$G$160&lt;&gt;"acoes")))*INDEX(Inputs!$K$5:$AJ$160,0,MATCH(V$2,Inputs!$K$4:$AJ$4,0)))))</f>
        <v>98.581</v>
      </c>
      <c r="W30" s="3">
        <f>V30</f>
        <v>98.581</v>
      </c>
      <c r="X30" s="6">
        <f>IF(ISNA(MATCH(X$2,Inputs!$K$4:$AJ$4,0)),NA(),IF(SUMPRODUCT((Inputs!$A$5:$A$160=$B30)*ISNUMBER(INDEX(Inputs!$K$5:$AJ$160,0,MATCH(X$2,Inputs!$K$4:$AJ$4,0))))+SUMPRODUCT((Inputs!$C$5:$C$160=$B30)*ISNUMBER(INDEX(Inputs!$K$5:$AJ$160,0,MATCH(X$2,Inputs!$K$4:$AJ$4,0))))+SUMPRODUCT((Inputs!$E$5:$E$160=$B30)*ISNUMBER(INDEX(Inputs!$K$5:$AJ$160,0,MATCH(X$2,Inputs!$K$4:$AJ$4,0))))=0,NA(),SUMPRODUCT((Inputs!$A$5:$A$160=$B30)*Inputs!$B$5:$B$160*(((Inputs!$G$5:$G$160="moeda")+(Inputs!$G$5:$G$160="acoes"))*Inputs!$B$1+((Inputs!$G$5:$G$160&lt;&gt;"moeda")*(Inputs!$G$5:$G$160&lt;&gt;"acoes")))*INDEX(Inputs!$K$5:$AJ$160,0,MATCH(X$2,Inputs!$K$4:$AJ$4,0)))+SUMPRODUCT((Inputs!$C$5:$C$160=$B30)*Inputs!$D$5:$D$160*(((Inputs!$G$5:$G$160="moeda")+(Inputs!$G$5:$G$160="acoes"))*Inputs!$B$1+((Inputs!$G$5:$G$160&lt;&gt;"moeda")*(Inputs!$G$5:$G$160&lt;&gt;"acoes")))*INDEX(Inputs!$K$5:$AJ$160,0,MATCH(X$2,Inputs!$K$4:$AJ$4,0)))+SUMPRODUCT((Inputs!$E$5:$E$160=$B30)*Inputs!$F$5:$F$160*(((Inputs!$G$5:$G$160="moeda")+(Inputs!$G$5:$G$160="acoes"))*Inputs!$B$1+((Inputs!$G$5:$G$160&lt;&gt;"moeda")*(Inputs!$G$5:$G$160&lt;&gt;"acoes")))*INDEX(Inputs!$K$5:$AJ$160,0,MATCH(X$2,Inputs!$K$4:$AJ$4,0)))))</f>
        <v>85.512222</v>
      </c>
      <c r="Y30" s="6">
        <f>IF(ISNA(MATCH(Y$2,Inputs!$K$4:$AJ$4,0)),NA(),IF(SUMPRODUCT((Inputs!$A$5:$A$160=$B30)*ISNUMBER(INDEX(Inputs!$K$5:$AJ$160,0,MATCH(Y$2,Inputs!$K$4:$AJ$4,0))))+SUMPRODUCT((Inputs!$C$5:$C$160=$B30)*ISNUMBER(INDEX(Inputs!$K$5:$AJ$160,0,MATCH(Y$2,Inputs!$K$4:$AJ$4,0))))+SUMPRODUCT((Inputs!$E$5:$E$160=$B30)*ISNUMBER(INDEX(Inputs!$K$5:$AJ$160,0,MATCH(Y$2,Inputs!$K$4:$AJ$4,0))))=0,NA(),SUMPRODUCT((Inputs!$A$5:$A$160=$B30)*Inputs!$B$5:$B$160*(((Inputs!$G$5:$G$160="moeda")+(Inputs!$G$5:$G$160="acoes"))*Inputs!$B$1+((Inputs!$G$5:$G$160&lt;&gt;"moeda")*(Inputs!$G$5:$G$160&lt;&gt;"acoes")))*INDEX(Inputs!$K$5:$AJ$160,0,MATCH(Y$2,Inputs!$K$4:$AJ$4,0)))+SUMPRODUCT((Inputs!$C$5:$C$160=$B30)*Inputs!$D$5:$D$160*(((Inputs!$G$5:$G$160="moeda")+(Inputs!$G$5:$G$160="acoes"))*Inputs!$B$1+((Inputs!$G$5:$G$160&lt;&gt;"moeda")*(Inputs!$G$5:$G$160&lt;&gt;"acoes")))*INDEX(Inputs!$K$5:$AJ$160,0,MATCH(Y$2,Inputs!$K$4:$AJ$4,0)))+SUMPRODUCT((Inputs!$E$5:$E$160=$B30)*Inputs!$F$5:$F$160*(((Inputs!$G$5:$G$160="moeda")+(Inputs!$G$5:$G$160="acoes"))*Inputs!$B$1+((Inputs!$G$5:$G$160&lt;&gt;"moeda")*(Inputs!$G$5:$G$160&lt;&gt;"acoes")))*INDEX(Inputs!$K$5:$AJ$160,0,MATCH(Y$2,Inputs!$K$4:$AJ$4,0)))))</f>
        <v>103.274</v>
      </c>
      <c r="Z30" s="6">
        <f>IF(ISNA(MATCH(Z$2,Inputs!$K$4:$AJ$4,0)),NA(),IF(SUMPRODUCT((Inputs!$A$5:$A$160=$B30)*ISNUMBER(INDEX(Inputs!$K$5:$AJ$160,0,MATCH(Z$2,Inputs!$K$4:$AJ$4,0))))+SUMPRODUCT((Inputs!$C$5:$C$160=$B30)*ISNUMBER(INDEX(Inputs!$K$5:$AJ$160,0,MATCH(Z$2,Inputs!$K$4:$AJ$4,0))))+SUMPRODUCT((Inputs!$E$5:$E$160=$B30)*ISNUMBER(INDEX(Inputs!$K$5:$AJ$160,0,MATCH(Z$2,Inputs!$K$4:$AJ$4,0))))=0,NA(),SUMPRODUCT((Inputs!$A$5:$A$160=$B30)*Inputs!$B$5:$B$160*(((Inputs!$G$5:$G$160="moeda")+(Inputs!$G$5:$G$160="acoes"))*Inputs!$B$1+((Inputs!$G$5:$G$160&lt;&gt;"moeda")*(Inputs!$G$5:$G$160&lt;&gt;"acoes")))*INDEX(Inputs!$K$5:$AJ$160,0,MATCH(Z$2,Inputs!$K$4:$AJ$4,0)))+SUMPRODUCT((Inputs!$C$5:$C$160=$B30)*Inputs!$D$5:$D$160*(((Inputs!$G$5:$G$160="moeda")+(Inputs!$G$5:$G$160="acoes"))*Inputs!$B$1+((Inputs!$G$5:$G$160&lt;&gt;"moeda")*(Inputs!$G$5:$G$160&lt;&gt;"acoes")))*INDEX(Inputs!$K$5:$AJ$160,0,MATCH(Z$2,Inputs!$K$4:$AJ$4,0)))+SUMPRODUCT((Inputs!$E$5:$E$160=$B30)*Inputs!$F$5:$F$160*(((Inputs!$G$5:$G$160="moeda")+(Inputs!$G$5:$G$160="acoes"))*Inputs!$B$1+((Inputs!$G$5:$G$160&lt;&gt;"moeda")*(Inputs!$G$5:$G$160&lt;&gt;"acoes")))*INDEX(Inputs!$K$5:$AJ$160,0,MATCH(Z$2,Inputs!$K$4:$AJ$4,0)))))</f>
        <v>117.346</v>
      </c>
      <c r="AA30" s="6">
        <f>IF(ISNA(MATCH(AA$2,Inputs!$K$4:$AJ$4,0)),NA(),IF(SUMPRODUCT((Inputs!$A$5:$A$160=$B30)*ISNUMBER(INDEX(Inputs!$K$5:$AJ$160,0,MATCH(AA$2,Inputs!$K$4:$AJ$4,0))))+SUMPRODUCT((Inputs!$C$5:$C$160=$B30)*ISNUMBER(INDEX(Inputs!$K$5:$AJ$160,0,MATCH(AA$2,Inputs!$K$4:$AJ$4,0))))+SUMPRODUCT((Inputs!$E$5:$E$160=$B30)*ISNUMBER(INDEX(Inputs!$K$5:$AJ$160,0,MATCH(AA$2,Inputs!$K$4:$AJ$4,0))))=0,NA(),SUMPRODUCT((Inputs!$A$5:$A$160=$B30)*Inputs!$B$5:$B$160*(((Inputs!$G$5:$G$160="moeda")+(Inputs!$G$5:$G$160="acoes"))*Inputs!$B$1+((Inputs!$G$5:$G$160&lt;&gt;"moeda")*(Inputs!$G$5:$G$160&lt;&gt;"acoes")))*INDEX(Inputs!$K$5:$AJ$160,0,MATCH(AA$2,Inputs!$K$4:$AJ$4,0)))+SUMPRODUCT((Inputs!$C$5:$C$160=$B30)*Inputs!$D$5:$D$160*(((Inputs!$G$5:$G$160="moeda")+(Inputs!$G$5:$G$160="acoes"))*Inputs!$B$1+((Inputs!$G$5:$G$160&lt;&gt;"moeda")*(Inputs!$G$5:$G$160&lt;&gt;"acoes")))*INDEX(Inputs!$K$5:$AJ$160,0,MATCH(AA$2,Inputs!$K$4:$AJ$4,0)))+SUMPRODUCT((Inputs!$E$5:$E$160=$B30)*Inputs!$F$5:$F$160*(((Inputs!$G$5:$G$160="moeda")+(Inputs!$G$5:$G$160="acoes"))*Inputs!$B$1+((Inputs!$G$5:$G$160&lt;&gt;"moeda")*(Inputs!$G$5:$G$160&lt;&gt;"acoes")))*INDEX(Inputs!$K$5:$AJ$160,0,MATCH(AA$2,Inputs!$K$4:$AJ$4,0)))))</f>
        <v>97.53</v>
      </c>
      <c r="AB30" s="3">
        <f>AA30</f>
        <v>97.53</v>
      </c>
      <c r="AC30" s="6">
        <f>IF(ISNA(MATCH(AC$2,Inputs!$K$4:$AJ$4,0)),NA(),IF(SUMPRODUCT((Inputs!$A$5:$A$160=$B30)*ISNUMBER(INDEX(Inputs!$K$5:$AJ$160,0,MATCH(AC$2,Inputs!$K$4:$AJ$4,0))))+SUMPRODUCT((Inputs!$C$5:$C$160=$B30)*ISNUMBER(INDEX(Inputs!$K$5:$AJ$160,0,MATCH(AC$2,Inputs!$K$4:$AJ$4,0))))+SUMPRODUCT((Inputs!$E$5:$E$160=$B30)*ISNUMBER(INDEX(Inputs!$K$5:$AJ$160,0,MATCH(AC$2,Inputs!$K$4:$AJ$4,0))))=0,NA(),SUMPRODUCT((Inputs!$A$5:$A$160=$B30)*Inputs!$B$5:$B$160*(((Inputs!$G$5:$G$160="moeda")+(Inputs!$G$5:$G$160="acoes"))*Inputs!$B$1+((Inputs!$G$5:$G$160&lt;&gt;"moeda")*(Inputs!$G$5:$G$160&lt;&gt;"acoes")))*INDEX(Inputs!$K$5:$AJ$160,0,MATCH(AC$2,Inputs!$K$4:$AJ$4,0)))+SUMPRODUCT((Inputs!$C$5:$C$160=$B30)*Inputs!$D$5:$D$160*(((Inputs!$G$5:$G$160="moeda")+(Inputs!$G$5:$G$160="acoes"))*Inputs!$B$1+((Inputs!$G$5:$G$160&lt;&gt;"moeda")*(Inputs!$G$5:$G$160&lt;&gt;"acoes")))*INDEX(Inputs!$K$5:$AJ$160,0,MATCH(AC$2,Inputs!$K$4:$AJ$4,0)))+SUMPRODUCT((Inputs!$E$5:$E$160=$B30)*Inputs!$F$5:$F$160*(((Inputs!$G$5:$G$160="moeda")+(Inputs!$G$5:$G$160="acoes"))*Inputs!$B$1+((Inputs!$G$5:$G$160&lt;&gt;"moeda")*(Inputs!$G$5:$G$160&lt;&gt;"acoes")))*INDEX(Inputs!$K$5:$AJ$160,0,MATCH(AC$2,Inputs!$K$4:$AJ$4,0)))))</f>
        <v>89.248</v>
      </c>
      <c r="AD30" s="6">
        <f>IF(ISNA(MATCH(AD$2,Inputs!$K$4:$AJ$4,0)),NA(),IF(SUMPRODUCT((Inputs!$A$5:$A$160=$B30)*ISNUMBER(INDEX(Inputs!$K$5:$AJ$160,0,MATCH(AD$2,Inputs!$K$4:$AJ$4,0))))+SUMPRODUCT((Inputs!$C$5:$C$160=$B30)*ISNUMBER(INDEX(Inputs!$K$5:$AJ$160,0,MATCH(AD$2,Inputs!$K$4:$AJ$4,0))))+SUMPRODUCT((Inputs!$E$5:$E$160=$B30)*ISNUMBER(INDEX(Inputs!$K$5:$AJ$160,0,MATCH(AD$2,Inputs!$K$4:$AJ$4,0))))=0,NA(),SUMPRODUCT((Inputs!$A$5:$A$160=$B30)*Inputs!$B$5:$B$160*(((Inputs!$G$5:$G$160="moeda")+(Inputs!$G$5:$G$160="acoes"))*Inputs!$B$1+((Inputs!$G$5:$G$160&lt;&gt;"moeda")*(Inputs!$G$5:$G$160&lt;&gt;"acoes")))*INDEX(Inputs!$K$5:$AJ$160,0,MATCH(AD$2,Inputs!$K$4:$AJ$4,0)))+SUMPRODUCT((Inputs!$C$5:$C$160=$B30)*Inputs!$D$5:$D$160*(((Inputs!$G$5:$G$160="moeda")+(Inputs!$G$5:$G$160="acoes"))*Inputs!$B$1+((Inputs!$G$5:$G$160&lt;&gt;"moeda")*(Inputs!$G$5:$G$160&lt;&gt;"acoes")))*INDEX(Inputs!$K$5:$AJ$160,0,MATCH(AD$2,Inputs!$K$4:$AJ$4,0)))+SUMPRODUCT((Inputs!$E$5:$E$160=$B30)*Inputs!$F$5:$F$160*(((Inputs!$G$5:$G$160="moeda")+(Inputs!$G$5:$G$160="acoes"))*Inputs!$B$1+((Inputs!$G$5:$G$160&lt;&gt;"moeda")*(Inputs!$G$5:$G$160&lt;&gt;"acoes")))*INDEX(Inputs!$K$5:$AJ$160,0,MATCH(AD$2,Inputs!$K$4:$AJ$4,0)))))</f>
        <v>113.008</v>
      </c>
      <c r="AE30" s="6" t="e">
        <f>IF(ISNA(MATCH(AE$2,Inputs!$K$4:$AJ$4,0)),NA(),IF(SUMPRODUCT((Inputs!$A$5:$A$160=$B30)*ISNUMBER(INDEX(Inputs!$K$5:$AJ$160,0,MATCH(AE$2,Inputs!$K$4:$AJ$4,0))))+SUMPRODUCT((Inputs!$C$5:$C$160=$B30)*ISNUMBER(INDEX(Inputs!$K$5:$AJ$160,0,MATCH(AE$2,Inputs!$K$4:$AJ$4,0))))+SUMPRODUCT((Inputs!$E$5:$E$160=$B30)*ISNUMBER(INDEX(Inputs!$K$5:$AJ$160,0,MATCH(AE$2,Inputs!$K$4:$AJ$4,0))))=0,NA(),SUMPRODUCT((Inputs!$A$5:$A$160=$B30)*Inputs!$B$5:$B$160*(((Inputs!$G$5:$G$160="moeda")+(Inputs!$G$5:$G$160="acoes"))*Inputs!$B$1+((Inputs!$G$5:$G$160&lt;&gt;"moeda")*(Inputs!$G$5:$G$160&lt;&gt;"acoes")))*INDEX(Inputs!$K$5:$AJ$160,0,MATCH(AE$2,Inputs!$K$4:$AJ$4,0)))+SUMPRODUCT((Inputs!$C$5:$C$160=$B30)*Inputs!$D$5:$D$160*(((Inputs!$G$5:$G$160="moeda")+(Inputs!$G$5:$G$160="acoes"))*Inputs!$B$1+((Inputs!$G$5:$G$160&lt;&gt;"moeda")*(Inputs!$G$5:$G$160&lt;&gt;"acoes")))*INDEX(Inputs!$K$5:$AJ$160,0,MATCH(AE$2,Inputs!$K$4:$AJ$4,0)))+SUMPRODUCT((Inputs!$E$5:$E$160=$B30)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0" s="6" t="e">
        <f>IF(ISNA(MATCH(AF$2,Inputs!$K$4:$AJ$4,0)),NA(),IF(SUMPRODUCT((Inputs!$A$5:$A$160=$B30)*ISNUMBER(INDEX(Inputs!$K$5:$AJ$160,0,MATCH(AF$2,Inputs!$K$4:$AJ$4,0))))+SUMPRODUCT((Inputs!$C$5:$C$160=$B30)*ISNUMBER(INDEX(Inputs!$K$5:$AJ$160,0,MATCH(AF$2,Inputs!$K$4:$AJ$4,0))))+SUMPRODUCT((Inputs!$E$5:$E$160=$B30)*ISNUMBER(INDEX(Inputs!$K$5:$AJ$160,0,MATCH(AF$2,Inputs!$K$4:$AJ$4,0))))=0,NA(),SUMPRODUCT((Inputs!$A$5:$A$160=$B30)*Inputs!$B$5:$B$160*(((Inputs!$G$5:$G$160="moeda")+(Inputs!$G$5:$G$160="acoes"))*Inputs!$B$1+((Inputs!$G$5:$G$160&lt;&gt;"moeda")*(Inputs!$G$5:$G$160&lt;&gt;"acoes")))*INDEX(Inputs!$K$5:$AJ$160,0,MATCH(AF$2,Inputs!$K$4:$AJ$4,0)))+SUMPRODUCT((Inputs!$C$5:$C$160=$B30)*Inputs!$D$5:$D$160*(((Inputs!$G$5:$G$160="moeda")+(Inputs!$G$5:$G$160="acoes"))*Inputs!$B$1+((Inputs!$G$5:$G$160&lt;&gt;"moeda")*(Inputs!$G$5:$G$160&lt;&gt;"acoes")))*INDEX(Inputs!$K$5:$AJ$160,0,MATCH(AF$2,Inputs!$K$4:$AJ$4,0)))+SUMPRODUCT((Inputs!$E$5:$E$160=$B30)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0" s="3" t="e">
        <f>AF30</f>
        <v>#N/A</v>
      </c>
      <c r="AH30" s="6">
        <f>IF(ISNA(MATCH(AH$2,Inputs!$K$4:$AJ$4,0)),NA(),IF(SUMPRODUCT((Inputs!$A$5:$A$160=$B30)*ISNUMBER(INDEX(Inputs!$K$5:$AJ$160,0,MATCH(AH$2,Inputs!$K$4:$AJ$4,0))))+SUMPRODUCT((Inputs!$C$5:$C$160=$B30)*ISNUMBER(INDEX(Inputs!$K$5:$AJ$160,0,MATCH(AH$2,Inputs!$K$4:$AJ$4,0))))+SUMPRODUCT((Inputs!$E$5:$E$160=$B30)*ISNUMBER(INDEX(Inputs!$K$5:$AJ$160,0,MATCH(AH$2,Inputs!$K$4:$AJ$4,0))))=0,NA(),SUMPRODUCT((Inputs!$A$5:$A$160=$B30)*Inputs!$B$5:$B$160*(((Inputs!$G$5:$G$160="moeda")+(Inputs!$G$5:$G$160="acoes"))*Inputs!$B$1+((Inputs!$G$5:$G$160&lt;&gt;"moeda")*(Inputs!$G$5:$G$160&lt;&gt;"acoes")))*INDEX(Inputs!$K$5:$AJ$160,0,MATCH(AH$2,Inputs!$K$4:$AJ$4,0)))+SUMPRODUCT((Inputs!$C$5:$C$160=$B30)*Inputs!$D$5:$D$160*(((Inputs!$G$5:$G$160="moeda")+(Inputs!$G$5:$G$160="acoes"))*Inputs!$B$1+((Inputs!$G$5:$G$160&lt;&gt;"moeda")*(Inputs!$G$5:$G$160&lt;&gt;"acoes")))*INDEX(Inputs!$K$5:$AJ$160,0,MATCH(AH$2,Inputs!$K$4:$AJ$4,0)))+SUMPRODUCT((Inputs!$E$5:$E$160=$B30)*Inputs!$F$5:$F$160*(((Inputs!$G$5:$G$160="moeda")+(Inputs!$G$5:$G$160="acoes"))*Inputs!$B$1+((Inputs!$G$5:$G$160&lt;&gt;"moeda")*(Inputs!$G$5:$G$160&lt;&gt;"acoes")))*INDEX(Inputs!$K$5:$AJ$160,0,MATCH(AH$2,Inputs!$K$4:$AJ$4,0)))))</f>
        <v>28.53369986</v>
      </c>
      <c r="AI30" s="6">
        <f>IF(ISNA(MATCH(AI$2,Inputs!$K$4:$AJ$4,0)),NA(),IF(SUMPRODUCT((Inputs!$A$5:$A$160=$B30)*ISNUMBER(INDEX(Inputs!$K$5:$AJ$160,0,MATCH(AI$2,Inputs!$K$4:$AJ$4,0))))+SUMPRODUCT((Inputs!$C$5:$C$160=$B30)*ISNUMBER(INDEX(Inputs!$K$5:$AJ$160,0,MATCH(AI$2,Inputs!$K$4:$AJ$4,0))))+SUMPRODUCT((Inputs!$E$5:$E$160=$B30)*ISNUMBER(INDEX(Inputs!$K$5:$AJ$160,0,MATCH(AI$2,Inputs!$K$4:$AJ$4,0))))=0,NA(),SUMPRODUCT((Inputs!$A$5:$A$160=$B30)*Inputs!$B$5:$B$160*(((Inputs!$G$5:$G$160="moeda")+(Inputs!$G$5:$G$160="acoes"))*Inputs!$B$1+((Inputs!$G$5:$G$160&lt;&gt;"moeda")*(Inputs!$G$5:$G$160&lt;&gt;"acoes")))*INDEX(Inputs!$K$5:$AJ$160,0,MATCH(AI$2,Inputs!$K$4:$AJ$4,0)))+SUMPRODUCT((Inputs!$C$5:$C$160=$B30)*Inputs!$D$5:$D$160*(((Inputs!$G$5:$G$160="moeda")+(Inputs!$G$5:$G$160="acoes"))*Inputs!$B$1+((Inputs!$G$5:$G$160&lt;&gt;"moeda")*(Inputs!$G$5:$G$160&lt;&gt;"acoes")))*INDEX(Inputs!$K$5:$AJ$160,0,MATCH(AI$2,Inputs!$K$4:$AJ$4,0)))+SUMPRODUCT((Inputs!$E$5:$E$160=$B30)*Inputs!$F$5:$F$160*(((Inputs!$G$5:$G$160="moeda")+(Inputs!$G$5:$G$160="acoes"))*Inputs!$B$1+((Inputs!$G$5:$G$160&lt;&gt;"moeda")*(Inputs!$G$5:$G$160&lt;&gt;"acoes")))*INDEX(Inputs!$K$5:$AJ$160,0,MATCH(AI$2,Inputs!$K$4:$AJ$4,0)))))</f>
        <v>26.89354755</v>
      </c>
      <c r="AJ30" s="6">
        <f>IF(ISNA(MATCH(AJ$2,Inputs!$K$4:$AJ$4,0)),NA(),IF(SUMPRODUCT((Inputs!$A$5:$A$160=$B30)*ISNUMBER(INDEX(Inputs!$K$5:$AJ$160,0,MATCH(AJ$2,Inputs!$K$4:$AJ$4,0))))+SUMPRODUCT((Inputs!$C$5:$C$160=$B30)*ISNUMBER(INDEX(Inputs!$K$5:$AJ$160,0,MATCH(AJ$2,Inputs!$K$4:$AJ$4,0))))+SUMPRODUCT((Inputs!$E$5:$E$160=$B30)*ISNUMBER(INDEX(Inputs!$K$5:$AJ$160,0,MATCH(AJ$2,Inputs!$K$4:$AJ$4,0))))=0,NA(),SUMPRODUCT((Inputs!$A$5:$A$160=$B30)*Inputs!$B$5:$B$160*(((Inputs!$G$5:$G$160="moeda")+(Inputs!$G$5:$G$160="acoes"))*Inputs!$B$1+((Inputs!$G$5:$G$160&lt;&gt;"moeda")*(Inputs!$G$5:$G$160&lt;&gt;"acoes")))*INDEX(Inputs!$K$5:$AJ$160,0,MATCH(AJ$2,Inputs!$K$4:$AJ$4,0)))+SUMPRODUCT((Inputs!$C$5:$C$160=$B30)*Inputs!$D$5:$D$160*(((Inputs!$G$5:$G$160="moeda")+(Inputs!$G$5:$G$160="acoes"))*Inputs!$B$1+((Inputs!$G$5:$G$160&lt;&gt;"moeda")*(Inputs!$G$5:$G$160&lt;&gt;"acoes")))*INDEX(Inputs!$K$5:$AJ$160,0,MATCH(AJ$2,Inputs!$K$4:$AJ$4,0)))+SUMPRODUCT((Inputs!$E$5:$E$160=$B30)*Inputs!$F$5:$F$160*(((Inputs!$G$5:$G$160="moeda")+(Inputs!$G$5:$G$160="acoes"))*Inputs!$B$1+((Inputs!$G$5:$G$160&lt;&gt;"moeda")*(Inputs!$G$5:$G$160&lt;&gt;"acoes")))*INDEX(Inputs!$K$5:$AJ$160,0,MATCH(AJ$2,Inputs!$K$4:$AJ$4,0)))))</f>
        <v>64.41560137</v>
      </c>
      <c r="AK30" s="6">
        <f>IF(ISNA(MATCH(AK$2,Inputs!$K$4:$AJ$4,0)),NA(),IF(SUMPRODUCT((Inputs!$A$5:$A$160=$B30)*ISNUMBER(INDEX(Inputs!$K$5:$AJ$160,0,MATCH(AK$2,Inputs!$K$4:$AJ$4,0))))+SUMPRODUCT((Inputs!$C$5:$C$160=$B30)*ISNUMBER(INDEX(Inputs!$K$5:$AJ$160,0,MATCH(AK$2,Inputs!$K$4:$AJ$4,0))))+SUMPRODUCT((Inputs!$E$5:$E$160=$B30)*ISNUMBER(INDEX(Inputs!$K$5:$AJ$160,0,MATCH(AK$2,Inputs!$K$4:$AJ$4,0))))=0,NA(),SUMPRODUCT((Inputs!$A$5:$A$160=$B30)*Inputs!$B$5:$B$160*(((Inputs!$G$5:$G$160="moeda")+(Inputs!$G$5:$G$160="acoes"))*Inputs!$B$1+((Inputs!$G$5:$G$160&lt;&gt;"moeda")*(Inputs!$G$5:$G$160&lt;&gt;"acoes")))*INDEX(Inputs!$K$5:$AJ$160,0,MATCH(AK$2,Inputs!$K$4:$AJ$4,0)))+SUMPRODUCT((Inputs!$C$5:$C$160=$B30)*Inputs!$D$5:$D$160*(((Inputs!$G$5:$G$160="moeda")+(Inputs!$G$5:$G$160="acoes"))*Inputs!$B$1+((Inputs!$G$5:$G$160&lt;&gt;"moeda")*(Inputs!$G$5:$G$160&lt;&gt;"acoes")))*INDEX(Inputs!$K$5:$AJ$160,0,MATCH(AK$2,Inputs!$K$4:$AJ$4,0)))+SUMPRODUCT((Inputs!$E$5:$E$160=$B30)*Inputs!$F$5:$F$160*(((Inputs!$G$5:$G$160="moeda")+(Inputs!$G$5:$G$160="acoes"))*Inputs!$B$1+((Inputs!$G$5:$G$160&lt;&gt;"moeda")*(Inputs!$G$5:$G$160&lt;&gt;"acoes")))*INDEX(Inputs!$K$5:$AJ$160,0,MATCH(AK$2,Inputs!$K$4:$AJ$4,0)))))</f>
        <v>37.62955018</v>
      </c>
      <c r="AL30" s="3">
        <f>AK30</f>
        <v>37.62955018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$160=$B31)*ISNUMBER(INDEX(Inputs!$K$5:$AJ$160,0,MATCH(D$2,Inputs!$K$4:$AJ$4,0))))+SUMPRODUCT((Inputs!$C$5:$C$160=$B31)*ISNUMBER(INDEX(Inputs!$K$5:$AJ$160,0,MATCH(D$2,Inputs!$K$4:$AJ$4,0))))+SUMPRODUCT((Inputs!$E$5:$E$160=$B31)*ISNUMBER(INDEX(Inputs!$K$5:$AJ$160,0,MATCH(D$2,Inputs!$K$4:$AJ$4,0))))=0,NA(),SUMPRODUCT((Inputs!$A$5:$A$160=$B31)*Inputs!$B$5:$B$160*(((Inputs!$G$5:$G$160="moeda")+(Inputs!$G$5:$G$160="acoes"))*Inputs!$B$1+((Inputs!$G$5:$G$160&lt;&gt;"moeda")*(Inputs!$G$5:$G$160&lt;&gt;"acoes")))*INDEX(Inputs!$K$5:$AJ$160,0,MATCH(D$2,Inputs!$K$4:$AJ$4,0)))+SUMPRODUCT((Inputs!$C$5:$C$160=$B31)*Inputs!$D$5:$D$160*(((Inputs!$G$5:$G$160="moeda")+(Inputs!$G$5:$G$160="acoes"))*Inputs!$B$1+((Inputs!$G$5:$G$160&lt;&gt;"moeda")*(Inputs!$G$5:$G$160&lt;&gt;"acoes")))*INDEX(Inputs!$K$5:$AJ$160,0,MATCH(D$2,Inputs!$K$4:$AJ$4,0)))+SUMPRODUCT((Inputs!$E$5:$E$160=$B31)*Inputs!$F$5:$F$160*(((Inputs!$G$5:$G$160="moeda")+(Inputs!$G$5:$G$160="acoes"))*Inputs!$B$1+((Inputs!$G$5:$G$160&lt;&gt;"moeda")*(Inputs!$G$5:$G$160&lt;&gt;"acoes")))*INDEX(Inputs!$K$5:$AJ$160,0,MATCH(D$2,Inputs!$K$4:$AJ$4,0)))))</f>
        <v>177.44848047</v>
      </c>
      <c r="E31" s="6">
        <f>IF(ISNA(MATCH(E$2,Inputs!$K$4:$AJ$4,0)),NA(),IF(SUMPRODUCT((Inputs!$A$5:$A$160=$B31)*ISNUMBER(INDEX(Inputs!$K$5:$AJ$160,0,MATCH(E$2,Inputs!$K$4:$AJ$4,0))))+SUMPRODUCT((Inputs!$C$5:$C$160=$B31)*ISNUMBER(INDEX(Inputs!$K$5:$AJ$160,0,MATCH(E$2,Inputs!$K$4:$AJ$4,0))))+SUMPRODUCT((Inputs!$E$5:$E$160=$B31)*ISNUMBER(INDEX(Inputs!$K$5:$AJ$160,0,MATCH(E$2,Inputs!$K$4:$AJ$4,0))))=0,NA(),SUMPRODUCT((Inputs!$A$5:$A$160=$B31)*Inputs!$B$5:$B$160*(((Inputs!$G$5:$G$160="moeda")+(Inputs!$G$5:$G$160="acoes"))*Inputs!$B$1+((Inputs!$G$5:$G$160&lt;&gt;"moeda")*(Inputs!$G$5:$G$160&lt;&gt;"acoes")))*INDEX(Inputs!$K$5:$AJ$160,0,MATCH(E$2,Inputs!$K$4:$AJ$4,0)))+SUMPRODUCT((Inputs!$C$5:$C$160=$B31)*Inputs!$D$5:$D$160*(((Inputs!$G$5:$G$160="moeda")+(Inputs!$G$5:$G$160="acoes"))*Inputs!$B$1+((Inputs!$G$5:$G$160&lt;&gt;"moeda")*(Inputs!$G$5:$G$160&lt;&gt;"acoes")))*INDEX(Inputs!$K$5:$AJ$160,0,MATCH(E$2,Inputs!$K$4:$AJ$4,0)))+SUMPRODUCT((Inputs!$E$5:$E$160=$B31)*Inputs!$F$5:$F$160*(((Inputs!$G$5:$G$160="moeda")+(Inputs!$G$5:$G$160="acoes"))*Inputs!$B$1+((Inputs!$G$5:$G$160&lt;&gt;"moeda")*(Inputs!$G$5:$G$160&lt;&gt;"acoes")))*INDEX(Inputs!$K$5:$AJ$160,0,MATCH(E$2,Inputs!$K$4:$AJ$4,0)))))</f>
        <v>104.25604364</v>
      </c>
      <c r="F31" s="6">
        <f>IF(ISNA(MATCH(F$2,Inputs!$K$4:$AJ$4,0)),NA(),IF(SUMPRODUCT((Inputs!$A$5:$A$160=$B31)*ISNUMBER(INDEX(Inputs!$K$5:$AJ$160,0,MATCH(F$2,Inputs!$K$4:$AJ$4,0))))+SUMPRODUCT((Inputs!$C$5:$C$160=$B31)*ISNUMBER(INDEX(Inputs!$K$5:$AJ$160,0,MATCH(F$2,Inputs!$K$4:$AJ$4,0))))+SUMPRODUCT((Inputs!$E$5:$E$160=$B31)*ISNUMBER(INDEX(Inputs!$K$5:$AJ$160,0,MATCH(F$2,Inputs!$K$4:$AJ$4,0))))=0,NA(),SUMPRODUCT((Inputs!$A$5:$A$160=$B31)*Inputs!$B$5:$B$160*(((Inputs!$G$5:$G$160="moeda")+(Inputs!$G$5:$G$160="acoes"))*Inputs!$B$1+((Inputs!$G$5:$G$160&lt;&gt;"moeda")*(Inputs!$G$5:$G$160&lt;&gt;"acoes")))*INDEX(Inputs!$K$5:$AJ$160,0,MATCH(F$2,Inputs!$K$4:$AJ$4,0)))+SUMPRODUCT((Inputs!$C$5:$C$160=$B31)*Inputs!$D$5:$D$160*(((Inputs!$G$5:$G$160="moeda")+(Inputs!$G$5:$G$160="acoes"))*Inputs!$B$1+((Inputs!$G$5:$G$160&lt;&gt;"moeda")*(Inputs!$G$5:$G$160&lt;&gt;"acoes")))*INDEX(Inputs!$K$5:$AJ$160,0,MATCH(F$2,Inputs!$K$4:$AJ$4,0)))+SUMPRODUCT((Inputs!$E$5:$E$160=$B31)*Inputs!$F$5:$F$160*(((Inputs!$G$5:$G$160="moeda")+(Inputs!$G$5:$G$160="acoes"))*Inputs!$B$1+((Inputs!$G$5:$G$160&lt;&gt;"moeda")*(Inputs!$G$5:$G$160&lt;&gt;"acoes")))*INDEX(Inputs!$K$5:$AJ$160,0,MATCH(F$2,Inputs!$K$4:$AJ$4,0)))))</f>
        <v>99.3151014</v>
      </c>
      <c r="G31" s="6">
        <f>IF(ISNA(MATCH(G$2,Inputs!$K$4:$AJ$4,0)),NA(),IF(SUMPRODUCT((Inputs!$A$5:$A$160=$B31)*ISNUMBER(INDEX(Inputs!$K$5:$AJ$160,0,MATCH(G$2,Inputs!$K$4:$AJ$4,0))))+SUMPRODUCT((Inputs!$C$5:$C$160=$B31)*ISNUMBER(INDEX(Inputs!$K$5:$AJ$160,0,MATCH(G$2,Inputs!$K$4:$AJ$4,0))))+SUMPRODUCT((Inputs!$E$5:$E$160=$B31)*ISNUMBER(INDEX(Inputs!$K$5:$AJ$160,0,MATCH(G$2,Inputs!$K$4:$AJ$4,0))))=0,NA(),SUMPRODUCT((Inputs!$A$5:$A$160=$B31)*Inputs!$B$5:$B$160*(((Inputs!$G$5:$G$160="moeda")+(Inputs!$G$5:$G$160="acoes"))*Inputs!$B$1+((Inputs!$G$5:$G$160&lt;&gt;"moeda")*(Inputs!$G$5:$G$160&lt;&gt;"acoes")))*INDEX(Inputs!$K$5:$AJ$160,0,MATCH(G$2,Inputs!$K$4:$AJ$4,0)))+SUMPRODUCT((Inputs!$C$5:$C$160=$B31)*Inputs!$D$5:$D$160*(((Inputs!$G$5:$G$160="moeda")+(Inputs!$G$5:$G$160="acoes"))*Inputs!$B$1+((Inputs!$G$5:$G$160&lt;&gt;"moeda")*(Inputs!$G$5:$G$160&lt;&gt;"acoes")))*INDEX(Inputs!$K$5:$AJ$160,0,MATCH(G$2,Inputs!$K$4:$AJ$4,0)))+SUMPRODUCT((Inputs!$E$5:$E$160=$B31)*Inputs!$F$5:$F$160*(((Inputs!$G$5:$G$160="moeda")+(Inputs!$G$5:$G$160="acoes"))*Inputs!$B$1+((Inputs!$G$5:$G$160&lt;&gt;"moeda")*(Inputs!$G$5:$G$160&lt;&gt;"acoes")))*INDEX(Inputs!$K$5:$AJ$160,0,MATCH(G$2,Inputs!$K$4:$AJ$4,0)))))</f>
        <v>51.87826799</v>
      </c>
      <c r="H31" s="3">
        <f>G31</f>
        <v>51.87826799</v>
      </c>
      <c r="I31" s="6">
        <f>IF(ISNA(MATCH(I$2,Inputs!$K$4:$AJ$4,0)),NA(),IF(SUMPRODUCT((Inputs!$A$5:$A$160=$B31)*ISNUMBER(INDEX(Inputs!$K$5:$AJ$160,0,MATCH(I$2,Inputs!$K$4:$AJ$4,0))))+SUMPRODUCT((Inputs!$C$5:$C$160=$B31)*ISNUMBER(INDEX(Inputs!$K$5:$AJ$160,0,MATCH(I$2,Inputs!$K$4:$AJ$4,0))))+SUMPRODUCT((Inputs!$E$5:$E$160=$B31)*ISNUMBER(INDEX(Inputs!$K$5:$AJ$160,0,MATCH(I$2,Inputs!$K$4:$AJ$4,0))))=0,NA(),SUMPRODUCT((Inputs!$A$5:$A$160=$B31)*Inputs!$B$5:$B$160*(((Inputs!$G$5:$G$160="moeda")+(Inputs!$G$5:$G$160="acoes"))*Inputs!$B$1+((Inputs!$G$5:$G$160&lt;&gt;"moeda")*(Inputs!$G$5:$G$160&lt;&gt;"acoes")))*INDEX(Inputs!$K$5:$AJ$160,0,MATCH(I$2,Inputs!$K$4:$AJ$4,0)))+SUMPRODUCT((Inputs!$C$5:$C$160=$B31)*Inputs!$D$5:$D$160*(((Inputs!$G$5:$G$160="moeda")+(Inputs!$G$5:$G$160="acoes"))*Inputs!$B$1+((Inputs!$G$5:$G$160&lt;&gt;"moeda")*(Inputs!$G$5:$G$160&lt;&gt;"acoes")))*INDEX(Inputs!$K$5:$AJ$160,0,MATCH(I$2,Inputs!$K$4:$AJ$4,0)))+SUMPRODUCT((Inputs!$E$5:$E$160=$B31)*Inputs!$F$5:$F$160*(((Inputs!$G$5:$G$160="moeda")+(Inputs!$G$5:$G$160="acoes"))*Inputs!$B$1+((Inputs!$G$5:$G$160&lt;&gt;"moeda")*(Inputs!$G$5:$G$160&lt;&gt;"acoes")))*INDEX(Inputs!$K$5:$AJ$160,0,MATCH(I$2,Inputs!$K$4:$AJ$4,0)))))</f>
        <v>260.91422812</v>
      </c>
      <c r="J31" s="6">
        <f>IF(ISNA(MATCH(J$2,Inputs!$K$4:$AJ$4,0)),NA(),IF(SUMPRODUCT((Inputs!$A$5:$A$160=$B31)*ISNUMBER(INDEX(Inputs!$K$5:$AJ$160,0,MATCH(J$2,Inputs!$K$4:$AJ$4,0))))+SUMPRODUCT((Inputs!$C$5:$C$160=$B31)*ISNUMBER(INDEX(Inputs!$K$5:$AJ$160,0,MATCH(J$2,Inputs!$K$4:$AJ$4,0))))+SUMPRODUCT((Inputs!$E$5:$E$160=$B31)*ISNUMBER(INDEX(Inputs!$K$5:$AJ$160,0,MATCH(J$2,Inputs!$K$4:$AJ$4,0))))=0,NA(),SUMPRODUCT((Inputs!$A$5:$A$160=$B31)*Inputs!$B$5:$B$160*(((Inputs!$G$5:$G$160="moeda")+(Inputs!$G$5:$G$160="acoes"))*Inputs!$B$1+((Inputs!$G$5:$G$160&lt;&gt;"moeda")*(Inputs!$G$5:$G$160&lt;&gt;"acoes")))*INDEX(Inputs!$K$5:$AJ$160,0,MATCH(J$2,Inputs!$K$4:$AJ$4,0)))+SUMPRODUCT((Inputs!$C$5:$C$160=$B31)*Inputs!$D$5:$D$160*(((Inputs!$G$5:$G$160="moeda")+(Inputs!$G$5:$G$160="acoes"))*Inputs!$B$1+((Inputs!$G$5:$G$160&lt;&gt;"moeda")*(Inputs!$G$5:$G$160&lt;&gt;"acoes")))*INDEX(Inputs!$K$5:$AJ$160,0,MATCH(J$2,Inputs!$K$4:$AJ$4,0)))+SUMPRODUCT((Inputs!$E$5:$E$160=$B31)*Inputs!$F$5:$F$160*(((Inputs!$G$5:$G$160="moeda")+(Inputs!$G$5:$G$160="acoes"))*Inputs!$B$1+((Inputs!$G$5:$G$160&lt;&gt;"moeda")*(Inputs!$G$5:$G$160&lt;&gt;"acoes")))*INDEX(Inputs!$K$5:$AJ$160,0,MATCH(J$2,Inputs!$K$4:$AJ$4,0)))))</f>
        <v>41.17705445</v>
      </c>
      <c r="K31" s="6">
        <f>IF(ISNA(MATCH(K$2,Inputs!$K$4:$AJ$4,0)),NA(),IF(SUMPRODUCT((Inputs!$A$5:$A$160=$B31)*ISNUMBER(INDEX(Inputs!$K$5:$AJ$160,0,MATCH(K$2,Inputs!$K$4:$AJ$4,0))))+SUMPRODUCT((Inputs!$C$5:$C$160=$B31)*ISNUMBER(INDEX(Inputs!$K$5:$AJ$160,0,MATCH(K$2,Inputs!$K$4:$AJ$4,0))))+SUMPRODUCT((Inputs!$E$5:$E$160=$B31)*ISNUMBER(INDEX(Inputs!$K$5:$AJ$160,0,MATCH(K$2,Inputs!$K$4:$AJ$4,0))))=0,NA(),SUMPRODUCT((Inputs!$A$5:$A$160=$B31)*Inputs!$B$5:$B$160*(((Inputs!$G$5:$G$160="moeda")+(Inputs!$G$5:$G$160="acoes"))*Inputs!$B$1+((Inputs!$G$5:$G$160&lt;&gt;"moeda")*(Inputs!$G$5:$G$160&lt;&gt;"acoes")))*INDEX(Inputs!$K$5:$AJ$160,0,MATCH(K$2,Inputs!$K$4:$AJ$4,0)))+SUMPRODUCT((Inputs!$C$5:$C$160=$B31)*Inputs!$D$5:$D$160*(((Inputs!$G$5:$G$160="moeda")+(Inputs!$G$5:$G$160="acoes"))*Inputs!$B$1+((Inputs!$G$5:$G$160&lt;&gt;"moeda")*(Inputs!$G$5:$G$160&lt;&gt;"acoes")))*INDEX(Inputs!$K$5:$AJ$160,0,MATCH(K$2,Inputs!$K$4:$AJ$4,0)))+SUMPRODUCT((Inputs!$E$5:$E$160=$B31)*Inputs!$F$5:$F$160*(((Inputs!$G$5:$G$160="moeda")+(Inputs!$G$5:$G$160="acoes"))*Inputs!$B$1+((Inputs!$G$5:$G$160&lt;&gt;"moeda")*(Inputs!$G$5:$G$160&lt;&gt;"acoes")))*INDEX(Inputs!$K$5:$AJ$160,0,MATCH(K$2,Inputs!$K$4:$AJ$4,0)))))</f>
        <v>50.16331915</v>
      </c>
      <c r="L31" s="6">
        <f>IF(ISNA(MATCH(L$2,Inputs!$K$4:$AJ$4,0)),NA(),IF(SUMPRODUCT((Inputs!$A$5:$A$160=$B31)*ISNUMBER(INDEX(Inputs!$K$5:$AJ$160,0,MATCH(L$2,Inputs!$K$4:$AJ$4,0))))+SUMPRODUCT((Inputs!$C$5:$C$160=$B31)*ISNUMBER(INDEX(Inputs!$K$5:$AJ$160,0,MATCH(L$2,Inputs!$K$4:$AJ$4,0))))+SUMPRODUCT((Inputs!$E$5:$E$160=$B31)*ISNUMBER(INDEX(Inputs!$K$5:$AJ$160,0,MATCH(L$2,Inputs!$K$4:$AJ$4,0))))=0,NA(),SUMPRODUCT((Inputs!$A$5:$A$160=$B31)*Inputs!$B$5:$B$160*(((Inputs!$G$5:$G$160="moeda")+(Inputs!$G$5:$G$160="acoes"))*Inputs!$B$1+((Inputs!$G$5:$G$160&lt;&gt;"moeda")*(Inputs!$G$5:$G$160&lt;&gt;"acoes")))*INDEX(Inputs!$K$5:$AJ$160,0,MATCH(L$2,Inputs!$K$4:$AJ$4,0)))+SUMPRODUCT((Inputs!$C$5:$C$160=$B31)*Inputs!$D$5:$D$160*(((Inputs!$G$5:$G$160="moeda")+(Inputs!$G$5:$G$160="acoes"))*Inputs!$B$1+((Inputs!$G$5:$G$160&lt;&gt;"moeda")*(Inputs!$G$5:$G$160&lt;&gt;"acoes")))*INDEX(Inputs!$K$5:$AJ$160,0,MATCH(L$2,Inputs!$K$4:$AJ$4,0)))+SUMPRODUCT((Inputs!$E$5:$E$160=$B31)*Inputs!$F$5:$F$160*(((Inputs!$G$5:$G$160="moeda")+(Inputs!$G$5:$G$160="acoes"))*Inputs!$B$1+((Inputs!$G$5:$G$160&lt;&gt;"moeda")*(Inputs!$G$5:$G$160&lt;&gt;"acoes")))*INDEX(Inputs!$K$5:$AJ$160,0,MATCH(L$2,Inputs!$K$4:$AJ$4,0)))))</f>
        <v>58.52487884</v>
      </c>
      <c r="M31" s="3">
        <f>L31</f>
        <v>58.52487884</v>
      </c>
      <c r="N31" s="6">
        <f>IF(ISNA(MATCH(N$2,Inputs!$K$4:$AJ$4,0)),NA(),IF(SUMPRODUCT((Inputs!$A$5:$A$160=$B31)*ISNUMBER(INDEX(Inputs!$K$5:$AJ$160,0,MATCH(N$2,Inputs!$K$4:$AJ$4,0))))+SUMPRODUCT((Inputs!$C$5:$C$160=$B31)*ISNUMBER(INDEX(Inputs!$K$5:$AJ$160,0,MATCH(N$2,Inputs!$K$4:$AJ$4,0))))+SUMPRODUCT((Inputs!$E$5:$E$160=$B31)*ISNUMBER(INDEX(Inputs!$K$5:$AJ$160,0,MATCH(N$2,Inputs!$K$4:$AJ$4,0))))=0,NA(),SUMPRODUCT((Inputs!$A$5:$A$160=$B31)*Inputs!$B$5:$B$160*(((Inputs!$G$5:$G$160="moeda")+(Inputs!$G$5:$G$160="acoes"))*Inputs!$B$1+((Inputs!$G$5:$G$160&lt;&gt;"moeda")*(Inputs!$G$5:$G$160&lt;&gt;"acoes")))*INDEX(Inputs!$K$5:$AJ$160,0,MATCH(N$2,Inputs!$K$4:$AJ$4,0)))+SUMPRODUCT((Inputs!$C$5:$C$160=$B31)*Inputs!$D$5:$D$160*(((Inputs!$G$5:$G$160="moeda")+(Inputs!$G$5:$G$160="acoes"))*Inputs!$B$1+((Inputs!$G$5:$G$160&lt;&gt;"moeda")*(Inputs!$G$5:$G$160&lt;&gt;"acoes")))*INDEX(Inputs!$K$5:$AJ$160,0,MATCH(N$2,Inputs!$K$4:$AJ$4,0)))+SUMPRODUCT((Inputs!$E$5:$E$160=$B31)*Inputs!$F$5:$F$160*(((Inputs!$G$5:$G$160="moeda")+(Inputs!$G$5:$G$160="acoes"))*Inputs!$B$1+((Inputs!$G$5:$G$160&lt;&gt;"moeda")*(Inputs!$G$5:$G$160&lt;&gt;"acoes")))*INDEX(Inputs!$K$5:$AJ$160,0,MATCH(N$2,Inputs!$K$4:$AJ$4,0)))))</f>
        <v>60.47420555</v>
      </c>
      <c r="O31" s="6">
        <f>IF(ISNA(MATCH(O$2,Inputs!$K$4:$AJ$4,0)),NA(),IF(SUMPRODUCT((Inputs!$A$5:$A$160=$B31)*ISNUMBER(INDEX(Inputs!$K$5:$AJ$160,0,MATCH(O$2,Inputs!$K$4:$AJ$4,0))))+SUMPRODUCT((Inputs!$C$5:$C$160=$B31)*ISNUMBER(INDEX(Inputs!$K$5:$AJ$160,0,MATCH(O$2,Inputs!$K$4:$AJ$4,0))))+SUMPRODUCT((Inputs!$E$5:$E$160=$B31)*ISNUMBER(INDEX(Inputs!$K$5:$AJ$160,0,MATCH(O$2,Inputs!$K$4:$AJ$4,0))))=0,NA(),SUMPRODUCT((Inputs!$A$5:$A$160=$B31)*Inputs!$B$5:$B$160*(((Inputs!$G$5:$G$160="moeda")+(Inputs!$G$5:$G$160="acoes"))*Inputs!$B$1+((Inputs!$G$5:$G$160&lt;&gt;"moeda")*(Inputs!$G$5:$G$160&lt;&gt;"acoes")))*INDEX(Inputs!$K$5:$AJ$160,0,MATCH(O$2,Inputs!$K$4:$AJ$4,0)))+SUMPRODUCT((Inputs!$C$5:$C$160=$B31)*Inputs!$D$5:$D$160*(((Inputs!$G$5:$G$160="moeda")+(Inputs!$G$5:$G$160="acoes"))*Inputs!$B$1+((Inputs!$G$5:$G$160&lt;&gt;"moeda")*(Inputs!$G$5:$G$160&lt;&gt;"acoes")))*INDEX(Inputs!$K$5:$AJ$160,0,MATCH(O$2,Inputs!$K$4:$AJ$4,0)))+SUMPRODUCT((Inputs!$E$5:$E$160=$B31)*Inputs!$F$5:$F$160*(((Inputs!$G$5:$G$160="moeda")+(Inputs!$G$5:$G$160="acoes"))*Inputs!$B$1+((Inputs!$G$5:$G$160&lt;&gt;"moeda")*(Inputs!$G$5:$G$160&lt;&gt;"acoes")))*INDEX(Inputs!$K$5:$AJ$160,0,MATCH(O$2,Inputs!$K$4:$AJ$4,0)))))</f>
        <v>167.236</v>
      </c>
      <c r="P31" s="6">
        <f>IF(ISNA(MATCH(P$2,Inputs!$K$4:$AJ$4,0)),NA(),IF(SUMPRODUCT((Inputs!$A$5:$A$160=$B31)*ISNUMBER(INDEX(Inputs!$K$5:$AJ$160,0,MATCH(P$2,Inputs!$K$4:$AJ$4,0))))+SUMPRODUCT((Inputs!$C$5:$C$160=$B31)*ISNUMBER(INDEX(Inputs!$K$5:$AJ$160,0,MATCH(P$2,Inputs!$K$4:$AJ$4,0))))+SUMPRODUCT((Inputs!$E$5:$E$160=$B31)*ISNUMBER(INDEX(Inputs!$K$5:$AJ$160,0,MATCH(P$2,Inputs!$K$4:$AJ$4,0))))=0,NA(),SUMPRODUCT((Inputs!$A$5:$A$160=$B31)*Inputs!$B$5:$B$160*(((Inputs!$G$5:$G$160="moeda")+(Inputs!$G$5:$G$160="acoes"))*Inputs!$B$1+((Inputs!$G$5:$G$160&lt;&gt;"moeda")*(Inputs!$G$5:$G$160&lt;&gt;"acoes")))*INDEX(Inputs!$K$5:$AJ$160,0,MATCH(P$2,Inputs!$K$4:$AJ$4,0)))+SUMPRODUCT((Inputs!$C$5:$C$160=$B31)*Inputs!$D$5:$D$160*(((Inputs!$G$5:$G$160="moeda")+(Inputs!$G$5:$G$160="acoes"))*Inputs!$B$1+((Inputs!$G$5:$G$160&lt;&gt;"moeda")*(Inputs!$G$5:$G$160&lt;&gt;"acoes")))*INDEX(Inputs!$K$5:$AJ$160,0,MATCH(P$2,Inputs!$K$4:$AJ$4,0)))+SUMPRODUCT((Inputs!$E$5:$E$160=$B31)*Inputs!$F$5:$F$160*(((Inputs!$G$5:$G$160="moeda")+(Inputs!$G$5:$G$160="acoes"))*Inputs!$B$1+((Inputs!$G$5:$G$160&lt;&gt;"moeda")*(Inputs!$G$5:$G$160&lt;&gt;"acoes")))*INDEX(Inputs!$K$5:$AJ$160,0,MATCH(P$2,Inputs!$K$4:$AJ$4,0)))))</f>
        <v>170.451</v>
      </c>
      <c r="Q31" s="6">
        <f>IF(ISNA(MATCH(Q$2,Inputs!$K$4:$AJ$4,0)),NA(),IF(SUMPRODUCT((Inputs!$A$5:$A$160=$B31)*ISNUMBER(INDEX(Inputs!$K$5:$AJ$160,0,MATCH(Q$2,Inputs!$K$4:$AJ$4,0))))+SUMPRODUCT((Inputs!$C$5:$C$160=$B31)*ISNUMBER(INDEX(Inputs!$K$5:$AJ$160,0,MATCH(Q$2,Inputs!$K$4:$AJ$4,0))))+SUMPRODUCT((Inputs!$E$5:$E$160=$B31)*ISNUMBER(INDEX(Inputs!$K$5:$AJ$160,0,MATCH(Q$2,Inputs!$K$4:$AJ$4,0))))=0,NA(),SUMPRODUCT((Inputs!$A$5:$A$160=$B31)*Inputs!$B$5:$B$160*(((Inputs!$G$5:$G$160="moeda")+(Inputs!$G$5:$G$160="acoes"))*Inputs!$B$1+((Inputs!$G$5:$G$160&lt;&gt;"moeda")*(Inputs!$G$5:$G$160&lt;&gt;"acoes")))*INDEX(Inputs!$K$5:$AJ$160,0,MATCH(Q$2,Inputs!$K$4:$AJ$4,0)))+SUMPRODUCT((Inputs!$C$5:$C$160=$B31)*Inputs!$D$5:$D$160*(((Inputs!$G$5:$G$160="moeda")+(Inputs!$G$5:$G$160="acoes"))*Inputs!$B$1+((Inputs!$G$5:$G$160&lt;&gt;"moeda")*(Inputs!$G$5:$G$160&lt;&gt;"acoes")))*INDEX(Inputs!$K$5:$AJ$160,0,MATCH(Q$2,Inputs!$K$4:$AJ$4,0)))+SUMPRODUCT((Inputs!$E$5:$E$160=$B31)*Inputs!$F$5:$F$160*(((Inputs!$G$5:$G$160="moeda")+(Inputs!$G$5:$G$160="acoes"))*Inputs!$B$1+((Inputs!$G$5:$G$160&lt;&gt;"moeda")*(Inputs!$G$5:$G$160&lt;&gt;"acoes")))*INDEX(Inputs!$K$5:$AJ$160,0,MATCH(Q$2,Inputs!$K$4:$AJ$4,0)))))</f>
        <v>66.469</v>
      </c>
      <c r="R31" s="3">
        <f>Q31</f>
        <v>66.469</v>
      </c>
      <c r="S31" s="6">
        <f>IF(ISNA(MATCH(S$2,Inputs!$K$4:$AJ$4,0)),NA(),IF(SUMPRODUCT((Inputs!$A$5:$A$160=$B31)*ISNUMBER(INDEX(Inputs!$K$5:$AJ$160,0,MATCH(S$2,Inputs!$K$4:$AJ$4,0))))+SUMPRODUCT((Inputs!$C$5:$C$160=$B31)*ISNUMBER(INDEX(Inputs!$K$5:$AJ$160,0,MATCH(S$2,Inputs!$K$4:$AJ$4,0))))+SUMPRODUCT((Inputs!$E$5:$E$160=$B31)*ISNUMBER(INDEX(Inputs!$K$5:$AJ$160,0,MATCH(S$2,Inputs!$K$4:$AJ$4,0))))=0,NA(),SUMPRODUCT((Inputs!$A$5:$A$160=$B31)*Inputs!$B$5:$B$160*(((Inputs!$G$5:$G$160="moeda")+(Inputs!$G$5:$G$160="acoes"))*Inputs!$B$1+((Inputs!$G$5:$G$160&lt;&gt;"moeda")*(Inputs!$G$5:$G$160&lt;&gt;"acoes")))*INDEX(Inputs!$K$5:$AJ$160,0,MATCH(S$2,Inputs!$K$4:$AJ$4,0)))+SUMPRODUCT((Inputs!$C$5:$C$160=$B31)*Inputs!$D$5:$D$160*(((Inputs!$G$5:$G$160="moeda")+(Inputs!$G$5:$G$160="acoes"))*Inputs!$B$1+((Inputs!$G$5:$G$160&lt;&gt;"moeda")*(Inputs!$G$5:$G$160&lt;&gt;"acoes")))*INDEX(Inputs!$K$5:$AJ$160,0,MATCH(S$2,Inputs!$K$4:$AJ$4,0)))+SUMPRODUCT((Inputs!$E$5:$E$160=$B31)*Inputs!$F$5:$F$160*(((Inputs!$G$5:$G$160="moeda")+(Inputs!$G$5:$G$160="acoes"))*Inputs!$B$1+((Inputs!$G$5:$G$160&lt;&gt;"moeda")*(Inputs!$G$5:$G$160&lt;&gt;"acoes")))*INDEX(Inputs!$K$5:$AJ$160,0,MATCH(S$2,Inputs!$K$4:$AJ$4,0)))))</f>
        <v>197.109</v>
      </c>
      <c r="T31" s="6">
        <f>IF(ISNA(MATCH(T$2,Inputs!$K$4:$AJ$4,0)),NA(),IF(SUMPRODUCT((Inputs!$A$5:$A$160=$B31)*ISNUMBER(INDEX(Inputs!$K$5:$AJ$160,0,MATCH(T$2,Inputs!$K$4:$AJ$4,0))))+SUMPRODUCT((Inputs!$C$5:$C$160=$B31)*ISNUMBER(INDEX(Inputs!$K$5:$AJ$160,0,MATCH(T$2,Inputs!$K$4:$AJ$4,0))))+SUMPRODUCT((Inputs!$E$5:$E$160=$B31)*ISNUMBER(INDEX(Inputs!$K$5:$AJ$160,0,MATCH(T$2,Inputs!$K$4:$AJ$4,0))))=0,NA(),SUMPRODUCT((Inputs!$A$5:$A$160=$B31)*Inputs!$B$5:$B$160*(((Inputs!$G$5:$G$160="moeda")+(Inputs!$G$5:$G$160="acoes"))*Inputs!$B$1+((Inputs!$G$5:$G$160&lt;&gt;"moeda")*(Inputs!$G$5:$G$160&lt;&gt;"acoes")))*INDEX(Inputs!$K$5:$AJ$160,0,MATCH(T$2,Inputs!$K$4:$AJ$4,0)))+SUMPRODUCT((Inputs!$C$5:$C$160=$B31)*Inputs!$D$5:$D$160*(((Inputs!$G$5:$G$160="moeda")+(Inputs!$G$5:$G$160="acoes"))*Inputs!$B$1+((Inputs!$G$5:$G$160&lt;&gt;"moeda")*(Inputs!$G$5:$G$160&lt;&gt;"acoes")))*INDEX(Inputs!$K$5:$AJ$160,0,MATCH(T$2,Inputs!$K$4:$AJ$4,0)))+SUMPRODUCT((Inputs!$E$5:$E$160=$B31)*Inputs!$F$5:$F$160*(((Inputs!$G$5:$G$160="moeda")+(Inputs!$G$5:$G$160="acoes"))*Inputs!$B$1+((Inputs!$G$5:$G$160&lt;&gt;"moeda")*(Inputs!$G$5:$G$160&lt;&gt;"acoes")))*INDEX(Inputs!$K$5:$AJ$160,0,MATCH(T$2,Inputs!$K$4:$AJ$4,0)))))</f>
        <v>42.201</v>
      </c>
      <c r="U31" s="6">
        <f>IF(ISNA(MATCH(U$2,Inputs!$K$4:$AJ$4,0)),NA(),IF(SUMPRODUCT((Inputs!$A$5:$A$160=$B31)*ISNUMBER(INDEX(Inputs!$K$5:$AJ$160,0,MATCH(U$2,Inputs!$K$4:$AJ$4,0))))+SUMPRODUCT((Inputs!$C$5:$C$160=$B31)*ISNUMBER(INDEX(Inputs!$K$5:$AJ$160,0,MATCH(U$2,Inputs!$K$4:$AJ$4,0))))+SUMPRODUCT((Inputs!$E$5:$E$160=$B31)*ISNUMBER(INDEX(Inputs!$K$5:$AJ$160,0,MATCH(U$2,Inputs!$K$4:$AJ$4,0))))=0,NA(),SUMPRODUCT((Inputs!$A$5:$A$160=$B31)*Inputs!$B$5:$B$160*(((Inputs!$G$5:$G$160="moeda")+(Inputs!$G$5:$G$160="acoes"))*Inputs!$B$1+((Inputs!$G$5:$G$160&lt;&gt;"moeda")*(Inputs!$G$5:$G$160&lt;&gt;"acoes")))*INDEX(Inputs!$K$5:$AJ$160,0,MATCH(U$2,Inputs!$K$4:$AJ$4,0)))+SUMPRODUCT((Inputs!$C$5:$C$160=$B31)*Inputs!$D$5:$D$160*(((Inputs!$G$5:$G$160="moeda")+(Inputs!$G$5:$G$160="acoes"))*Inputs!$B$1+((Inputs!$G$5:$G$160&lt;&gt;"moeda")*(Inputs!$G$5:$G$160&lt;&gt;"acoes")))*INDEX(Inputs!$K$5:$AJ$160,0,MATCH(U$2,Inputs!$K$4:$AJ$4,0)))+SUMPRODUCT((Inputs!$E$5:$E$160=$B31)*Inputs!$F$5:$F$160*(((Inputs!$G$5:$G$160="moeda")+(Inputs!$G$5:$G$160="acoes"))*Inputs!$B$1+((Inputs!$G$5:$G$160&lt;&gt;"moeda")*(Inputs!$G$5:$G$160&lt;&gt;"acoes")))*INDEX(Inputs!$K$5:$AJ$160,0,MATCH(U$2,Inputs!$K$4:$AJ$4,0)))))</f>
        <v>219.83</v>
      </c>
      <c r="V31" s="6">
        <f>IF(ISNA(MATCH(V$2,Inputs!$K$4:$AJ$4,0)),NA(),IF(SUMPRODUCT((Inputs!$A$5:$A$160=$B31)*ISNUMBER(INDEX(Inputs!$K$5:$AJ$160,0,MATCH(V$2,Inputs!$K$4:$AJ$4,0))))+SUMPRODUCT((Inputs!$C$5:$C$160=$B31)*ISNUMBER(INDEX(Inputs!$K$5:$AJ$160,0,MATCH(V$2,Inputs!$K$4:$AJ$4,0))))+SUMPRODUCT((Inputs!$E$5:$E$160=$B31)*ISNUMBER(INDEX(Inputs!$K$5:$AJ$160,0,MATCH(V$2,Inputs!$K$4:$AJ$4,0))))=0,NA(),SUMPRODUCT((Inputs!$A$5:$A$160=$B31)*Inputs!$B$5:$B$160*(((Inputs!$G$5:$G$160="moeda")+(Inputs!$G$5:$G$160="acoes"))*Inputs!$B$1+((Inputs!$G$5:$G$160&lt;&gt;"moeda")*(Inputs!$G$5:$G$160&lt;&gt;"acoes")))*INDEX(Inputs!$K$5:$AJ$160,0,MATCH(V$2,Inputs!$K$4:$AJ$4,0)))+SUMPRODUCT((Inputs!$C$5:$C$160=$B31)*Inputs!$D$5:$D$160*(((Inputs!$G$5:$G$160="moeda")+(Inputs!$G$5:$G$160="acoes"))*Inputs!$B$1+((Inputs!$G$5:$G$160&lt;&gt;"moeda")*(Inputs!$G$5:$G$160&lt;&gt;"acoes")))*INDEX(Inputs!$K$5:$AJ$160,0,MATCH(V$2,Inputs!$K$4:$AJ$4,0)))+SUMPRODUCT((Inputs!$E$5:$E$160=$B31)*Inputs!$F$5:$F$160*(((Inputs!$G$5:$G$160="moeda")+(Inputs!$G$5:$G$160="acoes"))*Inputs!$B$1+((Inputs!$G$5:$G$160&lt;&gt;"moeda")*(Inputs!$G$5:$G$160&lt;&gt;"acoes")))*INDEX(Inputs!$K$5:$AJ$160,0,MATCH(V$2,Inputs!$K$4:$AJ$4,0)))))</f>
        <v>60.71</v>
      </c>
      <c r="W31" s="3">
        <f>V31</f>
        <v>60.71</v>
      </c>
      <c r="X31" s="6">
        <f>IF(ISNA(MATCH(X$2,Inputs!$K$4:$AJ$4,0)),NA(),IF(SUMPRODUCT((Inputs!$A$5:$A$160=$B31)*ISNUMBER(INDEX(Inputs!$K$5:$AJ$160,0,MATCH(X$2,Inputs!$K$4:$AJ$4,0))))+SUMPRODUCT((Inputs!$C$5:$C$160=$B31)*ISNUMBER(INDEX(Inputs!$K$5:$AJ$160,0,MATCH(X$2,Inputs!$K$4:$AJ$4,0))))+SUMPRODUCT((Inputs!$E$5:$E$160=$B31)*ISNUMBER(INDEX(Inputs!$K$5:$AJ$160,0,MATCH(X$2,Inputs!$K$4:$AJ$4,0))))=0,NA(),SUMPRODUCT((Inputs!$A$5:$A$160=$B31)*Inputs!$B$5:$B$160*(((Inputs!$G$5:$G$160="moeda")+(Inputs!$G$5:$G$160="acoes"))*Inputs!$B$1+((Inputs!$G$5:$G$160&lt;&gt;"moeda")*(Inputs!$G$5:$G$160&lt;&gt;"acoes")))*INDEX(Inputs!$K$5:$AJ$160,0,MATCH(X$2,Inputs!$K$4:$AJ$4,0)))+SUMPRODUCT((Inputs!$C$5:$C$160=$B31)*Inputs!$D$5:$D$160*(((Inputs!$G$5:$G$160="moeda")+(Inputs!$G$5:$G$160="acoes"))*Inputs!$B$1+((Inputs!$G$5:$G$160&lt;&gt;"moeda")*(Inputs!$G$5:$G$160&lt;&gt;"acoes")))*INDEX(Inputs!$K$5:$AJ$160,0,MATCH(X$2,Inputs!$K$4:$AJ$4,0)))+SUMPRODUCT((Inputs!$E$5:$E$160=$B31)*Inputs!$F$5:$F$160*(((Inputs!$G$5:$G$160="moeda")+(Inputs!$G$5:$G$160="acoes"))*Inputs!$B$1+((Inputs!$G$5:$G$160&lt;&gt;"moeda")*(Inputs!$G$5:$G$160&lt;&gt;"acoes")))*INDEX(Inputs!$K$5:$AJ$160,0,MATCH(X$2,Inputs!$K$4:$AJ$4,0)))))</f>
        <v>342.175026</v>
      </c>
      <c r="Y31" s="6">
        <f>IF(ISNA(MATCH(Y$2,Inputs!$K$4:$AJ$4,0)),NA(),IF(SUMPRODUCT((Inputs!$A$5:$A$160=$B31)*ISNUMBER(INDEX(Inputs!$K$5:$AJ$160,0,MATCH(Y$2,Inputs!$K$4:$AJ$4,0))))+SUMPRODUCT((Inputs!$C$5:$C$160=$B31)*ISNUMBER(INDEX(Inputs!$K$5:$AJ$160,0,MATCH(Y$2,Inputs!$K$4:$AJ$4,0))))+SUMPRODUCT((Inputs!$E$5:$E$160=$B31)*ISNUMBER(INDEX(Inputs!$K$5:$AJ$160,0,MATCH(Y$2,Inputs!$K$4:$AJ$4,0))))=0,NA(),SUMPRODUCT((Inputs!$A$5:$A$160=$B31)*Inputs!$B$5:$B$160*(((Inputs!$G$5:$G$160="moeda")+(Inputs!$G$5:$G$160="acoes"))*Inputs!$B$1+((Inputs!$G$5:$G$160&lt;&gt;"moeda")*(Inputs!$G$5:$G$160&lt;&gt;"acoes")))*INDEX(Inputs!$K$5:$AJ$160,0,MATCH(Y$2,Inputs!$K$4:$AJ$4,0)))+SUMPRODUCT((Inputs!$C$5:$C$160=$B31)*Inputs!$D$5:$D$160*(((Inputs!$G$5:$G$160="moeda")+(Inputs!$G$5:$G$160="acoes"))*Inputs!$B$1+((Inputs!$G$5:$G$160&lt;&gt;"moeda")*(Inputs!$G$5:$G$160&lt;&gt;"acoes")))*INDEX(Inputs!$K$5:$AJ$160,0,MATCH(Y$2,Inputs!$K$4:$AJ$4,0)))+SUMPRODUCT((Inputs!$E$5:$E$160=$B31)*Inputs!$F$5:$F$160*(((Inputs!$G$5:$G$160="moeda")+(Inputs!$G$5:$G$160="acoes"))*Inputs!$B$1+((Inputs!$G$5:$G$160&lt;&gt;"moeda")*(Inputs!$G$5:$G$160&lt;&gt;"acoes")))*INDEX(Inputs!$K$5:$AJ$160,0,MATCH(Y$2,Inputs!$K$4:$AJ$4,0)))))</f>
        <v>89.419</v>
      </c>
      <c r="Z31" s="6">
        <f>IF(ISNA(MATCH(Z$2,Inputs!$K$4:$AJ$4,0)),NA(),IF(SUMPRODUCT((Inputs!$A$5:$A$160=$B31)*ISNUMBER(INDEX(Inputs!$K$5:$AJ$160,0,MATCH(Z$2,Inputs!$K$4:$AJ$4,0))))+SUMPRODUCT((Inputs!$C$5:$C$160=$B31)*ISNUMBER(INDEX(Inputs!$K$5:$AJ$160,0,MATCH(Z$2,Inputs!$K$4:$AJ$4,0))))+SUMPRODUCT((Inputs!$E$5:$E$160=$B31)*ISNUMBER(INDEX(Inputs!$K$5:$AJ$160,0,MATCH(Z$2,Inputs!$K$4:$AJ$4,0))))=0,NA(),SUMPRODUCT((Inputs!$A$5:$A$160=$B31)*Inputs!$B$5:$B$160*(((Inputs!$G$5:$G$160="moeda")+(Inputs!$G$5:$G$160="acoes"))*Inputs!$B$1+((Inputs!$G$5:$G$160&lt;&gt;"moeda")*(Inputs!$G$5:$G$160&lt;&gt;"acoes")))*INDEX(Inputs!$K$5:$AJ$160,0,MATCH(Z$2,Inputs!$K$4:$AJ$4,0)))+SUMPRODUCT((Inputs!$C$5:$C$160=$B31)*Inputs!$D$5:$D$160*(((Inputs!$G$5:$G$160="moeda")+(Inputs!$G$5:$G$160="acoes"))*Inputs!$B$1+((Inputs!$G$5:$G$160&lt;&gt;"moeda")*(Inputs!$G$5:$G$160&lt;&gt;"acoes")))*INDEX(Inputs!$K$5:$AJ$160,0,MATCH(Z$2,Inputs!$K$4:$AJ$4,0)))+SUMPRODUCT((Inputs!$E$5:$E$160=$B31)*Inputs!$F$5:$F$160*(((Inputs!$G$5:$G$160="moeda")+(Inputs!$G$5:$G$160="acoes"))*Inputs!$B$1+((Inputs!$G$5:$G$160&lt;&gt;"moeda")*(Inputs!$G$5:$G$160&lt;&gt;"acoes")))*INDEX(Inputs!$K$5:$AJ$160,0,MATCH(Z$2,Inputs!$K$4:$AJ$4,0)))))</f>
        <v>251.31</v>
      </c>
      <c r="AA31" s="6">
        <f>IF(ISNA(MATCH(AA$2,Inputs!$K$4:$AJ$4,0)),NA(),IF(SUMPRODUCT((Inputs!$A$5:$A$160=$B31)*ISNUMBER(INDEX(Inputs!$K$5:$AJ$160,0,MATCH(AA$2,Inputs!$K$4:$AJ$4,0))))+SUMPRODUCT((Inputs!$C$5:$C$160=$B31)*ISNUMBER(INDEX(Inputs!$K$5:$AJ$160,0,MATCH(AA$2,Inputs!$K$4:$AJ$4,0))))+SUMPRODUCT((Inputs!$E$5:$E$160=$B31)*ISNUMBER(INDEX(Inputs!$K$5:$AJ$160,0,MATCH(AA$2,Inputs!$K$4:$AJ$4,0))))=0,NA(),SUMPRODUCT((Inputs!$A$5:$A$160=$B31)*Inputs!$B$5:$B$160*(((Inputs!$G$5:$G$160="moeda")+(Inputs!$G$5:$G$160="acoes"))*Inputs!$B$1+((Inputs!$G$5:$G$160&lt;&gt;"moeda")*(Inputs!$G$5:$G$160&lt;&gt;"acoes")))*INDEX(Inputs!$K$5:$AJ$160,0,MATCH(AA$2,Inputs!$K$4:$AJ$4,0)))+SUMPRODUCT((Inputs!$C$5:$C$160=$B31)*Inputs!$D$5:$D$160*(((Inputs!$G$5:$G$160="moeda")+(Inputs!$G$5:$G$160="acoes"))*Inputs!$B$1+((Inputs!$G$5:$G$160&lt;&gt;"moeda")*(Inputs!$G$5:$G$160&lt;&gt;"acoes")))*INDEX(Inputs!$K$5:$AJ$160,0,MATCH(AA$2,Inputs!$K$4:$AJ$4,0)))+SUMPRODUCT((Inputs!$E$5:$E$160=$B31)*Inputs!$F$5:$F$160*(((Inputs!$G$5:$G$160="moeda")+(Inputs!$G$5:$G$160="acoes"))*Inputs!$B$1+((Inputs!$G$5:$G$160&lt;&gt;"moeda")*(Inputs!$G$5:$G$160&lt;&gt;"acoes")))*INDEX(Inputs!$K$5:$AJ$160,0,MATCH(AA$2,Inputs!$K$4:$AJ$4,0)))))</f>
        <v>389.55</v>
      </c>
      <c r="AB31" s="3">
        <f>AA31</f>
        <v>389.55</v>
      </c>
      <c r="AC31" s="6">
        <f>IF(ISNA(MATCH(AC$2,Inputs!$K$4:$AJ$4,0)),NA(),IF(SUMPRODUCT((Inputs!$A$5:$A$160=$B31)*ISNUMBER(INDEX(Inputs!$K$5:$AJ$160,0,MATCH(AC$2,Inputs!$K$4:$AJ$4,0))))+SUMPRODUCT((Inputs!$C$5:$C$160=$B31)*ISNUMBER(INDEX(Inputs!$K$5:$AJ$160,0,MATCH(AC$2,Inputs!$K$4:$AJ$4,0))))+SUMPRODUCT((Inputs!$E$5:$E$160=$B31)*ISNUMBER(INDEX(Inputs!$K$5:$AJ$160,0,MATCH(AC$2,Inputs!$K$4:$AJ$4,0))))=0,NA(),SUMPRODUCT((Inputs!$A$5:$A$160=$B31)*Inputs!$B$5:$B$160*(((Inputs!$G$5:$G$160="moeda")+(Inputs!$G$5:$G$160="acoes"))*Inputs!$B$1+((Inputs!$G$5:$G$160&lt;&gt;"moeda")*(Inputs!$G$5:$G$160&lt;&gt;"acoes")))*INDEX(Inputs!$K$5:$AJ$160,0,MATCH(AC$2,Inputs!$K$4:$AJ$4,0)))+SUMPRODUCT((Inputs!$C$5:$C$160=$B31)*Inputs!$D$5:$D$160*(((Inputs!$G$5:$G$160="moeda")+(Inputs!$G$5:$G$160="acoes"))*Inputs!$B$1+((Inputs!$G$5:$G$160&lt;&gt;"moeda")*(Inputs!$G$5:$G$160&lt;&gt;"acoes")))*INDEX(Inputs!$K$5:$AJ$160,0,MATCH(AC$2,Inputs!$K$4:$AJ$4,0)))+SUMPRODUCT((Inputs!$E$5:$E$160=$B31)*Inputs!$F$5:$F$160*(((Inputs!$G$5:$G$160="moeda")+(Inputs!$G$5:$G$160="acoes"))*Inputs!$B$1+((Inputs!$G$5:$G$160&lt;&gt;"moeda")*(Inputs!$G$5:$G$160&lt;&gt;"acoes")))*INDEX(Inputs!$K$5:$AJ$160,0,MATCH(AC$2,Inputs!$K$4:$AJ$4,0)))))</f>
        <v>359.806</v>
      </c>
      <c r="AD31" s="6">
        <f>IF(ISNA(MATCH(AD$2,Inputs!$K$4:$AJ$4,0)),NA(),IF(SUMPRODUCT((Inputs!$A$5:$A$160=$B31)*ISNUMBER(INDEX(Inputs!$K$5:$AJ$160,0,MATCH(AD$2,Inputs!$K$4:$AJ$4,0))))+SUMPRODUCT((Inputs!$C$5:$C$160=$B31)*ISNUMBER(INDEX(Inputs!$K$5:$AJ$160,0,MATCH(AD$2,Inputs!$K$4:$AJ$4,0))))+SUMPRODUCT((Inputs!$E$5:$E$160=$B31)*ISNUMBER(INDEX(Inputs!$K$5:$AJ$160,0,MATCH(AD$2,Inputs!$K$4:$AJ$4,0))))=0,NA(),SUMPRODUCT((Inputs!$A$5:$A$160=$B31)*Inputs!$B$5:$B$160*(((Inputs!$G$5:$G$160="moeda")+(Inputs!$G$5:$G$160="acoes"))*Inputs!$B$1+((Inputs!$G$5:$G$160&lt;&gt;"moeda")*(Inputs!$G$5:$G$160&lt;&gt;"acoes")))*INDEX(Inputs!$K$5:$AJ$160,0,MATCH(AD$2,Inputs!$K$4:$AJ$4,0)))+SUMPRODUCT((Inputs!$C$5:$C$160=$B31)*Inputs!$D$5:$D$160*(((Inputs!$G$5:$G$160="moeda")+(Inputs!$G$5:$G$160="acoes"))*Inputs!$B$1+((Inputs!$G$5:$G$160&lt;&gt;"moeda")*(Inputs!$G$5:$G$160&lt;&gt;"acoes")))*INDEX(Inputs!$K$5:$AJ$160,0,MATCH(AD$2,Inputs!$K$4:$AJ$4,0)))+SUMPRODUCT((Inputs!$E$5:$E$160=$B31)*Inputs!$F$5:$F$160*(((Inputs!$G$5:$G$160="moeda")+(Inputs!$G$5:$G$160="acoes"))*Inputs!$B$1+((Inputs!$G$5:$G$160&lt;&gt;"moeda")*(Inputs!$G$5:$G$160&lt;&gt;"acoes")))*INDEX(Inputs!$K$5:$AJ$160,0,MATCH(AD$2,Inputs!$K$4:$AJ$4,0)))))</f>
        <v>160.084</v>
      </c>
      <c r="AE31" s="6" t="e">
        <f>IF(ISNA(MATCH(AE$2,Inputs!$K$4:$AJ$4,0)),NA(),IF(SUMPRODUCT((Inputs!$A$5:$A$160=$B31)*ISNUMBER(INDEX(Inputs!$K$5:$AJ$160,0,MATCH(AE$2,Inputs!$K$4:$AJ$4,0))))+SUMPRODUCT((Inputs!$C$5:$C$160=$B31)*ISNUMBER(INDEX(Inputs!$K$5:$AJ$160,0,MATCH(AE$2,Inputs!$K$4:$AJ$4,0))))+SUMPRODUCT((Inputs!$E$5:$E$160=$B31)*ISNUMBER(INDEX(Inputs!$K$5:$AJ$160,0,MATCH(AE$2,Inputs!$K$4:$AJ$4,0))))=0,NA(),SUMPRODUCT((Inputs!$A$5:$A$160=$B31)*Inputs!$B$5:$B$160*(((Inputs!$G$5:$G$160="moeda")+(Inputs!$G$5:$G$160="acoes"))*Inputs!$B$1+((Inputs!$G$5:$G$160&lt;&gt;"moeda")*(Inputs!$G$5:$G$160&lt;&gt;"acoes")))*INDEX(Inputs!$K$5:$AJ$160,0,MATCH(AE$2,Inputs!$K$4:$AJ$4,0)))+SUMPRODUCT((Inputs!$C$5:$C$160=$B31)*Inputs!$D$5:$D$160*(((Inputs!$G$5:$G$160="moeda")+(Inputs!$G$5:$G$160="acoes"))*Inputs!$B$1+((Inputs!$G$5:$G$160&lt;&gt;"moeda")*(Inputs!$G$5:$G$160&lt;&gt;"acoes")))*INDEX(Inputs!$K$5:$AJ$160,0,MATCH(AE$2,Inputs!$K$4:$AJ$4,0)))+SUMPRODUCT((Inputs!$E$5:$E$160=$B31)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1" s="6" t="e">
        <f>IF(ISNA(MATCH(AF$2,Inputs!$K$4:$AJ$4,0)),NA(),IF(SUMPRODUCT((Inputs!$A$5:$A$160=$B31)*ISNUMBER(INDEX(Inputs!$K$5:$AJ$160,0,MATCH(AF$2,Inputs!$K$4:$AJ$4,0))))+SUMPRODUCT((Inputs!$C$5:$C$160=$B31)*ISNUMBER(INDEX(Inputs!$K$5:$AJ$160,0,MATCH(AF$2,Inputs!$K$4:$AJ$4,0))))+SUMPRODUCT((Inputs!$E$5:$E$160=$B31)*ISNUMBER(INDEX(Inputs!$K$5:$AJ$160,0,MATCH(AF$2,Inputs!$K$4:$AJ$4,0))))=0,NA(),SUMPRODUCT((Inputs!$A$5:$A$160=$B31)*Inputs!$B$5:$B$160*(((Inputs!$G$5:$G$160="moeda")+(Inputs!$G$5:$G$160="acoes"))*Inputs!$B$1+((Inputs!$G$5:$G$160&lt;&gt;"moeda")*(Inputs!$G$5:$G$160&lt;&gt;"acoes")))*INDEX(Inputs!$K$5:$AJ$160,0,MATCH(AF$2,Inputs!$K$4:$AJ$4,0)))+SUMPRODUCT((Inputs!$C$5:$C$160=$B31)*Inputs!$D$5:$D$160*(((Inputs!$G$5:$G$160="moeda")+(Inputs!$G$5:$G$160="acoes"))*Inputs!$B$1+((Inputs!$G$5:$G$160&lt;&gt;"moeda")*(Inputs!$G$5:$G$160&lt;&gt;"acoes")))*INDEX(Inputs!$K$5:$AJ$160,0,MATCH(AF$2,Inputs!$K$4:$AJ$4,0)))+SUMPRODUCT((Inputs!$E$5:$E$160=$B31)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1" s="3" t="e">
        <f>AF31</f>
        <v>#N/A</v>
      </c>
      <c r="AH31" s="6">
        <f>IF(ISNA(MATCH(AH$2,Inputs!$K$4:$AJ$4,0)),NA(),IF(SUMPRODUCT((Inputs!$A$5:$A$160=$B31)*ISNUMBER(INDEX(Inputs!$K$5:$AJ$160,0,MATCH(AH$2,Inputs!$K$4:$AJ$4,0))))+SUMPRODUCT((Inputs!$C$5:$C$160=$B31)*ISNUMBER(INDEX(Inputs!$K$5:$AJ$160,0,MATCH(AH$2,Inputs!$K$4:$AJ$4,0))))+SUMPRODUCT((Inputs!$E$5:$E$160=$B31)*ISNUMBER(INDEX(Inputs!$K$5:$AJ$160,0,MATCH(AH$2,Inputs!$K$4:$AJ$4,0))))=0,NA(),SUMPRODUCT((Inputs!$A$5:$A$160=$B31)*Inputs!$B$5:$B$160*(((Inputs!$G$5:$G$160="moeda")+(Inputs!$G$5:$G$160="acoes"))*Inputs!$B$1+((Inputs!$G$5:$G$160&lt;&gt;"moeda")*(Inputs!$G$5:$G$160&lt;&gt;"acoes")))*INDEX(Inputs!$K$5:$AJ$160,0,MATCH(AH$2,Inputs!$K$4:$AJ$4,0)))+SUMPRODUCT((Inputs!$C$5:$C$160=$B31)*Inputs!$D$5:$D$160*(((Inputs!$G$5:$G$160="moeda")+(Inputs!$G$5:$G$160="acoes"))*Inputs!$B$1+((Inputs!$G$5:$G$160&lt;&gt;"moeda")*(Inputs!$G$5:$G$160&lt;&gt;"acoes")))*INDEX(Inputs!$K$5:$AJ$160,0,MATCH(AH$2,Inputs!$K$4:$AJ$4,0)))+SUMPRODUCT((Inputs!$E$5:$E$160=$B31)*Inputs!$F$5:$F$160*(((Inputs!$G$5:$G$160="moeda")+(Inputs!$G$5:$G$160="acoes"))*Inputs!$B$1+((Inputs!$G$5:$G$160&lt;&gt;"moeda")*(Inputs!$G$5:$G$160&lt;&gt;"acoes")))*INDEX(Inputs!$K$5:$AJ$160,0,MATCH(AH$2,Inputs!$K$4:$AJ$4,0)))))</f>
        <v>258.16440353</v>
      </c>
      <c r="AI31" s="6">
        <f>IF(ISNA(MATCH(AI$2,Inputs!$K$4:$AJ$4,0)),NA(),IF(SUMPRODUCT((Inputs!$A$5:$A$160=$B31)*ISNUMBER(INDEX(Inputs!$K$5:$AJ$160,0,MATCH(AI$2,Inputs!$K$4:$AJ$4,0))))+SUMPRODUCT((Inputs!$C$5:$C$160=$B31)*ISNUMBER(INDEX(Inputs!$K$5:$AJ$160,0,MATCH(AI$2,Inputs!$K$4:$AJ$4,0))))+SUMPRODUCT((Inputs!$E$5:$E$160=$B31)*ISNUMBER(INDEX(Inputs!$K$5:$AJ$160,0,MATCH(AI$2,Inputs!$K$4:$AJ$4,0))))=0,NA(),SUMPRODUCT((Inputs!$A$5:$A$160=$B31)*Inputs!$B$5:$B$160*(((Inputs!$G$5:$G$160="moeda")+(Inputs!$G$5:$G$160="acoes"))*Inputs!$B$1+((Inputs!$G$5:$G$160&lt;&gt;"moeda")*(Inputs!$G$5:$G$160&lt;&gt;"acoes")))*INDEX(Inputs!$K$5:$AJ$160,0,MATCH(AI$2,Inputs!$K$4:$AJ$4,0)))+SUMPRODUCT((Inputs!$C$5:$C$160=$B31)*Inputs!$D$5:$D$160*(((Inputs!$G$5:$G$160="moeda")+(Inputs!$G$5:$G$160="acoes"))*Inputs!$B$1+((Inputs!$G$5:$G$160&lt;&gt;"moeda")*(Inputs!$G$5:$G$160&lt;&gt;"acoes")))*INDEX(Inputs!$K$5:$AJ$160,0,MATCH(AI$2,Inputs!$K$4:$AJ$4,0)))+SUMPRODUCT((Inputs!$E$5:$E$160=$B31)*Inputs!$F$5:$F$160*(((Inputs!$G$5:$G$160="moeda")+(Inputs!$G$5:$G$160="acoes"))*Inputs!$B$1+((Inputs!$G$5:$G$160&lt;&gt;"moeda")*(Inputs!$G$5:$G$160&lt;&gt;"acoes")))*INDEX(Inputs!$K$5:$AJ$160,0,MATCH(AI$2,Inputs!$K$4:$AJ$4,0)))))</f>
        <v>257.36294849</v>
      </c>
      <c r="AJ31" s="6">
        <f>IF(ISNA(MATCH(AJ$2,Inputs!$K$4:$AJ$4,0)),NA(),IF(SUMPRODUCT((Inputs!$A$5:$A$160=$B31)*ISNUMBER(INDEX(Inputs!$K$5:$AJ$160,0,MATCH(AJ$2,Inputs!$K$4:$AJ$4,0))))+SUMPRODUCT((Inputs!$C$5:$C$160=$B31)*ISNUMBER(INDEX(Inputs!$K$5:$AJ$160,0,MATCH(AJ$2,Inputs!$K$4:$AJ$4,0))))+SUMPRODUCT((Inputs!$E$5:$E$160=$B31)*ISNUMBER(INDEX(Inputs!$K$5:$AJ$160,0,MATCH(AJ$2,Inputs!$K$4:$AJ$4,0))))=0,NA(),SUMPRODUCT((Inputs!$A$5:$A$160=$B31)*Inputs!$B$5:$B$160*(((Inputs!$G$5:$G$160="moeda")+(Inputs!$G$5:$G$160="acoes"))*Inputs!$B$1+((Inputs!$G$5:$G$160&lt;&gt;"moeda")*(Inputs!$G$5:$G$160&lt;&gt;"acoes")))*INDEX(Inputs!$K$5:$AJ$160,0,MATCH(AJ$2,Inputs!$K$4:$AJ$4,0)))+SUMPRODUCT((Inputs!$C$5:$C$160=$B31)*Inputs!$D$5:$D$160*(((Inputs!$G$5:$G$160="moeda")+(Inputs!$G$5:$G$160="acoes"))*Inputs!$B$1+((Inputs!$G$5:$G$160&lt;&gt;"moeda")*(Inputs!$G$5:$G$160&lt;&gt;"acoes")))*INDEX(Inputs!$K$5:$AJ$160,0,MATCH(AJ$2,Inputs!$K$4:$AJ$4,0)))+SUMPRODUCT((Inputs!$E$5:$E$160=$B31)*Inputs!$F$5:$F$160*(((Inputs!$G$5:$G$160="moeda")+(Inputs!$G$5:$G$160="acoes"))*Inputs!$B$1+((Inputs!$G$5:$G$160&lt;&gt;"moeda")*(Inputs!$G$5:$G$160&lt;&gt;"acoes")))*INDEX(Inputs!$K$5:$AJ$160,0,MATCH(AJ$2,Inputs!$K$4:$AJ$4,0)))))</f>
        <v>227.35485368</v>
      </c>
      <c r="AK31" s="6">
        <f>IF(ISNA(MATCH(AK$2,Inputs!$K$4:$AJ$4,0)),NA(),IF(SUMPRODUCT((Inputs!$A$5:$A$160=$B31)*ISNUMBER(INDEX(Inputs!$K$5:$AJ$160,0,MATCH(AK$2,Inputs!$K$4:$AJ$4,0))))+SUMPRODUCT((Inputs!$C$5:$C$160=$B31)*ISNUMBER(INDEX(Inputs!$K$5:$AJ$160,0,MATCH(AK$2,Inputs!$K$4:$AJ$4,0))))+SUMPRODUCT((Inputs!$E$5:$E$160=$B31)*ISNUMBER(INDEX(Inputs!$K$5:$AJ$160,0,MATCH(AK$2,Inputs!$K$4:$AJ$4,0))))=0,NA(),SUMPRODUCT((Inputs!$A$5:$A$160=$B31)*Inputs!$B$5:$B$160*(((Inputs!$G$5:$G$160="moeda")+(Inputs!$G$5:$G$160="acoes"))*Inputs!$B$1+((Inputs!$G$5:$G$160&lt;&gt;"moeda")*(Inputs!$G$5:$G$160&lt;&gt;"acoes")))*INDEX(Inputs!$K$5:$AJ$160,0,MATCH(AK$2,Inputs!$K$4:$AJ$4,0)))+SUMPRODUCT((Inputs!$C$5:$C$160=$B31)*Inputs!$D$5:$D$160*(((Inputs!$G$5:$G$160="moeda")+(Inputs!$G$5:$G$160="acoes"))*Inputs!$B$1+((Inputs!$G$5:$G$160&lt;&gt;"moeda")*(Inputs!$G$5:$G$160&lt;&gt;"acoes")))*INDEX(Inputs!$K$5:$AJ$160,0,MATCH(AK$2,Inputs!$K$4:$AJ$4,0)))+SUMPRODUCT((Inputs!$E$5:$E$160=$B31)*Inputs!$F$5:$F$160*(((Inputs!$G$5:$G$160="moeda")+(Inputs!$G$5:$G$160="acoes"))*Inputs!$B$1+((Inputs!$G$5:$G$160&lt;&gt;"moeda")*(Inputs!$G$5:$G$160&lt;&gt;"acoes")))*INDEX(Inputs!$K$5:$AJ$160,0,MATCH(AK$2,Inputs!$K$4:$AJ$4,0)))))</f>
        <v>105.62015696</v>
      </c>
      <c r="AL31" s="3">
        <f>AK31</f>
        <v>105.62015696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$160=$B32)*ISNUMBER(INDEX(Inputs!$K$5:$AJ$160,0,MATCH(D$2,Inputs!$K$4:$AJ$4,0))))+SUMPRODUCT((Inputs!$C$5:$C$160=$B32)*ISNUMBER(INDEX(Inputs!$K$5:$AJ$160,0,MATCH(D$2,Inputs!$K$4:$AJ$4,0))))+SUMPRODUCT((Inputs!$E$5:$E$160=$B32)*ISNUMBER(INDEX(Inputs!$K$5:$AJ$160,0,MATCH(D$2,Inputs!$K$4:$AJ$4,0))))=0,NA(),SUMPRODUCT((Inputs!$A$5:$A$160=$B32)*Inputs!$B$5:$B$160*(((Inputs!$G$5:$G$160="moeda")+(Inputs!$G$5:$G$160="acoes"))*Inputs!$B$1+((Inputs!$G$5:$G$160&lt;&gt;"moeda")*(Inputs!$G$5:$G$160&lt;&gt;"acoes")))*INDEX(Inputs!$K$5:$AJ$160,0,MATCH(D$2,Inputs!$K$4:$AJ$4,0)))+SUMPRODUCT((Inputs!$C$5:$C$160=$B32)*Inputs!$D$5:$D$160*(((Inputs!$G$5:$G$160="moeda")+(Inputs!$G$5:$G$160="acoes"))*Inputs!$B$1+((Inputs!$G$5:$G$160&lt;&gt;"moeda")*(Inputs!$G$5:$G$160&lt;&gt;"acoes")))*INDEX(Inputs!$K$5:$AJ$160,0,MATCH(D$2,Inputs!$K$4:$AJ$4,0)))+SUMPRODUCT((Inputs!$E$5:$E$160=$B32)*Inputs!$F$5:$F$160*(((Inputs!$G$5:$G$160="moeda")+(Inputs!$G$5:$G$160="acoes"))*Inputs!$B$1+((Inputs!$G$5:$G$160&lt;&gt;"moeda")*(Inputs!$G$5:$G$160&lt;&gt;"acoes")))*INDEX(Inputs!$K$5:$AJ$160,0,MATCH(D$2,Inputs!$K$4:$AJ$4,0)))))</f>
        <v>634.39933369</v>
      </c>
      <c r="E32" s="6">
        <f>IF(ISNA(MATCH(E$2,Inputs!$K$4:$AJ$4,0)),NA(),IF(SUMPRODUCT((Inputs!$A$5:$A$160=$B32)*ISNUMBER(INDEX(Inputs!$K$5:$AJ$160,0,MATCH(E$2,Inputs!$K$4:$AJ$4,0))))+SUMPRODUCT((Inputs!$C$5:$C$160=$B32)*ISNUMBER(INDEX(Inputs!$K$5:$AJ$160,0,MATCH(E$2,Inputs!$K$4:$AJ$4,0))))+SUMPRODUCT((Inputs!$E$5:$E$160=$B32)*ISNUMBER(INDEX(Inputs!$K$5:$AJ$160,0,MATCH(E$2,Inputs!$K$4:$AJ$4,0))))=0,NA(),SUMPRODUCT((Inputs!$A$5:$A$160=$B32)*Inputs!$B$5:$B$160*(((Inputs!$G$5:$G$160="moeda")+(Inputs!$G$5:$G$160="acoes"))*Inputs!$B$1+((Inputs!$G$5:$G$160&lt;&gt;"moeda")*(Inputs!$G$5:$G$160&lt;&gt;"acoes")))*INDEX(Inputs!$K$5:$AJ$160,0,MATCH(E$2,Inputs!$K$4:$AJ$4,0)))+SUMPRODUCT((Inputs!$C$5:$C$160=$B32)*Inputs!$D$5:$D$160*(((Inputs!$G$5:$G$160="moeda")+(Inputs!$G$5:$G$160="acoes"))*Inputs!$B$1+((Inputs!$G$5:$G$160&lt;&gt;"moeda")*(Inputs!$G$5:$G$160&lt;&gt;"acoes")))*INDEX(Inputs!$K$5:$AJ$160,0,MATCH(E$2,Inputs!$K$4:$AJ$4,0)))+SUMPRODUCT((Inputs!$E$5:$E$160=$B32)*Inputs!$F$5:$F$160*(((Inputs!$G$5:$G$160="moeda")+(Inputs!$G$5:$G$160="acoes"))*Inputs!$B$1+((Inputs!$G$5:$G$160&lt;&gt;"moeda")*(Inputs!$G$5:$G$160&lt;&gt;"acoes")))*INDEX(Inputs!$K$5:$AJ$160,0,MATCH(E$2,Inputs!$K$4:$AJ$4,0)))))</f>
        <v>734.08204401</v>
      </c>
      <c r="F32" s="6">
        <f>IF(ISNA(MATCH(F$2,Inputs!$K$4:$AJ$4,0)),NA(),IF(SUMPRODUCT((Inputs!$A$5:$A$160=$B32)*ISNUMBER(INDEX(Inputs!$K$5:$AJ$160,0,MATCH(F$2,Inputs!$K$4:$AJ$4,0))))+SUMPRODUCT((Inputs!$C$5:$C$160=$B32)*ISNUMBER(INDEX(Inputs!$K$5:$AJ$160,0,MATCH(F$2,Inputs!$K$4:$AJ$4,0))))+SUMPRODUCT((Inputs!$E$5:$E$160=$B32)*ISNUMBER(INDEX(Inputs!$K$5:$AJ$160,0,MATCH(F$2,Inputs!$K$4:$AJ$4,0))))=0,NA(),SUMPRODUCT((Inputs!$A$5:$A$160=$B32)*Inputs!$B$5:$B$160*(((Inputs!$G$5:$G$160="moeda")+(Inputs!$G$5:$G$160="acoes"))*Inputs!$B$1+((Inputs!$G$5:$G$160&lt;&gt;"moeda")*(Inputs!$G$5:$G$160&lt;&gt;"acoes")))*INDEX(Inputs!$K$5:$AJ$160,0,MATCH(F$2,Inputs!$K$4:$AJ$4,0)))+SUMPRODUCT((Inputs!$C$5:$C$160=$B32)*Inputs!$D$5:$D$160*(((Inputs!$G$5:$G$160="moeda")+(Inputs!$G$5:$G$160="acoes"))*Inputs!$B$1+((Inputs!$G$5:$G$160&lt;&gt;"moeda")*(Inputs!$G$5:$G$160&lt;&gt;"acoes")))*INDEX(Inputs!$K$5:$AJ$160,0,MATCH(F$2,Inputs!$K$4:$AJ$4,0)))+SUMPRODUCT((Inputs!$E$5:$E$160=$B32)*Inputs!$F$5:$F$160*(((Inputs!$G$5:$G$160="moeda")+(Inputs!$G$5:$G$160="acoes"))*Inputs!$B$1+((Inputs!$G$5:$G$160&lt;&gt;"moeda")*(Inputs!$G$5:$G$160&lt;&gt;"acoes")))*INDEX(Inputs!$K$5:$AJ$160,0,MATCH(F$2,Inputs!$K$4:$AJ$4,0)))))</f>
        <v>365.44586972</v>
      </c>
      <c r="G32" s="6">
        <f>IF(ISNA(MATCH(G$2,Inputs!$K$4:$AJ$4,0)),NA(),IF(SUMPRODUCT((Inputs!$A$5:$A$160=$B32)*ISNUMBER(INDEX(Inputs!$K$5:$AJ$160,0,MATCH(G$2,Inputs!$K$4:$AJ$4,0))))+SUMPRODUCT((Inputs!$C$5:$C$160=$B32)*ISNUMBER(INDEX(Inputs!$K$5:$AJ$160,0,MATCH(G$2,Inputs!$K$4:$AJ$4,0))))+SUMPRODUCT((Inputs!$E$5:$E$160=$B32)*ISNUMBER(INDEX(Inputs!$K$5:$AJ$160,0,MATCH(G$2,Inputs!$K$4:$AJ$4,0))))=0,NA(),SUMPRODUCT((Inputs!$A$5:$A$160=$B32)*Inputs!$B$5:$B$160*(((Inputs!$G$5:$G$160="moeda")+(Inputs!$G$5:$G$160="acoes"))*Inputs!$B$1+((Inputs!$G$5:$G$160&lt;&gt;"moeda")*(Inputs!$G$5:$G$160&lt;&gt;"acoes")))*INDEX(Inputs!$K$5:$AJ$160,0,MATCH(G$2,Inputs!$K$4:$AJ$4,0)))+SUMPRODUCT((Inputs!$C$5:$C$160=$B32)*Inputs!$D$5:$D$160*(((Inputs!$G$5:$G$160="moeda")+(Inputs!$G$5:$G$160="acoes"))*Inputs!$B$1+((Inputs!$G$5:$G$160&lt;&gt;"moeda")*(Inputs!$G$5:$G$160&lt;&gt;"acoes")))*INDEX(Inputs!$K$5:$AJ$160,0,MATCH(G$2,Inputs!$K$4:$AJ$4,0)))+SUMPRODUCT((Inputs!$E$5:$E$160=$B32)*Inputs!$F$5:$F$160*(((Inputs!$G$5:$G$160="moeda")+(Inputs!$G$5:$G$160="acoes"))*Inputs!$B$1+((Inputs!$G$5:$G$160&lt;&gt;"moeda")*(Inputs!$G$5:$G$160&lt;&gt;"acoes")))*INDEX(Inputs!$K$5:$AJ$160,0,MATCH(G$2,Inputs!$K$4:$AJ$4,0)))))</f>
        <v>375.05613713</v>
      </c>
      <c r="H32" s="3">
        <f>G32</f>
        <v>375.05613713</v>
      </c>
      <c r="I32" s="6">
        <f>IF(ISNA(MATCH(I$2,Inputs!$K$4:$AJ$4,0)),NA(),IF(SUMPRODUCT((Inputs!$A$5:$A$160=$B32)*ISNUMBER(INDEX(Inputs!$K$5:$AJ$160,0,MATCH(I$2,Inputs!$K$4:$AJ$4,0))))+SUMPRODUCT((Inputs!$C$5:$C$160=$B32)*ISNUMBER(INDEX(Inputs!$K$5:$AJ$160,0,MATCH(I$2,Inputs!$K$4:$AJ$4,0))))+SUMPRODUCT((Inputs!$E$5:$E$160=$B32)*ISNUMBER(INDEX(Inputs!$K$5:$AJ$160,0,MATCH(I$2,Inputs!$K$4:$AJ$4,0))))=0,NA(),SUMPRODUCT((Inputs!$A$5:$A$160=$B32)*Inputs!$B$5:$B$160*(((Inputs!$G$5:$G$160="moeda")+(Inputs!$G$5:$G$160="acoes"))*Inputs!$B$1+((Inputs!$G$5:$G$160&lt;&gt;"moeda")*(Inputs!$G$5:$G$160&lt;&gt;"acoes")))*INDEX(Inputs!$K$5:$AJ$160,0,MATCH(I$2,Inputs!$K$4:$AJ$4,0)))+SUMPRODUCT((Inputs!$C$5:$C$160=$B32)*Inputs!$D$5:$D$160*(((Inputs!$G$5:$G$160="moeda")+(Inputs!$G$5:$G$160="acoes"))*Inputs!$B$1+((Inputs!$G$5:$G$160&lt;&gt;"moeda")*(Inputs!$G$5:$G$160&lt;&gt;"acoes")))*INDEX(Inputs!$K$5:$AJ$160,0,MATCH(I$2,Inputs!$K$4:$AJ$4,0)))+SUMPRODUCT((Inputs!$E$5:$E$160=$B32)*Inputs!$F$5:$F$160*(((Inputs!$G$5:$G$160="moeda")+(Inputs!$G$5:$G$160="acoes"))*Inputs!$B$1+((Inputs!$G$5:$G$160&lt;&gt;"moeda")*(Inputs!$G$5:$G$160&lt;&gt;"acoes")))*INDEX(Inputs!$K$5:$AJ$160,0,MATCH(I$2,Inputs!$K$4:$AJ$4,0)))))</f>
        <v>226.60160284</v>
      </c>
      <c r="J32" s="6">
        <f>IF(ISNA(MATCH(J$2,Inputs!$K$4:$AJ$4,0)),NA(),IF(SUMPRODUCT((Inputs!$A$5:$A$160=$B32)*ISNUMBER(INDEX(Inputs!$K$5:$AJ$160,0,MATCH(J$2,Inputs!$K$4:$AJ$4,0))))+SUMPRODUCT((Inputs!$C$5:$C$160=$B32)*ISNUMBER(INDEX(Inputs!$K$5:$AJ$160,0,MATCH(J$2,Inputs!$K$4:$AJ$4,0))))+SUMPRODUCT((Inputs!$E$5:$E$160=$B32)*ISNUMBER(INDEX(Inputs!$K$5:$AJ$160,0,MATCH(J$2,Inputs!$K$4:$AJ$4,0))))=0,NA(),SUMPRODUCT((Inputs!$A$5:$A$160=$B32)*Inputs!$B$5:$B$160*(((Inputs!$G$5:$G$160="moeda")+(Inputs!$G$5:$G$160="acoes"))*Inputs!$B$1+((Inputs!$G$5:$G$160&lt;&gt;"moeda")*(Inputs!$G$5:$G$160&lt;&gt;"acoes")))*INDEX(Inputs!$K$5:$AJ$160,0,MATCH(J$2,Inputs!$K$4:$AJ$4,0)))+SUMPRODUCT((Inputs!$C$5:$C$160=$B32)*Inputs!$D$5:$D$160*(((Inputs!$G$5:$G$160="moeda")+(Inputs!$G$5:$G$160="acoes"))*Inputs!$B$1+((Inputs!$G$5:$G$160&lt;&gt;"moeda")*(Inputs!$G$5:$G$160&lt;&gt;"acoes")))*INDEX(Inputs!$K$5:$AJ$160,0,MATCH(J$2,Inputs!$K$4:$AJ$4,0)))+SUMPRODUCT((Inputs!$E$5:$E$160=$B32)*Inputs!$F$5:$F$160*(((Inputs!$G$5:$G$160="moeda")+(Inputs!$G$5:$G$160="acoes"))*Inputs!$B$1+((Inputs!$G$5:$G$160&lt;&gt;"moeda")*(Inputs!$G$5:$G$160&lt;&gt;"acoes")))*INDEX(Inputs!$K$5:$AJ$160,0,MATCH(J$2,Inputs!$K$4:$AJ$4,0)))))</f>
        <v>499.57014269</v>
      </c>
      <c r="K32" s="6">
        <f>IF(ISNA(MATCH(K$2,Inputs!$K$4:$AJ$4,0)),NA(),IF(SUMPRODUCT((Inputs!$A$5:$A$160=$B32)*ISNUMBER(INDEX(Inputs!$K$5:$AJ$160,0,MATCH(K$2,Inputs!$K$4:$AJ$4,0))))+SUMPRODUCT((Inputs!$C$5:$C$160=$B32)*ISNUMBER(INDEX(Inputs!$K$5:$AJ$160,0,MATCH(K$2,Inputs!$K$4:$AJ$4,0))))+SUMPRODUCT((Inputs!$E$5:$E$160=$B32)*ISNUMBER(INDEX(Inputs!$K$5:$AJ$160,0,MATCH(K$2,Inputs!$K$4:$AJ$4,0))))=0,NA(),SUMPRODUCT((Inputs!$A$5:$A$160=$B32)*Inputs!$B$5:$B$160*(((Inputs!$G$5:$G$160="moeda")+(Inputs!$G$5:$G$160="acoes"))*Inputs!$B$1+((Inputs!$G$5:$G$160&lt;&gt;"moeda")*(Inputs!$G$5:$G$160&lt;&gt;"acoes")))*INDEX(Inputs!$K$5:$AJ$160,0,MATCH(K$2,Inputs!$K$4:$AJ$4,0)))+SUMPRODUCT((Inputs!$C$5:$C$160=$B32)*Inputs!$D$5:$D$160*(((Inputs!$G$5:$G$160="moeda")+(Inputs!$G$5:$G$160="acoes"))*Inputs!$B$1+((Inputs!$G$5:$G$160&lt;&gt;"moeda")*(Inputs!$G$5:$G$160&lt;&gt;"acoes")))*INDEX(Inputs!$K$5:$AJ$160,0,MATCH(K$2,Inputs!$K$4:$AJ$4,0)))+SUMPRODUCT((Inputs!$E$5:$E$160=$B32)*Inputs!$F$5:$F$160*(((Inputs!$G$5:$G$160="moeda")+(Inputs!$G$5:$G$160="acoes"))*Inputs!$B$1+((Inputs!$G$5:$G$160&lt;&gt;"moeda")*(Inputs!$G$5:$G$160&lt;&gt;"acoes")))*INDEX(Inputs!$K$5:$AJ$160,0,MATCH(K$2,Inputs!$K$4:$AJ$4,0)))))</f>
        <v>526.2207363</v>
      </c>
      <c r="L32" s="6">
        <f>IF(ISNA(MATCH(L$2,Inputs!$K$4:$AJ$4,0)),NA(),IF(SUMPRODUCT((Inputs!$A$5:$A$160=$B32)*ISNUMBER(INDEX(Inputs!$K$5:$AJ$160,0,MATCH(L$2,Inputs!$K$4:$AJ$4,0))))+SUMPRODUCT((Inputs!$C$5:$C$160=$B32)*ISNUMBER(INDEX(Inputs!$K$5:$AJ$160,0,MATCH(L$2,Inputs!$K$4:$AJ$4,0))))+SUMPRODUCT((Inputs!$E$5:$E$160=$B32)*ISNUMBER(INDEX(Inputs!$K$5:$AJ$160,0,MATCH(L$2,Inputs!$K$4:$AJ$4,0))))=0,NA(),SUMPRODUCT((Inputs!$A$5:$A$160=$B32)*Inputs!$B$5:$B$160*(((Inputs!$G$5:$G$160="moeda")+(Inputs!$G$5:$G$160="acoes"))*Inputs!$B$1+((Inputs!$G$5:$G$160&lt;&gt;"moeda")*(Inputs!$G$5:$G$160&lt;&gt;"acoes")))*INDEX(Inputs!$K$5:$AJ$160,0,MATCH(L$2,Inputs!$K$4:$AJ$4,0)))+SUMPRODUCT((Inputs!$C$5:$C$160=$B32)*Inputs!$D$5:$D$160*(((Inputs!$G$5:$G$160="moeda")+(Inputs!$G$5:$G$160="acoes"))*Inputs!$B$1+((Inputs!$G$5:$G$160&lt;&gt;"moeda")*(Inputs!$G$5:$G$160&lt;&gt;"acoes")))*INDEX(Inputs!$K$5:$AJ$160,0,MATCH(L$2,Inputs!$K$4:$AJ$4,0)))+SUMPRODUCT((Inputs!$E$5:$E$160=$B32)*Inputs!$F$5:$F$160*(((Inputs!$G$5:$G$160="moeda")+(Inputs!$G$5:$G$160="acoes"))*Inputs!$B$1+((Inputs!$G$5:$G$160&lt;&gt;"moeda")*(Inputs!$G$5:$G$160&lt;&gt;"acoes")))*INDEX(Inputs!$K$5:$AJ$160,0,MATCH(L$2,Inputs!$K$4:$AJ$4,0)))))</f>
        <v>360.91905258</v>
      </c>
      <c r="M32" s="3">
        <f>L32</f>
        <v>360.91905258</v>
      </c>
      <c r="N32" s="6">
        <f>IF(ISNA(MATCH(N$2,Inputs!$K$4:$AJ$4,0)),NA(),IF(SUMPRODUCT((Inputs!$A$5:$A$160=$B32)*ISNUMBER(INDEX(Inputs!$K$5:$AJ$160,0,MATCH(N$2,Inputs!$K$4:$AJ$4,0))))+SUMPRODUCT((Inputs!$C$5:$C$160=$B32)*ISNUMBER(INDEX(Inputs!$K$5:$AJ$160,0,MATCH(N$2,Inputs!$K$4:$AJ$4,0))))+SUMPRODUCT((Inputs!$E$5:$E$160=$B32)*ISNUMBER(INDEX(Inputs!$K$5:$AJ$160,0,MATCH(N$2,Inputs!$K$4:$AJ$4,0))))=0,NA(),SUMPRODUCT((Inputs!$A$5:$A$160=$B32)*Inputs!$B$5:$B$160*(((Inputs!$G$5:$G$160="moeda")+(Inputs!$G$5:$G$160="acoes"))*Inputs!$B$1+((Inputs!$G$5:$G$160&lt;&gt;"moeda")*(Inputs!$G$5:$G$160&lt;&gt;"acoes")))*INDEX(Inputs!$K$5:$AJ$160,0,MATCH(N$2,Inputs!$K$4:$AJ$4,0)))+SUMPRODUCT((Inputs!$C$5:$C$160=$B32)*Inputs!$D$5:$D$160*(((Inputs!$G$5:$G$160="moeda")+(Inputs!$G$5:$G$160="acoes"))*Inputs!$B$1+((Inputs!$G$5:$G$160&lt;&gt;"moeda")*(Inputs!$G$5:$G$160&lt;&gt;"acoes")))*INDEX(Inputs!$K$5:$AJ$160,0,MATCH(N$2,Inputs!$K$4:$AJ$4,0)))+SUMPRODUCT((Inputs!$E$5:$E$160=$B32)*Inputs!$F$5:$F$160*(((Inputs!$G$5:$G$160="moeda")+(Inputs!$G$5:$G$160="acoes"))*Inputs!$B$1+((Inputs!$G$5:$G$160&lt;&gt;"moeda")*(Inputs!$G$5:$G$160&lt;&gt;"acoes")))*INDEX(Inputs!$K$5:$AJ$160,0,MATCH(N$2,Inputs!$K$4:$AJ$4,0)))))</f>
        <v>371.51442415</v>
      </c>
      <c r="O32" s="6">
        <f>IF(ISNA(MATCH(O$2,Inputs!$K$4:$AJ$4,0)),NA(),IF(SUMPRODUCT((Inputs!$A$5:$A$160=$B32)*ISNUMBER(INDEX(Inputs!$K$5:$AJ$160,0,MATCH(O$2,Inputs!$K$4:$AJ$4,0))))+SUMPRODUCT((Inputs!$C$5:$C$160=$B32)*ISNUMBER(INDEX(Inputs!$K$5:$AJ$160,0,MATCH(O$2,Inputs!$K$4:$AJ$4,0))))+SUMPRODUCT((Inputs!$E$5:$E$160=$B32)*ISNUMBER(INDEX(Inputs!$K$5:$AJ$160,0,MATCH(O$2,Inputs!$K$4:$AJ$4,0))))=0,NA(),SUMPRODUCT((Inputs!$A$5:$A$160=$B32)*Inputs!$B$5:$B$160*(((Inputs!$G$5:$G$160="moeda")+(Inputs!$G$5:$G$160="acoes"))*Inputs!$B$1+((Inputs!$G$5:$G$160&lt;&gt;"moeda")*(Inputs!$G$5:$G$160&lt;&gt;"acoes")))*INDEX(Inputs!$K$5:$AJ$160,0,MATCH(O$2,Inputs!$K$4:$AJ$4,0)))+SUMPRODUCT((Inputs!$C$5:$C$160=$B32)*Inputs!$D$5:$D$160*(((Inputs!$G$5:$G$160="moeda")+(Inputs!$G$5:$G$160="acoes"))*Inputs!$B$1+((Inputs!$G$5:$G$160&lt;&gt;"moeda")*(Inputs!$G$5:$G$160&lt;&gt;"acoes")))*INDEX(Inputs!$K$5:$AJ$160,0,MATCH(O$2,Inputs!$K$4:$AJ$4,0)))+SUMPRODUCT((Inputs!$E$5:$E$160=$B32)*Inputs!$F$5:$F$160*(((Inputs!$G$5:$G$160="moeda")+(Inputs!$G$5:$G$160="acoes"))*Inputs!$B$1+((Inputs!$G$5:$G$160&lt;&gt;"moeda")*(Inputs!$G$5:$G$160&lt;&gt;"acoes")))*INDEX(Inputs!$K$5:$AJ$160,0,MATCH(O$2,Inputs!$K$4:$AJ$4,0)))))</f>
        <v>554.579</v>
      </c>
      <c r="P32" s="6">
        <f>IF(ISNA(MATCH(P$2,Inputs!$K$4:$AJ$4,0)),NA(),IF(SUMPRODUCT((Inputs!$A$5:$A$160=$B32)*ISNUMBER(INDEX(Inputs!$K$5:$AJ$160,0,MATCH(P$2,Inputs!$K$4:$AJ$4,0))))+SUMPRODUCT((Inputs!$C$5:$C$160=$B32)*ISNUMBER(INDEX(Inputs!$K$5:$AJ$160,0,MATCH(P$2,Inputs!$K$4:$AJ$4,0))))+SUMPRODUCT((Inputs!$E$5:$E$160=$B32)*ISNUMBER(INDEX(Inputs!$K$5:$AJ$160,0,MATCH(P$2,Inputs!$K$4:$AJ$4,0))))=0,NA(),SUMPRODUCT((Inputs!$A$5:$A$160=$B32)*Inputs!$B$5:$B$160*(((Inputs!$G$5:$G$160="moeda")+(Inputs!$G$5:$G$160="acoes"))*Inputs!$B$1+((Inputs!$G$5:$G$160&lt;&gt;"moeda")*(Inputs!$G$5:$G$160&lt;&gt;"acoes")))*INDEX(Inputs!$K$5:$AJ$160,0,MATCH(P$2,Inputs!$K$4:$AJ$4,0)))+SUMPRODUCT((Inputs!$C$5:$C$160=$B32)*Inputs!$D$5:$D$160*(((Inputs!$G$5:$G$160="moeda")+(Inputs!$G$5:$G$160="acoes"))*Inputs!$B$1+((Inputs!$G$5:$G$160&lt;&gt;"moeda")*(Inputs!$G$5:$G$160&lt;&gt;"acoes")))*INDEX(Inputs!$K$5:$AJ$160,0,MATCH(P$2,Inputs!$K$4:$AJ$4,0)))+SUMPRODUCT((Inputs!$E$5:$E$160=$B32)*Inputs!$F$5:$F$160*(((Inputs!$G$5:$G$160="moeda")+(Inputs!$G$5:$G$160="acoes"))*Inputs!$B$1+((Inputs!$G$5:$G$160&lt;&gt;"moeda")*(Inputs!$G$5:$G$160&lt;&gt;"acoes")))*INDEX(Inputs!$K$5:$AJ$160,0,MATCH(P$2,Inputs!$K$4:$AJ$4,0)))))</f>
        <v>444.503</v>
      </c>
      <c r="Q32" s="6">
        <f>IF(ISNA(MATCH(Q$2,Inputs!$K$4:$AJ$4,0)),NA(),IF(SUMPRODUCT((Inputs!$A$5:$A$160=$B32)*ISNUMBER(INDEX(Inputs!$K$5:$AJ$160,0,MATCH(Q$2,Inputs!$K$4:$AJ$4,0))))+SUMPRODUCT((Inputs!$C$5:$C$160=$B32)*ISNUMBER(INDEX(Inputs!$K$5:$AJ$160,0,MATCH(Q$2,Inputs!$K$4:$AJ$4,0))))+SUMPRODUCT((Inputs!$E$5:$E$160=$B32)*ISNUMBER(INDEX(Inputs!$K$5:$AJ$160,0,MATCH(Q$2,Inputs!$K$4:$AJ$4,0))))=0,NA(),SUMPRODUCT((Inputs!$A$5:$A$160=$B32)*Inputs!$B$5:$B$160*(((Inputs!$G$5:$G$160="moeda")+(Inputs!$G$5:$G$160="acoes"))*Inputs!$B$1+((Inputs!$G$5:$G$160&lt;&gt;"moeda")*(Inputs!$G$5:$G$160&lt;&gt;"acoes")))*INDEX(Inputs!$K$5:$AJ$160,0,MATCH(Q$2,Inputs!$K$4:$AJ$4,0)))+SUMPRODUCT((Inputs!$C$5:$C$160=$B32)*Inputs!$D$5:$D$160*(((Inputs!$G$5:$G$160="moeda")+(Inputs!$G$5:$G$160="acoes"))*Inputs!$B$1+((Inputs!$G$5:$G$160&lt;&gt;"moeda")*(Inputs!$G$5:$G$160&lt;&gt;"acoes")))*INDEX(Inputs!$K$5:$AJ$160,0,MATCH(Q$2,Inputs!$K$4:$AJ$4,0)))+SUMPRODUCT((Inputs!$E$5:$E$160=$B32)*Inputs!$F$5:$F$160*(((Inputs!$G$5:$G$160="moeda")+(Inputs!$G$5:$G$160="acoes"))*Inputs!$B$1+((Inputs!$G$5:$G$160&lt;&gt;"moeda")*(Inputs!$G$5:$G$160&lt;&gt;"acoes")))*INDEX(Inputs!$K$5:$AJ$160,0,MATCH(Q$2,Inputs!$K$4:$AJ$4,0)))))</f>
        <v>308.095</v>
      </c>
      <c r="R32" s="3">
        <f>Q32</f>
        <v>308.095</v>
      </c>
      <c r="S32" s="6">
        <f>IF(ISNA(MATCH(S$2,Inputs!$K$4:$AJ$4,0)),NA(),IF(SUMPRODUCT((Inputs!$A$5:$A$160=$B32)*ISNUMBER(INDEX(Inputs!$K$5:$AJ$160,0,MATCH(S$2,Inputs!$K$4:$AJ$4,0))))+SUMPRODUCT((Inputs!$C$5:$C$160=$B32)*ISNUMBER(INDEX(Inputs!$K$5:$AJ$160,0,MATCH(S$2,Inputs!$K$4:$AJ$4,0))))+SUMPRODUCT((Inputs!$E$5:$E$160=$B32)*ISNUMBER(INDEX(Inputs!$K$5:$AJ$160,0,MATCH(S$2,Inputs!$K$4:$AJ$4,0))))=0,NA(),SUMPRODUCT((Inputs!$A$5:$A$160=$B32)*Inputs!$B$5:$B$160*(((Inputs!$G$5:$G$160="moeda")+(Inputs!$G$5:$G$160="acoes"))*Inputs!$B$1+((Inputs!$G$5:$G$160&lt;&gt;"moeda")*(Inputs!$G$5:$G$160&lt;&gt;"acoes")))*INDEX(Inputs!$K$5:$AJ$160,0,MATCH(S$2,Inputs!$K$4:$AJ$4,0)))+SUMPRODUCT((Inputs!$C$5:$C$160=$B32)*Inputs!$D$5:$D$160*(((Inputs!$G$5:$G$160="moeda")+(Inputs!$G$5:$G$160="acoes"))*Inputs!$B$1+((Inputs!$G$5:$G$160&lt;&gt;"moeda")*(Inputs!$G$5:$G$160&lt;&gt;"acoes")))*INDEX(Inputs!$K$5:$AJ$160,0,MATCH(S$2,Inputs!$K$4:$AJ$4,0)))+SUMPRODUCT((Inputs!$E$5:$E$160=$B32)*Inputs!$F$5:$F$160*(((Inputs!$G$5:$G$160="moeda")+(Inputs!$G$5:$G$160="acoes"))*Inputs!$B$1+((Inputs!$G$5:$G$160&lt;&gt;"moeda")*(Inputs!$G$5:$G$160&lt;&gt;"acoes")))*INDEX(Inputs!$K$5:$AJ$160,0,MATCH(S$2,Inputs!$K$4:$AJ$4,0)))))</f>
        <v>317.363</v>
      </c>
      <c r="T32" s="6">
        <f>IF(ISNA(MATCH(T$2,Inputs!$K$4:$AJ$4,0)),NA(),IF(SUMPRODUCT((Inputs!$A$5:$A$160=$B32)*ISNUMBER(INDEX(Inputs!$K$5:$AJ$160,0,MATCH(T$2,Inputs!$K$4:$AJ$4,0))))+SUMPRODUCT((Inputs!$C$5:$C$160=$B32)*ISNUMBER(INDEX(Inputs!$K$5:$AJ$160,0,MATCH(T$2,Inputs!$K$4:$AJ$4,0))))+SUMPRODUCT((Inputs!$E$5:$E$160=$B32)*ISNUMBER(INDEX(Inputs!$K$5:$AJ$160,0,MATCH(T$2,Inputs!$K$4:$AJ$4,0))))=0,NA(),SUMPRODUCT((Inputs!$A$5:$A$160=$B32)*Inputs!$B$5:$B$160*(((Inputs!$G$5:$G$160="moeda")+(Inputs!$G$5:$G$160="acoes"))*Inputs!$B$1+((Inputs!$G$5:$G$160&lt;&gt;"moeda")*(Inputs!$G$5:$G$160&lt;&gt;"acoes")))*INDEX(Inputs!$K$5:$AJ$160,0,MATCH(T$2,Inputs!$K$4:$AJ$4,0)))+SUMPRODUCT((Inputs!$C$5:$C$160=$B32)*Inputs!$D$5:$D$160*(((Inputs!$G$5:$G$160="moeda")+(Inputs!$G$5:$G$160="acoes"))*Inputs!$B$1+((Inputs!$G$5:$G$160&lt;&gt;"moeda")*(Inputs!$G$5:$G$160&lt;&gt;"acoes")))*INDEX(Inputs!$K$5:$AJ$160,0,MATCH(T$2,Inputs!$K$4:$AJ$4,0)))+SUMPRODUCT((Inputs!$E$5:$E$160=$B32)*Inputs!$F$5:$F$160*(((Inputs!$G$5:$G$160="moeda")+(Inputs!$G$5:$G$160="acoes"))*Inputs!$B$1+((Inputs!$G$5:$G$160&lt;&gt;"moeda")*(Inputs!$G$5:$G$160&lt;&gt;"acoes")))*INDEX(Inputs!$K$5:$AJ$160,0,MATCH(T$2,Inputs!$K$4:$AJ$4,0)))))</f>
        <v>312.988</v>
      </c>
      <c r="U32" s="6">
        <f>IF(ISNA(MATCH(U$2,Inputs!$K$4:$AJ$4,0)),NA(),IF(SUMPRODUCT((Inputs!$A$5:$A$160=$B32)*ISNUMBER(INDEX(Inputs!$K$5:$AJ$160,0,MATCH(U$2,Inputs!$K$4:$AJ$4,0))))+SUMPRODUCT((Inputs!$C$5:$C$160=$B32)*ISNUMBER(INDEX(Inputs!$K$5:$AJ$160,0,MATCH(U$2,Inputs!$K$4:$AJ$4,0))))+SUMPRODUCT((Inputs!$E$5:$E$160=$B32)*ISNUMBER(INDEX(Inputs!$K$5:$AJ$160,0,MATCH(U$2,Inputs!$K$4:$AJ$4,0))))=0,NA(),SUMPRODUCT((Inputs!$A$5:$A$160=$B32)*Inputs!$B$5:$B$160*(((Inputs!$G$5:$G$160="moeda")+(Inputs!$G$5:$G$160="acoes"))*Inputs!$B$1+((Inputs!$G$5:$G$160&lt;&gt;"moeda")*(Inputs!$G$5:$G$160&lt;&gt;"acoes")))*INDEX(Inputs!$K$5:$AJ$160,0,MATCH(U$2,Inputs!$K$4:$AJ$4,0)))+SUMPRODUCT((Inputs!$C$5:$C$160=$B32)*Inputs!$D$5:$D$160*(((Inputs!$G$5:$G$160="moeda")+(Inputs!$G$5:$G$160="acoes"))*Inputs!$B$1+((Inputs!$G$5:$G$160&lt;&gt;"moeda")*(Inputs!$G$5:$G$160&lt;&gt;"acoes")))*INDEX(Inputs!$K$5:$AJ$160,0,MATCH(U$2,Inputs!$K$4:$AJ$4,0)))+SUMPRODUCT((Inputs!$E$5:$E$160=$B32)*Inputs!$F$5:$F$160*(((Inputs!$G$5:$G$160="moeda")+(Inputs!$G$5:$G$160="acoes"))*Inputs!$B$1+((Inputs!$G$5:$G$160&lt;&gt;"moeda")*(Inputs!$G$5:$G$160&lt;&gt;"acoes")))*INDEX(Inputs!$K$5:$AJ$160,0,MATCH(U$2,Inputs!$K$4:$AJ$4,0)))))</f>
        <v>617.308</v>
      </c>
      <c r="V32" s="6">
        <f>IF(ISNA(MATCH(V$2,Inputs!$K$4:$AJ$4,0)),NA(),IF(SUMPRODUCT((Inputs!$A$5:$A$160=$B32)*ISNUMBER(INDEX(Inputs!$K$5:$AJ$160,0,MATCH(V$2,Inputs!$K$4:$AJ$4,0))))+SUMPRODUCT((Inputs!$C$5:$C$160=$B32)*ISNUMBER(INDEX(Inputs!$K$5:$AJ$160,0,MATCH(V$2,Inputs!$K$4:$AJ$4,0))))+SUMPRODUCT((Inputs!$E$5:$E$160=$B32)*ISNUMBER(INDEX(Inputs!$K$5:$AJ$160,0,MATCH(V$2,Inputs!$K$4:$AJ$4,0))))=0,NA(),SUMPRODUCT((Inputs!$A$5:$A$160=$B32)*Inputs!$B$5:$B$160*(((Inputs!$G$5:$G$160="moeda")+(Inputs!$G$5:$G$160="acoes"))*Inputs!$B$1+((Inputs!$G$5:$G$160&lt;&gt;"moeda")*(Inputs!$G$5:$G$160&lt;&gt;"acoes")))*INDEX(Inputs!$K$5:$AJ$160,0,MATCH(V$2,Inputs!$K$4:$AJ$4,0)))+SUMPRODUCT((Inputs!$C$5:$C$160=$B32)*Inputs!$D$5:$D$160*(((Inputs!$G$5:$G$160="moeda")+(Inputs!$G$5:$G$160="acoes"))*Inputs!$B$1+((Inputs!$G$5:$G$160&lt;&gt;"moeda")*(Inputs!$G$5:$G$160&lt;&gt;"acoes")))*INDEX(Inputs!$K$5:$AJ$160,0,MATCH(V$2,Inputs!$K$4:$AJ$4,0)))+SUMPRODUCT((Inputs!$E$5:$E$160=$B32)*Inputs!$F$5:$F$160*(((Inputs!$G$5:$G$160="moeda")+(Inputs!$G$5:$G$160="acoes"))*Inputs!$B$1+((Inputs!$G$5:$G$160&lt;&gt;"moeda")*(Inputs!$G$5:$G$160&lt;&gt;"acoes")))*INDEX(Inputs!$K$5:$AJ$160,0,MATCH(V$2,Inputs!$K$4:$AJ$4,0)))))</f>
        <v>206.757</v>
      </c>
      <c r="W32" s="3">
        <f>V32</f>
        <v>206.757</v>
      </c>
      <c r="X32" s="6">
        <f>IF(ISNA(MATCH(X$2,Inputs!$K$4:$AJ$4,0)),NA(),IF(SUMPRODUCT((Inputs!$A$5:$A$160=$B32)*ISNUMBER(INDEX(Inputs!$K$5:$AJ$160,0,MATCH(X$2,Inputs!$K$4:$AJ$4,0))))+SUMPRODUCT((Inputs!$C$5:$C$160=$B32)*ISNUMBER(INDEX(Inputs!$K$5:$AJ$160,0,MATCH(X$2,Inputs!$K$4:$AJ$4,0))))+SUMPRODUCT((Inputs!$E$5:$E$160=$B32)*ISNUMBER(INDEX(Inputs!$K$5:$AJ$160,0,MATCH(X$2,Inputs!$K$4:$AJ$4,0))))=0,NA(),SUMPRODUCT((Inputs!$A$5:$A$160=$B32)*Inputs!$B$5:$B$160*(((Inputs!$G$5:$G$160="moeda")+(Inputs!$G$5:$G$160="acoes"))*Inputs!$B$1+((Inputs!$G$5:$G$160&lt;&gt;"moeda")*(Inputs!$G$5:$G$160&lt;&gt;"acoes")))*INDEX(Inputs!$K$5:$AJ$160,0,MATCH(X$2,Inputs!$K$4:$AJ$4,0)))+SUMPRODUCT((Inputs!$C$5:$C$160=$B32)*Inputs!$D$5:$D$160*(((Inputs!$G$5:$G$160="moeda")+(Inputs!$G$5:$G$160="acoes"))*Inputs!$B$1+((Inputs!$G$5:$G$160&lt;&gt;"moeda")*(Inputs!$G$5:$G$160&lt;&gt;"acoes")))*INDEX(Inputs!$K$5:$AJ$160,0,MATCH(X$2,Inputs!$K$4:$AJ$4,0)))+SUMPRODUCT((Inputs!$E$5:$E$160=$B32)*Inputs!$F$5:$F$160*(((Inputs!$G$5:$G$160="moeda")+(Inputs!$G$5:$G$160="acoes"))*Inputs!$B$1+((Inputs!$G$5:$G$160&lt;&gt;"moeda")*(Inputs!$G$5:$G$160&lt;&gt;"acoes")))*INDEX(Inputs!$K$5:$AJ$160,0,MATCH(X$2,Inputs!$K$4:$AJ$4,0)))))</f>
        <v>312.099094</v>
      </c>
      <c r="Y32" s="6">
        <f>IF(ISNA(MATCH(Y$2,Inputs!$K$4:$AJ$4,0)),NA(),IF(SUMPRODUCT((Inputs!$A$5:$A$160=$B32)*ISNUMBER(INDEX(Inputs!$K$5:$AJ$160,0,MATCH(Y$2,Inputs!$K$4:$AJ$4,0))))+SUMPRODUCT((Inputs!$C$5:$C$160=$B32)*ISNUMBER(INDEX(Inputs!$K$5:$AJ$160,0,MATCH(Y$2,Inputs!$K$4:$AJ$4,0))))+SUMPRODUCT((Inputs!$E$5:$E$160=$B32)*ISNUMBER(INDEX(Inputs!$K$5:$AJ$160,0,MATCH(Y$2,Inputs!$K$4:$AJ$4,0))))=0,NA(),SUMPRODUCT((Inputs!$A$5:$A$160=$B32)*Inputs!$B$5:$B$160*(((Inputs!$G$5:$G$160="moeda")+(Inputs!$G$5:$G$160="acoes"))*Inputs!$B$1+((Inputs!$G$5:$G$160&lt;&gt;"moeda")*(Inputs!$G$5:$G$160&lt;&gt;"acoes")))*INDEX(Inputs!$K$5:$AJ$160,0,MATCH(Y$2,Inputs!$K$4:$AJ$4,0)))+SUMPRODUCT((Inputs!$C$5:$C$160=$B32)*Inputs!$D$5:$D$160*(((Inputs!$G$5:$G$160="moeda")+(Inputs!$G$5:$G$160="acoes"))*Inputs!$B$1+((Inputs!$G$5:$G$160&lt;&gt;"moeda")*(Inputs!$G$5:$G$160&lt;&gt;"acoes")))*INDEX(Inputs!$K$5:$AJ$160,0,MATCH(Y$2,Inputs!$K$4:$AJ$4,0)))+SUMPRODUCT((Inputs!$E$5:$E$160=$B32)*Inputs!$F$5:$F$160*(((Inputs!$G$5:$G$160="moeda")+(Inputs!$G$5:$G$160="acoes"))*Inputs!$B$1+((Inputs!$G$5:$G$160&lt;&gt;"moeda")*(Inputs!$G$5:$G$160&lt;&gt;"acoes")))*INDEX(Inputs!$K$5:$AJ$160,0,MATCH(Y$2,Inputs!$K$4:$AJ$4,0)))))</f>
        <v>224.873</v>
      </c>
      <c r="Z32" s="6">
        <f>IF(ISNA(MATCH(Z$2,Inputs!$K$4:$AJ$4,0)),NA(),IF(SUMPRODUCT((Inputs!$A$5:$A$160=$B32)*ISNUMBER(INDEX(Inputs!$K$5:$AJ$160,0,MATCH(Z$2,Inputs!$K$4:$AJ$4,0))))+SUMPRODUCT((Inputs!$C$5:$C$160=$B32)*ISNUMBER(INDEX(Inputs!$K$5:$AJ$160,0,MATCH(Z$2,Inputs!$K$4:$AJ$4,0))))+SUMPRODUCT((Inputs!$E$5:$E$160=$B32)*ISNUMBER(INDEX(Inputs!$K$5:$AJ$160,0,MATCH(Z$2,Inputs!$K$4:$AJ$4,0))))=0,NA(),SUMPRODUCT((Inputs!$A$5:$A$160=$B32)*Inputs!$B$5:$B$160*(((Inputs!$G$5:$G$160="moeda")+(Inputs!$G$5:$G$160="acoes"))*Inputs!$B$1+((Inputs!$G$5:$G$160&lt;&gt;"moeda")*(Inputs!$G$5:$G$160&lt;&gt;"acoes")))*INDEX(Inputs!$K$5:$AJ$160,0,MATCH(Z$2,Inputs!$K$4:$AJ$4,0)))+SUMPRODUCT((Inputs!$C$5:$C$160=$B32)*Inputs!$D$5:$D$160*(((Inputs!$G$5:$G$160="moeda")+(Inputs!$G$5:$G$160="acoes"))*Inputs!$B$1+((Inputs!$G$5:$G$160&lt;&gt;"moeda")*(Inputs!$G$5:$G$160&lt;&gt;"acoes")))*INDEX(Inputs!$K$5:$AJ$160,0,MATCH(Z$2,Inputs!$K$4:$AJ$4,0)))+SUMPRODUCT((Inputs!$E$5:$E$160=$B32)*Inputs!$F$5:$F$160*(((Inputs!$G$5:$G$160="moeda")+(Inputs!$G$5:$G$160="acoes"))*Inputs!$B$1+((Inputs!$G$5:$G$160&lt;&gt;"moeda")*(Inputs!$G$5:$G$160&lt;&gt;"acoes")))*INDEX(Inputs!$K$5:$AJ$160,0,MATCH(Z$2,Inputs!$K$4:$AJ$4,0)))))</f>
        <v>359.051</v>
      </c>
      <c r="AA32" s="6">
        <f>IF(ISNA(MATCH(AA$2,Inputs!$K$4:$AJ$4,0)),NA(),IF(SUMPRODUCT((Inputs!$A$5:$A$160=$B32)*ISNUMBER(INDEX(Inputs!$K$5:$AJ$160,0,MATCH(AA$2,Inputs!$K$4:$AJ$4,0))))+SUMPRODUCT((Inputs!$C$5:$C$160=$B32)*ISNUMBER(INDEX(Inputs!$K$5:$AJ$160,0,MATCH(AA$2,Inputs!$K$4:$AJ$4,0))))+SUMPRODUCT((Inputs!$E$5:$E$160=$B32)*ISNUMBER(INDEX(Inputs!$K$5:$AJ$160,0,MATCH(AA$2,Inputs!$K$4:$AJ$4,0))))=0,NA(),SUMPRODUCT((Inputs!$A$5:$A$160=$B32)*Inputs!$B$5:$B$160*(((Inputs!$G$5:$G$160="moeda")+(Inputs!$G$5:$G$160="acoes"))*Inputs!$B$1+((Inputs!$G$5:$G$160&lt;&gt;"moeda")*(Inputs!$G$5:$G$160&lt;&gt;"acoes")))*INDEX(Inputs!$K$5:$AJ$160,0,MATCH(AA$2,Inputs!$K$4:$AJ$4,0)))+SUMPRODUCT((Inputs!$C$5:$C$160=$B32)*Inputs!$D$5:$D$160*(((Inputs!$G$5:$G$160="moeda")+(Inputs!$G$5:$G$160="acoes"))*Inputs!$B$1+((Inputs!$G$5:$G$160&lt;&gt;"moeda")*(Inputs!$G$5:$G$160&lt;&gt;"acoes")))*INDEX(Inputs!$K$5:$AJ$160,0,MATCH(AA$2,Inputs!$K$4:$AJ$4,0)))+SUMPRODUCT((Inputs!$E$5:$E$160=$B32)*Inputs!$F$5:$F$160*(((Inputs!$G$5:$G$160="moeda")+(Inputs!$G$5:$G$160="acoes"))*Inputs!$B$1+((Inputs!$G$5:$G$160&lt;&gt;"moeda")*(Inputs!$G$5:$G$160&lt;&gt;"acoes")))*INDEX(Inputs!$K$5:$AJ$160,0,MATCH(AA$2,Inputs!$K$4:$AJ$4,0)))))</f>
        <v>232.103</v>
      </c>
      <c r="AB32" s="3">
        <f>AA32</f>
        <v>232.103</v>
      </c>
      <c r="AC32" s="6">
        <f>IF(ISNA(MATCH(AC$2,Inputs!$K$4:$AJ$4,0)),NA(),IF(SUMPRODUCT((Inputs!$A$5:$A$160=$B32)*ISNUMBER(INDEX(Inputs!$K$5:$AJ$160,0,MATCH(AC$2,Inputs!$K$4:$AJ$4,0))))+SUMPRODUCT((Inputs!$C$5:$C$160=$B32)*ISNUMBER(INDEX(Inputs!$K$5:$AJ$160,0,MATCH(AC$2,Inputs!$K$4:$AJ$4,0))))+SUMPRODUCT((Inputs!$E$5:$E$160=$B32)*ISNUMBER(INDEX(Inputs!$K$5:$AJ$160,0,MATCH(AC$2,Inputs!$K$4:$AJ$4,0))))=0,NA(),SUMPRODUCT((Inputs!$A$5:$A$160=$B32)*Inputs!$B$5:$B$160*(((Inputs!$G$5:$G$160="moeda")+(Inputs!$G$5:$G$160="acoes"))*Inputs!$B$1+((Inputs!$G$5:$G$160&lt;&gt;"moeda")*(Inputs!$G$5:$G$160&lt;&gt;"acoes")))*INDEX(Inputs!$K$5:$AJ$160,0,MATCH(AC$2,Inputs!$K$4:$AJ$4,0)))+SUMPRODUCT((Inputs!$C$5:$C$160=$B32)*Inputs!$D$5:$D$160*(((Inputs!$G$5:$G$160="moeda")+(Inputs!$G$5:$G$160="acoes"))*Inputs!$B$1+((Inputs!$G$5:$G$160&lt;&gt;"moeda")*(Inputs!$G$5:$G$160&lt;&gt;"acoes")))*INDEX(Inputs!$K$5:$AJ$160,0,MATCH(AC$2,Inputs!$K$4:$AJ$4,0)))+SUMPRODUCT((Inputs!$E$5:$E$160=$B32)*Inputs!$F$5:$F$160*(((Inputs!$G$5:$G$160="moeda")+(Inputs!$G$5:$G$160="acoes"))*Inputs!$B$1+((Inputs!$G$5:$G$160&lt;&gt;"moeda")*(Inputs!$G$5:$G$160&lt;&gt;"acoes")))*INDEX(Inputs!$K$5:$AJ$160,0,MATCH(AC$2,Inputs!$K$4:$AJ$4,0)))))</f>
        <v>339.788</v>
      </c>
      <c r="AD32" s="6">
        <f>IF(ISNA(MATCH(AD$2,Inputs!$K$4:$AJ$4,0)),NA(),IF(SUMPRODUCT((Inputs!$A$5:$A$160=$B32)*ISNUMBER(INDEX(Inputs!$K$5:$AJ$160,0,MATCH(AD$2,Inputs!$K$4:$AJ$4,0))))+SUMPRODUCT((Inputs!$C$5:$C$160=$B32)*ISNUMBER(INDEX(Inputs!$K$5:$AJ$160,0,MATCH(AD$2,Inputs!$K$4:$AJ$4,0))))+SUMPRODUCT((Inputs!$E$5:$E$160=$B32)*ISNUMBER(INDEX(Inputs!$K$5:$AJ$160,0,MATCH(AD$2,Inputs!$K$4:$AJ$4,0))))=0,NA(),SUMPRODUCT((Inputs!$A$5:$A$160=$B32)*Inputs!$B$5:$B$160*(((Inputs!$G$5:$G$160="moeda")+(Inputs!$G$5:$G$160="acoes"))*Inputs!$B$1+((Inputs!$G$5:$G$160&lt;&gt;"moeda")*(Inputs!$G$5:$G$160&lt;&gt;"acoes")))*INDEX(Inputs!$K$5:$AJ$160,0,MATCH(AD$2,Inputs!$K$4:$AJ$4,0)))+SUMPRODUCT((Inputs!$C$5:$C$160=$B32)*Inputs!$D$5:$D$160*(((Inputs!$G$5:$G$160="moeda")+(Inputs!$G$5:$G$160="acoes"))*Inputs!$B$1+((Inputs!$G$5:$G$160&lt;&gt;"moeda")*(Inputs!$G$5:$G$160&lt;&gt;"acoes")))*INDEX(Inputs!$K$5:$AJ$160,0,MATCH(AD$2,Inputs!$K$4:$AJ$4,0)))+SUMPRODUCT((Inputs!$E$5:$E$160=$B32)*Inputs!$F$5:$F$160*(((Inputs!$G$5:$G$160="moeda")+(Inputs!$G$5:$G$160="acoes"))*Inputs!$B$1+((Inputs!$G$5:$G$160&lt;&gt;"moeda")*(Inputs!$G$5:$G$160&lt;&gt;"acoes")))*INDEX(Inputs!$K$5:$AJ$160,0,MATCH(AD$2,Inputs!$K$4:$AJ$4,0)))))</f>
        <v>599.517</v>
      </c>
      <c r="AE32" s="6" t="e">
        <f>IF(ISNA(MATCH(AE$2,Inputs!$K$4:$AJ$4,0)),NA(),IF(SUMPRODUCT((Inputs!$A$5:$A$160=$B32)*ISNUMBER(INDEX(Inputs!$K$5:$AJ$160,0,MATCH(AE$2,Inputs!$K$4:$AJ$4,0))))+SUMPRODUCT((Inputs!$C$5:$C$160=$B32)*ISNUMBER(INDEX(Inputs!$K$5:$AJ$160,0,MATCH(AE$2,Inputs!$K$4:$AJ$4,0))))+SUMPRODUCT((Inputs!$E$5:$E$160=$B32)*ISNUMBER(INDEX(Inputs!$K$5:$AJ$160,0,MATCH(AE$2,Inputs!$K$4:$AJ$4,0))))=0,NA(),SUMPRODUCT((Inputs!$A$5:$A$160=$B32)*Inputs!$B$5:$B$160*(((Inputs!$G$5:$G$160="moeda")+(Inputs!$G$5:$G$160="acoes"))*Inputs!$B$1+((Inputs!$G$5:$G$160&lt;&gt;"moeda")*(Inputs!$G$5:$G$160&lt;&gt;"acoes")))*INDEX(Inputs!$K$5:$AJ$160,0,MATCH(AE$2,Inputs!$K$4:$AJ$4,0)))+SUMPRODUCT((Inputs!$C$5:$C$160=$B32)*Inputs!$D$5:$D$160*(((Inputs!$G$5:$G$160="moeda")+(Inputs!$G$5:$G$160="acoes"))*Inputs!$B$1+((Inputs!$G$5:$G$160&lt;&gt;"moeda")*(Inputs!$G$5:$G$160&lt;&gt;"acoes")))*INDEX(Inputs!$K$5:$AJ$160,0,MATCH(AE$2,Inputs!$K$4:$AJ$4,0)))+SUMPRODUCT((Inputs!$E$5:$E$160=$B32)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2" s="6" t="e">
        <f>IF(ISNA(MATCH(AF$2,Inputs!$K$4:$AJ$4,0)),NA(),IF(SUMPRODUCT((Inputs!$A$5:$A$160=$B32)*ISNUMBER(INDEX(Inputs!$K$5:$AJ$160,0,MATCH(AF$2,Inputs!$K$4:$AJ$4,0))))+SUMPRODUCT((Inputs!$C$5:$C$160=$B32)*ISNUMBER(INDEX(Inputs!$K$5:$AJ$160,0,MATCH(AF$2,Inputs!$K$4:$AJ$4,0))))+SUMPRODUCT((Inputs!$E$5:$E$160=$B32)*ISNUMBER(INDEX(Inputs!$K$5:$AJ$160,0,MATCH(AF$2,Inputs!$K$4:$AJ$4,0))))=0,NA(),SUMPRODUCT((Inputs!$A$5:$A$160=$B32)*Inputs!$B$5:$B$160*(((Inputs!$G$5:$G$160="moeda")+(Inputs!$G$5:$G$160="acoes"))*Inputs!$B$1+((Inputs!$G$5:$G$160&lt;&gt;"moeda")*(Inputs!$G$5:$G$160&lt;&gt;"acoes")))*INDEX(Inputs!$K$5:$AJ$160,0,MATCH(AF$2,Inputs!$K$4:$AJ$4,0)))+SUMPRODUCT((Inputs!$C$5:$C$160=$B32)*Inputs!$D$5:$D$160*(((Inputs!$G$5:$G$160="moeda")+(Inputs!$G$5:$G$160="acoes"))*Inputs!$B$1+((Inputs!$G$5:$G$160&lt;&gt;"moeda")*(Inputs!$G$5:$G$160&lt;&gt;"acoes")))*INDEX(Inputs!$K$5:$AJ$160,0,MATCH(AF$2,Inputs!$K$4:$AJ$4,0)))+SUMPRODUCT((Inputs!$E$5:$E$160=$B32)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2" s="3" t="e">
        <f>AF32</f>
        <v>#N/A</v>
      </c>
      <c r="AH32" s="6">
        <f>IF(ISNA(MATCH(AH$2,Inputs!$K$4:$AJ$4,0)),NA(),IF(SUMPRODUCT((Inputs!$A$5:$A$160=$B32)*ISNUMBER(INDEX(Inputs!$K$5:$AJ$160,0,MATCH(AH$2,Inputs!$K$4:$AJ$4,0))))+SUMPRODUCT((Inputs!$C$5:$C$160=$B32)*ISNUMBER(INDEX(Inputs!$K$5:$AJ$160,0,MATCH(AH$2,Inputs!$K$4:$AJ$4,0))))+SUMPRODUCT((Inputs!$E$5:$E$160=$B32)*ISNUMBER(INDEX(Inputs!$K$5:$AJ$160,0,MATCH(AH$2,Inputs!$K$4:$AJ$4,0))))=0,NA(),SUMPRODUCT((Inputs!$A$5:$A$160=$B32)*Inputs!$B$5:$B$160*(((Inputs!$G$5:$G$160="moeda")+(Inputs!$G$5:$G$160="acoes"))*Inputs!$B$1+((Inputs!$G$5:$G$160&lt;&gt;"moeda")*(Inputs!$G$5:$G$160&lt;&gt;"acoes")))*INDEX(Inputs!$K$5:$AJ$160,0,MATCH(AH$2,Inputs!$K$4:$AJ$4,0)))+SUMPRODUCT((Inputs!$C$5:$C$160=$B32)*Inputs!$D$5:$D$160*(((Inputs!$G$5:$G$160="moeda")+(Inputs!$G$5:$G$160="acoes"))*Inputs!$B$1+((Inputs!$G$5:$G$160&lt;&gt;"moeda")*(Inputs!$G$5:$G$160&lt;&gt;"acoes")))*INDEX(Inputs!$K$5:$AJ$160,0,MATCH(AH$2,Inputs!$K$4:$AJ$4,0)))+SUMPRODUCT((Inputs!$E$5:$E$160=$B32)*Inputs!$F$5:$F$160*(((Inputs!$G$5:$G$160="moeda")+(Inputs!$G$5:$G$160="acoes"))*Inputs!$B$1+((Inputs!$G$5:$G$160&lt;&gt;"moeda")*(Inputs!$G$5:$G$160&lt;&gt;"acoes")))*INDEX(Inputs!$K$5:$AJ$160,0,MATCH(AH$2,Inputs!$K$4:$AJ$4,0)))))</f>
        <v>59.04090445</v>
      </c>
      <c r="AI32" s="6">
        <f>IF(ISNA(MATCH(AI$2,Inputs!$K$4:$AJ$4,0)),NA(),IF(SUMPRODUCT((Inputs!$A$5:$A$160=$B32)*ISNUMBER(INDEX(Inputs!$K$5:$AJ$160,0,MATCH(AI$2,Inputs!$K$4:$AJ$4,0))))+SUMPRODUCT((Inputs!$C$5:$C$160=$B32)*ISNUMBER(INDEX(Inputs!$K$5:$AJ$160,0,MATCH(AI$2,Inputs!$K$4:$AJ$4,0))))+SUMPRODUCT((Inputs!$E$5:$E$160=$B32)*ISNUMBER(INDEX(Inputs!$K$5:$AJ$160,0,MATCH(AI$2,Inputs!$K$4:$AJ$4,0))))=0,NA(),SUMPRODUCT((Inputs!$A$5:$A$160=$B32)*Inputs!$B$5:$B$160*(((Inputs!$G$5:$G$160="moeda")+(Inputs!$G$5:$G$160="acoes"))*Inputs!$B$1+((Inputs!$G$5:$G$160&lt;&gt;"moeda")*(Inputs!$G$5:$G$160&lt;&gt;"acoes")))*INDEX(Inputs!$K$5:$AJ$160,0,MATCH(AI$2,Inputs!$K$4:$AJ$4,0)))+SUMPRODUCT((Inputs!$C$5:$C$160=$B32)*Inputs!$D$5:$D$160*(((Inputs!$G$5:$G$160="moeda")+(Inputs!$G$5:$G$160="acoes"))*Inputs!$B$1+((Inputs!$G$5:$G$160&lt;&gt;"moeda")*(Inputs!$G$5:$G$160&lt;&gt;"acoes")))*INDEX(Inputs!$K$5:$AJ$160,0,MATCH(AI$2,Inputs!$K$4:$AJ$4,0)))+SUMPRODUCT((Inputs!$E$5:$E$160=$B32)*Inputs!$F$5:$F$160*(((Inputs!$G$5:$G$160="moeda")+(Inputs!$G$5:$G$160="acoes"))*Inputs!$B$1+((Inputs!$G$5:$G$160&lt;&gt;"moeda")*(Inputs!$G$5:$G$160&lt;&gt;"acoes")))*INDEX(Inputs!$K$5:$AJ$160,0,MATCH(AI$2,Inputs!$K$4:$AJ$4,0)))))</f>
        <v>311.45430246</v>
      </c>
      <c r="AJ32" s="6">
        <f>IF(ISNA(MATCH(AJ$2,Inputs!$K$4:$AJ$4,0)),NA(),IF(SUMPRODUCT((Inputs!$A$5:$A$160=$B32)*ISNUMBER(INDEX(Inputs!$K$5:$AJ$160,0,MATCH(AJ$2,Inputs!$K$4:$AJ$4,0))))+SUMPRODUCT((Inputs!$C$5:$C$160=$B32)*ISNUMBER(INDEX(Inputs!$K$5:$AJ$160,0,MATCH(AJ$2,Inputs!$K$4:$AJ$4,0))))+SUMPRODUCT((Inputs!$E$5:$E$160=$B32)*ISNUMBER(INDEX(Inputs!$K$5:$AJ$160,0,MATCH(AJ$2,Inputs!$K$4:$AJ$4,0))))=0,NA(),SUMPRODUCT((Inputs!$A$5:$A$160=$B32)*Inputs!$B$5:$B$160*(((Inputs!$G$5:$G$160="moeda")+(Inputs!$G$5:$G$160="acoes"))*Inputs!$B$1+((Inputs!$G$5:$G$160&lt;&gt;"moeda")*(Inputs!$G$5:$G$160&lt;&gt;"acoes")))*INDEX(Inputs!$K$5:$AJ$160,0,MATCH(AJ$2,Inputs!$K$4:$AJ$4,0)))+SUMPRODUCT((Inputs!$C$5:$C$160=$B32)*Inputs!$D$5:$D$160*(((Inputs!$G$5:$G$160="moeda")+(Inputs!$G$5:$G$160="acoes"))*Inputs!$B$1+((Inputs!$G$5:$G$160&lt;&gt;"moeda")*(Inputs!$G$5:$G$160&lt;&gt;"acoes")))*INDEX(Inputs!$K$5:$AJ$160,0,MATCH(AJ$2,Inputs!$K$4:$AJ$4,0)))+SUMPRODUCT((Inputs!$E$5:$E$160=$B32)*Inputs!$F$5:$F$160*(((Inputs!$G$5:$G$160="moeda")+(Inputs!$G$5:$G$160="acoes"))*Inputs!$B$1+((Inputs!$G$5:$G$160&lt;&gt;"moeda")*(Inputs!$G$5:$G$160&lt;&gt;"acoes")))*INDEX(Inputs!$K$5:$AJ$160,0,MATCH(AJ$2,Inputs!$K$4:$AJ$4,0)))))</f>
        <v>326.18057893</v>
      </c>
      <c r="AK32" s="6">
        <f>IF(ISNA(MATCH(AK$2,Inputs!$K$4:$AJ$4,0)),NA(),IF(SUMPRODUCT((Inputs!$A$5:$A$160=$B32)*ISNUMBER(INDEX(Inputs!$K$5:$AJ$160,0,MATCH(AK$2,Inputs!$K$4:$AJ$4,0))))+SUMPRODUCT((Inputs!$C$5:$C$160=$B32)*ISNUMBER(INDEX(Inputs!$K$5:$AJ$160,0,MATCH(AK$2,Inputs!$K$4:$AJ$4,0))))+SUMPRODUCT((Inputs!$E$5:$E$160=$B32)*ISNUMBER(INDEX(Inputs!$K$5:$AJ$160,0,MATCH(AK$2,Inputs!$K$4:$AJ$4,0))))=0,NA(),SUMPRODUCT((Inputs!$A$5:$A$160=$B32)*Inputs!$B$5:$B$160*(((Inputs!$G$5:$G$160="moeda")+(Inputs!$G$5:$G$160="acoes"))*Inputs!$B$1+((Inputs!$G$5:$G$160&lt;&gt;"moeda")*(Inputs!$G$5:$G$160&lt;&gt;"acoes")))*INDEX(Inputs!$K$5:$AJ$160,0,MATCH(AK$2,Inputs!$K$4:$AJ$4,0)))+SUMPRODUCT((Inputs!$C$5:$C$160=$B32)*Inputs!$D$5:$D$160*(((Inputs!$G$5:$G$160="moeda")+(Inputs!$G$5:$G$160="acoes"))*Inputs!$B$1+((Inputs!$G$5:$G$160&lt;&gt;"moeda")*(Inputs!$G$5:$G$160&lt;&gt;"acoes")))*INDEX(Inputs!$K$5:$AJ$160,0,MATCH(AK$2,Inputs!$K$4:$AJ$4,0)))+SUMPRODUCT((Inputs!$E$5:$E$160=$B32)*Inputs!$F$5:$F$160*(((Inputs!$G$5:$G$160="moeda")+(Inputs!$G$5:$G$160="acoes"))*Inputs!$B$1+((Inputs!$G$5:$G$160&lt;&gt;"moeda")*(Inputs!$G$5:$G$160&lt;&gt;"acoes")))*INDEX(Inputs!$K$5:$AJ$160,0,MATCH(AK$2,Inputs!$K$4:$AJ$4,0)))))</f>
        <v>472.24978372</v>
      </c>
      <c r="AL32" s="3">
        <f>AK32</f>
        <v>472.24978372</v>
      </c>
    </row>
    <row r="33">
      <c r="B33" s="46" t="n">
        <v>28</v>
      </c>
      <c r="C33" s="26" t="inlineStr">
        <is>
          <t>Short term debt (Revolving credit facility)</t>
        </is>
      </c>
      <c r="D33" s="6" t="e">
        <f>IF(ISNA(MATCH(D$2,Inputs!$K$4:$AJ$4,0)),NA(),IF(SUMPRODUCT((Inputs!$A$5:$A$160=$B33)*ISNUMBER(INDEX(Inputs!$K$5:$AJ$160,0,MATCH(D$2,Inputs!$K$4:$AJ$4,0))))+SUMPRODUCT((Inputs!$C$5:$C$160=$B33)*ISNUMBER(INDEX(Inputs!$K$5:$AJ$160,0,MATCH(D$2,Inputs!$K$4:$AJ$4,0))))+SUMPRODUCT((Inputs!$E$5:$E$160=$B33)*ISNUMBER(INDEX(Inputs!$K$5:$AJ$160,0,MATCH(D$2,Inputs!$K$4:$AJ$4,0))))=0,NA(),SUMPRODUCT((Inputs!$A$5:$A$160=$B33)*Inputs!$B$5:$B$160*(((Inputs!$G$5:$G$160="moeda")+(Inputs!$G$5:$G$160="acoes"))*Inputs!$B$1+((Inputs!$G$5:$G$160&lt;&gt;"moeda")*(Inputs!$G$5:$G$160&lt;&gt;"acoes")))*INDEX(Inputs!$K$5:$AJ$160,0,MATCH(D$2,Inputs!$K$4:$AJ$4,0)))+SUMPRODUCT((Inputs!$C$5:$C$160=$B33)*Inputs!$D$5:$D$160*(((Inputs!$G$5:$G$160="moeda")+(Inputs!$G$5:$G$160="acoes"))*Inputs!$B$1+((Inputs!$G$5:$G$160&lt;&gt;"moeda")*(Inputs!$G$5:$G$160&lt;&gt;"acoes")))*INDEX(Inputs!$K$5:$AJ$160,0,MATCH(D$2,Inputs!$K$4:$AJ$4,0)))+SUMPRODUCT((Inputs!$E$5:$E$160=$B33)*Inputs!$F$5:$F$160*(((Inputs!$G$5:$G$160="moeda")+(Inputs!$G$5:$G$160="acoes"))*Inputs!$B$1+((Inputs!$G$5:$G$160&lt;&gt;"moeda")*(Inputs!$G$5:$G$160&lt;&gt;"acoes")))*INDEX(Inputs!$K$5:$AJ$160,0,MATCH(D$2,Inputs!$K$4:$AJ$4,0)))))</f>
        <v>#N/A</v>
      </c>
      <c r="E33" s="6" t="e">
        <f>IF(ISNA(MATCH(E$2,Inputs!$K$4:$AJ$4,0)),NA(),IF(SUMPRODUCT((Inputs!$A$5:$A$160=$B33)*ISNUMBER(INDEX(Inputs!$K$5:$AJ$160,0,MATCH(E$2,Inputs!$K$4:$AJ$4,0))))+SUMPRODUCT((Inputs!$C$5:$C$160=$B33)*ISNUMBER(INDEX(Inputs!$K$5:$AJ$160,0,MATCH(E$2,Inputs!$K$4:$AJ$4,0))))+SUMPRODUCT((Inputs!$E$5:$E$160=$B33)*ISNUMBER(INDEX(Inputs!$K$5:$AJ$160,0,MATCH(E$2,Inputs!$K$4:$AJ$4,0))))=0,NA(),SUMPRODUCT((Inputs!$A$5:$A$160=$B33)*Inputs!$B$5:$B$160*(((Inputs!$G$5:$G$160="moeda")+(Inputs!$G$5:$G$160="acoes"))*Inputs!$B$1+((Inputs!$G$5:$G$160&lt;&gt;"moeda")*(Inputs!$G$5:$G$160&lt;&gt;"acoes")))*INDEX(Inputs!$K$5:$AJ$160,0,MATCH(E$2,Inputs!$K$4:$AJ$4,0)))+SUMPRODUCT((Inputs!$C$5:$C$160=$B33)*Inputs!$D$5:$D$160*(((Inputs!$G$5:$G$160="moeda")+(Inputs!$G$5:$G$160="acoes"))*Inputs!$B$1+((Inputs!$G$5:$G$160&lt;&gt;"moeda")*(Inputs!$G$5:$G$160&lt;&gt;"acoes")))*INDEX(Inputs!$K$5:$AJ$160,0,MATCH(E$2,Inputs!$K$4:$AJ$4,0)))+SUMPRODUCT((Inputs!$E$5:$E$160=$B33)*Inputs!$F$5:$F$160*(((Inputs!$G$5:$G$160="moeda")+(Inputs!$G$5:$G$160="acoes"))*Inputs!$B$1+((Inputs!$G$5:$G$160&lt;&gt;"moeda")*(Inputs!$G$5:$G$160&lt;&gt;"acoes")))*INDEX(Inputs!$K$5:$AJ$160,0,MATCH(E$2,Inputs!$K$4:$AJ$4,0)))))</f>
        <v>#N/A</v>
      </c>
      <c r="F33" s="6" t="e">
        <f>IF(ISNA(MATCH(F$2,Inputs!$K$4:$AJ$4,0)),NA(),IF(SUMPRODUCT((Inputs!$A$5:$A$160=$B33)*ISNUMBER(INDEX(Inputs!$K$5:$AJ$160,0,MATCH(F$2,Inputs!$K$4:$AJ$4,0))))+SUMPRODUCT((Inputs!$C$5:$C$160=$B33)*ISNUMBER(INDEX(Inputs!$K$5:$AJ$160,0,MATCH(F$2,Inputs!$K$4:$AJ$4,0))))+SUMPRODUCT((Inputs!$E$5:$E$160=$B33)*ISNUMBER(INDEX(Inputs!$K$5:$AJ$160,0,MATCH(F$2,Inputs!$K$4:$AJ$4,0))))=0,NA(),SUMPRODUCT((Inputs!$A$5:$A$160=$B33)*Inputs!$B$5:$B$160*(((Inputs!$G$5:$G$160="moeda")+(Inputs!$G$5:$G$160="acoes"))*Inputs!$B$1+((Inputs!$G$5:$G$160&lt;&gt;"moeda")*(Inputs!$G$5:$G$160&lt;&gt;"acoes")))*INDEX(Inputs!$K$5:$AJ$160,0,MATCH(F$2,Inputs!$K$4:$AJ$4,0)))+SUMPRODUCT((Inputs!$C$5:$C$160=$B33)*Inputs!$D$5:$D$160*(((Inputs!$G$5:$G$160="moeda")+(Inputs!$G$5:$G$160="acoes"))*Inputs!$B$1+((Inputs!$G$5:$G$160&lt;&gt;"moeda")*(Inputs!$G$5:$G$160&lt;&gt;"acoes")))*INDEX(Inputs!$K$5:$AJ$160,0,MATCH(F$2,Inputs!$K$4:$AJ$4,0)))+SUMPRODUCT((Inputs!$E$5:$E$160=$B33)*Inputs!$F$5:$F$160*(((Inputs!$G$5:$G$160="moeda")+(Inputs!$G$5:$G$160="acoes"))*Inputs!$B$1+((Inputs!$G$5:$G$160&lt;&gt;"moeda")*(Inputs!$G$5:$G$160&lt;&gt;"acoes")))*INDEX(Inputs!$K$5:$AJ$160,0,MATCH(F$2,Inputs!$K$4:$AJ$4,0)))))</f>
        <v>#N/A</v>
      </c>
      <c r="G33" s="6" t="e">
        <f>IF(ISNA(MATCH(G$2,Inputs!$K$4:$AJ$4,0)),NA(),IF(SUMPRODUCT((Inputs!$A$5:$A$160=$B33)*ISNUMBER(INDEX(Inputs!$K$5:$AJ$160,0,MATCH(G$2,Inputs!$K$4:$AJ$4,0))))+SUMPRODUCT((Inputs!$C$5:$C$160=$B33)*ISNUMBER(INDEX(Inputs!$K$5:$AJ$160,0,MATCH(G$2,Inputs!$K$4:$AJ$4,0))))+SUMPRODUCT((Inputs!$E$5:$E$160=$B33)*ISNUMBER(INDEX(Inputs!$K$5:$AJ$160,0,MATCH(G$2,Inputs!$K$4:$AJ$4,0))))=0,NA(),SUMPRODUCT((Inputs!$A$5:$A$160=$B33)*Inputs!$B$5:$B$160*(((Inputs!$G$5:$G$160="moeda")+(Inputs!$G$5:$G$160="acoes"))*Inputs!$B$1+((Inputs!$G$5:$G$160&lt;&gt;"moeda")*(Inputs!$G$5:$G$160&lt;&gt;"acoes")))*INDEX(Inputs!$K$5:$AJ$160,0,MATCH(G$2,Inputs!$K$4:$AJ$4,0)))+SUMPRODUCT((Inputs!$C$5:$C$160=$B33)*Inputs!$D$5:$D$160*(((Inputs!$G$5:$G$160="moeda")+(Inputs!$G$5:$G$160="acoes"))*Inputs!$B$1+((Inputs!$G$5:$G$160&lt;&gt;"moeda")*(Inputs!$G$5:$G$160&lt;&gt;"acoes")))*INDEX(Inputs!$K$5:$AJ$160,0,MATCH(G$2,Inputs!$K$4:$AJ$4,0)))+SUMPRODUCT((Inputs!$E$5:$E$160=$B33)*Inputs!$F$5:$F$160*(((Inputs!$G$5:$G$160="moeda")+(Inputs!$G$5:$G$160="acoes"))*Inputs!$B$1+((Inputs!$G$5:$G$160&lt;&gt;"moeda")*(Inputs!$G$5:$G$160&lt;&gt;"acoes")))*INDEX(Inputs!$K$5:$AJ$160,0,MATCH(G$2,Inputs!$K$4:$AJ$4,0)))))</f>
        <v>#N/A</v>
      </c>
      <c r="H33" s="3" t="e">
        <f>G33</f>
        <v>#N/A</v>
      </c>
      <c r="I33" s="6" t="e">
        <f>IF(ISNA(MATCH(I$2,Inputs!$K$4:$AJ$4,0)),NA(),IF(SUMPRODUCT((Inputs!$A$5:$A$160=$B33)*ISNUMBER(INDEX(Inputs!$K$5:$AJ$160,0,MATCH(I$2,Inputs!$K$4:$AJ$4,0))))+SUMPRODUCT((Inputs!$C$5:$C$160=$B33)*ISNUMBER(INDEX(Inputs!$K$5:$AJ$160,0,MATCH(I$2,Inputs!$K$4:$AJ$4,0))))+SUMPRODUCT((Inputs!$E$5:$E$160=$B33)*ISNUMBER(INDEX(Inputs!$K$5:$AJ$160,0,MATCH(I$2,Inputs!$K$4:$AJ$4,0))))=0,NA(),SUMPRODUCT((Inputs!$A$5:$A$160=$B33)*Inputs!$B$5:$B$160*(((Inputs!$G$5:$G$160="moeda")+(Inputs!$G$5:$G$160="acoes"))*Inputs!$B$1+((Inputs!$G$5:$G$160&lt;&gt;"moeda")*(Inputs!$G$5:$G$160&lt;&gt;"acoes")))*INDEX(Inputs!$K$5:$AJ$160,0,MATCH(I$2,Inputs!$K$4:$AJ$4,0)))+SUMPRODUCT((Inputs!$C$5:$C$160=$B33)*Inputs!$D$5:$D$160*(((Inputs!$G$5:$G$160="moeda")+(Inputs!$G$5:$G$160="acoes"))*Inputs!$B$1+((Inputs!$G$5:$G$160&lt;&gt;"moeda")*(Inputs!$G$5:$G$160&lt;&gt;"acoes")))*INDEX(Inputs!$K$5:$AJ$160,0,MATCH(I$2,Inputs!$K$4:$AJ$4,0)))+SUMPRODUCT((Inputs!$E$5:$E$160=$B33)*Inputs!$F$5:$F$160*(((Inputs!$G$5:$G$160="moeda")+(Inputs!$G$5:$G$160="acoes"))*Inputs!$B$1+((Inputs!$G$5:$G$160&lt;&gt;"moeda")*(Inputs!$G$5:$G$160&lt;&gt;"acoes")))*INDEX(Inputs!$K$5:$AJ$160,0,MATCH(I$2,Inputs!$K$4:$AJ$4,0)))))</f>
        <v>#N/A</v>
      </c>
      <c r="J33" s="6" t="e">
        <f>IF(ISNA(MATCH(J$2,Inputs!$K$4:$AJ$4,0)),NA(),IF(SUMPRODUCT((Inputs!$A$5:$A$160=$B33)*ISNUMBER(INDEX(Inputs!$K$5:$AJ$160,0,MATCH(J$2,Inputs!$K$4:$AJ$4,0))))+SUMPRODUCT((Inputs!$C$5:$C$160=$B33)*ISNUMBER(INDEX(Inputs!$K$5:$AJ$160,0,MATCH(J$2,Inputs!$K$4:$AJ$4,0))))+SUMPRODUCT((Inputs!$E$5:$E$160=$B33)*ISNUMBER(INDEX(Inputs!$K$5:$AJ$160,0,MATCH(J$2,Inputs!$K$4:$AJ$4,0))))=0,NA(),SUMPRODUCT((Inputs!$A$5:$A$160=$B33)*Inputs!$B$5:$B$160*(((Inputs!$G$5:$G$160="moeda")+(Inputs!$G$5:$G$160="acoes"))*Inputs!$B$1+((Inputs!$G$5:$G$160&lt;&gt;"moeda")*(Inputs!$G$5:$G$160&lt;&gt;"acoes")))*INDEX(Inputs!$K$5:$AJ$160,0,MATCH(J$2,Inputs!$K$4:$AJ$4,0)))+SUMPRODUCT((Inputs!$C$5:$C$160=$B33)*Inputs!$D$5:$D$160*(((Inputs!$G$5:$G$160="moeda")+(Inputs!$G$5:$G$160="acoes"))*Inputs!$B$1+((Inputs!$G$5:$G$160&lt;&gt;"moeda")*(Inputs!$G$5:$G$160&lt;&gt;"acoes")))*INDEX(Inputs!$K$5:$AJ$160,0,MATCH(J$2,Inputs!$K$4:$AJ$4,0)))+SUMPRODUCT((Inputs!$E$5:$E$160=$B33)*Inputs!$F$5:$F$160*(((Inputs!$G$5:$G$160="moeda")+(Inputs!$G$5:$G$160="acoes"))*Inputs!$B$1+((Inputs!$G$5:$G$160&lt;&gt;"moeda")*(Inputs!$G$5:$G$160&lt;&gt;"acoes")))*INDEX(Inputs!$K$5:$AJ$160,0,MATCH(J$2,Inputs!$K$4:$AJ$4,0)))))</f>
        <v>#N/A</v>
      </c>
      <c r="K33" s="6" t="e">
        <f>IF(ISNA(MATCH(K$2,Inputs!$K$4:$AJ$4,0)),NA(),IF(SUMPRODUCT((Inputs!$A$5:$A$160=$B33)*ISNUMBER(INDEX(Inputs!$K$5:$AJ$160,0,MATCH(K$2,Inputs!$K$4:$AJ$4,0))))+SUMPRODUCT((Inputs!$C$5:$C$160=$B33)*ISNUMBER(INDEX(Inputs!$K$5:$AJ$160,0,MATCH(K$2,Inputs!$K$4:$AJ$4,0))))+SUMPRODUCT((Inputs!$E$5:$E$160=$B33)*ISNUMBER(INDEX(Inputs!$K$5:$AJ$160,0,MATCH(K$2,Inputs!$K$4:$AJ$4,0))))=0,NA(),SUMPRODUCT((Inputs!$A$5:$A$160=$B33)*Inputs!$B$5:$B$160*(((Inputs!$G$5:$G$160="moeda")+(Inputs!$G$5:$G$160="acoes"))*Inputs!$B$1+((Inputs!$G$5:$G$160&lt;&gt;"moeda")*(Inputs!$G$5:$G$160&lt;&gt;"acoes")))*INDEX(Inputs!$K$5:$AJ$160,0,MATCH(K$2,Inputs!$K$4:$AJ$4,0)))+SUMPRODUCT((Inputs!$C$5:$C$160=$B33)*Inputs!$D$5:$D$160*(((Inputs!$G$5:$G$160="moeda")+(Inputs!$G$5:$G$160="acoes"))*Inputs!$B$1+((Inputs!$G$5:$G$160&lt;&gt;"moeda")*(Inputs!$G$5:$G$160&lt;&gt;"acoes")))*INDEX(Inputs!$K$5:$AJ$160,0,MATCH(K$2,Inputs!$K$4:$AJ$4,0)))+SUMPRODUCT((Inputs!$E$5:$E$160=$B33)*Inputs!$F$5:$F$160*(((Inputs!$G$5:$G$160="moeda")+(Inputs!$G$5:$G$160="acoes"))*Inputs!$B$1+((Inputs!$G$5:$G$160&lt;&gt;"moeda")*(Inputs!$G$5:$G$160&lt;&gt;"acoes")))*INDEX(Inputs!$K$5:$AJ$160,0,MATCH(K$2,Inputs!$K$4:$AJ$4,0)))))</f>
        <v>#N/A</v>
      </c>
      <c r="L33" s="6" t="e">
        <f>IF(ISNA(MATCH(L$2,Inputs!$K$4:$AJ$4,0)),NA(),IF(SUMPRODUCT((Inputs!$A$5:$A$160=$B33)*ISNUMBER(INDEX(Inputs!$K$5:$AJ$160,0,MATCH(L$2,Inputs!$K$4:$AJ$4,0))))+SUMPRODUCT((Inputs!$C$5:$C$160=$B33)*ISNUMBER(INDEX(Inputs!$K$5:$AJ$160,0,MATCH(L$2,Inputs!$K$4:$AJ$4,0))))+SUMPRODUCT((Inputs!$E$5:$E$160=$B33)*ISNUMBER(INDEX(Inputs!$K$5:$AJ$160,0,MATCH(L$2,Inputs!$K$4:$AJ$4,0))))=0,NA(),SUMPRODUCT((Inputs!$A$5:$A$160=$B33)*Inputs!$B$5:$B$160*(((Inputs!$G$5:$G$160="moeda")+(Inputs!$G$5:$G$160="acoes"))*Inputs!$B$1+((Inputs!$G$5:$G$160&lt;&gt;"moeda")*(Inputs!$G$5:$G$160&lt;&gt;"acoes")))*INDEX(Inputs!$K$5:$AJ$160,0,MATCH(L$2,Inputs!$K$4:$AJ$4,0)))+SUMPRODUCT((Inputs!$C$5:$C$160=$B33)*Inputs!$D$5:$D$160*(((Inputs!$G$5:$G$160="moeda")+(Inputs!$G$5:$G$160="acoes"))*Inputs!$B$1+((Inputs!$G$5:$G$160&lt;&gt;"moeda")*(Inputs!$G$5:$G$160&lt;&gt;"acoes")))*INDEX(Inputs!$K$5:$AJ$160,0,MATCH(L$2,Inputs!$K$4:$AJ$4,0)))+SUMPRODUCT((Inputs!$E$5:$E$160=$B33)*Inputs!$F$5:$F$160*(((Inputs!$G$5:$G$160="moeda")+(Inputs!$G$5:$G$160="acoes"))*Inputs!$B$1+((Inputs!$G$5:$G$160&lt;&gt;"moeda")*(Inputs!$G$5:$G$160&lt;&gt;"acoes")))*INDEX(Inputs!$K$5:$AJ$160,0,MATCH(L$2,Inputs!$K$4:$AJ$4,0)))))</f>
        <v>#N/A</v>
      </c>
      <c r="M33" s="3" t="e">
        <f>L33</f>
        <v>#N/A</v>
      </c>
      <c r="N33" s="6" t="e">
        <f>IF(ISNA(MATCH(N$2,Inputs!$K$4:$AJ$4,0)),NA(),IF(SUMPRODUCT((Inputs!$A$5:$A$160=$B33)*ISNUMBER(INDEX(Inputs!$K$5:$AJ$160,0,MATCH(N$2,Inputs!$K$4:$AJ$4,0))))+SUMPRODUCT((Inputs!$C$5:$C$160=$B33)*ISNUMBER(INDEX(Inputs!$K$5:$AJ$160,0,MATCH(N$2,Inputs!$K$4:$AJ$4,0))))+SUMPRODUCT((Inputs!$E$5:$E$160=$B33)*ISNUMBER(INDEX(Inputs!$K$5:$AJ$160,0,MATCH(N$2,Inputs!$K$4:$AJ$4,0))))=0,NA(),SUMPRODUCT((Inputs!$A$5:$A$160=$B33)*Inputs!$B$5:$B$160*(((Inputs!$G$5:$G$160="moeda")+(Inputs!$G$5:$G$160="acoes"))*Inputs!$B$1+((Inputs!$G$5:$G$160&lt;&gt;"moeda")*(Inputs!$G$5:$G$160&lt;&gt;"acoes")))*INDEX(Inputs!$K$5:$AJ$160,0,MATCH(N$2,Inputs!$K$4:$AJ$4,0)))+SUMPRODUCT((Inputs!$C$5:$C$160=$B33)*Inputs!$D$5:$D$160*(((Inputs!$G$5:$G$160="moeda")+(Inputs!$G$5:$G$160="acoes"))*Inputs!$B$1+((Inputs!$G$5:$G$160&lt;&gt;"moeda")*(Inputs!$G$5:$G$160&lt;&gt;"acoes")))*INDEX(Inputs!$K$5:$AJ$160,0,MATCH(N$2,Inputs!$K$4:$AJ$4,0)))+SUMPRODUCT((Inputs!$E$5:$E$160=$B33)*Inputs!$F$5:$F$160*(((Inputs!$G$5:$G$160="moeda")+(Inputs!$G$5:$G$160="acoes"))*Inputs!$B$1+((Inputs!$G$5:$G$160&lt;&gt;"moeda")*(Inputs!$G$5:$G$160&lt;&gt;"acoes")))*INDEX(Inputs!$K$5:$AJ$160,0,MATCH(N$2,Inputs!$K$4:$AJ$4,0)))))</f>
        <v>#N/A</v>
      </c>
      <c r="O33" s="6" t="e">
        <f>IF(ISNA(MATCH(O$2,Inputs!$K$4:$AJ$4,0)),NA(),IF(SUMPRODUCT((Inputs!$A$5:$A$160=$B33)*ISNUMBER(INDEX(Inputs!$K$5:$AJ$160,0,MATCH(O$2,Inputs!$K$4:$AJ$4,0))))+SUMPRODUCT((Inputs!$C$5:$C$160=$B33)*ISNUMBER(INDEX(Inputs!$K$5:$AJ$160,0,MATCH(O$2,Inputs!$K$4:$AJ$4,0))))+SUMPRODUCT((Inputs!$E$5:$E$160=$B33)*ISNUMBER(INDEX(Inputs!$K$5:$AJ$160,0,MATCH(O$2,Inputs!$K$4:$AJ$4,0))))=0,NA(),SUMPRODUCT((Inputs!$A$5:$A$160=$B33)*Inputs!$B$5:$B$160*(((Inputs!$G$5:$G$160="moeda")+(Inputs!$G$5:$G$160="acoes"))*Inputs!$B$1+((Inputs!$G$5:$G$160&lt;&gt;"moeda")*(Inputs!$G$5:$G$160&lt;&gt;"acoes")))*INDEX(Inputs!$K$5:$AJ$160,0,MATCH(O$2,Inputs!$K$4:$AJ$4,0)))+SUMPRODUCT((Inputs!$C$5:$C$160=$B33)*Inputs!$D$5:$D$160*(((Inputs!$G$5:$G$160="moeda")+(Inputs!$G$5:$G$160="acoes"))*Inputs!$B$1+((Inputs!$G$5:$G$160&lt;&gt;"moeda")*(Inputs!$G$5:$G$160&lt;&gt;"acoes")))*INDEX(Inputs!$K$5:$AJ$160,0,MATCH(O$2,Inputs!$K$4:$AJ$4,0)))+SUMPRODUCT((Inputs!$E$5:$E$160=$B33)*Inputs!$F$5:$F$160*(((Inputs!$G$5:$G$160="moeda")+(Inputs!$G$5:$G$160="acoes"))*Inputs!$B$1+((Inputs!$G$5:$G$160&lt;&gt;"moeda")*(Inputs!$G$5:$G$160&lt;&gt;"acoes")))*INDEX(Inputs!$K$5:$AJ$160,0,MATCH(O$2,Inputs!$K$4:$AJ$4,0)))))</f>
        <v>#N/A</v>
      </c>
      <c r="P33" s="6" t="e">
        <f>IF(ISNA(MATCH(P$2,Inputs!$K$4:$AJ$4,0)),NA(),IF(SUMPRODUCT((Inputs!$A$5:$A$160=$B33)*ISNUMBER(INDEX(Inputs!$K$5:$AJ$160,0,MATCH(P$2,Inputs!$K$4:$AJ$4,0))))+SUMPRODUCT((Inputs!$C$5:$C$160=$B33)*ISNUMBER(INDEX(Inputs!$K$5:$AJ$160,0,MATCH(P$2,Inputs!$K$4:$AJ$4,0))))+SUMPRODUCT((Inputs!$E$5:$E$160=$B33)*ISNUMBER(INDEX(Inputs!$K$5:$AJ$160,0,MATCH(P$2,Inputs!$K$4:$AJ$4,0))))=0,NA(),SUMPRODUCT((Inputs!$A$5:$A$160=$B33)*Inputs!$B$5:$B$160*(((Inputs!$G$5:$G$160="moeda")+(Inputs!$G$5:$G$160="acoes"))*Inputs!$B$1+((Inputs!$G$5:$G$160&lt;&gt;"moeda")*(Inputs!$G$5:$G$160&lt;&gt;"acoes")))*INDEX(Inputs!$K$5:$AJ$160,0,MATCH(P$2,Inputs!$K$4:$AJ$4,0)))+SUMPRODUCT((Inputs!$C$5:$C$160=$B33)*Inputs!$D$5:$D$160*(((Inputs!$G$5:$G$160="moeda")+(Inputs!$G$5:$G$160="acoes"))*Inputs!$B$1+((Inputs!$G$5:$G$160&lt;&gt;"moeda")*(Inputs!$G$5:$G$160&lt;&gt;"acoes")))*INDEX(Inputs!$K$5:$AJ$160,0,MATCH(P$2,Inputs!$K$4:$AJ$4,0)))+SUMPRODUCT((Inputs!$E$5:$E$160=$B33)*Inputs!$F$5:$F$160*(((Inputs!$G$5:$G$160="moeda")+(Inputs!$G$5:$G$160="acoes"))*Inputs!$B$1+((Inputs!$G$5:$G$160&lt;&gt;"moeda")*(Inputs!$G$5:$G$160&lt;&gt;"acoes")))*INDEX(Inputs!$K$5:$AJ$160,0,MATCH(P$2,Inputs!$K$4:$AJ$4,0)))))</f>
        <v>#N/A</v>
      </c>
      <c r="Q33" s="6" t="e">
        <f>IF(ISNA(MATCH(Q$2,Inputs!$K$4:$AJ$4,0)),NA(),IF(SUMPRODUCT((Inputs!$A$5:$A$160=$B33)*ISNUMBER(INDEX(Inputs!$K$5:$AJ$160,0,MATCH(Q$2,Inputs!$K$4:$AJ$4,0))))+SUMPRODUCT((Inputs!$C$5:$C$160=$B33)*ISNUMBER(INDEX(Inputs!$K$5:$AJ$160,0,MATCH(Q$2,Inputs!$K$4:$AJ$4,0))))+SUMPRODUCT((Inputs!$E$5:$E$160=$B33)*ISNUMBER(INDEX(Inputs!$K$5:$AJ$160,0,MATCH(Q$2,Inputs!$K$4:$AJ$4,0))))=0,NA(),SUMPRODUCT((Inputs!$A$5:$A$160=$B33)*Inputs!$B$5:$B$160*(((Inputs!$G$5:$G$160="moeda")+(Inputs!$G$5:$G$160="acoes"))*Inputs!$B$1+((Inputs!$G$5:$G$160&lt;&gt;"moeda")*(Inputs!$G$5:$G$160&lt;&gt;"acoes")))*INDEX(Inputs!$K$5:$AJ$160,0,MATCH(Q$2,Inputs!$K$4:$AJ$4,0)))+SUMPRODUCT((Inputs!$C$5:$C$160=$B33)*Inputs!$D$5:$D$160*(((Inputs!$G$5:$G$160="moeda")+(Inputs!$G$5:$G$160="acoes"))*Inputs!$B$1+((Inputs!$G$5:$G$160&lt;&gt;"moeda")*(Inputs!$G$5:$G$160&lt;&gt;"acoes")))*INDEX(Inputs!$K$5:$AJ$160,0,MATCH(Q$2,Inputs!$K$4:$AJ$4,0)))+SUMPRODUCT((Inputs!$E$5:$E$160=$B33)*Inputs!$F$5:$F$160*(((Inputs!$G$5:$G$160="moeda")+(Inputs!$G$5:$G$160="acoes"))*Inputs!$B$1+((Inputs!$G$5:$G$160&lt;&gt;"moeda")*(Inputs!$G$5:$G$160&lt;&gt;"acoes")))*INDEX(Inputs!$K$5:$AJ$160,0,MATCH(Q$2,Inputs!$K$4:$AJ$4,0)))))</f>
        <v>#N/A</v>
      </c>
      <c r="R33" s="3" t="e">
        <f>Q33</f>
        <v>#N/A</v>
      </c>
      <c r="S33" s="6" t="e">
        <f>IF(ISNA(MATCH(S$2,Inputs!$K$4:$AJ$4,0)),NA(),IF(SUMPRODUCT((Inputs!$A$5:$A$160=$B33)*ISNUMBER(INDEX(Inputs!$K$5:$AJ$160,0,MATCH(S$2,Inputs!$K$4:$AJ$4,0))))+SUMPRODUCT((Inputs!$C$5:$C$160=$B33)*ISNUMBER(INDEX(Inputs!$K$5:$AJ$160,0,MATCH(S$2,Inputs!$K$4:$AJ$4,0))))+SUMPRODUCT((Inputs!$E$5:$E$160=$B33)*ISNUMBER(INDEX(Inputs!$K$5:$AJ$160,0,MATCH(S$2,Inputs!$K$4:$AJ$4,0))))=0,NA(),SUMPRODUCT((Inputs!$A$5:$A$160=$B33)*Inputs!$B$5:$B$160*(((Inputs!$G$5:$G$160="moeda")+(Inputs!$G$5:$G$160="acoes"))*Inputs!$B$1+((Inputs!$G$5:$G$160&lt;&gt;"moeda")*(Inputs!$G$5:$G$160&lt;&gt;"acoes")))*INDEX(Inputs!$K$5:$AJ$160,0,MATCH(S$2,Inputs!$K$4:$AJ$4,0)))+SUMPRODUCT((Inputs!$C$5:$C$160=$B33)*Inputs!$D$5:$D$160*(((Inputs!$G$5:$G$160="moeda")+(Inputs!$G$5:$G$160="acoes"))*Inputs!$B$1+((Inputs!$G$5:$G$160&lt;&gt;"moeda")*(Inputs!$G$5:$G$160&lt;&gt;"acoes")))*INDEX(Inputs!$K$5:$AJ$160,0,MATCH(S$2,Inputs!$K$4:$AJ$4,0)))+SUMPRODUCT((Inputs!$E$5:$E$160=$B33)*Inputs!$F$5:$F$160*(((Inputs!$G$5:$G$160="moeda")+(Inputs!$G$5:$G$160="acoes"))*Inputs!$B$1+((Inputs!$G$5:$G$160&lt;&gt;"moeda")*(Inputs!$G$5:$G$160&lt;&gt;"acoes")))*INDEX(Inputs!$K$5:$AJ$160,0,MATCH(S$2,Inputs!$K$4:$AJ$4,0)))))</f>
        <v>#N/A</v>
      </c>
      <c r="T33" s="6" t="e">
        <f>IF(ISNA(MATCH(T$2,Inputs!$K$4:$AJ$4,0)),NA(),IF(SUMPRODUCT((Inputs!$A$5:$A$160=$B33)*ISNUMBER(INDEX(Inputs!$K$5:$AJ$160,0,MATCH(T$2,Inputs!$K$4:$AJ$4,0))))+SUMPRODUCT((Inputs!$C$5:$C$160=$B33)*ISNUMBER(INDEX(Inputs!$K$5:$AJ$160,0,MATCH(T$2,Inputs!$K$4:$AJ$4,0))))+SUMPRODUCT((Inputs!$E$5:$E$160=$B33)*ISNUMBER(INDEX(Inputs!$K$5:$AJ$160,0,MATCH(T$2,Inputs!$K$4:$AJ$4,0))))=0,NA(),SUMPRODUCT((Inputs!$A$5:$A$160=$B33)*Inputs!$B$5:$B$160*(((Inputs!$G$5:$G$160="moeda")+(Inputs!$G$5:$G$160="acoes"))*Inputs!$B$1+((Inputs!$G$5:$G$160&lt;&gt;"moeda")*(Inputs!$G$5:$G$160&lt;&gt;"acoes")))*INDEX(Inputs!$K$5:$AJ$160,0,MATCH(T$2,Inputs!$K$4:$AJ$4,0)))+SUMPRODUCT((Inputs!$C$5:$C$160=$B33)*Inputs!$D$5:$D$160*(((Inputs!$G$5:$G$160="moeda")+(Inputs!$G$5:$G$160="acoes"))*Inputs!$B$1+((Inputs!$G$5:$G$160&lt;&gt;"moeda")*(Inputs!$G$5:$G$160&lt;&gt;"acoes")))*INDEX(Inputs!$K$5:$AJ$160,0,MATCH(T$2,Inputs!$K$4:$AJ$4,0)))+SUMPRODUCT((Inputs!$E$5:$E$160=$B33)*Inputs!$F$5:$F$160*(((Inputs!$G$5:$G$160="moeda")+(Inputs!$G$5:$G$160="acoes"))*Inputs!$B$1+((Inputs!$G$5:$G$160&lt;&gt;"moeda")*(Inputs!$G$5:$G$160&lt;&gt;"acoes")))*INDEX(Inputs!$K$5:$AJ$160,0,MATCH(T$2,Inputs!$K$4:$AJ$4,0)))))</f>
        <v>#N/A</v>
      </c>
      <c r="U33" s="6" t="e">
        <f>IF(ISNA(MATCH(U$2,Inputs!$K$4:$AJ$4,0)),NA(),IF(SUMPRODUCT((Inputs!$A$5:$A$160=$B33)*ISNUMBER(INDEX(Inputs!$K$5:$AJ$160,0,MATCH(U$2,Inputs!$K$4:$AJ$4,0))))+SUMPRODUCT((Inputs!$C$5:$C$160=$B33)*ISNUMBER(INDEX(Inputs!$K$5:$AJ$160,0,MATCH(U$2,Inputs!$K$4:$AJ$4,0))))+SUMPRODUCT((Inputs!$E$5:$E$160=$B33)*ISNUMBER(INDEX(Inputs!$K$5:$AJ$160,0,MATCH(U$2,Inputs!$K$4:$AJ$4,0))))=0,NA(),SUMPRODUCT((Inputs!$A$5:$A$160=$B33)*Inputs!$B$5:$B$160*(((Inputs!$G$5:$G$160="moeda")+(Inputs!$G$5:$G$160="acoes"))*Inputs!$B$1+((Inputs!$G$5:$G$160&lt;&gt;"moeda")*(Inputs!$G$5:$G$160&lt;&gt;"acoes")))*INDEX(Inputs!$K$5:$AJ$160,0,MATCH(U$2,Inputs!$K$4:$AJ$4,0)))+SUMPRODUCT((Inputs!$C$5:$C$160=$B33)*Inputs!$D$5:$D$160*(((Inputs!$G$5:$G$160="moeda")+(Inputs!$G$5:$G$160="acoes"))*Inputs!$B$1+((Inputs!$G$5:$G$160&lt;&gt;"moeda")*(Inputs!$G$5:$G$160&lt;&gt;"acoes")))*INDEX(Inputs!$K$5:$AJ$160,0,MATCH(U$2,Inputs!$K$4:$AJ$4,0)))+SUMPRODUCT((Inputs!$E$5:$E$160=$B33)*Inputs!$F$5:$F$160*(((Inputs!$G$5:$G$160="moeda")+(Inputs!$G$5:$G$160="acoes"))*Inputs!$B$1+((Inputs!$G$5:$G$160&lt;&gt;"moeda")*(Inputs!$G$5:$G$160&lt;&gt;"acoes")))*INDEX(Inputs!$K$5:$AJ$160,0,MATCH(U$2,Inputs!$K$4:$AJ$4,0)))))</f>
        <v>#N/A</v>
      </c>
      <c r="V33" s="6" t="e">
        <f>IF(ISNA(MATCH(V$2,Inputs!$K$4:$AJ$4,0)),NA(),IF(SUMPRODUCT((Inputs!$A$5:$A$160=$B33)*ISNUMBER(INDEX(Inputs!$K$5:$AJ$160,0,MATCH(V$2,Inputs!$K$4:$AJ$4,0))))+SUMPRODUCT((Inputs!$C$5:$C$160=$B33)*ISNUMBER(INDEX(Inputs!$K$5:$AJ$160,0,MATCH(V$2,Inputs!$K$4:$AJ$4,0))))+SUMPRODUCT((Inputs!$E$5:$E$160=$B33)*ISNUMBER(INDEX(Inputs!$K$5:$AJ$160,0,MATCH(V$2,Inputs!$K$4:$AJ$4,0))))=0,NA(),SUMPRODUCT((Inputs!$A$5:$A$160=$B33)*Inputs!$B$5:$B$160*(((Inputs!$G$5:$G$160="moeda")+(Inputs!$G$5:$G$160="acoes"))*Inputs!$B$1+((Inputs!$G$5:$G$160&lt;&gt;"moeda")*(Inputs!$G$5:$G$160&lt;&gt;"acoes")))*INDEX(Inputs!$K$5:$AJ$160,0,MATCH(V$2,Inputs!$K$4:$AJ$4,0)))+SUMPRODUCT((Inputs!$C$5:$C$160=$B33)*Inputs!$D$5:$D$160*(((Inputs!$G$5:$G$160="moeda")+(Inputs!$G$5:$G$160="acoes"))*Inputs!$B$1+((Inputs!$G$5:$G$160&lt;&gt;"moeda")*(Inputs!$G$5:$G$160&lt;&gt;"acoes")))*INDEX(Inputs!$K$5:$AJ$160,0,MATCH(V$2,Inputs!$K$4:$AJ$4,0)))+SUMPRODUCT((Inputs!$E$5:$E$160=$B33)*Inputs!$F$5:$F$160*(((Inputs!$G$5:$G$160="moeda")+(Inputs!$G$5:$G$160="acoes"))*Inputs!$B$1+((Inputs!$G$5:$G$160&lt;&gt;"moeda")*(Inputs!$G$5:$G$160&lt;&gt;"acoes")))*INDEX(Inputs!$K$5:$AJ$160,0,MATCH(V$2,Inputs!$K$4:$AJ$4,0)))))</f>
        <v>#N/A</v>
      </c>
      <c r="W33" s="3" t="e">
        <f>V33</f>
        <v>#N/A</v>
      </c>
      <c r="X33" s="6" t="e">
        <f>IF(ISNA(MATCH(X$2,Inputs!$K$4:$AJ$4,0)),NA(),IF(SUMPRODUCT((Inputs!$A$5:$A$160=$B33)*ISNUMBER(INDEX(Inputs!$K$5:$AJ$160,0,MATCH(X$2,Inputs!$K$4:$AJ$4,0))))+SUMPRODUCT((Inputs!$C$5:$C$160=$B33)*ISNUMBER(INDEX(Inputs!$K$5:$AJ$160,0,MATCH(X$2,Inputs!$K$4:$AJ$4,0))))+SUMPRODUCT((Inputs!$E$5:$E$160=$B33)*ISNUMBER(INDEX(Inputs!$K$5:$AJ$160,0,MATCH(X$2,Inputs!$K$4:$AJ$4,0))))=0,NA(),SUMPRODUCT((Inputs!$A$5:$A$160=$B33)*Inputs!$B$5:$B$160*(((Inputs!$G$5:$G$160="moeda")+(Inputs!$G$5:$G$160="acoes"))*Inputs!$B$1+((Inputs!$G$5:$G$160&lt;&gt;"moeda")*(Inputs!$G$5:$G$160&lt;&gt;"acoes")))*INDEX(Inputs!$K$5:$AJ$160,0,MATCH(X$2,Inputs!$K$4:$AJ$4,0)))+SUMPRODUCT((Inputs!$C$5:$C$160=$B33)*Inputs!$D$5:$D$160*(((Inputs!$G$5:$G$160="moeda")+(Inputs!$G$5:$G$160="acoes"))*Inputs!$B$1+((Inputs!$G$5:$G$160&lt;&gt;"moeda")*(Inputs!$G$5:$G$160&lt;&gt;"acoes")))*INDEX(Inputs!$K$5:$AJ$160,0,MATCH(X$2,Inputs!$K$4:$AJ$4,0)))+SUMPRODUCT((Inputs!$E$5:$E$160=$B33)*Inputs!$F$5:$F$160*(((Inputs!$G$5:$G$160="moeda")+(Inputs!$G$5:$G$160="acoes"))*Inputs!$B$1+((Inputs!$G$5:$G$160&lt;&gt;"moeda")*(Inputs!$G$5:$G$160&lt;&gt;"acoes")))*INDEX(Inputs!$K$5:$AJ$160,0,MATCH(X$2,Inputs!$K$4:$AJ$4,0)))))</f>
        <v>#N/A</v>
      </c>
      <c r="Y33" s="6" t="e">
        <f>IF(ISNA(MATCH(Y$2,Inputs!$K$4:$AJ$4,0)),NA(),IF(SUMPRODUCT((Inputs!$A$5:$A$160=$B33)*ISNUMBER(INDEX(Inputs!$K$5:$AJ$160,0,MATCH(Y$2,Inputs!$K$4:$AJ$4,0))))+SUMPRODUCT((Inputs!$C$5:$C$160=$B33)*ISNUMBER(INDEX(Inputs!$K$5:$AJ$160,0,MATCH(Y$2,Inputs!$K$4:$AJ$4,0))))+SUMPRODUCT((Inputs!$E$5:$E$160=$B33)*ISNUMBER(INDEX(Inputs!$K$5:$AJ$160,0,MATCH(Y$2,Inputs!$K$4:$AJ$4,0))))=0,NA(),SUMPRODUCT((Inputs!$A$5:$A$160=$B33)*Inputs!$B$5:$B$160*(((Inputs!$G$5:$G$160="moeda")+(Inputs!$G$5:$G$160="acoes"))*Inputs!$B$1+((Inputs!$G$5:$G$160&lt;&gt;"moeda")*(Inputs!$G$5:$G$160&lt;&gt;"acoes")))*INDEX(Inputs!$K$5:$AJ$160,0,MATCH(Y$2,Inputs!$K$4:$AJ$4,0)))+SUMPRODUCT((Inputs!$C$5:$C$160=$B33)*Inputs!$D$5:$D$160*(((Inputs!$G$5:$G$160="moeda")+(Inputs!$G$5:$G$160="acoes"))*Inputs!$B$1+((Inputs!$G$5:$G$160&lt;&gt;"moeda")*(Inputs!$G$5:$G$160&lt;&gt;"acoes")))*INDEX(Inputs!$K$5:$AJ$160,0,MATCH(Y$2,Inputs!$K$4:$AJ$4,0)))+SUMPRODUCT((Inputs!$E$5:$E$160=$B33)*Inputs!$F$5:$F$160*(((Inputs!$G$5:$G$160="moeda")+(Inputs!$G$5:$G$160="acoes"))*Inputs!$B$1+((Inputs!$G$5:$G$160&lt;&gt;"moeda")*(Inputs!$G$5:$G$160&lt;&gt;"acoes")))*INDEX(Inputs!$K$5:$AJ$160,0,MATCH(Y$2,Inputs!$K$4:$AJ$4,0)))))</f>
        <v>#N/A</v>
      </c>
      <c r="Z33" s="6" t="e">
        <f>IF(ISNA(MATCH(Z$2,Inputs!$K$4:$AJ$4,0)),NA(),IF(SUMPRODUCT((Inputs!$A$5:$A$160=$B33)*ISNUMBER(INDEX(Inputs!$K$5:$AJ$160,0,MATCH(Z$2,Inputs!$K$4:$AJ$4,0))))+SUMPRODUCT((Inputs!$C$5:$C$160=$B33)*ISNUMBER(INDEX(Inputs!$K$5:$AJ$160,0,MATCH(Z$2,Inputs!$K$4:$AJ$4,0))))+SUMPRODUCT((Inputs!$E$5:$E$160=$B33)*ISNUMBER(INDEX(Inputs!$K$5:$AJ$160,0,MATCH(Z$2,Inputs!$K$4:$AJ$4,0))))=0,NA(),SUMPRODUCT((Inputs!$A$5:$A$160=$B33)*Inputs!$B$5:$B$160*(((Inputs!$G$5:$G$160="moeda")+(Inputs!$G$5:$G$160="acoes"))*Inputs!$B$1+((Inputs!$G$5:$G$160&lt;&gt;"moeda")*(Inputs!$G$5:$G$160&lt;&gt;"acoes")))*INDEX(Inputs!$K$5:$AJ$160,0,MATCH(Z$2,Inputs!$K$4:$AJ$4,0)))+SUMPRODUCT((Inputs!$C$5:$C$160=$B33)*Inputs!$D$5:$D$160*(((Inputs!$G$5:$G$160="moeda")+(Inputs!$G$5:$G$160="acoes"))*Inputs!$B$1+((Inputs!$G$5:$G$160&lt;&gt;"moeda")*(Inputs!$G$5:$G$160&lt;&gt;"acoes")))*INDEX(Inputs!$K$5:$AJ$160,0,MATCH(Z$2,Inputs!$K$4:$AJ$4,0)))+SUMPRODUCT((Inputs!$E$5:$E$160=$B33)*Inputs!$F$5:$F$160*(((Inputs!$G$5:$G$160="moeda")+(Inputs!$G$5:$G$160="acoes"))*Inputs!$B$1+((Inputs!$G$5:$G$160&lt;&gt;"moeda")*(Inputs!$G$5:$G$160&lt;&gt;"acoes")))*INDEX(Inputs!$K$5:$AJ$160,0,MATCH(Z$2,Inputs!$K$4:$AJ$4,0)))))</f>
        <v>#N/A</v>
      </c>
      <c r="AA33" s="6" t="e">
        <f>IF(ISNA(MATCH(AA$2,Inputs!$K$4:$AJ$4,0)),NA(),IF(SUMPRODUCT((Inputs!$A$5:$A$160=$B33)*ISNUMBER(INDEX(Inputs!$K$5:$AJ$160,0,MATCH(AA$2,Inputs!$K$4:$AJ$4,0))))+SUMPRODUCT((Inputs!$C$5:$C$160=$B33)*ISNUMBER(INDEX(Inputs!$K$5:$AJ$160,0,MATCH(AA$2,Inputs!$K$4:$AJ$4,0))))+SUMPRODUCT((Inputs!$E$5:$E$160=$B33)*ISNUMBER(INDEX(Inputs!$K$5:$AJ$160,0,MATCH(AA$2,Inputs!$K$4:$AJ$4,0))))=0,NA(),SUMPRODUCT((Inputs!$A$5:$A$160=$B33)*Inputs!$B$5:$B$160*(((Inputs!$G$5:$G$160="moeda")+(Inputs!$G$5:$G$160="acoes"))*Inputs!$B$1+((Inputs!$G$5:$G$160&lt;&gt;"moeda")*(Inputs!$G$5:$G$160&lt;&gt;"acoes")))*INDEX(Inputs!$K$5:$AJ$160,0,MATCH(AA$2,Inputs!$K$4:$AJ$4,0)))+SUMPRODUCT((Inputs!$C$5:$C$160=$B33)*Inputs!$D$5:$D$160*(((Inputs!$G$5:$G$160="moeda")+(Inputs!$G$5:$G$160="acoes"))*Inputs!$B$1+((Inputs!$G$5:$G$160&lt;&gt;"moeda")*(Inputs!$G$5:$G$160&lt;&gt;"acoes")))*INDEX(Inputs!$K$5:$AJ$160,0,MATCH(AA$2,Inputs!$K$4:$AJ$4,0)))+SUMPRODUCT((Inputs!$E$5:$E$160=$B33)*Inputs!$F$5:$F$160*(((Inputs!$G$5:$G$160="moeda")+(Inputs!$G$5:$G$160="acoes"))*Inputs!$B$1+((Inputs!$G$5:$G$160&lt;&gt;"moeda")*(Inputs!$G$5:$G$160&lt;&gt;"acoes")))*INDEX(Inputs!$K$5:$AJ$160,0,MATCH(AA$2,Inputs!$K$4:$AJ$4,0)))))</f>
        <v>#N/A</v>
      </c>
      <c r="AB33" s="3" t="e">
        <f>AA33</f>
        <v>#N/A</v>
      </c>
      <c r="AC33" s="6" t="e">
        <f>IF(ISNA(MATCH(AC$2,Inputs!$K$4:$AJ$4,0)),NA(),IF(SUMPRODUCT((Inputs!$A$5:$A$160=$B33)*ISNUMBER(INDEX(Inputs!$K$5:$AJ$160,0,MATCH(AC$2,Inputs!$K$4:$AJ$4,0))))+SUMPRODUCT((Inputs!$C$5:$C$160=$B33)*ISNUMBER(INDEX(Inputs!$K$5:$AJ$160,0,MATCH(AC$2,Inputs!$K$4:$AJ$4,0))))+SUMPRODUCT((Inputs!$E$5:$E$160=$B33)*ISNUMBER(INDEX(Inputs!$K$5:$AJ$160,0,MATCH(AC$2,Inputs!$K$4:$AJ$4,0))))=0,NA(),SUMPRODUCT((Inputs!$A$5:$A$160=$B33)*Inputs!$B$5:$B$160*(((Inputs!$G$5:$G$160="moeda")+(Inputs!$G$5:$G$160="acoes"))*Inputs!$B$1+((Inputs!$G$5:$G$160&lt;&gt;"moeda")*(Inputs!$G$5:$G$160&lt;&gt;"acoes")))*INDEX(Inputs!$K$5:$AJ$160,0,MATCH(AC$2,Inputs!$K$4:$AJ$4,0)))+SUMPRODUCT((Inputs!$C$5:$C$160=$B33)*Inputs!$D$5:$D$160*(((Inputs!$G$5:$G$160="moeda")+(Inputs!$G$5:$G$160="acoes"))*Inputs!$B$1+((Inputs!$G$5:$G$160&lt;&gt;"moeda")*(Inputs!$G$5:$G$160&lt;&gt;"acoes")))*INDEX(Inputs!$K$5:$AJ$160,0,MATCH(AC$2,Inputs!$K$4:$AJ$4,0)))+SUMPRODUCT((Inputs!$E$5:$E$160=$B33)*Inputs!$F$5:$F$160*(((Inputs!$G$5:$G$160="moeda")+(Inputs!$G$5:$G$160="acoes"))*Inputs!$B$1+((Inputs!$G$5:$G$160&lt;&gt;"moeda")*(Inputs!$G$5:$G$160&lt;&gt;"acoes")))*INDEX(Inputs!$K$5:$AJ$160,0,MATCH(AC$2,Inputs!$K$4:$AJ$4,0)))))</f>
        <v>#N/A</v>
      </c>
      <c r="AD33" s="6" t="e">
        <f>IF(ISNA(MATCH(AD$2,Inputs!$K$4:$AJ$4,0)),NA(),IF(SUMPRODUCT((Inputs!$A$5:$A$160=$B33)*ISNUMBER(INDEX(Inputs!$K$5:$AJ$160,0,MATCH(AD$2,Inputs!$K$4:$AJ$4,0))))+SUMPRODUCT((Inputs!$C$5:$C$160=$B33)*ISNUMBER(INDEX(Inputs!$K$5:$AJ$160,0,MATCH(AD$2,Inputs!$K$4:$AJ$4,0))))+SUMPRODUCT((Inputs!$E$5:$E$160=$B33)*ISNUMBER(INDEX(Inputs!$K$5:$AJ$160,0,MATCH(AD$2,Inputs!$K$4:$AJ$4,0))))=0,NA(),SUMPRODUCT((Inputs!$A$5:$A$160=$B33)*Inputs!$B$5:$B$160*(((Inputs!$G$5:$G$160="moeda")+(Inputs!$G$5:$G$160="acoes"))*Inputs!$B$1+((Inputs!$G$5:$G$160&lt;&gt;"moeda")*(Inputs!$G$5:$G$160&lt;&gt;"acoes")))*INDEX(Inputs!$K$5:$AJ$160,0,MATCH(AD$2,Inputs!$K$4:$AJ$4,0)))+SUMPRODUCT((Inputs!$C$5:$C$160=$B33)*Inputs!$D$5:$D$160*(((Inputs!$G$5:$G$160="moeda")+(Inputs!$G$5:$G$160="acoes"))*Inputs!$B$1+((Inputs!$G$5:$G$160&lt;&gt;"moeda")*(Inputs!$G$5:$G$160&lt;&gt;"acoes")))*INDEX(Inputs!$K$5:$AJ$160,0,MATCH(AD$2,Inputs!$K$4:$AJ$4,0)))+SUMPRODUCT((Inputs!$E$5:$E$160=$B33)*Inputs!$F$5:$F$160*(((Inputs!$G$5:$G$160="moeda")+(Inputs!$G$5:$G$160="acoes"))*Inputs!$B$1+((Inputs!$G$5:$G$160&lt;&gt;"moeda")*(Inputs!$G$5:$G$160&lt;&gt;"acoes")))*INDEX(Inputs!$K$5:$AJ$160,0,MATCH(AD$2,Inputs!$K$4:$AJ$4,0)))))</f>
        <v>#N/A</v>
      </c>
      <c r="AE33" s="6" t="e">
        <f>IF(ISNA(MATCH(AE$2,Inputs!$K$4:$AJ$4,0)),NA(),IF(SUMPRODUCT((Inputs!$A$5:$A$160=$B33)*ISNUMBER(INDEX(Inputs!$K$5:$AJ$160,0,MATCH(AE$2,Inputs!$K$4:$AJ$4,0))))+SUMPRODUCT((Inputs!$C$5:$C$160=$B33)*ISNUMBER(INDEX(Inputs!$K$5:$AJ$160,0,MATCH(AE$2,Inputs!$K$4:$AJ$4,0))))+SUMPRODUCT((Inputs!$E$5:$E$160=$B33)*ISNUMBER(INDEX(Inputs!$K$5:$AJ$160,0,MATCH(AE$2,Inputs!$K$4:$AJ$4,0))))=0,NA(),SUMPRODUCT((Inputs!$A$5:$A$160=$B33)*Inputs!$B$5:$B$160*(((Inputs!$G$5:$G$160="moeda")+(Inputs!$G$5:$G$160="acoes"))*Inputs!$B$1+((Inputs!$G$5:$G$160&lt;&gt;"moeda")*(Inputs!$G$5:$G$160&lt;&gt;"acoes")))*INDEX(Inputs!$K$5:$AJ$160,0,MATCH(AE$2,Inputs!$K$4:$AJ$4,0)))+SUMPRODUCT((Inputs!$C$5:$C$160=$B33)*Inputs!$D$5:$D$160*(((Inputs!$G$5:$G$160="moeda")+(Inputs!$G$5:$G$160="acoes"))*Inputs!$B$1+((Inputs!$G$5:$G$160&lt;&gt;"moeda")*(Inputs!$G$5:$G$160&lt;&gt;"acoes")))*INDEX(Inputs!$K$5:$AJ$160,0,MATCH(AE$2,Inputs!$K$4:$AJ$4,0)))+SUMPRODUCT((Inputs!$E$5:$E$160=$B33)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3" s="6" t="e">
        <f>IF(ISNA(MATCH(AF$2,Inputs!$K$4:$AJ$4,0)),NA(),IF(SUMPRODUCT((Inputs!$A$5:$A$160=$B33)*ISNUMBER(INDEX(Inputs!$K$5:$AJ$160,0,MATCH(AF$2,Inputs!$K$4:$AJ$4,0))))+SUMPRODUCT((Inputs!$C$5:$C$160=$B33)*ISNUMBER(INDEX(Inputs!$K$5:$AJ$160,0,MATCH(AF$2,Inputs!$K$4:$AJ$4,0))))+SUMPRODUCT((Inputs!$E$5:$E$160=$B33)*ISNUMBER(INDEX(Inputs!$K$5:$AJ$160,0,MATCH(AF$2,Inputs!$K$4:$AJ$4,0))))=0,NA(),SUMPRODUCT((Inputs!$A$5:$A$160=$B33)*Inputs!$B$5:$B$160*(((Inputs!$G$5:$G$160="moeda")+(Inputs!$G$5:$G$160="acoes"))*Inputs!$B$1+((Inputs!$G$5:$G$160&lt;&gt;"moeda")*(Inputs!$G$5:$G$160&lt;&gt;"acoes")))*INDEX(Inputs!$K$5:$AJ$160,0,MATCH(AF$2,Inputs!$K$4:$AJ$4,0)))+SUMPRODUCT((Inputs!$C$5:$C$160=$B33)*Inputs!$D$5:$D$160*(((Inputs!$G$5:$G$160="moeda")+(Inputs!$G$5:$G$160="acoes"))*Inputs!$B$1+((Inputs!$G$5:$G$160&lt;&gt;"moeda")*(Inputs!$G$5:$G$160&lt;&gt;"acoes")))*INDEX(Inputs!$K$5:$AJ$160,0,MATCH(AF$2,Inputs!$K$4:$AJ$4,0)))+SUMPRODUCT((Inputs!$E$5:$E$160=$B33)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3" s="3" t="e">
        <f>AF33</f>
        <v>#N/A</v>
      </c>
      <c r="AH33" s="6" t="e">
        <f>IF(ISNA(MATCH(AH$2,Inputs!$K$4:$AJ$4,0)),NA(),IF(SUMPRODUCT((Inputs!$A$5:$A$160=$B33)*ISNUMBER(INDEX(Inputs!$K$5:$AJ$160,0,MATCH(AH$2,Inputs!$K$4:$AJ$4,0))))+SUMPRODUCT((Inputs!$C$5:$C$160=$B33)*ISNUMBER(INDEX(Inputs!$K$5:$AJ$160,0,MATCH(AH$2,Inputs!$K$4:$AJ$4,0))))+SUMPRODUCT((Inputs!$E$5:$E$160=$B33)*ISNUMBER(INDEX(Inputs!$K$5:$AJ$160,0,MATCH(AH$2,Inputs!$K$4:$AJ$4,0))))=0,NA(),SUMPRODUCT((Inputs!$A$5:$A$160=$B33)*Inputs!$B$5:$B$160*(((Inputs!$G$5:$G$160="moeda")+(Inputs!$G$5:$G$160="acoes"))*Inputs!$B$1+((Inputs!$G$5:$G$160&lt;&gt;"moeda")*(Inputs!$G$5:$G$160&lt;&gt;"acoes")))*INDEX(Inputs!$K$5:$AJ$160,0,MATCH(AH$2,Inputs!$K$4:$AJ$4,0)))+SUMPRODUCT((Inputs!$C$5:$C$160=$B33)*Inputs!$D$5:$D$160*(((Inputs!$G$5:$G$160="moeda")+(Inputs!$G$5:$G$160="acoes"))*Inputs!$B$1+((Inputs!$G$5:$G$160&lt;&gt;"moeda")*(Inputs!$G$5:$G$160&lt;&gt;"acoes")))*INDEX(Inputs!$K$5:$AJ$160,0,MATCH(AH$2,Inputs!$K$4:$AJ$4,0)))+SUMPRODUCT((Inputs!$E$5:$E$160=$B33)*Inputs!$F$5:$F$160*(((Inputs!$G$5:$G$160="moeda")+(Inputs!$G$5:$G$160="acoes"))*Inputs!$B$1+((Inputs!$G$5:$G$160&lt;&gt;"moeda")*(Inputs!$G$5:$G$160&lt;&gt;"acoes")))*INDEX(Inputs!$K$5:$AJ$160,0,MATCH(AH$2,Inputs!$K$4:$AJ$4,0)))))</f>
        <v>#N/A</v>
      </c>
      <c r="AI33" s="6" t="e">
        <f>IF(ISNA(MATCH(AI$2,Inputs!$K$4:$AJ$4,0)),NA(),IF(SUMPRODUCT((Inputs!$A$5:$A$160=$B33)*ISNUMBER(INDEX(Inputs!$K$5:$AJ$160,0,MATCH(AI$2,Inputs!$K$4:$AJ$4,0))))+SUMPRODUCT((Inputs!$C$5:$C$160=$B33)*ISNUMBER(INDEX(Inputs!$K$5:$AJ$160,0,MATCH(AI$2,Inputs!$K$4:$AJ$4,0))))+SUMPRODUCT((Inputs!$E$5:$E$160=$B33)*ISNUMBER(INDEX(Inputs!$K$5:$AJ$160,0,MATCH(AI$2,Inputs!$K$4:$AJ$4,0))))=0,NA(),SUMPRODUCT((Inputs!$A$5:$A$160=$B33)*Inputs!$B$5:$B$160*(((Inputs!$G$5:$G$160="moeda")+(Inputs!$G$5:$G$160="acoes"))*Inputs!$B$1+((Inputs!$G$5:$G$160&lt;&gt;"moeda")*(Inputs!$G$5:$G$160&lt;&gt;"acoes")))*INDEX(Inputs!$K$5:$AJ$160,0,MATCH(AI$2,Inputs!$K$4:$AJ$4,0)))+SUMPRODUCT((Inputs!$C$5:$C$160=$B33)*Inputs!$D$5:$D$160*(((Inputs!$G$5:$G$160="moeda")+(Inputs!$G$5:$G$160="acoes"))*Inputs!$B$1+((Inputs!$G$5:$G$160&lt;&gt;"moeda")*(Inputs!$G$5:$G$160&lt;&gt;"acoes")))*INDEX(Inputs!$K$5:$AJ$160,0,MATCH(AI$2,Inputs!$K$4:$AJ$4,0)))+SUMPRODUCT((Inputs!$E$5:$E$160=$B33)*Inputs!$F$5:$F$160*(((Inputs!$G$5:$G$160="moeda")+(Inputs!$G$5:$G$160="acoes"))*Inputs!$B$1+((Inputs!$G$5:$G$160&lt;&gt;"moeda")*(Inputs!$G$5:$G$160&lt;&gt;"acoes")))*INDEX(Inputs!$K$5:$AJ$160,0,MATCH(AI$2,Inputs!$K$4:$AJ$4,0)))))</f>
        <v>#N/A</v>
      </c>
      <c r="AJ33" s="6" t="e">
        <f>IF(ISNA(MATCH(AJ$2,Inputs!$K$4:$AJ$4,0)),NA(),IF(SUMPRODUCT((Inputs!$A$5:$A$160=$B33)*ISNUMBER(INDEX(Inputs!$K$5:$AJ$160,0,MATCH(AJ$2,Inputs!$K$4:$AJ$4,0))))+SUMPRODUCT((Inputs!$C$5:$C$160=$B33)*ISNUMBER(INDEX(Inputs!$K$5:$AJ$160,0,MATCH(AJ$2,Inputs!$K$4:$AJ$4,0))))+SUMPRODUCT((Inputs!$E$5:$E$160=$B33)*ISNUMBER(INDEX(Inputs!$K$5:$AJ$160,0,MATCH(AJ$2,Inputs!$K$4:$AJ$4,0))))=0,NA(),SUMPRODUCT((Inputs!$A$5:$A$160=$B33)*Inputs!$B$5:$B$160*(((Inputs!$G$5:$G$160="moeda")+(Inputs!$G$5:$G$160="acoes"))*Inputs!$B$1+((Inputs!$G$5:$G$160&lt;&gt;"moeda")*(Inputs!$G$5:$G$160&lt;&gt;"acoes")))*INDEX(Inputs!$K$5:$AJ$160,0,MATCH(AJ$2,Inputs!$K$4:$AJ$4,0)))+SUMPRODUCT((Inputs!$C$5:$C$160=$B33)*Inputs!$D$5:$D$160*(((Inputs!$G$5:$G$160="moeda")+(Inputs!$G$5:$G$160="acoes"))*Inputs!$B$1+((Inputs!$G$5:$G$160&lt;&gt;"moeda")*(Inputs!$G$5:$G$160&lt;&gt;"acoes")))*INDEX(Inputs!$K$5:$AJ$160,0,MATCH(AJ$2,Inputs!$K$4:$AJ$4,0)))+SUMPRODUCT((Inputs!$E$5:$E$160=$B33)*Inputs!$F$5:$F$160*(((Inputs!$G$5:$G$160="moeda")+(Inputs!$G$5:$G$160="acoes"))*Inputs!$B$1+((Inputs!$G$5:$G$160&lt;&gt;"moeda")*(Inputs!$G$5:$G$160&lt;&gt;"acoes")))*INDEX(Inputs!$K$5:$AJ$160,0,MATCH(AJ$2,Inputs!$K$4:$AJ$4,0)))))</f>
        <v>#N/A</v>
      </c>
      <c r="AK33" s="6" t="e">
        <f>IF(ISNA(MATCH(AK$2,Inputs!$K$4:$AJ$4,0)),NA(),IF(SUMPRODUCT((Inputs!$A$5:$A$160=$B33)*ISNUMBER(INDEX(Inputs!$K$5:$AJ$160,0,MATCH(AK$2,Inputs!$K$4:$AJ$4,0))))+SUMPRODUCT((Inputs!$C$5:$C$160=$B33)*ISNUMBER(INDEX(Inputs!$K$5:$AJ$160,0,MATCH(AK$2,Inputs!$K$4:$AJ$4,0))))+SUMPRODUCT((Inputs!$E$5:$E$160=$B33)*ISNUMBER(INDEX(Inputs!$K$5:$AJ$160,0,MATCH(AK$2,Inputs!$K$4:$AJ$4,0))))=0,NA(),SUMPRODUCT((Inputs!$A$5:$A$160=$B33)*Inputs!$B$5:$B$160*(((Inputs!$G$5:$G$160="moeda")+(Inputs!$G$5:$G$160="acoes"))*Inputs!$B$1+((Inputs!$G$5:$G$160&lt;&gt;"moeda")*(Inputs!$G$5:$G$160&lt;&gt;"acoes")))*INDEX(Inputs!$K$5:$AJ$160,0,MATCH(AK$2,Inputs!$K$4:$AJ$4,0)))+SUMPRODUCT((Inputs!$C$5:$C$160=$B33)*Inputs!$D$5:$D$160*(((Inputs!$G$5:$G$160="moeda")+(Inputs!$G$5:$G$160="acoes"))*Inputs!$B$1+((Inputs!$G$5:$G$160&lt;&gt;"moeda")*(Inputs!$G$5:$G$160&lt;&gt;"acoes")))*INDEX(Inputs!$K$5:$AJ$160,0,MATCH(AK$2,Inputs!$K$4:$AJ$4,0)))+SUMPRODUCT((Inputs!$E$5:$E$160=$B33)*Inputs!$F$5:$F$160*(((Inputs!$G$5:$G$160="moeda")+(Inputs!$G$5:$G$160="acoes"))*Inputs!$B$1+((Inputs!$G$5:$G$160&lt;&gt;"moeda")*(Inputs!$G$5:$G$160&lt;&gt;"acoes")))*INDEX(Inputs!$K$5:$AJ$160,0,MATCH(AK$2,Inputs!$K$4:$AJ$4,0)))))</f>
        <v>#N/A</v>
      </c>
      <c r="AL33" s="3" t="e">
        <f>AK33</f>
        <v>#N/A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$160=$B34)*ISNUMBER(INDEX(Inputs!$K$5:$AJ$160,0,MATCH(D$2,Inputs!$K$4:$AJ$4,0))))+SUMPRODUCT((Inputs!$C$5:$C$160=$B34)*ISNUMBER(INDEX(Inputs!$K$5:$AJ$160,0,MATCH(D$2,Inputs!$K$4:$AJ$4,0))))+SUMPRODUCT((Inputs!$E$5:$E$160=$B34)*ISNUMBER(INDEX(Inputs!$K$5:$AJ$160,0,MATCH(D$2,Inputs!$K$4:$AJ$4,0))))=0,NA(),SUMPRODUCT((Inputs!$A$5:$A$160=$B34)*Inputs!$B$5:$B$160*(((Inputs!$G$5:$G$160="moeda")+(Inputs!$G$5:$G$160="acoes"))*Inputs!$B$1+((Inputs!$G$5:$G$160&lt;&gt;"moeda")*(Inputs!$G$5:$G$160&lt;&gt;"acoes")))*INDEX(Inputs!$K$5:$AJ$160,0,MATCH(D$2,Inputs!$K$4:$AJ$4,0)))+SUMPRODUCT((Inputs!$C$5:$C$160=$B34)*Inputs!$D$5:$D$160*(((Inputs!$G$5:$G$160="moeda")+(Inputs!$G$5:$G$160="acoes"))*Inputs!$B$1+((Inputs!$G$5:$G$160&lt;&gt;"moeda")*(Inputs!$G$5:$G$160&lt;&gt;"acoes")))*INDEX(Inputs!$K$5:$AJ$160,0,MATCH(D$2,Inputs!$K$4:$AJ$4,0)))+SUMPRODUCT((Inputs!$E$5:$E$160=$B34)*Inputs!$F$5:$F$160*(((Inputs!$G$5:$G$160="moeda")+(Inputs!$G$5:$G$160="acoes"))*Inputs!$B$1+((Inputs!$G$5:$G$160&lt;&gt;"moeda")*(Inputs!$G$5:$G$160&lt;&gt;"acoes")))*INDEX(Inputs!$K$5:$AJ$160,0,MATCH(D$2,Inputs!$K$4:$AJ$4,0)))))</f>
        <v>106.47604073</v>
      </c>
      <c r="E34" s="6">
        <f>IF(ISNA(MATCH(E$2,Inputs!$K$4:$AJ$4,0)),NA(),IF(SUMPRODUCT((Inputs!$A$5:$A$160=$B34)*ISNUMBER(INDEX(Inputs!$K$5:$AJ$160,0,MATCH(E$2,Inputs!$K$4:$AJ$4,0))))+SUMPRODUCT((Inputs!$C$5:$C$160=$B34)*ISNUMBER(INDEX(Inputs!$K$5:$AJ$160,0,MATCH(E$2,Inputs!$K$4:$AJ$4,0))))+SUMPRODUCT((Inputs!$E$5:$E$160=$B34)*ISNUMBER(INDEX(Inputs!$K$5:$AJ$160,0,MATCH(E$2,Inputs!$K$4:$AJ$4,0))))=0,NA(),SUMPRODUCT((Inputs!$A$5:$A$160=$B34)*Inputs!$B$5:$B$160*(((Inputs!$G$5:$G$160="moeda")+(Inputs!$G$5:$G$160="acoes"))*Inputs!$B$1+((Inputs!$G$5:$G$160&lt;&gt;"moeda")*(Inputs!$G$5:$G$160&lt;&gt;"acoes")))*INDEX(Inputs!$K$5:$AJ$160,0,MATCH(E$2,Inputs!$K$4:$AJ$4,0)))+SUMPRODUCT((Inputs!$C$5:$C$160=$B34)*Inputs!$D$5:$D$160*(((Inputs!$G$5:$G$160="moeda")+(Inputs!$G$5:$G$160="acoes"))*Inputs!$B$1+((Inputs!$G$5:$G$160&lt;&gt;"moeda")*(Inputs!$G$5:$G$160&lt;&gt;"acoes")))*INDEX(Inputs!$K$5:$AJ$160,0,MATCH(E$2,Inputs!$K$4:$AJ$4,0)))+SUMPRODUCT((Inputs!$E$5:$E$160=$B34)*Inputs!$F$5:$F$160*(((Inputs!$G$5:$G$160="moeda")+(Inputs!$G$5:$G$160="acoes"))*Inputs!$B$1+((Inputs!$G$5:$G$160&lt;&gt;"moeda")*(Inputs!$G$5:$G$160&lt;&gt;"acoes")))*INDEX(Inputs!$K$5:$AJ$160,0,MATCH(E$2,Inputs!$K$4:$AJ$4,0)))))</f>
        <v>107.53912171</v>
      </c>
      <c r="F34" s="6">
        <f>IF(ISNA(MATCH(F$2,Inputs!$K$4:$AJ$4,0)),NA(),IF(SUMPRODUCT((Inputs!$A$5:$A$160=$B34)*ISNUMBER(INDEX(Inputs!$K$5:$AJ$160,0,MATCH(F$2,Inputs!$K$4:$AJ$4,0))))+SUMPRODUCT((Inputs!$C$5:$C$160=$B34)*ISNUMBER(INDEX(Inputs!$K$5:$AJ$160,0,MATCH(F$2,Inputs!$K$4:$AJ$4,0))))+SUMPRODUCT((Inputs!$E$5:$E$160=$B34)*ISNUMBER(INDEX(Inputs!$K$5:$AJ$160,0,MATCH(F$2,Inputs!$K$4:$AJ$4,0))))=0,NA(),SUMPRODUCT((Inputs!$A$5:$A$160=$B34)*Inputs!$B$5:$B$160*(((Inputs!$G$5:$G$160="moeda")+(Inputs!$G$5:$G$160="acoes"))*Inputs!$B$1+((Inputs!$G$5:$G$160&lt;&gt;"moeda")*(Inputs!$G$5:$G$160&lt;&gt;"acoes")))*INDEX(Inputs!$K$5:$AJ$160,0,MATCH(F$2,Inputs!$K$4:$AJ$4,0)))+SUMPRODUCT((Inputs!$C$5:$C$160=$B34)*Inputs!$D$5:$D$160*(((Inputs!$G$5:$G$160="moeda")+(Inputs!$G$5:$G$160="acoes"))*Inputs!$B$1+((Inputs!$G$5:$G$160&lt;&gt;"moeda")*(Inputs!$G$5:$G$160&lt;&gt;"acoes")))*INDEX(Inputs!$K$5:$AJ$160,0,MATCH(F$2,Inputs!$K$4:$AJ$4,0)))+SUMPRODUCT((Inputs!$E$5:$E$160=$B34)*Inputs!$F$5:$F$160*(((Inputs!$G$5:$G$160="moeda")+(Inputs!$G$5:$G$160="acoes"))*Inputs!$B$1+((Inputs!$G$5:$G$160&lt;&gt;"moeda")*(Inputs!$G$5:$G$160&lt;&gt;"acoes")))*INDEX(Inputs!$K$5:$AJ$160,0,MATCH(F$2,Inputs!$K$4:$AJ$4,0)))))</f>
        <v>102.09020266</v>
      </c>
      <c r="G34" s="6">
        <f>IF(ISNA(MATCH(G$2,Inputs!$K$4:$AJ$4,0)),NA(),IF(SUMPRODUCT((Inputs!$A$5:$A$160=$B34)*ISNUMBER(INDEX(Inputs!$K$5:$AJ$160,0,MATCH(G$2,Inputs!$K$4:$AJ$4,0))))+SUMPRODUCT((Inputs!$C$5:$C$160=$B34)*ISNUMBER(INDEX(Inputs!$K$5:$AJ$160,0,MATCH(G$2,Inputs!$K$4:$AJ$4,0))))+SUMPRODUCT((Inputs!$E$5:$E$160=$B34)*ISNUMBER(INDEX(Inputs!$K$5:$AJ$160,0,MATCH(G$2,Inputs!$K$4:$AJ$4,0))))=0,NA(),SUMPRODUCT((Inputs!$A$5:$A$160=$B34)*Inputs!$B$5:$B$160*(((Inputs!$G$5:$G$160="moeda")+(Inputs!$G$5:$G$160="acoes"))*Inputs!$B$1+((Inputs!$G$5:$G$160&lt;&gt;"moeda")*(Inputs!$G$5:$G$160&lt;&gt;"acoes")))*INDEX(Inputs!$K$5:$AJ$160,0,MATCH(G$2,Inputs!$K$4:$AJ$4,0)))+SUMPRODUCT((Inputs!$C$5:$C$160=$B34)*Inputs!$D$5:$D$160*(((Inputs!$G$5:$G$160="moeda")+(Inputs!$G$5:$G$160="acoes"))*Inputs!$B$1+((Inputs!$G$5:$G$160&lt;&gt;"moeda")*(Inputs!$G$5:$G$160&lt;&gt;"acoes")))*INDEX(Inputs!$K$5:$AJ$160,0,MATCH(G$2,Inputs!$K$4:$AJ$4,0)))+SUMPRODUCT((Inputs!$E$5:$E$160=$B34)*Inputs!$F$5:$F$160*(((Inputs!$G$5:$G$160="moeda")+(Inputs!$G$5:$G$160="acoes"))*Inputs!$B$1+((Inputs!$G$5:$G$160&lt;&gt;"moeda")*(Inputs!$G$5:$G$160&lt;&gt;"acoes")))*INDEX(Inputs!$K$5:$AJ$160,0,MATCH(G$2,Inputs!$K$4:$AJ$4,0)))))</f>
        <v>129.64438544</v>
      </c>
      <c r="H34" s="3">
        <f>G34</f>
        <v>129.64438544</v>
      </c>
      <c r="I34" s="6">
        <f>IF(ISNA(MATCH(I$2,Inputs!$K$4:$AJ$4,0)),NA(),IF(SUMPRODUCT((Inputs!$A$5:$A$160=$B34)*ISNUMBER(INDEX(Inputs!$K$5:$AJ$160,0,MATCH(I$2,Inputs!$K$4:$AJ$4,0))))+SUMPRODUCT((Inputs!$C$5:$C$160=$B34)*ISNUMBER(INDEX(Inputs!$K$5:$AJ$160,0,MATCH(I$2,Inputs!$K$4:$AJ$4,0))))+SUMPRODUCT((Inputs!$E$5:$E$160=$B34)*ISNUMBER(INDEX(Inputs!$K$5:$AJ$160,0,MATCH(I$2,Inputs!$K$4:$AJ$4,0))))=0,NA(),SUMPRODUCT((Inputs!$A$5:$A$160=$B34)*Inputs!$B$5:$B$160*(((Inputs!$G$5:$G$160="moeda")+(Inputs!$G$5:$G$160="acoes"))*Inputs!$B$1+((Inputs!$G$5:$G$160&lt;&gt;"moeda")*(Inputs!$G$5:$G$160&lt;&gt;"acoes")))*INDEX(Inputs!$K$5:$AJ$160,0,MATCH(I$2,Inputs!$K$4:$AJ$4,0)))+SUMPRODUCT((Inputs!$C$5:$C$160=$B34)*Inputs!$D$5:$D$160*(((Inputs!$G$5:$G$160="moeda")+(Inputs!$G$5:$G$160="acoes"))*Inputs!$B$1+((Inputs!$G$5:$G$160&lt;&gt;"moeda")*(Inputs!$G$5:$G$160&lt;&gt;"acoes")))*INDEX(Inputs!$K$5:$AJ$160,0,MATCH(I$2,Inputs!$K$4:$AJ$4,0)))+SUMPRODUCT((Inputs!$E$5:$E$160=$B34)*Inputs!$F$5:$F$160*(((Inputs!$G$5:$G$160="moeda")+(Inputs!$G$5:$G$160="acoes"))*Inputs!$B$1+((Inputs!$G$5:$G$160&lt;&gt;"moeda")*(Inputs!$G$5:$G$160&lt;&gt;"acoes")))*INDEX(Inputs!$K$5:$AJ$160,0,MATCH(I$2,Inputs!$K$4:$AJ$4,0)))))</f>
        <v>140.28839753</v>
      </c>
      <c r="J34" s="6">
        <f>IF(ISNA(MATCH(J$2,Inputs!$K$4:$AJ$4,0)),NA(),IF(SUMPRODUCT((Inputs!$A$5:$A$160=$B34)*ISNUMBER(INDEX(Inputs!$K$5:$AJ$160,0,MATCH(J$2,Inputs!$K$4:$AJ$4,0))))+SUMPRODUCT((Inputs!$C$5:$C$160=$B34)*ISNUMBER(INDEX(Inputs!$K$5:$AJ$160,0,MATCH(J$2,Inputs!$K$4:$AJ$4,0))))+SUMPRODUCT((Inputs!$E$5:$E$160=$B34)*ISNUMBER(INDEX(Inputs!$K$5:$AJ$160,0,MATCH(J$2,Inputs!$K$4:$AJ$4,0))))=0,NA(),SUMPRODUCT((Inputs!$A$5:$A$160=$B34)*Inputs!$B$5:$B$160*(((Inputs!$G$5:$G$160="moeda")+(Inputs!$G$5:$G$160="acoes"))*Inputs!$B$1+((Inputs!$G$5:$G$160&lt;&gt;"moeda")*(Inputs!$G$5:$G$160&lt;&gt;"acoes")))*INDEX(Inputs!$K$5:$AJ$160,0,MATCH(J$2,Inputs!$K$4:$AJ$4,0)))+SUMPRODUCT((Inputs!$C$5:$C$160=$B34)*Inputs!$D$5:$D$160*(((Inputs!$G$5:$G$160="moeda")+(Inputs!$G$5:$G$160="acoes"))*Inputs!$B$1+((Inputs!$G$5:$G$160&lt;&gt;"moeda")*(Inputs!$G$5:$G$160&lt;&gt;"acoes")))*INDEX(Inputs!$K$5:$AJ$160,0,MATCH(J$2,Inputs!$K$4:$AJ$4,0)))+SUMPRODUCT((Inputs!$E$5:$E$160=$B34)*Inputs!$F$5:$F$160*(((Inputs!$G$5:$G$160="moeda")+(Inputs!$G$5:$G$160="acoes"))*Inputs!$B$1+((Inputs!$G$5:$G$160&lt;&gt;"moeda")*(Inputs!$G$5:$G$160&lt;&gt;"acoes")))*INDEX(Inputs!$K$5:$AJ$160,0,MATCH(J$2,Inputs!$K$4:$AJ$4,0)))))</f>
        <v>150.37974573</v>
      </c>
      <c r="K34" s="6">
        <f>IF(ISNA(MATCH(K$2,Inputs!$K$4:$AJ$4,0)),NA(),IF(SUMPRODUCT((Inputs!$A$5:$A$160=$B34)*ISNUMBER(INDEX(Inputs!$K$5:$AJ$160,0,MATCH(K$2,Inputs!$K$4:$AJ$4,0))))+SUMPRODUCT((Inputs!$C$5:$C$160=$B34)*ISNUMBER(INDEX(Inputs!$K$5:$AJ$160,0,MATCH(K$2,Inputs!$K$4:$AJ$4,0))))+SUMPRODUCT((Inputs!$E$5:$E$160=$B34)*ISNUMBER(INDEX(Inputs!$K$5:$AJ$160,0,MATCH(K$2,Inputs!$K$4:$AJ$4,0))))=0,NA(),SUMPRODUCT((Inputs!$A$5:$A$160=$B34)*Inputs!$B$5:$B$160*(((Inputs!$G$5:$G$160="moeda")+(Inputs!$G$5:$G$160="acoes"))*Inputs!$B$1+((Inputs!$G$5:$G$160&lt;&gt;"moeda")*(Inputs!$G$5:$G$160&lt;&gt;"acoes")))*INDEX(Inputs!$K$5:$AJ$160,0,MATCH(K$2,Inputs!$K$4:$AJ$4,0)))+SUMPRODUCT((Inputs!$C$5:$C$160=$B34)*Inputs!$D$5:$D$160*(((Inputs!$G$5:$G$160="moeda")+(Inputs!$G$5:$G$160="acoes"))*Inputs!$B$1+((Inputs!$G$5:$G$160&lt;&gt;"moeda")*(Inputs!$G$5:$G$160&lt;&gt;"acoes")))*INDEX(Inputs!$K$5:$AJ$160,0,MATCH(K$2,Inputs!$K$4:$AJ$4,0)))+SUMPRODUCT((Inputs!$E$5:$E$160=$B34)*Inputs!$F$5:$F$160*(((Inputs!$G$5:$G$160="moeda")+(Inputs!$G$5:$G$160="acoes"))*Inputs!$B$1+((Inputs!$G$5:$G$160&lt;&gt;"moeda")*(Inputs!$G$5:$G$160&lt;&gt;"acoes")))*INDEX(Inputs!$K$5:$AJ$160,0,MATCH(K$2,Inputs!$K$4:$AJ$4,0)))))</f>
        <v>156.82602384</v>
      </c>
      <c r="L34" s="6">
        <f>IF(ISNA(MATCH(L$2,Inputs!$K$4:$AJ$4,0)),NA(),IF(SUMPRODUCT((Inputs!$A$5:$A$160=$B34)*ISNUMBER(INDEX(Inputs!$K$5:$AJ$160,0,MATCH(L$2,Inputs!$K$4:$AJ$4,0))))+SUMPRODUCT((Inputs!$C$5:$C$160=$B34)*ISNUMBER(INDEX(Inputs!$K$5:$AJ$160,0,MATCH(L$2,Inputs!$K$4:$AJ$4,0))))+SUMPRODUCT((Inputs!$E$5:$E$160=$B34)*ISNUMBER(INDEX(Inputs!$K$5:$AJ$160,0,MATCH(L$2,Inputs!$K$4:$AJ$4,0))))=0,NA(),SUMPRODUCT((Inputs!$A$5:$A$160=$B34)*Inputs!$B$5:$B$160*(((Inputs!$G$5:$G$160="moeda")+(Inputs!$G$5:$G$160="acoes"))*Inputs!$B$1+((Inputs!$G$5:$G$160&lt;&gt;"moeda")*(Inputs!$G$5:$G$160&lt;&gt;"acoes")))*INDEX(Inputs!$K$5:$AJ$160,0,MATCH(L$2,Inputs!$K$4:$AJ$4,0)))+SUMPRODUCT((Inputs!$C$5:$C$160=$B34)*Inputs!$D$5:$D$160*(((Inputs!$G$5:$G$160="moeda")+(Inputs!$G$5:$G$160="acoes"))*Inputs!$B$1+((Inputs!$G$5:$G$160&lt;&gt;"moeda")*(Inputs!$G$5:$G$160&lt;&gt;"acoes")))*INDEX(Inputs!$K$5:$AJ$160,0,MATCH(L$2,Inputs!$K$4:$AJ$4,0)))+SUMPRODUCT((Inputs!$E$5:$E$160=$B34)*Inputs!$F$5:$F$160*(((Inputs!$G$5:$G$160="moeda")+(Inputs!$G$5:$G$160="acoes"))*Inputs!$B$1+((Inputs!$G$5:$G$160&lt;&gt;"moeda")*(Inputs!$G$5:$G$160&lt;&gt;"acoes")))*INDEX(Inputs!$K$5:$AJ$160,0,MATCH(L$2,Inputs!$K$4:$AJ$4,0)))))</f>
        <v>174.90125352</v>
      </c>
      <c r="M34" s="3">
        <f>L34</f>
        <v>174.90125352</v>
      </c>
      <c r="N34" s="6">
        <f>IF(ISNA(MATCH(N$2,Inputs!$K$4:$AJ$4,0)),NA(),IF(SUMPRODUCT((Inputs!$A$5:$A$160=$B34)*ISNUMBER(INDEX(Inputs!$K$5:$AJ$160,0,MATCH(N$2,Inputs!$K$4:$AJ$4,0))))+SUMPRODUCT((Inputs!$C$5:$C$160=$B34)*ISNUMBER(INDEX(Inputs!$K$5:$AJ$160,0,MATCH(N$2,Inputs!$K$4:$AJ$4,0))))+SUMPRODUCT((Inputs!$E$5:$E$160=$B34)*ISNUMBER(INDEX(Inputs!$K$5:$AJ$160,0,MATCH(N$2,Inputs!$K$4:$AJ$4,0))))=0,NA(),SUMPRODUCT((Inputs!$A$5:$A$160=$B34)*Inputs!$B$5:$B$160*(((Inputs!$G$5:$G$160="moeda")+(Inputs!$G$5:$G$160="acoes"))*Inputs!$B$1+((Inputs!$G$5:$G$160&lt;&gt;"moeda")*(Inputs!$G$5:$G$160&lt;&gt;"acoes")))*INDEX(Inputs!$K$5:$AJ$160,0,MATCH(N$2,Inputs!$K$4:$AJ$4,0)))+SUMPRODUCT((Inputs!$C$5:$C$160=$B34)*Inputs!$D$5:$D$160*(((Inputs!$G$5:$G$160="moeda")+(Inputs!$G$5:$G$160="acoes"))*Inputs!$B$1+((Inputs!$G$5:$G$160&lt;&gt;"moeda")*(Inputs!$G$5:$G$160&lt;&gt;"acoes")))*INDEX(Inputs!$K$5:$AJ$160,0,MATCH(N$2,Inputs!$K$4:$AJ$4,0)))+SUMPRODUCT((Inputs!$E$5:$E$160=$B34)*Inputs!$F$5:$F$160*(((Inputs!$G$5:$G$160="moeda")+(Inputs!$G$5:$G$160="acoes"))*Inputs!$B$1+((Inputs!$G$5:$G$160&lt;&gt;"moeda")*(Inputs!$G$5:$G$160&lt;&gt;"acoes")))*INDEX(Inputs!$K$5:$AJ$160,0,MATCH(N$2,Inputs!$K$4:$AJ$4,0)))))</f>
        <v>192.467104</v>
      </c>
      <c r="O34" s="6">
        <f>IF(ISNA(MATCH(O$2,Inputs!$K$4:$AJ$4,0)),NA(),IF(SUMPRODUCT((Inputs!$A$5:$A$160=$B34)*ISNUMBER(INDEX(Inputs!$K$5:$AJ$160,0,MATCH(O$2,Inputs!$K$4:$AJ$4,0))))+SUMPRODUCT((Inputs!$C$5:$C$160=$B34)*ISNUMBER(INDEX(Inputs!$K$5:$AJ$160,0,MATCH(O$2,Inputs!$K$4:$AJ$4,0))))+SUMPRODUCT((Inputs!$E$5:$E$160=$B34)*ISNUMBER(INDEX(Inputs!$K$5:$AJ$160,0,MATCH(O$2,Inputs!$K$4:$AJ$4,0))))=0,NA(),SUMPRODUCT((Inputs!$A$5:$A$160=$B34)*Inputs!$B$5:$B$160*(((Inputs!$G$5:$G$160="moeda")+(Inputs!$G$5:$G$160="acoes"))*Inputs!$B$1+((Inputs!$G$5:$G$160&lt;&gt;"moeda")*(Inputs!$G$5:$G$160&lt;&gt;"acoes")))*INDEX(Inputs!$K$5:$AJ$160,0,MATCH(O$2,Inputs!$K$4:$AJ$4,0)))+SUMPRODUCT((Inputs!$C$5:$C$160=$B34)*Inputs!$D$5:$D$160*(((Inputs!$G$5:$G$160="moeda")+(Inputs!$G$5:$G$160="acoes"))*Inputs!$B$1+((Inputs!$G$5:$G$160&lt;&gt;"moeda")*(Inputs!$G$5:$G$160&lt;&gt;"acoes")))*INDEX(Inputs!$K$5:$AJ$160,0,MATCH(O$2,Inputs!$K$4:$AJ$4,0)))+SUMPRODUCT((Inputs!$E$5:$E$160=$B34)*Inputs!$F$5:$F$160*(((Inputs!$G$5:$G$160="moeda")+(Inputs!$G$5:$G$160="acoes"))*Inputs!$B$1+((Inputs!$G$5:$G$160&lt;&gt;"moeda")*(Inputs!$G$5:$G$160&lt;&gt;"acoes")))*INDEX(Inputs!$K$5:$AJ$160,0,MATCH(O$2,Inputs!$K$4:$AJ$4,0)))))</f>
        <v>269.893</v>
      </c>
      <c r="P34" s="6">
        <f>IF(ISNA(MATCH(P$2,Inputs!$K$4:$AJ$4,0)),NA(),IF(SUMPRODUCT((Inputs!$A$5:$A$160=$B34)*ISNUMBER(INDEX(Inputs!$K$5:$AJ$160,0,MATCH(P$2,Inputs!$K$4:$AJ$4,0))))+SUMPRODUCT((Inputs!$C$5:$C$160=$B34)*ISNUMBER(INDEX(Inputs!$K$5:$AJ$160,0,MATCH(P$2,Inputs!$K$4:$AJ$4,0))))+SUMPRODUCT((Inputs!$E$5:$E$160=$B34)*ISNUMBER(INDEX(Inputs!$K$5:$AJ$160,0,MATCH(P$2,Inputs!$K$4:$AJ$4,0))))=0,NA(),SUMPRODUCT((Inputs!$A$5:$A$160=$B34)*Inputs!$B$5:$B$160*(((Inputs!$G$5:$G$160="moeda")+(Inputs!$G$5:$G$160="acoes"))*Inputs!$B$1+((Inputs!$G$5:$G$160&lt;&gt;"moeda")*(Inputs!$G$5:$G$160&lt;&gt;"acoes")))*INDEX(Inputs!$K$5:$AJ$160,0,MATCH(P$2,Inputs!$K$4:$AJ$4,0)))+SUMPRODUCT((Inputs!$C$5:$C$160=$B34)*Inputs!$D$5:$D$160*(((Inputs!$G$5:$G$160="moeda")+(Inputs!$G$5:$G$160="acoes"))*Inputs!$B$1+((Inputs!$G$5:$G$160&lt;&gt;"moeda")*(Inputs!$G$5:$G$160&lt;&gt;"acoes")))*INDEX(Inputs!$K$5:$AJ$160,0,MATCH(P$2,Inputs!$K$4:$AJ$4,0)))+SUMPRODUCT((Inputs!$E$5:$E$160=$B34)*Inputs!$F$5:$F$160*(((Inputs!$G$5:$G$160="moeda")+(Inputs!$G$5:$G$160="acoes"))*Inputs!$B$1+((Inputs!$G$5:$G$160&lt;&gt;"moeda")*(Inputs!$G$5:$G$160&lt;&gt;"acoes")))*INDEX(Inputs!$K$5:$AJ$160,0,MATCH(P$2,Inputs!$K$4:$AJ$4,0)))))</f>
        <v>263.101</v>
      </c>
      <c r="Q34" s="6">
        <f>IF(ISNA(MATCH(Q$2,Inputs!$K$4:$AJ$4,0)),NA(),IF(SUMPRODUCT((Inputs!$A$5:$A$160=$B34)*ISNUMBER(INDEX(Inputs!$K$5:$AJ$160,0,MATCH(Q$2,Inputs!$K$4:$AJ$4,0))))+SUMPRODUCT((Inputs!$C$5:$C$160=$B34)*ISNUMBER(INDEX(Inputs!$K$5:$AJ$160,0,MATCH(Q$2,Inputs!$K$4:$AJ$4,0))))+SUMPRODUCT((Inputs!$E$5:$E$160=$B34)*ISNUMBER(INDEX(Inputs!$K$5:$AJ$160,0,MATCH(Q$2,Inputs!$K$4:$AJ$4,0))))=0,NA(),SUMPRODUCT((Inputs!$A$5:$A$160=$B34)*Inputs!$B$5:$B$160*(((Inputs!$G$5:$G$160="moeda")+(Inputs!$G$5:$G$160="acoes"))*Inputs!$B$1+((Inputs!$G$5:$G$160&lt;&gt;"moeda")*(Inputs!$G$5:$G$160&lt;&gt;"acoes")))*INDEX(Inputs!$K$5:$AJ$160,0,MATCH(Q$2,Inputs!$K$4:$AJ$4,0)))+SUMPRODUCT((Inputs!$C$5:$C$160=$B34)*Inputs!$D$5:$D$160*(((Inputs!$G$5:$G$160="moeda")+(Inputs!$G$5:$G$160="acoes"))*Inputs!$B$1+((Inputs!$G$5:$G$160&lt;&gt;"moeda")*(Inputs!$G$5:$G$160&lt;&gt;"acoes")))*INDEX(Inputs!$K$5:$AJ$160,0,MATCH(Q$2,Inputs!$K$4:$AJ$4,0)))+SUMPRODUCT((Inputs!$E$5:$E$160=$B34)*Inputs!$F$5:$F$160*(((Inputs!$G$5:$G$160="moeda")+(Inputs!$G$5:$G$160="acoes"))*Inputs!$B$1+((Inputs!$G$5:$G$160&lt;&gt;"moeda")*(Inputs!$G$5:$G$160&lt;&gt;"acoes")))*INDEX(Inputs!$K$5:$AJ$160,0,MATCH(Q$2,Inputs!$K$4:$AJ$4,0)))))</f>
        <v>272.067</v>
      </c>
      <c r="R34" s="3">
        <f>Q34</f>
        <v>272.067</v>
      </c>
      <c r="S34" s="6">
        <f>IF(ISNA(MATCH(S$2,Inputs!$K$4:$AJ$4,0)),NA(),IF(SUMPRODUCT((Inputs!$A$5:$A$160=$B34)*ISNUMBER(INDEX(Inputs!$K$5:$AJ$160,0,MATCH(S$2,Inputs!$K$4:$AJ$4,0))))+SUMPRODUCT((Inputs!$C$5:$C$160=$B34)*ISNUMBER(INDEX(Inputs!$K$5:$AJ$160,0,MATCH(S$2,Inputs!$K$4:$AJ$4,0))))+SUMPRODUCT((Inputs!$E$5:$E$160=$B34)*ISNUMBER(INDEX(Inputs!$K$5:$AJ$160,0,MATCH(S$2,Inputs!$K$4:$AJ$4,0))))=0,NA(),SUMPRODUCT((Inputs!$A$5:$A$160=$B34)*Inputs!$B$5:$B$160*(((Inputs!$G$5:$G$160="moeda")+(Inputs!$G$5:$G$160="acoes"))*Inputs!$B$1+((Inputs!$G$5:$G$160&lt;&gt;"moeda")*(Inputs!$G$5:$G$160&lt;&gt;"acoes")))*INDEX(Inputs!$K$5:$AJ$160,0,MATCH(S$2,Inputs!$K$4:$AJ$4,0)))+SUMPRODUCT((Inputs!$C$5:$C$160=$B34)*Inputs!$D$5:$D$160*(((Inputs!$G$5:$G$160="moeda")+(Inputs!$G$5:$G$160="acoes"))*Inputs!$B$1+((Inputs!$G$5:$G$160&lt;&gt;"moeda")*(Inputs!$G$5:$G$160&lt;&gt;"acoes")))*INDEX(Inputs!$K$5:$AJ$160,0,MATCH(S$2,Inputs!$K$4:$AJ$4,0)))+SUMPRODUCT((Inputs!$E$5:$E$160=$B34)*Inputs!$F$5:$F$160*(((Inputs!$G$5:$G$160="moeda")+(Inputs!$G$5:$G$160="acoes"))*Inputs!$B$1+((Inputs!$G$5:$G$160&lt;&gt;"moeda")*(Inputs!$G$5:$G$160&lt;&gt;"acoes")))*INDEX(Inputs!$K$5:$AJ$160,0,MATCH(S$2,Inputs!$K$4:$AJ$4,0)))))</f>
        <v>277.296</v>
      </c>
      <c r="T34" s="6">
        <f>IF(ISNA(MATCH(T$2,Inputs!$K$4:$AJ$4,0)),NA(),IF(SUMPRODUCT((Inputs!$A$5:$A$160=$B34)*ISNUMBER(INDEX(Inputs!$K$5:$AJ$160,0,MATCH(T$2,Inputs!$K$4:$AJ$4,0))))+SUMPRODUCT((Inputs!$C$5:$C$160=$B34)*ISNUMBER(INDEX(Inputs!$K$5:$AJ$160,0,MATCH(T$2,Inputs!$K$4:$AJ$4,0))))+SUMPRODUCT((Inputs!$E$5:$E$160=$B34)*ISNUMBER(INDEX(Inputs!$K$5:$AJ$160,0,MATCH(T$2,Inputs!$K$4:$AJ$4,0))))=0,NA(),SUMPRODUCT((Inputs!$A$5:$A$160=$B34)*Inputs!$B$5:$B$160*(((Inputs!$G$5:$G$160="moeda")+(Inputs!$G$5:$G$160="acoes"))*Inputs!$B$1+((Inputs!$G$5:$G$160&lt;&gt;"moeda")*(Inputs!$G$5:$G$160&lt;&gt;"acoes")))*INDEX(Inputs!$K$5:$AJ$160,0,MATCH(T$2,Inputs!$K$4:$AJ$4,0)))+SUMPRODUCT((Inputs!$C$5:$C$160=$B34)*Inputs!$D$5:$D$160*(((Inputs!$G$5:$G$160="moeda")+(Inputs!$G$5:$G$160="acoes"))*Inputs!$B$1+((Inputs!$G$5:$G$160&lt;&gt;"moeda")*(Inputs!$G$5:$G$160&lt;&gt;"acoes")))*INDEX(Inputs!$K$5:$AJ$160,0,MATCH(T$2,Inputs!$K$4:$AJ$4,0)))+SUMPRODUCT((Inputs!$E$5:$E$160=$B34)*Inputs!$F$5:$F$160*(((Inputs!$G$5:$G$160="moeda")+(Inputs!$G$5:$G$160="acoes"))*Inputs!$B$1+((Inputs!$G$5:$G$160&lt;&gt;"moeda")*(Inputs!$G$5:$G$160&lt;&gt;"acoes")))*INDEX(Inputs!$K$5:$AJ$160,0,MATCH(T$2,Inputs!$K$4:$AJ$4,0)))))</f>
        <v>280.827</v>
      </c>
      <c r="U34" s="6">
        <f>IF(ISNA(MATCH(U$2,Inputs!$K$4:$AJ$4,0)),NA(),IF(SUMPRODUCT((Inputs!$A$5:$A$160=$B34)*ISNUMBER(INDEX(Inputs!$K$5:$AJ$160,0,MATCH(U$2,Inputs!$K$4:$AJ$4,0))))+SUMPRODUCT((Inputs!$C$5:$C$160=$B34)*ISNUMBER(INDEX(Inputs!$K$5:$AJ$160,0,MATCH(U$2,Inputs!$K$4:$AJ$4,0))))+SUMPRODUCT((Inputs!$E$5:$E$160=$B34)*ISNUMBER(INDEX(Inputs!$K$5:$AJ$160,0,MATCH(U$2,Inputs!$K$4:$AJ$4,0))))=0,NA(),SUMPRODUCT((Inputs!$A$5:$A$160=$B34)*Inputs!$B$5:$B$160*(((Inputs!$G$5:$G$160="moeda")+(Inputs!$G$5:$G$160="acoes"))*Inputs!$B$1+((Inputs!$G$5:$G$160&lt;&gt;"moeda")*(Inputs!$G$5:$G$160&lt;&gt;"acoes")))*INDEX(Inputs!$K$5:$AJ$160,0,MATCH(U$2,Inputs!$K$4:$AJ$4,0)))+SUMPRODUCT((Inputs!$C$5:$C$160=$B34)*Inputs!$D$5:$D$160*(((Inputs!$G$5:$G$160="moeda")+(Inputs!$G$5:$G$160="acoes"))*Inputs!$B$1+((Inputs!$G$5:$G$160&lt;&gt;"moeda")*(Inputs!$G$5:$G$160&lt;&gt;"acoes")))*INDEX(Inputs!$K$5:$AJ$160,0,MATCH(U$2,Inputs!$K$4:$AJ$4,0)))+SUMPRODUCT((Inputs!$E$5:$E$160=$B34)*Inputs!$F$5:$F$160*(((Inputs!$G$5:$G$160="moeda")+(Inputs!$G$5:$G$160="acoes"))*Inputs!$B$1+((Inputs!$G$5:$G$160&lt;&gt;"moeda")*(Inputs!$G$5:$G$160&lt;&gt;"acoes")))*INDEX(Inputs!$K$5:$AJ$160,0,MATCH(U$2,Inputs!$K$4:$AJ$4,0)))))</f>
        <v>288.153</v>
      </c>
      <c r="V34" s="6">
        <f>IF(ISNA(MATCH(V$2,Inputs!$K$4:$AJ$4,0)),NA(),IF(SUMPRODUCT((Inputs!$A$5:$A$160=$B34)*ISNUMBER(INDEX(Inputs!$K$5:$AJ$160,0,MATCH(V$2,Inputs!$K$4:$AJ$4,0))))+SUMPRODUCT((Inputs!$C$5:$C$160=$B34)*ISNUMBER(INDEX(Inputs!$K$5:$AJ$160,0,MATCH(V$2,Inputs!$K$4:$AJ$4,0))))+SUMPRODUCT((Inputs!$E$5:$E$160=$B34)*ISNUMBER(INDEX(Inputs!$K$5:$AJ$160,0,MATCH(V$2,Inputs!$K$4:$AJ$4,0))))=0,NA(),SUMPRODUCT((Inputs!$A$5:$A$160=$B34)*Inputs!$B$5:$B$160*(((Inputs!$G$5:$G$160="moeda")+(Inputs!$G$5:$G$160="acoes"))*Inputs!$B$1+((Inputs!$G$5:$G$160&lt;&gt;"moeda")*(Inputs!$G$5:$G$160&lt;&gt;"acoes")))*INDEX(Inputs!$K$5:$AJ$160,0,MATCH(V$2,Inputs!$K$4:$AJ$4,0)))+SUMPRODUCT((Inputs!$C$5:$C$160=$B34)*Inputs!$D$5:$D$160*(((Inputs!$G$5:$G$160="moeda")+(Inputs!$G$5:$G$160="acoes"))*Inputs!$B$1+((Inputs!$G$5:$G$160&lt;&gt;"moeda")*(Inputs!$G$5:$G$160&lt;&gt;"acoes")))*INDEX(Inputs!$K$5:$AJ$160,0,MATCH(V$2,Inputs!$K$4:$AJ$4,0)))+SUMPRODUCT((Inputs!$E$5:$E$160=$B34)*Inputs!$F$5:$F$160*(((Inputs!$G$5:$G$160="moeda")+(Inputs!$G$5:$G$160="acoes"))*Inputs!$B$1+((Inputs!$G$5:$G$160&lt;&gt;"moeda")*(Inputs!$G$5:$G$160&lt;&gt;"acoes")))*INDEX(Inputs!$K$5:$AJ$160,0,MATCH(V$2,Inputs!$K$4:$AJ$4,0)))))</f>
        <v>290.854</v>
      </c>
      <c r="W34" s="3">
        <f>V34</f>
        <v>290.854</v>
      </c>
      <c r="X34" s="6">
        <f>IF(ISNA(MATCH(X$2,Inputs!$K$4:$AJ$4,0)),NA(),IF(SUMPRODUCT((Inputs!$A$5:$A$160=$B34)*ISNUMBER(INDEX(Inputs!$K$5:$AJ$160,0,MATCH(X$2,Inputs!$K$4:$AJ$4,0))))+SUMPRODUCT((Inputs!$C$5:$C$160=$B34)*ISNUMBER(INDEX(Inputs!$K$5:$AJ$160,0,MATCH(X$2,Inputs!$K$4:$AJ$4,0))))+SUMPRODUCT((Inputs!$E$5:$E$160=$B34)*ISNUMBER(INDEX(Inputs!$K$5:$AJ$160,0,MATCH(X$2,Inputs!$K$4:$AJ$4,0))))=0,NA(),SUMPRODUCT((Inputs!$A$5:$A$160=$B34)*Inputs!$B$5:$B$160*(((Inputs!$G$5:$G$160="moeda")+(Inputs!$G$5:$G$160="acoes"))*Inputs!$B$1+((Inputs!$G$5:$G$160&lt;&gt;"moeda")*(Inputs!$G$5:$G$160&lt;&gt;"acoes")))*INDEX(Inputs!$K$5:$AJ$160,0,MATCH(X$2,Inputs!$K$4:$AJ$4,0)))+SUMPRODUCT((Inputs!$C$5:$C$160=$B34)*Inputs!$D$5:$D$160*(((Inputs!$G$5:$G$160="moeda")+(Inputs!$G$5:$G$160="acoes"))*Inputs!$B$1+((Inputs!$G$5:$G$160&lt;&gt;"moeda")*(Inputs!$G$5:$G$160&lt;&gt;"acoes")))*INDEX(Inputs!$K$5:$AJ$160,0,MATCH(X$2,Inputs!$K$4:$AJ$4,0)))+SUMPRODUCT((Inputs!$E$5:$E$160=$B34)*Inputs!$F$5:$F$160*(((Inputs!$G$5:$G$160="moeda")+(Inputs!$G$5:$G$160="acoes"))*Inputs!$B$1+((Inputs!$G$5:$G$160&lt;&gt;"moeda")*(Inputs!$G$5:$G$160&lt;&gt;"acoes")))*INDEX(Inputs!$K$5:$AJ$160,0,MATCH(X$2,Inputs!$K$4:$AJ$4,0)))))</f>
        <v>310.350855</v>
      </c>
      <c r="Y34" s="6">
        <f>IF(ISNA(MATCH(Y$2,Inputs!$K$4:$AJ$4,0)),NA(),IF(SUMPRODUCT((Inputs!$A$5:$A$160=$B34)*ISNUMBER(INDEX(Inputs!$K$5:$AJ$160,0,MATCH(Y$2,Inputs!$K$4:$AJ$4,0))))+SUMPRODUCT((Inputs!$C$5:$C$160=$B34)*ISNUMBER(INDEX(Inputs!$K$5:$AJ$160,0,MATCH(Y$2,Inputs!$K$4:$AJ$4,0))))+SUMPRODUCT((Inputs!$E$5:$E$160=$B34)*ISNUMBER(INDEX(Inputs!$K$5:$AJ$160,0,MATCH(Y$2,Inputs!$K$4:$AJ$4,0))))=0,NA(),SUMPRODUCT((Inputs!$A$5:$A$160=$B34)*Inputs!$B$5:$B$160*(((Inputs!$G$5:$G$160="moeda")+(Inputs!$G$5:$G$160="acoes"))*Inputs!$B$1+((Inputs!$G$5:$G$160&lt;&gt;"moeda")*(Inputs!$G$5:$G$160&lt;&gt;"acoes")))*INDEX(Inputs!$K$5:$AJ$160,0,MATCH(Y$2,Inputs!$K$4:$AJ$4,0)))+SUMPRODUCT((Inputs!$C$5:$C$160=$B34)*Inputs!$D$5:$D$160*(((Inputs!$G$5:$G$160="moeda")+(Inputs!$G$5:$G$160="acoes"))*Inputs!$B$1+((Inputs!$G$5:$G$160&lt;&gt;"moeda")*(Inputs!$G$5:$G$160&lt;&gt;"acoes")))*INDEX(Inputs!$K$5:$AJ$160,0,MATCH(Y$2,Inputs!$K$4:$AJ$4,0)))+SUMPRODUCT((Inputs!$E$5:$E$160=$B34)*Inputs!$F$5:$F$160*(((Inputs!$G$5:$G$160="moeda")+(Inputs!$G$5:$G$160="acoes"))*Inputs!$B$1+((Inputs!$G$5:$G$160&lt;&gt;"moeda")*(Inputs!$G$5:$G$160&lt;&gt;"acoes")))*INDEX(Inputs!$K$5:$AJ$160,0,MATCH(Y$2,Inputs!$K$4:$AJ$4,0)))))</f>
        <v>304.045</v>
      </c>
      <c r="Z34" s="6">
        <f>IF(ISNA(MATCH(Z$2,Inputs!$K$4:$AJ$4,0)),NA(),IF(SUMPRODUCT((Inputs!$A$5:$A$160=$B34)*ISNUMBER(INDEX(Inputs!$K$5:$AJ$160,0,MATCH(Z$2,Inputs!$K$4:$AJ$4,0))))+SUMPRODUCT((Inputs!$C$5:$C$160=$B34)*ISNUMBER(INDEX(Inputs!$K$5:$AJ$160,0,MATCH(Z$2,Inputs!$K$4:$AJ$4,0))))+SUMPRODUCT((Inputs!$E$5:$E$160=$B34)*ISNUMBER(INDEX(Inputs!$K$5:$AJ$160,0,MATCH(Z$2,Inputs!$K$4:$AJ$4,0))))=0,NA(),SUMPRODUCT((Inputs!$A$5:$A$160=$B34)*Inputs!$B$5:$B$160*(((Inputs!$G$5:$G$160="moeda")+(Inputs!$G$5:$G$160="acoes"))*Inputs!$B$1+((Inputs!$G$5:$G$160&lt;&gt;"moeda")*(Inputs!$G$5:$G$160&lt;&gt;"acoes")))*INDEX(Inputs!$K$5:$AJ$160,0,MATCH(Z$2,Inputs!$K$4:$AJ$4,0)))+SUMPRODUCT((Inputs!$C$5:$C$160=$B34)*Inputs!$D$5:$D$160*(((Inputs!$G$5:$G$160="moeda")+(Inputs!$G$5:$G$160="acoes"))*Inputs!$B$1+((Inputs!$G$5:$G$160&lt;&gt;"moeda")*(Inputs!$G$5:$G$160&lt;&gt;"acoes")))*INDEX(Inputs!$K$5:$AJ$160,0,MATCH(Z$2,Inputs!$K$4:$AJ$4,0)))+SUMPRODUCT((Inputs!$E$5:$E$160=$B34)*Inputs!$F$5:$F$160*(((Inputs!$G$5:$G$160="moeda")+(Inputs!$G$5:$G$160="acoes"))*Inputs!$B$1+((Inputs!$G$5:$G$160&lt;&gt;"moeda")*(Inputs!$G$5:$G$160&lt;&gt;"acoes")))*INDEX(Inputs!$K$5:$AJ$160,0,MATCH(Z$2,Inputs!$K$4:$AJ$4,0)))))</f>
        <v>313.074</v>
      </c>
      <c r="AA34" s="6">
        <f>IF(ISNA(MATCH(AA$2,Inputs!$K$4:$AJ$4,0)),NA(),IF(SUMPRODUCT((Inputs!$A$5:$A$160=$B34)*ISNUMBER(INDEX(Inputs!$K$5:$AJ$160,0,MATCH(AA$2,Inputs!$K$4:$AJ$4,0))))+SUMPRODUCT((Inputs!$C$5:$C$160=$B34)*ISNUMBER(INDEX(Inputs!$K$5:$AJ$160,0,MATCH(AA$2,Inputs!$K$4:$AJ$4,0))))+SUMPRODUCT((Inputs!$E$5:$E$160=$B34)*ISNUMBER(INDEX(Inputs!$K$5:$AJ$160,0,MATCH(AA$2,Inputs!$K$4:$AJ$4,0))))=0,NA(),SUMPRODUCT((Inputs!$A$5:$A$160=$B34)*Inputs!$B$5:$B$160*(((Inputs!$G$5:$G$160="moeda")+(Inputs!$G$5:$G$160="acoes"))*Inputs!$B$1+((Inputs!$G$5:$G$160&lt;&gt;"moeda")*(Inputs!$G$5:$G$160&lt;&gt;"acoes")))*INDEX(Inputs!$K$5:$AJ$160,0,MATCH(AA$2,Inputs!$K$4:$AJ$4,0)))+SUMPRODUCT((Inputs!$C$5:$C$160=$B34)*Inputs!$D$5:$D$160*(((Inputs!$G$5:$G$160="moeda")+(Inputs!$G$5:$G$160="acoes"))*Inputs!$B$1+((Inputs!$G$5:$G$160&lt;&gt;"moeda")*(Inputs!$G$5:$G$160&lt;&gt;"acoes")))*INDEX(Inputs!$K$5:$AJ$160,0,MATCH(AA$2,Inputs!$K$4:$AJ$4,0)))+SUMPRODUCT((Inputs!$E$5:$E$160=$B34)*Inputs!$F$5:$F$160*(((Inputs!$G$5:$G$160="moeda")+(Inputs!$G$5:$G$160="acoes"))*Inputs!$B$1+((Inputs!$G$5:$G$160&lt;&gt;"moeda")*(Inputs!$G$5:$G$160&lt;&gt;"acoes")))*INDEX(Inputs!$K$5:$AJ$160,0,MATCH(AA$2,Inputs!$K$4:$AJ$4,0)))))</f>
        <v>318.732</v>
      </c>
      <c r="AB34" s="3">
        <f>AA34</f>
        <v>318.732</v>
      </c>
      <c r="AC34" s="6">
        <f>IF(ISNA(MATCH(AC$2,Inputs!$K$4:$AJ$4,0)),NA(),IF(SUMPRODUCT((Inputs!$A$5:$A$160=$B34)*ISNUMBER(INDEX(Inputs!$K$5:$AJ$160,0,MATCH(AC$2,Inputs!$K$4:$AJ$4,0))))+SUMPRODUCT((Inputs!$C$5:$C$160=$B34)*ISNUMBER(INDEX(Inputs!$K$5:$AJ$160,0,MATCH(AC$2,Inputs!$K$4:$AJ$4,0))))+SUMPRODUCT((Inputs!$E$5:$E$160=$B34)*ISNUMBER(INDEX(Inputs!$K$5:$AJ$160,0,MATCH(AC$2,Inputs!$K$4:$AJ$4,0))))=0,NA(),SUMPRODUCT((Inputs!$A$5:$A$160=$B34)*Inputs!$B$5:$B$160*(((Inputs!$G$5:$G$160="moeda")+(Inputs!$G$5:$G$160="acoes"))*Inputs!$B$1+((Inputs!$G$5:$G$160&lt;&gt;"moeda")*(Inputs!$G$5:$G$160&lt;&gt;"acoes")))*INDEX(Inputs!$K$5:$AJ$160,0,MATCH(AC$2,Inputs!$K$4:$AJ$4,0)))+SUMPRODUCT((Inputs!$C$5:$C$160=$B34)*Inputs!$D$5:$D$160*(((Inputs!$G$5:$G$160="moeda")+(Inputs!$G$5:$G$160="acoes"))*Inputs!$B$1+((Inputs!$G$5:$G$160&lt;&gt;"moeda")*(Inputs!$G$5:$G$160&lt;&gt;"acoes")))*INDEX(Inputs!$K$5:$AJ$160,0,MATCH(AC$2,Inputs!$K$4:$AJ$4,0)))+SUMPRODUCT((Inputs!$E$5:$E$160=$B34)*Inputs!$F$5:$F$160*(((Inputs!$G$5:$G$160="moeda")+(Inputs!$G$5:$G$160="acoes"))*Inputs!$B$1+((Inputs!$G$5:$G$160&lt;&gt;"moeda")*(Inputs!$G$5:$G$160&lt;&gt;"acoes")))*INDEX(Inputs!$K$5:$AJ$160,0,MATCH(AC$2,Inputs!$K$4:$AJ$4,0)))))</f>
        <v>308.319</v>
      </c>
      <c r="AD34" s="6">
        <f>IF(ISNA(MATCH(AD$2,Inputs!$K$4:$AJ$4,0)),NA(),IF(SUMPRODUCT((Inputs!$A$5:$A$160=$B34)*ISNUMBER(INDEX(Inputs!$K$5:$AJ$160,0,MATCH(AD$2,Inputs!$K$4:$AJ$4,0))))+SUMPRODUCT((Inputs!$C$5:$C$160=$B34)*ISNUMBER(INDEX(Inputs!$K$5:$AJ$160,0,MATCH(AD$2,Inputs!$K$4:$AJ$4,0))))+SUMPRODUCT((Inputs!$E$5:$E$160=$B34)*ISNUMBER(INDEX(Inputs!$K$5:$AJ$160,0,MATCH(AD$2,Inputs!$K$4:$AJ$4,0))))=0,NA(),SUMPRODUCT((Inputs!$A$5:$A$160=$B34)*Inputs!$B$5:$B$160*(((Inputs!$G$5:$G$160="moeda")+(Inputs!$G$5:$G$160="acoes"))*Inputs!$B$1+((Inputs!$G$5:$G$160&lt;&gt;"moeda")*(Inputs!$G$5:$G$160&lt;&gt;"acoes")))*INDEX(Inputs!$K$5:$AJ$160,0,MATCH(AD$2,Inputs!$K$4:$AJ$4,0)))+SUMPRODUCT((Inputs!$C$5:$C$160=$B34)*Inputs!$D$5:$D$160*(((Inputs!$G$5:$G$160="moeda")+(Inputs!$G$5:$G$160="acoes"))*Inputs!$B$1+((Inputs!$G$5:$G$160&lt;&gt;"moeda")*(Inputs!$G$5:$G$160&lt;&gt;"acoes")))*INDEX(Inputs!$K$5:$AJ$160,0,MATCH(AD$2,Inputs!$K$4:$AJ$4,0)))+SUMPRODUCT((Inputs!$E$5:$E$160=$B34)*Inputs!$F$5:$F$160*(((Inputs!$G$5:$G$160="moeda")+(Inputs!$G$5:$G$160="acoes"))*Inputs!$B$1+((Inputs!$G$5:$G$160&lt;&gt;"moeda")*(Inputs!$G$5:$G$160&lt;&gt;"acoes")))*INDEX(Inputs!$K$5:$AJ$160,0,MATCH(AD$2,Inputs!$K$4:$AJ$4,0)))))</f>
        <v>319.569</v>
      </c>
      <c r="AE34" s="6" t="e">
        <f>IF(ISNA(MATCH(AE$2,Inputs!$K$4:$AJ$4,0)),NA(),IF(SUMPRODUCT((Inputs!$A$5:$A$160=$B34)*ISNUMBER(INDEX(Inputs!$K$5:$AJ$160,0,MATCH(AE$2,Inputs!$K$4:$AJ$4,0))))+SUMPRODUCT((Inputs!$C$5:$C$160=$B34)*ISNUMBER(INDEX(Inputs!$K$5:$AJ$160,0,MATCH(AE$2,Inputs!$K$4:$AJ$4,0))))+SUMPRODUCT((Inputs!$E$5:$E$160=$B34)*ISNUMBER(INDEX(Inputs!$K$5:$AJ$160,0,MATCH(AE$2,Inputs!$K$4:$AJ$4,0))))=0,NA(),SUMPRODUCT((Inputs!$A$5:$A$160=$B34)*Inputs!$B$5:$B$160*(((Inputs!$G$5:$G$160="moeda")+(Inputs!$G$5:$G$160="acoes"))*Inputs!$B$1+((Inputs!$G$5:$G$160&lt;&gt;"moeda")*(Inputs!$G$5:$G$160&lt;&gt;"acoes")))*INDEX(Inputs!$K$5:$AJ$160,0,MATCH(AE$2,Inputs!$K$4:$AJ$4,0)))+SUMPRODUCT((Inputs!$C$5:$C$160=$B34)*Inputs!$D$5:$D$160*(((Inputs!$G$5:$G$160="moeda")+(Inputs!$G$5:$G$160="acoes"))*Inputs!$B$1+((Inputs!$G$5:$G$160&lt;&gt;"moeda")*(Inputs!$G$5:$G$160&lt;&gt;"acoes")))*INDEX(Inputs!$K$5:$AJ$160,0,MATCH(AE$2,Inputs!$K$4:$AJ$4,0)))+SUMPRODUCT((Inputs!$E$5:$E$160=$B34)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4" s="6" t="e">
        <f>IF(ISNA(MATCH(AF$2,Inputs!$K$4:$AJ$4,0)),NA(),IF(SUMPRODUCT((Inputs!$A$5:$A$160=$B34)*ISNUMBER(INDEX(Inputs!$K$5:$AJ$160,0,MATCH(AF$2,Inputs!$K$4:$AJ$4,0))))+SUMPRODUCT((Inputs!$C$5:$C$160=$B34)*ISNUMBER(INDEX(Inputs!$K$5:$AJ$160,0,MATCH(AF$2,Inputs!$K$4:$AJ$4,0))))+SUMPRODUCT((Inputs!$E$5:$E$160=$B34)*ISNUMBER(INDEX(Inputs!$K$5:$AJ$160,0,MATCH(AF$2,Inputs!$K$4:$AJ$4,0))))=0,NA(),SUMPRODUCT((Inputs!$A$5:$A$160=$B34)*Inputs!$B$5:$B$160*(((Inputs!$G$5:$G$160="moeda")+(Inputs!$G$5:$G$160="acoes"))*Inputs!$B$1+((Inputs!$G$5:$G$160&lt;&gt;"moeda")*(Inputs!$G$5:$G$160&lt;&gt;"acoes")))*INDEX(Inputs!$K$5:$AJ$160,0,MATCH(AF$2,Inputs!$K$4:$AJ$4,0)))+SUMPRODUCT((Inputs!$C$5:$C$160=$B34)*Inputs!$D$5:$D$160*(((Inputs!$G$5:$G$160="moeda")+(Inputs!$G$5:$G$160="acoes"))*Inputs!$B$1+((Inputs!$G$5:$G$160&lt;&gt;"moeda")*(Inputs!$G$5:$G$160&lt;&gt;"acoes")))*INDEX(Inputs!$K$5:$AJ$160,0,MATCH(AF$2,Inputs!$K$4:$AJ$4,0)))+SUMPRODUCT((Inputs!$E$5:$E$160=$B34)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4" s="3" t="e">
        <f>AF34</f>
        <v>#N/A</v>
      </c>
      <c r="AH34" s="6">
        <f>IF(ISNA(MATCH(AH$2,Inputs!$K$4:$AJ$4,0)),NA(),IF(SUMPRODUCT((Inputs!$A$5:$A$160=$B34)*ISNUMBER(INDEX(Inputs!$K$5:$AJ$160,0,MATCH(AH$2,Inputs!$K$4:$AJ$4,0))))+SUMPRODUCT((Inputs!$C$5:$C$160=$B34)*ISNUMBER(INDEX(Inputs!$K$5:$AJ$160,0,MATCH(AH$2,Inputs!$K$4:$AJ$4,0))))+SUMPRODUCT((Inputs!$E$5:$E$160=$B34)*ISNUMBER(INDEX(Inputs!$K$5:$AJ$160,0,MATCH(AH$2,Inputs!$K$4:$AJ$4,0))))=0,NA(),SUMPRODUCT((Inputs!$A$5:$A$160=$B34)*Inputs!$B$5:$B$160*(((Inputs!$G$5:$G$160="moeda")+(Inputs!$G$5:$G$160="acoes"))*Inputs!$B$1+((Inputs!$G$5:$G$160&lt;&gt;"moeda")*(Inputs!$G$5:$G$160&lt;&gt;"acoes")))*INDEX(Inputs!$K$5:$AJ$160,0,MATCH(AH$2,Inputs!$K$4:$AJ$4,0)))+SUMPRODUCT((Inputs!$C$5:$C$160=$B34)*Inputs!$D$5:$D$160*(((Inputs!$G$5:$G$160="moeda")+(Inputs!$G$5:$G$160="acoes"))*Inputs!$B$1+((Inputs!$G$5:$G$160&lt;&gt;"moeda")*(Inputs!$G$5:$G$160&lt;&gt;"acoes")))*INDEX(Inputs!$K$5:$AJ$160,0,MATCH(AH$2,Inputs!$K$4:$AJ$4,0)))+SUMPRODUCT((Inputs!$E$5:$E$160=$B34)*Inputs!$F$5:$F$160*(((Inputs!$G$5:$G$160="moeda")+(Inputs!$G$5:$G$160="acoes"))*Inputs!$B$1+((Inputs!$G$5:$G$160&lt;&gt;"moeda")*(Inputs!$G$5:$G$160&lt;&gt;"acoes")))*INDEX(Inputs!$K$5:$AJ$160,0,MATCH(AH$2,Inputs!$K$4:$AJ$4,0)))))</f>
        <v>92.853</v>
      </c>
      <c r="AI34" s="6">
        <f>IF(ISNA(MATCH(AI$2,Inputs!$K$4:$AJ$4,0)),NA(),IF(SUMPRODUCT((Inputs!$A$5:$A$160=$B34)*ISNUMBER(INDEX(Inputs!$K$5:$AJ$160,0,MATCH(AI$2,Inputs!$K$4:$AJ$4,0))))+SUMPRODUCT((Inputs!$C$5:$C$160=$B34)*ISNUMBER(INDEX(Inputs!$K$5:$AJ$160,0,MATCH(AI$2,Inputs!$K$4:$AJ$4,0))))+SUMPRODUCT((Inputs!$E$5:$E$160=$B34)*ISNUMBER(INDEX(Inputs!$K$5:$AJ$160,0,MATCH(AI$2,Inputs!$K$4:$AJ$4,0))))=0,NA(),SUMPRODUCT((Inputs!$A$5:$A$160=$B34)*Inputs!$B$5:$B$160*(((Inputs!$G$5:$G$160="moeda")+(Inputs!$G$5:$G$160="acoes"))*Inputs!$B$1+((Inputs!$G$5:$G$160&lt;&gt;"moeda")*(Inputs!$G$5:$G$160&lt;&gt;"acoes")))*INDEX(Inputs!$K$5:$AJ$160,0,MATCH(AI$2,Inputs!$K$4:$AJ$4,0)))+SUMPRODUCT((Inputs!$C$5:$C$160=$B34)*Inputs!$D$5:$D$160*(((Inputs!$G$5:$G$160="moeda")+(Inputs!$G$5:$G$160="acoes"))*Inputs!$B$1+((Inputs!$G$5:$G$160&lt;&gt;"moeda")*(Inputs!$G$5:$G$160&lt;&gt;"acoes")))*INDEX(Inputs!$K$5:$AJ$160,0,MATCH(AI$2,Inputs!$K$4:$AJ$4,0)))+SUMPRODUCT((Inputs!$E$5:$E$160=$B34)*Inputs!$F$5:$F$160*(((Inputs!$G$5:$G$160="moeda")+(Inputs!$G$5:$G$160="acoes"))*Inputs!$B$1+((Inputs!$G$5:$G$160&lt;&gt;"moeda")*(Inputs!$G$5:$G$160&lt;&gt;"acoes")))*INDEX(Inputs!$K$5:$AJ$160,0,MATCH(AI$2,Inputs!$K$4:$AJ$4,0)))))</f>
        <v>101.06879373</v>
      </c>
      <c r="AJ34" s="6">
        <f>IF(ISNA(MATCH(AJ$2,Inputs!$K$4:$AJ$4,0)),NA(),IF(SUMPRODUCT((Inputs!$A$5:$A$160=$B34)*ISNUMBER(INDEX(Inputs!$K$5:$AJ$160,0,MATCH(AJ$2,Inputs!$K$4:$AJ$4,0))))+SUMPRODUCT((Inputs!$C$5:$C$160=$B34)*ISNUMBER(INDEX(Inputs!$K$5:$AJ$160,0,MATCH(AJ$2,Inputs!$K$4:$AJ$4,0))))+SUMPRODUCT((Inputs!$E$5:$E$160=$B34)*ISNUMBER(INDEX(Inputs!$K$5:$AJ$160,0,MATCH(AJ$2,Inputs!$K$4:$AJ$4,0))))=0,NA(),SUMPRODUCT((Inputs!$A$5:$A$160=$B34)*Inputs!$B$5:$B$160*(((Inputs!$G$5:$G$160="moeda")+(Inputs!$G$5:$G$160="acoes"))*Inputs!$B$1+((Inputs!$G$5:$G$160&lt;&gt;"moeda")*(Inputs!$G$5:$G$160&lt;&gt;"acoes")))*INDEX(Inputs!$K$5:$AJ$160,0,MATCH(AJ$2,Inputs!$K$4:$AJ$4,0)))+SUMPRODUCT((Inputs!$C$5:$C$160=$B34)*Inputs!$D$5:$D$160*(((Inputs!$G$5:$G$160="moeda")+(Inputs!$G$5:$G$160="acoes"))*Inputs!$B$1+((Inputs!$G$5:$G$160&lt;&gt;"moeda")*(Inputs!$G$5:$G$160&lt;&gt;"acoes")))*INDEX(Inputs!$K$5:$AJ$160,0,MATCH(AJ$2,Inputs!$K$4:$AJ$4,0)))+SUMPRODUCT((Inputs!$E$5:$E$160=$B34)*Inputs!$F$5:$F$160*(((Inputs!$G$5:$G$160="moeda")+(Inputs!$G$5:$G$160="acoes"))*Inputs!$B$1+((Inputs!$G$5:$G$160&lt;&gt;"moeda")*(Inputs!$G$5:$G$160&lt;&gt;"acoes")))*INDEX(Inputs!$K$5:$AJ$160,0,MATCH(AJ$2,Inputs!$K$4:$AJ$4,0)))))</f>
        <v>97.42076887</v>
      </c>
      <c r="AK34" s="6">
        <f>IF(ISNA(MATCH(AK$2,Inputs!$K$4:$AJ$4,0)),NA(),IF(SUMPRODUCT((Inputs!$A$5:$A$160=$B34)*ISNUMBER(INDEX(Inputs!$K$5:$AJ$160,0,MATCH(AK$2,Inputs!$K$4:$AJ$4,0))))+SUMPRODUCT((Inputs!$C$5:$C$160=$B34)*ISNUMBER(INDEX(Inputs!$K$5:$AJ$160,0,MATCH(AK$2,Inputs!$K$4:$AJ$4,0))))+SUMPRODUCT((Inputs!$E$5:$E$160=$B34)*ISNUMBER(INDEX(Inputs!$K$5:$AJ$160,0,MATCH(AK$2,Inputs!$K$4:$AJ$4,0))))=0,NA(),SUMPRODUCT((Inputs!$A$5:$A$160=$B34)*Inputs!$B$5:$B$160*(((Inputs!$G$5:$G$160="moeda")+(Inputs!$G$5:$G$160="acoes"))*Inputs!$B$1+((Inputs!$G$5:$G$160&lt;&gt;"moeda")*(Inputs!$G$5:$G$160&lt;&gt;"acoes")))*INDEX(Inputs!$K$5:$AJ$160,0,MATCH(AK$2,Inputs!$K$4:$AJ$4,0)))+SUMPRODUCT((Inputs!$C$5:$C$160=$B34)*Inputs!$D$5:$D$160*(((Inputs!$G$5:$G$160="moeda")+(Inputs!$G$5:$G$160="acoes"))*Inputs!$B$1+((Inputs!$G$5:$G$160&lt;&gt;"moeda")*(Inputs!$G$5:$G$160&lt;&gt;"acoes")))*INDEX(Inputs!$K$5:$AJ$160,0,MATCH(AK$2,Inputs!$K$4:$AJ$4,0)))+SUMPRODUCT((Inputs!$E$5:$E$160=$B34)*Inputs!$F$5:$F$160*(((Inputs!$G$5:$G$160="moeda")+(Inputs!$G$5:$G$160="acoes"))*Inputs!$B$1+((Inputs!$G$5:$G$160&lt;&gt;"moeda")*(Inputs!$G$5:$G$160&lt;&gt;"acoes")))*INDEX(Inputs!$K$5:$AJ$160,0,MATCH(AK$2,Inputs!$K$4:$AJ$4,0)))))</f>
        <v>105.03906635</v>
      </c>
      <c r="AL34" s="3">
        <f>AK34</f>
        <v>105.03906635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$160=$B35)*ISNUMBER(INDEX(Inputs!$K$5:$AJ$160,0,MATCH(D$2,Inputs!$K$4:$AJ$4,0))))+SUMPRODUCT((Inputs!$C$5:$C$160=$B35)*ISNUMBER(INDEX(Inputs!$K$5:$AJ$160,0,MATCH(D$2,Inputs!$K$4:$AJ$4,0))))+SUMPRODUCT((Inputs!$E$5:$E$160=$B35)*ISNUMBER(INDEX(Inputs!$K$5:$AJ$160,0,MATCH(D$2,Inputs!$K$4:$AJ$4,0))))=0,NA(),SUMPRODUCT((Inputs!$A$5:$A$160=$B35)*Inputs!$B$5:$B$160*(((Inputs!$G$5:$G$160="moeda")+(Inputs!$G$5:$G$160="acoes"))*Inputs!$B$1+((Inputs!$G$5:$G$160&lt;&gt;"moeda")*(Inputs!$G$5:$G$160&lt;&gt;"acoes")))*INDEX(Inputs!$K$5:$AJ$160,0,MATCH(D$2,Inputs!$K$4:$AJ$4,0)))+SUMPRODUCT((Inputs!$C$5:$C$160=$B35)*Inputs!$D$5:$D$160*(((Inputs!$G$5:$G$160="moeda")+(Inputs!$G$5:$G$160="acoes"))*Inputs!$B$1+((Inputs!$G$5:$G$160&lt;&gt;"moeda")*(Inputs!$G$5:$G$160&lt;&gt;"acoes")))*INDEX(Inputs!$K$5:$AJ$160,0,MATCH(D$2,Inputs!$K$4:$AJ$4,0)))+SUMPRODUCT((Inputs!$E$5:$E$160=$B35)*Inputs!$F$5:$F$160*(((Inputs!$G$5:$G$160="moeda")+(Inputs!$G$5:$G$160="acoes"))*Inputs!$B$1+((Inputs!$G$5:$G$160&lt;&gt;"moeda")*(Inputs!$G$5:$G$160&lt;&gt;"acoes")))*INDEX(Inputs!$K$5:$AJ$160,0,MATCH(D$2,Inputs!$K$4:$AJ$4,0)))))</f>
        <v>1275.30632972</v>
      </c>
      <c r="E35" s="6">
        <f>IF(ISNA(MATCH(E$2,Inputs!$K$4:$AJ$4,0)),NA(),IF(SUMPRODUCT((Inputs!$A$5:$A$160=$B35)*ISNUMBER(INDEX(Inputs!$K$5:$AJ$160,0,MATCH(E$2,Inputs!$K$4:$AJ$4,0))))+SUMPRODUCT((Inputs!$C$5:$C$160=$B35)*ISNUMBER(INDEX(Inputs!$K$5:$AJ$160,0,MATCH(E$2,Inputs!$K$4:$AJ$4,0))))+SUMPRODUCT((Inputs!$E$5:$E$160=$B35)*ISNUMBER(INDEX(Inputs!$K$5:$AJ$160,0,MATCH(E$2,Inputs!$K$4:$AJ$4,0))))=0,NA(),SUMPRODUCT((Inputs!$A$5:$A$160=$B35)*Inputs!$B$5:$B$160*(((Inputs!$G$5:$G$160="moeda")+(Inputs!$G$5:$G$160="acoes"))*Inputs!$B$1+((Inputs!$G$5:$G$160&lt;&gt;"moeda")*(Inputs!$G$5:$G$160&lt;&gt;"acoes")))*INDEX(Inputs!$K$5:$AJ$160,0,MATCH(E$2,Inputs!$K$4:$AJ$4,0)))+SUMPRODUCT((Inputs!$C$5:$C$160=$B35)*Inputs!$D$5:$D$160*(((Inputs!$G$5:$G$160="moeda")+(Inputs!$G$5:$G$160="acoes"))*Inputs!$B$1+((Inputs!$G$5:$G$160&lt;&gt;"moeda")*(Inputs!$G$5:$G$160&lt;&gt;"acoes")))*INDEX(Inputs!$K$5:$AJ$160,0,MATCH(E$2,Inputs!$K$4:$AJ$4,0)))+SUMPRODUCT((Inputs!$E$5:$E$160=$B35)*Inputs!$F$5:$F$160*(((Inputs!$G$5:$G$160="moeda")+(Inputs!$G$5:$G$160="acoes"))*Inputs!$B$1+((Inputs!$G$5:$G$160&lt;&gt;"moeda")*(Inputs!$G$5:$G$160&lt;&gt;"acoes")))*INDEX(Inputs!$K$5:$AJ$160,0,MATCH(E$2,Inputs!$K$4:$AJ$4,0)))))</f>
        <v>906.94541517</v>
      </c>
      <c r="F35" s="6">
        <f>IF(ISNA(MATCH(F$2,Inputs!$K$4:$AJ$4,0)),NA(),IF(SUMPRODUCT((Inputs!$A$5:$A$160=$B35)*ISNUMBER(INDEX(Inputs!$K$5:$AJ$160,0,MATCH(F$2,Inputs!$K$4:$AJ$4,0))))+SUMPRODUCT((Inputs!$C$5:$C$160=$B35)*ISNUMBER(INDEX(Inputs!$K$5:$AJ$160,0,MATCH(F$2,Inputs!$K$4:$AJ$4,0))))+SUMPRODUCT((Inputs!$E$5:$E$160=$B35)*ISNUMBER(INDEX(Inputs!$K$5:$AJ$160,0,MATCH(F$2,Inputs!$K$4:$AJ$4,0))))=0,NA(),SUMPRODUCT((Inputs!$A$5:$A$160=$B35)*Inputs!$B$5:$B$160*(((Inputs!$G$5:$G$160="moeda")+(Inputs!$G$5:$G$160="acoes"))*Inputs!$B$1+((Inputs!$G$5:$G$160&lt;&gt;"moeda")*(Inputs!$G$5:$G$160&lt;&gt;"acoes")))*INDEX(Inputs!$K$5:$AJ$160,0,MATCH(F$2,Inputs!$K$4:$AJ$4,0)))+SUMPRODUCT((Inputs!$C$5:$C$160=$B35)*Inputs!$D$5:$D$160*(((Inputs!$G$5:$G$160="moeda")+(Inputs!$G$5:$G$160="acoes"))*Inputs!$B$1+((Inputs!$G$5:$G$160&lt;&gt;"moeda")*(Inputs!$G$5:$G$160&lt;&gt;"acoes")))*INDEX(Inputs!$K$5:$AJ$160,0,MATCH(F$2,Inputs!$K$4:$AJ$4,0)))+SUMPRODUCT((Inputs!$E$5:$E$160=$B35)*Inputs!$F$5:$F$160*(((Inputs!$G$5:$G$160="moeda")+(Inputs!$G$5:$G$160="acoes"))*Inputs!$B$1+((Inputs!$G$5:$G$160&lt;&gt;"moeda")*(Inputs!$G$5:$G$160&lt;&gt;"acoes")))*INDEX(Inputs!$K$5:$AJ$160,0,MATCH(F$2,Inputs!$K$4:$AJ$4,0)))))</f>
        <v>1899.4522545</v>
      </c>
      <c r="G35" s="6">
        <f>IF(ISNA(MATCH(G$2,Inputs!$K$4:$AJ$4,0)),NA(),IF(SUMPRODUCT((Inputs!$A$5:$A$160=$B35)*ISNUMBER(INDEX(Inputs!$K$5:$AJ$160,0,MATCH(G$2,Inputs!$K$4:$AJ$4,0))))+SUMPRODUCT((Inputs!$C$5:$C$160=$B35)*ISNUMBER(INDEX(Inputs!$K$5:$AJ$160,0,MATCH(G$2,Inputs!$K$4:$AJ$4,0))))+SUMPRODUCT((Inputs!$E$5:$E$160=$B35)*ISNUMBER(INDEX(Inputs!$K$5:$AJ$160,0,MATCH(G$2,Inputs!$K$4:$AJ$4,0))))=0,NA(),SUMPRODUCT((Inputs!$A$5:$A$160=$B35)*Inputs!$B$5:$B$160*(((Inputs!$G$5:$G$160="moeda")+(Inputs!$G$5:$G$160="acoes"))*Inputs!$B$1+((Inputs!$G$5:$G$160&lt;&gt;"moeda")*(Inputs!$G$5:$G$160&lt;&gt;"acoes")))*INDEX(Inputs!$K$5:$AJ$160,0,MATCH(G$2,Inputs!$K$4:$AJ$4,0)))+SUMPRODUCT((Inputs!$C$5:$C$160=$B35)*Inputs!$D$5:$D$160*(((Inputs!$G$5:$G$160="moeda")+(Inputs!$G$5:$G$160="acoes"))*Inputs!$B$1+((Inputs!$G$5:$G$160&lt;&gt;"moeda")*(Inputs!$G$5:$G$160&lt;&gt;"acoes")))*INDEX(Inputs!$K$5:$AJ$160,0,MATCH(G$2,Inputs!$K$4:$AJ$4,0)))+SUMPRODUCT((Inputs!$E$5:$E$160=$B35)*Inputs!$F$5:$F$160*(((Inputs!$G$5:$G$160="moeda")+(Inputs!$G$5:$G$160="acoes"))*Inputs!$B$1+((Inputs!$G$5:$G$160&lt;&gt;"moeda")*(Inputs!$G$5:$G$160&lt;&gt;"acoes")))*INDEX(Inputs!$K$5:$AJ$160,0,MATCH(G$2,Inputs!$K$4:$AJ$4,0)))))</f>
        <v>1749.38006419</v>
      </c>
      <c r="H35" s="3">
        <f>G35</f>
        <v>1749.38006419</v>
      </c>
      <c r="I35" s="6">
        <f>IF(ISNA(MATCH(I$2,Inputs!$K$4:$AJ$4,0)),NA(),IF(SUMPRODUCT((Inputs!$A$5:$A$160=$B35)*ISNUMBER(INDEX(Inputs!$K$5:$AJ$160,0,MATCH(I$2,Inputs!$K$4:$AJ$4,0))))+SUMPRODUCT((Inputs!$C$5:$C$160=$B35)*ISNUMBER(INDEX(Inputs!$K$5:$AJ$160,0,MATCH(I$2,Inputs!$K$4:$AJ$4,0))))+SUMPRODUCT((Inputs!$E$5:$E$160=$B35)*ISNUMBER(INDEX(Inputs!$K$5:$AJ$160,0,MATCH(I$2,Inputs!$K$4:$AJ$4,0))))=0,NA(),SUMPRODUCT((Inputs!$A$5:$A$160=$B35)*Inputs!$B$5:$B$160*(((Inputs!$G$5:$G$160="moeda")+(Inputs!$G$5:$G$160="acoes"))*Inputs!$B$1+((Inputs!$G$5:$G$160&lt;&gt;"moeda")*(Inputs!$G$5:$G$160&lt;&gt;"acoes")))*INDEX(Inputs!$K$5:$AJ$160,0,MATCH(I$2,Inputs!$K$4:$AJ$4,0)))+SUMPRODUCT((Inputs!$C$5:$C$160=$B35)*Inputs!$D$5:$D$160*(((Inputs!$G$5:$G$160="moeda")+(Inputs!$G$5:$G$160="acoes"))*Inputs!$B$1+((Inputs!$G$5:$G$160&lt;&gt;"moeda")*(Inputs!$G$5:$G$160&lt;&gt;"acoes")))*INDEX(Inputs!$K$5:$AJ$160,0,MATCH(I$2,Inputs!$K$4:$AJ$4,0)))+SUMPRODUCT((Inputs!$E$5:$E$160=$B35)*Inputs!$F$5:$F$160*(((Inputs!$G$5:$G$160="moeda")+(Inputs!$G$5:$G$160="acoes"))*Inputs!$B$1+((Inputs!$G$5:$G$160&lt;&gt;"moeda")*(Inputs!$G$5:$G$160&lt;&gt;"acoes")))*INDEX(Inputs!$K$5:$AJ$160,0,MATCH(I$2,Inputs!$K$4:$AJ$4,0)))))</f>
        <v>1749.30787365</v>
      </c>
      <c r="J35" s="6">
        <f>IF(ISNA(MATCH(J$2,Inputs!$K$4:$AJ$4,0)),NA(),IF(SUMPRODUCT((Inputs!$A$5:$A$160=$B35)*ISNUMBER(INDEX(Inputs!$K$5:$AJ$160,0,MATCH(J$2,Inputs!$K$4:$AJ$4,0))))+SUMPRODUCT((Inputs!$C$5:$C$160=$B35)*ISNUMBER(INDEX(Inputs!$K$5:$AJ$160,0,MATCH(J$2,Inputs!$K$4:$AJ$4,0))))+SUMPRODUCT((Inputs!$E$5:$E$160=$B35)*ISNUMBER(INDEX(Inputs!$K$5:$AJ$160,0,MATCH(J$2,Inputs!$K$4:$AJ$4,0))))=0,NA(),SUMPRODUCT((Inputs!$A$5:$A$160=$B35)*Inputs!$B$5:$B$160*(((Inputs!$G$5:$G$160="moeda")+(Inputs!$G$5:$G$160="acoes"))*Inputs!$B$1+((Inputs!$G$5:$G$160&lt;&gt;"moeda")*(Inputs!$G$5:$G$160&lt;&gt;"acoes")))*INDEX(Inputs!$K$5:$AJ$160,0,MATCH(J$2,Inputs!$K$4:$AJ$4,0)))+SUMPRODUCT((Inputs!$C$5:$C$160=$B35)*Inputs!$D$5:$D$160*(((Inputs!$G$5:$G$160="moeda")+(Inputs!$G$5:$G$160="acoes"))*Inputs!$B$1+((Inputs!$G$5:$G$160&lt;&gt;"moeda")*(Inputs!$G$5:$G$160&lt;&gt;"acoes")))*INDEX(Inputs!$K$5:$AJ$160,0,MATCH(J$2,Inputs!$K$4:$AJ$4,0)))+SUMPRODUCT((Inputs!$E$5:$E$160=$B35)*Inputs!$F$5:$F$160*(((Inputs!$G$5:$G$160="moeda")+(Inputs!$G$5:$G$160="acoes"))*Inputs!$B$1+((Inputs!$G$5:$G$160&lt;&gt;"moeda")*(Inputs!$G$5:$G$160&lt;&gt;"acoes")))*INDEX(Inputs!$K$5:$AJ$160,0,MATCH(J$2,Inputs!$K$4:$AJ$4,0)))))</f>
        <v>2198.94245932</v>
      </c>
      <c r="K35" s="6">
        <f>IF(ISNA(MATCH(K$2,Inputs!$K$4:$AJ$4,0)),NA(),IF(SUMPRODUCT((Inputs!$A$5:$A$160=$B35)*ISNUMBER(INDEX(Inputs!$K$5:$AJ$160,0,MATCH(K$2,Inputs!$K$4:$AJ$4,0))))+SUMPRODUCT((Inputs!$C$5:$C$160=$B35)*ISNUMBER(INDEX(Inputs!$K$5:$AJ$160,0,MATCH(K$2,Inputs!$K$4:$AJ$4,0))))+SUMPRODUCT((Inputs!$E$5:$E$160=$B35)*ISNUMBER(INDEX(Inputs!$K$5:$AJ$160,0,MATCH(K$2,Inputs!$K$4:$AJ$4,0))))=0,NA(),SUMPRODUCT((Inputs!$A$5:$A$160=$B35)*Inputs!$B$5:$B$160*(((Inputs!$G$5:$G$160="moeda")+(Inputs!$G$5:$G$160="acoes"))*Inputs!$B$1+((Inputs!$G$5:$G$160&lt;&gt;"moeda")*(Inputs!$G$5:$G$160&lt;&gt;"acoes")))*INDEX(Inputs!$K$5:$AJ$160,0,MATCH(K$2,Inputs!$K$4:$AJ$4,0)))+SUMPRODUCT((Inputs!$C$5:$C$160=$B35)*Inputs!$D$5:$D$160*(((Inputs!$G$5:$G$160="moeda")+(Inputs!$G$5:$G$160="acoes"))*Inputs!$B$1+((Inputs!$G$5:$G$160&lt;&gt;"moeda")*(Inputs!$G$5:$G$160&lt;&gt;"acoes")))*INDEX(Inputs!$K$5:$AJ$160,0,MATCH(K$2,Inputs!$K$4:$AJ$4,0)))+SUMPRODUCT((Inputs!$E$5:$E$160=$B35)*Inputs!$F$5:$F$160*(((Inputs!$G$5:$G$160="moeda")+(Inputs!$G$5:$G$160="acoes"))*Inputs!$B$1+((Inputs!$G$5:$G$160&lt;&gt;"moeda")*(Inputs!$G$5:$G$160&lt;&gt;"acoes")))*INDEX(Inputs!$K$5:$AJ$160,0,MATCH(K$2,Inputs!$K$4:$AJ$4,0)))))</f>
        <v>2198.90955949</v>
      </c>
      <c r="L35" s="6">
        <f>IF(ISNA(MATCH(L$2,Inputs!$K$4:$AJ$4,0)),NA(),IF(SUMPRODUCT((Inputs!$A$5:$A$160=$B35)*ISNUMBER(INDEX(Inputs!$K$5:$AJ$160,0,MATCH(L$2,Inputs!$K$4:$AJ$4,0))))+SUMPRODUCT((Inputs!$C$5:$C$160=$B35)*ISNUMBER(INDEX(Inputs!$K$5:$AJ$160,0,MATCH(L$2,Inputs!$K$4:$AJ$4,0))))+SUMPRODUCT((Inputs!$E$5:$E$160=$B35)*ISNUMBER(INDEX(Inputs!$K$5:$AJ$160,0,MATCH(L$2,Inputs!$K$4:$AJ$4,0))))=0,NA(),SUMPRODUCT((Inputs!$A$5:$A$160=$B35)*Inputs!$B$5:$B$160*(((Inputs!$G$5:$G$160="moeda")+(Inputs!$G$5:$G$160="acoes"))*Inputs!$B$1+((Inputs!$G$5:$G$160&lt;&gt;"moeda")*(Inputs!$G$5:$G$160&lt;&gt;"acoes")))*INDEX(Inputs!$K$5:$AJ$160,0,MATCH(L$2,Inputs!$K$4:$AJ$4,0)))+SUMPRODUCT((Inputs!$C$5:$C$160=$B35)*Inputs!$D$5:$D$160*(((Inputs!$G$5:$G$160="moeda")+(Inputs!$G$5:$G$160="acoes"))*Inputs!$B$1+((Inputs!$G$5:$G$160&lt;&gt;"moeda")*(Inputs!$G$5:$G$160&lt;&gt;"acoes")))*INDEX(Inputs!$K$5:$AJ$160,0,MATCH(L$2,Inputs!$K$4:$AJ$4,0)))+SUMPRODUCT((Inputs!$E$5:$E$160=$B35)*Inputs!$F$5:$F$160*(((Inputs!$G$5:$G$160="moeda")+(Inputs!$G$5:$G$160="acoes"))*Inputs!$B$1+((Inputs!$G$5:$G$160&lt;&gt;"moeda")*(Inputs!$G$5:$G$160&lt;&gt;"acoes")))*INDEX(Inputs!$K$5:$AJ$160,0,MATCH(L$2,Inputs!$K$4:$AJ$4,0)))))</f>
        <v>2198.91676294</v>
      </c>
      <c r="M35" s="3">
        <f>L35</f>
        <v>2198.91676294</v>
      </c>
      <c r="N35" s="6">
        <f>IF(ISNA(MATCH(N$2,Inputs!$K$4:$AJ$4,0)),NA(),IF(SUMPRODUCT((Inputs!$A$5:$A$160=$B35)*ISNUMBER(INDEX(Inputs!$K$5:$AJ$160,0,MATCH(N$2,Inputs!$K$4:$AJ$4,0))))+SUMPRODUCT((Inputs!$C$5:$C$160=$B35)*ISNUMBER(INDEX(Inputs!$K$5:$AJ$160,0,MATCH(N$2,Inputs!$K$4:$AJ$4,0))))+SUMPRODUCT((Inputs!$E$5:$E$160=$B35)*ISNUMBER(INDEX(Inputs!$K$5:$AJ$160,0,MATCH(N$2,Inputs!$K$4:$AJ$4,0))))=0,NA(),SUMPRODUCT((Inputs!$A$5:$A$160=$B35)*Inputs!$B$5:$B$160*(((Inputs!$G$5:$G$160="moeda")+(Inputs!$G$5:$G$160="acoes"))*Inputs!$B$1+((Inputs!$G$5:$G$160&lt;&gt;"moeda")*(Inputs!$G$5:$G$160&lt;&gt;"acoes")))*INDEX(Inputs!$K$5:$AJ$160,0,MATCH(N$2,Inputs!$K$4:$AJ$4,0)))+SUMPRODUCT((Inputs!$C$5:$C$160=$B35)*Inputs!$D$5:$D$160*(((Inputs!$G$5:$G$160="moeda")+(Inputs!$G$5:$G$160="acoes"))*Inputs!$B$1+((Inputs!$G$5:$G$160&lt;&gt;"moeda")*(Inputs!$G$5:$G$160&lt;&gt;"acoes")))*INDEX(Inputs!$K$5:$AJ$160,0,MATCH(N$2,Inputs!$K$4:$AJ$4,0)))+SUMPRODUCT((Inputs!$E$5:$E$160=$B35)*Inputs!$F$5:$F$160*(((Inputs!$G$5:$G$160="moeda")+(Inputs!$G$5:$G$160="acoes"))*Inputs!$B$1+((Inputs!$G$5:$G$160&lt;&gt;"moeda")*(Inputs!$G$5:$G$160&lt;&gt;"acoes")))*INDEX(Inputs!$K$5:$AJ$160,0,MATCH(N$2,Inputs!$K$4:$AJ$4,0)))))</f>
        <v>2199.00417427</v>
      </c>
      <c r="O35" s="6">
        <f>IF(ISNA(MATCH(O$2,Inputs!$K$4:$AJ$4,0)),NA(),IF(SUMPRODUCT((Inputs!$A$5:$A$160=$B35)*ISNUMBER(INDEX(Inputs!$K$5:$AJ$160,0,MATCH(O$2,Inputs!$K$4:$AJ$4,0))))+SUMPRODUCT((Inputs!$C$5:$C$160=$B35)*ISNUMBER(INDEX(Inputs!$K$5:$AJ$160,0,MATCH(O$2,Inputs!$K$4:$AJ$4,0))))+SUMPRODUCT((Inputs!$E$5:$E$160=$B35)*ISNUMBER(INDEX(Inputs!$K$5:$AJ$160,0,MATCH(O$2,Inputs!$K$4:$AJ$4,0))))=0,NA(),SUMPRODUCT((Inputs!$A$5:$A$160=$B35)*Inputs!$B$5:$B$160*(((Inputs!$G$5:$G$160="moeda")+(Inputs!$G$5:$G$160="acoes"))*Inputs!$B$1+((Inputs!$G$5:$G$160&lt;&gt;"moeda")*(Inputs!$G$5:$G$160&lt;&gt;"acoes")))*INDEX(Inputs!$K$5:$AJ$160,0,MATCH(O$2,Inputs!$K$4:$AJ$4,0)))+SUMPRODUCT((Inputs!$C$5:$C$160=$B35)*Inputs!$D$5:$D$160*(((Inputs!$G$5:$G$160="moeda")+(Inputs!$G$5:$G$160="acoes"))*Inputs!$B$1+((Inputs!$G$5:$G$160&lt;&gt;"moeda")*(Inputs!$G$5:$G$160&lt;&gt;"acoes")))*INDEX(Inputs!$K$5:$AJ$160,0,MATCH(O$2,Inputs!$K$4:$AJ$4,0)))+SUMPRODUCT((Inputs!$E$5:$E$160=$B35)*Inputs!$F$5:$F$160*(((Inputs!$G$5:$G$160="moeda")+(Inputs!$G$5:$G$160="acoes"))*Inputs!$B$1+((Inputs!$G$5:$G$160&lt;&gt;"moeda")*(Inputs!$G$5:$G$160&lt;&gt;"acoes")))*INDEX(Inputs!$K$5:$AJ$160,0,MATCH(O$2,Inputs!$K$4:$AJ$4,0)))))</f>
        <v>2199.379</v>
      </c>
      <c r="P35" s="6">
        <f>IF(ISNA(MATCH(P$2,Inputs!$K$4:$AJ$4,0)),NA(),IF(SUMPRODUCT((Inputs!$A$5:$A$160=$B35)*ISNUMBER(INDEX(Inputs!$K$5:$AJ$160,0,MATCH(P$2,Inputs!$K$4:$AJ$4,0))))+SUMPRODUCT((Inputs!$C$5:$C$160=$B35)*ISNUMBER(INDEX(Inputs!$K$5:$AJ$160,0,MATCH(P$2,Inputs!$K$4:$AJ$4,0))))+SUMPRODUCT((Inputs!$E$5:$E$160=$B35)*ISNUMBER(INDEX(Inputs!$K$5:$AJ$160,0,MATCH(P$2,Inputs!$K$4:$AJ$4,0))))=0,NA(),SUMPRODUCT((Inputs!$A$5:$A$160=$B35)*Inputs!$B$5:$B$160*(((Inputs!$G$5:$G$160="moeda")+(Inputs!$G$5:$G$160="acoes"))*Inputs!$B$1+((Inputs!$G$5:$G$160&lt;&gt;"moeda")*(Inputs!$G$5:$G$160&lt;&gt;"acoes")))*INDEX(Inputs!$K$5:$AJ$160,0,MATCH(P$2,Inputs!$K$4:$AJ$4,0)))+SUMPRODUCT((Inputs!$C$5:$C$160=$B35)*Inputs!$D$5:$D$160*(((Inputs!$G$5:$G$160="moeda")+(Inputs!$G$5:$G$160="acoes"))*Inputs!$B$1+((Inputs!$G$5:$G$160&lt;&gt;"moeda")*(Inputs!$G$5:$G$160&lt;&gt;"acoes")))*INDEX(Inputs!$K$5:$AJ$160,0,MATCH(P$2,Inputs!$K$4:$AJ$4,0)))+SUMPRODUCT((Inputs!$E$5:$E$160=$B35)*Inputs!$F$5:$F$160*(((Inputs!$G$5:$G$160="moeda")+(Inputs!$G$5:$G$160="acoes"))*Inputs!$B$1+((Inputs!$G$5:$G$160&lt;&gt;"moeda")*(Inputs!$G$5:$G$160&lt;&gt;"acoes")))*INDEX(Inputs!$K$5:$AJ$160,0,MATCH(P$2,Inputs!$K$4:$AJ$4,0)))))</f>
        <v>2201.791</v>
      </c>
      <c r="Q35" s="6">
        <f>IF(ISNA(MATCH(Q$2,Inputs!$K$4:$AJ$4,0)),NA(),IF(SUMPRODUCT((Inputs!$A$5:$A$160=$B35)*ISNUMBER(INDEX(Inputs!$K$5:$AJ$160,0,MATCH(Q$2,Inputs!$K$4:$AJ$4,0))))+SUMPRODUCT((Inputs!$C$5:$C$160=$B35)*ISNUMBER(INDEX(Inputs!$K$5:$AJ$160,0,MATCH(Q$2,Inputs!$K$4:$AJ$4,0))))+SUMPRODUCT((Inputs!$E$5:$E$160=$B35)*ISNUMBER(INDEX(Inputs!$K$5:$AJ$160,0,MATCH(Q$2,Inputs!$K$4:$AJ$4,0))))=0,NA(),SUMPRODUCT((Inputs!$A$5:$A$160=$B35)*Inputs!$B$5:$B$160*(((Inputs!$G$5:$G$160="moeda")+(Inputs!$G$5:$G$160="acoes"))*Inputs!$B$1+((Inputs!$G$5:$G$160&lt;&gt;"moeda")*(Inputs!$G$5:$G$160&lt;&gt;"acoes")))*INDEX(Inputs!$K$5:$AJ$160,0,MATCH(Q$2,Inputs!$K$4:$AJ$4,0)))+SUMPRODUCT((Inputs!$C$5:$C$160=$B35)*Inputs!$D$5:$D$160*(((Inputs!$G$5:$G$160="moeda")+(Inputs!$G$5:$G$160="acoes"))*Inputs!$B$1+((Inputs!$G$5:$G$160&lt;&gt;"moeda")*(Inputs!$G$5:$G$160&lt;&gt;"acoes")))*INDEX(Inputs!$K$5:$AJ$160,0,MATCH(Q$2,Inputs!$K$4:$AJ$4,0)))+SUMPRODUCT((Inputs!$E$5:$E$160=$B35)*Inputs!$F$5:$F$160*(((Inputs!$G$5:$G$160="moeda")+(Inputs!$G$5:$G$160="acoes"))*Inputs!$B$1+((Inputs!$G$5:$G$160&lt;&gt;"moeda")*(Inputs!$G$5:$G$160&lt;&gt;"acoes")))*INDEX(Inputs!$K$5:$AJ$160,0,MATCH(Q$2,Inputs!$K$4:$AJ$4,0)))))</f>
        <v>2501.478</v>
      </c>
      <c r="R35" s="3">
        <f>Q35</f>
        <v>2501.478</v>
      </c>
      <c r="S35" s="6">
        <f>IF(ISNA(MATCH(S$2,Inputs!$K$4:$AJ$4,0)),NA(),IF(SUMPRODUCT((Inputs!$A$5:$A$160=$B35)*ISNUMBER(INDEX(Inputs!$K$5:$AJ$160,0,MATCH(S$2,Inputs!$K$4:$AJ$4,0))))+SUMPRODUCT((Inputs!$C$5:$C$160=$B35)*ISNUMBER(INDEX(Inputs!$K$5:$AJ$160,0,MATCH(S$2,Inputs!$K$4:$AJ$4,0))))+SUMPRODUCT((Inputs!$E$5:$E$160=$B35)*ISNUMBER(INDEX(Inputs!$K$5:$AJ$160,0,MATCH(S$2,Inputs!$K$4:$AJ$4,0))))=0,NA(),SUMPRODUCT((Inputs!$A$5:$A$160=$B35)*Inputs!$B$5:$B$160*(((Inputs!$G$5:$G$160="moeda")+(Inputs!$G$5:$G$160="acoes"))*Inputs!$B$1+((Inputs!$G$5:$G$160&lt;&gt;"moeda")*(Inputs!$G$5:$G$160&lt;&gt;"acoes")))*INDEX(Inputs!$K$5:$AJ$160,0,MATCH(S$2,Inputs!$K$4:$AJ$4,0)))+SUMPRODUCT((Inputs!$C$5:$C$160=$B35)*Inputs!$D$5:$D$160*(((Inputs!$G$5:$G$160="moeda")+(Inputs!$G$5:$G$160="acoes"))*Inputs!$B$1+((Inputs!$G$5:$G$160&lt;&gt;"moeda")*(Inputs!$G$5:$G$160&lt;&gt;"acoes")))*INDEX(Inputs!$K$5:$AJ$160,0,MATCH(S$2,Inputs!$K$4:$AJ$4,0)))+SUMPRODUCT((Inputs!$E$5:$E$160=$B35)*Inputs!$F$5:$F$160*(((Inputs!$G$5:$G$160="moeda")+(Inputs!$G$5:$G$160="acoes"))*Inputs!$B$1+((Inputs!$G$5:$G$160&lt;&gt;"moeda")*(Inputs!$G$5:$G$160&lt;&gt;"acoes")))*INDEX(Inputs!$K$5:$AJ$160,0,MATCH(S$2,Inputs!$K$4:$AJ$4,0)))))</f>
        <v>2501.374</v>
      </c>
      <c r="T35" s="6">
        <f>IF(ISNA(MATCH(T$2,Inputs!$K$4:$AJ$4,0)),NA(),IF(SUMPRODUCT((Inputs!$A$5:$A$160=$B35)*ISNUMBER(INDEX(Inputs!$K$5:$AJ$160,0,MATCH(T$2,Inputs!$K$4:$AJ$4,0))))+SUMPRODUCT((Inputs!$C$5:$C$160=$B35)*ISNUMBER(INDEX(Inputs!$K$5:$AJ$160,0,MATCH(T$2,Inputs!$K$4:$AJ$4,0))))+SUMPRODUCT((Inputs!$E$5:$E$160=$B35)*ISNUMBER(INDEX(Inputs!$K$5:$AJ$160,0,MATCH(T$2,Inputs!$K$4:$AJ$4,0))))=0,NA(),SUMPRODUCT((Inputs!$A$5:$A$160=$B35)*Inputs!$B$5:$B$160*(((Inputs!$G$5:$G$160="moeda")+(Inputs!$G$5:$G$160="acoes"))*Inputs!$B$1+((Inputs!$G$5:$G$160&lt;&gt;"moeda")*(Inputs!$G$5:$G$160&lt;&gt;"acoes")))*INDEX(Inputs!$K$5:$AJ$160,0,MATCH(T$2,Inputs!$K$4:$AJ$4,0)))+SUMPRODUCT((Inputs!$C$5:$C$160=$B35)*Inputs!$D$5:$D$160*(((Inputs!$G$5:$G$160="moeda")+(Inputs!$G$5:$G$160="acoes"))*Inputs!$B$1+((Inputs!$G$5:$G$160&lt;&gt;"moeda")*(Inputs!$G$5:$G$160&lt;&gt;"acoes")))*INDEX(Inputs!$K$5:$AJ$160,0,MATCH(T$2,Inputs!$K$4:$AJ$4,0)))+SUMPRODUCT((Inputs!$E$5:$E$160=$B35)*Inputs!$F$5:$F$160*(((Inputs!$G$5:$G$160="moeda")+(Inputs!$G$5:$G$160="acoes"))*Inputs!$B$1+((Inputs!$G$5:$G$160&lt;&gt;"moeda")*(Inputs!$G$5:$G$160&lt;&gt;"acoes")))*INDEX(Inputs!$K$5:$AJ$160,0,MATCH(T$2,Inputs!$K$4:$AJ$4,0)))))</f>
        <v>3499.92</v>
      </c>
      <c r="U35" s="6">
        <f>IF(ISNA(MATCH(U$2,Inputs!$K$4:$AJ$4,0)),NA(),IF(SUMPRODUCT((Inputs!$A$5:$A$160=$B35)*ISNUMBER(INDEX(Inputs!$K$5:$AJ$160,0,MATCH(U$2,Inputs!$K$4:$AJ$4,0))))+SUMPRODUCT((Inputs!$C$5:$C$160=$B35)*ISNUMBER(INDEX(Inputs!$K$5:$AJ$160,0,MATCH(U$2,Inputs!$K$4:$AJ$4,0))))+SUMPRODUCT((Inputs!$E$5:$E$160=$B35)*ISNUMBER(INDEX(Inputs!$K$5:$AJ$160,0,MATCH(U$2,Inputs!$K$4:$AJ$4,0))))=0,NA(),SUMPRODUCT((Inputs!$A$5:$A$160=$B35)*Inputs!$B$5:$B$160*(((Inputs!$G$5:$G$160="moeda")+(Inputs!$G$5:$G$160="acoes"))*Inputs!$B$1+((Inputs!$G$5:$G$160&lt;&gt;"moeda")*(Inputs!$G$5:$G$160&lt;&gt;"acoes")))*INDEX(Inputs!$K$5:$AJ$160,0,MATCH(U$2,Inputs!$K$4:$AJ$4,0)))+SUMPRODUCT((Inputs!$C$5:$C$160=$B35)*Inputs!$D$5:$D$160*(((Inputs!$G$5:$G$160="moeda")+(Inputs!$G$5:$G$160="acoes"))*Inputs!$B$1+((Inputs!$G$5:$G$160&lt;&gt;"moeda")*(Inputs!$G$5:$G$160&lt;&gt;"acoes")))*INDEX(Inputs!$K$5:$AJ$160,0,MATCH(U$2,Inputs!$K$4:$AJ$4,0)))+SUMPRODUCT((Inputs!$E$5:$E$160=$B35)*Inputs!$F$5:$F$160*(((Inputs!$G$5:$G$160="moeda")+(Inputs!$G$5:$G$160="acoes"))*Inputs!$B$1+((Inputs!$G$5:$G$160&lt;&gt;"moeda")*(Inputs!$G$5:$G$160&lt;&gt;"acoes")))*INDEX(Inputs!$K$5:$AJ$160,0,MATCH(U$2,Inputs!$K$4:$AJ$4,0)))))</f>
        <v>3249.82</v>
      </c>
      <c r="V35" s="6">
        <f>IF(ISNA(MATCH(V$2,Inputs!$K$4:$AJ$4,0)),NA(),IF(SUMPRODUCT((Inputs!$A$5:$A$160=$B35)*ISNUMBER(INDEX(Inputs!$K$5:$AJ$160,0,MATCH(V$2,Inputs!$K$4:$AJ$4,0))))+SUMPRODUCT((Inputs!$C$5:$C$160=$B35)*ISNUMBER(INDEX(Inputs!$K$5:$AJ$160,0,MATCH(V$2,Inputs!$K$4:$AJ$4,0))))+SUMPRODUCT((Inputs!$E$5:$E$160=$B35)*ISNUMBER(INDEX(Inputs!$K$5:$AJ$160,0,MATCH(V$2,Inputs!$K$4:$AJ$4,0))))=0,NA(),SUMPRODUCT((Inputs!$A$5:$A$160=$B35)*Inputs!$B$5:$B$160*(((Inputs!$G$5:$G$160="moeda")+(Inputs!$G$5:$G$160="acoes"))*Inputs!$B$1+((Inputs!$G$5:$G$160&lt;&gt;"moeda")*(Inputs!$G$5:$G$160&lt;&gt;"acoes")))*INDEX(Inputs!$K$5:$AJ$160,0,MATCH(V$2,Inputs!$K$4:$AJ$4,0)))+SUMPRODUCT((Inputs!$C$5:$C$160=$B35)*Inputs!$D$5:$D$160*(((Inputs!$G$5:$G$160="moeda")+(Inputs!$G$5:$G$160="acoes"))*Inputs!$B$1+((Inputs!$G$5:$G$160&lt;&gt;"moeda")*(Inputs!$G$5:$G$160&lt;&gt;"acoes")))*INDEX(Inputs!$K$5:$AJ$160,0,MATCH(V$2,Inputs!$K$4:$AJ$4,0)))+SUMPRODUCT((Inputs!$E$5:$E$160=$B35)*Inputs!$F$5:$F$160*(((Inputs!$G$5:$G$160="moeda")+(Inputs!$G$5:$G$160="acoes"))*Inputs!$B$1+((Inputs!$G$5:$G$160&lt;&gt;"moeda")*(Inputs!$G$5:$G$160&lt;&gt;"acoes")))*INDEX(Inputs!$K$5:$AJ$160,0,MATCH(V$2,Inputs!$K$4:$AJ$4,0)))))</f>
        <v>3898.314</v>
      </c>
      <c r="W35" s="3">
        <f>V35</f>
        <v>3898.314</v>
      </c>
      <c r="X35" s="6">
        <f>IF(ISNA(MATCH(X$2,Inputs!$K$4:$AJ$4,0)),NA(),IF(SUMPRODUCT((Inputs!$A$5:$A$160=$B35)*ISNUMBER(INDEX(Inputs!$K$5:$AJ$160,0,MATCH(X$2,Inputs!$K$4:$AJ$4,0))))+SUMPRODUCT((Inputs!$C$5:$C$160=$B35)*ISNUMBER(INDEX(Inputs!$K$5:$AJ$160,0,MATCH(X$2,Inputs!$K$4:$AJ$4,0))))+SUMPRODUCT((Inputs!$E$5:$E$160=$B35)*ISNUMBER(INDEX(Inputs!$K$5:$AJ$160,0,MATCH(X$2,Inputs!$K$4:$AJ$4,0))))=0,NA(),SUMPRODUCT((Inputs!$A$5:$A$160=$B35)*Inputs!$B$5:$B$160*(((Inputs!$G$5:$G$160="moeda")+(Inputs!$G$5:$G$160="acoes"))*Inputs!$B$1+((Inputs!$G$5:$G$160&lt;&gt;"moeda")*(Inputs!$G$5:$G$160&lt;&gt;"acoes")))*INDEX(Inputs!$K$5:$AJ$160,0,MATCH(X$2,Inputs!$K$4:$AJ$4,0)))+SUMPRODUCT((Inputs!$C$5:$C$160=$B35)*Inputs!$D$5:$D$160*(((Inputs!$G$5:$G$160="moeda")+(Inputs!$G$5:$G$160="acoes"))*Inputs!$B$1+((Inputs!$G$5:$G$160&lt;&gt;"moeda")*(Inputs!$G$5:$G$160&lt;&gt;"acoes")))*INDEX(Inputs!$K$5:$AJ$160,0,MATCH(X$2,Inputs!$K$4:$AJ$4,0)))+SUMPRODUCT((Inputs!$E$5:$E$160=$B35)*Inputs!$F$5:$F$160*(((Inputs!$G$5:$G$160="moeda")+(Inputs!$G$5:$G$160="acoes"))*Inputs!$B$1+((Inputs!$G$5:$G$160&lt;&gt;"moeda")*(Inputs!$G$5:$G$160&lt;&gt;"acoes")))*INDEX(Inputs!$K$5:$AJ$160,0,MATCH(X$2,Inputs!$K$4:$AJ$4,0)))))</f>
        <v>3898.372699</v>
      </c>
      <c r="Y35" s="6">
        <f>IF(ISNA(MATCH(Y$2,Inputs!$K$4:$AJ$4,0)),NA(),IF(SUMPRODUCT((Inputs!$A$5:$A$160=$B35)*ISNUMBER(INDEX(Inputs!$K$5:$AJ$160,0,MATCH(Y$2,Inputs!$K$4:$AJ$4,0))))+SUMPRODUCT((Inputs!$C$5:$C$160=$B35)*ISNUMBER(INDEX(Inputs!$K$5:$AJ$160,0,MATCH(Y$2,Inputs!$K$4:$AJ$4,0))))+SUMPRODUCT((Inputs!$E$5:$E$160=$B35)*ISNUMBER(INDEX(Inputs!$K$5:$AJ$160,0,MATCH(Y$2,Inputs!$K$4:$AJ$4,0))))=0,NA(),SUMPRODUCT((Inputs!$A$5:$A$160=$B35)*Inputs!$B$5:$B$160*(((Inputs!$G$5:$G$160="moeda")+(Inputs!$G$5:$G$160="acoes"))*Inputs!$B$1+((Inputs!$G$5:$G$160&lt;&gt;"moeda")*(Inputs!$G$5:$G$160&lt;&gt;"acoes")))*INDEX(Inputs!$K$5:$AJ$160,0,MATCH(Y$2,Inputs!$K$4:$AJ$4,0)))+SUMPRODUCT((Inputs!$C$5:$C$160=$B35)*Inputs!$D$5:$D$160*(((Inputs!$G$5:$G$160="moeda")+(Inputs!$G$5:$G$160="acoes"))*Inputs!$B$1+((Inputs!$G$5:$G$160&lt;&gt;"moeda")*(Inputs!$G$5:$G$160&lt;&gt;"acoes")))*INDEX(Inputs!$K$5:$AJ$160,0,MATCH(Y$2,Inputs!$K$4:$AJ$4,0)))+SUMPRODUCT((Inputs!$E$5:$E$160=$B35)*Inputs!$F$5:$F$160*(((Inputs!$G$5:$G$160="moeda")+(Inputs!$G$5:$G$160="acoes"))*Inputs!$B$1+((Inputs!$G$5:$G$160&lt;&gt;"moeda")*(Inputs!$G$5:$G$160&lt;&gt;"acoes")))*INDEX(Inputs!$K$5:$AJ$160,0,MATCH(Y$2,Inputs!$K$4:$AJ$4,0)))))</f>
        <v>3898.37</v>
      </c>
      <c r="Z35" s="6">
        <f>IF(ISNA(MATCH(Z$2,Inputs!$K$4:$AJ$4,0)),NA(),IF(SUMPRODUCT((Inputs!$A$5:$A$160=$B35)*ISNUMBER(INDEX(Inputs!$K$5:$AJ$160,0,MATCH(Z$2,Inputs!$K$4:$AJ$4,0))))+SUMPRODUCT((Inputs!$C$5:$C$160=$B35)*ISNUMBER(INDEX(Inputs!$K$5:$AJ$160,0,MATCH(Z$2,Inputs!$K$4:$AJ$4,0))))+SUMPRODUCT((Inputs!$E$5:$E$160=$B35)*ISNUMBER(INDEX(Inputs!$K$5:$AJ$160,0,MATCH(Z$2,Inputs!$K$4:$AJ$4,0))))=0,NA(),SUMPRODUCT((Inputs!$A$5:$A$160=$B35)*Inputs!$B$5:$B$160*(((Inputs!$G$5:$G$160="moeda")+(Inputs!$G$5:$G$160="acoes"))*Inputs!$B$1+((Inputs!$G$5:$G$160&lt;&gt;"moeda")*(Inputs!$G$5:$G$160&lt;&gt;"acoes")))*INDEX(Inputs!$K$5:$AJ$160,0,MATCH(Z$2,Inputs!$K$4:$AJ$4,0)))+SUMPRODUCT((Inputs!$C$5:$C$160=$B35)*Inputs!$D$5:$D$160*(((Inputs!$G$5:$G$160="moeda")+(Inputs!$G$5:$G$160="acoes"))*Inputs!$B$1+((Inputs!$G$5:$G$160&lt;&gt;"moeda")*(Inputs!$G$5:$G$160&lt;&gt;"acoes")))*INDEX(Inputs!$K$5:$AJ$160,0,MATCH(Z$2,Inputs!$K$4:$AJ$4,0)))+SUMPRODUCT((Inputs!$E$5:$E$160=$B35)*Inputs!$F$5:$F$160*(((Inputs!$G$5:$G$160="moeda")+(Inputs!$G$5:$G$160="acoes"))*Inputs!$B$1+((Inputs!$G$5:$G$160&lt;&gt;"moeda")*(Inputs!$G$5:$G$160&lt;&gt;"acoes")))*INDEX(Inputs!$K$5:$AJ$160,0,MATCH(Z$2,Inputs!$K$4:$AJ$4,0)))))</f>
        <v>3898.368</v>
      </c>
      <c r="AA35" s="6">
        <f>IF(ISNA(MATCH(AA$2,Inputs!$K$4:$AJ$4,0)),NA(),IF(SUMPRODUCT((Inputs!$A$5:$A$160=$B35)*ISNUMBER(INDEX(Inputs!$K$5:$AJ$160,0,MATCH(AA$2,Inputs!$K$4:$AJ$4,0))))+SUMPRODUCT((Inputs!$C$5:$C$160=$B35)*ISNUMBER(INDEX(Inputs!$K$5:$AJ$160,0,MATCH(AA$2,Inputs!$K$4:$AJ$4,0))))+SUMPRODUCT((Inputs!$E$5:$E$160=$B35)*ISNUMBER(INDEX(Inputs!$K$5:$AJ$160,0,MATCH(AA$2,Inputs!$K$4:$AJ$4,0))))=0,NA(),SUMPRODUCT((Inputs!$A$5:$A$160=$B35)*Inputs!$B$5:$B$160*(((Inputs!$G$5:$G$160="moeda")+(Inputs!$G$5:$G$160="acoes"))*Inputs!$B$1+((Inputs!$G$5:$G$160&lt;&gt;"moeda")*(Inputs!$G$5:$G$160&lt;&gt;"acoes")))*INDEX(Inputs!$K$5:$AJ$160,0,MATCH(AA$2,Inputs!$K$4:$AJ$4,0)))+SUMPRODUCT((Inputs!$C$5:$C$160=$B35)*Inputs!$D$5:$D$160*(((Inputs!$G$5:$G$160="moeda")+(Inputs!$G$5:$G$160="acoes"))*Inputs!$B$1+((Inputs!$G$5:$G$160&lt;&gt;"moeda")*(Inputs!$G$5:$G$160&lt;&gt;"acoes")))*INDEX(Inputs!$K$5:$AJ$160,0,MATCH(AA$2,Inputs!$K$4:$AJ$4,0)))+SUMPRODUCT((Inputs!$E$5:$E$160=$B35)*Inputs!$F$5:$F$160*(((Inputs!$G$5:$G$160="moeda")+(Inputs!$G$5:$G$160="acoes"))*Inputs!$B$1+((Inputs!$G$5:$G$160&lt;&gt;"moeda")*(Inputs!$G$5:$G$160&lt;&gt;"acoes")))*INDEX(Inputs!$K$5:$AJ$160,0,MATCH(AA$2,Inputs!$K$4:$AJ$4,0)))))</f>
        <v>3798.366</v>
      </c>
      <c r="AB35" s="3">
        <f>AA35</f>
        <v>3798.366</v>
      </c>
      <c r="AC35" s="6">
        <f>IF(ISNA(MATCH(AC$2,Inputs!$K$4:$AJ$4,0)),NA(),IF(SUMPRODUCT((Inputs!$A$5:$A$160=$B35)*ISNUMBER(INDEX(Inputs!$K$5:$AJ$160,0,MATCH(AC$2,Inputs!$K$4:$AJ$4,0))))+SUMPRODUCT((Inputs!$C$5:$C$160=$B35)*ISNUMBER(INDEX(Inputs!$K$5:$AJ$160,0,MATCH(AC$2,Inputs!$K$4:$AJ$4,0))))+SUMPRODUCT((Inputs!$E$5:$E$160=$B35)*ISNUMBER(INDEX(Inputs!$K$5:$AJ$160,0,MATCH(AC$2,Inputs!$K$4:$AJ$4,0))))=0,NA(),SUMPRODUCT((Inputs!$A$5:$A$160=$B35)*Inputs!$B$5:$B$160*(((Inputs!$G$5:$G$160="moeda")+(Inputs!$G$5:$G$160="acoes"))*Inputs!$B$1+((Inputs!$G$5:$G$160&lt;&gt;"moeda")*(Inputs!$G$5:$G$160&lt;&gt;"acoes")))*INDEX(Inputs!$K$5:$AJ$160,0,MATCH(AC$2,Inputs!$K$4:$AJ$4,0)))+SUMPRODUCT((Inputs!$C$5:$C$160=$B35)*Inputs!$D$5:$D$160*(((Inputs!$G$5:$G$160="moeda")+(Inputs!$G$5:$G$160="acoes"))*Inputs!$B$1+((Inputs!$G$5:$G$160&lt;&gt;"moeda")*(Inputs!$G$5:$G$160&lt;&gt;"acoes")))*INDEX(Inputs!$K$5:$AJ$160,0,MATCH(AC$2,Inputs!$K$4:$AJ$4,0)))+SUMPRODUCT((Inputs!$E$5:$E$160=$B35)*Inputs!$F$5:$F$160*(((Inputs!$G$5:$G$160="moeda")+(Inputs!$G$5:$G$160="acoes"))*Inputs!$B$1+((Inputs!$G$5:$G$160&lt;&gt;"moeda")*(Inputs!$G$5:$G$160&lt;&gt;"acoes")))*INDEX(Inputs!$K$5:$AJ$160,0,MATCH(AC$2,Inputs!$K$4:$AJ$4,0)))))</f>
        <v>3798.365</v>
      </c>
      <c r="AD35" s="6">
        <f>IF(ISNA(MATCH(AD$2,Inputs!$K$4:$AJ$4,0)),NA(),IF(SUMPRODUCT((Inputs!$A$5:$A$160=$B35)*ISNUMBER(INDEX(Inputs!$K$5:$AJ$160,0,MATCH(AD$2,Inputs!$K$4:$AJ$4,0))))+SUMPRODUCT((Inputs!$C$5:$C$160=$B35)*ISNUMBER(INDEX(Inputs!$K$5:$AJ$160,0,MATCH(AD$2,Inputs!$K$4:$AJ$4,0))))+SUMPRODUCT((Inputs!$E$5:$E$160=$B35)*ISNUMBER(INDEX(Inputs!$K$5:$AJ$160,0,MATCH(AD$2,Inputs!$K$4:$AJ$4,0))))=0,NA(),SUMPRODUCT((Inputs!$A$5:$A$160=$B35)*Inputs!$B$5:$B$160*(((Inputs!$G$5:$G$160="moeda")+(Inputs!$G$5:$G$160="acoes"))*Inputs!$B$1+((Inputs!$G$5:$G$160&lt;&gt;"moeda")*(Inputs!$G$5:$G$160&lt;&gt;"acoes")))*INDEX(Inputs!$K$5:$AJ$160,0,MATCH(AD$2,Inputs!$K$4:$AJ$4,0)))+SUMPRODUCT((Inputs!$C$5:$C$160=$B35)*Inputs!$D$5:$D$160*(((Inputs!$G$5:$G$160="moeda")+(Inputs!$G$5:$G$160="acoes"))*Inputs!$B$1+((Inputs!$G$5:$G$160&lt;&gt;"moeda")*(Inputs!$G$5:$G$160&lt;&gt;"acoes")))*INDEX(Inputs!$K$5:$AJ$160,0,MATCH(AD$2,Inputs!$K$4:$AJ$4,0)))+SUMPRODUCT((Inputs!$E$5:$E$160=$B35)*Inputs!$F$5:$F$160*(((Inputs!$G$5:$G$160="moeda")+(Inputs!$G$5:$G$160="acoes"))*Inputs!$B$1+((Inputs!$G$5:$G$160&lt;&gt;"moeda")*(Inputs!$G$5:$G$160&lt;&gt;"acoes")))*INDEX(Inputs!$K$5:$AJ$160,0,MATCH(AD$2,Inputs!$K$4:$AJ$4,0)))))</f>
        <v>3448.363</v>
      </c>
      <c r="AE35" s="6" t="e">
        <f>IF(ISNA(MATCH(AE$2,Inputs!$K$4:$AJ$4,0)),NA(),IF(SUMPRODUCT((Inputs!$A$5:$A$160=$B35)*ISNUMBER(INDEX(Inputs!$K$5:$AJ$160,0,MATCH(AE$2,Inputs!$K$4:$AJ$4,0))))+SUMPRODUCT((Inputs!$C$5:$C$160=$B35)*ISNUMBER(INDEX(Inputs!$K$5:$AJ$160,0,MATCH(AE$2,Inputs!$K$4:$AJ$4,0))))+SUMPRODUCT((Inputs!$E$5:$E$160=$B35)*ISNUMBER(INDEX(Inputs!$K$5:$AJ$160,0,MATCH(AE$2,Inputs!$K$4:$AJ$4,0))))=0,NA(),SUMPRODUCT((Inputs!$A$5:$A$160=$B35)*Inputs!$B$5:$B$160*(((Inputs!$G$5:$G$160="moeda")+(Inputs!$G$5:$G$160="acoes"))*Inputs!$B$1+((Inputs!$G$5:$G$160&lt;&gt;"moeda")*(Inputs!$G$5:$G$160&lt;&gt;"acoes")))*INDEX(Inputs!$K$5:$AJ$160,0,MATCH(AE$2,Inputs!$K$4:$AJ$4,0)))+SUMPRODUCT((Inputs!$C$5:$C$160=$B35)*Inputs!$D$5:$D$160*(((Inputs!$G$5:$G$160="moeda")+(Inputs!$G$5:$G$160="acoes"))*Inputs!$B$1+((Inputs!$G$5:$G$160&lt;&gt;"moeda")*(Inputs!$G$5:$G$160&lt;&gt;"acoes")))*INDEX(Inputs!$K$5:$AJ$160,0,MATCH(AE$2,Inputs!$K$4:$AJ$4,0)))+SUMPRODUCT((Inputs!$E$5:$E$160=$B35)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5" s="6" t="e">
        <f>IF(ISNA(MATCH(AF$2,Inputs!$K$4:$AJ$4,0)),NA(),IF(SUMPRODUCT((Inputs!$A$5:$A$160=$B35)*ISNUMBER(INDEX(Inputs!$K$5:$AJ$160,0,MATCH(AF$2,Inputs!$K$4:$AJ$4,0))))+SUMPRODUCT((Inputs!$C$5:$C$160=$B35)*ISNUMBER(INDEX(Inputs!$K$5:$AJ$160,0,MATCH(AF$2,Inputs!$K$4:$AJ$4,0))))+SUMPRODUCT((Inputs!$E$5:$E$160=$B35)*ISNUMBER(INDEX(Inputs!$K$5:$AJ$160,0,MATCH(AF$2,Inputs!$K$4:$AJ$4,0))))=0,NA(),SUMPRODUCT((Inputs!$A$5:$A$160=$B35)*Inputs!$B$5:$B$160*(((Inputs!$G$5:$G$160="moeda")+(Inputs!$G$5:$G$160="acoes"))*Inputs!$B$1+((Inputs!$G$5:$G$160&lt;&gt;"moeda")*(Inputs!$G$5:$G$160&lt;&gt;"acoes")))*INDEX(Inputs!$K$5:$AJ$160,0,MATCH(AF$2,Inputs!$K$4:$AJ$4,0)))+SUMPRODUCT((Inputs!$C$5:$C$160=$B35)*Inputs!$D$5:$D$160*(((Inputs!$G$5:$G$160="moeda")+(Inputs!$G$5:$G$160="acoes"))*Inputs!$B$1+((Inputs!$G$5:$G$160&lt;&gt;"moeda")*(Inputs!$G$5:$G$160&lt;&gt;"acoes")))*INDEX(Inputs!$K$5:$AJ$160,0,MATCH(AF$2,Inputs!$K$4:$AJ$4,0)))+SUMPRODUCT((Inputs!$E$5:$E$160=$B35)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5" s="3" t="e">
        <f>AF35</f>
        <v>#N/A</v>
      </c>
      <c r="AH35" s="6">
        <f>IF(ISNA(MATCH(AH$2,Inputs!$K$4:$AJ$4,0)),NA(),IF(SUMPRODUCT((Inputs!$A$5:$A$160=$B35)*ISNUMBER(INDEX(Inputs!$K$5:$AJ$160,0,MATCH(AH$2,Inputs!$K$4:$AJ$4,0))))+SUMPRODUCT((Inputs!$C$5:$C$160=$B35)*ISNUMBER(INDEX(Inputs!$K$5:$AJ$160,0,MATCH(AH$2,Inputs!$K$4:$AJ$4,0))))+SUMPRODUCT((Inputs!$E$5:$E$160=$B35)*ISNUMBER(INDEX(Inputs!$K$5:$AJ$160,0,MATCH(AH$2,Inputs!$K$4:$AJ$4,0))))=0,NA(),SUMPRODUCT((Inputs!$A$5:$A$160=$B35)*Inputs!$B$5:$B$160*(((Inputs!$G$5:$G$160="moeda")+(Inputs!$G$5:$G$160="acoes"))*Inputs!$B$1+((Inputs!$G$5:$G$160&lt;&gt;"moeda")*(Inputs!$G$5:$G$160&lt;&gt;"acoes")))*INDEX(Inputs!$K$5:$AJ$160,0,MATCH(AH$2,Inputs!$K$4:$AJ$4,0)))+SUMPRODUCT((Inputs!$C$5:$C$160=$B35)*Inputs!$D$5:$D$160*(((Inputs!$G$5:$G$160="moeda")+(Inputs!$G$5:$G$160="acoes"))*Inputs!$B$1+((Inputs!$G$5:$G$160&lt;&gt;"moeda")*(Inputs!$G$5:$G$160&lt;&gt;"acoes")))*INDEX(Inputs!$K$5:$AJ$160,0,MATCH(AH$2,Inputs!$K$4:$AJ$4,0)))+SUMPRODUCT((Inputs!$E$5:$E$160=$B35)*Inputs!$F$5:$F$160*(((Inputs!$G$5:$G$160="moeda")+(Inputs!$G$5:$G$160="acoes"))*Inputs!$B$1+((Inputs!$G$5:$G$160&lt;&gt;"moeda")*(Inputs!$G$5:$G$160&lt;&gt;"acoes")))*INDEX(Inputs!$K$5:$AJ$160,0,MATCH(AH$2,Inputs!$K$4:$AJ$4,0)))))</f>
        <v>1490.59748095</v>
      </c>
      <c r="AI35" s="6">
        <f>IF(ISNA(MATCH(AI$2,Inputs!$K$4:$AJ$4,0)),NA(),IF(SUMPRODUCT((Inputs!$A$5:$A$160=$B35)*ISNUMBER(INDEX(Inputs!$K$5:$AJ$160,0,MATCH(AI$2,Inputs!$K$4:$AJ$4,0))))+SUMPRODUCT((Inputs!$C$5:$C$160=$B35)*ISNUMBER(INDEX(Inputs!$K$5:$AJ$160,0,MATCH(AI$2,Inputs!$K$4:$AJ$4,0))))+SUMPRODUCT((Inputs!$E$5:$E$160=$B35)*ISNUMBER(INDEX(Inputs!$K$5:$AJ$160,0,MATCH(AI$2,Inputs!$K$4:$AJ$4,0))))=0,NA(),SUMPRODUCT((Inputs!$A$5:$A$160=$B35)*Inputs!$B$5:$B$160*(((Inputs!$G$5:$G$160="moeda")+(Inputs!$G$5:$G$160="acoes"))*Inputs!$B$1+((Inputs!$G$5:$G$160&lt;&gt;"moeda")*(Inputs!$G$5:$G$160&lt;&gt;"acoes")))*INDEX(Inputs!$K$5:$AJ$160,0,MATCH(AI$2,Inputs!$K$4:$AJ$4,0)))+SUMPRODUCT((Inputs!$C$5:$C$160=$B35)*Inputs!$D$5:$D$160*(((Inputs!$G$5:$G$160="moeda")+(Inputs!$G$5:$G$160="acoes"))*Inputs!$B$1+((Inputs!$G$5:$G$160&lt;&gt;"moeda")*(Inputs!$G$5:$G$160&lt;&gt;"acoes")))*INDEX(Inputs!$K$5:$AJ$160,0,MATCH(AI$2,Inputs!$K$4:$AJ$4,0)))+SUMPRODUCT((Inputs!$E$5:$E$160=$B35)*Inputs!$F$5:$F$160*(((Inputs!$G$5:$G$160="moeda")+(Inputs!$G$5:$G$160="acoes"))*Inputs!$B$1+((Inputs!$G$5:$G$160&lt;&gt;"moeda")*(Inputs!$G$5:$G$160&lt;&gt;"acoes")))*INDEX(Inputs!$K$5:$AJ$160,0,MATCH(AI$2,Inputs!$K$4:$AJ$4,0)))))</f>
        <v>1608.02496604</v>
      </c>
      <c r="AJ35" s="6">
        <f>IF(ISNA(MATCH(AJ$2,Inputs!$K$4:$AJ$4,0)),NA(),IF(SUMPRODUCT((Inputs!$A$5:$A$160=$B35)*ISNUMBER(INDEX(Inputs!$K$5:$AJ$160,0,MATCH(AJ$2,Inputs!$K$4:$AJ$4,0))))+SUMPRODUCT((Inputs!$C$5:$C$160=$B35)*ISNUMBER(INDEX(Inputs!$K$5:$AJ$160,0,MATCH(AJ$2,Inputs!$K$4:$AJ$4,0))))+SUMPRODUCT((Inputs!$E$5:$E$160=$B35)*ISNUMBER(INDEX(Inputs!$K$5:$AJ$160,0,MATCH(AJ$2,Inputs!$K$4:$AJ$4,0))))=0,NA(),SUMPRODUCT((Inputs!$A$5:$A$160=$B35)*Inputs!$B$5:$B$160*(((Inputs!$G$5:$G$160="moeda")+(Inputs!$G$5:$G$160="acoes"))*Inputs!$B$1+((Inputs!$G$5:$G$160&lt;&gt;"moeda")*(Inputs!$G$5:$G$160&lt;&gt;"acoes")))*INDEX(Inputs!$K$5:$AJ$160,0,MATCH(AJ$2,Inputs!$K$4:$AJ$4,0)))+SUMPRODUCT((Inputs!$C$5:$C$160=$B35)*Inputs!$D$5:$D$160*(((Inputs!$G$5:$G$160="moeda")+(Inputs!$G$5:$G$160="acoes"))*Inputs!$B$1+((Inputs!$G$5:$G$160&lt;&gt;"moeda")*(Inputs!$G$5:$G$160&lt;&gt;"acoes")))*INDEX(Inputs!$K$5:$AJ$160,0,MATCH(AJ$2,Inputs!$K$4:$AJ$4,0)))+SUMPRODUCT((Inputs!$E$5:$E$160=$B35)*Inputs!$F$5:$F$160*(((Inputs!$G$5:$G$160="moeda")+(Inputs!$G$5:$G$160="acoes"))*Inputs!$B$1+((Inputs!$G$5:$G$160&lt;&gt;"moeda")*(Inputs!$G$5:$G$160&lt;&gt;"acoes")))*INDEX(Inputs!$K$5:$AJ$160,0,MATCH(AJ$2,Inputs!$K$4:$AJ$4,0)))))</f>
        <v>1601.88611074</v>
      </c>
      <c r="AK35" s="6">
        <f>IF(ISNA(MATCH(AK$2,Inputs!$K$4:$AJ$4,0)),NA(),IF(SUMPRODUCT((Inputs!$A$5:$A$160=$B35)*ISNUMBER(INDEX(Inputs!$K$5:$AJ$160,0,MATCH(AK$2,Inputs!$K$4:$AJ$4,0))))+SUMPRODUCT((Inputs!$C$5:$C$160=$B35)*ISNUMBER(INDEX(Inputs!$K$5:$AJ$160,0,MATCH(AK$2,Inputs!$K$4:$AJ$4,0))))+SUMPRODUCT((Inputs!$E$5:$E$160=$B35)*ISNUMBER(INDEX(Inputs!$K$5:$AJ$160,0,MATCH(AK$2,Inputs!$K$4:$AJ$4,0))))=0,NA(),SUMPRODUCT((Inputs!$A$5:$A$160=$B35)*Inputs!$B$5:$B$160*(((Inputs!$G$5:$G$160="moeda")+(Inputs!$G$5:$G$160="acoes"))*Inputs!$B$1+((Inputs!$G$5:$G$160&lt;&gt;"moeda")*(Inputs!$G$5:$G$160&lt;&gt;"acoes")))*INDEX(Inputs!$K$5:$AJ$160,0,MATCH(AK$2,Inputs!$K$4:$AJ$4,0)))+SUMPRODUCT((Inputs!$C$5:$C$160=$B35)*Inputs!$D$5:$D$160*(((Inputs!$G$5:$G$160="moeda")+(Inputs!$G$5:$G$160="acoes"))*Inputs!$B$1+((Inputs!$G$5:$G$160&lt;&gt;"moeda")*(Inputs!$G$5:$G$160&lt;&gt;"acoes")))*INDEX(Inputs!$K$5:$AJ$160,0,MATCH(AK$2,Inputs!$K$4:$AJ$4,0)))+SUMPRODUCT((Inputs!$E$5:$E$160=$B35)*Inputs!$F$5:$F$160*(((Inputs!$G$5:$G$160="moeda")+(Inputs!$G$5:$G$160="acoes"))*Inputs!$B$1+((Inputs!$G$5:$G$160&lt;&gt;"moeda")*(Inputs!$G$5:$G$160&lt;&gt;"acoes")))*INDEX(Inputs!$K$5:$AJ$160,0,MATCH(AK$2,Inputs!$K$4:$AJ$4,0)))))</f>
        <v>1431.47082595</v>
      </c>
      <c r="AL35" s="3">
        <f>AK35</f>
        <v>1431.47082595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$160=$B36)*ISNUMBER(INDEX(Inputs!$K$5:$AJ$160,0,MATCH(D$2,Inputs!$K$4:$AJ$4,0))))+SUMPRODUCT((Inputs!$C$5:$C$160=$B36)*ISNUMBER(INDEX(Inputs!$K$5:$AJ$160,0,MATCH(D$2,Inputs!$K$4:$AJ$4,0))))+SUMPRODUCT((Inputs!$E$5:$E$160=$B36)*ISNUMBER(INDEX(Inputs!$K$5:$AJ$160,0,MATCH(D$2,Inputs!$K$4:$AJ$4,0))))=0,NA(),SUMPRODUCT((Inputs!$A$5:$A$160=$B36)*Inputs!$B$5:$B$160*(((Inputs!$G$5:$G$160="moeda")+(Inputs!$G$5:$G$160="acoes"))*Inputs!$B$1+((Inputs!$G$5:$G$160&lt;&gt;"moeda")*(Inputs!$G$5:$G$160&lt;&gt;"acoes")))*INDEX(Inputs!$K$5:$AJ$160,0,MATCH(D$2,Inputs!$K$4:$AJ$4,0)))+SUMPRODUCT((Inputs!$C$5:$C$160=$B36)*Inputs!$D$5:$D$160*(((Inputs!$G$5:$G$160="moeda")+(Inputs!$G$5:$G$160="acoes"))*Inputs!$B$1+((Inputs!$G$5:$G$160&lt;&gt;"moeda")*(Inputs!$G$5:$G$160&lt;&gt;"acoes")))*INDEX(Inputs!$K$5:$AJ$160,0,MATCH(D$2,Inputs!$K$4:$AJ$4,0)))+SUMPRODUCT((Inputs!$E$5:$E$160=$B36)*Inputs!$F$5:$F$160*(((Inputs!$G$5:$G$160="moeda")+(Inputs!$G$5:$G$160="acoes"))*Inputs!$B$1+((Inputs!$G$5:$G$160&lt;&gt;"moeda")*(Inputs!$G$5:$G$160&lt;&gt;"acoes")))*INDEX(Inputs!$K$5:$AJ$160,0,MATCH(D$2,Inputs!$K$4:$AJ$4,0)))))</f>
        <v>653.30756924</v>
      </c>
      <c r="E36" s="6">
        <f>IF(ISNA(MATCH(E$2,Inputs!$K$4:$AJ$4,0)),NA(),IF(SUMPRODUCT((Inputs!$A$5:$A$160=$B36)*ISNUMBER(INDEX(Inputs!$K$5:$AJ$160,0,MATCH(E$2,Inputs!$K$4:$AJ$4,0))))+SUMPRODUCT((Inputs!$C$5:$C$160=$B36)*ISNUMBER(INDEX(Inputs!$K$5:$AJ$160,0,MATCH(E$2,Inputs!$K$4:$AJ$4,0))))+SUMPRODUCT((Inputs!$E$5:$E$160=$B36)*ISNUMBER(INDEX(Inputs!$K$5:$AJ$160,0,MATCH(E$2,Inputs!$K$4:$AJ$4,0))))=0,NA(),SUMPRODUCT((Inputs!$A$5:$A$160=$B36)*Inputs!$B$5:$B$160*(((Inputs!$G$5:$G$160="moeda")+(Inputs!$G$5:$G$160="acoes"))*Inputs!$B$1+((Inputs!$G$5:$G$160&lt;&gt;"moeda")*(Inputs!$G$5:$G$160&lt;&gt;"acoes")))*INDEX(Inputs!$K$5:$AJ$160,0,MATCH(E$2,Inputs!$K$4:$AJ$4,0)))+SUMPRODUCT((Inputs!$C$5:$C$160=$B36)*Inputs!$D$5:$D$160*(((Inputs!$G$5:$G$160="moeda")+(Inputs!$G$5:$G$160="acoes"))*Inputs!$B$1+((Inputs!$G$5:$G$160&lt;&gt;"moeda")*(Inputs!$G$5:$G$160&lt;&gt;"acoes")))*INDEX(Inputs!$K$5:$AJ$160,0,MATCH(E$2,Inputs!$K$4:$AJ$4,0)))+SUMPRODUCT((Inputs!$E$5:$E$160=$B36)*Inputs!$F$5:$F$160*(((Inputs!$G$5:$G$160="moeda")+(Inputs!$G$5:$G$160="acoes"))*Inputs!$B$1+((Inputs!$G$5:$G$160&lt;&gt;"moeda")*(Inputs!$G$5:$G$160&lt;&gt;"acoes")))*INDEX(Inputs!$K$5:$AJ$160,0,MATCH(E$2,Inputs!$K$4:$AJ$4,0)))))</f>
        <v>637.70299012</v>
      </c>
      <c r="F36" s="6">
        <f>IF(ISNA(MATCH(F$2,Inputs!$K$4:$AJ$4,0)),NA(),IF(SUMPRODUCT((Inputs!$A$5:$A$160=$B36)*ISNUMBER(INDEX(Inputs!$K$5:$AJ$160,0,MATCH(F$2,Inputs!$K$4:$AJ$4,0))))+SUMPRODUCT((Inputs!$C$5:$C$160=$B36)*ISNUMBER(INDEX(Inputs!$K$5:$AJ$160,0,MATCH(F$2,Inputs!$K$4:$AJ$4,0))))+SUMPRODUCT((Inputs!$E$5:$E$160=$B36)*ISNUMBER(INDEX(Inputs!$K$5:$AJ$160,0,MATCH(F$2,Inputs!$K$4:$AJ$4,0))))=0,NA(),SUMPRODUCT((Inputs!$A$5:$A$160=$B36)*Inputs!$B$5:$B$160*(((Inputs!$G$5:$G$160="moeda")+(Inputs!$G$5:$G$160="acoes"))*Inputs!$B$1+((Inputs!$G$5:$G$160&lt;&gt;"moeda")*(Inputs!$G$5:$G$160&lt;&gt;"acoes")))*INDEX(Inputs!$K$5:$AJ$160,0,MATCH(F$2,Inputs!$K$4:$AJ$4,0)))+SUMPRODUCT((Inputs!$C$5:$C$160=$B36)*Inputs!$D$5:$D$160*(((Inputs!$G$5:$G$160="moeda")+(Inputs!$G$5:$G$160="acoes"))*Inputs!$B$1+((Inputs!$G$5:$G$160&lt;&gt;"moeda")*(Inputs!$G$5:$G$160&lt;&gt;"acoes")))*INDEX(Inputs!$K$5:$AJ$160,0,MATCH(F$2,Inputs!$K$4:$AJ$4,0)))+SUMPRODUCT((Inputs!$E$5:$E$160=$B36)*Inputs!$F$5:$F$160*(((Inputs!$G$5:$G$160="moeda")+(Inputs!$G$5:$G$160="acoes"))*Inputs!$B$1+((Inputs!$G$5:$G$160&lt;&gt;"moeda")*(Inputs!$G$5:$G$160&lt;&gt;"acoes")))*INDEX(Inputs!$K$5:$AJ$160,0,MATCH(F$2,Inputs!$K$4:$AJ$4,0)))))</f>
        <v>660.67497517</v>
      </c>
      <c r="G36" s="6">
        <f>IF(ISNA(MATCH(G$2,Inputs!$K$4:$AJ$4,0)),NA(),IF(SUMPRODUCT((Inputs!$A$5:$A$160=$B36)*ISNUMBER(INDEX(Inputs!$K$5:$AJ$160,0,MATCH(G$2,Inputs!$K$4:$AJ$4,0))))+SUMPRODUCT((Inputs!$C$5:$C$160=$B36)*ISNUMBER(INDEX(Inputs!$K$5:$AJ$160,0,MATCH(G$2,Inputs!$K$4:$AJ$4,0))))+SUMPRODUCT((Inputs!$E$5:$E$160=$B36)*ISNUMBER(INDEX(Inputs!$K$5:$AJ$160,0,MATCH(G$2,Inputs!$K$4:$AJ$4,0))))=0,NA(),SUMPRODUCT((Inputs!$A$5:$A$160=$B36)*Inputs!$B$5:$B$160*(((Inputs!$G$5:$G$160="moeda")+(Inputs!$G$5:$G$160="acoes"))*Inputs!$B$1+((Inputs!$G$5:$G$160&lt;&gt;"moeda")*(Inputs!$G$5:$G$160&lt;&gt;"acoes")))*INDEX(Inputs!$K$5:$AJ$160,0,MATCH(G$2,Inputs!$K$4:$AJ$4,0)))+SUMPRODUCT((Inputs!$C$5:$C$160=$B36)*Inputs!$D$5:$D$160*(((Inputs!$G$5:$G$160="moeda")+(Inputs!$G$5:$G$160="acoes"))*Inputs!$B$1+((Inputs!$G$5:$G$160&lt;&gt;"moeda")*(Inputs!$G$5:$G$160&lt;&gt;"acoes")))*INDEX(Inputs!$K$5:$AJ$160,0,MATCH(G$2,Inputs!$K$4:$AJ$4,0)))+SUMPRODUCT((Inputs!$E$5:$E$160=$B36)*Inputs!$F$5:$F$160*(((Inputs!$G$5:$G$160="moeda")+(Inputs!$G$5:$G$160="acoes"))*Inputs!$B$1+((Inputs!$G$5:$G$160&lt;&gt;"moeda")*(Inputs!$G$5:$G$160&lt;&gt;"acoes")))*INDEX(Inputs!$K$5:$AJ$160,0,MATCH(G$2,Inputs!$K$4:$AJ$4,0)))))</f>
        <v>694.57460451</v>
      </c>
      <c r="H36" s="3">
        <f>G36</f>
        <v>694.57460451</v>
      </c>
      <c r="I36" s="6">
        <f>IF(ISNA(MATCH(I$2,Inputs!$K$4:$AJ$4,0)),NA(),IF(SUMPRODUCT((Inputs!$A$5:$A$160=$B36)*ISNUMBER(INDEX(Inputs!$K$5:$AJ$160,0,MATCH(I$2,Inputs!$K$4:$AJ$4,0))))+SUMPRODUCT((Inputs!$C$5:$C$160=$B36)*ISNUMBER(INDEX(Inputs!$K$5:$AJ$160,0,MATCH(I$2,Inputs!$K$4:$AJ$4,0))))+SUMPRODUCT((Inputs!$E$5:$E$160=$B36)*ISNUMBER(INDEX(Inputs!$K$5:$AJ$160,0,MATCH(I$2,Inputs!$K$4:$AJ$4,0))))=0,NA(),SUMPRODUCT((Inputs!$A$5:$A$160=$B36)*Inputs!$B$5:$B$160*(((Inputs!$G$5:$G$160="moeda")+(Inputs!$G$5:$G$160="acoes"))*Inputs!$B$1+((Inputs!$G$5:$G$160&lt;&gt;"moeda")*(Inputs!$G$5:$G$160&lt;&gt;"acoes")))*INDEX(Inputs!$K$5:$AJ$160,0,MATCH(I$2,Inputs!$K$4:$AJ$4,0)))+SUMPRODUCT((Inputs!$C$5:$C$160=$B36)*Inputs!$D$5:$D$160*(((Inputs!$G$5:$G$160="moeda")+(Inputs!$G$5:$G$160="acoes"))*Inputs!$B$1+((Inputs!$G$5:$G$160&lt;&gt;"moeda")*(Inputs!$G$5:$G$160&lt;&gt;"acoes")))*INDEX(Inputs!$K$5:$AJ$160,0,MATCH(I$2,Inputs!$K$4:$AJ$4,0)))+SUMPRODUCT((Inputs!$E$5:$E$160=$B36)*Inputs!$F$5:$F$160*(((Inputs!$G$5:$G$160="moeda")+(Inputs!$G$5:$G$160="acoes"))*Inputs!$B$1+((Inputs!$G$5:$G$160&lt;&gt;"moeda")*(Inputs!$G$5:$G$160&lt;&gt;"acoes")))*INDEX(Inputs!$K$5:$AJ$160,0,MATCH(I$2,Inputs!$K$4:$AJ$4,0)))))</f>
        <v>731.44314163</v>
      </c>
      <c r="J36" s="6">
        <f>IF(ISNA(MATCH(J$2,Inputs!$K$4:$AJ$4,0)),NA(),IF(SUMPRODUCT((Inputs!$A$5:$A$160=$B36)*ISNUMBER(INDEX(Inputs!$K$5:$AJ$160,0,MATCH(J$2,Inputs!$K$4:$AJ$4,0))))+SUMPRODUCT((Inputs!$C$5:$C$160=$B36)*ISNUMBER(INDEX(Inputs!$K$5:$AJ$160,0,MATCH(J$2,Inputs!$K$4:$AJ$4,0))))+SUMPRODUCT((Inputs!$E$5:$E$160=$B36)*ISNUMBER(INDEX(Inputs!$K$5:$AJ$160,0,MATCH(J$2,Inputs!$K$4:$AJ$4,0))))=0,NA(),SUMPRODUCT((Inputs!$A$5:$A$160=$B36)*Inputs!$B$5:$B$160*(((Inputs!$G$5:$G$160="moeda")+(Inputs!$G$5:$G$160="acoes"))*Inputs!$B$1+((Inputs!$G$5:$G$160&lt;&gt;"moeda")*(Inputs!$G$5:$G$160&lt;&gt;"acoes")))*INDEX(Inputs!$K$5:$AJ$160,0,MATCH(J$2,Inputs!$K$4:$AJ$4,0)))+SUMPRODUCT((Inputs!$C$5:$C$160=$B36)*Inputs!$D$5:$D$160*(((Inputs!$G$5:$G$160="moeda")+(Inputs!$G$5:$G$160="acoes"))*Inputs!$B$1+((Inputs!$G$5:$G$160&lt;&gt;"moeda")*(Inputs!$G$5:$G$160&lt;&gt;"acoes")))*INDEX(Inputs!$K$5:$AJ$160,0,MATCH(J$2,Inputs!$K$4:$AJ$4,0)))+SUMPRODUCT((Inputs!$E$5:$E$160=$B36)*Inputs!$F$5:$F$160*(((Inputs!$G$5:$G$160="moeda")+(Inputs!$G$5:$G$160="acoes"))*Inputs!$B$1+((Inputs!$G$5:$G$160&lt;&gt;"moeda")*(Inputs!$G$5:$G$160&lt;&gt;"acoes")))*INDEX(Inputs!$K$5:$AJ$160,0,MATCH(J$2,Inputs!$K$4:$AJ$4,0)))))</f>
        <v>754.21563203</v>
      </c>
      <c r="K36" s="6">
        <f>IF(ISNA(MATCH(K$2,Inputs!$K$4:$AJ$4,0)),NA(),IF(SUMPRODUCT((Inputs!$A$5:$A$160=$B36)*ISNUMBER(INDEX(Inputs!$K$5:$AJ$160,0,MATCH(K$2,Inputs!$K$4:$AJ$4,0))))+SUMPRODUCT((Inputs!$C$5:$C$160=$B36)*ISNUMBER(INDEX(Inputs!$K$5:$AJ$160,0,MATCH(K$2,Inputs!$K$4:$AJ$4,0))))+SUMPRODUCT((Inputs!$E$5:$E$160=$B36)*ISNUMBER(INDEX(Inputs!$K$5:$AJ$160,0,MATCH(K$2,Inputs!$K$4:$AJ$4,0))))=0,NA(),SUMPRODUCT((Inputs!$A$5:$A$160=$B36)*Inputs!$B$5:$B$160*(((Inputs!$G$5:$G$160="moeda")+(Inputs!$G$5:$G$160="acoes"))*Inputs!$B$1+((Inputs!$G$5:$G$160&lt;&gt;"moeda")*(Inputs!$G$5:$G$160&lt;&gt;"acoes")))*INDEX(Inputs!$K$5:$AJ$160,0,MATCH(K$2,Inputs!$K$4:$AJ$4,0)))+SUMPRODUCT((Inputs!$C$5:$C$160=$B36)*Inputs!$D$5:$D$160*(((Inputs!$G$5:$G$160="moeda")+(Inputs!$G$5:$G$160="acoes"))*Inputs!$B$1+((Inputs!$G$5:$G$160&lt;&gt;"moeda")*(Inputs!$G$5:$G$160&lt;&gt;"acoes")))*INDEX(Inputs!$K$5:$AJ$160,0,MATCH(K$2,Inputs!$K$4:$AJ$4,0)))+SUMPRODUCT((Inputs!$E$5:$E$160=$B36)*Inputs!$F$5:$F$160*(((Inputs!$G$5:$G$160="moeda")+(Inputs!$G$5:$G$160="acoes"))*Inputs!$B$1+((Inputs!$G$5:$G$160&lt;&gt;"moeda")*(Inputs!$G$5:$G$160&lt;&gt;"acoes")))*INDEX(Inputs!$K$5:$AJ$160,0,MATCH(K$2,Inputs!$K$4:$AJ$4,0)))))</f>
        <v>735.36389905</v>
      </c>
      <c r="L36" s="6">
        <f>IF(ISNA(MATCH(L$2,Inputs!$K$4:$AJ$4,0)),NA(),IF(SUMPRODUCT((Inputs!$A$5:$A$160=$B36)*ISNUMBER(INDEX(Inputs!$K$5:$AJ$160,0,MATCH(L$2,Inputs!$K$4:$AJ$4,0))))+SUMPRODUCT((Inputs!$C$5:$C$160=$B36)*ISNUMBER(INDEX(Inputs!$K$5:$AJ$160,0,MATCH(L$2,Inputs!$K$4:$AJ$4,0))))+SUMPRODUCT((Inputs!$E$5:$E$160=$B36)*ISNUMBER(INDEX(Inputs!$K$5:$AJ$160,0,MATCH(L$2,Inputs!$K$4:$AJ$4,0))))=0,NA(),SUMPRODUCT((Inputs!$A$5:$A$160=$B36)*Inputs!$B$5:$B$160*(((Inputs!$G$5:$G$160="moeda")+(Inputs!$G$5:$G$160="acoes"))*Inputs!$B$1+((Inputs!$G$5:$G$160&lt;&gt;"moeda")*(Inputs!$G$5:$G$160&lt;&gt;"acoes")))*INDEX(Inputs!$K$5:$AJ$160,0,MATCH(L$2,Inputs!$K$4:$AJ$4,0)))+SUMPRODUCT((Inputs!$C$5:$C$160=$B36)*Inputs!$D$5:$D$160*(((Inputs!$G$5:$G$160="moeda")+(Inputs!$G$5:$G$160="acoes"))*Inputs!$B$1+((Inputs!$G$5:$G$160&lt;&gt;"moeda")*(Inputs!$G$5:$G$160&lt;&gt;"acoes")))*INDEX(Inputs!$K$5:$AJ$160,0,MATCH(L$2,Inputs!$K$4:$AJ$4,0)))+SUMPRODUCT((Inputs!$E$5:$E$160=$B36)*Inputs!$F$5:$F$160*(((Inputs!$G$5:$G$160="moeda")+(Inputs!$G$5:$G$160="acoes"))*Inputs!$B$1+((Inputs!$G$5:$G$160&lt;&gt;"moeda")*(Inputs!$G$5:$G$160&lt;&gt;"acoes")))*INDEX(Inputs!$K$5:$AJ$160,0,MATCH(L$2,Inputs!$K$4:$AJ$4,0)))))</f>
        <v>943.34829983</v>
      </c>
      <c r="M36" s="3">
        <f>L36</f>
        <v>943.34829983</v>
      </c>
      <c r="N36" s="6">
        <f>IF(ISNA(MATCH(N$2,Inputs!$K$4:$AJ$4,0)),NA(),IF(SUMPRODUCT((Inputs!$A$5:$A$160=$B36)*ISNUMBER(INDEX(Inputs!$K$5:$AJ$160,0,MATCH(N$2,Inputs!$K$4:$AJ$4,0))))+SUMPRODUCT((Inputs!$C$5:$C$160=$B36)*ISNUMBER(INDEX(Inputs!$K$5:$AJ$160,0,MATCH(N$2,Inputs!$K$4:$AJ$4,0))))+SUMPRODUCT((Inputs!$E$5:$E$160=$B36)*ISNUMBER(INDEX(Inputs!$K$5:$AJ$160,0,MATCH(N$2,Inputs!$K$4:$AJ$4,0))))=0,NA(),SUMPRODUCT((Inputs!$A$5:$A$160=$B36)*Inputs!$B$5:$B$160*(((Inputs!$G$5:$G$160="moeda")+(Inputs!$G$5:$G$160="acoes"))*Inputs!$B$1+((Inputs!$G$5:$G$160&lt;&gt;"moeda")*(Inputs!$G$5:$G$160&lt;&gt;"acoes")))*INDEX(Inputs!$K$5:$AJ$160,0,MATCH(N$2,Inputs!$K$4:$AJ$4,0)))+SUMPRODUCT((Inputs!$C$5:$C$160=$B36)*Inputs!$D$5:$D$160*(((Inputs!$G$5:$G$160="moeda")+(Inputs!$G$5:$G$160="acoes"))*Inputs!$B$1+((Inputs!$G$5:$G$160&lt;&gt;"moeda")*(Inputs!$G$5:$G$160&lt;&gt;"acoes")))*INDEX(Inputs!$K$5:$AJ$160,0,MATCH(N$2,Inputs!$K$4:$AJ$4,0)))+SUMPRODUCT((Inputs!$E$5:$E$160=$B36)*Inputs!$F$5:$F$160*(((Inputs!$G$5:$G$160="moeda")+(Inputs!$G$5:$G$160="acoes"))*Inputs!$B$1+((Inputs!$G$5:$G$160&lt;&gt;"moeda")*(Inputs!$G$5:$G$160&lt;&gt;"acoes")))*INDEX(Inputs!$K$5:$AJ$160,0,MATCH(N$2,Inputs!$K$4:$AJ$4,0)))))</f>
        <v>928.19154368</v>
      </c>
      <c r="O36" s="6">
        <f>IF(ISNA(MATCH(O$2,Inputs!$K$4:$AJ$4,0)),NA(),IF(SUMPRODUCT((Inputs!$A$5:$A$160=$B36)*ISNUMBER(INDEX(Inputs!$K$5:$AJ$160,0,MATCH(O$2,Inputs!$K$4:$AJ$4,0))))+SUMPRODUCT((Inputs!$C$5:$C$160=$B36)*ISNUMBER(INDEX(Inputs!$K$5:$AJ$160,0,MATCH(O$2,Inputs!$K$4:$AJ$4,0))))+SUMPRODUCT((Inputs!$E$5:$E$160=$B36)*ISNUMBER(INDEX(Inputs!$K$5:$AJ$160,0,MATCH(O$2,Inputs!$K$4:$AJ$4,0))))=0,NA(),SUMPRODUCT((Inputs!$A$5:$A$160=$B36)*Inputs!$B$5:$B$160*(((Inputs!$G$5:$G$160="moeda")+(Inputs!$G$5:$G$160="acoes"))*Inputs!$B$1+((Inputs!$G$5:$G$160&lt;&gt;"moeda")*(Inputs!$G$5:$G$160&lt;&gt;"acoes")))*INDEX(Inputs!$K$5:$AJ$160,0,MATCH(O$2,Inputs!$K$4:$AJ$4,0)))+SUMPRODUCT((Inputs!$C$5:$C$160=$B36)*Inputs!$D$5:$D$160*(((Inputs!$G$5:$G$160="moeda")+(Inputs!$G$5:$G$160="acoes"))*Inputs!$B$1+((Inputs!$G$5:$G$160&lt;&gt;"moeda")*(Inputs!$G$5:$G$160&lt;&gt;"acoes")))*INDEX(Inputs!$K$5:$AJ$160,0,MATCH(O$2,Inputs!$K$4:$AJ$4,0)))+SUMPRODUCT((Inputs!$E$5:$E$160=$B36)*Inputs!$F$5:$F$160*(((Inputs!$G$5:$G$160="moeda")+(Inputs!$G$5:$G$160="acoes"))*Inputs!$B$1+((Inputs!$G$5:$G$160&lt;&gt;"moeda")*(Inputs!$G$5:$G$160&lt;&gt;"acoes")))*INDEX(Inputs!$K$5:$AJ$160,0,MATCH(O$2,Inputs!$K$4:$AJ$4,0)))))</f>
        <v>1191.85</v>
      </c>
      <c r="P36" s="6">
        <f>IF(ISNA(MATCH(P$2,Inputs!$K$4:$AJ$4,0)),NA(),IF(SUMPRODUCT((Inputs!$A$5:$A$160=$B36)*ISNUMBER(INDEX(Inputs!$K$5:$AJ$160,0,MATCH(P$2,Inputs!$K$4:$AJ$4,0))))+SUMPRODUCT((Inputs!$C$5:$C$160=$B36)*ISNUMBER(INDEX(Inputs!$K$5:$AJ$160,0,MATCH(P$2,Inputs!$K$4:$AJ$4,0))))+SUMPRODUCT((Inputs!$E$5:$E$160=$B36)*ISNUMBER(INDEX(Inputs!$K$5:$AJ$160,0,MATCH(P$2,Inputs!$K$4:$AJ$4,0))))=0,NA(),SUMPRODUCT((Inputs!$A$5:$A$160=$B36)*Inputs!$B$5:$B$160*(((Inputs!$G$5:$G$160="moeda")+(Inputs!$G$5:$G$160="acoes"))*Inputs!$B$1+((Inputs!$G$5:$G$160&lt;&gt;"moeda")*(Inputs!$G$5:$G$160&lt;&gt;"acoes")))*INDEX(Inputs!$K$5:$AJ$160,0,MATCH(P$2,Inputs!$K$4:$AJ$4,0)))+SUMPRODUCT((Inputs!$C$5:$C$160=$B36)*Inputs!$D$5:$D$160*(((Inputs!$G$5:$G$160="moeda")+(Inputs!$G$5:$G$160="acoes"))*Inputs!$B$1+((Inputs!$G$5:$G$160&lt;&gt;"moeda")*(Inputs!$G$5:$G$160&lt;&gt;"acoes")))*INDEX(Inputs!$K$5:$AJ$160,0,MATCH(P$2,Inputs!$K$4:$AJ$4,0)))+SUMPRODUCT((Inputs!$E$5:$E$160=$B36)*Inputs!$F$5:$F$160*(((Inputs!$G$5:$G$160="moeda")+(Inputs!$G$5:$G$160="acoes"))*Inputs!$B$1+((Inputs!$G$5:$G$160&lt;&gt;"moeda")*(Inputs!$G$5:$G$160&lt;&gt;"acoes")))*INDEX(Inputs!$K$5:$AJ$160,0,MATCH(P$2,Inputs!$K$4:$AJ$4,0)))))</f>
        <v>1167.495</v>
      </c>
      <c r="Q36" s="6">
        <f>IF(ISNA(MATCH(Q$2,Inputs!$K$4:$AJ$4,0)),NA(),IF(SUMPRODUCT((Inputs!$A$5:$A$160=$B36)*ISNUMBER(INDEX(Inputs!$K$5:$AJ$160,0,MATCH(Q$2,Inputs!$K$4:$AJ$4,0))))+SUMPRODUCT((Inputs!$C$5:$C$160=$B36)*ISNUMBER(INDEX(Inputs!$K$5:$AJ$160,0,MATCH(Q$2,Inputs!$K$4:$AJ$4,0))))+SUMPRODUCT((Inputs!$E$5:$E$160=$B36)*ISNUMBER(INDEX(Inputs!$K$5:$AJ$160,0,MATCH(Q$2,Inputs!$K$4:$AJ$4,0))))=0,NA(),SUMPRODUCT((Inputs!$A$5:$A$160=$B36)*Inputs!$B$5:$B$160*(((Inputs!$G$5:$G$160="moeda")+(Inputs!$G$5:$G$160="acoes"))*Inputs!$B$1+((Inputs!$G$5:$G$160&lt;&gt;"moeda")*(Inputs!$G$5:$G$160&lt;&gt;"acoes")))*INDEX(Inputs!$K$5:$AJ$160,0,MATCH(Q$2,Inputs!$K$4:$AJ$4,0)))+SUMPRODUCT((Inputs!$C$5:$C$160=$B36)*Inputs!$D$5:$D$160*(((Inputs!$G$5:$G$160="moeda")+(Inputs!$G$5:$G$160="acoes"))*Inputs!$B$1+((Inputs!$G$5:$G$160&lt;&gt;"moeda")*(Inputs!$G$5:$G$160&lt;&gt;"acoes")))*INDEX(Inputs!$K$5:$AJ$160,0,MATCH(Q$2,Inputs!$K$4:$AJ$4,0)))+SUMPRODUCT((Inputs!$E$5:$E$160=$B36)*Inputs!$F$5:$F$160*(((Inputs!$G$5:$G$160="moeda")+(Inputs!$G$5:$G$160="acoes"))*Inputs!$B$1+((Inputs!$G$5:$G$160&lt;&gt;"moeda")*(Inputs!$G$5:$G$160&lt;&gt;"acoes")))*INDEX(Inputs!$K$5:$AJ$160,0,MATCH(Q$2,Inputs!$K$4:$AJ$4,0)))))</f>
        <v>1159.409</v>
      </c>
      <c r="R36" s="3">
        <f>Q36</f>
        <v>1159.409</v>
      </c>
      <c r="S36" s="6">
        <f>IF(ISNA(MATCH(S$2,Inputs!$K$4:$AJ$4,0)),NA(),IF(SUMPRODUCT((Inputs!$A$5:$A$160=$B36)*ISNUMBER(INDEX(Inputs!$K$5:$AJ$160,0,MATCH(S$2,Inputs!$K$4:$AJ$4,0))))+SUMPRODUCT((Inputs!$C$5:$C$160=$B36)*ISNUMBER(INDEX(Inputs!$K$5:$AJ$160,0,MATCH(S$2,Inputs!$K$4:$AJ$4,0))))+SUMPRODUCT((Inputs!$E$5:$E$160=$B36)*ISNUMBER(INDEX(Inputs!$K$5:$AJ$160,0,MATCH(S$2,Inputs!$K$4:$AJ$4,0))))=0,NA(),SUMPRODUCT((Inputs!$A$5:$A$160=$B36)*Inputs!$B$5:$B$160*(((Inputs!$G$5:$G$160="moeda")+(Inputs!$G$5:$G$160="acoes"))*Inputs!$B$1+((Inputs!$G$5:$G$160&lt;&gt;"moeda")*(Inputs!$G$5:$G$160&lt;&gt;"acoes")))*INDEX(Inputs!$K$5:$AJ$160,0,MATCH(S$2,Inputs!$K$4:$AJ$4,0)))+SUMPRODUCT((Inputs!$C$5:$C$160=$B36)*Inputs!$D$5:$D$160*(((Inputs!$G$5:$G$160="moeda")+(Inputs!$G$5:$G$160="acoes"))*Inputs!$B$1+((Inputs!$G$5:$G$160&lt;&gt;"moeda")*(Inputs!$G$5:$G$160&lt;&gt;"acoes")))*INDEX(Inputs!$K$5:$AJ$160,0,MATCH(S$2,Inputs!$K$4:$AJ$4,0)))+SUMPRODUCT((Inputs!$E$5:$E$160=$B36)*Inputs!$F$5:$F$160*(((Inputs!$G$5:$G$160="moeda")+(Inputs!$G$5:$G$160="acoes"))*Inputs!$B$1+((Inputs!$G$5:$G$160&lt;&gt;"moeda")*(Inputs!$G$5:$G$160&lt;&gt;"acoes")))*INDEX(Inputs!$K$5:$AJ$160,0,MATCH(S$2,Inputs!$K$4:$AJ$4,0)))))</f>
        <v>1112.521</v>
      </c>
      <c r="T36" s="6">
        <f>IF(ISNA(MATCH(T$2,Inputs!$K$4:$AJ$4,0)),NA(),IF(SUMPRODUCT((Inputs!$A$5:$A$160=$B36)*ISNUMBER(INDEX(Inputs!$K$5:$AJ$160,0,MATCH(T$2,Inputs!$K$4:$AJ$4,0))))+SUMPRODUCT((Inputs!$C$5:$C$160=$B36)*ISNUMBER(INDEX(Inputs!$K$5:$AJ$160,0,MATCH(T$2,Inputs!$K$4:$AJ$4,0))))+SUMPRODUCT((Inputs!$E$5:$E$160=$B36)*ISNUMBER(INDEX(Inputs!$K$5:$AJ$160,0,MATCH(T$2,Inputs!$K$4:$AJ$4,0))))=0,NA(),SUMPRODUCT((Inputs!$A$5:$A$160=$B36)*Inputs!$B$5:$B$160*(((Inputs!$G$5:$G$160="moeda")+(Inputs!$G$5:$G$160="acoes"))*Inputs!$B$1+((Inputs!$G$5:$G$160&lt;&gt;"moeda")*(Inputs!$G$5:$G$160&lt;&gt;"acoes")))*INDEX(Inputs!$K$5:$AJ$160,0,MATCH(T$2,Inputs!$K$4:$AJ$4,0)))+SUMPRODUCT((Inputs!$C$5:$C$160=$B36)*Inputs!$D$5:$D$160*(((Inputs!$G$5:$G$160="moeda")+(Inputs!$G$5:$G$160="acoes"))*Inputs!$B$1+((Inputs!$G$5:$G$160&lt;&gt;"moeda")*(Inputs!$G$5:$G$160&lt;&gt;"acoes")))*INDEX(Inputs!$K$5:$AJ$160,0,MATCH(T$2,Inputs!$K$4:$AJ$4,0)))+SUMPRODUCT((Inputs!$E$5:$E$160=$B36)*Inputs!$F$5:$F$160*(((Inputs!$G$5:$G$160="moeda")+(Inputs!$G$5:$G$160="acoes"))*Inputs!$B$1+((Inputs!$G$5:$G$160&lt;&gt;"moeda")*(Inputs!$G$5:$G$160&lt;&gt;"acoes")))*INDEX(Inputs!$K$5:$AJ$160,0,MATCH(T$2,Inputs!$K$4:$AJ$4,0)))))</f>
        <v>1061.775</v>
      </c>
      <c r="U36" s="6">
        <f>IF(ISNA(MATCH(U$2,Inputs!$K$4:$AJ$4,0)),NA(),IF(SUMPRODUCT((Inputs!$A$5:$A$160=$B36)*ISNUMBER(INDEX(Inputs!$K$5:$AJ$160,0,MATCH(U$2,Inputs!$K$4:$AJ$4,0))))+SUMPRODUCT((Inputs!$C$5:$C$160=$B36)*ISNUMBER(INDEX(Inputs!$K$5:$AJ$160,0,MATCH(U$2,Inputs!$K$4:$AJ$4,0))))+SUMPRODUCT((Inputs!$E$5:$E$160=$B36)*ISNUMBER(INDEX(Inputs!$K$5:$AJ$160,0,MATCH(U$2,Inputs!$K$4:$AJ$4,0))))=0,NA(),SUMPRODUCT((Inputs!$A$5:$A$160=$B36)*Inputs!$B$5:$B$160*(((Inputs!$G$5:$G$160="moeda")+(Inputs!$G$5:$G$160="acoes"))*Inputs!$B$1+((Inputs!$G$5:$G$160&lt;&gt;"moeda")*(Inputs!$G$5:$G$160&lt;&gt;"acoes")))*INDEX(Inputs!$K$5:$AJ$160,0,MATCH(U$2,Inputs!$K$4:$AJ$4,0)))+SUMPRODUCT((Inputs!$C$5:$C$160=$B36)*Inputs!$D$5:$D$160*(((Inputs!$G$5:$G$160="moeda")+(Inputs!$G$5:$G$160="acoes"))*Inputs!$B$1+((Inputs!$G$5:$G$160&lt;&gt;"moeda")*(Inputs!$G$5:$G$160&lt;&gt;"acoes")))*INDEX(Inputs!$K$5:$AJ$160,0,MATCH(U$2,Inputs!$K$4:$AJ$4,0)))+SUMPRODUCT((Inputs!$E$5:$E$160=$B36)*Inputs!$F$5:$F$160*(((Inputs!$G$5:$G$160="moeda")+(Inputs!$G$5:$G$160="acoes"))*Inputs!$B$1+((Inputs!$G$5:$G$160&lt;&gt;"moeda")*(Inputs!$G$5:$G$160&lt;&gt;"acoes")))*INDEX(Inputs!$K$5:$AJ$160,0,MATCH(U$2,Inputs!$K$4:$AJ$4,0)))))</f>
        <v>1015.306</v>
      </c>
      <c r="V36" s="6">
        <f>IF(ISNA(MATCH(V$2,Inputs!$K$4:$AJ$4,0)),NA(),IF(SUMPRODUCT((Inputs!$A$5:$A$160=$B36)*ISNUMBER(INDEX(Inputs!$K$5:$AJ$160,0,MATCH(V$2,Inputs!$K$4:$AJ$4,0))))+SUMPRODUCT((Inputs!$C$5:$C$160=$B36)*ISNUMBER(INDEX(Inputs!$K$5:$AJ$160,0,MATCH(V$2,Inputs!$K$4:$AJ$4,0))))+SUMPRODUCT((Inputs!$E$5:$E$160=$B36)*ISNUMBER(INDEX(Inputs!$K$5:$AJ$160,0,MATCH(V$2,Inputs!$K$4:$AJ$4,0))))=0,NA(),SUMPRODUCT((Inputs!$A$5:$A$160=$B36)*Inputs!$B$5:$B$160*(((Inputs!$G$5:$G$160="moeda")+(Inputs!$G$5:$G$160="acoes"))*Inputs!$B$1+((Inputs!$G$5:$G$160&lt;&gt;"moeda")*(Inputs!$G$5:$G$160&lt;&gt;"acoes")))*INDEX(Inputs!$K$5:$AJ$160,0,MATCH(V$2,Inputs!$K$4:$AJ$4,0)))+SUMPRODUCT((Inputs!$C$5:$C$160=$B36)*Inputs!$D$5:$D$160*(((Inputs!$G$5:$G$160="moeda")+(Inputs!$G$5:$G$160="acoes"))*Inputs!$B$1+((Inputs!$G$5:$G$160&lt;&gt;"moeda")*(Inputs!$G$5:$G$160&lt;&gt;"acoes")))*INDEX(Inputs!$K$5:$AJ$160,0,MATCH(V$2,Inputs!$K$4:$AJ$4,0)))+SUMPRODUCT((Inputs!$E$5:$E$160=$B36)*Inputs!$F$5:$F$160*(((Inputs!$G$5:$G$160="moeda")+(Inputs!$G$5:$G$160="acoes"))*Inputs!$B$1+((Inputs!$G$5:$G$160&lt;&gt;"moeda")*(Inputs!$G$5:$G$160&lt;&gt;"acoes")))*INDEX(Inputs!$K$5:$AJ$160,0,MATCH(V$2,Inputs!$K$4:$AJ$4,0)))))</f>
        <v>995.637</v>
      </c>
      <c r="W36" s="3">
        <f>V36</f>
        <v>995.637</v>
      </c>
      <c r="X36" s="6">
        <f>IF(ISNA(MATCH(X$2,Inputs!$K$4:$AJ$4,0)),NA(),IF(SUMPRODUCT((Inputs!$A$5:$A$160=$B36)*ISNUMBER(INDEX(Inputs!$K$5:$AJ$160,0,MATCH(X$2,Inputs!$K$4:$AJ$4,0))))+SUMPRODUCT((Inputs!$C$5:$C$160=$B36)*ISNUMBER(INDEX(Inputs!$K$5:$AJ$160,0,MATCH(X$2,Inputs!$K$4:$AJ$4,0))))+SUMPRODUCT((Inputs!$E$5:$E$160=$B36)*ISNUMBER(INDEX(Inputs!$K$5:$AJ$160,0,MATCH(X$2,Inputs!$K$4:$AJ$4,0))))=0,NA(),SUMPRODUCT((Inputs!$A$5:$A$160=$B36)*Inputs!$B$5:$B$160*(((Inputs!$G$5:$G$160="moeda")+(Inputs!$G$5:$G$160="acoes"))*Inputs!$B$1+((Inputs!$G$5:$G$160&lt;&gt;"moeda")*(Inputs!$G$5:$G$160&lt;&gt;"acoes")))*INDEX(Inputs!$K$5:$AJ$160,0,MATCH(X$2,Inputs!$K$4:$AJ$4,0)))+SUMPRODUCT((Inputs!$C$5:$C$160=$B36)*Inputs!$D$5:$D$160*(((Inputs!$G$5:$G$160="moeda")+(Inputs!$G$5:$G$160="acoes"))*Inputs!$B$1+((Inputs!$G$5:$G$160&lt;&gt;"moeda")*(Inputs!$G$5:$G$160&lt;&gt;"acoes")))*INDEX(Inputs!$K$5:$AJ$160,0,MATCH(X$2,Inputs!$K$4:$AJ$4,0)))+SUMPRODUCT((Inputs!$E$5:$E$160=$B36)*Inputs!$F$5:$F$160*(((Inputs!$G$5:$G$160="moeda")+(Inputs!$G$5:$G$160="acoes"))*Inputs!$B$1+((Inputs!$G$5:$G$160&lt;&gt;"moeda")*(Inputs!$G$5:$G$160&lt;&gt;"acoes")))*INDEX(Inputs!$K$5:$AJ$160,0,MATCH(X$2,Inputs!$K$4:$AJ$4,0)))))</f>
        <v>977.075</v>
      </c>
      <c r="Y36" s="6">
        <f>IF(ISNA(MATCH(Y$2,Inputs!$K$4:$AJ$4,0)),NA(),IF(SUMPRODUCT((Inputs!$A$5:$A$160=$B36)*ISNUMBER(INDEX(Inputs!$K$5:$AJ$160,0,MATCH(Y$2,Inputs!$K$4:$AJ$4,0))))+SUMPRODUCT((Inputs!$C$5:$C$160=$B36)*ISNUMBER(INDEX(Inputs!$K$5:$AJ$160,0,MATCH(Y$2,Inputs!$K$4:$AJ$4,0))))+SUMPRODUCT((Inputs!$E$5:$E$160=$B36)*ISNUMBER(INDEX(Inputs!$K$5:$AJ$160,0,MATCH(Y$2,Inputs!$K$4:$AJ$4,0))))=0,NA(),SUMPRODUCT((Inputs!$A$5:$A$160=$B36)*Inputs!$B$5:$B$160*(((Inputs!$G$5:$G$160="moeda")+(Inputs!$G$5:$G$160="acoes"))*Inputs!$B$1+((Inputs!$G$5:$G$160&lt;&gt;"moeda")*(Inputs!$G$5:$G$160&lt;&gt;"acoes")))*INDEX(Inputs!$K$5:$AJ$160,0,MATCH(Y$2,Inputs!$K$4:$AJ$4,0)))+SUMPRODUCT((Inputs!$C$5:$C$160=$B36)*Inputs!$D$5:$D$160*(((Inputs!$G$5:$G$160="moeda")+(Inputs!$G$5:$G$160="acoes"))*Inputs!$B$1+((Inputs!$G$5:$G$160&lt;&gt;"moeda")*(Inputs!$G$5:$G$160&lt;&gt;"acoes")))*INDEX(Inputs!$K$5:$AJ$160,0,MATCH(Y$2,Inputs!$K$4:$AJ$4,0)))+SUMPRODUCT((Inputs!$E$5:$E$160=$B36)*Inputs!$F$5:$F$160*(((Inputs!$G$5:$G$160="moeda")+(Inputs!$G$5:$G$160="acoes"))*Inputs!$B$1+((Inputs!$G$5:$G$160&lt;&gt;"moeda")*(Inputs!$G$5:$G$160&lt;&gt;"acoes")))*INDEX(Inputs!$K$5:$AJ$160,0,MATCH(Y$2,Inputs!$K$4:$AJ$4,0)))))</f>
        <v>936.924</v>
      </c>
      <c r="Z36" s="6">
        <f>IF(ISNA(MATCH(Z$2,Inputs!$K$4:$AJ$4,0)),NA(),IF(SUMPRODUCT((Inputs!$A$5:$A$160=$B36)*ISNUMBER(INDEX(Inputs!$K$5:$AJ$160,0,MATCH(Z$2,Inputs!$K$4:$AJ$4,0))))+SUMPRODUCT((Inputs!$C$5:$C$160=$B36)*ISNUMBER(INDEX(Inputs!$K$5:$AJ$160,0,MATCH(Z$2,Inputs!$K$4:$AJ$4,0))))+SUMPRODUCT((Inputs!$E$5:$E$160=$B36)*ISNUMBER(INDEX(Inputs!$K$5:$AJ$160,0,MATCH(Z$2,Inputs!$K$4:$AJ$4,0))))=0,NA(),SUMPRODUCT((Inputs!$A$5:$A$160=$B36)*Inputs!$B$5:$B$160*(((Inputs!$G$5:$G$160="moeda")+(Inputs!$G$5:$G$160="acoes"))*Inputs!$B$1+((Inputs!$G$5:$G$160&lt;&gt;"moeda")*(Inputs!$G$5:$G$160&lt;&gt;"acoes")))*INDEX(Inputs!$K$5:$AJ$160,0,MATCH(Z$2,Inputs!$K$4:$AJ$4,0)))+SUMPRODUCT((Inputs!$C$5:$C$160=$B36)*Inputs!$D$5:$D$160*(((Inputs!$G$5:$G$160="moeda")+(Inputs!$G$5:$G$160="acoes"))*Inputs!$B$1+((Inputs!$G$5:$G$160&lt;&gt;"moeda")*(Inputs!$G$5:$G$160&lt;&gt;"acoes")))*INDEX(Inputs!$K$5:$AJ$160,0,MATCH(Z$2,Inputs!$K$4:$AJ$4,0)))+SUMPRODUCT((Inputs!$E$5:$E$160=$B36)*Inputs!$F$5:$F$160*(((Inputs!$G$5:$G$160="moeda")+(Inputs!$G$5:$G$160="acoes"))*Inputs!$B$1+((Inputs!$G$5:$G$160&lt;&gt;"moeda")*(Inputs!$G$5:$G$160&lt;&gt;"acoes")))*INDEX(Inputs!$K$5:$AJ$160,0,MATCH(Z$2,Inputs!$K$4:$AJ$4,0)))))</f>
        <v>935.366</v>
      </c>
      <c r="AA36" s="6">
        <f>IF(ISNA(MATCH(AA$2,Inputs!$K$4:$AJ$4,0)),NA(),IF(SUMPRODUCT((Inputs!$A$5:$A$160=$B36)*ISNUMBER(INDEX(Inputs!$K$5:$AJ$160,0,MATCH(AA$2,Inputs!$K$4:$AJ$4,0))))+SUMPRODUCT((Inputs!$C$5:$C$160=$B36)*ISNUMBER(INDEX(Inputs!$K$5:$AJ$160,0,MATCH(AA$2,Inputs!$K$4:$AJ$4,0))))+SUMPRODUCT((Inputs!$E$5:$E$160=$B36)*ISNUMBER(INDEX(Inputs!$K$5:$AJ$160,0,MATCH(AA$2,Inputs!$K$4:$AJ$4,0))))=0,NA(),SUMPRODUCT((Inputs!$A$5:$A$160=$B36)*Inputs!$B$5:$B$160*(((Inputs!$G$5:$G$160="moeda")+(Inputs!$G$5:$G$160="acoes"))*Inputs!$B$1+((Inputs!$G$5:$G$160&lt;&gt;"moeda")*(Inputs!$G$5:$G$160&lt;&gt;"acoes")))*INDEX(Inputs!$K$5:$AJ$160,0,MATCH(AA$2,Inputs!$K$4:$AJ$4,0)))+SUMPRODUCT((Inputs!$C$5:$C$160=$B36)*Inputs!$D$5:$D$160*(((Inputs!$G$5:$G$160="moeda")+(Inputs!$G$5:$G$160="acoes"))*Inputs!$B$1+((Inputs!$G$5:$G$160&lt;&gt;"moeda")*(Inputs!$G$5:$G$160&lt;&gt;"acoes")))*INDEX(Inputs!$K$5:$AJ$160,0,MATCH(AA$2,Inputs!$K$4:$AJ$4,0)))+SUMPRODUCT((Inputs!$E$5:$E$160=$B36)*Inputs!$F$5:$F$160*(((Inputs!$G$5:$G$160="moeda")+(Inputs!$G$5:$G$160="acoes"))*Inputs!$B$1+((Inputs!$G$5:$G$160&lt;&gt;"moeda")*(Inputs!$G$5:$G$160&lt;&gt;"acoes")))*INDEX(Inputs!$K$5:$AJ$160,0,MATCH(AA$2,Inputs!$K$4:$AJ$4,0)))))</f>
        <v>922.242</v>
      </c>
      <c r="AB36" s="3">
        <f>AA36</f>
        <v>922.242</v>
      </c>
      <c r="AC36" s="6">
        <f>IF(ISNA(MATCH(AC$2,Inputs!$K$4:$AJ$4,0)),NA(),IF(SUMPRODUCT((Inputs!$A$5:$A$160=$B36)*ISNUMBER(INDEX(Inputs!$K$5:$AJ$160,0,MATCH(AC$2,Inputs!$K$4:$AJ$4,0))))+SUMPRODUCT((Inputs!$C$5:$C$160=$B36)*ISNUMBER(INDEX(Inputs!$K$5:$AJ$160,0,MATCH(AC$2,Inputs!$K$4:$AJ$4,0))))+SUMPRODUCT((Inputs!$E$5:$E$160=$B36)*ISNUMBER(INDEX(Inputs!$K$5:$AJ$160,0,MATCH(AC$2,Inputs!$K$4:$AJ$4,0))))=0,NA(),SUMPRODUCT((Inputs!$A$5:$A$160=$B36)*Inputs!$B$5:$B$160*(((Inputs!$G$5:$G$160="moeda")+(Inputs!$G$5:$G$160="acoes"))*Inputs!$B$1+((Inputs!$G$5:$G$160&lt;&gt;"moeda")*(Inputs!$G$5:$G$160&lt;&gt;"acoes")))*INDEX(Inputs!$K$5:$AJ$160,0,MATCH(AC$2,Inputs!$K$4:$AJ$4,0)))+SUMPRODUCT((Inputs!$C$5:$C$160=$B36)*Inputs!$D$5:$D$160*(((Inputs!$G$5:$G$160="moeda")+(Inputs!$G$5:$G$160="acoes"))*Inputs!$B$1+((Inputs!$G$5:$G$160&lt;&gt;"moeda")*(Inputs!$G$5:$G$160&lt;&gt;"acoes")))*INDEX(Inputs!$K$5:$AJ$160,0,MATCH(AC$2,Inputs!$K$4:$AJ$4,0)))+SUMPRODUCT((Inputs!$E$5:$E$160=$B36)*Inputs!$F$5:$F$160*(((Inputs!$G$5:$G$160="moeda")+(Inputs!$G$5:$G$160="acoes"))*Inputs!$B$1+((Inputs!$G$5:$G$160&lt;&gt;"moeda")*(Inputs!$G$5:$G$160&lt;&gt;"acoes")))*INDEX(Inputs!$K$5:$AJ$160,0,MATCH(AC$2,Inputs!$K$4:$AJ$4,0)))))</f>
        <v>910.562</v>
      </c>
      <c r="AD36" s="6">
        <f>IF(ISNA(MATCH(AD$2,Inputs!$K$4:$AJ$4,0)),NA(),IF(SUMPRODUCT((Inputs!$A$5:$A$160=$B36)*ISNUMBER(INDEX(Inputs!$K$5:$AJ$160,0,MATCH(AD$2,Inputs!$K$4:$AJ$4,0))))+SUMPRODUCT((Inputs!$C$5:$C$160=$B36)*ISNUMBER(INDEX(Inputs!$K$5:$AJ$160,0,MATCH(AD$2,Inputs!$K$4:$AJ$4,0))))+SUMPRODUCT((Inputs!$E$5:$E$160=$B36)*ISNUMBER(INDEX(Inputs!$K$5:$AJ$160,0,MATCH(AD$2,Inputs!$K$4:$AJ$4,0))))=0,NA(),SUMPRODUCT((Inputs!$A$5:$A$160=$B36)*Inputs!$B$5:$B$160*(((Inputs!$G$5:$G$160="moeda")+(Inputs!$G$5:$G$160="acoes"))*Inputs!$B$1+((Inputs!$G$5:$G$160&lt;&gt;"moeda")*(Inputs!$G$5:$G$160&lt;&gt;"acoes")))*INDEX(Inputs!$K$5:$AJ$160,0,MATCH(AD$2,Inputs!$K$4:$AJ$4,0)))+SUMPRODUCT((Inputs!$C$5:$C$160=$B36)*Inputs!$D$5:$D$160*(((Inputs!$G$5:$G$160="moeda")+(Inputs!$G$5:$G$160="acoes"))*Inputs!$B$1+((Inputs!$G$5:$G$160&lt;&gt;"moeda")*(Inputs!$G$5:$G$160&lt;&gt;"acoes")))*INDEX(Inputs!$K$5:$AJ$160,0,MATCH(AD$2,Inputs!$K$4:$AJ$4,0)))+SUMPRODUCT((Inputs!$E$5:$E$160=$B36)*Inputs!$F$5:$F$160*(((Inputs!$G$5:$G$160="moeda")+(Inputs!$G$5:$G$160="acoes"))*Inputs!$B$1+((Inputs!$G$5:$G$160&lt;&gt;"moeda")*(Inputs!$G$5:$G$160&lt;&gt;"acoes")))*INDEX(Inputs!$K$5:$AJ$160,0,MATCH(AD$2,Inputs!$K$4:$AJ$4,0)))))</f>
        <v>1041.536</v>
      </c>
      <c r="AE36" s="6" t="e">
        <f>IF(ISNA(MATCH(AE$2,Inputs!$K$4:$AJ$4,0)),NA(),IF(SUMPRODUCT((Inputs!$A$5:$A$160=$B36)*ISNUMBER(INDEX(Inputs!$K$5:$AJ$160,0,MATCH(AE$2,Inputs!$K$4:$AJ$4,0))))+SUMPRODUCT((Inputs!$C$5:$C$160=$B36)*ISNUMBER(INDEX(Inputs!$K$5:$AJ$160,0,MATCH(AE$2,Inputs!$K$4:$AJ$4,0))))+SUMPRODUCT((Inputs!$E$5:$E$160=$B36)*ISNUMBER(INDEX(Inputs!$K$5:$AJ$160,0,MATCH(AE$2,Inputs!$K$4:$AJ$4,0))))=0,NA(),SUMPRODUCT((Inputs!$A$5:$A$160=$B36)*Inputs!$B$5:$B$160*(((Inputs!$G$5:$G$160="moeda")+(Inputs!$G$5:$G$160="acoes"))*Inputs!$B$1+((Inputs!$G$5:$G$160&lt;&gt;"moeda")*(Inputs!$G$5:$G$160&lt;&gt;"acoes")))*INDEX(Inputs!$K$5:$AJ$160,0,MATCH(AE$2,Inputs!$K$4:$AJ$4,0)))+SUMPRODUCT((Inputs!$C$5:$C$160=$B36)*Inputs!$D$5:$D$160*(((Inputs!$G$5:$G$160="moeda")+(Inputs!$G$5:$G$160="acoes"))*Inputs!$B$1+((Inputs!$G$5:$G$160&lt;&gt;"moeda")*(Inputs!$G$5:$G$160&lt;&gt;"acoes")))*INDEX(Inputs!$K$5:$AJ$160,0,MATCH(AE$2,Inputs!$K$4:$AJ$4,0)))+SUMPRODUCT((Inputs!$E$5:$E$160=$B36)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6" s="6" t="e">
        <f>IF(ISNA(MATCH(AF$2,Inputs!$K$4:$AJ$4,0)),NA(),IF(SUMPRODUCT((Inputs!$A$5:$A$160=$B36)*ISNUMBER(INDEX(Inputs!$K$5:$AJ$160,0,MATCH(AF$2,Inputs!$K$4:$AJ$4,0))))+SUMPRODUCT((Inputs!$C$5:$C$160=$B36)*ISNUMBER(INDEX(Inputs!$K$5:$AJ$160,0,MATCH(AF$2,Inputs!$K$4:$AJ$4,0))))+SUMPRODUCT((Inputs!$E$5:$E$160=$B36)*ISNUMBER(INDEX(Inputs!$K$5:$AJ$160,0,MATCH(AF$2,Inputs!$K$4:$AJ$4,0))))=0,NA(),SUMPRODUCT((Inputs!$A$5:$A$160=$B36)*Inputs!$B$5:$B$160*(((Inputs!$G$5:$G$160="moeda")+(Inputs!$G$5:$G$160="acoes"))*Inputs!$B$1+((Inputs!$G$5:$G$160&lt;&gt;"moeda")*(Inputs!$G$5:$G$160&lt;&gt;"acoes")))*INDEX(Inputs!$K$5:$AJ$160,0,MATCH(AF$2,Inputs!$K$4:$AJ$4,0)))+SUMPRODUCT((Inputs!$C$5:$C$160=$B36)*Inputs!$D$5:$D$160*(((Inputs!$G$5:$G$160="moeda")+(Inputs!$G$5:$G$160="acoes"))*Inputs!$B$1+((Inputs!$G$5:$G$160&lt;&gt;"moeda")*(Inputs!$G$5:$G$160&lt;&gt;"acoes")))*INDEX(Inputs!$K$5:$AJ$160,0,MATCH(AF$2,Inputs!$K$4:$AJ$4,0)))+SUMPRODUCT((Inputs!$E$5:$E$160=$B36)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6" s="3" t="e">
        <f>AF36</f>
        <v>#N/A</v>
      </c>
      <c r="AH36" s="6">
        <f>IF(ISNA(MATCH(AH$2,Inputs!$K$4:$AJ$4,0)),NA(),IF(SUMPRODUCT((Inputs!$A$5:$A$160=$B36)*ISNUMBER(INDEX(Inputs!$K$5:$AJ$160,0,MATCH(AH$2,Inputs!$K$4:$AJ$4,0))))+SUMPRODUCT((Inputs!$C$5:$C$160=$B36)*ISNUMBER(INDEX(Inputs!$K$5:$AJ$160,0,MATCH(AH$2,Inputs!$K$4:$AJ$4,0))))+SUMPRODUCT((Inputs!$E$5:$E$160=$B36)*ISNUMBER(INDEX(Inputs!$K$5:$AJ$160,0,MATCH(AH$2,Inputs!$K$4:$AJ$4,0))))=0,NA(),SUMPRODUCT((Inputs!$A$5:$A$160=$B36)*Inputs!$B$5:$B$160*(((Inputs!$G$5:$G$160="moeda")+(Inputs!$G$5:$G$160="acoes"))*Inputs!$B$1+((Inputs!$G$5:$G$160&lt;&gt;"moeda")*(Inputs!$G$5:$G$160&lt;&gt;"acoes")))*INDEX(Inputs!$K$5:$AJ$160,0,MATCH(AH$2,Inputs!$K$4:$AJ$4,0)))+SUMPRODUCT((Inputs!$C$5:$C$160=$B36)*Inputs!$D$5:$D$160*(((Inputs!$G$5:$G$160="moeda")+(Inputs!$G$5:$G$160="acoes"))*Inputs!$B$1+((Inputs!$G$5:$G$160&lt;&gt;"moeda")*(Inputs!$G$5:$G$160&lt;&gt;"acoes")))*INDEX(Inputs!$K$5:$AJ$160,0,MATCH(AH$2,Inputs!$K$4:$AJ$4,0)))+SUMPRODUCT((Inputs!$E$5:$E$160=$B36)*Inputs!$F$5:$F$160*(((Inputs!$G$5:$G$160="moeda")+(Inputs!$G$5:$G$160="acoes"))*Inputs!$B$1+((Inputs!$G$5:$G$160&lt;&gt;"moeda")*(Inputs!$G$5:$G$160&lt;&gt;"acoes")))*INDEX(Inputs!$K$5:$AJ$160,0,MATCH(AH$2,Inputs!$K$4:$AJ$4,0)))))</f>
        <v>731.1126</v>
      </c>
      <c r="AI36" s="6">
        <f>IF(ISNA(MATCH(AI$2,Inputs!$K$4:$AJ$4,0)),NA(),IF(SUMPRODUCT((Inputs!$A$5:$A$160=$B36)*ISNUMBER(INDEX(Inputs!$K$5:$AJ$160,0,MATCH(AI$2,Inputs!$K$4:$AJ$4,0))))+SUMPRODUCT((Inputs!$C$5:$C$160=$B36)*ISNUMBER(INDEX(Inputs!$K$5:$AJ$160,0,MATCH(AI$2,Inputs!$K$4:$AJ$4,0))))+SUMPRODUCT((Inputs!$E$5:$E$160=$B36)*ISNUMBER(INDEX(Inputs!$K$5:$AJ$160,0,MATCH(AI$2,Inputs!$K$4:$AJ$4,0))))=0,NA(),SUMPRODUCT((Inputs!$A$5:$A$160=$B36)*Inputs!$B$5:$B$160*(((Inputs!$G$5:$G$160="moeda")+(Inputs!$G$5:$G$160="acoes"))*Inputs!$B$1+((Inputs!$G$5:$G$160&lt;&gt;"moeda")*(Inputs!$G$5:$G$160&lt;&gt;"acoes")))*INDEX(Inputs!$K$5:$AJ$160,0,MATCH(AI$2,Inputs!$K$4:$AJ$4,0)))+SUMPRODUCT((Inputs!$C$5:$C$160=$B36)*Inputs!$D$5:$D$160*(((Inputs!$G$5:$G$160="moeda")+(Inputs!$G$5:$G$160="acoes"))*Inputs!$B$1+((Inputs!$G$5:$G$160&lt;&gt;"moeda")*(Inputs!$G$5:$G$160&lt;&gt;"acoes")))*INDEX(Inputs!$K$5:$AJ$160,0,MATCH(AI$2,Inputs!$K$4:$AJ$4,0)))+SUMPRODUCT((Inputs!$E$5:$E$160=$B36)*Inputs!$F$5:$F$160*(((Inputs!$G$5:$G$160="moeda")+(Inputs!$G$5:$G$160="acoes"))*Inputs!$B$1+((Inputs!$G$5:$G$160&lt;&gt;"moeda")*(Inputs!$G$5:$G$160&lt;&gt;"acoes")))*INDEX(Inputs!$K$5:$AJ$160,0,MATCH(AI$2,Inputs!$K$4:$AJ$4,0)))))</f>
        <v>704.58350024</v>
      </c>
      <c r="AJ36" s="6">
        <f>IF(ISNA(MATCH(AJ$2,Inputs!$K$4:$AJ$4,0)),NA(),IF(SUMPRODUCT((Inputs!$A$5:$A$160=$B36)*ISNUMBER(INDEX(Inputs!$K$5:$AJ$160,0,MATCH(AJ$2,Inputs!$K$4:$AJ$4,0))))+SUMPRODUCT((Inputs!$C$5:$C$160=$B36)*ISNUMBER(INDEX(Inputs!$K$5:$AJ$160,0,MATCH(AJ$2,Inputs!$K$4:$AJ$4,0))))+SUMPRODUCT((Inputs!$E$5:$E$160=$B36)*ISNUMBER(INDEX(Inputs!$K$5:$AJ$160,0,MATCH(AJ$2,Inputs!$K$4:$AJ$4,0))))=0,NA(),SUMPRODUCT((Inputs!$A$5:$A$160=$B36)*Inputs!$B$5:$B$160*(((Inputs!$G$5:$G$160="moeda")+(Inputs!$G$5:$G$160="acoes"))*Inputs!$B$1+((Inputs!$G$5:$G$160&lt;&gt;"moeda")*(Inputs!$G$5:$G$160&lt;&gt;"acoes")))*INDEX(Inputs!$K$5:$AJ$160,0,MATCH(AJ$2,Inputs!$K$4:$AJ$4,0)))+SUMPRODUCT((Inputs!$C$5:$C$160=$B36)*Inputs!$D$5:$D$160*(((Inputs!$G$5:$G$160="moeda")+(Inputs!$G$5:$G$160="acoes"))*Inputs!$B$1+((Inputs!$G$5:$G$160&lt;&gt;"moeda")*(Inputs!$G$5:$G$160&lt;&gt;"acoes")))*INDEX(Inputs!$K$5:$AJ$160,0,MATCH(AJ$2,Inputs!$K$4:$AJ$4,0)))+SUMPRODUCT((Inputs!$E$5:$E$160=$B36)*Inputs!$F$5:$F$160*(((Inputs!$G$5:$G$160="moeda")+(Inputs!$G$5:$G$160="acoes"))*Inputs!$B$1+((Inputs!$G$5:$G$160&lt;&gt;"moeda")*(Inputs!$G$5:$G$160&lt;&gt;"acoes")))*INDEX(Inputs!$K$5:$AJ$160,0,MATCH(AJ$2,Inputs!$K$4:$AJ$4,0)))))</f>
        <v>686.98637337</v>
      </c>
      <c r="AK36" s="6">
        <f>IF(ISNA(MATCH(AK$2,Inputs!$K$4:$AJ$4,0)),NA(),IF(SUMPRODUCT((Inputs!$A$5:$A$160=$B36)*ISNUMBER(INDEX(Inputs!$K$5:$AJ$160,0,MATCH(AK$2,Inputs!$K$4:$AJ$4,0))))+SUMPRODUCT((Inputs!$C$5:$C$160=$B36)*ISNUMBER(INDEX(Inputs!$K$5:$AJ$160,0,MATCH(AK$2,Inputs!$K$4:$AJ$4,0))))+SUMPRODUCT((Inputs!$E$5:$E$160=$B36)*ISNUMBER(INDEX(Inputs!$K$5:$AJ$160,0,MATCH(AK$2,Inputs!$K$4:$AJ$4,0))))=0,NA(),SUMPRODUCT((Inputs!$A$5:$A$160=$B36)*Inputs!$B$5:$B$160*(((Inputs!$G$5:$G$160="moeda")+(Inputs!$G$5:$G$160="acoes"))*Inputs!$B$1+((Inputs!$G$5:$G$160&lt;&gt;"moeda")*(Inputs!$G$5:$G$160&lt;&gt;"acoes")))*INDEX(Inputs!$K$5:$AJ$160,0,MATCH(AK$2,Inputs!$K$4:$AJ$4,0)))+SUMPRODUCT((Inputs!$C$5:$C$160=$B36)*Inputs!$D$5:$D$160*(((Inputs!$G$5:$G$160="moeda")+(Inputs!$G$5:$G$160="acoes"))*Inputs!$B$1+((Inputs!$G$5:$G$160&lt;&gt;"moeda")*(Inputs!$G$5:$G$160&lt;&gt;"acoes")))*INDEX(Inputs!$K$5:$AJ$160,0,MATCH(AK$2,Inputs!$K$4:$AJ$4,0)))+SUMPRODUCT((Inputs!$E$5:$E$160=$B36)*Inputs!$F$5:$F$160*(((Inputs!$G$5:$G$160="moeda")+(Inputs!$G$5:$G$160="acoes"))*Inputs!$B$1+((Inputs!$G$5:$G$160&lt;&gt;"moeda")*(Inputs!$G$5:$G$160&lt;&gt;"acoes")))*INDEX(Inputs!$K$5:$AJ$160,0,MATCH(AK$2,Inputs!$K$4:$AJ$4,0)))))</f>
        <v>680.79029472</v>
      </c>
      <c r="AL36" s="3">
        <f>AK36</f>
        <v>680.79029472</v>
      </c>
    </row>
    <row r="37">
      <c r="B37" s="46" t="n">
        <v>32</v>
      </c>
      <c r="C37" s="26" t="inlineStr">
        <is>
          <t>Convertible debt</t>
        </is>
      </c>
      <c r="D37" s="6" t="e">
        <f>IF(ISNA(MATCH(D$2,Inputs!$K$4:$AJ$4,0)),NA(),IF(SUMPRODUCT((Inputs!$A$5:$A$160=$B37)*ISNUMBER(INDEX(Inputs!$K$5:$AJ$160,0,MATCH(D$2,Inputs!$K$4:$AJ$4,0))))+SUMPRODUCT((Inputs!$C$5:$C$160=$B37)*ISNUMBER(INDEX(Inputs!$K$5:$AJ$160,0,MATCH(D$2,Inputs!$K$4:$AJ$4,0))))+SUMPRODUCT((Inputs!$E$5:$E$160=$B37)*ISNUMBER(INDEX(Inputs!$K$5:$AJ$160,0,MATCH(D$2,Inputs!$K$4:$AJ$4,0))))=0,NA(),SUMPRODUCT((Inputs!$A$5:$A$160=$B37)*Inputs!$B$5:$B$160*(((Inputs!$G$5:$G$160="moeda")+(Inputs!$G$5:$G$160="acoes"))*Inputs!$B$1+((Inputs!$G$5:$G$160&lt;&gt;"moeda")*(Inputs!$G$5:$G$160&lt;&gt;"acoes")))*INDEX(Inputs!$K$5:$AJ$160,0,MATCH(D$2,Inputs!$K$4:$AJ$4,0)))+SUMPRODUCT((Inputs!$C$5:$C$160=$B37)*Inputs!$D$5:$D$160*(((Inputs!$G$5:$G$160="moeda")+(Inputs!$G$5:$G$160="acoes"))*Inputs!$B$1+((Inputs!$G$5:$G$160&lt;&gt;"moeda")*(Inputs!$G$5:$G$160&lt;&gt;"acoes")))*INDEX(Inputs!$K$5:$AJ$160,0,MATCH(D$2,Inputs!$K$4:$AJ$4,0)))+SUMPRODUCT((Inputs!$E$5:$E$160=$B37)*Inputs!$F$5:$F$160*(((Inputs!$G$5:$G$160="moeda")+(Inputs!$G$5:$G$160="acoes"))*Inputs!$B$1+((Inputs!$G$5:$G$160&lt;&gt;"moeda")*(Inputs!$G$5:$G$160&lt;&gt;"acoes")))*INDEX(Inputs!$K$5:$AJ$160,0,MATCH(D$2,Inputs!$K$4:$AJ$4,0)))))</f>
        <v>#N/A</v>
      </c>
      <c r="E37" s="6" t="e">
        <f>IF(ISNA(MATCH(E$2,Inputs!$K$4:$AJ$4,0)),NA(),IF(SUMPRODUCT((Inputs!$A$5:$A$160=$B37)*ISNUMBER(INDEX(Inputs!$K$5:$AJ$160,0,MATCH(E$2,Inputs!$K$4:$AJ$4,0))))+SUMPRODUCT((Inputs!$C$5:$C$160=$B37)*ISNUMBER(INDEX(Inputs!$K$5:$AJ$160,0,MATCH(E$2,Inputs!$K$4:$AJ$4,0))))+SUMPRODUCT((Inputs!$E$5:$E$160=$B37)*ISNUMBER(INDEX(Inputs!$K$5:$AJ$160,0,MATCH(E$2,Inputs!$K$4:$AJ$4,0))))=0,NA(),SUMPRODUCT((Inputs!$A$5:$A$160=$B37)*Inputs!$B$5:$B$160*(((Inputs!$G$5:$G$160="moeda")+(Inputs!$G$5:$G$160="acoes"))*Inputs!$B$1+((Inputs!$G$5:$G$160&lt;&gt;"moeda")*(Inputs!$G$5:$G$160&lt;&gt;"acoes")))*INDEX(Inputs!$K$5:$AJ$160,0,MATCH(E$2,Inputs!$K$4:$AJ$4,0)))+SUMPRODUCT((Inputs!$C$5:$C$160=$B37)*Inputs!$D$5:$D$160*(((Inputs!$G$5:$G$160="moeda")+(Inputs!$G$5:$G$160="acoes"))*Inputs!$B$1+((Inputs!$G$5:$G$160&lt;&gt;"moeda")*(Inputs!$G$5:$G$160&lt;&gt;"acoes")))*INDEX(Inputs!$K$5:$AJ$160,0,MATCH(E$2,Inputs!$K$4:$AJ$4,0)))+SUMPRODUCT((Inputs!$E$5:$E$160=$B37)*Inputs!$F$5:$F$160*(((Inputs!$G$5:$G$160="moeda")+(Inputs!$G$5:$G$160="acoes"))*Inputs!$B$1+((Inputs!$G$5:$G$160&lt;&gt;"moeda")*(Inputs!$G$5:$G$160&lt;&gt;"acoes")))*INDEX(Inputs!$K$5:$AJ$160,0,MATCH(E$2,Inputs!$K$4:$AJ$4,0)))))</f>
        <v>#N/A</v>
      </c>
      <c r="F37" s="6" t="e">
        <f>IF(ISNA(MATCH(F$2,Inputs!$K$4:$AJ$4,0)),NA(),IF(SUMPRODUCT((Inputs!$A$5:$A$160=$B37)*ISNUMBER(INDEX(Inputs!$K$5:$AJ$160,0,MATCH(F$2,Inputs!$K$4:$AJ$4,0))))+SUMPRODUCT((Inputs!$C$5:$C$160=$B37)*ISNUMBER(INDEX(Inputs!$K$5:$AJ$160,0,MATCH(F$2,Inputs!$K$4:$AJ$4,0))))+SUMPRODUCT((Inputs!$E$5:$E$160=$B37)*ISNUMBER(INDEX(Inputs!$K$5:$AJ$160,0,MATCH(F$2,Inputs!$K$4:$AJ$4,0))))=0,NA(),SUMPRODUCT((Inputs!$A$5:$A$160=$B37)*Inputs!$B$5:$B$160*(((Inputs!$G$5:$G$160="moeda")+(Inputs!$G$5:$G$160="acoes"))*Inputs!$B$1+((Inputs!$G$5:$G$160&lt;&gt;"moeda")*(Inputs!$G$5:$G$160&lt;&gt;"acoes")))*INDEX(Inputs!$K$5:$AJ$160,0,MATCH(F$2,Inputs!$K$4:$AJ$4,0)))+SUMPRODUCT((Inputs!$C$5:$C$160=$B37)*Inputs!$D$5:$D$160*(((Inputs!$G$5:$G$160="moeda")+(Inputs!$G$5:$G$160="acoes"))*Inputs!$B$1+((Inputs!$G$5:$G$160&lt;&gt;"moeda")*(Inputs!$G$5:$G$160&lt;&gt;"acoes")))*INDEX(Inputs!$K$5:$AJ$160,0,MATCH(F$2,Inputs!$K$4:$AJ$4,0)))+SUMPRODUCT((Inputs!$E$5:$E$160=$B37)*Inputs!$F$5:$F$160*(((Inputs!$G$5:$G$160="moeda")+(Inputs!$G$5:$G$160="acoes"))*Inputs!$B$1+((Inputs!$G$5:$G$160&lt;&gt;"moeda")*(Inputs!$G$5:$G$160&lt;&gt;"acoes")))*INDEX(Inputs!$K$5:$AJ$160,0,MATCH(F$2,Inputs!$K$4:$AJ$4,0)))))</f>
        <v>#N/A</v>
      </c>
      <c r="G37" s="6" t="e">
        <f>IF(ISNA(MATCH(G$2,Inputs!$K$4:$AJ$4,0)),NA(),IF(SUMPRODUCT((Inputs!$A$5:$A$160=$B37)*ISNUMBER(INDEX(Inputs!$K$5:$AJ$160,0,MATCH(G$2,Inputs!$K$4:$AJ$4,0))))+SUMPRODUCT((Inputs!$C$5:$C$160=$B37)*ISNUMBER(INDEX(Inputs!$K$5:$AJ$160,0,MATCH(G$2,Inputs!$K$4:$AJ$4,0))))+SUMPRODUCT((Inputs!$E$5:$E$160=$B37)*ISNUMBER(INDEX(Inputs!$K$5:$AJ$160,0,MATCH(G$2,Inputs!$K$4:$AJ$4,0))))=0,NA(),SUMPRODUCT((Inputs!$A$5:$A$160=$B37)*Inputs!$B$5:$B$160*(((Inputs!$G$5:$G$160="moeda")+(Inputs!$G$5:$G$160="acoes"))*Inputs!$B$1+((Inputs!$G$5:$G$160&lt;&gt;"moeda")*(Inputs!$G$5:$G$160&lt;&gt;"acoes")))*INDEX(Inputs!$K$5:$AJ$160,0,MATCH(G$2,Inputs!$K$4:$AJ$4,0)))+SUMPRODUCT((Inputs!$C$5:$C$160=$B37)*Inputs!$D$5:$D$160*(((Inputs!$G$5:$G$160="moeda")+(Inputs!$G$5:$G$160="acoes"))*Inputs!$B$1+((Inputs!$G$5:$G$160&lt;&gt;"moeda")*(Inputs!$G$5:$G$160&lt;&gt;"acoes")))*INDEX(Inputs!$K$5:$AJ$160,0,MATCH(G$2,Inputs!$K$4:$AJ$4,0)))+SUMPRODUCT((Inputs!$E$5:$E$160=$B37)*Inputs!$F$5:$F$160*(((Inputs!$G$5:$G$160="moeda")+(Inputs!$G$5:$G$160="acoes"))*Inputs!$B$1+((Inputs!$G$5:$G$160&lt;&gt;"moeda")*(Inputs!$G$5:$G$160&lt;&gt;"acoes")))*INDEX(Inputs!$K$5:$AJ$160,0,MATCH(G$2,Inputs!$K$4:$AJ$4,0)))))</f>
        <v>#N/A</v>
      </c>
      <c r="H37" s="3" t="e">
        <f>G37</f>
        <v>#N/A</v>
      </c>
      <c r="I37" s="6" t="e">
        <f>IF(ISNA(MATCH(I$2,Inputs!$K$4:$AJ$4,0)),NA(),IF(SUMPRODUCT((Inputs!$A$5:$A$160=$B37)*ISNUMBER(INDEX(Inputs!$K$5:$AJ$160,0,MATCH(I$2,Inputs!$K$4:$AJ$4,0))))+SUMPRODUCT((Inputs!$C$5:$C$160=$B37)*ISNUMBER(INDEX(Inputs!$K$5:$AJ$160,0,MATCH(I$2,Inputs!$K$4:$AJ$4,0))))+SUMPRODUCT((Inputs!$E$5:$E$160=$B37)*ISNUMBER(INDEX(Inputs!$K$5:$AJ$160,0,MATCH(I$2,Inputs!$K$4:$AJ$4,0))))=0,NA(),SUMPRODUCT((Inputs!$A$5:$A$160=$B37)*Inputs!$B$5:$B$160*(((Inputs!$G$5:$G$160="moeda")+(Inputs!$G$5:$G$160="acoes"))*Inputs!$B$1+((Inputs!$G$5:$G$160&lt;&gt;"moeda")*(Inputs!$G$5:$G$160&lt;&gt;"acoes")))*INDEX(Inputs!$K$5:$AJ$160,0,MATCH(I$2,Inputs!$K$4:$AJ$4,0)))+SUMPRODUCT((Inputs!$C$5:$C$160=$B37)*Inputs!$D$5:$D$160*(((Inputs!$G$5:$G$160="moeda")+(Inputs!$G$5:$G$160="acoes"))*Inputs!$B$1+((Inputs!$G$5:$G$160&lt;&gt;"moeda")*(Inputs!$G$5:$G$160&lt;&gt;"acoes")))*INDEX(Inputs!$K$5:$AJ$160,0,MATCH(I$2,Inputs!$K$4:$AJ$4,0)))+SUMPRODUCT((Inputs!$E$5:$E$160=$B37)*Inputs!$F$5:$F$160*(((Inputs!$G$5:$G$160="moeda")+(Inputs!$G$5:$G$160="acoes"))*Inputs!$B$1+((Inputs!$G$5:$G$160&lt;&gt;"moeda")*(Inputs!$G$5:$G$160&lt;&gt;"acoes")))*INDEX(Inputs!$K$5:$AJ$160,0,MATCH(I$2,Inputs!$K$4:$AJ$4,0)))))</f>
        <v>#N/A</v>
      </c>
      <c r="J37" s="6" t="e">
        <f>IF(ISNA(MATCH(J$2,Inputs!$K$4:$AJ$4,0)),NA(),IF(SUMPRODUCT((Inputs!$A$5:$A$160=$B37)*ISNUMBER(INDEX(Inputs!$K$5:$AJ$160,0,MATCH(J$2,Inputs!$K$4:$AJ$4,0))))+SUMPRODUCT((Inputs!$C$5:$C$160=$B37)*ISNUMBER(INDEX(Inputs!$K$5:$AJ$160,0,MATCH(J$2,Inputs!$K$4:$AJ$4,0))))+SUMPRODUCT((Inputs!$E$5:$E$160=$B37)*ISNUMBER(INDEX(Inputs!$K$5:$AJ$160,0,MATCH(J$2,Inputs!$K$4:$AJ$4,0))))=0,NA(),SUMPRODUCT((Inputs!$A$5:$A$160=$B37)*Inputs!$B$5:$B$160*(((Inputs!$G$5:$G$160="moeda")+(Inputs!$G$5:$G$160="acoes"))*Inputs!$B$1+((Inputs!$G$5:$G$160&lt;&gt;"moeda")*(Inputs!$G$5:$G$160&lt;&gt;"acoes")))*INDEX(Inputs!$K$5:$AJ$160,0,MATCH(J$2,Inputs!$K$4:$AJ$4,0)))+SUMPRODUCT((Inputs!$C$5:$C$160=$B37)*Inputs!$D$5:$D$160*(((Inputs!$G$5:$G$160="moeda")+(Inputs!$G$5:$G$160="acoes"))*Inputs!$B$1+((Inputs!$G$5:$G$160&lt;&gt;"moeda")*(Inputs!$G$5:$G$160&lt;&gt;"acoes")))*INDEX(Inputs!$K$5:$AJ$160,0,MATCH(J$2,Inputs!$K$4:$AJ$4,0)))+SUMPRODUCT((Inputs!$E$5:$E$160=$B37)*Inputs!$F$5:$F$160*(((Inputs!$G$5:$G$160="moeda")+(Inputs!$G$5:$G$160="acoes"))*Inputs!$B$1+((Inputs!$G$5:$G$160&lt;&gt;"moeda")*(Inputs!$G$5:$G$160&lt;&gt;"acoes")))*INDEX(Inputs!$K$5:$AJ$160,0,MATCH(J$2,Inputs!$K$4:$AJ$4,0)))))</f>
        <v>#N/A</v>
      </c>
      <c r="K37" s="6" t="e">
        <f>IF(ISNA(MATCH(K$2,Inputs!$K$4:$AJ$4,0)),NA(),IF(SUMPRODUCT((Inputs!$A$5:$A$160=$B37)*ISNUMBER(INDEX(Inputs!$K$5:$AJ$160,0,MATCH(K$2,Inputs!$K$4:$AJ$4,0))))+SUMPRODUCT((Inputs!$C$5:$C$160=$B37)*ISNUMBER(INDEX(Inputs!$K$5:$AJ$160,0,MATCH(K$2,Inputs!$K$4:$AJ$4,0))))+SUMPRODUCT((Inputs!$E$5:$E$160=$B37)*ISNUMBER(INDEX(Inputs!$K$5:$AJ$160,0,MATCH(K$2,Inputs!$K$4:$AJ$4,0))))=0,NA(),SUMPRODUCT((Inputs!$A$5:$A$160=$B37)*Inputs!$B$5:$B$160*(((Inputs!$G$5:$G$160="moeda")+(Inputs!$G$5:$G$160="acoes"))*Inputs!$B$1+((Inputs!$G$5:$G$160&lt;&gt;"moeda")*(Inputs!$G$5:$G$160&lt;&gt;"acoes")))*INDEX(Inputs!$K$5:$AJ$160,0,MATCH(K$2,Inputs!$K$4:$AJ$4,0)))+SUMPRODUCT((Inputs!$C$5:$C$160=$B37)*Inputs!$D$5:$D$160*(((Inputs!$G$5:$G$160="moeda")+(Inputs!$G$5:$G$160="acoes"))*Inputs!$B$1+((Inputs!$G$5:$G$160&lt;&gt;"moeda")*(Inputs!$G$5:$G$160&lt;&gt;"acoes")))*INDEX(Inputs!$K$5:$AJ$160,0,MATCH(K$2,Inputs!$K$4:$AJ$4,0)))+SUMPRODUCT((Inputs!$E$5:$E$160=$B37)*Inputs!$F$5:$F$160*(((Inputs!$G$5:$G$160="moeda")+(Inputs!$G$5:$G$160="acoes"))*Inputs!$B$1+((Inputs!$G$5:$G$160&lt;&gt;"moeda")*(Inputs!$G$5:$G$160&lt;&gt;"acoes")))*INDEX(Inputs!$K$5:$AJ$160,0,MATCH(K$2,Inputs!$K$4:$AJ$4,0)))))</f>
        <v>#N/A</v>
      </c>
      <c r="L37" s="6" t="e">
        <f>IF(ISNA(MATCH(L$2,Inputs!$K$4:$AJ$4,0)),NA(),IF(SUMPRODUCT((Inputs!$A$5:$A$160=$B37)*ISNUMBER(INDEX(Inputs!$K$5:$AJ$160,0,MATCH(L$2,Inputs!$K$4:$AJ$4,0))))+SUMPRODUCT((Inputs!$C$5:$C$160=$B37)*ISNUMBER(INDEX(Inputs!$K$5:$AJ$160,0,MATCH(L$2,Inputs!$K$4:$AJ$4,0))))+SUMPRODUCT((Inputs!$E$5:$E$160=$B37)*ISNUMBER(INDEX(Inputs!$K$5:$AJ$160,0,MATCH(L$2,Inputs!$K$4:$AJ$4,0))))=0,NA(),SUMPRODUCT((Inputs!$A$5:$A$160=$B37)*Inputs!$B$5:$B$160*(((Inputs!$G$5:$G$160="moeda")+(Inputs!$G$5:$G$160="acoes"))*Inputs!$B$1+((Inputs!$G$5:$G$160&lt;&gt;"moeda")*(Inputs!$G$5:$G$160&lt;&gt;"acoes")))*INDEX(Inputs!$K$5:$AJ$160,0,MATCH(L$2,Inputs!$K$4:$AJ$4,0)))+SUMPRODUCT((Inputs!$C$5:$C$160=$B37)*Inputs!$D$5:$D$160*(((Inputs!$G$5:$G$160="moeda")+(Inputs!$G$5:$G$160="acoes"))*Inputs!$B$1+((Inputs!$G$5:$G$160&lt;&gt;"moeda")*(Inputs!$G$5:$G$160&lt;&gt;"acoes")))*INDEX(Inputs!$K$5:$AJ$160,0,MATCH(L$2,Inputs!$K$4:$AJ$4,0)))+SUMPRODUCT((Inputs!$E$5:$E$160=$B37)*Inputs!$F$5:$F$160*(((Inputs!$G$5:$G$160="moeda")+(Inputs!$G$5:$G$160="acoes"))*Inputs!$B$1+((Inputs!$G$5:$G$160&lt;&gt;"moeda")*(Inputs!$G$5:$G$160&lt;&gt;"acoes")))*INDEX(Inputs!$K$5:$AJ$160,0,MATCH(L$2,Inputs!$K$4:$AJ$4,0)))))</f>
        <v>#N/A</v>
      </c>
      <c r="M37" s="3" t="e">
        <f>L37</f>
        <v>#N/A</v>
      </c>
      <c r="N37" s="6" t="e">
        <f>IF(ISNA(MATCH(N$2,Inputs!$K$4:$AJ$4,0)),NA(),IF(SUMPRODUCT((Inputs!$A$5:$A$160=$B37)*ISNUMBER(INDEX(Inputs!$K$5:$AJ$160,0,MATCH(N$2,Inputs!$K$4:$AJ$4,0))))+SUMPRODUCT((Inputs!$C$5:$C$160=$B37)*ISNUMBER(INDEX(Inputs!$K$5:$AJ$160,0,MATCH(N$2,Inputs!$K$4:$AJ$4,0))))+SUMPRODUCT((Inputs!$E$5:$E$160=$B37)*ISNUMBER(INDEX(Inputs!$K$5:$AJ$160,0,MATCH(N$2,Inputs!$K$4:$AJ$4,0))))=0,NA(),SUMPRODUCT((Inputs!$A$5:$A$160=$B37)*Inputs!$B$5:$B$160*(((Inputs!$G$5:$G$160="moeda")+(Inputs!$G$5:$G$160="acoes"))*Inputs!$B$1+((Inputs!$G$5:$G$160&lt;&gt;"moeda")*(Inputs!$G$5:$G$160&lt;&gt;"acoes")))*INDEX(Inputs!$K$5:$AJ$160,0,MATCH(N$2,Inputs!$K$4:$AJ$4,0)))+SUMPRODUCT((Inputs!$C$5:$C$160=$B37)*Inputs!$D$5:$D$160*(((Inputs!$G$5:$G$160="moeda")+(Inputs!$G$5:$G$160="acoes"))*Inputs!$B$1+((Inputs!$G$5:$G$160&lt;&gt;"moeda")*(Inputs!$G$5:$G$160&lt;&gt;"acoes")))*INDEX(Inputs!$K$5:$AJ$160,0,MATCH(N$2,Inputs!$K$4:$AJ$4,0)))+SUMPRODUCT((Inputs!$E$5:$E$160=$B37)*Inputs!$F$5:$F$160*(((Inputs!$G$5:$G$160="moeda")+(Inputs!$G$5:$G$160="acoes"))*Inputs!$B$1+((Inputs!$G$5:$G$160&lt;&gt;"moeda")*(Inputs!$G$5:$G$160&lt;&gt;"acoes")))*INDEX(Inputs!$K$5:$AJ$160,0,MATCH(N$2,Inputs!$K$4:$AJ$4,0)))))</f>
        <v>#N/A</v>
      </c>
      <c r="O37" s="6" t="e">
        <f>IF(ISNA(MATCH(O$2,Inputs!$K$4:$AJ$4,0)),NA(),IF(SUMPRODUCT((Inputs!$A$5:$A$160=$B37)*ISNUMBER(INDEX(Inputs!$K$5:$AJ$160,0,MATCH(O$2,Inputs!$K$4:$AJ$4,0))))+SUMPRODUCT((Inputs!$C$5:$C$160=$B37)*ISNUMBER(INDEX(Inputs!$K$5:$AJ$160,0,MATCH(O$2,Inputs!$K$4:$AJ$4,0))))+SUMPRODUCT((Inputs!$E$5:$E$160=$B37)*ISNUMBER(INDEX(Inputs!$K$5:$AJ$160,0,MATCH(O$2,Inputs!$K$4:$AJ$4,0))))=0,NA(),SUMPRODUCT((Inputs!$A$5:$A$160=$B37)*Inputs!$B$5:$B$160*(((Inputs!$G$5:$G$160="moeda")+(Inputs!$G$5:$G$160="acoes"))*Inputs!$B$1+((Inputs!$G$5:$G$160&lt;&gt;"moeda")*(Inputs!$G$5:$G$160&lt;&gt;"acoes")))*INDEX(Inputs!$K$5:$AJ$160,0,MATCH(O$2,Inputs!$K$4:$AJ$4,0)))+SUMPRODUCT((Inputs!$C$5:$C$160=$B37)*Inputs!$D$5:$D$160*(((Inputs!$G$5:$G$160="moeda")+(Inputs!$G$5:$G$160="acoes"))*Inputs!$B$1+((Inputs!$G$5:$G$160&lt;&gt;"moeda")*(Inputs!$G$5:$G$160&lt;&gt;"acoes")))*INDEX(Inputs!$K$5:$AJ$160,0,MATCH(O$2,Inputs!$K$4:$AJ$4,0)))+SUMPRODUCT((Inputs!$E$5:$E$160=$B37)*Inputs!$F$5:$F$160*(((Inputs!$G$5:$G$160="moeda")+(Inputs!$G$5:$G$160="acoes"))*Inputs!$B$1+((Inputs!$G$5:$G$160&lt;&gt;"moeda")*(Inputs!$G$5:$G$160&lt;&gt;"acoes")))*INDEX(Inputs!$K$5:$AJ$160,0,MATCH(O$2,Inputs!$K$4:$AJ$4,0)))))</f>
        <v>#N/A</v>
      </c>
      <c r="P37" s="6" t="e">
        <f>IF(ISNA(MATCH(P$2,Inputs!$K$4:$AJ$4,0)),NA(),IF(SUMPRODUCT((Inputs!$A$5:$A$160=$B37)*ISNUMBER(INDEX(Inputs!$K$5:$AJ$160,0,MATCH(P$2,Inputs!$K$4:$AJ$4,0))))+SUMPRODUCT((Inputs!$C$5:$C$160=$B37)*ISNUMBER(INDEX(Inputs!$K$5:$AJ$160,0,MATCH(P$2,Inputs!$K$4:$AJ$4,0))))+SUMPRODUCT((Inputs!$E$5:$E$160=$B37)*ISNUMBER(INDEX(Inputs!$K$5:$AJ$160,0,MATCH(P$2,Inputs!$K$4:$AJ$4,0))))=0,NA(),SUMPRODUCT((Inputs!$A$5:$A$160=$B37)*Inputs!$B$5:$B$160*(((Inputs!$G$5:$G$160="moeda")+(Inputs!$G$5:$G$160="acoes"))*Inputs!$B$1+((Inputs!$G$5:$G$160&lt;&gt;"moeda")*(Inputs!$G$5:$G$160&lt;&gt;"acoes")))*INDEX(Inputs!$K$5:$AJ$160,0,MATCH(P$2,Inputs!$K$4:$AJ$4,0)))+SUMPRODUCT((Inputs!$C$5:$C$160=$B37)*Inputs!$D$5:$D$160*(((Inputs!$G$5:$G$160="moeda")+(Inputs!$G$5:$G$160="acoes"))*Inputs!$B$1+((Inputs!$G$5:$G$160&lt;&gt;"moeda")*(Inputs!$G$5:$G$160&lt;&gt;"acoes")))*INDEX(Inputs!$K$5:$AJ$160,0,MATCH(P$2,Inputs!$K$4:$AJ$4,0)))+SUMPRODUCT((Inputs!$E$5:$E$160=$B37)*Inputs!$F$5:$F$160*(((Inputs!$G$5:$G$160="moeda")+(Inputs!$G$5:$G$160="acoes"))*Inputs!$B$1+((Inputs!$G$5:$G$160&lt;&gt;"moeda")*(Inputs!$G$5:$G$160&lt;&gt;"acoes")))*INDEX(Inputs!$K$5:$AJ$160,0,MATCH(P$2,Inputs!$K$4:$AJ$4,0)))))</f>
        <v>#N/A</v>
      </c>
      <c r="Q37" s="6" t="e">
        <f>IF(ISNA(MATCH(Q$2,Inputs!$K$4:$AJ$4,0)),NA(),IF(SUMPRODUCT((Inputs!$A$5:$A$160=$B37)*ISNUMBER(INDEX(Inputs!$K$5:$AJ$160,0,MATCH(Q$2,Inputs!$K$4:$AJ$4,0))))+SUMPRODUCT((Inputs!$C$5:$C$160=$B37)*ISNUMBER(INDEX(Inputs!$K$5:$AJ$160,0,MATCH(Q$2,Inputs!$K$4:$AJ$4,0))))+SUMPRODUCT((Inputs!$E$5:$E$160=$B37)*ISNUMBER(INDEX(Inputs!$K$5:$AJ$160,0,MATCH(Q$2,Inputs!$K$4:$AJ$4,0))))=0,NA(),SUMPRODUCT((Inputs!$A$5:$A$160=$B37)*Inputs!$B$5:$B$160*(((Inputs!$G$5:$G$160="moeda")+(Inputs!$G$5:$G$160="acoes"))*Inputs!$B$1+((Inputs!$G$5:$G$160&lt;&gt;"moeda")*(Inputs!$G$5:$G$160&lt;&gt;"acoes")))*INDEX(Inputs!$K$5:$AJ$160,0,MATCH(Q$2,Inputs!$K$4:$AJ$4,0)))+SUMPRODUCT((Inputs!$C$5:$C$160=$B37)*Inputs!$D$5:$D$160*(((Inputs!$G$5:$G$160="moeda")+(Inputs!$G$5:$G$160="acoes"))*Inputs!$B$1+((Inputs!$G$5:$G$160&lt;&gt;"moeda")*(Inputs!$G$5:$G$160&lt;&gt;"acoes")))*INDEX(Inputs!$K$5:$AJ$160,0,MATCH(Q$2,Inputs!$K$4:$AJ$4,0)))+SUMPRODUCT((Inputs!$E$5:$E$160=$B37)*Inputs!$F$5:$F$160*(((Inputs!$G$5:$G$160="moeda")+(Inputs!$G$5:$G$160="acoes"))*Inputs!$B$1+((Inputs!$G$5:$G$160&lt;&gt;"moeda")*(Inputs!$G$5:$G$160&lt;&gt;"acoes")))*INDEX(Inputs!$K$5:$AJ$160,0,MATCH(Q$2,Inputs!$K$4:$AJ$4,0)))))</f>
        <v>#N/A</v>
      </c>
      <c r="R37" s="3" t="e">
        <f>Q37</f>
        <v>#N/A</v>
      </c>
      <c r="S37" s="6" t="e">
        <f>IF(ISNA(MATCH(S$2,Inputs!$K$4:$AJ$4,0)),NA(),IF(SUMPRODUCT((Inputs!$A$5:$A$160=$B37)*ISNUMBER(INDEX(Inputs!$K$5:$AJ$160,0,MATCH(S$2,Inputs!$K$4:$AJ$4,0))))+SUMPRODUCT((Inputs!$C$5:$C$160=$B37)*ISNUMBER(INDEX(Inputs!$K$5:$AJ$160,0,MATCH(S$2,Inputs!$K$4:$AJ$4,0))))+SUMPRODUCT((Inputs!$E$5:$E$160=$B37)*ISNUMBER(INDEX(Inputs!$K$5:$AJ$160,0,MATCH(S$2,Inputs!$K$4:$AJ$4,0))))=0,NA(),SUMPRODUCT((Inputs!$A$5:$A$160=$B37)*Inputs!$B$5:$B$160*(((Inputs!$G$5:$G$160="moeda")+(Inputs!$G$5:$G$160="acoes"))*Inputs!$B$1+((Inputs!$G$5:$G$160&lt;&gt;"moeda")*(Inputs!$G$5:$G$160&lt;&gt;"acoes")))*INDEX(Inputs!$K$5:$AJ$160,0,MATCH(S$2,Inputs!$K$4:$AJ$4,0)))+SUMPRODUCT((Inputs!$C$5:$C$160=$B37)*Inputs!$D$5:$D$160*(((Inputs!$G$5:$G$160="moeda")+(Inputs!$G$5:$G$160="acoes"))*Inputs!$B$1+((Inputs!$G$5:$G$160&lt;&gt;"moeda")*(Inputs!$G$5:$G$160&lt;&gt;"acoes")))*INDEX(Inputs!$K$5:$AJ$160,0,MATCH(S$2,Inputs!$K$4:$AJ$4,0)))+SUMPRODUCT((Inputs!$E$5:$E$160=$B37)*Inputs!$F$5:$F$160*(((Inputs!$G$5:$G$160="moeda")+(Inputs!$G$5:$G$160="acoes"))*Inputs!$B$1+((Inputs!$G$5:$G$160&lt;&gt;"moeda")*(Inputs!$G$5:$G$160&lt;&gt;"acoes")))*INDEX(Inputs!$K$5:$AJ$160,0,MATCH(S$2,Inputs!$K$4:$AJ$4,0)))))</f>
        <v>#N/A</v>
      </c>
      <c r="T37" s="6" t="e">
        <f>IF(ISNA(MATCH(T$2,Inputs!$K$4:$AJ$4,0)),NA(),IF(SUMPRODUCT((Inputs!$A$5:$A$160=$B37)*ISNUMBER(INDEX(Inputs!$K$5:$AJ$160,0,MATCH(T$2,Inputs!$K$4:$AJ$4,0))))+SUMPRODUCT((Inputs!$C$5:$C$160=$B37)*ISNUMBER(INDEX(Inputs!$K$5:$AJ$160,0,MATCH(T$2,Inputs!$K$4:$AJ$4,0))))+SUMPRODUCT((Inputs!$E$5:$E$160=$B37)*ISNUMBER(INDEX(Inputs!$K$5:$AJ$160,0,MATCH(T$2,Inputs!$K$4:$AJ$4,0))))=0,NA(),SUMPRODUCT((Inputs!$A$5:$A$160=$B37)*Inputs!$B$5:$B$160*(((Inputs!$G$5:$G$160="moeda")+(Inputs!$G$5:$G$160="acoes"))*Inputs!$B$1+((Inputs!$G$5:$G$160&lt;&gt;"moeda")*(Inputs!$G$5:$G$160&lt;&gt;"acoes")))*INDEX(Inputs!$K$5:$AJ$160,0,MATCH(T$2,Inputs!$K$4:$AJ$4,0)))+SUMPRODUCT((Inputs!$C$5:$C$160=$B37)*Inputs!$D$5:$D$160*(((Inputs!$G$5:$G$160="moeda")+(Inputs!$G$5:$G$160="acoes"))*Inputs!$B$1+((Inputs!$G$5:$G$160&lt;&gt;"moeda")*(Inputs!$G$5:$G$160&lt;&gt;"acoes")))*INDEX(Inputs!$K$5:$AJ$160,0,MATCH(T$2,Inputs!$K$4:$AJ$4,0)))+SUMPRODUCT((Inputs!$E$5:$E$160=$B37)*Inputs!$F$5:$F$160*(((Inputs!$G$5:$G$160="moeda")+(Inputs!$G$5:$G$160="acoes"))*Inputs!$B$1+((Inputs!$G$5:$G$160&lt;&gt;"moeda")*(Inputs!$G$5:$G$160&lt;&gt;"acoes")))*INDEX(Inputs!$K$5:$AJ$160,0,MATCH(T$2,Inputs!$K$4:$AJ$4,0)))))</f>
        <v>#N/A</v>
      </c>
      <c r="U37" s="6" t="e">
        <f>IF(ISNA(MATCH(U$2,Inputs!$K$4:$AJ$4,0)),NA(),IF(SUMPRODUCT((Inputs!$A$5:$A$160=$B37)*ISNUMBER(INDEX(Inputs!$K$5:$AJ$160,0,MATCH(U$2,Inputs!$K$4:$AJ$4,0))))+SUMPRODUCT((Inputs!$C$5:$C$160=$B37)*ISNUMBER(INDEX(Inputs!$K$5:$AJ$160,0,MATCH(U$2,Inputs!$K$4:$AJ$4,0))))+SUMPRODUCT((Inputs!$E$5:$E$160=$B37)*ISNUMBER(INDEX(Inputs!$K$5:$AJ$160,0,MATCH(U$2,Inputs!$K$4:$AJ$4,0))))=0,NA(),SUMPRODUCT((Inputs!$A$5:$A$160=$B37)*Inputs!$B$5:$B$160*(((Inputs!$G$5:$G$160="moeda")+(Inputs!$G$5:$G$160="acoes"))*Inputs!$B$1+((Inputs!$G$5:$G$160&lt;&gt;"moeda")*(Inputs!$G$5:$G$160&lt;&gt;"acoes")))*INDEX(Inputs!$K$5:$AJ$160,0,MATCH(U$2,Inputs!$K$4:$AJ$4,0)))+SUMPRODUCT((Inputs!$C$5:$C$160=$B37)*Inputs!$D$5:$D$160*(((Inputs!$G$5:$G$160="moeda")+(Inputs!$G$5:$G$160="acoes"))*Inputs!$B$1+((Inputs!$G$5:$G$160&lt;&gt;"moeda")*(Inputs!$G$5:$G$160&lt;&gt;"acoes")))*INDEX(Inputs!$K$5:$AJ$160,0,MATCH(U$2,Inputs!$K$4:$AJ$4,0)))+SUMPRODUCT((Inputs!$E$5:$E$160=$B37)*Inputs!$F$5:$F$160*(((Inputs!$G$5:$G$160="moeda")+(Inputs!$G$5:$G$160="acoes"))*Inputs!$B$1+((Inputs!$G$5:$G$160&lt;&gt;"moeda")*(Inputs!$G$5:$G$160&lt;&gt;"acoes")))*INDEX(Inputs!$K$5:$AJ$160,0,MATCH(U$2,Inputs!$K$4:$AJ$4,0)))))</f>
        <v>#N/A</v>
      </c>
      <c r="V37" s="6" t="e">
        <f>IF(ISNA(MATCH(V$2,Inputs!$K$4:$AJ$4,0)),NA(),IF(SUMPRODUCT((Inputs!$A$5:$A$160=$B37)*ISNUMBER(INDEX(Inputs!$K$5:$AJ$160,0,MATCH(V$2,Inputs!$K$4:$AJ$4,0))))+SUMPRODUCT((Inputs!$C$5:$C$160=$B37)*ISNUMBER(INDEX(Inputs!$K$5:$AJ$160,0,MATCH(V$2,Inputs!$K$4:$AJ$4,0))))+SUMPRODUCT((Inputs!$E$5:$E$160=$B37)*ISNUMBER(INDEX(Inputs!$K$5:$AJ$160,0,MATCH(V$2,Inputs!$K$4:$AJ$4,0))))=0,NA(),SUMPRODUCT((Inputs!$A$5:$A$160=$B37)*Inputs!$B$5:$B$160*(((Inputs!$G$5:$G$160="moeda")+(Inputs!$G$5:$G$160="acoes"))*Inputs!$B$1+((Inputs!$G$5:$G$160&lt;&gt;"moeda")*(Inputs!$G$5:$G$160&lt;&gt;"acoes")))*INDEX(Inputs!$K$5:$AJ$160,0,MATCH(V$2,Inputs!$K$4:$AJ$4,0)))+SUMPRODUCT((Inputs!$C$5:$C$160=$B37)*Inputs!$D$5:$D$160*(((Inputs!$G$5:$G$160="moeda")+(Inputs!$G$5:$G$160="acoes"))*Inputs!$B$1+((Inputs!$G$5:$G$160&lt;&gt;"moeda")*(Inputs!$G$5:$G$160&lt;&gt;"acoes")))*INDEX(Inputs!$K$5:$AJ$160,0,MATCH(V$2,Inputs!$K$4:$AJ$4,0)))+SUMPRODUCT((Inputs!$E$5:$E$160=$B37)*Inputs!$F$5:$F$160*(((Inputs!$G$5:$G$160="moeda")+(Inputs!$G$5:$G$160="acoes"))*Inputs!$B$1+((Inputs!$G$5:$G$160&lt;&gt;"moeda")*(Inputs!$G$5:$G$160&lt;&gt;"acoes")))*INDEX(Inputs!$K$5:$AJ$160,0,MATCH(V$2,Inputs!$K$4:$AJ$4,0)))))</f>
        <v>#N/A</v>
      </c>
      <c r="W37" s="3" t="e">
        <f>V37</f>
        <v>#N/A</v>
      </c>
      <c r="X37" s="6" t="e">
        <f>IF(ISNA(MATCH(X$2,Inputs!$K$4:$AJ$4,0)),NA(),IF(SUMPRODUCT((Inputs!$A$5:$A$160=$B37)*ISNUMBER(INDEX(Inputs!$K$5:$AJ$160,0,MATCH(X$2,Inputs!$K$4:$AJ$4,0))))+SUMPRODUCT((Inputs!$C$5:$C$160=$B37)*ISNUMBER(INDEX(Inputs!$K$5:$AJ$160,0,MATCH(X$2,Inputs!$K$4:$AJ$4,0))))+SUMPRODUCT((Inputs!$E$5:$E$160=$B37)*ISNUMBER(INDEX(Inputs!$K$5:$AJ$160,0,MATCH(X$2,Inputs!$K$4:$AJ$4,0))))=0,NA(),SUMPRODUCT((Inputs!$A$5:$A$160=$B37)*Inputs!$B$5:$B$160*(((Inputs!$G$5:$G$160="moeda")+(Inputs!$G$5:$G$160="acoes"))*Inputs!$B$1+((Inputs!$G$5:$G$160&lt;&gt;"moeda")*(Inputs!$G$5:$G$160&lt;&gt;"acoes")))*INDEX(Inputs!$K$5:$AJ$160,0,MATCH(X$2,Inputs!$K$4:$AJ$4,0)))+SUMPRODUCT((Inputs!$C$5:$C$160=$B37)*Inputs!$D$5:$D$160*(((Inputs!$G$5:$G$160="moeda")+(Inputs!$G$5:$G$160="acoes"))*Inputs!$B$1+((Inputs!$G$5:$G$160&lt;&gt;"moeda")*(Inputs!$G$5:$G$160&lt;&gt;"acoes")))*INDEX(Inputs!$K$5:$AJ$160,0,MATCH(X$2,Inputs!$K$4:$AJ$4,0)))+SUMPRODUCT((Inputs!$E$5:$E$160=$B37)*Inputs!$F$5:$F$160*(((Inputs!$G$5:$G$160="moeda")+(Inputs!$G$5:$G$160="acoes"))*Inputs!$B$1+((Inputs!$G$5:$G$160&lt;&gt;"moeda")*(Inputs!$G$5:$G$160&lt;&gt;"acoes")))*INDEX(Inputs!$K$5:$AJ$160,0,MATCH(X$2,Inputs!$K$4:$AJ$4,0)))))</f>
        <v>#N/A</v>
      </c>
      <c r="Y37" s="6" t="e">
        <f>IF(ISNA(MATCH(Y$2,Inputs!$K$4:$AJ$4,0)),NA(),IF(SUMPRODUCT((Inputs!$A$5:$A$160=$B37)*ISNUMBER(INDEX(Inputs!$K$5:$AJ$160,0,MATCH(Y$2,Inputs!$K$4:$AJ$4,0))))+SUMPRODUCT((Inputs!$C$5:$C$160=$B37)*ISNUMBER(INDEX(Inputs!$K$5:$AJ$160,0,MATCH(Y$2,Inputs!$K$4:$AJ$4,0))))+SUMPRODUCT((Inputs!$E$5:$E$160=$B37)*ISNUMBER(INDEX(Inputs!$K$5:$AJ$160,0,MATCH(Y$2,Inputs!$K$4:$AJ$4,0))))=0,NA(),SUMPRODUCT((Inputs!$A$5:$A$160=$B37)*Inputs!$B$5:$B$160*(((Inputs!$G$5:$G$160="moeda")+(Inputs!$G$5:$G$160="acoes"))*Inputs!$B$1+((Inputs!$G$5:$G$160&lt;&gt;"moeda")*(Inputs!$G$5:$G$160&lt;&gt;"acoes")))*INDEX(Inputs!$K$5:$AJ$160,0,MATCH(Y$2,Inputs!$K$4:$AJ$4,0)))+SUMPRODUCT((Inputs!$C$5:$C$160=$B37)*Inputs!$D$5:$D$160*(((Inputs!$G$5:$G$160="moeda")+(Inputs!$G$5:$G$160="acoes"))*Inputs!$B$1+((Inputs!$G$5:$G$160&lt;&gt;"moeda")*(Inputs!$G$5:$G$160&lt;&gt;"acoes")))*INDEX(Inputs!$K$5:$AJ$160,0,MATCH(Y$2,Inputs!$K$4:$AJ$4,0)))+SUMPRODUCT((Inputs!$E$5:$E$160=$B37)*Inputs!$F$5:$F$160*(((Inputs!$G$5:$G$160="moeda")+(Inputs!$G$5:$G$160="acoes"))*Inputs!$B$1+((Inputs!$G$5:$G$160&lt;&gt;"moeda")*(Inputs!$G$5:$G$160&lt;&gt;"acoes")))*INDEX(Inputs!$K$5:$AJ$160,0,MATCH(Y$2,Inputs!$K$4:$AJ$4,0)))))</f>
        <v>#N/A</v>
      </c>
      <c r="Z37" s="6" t="e">
        <f>IF(ISNA(MATCH(Z$2,Inputs!$K$4:$AJ$4,0)),NA(),IF(SUMPRODUCT((Inputs!$A$5:$A$160=$B37)*ISNUMBER(INDEX(Inputs!$K$5:$AJ$160,0,MATCH(Z$2,Inputs!$K$4:$AJ$4,0))))+SUMPRODUCT((Inputs!$C$5:$C$160=$B37)*ISNUMBER(INDEX(Inputs!$K$5:$AJ$160,0,MATCH(Z$2,Inputs!$K$4:$AJ$4,0))))+SUMPRODUCT((Inputs!$E$5:$E$160=$B37)*ISNUMBER(INDEX(Inputs!$K$5:$AJ$160,0,MATCH(Z$2,Inputs!$K$4:$AJ$4,0))))=0,NA(),SUMPRODUCT((Inputs!$A$5:$A$160=$B37)*Inputs!$B$5:$B$160*(((Inputs!$G$5:$G$160="moeda")+(Inputs!$G$5:$G$160="acoes"))*Inputs!$B$1+((Inputs!$G$5:$G$160&lt;&gt;"moeda")*(Inputs!$G$5:$G$160&lt;&gt;"acoes")))*INDEX(Inputs!$K$5:$AJ$160,0,MATCH(Z$2,Inputs!$K$4:$AJ$4,0)))+SUMPRODUCT((Inputs!$C$5:$C$160=$B37)*Inputs!$D$5:$D$160*(((Inputs!$G$5:$G$160="moeda")+(Inputs!$G$5:$G$160="acoes"))*Inputs!$B$1+((Inputs!$G$5:$G$160&lt;&gt;"moeda")*(Inputs!$G$5:$G$160&lt;&gt;"acoes")))*INDEX(Inputs!$K$5:$AJ$160,0,MATCH(Z$2,Inputs!$K$4:$AJ$4,0)))+SUMPRODUCT((Inputs!$E$5:$E$160=$B37)*Inputs!$F$5:$F$160*(((Inputs!$G$5:$G$160="moeda")+(Inputs!$G$5:$G$160="acoes"))*Inputs!$B$1+((Inputs!$G$5:$G$160&lt;&gt;"moeda")*(Inputs!$G$5:$G$160&lt;&gt;"acoes")))*INDEX(Inputs!$K$5:$AJ$160,0,MATCH(Z$2,Inputs!$K$4:$AJ$4,0)))))</f>
        <v>#N/A</v>
      </c>
      <c r="AA37" s="6" t="e">
        <f>IF(ISNA(MATCH(AA$2,Inputs!$K$4:$AJ$4,0)),NA(),IF(SUMPRODUCT((Inputs!$A$5:$A$160=$B37)*ISNUMBER(INDEX(Inputs!$K$5:$AJ$160,0,MATCH(AA$2,Inputs!$K$4:$AJ$4,0))))+SUMPRODUCT((Inputs!$C$5:$C$160=$B37)*ISNUMBER(INDEX(Inputs!$K$5:$AJ$160,0,MATCH(AA$2,Inputs!$K$4:$AJ$4,0))))+SUMPRODUCT((Inputs!$E$5:$E$160=$B37)*ISNUMBER(INDEX(Inputs!$K$5:$AJ$160,0,MATCH(AA$2,Inputs!$K$4:$AJ$4,0))))=0,NA(),SUMPRODUCT((Inputs!$A$5:$A$160=$B37)*Inputs!$B$5:$B$160*(((Inputs!$G$5:$G$160="moeda")+(Inputs!$G$5:$G$160="acoes"))*Inputs!$B$1+((Inputs!$G$5:$G$160&lt;&gt;"moeda")*(Inputs!$G$5:$G$160&lt;&gt;"acoes")))*INDEX(Inputs!$K$5:$AJ$160,0,MATCH(AA$2,Inputs!$K$4:$AJ$4,0)))+SUMPRODUCT((Inputs!$C$5:$C$160=$B37)*Inputs!$D$5:$D$160*(((Inputs!$G$5:$G$160="moeda")+(Inputs!$G$5:$G$160="acoes"))*Inputs!$B$1+((Inputs!$G$5:$G$160&lt;&gt;"moeda")*(Inputs!$G$5:$G$160&lt;&gt;"acoes")))*INDEX(Inputs!$K$5:$AJ$160,0,MATCH(AA$2,Inputs!$K$4:$AJ$4,0)))+SUMPRODUCT((Inputs!$E$5:$E$160=$B37)*Inputs!$F$5:$F$160*(((Inputs!$G$5:$G$160="moeda")+(Inputs!$G$5:$G$160="acoes"))*Inputs!$B$1+((Inputs!$G$5:$G$160&lt;&gt;"moeda")*(Inputs!$G$5:$G$160&lt;&gt;"acoes")))*INDEX(Inputs!$K$5:$AJ$160,0,MATCH(AA$2,Inputs!$K$4:$AJ$4,0)))))</f>
        <v>#N/A</v>
      </c>
      <c r="AB37" s="3" t="e">
        <f>AA37</f>
        <v>#N/A</v>
      </c>
      <c r="AC37" s="6" t="e">
        <f>IF(ISNA(MATCH(AC$2,Inputs!$K$4:$AJ$4,0)),NA(),IF(SUMPRODUCT((Inputs!$A$5:$A$160=$B37)*ISNUMBER(INDEX(Inputs!$K$5:$AJ$160,0,MATCH(AC$2,Inputs!$K$4:$AJ$4,0))))+SUMPRODUCT((Inputs!$C$5:$C$160=$B37)*ISNUMBER(INDEX(Inputs!$K$5:$AJ$160,0,MATCH(AC$2,Inputs!$K$4:$AJ$4,0))))+SUMPRODUCT((Inputs!$E$5:$E$160=$B37)*ISNUMBER(INDEX(Inputs!$K$5:$AJ$160,0,MATCH(AC$2,Inputs!$K$4:$AJ$4,0))))=0,NA(),SUMPRODUCT((Inputs!$A$5:$A$160=$B37)*Inputs!$B$5:$B$160*(((Inputs!$G$5:$G$160="moeda")+(Inputs!$G$5:$G$160="acoes"))*Inputs!$B$1+((Inputs!$G$5:$G$160&lt;&gt;"moeda")*(Inputs!$G$5:$G$160&lt;&gt;"acoes")))*INDEX(Inputs!$K$5:$AJ$160,0,MATCH(AC$2,Inputs!$K$4:$AJ$4,0)))+SUMPRODUCT((Inputs!$C$5:$C$160=$B37)*Inputs!$D$5:$D$160*(((Inputs!$G$5:$G$160="moeda")+(Inputs!$G$5:$G$160="acoes"))*Inputs!$B$1+((Inputs!$G$5:$G$160&lt;&gt;"moeda")*(Inputs!$G$5:$G$160&lt;&gt;"acoes")))*INDEX(Inputs!$K$5:$AJ$160,0,MATCH(AC$2,Inputs!$K$4:$AJ$4,0)))+SUMPRODUCT((Inputs!$E$5:$E$160=$B37)*Inputs!$F$5:$F$160*(((Inputs!$G$5:$G$160="moeda")+(Inputs!$G$5:$G$160="acoes"))*Inputs!$B$1+((Inputs!$G$5:$G$160&lt;&gt;"moeda")*(Inputs!$G$5:$G$160&lt;&gt;"acoes")))*INDEX(Inputs!$K$5:$AJ$160,0,MATCH(AC$2,Inputs!$K$4:$AJ$4,0)))))</f>
        <v>#N/A</v>
      </c>
      <c r="AD37" s="6" t="e">
        <f>IF(ISNA(MATCH(AD$2,Inputs!$K$4:$AJ$4,0)),NA(),IF(SUMPRODUCT((Inputs!$A$5:$A$160=$B37)*ISNUMBER(INDEX(Inputs!$K$5:$AJ$160,0,MATCH(AD$2,Inputs!$K$4:$AJ$4,0))))+SUMPRODUCT((Inputs!$C$5:$C$160=$B37)*ISNUMBER(INDEX(Inputs!$K$5:$AJ$160,0,MATCH(AD$2,Inputs!$K$4:$AJ$4,0))))+SUMPRODUCT((Inputs!$E$5:$E$160=$B37)*ISNUMBER(INDEX(Inputs!$K$5:$AJ$160,0,MATCH(AD$2,Inputs!$K$4:$AJ$4,0))))=0,NA(),SUMPRODUCT((Inputs!$A$5:$A$160=$B37)*Inputs!$B$5:$B$160*(((Inputs!$G$5:$G$160="moeda")+(Inputs!$G$5:$G$160="acoes"))*Inputs!$B$1+((Inputs!$G$5:$G$160&lt;&gt;"moeda")*(Inputs!$G$5:$G$160&lt;&gt;"acoes")))*INDEX(Inputs!$K$5:$AJ$160,0,MATCH(AD$2,Inputs!$K$4:$AJ$4,0)))+SUMPRODUCT((Inputs!$C$5:$C$160=$B37)*Inputs!$D$5:$D$160*(((Inputs!$G$5:$G$160="moeda")+(Inputs!$G$5:$G$160="acoes"))*Inputs!$B$1+((Inputs!$G$5:$G$160&lt;&gt;"moeda")*(Inputs!$G$5:$G$160&lt;&gt;"acoes")))*INDEX(Inputs!$K$5:$AJ$160,0,MATCH(AD$2,Inputs!$K$4:$AJ$4,0)))+SUMPRODUCT((Inputs!$E$5:$E$160=$B37)*Inputs!$F$5:$F$160*(((Inputs!$G$5:$G$160="moeda")+(Inputs!$G$5:$G$160="acoes"))*Inputs!$B$1+((Inputs!$G$5:$G$160&lt;&gt;"moeda")*(Inputs!$G$5:$G$160&lt;&gt;"acoes")))*INDEX(Inputs!$K$5:$AJ$160,0,MATCH(AD$2,Inputs!$K$4:$AJ$4,0)))))</f>
        <v>#N/A</v>
      </c>
      <c r="AE37" s="6" t="e">
        <f>IF(ISNA(MATCH(AE$2,Inputs!$K$4:$AJ$4,0)),NA(),IF(SUMPRODUCT((Inputs!$A$5:$A$160=$B37)*ISNUMBER(INDEX(Inputs!$K$5:$AJ$160,0,MATCH(AE$2,Inputs!$K$4:$AJ$4,0))))+SUMPRODUCT((Inputs!$C$5:$C$160=$B37)*ISNUMBER(INDEX(Inputs!$K$5:$AJ$160,0,MATCH(AE$2,Inputs!$K$4:$AJ$4,0))))+SUMPRODUCT((Inputs!$E$5:$E$160=$B37)*ISNUMBER(INDEX(Inputs!$K$5:$AJ$160,0,MATCH(AE$2,Inputs!$K$4:$AJ$4,0))))=0,NA(),SUMPRODUCT((Inputs!$A$5:$A$160=$B37)*Inputs!$B$5:$B$160*(((Inputs!$G$5:$G$160="moeda")+(Inputs!$G$5:$G$160="acoes"))*Inputs!$B$1+((Inputs!$G$5:$G$160&lt;&gt;"moeda")*(Inputs!$G$5:$G$160&lt;&gt;"acoes")))*INDEX(Inputs!$K$5:$AJ$160,0,MATCH(AE$2,Inputs!$K$4:$AJ$4,0)))+SUMPRODUCT((Inputs!$C$5:$C$160=$B37)*Inputs!$D$5:$D$160*(((Inputs!$G$5:$G$160="moeda")+(Inputs!$G$5:$G$160="acoes"))*Inputs!$B$1+((Inputs!$G$5:$G$160&lt;&gt;"moeda")*(Inputs!$G$5:$G$160&lt;&gt;"acoes")))*INDEX(Inputs!$K$5:$AJ$160,0,MATCH(AE$2,Inputs!$K$4:$AJ$4,0)))+SUMPRODUCT((Inputs!$E$5:$E$160=$B37)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7" s="6" t="e">
        <f>IF(ISNA(MATCH(AF$2,Inputs!$K$4:$AJ$4,0)),NA(),IF(SUMPRODUCT((Inputs!$A$5:$A$160=$B37)*ISNUMBER(INDEX(Inputs!$K$5:$AJ$160,0,MATCH(AF$2,Inputs!$K$4:$AJ$4,0))))+SUMPRODUCT((Inputs!$C$5:$C$160=$B37)*ISNUMBER(INDEX(Inputs!$K$5:$AJ$160,0,MATCH(AF$2,Inputs!$K$4:$AJ$4,0))))+SUMPRODUCT((Inputs!$E$5:$E$160=$B37)*ISNUMBER(INDEX(Inputs!$K$5:$AJ$160,0,MATCH(AF$2,Inputs!$K$4:$AJ$4,0))))=0,NA(),SUMPRODUCT((Inputs!$A$5:$A$160=$B37)*Inputs!$B$5:$B$160*(((Inputs!$G$5:$G$160="moeda")+(Inputs!$G$5:$G$160="acoes"))*Inputs!$B$1+((Inputs!$G$5:$G$160&lt;&gt;"moeda")*(Inputs!$G$5:$G$160&lt;&gt;"acoes")))*INDEX(Inputs!$K$5:$AJ$160,0,MATCH(AF$2,Inputs!$K$4:$AJ$4,0)))+SUMPRODUCT((Inputs!$C$5:$C$160=$B37)*Inputs!$D$5:$D$160*(((Inputs!$G$5:$G$160="moeda")+(Inputs!$G$5:$G$160="acoes"))*Inputs!$B$1+((Inputs!$G$5:$G$160&lt;&gt;"moeda")*(Inputs!$G$5:$G$160&lt;&gt;"acoes")))*INDEX(Inputs!$K$5:$AJ$160,0,MATCH(AF$2,Inputs!$K$4:$AJ$4,0)))+SUMPRODUCT((Inputs!$E$5:$E$160=$B37)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7" s="3" t="e">
        <f>AF37</f>
        <v>#N/A</v>
      </c>
      <c r="AH37" s="6" t="e">
        <f>IF(ISNA(MATCH(AH$2,Inputs!$K$4:$AJ$4,0)),NA(),IF(SUMPRODUCT((Inputs!$A$5:$A$160=$B37)*ISNUMBER(INDEX(Inputs!$K$5:$AJ$160,0,MATCH(AH$2,Inputs!$K$4:$AJ$4,0))))+SUMPRODUCT((Inputs!$C$5:$C$160=$B37)*ISNUMBER(INDEX(Inputs!$K$5:$AJ$160,0,MATCH(AH$2,Inputs!$K$4:$AJ$4,0))))+SUMPRODUCT((Inputs!$E$5:$E$160=$B37)*ISNUMBER(INDEX(Inputs!$K$5:$AJ$160,0,MATCH(AH$2,Inputs!$K$4:$AJ$4,0))))=0,NA(),SUMPRODUCT((Inputs!$A$5:$A$160=$B37)*Inputs!$B$5:$B$160*(((Inputs!$G$5:$G$160="moeda")+(Inputs!$G$5:$G$160="acoes"))*Inputs!$B$1+((Inputs!$G$5:$G$160&lt;&gt;"moeda")*(Inputs!$G$5:$G$160&lt;&gt;"acoes")))*INDEX(Inputs!$K$5:$AJ$160,0,MATCH(AH$2,Inputs!$K$4:$AJ$4,0)))+SUMPRODUCT((Inputs!$C$5:$C$160=$B37)*Inputs!$D$5:$D$160*(((Inputs!$G$5:$G$160="moeda")+(Inputs!$G$5:$G$160="acoes"))*Inputs!$B$1+((Inputs!$G$5:$G$160&lt;&gt;"moeda")*(Inputs!$G$5:$G$160&lt;&gt;"acoes")))*INDEX(Inputs!$K$5:$AJ$160,0,MATCH(AH$2,Inputs!$K$4:$AJ$4,0)))+SUMPRODUCT((Inputs!$E$5:$E$160=$B37)*Inputs!$F$5:$F$160*(((Inputs!$G$5:$G$160="moeda")+(Inputs!$G$5:$G$160="acoes"))*Inputs!$B$1+((Inputs!$G$5:$G$160&lt;&gt;"moeda")*(Inputs!$G$5:$G$160&lt;&gt;"acoes")))*INDEX(Inputs!$K$5:$AJ$160,0,MATCH(AH$2,Inputs!$K$4:$AJ$4,0)))))</f>
        <v>#N/A</v>
      </c>
      <c r="AI37" s="6" t="e">
        <f>IF(ISNA(MATCH(AI$2,Inputs!$K$4:$AJ$4,0)),NA(),IF(SUMPRODUCT((Inputs!$A$5:$A$160=$B37)*ISNUMBER(INDEX(Inputs!$K$5:$AJ$160,0,MATCH(AI$2,Inputs!$K$4:$AJ$4,0))))+SUMPRODUCT((Inputs!$C$5:$C$160=$B37)*ISNUMBER(INDEX(Inputs!$K$5:$AJ$160,0,MATCH(AI$2,Inputs!$K$4:$AJ$4,0))))+SUMPRODUCT((Inputs!$E$5:$E$160=$B37)*ISNUMBER(INDEX(Inputs!$K$5:$AJ$160,0,MATCH(AI$2,Inputs!$K$4:$AJ$4,0))))=0,NA(),SUMPRODUCT((Inputs!$A$5:$A$160=$B37)*Inputs!$B$5:$B$160*(((Inputs!$G$5:$G$160="moeda")+(Inputs!$G$5:$G$160="acoes"))*Inputs!$B$1+((Inputs!$G$5:$G$160&lt;&gt;"moeda")*(Inputs!$G$5:$G$160&lt;&gt;"acoes")))*INDEX(Inputs!$K$5:$AJ$160,0,MATCH(AI$2,Inputs!$K$4:$AJ$4,0)))+SUMPRODUCT((Inputs!$C$5:$C$160=$B37)*Inputs!$D$5:$D$160*(((Inputs!$G$5:$G$160="moeda")+(Inputs!$G$5:$G$160="acoes"))*Inputs!$B$1+((Inputs!$G$5:$G$160&lt;&gt;"moeda")*(Inputs!$G$5:$G$160&lt;&gt;"acoes")))*INDEX(Inputs!$K$5:$AJ$160,0,MATCH(AI$2,Inputs!$K$4:$AJ$4,0)))+SUMPRODUCT((Inputs!$E$5:$E$160=$B37)*Inputs!$F$5:$F$160*(((Inputs!$G$5:$G$160="moeda")+(Inputs!$G$5:$G$160="acoes"))*Inputs!$B$1+((Inputs!$G$5:$G$160&lt;&gt;"moeda")*(Inputs!$G$5:$G$160&lt;&gt;"acoes")))*INDEX(Inputs!$K$5:$AJ$160,0,MATCH(AI$2,Inputs!$K$4:$AJ$4,0)))))</f>
        <v>#N/A</v>
      </c>
      <c r="AJ37" s="6" t="e">
        <f>IF(ISNA(MATCH(AJ$2,Inputs!$K$4:$AJ$4,0)),NA(),IF(SUMPRODUCT((Inputs!$A$5:$A$160=$B37)*ISNUMBER(INDEX(Inputs!$K$5:$AJ$160,0,MATCH(AJ$2,Inputs!$K$4:$AJ$4,0))))+SUMPRODUCT((Inputs!$C$5:$C$160=$B37)*ISNUMBER(INDEX(Inputs!$K$5:$AJ$160,0,MATCH(AJ$2,Inputs!$K$4:$AJ$4,0))))+SUMPRODUCT((Inputs!$E$5:$E$160=$B37)*ISNUMBER(INDEX(Inputs!$K$5:$AJ$160,0,MATCH(AJ$2,Inputs!$K$4:$AJ$4,0))))=0,NA(),SUMPRODUCT((Inputs!$A$5:$A$160=$B37)*Inputs!$B$5:$B$160*(((Inputs!$G$5:$G$160="moeda")+(Inputs!$G$5:$G$160="acoes"))*Inputs!$B$1+((Inputs!$G$5:$G$160&lt;&gt;"moeda")*(Inputs!$G$5:$G$160&lt;&gt;"acoes")))*INDEX(Inputs!$K$5:$AJ$160,0,MATCH(AJ$2,Inputs!$K$4:$AJ$4,0)))+SUMPRODUCT((Inputs!$C$5:$C$160=$B37)*Inputs!$D$5:$D$160*(((Inputs!$G$5:$G$160="moeda")+(Inputs!$G$5:$G$160="acoes"))*Inputs!$B$1+((Inputs!$G$5:$G$160&lt;&gt;"moeda")*(Inputs!$G$5:$G$160&lt;&gt;"acoes")))*INDEX(Inputs!$K$5:$AJ$160,0,MATCH(AJ$2,Inputs!$K$4:$AJ$4,0)))+SUMPRODUCT((Inputs!$E$5:$E$160=$B37)*Inputs!$F$5:$F$160*(((Inputs!$G$5:$G$160="moeda")+(Inputs!$G$5:$G$160="acoes"))*Inputs!$B$1+((Inputs!$G$5:$G$160&lt;&gt;"moeda")*(Inputs!$G$5:$G$160&lt;&gt;"acoes")))*INDEX(Inputs!$K$5:$AJ$160,0,MATCH(AJ$2,Inputs!$K$4:$AJ$4,0)))))</f>
        <v>#N/A</v>
      </c>
      <c r="AK37" s="6" t="e">
        <f>IF(ISNA(MATCH(AK$2,Inputs!$K$4:$AJ$4,0)),NA(),IF(SUMPRODUCT((Inputs!$A$5:$A$160=$B37)*ISNUMBER(INDEX(Inputs!$K$5:$AJ$160,0,MATCH(AK$2,Inputs!$K$4:$AJ$4,0))))+SUMPRODUCT((Inputs!$C$5:$C$160=$B37)*ISNUMBER(INDEX(Inputs!$K$5:$AJ$160,0,MATCH(AK$2,Inputs!$K$4:$AJ$4,0))))+SUMPRODUCT((Inputs!$E$5:$E$160=$B37)*ISNUMBER(INDEX(Inputs!$K$5:$AJ$160,0,MATCH(AK$2,Inputs!$K$4:$AJ$4,0))))=0,NA(),SUMPRODUCT((Inputs!$A$5:$A$160=$B37)*Inputs!$B$5:$B$160*(((Inputs!$G$5:$G$160="moeda")+(Inputs!$G$5:$G$160="acoes"))*Inputs!$B$1+((Inputs!$G$5:$G$160&lt;&gt;"moeda")*(Inputs!$G$5:$G$160&lt;&gt;"acoes")))*INDEX(Inputs!$K$5:$AJ$160,0,MATCH(AK$2,Inputs!$K$4:$AJ$4,0)))+SUMPRODUCT((Inputs!$C$5:$C$160=$B37)*Inputs!$D$5:$D$160*(((Inputs!$G$5:$G$160="moeda")+(Inputs!$G$5:$G$160="acoes"))*Inputs!$B$1+((Inputs!$G$5:$G$160&lt;&gt;"moeda")*(Inputs!$G$5:$G$160&lt;&gt;"acoes")))*INDEX(Inputs!$K$5:$AJ$160,0,MATCH(AK$2,Inputs!$K$4:$AJ$4,0)))+SUMPRODUCT((Inputs!$E$5:$E$160=$B37)*Inputs!$F$5:$F$160*(((Inputs!$G$5:$G$160="moeda")+(Inputs!$G$5:$G$160="acoes"))*Inputs!$B$1+((Inputs!$G$5:$G$160&lt;&gt;"moeda")*(Inputs!$G$5:$G$160&lt;&gt;"acoes")))*INDEX(Inputs!$K$5:$AJ$160,0,MATCH(AK$2,Inputs!$K$4:$AJ$4,0)))))</f>
        <v>#N/A</v>
      </c>
      <c r="AL37" s="3" t="e">
        <f>AK37</f>
        <v>#N/A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$160=$B38)*ISNUMBER(INDEX(Inputs!$K$5:$AJ$160,0,MATCH(D$2,Inputs!$K$4:$AJ$4,0))))+SUMPRODUCT((Inputs!$C$5:$C$160=$B38)*ISNUMBER(INDEX(Inputs!$K$5:$AJ$160,0,MATCH(D$2,Inputs!$K$4:$AJ$4,0))))+SUMPRODUCT((Inputs!$E$5:$E$160=$B38)*ISNUMBER(INDEX(Inputs!$K$5:$AJ$160,0,MATCH(D$2,Inputs!$K$4:$AJ$4,0))))=0,NA(),SUMPRODUCT((Inputs!$A$5:$A$160=$B38)*Inputs!$B$5:$B$160*(((Inputs!$G$5:$G$160="moeda")+(Inputs!$G$5:$G$160="acoes"))*Inputs!$B$1+((Inputs!$G$5:$G$160&lt;&gt;"moeda")*(Inputs!$G$5:$G$160&lt;&gt;"acoes")))*INDEX(Inputs!$K$5:$AJ$160,0,MATCH(D$2,Inputs!$K$4:$AJ$4,0)))+SUMPRODUCT((Inputs!$C$5:$C$160=$B38)*Inputs!$D$5:$D$160*(((Inputs!$G$5:$G$160="moeda")+(Inputs!$G$5:$G$160="acoes"))*Inputs!$B$1+((Inputs!$G$5:$G$160&lt;&gt;"moeda")*(Inputs!$G$5:$G$160&lt;&gt;"acoes")))*INDEX(Inputs!$K$5:$AJ$160,0,MATCH(D$2,Inputs!$K$4:$AJ$4,0)))+SUMPRODUCT((Inputs!$E$5:$E$160=$B38)*Inputs!$F$5:$F$160*(((Inputs!$G$5:$G$160="moeda")+(Inputs!$G$5:$G$160="acoes"))*Inputs!$B$1+((Inputs!$G$5:$G$160&lt;&gt;"moeda")*(Inputs!$G$5:$G$160&lt;&gt;"acoes")))*INDEX(Inputs!$K$5:$AJ$160,0,MATCH(D$2,Inputs!$K$4:$AJ$4,0)))))</f>
        <v>467.16584292</v>
      </c>
      <c r="E38" s="6">
        <f>IF(ISNA(MATCH(E$2,Inputs!$K$4:$AJ$4,0)),NA(),IF(SUMPRODUCT((Inputs!$A$5:$A$160=$B38)*ISNUMBER(INDEX(Inputs!$K$5:$AJ$160,0,MATCH(E$2,Inputs!$K$4:$AJ$4,0))))+SUMPRODUCT((Inputs!$C$5:$C$160=$B38)*ISNUMBER(INDEX(Inputs!$K$5:$AJ$160,0,MATCH(E$2,Inputs!$K$4:$AJ$4,0))))+SUMPRODUCT((Inputs!$E$5:$E$160=$B38)*ISNUMBER(INDEX(Inputs!$K$5:$AJ$160,0,MATCH(E$2,Inputs!$K$4:$AJ$4,0))))=0,NA(),SUMPRODUCT((Inputs!$A$5:$A$160=$B38)*Inputs!$B$5:$B$160*(((Inputs!$G$5:$G$160="moeda")+(Inputs!$G$5:$G$160="acoes"))*Inputs!$B$1+((Inputs!$G$5:$G$160&lt;&gt;"moeda")*(Inputs!$G$5:$G$160&lt;&gt;"acoes")))*INDEX(Inputs!$K$5:$AJ$160,0,MATCH(E$2,Inputs!$K$4:$AJ$4,0)))+SUMPRODUCT((Inputs!$C$5:$C$160=$B38)*Inputs!$D$5:$D$160*(((Inputs!$G$5:$G$160="moeda")+(Inputs!$G$5:$G$160="acoes"))*Inputs!$B$1+((Inputs!$G$5:$G$160&lt;&gt;"moeda")*(Inputs!$G$5:$G$160&lt;&gt;"acoes")))*INDEX(Inputs!$K$5:$AJ$160,0,MATCH(E$2,Inputs!$K$4:$AJ$4,0)))+SUMPRODUCT((Inputs!$E$5:$E$160=$B38)*Inputs!$F$5:$F$160*(((Inputs!$G$5:$G$160="moeda")+(Inputs!$G$5:$G$160="acoes"))*Inputs!$B$1+((Inputs!$G$5:$G$160&lt;&gt;"moeda")*(Inputs!$G$5:$G$160&lt;&gt;"acoes")))*INDEX(Inputs!$K$5:$AJ$160,0,MATCH(E$2,Inputs!$K$4:$AJ$4,0)))))</f>
        <v>466.67550792</v>
      </c>
      <c r="F38" s="6">
        <f>IF(ISNA(MATCH(F$2,Inputs!$K$4:$AJ$4,0)),NA(),IF(SUMPRODUCT((Inputs!$A$5:$A$160=$B38)*ISNUMBER(INDEX(Inputs!$K$5:$AJ$160,0,MATCH(F$2,Inputs!$K$4:$AJ$4,0))))+SUMPRODUCT((Inputs!$C$5:$C$160=$B38)*ISNUMBER(INDEX(Inputs!$K$5:$AJ$160,0,MATCH(F$2,Inputs!$K$4:$AJ$4,0))))+SUMPRODUCT((Inputs!$E$5:$E$160=$B38)*ISNUMBER(INDEX(Inputs!$K$5:$AJ$160,0,MATCH(F$2,Inputs!$K$4:$AJ$4,0))))=0,NA(),SUMPRODUCT((Inputs!$A$5:$A$160=$B38)*Inputs!$B$5:$B$160*(((Inputs!$G$5:$G$160="moeda")+(Inputs!$G$5:$G$160="acoes"))*Inputs!$B$1+((Inputs!$G$5:$G$160&lt;&gt;"moeda")*(Inputs!$G$5:$G$160&lt;&gt;"acoes")))*INDEX(Inputs!$K$5:$AJ$160,0,MATCH(F$2,Inputs!$K$4:$AJ$4,0)))+SUMPRODUCT((Inputs!$C$5:$C$160=$B38)*Inputs!$D$5:$D$160*(((Inputs!$G$5:$G$160="moeda")+(Inputs!$G$5:$G$160="acoes"))*Inputs!$B$1+((Inputs!$G$5:$G$160&lt;&gt;"moeda")*(Inputs!$G$5:$G$160&lt;&gt;"acoes")))*INDEX(Inputs!$K$5:$AJ$160,0,MATCH(F$2,Inputs!$K$4:$AJ$4,0)))+SUMPRODUCT((Inputs!$E$5:$E$160=$B38)*Inputs!$F$5:$F$160*(((Inputs!$G$5:$G$160="moeda")+(Inputs!$G$5:$G$160="acoes"))*Inputs!$B$1+((Inputs!$G$5:$G$160&lt;&gt;"moeda")*(Inputs!$G$5:$G$160&lt;&gt;"acoes")))*INDEX(Inputs!$K$5:$AJ$160,0,MATCH(F$2,Inputs!$K$4:$AJ$4,0)))))</f>
        <v>465.94036794</v>
      </c>
      <c r="G38" s="6">
        <f>IF(ISNA(MATCH(G$2,Inputs!$K$4:$AJ$4,0)),NA(),IF(SUMPRODUCT((Inputs!$A$5:$A$160=$B38)*ISNUMBER(INDEX(Inputs!$K$5:$AJ$160,0,MATCH(G$2,Inputs!$K$4:$AJ$4,0))))+SUMPRODUCT((Inputs!$C$5:$C$160=$B38)*ISNUMBER(INDEX(Inputs!$K$5:$AJ$160,0,MATCH(G$2,Inputs!$K$4:$AJ$4,0))))+SUMPRODUCT((Inputs!$E$5:$E$160=$B38)*ISNUMBER(INDEX(Inputs!$K$5:$AJ$160,0,MATCH(G$2,Inputs!$K$4:$AJ$4,0))))=0,NA(),SUMPRODUCT((Inputs!$A$5:$A$160=$B38)*Inputs!$B$5:$B$160*(((Inputs!$G$5:$G$160="moeda")+(Inputs!$G$5:$G$160="acoes"))*Inputs!$B$1+((Inputs!$G$5:$G$160&lt;&gt;"moeda")*(Inputs!$G$5:$G$160&lt;&gt;"acoes")))*INDEX(Inputs!$K$5:$AJ$160,0,MATCH(G$2,Inputs!$K$4:$AJ$4,0)))+SUMPRODUCT((Inputs!$C$5:$C$160=$B38)*Inputs!$D$5:$D$160*(((Inputs!$G$5:$G$160="moeda")+(Inputs!$G$5:$G$160="acoes"))*Inputs!$B$1+((Inputs!$G$5:$G$160&lt;&gt;"moeda")*(Inputs!$G$5:$G$160&lt;&gt;"acoes")))*INDEX(Inputs!$K$5:$AJ$160,0,MATCH(G$2,Inputs!$K$4:$AJ$4,0)))+SUMPRODUCT((Inputs!$E$5:$E$160=$B38)*Inputs!$F$5:$F$160*(((Inputs!$G$5:$G$160="moeda")+(Inputs!$G$5:$G$160="acoes"))*Inputs!$B$1+((Inputs!$G$5:$G$160&lt;&gt;"moeda")*(Inputs!$G$5:$G$160&lt;&gt;"acoes")))*INDEX(Inputs!$K$5:$AJ$160,0,MATCH(G$2,Inputs!$K$4:$AJ$4,0)))))</f>
        <v>397.561</v>
      </c>
      <c r="H38" s="3">
        <f>G38</f>
        <v>397.561</v>
      </c>
      <c r="I38" s="6">
        <f>IF(ISNA(MATCH(I$2,Inputs!$K$4:$AJ$4,0)),NA(),IF(SUMPRODUCT((Inputs!$A$5:$A$160=$B38)*ISNUMBER(INDEX(Inputs!$K$5:$AJ$160,0,MATCH(I$2,Inputs!$K$4:$AJ$4,0))))+SUMPRODUCT((Inputs!$C$5:$C$160=$B38)*ISNUMBER(INDEX(Inputs!$K$5:$AJ$160,0,MATCH(I$2,Inputs!$K$4:$AJ$4,0))))+SUMPRODUCT((Inputs!$E$5:$E$160=$B38)*ISNUMBER(INDEX(Inputs!$K$5:$AJ$160,0,MATCH(I$2,Inputs!$K$4:$AJ$4,0))))=0,NA(),SUMPRODUCT((Inputs!$A$5:$A$160=$B38)*Inputs!$B$5:$B$160*(((Inputs!$G$5:$G$160="moeda")+(Inputs!$G$5:$G$160="acoes"))*Inputs!$B$1+((Inputs!$G$5:$G$160&lt;&gt;"moeda")*(Inputs!$G$5:$G$160&lt;&gt;"acoes")))*INDEX(Inputs!$K$5:$AJ$160,0,MATCH(I$2,Inputs!$K$4:$AJ$4,0)))+SUMPRODUCT((Inputs!$C$5:$C$160=$B38)*Inputs!$D$5:$D$160*(((Inputs!$G$5:$G$160="moeda")+(Inputs!$G$5:$G$160="acoes"))*Inputs!$B$1+((Inputs!$G$5:$G$160&lt;&gt;"moeda")*(Inputs!$G$5:$G$160&lt;&gt;"acoes")))*INDEX(Inputs!$K$5:$AJ$160,0,MATCH(I$2,Inputs!$K$4:$AJ$4,0)))+SUMPRODUCT((Inputs!$E$5:$E$160=$B38)*Inputs!$F$5:$F$160*(((Inputs!$G$5:$G$160="moeda")+(Inputs!$G$5:$G$160="acoes"))*Inputs!$B$1+((Inputs!$G$5:$G$160&lt;&gt;"moeda")*(Inputs!$G$5:$G$160&lt;&gt;"acoes")))*INDEX(Inputs!$K$5:$AJ$160,0,MATCH(I$2,Inputs!$K$4:$AJ$4,0)))))</f>
        <v>410.47774333</v>
      </c>
      <c r="J38" s="6">
        <f>IF(ISNA(MATCH(J$2,Inputs!$K$4:$AJ$4,0)),NA(),IF(SUMPRODUCT((Inputs!$A$5:$A$160=$B38)*ISNUMBER(INDEX(Inputs!$K$5:$AJ$160,0,MATCH(J$2,Inputs!$K$4:$AJ$4,0))))+SUMPRODUCT((Inputs!$C$5:$C$160=$B38)*ISNUMBER(INDEX(Inputs!$K$5:$AJ$160,0,MATCH(J$2,Inputs!$K$4:$AJ$4,0))))+SUMPRODUCT((Inputs!$E$5:$E$160=$B38)*ISNUMBER(INDEX(Inputs!$K$5:$AJ$160,0,MATCH(J$2,Inputs!$K$4:$AJ$4,0))))=0,NA(),SUMPRODUCT((Inputs!$A$5:$A$160=$B38)*Inputs!$B$5:$B$160*(((Inputs!$G$5:$G$160="moeda")+(Inputs!$G$5:$G$160="acoes"))*Inputs!$B$1+((Inputs!$G$5:$G$160&lt;&gt;"moeda")*(Inputs!$G$5:$G$160&lt;&gt;"acoes")))*INDEX(Inputs!$K$5:$AJ$160,0,MATCH(J$2,Inputs!$K$4:$AJ$4,0)))+SUMPRODUCT((Inputs!$C$5:$C$160=$B38)*Inputs!$D$5:$D$160*(((Inputs!$G$5:$G$160="moeda")+(Inputs!$G$5:$G$160="acoes"))*Inputs!$B$1+((Inputs!$G$5:$G$160&lt;&gt;"moeda")*(Inputs!$G$5:$G$160&lt;&gt;"acoes")))*INDEX(Inputs!$K$5:$AJ$160,0,MATCH(J$2,Inputs!$K$4:$AJ$4,0)))+SUMPRODUCT((Inputs!$E$5:$E$160=$B38)*Inputs!$F$5:$F$160*(((Inputs!$G$5:$G$160="moeda")+(Inputs!$G$5:$G$160="acoes"))*Inputs!$B$1+((Inputs!$G$5:$G$160&lt;&gt;"moeda")*(Inputs!$G$5:$G$160&lt;&gt;"acoes")))*INDEX(Inputs!$K$5:$AJ$160,0,MATCH(J$2,Inputs!$K$4:$AJ$4,0)))))</f>
        <v>508.20410198</v>
      </c>
      <c r="K38" s="6">
        <f>IF(ISNA(MATCH(K$2,Inputs!$K$4:$AJ$4,0)),NA(),IF(SUMPRODUCT((Inputs!$A$5:$A$160=$B38)*ISNUMBER(INDEX(Inputs!$K$5:$AJ$160,0,MATCH(K$2,Inputs!$K$4:$AJ$4,0))))+SUMPRODUCT((Inputs!$C$5:$C$160=$B38)*ISNUMBER(INDEX(Inputs!$K$5:$AJ$160,0,MATCH(K$2,Inputs!$K$4:$AJ$4,0))))+SUMPRODUCT((Inputs!$E$5:$E$160=$B38)*ISNUMBER(INDEX(Inputs!$K$5:$AJ$160,0,MATCH(K$2,Inputs!$K$4:$AJ$4,0))))=0,NA(),SUMPRODUCT((Inputs!$A$5:$A$160=$B38)*Inputs!$B$5:$B$160*(((Inputs!$G$5:$G$160="moeda")+(Inputs!$G$5:$G$160="acoes"))*Inputs!$B$1+((Inputs!$G$5:$G$160&lt;&gt;"moeda")*(Inputs!$G$5:$G$160&lt;&gt;"acoes")))*INDEX(Inputs!$K$5:$AJ$160,0,MATCH(K$2,Inputs!$K$4:$AJ$4,0)))+SUMPRODUCT((Inputs!$C$5:$C$160=$B38)*Inputs!$D$5:$D$160*(((Inputs!$G$5:$G$160="moeda")+(Inputs!$G$5:$G$160="acoes"))*Inputs!$B$1+((Inputs!$G$5:$G$160&lt;&gt;"moeda")*(Inputs!$G$5:$G$160&lt;&gt;"acoes")))*INDEX(Inputs!$K$5:$AJ$160,0,MATCH(K$2,Inputs!$K$4:$AJ$4,0)))+SUMPRODUCT((Inputs!$E$5:$E$160=$B38)*Inputs!$F$5:$F$160*(((Inputs!$G$5:$G$160="moeda")+(Inputs!$G$5:$G$160="acoes"))*Inputs!$B$1+((Inputs!$G$5:$G$160&lt;&gt;"moeda")*(Inputs!$G$5:$G$160&lt;&gt;"acoes")))*INDEX(Inputs!$K$5:$AJ$160,0,MATCH(K$2,Inputs!$K$4:$AJ$4,0)))))</f>
        <v>510.90411053</v>
      </c>
      <c r="L38" s="6">
        <f>IF(ISNA(MATCH(L$2,Inputs!$K$4:$AJ$4,0)),NA(),IF(SUMPRODUCT((Inputs!$A$5:$A$160=$B38)*ISNUMBER(INDEX(Inputs!$K$5:$AJ$160,0,MATCH(L$2,Inputs!$K$4:$AJ$4,0))))+SUMPRODUCT((Inputs!$C$5:$C$160=$B38)*ISNUMBER(INDEX(Inputs!$K$5:$AJ$160,0,MATCH(L$2,Inputs!$K$4:$AJ$4,0))))+SUMPRODUCT((Inputs!$E$5:$E$160=$B38)*ISNUMBER(INDEX(Inputs!$K$5:$AJ$160,0,MATCH(L$2,Inputs!$K$4:$AJ$4,0))))=0,NA(),SUMPRODUCT((Inputs!$A$5:$A$160=$B38)*Inputs!$B$5:$B$160*(((Inputs!$G$5:$G$160="moeda")+(Inputs!$G$5:$G$160="acoes"))*Inputs!$B$1+((Inputs!$G$5:$G$160&lt;&gt;"moeda")*(Inputs!$G$5:$G$160&lt;&gt;"acoes")))*INDEX(Inputs!$K$5:$AJ$160,0,MATCH(L$2,Inputs!$K$4:$AJ$4,0)))+SUMPRODUCT((Inputs!$C$5:$C$160=$B38)*Inputs!$D$5:$D$160*(((Inputs!$G$5:$G$160="moeda")+(Inputs!$G$5:$G$160="acoes"))*Inputs!$B$1+((Inputs!$G$5:$G$160&lt;&gt;"moeda")*(Inputs!$G$5:$G$160&lt;&gt;"acoes")))*INDEX(Inputs!$K$5:$AJ$160,0,MATCH(L$2,Inputs!$K$4:$AJ$4,0)))+SUMPRODUCT((Inputs!$E$5:$E$160=$B38)*Inputs!$F$5:$F$160*(((Inputs!$G$5:$G$160="moeda")+(Inputs!$G$5:$G$160="acoes"))*Inputs!$B$1+((Inputs!$G$5:$G$160&lt;&gt;"moeda")*(Inputs!$G$5:$G$160&lt;&gt;"acoes")))*INDEX(Inputs!$K$5:$AJ$160,0,MATCH(L$2,Inputs!$K$4:$AJ$4,0)))))</f>
        <v>397.58912424</v>
      </c>
      <c r="M38" s="3">
        <f>L38</f>
        <v>397.58912424</v>
      </c>
      <c r="N38" s="6">
        <f>IF(ISNA(MATCH(N$2,Inputs!$K$4:$AJ$4,0)),NA(),IF(SUMPRODUCT((Inputs!$A$5:$A$160=$B38)*ISNUMBER(INDEX(Inputs!$K$5:$AJ$160,0,MATCH(N$2,Inputs!$K$4:$AJ$4,0))))+SUMPRODUCT((Inputs!$C$5:$C$160=$B38)*ISNUMBER(INDEX(Inputs!$K$5:$AJ$160,0,MATCH(N$2,Inputs!$K$4:$AJ$4,0))))+SUMPRODUCT((Inputs!$E$5:$E$160=$B38)*ISNUMBER(INDEX(Inputs!$K$5:$AJ$160,0,MATCH(N$2,Inputs!$K$4:$AJ$4,0))))=0,NA(),SUMPRODUCT((Inputs!$A$5:$A$160=$B38)*Inputs!$B$5:$B$160*(((Inputs!$G$5:$G$160="moeda")+(Inputs!$G$5:$G$160="acoes"))*Inputs!$B$1+((Inputs!$G$5:$G$160&lt;&gt;"moeda")*(Inputs!$G$5:$G$160&lt;&gt;"acoes")))*INDEX(Inputs!$K$5:$AJ$160,0,MATCH(N$2,Inputs!$K$4:$AJ$4,0)))+SUMPRODUCT((Inputs!$C$5:$C$160=$B38)*Inputs!$D$5:$D$160*(((Inputs!$G$5:$G$160="moeda")+(Inputs!$G$5:$G$160="acoes"))*Inputs!$B$1+((Inputs!$G$5:$G$160&lt;&gt;"moeda")*(Inputs!$G$5:$G$160&lt;&gt;"acoes")))*INDEX(Inputs!$K$5:$AJ$160,0,MATCH(N$2,Inputs!$K$4:$AJ$4,0)))+SUMPRODUCT((Inputs!$E$5:$E$160=$B38)*Inputs!$F$5:$F$160*(((Inputs!$G$5:$G$160="moeda")+(Inputs!$G$5:$G$160="acoes"))*Inputs!$B$1+((Inputs!$G$5:$G$160&lt;&gt;"moeda")*(Inputs!$G$5:$G$160&lt;&gt;"acoes")))*INDEX(Inputs!$K$5:$AJ$160,0,MATCH(N$2,Inputs!$K$4:$AJ$4,0)))))</f>
        <v>403.13935572</v>
      </c>
      <c r="O38" s="6">
        <f>IF(ISNA(MATCH(O$2,Inputs!$K$4:$AJ$4,0)),NA(),IF(SUMPRODUCT((Inputs!$A$5:$A$160=$B38)*ISNUMBER(INDEX(Inputs!$K$5:$AJ$160,0,MATCH(O$2,Inputs!$K$4:$AJ$4,0))))+SUMPRODUCT((Inputs!$C$5:$C$160=$B38)*ISNUMBER(INDEX(Inputs!$K$5:$AJ$160,0,MATCH(O$2,Inputs!$K$4:$AJ$4,0))))+SUMPRODUCT((Inputs!$E$5:$E$160=$B38)*ISNUMBER(INDEX(Inputs!$K$5:$AJ$160,0,MATCH(O$2,Inputs!$K$4:$AJ$4,0))))=0,NA(),SUMPRODUCT((Inputs!$A$5:$A$160=$B38)*Inputs!$B$5:$B$160*(((Inputs!$G$5:$G$160="moeda")+(Inputs!$G$5:$G$160="acoes"))*Inputs!$B$1+((Inputs!$G$5:$G$160&lt;&gt;"moeda")*(Inputs!$G$5:$G$160&lt;&gt;"acoes")))*INDEX(Inputs!$K$5:$AJ$160,0,MATCH(O$2,Inputs!$K$4:$AJ$4,0)))+SUMPRODUCT((Inputs!$C$5:$C$160=$B38)*Inputs!$D$5:$D$160*(((Inputs!$G$5:$G$160="moeda")+(Inputs!$G$5:$G$160="acoes"))*Inputs!$B$1+((Inputs!$G$5:$G$160&lt;&gt;"moeda")*(Inputs!$G$5:$G$160&lt;&gt;"acoes")))*INDEX(Inputs!$K$5:$AJ$160,0,MATCH(O$2,Inputs!$K$4:$AJ$4,0)))+SUMPRODUCT((Inputs!$E$5:$E$160=$B38)*Inputs!$F$5:$F$160*(((Inputs!$G$5:$G$160="moeda")+(Inputs!$G$5:$G$160="acoes"))*Inputs!$B$1+((Inputs!$G$5:$G$160&lt;&gt;"moeda")*(Inputs!$G$5:$G$160&lt;&gt;"acoes")))*INDEX(Inputs!$K$5:$AJ$160,0,MATCH(O$2,Inputs!$K$4:$AJ$4,0)))))</f>
        <v>570.569</v>
      </c>
      <c r="P38" s="6">
        <f>IF(ISNA(MATCH(P$2,Inputs!$K$4:$AJ$4,0)),NA(),IF(SUMPRODUCT((Inputs!$A$5:$A$160=$B38)*ISNUMBER(INDEX(Inputs!$K$5:$AJ$160,0,MATCH(P$2,Inputs!$K$4:$AJ$4,0))))+SUMPRODUCT((Inputs!$C$5:$C$160=$B38)*ISNUMBER(INDEX(Inputs!$K$5:$AJ$160,0,MATCH(P$2,Inputs!$K$4:$AJ$4,0))))+SUMPRODUCT((Inputs!$E$5:$E$160=$B38)*ISNUMBER(INDEX(Inputs!$K$5:$AJ$160,0,MATCH(P$2,Inputs!$K$4:$AJ$4,0))))=0,NA(),SUMPRODUCT((Inputs!$A$5:$A$160=$B38)*Inputs!$B$5:$B$160*(((Inputs!$G$5:$G$160="moeda")+(Inputs!$G$5:$G$160="acoes"))*Inputs!$B$1+((Inputs!$G$5:$G$160&lt;&gt;"moeda")*(Inputs!$G$5:$G$160&lt;&gt;"acoes")))*INDEX(Inputs!$K$5:$AJ$160,0,MATCH(P$2,Inputs!$K$4:$AJ$4,0)))+SUMPRODUCT((Inputs!$C$5:$C$160=$B38)*Inputs!$D$5:$D$160*(((Inputs!$G$5:$G$160="moeda")+(Inputs!$G$5:$G$160="acoes"))*Inputs!$B$1+((Inputs!$G$5:$G$160&lt;&gt;"moeda")*(Inputs!$G$5:$G$160&lt;&gt;"acoes")))*INDEX(Inputs!$K$5:$AJ$160,0,MATCH(P$2,Inputs!$K$4:$AJ$4,0)))+SUMPRODUCT((Inputs!$E$5:$E$160=$B38)*Inputs!$F$5:$F$160*(((Inputs!$G$5:$G$160="moeda")+(Inputs!$G$5:$G$160="acoes"))*Inputs!$B$1+((Inputs!$G$5:$G$160&lt;&gt;"moeda")*(Inputs!$G$5:$G$160&lt;&gt;"acoes")))*INDEX(Inputs!$K$5:$AJ$160,0,MATCH(P$2,Inputs!$K$4:$AJ$4,0)))))</f>
        <v>549.898</v>
      </c>
      <c r="Q38" s="6">
        <f>IF(ISNA(MATCH(Q$2,Inputs!$K$4:$AJ$4,0)),NA(),IF(SUMPRODUCT((Inputs!$A$5:$A$160=$B38)*ISNUMBER(INDEX(Inputs!$K$5:$AJ$160,0,MATCH(Q$2,Inputs!$K$4:$AJ$4,0))))+SUMPRODUCT((Inputs!$C$5:$C$160=$B38)*ISNUMBER(INDEX(Inputs!$K$5:$AJ$160,0,MATCH(Q$2,Inputs!$K$4:$AJ$4,0))))+SUMPRODUCT((Inputs!$E$5:$E$160=$B38)*ISNUMBER(INDEX(Inputs!$K$5:$AJ$160,0,MATCH(Q$2,Inputs!$K$4:$AJ$4,0))))=0,NA(),SUMPRODUCT((Inputs!$A$5:$A$160=$B38)*Inputs!$B$5:$B$160*(((Inputs!$G$5:$G$160="moeda")+(Inputs!$G$5:$G$160="acoes"))*Inputs!$B$1+((Inputs!$G$5:$G$160&lt;&gt;"moeda")*(Inputs!$G$5:$G$160&lt;&gt;"acoes")))*INDEX(Inputs!$K$5:$AJ$160,0,MATCH(Q$2,Inputs!$K$4:$AJ$4,0)))+SUMPRODUCT((Inputs!$C$5:$C$160=$B38)*Inputs!$D$5:$D$160*(((Inputs!$G$5:$G$160="moeda")+(Inputs!$G$5:$G$160="acoes"))*Inputs!$B$1+((Inputs!$G$5:$G$160&lt;&gt;"moeda")*(Inputs!$G$5:$G$160&lt;&gt;"acoes")))*INDEX(Inputs!$K$5:$AJ$160,0,MATCH(Q$2,Inputs!$K$4:$AJ$4,0)))+SUMPRODUCT((Inputs!$E$5:$E$160=$B38)*Inputs!$F$5:$F$160*(((Inputs!$G$5:$G$160="moeda")+(Inputs!$G$5:$G$160="acoes"))*Inputs!$B$1+((Inputs!$G$5:$G$160&lt;&gt;"moeda")*(Inputs!$G$5:$G$160&lt;&gt;"acoes")))*INDEX(Inputs!$K$5:$AJ$160,0,MATCH(Q$2,Inputs!$K$4:$AJ$4,0)))))</f>
        <v>580.533</v>
      </c>
      <c r="R38" s="3">
        <f>Q38</f>
        <v>580.533</v>
      </c>
      <c r="S38" s="6">
        <f>IF(ISNA(MATCH(S$2,Inputs!$K$4:$AJ$4,0)),NA(),IF(SUMPRODUCT((Inputs!$A$5:$A$160=$B38)*ISNUMBER(INDEX(Inputs!$K$5:$AJ$160,0,MATCH(S$2,Inputs!$K$4:$AJ$4,0))))+SUMPRODUCT((Inputs!$C$5:$C$160=$B38)*ISNUMBER(INDEX(Inputs!$K$5:$AJ$160,0,MATCH(S$2,Inputs!$K$4:$AJ$4,0))))+SUMPRODUCT((Inputs!$E$5:$E$160=$B38)*ISNUMBER(INDEX(Inputs!$K$5:$AJ$160,0,MATCH(S$2,Inputs!$K$4:$AJ$4,0))))=0,NA(),SUMPRODUCT((Inputs!$A$5:$A$160=$B38)*Inputs!$B$5:$B$160*(((Inputs!$G$5:$G$160="moeda")+(Inputs!$G$5:$G$160="acoes"))*Inputs!$B$1+((Inputs!$G$5:$G$160&lt;&gt;"moeda")*(Inputs!$G$5:$G$160&lt;&gt;"acoes")))*INDEX(Inputs!$K$5:$AJ$160,0,MATCH(S$2,Inputs!$K$4:$AJ$4,0)))+SUMPRODUCT((Inputs!$C$5:$C$160=$B38)*Inputs!$D$5:$D$160*(((Inputs!$G$5:$G$160="moeda")+(Inputs!$G$5:$G$160="acoes"))*Inputs!$B$1+((Inputs!$G$5:$G$160&lt;&gt;"moeda")*(Inputs!$G$5:$G$160&lt;&gt;"acoes")))*INDEX(Inputs!$K$5:$AJ$160,0,MATCH(S$2,Inputs!$K$4:$AJ$4,0)))+SUMPRODUCT((Inputs!$E$5:$E$160=$B38)*Inputs!$F$5:$F$160*(((Inputs!$G$5:$G$160="moeda")+(Inputs!$G$5:$G$160="acoes"))*Inputs!$B$1+((Inputs!$G$5:$G$160&lt;&gt;"moeda")*(Inputs!$G$5:$G$160&lt;&gt;"acoes")))*INDEX(Inputs!$K$5:$AJ$160,0,MATCH(S$2,Inputs!$K$4:$AJ$4,0)))))</f>
        <v>576.753</v>
      </c>
      <c r="T38" s="6">
        <f>IF(ISNA(MATCH(T$2,Inputs!$K$4:$AJ$4,0)),NA(),IF(SUMPRODUCT((Inputs!$A$5:$A$160=$B38)*ISNUMBER(INDEX(Inputs!$K$5:$AJ$160,0,MATCH(T$2,Inputs!$K$4:$AJ$4,0))))+SUMPRODUCT((Inputs!$C$5:$C$160=$B38)*ISNUMBER(INDEX(Inputs!$K$5:$AJ$160,0,MATCH(T$2,Inputs!$K$4:$AJ$4,0))))+SUMPRODUCT((Inputs!$E$5:$E$160=$B38)*ISNUMBER(INDEX(Inputs!$K$5:$AJ$160,0,MATCH(T$2,Inputs!$K$4:$AJ$4,0))))=0,NA(),SUMPRODUCT((Inputs!$A$5:$A$160=$B38)*Inputs!$B$5:$B$160*(((Inputs!$G$5:$G$160="moeda")+(Inputs!$G$5:$G$160="acoes"))*Inputs!$B$1+((Inputs!$G$5:$G$160&lt;&gt;"moeda")*(Inputs!$G$5:$G$160&lt;&gt;"acoes")))*INDEX(Inputs!$K$5:$AJ$160,0,MATCH(T$2,Inputs!$K$4:$AJ$4,0)))+SUMPRODUCT((Inputs!$C$5:$C$160=$B38)*Inputs!$D$5:$D$160*(((Inputs!$G$5:$G$160="moeda")+(Inputs!$G$5:$G$160="acoes"))*Inputs!$B$1+((Inputs!$G$5:$G$160&lt;&gt;"moeda")*(Inputs!$G$5:$G$160&lt;&gt;"acoes")))*INDEX(Inputs!$K$5:$AJ$160,0,MATCH(T$2,Inputs!$K$4:$AJ$4,0)))+SUMPRODUCT((Inputs!$E$5:$E$160=$B38)*Inputs!$F$5:$F$160*(((Inputs!$G$5:$G$160="moeda")+(Inputs!$G$5:$G$160="acoes"))*Inputs!$B$1+((Inputs!$G$5:$G$160&lt;&gt;"moeda")*(Inputs!$G$5:$G$160&lt;&gt;"acoes")))*INDEX(Inputs!$K$5:$AJ$160,0,MATCH(T$2,Inputs!$K$4:$AJ$4,0)))))</f>
        <v>551.446</v>
      </c>
      <c r="U38" s="6">
        <f>IF(ISNA(MATCH(U$2,Inputs!$K$4:$AJ$4,0)),NA(),IF(SUMPRODUCT((Inputs!$A$5:$A$160=$B38)*ISNUMBER(INDEX(Inputs!$K$5:$AJ$160,0,MATCH(U$2,Inputs!$K$4:$AJ$4,0))))+SUMPRODUCT((Inputs!$C$5:$C$160=$B38)*ISNUMBER(INDEX(Inputs!$K$5:$AJ$160,0,MATCH(U$2,Inputs!$K$4:$AJ$4,0))))+SUMPRODUCT((Inputs!$E$5:$E$160=$B38)*ISNUMBER(INDEX(Inputs!$K$5:$AJ$160,0,MATCH(U$2,Inputs!$K$4:$AJ$4,0))))=0,NA(),SUMPRODUCT((Inputs!$A$5:$A$160=$B38)*Inputs!$B$5:$B$160*(((Inputs!$G$5:$G$160="moeda")+(Inputs!$G$5:$G$160="acoes"))*Inputs!$B$1+((Inputs!$G$5:$G$160&lt;&gt;"moeda")*(Inputs!$G$5:$G$160&lt;&gt;"acoes")))*INDEX(Inputs!$K$5:$AJ$160,0,MATCH(U$2,Inputs!$K$4:$AJ$4,0)))+SUMPRODUCT((Inputs!$C$5:$C$160=$B38)*Inputs!$D$5:$D$160*(((Inputs!$G$5:$G$160="moeda")+(Inputs!$G$5:$G$160="acoes"))*Inputs!$B$1+((Inputs!$G$5:$G$160&lt;&gt;"moeda")*(Inputs!$G$5:$G$160&lt;&gt;"acoes")))*INDEX(Inputs!$K$5:$AJ$160,0,MATCH(U$2,Inputs!$K$4:$AJ$4,0)))+SUMPRODUCT((Inputs!$E$5:$E$160=$B38)*Inputs!$F$5:$F$160*(((Inputs!$G$5:$G$160="moeda")+(Inputs!$G$5:$G$160="acoes"))*Inputs!$B$1+((Inputs!$G$5:$G$160&lt;&gt;"moeda")*(Inputs!$G$5:$G$160&lt;&gt;"acoes")))*INDEX(Inputs!$K$5:$AJ$160,0,MATCH(U$2,Inputs!$K$4:$AJ$4,0)))))</f>
        <v>581.485</v>
      </c>
      <c r="V38" s="6">
        <f>IF(ISNA(MATCH(V$2,Inputs!$K$4:$AJ$4,0)),NA(),IF(SUMPRODUCT((Inputs!$A$5:$A$160=$B38)*ISNUMBER(INDEX(Inputs!$K$5:$AJ$160,0,MATCH(V$2,Inputs!$K$4:$AJ$4,0))))+SUMPRODUCT((Inputs!$C$5:$C$160=$B38)*ISNUMBER(INDEX(Inputs!$K$5:$AJ$160,0,MATCH(V$2,Inputs!$K$4:$AJ$4,0))))+SUMPRODUCT((Inputs!$E$5:$E$160=$B38)*ISNUMBER(INDEX(Inputs!$K$5:$AJ$160,0,MATCH(V$2,Inputs!$K$4:$AJ$4,0))))=0,NA(),SUMPRODUCT((Inputs!$A$5:$A$160=$B38)*Inputs!$B$5:$B$160*(((Inputs!$G$5:$G$160="moeda")+(Inputs!$G$5:$G$160="acoes"))*Inputs!$B$1+((Inputs!$G$5:$G$160&lt;&gt;"moeda")*(Inputs!$G$5:$G$160&lt;&gt;"acoes")))*INDEX(Inputs!$K$5:$AJ$160,0,MATCH(V$2,Inputs!$K$4:$AJ$4,0)))+SUMPRODUCT((Inputs!$C$5:$C$160=$B38)*Inputs!$D$5:$D$160*(((Inputs!$G$5:$G$160="moeda")+(Inputs!$G$5:$G$160="acoes"))*Inputs!$B$1+((Inputs!$G$5:$G$160&lt;&gt;"moeda")*(Inputs!$G$5:$G$160&lt;&gt;"acoes")))*INDEX(Inputs!$K$5:$AJ$160,0,MATCH(V$2,Inputs!$K$4:$AJ$4,0)))+SUMPRODUCT((Inputs!$E$5:$E$160=$B38)*Inputs!$F$5:$F$160*(((Inputs!$G$5:$G$160="moeda")+(Inputs!$G$5:$G$160="acoes"))*Inputs!$B$1+((Inputs!$G$5:$G$160&lt;&gt;"moeda")*(Inputs!$G$5:$G$160&lt;&gt;"acoes")))*INDEX(Inputs!$K$5:$AJ$160,0,MATCH(V$2,Inputs!$K$4:$AJ$4,0)))))</f>
        <v>571.796</v>
      </c>
      <c r="W38" s="3">
        <f>V38</f>
        <v>571.796</v>
      </c>
      <c r="X38" s="6">
        <f>IF(ISNA(MATCH(X$2,Inputs!$K$4:$AJ$4,0)),NA(),IF(SUMPRODUCT((Inputs!$A$5:$A$160=$B38)*ISNUMBER(INDEX(Inputs!$K$5:$AJ$160,0,MATCH(X$2,Inputs!$K$4:$AJ$4,0))))+SUMPRODUCT((Inputs!$C$5:$C$160=$B38)*ISNUMBER(INDEX(Inputs!$K$5:$AJ$160,0,MATCH(X$2,Inputs!$K$4:$AJ$4,0))))+SUMPRODUCT((Inputs!$E$5:$E$160=$B38)*ISNUMBER(INDEX(Inputs!$K$5:$AJ$160,0,MATCH(X$2,Inputs!$K$4:$AJ$4,0))))=0,NA(),SUMPRODUCT((Inputs!$A$5:$A$160=$B38)*Inputs!$B$5:$B$160*(((Inputs!$G$5:$G$160="moeda")+(Inputs!$G$5:$G$160="acoes"))*Inputs!$B$1+((Inputs!$G$5:$G$160&lt;&gt;"moeda")*(Inputs!$G$5:$G$160&lt;&gt;"acoes")))*INDEX(Inputs!$K$5:$AJ$160,0,MATCH(X$2,Inputs!$K$4:$AJ$4,0)))+SUMPRODUCT((Inputs!$C$5:$C$160=$B38)*Inputs!$D$5:$D$160*(((Inputs!$G$5:$G$160="moeda")+(Inputs!$G$5:$G$160="acoes"))*Inputs!$B$1+((Inputs!$G$5:$G$160&lt;&gt;"moeda")*(Inputs!$G$5:$G$160&lt;&gt;"acoes")))*INDEX(Inputs!$K$5:$AJ$160,0,MATCH(X$2,Inputs!$K$4:$AJ$4,0)))+SUMPRODUCT((Inputs!$E$5:$E$160=$B38)*Inputs!$F$5:$F$160*(((Inputs!$G$5:$G$160="moeda")+(Inputs!$G$5:$G$160="acoes"))*Inputs!$B$1+((Inputs!$G$5:$G$160&lt;&gt;"moeda")*(Inputs!$G$5:$G$160&lt;&gt;"acoes")))*INDEX(Inputs!$K$5:$AJ$160,0,MATCH(X$2,Inputs!$K$4:$AJ$4,0)))))</f>
        <v>580.326605</v>
      </c>
      <c r="Y38" s="6">
        <f>IF(ISNA(MATCH(Y$2,Inputs!$K$4:$AJ$4,0)),NA(),IF(SUMPRODUCT((Inputs!$A$5:$A$160=$B38)*ISNUMBER(INDEX(Inputs!$K$5:$AJ$160,0,MATCH(Y$2,Inputs!$K$4:$AJ$4,0))))+SUMPRODUCT((Inputs!$C$5:$C$160=$B38)*ISNUMBER(INDEX(Inputs!$K$5:$AJ$160,0,MATCH(Y$2,Inputs!$K$4:$AJ$4,0))))+SUMPRODUCT((Inputs!$E$5:$E$160=$B38)*ISNUMBER(INDEX(Inputs!$K$5:$AJ$160,0,MATCH(Y$2,Inputs!$K$4:$AJ$4,0))))=0,NA(),SUMPRODUCT((Inputs!$A$5:$A$160=$B38)*Inputs!$B$5:$B$160*(((Inputs!$G$5:$G$160="moeda")+(Inputs!$G$5:$G$160="acoes"))*Inputs!$B$1+((Inputs!$G$5:$G$160&lt;&gt;"moeda")*(Inputs!$G$5:$G$160&lt;&gt;"acoes")))*INDEX(Inputs!$K$5:$AJ$160,0,MATCH(Y$2,Inputs!$K$4:$AJ$4,0)))+SUMPRODUCT((Inputs!$C$5:$C$160=$B38)*Inputs!$D$5:$D$160*(((Inputs!$G$5:$G$160="moeda")+(Inputs!$G$5:$G$160="acoes"))*Inputs!$B$1+((Inputs!$G$5:$G$160&lt;&gt;"moeda")*(Inputs!$G$5:$G$160&lt;&gt;"acoes")))*INDEX(Inputs!$K$5:$AJ$160,0,MATCH(Y$2,Inputs!$K$4:$AJ$4,0)))+SUMPRODUCT((Inputs!$E$5:$E$160=$B38)*Inputs!$F$5:$F$160*(((Inputs!$G$5:$G$160="moeda")+(Inputs!$G$5:$G$160="acoes"))*Inputs!$B$1+((Inputs!$G$5:$G$160&lt;&gt;"moeda")*(Inputs!$G$5:$G$160&lt;&gt;"acoes")))*INDEX(Inputs!$K$5:$AJ$160,0,MATCH(Y$2,Inputs!$K$4:$AJ$4,0)))))</f>
        <v>525.619</v>
      </c>
      <c r="Z38" s="6">
        <f>IF(ISNA(MATCH(Z$2,Inputs!$K$4:$AJ$4,0)),NA(),IF(SUMPRODUCT((Inputs!$A$5:$A$160=$B38)*ISNUMBER(INDEX(Inputs!$K$5:$AJ$160,0,MATCH(Z$2,Inputs!$K$4:$AJ$4,0))))+SUMPRODUCT((Inputs!$C$5:$C$160=$B38)*ISNUMBER(INDEX(Inputs!$K$5:$AJ$160,0,MATCH(Z$2,Inputs!$K$4:$AJ$4,0))))+SUMPRODUCT((Inputs!$E$5:$E$160=$B38)*ISNUMBER(INDEX(Inputs!$K$5:$AJ$160,0,MATCH(Z$2,Inputs!$K$4:$AJ$4,0))))=0,NA(),SUMPRODUCT((Inputs!$A$5:$A$160=$B38)*Inputs!$B$5:$B$160*(((Inputs!$G$5:$G$160="moeda")+(Inputs!$G$5:$G$160="acoes"))*Inputs!$B$1+((Inputs!$G$5:$G$160&lt;&gt;"moeda")*(Inputs!$G$5:$G$160&lt;&gt;"acoes")))*INDEX(Inputs!$K$5:$AJ$160,0,MATCH(Z$2,Inputs!$K$4:$AJ$4,0)))+SUMPRODUCT((Inputs!$C$5:$C$160=$B38)*Inputs!$D$5:$D$160*(((Inputs!$G$5:$G$160="moeda")+(Inputs!$G$5:$G$160="acoes"))*Inputs!$B$1+((Inputs!$G$5:$G$160&lt;&gt;"moeda")*(Inputs!$G$5:$G$160&lt;&gt;"acoes")))*INDEX(Inputs!$K$5:$AJ$160,0,MATCH(Z$2,Inputs!$K$4:$AJ$4,0)))+SUMPRODUCT((Inputs!$E$5:$E$160=$B38)*Inputs!$F$5:$F$160*(((Inputs!$G$5:$G$160="moeda")+(Inputs!$G$5:$G$160="acoes"))*Inputs!$B$1+((Inputs!$G$5:$G$160&lt;&gt;"moeda")*(Inputs!$G$5:$G$160&lt;&gt;"acoes")))*INDEX(Inputs!$K$5:$AJ$160,0,MATCH(Z$2,Inputs!$K$4:$AJ$4,0)))))</f>
        <v>543.129</v>
      </c>
      <c r="AA38" s="6">
        <f>IF(ISNA(MATCH(AA$2,Inputs!$K$4:$AJ$4,0)),NA(),IF(SUMPRODUCT((Inputs!$A$5:$A$160=$B38)*ISNUMBER(INDEX(Inputs!$K$5:$AJ$160,0,MATCH(AA$2,Inputs!$K$4:$AJ$4,0))))+SUMPRODUCT((Inputs!$C$5:$C$160=$B38)*ISNUMBER(INDEX(Inputs!$K$5:$AJ$160,0,MATCH(AA$2,Inputs!$K$4:$AJ$4,0))))+SUMPRODUCT((Inputs!$E$5:$E$160=$B38)*ISNUMBER(INDEX(Inputs!$K$5:$AJ$160,0,MATCH(AA$2,Inputs!$K$4:$AJ$4,0))))=0,NA(),SUMPRODUCT((Inputs!$A$5:$A$160=$B38)*Inputs!$B$5:$B$160*(((Inputs!$G$5:$G$160="moeda")+(Inputs!$G$5:$G$160="acoes"))*Inputs!$B$1+((Inputs!$G$5:$G$160&lt;&gt;"moeda")*(Inputs!$G$5:$G$160&lt;&gt;"acoes")))*INDEX(Inputs!$K$5:$AJ$160,0,MATCH(AA$2,Inputs!$K$4:$AJ$4,0)))+SUMPRODUCT((Inputs!$C$5:$C$160=$B38)*Inputs!$D$5:$D$160*(((Inputs!$G$5:$G$160="moeda")+(Inputs!$G$5:$G$160="acoes"))*Inputs!$B$1+((Inputs!$G$5:$G$160&lt;&gt;"moeda")*(Inputs!$G$5:$G$160&lt;&gt;"acoes")))*INDEX(Inputs!$K$5:$AJ$160,0,MATCH(AA$2,Inputs!$K$4:$AJ$4,0)))+SUMPRODUCT((Inputs!$E$5:$E$160=$B38)*Inputs!$F$5:$F$160*(((Inputs!$G$5:$G$160="moeda")+(Inputs!$G$5:$G$160="acoes"))*Inputs!$B$1+((Inputs!$G$5:$G$160&lt;&gt;"moeda")*(Inputs!$G$5:$G$160&lt;&gt;"acoes")))*INDEX(Inputs!$K$5:$AJ$160,0,MATCH(AA$2,Inputs!$K$4:$AJ$4,0)))))</f>
        <v>557.54</v>
      </c>
      <c r="AB38" s="3">
        <f>AA38</f>
        <v>557.54</v>
      </c>
      <c r="AC38" s="6">
        <f>IF(ISNA(MATCH(AC$2,Inputs!$K$4:$AJ$4,0)),NA(),IF(SUMPRODUCT((Inputs!$A$5:$A$160=$B38)*ISNUMBER(INDEX(Inputs!$K$5:$AJ$160,0,MATCH(AC$2,Inputs!$K$4:$AJ$4,0))))+SUMPRODUCT((Inputs!$C$5:$C$160=$B38)*ISNUMBER(INDEX(Inputs!$K$5:$AJ$160,0,MATCH(AC$2,Inputs!$K$4:$AJ$4,0))))+SUMPRODUCT((Inputs!$E$5:$E$160=$B38)*ISNUMBER(INDEX(Inputs!$K$5:$AJ$160,0,MATCH(AC$2,Inputs!$K$4:$AJ$4,0))))=0,NA(),SUMPRODUCT((Inputs!$A$5:$A$160=$B38)*Inputs!$B$5:$B$160*(((Inputs!$G$5:$G$160="moeda")+(Inputs!$G$5:$G$160="acoes"))*Inputs!$B$1+((Inputs!$G$5:$G$160&lt;&gt;"moeda")*(Inputs!$G$5:$G$160&lt;&gt;"acoes")))*INDEX(Inputs!$K$5:$AJ$160,0,MATCH(AC$2,Inputs!$K$4:$AJ$4,0)))+SUMPRODUCT((Inputs!$C$5:$C$160=$B38)*Inputs!$D$5:$D$160*(((Inputs!$G$5:$G$160="moeda")+(Inputs!$G$5:$G$160="acoes"))*Inputs!$B$1+((Inputs!$G$5:$G$160&lt;&gt;"moeda")*(Inputs!$G$5:$G$160&lt;&gt;"acoes")))*INDEX(Inputs!$K$5:$AJ$160,0,MATCH(AC$2,Inputs!$K$4:$AJ$4,0)))+SUMPRODUCT((Inputs!$E$5:$E$160=$B38)*Inputs!$F$5:$F$160*(((Inputs!$G$5:$G$160="moeda")+(Inputs!$G$5:$G$160="acoes"))*Inputs!$B$1+((Inputs!$G$5:$G$160&lt;&gt;"moeda")*(Inputs!$G$5:$G$160&lt;&gt;"acoes")))*INDEX(Inputs!$K$5:$AJ$160,0,MATCH(AC$2,Inputs!$K$4:$AJ$4,0)))))</f>
        <v>555.293</v>
      </c>
      <c r="AD38" s="6">
        <f>IF(ISNA(MATCH(AD$2,Inputs!$K$4:$AJ$4,0)),NA(),IF(SUMPRODUCT((Inputs!$A$5:$A$160=$B38)*ISNUMBER(INDEX(Inputs!$K$5:$AJ$160,0,MATCH(AD$2,Inputs!$K$4:$AJ$4,0))))+SUMPRODUCT((Inputs!$C$5:$C$160=$B38)*ISNUMBER(INDEX(Inputs!$K$5:$AJ$160,0,MATCH(AD$2,Inputs!$K$4:$AJ$4,0))))+SUMPRODUCT((Inputs!$E$5:$E$160=$B38)*ISNUMBER(INDEX(Inputs!$K$5:$AJ$160,0,MATCH(AD$2,Inputs!$K$4:$AJ$4,0))))=0,NA(),SUMPRODUCT((Inputs!$A$5:$A$160=$B38)*Inputs!$B$5:$B$160*(((Inputs!$G$5:$G$160="moeda")+(Inputs!$G$5:$G$160="acoes"))*Inputs!$B$1+((Inputs!$G$5:$G$160&lt;&gt;"moeda")*(Inputs!$G$5:$G$160&lt;&gt;"acoes")))*INDEX(Inputs!$K$5:$AJ$160,0,MATCH(AD$2,Inputs!$K$4:$AJ$4,0)))+SUMPRODUCT((Inputs!$C$5:$C$160=$B38)*Inputs!$D$5:$D$160*(((Inputs!$G$5:$G$160="moeda")+(Inputs!$G$5:$G$160="acoes"))*Inputs!$B$1+((Inputs!$G$5:$G$160&lt;&gt;"moeda")*(Inputs!$G$5:$G$160&lt;&gt;"acoes")))*INDEX(Inputs!$K$5:$AJ$160,0,MATCH(AD$2,Inputs!$K$4:$AJ$4,0)))+SUMPRODUCT((Inputs!$E$5:$E$160=$B38)*Inputs!$F$5:$F$160*(((Inputs!$G$5:$G$160="moeda")+(Inputs!$G$5:$G$160="acoes"))*Inputs!$B$1+((Inputs!$G$5:$G$160&lt;&gt;"moeda")*(Inputs!$G$5:$G$160&lt;&gt;"acoes")))*INDEX(Inputs!$K$5:$AJ$160,0,MATCH(AD$2,Inputs!$K$4:$AJ$4,0)))))</f>
        <v>527.353</v>
      </c>
      <c r="AE38" s="6" t="e">
        <f>IF(ISNA(MATCH(AE$2,Inputs!$K$4:$AJ$4,0)),NA(),IF(SUMPRODUCT((Inputs!$A$5:$A$160=$B38)*ISNUMBER(INDEX(Inputs!$K$5:$AJ$160,0,MATCH(AE$2,Inputs!$K$4:$AJ$4,0))))+SUMPRODUCT((Inputs!$C$5:$C$160=$B38)*ISNUMBER(INDEX(Inputs!$K$5:$AJ$160,0,MATCH(AE$2,Inputs!$K$4:$AJ$4,0))))+SUMPRODUCT((Inputs!$E$5:$E$160=$B38)*ISNUMBER(INDEX(Inputs!$K$5:$AJ$160,0,MATCH(AE$2,Inputs!$K$4:$AJ$4,0))))=0,NA(),SUMPRODUCT((Inputs!$A$5:$A$160=$B38)*Inputs!$B$5:$B$160*(((Inputs!$G$5:$G$160="moeda")+(Inputs!$G$5:$G$160="acoes"))*Inputs!$B$1+((Inputs!$G$5:$G$160&lt;&gt;"moeda")*(Inputs!$G$5:$G$160&lt;&gt;"acoes")))*INDEX(Inputs!$K$5:$AJ$160,0,MATCH(AE$2,Inputs!$K$4:$AJ$4,0)))+SUMPRODUCT((Inputs!$C$5:$C$160=$B38)*Inputs!$D$5:$D$160*(((Inputs!$G$5:$G$160="moeda")+(Inputs!$G$5:$G$160="acoes"))*Inputs!$B$1+((Inputs!$G$5:$G$160&lt;&gt;"moeda")*(Inputs!$G$5:$G$160&lt;&gt;"acoes")))*INDEX(Inputs!$K$5:$AJ$160,0,MATCH(AE$2,Inputs!$K$4:$AJ$4,0)))+SUMPRODUCT((Inputs!$E$5:$E$160=$B38)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8" s="6" t="e">
        <f>IF(ISNA(MATCH(AF$2,Inputs!$K$4:$AJ$4,0)),NA(),IF(SUMPRODUCT((Inputs!$A$5:$A$160=$B38)*ISNUMBER(INDEX(Inputs!$K$5:$AJ$160,0,MATCH(AF$2,Inputs!$K$4:$AJ$4,0))))+SUMPRODUCT((Inputs!$C$5:$C$160=$B38)*ISNUMBER(INDEX(Inputs!$K$5:$AJ$160,0,MATCH(AF$2,Inputs!$K$4:$AJ$4,0))))+SUMPRODUCT((Inputs!$E$5:$E$160=$B38)*ISNUMBER(INDEX(Inputs!$K$5:$AJ$160,0,MATCH(AF$2,Inputs!$K$4:$AJ$4,0))))=0,NA(),SUMPRODUCT((Inputs!$A$5:$A$160=$B38)*Inputs!$B$5:$B$160*(((Inputs!$G$5:$G$160="moeda")+(Inputs!$G$5:$G$160="acoes"))*Inputs!$B$1+((Inputs!$G$5:$G$160&lt;&gt;"moeda")*(Inputs!$G$5:$G$160&lt;&gt;"acoes")))*INDEX(Inputs!$K$5:$AJ$160,0,MATCH(AF$2,Inputs!$K$4:$AJ$4,0)))+SUMPRODUCT((Inputs!$C$5:$C$160=$B38)*Inputs!$D$5:$D$160*(((Inputs!$G$5:$G$160="moeda")+(Inputs!$G$5:$G$160="acoes"))*Inputs!$B$1+((Inputs!$G$5:$G$160&lt;&gt;"moeda")*(Inputs!$G$5:$G$160&lt;&gt;"acoes")))*INDEX(Inputs!$K$5:$AJ$160,0,MATCH(AF$2,Inputs!$K$4:$AJ$4,0)))+SUMPRODUCT((Inputs!$E$5:$E$160=$B38)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8" s="3" t="e">
        <f>AF38</f>
        <v>#N/A</v>
      </c>
      <c r="AH38" s="6">
        <f>IF(ISNA(MATCH(AH$2,Inputs!$K$4:$AJ$4,0)),NA(),IF(SUMPRODUCT((Inputs!$A$5:$A$160=$B38)*ISNUMBER(INDEX(Inputs!$K$5:$AJ$160,0,MATCH(AH$2,Inputs!$K$4:$AJ$4,0))))+SUMPRODUCT((Inputs!$C$5:$C$160=$B38)*ISNUMBER(INDEX(Inputs!$K$5:$AJ$160,0,MATCH(AH$2,Inputs!$K$4:$AJ$4,0))))+SUMPRODUCT((Inputs!$E$5:$E$160=$B38)*ISNUMBER(INDEX(Inputs!$K$5:$AJ$160,0,MATCH(AH$2,Inputs!$K$4:$AJ$4,0))))=0,NA(),SUMPRODUCT((Inputs!$A$5:$A$160=$B38)*Inputs!$B$5:$B$160*(((Inputs!$G$5:$G$160="moeda")+(Inputs!$G$5:$G$160="acoes"))*Inputs!$B$1+((Inputs!$G$5:$G$160&lt;&gt;"moeda")*(Inputs!$G$5:$G$160&lt;&gt;"acoes")))*INDEX(Inputs!$K$5:$AJ$160,0,MATCH(AH$2,Inputs!$K$4:$AJ$4,0)))+SUMPRODUCT((Inputs!$C$5:$C$160=$B38)*Inputs!$D$5:$D$160*(((Inputs!$G$5:$G$160="moeda")+(Inputs!$G$5:$G$160="acoes"))*Inputs!$B$1+((Inputs!$G$5:$G$160&lt;&gt;"moeda")*(Inputs!$G$5:$G$160&lt;&gt;"acoes")))*INDEX(Inputs!$K$5:$AJ$160,0,MATCH(AH$2,Inputs!$K$4:$AJ$4,0)))+SUMPRODUCT((Inputs!$E$5:$E$160=$B38)*Inputs!$F$5:$F$160*(((Inputs!$G$5:$G$160="moeda")+(Inputs!$G$5:$G$160="acoes"))*Inputs!$B$1+((Inputs!$G$5:$G$160&lt;&gt;"moeda")*(Inputs!$G$5:$G$160&lt;&gt;"acoes")))*INDEX(Inputs!$K$5:$AJ$160,0,MATCH(AH$2,Inputs!$K$4:$AJ$4,0)))))</f>
        <v>418.369</v>
      </c>
      <c r="AI38" s="6">
        <f>IF(ISNA(MATCH(AI$2,Inputs!$K$4:$AJ$4,0)),NA(),IF(SUMPRODUCT((Inputs!$A$5:$A$160=$B38)*ISNUMBER(INDEX(Inputs!$K$5:$AJ$160,0,MATCH(AI$2,Inputs!$K$4:$AJ$4,0))))+SUMPRODUCT((Inputs!$C$5:$C$160=$B38)*ISNUMBER(INDEX(Inputs!$K$5:$AJ$160,0,MATCH(AI$2,Inputs!$K$4:$AJ$4,0))))+SUMPRODUCT((Inputs!$E$5:$E$160=$B38)*ISNUMBER(INDEX(Inputs!$K$5:$AJ$160,0,MATCH(AI$2,Inputs!$K$4:$AJ$4,0))))=0,NA(),SUMPRODUCT((Inputs!$A$5:$A$160=$B38)*Inputs!$B$5:$B$160*(((Inputs!$G$5:$G$160="moeda")+(Inputs!$G$5:$G$160="acoes"))*Inputs!$B$1+((Inputs!$G$5:$G$160&lt;&gt;"moeda")*(Inputs!$G$5:$G$160&lt;&gt;"acoes")))*INDEX(Inputs!$K$5:$AJ$160,0,MATCH(AI$2,Inputs!$K$4:$AJ$4,0)))+SUMPRODUCT((Inputs!$C$5:$C$160=$B38)*Inputs!$D$5:$D$160*(((Inputs!$G$5:$G$160="moeda")+(Inputs!$G$5:$G$160="acoes"))*Inputs!$B$1+((Inputs!$G$5:$G$160&lt;&gt;"moeda")*(Inputs!$G$5:$G$160&lt;&gt;"acoes")))*INDEX(Inputs!$K$5:$AJ$160,0,MATCH(AI$2,Inputs!$K$4:$AJ$4,0)))+SUMPRODUCT((Inputs!$E$5:$E$160=$B38)*Inputs!$F$5:$F$160*(((Inputs!$G$5:$G$160="moeda")+(Inputs!$G$5:$G$160="acoes"))*Inputs!$B$1+((Inputs!$G$5:$G$160&lt;&gt;"moeda")*(Inputs!$G$5:$G$160&lt;&gt;"acoes")))*INDEX(Inputs!$K$5:$AJ$160,0,MATCH(AI$2,Inputs!$K$4:$AJ$4,0)))))</f>
        <v>469.42195361</v>
      </c>
      <c r="AJ38" s="6">
        <f>IF(ISNA(MATCH(AJ$2,Inputs!$K$4:$AJ$4,0)),NA(),IF(SUMPRODUCT((Inputs!$A$5:$A$160=$B38)*ISNUMBER(INDEX(Inputs!$K$5:$AJ$160,0,MATCH(AJ$2,Inputs!$K$4:$AJ$4,0))))+SUMPRODUCT((Inputs!$C$5:$C$160=$B38)*ISNUMBER(INDEX(Inputs!$K$5:$AJ$160,0,MATCH(AJ$2,Inputs!$K$4:$AJ$4,0))))+SUMPRODUCT((Inputs!$E$5:$E$160=$B38)*ISNUMBER(INDEX(Inputs!$K$5:$AJ$160,0,MATCH(AJ$2,Inputs!$K$4:$AJ$4,0))))=0,NA(),SUMPRODUCT((Inputs!$A$5:$A$160=$B38)*Inputs!$B$5:$B$160*(((Inputs!$G$5:$G$160="moeda")+(Inputs!$G$5:$G$160="acoes"))*Inputs!$B$1+((Inputs!$G$5:$G$160&lt;&gt;"moeda")*(Inputs!$G$5:$G$160&lt;&gt;"acoes")))*INDEX(Inputs!$K$5:$AJ$160,0,MATCH(AJ$2,Inputs!$K$4:$AJ$4,0)))+SUMPRODUCT((Inputs!$C$5:$C$160=$B38)*Inputs!$D$5:$D$160*(((Inputs!$G$5:$G$160="moeda")+(Inputs!$G$5:$G$160="acoes"))*Inputs!$B$1+((Inputs!$G$5:$G$160&lt;&gt;"moeda")*(Inputs!$G$5:$G$160&lt;&gt;"acoes")))*INDEX(Inputs!$K$5:$AJ$160,0,MATCH(AJ$2,Inputs!$K$4:$AJ$4,0)))+SUMPRODUCT((Inputs!$E$5:$E$160=$B38)*Inputs!$F$5:$F$160*(((Inputs!$G$5:$G$160="moeda")+(Inputs!$G$5:$G$160="acoes"))*Inputs!$B$1+((Inputs!$G$5:$G$160&lt;&gt;"moeda")*(Inputs!$G$5:$G$160&lt;&gt;"acoes")))*INDEX(Inputs!$K$5:$AJ$160,0,MATCH(AJ$2,Inputs!$K$4:$AJ$4,0)))))</f>
        <v>468.6245004</v>
      </c>
      <c r="AK38" s="6">
        <f>IF(ISNA(MATCH(AK$2,Inputs!$K$4:$AJ$4,0)),NA(),IF(SUMPRODUCT((Inputs!$A$5:$A$160=$B38)*ISNUMBER(INDEX(Inputs!$K$5:$AJ$160,0,MATCH(AK$2,Inputs!$K$4:$AJ$4,0))))+SUMPRODUCT((Inputs!$C$5:$C$160=$B38)*ISNUMBER(INDEX(Inputs!$K$5:$AJ$160,0,MATCH(AK$2,Inputs!$K$4:$AJ$4,0))))+SUMPRODUCT((Inputs!$E$5:$E$160=$B38)*ISNUMBER(INDEX(Inputs!$K$5:$AJ$160,0,MATCH(AK$2,Inputs!$K$4:$AJ$4,0))))=0,NA(),SUMPRODUCT((Inputs!$A$5:$A$160=$B38)*Inputs!$B$5:$B$160*(((Inputs!$G$5:$G$160="moeda")+(Inputs!$G$5:$G$160="acoes"))*Inputs!$B$1+((Inputs!$G$5:$G$160&lt;&gt;"moeda")*(Inputs!$G$5:$G$160&lt;&gt;"acoes")))*INDEX(Inputs!$K$5:$AJ$160,0,MATCH(AK$2,Inputs!$K$4:$AJ$4,0)))+SUMPRODUCT((Inputs!$C$5:$C$160=$B38)*Inputs!$D$5:$D$160*(((Inputs!$G$5:$G$160="moeda")+(Inputs!$G$5:$G$160="acoes"))*Inputs!$B$1+((Inputs!$G$5:$G$160&lt;&gt;"moeda")*(Inputs!$G$5:$G$160&lt;&gt;"acoes")))*INDEX(Inputs!$K$5:$AJ$160,0,MATCH(AK$2,Inputs!$K$4:$AJ$4,0)))+SUMPRODUCT((Inputs!$E$5:$E$160=$B38)*Inputs!$F$5:$F$160*(((Inputs!$G$5:$G$160="moeda")+(Inputs!$G$5:$G$160="acoes"))*Inputs!$B$1+((Inputs!$G$5:$G$160&lt;&gt;"moeda")*(Inputs!$G$5:$G$160&lt;&gt;"acoes")))*INDEX(Inputs!$K$5:$AJ$160,0,MATCH(AK$2,Inputs!$K$4:$AJ$4,0)))))</f>
        <v>468.94024418</v>
      </c>
      <c r="AL38" s="3">
        <f>AK38</f>
        <v>468.94024418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$160=$B39)*ISNUMBER(INDEX(Inputs!$K$5:$AJ$160,0,MATCH(D$2,Inputs!$K$4:$AJ$4,0))))+SUMPRODUCT((Inputs!$C$5:$C$160=$B39)*ISNUMBER(INDEX(Inputs!$K$5:$AJ$160,0,MATCH(D$2,Inputs!$K$4:$AJ$4,0))))+SUMPRODUCT((Inputs!$E$5:$E$160=$B39)*ISNUMBER(INDEX(Inputs!$K$5:$AJ$160,0,MATCH(D$2,Inputs!$K$4:$AJ$4,0))))=0,NA(),SUMPRODUCT((Inputs!$A$5:$A$160=$B39)*Inputs!$B$5:$B$160*(((Inputs!$G$5:$G$160="moeda")+(Inputs!$G$5:$G$160="acoes"))*Inputs!$B$1+((Inputs!$G$5:$G$160&lt;&gt;"moeda")*(Inputs!$G$5:$G$160&lt;&gt;"acoes")))*INDEX(Inputs!$K$5:$AJ$160,0,MATCH(D$2,Inputs!$K$4:$AJ$4,0)))+SUMPRODUCT((Inputs!$C$5:$C$160=$B39)*Inputs!$D$5:$D$160*(((Inputs!$G$5:$G$160="moeda")+(Inputs!$G$5:$G$160="acoes"))*Inputs!$B$1+((Inputs!$G$5:$G$160&lt;&gt;"moeda")*(Inputs!$G$5:$G$160&lt;&gt;"acoes")))*INDEX(Inputs!$K$5:$AJ$160,0,MATCH(D$2,Inputs!$K$4:$AJ$4,0)))+SUMPRODUCT((Inputs!$E$5:$E$160=$B39)*Inputs!$F$5:$F$160*(((Inputs!$G$5:$G$160="moeda")+(Inputs!$G$5:$G$160="acoes"))*Inputs!$B$1+((Inputs!$G$5:$G$160&lt;&gt;"moeda")*(Inputs!$G$5:$G$160&lt;&gt;"acoes")))*INDEX(Inputs!$K$5:$AJ$160,0,MATCH(D$2,Inputs!$K$4:$AJ$4,0)))))</f>
        <v>136.68378796</v>
      </c>
      <c r="E39" s="6">
        <f>IF(ISNA(MATCH(E$2,Inputs!$K$4:$AJ$4,0)),NA(),IF(SUMPRODUCT((Inputs!$A$5:$A$160=$B39)*ISNUMBER(INDEX(Inputs!$K$5:$AJ$160,0,MATCH(E$2,Inputs!$K$4:$AJ$4,0))))+SUMPRODUCT((Inputs!$C$5:$C$160=$B39)*ISNUMBER(INDEX(Inputs!$K$5:$AJ$160,0,MATCH(E$2,Inputs!$K$4:$AJ$4,0))))+SUMPRODUCT((Inputs!$E$5:$E$160=$B39)*ISNUMBER(INDEX(Inputs!$K$5:$AJ$160,0,MATCH(E$2,Inputs!$K$4:$AJ$4,0))))=0,NA(),SUMPRODUCT((Inputs!$A$5:$A$160=$B39)*Inputs!$B$5:$B$160*(((Inputs!$G$5:$G$160="moeda")+(Inputs!$G$5:$G$160="acoes"))*Inputs!$B$1+((Inputs!$G$5:$G$160&lt;&gt;"moeda")*(Inputs!$G$5:$G$160&lt;&gt;"acoes")))*INDEX(Inputs!$K$5:$AJ$160,0,MATCH(E$2,Inputs!$K$4:$AJ$4,0)))+SUMPRODUCT((Inputs!$C$5:$C$160=$B39)*Inputs!$D$5:$D$160*(((Inputs!$G$5:$G$160="moeda")+(Inputs!$G$5:$G$160="acoes"))*Inputs!$B$1+((Inputs!$G$5:$G$160&lt;&gt;"moeda")*(Inputs!$G$5:$G$160&lt;&gt;"acoes")))*INDEX(Inputs!$K$5:$AJ$160,0,MATCH(E$2,Inputs!$K$4:$AJ$4,0)))+SUMPRODUCT((Inputs!$E$5:$E$160=$B39)*Inputs!$F$5:$F$160*(((Inputs!$G$5:$G$160="moeda")+(Inputs!$G$5:$G$160="acoes"))*Inputs!$B$1+((Inputs!$G$5:$G$160&lt;&gt;"moeda")*(Inputs!$G$5:$G$160&lt;&gt;"acoes")))*INDEX(Inputs!$K$5:$AJ$160,0,MATCH(E$2,Inputs!$K$4:$AJ$4,0)))))</f>
        <v>155.12582427</v>
      </c>
      <c r="F39" s="6">
        <f>IF(ISNA(MATCH(F$2,Inputs!$K$4:$AJ$4,0)),NA(),IF(SUMPRODUCT((Inputs!$A$5:$A$160=$B39)*ISNUMBER(INDEX(Inputs!$K$5:$AJ$160,0,MATCH(F$2,Inputs!$K$4:$AJ$4,0))))+SUMPRODUCT((Inputs!$C$5:$C$160=$B39)*ISNUMBER(INDEX(Inputs!$K$5:$AJ$160,0,MATCH(F$2,Inputs!$K$4:$AJ$4,0))))+SUMPRODUCT((Inputs!$E$5:$E$160=$B39)*ISNUMBER(INDEX(Inputs!$K$5:$AJ$160,0,MATCH(F$2,Inputs!$K$4:$AJ$4,0))))=0,NA(),SUMPRODUCT((Inputs!$A$5:$A$160=$B39)*Inputs!$B$5:$B$160*(((Inputs!$G$5:$G$160="moeda")+(Inputs!$G$5:$G$160="acoes"))*Inputs!$B$1+((Inputs!$G$5:$G$160&lt;&gt;"moeda")*(Inputs!$G$5:$G$160&lt;&gt;"acoes")))*INDEX(Inputs!$K$5:$AJ$160,0,MATCH(F$2,Inputs!$K$4:$AJ$4,0)))+SUMPRODUCT((Inputs!$C$5:$C$160=$B39)*Inputs!$D$5:$D$160*(((Inputs!$G$5:$G$160="moeda")+(Inputs!$G$5:$G$160="acoes"))*Inputs!$B$1+((Inputs!$G$5:$G$160&lt;&gt;"moeda")*(Inputs!$G$5:$G$160&lt;&gt;"acoes")))*INDEX(Inputs!$K$5:$AJ$160,0,MATCH(F$2,Inputs!$K$4:$AJ$4,0)))+SUMPRODUCT((Inputs!$E$5:$E$160=$B39)*Inputs!$F$5:$F$160*(((Inputs!$G$5:$G$160="moeda")+(Inputs!$G$5:$G$160="acoes"))*Inputs!$B$1+((Inputs!$G$5:$G$160&lt;&gt;"moeda")*(Inputs!$G$5:$G$160&lt;&gt;"acoes")))*INDEX(Inputs!$K$5:$AJ$160,0,MATCH(F$2,Inputs!$K$4:$AJ$4,0)))))</f>
        <v>174.46362033</v>
      </c>
      <c r="G39" s="6">
        <f>IF(ISNA(MATCH(G$2,Inputs!$K$4:$AJ$4,0)),NA(),IF(SUMPRODUCT((Inputs!$A$5:$A$160=$B39)*ISNUMBER(INDEX(Inputs!$K$5:$AJ$160,0,MATCH(G$2,Inputs!$K$4:$AJ$4,0))))+SUMPRODUCT((Inputs!$C$5:$C$160=$B39)*ISNUMBER(INDEX(Inputs!$K$5:$AJ$160,0,MATCH(G$2,Inputs!$K$4:$AJ$4,0))))+SUMPRODUCT((Inputs!$E$5:$E$160=$B39)*ISNUMBER(INDEX(Inputs!$K$5:$AJ$160,0,MATCH(G$2,Inputs!$K$4:$AJ$4,0))))=0,NA(),SUMPRODUCT((Inputs!$A$5:$A$160=$B39)*Inputs!$B$5:$B$160*(((Inputs!$G$5:$G$160="moeda")+(Inputs!$G$5:$G$160="acoes"))*Inputs!$B$1+((Inputs!$G$5:$G$160&lt;&gt;"moeda")*(Inputs!$G$5:$G$160&lt;&gt;"acoes")))*INDEX(Inputs!$K$5:$AJ$160,0,MATCH(G$2,Inputs!$K$4:$AJ$4,0)))+SUMPRODUCT((Inputs!$C$5:$C$160=$B39)*Inputs!$D$5:$D$160*(((Inputs!$G$5:$G$160="moeda")+(Inputs!$G$5:$G$160="acoes"))*Inputs!$B$1+((Inputs!$G$5:$G$160&lt;&gt;"moeda")*(Inputs!$G$5:$G$160&lt;&gt;"acoes")))*INDEX(Inputs!$K$5:$AJ$160,0,MATCH(G$2,Inputs!$K$4:$AJ$4,0)))+SUMPRODUCT((Inputs!$E$5:$E$160=$B39)*Inputs!$F$5:$F$160*(((Inputs!$G$5:$G$160="moeda")+(Inputs!$G$5:$G$160="acoes"))*Inputs!$B$1+((Inputs!$G$5:$G$160&lt;&gt;"moeda")*(Inputs!$G$5:$G$160&lt;&gt;"acoes")))*INDEX(Inputs!$K$5:$AJ$160,0,MATCH(G$2,Inputs!$K$4:$AJ$4,0)))))</f>
        <v>170.89964967</v>
      </c>
      <c r="H39" s="3">
        <f>G39</f>
        <v>170.89964967</v>
      </c>
      <c r="I39" s="6">
        <f>IF(ISNA(MATCH(I$2,Inputs!$K$4:$AJ$4,0)),NA(),IF(SUMPRODUCT((Inputs!$A$5:$A$160=$B39)*ISNUMBER(INDEX(Inputs!$K$5:$AJ$160,0,MATCH(I$2,Inputs!$K$4:$AJ$4,0))))+SUMPRODUCT((Inputs!$C$5:$C$160=$B39)*ISNUMBER(INDEX(Inputs!$K$5:$AJ$160,0,MATCH(I$2,Inputs!$K$4:$AJ$4,0))))+SUMPRODUCT((Inputs!$E$5:$E$160=$B39)*ISNUMBER(INDEX(Inputs!$K$5:$AJ$160,0,MATCH(I$2,Inputs!$K$4:$AJ$4,0))))=0,NA(),SUMPRODUCT((Inputs!$A$5:$A$160=$B39)*Inputs!$B$5:$B$160*(((Inputs!$G$5:$G$160="moeda")+(Inputs!$G$5:$G$160="acoes"))*Inputs!$B$1+((Inputs!$G$5:$G$160&lt;&gt;"moeda")*(Inputs!$G$5:$G$160&lt;&gt;"acoes")))*INDEX(Inputs!$K$5:$AJ$160,0,MATCH(I$2,Inputs!$K$4:$AJ$4,0)))+SUMPRODUCT((Inputs!$C$5:$C$160=$B39)*Inputs!$D$5:$D$160*(((Inputs!$G$5:$G$160="moeda")+(Inputs!$G$5:$G$160="acoes"))*Inputs!$B$1+((Inputs!$G$5:$G$160&lt;&gt;"moeda")*(Inputs!$G$5:$G$160&lt;&gt;"acoes")))*INDEX(Inputs!$K$5:$AJ$160,0,MATCH(I$2,Inputs!$K$4:$AJ$4,0)))+SUMPRODUCT((Inputs!$E$5:$E$160=$B39)*Inputs!$F$5:$F$160*(((Inputs!$G$5:$G$160="moeda")+(Inputs!$G$5:$G$160="acoes"))*Inputs!$B$1+((Inputs!$G$5:$G$160&lt;&gt;"moeda")*(Inputs!$G$5:$G$160&lt;&gt;"acoes")))*INDEX(Inputs!$K$5:$AJ$160,0,MATCH(I$2,Inputs!$K$4:$AJ$4,0)))))</f>
        <v>162.3528526</v>
      </c>
      <c r="J39" s="6">
        <f>IF(ISNA(MATCH(J$2,Inputs!$K$4:$AJ$4,0)),NA(),IF(SUMPRODUCT((Inputs!$A$5:$A$160=$B39)*ISNUMBER(INDEX(Inputs!$K$5:$AJ$160,0,MATCH(J$2,Inputs!$K$4:$AJ$4,0))))+SUMPRODUCT((Inputs!$C$5:$C$160=$B39)*ISNUMBER(INDEX(Inputs!$K$5:$AJ$160,0,MATCH(J$2,Inputs!$K$4:$AJ$4,0))))+SUMPRODUCT((Inputs!$E$5:$E$160=$B39)*ISNUMBER(INDEX(Inputs!$K$5:$AJ$160,0,MATCH(J$2,Inputs!$K$4:$AJ$4,0))))=0,NA(),SUMPRODUCT((Inputs!$A$5:$A$160=$B39)*Inputs!$B$5:$B$160*(((Inputs!$G$5:$G$160="moeda")+(Inputs!$G$5:$G$160="acoes"))*Inputs!$B$1+((Inputs!$G$5:$G$160&lt;&gt;"moeda")*(Inputs!$G$5:$G$160&lt;&gt;"acoes")))*INDEX(Inputs!$K$5:$AJ$160,0,MATCH(J$2,Inputs!$K$4:$AJ$4,0)))+SUMPRODUCT((Inputs!$C$5:$C$160=$B39)*Inputs!$D$5:$D$160*(((Inputs!$G$5:$G$160="moeda")+(Inputs!$G$5:$G$160="acoes"))*Inputs!$B$1+((Inputs!$G$5:$G$160&lt;&gt;"moeda")*(Inputs!$G$5:$G$160&lt;&gt;"acoes")))*INDEX(Inputs!$K$5:$AJ$160,0,MATCH(J$2,Inputs!$K$4:$AJ$4,0)))+SUMPRODUCT((Inputs!$E$5:$E$160=$B39)*Inputs!$F$5:$F$160*(((Inputs!$G$5:$G$160="moeda")+(Inputs!$G$5:$G$160="acoes"))*Inputs!$B$1+((Inputs!$G$5:$G$160&lt;&gt;"moeda")*(Inputs!$G$5:$G$160&lt;&gt;"acoes")))*INDEX(Inputs!$K$5:$AJ$160,0,MATCH(J$2,Inputs!$K$4:$AJ$4,0)))))</f>
        <v>220.24069615</v>
      </c>
      <c r="K39" s="6">
        <f>IF(ISNA(MATCH(K$2,Inputs!$K$4:$AJ$4,0)),NA(),IF(SUMPRODUCT((Inputs!$A$5:$A$160=$B39)*ISNUMBER(INDEX(Inputs!$K$5:$AJ$160,0,MATCH(K$2,Inputs!$K$4:$AJ$4,0))))+SUMPRODUCT((Inputs!$C$5:$C$160=$B39)*ISNUMBER(INDEX(Inputs!$K$5:$AJ$160,0,MATCH(K$2,Inputs!$K$4:$AJ$4,0))))+SUMPRODUCT((Inputs!$E$5:$E$160=$B39)*ISNUMBER(INDEX(Inputs!$K$5:$AJ$160,0,MATCH(K$2,Inputs!$K$4:$AJ$4,0))))=0,NA(),SUMPRODUCT((Inputs!$A$5:$A$160=$B39)*Inputs!$B$5:$B$160*(((Inputs!$G$5:$G$160="moeda")+(Inputs!$G$5:$G$160="acoes"))*Inputs!$B$1+((Inputs!$G$5:$G$160&lt;&gt;"moeda")*(Inputs!$G$5:$G$160&lt;&gt;"acoes")))*INDEX(Inputs!$K$5:$AJ$160,0,MATCH(K$2,Inputs!$K$4:$AJ$4,0)))+SUMPRODUCT((Inputs!$C$5:$C$160=$B39)*Inputs!$D$5:$D$160*(((Inputs!$G$5:$G$160="moeda")+(Inputs!$G$5:$G$160="acoes"))*Inputs!$B$1+((Inputs!$G$5:$G$160&lt;&gt;"moeda")*(Inputs!$G$5:$G$160&lt;&gt;"acoes")))*INDEX(Inputs!$K$5:$AJ$160,0,MATCH(K$2,Inputs!$K$4:$AJ$4,0)))+SUMPRODUCT((Inputs!$E$5:$E$160=$B39)*Inputs!$F$5:$F$160*(((Inputs!$G$5:$G$160="moeda")+(Inputs!$G$5:$G$160="acoes"))*Inputs!$B$1+((Inputs!$G$5:$G$160&lt;&gt;"moeda")*(Inputs!$G$5:$G$160&lt;&gt;"acoes")))*INDEX(Inputs!$K$5:$AJ$160,0,MATCH(K$2,Inputs!$K$4:$AJ$4,0)))))</f>
        <v>214.30085814</v>
      </c>
      <c r="L39" s="6">
        <f>IF(ISNA(MATCH(L$2,Inputs!$K$4:$AJ$4,0)),NA(),IF(SUMPRODUCT((Inputs!$A$5:$A$160=$B39)*ISNUMBER(INDEX(Inputs!$K$5:$AJ$160,0,MATCH(L$2,Inputs!$K$4:$AJ$4,0))))+SUMPRODUCT((Inputs!$C$5:$C$160=$B39)*ISNUMBER(INDEX(Inputs!$K$5:$AJ$160,0,MATCH(L$2,Inputs!$K$4:$AJ$4,0))))+SUMPRODUCT((Inputs!$E$5:$E$160=$B39)*ISNUMBER(INDEX(Inputs!$K$5:$AJ$160,0,MATCH(L$2,Inputs!$K$4:$AJ$4,0))))=0,NA(),SUMPRODUCT((Inputs!$A$5:$A$160=$B39)*Inputs!$B$5:$B$160*(((Inputs!$G$5:$G$160="moeda")+(Inputs!$G$5:$G$160="acoes"))*Inputs!$B$1+((Inputs!$G$5:$G$160&lt;&gt;"moeda")*(Inputs!$G$5:$G$160&lt;&gt;"acoes")))*INDEX(Inputs!$K$5:$AJ$160,0,MATCH(L$2,Inputs!$K$4:$AJ$4,0)))+SUMPRODUCT((Inputs!$C$5:$C$160=$B39)*Inputs!$D$5:$D$160*(((Inputs!$G$5:$G$160="moeda")+(Inputs!$G$5:$G$160="acoes"))*Inputs!$B$1+((Inputs!$G$5:$G$160&lt;&gt;"moeda")*(Inputs!$G$5:$G$160&lt;&gt;"acoes")))*INDEX(Inputs!$K$5:$AJ$160,0,MATCH(L$2,Inputs!$K$4:$AJ$4,0)))+SUMPRODUCT((Inputs!$E$5:$E$160=$B39)*Inputs!$F$5:$F$160*(((Inputs!$G$5:$G$160="moeda")+(Inputs!$G$5:$G$160="acoes"))*Inputs!$B$1+((Inputs!$G$5:$G$160&lt;&gt;"moeda")*(Inputs!$G$5:$G$160&lt;&gt;"acoes")))*INDEX(Inputs!$K$5:$AJ$160,0,MATCH(L$2,Inputs!$K$4:$AJ$4,0)))))</f>
        <v>316.6958399</v>
      </c>
      <c r="M39" s="3">
        <f>L39</f>
        <v>316.6958399</v>
      </c>
      <c r="N39" s="6">
        <f>IF(ISNA(MATCH(N$2,Inputs!$K$4:$AJ$4,0)),NA(),IF(SUMPRODUCT((Inputs!$A$5:$A$160=$B39)*ISNUMBER(INDEX(Inputs!$K$5:$AJ$160,0,MATCH(N$2,Inputs!$K$4:$AJ$4,0))))+SUMPRODUCT((Inputs!$C$5:$C$160=$B39)*ISNUMBER(INDEX(Inputs!$K$5:$AJ$160,0,MATCH(N$2,Inputs!$K$4:$AJ$4,0))))+SUMPRODUCT((Inputs!$E$5:$E$160=$B39)*ISNUMBER(INDEX(Inputs!$K$5:$AJ$160,0,MATCH(N$2,Inputs!$K$4:$AJ$4,0))))=0,NA(),SUMPRODUCT((Inputs!$A$5:$A$160=$B39)*Inputs!$B$5:$B$160*(((Inputs!$G$5:$G$160="moeda")+(Inputs!$G$5:$G$160="acoes"))*Inputs!$B$1+((Inputs!$G$5:$G$160&lt;&gt;"moeda")*(Inputs!$G$5:$G$160&lt;&gt;"acoes")))*INDEX(Inputs!$K$5:$AJ$160,0,MATCH(N$2,Inputs!$K$4:$AJ$4,0)))+SUMPRODUCT((Inputs!$C$5:$C$160=$B39)*Inputs!$D$5:$D$160*(((Inputs!$G$5:$G$160="moeda")+(Inputs!$G$5:$G$160="acoes"))*Inputs!$B$1+((Inputs!$G$5:$G$160&lt;&gt;"moeda")*(Inputs!$G$5:$G$160&lt;&gt;"acoes")))*INDEX(Inputs!$K$5:$AJ$160,0,MATCH(N$2,Inputs!$K$4:$AJ$4,0)))+SUMPRODUCT((Inputs!$E$5:$E$160=$B39)*Inputs!$F$5:$F$160*(((Inputs!$G$5:$G$160="moeda")+(Inputs!$G$5:$G$160="acoes"))*Inputs!$B$1+((Inputs!$G$5:$G$160&lt;&gt;"moeda")*(Inputs!$G$5:$G$160&lt;&gt;"acoes")))*INDEX(Inputs!$K$5:$AJ$160,0,MATCH(N$2,Inputs!$K$4:$AJ$4,0)))))</f>
        <v>290.3589332</v>
      </c>
      <c r="O39" s="6">
        <f>IF(ISNA(MATCH(O$2,Inputs!$K$4:$AJ$4,0)),NA(),IF(SUMPRODUCT((Inputs!$A$5:$A$160=$B39)*ISNUMBER(INDEX(Inputs!$K$5:$AJ$160,0,MATCH(O$2,Inputs!$K$4:$AJ$4,0))))+SUMPRODUCT((Inputs!$C$5:$C$160=$B39)*ISNUMBER(INDEX(Inputs!$K$5:$AJ$160,0,MATCH(O$2,Inputs!$K$4:$AJ$4,0))))+SUMPRODUCT((Inputs!$E$5:$E$160=$B39)*ISNUMBER(INDEX(Inputs!$K$5:$AJ$160,0,MATCH(O$2,Inputs!$K$4:$AJ$4,0))))=0,NA(),SUMPRODUCT((Inputs!$A$5:$A$160=$B39)*Inputs!$B$5:$B$160*(((Inputs!$G$5:$G$160="moeda")+(Inputs!$G$5:$G$160="acoes"))*Inputs!$B$1+((Inputs!$G$5:$G$160&lt;&gt;"moeda")*(Inputs!$G$5:$G$160&lt;&gt;"acoes")))*INDEX(Inputs!$K$5:$AJ$160,0,MATCH(O$2,Inputs!$K$4:$AJ$4,0)))+SUMPRODUCT((Inputs!$C$5:$C$160=$B39)*Inputs!$D$5:$D$160*(((Inputs!$G$5:$G$160="moeda")+(Inputs!$G$5:$G$160="acoes"))*Inputs!$B$1+((Inputs!$G$5:$G$160&lt;&gt;"moeda")*(Inputs!$G$5:$G$160&lt;&gt;"acoes")))*INDEX(Inputs!$K$5:$AJ$160,0,MATCH(O$2,Inputs!$K$4:$AJ$4,0)))+SUMPRODUCT((Inputs!$E$5:$E$160=$B39)*Inputs!$F$5:$F$160*(((Inputs!$G$5:$G$160="moeda")+(Inputs!$G$5:$G$160="acoes"))*Inputs!$B$1+((Inputs!$G$5:$G$160&lt;&gt;"moeda")*(Inputs!$G$5:$G$160&lt;&gt;"acoes")))*INDEX(Inputs!$K$5:$AJ$160,0,MATCH(O$2,Inputs!$K$4:$AJ$4,0)))))</f>
        <v>447.123</v>
      </c>
      <c r="P39" s="6">
        <f>IF(ISNA(MATCH(P$2,Inputs!$K$4:$AJ$4,0)),NA(),IF(SUMPRODUCT((Inputs!$A$5:$A$160=$B39)*ISNUMBER(INDEX(Inputs!$K$5:$AJ$160,0,MATCH(P$2,Inputs!$K$4:$AJ$4,0))))+SUMPRODUCT((Inputs!$C$5:$C$160=$B39)*ISNUMBER(INDEX(Inputs!$K$5:$AJ$160,0,MATCH(P$2,Inputs!$K$4:$AJ$4,0))))+SUMPRODUCT((Inputs!$E$5:$E$160=$B39)*ISNUMBER(INDEX(Inputs!$K$5:$AJ$160,0,MATCH(P$2,Inputs!$K$4:$AJ$4,0))))=0,NA(),SUMPRODUCT((Inputs!$A$5:$A$160=$B39)*Inputs!$B$5:$B$160*(((Inputs!$G$5:$G$160="moeda")+(Inputs!$G$5:$G$160="acoes"))*Inputs!$B$1+((Inputs!$G$5:$G$160&lt;&gt;"moeda")*(Inputs!$G$5:$G$160&lt;&gt;"acoes")))*INDEX(Inputs!$K$5:$AJ$160,0,MATCH(P$2,Inputs!$K$4:$AJ$4,0)))+SUMPRODUCT((Inputs!$C$5:$C$160=$B39)*Inputs!$D$5:$D$160*(((Inputs!$G$5:$G$160="moeda")+(Inputs!$G$5:$G$160="acoes"))*Inputs!$B$1+((Inputs!$G$5:$G$160&lt;&gt;"moeda")*(Inputs!$G$5:$G$160&lt;&gt;"acoes")))*INDEX(Inputs!$K$5:$AJ$160,0,MATCH(P$2,Inputs!$K$4:$AJ$4,0)))+SUMPRODUCT((Inputs!$E$5:$E$160=$B39)*Inputs!$F$5:$F$160*(((Inputs!$G$5:$G$160="moeda")+(Inputs!$G$5:$G$160="acoes"))*Inputs!$B$1+((Inputs!$G$5:$G$160&lt;&gt;"moeda")*(Inputs!$G$5:$G$160&lt;&gt;"acoes")))*INDEX(Inputs!$K$5:$AJ$160,0,MATCH(P$2,Inputs!$K$4:$AJ$4,0)))))</f>
        <v>503.835</v>
      </c>
      <c r="Q39" s="6">
        <f>IF(ISNA(MATCH(Q$2,Inputs!$K$4:$AJ$4,0)),NA(),IF(SUMPRODUCT((Inputs!$A$5:$A$160=$B39)*ISNUMBER(INDEX(Inputs!$K$5:$AJ$160,0,MATCH(Q$2,Inputs!$K$4:$AJ$4,0))))+SUMPRODUCT((Inputs!$C$5:$C$160=$B39)*ISNUMBER(INDEX(Inputs!$K$5:$AJ$160,0,MATCH(Q$2,Inputs!$K$4:$AJ$4,0))))+SUMPRODUCT((Inputs!$E$5:$E$160=$B39)*ISNUMBER(INDEX(Inputs!$K$5:$AJ$160,0,MATCH(Q$2,Inputs!$K$4:$AJ$4,0))))=0,NA(),SUMPRODUCT((Inputs!$A$5:$A$160=$B39)*Inputs!$B$5:$B$160*(((Inputs!$G$5:$G$160="moeda")+(Inputs!$G$5:$G$160="acoes"))*Inputs!$B$1+((Inputs!$G$5:$G$160&lt;&gt;"moeda")*(Inputs!$G$5:$G$160&lt;&gt;"acoes")))*INDEX(Inputs!$K$5:$AJ$160,0,MATCH(Q$2,Inputs!$K$4:$AJ$4,0)))+SUMPRODUCT((Inputs!$C$5:$C$160=$B39)*Inputs!$D$5:$D$160*(((Inputs!$G$5:$G$160="moeda")+(Inputs!$G$5:$G$160="acoes"))*Inputs!$B$1+((Inputs!$G$5:$G$160&lt;&gt;"moeda")*(Inputs!$G$5:$G$160&lt;&gt;"acoes")))*INDEX(Inputs!$K$5:$AJ$160,0,MATCH(Q$2,Inputs!$K$4:$AJ$4,0)))+SUMPRODUCT((Inputs!$E$5:$E$160=$B39)*Inputs!$F$5:$F$160*(((Inputs!$G$5:$G$160="moeda")+(Inputs!$G$5:$G$160="acoes"))*Inputs!$B$1+((Inputs!$G$5:$G$160&lt;&gt;"moeda")*(Inputs!$G$5:$G$160&lt;&gt;"acoes")))*INDEX(Inputs!$K$5:$AJ$160,0,MATCH(Q$2,Inputs!$K$4:$AJ$4,0)))))</f>
        <v>540.862</v>
      </c>
      <c r="R39" s="3">
        <f>Q39</f>
        <v>540.862</v>
      </c>
      <c r="S39" s="6">
        <f>IF(ISNA(MATCH(S$2,Inputs!$K$4:$AJ$4,0)),NA(),IF(SUMPRODUCT((Inputs!$A$5:$A$160=$B39)*ISNUMBER(INDEX(Inputs!$K$5:$AJ$160,0,MATCH(S$2,Inputs!$K$4:$AJ$4,0))))+SUMPRODUCT((Inputs!$C$5:$C$160=$B39)*ISNUMBER(INDEX(Inputs!$K$5:$AJ$160,0,MATCH(S$2,Inputs!$K$4:$AJ$4,0))))+SUMPRODUCT((Inputs!$E$5:$E$160=$B39)*ISNUMBER(INDEX(Inputs!$K$5:$AJ$160,0,MATCH(S$2,Inputs!$K$4:$AJ$4,0))))=0,NA(),SUMPRODUCT((Inputs!$A$5:$A$160=$B39)*Inputs!$B$5:$B$160*(((Inputs!$G$5:$G$160="moeda")+(Inputs!$G$5:$G$160="acoes"))*Inputs!$B$1+((Inputs!$G$5:$G$160&lt;&gt;"moeda")*(Inputs!$G$5:$G$160&lt;&gt;"acoes")))*INDEX(Inputs!$K$5:$AJ$160,0,MATCH(S$2,Inputs!$K$4:$AJ$4,0)))+SUMPRODUCT((Inputs!$C$5:$C$160=$B39)*Inputs!$D$5:$D$160*(((Inputs!$G$5:$G$160="moeda")+(Inputs!$G$5:$G$160="acoes"))*Inputs!$B$1+((Inputs!$G$5:$G$160&lt;&gt;"moeda")*(Inputs!$G$5:$G$160&lt;&gt;"acoes")))*INDEX(Inputs!$K$5:$AJ$160,0,MATCH(S$2,Inputs!$K$4:$AJ$4,0)))+SUMPRODUCT((Inputs!$E$5:$E$160=$B39)*Inputs!$F$5:$F$160*(((Inputs!$G$5:$G$160="moeda")+(Inputs!$G$5:$G$160="acoes"))*Inputs!$B$1+((Inputs!$G$5:$G$160&lt;&gt;"moeda")*(Inputs!$G$5:$G$160&lt;&gt;"acoes")))*INDEX(Inputs!$K$5:$AJ$160,0,MATCH(S$2,Inputs!$K$4:$AJ$4,0)))))</f>
        <v>497.68558127</v>
      </c>
      <c r="T39" s="6">
        <f>IF(ISNA(MATCH(T$2,Inputs!$K$4:$AJ$4,0)),NA(),IF(SUMPRODUCT((Inputs!$A$5:$A$160=$B39)*ISNUMBER(INDEX(Inputs!$K$5:$AJ$160,0,MATCH(T$2,Inputs!$K$4:$AJ$4,0))))+SUMPRODUCT((Inputs!$C$5:$C$160=$B39)*ISNUMBER(INDEX(Inputs!$K$5:$AJ$160,0,MATCH(T$2,Inputs!$K$4:$AJ$4,0))))+SUMPRODUCT((Inputs!$E$5:$E$160=$B39)*ISNUMBER(INDEX(Inputs!$K$5:$AJ$160,0,MATCH(T$2,Inputs!$K$4:$AJ$4,0))))=0,NA(),SUMPRODUCT((Inputs!$A$5:$A$160=$B39)*Inputs!$B$5:$B$160*(((Inputs!$G$5:$G$160="moeda")+(Inputs!$G$5:$G$160="acoes"))*Inputs!$B$1+((Inputs!$G$5:$G$160&lt;&gt;"moeda")*(Inputs!$G$5:$G$160&lt;&gt;"acoes")))*INDEX(Inputs!$K$5:$AJ$160,0,MATCH(T$2,Inputs!$K$4:$AJ$4,0)))+SUMPRODUCT((Inputs!$C$5:$C$160=$B39)*Inputs!$D$5:$D$160*(((Inputs!$G$5:$G$160="moeda")+(Inputs!$G$5:$G$160="acoes"))*Inputs!$B$1+((Inputs!$G$5:$G$160&lt;&gt;"moeda")*(Inputs!$G$5:$G$160&lt;&gt;"acoes")))*INDEX(Inputs!$K$5:$AJ$160,0,MATCH(T$2,Inputs!$K$4:$AJ$4,0)))+SUMPRODUCT((Inputs!$E$5:$E$160=$B39)*Inputs!$F$5:$F$160*(((Inputs!$G$5:$G$160="moeda")+(Inputs!$G$5:$G$160="acoes"))*Inputs!$B$1+((Inputs!$G$5:$G$160&lt;&gt;"moeda")*(Inputs!$G$5:$G$160&lt;&gt;"acoes")))*INDEX(Inputs!$K$5:$AJ$160,0,MATCH(T$2,Inputs!$K$4:$AJ$4,0)))))</f>
        <v>483.483</v>
      </c>
      <c r="U39" s="6">
        <f>IF(ISNA(MATCH(U$2,Inputs!$K$4:$AJ$4,0)),NA(),IF(SUMPRODUCT((Inputs!$A$5:$A$160=$B39)*ISNUMBER(INDEX(Inputs!$K$5:$AJ$160,0,MATCH(U$2,Inputs!$K$4:$AJ$4,0))))+SUMPRODUCT((Inputs!$C$5:$C$160=$B39)*ISNUMBER(INDEX(Inputs!$K$5:$AJ$160,0,MATCH(U$2,Inputs!$K$4:$AJ$4,0))))+SUMPRODUCT((Inputs!$E$5:$E$160=$B39)*ISNUMBER(INDEX(Inputs!$K$5:$AJ$160,0,MATCH(U$2,Inputs!$K$4:$AJ$4,0))))=0,NA(),SUMPRODUCT((Inputs!$A$5:$A$160=$B39)*Inputs!$B$5:$B$160*(((Inputs!$G$5:$G$160="moeda")+(Inputs!$G$5:$G$160="acoes"))*Inputs!$B$1+((Inputs!$G$5:$G$160&lt;&gt;"moeda")*(Inputs!$G$5:$G$160&lt;&gt;"acoes")))*INDEX(Inputs!$K$5:$AJ$160,0,MATCH(U$2,Inputs!$K$4:$AJ$4,0)))+SUMPRODUCT((Inputs!$C$5:$C$160=$B39)*Inputs!$D$5:$D$160*(((Inputs!$G$5:$G$160="moeda")+(Inputs!$G$5:$G$160="acoes"))*Inputs!$B$1+((Inputs!$G$5:$G$160&lt;&gt;"moeda")*(Inputs!$G$5:$G$160&lt;&gt;"acoes")))*INDEX(Inputs!$K$5:$AJ$160,0,MATCH(U$2,Inputs!$K$4:$AJ$4,0)))+SUMPRODUCT((Inputs!$E$5:$E$160=$B39)*Inputs!$F$5:$F$160*(((Inputs!$G$5:$G$160="moeda")+(Inputs!$G$5:$G$160="acoes"))*Inputs!$B$1+((Inputs!$G$5:$G$160&lt;&gt;"moeda")*(Inputs!$G$5:$G$160&lt;&gt;"acoes")))*INDEX(Inputs!$K$5:$AJ$160,0,MATCH(U$2,Inputs!$K$4:$AJ$4,0)))))</f>
        <v>485.671</v>
      </c>
      <c r="V39" s="6">
        <f>IF(ISNA(MATCH(V$2,Inputs!$K$4:$AJ$4,0)),NA(),IF(SUMPRODUCT((Inputs!$A$5:$A$160=$B39)*ISNUMBER(INDEX(Inputs!$K$5:$AJ$160,0,MATCH(V$2,Inputs!$K$4:$AJ$4,0))))+SUMPRODUCT((Inputs!$C$5:$C$160=$B39)*ISNUMBER(INDEX(Inputs!$K$5:$AJ$160,0,MATCH(V$2,Inputs!$K$4:$AJ$4,0))))+SUMPRODUCT((Inputs!$E$5:$E$160=$B39)*ISNUMBER(INDEX(Inputs!$K$5:$AJ$160,0,MATCH(V$2,Inputs!$K$4:$AJ$4,0))))=0,NA(),SUMPRODUCT((Inputs!$A$5:$A$160=$B39)*Inputs!$B$5:$B$160*(((Inputs!$G$5:$G$160="moeda")+(Inputs!$G$5:$G$160="acoes"))*Inputs!$B$1+((Inputs!$G$5:$G$160&lt;&gt;"moeda")*(Inputs!$G$5:$G$160&lt;&gt;"acoes")))*INDEX(Inputs!$K$5:$AJ$160,0,MATCH(V$2,Inputs!$K$4:$AJ$4,0)))+SUMPRODUCT((Inputs!$C$5:$C$160=$B39)*Inputs!$D$5:$D$160*(((Inputs!$G$5:$G$160="moeda")+(Inputs!$G$5:$G$160="acoes"))*Inputs!$B$1+((Inputs!$G$5:$G$160&lt;&gt;"moeda")*(Inputs!$G$5:$G$160&lt;&gt;"acoes")))*INDEX(Inputs!$K$5:$AJ$160,0,MATCH(V$2,Inputs!$K$4:$AJ$4,0)))+SUMPRODUCT((Inputs!$E$5:$E$160=$B39)*Inputs!$F$5:$F$160*(((Inputs!$G$5:$G$160="moeda")+(Inputs!$G$5:$G$160="acoes"))*Inputs!$B$1+((Inputs!$G$5:$G$160&lt;&gt;"moeda")*(Inputs!$G$5:$G$160&lt;&gt;"acoes")))*INDEX(Inputs!$K$5:$AJ$160,0,MATCH(V$2,Inputs!$K$4:$AJ$4,0)))))</f>
        <v>479.019</v>
      </c>
      <c r="W39" s="3">
        <f>V39</f>
        <v>479.019</v>
      </c>
      <c r="X39" s="6">
        <f>IF(ISNA(MATCH(X$2,Inputs!$K$4:$AJ$4,0)),NA(),IF(SUMPRODUCT((Inputs!$A$5:$A$160=$B39)*ISNUMBER(INDEX(Inputs!$K$5:$AJ$160,0,MATCH(X$2,Inputs!$K$4:$AJ$4,0))))+SUMPRODUCT((Inputs!$C$5:$C$160=$B39)*ISNUMBER(INDEX(Inputs!$K$5:$AJ$160,0,MATCH(X$2,Inputs!$K$4:$AJ$4,0))))+SUMPRODUCT((Inputs!$E$5:$E$160=$B39)*ISNUMBER(INDEX(Inputs!$K$5:$AJ$160,0,MATCH(X$2,Inputs!$K$4:$AJ$4,0))))=0,NA(),SUMPRODUCT((Inputs!$A$5:$A$160=$B39)*Inputs!$B$5:$B$160*(((Inputs!$G$5:$G$160="moeda")+(Inputs!$G$5:$G$160="acoes"))*Inputs!$B$1+((Inputs!$G$5:$G$160&lt;&gt;"moeda")*(Inputs!$G$5:$G$160&lt;&gt;"acoes")))*INDEX(Inputs!$K$5:$AJ$160,0,MATCH(X$2,Inputs!$K$4:$AJ$4,0)))+SUMPRODUCT((Inputs!$C$5:$C$160=$B39)*Inputs!$D$5:$D$160*(((Inputs!$G$5:$G$160="moeda")+(Inputs!$G$5:$G$160="acoes"))*Inputs!$B$1+((Inputs!$G$5:$G$160&lt;&gt;"moeda")*(Inputs!$G$5:$G$160&lt;&gt;"acoes")))*INDEX(Inputs!$K$5:$AJ$160,0,MATCH(X$2,Inputs!$K$4:$AJ$4,0)))+SUMPRODUCT((Inputs!$E$5:$E$160=$B39)*Inputs!$F$5:$F$160*(((Inputs!$G$5:$G$160="moeda")+(Inputs!$G$5:$G$160="acoes"))*Inputs!$B$1+((Inputs!$G$5:$G$160&lt;&gt;"moeda")*(Inputs!$G$5:$G$160&lt;&gt;"acoes")))*INDEX(Inputs!$K$5:$AJ$160,0,MATCH(X$2,Inputs!$K$4:$AJ$4,0)))))</f>
        <v>460.11376819</v>
      </c>
      <c r="Y39" s="6">
        <f>IF(ISNA(MATCH(Y$2,Inputs!$K$4:$AJ$4,0)),NA(),IF(SUMPRODUCT((Inputs!$A$5:$A$160=$B39)*ISNUMBER(INDEX(Inputs!$K$5:$AJ$160,0,MATCH(Y$2,Inputs!$K$4:$AJ$4,0))))+SUMPRODUCT((Inputs!$C$5:$C$160=$B39)*ISNUMBER(INDEX(Inputs!$K$5:$AJ$160,0,MATCH(Y$2,Inputs!$K$4:$AJ$4,0))))+SUMPRODUCT((Inputs!$E$5:$E$160=$B39)*ISNUMBER(INDEX(Inputs!$K$5:$AJ$160,0,MATCH(Y$2,Inputs!$K$4:$AJ$4,0))))=0,NA(),SUMPRODUCT((Inputs!$A$5:$A$160=$B39)*Inputs!$B$5:$B$160*(((Inputs!$G$5:$G$160="moeda")+(Inputs!$G$5:$G$160="acoes"))*Inputs!$B$1+((Inputs!$G$5:$G$160&lt;&gt;"moeda")*(Inputs!$G$5:$G$160&lt;&gt;"acoes")))*INDEX(Inputs!$K$5:$AJ$160,0,MATCH(Y$2,Inputs!$K$4:$AJ$4,0)))+SUMPRODUCT((Inputs!$C$5:$C$160=$B39)*Inputs!$D$5:$D$160*(((Inputs!$G$5:$G$160="moeda")+(Inputs!$G$5:$G$160="acoes"))*Inputs!$B$1+((Inputs!$G$5:$G$160&lt;&gt;"moeda")*(Inputs!$G$5:$G$160&lt;&gt;"acoes")))*INDEX(Inputs!$K$5:$AJ$160,0,MATCH(Y$2,Inputs!$K$4:$AJ$4,0)))+SUMPRODUCT((Inputs!$E$5:$E$160=$B39)*Inputs!$F$5:$F$160*(((Inputs!$G$5:$G$160="moeda")+(Inputs!$G$5:$G$160="acoes"))*Inputs!$B$1+((Inputs!$G$5:$G$160&lt;&gt;"moeda")*(Inputs!$G$5:$G$160&lt;&gt;"acoes")))*INDEX(Inputs!$K$5:$AJ$160,0,MATCH(Y$2,Inputs!$K$4:$AJ$4,0)))))</f>
        <v>498.062</v>
      </c>
      <c r="Z39" s="6">
        <f>IF(ISNA(MATCH(Z$2,Inputs!$K$4:$AJ$4,0)),NA(),IF(SUMPRODUCT((Inputs!$A$5:$A$160=$B39)*ISNUMBER(INDEX(Inputs!$K$5:$AJ$160,0,MATCH(Z$2,Inputs!$K$4:$AJ$4,0))))+SUMPRODUCT((Inputs!$C$5:$C$160=$B39)*ISNUMBER(INDEX(Inputs!$K$5:$AJ$160,0,MATCH(Z$2,Inputs!$K$4:$AJ$4,0))))+SUMPRODUCT((Inputs!$E$5:$E$160=$B39)*ISNUMBER(INDEX(Inputs!$K$5:$AJ$160,0,MATCH(Z$2,Inputs!$K$4:$AJ$4,0))))=0,NA(),SUMPRODUCT((Inputs!$A$5:$A$160=$B39)*Inputs!$B$5:$B$160*(((Inputs!$G$5:$G$160="moeda")+(Inputs!$G$5:$G$160="acoes"))*Inputs!$B$1+((Inputs!$G$5:$G$160&lt;&gt;"moeda")*(Inputs!$G$5:$G$160&lt;&gt;"acoes")))*INDEX(Inputs!$K$5:$AJ$160,0,MATCH(Z$2,Inputs!$K$4:$AJ$4,0)))+SUMPRODUCT((Inputs!$C$5:$C$160=$B39)*Inputs!$D$5:$D$160*(((Inputs!$G$5:$G$160="moeda")+(Inputs!$G$5:$G$160="acoes"))*Inputs!$B$1+((Inputs!$G$5:$G$160&lt;&gt;"moeda")*(Inputs!$G$5:$G$160&lt;&gt;"acoes")))*INDEX(Inputs!$K$5:$AJ$160,0,MATCH(Z$2,Inputs!$K$4:$AJ$4,0)))+SUMPRODUCT((Inputs!$E$5:$E$160=$B39)*Inputs!$F$5:$F$160*(((Inputs!$G$5:$G$160="moeda")+(Inputs!$G$5:$G$160="acoes"))*Inputs!$B$1+((Inputs!$G$5:$G$160&lt;&gt;"moeda")*(Inputs!$G$5:$G$160&lt;&gt;"acoes")))*INDEX(Inputs!$K$5:$AJ$160,0,MATCH(Z$2,Inputs!$K$4:$AJ$4,0)))))</f>
        <v>523.59</v>
      </c>
      <c r="AA39" s="6">
        <f>IF(ISNA(MATCH(AA$2,Inputs!$K$4:$AJ$4,0)),NA(),IF(SUMPRODUCT((Inputs!$A$5:$A$160=$B39)*ISNUMBER(INDEX(Inputs!$K$5:$AJ$160,0,MATCH(AA$2,Inputs!$K$4:$AJ$4,0))))+SUMPRODUCT((Inputs!$C$5:$C$160=$B39)*ISNUMBER(INDEX(Inputs!$K$5:$AJ$160,0,MATCH(AA$2,Inputs!$K$4:$AJ$4,0))))+SUMPRODUCT((Inputs!$E$5:$E$160=$B39)*ISNUMBER(INDEX(Inputs!$K$5:$AJ$160,0,MATCH(AA$2,Inputs!$K$4:$AJ$4,0))))=0,NA(),SUMPRODUCT((Inputs!$A$5:$A$160=$B39)*Inputs!$B$5:$B$160*(((Inputs!$G$5:$G$160="moeda")+(Inputs!$G$5:$G$160="acoes"))*Inputs!$B$1+((Inputs!$G$5:$G$160&lt;&gt;"moeda")*(Inputs!$G$5:$G$160&lt;&gt;"acoes")))*INDEX(Inputs!$K$5:$AJ$160,0,MATCH(AA$2,Inputs!$K$4:$AJ$4,0)))+SUMPRODUCT((Inputs!$C$5:$C$160=$B39)*Inputs!$D$5:$D$160*(((Inputs!$G$5:$G$160="moeda")+(Inputs!$G$5:$G$160="acoes"))*Inputs!$B$1+((Inputs!$G$5:$G$160&lt;&gt;"moeda")*(Inputs!$G$5:$G$160&lt;&gt;"acoes")))*INDEX(Inputs!$K$5:$AJ$160,0,MATCH(AA$2,Inputs!$K$4:$AJ$4,0)))+SUMPRODUCT((Inputs!$E$5:$E$160=$B39)*Inputs!$F$5:$F$160*(((Inputs!$G$5:$G$160="moeda")+(Inputs!$G$5:$G$160="acoes"))*Inputs!$B$1+((Inputs!$G$5:$G$160&lt;&gt;"moeda")*(Inputs!$G$5:$G$160&lt;&gt;"acoes")))*INDEX(Inputs!$K$5:$AJ$160,0,MATCH(AA$2,Inputs!$K$4:$AJ$4,0)))))</f>
        <v>600.385</v>
      </c>
      <c r="AB39" s="3">
        <f>AA39</f>
        <v>600.385</v>
      </c>
      <c r="AC39" s="6">
        <f>IF(ISNA(MATCH(AC$2,Inputs!$K$4:$AJ$4,0)),NA(),IF(SUMPRODUCT((Inputs!$A$5:$A$160=$B39)*ISNUMBER(INDEX(Inputs!$K$5:$AJ$160,0,MATCH(AC$2,Inputs!$K$4:$AJ$4,0))))+SUMPRODUCT((Inputs!$C$5:$C$160=$B39)*ISNUMBER(INDEX(Inputs!$K$5:$AJ$160,0,MATCH(AC$2,Inputs!$K$4:$AJ$4,0))))+SUMPRODUCT((Inputs!$E$5:$E$160=$B39)*ISNUMBER(INDEX(Inputs!$K$5:$AJ$160,0,MATCH(AC$2,Inputs!$K$4:$AJ$4,0))))=0,NA(),SUMPRODUCT((Inputs!$A$5:$A$160=$B39)*Inputs!$B$5:$B$160*(((Inputs!$G$5:$G$160="moeda")+(Inputs!$G$5:$G$160="acoes"))*Inputs!$B$1+((Inputs!$G$5:$G$160&lt;&gt;"moeda")*(Inputs!$G$5:$G$160&lt;&gt;"acoes")))*INDEX(Inputs!$K$5:$AJ$160,0,MATCH(AC$2,Inputs!$K$4:$AJ$4,0)))+SUMPRODUCT((Inputs!$C$5:$C$160=$B39)*Inputs!$D$5:$D$160*(((Inputs!$G$5:$G$160="moeda")+(Inputs!$G$5:$G$160="acoes"))*Inputs!$B$1+((Inputs!$G$5:$G$160&lt;&gt;"moeda")*(Inputs!$G$5:$G$160&lt;&gt;"acoes")))*INDEX(Inputs!$K$5:$AJ$160,0,MATCH(AC$2,Inputs!$K$4:$AJ$4,0)))+SUMPRODUCT((Inputs!$E$5:$E$160=$B39)*Inputs!$F$5:$F$160*(((Inputs!$G$5:$G$160="moeda")+(Inputs!$G$5:$G$160="acoes"))*Inputs!$B$1+((Inputs!$G$5:$G$160&lt;&gt;"moeda")*(Inputs!$G$5:$G$160&lt;&gt;"acoes")))*INDEX(Inputs!$K$5:$AJ$160,0,MATCH(AC$2,Inputs!$K$4:$AJ$4,0)))))</f>
        <v>608.044</v>
      </c>
      <c r="AD39" s="6">
        <f>IF(ISNA(MATCH(AD$2,Inputs!$K$4:$AJ$4,0)),NA(),IF(SUMPRODUCT((Inputs!$A$5:$A$160=$B39)*ISNUMBER(INDEX(Inputs!$K$5:$AJ$160,0,MATCH(AD$2,Inputs!$K$4:$AJ$4,0))))+SUMPRODUCT((Inputs!$C$5:$C$160=$B39)*ISNUMBER(INDEX(Inputs!$K$5:$AJ$160,0,MATCH(AD$2,Inputs!$K$4:$AJ$4,0))))+SUMPRODUCT((Inputs!$E$5:$E$160=$B39)*ISNUMBER(INDEX(Inputs!$K$5:$AJ$160,0,MATCH(AD$2,Inputs!$K$4:$AJ$4,0))))=0,NA(),SUMPRODUCT((Inputs!$A$5:$A$160=$B39)*Inputs!$B$5:$B$160*(((Inputs!$G$5:$G$160="moeda")+(Inputs!$G$5:$G$160="acoes"))*Inputs!$B$1+((Inputs!$G$5:$G$160&lt;&gt;"moeda")*(Inputs!$G$5:$G$160&lt;&gt;"acoes")))*INDEX(Inputs!$K$5:$AJ$160,0,MATCH(AD$2,Inputs!$K$4:$AJ$4,0)))+SUMPRODUCT((Inputs!$C$5:$C$160=$B39)*Inputs!$D$5:$D$160*(((Inputs!$G$5:$G$160="moeda")+(Inputs!$G$5:$G$160="acoes"))*Inputs!$B$1+((Inputs!$G$5:$G$160&lt;&gt;"moeda")*(Inputs!$G$5:$G$160&lt;&gt;"acoes")))*INDEX(Inputs!$K$5:$AJ$160,0,MATCH(AD$2,Inputs!$K$4:$AJ$4,0)))+SUMPRODUCT((Inputs!$E$5:$E$160=$B39)*Inputs!$F$5:$F$160*(((Inputs!$G$5:$G$160="moeda")+(Inputs!$G$5:$G$160="acoes"))*Inputs!$B$1+((Inputs!$G$5:$G$160&lt;&gt;"moeda")*(Inputs!$G$5:$G$160&lt;&gt;"acoes")))*INDEX(Inputs!$K$5:$AJ$160,0,MATCH(AD$2,Inputs!$K$4:$AJ$4,0)))))</f>
        <v>583.892</v>
      </c>
      <c r="AE39" s="6" t="e">
        <f>IF(ISNA(MATCH(AE$2,Inputs!$K$4:$AJ$4,0)),NA(),IF(SUMPRODUCT((Inputs!$A$5:$A$160=$B39)*ISNUMBER(INDEX(Inputs!$K$5:$AJ$160,0,MATCH(AE$2,Inputs!$K$4:$AJ$4,0))))+SUMPRODUCT((Inputs!$C$5:$C$160=$B39)*ISNUMBER(INDEX(Inputs!$K$5:$AJ$160,0,MATCH(AE$2,Inputs!$K$4:$AJ$4,0))))+SUMPRODUCT((Inputs!$E$5:$E$160=$B39)*ISNUMBER(INDEX(Inputs!$K$5:$AJ$160,0,MATCH(AE$2,Inputs!$K$4:$AJ$4,0))))=0,NA(),SUMPRODUCT((Inputs!$A$5:$A$160=$B39)*Inputs!$B$5:$B$160*(((Inputs!$G$5:$G$160="moeda")+(Inputs!$G$5:$G$160="acoes"))*Inputs!$B$1+((Inputs!$G$5:$G$160&lt;&gt;"moeda")*(Inputs!$G$5:$G$160&lt;&gt;"acoes")))*INDEX(Inputs!$K$5:$AJ$160,0,MATCH(AE$2,Inputs!$K$4:$AJ$4,0)))+SUMPRODUCT((Inputs!$C$5:$C$160=$B39)*Inputs!$D$5:$D$160*(((Inputs!$G$5:$G$160="moeda")+(Inputs!$G$5:$G$160="acoes"))*Inputs!$B$1+((Inputs!$G$5:$G$160&lt;&gt;"moeda")*(Inputs!$G$5:$G$160&lt;&gt;"acoes")))*INDEX(Inputs!$K$5:$AJ$160,0,MATCH(AE$2,Inputs!$K$4:$AJ$4,0)))+SUMPRODUCT((Inputs!$E$5:$E$160=$B39)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39" s="6" t="e">
        <f>IF(ISNA(MATCH(AF$2,Inputs!$K$4:$AJ$4,0)),NA(),IF(SUMPRODUCT((Inputs!$A$5:$A$160=$B39)*ISNUMBER(INDEX(Inputs!$K$5:$AJ$160,0,MATCH(AF$2,Inputs!$K$4:$AJ$4,0))))+SUMPRODUCT((Inputs!$C$5:$C$160=$B39)*ISNUMBER(INDEX(Inputs!$K$5:$AJ$160,0,MATCH(AF$2,Inputs!$K$4:$AJ$4,0))))+SUMPRODUCT((Inputs!$E$5:$E$160=$B39)*ISNUMBER(INDEX(Inputs!$K$5:$AJ$160,0,MATCH(AF$2,Inputs!$K$4:$AJ$4,0))))=0,NA(),SUMPRODUCT((Inputs!$A$5:$A$160=$B39)*Inputs!$B$5:$B$160*(((Inputs!$G$5:$G$160="moeda")+(Inputs!$G$5:$G$160="acoes"))*Inputs!$B$1+((Inputs!$G$5:$G$160&lt;&gt;"moeda")*(Inputs!$G$5:$G$160&lt;&gt;"acoes")))*INDEX(Inputs!$K$5:$AJ$160,0,MATCH(AF$2,Inputs!$K$4:$AJ$4,0)))+SUMPRODUCT((Inputs!$C$5:$C$160=$B39)*Inputs!$D$5:$D$160*(((Inputs!$G$5:$G$160="moeda")+(Inputs!$G$5:$G$160="acoes"))*Inputs!$B$1+((Inputs!$G$5:$G$160&lt;&gt;"moeda")*(Inputs!$G$5:$G$160&lt;&gt;"acoes")))*INDEX(Inputs!$K$5:$AJ$160,0,MATCH(AF$2,Inputs!$K$4:$AJ$4,0)))+SUMPRODUCT((Inputs!$E$5:$E$160=$B39)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39" s="3" t="e">
        <f>AF39</f>
        <v>#N/A</v>
      </c>
      <c r="AH39" s="6">
        <f>IF(ISNA(MATCH(AH$2,Inputs!$K$4:$AJ$4,0)),NA(),IF(SUMPRODUCT((Inputs!$A$5:$A$160=$B39)*ISNUMBER(INDEX(Inputs!$K$5:$AJ$160,0,MATCH(AH$2,Inputs!$K$4:$AJ$4,0))))+SUMPRODUCT((Inputs!$C$5:$C$160=$B39)*ISNUMBER(INDEX(Inputs!$K$5:$AJ$160,0,MATCH(AH$2,Inputs!$K$4:$AJ$4,0))))+SUMPRODUCT((Inputs!$E$5:$E$160=$B39)*ISNUMBER(INDEX(Inputs!$K$5:$AJ$160,0,MATCH(AH$2,Inputs!$K$4:$AJ$4,0))))=0,NA(),SUMPRODUCT((Inputs!$A$5:$A$160=$B39)*Inputs!$B$5:$B$160*(((Inputs!$G$5:$G$160="moeda")+(Inputs!$G$5:$G$160="acoes"))*Inputs!$B$1+((Inputs!$G$5:$G$160&lt;&gt;"moeda")*(Inputs!$G$5:$G$160&lt;&gt;"acoes")))*INDEX(Inputs!$K$5:$AJ$160,0,MATCH(AH$2,Inputs!$K$4:$AJ$4,0)))+SUMPRODUCT((Inputs!$C$5:$C$160=$B39)*Inputs!$D$5:$D$160*(((Inputs!$G$5:$G$160="moeda")+(Inputs!$G$5:$G$160="acoes"))*Inputs!$B$1+((Inputs!$G$5:$G$160&lt;&gt;"moeda")*(Inputs!$G$5:$G$160&lt;&gt;"acoes")))*INDEX(Inputs!$K$5:$AJ$160,0,MATCH(AH$2,Inputs!$K$4:$AJ$4,0)))+SUMPRODUCT((Inputs!$E$5:$E$160=$B39)*Inputs!$F$5:$F$160*(((Inputs!$G$5:$G$160="moeda")+(Inputs!$G$5:$G$160="acoes"))*Inputs!$B$1+((Inputs!$G$5:$G$160&lt;&gt;"moeda")*(Inputs!$G$5:$G$160&lt;&gt;"acoes")))*INDEX(Inputs!$K$5:$AJ$160,0,MATCH(AH$2,Inputs!$K$4:$AJ$4,0)))))</f>
        <v>154.87342166</v>
      </c>
      <c r="AI39" s="6">
        <f>IF(ISNA(MATCH(AI$2,Inputs!$K$4:$AJ$4,0)),NA(),IF(SUMPRODUCT((Inputs!$A$5:$A$160=$B39)*ISNUMBER(INDEX(Inputs!$K$5:$AJ$160,0,MATCH(AI$2,Inputs!$K$4:$AJ$4,0))))+SUMPRODUCT((Inputs!$C$5:$C$160=$B39)*ISNUMBER(INDEX(Inputs!$K$5:$AJ$160,0,MATCH(AI$2,Inputs!$K$4:$AJ$4,0))))+SUMPRODUCT((Inputs!$E$5:$E$160=$B39)*ISNUMBER(INDEX(Inputs!$K$5:$AJ$160,0,MATCH(AI$2,Inputs!$K$4:$AJ$4,0))))=0,NA(),SUMPRODUCT((Inputs!$A$5:$A$160=$B39)*Inputs!$B$5:$B$160*(((Inputs!$G$5:$G$160="moeda")+(Inputs!$G$5:$G$160="acoes"))*Inputs!$B$1+((Inputs!$G$5:$G$160&lt;&gt;"moeda")*(Inputs!$G$5:$G$160&lt;&gt;"acoes")))*INDEX(Inputs!$K$5:$AJ$160,0,MATCH(AI$2,Inputs!$K$4:$AJ$4,0)))+SUMPRODUCT((Inputs!$C$5:$C$160=$B39)*Inputs!$D$5:$D$160*(((Inputs!$G$5:$G$160="moeda")+(Inputs!$G$5:$G$160="acoes"))*Inputs!$B$1+((Inputs!$G$5:$G$160&lt;&gt;"moeda")*(Inputs!$G$5:$G$160&lt;&gt;"acoes")))*INDEX(Inputs!$K$5:$AJ$160,0,MATCH(AI$2,Inputs!$K$4:$AJ$4,0)))+SUMPRODUCT((Inputs!$E$5:$E$160=$B39)*Inputs!$F$5:$F$160*(((Inputs!$G$5:$G$160="moeda")+(Inputs!$G$5:$G$160="acoes"))*Inputs!$B$1+((Inputs!$G$5:$G$160&lt;&gt;"moeda")*(Inputs!$G$5:$G$160&lt;&gt;"acoes")))*INDEX(Inputs!$K$5:$AJ$160,0,MATCH(AI$2,Inputs!$K$4:$AJ$4,0)))))</f>
        <v>149.60362893</v>
      </c>
      <c r="AJ39" s="6">
        <f>IF(ISNA(MATCH(AJ$2,Inputs!$K$4:$AJ$4,0)),NA(),IF(SUMPRODUCT((Inputs!$A$5:$A$160=$B39)*ISNUMBER(INDEX(Inputs!$K$5:$AJ$160,0,MATCH(AJ$2,Inputs!$K$4:$AJ$4,0))))+SUMPRODUCT((Inputs!$C$5:$C$160=$B39)*ISNUMBER(INDEX(Inputs!$K$5:$AJ$160,0,MATCH(AJ$2,Inputs!$K$4:$AJ$4,0))))+SUMPRODUCT((Inputs!$E$5:$E$160=$B39)*ISNUMBER(INDEX(Inputs!$K$5:$AJ$160,0,MATCH(AJ$2,Inputs!$K$4:$AJ$4,0))))=0,NA(),SUMPRODUCT((Inputs!$A$5:$A$160=$B39)*Inputs!$B$5:$B$160*(((Inputs!$G$5:$G$160="moeda")+(Inputs!$G$5:$G$160="acoes"))*Inputs!$B$1+((Inputs!$G$5:$G$160&lt;&gt;"moeda")*(Inputs!$G$5:$G$160&lt;&gt;"acoes")))*INDEX(Inputs!$K$5:$AJ$160,0,MATCH(AJ$2,Inputs!$K$4:$AJ$4,0)))+SUMPRODUCT((Inputs!$C$5:$C$160=$B39)*Inputs!$D$5:$D$160*(((Inputs!$G$5:$G$160="moeda")+(Inputs!$G$5:$G$160="acoes"))*Inputs!$B$1+((Inputs!$G$5:$G$160&lt;&gt;"moeda")*(Inputs!$G$5:$G$160&lt;&gt;"acoes")))*INDEX(Inputs!$K$5:$AJ$160,0,MATCH(AJ$2,Inputs!$K$4:$AJ$4,0)))+SUMPRODUCT((Inputs!$E$5:$E$160=$B39)*Inputs!$F$5:$F$160*(((Inputs!$G$5:$G$160="moeda")+(Inputs!$G$5:$G$160="acoes"))*Inputs!$B$1+((Inputs!$G$5:$G$160&lt;&gt;"moeda")*(Inputs!$G$5:$G$160&lt;&gt;"acoes")))*INDEX(Inputs!$K$5:$AJ$160,0,MATCH(AJ$2,Inputs!$K$4:$AJ$4,0)))))</f>
        <v>147.53818617</v>
      </c>
      <c r="AK39" s="6">
        <f>IF(ISNA(MATCH(AK$2,Inputs!$K$4:$AJ$4,0)),NA(),IF(SUMPRODUCT((Inputs!$A$5:$A$160=$B39)*ISNUMBER(INDEX(Inputs!$K$5:$AJ$160,0,MATCH(AK$2,Inputs!$K$4:$AJ$4,0))))+SUMPRODUCT((Inputs!$C$5:$C$160=$B39)*ISNUMBER(INDEX(Inputs!$K$5:$AJ$160,0,MATCH(AK$2,Inputs!$K$4:$AJ$4,0))))+SUMPRODUCT((Inputs!$E$5:$E$160=$B39)*ISNUMBER(INDEX(Inputs!$K$5:$AJ$160,0,MATCH(AK$2,Inputs!$K$4:$AJ$4,0))))=0,NA(),SUMPRODUCT((Inputs!$A$5:$A$160=$B39)*Inputs!$B$5:$B$160*(((Inputs!$G$5:$G$160="moeda")+(Inputs!$G$5:$G$160="acoes"))*Inputs!$B$1+((Inputs!$G$5:$G$160&lt;&gt;"moeda")*(Inputs!$G$5:$G$160&lt;&gt;"acoes")))*INDEX(Inputs!$K$5:$AJ$160,0,MATCH(AK$2,Inputs!$K$4:$AJ$4,0)))+SUMPRODUCT((Inputs!$C$5:$C$160=$B39)*Inputs!$D$5:$D$160*(((Inputs!$G$5:$G$160="moeda")+(Inputs!$G$5:$G$160="acoes"))*Inputs!$B$1+((Inputs!$G$5:$G$160&lt;&gt;"moeda")*(Inputs!$G$5:$G$160&lt;&gt;"acoes")))*INDEX(Inputs!$K$5:$AJ$160,0,MATCH(AK$2,Inputs!$K$4:$AJ$4,0)))+SUMPRODUCT((Inputs!$E$5:$E$160=$B39)*Inputs!$F$5:$F$160*(((Inputs!$G$5:$G$160="moeda")+(Inputs!$G$5:$G$160="acoes"))*Inputs!$B$1+((Inputs!$G$5:$G$160&lt;&gt;"moeda")*(Inputs!$G$5:$G$160&lt;&gt;"acoes")))*INDEX(Inputs!$K$5:$AJ$160,0,MATCH(AK$2,Inputs!$K$4:$AJ$4,0)))))</f>
        <v>145.71100568</v>
      </c>
      <c r="AL39" s="3">
        <f>AK39</f>
        <v>145.71100568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$160=$B41)*ISNUMBER(INDEX(Inputs!$K$5:$AJ$160,0,MATCH(D$2,Inputs!$K$4:$AJ$4,0))))+SUMPRODUCT((Inputs!$C$5:$C$160=$B41)*ISNUMBER(INDEX(Inputs!$K$5:$AJ$160,0,MATCH(D$2,Inputs!$K$4:$AJ$4,0))))+SUMPRODUCT((Inputs!$E$5:$E$160=$B41)*ISNUMBER(INDEX(Inputs!$K$5:$AJ$160,0,MATCH(D$2,Inputs!$K$4:$AJ$4,0))))=0,NA(),SUMPRODUCT((Inputs!$A$5:$A$160=$B41)*Inputs!$B$5:$B$160*(((Inputs!$G$5:$G$160="moeda")+(Inputs!$G$5:$G$160="acoes"))*Inputs!$B$1+((Inputs!$G$5:$G$160&lt;&gt;"moeda")*(Inputs!$G$5:$G$160&lt;&gt;"acoes")))*INDEX(Inputs!$K$5:$AJ$160,0,MATCH(D$2,Inputs!$K$4:$AJ$4,0)))+SUMPRODUCT((Inputs!$C$5:$C$160=$B41)*Inputs!$D$5:$D$160*(((Inputs!$G$5:$G$160="moeda")+(Inputs!$G$5:$G$160="acoes"))*Inputs!$B$1+((Inputs!$G$5:$G$160&lt;&gt;"moeda")*(Inputs!$G$5:$G$160&lt;&gt;"acoes")))*INDEX(Inputs!$K$5:$AJ$160,0,MATCH(D$2,Inputs!$K$4:$AJ$4,0)))+SUMPRODUCT((Inputs!$E$5:$E$160=$B41)*Inputs!$F$5:$F$160*(((Inputs!$G$5:$G$160="moeda")+(Inputs!$G$5:$G$160="acoes"))*Inputs!$B$1+((Inputs!$G$5:$G$160&lt;&gt;"moeda")*(Inputs!$G$5:$G$160&lt;&gt;"acoes")))*INDEX(Inputs!$K$5:$AJ$160,0,MATCH(D$2,Inputs!$K$4:$AJ$4,0)))))</f>
        <v>0</v>
      </c>
      <c r="E41" s="6">
        <f>IF(ISNA(MATCH(E$2,Inputs!$K$4:$AJ$4,0)),NA(),IF(SUMPRODUCT((Inputs!$A$5:$A$160=$B41)*ISNUMBER(INDEX(Inputs!$K$5:$AJ$160,0,MATCH(E$2,Inputs!$K$4:$AJ$4,0))))+SUMPRODUCT((Inputs!$C$5:$C$160=$B41)*ISNUMBER(INDEX(Inputs!$K$5:$AJ$160,0,MATCH(E$2,Inputs!$K$4:$AJ$4,0))))+SUMPRODUCT((Inputs!$E$5:$E$160=$B41)*ISNUMBER(INDEX(Inputs!$K$5:$AJ$160,0,MATCH(E$2,Inputs!$K$4:$AJ$4,0))))=0,NA(),SUMPRODUCT((Inputs!$A$5:$A$160=$B41)*Inputs!$B$5:$B$160*(((Inputs!$G$5:$G$160="moeda")+(Inputs!$G$5:$G$160="acoes"))*Inputs!$B$1+((Inputs!$G$5:$G$160&lt;&gt;"moeda")*(Inputs!$G$5:$G$160&lt;&gt;"acoes")))*INDEX(Inputs!$K$5:$AJ$160,0,MATCH(E$2,Inputs!$K$4:$AJ$4,0)))+SUMPRODUCT((Inputs!$C$5:$C$160=$B41)*Inputs!$D$5:$D$160*(((Inputs!$G$5:$G$160="moeda")+(Inputs!$G$5:$G$160="acoes"))*Inputs!$B$1+((Inputs!$G$5:$G$160&lt;&gt;"moeda")*(Inputs!$G$5:$G$160&lt;&gt;"acoes")))*INDEX(Inputs!$K$5:$AJ$160,0,MATCH(E$2,Inputs!$K$4:$AJ$4,0)))+SUMPRODUCT((Inputs!$E$5:$E$160=$B41)*Inputs!$F$5:$F$160*(((Inputs!$G$5:$G$160="moeda")+(Inputs!$G$5:$G$160="acoes"))*Inputs!$B$1+((Inputs!$G$5:$G$160&lt;&gt;"moeda")*(Inputs!$G$5:$G$160&lt;&gt;"acoes")))*INDEX(Inputs!$K$5:$AJ$160,0,MATCH(E$2,Inputs!$K$4:$AJ$4,0)))))</f>
        <v>1.33071621</v>
      </c>
      <c r="F41" s="6">
        <f>IF(ISNA(MATCH(F$2,Inputs!$K$4:$AJ$4,0)),NA(),IF(SUMPRODUCT((Inputs!$A$5:$A$160=$B41)*ISNUMBER(INDEX(Inputs!$K$5:$AJ$160,0,MATCH(F$2,Inputs!$K$4:$AJ$4,0))))+SUMPRODUCT((Inputs!$C$5:$C$160=$B41)*ISNUMBER(INDEX(Inputs!$K$5:$AJ$160,0,MATCH(F$2,Inputs!$K$4:$AJ$4,0))))+SUMPRODUCT((Inputs!$E$5:$E$160=$B41)*ISNUMBER(INDEX(Inputs!$K$5:$AJ$160,0,MATCH(F$2,Inputs!$K$4:$AJ$4,0))))=0,NA(),SUMPRODUCT((Inputs!$A$5:$A$160=$B41)*Inputs!$B$5:$B$160*(((Inputs!$G$5:$G$160="moeda")+(Inputs!$G$5:$G$160="acoes"))*Inputs!$B$1+((Inputs!$G$5:$G$160&lt;&gt;"moeda")*(Inputs!$G$5:$G$160&lt;&gt;"acoes")))*INDEX(Inputs!$K$5:$AJ$160,0,MATCH(F$2,Inputs!$K$4:$AJ$4,0)))+SUMPRODUCT((Inputs!$C$5:$C$160=$B41)*Inputs!$D$5:$D$160*(((Inputs!$G$5:$G$160="moeda")+(Inputs!$G$5:$G$160="acoes"))*Inputs!$B$1+((Inputs!$G$5:$G$160&lt;&gt;"moeda")*(Inputs!$G$5:$G$160&lt;&gt;"acoes")))*INDEX(Inputs!$K$5:$AJ$160,0,MATCH(F$2,Inputs!$K$4:$AJ$4,0)))+SUMPRODUCT((Inputs!$E$5:$E$160=$B41)*Inputs!$F$5:$F$160*(((Inputs!$G$5:$G$160="moeda")+(Inputs!$G$5:$G$160="acoes"))*Inputs!$B$1+((Inputs!$G$5:$G$160&lt;&gt;"moeda")*(Inputs!$G$5:$G$160&lt;&gt;"acoes")))*INDEX(Inputs!$K$5:$AJ$160,0,MATCH(F$2,Inputs!$K$4:$AJ$4,0)))))</f>
        <v>2.803541769555</v>
      </c>
      <c r="G41" s="6">
        <f>IF(ISNA(MATCH(G$2,Inputs!$K$4:$AJ$4,0)),NA(),IF(SUMPRODUCT((Inputs!$A$5:$A$160=$B41)*ISNUMBER(INDEX(Inputs!$K$5:$AJ$160,0,MATCH(G$2,Inputs!$K$4:$AJ$4,0))))+SUMPRODUCT((Inputs!$C$5:$C$160=$B41)*ISNUMBER(INDEX(Inputs!$K$5:$AJ$160,0,MATCH(G$2,Inputs!$K$4:$AJ$4,0))))+SUMPRODUCT((Inputs!$E$5:$E$160=$B41)*ISNUMBER(INDEX(Inputs!$K$5:$AJ$160,0,MATCH(G$2,Inputs!$K$4:$AJ$4,0))))=0,NA(),SUMPRODUCT((Inputs!$A$5:$A$160=$B41)*Inputs!$B$5:$B$160*(((Inputs!$G$5:$G$160="moeda")+(Inputs!$G$5:$G$160="acoes"))*Inputs!$B$1+((Inputs!$G$5:$G$160&lt;&gt;"moeda")*(Inputs!$G$5:$G$160&lt;&gt;"acoes")))*INDEX(Inputs!$K$5:$AJ$160,0,MATCH(G$2,Inputs!$K$4:$AJ$4,0)))+SUMPRODUCT((Inputs!$C$5:$C$160=$B41)*Inputs!$D$5:$D$160*(((Inputs!$G$5:$G$160="moeda")+(Inputs!$G$5:$G$160="acoes"))*Inputs!$B$1+((Inputs!$G$5:$G$160&lt;&gt;"moeda")*(Inputs!$G$5:$G$160&lt;&gt;"acoes")))*INDEX(Inputs!$K$5:$AJ$160,0,MATCH(G$2,Inputs!$K$4:$AJ$4,0)))+SUMPRODUCT((Inputs!$E$5:$E$160=$B41)*Inputs!$F$5:$F$160*(((Inputs!$G$5:$G$160="moeda")+(Inputs!$G$5:$G$160="acoes"))*Inputs!$B$1+((Inputs!$G$5:$G$160&lt;&gt;"moeda")*(Inputs!$G$5:$G$160&lt;&gt;"acoes")))*INDEX(Inputs!$K$5:$AJ$160,0,MATCH(G$2,Inputs!$K$4:$AJ$4,0)))))</f>
        <v>9.19917964485728</v>
      </c>
      <c r="H41" s="3">
        <f>G41</f>
        <v>9.19917964485728</v>
      </c>
      <c r="I41" s="6">
        <f>IF(ISNA(MATCH(I$2,Inputs!$K$4:$AJ$4,0)),NA(),IF(SUMPRODUCT((Inputs!$A$5:$A$160=$B41)*ISNUMBER(INDEX(Inputs!$K$5:$AJ$160,0,MATCH(I$2,Inputs!$K$4:$AJ$4,0))))+SUMPRODUCT((Inputs!$C$5:$C$160=$B41)*ISNUMBER(INDEX(Inputs!$K$5:$AJ$160,0,MATCH(I$2,Inputs!$K$4:$AJ$4,0))))+SUMPRODUCT((Inputs!$E$5:$E$160=$B41)*ISNUMBER(INDEX(Inputs!$K$5:$AJ$160,0,MATCH(I$2,Inputs!$K$4:$AJ$4,0))))=0,NA(),SUMPRODUCT((Inputs!$A$5:$A$160=$B41)*Inputs!$B$5:$B$160*(((Inputs!$G$5:$G$160="moeda")+(Inputs!$G$5:$G$160="acoes"))*Inputs!$B$1+((Inputs!$G$5:$G$160&lt;&gt;"moeda")*(Inputs!$G$5:$G$160&lt;&gt;"acoes")))*INDEX(Inputs!$K$5:$AJ$160,0,MATCH(I$2,Inputs!$K$4:$AJ$4,0)))+SUMPRODUCT((Inputs!$C$5:$C$160=$B41)*Inputs!$D$5:$D$160*(((Inputs!$G$5:$G$160="moeda")+(Inputs!$G$5:$G$160="acoes"))*Inputs!$B$1+((Inputs!$G$5:$G$160&lt;&gt;"moeda")*(Inputs!$G$5:$G$160&lt;&gt;"acoes")))*INDEX(Inputs!$K$5:$AJ$160,0,MATCH(I$2,Inputs!$K$4:$AJ$4,0)))+SUMPRODUCT((Inputs!$E$5:$E$160=$B41)*Inputs!$F$5:$F$160*(((Inputs!$G$5:$G$160="moeda")+(Inputs!$G$5:$G$160="acoes"))*Inputs!$B$1+((Inputs!$G$5:$G$160&lt;&gt;"moeda")*(Inputs!$G$5:$G$160&lt;&gt;"acoes")))*INDEX(Inputs!$K$5:$AJ$160,0,MATCH(I$2,Inputs!$K$4:$AJ$4,0)))))</f>
        <v>9.99071729730728</v>
      </c>
      <c r="J41" s="6">
        <f>IF(ISNA(MATCH(J$2,Inputs!$K$4:$AJ$4,0)),NA(),IF(SUMPRODUCT((Inputs!$A$5:$A$160=$B41)*ISNUMBER(INDEX(Inputs!$K$5:$AJ$160,0,MATCH(J$2,Inputs!$K$4:$AJ$4,0))))+SUMPRODUCT((Inputs!$C$5:$C$160=$B41)*ISNUMBER(INDEX(Inputs!$K$5:$AJ$160,0,MATCH(J$2,Inputs!$K$4:$AJ$4,0))))+SUMPRODUCT((Inputs!$E$5:$E$160=$B41)*ISNUMBER(INDEX(Inputs!$K$5:$AJ$160,0,MATCH(J$2,Inputs!$K$4:$AJ$4,0))))=0,NA(),SUMPRODUCT((Inputs!$A$5:$A$160=$B41)*Inputs!$B$5:$B$160*(((Inputs!$G$5:$G$160="moeda")+(Inputs!$G$5:$G$160="acoes"))*Inputs!$B$1+((Inputs!$G$5:$G$160&lt;&gt;"moeda")*(Inputs!$G$5:$G$160&lt;&gt;"acoes")))*INDEX(Inputs!$K$5:$AJ$160,0,MATCH(J$2,Inputs!$K$4:$AJ$4,0)))+SUMPRODUCT((Inputs!$C$5:$C$160=$B41)*Inputs!$D$5:$D$160*(((Inputs!$G$5:$G$160="moeda")+(Inputs!$G$5:$G$160="acoes"))*Inputs!$B$1+((Inputs!$G$5:$G$160&lt;&gt;"moeda")*(Inputs!$G$5:$G$160&lt;&gt;"acoes")))*INDEX(Inputs!$K$5:$AJ$160,0,MATCH(J$2,Inputs!$K$4:$AJ$4,0)))+SUMPRODUCT((Inputs!$E$5:$E$160=$B41)*Inputs!$F$5:$F$160*(((Inputs!$G$5:$G$160="moeda")+(Inputs!$G$5:$G$160="acoes"))*Inputs!$B$1+((Inputs!$G$5:$G$160&lt;&gt;"moeda")*(Inputs!$G$5:$G$160&lt;&gt;"acoes")))*INDEX(Inputs!$K$5:$AJ$160,0,MATCH(J$2,Inputs!$K$4:$AJ$4,0)))))</f>
        <v>11.70036526</v>
      </c>
      <c r="K41" s="6">
        <f>IF(ISNA(MATCH(K$2,Inputs!$K$4:$AJ$4,0)),NA(),IF(SUMPRODUCT((Inputs!$A$5:$A$160=$B41)*ISNUMBER(INDEX(Inputs!$K$5:$AJ$160,0,MATCH(K$2,Inputs!$K$4:$AJ$4,0))))+SUMPRODUCT((Inputs!$C$5:$C$160=$B41)*ISNUMBER(INDEX(Inputs!$K$5:$AJ$160,0,MATCH(K$2,Inputs!$K$4:$AJ$4,0))))+SUMPRODUCT((Inputs!$E$5:$E$160=$B41)*ISNUMBER(INDEX(Inputs!$K$5:$AJ$160,0,MATCH(K$2,Inputs!$K$4:$AJ$4,0))))=0,NA(),SUMPRODUCT((Inputs!$A$5:$A$160=$B41)*Inputs!$B$5:$B$160*(((Inputs!$G$5:$G$160="moeda")+(Inputs!$G$5:$G$160="acoes"))*Inputs!$B$1+((Inputs!$G$5:$G$160&lt;&gt;"moeda")*(Inputs!$G$5:$G$160&lt;&gt;"acoes")))*INDEX(Inputs!$K$5:$AJ$160,0,MATCH(K$2,Inputs!$K$4:$AJ$4,0)))+SUMPRODUCT((Inputs!$C$5:$C$160=$B41)*Inputs!$D$5:$D$160*(((Inputs!$G$5:$G$160="moeda")+(Inputs!$G$5:$G$160="acoes"))*Inputs!$B$1+((Inputs!$G$5:$G$160&lt;&gt;"moeda")*(Inputs!$G$5:$G$160&lt;&gt;"acoes")))*INDEX(Inputs!$K$5:$AJ$160,0,MATCH(K$2,Inputs!$K$4:$AJ$4,0)))+SUMPRODUCT((Inputs!$E$5:$E$160=$B41)*Inputs!$F$5:$F$160*(((Inputs!$G$5:$G$160="moeda")+(Inputs!$G$5:$G$160="acoes"))*Inputs!$B$1+((Inputs!$G$5:$G$160&lt;&gt;"moeda")*(Inputs!$G$5:$G$160&lt;&gt;"acoes")))*INDEX(Inputs!$K$5:$AJ$160,0,MATCH(K$2,Inputs!$K$4:$AJ$4,0)))))</f>
        <v>16.59030887</v>
      </c>
      <c r="L41" s="6">
        <f>IF(ISNA(MATCH(L$2,Inputs!$K$4:$AJ$4,0)),NA(),IF(SUMPRODUCT((Inputs!$A$5:$A$160=$B41)*ISNUMBER(INDEX(Inputs!$K$5:$AJ$160,0,MATCH(L$2,Inputs!$K$4:$AJ$4,0))))+SUMPRODUCT((Inputs!$C$5:$C$160=$B41)*ISNUMBER(INDEX(Inputs!$K$5:$AJ$160,0,MATCH(L$2,Inputs!$K$4:$AJ$4,0))))+SUMPRODUCT((Inputs!$E$5:$E$160=$B41)*ISNUMBER(INDEX(Inputs!$K$5:$AJ$160,0,MATCH(L$2,Inputs!$K$4:$AJ$4,0))))=0,NA(),SUMPRODUCT((Inputs!$A$5:$A$160=$B41)*Inputs!$B$5:$B$160*(((Inputs!$G$5:$G$160="moeda")+(Inputs!$G$5:$G$160="acoes"))*Inputs!$B$1+((Inputs!$G$5:$G$160&lt;&gt;"moeda")*(Inputs!$G$5:$G$160&lt;&gt;"acoes")))*INDEX(Inputs!$K$5:$AJ$160,0,MATCH(L$2,Inputs!$K$4:$AJ$4,0)))+SUMPRODUCT((Inputs!$C$5:$C$160=$B41)*Inputs!$D$5:$D$160*(((Inputs!$G$5:$G$160="moeda")+(Inputs!$G$5:$G$160="acoes"))*Inputs!$B$1+((Inputs!$G$5:$G$160&lt;&gt;"moeda")*(Inputs!$G$5:$G$160&lt;&gt;"acoes")))*INDEX(Inputs!$K$5:$AJ$160,0,MATCH(L$2,Inputs!$K$4:$AJ$4,0)))+SUMPRODUCT((Inputs!$E$5:$E$160=$B41)*Inputs!$F$5:$F$160*(((Inputs!$G$5:$G$160="moeda")+(Inputs!$G$5:$G$160="acoes"))*Inputs!$B$1+((Inputs!$G$5:$G$160&lt;&gt;"moeda")*(Inputs!$G$5:$G$160&lt;&gt;"acoes")))*INDEX(Inputs!$K$5:$AJ$160,0,MATCH(L$2,Inputs!$K$4:$AJ$4,0)))))</f>
        <v>19.548874</v>
      </c>
      <c r="M41" s="3">
        <f>L41</f>
        <v>19.548874</v>
      </c>
      <c r="N41" s="6">
        <f>IF(ISNA(MATCH(N$2,Inputs!$K$4:$AJ$4,0)),NA(),IF(SUMPRODUCT((Inputs!$A$5:$A$160=$B41)*ISNUMBER(INDEX(Inputs!$K$5:$AJ$160,0,MATCH(N$2,Inputs!$K$4:$AJ$4,0))))+SUMPRODUCT((Inputs!$C$5:$C$160=$B41)*ISNUMBER(INDEX(Inputs!$K$5:$AJ$160,0,MATCH(N$2,Inputs!$K$4:$AJ$4,0))))+SUMPRODUCT((Inputs!$E$5:$E$160=$B41)*ISNUMBER(INDEX(Inputs!$K$5:$AJ$160,0,MATCH(N$2,Inputs!$K$4:$AJ$4,0))))=0,NA(),SUMPRODUCT((Inputs!$A$5:$A$160=$B41)*Inputs!$B$5:$B$160*(((Inputs!$G$5:$G$160="moeda")+(Inputs!$G$5:$G$160="acoes"))*Inputs!$B$1+((Inputs!$G$5:$G$160&lt;&gt;"moeda")*(Inputs!$G$5:$G$160&lt;&gt;"acoes")))*INDEX(Inputs!$K$5:$AJ$160,0,MATCH(N$2,Inputs!$K$4:$AJ$4,0)))+SUMPRODUCT((Inputs!$C$5:$C$160=$B41)*Inputs!$D$5:$D$160*(((Inputs!$G$5:$G$160="moeda")+(Inputs!$G$5:$G$160="acoes"))*Inputs!$B$1+((Inputs!$G$5:$G$160&lt;&gt;"moeda")*(Inputs!$G$5:$G$160&lt;&gt;"acoes")))*INDEX(Inputs!$K$5:$AJ$160,0,MATCH(N$2,Inputs!$K$4:$AJ$4,0)))+SUMPRODUCT((Inputs!$E$5:$E$160=$B41)*Inputs!$F$5:$F$160*(((Inputs!$G$5:$G$160="moeda")+(Inputs!$G$5:$G$160="acoes"))*Inputs!$B$1+((Inputs!$G$5:$G$160&lt;&gt;"moeda")*(Inputs!$G$5:$G$160&lt;&gt;"acoes")))*INDEX(Inputs!$K$5:$AJ$160,0,MATCH(N$2,Inputs!$K$4:$AJ$4,0)))))</f>
        <v>22.120863</v>
      </c>
      <c r="O41" s="6">
        <f>IF(ISNA(MATCH(O$2,Inputs!$K$4:$AJ$4,0)),NA(),IF(SUMPRODUCT((Inputs!$A$5:$A$160=$B41)*ISNUMBER(INDEX(Inputs!$K$5:$AJ$160,0,MATCH(O$2,Inputs!$K$4:$AJ$4,0))))+SUMPRODUCT((Inputs!$C$5:$C$160=$B41)*ISNUMBER(INDEX(Inputs!$K$5:$AJ$160,0,MATCH(O$2,Inputs!$K$4:$AJ$4,0))))+SUMPRODUCT((Inputs!$E$5:$E$160=$B41)*ISNUMBER(INDEX(Inputs!$K$5:$AJ$160,0,MATCH(O$2,Inputs!$K$4:$AJ$4,0))))=0,NA(),SUMPRODUCT((Inputs!$A$5:$A$160=$B41)*Inputs!$B$5:$B$160*(((Inputs!$G$5:$G$160="moeda")+(Inputs!$G$5:$G$160="acoes"))*Inputs!$B$1+((Inputs!$G$5:$G$160&lt;&gt;"moeda")*(Inputs!$G$5:$G$160&lt;&gt;"acoes")))*INDEX(Inputs!$K$5:$AJ$160,0,MATCH(O$2,Inputs!$K$4:$AJ$4,0)))+SUMPRODUCT((Inputs!$C$5:$C$160=$B41)*Inputs!$D$5:$D$160*(((Inputs!$G$5:$G$160="moeda")+(Inputs!$G$5:$G$160="acoes"))*Inputs!$B$1+((Inputs!$G$5:$G$160&lt;&gt;"moeda")*(Inputs!$G$5:$G$160&lt;&gt;"acoes")))*INDEX(Inputs!$K$5:$AJ$160,0,MATCH(O$2,Inputs!$K$4:$AJ$4,0)))+SUMPRODUCT((Inputs!$E$5:$E$160=$B41)*Inputs!$F$5:$F$160*(((Inputs!$G$5:$G$160="moeda")+(Inputs!$G$5:$G$160="acoes"))*Inputs!$B$1+((Inputs!$G$5:$G$160&lt;&gt;"moeda")*(Inputs!$G$5:$G$160&lt;&gt;"acoes")))*INDEX(Inputs!$K$5:$AJ$160,0,MATCH(O$2,Inputs!$K$4:$AJ$4,0)))))</f>
        <v>13.204</v>
      </c>
      <c r="P41" s="6">
        <f>IF(ISNA(MATCH(P$2,Inputs!$K$4:$AJ$4,0)),NA(),IF(SUMPRODUCT((Inputs!$A$5:$A$160=$B41)*ISNUMBER(INDEX(Inputs!$K$5:$AJ$160,0,MATCH(P$2,Inputs!$K$4:$AJ$4,0))))+SUMPRODUCT((Inputs!$C$5:$C$160=$B41)*ISNUMBER(INDEX(Inputs!$K$5:$AJ$160,0,MATCH(P$2,Inputs!$K$4:$AJ$4,0))))+SUMPRODUCT((Inputs!$E$5:$E$160=$B41)*ISNUMBER(INDEX(Inputs!$K$5:$AJ$160,0,MATCH(P$2,Inputs!$K$4:$AJ$4,0))))=0,NA(),SUMPRODUCT((Inputs!$A$5:$A$160=$B41)*Inputs!$B$5:$B$160*(((Inputs!$G$5:$G$160="moeda")+(Inputs!$G$5:$G$160="acoes"))*Inputs!$B$1+((Inputs!$G$5:$G$160&lt;&gt;"moeda")*(Inputs!$G$5:$G$160&lt;&gt;"acoes")))*INDEX(Inputs!$K$5:$AJ$160,0,MATCH(P$2,Inputs!$K$4:$AJ$4,0)))+SUMPRODUCT((Inputs!$C$5:$C$160=$B41)*Inputs!$D$5:$D$160*(((Inputs!$G$5:$G$160="moeda")+(Inputs!$G$5:$G$160="acoes"))*Inputs!$B$1+((Inputs!$G$5:$G$160&lt;&gt;"moeda")*(Inputs!$G$5:$G$160&lt;&gt;"acoes")))*INDEX(Inputs!$K$5:$AJ$160,0,MATCH(P$2,Inputs!$K$4:$AJ$4,0)))+SUMPRODUCT((Inputs!$E$5:$E$160=$B41)*Inputs!$F$5:$F$160*(((Inputs!$G$5:$G$160="moeda")+(Inputs!$G$5:$G$160="acoes"))*Inputs!$B$1+((Inputs!$G$5:$G$160&lt;&gt;"moeda")*(Inputs!$G$5:$G$160&lt;&gt;"acoes")))*INDEX(Inputs!$K$5:$AJ$160,0,MATCH(P$2,Inputs!$K$4:$AJ$4,0)))))</f>
        <v>14.811</v>
      </c>
      <c r="Q41" s="6">
        <f>IF(ISNA(MATCH(Q$2,Inputs!$K$4:$AJ$4,0)),NA(),IF(SUMPRODUCT((Inputs!$A$5:$A$160=$B41)*ISNUMBER(INDEX(Inputs!$K$5:$AJ$160,0,MATCH(Q$2,Inputs!$K$4:$AJ$4,0))))+SUMPRODUCT((Inputs!$C$5:$C$160=$B41)*ISNUMBER(INDEX(Inputs!$K$5:$AJ$160,0,MATCH(Q$2,Inputs!$K$4:$AJ$4,0))))+SUMPRODUCT((Inputs!$E$5:$E$160=$B41)*ISNUMBER(INDEX(Inputs!$K$5:$AJ$160,0,MATCH(Q$2,Inputs!$K$4:$AJ$4,0))))=0,NA(),SUMPRODUCT((Inputs!$A$5:$A$160=$B41)*Inputs!$B$5:$B$160*(((Inputs!$G$5:$G$160="moeda")+(Inputs!$G$5:$G$160="acoes"))*Inputs!$B$1+((Inputs!$G$5:$G$160&lt;&gt;"moeda")*(Inputs!$G$5:$G$160&lt;&gt;"acoes")))*INDEX(Inputs!$K$5:$AJ$160,0,MATCH(Q$2,Inputs!$K$4:$AJ$4,0)))+SUMPRODUCT((Inputs!$C$5:$C$160=$B41)*Inputs!$D$5:$D$160*(((Inputs!$G$5:$G$160="moeda")+(Inputs!$G$5:$G$160="acoes"))*Inputs!$B$1+((Inputs!$G$5:$G$160&lt;&gt;"moeda")*(Inputs!$G$5:$G$160&lt;&gt;"acoes")))*INDEX(Inputs!$K$5:$AJ$160,0,MATCH(Q$2,Inputs!$K$4:$AJ$4,0)))+SUMPRODUCT((Inputs!$E$5:$E$160=$B41)*Inputs!$F$5:$F$160*(((Inputs!$G$5:$G$160="moeda")+(Inputs!$G$5:$G$160="acoes"))*Inputs!$B$1+((Inputs!$G$5:$G$160&lt;&gt;"moeda")*(Inputs!$G$5:$G$160&lt;&gt;"acoes")))*INDEX(Inputs!$K$5:$AJ$160,0,MATCH(Q$2,Inputs!$K$4:$AJ$4,0)))))</f>
        <v>27.619</v>
      </c>
      <c r="R41" s="3">
        <f>Q41</f>
        <v>27.619</v>
      </c>
      <c r="S41" s="6">
        <f>IF(ISNA(MATCH(S$2,Inputs!$K$4:$AJ$4,0)),NA(),IF(SUMPRODUCT((Inputs!$A$5:$A$160=$B41)*ISNUMBER(INDEX(Inputs!$K$5:$AJ$160,0,MATCH(S$2,Inputs!$K$4:$AJ$4,0))))+SUMPRODUCT((Inputs!$C$5:$C$160=$B41)*ISNUMBER(INDEX(Inputs!$K$5:$AJ$160,0,MATCH(S$2,Inputs!$K$4:$AJ$4,0))))+SUMPRODUCT((Inputs!$E$5:$E$160=$B41)*ISNUMBER(INDEX(Inputs!$K$5:$AJ$160,0,MATCH(S$2,Inputs!$K$4:$AJ$4,0))))=0,NA(),SUMPRODUCT((Inputs!$A$5:$A$160=$B41)*Inputs!$B$5:$B$160*(((Inputs!$G$5:$G$160="moeda")+(Inputs!$G$5:$G$160="acoes"))*Inputs!$B$1+((Inputs!$G$5:$G$160&lt;&gt;"moeda")*(Inputs!$G$5:$G$160&lt;&gt;"acoes")))*INDEX(Inputs!$K$5:$AJ$160,0,MATCH(S$2,Inputs!$K$4:$AJ$4,0)))+SUMPRODUCT((Inputs!$C$5:$C$160=$B41)*Inputs!$D$5:$D$160*(((Inputs!$G$5:$G$160="moeda")+(Inputs!$G$5:$G$160="acoes"))*Inputs!$B$1+((Inputs!$G$5:$G$160&lt;&gt;"moeda")*(Inputs!$G$5:$G$160&lt;&gt;"acoes")))*INDEX(Inputs!$K$5:$AJ$160,0,MATCH(S$2,Inputs!$K$4:$AJ$4,0)))+SUMPRODUCT((Inputs!$E$5:$E$160=$B41)*Inputs!$F$5:$F$160*(((Inputs!$G$5:$G$160="moeda")+(Inputs!$G$5:$G$160="acoes"))*Inputs!$B$1+((Inputs!$G$5:$G$160&lt;&gt;"moeda")*(Inputs!$G$5:$G$160&lt;&gt;"acoes")))*INDEX(Inputs!$K$5:$AJ$160,0,MATCH(S$2,Inputs!$K$4:$AJ$4,0)))))</f>
        <v>29.501955374137</v>
      </c>
      <c r="T41" s="6">
        <f>IF(ISNA(MATCH(T$2,Inputs!$K$4:$AJ$4,0)),NA(),IF(SUMPRODUCT((Inputs!$A$5:$A$160=$B41)*ISNUMBER(INDEX(Inputs!$K$5:$AJ$160,0,MATCH(T$2,Inputs!$K$4:$AJ$4,0))))+SUMPRODUCT((Inputs!$C$5:$C$160=$B41)*ISNUMBER(INDEX(Inputs!$K$5:$AJ$160,0,MATCH(T$2,Inputs!$K$4:$AJ$4,0))))+SUMPRODUCT((Inputs!$E$5:$E$160=$B41)*ISNUMBER(INDEX(Inputs!$K$5:$AJ$160,0,MATCH(T$2,Inputs!$K$4:$AJ$4,0))))=0,NA(),SUMPRODUCT((Inputs!$A$5:$A$160=$B41)*Inputs!$B$5:$B$160*(((Inputs!$G$5:$G$160="moeda")+(Inputs!$G$5:$G$160="acoes"))*Inputs!$B$1+((Inputs!$G$5:$G$160&lt;&gt;"moeda")*(Inputs!$G$5:$G$160&lt;&gt;"acoes")))*INDEX(Inputs!$K$5:$AJ$160,0,MATCH(T$2,Inputs!$K$4:$AJ$4,0)))+SUMPRODUCT((Inputs!$C$5:$C$160=$B41)*Inputs!$D$5:$D$160*(((Inputs!$G$5:$G$160="moeda")+(Inputs!$G$5:$G$160="acoes"))*Inputs!$B$1+((Inputs!$G$5:$G$160&lt;&gt;"moeda")*(Inputs!$G$5:$G$160&lt;&gt;"acoes")))*INDEX(Inputs!$K$5:$AJ$160,0,MATCH(T$2,Inputs!$K$4:$AJ$4,0)))+SUMPRODUCT((Inputs!$E$5:$E$160=$B41)*Inputs!$F$5:$F$160*(((Inputs!$G$5:$G$160="moeda")+(Inputs!$G$5:$G$160="acoes"))*Inputs!$B$1+((Inputs!$G$5:$G$160&lt;&gt;"moeda")*(Inputs!$G$5:$G$160&lt;&gt;"acoes")))*INDEX(Inputs!$K$5:$AJ$160,0,MATCH(T$2,Inputs!$K$4:$AJ$4,0)))))</f>
        <v>74.196880127518</v>
      </c>
      <c r="U41" s="6">
        <f>IF(ISNA(MATCH(U$2,Inputs!$K$4:$AJ$4,0)),NA(),IF(SUMPRODUCT((Inputs!$A$5:$A$160=$B41)*ISNUMBER(INDEX(Inputs!$K$5:$AJ$160,0,MATCH(U$2,Inputs!$K$4:$AJ$4,0))))+SUMPRODUCT((Inputs!$C$5:$C$160=$B41)*ISNUMBER(INDEX(Inputs!$K$5:$AJ$160,0,MATCH(U$2,Inputs!$K$4:$AJ$4,0))))+SUMPRODUCT((Inputs!$E$5:$E$160=$B41)*ISNUMBER(INDEX(Inputs!$K$5:$AJ$160,0,MATCH(U$2,Inputs!$K$4:$AJ$4,0))))=0,NA(),SUMPRODUCT((Inputs!$A$5:$A$160=$B41)*Inputs!$B$5:$B$160*(((Inputs!$G$5:$G$160="moeda")+(Inputs!$G$5:$G$160="acoes"))*Inputs!$B$1+((Inputs!$G$5:$G$160&lt;&gt;"moeda")*(Inputs!$G$5:$G$160&lt;&gt;"acoes")))*INDEX(Inputs!$K$5:$AJ$160,0,MATCH(U$2,Inputs!$K$4:$AJ$4,0)))+SUMPRODUCT((Inputs!$C$5:$C$160=$B41)*Inputs!$D$5:$D$160*(((Inputs!$G$5:$G$160="moeda")+(Inputs!$G$5:$G$160="acoes"))*Inputs!$B$1+((Inputs!$G$5:$G$160&lt;&gt;"moeda")*(Inputs!$G$5:$G$160&lt;&gt;"acoes")))*INDEX(Inputs!$K$5:$AJ$160,0,MATCH(U$2,Inputs!$K$4:$AJ$4,0)))+SUMPRODUCT((Inputs!$E$5:$E$160=$B41)*Inputs!$F$5:$F$160*(((Inputs!$G$5:$G$160="moeda")+(Inputs!$G$5:$G$160="acoes"))*Inputs!$B$1+((Inputs!$G$5:$G$160&lt;&gt;"moeda")*(Inputs!$G$5:$G$160&lt;&gt;"acoes")))*INDEX(Inputs!$K$5:$AJ$160,0,MATCH(U$2,Inputs!$K$4:$AJ$4,0)))))</f>
        <v>85.252</v>
      </c>
      <c r="V41" s="6">
        <f>IF(ISNA(MATCH(V$2,Inputs!$K$4:$AJ$4,0)),NA(),IF(SUMPRODUCT((Inputs!$A$5:$A$160=$B41)*ISNUMBER(INDEX(Inputs!$K$5:$AJ$160,0,MATCH(V$2,Inputs!$K$4:$AJ$4,0))))+SUMPRODUCT((Inputs!$C$5:$C$160=$B41)*ISNUMBER(INDEX(Inputs!$K$5:$AJ$160,0,MATCH(V$2,Inputs!$K$4:$AJ$4,0))))+SUMPRODUCT((Inputs!$E$5:$E$160=$B41)*ISNUMBER(INDEX(Inputs!$K$5:$AJ$160,0,MATCH(V$2,Inputs!$K$4:$AJ$4,0))))=0,NA(),SUMPRODUCT((Inputs!$A$5:$A$160=$B41)*Inputs!$B$5:$B$160*(((Inputs!$G$5:$G$160="moeda")+(Inputs!$G$5:$G$160="acoes"))*Inputs!$B$1+((Inputs!$G$5:$G$160&lt;&gt;"moeda")*(Inputs!$G$5:$G$160&lt;&gt;"acoes")))*INDEX(Inputs!$K$5:$AJ$160,0,MATCH(V$2,Inputs!$K$4:$AJ$4,0)))+SUMPRODUCT((Inputs!$C$5:$C$160=$B41)*Inputs!$D$5:$D$160*(((Inputs!$G$5:$G$160="moeda")+(Inputs!$G$5:$G$160="acoes"))*Inputs!$B$1+((Inputs!$G$5:$G$160&lt;&gt;"moeda")*(Inputs!$G$5:$G$160&lt;&gt;"acoes")))*INDEX(Inputs!$K$5:$AJ$160,0,MATCH(V$2,Inputs!$K$4:$AJ$4,0)))+SUMPRODUCT((Inputs!$E$5:$E$160=$B41)*Inputs!$F$5:$F$160*(((Inputs!$G$5:$G$160="moeda")+(Inputs!$G$5:$G$160="acoes"))*Inputs!$B$1+((Inputs!$G$5:$G$160&lt;&gt;"moeda")*(Inputs!$G$5:$G$160&lt;&gt;"acoes")))*INDEX(Inputs!$K$5:$AJ$160,0,MATCH(V$2,Inputs!$K$4:$AJ$4,0)))))</f>
        <v>85.763</v>
      </c>
      <c r="W41" s="3">
        <f>V41</f>
        <v>85.763</v>
      </c>
      <c r="X41" s="6">
        <f>IF(ISNA(MATCH(X$2,Inputs!$K$4:$AJ$4,0)),NA(),IF(SUMPRODUCT((Inputs!$A$5:$A$160=$B41)*ISNUMBER(INDEX(Inputs!$K$5:$AJ$160,0,MATCH(X$2,Inputs!$K$4:$AJ$4,0))))+SUMPRODUCT((Inputs!$C$5:$C$160=$B41)*ISNUMBER(INDEX(Inputs!$K$5:$AJ$160,0,MATCH(X$2,Inputs!$K$4:$AJ$4,0))))+SUMPRODUCT((Inputs!$E$5:$E$160=$B41)*ISNUMBER(INDEX(Inputs!$K$5:$AJ$160,0,MATCH(X$2,Inputs!$K$4:$AJ$4,0))))=0,NA(),SUMPRODUCT((Inputs!$A$5:$A$160=$B41)*Inputs!$B$5:$B$160*(((Inputs!$G$5:$G$160="moeda")+(Inputs!$G$5:$G$160="acoes"))*Inputs!$B$1+((Inputs!$G$5:$G$160&lt;&gt;"moeda")*(Inputs!$G$5:$G$160&lt;&gt;"acoes")))*INDEX(Inputs!$K$5:$AJ$160,0,MATCH(X$2,Inputs!$K$4:$AJ$4,0)))+SUMPRODUCT((Inputs!$C$5:$C$160=$B41)*Inputs!$D$5:$D$160*(((Inputs!$G$5:$G$160="moeda")+(Inputs!$G$5:$G$160="acoes"))*Inputs!$B$1+((Inputs!$G$5:$G$160&lt;&gt;"moeda")*(Inputs!$G$5:$G$160&lt;&gt;"acoes")))*INDEX(Inputs!$K$5:$AJ$160,0,MATCH(X$2,Inputs!$K$4:$AJ$4,0)))+SUMPRODUCT((Inputs!$E$5:$E$160=$B41)*Inputs!$F$5:$F$160*(((Inputs!$G$5:$G$160="moeda")+(Inputs!$G$5:$G$160="acoes"))*Inputs!$B$1+((Inputs!$G$5:$G$160&lt;&gt;"moeda")*(Inputs!$G$5:$G$160&lt;&gt;"acoes")))*INDEX(Inputs!$K$5:$AJ$160,0,MATCH(X$2,Inputs!$K$4:$AJ$4,0)))))</f>
        <v>93.419046</v>
      </c>
      <c r="Y41" s="6">
        <f>IF(ISNA(MATCH(Y$2,Inputs!$K$4:$AJ$4,0)),NA(),IF(SUMPRODUCT((Inputs!$A$5:$A$160=$B41)*ISNUMBER(INDEX(Inputs!$K$5:$AJ$160,0,MATCH(Y$2,Inputs!$K$4:$AJ$4,0))))+SUMPRODUCT((Inputs!$C$5:$C$160=$B41)*ISNUMBER(INDEX(Inputs!$K$5:$AJ$160,0,MATCH(Y$2,Inputs!$K$4:$AJ$4,0))))+SUMPRODUCT((Inputs!$E$5:$E$160=$B41)*ISNUMBER(INDEX(Inputs!$K$5:$AJ$160,0,MATCH(Y$2,Inputs!$K$4:$AJ$4,0))))=0,NA(),SUMPRODUCT((Inputs!$A$5:$A$160=$B41)*Inputs!$B$5:$B$160*(((Inputs!$G$5:$G$160="moeda")+(Inputs!$G$5:$G$160="acoes"))*Inputs!$B$1+((Inputs!$G$5:$G$160&lt;&gt;"moeda")*(Inputs!$G$5:$G$160&lt;&gt;"acoes")))*INDEX(Inputs!$K$5:$AJ$160,0,MATCH(Y$2,Inputs!$K$4:$AJ$4,0)))+SUMPRODUCT((Inputs!$C$5:$C$160=$B41)*Inputs!$D$5:$D$160*(((Inputs!$G$5:$G$160="moeda")+(Inputs!$G$5:$G$160="acoes"))*Inputs!$B$1+((Inputs!$G$5:$G$160&lt;&gt;"moeda")*(Inputs!$G$5:$G$160&lt;&gt;"acoes")))*INDEX(Inputs!$K$5:$AJ$160,0,MATCH(Y$2,Inputs!$K$4:$AJ$4,0)))+SUMPRODUCT((Inputs!$E$5:$E$160=$B41)*Inputs!$F$5:$F$160*(((Inputs!$G$5:$G$160="moeda")+(Inputs!$G$5:$G$160="acoes"))*Inputs!$B$1+((Inputs!$G$5:$G$160&lt;&gt;"moeda")*(Inputs!$G$5:$G$160&lt;&gt;"acoes")))*INDEX(Inputs!$K$5:$AJ$160,0,MATCH(Y$2,Inputs!$K$4:$AJ$4,0)))))</f>
        <v>91.417</v>
      </c>
      <c r="Z41" s="6">
        <f>IF(ISNA(MATCH(Z$2,Inputs!$K$4:$AJ$4,0)),NA(),IF(SUMPRODUCT((Inputs!$A$5:$A$160=$B41)*ISNUMBER(INDEX(Inputs!$K$5:$AJ$160,0,MATCH(Z$2,Inputs!$K$4:$AJ$4,0))))+SUMPRODUCT((Inputs!$C$5:$C$160=$B41)*ISNUMBER(INDEX(Inputs!$K$5:$AJ$160,0,MATCH(Z$2,Inputs!$K$4:$AJ$4,0))))+SUMPRODUCT((Inputs!$E$5:$E$160=$B41)*ISNUMBER(INDEX(Inputs!$K$5:$AJ$160,0,MATCH(Z$2,Inputs!$K$4:$AJ$4,0))))=0,NA(),SUMPRODUCT((Inputs!$A$5:$A$160=$B41)*Inputs!$B$5:$B$160*(((Inputs!$G$5:$G$160="moeda")+(Inputs!$G$5:$G$160="acoes"))*Inputs!$B$1+((Inputs!$G$5:$G$160&lt;&gt;"moeda")*(Inputs!$G$5:$G$160&lt;&gt;"acoes")))*INDEX(Inputs!$K$5:$AJ$160,0,MATCH(Z$2,Inputs!$K$4:$AJ$4,0)))+SUMPRODUCT((Inputs!$C$5:$C$160=$B41)*Inputs!$D$5:$D$160*(((Inputs!$G$5:$G$160="moeda")+(Inputs!$G$5:$G$160="acoes"))*Inputs!$B$1+((Inputs!$G$5:$G$160&lt;&gt;"moeda")*(Inputs!$G$5:$G$160&lt;&gt;"acoes")))*INDEX(Inputs!$K$5:$AJ$160,0,MATCH(Z$2,Inputs!$K$4:$AJ$4,0)))+SUMPRODUCT((Inputs!$E$5:$E$160=$B41)*Inputs!$F$5:$F$160*(((Inputs!$G$5:$G$160="moeda")+(Inputs!$G$5:$G$160="acoes"))*Inputs!$B$1+((Inputs!$G$5:$G$160&lt;&gt;"moeda")*(Inputs!$G$5:$G$160&lt;&gt;"acoes")))*INDEX(Inputs!$K$5:$AJ$160,0,MATCH(Z$2,Inputs!$K$4:$AJ$4,0)))))</f>
        <v>87.661</v>
      </c>
      <c r="AA41" s="6">
        <f>IF(ISNA(MATCH(AA$2,Inputs!$K$4:$AJ$4,0)),NA(),IF(SUMPRODUCT((Inputs!$A$5:$A$160=$B41)*ISNUMBER(INDEX(Inputs!$K$5:$AJ$160,0,MATCH(AA$2,Inputs!$K$4:$AJ$4,0))))+SUMPRODUCT((Inputs!$C$5:$C$160=$B41)*ISNUMBER(INDEX(Inputs!$K$5:$AJ$160,0,MATCH(AA$2,Inputs!$K$4:$AJ$4,0))))+SUMPRODUCT((Inputs!$E$5:$E$160=$B41)*ISNUMBER(INDEX(Inputs!$K$5:$AJ$160,0,MATCH(AA$2,Inputs!$K$4:$AJ$4,0))))=0,NA(),SUMPRODUCT((Inputs!$A$5:$A$160=$B41)*Inputs!$B$5:$B$160*(((Inputs!$G$5:$G$160="moeda")+(Inputs!$G$5:$G$160="acoes"))*Inputs!$B$1+((Inputs!$G$5:$G$160&lt;&gt;"moeda")*(Inputs!$G$5:$G$160&lt;&gt;"acoes")))*INDEX(Inputs!$K$5:$AJ$160,0,MATCH(AA$2,Inputs!$K$4:$AJ$4,0)))+SUMPRODUCT((Inputs!$C$5:$C$160=$B41)*Inputs!$D$5:$D$160*(((Inputs!$G$5:$G$160="moeda")+(Inputs!$G$5:$G$160="acoes"))*Inputs!$B$1+((Inputs!$G$5:$G$160&lt;&gt;"moeda")*(Inputs!$G$5:$G$160&lt;&gt;"acoes")))*INDEX(Inputs!$K$5:$AJ$160,0,MATCH(AA$2,Inputs!$K$4:$AJ$4,0)))+SUMPRODUCT((Inputs!$E$5:$E$160=$B41)*Inputs!$F$5:$F$160*(((Inputs!$G$5:$G$160="moeda")+(Inputs!$G$5:$G$160="acoes"))*Inputs!$B$1+((Inputs!$G$5:$G$160&lt;&gt;"moeda")*(Inputs!$G$5:$G$160&lt;&gt;"acoes")))*INDEX(Inputs!$K$5:$AJ$160,0,MATCH(AA$2,Inputs!$K$4:$AJ$4,0)))))</f>
        <v>94.928</v>
      </c>
      <c r="AB41" s="3">
        <f>AA41</f>
        <v>94.928</v>
      </c>
      <c r="AC41" s="6">
        <f>IF(ISNA(MATCH(AC$2,Inputs!$K$4:$AJ$4,0)),NA(),IF(SUMPRODUCT((Inputs!$A$5:$A$160=$B41)*ISNUMBER(INDEX(Inputs!$K$5:$AJ$160,0,MATCH(AC$2,Inputs!$K$4:$AJ$4,0))))+SUMPRODUCT((Inputs!$C$5:$C$160=$B41)*ISNUMBER(INDEX(Inputs!$K$5:$AJ$160,0,MATCH(AC$2,Inputs!$K$4:$AJ$4,0))))+SUMPRODUCT((Inputs!$E$5:$E$160=$B41)*ISNUMBER(INDEX(Inputs!$K$5:$AJ$160,0,MATCH(AC$2,Inputs!$K$4:$AJ$4,0))))=0,NA(),SUMPRODUCT((Inputs!$A$5:$A$160=$B41)*Inputs!$B$5:$B$160*(((Inputs!$G$5:$G$160="moeda")+(Inputs!$G$5:$G$160="acoes"))*Inputs!$B$1+((Inputs!$G$5:$G$160&lt;&gt;"moeda")*(Inputs!$G$5:$G$160&lt;&gt;"acoes")))*INDEX(Inputs!$K$5:$AJ$160,0,MATCH(AC$2,Inputs!$K$4:$AJ$4,0)))+SUMPRODUCT((Inputs!$C$5:$C$160=$B41)*Inputs!$D$5:$D$160*(((Inputs!$G$5:$G$160="moeda")+(Inputs!$G$5:$G$160="acoes"))*Inputs!$B$1+((Inputs!$G$5:$G$160&lt;&gt;"moeda")*(Inputs!$G$5:$G$160&lt;&gt;"acoes")))*INDEX(Inputs!$K$5:$AJ$160,0,MATCH(AC$2,Inputs!$K$4:$AJ$4,0)))+SUMPRODUCT((Inputs!$E$5:$E$160=$B41)*Inputs!$F$5:$F$160*(((Inputs!$G$5:$G$160="moeda")+(Inputs!$G$5:$G$160="acoes"))*Inputs!$B$1+((Inputs!$G$5:$G$160&lt;&gt;"moeda")*(Inputs!$G$5:$G$160&lt;&gt;"acoes")))*INDEX(Inputs!$K$5:$AJ$160,0,MATCH(AC$2,Inputs!$K$4:$AJ$4,0)))))</f>
        <v>95.02</v>
      </c>
      <c r="AD41" s="6">
        <f>IF(ISNA(MATCH(AD$2,Inputs!$K$4:$AJ$4,0)),NA(),IF(SUMPRODUCT((Inputs!$A$5:$A$160=$B41)*ISNUMBER(INDEX(Inputs!$K$5:$AJ$160,0,MATCH(AD$2,Inputs!$K$4:$AJ$4,0))))+SUMPRODUCT((Inputs!$C$5:$C$160=$B41)*ISNUMBER(INDEX(Inputs!$K$5:$AJ$160,0,MATCH(AD$2,Inputs!$K$4:$AJ$4,0))))+SUMPRODUCT((Inputs!$E$5:$E$160=$B41)*ISNUMBER(INDEX(Inputs!$K$5:$AJ$160,0,MATCH(AD$2,Inputs!$K$4:$AJ$4,0))))=0,NA(),SUMPRODUCT((Inputs!$A$5:$A$160=$B41)*Inputs!$B$5:$B$160*(((Inputs!$G$5:$G$160="moeda")+(Inputs!$G$5:$G$160="acoes"))*Inputs!$B$1+((Inputs!$G$5:$G$160&lt;&gt;"moeda")*(Inputs!$G$5:$G$160&lt;&gt;"acoes")))*INDEX(Inputs!$K$5:$AJ$160,0,MATCH(AD$2,Inputs!$K$4:$AJ$4,0)))+SUMPRODUCT((Inputs!$C$5:$C$160=$B41)*Inputs!$D$5:$D$160*(((Inputs!$G$5:$G$160="moeda")+(Inputs!$G$5:$G$160="acoes"))*Inputs!$B$1+((Inputs!$G$5:$G$160&lt;&gt;"moeda")*(Inputs!$G$5:$G$160&lt;&gt;"acoes")))*INDEX(Inputs!$K$5:$AJ$160,0,MATCH(AD$2,Inputs!$K$4:$AJ$4,0)))+SUMPRODUCT((Inputs!$E$5:$E$160=$B41)*Inputs!$F$5:$F$160*(((Inputs!$G$5:$G$160="moeda")+(Inputs!$G$5:$G$160="acoes"))*Inputs!$B$1+((Inputs!$G$5:$G$160&lt;&gt;"moeda")*(Inputs!$G$5:$G$160&lt;&gt;"acoes")))*INDEX(Inputs!$K$5:$AJ$160,0,MATCH(AD$2,Inputs!$K$4:$AJ$4,0)))))</f>
        <v>100.794</v>
      </c>
      <c r="AE41" s="6" t="e">
        <f>IF(ISNA(MATCH(AE$2,Inputs!$K$4:$AJ$4,0)),NA(),IF(SUMPRODUCT((Inputs!$A$5:$A$160=$B41)*ISNUMBER(INDEX(Inputs!$K$5:$AJ$160,0,MATCH(AE$2,Inputs!$K$4:$AJ$4,0))))+SUMPRODUCT((Inputs!$C$5:$C$160=$B41)*ISNUMBER(INDEX(Inputs!$K$5:$AJ$160,0,MATCH(AE$2,Inputs!$K$4:$AJ$4,0))))+SUMPRODUCT((Inputs!$E$5:$E$160=$B41)*ISNUMBER(INDEX(Inputs!$K$5:$AJ$160,0,MATCH(AE$2,Inputs!$K$4:$AJ$4,0))))=0,NA(),SUMPRODUCT((Inputs!$A$5:$A$160=$B41)*Inputs!$B$5:$B$160*(((Inputs!$G$5:$G$160="moeda")+(Inputs!$G$5:$G$160="acoes"))*Inputs!$B$1+((Inputs!$G$5:$G$160&lt;&gt;"moeda")*(Inputs!$G$5:$G$160&lt;&gt;"acoes")))*INDEX(Inputs!$K$5:$AJ$160,0,MATCH(AE$2,Inputs!$K$4:$AJ$4,0)))+SUMPRODUCT((Inputs!$C$5:$C$160=$B41)*Inputs!$D$5:$D$160*(((Inputs!$G$5:$G$160="moeda")+(Inputs!$G$5:$G$160="acoes"))*Inputs!$B$1+((Inputs!$G$5:$G$160&lt;&gt;"moeda")*(Inputs!$G$5:$G$160&lt;&gt;"acoes")))*INDEX(Inputs!$K$5:$AJ$160,0,MATCH(AE$2,Inputs!$K$4:$AJ$4,0)))+SUMPRODUCT((Inputs!$E$5:$E$160=$B41)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1" s="6" t="e">
        <f>IF(ISNA(MATCH(AF$2,Inputs!$K$4:$AJ$4,0)),NA(),IF(SUMPRODUCT((Inputs!$A$5:$A$160=$B41)*ISNUMBER(INDEX(Inputs!$K$5:$AJ$160,0,MATCH(AF$2,Inputs!$K$4:$AJ$4,0))))+SUMPRODUCT((Inputs!$C$5:$C$160=$B41)*ISNUMBER(INDEX(Inputs!$K$5:$AJ$160,0,MATCH(AF$2,Inputs!$K$4:$AJ$4,0))))+SUMPRODUCT((Inputs!$E$5:$E$160=$B41)*ISNUMBER(INDEX(Inputs!$K$5:$AJ$160,0,MATCH(AF$2,Inputs!$K$4:$AJ$4,0))))=0,NA(),SUMPRODUCT((Inputs!$A$5:$A$160=$B41)*Inputs!$B$5:$B$160*(((Inputs!$G$5:$G$160="moeda")+(Inputs!$G$5:$G$160="acoes"))*Inputs!$B$1+((Inputs!$G$5:$G$160&lt;&gt;"moeda")*(Inputs!$G$5:$G$160&lt;&gt;"acoes")))*INDEX(Inputs!$K$5:$AJ$160,0,MATCH(AF$2,Inputs!$K$4:$AJ$4,0)))+SUMPRODUCT((Inputs!$C$5:$C$160=$B41)*Inputs!$D$5:$D$160*(((Inputs!$G$5:$G$160="moeda")+(Inputs!$G$5:$G$160="acoes"))*Inputs!$B$1+((Inputs!$G$5:$G$160&lt;&gt;"moeda")*(Inputs!$G$5:$G$160&lt;&gt;"acoes")))*INDEX(Inputs!$K$5:$AJ$160,0,MATCH(AF$2,Inputs!$K$4:$AJ$4,0)))+SUMPRODUCT((Inputs!$E$5:$E$160=$B41)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1" s="3" t="e">
        <f>AF41</f>
        <v>#N/A</v>
      </c>
      <c r="AH41" s="6">
        <f>IF(ISNA(MATCH(AH$2,Inputs!$K$4:$AJ$4,0)),NA(),IF(SUMPRODUCT((Inputs!$A$5:$A$160=$B41)*ISNUMBER(INDEX(Inputs!$K$5:$AJ$160,0,MATCH(AH$2,Inputs!$K$4:$AJ$4,0))))+SUMPRODUCT((Inputs!$C$5:$C$160=$B41)*ISNUMBER(INDEX(Inputs!$K$5:$AJ$160,0,MATCH(AH$2,Inputs!$K$4:$AJ$4,0))))+SUMPRODUCT((Inputs!$E$5:$E$160=$B41)*ISNUMBER(INDEX(Inputs!$K$5:$AJ$160,0,MATCH(AH$2,Inputs!$K$4:$AJ$4,0))))=0,NA(),SUMPRODUCT((Inputs!$A$5:$A$160=$B41)*Inputs!$B$5:$B$160*(((Inputs!$G$5:$G$160="moeda")+(Inputs!$G$5:$G$160="acoes"))*Inputs!$B$1+((Inputs!$G$5:$G$160&lt;&gt;"moeda")*(Inputs!$G$5:$G$160&lt;&gt;"acoes")))*INDEX(Inputs!$K$5:$AJ$160,0,MATCH(AH$2,Inputs!$K$4:$AJ$4,0)))+SUMPRODUCT((Inputs!$C$5:$C$160=$B41)*Inputs!$D$5:$D$160*(((Inputs!$G$5:$G$160="moeda")+(Inputs!$G$5:$G$160="acoes"))*Inputs!$B$1+((Inputs!$G$5:$G$160&lt;&gt;"moeda")*(Inputs!$G$5:$G$160&lt;&gt;"acoes")))*INDEX(Inputs!$K$5:$AJ$160,0,MATCH(AH$2,Inputs!$K$4:$AJ$4,0)))+SUMPRODUCT((Inputs!$E$5:$E$160=$B41)*Inputs!$F$5:$F$160*(((Inputs!$G$5:$G$160="moeda")+(Inputs!$G$5:$G$160="acoes"))*Inputs!$B$1+((Inputs!$G$5:$G$160&lt;&gt;"moeda")*(Inputs!$G$5:$G$160&lt;&gt;"acoes")))*INDEX(Inputs!$K$5:$AJ$160,0,MATCH(AH$2,Inputs!$K$4:$AJ$4,0)))))</f>
        <v>0</v>
      </c>
      <c r="AI41" s="6">
        <f>IF(ISNA(MATCH(AI$2,Inputs!$K$4:$AJ$4,0)),NA(),IF(SUMPRODUCT((Inputs!$A$5:$A$160=$B41)*ISNUMBER(INDEX(Inputs!$K$5:$AJ$160,0,MATCH(AI$2,Inputs!$K$4:$AJ$4,0))))+SUMPRODUCT((Inputs!$C$5:$C$160=$B41)*ISNUMBER(INDEX(Inputs!$K$5:$AJ$160,0,MATCH(AI$2,Inputs!$K$4:$AJ$4,0))))+SUMPRODUCT((Inputs!$E$5:$E$160=$B41)*ISNUMBER(INDEX(Inputs!$K$5:$AJ$160,0,MATCH(AI$2,Inputs!$K$4:$AJ$4,0))))=0,NA(),SUMPRODUCT((Inputs!$A$5:$A$160=$B41)*Inputs!$B$5:$B$160*(((Inputs!$G$5:$G$160="moeda")+(Inputs!$G$5:$G$160="acoes"))*Inputs!$B$1+((Inputs!$G$5:$G$160&lt;&gt;"moeda")*(Inputs!$G$5:$G$160&lt;&gt;"acoes")))*INDEX(Inputs!$K$5:$AJ$160,0,MATCH(AI$2,Inputs!$K$4:$AJ$4,0)))+SUMPRODUCT((Inputs!$C$5:$C$160=$B41)*Inputs!$D$5:$D$160*(((Inputs!$G$5:$G$160="moeda")+(Inputs!$G$5:$G$160="acoes"))*Inputs!$B$1+((Inputs!$G$5:$G$160&lt;&gt;"moeda")*(Inputs!$G$5:$G$160&lt;&gt;"acoes")))*INDEX(Inputs!$K$5:$AJ$160,0,MATCH(AI$2,Inputs!$K$4:$AJ$4,0)))+SUMPRODUCT((Inputs!$E$5:$E$160=$B41)*Inputs!$F$5:$F$160*(((Inputs!$G$5:$G$160="moeda")+(Inputs!$G$5:$G$160="acoes"))*Inputs!$B$1+((Inputs!$G$5:$G$160&lt;&gt;"moeda")*(Inputs!$G$5:$G$160&lt;&gt;"acoes")))*INDEX(Inputs!$K$5:$AJ$160,0,MATCH(AI$2,Inputs!$K$4:$AJ$4,0)))))</f>
        <v>0</v>
      </c>
      <c r="AJ41" s="6">
        <f>IF(ISNA(MATCH(AJ$2,Inputs!$K$4:$AJ$4,0)),NA(),IF(SUMPRODUCT((Inputs!$A$5:$A$160=$B41)*ISNUMBER(INDEX(Inputs!$K$5:$AJ$160,0,MATCH(AJ$2,Inputs!$K$4:$AJ$4,0))))+SUMPRODUCT((Inputs!$C$5:$C$160=$B41)*ISNUMBER(INDEX(Inputs!$K$5:$AJ$160,0,MATCH(AJ$2,Inputs!$K$4:$AJ$4,0))))+SUMPRODUCT((Inputs!$E$5:$E$160=$B41)*ISNUMBER(INDEX(Inputs!$K$5:$AJ$160,0,MATCH(AJ$2,Inputs!$K$4:$AJ$4,0))))=0,NA(),SUMPRODUCT((Inputs!$A$5:$A$160=$B41)*Inputs!$B$5:$B$160*(((Inputs!$G$5:$G$160="moeda")+(Inputs!$G$5:$G$160="acoes"))*Inputs!$B$1+((Inputs!$G$5:$G$160&lt;&gt;"moeda")*(Inputs!$G$5:$G$160&lt;&gt;"acoes")))*INDEX(Inputs!$K$5:$AJ$160,0,MATCH(AJ$2,Inputs!$K$4:$AJ$4,0)))+SUMPRODUCT((Inputs!$C$5:$C$160=$B41)*Inputs!$D$5:$D$160*(((Inputs!$G$5:$G$160="moeda")+(Inputs!$G$5:$G$160="acoes"))*Inputs!$B$1+((Inputs!$G$5:$G$160&lt;&gt;"moeda")*(Inputs!$G$5:$G$160&lt;&gt;"acoes")))*INDEX(Inputs!$K$5:$AJ$160,0,MATCH(AJ$2,Inputs!$K$4:$AJ$4,0)))+SUMPRODUCT((Inputs!$E$5:$E$160=$B41)*Inputs!$F$5:$F$160*(((Inputs!$G$5:$G$160="moeda")+(Inputs!$G$5:$G$160="acoes"))*Inputs!$B$1+((Inputs!$G$5:$G$160&lt;&gt;"moeda")*(Inputs!$G$5:$G$160&lt;&gt;"acoes")))*INDEX(Inputs!$K$5:$AJ$160,0,MATCH(AJ$2,Inputs!$K$4:$AJ$4,0)))))</f>
        <v>0</v>
      </c>
      <c r="AK41" s="6">
        <f>IF(ISNA(MATCH(AK$2,Inputs!$K$4:$AJ$4,0)),NA(),IF(SUMPRODUCT((Inputs!$A$5:$A$160=$B41)*ISNUMBER(INDEX(Inputs!$K$5:$AJ$160,0,MATCH(AK$2,Inputs!$K$4:$AJ$4,0))))+SUMPRODUCT((Inputs!$C$5:$C$160=$B41)*ISNUMBER(INDEX(Inputs!$K$5:$AJ$160,0,MATCH(AK$2,Inputs!$K$4:$AJ$4,0))))+SUMPRODUCT((Inputs!$E$5:$E$160=$B41)*ISNUMBER(INDEX(Inputs!$K$5:$AJ$160,0,MATCH(AK$2,Inputs!$K$4:$AJ$4,0))))=0,NA(),SUMPRODUCT((Inputs!$A$5:$A$160=$B41)*Inputs!$B$5:$B$160*(((Inputs!$G$5:$G$160="moeda")+(Inputs!$G$5:$G$160="acoes"))*Inputs!$B$1+((Inputs!$G$5:$G$160&lt;&gt;"moeda")*(Inputs!$G$5:$G$160&lt;&gt;"acoes")))*INDEX(Inputs!$K$5:$AJ$160,0,MATCH(AK$2,Inputs!$K$4:$AJ$4,0)))+SUMPRODUCT((Inputs!$C$5:$C$160=$B41)*Inputs!$D$5:$D$160*(((Inputs!$G$5:$G$160="moeda")+(Inputs!$G$5:$G$160="acoes"))*Inputs!$B$1+((Inputs!$G$5:$G$160&lt;&gt;"moeda")*(Inputs!$G$5:$G$160&lt;&gt;"acoes")))*INDEX(Inputs!$K$5:$AJ$160,0,MATCH(AK$2,Inputs!$K$4:$AJ$4,0)))+SUMPRODUCT((Inputs!$E$5:$E$160=$B41)*Inputs!$F$5:$F$160*(((Inputs!$G$5:$G$160="moeda")+(Inputs!$G$5:$G$160="acoes"))*Inputs!$B$1+((Inputs!$G$5:$G$160&lt;&gt;"moeda")*(Inputs!$G$5:$G$160&lt;&gt;"acoes")))*INDEX(Inputs!$K$5:$AJ$160,0,MATCH(AK$2,Inputs!$K$4:$AJ$4,0)))))</f>
        <v>0</v>
      </c>
      <c r="AL41" s="3">
        <f>AK41</f>
        <v>0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$160=$B42)*ISNUMBER(INDEX(Inputs!$K$5:$AJ$160,0,MATCH(D$2,Inputs!$K$4:$AJ$4,0))))+SUMPRODUCT((Inputs!$C$5:$C$160=$B42)*ISNUMBER(INDEX(Inputs!$K$5:$AJ$160,0,MATCH(D$2,Inputs!$K$4:$AJ$4,0))))+SUMPRODUCT((Inputs!$E$5:$E$160=$B42)*ISNUMBER(INDEX(Inputs!$K$5:$AJ$160,0,MATCH(D$2,Inputs!$K$4:$AJ$4,0))))=0,NA(),SUMPRODUCT((Inputs!$A$5:$A$160=$B42)*Inputs!$B$5:$B$160*(((Inputs!$G$5:$G$160="moeda")+(Inputs!$G$5:$G$160="acoes"))*Inputs!$B$1+((Inputs!$G$5:$G$160&lt;&gt;"moeda")*(Inputs!$G$5:$G$160&lt;&gt;"acoes")))*INDEX(Inputs!$K$5:$AJ$160,0,MATCH(D$2,Inputs!$K$4:$AJ$4,0)))+SUMPRODUCT((Inputs!$C$5:$C$160=$B42)*Inputs!$D$5:$D$160*(((Inputs!$G$5:$G$160="moeda")+(Inputs!$G$5:$G$160="acoes"))*Inputs!$B$1+((Inputs!$G$5:$G$160&lt;&gt;"moeda")*(Inputs!$G$5:$G$160&lt;&gt;"acoes")))*INDEX(Inputs!$K$5:$AJ$160,0,MATCH(D$2,Inputs!$K$4:$AJ$4,0)))+SUMPRODUCT((Inputs!$E$5:$E$160=$B42)*Inputs!$F$5:$F$160*(((Inputs!$G$5:$G$160="moeda")+(Inputs!$G$5:$G$160="acoes"))*Inputs!$B$1+((Inputs!$G$5:$G$160&lt;&gt;"moeda")*(Inputs!$G$5:$G$160&lt;&gt;"acoes")))*INDEX(Inputs!$K$5:$AJ$160,0,MATCH(D$2,Inputs!$K$4:$AJ$4,0)))))</f>
        <v>#N/A</v>
      </c>
      <c r="E42" s="6" t="e">
        <f>IF(ISNA(MATCH(E$2,Inputs!$K$4:$AJ$4,0)),NA(),IF(SUMPRODUCT((Inputs!$A$5:$A$160=$B42)*ISNUMBER(INDEX(Inputs!$K$5:$AJ$160,0,MATCH(E$2,Inputs!$K$4:$AJ$4,0))))+SUMPRODUCT((Inputs!$C$5:$C$160=$B42)*ISNUMBER(INDEX(Inputs!$K$5:$AJ$160,0,MATCH(E$2,Inputs!$K$4:$AJ$4,0))))+SUMPRODUCT((Inputs!$E$5:$E$160=$B42)*ISNUMBER(INDEX(Inputs!$K$5:$AJ$160,0,MATCH(E$2,Inputs!$K$4:$AJ$4,0))))=0,NA(),SUMPRODUCT((Inputs!$A$5:$A$160=$B42)*Inputs!$B$5:$B$160*(((Inputs!$G$5:$G$160="moeda")+(Inputs!$G$5:$G$160="acoes"))*Inputs!$B$1+((Inputs!$G$5:$G$160&lt;&gt;"moeda")*(Inputs!$G$5:$G$160&lt;&gt;"acoes")))*INDEX(Inputs!$K$5:$AJ$160,0,MATCH(E$2,Inputs!$K$4:$AJ$4,0)))+SUMPRODUCT((Inputs!$C$5:$C$160=$B42)*Inputs!$D$5:$D$160*(((Inputs!$G$5:$G$160="moeda")+(Inputs!$G$5:$G$160="acoes"))*Inputs!$B$1+((Inputs!$G$5:$G$160&lt;&gt;"moeda")*(Inputs!$G$5:$G$160&lt;&gt;"acoes")))*INDEX(Inputs!$K$5:$AJ$160,0,MATCH(E$2,Inputs!$K$4:$AJ$4,0)))+SUMPRODUCT((Inputs!$E$5:$E$160=$B42)*Inputs!$F$5:$F$160*(((Inputs!$G$5:$G$160="moeda")+(Inputs!$G$5:$G$160="acoes"))*Inputs!$B$1+((Inputs!$G$5:$G$160&lt;&gt;"moeda")*(Inputs!$G$5:$G$160&lt;&gt;"acoes")))*INDEX(Inputs!$K$5:$AJ$160,0,MATCH(E$2,Inputs!$K$4:$AJ$4,0)))))</f>
        <v>#N/A</v>
      </c>
      <c r="F42" s="6" t="e">
        <f>IF(ISNA(MATCH(F$2,Inputs!$K$4:$AJ$4,0)),NA(),IF(SUMPRODUCT((Inputs!$A$5:$A$160=$B42)*ISNUMBER(INDEX(Inputs!$K$5:$AJ$160,0,MATCH(F$2,Inputs!$K$4:$AJ$4,0))))+SUMPRODUCT((Inputs!$C$5:$C$160=$B42)*ISNUMBER(INDEX(Inputs!$K$5:$AJ$160,0,MATCH(F$2,Inputs!$K$4:$AJ$4,0))))+SUMPRODUCT((Inputs!$E$5:$E$160=$B42)*ISNUMBER(INDEX(Inputs!$K$5:$AJ$160,0,MATCH(F$2,Inputs!$K$4:$AJ$4,0))))=0,NA(),SUMPRODUCT((Inputs!$A$5:$A$160=$B42)*Inputs!$B$5:$B$160*(((Inputs!$G$5:$G$160="moeda")+(Inputs!$G$5:$G$160="acoes"))*Inputs!$B$1+((Inputs!$G$5:$G$160&lt;&gt;"moeda")*(Inputs!$G$5:$G$160&lt;&gt;"acoes")))*INDEX(Inputs!$K$5:$AJ$160,0,MATCH(F$2,Inputs!$K$4:$AJ$4,0)))+SUMPRODUCT((Inputs!$C$5:$C$160=$B42)*Inputs!$D$5:$D$160*(((Inputs!$G$5:$G$160="moeda")+(Inputs!$G$5:$G$160="acoes"))*Inputs!$B$1+((Inputs!$G$5:$G$160&lt;&gt;"moeda")*(Inputs!$G$5:$G$160&lt;&gt;"acoes")))*INDEX(Inputs!$K$5:$AJ$160,0,MATCH(F$2,Inputs!$K$4:$AJ$4,0)))+SUMPRODUCT((Inputs!$E$5:$E$160=$B42)*Inputs!$F$5:$F$160*(((Inputs!$G$5:$G$160="moeda")+(Inputs!$G$5:$G$160="acoes"))*Inputs!$B$1+((Inputs!$G$5:$G$160&lt;&gt;"moeda")*(Inputs!$G$5:$G$160&lt;&gt;"acoes")))*INDEX(Inputs!$K$5:$AJ$160,0,MATCH(F$2,Inputs!$K$4:$AJ$4,0)))))</f>
        <v>#N/A</v>
      </c>
      <c r="G42" s="6" t="e">
        <f>IF(ISNA(MATCH(G$2,Inputs!$K$4:$AJ$4,0)),NA(),IF(SUMPRODUCT((Inputs!$A$5:$A$160=$B42)*ISNUMBER(INDEX(Inputs!$K$5:$AJ$160,0,MATCH(G$2,Inputs!$K$4:$AJ$4,0))))+SUMPRODUCT((Inputs!$C$5:$C$160=$B42)*ISNUMBER(INDEX(Inputs!$K$5:$AJ$160,0,MATCH(G$2,Inputs!$K$4:$AJ$4,0))))+SUMPRODUCT((Inputs!$E$5:$E$160=$B42)*ISNUMBER(INDEX(Inputs!$K$5:$AJ$160,0,MATCH(G$2,Inputs!$K$4:$AJ$4,0))))=0,NA(),SUMPRODUCT((Inputs!$A$5:$A$160=$B42)*Inputs!$B$5:$B$160*(((Inputs!$G$5:$G$160="moeda")+(Inputs!$G$5:$G$160="acoes"))*Inputs!$B$1+((Inputs!$G$5:$G$160&lt;&gt;"moeda")*(Inputs!$G$5:$G$160&lt;&gt;"acoes")))*INDEX(Inputs!$K$5:$AJ$160,0,MATCH(G$2,Inputs!$K$4:$AJ$4,0)))+SUMPRODUCT((Inputs!$C$5:$C$160=$B42)*Inputs!$D$5:$D$160*(((Inputs!$G$5:$G$160="moeda")+(Inputs!$G$5:$G$160="acoes"))*Inputs!$B$1+((Inputs!$G$5:$G$160&lt;&gt;"moeda")*(Inputs!$G$5:$G$160&lt;&gt;"acoes")))*INDEX(Inputs!$K$5:$AJ$160,0,MATCH(G$2,Inputs!$K$4:$AJ$4,0)))+SUMPRODUCT((Inputs!$E$5:$E$160=$B42)*Inputs!$F$5:$F$160*(((Inputs!$G$5:$G$160="moeda")+(Inputs!$G$5:$G$160="acoes"))*Inputs!$B$1+((Inputs!$G$5:$G$160&lt;&gt;"moeda")*(Inputs!$G$5:$G$160&lt;&gt;"acoes")))*INDEX(Inputs!$K$5:$AJ$160,0,MATCH(G$2,Inputs!$K$4:$AJ$4,0)))))</f>
        <v>#N/A</v>
      </c>
      <c r="H42" s="3" t="e">
        <f>G42</f>
        <v>#N/A</v>
      </c>
      <c r="I42" s="6" t="e">
        <f>IF(ISNA(MATCH(I$2,Inputs!$K$4:$AJ$4,0)),NA(),IF(SUMPRODUCT((Inputs!$A$5:$A$160=$B42)*ISNUMBER(INDEX(Inputs!$K$5:$AJ$160,0,MATCH(I$2,Inputs!$K$4:$AJ$4,0))))+SUMPRODUCT((Inputs!$C$5:$C$160=$B42)*ISNUMBER(INDEX(Inputs!$K$5:$AJ$160,0,MATCH(I$2,Inputs!$K$4:$AJ$4,0))))+SUMPRODUCT((Inputs!$E$5:$E$160=$B42)*ISNUMBER(INDEX(Inputs!$K$5:$AJ$160,0,MATCH(I$2,Inputs!$K$4:$AJ$4,0))))=0,NA(),SUMPRODUCT((Inputs!$A$5:$A$160=$B42)*Inputs!$B$5:$B$160*(((Inputs!$G$5:$G$160="moeda")+(Inputs!$G$5:$G$160="acoes"))*Inputs!$B$1+((Inputs!$G$5:$G$160&lt;&gt;"moeda")*(Inputs!$G$5:$G$160&lt;&gt;"acoes")))*INDEX(Inputs!$K$5:$AJ$160,0,MATCH(I$2,Inputs!$K$4:$AJ$4,0)))+SUMPRODUCT((Inputs!$C$5:$C$160=$B42)*Inputs!$D$5:$D$160*(((Inputs!$G$5:$G$160="moeda")+(Inputs!$G$5:$G$160="acoes"))*Inputs!$B$1+((Inputs!$G$5:$G$160&lt;&gt;"moeda")*(Inputs!$G$5:$G$160&lt;&gt;"acoes")))*INDEX(Inputs!$K$5:$AJ$160,0,MATCH(I$2,Inputs!$K$4:$AJ$4,0)))+SUMPRODUCT((Inputs!$E$5:$E$160=$B42)*Inputs!$F$5:$F$160*(((Inputs!$G$5:$G$160="moeda")+(Inputs!$G$5:$G$160="acoes"))*Inputs!$B$1+((Inputs!$G$5:$G$160&lt;&gt;"moeda")*(Inputs!$G$5:$G$160&lt;&gt;"acoes")))*INDEX(Inputs!$K$5:$AJ$160,0,MATCH(I$2,Inputs!$K$4:$AJ$4,0)))))</f>
        <v>#N/A</v>
      </c>
      <c r="J42" s="6" t="e">
        <f>IF(ISNA(MATCH(J$2,Inputs!$K$4:$AJ$4,0)),NA(),IF(SUMPRODUCT((Inputs!$A$5:$A$160=$B42)*ISNUMBER(INDEX(Inputs!$K$5:$AJ$160,0,MATCH(J$2,Inputs!$K$4:$AJ$4,0))))+SUMPRODUCT((Inputs!$C$5:$C$160=$B42)*ISNUMBER(INDEX(Inputs!$K$5:$AJ$160,0,MATCH(J$2,Inputs!$K$4:$AJ$4,0))))+SUMPRODUCT((Inputs!$E$5:$E$160=$B42)*ISNUMBER(INDEX(Inputs!$K$5:$AJ$160,0,MATCH(J$2,Inputs!$K$4:$AJ$4,0))))=0,NA(),SUMPRODUCT((Inputs!$A$5:$A$160=$B42)*Inputs!$B$5:$B$160*(((Inputs!$G$5:$G$160="moeda")+(Inputs!$G$5:$G$160="acoes"))*Inputs!$B$1+((Inputs!$G$5:$G$160&lt;&gt;"moeda")*(Inputs!$G$5:$G$160&lt;&gt;"acoes")))*INDEX(Inputs!$K$5:$AJ$160,0,MATCH(J$2,Inputs!$K$4:$AJ$4,0)))+SUMPRODUCT((Inputs!$C$5:$C$160=$B42)*Inputs!$D$5:$D$160*(((Inputs!$G$5:$G$160="moeda")+(Inputs!$G$5:$G$160="acoes"))*Inputs!$B$1+((Inputs!$G$5:$G$160&lt;&gt;"moeda")*(Inputs!$G$5:$G$160&lt;&gt;"acoes")))*INDEX(Inputs!$K$5:$AJ$160,0,MATCH(J$2,Inputs!$K$4:$AJ$4,0)))+SUMPRODUCT((Inputs!$E$5:$E$160=$B42)*Inputs!$F$5:$F$160*(((Inputs!$G$5:$G$160="moeda")+(Inputs!$G$5:$G$160="acoes"))*Inputs!$B$1+((Inputs!$G$5:$G$160&lt;&gt;"moeda")*(Inputs!$G$5:$G$160&lt;&gt;"acoes")))*INDEX(Inputs!$K$5:$AJ$160,0,MATCH(J$2,Inputs!$K$4:$AJ$4,0)))))</f>
        <v>#N/A</v>
      </c>
      <c r="K42" s="6" t="e">
        <f>IF(ISNA(MATCH(K$2,Inputs!$K$4:$AJ$4,0)),NA(),IF(SUMPRODUCT((Inputs!$A$5:$A$160=$B42)*ISNUMBER(INDEX(Inputs!$K$5:$AJ$160,0,MATCH(K$2,Inputs!$K$4:$AJ$4,0))))+SUMPRODUCT((Inputs!$C$5:$C$160=$B42)*ISNUMBER(INDEX(Inputs!$K$5:$AJ$160,0,MATCH(K$2,Inputs!$K$4:$AJ$4,0))))+SUMPRODUCT((Inputs!$E$5:$E$160=$B42)*ISNUMBER(INDEX(Inputs!$K$5:$AJ$160,0,MATCH(K$2,Inputs!$K$4:$AJ$4,0))))=0,NA(),SUMPRODUCT((Inputs!$A$5:$A$160=$B42)*Inputs!$B$5:$B$160*(((Inputs!$G$5:$G$160="moeda")+(Inputs!$G$5:$G$160="acoes"))*Inputs!$B$1+((Inputs!$G$5:$G$160&lt;&gt;"moeda")*(Inputs!$G$5:$G$160&lt;&gt;"acoes")))*INDEX(Inputs!$K$5:$AJ$160,0,MATCH(K$2,Inputs!$K$4:$AJ$4,0)))+SUMPRODUCT((Inputs!$C$5:$C$160=$B42)*Inputs!$D$5:$D$160*(((Inputs!$G$5:$G$160="moeda")+(Inputs!$G$5:$G$160="acoes"))*Inputs!$B$1+((Inputs!$G$5:$G$160&lt;&gt;"moeda")*(Inputs!$G$5:$G$160&lt;&gt;"acoes")))*INDEX(Inputs!$K$5:$AJ$160,0,MATCH(K$2,Inputs!$K$4:$AJ$4,0)))+SUMPRODUCT((Inputs!$E$5:$E$160=$B42)*Inputs!$F$5:$F$160*(((Inputs!$G$5:$G$160="moeda")+(Inputs!$G$5:$G$160="acoes"))*Inputs!$B$1+((Inputs!$G$5:$G$160&lt;&gt;"moeda")*(Inputs!$G$5:$G$160&lt;&gt;"acoes")))*INDEX(Inputs!$K$5:$AJ$160,0,MATCH(K$2,Inputs!$K$4:$AJ$4,0)))))</f>
        <v>#N/A</v>
      </c>
      <c r="L42" s="6" t="e">
        <f>IF(ISNA(MATCH(L$2,Inputs!$K$4:$AJ$4,0)),NA(),IF(SUMPRODUCT((Inputs!$A$5:$A$160=$B42)*ISNUMBER(INDEX(Inputs!$K$5:$AJ$160,0,MATCH(L$2,Inputs!$K$4:$AJ$4,0))))+SUMPRODUCT((Inputs!$C$5:$C$160=$B42)*ISNUMBER(INDEX(Inputs!$K$5:$AJ$160,0,MATCH(L$2,Inputs!$K$4:$AJ$4,0))))+SUMPRODUCT((Inputs!$E$5:$E$160=$B42)*ISNUMBER(INDEX(Inputs!$K$5:$AJ$160,0,MATCH(L$2,Inputs!$K$4:$AJ$4,0))))=0,NA(),SUMPRODUCT((Inputs!$A$5:$A$160=$B42)*Inputs!$B$5:$B$160*(((Inputs!$G$5:$G$160="moeda")+(Inputs!$G$5:$G$160="acoes"))*Inputs!$B$1+((Inputs!$G$5:$G$160&lt;&gt;"moeda")*(Inputs!$G$5:$G$160&lt;&gt;"acoes")))*INDEX(Inputs!$K$5:$AJ$160,0,MATCH(L$2,Inputs!$K$4:$AJ$4,0)))+SUMPRODUCT((Inputs!$C$5:$C$160=$B42)*Inputs!$D$5:$D$160*(((Inputs!$G$5:$G$160="moeda")+(Inputs!$G$5:$G$160="acoes"))*Inputs!$B$1+((Inputs!$G$5:$G$160&lt;&gt;"moeda")*(Inputs!$G$5:$G$160&lt;&gt;"acoes")))*INDEX(Inputs!$K$5:$AJ$160,0,MATCH(L$2,Inputs!$K$4:$AJ$4,0)))+SUMPRODUCT((Inputs!$E$5:$E$160=$B42)*Inputs!$F$5:$F$160*(((Inputs!$G$5:$G$160="moeda")+(Inputs!$G$5:$G$160="acoes"))*Inputs!$B$1+((Inputs!$G$5:$G$160&lt;&gt;"moeda")*(Inputs!$G$5:$G$160&lt;&gt;"acoes")))*INDEX(Inputs!$K$5:$AJ$160,0,MATCH(L$2,Inputs!$K$4:$AJ$4,0)))))</f>
        <v>#N/A</v>
      </c>
      <c r="M42" s="3" t="e">
        <f>L42</f>
        <v>#N/A</v>
      </c>
      <c r="N42" s="6" t="e">
        <f>IF(ISNA(MATCH(N$2,Inputs!$K$4:$AJ$4,0)),NA(),IF(SUMPRODUCT((Inputs!$A$5:$A$160=$B42)*ISNUMBER(INDEX(Inputs!$K$5:$AJ$160,0,MATCH(N$2,Inputs!$K$4:$AJ$4,0))))+SUMPRODUCT((Inputs!$C$5:$C$160=$B42)*ISNUMBER(INDEX(Inputs!$K$5:$AJ$160,0,MATCH(N$2,Inputs!$K$4:$AJ$4,0))))+SUMPRODUCT((Inputs!$E$5:$E$160=$B42)*ISNUMBER(INDEX(Inputs!$K$5:$AJ$160,0,MATCH(N$2,Inputs!$K$4:$AJ$4,0))))=0,NA(),SUMPRODUCT((Inputs!$A$5:$A$160=$B42)*Inputs!$B$5:$B$160*(((Inputs!$G$5:$G$160="moeda")+(Inputs!$G$5:$G$160="acoes"))*Inputs!$B$1+((Inputs!$G$5:$G$160&lt;&gt;"moeda")*(Inputs!$G$5:$G$160&lt;&gt;"acoes")))*INDEX(Inputs!$K$5:$AJ$160,0,MATCH(N$2,Inputs!$K$4:$AJ$4,0)))+SUMPRODUCT((Inputs!$C$5:$C$160=$B42)*Inputs!$D$5:$D$160*(((Inputs!$G$5:$G$160="moeda")+(Inputs!$G$5:$G$160="acoes"))*Inputs!$B$1+((Inputs!$G$5:$G$160&lt;&gt;"moeda")*(Inputs!$G$5:$G$160&lt;&gt;"acoes")))*INDEX(Inputs!$K$5:$AJ$160,0,MATCH(N$2,Inputs!$K$4:$AJ$4,0)))+SUMPRODUCT((Inputs!$E$5:$E$160=$B42)*Inputs!$F$5:$F$160*(((Inputs!$G$5:$G$160="moeda")+(Inputs!$G$5:$G$160="acoes"))*Inputs!$B$1+((Inputs!$G$5:$G$160&lt;&gt;"moeda")*(Inputs!$G$5:$G$160&lt;&gt;"acoes")))*INDEX(Inputs!$K$5:$AJ$160,0,MATCH(N$2,Inputs!$K$4:$AJ$4,0)))))</f>
        <v>#N/A</v>
      </c>
      <c r="O42" s="6" t="e">
        <f>IF(ISNA(MATCH(O$2,Inputs!$K$4:$AJ$4,0)),NA(),IF(SUMPRODUCT((Inputs!$A$5:$A$160=$B42)*ISNUMBER(INDEX(Inputs!$K$5:$AJ$160,0,MATCH(O$2,Inputs!$K$4:$AJ$4,0))))+SUMPRODUCT((Inputs!$C$5:$C$160=$B42)*ISNUMBER(INDEX(Inputs!$K$5:$AJ$160,0,MATCH(O$2,Inputs!$K$4:$AJ$4,0))))+SUMPRODUCT((Inputs!$E$5:$E$160=$B42)*ISNUMBER(INDEX(Inputs!$K$5:$AJ$160,0,MATCH(O$2,Inputs!$K$4:$AJ$4,0))))=0,NA(),SUMPRODUCT((Inputs!$A$5:$A$160=$B42)*Inputs!$B$5:$B$160*(((Inputs!$G$5:$G$160="moeda")+(Inputs!$G$5:$G$160="acoes"))*Inputs!$B$1+((Inputs!$G$5:$G$160&lt;&gt;"moeda")*(Inputs!$G$5:$G$160&lt;&gt;"acoes")))*INDEX(Inputs!$K$5:$AJ$160,0,MATCH(O$2,Inputs!$K$4:$AJ$4,0)))+SUMPRODUCT((Inputs!$C$5:$C$160=$B42)*Inputs!$D$5:$D$160*(((Inputs!$G$5:$G$160="moeda")+(Inputs!$G$5:$G$160="acoes"))*Inputs!$B$1+((Inputs!$G$5:$G$160&lt;&gt;"moeda")*(Inputs!$G$5:$G$160&lt;&gt;"acoes")))*INDEX(Inputs!$K$5:$AJ$160,0,MATCH(O$2,Inputs!$K$4:$AJ$4,0)))+SUMPRODUCT((Inputs!$E$5:$E$160=$B42)*Inputs!$F$5:$F$160*(((Inputs!$G$5:$G$160="moeda")+(Inputs!$G$5:$G$160="acoes"))*Inputs!$B$1+((Inputs!$G$5:$G$160&lt;&gt;"moeda")*(Inputs!$G$5:$G$160&lt;&gt;"acoes")))*INDEX(Inputs!$K$5:$AJ$160,0,MATCH(O$2,Inputs!$K$4:$AJ$4,0)))))</f>
        <v>#N/A</v>
      </c>
      <c r="P42" s="6" t="e">
        <f>IF(ISNA(MATCH(P$2,Inputs!$K$4:$AJ$4,0)),NA(),IF(SUMPRODUCT((Inputs!$A$5:$A$160=$B42)*ISNUMBER(INDEX(Inputs!$K$5:$AJ$160,0,MATCH(P$2,Inputs!$K$4:$AJ$4,0))))+SUMPRODUCT((Inputs!$C$5:$C$160=$B42)*ISNUMBER(INDEX(Inputs!$K$5:$AJ$160,0,MATCH(P$2,Inputs!$K$4:$AJ$4,0))))+SUMPRODUCT((Inputs!$E$5:$E$160=$B42)*ISNUMBER(INDEX(Inputs!$K$5:$AJ$160,0,MATCH(P$2,Inputs!$K$4:$AJ$4,0))))=0,NA(),SUMPRODUCT((Inputs!$A$5:$A$160=$B42)*Inputs!$B$5:$B$160*(((Inputs!$G$5:$G$160="moeda")+(Inputs!$G$5:$G$160="acoes"))*Inputs!$B$1+((Inputs!$G$5:$G$160&lt;&gt;"moeda")*(Inputs!$G$5:$G$160&lt;&gt;"acoes")))*INDEX(Inputs!$K$5:$AJ$160,0,MATCH(P$2,Inputs!$K$4:$AJ$4,0)))+SUMPRODUCT((Inputs!$C$5:$C$160=$B42)*Inputs!$D$5:$D$160*(((Inputs!$G$5:$G$160="moeda")+(Inputs!$G$5:$G$160="acoes"))*Inputs!$B$1+((Inputs!$G$5:$G$160&lt;&gt;"moeda")*(Inputs!$G$5:$G$160&lt;&gt;"acoes")))*INDEX(Inputs!$K$5:$AJ$160,0,MATCH(P$2,Inputs!$K$4:$AJ$4,0)))+SUMPRODUCT((Inputs!$E$5:$E$160=$B42)*Inputs!$F$5:$F$160*(((Inputs!$G$5:$G$160="moeda")+(Inputs!$G$5:$G$160="acoes"))*Inputs!$B$1+((Inputs!$G$5:$G$160&lt;&gt;"moeda")*(Inputs!$G$5:$G$160&lt;&gt;"acoes")))*INDEX(Inputs!$K$5:$AJ$160,0,MATCH(P$2,Inputs!$K$4:$AJ$4,0)))))</f>
        <v>#N/A</v>
      </c>
      <c r="Q42" s="6" t="e">
        <f>IF(ISNA(MATCH(Q$2,Inputs!$K$4:$AJ$4,0)),NA(),IF(SUMPRODUCT((Inputs!$A$5:$A$160=$B42)*ISNUMBER(INDEX(Inputs!$K$5:$AJ$160,0,MATCH(Q$2,Inputs!$K$4:$AJ$4,0))))+SUMPRODUCT((Inputs!$C$5:$C$160=$B42)*ISNUMBER(INDEX(Inputs!$K$5:$AJ$160,0,MATCH(Q$2,Inputs!$K$4:$AJ$4,0))))+SUMPRODUCT((Inputs!$E$5:$E$160=$B42)*ISNUMBER(INDEX(Inputs!$K$5:$AJ$160,0,MATCH(Q$2,Inputs!$K$4:$AJ$4,0))))=0,NA(),SUMPRODUCT((Inputs!$A$5:$A$160=$B42)*Inputs!$B$5:$B$160*(((Inputs!$G$5:$G$160="moeda")+(Inputs!$G$5:$G$160="acoes"))*Inputs!$B$1+((Inputs!$G$5:$G$160&lt;&gt;"moeda")*(Inputs!$G$5:$G$160&lt;&gt;"acoes")))*INDEX(Inputs!$K$5:$AJ$160,0,MATCH(Q$2,Inputs!$K$4:$AJ$4,0)))+SUMPRODUCT((Inputs!$C$5:$C$160=$B42)*Inputs!$D$5:$D$160*(((Inputs!$G$5:$G$160="moeda")+(Inputs!$G$5:$G$160="acoes"))*Inputs!$B$1+((Inputs!$G$5:$G$160&lt;&gt;"moeda")*(Inputs!$G$5:$G$160&lt;&gt;"acoes")))*INDEX(Inputs!$K$5:$AJ$160,0,MATCH(Q$2,Inputs!$K$4:$AJ$4,0)))+SUMPRODUCT((Inputs!$E$5:$E$160=$B42)*Inputs!$F$5:$F$160*(((Inputs!$G$5:$G$160="moeda")+(Inputs!$G$5:$G$160="acoes"))*Inputs!$B$1+((Inputs!$G$5:$G$160&lt;&gt;"moeda")*(Inputs!$G$5:$G$160&lt;&gt;"acoes")))*INDEX(Inputs!$K$5:$AJ$160,0,MATCH(Q$2,Inputs!$K$4:$AJ$4,0)))))</f>
        <v>#N/A</v>
      </c>
      <c r="R42" s="3" t="e">
        <f>Q42</f>
        <v>#N/A</v>
      </c>
      <c r="S42" s="6" t="e">
        <f>IF(ISNA(MATCH(S$2,Inputs!$K$4:$AJ$4,0)),NA(),IF(SUMPRODUCT((Inputs!$A$5:$A$160=$B42)*ISNUMBER(INDEX(Inputs!$K$5:$AJ$160,0,MATCH(S$2,Inputs!$K$4:$AJ$4,0))))+SUMPRODUCT((Inputs!$C$5:$C$160=$B42)*ISNUMBER(INDEX(Inputs!$K$5:$AJ$160,0,MATCH(S$2,Inputs!$K$4:$AJ$4,0))))+SUMPRODUCT((Inputs!$E$5:$E$160=$B42)*ISNUMBER(INDEX(Inputs!$K$5:$AJ$160,0,MATCH(S$2,Inputs!$K$4:$AJ$4,0))))=0,NA(),SUMPRODUCT((Inputs!$A$5:$A$160=$B42)*Inputs!$B$5:$B$160*(((Inputs!$G$5:$G$160="moeda")+(Inputs!$G$5:$G$160="acoes"))*Inputs!$B$1+((Inputs!$G$5:$G$160&lt;&gt;"moeda")*(Inputs!$G$5:$G$160&lt;&gt;"acoes")))*INDEX(Inputs!$K$5:$AJ$160,0,MATCH(S$2,Inputs!$K$4:$AJ$4,0)))+SUMPRODUCT((Inputs!$C$5:$C$160=$B42)*Inputs!$D$5:$D$160*(((Inputs!$G$5:$G$160="moeda")+(Inputs!$G$5:$G$160="acoes"))*Inputs!$B$1+((Inputs!$G$5:$G$160&lt;&gt;"moeda")*(Inputs!$G$5:$G$160&lt;&gt;"acoes")))*INDEX(Inputs!$K$5:$AJ$160,0,MATCH(S$2,Inputs!$K$4:$AJ$4,0)))+SUMPRODUCT((Inputs!$E$5:$E$160=$B42)*Inputs!$F$5:$F$160*(((Inputs!$G$5:$G$160="moeda")+(Inputs!$G$5:$G$160="acoes"))*Inputs!$B$1+((Inputs!$G$5:$G$160&lt;&gt;"moeda")*(Inputs!$G$5:$G$160&lt;&gt;"acoes")))*INDEX(Inputs!$K$5:$AJ$160,0,MATCH(S$2,Inputs!$K$4:$AJ$4,0)))))</f>
        <v>#N/A</v>
      </c>
      <c r="T42" s="6" t="e">
        <f>IF(ISNA(MATCH(T$2,Inputs!$K$4:$AJ$4,0)),NA(),IF(SUMPRODUCT((Inputs!$A$5:$A$160=$B42)*ISNUMBER(INDEX(Inputs!$K$5:$AJ$160,0,MATCH(T$2,Inputs!$K$4:$AJ$4,0))))+SUMPRODUCT((Inputs!$C$5:$C$160=$B42)*ISNUMBER(INDEX(Inputs!$K$5:$AJ$160,0,MATCH(T$2,Inputs!$K$4:$AJ$4,0))))+SUMPRODUCT((Inputs!$E$5:$E$160=$B42)*ISNUMBER(INDEX(Inputs!$K$5:$AJ$160,0,MATCH(T$2,Inputs!$K$4:$AJ$4,0))))=0,NA(),SUMPRODUCT((Inputs!$A$5:$A$160=$B42)*Inputs!$B$5:$B$160*(((Inputs!$G$5:$G$160="moeda")+(Inputs!$G$5:$G$160="acoes"))*Inputs!$B$1+((Inputs!$G$5:$G$160&lt;&gt;"moeda")*(Inputs!$G$5:$G$160&lt;&gt;"acoes")))*INDEX(Inputs!$K$5:$AJ$160,0,MATCH(T$2,Inputs!$K$4:$AJ$4,0)))+SUMPRODUCT((Inputs!$C$5:$C$160=$B42)*Inputs!$D$5:$D$160*(((Inputs!$G$5:$G$160="moeda")+(Inputs!$G$5:$G$160="acoes"))*Inputs!$B$1+((Inputs!$G$5:$G$160&lt;&gt;"moeda")*(Inputs!$G$5:$G$160&lt;&gt;"acoes")))*INDEX(Inputs!$K$5:$AJ$160,0,MATCH(T$2,Inputs!$K$4:$AJ$4,0)))+SUMPRODUCT((Inputs!$E$5:$E$160=$B42)*Inputs!$F$5:$F$160*(((Inputs!$G$5:$G$160="moeda")+(Inputs!$G$5:$G$160="acoes"))*Inputs!$B$1+((Inputs!$G$5:$G$160&lt;&gt;"moeda")*(Inputs!$G$5:$G$160&lt;&gt;"acoes")))*INDEX(Inputs!$K$5:$AJ$160,0,MATCH(T$2,Inputs!$K$4:$AJ$4,0)))))</f>
        <v>#N/A</v>
      </c>
      <c r="U42" s="6" t="e">
        <f>IF(ISNA(MATCH(U$2,Inputs!$K$4:$AJ$4,0)),NA(),IF(SUMPRODUCT((Inputs!$A$5:$A$160=$B42)*ISNUMBER(INDEX(Inputs!$K$5:$AJ$160,0,MATCH(U$2,Inputs!$K$4:$AJ$4,0))))+SUMPRODUCT((Inputs!$C$5:$C$160=$B42)*ISNUMBER(INDEX(Inputs!$K$5:$AJ$160,0,MATCH(U$2,Inputs!$K$4:$AJ$4,0))))+SUMPRODUCT((Inputs!$E$5:$E$160=$B42)*ISNUMBER(INDEX(Inputs!$K$5:$AJ$160,0,MATCH(U$2,Inputs!$K$4:$AJ$4,0))))=0,NA(),SUMPRODUCT((Inputs!$A$5:$A$160=$B42)*Inputs!$B$5:$B$160*(((Inputs!$G$5:$G$160="moeda")+(Inputs!$G$5:$G$160="acoes"))*Inputs!$B$1+((Inputs!$G$5:$G$160&lt;&gt;"moeda")*(Inputs!$G$5:$G$160&lt;&gt;"acoes")))*INDEX(Inputs!$K$5:$AJ$160,0,MATCH(U$2,Inputs!$K$4:$AJ$4,0)))+SUMPRODUCT((Inputs!$C$5:$C$160=$B42)*Inputs!$D$5:$D$160*(((Inputs!$G$5:$G$160="moeda")+(Inputs!$G$5:$G$160="acoes"))*Inputs!$B$1+((Inputs!$G$5:$G$160&lt;&gt;"moeda")*(Inputs!$G$5:$G$160&lt;&gt;"acoes")))*INDEX(Inputs!$K$5:$AJ$160,0,MATCH(U$2,Inputs!$K$4:$AJ$4,0)))+SUMPRODUCT((Inputs!$E$5:$E$160=$B42)*Inputs!$F$5:$F$160*(((Inputs!$G$5:$G$160="moeda")+(Inputs!$G$5:$G$160="acoes"))*Inputs!$B$1+((Inputs!$G$5:$G$160&lt;&gt;"moeda")*(Inputs!$G$5:$G$160&lt;&gt;"acoes")))*INDEX(Inputs!$K$5:$AJ$160,0,MATCH(U$2,Inputs!$K$4:$AJ$4,0)))))</f>
        <v>#N/A</v>
      </c>
      <c r="V42" s="6" t="e">
        <f>IF(ISNA(MATCH(V$2,Inputs!$K$4:$AJ$4,0)),NA(),IF(SUMPRODUCT((Inputs!$A$5:$A$160=$B42)*ISNUMBER(INDEX(Inputs!$K$5:$AJ$160,0,MATCH(V$2,Inputs!$K$4:$AJ$4,0))))+SUMPRODUCT((Inputs!$C$5:$C$160=$B42)*ISNUMBER(INDEX(Inputs!$K$5:$AJ$160,0,MATCH(V$2,Inputs!$K$4:$AJ$4,0))))+SUMPRODUCT((Inputs!$E$5:$E$160=$B42)*ISNUMBER(INDEX(Inputs!$K$5:$AJ$160,0,MATCH(V$2,Inputs!$K$4:$AJ$4,0))))=0,NA(),SUMPRODUCT((Inputs!$A$5:$A$160=$B42)*Inputs!$B$5:$B$160*(((Inputs!$G$5:$G$160="moeda")+(Inputs!$G$5:$G$160="acoes"))*Inputs!$B$1+((Inputs!$G$5:$G$160&lt;&gt;"moeda")*(Inputs!$G$5:$G$160&lt;&gt;"acoes")))*INDEX(Inputs!$K$5:$AJ$160,0,MATCH(V$2,Inputs!$K$4:$AJ$4,0)))+SUMPRODUCT((Inputs!$C$5:$C$160=$B42)*Inputs!$D$5:$D$160*(((Inputs!$G$5:$G$160="moeda")+(Inputs!$G$5:$G$160="acoes"))*Inputs!$B$1+((Inputs!$G$5:$G$160&lt;&gt;"moeda")*(Inputs!$G$5:$G$160&lt;&gt;"acoes")))*INDEX(Inputs!$K$5:$AJ$160,0,MATCH(V$2,Inputs!$K$4:$AJ$4,0)))+SUMPRODUCT((Inputs!$E$5:$E$160=$B42)*Inputs!$F$5:$F$160*(((Inputs!$G$5:$G$160="moeda")+(Inputs!$G$5:$G$160="acoes"))*Inputs!$B$1+((Inputs!$G$5:$G$160&lt;&gt;"moeda")*(Inputs!$G$5:$G$160&lt;&gt;"acoes")))*INDEX(Inputs!$K$5:$AJ$160,0,MATCH(V$2,Inputs!$K$4:$AJ$4,0)))))</f>
        <v>#N/A</v>
      </c>
      <c r="W42" s="3" t="e">
        <f>V42</f>
        <v>#N/A</v>
      </c>
      <c r="X42" s="6" t="e">
        <f>IF(ISNA(MATCH(X$2,Inputs!$K$4:$AJ$4,0)),NA(),IF(SUMPRODUCT((Inputs!$A$5:$A$160=$B42)*ISNUMBER(INDEX(Inputs!$K$5:$AJ$160,0,MATCH(X$2,Inputs!$K$4:$AJ$4,0))))+SUMPRODUCT((Inputs!$C$5:$C$160=$B42)*ISNUMBER(INDEX(Inputs!$K$5:$AJ$160,0,MATCH(X$2,Inputs!$K$4:$AJ$4,0))))+SUMPRODUCT((Inputs!$E$5:$E$160=$B42)*ISNUMBER(INDEX(Inputs!$K$5:$AJ$160,0,MATCH(X$2,Inputs!$K$4:$AJ$4,0))))=0,NA(),SUMPRODUCT((Inputs!$A$5:$A$160=$B42)*Inputs!$B$5:$B$160*(((Inputs!$G$5:$G$160="moeda")+(Inputs!$G$5:$G$160="acoes"))*Inputs!$B$1+((Inputs!$G$5:$G$160&lt;&gt;"moeda")*(Inputs!$G$5:$G$160&lt;&gt;"acoes")))*INDEX(Inputs!$K$5:$AJ$160,0,MATCH(X$2,Inputs!$K$4:$AJ$4,0)))+SUMPRODUCT((Inputs!$C$5:$C$160=$B42)*Inputs!$D$5:$D$160*(((Inputs!$G$5:$G$160="moeda")+(Inputs!$G$5:$G$160="acoes"))*Inputs!$B$1+((Inputs!$G$5:$G$160&lt;&gt;"moeda")*(Inputs!$G$5:$G$160&lt;&gt;"acoes")))*INDEX(Inputs!$K$5:$AJ$160,0,MATCH(X$2,Inputs!$K$4:$AJ$4,0)))+SUMPRODUCT((Inputs!$E$5:$E$160=$B42)*Inputs!$F$5:$F$160*(((Inputs!$G$5:$G$160="moeda")+(Inputs!$G$5:$G$160="acoes"))*Inputs!$B$1+((Inputs!$G$5:$G$160&lt;&gt;"moeda")*(Inputs!$G$5:$G$160&lt;&gt;"acoes")))*INDEX(Inputs!$K$5:$AJ$160,0,MATCH(X$2,Inputs!$K$4:$AJ$4,0)))))</f>
        <v>#N/A</v>
      </c>
      <c r="Y42" s="6" t="e">
        <f>IF(ISNA(MATCH(Y$2,Inputs!$K$4:$AJ$4,0)),NA(),IF(SUMPRODUCT((Inputs!$A$5:$A$160=$B42)*ISNUMBER(INDEX(Inputs!$K$5:$AJ$160,0,MATCH(Y$2,Inputs!$K$4:$AJ$4,0))))+SUMPRODUCT((Inputs!$C$5:$C$160=$B42)*ISNUMBER(INDEX(Inputs!$K$5:$AJ$160,0,MATCH(Y$2,Inputs!$K$4:$AJ$4,0))))+SUMPRODUCT((Inputs!$E$5:$E$160=$B42)*ISNUMBER(INDEX(Inputs!$K$5:$AJ$160,0,MATCH(Y$2,Inputs!$K$4:$AJ$4,0))))=0,NA(),SUMPRODUCT((Inputs!$A$5:$A$160=$B42)*Inputs!$B$5:$B$160*(((Inputs!$G$5:$G$160="moeda")+(Inputs!$G$5:$G$160="acoes"))*Inputs!$B$1+((Inputs!$G$5:$G$160&lt;&gt;"moeda")*(Inputs!$G$5:$G$160&lt;&gt;"acoes")))*INDEX(Inputs!$K$5:$AJ$160,0,MATCH(Y$2,Inputs!$K$4:$AJ$4,0)))+SUMPRODUCT((Inputs!$C$5:$C$160=$B42)*Inputs!$D$5:$D$160*(((Inputs!$G$5:$G$160="moeda")+(Inputs!$G$5:$G$160="acoes"))*Inputs!$B$1+((Inputs!$G$5:$G$160&lt;&gt;"moeda")*(Inputs!$G$5:$G$160&lt;&gt;"acoes")))*INDEX(Inputs!$K$5:$AJ$160,0,MATCH(Y$2,Inputs!$K$4:$AJ$4,0)))+SUMPRODUCT((Inputs!$E$5:$E$160=$B42)*Inputs!$F$5:$F$160*(((Inputs!$G$5:$G$160="moeda")+(Inputs!$G$5:$G$160="acoes"))*Inputs!$B$1+((Inputs!$G$5:$G$160&lt;&gt;"moeda")*(Inputs!$G$5:$G$160&lt;&gt;"acoes")))*INDEX(Inputs!$K$5:$AJ$160,0,MATCH(Y$2,Inputs!$K$4:$AJ$4,0)))))</f>
        <v>#N/A</v>
      </c>
      <c r="Z42" s="6" t="e">
        <f>IF(ISNA(MATCH(Z$2,Inputs!$K$4:$AJ$4,0)),NA(),IF(SUMPRODUCT((Inputs!$A$5:$A$160=$B42)*ISNUMBER(INDEX(Inputs!$K$5:$AJ$160,0,MATCH(Z$2,Inputs!$K$4:$AJ$4,0))))+SUMPRODUCT((Inputs!$C$5:$C$160=$B42)*ISNUMBER(INDEX(Inputs!$K$5:$AJ$160,0,MATCH(Z$2,Inputs!$K$4:$AJ$4,0))))+SUMPRODUCT((Inputs!$E$5:$E$160=$B42)*ISNUMBER(INDEX(Inputs!$K$5:$AJ$160,0,MATCH(Z$2,Inputs!$K$4:$AJ$4,0))))=0,NA(),SUMPRODUCT((Inputs!$A$5:$A$160=$B42)*Inputs!$B$5:$B$160*(((Inputs!$G$5:$G$160="moeda")+(Inputs!$G$5:$G$160="acoes"))*Inputs!$B$1+((Inputs!$G$5:$G$160&lt;&gt;"moeda")*(Inputs!$G$5:$G$160&lt;&gt;"acoes")))*INDEX(Inputs!$K$5:$AJ$160,0,MATCH(Z$2,Inputs!$K$4:$AJ$4,0)))+SUMPRODUCT((Inputs!$C$5:$C$160=$B42)*Inputs!$D$5:$D$160*(((Inputs!$G$5:$G$160="moeda")+(Inputs!$G$5:$G$160="acoes"))*Inputs!$B$1+((Inputs!$G$5:$G$160&lt;&gt;"moeda")*(Inputs!$G$5:$G$160&lt;&gt;"acoes")))*INDEX(Inputs!$K$5:$AJ$160,0,MATCH(Z$2,Inputs!$K$4:$AJ$4,0)))+SUMPRODUCT((Inputs!$E$5:$E$160=$B42)*Inputs!$F$5:$F$160*(((Inputs!$G$5:$G$160="moeda")+(Inputs!$G$5:$G$160="acoes"))*Inputs!$B$1+((Inputs!$G$5:$G$160&lt;&gt;"moeda")*(Inputs!$G$5:$G$160&lt;&gt;"acoes")))*INDEX(Inputs!$K$5:$AJ$160,0,MATCH(Z$2,Inputs!$K$4:$AJ$4,0)))))</f>
        <v>#N/A</v>
      </c>
      <c r="AA42" s="6" t="e">
        <f>IF(ISNA(MATCH(AA$2,Inputs!$K$4:$AJ$4,0)),NA(),IF(SUMPRODUCT((Inputs!$A$5:$A$160=$B42)*ISNUMBER(INDEX(Inputs!$K$5:$AJ$160,0,MATCH(AA$2,Inputs!$K$4:$AJ$4,0))))+SUMPRODUCT((Inputs!$C$5:$C$160=$B42)*ISNUMBER(INDEX(Inputs!$K$5:$AJ$160,0,MATCH(AA$2,Inputs!$K$4:$AJ$4,0))))+SUMPRODUCT((Inputs!$E$5:$E$160=$B42)*ISNUMBER(INDEX(Inputs!$K$5:$AJ$160,0,MATCH(AA$2,Inputs!$K$4:$AJ$4,0))))=0,NA(),SUMPRODUCT((Inputs!$A$5:$A$160=$B42)*Inputs!$B$5:$B$160*(((Inputs!$G$5:$G$160="moeda")+(Inputs!$G$5:$G$160="acoes"))*Inputs!$B$1+((Inputs!$G$5:$G$160&lt;&gt;"moeda")*(Inputs!$G$5:$G$160&lt;&gt;"acoes")))*INDEX(Inputs!$K$5:$AJ$160,0,MATCH(AA$2,Inputs!$K$4:$AJ$4,0)))+SUMPRODUCT((Inputs!$C$5:$C$160=$B42)*Inputs!$D$5:$D$160*(((Inputs!$G$5:$G$160="moeda")+(Inputs!$G$5:$G$160="acoes"))*Inputs!$B$1+((Inputs!$G$5:$G$160&lt;&gt;"moeda")*(Inputs!$G$5:$G$160&lt;&gt;"acoes")))*INDEX(Inputs!$K$5:$AJ$160,0,MATCH(AA$2,Inputs!$K$4:$AJ$4,0)))+SUMPRODUCT((Inputs!$E$5:$E$160=$B42)*Inputs!$F$5:$F$160*(((Inputs!$G$5:$G$160="moeda")+(Inputs!$G$5:$G$160="acoes"))*Inputs!$B$1+((Inputs!$G$5:$G$160&lt;&gt;"moeda")*(Inputs!$G$5:$G$160&lt;&gt;"acoes")))*INDEX(Inputs!$K$5:$AJ$160,0,MATCH(AA$2,Inputs!$K$4:$AJ$4,0)))))</f>
        <v>#N/A</v>
      </c>
      <c r="AB42" s="3" t="e">
        <f>AA42</f>
        <v>#N/A</v>
      </c>
      <c r="AC42" s="6" t="e">
        <f>IF(ISNA(MATCH(AC$2,Inputs!$K$4:$AJ$4,0)),NA(),IF(SUMPRODUCT((Inputs!$A$5:$A$160=$B42)*ISNUMBER(INDEX(Inputs!$K$5:$AJ$160,0,MATCH(AC$2,Inputs!$K$4:$AJ$4,0))))+SUMPRODUCT((Inputs!$C$5:$C$160=$B42)*ISNUMBER(INDEX(Inputs!$K$5:$AJ$160,0,MATCH(AC$2,Inputs!$K$4:$AJ$4,0))))+SUMPRODUCT((Inputs!$E$5:$E$160=$B42)*ISNUMBER(INDEX(Inputs!$K$5:$AJ$160,0,MATCH(AC$2,Inputs!$K$4:$AJ$4,0))))=0,NA(),SUMPRODUCT((Inputs!$A$5:$A$160=$B42)*Inputs!$B$5:$B$160*(((Inputs!$G$5:$G$160="moeda")+(Inputs!$G$5:$G$160="acoes"))*Inputs!$B$1+((Inputs!$G$5:$G$160&lt;&gt;"moeda")*(Inputs!$G$5:$G$160&lt;&gt;"acoes")))*INDEX(Inputs!$K$5:$AJ$160,0,MATCH(AC$2,Inputs!$K$4:$AJ$4,0)))+SUMPRODUCT((Inputs!$C$5:$C$160=$B42)*Inputs!$D$5:$D$160*(((Inputs!$G$5:$G$160="moeda")+(Inputs!$G$5:$G$160="acoes"))*Inputs!$B$1+((Inputs!$G$5:$G$160&lt;&gt;"moeda")*(Inputs!$G$5:$G$160&lt;&gt;"acoes")))*INDEX(Inputs!$K$5:$AJ$160,0,MATCH(AC$2,Inputs!$K$4:$AJ$4,0)))+SUMPRODUCT((Inputs!$E$5:$E$160=$B42)*Inputs!$F$5:$F$160*(((Inputs!$G$5:$G$160="moeda")+(Inputs!$G$5:$G$160="acoes"))*Inputs!$B$1+((Inputs!$G$5:$G$160&lt;&gt;"moeda")*(Inputs!$G$5:$G$160&lt;&gt;"acoes")))*INDEX(Inputs!$K$5:$AJ$160,0,MATCH(AC$2,Inputs!$K$4:$AJ$4,0)))))</f>
        <v>#N/A</v>
      </c>
      <c r="AD42" s="6" t="e">
        <f>IF(ISNA(MATCH(AD$2,Inputs!$K$4:$AJ$4,0)),NA(),IF(SUMPRODUCT((Inputs!$A$5:$A$160=$B42)*ISNUMBER(INDEX(Inputs!$K$5:$AJ$160,0,MATCH(AD$2,Inputs!$K$4:$AJ$4,0))))+SUMPRODUCT((Inputs!$C$5:$C$160=$B42)*ISNUMBER(INDEX(Inputs!$K$5:$AJ$160,0,MATCH(AD$2,Inputs!$K$4:$AJ$4,0))))+SUMPRODUCT((Inputs!$E$5:$E$160=$B42)*ISNUMBER(INDEX(Inputs!$K$5:$AJ$160,0,MATCH(AD$2,Inputs!$K$4:$AJ$4,0))))=0,NA(),SUMPRODUCT((Inputs!$A$5:$A$160=$B42)*Inputs!$B$5:$B$160*(((Inputs!$G$5:$G$160="moeda")+(Inputs!$G$5:$G$160="acoes"))*Inputs!$B$1+((Inputs!$G$5:$G$160&lt;&gt;"moeda")*(Inputs!$G$5:$G$160&lt;&gt;"acoes")))*INDEX(Inputs!$K$5:$AJ$160,0,MATCH(AD$2,Inputs!$K$4:$AJ$4,0)))+SUMPRODUCT((Inputs!$C$5:$C$160=$B42)*Inputs!$D$5:$D$160*(((Inputs!$G$5:$G$160="moeda")+(Inputs!$G$5:$G$160="acoes"))*Inputs!$B$1+((Inputs!$G$5:$G$160&lt;&gt;"moeda")*(Inputs!$G$5:$G$160&lt;&gt;"acoes")))*INDEX(Inputs!$K$5:$AJ$160,0,MATCH(AD$2,Inputs!$K$4:$AJ$4,0)))+SUMPRODUCT((Inputs!$E$5:$E$160=$B42)*Inputs!$F$5:$F$160*(((Inputs!$G$5:$G$160="moeda")+(Inputs!$G$5:$G$160="acoes"))*Inputs!$B$1+((Inputs!$G$5:$G$160&lt;&gt;"moeda")*(Inputs!$G$5:$G$160&lt;&gt;"acoes")))*INDEX(Inputs!$K$5:$AJ$160,0,MATCH(AD$2,Inputs!$K$4:$AJ$4,0)))))</f>
        <v>#N/A</v>
      </c>
      <c r="AE42" s="6" t="e">
        <f>IF(ISNA(MATCH(AE$2,Inputs!$K$4:$AJ$4,0)),NA(),IF(SUMPRODUCT((Inputs!$A$5:$A$160=$B42)*ISNUMBER(INDEX(Inputs!$K$5:$AJ$160,0,MATCH(AE$2,Inputs!$K$4:$AJ$4,0))))+SUMPRODUCT((Inputs!$C$5:$C$160=$B42)*ISNUMBER(INDEX(Inputs!$K$5:$AJ$160,0,MATCH(AE$2,Inputs!$K$4:$AJ$4,0))))+SUMPRODUCT((Inputs!$E$5:$E$160=$B42)*ISNUMBER(INDEX(Inputs!$K$5:$AJ$160,0,MATCH(AE$2,Inputs!$K$4:$AJ$4,0))))=0,NA(),SUMPRODUCT((Inputs!$A$5:$A$160=$B42)*Inputs!$B$5:$B$160*(((Inputs!$G$5:$G$160="moeda")+(Inputs!$G$5:$G$160="acoes"))*Inputs!$B$1+((Inputs!$G$5:$G$160&lt;&gt;"moeda")*(Inputs!$G$5:$G$160&lt;&gt;"acoes")))*INDEX(Inputs!$K$5:$AJ$160,0,MATCH(AE$2,Inputs!$K$4:$AJ$4,0)))+SUMPRODUCT((Inputs!$C$5:$C$160=$B42)*Inputs!$D$5:$D$160*(((Inputs!$G$5:$G$160="moeda")+(Inputs!$G$5:$G$160="acoes"))*Inputs!$B$1+((Inputs!$G$5:$G$160&lt;&gt;"moeda")*(Inputs!$G$5:$G$160&lt;&gt;"acoes")))*INDEX(Inputs!$K$5:$AJ$160,0,MATCH(AE$2,Inputs!$K$4:$AJ$4,0)))+SUMPRODUCT((Inputs!$E$5:$E$160=$B42)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2" s="6" t="e">
        <f>IF(ISNA(MATCH(AF$2,Inputs!$K$4:$AJ$4,0)),NA(),IF(SUMPRODUCT((Inputs!$A$5:$A$160=$B42)*ISNUMBER(INDEX(Inputs!$K$5:$AJ$160,0,MATCH(AF$2,Inputs!$K$4:$AJ$4,0))))+SUMPRODUCT((Inputs!$C$5:$C$160=$B42)*ISNUMBER(INDEX(Inputs!$K$5:$AJ$160,0,MATCH(AF$2,Inputs!$K$4:$AJ$4,0))))+SUMPRODUCT((Inputs!$E$5:$E$160=$B42)*ISNUMBER(INDEX(Inputs!$K$5:$AJ$160,0,MATCH(AF$2,Inputs!$K$4:$AJ$4,0))))=0,NA(),SUMPRODUCT((Inputs!$A$5:$A$160=$B42)*Inputs!$B$5:$B$160*(((Inputs!$G$5:$G$160="moeda")+(Inputs!$G$5:$G$160="acoes"))*Inputs!$B$1+((Inputs!$G$5:$G$160&lt;&gt;"moeda")*(Inputs!$G$5:$G$160&lt;&gt;"acoes")))*INDEX(Inputs!$K$5:$AJ$160,0,MATCH(AF$2,Inputs!$K$4:$AJ$4,0)))+SUMPRODUCT((Inputs!$C$5:$C$160=$B42)*Inputs!$D$5:$D$160*(((Inputs!$G$5:$G$160="moeda")+(Inputs!$G$5:$G$160="acoes"))*Inputs!$B$1+((Inputs!$G$5:$G$160&lt;&gt;"moeda")*(Inputs!$G$5:$G$160&lt;&gt;"acoes")))*INDEX(Inputs!$K$5:$AJ$160,0,MATCH(AF$2,Inputs!$K$4:$AJ$4,0)))+SUMPRODUCT((Inputs!$E$5:$E$160=$B42)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2" s="3" t="e">
        <f>AF42</f>
        <v>#N/A</v>
      </c>
      <c r="AH42" s="6" t="e">
        <f>IF(ISNA(MATCH(AH$2,Inputs!$K$4:$AJ$4,0)),NA(),IF(SUMPRODUCT((Inputs!$A$5:$A$160=$B42)*ISNUMBER(INDEX(Inputs!$K$5:$AJ$160,0,MATCH(AH$2,Inputs!$K$4:$AJ$4,0))))+SUMPRODUCT((Inputs!$C$5:$C$160=$B42)*ISNUMBER(INDEX(Inputs!$K$5:$AJ$160,0,MATCH(AH$2,Inputs!$K$4:$AJ$4,0))))+SUMPRODUCT((Inputs!$E$5:$E$160=$B42)*ISNUMBER(INDEX(Inputs!$K$5:$AJ$160,0,MATCH(AH$2,Inputs!$K$4:$AJ$4,0))))=0,NA(),SUMPRODUCT((Inputs!$A$5:$A$160=$B42)*Inputs!$B$5:$B$160*(((Inputs!$G$5:$G$160="moeda")+(Inputs!$G$5:$G$160="acoes"))*Inputs!$B$1+((Inputs!$G$5:$G$160&lt;&gt;"moeda")*(Inputs!$G$5:$G$160&lt;&gt;"acoes")))*INDEX(Inputs!$K$5:$AJ$160,0,MATCH(AH$2,Inputs!$K$4:$AJ$4,0)))+SUMPRODUCT((Inputs!$C$5:$C$160=$B42)*Inputs!$D$5:$D$160*(((Inputs!$G$5:$G$160="moeda")+(Inputs!$G$5:$G$160="acoes"))*Inputs!$B$1+((Inputs!$G$5:$G$160&lt;&gt;"moeda")*(Inputs!$G$5:$G$160&lt;&gt;"acoes")))*INDEX(Inputs!$K$5:$AJ$160,0,MATCH(AH$2,Inputs!$K$4:$AJ$4,0)))+SUMPRODUCT((Inputs!$E$5:$E$160=$B42)*Inputs!$F$5:$F$160*(((Inputs!$G$5:$G$160="moeda")+(Inputs!$G$5:$G$160="acoes"))*Inputs!$B$1+((Inputs!$G$5:$G$160&lt;&gt;"moeda")*(Inputs!$G$5:$G$160&lt;&gt;"acoes")))*INDEX(Inputs!$K$5:$AJ$160,0,MATCH(AH$2,Inputs!$K$4:$AJ$4,0)))))</f>
        <v>#N/A</v>
      </c>
      <c r="AI42" s="6" t="e">
        <f>IF(ISNA(MATCH(AI$2,Inputs!$K$4:$AJ$4,0)),NA(),IF(SUMPRODUCT((Inputs!$A$5:$A$160=$B42)*ISNUMBER(INDEX(Inputs!$K$5:$AJ$160,0,MATCH(AI$2,Inputs!$K$4:$AJ$4,0))))+SUMPRODUCT((Inputs!$C$5:$C$160=$B42)*ISNUMBER(INDEX(Inputs!$K$5:$AJ$160,0,MATCH(AI$2,Inputs!$K$4:$AJ$4,0))))+SUMPRODUCT((Inputs!$E$5:$E$160=$B42)*ISNUMBER(INDEX(Inputs!$K$5:$AJ$160,0,MATCH(AI$2,Inputs!$K$4:$AJ$4,0))))=0,NA(),SUMPRODUCT((Inputs!$A$5:$A$160=$B42)*Inputs!$B$5:$B$160*(((Inputs!$G$5:$G$160="moeda")+(Inputs!$G$5:$G$160="acoes"))*Inputs!$B$1+((Inputs!$G$5:$G$160&lt;&gt;"moeda")*(Inputs!$G$5:$G$160&lt;&gt;"acoes")))*INDEX(Inputs!$K$5:$AJ$160,0,MATCH(AI$2,Inputs!$K$4:$AJ$4,0)))+SUMPRODUCT((Inputs!$C$5:$C$160=$B42)*Inputs!$D$5:$D$160*(((Inputs!$G$5:$G$160="moeda")+(Inputs!$G$5:$G$160="acoes"))*Inputs!$B$1+((Inputs!$G$5:$G$160&lt;&gt;"moeda")*(Inputs!$G$5:$G$160&lt;&gt;"acoes")))*INDEX(Inputs!$K$5:$AJ$160,0,MATCH(AI$2,Inputs!$K$4:$AJ$4,0)))+SUMPRODUCT((Inputs!$E$5:$E$160=$B42)*Inputs!$F$5:$F$160*(((Inputs!$G$5:$G$160="moeda")+(Inputs!$G$5:$G$160="acoes"))*Inputs!$B$1+((Inputs!$G$5:$G$160&lt;&gt;"moeda")*(Inputs!$G$5:$G$160&lt;&gt;"acoes")))*INDEX(Inputs!$K$5:$AJ$160,0,MATCH(AI$2,Inputs!$K$4:$AJ$4,0)))))</f>
        <v>#N/A</v>
      </c>
      <c r="AJ42" s="6" t="e">
        <f>IF(ISNA(MATCH(AJ$2,Inputs!$K$4:$AJ$4,0)),NA(),IF(SUMPRODUCT((Inputs!$A$5:$A$160=$B42)*ISNUMBER(INDEX(Inputs!$K$5:$AJ$160,0,MATCH(AJ$2,Inputs!$K$4:$AJ$4,0))))+SUMPRODUCT((Inputs!$C$5:$C$160=$B42)*ISNUMBER(INDEX(Inputs!$K$5:$AJ$160,0,MATCH(AJ$2,Inputs!$K$4:$AJ$4,0))))+SUMPRODUCT((Inputs!$E$5:$E$160=$B42)*ISNUMBER(INDEX(Inputs!$K$5:$AJ$160,0,MATCH(AJ$2,Inputs!$K$4:$AJ$4,0))))=0,NA(),SUMPRODUCT((Inputs!$A$5:$A$160=$B42)*Inputs!$B$5:$B$160*(((Inputs!$G$5:$G$160="moeda")+(Inputs!$G$5:$G$160="acoes"))*Inputs!$B$1+((Inputs!$G$5:$G$160&lt;&gt;"moeda")*(Inputs!$G$5:$G$160&lt;&gt;"acoes")))*INDEX(Inputs!$K$5:$AJ$160,0,MATCH(AJ$2,Inputs!$K$4:$AJ$4,0)))+SUMPRODUCT((Inputs!$C$5:$C$160=$B42)*Inputs!$D$5:$D$160*(((Inputs!$G$5:$G$160="moeda")+(Inputs!$G$5:$G$160="acoes"))*Inputs!$B$1+((Inputs!$G$5:$G$160&lt;&gt;"moeda")*(Inputs!$G$5:$G$160&lt;&gt;"acoes")))*INDEX(Inputs!$K$5:$AJ$160,0,MATCH(AJ$2,Inputs!$K$4:$AJ$4,0)))+SUMPRODUCT((Inputs!$E$5:$E$160=$B42)*Inputs!$F$5:$F$160*(((Inputs!$G$5:$G$160="moeda")+(Inputs!$G$5:$G$160="acoes"))*Inputs!$B$1+((Inputs!$G$5:$G$160&lt;&gt;"moeda")*(Inputs!$G$5:$G$160&lt;&gt;"acoes")))*INDEX(Inputs!$K$5:$AJ$160,0,MATCH(AJ$2,Inputs!$K$4:$AJ$4,0)))))</f>
        <v>#N/A</v>
      </c>
      <c r="AK42" s="6" t="e">
        <f>IF(ISNA(MATCH(AK$2,Inputs!$K$4:$AJ$4,0)),NA(),IF(SUMPRODUCT((Inputs!$A$5:$A$160=$B42)*ISNUMBER(INDEX(Inputs!$K$5:$AJ$160,0,MATCH(AK$2,Inputs!$K$4:$AJ$4,0))))+SUMPRODUCT((Inputs!$C$5:$C$160=$B42)*ISNUMBER(INDEX(Inputs!$K$5:$AJ$160,0,MATCH(AK$2,Inputs!$K$4:$AJ$4,0))))+SUMPRODUCT((Inputs!$E$5:$E$160=$B42)*ISNUMBER(INDEX(Inputs!$K$5:$AJ$160,0,MATCH(AK$2,Inputs!$K$4:$AJ$4,0))))=0,NA(),SUMPRODUCT((Inputs!$A$5:$A$160=$B42)*Inputs!$B$5:$B$160*(((Inputs!$G$5:$G$160="moeda")+(Inputs!$G$5:$G$160="acoes"))*Inputs!$B$1+((Inputs!$G$5:$G$160&lt;&gt;"moeda")*(Inputs!$G$5:$G$160&lt;&gt;"acoes")))*INDEX(Inputs!$K$5:$AJ$160,0,MATCH(AK$2,Inputs!$K$4:$AJ$4,0)))+SUMPRODUCT((Inputs!$C$5:$C$160=$B42)*Inputs!$D$5:$D$160*(((Inputs!$G$5:$G$160="moeda")+(Inputs!$G$5:$G$160="acoes"))*Inputs!$B$1+((Inputs!$G$5:$G$160&lt;&gt;"moeda")*(Inputs!$G$5:$G$160&lt;&gt;"acoes")))*INDEX(Inputs!$K$5:$AJ$160,0,MATCH(AK$2,Inputs!$K$4:$AJ$4,0)))+SUMPRODUCT((Inputs!$E$5:$E$160=$B42)*Inputs!$F$5:$F$160*(((Inputs!$G$5:$G$160="moeda")+(Inputs!$G$5:$G$160="acoes"))*Inputs!$B$1+((Inputs!$G$5:$G$160&lt;&gt;"moeda")*(Inputs!$G$5:$G$160&lt;&gt;"acoes")))*INDEX(Inputs!$K$5:$AJ$160,0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$160=$B43)*ISNUMBER(INDEX(Inputs!$K$5:$AJ$160,0,MATCH(D$2,Inputs!$K$4:$AJ$4,0))))+SUMPRODUCT((Inputs!$C$5:$C$160=$B43)*ISNUMBER(INDEX(Inputs!$K$5:$AJ$160,0,MATCH(D$2,Inputs!$K$4:$AJ$4,0))))+SUMPRODUCT((Inputs!$E$5:$E$160=$B43)*ISNUMBER(INDEX(Inputs!$K$5:$AJ$160,0,MATCH(D$2,Inputs!$K$4:$AJ$4,0))))=0,NA(),SUMPRODUCT((Inputs!$A$5:$A$160=$B43)*Inputs!$B$5:$B$160*(((Inputs!$G$5:$G$160="moeda")+(Inputs!$G$5:$G$160="acoes"))*Inputs!$B$1+((Inputs!$G$5:$G$160&lt;&gt;"moeda")*(Inputs!$G$5:$G$160&lt;&gt;"acoes")))*INDEX(Inputs!$K$5:$AJ$160,0,MATCH(D$2,Inputs!$K$4:$AJ$4,0)))+SUMPRODUCT((Inputs!$C$5:$C$160=$B43)*Inputs!$D$5:$D$160*(((Inputs!$G$5:$G$160="moeda")+(Inputs!$G$5:$G$160="acoes"))*Inputs!$B$1+((Inputs!$G$5:$G$160&lt;&gt;"moeda")*(Inputs!$G$5:$G$160&lt;&gt;"acoes")))*INDEX(Inputs!$K$5:$AJ$160,0,MATCH(D$2,Inputs!$K$4:$AJ$4,0)))+SUMPRODUCT((Inputs!$E$5:$E$160=$B43)*Inputs!$F$5:$F$160*(((Inputs!$G$5:$G$160="moeda")+(Inputs!$G$5:$G$160="acoes"))*Inputs!$B$1+((Inputs!$G$5:$G$160&lt;&gt;"moeda")*(Inputs!$G$5:$G$160&lt;&gt;"acoes")))*INDEX(Inputs!$K$5:$AJ$160,0,MATCH(D$2,Inputs!$K$4:$AJ$4,0)))))</f>
        <v>1468.70785658</v>
      </c>
      <c r="E43" s="6">
        <f>IF(ISNA(MATCH(E$2,Inputs!$K$4:$AJ$4,0)),NA(),IF(SUMPRODUCT((Inputs!$A$5:$A$160=$B43)*ISNUMBER(INDEX(Inputs!$K$5:$AJ$160,0,MATCH(E$2,Inputs!$K$4:$AJ$4,0))))+SUMPRODUCT((Inputs!$C$5:$C$160=$B43)*ISNUMBER(INDEX(Inputs!$K$5:$AJ$160,0,MATCH(E$2,Inputs!$K$4:$AJ$4,0))))+SUMPRODUCT((Inputs!$E$5:$E$160=$B43)*ISNUMBER(INDEX(Inputs!$K$5:$AJ$160,0,MATCH(E$2,Inputs!$K$4:$AJ$4,0))))=0,NA(),SUMPRODUCT((Inputs!$A$5:$A$160=$B43)*Inputs!$B$5:$B$160*(((Inputs!$G$5:$G$160="moeda")+(Inputs!$G$5:$G$160="acoes"))*Inputs!$B$1+((Inputs!$G$5:$G$160&lt;&gt;"moeda")*(Inputs!$G$5:$G$160&lt;&gt;"acoes")))*INDEX(Inputs!$K$5:$AJ$160,0,MATCH(E$2,Inputs!$K$4:$AJ$4,0)))+SUMPRODUCT((Inputs!$C$5:$C$160=$B43)*Inputs!$D$5:$D$160*(((Inputs!$G$5:$G$160="moeda")+(Inputs!$G$5:$G$160="acoes"))*Inputs!$B$1+((Inputs!$G$5:$G$160&lt;&gt;"moeda")*(Inputs!$G$5:$G$160&lt;&gt;"acoes")))*INDEX(Inputs!$K$5:$AJ$160,0,MATCH(E$2,Inputs!$K$4:$AJ$4,0)))+SUMPRODUCT((Inputs!$E$5:$E$160=$B43)*Inputs!$F$5:$F$160*(((Inputs!$G$5:$G$160="moeda")+(Inputs!$G$5:$G$160="acoes"))*Inputs!$B$1+((Inputs!$G$5:$G$160&lt;&gt;"moeda")*(Inputs!$G$5:$G$160&lt;&gt;"acoes")))*INDEX(Inputs!$K$5:$AJ$160,0,MATCH(E$2,Inputs!$K$4:$AJ$4,0)))))</f>
        <v>1469.12340486</v>
      </c>
      <c r="F43" s="6">
        <f>IF(ISNA(MATCH(F$2,Inputs!$K$4:$AJ$4,0)),NA(),IF(SUMPRODUCT((Inputs!$A$5:$A$160=$B43)*ISNUMBER(INDEX(Inputs!$K$5:$AJ$160,0,MATCH(F$2,Inputs!$K$4:$AJ$4,0))))+SUMPRODUCT((Inputs!$C$5:$C$160=$B43)*ISNUMBER(INDEX(Inputs!$K$5:$AJ$160,0,MATCH(F$2,Inputs!$K$4:$AJ$4,0))))+SUMPRODUCT((Inputs!$E$5:$E$160=$B43)*ISNUMBER(INDEX(Inputs!$K$5:$AJ$160,0,MATCH(F$2,Inputs!$K$4:$AJ$4,0))))=0,NA(),SUMPRODUCT((Inputs!$A$5:$A$160=$B43)*Inputs!$B$5:$B$160*(((Inputs!$G$5:$G$160="moeda")+(Inputs!$G$5:$G$160="acoes"))*Inputs!$B$1+((Inputs!$G$5:$G$160&lt;&gt;"moeda")*(Inputs!$G$5:$G$160&lt;&gt;"acoes")))*INDEX(Inputs!$K$5:$AJ$160,0,MATCH(F$2,Inputs!$K$4:$AJ$4,0)))+SUMPRODUCT((Inputs!$C$5:$C$160=$B43)*Inputs!$D$5:$D$160*(((Inputs!$G$5:$G$160="moeda")+(Inputs!$G$5:$G$160="acoes"))*Inputs!$B$1+((Inputs!$G$5:$G$160&lt;&gt;"moeda")*(Inputs!$G$5:$G$160&lt;&gt;"acoes")))*INDEX(Inputs!$K$5:$AJ$160,0,MATCH(F$2,Inputs!$K$4:$AJ$4,0)))+SUMPRODUCT((Inputs!$E$5:$E$160=$B43)*Inputs!$F$5:$F$160*(((Inputs!$G$5:$G$160="moeda")+(Inputs!$G$5:$G$160="acoes"))*Inputs!$B$1+((Inputs!$G$5:$G$160&lt;&gt;"moeda")*(Inputs!$G$5:$G$160&lt;&gt;"acoes")))*INDEX(Inputs!$K$5:$AJ$160,0,MATCH(F$2,Inputs!$K$4:$AJ$4,0)))))</f>
        <v>1474.49783234</v>
      </c>
      <c r="G43" s="6">
        <f>IF(ISNA(MATCH(G$2,Inputs!$K$4:$AJ$4,0)),NA(),IF(SUMPRODUCT((Inputs!$A$5:$A$160=$B43)*ISNUMBER(INDEX(Inputs!$K$5:$AJ$160,0,MATCH(G$2,Inputs!$K$4:$AJ$4,0))))+SUMPRODUCT((Inputs!$C$5:$C$160=$B43)*ISNUMBER(INDEX(Inputs!$K$5:$AJ$160,0,MATCH(G$2,Inputs!$K$4:$AJ$4,0))))+SUMPRODUCT((Inputs!$E$5:$E$160=$B43)*ISNUMBER(INDEX(Inputs!$K$5:$AJ$160,0,MATCH(G$2,Inputs!$K$4:$AJ$4,0))))=0,NA(),SUMPRODUCT((Inputs!$A$5:$A$160=$B43)*Inputs!$B$5:$B$160*(((Inputs!$G$5:$G$160="moeda")+(Inputs!$G$5:$G$160="acoes"))*Inputs!$B$1+((Inputs!$G$5:$G$160&lt;&gt;"moeda")*(Inputs!$G$5:$G$160&lt;&gt;"acoes")))*INDEX(Inputs!$K$5:$AJ$160,0,MATCH(G$2,Inputs!$K$4:$AJ$4,0)))+SUMPRODUCT((Inputs!$C$5:$C$160=$B43)*Inputs!$D$5:$D$160*(((Inputs!$G$5:$G$160="moeda")+(Inputs!$G$5:$G$160="acoes"))*Inputs!$B$1+((Inputs!$G$5:$G$160&lt;&gt;"moeda")*(Inputs!$G$5:$G$160&lt;&gt;"acoes")))*INDEX(Inputs!$K$5:$AJ$160,0,MATCH(G$2,Inputs!$K$4:$AJ$4,0)))+SUMPRODUCT((Inputs!$E$5:$E$160=$B43)*Inputs!$F$5:$F$160*(((Inputs!$G$5:$G$160="moeda")+(Inputs!$G$5:$G$160="acoes"))*Inputs!$B$1+((Inputs!$G$5:$G$160&lt;&gt;"moeda")*(Inputs!$G$5:$G$160&lt;&gt;"acoes")))*INDEX(Inputs!$K$5:$AJ$160,0,MATCH(G$2,Inputs!$K$4:$AJ$4,0)))))</f>
        <v>1474.72765197</v>
      </c>
      <c r="H43" s="3">
        <f>G43</f>
        <v>1474.72765197</v>
      </c>
      <c r="I43" s="6">
        <f>IF(ISNA(MATCH(I$2,Inputs!$K$4:$AJ$4,0)),NA(),IF(SUMPRODUCT((Inputs!$A$5:$A$160=$B43)*ISNUMBER(INDEX(Inputs!$K$5:$AJ$160,0,MATCH(I$2,Inputs!$K$4:$AJ$4,0))))+SUMPRODUCT((Inputs!$C$5:$C$160=$B43)*ISNUMBER(INDEX(Inputs!$K$5:$AJ$160,0,MATCH(I$2,Inputs!$K$4:$AJ$4,0))))+SUMPRODUCT((Inputs!$E$5:$E$160=$B43)*ISNUMBER(INDEX(Inputs!$K$5:$AJ$160,0,MATCH(I$2,Inputs!$K$4:$AJ$4,0))))=0,NA(),SUMPRODUCT((Inputs!$A$5:$A$160=$B43)*Inputs!$B$5:$B$160*(((Inputs!$G$5:$G$160="moeda")+(Inputs!$G$5:$G$160="acoes"))*Inputs!$B$1+((Inputs!$G$5:$G$160&lt;&gt;"moeda")*(Inputs!$G$5:$G$160&lt;&gt;"acoes")))*INDEX(Inputs!$K$5:$AJ$160,0,MATCH(I$2,Inputs!$K$4:$AJ$4,0)))+SUMPRODUCT((Inputs!$C$5:$C$160=$B43)*Inputs!$D$5:$D$160*(((Inputs!$G$5:$G$160="moeda")+(Inputs!$G$5:$G$160="acoes"))*Inputs!$B$1+((Inputs!$G$5:$G$160&lt;&gt;"moeda")*(Inputs!$G$5:$G$160&lt;&gt;"acoes")))*INDEX(Inputs!$K$5:$AJ$160,0,MATCH(I$2,Inputs!$K$4:$AJ$4,0)))+SUMPRODUCT((Inputs!$E$5:$E$160=$B43)*Inputs!$F$5:$F$160*(((Inputs!$G$5:$G$160="moeda")+(Inputs!$G$5:$G$160="acoes"))*Inputs!$B$1+((Inputs!$G$5:$G$160&lt;&gt;"moeda")*(Inputs!$G$5:$G$160&lt;&gt;"acoes")))*INDEX(Inputs!$K$5:$AJ$160,0,MATCH(I$2,Inputs!$K$4:$AJ$4,0)))))</f>
        <v>1475.10780063</v>
      </c>
      <c r="J43" s="6">
        <f>IF(ISNA(MATCH(J$2,Inputs!$K$4:$AJ$4,0)),NA(),IF(SUMPRODUCT((Inputs!$A$5:$A$160=$B43)*ISNUMBER(INDEX(Inputs!$K$5:$AJ$160,0,MATCH(J$2,Inputs!$K$4:$AJ$4,0))))+SUMPRODUCT((Inputs!$C$5:$C$160=$B43)*ISNUMBER(INDEX(Inputs!$K$5:$AJ$160,0,MATCH(J$2,Inputs!$K$4:$AJ$4,0))))+SUMPRODUCT((Inputs!$E$5:$E$160=$B43)*ISNUMBER(INDEX(Inputs!$K$5:$AJ$160,0,MATCH(J$2,Inputs!$K$4:$AJ$4,0))))=0,NA(),SUMPRODUCT((Inputs!$A$5:$A$160=$B43)*Inputs!$B$5:$B$160*(((Inputs!$G$5:$G$160="moeda")+(Inputs!$G$5:$G$160="acoes"))*Inputs!$B$1+((Inputs!$G$5:$G$160&lt;&gt;"moeda")*(Inputs!$G$5:$G$160&lt;&gt;"acoes")))*INDEX(Inputs!$K$5:$AJ$160,0,MATCH(J$2,Inputs!$K$4:$AJ$4,0)))+SUMPRODUCT((Inputs!$C$5:$C$160=$B43)*Inputs!$D$5:$D$160*(((Inputs!$G$5:$G$160="moeda")+(Inputs!$G$5:$G$160="acoes"))*Inputs!$B$1+((Inputs!$G$5:$G$160&lt;&gt;"moeda")*(Inputs!$G$5:$G$160&lt;&gt;"acoes")))*INDEX(Inputs!$K$5:$AJ$160,0,MATCH(J$2,Inputs!$K$4:$AJ$4,0)))+SUMPRODUCT((Inputs!$E$5:$E$160=$B43)*Inputs!$F$5:$F$160*(((Inputs!$G$5:$G$160="moeda")+(Inputs!$G$5:$G$160="acoes"))*Inputs!$B$1+((Inputs!$G$5:$G$160&lt;&gt;"moeda")*(Inputs!$G$5:$G$160&lt;&gt;"acoes")))*INDEX(Inputs!$K$5:$AJ$160,0,MATCH(J$2,Inputs!$K$4:$AJ$4,0)))))</f>
        <v>1475.01522486</v>
      </c>
      <c r="K43" s="6">
        <f>IF(ISNA(MATCH(K$2,Inputs!$K$4:$AJ$4,0)),NA(),IF(SUMPRODUCT((Inputs!$A$5:$A$160=$B43)*ISNUMBER(INDEX(Inputs!$K$5:$AJ$160,0,MATCH(K$2,Inputs!$K$4:$AJ$4,0))))+SUMPRODUCT((Inputs!$C$5:$C$160=$B43)*ISNUMBER(INDEX(Inputs!$K$5:$AJ$160,0,MATCH(K$2,Inputs!$K$4:$AJ$4,0))))+SUMPRODUCT((Inputs!$E$5:$E$160=$B43)*ISNUMBER(INDEX(Inputs!$K$5:$AJ$160,0,MATCH(K$2,Inputs!$K$4:$AJ$4,0))))=0,NA(),SUMPRODUCT((Inputs!$A$5:$A$160=$B43)*Inputs!$B$5:$B$160*(((Inputs!$G$5:$G$160="moeda")+(Inputs!$G$5:$G$160="acoes"))*Inputs!$B$1+((Inputs!$G$5:$G$160&lt;&gt;"moeda")*(Inputs!$G$5:$G$160&lt;&gt;"acoes")))*INDEX(Inputs!$K$5:$AJ$160,0,MATCH(K$2,Inputs!$K$4:$AJ$4,0)))+SUMPRODUCT((Inputs!$C$5:$C$160=$B43)*Inputs!$D$5:$D$160*(((Inputs!$G$5:$G$160="moeda")+(Inputs!$G$5:$G$160="acoes"))*Inputs!$B$1+((Inputs!$G$5:$G$160&lt;&gt;"moeda")*(Inputs!$G$5:$G$160&lt;&gt;"acoes")))*INDEX(Inputs!$K$5:$AJ$160,0,MATCH(K$2,Inputs!$K$4:$AJ$4,0)))+SUMPRODUCT((Inputs!$E$5:$E$160=$B43)*Inputs!$F$5:$F$160*(((Inputs!$G$5:$G$160="moeda")+(Inputs!$G$5:$G$160="acoes"))*Inputs!$B$1+((Inputs!$G$5:$G$160&lt;&gt;"moeda")*(Inputs!$G$5:$G$160&lt;&gt;"acoes")))*INDEX(Inputs!$K$5:$AJ$160,0,MATCH(K$2,Inputs!$K$4:$AJ$4,0)))))</f>
        <v>1476.85481989</v>
      </c>
      <c r="L43" s="6">
        <f>IF(ISNA(MATCH(L$2,Inputs!$K$4:$AJ$4,0)),NA(),IF(SUMPRODUCT((Inputs!$A$5:$A$160=$B43)*ISNUMBER(INDEX(Inputs!$K$5:$AJ$160,0,MATCH(L$2,Inputs!$K$4:$AJ$4,0))))+SUMPRODUCT((Inputs!$C$5:$C$160=$B43)*ISNUMBER(INDEX(Inputs!$K$5:$AJ$160,0,MATCH(L$2,Inputs!$K$4:$AJ$4,0))))+SUMPRODUCT((Inputs!$E$5:$E$160=$B43)*ISNUMBER(INDEX(Inputs!$K$5:$AJ$160,0,MATCH(L$2,Inputs!$K$4:$AJ$4,0))))=0,NA(),SUMPRODUCT((Inputs!$A$5:$A$160=$B43)*Inputs!$B$5:$B$160*(((Inputs!$G$5:$G$160="moeda")+(Inputs!$G$5:$G$160="acoes"))*Inputs!$B$1+((Inputs!$G$5:$G$160&lt;&gt;"moeda")*(Inputs!$G$5:$G$160&lt;&gt;"acoes")))*INDEX(Inputs!$K$5:$AJ$160,0,MATCH(L$2,Inputs!$K$4:$AJ$4,0)))+SUMPRODUCT((Inputs!$C$5:$C$160=$B43)*Inputs!$D$5:$D$160*(((Inputs!$G$5:$G$160="moeda")+(Inputs!$G$5:$G$160="acoes"))*Inputs!$B$1+((Inputs!$G$5:$G$160&lt;&gt;"moeda")*(Inputs!$G$5:$G$160&lt;&gt;"acoes")))*INDEX(Inputs!$K$5:$AJ$160,0,MATCH(L$2,Inputs!$K$4:$AJ$4,0)))+SUMPRODUCT((Inputs!$E$5:$E$160=$B43)*Inputs!$F$5:$F$160*(((Inputs!$G$5:$G$160="moeda")+(Inputs!$G$5:$G$160="acoes"))*Inputs!$B$1+((Inputs!$G$5:$G$160&lt;&gt;"moeda")*(Inputs!$G$5:$G$160&lt;&gt;"acoes")))*INDEX(Inputs!$K$5:$AJ$160,0,MATCH(L$2,Inputs!$K$4:$AJ$4,0)))))</f>
        <v>2320.43421514</v>
      </c>
      <c r="M43" s="3">
        <f>L43</f>
        <v>2320.43421514</v>
      </c>
      <c r="N43" s="6">
        <f>IF(ISNA(MATCH(N$2,Inputs!$K$4:$AJ$4,0)),NA(),IF(SUMPRODUCT((Inputs!$A$5:$A$160=$B43)*ISNUMBER(INDEX(Inputs!$K$5:$AJ$160,0,MATCH(N$2,Inputs!$K$4:$AJ$4,0))))+SUMPRODUCT((Inputs!$C$5:$C$160=$B43)*ISNUMBER(INDEX(Inputs!$K$5:$AJ$160,0,MATCH(N$2,Inputs!$K$4:$AJ$4,0))))+SUMPRODUCT((Inputs!$E$5:$E$160=$B43)*ISNUMBER(INDEX(Inputs!$K$5:$AJ$160,0,MATCH(N$2,Inputs!$K$4:$AJ$4,0))))=0,NA(),SUMPRODUCT((Inputs!$A$5:$A$160=$B43)*Inputs!$B$5:$B$160*(((Inputs!$G$5:$G$160="moeda")+(Inputs!$G$5:$G$160="acoes"))*Inputs!$B$1+((Inputs!$G$5:$G$160&lt;&gt;"moeda")*(Inputs!$G$5:$G$160&lt;&gt;"acoes")))*INDEX(Inputs!$K$5:$AJ$160,0,MATCH(N$2,Inputs!$K$4:$AJ$4,0)))+SUMPRODUCT((Inputs!$C$5:$C$160=$B43)*Inputs!$D$5:$D$160*(((Inputs!$G$5:$G$160="moeda")+(Inputs!$G$5:$G$160="acoes"))*Inputs!$B$1+((Inputs!$G$5:$G$160&lt;&gt;"moeda")*(Inputs!$G$5:$G$160&lt;&gt;"acoes")))*INDEX(Inputs!$K$5:$AJ$160,0,MATCH(N$2,Inputs!$K$4:$AJ$4,0)))+SUMPRODUCT((Inputs!$E$5:$E$160=$B43)*Inputs!$F$5:$F$160*(((Inputs!$G$5:$G$160="moeda")+(Inputs!$G$5:$G$160="acoes"))*Inputs!$B$1+((Inputs!$G$5:$G$160&lt;&gt;"moeda")*(Inputs!$G$5:$G$160&lt;&gt;"acoes")))*INDEX(Inputs!$K$5:$AJ$160,0,MATCH(N$2,Inputs!$K$4:$AJ$4,0)))))</f>
        <v>2320.15239841</v>
      </c>
      <c r="O43" s="6">
        <f>IF(ISNA(MATCH(O$2,Inputs!$K$4:$AJ$4,0)),NA(),IF(SUMPRODUCT((Inputs!$A$5:$A$160=$B43)*ISNUMBER(INDEX(Inputs!$K$5:$AJ$160,0,MATCH(O$2,Inputs!$K$4:$AJ$4,0))))+SUMPRODUCT((Inputs!$C$5:$C$160=$B43)*ISNUMBER(INDEX(Inputs!$K$5:$AJ$160,0,MATCH(O$2,Inputs!$K$4:$AJ$4,0))))+SUMPRODUCT((Inputs!$E$5:$E$160=$B43)*ISNUMBER(INDEX(Inputs!$K$5:$AJ$160,0,MATCH(O$2,Inputs!$K$4:$AJ$4,0))))=0,NA(),SUMPRODUCT((Inputs!$A$5:$A$160=$B43)*Inputs!$B$5:$B$160*(((Inputs!$G$5:$G$160="moeda")+(Inputs!$G$5:$G$160="acoes"))*Inputs!$B$1+((Inputs!$G$5:$G$160&lt;&gt;"moeda")*(Inputs!$G$5:$G$160&lt;&gt;"acoes")))*INDEX(Inputs!$K$5:$AJ$160,0,MATCH(O$2,Inputs!$K$4:$AJ$4,0)))+SUMPRODUCT((Inputs!$C$5:$C$160=$B43)*Inputs!$D$5:$D$160*(((Inputs!$G$5:$G$160="moeda")+(Inputs!$G$5:$G$160="acoes"))*Inputs!$B$1+((Inputs!$G$5:$G$160&lt;&gt;"moeda")*(Inputs!$G$5:$G$160&lt;&gt;"acoes")))*INDEX(Inputs!$K$5:$AJ$160,0,MATCH(O$2,Inputs!$K$4:$AJ$4,0)))+SUMPRODUCT((Inputs!$E$5:$E$160=$B43)*Inputs!$F$5:$F$160*(((Inputs!$G$5:$G$160="moeda")+(Inputs!$G$5:$G$160="acoes"))*Inputs!$B$1+((Inputs!$G$5:$G$160&lt;&gt;"moeda")*(Inputs!$G$5:$G$160&lt;&gt;"acoes")))*INDEX(Inputs!$K$5:$AJ$160,0,MATCH(O$2,Inputs!$K$4:$AJ$4,0)))))</f>
        <v>4651.356</v>
      </c>
      <c r="P43" s="6">
        <f>IF(ISNA(MATCH(P$2,Inputs!$K$4:$AJ$4,0)),NA(),IF(SUMPRODUCT((Inputs!$A$5:$A$160=$B43)*ISNUMBER(INDEX(Inputs!$K$5:$AJ$160,0,MATCH(P$2,Inputs!$K$4:$AJ$4,0))))+SUMPRODUCT((Inputs!$C$5:$C$160=$B43)*ISNUMBER(INDEX(Inputs!$K$5:$AJ$160,0,MATCH(P$2,Inputs!$K$4:$AJ$4,0))))+SUMPRODUCT((Inputs!$E$5:$E$160=$B43)*ISNUMBER(INDEX(Inputs!$K$5:$AJ$160,0,MATCH(P$2,Inputs!$K$4:$AJ$4,0))))=0,NA(),SUMPRODUCT((Inputs!$A$5:$A$160=$B43)*Inputs!$B$5:$B$160*(((Inputs!$G$5:$G$160="moeda")+(Inputs!$G$5:$G$160="acoes"))*Inputs!$B$1+((Inputs!$G$5:$G$160&lt;&gt;"moeda")*(Inputs!$G$5:$G$160&lt;&gt;"acoes")))*INDEX(Inputs!$K$5:$AJ$160,0,MATCH(P$2,Inputs!$K$4:$AJ$4,0)))+SUMPRODUCT((Inputs!$C$5:$C$160=$B43)*Inputs!$D$5:$D$160*(((Inputs!$G$5:$G$160="moeda")+(Inputs!$G$5:$G$160="acoes"))*Inputs!$B$1+((Inputs!$G$5:$G$160&lt;&gt;"moeda")*(Inputs!$G$5:$G$160&lt;&gt;"acoes")))*INDEX(Inputs!$K$5:$AJ$160,0,MATCH(P$2,Inputs!$K$4:$AJ$4,0)))+SUMPRODUCT((Inputs!$E$5:$E$160=$B43)*Inputs!$F$5:$F$160*(((Inputs!$G$5:$G$160="moeda")+(Inputs!$G$5:$G$160="acoes"))*Inputs!$B$1+((Inputs!$G$5:$G$160&lt;&gt;"moeda")*(Inputs!$G$5:$G$160&lt;&gt;"acoes")))*INDEX(Inputs!$K$5:$AJ$160,0,MATCH(P$2,Inputs!$K$4:$AJ$4,0)))))</f>
        <v>4651.442</v>
      </c>
      <c r="Q43" s="6">
        <f>IF(ISNA(MATCH(Q$2,Inputs!$K$4:$AJ$4,0)),NA(),IF(SUMPRODUCT((Inputs!$A$5:$A$160=$B43)*ISNUMBER(INDEX(Inputs!$K$5:$AJ$160,0,MATCH(Q$2,Inputs!$K$4:$AJ$4,0))))+SUMPRODUCT((Inputs!$C$5:$C$160=$B43)*ISNUMBER(INDEX(Inputs!$K$5:$AJ$160,0,MATCH(Q$2,Inputs!$K$4:$AJ$4,0))))+SUMPRODUCT((Inputs!$E$5:$E$160=$B43)*ISNUMBER(INDEX(Inputs!$K$5:$AJ$160,0,MATCH(Q$2,Inputs!$K$4:$AJ$4,0))))=0,NA(),SUMPRODUCT((Inputs!$A$5:$A$160=$B43)*Inputs!$B$5:$B$160*(((Inputs!$G$5:$G$160="moeda")+(Inputs!$G$5:$G$160="acoes"))*Inputs!$B$1+((Inputs!$G$5:$G$160&lt;&gt;"moeda")*(Inputs!$G$5:$G$160&lt;&gt;"acoes")))*INDEX(Inputs!$K$5:$AJ$160,0,MATCH(Q$2,Inputs!$K$4:$AJ$4,0)))+SUMPRODUCT((Inputs!$C$5:$C$160=$B43)*Inputs!$D$5:$D$160*(((Inputs!$G$5:$G$160="moeda")+(Inputs!$G$5:$G$160="acoes"))*Inputs!$B$1+((Inputs!$G$5:$G$160&lt;&gt;"moeda")*(Inputs!$G$5:$G$160&lt;&gt;"acoes")))*INDEX(Inputs!$K$5:$AJ$160,0,MATCH(Q$2,Inputs!$K$4:$AJ$4,0)))+SUMPRODUCT((Inputs!$E$5:$E$160=$B43)*Inputs!$F$5:$F$160*(((Inputs!$G$5:$G$160="moeda")+(Inputs!$G$5:$G$160="acoes"))*Inputs!$B$1+((Inputs!$G$5:$G$160&lt;&gt;"moeda")*(Inputs!$G$5:$G$160&lt;&gt;"acoes")))*INDEX(Inputs!$K$5:$AJ$160,0,MATCH(Q$2,Inputs!$K$4:$AJ$4,0)))))</f>
        <v>4651.48</v>
      </c>
      <c r="R43" s="3">
        <f>Q43</f>
        <v>4651.48</v>
      </c>
      <c r="S43" s="6">
        <f>IF(ISNA(MATCH(S$2,Inputs!$K$4:$AJ$4,0)),NA(),IF(SUMPRODUCT((Inputs!$A$5:$A$160=$B43)*ISNUMBER(INDEX(Inputs!$K$5:$AJ$160,0,MATCH(S$2,Inputs!$K$4:$AJ$4,0))))+SUMPRODUCT((Inputs!$C$5:$C$160=$B43)*ISNUMBER(INDEX(Inputs!$K$5:$AJ$160,0,MATCH(S$2,Inputs!$K$4:$AJ$4,0))))+SUMPRODUCT((Inputs!$E$5:$E$160=$B43)*ISNUMBER(INDEX(Inputs!$K$5:$AJ$160,0,MATCH(S$2,Inputs!$K$4:$AJ$4,0))))=0,NA(),SUMPRODUCT((Inputs!$A$5:$A$160=$B43)*Inputs!$B$5:$B$160*(((Inputs!$G$5:$G$160="moeda")+(Inputs!$G$5:$G$160="acoes"))*Inputs!$B$1+((Inputs!$G$5:$G$160&lt;&gt;"moeda")*(Inputs!$G$5:$G$160&lt;&gt;"acoes")))*INDEX(Inputs!$K$5:$AJ$160,0,MATCH(S$2,Inputs!$K$4:$AJ$4,0)))+SUMPRODUCT((Inputs!$C$5:$C$160=$B43)*Inputs!$D$5:$D$160*(((Inputs!$G$5:$G$160="moeda")+(Inputs!$G$5:$G$160="acoes"))*Inputs!$B$1+((Inputs!$G$5:$G$160&lt;&gt;"moeda")*(Inputs!$G$5:$G$160&lt;&gt;"acoes")))*INDEX(Inputs!$K$5:$AJ$160,0,MATCH(S$2,Inputs!$K$4:$AJ$4,0)))+SUMPRODUCT((Inputs!$E$5:$E$160=$B43)*Inputs!$F$5:$F$160*(((Inputs!$G$5:$G$160="moeda")+(Inputs!$G$5:$G$160="acoes"))*Inputs!$B$1+((Inputs!$G$5:$G$160&lt;&gt;"moeda")*(Inputs!$G$5:$G$160&lt;&gt;"acoes")))*INDEX(Inputs!$K$5:$AJ$160,0,MATCH(S$2,Inputs!$K$4:$AJ$4,0)))))</f>
        <v>4651.518</v>
      </c>
      <c r="T43" s="6">
        <f>IF(ISNA(MATCH(T$2,Inputs!$K$4:$AJ$4,0)),NA(),IF(SUMPRODUCT((Inputs!$A$5:$A$160=$B43)*ISNUMBER(INDEX(Inputs!$K$5:$AJ$160,0,MATCH(T$2,Inputs!$K$4:$AJ$4,0))))+SUMPRODUCT((Inputs!$C$5:$C$160=$B43)*ISNUMBER(INDEX(Inputs!$K$5:$AJ$160,0,MATCH(T$2,Inputs!$K$4:$AJ$4,0))))+SUMPRODUCT((Inputs!$E$5:$E$160=$B43)*ISNUMBER(INDEX(Inputs!$K$5:$AJ$160,0,MATCH(T$2,Inputs!$K$4:$AJ$4,0))))=0,NA(),SUMPRODUCT((Inputs!$A$5:$A$160=$B43)*Inputs!$B$5:$B$160*(((Inputs!$G$5:$G$160="moeda")+(Inputs!$G$5:$G$160="acoes"))*Inputs!$B$1+((Inputs!$G$5:$G$160&lt;&gt;"moeda")*(Inputs!$G$5:$G$160&lt;&gt;"acoes")))*INDEX(Inputs!$K$5:$AJ$160,0,MATCH(T$2,Inputs!$K$4:$AJ$4,0)))+SUMPRODUCT((Inputs!$C$5:$C$160=$B43)*Inputs!$D$5:$D$160*(((Inputs!$G$5:$G$160="moeda")+(Inputs!$G$5:$G$160="acoes"))*Inputs!$B$1+((Inputs!$G$5:$G$160&lt;&gt;"moeda")*(Inputs!$G$5:$G$160&lt;&gt;"acoes")))*INDEX(Inputs!$K$5:$AJ$160,0,MATCH(T$2,Inputs!$K$4:$AJ$4,0)))+SUMPRODUCT((Inputs!$E$5:$E$160=$B43)*Inputs!$F$5:$F$160*(((Inputs!$G$5:$G$160="moeda")+(Inputs!$G$5:$G$160="acoes"))*Inputs!$B$1+((Inputs!$G$5:$G$160&lt;&gt;"moeda")*(Inputs!$G$5:$G$160&lt;&gt;"acoes")))*INDEX(Inputs!$K$5:$AJ$160,0,MATCH(T$2,Inputs!$K$4:$AJ$4,0)))))</f>
        <v>4651.55639558</v>
      </c>
      <c r="U43" s="6">
        <f>IF(ISNA(MATCH(U$2,Inputs!$K$4:$AJ$4,0)),NA(),IF(SUMPRODUCT((Inputs!$A$5:$A$160=$B43)*ISNUMBER(INDEX(Inputs!$K$5:$AJ$160,0,MATCH(U$2,Inputs!$K$4:$AJ$4,0))))+SUMPRODUCT((Inputs!$C$5:$C$160=$B43)*ISNUMBER(INDEX(Inputs!$K$5:$AJ$160,0,MATCH(U$2,Inputs!$K$4:$AJ$4,0))))+SUMPRODUCT((Inputs!$E$5:$E$160=$B43)*ISNUMBER(INDEX(Inputs!$K$5:$AJ$160,0,MATCH(U$2,Inputs!$K$4:$AJ$4,0))))=0,NA(),SUMPRODUCT((Inputs!$A$5:$A$160=$B43)*Inputs!$B$5:$B$160*(((Inputs!$G$5:$G$160="moeda")+(Inputs!$G$5:$G$160="acoes"))*Inputs!$B$1+((Inputs!$G$5:$G$160&lt;&gt;"moeda")*(Inputs!$G$5:$G$160&lt;&gt;"acoes")))*INDEX(Inputs!$K$5:$AJ$160,0,MATCH(U$2,Inputs!$K$4:$AJ$4,0)))+SUMPRODUCT((Inputs!$C$5:$C$160=$B43)*Inputs!$D$5:$D$160*(((Inputs!$G$5:$G$160="moeda")+(Inputs!$G$5:$G$160="acoes"))*Inputs!$B$1+((Inputs!$G$5:$G$160&lt;&gt;"moeda")*(Inputs!$G$5:$G$160&lt;&gt;"acoes")))*INDEX(Inputs!$K$5:$AJ$160,0,MATCH(U$2,Inputs!$K$4:$AJ$4,0)))+SUMPRODUCT((Inputs!$E$5:$E$160=$B43)*Inputs!$F$5:$F$160*(((Inputs!$G$5:$G$160="moeda")+(Inputs!$G$5:$G$160="acoes"))*Inputs!$B$1+((Inputs!$G$5:$G$160&lt;&gt;"moeda")*(Inputs!$G$5:$G$160&lt;&gt;"acoes")))*INDEX(Inputs!$K$5:$AJ$160,0,MATCH(U$2,Inputs!$K$4:$AJ$4,0)))))</f>
        <v>4651.594</v>
      </c>
      <c r="V43" s="6">
        <f>IF(ISNA(MATCH(V$2,Inputs!$K$4:$AJ$4,0)),NA(),IF(SUMPRODUCT((Inputs!$A$5:$A$160=$B43)*ISNUMBER(INDEX(Inputs!$K$5:$AJ$160,0,MATCH(V$2,Inputs!$K$4:$AJ$4,0))))+SUMPRODUCT((Inputs!$C$5:$C$160=$B43)*ISNUMBER(INDEX(Inputs!$K$5:$AJ$160,0,MATCH(V$2,Inputs!$K$4:$AJ$4,0))))+SUMPRODUCT((Inputs!$E$5:$E$160=$B43)*ISNUMBER(INDEX(Inputs!$K$5:$AJ$160,0,MATCH(V$2,Inputs!$K$4:$AJ$4,0))))=0,NA(),SUMPRODUCT((Inputs!$A$5:$A$160=$B43)*Inputs!$B$5:$B$160*(((Inputs!$G$5:$G$160="moeda")+(Inputs!$G$5:$G$160="acoes"))*Inputs!$B$1+((Inputs!$G$5:$G$160&lt;&gt;"moeda")*(Inputs!$G$5:$G$160&lt;&gt;"acoes")))*INDEX(Inputs!$K$5:$AJ$160,0,MATCH(V$2,Inputs!$K$4:$AJ$4,0)))+SUMPRODUCT((Inputs!$C$5:$C$160=$B43)*Inputs!$D$5:$D$160*(((Inputs!$G$5:$G$160="moeda")+(Inputs!$G$5:$G$160="acoes"))*Inputs!$B$1+((Inputs!$G$5:$G$160&lt;&gt;"moeda")*(Inputs!$G$5:$G$160&lt;&gt;"acoes")))*INDEX(Inputs!$K$5:$AJ$160,0,MATCH(V$2,Inputs!$K$4:$AJ$4,0)))+SUMPRODUCT((Inputs!$E$5:$E$160=$B43)*Inputs!$F$5:$F$160*(((Inputs!$G$5:$G$160="moeda")+(Inputs!$G$5:$G$160="acoes"))*Inputs!$B$1+((Inputs!$G$5:$G$160&lt;&gt;"moeda")*(Inputs!$G$5:$G$160&lt;&gt;"acoes")))*INDEX(Inputs!$K$5:$AJ$160,0,MATCH(V$2,Inputs!$K$4:$AJ$4,0)))))</f>
        <v>4651.632</v>
      </c>
      <c r="W43" s="3">
        <f>V43</f>
        <v>4651.632</v>
      </c>
      <c r="X43" s="6">
        <f>IF(ISNA(MATCH(X$2,Inputs!$K$4:$AJ$4,0)),NA(),IF(SUMPRODUCT((Inputs!$A$5:$A$160=$B43)*ISNUMBER(INDEX(Inputs!$K$5:$AJ$160,0,MATCH(X$2,Inputs!$K$4:$AJ$4,0))))+SUMPRODUCT((Inputs!$C$5:$C$160=$B43)*ISNUMBER(INDEX(Inputs!$K$5:$AJ$160,0,MATCH(X$2,Inputs!$K$4:$AJ$4,0))))+SUMPRODUCT((Inputs!$E$5:$E$160=$B43)*ISNUMBER(INDEX(Inputs!$K$5:$AJ$160,0,MATCH(X$2,Inputs!$K$4:$AJ$4,0))))=0,NA(),SUMPRODUCT((Inputs!$A$5:$A$160=$B43)*Inputs!$B$5:$B$160*(((Inputs!$G$5:$G$160="moeda")+(Inputs!$G$5:$G$160="acoes"))*Inputs!$B$1+((Inputs!$G$5:$G$160&lt;&gt;"moeda")*(Inputs!$G$5:$G$160&lt;&gt;"acoes")))*INDEX(Inputs!$K$5:$AJ$160,0,MATCH(X$2,Inputs!$K$4:$AJ$4,0)))+SUMPRODUCT((Inputs!$C$5:$C$160=$B43)*Inputs!$D$5:$D$160*(((Inputs!$G$5:$G$160="moeda")+(Inputs!$G$5:$G$160="acoes"))*Inputs!$B$1+((Inputs!$G$5:$G$160&lt;&gt;"moeda")*(Inputs!$G$5:$G$160&lt;&gt;"acoes")))*INDEX(Inputs!$K$5:$AJ$160,0,MATCH(X$2,Inputs!$K$4:$AJ$4,0)))+SUMPRODUCT((Inputs!$E$5:$E$160=$B43)*Inputs!$F$5:$F$160*(((Inputs!$G$5:$G$160="moeda")+(Inputs!$G$5:$G$160="acoes"))*Inputs!$B$1+((Inputs!$G$5:$G$160&lt;&gt;"moeda")*(Inputs!$G$5:$G$160&lt;&gt;"acoes")))*INDEX(Inputs!$K$5:$AJ$160,0,MATCH(X$2,Inputs!$K$4:$AJ$4,0)))))</f>
        <v>4651.632083</v>
      </c>
      <c r="Y43" s="6">
        <f>IF(ISNA(MATCH(Y$2,Inputs!$K$4:$AJ$4,0)),NA(),IF(SUMPRODUCT((Inputs!$A$5:$A$160=$B43)*ISNUMBER(INDEX(Inputs!$K$5:$AJ$160,0,MATCH(Y$2,Inputs!$K$4:$AJ$4,0))))+SUMPRODUCT((Inputs!$C$5:$C$160=$B43)*ISNUMBER(INDEX(Inputs!$K$5:$AJ$160,0,MATCH(Y$2,Inputs!$K$4:$AJ$4,0))))+SUMPRODUCT((Inputs!$E$5:$E$160=$B43)*ISNUMBER(INDEX(Inputs!$K$5:$AJ$160,0,MATCH(Y$2,Inputs!$K$4:$AJ$4,0))))=0,NA(),SUMPRODUCT((Inputs!$A$5:$A$160=$B43)*Inputs!$B$5:$B$160*(((Inputs!$G$5:$G$160="moeda")+(Inputs!$G$5:$G$160="acoes"))*Inputs!$B$1+((Inputs!$G$5:$G$160&lt;&gt;"moeda")*(Inputs!$G$5:$G$160&lt;&gt;"acoes")))*INDEX(Inputs!$K$5:$AJ$160,0,MATCH(Y$2,Inputs!$K$4:$AJ$4,0)))+SUMPRODUCT((Inputs!$C$5:$C$160=$B43)*Inputs!$D$5:$D$160*(((Inputs!$G$5:$G$160="moeda")+(Inputs!$G$5:$G$160="acoes"))*Inputs!$B$1+((Inputs!$G$5:$G$160&lt;&gt;"moeda")*(Inputs!$G$5:$G$160&lt;&gt;"acoes")))*INDEX(Inputs!$K$5:$AJ$160,0,MATCH(Y$2,Inputs!$K$4:$AJ$4,0)))+SUMPRODUCT((Inputs!$E$5:$E$160=$B43)*Inputs!$F$5:$F$160*(((Inputs!$G$5:$G$160="moeda")+(Inputs!$G$5:$G$160="acoes"))*Inputs!$B$1+((Inputs!$G$5:$G$160&lt;&gt;"moeda")*(Inputs!$G$5:$G$160&lt;&gt;"acoes")))*INDEX(Inputs!$K$5:$AJ$160,0,MATCH(Y$2,Inputs!$K$4:$AJ$4,0)))))</f>
        <v>4651.632</v>
      </c>
      <c r="Z43" s="6">
        <f>IF(ISNA(MATCH(Z$2,Inputs!$K$4:$AJ$4,0)),NA(),IF(SUMPRODUCT((Inputs!$A$5:$A$160=$B43)*ISNUMBER(INDEX(Inputs!$K$5:$AJ$160,0,MATCH(Z$2,Inputs!$K$4:$AJ$4,0))))+SUMPRODUCT((Inputs!$C$5:$C$160=$B43)*ISNUMBER(INDEX(Inputs!$K$5:$AJ$160,0,MATCH(Z$2,Inputs!$K$4:$AJ$4,0))))+SUMPRODUCT((Inputs!$E$5:$E$160=$B43)*ISNUMBER(INDEX(Inputs!$K$5:$AJ$160,0,MATCH(Z$2,Inputs!$K$4:$AJ$4,0))))=0,NA(),SUMPRODUCT((Inputs!$A$5:$A$160=$B43)*Inputs!$B$5:$B$160*(((Inputs!$G$5:$G$160="moeda")+(Inputs!$G$5:$G$160="acoes"))*Inputs!$B$1+((Inputs!$G$5:$G$160&lt;&gt;"moeda")*(Inputs!$G$5:$G$160&lt;&gt;"acoes")))*INDEX(Inputs!$K$5:$AJ$160,0,MATCH(Z$2,Inputs!$K$4:$AJ$4,0)))+SUMPRODUCT((Inputs!$C$5:$C$160=$B43)*Inputs!$D$5:$D$160*(((Inputs!$G$5:$G$160="moeda")+(Inputs!$G$5:$G$160="acoes"))*Inputs!$B$1+((Inputs!$G$5:$G$160&lt;&gt;"moeda")*(Inputs!$G$5:$G$160&lt;&gt;"acoes")))*INDEX(Inputs!$K$5:$AJ$160,0,MATCH(Z$2,Inputs!$K$4:$AJ$4,0)))+SUMPRODUCT((Inputs!$E$5:$E$160=$B43)*Inputs!$F$5:$F$160*(((Inputs!$G$5:$G$160="moeda")+(Inputs!$G$5:$G$160="acoes"))*Inputs!$B$1+((Inputs!$G$5:$G$160&lt;&gt;"moeda")*(Inputs!$G$5:$G$160&lt;&gt;"acoes")))*INDEX(Inputs!$K$5:$AJ$160,0,MATCH(Z$2,Inputs!$K$4:$AJ$4,0)))))</f>
        <v>4651.632</v>
      </c>
      <c r="AA43" s="6">
        <f>IF(ISNA(MATCH(AA$2,Inputs!$K$4:$AJ$4,0)),NA(),IF(SUMPRODUCT((Inputs!$A$5:$A$160=$B43)*ISNUMBER(INDEX(Inputs!$K$5:$AJ$160,0,MATCH(AA$2,Inputs!$K$4:$AJ$4,0))))+SUMPRODUCT((Inputs!$C$5:$C$160=$B43)*ISNUMBER(INDEX(Inputs!$K$5:$AJ$160,0,MATCH(AA$2,Inputs!$K$4:$AJ$4,0))))+SUMPRODUCT((Inputs!$E$5:$E$160=$B43)*ISNUMBER(INDEX(Inputs!$K$5:$AJ$160,0,MATCH(AA$2,Inputs!$K$4:$AJ$4,0))))=0,NA(),SUMPRODUCT((Inputs!$A$5:$A$160=$B43)*Inputs!$B$5:$B$160*(((Inputs!$G$5:$G$160="moeda")+(Inputs!$G$5:$G$160="acoes"))*Inputs!$B$1+((Inputs!$G$5:$G$160&lt;&gt;"moeda")*(Inputs!$G$5:$G$160&lt;&gt;"acoes")))*INDEX(Inputs!$K$5:$AJ$160,0,MATCH(AA$2,Inputs!$K$4:$AJ$4,0)))+SUMPRODUCT((Inputs!$C$5:$C$160=$B43)*Inputs!$D$5:$D$160*(((Inputs!$G$5:$G$160="moeda")+(Inputs!$G$5:$G$160="acoes"))*Inputs!$B$1+((Inputs!$G$5:$G$160&lt;&gt;"moeda")*(Inputs!$G$5:$G$160&lt;&gt;"acoes")))*INDEX(Inputs!$K$5:$AJ$160,0,MATCH(AA$2,Inputs!$K$4:$AJ$4,0)))+SUMPRODUCT((Inputs!$E$5:$E$160=$B43)*Inputs!$F$5:$F$160*(((Inputs!$G$5:$G$160="moeda")+(Inputs!$G$5:$G$160="acoes"))*Inputs!$B$1+((Inputs!$G$5:$G$160&lt;&gt;"moeda")*(Inputs!$G$5:$G$160&lt;&gt;"acoes")))*INDEX(Inputs!$K$5:$AJ$160,0,MATCH(AA$2,Inputs!$K$4:$AJ$4,0)))))</f>
        <v>4651.632</v>
      </c>
      <c r="AB43" s="3">
        <f>AA43</f>
        <v>4651.632</v>
      </c>
      <c r="AC43" s="6">
        <f>IF(ISNA(MATCH(AC$2,Inputs!$K$4:$AJ$4,0)),NA(),IF(SUMPRODUCT((Inputs!$A$5:$A$160=$B43)*ISNUMBER(INDEX(Inputs!$K$5:$AJ$160,0,MATCH(AC$2,Inputs!$K$4:$AJ$4,0))))+SUMPRODUCT((Inputs!$C$5:$C$160=$B43)*ISNUMBER(INDEX(Inputs!$K$5:$AJ$160,0,MATCH(AC$2,Inputs!$K$4:$AJ$4,0))))+SUMPRODUCT((Inputs!$E$5:$E$160=$B43)*ISNUMBER(INDEX(Inputs!$K$5:$AJ$160,0,MATCH(AC$2,Inputs!$K$4:$AJ$4,0))))=0,NA(),SUMPRODUCT((Inputs!$A$5:$A$160=$B43)*Inputs!$B$5:$B$160*(((Inputs!$G$5:$G$160="moeda")+(Inputs!$G$5:$G$160="acoes"))*Inputs!$B$1+((Inputs!$G$5:$G$160&lt;&gt;"moeda")*(Inputs!$G$5:$G$160&lt;&gt;"acoes")))*INDEX(Inputs!$K$5:$AJ$160,0,MATCH(AC$2,Inputs!$K$4:$AJ$4,0)))+SUMPRODUCT((Inputs!$C$5:$C$160=$B43)*Inputs!$D$5:$D$160*(((Inputs!$G$5:$G$160="moeda")+(Inputs!$G$5:$G$160="acoes"))*Inputs!$B$1+((Inputs!$G$5:$G$160&lt;&gt;"moeda")*(Inputs!$G$5:$G$160&lt;&gt;"acoes")))*INDEX(Inputs!$K$5:$AJ$160,0,MATCH(AC$2,Inputs!$K$4:$AJ$4,0)))+SUMPRODUCT((Inputs!$E$5:$E$160=$B43)*Inputs!$F$5:$F$160*(((Inputs!$G$5:$G$160="moeda")+(Inputs!$G$5:$G$160="acoes"))*Inputs!$B$1+((Inputs!$G$5:$G$160&lt;&gt;"moeda")*(Inputs!$G$5:$G$160&lt;&gt;"acoes")))*INDEX(Inputs!$K$5:$AJ$160,0,MATCH(AC$2,Inputs!$K$4:$AJ$4,0)))))</f>
        <v>4651.632</v>
      </c>
      <c r="AD43" s="6">
        <f>IF(ISNA(MATCH(AD$2,Inputs!$K$4:$AJ$4,0)),NA(),IF(SUMPRODUCT((Inputs!$A$5:$A$160=$B43)*ISNUMBER(INDEX(Inputs!$K$5:$AJ$160,0,MATCH(AD$2,Inputs!$K$4:$AJ$4,0))))+SUMPRODUCT((Inputs!$C$5:$C$160=$B43)*ISNUMBER(INDEX(Inputs!$K$5:$AJ$160,0,MATCH(AD$2,Inputs!$K$4:$AJ$4,0))))+SUMPRODUCT((Inputs!$E$5:$E$160=$B43)*ISNUMBER(INDEX(Inputs!$K$5:$AJ$160,0,MATCH(AD$2,Inputs!$K$4:$AJ$4,0))))=0,NA(),SUMPRODUCT((Inputs!$A$5:$A$160=$B43)*Inputs!$B$5:$B$160*(((Inputs!$G$5:$G$160="moeda")+(Inputs!$G$5:$G$160="acoes"))*Inputs!$B$1+((Inputs!$G$5:$G$160&lt;&gt;"moeda")*(Inputs!$G$5:$G$160&lt;&gt;"acoes")))*INDEX(Inputs!$K$5:$AJ$160,0,MATCH(AD$2,Inputs!$K$4:$AJ$4,0)))+SUMPRODUCT((Inputs!$C$5:$C$160=$B43)*Inputs!$D$5:$D$160*(((Inputs!$G$5:$G$160="moeda")+(Inputs!$G$5:$G$160="acoes"))*Inputs!$B$1+((Inputs!$G$5:$G$160&lt;&gt;"moeda")*(Inputs!$G$5:$G$160&lt;&gt;"acoes")))*INDEX(Inputs!$K$5:$AJ$160,0,MATCH(AD$2,Inputs!$K$4:$AJ$4,0)))+SUMPRODUCT((Inputs!$E$5:$E$160=$B43)*Inputs!$F$5:$F$160*(((Inputs!$G$5:$G$160="moeda")+(Inputs!$G$5:$G$160="acoes"))*Inputs!$B$1+((Inputs!$G$5:$G$160&lt;&gt;"moeda")*(Inputs!$G$5:$G$160&lt;&gt;"acoes")))*INDEX(Inputs!$K$5:$AJ$160,0,MATCH(AD$2,Inputs!$K$4:$AJ$4,0)))))</f>
        <v>4664.728</v>
      </c>
      <c r="AE43" s="6" t="e">
        <f>IF(ISNA(MATCH(AE$2,Inputs!$K$4:$AJ$4,0)),NA(),IF(SUMPRODUCT((Inputs!$A$5:$A$160=$B43)*ISNUMBER(INDEX(Inputs!$K$5:$AJ$160,0,MATCH(AE$2,Inputs!$K$4:$AJ$4,0))))+SUMPRODUCT((Inputs!$C$5:$C$160=$B43)*ISNUMBER(INDEX(Inputs!$K$5:$AJ$160,0,MATCH(AE$2,Inputs!$K$4:$AJ$4,0))))+SUMPRODUCT((Inputs!$E$5:$E$160=$B43)*ISNUMBER(INDEX(Inputs!$K$5:$AJ$160,0,MATCH(AE$2,Inputs!$K$4:$AJ$4,0))))=0,NA(),SUMPRODUCT((Inputs!$A$5:$A$160=$B43)*Inputs!$B$5:$B$160*(((Inputs!$G$5:$G$160="moeda")+(Inputs!$G$5:$G$160="acoes"))*Inputs!$B$1+((Inputs!$G$5:$G$160&lt;&gt;"moeda")*(Inputs!$G$5:$G$160&lt;&gt;"acoes")))*INDEX(Inputs!$K$5:$AJ$160,0,MATCH(AE$2,Inputs!$K$4:$AJ$4,0)))+SUMPRODUCT((Inputs!$C$5:$C$160=$B43)*Inputs!$D$5:$D$160*(((Inputs!$G$5:$G$160="moeda")+(Inputs!$G$5:$G$160="acoes"))*Inputs!$B$1+((Inputs!$G$5:$G$160&lt;&gt;"moeda")*(Inputs!$G$5:$G$160&lt;&gt;"acoes")))*INDEX(Inputs!$K$5:$AJ$160,0,MATCH(AE$2,Inputs!$K$4:$AJ$4,0)))+SUMPRODUCT((Inputs!$E$5:$E$160=$B43)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3" s="6" t="e">
        <f>IF(ISNA(MATCH(AF$2,Inputs!$K$4:$AJ$4,0)),NA(),IF(SUMPRODUCT((Inputs!$A$5:$A$160=$B43)*ISNUMBER(INDEX(Inputs!$K$5:$AJ$160,0,MATCH(AF$2,Inputs!$K$4:$AJ$4,0))))+SUMPRODUCT((Inputs!$C$5:$C$160=$B43)*ISNUMBER(INDEX(Inputs!$K$5:$AJ$160,0,MATCH(AF$2,Inputs!$K$4:$AJ$4,0))))+SUMPRODUCT((Inputs!$E$5:$E$160=$B43)*ISNUMBER(INDEX(Inputs!$K$5:$AJ$160,0,MATCH(AF$2,Inputs!$K$4:$AJ$4,0))))=0,NA(),SUMPRODUCT((Inputs!$A$5:$A$160=$B43)*Inputs!$B$5:$B$160*(((Inputs!$G$5:$G$160="moeda")+(Inputs!$G$5:$G$160="acoes"))*Inputs!$B$1+((Inputs!$G$5:$G$160&lt;&gt;"moeda")*(Inputs!$G$5:$G$160&lt;&gt;"acoes")))*INDEX(Inputs!$K$5:$AJ$160,0,MATCH(AF$2,Inputs!$K$4:$AJ$4,0)))+SUMPRODUCT((Inputs!$C$5:$C$160=$B43)*Inputs!$D$5:$D$160*(((Inputs!$G$5:$G$160="moeda")+(Inputs!$G$5:$G$160="acoes"))*Inputs!$B$1+((Inputs!$G$5:$G$160&lt;&gt;"moeda")*(Inputs!$G$5:$G$160&lt;&gt;"acoes")))*INDEX(Inputs!$K$5:$AJ$160,0,MATCH(AF$2,Inputs!$K$4:$AJ$4,0)))+SUMPRODUCT((Inputs!$E$5:$E$160=$B43)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3" s="3" t="e">
        <f>AF43</f>
        <v>#N/A</v>
      </c>
      <c r="AH43" s="6">
        <f>IF(ISNA(MATCH(AH$2,Inputs!$K$4:$AJ$4,0)),NA(),IF(SUMPRODUCT((Inputs!$A$5:$A$160=$B43)*ISNUMBER(INDEX(Inputs!$K$5:$AJ$160,0,MATCH(AH$2,Inputs!$K$4:$AJ$4,0))))+SUMPRODUCT((Inputs!$C$5:$C$160=$B43)*ISNUMBER(INDEX(Inputs!$K$5:$AJ$160,0,MATCH(AH$2,Inputs!$K$4:$AJ$4,0))))+SUMPRODUCT((Inputs!$E$5:$E$160=$B43)*ISNUMBER(INDEX(Inputs!$K$5:$AJ$160,0,MATCH(AH$2,Inputs!$K$4:$AJ$4,0))))=0,NA(),SUMPRODUCT((Inputs!$A$5:$A$160=$B43)*Inputs!$B$5:$B$160*(((Inputs!$G$5:$G$160="moeda")+(Inputs!$G$5:$G$160="acoes"))*Inputs!$B$1+((Inputs!$G$5:$G$160&lt;&gt;"moeda")*(Inputs!$G$5:$G$160&lt;&gt;"acoes")))*INDEX(Inputs!$K$5:$AJ$160,0,MATCH(AH$2,Inputs!$K$4:$AJ$4,0)))+SUMPRODUCT((Inputs!$C$5:$C$160=$B43)*Inputs!$D$5:$D$160*(((Inputs!$G$5:$G$160="moeda")+(Inputs!$G$5:$G$160="acoes"))*Inputs!$B$1+((Inputs!$G$5:$G$160&lt;&gt;"moeda")*(Inputs!$G$5:$G$160&lt;&gt;"acoes")))*INDEX(Inputs!$K$5:$AJ$160,0,MATCH(AH$2,Inputs!$K$4:$AJ$4,0)))+SUMPRODUCT((Inputs!$E$5:$E$160=$B43)*Inputs!$F$5:$F$160*(((Inputs!$G$5:$G$160="moeda")+(Inputs!$G$5:$G$160="acoes"))*Inputs!$B$1+((Inputs!$G$5:$G$160&lt;&gt;"moeda")*(Inputs!$G$5:$G$160&lt;&gt;"acoes")))*INDEX(Inputs!$K$5:$AJ$160,0,MATCH(AH$2,Inputs!$K$4:$AJ$4,0)))))</f>
        <v>1461.10739523</v>
      </c>
      <c r="AI43" s="6">
        <f>IF(ISNA(MATCH(AI$2,Inputs!$K$4:$AJ$4,0)),NA(),IF(SUMPRODUCT((Inputs!$A$5:$A$160=$B43)*ISNUMBER(INDEX(Inputs!$K$5:$AJ$160,0,MATCH(AI$2,Inputs!$K$4:$AJ$4,0))))+SUMPRODUCT((Inputs!$C$5:$C$160=$B43)*ISNUMBER(INDEX(Inputs!$K$5:$AJ$160,0,MATCH(AI$2,Inputs!$K$4:$AJ$4,0))))+SUMPRODUCT((Inputs!$E$5:$E$160=$B43)*ISNUMBER(INDEX(Inputs!$K$5:$AJ$160,0,MATCH(AI$2,Inputs!$K$4:$AJ$4,0))))=0,NA(),SUMPRODUCT((Inputs!$A$5:$A$160=$B43)*Inputs!$B$5:$B$160*(((Inputs!$G$5:$G$160="moeda")+(Inputs!$G$5:$G$160="acoes"))*Inputs!$B$1+((Inputs!$G$5:$G$160&lt;&gt;"moeda")*(Inputs!$G$5:$G$160&lt;&gt;"acoes")))*INDEX(Inputs!$K$5:$AJ$160,0,MATCH(AI$2,Inputs!$K$4:$AJ$4,0)))+SUMPRODUCT((Inputs!$C$5:$C$160=$B43)*Inputs!$D$5:$D$160*(((Inputs!$G$5:$G$160="moeda")+(Inputs!$G$5:$G$160="acoes"))*Inputs!$B$1+((Inputs!$G$5:$G$160&lt;&gt;"moeda")*(Inputs!$G$5:$G$160&lt;&gt;"acoes")))*INDEX(Inputs!$K$5:$AJ$160,0,MATCH(AI$2,Inputs!$K$4:$AJ$4,0)))+SUMPRODUCT((Inputs!$E$5:$E$160=$B43)*Inputs!$F$5:$F$160*(((Inputs!$G$5:$G$160="moeda")+(Inputs!$G$5:$G$160="acoes"))*Inputs!$B$1+((Inputs!$G$5:$G$160&lt;&gt;"moeda")*(Inputs!$G$5:$G$160&lt;&gt;"acoes")))*INDEX(Inputs!$K$5:$AJ$160,0,MATCH(AI$2,Inputs!$K$4:$AJ$4,0)))))</f>
        <v>1461.16167668</v>
      </c>
      <c r="AJ43" s="6">
        <f>IF(ISNA(MATCH(AJ$2,Inputs!$K$4:$AJ$4,0)),NA(),IF(SUMPRODUCT((Inputs!$A$5:$A$160=$B43)*ISNUMBER(INDEX(Inputs!$K$5:$AJ$160,0,MATCH(AJ$2,Inputs!$K$4:$AJ$4,0))))+SUMPRODUCT((Inputs!$C$5:$C$160=$B43)*ISNUMBER(INDEX(Inputs!$K$5:$AJ$160,0,MATCH(AJ$2,Inputs!$K$4:$AJ$4,0))))+SUMPRODUCT((Inputs!$E$5:$E$160=$B43)*ISNUMBER(INDEX(Inputs!$K$5:$AJ$160,0,MATCH(AJ$2,Inputs!$K$4:$AJ$4,0))))=0,NA(),SUMPRODUCT((Inputs!$A$5:$A$160=$B43)*Inputs!$B$5:$B$160*(((Inputs!$G$5:$G$160="moeda")+(Inputs!$G$5:$G$160="acoes"))*Inputs!$B$1+((Inputs!$G$5:$G$160&lt;&gt;"moeda")*(Inputs!$G$5:$G$160&lt;&gt;"acoes")))*INDEX(Inputs!$K$5:$AJ$160,0,MATCH(AJ$2,Inputs!$K$4:$AJ$4,0)))+SUMPRODUCT((Inputs!$C$5:$C$160=$B43)*Inputs!$D$5:$D$160*(((Inputs!$G$5:$G$160="moeda")+(Inputs!$G$5:$G$160="acoes"))*Inputs!$B$1+((Inputs!$G$5:$G$160&lt;&gt;"moeda")*(Inputs!$G$5:$G$160&lt;&gt;"acoes")))*INDEX(Inputs!$K$5:$AJ$160,0,MATCH(AJ$2,Inputs!$K$4:$AJ$4,0)))+SUMPRODUCT((Inputs!$E$5:$E$160=$B43)*Inputs!$F$5:$F$160*(((Inputs!$G$5:$G$160="moeda")+(Inputs!$G$5:$G$160="acoes"))*Inputs!$B$1+((Inputs!$G$5:$G$160&lt;&gt;"moeda")*(Inputs!$G$5:$G$160&lt;&gt;"acoes")))*INDEX(Inputs!$K$5:$AJ$160,0,MATCH(AJ$2,Inputs!$K$4:$AJ$4,0)))))</f>
        <v>1467.18436703</v>
      </c>
      <c r="AK43" s="6">
        <f>IF(ISNA(MATCH(AK$2,Inputs!$K$4:$AJ$4,0)),NA(),IF(SUMPRODUCT((Inputs!$A$5:$A$160=$B43)*ISNUMBER(INDEX(Inputs!$K$5:$AJ$160,0,MATCH(AK$2,Inputs!$K$4:$AJ$4,0))))+SUMPRODUCT((Inputs!$C$5:$C$160=$B43)*ISNUMBER(INDEX(Inputs!$K$5:$AJ$160,0,MATCH(AK$2,Inputs!$K$4:$AJ$4,0))))+SUMPRODUCT((Inputs!$E$5:$E$160=$B43)*ISNUMBER(INDEX(Inputs!$K$5:$AJ$160,0,MATCH(AK$2,Inputs!$K$4:$AJ$4,0))))=0,NA(),SUMPRODUCT((Inputs!$A$5:$A$160=$B43)*Inputs!$B$5:$B$160*(((Inputs!$G$5:$G$160="moeda")+(Inputs!$G$5:$G$160="acoes"))*Inputs!$B$1+((Inputs!$G$5:$G$160&lt;&gt;"moeda")*(Inputs!$G$5:$G$160&lt;&gt;"acoes")))*INDEX(Inputs!$K$5:$AJ$160,0,MATCH(AK$2,Inputs!$K$4:$AJ$4,0)))+SUMPRODUCT((Inputs!$C$5:$C$160=$B43)*Inputs!$D$5:$D$160*(((Inputs!$G$5:$G$160="moeda")+(Inputs!$G$5:$G$160="acoes"))*Inputs!$B$1+((Inputs!$G$5:$G$160&lt;&gt;"moeda")*(Inputs!$G$5:$G$160&lt;&gt;"acoes")))*INDEX(Inputs!$K$5:$AJ$160,0,MATCH(AK$2,Inputs!$K$4:$AJ$4,0)))+SUMPRODUCT((Inputs!$E$5:$E$160=$B43)*Inputs!$F$5:$F$160*(((Inputs!$G$5:$G$160="moeda")+(Inputs!$G$5:$G$160="acoes"))*Inputs!$B$1+((Inputs!$G$5:$G$160&lt;&gt;"moeda")*(Inputs!$G$5:$G$160&lt;&gt;"acoes")))*INDEX(Inputs!$K$5:$AJ$160,0,MATCH(AK$2,Inputs!$K$4:$AJ$4,0)))))</f>
        <v>1468.15627256</v>
      </c>
      <c r="AL43" s="3">
        <f>AK43</f>
        <v>1468.15627256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$160=$B44)*ISNUMBER(INDEX(Inputs!$K$5:$AJ$160,0,MATCH(D$2,Inputs!$K$4:$AJ$4,0))))+SUMPRODUCT((Inputs!$C$5:$C$160=$B44)*ISNUMBER(INDEX(Inputs!$K$5:$AJ$160,0,MATCH(D$2,Inputs!$K$4:$AJ$4,0))))+SUMPRODUCT((Inputs!$E$5:$E$160=$B44)*ISNUMBER(INDEX(Inputs!$K$5:$AJ$160,0,MATCH(D$2,Inputs!$K$4:$AJ$4,0))))=0,NA(),SUMPRODUCT((Inputs!$A$5:$A$160=$B44)*Inputs!$B$5:$B$160*(((Inputs!$G$5:$G$160="moeda")+(Inputs!$G$5:$G$160="acoes"))*Inputs!$B$1+((Inputs!$G$5:$G$160&lt;&gt;"moeda")*(Inputs!$G$5:$G$160&lt;&gt;"acoes")))*INDEX(Inputs!$K$5:$AJ$160,0,MATCH(D$2,Inputs!$K$4:$AJ$4,0)))+SUMPRODUCT((Inputs!$C$5:$C$160=$B44)*Inputs!$D$5:$D$160*(((Inputs!$G$5:$G$160="moeda")+(Inputs!$G$5:$G$160="acoes"))*Inputs!$B$1+((Inputs!$G$5:$G$160&lt;&gt;"moeda")*(Inputs!$G$5:$G$160&lt;&gt;"acoes")))*INDEX(Inputs!$K$5:$AJ$160,0,MATCH(D$2,Inputs!$K$4:$AJ$4,0)))+SUMPRODUCT((Inputs!$E$5:$E$160=$B44)*Inputs!$F$5:$F$160*(((Inputs!$G$5:$G$160="moeda")+(Inputs!$G$5:$G$160="acoes"))*Inputs!$B$1+((Inputs!$G$5:$G$160&lt;&gt;"moeda")*(Inputs!$G$5:$G$160&lt;&gt;"acoes")))*INDEX(Inputs!$K$5:$AJ$160,0,MATCH(D$2,Inputs!$K$4:$AJ$4,0)))))</f>
        <v>-23.0143155</v>
      </c>
      <c r="E44" s="6">
        <f>IF(ISNA(MATCH(E$2,Inputs!$K$4:$AJ$4,0)),NA(),IF(SUMPRODUCT((Inputs!$A$5:$A$160=$B44)*ISNUMBER(INDEX(Inputs!$K$5:$AJ$160,0,MATCH(E$2,Inputs!$K$4:$AJ$4,0))))+SUMPRODUCT((Inputs!$C$5:$C$160=$B44)*ISNUMBER(INDEX(Inputs!$K$5:$AJ$160,0,MATCH(E$2,Inputs!$K$4:$AJ$4,0))))+SUMPRODUCT((Inputs!$E$5:$E$160=$B44)*ISNUMBER(INDEX(Inputs!$K$5:$AJ$160,0,MATCH(E$2,Inputs!$K$4:$AJ$4,0))))=0,NA(),SUMPRODUCT((Inputs!$A$5:$A$160=$B44)*Inputs!$B$5:$B$160*(((Inputs!$G$5:$G$160="moeda")+(Inputs!$G$5:$G$160="acoes"))*Inputs!$B$1+((Inputs!$G$5:$G$160&lt;&gt;"moeda")*(Inputs!$G$5:$G$160&lt;&gt;"acoes")))*INDEX(Inputs!$K$5:$AJ$160,0,MATCH(E$2,Inputs!$K$4:$AJ$4,0)))+SUMPRODUCT((Inputs!$C$5:$C$160=$B44)*Inputs!$D$5:$D$160*(((Inputs!$G$5:$G$160="moeda")+(Inputs!$G$5:$G$160="acoes"))*Inputs!$B$1+((Inputs!$G$5:$G$160&lt;&gt;"moeda")*(Inputs!$G$5:$G$160&lt;&gt;"acoes")))*INDEX(Inputs!$K$5:$AJ$160,0,MATCH(E$2,Inputs!$K$4:$AJ$4,0)))+SUMPRODUCT((Inputs!$E$5:$E$160=$B44)*Inputs!$F$5:$F$160*(((Inputs!$G$5:$G$160="moeda")+(Inputs!$G$5:$G$160="acoes"))*Inputs!$B$1+((Inputs!$G$5:$G$160&lt;&gt;"moeda")*(Inputs!$G$5:$G$160&lt;&gt;"acoes")))*INDEX(Inputs!$K$5:$AJ$160,0,MATCH(E$2,Inputs!$K$4:$AJ$4,0)))))</f>
        <v>-24.83640528</v>
      </c>
      <c r="F44" s="6">
        <f>IF(ISNA(MATCH(F$2,Inputs!$K$4:$AJ$4,0)),NA(),IF(SUMPRODUCT((Inputs!$A$5:$A$160=$B44)*ISNUMBER(INDEX(Inputs!$K$5:$AJ$160,0,MATCH(F$2,Inputs!$K$4:$AJ$4,0))))+SUMPRODUCT((Inputs!$C$5:$C$160=$B44)*ISNUMBER(INDEX(Inputs!$K$5:$AJ$160,0,MATCH(F$2,Inputs!$K$4:$AJ$4,0))))+SUMPRODUCT((Inputs!$E$5:$E$160=$B44)*ISNUMBER(INDEX(Inputs!$K$5:$AJ$160,0,MATCH(F$2,Inputs!$K$4:$AJ$4,0))))=0,NA(),SUMPRODUCT((Inputs!$A$5:$A$160=$B44)*Inputs!$B$5:$B$160*(((Inputs!$G$5:$G$160="moeda")+(Inputs!$G$5:$G$160="acoes"))*Inputs!$B$1+((Inputs!$G$5:$G$160&lt;&gt;"moeda")*(Inputs!$G$5:$G$160&lt;&gt;"acoes")))*INDEX(Inputs!$K$5:$AJ$160,0,MATCH(F$2,Inputs!$K$4:$AJ$4,0)))+SUMPRODUCT((Inputs!$C$5:$C$160=$B44)*Inputs!$D$5:$D$160*(((Inputs!$G$5:$G$160="moeda")+(Inputs!$G$5:$G$160="acoes"))*Inputs!$B$1+((Inputs!$G$5:$G$160&lt;&gt;"moeda")*(Inputs!$G$5:$G$160&lt;&gt;"acoes")))*INDEX(Inputs!$K$5:$AJ$160,0,MATCH(F$2,Inputs!$K$4:$AJ$4,0)))+SUMPRODUCT((Inputs!$E$5:$E$160=$B44)*Inputs!$F$5:$F$160*(((Inputs!$G$5:$G$160="moeda")+(Inputs!$G$5:$G$160="acoes"))*Inputs!$B$1+((Inputs!$G$5:$G$160&lt;&gt;"moeda")*(Inputs!$G$5:$G$160&lt;&gt;"acoes")))*INDEX(Inputs!$K$5:$AJ$160,0,MATCH(F$2,Inputs!$K$4:$AJ$4,0)))))</f>
        <v>-24.83640528</v>
      </c>
      <c r="G44" s="6">
        <f>IF(ISNA(MATCH(G$2,Inputs!$K$4:$AJ$4,0)),NA(),IF(SUMPRODUCT((Inputs!$A$5:$A$160=$B44)*ISNUMBER(INDEX(Inputs!$K$5:$AJ$160,0,MATCH(G$2,Inputs!$K$4:$AJ$4,0))))+SUMPRODUCT((Inputs!$C$5:$C$160=$B44)*ISNUMBER(INDEX(Inputs!$K$5:$AJ$160,0,MATCH(G$2,Inputs!$K$4:$AJ$4,0))))+SUMPRODUCT((Inputs!$E$5:$E$160=$B44)*ISNUMBER(INDEX(Inputs!$K$5:$AJ$160,0,MATCH(G$2,Inputs!$K$4:$AJ$4,0))))=0,NA(),SUMPRODUCT((Inputs!$A$5:$A$160=$B44)*Inputs!$B$5:$B$160*(((Inputs!$G$5:$G$160="moeda")+(Inputs!$G$5:$G$160="acoes"))*Inputs!$B$1+((Inputs!$G$5:$G$160&lt;&gt;"moeda")*(Inputs!$G$5:$G$160&lt;&gt;"acoes")))*INDEX(Inputs!$K$5:$AJ$160,0,MATCH(G$2,Inputs!$K$4:$AJ$4,0)))+SUMPRODUCT((Inputs!$C$5:$C$160=$B44)*Inputs!$D$5:$D$160*(((Inputs!$G$5:$G$160="moeda")+(Inputs!$G$5:$G$160="acoes"))*Inputs!$B$1+((Inputs!$G$5:$G$160&lt;&gt;"moeda")*(Inputs!$G$5:$G$160&lt;&gt;"acoes")))*INDEX(Inputs!$K$5:$AJ$160,0,MATCH(G$2,Inputs!$K$4:$AJ$4,0)))+SUMPRODUCT((Inputs!$E$5:$E$160=$B44)*Inputs!$F$5:$F$160*(((Inputs!$G$5:$G$160="moeda")+(Inputs!$G$5:$G$160="acoes"))*Inputs!$B$1+((Inputs!$G$5:$G$160&lt;&gt;"moeda")*(Inputs!$G$5:$G$160&lt;&gt;"acoes")))*INDEX(Inputs!$K$5:$AJ$160,0,MATCH(G$2,Inputs!$K$4:$AJ$4,0)))))</f>
        <v>-24.83640528</v>
      </c>
      <c r="H44" s="3">
        <f>G44</f>
        <v>-24.83640528</v>
      </c>
      <c r="I44" s="6">
        <f>IF(ISNA(MATCH(I$2,Inputs!$K$4:$AJ$4,0)),NA(),IF(SUMPRODUCT((Inputs!$A$5:$A$160=$B44)*ISNUMBER(INDEX(Inputs!$K$5:$AJ$160,0,MATCH(I$2,Inputs!$K$4:$AJ$4,0))))+SUMPRODUCT((Inputs!$C$5:$C$160=$B44)*ISNUMBER(INDEX(Inputs!$K$5:$AJ$160,0,MATCH(I$2,Inputs!$K$4:$AJ$4,0))))+SUMPRODUCT((Inputs!$E$5:$E$160=$B44)*ISNUMBER(INDEX(Inputs!$K$5:$AJ$160,0,MATCH(I$2,Inputs!$K$4:$AJ$4,0))))=0,NA(),SUMPRODUCT((Inputs!$A$5:$A$160=$B44)*Inputs!$B$5:$B$160*(((Inputs!$G$5:$G$160="moeda")+(Inputs!$G$5:$G$160="acoes"))*Inputs!$B$1+((Inputs!$G$5:$G$160&lt;&gt;"moeda")*(Inputs!$G$5:$G$160&lt;&gt;"acoes")))*INDEX(Inputs!$K$5:$AJ$160,0,MATCH(I$2,Inputs!$K$4:$AJ$4,0)))+SUMPRODUCT((Inputs!$C$5:$C$160=$B44)*Inputs!$D$5:$D$160*(((Inputs!$G$5:$G$160="moeda")+(Inputs!$G$5:$G$160="acoes"))*Inputs!$B$1+((Inputs!$G$5:$G$160&lt;&gt;"moeda")*(Inputs!$G$5:$G$160&lt;&gt;"acoes")))*INDEX(Inputs!$K$5:$AJ$160,0,MATCH(I$2,Inputs!$K$4:$AJ$4,0)))+SUMPRODUCT((Inputs!$E$5:$E$160=$B44)*Inputs!$F$5:$F$160*(((Inputs!$G$5:$G$160="moeda")+(Inputs!$G$5:$G$160="acoes"))*Inputs!$B$1+((Inputs!$G$5:$G$160&lt;&gt;"moeda")*(Inputs!$G$5:$G$160&lt;&gt;"acoes")))*INDEX(Inputs!$K$5:$AJ$160,0,MATCH(I$2,Inputs!$K$4:$AJ$4,0)))))</f>
        <v>-22.89021678</v>
      </c>
      <c r="J44" s="6">
        <f>IF(ISNA(MATCH(J$2,Inputs!$K$4:$AJ$4,0)),NA(),IF(SUMPRODUCT((Inputs!$A$5:$A$160=$B44)*ISNUMBER(INDEX(Inputs!$K$5:$AJ$160,0,MATCH(J$2,Inputs!$K$4:$AJ$4,0))))+SUMPRODUCT((Inputs!$C$5:$C$160=$B44)*ISNUMBER(INDEX(Inputs!$K$5:$AJ$160,0,MATCH(J$2,Inputs!$K$4:$AJ$4,0))))+SUMPRODUCT((Inputs!$E$5:$E$160=$B44)*ISNUMBER(INDEX(Inputs!$K$5:$AJ$160,0,MATCH(J$2,Inputs!$K$4:$AJ$4,0))))=0,NA(),SUMPRODUCT((Inputs!$A$5:$A$160=$B44)*Inputs!$B$5:$B$160*(((Inputs!$G$5:$G$160="moeda")+(Inputs!$G$5:$G$160="acoes"))*Inputs!$B$1+((Inputs!$G$5:$G$160&lt;&gt;"moeda")*(Inputs!$G$5:$G$160&lt;&gt;"acoes")))*INDEX(Inputs!$K$5:$AJ$160,0,MATCH(J$2,Inputs!$K$4:$AJ$4,0)))+SUMPRODUCT((Inputs!$C$5:$C$160=$B44)*Inputs!$D$5:$D$160*(((Inputs!$G$5:$G$160="moeda")+(Inputs!$G$5:$G$160="acoes"))*Inputs!$B$1+((Inputs!$G$5:$G$160&lt;&gt;"moeda")*(Inputs!$G$5:$G$160&lt;&gt;"acoes")))*INDEX(Inputs!$K$5:$AJ$160,0,MATCH(J$2,Inputs!$K$4:$AJ$4,0)))+SUMPRODUCT((Inputs!$E$5:$E$160=$B44)*Inputs!$F$5:$F$160*(((Inputs!$G$5:$G$160="moeda")+(Inputs!$G$5:$G$160="acoes"))*Inputs!$B$1+((Inputs!$G$5:$G$160&lt;&gt;"moeda")*(Inputs!$G$5:$G$160&lt;&gt;"acoes")))*INDEX(Inputs!$K$5:$AJ$160,0,MATCH(J$2,Inputs!$K$4:$AJ$4,0)))))</f>
        <v>-27.2412731</v>
      </c>
      <c r="K44" s="6">
        <f>IF(ISNA(MATCH(K$2,Inputs!$K$4:$AJ$4,0)),NA(),IF(SUMPRODUCT((Inputs!$A$5:$A$160=$B44)*ISNUMBER(INDEX(Inputs!$K$5:$AJ$160,0,MATCH(K$2,Inputs!$K$4:$AJ$4,0))))+SUMPRODUCT((Inputs!$C$5:$C$160=$B44)*ISNUMBER(INDEX(Inputs!$K$5:$AJ$160,0,MATCH(K$2,Inputs!$K$4:$AJ$4,0))))+SUMPRODUCT((Inputs!$E$5:$E$160=$B44)*ISNUMBER(INDEX(Inputs!$K$5:$AJ$160,0,MATCH(K$2,Inputs!$K$4:$AJ$4,0))))=0,NA(),SUMPRODUCT((Inputs!$A$5:$A$160=$B44)*Inputs!$B$5:$B$160*(((Inputs!$G$5:$G$160="moeda")+(Inputs!$G$5:$G$160="acoes"))*Inputs!$B$1+((Inputs!$G$5:$G$160&lt;&gt;"moeda")*(Inputs!$G$5:$G$160&lt;&gt;"acoes")))*INDEX(Inputs!$K$5:$AJ$160,0,MATCH(K$2,Inputs!$K$4:$AJ$4,0)))+SUMPRODUCT((Inputs!$C$5:$C$160=$B44)*Inputs!$D$5:$D$160*(((Inputs!$G$5:$G$160="moeda")+(Inputs!$G$5:$G$160="acoes"))*Inputs!$B$1+((Inputs!$G$5:$G$160&lt;&gt;"moeda")*(Inputs!$G$5:$G$160&lt;&gt;"acoes")))*INDEX(Inputs!$K$5:$AJ$160,0,MATCH(K$2,Inputs!$K$4:$AJ$4,0)))+SUMPRODUCT((Inputs!$E$5:$E$160=$B44)*Inputs!$F$5:$F$160*(((Inputs!$G$5:$G$160="moeda")+(Inputs!$G$5:$G$160="acoes"))*Inputs!$B$1+((Inputs!$G$5:$G$160&lt;&gt;"moeda")*(Inputs!$G$5:$G$160&lt;&gt;"acoes")))*INDEX(Inputs!$K$5:$AJ$160,0,MATCH(K$2,Inputs!$K$4:$AJ$4,0)))))</f>
        <v>-19.97143105</v>
      </c>
      <c r="L44" s="6">
        <f>IF(ISNA(MATCH(L$2,Inputs!$K$4:$AJ$4,0)),NA(),IF(SUMPRODUCT((Inputs!$A$5:$A$160=$B44)*ISNUMBER(INDEX(Inputs!$K$5:$AJ$160,0,MATCH(L$2,Inputs!$K$4:$AJ$4,0))))+SUMPRODUCT((Inputs!$C$5:$C$160=$B44)*ISNUMBER(INDEX(Inputs!$K$5:$AJ$160,0,MATCH(L$2,Inputs!$K$4:$AJ$4,0))))+SUMPRODUCT((Inputs!$E$5:$E$160=$B44)*ISNUMBER(INDEX(Inputs!$K$5:$AJ$160,0,MATCH(L$2,Inputs!$K$4:$AJ$4,0))))=0,NA(),SUMPRODUCT((Inputs!$A$5:$A$160=$B44)*Inputs!$B$5:$B$160*(((Inputs!$G$5:$G$160="moeda")+(Inputs!$G$5:$G$160="acoes"))*Inputs!$B$1+((Inputs!$G$5:$G$160&lt;&gt;"moeda")*(Inputs!$G$5:$G$160&lt;&gt;"acoes")))*INDEX(Inputs!$K$5:$AJ$160,0,MATCH(L$2,Inputs!$K$4:$AJ$4,0)))+SUMPRODUCT((Inputs!$C$5:$C$160=$B44)*Inputs!$D$5:$D$160*(((Inputs!$G$5:$G$160="moeda")+(Inputs!$G$5:$G$160="acoes"))*Inputs!$B$1+((Inputs!$G$5:$G$160&lt;&gt;"moeda")*(Inputs!$G$5:$G$160&lt;&gt;"acoes")))*INDEX(Inputs!$K$5:$AJ$160,0,MATCH(L$2,Inputs!$K$4:$AJ$4,0)))+SUMPRODUCT((Inputs!$E$5:$E$160=$B44)*Inputs!$F$5:$F$160*(((Inputs!$G$5:$G$160="moeda")+(Inputs!$G$5:$G$160="acoes"))*Inputs!$B$1+((Inputs!$G$5:$G$160&lt;&gt;"moeda")*(Inputs!$G$5:$G$160&lt;&gt;"acoes")))*INDEX(Inputs!$K$5:$AJ$160,0,MATCH(L$2,Inputs!$K$4:$AJ$4,0)))))</f>
        <v>-19.97143105</v>
      </c>
      <c r="M44" s="3">
        <f>L44</f>
        <v>-19.97143105</v>
      </c>
      <c r="N44" s="6">
        <f>IF(ISNA(MATCH(N$2,Inputs!$K$4:$AJ$4,0)),NA(),IF(SUMPRODUCT((Inputs!$A$5:$A$160=$B44)*ISNUMBER(INDEX(Inputs!$K$5:$AJ$160,0,MATCH(N$2,Inputs!$K$4:$AJ$4,0))))+SUMPRODUCT((Inputs!$C$5:$C$160=$B44)*ISNUMBER(INDEX(Inputs!$K$5:$AJ$160,0,MATCH(N$2,Inputs!$K$4:$AJ$4,0))))+SUMPRODUCT((Inputs!$E$5:$E$160=$B44)*ISNUMBER(INDEX(Inputs!$K$5:$AJ$160,0,MATCH(N$2,Inputs!$K$4:$AJ$4,0))))=0,NA(),SUMPRODUCT((Inputs!$A$5:$A$160=$B44)*Inputs!$B$5:$B$160*(((Inputs!$G$5:$G$160="moeda")+(Inputs!$G$5:$G$160="acoes"))*Inputs!$B$1+((Inputs!$G$5:$G$160&lt;&gt;"moeda")*(Inputs!$G$5:$G$160&lt;&gt;"acoes")))*INDEX(Inputs!$K$5:$AJ$160,0,MATCH(N$2,Inputs!$K$4:$AJ$4,0)))+SUMPRODUCT((Inputs!$C$5:$C$160=$B44)*Inputs!$D$5:$D$160*(((Inputs!$G$5:$G$160="moeda")+(Inputs!$G$5:$G$160="acoes"))*Inputs!$B$1+((Inputs!$G$5:$G$160&lt;&gt;"moeda")*(Inputs!$G$5:$G$160&lt;&gt;"acoes")))*INDEX(Inputs!$K$5:$AJ$160,0,MATCH(N$2,Inputs!$K$4:$AJ$4,0)))+SUMPRODUCT((Inputs!$E$5:$E$160=$B44)*Inputs!$F$5:$F$160*(((Inputs!$G$5:$G$160="moeda")+(Inputs!$G$5:$G$160="acoes"))*Inputs!$B$1+((Inputs!$G$5:$G$160&lt;&gt;"moeda")*(Inputs!$G$5:$G$160&lt;&gt;"acoes")))*INDEX(Inputs!$K$5:$AJ$160,0,MATCH(N$2,Inputs!$K$4:$AJ$4,0)))))</f>
        <v>-9.213137</v>
      </c>
      <c r="O44" s="6">
        <f>IF(ISNA(MATCH(O$2,Inputs!$K$4:$AJ$4,0)),NA(),IF(SUMPRODUCT((Inputs!$A$5:$A$160=$B44)*ISNUMBER(INDEX(Inputs!$K$5:$AJ$160,0,MATCH(O$2,Inputs!$K$4:$AJ$4,0))))+SUMPRODUCT((Inputs!$C$5:$C$160=$B44)*ISNUMBER(INDEX(Inputs!$K$5:$AJ$160,0,MATCH(O$2,Inputs!$K$4:$AJ$4,0))))+SUMPRODUCT((Inputs!$E$5:$E$160=$B44)*ISNUMBER(INDEX(Inputs!$K$5:$AJ$160,0,MATCH(O$2,Inputs!$K$4:$AJ$4,0))))=0,NA(),SUMPRODUCT((Inputs!$A$5:$A$160=$B44)*Inputs!$B$5:$B$160*(((Inputs!$G$5:$G$160="moeda")+(Inputs!$G$5:$G$160="acoes"))*Inputs!$B$1+((Inputs!$G$5:$G$160&lt;&gt;"moeda")*(Inputs!$G$5:$G$160&lt;&gt;"acoes")))*INDEX(Inputs!$K$5:$AJ$160,0,MATCH(O$2,Inputs!$K$4:$AJ$4,0)))+SUMPRODUCT((Inputs!$C$5:$C$160=$B44)*Inputs!$D$5:$D$160*(((Inputs!$G$5:$G$160="moeda")+(Inputs!$G$5:$G$160="acoes"))*Inputs!$B$1+((Inputs!$G$5:$G$160&lt;&gt;"moeda")*(Inputs!$G$5:$G$160&lt;&gt;"acoes")))*INDEX(Inputs!$K$5:$AJ$160,0,MATCH(O$2,Inputs!$K$4:$AJ$4,0)))+SUMPRODUCT((Inputs!$E$5:$E$160=$B44)*Inputs!$F$5:$F$160*(((Inputs!$G$5:$G$160="moeda")+(Inputs!$G$5:$G$160="acoes"))*Inputs!$B$1+((Inputs!$G$5:$G$160&lt;&gt;"moeda")*(Inputs!$G$5:$G$160&lt;&gt;"acoes")))*INDEX(Inputs!$K$5:$AJ$160,0,MATCH(O$2,Inputs!$K$4:$AJ$4,0)))))</f>
        <v>-9.213</v>
      </c>
      <c r="P44" s="6">
        <f>IF(ISNA(MATCH(P$2,Inputs!$K$4:$AJ$4,0)),NA(),IF(SUMPRODUCT((Inputs!$A$5:$A$160=$B44)*ISNUMBER(INDEX(Inputs!$K$5:$AJ$160,0,MATCH(P$2,Inputs!$K$4:$AJ$4,0))))+SUMPRODUCT((Inputs!$C$5:$C$160=$B44)*ISNUMBER(INDEX(Inputs!$K$5:$AJ$160,0,MATCH(P$2,Inputs!$K$4:$AJ$4,0))))+SUMPRODUCT((Inputs!$E$5:$E$160=$B44)*ISNUMBER(INDEX(Inputs!$K$5:$AJ$160,0,MATCH(P$2,Inputs!$K$4:$AJ$4,0))))=0,NA(),SUMPRODUCT((Inputs!$A$5:$A$160=$B44)*Inputs!$B$5:$B$160*(((Inputs!$G$5:$G$160="moeda")+(Inputs!$G$5:$G$160="acoes"))*Inputs!$B$1+((Inputs!$G$5:$G$160&lt;&gt;"moeda")*(Inputs!$G$5:$G$160&lt;&gt;"acoes")))*INDEX(Inputs!$K$5:$AJ$160,0,MATCH(P$2,Inputs!$K$4:$AJ$4,0)))+SUMPRODUCT((Inputs!$C$5:$C$160=$B44)*Inputs!$D$5:$D$160*(((Inputs!$G$5:$G$160="moeda")+(Inputs!$G$5:$G$160="acoes"))*Inputs!$B$1+((Inputs!$G$5:$G$160&lt;&gt;"moeda")*(Inputs!$G$5:$G$160&lt;&gt;"acoes")))*INDEX(Inputs!$K$5:$AJ$160,0,MATCH(P$2,Inputs!$K$4:$AJ$4,0)))+SUMPRODUCT((Inputs!$E$5:$E$160=$B44)*Inputs!$F$5:$F$160*(((Inputs!$G$5:$G$160="moeda")+(Inputs!$G$5:$G$160="acoes"))*Inputs!$B$1+((Inputs!$G$5:$G$160&lt;&gt;"moeda")*(Inputs!$G$5:$G$160&lt;&gt;"acoes")))*INDEX(Inputs!$K$5:$AJ$160,0,MATCH(P$2,Inputs!$K$4:$AJ$4,0)))))</f>
        <v>-9.213</v>
      </c>
      <c r="Q44" s="6">
        <f>IF(ISNA(MATCH(Q$2,Inputs!$K$4:$AJ$4,0)),NA(),IF(SUMPRODUCT((Inputs!$A$5:$A$160=$B44)*ISNUMBER(INDEX(Inputs!$K$5:$AJ$160,0,MATCH(Q$2,Inputs!$K$4:$AJ$4,0))))+SUMPRODUCT((Inputs!$C$5:$C$160=$B44)*ISNUMBER(INDEX(Inputs!$K$5:$AJ$160,0,MATCH(Q$2,Inputs!$K$4:$AJ$4,0))))+SUMPRODUCT((Inputs!$E$5:$E$160=$B44)*ISNUMBER(INDEX(Inputs!$K$5:$AJ$160,0,MATCH(Q$2,Inputs!$K$4:$AJ$4,0))))=0,NA(),SUMPRODUCT((Inputs!$A$5:$A$160=$B44)*Inputs!$B$5:$B$160*(((Inputs!$G$5:$G$160="moeda")+(Inputs!$G$5:$G$160="acoes"))*Inputs!$B$1+((Inputs!$G$5:$G$160&lt;&gt;"moeda")*(Inputs!$G$5:$G$160&lt;&gt;"acoes")))*INDEX(Inputs!$K$5:$AJ$160,0,MATCH(Q$2,Inputs!$K$4:$AJ$4,0)))+SUMPRODUCT((Inputs!$C$5:$C$160=$B44)*Inputs!$D$5:$D$160*(((Inputs!$G$5:$G$160="moeda")+(Inputs!$G$5:$G$160="acoes"))*Inputs!$B$1+((Inputs!$G$5:$G$160&lt;&gt;"moeda")*(Inputs!$G$5:$G$160&lt;&gt;"acoes")))*INDEX(Inputs!$K$5:$AJ$160,0,MATCH(Q$2,Inputs!$K$4:$AJ$4,0)))+SUMPRODUCT((Inputs!$E$5:$E$160=$B44)*Inputs!$F$5:$F$160*(((Inputs!$G$5:$G$160="moeda")+(Inputs!$G$5:$G$160="acoes"))*Inputs!$B$1+((Inputs!$G$5:$G$160&lt;&gt;"moeda")*(Inputs!$G$5:$G$160&lt;&gt;"acoes")))*INDEX(Inputs!$K$5:$AJ$160,0,MATCH(Q$2,Inputs!$K$4:$AJ$4,0)))))</f>
        <v>-39.462</v>
      </c>
      <c r="R44" s="3">
        <f>Q44</f>
        <v>-39.462</v>
      </c>
      <c r="S44" s="6">
        <f>IF(ISNA(MATCH(S$2,Inputs!$K$4:$AJ$4,0)),NA(),IF(SUMPRODUCT((Inputs!$A$5:$A$160=$B44)*ISNUMBER(INDEX(Inputs!$K$5:$AJ$160,0,MATCH(S$2,Inputs!$K$4:$AJ$4,0))))+SUMPRODUCT((Inputs!$C$5:$C$160=$B44)*ISNUMBER(INDEX(Inputs!$K$5:$AJ$160,0,MATCH(S$2,Inputs!$K$4:$AJ$4,0))))+SUMPRODUCT((Inputs!$E$5:$E$160=$B44)*ISNUMBER(INDEX(Inputs!$K$5:$AJ$160,0,MATCH(S$2,Inputs!$K$4:$AJ$4,0))))=0,NA(),SUMPRODUCT((Inputs!$A$5:$A$160=$B44)*Inputs!$B$5:$B$160*(((Inputs!$G$5:$G$160="moeda")+(Inputs!$G$5:$G$160="acoes"))*Inputs!$B$1+((Inputs!$G$5:$G$160&lt;&gt;"moeda")*(Inputs!$G$5:$G$160&lt;&gt;"acoes")))*INDEX(Inputs!$K$5:$AJ$160,0,MATCH(S$2,Inputs!$K$4:$AJ$4,0)))+SUMPRODUCT((Inputs!$C$5:$C$160=$B44)*Inputs!$D$5:$D$160*(((Inputs!$G$5:$G$160="moeda")+(Inputs!$G$5:$G$160="acoes"))*Inputs!$B$1+((Inputs!$G$5:$G$160&lt;&gt;"moeda")*(Inputs!$G$5:$G$160&lt;&gt;"acoes")))*INDEX(Inputs!$K$5:$AJ$160,0,MATCH(S$2,Inputs!$K$4:$AJ$4,0)))+SUMPRODUCT((Inputs!$E$5:$E$160=$B44)*Inputs!$F$5:$F$160*(((Inputs!$G$5:$G$160="moeda")+(Inputs!$G$5:$G$160="acoes"))*Inputs!$B$1+((Inputs!$G$5:$G$160&lt;&gt;"moeda")*(Inputs!$G$5:$G$160&lt;&gt;"acoes")))*INDEX(Inputs!$K$5:$AJ$160,0,MATCH(S$2,Inputs!$K$4:$AJ$4,0)))))</f>
        <v>-27.15</v>
      </c>
      <c r="T44" s="6">
        <f>IF(ISNA(MATCH(T$2,Inputs!$K$4:$AJ$4,0)),NA(),IF(SUMPRODUCT((Inputs!$A$5:$A$160=$B44)*ISNUMBER(INDEX(Inputs!$K$5:$AJ$160,0,MATCH(T$2,Inputs!$K$4:$AJ$4,0))))+SUMPRODUCT((Inputs!$C$5:$C$160=$B44)*ISNUMBER(INDEX(Inputs!$K$5:$AJ$160,0,MATCH(T$2,Inputs!$K$4:$AJ$4,0))))+SUMPRODUCT((Inputs!$E$5:$E$160=$B44)*ISNUMBER(INDEX(Inputs!$K$5:$AJ$160,0,MATCH(T$2,Inputs!$K$4:$AJ$4,0))))=0,NA(),SUMPRODUCT((Inputs!$A$5:$A$160=$B44)*Inputs!$B$5:$B$160*(((Inputs!$G$5:$G$160="moeda")+(Inputs!$G$5:$G$160="acoes"))*Inputs!$B$1+((Inputs!$G$5:$G$160&lt;&gt;"moeda")*(Inputs!$G$5:$G$160&lt;&gt;"acoes")))*INDEX(Inputs!$K$5:$AJ$160,0,MATCH(T$2,Inputs!$K$4:$AJ$4,0)))+SUMPRODUCT((Inputs!$C$5:$C$160=$B44)*Inputs!$D$5:$D$160*(((Inputs!$G$5:$G$160="moeda")+(Inputs!$G$5:$G$160="acoes"))*Inputs!$B$1+((Inputs!$G$5:$G$160&lt;&gt;"moeda")*(Inputs!$G$5:$G$160&lt;&gt;"acoes")))*INDEX(Inputs!$K$5:$AJ$160,0,MATCH(T$2,Inputs!$K$4:$AJ$4,0)))+SUMPRODUCT((Inputs!$E$5:$E$160=$B44)*Inputs!$F$5:$F$160*(((Inputs!$G$5:$G$160="moeda")+(Inputs!$G$5:$G$160="acoes"))*Inputs!$B$1+((Inputs!$G$5:$G$160&lt;&gt;"moeda")*(Inputs!$G$5:$G$160&lt;&gt;"acoes")))*INDEX(Inputs!$K$5:$AJ$160,0,MATCH(T$2,Inputs!$K$4:$AJ$4,0)))))</f>
        <v>-27.15</v>
      </c>
      <c r="U44" s="6">
        <f>IF(ISNA(MATCH(U$2,Inputs!$K$4:$AJ$4,0)),NA(),IF(SUMPRODUCT((Inputs!$A$5:$A$160=$B44)*ISNUMBER(INDEX(Inputs!$K$5:$AJ$160,0,MATCH(U$2,Inputs!$K$4:$AJ$4,0))))+SUMPRODUCT((Inputs!$C$5:$C$160=$B44)*ISNUMBER(INDEX(Inputs!$K$5:$AJ$160,0,MATCH(U$2,Inputs!$K$4:$AJ$4,0))))+SUMPRODUCT((Inputs!$E$5:$E$160=$B44)*ISNUMBER(INDEX(Inputs!$K$5:$AJ$160,0,MATCH(U$2,Inputs!$K$4:$AJ$4,0))))=0,NA(),SUMPRODUCT((Inputs!$A$5:$A$160=$B44)*Inputs!$B$5:$B$160*(((Inputs!$G$5:$G$160="moeda")+(Inputs!$G$5:$G$160="acoes"))*Inputs!$B$1+((Inputs!$G$5:$G$160&lt;&gt;"moeda")*(Inputs!$G$5:$G$160&lt;&gt;"acoes")))*INDEX(Inputs!$K$5:$AJ$160,0,MATCH(U$2,Inputs!$K$4:$AJ$4,0)))+SUMPRODUCT((Inputs!$C$5:$C$160=$B44)*Inputs!$D$5:$D$160*(((Inputs!$G$5:$G$160="moeda")+(Inputs!$G$5:$G$160="acoes"))*Inputs!$B$1+((Inputs!$G$5:$G$160&lt;&gt;"moeda")*(Inputs!$G$5:$G$160&lt;&gt;"acoes")))*INDEX(Inputs!$K$5:$AJ$160,0,MATCH(U$2,Inputs!$K$4:$AJ$4,0)))+SUMPRODUCT((Inputs!$E$5:$E$160=$B44)*Inputs!$F$5:$F$160*(((Inputs!$G$5:$G$160="moeda")+(Inputs!$G$5:$G$160="acoes"))*Inputs!$B$1+((Inputs!$G$5:$G$160&lt;&gt;"moeda")*(Inputs!$G$5:$G$160&lt;&gt;"acoes")))*INDEX(Inputs!$K$5:$AJ$160,0,MATCH(U$2,Inputs!$K$4:$AJ$4,0)))))</f>
        <v>-48.065</v>
      </c>
      <c r="V44" s="6">
        <f>IF(ISNA(MATCH(V$2,Inputs!$K$4:$AJ$4,0)),NA(),IF(SUMPRODUCT((Inputs!$A$5:$A$160=$B44)*ISNUMBER(INDEX(Inputs!$K$5:$AJ$160,0,MATCH(V$2,Inputs!$K$4:$AJ$4,0))))+SUMPRODUCT((Inputs!$C$5:$C$160=$B44)*ISNUMBER(INDEX(Inputs!$K$5:$AJ$160,0,MATCH(V$2,Inputs!$K$4:$AJ$4,0))))+SUMPRODUCT((Inputs!$E$5:$E$160=$B44)*ISNUMBER(INDEX(Inputs!$K$5:$AJ$160,0,MATCH(V$2,Inputs!$K$4:$AJ$4,0))))=0,NA(),SUMPRODUCT((Inputs!$A$5:$A$160=$B44)*Inputs!$B$5:$B$160*(((Inputs!$G$5:$G$160="moeda")+(Inputs!$G$5:$G$160="acoes"))*Inputs!$B$1+((Inputs!$G$5:$G$160&lt;&gt;"moeda")*(Inputs!$G$5:$G$160&lt;&gt;"acoes")))*INDEX(Inputs!$K$5:$AJ$160,0,MATCH(V$2,Inputs!$K$4:$AJ$4,0)))+SUMPRODUCT((Inputs!$C$5:$C$160=$B44)*Inputs!$D$5:$D$160*(((Inputs!$G$5:$G$160="moeda")+(Inputs!$G$5:$G$160="acoes"))*Inputs!$B$1+((Inputs!$G$5:$G$160&lt;&gt;"moeda")*(Inputs!$G$5:$G$160&lt;&gt;"acoes")))*INDEX(Inputs!$K$5:$AJ$160,0,MATCH(V$2,Inputs!$K$4:$AJ$4,0)))+SUMPRODUCT((Inputs!$E$5:$E$160=$B44)*Inputs!$F$5:$F$160*(((Inputs!$G$5:$G$160="moeda")+(Inputs!$G$5:$G$160="acoes"))*Inputs!$B$1+((Inputs!$G$5:$G$160&lt;&gt;"moeda")*(Inputs!$G$5:$G$160&lt;&gt;"acoes")))*INDEX(Inputs!$K$5:$AJ$160,0,MATCH(V$2,Inputs!$K$4:$AJ$4,0)))))</f>
        <v>-48.065</v>
      </c>
      <c r="W44" s="3">
        <f>V44</f>
        <v>-48.065</v>
      </c>
      <c r="X44" s="6">
        <f>IF(ISNA(MATCH(X$2,Inputs!$K$4:$AJ$4,0)),NA(),IF(SUMPRODUCT((Inputs!$A$5:$A$160=$B44)*ISNUMBER(INDEX(Inputs!$K$5:$AJ$160,0,MATCH(X$2,Inputs!$K$4:$AJ$4,0))))+SUMPRODUCT((Inputs!$C$5:$C$160=$B44)*ISNUMBER(INDEX(Inputs!$K$5:$AJ$160,0,MATCH(X$2,Inputs!$K$4:$AJ$4,0))))+SUMPRODUCT((Inputs!$E$5:$E$160=$B44)*ISNUMBER(INDEX(Inputs!$K$5:$AJ$160,0,MATCH(X$2,Inputs!$K$4:$AJ$4,0))))=0,NA(),SUMPRODUCT((Inputs!$A$5:$A$160=$B44)*Inputs!$B$5:$B$160*(((Inputs!$G$5:$G$160="moeda")+(Inputs!$G$5:$G$160="acoes"))*Inputs!$B$1+((Inputs!$G$5:$G$160&lt;&gt;"moeda")*(Inputs!$G$5:$G$160&lt;&gt;"acoes")))*INDEX(Inputs!$K$5:$AJ$160,0,MATCH(X$2,Inputs!$K$4:$AJ$4,0)))+SUMPRODUCT((Inputs!$C$5:$C$160=$B44)*Inputs!$D$5:$D$160*(((Inputs!$G$5:$G$160="moeda")+(Inputs!$G$5:$G$160="acoes"))*Inputs!$B$1+((Inputs!$G$5:$G$160&lt;&gt;"moeda")*(Inputs!$G$5:$G$160&lt;&gt;"acoes")))*INDEX(Inputs!$K$5:$AJ$160,0,MATCH(X$2,Inputs!$K$4:$AJ$4,0)))+SUMPRODUCT((Inputs!$E$5:$E$160=$B44)*Inputs!$F$5:$F$160*(((Inputs!$G$5:$G$160="moeda")+(Inputs!$G$5:$G$160="acoes"))*Inputs!$B$1+((Inputs!$G$5:$G$160&lt;&gt;"moeda")*(Inputs!$G$5:$G$160&lt;&gt;"acoes")))*INDEX(Inputs!$K$5:$AJ$160,0,MATCH(X$2,Inputs!$K$4:$AJ$4,0)))))</f>
        <v>-35.559101</v>
      </c>
      <c r="Y44" s="6">
        <f>IF(ISNA(MATCH(Y$2,Inputs!$K$4:$AJ$4,0)),NA(),IF(SUMPRODUCT((Inputs!$A$5:$A$160=$B44)*ISNUMBER(INDEX(Inputs!$K$5:$AJ$160,0,MATCH(Y$2,Inputs!$K$4:$AJ$4,0))))+SUMPRODUCT((Inputs!$C$5:$C$160=$B44)*ISNUMBER(INDEX(Inputs!$K$5:$AJ$160,0,MATCH(Y$2,Inputs!$K$4:$AJ$4,0))))+SUMPRODUCT((Inputs!$E$5:$E$160=$B44)*ISNUMBER(INDEX(Inputs!$K$5:$AJ$160,0,MATCH(Y$2,Inputs!$K$4:$AJ$4,0))))=0,NA(),SUMPRODUCT((Inputs!$A$5:$A$160=$B44)*Inputs!$B$5:$B$160*(((Inputs!$G$5:$G$160="moeda")+(Inputs!$G$5:$G$160="acoes"))*Inputs!$B$1+((Inputs!$G$5:$G$160&lt;&gt;"moeda")*(Inputs!$G$5:$G$160&lt;&gt;"acoes")))*INDEX(Inputs!$K$5:$AJ$160,0,MATCH(Y$2,Inputs!$K$4:$AJ$4,0)))+SUMPRODUCT((Inputs!$C$5:$C$160=$B44)*Inputs!$D$5:$D$160*(((Inputs!$G$5:$G$160="moeda")+(Inputs!$G$5:$G$160="acoes"))*Inputs!$B$1+((Inputs!$G$5:$G$160&lt;&gt;"moeda")*(Inputs!$G$5:$G$160&lt;&gt;"acoes")))*INDEX(Inputs!$K$5:$AJ$160,0,MATCH(Y$2,Inputs!$K$4:$AJ$4,0)))+SUMPRODUCT((Inputs!$E$5:$E$160=$B44)*Inputs!$F$5:$F$160*(((Inputs!$G$5:$G$160="moeda")+(Inputs!$G$5:$G$160="acoes"))*Inputs!$B$1+((Inputs!$G$5:$G$160&lt;&gt;"moeda")*(Inputs!$G$5:$G$160&lt;&gt;"acoes")))*INDEX(Inputs!$K$5:$AJ$160,0,MATCH(Y$2,Inputs!$K$4:$AJ$4,0)))))</f>
        <v>-35.559</v>
      </c>
      <c r="Z44" s="6">
        <f>IF(ISNA(MATCH(Z$2,Inputs!$K$4:$AJ$4,0)),NA(),IF(SUMPRODUCT((Inputs!$A$5:$A$160=$B44)*ISNUMBER(INDEX(Inputs!$K$5:$AJ$160,0,MATCH(Z$2,Inputs!$K$4:$AJ$4,0))))+SUMPRODUCT((Inputs!$C$5:$C$160=$B44)*ISNUMBER(INDEX(Inputs!$K$5:$AJ$160,0,MATCH(Z$2,Inputs!$K$4:$AJ$4,0))))+SUMPRODUCT((Inputs!$E$5:$E$160=$B44)*ISNUMBER(INDEX(Inputs!$K$5:$AJ$160,0,MATCH(Z$2,Inputs!$K$4:$AJ$4,0))))=0,NA(),SUMPRODUCT((Inputs!$A$5:$A$160=$B44)*Inputs!$B$5:$B$160*(((Inputs!$G$5:$G$160="moeda")+(Inputs!$G$5:$G$160="acoes"))*Inputs!$B$1+((Inputs!$G$5:$G$160&lt;&gt;"moeda")*(Inputs!$G$5:$G$160&lt;&gt;"acoes")))*INDEX(Inputs!$K$5:$AJ$160,0,MATCH(Z$2,Inputs!$K$4:$AJ$4,0)))+SUMPRODUCT((Inputs!$C$5:$C$160=$B44)*Inputs!$D$5:$D$160*(((Inputs!$G$5:$G$160="moeda")+(Inputs!$G$5:$G$160="acoes"))*Inputs!$B$1+((Inputs!$G$5:$G$160&lt;&gt;"moeda")*(Inputs!$G$5:$G$160&lt;&gt;"acoes")))*INDEX(Inputs!$K$5:$AJ$160,0,MATCH(Z$2,Inputs!$K$4:$AJ$4,0)))+SUMPRODUCT((Inputs!$E$5:$E$160=$B44)*Inputs!$F$5:$F$160*(((Inputs!$G$5:$G$160="moeda")+(Inputs!$G$5:$G$160="acoes"))*Inputs!$B$1+((Inputs!$G$5:$G$160&lt;&gt;"moeda")*(Inputs!$G$5:$G$160&lt;&gt;"acoes")))*INDEX(Inputs!$K$5:$AJ$160,0,MATCH(Z$2,Inputs!$K$4:$AJ$4,0)))))</f>
        <v>-35.559</v>
      </c>
      <c r="AA44" s="6">
        <f>IF(ISNA(MATCH(AA$2,Inputs!$K$4:$AJ$4,0)),NA(),IF(SUMPRODUCT((Inputs!$A$5:$A$160=$B44)*ISNUMBER(INDEX(Inputs!$K$5:$AJ$160,0,MATCH(AA$2,Inputs!$K$4:$AJ$4,0))))+SUMPRODUCT((Inputs!$C$5:$C$160=$B44)*ISNUMBER(INDEX(Inputs!$K$5:$AJ$160,0,MATCH(AA$2,Inputs!$K$4:$AJ$4,0))))+SUMPRODUCT((Inputs!$E$5:$E$160=$B44)*ISNUMBER(INDEX(Inputs!$K$5:$AJ$160,0,MATCH(AA$2,Inputs!$K$4:$AJ$4,0))))=0,NA(),SUMPRODUCT((Inputs!$A$5:$A$160=$B44)*Inputs!$B$5:$B$160*(((Inputs!$G$5:$G$160="moeda")+(Inputs!$G$5:$G$160="acoes"))*Inputs!$B$1+((Inputs!$G$5:$G$160&lt;&gt;"moeda")*(Inputs!$G$5:$G$160&lt;&gt;"acoes")))*INDEX(Inputs!$K$5:$AJ$160,0,MATCH(AA$2,Inputs!$K$4:$AJ$4,0)))+SUMPRODUCT((Inputs!$C$5:$C$160=$B44)*Inputs!$D$5:$D$160*(((Inputs!$G$5:$G$160="moeda")+(Inputs!$G$5:$G$160="acoes"))*Inputs!$B$1+((Inputs!$G$5:$G$160&lt;&gt;"moeda")*(Inputs!$G$5:$G$160&lt;&gt;"acoes")))*INDEX(Inputs!$K$5:$AJ$160,0,MATCH(AA$2,Inputs!$K$4:$AJ$4,0)))+SUMPRODUCT((Inputs!$E$5:$E$160=$B44)*Inputs!$F$5:$F$160*(((Inputs!$G$5:$G$160="moeda")+(Inputs!$G$5:$G$160="acoes"))*Inputs!$B$1+((Inputs!$G$5:$G$160&lt;&gt;"moeda")*(Inputs!$G$5:$G$160&lt;&gt;"acoes")))*INDEX(Inputs!$K$5:$AJ$160,0,MATCH(AA$2,Inputs!$K$4:$AJ$4,0)))))</f>
        <v>-35.559</v>
      </c>
      <c r="AB44" s="3">
        <f>AA44</f>
        <v>-35.559</v>
      </c>
      <c r="AC44" s="6">
        <f>IF(ISNA(MATCH(AC$2,Inputs!$K$4:$AJ$4,0)),NA(),IF(SUMPRODUCT((Inputs!$A$5:$A$160=$B44)*ISNUMBER(INDEX(Inputs!$K$5:$AJ$160,0,MATCH(AC$2,Inputs!$K$4:$AJ$4,0))))+SUMPRODUCT((Inputs!$C$5:$C$160=$B44)*ISNUMBER(INDEX(Inputs!$K$5:$AJ$160,0,MATCH(AC$2,Inputs!$K$4:$AJ$4,0))))+SUMPRODUCT((Inputs!$E$5:$E$160=$B44)*ISNUMBER(INDEX(Inputs!$K$5:$AJ$160,0,MATCH(AC$2,Inputs!$K$4:$AJ$4,0))))=0,NA(),SUMPRODUCT((Inputs!$A$5:$A$160=$B44)*Inputs!$B$5:$B$160*(((Inputs!$G$5:$G$160="moeda")+(Inputs!$G$5:$G$160="acoes"))*Inputs!$B$1+((Inputs!$G$5:$G$160&lt;&gt;"moeda")*(Inputs!$G$5:$G$160&lt;&gt;"acoes")))*INDEX(Inputs!$K$5:$AJ$160,0,MATCH(AC$2,Inputs!$K$4:$AJ$4,0)))+SUMPRODUCT((Inputs!$C$5:$C$160=$B44)*Inputs!$D$5:$D$160*(((Inputs!$G$5:$G$160="moeda")+(Inputs!$G$5:$G$160="acoes"))*Inputs!$B$1+((Inputs!$G$5:$G$160&lt;&gt;"moeda")*(Inputs!$G$5:$G$160&lt;&gt;"acoes")))*INDEX(Inputs!$K$5:$AJ$160,0,MATCH(AC$2,Inputs!$K$4:$AJ$4,0)))+SUMPRODUCT((Inputs!$E$5:$E$160=$B44)*Inputs!$F$5:$F$160*(((Inputs!$G$5:$G$160="moeda")+(Inputs!$G$5:$G$160="acoes"))*Inputs!$B$1+((Inputs!$G$5:$G$160&lt;&gt;"moeda")*(Inputs!$G$5:$G$160&lt;&gt;"acoes")))*INDEX(Inputs!$K$5:$AJ$160,0,MATCH(AC$2,Inputs!$K$4:$AJ$4,0)))))</f>
        <v>-55.497</v>
      </c>
      <c r="AD44" s="6">
        <f>IF(ISNA(MATCH(AD$2,Inputs!$K$4:$AJ$4,0)),NA(),IF(SUMPRODUCT((Inputs!$A$5:$A$160=$B44)*ISNUMBER(INDEX(Inputs!$K$5:$AJ$160,0,MATCH(AD$2,Inputs!$K$4:$AJ$4,0))))+SUMPRODUCT((Inputs!$C$5:$C$160=$B44)*ISNUMBER(INDEX(Inputs!$K$5:$AJ$160,0,MATCH(AD$2,Inputs!$K$4:$AJ$4,0))))+SUMPRODUCT((Inputs!$E$5:$E$160=$B44)*ISNUMBER(INDEX(Inputs!$K$5:$AJ$160,0,MATCH(AD$2,Inputs!$K$4:$AJ$4,0))))=0,NA(),SUMPRODUCT((Inputs!$A$5:$A$160=$B44)*Inputs!$B$5:$B$160*(((Inputs!$G$5:$G$160="moeda")+(Inputs!$G$5:$G$160="acoes"))*Inputs!$B$1+((Inputs!$G$5:$G$160&lt;&gt;"moeda")*(Inputs!$G$5:$G$160&lt;&gt;"acoes")))*INDEX(Inputs!$K$5:$AJ$160,0,MATCH(AD$2,Inputs!$K$4:$AJ$4,0)))+SUMPRODUCT((Inputs!$C$5:$C$160=$B44)*Inputs!$D$5:$D$160*(((Inputs!$G$5:$G$160="moeda")+(Inputs!$G$5:$G$160="acoes"))*Inputs!$B$1+((Inputs!$G$5:$G$160&lt;&gt;"moeda")*(Inputs!$G$5:$G$160&lt;&gt;"acoes")))*INDEX(Inputs!$K$5:$AJ$160,0,MATCH(AD$2,Inputs!$K$4:$AJ$4,0)))+SUMPRODUCT((Inputs!$E$5:$E$160=$B44)*Inputs!$F$5:$F$160*(((Inputs!$G$5:$G$160="moeda")+(Inputs!$G$5:$G$160="acoes"))*Inputs!$B$1+((Inputs!$G$5:$G$160&lt;&gt;"moeda")*(Inputs!$G$5:$G$160&lt;&gt;"acoes")))*INDEX(Inputs!$K$5:$AJ$160,0,MATCH(AD$2,Inputs!$K$4:$AJ$4,0)))))</f>
        <v>-55.478</v>
      </c>
      <c r="AE44" s="6" t="e">
        <f>IF(ISNA(MATCH(AE$2,Inputs!$K$4:$AJ$4,0)),NA(),IF(SUMPRODUCT((Inputs!$A$5:$A$160=$B44)*ISNUMBER(INDEX(Inputs!$K$5:$AJ$160,0,MATCH(AE$2,Inputs!$K$4:$AJ$4,0))))+SUMPRODUCT((Inputs!$C$5:$C$160=$B44)*ISNUMBER(INDEX(Inputs!$K$5:$AJ$160,0,MATCH(AE$2,Inputs!$K$4:$AJ$4,0))))+SUMPRODUCT((Inputs!$E$5:$E$160=$B44)*ISNUMBER(INDEX(Inputs!$K$5:$AJ$160,0,MATCH(AE$2,Inputs!$K$4:$AJ$4,0))))=0,NA(),SUMPRODUCT((Inputs!$A$5:$A$160=$B44)*Inputs!$B$5:$B$160*(((Inputs!$G$5:$G$160="moeda")+(Inputs!$G$5:$G$160="acoes"))*Inputs!$B$1+((Inputs!$G$5:$G$160&lt;&gt;"moeda")*(Inputs!$G$5:$G$160&lt;&gt;"acoes")))*INDEX(Inputs!$K$5:$AJ$160,0,MATCH(AE$2,Inputs!$K$4:$AJ$4,0)))+SUMPRODUCT((Inputs!$C$5:$C$160=$B44)*Inputs!$D$5:$D$160*(((Inputs!$G$5:$G$160="moeda")+(Inputs!$G$5:$G$160="acoes"))*Inputs!$B$1+((Inputs!$G$5:$G$160&lt;&gt;"moeda")*(Inputs!$G$5:$G$160&lt;&gt;"acoes")))*INDEX(Inputs!$K$5:$AJ$160,0,MATCH(AE$2,Inputs!$K$4:$AJ$4,0)))+SUMPRODUCT((Inputs!$E$5:$E$160=$B44)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4" s="6" t="e">
        <f>IF(ISNA(MATCH(AF$2,Inputs!$K$4:$AJ$4,0)),NA(),IF(SUMPRODUCT((Inputs!$A$5:$A$160=$B44)*ISNUMBER(INDEX(Inputs!$K$5:$AJ$160,0,MATCH(AF$2,Inputs!$K$4:$AJ$4,0))))+SUMPRODUCT((Inputs!$C$5:$C$160=$B44)*ISNUMBER(INDEX(Inputs!$K$5:$AJ$160,0,MATCH(AF$2,Inputs!$K$4:$AJ$4,0))))+SUMPRODUCT((Inputs!$E$5:$E$160=$B44)*ISNUMBER(INDEX(Inputs!$K$5:$AJ$160,0,MATCH(AF$2,Inputs!$K$4:$AJ$4,0))))=0,NA(),SUMPRODUCT((Inputs!$A$5:$A$160=$B44)*Inputs!$B$5:$B$160*(((Inputs!$G$5:$G$160="moeda")+(Inputs!$G$5:$G$160="acoes"))*Inputs!$B$1+((Inputs!$G$5:$G$160&lt;&gt;"moeda")*(Inputs!$G$5:$G$160&lt;&gt;"acoes")))*INDEX(Inputs!$K$5:$AJ$160,0,MATCH(AF$2,Inputs!$K$4:$AJ$4,0)))+SUMPRODUCT((Inputs!$C$5:$C$160=$B44)*Inputs!$D$5:$D$160*(((Inputs!$G$5:$G$160="moeda")+(Inputs!$G$5:$G$160="acoes"))*Inputs!$B$1+((Inputs!$G$5:$G$160&lt;&gt;"moeda")*(Inputs!$G$5:$G$160&lt;&gt;"acoes")))*INDEX(Inputs!$K$5:$AJ$160,0,MATCH(AF$2,Inputs!$K$4:$AJ$4,0)))+SUMPRODUCT((Inputs!$E$5:$E$160=$B44)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4" s="3" t="e">
        <f>AF44</f>
        <v>#N/A</v>
      </c>
      <c r="AH44" s="6">
        <f>IF(ISNA(MATCH(AH$2,Inputs!$K$4:$AJ$4,0)),NA(),IF(SUMPRODUCT((Inputs!$A$5:$A$160=$B44)*ISNUMBER(INDEX(Inputs!$K$5:$AJ$160,0,MATCH(AH$2,Inputs!$K$4:$AJ$4,0))))+SUMPRODUCT((Inputs!$C$5:$C$160=$B44)*ISNUMBER(INDEX(Inputs!$K$5:$AJ$160,0,MATCH(AH$2,Inputs!$K$4:$AJ$4,0))))+SUMPRODUCT((Inputs!$E$5:$E$160=$B44)*ISNUMBER(INDEX(Inputs!$K$5:$AJ$160,0,MATCH(AH$2,Inputs!$K$4:$AJ$4,0))))=0,NA(),SUMPRODUCT((Inputs!$A$5:$A$160=$B44)*Inputs!$B$5:$B$160*(((Inputs!$G$5:$G$160="moeda")+(Inputs!$G$5:$G$160="acoes"))*Inputs!$B$1+((Inputs!$G$5:$G$160&lt;&gt;"moeda")*(Inputs!$G$5:$G$160&lt;&gt;"acoes")))*INDEX(Inputs!$K$5:$AJ$160,0,MATCH(AH$2,Inputs!$K$4:$AJ$4,0)))+SUMPRODUCT((Inputs!$C$5:$C$160=$B44)*Inputs!$D$5:$D$160*(((Inputs!$G$5:$G$160="moeda")+(Inputs!$G$5:$G$160="acoes"))*Inputs!$B$1+((Inputs!$G$5:$G$160&lt;&gt;"moeda")*(Inputs!$G$5:$G$160&lt;&gt;"acoes")))*INDEX(Inputs!$K$5:$AJ$160,0,MATCH(AH$2,Inputs!$K$4:$AJ$4,0)))+SUMPRODUCT((Inputs!$E$5:$E$160=$B44)*Inputs!$F$5:$F$160*(((Inputs!$G$5:$G$160="moeda")+(Inputs!$G$5:$G$160="acoes"))*Inputs!$B$1+((Inputs!$G$5:$G$160&lt;&gt;"moeda")*(Inputs!$G$5:$G$160&lt;&gt;"acoes")))*INDEX(Inputs!$K$5:$AJ$160,0,MATCH(AH$2,Inputs!$K$4:$AJ$4,0)))))</f>
        <v>0</v>
      </c>
      <c r="AI44" s="6">
        <f>IF(ISNA(MATCH(AI$2,Inputs!$K$4:$AJ$4,0)),NA(),IF(SUMPRODUCT((Inputs!$A$5:$A$160=$B44)*ISNUMBER(INDEX(Inputs!$K$5:$AJ$160,0,MATCH(AI$2,Inputs!$K$4:$AJ$4,0))))+SUMPRODUCT((Inputs!$C$5:$C$160=$B44)*ISNUMBER(INDEX(Inputs!$K$5:$AJ$160,0,MATCH(AI$2,Inputs!$K$4:$AJ$4,0))))+SUMPRODUCT((Inputs!$E$5:$E$160=$B44)*ISNUMBER(INDEX(Inputs!$K$5:$AJ$160,0,MATCH(AI$2,Inputs!$K$4:$AJ$4,0))))=0,NA(),SUMPRODUCT((Inputs!$A$5:$A$160=$B44)*Inputs!$B$5:$B$160*(((Inputs!$G$5:$G$160="moeda")+(Inputs!$G$5:$G$160="acoes"))*Inputs!$B$1+((Inputs!$G$5:$G$160&lt;&gt;"moeda")*(Inputs!$G$5:$G$160&lt;&gt;"acoes")))*INDEX(Inputs!$K$5:$AJ$160,0,MATCH(AI$2,Inputs!$K$4:$AJ$4,0)))+SUMPRODUCT((Inputs!$C$5:$C$160=$B44)*Inputs!$D$5:$D$160*(((Inputs!$G$5:$G$160="moeda")+(Inputs!$G$5:$G$160="acoes"))*Inputs!$B$1+((Inputs!$G$5:$G$160&lt;&gt;"moeda")*(Inputs!$G$5:$G$160&lt;&gt;"acoes")))*INDEX(Inputs!$K$5:$AJ$160,0,MATCH(AI$2,Inputs!$K$4:$AJ$4,0)))+SUMPRODUCT((Inputs!$E$5:$E$160=$B44)*Inputs!$F$5:$F$160*(((Inputs!$G$5:$G$160="moeda")+(Inputs!$G$5:$G$160="acoes"))*Inputs!$B$1+((Inputs!$G$5:$G$160&lt;&gt;"moeda")*(Inputs!$G$5:$G$160&lt;&gt;"acoes")))*INDEX(Inputs!$K$5:$AJ$160,0,MATCH(AI$2,Inputs!$K$4:$AJ$4,0)))))</f>
        <v>0</v>
      </c>
      <c r="AJ44" s="6">
        <f>IF(ISNA(MATCH(AJ$2,Inputs!$K$4:$AJ$4,0)),NA(),IF(SUMPRODUCT((Inputs!$A$5:$A$160=$B44)*ISNUMBER(INDEX(Inputs!$K$5:$AJ$160,0,MATCH(AJ$2,Inputs!$K$4:$AJ$4,0))))+SUMPRODUCT((Inputs!$C$5:$C$160=$B44)*ISNUMBER(INDEX(Inputs!$K$5:$AJ$160,0,MATCH(AJ$2,Inputs!$K$4:$AJ$4,0))))+SUMPRODUCT((Inputs!$E$5:$E$160=$B44)*ISNUMBER(INDEX(Inputs!$K$5:$AJ$160,0,MATCH(AJ$2,Inputs!$K$4:$AJ$4,0))))=0,NA(),SUMPRODUCT((Inputs!$A$5:$A$160=$B44)*Inputs!$B$5:$B$160*(((Inputs!$G$5:$G$160="moeda")+(Inputs!$G$5:$G$160="acoes"))*Inputs!$B$1+((Inputs!$G$5:$G$160&lt;&gt;"moeda")*(Inputs!$G$5:$G$160&lt;&gt;"acoes")))*INDEX(Inputs!$K$5:$AJ$160,0,MATCH(AJ$2,Inputs!$K$4:$AJ$4,0)))+SUMPRODUCT((Inputs!$C$5:$C$160=$B44)*Inputs!$D$5:$D$160*(((Inputs!$G$5:$G$160="moeda")+(Inputs!$G$5:$G$160="acoes"))*Inputs!$B$1+((Inputs!$G$5:$G$160&lt;&gt;"moeda")*(Inputs!$G$5:$G$160&lt;&gt;"acoes")))*INDEX(Inputs!$K$5:$AJ$160,0,MATCH(AJ$2,Inputs!$K$4:$AJ$4,0)))+SUMPRODUCT((Inputs!$E$5:$E$160=$B44)*Inputs!$F$5:$F$160*(((Inputs!$G$5:$G$160="moeda")+(Inputs!$G$5:$G$160="acoes"))*Inputs!$B$1+((Inputs!$G$5:$G$160&lt;&gt;"moeda")*(Inputs!$G$5:$G$160&lt;&gt;"acoes")))*INDEX(Inputs!$K$5:$AJ$160,0,MATCH(AJ$2,Inputs!$K$4:$AJ$4,0)))))</f>
        <v>0</v>
      </c>
      <c r="AK44" s="6">
        <f>IF(ISNA(MATCH(AK$2,Inputs!$K$4:$AJ$4,0)),NA(),IF(SUMPRODUCT((Inputs!$A$5:$A$160=$B44)*ISNUMBER(INDEX(Inputs!$K$5:$AJ$160,0,MATCH(AK$2,Inputs!$K$4:$AJ$4,0))))+SUMPRODUCT((Inputs!$C$5:$C$160=$B44)*ISNUMBER(INDEX(Inputs!$K$5:$AJ$160,0,MATCH(AK$2,Inputs!$K$4:$AJ$4,0))))+SUMPRODUCT((Inputs!$E$5:$E$160=$B44)*ISNUMBER(INDEX(Inputs!$K$5:$AJ$160,0,MATCH(AK$2,Inputs!$K$4:$AJ$4,0))))=0,NA(),SUMPRODUCT((Inputs!$A$5:$A$160=$B44)*Inputs!$B$5:$B$160*(((Inputs!$G$5:$G$160="moeda")+(Inputs!$G$5:$G$160="acoes"))*Inputs!$B$1+((Inputs!$G$5:$G$160&lt;&gt;"moeda")*(Inputs!$G$5:$G$160&lt;&gt;"acoes")))*INDEX(Inputs!$K$5:$AJ$160,0,MATCH(AK$2,Inputs!$K$4:$AJ$4,0)))+SUMPRODUCT((Inputs!$C$5:$C$160=$B44)*Inputs!$D$5:$D$160*(((Inputs!$G$5:$G$160="moeda")+(Inputs!$G$5:$G$160="acoes"))*Inputs!$B$1+((Inputs!$G$5:$G$160&lt;&gt;"moeda")*(Inputs!$G$5:$G$160&lt;&gt;"acoes")))*INDEX(Inputs!$K$5:$AJ$160,0,MATCH(AK$2,Inputs!$K$4:$AJ$4,0)))+SUMPRODUCT((Inputs!$E$5:$E$160=$B44)*Inputs!$F$5:$F$160*(((Inputs!$G$5:$G$160="moeda")+(Inputs!$G$5:$G$160="acoes"))*Inputs!$B$1+((Inputs!$G$5:$G$160&lt;&gt;"moeda")*(Inputs!$G$5:$G$160&lt;&gt;"acoes")))*INDEX(Inputs!$K$5:$AJ$160,0,MATCH(AK$2,Inputs!$K$4:$AJ$4,0)))))</f>
        <v>-2.67399757</v>
      </c>
      <c r="AL44" s="3">
        <f>AK44</f>
        <v>-2.67399757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$160=$B45)*ISNUMBER(INDEX(Inputs!$K$5:$AJ$160,0,MATCH(D$2,Inputs!$K$4:$AJ$4,0))))+SUMPRODUCT((Inputs!$C$5:$C$160=$B45)*ISNUMBER(INDEX(Inputs!$K$5:$AJ$160,0,MATCH(D$2,Inputs!$K$4:$AJ$4,0))))+SUMPRODUCT((Inputs!$E$5:$E$160=$B45)*ISNUMBER(INDEX(Inputs!$K$5:$AJ$160,0,MATCH(D$2,Inputs!$K$4:$AJ$4,0))))=0,NA(),SUMPRODUCT((Inputs!$A$5:$A$160=$B45)*Inputs!$B$5:$B$160*(((Inputs!$G$5:$G$160="moeda")+(Inputs!$G$5:$G$160="acoes"))*Inputs!$B$1+((Inputs!$G$5:$G$160&lt;&gt;"moeda")*(Inputs!$G$5:$G$160&lt;&gt;"acoes")))*INDEX(Inputs!$K$5:$AJ$160,0,MATCH(D$2,Inputs!$K$4:$AJ$4,0)))+SUMPRODUCT((Inputs!$C$5:$C$160=$B45)*Inputs!$D$5:$D$160*(((Inputs!$G$5:$G$160="moeda")+(Inputs!$G$5:$G$160="acoes"))*Inputs!$B$1+((Inputs!$G$5:$G$160&lt;&gt;"moeda")*(Inputs!$G$5:$G$160&lt;&gt;"acoes")))*INDEX(Inputs!$K$5:$AJ$160,0,MATCH(D$2,Inputs!$K$4:$AJ$4,0)))+SUMPRODUCT((Inputs!$E$5:$E$160=$B45)*Inputs!$F$5:$F$160*(((Inputs!$G$5:$G$160="moeda")+(Inputs!$G$5:$G$160="acoes"))*Inputs!$B$1+((Inputs!$G$5:$G$160&lt;&gt;"moeda")*(Inputs!$G$5:$G$160&lt;&gt;"acoes")))*INDEX(Inputs!$K$5:$AJ$160,0,MATCH(D$2,Inputs!$K$4:$AJ$4,0)))))</f>
        <v>0</v>
      </c>
      <c r="E45" s="6">
        <f>IF(ISNA(MATCH(E$2,Inputs!$K$4:$AJ$4,0)),NA(),IF(SUMPRODUCT((Inputs!$A$5:$A$160=$B45)*ISNUMBER(INDEX(Inputs!$K$5:$AJ$160,0,MATCH(E$2,Inputs!$K$4:$AJ$4,0))))+SUMPRODUCT((Inputs!$C$5:$C$160=$B45)*ISNUMBER(INDEX(Inputs!$K$5:$AJ$160,0,MATCH(E$2,Inputs!$K$4:$AJ$4,0))))+SUMPRODUCT((Inputs!$E$5:$E$160=$B45)*ISNUMBER(INDEX(Inputs!$K$5:$AJ$160,0,MATCH(E$2,Inputs!$K$4:$AJ$4,0))))=0,NA(),SUMPRODUCT((Inputs!$A$5:$A$160=$B45)*Inputs!$B$5:$B$160*(((Inputs!$G$5:$G$160="moeda")+(Inputs!$G$5:$G$160="acoes"))*Inputs!$B$1+((Inputs!$G$5:$G$160&lt;&gt;"moeda")*(Inputs!$G$5:$G$160&lt;&gt;"acoes")))*INDEX(Inputs!$K$5:$AJ$160,0,MATCH(E$2,Inputs!$K$4:$AJ$4,0)))+SUMPRODUCT((Inputs!$C$5:$C$160=$B45)*Inputs!$D$5:$D$160*(((Inputs!$G$5:$G$160="moeda")+(Inputs!$G$5:$G$160="acoes"))*Inputs!$B$1+((Inputs!$G$5:$G$160&lt;&gt;"moeda")*(Inputs!$G$5:$G$160&lt;&gt;"acoes")))*INDEX(Inputs!$K$5:$AJ$160,0,MATCH(E$2,Inputs!$K$4:$AJ$4,0)))+SUMPRODUCT((Inputs!$E$5:$E$160=$B45)*Inputs!$F$5:$F$160*(((Inputs!$G$5:$G$160="moeda")+(Inputs!$G$5:$G$160="acoes"))*Inputs!$B$1+((Inputs!$G$5:$G$160&lt;&gt;"moeda")*(Inputs!$G$5:$G$160&lt;&gt;"acoes")))*INDEX(Inputs!$K$5:$AJ$160,0,MATCH(E$2,Inputs!$K$4:$AJ$4,0)))))</f>
        <v>0</v>
      </c>
      <c r="F45" s="6">
        <f>IF(ISNA(MATCH(F$2,Inputs!$K$4:$AJ$4,0)),NA(),IF(SUMPRODUCT((Inputs!$A$5:$A$160=$B45)*ISNUMBER(INDEX(Inputs!$K$5:$AJ$160,0,MATCH(F$2,Inputs!$K$4:$AJ$4,0))))+SUMPRODUCT((Inputs!$C$5:$C$160=$B45)*ISNUMBER(INDEX(Inputs!$K$5:$AJ$160,0,MATCH(F$2,Inputs!$K$4:$AJ$4,0))))+SUMPRODUCT((Inputs!$E$5:$E$160=$B45)*ISNUMBER(INDEX(Inputs!$K$5:$AJ$160,0,MATCH(F$2,Inputs!$K$4:$AJ$4,0))))=0,NA(),SUMPRODUCT((Inputs!$A$5:$A$160=$B45)*Inputs!$B$5:$B$160*(((Inputs!$G$5:$G$160="moeda")+(Inputs!$G$5:$G$160="acoes"))*Inputs!$B$1+((Inputs!$G$5:$G$160&lt;&gt;"moeda")*(Inputs!$G$5:$G$160&lt;&gt;"acoes")))*INDEX(Inputs!$K$5:$AJ$160,0,MATCH(F$2,Inputs!$K$4:$AJ$4,0)))+SUMPRODUCT((Inputs!$C$5:$C$160=$B45)*Inputs!$D$5:$D$160*(((Inputs!$G$5:$G$160="moeda")+(Inputs!$G$5:$G$160="acoes"))*Inputs!$B$1+((Inputs!$G$5:$G$160&lt;&gt;"moeda")*(Inputs!$G$5:$G$160&lt;&gt;"acoes")))*INDEX(Inputs!$K$5:$AJ$160,0,MATCH(F$2,Inputs!$K$4:$AJ$4,0)))+SUMPRODUCT((Inputs!$E$5:$E$160=$B45)*Inputs!$F$5:$F$160*(((Inputs!$G$5:$G$160="moeda")+(Inputs!$G$5:$G$160="acoes"))*Inputs!$B$1+((Inputs!$G$5:$G$160&lt;&gt;"moeda")*(Inputs!$G$5:$G$160&lt;&gt;"acoes")))*INDEX(Inputs!$K$5:$AJ$160,0,MATCH(F$2,Inputs!$K$4:$AJ$4,0)))))</f>
        <v>0</v>
      </c>
      <c r="G45" s="6">
        <f>IF(ISNA(MATCH(G$2,Inputs!$K$4:$AJ$4,0)),NA(),IF(SUMPRODUCT((Inputs!$A$5:$A$160=$B45)*ISNUMBER(INDEX(Inputs!$K$5:$AJ$160,0,MATCH(G$2,Inputs!$K$4:$AJ$4,0))))+SUMPRODUCT((Inputs!$C$5:$C$160=$B45)*ISNUMBER(INDEX(Inputs!$K$5:$AJ$160,0,MATCH(G$2,Inputs!$K$4:$AJ$4,0))))+SUMPRODUCT((Inputs!$E$5:$E$160=$B45)*ISNUMBER(INDEX(Inputs!$K$5:$AJ$160,0,MATCH(G$2,Inputs!$K$4:$AJ$4,0))))=0,NA(),SUMPRODUCT((Inputs!$A$5:$A$160=$B45)*Inputs!$B$5:$B$160*(((Inputs!$G$5:$G$160="moeda")+(Inputs!$G$5:$G$160="acoes"))*Inputs!$B$1+((Inputs!$G$5:$G$160&lt;&gt;"moeda")*(Inputs!$G$5:$G$160&lt;&gt;"acoes")))*INDEX(Inputs!$K$5:$AJ$160,0,MATCH(G$2,Inputs!$K$4:$AJ$4,0)))+SUMPRODUCT((Inputs!$C$5:$C$160=$B45)*Inputs!$D$5:$D$160*(((Inputs!$G$5:$G$160="moeda")+(Inputs!$G$5:$G$160="acoes"))*Inputs!$B$1+((Inputs!$G$5:$G$160&lt;&gt;"moeda")*(Inputs!$G$5:$G$160&lt;&gt;"acoes")))*INDEX(Inputs!$K$5:$AJ$160,0,MATCH(G$2,Inputs!$K$4:$AJ$4,0)))+SUMPRODUCT((Inputs!$E$5:$E$160=$B45)*Inputs!$F$5:$F$160*(((Inputs!$G$5:$G$160="moeda")+(Inputs!$G$5:$G$160="acoes"))*Inputs!$B$1+((Inputs!$G$5:$G$160&lt;&gt;"moeda")*(Inputs!$G$5:$G$160&lt;&gt;"acoes")))*INDEX(Inputs!$K$5:$AJ$160,0,MATCH(G$2,Inputs!$K$4:$AJ$4,0)))))</f>
        <v>0</v>
      </c>
      <c r="H45" s="3">
        <f>G45</f>
        <v>0</v>
      </c>
      <c r="I45" s="6">
        <f>IF(ISNA(MATCH(I$2,Inputs!$K$4:$AJ$4,0)),NA(),IF(SUMPRODUCT((Inputs!$A$5:$A$160=$B45)*ISNUMBER(INDEX(Inputs!$K$5:$AJ$160,0,MATCH(I$2,Inputs!$K$4:$AJ$4,0))))+SUMPRODUCT((Inputs!$C$5:$C$160=$B45)*ISNUMBER(INDEX(Inputs!$K$5:$AJ$160,0,MATCH(I$2,Inputs!$K$4:$AJ$4,0))))+SUMPRODUCT((Inputs!$E$5:$E$160=$B45)*ISNUMBER(INDEX(Inputs!$K$5:$AJ$160,0,MATCH(I$2,Inputs!$K$4:$AJ$4,0))))=0,NA(),SUMPRODUCT((Inputs!$A$5:$A$160=$B45)*Inputs!$B$5:$B$160*(((Inputs!$G$5:$G$160="moeda")+(Inputs!$G$5:$G$160="acoes"))*Inputs!$B$1+((Inputs!$G$5:$G$160&lt;&gt;"moeda")*(Inputs!$G$5:$G$160&lt;&gt;"acoes")))*INDEX(Inputs!$K$5:$AJ$160,0,MATCH(I$2,Inputs!$K$4:$AJ$4,0)))+SUMPRODUCT((Inputs!$C$5:$C$160=$B45)*Inputs!$D$5:$D$160*(((Inputs!$G$5:$G$160="moeda")+(Inputs!$G$5:$G$160="acoes"))*Inputs!$B$1+((Inputs!$G$5:$G$160&lt;&gt;"moeda")*(Inputs!$G$5:$G$160&lt;&gt;"acoes")))*INDEX(Inputs!$K$5:$AJ$160,0,MATCH(I$2,Inputs!$K$4:$AJ$4,0)))+SUMPRODUCT((Inputs!$E$5:$E$160=$B45)*Inputs!$F$5:$F$160*(((Inputs!$G$5:$G$160="moeda")+(Inputs!$G$5:$G$160="acoes"))*Inputs!$B$1+((Inputs!$G$5:$G$160&lt;&gt;"moeda")*(Inputs!$G$5:$G$160&lt;&gt;"acoes")))*INDEX(Inputs!$K$5:$AJ$160,0,MATCH(I$2,Inputs!$K$4:$AJ$4,0)))))</f>
        <v>0</v>
      </c>
      <c r="J45" s="6">
        <f>IF(ISNA(MATCH(J$2,Inputs!$K$4:$AJ$4,0)),NA(),IF(SUMPRODUCT((Inputs!$A$5:$A$160=$B45)*ISNUMBER(INDEX(Inputs!$K$5:$AJ$160,0,MATCH(J$2,Inputs!$K$4:$AJ$4,0))))+SUMPRODUCT((Inputs!$C$5:$C$160=$B45)*ISNUMBER(INDEX(Inputs!$K$5:$AJ$160,0,MATCH(J$2,Inputs!$K$4:$AJ$4,0))))+SUMPRODUCT((Inputs!$E$5:$E$160=$B45)*ISNUMBER(INDEX(Inputs!$K$5:$AJ$160,0,MATCH(J$2,Inputs!$K$4:$AJ$4,0))))=0,NA(),SUMPRODUCT((Inputs!$A$5:$A$160=$B45)*Inputs!$B$5:$B$160*(((Inputs!$G$5:$G$160="moeda")+(Inputs!$G$5:$G$160="acoes"))*Inputs!$B$1+((Inputs!$G$5:$G$160&lt;&gt;"moeda")*(Inputs!$G$5:$G$160&lt;&gt;"acoes")))*INDEX(Inputs!$K$5:$AJ$160,0,MATCH(J$2,Inputs!$K$4:$AJ$4,0)))+SUMPRODUCT((Inputs!$C$5:$C$160=$B45)*Inputs!$D$5:$D$160*(((Inputs!$G$5:$G$160="moeda")+(Inputs!$G$5:$G$160="acoes"))*Inputs!$B$1+((Inputs!$G$5:$G$160&lt;&gt;"moeda")*(Inputs!$G$5:$G$160&lt;&gt;"acoes")))*INDEX(Inputs!$K$5:$AJ$160,0,MATCH(J$2,Inputs!$K$4:$AJ$4,0)))+SUMPRODUCT((Inputs!$E$5:$E$160=$B45)*Inputs!$F$5:$F$160*(((Inputs!$G$5:$G$160="moeda")+(Inputs!$G$5:$G$160="acoes"))*Inputs!$B$1+((Inputs!$G$5:$G$160&lt;&gt;"moeda")*(Inputs!$G$5:$G$160&lt;&gt;"acoes")))*INDEX(Inputs!$K$5:$AJ$160,0,MATCH(J$2,Inputs!$K$4:$AJ$4,0)))))</f>
        <v>0</v>
      </c>
      <c r="K45" s="6">
        <f>IF(ISNA(MATCH(K$2,Inputs!$K$4:$AJ$4,0)),NA(),IF(SUMPRODUCT((Inputs!$A$5:$A$160=$B45)*ISNUMBER(INDEX(Inputs!$K$5:$AJ$160,0,MATCH(K$2,Inputs!$K$4:$AJ$4,0))))+SUMPRODUCT((Inputs!$C$5:$C$160=$B45)*ISNUMBER(INDEX(Inputs!$K$5:$AJ$160,0,MATCH(K$2,Inputs!$K$4:$AJ$4,0))))+SUMPRODUCT((Inputs!$E$5:$E$160=$B45)*ISNUMBER(INDEX(Inputs!$K$5:$AJ$160,0,MATCH(K$2,Inputs!$K$4:$AJ$4,0))))=0,NA(),SUMPRODUCT((Inputs!$A$5:$A$160=$B45)*Inputs!$B$5:$B$160*(((Inputs!$G$5:$G$160="moeda")+(Inputs!$G$5:$G$160="acoes"))*Inputs!$B$1+((Inputs!$G$5:$G$160&lt;&gt;"moeda")*(Inputs!$G$5:$G$160&lt;&gt;"acoes")))*INDEX(Inputs!$K$5:$AJ$160,0,MATCH(K$2,Inputs!$K$4:$AJ$4,0)))+SUMPRODUCT((Inputs!$C$5:$C$160=$B45)*Inputs!$D$5:$D$160*(((Inputs!$G$5:$G$160="moeda")+(Inputs!$G$5:$G$160="acoes"))*Inputs!$B$1+((Inputs!$G$5:$G$160&lt;&gt;"moeda")*(Inputs!$G$5:$G$160&lt;&gt;"acoes")))*INDEX(Inputs!$K$5:$AJ$160,0,MATCH(K$2,Inputs!$K$4:$AJ$4,0)))+SUMPRODUCT((Inputs!$E$5:$E$160=$B45)*Inputs!$F$5:$F$160*(((Inputs!$G$5:$G$160="moeda")+(Inputs!$G$5:$G$160="acoes"))*Inputs!$B$1+((Inputs!$G$5:$G$160&lt;&gt;"moeda")*(Inputs!$G$5:$G$160&lt;&gt;"acoes")))*INDEX(Inputs!$K$5:$AJ$160,0,MATCH(K$2,Inputs!$K$4:$AJ$4,0)))))</f>
        <v>0</v>
      </c>
      <c r="L45" s="6">
        <f>IF(ISNA(MATCH(L$2,Inputs!$K$4:$AJ$4,0)),NA(),IF(SUMPRODUCT((Inputs!$A$5:$A$160=$B45)*ISNUMBER(INDEX(Inputs!$K$5:$AJ$160,0,MATCH(L$2,Inputs!$K$4:$AJ$4,0))))+SUMPRODUCT((Inputs!$C$5:$C$160=$B45)*ISNUMBER(INDEX(Inputs!$K$5:$AJ$160,0,MATCH(L$2,Inputs!$K$4:$AJ$4,0))))+SUMPRODUCT((Inputs!$E$5:$E$160=$B45)*ISNUMBER(INDEX(Inputs!$K$5:$AJ$160,0,MATCH(L$2,Inputs!$K$4:$AJ$4,0))))=0,NA(),SUMPRODUCT((Inputs!$A$5:$A$160=$B45)*Inputs!$B$5:$B$160*(((Inputs!$G$5:$G$160="moeda")+(Inputs!$G$5:$G$160="acoes"))*Inputs!$B$1+((Inputs!$G$5:$G$160&lt;&gt;"moeda")*(Inputs!$G$5:$G$160&lt;&gt;"acoes")))*INDEX(Inputs!$K$5:$AJ$160,0,MATCH(L$2,Inputs!$K$4:$AJ$4,0)))+SUMPRODUCT((Inputs!$C$5:$C$160=$B45)*Inputs!$D$5:$D$160*(((Inputs!$G$5:$G$160="moeda")+(Inputs!$G$5:$G$160="acoes"))*Inputs!$B$1+((Inputs!$G$5:$G$160&lt;&gt;"moeda")*(Inputs!$G$5:$G$160&lt;&gt;"acoes")))*INDEX(Inputs!$K$5:$AJ$160,0,MATCH(L$2,Inputs!$K$4:$AJ$4,0)))+SUMPRODUCT((Inputs!$E$5:$E$160=$B45)*Inputs!$F$5:$F$160*(((Inputs!$G$5:$G$160="moeda")+(Inputs!$G$5:$G$160="acoes"))*Inputs!$B$1+((Inputs!$G$5:$G$160&lt;&gt;"moeda")*(Inputs!$G$5:$G$160&lt;&gt;"acoes")))*INDEX(Inputs!$K$5:$AJ$160,0,MATCH(L$2,Inputs!$K$4:$AJ$4,0)))))</f>
        <v>0</v>
      </c>
      <c r="M45" s="3">
        <f>L45</f>
        <v>0</v>
      </c>
      <c r="N45" s="6">
        <f>IF(ISNA(MATCH(N$2,Inputs!$K$4:$AJ$4,0)),NA(),IF(SUMPRODUCT((Inputs!$A$5:$A$160=$B45)*ISNUMBER(INDEX(Inputs!$K$5:$AJ$160,0,MATCH(N$2,Inputs!$K$4:$AJ$4,0))))+SUMPRODUCT((Inputs!$C$5:$C$160=$B45)*ISNUMBER(INDEX(Inputs!$K$5:$AJ$160,0,MATCH(N$2,Inputs!$K$4:$AJ$4,0))))+SUMPRODUCT((Inputs!$E$5:$E$160=$B45)*ISNUMBER(INDEX(Inputs!$K$5:$AJ$160,0,MATCH(N$2,Inputs!$K$4:$AJ$4,0))))=0,NA(),SUMPRODUCT((Inputs!$A$5:$A$160=$B45)*Inputs!$B$5:$B$160*(((Inputs!$G$5:$G$160="moeda")+(Inputs!$G$5:$G$160="acoes"))*Inputs!$B$1+((Inputs!$G$5:$G$160&lt;&gt;"moeda")*(Inputs!$G$5:$G$160&lt;&gt;"acoes")))*INDEX(Inputs!$K$5:$AJ$160,0,MATCH(N$2,Inputs!$K$4:$AJ$4,0)))+SUMPRODUCT((Inputs!$C$5:$C$160=$B45)*Inputs!$D$5:$D$160*(((Inputs!$G$5:$G$160="moeda")+(Inputs!$G$5:$G$160="acoes"))*Inputs!$B$1+((Inputs!$G$5:$G$160&lt;&gt;"moeda")*(Inputs!$G$5:$G$160&lt;&gt;"acoes")))*INDEX(Inputs!$K$5:$AJ$160,0,MATCH(N$2,Inputs!$K$4:$AJ$4,0)))+SUMPRODUCT((Inputs!$E$5:$E$160=$B45)*Inputs!$F$5:$F$160*(((Inputs!$G$5:$G$160="moeda")+(Inputs!$G$5:$G$160="acoes"))*Inputs!$B$1+((Inputs!$G$5:$G$160&lt;&gt;"moeda")*(Inputs!$G$5:$G$160&lt;&gt;"acoes")))*INDEX(Inputs!$K$5:$AJ$160,0,MATCH(N$2,Inputs!$K$4:$AJ$4,0)))))</f>
        <v>0</v>
      </c>
      <c r="O45" s="6">
        <f>IF(ISNA(MATCH(O$2,Inputs!$K$4:$AJ$4,0)),NA(),IF(SUMPRODUCT((Inputs!$A$5:$A$160=$B45)*ISNUMBER(INDEX(Inputs!$K$5:$AJ$160,0,MATCH(O$2,Inputs!$K$4:$AJ$4,0))))+SUMPRODUCT((Inputs!$C$5:$C$160=$B45)*ISNUMBER(INDEX(Inputs!$K$5:$AJ$160,0,MATCH(O$2,Inputs!$K$4:$AJ$4,0))))+SUMPRODUCT((Inputs!$E$5:$E$160=$B45)*ISNUMBER(INDEX(Inputs!$K$5:$AJ$160,0,MATCH(O$2,Inputs!$K$4:$AJ$4,0))))=0,NA(),SUMPRODUCT((Inputs!$A$5:$A$160=$B45)*Inputs!$B$5:$B$160*(((Inputs!$G$5:$G$160="moeda")+(Inputs!$G$5:$G$160="acoes"))*Inputs!$B$1+((Inputs!$G$5:$G$160&lt;&gt;"moeda")*(Inputs!$G$5:$G$160&lt;&gt;"acoes")))*INDEX(Inputs!$K$5:$AJ$160,0,MATCH(O$2,Inputs!$K$4:$AJ$4,0)))+SUMPRODUCT((Inputs!$C$5:$C$160=$B45)*Inputs!$D$5:$D$160*(((Inputs!$G$5:$G$160="moeda")+(Inputs!$G$5:$G$160="acoes"))*Inputs!$B$1+((Inputs!$G$5:$G$160&lt;&gt;"moeda")*(Inputs!$G$5:$G$160&lt;&gt;"acoes")))*INDEX(Inputs!$K$5:$AJ$160,0,MATCH(O$2,Inputs!$K$4:$AJ$4,0)))+SUMPRODUCT((Inputs!$E$5:$E$160=$B45)*Inputs!$F$5:$F$160*(((Inputs!$G$5:$G$160="moeda")+(Inputs!$G$5:$G$160="acoes"))*Inputs!$B$1+((Inputs!$G$5:$G$160&lt;&gt;"moeda")*(Inputs!$G$5:$G$160&lt;&gt;"acoes")))*INDEX(Inputs!$K$5:$AJ$160,0,MATCH(O$2,Inputs!$K$4:$AJ$4,0)))))</f>
        <v>73.884</v>
      </c>
      <c r="P45" s="6">
        <f>IF(ISNA(MATCH(P$2,Inputs!$K$4:$AJ$4,0)),NA(),IF(SUMPRODUCT((Inputs!$A$5:$A$160=$B45)*ISNUMBER(INDEX(Inputs!$K$5:$AJ$160,0,MATCH(P$2,Inputs!$K$4:$AJ$4,0))))+SUMPRODUCT((Inputs!$C$5:$C$160=$B45)*ISNUMBER(INDEX(Inputs!$K$5:$AJ$160,0,MATCH(P$2,Inputs!$K$4:$AJ$4,0))))+SUMPRODUCT((Inputs!$E$5:$E$160=$B45)*ISNUMBER(INDEX(Inputs!$K$5:$AJ$160,0,MATCH(P$2,Inputs!$K$4:$AJ$4,0))))=0,NA(),SUMPRODUCT((Inputs!$A$5:$A$160=$B45)*Inputs!$B$5:$B$160*(((Inputs!$G$5:$G$160="moeda")+(Inputs!$G$5:$G$160="acoes"))*Inputs!$B$1+((Inputs!$G$5:$G$160&lt;&gt;"moeda")*(Inputs!$G$5:$G$160&lt;&gt;"acoes")))*INDEX(Inputs!$K$5:$AJ$160,0,MATCH(P$2,Inputs!$K$4:$AJ$4,0)))+SUMPRODUCT((Inputs!$C$5:$C$160=$B45)*Inputs!$D$5:$D$160*(((Inputs!$G$5:$G$160="moeda")+(Inputs!$G$5:$G$160="acoes"))*Inputs!$B$1+((Inputs!$G$5:$G$160&lt;&gt;"moeda")*(Inputs!$G$5:$G$160&lt;&gt;"acoes")))*INDEX(Inputs!$K$5:$AJ$160,0,MATCH(P$2,Inputs!$K$4:$AJ$4,0)))+SUMPRODUCT((Inputs!$E$5:$E$160=$B45)*Inputs!$F$5:$F$160*(((Inputs!$G$5:$G$160="moeda")+(Inputs!$G$5:$G$160="acoes"))*Inputs!$B$1+((Inputs!$G$5:$G$160&lt;&gt;"moeda")*(Inputs!$G$5:$G$160&lt;&gt;"acoes")))*INDEX(Inputs!$K$5:$AJ$160,0,MATCH(P$2,Inputs!$K$4:$AJ$4,0)))))</f>
        <v>73.884</v>
      </c>
      <c r="Q45" s="6">
        <f>IF(ISNA(MATCH(Q$2,Inputs!$K$4:$AJ$4,0)),NA(),IF(SUMPRODUCT((Inputs!$A$5:$A$160=$B45)*ISNUMBER(INDEX(Inputs!$K$5:$AJ$160,0,MATCH(Q$2,Inputs!$K$4:$AJ$4,0))))+SUMPRODUCT((Inputs!$C$5:$C$160=$B45)*ISNUMBER(INDEX(Inputs!$K$5:$AJ$160,0,MATCH(Q$2,Inputs!$K$4:$AJ$4,0))))+SUMPRODUCT((Inputs!$E$5:$E$160=$B45)*ISNUMBER(INDEX(Inputs!$K$5:$AJ$160,0,MATCH(Q$2,Inputs!$K$4:$AJ$4,0))))=0,NA(),SUMPRODUCT((Inputs!$A$5:$A$160=$B45)*Inputs!$B$5:$B$160*(((Inputs!$G$5:$G$160="moeda")+(Inputs!$G$5:$G$160="acoes"))*Inputs!$B$1+((Inputs!$G$5:$G$160&lt;&gt;"moeda")*(Inputs!$G$5:$G$160&lt;&gt;"acoes")))*INDEX(Inputs!$K$5:$AJ$160,0,MATCH(Q$2,Inputs!$K$4:$AJ$4,0)))+SUMPRODUCT((Inputs!$C$5:$C$160=$B45)*Inputs!$D$5:$D$160*(((Inputs!$G$5:$G$160="moeda")+(Inputs!$G$5:$G$160="acoes"))*Inputs!$B$1+((Inputs!$G$5:$G$160&lt;&gt;"moeda")*(Inputs!$G$5:$G$160&lt;&gt;"acoes")))*INDEX(Inputs!$K$5:$AJ$160,0,MATCH(Q$2,Inputs!$K$4:$AJ$4,0)))+SUMPRODUCT((Inputs!$E$5:$E$160=$B45)*Inputs!$F$5:$F$160*(((Inputs!$G$5:$G$160="moeda")+(Inputs!$G$5:$G$160="acoes"))*Inputs!$B$1+((Inputs!$G$5:$G$160&lt;&gt;"moeda")*(Inputs!$G$5:$G$160&lt;&gt;"acoes")))*INDEX(Inputs!$K$5:$AJ$160,0,MATCH(Q$2,Inputs!$K$4:$AJ$4,0)))))</f>
        <v>73.884</v>
      </c>
      <c r="R45" s="3">
        <f>Q45</f>
        <v>73.884</v>
      </c>
      <c r="S45" s="6">
        <f>IF(ISNA(MATCH(S$2,Inputs!$K$4:$AJ$4,0)),NA(),IF(SUMPRODUCT((Inputs!$A$5:$A$160=$B45)*ISNUMBER(INDEX(Inputs!$K$5:$AJ$160,0,MATCH(S$2,Inputs!$K$4:$AJ$4,0))))+SUMPRODUCT((Inputs!$C$5:$C$160=$B45)*ISNUMBER(INDEX(Inputs!$K$5:$AJ$160,0,MATCH(S$2,Inputs!$K$4:$AJ$4,0))))+SUMPRODUCT((Inputs!$E$5:$E$160=$B45)*ISNUMBER(INDEX(Inputs!$K$5:$AJ$160,0,MATCH(S$2,Inputs!$K$4:$AJ$4,0))))=0,NA(),SUMPRODUCT((Inputs!$A$5:$A$160=$B45)*Inputs!$B$5:$B$160*(((Inputs!$G$5:$G$160="moeda")+(Inputs!$G$5:$G$160="acoes"))*Inputs!$B$1+((Inputs!$G$5:$G$160&lt;&gt;"moeda")*(Inputs!$G$5:$G$160&lt;&gt;"acoes")))*INDEX(Inputs!$K$5:$AJ$160,0,MATCH(S$2,Inputs!$K$4:$AJ$4,0)))+SUMPRODUCT((Inputs!$C$5:$C$160=$B45)*Inputs!$D$5:$D$160*(((Inputs!$G$5:$G$160="moeda")+(Inputs!$G$5:$G$160="acoes"))*Inputs!$B$1+((Inputs!$G$5:$G$160&lt;&gt;"moeda")*(Inputs!$G$5:$G$160&lt;&gt;"acoes")))*INDEX(Inputs!$K$5:$AJ$160,0,MATCH(S$2,Inputs!$K$4:$AJ$4,0)))+SUMPRODUCT((Inputs!$E$5:$E$160=$B45)*Inputs!$F$5:$F$160*(((Inputs!$G$5:$G$160="moeda")+(Inputs!$G$5:$G$160="acoes"))*Inputs!$B$1+((Inputs!$G$5:$G$160&lt;&gt;"moeda")*(Inputs!$G$5:$G$160&lt;&gt;"acoes")))*INDEX(Inputs!$K$5:$AJ$160,0,MATCH(S$2,Inputs!$K$4:$AJ$4,0)))))</f>
        <v>73.884</v>
      </c>
      <c r="T45" s="6">
        <f>IF(ISNA(MATCH(T$2,Inputs!$K$4:$AJ$4,0)),NA(),IF(SUMPRODUCT((Inputs!$A$5:$A$160=$B45)*ISNUMBER(INDEX(Inputs!$K$5:$AJ$160,0,MATCH(T$2,Inputs!$K$4:$AJ$4,0))))+SUMPRODUCT((Inputs!$C$5:$C$160=$B45)*ISNUMBER(INDEX(Inputs!$K$5:$AJ$160,0,MATCH(T$2,Inputs!$K$4:$AJ$4,0))))+SUMPRODUCT((Inputs!$E$5:$E$160=$B45)*ISNUMBER(INDEX(Inputs!$K$5:$AJ$160,0,MATCH(T$2,Inputs!$K$4:$AJ$4,0))))=0,NA(),SUMPRODUCT((Inputs!$A$5:$A$160=$B45)*Inputs!$B$5:$B$160*(((Inputs!$G$5:$G$160="moeda")+(Inputs!$G$5:$G$160="acoes"))*Inputs!$B$1+((Inputs!$G$5:$G$160&lt;&gt;"moeda")*(Inputs!$G$5:$G$160&lt;&gt;"acoes")))*INDEX(Inputs!$K$5:$AJ$160,0,MATCH(T$2,Inputs!$K$4:$AJ$4,0)))+SUMPRODUCT((Inputs!$C$5:$C$160=$B45)*Inputs!$D$5:$D$160*(((Inputs!$G$5:$G$160="moeda")+(Inputs!$G$5:$G$160="acoes"))*Inputs!$B$1+((Inputs!$G$5:$G$160&lt;&gt;"moeda")*(Inputs!$G$5:$G$160&lt;&gt;"acoes")))*INDEX(Inputs!$K$5:$AJ$160,0,MATCH(T$2,Inputs!$K$4:$AJ$4,0)))+SUMPRODUCT((Inputs!$E$5:$E$160=$B45)*Inputs!$F$5:$F$160*(((Inputs!$G$5:$G$160="moeda")+(Inputs!$G$5:$G$160="acoes"))*Inputs!$B$1+((Inputs!$G$5:$G$160&lt;&gt;"moeda")*(Inputs!$G$5:$G$160&lt;&gt;"acoes")))*INDEX(Inputs!$K$5:$AJ$160,0,MATCH(T$2,Inputs!$K$4:$AJ$4,0)))))</f>
        <v>73.884</v>
      </c>
      <c r="U45" s="6">
        <f>IF(ISNA(MATCH(U$2,Inputs!$K$4:$AJ$4,0)),NA(),IF(SUMPRODUCT((Inputs!$A$5:$A$160=$B45)*ISNUMBER(INDEX(Inputs!$K$5:$AJ$160,0,MATCH(U$2,Inputs!$K$4:$AJ$4,0))))+SUMPRODUCT((Inputs!$C$5:$C$160=$B45)*ISNUMBER(INDEX(Inputs!$K$5:$AJ$160,0,MATCH(U$2,Inputs!$K$4:$AJ$4,0))))+SUMPRODUCT((Inputs!$E$5:$E$160=$B45)*ISNUMBER(INDEX(Inputs!$K$5:$AJ$160,0,MATCH(U$2,Inputs!$K$4:$AJ$4,0))))=0,NA(),SUMPRODUCT((Inputs!$A$5:$A$160=$B45)*Inputs!$B$5:$B$160*(((Inputs!$G$5:$G$160="moeda")+(Inputs!$G$5:$G$160="acoes"))*Inputs!$B$1+((Inputs!$G$5:$G$160&lt;&gt;"moeda")*(Inputs!$G$5:$G$160&lt;&gt;"acoes")))*INDEX(Inputs!$K$5:$AJ$160,0,MATCH(U$2,Inputs!$K$4:$AJ$4,0)))+SUMPRODUCT((Inputs!$C$5:$C$160=$B45)*Inputs!$D$5:$D$160*(((Inputs!$G$5:$G$160="moeda")+(Inputs!$G$5:$G$160="acoes"))*Inputs!$B$1+((Inputs!$G$5:$G$160&lt;&gt;"moeda")*(Inputs!$G$5:$G$160&lt;&gt;"acoes")))*INDEX(Inputs!$K$5:$AJ$160,0,MATCH(U$2,Inputs!$K$4:$AJ$4,0)))+SUMPRODUCT((Inputs!$E$5:$E$160=$B45)*Inputs!$F$5:$F$160*(((Inputs!$G$5:$G$160="moeda")+(Inputs!$G$5:$G$160="acoes"))*Inputs!$B$1+((Inputs!$G$5:$G$160&lt;&gt;"moeda")*(Inputs!$G$5:$G$160&lt;&gt;"acoes")))*INDEX(Inputs!$K$5:$AJ$160,0,MATCH(U$2,Inputs!$K$4:$AJ$4,0)))))</f>
        <v>73.884</v>
      </c>
      <c r="V45" s="6">
        <f>IF(ISNA(MATCH(V$2,Inputs!$K$4:$AJ$4,0)),NA(),IF(SUMPRODUCT((Inputs!$A$5:$A$160=$B45)*ISNUMBER(INDEX(Inputs!$K$5:$AJ$160,0,MATCH(V$2,Inputs!$K$4:$AJ$4,0))))+SUMPRODUCT((Inputs!$C$5:$C$160=$B45)*ISNUMBER(INDEX(Inputs!$K$5:$AJ$160,0,MATCH(V$2,Inputs!$K$4:$AJ$4,0))))+SUMPRODUCT((Inputs!$E$5:$E$160=$B45)*ISNUMBER(INDEX(Inputs!$K$5:$AJ$160,0,MATCH(V$2,Inputs!$K$4:$AJ$4,0))))=0,NA(),SUMPRODUCT((Inputs!$A$5:$A$160=$B45)*Inputs!$B$5:$B$160*(((Inputs!$G$5:$G$160="moeda")+(Inputs!$G$5:$G$160="acoes"))*Inputs!$B$1+((Inputs!$G$5:$G$160&lt;&gt;"moeda")*(Inputs!$G$5:$G$160&lt;&gt;"acoes")))*INDEX(Inputs!$K$5:$AJ$160,0,MATCH(V$2,Inputs!$K$4:$AJ$4,0)))+SUMPRODUCT((Inputs!$C$5:$C$160=$B45)*Inputs!$D$5:$D$160*(((Inputs!$G$5:$G$160="moeda")+(Inputs!$G$5:$G$160="acoes"))*Inputs!$B$1+((Inputs!$G$5:$G$160&lt;&gt;"moeda")*(Inputs!$G$5:$G$160&lt;&gt;"acoes")))*INDEX(Inputs!$K$5:$AJ$160,0,MATCH(V$2,Inputs!$K$4:$AJ$4,0)))+SUMPRODUCT((Inputs!$E$5:$E$160=$B45)*Inputs!$F$5:$F$160*(((Inputs!$G$5:$G$160="moeda")+(Inputs!$G$5:$G$160="acoes"))*Inputs!$B$1+((Inputs!$G$5:$G$160&lt;&gt;"moeda")*(Inputs!$G$5:$G$160&lt;&gt;"acoes")))*INDEX(Inputs!$K$5:$AJ$160,0,MATCH(V$2,Inputs!$K$4:$AJ$4,0)))))</f>
        <v>52.817</v>
      </c>
      <c r="W45" s="3">
        <f>V45</f>
        <v>52.817</v>
      </c>
      <c r="X45" s="6">
        <f>IF(ISNA(MATCH(X$2,Inputs!$K$4:$AJ$4,0)),NA(),IF(SUMPRODUCT((Inputs!$A$5:$A$160=$B45)*ISNUMBER(INDEX(Inputs!$K$5:$AJ$160,0,MATCH(X$2,Inputs!$K$4:$AJ$4,0))))+SUMPRODUCT((Inputs!$C$5:$C$160=$B45)*ISNUMBER(INDEX(Inputs!$K$5:$AJ$160,0,MATCH(X$2,Inputs!$K$4:$AJ$4,0))))+SUMPRODUCT((Inputs!$E$5:$E$160=$B45)*ISNUMBER(INDEX(Inputs!$K$5:$AJ$160,0,MATCH(X$2,Inputs!$K$4:$AJ$4,0))))=0,NA(),SUMPRODUCT((Inputs!$A$5:$A$160=$B45)*Inputs!$B$5:$B$160*(((Inputs!$G$5:$G$160="moeda")+(Inputs!$G$5:$G$160="acoes"))*Inputs!$B$1+((Inputs!$G$5:$G$160&lt;&gt;"moeda")*(Inputs!$G$5:$G$160&lt;&gt;"acoes")))*INDEX(Inputs!$K$5:$AJ$160,0,MATCH(X$2,Inputs!$K$4:$AJ$4,0)))+SUMPRODUCT((Inputs!$C$5:$C$160=$B45)*Inputs!$D$5:$D$160*(((Inputs!$G$5:$G$160="moeda")+(Inputs!$G$5:$G$160="acoes"))*Inputs!$B$1+((Inputs!$G$5:$G$160&lt;&gt;"moeda")*(Inputs!$G$5:$G$160&lt;&gt;"acoes")))*INDEX(Inputs!$K$5:$AJ$160,0,MATCH(X$2,Inputs!$K$4:$AJ$4,0)))+SUMPRODUCT((Inputs!$E$5:$E$160=$B45)*Inputs!$F$5:$F$160*(((Inputs!$G$5:$G$160="moeda")+(Inputs!$G$5:$G$160="acoes"))*Inputs!$B$1+((Inputs!$G$5:$G$160&lt;&gt;"moeda")*(Inputs!$G$5:$G$160&lt;&gt;"acoes")))*INDEX(Inputs!$K$5:$AJ$160,0,MATCH(X$2,Inputs!$K$4:$AJ$4,0)))))</f>
        <v>52.817</v>
      </c>
      <c r="Y45" s="6">
        <f>IF(ISNA(MATCH(Y$2,Inputs!$K$4:$AJ$4,0)),NA(),IF(SUMPRODUCT((Inputs!$A$5:$A$160=$B45)*ISNUMBER(INDEX(Inputs!$K$5:$AJ$160,0,MATCH(Y$2,Inputs!$K$4:$AJ$4,0))))+SUMPRODUCT((Inputs!$C$5:$C$160=$B45)*ISNUMBER(INDEX(Inputs!$K$5:$AJ$160,0,MATCH(Y$2,Inputs!$K$4:$AJ$4,0))))+SUMPRODUCT((Inputs!$E$5:$E$160=$B45)*ISNUMBER(INDEX(Inputs!$K$5:$AJ$160,0,MATCH(Y$2,Inputs!$K$4:$AJ$4,0))))=0,NA(),SUMPRODUCT((Inputs!$A$5:$A$160=$B45)*Inputs!$B$5:$B$160*(((Inputs!$G$5:$G$160="moeda")+(Inputs!$G$5:$G$160="acoes"))*Inputs!$B$1+((Inputs!$G$5:$G$160&lt;&gt;"moeda")*(Inputs!$G$5:$G$160&lt;&gt;"acoes")))*INDEX(Inputs!$K$5:$AJ$160,0,MATCH(Y$2,Inputs!$K$4:$AJ$4,0)))+SUMPRODUCT((Inputs!$C$5:$C$160=$B45)*Inputs!$D$5:$D$160*(((Inputs!$G$5:$G$160="moeda")+(Inputs!$G$5:$G$160="acoes"))*Inputs!$B$1+((Inputs!$G$5:$G$160&lt;&gt;"moeda")*(Inputs!$G$5:$G$160&lt;&gt;"acoes")))*INDEX(Inputs!$K$5:$AJ$160,0,MATCH(Y$2,Inputs!$K$4:$AJ$4,0)))+SUMPRODUCT((Inputs!$E$5:$E$160=$B45)*Inputs!$F$5:$F$160*(((Inputs!$G$5:$G$160="moeda")+(Inputs!$G$5:$G$160="acoes"))*Inputs!$B$1+((Inputs!$G$5:$G$160&lt;&gt;"moeda")*(Inputs!$G$5:$G$160&lt;&gt;"acoes")))*INDEX(Inputs!$K$5:$AJ$160,0,MATCH(Y$2,Inputs!$K$4:$AJ$4,0)))))</f>
        <v>52.817</v>
      </c>
      <c r="Z45" s="6">
        <f>IF(ISNA(MATCH(Z$2,Inputs!$K$4:$AJ$4,0)),NA(),IF(SUMPRODUCT((Inputs!$A$5:$A$160=$B45)*ISNUMBER(INDEX(Inputs!$K$5:$AJ$160,0,MATCH(Z$2,Inputs!$K$4:$AJ$4,0))))+SUMPRODUCT((Inputs!$C$5:$C$160=$B45)*ISNUMBER(INDEX(Inputs!$K$5:$AJ$160,0,MATCH(Z$2,Inputs!$K$4:$AJ$4,0))))+SUMPRODUCT((Inputs!$E$5:$E$160=$B45)*ISNUMBER(INDEX(Inputs!$K$5:$AJ$160,0,MATCH(Z$2,Inputs!$K$4:$AJ$4,0))))=0,NA(),SUMPRODUCT((Inputs!$A$5:$A$160=$B45)*Inputs!$B$5:$B$160*(((Inputs!$G$5:$G$160="moeda")+(Inputs!$G$5:$G$160="acoes"))*Inputs!$B$1+((Inputs!$G$5:$G$160&lt;&gt;"moeda")*(Inputs!$G$5:$G$160&lt;&gt;"acoes")))*INDEX(Inputs!$K$5:$AJ$160,0,MATCH(Z$2,Inputs!$K$4:$AJ$4,0)))+SUMPRODUCT((Inputs!$C$5:$C$160=$B45)*Inputs!$D$5:$D$160*(((Inputs!$G$5:$G$160="moeda")+(Inputs!$G$5:$G$160="acoes"))*Inputs!$B$1+((Inputs!$G$5:$G$160&lt;&gt;"moeda")*(Inputs!$G$5:$G$160&lt;&gt;"acoes")))*INDEX(Inputs!$K$5:$AJ$160,0,MATCH(Z$2,Inputs!$K$4:$AJ$4,0)))+SUMPRODUCT((Inputs!$E$5:$E$160=$B45)*Inputs!$F$5:$F$160*(((Inputs!$G$5:$G$160="moeda")+(Inputs!$G$5:$G$160="acoes"))*Inputs!$B$1+((Inputs!$G$5:$G$160&lt;&gt;"moeda")*(Inputs!$G$5:$G$160&lt;&gt;"acoes")))*INDEX(Inputs!$K$5:$AJ$160,0,MATCH(Z$2,Inputs!$K$4:$AJ$4,0)))))</f>
        <v>52.817</v>
      </c>
      <c r="AA45" s="6">
        <f>IF(ISNA(MATCH(AA$2,Inputs!$K$4:$AJ$4,0)),NA(),IF(SUMPRODUCT((Inputs!$A$5:$A$160=$B45)*ISNUMBER(INDEX(Inputs!$K$5:$AJ$160,0,MATCH(AA$2,Inputs!$K$4:$AJ$4,0))))+SUMPRODUCT((Inputs!$C$5:$C$160=$B45)*ISNUMBER(INDEX(Inputs!$K$5:$AJ$160,0,MATCH(AA$2,Inputs!$K$4:$AJ$4,0))))+SUMPRODUCT((Inputs!$E$5:$E$160=$B45)*ISNUMBER(INDEX(Inputs!$K$5:$AJ$160,0,MATCH(AA$2,Inputs!$K$4:$AJ$4,0))))=0,NA(),SUMPRODUCT((Inputs!$A$5:$A$160=$B45)*Inputs!$B$5:$B$160*(((Inputs!$G$5:$G$160="moeda")+(Inputs!$G$5:$G$160="acoes"))*Inputs!$B$1+((Inputs!$G$5:$G$160&lt;&gt;"moeda")*(Inputs!$G$5:$G$160&lt;&gt;"acoes")))*INDEX(Inputs!$K$5:$AJ$160,0,MATCH(AA$2,Inputs!$K$4:$AJ$4,0)))+SUMPRODUCT((Inputs!$C$5:$C$160=$B45)*Inputs!$D$5:$D$160*(((Inputs!$G$5:$G$160="moeda")+(Inputs!$G$5:$G$160="acoes"))*Inputs!$B$1+((Inputs!$G$5:$G$160&lt;&gt;"moeda")*(Inputs!$G$5:$G$160&lt;&gt;"acoes")))*INDEX(Inputs!$K$5:$AJ$160,0,MATCH(AA$2,Inputs!$K$4:$AJ$4,0)))+SUMPRODUCT((Inputs!$E$5:$E$160=$B45)*Inputs!$F$5:$F$160*(((Inputs!$G$5:$G$160="moeda")+(Inputs!$G$5:$G$160="acoes"))*Inputs!$B$1+((Inputs!$G$5:$G$160&lt;&gt;"moeda")*(Inputs!$G$5:$G$160&lt;&gt;"acoes")))*INDEX(Inputs!$K$5:$AJ$160,0,MATCH(AA$2,Inputs!$K$4:$AJ$4,0)))))</f>
        <v>52.817</v>
      </c>
      <c r="AB45" s="3">
        <f>AA45</f>
        <v>52.817</v>
      </c>
      <c r="AC45" s="6">
        <f>IF(ISNA(MATCH(AC$2,Inputs!$K$4:$AJ$4,0)),NA(),IF(SUMPRODUCT((Inputs!$A$5:$A$160=$B45)*ISNUMBER(INDEX(Inputs!$K$5:$AJ$160,0,MATCH(AC$2,Inputs!$K$4:$AJ$4,0))))+SUMPRODUCT((Inputs!$C$5:$C$160=$B45)*ISNUMBER(INDEX(Inputs!$K$5:$AJ$160,0,MATCH(AC$2,Inputs!$K$4:$AJ$4,0))))+SUMPRODUCT((Inputs!$E$5:$E$160=$B45)*ISNUMBER(INDEX(Inputs!$K$5:$AJ$160,0,MATCH(AC$2,Inputs!$K$4:$AJ$4,0))))=0,NA(),SUMPRODUCT((Inputs!$A$5:$A$160=$B45)*Inputs!$B$5:$B$160*(((Inputs!$G$5:$G$160="moeda")+(Inputs!$G$5:$G$160="acoes"))*Inputs!$B$1+((Inputs!$G$5:$G$160&lt;&gt;"moeda")*(Inputs!$G$5:$G$160&lt;&gt;"acoes")))*INDEX(Inputs!$K$5:$AJ$160,0,MATCH(AC$2,Inputs!$K$4:$AJ$4,0)))+SUMPRODUCT((Inputs!$C$5:$C$160=$B45)*Inputs!$D$5:$D$160*(((Inputs!$G$5:$G$160="moeda")+(Inputs!$G$5:$G$160="acoes"))*Inputs!$B$1+((Inputs!$G$5:$G$160&lt;&gt;"moeda")*(Inputs!$G$5:$G$160&lt;&gt;"acoes")))*INDEX(Inputs!$K$5:$AJ$160,0,MATCH(AC$2,Inputs!$K$4:$AJ$4,0)))+SUMPRODUCT((Inputs!$E$5:$E$160=$B45)*Inputs!$F$5:$F$160*(((Inputs!$G$5:$G$160="moeda")+(Inputs!$G$5:$G$160="acoes"))*Inputs!$B$1+((Inputs!$G$5:$G$160&lt;&gt;"moeda")*(Inputs!$G$5:$G$160&lt;&gt;"acoes")))*INDEX(Inputs!$K$5:$AJ$160,0,MATCH(AC$2,Inputs!$K$4:$AJ$4,0)))))</f>
        <v>52.817</v>
      </c>
      <c r="AD45" s="6">
        <f>IF(ISNA(MATCH(AD$2,Inputs!$K$4:$AJ$4,0)),NA(),IF(SUMPRODUCT((Inputs!$A$5:$A$160=$B45)*ISNUMBER(INDEX(Inputs!$K$5:$AJ$160,0,MATCH(AD$2,Inputs!$K$4:$AJ$4,0))))+SUMPRODUCT((Inputs!$C$5:$C$160=$B45)*ISNUMBER(INDEX(Inputs!$K$5:$AJ$160,0,MATCH(AD$2,Inputs!$K$4:$AJ$4,0))))+SUMPRODUCT((Inputs!$E$5:$E$160=$B45)*ISNUMBER(INDEX(Inputs!$K$5:$AJ$160,0,MATCH(AD$2,Inputs!$K$4:$AJ$4,0))))=0,NA(),SUMPRODUCT((Inputs!$A$5:$A$160=$B45)*Inputs!$B$5:$B$160*(((Inputs!$G$5:$G$160="moeda")+(Inputs!$G$5:$G$160="acoes"))*Inputs!$B$1+((Inputs!$G$5:$G$160&lt;&gt;"moeda")*(Inputs!$G$5:$G$160&lt;&gt;"acoes")))*INDEX(Inputs!$K$5:$AJ$160,0,MATCH(AD$2,Inputs!$K$4:$AJ$4,0)))+SUMPRODUCT((Inputs!$C$5:$C$160=$B45)*Inputs!$D$5:$D$160*(((Inputs!$G$5:$G$160="moeda")+(Inputs!$G$5:$G$160="acoes"))*Inputs!$B$1+((Inputs!$G$5:$G$160&lt;&gt;"moeda")*(Inputs!$G$5:$G$160&lt;&gt;"acoes")))*INDEX(Inputs!$K$5:$AJ$160,0,MATCH(AD$2,Inputs!$K$4:$AJ$4,0)))+SUMPRODUCT((Inputs!$E$5:$E$160=$B45)*Inputs!$F$5:$F$160*(((Inputs!$G$5:$G$160="moeda")+(Inputs!$G$5:$G$160="acoes"))*Inputs!$B$1+((Inputs!$G$5:$G$160&lt;&gt;"moeda")*(Inputs!$G$5:$G$160&lt;&gt;"acoes")))*INDEX(Inputs!$K$5:$AJ$160,0,MATCH(AD$2,Inputs!$K$4:$AJ$4,0)))))</f>
        <v>52.817</v>
      </c>
      <c r="AE45" s="6" t="e">
        <f>IF(ISNA(MATCH(AE$2,Inputs!$K$4:$AJ$4,0)),NA(),IF(SUMPRODUCT((Inputs!$A$5:$A$160=$B45)*ISNUMBER(INDEX(Inputs!$K$5:$AJ$160,0,MATCH(AE$2,Inputs!$K$4:$AJ$4,0))))+SUMPRODUCT((Inputs!$C$5:$C$160=$B45)*ISNUMBER(INDEX(Inputs!$K$5:$AJ$160,0,MATCH(AE$2,Inputs!$K$4:$AJ$4,0))))+SUMPRODUCT((Inputs!$E$5:$E$160=$B45)*ISNUMBER(INDEX(Inputs!$K$5:$AJ$160,0,MATCH(AE$2,Inputs!$K$4:$AJ$4,0))))=0,NA(),SUMPRODUCT((Inputs!$A$5:$A$160=$B45)*Inputs!$B$5:$B$160*(((Inputs!$G$5:$G$160="moeda")+(Inputs!$G$5:$G$160="acoes"))*Inputs!$B$1+((Inputs!$G$5:$G$160&lt;&gt;"moeda")*(Inputs!$G$5:$G$160&lt;&gt;"acoes")))*INDEX(Inputs!$K$5:$AJ$160,0,MATCH(AE$2,Inputs!$K$4:$AJ$4,0)))+SUMPRODUCT((Inputs!$C$5:$C$160=$B45)*Inputs!$D$5:$D$160*(((Inputs!$G$5:$G$160="moeda")+(Inputs!$G$5:$G$160="acoes"))*Inputs!$B$1+((Inputs!$G$5:$G$160&lt;&gt;"moeda")*(Inputs!$G$5:$G$160&lt;&gt;"acoes")))*INDEX(Inputs!$K$5:$AJ$160,0,MATCH(AE$2,Inputs!$K$4:$AJ$4,0)))+SUMPRODUCT((Inputs!$E$5:$E$160=$B45)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5" s="6" t="e">
        <f>IF(ISNA(MATCH(AF$2,Inputs!$K$4:$AJ$4,0)),NA(),IF(SUMPRODUCT((Inputs!$A$5:$A$160=$B45)*ISNUMBER(INDEX(Inputs!$K$5:$AJ$160,0,MATCH(AF$2,Inputs!$K$4:$AJ$4,0))))+SUMPRODUCT((Inputs!$C$5:$C$160=$B45)*ISNUMBER(INDEX(Inputs!$K$5:$AJ$160,0,MATCH(AF$2,Inputs!$K$4:$AJ$4,0))))+SUMPRODUCT((Inputs!$E$5:$E$160=$B45)*ISNUMBER(INDEX(Inputs!$K$5:$AJ$160,0,MATCH(AF$2,Inputs!$K$4:$AJ$4,0))))=0,NA(),SUMPRODUCT((Inputs!$A$5:$A$160=$B45)*Inputs!$B$5:$B$160*(((Inputs!$G$5:$G$160="moeda")+(Inputs!$G$5:$G$160="acoes"))*Inputs!$B$1+((Inputs!$G$5:$G$160&lt;&gt;"moeda")*(Inputs!$G$5:$G$160&lt;&gt;"acoes")))*INDEX(Inputs!$K$5:$AJ$160,0,MATCH(AF$2,Inputs!$K$4:$AJ$4,0)))+SUMPRODUCT((Inputs!$C$5:$C$160=$B45)*Inputs!$D$5:$D$160*(((Inputs!$G$5:$G$160="moeda")+(Inputs!$G$5:$G$160="acoes"))*Inputs!$B$1+((Inputs!$G$5:$G$160&lt;&gt;"moeda")*(Inputs!$G$5:$G$160&lt;&gt;"acoes")))*INDEX(Inputs!$K$5:$AJ$160,0,MATCH(AF$2,Inputs!$K$4:$AJ$4,0)))+SUMPRODUCT((Inputs!$E$5:$E$160=$B45)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5" s="3" t="e">
        <f>AF45</f>
        <v>#N/A</v>
      </c>
      <c r="AH45" s="6">
        <f>IF(ISNA(MATCH(AH$2,Inputs!$K$4:$AJ$4,0)),NA(),IF(SUMPRODUCT((Inputs!$A$5:$A$160=$B45)*ISNUMBER(INDEX(Inputs!$K$5:$AJ$160,0,MATCH(AH$2,Inputs!$K$4:$AJ$4,0))))+SUMPRODUCT((Inputs!$C$5:$C$160=$B45)*ISNUMBER(INDEX(Inputs!$K$5:$AJ$160,0,MATCH(AH$2,Inputs!$K$4:$AJ$4,0))))+SUMPRODUCT((Inputs!$E$5:$E$160=$B45)*ISNUMBER(INDEX(Inputs!$K$5:$AJ$160,0,MATCH(AH$2,Inputs!$K$4:$AJ$4,0))))=0,NA(),SUMPRODUCT((Inputs!$A$5:$A$160=$B45)*Inputs!$B$5:$B$160*(((Inputs!$G$5:$G$160="moeda")+(Inputs!$G$5:$G$160="acoes"))*Inputs!$B$1+((Inputs!$G$5:$G$160&lt;&gt;"moeda")*(Inputs!$G$5:$G$160&lt;&gt;"acoes")))*INDEX(Inputs!$K$5:$AJ$160,0,MATCH(AH$2,Inputs!$K$4:$AJ$4,0)))+SUMPRODUCT((Inputs!$C$5:$C$160=$B45)*Inputs!$D$5:$D$160*(((Inputs!$G$5:$G$160="moeda")+(Inputs!$G$5:$G$160="acoes"))*Inputs!$B$1+((Inputs!$G$5:$G$160&lt;&gt;"moeda")*(Inputs!$G$5:$G$160&lt;&gt;"acoes")))*INDEX(Inputs!$K$5:$AJ$160,0,MATCH(AH$2,Inputs!$K$4:$AJ$4,0)))+SUMPRODUCT((Inputs!$E$5:$E$160=$B45)*Inputs!$F$5:$F$160*(((Inputs!$G$5:$G$160="moeda")+(Inputs!$G$5:$G$160="acoes"))*Inputs!$B$1+((Inputs!$G$5:$G$160&lt;&gt;"moeda")*(Inputs!$G$5:$G$160&lt;&gt;"acoes")))*INDEX(Inputs!$K$5:$AJ$160,0,MATCH(AH$2,Inputs!$K$4:$AJ$4,0)))))</f>
        <v>0</v>
      </c>
      <c r="AI45" s="6">
        <f>IF(ISNA(MATCH(AI$2,Inputs!$K$4:$AJ$4,0)),NA(),IF(SUMPRODUCT((Inputs!$A$5:$A$160=$B45)*ISNUMBER(INDEX(Inputs!$K$5:$AJ$160,0,MATCH(AI$2,Inputs!$K$4:$AJ$4,0))))+SUMPRODUCT((Inputs!$C$5:$C$160=$B45)*ISNUMBER(INDEX(Inputs!$K$5:$AJ$160,0,MATCH(AI$2,Inputs!$K$4:$AJ$4,0))))+SUMPRODUCT((Inputs!$E$5:$E$160=$B45)*ISNUMBER(INDEX(Inputs!$K$5:$AJ$160,0,MATCH(AI$2,Inputs!$K$4:$AJ$4,0))))=0,NA(),SUMPRODUCT((Inputs!$A$5:$A$160=$B45)*Inputs!$B$5:$B$160*(((Inputs!$G$5:$G$160="moeda")+(Inputs!$G$5:$G$160="acoes"))*Inputs!$B$1+((Inputs!$G$5:$G$160&lt;&gt;"moeda")*(Inputs!$G$5:$G$160&lt;&gt;"acoes")))*INDEX(Inputs!$K$5:$AJ$160,0,MATCH(AI$2,Inputs!$K$4:$AJ$4,0)))+SUMPRODUCT((Inputs!$C$5:$C$160=$B45)*Inputs!$D$5:$D$160*(((Inputs!$G$5:$G$160="moeda")+(Inputs!$G$5:$G$160="acoes"))*Inputs!$B$1+((Inputs!$G$5:$G$160&lt;&gt;"moeda")*(Inputs!$G$5:$G$160&lt;&gt;"acoes")))*INDEX(Inputs!$K$5:$AJ$160,0,MATCH(AI$2,Inputs!$K$4:$AJ$4,0)))+SUMPRODUCT((Inputs!$E$5:$E$160=$B45)*Inputs!$F$5:$F$160*(((Inputs!$G$5:$G$160="moeda")+(Inputs!$G$5:$G$160="acoes"))*Inputs!$B$1+((Inputs!$G$5:$G$160&lt;&gt;"moeda")*(Inputs!$G$5:$G$160&lt;&gt;"acoes")))*INDEX(Inputs!$K$5:$AJ$160,0,MATCH(AI$2,Inputs!$K$4:$AJ$4,0)))))</f>
        <v>0</v>
      </c>
      <c r="AJ45" s="6">
        <f>IF(ISNA(MATCH(AJ$2,Inputs!$K$4:$AJ$4,0)),NA(),IF(SUMPRODUCT((Inputs!$A$5:$A$160=$B45)*ISNUMBER(INDEX(Inputs!$K$5:$AJ$160,0,MATCH(AJ$2,Inputs!$K$4:$AJ$4,0))))+SUMPRODUCT((Inputs!$C$5:$C$160=$B45)*ISNUMBER(INDEX(Inputs!$K$5:$AJ$160,0,MATCH(AJ$2,Inputs!$K$4:$AJ$4,0))))+SUMPRODUCT((Inputs!$E$5:$E$160=$B45)*ISNUMBER(INDEX(Inputs!$K$5:$AJ$160,0,MATCH(AJ$2,Inputs!$K$4:$AJ$4,0))))=0,NA(),SUMPRODUCT((Inputs!$A$5:$A$160=$B45)*Inputs!$B$5:$B$160*(((Inputs!$G$5:$G$160="moeda")+(Inputs!$G$5:$G$160="acoes"))*Inputs!$B$1+((Inputs!$G$5:$G$160&lt;&gt;"moeda")*(Inputs!$G$5:$G$160&lt;&gt;"acoes")))*INDEX(Inputs!$K$5:$AJ$160,0,MATCH(AJ$2,Inputs!$K$4:$AJ$4,0)))+SUMPRODUCT((Inputs!$C$5:$C$160=$B45)*Inputs!$D$5:$D$160*(((Inputs!$G$5:$G$160="moeda")+(Inputs!$G$5:$G$160="acoes"))*Inputs!$B$1+((Inputs!$G$5:$G$160&lt;&gt;"moeda")*(Inputs!$G$5:$G$160&lt;&gt;"acoes")))*INDEX(Inputs!$K$5:$AJ$160,0,MATCH(AJ$2,Inputs!$K$4:$AJ$4,0)))+SUMPRODUCT((Inputs!$E$5:$E$160=$B45)*Inputs!$F$5:$F$160*(((Inputs!$G$5:$G$160="moeda")+(Inputs!$G$5:$G$160="acoes"))*Inputs!$B$1+((Inputs!$G$5:$G$160&lt;&gt;"moeda")*(Inputs!$G$5:$G$160&lt;&gt;"acoes")))*INDEX(Inputs!$K$5:$AJ$160,0,MATCH(AJ$2,Inputs!$K$4:$AJ$4,0)))))</f>
        <v>0</v>
      </c>
      <c r="AK45" s="6">
        <f>IF(ISNA(MATCH(AK$2,Inputs!$K$4:$AJ$4,0)),NA(),IF(SUMPRODUCT((Inputs!$A$5:$A$160=$B45)*ISNUMBER(INDEX(Inputs!$K$5:$AJ$160,0,MATCH(AK$2,Inputs!$K$4:$AJ$4,0))))+SUMPRODUCT((Inputs!$C$5:$C$160=$B45)*ISNUMBER(INDEX(Inputs!$K$5:$AJ$160,0,MATCH(AK$2,Inputs!$K$4:$AJ$4,0))))+SUMPRODUCT((Inputs!$E$5:$E$160=$B45)*ISNUMBER(INDEX(Inputs!$K$5:$AJ$160,0,MATCH(AK$2,Inputs!$K$4:$AJ$4,0))))=0,NA(),SUMPRODUCT((Inputs!$A$5:$A$160=$B45)*Inputs!$B$5:$B$160*(((Inputs!$G$5:$G$160="moeda")+(Inputs!$G$5:$G$160="acoes"))*Inputs!$B$1+((Inputs!$G$5:$G$160&lt;&gt;"moeda")*(Inputs!$G$5:$G$160&lt;&gt;"acoes")))*INDEX(Inputs!$K$5:$AJ$160,0,MATCH(AK$2,Inputs!$K$4:$AJ$4,0)))+SUMPRODUCT((Inputs!$C$5:$C$160=$B45)*Inputs!$D$5:$D$160*(((Inputs!$G$5:$G$160="moeda")+(Inputs!$G$5:$G$160="acoes"))*Inputs!$B$1+((Inputs!$G$5:$G$160&lt;&gt;"moeda")*(Inputs!$G$5:$G$160&lt;&gt;"acoes")))*INDEX(Inputs!$K$5:$AJ$160,0,MATCH(AK$2,Inputs!$K$4:$AJ$4,0)))+SUMPRODUCT((Inputs!$E$5:$E$160=$B45)*Inputs!$F$5:$F$160*(((Inputs!$G$5:$G$160="moeda")+(Inputs!$G$5:$G$160="acoes"))*Inputs!$B$1+((Inputs!$G$5:$G$160&lt;&gt;"moeda")*(Inputs!$G$5:$G$160&lt;&gt;"acoes")))*INDEX(Inputs!$K$5:$AJ$160,0,MATCH(AK$2,Inputs!$K$4:$AJ$4,0)))))</f>
        <v>0</v>
      </c>
      <c r="AL45" s="3">
        <f>AK45</f>
        <v>0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$160=$B46)*ISNUMBER(INDEX(Inputs!$K$5:$AJ$160,0,MATCH(D$2,Inputs!$K$4:$AJ$4,0))))+SUMPRODUCT((Inputs!$C$5:$C$160=$B46)*ISNUMBER(INDEX(Inputs!$K$5:$AJ$160,0,MATCH(D$2,Inputs!$K$4:$AJ$4,0))))+SUMPRODUCT((Inputs!$E$5:$E$160=$B46)*ISNUMBER(INDEX(Inputs!$K$5:$AJ$160,0,MATCH(D$2,Inputs!$K$4:$AJ$4,0))))=0,NA(),SUMPRODUCT((Inputs!$A$5:$A$160=$B46)*Inputs!$B$5:$B$160*(((Inputs!$G$5:$G$160="moeda")+(Inputs!$G$5:$G$160="acoes"))*Inputs!$B$1+((Inputs!$G$5:$G$160&lt;&gt;"moeda")*(Inputs!$G$5:$G$160&lt;&gt;"acoes")))*INDEX(Inputs!$K$5:$AJ$160,0,MATCH(D$2,Inputs!$K$4:$AJ$4,0)))+SUMPRODUCT((Inputs!$C$5:$C$160=$B46)*Inputs!$D$5:$D$160*(((Inputs!$G$5:$G$160="moeda")+(Inputs!$G$5:$G$160="acoes"))*Inputs!$B$1+((Inputs!$G$5:$G$160&lt;&gt;"moeda")*(Inputs!$G$5:$G$160&lt;&gt;"acoes")))*INDEX(Inputs!$K$5:$AJ$160,0,MATCH(D$2,Inputs!$K$4:$AJ$4,0)))+SUMPRODUCT((Inputs!$E$5:$E$160=$B46)*Inputs!$F$5:$F$160*(((Inputs!$G$5:$G$160="moeda")+(Inputs!$G$5:$G$160="acoes"))*Inputs!$B$1+((Inputs!$G$5:$G$160&lt;&gt;"moeda")*(Inputs!$G$5:$G$160&lt;&gt;"acoes")))*INDEX(Inputs!$K$5:$AJ$160,0,MATCH(D$2,Inputs!$K$4:$AJ$4,0)))))</f>
        <v>125.89858391</v>
      </c>
      <c r="E46" s="6">
        <f>IF(ISNA(MATCH(E$2,Inputs!$K$4:$AJ$4,0)),NA(),IF(SUMPRODUCT((Inputs!$A$5:$A$160=$B46)*ISNUMBER(INDEX(Inputs!$K$5:$AJ$160,0,MATCH(E$2,Inputs!$K$4:$AJ$4,0))))+SUMPRODUCT((Inputs!$C$5:$C$160=$B46)*ISNUMBER(INDEX(Inputs!$K$5:$AJ$160,0,MATCH(E$2,Inputs!$K$4:$AJ$4,0))))+SUMPRODUCT((Inputs!$E$5:$E$160=$B46)*ISNUMBER(INDEX(Inputs!$K$5:$AJ$160,0,MATCH(E$2,Inputs!$K$4:$AJ$4,0))))=0,NA(),SUMPRODUCT((Inputs!$A$5:$A$160=$B46)*Inputs!$B$5:$B$160*(((Inputs!$G$5:$G$160="moeda")+(Inputs!$G$5:$G$160="acoes"))*Inputs!$B$1+((Inputs!$G$5:$G$160&lt;&gt;"moeda")*(Inputs!$G$5:$G$160&lt;&gt;"acoes")))*INDEX(Inputs!$K$5:$AJ$160,0,MATCH(E$2,Inputs!$K$4:$AJ$4,0)))+SUMPRODUCT((Inputs!$C$5:$C$160=$B46)*Inputs!$D$5:$D$160*(((Inputs!$G$5:$G$160="moeda")+(Inputs!$G$5:$G$160="acoes"))*Inputs!$B$1+((Inputs!$G$5:$G$160&lt;&gt;"moeda")*(Inputs!$G$5:$G$160&lt;&gt;"acoes")))*INDEX(Inputs!$K$5:$AJ$160,0,MATCH(E$2,Inputs!$K$4:$AJ$4,0)))+SUMPRODUCT((Inputs!$E$5:$E$160=$B46)*Inputs!$F$5:$F$160*(((Inputs!$G$5:$G$160="moeda")+(Inputs!$G$5:$G$160="acoes"))*Inputs!$B$1+((Inputs!$G$5:$G$160&lt;&gt;"moeda")*(Inputs!$G$5:$G$160&lt;&gt;"acoes")))*INDEX(Inputs!$K$5:$AJ$160,0,MATCH(E$2,Inputs!$K$4:$AJ$4,0)))))</f>
        <v>125.89858391</v>
      </c>
      <c r="F46" s="6">
        <f>IF(ISNA(MATCH(F$2,Inputs!$K$4:$AJ$4,0)),NA(),IF(SUMPRODUCT((Inputs!$A$5:$A$160=$B46)*ISNUMBER(INDEX(Inputs!$K$5:$AJ$160,0,MATCH(F$2,Inputs!$K$4:$AJ$4,0))))+SUMPRODUCT((Inputs!$C$5:$C$160=$B46)*ISNUMBER(INDEX(Inputs!$K$5:$AJ$160,0,MATCH(F$2,Inputs!$K$4:$AJ$4,0))))+SUMPRODUCT((Inputs!$E$5:$E$160=$B46)*ISNUMBER(INDEX(Inputs!$K$5:$AJ$160,0,MATCH(F$2,Inputs!$K$4:$AJ$4,0))))=0,NA(),SUMPRODUCT((Inputs!$A$5:$A$160=$B46)*Inputs!$B$5:$B$160*(((Inputs!$G$5:$G$160="moeda")+(Inputs!$G$5:$G$160="acoes"))*Inputs!$B$1+((Inputs!$G$5:$G$160&lt;&gt;"moeda")*(Inputs!$G$5:$G$160&lt;&gt;"acoes")))*INDEX(Inputs!$K$5:$AJ$160,0,MATCH(F$2,Inputs!$K$4:$AJ$4,0)))+SUMPRODUCT((Inputs!$C$5:$C$160=$B46)*Inputs!$D$5:$D$160*(((Inputs!$G$5:$G$160="moeda")+(Inputs!$G$5:$G$160="acoes"))*Inputs!$B$1+((Inputs!$G$5:$G$160&lt;&gt;"moeda")*(Inputs!$G$5:$G$160&lt;&gt;"acoes")))*INDEX(Inputs!$K$5:$AJ$160,0,MATCH(F$2,Inputs!$K$4:$AJ$4,0)))+SUMPRODUCT((Inputs!$E$5:$E$160=$B46)*Inputs!$F$5:$F$160*(((Inputs!$G$5:$G$160="moeda")+(Inputs!$G$5:$G$160="acoes"))*Inputs!$B$1+((Inputs!$G$5:$G$160&lt;&gt;"moeda")*(Inputs!$G$5:$G$160&lt;&gt;"acoes")))*INDEX(Inputs!$K$5:$AJ$160,0,MATCH(F$2,Inputs!$K$4:$AJ$4,0)))))</f>
        <v>125.89858391</v>
      </c>
      <c r="G46" s="6">
        <f>IF(ISNA(MATCH(G$2,Inputs!$K$4:$AJ$4,0)),NA(),IF(SUMPRODUCT((Inputs!$A$5:$A$160=$B46)*ISNUMBER(INDEX(Inputs!$K$5:$AJ$160,0,MATCH(G$2,Inputs!$K$4:$AJ$4,0))))+SUMPRODUCT((Inputs!$C$5:$C$160=$B46)*ISNUMBER(INDEX(Inputs!$K$5:$AJ$160,0,MATCH(G$2,Inputs!$K$4:$AJ$4,0))))+SUMPRODUCT((Inputs!$E$5:$E$160=$B46)*ISNUMBER(INDEX(Inputs!$K$5:$AJ$160,0,MATCH(G$2,Inputs!$K$4:$AJ$4,0))))=0,NA(),SUMPRODUCT((Inputs!$A$5:$A$160=$B46)*Inputs!$B$5:$B$160*(((Inputs!$G$5:$G$160="moeda")+(Inputs!$G$5:$G$160="acoes"))*Inputs!$B$1+((Inputs!$G$5:$G$160&lt;&gt;"moeda")*(Inputs!$G$5:$G$160&lt;&gt;"acoes")))*INDEX(Inputs!$K$5:$AJ$160,0,MATCH(G$2,Inputs!$K$4:$AJ$4,0)))+SUMPRODUCT((Inputs!$C$5:$C$160=$B46)*Inputs!$D$5:$D$160*(((Inputs!$G$5:$G$160="moeda")+(Inputs!$G$5:$G$160="acoes"))*Inputs!$B$1+((Inputs!$G$5:$G$160&lt;&gt;"moeda")*(Inputs!$G$5:$G$160&lt;&gt;"acoes")))*INDEX(Inputs!$K$5:$AJ$160,0,MATCH(G$2,Inputs!$K$4:$AJ$4,0)))+SUMPRODUCT((Inputs!$E$5:$E$160=$B46)*Inputs!$F$5:$F$160*(((Inputs!$G$5:$G$160="moeda")+(Inputs!$G$5:$G$160="acoes"))*Inputs!$B$1+((Inputs!$G$5:$G$160&lt;&gt;"moeda")*(Inputs!$G$5:$G$160&lt;&gt;"acoes")))*INDEX(Inputs!$K$5:$AJ$160,0,MATCH(G$2,Inputs!$K$4:$AJ$4,0)))))</f>
        <v>143.39483164</v>
      </c>
      <c r="H46" s="3">
        <f>G46</f>
        <v>143.39483164</v>
      </c>
      <c r="I46" s="6">
        <f>IF(ISNA(MATCH(I$2,Inputs!$K$4:$AJ$4,0)),NA(),IF(SUMPRODUCT((Inputs!$A$5:$A$160=$B46)*ISNUMBER(INDEX(Inputs!$K$5:$AJ$160,0,MATCH(I$2,Inputs!$K$4:$AJ$4,0))))+SUMPRODUCT((Inputs!$C$5:$C$160=$B46)*ISNUMBER(INDEX(Inputs!$K$5:$AJ$160,0,MATCH(I$2,Inputs!$K$4:$AJ$4,0))))+SUMPRODUCT((Inputs!$E$5:$E$160=$B46)*ISNUMBER(INDEX(Inputs!$K$5:$AJ$160,0,MATCH(I$2,Inputs!$K$4:$AJ$4,0))))=0,NA(),SUMPRODUCT((Inputs!$A$5:$A$160=$B46)*Inputs!$B$5:$B$160*(((Inputs!$G$5:$G$160="moeda")+(Inputs!$G$5:$G$160="acoes"))*Inputs!$B$1+((Inputs!$G$5:$G$160&lt;&gt;"moeda")*(Inputs!$G$5:$G$160&lt;&gt;"acoes")))*INDEX(Inputs!$K$5:$AJ$160,0,MATCH(I$2,Inputs!$K$4:$AJ$4,0)))+SUMPRODUCT((Inputs!$C$5:$C$160=$B46)*Inputs!$D$5:$D$160*(((Inputs!$G$5:$G$160="moeda")+(Inputs!$G$5:$G$160="acoes"))*Inputs!$B$1+((Inputs!$G$5:$G$160&lt;&gt;"moeda")*(Inputs!$G$5:$G$160&lt;&gt;"acoes")))*INDEX(Inputs!$K$5:$AJ$160,0,MATCH(I$2,Inputs!$K$4:$AJ$4,0)))+SUMPRODUCT((Inputs!$E$5:$E$160=$B46)*Inputs!$F$5:$F$160*(((Inputs!$G$5:$G$160="moeda")+(Inputs!$G$5:$G$160="acoes"))*Inputs!$B$1+((Inputs!$G$5:$G$160&lt;&gt;"moeda")*(Inputs!$G$5:$G$160&lt;&gt;"acoes")))*INDEX(Inputs!$K$5:$AJ$160,0,MATCH(I$2,Inputs!$K$4:$AJ$4,0)))))</f>
        <v>156.22491938</v>
      </c>
      <c r="J46" s="6">
        <f>IF(ISNA(MATCH(J$2,Inputs!$K$4:$AJ$4,0)),NA(),IF(SUMPRODUCT((Inputs!$A$5:$A$160=$B46)*ISNUMBER(INDEX(Inputs!$K$5:$AJ$160,0,MATCH(J$2,Inputs!$K$4:$AJ$4,0))))+SUMPRODUCT((Inputs!$C$5:$C$160=$B46)*ISNUMBER(INDEX(Inputs!$K$5:$AJ$160,0,MATCH(J$2,Inputs!$K$4:$AJ$4,0))))+SUMPRODUCT((Inputs!$E$5:$E$160=$B46)*ISNUMBER(INDEX(Inputs!$K$5:$AJ$160,0,MATCH(J$2,Inputs!$K$4:$AJ$4,0))))=0,NA(),SUMPRODUCT((Inputs!$A$5:$A$160=$B46)*Inputs!$B$5:$B$160*(((Inputs!$G$5:$G$160="moeda")+(Inputs!$G$5:$G$160="acoes"))*Inputs!$B$1+((Inputs!$G$5:$G$160&lt;&gt;"moeda")*(Inputs!$G$5:$G$160&lt;&gt;"acoes")))*INDEX(Inputs!$K$5:$AJ$160,0,MATCH(J$2,Inputs!$K$4:$AJ$4,0)))+SUMPRODUCT((Inputs!$C$5:$C$160=$B46)*Inputs!$D$5:$D$160*(((Inputs!$G$5:$G$160="moeda")+(Inputs!$G$5:$G$160="acoes"))*Inputs!$B$1+((Inputs!$G$5:$G$160&lt;&gt;"moeda")*(Inputs!$G$5:$G$160&lt;&gt;"acoes")))*INDEX(Inputs!$K$5:$AJ$160,0,MATCH(J$2,Inputs!$K$4:$AJ$4,0)))+SUMPRODUCT((Inputs!$E$5:$E$160=$B46)*Inputs!$F$5:$F$160*(((Inputs!$G$5:$G$160="moeda")+(Inputs!$G$5:$G$160="acoes"))*Inputs!$B$1+((Inputs!$G$5:$G$160&lt;&gt;"moeda")*(Inputs!$G$5:$G$160&lt;&gt;"acoes")))*INDEX(Inputs!$K$5:$AJ$160,0,MATCH(J$2,Inputs!$K$4:$AJ$4,0)))))</f>
        <v>156.22491938</v>
      </c>
      <c r="K46" s="6">
        <f>IF(ISNA(MATCH(K$2,Inputs!$K$4:$AJ$4,0)),NA(),IF(SUMPRODUCT((Inputs!$A$5:$A$160=$B46)*ISNUMBER(INDEX(Inputs!$K$5:$AJ$160,0,MATCH(K$2,Inputs!$K$4:$AJ$4,0))))+SUMPRODUCT((Inputs!$C$5:$C$160=$B46)*ISNUMBER(INDEX(Inputs!$K$5:$AJ$160,0,MATCH(K$2,Inputs!$K$4:$AJ$4,0))))+SUMPRODUCT((Inputs!$E$5:$E$160=$B46)*ISNUMBER(INDEX(Inputs!$K$5:$AJ$160,0,MATCH(K$2,Inputs!$K$4:$AJ$4,0))))=0,NA(),SUMPRODUCT((Inputs!$A$5:$A$160=$B46)*Inputs!$B$5:$B$160*(((Inputs!$G$5:$G$160="moeda")+(Inputs!$G$5:$G$160="acoes"))*Inputs!$B$1+((Inputs!$G$5:$G$160&lt;&gt;"moeda")*(Inputs!$G$5:$G$160&lt;&gt;"acoes")))*INDEX(Inputs!$K$5:$AJ$160,0,MATCH(K$2,Inputs!$K$4:$AJ$4,0)))+SUMPRODUCT((Inputs!$C$5:$C$160=$B46)*Inputs!$D$5:$D$160*(((Inputs!$G$5:$G$160="moeda")+(Inputs!$G$5:$G$160="acoes"))*Inputs!$B$1+((Inputs!$G$5:$G$160&lt;&gt;"moeda")*(Inputs!$G$5:$G$160&lt;&gt;"acoes")))*INDEX(Inputs!$K$5:$AJ$160,0,MATCH(K$2,Inputs!$K$4:$AJ$4,0)))+SUMPRODUCT((Inputs!$E$5:$E$160=$B46)*Inputs!$F$5:$F$160*(((Inputs!$G$5:$G$160="moeda")+(Inputs!$G$5:$G$160="acoes"))*Inputs!$B$1+((Inputs!$G$5:$G$160&lt;&gt;"moeda")*(Inputs!$G$5:$G$160&lt;&gt;"acoes")))*INDEX(Inputs!$K$5:$AJ$160,0,MATCH(K$2,Inputs!$K$4:$AJ$4,0)))))</f>
        <v>156.22491938</v>
      </c>
      <c r="L46" s="6">
        <f>IF(ISNA(MATCH(L$2,Inputs!$K$4:$AJ$4,0)),NA(),IF(SUMPRODUCT((Inputs!$A$5:$A$160=$B46)*ISNUMBER(INDEX(Inputs!$K$5:$AJ$160,0,MATCH(L$2,Inputs!$K$4:$AJ$4,0))))+SUMPRODUCT((Inputs!$C$5:$C$160=$B46)*ISNUMBER(INDEX(Inputs!$K$5:$AJ$160,0,MATCH(L$2,Inputs!$K$4:$AJ$4,0))))+SUMPRODUCT((Inputs!$E$5:$E$160=$B46)*ISNUMBER(INDEX(Inputs!$K$5:$AJ$160,0,MATCH(L$2,Inputs!$K$4:$AJ$4,0))))=0,NA(),SUMPRODUCT((Inputs!$A$5:$A$160=$B46)*Inputs!$B$5:$B$160*(((Inputs!$G$5:$G$160="moeda")+(Inputs!$G$5:$G$160="acoes"))*Inputs!$B$1+((Inputs!$G$5:$G$160&lt;&gt;"moeda")*(Inputs!$G$5:$G$160&lt;&gt;"acoes")))*INDEX(Inputs!$K$5:$AJ$160,0,MATCH(L$2,Inputs!$K$4:$AJ$4,0)))+SUMPRODUCT((Inputs!$C$5:$C$160=$B46)*Inputs!$D$5:$D$160*(((Inputs!$G$5:$G$160="moeda")+(Inputs!$G$5:$G$160="acoes"))*Inputs!$B$1+((Inputs!$G$5:$G$160&lt;&gt;"moeda")*(Inputs!$G$5:$G$160&lt;&gt;"acoes")))*INDEX(Inputs!$K$5:$AJ$160,0,MATCH(L$2,Inputs!$K$4:$AJ$4,0)))+SUMPRODUCT((Inputs!$E$5:$E$160=$B46)*Inputs!$F$5:$F$160*(((Inputs!$G$5:$G$160="moeda")+(Inputs!$G$5:$G$160="acoes"))*Inputs!$B$1+((Inputs!$G$5:$G$160&lt;&gt;"moeda")*(Inputs!$G$5:$G$160&lt;&gt;"acoes")))*INDEX(Inputs!$K$5:$AJ$160,0,MATCH(L$2,Inputs!$K$4:$AJ$4,0)))))</f>
        <v>193.782383397</v>
      </c>
      <c r="M46" s="3">
        <f>L46</f>
        <v>193.782383397</v>
      </c>
      <c r="N46" s="6">
        <f>IF(ISNA(MATCH(N$2,Inputs!$K$4:$AJ$4,0)),NA(),IF(SUMPRODUCT((Inputs!$A$5:$A$160=$B46)*ISNUMBER(INDEX(Inputs!$K$5:$AJ$160,0,MATCH(N$2,Inputs!$K$4:$AJ$4,0))))+SUMPRODUCT((Inputs!$C$5:$C$160=$B46)*ISNUMBER(INDEX(Inputs!$K$5:$AJ$160,0,MATCH(N$2,Inputs!$K$4:$AJ$4,0))))+SUMPRODUCT((Inputs!$E$5:$E$160=$B46)*ISNUMBER(INDEX(Inputs!$K$5:$AJ$160,0,MATCH(N$2,Inputs!$K$4:$AJ$4,0))))=0,NA(),SUMPRODUCT((Inputs!$A$5:$A$160=$B46)*Inputs!$B$5:$B$160*(((Inputs!$G$5:$G$160="moeda")+(Inputs!$G$5:$G$160="acoes"))*Inputs!$B$1+((Inputs!$G$5:$G$160&lt;&gt;"moeda")*(Inputs!$G$5:$G$160&lt;&gt;"acoes")))*INDEX(Inputs!$K$5:$AJ$160,0,MATCH(N$2,Inputs!$K$4:$AJ$4,0)))+SUMPRODUCT((Inputs!$C$5:$C$160=$B46)*Inputs!$D$5:$D$160*(((Inputs!$G$5:$G$160="moeda")+(Inputs!$G$5:$G$160="acoes"))*Inputs!$B$1+((Inputs!$G$5:$G$160&lt;&gt;"moeda")*(Inputs!$G$5:$G$160&lt;&gt;"acoes")))*INDEX(Inputs!$K$5:$AJ$160,0,MATCH(N$2,Inputs!$K$4:$AJ$4,0)))+SUMPRODUCT((Inputs!$E$5:$E$160=$B46)*Inputs!$F$5:$F$160*(((Inputs!$G$5:$G$160="moeda")+(Inputs!$G$5:$G$160="acoes"))*Inputs!$B$1+((Inputs!$G$5:$G$160&lt;&gt;"moeda")*(Inputs!$G$5:$G$160&lt;&gt;"acoes")))*INDEX(Inputs!$K$5:$AJ$160,0,MATCH(N$2,Inputs!$K$4:$AJ$4,0)))))</f>
        <v>356.23489755</v>
      </c>
      <c r="O46" s="6">
        <f>IF(ISNA(MATCH(O$2,Inputs!$K$4:$AJ$4,0)),NA(),IF(SUMPRODUCT((Inputs!$A$5:$A$160=$B46)*ISNUMBER(INDEX(Inputs!$K$5:$AJ$160,0,MATCH(O$2,Inputs!$K$4:$AJ$4,0))))+SUMPRODUCT((Inputs!$C$5:$C$160=$B46)*ISNUMBER(INDEX(Inputs!$K$5:$AJ$160,0,MATCH(O$2,Inputs!$K$4:$AJ$4,0))))+SUMPRODUCT((Inputs!$E$5:$E$160=$B46)*ISNUMBER(INDEX(Inputs!$K$5:$AJ$160,0,MATCH(O$2,Inputs!$K$4:$AJ$4,0))))=0,NA(),SUMPRODUCT((Inputs!$A$5:$A$160=$B46)*Inputs!$B$5:$B$160*(((Inputs!$G$5:$G$160="moeda")+(Inputs!$G$5:$G$160="acoes"))*Inputs!$B$1+((Inputs!$G$5:$G$160&lt;&gt;"moeda")*(Inputs!$G$5:$G$160&lt;&gt;"acoes")))*INDEX(Inputs!$K$5:$AJ$160,0,MATCH(O$2,Inputs!$K$4:$AJ$4,0)))+SUMPRODUCT((Inputs!$C$5:$C$160=$B46)*Inputs!$D$5:$D$160*(((Inputs!$G$5:$G$160="moeda")+(Inputs!$G$5:$G$160="acoes"))*Inputs!$B$1+((Inputs!$G$5:$G$160&lt;&gt;"moeda")*(Inputs!$G$5:$G$160&lt;&gt;"acoes")))*INDEX(Inputs!$K$5:$AJ$160,0,MATCH(O$2,Inputs!$K$4:$AJ$4,0)))+SUMPRODUCT((Inputs!$E$5:$E$160=$B46)*Inputs!$F$5:$F$160*(((Inputs!$G$5:$G$160="moeda")+(Inputs!$G$5:$G$160="acoes"))*Inputs!$B$1+((Inputs!$G$5:$G$160&lt;&gt;"moeda")*(Inputs!$G$5:$G$160&lt;&gt;"acoes")))*INDEX(Inputs!$K$5:$AJ$160,0,MATCH(O$2,Inputs!$K$4:$AJ$4,0)))))</f>
        <v>186.235</v>
      </c>
      <c r="P46" s="6">
        <f>IF(ISNA(MATCH(P$2,Inputs!$K$4:$AJ$4,0)),NA(),IF(SUMPRODUCT((Inputs!$A$5:$A$160=$B46)*ISNUMBER(INDEX(Inputs!$K$5:$AJ$160,0,MATCH(P$2,Inputs!$K$4:$AJ$4,0))))+SUMPRODUCT((Inputs!$C$5:$C$160=$B46)*ISNUMBER(INDEX(Inputs!$K$5:$AJ$160,0,MATCH(P$2,Inputs!$K$4:$AJ$4,0))))+SUMPRODUCT((Inputs!$E$5:$E$160=$B46)*ISNUMBER(INDEX(Inputs!$K$5:$AJ$160,0,MATCH(P$2,Inputs!$K$4:$AJ$4,0))))=0,NA(),SUMPRODUCT((Inputs!$A$5:$A$160=$B46)*Inputs!$B$5:$B$160*(((Inputs!$G$5:$G$160="moeda")+(Inputs!$G$5:$G$160="acoes"))*Inputs!$B$1+((Inputs!$G$5:$G$160&lt;&gt;"moeda")*(Inputs!$G$5:$G$160&lt;&gt;"acoes")))*INDEX(Inputs!$K$5:$AJ$160,0,MATCH(P$2,Inputs!$K$4:$AJ$4,0)))+SUMPRODUCT((Inputs!$C$5:$C$160=$B46)*Inputs!$D$5:$D$160*(((Inputs!$G$5:$G$160="moeda")+(Inputs!$G$5:$G$160="acoes"))*Inputs!$B$1+((Inputs!$G$5:$G$160&lt;&gt;"moeda")*(Inputs!$G$5:$G$160&lt;&gt;"acoes")))*INDEX(Inputs!$K$5:$AJ$160,0,MATCH(P$2,Inputs!$K$4:$AJ$4,0)))+SUMPRODUCT((Inputs!$E$5:$E$160=$B46)*Inputs!$F$5:$F$160*(((Inputs!$G$5:$G$160="moeda")+(Inputs!$G$5:$G$160="acoes"))*Inputs!$B$1+((Inputs!$G$5:$G$160&lt;&gt;"moeda")*(Inputs!$G$5:$G$160&lt;&gt;"acoes")))*INDEX(Inputs!$K$5:$AJ$160,0,MATCH(P$2,Inputs!$K$4:$AJ$4,0)))))</f>
        <v>93.705</v>
      </c>
      <c r="Q46" s="6">
        <f>IF(ISNA(MATCH(Q$2,Inputs!$K$4:$AJ$4,0)),NA(),IF(SUMPRODUCT((Inputs!$A$5:$A$160=$B46)*ISNUMBER(INDEX(Inputs!$K$5:$AJ$160,0,MATCH(Q$2,Inputs!$K$4:$AJ$4,0))))+SUMPRODUCT((Inputs!$C$5:$C$160=$B46)*ISNUMBER(INDEX(Inputs!$K$5:$AJ$160,0,MATCH(Q$2,Inputs!$K$4:$AJ$4,0))))+SUMPRODUCT((Inputs!$E$5:$E$160=$B46)*ISNUMBER(INDEX(Inputs!$K$5:$AJ$160,0,MATCH(Q$2,Inputs!$K$4:$AJ$4,0))))=0,NA(),SUMPRODUCT((Inputs!$A$5:$A$160=$B46)*Inputs!$B$5:$B$160*(((Inputs!$G$5:$G$160="moeda")+(Inputs!$G$5:$G$160="acoes"))*Inputs!$B$1+((Inputs!$G$5:$G$160&lt;&gt;"moeda")*(Inputs!$G$5:$G$160&lt;&gt;"acoes")))*INDEX(Inputs!$K$5:$AJ$160,0,MATCH(Q$2,Inputs!$K$4:$AJ$4,0)))+SUMPRODUCT((Inputs!$C$5:$C$160=$B46)*Inputs!$D$5:$D$160*(((Inputs!$G$5:$G$160="moeda")+(Inputs!$G$5:$G$160="acoes"))*Inputs!$B$1+((Inputs!$G$5:$G$160&lt;&gt;"moeda")*(Inputs!$G$5:$G$160&lt;&gt;"acoes")))*INDEX(Inputs!$K$5:$AJ$160,0,MATCH(Q$2,Inputs!$K$4:$AJ$4,0)))+SUMPRODUCT((Inputs!$E$5:$E$160=$B46)*Inputs!$F$5:$F$160*(((Inputs!$G$5:$G$160="moeda")+(Inputs!$G$5:$G$160="acoes"))*Inputs!$B$1+((Inputs!$G$5:$G$160&lt;&gt;"moeda")*(Inputs!$G$5:$G$160&lt;&gt;"acoes")))*INDEX(Inputs!$K$5:$AJ$160,0,MATCH(Q$2,Inputs!$K$4:$AJ$4,0)))))</f>
        <v>207.423</v>
      </c>
      <c r="R46" s="3">
        <f>Q46</f>
        <v>207.423</v>
      </c>
      <c r="S46" s="6">
        <f>IF(ISNA(MATCH(S$2,Inputs!$K$4:$AJ$4,0)),NA(),IF(SUMPRODUCT((Inputs!$A$5:$A$160=$B46)*ISNUMBER(INDEX(Inputs!$K$5:$AJ$160,0,MATCH(S$2,Inputs!$K$4:$AJ$4,0))))+SUMPRODUCT((Inputs!$C$5:$C$160=$B46)*ISNUMBER(INDEX(Inputs!$K$5:$AJ$160,0,MATCH(S$2,Inputs!$K$4:$AJ$4,0))))+SUMPRODUCT((Inputs!$E$5:$E$160=$B46)*ISNUMBER(INDEX(Inputs!$K$5:$AJ$160,0,MATCH(S$2,Inputs!$K$4:$AJ$4,0))))=0,NA(),SUMPRODUCT((Inputs!$A$5:$A$160=$B46)*Inputs!$B$5:$B$160*(((Inputs!$G$5:$G$160="moeda")+(Inputs!$G$5:$G$160="acoes"))*Inputs!$B$1+((Inputs!$G$5:$G$160&lt;&gt;"moeda")*(Inputs!$G$5:$G$160&lt;&gt;"acoes")))*INDEX(Inputs!$K$5:$AJ$160,0,MATCH(S$2,Inputs!$K$4:$AJ$4,0)))+SUMPRODUCT((Inputs!$C$5:$C$160=$B46)*Inputs!$D$5:$D$160*(((Inputs!$G$5:$G$160="moeda")+(Inputs!$G$5:$G$160="acoes"))*Inputs!$B$1+((Inputs!$G$5:$G$160&lt;&gt;"moeda")*(Inputs!$G$5:$G$160&lt;&gt;"acoes")))*INDEX(Inputs!$K$5:$AJ$160,0,MATCH(S$2,Inputs!$K$4:$AJ$4,0)))+SUMPRODUCT((Inputs!$E$5:$E$160=$B46)*Inputs!$F$5:$F$160*(((Inputs!$G$5:$G$160="moeda")+(Inputs!$G$5:$G$160="acoes"))*Inputs!$B$1+((Inputs!$G$5:$G$160&lt;&gt;"moeda")*(Inputs!$G$5:$G$160&lt;&gt;"acoes")))*INDEX(Inputs!$K$5:$AJ$160,0,MATCH(S$2,Inputs!$K$4:$AJ$4,0)))))</f>
        <v>0</v>
      </c>
      <c r="T46" s="6">
        <f>IF(ISNA(MATCH(T$2,Inputs!$K$4:$AJ$4,0)),NA(),IF(SUMPRODUCT((Inputs!$A$5:$A$160=$B46)*ISNUMBER(INDEX(Inputs!$K$5:$AJ$160,0,MATCH(T$2,Inputs!$K$4:$AJ$4,0))))+SUMPRODUCT((Inputs!$C$5:$C$160=$B46)*ISNUMBER(INDEX(Inputs!$K$5:$AJ$160,0,MATCH(T$2,Inputs!$K$4:$AJ$4,0))))+SUMPRODUCT((Inputs!$E$5:$E$160=$B46)*ISNUMBER(INDEX(Inputs!$K$5:$AJ$160,0,MATCH(T$2,Inputs!$K$4:$AJ$4,0))))=0,NA(),SUMPRODUCT((Inputs!$A$5:$A$160=$B46)*Inputs!$B$5:$B$160*(((Inputs!$G$5:$G$160="moeda")+(Inputs!$G$5:$G$160="acoes"))*Inputs!$B$1+((Inputs!$G$5:$G$160&lt;&gt;"moeda")*(Inputs!$G$5:$G$160&lt;&gt;"acoes")))*INDEX(Inputs!$K$5:$AJ$160,0,MATCH(T$2,Inputs!$K$4:$AJ$4,0)))+SUMPRODUCT((Inputs!$C$5:$C$160=$B46)*Inputs!$D$5:$D$160*(((Inputs!$G$5:$G$160="moeda")+(Inputs!$G$5:$G$160="acoes"))*Inputs!$B$1+((Inputs!$G$5:$G$160&lt;&gt;"moeda")*(Inputs!$G$5:$G$160&lt;&gt;"acoes")))*INDEX(Inputs!$K$5:$AJ$160,0,MATCH(T$2,Inputs!$K$4:$AJ$4,0)))+SUMPRODUCT((Inputs!$E$5:$E$160=$B46)*Inputs!$F$5:$F$160*(((Inputs!$G$5:$G$160="moeda")+(Inputs!$G$5:$G$160="acoes"))*Inputs!$B$1+((Inputs!$G$5:$G$160&lt;&gt;"moeda")*(Inputs!$G$5:$G$160&lt;&gt;"acoes")))*INDEX(Inputs!$K$5:$AJ$160,0,MATCH(T$2,Inputs!$K$4:$AJ$4,0)))))</f>
        <v>0</v>
      </c>
      <c r="U46" s="6">
        <f>IF(ISNA(MATCH(U$2,Inputs!$K$4:$AJ$4,0)),NA(),IF(SUMPRODUCT((Inputs!$A$5:$A$160=$B46)*ISNUMBER(INDEX(Inputs!$K$5:$AJ$160,0,MATCH(U$2,Inputs!$K$4:$AJ$4,0))))+SUMPRODUCT((Inputs!$C$5:$C$160=$B46)*ISNUMBER(INDEX(Inputs!$K$5:$AJ$160,0,MATCH(U$2,Inputs!$K$4:$AJ$4,0))))+SUMPRODUCT((Inputs!$E$5:$E$160=$B46)*ISNUMBER(INDEX(Inputs!$K$5:$AJ$160,0,MATCH(U$2,Inputs!$K$4:$AJ$4,0))))=0,NA(),SUMPRODUCT((Inputs!$A$5:$A$160=$B46)*Inputs!$B$5:$B$160*(((Inputs!$G$5:$G$160="moeda")+(Inputs!$G$5:$G$160="acoes"))*Inputs!$B$1+((Inputs!$G$5:$G$160&lt;&gt;"moeda")*(Inputs!$G$5:$G$160&lt;&gt;"acoes")))*INDEX(Inputs!$K$5:$AJ$160,0,MATCH(U$2,Inputs!$K$4:$AJ$4,0)))+SUMPRODUCT((Inputs!$C$5:$C$160=$B46)*Inputs!$D$5:$D$160*(((Inputs!$G$5:$G$160="moeda")+(Inputs!$G$5:$G$160="acoes"))*Inputs!$B$1+((Inputs!$G$5:$G$160&lt;&gt;"moeda")*(Inputs!$G$5:$G$160&lt;&gt;"acoes")))*INDEX(Inputs!$K$5:$AJ$160,0,MATCH(U$2,Inputs!$K$4:$AJ$4,0)))+SUMPRODUCT((Inputs!$E$5:$E$160=$B46)*Inputs!$F$5:$F$160*(((Inputs!$G$5:$G$160="moeda")+(Inputs!$G$5:$G$160="acoes"))*Inputs!$B$1+((Inputs!$G$5:$G$160&lt;&gt;"moeda")*(Inputs!$G$5:$G$160&lt;&gt;"acoes")))*INDEX(Inputs!$K$5:$AJ$160,0,MATCH(U$2,Inputs!$K$4:$AJ$4,0)))))</f>
        <v>-184.073</v>
      </c>
      <c r="V46" s="6">
        <f>IF(ISNA(MATCH(V$2,Inputs!$K$4:$AJ$4,0)),NA(),IF(SUMPRODUCT((Inputs!$A$5:$A$160=$B46)*ISNUMBER(INDEX(Inputs!$K$5:$AJ$160,0,MATCH(V$2,Inputs!$K$4:$AJ$4,0))))+SUMPRODUCT((Inputs!$C$5:$C$160=$B46)*ISNUMBER(INDEX(Inputs!$K$5:$AJ$160,0,MATCH(V$2,Inputs!$K$4:$AJ$4,0))))+SUMPRODUCT((Inputs!$E$5:$E$160=$B46)*ISNUMBER(INDEX(Inputs!$K$5:$AJ$160,0,MATCH(V$2,Inputs!$K$4:$AJ$4,0))))=0,NA(),SUMPRODUCT((Inputs!$A$5:$A$160=$B46)*Inputs!$B$5:$B$160*(((Inputs!$G$5:$G$160="moeda")+(Inputs!$G$5:$G$160="acoes"))*Inputs!$B$1+((Inputs!$G$5:$G$160&lt;&gt;"moeda")*(Inputs!$G$5:$G$160&lt;&gt;"acoes")))*INDEX(Inputs!$K$5:$AJ$160,0,MATCH(V$2,Inputs!$K$4:$AJ$4,0)))+SUMPRODUCT((Inputs!$C$5:$C$160=$B46)*Inputs!$D$5:$D$160*(((Inputs!$G$5:$G$160="moeda")+(Inputs!$G$5:$G$160="acoes"))*Inputs!$B$1+((Inputs!$G$5:$G$160&lt;&gt;"moeda")*(Inputs!$G$5:$G$160&lt;&gt;"acoes")))*INDEX(Inputs!$K$5:$AJ$160,0,MATCH(V$2,Inputs!$K$4:$AJ$4,0)))+SUMPRODUCT((Inputs!$E$5:$E$160=$B46)*Inputs!$F$5:$F$160*(((Inputs!$G$5:$G$160="moeda")+(Inputs!$G$5:$G$160="acoes"))*Inputs!$B$1+((Inputs!$G$5:$G$160&lt;&gt;"moeda")*(Inputs!$G$5:$G$160&lt;&gt;"acoes")))*INDEX(Inputs!$K$5:$AJ$160,0,MATCH(V$2,Inputs!$K$4:$AJ$4,0)))))</f>
        <v>-300.502</v>
      </c>
      <c r="W46" s="3">
        <f>V46</f>
        <v>-300.502</v>
      </c>
      <c r="X46" s="6">
        <f>IF(ISNA(MATCH(X$2,Inputs!$K$4:$AJ$4,0)),NA(),IF(SUMPRODUCT((Inputs!$A$5:$A$160=$B46)*ISNUMBER(INDEX(Inputs!$K$5:$AJ$160,0,MATCH(X$2,Inputs!$K$4:$AJ$4,0))))+SUMPRODUCT((Inputs!$C$5:$C$160=$B46)*ISNUMBER(INDEX(Inputs!$K$5:$AJ$160,0,MATCH(X$2,Inputs!$K$4:$AJ$4,0))))+SUMPRODUCT((Inputs!$E$5:$E$160=$B46)*ISNUMBER(INDEX(Inputs!$K$5:$AJ$160,0,MATCH(X$2,Inputs!$K$4:$AJ$4,0))))=0,NA(),SUMPRODUCT((Inputs!$A$5:$A$160=$B46)*Inputs!$B$5:$B$160*(((Inputs!$G$5:$G$160="moeda")+(Inputs!$G$5:$G$160="acoes"))*Inputs!$B$1+((Inputs!$G$5:$G$160&lt;&gt;"moeda")*(Inputs!$G$5:$G$160&lt;&gt;"acoes")))*INDEX(Inputs!$K$5:$AJ$160,0,MATCH(X$2,Inputs!$K$4:$AJ$4,0)))+SUMPRODUCT((Inputs!$C$5:$C$160=$B46)*Inputs!$D$5:$D$160*(((Inputs!$G$5:$G$160="moeda")+(Inputs!$G$5:$G$160="acoes"))*Inputs!$B$1+((Inputs!$G$5:$G$160&lt;&gt;"moeda")*(Inputs!$G$5:$G$160&lt;&gt;"acoes")))*INDEX(Inputs!$K$5:$AJ$160,0,MATCH(X$2,Inputs!$K$4:$AJ$4,0)))+SUMPRODUCT((Inputs!$E$5:$E$160=$B46)*Inputs!$F$5:$F$160*(((Inputs!$G$5:$G$160="moeda")+(Inputs!$G$5:$G$160="acoes"))*Inputs!$B$1+((Inputs!$G$5:$G$160&lt;&gt;"moeda")*(Inputs!$G$5:$G$160&lt;&gt;"acoes")))*INDEX(Inputs!$K$5:$AJ$160,0,MATCH(X$2,Inputs!$K$4:$AJ$4,0)))))</f>
        <v>0</v>
      </c>
      <c r="Y46" s="6">
        <f>IF(ISNA(MATCH(Y$2,Inputs!$K$4:$AJ$4,0)),NA(),IF(SUMPRODUCT((Inputs!$A$5:$A$160=$B46)*ISNUMBER(INDEX(Inputs!$K$5:$AJ$160,0,MATCH(Y$2,Inputs!$K$4:$AJ$4,0))))+SUMPRODUCT((Inputs!$C$5:$C$160=$B46)*ISNUMBER(INDEX(Inputs!$K$5:$AJ$160,0,MATCH(Y$2,Inputs!$K$4:$AJ$4,0))))+SUMPRODUCT((Inputs!$E$5:$E$160=$B46)*ISNUMBER(INDEX(Inputs!$K$5:$AJ$160,0,MATCH(Y$2,Inputs!$K$4:$AJ$4,0))))=0,NA(),SUMPRODUCT((Inputs!$A$5:$A$160=$B46)*Inputs!$B$5:$B$160*(((Inputs!$G$5:$G$160="moeda")+(Inputs!$G$5:$G$160="acoes"))*Inputs!$B$1+((Inputs!$G$5:$G$160&lt;&gt;"moeda")*(Inputs!$G$5:$G$160&lt;&gt;"acoes")))*INDEX(Inputs!$K$5:$AJ$160,0,MATCH(Y$2,Inputs!$K$4:$AJ$4,0)))+SUMPRODUCT((Inputs!$C$5:$C$160=$B46)*Inputs!$D$5:$D$160*(((Inputs!$G$5:$G$160="moeda")+(Inputs!$G$5:$G$160="acoes"))*Inputs!$B$1+((Inputs!$G$5:$G$160&lt;&gt;"moeda")*(Inputs!$G$5:$G$160&lt;&gt;"acoes")))*INDEX(Inputs!$K$5:$AJ$160,0,MATCH(Y$2,Inputs!$K$4:$AJ$4,0)))+SUMPRODUCT((Inputs!$E$5:$E$160=$B46)*Inputs!$F$5:$F$160*(((Inputs!$G$5:$G$160="moeda")+(Inputs!$G$5:$G$160="acoes"))*Inputs!$B$1+((Inputs!$G$5:$G$160&lt;&gt;"moeda")*(Inputs!$G$5:$G$160&lt;&gt;"acoes")))*INDEX(Inputs!$K$5:$AJ$160,0,MATCH(Y$2,Inputs!$K$4:$AJ$4,0)))))</f>
        <v>0</v>
      </c>
      <c r="Z46" s="6">
        <f>IF(ISNA(MATCH(Z$2,Inputs!$K$4:$AJ$4,0)),NA(),IF(SUMPRODUCT((Inputs!$A$5:$A$160=$B46)*ISNUMBER(INDEX(Inputs!$K$5:$AJ$160,0,MATCH(Z$2,Inputs!$K$4:$AJ$4,0))))+SUMPRODUCT((Inputs!$C$5:$C$160=$B46)*ISNUMBER(INDEX(Inputs!$K$5:$AJ$160,0,MATCH(Z$2,Inputs!$K$4:$AJ$4,0))))+SUMPRODUCT((Inputs!$E$5:$E$160=$B46)*ISNUMBER(INDEX(Inputs!$K$5:$AJ$160,0,MATCH(Z$2,Inputs!$K$4:$AJ$4,0))))=0,NA(),SUMPRODUCT((Inputs!$A$5:$A$160=$B46)*Inputs!$B$5:$B$160*(((Inputs!$G$5:$G$160="moeda")+(Inputs!$G$5:$G$160="acoes"))*Inputs!$B$1+((Inputs!$G$5:$G$160&lt;&gt;"moeda")*(Inputs!$G$5:$G$160&lt;&gt;"acoes")))*INDEX(Inputs!$K$5:$AJ$160,0,MATCH(Z$2,Inputs!$K$4:$AJ$4,0)))+SUMPRODUCT((Inputs!$C$5:$C$160=$B46)*Inputs!$D$5:$D$160*(((Inputs!$G$5:$G$160="moeda")+(Inputs!$G$5:$G$160="acoes"))*Inputs!$B$1+((Inputs!$G$5:$G$160&lt;&gt;"moeda")*(Inputs!$G$5:$G$160&lt;&gt;"acoes")))*INDEX(Inputs!$K$5:$AJ$160,0,MATCH(Z$2,Inputs!$K$4:$AJ$4,0)))+SUMPRODUCT((Inputs!$E$5:$E$160=$B46)*Inputs!$F$5:$F$160*(((Inputs!$G$5:$G$160="moeda")+(Inputs!$G$5:$G$160="acoes"))*Inputs!$B$1+((Inputs!$G$5:$G$160&lt;&gt;"moeda")*(Inputs!$G$5:$G$160&lt;&gt;"acoes")))*INDEX(Inputs!$K$5:$AJ$160,0,MATCH(Z$2,Inputs!$K$4:$AJ$4,0)))))</f>
        <v>-169.009</v>
      </c>
      <c r="AA46" s="6">
        <f>IF(ISNA(MATCH(AA$2,Inputs!$K$4:$AJ$4,0)),NA(),IF(SUMPRODUCT((Inputs!$A$5:$A$160=$B46)*ISNUMBER(INDEX(Inputs!$K$5:$AJ$160,0,MATCH(AA$2,Inputs!$K$4:$AJ$4,0))))+SUMPRODUCT((Inputs!$C$5:$C$160=$B46)*ISNUMBER(INDEX(Inputs!$K$5:$AJ$160,0,MATCH(AA$2,Inputs!$K$4:$AJ$4,0))))+SUMPRODUCT((Inputs!$E$5:$E$160=$B46)*ISNUMBER(INDEX(Inputs!$K$5:$AJ$160,0,MATCH(AA$2,Inputs!$K$4:$AJ$4,0))))=0,NA(),SUMPRODUCT((Inputs!$A$5:$A$160=$B46)*Inputs!$B$5:$B$160*(((Inputs!$G$5:$G$160="moeda")+(Inputs!$G$5:$G$160="acoes"))*Inputs!$B$1+((Inputs!$G$5:$G$160&lt;&gt;"moeda")*(Inputs!$G$5:$G$160&lt;&gt;"acoes")))*INDEX(Inputs!$K$5:$AJ$160,0,MATCH(AA$2,Inputs!$K$4:$AJ$4,0)))+SUMPRODUCT((Inputs!$C$5:$C$160=$B46)*Inputs!$D$5:$D$160*(((Inputs!$G$5:$G$160="moeda")+(Inputs!$G$5:$G$160="acoes"))*Inputs!$B$1+((Inputs!$G$5:$G$160&lt;&gt;"moeda")*(Inputs!$G$5:$G$160&lt;&gt;"acoes")))*INDEX(Inputs!$K$5:$AJ$160,0,MATCH(AA$2,Inputs!$K$4:$AJ$4,0)))+SUMPRODUCT((Inputs!$E$5:$E$160=$B46)*Inputs!$F$5:$F$160*(((Inputs!$G$5:$G$160="moeda")+(Inputs!$G$5:$G$160="acoes"))*Inputs!$B$1+((Inputs!$G$5:$G$160&lt;&gt;"moeda")*(Inputs!$G$5:$G$160&lt;&gt;"acoes")))*INDEX(Inputs!$K$5:$AJ$160,0,MATCH(AA$2,Inputs!$K$4:$AJ$4,0)))))</f>
        <v>0</v>
      </c>
      <c r="AB46" s="3">
        <f>AA46</f>
        <v>0</v>
      </c>
      <c r="AC46" s="6">
        <f>IF(ISNA(MATCH(AC$2,Inputs!$K$4:$AJ$4,0)),NA(),IF(SUMPRODUCT((Inputs!$A$5:$A$160=$B46)*ISNUMBER(INDEX(Inputs!$K$5:$AJ$160,0,MATCH(AC$2,Inputs!$K$4:$AJ$4,0))))+SUMPRODUCT((Inputs!$C$5:$C$160=$B46)*ISNUMBER(INDEX(Inputs!$K$5:$AJ$160,0,MATCH(AC$2,Inputs!$K$4:$AJ$4,0))))+SUMPRODUCT((Inputs!$E$5:$E$160=$B46)*ISNUMBER(INDEX(Inputs!$K$5:$AJ$160,0,MATCH(AC$2,Inputs!$K$4:$AJ$4,0))))=0,NA(),SUMPRODUCT((Inputs!$A$5:$A$160=$B46)*Inputs!$B$5:$B$160*(((Inputs!$G$5:$G$160="moeda")+(Inputs!$G$5:$G$160="acoes"))*Inputs!$B$1+((Inputs!$G$5:$G$160&lt;&gt;"moeda")*(Inputs!$G$5:$G$160&lt;&gt;"acoes")))*INDEX(Inputs!$K$5:$AJ$160,0,MATCH(AC$2,Inputs!$K$4:$AJ$4,0)))+SUMPRODUCT((Inputs!$C$5:$C$160=$B46)*Inputs!$D$5:$D$160*(((Inputs!$G$5:$G$160="moeda")+(Inputs!$G$5:$G$160="acoes"))*Inputs!$B$1+((Inputs!$G$5:$G$160&lt;&gt;"moeda")*(Inputs!$G$5:$G$160&lt;&gt;"acoes")))*INDEX(Inputs!$K$5:$AJ$160,0,MATCH(AC$2,Inputs!$K$4:$AJ$4,0)))+SUMPRODUCT((Inputs!$E$5:$E$160=$B46)*Inputs!$F$5:$F$160*(((Inputs!$G$5:$G$160="moeda")+(Inputs!$G$5:$G$160="acoes"))*Inputs!$B$1+((Inputs!$G$5:$G$160&lt;&gt;"moeda")*(Inputs!$G$5:$G$160&lt;&gt;"acoes")))*INDEX(Inputs!$K$5:$AJ$160,0,MATCH(AC$2,Inputs!$K$4:$AJ$4,0)))))</f>
        <v>0</v>
      </c>
      <c r="AD46" s="6">
        <f>IF(ISNA(MATCH(AD$2,Inputs!$K$4:$AJ$4,0)),NA(),IF(SUMPRODUCT((Inputs!$A$5:$A$160=$B46)*ISNUMBER(INDEX(Inputs!$K$5:$AJ$160,0,MATCH(AD$2,Inputs!$K$4:$AJ$4,0))))+SUMPRODUCT((Inputs!$C$5:$C$160=$B46)*ISNUMBER(INDEX(Inputs!$K$5:$AJ$160,0,MATCH(AD$2,Inputs!$K$4:$AJ$4,0))))+SUMPRODUCT((Inputs!$E$5:$E$160=$B46)*ISNUMBER(INDEX(Inputs!$K$5:$AJ$160,0,MATCH(AD$2,Inputs!$K$4:$AJ$4,0))))=0,NA(),SUMPRODUCT((Inputs!$A$5:$A$160=$B46)*Inputs!$B$5:$B$160*(((Inputs!$G$5:$G$160="moeda")+(Inputs!$G$5:$G$160="acoes"))*Inputs!$B$1+((Inputs!$G$5:$G$160&lt;&gt;"moeda")*(Inputs!$G$5:$G$160&lt;&gt;"acoes")))*INDEX(Inputs!$K$5:$AJ$160,0,MATCH(AD$2,Inputs!$K$4:$AJ$4,0)))+SUMPRODUCT((Inputs!$C$5:$C$160=$B46)*Inputs!$D$5:$D$160*(((Inputs!$G$5:$G$160="moeda")+(Inputs!$G$5:$G$160="acoes"))*Inputs!$B$1+((Inputs!$G$5:$G$160&lt;&gt;"moeda")*(Inputs!$G$5:$G$160&lt;&gt;"acoes")))*INDEX(Inputs!$K$5:$AJ$160,0,MATCH(AD$2,Inputs!$K$4:$AJ$4,0)))+SUMPRODUCT((Inputs!$E$5:$E$160=$B46)*Inputs!$F$5:$F$160*(((Inputs!$G$5:$G$160="moeda")+(Inputs!$G$5:$G$160="acoes"))*Inputs!$B$1+((Inputs!$G$5:$G$160&lt;&gt;"moeda")*(Inputs!$G$5:$G$160&lt;&gt;"acoes")))*INDEX(Inputs!$K$5:$AJ$160,0,MATCH(AD$2,Inputs!$K$4:$AJ$4,0)))))</f>
        <v>0</v>
      </c>
      <c r="AE46" s="6" t="e">
        <f>IF(ISNA(MATCH(AE$2,Inputs!$K$4:$AJ$4,0)),NA(),IF(SUMPRODUCT((Inputs!$A$5:$A$160=$B46)*ISNUMBER(INDEX(Inputs!$K$5:$AJ$160,0,MATCH(AE$2,Inputs!$K$4:$AJ$4,0))))+SUMPRODUCT((Inputs!$C$5:$C$160=$B46)*ISNUMBER(INDEX(Inputs!$K$5:$AJ$160,0,MATCH(AE$2,Inputs!$K$4:$AJ$4,0))))+SUMPRODUCT((Inputs!$E$5:$E$160=$B46)*ISNUMBER(INDEX(Inputs!$K$5:$AJ$160,0,MATCH(AE$2,Inputs!$K$4:$AJ$4,0))))=0,NA(),SUMPRODUCT((Inputs!$A$5:$A$160=$B46)*Inputs!$B$5:$B$160*(((Inputs!$G$5:$G$160="moeda")+(Inputs!$G$5:$G$160="acoes"))*Inputs!$B$1+((Inputs!$G$5:$G$160&lt;&gt;"moeda")*(Inputs!$G$5:$G$160&lt;&gt;"acoes")))*INDEX(Inputs!$K$5:$AJ$160,0,MATCH(AE$2,Inputs!$K$4:$AJ$4,0)))+SUMPRODUCT((Inputs!$C$5:$C$160=$B46)*Inputs!$D$5:$D$160*(((Inputs!$G$5:$G$160="moeda")+(Inputs!$G$5:$G$160="acoes"))*Inputs!$B$1+((Inputs!$G$5:$G$160&lt;&gt;"moeda")*(Inputs!$G$5:$G$160&lt;&gt;"acoes")))*INDEX(Inputs!$K$5:$AJ$160,0,MATCH(AE$2,Inputs!$K$4:$AJ$4,0)))+SUMPRODUCT((Inputs!$E$5:$E$160=$B46)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6" s="6" t="e">
        <f>IF(ISNA(MATCH(AF$2,Inputs!$K$4:$AJ$4,0)),NA(),IF(SUMPRODUCT((Inputs!$A$5:$A$160=$B46)*ISNUMBER(INDEX(Inputs!$K$5:$AJ$160,0,MATCH(AF$2,Inputs!$K$4:$AJ$4,0))))+SUMPRODUCT((Inputs!$C$5:$C$160=$B46)*ISNUMBER(INDEX(Inputs!$K$5:$AJ$160,0,MATCH(AF$2,Inputs!$K$4:$AJ$4,0))))+SUMPRODUCT((Inputs!$E$5:$E$160=$B46)*ISNUMBER(INDEX(Inputs!$K$5:$AJ$160,0,MATCH(AF$2,Inputs!$K$4:$AJ$4,0))))=0,NA(),SUMPRODUCT((Inputs!$A$5:$A$160=$B46)*Inputs!$B$5:$B$160*(((Inputs!$G$5:$G$160="moeda")+(Inputs!$G$5:$G$160="acoes"))*Inputs!$B$1+((Inputs!$G$5:$G$160&lt;&gt;"moeda")*(Inputs!$G$5:$G$160&lt;&gt;"acoes")))*INDEX(Inputs!$K$5:$AJ$160,0,MATCH(AF$2,Inputs!$K$4:$AJ$4,0)))+SUMPRODUCT((Inputs!$C$5:$C$160=$B46)*Inputs!$D$5:$D$160*(((Inputs!$G$5:$G$160="moeda")+(Inputs!$G$5:$G$160="acoes"))*Inputs!$B$1+((Inputs!$G$5:$G$160&lt;&gt;"moeda")*(Inputs!$G$5:$G$160&lt;&gt;"acoes")))*INDEX(Inputs!$K$5:$AJ$160,0,MATCH(AF$2,Inputs!$K$4:$AJ$4,0)))+SUMPRODUCT((Inputs!$E$5:$E$160=$B46)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6" s="3" t="e">
        <f>AF46</f>
        <v>#N/A</v>
      </c>
      <c r="AH46" s="6">
        <f>IF(ISNA(MATCH(AH$2,Inputs!$K$4:$AJ$4,0)),NA(),IF(SUMPRODUCT((Inputs!$A$5:$A$160=$B46)*ISNUMBER(INDEX(Inputs!$K$5:$AJ$160,0,MATCH(AH$2,Inputs!$K$4:$AJ$4,0))))+SUMPRODUCT((Inputs!$C$5:$C$160=$B46)*ISNUMBER(INDEX(Inputs!$K$5:$AJ$160,0,MATCH(AH$2,Inputs!$K$4:$AJ$4,0))))+SUMPRODUCT((Inputs!$E$5:$E$160=$B46)*ISNUMBER(INDEX(Inputs!$K$5:$AJ$160,0,MATCH(AH$2,Inputs!$K$4:$AJ$4,0))))=0,NA(),SUMPRODUCT((Inputs!$A$5:$A$160=$B46)*Inputs!$B$5:$B$160*(((Inputs!$G$5:$G$160="moeda")+(Inputs!$G$5:$G$160="acoes"))*Inputs!$B$1+((Inputs!$G$5:$G$160&lt;&gt;"moeda")*(Inputs!$G$5:$G$160&lt;&gt;"acoes")))*INDEX(Inputs!$K$5:$AJ$160,0,MATCH(AH$2,Inputs!$K$4:$AJ$4,0)))+SUMPRODUCT((Inputs!$C$5:$C$160=$B46)*Inputs!$D$5:$D$160*(((Inputs!$G$5:$G$160="moeda")+(Inputs!$G$5:$G$160="acoes"))*Inputs!$B$1+((Inputs!$G$5:$G$160&lt;&gt;"moeda")*(Inputs!$G$5:$G$160&lt;&gt;"acoes")))*INDEX(Inputs!$K$5:$AJ$160,0,MATCH(AH$2,Inputs!$K$4:$AJ$4,0)))+SUMPRODUCT((Inputs!$E$5:$E$160=$B46)*Inputs!$F$5:$F$160*(((Inputs!$G$5:$G$160="moeda")+(Inputs!$G$5:$G$160="acoes"))*Inputs!$B$1+((Inputs!$G$5:$G$160&lt;&gt;"moeda")*(Inputs!$G$5:$G$160&lt;&gt;"acoes")))*INDEX(Inputs!$K$5:$AJ$160,0,MATCH(AH$2,Inputs!$K$4:$AJ$4,0)))))</f>
        <v>102.87647304</v>
      </c>
      <c r="AI46" s="6">
        <f>IF(ISNA(MATCH(AI$2,Inputs!$K$4:$AJ$4,0)),NA(),IF(SUMPRODUCT((Inputs!$A$5:$A$160=$B46)*ISNUMBER(INDEX(Inputs!$K$5:$AJ$160,0,MATCH(AI$2,Inputs!$K$4:$AJ$4,0))))+SUMPRODUCT((Inputs!$C$5:$C$160=$B46)*ISNUMBER(INDEX(Inputs!$K$5:$AJ$160,0,MATCH(AI$2,Inputs!$K$4:$AJ$4,0))))+SUMPRODUCT((Inputs!$E$5:$E$160=$B46)*ISNUMBER(INDEX(Inputs!$K$5:$AJ$160,0,MATCH(AI$2,Inputs!$K$4:$AJ$4,0))))=0,NA(),SUMPRODUCT((Inputs!$A$5:$A$160=$B46)*Inputs!$B$5:$B$160*(((Inputs!$G$5:$G$160="moeda")+(Inputs!$G$5:$G$160="acoes"))*Inputs!$B$1+((Inputs!$G$5:$G$160&lt;&gt;"moeda")*(Inputs!$G$5:$G$160&lt;&gt;"acoes")))*INDEX(Inputs!$K$5:$AJ$160,0,MATCH(AI$2,Inputs!$K$4:$AJ$4,0)))+SUMPRODUCT((Inputs!$C$5:$C$160=$B46)*Inputs!$D$5:$D$160*(((Inputs!$G$5:$G$160="moeda")+(Inputs!$G$5:$G$160="acoes"))*Inputs!$B$1+((Inputs!$G$5:$G$160&lt;&gt;"moeda")*(Inputs!$G$5:$G$160&lt;&gt;"acoes")))*INDEX(Inputs!$K$5:$AJ$160,0,MATCH(AI$2,Inputs!$K$4:$AJ$4,0)))+SUMPRODUCT((Inputs!$E$5:$E$160=$B46)*Inputs!$F$5:$F$160*(((Inputs!$G$5:$G$160="moeda")+(Inputs!$G$5:$G$160="acoes"))*Inputs!$B$1+((Inputs!$G$5:$G$160&lt;&gt;"moeda")*(Inputs!$G$5:$G$160&lt;&gt;"acoes")))*INDEX(Inputs!$K$5:$AJ$160,0,MATCH(AI$2,Inputs!$K$4:$AJ$4,0)))))</f>
        <v>102.87647304</v>
      </c>
      <c r="AJ46" s="6">
        <f>IF(ISNA(MATCH(AJ$2,Inputs!$K$4:$AJ$4,0)),NA(),IF(SUMPRODUCT((Inputs!$A$5:$A$160=$B46)*ISNUMBER(INDEX(Inputs!$K$5:$AJ$160,0,MATCH(AJ$2,Inputs!$K$4:$AJ$4,0))))+SUMPRODUCT((Inputs!$C$5:$C$160=$B46)*ISNUMBER(INDEX(Inputs!$K$5:$AJ$160,0,MATCH(AJ$2,Inputs!$K$4:$AJ$4,0))))+SUMPRODUCT((Inputs!$E$5:$E$160=$B46)*ISNUMBER(INDEX(Inputs!$K$5:$AJ$160,0,MATCH(AJ$2,Inputs!$K$4:$AJ$4,0))))=0,NA(),SUMPRODUCT((Inputs!$A$5:$A$160=$B46)*Inputs!$B$5:$B$160*(((Inputs!$G$5:$G$160="moeda")+(Inputs!$G$5:$G$160="acoes"))*Inputs!$B$1+((Inputs!$G$5:$G$160&lt;&gt;"moeda")*(Inputs!$G$5:$G$160&lt;&gt;"acoes")))*INDEX(Inputs!$K$5:$AJ$160,0,MATCH(AJ$2,Inputs!$K$4:$AJ$4,0)))+SUMPRODUCT((Inputs!$C$5:$C$160=$B46)*Inputs!$D$5:$D$160*(((Inputs!$G$5:$G$160="moeda")+(Inputs!$G$5:$G$160="acoes"))*Inputs!$B$1+((Inputs!$G$5:$G$160&lt;&gt;"moeda")*(Inputs!$G$5:$G$160&lt;&gt;"acoes")))*INDEX(Inputs!$K$5:$AJ$160,0,MATCH(AJ$2,Inputs!$K$4:$AJ$4,0)))+SUMPRODUCT((Inputs!$E$5:$E$160=$B46)*Inputs!$F$5:$F$160*(((Inputs!$G$5:$G$160="moeda")+(Inputs!$G$5:$G$160="acoes"))*Inputs!$B$1+((Inputs!$G$5:$G$160&lt;&gt;"moeda")*(Inputs!$G$5:$G$160&lt;&gt;"acoes")))*INDEX(Inputs!$K$5:$AJ$160,0,MATCH(AJ$2,Inputs!$K$4:$AJ$4,0)))))</f>
        <v>102.87647304</v>
      </c>
      <c r="AK46" s="6">
        <f>IF(ISNA(MATCH(AK$2,Inputs!$K$4:$AJ$4,0)),NA(),IF(SUMPRODUCT((Inputs!$A$5:$A$160=$B46)*ISNUMBER(INDEX(Inputs!$K$5:$AJ$160,0,MATCH(AK$2,Inputs!$K$4:$AJ$4,0))))+SUMPRODUCT((Inputs!$C$5:$C$160=$B46)*ISNUMBER(INDEX(Inputs!$K$5:$AJ$160,0,MATCH(AK$2,Inputs!$K$4:$AJ$4,0))))+SUMPRODUCT((Inputs!$E$5:$E$160=$B46)*ISNUMBER(INDEX(Inputs!$K$5:$AJ$160,0,MATCH(AK$2,Inputs!$K$4:$AJ$4,0))))=0,NA(),SUMPRODUCT((Inputs!$A$5:$A$160=$B46)*Inputs!$B$5:$B$160*(((Inputs!$G$5:$G$160="moeda")+(Inputs!$G$5:$G$160="acoes"))*Inputs!$B$1+((Inputs!$G$5:$G$160&lt;&gt;"moeda")*(Inputs!$G$5:$G$160&lt;&gt;"acoes")))*INDEX(Inputs!$K$5:$AJ$160,0,MATCH(AK$2,Inputs!$K$4:$AJ$4,0)))+SUMPRODUCT((Inputs!$C$5:$C$160=$B46)*Inputs!$D$5:$D$160*(((Inputs!$G$5:$G$160="moeda")+(Inputs!$G$5:$G$160="acoes"))*Inputs!$B$1+((Inputs!$G$5:$G$160&lt;&gt;"moeda")*(Inputs!$G$5:$G$160&lt;&gt;"acoes")))*INDEX(Inputs!$K$5:$AJ$160,0,MATCH(AK$2,Inputs!$K$4:$AJ$4,0)))+SUMPRODUCT((Inputs!$E$5:$E$160=$B46)*Inputs!$F$5:$F$160*(((Inputs!$G$5:$G$160="moeda")+(Inputs!$G$5:$G$160="acoes"))*Inputs!$B$1+((Inputs!$G$5:$G$160&lt;&gt;"moeda")*(Inputs!$G$5:$G$160&lt;&gt;"acoes")))*INDEX(Inputs!$K$5:$AJ$160,0,MATCH(AK$2,Inputs!$K$4:$AJ$4,0)))))</f>
        <v>115.72452726</v>
      </c>
      <c r="AL46" s="3">
        <f>AK46</f>
        <v>115.72452726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$160=$B47)*ISNUMBER(INDEX(Inputs!$K$5:$AJ$160,0,MATCH(D$2,Inputs!$K$4:$AJ$4,0))))+SUMPRODUCT((Inputs!$C$5:$C$160=$B47)*ISNUMBER(INDEX(Inputs!$K$5:$AJ$160,0,MATCH(D$2,Inputs!$K$4:$AJ$4,0))))+SUMPRODUCT((Inputs!$E$5:$E$160=$B47)*ISNUMBER(INDEX(Inputs!$K$5:$AJ$160,0,MATCH(D$2,Inputs!$K$4:$AJ$4,0))))=0,NA(),SUMPRODUCT((Inputs!$A$5:$A$160=$B47)*Inputs!$B$5:$B$160*(((Inputs!$G$5:$G$160="moeda")+(Inputs!$G$5:$G$160="acoes"))*Inputs!$B$1+((Inputs!$G$5:$G$160&lt;&gt;"moeda")*(Inputs!$G$5:$G$160&lt;&gt;"acoes")))*INDEX(Inputs!$K$5:$AJ$160,0,MATCH(D$2,Inputs!$K$4:$AJ$4,0)))+SUMPRODUCT((Inputs!$C$5:$C$160=$B47)*Inputs!$D$5:$D$160*(((Inputs!$G$5:$G$160="moeda")+(Inputs!$G$5:$G$160="acoes"))*Inputs!$B$1+((Inputs!$G$5:$G$160&lt;&gt;"moeda")*(Inputs!$G$5:$G$160&lt;&gt;"acoes")))*INDEX(Inputs!$K$5:$AJ$160,0,MATCH(D$2,Inputs!$K$4:$AJ$4,0)))+SUMPRODUCT((Inputs!$E$5:$E$160=$B47)*Inputs!$F$5:$F$160*(((Inputs!$G$5:$G$160="moeda")+(Inputs!$G$5:$G$160="acoes"))*Inputs!$B$1+((Inputs!$G$5:$G$160&lt;&gt;"moeda")*(Inputs!$G$5:$G$160&lt;&gt;"acoes")))*INDEX(Inputs!$K$5:$AJ$160,0,MATCH(D$2,Inputs!$K$4:$AJ$4,0)))))</f>
        <v>121.28632605</v>
      </c>
      <c r="E47" s="6">
        <f>IF(ISNA(MATCH(E$2,Inputs!$K$4:$AJ$4,0)),NA(),IF(SUMPRODUCT((Inputs!$A$5:$A$160=$B47)*ISNUMBER(INDEX(Inputs!$K$5:$AJ$160,0,MATCH(E$2,Inputs!$K$4:$AJ$4,0))))+SUMPRODUCT((Inputs!$C$5:$C$160=$B47)*ISNUMBER(INDEX(Inputs!$K$5:$AJ$160,0,MATCH(E$2,Inputs!$K$4:$AJ$4,0))))+SUMPRODUCT((Inputs!$E$5:$E$160=$B47)*ISNUMBER(INDEX(Inputs!$K$5:$AJ$160,0,MATCH(E$2,Inputs!$K$4:$AJ$4,0))))=0,NA(),SUMPRODUCT((Inputs!$A$5:$A$160=$B47)*Inputs!$B$5:$B$160*(((Inputs!$G$5:$G$160="moeda")+(Inputs!$G$5:$G$160="acoes"))*Inputs!$B$1+((Inputs!$G$5:$G$160&lt;&gt;"moeda")*(Inputs!$G$5:$G$160&lt;&gt;"acoes")))*INDEX(Inputs!$K$5:$AJ$160,0,MATCH(E$2,Inputs!$K$4:$AJ$4,0)))+SUMPRODUCT((Inputs!$C$5:$C$160=$B47)*Inputs!$D$5:$D$160*(((Inputs!$G$5:$G$160="moeda")+(Inputs!$G$5:$G$160="acoes"))*Inputs!$B$1+((Inputs!$G$5:$G$160&lt;&gt;"moeda")*(Inputs!$G$5:$G$160&lt;&gt;"acoes")))*INDEX(Inputs!$K$5:$AJ$160,0,MATCH(E$2,Inputs!$K$4:$AJ$4,0)))+SUMPRODUCT((Inputs!$E$5:$E$160=$B47)*Inputs!$F$5:$F$160*(((Inputs!$G$5:$G$160="moeda")+(Inputs!$G$5:$G$160="acoes"))*Inputs!$B$1+((Inputs!$G$5:$G$160&lt;&gt;"moeda")*(Inputs!$G$5:$G$160&lt;&gt;"acoes")))*INDEX(Inputs!$K$5:$AJ$160,0,MATCH(E$2,Inputs!$K$4:$AJ$4,0)))))</f>
        <v>186.82095282</v>
      </c>
      <c r="F47" s="6">
        <f>IF(ISNA(MATCH(F$2,Inputs!$K$4:$AJ$4,0)),NA(),IF(SUMPRODUCT((Inputs!$A$5:$A$160=$B47)*ISNUMBER(INDEX(Inputs!$K$5:$AJ$160,0,MATCH(F$2,Inputs!$K$4:$AJ$4,0))))+SUMPRODUCT((Inputs!$C$5:$C$160=$B47)*ISNUMBER(INDEX(Inputs!$K$5:$AJ$160,0,MATCH(F$2,Inputs!$K$4:$AJ$4,0))))+SUMPRODUCT((Inputs!$E$5:$E$160=$B47)*ISNUMBER(INDEX(Inputs!$K$5:$AJ$160,0,MATCH(F$2,Inputs!$K$4:$AJ$4,0))))=0,NA(),SUMPRODUCT((Inputs!$A$5:$A$160=$B47)*Inputs!$B$5:$B$160*(((Inputs!$G$5:$G$160="moeda")+(Inputs!$G$5:$G$160="acoes"))*Inputs!$B$1+((Inputs!$G$5:$G$160&lt;&gt;"moeda")*(Inputs!$G$5:$G$160&lt;&gt;"acoes")))*INDEX(Inputs!$K$5:$AJ$160,0,MATCH(F$2,Inputs!$K$4:$AJ$4,0)))+SUMPRODUCT((Inputs!$C$5:$C$160=$B47)*Inputs!$D$5:$D$160*(((Inputs!$G$5:$G$160="moeda")+(Inputs!$G$5:$G$160="acoes"))*Inputs!$B$1+((Inputs!$G$5:$G$160&lt;&gt;"moeda")*(Inputs!$G$5:$G$160&lt;&gt;"acoes")))*INDEX(Inputs!$K$5:$AJ$160,0,MATCH(F$2,Inputs!$K$4:$AJ$4,0)))+SUMPRODUCT((Inputs!$E$5:$E$160=$B47)*Inputs!$F$5:$F$160*(((Inputs!$G$5:$G$160="moeda")+(Inputs!$G$5:$G$160="acoes"))*Inputs!$B$1+((Inputs!$G$5:$G$160&lt;&gt;"moeda")*(Inputs!$G$5:$G$160&lt;&gt;"acoes")))*INDEX(Inputs!$K$5:$AJ$160,0,MATCH(F$2,Inputs!$K$4:$AJ$4,0)))))</f>
        <v>239.43139772</v>
      </c>
      <c r="G47" s="6">
        <f>IF(ISNA(MATCH(G$2,Inputs!$K$4:$AJ$4,0)),NA(),IF(SUMPRODUCT((Inputs!$A$5:$A$160=$B47)*ISNUMBER(INDEX(Inputs!$K$5:$AJ$160,0,MATCH(G$2,Inputs!$K$4:$AJ$4,0))))+SUMPRODUCT((Inputs!$C$5:$C$160=$B47)*ISNUMBER(INDEX(Inputs!$K$5:$AJ$160,0,MATCH(G$2,Inputs!$K$4:$AJ$4,0))))+SUMPRODUCT((Inputs!$E$5:$E$160=$B47)*ISNUMBER(INDEX(Inputs!$K$5:$AJ$160,0,MATCH(G$2,Inputs!$K$4:$AJ$4,0))))=0,NA(),SUMPRODUCT((Inputs!$A$5:$A$160=$B47)*Inputs!$B$5:$B$160*(((Inputs!$G$5:$G$160="moeda")+(Inputs!$G$5:$G$160="acoes"))*Inputs!$B$1+((Inputs!$G$5:$G$160&lt;&gt;"moeda")*(Inputs!$G$5:$G$160&lt;&gt;"acoes")))*INDEX(Inputs!$K$5:$AJ$160,0,MATCH(G$2,Inputs!$K$4:$AJ$4,0)))+SUMPRODUCT((Inputs!$C$5:$C$160=$B47)*Inputs!$D$5:$D$160*(((Inputs!$G$5:$G$160="moeda")+(Inputs!$G$5:$G$160="acoes"))*Inputs!$B$1+((Inputs!$G$5:$G$160&lt;&gt;"moeda")*(Inputs!$G$5:$G$160&lt;&gt;"acoes")))*INDEX(Inputs!$K$5:$AJ$160,0,MATCH(G$2,Inputs!$K$4:$AJ$4,0)))+SUMPRODUCT((Inputs!$E$5:$E$160=$B47)*Inputs!$F$5:$F$160*(((Inputs!$G$5:$G$160="moeda")+(Inputs!$G$5:$G$160="acoes"))*Inputs!$B$1+((Inputs!$G$5:$G$160&lt;&gt;"moeda")*(Inputs!$G$5:$G$160&lt;&gt;"acoes")))*INDEX(Inputs!$K$5:$AJ$160,0,MATCH(G$2,Inputs!$K$4:$AJ$4,0)))))</f>
        <v>251.99589812</v>
      </c>
      <c r="H47" s="3">
        <f>G47</f>
        <v>251.99589812</v>
      </c>
      <c r="I47" s="6">
        <f>IF(ISNA(MATCH(I$2,Inputs!$K$4:$AJ$4,0)),NA(),IF(SUMPRODUCT((Inputs!$A$5:$A$160=$B47)*ISNUMBER(INDEX(Inputs!$K$5:$AJ$160,0,MATCH(I$2,Inputs!$K$4:$AJ$4,0))))+SUMPRODUCT((Inputs!$C$5:$C$160=$B47)*ISNUMBER(INDEX(Inputs!$K$5:$AJ$160,0,MATCH(I$2,Inputs!$K$4:$AJ$4,0))))+SUMPRODUCT((Inputs!$E$5:$E$160=$B47)*ISNUMBER(INDEX(Inputs!$K$5:$AJ$160,0,MATCH(I$2,Inputs!$K$4:$AJ$4,0))))=0,NA(),SUMPRODUCT((Inputs!$A$5:$A$160=$B47)*Inputs!$B$5:$B$160*(((Inputs!$G$5:$G$160="moeda")+(Inputs!$G$5:$G$160="acoes"))*Inputs!$B$1+((Inputs!$G$5:$G$160&lt;&gt;"moeda")*(Inputs!$G$5:$G$160&lt;&gt;"acoes")))*INDEX(Inputs!$K$5:$AJ$160,0,MATCH(I$2,Inputs!$K$4:$AJ$4,0)))+SUMPRODUCT((Inputs!$C$5:$C$160=$B47)*Inputs!$D$5:$D$160*(((Inputs!$G$5:$G$160="moeda")+(Inputs!$G$5:$G$160="acoes"))*Inputs!$B$1+((Inputs!$G$5:$G$160&lt;&gt;"moeda")*(Inputs!$G$5:$G$160&lt;&gt;"acoes")))*INDEX(Inputs!$K$5:$AJ$160,0,MATCH(I$2,Inputs!$K$4:$AJ$4,0)))+SUMPRODUCT((Inputs!$E$5:$E$160=$B47)*Inputs!$F$5:$F$160*(((Inputs!$G$5:$G$160="moeda")+(Inputs!$G$5:$G$160="acoes"))*Inputs!$B$1+((Inputs!$G$5:$G$160&lt;&gt;"moeda")*(Inputs!$G$5:$G$160&lt;&gt;"acoes")))*INDEX(Inputs!$K$5:$AJ$160,0,MATCH(I$2,Inputs!$K$4:$AJ$4,0)))))</f>
        <v>135.27750577</v>
      </c>
      <c r="J47" s="6">
        <f>IF(ISNA(MATCH(J$2,Inputs!$K$4:$AJ$4,0)),NA(),IF(SUMPRODUCT((Inputs!$A$5:$A$160=$B47)*ISNUMBER(INDEX(Inputs!$K$5:$AJ$160,0,MATCH(J$2,Inputs!$K$4:$AJ$4,0))))+SUMPRODUCT((Inputs!$C$5:$C$160=$B47)*ISNUMBER(INDEX(Inputs!$K$5:$AJ$160,0,MATCH(J$2,Inputs!$K$4:$AJ$4,0))))+SUMPRODUCT((Inputs!$E$5:$E$160=$B47)*ISNUMBER(INDEX(Inputs!$K$5:$AJ$160,0,MATCH(J$2,Inputs!$K$4:$AJ$4,0))))=0,NA(),SUMPRODUCT((Inputs!$A$5:$A$160=$B47)*Inputs!$B$5:$B$160*(((Inputs!$G$5:$G$160="moeda")+(Inputs!$G$5:$G$160="acoes"))*Inputs!$B$1+((Inputs!$G$5:$G$160&lt;&gt;"moeda")*(Inputs!$G$5:$G$160&lt;&gt;"acoes")))*INDEX(Inputs!$K$5:$AJ$160,0,MATCH(J$2,Inputs!$K$4:$AJ$4,0)))+SUMPRODUCT((Inputs!$C$5:$C$160=$B47)*Inputs!$D$5:$D$160*(((Inputs!$G$5:$G$160="moeda")+(Inputs!$G$5:$G$160="acoes"))*Inputs!$B$1+((Inputs!$G$5:$G$160&lt;&gt;"moeda")*(Inputs!$G$5:$G$160&lt;&gt;"acoes")))*INDEX(Inputs!$K$5:$AJ$160,0,MATCH(J$2,Inputs!$K$4:$AJ$4,0)))+SUMPRODUCT((Inputs!$E$5:$E$160=$B47)*Inputs!$F$5:$F$160*(((Inputs!$G$5:$G$160="moeda")+(Inputs!$G$5:$G$160="acoes"))*Inputs!$B$1+((Inputs!$G$5:$G$160&lt;&gt;"moeda")*(Inputs!$G$5:$G$160&lt;&gt;"acoes")))*INDEX(Inputs!$K$5:$AJ$160,0,MATCH(J$2,Inputs!$K$4:$AJ$4,0)))))</f>
        <v>213.0565861</v>
      </c>
      <c r="K47" s="6">
        <f>IF(ISNA(MATCH(K$2,Inputs!$K$4:$AJ$4,0)),NA(),IF(SUMPRODUCT((Inputs!$A$5:$A$160=$B47)*ISNUMBER(INDEX(Inputs!$K$5:$AJ$160,0,MATCH(K$2,Inputs!$K$4:$AJ$4,0))))+SUMPRODUCT((Inputs!$C$5:$C$160=$B47)*ISNUMBER(INDEX(Inputs!$K$5:$AJ$160,0,MATCH(K$2,Inputs!$K$4:$AJ$4,0))))+SUMPRODUCT((Inputs!$E$5:$E$160=$B47)*ISNUMBER(INDEX(Inputs!$K$5:$AJ$160,0,MATCH(K$2,Inputs!$K$4:$AJ$4,0))))=0,NA(),SUMPRODUCT((Inputs!$A$5:$A$160=$B47)*Inputs!$B$5:$B$160*(((Inputs!$G$5:$G$160="moeda")+(Inputs!$G$5:$G$160="acoes"))*Inputs!$B$1+((Inputs!$G$5:$G$160&lt;&gt;"moeda")*(Inputs!$G$5:$G$160&lt;&gt;"acoes")))*INDEX(Inputs!$K$5:$AJ$160,0,MATCH(K$2,Inputs!$K$4:$AJ$4,0)))+SUMPRODUCT((Inputs!$C$5:$C$160=$B47)*Inputs!$D$5:$D$160*(((Inputs!$G$5:$G$160="moeda")+(Inputs!$G$5:$G$160="acoes"))*Inputs!$B$1+((Inputs!$G$5:$G$160&lt;&gt;"moeda")*(Inputs!$G$5:$G$160&lt;&gt;"acoes")))*INDEX(Inputs!$K$5:$AJ$160,0,MATCH(K$2,Inputs!$K$4:$AJ$4,0)))+SUMPRODUCT((Inputs!$E$5:$E$160=$B47)*Inputs!$F$5:$F$160*(((Inputs!$G$5:$G$160="moeda")+(Inputs!$G$5:$G$160="acoes"))*Inputs!$B$1+((Inputs!$G$5:$G$160&lt;&gt;"moeda")*(Inputs!$G$5:$G$160&lt;&gt;"acoes")))*INDEX(Inputs!$K$5:$AJ$160,0,MATCH(K$2,Inputs!$K$4:$AJ$4,0)))))</f>
        <v>301.79249417</v>
      </c>
      <c r="L47" s="6">
        <f>IF(ISNA(MATCH(L$2,Inputs!$K$4:$AJ$4,0)),NA(),IF(SUMPRODUCT((Inputs!$A$5:$A$160=$B47)*ISNUMBER(INDEX(Inputs!$K$5:$AJ$160,0,MATCH(L$2,Inputs!$K$4:$AJ$4,0))))+SUMPRODUCT((Inputs!$C$5:$C$160=$B47)*ISNUMBER(INDEX(Inputs!$K$5:$AJ$160,0,MATCH(L$2,Inputs!$K$4:$AJ$4,0))))+SUMPRODUCT((Inputs!$E$5:$E$160=$B47)*ISNUMBER(INDEX(Inputs!$K$5:$AJ$160,0,MATCH(L$2,Inputs!$K$4:$AJ$4,0))))=0,NA(),SUMPRODUCT((Inputs!$A$5:$A$160=$B47)*Inputs!$B$5:$B$160*(((Inputs!$G$5:$G$160="moeda")+(Inputs!$G$5:$G$160="acoes"))*Inputs!$B$1+((Inputs!$G$5:$G$160&lt;&gt;"moeda")*(Inputs!$G$5:$G$160&lt;&gt;"acoes")))*INDEX(Inputs!$K$5:$AJ$160,0,MATCH(L$2,Inputs!$K$4:$AJ$4,0)))+SUMPRODUCT((Inputs!$C$5:$C$160=$B47)*Inputs!$D$5:$D$160*(((Inputs!$G$5:$G$160="moeda")+(Inputs!$G$5:$G$160="acoes"))*Inputs!$B$1+((Inputs!$G$5:$G$160&lt;&gt;"moeda")*(Inputs!$G$5:$G$160&lt;&gt;"acoes")))*INDEX(Inputs!$K$5:$AJ$160,0,MATCH(L$2,Inputs!$K$4:$AJ$4,0)))+SUMPRODUCT((Inputs!$E$5:$E$160=$B47)*Inputs!$F$5:$F$160*(((Inputs!$G$5:$G$160="moeda")+(Inputs!$G$5:$G$160="acoes"))*Inputs!$B$1+((Inputs!$G$5:$G$160&lt;&gt;"moeda")*(Inputs!$G$5:$G$160&lt;&gt;"acoes")))*INDEX(Inputs!$K$5:$AJ$160,0,MATCH(L$2,Inputs!$K$4:$AJ$4,0)))))</f>
        <v>187.291</v>
      </c>
      <c r="M47" s="3">
        <f>L47</f>
        <v>187.291</v>
      </c>
      <c r="N47" s="6">
        <f>IF(ISNA(MATCH(N$2,Inputs!$K$4:$AJ$4,0)),NA(),IF(SUMPRODUCT((Inputs!$A$5:$A$160=$B47)*ISNUMBER(INDEX(Inputs!$K$5:$AJ$160,0,MATCH(N$2,Inputs!$K$4:$AJ$4,0))))+SUMPRODUCT((Inputs!$C$5:$C$160=$B47)*ISNUMBER(INDEX(Inputs!$K$5:$AJ$160,0,MATCH(N$2,Inputs!$K$4:$AJ$4,0))))+SUMPRODUCT((Inputs!$E$5:$E$160=$B47)*ISNUMBER(INDEX(Inputs!$K$5:$AJ$160,0,MATCH(N$2,Inputs!$K$4:$AJ$4,0))))=0,NA(),SUMPRODUCT((Inputs!$A$5:$A$160=$B47)*Inputs!$B$5:$B$160*(((Inputs!$G$5:$G$160="moeda")+(Inputs!$G$5:$G$160="acoes"))*Inputs!$B$1+((Inputs!$G$5:$G$160&lt;&gt;"moeda")*(Inputs!$G$5:$G$160&lt;&gt;"acoes")))*INDEX(Inputs!$K$5:$AJ$160,0,MATCH(N$2,Inputs!$K$4:$AJ$4,0)))+SUMPRODUCT((Inputs!$C$5:$C$160=$B47)*Inputs!$D$5:$D$160*(((Inputs!$G$5:$G$160="moeda")+(Inputs!$G$5:$G$160="acoes"))*Inputs!$B$1+((Inputs!$G$5:$G$160&lt;&gt;"moeda")*(Inputs!$G$5:$G$160&lt;&gt;"acoes")))*INDEX(Inputs!$K$5:$AJ$160,0,MATCH(N$2,Inputs!$K$4:$AJ$4,0)))+SUMPRODUCT((Inputs!$E$5:$E$160=$B47)*Inputs!$F$5:$F$160*(((Inputs!$G$5:$G$160="moeda")+(Inputs!$G$5:$G$160="acoes"))*Inputs!$B$1+((Inputs!$G$5:$G$160&lt;&gt;"moeda")*(Inputs!$G$5:$G$160&lt;&gt;"acoes")))*INDEX(Inputs!$K$5:$AJ$160,0,MATCH(N$2,Inputs!$K$4:$AJ$4,0)))))</f>
        <v>118.68901586</v>
      </c>
      <c r="O47" s="6">
        <f>IF(ISNA(MATCH(O$2,Inputs!$K$4:$AJ$4,0)),NA(),IF(SUMPRODUCT((Inputs!$A$5:$A$160=$B47)*ISNUMBER(INDEX(Inputs!$K$5:$AJ$160,0,MATCH(O$2,Inputs!$K$4:$AJ$4,0))))+SUMPRODUCT((Inputs!$C$5:$C$160=$B47)*ISNUMBER(INDEX(Inputs!$K$5:$AJ$160,0,MATCH(O$2,Inputs!$K$4:$AJ$4,0))))+SUMPRODUCT((Inputs!$E$5:$E$160=$B47)*ISNUMBER(INDEX(Inputs!$K$5:$AJ$160,0,MATCH(O$2,Inputs!$K$4:$AJ$4,0))))=0,NA(),SUMPRODUCT((Inputs!$A$5:$A$160=$B47)*Inputs!$B$5:$B$160*(((Inputs!$G$5:$G$160="moeda")+(Inputs!$G$5:$G$160="acoes"))*Inputs!$B$1+((Inputs!$G$5:$G$160&lt;&gt;"moeda")*(Inputs!$G$5:$G$160&lt;&gt;"acoes")))*INDEX(Inputs!$K$5:$AJ$160,0,MATCH(O$2,Inputs!$K$4:$AJ$4,0)))+SUMPRODUCT((Inputs!$C$5:$C$160=$B47)*Inputs!$D$5:$D$160*(((Inputs!$G$5:$G$160="moeda")+(Inputs!$G$5:$G$160="acoes"))*Inputs!$B$1+((Inputs!$G$5:$G$160&lt;&gt;"moeda")*(Inputs!$G$5:$G$160&lt;&gt;"acoes")))*INDEX(Inputs!$K$5:$AJ$160,0,MATCH(O$2,Inputs!$K$4:$AJ$4,0)))+SUMPRODUCT((Inputs!$E$5:$E$160=$B47)*Inputs!$F$5:$F$160*(((Inputs!$G$5:$G$160="moeda")+(Inputs!$G$5:$G$160="acoes"))*Inputs!$B$1+((Inputs!$G$5:$G$160&lt;&gt;"moeda")*(Inputs!$G$5:$G$160&lt;&gt;"acoes")))*INDEX(Inputs!$K$5:$AJ$160,0,MATCH(O$2,Inputs!$K$4:$AJ$4,0)))))</f>
        <v>193.118</v>
      </c>
      <c r="P47" s="6">
        <f>IF(ISNA(MATCH(P$2,Inputs!$K$4:$AJ$4,0)),NA(),IF(SUMPRODUCT((Inputs!$A$5:$A$160=$B47)*ISNUMBER(INDEX(Inputs!$K$5:$AJ$160,0,MATCH(P$2,Inputs!$K$4:$AJ$4,0))))+SUMPRODUCT((Inputs!$C$5:$C$160=$B47)*ISNUMBER(INDEX(Inputs!$K$5:$AJ$160,0,MATCH(P$2,Inputs!$K$4:$AJ$4,0))))+SUMPRODUCT((Inputs!$E$5:$E$160=$B47)*ISNUMBER(INDEX(Inputs!$K$5:$AJ$160,0,MATCH(P$2,Inputs!$K$4:$AJ$4,0))))=0,NA(),SUMPRODUCT((Inputs!$A$5:$A$160=$B47)*Inputs!$B$5:$B$160*(((Inputs!$G$5:$G$160="moeda")+(Inputs!$G$5:$G$160="acoes"))*Inputs!$B$1+((Inputs!$G$5:$G$160&lt;&gt;"moeda")*(Inputs!$G$5:$G$160&lt;&gt;"acoes")))*INDEX(Inputs!$K$5:$AJ$160,0,MATCH(P$2,Inputs!$K$4:$AJ$4,0)))+SUMPRODUCT((Inputs!$C$5:$C$160=$B47)*Inputs!$D$5:$D$160*(((Inputs!$G$5:$G$160="moeda")+(Inputs!$G$5:$G$160="acoes"))*Inputs!$B$1+((Inputs!$G$5:$G$160&lt;&gt;"moeda")*(Inputs!$G$5:$G$160&lt;&gt;"acoes")))*INDEX(Inputs!$K$5:$AJ$160,0,MATCH(P$2,Inputs!$K$4:$AJ$4,0)))+SUMPRODUCT((Inputs!$E$5:$E$160=$B47)*Inputs!$F$5:$F$160*(((Inputs!$G$5:$G$160="moeda")+(Inputs!$G$5:$G$160="acoes"))*Inputs!$B$1+((Inputs!$G$5:$G$160&lt;&gt;"moeda")*(Inputs!$G$5:$G$160&lt;&gt;"acoes")))*INDEX(Inputs!$K$5:$AJ$160,0,MATCH(P$2,Inputs!$K$4:$AJ$4,0)))))</f>
        <v>367.316</v>
      </c>
      <c r="Q47" s="6">
        <f>IF(ISNA(MATCH(Q$2,Inputs!$K$4:$AJ$4,0)),NA(),IF(SUMPRODUCT((Inputs!$A$5:$A$160=$B47)*ISNUMBER(INDEX(Inputs!$K$5:$AJ$160,0,MATCH(Q$2,Inputs!$K$4:$AJ$4,0))))+SUMPRODUCT((Inputs!$C$5:$C$160=$B47)*ISNUMBER(INDEX(Inputs!$K$5:$AJ$160,0,MATCH(Q$2,Inputs!$K$4:$AJ$4,0))))+SUMPRODUCT((Inputs!$E$5:$E$160=$B47)*ISNUMBER(INDEX(Inputs!$K$5:$AJ$160,0,MATCH(Q$2,Inputs!$K$4:$AJ$4,0))))=0,NA(),SUMPRODUCT((Inputs!$A$5:$A$160=$B47)*Inputs!$B$5:$B$160*(((Inputs!$G$5:$G$160="moeda")+(Inputs!$G$5:$G$160="acoes"))*Inputs!$B$1+((Inputs!$G$5:$G$160&lt;&gt;"moeda")*(Inputs!$G$5:$G$160&lt;&gt;"acoes")))*INDEX(Inputs!$K$5:$AJ$160,0,MATCH(Q$2,Inputs!$K$4:$AJ$4,0)))+SUMPRODUCT((Inputs!$C$5:$C$160=$B47)*Inputs!$D$5:$D$160*(((Inputs!$G$5:$G$160="moeda")+(Inputs!$G$5:$G$160="acoes"))*Inputs!$B$1+((Inputs!$G$5:$G$160&lt;&gt;"moeda")*(Inputs!$G$5:$G$160&lt;&gt;"acoes")))*INDEX(Inputs!$K$5:$AJ$160,0,MATCH(Q$2,Inputs!$K$4:$AJ$4,0)))+SUMPRODUCT((Inputs!$E$5:$E$160=$B47)*Inputs!$F$5:$F$160*(((Inputs!$G$5:$G$160="moeda")+(Inputs!$G$5:$G$160="acoes"))*Inputs!$B$1+((Inputs!$G$5:$G$160&lt;&gt;"moeda")*(Inputs!$G$5:$G$160&lt;&gt;"acoes")))*INDEX(Inputs!$K$5:$AJ$160,0,MATCH(Q$2,Inputs!$K$4:$AJ$4,0)))))</f>
        <v>190.126</v>
      </c>
      <c r="R47" s="3">
        <f>Q47</f>
        <v>190.126</v>
      </c>
      <c r="S47" s="6">
        <f>IF(ISNA(MATCH(S$2,Inputs!$K$4:$AJ$4,0)),NA(),IF(SUMPRODUCT((Inputs!$A$5:$A$160=$B47)*ISNUMBER(INDEX(Inputs!$K$5:$AJ$160,0,MATCH(S$2,Inputs!$K$4:$AJ$4,0))))+SUMPRODUCT((Inputs!$C$5:$C$160=$B47)*ISNUMBER(INDEX(Inputs!$K$5:$AJ$160,0,MATCH(S$2,Inputs!$K$4:$AJ$4,0))))+SUMPRODUCT((Inputs!$E$5:$E$160=$B47)*ISNUMBER(INDEX(Inputs!$K$5:$AJ$160,0,MATCH(S$2,Inputs!$K$4:$AJ$4,0))))=0,NA(),SUMPRODUCT((Inputs!$A$5:$A$160=$B47)*Inputs!$B$5:$B$160*(((Inputs!$G$5:$G$160="moeda")+(Inputs!$G$5:$G$160="acoes"))*Inputs!$B$1+((Inputs!$G$5:$G$160&lt;&gt;"moeda")*(Inputs!$G$5:$G$160&lt;&gt;"acoes")))*INDEX(Inputs!$K$5:$AJ$160,0,MATCH(S$2,Inputs!$K$4:$AJ$4,0)))+SUMPRODUCT((Inputs!$C$5:$C$160=$B47)*Inputs!$D$5:$D$160*(((Inputs!$G$5:$G$160="moeda")+(Inputs!$G$5:$G$160="acoes"))*Inputs!$B$1+((Inputs!$G$5:$G$160&lt;&gt;"moeda")*(Inputs!$G$5:$G$160&lt;&gt;"acoes")))*INDEX(Inputs!$K$5:$AJ$160,0,MATCH(S$2,Inputs!$K$4:$AJ$4,0)))+SUMPRODUCT((Inputs!$E$5:$E$160=$B47)*Inputs!$F$5:$F$160*(((Inputs!$G$5:$G$160="moeda")+(Inputs!$G$5:$G$160="acoes"))*Inputs!$B$1+((Inputs!$G$5:$G$160&lt;&gt;"moeda")*(Inputs!$G$5:$G$160&lt;&gt;"acoes")))*INDEX(Inputs!$K$5:$AJ$160,0,MATCH(S$2,Inputs!$K$4:$AJ$4,0)))))</f>
        <v>484.972</v>
      </c>
      <c r="T47" s="6">
        <f>IF(ISNA(MATCH(T$2,Inputs!$K$4:$AJ$4,0)),NA(),IF(SUMPRODUCT((Inputs!$A$5:$A$160=$B47)*ISNUMBER(INDEX(Inputs!$K$5:$AJ$160,0,MATCH(T$2,Inputs!$K$4:$AJ$4,0))))+SUMPRODUCT((Inputs!$C$5:$C$160=$B47)*ISNUMBER(INDEX(Inputs!$K$5:$AJ$160,0,MATCH(T$2,Inputs!$K$4:$AJ$4,0))))+SUMPRODUCT((Inputs!$E$5:$E$160=$B47)*ISNUMBER(INDEX(Inputs!$K$5:$AJ$160,0,MATCH(T$2,Inputs!$K$4:$AJ$4,0))))=0,NA(),SUMPRODUCT((Inputs!$A$5:$A$160=$B47)*Inputs!$B$5:$B$160*(((Inputs!$G$5:$G$160="moeda")+(Inputs!$G$5:$G$160="acoes"))*Inputs!$B$1+((Inputs!$G$5:$G$160&lt;&gt;"moeda")*(Inputs!$G$5:$G$160&lt;&gt;"acoes")))*INDEX(Inputs!$K$5:$AJ$160,0,MATCH(T$2,Inputs!$K$4:$AJ$4,0)))+SUMPRODUCT((Inputs!$C$5:$C$160=$B47)*Inputs!$D$5:$D$160*(((Inputs!$G$5:$G$160="moeda")+(Inputs!$G$5:$G$160="acoes"))*Inputs!$B$1+((Inputs!$G$5:$G$160&lt;&gt;"moeda")*(Inputs!$G$5:$G$160&lt;&gt;"acoes")))*INDEX(Inputs!$K$5:$AJ$160,0,MATCH(T$2,Inputs!$K$4:$AJ$4,0)))+SUMPRODUCT((Inputs!$E$5:$E$160=$B47)*Inputs!$F$5:$F$160*(((Inputs!$G$5:$G$160="moeda")+(Inputs!$G$5:$G$160="acoes"))*Inputs!$B$1+((Inputs!$G$5:$G$160&lt;&gt;"moeda")*(Inputs!$G$5:$G$160&lt;&gt;"acoes")))*INDEX(Inputs!$K$5:$AJ$160,0,MATCH(T$2,Inputs!$K$4:$AJ$4,0)))))</f>
        <v>658.558</v>
      </c>
      <c r="U47" s="6">
        <f>IF(ISNA(MATCH(U$2,Inputs!$K$4:$AJ$4,0)),NA(),IF(SUMPRODUCT((Inputs!$A$5:$A$160=$B47)*ISNUMBER(INDEX(Inputs!$K$5:$AJ$160,0,MATCH(U$2,Inputs!$K$4:$AJ$4,0))))+SUMPRODUCT((Inputs!$C$5:$C$160=$B47)*ISNUMBER(INDEX(Inputs!$K$5:$AJ$160,0,MATCH(U$2,Inputs!$K$4:$AJ$4,0))))+SUMPRODUCT((Inputs!$E$5:$E$160=$B47)*ISNUMBER(INDEX(Inputs!$K$5:$AJ$160,0,MATCH(U$2,Inputs!$K$4:$AJ$4,0))))=0,NA(),SUMPRODUCT((Inputs!$A$5:$A$160=$B47)*Inputs!$B$5:$B$160*(((Inputs!$G$5:$G$160="moeda")+(Inputs!$G$5:$G$160="acoes"))*Inputs!$B$1+((Inputs!$G$5:$G$160&lt;&gt;"moeda")*(Inputs!$G$5:$G$160&lt;&gt;"acoes")))*INDEX(Inputs!$K$5:$AJ$160,0,MATCH(U$2,Inputs!$K$4:$AJ$4,0)))+SUMPRODUCT((Inputs!$C$5:$C$160=$B47)*Inputs!$D$5:$D$160*(((Inputs!$G$5:$G$160="moeda")+(Inputs!$G$5:$G$160="acoes"))*Inputs!$B$1+((Inputs!$G$5:$G$160&lt;&gt;"moeda")*(Inputs!$G$5:$G$160&lt;&gt;"acoes")))*INDEX(Inputs!$K$5:$AJ$160,0,MATCH(U$2,Inputs!$K$4:$AJ$4,0)))+SUMPRODUCT((Inputs!$E$5:$E$160=$B47)*Inputs!$F$5:$F$160*(((Inputs!$G$5:$G$160="moeda")+(Inputs!$G$5:$G$160="acoes"))*Inputs!$B$1+((Inputs!$G$5:$G$160&lt;&gt;"moeda")*(Inputs!$G$5:$G$160&lt;&gt;"acoes")))*INDEX(Inputs!$K$5:$AJ$160,0,MATCH(U$2,Inputs!$K$4:$AJ$4,0)))))</f>
        <v>849.263</v>
      </c>
      <c r="V47" s="6">
        <f>IF(ISNA(MATCH(V$2,Inputs!$K$4:$AJ$4,0)),NA(),IF(SUMPRODUCT((Inputs!$A$5:$A$160=$B47)*ISNUMBER(INDEX(Inputs!$K$5:$AJ$160,0,MATCH(V$2,Inputs!$K$4:$AJ$4,0))))+SUMPRODUCT((Inputs!$C$5:$C$160=$B47)*ISNUMBER(INDEX(Inputs!$K$5:$AJ$160,0,MATCH(V$2,Inputs!$K$4:$AJ$4,0))))+SUMPRODUCT((Inputs!$E$5:$E$160=$B47)*ISNUMBER(INDEX(Inputs!$K$5:$AJ$160,0,MATCH(V$2,Inputs!$K$4:$AJ$4,0))))=0,NA(),SUMPRODUCT((Inputs!$A$5:$A$160=$B47)*Inputs!$B$5:$B$160*(((Inputs!$G$5:$G$160="moeda")+(Inputs!$G$5:$G$160="acoes"))*Inputs!$B$1+((Inputs!$G$5:$G$160&lt;&gt;"moeda")*(Inputs!$G$5:$G$160&lt;&gt;"acoes")))*INDEX(Inputs!$K$5:$AJ$160,0,MATCH(V$2,Inputs!$K$4:$AJ$4,0)))+SUMPRODUCT((Inputs!$C$5:$C$160=$B47)*Inputs!$D$5:$D$160*(((Inputs!$G$5:$G$160="moeda")+(Inputs!$G$5:$G$160="acoes"))*Inputs!$B$1+((Inputs!$G$5:$G$160&lt;&gt;"moeda")*(Inputs!$G$5:$G$160&lt;&gt;"acoes")))*INDEX(Inputs!$K$5:$AJ$160,0,MATCH(V$2,Inputs!$K$4:$AJ$4,0)))+SUMPRODUCT((Inputs!$E$5:$E$160=$B47)*Inputs!$F$5:$F$160*(((Inputs!$G$5:$G$160="moeda")+(Inputs!$G$5:$G$160="acoes"))*Inputs!$B$1+((Inputs!$G$5:$G$160&lt;&gt;"moeda")*(Inputs!$G$5:$G$160&lt;&gt;"acoes")))*INDEX(Inputs!$K$5:$AJ$160,0,MATCH(V$2,Inputs!$K$4:$AJ$4,0)))))</f>
        <v>933.186</v>
      </c>
      <c r="W47" s="3">
        <f>V47</f>
        <v>933.186</v>
      </c>
      <c r="X47" s="6">
        <f>IF(ISNA(MATCH(X$2,Inputs!$K$4:$AJ$4,0)),NA(),IF(SUMPRODUCT((Inputs!$A$5:$A$160=$B47)*ISNUMBER(INDEX(Inputs!$K$5:$AJ$160,0,MATCH(X$2,Inputs!$K$4:$AJ$4,0))))+SUMPRODUCT((Inputs!$C$5:$C$160=$B47)*ISNUMBER(INDEX(Inputs!$K$5:$AJ$160,0,MATCH(X$2,Inputs!$K$4:$AJ$4,0))))+SUMPRODUCT((Inputs!$E$5:$E$160=$B47)*ISNUMBER(INDEX(Inputs!$K$5:$AJ$160,0,MATCH(X$2,Inputs!$K$4:$AJ$4,0))))=0,NA(),SUMPRODUCT((Inputs!$A$5:$A$160=$B47)*Inputs!$B$5:$B$160*(((Inputs!$G$5:$G$160="moeda")+(Inputs!$G$5:$G$160="acoes"))*Inputs!$B$1+((Inputs!$G$5:$G$160&lt;&gt;"moeda")*(Inputs!$G$5:$G$160&lt;&gt;"acoes")))*INDEX(Inputs!$K$5:$AJ$160,0,MATCH(X$2,Inputs!$K$4:$AJ$4,0)))+SUMPRODUCT((Inputs!$C$5:$C$160=$B47)*Inputs!$D$5:$D$160*(((Inputs!$G$5:$G$160="moeda")+(Inputs!$G$5:$G$160="acoes"))*Inputs!$B$1+((Inputs!$G$5:$G$160&lt;&gt;"moeda")*(Inputs!$G$5:$G$160&lt;&gt;"acoes")))*INDEX(Inputs!$K$5:$AJ$160,0,MATCH(X$2,Inputs!$K$4:$AJ$4,0)))+SUMPRODUCT((Inputs!$E$5:$E$160=$B47)*Inputs!$F$5:$F$160*(((Inputs!$G$5:$G$160="moeda")+(Inputs!$G$5:$G$160="acoes"))*Inputs!$B$1+((Inputs!$G$5:$G$160&lt;&gt;"moeda")*(Inputs!$G$5:$G$160&lt;&gt;"acoes")))*INDEX(Inputs!$K$5:$AJ$160,0,MATCH(X$2,Inputs!$K$4:$AJ$4,0)))))</f>
        <v>557.914</v>
      </c>
      <c r="Y47" s="6">
        <f>IF(ISNA(MATCH(Y$2,Inputs!$K$4:$AJ$4,0)),NA(),IF(SUMPRODUCT((Inputs!$A$5:$A$160=$B47)*ISNUMBER(INDEX(Inputs!$K$5:$AJ$160,0,MATCH(Y$2,Inputs!$K$4:$AJ$4,0))))+SUMPRODUCT((Inputs!$C$5:$C$160=$B47)*ISNUMBER(INDEX(Inputs!$K$5:$AJ$160,0,MATCH(Y$2,Inputs!$K$4:$AJ$4,0))))+SUMPRODUCT((Inputs!$E$5:$E$160=$B47)*ISNUMBER(INDEX(Inputs!$K$5:$AJ$160,0,MATCH(Y$2,Inputs!$K$4:$AJ$4,0))))=0,NA(),SUMPRODUCT((Inputs!$A$5:$A$160=$B47)*Inputs!$B$5:$B$160*(((Inputs!$G$5:$G$160="moeda")+(Inputs!$G$5:$G$160="acoes"))*Inputs!$B$1+((Inputs!$G$5:$G$160&lt;&gt;"moeda")*(Inputs!$G$5:$G$160&lt;&gt;"acoes")))*INDEX(Inputs!$K$5:$AJ$160,0,MATCH(Y$2,Inputs!$K$4:$AJ$4,0)))+SUMPRODUCT((Inputs!$C$5:$C$160=$B47)*Inputs!$D$5:$D$160*(((Inputs!$G$5:$G$160="moeda")+(Inputs!$G$5:$G$160="acoes"))*Inputs!$B$1+((Inputs!$G$5:$G$160&lt;&gt;"moeda")*(Inputs!$G$5:$G$160&lt;&gt;"acoes")))*INDEX(Inputs!$K$5:$AJ$160,0,MATCH(Y$2,Inputs!$K$4:$AJ$4,0)))+SUMPRODUCT((Inputs!$E$5:$E$160=$B47)*Inputs!$F$5:$F$160*(((Inputs!$G$5:$G$160="moeda")+(Inputs!$G$5:$G$160="acoes"))*Inputs!$B$1+((Inputs!$G$5:$G$160&lt;&gt;"moeda")*(Inputs!$G$5:$G$160&lt;&gt;"acoes")))*INDEX(Inputs!$K$5:$AJ$160,0,MATCH(Y$2,Inputs!$K$4:$AJ$4,0)))))</f>
        <v>710.213</v>
      </c>
      <c r="Z47" s="6">
        <f>IF(ISNA(MATCH(Z$2,Inputs!$K$4:$AJ$4,0)),NA(),IF(SUMPRODUCT((Inputs!$A$5:$A$160=$B47)*ISNUMBER(INDEX(Inputs!$K$5:$AJ$160,0,MATCH(Z$2,Inputs!$K$4:$AJ$4,0))))+SUMPRODUCT((Inputs!$C$5:$C$160=$B47)*ISNUMBER(INDEX(Inputs!$K$5:$AJ$160,0,MATCH(Z$2,Inputs!$K$4:$AJ$4,0))))+SUMPRODUCT((Inputs!$E$5:$E$160=$B47)*ISNUMBER(INDEX(Inputs!$K$5:$AJ$160,0,MATCH(Z$2,Inputs!$K$4:$AJ$4,0))))=0,NA(),SUMPRODUCT((Inputs!$A$5:$A$160=$B47)*Inputs!$B$5:$B$160*(((Inputs!$G$5:$G$160="moeda")+(Inputs!$G$5:$G$160="acoes"))*Inputs!$B$1+((Inputs!$G$5:$G$160&lt;&gt;"moeda")*(Inputs!$G$5:$G$160&lt;&gt;"acoes")))*INDEX(Inputs!$K$5:$AJ$160,0,MATCH(Z$2,Inputs!$K$4:$AJ$4,0)))+SUMPRODUCT((Inputs!$C$5:$C$160=$B47)*Inputs!$D$5:$D$160*(((Inputs!$G$5:$G$160="moeda")+(Inputs!$G$5:$G$160="acoes"))*Inputs!$B$1+((Inputs!$G$5:$G$160&lt;&gt;"moeda")*(Inputs!$G$5:$G$160&lt;&gt;"acoes")))*INDEX(Inputs!$K$5:$AJ$160,0,MATCH(Z$2,Inputs!$K$4:$AJ$4,0)))+SUMPRODUCT((Inputs!$E$5:$E$160=$B47)*Inputs!$F$5:$F$160*(((Inputs!$G$5:$G$160="moeda")+(Inputs!$G$5:$G$160="acoes"))*Inputs!$B$1+((Inputs!$G$5:$G$160&lt;&gt;"moeda")*(Inputs!$G$5:$G$160&lt;&gt;"acoes")))*INDEX(Inputs!$K$5:$AJ$160,0,MATCH(Z$2,Inputs!$K$4:$AJ$4,0)))))</f>
        <v>895.13</v>
      </c>
      <c r="AA47" s="6">
        <f>IF(ISNA(MATCH(AA$2,Inputs!$K$4:$AJ$4,0)),NA(),IF(SUMPRODUCT((Inputs!$A$5:$A$160=$B47)*ISNUMBER(INDEX(Inputs!$K$5:$AJ$160,0,MATCH(AA$2,Inputs!$K$4:$AJ$4,0))))+SUMPRODUCT((Inputs!$C$5:$C$160=$B47)*ISNUMBER(INDEX(Inputs!$K$5:$AJ$160,0,MATCH(AA$2,Inputs!$K$4:$AJ$4,0))))+SUMPRODUCT((Inputs!$E$5:$E$160=$B47)*ISNUMBER(INDEX(Inputs!$K$5:$AJ$160,0,MATCH(AA$2,Inputs!$K$4:$AJ$4,0))))=0,NA(),SUMPRODUCT((Inputs!$A$5:$A$160=$B47)*Inputs!$B$5:$B$160*(((Inputs!$G$5:$G$160="moeda")+(Inputs!$G$5:$G$160="acoes"))*Inputs!$B$1+((Inputs!$G$5:$G$160&lt;&gt;"moeda")*(Inputs!$G$5:$G$160&lt;&gt;"acoes")))*INDEX(Inputs!$K$5:$AJ$160,0,MATCH(AA$2,Inputs!$K$4:$AJ$4,0)))+SUMPRODUCT((Inputs!$C$5:$C$160=$B47)*Inputs!$D$5:$D$160*(((Inputs!$G$5:$G$160="moeda")+(Inputs!$G$5:$G$160="acoes"))*Inputs!$B$1+((Inputs!$G$5:$G$160&lt;&gt;"moeda")*(Inputs!$G$5:$G$160&lt;&gt;"acoes")))*INDEX(Inputs!$K$5:$AJ$160,0,MATCH(AA$2,Inputs!$K$4:$AJ$4,0)))+SUMPRODUCT((Inputs!$E$5:$E$160=$B47)*Inputs!$F$5:$F$160*(((Inputs!$G$5:$G$160="moeda")+(Inputs!$G$5:$G$160="acoes"))*Inputs!$B$1+((Inputs!$G$5:$G$160&lt;&gt;"moeda")*(Inputs!$G$5:$G$160&lt;&gt;"acoes")))*INDEX(Inputs!$K$5:$AJ$160,0,MATCH(AA$2,Inputs!$K$4:$AJ$4,0)))))</f>
        <v>332.45</v>
      </c>
      <c r="AB47" s="3">
        <f>AA47</f>
        <v>332.45</v>
      </c>
      <c r="AC47" s="6">
        <f>IF(ISNA(MATCH(AC$2,Inputs!$K$4:$AJ$4,0)),NA(),IF(SUMPRODUCT((Inputs!$A$5:$A$160=$B47)*ISNUMBER(INDEX(Inputs!$K$5:$AJ$160,0,MATCH(AC$2,Inputs!$K$4:$AJ$4,0))))+SUMPRODUCT((Inputs!$C$5:$C$160=$B47)*ISNUMBER(INDEX(Inputs!$K$5:$AJ$160,0,MATCH(AC$2,Inputs!$K$4:$AJ$4,0))))+SUMPRODUCT((Inputs!$E$5:$E$160=$B47)*ISNUMBER(INDEX(Inputs!$K$5:$AJ$160,0,MATCH(AC$2,Inputs!$K$4:$AJ$4,0))))=0,NA(),SUMPRODUCT((Inputs!$A$5:$A$160=$B47)*Inputs!$B$5:$B$160*(((Inputs!$G$5:$G$160="moeda")+(Inputs!$G$5:$G$160="acoes"))*Inputs!$B$1+((Inputs!$G$5:$G$160&lt;&gt;"moeda")*(Inputs!$G$5:$G$160&lt;&gt;"acoes")))*INDEX(Inputs!$K$5:$AJ$160,0,MATCH(AC$2,Inputs!$K$4:$AJ$4,0)))+SUMPRODUCT((Inputs!$C$5:$C$160=$B47)*Inputs!$D$5:$D$160*(((Inputs!$G$5:$G$160="moeda")+(Inputs!$G$5:$G$160="acoes"))*Inputs!$B$1+((Inputs!$G$5:$G$160&lt;&gt;"moeda")*(Inputs!$G$5:$G$160&lt;&gt;"acoes")))*INDEX(Inputs!$K$5:$AJ$160,0,MATCH(AC$2,Inputs!$K$4:$AJ$4,0)))+SUMPRODUCT((Inputs!$E$5:$E$160=$B47)*Inputs!$F$5:$F$160*(((Inputs!$G$5:$G$160="moeda")+(Inputs!$G$5:$G$160="acoes"))*Inputs!$B$1+((Inputs!$G$5:$G$160&lt;&gt;"moeda")*(Inputs!$G$5:$G$160&lt;&gt;"acoes")))*INDEX(Inputs!$K$5:$AJ$160,0,MATCH(AC$2,Inputs!$K$4:$AJ$4,0)))))</f>
        <v>533.662</v>
      </c>
      <c r="AD47" s="6">
        <f>IF(ISNA(MATCH(AD$2,Inputs!$K$4:$AJ$4,0)),NA(),IF(SUMPRODUCT((Inputs!$A$5:$A$160=$B47)*ISNUMBER(INDEX(Inputs!$K$5:$AJ$160,0,MATCH(AD$2,Inputs!$K$4:$AJ$4,0))))+SUMPRODUCT((Inputs!$C$5:$C$160=$B47)*ISNUMBER(INDEX(Inputs!$K$5:$AJ$160,0,MATCH(AD$2,Inputs!$K$4:$AJ$4,0))))+SUMPRODUCT((Inputs!$E$5:$E$160=$B47)*ISNUMBER(INDEX(Inputs!$K$5:$AJ$160,0,MATCH(AD$2,Inputs!$K$4:$AJ$4,0))))=0,NA(),SUMPRODUCT((Inputs!$A$5:$A$160=$B47)*Inputs!$B$5:$B$160*(((Inputs!$G$5:$G$160="moeda")+(Inputs!$G$5:$G$160="acoes"))*Inputs!$B$1+((Inputs!$G$5:$G$160&lt;&gt;"moeda")*(Inputs!$G$5:$G$160&lt;&gt;"acoes")))*INDEX(Inputs!$K$5:$AJ$160,0,MATCH(AD$2,Inputs!$K$4:$AJ$4,0)))+SUMPRODUCT((Inputs!$C$5:$C$160=$B47)*Inputs!$D$5:$D$160*(((Inputs!$G$5:$G$160="moeda")+(Inputs!$G$5:$G$160="acoes"))*Inputs!$B$1+((Inputs!$G$5:$G$160&lt;&gt;"moeda")*(Inputs!$G$5:$G$160&lt;&gt;"acoes")))*INDEX(Inputs!$K$5:$AJ$160,0,MATCH(AD$2,Inputs!$K$4:$AJ$4,0)))+SUMPRODUCT((Inputs!$E$5:$E$160=$B47)*Inputs!$F$5:$F$160*(((Inputs!$G$5:$G$160="moeda")+(Inputs!$G$5:$G$160="acoes"))*Inputs!$B$1+((Inputs!$G$5:$G$160&lt;&gt;"moeda")*(Inputs!$G$5:$G$160&lt;&gt;"acoes")))*INDEX(Inputs!$K$5:$AJ$160,0,MATCH(AD$2,Inputs!$K$4:$AJ$4,0)))))</f>
        <v>755.511</v>
      </c>
      <c r="AE47" s="6" t="e">
        <f>IF(ISNA(MATCH(AE$2,Inputs!$K$4:$AJ$4,0)),NA(),IF(SUMPRODUCT((Inputs!$A$5:$A$160=$B47)*ISNUMBER(INDEX(Inputs!$K$5:$AJ$160,0,MATCH(AE$2,Inputs!$K$4:$AJ$4,0))))+SUMPRODUCT((Inputs!$C$5:$C$160=$B47)*ISNUMBER(INDEX(Inputs!$K$5:$AJ$160,0,MATCH(AE$2,Inputs!$K$4:$AJ$4,0))))+SUMPRODUCT((Inputs!$E$5:$E$160=$B47)*ISNUMBER(INDEX(Inputs!$K$5:$AJ$160,0,MATCH(AE$2,Inputs!$K$4:$AJ$4,0))))=0,NA(),SUMPRODUCT((Inputs!$A$5:$A$160=$B47)*Inputs!$B$5:$B$160*(((Inputs!$G$5:$G$160="moeda")+(Inputs!$G$5:$G$160="acoes"))*Inputs!$B$1+((Inputs!$G$5:$G$160&lt;&gt;"moeda")*(Inputs!$G$5:$G$160&lt;&gt;"acoes")))*INDEX(Inputs!$K$5:$AJ$160,0,MATCH(AE$2,Inputs!$K$4:$AJ$4,0)))+SUMPRODUCT((Inputs!$C$5:$C$160=$B47)*Inputs!$D$5:$D$160*(((Inputs!$G$5:$G$160="moeda")+(Inputs!$G$5:$G$160="acoes"))*Inputs!$B$1+((Inputs!$G$5:$G$160&lt;&gt;"moeda")*(Inputs!$G$5:$G$160&lt;&gt;"acoes")))*INDEX(Inputs!$K$5:$AJ$160,0,MATCH(AE$2,Inputs!$K$4:$AJ$4,0)))+SUMPRODUCT((Inputs!$E$5:$E$160=$B47)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47" s="6" t="e">
        <f>IF(ISNA(MATCH(AF$2,Inputs!$K$4:$AJ$4,0)),NA(),IF(SUMPRODUCT((Inputs!$A$5:$A$160=$B47)*ISNUMBER(INDEX(Inputs!$K$5:$AJ$160,0,MATCH(AF$2,Inputs!$K$4:$AJ$4,0))))+SUMPRODUCT((Inputs!$C$5:$C$160=$B47)*ISNUMBER(INDEX(Inputs!$K$5:$AJ$160,0,MATCH(AF$2,Inputs!$K$4:$AJ$4,0))))+SUMPRODUCT((Inputs!$E$5:$E$160=$B47)*ISNUMBER(INDEX(Inputs!$K$5:$AJ$160,0,MATCH(AF$2,Inputs!$K$4:$AJ$4,0))))=0,NA(),SUMPRODUCT((Inputs!$A$5:$A$160=$B47)*Inputs!$B$5:$B$160*(((Inputs!$G$5:$G$160="moeda")+(Inputs!$G$5:$G$160="acoes"))*Inputs!$B$1+((Inputs!$G$5:$G$160&lt;&gt;"moeda")*(Inputs!$G$5:$G$160&lt;&gt;"acoes")))*INDEX(Inputs!$K$5:$AJ$160,0,MATCH(AF$2,Inputs!$K$4:$AJ$4,0)))+SUMPRODUCT((Inputs!$C$5:$C$160=$B47)*Inputs!$D$5:$D$160*(((Inputs!$G$5:$G$160="moeda")+(Inputs!$G$5:$G$160="acoes"))*Inputs!$B$1+((Inputs!$G$5:$G$160&lt;&gt;"moeda")*(Inputs!$G$5:$G$160&lt;&gt;"acoes")))*INDEX(Inputs!$K$5:$AJ$160,0,MATCH(AF$2,Inputs!$K$4:$AJ$4,0)))+SUMPRODUCT((Inputs!$E$5:$E$160=$B47)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47" s="3" t="e">
        <f>AF47</f>
        <v>#N/A</v>
      </c>
      <c r="AH47" s="6">
        <f>IF(ISNA(MATCH(AH$2,Inputs!$K$4:$AJ$4,0)),NA(),IF(SUMPRODUCT((Inputs!$A$5:$A$160=$B47)*ISNUMBER(INDEX(Inputs!$K$5:$AJ$160,0,MATCH(AH$2,Inputs!$K$4:$AJ$4,0))))+SUMPRODUCT((Inputs!$C$5:$C$160=$B47)*ISNUMBER(INDEX(Inputs!$K$5:$AJ$160,0,MATCH(AH$2,Inputs!$K$4:$AJ$4,0))))+SUMPRODUCT((Inputs!$E$5:$E$160=$B47)*ISNUMBER(INDEX(Inputs!$K$5:$AJ$160,0,MATCH(AH$2,Inputs!$K$4:$AJ$4,0))))=0,NA(),SUMPRODUCT((Inputs!$A$5:$A$160=$B47)*Inputs!$B$5:$B$160*(((Inputs!$G$5:$G$160="moeda")+(Inputs!$G$5:$G$160="acoes"))*Inputs!$B$1+((Inputs!$G$5:$G$160&lt;&gt;"moeda")*(Inputs!$G$5:$G$160&lt;&gt;"acoes")))*INDEX(Inputs!$K$5:$AJ$160,0,MATCH(AH$2,Inputs!$K$4:$AJ$4,0)))+SUMPRODUCT((Inputs!$C$5:$C$160=$B47)*Inputs!$D$5:$D$160*(((Inputs!$G$5:$G$160="moeda")+(Inputs!$G$5:$G$160="acoes"))*Inputs!$B$1+((Inputs!$G$5:$G$160&lt;&gt;"moeda")*(Inputs!$G$5:$G$160&lt;&gt;"acoes")))*INDEX(Inputs!$K$5:$AJ$160,0,MATCH(AH$2,Inputs!$K$4:$AJ$4,0)))+SUMPRODUCT((Inputs!$E$5:$E$160=$B47)*Inputs!$F$5:$F$160*(((Inputs!$G$5:$G$160="moeda")+(Inputs!$G$5:$G$160="acoes"))*Inputs!$B$1+((Inputs!$G$5:$G$160&lt;&gt;"moeda")*(Inputs!$G$5:$G$160&lt;&gt;"acoes")))*INDEX(Inputs!$K$5:$AJ$160,0,MATCH(AH$2,Inputs!$K$4:$AJ$4,0)))))</f>
        <v>58.7194642900001</v>
      </c>
      <c r="AI47" s="6">
        <f>IF(ISNA(MATCH(AI$2,Inputs!$K$4:$AJ$4,0)),NA(),IF(SUMPRODUCT((Inputs!$A$5:$A$160=$B47)*ISNUMBER(INDEX(Inputs!$K$5:$AJ$160,0,MATCH(AI$2,Inputs!$K$4:$AJ$4,0))))+SUMPRODUCT((Inputs!$C$5:$C$160=$B47)*ISNUMBER(INDEX(Inputs!$K$5:$AJ$160,0,MATCH(AI$2,Inputs!$K$4:$AJ$4,0))))+SUMPRODUCT((Inputs!$E$5:$E$160=$B47)*ISNUMBER(INDEX(Inputs!$K$5:$AJ$160,0,MATCH(AI$2,Inputs!$K$4:$AJ$4,0))))=0,NA(),SUMPRODUCT((Inputs!$A$5:$A$160=$B47)*Inputs!$B$5:$B$160*(((Inputs!$G$5:$G$160="moeda")+(Inputs!$G$5:$G$160="acoes"))*Inputs!$B$1+((Inputs!$G$5:$G$160&lt;&gt;"moeda")*(Inputs!$G$5:$G$160&lt;&gt;"acoes")))*INDEX(Inputs!$K$5:$AJ$160,0,MATCH(AI$2,Inputs!$K$4:$AJ$4,0)))+SUMPRODUCT((Inputs!$C$5:$C$160=$B47)*Inputs!$D$5:$D$160*(((Inputs!$G$5:$G$160="moeda")+(Inputs!$G$5:$G$160="acoes"))*Inputs!$B$1+((Inputs!$G$5:$G$160&lt;&gt;"moeda")*(Inputs!$G$5:$G$160&lt;&gt;"acoes")))*INDEX(Inputs!$K$5:$AJ$160,0,MATCH(AI$2,Inputs!$K$4:$AJ$4,0)))+SUMPRODUCT((Inputs!$E$5:$E$160=$B47)*Inputs!$F$5:$F$160*(((Inputs!$G$5:$G$160="moeda")+(Inputs!$G$5:$G$160="acoes"))*Inputs!$B$1+((Inputs!$G$5:$G$160&lt;&gt;"moeda")*(Inputs!$G$5:$G$160&lt;&gt;"acoes")))*INDEX(Inputs!$K$5:$AJ$160,0,MATCH(AI$2,Inputs!$K$4:$AJ$4,0)))))</f>
        <v>-14.90600837</v>
      </c>
      <c r="AJ47" s="6">
        <f>IF(ISNA(MATCH(AJ$2,Inputs!$K$4:$AJ$4,0)),NA(),IF(SUMPRODUCT((Inputs!$A$5:$A$160=$B47)*ISNUMBER(INDEX(Inputs!$K$5:$AJ$160,0,MATCH(AJ$2,Inputs!$K$4:$AJ$4,0))))+SUMPRODUCT((Inputs!$C$5:$C$160=$B47)*ISNUMBER(INDEX(Inputs!$K$5:$AJ$160,0,MATCH(AJ$2,Inputs!$K$4:$AJ$4,0))))+SUMPRODUCT((Inputs!$E$5:$E$160=$B47)*ISNUMBER(INDEX(Inputs!$K$5:$AJ$160,0,MATCH(AJ$2,Inputs!$K$4:$AJ$4,0))))=0,NA(),SUMPRODUCT((Inputs!$A$5:$A$160=$B47)*Inputs!$B$5:$B$160*(((Inputs!$G$5:$G$160="moeda")+(Inputs!$G$5:$G$160="acoes"))*Inputs!$B$1+((Inputs!$G$5:$G$160&lt;&gt;"moeda")*(Inputs!$G$5:$G$160&lt;&gt;"acoes")))*INDEX(Inputs!$K$5:$AJ$160,0,MATCH(AJ$2,Inputs!$K$4:$AJ$4,0)))+SUMPRODUCT((Inputs!$C$5:$C$160=$B47)*Inputs!$D$5:$D$160*(((Inputs!$G$5:$G$160="moeda")+(Inputs!$G$5:$G$160="acoes"))*Inputs!$B$1+((Inputs!$G$5:$G$160&lt;&gt;"moeda")*(Inputs!$G$5:$G$160&lt;&gt;"acoes")))*INDEX(Inputs!$K$5:$AJ$160,0,MATCH(AJ$2,Inputs!$K$4:$AJ$4,0)))+SUMPRODUCT((Inputs!$E$5:$E$160=$B47)*Inputs!$F$5:$F$160*(((Inputs!$G$5:$G$160="moeda")+(Inputs!$G$5:$G$160="acoes"))*Inputs!$B$1+((Inputs!$G$5:$G$160&lt;&gt;"moeda")*(Inputs!$G$5:$G$160&lt;&gt;"acoes")))*INDEX(Inputs!$K$5:$AJ$160,0,MATCH(AJ$2,Inputs!$K$4:$AJ$4,0)))))</f>
        <v>117.47883588</v>
      </c>
      <c r="AK47" s="6">
        <f>IF(ISNA(MATCH(AK$2,Inputs!$K$4:$AJ$4,0)),NA(),IF(SUMPRODUCT((Inputs!$A$5:$A$160=$B47)*ISNUMBER(INDEX(Inputs!$K$5:$AJ$160,0,MATCH(AK$2,Inputs!$K$4:$AJ$4,0))))+SUMPRODUCT((Inputs!$C$5:$C$160=$B47)*ISNUMBER(INDEX(Inputs!$K$5:$AJ$160,0,MATCH(AK$2,Inputs!$K$4:$AJ$4,0))))+SUMPRODUCT((Inputs!$E$5:$E$160=$B47)*ISNUMBER(INDEX(Inputs!$K$5:$AJ$160,0,MATCH(AK$2,Inputs!$K$4:$AJ$4,0))))=0,NA(),SUMPRODUCT((Inputs!$A$5:$A$160=$B47)*Inputs!$B$5:$B$160*(((Inputs!$G$5:$G$160="moeda")+(Inputs!$G$5:$G$160="acoes"))*Inputs!$B$1+((Inputs!$G$5:$G$160&lt;&gt;"moeda")*(Inputs!$G$5:$G$160&lt;&gt;"acoes")))*INDEX(Inputs!$K$5:$AJ$160,0,MATCH(AK$2,Inputs!$K$4:$AJ$4,0)))+SUMPRODUCT((Inputs!$C$5:$C$160=$B47)*Inputs!$D$5:$D$160*(((Inputs!$G$5:$G$160="moeda")+(Inputs!$G$5:$G$160="acoes"))*Inputs!$B$1+((Inputs!$G$5:$G$160&lt;&gt;"moeda")*(Inputs!$G$5:$G$160&lt;&gt;"acoes")))*INDEX(Inputs!$K$5:$AJ$160,0,MATCH(AK$2,Inputs!$K$4:$AJ$4,0)))+SUMPRODUCT((Inputs!$E$5:$E$160=$B47)*Inputs!$F$5:$F$160*(((Inputs!$G$5:$G$160="moeda")+(Inputs!$G$5:$G$160="acoes"))*Inputs!$B$1+((Inputs!$G$5:$G$160&lt;&gt;"moeda")*(Inputs!$G$5:$G$160&lt;&gt;"acoes")))*INDEX(Inputs!$K$5:$AJ$160,0,MATCH(AK$2,Inputs!$K$4:$AJ$4,0)))))</f>
        <v>169.64349684</v>
      </c>
      <c r="AL47" s="3">
        <f>AK47</f>
        <v>169.64349684</v>
      </c>
    </row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 do periodo) - memo p/ check IS [Model linha 4]</t>
        </is>
      </c>
      <c r="D50" s="6">
        <f>IF(ISNA(MATCH(D$2,Inputs!$K$4:$AJ$4,0)),NA(),IF(SUMPRODUCT((Inputs!$A$5:$A$160=$B50)*ISNUMBER(INDEX(Inputs!$K$5:$AJ$160,0,MATCH(D$2,Inputs!$K$4:$AJ$4,0))))+SUMPRODUCT((Inputs!$C$5:$C$160=$B50)*ISNUMBER(INDEX(Inputs!$K$5:$AJ$160,0,MATCH(D$2,Inputs!$K$4:$AJ$4,0))))+SUMPRODUCT((Inputs!$E$5:$E$160=$B50)*ISNUMBER(INDEX(Inputs!$K$5:$AJ$160,0,MATCH(D$2,Inputs!$K$4:$AJ$4,0))))=0,NA(),SUMPRODUCT((Inputs!$A$5:$A$160=$B50)*Inputs!$B$5:$B$160*(((Inputs!$G$5:$G$160="moeda")+(Inputs!$G$5:$G$160="acoes"))*Inputs!$B$1+((Inputs!$G$5:$G$160&lt;&gt;"moeda")*(Inputs!$G$5:$G$160&lt;&gt;"acoes")))*INDEX(Inputs!$K$5:$AJ$160,0,MATCH(D$2,Inputs!$K$4:$AJ$4,0)))+SUMPRODUCT((Inputs!$C$5:$C$160=$B50)*Inputs!$D$5:$D$160*(((Inputs!$G$5:$G$160="moeda")+(Inputs!$G$5:$G$160="acoes"))*Inputs!$B$1+((Inputs!$G$5:$G$160&lt;&gt;"moeda")*(Inputs!$G$5:$G$160&lt;&gt;"acoes")))*INDEX(Inputs!$K$5:$AJ$160,0,MATCH(D$2,Inputs!$K$4:$AJ$4,0)))+SUMPRODUCT((Inputs!$E$5:$E$160=$B50)*Inputs!$F$5:$F$160*(((Inputs!$G$5:$G$160="moeda")+(Inputs!$G$5:$G$160="acoes"))*Inputs!$B$1+((Inputs!$G$5:$G$160&lt;&gt;"moeda")*(Inputs!$G$5:$G$160&lt;&gt;"acoes")))*INDEX(Inputs!$K$5:$AJ$160,0,MATCH(D$2,Inputs!$K$4:$AJ$4,0)))))</f>
        <v>118.61195704</v>
      </c>
      <c r="E50" s="6">
        <f>IF(ISNA(MATCH(E$2,Inputs!$K$4:$AJ$4,0)),NA(),IF(SUMPRODUCT((Inputs!$A$5:$A$160=$B50)*ISNUMBER(INDEX(Inputs!$K$5:$AJ$160,0,MATCH(E$2,Inputs!$K$4:$AJ$4,0))))+SUMPRODUCT((Inputs!$C$5:$C$160=$B50)*ISNUMBER(INDEX(Inputs!$K$5:$AJ$160,0,MATCH(E$2,Inputs!$K$4:$AJ$4,0))))+SUMPRODUCT((Inputs!$E$5:$E$160=$B50)*ISNUMBER(INDEX(Inputs!$K$5:$AJ$160,0,MATCH(E$2,Inputs!$K$4:$AJ$4,0))))=0,NA(),SUMPRODUCT((Inputs!$A$5:$A$160=$B50)*Inputs!$B$5:$B$160*(((Inputs!$G$5:$G$160="moeda")+(Inputs!$G$5:$G$160="acoes"))*Inputs!$B$1+((Inputs!$G$5:$G$160&lt;&gt;"moeda")*(Inputs!$G$5:$G$160&lt;&gt;"acoes")))*INDEX(Inputs!$K$5:$AJ$160,0,MATCH(E$2,Inputs!$K$4:$AJ$4,0)))+SUMPRODUCT((Inputs!$C$5:$C$160=$B50)*Inputs!$D$5:$D$160*(((Inputs!$G$5:$G$160="moeda")+(Inputs!$G$5:$G$160="acoes"))*Inputs!$B$1+((Inputs!$G$5:$G$160&lt;&gt;"moeda")*(Inputs!$G$5:$G$160&lt;&gt;"acoes")))*INDEX(Inputs!$K$5:$AJ$160,0,MATCH(E$2,Inputs!$K$4:$AJ$4,0)))+SUMPRODUCT((Inputs!$E$5:$E$160=$B50)*Inputs!$F$5:$F$160*(((Inputs!$G$5:$G$160="moeda")+(Inputs!$G$5:$G$160="acoes"))*Inputs!$B$1+((Inputs!$G$5:$G$160&lt;&gt;"moeda")*(Inputs!$G$5:$G$160&lt;&gt;"acoes")))*INDEX(Inputs!$K$5:$AJ$160,0,MATCH(E$2,Inputs!$K$4:$AJ$4,0)))))</f>
        <v>65.5346259299989</v>
      </c>
      <c r="F50" s="6">
        <f>IF(ISNA(MATCH(F$2,Inputs!$K$4:$AJ$4,0)),NA(),IF(SUMPRODUCT((Inputs!$A$5:$A$160=$B50)*ISNUMBER(INDEX(Inputs!$K$5:$AJ$160,0,MATCH(F$2,Inputs!$K$4:$AJ$4,0))))+SUMPRODUCT((Inputs!$C$5:$C$160=$B50)*ISNUMBER(INDEX(Inputs!$K$5:$AJ$160,0,MATCH(F$2,Inputs!$K$4:$AJ$4,0))))+SUMPRODUCT((Inputs!$E$5:$E$160=$B50)*ISNUMBER(INDEX(Inputs!$K$5:$AJ$160,0,MATCH(F$2,Inputs!$K$4:$AJ$4,0))))=0,NA(),SUMPRODUCT((Inputs!$A$5:$A$160=$B50)*Inputs!$B$5:$B$160*(((Inputs!$G$5:$G$160="moeda")+(Inputs!$G$5:$G$160="acoes"))*Inputs!$B$1+((Inputs!$G$5:$G$160&lt;&gt;"moeda")*(Inputs!$G$5:$G$160&lt;&gt;"acoes")))*INDEX(Inputs!$K$5:$AJ$160,0,MATCH(F$2,Inputs!$K$4:$AJ$4,0)))+SUMPRODUCT((Inputs!$C$5:$C$160=$B50)*Inputs!$D$5:$D$160*(((Inputs!$G$5:$G$160="moeda")+(Inputs!$G$5:$G$160="acoes"))*Inputs!$B$1+((Inputs!$G$5:$G$160&lt;&gt;"moeda")*(Inputs!$G$5:$G$160&lt;&gt;"acoes")))*INDEX(Inputs!$K$5:$AJ$160,0,MATCH(F$2,Inputs!$K$4:$AJ$4,0)))+SUMPRODUCT((Inputs!$E$5:$E$160=$B50)*Inputs!$F$5:$F$160*(((Inputs!$G$5:$G$160="moeda")+(Inputs!$G$5:$G$160="acoes"))*Inputs!$B$1+((Inputs!$G$5:$G$160&lt;&gt;"moeda")*(Inputs!$G$5:$G$160&lt;&gt;"acoes")))*INDEX(Inputs!$K$5:$AJ$160,0,MATCH(F$2,Inputs!$K$4:$AJ$4,0)))))</f>
        <v>94.9625657674031</v>
      </c>
      <c r="G50" s="6">
        <f>IF(ISNA(MATCH(G$2,Inputs!$K$4:$AJ$4,0)),NA(),IF(SUMPRODUCT((Inputs!$A$5:$A$160=$B50)*ISNUMBER(INDEX(Inputs!$K$5:$AJ$160,0,MATCH(G$2,Inputs!$K$4:$AJ$4,0))))+SUMPRODUCT((Inputs!$C$5:$C$160=$B50)*ISNUMBER(INDEX(Inputs!$K$5:$AJ$160,0,MATCH(G$2,Inputs!$K$4:$AJ$4,0))))+SUMPRODUCT((Inputs!$E$5:$E$160=$B50)*ISNUMBER(INDEX(Inputs!$K$5:$AJ$160,0,MATCH(G$2,Inputs!$K$4:$AJ$4,0))))=0,NA(),SUMPRODUCT((Inputs!$A$5:$A$160=$B50)*Inputs!$B$5:$B$160*(((Inputs!$G$5:$G$160="moeda")+(Inputs!$G$5:$G$160="acoes"))*Inputs!$B$1+((Inputs!$G$5:$G$160&lt;&gt;"moeda")*(Inputs!$G$5:$G$160&lt;&gt;"acoes")))*INDEX(Inputs!$K$5:$AJ$160,0,MATCH(G$2,Inputs!$K$4:$AJ$4,0)))+SUMPRODUCT((Inputs!$C$5:$C$160=$B50)*Inputs!$D$5:$D$160*(((Inputs!$G$5:$G$160="moeda")+(Inputs!$G$5:$G$160="acoes"))*Inputs!$B$1+((Inputs!$G$5:$G$160&lt;&gt;"moeda")*(Inputs!$G$5:$G$160&lt;&gt;"acoes")))*INDEX(Inputs!$K$5:$AJ$160,0,MATCH(G$2,Inputs!$K$4:$AJ$4,0)))+SUMPRODUCT((Inputs!$E$5:$E$160=$B50)*Inputs!$F$5:$F$160*(((Inputs!$G$5:$G$160="moeda")+(Inputs!$G$5:$G$160="acoes"))*Inputs!$B$1+((Inputs!$G$5:$G$160&lt;&gt;"moeda")*(Inputs!$G$5:$G$160&lt;&gt;"acoes")))*INDEX(Inputs!$K$5:$AJ$160,0,MATCH(G$2,Inputs!$K$4:$AJ$4,0)))))</f>
        <v>70.8158031599996</v>
      </c>
      <c r="H50" s="3">
        <f>SUM(D50:G50)</f>
        <v>349.924951897401</v>
      </c>
      <c r="I50" s="6">
        <f>IF(ISNA(MATCH(I$2,Inputs!$K$4:$AJ$4,0)),NA(),IF(SUMPRODUCT((Inputs!$A$5:$A$160=$B50)*ISNUMBER(INDEX(Inputs!$K$5:$AJ$160,0,MATCH(I$2,Inputs!$K$4:$AJ$4,0))))+SUMPRODUCT((Inputs!$C$5:$C$160=$B50)*ISNUMBER(INDEX(Inputs!$K$5:$AJ$160,0,MATCH(I$2,Inputs!$K$4:$AJ$4,0))))+SUMPRODUCT((Inputs!$E$5:$E$160=$B50)*ISNUMBER(INDEX(Inputs!$K$5:$AJ$160,0,MATCH(I$2,Inputs!$K$4:$AJ$4,0))))=0,NA(),SUMPRODUCT((Inputs!$A$5:$A$160=$B50)*Inputs!$B$5:$B$160*(((Inputs!$G$5:$G$160="moeda")+(Inputs!$G$5:$G$160="acoes"))*Inputs!$B$1+((Inputs!$G$5:$G$160&lt;&gt;"moeda")*(Inputs!$G$5:$G$160&lt;&gt;"acoes")))*INDEX(Inputs!$K$5:$AJ$160,0,MATCH(I$2,Inputs!$K$4:$AJ$4,0)))+SUMPRODUCT((Inputs!$C$5:$C$160=$B50)*Inputs!$D$5:$D$160*(((Inputs!$G$5:$G$160="moeda")+(Inputs!$G$5:$G$160="acoes"))*Inputs!$B$1+((Inputs!$G$5:$G$160&lt;&gt;"moeda")*(Inputs!$G$5:$G$160&lt;&gt;"acoes")))*INDEX(Inputs!$K$5:$AJ$160,0,MATCH(I$2,Inputs!$K$4:$AJ$4,0)))+SUMPRODUCT((Inputs!$E$5:$E$160=$B50)*Inputs!$F$5:$F$160*(((Inputs!$G$5:$G$160="moeda")+(Inputs!$G$5:$G$160="acoes"))*Inputs!$B$1+((Inputs!$G$5:$G$160&lt;&gt;"moeda")*(Inputs!$G$5:$G$160&lt;&gt;"acoes")))*INDEX(Inputs!$K$5:$AJ$160,0,MATCH(I$2,Inputs!$K$4:$AJ$4,0)))))</f>
        <v>110.440730339442</v>
      </c>
      <c r="J50" s="6">
        <f>IF(ISNA(MATCH(J$2,Inputs!$K$4:$AJ$4,0)),NA(),IF(SUMPRODUCT((Inputs!$A$5:$A$160=$B50)*ISNUMBER(INDEX(Inputs!$K$5:$AJ$160,0,MATCH(J$2,Inputs!$K$4:$AJ$4,0))))+SUMPRODUCT((Inputs!$C$5:$C$160=$B50)*ISNUMBER(INDEX(Inputs!$K$5:$AJ$160,0,MATCH(J$2,Inputs!$K$4:$AJ$4,0))))+SUMPRODUCT((Inputs!$E$5:$E$160=$B50)*ISNUMBER(INDEX(Inputs!$K$5:$AJ$160,0,MATCH(J$2,Inputs!$K$4:$AJ$4,0))))=0,NA(),SUMPRODUCT((Inputs!$A$5:$A$160=$B50)*Inputs!$B$5:$B$160*(((Inputs!$G$5:$G$160="moeda")+(Inputs!$G$5:$G$160="acoes"))*Inputs!$B$1+((Inputs!$G$5:$G$160&lt;&gt;"moeda")*(Inputs!$G$5:$G$160&lt;&gt;"acoes")))*INDEX(Inputs!$K$5:$AJ$160,0,MATCH(J$2,Inputs!$K$4:$AJ$4,0)))+SUMPRODUCT((Inputs!$C$5:$C$160=$B50)*Inputs!$D$5:$D$160*(((Inputs!$G$5:$G$160="moeda")+(Inputs!$G$5:$G$160="acoes"))*Inputs!$B$1+((Inputs!$G$5:$G$160&lt;&gt;"moeda")*(Inputs!$G$5:$G$160&lt;&gt;"acoes")))*INDEX(Inputs!$K$5:$AJ$160,0,MATCH(J$2,Inputs!$K$4:$AJ$4,0)))+SUMPRODUCT((Inputs!$E$5:$E$160=$B50)*Inputs!$F$5:$F$160*(((Inputs!$G$5:$G$160="moeda")+(Inputs!$G$5:$G$160="acoes"))*Inputs!$B$1+((Inputs!$G$5:$G$160&lt;&gt;"moeda")*(Inputs!$G$5:$G$160&lt;&gt;"acoes")))*INDEX(Inputs!$K$5:$AJ$160,0,MATCH(J$2,Inputs!$K$4:$AJ$4,0)))))</f>
        <v>70.5092383980513</v>
      </c>
      <c r="K50" s="6">
        <f>IF(ISNA(MATCH(K$2,Inputs!$K$4:$AJ$4,0)),NA(),IF(SUMPRODUCT((Inputs!$A$5:$A$160=$B50)*ISNUMBER(INDEX(Inputs!$K$5:$AJ$160,0,MATCH(K$2,Inputs!$K$4:$AJ$4,0))))+SUMPRODUCT((Inputs!$C$5:$C$160=$B50)*ISNUMBER(INDEX(Inputs!$K$5:$AJ$160,0,MATCH(K$2,Inputs!$K$4:$AJ$4,0))))+SUMPRODUCT((Inputs!$E$5:$E$160=$B50)*ISNUMBER(INDEX(Inputs!$K$5:$AJ$160,0,MATCH(K$2,Inputs!$K$4:$AJ$4,0))))=0,NA(),SUMPRODUCT((Inputs!$A$5:$A$160=$B50)*Inputs!$B$5:$B$160*(((Inputs!$G$5:$G$160="moeda")+(Inputs!$G$5:$G$160="acoes"))*Inputs!$B$1+((Inputs!$G$5:$G$160&lt;&gt;"moeda")*(Inputs!$G$5:$G$160&lt;&gt;"acoes")))*INDEX(Inputs!$K$5:$AJ$160,0,MATCH(K$2,Inputs!$K$4:$AJ$4,0)))+SUMPRODUCT((Inputs!$C$5:$C$160=$B50)*Inputs!$D$5:$D$160*(((Inputs!$G$5:$G$160="moeda")+(Inputs!$G$5:$G$160="acoes"))*Inputs!$B$1+((Inputs!$G$5:$G$160&lt;&gt;"moeda")*(Inputs!$G$5:$G$160&lt;&gt;"acoes")))*INDEX(Inputs!$K$5:$AJ$160,0,MATCH(K$2,Inputs!$K$4:$AJ$4,0)))+SUMPRODUCT((Inputs!$E$5:$E$160=$B50)*Inputs!$F$5:$F$160*(((Inputs!$G$5:$G$160="moeda")+(Inputs!$G$5:$G$160="acoes"))*Inputs!$B$1+((Inputs!$G$5:$G$160&lt;&gt;"moeda")*(Inputs!$G$5:$G$160&lt;&gt;"acoes")))*INDEX(Inputs!$K$5:$AJ$160,0,MATCH(K$2,Inputs!$K$4:$AJ$4,0)))))</f>
        <v>96.0057500299999</v>
      </c>
      <c r="L50" s="6">
        <f>IF(ISNA(MATCH(L$2,Inputs!$K$4:$AJ$4,0)),NA(),IF(SUMPRODUCT((Inputs!$A$5:$A$160=$B50)*ISNUMBER(INDEX(Inputs!$K$5:$AJ$160,0,MATCH(L$2,Inputs!$K$4:$AJ$4,0))))+SUMPRODUCT((Inputs!$C$5:$C$160=$B50)*ISNUMBER(INDEX(Inputs!$K$5:$AJ$160,0,MATCH(L$2,Inputs!$K$4:$AJ$4,0))))+SUMPRODUCT((Inputs!$E$5:$E$160=$B50)*ISNUMBER(INDEX(Inputs!$K$5:$AJ$160,0,MATCH(L$2,Inputs!$K$4:$AJ$4,0))))=0,NA(),SUMPRODUCT((Inputs!$A$5:$A$160=$B50)*Inputs!$B$5:$B$160*(((Inputs!$G$5:$G$160="moeda")+(Inputs!$G$5:$G$160="acoes"))*Inputs!$B$1+((Inputs!$G$5:$G$160&lt;&gt;"moeda")*(Inputs!$G$5:$G$160&lt;&gt;"acoes")))*INDEX(Inputs!$K$5:$AJ$160,0,MATCH(L$2,Inputs!$K$4:$AJ$4,0)))+SUMPRODUCT((Inputs!$C$5:$C$160=$B50)*Inputs!$D$5:$D$160*(((Inputs!$G$5:$G$160="moeda")+(Inputs!$G$5:$G$160="acoes"))*Inputs!$B$1+((Inputs!$G$5:$G$160&lt;&gt;"moeda")*(Inputs!$G$5:$G$160&lt;&gt;"acoes")))*INDEX(Inputs!$K$5:$AJ$160,0,MATCH(L$2,Inputs!$K$4:$AJ$4,0)))+SUMPRODUCT((Inputs!$E$5:$E$160=$B50)*Inputs!$F$5:$F$160*(((Inputs!$G$5:$G$160="moeda")+(Inputs!$G$5:$G$160="acoes"))*Inputs!$B$1+((Inputs!$G$5:$G$160&lt;&gt;"moeda")*(Inputs!$G$5:$G$160&lt;&gt;"acoes")))*INDEX(Inputs!$K$5:$AJ$160,0,MATCH(L$2,Inputs!$K$4:$AJ$4,0)))))</f>
        <v>30.95268579</v>
      </c>
      <c r="M50" s="3">
        <f>SUM(I50:L50)</f>
        <v>307.908404557494</v>
      </c>
      <c r="N50" s="6">
        <f>IF(ISNA(MATCH(N$2,Inputs!$K$4:$AJ$4,0)),NA(),IF(SUMPRODUCT((Inputs!$A$5:$A$160=$B50)*ISNUMBER(INDEX(Inputs!$K$5:$AJ$160,0,MATCH(N$2,Inputs!$K$4:$AJ$4,0))))+SUMPRODUCT((Inputs!$C$5:$C$160=$B50)*ISNUMBER(INDEX(Inputs!$K$5:$AJ$160,0,MATCH(N$2,Inputs!$K$4:$AJ$4,0))))+SUMPRODUCT((Inputs!$E$5:$E$160=$B50)*ISNUMBER(INDEX(Inputs!$K$5:$AJ$160,0,MATCH(N$2,Inputs!$K$4:$AJ$4,0))))=0,NA(),SUMPRODUCT((Inputs!$A$5:$A$160=$B50)*Inputs!$B$5:$B$160*(((Inputs!$G$5:$G$160="moeda")+(Inputs!$G$5:$G$160="acoes"))*Inputs!$B$1+((Inputs!$G$5:$G$160&lt;&gt;"moeda")*(Inputs!$G$5:$G$160&lt;&gt;"acoes")))*INDEX(Inputs!$K$5:$AJ$160,0,MATCH(N$2,Inputs!$K$4:$AJ$4,0)))+SUMPRODUCT((Inputs!$C$5:$C$160=$B50)*Inputs!$D$5:$D$160*(((Inputs!$G$5:$G$160="moeda")+(Inputs!$G$5:$G$160="acoes"))*Inputs!$B$1+((Inputs!$G$5:$G$160&lt;&gt;"moeda")*(Inputs!$G$5:$G$160&lt;&gt;"acoes")))*INDEX(Inputs!$K$5:$AJ$160,0,MATCH(N$2,Inputs!$K$4:$AJ$4,0)))+SUMPRODUCT((Inputs!$E$5:$E$160=$B50)*Inputs!$F$5:$F$160*(((Inputs!$G$5:$G$160="moeda")+(Inputs!$G$5:$G$160="acoes"))*Inputs!$B$1+((Inputs!$G$5:$G$160&lt;&gt;"moeda")*(Inputs!$G$5:$G$160&lt;&gt;"acoes")))*INDEX(Inputs!$K$5:$AJ$160,0,MATCH(N$2,Inputs!$K$4:$AJ$4,0)))))</f>
        <v>93.85183176</v>
      </c>
      <c r="O50" s="6">
        <f>IF(ISNA(MATCH(O$2,Inputs!$K$4:$AJ$4,0)),NA(),IF(SUMPRODUCT((Inputs!$A$5:$A$160=$B50)*ISNUMBER(INDEX(Inputs!$K$5:$AJ$160,0,MATCH(O$2,Inputs!$K$4:$AJ$4,0))))+SUMPRODUCT((Inputs!$C$5:$C$160=$B50)*ISNUMBER(INDEX(Inputs!$K$5:$AJ$160,0,MATCH(O$2,Inputs!$K$4:$AJ$4,0))))+SUMPRODUCT((Inputs!$E$5:$E$160=$B50)*ISNUMBER(INDEX(Inputs!$K$5:$AJ$160,0,MATCH(O$2,Inputs!$K$4:$AJ$4,0))))=0,NA(),SUMPRODUCT((Inputs!$A$5:$A$160=$B50)*Inputs!$B$5:$B$160*(((Inputs!$G$5:$G$160="moeda")+(Inputs!$G$5:$G$160="acoes"))*Inputs!$B$1+((Inputs!$G$5:$G$160&lt;&gt;"moeda")*(Inputs!$G$5:$G$160&lt;&gt;"acoes")))*INDEX(Inputs!$K$5:$AJ$160,0,MATCH(O$2,Inputs!$K$4:$AJ$4,0)))+SUMPRODUCT((Inputs!$C$5:$C$160=$B50)*Inputs!$D$5:$D$160*(((Inputs!$G$5:$G$160="moeda")+(Inputs!$G$5:$G$160="acoes"))*Inputs!$B$1+((Inputs!$G$5:$G$160&lt;&gt;"moeda")*(Inputs!$G$5:$G$160&lt;&gt;"acoes")))*INDEX(Inputs!$K$5:$AJ$160,0,MATCH(O$2,Inputs!$K$4:$AJ$4,0)))+SUMPRODUCT((Inputs!$E$5:$E$160=$B50)*Inputs!$F$5:$F$160*(((Inputs!$G$5:$G$160="moeda")+(Inputs!$G$5:$G$160="acoes"))*Inputs!$B$1+((Inputs!$G$5:$G$160&lt;&gt;"moeda")*(Inputs!$G$5:$G$160&lt;&gt;"acoes")))*INDEX(Inputs!$K$5:$AJ$160,0,MATCH(O$2,Inputs!$K$4:$AJ$4,0)))))</f>
        <v>74.4269289448081</v>
      </c>
      <c r="P50" s="6">
        <f>IF(ISNA(MATCH(P$2,Inputs!$K$4:$AJ$4,0)),NA(),IF(SUMPRODUCT((Inputs!$A$5:$A$160=$B50)*ISNUMBER(INDEX(Inputs!$K$5:$AJ$160,0,MATCH(P$2,Inputs!$K$4:$AJ$4,0))))+SUMPRODUCT((Inputs!$C$5:$C$160=$B50)*ISNUMBER(INDEX(Inputs!$K$5:$AJ$160,0,MATCH(P$2,Inputs!$K$4:$AJ$4,0))))+SUMPRODUCT((Inputs!$E$5:$E$160=$B50)*ISNUMBER(INDEX(Inputs!$K$5:$AJ$160,0,MATCH(P$2,Inputs!$K$4:$AJ$4,0))))=0,NA(),SUMPRODUCT((Inputs!$A$5:$A$160=$B50)*Inputs!$B$5:$B$160*(((Inputs!$G$5:$G$160="moeda")+(Inputs!$G$5:$G$160="acoes"))*Inputs!$B$1+((Inputs!$G$5:$G$160&lt;&gt;"moeda")*(Inputs!$G$5:$G$160&lt;&gt;"acoes")))*INDEX(Inputs!$K$5:$AJ$160,0,MATCH(P$2,Inputs!$K$4:$AJ$4,0)))+SUMPRODUCT((Inputs!$C$5:$C$160=$B50)*Inputs!$D$5:$D$160*(((Inputs!$G$5:$G$160="moeda")+(Inputs!$G$5:$G$160="acoes"))*Inputs!$B$1+((Inputs!$G$5:$G$160&lt;&gt;"moeda")*(Inputs!$G$5:$G$160&lt;&gt;"acoes")))*INDEX(Inputs!$K$5:$AJ$160,0,MATCH(P$2,Inputs!$K$4:$AJ$4,0)))+SUMPRODUCT((Inputs!$E$5:$E$160=$B50)*Inputs!$F$5:$F$160*(((Inputs!$G$5:$G$160="moeda")+(Inputs!$G$5:$G$160="acoes"))*Inputs!$B$1+((Inputs!$G$5:$G$160&lt;&gt;"moeda")*(Inputs!$G$5:$G$160&lt;&gt;"acoes")))*INDEX(Inputs!$K$5:$AJ$160,0,MATCH(P$2,Inputs!$K$4:$AJ$4,0)))))</f>
        <v>174.198435338059</v>
      </c>
      <c r="Q50" s="6">
        <f>IF(ISNA(MATCH(Q$2,Inputs!$K$4:$AJ$4,0)),NA(),IF(SUMPRODUCT((Inputs!$A$5:$A$160=$B50)*ISNUMBER(INDEX(Inputs!$K$5:$AJ$160,0,MATCH(Q$2,Inputs!$K$4:$AJ$4,0))))+SUMPRODUCT((Inputs!$C$5:$C$160=$B50)*ISNUMBER(INDEX(Inputs!$K$5:$AJ$160,0,MATCH(Q$2,Inputs!$K$4:$AJ$4,0))))+SUMPRODUCT((Inputs!$E$5:$E$160=$B50)*ISNUMBER(INDEX(Inputs!$K$5:$AJ$160,0,MATCH(Q$2,Inputs!$K$4:$AJ$4,0))))=0,NA(),SUMPRODUCT((Inputs!$A$5:$A$160=$B50)*Inputs!$B$5:$B$160*(((Inputs!$G$5:$G$160="moeda")+(Inputs!$G$5:$G$160="acoes"))*Inputs!$B$1+((Inputs!$G$5:$G$160&lt;&gt;"moeda")*(Inputs!$G$5:$G$160&lt;&gt;"acoes")))*INDEX(Inputs!$K$5:$AJ$160,0,MATCH(Q$2,Inputs!$K$4:$AJ$4,0)))+SUMPRODUCT((Inputs!$C$5:$C$160=$B50)*Inputs!$D$5:$D$160*(((Inputs!$G$5:$G$160="moeda")+(Inputs!$G$5:$G$160="acoes"))*Inputs!$B$1+((Inputs!$G$5:$G$160&lt;&gt;"moeda")*(Inputs!$G$5:$G$160&lt;&gt;"acoes")))*INDEX(Inputs!$K$5:$AJ$160,0,MATCH(Q$2,Inputs!$K$4:$AJ$4,0)))+SUMPRODUCT((Inputs!$E$5:$E$160=$B50)*Inputs!$F$5:$F$160*(((Inputs!$G$5:$G$160="moeda")+(Inputs!$G$5:$G$160="acoes"))*Inputs!$B$1+((Inputs!$G$5:$G$160&lt;&gt;"moeda")*(Inputs!$G$5:$G$160&lt;&gt;"acoes")))*INDEX(Inputs!$K$5:$AJ$160,0,MATCH(Q$2,Inputs!$K$4:$AJ$4,0)))))</f>
        <v>81.2788017439298</v>
      </c>
      <c r="R50" s="3">
        <f>SUM(N50:Q50)</f>
        <v>423.755997786797</v>
      </c>
      <c r="S50" s="6">
        <f>IF(ISNA(MATCH(S$2,Inputs!$K$4:$AJ$4,0)),NA(),IF(SUMPRODUCT((Inputs!$A$5:$A$160=$B50)*ISNUMBER(INDEX(Inputs!$K$5:$AJ$160,0,MATCH(S$2,Inputs!$K$4:$AJ$4,0))))+SUMPRODUCT((Inputs!$C$5:$C$160=$B50)*ISNUMBER(INDEX(Inputs!$K$5:$AJ$160,0,MATCH(S$2,Inputs!$K$4:$AJ$4,0))))+SUMPRODUCT((Inputs!$E$5:$E$160=$B50)*ISNUMBER(INDEX(Inputs!$K$5:$AJ$160,0,MATCH(S$2,Inputs!$K$4:$AJ$4,0))))=0,NA(),SUMPRODUCT((Inputs!$A$5:$A$160=$B50)*Inputs!$B$5:$B$160*(((Inputs!$G$5:$G$160="moeda")+(Inputs!$G$5:$G$160="acoes"))*Inputs!$B$1+((Inputs!$G$5:$G$160&lt;&gt;"moeda")*(Inputs!$G$5:$G$160&lt;&gt;"acoes")))*INDEX(Inputs!$K$5:$AJ$160,0,MATCH(S$2,Inputs!$K$4:$AJ$4,0)))+SUMPRODUCT((Inputs!$C$5:$C$160=$B50)*Inputs!$D$5:$D$160*(((Inputs!$G$5:$G$160="moeda")+(Inputs!$G$5:$G$160="acoes"))*Inputs!$B$1+((Inputs!$G$5:$G$160&lt;&gt;"moeda")*(Inputs!$G$5:$G$160&lt;&gt;"acoes")))*INDEX(Inputs!$K$5:$AJ$160,0,MATCH(S$2,Inputs!$K$4:$AJ$4,0)))+SUMPRODUCT((Inputs!$E$5:$E$160=$B50)*Inputs!$F$5:$F$160*(((Inputs!$G$5:$G$160="moeda")+(Inputs!$G$5:$G$160="acoes"))*Inputs!$B$1+((Inputs!$G$5:$G$160&lt;&gt;"moeda")*(Inputs!$G$5:$G$160&lt;&gt;"acoes")))*INDEX(Inputs!$K$5:$AJ$160,0,MATCH(S$2,Inputs!$K$4:$AJ$4,0)))))</f>
        <v>167.9596009</v>
      </c>
      <c r="T50" s="6">
        <f>IF(ISNA(MATCH(T$2,Inputs!$K$4:$AJ$4,0)),NA(),IF(SUMPRODUCT((Inputs!$A$5:$A$160=$B50)*ISNUMBER(INDEX(Inputs!$K$5:$AJ$160,0,MATCH(T$2,Inputs!$K$4:$AJ$4,0))))+SUMPRODUCT((Inputs!$C$5:$C$160=$B50)*ISNUMBER(INDEX(Inputs!$K$5:$AJ$160,0,MATCH(T$2,Inputs!$K$4:$AJ$4,0))))+SUMPRODUCT((Inputs!$E$5:$E$160=$B50)*ISNUMBER(INDEX(Inputs!$K$5:$AJ$160,0,MATCH(T$2,Inputs!$K$4:$AJ$4,0))))=0,NA(),SUMPRODUCT((Inputs!$A$5:$A$160=$B50)*Inputs!$B$5:$B$160*(((Inputs!$G$5:$G$160="moeda")+(Inputs!$G$5:$G$160="acoes"))*Inputs!$B$1+((Inputs!$G$5:$G$160&lt;&gt;"moeda")*(Inputs!$G$5:$G$160&lt;&gt;"acoes")))*INDEX(Inputs!$K$5:$AJ$160,0,MATCH(T$2,Inputs!$K$4:$AJ$4,0)))+SUMPRODUCT((Inputs!$C$5:$C$160=$B50)*Inputs!$D$5:$D$160*(((Inputs!$G$5:$G$160="moeda")+(Inputs!$G$5:$G$160="acoes"))*Inputs!$B$1+((Inputs!$G$5:$G$160&lt;&gt;"moeda")*(Inputs!$G$5:$G$160&lt;&gt;"acoes")))*INDEX(Inputs!$K$5:$AJ$160,0,MATCH(T$2,Inputs!$K$4:$AJ$4,0)))+SUMPRODUCT((Inputs!$E$5:$E$160=$B50)*Inputs!$F$5:$F$160*(((Inputs!$G$5:$G$160="moeda")+(Inputs!$G$5:$G$160="acoes"))*Inputs!$B$1+((Inputs!$G$5:$G$160&lt;&gt;"moeda")*(Inputs!$G$5:$G$160&lt;&gt;"acoes")))*INDEX(Inputs!$K$5:$AJ$160,0,MATCH(T$2,Inputs!$K$4:$AJ$4,0)))))</f>
        <v>173.586</v>
      </c>
      <c r="U50" s="6">
        <f>IF(ISNA(MATCH(U$2,Inputs!$K$4:$AJ$4,0)),NA(),IF(SUMPRODUCT((Inputs!$A$5:$A$160=$B50)*ISNUMBER(INDEX(Inputs!$K$5:$AJ$160,0,MATCH(U$2,Inputs!$K$4:$AJ$4,0))))+SUMPRODUCT((Inputs!$C$5:$C$160=$B50)*ISNUMBER(INDEX(Inputs!$K$5:$AJ$160,0,MATCH(U$2,Inputs!$K$4:$AJ$4,0))))+SUMPRODUCT((Inputs!$E$5:$E$160=$B50)*ISNUMBER(INDEX(Inputs!$K$5:$AJ$160,0,MATCH(U$2,Inputs!$K$4:$AJ$4,0))))=0,NA(),SUMPRODUCT((Inputs!$A$5:$A$160=$B50)*Inputs!$B$5:$B$160*(((Inputs!$G$5:$G$160="moeda")+(Inputs!$G$5:$G$160="acoes"))*Inputs!$B$1+((Inputs!$G$5:$G$160&lt;&gt;"moeda")*(Inputs!$G$5:$G$160&lt;&gt;"acoes")))*INDEX(Inputs!$K$5:$AJ$160,0,MATCH(U$2,Inputs!$K$4:$AJ$4,0)))+SUMPRODUCT((Inputs!$C$5:$C$160=$B50)*Inputs!$D$5:$D$160*(((Inputs!$G$5:$G$160="moeda")+(Inputs!$G$5:$G$160="acoes"))*Inputs!$B$1+((Inputs!$G$5:$G$160&lt;&gt;"moeda")*(Inputs!$G$5:$G$160&lt;&gt;"acoes")))*INDEX(Inputs!$K$5:$AJ$160,0,MATCH(U$2,Inputs!$K$4:$AJ$4,0)))+SUMPRODUCT((Inputs!$E$5:$E$160=$B50)*Inputs!$F$5:$F$160*(((Inputs!$G$5:$G$160="moeda")+(Inputs!$G$5:$G$160="acoes"))*Inputs!$B$1+((Inputs!$G$5:$G$160&lt;&gt;"moeda")*(Inputs!$G$5:$G$160&lt;&gt;"acoes")))*INDEX(Inputs!$K$5:$AJ$160,0,MATCH(U$2,Inputs!$K$4:$AJ$4,0)))))</f>
        <v>190.705474</v>
      </c>
      <c r="V50" s="6">
        <f>IF(ISNA(MATCH(V$2,Inputs!$K$4:$AJ$4,0)),NA(),IF(SUMPRODUCT((Inputs!$A$5:$A$160=$B50)*ISNUMBER(INDEX(Inputs!$K$5:$AJ$160,0,MATCH(V$2,Inputs!$K$4:$AJ$4,0))))+SUMPRODUCT((Inputs!$C$5:$C$160=$B50)*ISNUMBER(INDEX(Inputs!$K$5:$AJ$160,0,MATCH(V$2,Inputs!$K$4:$AJ$4,0))))+SUMPRODUCT((Inputs!$E$5:$E$160=$B50)*ISNUMBER(INDEX(Inputs!$K$5:$AJ$160,0,MATCH(V$2,Inputs!$K$4:$AJ$4,0))))=0,NA(),SUMPRODUCT((Inputs!$A$5:$A$160=$B50)*Inputs!$B$5:$B$160*(((Inputs!$G$5:$G$160="moeda")+(Inputs!$G$5:$G$160="acoes"))*Inputs!$B$1+((Inputs!$G$5:$G$160&lt;&gt;"moeda")*(Inputs!$G$5:$G$160&lt;&gt;"acoes")))*INDEX(Inputs!$K$5:$AJ$160,0,MATCH(V$2,Inputs!$K$4:$AJ$4,0)))+SUMPRODUCT((Inputs!$C$5:$C$160=$B50)*Inputs!$D$5:$D$160*(((Inputs!$G$5:$G$160="moeda")+(Inputs!$G$5:$G$160="acoes"))*Inputs!$B$1+((Inputs!$G$5:$G$160&lt;&gt;"moeda")*(Inputs!$G$5:$G$160&lt;&gt;"acoes")))*INDEX(Inputs!$K$5:$AJ$160,0,MATCH(V$2,Inputs!$K$4:$AJ$4,0)))+SUMPRODUCT((Inputs!$E$5:$E$160=$B50)*Inputs!$F$5:$F$160*(((Inputs!$G$5:$G$160="moeda")+(Inputs!$G$5:$G$160="acoes"))*Inputs!$B$1+((Inputs!$G$5:$G$160&lt;&gt;"moeda")*(Inputs!$G$5:$G$160&lt;&gt;"acoes")))*INDEX(Inputs!$K$5:$AJ$160,0,MATCH(V$2,Inputs!$K$4:$AJ$4,0)))))</f>
        <v>83.9209250999994</v>
      </c>
      <c r="W50" s="3">
        <f>SUM(S50:V50)</f>
        <v>616.171999999999</v>
      </c>
      <c r="X50" s="6">
        <f>IF(ISNA(MATCH(X$2,Inputs!$K$4:$AJ$4,0)),NA(),IF(SUMPRODUCT((Inputs!$A$5:$A$160=$B50)*ISNUMBER(INDEX(Inputs!$K$5:$AJ$160,0,MATCH(X$2,Inputs!$K$4:$AJ$4,0))))+SUMPRODUCT((Inputs!$C$5:$C$160=$B50)*ISNUMBER(INDEX(Inputs!$K$5:$AJ$160,0,MATCH(X$2,Inputs!$K$4:$AJ$4,0))))+SUMPRODUCT((Inputs!$E$5:$E$160=$B50)*ISNUMBER(INDEX(Inputs!$K$5:$AJ$160,0,MATCH(X$2,Inputs!$K$4:$AJ$4,0))))=0,NA(),SUMPRODUCT((Inputs!$A$5:$A$160=$B50)*Inputs!$B$5:$B$160*(((Inputs!$G$5:$G$160="moeda")+(Inputs!$G$5:$G$160="acoes"))*Inputs!$B$1+((Inputs!$G$5:$G$160&lt;&gt;"moeda")*(Inputs!$G$5:$G$160&lt;&gt;"acoes")))*INDEX(Inputs!$K$5:$AJ$160,0,MATCH(X$2,Inputs!$K$4:$AJ$4,0)))+SUMPRODUCT((Inputs!$C$5:$C$160=$B50)*Inputs!$D$5:$D$160*(((Inputs!$G$5:$G$160="moeda")+(Inputs!$G$5:$G$160="acoes"))*Inputs!$B$1+((Inputs!$G$5:$G$160&lt;&gt;"moeda")*(Inputs!$G$5:$G$160&lt;&gt;"acoes")))*INDEX(Inputs!$K$5:$AJ$160,0,MATCH(X$2,Inputs!$K$4:$AJ$4,0)))+SUMPRODUCT((Inputs!$E$5:$E$160=$B50)*Inputs!$F$5:$F$160*(((Inputs!$G$5:$G$160="moeda")+(Inputs!$G$5:$G$160="acoes"))*Inputs!$B$1+((Inputs!$G$5:$G$160&lt;&gt;"moeda")*(Inputs!$G$5:$G$160&lt;&gt;"acoes")))*INDEX(Inputs!$K$5:$AJ$160,0,MATCH(X$2,Inputs!$K$4:$AJ$4,0)))))</f>
        <v>179.28629</v>
      </c>
      <c r="Y50" s="6">
        <f>IF(ISNA(MATCH(Y$2,Inputs!$K$4:$AJ$4,0)),NA(),IF(SUMPRODUCT((Inputs!$A$5:$A$160=$B50)*ISNUMBER(INDEX(Inputs!$K$5:$AJ$160,0,MATCH(Y$2,Inputs!$K$4:$AJ$4,0))))+SUMPRODUCT((Inputs!$C$5:$C$160=$B50)*ISNUMBER(INDEX(Inputs!$K$5:$AJ$160,0,MATCH(Y$2,Inputs!$K$4:$AJ$4,0))))+SUMPRODUCT((Inputs!$E$5:$E$160=$B50)*ISNUMBER(INDEX(Inputs!$K$5:$AJ$160,0,MATCH(Y$2,Inputs!$K$4:$AJ$4,0))))=0,NA(),SUMPRODUCT((Inputs!$A$5:$A$160=$B50)*Inputs!$B$5:$B$160*(((Inputs!$G$5:$G$160="moeda")+(Inputs!$G$5:$G$160="acoes"))*Inputs!$B$1+((Inputs!$G$5:$G$160&lt;&gt;"moeda")*(Inputs!$G$5:$G$160&lt;&gt;"acoes")))*INDEX(Inputs!$K$5:$AJ$160,0,MATCH(Y$2,Inputs!$K$4:$AJ$4,0)))+SUMPRODUCT((Inputs!$C$5:$C$160=$B50)*Inputs!$D$5:$D$160*(((Inputs!$G$5:$G$160="moeda")+(Inputs!$G$5:$G$160="acoes"))*Inputs!$B$1+((Inputs!$G$5:$G$160&lt;&gt;"moeda")*(Inputs!$G$5:$G$160&lt;&gt;"acoes")))*INDEX(Inputs!$K$5:$AJ$160,0,MATCH(Y$2,Inputs!$K$4:$AJ$4,0)))+SUMPRODUCT((Inputs!$E$5:$E$160=$B50)*Inputs!$F$5:$F$160*(((Inputs!$G$5:$G$160="moeda")+(Inputs!$G$5:$G$160="acoes"))*Inputs!$B$1+((Inputs!$G$5:$G$160&lt;&gt;"moeda")*(Inputs!$G$5:$G$160&lt;&gt;"acoes")))*INDEX(Inputs!$K$5:$AJ$160,0,MATCH(Y$2,Inputs!$K$4:$AJ$4,0)))))</f>
        <v>152.299179</v>
      </c>
      <c r="Z50" s="6">
        <f>IF(ISNA(MATCH(Z$2,Inputs!$K$4:$AJ$4,0)),NA(),IF(SUMPRODUCT((Inputs!$A$5:$A$160=$B50)*ISNUMBER(INDEX(Inputs!$K$5:$AJ$160,0,MATCH(Z$2,Inputs!$K$4:$AJ$4,0))))+SUMPRODUCT((Inputs!$C$5:$C$160=$B50)*ISNUMBER(INDEX(Inputs!$K$5:$AJ$160,0,MATCH(Z$2,Inputs!$K$4:$AJ$4,0))))+SUMPRODUCT((Inputs!$E$5:$E$160=$B50)*ISNUMBER(INDEX(Inputs!$K$5:$AJ$160,0,MATCH(Z$2,Inputs!$K$4:$AJ$4,0))))=0,NA(),SUMPRODUCT((Inputs!$A$5:$A$160=$B50)*Inputs!$B$5:$B$160*(((Inputs!$G$5:$G$160="moeda")+(Inputs!$G$5:$G$160="acoes"))*Inputs!$B$1+((Inputs!$G$5:$G$160&lt;&gt;"moeda")*(Inputs!$G$5:$G$160&lt;&gt;"acoes")))*INDEX(Inputs!$K$5:$AJ$160,0,MATCH(Z$2,Inputs!$K$4:$AJ$4,0)))+SUMPRODUCT((Inputs!$C$5:$C$160=$B50)*Inputs!$D$5:$D$160*(((Inputs!$G$5:$G$160="moeda")+(Inputs!$G$5:$G$160="acoes"))*Inputs!$B$1+((Inputs!$G$5:$G$160&lt;&gt;"moeda")*(Inputs!$G$5:$G$160&lt;&gt;"acoes")))*INDEX(Inputs!$K$5:$AJ$160,0,MATCH(Z$2,Inputs!$K$4:$AJ$4,0)))+SUMPRODUCT((Inputs!$E$5:$E$160=$B50)*Inputs!$F$5:$F$160*(((Inputs!$G$5:$G$160="moeda")+(Inputs!$G$5:$G$160="acoes"))*Inputs!$B$1+((Inputs!$G$5:$G$160&lt;&gt;"moeda")*(Inputs!$G$5:$G$160&lt;&gt;"acoes")))*INDEX(Inputs!$K$5:$AJ$160,0,MATCH(Z$2,Inputs!$K$4:$AJ$4,0)))))</f>
        <v>184.916722720184</v>
      </c>
      <c r="AA50" s="6">
        <f>IF(ISNA(MATCH(AA$2,Inputs!$K$4:$AJ$4,0)),NA(),IF(SUMPRODUCT((Inputs!$A$5:$A$160=$B50)*ISNUMBER(INDEX(Inputs!$K$5:$AJ$160,0,MATCH(AA$2,Inputs!$K$4:$AJ$4,0))))+SUMPRODUCT((Inputs!$C$5:$C$160=$B50)*ISNUMBER(INDEX(Inputs!$K$5:$AJ$160,0,MATCH(AA$2,Inputs!$K$4:$AJ$4,0))))+SUMPRODUCT((Inputs!$E$5:$E$160=$B50)*ISNUMBER(INDEX(Inputs!$K$5:$AJ$160,0,MATCH(AA$2,Inputs!$K$4:$AJ$4,0))))=0,NA(),SUMPRODUCT((Inputs!$A$5:$A$160=$B50)*Inputs!$B$5:$B$160*(((Inputs!$G$5:$G$160="moeda")+(Inputs!$G$5:$G$160="acoes"))*Inputs!$B$1+((Inputs!$G$5:$G$160&lt;&gt;"moeda")*(Inputs!$G$5:$G$160&lt;&gt;"acoes")))*INDEX(Inputs!$K$5:$AJ$160,0,MATCH(AA$2,Inputs!$K$4:$AJ$4,0)))+SUMPRODUCT((Inputs!$C$5:$C$160=$B50)*Inputs!$D$5:$D$160*(((Inputs!$G$5:$G$160="moeda")+(Inputs!$G$5:$G$160="acoes"))*Inputs!$B$1+((Inputs!$G$5:$G$160&lt;&gt;"moeda")*(Inputs!$G$5:$G$160&lt;&gt;"acoes")))*INDEX(Inputs!$K$5:$AJ$160,0,MATCH(AA$2,Inputs!$K$4:$AJ$4,0)))+SUMPRODUCT((Inputs!$E$5:$E$160=$B50)*Inputs!$F$5:$F$160*(((Inputs!$G$5:$G$160="moeda")+(Inputs!$G$5:$G$160="acoes"))*Inputs!$B$1+((Inputs!$G$5:$G$160&lt;&gt;"moeda")*(Inputs!$G$5:$G$160&lt;&gt;"acoes")))*INDEX(Inputs!$K$5:$AJ$160,0,MATCH(AA$2,Inputs!$K$4:$AJ$4,0)))))</f>
        <v>96.3284097835915</v>
      </c>
      <c r="AB50" s="3">
        <f>SUM(X50:AA50)</f>
        <v>612.830601503776</v>
      </c>
      <c r="AC50" s="6">
        <f>IF(ISNA(MATCH(AC$2,Inputs!$K$4:$AJ$4,0)),NA(),IF(SUMPRODUCT((Inputs!$A$5:$A$160=$B50)*ISNUMBER(INDEX(Inputs!$K$5:$AJ$160,0,MATCH(AC$2,Inputs!$K$4:$AJ$4,0))))+SUMPRODUCT((Inputs!$C$5:$C$160=$B50)*ISNUMBER(INDEX(Inputs!$K$5:$AJ$160,0,MATCH(AC$2,Inputs!$K$4:$AJ$4,0))))+SUMPRODUCT((Inputs!$E$5:$E$160=$B50)*ISNUMBER(INDEX(Inputs!$K$5:$AJ$160,0,MATCH(AC$2,Inputs!$K$4:$AJ$4,0))))=0,NA(),SUMPRODUCT((Inputs!$A$5:$A$160=$B50)*Inputs!$B$5:$B$160*(((Inputs!$G$5:$G$160="moeda")+(Inputs!$G$5:$G$160="acoes"))*Inputs!$B$1+((Inputs!$G$5:$G$160&lt;&gt;"moeda")*(Inputs!$G$5:$G$160&lt;&gt;"acoes")))*INDEX(Inputs!$K$5:$AJ$160,0,MATCH(AC$2,Inputs!$K$4:$AJ$4,0)))+SUMPRODUCT((Inputs!$C$5:$C$160=$B50)*Inputs!$D$5:$D$160*(((Inputs!$G$5:$G$160="moeda")+(Inputs!$G$5:$G$160="acoes"))*Inputs!$B$1+((Inputs!$G$5:$G$160&lt;&gt;"moeda")*(Inputs!$G$5:$G$160&lt;&gt;"acoes")))*INDEX(Inputs!$K$5:$AJ$160,0,MATCH(AC$2,Inputs!$K$4:$AJ$4,0)))+SUMPRODUCT((Inputs!$E$5:$E$160=$B50)*Inputs!$F$5:$F$160*(((Inputs!$G$5:$G$160="moeda")+(Inputs!$G$5:$G$160="acoes"))*Inputs!$B$1+((Inputs!$G$5:$G$160&lt;&gt;"moeda")*(Inputs!$G$5:$G$160&lt;&gt;"acoes")))*INDEX(Inputs!$K$5:$AJ$160,0,MATCH(AC$2,Inputs!$K$4:$AJ$4,0)))))</f>
        <v>201.21196412</v>
      </c>
      <c r="AD50" s="6">
        <f>IF(ISNA(MATCH(AD$2,Inputs!$K$4:$AJ$4,0)),NA(),IF(SUMPRODUCT((Inputs!$A$5:$A$160=$B50)*ISNUMBER(INDEX(Inputs!$K$5:$AJ$160,0,MATCH(AD$2,Inputs!$K$4:$AJ$4,0))))+SUMPRODUCT((Inputs!$C$5:$C$160=$B50)*ISNUMBER(INDEX(Inputs!$K$5:$AJ$160,0,MATCH(AD$2,Inputs!$K$4:$AJ$4,0))))+SUMPRODUCT((Inputs!$E$5:$E$160=$B50)*ISNUMBER(INDEX(Inputs!$K$5:$AJ$160,0,MATCH(AD$2,Inputs!$K$4:$AJ$4,0))))=0,NA(),SUMPRODUCT((Inputs!$A$5:$A$160=$B50)*Inputs!$B$5:$B$160*(((Inputs!$G$5:$G$160="moeda")+(Inputs!$G$5:$G$160="acoes"))*Inputs!$B$1+((Inputs!$G$5:$G$160&lt;&gt;"moeda")*(Inputs!$G$5:$G$160&lt;&gt;"acoes")))*INDEX(Inputs!$K$5:$AJ$160,0,MATCH(AD$2,Inputs!$K$4:$AJ$4,0)))+SUMPRODUCT((Inputs!$C$5:$C$160=$B50)*Inputs!$D$5:$D$160*(((Inputs!$G$5:$G$160="moeda")+(Inputs!$G$5:$G$160="acoes"))*Inputs!$B$1+((Inputs!$G$5:$G$160&lt;&gt;"moeda")*(Inputs!$G$5:$G$160&lt;&gt;"acoes")))*INDEX(Inputs!$K$5:$AJ$160,0,MATCH(AD$2,Inputs!$K$4:$AJ$4,0)))+SUMPRODUCT((Inputs!$E$5:$E$160=$B50)*Inputs!$F$5:$F$160*(((Inputs!$G$5:$G$160="moeda")+(Inputs!$G$5:$G$160="acoes"))*Inputs!$B$1+((Inputs!$G$5:$G$160&lt;&gt;"moeda")*(Inputs!$G$5:$G$160&lt;&gt;"acoes")))*INDEX(Inputs!$K$5:$AJ$160,0,MATCH(AD$2,Inputs!$K$4:$AJ$4,0)))))</f>
        <v>221.850208</v>
      </c>
      <c r="AE50" s="6" t="e">
        <f>IF(ISNA(MATCH(AE$2,Inputs!$K$4:$AJ$4,0)),NA(),IF(SUMPRODUCT((Inputs!$A$5:$A$160=$B50)*ISNUMBER(INDEX(Inputs!$K$5:$AJ$160,0,MATCH(AE$2,Inputs!$K$4:$AJ$4,0))))+SUMPRODUCT((Inputs!$C$5:$C$160=$B50)*ISNUMBER(INDEX(Inputs!$K$5:$AJ$160,0,MATCH(AE$2,Inputs!$K$4:$AJ$4,0))))+SUMPRODUCT((Inputs!$E$5:$E$160=$B50)*ISNUMBER(INDEX(Inputs!$K$5:$AJ$160,0,MATCH(AE$2,Inputs!$K$4:$AJ$4,0))))=0,NA(),SUMPRODUCT((Inputs!$A$5:$A$160=$B50)*Inputs!$B$5:$B$160*(((Inputs!$G$5:$G$160="moeda")+(Inputs!$G$5:$G$160="acoes"))*Inputs!$B$1+((Inputs!$G$5:$G$160&lt;&gt;"moeda")*(Inputs!$G$5:$G$160&lt;&gt;"acoes")))*INDEX(Inputs!$K$5:$AJ$160,0,MATCH(AE$2,Inputs!$K$4:$AJ$4,0)))+SUMPRODUCT((Inputs!$C$5:$C$160=$B50)*Inputs!$D$5:$D$160*(((Inputs!$G$5:$G$160="moeda")+(Inputs!$G$5:$G$160="acoes"))*Inputs!$B$1+((Inputs!$G$5:$G$160&lt;&gt;"moeda")*(Inputs!$G$5:$G$160&lt;&gt;"acoes")))*INDEX(Inputs!$K$5:$AJ$160,0,MATCH(AE$2,Inputs!$K$4:$AJ$4,0)))+SUMPRODUCT((Inputs!$E$5:$E$160=$B50)*Inputs!$F$5:$F$160*(((Inputs!$G$5:$G$160="moeda")+(Inputs!$G$5:$G$160="acoes"))*Inputs!$B$1+((Inputs!$G$5:$G$160&lt;&gt;"moeda")*(Inputs!$G$5:$G$160&lt;&gt;"acoes")))*INDEX(Inputs!$K$5:$AJ$160,0,MATCH(AE$2,Inputs!$K$4:$AJ$4,0)))))</f>
        <v>#N/A</v>
      </c>
      <c r="AF50" s="6" t="e">
        <f>IF(ISNA(MATCH(AF$2,Inputs!$K$4:$AJ$4,0)),NA(),IF(SUMPRODUCT((Inputs!$A$5:$A$160=$B50)*ISNUMBER(INDEX(Inputs!$K$5:$AJ$160,0,MATCH(AF$2,Inputs!$K$4:$AJ$4,0))))+SUMPRODUCT((Inputs!$C$5:$C$160=$B50)*ISNUMBER(INDEX(Inputs!$K$5:$AJ$160,0,MATCH(AF$2,Inputs!$K$4:$AJ$4,0))))+SUMPRODUCT((Inputs!$E$5:$E$160=$B50)*ISNUMBER(INDEX(Inputs!$K$5:$AJ$160,0,MATCH(AF$2,Inputs!$K$4:$AJ$4,0))))=0,NA(),SUMPRODUCT((Inputs!$A$5:$A$160=$B50)*Inputs!$B$5:$B$160*(((Inputs!$G$5:$G$160="moeda")+(Inputs!$G$5:$G$160="acoes"))*Inputs!$B$1+((Inputs!$G$5:$G$160&lt;&gt;"moeda")*(Inputs!$G$5:$G$160&lt;&gt;"acoes")))*INDEX(Inputs!$K$5:$AJ$160,0,MATCH(AF$2,Inputs!$K$4:$AJ$4,0)))+SUMPRODUCT((Inputs!$C$5:$C$160=$B50)*Inputs!$D$5:$D$160*(((Inputs!$G$5:$G$160="moeda")+(Inputs!$G$5:$G$160="acoes"))*Inputs!$B$1+((Inputs!$G$5:$G$160&lt;&gt;"moeda")*(Inputs!$G$5:$G$160&lt;&gt;"acoes")))*INDEX(Inputs!$K$5:$AJ$160,0,MATCH(AF$2,Inputs!$K$4:$AJ$4,0)))+SUMPRODUCT((Inputs!$E$5:$E$160=$B50)*Inputs!$F$5:$F$160*(((Inputs!$G$5:$G$160="moeda")+(Inputs!$G$5:$G$160="acoes"))*Inputs!$B$1+((Inputs!$G$5:$G$160&lt;&gt;"moeda")*(Inputs!$G$5:$G$160&lt;&gt;"acoes")))*INDEX(Inputs!$K$5:$AJ$160,0,MATCH(AF$2,Inputs!$K$4:$AJ$4,0)))))</f>
        <v>#N/A</v>
      </c>
      <c r="AG50" s="3" t="e">
        <f>SUM(AC50:AF50)</f>
        <v>#N/A</v>
      </c>
      <c r="AH50">
        <f>IF(ISNA(MATCH(AH$2,Inputs!$K$4:$AJ$4,0)),NA(),IF(SUMPRODUCT((Inputs!$A$5:$A$160=$B50)*ISNUMBER(INDEX(Inputs!$K$5:$AJ$160,0,MATCH(AH$2,Inputs!$K$4:$AJ$4,0))))+SUMPRODUCT((Inputs!$C$5:$C$160=$B50)*ISNUMBER(INDEX(Inputs!$K$5:$AJ$160,0,MATCH(AH$2,Inputs!$K$4:$AJ$4,0))))+SUMPRODUCT((Inputs!$E$5:$E$160=$B50)*ISNUMBER(INDEX(Inputs!$K$5:$AJ$160,0,MATCH(AH$2,Inputs!$K$4:$AJ$4,0))))=0,NA(),SUMPRODUCT((Inputs!$A$5:$A$160=$B50)*Inputs!$B$5:$B$160*(((Inputs!$G$5:$G$160="moeda")+(Inputs!$G$5:$G$160="acoes"))*Inputs!$B$1+((Inputs!$G$5:$G$160&lt;&gt;"moeda")*(Inputs!$G$5:$G$160&lt;&gt;"acoes")))*INDEX(Inputs!$K$5:$AJ$160,0,MATCH(AH$2,Inputs!$K$4:$AJ$4,0)))+SUMPRODUCT((Inputs!$C$5:$C$160=$B50)*Inputs!$D$5:$D$160*(((Inputs!$G$5:$G$160="moeda")+(Inputs!$G$5:$G$160="acoes"))*Inputs!$B$1+((Inputs!$G$5:$G$160&lt;&gt;"moeda")*(Inputs!$G$5:$G$160&lt;&gt;"acoes")))*INDEX(Inputs!$K$5:$AJ$160,0,MATCH(AH$2,Inputs!$K$4:$AJ$4,0)))+SUMPRODUCT((Inputs!$E$5:$E$160=$B50)*Inputs!$F$5:$F$160*(((Inputs!$G$5:$G$160="moeda")+(Inputs!$G$5:$G$160="acoes"))*Inputs!$B$1+((Inputs!$G$5:$G$160&lt;&gt;"moeda")*(Inputs!$G$5:$G$160&lt;&gt;"acoes")))*INDEX(Inputs!$K$5:$AJ$160,0,MATCH(AH$2,Inputs!$K$4:$AJ$4,0)))))</f>
        <v>58.719107756418</v>
      </c>
      <c r="AI50">
        <f>IF(ISNA(MATCH(AI$2,Inputs!$K$4:$AJ$4,0)),NA(),IF(SUMPRODUCT((Inputs!$A$5:$A$160=$B50)*ISNUMBER(INDEX(Inputs!$K$5:$AJ$160,0,MATCH(AI$2,Inputs!$K$4:$AJ$4,0))))+SUMPRODUCT((Inputs!$C$5:$C$160=$B50)*ISNUMBER(INDEX(Inputs!$K$5:$AJ$160,0,MATCH(AI$2,Inputs!$K$4:$AJ$4,0))))+SUMPRODUCT((Inputs!$E$5:$E$160=$B50)*ISNUMBER(INDEX(Inputs!$K$5:$AJ$160,0,MATCH(AI$2,Inputs!$K$4:$AJ$4,0))))=0,NA(),SUMPRODUCT((Inputs!$A$5:$A$160=$B50)*Inputs!$B$5:$B$160*(((Inputs!$G$5:$G$160="moeda")+(Inputs!$G$5:$G$160="acoes"))*Inputs!$B$1+((Inputs!$G$5:$G$160&lt;&gt;"moeda")*(Inputs!$G$5:$G$160&lt;&gt;"acoes")))*INDEX(Inputs!$K$5:$AJ$160,0,MATCH(AI$2,Inputs!$K$4:$AJ$4,0)))+SUMPRODUCT((Inputs!$C$5:$C$160=$B50)*Inputs!$D$5:$D$160*(((Inputs!$G$5:$G$160="moeda")+(Inputs!$G$5:$G$160="acoes"))*Inputs!$B$1+((Inputs!$G$5:$G$160&lt;&gt;"moeda")*(Inputs!$G$5:$G$160&lt;&gt;"acoes")))*INDEX(Inputs!$K$5:$AJ$160,0,MATCH(AI$2,Inputs!$K$4:$AJ$4,0)))+SUMPRODUCT((Inputs!$E$5:$E$160=$B50)*Inputs!$F$5:$F$160*(((Inputs!$G$5:$G$160="moeda")+(Inputs!$G$5:$G$160="acoes"))*Inputs!$B$1+((Inputs!$G$5:$G$160&lt;&gt;"moeda")*(Inputs!$G$5:$G$160&lt;&gt;"acoes")))*INDEX(Inputs!$K$5:$AJ$160,0,MATCH(AI$2,Inputs!$K$4:$AJ$4,0)))))</f>
        <v>-73.3055463168123</v>
      </c>
      <c r="AJ50">
        <f>IF(ISNA(MATCH(AJ$2,Inputs!$K$4:$AJ$4,0)),NA(),IF(SUMPRODUCT((Inputs!$A$5:$A$160=$B50)*ISNUMBER(INDEX(Inputs!$K$5:$AJ$160,0,MATCH(AJ$2,Inputs!$K$4:$AJ$4,0))))+SUMPRODUCT((Inputs!$C$5:$C$160=$B50)*ISNUMBER(INDEX(Inputs!$K$5:$AJ$160,0,MATCH(AJ$2,Inputs!$K$4:$AJ$4,0))))+SUMPRODUCT((Inputs!$E$5:$E$160=$B50)*ISNUMBER(INDEX(Inputs!$K$5:$AJ$160,0,MATCH(AJ$2,Inputs!$K$4:$AJ$4,0))))=0,NA(),SUMPRODUCT((Inputs!$A$5:$A$160=$B50)*Inputs!$B$5:$B$160*(((Inputs!$G$5:$G$160="moeda")+(Inputs!$G$5:$G$160="acoes"))*Inputs!$B$1+((Inputs!$G$5:$G$160&lt;&gt;"moeda")*(Inputs!$G$5:$G$160&lt;&gt;"acoes")))*INDEX(Inputs!$K$5:$AJ$160,0,MATCH(AJ$2,Inputs!$K$4:$AJ$4,0)))+SUMPRODUCT((Inputs!$C$5:$C$160=$B50)*Inputs!$D$5:$D$160*(((Inputs!$G$5:$G$160="moeda")+(Inputs!$G$5:$G$160="acoes"))*Inputs!$B$1+((Inputs!$G$5:$G$160&lt;&gt;"moeda")*(Inputs!$G$5:$G$160&lt;&gt;"acoes")))*INDEX(Inputs!$K$5:$AJ$160,0,MATCH(AJ$2,Inputs!$K$4:$AJ$4,0)))+SUMPRODUCT((Inputs!$E$5:$E$160=$B50)*Inputs!$F$5:$F$160*(((Inputs!$G$5:$G$160="moeda")+(Inputs!$G$5:$G$160="acoes"))*Inputs!$B$1+((Inputs!$G$5:$G$160&lt;&gt;"moeda")*(Inputs!$G$5:$G$160&lt;&gt;"acoes")))*INDEX(Inputs!$K$5:$AJ$160,0,MATCH(AJ$2,Inputs!$K$4:$AJ$4,0)))))</f>
        <v>132.064543995985</v>
      </c>
      <c r="AK50">
        <f>IF(ISNA(MATCH(AK$2,Inputs!$K$4:$AJ$4,0)),NA(),IF(SUMPRODUCT((Inputs!$A$5:$A$160=$B50)*ISNUMBER(INDEX(Inputs!$K$5:$AJ$160,0,MATCH(AK$2,Inputs!$K$4:$AJ$4,0))))+SUMPRODUCT((Inputs!$C$5:$C$160=$B50)*ISNUMBER(INDEX(Inputs!$K$5:$AJ$160,0,MATCH(AK$2,Inputs!$K$4:$AJ$4,0))))+SUMPRODUCT((Inputs!$E$5:$E$160=$B50)*ISNUMBER(INDEX(Inputs!$K$5:$AJ$160,0,MATCH(AK$2,Inputs!$K$4:$AJ$4,0))))=0,NA(),SUMPRODUCT((Inputs!$A$5:$A$160=$B50)*Inputs!$B$5:$B$160*(((Inputs!$G$5:$G$160="moeda")+(Inputs!$G$5:$G$160="acoes"))*Inputs!$B$1+((Inputs!$G$5:$G$160&lt;&gt;"moeda")*(Inputs!$G$5:$G$160&lt;&gt;"acoes")))*INDEX(Inputs!$K$5:$AJ$160,0,MATCH(AK$2,Inputs!$K$4:$AJ$4,0)))+SUMPRODUCT((Inputs!$C$5:$C$160=$B50)*Inputs!$D$5:$D$160*(((Inputs!$G$5:$G$160="moeda")+(Inputs!$G$5:$G$160="acoes"))*Inputs!$B$1+((Inputs!$G$5:$G$160&lt;&gt;"moeda")*(Inputs!$G$5:$G$160&lt;&gt;"acoes")))*INDEX(Inputs!$K$5:$AJ$160,0,MATCH(AK$2,Inputs!$K$4:$AJ$4,0)))+SUMPRODUCT((Inputs!$E$5:$E$160=$B50)*Inputs!$F$5:$F$160*(((Inputs!$G$5:$G$160="moeda")+(Inputs!$G$5:$G$160="acoes"))*Inputs!$B$1+((Inputs!$G$5:$G$160&lt;&gt;"moeda")*(Inputs!$G$5:$G$160&lt;&gt;"acoes")))*INDEX(Inputs!$K$5:$AJ$160,0,MATCH(AK$2,Inputs!$K$4:$AJ$4,0)))))</f>
        <v>139.482617970001</v>
      </c>
      <c r="AL50">
        <f>SUM(AH50:AK50)</f>
        <v>256.960723405592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58"/>
  <sheetViews>
    <sheetView showGridLines="0" tabSelected="1" zoomScale="85" zoomScaleNormal="85" workbookViewId="0">
      <pane xSplit="3" ySplit="11" topLeftCell="D336" activePane="bottomRight" state="frozen"/>
      <selection pane="topRight" activeCell="D1" sqref="D1"/>
      <selection pane="bottomLeft" activeCell="A10" sqref="A10"/>
      <selection pane="bottomRight" activeCell="D298" sqref="D298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0.000935814919102995</v>
      </c>
      <c r="E1" s="3">
        <f>SUM(E2,E3)</f>
        <v>4.2464307625778e-09</v>
      </c>
      <c r="F1" s="3">
        <f>SUM(F2,F3)</f>
        <v>8.77753336681053e-09</v>
      </c>
      <c r="G1" s="3">
        <f>SUM(G2,G3)</f>
        <v>7.40328687243164e-09</v>
      </c>
      <c r="H1" s="3">
        <f>SUM(H2,H3)</f>
        <v>7.40419636713341e-09</v>
      </c>
      <c r="I1" s="3">
        <f>SUM(I2,I3)</f>
        <v>3.96721588913351e-09</v>
      </c>
      <c r="J1" s="3">
        <f>SUM(J2,J3)</f>
        <v>2.94221536023542e-09</v>
      </c>
      <c r="K1" s="3">
        <f>SUM(K2,K3)</f>
        <v>4.61113813798875e-09</v>
      </c>
      <c r="L1" s="3">
        <f>SUM(L2,L3)</f>
        <v>0.00063788891785066</v>
      </c>
      <c r="M1" s="3">
        <f>SUM(M2,M3)</f>
        <v>0.000637888916571683</v>
      </c>
      <c r="N1" s="3">
        <f>SUM(N2,N3)</f>
        <v>5.99969189352123e-06</v>
      </c>
      <c r="O1" s="3">
        <f>SUM(O2,O3)</f>
        <v>8.40507155430714e-07</v>
      </c>
      <c r="P1" s="3">
        <f>SUM(P2,P3)</f>
        <v>9.99898475129157e-09</v>
      </c>
      <c r="Q1" s="3">
        <f>SUM(Q2,Q3)</f>
        <v>1.00097340691718e-05</v>
      </c>
      <c r="R1" s="3">
        <f>SUM(R2,R3)</f>
        <v>1.00097340691718e-05</v>
      </c>
      <c r="S1" s="3">
        <f>SUM(S2,S3)</f>
        <v>3.72399999832851e-05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0.000463355863757897</v>
      </c>
      <c r="Y1" s="3">
        <f>SUM(Y2,Y3)</f>
        <v>0.000275707519904245</v>
      </c>
      <c r="Z1" s="3">
        <f>SUM(Z2,Z3)</f>
        <v>0</v>
      </c>
      <c r="AA1" s="3">
        <f>SUM(AA2,AA3)</f>
        <v>3.5527136788005e-13</v>
      </c>
      <c r="AB1" s="3">
        <f>SUM(AB2,AB3)</f>
        <v>0</v>
      </c>
      <c r="AC1" s="3">
        <f>SUM(AC2,AC3)</f>
        <v>0.000463189999209135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 t="e">
        <f>SUM(AJ2,AJ3)</f>
        <v>#DIV/0!</v>
      </c>
      <c r="AK1" s="3" t="e">
        <f>SUM(AK2,AK3)</f>
        <v>#DIV/0!</v>
      </c>
      <c r="AL1" s="3" t="e">
        <f>SUM(AL2,AL3)</f>
        <v>#DIV/0!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ABS(D163-D239)</f>
        <v>0.000935814919102995</v>
      </c>
      <c r="E2" s="3">
        <f>ABS(E163-E239)</f>
        <v>4.2464307625778e-09</v>
      </c>
      <c r="F2" s="3">
        <f>ABS(F163-F239)</f>
        <v>8.77753336681053e-09</v>
      </c>
      <c r="G2" s="3">
        <f>ABS(G163-G239)</f>
        <v>7.40328687243164e-09</v>
      </c>
      <c r="H2" s="3">
        <f>ABS(H163-H239)</f>
        <v>7.40419636713341e-09</v>
      </c>
      <c r="I2" s="3">
        <f>ABS(I163-I239)</f>
        <v>3.96721588913351e-09</v>
      </c>
      <c r="J2" s="3">
        <f>ABS(J163-J239)</f>
        <v>2.94221536023542e-09</v>
      </c>
      <c r="K2" s="3">
        <f>ABS(K163-K239)</f>
        <v>4.61113813798875e-09</v>
      </c>
      <c r="L2" s="3">
        <f>ABS(L163-L239)</f>
        <v>0.000637888917481178</v>
      </c>
      <c r="M2" s="3">
        <f>ABS(M163-M239)</f>
        <v>0.000637888916571683</v>
      </c>
      <c r="N2" s="3">
        <f>ABS(N163-N239)</f>
        <v>5.99969189352123e-06</v>
      </c>
      <c r="O2" s="3">
        <f>ABS(O163-O239)</f>
        <v>8.40506800159346e-07</v>
      </c>
      <c r="P2" s="3">
        <f>ABS(P163-P239)</f>
        <v>9.99898475129157e-09</v>
      </c>
      <c r="Q2" s="3">
        <f>ABS(Q163-Q239)</f>
        <v>1.00097340691718e-05</v>
      </c>
      <c r="R2" s="3">
        <f>ABS(R163-R239)</f>
        <v>1.00097340691718e-05</v>
      </c>
      <c r="S2" s="3">
        <f>ABS(S163-S239)</f>
        <v>3.72399999832851e-05</v>
      </c>
      <c r="T2" s="3">
        <f>ABS(T163-T239)</f>
        <v>0</v>
      </c>
      <c r="U2" s="3">
        <f>ABS(U163-U239)</f>
        <v>0</v>
      </c>
      <c r="V2" s="3">
        <f>ABS(V163-V239)</f>
        <v>0</v>
      </c>
      <c r="W2" s="3">
        <f>ABS(W163-W239)</f>
        <v>0</v>
      </c>
      <c r="X2" s="3">
        <f>ABS(X163-X239)</f>
        <v>0.000463355863757897</v>
      </c>
      <c r="Y2" s="3">
        <f>ABS(Y163-Y239)</f>
        <v>0.000275707519904245</v>
      </c>
      <c r="Z2" s="3">
        <f>ABS(Z163-Z239)</f>
        <v>0</v>
      </c>
      <c r="AA2" s="3">
        <f>ABS(AA163-AA239)</f>
        <v>0</v>
      </c>
      <c r="AB2" s="3">
        <f>ABS(AB163-AB239)</f>
        <v>0</v>
      </c>
      <c r="AC2" s="3">
        <f>ABS(AC163-AC239)</f>
        <v>0.000463189999209135</v>
      </c>
      <c r="AD2" s="3">
        <f>ABS(AD163-AD239)</f>
        <v>0</v>
      </c>
      <c r="AE2" s="3">
        <f>ABS(AE163-AE239)</f>
        <v>0</v>
      </c>
      <c r="AF2" s="3">
        <f>ABS(AF163-AF239)</f>
        <v>0</v>
      </c>
      <c r="AG2" s="3">
        <f>ABS(AG163-AG239)</f>
        <v>0</v>
      </c>
      <c r="AH2" s="3">
        <f>ABS(AH163-AH239)</f>
        <v>0</v>
      </c>
      <c r="AI2" s="3">
        <f>ABS(AI163-AI239)</f>
        <v>0</v>
      </c>
      <c r="AJ2" s="3" t="e">
        <f>ABS(AJ163-AJ239)</f>
        <v>#DIV/0!</v>
      </c>
      <c r="AK2" s="3" t="e">
        <f>ABS(AK163-AK239)</f>
        <v>#DIV/0!</v>
      </c>
      <c r="AL2" s="3" t="e">
        <f>ABS(AL163-AL239)</f>
        <v>#DIV/0!</v>
      </c>
      <c r="AM2" s="3" t="e">
        <f>ABS(AM163-AM239)</f>
        <v>#DIV/0!</v>
      </c>
      <c r="AN2" s="3" t="e">
        <f>ABS(AN163-AN239)</f>
        <v>#DIV/0!</v>
      </c>
      <c r="AO2" s="3" t="e">
        <f>ABS(AO163-AO239)</f>
        <v>#DIV/0!</v>
      </c>
      <c r="AP2" s="3" t="e">
        <f>ABS(AP163-AP239)</f>
        <v>#DIV/0!</v>
      </c>
      <c r="AQ2" s="3" t="e">
        <f>ABS(AQ163-AQ239)</f>
        <v>#DIV/0!</v>
      </c>
      <c r="AR2" s="3" t="e">
        <f>ABS(AR163-AR239)</f>
        <v>#DIV/0!</v>
      </c>
      <c r="AS2" s="3" t="e">
        <f>ABS(AS163-AS239)</f>
        <v>#DIV/0!</v>
      </c>
      <c r="AT2" s="3" t="e">
        <f>ABS(AT163-AT239)</f>
        <v>#DIV/0!</v>
      </c>
      <c r="AU2" s="3" t="e">
        <f>ABS(AU163-AU239)</f>
        <v>#DIV/0!</v>
      </c>
      <c r="AV2" s="3" t="e">
        <f>ABS(AV163-AV239)</f>
        <v>#DIV/0!</v>
      </c>
      <c r="AW2" s="3" t="e">
        <f>ABS(AW163-AW239)</f>
        <v>#DIV/0!</v>
      </c>
      <c r="AX2" s="3" t="e">
        <f>ABS(AX163-AX239)</f>
        <v>#DIV/0!</v>
      </c>
      <c r="AY2" s="3" t="e">
        <f>ABS(AY163-AY239)</f>
        <v>#DIV/0!</v>
      </c>
      <c r="AZ2" s="3" t="e">
        <f>ABS(AZ163-AZ239)</f>
        <v>#DIV/0!</v>
      </c>
      <c r="BA2" s="3" t="e">
        <f>ABS(BA163-BA239)</f>
        <v>#DIV/0!</v>
      </c>
      <c r="BB2" s="3" t="e">
        <f>ABS(BB163-BB239)</f>
        <v>#DIV/0!</v>
      </c>
      <c r="BC2" s="3" t="e">
        <f>ABS(BC163-BC239)</f>
        <v>#DIV/0!</v>
      </c>
      <c r="BD2" s="3" t="e">
        <f>ABS(BD163-BD239)</f>
        <v>#DIV/0!</v>
      </c>
      <c r="BE2" s="3" t="e">
        <f>ABS(BE163-BE239)</f>
        <v>#DIV/0!</v>
      </c>
      <c r="BF2" s="3" t="e">
        <f>ABS(BF163-BF239)</f>
        <v>#DIV/0!</v>
      </c>
      <c r="BG2" s="3" t="e">
        <f>ABS(BG163-BG239)</f>
        <v>#DIV/0!</v>
      </c>
      <c r="BH2" s="3" t="e">
        <f>ABS(BH163-BH239)</f>
        <v>#DIV/0!</v>
      </c>
      <c r="BI2" s="3" t="e">
        <f>ABS(BI163-BI239)</f>
        <v>#DIV/0!</v>
      </c>
      <c r="BJ2" s="3" t="e">
        <f>ABS(BJ163-BJ239)</f>
        <v>#DIV/0!</v>
      </c>
      <c r="BK2" s="3" t="e">
        <f>ABS(BK163-BK239)</f>
        <v>#DIV/0!</v>
      </c>
      <c r="BL2" s="3" t="e">
        <f>ABS(BL163-BL239)</f>
        <v>#DIV/0!</v>
      </c>
      <c r="BM2" s="3" t="e">
        <f>ABS(BM163-BM239)</f>
        <v>#DIV/0!</v>
      </c>
      <c r="BN2" s="3" t="e">
        <f>ABS(BN163-BN239)</f>
        <v>#DIV/0!</v>
      </c>
      <c r="BO2" s="3" t="e">
        <f>ABS(BO163-BO239)</f>
        <v>#DIV/0!</v>
      </c>
      <c r="BP2" s="3" t="e">
        <f>ABS(BP163-BP239)</f>
        <v>#DIV/0!</v>
      </c>
      <c r="BQ2" s="3" t="e">
        <f>ABS(BQ163-BQ239)</f>
        <v>#DIV/0!</v>
      </c>
      <c r="BR2" s="3" t="e">
        <f>ABS(BR163-BR239)</f>
        <v>#DIV/0!</v>
      </c>
      <c r="BS2" s="3" t="e">
        <f>ABS(BS163-BS239)</f>
        <v>#DIV/0!</v>
      </c>
      <c r="BT2" s="3" t="e">
        <f>ABS(BT163-BT239)</f>
        <v>#DIV/0!</v>
      </c>
      <c r="BU2" s="3" t="e">
        <f>ABS(BU163-BU239)</f>
        <v>#DIV/0!</v>
      </c>
      <c r="BV2" s="3" t="e">
        <f>ABS(BV163-BV239)</f>
        <v>#DIV/0!</v>
      </c>
      <c r="BW2" s="3" t="e">
        <f>ABS(BW163-BW239)</f>
        <v>#DIV/0!</v>
      </c>
      <c r="BX2" s="3" t="e">
        <f>ABS(BX163-BX239)</f>
        <v>#DIV/0!</v>
      </c>
      <c r="BY2" s="3" t="e">
        <f>ABS(BY163-BY239)</f>
        <v>#DIV/0!</v>
      </c>
      <c r="BZ2" s="3" t="e">
        <f>ABS(BZ163-BZ239)</f>
        <v>#DIV/0!</v>
      </c>
      <c r="CA2" s="3" t="e">
        <f>ABS(CA163-CA239)</f>
        <v>#DIV/0!</v>
      </c>
      <c r="CB2" s="3" t="e">
        <f>ABS(CB163-CB239)</f>
        <v>#DIV/0!</v>
      </c>
      <c r="CC2" s="3" t="e">
        <f>ABS(CC163-CC239)</f>
        <v>#DIV/0!</v>
      </c>
      <c r="CD2" s="3" t="e">
        <f>ABS(CD163-CD239)</f>
        <v>#DIV/0!</v>
      </c>
      <c r="CE2" s="3" t="e">
        <f>ABS(CE163-CE239)</f>
        <v>#DIV/0!</v>
      </c>
      <c r="CF2" s="3" t="e">
        <f>ABS(CF163-CF239)</f>
        <v>#DIV/0!</v>
      </c>
      <c r="CG2" s="3" t="e">
        <f>ABS(CG163-CG239)</f>
        <v>#DIV/0!</v>
      </c>
      <c r="CH2" s="3" t="e">
        <f>ABS(CH163-CH239)</f>
        <v>#DIV/0!</v>
      </c>
      <c r="CI2" s="3" t="e">
        <f>ABS(CI163-CI239)</f>
        <v>#DIV/0!</v>
      </c>
      <c r="CJ2" s="3" t="e">
        <f>ABS(CJ163-CJ239)</f>
        <v>#DIV/0!</v>
      </c>
      <c r="CK2" s="3" t="e">
        <f>ABS(CK163-CK239)</f>
        <v>#DIV/0!</v>
      </c>
      <c r="CL2" s="3" t="e">
        <f>ABS(CL163-CL239)</f>
        <v>#DIV/0!</v>
      </c>
      <c r="CM2" s="3" t="e">
        <f>ABS(CM163-CM239)</f>
        <v>#DIV/0!</v>
      </c>
      <c r="CN2" s="3" t="e">
        <f>ABS(CN163-CN239)</f>
        <v>#DIV/0!</v>
      </c>
      <c r="CO2" s="3" t="e">
        <f>ABS(CO163-CO239)</f>
        <v>#DIV/0!</v>
      </c>
      <c r="CP2" s="3" t="e">
        <f>ABS(CP163-CP239)</f>
        <v>#DIV/0!</v>
      </c>
      <c r="CQ2" s="3" t="e">
        <f>ABS(CQ163-CQ239)</f>
        <v>#DIV/0!</v>
      </c>
      <c r="CR2" s="3" t="e">
        <f>ABS(CR163-CR239)</f>
        <v>#DIV/0!</v>
      </c>
      <c r="CS2" s="3" t="e">
        <f>ABS(CS163-CS239)</f>
        <v>#DIV/0!</v>
      </c>
      <c r="CT2" s="3" t="e">
        <f>ABS(CT163-CT239)</f>
        <v>#DIV/0!</v>
      </c>
      <c r="CU2" s="3" t="e">
        <f>ABS(CU163-CU239)</f>
        <v>#DIV/0!</v>
      </c>
      <c r="CV2" s="3" t="e">
        <f>ABS(CV163-CV239)</f>
        <v>#DIV/0!</v>
      </c>
      <c r="CW2" s="3" t="e">
        <f>ABS(CW163-CW239)</f>
        <v>#DIV/0!</v>
      </c>
      <c r="CX2" s="3" t="e">
        <f>ABS(CX163-CX239)</f>
        <v>#DIV/0!</v>
      </c>
      <c r="CY2" s="3" t="e">
        <f>ABS(CY163-CY239)</f>
        <v>#DIV/0!</v>
      </c>
    </row>
    <row r="3" outlineLevel="1">
      <c r="C3" s="5" t="inlineStr">
        <is>
          <t>IS</t>
        </is>
      </c>
      <c r="D3" s="3">
        <f>IF(COUNT(D4)=0,"",ABS(D103-D4))</f>
        <v>0</v>
      </c>
      <c r="E3" s="3">
        <f>IF(COUNT(E4)=0,"",ABS(E103-E4))</f>
        <v>0</v>
      </c>
      <c r="F3" s="3">
        <f>IF(COUNT(F4)=0,"",ABS(F103-F4))</f>
        <v>0</v>
      </c>
      <c r="G3" s="3">
        <f>IF(COUNT(G4)=0,"",ABS(G103-G4))</f>
        <v>0</v>
      </c>
      <c r="H3" s="3">
        <f>IF(COUNT(H4)=0,"",ABS(H103-H4))</f>
        <v>0</v>
      </c>
      <c r="I3" s="3">
        <f>IF(COUNT(I4)=0,"",ABS(I103-I4))</f>
        <v>0</v>
      </c>
      <c r="J3" s="3">
        <f>IF(COUNT(J4)=0,"",ABS(J103-J4))</f>
        <v>0</v>
      </c>
      <c r="K3" s="3">
        <f>IF(COUNT(K4)=0,"",ABS(K103-K4))</f>
        <v>0</v>
      </c>
      <c r="L3" s="3">
        <f>IF(COUNT(L4)=0,"",ABS(L103-L4))</f>
        <v>3.69482222595252e-13</v>
      </c>
      <c r="M3" s="3">
        <f>IF(COUNT(M4)=0,"",ABS(M103-M4))</f>
        <v>0</v>
      </c>
      <c r="N3" s="3">
        <f>IF(COUNT(N4)=0,"",ABS(N103-N4))</f>
        <v>0</v>
      </c>
      <c r="O3" s="3">
        <f>IF(COUNT(O4)=0,"",ABS(O103-O4))</f>
        <v>3.5527136788005e-13</v>
      </c>
      <c r="P3" s="3">
        <f>IF(COUNT(P4)=0,"",ABS(P103-P4))</f>
        <v>0</v>
      </c>
      <c r="Q3" s="3">
        <f>IF(COUNT(Q4)=0,"",ABS(Q103-Q4))</f>
        <v>0</v>
      </c>
      <c r="R3" s="3">
        <f>IF(COUNT(R4)=0,"",ABS(R103-R4))</f>
        <v>0</v>
      </c>
      <c r="S3" s="3">
        <f>IF(COUNT(S4)=0,"",ABS(S103-S4))</f>
        <v>0</v>
      </c>
      <c r="T3" s="3">
        <f>IF(COUNT(T4)=0,"",ABS(T103-T4))</f>
        <v>0</v>
      </c>
      <c r="U3" s="3">
        <f>IF(COUNT(U4)=0,"",ABS(U103-U4))</f>
        <v>0</v>
      </c>
      <c r="V3" s="3">
        <f>IF(COUNT(V4)=0,"",ABS(V103-V4))</f>
        <v>0</v>
      </c>
      <c r="W3" s="3">
        <f>IF(COUNT(W4)=0,"",ABS(W103-W4))</f>
        <v>0</v>
      </c>
      <c r="X3" s="3">
        <f>IF(COUNT(X4)=0,"",ABS(X103-X4))</f>
        <v>0</v>
      </c>
      <c r="Y3" s="3">
        <f>IF(COUNT(Y4)=0,"",ABS(Y103-Y4))</f>
        <v>0</v>
      </c>
      <c r="Z3" s="3">
        <f>IF(COUNT(Z4)=0,"",ABS(Z103-Z4))</f>
        <v>0</v>
      </c>
      <c r="AA3" s="3">
        <f>IF(COUNT(AA4)=0,"",ABS(AA103-AA4))</f>
        <v>3.5527136788005e-13</v>
      </c>
      <c r="AB3" s="3">
        <f>IF(COUNT(AB4)=0,"",ABS(AB103-AB4))</f>
        <v>0</v>
      </c>
      <c r="AC3" s="3">
        <f>IF(COUNT(AC4)=0,"",ABS(AC103-AC4))</f>
        <v>0</v>
      </c>
      <c r="AD3" s="3">
        <f>IF(COUNT(AD4)=0,"",ABS(AD103-AD4))</f>
        <v>0</v>
      </c>
      <c r="AE3" s="3">
        <f>IF(COUNT(AE4)=0,"",ABS(AE103-AE4))</f>
        <v>0</v>
      </c>
      <c r="AF3" s="3">
        <f>IF(COUNT(AF4)=0,"",ABS(AF103-AF4))</f>
        <v>0</v>
      </c>
      <c r="AG3" s="3">
        <f>IF(COUNT(AG4)=0,"",ABS(AG103-AG4))</f>
        <v>0</v>
      </c>
      <c r="AH3" s="3" t="str">
        <f>IF(COUNT(AH4)=0,"",ABS(AH103-AH4))</f>
        <v/>
      </c>
      <c r="AI3" s="3" t="str">
        <f>IF(COUNT(AI4)=0,"",ABS(AI103-AI4))</f>
        <v/>
      </c>
      <c r="AJ3" s="3" t="str">
        <f>IF(COUNT(AJ4)=0,"",ABS(AJ103-AJ4))</f>
        <v/>
      </c>
      <c r="AK3" s="3" t="str">
        <f>IF(COUNT(AK4)=0,"",ABS(AK103-AK4))</f>
        <v/>
      </c>
      <c r="AL3" s="3" t="str">
        <f>IF(COUNT(AL4)=0,"",ABS(AL103-AL4))</f>
        <v/>
      </c>
      <c r="AM3" s="3" t="str">
        <f>IF(COUNT(AM4)=0,"",ABS(AM103-AM4))</f>
        <v/>
      </c>
      <c r="AN3" s="3" t="str">
        <f>IF(COUNT(AN4)=0,"",ABS(AN103-AN4))</f>
        <v/>
      </c>
      <c r="AO3" s="3" t="str">
        <f>IF(COUNT(AO4)=0,"",ABS(AO103-AO4))</f>
        <v/>
      </c>
      <c r="AP3" s="3" t="str">
        <f>IF(COUNT(AP4)=0,"",ABS(AP103-AP4))</f>
        <v/>
      </c>
      <c r="AQ3" s="3" t="str">
        <f>IF(COUNT(AQ4)=0,"",ABS(AQ103-AQ4))</f>
        <v/>
      </c>
      <c r="AR3" s="3" t="str">
        <f>IF(COUNT(AR4)=0,"",ABS(AR103-AR4))</f>
        <v/>
      </c>
      <c r="AS3" s="3" t="str">
        <f>IF(COUNT(AS4)=0,"",ABS(AS103-AS4))</f>
        <v/>
      </c>
      <c r="AT3" s="3" t="str">
        <f>IF(COUNT(AT4)=0,"",ABS(AT103-AT4))</f>
        <v/>
      </c>
      <c r="AU3" s="3" t="str">
        <f>IF(COUNT(AU4)=0,"",ABS(AU103-AU4))</f>
        <v/>
      </c>
      <c r="AV3" s="3" t="str">
        <f>IF(COUNT(AV4)=0,"",ABS(AV103-AV4))</f>
        <v/>
      </c>
      <c r="AW3" s="3" t="str">
        <f>IF(COUNT(AW4)=0,"",ABS(AW103-AW4))</f>
        <v/>
      </c>
      <c r="AX3" s="3" t="str">
        <f>IF(COUNT(AX4)=0,"",ABS(AX103-AX4))</f>
        <v/>
      </c>
      <c r="AY3" s="3" t="str">
        <f>IF(COUNT(AY4)=0,"",ABS(AY103-AY4))</f>
        <v/>
      </c>
      <c r="AZ3" s="3" t="str">
        <f>IF(COUNT(AZ4)=0,"",ABS(AZ103-AZ4))</f>
        <v/>
      </c>
      <c r="BA3" s="3" t="str">
        <f>IF(COUNT(BA4)=0,"",ABS(BA103-BA4))</f>
        <v/>
      </c>
      <c r="BB3" s="3" t="str">
        <f>IF(COUNT(BB4)=0,"",ABS(BB103-BB4))</f>
        <v/>
      </c>
      <c r="BC3" s="3" t="str">
        <f>IF(COUNT(BC4)=0,"",ABS(BC103-BC4))</f>
        <v/>
      </c>
      <c r="BD3" s="3" t="str">
        <f>IF(COUNT(BD4)=0,"",ABS(BD103-BD4))</f>
        <v/>
      </c>
      <c r="BE3" s="3" t="str">
        <f>IF(COUNT(BE4)=0,"",ABS(BE103-BE4))</f>
        <v/>
      </c>
      <c r="BF3" s="3" t="str">
        <f>IF(COUNT(BF4)=0,"",ABS(BF103-BF4))</f>
        <v/>
      </c>
      <c r="BG3" s="3" t="str">
        <f>IF(COUNT(BG4)=0,"",ABS(BG103-BG4))</f>
        <v/>
      </c>
      <c r="BH3" s="3" t="str">
        <f>IF(COUNT(BH4)=0,"",ABS(BH103-BH4))</f>
        <v/>
      </c>
      <c r="BI3" s="3" t="str">
        <f>IF(COUNT(BI4)=0,"",ABS(BI103-BI4))</f>
        <v/>
      </c>
      <c r="BJ3" s="3" t="str">
        <f>IF(COUNT(BJ4)=0,"",ABS(BJ103-BJ4))</f>
        <v/>
      </c>
      <c r="BK3" s="3" t="str">
        <f>IF(COUNT(BK4)=0,"",ABS(BK103-BK4))</f>
        <v/>
      </c>
      <c r="BL3" s="3" t="str">
        <f>IF(COUNT(BL4)=0,"",ABS(BL103-BL4))</f>
        <v/>
      </c>
      <c r="BM3" s="3" t="str">
        <f>IF(COUNT(BM4)=0,"",ABS(BM103-BM4))</f>
        <v/>
      </c>
      <c r="BN3" s="3" t="str">
        <f>IF(COUNT(BN4)=0,"",ABS(BN103-BN4))</f>
        <v/>
      </c>
      <c r="BO3" s="3" t="str">
        <f>IF(COUNT(BO4)=0,"",ABS(BO103-BO4))</f>
        <v/>
      </c>
      <c r="BP3" s="3" t="str">
        <f>IF(COUNT(BP4)=0,"",ABS(BP103-BP4))</f>
        <v/>
      </c>
      <c r="BQ3" s="3" t="str">
        <f>IF(COUNT(BQ4)=0,"",ABS(BQ103-BQ4))</f>
        <v/>
      </c>
      <c r="BR3" s="3" t="str">
        <f>IF(COUNT(BR4)=0,"",ABS(BR103-BR4))</f>
        <v/>
      </c>
      <c r="BS3" s="3" t="str">
        <f>IF(COUNT(BS4)=0,"",ABS(BS103-BS4))</f>
        <v/>
      </c>
      <c r="BT3" s="3" t="str">
        <f>IF(COUNT(BT4)=0,"",ABS(BT103-BT4))</f>
        <v/>
      </c>
      <c r="BU3" s="3" t="str">
        <f>IF(COUNT(BU4)=0,"",ABS(BU103-BU4))</f>
        <v/>
      </c>
      <c r="BV3" s="3" t="str">
        <f>IF(COUNT(BV4)=0,"",ABS(BV103-BV4))</f>
        <v/>
      </c>
      <c r="BW3" s="3" t="str">
        <f>IF(COUNT(BW4)=0,"",ABS(BW103-BW4))</f>
        <v/>
      </c>
      <c r="BX3" s="3" t="str">
        <f>IF(COUNT(BX4)=0,"",ABS(BX103-BX4))</f>
        <v/>
      </c>
      <c r="BY3" s="3" t="str">
        <f>IF(COUNT(BY4)=0,"",ABS(BY103-BY4))</f>
        <v/>
      </c>
      <c r="BZ3" s="3" t="str">
        <f>IF(COUNT(BZ4)=0,"",ABS(BZ103-BZ4))</f>
        <v/>
      </c>
      <c r="CA3" s="3" t="str">
        <f>IF(COUNT(CA4)=0,"",ABS(CA103-CA4))</f>
        <v/>
      </c>
      <c r="CB3" s="3" t="str">
        <f>IF(COUNT(CB4)=0,"",ABS(CB103-CB4))</f>
        <v/>
      </c>
      <c r="CC3" s="3" t="str">
        <f>IF(COUNT(CC4)=0,"",ABS(CC103-CC4))</f>
        <v/>
      </c>
      <c r="CD3" s="3" t="str">
        <f>IF(COUNT(CD4)=0,"",ABS(CD103-CD4))</f>
        <v/>
      </c>
      <c r="CE3" s="3" t="str">
        <f>IF(COUNT(CE4)=0,"",ABS(CE103-CE4))</f>
        <v/>
      </c>
      <c r="CF3" s="3" t="str">
        <f>IF(COUNT(CF4)=0,"",ABS(CF103-CF4))</f>
        <v/>
      </c>
      <c r="CG3" s="3" t="str">
        <f>IF(COUNT(CG4)=0,"",ABS(CG103-CG4))</f>
        <v/>
      </c>
      <c r="CH3" s="3" t="str">
        <f>IF(COUNT(CH4)=0,"",ABS(CH103-CH4))</f>
        <v/>
      </c>
      <c r="CI3" s="3" t="str">
        <f>IF(COUNT(CI4)=0,"",ABS(CI103-CI4))</f>
        <v/>
      </c>
      <c r="CJ3" s="3" t="str">
        <f>IF(COUNT(CJ4)=0,"",ABS(CJ103-CJ4))</f>
        <v/>
      </c>
      <c r="CK3" s="3" t="str">
        <f>IF(COUNT(CK4)=0,"",ABS(CK103-CK4))</f>
        <v/>
      </c>
      <c r="CL3" s="3" t="str">
        <f>IF(COUNT(CL4)=0,"",ABS(CL103-CL4))</f>
        <v/>
      </c>
      <c r="CM3" s="3" t="str">
        <f>IF(COUNT(CM4)=0,"",ABS(CM103-CM4))</f>
        <v/>
      </c>
      <c r="CN3" s="3" t="str">
        <f>IF(COUNT(CN4)=0,"",ABS(CN103-CN4))</f>
        <v/>
      </c>
      <c r="CO3" s="3" t="str">
        <f>IF(COUNT(CO4)=0,"",ABS(CO103-CO4))</f>
        <v/>
      </c>
      <c r="CP3" s="3" t="str">
        <f>IF(COUNT(CP4)=0,"",ABS(CP103-CP4))</f>
        <v/>
      </c>
      <c r="CQ3" s="3" t="str">
        <f>IF(COUNT(CQ4)=0,"",ABS(CQ103-CQ4))</f>
        <v/>
      </c>
      <c r="CR3" s="3" t="str">
        <f>IF(COUNT(CR4)=0,"",ABS(CR103-CR4))</f>
        <v/>
      </c>
      <c r="CS3" s="3" t="str">
        <f>IF(COUNT(CS4)=0,"",ABS(CS103-CS4))</f>
        <v/>
      </c>
      <c r="CT3" s="3" t="str">
        <f>IF(COUNT(CT4)=0,"",ABS(CT103-CT4))</f>
        <v/>
      </c>
      <c r="CU3" s="3" t="str">
        <f>IF(COUNT(CU4)=0,"",ABS(CU103-CU4))</f>
        <v/>
      </c>
      <c r="CV3" s="3" t="str">
        <f>IF(COUNT(CV4)=0,"",ABS(CV103-CV4))</f>
        <v/>
      </c>
      <c r="CW3" s="3" t="str">
        <f>IF(COUNT(CW4)=0,"",ABS(CW103-CW4))</f>
        <v/>
      </c>
      <c r="CX3" s="3" t="str">
        <f>IF(COUNT(CX4)=0,"",ABS(CX103-CX4))</f>
        <v/>
      </c>
      <c r="CY3" s="3" t="str">
        <f>IF(COUNT(CY4)=0,"",ABS(CY103-CY4))</f>
        <v/>
      </c>
    </row>
    <row r="4" outlineLevel="1">
      <c r="C4" s="14" t="inlineStr">
        <is>
          <t>Net Income reportado (lucro liquido do periodo) - base do check IS</t>
        </is>
      </c>
      <c r="D4" s="16">
        <f>INDEX('Inputs (2)'!$D$50:$AL$50,MATCH(D$7,'Inputs (2)'!$D$2:$AL$2,0))</f>
        <v>58.719107756418</v>
      </c>
      <c r="E4" s="16">
        <f>INDEX('Inputs (2)'!$D$50:$AL$50,MATCH(E$7,'Inputs (2)'!$D$2:$AL$2,0))</f>
        <v>-73.3055463168123</v>
      </c>
      <c r="F4" s="16">
        <f>INDEX('Inputs (2)'!$D$50:$AL$50,MATCH(F$7,'Inputs (2)'!$D$2:$AL$2,0))</f>
        <v>132.064543995985</v>
      </c>
      <c r="G4" s="16">
        <f>INDEX('Inputs (2)'!$D$50:$AL$50,MATCH(G$7,'Inputs (2)'!$D$2:$AL$2,0))</f>
        <v>139.482617970001</v>
      </c>
      <c r="H4" s="16">
        <f>SUM(D4:G4)</f>
        <v>256.960723405592</v>
      </c>
      <c r="I4" s="16">
        <f>INDEX('Inputs (2)'!$D$50:$AL$50,MATCH(I$7,'Inputs (2)'!$D$2:$AL$2,0))</f>
        <v>118.61195704</v>
      </c>
      <c r="J4" s="16">
        <f>INDEX('Inputs (2)'!$D$50:$AL$50,MATCH(J$7,'Inputs (2)'!$D$2:$AL$2,0))</f>
        <v>65.5346259299989</v>
      </c>
      <c r="K4" s="16">
        <f>INDEX('Inputs (2)'!$D$50:$AL$50,MATCH(K$7,'Inputs (2)'!$D$2:$AL$2,0))</f>
        <v>94.9625657674031</v>
      </c>
      <c r="L4" s="16">
        <f>INDEX('Inputs (2)'!$D$50:$AL$50,MATCH(L$7,'Inputs (2)'!$D$2:$AL$2,0))</f>
        <v>70.8158031599996</v>
      </c>
      <c r="M4" s="16">
        <f>SUM(I4:L4)</f>
        <v>349.924951897401</v>
      </c>
      <c r="N4" s="16">
        <f>INDEX('Inputs (2)'!$D$50:$AL$50,MATCH(N$7,'Inputs (2)'!$D$2:$AL$2,0))</f>
        <v>110.440730339442</v>
      </c>
      <c r="O4" s="16">
        <f>INDEX('Inputs (2)'!$D$50:$AL$50,MATCH(O$7,'Inputs (2)'!$D$2:$AL$2,0))</f>
        <v>70.5092383980513</v>
      </c>
      <c r="P4" s="16">
        <f>INDEX('Inputs (2)'!$D$50:$AL$50,MATCH(P$7,'Inputs (2)'!$D$2:$AL$2,0))</f>
        <v>96.0057500299999</v>
      </c>
      <c r="Q4" s="16">
        <f>INDEX('Inputs (2)'!$D$50:$AL$50,MATCH(Q$7,'Inputs (2)'!$D$2:$AL$2,0))</f>
        <v>30.95268579</v>
      </c>
      <c r="R4" s="16">
        <f>SUM(N4:Q4)</f>
        <v>307.908404557494</v>
      </c>
      <c r="S4" s="16">
        <f>INDEX('Inputs (2)'!$D$50:$AL$50,MATCH(S$7,'Inputs (2)'!$D$2:$AL$2,0))</f>
        <v>93.85183176</v>
      </c>
      <c r="T4" s="16">
        <f>INDEX('Inputs (2)'!$D$50:$AL$50,MATCH(T$7,'Inputs (2)'!$D$2:$AL$2,0))</f>
        <v>74.4269289448081</v>
      </c>
      <c r="U4" s="16">
        <f>INDEX('Inputs (2)'!$D$50:$AL$50,MATCH(U$7,'Inputs (2)'!$D$2:$AL$2,0))</f>
        <v>174.198435338059</v>
      </c>
      <c r="V4" s="16">
        <f>INDEX('Inputs (2)'!$D$50:$AL$50,MATCH(V$7,'Inputs (2)'!$D$2:$AL$2,0))</f>
        <v>81.2788017439298</v>
      </c>
      <c r="W4" s="16">
        <f>SUM(S4:V4)</f>
        <v>423.755997786797</v>
      </c>
      <c r="X4" s="16">
        <f>INDEX('Inputs (2)'!$D$50:$AL$50,MATCH(X$7,'Inputs (2)'!$D$2:$AL$2,0))</f>
        <v>167.9596009</v>
      </c>
      <c r="Y4" s="16">
        <f>INDEX('Inputs (2)'!$D$50:$AL$50,MATCH(Y$7,'Inputs (2)'!$D$2:$AL$2,0))</f>
        <v>173.586</v>
      </c>
      <c r="Z4" s="16">
        <f>INDEX('Inputs (2)'!$D$50:$AL$50,MATCH(Z$7,'Inputs (2)'!$D$2:$AL$2,0))</f>
        <v>190.705474</v>
      </c>
      <c r="AA4" s="16">
        <f>INDEX('Inputs (2)'!$D$50:$AL$50,MATCH(AA$7,'Inputs (2)'!$D$2:$AL$2,0))</f>
        <v>83.9209250999994</v>
      </c>
      <c r="AB4" s="16">
        <f>SUM(X4:AA4)</f>
        <v>616.171999999999</v>
      </c>
      <c r="AC4" s="16">
        <f>INDEX('Inputs (2)'!$D$50:$AL$50,MATCH(AC$7,'Inputs (2)'!$D$2:$AL$2,0))</f>
        <v>179.28629</v>
      </c>
      <c r="AD4" s="16">
        <f>INDEX('Inputs (2)'!$D$50:$AL$50,MATCH(AD$7,'Inputs (2)'!$D$2:$AL$2,0))</f>
        <v>152.299179</v>
      </c>
      <c r="AE4" s="16">
        <f>INDEX('Inputs (2)'!$D$50:$AL$50,MATCH(AE$7,'Inputs (2)'!$D$2:$AL$2,0))</f>
        <v>184.916722720184</v>
      </c>
      <c r="AF4" s="16">
        <f>INDEX('Inputs (2)'!$D$50:$AL$50,MATCH(AF$7,'Inputs (2)'!$D$2:$AL$2,0))</f>
        <v>96.3284097835915</v>
      </c>
      <c r="AG4" s="16">
        <f>SUM(AC4:AF4)</f>
        <v>612.830601503776</v>
      </c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713.933873516418</v>
      </c>
      <c r="E15" s="15">
        <f>INDEX('Inputs (2)'!$D$4:$AL$4,MATCH(E$7,'Inputs (2)'!$D$2:$AL$2,0))</f>
        <v>454.943895321088</v>
      </c>
      <c r="F15" s="15">
        <f>INDEX('Inputs (2)'!$D$4:$AL$4,MATCH(F$7,'Inputs (2)'!$D$2:$AL$2,0))</f>
        <v>874.583070435985</v>
      </c>
      <c r="G15" s="15">
        <f>INDEX('Inputs (2)'!$D$4:$AL$4,MATCH(G$7,'Inputs (2)'!$D$2:$AL$2,0))</f>
        <v>928.154743530001</v>
      </c>
      <c r="H15" s="16">
        <f>SUM(D15:G15)</f>
        <v>2971.61558280349</v>
      </c>
      <c r="I15" s="15">
        <f>INDEX('Inputs (2)'!$D$4:$AL$4,MATCH(I$7,'Inputs (2)'!$D$2:$AL$2,0))</f>
        <v>893.807975809999</v>
      </c>
      <c r="J15" s="15">
        <f>INDEX('Inputs (2)'!$D$4:$AL$4,MATCH(J$7,'Inputs (2)'!$D$2:$AL$2,0))</f>
        <v>932.066355889999</v>
      </c>
      <c r="K15" s="15">
        <f>INDEX('Inputs (2)'!$D$4:$AL$4,MATCH(K$7,'Inputs (2)'!$D$2:$AL$2,0))</f>
        <v>1028.82986343</v>
      </c>
      <c r="L15" s="15">
        <f>INDEX('Inputs (2)'!$D$4:$AL$4,MATCH(L$7,'Inputs (2)'!$D$2:$AL$2,0))</f>
        <v>1017.94642707</v>
      </c>
      <c r="M15" s="16">
        <f>SUM(I15:L15)</f>
        <v>3872.6506222</v>
      </c>
      <c r="N15" s="15">
        <f>INDEX('Inputs (2)'!$D$4:$AL$4,MATCH(N$7,'Inputs (2)'!$D$2:$AL$2,0))</f>
        <v>1089.91257007944</v>
      </c>
      <c r="O15" s="15">
        <f>INDEX('Inputs (2)'!$D$4:$AL$4,MATCH(O$7,'Inputs (2)'!$D$2:$AL$2,0))</f>
        <v>1111.74596125805</v>
      </c>
      <c r="P15" s="15">
        <f>INDEX('Inputs (2)'!$D$4:$AL$4,MATCH(P$7,'Inputs (2)'!$D$2:$AL$2,0))</f>
        <v>1146.63487622</v>
      </c>
      <c r="Q15" s="15">
        <f>INDEX('Inputs (2)'!$D$4:$AL$4,MATCH(Q$7,'Inputs (2)'!$D$2:$AL$2,0))</f>
        <v>1114.74676428</v>
      </c>
      <c r="R15" s="16">
        <f>SUM(N15:Q15)</f>
        <v>4463.04017183749</v>
      </c>
      <c r="S15" s="15">
        <f>INDEX('Inputs (2)'!$D$4:$AL$4,MATCH(S$7,'Inputs (2)'!$D$2:$AL$2,0))</f>
        <v>1236.82329968</v>
      </c>
      <c r="T15" s="15">
        <f>INDEX('Inputs (2)'!$D$4:$AL$4,MATCH(T$7,'Inputs (2)'!$D$2:$AL$2,0))</f>
        <v>1659.541</v>
      </c>
      <c r="U15" s="15">
        <f>INDEX('Inputs (2)'!$D$4:$AL$4,MATCH(U$7,'Inputs (2)'!$D$2:$AL$2,0))</f>
        <v>1870.045</v>
      </c>
      <c r="V15" s="15">
        <f>INDEX('Inputs (2)'!$D$4:$AL$4,MATCH(V$7,'Inputs (2)'!$D$2:$AL$2,0))</f>
        <v>1704.44070032</v>
      </c>
      <c r="W15" s="16">
        <f>SUM(S15:V15)</f>
        <v>6470.85</v>
      </c>
      <c r="X15" s="15">
        <f>INDEX('Inputs (2)'!$D$4:$AL$4,MATCH(X$7,'Inputs (2)'!$D$2:$AL$2,0))</f>
        <v>1904.4484785</v>
      </c>
      <c r="Y15" s="15">
        <f>INDEX('Inputs (2)'!$D$4:$AL$4,MATCH(Y$7,'Inputs (2)'!$D$2:$AL$2,0))</f>
        <v>1978.202</v>
      </c>
      <c r="Z15" s="15">
        <f>INDEX('Inputs (2)'!$D$4:$AL$4,MATCH(Z$7,'Inputs (2)'!$D$2:$AL$2,0))</f>
        <v>1962.671474</v>
      </c>
      <c r="AA15" s="15">
        <f>INDEX('Inputs (2)'!$D$4:$AL$4,MATCH(AA$7,'Inputs (2)'!$D$2:$AL$2,0))</f>
        <v>1839.3370475</v>
      </c>
      <c r="AB15" s="16">
        <f>SUM(X15:AA15)</f>
        <v>7684.659</v>
      </c>
      <c r="AC15" s="15">
        <f>INDEX('Inputs (2)'!$D$4:$AL$4,MATCH(AC$7,'Inputs (2)'!$D$2:$AL$2,0))</f>
        <v>2015.074</v>
      </c>
      <c r="AD15" s="15">
        <f>INDEX('Inputs (2)'!$D$4:$AL$4,MATCH(AD$7,'Inputs (2)'!$D$2:$AL$2,0))</f>
        <v>2024.533</v>
      </c>
      <c r="AE15" s="15">
        <f>INDEX('Inputs (2)'!$D$4:$AL$4,MATCH(AE$7,'Inputs (2)'!$D$2:$AL$2,0))</f>
        <v>2190.97918382714</v>
      </c>
      <c r="AF15" s="15">
        <f>INDEX('Inputs (2)'!$D$4:$AL$4,MATCH(AF$7,'Inputs (2)'!$D$2:$AL$2,0))</f>
        <v>2060.59533814</v>
      </c>
      <c r="AG15" s="16">
        <f>SUM(AC15:AF15)</f>
        <v>8291.18152196714</v>
      </c>
      <c r="AH15" s="16">
        <f>AC15*(1+AH16)</f>
        <v>2015.074</v>
      </c>
      <c r="AI15" s="16">
        <f>AD15*(1+AI16)</f>
        <v>2024.533</v>
      </c>
      <c r="AJ15" s="16">
        <f>AE15*(1+AJ16)</f>
        <v>2190.97918382714</v>
      </c>
      <c r="AK15" s="16">
        <f>AF15*(1+AK16)</f>
        <v>2060.59533814</v>
      </c>
      <c r="AL15" s="16">
        <f>SUM(AH15:AK15)</f>
        <v>8291.18152196714</v>
      </c>
      <c r="AM15" s="16">
        <f>AH15*(1+AM16)</f>
        <v>2015.074</v>
      </c>
      <c r="AN15" s="16">
        <f>AI15*(1+AN16)</f>
        <v>2024.533</v>
      </c>
      <c r="AO15" s="16">
        <f>AJ15*(1+AO16)</f>
        <v>2190.97918382714</v>
      </c>
      <c r="AP15" s="16">
        <f>AK15*(1+AP16)</f>
        <v>2060.59533814</v>
      </c>
      <c r="AQ15" s="16">
        <f>SUM(AM15:AP15)</f>
        <v>8291.18152196714</v>
      </c>
      <c r="AR15" s="16">
        <f>AM15*(1+AR16)</f>
        <v>2015.074</v>
      </c>
      <c r="AS15" s="16">
        <f>AN15*(1+AS16)</f>
        <v>2024.533</v>
      </c>
      <c r="AT15" s="16">
        <f>AO15*(1+AT16)</f>
        <v>2190.97918382714</v>
      </c>
      <c r="AU15" s="16">
        <f>AP15*(1+AU16)</f>
        <v>2060.59533814</v>
      </c>
      <c r="AV15" s="16">
        <f>SUM(AR15:AU15)</f>
        <v>8291.18152196714</v>
      </c>
      <c r="AW15" s="16">
        <f>AR15*(1+AW16)</f>
        <v>2015.074</v>
      </c>
      <c r="AX15" s="16">
        <f>AS15*(1+AX16)</f>
        <v>2024.533</v>
      </c>
      <c r="AY15" s="16">
        <f>AT15*(1+AY16)</f>
        <v>2190.97918382714</v>
      </c>
      <c r="AZ15" s="16">
        <f>AU15*(1+AZ16)</f>
        <v>2060.59533814</v>
      </c>
      <c r="BA15" s="16">
        <f>SUM(AW15:AZ15)</f>
        <v>8291.18152196714</v>
      </c>
      <c r="BB15" s="16">
        <f>AW15*(1+BB16)</f>
        <v>2015.074</v>
      </c>
      <c r="BC15" s="16">
        <f>AX15*(1+BC16)</f>
        <v>2024.533</v>
      </c>
      <c r="BD15" s="16">
        <f>AY15*(1+BD16)</f>
        <v>2190.97918382714</v>
      </c>
      <c r="BE15" s="16">
        <f>AZ15*(1+BE16)</f>
        <v>2060.59533814</v>
      </c>
      <c r="BF15" s="16">
        <f>SUM(BB15:BE15)</f>
        <v>8291.18152196714</v>
      </c>
      <c r="BG15" s="16">
        <f>BB15*(1+BG16)</f>
        <v>2015.074</v>
      </c>
      <c r="BH15" s="16">
        <f>BC15*(1+BH16)</f>
        <v>2024.533</v>
      </c>
      <c r="BI15" s="16">
        <f>BD15*(1+BI16)</f>
        <v>2190.97918382714</v>
      </c>
      <c r="BJ15" s="16">
        <f>BE15*(1+BJ16)</f>
        <v>2060.59533814</v>
      </c>
      <c r="BK15" s="16">
        <f>SUM(BG15:BJ15)</f>
        <v>8291.18152196714</v>
      </c>
      <c r="BL15" s="16">
        <f>BG15*(1+BL16)</f>
        <v>2015.074</v>
      </c>
      <c r="BM15" s="16">
        <f>BH15*(1+BM16)</f>
        <v>2024.533</v>
      </c>
      <c r="BN15" s="16">
        <f>BI15*(1+BN16)</f>
        <v>2190.97918382714</v>
      </c>
      <c r="BO15" s="16">
        <f>BJ15*(1+BO16)</f>
        <v>2060.59533814</v>
      </c>
      <c r="BP15" s="16">
        <f>SUM(BL15:BO15)</f>
        <v>8291.18152196714</v>
      </c>
      <c r="BQ15" s="16">
        <f>BL15*(1+BQ16)</f>
        <v>2015.074</v>
      </c>
      <c r="BR15" s="16">
        <f>BM15*(1+BR16)</f>
        <v>2024.533</v>
      </c>
      <c r="BS15" s="16">
        <f>BN15*(1+BS16)</f>
        <v>2190.97918382714</v>
      </c>
      <c r="BT15" s="16">
        <f>BO15*(1+BT16)</f>
        <v>2060.59533814</v>
      </c>
      <c r="BU15" s="16">
        <f>SUM(BQ15:BT15)</f>
        <v>8291.18152196714</v>
      </c>
      <c r="BV15" s="16">
        <f>BQ15*(1+BV16)</f>
        <v>2015.074</v>
      </c>
      <c r="BW15" s="16">
        <f>BR15*(1+BW16)</f>
        <v>2024.533</v>
      </c>
      <c r="BX15" s="16">
        <f>BS15*(1+BX16)</f>
        <v>2190.97918382714</v>
      </c>
      <c r="BY15" s="16">
        <f>BT15*(1+BY16)</f>
        <v>2060.59533814</v>
      </c>
      <c r="BZ15" s="16">
        <f>SUM(BV15:BY15)</f>
        <v>8291.18152196714</v>
      </c>
      <c r="CA15" s="16">
        <f>BV15*(1+CA16)</f>
        <v>2015.074</v>
      </c>
      <c r="CB15" s="16">
        <f>BW15*(1+CB16)</f>
        <v>2024.533</v>
      </c>
      <c r="CC15" s="16">
        <f>BX15*(1+CC16)</f>
        <v>2190.97918382714</v>
      </c>
      <c r="CD15" s="16">
        <f>BY15*(1+CD16)</f>
        <v>2060.59533814</v>
      </c>
      <c r="CE15" s="16">
        <f>SUM(CA15:CD15)</f>
        <v>8291.18152196714</v>
      </c>
      <c r="CF15" s="16">
        <f>CA15*(1+CF16)</f>
        <v>2015.074</v>
      </c>
      <c r="CG15" s="16">
        <f>CB15*(1+CG16)</f>
        <v>2024.533</v>
      </c>
      <c r="CH15" s="16">
        <f>CC15*(1+CH16)</f>
        <v>2190.97918382714</v>
      </c>
      <c r="CI15" s="16">
        <f>CD15*(1+CI16)</f>
        <v>2060.59533814</v>
      </c>
      <c r="CJ15" s="16">
        <f>SUM(CF15:CI15)</f>
        <v>8291.18152196714</v>
      </c>
      <c r="CK15" s="16">
        <f>CF15*(1+CK16)</f>
        <v>2015.074</v>
      </c>
      <c r="CL15" s="16">
        <f>CG15*(1+CL16)</f>
        <v>2024.533</v>
      </c>
      <c r="CM15" s="16">
        <f>CH15*(1+CM16)</f>
        <v>2190.97918382714</v>
      </c>
      <c r="CN15" s="16">
        <f>CI15*(1+CN16)</f>
        <v>2060.59533814</v>
      </c>
      <c r="CO15" s="16">
        <f>SUM(CK15:CN15)</f>
        <v>8291.18152196714</v>
      </c>
      <c r="CP15" s="16">
        <f>CK15*(1+CP16)</f>
        <v>2015.074</v>
      </c>
      <c r="CQ15" s="16">
        <f>CL15*(1+CQ16)</f>
        <v>2024.533</v>
      </c>
      <c r="CR15" s="16">
        <f>CM15*(1+CR16)</f>
        <v>2190.97918382714</v>
      </c>
      <c r="CS15" s="16">
        <f>CN15*(1+CS16)</f>
        <v>2060.59533814</v>
      </c>
      <c r="CT15" s="16">
        <f>SUM(CP15:CS15)</f>
        <v>8291.18152196714</v>
      </c>
      <c r="CU15" s="16">
        <f>CP15*(1+CU16)</f>
        <v>2015.074</v>
      </c>
      <c r="CV15" s="16">
        <f>CQ15*(1+CV16)</f>
        <v>2024.533</v>
      </c>
      <c r="CW15" s="16">
        <f>CR15*(1+CW16)</f>
        <v>2190.97918382714</v>
      </c>
      <c r="CX15" s="16">
        <f>CS15*(1+CX16)</f>
        <v>2060.59533814</v>
      </c>
      <c r="CY15" s="16">
        <f>SUM(CU15:CX15)</f>
        <v>8291.18152196714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0.21940349557938</v>
      </c>
      <c r="O16" s="47">
        <f>O15/J15-1</f>
        <v>0.192775551045915</v>
      </c>
      <c r="P16" s="47">
        <f>P15/K15-1</f>
        <v>0.114503881523473</v>
      </c>
      <c r="Q16" s="47">
        <f>Q15/L15-1</f>
        <v>0.0950937442637572</v>
      </c>
      <c r="R16" s="47">
        <f>R15/M15-1</f>
        <v>0.152451023144996</v>
      </c>
      <c r="S16" s="47">
        <f>S15/N15-1</f>
        <v>0.134791297608256</v>
      </c>
      <c r="T16" s="47">
        <f>T15/O15-1</f>
        <v>0.492734003838489</v>
      </c>
      <c r="U16" s="47">
        <f>U15/P15-1</f>
        <v>0.630898413071819</v>
      </c>
      <c r="V16" s="47">
        <f>V15/Q15-1</f>
        <v>0.528993628809388</v>
      </c>
      <c r="W16" s="47">
        <f>W15/R15-1</f>
        <v>0.449874917288917</v>
      </c>
      <c r="X16" s="47">
        <f>X15/S15-1</f>
        <v>0.53979026672018</v>
      </c>
      <c r="Y16" s="47">
        <f>Y15/T15-1</f>
        <v>0.192017551841142</v>
      </c>
      <c r="Z16" s="47">
        <f>Z15/U15-1</f>
        <v>0.0495316818579232</v>
      </c>
      <c r="AA16" s="47">
        <f>AA15/V15-1</f>
        <v>0.0791440542077369</v>
      </c>
      <c r="AB16" s="47">
        <f>AB15/W15-1</f>
        <v>0.187581075129233</v>
      </c>
      <c r="AC16" s="47">
        <f>AC15/X15-1</f>
        <v>0.0580879570904076</v>
      </c>
      <c r="AD16" s="47">
        <f>AD15/Y15-1</f>
        <v>0.0234207628947904</v>
      </c>
      <c r="AE16" s="47">
        <f>AE15/Z15-1</f>
        <v>0.116324974837404</v>
      </c>
      <c r="AF16" s="44">
        <f>AF15/AA15-1</f>
        <v>0.120292412388872</v>
      </c>
      <c r="AG16" s="47">
        <f>AG15/AB15-1</f>
        <v>0.0789264067497519</v>
      </c>
      <c r="AH16" s="44" t="n"/>
      <c r="AI16" s="44" t="n"/>
      <c r="AJ16" s="44" t="n"/>
      <c r="AK16" s="44" t="n"/>
      <c r="AL16" s="22">
        <f>AL15/AG15-1</f>
        <v>0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</t>
        </is>
      </c>
      <c r="D17" s="21" t="n"/>
      <c r="E17" s="47" t="n"/>
      <c r="F17" s="47" t="n"/>
      <c r="G17" s="47" t="n"/>
      <c r="H17" s="21" t="n"/>
      <c r="I17" s="21" t="n"/>
      <c r="J17" s="47" t="n"/>
      <c r="K17" s="47" t="n"/>
      <c r="L17" s="47" t="n"/>
      <c r="M17" s="21" t="n"/>
      <c r="N17" s="47" t="n"/>
      <c r="O17" s="47" t="n"/>
      <c r="P17" s="47" t="n"/>
      <c r="Q17" s="47" t="n"/>
      <c r="R17" s="47" t="n"/>
      <c r="S17" s="47" t="n"/>
      <c r="T17" s="47" t="n"/>
      <c r="U17" s="47" t="n"/>
      <c r="V17" s="47" t="n"/>
      <c r="W17" s="47" t="n"/>
      <c r="X17" s="47" t="n"/>
      <c r="Y17" s="47" t="n"/>
      <c r="Z17" s="47" t="n"/>
      <c r="AA17" s="47" t="n"/>
      <c r="AB17" s="47" t="n"/>
      <c r="AC17" s="47" t="n"/>
      <c r="AD17" s="47" t="n"/>
      <c r="AE17" s="47" t="n"/>
      <c r="AF17" s="47" t="n"/>
      <c r="AG17" s="47" t="n"/>
      <c r="AH17" s="44" t="n"/>
      <c r="AI17" s="44" t="n"/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 hidden="1" outlineLevel="1" customFormat="1" s="23">
      <c r="A18" s="18" t="n"/>
      <c r="B18" s="19" t="n"/>
      <c r="C18" s="20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  <c r="AO18" s="21" t="n"/>
      <c r="AP18" s="21" t="n"/>
      <c r="AQ18" s="21" t="n"/>
      <c r="AR18" s="21" t="n"/>
      <c r="AS18" s="21" t="n"/>
      <c r="AT18" s="21" t="n"/>
      <c r="AU18" s="21" t="n"/>
      <c r="AV18" s="21" t="n"/>
      <c r="AW18" s="21" t="n"/>
      <c r="AX18" s="21" t="n"/>
      <c r="AY18" s="21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  <c r="BL18" s="21" t="n"/>
      <c r="BM18" s="21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 t="n"/>
      <c r="CA18" s="21" t="n"/>
      <c r="CB18" s="21" t="n"/>
      <c r="CC18" s="21" t="n"/>
      <c r="CD18" s="21" t="n"/>
      <c r="CE18" s="21" t="n"/>
      <c r="CF18" s="21" t="n"/>
      <c r="CG18" s="21" t="n"/>
      <c r="CH18" s="21" t="n"/>
      <c r="CI18" s="21" t="n"/>
      <c r="CJ18" s="21" t="n"/>
      <c r="CK18" s="21" t="n"/>
      <c r="CL18" s="21" t="n"/>
      <c r="CM18" s="21" t="n"/>
      <c r="CN18" s="21" t="n"/>
      <c r="CO18" s="21" t="n"/>
      <c r="CP18" s="21" t="n"/>
      <c r="CQ18" s="21" t="n"/>
      <c r="CR18" s="21" t="n"/>
      <c r="CS18" s="21" t="n"/>
      <c r="CT18" s="21" t="n"/>
      <c r="CU18" s="21" t="n"/>
      <c r="CV18" s="21" t="n"/>
      <c r="CW18" s="21" t="n"/>
      <c r="CX18" s="21" t="n"/>
      <c r="CY18" s="21" t="n"/>
    </row>
    <row r="19" hidden="1" outlineLevel="1" customFormat="1" s="23">
      <c r="A19" s="18" t="n"/>
      <c r="B19" s="19" t="n"/>
      <c r="C19" s="20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  <c r="BL19" s="21" t="n"/>
      <c r="BM19" s="21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 t="n"/>
      <c r="CA19" s="21" t="n"/>
      <c r="CB19" s="21" t="n"/>
      <c r="CC19" s="21" t="n"/>
      <c r="CD19" s="21" t="n"/>
      <c r="CE19" s="21" t="n"/>
      <c r="CF19" s="21" t="n"/>
      <c r="CG19" s="21" t="n"/>
      <c r="CH19" s="21" t="n"/>
      <c r="CI19" s="21" t="n"/>
      <c r="CJ19" s="21" t="n"/>
      <c r="CK19" s="21" t="n"/>
      <c r="CL19" s="21" t="n"/>
      <c r="CM19" s="21" t="n"/>
      <c r="CN19" s="21" t="n"/>
      <c r="CO19" s="21" t="n"/>
      <c r="CP19" s="21" t="n"/>
      <c r="CQ19" s="21" t="n"/>
      <c r="CR19" s="21" t="n"/>
      <c r="CS19" s="21" t="n"/>
      <c r="CT19" s="21" t="n"/>
      <c r="CU19" s="21" t="n"/>
      <c r="CV19" s="21" t="n"/>
      <c r="CW19" s="21" t="n"/>
      <c r="CX19" s="21" t="n"/>
      <c r="CY19" s="21" t="n"/>
    </row>
    <row r="20" collapsed="1">
      <c r="C20" s="24" t="inlineStr">
        <is>
          <t>COGS (cash)</t>
        </is>
      </c>
      <c r="D20" s="25">
        <f>INDEX('Inputs (2)'!$D$5:$AL$5,MATCH(D$7,'Inputs (2)'!$D$2:$AL$2,0))</f>
        <v>-454.633</v>
      </c>
      <c r="E20" s="25">
        <f>INDEX('Inputs (2)'!$D$5:$AL$5,MATCH(E$7,'Inputs (2)'!$D$2:$AL$2,0))</f>
        <v>-383.28332135</v>
      </c>
      <c r="F20" s="25">
        <f>INDEX('Inputs (2)'!$D$5:$AL$5,MATCH(F$7,'Inputs (2)'!$D$2:$AL$2,0))</f>
        <v>-489.05019073</v>
      </c>
      <c r="G20" s="25">
        <f>INDEX('Inputs (2)'!$D$5:$AL$5,MATCH(G$7,'Inputs (2)'!$D$2:$AL$2,0))</f>
        <v>-538.56040391</v>
      </c>
      <c r="H20" s="3">
        <f>SUM(D20:G20)</f>
        <v>-1865.52691599</v>
      </c>
      <c r="I20" s="25">
        <f>INDEX('Inputs (2)'!$D$5:$AL$5,MATCH(I$7,'Inputs (2)'!$D$2:$AL$2,0))</f>
        <v>-534.68033785</v>
      </c>
      <c r="J20" s="25">
        <f>INDEX('Inputs (2)'!$D$5:$AL$5,MATCH(J$7,'Inputs (2)'!$D$2:$AL$2,0))</f>
        <v>-598.85567232</v>
      </c>
      <c r="K20" s="25">
        <f>INDEX('Inputs (2)'!$D$5:$AL$5,MATCH(K$7,'Inputs (2)'!$D$2:$AL$2,0))</f>
        <v>-637.06668857</v>
      </c>
      <c r="L20" s="25">
        <f>INDEX('Inputs (2)'!$D$5:$AL$5,MATCH(L$7,'Inputs (2)'!$D$2:$AL$2,0))</f>
        <v>-650.17978605</v>
      </c>
      <c r="M20" s="3">
        <f>SUM(I20:L20)</f>
        <v>-2420.78248479</v>
      </c>
      <c r="N20" s="25">
        <f>INDEX('Inputs (2)'!$D$5:$AL$5,MATCH(N$7,'Inputs (2)'!$D$2:$AL$2,0))</f>
        <v>-673.037739710001</v>
      </c>
      <c r="O20" s="25">
        <f>INDEX('Inputs (2)'!$D$5:$AL$5,MATCH(O$7,'Inputs (2)'!$D$2:$AL$2,0))</f>
        <v>-712.98908279</v>
      </c>
      <c r="P20" s="25">
        <f>INDEX('Inputs (2)'!$D$5:$AL$5,MATCH(P$7,'Inputs (2)'!$D$2:$AL$2,0))</f>
        <v>-712.41349757</v>
      </c>
      <c r="Q20" s="25">
        <f>INDEX('Inputs (2)'!$D$5:$AL$5,MATCH(Q$7,'Inputs (2)'!$D$2:$AL$2,0))</f>
        <v>-758.9403701</v>
      </c>
      <c r="R20" s="3">
        <f>SUM(N20:Q20)</f>
        <v>-2857.38069017</v>
      </c>
      <c r="S20" s="25">
        <f>INDEX('Inputs (2)'!$D$5:$AL$5,MATCH(S$7,'Inputs (2)'!$D$2:$AL$2,0))</f>
        <v>-776.43264322</v>
      </c>
      <c r="T20" s="25">
        <f>INDEX('Inputs (2)'!$D$5:$AL$5,MATCH(T$7,'Inputs (2)'!$D$2:$AL$2,0))</f>
        <v>-1075.179</v>
      </c>
      <c r="U20" s="25">
        <f>INDEX('Inputs (2)'!$D$5:$AL$5,MATCH(U$7,'Inputs (2)'!$D$2:$AL$2,0))</f>
        <v>-1198.06756466194</v>
      </c>
      <c r="V20" s="25">
        <f>INDEX('Inputs (2)'!$D$5:$AL$5,MATCH(V$7,'Inputs (2)'!$D$2:$AL$2,0))</f>
        <v>-1157.671</v>
      </c>
      <c r="W20" s="3">
        <f>SUM(S20:V20)</f>
        <v>-4207.35020788194</v>
      </c>
      <c r="X20" s="25">
        <f>INDEX('Inputs (2)'!$D$5:$AL$5,MATCH(X$7,'Inputs (2)'!$D$2:$AL$2,0))</f>
        <v>-1192.092</v>
      </c>
      <c r="Y20" s="25">
        <f>INDEX('Inputs (2)'!$D$5:$AL$5,MATCH(Y$7,'Inputs (2)'!$D$2:$AL$2,0))</f>
        <v>-1260.839</v>
      </c>
      <c r="Z20" s="25">
        <f>INDEX('Inputs (2)'!$D$5:$AL$5,MATCH(Z$7,'Inputs (2)'!$D$2:$AL$2,0))</f>
        <v>-1251.884</v>
      </c>
      <c r="AA20" s="25">
        <f>INDEX('Inputs (2)'!$D$5:$AL$5,MATCH(AA$7,'Inputs (2)'!$D$2:$AL$2,0))</f>
        <v>-1231.388</v>
      </c>
      <c r="AB20" s="3">
        <f>SUM(X20:AA20)</f>
        <v>-4936.203</v>
      </c>
      <c r="AC20" s="25">
        <f>INDEX('Inputs (2)'!$D$5:$AL$5,MATCH(AC$7,'Inputs (2)'!$D$2:$AL$2,0))</f>
        <v>-1282.082</v>
      </c>
      <c r="AD20" s="25">
        <f>INDEX('Inputs (2)'!$D$5:$AL$5,MATCH(AD$7,'Inputs (2)'!$D$2:$AL$2,0))</f>
        <v>-1326.516</v>
      </c>
      <c r="AE20" s="25">
        <f>INDEX('Inputs (2)'!$D$5:$AL$5,MATCH(AE$7,'Inputs (2)'!$D$2:$AL$2,0))</f>
        <v>-1399.705</v>
      </c>
      <c r="AF20" s="25">
        <f>INDEX('Inputs (2)'!$D$5:$AL$5,MATCH(AF$7,'Inputs (2)'!$D$2:$AL$2,0))</f>
        <v>-1394.057</v>
      </c>
      <c r="AG20" s="3">
        <f>SUM(AC20:AF20)</f>
        <v>-5402.36</v>
      </c>
      <c r="AH20" s="3">
        <f>(100%-AH21)*-AH15</f>
        <v>-2015.074</v>
      </c>
      <c r="AI20" s="3">
        <f>(100%-AI21)*-AI15</f>
        <v>-2024.533</v>
      </c>
      <c r="AJ20" s="3">
        <f>(100%-AJ21)*-AJ15</f>
        <v>-2190.97918382714</v>
      </c>
      <c r="AK20" s="3">
        <f>(100%-AK21)*-AK15</f>
        <v>-2060.59533814</v>
      </c>
      <c r="AL20" s="3">
        <f>SUM(AH20:AK20)</f>
        <v>-8291.18152196714</v>
      </c>
      <c r="AM20" s="3">
        <f>(100%-AM21)*-AM15</f>
        <v>-2015.074</v>
      </c>
      <c r="AN20" s="3">
        <f>(100%-AN21)*-AN15</f>
        <v>-2024.533</v>
      </c>
      <c r="AO20" s="3">
        <f>(100%-AO21)*-AO15</f>
        <v>-2190.97918382714</v>
      </c>
      <c r="AP20" s="3">
        <f>(100%-AP21)*-AP15</f>
        <v>-2060.59533814</v>
      </c>
      <c r="AQ20" s="3">
        <f>SUM(AM20:AP20)</f>
        <v>-8291.18152196714</v>
      </c>
      <c r="AR20" s="3">
        <f>(100%-AR21)*-AR15</f>
        <v>-2015.074</v>
      </c>
      <c r="AS20" s="3">
        <f>(100%-AS21)*-AS15</f>
        <v>-2024.533</v>
      </c>
      <c r="AT20" s="3">
        <f>(100%-AT21)*-AT15</f>
        <v>-2190.97918382714</v>
      </c>
      <c r="AU20" s="3">
        <f>(100%-AU21)*-AU15</f>
        <v>-2060.59533814</v>
      </c>
      <c r="AV20" s="3">
        <f>SUM(AR20:AU20)</f>
        <v>-8291.18152196714</v>
      </c>
      <c r="AW20" s="3">
        <f>(100%-AW21)*-AW15</f>
        <v>-2015.074</v>
      </c>
      <c r="AX20" s="3">
        <f>(100%-AX21)*-AX15</f>
        <v>-2024.533</v>
      </c>
      <c r="AY20" s="3">
        <f>(100%-AY21)*-AY15</f>
        <v>-2190.97918382714</v>
      </c>
      <c r="AZ20" s="3">
        <f>(100%-AZ21)*-AZ15</f>
        <v>-2060.59533814</v>
      </c>
      <c r="BA20" s="3">
        <f>SUM(AW20:AZ20)</f>
        <v>-8291.18152196714</v>
      </c>
      <c r="BB20" s="3">
        <f>(100%-BB21)*-BB15</f>
        <v>-2015.074</v>
      </c>
      <c r="BC20" s="3">
        <f>(100%-BC21)*-BC15</f>
        <v>-2024.533</v>
      </c>
      <c r="BD20" s="3">
        <f>(100%-BD21)*-BD15</f>
        <v>-2190.97918382714</v>
      </c>
      <c r="BE20" s="3">
        <f>(100%-BE21)*-BE15</f>
        <v>-2060.59533814</v>
      </c>
      <c r="BF20" s="3">
        <f>SUM(BB20:BE20)</f>
        <v>-8291.18152196714</v>
      </c>
      <c r="BG20" s="3">
        <f>(100%-BG21)*-BG15</f>
        <v>-2015.074</v>
      </c>
      <c r="BH20" s="3">
        <f>(100%-BH21)*-BH15</f>
        <v>-2024.533</v>
      </c>
      <c r="BI20" s="3">
        <f>(100%-BI21)*-BI15</f>
        <v>-2190.97918382714</v>
      </c>
      <c r="BJ20" s="3">
        <f>(100%-BJ21)*-BJ15</f>
        <v>-2060.59533814</v>
      </c>
      <c r="BK20" s="3">
        <f>SUM(BG20:BJ20)</f>
        <v>-8291.18152196714</v>
      </c>
      <c r="BL20" s="3">
        <f>(100%-BL21)*-BL15</f>
        <v>-2015.074</v>
      </c>
      <c r="BM20" s="3">
        <f>(100%-BM21)*-BM15</f>
        <v>-2024.533</v>
      </c>
      <c r="BN20" s="3">
        <f>(100%-BN21)*-BN15</f>
        <v>-2190.97918382714</v>
      </c>
      <c r="BO20" s="3">
        <f>(100%-BO21)*-BO15</f>
        <v>-2060.59533814</v>
      </c>
      <c r="BP20" s="3">
        <f>SUM(BL20:BO20)</f>
        <v>-8291.18152196714</v>
      </c>
      <c r="BQ20" s="3">
        <f>(100%-BQ21)*-BQ15</f>
        <v>-2015.074</v>
      </c>
      <c r="BR20" s="3">
        <f>(100%-BR21)*-BR15</f>
        <v>-2024.533</v>
      </c>
      <c r="BS20" s="3">
        <f>(100%-BS21)*-BS15</f>
        <v>-2190.97918382714</v>
      </c>
      <c r="BT20" s="3">
        <f>(100%-BT21)*-BT15</f>
        <v>-2060.59533814</v>
      </c>
      <c r="BU20" s="3">
        <f>SUM(BQ20:BT20)</f>
        <v>-8291.18152196714</v>
      </c>
      <c r="BV20" s="3">
        <f>(100%-BV21)*-BV15</f>
        <v>-2015.074</v>
      </c>
      <c r="BW20" s="3">
        <f>(100%-BW21)*-BW15</f>
        <v>-2024.533</v>
      </c>
      <c r="BX20" s="3">
        <f>(100%-BX21)*-BX15</f>
        <v>-2190.97918382714</v>
      </c>
      <c r="BY20" s="3">
        <f>(100%-BY21)*-BY15</f>
        <v>-2060.59533814</v>
      </c>
      <c r="BZ20" s="3">
        <f>SUM(BV20:BY20)</f>
        <v>-8291.18152196714</v>
      </c>
      <c r="CA20" s="3">
        <f>(100%-CA21)*-CA15</f>
        <v>-2015.074</v>
      </c>
      <c r="CB20" s="3">
        <f>(100%-CB21)*-CB15</f>
        <v>-2024.533</v>
      </c>
      <c r="CC20" s="3">
        <f>(100%-CC21)*-CC15</f>
        <v>-2190.97918382714</v>
      </c>
      <c r="CD20" s="3">
        <f>(100%-CD21)*-CD15</f>
        <v>-2060.59533814</v>
      </c>
      <c r="CE20" s="3">
        <f>SUM(CA20:CD20)</f>
        <v>-8291.18152196714</v>
      </c>
      <c r="CF20" s="3">
        <f>(100%-CF21)*-CF15</f>
        <v>-2015.074</v>
      </c>
      <c r="CG20" s="3">
        <f>(100%-CG21)*-CG15</f>
        <v>-2024.533</v>
      </c>
      <c r="CH20" s="3">
        <f>(100%-CH21)*-CH15</f>
        <v>-2190.97918382714</v>
      </c>
      <c r="CI20" s="3">
        <f>(100%-CI21)*-CI15</f>
        <v>-2060.59533814</v>
      </c>
      <c r="CJ20" s="3">
        <f>SUM(CF20:CI20)</f>
        <v>-8291.18152196714</v>
      </c>
      <c r="CK20" s="3">
        <f>(100%-CK21)*-CK15</f>
        <v>-2015.074</v>
      </c>
      <c r="CL20" s="3">
        <f>(100%-CL21)*-CL15</f>
        <v>-2024.533</v>
      </c>
      <c r="CM20" s="3">
        <f>(100%-CM21)*-CM15</f>
        <v>-2190.97918382714</v>
      </c>
      <c r="CN20" s="3">
        <f>(100%-CN21)*-CN15</f>
        <v>-2060.59533814</v>
      </c>
      <c r="CO20" s="3">
        <f>SUM(CK20:CN20)</f>
        <v>-8291.18152196714</v>
      </c>
      <c r="CP20" s="3">
        <f>(100%-CP21)*-CP15</f>
        <v>-2015.074</v>
      </c>
      <c r="CQ20" s="3">
        <f>(100%-CQ21)*-CQ15</f>
        <v>-2024.533</v>
      </c>
      <c r="CR20" s="3">
        <f>(100%-CR21)*-CR15</f>
        <v>-2190.97918382714</v>
      </c>
      <c r="CS20" s="3">
        <f>(100%-CS21)*-CS15</f>
        <v>-2060.59533814</v>
      </c>
      <c r="CT20" s="3">
        <f>SUM(CP20:CS20)</f>
        <v>-8291.18152196714</v>
      </c>
      <c r="CU20" s="3">
        <f>(100%-CU21)*-CU15</f>
        <v>-2015.074</v>
      </c>
      <c r="CV20" s="3">
        <f>(100%-CV21)*-CV15</f>
        <v>-2024.533</v>
      </c>
      <c r="CW20" s="3">
        <f>(100%-CW21)*-CW15</f>
        <v>-2190.97918382714</v>
      </c>
      <c r="CX20" s="3">
        <f>(100%-CX21)*-CX15</f>
        <v>-2060.59533814</v>
      </c>
      <c r="CY20" s="3">
        <f>SUM(CU20:CX20)</f>
        <v>-8291.18152196714</v>
      </c>
    </row>
    <row r="21" hidden="1" outlineLevel="1" customFormat="1" s="1">
      <c r="C21" s="57" t="inlineStr">
        <is>
          <t>% Gross Margin</t>
        </is>
      </c>
      <c r="D21" s="54">
        <f>(D15+D20)/D$15</f>
        <v>0.363200126979904</v>
      </c>
      <c r="E21" s="54">
        <f>(E15+E20)/E$15</f>
        <v>0.157515189692811</v>
      </c>
      <c r="F21" s="54">
        <f>(F15+F20)/F$15</f>
        <v>0.440819051658289</v>
      </c>
      <c r="G21" s="54">
        <f>(G15+G20)/G$15</f>
        <v>0.419751493310564</v>
      </c>
      <c r="H21" s="54">
        <f>(H15+H20)/H$15</f>
        <v>0.3722179521518</v>
      </c>
      <c r="I21" s="54">
        <f>(I15+I20)/I$15</f>
        <v>0.401795069723501</v>
      </c>
      <c r="J21" s="54">
        <f>(J15+J20)/J$15</f>
        <v>0.357496739866581</v>
      </c>
      <c r="K21" s="54">
        <f>(K15+K20)/K$15</f>
        <v>0.380785189840725</v>
      </c>
      <c r="L21" s="54">
        <f>(L15+L20)/L$15</f>
        <v>0.361282903736456</v>
      </c>
      <c r="M21" s="54">
        <f>(M15+M20)/M$15</f>
        <v>0.374902948664451</v>
      </c>
      <c r="N21" s="54">
        <f>(N15+N20)/N$15</f>
        <v>0.382484652268077</v>
      </c>
      <c r="O21" s="54">
        <f>(O15+O20)/O$15</f>
        <v>0.35867625551508</v>
      </c>
      <c r="P21" s="54">
        <f>(P15+P20)/P$15</f>
        <v>0.378691933810225</v>
      </c>
      <c r="Q21" s="54">
        <f>(Q15+Q20)/Q$15</f>
        <v>0.319181365294037</v>
      </c>
      <c r="R21" s="54">
        <f>(R15+R20)/R$15</f>
        <v>0.35976809973602</v>
      </c>
      <c r="S21" s="54">
        <f>(S15+S20)/S$15</f>
        <v>0.372236403194471</v>
      </c>
      <c r="T21" s="54">
        <f>(T15+T20)/T$15</f>
        <v>0.35212266524298</v>
      </c>
      <c r="U21" s="54">
        <f>(U15+U20)/U$15</f>
        <v>0.35933757494502</v>
      </c>
      <c r="V21" s="54">
        <f>(V15+V20)/V$15</f>
        <v>0.320791272009256</v>
      </c>
      <c r="W21" s="54">
        <f>(W15+W20)/W$15</f>
        <v>0.349799453258546</v>
      </c>
      <c r="X21" s="54">
        <f>(X15+X20)/X$15</f>
        <v>0.374048700472629</v>
      </c>
      <c r="Y21" s="54">
        <f>(Y15+Y20)/Y$15</f>
        <v>0.362633846290723</v>
      </c>
      <c r="Z21" s="54">
        <f>(Z15+Z20)/Z$15</f>
        <v>0.36215305690024</v>
      </c>
      <c r="AA21" s="54">
        <f>(AA15+AA20)/AA$15</f>
        <v>0.330526179704973</v>
      </c>
      <c r="AB21" s="54">
        <f>(AB15+AB20)/AB$15</f>
        <v>0.357654907003681</v>
      </c>
      <c r="AC21" s="54">
        <f>(AC15+AC20)/AC$15</f>
        <v>0.363754383213718</v>
      </c>
      <c r="AD21" s="54">
        <f>(AD15+AD20)/AD$15</f>
        <v>0.34477926514411</v>
      </c>
      <c r="AE21" s="54">
        <f>(AE15+AE20)/AE$15</f>
        <v>0.361150936379489</v>
      </c>
      <c r="AF21" s="44">
        <f>(AF15+AF20)/AF$15</f>
        <v>0.32346881787166</v>
      </c>
      <c r="AG21" s="54">
        <f>(AG15+AG20)/AG$15</f>
        <v>0.348420971644793</v>
      </c>
      <c r="AH21" s="55" t="n"/>
      <c r="AI21" s="55" t="n"/>
      <c r="AJ21" s="55" t="n"/>
      <c r="AK21" s="55" t="n"/>
      <c r="AL21" s="54">
        <f>(AL15+AL20)/AL$15</f>
        <v>0</v>
      </c>
      <c r="AM21" s="55" t="n"/>
      <c r="AN21" s="55" t="n"/>
      <c r="AO21" s="55" t="n"/>
      <c r="AP21" s="55" t="n"/>
      <c r="AQ21" s="54">
        <f>(AQ15+AQ20)/AQ$15</f>
        <v>0</v>
      </c>
      <c r="AR21" s="55" t="n"/>
      <c r="AS21" s="55" t="n"/>
      <c r="AT21" s="55" t="n"/>
      <c r="AU21" s="55" t="n"/>
      <c r="AV21" s="54">
        <f>(AV15+AV20)/AV$15</f>
        <v>0</v>
      </c>
      <c r="AW21" s="55" t="n"/>
      <c r="AX21" s="55" t="n"/>
      <c r="AY21" s="55" t="n"/>
      <c r="AZ21" s="55" t="n"/>
      <c r="BA21" s="54">
        <f>(BA15+BA20)/BA$15</f>
        <v>0</v>
      </c>
      <c r="BB21" s="55" t="n"/>
      <c r="BC21" s="55" t="n"/>
      <c r="BD21" s="55" t="n"/>
      <c r="BE21" s="55" t="n"/>
      <c r="BF21" s="54">
        <f>(BF15+BF20)/BF$15</f>
        <v>0</v>
      </c>
      <c r="BG21" s="55" t="n"/>
      <c r="BH21" s="55" t="n"/>
      <c r="BI21" s="55" t="n"/>
      <c r="BJ21" s="55" t="n"/>
      <c r="BK21" s="54">
        <f>(BK15+BK20)/BK$15</f>
        <v>0</v>
      </c>
      <c r="BL21" s="55" t="n"/>
      <c r="BM21" s="55" t="n"/>
      <c r="BN21" s="55" t="n"/>
      <c r="BO21" s="55" t="n"/>
      <c r="BP21" s="54">
        <f>(BP15+BP20)/BP$15</f>
        <v>0</v>
      </c>
      <c r="BQ21" s="55" t="n"/>
      <c r="BR21" s="55" t="n"/>
      <c r="BS21" s="55" t="n"/>
      <c r="BT21" s="55" t="n"/>
      <c r="BU21" s="54">
        <f>(BU15+BU20)/BU$15</f>
        <v>0</v>
      </c>
      <c r="BV21" s="55" t="n"/>
      <c r="BW21" s="55" t="n"/>
      <c r="BX21" s="55" t="n"/>
      <c r="BY21" s="55" t="n"/>
      <c r="BZ21" s="54">
        <f>(BZ15+BZ20)/BZ$15</f>
        <v>0</v>
      </c>
      <c r="CA21" s="55" t="n"/>
      <c r="CB21" s="55" t="n"/>
      <c r="CC21" s="55" t="n"/>
      <c r="CD21" s="55" t="n"/>
      <c r="CE21" s="54">
        <f>(CE15+CE20)/CE$15</f>
        <v>0</v>
      </c>
      <c r="CF21" s="55" t="n"/>
      <c r="CG21" s="55" t="n"/>
      <c r="CH21" s="55" t="n"/>
      <c r="CI21" s="55" t="n"/>
      <c r="CJ21" s="54">
        <f>(CJ15+CJ20)/CJ$15</f>
        <v>0</v>
      </c>
      <c r="CK21" s="55" t="n"/>
      <c r="CL21" s="55" t="n"/>
      <c r="CM21" s="55" t="n"/>
      <c r="CN21" s="55" t="n"/>
      <c r="CO21" s="54">
        <f>(CO15+CO20)/CO$15</f>
        <v>0</v>
      </c>
      <c r="CP21" s="55" t="n"/>
      <c r="CQ21" s="55" t="n"/>
      <c r="CR21" s="55" t="n"/>
      <c r="CS21" s="55" t="n"/>
      <c r="CT21" s="54">
        <f>(CT15+CT20)/CT$15</f>
        <v>0</v>
      </c>
      <c r="CU21" s="55" t="n"/>
      <c r="CV21" s="55" t="n"/>
      <c r="CW21" s="55" t="n"/>
      <c r="CX21" s="55" t="n"/>
      <c r="CY21" s="54">
        <f>(CY15+CY20)/CY$15</f>
        <v>0</v>
      </c>
    </row>
    <row r="22" hidden="1" outlineLevel="1"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  <c r="CO22" s="32" t="n"/>
      <c r="CP22" s="32" t="n"/>
      <c r="CQ22" s="32" t="n"/>
      <c r="CR22" s="32" t="n"/>
      <c r="CS22" s="32" t="n"/>
      <c r="CT22" s="32" t="n"/>
      <c r="CU22" s="32" t="n"/>
      <c r="CV22" s="32" t="n"/>
      <c r="CW22" s="32" t="n"/>
      <c r="CX22" s="32" t="n"/>
      <c r="CY22" s="32" t="n"/>
    </row>
    <row r="23" hidden="1" outlineLevel="1"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  <c r="CO23" s="32" t="n"/>
      <c r="CP23" s="32" t="n"/>
      <c r="CQ23" s="32" t="n"/>
      <c r="CR23" s="32" t="n"/>
      <c r="CS23" s="32" t="n"/>
      <c r="CT23" s="32" t="n"/>
      <c r="CU23" s="32" t="n"/>
      <c r="CV23" s="32" t="n"/>
      <c r="CW23" s="32" t="n"/>
      <c r="CX23" s="32" t="n"/>
      <c r="CY23" s="32" t="n"/>
    </row>
    <row r="24" collapsed="1">
      <c r="C24" s="24" t="inlineStr">
        <is>
          <t>SG&amp;A and Other (cash)</t>
        </is>
      </c>
      <c r="D24" s="25">
        <f>INDEX('Inputs (2)'!$D$6:$AL$6,MATCH(D$7,'Inputs (2)'!$D$2:$AL$2,0))</f>
        <v>-63.35490183</v>
      </c>
      <c r="E24" s="25">
        <f>INDEX('Inputs (2)'!$D$6:$AL$6,MATCH(E$7,'Inputs (2)'!$D$2:$AL$2,0))</f>
        <v>-52.0518947179</v>
      </c>
      <c r="F24" s="25">
        <f>INDEX('Inputs (2)'!$D$6:$AL$6,MATCH(F$7,'Inputs (2)'!$D$2:$AL$2,0))</f>
        <v>-61.6972132</v>
      </c>
      <c r="G24" s="25">
        <f>INDEX('Inputs (2)'!$D$6:$AL$6,MATCH(G$7,'Inputs (2)'!$D$2:$AL$2,0))</f>
        <v>-91.52204745</v>
      </c>
      <c r="H24" s="3">
        <f>SUM(D24:G24)</f>
        <v>-268.6260571979</v>
      </c>
      <c r="I24" s="25">
        <f>INDEX('Inputs (2)'!$D$6:$AL$6,MATCH(I$7,'Inputs (2)'!$D$2:$AL$2,0))</f>
        <v>-73.595387</v>
      </c>
      <c r="J24" s="25">
        <f>INDEX('Inputs (2)'!$D$6:$AL$6,MATCH(J$7,'Inputs (2)'!$D$2:$AL$2,0))</f>
        <v>-113.47448102</v>
      </c>
      <c r="K24" s="25">
        <f>INDEX('Inputs (2)'!$D$6:$AL$6,MATCH(K$7,'Inputs (2)'!$D$2:$AL$2,0))</f>
        <v>-103.2100733</v>
      </c>
      <c r="L24" s="25">
        <f>INDEX('Inputs (2)'!$D$6:$AL$6,MATCH(L$7,'Inputs (2)'!$D$2:$AL$2,0))</f>
        <v>-105.59846189</v>
      </c>
      <c r="M24" s="3">
        <f>SUM(I24:L24)</f>
        <v>-395.87840321</v>
      </c>
      <c r="N24" s="25">
        <f>INDEX('Inputs (2)'!$D$6:$AL$6,MATCH(N$7,'Inputs (2)'!$D$2:$AL$2,0))</f>
        <v>-90.29549809</v>
      </c>
      <c r="O24" s="25">
        <f>INDEX('Inputs (2)'!$D$6:$AL$6,MATCH(O$7,'Inputs (2)'!$D$2:$AL$2,0))</f>
        <v>-100.75198281</v>
      </c>
      <c r="P24" s="25">
        <f>INDEX('Inputs (2)'!$D$6:$AL$6,MATCH(P$7,'Inputs (2)'!$D$2:$AL$2,0))</f>
        <v>-101.77671757</v>
      </c>
      <c r="Q24" s="25">
        <f>INDEX('Inputs (2)'!$D$6:$AL$6,MATCH(Q$7,'Inputs (2)'!$D$2:$AL$2,0))</f>
        <v>-123.12782083</v>
      </c>
      <c r="R24" s="3">
        <f>SUM(N24:Q24)</f>
        <v>-415.9520193</v>
      </c>
      <c r="S24" s="25">
        <f>INDEX('Inputs (2)'!$D$6:$AL$6,MATCH(S$7,'Inputs (2)'!$D$2:$AL$2,0))</f>
        <v>-114.61168622</v>
      </c>
      <c r="T24" s="25">
        <f>INDEX('Inputs (2)'!$D$6:$AL$6,MATCH(T$7,'Inputs (2)'!$D$2:$AL$2,0))</f>
        <v>-220.784</v>
      </c>
      <c r="U24" s="25">
        <f>INDEX('Inputs (2)'!$D$6:$AL$6,MATCH(U$7,'Inputs (2)'!$D$2:$AL$2,0))</f>
        <v>-166.013</v>
      </c>
      <c r="V24" s="25">
        <f>INDEX('Inputs (2)'!$D$6:$AL$6,MATCH(V$7,'Inputs (2)'!$D$2:$AL$2,0))</f>
        <v>-170.937</v>
      </c>
      <c r="W24" s="3">
        <f>SUM(S24:V24)</f>
        <v>-672.34568622</v>
      </c>
      <c r="X24" s="25">
        <f>INDEX('Inputs (2)'!$D$6:$AL$6,MATCH(X$7,'Inputs (2)'!$D$2:$AL$2,0))</f>
        <v>-195.223</v>
      </c>
      <c r="Y24" s="25">
        <f>INDEX('Inputs (2)'!$D$6:$AL$6,MATCH(Y$7,'Inputs (2)'!$D$2:$AL$2,0))</f>
        <v>-195.315</v>
      </c>
      <c r="Z24" s="25">
        <f>INDEX('Inputs (2)'!$D$6:$AL$6,MATCH(Z$7,'Inputs (2)'!$D$2:$AL$2,0))</f>
        <v>-173.406</v>
      </c>
      <c r="AA24" s="25">
        <f>INDEX('Inputs (2)'!$D$6:$AL$6,MATCH(AA$7,'Inputs (2)'!$D$2:$AL$2,0))</f>
        <v>-202.562</v>
      </c>
      <c r="AB24" s="3">
        <f>SUM(X24:AA24)</f>
        <v>-766.506</v>
      </c>
      <c r="AC24" s="25">
        <f>INDEX('Inputs (2)'!$D$6:$AL$6,MATCH(AC$7,'Inputs (2)'!$D$2:$AL$2,0))</f>
        <v>-185.366348</v>
      </c>
      <c r="AD24" s="25">
        <f>INDEX('Inputs (2)'!$D$6:$AL$6,MATCH(AD$7,'Inputs (2)'!$D$2:$AL$2,0))</f>
        <v>-165.927</v>
      </c>
      <c r="AE24" s="25">
        <f>INDEX('Inputs (2)'!$D$6:$AL$6,MATCH(AE$7,'Inputs (2)'!$D$2:$AL$2,0))</f>
        <v>-191.910278533221</v>
      </c>
      <c r="AF24" s="25">
        <f>INDEX('Inputs (2)'!$D$6:$AL$6,MATCH(AF$7,'Inputs (2)'!$D$2:$AL$2,0))</f>
        <v>-210.60018183</v>
      </c>
      <c r="AG24" s="3">
        <f>SUM(AC24:AF24)</f>
        <v>-753.803808363221</v>
      </c>
      <c r="AH24" s="3">
        <f>-AH15*AH25</f>
        <v>0</v>
      </c>
      <c r="AI24" s="3">
        <f>-AI15*AI25</f>
        <v>0</v>
      </c>
      <c r="AJ24" s="3">
        <f>-AJ15*AJ25</f>
        <v>0</v>
      </c>
      <c r="AK24" s="3">
        <f>-AK15*AK25</f>
        <v>0</v>
      </c>
      <c r="AL24" s="3">
        <f>SUM(AH24:AK24)</f>
        <v>0</v>
      </c>
      <c r="AM24" s="3">
        <f>-AM15*AM25</f>
        <v>0</v>
      </c>
      <c r="AN24" s="3">
        <f>-AN15*AN25</f>
        <v>0</v>
      </c>
      <c r="AO24" s="3">
        <f>-AO15*AO25</f>
        <v>0</v>
      </c>
      <c r="AP24" s="3">
        <f>-AP15*AP25</f>
        <v>0</v>
      </c>
      <c r="AQ24" s="3">
        <f>SUM(AM24:AP24)</f>
        <v>0</v>
      </c>
      <c r="AR24" s="3">
        <f>-AR15*AR25</f>
        <v>0</v>
      </c>
      <c r="AS24" s="3">
        <f>-AS15*AS25</f>
        <v>0</v>
      </c>
      <c r="AT24" s="3">
        <f>-AT15*AT25</f>
        <v>0</v>
      </c>
      <c r="AU24" s="3">
        <f>-AU15*AU25</f>
        <v>0</v>
      </c>
      <c r="AV24" s="3">
        <f>SUM(AR24:AU24)</f>
        <v>0</v>
      </c>
      <c r="AW24" s="3">
        <f>-AW15*AW25</f>
        <v>0</v>
      </c>
      <c r="AX24" s="3">
        <f>-AX15*AX25</f>
        <v>0</v>
      </c>
      <c r="AY24" s="3">
        <f>-AY15*AY25</f>
        <v>0</v>
      </c>
      <c r="AZ24" s="3">
        <f>-AZ15*AZ25</f>
        <v>0</v>
      </c>
      <c r="BA24" s="3">
        <f>SUM(AW24:AZ24)</f>
        <v>0</v>
      </c>
      <c r="BB24" s="3">
        <f>-BB15*BB25</f>
        <v>0</v>
      </c>
      <c r="BC24" s="3">
        <f>-BC15*BC25</f>
        <v>0</v>
      </c>
      <c r="BD24" s="3">
        <f>-BD15*BD25</f>
        <v>0</v>
      </c>
      <c r="BE24" s="3">
        <f>-BE15*BE25</f>
        <v>0</v>
      </c>
      <c r="BF24" s="3">
        <f>SUM(BB24:BE24)</f>
        <v>0</v>
      </c>
      <c r="BG24" s="3">
        <f>-BG15*BG25</f>
        <v>0</v>
      </c>
      <c r="BH24" s="3">
        <f>-BH15*BH25</f>
        <v>0</v>
      </c>
      <c r="BI24" s="3">
        <f>-BI15*BI25</f>
        <v>0</v>
      </c>
      <c r="BJ24" s="3">
        <f>-BJ15*BJ25</f>
        <v>0</v>
      </c>
      <c r="BK24" s="3">
        <f>SUM(BG24:BJ24)</f>
        <v>0</v>
      </c>
      <c r="BL24" s="3">
        <f>-BL15*BL25</f>
        <v>0</v>
      </c>
      <c r="BM24" s="3">
        <f>-BM15*BM25</f>
        <v>0</v>
      </c>
      <c r="BN24" s="3">
        <f>-BN15*BN25</f>
        <v>0</v>
      </c>
      <c r="BO24" s="3">
        <f>-BO15*BO25</f>
        <v>0</v>
      </c>
      <c r="BP24" s="3">
        <f>SUM(BL24:BO24)</f>
        <v>0</v>
      </c>
      <c r="BQ24" s="3">
        <f>-BQ15*BQ25</f>
        <v>0</v>
      </c>
      <c r="BR24" s="3">
        <f>-BR15*BR25</f>
        <v>0</v>
      </c>
      <c r="BS24" s="3">
        <f>-BS15*BS25</f>
        <v>0</v>
      </c>
      <c r="BT24" s="3">
        <f>-BT15*BT25</f>
        <v>0</v>
      </c>
      <c r="BU24" s="3">
        <f>SUM(BQ24:BT24)</f>
        <v>0</v>
      </c>
      <c r="BV24" s="3">
        <f>-BV15*BV25</f>
        <v>0</v>
      </c>
      <c r="BW24" s="3">
        <f>-BW15*BW25</f>
        <v>0</v>
      </c>
      <c r="BX24" s="3">
        <f>-BX15*BX25</f>
        <v>0</v>
      </c>
      <c r="BY24" s="3">
        <f>-BY15*BY25</f>
        <v>0</v>
      </c>
      <c r="BZ24" s="3">
        <f>SUM(BV24:BY24)</f>
        <v>0</v>
      </c>
      <c r="CA24" s="3">
        <f>-CA15*CA25</f>
        <v>0</v>
      </c>
      <c r="CB24" s="3">
        <f>-CB15*CB25</f>
        <v>0</v>
      </c>
      <c r="CC24" s="3">
        <f>-CC15*CC25</f>
        <v>0</v>
      </c>
      <c r="CD24" s="3">
        <f>-CD15*CD25</f>
        <v>0</v>
      </c>
      <c r="CE24" s="3">
        <f>SUM(CA24:CD24)</f>
        <v>0</v>
      </c>
      <c r="CF24" s="3">
        <f>-CF15*CF25</f>
        <v>0</v>
      </c>
      <c r="CG24" s="3">
        <f>-CG15*CG25</f>
        <v>0</v>
      </c>
      <c r="CH24" s="3">
        <f>-CH15*CH25</f>
        <v>0</v>
      </c>
      <c r="CI24" s="3">
        <f>-CI15*CI25</f>
        <v>0</v>
      </c>
      <c r="CJ24" s="3">
        <f>SUM(CF24:CI24)</f>
        <v>0</v>
      </c>
      <c r="CK24" s="3">
        <f>-CK15*CK25</f>
        <v>0</v>
      </c>
      <c r="CL24" s="3">
        <f>-CL15*CL25</f>
        <v>0</v>
      </c>
      <c r="CM24" s="3">
        <f>-CM15*CM25</f>
        <v>0</v>
      </c>
      <c r="CN24" s="3">
        <f>-CN15*CN25</f>
        <v>0</v>
      </c>
      <c r="CO24" s="3">
        <f>SUM(CK24:CN24)</f>
        <v>0</v>
      </c>
      <c r="CP24" s="3">
        <f>-CP15*CP25</f>
        <v>0</v>
      </c>
      <c r="CQ24" s="3">
        <f>-CQ15*CQ25</f>
        <v>0</v>
      </c>
      <c r="CR24" s="3">
        <f>-CR15*CR25</f>
        <v>0</v>
      </c>
      <c r="CS24" s="3">
        <f>-CS15*CS25</f>
        <v>0</v>
      </c>
      <c r="CT24" s="3">
        <f>SUM(CP24:CS24)</f>
        <v>0</v>
      </c>
      <c r="CU24" s="3">
        <f>-CU15*CU25</f>
        <v>0</v>
      </c>
      <c r="CV24" s="3">
        <f>-CV15*CV25</f>
        <v>0</v>
      </c>
      <c r="CW24" s="3">
        <f>-CW15*CW25</f>
        <v>0</v>
      </c>
      <c r="CX24" s="3">
        <f>-CX15*CX25</f>
        <v>0</v>
      </c>
      <c r="CY24" s="3">
        <f>SUM(CU24:CX24)</f>
        <v>0</v>
      </c>
    </row>
    <row r="25" hidden="1" outlineLevel="1">
      <c r="C25" s="33" t="inlineStr">
        <is>
          <t>% SG&amp;A and Other Margin</t>
        </is>
      </c>
      <c r="D25" s="56">
        <f>-(D24/D$15)</f>
        <v>0.0887405741346199</v>
      </c>
      <c r="E25" s="56">
        <f>-(E24/E$15)</f>
        <v>0.114413876641125</v>
      </c>
      <c r="F25" s="56">
        <f>-(F24/F$15)</f>
        <v>0.0705447147167433</v>
      </c>
      <c r="G25" s="56">
        <f>-(G24/G$15)</f>
        <v>0.0986064533828908</v>
      </c>
      <c r="H25" s="56">
        <f>-(H24/H$15)</f>
        <v>0.0903973107263329</v>
      </c>
      <c r="I25" s="56">
        <f>-(I24/I$15)</f>
        <v>0.0823391477719869</v>
      </c>
      <c r="J25" s="56">
        <f>-(J24/J$15)</f>
        <v>0.1217450670791</v>
      </c>
      <c r="K25" s="56">
        <f>-(K24/K$15)</f>
        <v>0.100317921328517</v>
      </c>
      <c r="L25" s="56">
        <f>-(L24/L$15)</f>
        <v>0.103736757732869</v>
      </c>
      <c r="M25" s="56">
        <f>-(M24/M$15)</f>
        <v>0.102224146154736</v>
      </c>
      <c r="N25" s="56">
        <f>-(N24/N$15)</f>
        <v>0.0828465517040678</v>
      </c>
      <c r="O25" s="56">
        <f>-(O24/O$15)</f>
        <v>0.0906250045612841</v>
      </c>
      <c r="P25" s="56">
        <f>-(P24/P$15)</f>
        <v>0.0887612261590345</v>
      </c>
      <c r="Q25" s="56">
        <f>-(Q24/Q$15)</f>
        <v>0.110453624783138</v>
      </c>
      <c r="R25" s="56">
        <f>-(R24/R$15)</f>
        <v>0.0931992550559425</v>
      </c>
      <c r="S25" s="56">
        <f>-(S24/S$15)</f>
        <v>0.0926661765263099</v>
      </c>
      <c r="T25" s="56">
        <f>-(T24/T$15)</f>
        <v>0.133039195777628</v>
      </c>
      <c r="U25" s="56">
        <f>-(U24/U$15)</f>
        <v>0.0887748690539533</v>
      </c>
      <c r="V25" s="56">
        <f>-(V24/V$15)</f>
        <v>0.100289203354454</v>
      </c>
      <c r="W25" s="56">
        <f>-(W24/W$15)</f>
        <v>0.103903766308908</v>
      </c>
      <c r="X25" s="56">
        <f>-(X24/X$15)</f>
        <v>0.102508942722233</v>
      </c>
      <c r="Y25" s="56">
        <f>-(Y24/Y$15)</f>
        <v>0.0987335974789228</v>
      </c>
      <c r="Z25" s="56">
        <f>-(Z24/Z$15)</f>
        <v>0.0883520254393834</v>
      </c>
      <c r="AA25" s="56">
        <f>-(AA24/AA$15)</f>
        <v>0.110127722526613</v>
      </c>
      <c r="AB25" s="56">
        <f>-(AB24/AB$15)</f>
        <v>0.0997449594054857</v>
      </c>
      <c r="AC25" s="56">
        <f>-(AC24/AC$15)</f>
        <v>0.0919898465267281</v>
      </c>
      <c r="AD25" s="56">
        <f>-(AD24/AD$15)</f>
        <v>0.0819581602275685</v>
      </c>
      <c r="AE25" s="56">
        <f>-(AE24/AE$15)</f>
        <v>0.0875911007963105</v>
      </c>
      <c r="AF25" s="44">
        <f>-(AF24/AF$15)</f>
        <v>0.102203561238811</v>
      </c>
      <c r="AG25" s="56">
        <f>-(AG24/AG$15)</f>
        <v>0.090916331570603</v>
      </c>
      <c r="AH25" s="45" t="n"/>
      <c r="AI25" s="45" t="n"/>
      <c r="AJ25" s="45" t="n"/>
      <c r="AK25" s="45" t="n"/>
      <c r="AL25" s="56">
        <f>-(AL24/AL$15)</f>
        <v>0</v>
      </c>
      <c r="AM25" s="45" t="n"/>
      <c r="AN25" s="45" t="n"/>
      <c r="AO25" s="45" t="n"/>
      <c r="AP25" s="45" t="n"/>
      <c r="AQ25" s="56">
        <f>-(AQ24/AQ$15)</f>
        <v>0</v>
      </c>
      <c r="AR25" s="45" t="n"/>
      <c r="AS25" s="45" t="n"/>
      <c r="AT25" s="45" t="n"/>
      <c r="AU25" s="45" t="n"/>
      <c r="AV25" s="56">
        <f>-(AV24/AV$15)</f>
        <v>0</v>
      </c>
      <c r="AW25" s="45" t="n"/>
      <c r="AX25" s="45" t="n"/>
      <c r="AY25" s="45" t="n"/>
      <c r="AZ25" s="45" t="n"/>
      <c r="BA25" s="56">
        <f>-(BA24/BA$15)</f>
        <v>0</v>
      </c>
      <c r="BB25" s="45" t="n"/>
      <c r="BC25" s="45" t="n"/>
      <c r="BD25" s="45" t="n"/>
      <c r="BE25" s="45" t="n"/>
      <c r="BF25" s="56">
        <f>-(BF24/BF$15)</f>
        <v>0</v>
      </c>
      <c r="BG25" s="45" t="n"/>
      <c r="BH25" s="45" t="n"/>
      <c r="BI25" s="45" t="n"/>
      <c r="BJ25" s="45" t="n"/>
      <c r="BK25" s="56">
        <f>-(BK24/BK$15)</f>
        <v>0</v>
      </c>
      <c r="BL25" s="45" t="n"/>
      <c r="BM25" s="45" t="n"/>
      <c r="BN25" s="45" t="n"/>
      <c r="BO25" s="45" t="n"/>
      <c r="BP25" s="56">
        <f>-(BP24/BP$15)</f>
        <v>0</v>
      </c>
      <c r="BQ25" s="45" t="n"/>
      <c r="BR25" s="45" t="n"/>
      <c r="BS25" s="45" t="n"/>
      <c r="BT25" s="45" t="n"/>
      <c r="BU25" s="56">
        <f>-(BU24/BU$15)</f>
        <v>0</v>
      </c>
      <c r="BV25" s="45" t="n"/>
      <c r="BW25" s="45" t="n"/>
      <c r="BX25" s="45" t="n"/>
      <c r="BY25" s="45" t="n"/>
      <c r="BZ25" s="56">
        <f>-(BZ24/BZ$15)</f>
        <v>0</v>
      </c>
      <c r="CA25" s="45" t="n"/>
      <c r="CB25" s="45" t="n"/>
      <c r="CC25" s="45" t="n"/>
      <c r="CD25" s="45" t="n"/>
      <c r="CE25" s="56">
        <f>-(CE24/CE$15)</f>
        <v>0</v>
      </c>
      <c r="CF25" s="45" t="n"/>
      <c r="CG25" s="45" t="n"/>
      <c r="CH25" s="45" t="n"/>
      <c r="CI25" s="45" t="n"/>
      <c r="CJ25" s="56">
        <f>-(CJ24/CJ$15)</f>
        <v>0</v>
      </c>
      <c r="CK25" s="45" t="n"/>
      <c r="CL25" s="45" t="n"/>
      <c r="CM25" s="45" t="n"/>
      <c r="CN25" s="45" t="n"/>
      <c r="CO25" s="56">
        <f>-(CO24/CO$15)</f>
        <v>0</v>
      </c>
      <c r="CP25" s="45" t="n"/>
      <c r="CQ25" s="45" t="n"/>
      <c r="CR25" s="45" t="n"/>
      <c r="CS25" s="45" t="n"/>
      <c r="CT25" s="56">
        <f>-(CT24/CT$15)</f>
        <v>0</v>
      </c>
      <c r="CU25" s="45" t="n"/>
      <c r="CV25" s="45" t="n"/>
      <c r="CW25" s="45" t="n"/>
      <c r="CX25" s="45" t="n"/>
      <c r="CY25" s="56">
        <f>-(CY24/CY$15)</f>
        <v>0</v>
      </c>
    </row>
    <row r="26" hidden="1" outlineLevel="1"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  <c r="CU26" s="32" t="n"/>
      <c r="CV26" s="32" t="n"/>
      <c r="CW26" s="32" t="n"/>
      <c r="CX26" s="32" t="n"/>
      <c r="CY26" s="32" t="n"/>
    </row>
    <row r="27" hidden="1" outlineLevel="1">
      <c r="C27" s="32" t="inlineStr">
        <is>
          <t>Com Vendas</t>
        </is>
      </c>
      <c r="D27" s="6" t="n"/>
      <c r="E27" s="6" t="n"/>
      <c r="F27" s="6" t="n"/>
      <c r="G27" s="6" t="n"/>
      <c r="H27" s="32" t="n"/>
      <c r="I27" s="6" t="n"/>
      <c r="J27" s="6" t="n"/>
      <c r="K27" s="6" t="n"/>
      <c r="L27" s="6" t="n"/>
      <c r="M27" s="32" t="n"/>
      <c r="N27" s="6" t="n"/>
      <c r="O27" s="6" t="n"/>
      <c r="P27" s="6" t="n"/>
      <c r="Q27" s="6" t="n"/>
      <c r="R27" s="32" t="n"/>
      <c r="S27" s="6" t="n"/>
      <c r="T27" s="6" t="n"/>
      <c r="U27" s="6" t="n"/>
      <c r="V27" s="6" t="n"/>
      <c r="W27" s="32" t="n"/>
      <c r="X27" s="6" t="n"/>
      <c r="Y27" s="6" t="n"/>
      <c r="Z27" s="6" t="n"/>
      <c r="AA27" s="6" t="n"/>
      <c r="AB27" s="32" t="n"/>
      <c r="AC27" s="6" t="n"/>
      <c r="AD27" s="6" t="n"/>
      <c r="AE27" s="6" t="n"/>
      <c r="AF27" s="6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  <c r="CO27" s="32" t="n"/>
      <c r="CP27" s="32" t="n"/>
      <c r="CQ27" s="32" t="n"/>
      <c r="CR27" s="32" t="n"/>
      <c r="CS27" s="32" t="n"/>
      <c r="CT27" s="32" t="n"/>
      <c r="CU27" s="32" t="n"/>
      <c r="CV27" s="32" t="n"/>
      <c r="CW27" s="32" t="n"/>
      <c r="CX27" s="32" t="n"/>
      <c r="CY27" s="32" t="n"/>
    </row>
    <row r="28" hidden="1" outlineLevel="1">
      <c r="C28" s="32" t="inlineStr">
        <is>
          <t>Gerais &amp; Administrativas</t>
        </is>
      </c>
      <c r="D28" s="6" t="n"/>
      <c r="E28" s="6" t="n"/>
      <c r="F28" s="6" t="n"/>
      <c r="G28" s="6" t="n"/>
      <c r="H28" s="32" t="n"/>
      <c r="I28" s="6" t="n"/>
      <c r="J28" s="6" t="n"/>
      <c r="K28" s="6" t="n"/>
      <c r="L28" s="6" t="n"/>
      <c r="M28" s="32" t="n"/>
      <c r="N28" s="6" t="n"/>
      <c r="O28" s="6" t="n"/>
      <c r="P28" s="6" t="n"/>
      <c r="Q28" s="6" t="n"/>
      <c r="R28" s="32" t="n"/>
      <c r="S28" s="6" t="n"/>
      <c r="T28" s="6" t="n"/>
      <c r="U28" s="6" t="n"/>
      <c r="V28" s="6" t="n"/>
      <c r="W28" s="32" t="n"/>
      <c r="X28" s="6" t="n"/>
      <c r="Y28" s="6" t="n"/>
      <c r="Z28" s="6" t="n"/>
      <c r="AA28" s="6" t="n"/>
      <c r="AB28" s="32" t="n"/>
      <c r="AC28" s="6" t="n"/>
      <c r="AD28" s="6" t="n"/>
      <c r="AE28" s="6" t="n"/>
      <c r="AF28" s="6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2" t="n"/>
      <c r="CE28" s="32" t="n"/>
      <c r="CF28" s="32" t="n"/>
      <c r="CG28" s="32" t="n"/>
      <c r="CH28" s="32" t="n"/>
      <c r="CI28" s="32" t="n"/>
      <c r="CJ28" s="32" t="n"/>
      <c r="CK28" s="32" t="n"/>
      <c r="CL28" s="32" t="n"/>
      <c r="CM28" s="32" t="n"/>
      <c r="CN28" s="32" t="n"/>
      <c r="CO28" s="32" t="n"/>
      <c r="CP28" s="32" t="n"/>
      <c r="CQ28" s="32" t="n"/>
      <c r="CR28" s="32" t="n"/>
      <c r="CS28" s="32" t="n"/>
      <c r="CT28" s="32" t="n"/>
      <c r="CU28" s="32" t="n"/>
      <c r="CV28" s="32" t="n"/>
      <c r="CW28" s="32" t="n"/>
      <c r="CX28" s="32" t="n"/>
      <c r="CY28" s="32" t="n"/>
    </row>
    <row r="29" hidden="1" outlineLevel="1">
      <c r="C29" s="32" t="inlineStr">
        <is>
          <t>Outras Receitas (Despesas) Operacionais, Líquidas</t>
        </is>
      </c>
      <c r="D29" s="6" t="n"/>
      <c r="E29" s="6" t="n"/>
      <c r="F29" s="6" t="n"/>
      <c r="G29" s="6" t="n"/>
      <c r="H29" s="32" t="n"/>
      <c r="I29" s="6" t="n"/>
      <c r="J29" s="6" t="n"/>
      <c r="K29" s="6" t="n"/>
      <c r="L29" s="6" t="n"/>
      <c r="M29" s="32" t="n"/>
      <c r="N29" s="6" t="n"/>
      <c r="O29" s="6" t="n"/>
      <c r="P29" s="6" t="n"/>
      <c r="Q29" s="6" t="n"/>
      <c r="R29" s="32" t="n"/>
      <c r="S29" s="6" t="n"/>
      <c r="T29" s="6" t="n"/>
      <c r="U29" s="6" t="n"/>
      <c r="V29" s="6" t="n"/>
      <c r="W29" s="32" t="n"/>
      <c r="X29" s="6" t="n"/>
      <c r="Y29" s="6" t="n"/>
      <c r="Z29" s="6" t="n"/>
      <c r="AA29" s="6" t="n"/>
      <c r="AB29" s="32" t="n"/>
      <c r="AC29" s="6" t="n"/>
      <c r="AD29" s="6" t="n"/>
      <c r="AE29" s="6" t="n"/>
      <c r="AF29" s="6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2" t="n"/>
      <c r="CE29" s="32" t="n"/>
      <c r="CF29" s="32" t="n"/>
      <c r="CG29" s="32" t="n"/>
      <c r="CH29" s="32" t="n"/>
      <c r="CI29" s="32" t="n"/>
      <c r="CJ29" s="32" t="n"/>
      <c r="CK29" s="32" t="n"/>
      <c r="CL29" s="32" t="n"/>
      <c r="CM29" s="32" t="n"/>
      <c r="CN29" s="32" t="n"/>
      <c r="CO29" s="32" t="n"/>
      <c r="CP29" s="32" t="n"/>
      <c r="CQ29" s="32" t="n"/>
      <c r="CR29" s="32" t="n"/>
      <c r="CS29" s="32" t="n"/>
      <c r="CT29" s="32" t="n"/>
      <c r="CU29" s="32" t="n"/>
      <c r="CV29" s="32" t="n"/>
      <c r="CW29" s="32" t="n"/>
      <c r="CX29" s="32" t="n"/>
      <c r="CY29" s="32" t="n"/>
    </row>
    <row r="30" hidden="1" outlineLevel="1"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  <c r="AL30" s="32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  <c r="AV30" s="32" t="n"/>
      <c r="AW30" s="32" t="n"/>
      <c r="AX30" s="3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  <c r="BJ30" s="32" t="n"/>
      <c r="BK30" s="32" t="n"/>
      <c r="BL30" s="32" t="n"/>
      <c r="BM30" s="32" t="n"/>
      <c r="BN30" s="32" t="n"/>
      <c r="BO30" s="32" t="n"/>
      <c r="BP30" s="32" t="n"/>
      <c r="BQ30" s="32" t="n"/>
      <c r="BR30" s="32" t="n"/>
      <c r="BS30" s="32" t="n"/>
      <c r="BT30" s="32" t="n"/>
      <c r="BU30" s="32" t="n"/>
      <c r="BV30" s="32" t="n"/>
      <c r="BW30" s="32" t="n"/>
      <c r="BX30" s="32" t="n"/>
      <c r="BY30" s="32" t="n"/>
      <c r="BZ30" s="32" t="n"/>
      <c r="CA30" s="32" t="n"/>
      <c r="CB30" s="32" t="n"/>
      <c r="CC30" s="32" t="n"/>
      <c r="CD30" s="32" t="n"/>
      <c r="CE30" s="32" t="n"/>
      <c r="CF30" s="32" t="n"/>
      <c r="CG30" s="32" t="n"/>
      <c r="CH30" s="32" t="n"/>
      <c r="CI30" s="32" t="n"/>
      <c r="CJ30" s="32" t="n"/>
      <c r="CK30" s="32" t="n"/>
      <c r="CL30" s="32" t="n"/>
      <c r="CM30" s="32" t="n"/>
      <c r="CN30" s="32" t="n"/>
      <c r="CO30" s="32" t="n"/>
      <c r="CP30" s="32" t="n"/>
      <c r="CQ30" s="32" t="n"/>
      <c r="CR30" s="32" t="n"/>
      <c r="CS30" s="32" t="n"/>
      <c r="CT30" s="32" t="n"/>
      <c r="CU30" s="32" t="n"/>
      <c r="CV30" s="32" t="n"/>
      <c r="CW30" s="32" t="n"/>
      <c r="CX30" s="32" t="n"/>
      <c r="CY30" s="32" t="n"/>
    </row>
    <row r="31" hidden="1" outlineLevel="1">
      <c r="C31" s="32" t="inlineStr">
        <is>
          <t>Com Vendas (%)</t>
        </is>
      </c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  <c r="BJ31" s="32" t="n"/>
      <c r="BK31" s="32" t="n"/>
      <c r="BL31" s="32" t="n"/>
      <c r="BM31" s="32" t="n"/>
      <c r="BN31" s="32" t="n"/>
      <c r="BO31" s="32" t="n"/>
      <c r="BP31" s="32" t="n"/>
      <c r="BQ31" s="32" t="n"/>
      <c r="BR31" s="32" t="n"/>
      <c r="BS31" s="32" t="n"/>
      <c r="BT31" s="32" t="n"/>
      <c r="BU31" s="32" t="n"/>
      <c r="BV31" s="32" t="n"/>
      <c r="BW31" s="32" t="n"/>
      <c r="BX31" s="32" t="n"/>
      <c r="BY31" s="32" t="n"/>
      <c r="BZ31" s="32" t="n"/>
      <c r="CA31" s="32" t="n"/>
      <c r="CB31" s="32" t="n"/>
      <c r="CC31" s="32" t="n"/>
      <c r="CD31" s="32" t="n"/>
      <c r="CE31" s="32" t="n"/>
      <c r="CF31" s="32" t="n"/>
      <c r="CG31" s="32" t="n"/>
      <c r="CH31" s="32" t="n"/>
      <c r="CI31" s="32" t="n"/>
      <c r="CJ31" s="32" t="n"/>
      <c r="CK31" s="32" t="n"/>
      <c r="CL31" s="32" t="n"/>
      <c r="CM31" s="32" t="n"/>
      <c r="CN31" s="32" t="n"/>
      <c r="CO31" s="32" t="n"/>
      <c r="CP31" s="32" t="n"/>
      <c r="CQ31" s="32" t="n"/>
      <c r="CR31" s="32" t="n"/>
      <c r="CS31" s="32" t="n"/>
      <c r="CT31" s="32" t="n"/>
      <c r="CU31" s="32" t="n"/>
      <c r="CV31" s="32" t="n"/>
      <c r="CW31" s="32" t="n"/>
      <c r="CX31" s="32" t="n"/>
      <c r="CY31" s="32" t="n"/>
    </row>
    <row r="32" hidden="1" outlineLevel="1">
      <c r="C32" s="32" t="inlineStr">
        <is>
          <t>Gerais &amp; Administrativas (%)</t>
        </is>
      </c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  <c r="BJ32" s="32" t="n"/>
      <c r="BK32" s="32" t="n"/>
      <c r="BL32" s="32" t="n"/>
      <c r="BM32" s="32" t="n"/>
      <c r="BN32" s="32" t="n"/>
      <c r="BO32" s="32" t="n"/>
      <c r="BP32" s="32" t="n"/>
      <c r="BQ32" s="32" t="n"/>
      <c r="BR32" s="32" t="n"/>
      <c r="BS32" s="32" t="n"/>
      <c r="BT32" s="32" t="n"/>
      <c r="BU32" s="32" t="n"/>
      <c r="BV32" s="32" t="n"/>
      <c r="BW32" s="32" t="n"/>
      <c r="BX32" s="32" t="n"/>
      <c r="BY32" s="32" t="n"/>
      <c r="BZ32" s="32" t="n"/>
      <c r="CA32" s="32" t="n"/>
      <c r="CB32" s="32" t="n"/>
      <c r="CC32" s="32" t="n"/>
      <c r="CD32" s="32" t="n"/>
      <c r="CE32" s="32" t="n"/>
      <c r="CF32" s="32" t="n"/>
      <c r="CG32" s="32" t="n"/>
      <c r="CH32" s="32" t="n"/>
      <c r="CI32" s="32" t="n"/>
      <c r="CJ32" s="32" t="n"/>
      <c r="CK32" s="32" t="n"/>
      <c r="CL32" s="32" t="n"/>
      <c r="CM32" s="32" t="n"/>
      <c r="CN32" s="32" t="n"/>
      <c r="CO32" s="32" t="n"/>
      <c r="CP32" s="32" t="n"/>
      <c r="CQ32" s="32" t="n"/>
      <c r="CR32" s="32" t="n"/>
      <c r="CS32" s="32" t="n"/>
      <c r="CT32" s="32" t="n"/>
      <c r="CU32" s="32" t="n"/>
      <c r="CV32" s="32" t="n"/>
      <c r="CW32" s="32" t="n"/>
      <c r="CX32" s="32" t="n"/>
      <c r="CY32" s="32" t="n"/>
    </row>
    <row r="33" hidden="1" outlineLevel="1">
      <c r="C33" s="32" t="inlineStr">
        <is>
          <t>Outras Receitas (Despesas) Operacionais, Líquidas (%)</t>
        </is>
      </c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2" t="n"/>
      <c r="CE33" s="32" t="n"/>
      <c r="CF33" s="32" t="n"/>
      <c r="CG33" s="32" t="n"/>
      <c r="CH33" s="32" t="n"/>
      <c r="CI33" s="32" t="n"/>
      <c r="CJ33" s="32" t="n"/>
      <c r="CK33" s="32" t="n"/>
      <c r="CL33" s="32" t="n"/>
      <c r="CM33" s="32" t="n"/>
      <c r="CN33" s="32" t="n"/>
      <c r="CO33" s="32" t="n"/>
      <c r="CP33" s="32" t="n"/>
      <c r="CQ33" s="32" t="n"/>
      <c r="CR33" s="32" t="n"/>
      <c r="CS33" s="32" t="n"/>
      <c r="CT33" s="32" t="n"/>
      <c r="CU33" s="32" t="n"/>
      <c r="CV33" s="32" t="n"/>
      <c r="CW33" s="32" t="n"/>
      <c r="CX33" s="32" t="n"/>
      <c r="CY33" s="32" t="n"/>
    </row>
    <row r="34" hidden="1" outlineLevel="1"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  <c r="AL34" s="32" t="n"/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  <c r="AV34" s="32" t="n"/>
      <c r="AW34" s="32" t="n"/>
      <c r="AX34" s="3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  <c r="BJ34" s="32" t="n"/>
      <c r="BK34" s="32" t="n"/>
      <c r="BL34" s="32" t="n"/>
      <c r="BM34" s="32" t="n"/>
      <c r="BN34" s="32" t="n"/>
      <c r="BO34" s="32" t="n"/>
      <c r="BP34" s="32" t="n"/>
      <c r="BQ34" s="32" t="n"/>
      <c r="BR34" s="32" t="n"/>
      <c r="BS34" s="32" t="n"/>
      <c r="BT34" s="32" t="n"/>
      <c r="BU34" s="32" t="n"/>
      <c r="BV34" s="32" t="n"/>
      <c r="BW34" s="32" t="n"/>
      <c r="BX34" s="32" t="n"/>
      <c r="BY34" s="32" t="n"/>
      <c r="BZ34" s="32" t="n"/>
      <c r="CA34" s="32" t="n"/>
      <c r="CB34" s="32" t="n"/>
      <c r="CC34" s="32" t="n"/>
      <c r="CD34" s="32" t="n"/>
      <c r="CE34" s="32" t="n"/>
      <c r="CF34" s="32" t="n"/>
      <c r="CG34" s="32" t="n"/>
      <c r="CH34" s="32" t="n"/>
      <c r="CI34" s="32" t="n"/>
      <c r="CJ34" s="32" t="n"/>
      <c r="CK34" s="32" t="n"/>
      <c r="CL34" s="32" t="n"/>
      <c r="CM34" s="32" t="n"/>
      <c r="CN34" s="32" t="n"/>
      <c r="CO34" s="32" t="n"/>
      <c r="CP34" s="32" t="n"/>
      <c r="CQ34" s="32" t="n"/>
      <c r="CR34" s="32" t="n"/>
      <c r="CS34" s="32" t="n"/>
      <c r="CT34" s="32" t="n"/>
      <c r="CU34" s="32" t="n"/>
      <c r="CV34" s="32" t="n"/>
      <c r="CW34" s="32" t="n"/>
      <c r="CX34" s="32" t="n"/>
      <c r="CY34" s="32" t="n"/>
    </row>
    <row r="35" collapsed="1" customFormat="1" s="17">
      <c r="A35" s="13" t="n"/>
      <c r="B35" s="1" t="n"/>
      <c r="C35" s="14" t="inlineStr">
        <is>
          <t>EBITDA</t>
        </is>
      </c>
      <c r="D35" s="16">
        <f>SUM(D15,D20,D24)</f>
        <v>195.945971686418</v>
      </c>
      <c r="E35" s="16">
        <f>SUM(E15,E20,E24)</f>
        <v>19.6086792531876</v>
      </c>
      <c r="F35" s="16">
        <f>SUM(F15,F20,F24)</f>
        <v>323.835666505985</v>
      </c>
      <c r="G35" s="16">
        <f>SUM(G15,G20,G24)</f>
        <v>298.072292170001</v>
      </c>
      <c r="H35" s="16">
        <f>SUM(D35:G35)</f>
        <v>837.462609615592</v>
      </c>
      <c r="I35" s="16">
        <f>SUM(I15,I20,I24)</f>
        <v>285.53225096</v>
      </c>
      <c r="J35" s="16">
        <f>SUM(J15,J20,J24)</f>
        <v>219.736202549999</v>
      </c>
      <c r="K35" s="16">
        <f>SUM(K15,K20,K24)</f>
        <v>288.55310156</v>
      </c>
      <c r="L35" s="16">
        <f>SUM(L15,L20,L24)</f>
        <v>262.16817913</v>
      </c>
      <c r="M35" s="16">
        <f>SUM(I35:L35)</f>
        <v>1055.9897342</v>
      </c>
      <c r="N35" s="16">
        <f>SUM(N15,N20,N24)</f>
        <v>326.579332279442</v>
      </c>
      <c r="O35" s="16">
        <f>SUM(O15,O20,O24)</f>
        <v>298.004895658051</v>
      </c>
      <c r="P35" s="16">
        <f>SUM(P15,P20,P24)</f>
        <v>332.44466108</v>
      </c>
      <c r="Q35" s="16">
        <f>SUM(Q15,Q20,Q24)</f>
        <v>232.67857335</v>
      </c>
      <c r="R35" s="16">
        <f>SUM(N35:Q35)</f>
        <v>1189.70746236749</v>
      </c>
      <c r="S35" s="16">
        <f>SUM(S15,S20,S24)</f>
        <v>345.77897024</v>
      </c>
      <c r="T35" s="16">
        <f>SUM(T15,T20,T24)</f>
        <v>363.578</v>
      </c>
      <c r="U35" s="16">
        <f>SUM(U15,U20,U24)</f>
        <v>505.964435338059</v>
      </c>
      <c r="V35" s="16">
        <f>SUM(V15,V20,V24)</f>
        <v>375.83270032</v>
      </c>
      <c r="W35" s="16">
        <f>SUM(S35:V35)</f>
        <v>1591.15410589806</v>
      </c>
      <c r="X35" s="16">
        <f>SUM(X15,X20,X24)</f>
        <v>517.1334785</v>
      </c>
      <c r="Y35" s="16">
        <f>SUM(Y15,Y20,Y24)</f>
        <v>522.048</v>
      </c>
      <c r="Z35" s="16">
        <f>SUM(Z15,Z20,Z24)</f>
        <v>537.381474</v>
      </c>
      <c r="AA35" s="16">
        <f>SUM(AA15,AA20,AA24)</f>
        <v>405.387047499999</v>
      </c>
      <c r="AB35" s="16">
        <f>SUM(X35:AA35)</f>
        <v>1981.95</v>
      </c>
      <c r="AC35" s="16">
        <f>SUM(AC15,AC20,AC24)</f>
        <v>547.625652</v>
      </c>
      <c r="AD35" s="16">
        <f>SUM(AD15,AD20,AD24)</f>
        <v>532.09</v>
      </c>
      <c r="AE35" s="16">
        <f>SUM(AE15,AE20,AE24)</f>
        <v>599.363905293919</v>
      </c>
      <c r="AF35" s="16">
        <f>SUM(AF15,AF20,AF24)</f>
        <v>455.93815631</v>
      </c>
      <c r="AG35" s="16">
        <f>SUM(AC35:AF35)</f>
        <v>2135.01771360392</v>
      </c>
      <c r="AH35" s="16">
        <f>SUM(AH15,AH20,AH24)</f>
        <v>0</v>
      </c>
      <c r="AI35" s="16">
        <f>SUM(AI15,AI20,AI24)</f>
        <v>0</v>
      </c>
      <c r="AJ35" s="16">
        <f>SUM(AJ15,AJ20,AJ24)</f>
        <v>0</v>
      </c>
      <c r="AK35" s="16">
        <f>SUM(AK15,AK20,AK24)</f>
        <v>0</v>
      </c>
      <c r="AL35" s="16">
        <f>SUM(AH35:AK35)</f>
        <v>0</v>
      </c>
      <c r="AM35" s="16">
        <f>SUM(AM15,AM20,AM24)</f>
        <v>0</v>
      </c>
      <c r="AN35" s="16">
        <f>SUM(AN15,AN20,AN24)</f>
        <v>0</v>
      </c>
      <c r="AO35" s="16">
        <f>SUM(AO15,AO20,AO24)</f>
        <v>0</v>
      </c>
      <c r="AP35" s="16">
        <f>SUM(AP15,AP20,AP24)</f>
        <v>0</v>
      </c>
      <c r="AQ35" s="16">
        <f>SUM(AM35:AP35)</f>
        <v>0</v>
      </c>
      <c r="AR35" s="16">
        <f>SUM(AR15,AR20,AR24)</f>
        <v>0</v>
      </c>
      <c r="AS35" s="16">
        <f>SUM(AS15,AS20,AS24)</f>
        <v>0</v>
      </c>
      <c r="AT35" s="16">
        <f>SUM(AT15,AT20,AT24)</f>
        <v>0</v>
      </c>
      <c r="AU35" s="16">
        <f>SUM(AU15,AU20,AU24)</f>
        <v>0</v>
      </c>
      <c r="AV35" s="16">
        <f>SUM(AR35:AU35)</f>
        <v>0</v>
      </c>
      <c r="AW35" s="16">
        <f>SUM(AW15,AW20,AW24)</f>
        <v>0</v>
      </c>
      <c r="AX35" s="16">
        <f>SUM(AX15,AX20,AX24)</f>
        <v>0</v>
      </c>
      <c r="AY35" s="16">
        <f>SUM(AY15,AY20,AY24)</f>
        <v>0</v>
      </c>
      <c r="AZ35" s="16">
        <f>SUM(AZ15,AZ20,AZ24)</f>
        <v>0</v>
      </c>
      <c r="BA35" s="16">
        <f>SUM(AW35:AZ35)</f>
        <v>0</v>
      </c>
      <c r="BB35" s="16">
        <f>SUM(BB15,BB20,BB24)</f>
        <v>0</v>
      </c>
      <c r="BC35" s="16">
        <f>SUM(BC15,BC20,BC24)</f>
        <v>0</v>
      </c>
      <c r="BD35" s="16">
        <f>SUM(BD15,BD20,BD24)</f>
        <v>0</v>
      </c>
      <c r="BE35" s="16">
        <f>SUM(BE15,BE20,BE24)</f>
        <v>0</v>
      </c>
      <c r="BF35" s="16">
        <f>SUM(BB35:BE35)</f>
        <v>0</v>
      </c>
      <c r="BG35" s="16">
        <f>SUM(BG15,BG20,BG24)</f>
        <v>0</v>
      </c>
      <c r="BH35" s="16">
        <f>SUM(BH15,BH20,BH24)</f>
        <v>0</v>
      </c>
      <c r="BI35" s="16">
        <f>SUM(BI15,BI20,BI24)</f>
        <v>0</v>
      </c>
      <c r="BJ35" s="16">
        <f>SUM(BJ15,BJ20,BJ24)</f>
        <v>0</v>
      </c>
      <c r="BK35" s="16">
        <f>SUM(BG35:BJ35)</f>
        <v>0</v>
      </c>
      <c r="BL35" s="16">
        <f>SUM(BL15,BL20,BL24)</f>
        <v>0</v>
      </c>
      <c r="BM35" s="16">
        <f>SUM(BM15,BM20,BM24)</f>
        <v>0</v>
      </c>
      <c r="BN35" s="16">
        <f>SUM(BN15,BN20,BN24)</f>
        <v>0</v>
      </c>
      <c r="BO35" s="16">
        <f>SUM(BO15,BO20,BO24)</f>
        <v>0</v>
      </c>
      <c r="BP35" s="16">
        <f>SUM(BL35:BO35)</f>
        <v>0</v>
      </c>
      <c r="BQ35" s="16">
        <f>SUM(BQ15,BQ20,BQ24)</f>
        <v>0</v>
      </c>
      <c r="BR35" s="16">
        <f>SUM(BR15,BR20,BR24)</f>
        <v>0</v>
      </c>
      <c r="BS35" s="16">
        <f>SUM(BS15,BS20,BS24)</f>
        <v>0</v>
      </c>
      <c r="BT35" s="16">
        <f>SUM(BT15,BT20,BT24)</f>
        <v>0</v>
      </c>
      <c r="BU35" s="16">
        <f>SUM(BQ35:BT35)</f>
        <v>0</v>
      </c>
      <c r="BV35" s="16">
        <f>SUM(BV15,BV20,BV24)</f>
        <v>0</v>
      </c>
      <c r="BW35" s="16">
        <f>SUM(BW15,BW20,BW24)</f>
        <v>0</v>
      </c>
      <c r="BX35" s="16">
        <f>SUM(BX15,BX20,BX24)</f>
        <v>0</v>
      </c>
      <c r="BY35" s="16">
        <f>SUM(BY15,BY20,BY24)</f>
        <v>0</v>
      </c>
      <c r="BZ35" s="16">
        <f>SUM(BV35:BY35)</f>
        <v>0</v>
      </c>
      <c r="CA35" s="16">
        <f>SUM(CA15,CA20,CA24)</f>
        <v>0</v>
      </c>
      <c r="CB35" s="16">
        <f>SUM(CB15,CB20,CB24)</f>
        <v>0</v>
      </c>
      <c r="CC35" s="16">
        <f>SUM(CC15,CC20,CC24)</f>
        <v>0</v>
      </c>
      <c r="CD35" s="16">
        <f>SUM(CD15,CD20,CD24)</f>
        <v>0</v>
      </c>
      <c r="CE35" s="16">
        <f>SUM(CA35:CD35)</f>
        <v>0</v>
      </c>
      <c r="CF35" s="16">
        <f>SUM(CF15,CF20,CF24)</f>
        <v>0</v>
      </c>
      <c r="CG35" s="16">
        <f>SUM(CG15,CG20,CG24)</f>
        <v>0</v>
      </c>
      <c r="CH35" s="16">
        <f>SUM(CH15,CH20,CH24)</f>
        <v>0</v>
      </c>
      <c r="CI35" s="16">
        <f>SUM(CI15,CI20,CI24)</f>
        <v>0</v>
      </c>
      <c r="CJ35" s="16">
        <f>SUM(CF35:CI35)</f>
        <v>0</v>
      </c>
      <c r="CK35" s="16">
        <f>SUM(CK15,CK20,CK24)</f>
        <v>0</v>
      </c>
      <c r="CL35" s="16">
        <f>SUM(CL15,CL20,CL24)</f>
        <v>0</v>
      </c>
      <c r="CM35" s="16">
        <f>SUM(CM15,CM20,CM24)</f>
        <v>0</v>
      </c>
      <c r="CN35" s="16">
        <f>SUM(CN15,CN20,CN24)</f>
        <v>0</v>
      </c>
      <c r="CO35" s="16">
        <f>SUM(CK35:CN35)</f>
        <v>0</v>
      </c>
      <c r="CP35" s="16">
        <f>SUM(CP15,CP20,CP24)</f>
        <v>0</v>
      </c>
      <c r="CQ35" s="16">
        <f>SUM(CQ15,CQ20,CQ24)</f>
        <v>0</v>
      </c>
      <c r="CR35" s="16">
        <f>SUM(CR15,CR20,CR24)</f>
        <v>0</v>
      </c>
      <c r="CS35" s="16">
        <f>SUM(CS15,CS20,CS24)</f>
        <v>0</v>
      </c>
      <c r="CT35" s="16">
        <f>SUM(CP35:CS35)</f>
        <v>0</v>
      </c>
      <c r="CU35" s="16">
        <f>SUM(CU15,CU20,CU24)</f>
        <v>0</v>
      </c>
      <c r="CV35" s="16">
        <f>SUM(CV15,CV20,CV24)</f>
        <v>0</v>
      </c>
      <c r="CW35" s="16">
        <f>SUM(CW15,CW20,CW24)</f>
        <v>0</v>
      </c>
      <c r="CX35" s="16">
        <f>SUM(CX15,CX20,CX24)</f>
        <v>0</v>
      </c>
      <c r="CY35" s="16">
        <f>SUM(CU35:CX35)</f>
        <v>0</v>
      </c>
    </row>
    <row r="36" ht="13.5" customHeight="1">
      <c r="C36" s="24" t="inlineStr">
        <is>
          <t>D&amp;A</t>
        </is>
      </c>
      <c r="D36" s="25">
        <f>INDEX('Inputs (2)'!$D$7:$AL$7,MATCH(D$7,'Inputs (2)'!$D$2:$AL$2,0))</f>
        <v>-87.25438368</v>
      </c>
      <c r="E36" s="25">
        <f>INDEX('Inputs (2)'!$D$7:$AL$7,MATCH(E$7,'Inputs (2)'!$D$2:$AL$2,0))</f>
        <v>-84.69920834</v>
      </c>
      <c r="F36" s="25">
        <f>INDEX('Inputs (2)'!$D$7:$AL$7,MATCH(F$7,'Inputs (2)'!$D$2:$AL$2,0))</f>
        <v>-87.78008586</v>
      </c>
      <c r="G36" s="25">
        <f>INDEX('Inputs (2)'!$D$7:$AL$7,MATCH(G$7,'Inputs (2)'!$D$2:$AL$2,0))</f>
        <v>-98.73427442</v>
      </c>
      <c r="H36" s="3">
        <f>SUM(D36:G36)</f>
        <v>-358.4679523</v>
      </c>
      <c r="I36" s="25">
        <f>INDEX('Inputs (2)'!$D$7:$AL$7,MATCH(I$7,'Inputs (2)'!$D$2:$AL$2,0))</f>
        <v>-86.83643829</v>
      </c>
      <c r="J36" s="25">
        <f>INDEX('Inputs (2)'!$D$7:$AL$7,MATCH(J$7,'Inputs (2)'!$D$2:$AL$2,0))</f>
        <v>-90.88444056</v>
      </c>
      <c r="K36" s="25">
        <f>INDEX('Inputs (2)'!$D$7:$AL$7,MATCH(K$7,'Inputs (2)'!$D$2:$AL$2,0))</f>
        <v>-103.83367925</v>
      </c>
      <c r="L36" s="25">
        <f>INDEX('Inputs (2)'!$D$7:$AL$7,MATCH(L$7,'Inputs (2)'!$D$2:$AL$2,0))</f>
        <v>-107.72515852</v>
      </c>
      <c r="M36" s="3">
        <f>SUM(I36:L36)</f>
        <v>-389.27971662</v>
      </c>
      <c r="N36" s="25">
        <f>INDEX('Inputs (2)'!$D$7:$AL$7,MATCH(N$7,'Inputs (2)'!$D$2:$AL$2,0))</f>
        <v>-107.45963589</v>
      </c>
      <c r="O36" s="25">
        <f>INDEX('Inputs (2)'!$D$7:$AL$7,MATCH(O$7,'Inputs (2)'!$D$2:$AL$2,0))</f>
        <v>-113.84256518</v>
      </c>
      <c r="P36" s="25">
        <f>INDEX('Inputs (2)'!$D$7:$AL$7,MATCH(P$7,'Inputs (2)'!$D$2:$AL$2,0))</f>
        <v>-109.7525059</v>
      </c>
      <c r="Q36" s="25">
        <f>INDEX('Inputs (2)'!$D$7:$AL$7,MATCH(Q$7,'Inputs (2)'!$D$2:$AL$2,0))</f>
        <v>-124.2846005</v>
      </c>
      <c r="R36" s="3">
        <f>SUM(N36:Q36)</f>
        <v>-455.33930747</v>
      </c>
      <c r="S36" s="25">
        <f>INDEX('Inputs (2)'!$D$7:$AL$7,MATCH(S$7,'Inputs (2)'!$D$2:$AL$2,0))</f>
        <v>-131.26208815</v>
      </c>
      <c r="T36" s="25">
        <f>INDEX('Inputs (2)'!$D$7:$AL$7,MATCH(T$7,'Inputs (2)'!$D$2:$AL$2,0))</f>
        <v>-166.076</v>
      </c>
      <c r="U36" s="25">
        <f>INDEX('Inputs (2)'!$D$7:$AL$7,MATCH(U$7,'Inputs (2)'!$D$2:$AL$2,0))</f>
        <v>-188.161</v>
      </c>
      <c r="V36" s="25">
        <f>INDEX('Inputs (2)'!$D$7:$AL$7,MATCH(V$7,'Inputs (2)'!$D$2:$AL$2,0))</f>
        <v>-189.879</v>
      </c>
      <c r="W36" s="3">
        <f>SUM(S36:V36)</f>
        <v>-675.37808815</v>
      </c>
      <c r="X36" s="25">
        <f>INDEX('Inputs (2)'!$D$7:$AL$7,MATCH(X$7,'Inputs (2)'!$D$2:$AL$2,0))</f>
        <v>-189.554</v>
      </c>
      <c r="Y36" s="25">
        <f>INDEX('Inputs (2)'!$D$7:$AL$7,MATCH(Y$7,'Inputs (2)'!$D$2:$AL$2,0))</f>
        <v>-191.804</v>
      </c>
      <c r="Z36" s="25">
        <f>INDEX('Inputs (2)'!$D$7:$AL$7,MATCH(Z$7,'Inputs (2)'!$D$2:$AL$2,0))</f>
        <v>-196.609</v>
      </c>
      <c r="AA36" s="25">
        <f>INDEX('Inputs (2)'!$D$7:$AL$7,MATCH(AA$7,'Inputs (2)'!$D$2:$AL$2,0))</f>
        <v>-202.016</v>
      </c>
      <c r="AB36" s="3">
        <f>SUM(X36:AA36)</f>
        <v>-779.983</v>
      </c>
      <c r="AC36" s="25">
        <f>INDEX('Inputs (2)'!$D$7:$AL$7,MATCH(AC$7,'Inputs (2)'!$D$2:$AL$2,0))</f>
        <v>-212.141077</v>
      </c>
      <c r="AD36" s="25">
        <f>INDEX('Inputs (2)'!$D$7:$AL$7,MATCH(AD$7,'Inputs (2)'!$D$2:$AL$2,0))</f>
        <v>-222.403</v>
      </c>
      <c r="AE36" s="25">
        <f>INDEX('Inputs (2)'!$D$7:$AL$7,MATCH(AE$7,'Inputs (2)'!$D$2:$AL$2,0))</f>
        <v>-229.37499664</v>
      </c>
      <c r="AF36" s="25">
        <f>INDEX('Inputs (2)'!$D$7:$AL$7,MATCH(AF$7,'Inputs (2)'!$D$2:$AL$2,0))</f>
        <v>-236.39185589</v>
      </c>
      <c r="AG36" s="3">
        <f>SUM(AC36:AF36)</f>
        <v>-900.31092953</v>
      </c>
      <c r="AH36" s="3">
        <f>-AH37*AH15</f>
        <v>0</v>
      </c>
      <c r="AI36" s="3">
        <f>-AI37*AI15</f>
        <v>0</v>
      </c>
      <c r="AJ36" s="3">
        <f>-AJ37*AJ15</f>
        <v>0</v>
      </c>
      <c r="AK36" s="3">
        <f>-AK37*AK15</f>
        <v>0</v>
      </c>
      <c r="AL36" s="3">
        <f>SUM(AH36:AK36)</f>
        <v>0</v>
      </c>
      <c r="AM36" s="3">
        <f>-AM37*AM15</f>
        <v>0</v>
      </c>
      <c r="AN36" s="3">
        <f>-AN37*AN15</f>
        <v>0</v>
      </c>
      <c r="AO36" s="3">
        <f>-AO37*AO15</f>
        <v>0</v>
      </c>
      <c r="AP36" s="3">
        <f>-AP37*AP15</f>
        <v>0</v>
      </c>
      <c r="AQ36" s="3">
        <f>SUM(AM36:AP36)</f>
        <v>0</v>
      </c>
      <c r="AR36" s="3">
        <f>-AR37*AR15</f>
        <v>0</v>
      </c>
      <c r="AS36" s="3">
        <f>-AS37*AS15</f>
        <v>0</v>
      </c>
      <c r="AT36" s="3">
        <f>-AT37*AT15</f>
        <v>0</v>
      </c>
      <c r="AU36" s="3">
        <f>-AU37*AU15</f>
        <v>0</v>
      </c>
      <c r="AV36" s="3">
        <f>SUM(AR36:AU36)</f>
        <v>0</v>
      </c>
      <c r="AW36" s="3">
        <f>-AW37*AW15</f>
        <v>0</v>
      </c>
      <c r="AX36" s="3">
        <f>-AX37*AX15</f>
        <v>0</v>
      </c>
      <c r="AY36" s="3">
        <f>-AY37*AY15</f>
        <v>0</v>
      </c>
      <c r="AZ36" s="3">
        <f>-AZ37*AZ15</f>
        <v>0</v>
      </c>
      <c r="BA36" s="3">
        <f>SUM(AW36:AZ36)</f>
        <v>0</v>
      </c>
      <c r="BB36" s="3">
        <f>-BB37*BB15</f>
        <v>0</v>
      </c>
      <c r="BC36" s="3">
        <f>-BC37*BC15</f>
        <v>0</v>
      </c>
      <c r="BD36" s="3">
        <f>-BD37*BD15</f>
        <v>0</v>
      </c>
      <c r="BE36" s="3">
        <f>-BE37*BE15</f>
        <v>0</v>
      </c>
      <c r="BF36" s="3">
        <f>SUM(BB36:BE36)</f>
        <v>0</v>
      </c>
      <c r="BG36" s="3">
        <f>-BG37*BG15</f>
        <v>0</v>
      </c>
      <c r="BH36" s="3">
        <f>-BH37*BH15</f>
        <v>0</v>
      </c>
      <c r="BI36" s="3">
        <f>-BI37*BI15</f>
        <v>0</v>
      </c>
      <c r="BJ36" s="3">
        <f>-BJ37*BJ15</f>
        <v>0</v>
      </c>
      <c r="BK36" s="3">
        <f>SUM(BG36:BJ36)</f>
        <v>0</v>
      </c>
      <c r="BL36" s="3">
        <f>-BL37*BL15</f>
        <v>0</v>
      </c>
      <c r="BM36" s="3">
        <f>-BM37*BM15</f>
        <v>0</v>
      </c>
      <c r="BN36" s="3">
        <f>-BN37*BN15</f>
        <v>0</v>
      </c>
      <c r="BO36" s="3">
        <f>-BO37*BO15</f>
        <v>0</v>
      </c>
      <c r="BP36" s="3">
        <f>SUM(BL36:BO36)</f>
        <v>0</v>
      </c>
      <c r="BQ36" s="3">
        <f>-BQ37*BQ15</f>
        <v>0</v>
      </c>
      <c r="BR36" s="3">
        <f>-BR37*BR15</f>
        <v>0</v>
      </c>
      <c r="BS36" s="3">
        <f>-BS37*BS15</f>
        <v>0</v>
      </c>
      <c r="BT36" s="3">
        <f>-BT37*BT15</f>
        <v>0</v>
      </c>
      <c r="BU36" s="3">
        <f>SUM(BQ36:BT36)</f>
        <v>0</v>
      </c>
      <c r="BV36" s="3">
        <f>-BV37*BV15</f>
        <v>0</v>
      </c>
      <c r="BW36" s="3">
        <f>-BW37*BW15</f>
        <v>0</v>
      </c>
      <c r="BX36" s="3">
        <f>-BX37*BX15</f>
        <v>0</v>
      </c>
      <c r="BY36" s="3">
        <f>-BY37*BY15</f>
        <v>0</v>
      </c>
      <c r="BZ36" s="3">
        <f>SUM(BV36:BY36)</f>
        <v>0</v>
      </c>
      <c r="CA36" s="3">
        <f>-CA37*CA15</f>
        <v>0</v>
      </c>
      <c r="CB36" s="3">
        <f>-CB37*CB15</f>
        <v>0</v>
      </c>
      <c r="CC36" s="3">
        <f>-CC37*CC15</f>
        <v>0</v>
      </c>
      <c r="CD36" s="3">
        <f>-CD37*CD15</f>
        <v>0</v>
      </c>
      <c r="CE36" s="3">
        <f>SUM(CA36:CD36)</f>
        <v>0</v>
      </c>
      <c r="CF36" s="3">
        <f>-CF37*CF15</f>
        <v>0</v>
      </c>
      <c r="CG36" s="3">
        <f>-CG37*CG15</f>
        <v>0</v>
      </c>
      <c r="CH36" s="3">
        <f>-CH37*CH15</f>
        <v>0</v>
      </c>
      <c r="CI36" s="3">
        <f>-CI37*CI15</f>
        <v>0</v>
      </c>
      <c r="CJ36" s="3">
        <f>SUM(CF36:CI36)</f>
        <v>0</v>
      </c>
      <c r="CK36" s="3">
        <f>-CK37*CK15</f>
        <v>0</v>
      </c>
      <c r="CL36" s="3">
        <f>-CL37*CL15</f>
        <v>0</v>
      </c>
      <c r="CM36" s="3">
        <f>-CM37*CM15</f>
        <v>0</v>
      </c>
      <c r="CN36" s="3">
        <f>-CN37*CN15</f>
        <v>0</v>
      </c>
      <c r="CO36" s="3">
        <f>SUM(CK36:CN36)</f>
        <v>0</v>
      </c>
      <c r="CP36" s="3">
        <f>-CP37*CP15</f>
        <v>0</v>
      </c>
      <c r="CQ36" s="3">
        <f>-CQ37*CQ15</f>
        <v>0</v>
      </c>
      <c r="CR36" s="3">
        <f>-CR37*CR15</f>
        <v>0</v>
      </c>
      <c r="CS36" s="3">
        <f>-CS37*CS15</f>
        <v>0</v>
      </c>
      <c r="CT36" s="3">
        <f>SUM(CP36:CS36)</f>
        <v>0</v>
      </c>
      <c r="CU36" s="3">
        <f>-CU37*CU15</f>
        <v>0</v>
      </c>
      <c r="CV36" s="3">
        <f>-CV37*CV15</f>
        <v>0</v>
      </c>
      <c r="CW36" s="3">
        <f>-CW37*CW15</f>
        <v>0</v>
      </c>
      <c r="CX36" s="3">
        <f>-CX37*CX15</f>
        <v>0</v>
      </c>
      <c r="CY36" s="3">
        <f>SUM(CU36:CX36)</f>
        <v>0</v>
      </c>
    </row>
    <row r="37" hidden="1" outlineLevel="1" customFormat="1" s="247">
      <c r="A37" s="48" t="n"/>
      <c r="B37" s="48" t="n"/>
      <c r="C37" s="246" t="inlineStr">
        <is>
          <t>% of Revenue</t>
        </is>
      </c>
      <c r="D37" s="48">
        <f>-D36/D15</f>
        <v>0.122216338118594</v>
      </c>
      <c r="E37" s="48">
        <f>-E36/E15</f>
        <v>0.186175062927752</v>
      </c>
      <c r="F37" s="48">
        <f>-F36/F15</f>
        <v>0.100367922530493</v>
      </c>
      <c r="G37" s="48">
        <f>-G36/G15</f>
        <v>0.106376953959734</v>
      </c>
      <c r="H37" s="48" t="n"/>
      <c r="I37" s="48">
        <f>-I36/I15</f>
        <v>0.0971533490863134</v>
      </c>
      <c r="J37" s="48">
        <f>-J36/J15</f>
        <v>0.0975085518168044</v>
      </c>
      <c r="K37" s="48">
        <f>-K36/K15</f>
        <v>0.100924052596831</v>
      </c>
      <c r="L37" s="48">
        <f>-L36/L15</f>
        <v>0.105825960635345</v>
      </c>
      <c r="M37" s="48" t="n"/>
      <c r="N37" s="48">
        <f>-N36/N15</f>
        <v>0.0985947302930614</v>
      </c>
      <c r="O37" s="48">
        <f>-O36/O15</f>
        <v>0.102399800986168</v>
      </c>
      <c r="P37" s="48">
        <f>-P36/P15</f>
        <v>0.0957170483613846</v>
      </c>
      <c r="Q37" s="48">
        <f>-Q36/Q15</f>
        <v>0.111491331020166</v>
      </c>
      <c r="R37" s="48" t="n"/>
      <c r="S37" s="48">
        <f>-S36/S15</f>
        <v>0.106128408305342</v>
      </c>
      <c r="T37" s="48">
        <f>-T36/T15</f>
        <v>0.100073454045426</v>
      </c>
      <c r="U37" s="48">
        <f>-U36/U15</f>
        <v>0.100618434315752</v>
      </c>
      <c r="V37" s="48">
        <f>-V36/V15</f>
        <v>0.111402526332744</v>
      </c>
      <c r="W37" s="48" t="n"/>
      <c r="X37" s="48">
        <f>-X36/X15</f>
        <v>0.0995322279074194</v>
      </c>
      <c r="Y37" s="48">
        <f>-Y36/Y15</f>
        <v>0.096958753453894</v>
      </c>
      <c r="Z37" s="48">
        <f>-Z36/Z15</f>
        <v>0.100174177188862</v>
      </c>
      <c r="AA37" s="48">
        <f>-AA36/AA15</f>
        <v>0.109830876442454</v>
      </c>
      <c r="AB37" s="48" t="n"/>
      <c r="AC37" s="48">
        <f>-AC36/AC15</f>
        <v>0.105277065259142</v>
      </c>
      <c r="AD37" s="48">
        <f>-AD36/AD15</f>
        <v>0.109853976200931</v>
      </c>
      <c r="AE37" s="48">
        <f>-AE36/AE15</f>
        <v>0.104690632541444</v>
      </c>
      <c r="AF37" s="218">
        <f>-AF36/AF15</f>
        <v>0.114720174075216</v>
      </c>
      <c r="AG37" s="48" t="n"/>
      <c r="AH37" s="218" t="n"/>
      <c r="AI37" s="218" t="n"/>
      <c r="AJ37" s="218" t="n"/>
      <c r="AK37" s="218" t="n"/>
      <c r="AL37" s="48" t="n"/>
      <c r="AM37" s="218" t="n"/>
      <c r="AN37" s="218" t="n"/>
      <c r="AO37" s="218" t="n"/>
      <c r="AP37" s="218" t="n"/>
      <c r="AQ37" s="48" t="n"/>
      <c r="AR37" s="218" t="n"/>
      <c r="AS37" s="218" t="n"/>
      <c r="AT37" s="218" t="n"/>
      <c r="AU37" s="218" t="n"/>
      <c r="AV37" s="48" t="n"/>
      <c r="AW37" s="218" t="n"/>
      <c r="AX37" s="218" t="n"/>
      <c r="AY37" s="218" t="n"/>
      <c r="AZ37" s="218" t="n"/>
      <c r="BA37" s="48" t="n"/>
      <c r="BB37" s="218" t="n"/>
      <c r="BC37" s="218" t="n"/>
      <c r="BD37" s="218" t="n"/>
      <c r="BE37" s="218" t="n"/>
      <c r="BF37" s="48" t="n"/>
      <c r="BG37" s="218" t="n"/>
      <c r="BH37" s="218" t="n"/>
      <c r="BI37" s="218" t="n"/>
      <c r="BJ37" s="218" t="n"/>
      <c r="BK37" s="48" t="n"/>
      <c r="BL37" s="218" t="n"/>
      <c r="BM37" s="218" t="n"/>
      <c r="BN37" s="218" t="n"/>
      <c r="BO37" s="218" t="n"/>
      <c r="BP37" s="48" t="n"/>
      <c r="BQ37" s="218" t="n"/>
      <c r="BR37" s="218" t="n"/>
      <c r="BS37" s="218" t="n"/>
      <c r="BT37" s="218" t="n"/>
      <c r="BU37" s="48" t="n"/>
      <c r="BV37" s="218" t="n"/>
      <c r="BW37" s="218" t="n"/>
      <c r="BX37" s="218" t="n"/>
      <c r="BY37" s="218" t="n"/>
      <c r="BZ37" s="48" t="n"/>
      <c r="CA37" s="218" t="n"/>
      <c r="CB37" s="218" t="n"/>
      <c r="CC37" s="218" t="n"/>
      <c r="CD37" s="218" t="n"/>
      <c r="CE37" s="48" t="n"/>
      <c r="CF37" s="218" t="n"/>
      <c r="CG37" s="218" t="n"/>
      <c r="CH37" s="218" t="n"/>
      <c r="CI37" s="218" t="n"/>
      <c r="CJ37" s="48" t="n"/>
      <c r="CK37" s="218" t="n"/>
      <c r="CL37" s="218" t="n"/>
      <c r="CM37" s="218" t="n"/>
      <c r="CN37" s="218" t="n"/>
      <c r="CO37" s="48" t="n"/>
      <c r="CP37" s="218" t="n"/>
      <c r="CQ37" s="218" t="n"/>
      <c r="CR37" s="218" t="n"/>
      <c r="CS37" s="218" t="n"/>
      <c r="CT37" s="48" t="n"/>
      <c r="CU37" s="218" t="n"/>
      <c r="CV37" s="218" t="n"/>
      <c r="CW37" s="218" t="n"/>
      <c r="CX37" s="218" t="n"/>
      <c r="CY37" s="48" t="n"/>
    </row>
    <row r="38" hidden="1" outlineLevel="1">
      <c r="C38" s="32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3" t="n"/>
      <c r="CC38" s="3" t="n"/>
      <c r="CD38" s="3" t="n"/>
      <c r="CE38" s="3" t="n"/>
      <c r="CF38" s="3" t="n"/>
      <c r="CG38" s="3" t="n"/>
      <c r="CH38" s="3" t="n"/>
      <c r="CI38" s="3" t="n"/>
      <c r="CJ38" s="3" t="n"/>
      <c r="CK38" s="3" t="n"/>
      <c r="CL38" s="3" t="n"/>
      <c r="CM38" s="3" t="n"/>
      <c r="CN38" s="3" t="n"/>
      <c r="CO38" s="3" t="n"/>
      <c r="CP38" s="3" t="n"/>
      <c r="CQ38" s="3" t="n"/>
      <c r="CR38" s="3" t="n"/>
      <c r="CS38" s="3" t="n"/>
      <c r="CT38" s="3" t="n"/>
      <c r="CU38" s="3" t="n"/>
      <c r="CV38" s="3" t="n"/>
      <c r="CW38" s="3" t="n"/>
      <c r="CX38" s="3" t="n"/>
      <c r="CY38" s="3" t="n"/>
    </row>
    <row r="39" collapsed="1" customFormat="1" s="17">
      <c r="A39" s="13" t="n"/>
      <c r="B39" s="1" t="n"/>
      <c r="C39" s="14" t="inlineStr">
        <is>
          <t>Operating Profit - EBIT</t>
        </is>
      </c>
      <c r="D39" s="16">
        <f>SUM(D35,D36)</f>
        <v>108.691588006418</v>
      </c>
      <c r="E39" s="16">
        <f>SUM(E35,E36)</f>
        <v>-65.0905290868124</v>
      </c>
      <c r="F39" s="16">
        <f>SUM(F35,F36)</f>
        <v>236.055580645985</v>
      </c>
      <c r="G39" s="16">
        <f>SUM(G35,G36)</f>
        <v>199.338017750001</v>
      </c>
      <c r="H39" s="16">
        <f>SUM(D39:G39)</f>
        <v>478.994657315592</v>
      </c>
      <c r="I39" s="16">
        <f>SUM(I35,I36)</f>
        <v>198.69581267</v>
      </c>
      <c r="J39" s="16">
        <f>SUM(J35,J36)</f>
        <v>128.851761989999</v>
      </c>
      <c r="K39" s="16">
        <f>SUM(K35,K36)</f>
        <v>184.71942231</v>
      </c>
      <c r="L39" s="16">
        <f>SUM(L35,L36)</f>
        <v>154.44302061</v>
      </c>
      <c r="M39" s="16">
        <f>SUM(I39:L39)</f>
        <v>666.710017579999</v>
      </c>
      <c r="N39" s="16">
        <f>SUM(N35,N36)</f>
        <v>219.119696389442</v>
      </c>
      <c r="O39" s="16">
        <f>SUM(O35,O36)</f>
        <v>184.162330478051</v>
      </c>
      <c r="P39" s="16">
        <f>SUM(P35,P36)</f>
        <v>222.69215518</v>
      </c>
      <c r="Q39" s="16">
        <f>SUM(Q35,Q36)</f>
        <v>108.39397285</v>
      </c>
      <c r="R39" s="16">
        <f>SUM(N39:Q39)</f>
        <v>734.368154897493</v>
      </c>
      <c r="S39" s="16">
        <f>SUM(S35,S36)</f>
        <v>214.51688209</v>
      </c>
      <c r="T39" s="16">
        <f>SUM(T35,T36)</f>
        <v>197.502</v>
      </c>
      <c r="U39" s="16">
        <f>SUM(U35,U36)</f>
        <v>317.803435338059</v>
      </c>
      <c r="V39" s="16">
        <f>SUM(V35,V36)</f>
        <v>185.95370032</v>
      </c>
      <c r="W39" s="16">
        <f>SUM(S39:V39)</f>
        <v>915.776017748059</v>
      </c>
      <c r="X39" s="16">
        <f>SUM(X35,X36)</f>
        <v>327.5794785</v>
      </c>
      <c r="Y39" s="16">
        <f>SUM(Y35,Y36)</f>
        <v>330.244</v>
      </c>
      <c r="Z39" s="16">
        <f>SUM(Z35,Z36)</f>
        <v>340.772474</v>
      </c>
      <c r="AA39" s="16">
        <f>SUM(AA35,AA36)</f>
        <v>203.371047499999</v>
      </c>
      <c r="AB39" s="16">
        <f>SUM(X39:AA39)</f>
        <v>1201.967</v>
      </c>
      <c r="AC39" s="16">
        <f>SUM(AC35,AC36)</f>
        <v>335.484575</v>
      </c>
      <c r="AD39" s="16">
        <f>SUM(AD35,AD36)</f>
        <v>309.687</v>
      </c>
      <c r="AE39" s="16">
        <f>SUM(AE35,AE36)</f>
        <v>369.988908653919</v>
      </c>
      <c r="AF39" s="16">
        <f>SUM(AF35,AF36)</f>
        <v>219.54630042</v>
      </c>
      <c r="AG39" s="16">
        <f>SUM(AC39:AF39)</f>
        <v>1234.70678407392</v>
      </c>
      <c r="AH39" s="16">
        <f>SUM(AH35,AH36)</f>
        <v>0</v>
      </c>
      <c r="AI39" s="16">
        <f>SUM(AI35,AI36)</f>
        <v>0</v>
      </c>
      <c r="AJ39" s="16">
        <f>SUM(AJ35,AJ36)</f>
        <v>0</v>
      </c>
      <c r="AK39" s="16">
        <f>SUM(AK35,AK36)</f>
        <v>0</v>
      </c>
      <c r="AL39" s="16">
        <f>SUM(AL35,AL36)</f>
        <v>0</v>
      </c>
      <c r="AM39" s="16">
        <f>SUM(AM35,AM36)</f>
        <v>0</v>
      </c>
      <c r="AN39" s="16">
        <f>SUM(AN35,AN36)</f>
        <v>0</v>
      </c>
      <c r="AO39" s="16">
        <f>SUM(AO35,AO36)</f>
        <v>0</v>
      </c>
      <c r="AP39" s="16">
        <f>SUM(AP35,AP36)</f>
        <v>0</v>
      </c>
      <c r="AQ39" s="16">
        <f>SUM(AQ35,AQ36)</f>
        <v>0</v>
      </c>
      <c r="AR39" s="16">
        <f>SUM(AR35,AR36)</f>
        <v>0</v>
      </c>
      <c r="AS39" s="16">
        <f>SUM(AS35,AS36)</f>
        <v>0</v>
      </c>
      <c r="AT39" s="16">
        <f>SUM(AT35,AT36)</f>
        <v>0</v>
      </c>
      <c r="AU39" s="16">
        <f>SUM(AU35,AU36)</f>
        <v>0</v>
      </c>
      <c r="AV39" s="16">
        <f>SUM(AV35,AV36)</f>
        <v>0</v>
      </c>
      <c r="AW39" s="16">
        <f>SUM(AW35,AW36)</f>
        <v>0</v>
      </c>
      <c r="AX39" s="16">
        <f>SUM(AX35,AX36)</f>
        <v>0</v>
      </c>
      <c r="AY39" s="16">
        <f>SUM(AY35,AY36)</f>
        <v>0</v>
      </c>
      <c r="AZ39" s="16">
        <f>SUM(AZ35,AZ36)</f>
        <v>0</v>
      </c>
      <c r="BA39" s="16">
        <f>SUM(BA35,BA36)</f>
        <v>0</v>
      </c>
      <c r="BB39" s="16">
        <f>SUM(BB35,BB36)</f>
        <v>0</v>
      </c>
      <c r="BC39" s="16">
        <f>SUM(BC35,BC36)</f>
        <v>0</v>
      </c>
      <c r="BD39" s="16">
        <f>SUM(BD35,BD36)</f>
        <v>0</v>
      </c>
      <c r="BE39" s="16">
        <f>SUM(BE35,BE36)</f>
        <v>0</v>
      </c>
      <c r="BF39" s="16">
        <f>SUM(BF35,BF36)</f>
        <v>0</v>
      </c>
      <c r="BG39" s="16">
        <f>SUM(BG35,BG36)</f>
        <v>0</v>
      </c>
      <c r="BH39" s="16">
        <f>SUM(BH35,BH36)</f>
        <v>0</v>
      </c>
      <c r="BI39" s="16">
        <f>SUM(BI35,BI36)</f>
        <v>0</v>
      </c>
      <c r="BJ39" s="16">
        <f>SUM(BJ35,BJ36)</f>
        <v>0</v>
      </c>
      <c r="BK39" s="16">
        <f>SUM(BK35,BK36)</f>
        <v>0</v>
      </c>
      <c r="BL39" s="16">
        <f>SUM(BL35,BL36)</f>
        <v>0</v>
      </c>
      <c r="BM39" s="16">
        <f>SUM(BM35,BM36)</f>
        <v>0</v>
      </c>
      <c r="BN39" s="16">
        <f>SUM(BN35,BN36)</f>
        <v>0</v>
      </c>
      <c r="BO39" s="16">
        <f>SUM(BO35,BO36)</f>
        <v>0</v>
      </c>
      <c r="BP39" s="16">
        <f>SUM(BP35,BP36)</f>
        <v>0</v>
      </c>
      <c r="BQ39" s="16">
        <f>SUM(BQ35,BQ36)</f>
        <v>0</v>
      </c>
      <c r="BR39" s="16">
        <f>SUM(BR35,BR36)</f>
        <v>0</v>
      </c>
      <c r="BS39" s="16">
        <f>SUM(BS35,BS36)</f>
        <v>0</v>
      </c>
      <c r="BT39" s="16">
        <f>SUM(BT35,BT36)</f>
        <v>0</v>
      </c>
      <c r="BU39" s="16">
        <f>SUM(BU35,BU36)</f>
        <v>0</v>
      </c>
      <c r="BV39" s="16">
        <f>SUM(BV35,BV36)</f>
        <v>0</v>
      </c>
      <c r="BW39" s="16">
        <f>SUM(BW35,BW36)</f>
        <v>0</v>
      </c>
      <c r="BX39" s="16">
        <f>SUM(BX35,BX36)</f>
        <v>0</v>
      </c>
      <c r="BY39" s="16">
        <f>SUM(BY35,BY36)</f>
        <v>0</v>
      </c>
      <c r="BZ39" s="16">
        <f>SUM(BZ35,BZ36)</f>
        <v>0</v>
      </c>
      <c r="CA39" s="16">
        <f>SUM(CA35,CA36)</f>
        <v>0</v>
      </c>
      <c r="CB39" s="16">
        <f>SUM(CB35,CB36)</f>
        <v>0</v>
      </c>
      <c r="CC39" s="16">
        <f>SUM(CC35,CC36)</f>
        <v>0</v>
      </c>
      <c r="CD39" s="16">
        <f>SUM(CD35,CD36)</f>
        <v>0</v>
      </c>
      <c r="CE39" s="16">
        <f>SUM(CE35,CE36)</f>
        <v>0</v>
      </c>
      <c r="CF39" s="16">
        <f>SUM(CF35,CF36)</f>
        <v>0</v>
      </c>
      <c r="CG39" s="16">
        <f>SUM(CG35,CG36)</f>
        <v>0</v>
      </c>
      <c r="CH39" s="16">
        <f>SUM(CH35,CH36)</f>
        <v>0</v>
      </c>
      <c r="CI39" s="16">
        <f>SUM(CI35,CI36)</f>
        <v>0</v>
      </c>
      <c r="CJ39" s="16">
        <f>SUM(CJ35,CJ36)</f>
        <v>0</v>
      </c>
      <c r="CK39" s="16">
        <f>SUM(CK35,CK36)</f>
        <v>0</v>
      </c>
      <c r="CL39" s="16">
        <f>SUM(CL35,CL36)</f>
        <v>0</v>
      </c>
      <c r="CM39" s="16">
        <f>SUM(CM35,CM36)</f>
        <v>0</v>
      </c>
      <c r="CN39" s="16">
        <f>SUM(CN35,CN36)</f>
        <v>0</v>
      </c>
      <c r="CO39" s="16">
        <f>SUM(CO35,CO36)</f>
        <v>0</v>
      </c>
      <c r="CP39" s="16">
        <f>SUM(CP35,CP36)</f>
        <v>0</v>
      </c>
      <c r="CQ39" s="16">
        <f>SUM(CQ35,CQ36)</f>
        <v>0</v>
      </c>
      <c r="CR39" s="16">
        <f>SUM(CR35,CR36)</f>
        <v>0</v>
      </c>
      <c r="CS39" s="16">
        <f>SUM(CS35,CS36)</f>
        <v>0</v>
      </c>
      <c r="CT39" s="16">
        <f>SUM(CT35,CT36)</f>
        <v>0</v>
      </c>
      <c r="CU39" s="16">
        <f>SUM(CU35,CU36)</f>
        <v>0</v>
      </c>
      <c r="CV39" s="16">
        <f>SUM(CV35,CV36)</f>
        <v>0</v>
      </c>
      <c r="CW39" s="16">
        <f>SUM(CW35,CW36)</f>
        <v>0</v>
      </c>
      <c r="CX39" s="16">
        <f>SUM(CX35,CX36)</f>
        <v>0</v>
      </c>
      <c r="CY39" s="16">
        <f>SUM(CY35,CY36)</f>
        <v>0</v>
      </c>
    </row>
    <row r="40">
      <c r="C40" s="26" t="inlineStr">
        <is>
          <t>Interest Expense</t>
        </is>
      </c>
      <c r="D40" s="25">
        <f>INDEX('Inputs (2)'!$D$8:$AL$8,MATCH(D$7,'Inputs (2)'!$D$2:$AL$2,0))</f>
        <v>-38.71850578</v>
      </c>
      <c r="E40" s="25">
        <f>INDEX('Inputs (2)'!$D$8:$AL$8,MATCH(E$7,'Inputs (2)'!$D$2:$AL$2,0))</f>
        <v>-45.37789143</v>
      </c>
      <c r="F40" s="25">
        <f>INDEX('Inputs (2)'!$D$8:$AL$8,MATCH(F$7,'Inputs (2)'!$D$2:$AL$2,0))</f>
        <v>-43.12406456</v>
      </c>
      <c r="G40" s="25">
        <f>INDEX('Inputs (2)'!$D$8:$AL$8,MATCH(G$7,'Inputs (2)'!$D$2:$AL$2,0))</f>
        <v>-47.82265651</v>
      </c>
      <c r="H40" s="3">
        <f>SUM(D40:G40)</f>
        <v>-175.04311828</v>
      </c>
      <c r="I40" s="25">
        <f>INDEX('Inputs (2)'!$D$8:$AL$8,MATCH(I$7,'Inputs (2)'!$D$2:$AL$2,0))</f>
        <v>-37.42879707</v>
      </c>
      <c r="J40" s="25">
        <f>INDEX('Inputs (2)'!$D$8:$AL$8,MATCH(J$7,'Inputs (2)'!$D$2:$AL$2,0))</f>
        <v>-43.00856677</v>
      </c>
      <c r="K40" s="25">
        <f>INDEX('Inputs (2)'!$D$8:$AL$8,MATCH(K$7,'Inputs (2)'!$D$2:$AL$2,0))</f>
        <v>-65.28109683</v>
      </c>
      <c r="L40" s="25">
        <f>INDEX('Inputs (2)'!$D$8:$AL$8,MATCH(L$7,'Inputs (2)'!$D$2:$AL$2,0))</f>
        <v>-74.31202259</v>
      </c>
      <c r="M40" s="3">
        <f>SUM(I40:L40)</f>
        <v>-220.03048326</v>
      </c>
      <c r="N40" s="25">
        <f>INDEX('Inputs (2)'!$D$8:$AL$8,MATCH(N$7,'Inputs (2)'!$D$2:$AL$2,0))</f>
        <v>-85.80839103</v>
      </c>
      <c r="O40" s="25">
        <f>INDEX('Inputs (2)'!$D$8:$AL$8,MATCH(O$7,'Inputs (2)'!$D$2:$AL$2,0))</f>
        <v>-107.82061116</v>
      </c>
      <c r="P40" s="25">
        <f>INDEX('Inputs (2)'!$D$8:$AL$8,MATCH(P$7,'Inputs (2)'!$D$2:$AL$2,0))</f>
        <v>-128.3653378</v>
      </c>
      <c r="Q40" s="25">
        <f>INDEX('Inputs (2)'!$D$8:$AL$8,MATCH(Q$7,'Inputs (2)'!$D$2:$AL$2,0))</f>
        <v>-121.0444737</v>
      </c>
      <c r="R40" s="3">
        <f>SUM(N40:Q40)</f>
        <v>-443.03881369</v>
      </c>
      <c r="S40" s="25">
        <f>INDEX('Inputs (2)'!$D$8:$AL$8,MATCH(S$7,'Inputs (2)'!$D$2:$AL$2,0))</f>
        <v>-134.54669035</v>
      </c>
      <c r="T40" s="25">
        <f>INDEX('Inputs (2)'!$D$8:$AL$8,MATCH(T$7,'Inputs (2)'!$D$2:$AL$2,0))</f>
        <v>-158.388627</v>
      </c>
      <c r="U40" s="25">
        <f>INDEX('Inputs (2)'!$D$8:$AL$8,MATCH(U$7,'Inputs (2)'!$D$2:$AL$2,0))</f>
        <v>-163.758</v>
      </c>
      <c r="V40" s="25">
        <f>INDEX('Inputs (2)'!$D$8:$AL$8,MATCH(V$7,'Inputs (2)'!$D$2:$AL$2,0))</f>
        <v>-148.22368265</v>
      </c>
      <c r="W40" s="3">
        <f>SUM(S40:V40)</f>
        <v>-604.917</v>
      </c>
      <c r="X40" s="25">
        <f>INDEX('Inputs (2)'!$D$8:$AL$8,MATCH(X$7,'Inputs (2)'!$D$2:$AL$2,0))</f>
        <v>-146.74136103</v>
      </c>
      <c r="Y40" s="25">
        <f>INDEX('Inputs (2)'!$D$8:$AL$8,MATCH(Y$7,'Inputs (2)'!$D$2:$AL$2,0))</f>
        <v>-140.543</v>
      </c>
      <c r="Z40" s="25">
        <f>INDEX('Inputs (2)'!$D$8:$AL$8,MATCH(Z$7,'Inputs (2)'!$D$2:$AL$2,0))</f>
        <v>-158.257</v>
      </c>
      <c r="AA40" s="25">
        <f>INDEX('Inputs (2)'!$D$8:$AL$8,MATCH(AA$7,'Inputs (2)'!$D$2:$AL$2,0))</f>
        <v>-171.25363897</v>
      </c>
      <c r="AB40" s="3">
        <f>SUM(X40:AA40)</f>
        <v>-616.795</v>
      </c>
      <c r="AC40" s="25">
        <f>INDEX('Inputs (2)'!$D$8:$AL$8,MATCH(AC$7,'Inputs (2)'!$D$2:$AL$2,0))</f>
        <v>-182.470204</v>
      </c>
      <c r="AD40" s="25">
        <f>INDEX('Inputs (2)'!$D$8:$AL$8,MATCH(AD$7,'Inputs (2)'!$D$2:$AL$2,0))</f>
        <v>-198.558</v>
      </c>
      <c r="AE40" s="25">
        <f>INDEX('Inputs (2)'!$D$8:$AL$8,MATCH(AE$7,'Inputs (2)'!$D$2:$AL$2,0))</f>
        <v>-220.2903303</v>
      </c>
      <c r="AF40" s="25">
        <f>INDEX('Inputs (2)'!$D$8:$AL$8,MATCH(AF$7,'Inputs (2)'!$D$2:$AL$2,0))</f>
        <v>-202.05934008</v>
      </c>
      <c r="AG40" s="3">
        <f>SUM(AC40:AF40)</f>
        <v>-803.37787438</v>
      </c>
      <c r="AH40" s="3" t="n"/>
      <c r="AI40" s="3" t="n"/>
      <c r="AJ40" s="3" t="n"/>
      <c r="AK40" s="3" t="n"/>
      <c r="AL40" s="3">
        <f>SUM(AH40:AK40)</f>
        <v>0</v>
      </c>
      <c r="AM40" s="3" t="n"/>
      <c r="AN40" s="3" t="n"/>
      <c r="AO40" s="3" t="n"/>
      <c r="AP40" s="3" t="n"/>
      <c r="AQ40" s="3">
        <f>SUM(AM40:AP40)</f>
        <v>0</v>
      </c>
      <c r="AR40" s="3" t="n"/>
      <c r="AS40" s="3" t="n"/>
      <c r="AT40" s="3" t="n"/>
      <c r="AU40" s="3" t="n"/>
      <c r="AV40" s="3">
        <f>SUM(AR40:AU40)</f>
        <v>0</v>
      </c>
      <c r="AW40" s="3" t="n"/>
      <c r="AX40" s="3" t="n"/>
      <c r="AY40" s="3" t="n"/>
      <c r="AZ40" s="3" t="n"/>
      <c r="BA40" s="3">
        <f>SUM(AW40:AZ40)</f>
        <v>0</v>
      </c>
      <c r="BB40" s="3" t="n"/>
      <c r="BC40" s="3" t="n"/>
      <c r="BD40" s="3" t="n"/>
      <c r="BE40" s="3" t="n"/>
      <c r="BF40" s="3">
        <f>SUM(BB40:BE40)</f>
        <v>0</v>
      </c>
      <c r="BG40" s="3" t="n"/>
      <c r="BH40" s="3" t="n"/>
      <c r="BI40" s="3" t="n"/>
      <c r="BJ40" s="3" t="n"/>
      <c r="BK40" s="3">
        <f>SUM(BG40:BJ40)</f>
        <v>0</v>
      </c>
      <c r="BL40" s="3" t="n"/>
      <c r="BM40" s="3" t="n"/>
      <c r="BN40" s="3" t="n"/>
      <c r="BO40" s="3" t="n"/>
      <c r="BP40" s="3">
        <f>SUM(BL40:BO40)</f>
        <v>0</v>
      </c>
      <c r="BQ40" s="3" t="n"/>
      <c r="BR40" s="3" t="n"/>
      <c r="BS40" s="3" t="n"/>
      <c r="BT40" s="3" t="n"/>
      <c r="BU40" s="3">
        <f>SUM(BQ40:BT40)</f>
        <v>0</v>
      </c>
      <c r="BV40" s="3" t="n"/>
      <c r="BW40" s="3" t="n"/>
      <c r="BX40" s="3" t="n"/>
      <c r="BY40" s="3" t="n"/>
      <c r="BZ40" s="3">
        <f>SUM(BV40:BY40)</f>
        <v>0</v>
      </c>
      <c r="CA40" s="3" t="n"/>
      <c r="CB40" s="3" t="n"/>
      <c r="CC40" s="3" t="n"/>
      <c r="CD40" s="3" t="n"/>
      <c r="CE40" s="3">
        <f>SUM(CA40:CD40)</f>
        <v>0</v>
      </c>
      <c r="CF40" s="3" t="n"/>
      <c r="CG40" s="3" t="n"/>
      <c r="CH40" s="3" t="n"/>
      <c r="CI40" s="3" t="n"/>
      <c r="CJ40" s="3">
        <f>SUM(CF40:CI40)</f>
        <v>0</v>
      </c>
      <c r="CK40" s="3" t="n"/>
      <c r="CL40" s="3" t="n"/>
      <c r="CM40" s="3" t="n"/>
      <c r="CN40" s="3" t="n"/>
      <c r="CO40" s="3">
        <f>SUM(CK40:CN40)</f>
        <v>0</v>
      </c>
      <c r="CP40" s="3" t="n"/>
      <c r="CQ40" s="3" t="n"/>
      <c r="CR40" s="3" t="n"/>
      <c r="CS40" s="3" t="n"/>
      <c r="CT40" s="3">
        <f>SUM(CP40:CS40)</f>
        <v>0</v>
      </c>
      <c r="CU40" s="3" t="n"/>
      <c r="CV40" s="3" t="n"/>
      <c r="CW40" s="3" t="n"/>
      <c r="CX40" s="3" t="n"/>
      <c r="CY40" s="3">
        <f>SUM(CU40:CX40)</f>
        <v>0</v>
      </c>
    </row>
    <row r="41" hidden="1" outlineLevel="1">
      <c r="C41" s="32" t="inlineStr">
        <is>
          <t>% of Debt</t>
        </is>
      </c>
      <c r="D41" s="48">
        <f>-D40/SUM(D178+D183)</f>
        <v>0.0249855102614832</v>
      </c>
      <c r="E41" s="48">
        <f>-E40/SUM(E178+E183)</f>
        <v>0.023640730157748</v>
      </c>
      <c r="F41" s="48">
        <f>-F40/SUM(F178+F183)</f>
        <v>0.0223664797442151</v>
      </c>
      <c r="G41" s="48">
        <f>-G40/SUM(G178+G183)</f>
        <v>0.0251206276105241</v>
      </c>
      <c r="H41" s="3" t="n"/>
      <c r="I41" s="48">
        <f>-I40/SUM(I178+I183)</f>
        <v>0.0195992491341135</v>
      </c>
      <c r="J41" s="48">
        <f>-J40/SUM(J178+J183)</f>
        <v>0.0262083163382841</v>
      </c>
      <c r="K41" s="48">
        <f>-K40/SUM(K178+K183)</f>
        <v>0.0288229727120649</v>
      </c>
      <c r="L41" s="48">
        <f>-L40/SUM(L178+L183)</f>
        <v>0.034979644266948</v>
      </c>
      <c r="M41" s="3" t="n"/>
      <c r="N41" s="48">
        <f>-N40/SUM(N178+N183)</f>
        <v>0.0434272885731738</v>
      </c>
      <c r="O41" s="48">
        <f>-O40/SUM(O178+O183)</f>
        <v>0.0399555707391136</v>
      </c>
      <c r="P41" s="48">
        <f>-P40/SUM(P178+P183)</f>
        <v>0.0471042936913178</v>
      </c>
      <c r="Q41" s="48">
        <f>-Q40/SUM(Q178+Q183)</f>
        <v>0.0472860302079223</v>
      </c>
      <c r="R41" s="3" t="n"/>
      <c r="S41" s="48">
        <f>-S40/SUM(S178+S183)</f>
        <v>0.0523422357001038</v>
      </c>
      <c r="T41" s="48">
        <f>-T40/SUM(T178+T183)</f>
        <v>0.0575130873455587</v>
      </c>
      <c r="U41" s="48">
        <f>-U40/SUM(U178+U183)</f>
        <v>0.0618820131096545</v>
      </c>
      <c r="V41" s="48">
        <f>-V40/SUM(V178+V183)</f>
        <v>0.0527566582715594</v>
      </c>
      <c r="W41" s="3" t="n"/>
      <c r="X41" s="48">
        <f>-X40/SUM(X178+X183)</f>
        <v>0.0520592595300661</v>
      </c>
      <c r="Y41" s="48">
        <f>-Y40/SUM(Y178+Y183)</f>
        <v>0.0368597931027971</v>
      </c>
      <c r="Z41" s="48">
        <f>-Z40/SUM(Z178+Z183)</f>
        <v>0.0409236518677427</v>
      </c>
      <c r="AA41" s="48">
        <f>-AA40/SUM(AA178+AA183)</f>
        <v>0.0417175827092881</v>
      </c>
      <c r="AB41" s="3" t="n"/>
      <c r="AC41" s="48">
        <f>-AC40/SUM(AC178+AC183)</f>
        <v>0.0433372346308935</v>
      </c>
      <c r="AD41" s="48">
        <f>-AD40/SUM(AD178+AD183)</f>
        <v>0.048155784172798</v>
      </c>
      <c r="AE41" s="48">
        <f>-AE40/SUM(AE178+AE183)</f>
        <v>0.0517426944118021</v>
      </c>
      <c r="AF41" s="231">
        <f>-AF40/SUM(AF178+AF183)</f>
        <v>0.0501329597324778</v>
      </c>
      <c r="AG41" s="3" t="n"/>
      <c r="AH41" s="6" t="n"/>
      <c r="AI41" s="6" t="n"/>
      <c r="AJ41" s="6" t="n"/>
      <c r="AK41" s="6" t="n"/>
      <c r="AL41" s="3" t="n"/>
      <c r="AM41" s="6" t="n"/>
      <c r="AN41" s="6" t="n"/>
      <c r="AO41" s="6" t="n"/>
      <c r="AP41" s="6" t="n"/>
      <c r="AQ41" s="3" t="n"/>
      <c r="AR41" s="6" t="n"/>
      <c r="AS41" s="6" t="n"/>
      <c r="AT41" s="6" t="n"/>
      <c r="AU41" s="6" t="n"/>
      <c r="AV41" s="3" t="n"/>
      <c r="AW41" s="6" t="n"/>
      <c r="AX41" s="6" t="n"/>
      <c r="AY41" s="6" t="n"/>
      <c r="AZ41" s="6" t="n"/>
      <c r="BA41" s="3" t="n"/>
      <c r="BB41" s="6" t="n"/>
      <c r="BC41" s="6" t="n"/>
      <c r="BD41" s="6" t="n"/>
      <c r="BE41" s="6" t="n"/>
      <c r="BF41" s="3" t="n"/>
      <c r="BG41" s="6" t="n"/>
      <c r="BH41" s="6" t="n"/>
      <c r="BI41" s="6" t="n"/>
      <c r="BJ41" s="6" t="n"/>
      <c r="BK41" s="3" t="n"/>
      <c r="BL41" s="6" t="n"/>
      <c r="BM41" s="6" t="n"/>
      <c r="BN41" s="6" t="n"/>
      <c r="BO41" s="6" t="n"/>
      <c r="BP41" s="3" t="n"/>
      <c r="BQ41" s="6" t="n"/>
      <c r="BR41" s="6" t="n"/>
      <c r="BS41" s="6" t="n"/>
      <c r="BT41" s="6" t="n"/>
      <c r="BU41" s="3" t="n"/>
      <c r="BV41" s="6" t="n"/>
      <c r="BW41" s="6" t="n"/>
      <c r="BX41" s="6" t="n"/>
      <c r="BY41" s="6" t="n"/>
      <c r="BZ41" s="3" t="n"/>
      <c r="CA41" s="6" t="n"/>
      <c r="CB41" s="6" t="n"/>
      <c r="CC41" s="6" t="n"/>
      <c r="CD41" s="6" t="n"/>
      <c r="CE41" s="3" t="n"/>
      <c r="CF41" s="6" t="n"/>
      <c r="CG41" s="6" t="n"/>
      <c r="CH41" s="6" t="n"/>
      <c r="CI41" s="6" t="n"/>
      <c r="CJ41" s="3" t="n"/>
      <c r="CK41" s="6" t="n"/>
      <c r="CL41" s="6" t="n"/>
      <c r="CM41" s="6" t="n"/>
      <c r="CN41" s="6" t="n"/>
      <c r="CO41" s="3" t="n"/>
      <c r="CP41" s="6" t="n"/>
      <c r="CQ41" s="6" t="n"/>
      <c r="CR41" s="6" t="n"/>
      <c r="CS41" s="6" t="n"/>
      <c r="CT41" s="3" t="n"/>
      <c r="CU41" s="6" t="n"/>
      <c r="CV41" s="6" t="n"/>
      <c r="CW41" s="6" t="n"/>
      <c r="CX41" s="6" t="n"/>
      <c r="CY41" s="3" t="n"/>
    </row>
    <row r="42" hidden="1" outlineLevel="1">
      <c r="C42" s="32" t="inlineStr">
        <is>
          <t>%CDI</t>
        </is>
      </c>
      <c r="D42" s="6" t="n"/>
      <c r="E42" s="6" t="n"/>
      <c r="F42" s="6" t="n"/>
      <c r="G42" s="6" t="n"/>
      <c r="H42" s="3" t="n"/>
      <c r="I42" s="6" t="n"/>
      <c r="J42" s="6" t="n"/>
      <c r="K42" s="6" t="n"/>
      <c r="L42" s="6" t="n"/>
      <c r="M42" s="3" t="n"/>
      <c r="N42" s="6" t="n"/>
      <c r="O42" s="6" t="n"/>
      <c r="P42" s="6" t="n"/>
      <c r="Q42" s="6" t="n"/>
      <c r="R42" s="3" t="n"/>
      <c r="S42" s="6" t="n"/>
      <c r="T42" s="6" t="n"/>
      <c r="U42" s="6" t="n"/>
      <c r="V42" s="6" t="n"/>
      <c r="W42" s="3" t="n"/>
      <c r="X42" s="6" t="n"/>
      <c r="Y42" s="6" t="n"/>
      <c r="Z42" s="6" t="n"/>
      <c r="AA42" s="6" t="n"/>
      <c r="AB42" s="3" t="n"/>
      <c r="AC42" s="6" t="n"/>
      <c r="AD42" s="6" t="n"/>
      <c r="AE42" s="6" t="n"/>
      <c r="AF42" s="6" t="n"/>
      <c r="AG42" s="3" t="n"/>
      <c r="AH42" s="6" t="n"/>
      <c r="AI42" s="6" t="n"/>
      <c r="AJ42" s="6" t="n"/>
      <c r="AK42" s="6" t="n"/>
      <c r="AL42" s="3" t="n"/>
      <c r="AM42" s="6" t="n"/>
      <c r="AN42" s="6" t="n"/>
      <c r="AO42" s="6" t="n"/>
      <c r="AP42" s="6" t="n"/>
      <c r="AQ42" s="3" t="n"/>
      <c r="AR42" s="6" t="n"/>
      <c r="AS42" s="6" t="n"/>
      <c r="AT42" s="6" t="n"/>
      <c r="AU42" s="6" t="n"/>
      <c r="AV42" s="3" t="n"/>
      <c r="AW42" s="6" t="n"/>
      <c r="AX42" s="6" t="n"/>
      <c r="AY42" s="6" t="n"/>
      <c r="AZ42" s="6" t="n"/>
      <c r="BA42" s="3" t="n"/>
      <c r="BB42" s="6" t="n"/>
      <c r="BC42" s="6" t="n"/>
      <c r="BD42" s="6" t="n"/>
      <c r="BE42" s="6" t="n"/>
      <c r="BF42" s="3" t="n"/>
      <c r="BG42" s="6" t="n"/>
      <c r="BH42" s="6" t="n"/>
      <c r="BI42" s="6" t="n"/>
      <c r="BJ42" s="6" t="n"/>
      <c r="BK42" s="3" t="n"/>
      <c r="BL42" s="6" t="n"/>
      <c r="BM42" s="6" t="n"/>
      <c r="BN42" s="6" t="n"/>
      <c r="BO42" s="6" t="n"/>
      <c r="BP42" s="3" t="n"/>
      <c r="BQ42" s="6" t="n"/>
      <c r="BR42" s="6" t="n"/>
      <c r="BS42" s="6" t="n"/>
      <c r="BT42" s="6" t="n"/>
      <c r="BU42" s="3" t="n"/>
      <c r="BV42" s="6" t="n"/>
      <c r="BW42" s="6" t="n"/>
      <c r="BX42" s="6" t="n"/>
      <c r="BY42" s="6" t="n"/>
      <c r="BZ42" s="3" t="n"/>
      <c r="CA42" s="6" t="n"/>
      <c r="CB42" s="6" t="n"/>
      <c r="CC42" s="6" t="n"/>
      <c r="CD42" s="6" t="n"/>
      <c r="CE42" s="3" t="n"/>
      <c r="CF42" s="6" t="n"/>
      <c r="CG42" s="6" t="n"/>
      <c r="CH42" s="6" t="n"/>
      <c r="CI42" s="6" t="n"/>
      <c r="CJ42" s="3" t="n"/>
      <c r="CK42" s="6" t="n"/>
      <c r="CL42" s="6" t="n"/>
      <c r="CM42" s="6" t="n"/>
      <c r="CN42" s="6" t="n"/>
      <c r="CO42" s="3" t="n"/>
      <c r="CP42" s="6" t="n"/>
      <c r="CQ42" s="6" t="n"/>
      <c r="CR42" s="6" t="n"/>
      <c r="CS42" s="6" t="n"/>
      <c r="CT42" s="3" t="n"/>
      <c r="CU42" s="6" t="n"/>
      <c r="CV42" s="6" t="n"/>
      <c r="CW42" s="6" t="n"/>
      <c r="CX42" s="6" t="n"/>
      <c r="CY42" s="3" t="n"/>
    </row>
    <row r="43" hidden="1" outlineLevel="1">
      <c r="C43" s="34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3" t="n"/>
      <c r="CC43" s="3" t="n"/>
      <c r="CD43" s="3" t="n"/>
      <c r="CE43" s="3" t="n"/>
      <c r="CF43" s="3" t="n"/>
      <c r="CG43" s="3" t="n"/>
      <c r="CH43" s="3" t="n"/>
      <c r="CI43" s="3" t="n"/>
      <c r="CJ43" s="3" t="n"/>
      <c r="CK43" s="3" t="n"/>
      <c r="CL43" s="3" t="n"/>
      <c r="CM43" s="3" t="n"/>
      <c r="CN43" s="3" t="n"/>
      <c r="CO43" s="3" t="n"/>
      <c r="CP43" s="3" t="n"/>
      <c r="CQ43" s="3" t="n"/>
      <c r="CR43" s="3" t="n"/>
      <c r="CS43" s="3" t="n"/>
      <c r="CT43" s="3" t="n"/>
      <c r="CU43" s="3" t="n"/>
      <c r="CV43" s="3" t="n"/>
      <c r="CW43" s="3" t="n"/>
      <c r="CX43" s="3" t="n"/>
      <c r="CY43" s="3" t="n"/>
    </row>
    <row r="44" hidden="1" outlineLevel="1">
      <c r="C44" s="34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3" t="n"/>
      <c r="CC44" s="3" t="n"/>
      <c r="CD44" s="3" t="n"/>
      <c r="CE44" s="3" t="n"/>
      <c r="CF44" s="3" t="n"/>
      <c r="CG44" s="3" t="n"/>
      <c r="CH44" s="3" t="n"/>
      <c r="CI44" s="3" t="n"/>
      <c r="CJ44" s="3" t="n"/>
      <c r="CK44" s="3" t="n"/>
      <c r="CL44" s="3" t="n"/>
      <c r="CM44" s="3" t="n"/>
      <c r="CN44" s="3" t="n"/>
      <c r="CO44" s="3" t="n"/>
      <c r="CP44" s="3" t="n"/>
      <c r="CQ44" s="3" t="n"/>
      <c r="CR44" s="3" t="n"/>
      <c r="CS44" s="3" t="n"/>
      <c r="CT44" s="3" t="n"/>
      <c r="CU44" s="3" t="n"/>
      <c r="CV44" s="3" t="n"/>
      <c r="CW44" s="3" t="n"/>
      <c r="CX44" s="3" t="n"/>
      <c r="CY44" s="3" t="n"/>
    </row>
    <row r="45" hidden="1" outlineLevel="1">
      <c r="C45" s="34" t="inlineStr">
        <is>
          <t>RECEITA FINANCEIRA</t>
        </is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3" t="n"/>
      <c r="CC45" s="3" t="n"/>
      <c r="CD45" s="3" t="n"/>
      <c r="CE45" s="3" t="n"/>
      <c r="CF45" s="3" t="n"/>
      <c r="CG45" s="3" t="n"/>
      <c r="CH45" s="3" t="n"/>
      <c r="CI45" s="3" t="n"/>
      <c r="CJ45" s="3" t="n"/>
      <c r="CK45" s="3" t="n"/>
      <c r="CL45" s="3" t="n"/>
      <c r="CM45" s="3" t="n"/>
      <c r="CN45" s="3" t="n"/>
      <c r="CO45" s="3" t="n"/>
      <c r="CP45" s="3" t="n"/>
      <c r="CQ45" s="3" t="n"/>
      <c r="CR45" s="3" t="n"/>
      <c r="CS45" s="3" t="n"/>
      <c r="CT45" s="3" t="n"/>
      <c r="CU45" s="3" t="n"/>
      <c r="CV45" s="3" t="n"/>
      <c r="CW45" s="3" t="n"/>
      <c r="CX45" s="3" t="n"/>
      <c r="CY45" s="3" t="n"/>
    </row>
    <row r="46" hidden="1" outlineLevel="1">
      <c r="C46" s="34" t="inlineStr">
        <is>
          <t>DESPESA FINANCEIRA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3" t="n"/>
      <c r="CC46" s="3" t="n"/>
      <c r="CD46" s="3" t="n"/>
      <c r="CE46" s="3" t="n"/>
      <c r="CF46" s="3" t="n"/>
      <c r="CG46" s="3" t="n"/>
      <c r="CH46" s="3" t="n"/>
      <c r="CI46" s="3" t="n"/>
      <c r="CJ46" s="3" t="n"/>
      <c r="CK46" s="3" t="n"/>
      <c r="CL46" s="3" t="n"/>
      <c r="CM46" s="3" t="n"/>
      <c r="CN46" s="3" t="n"/>
      <c r="CO46" s="3" t="n"/>
      <c r="CP46" s="3" t="n"/>
      <c r="CQ46" s="3" t="n"/>
      <c r="CR46" s="3" t="n"/>
      <c r="CS46" s="3" t="n"/>
      <c r="CT46" s="3" t="n"/>
      <c r="CU46" s="3" t="n"/>
      <c r="CV46" s="3" t="n"/>
      <c r="CW46" s="3" t="n"/>
      <c r="CX46" s="3" t="n"/>
      <c r="CY46" s="3" t="n"/>
    </row>
    <row r="47" hidden="1" outlineLevel="1">
      <c r="C47" s="34" t="inlineStr">
        <is>
          <t>OUTROS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3" t="n"/>
      <c r="CC47" s="3" t="n"/>
      <c r="CD47" s="3" t="n"/>
      <c r="CE47" s="3" t="n"/>
      <c r="CF47" s="3" t="n"/>
      <c r="CG47" s="3" t="n"/>
      <c r="CH47" s="3" t="n"/>
      <c r="CI47" s="3" t="n"/>
      <c r="CJ47" s="3" t="n"/>
      <c r="CK47" s="3" t="n"/>
      <c r="CL47" s="3" t="n"/>
      <c r="CM47" s="3" t="n"/>
      <c r="CN47" s="3" t="n"/>
      <c r="CO47" s="3" t="n"/>
      <c r="CP47" s="3" t="n"/>
      <c r="CQ47" s="3" t="n"/>
      <c r="CR47" s="3" t="n"/>
      <c r="CS47" s="3" t="n"/>
      <c r="CT47" s="3" t="n"/>
      <c r="CU47" s="3" t="n"/>
      <c r="CV47" s="3" t="n"/>
      <c r="CW47" s="3" t="n"/>
      <c r="CX47" s="3" t="n"/>
      <c r="CY47" s="3" t="n"/>
    </row>
    <row r="48" hidden="1" outlineLevel="1">
      <c r="C48" s="34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3" t="n"/>
      <c r="CC48" s="3" t="n"/>
      <c r="CD48" s="3" t="n"/>
      <c r="CE48" s="3" t="n"/>
      <c r="CF48" s="3" t="n"/>
      <c r="CG48" s="3" t="n"/>
      <c r="CH48" s="3" t="n"/>
      <c r="CI48" s="3" t="n"/>
      <c r="CJ48" s="3" t="n"/>
      <c r="CK48" s="3" t="n"/>
      <c r="CL48" s="3" t="n"/>
      <c r="CM48" s="3" t="n"/>
      <c r="CN48" s="3" t="n"/>
      <c r="CO48" s="3" t="n"/>
      <c r="CP48" s="3" t="n"/>
      <c r="CQ48" s="3" t="n"/>
      <c r="CR48" s="3" t="n"/>
      <c r="CS48" s="3" t="n"/>
      <c r="CT48" s="3" t="n"/>
      <c r="CU48" s="3" t="n"/>
      <c r="CV48" s="3" t="n"/>
      <c r="CW48" s="3" t="n"/>
      <c r="CX48" s="3" t="n"/>
      <c r="CY48" s="3" t="n"/>
    </row>
    <row r="49" hidden="1" outlineLevel="1">
      <c r="C49" s="34" t="inlineStr">
        <is>
          <t>Cash and equivalents (inc. investment securities)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3" t="n"/>
      <c r="CC49" s="3" t="n"/>
      <c r="CD49" s="3" t="n"/>
      <c r="CE49" s="3" t="n"/>
      <c r="CF49" s="3" t="n"/>
      <c r="CG49" s="3" t="n"/>
      <c r="CH49" s="3" t="n"/>
      <c r="CI49" s="3" t="n"/>
      <c r="CJ49" s="3" t="n"/>
      <c r="CK49" s="3" t="n"/>
      <c r="CL49" s="3" t="n"/>
      <c r="CM49" s="3" t="n"/>
      <c r="CN49" s="3" t="n"/>
      <c r="CO49" s="3" t="n"/>
      <c r="CP49" s="3" t="n"/>
      <c r="CQ49" s="3" t="n"/>
      <c r="CR49" s="3" t="n"/>
      <c r="CS49" s="3" t="n"/>
      <c r="CT49" s="3" t="n"/>
      <c r="CU49" s="3" t="n"/>
      <c r="CV49" s="3" t="n"/>
      <c r="CW49" s="3" t="n"/>
      <c r="CX49" s="3" t="n"/>
      <c r="CY49" s="3" t="n"/>
    </row>
    <row r="50" hidden="1" outlineLevel="1">
      <c r="C50" s="34" t="inlineStr">
        <is>
          <t>Interest on cash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3" t="n"/>
      <c r="CC50" s="3" t="n"/>
      <c r="CD50" s="3" t="n"/>
      <c r="CE50" s="3" t="n"/>
      <c r="CF50" s="3" t="n"/>
      <c r="CG50" s="3" t="n"/>
      <c r="CH50" s="3" t="n"/>
      <c r="CI50" s="3" t="n"/>
      <c r="CJ50" s="3" t="n"/>
      <c r="CK50" s="3" t="n"/>
      <c r="CL50" s="3" t="n"/>
      <c r="CM50" s="3" t="n"/>
      <c r="CN50" s="3" t="n"/>
      <c r="CO50" s="3" t="n"/>
      <c r="CP50" s="3" t="n"/>
      <c r="CQ50" s="3" t="n"/>
      <c r="CR50" s="3" t="n"/>
      <c r="CS50" s="3" t="n"/>
      <c r="CT50" s="3" t="n"/>
      <c r="CU50" s="3" t="n"/>
      <c r="CV50" s="3" t="n"/>
      <c r="CW50" s="3" t="n"/>
      <c r="CX50" s="3" t="n"/>
      <c r="CY50" s="3" t="n"/>
    </row>
    <row r="51" hidden="1" outlineLevel="1">
      <c r="C51" s="34" t="inlineStr">
        <is>
          <t>Average interest rate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  <c r="BZ51" s="3" t="n"/>
      <c r="CA51" s="3" t="n"/>
      <c r="CB51" s="3" t="n"/>
      <c r="CC51" s="3" t="n"/>
      <c r="CD51" s="3" t="n"/>
      <c r="CE51" s="3" t="n"/>
      <c r="CF51" s="3" t="n"/>
      <c r="CG51" s="3" t="n"/>
      <c r="CH51" s="3" t="n"/>
      <c r="CI51" s="3" t="n"/>
      <c r="CJ51" s="3" t="n"/>
      <c r="CK51" s="3" t="n"/>
      <c r="CL51" s="3" t="n"/>
      <c r="CM51" s="3" t="n"/>
      <c r="CN51" s="3" t="n"/>
      <c r="CO51" s="3" t="n"/>
      <c r="CP51" s="3" t="n"/>
      <c r="CQ51" s="3" t="n"/>
      <c r="CR51" s="3" t="n"/>
      <c r="CS51" s="3" t="n"/>
      <c r="CT51" s="3" t="n"/>
      <c r="CU51" s="3" t="n"/>
      <c r="CV51" s="3" t="n"/>
      <c r="CW51" s="3" t="n"/>
      <c r="CX51" s="3" t="n"/>
      <c r="CY51" s="3" t="n"/>
    </row>
    <row r="52" hidden="1" outlineLevel="1">
      <c r="C52" s="34" t="inlineStr">
        <is>
          <t>% CDI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  <c r="BZ52" s="3" t="n"/>
      <c r="CA52" s="3" t="n"/>
      <c r="CB52" s="3" t="n"/>
      <c r="CC52" s="3" t="n"/>
      <c r="CD52" s="3" t="n"/>
      <c r="CE52" s="3" t="n"/>
      <c r="CF52" s="3" t="n"/>
      <c r="CG52" s="3" t="n"/>
      <c r="CH52" s="3" t="n"/>
      <c r="CI52" s="3" t="n"/>
      <c r="CJ52" s="3" t="n"/>
      <c r="CK52" s="3" t="n"/>
      <c r="CL52" s="3" t="n"/>
      <c r="CM52" s="3" t="n"/>
      <c r="CN52" s="3" t="n"/>
      <c r="CO52" s="3" t="n"/>
      <c r="CP52" s="3" t="n"/>
      <c r="CQ52" s="3" t="n"/>
      <c r="CR52" s="3" t="n"/>
      <c r="CS52" s="3" t="n"/>
      <c r="CT52" s="3" t="n"/>
      <c r="CU52" s="3" t="n"/>
      <c r="CV52" s="3" t="n"/>
      <c r="CW52" s="3" t="n"/>
      <c r="CX52" s="3" t="n"/>
      <c r="CY52" s="3" t="n"/>
    </row>
    <row r="53" hidden="1" outlineLevel="1">
      <c r="C53" s="34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  <c r="BZ53" s="3" t="n"/>
      <c r="CA53" s="3" t="n"/>
      <c r="CB53" s="3" t="n"/>
      <c r="CC53" s="3" t="n"/>
      <c r="CD53" s="3" t="n"/>
      <c r="CE53" s="3" t="n"/>
      <c r="CF53" s="3" t="n"/>
      <c r="CG53" s="3" t="n"/>
      <c r="CH53" s="3" t="n"/>
      <c r="CI53" s="3" t="n"/>
      <c r="CJ53" s="3" t="n"/>
      <c r="CK53" s="3" t="n"/>
      <c r="CL53" s="3" t="n"/>
      <c r="CM53" s="3" t="n"/>
      <c r="CN53" s="3" t="n"/>
      <c r="CO53" s="3" t="n"/>
      <c r="CP53" s="3" t="n"/>
      <c r="CQ53" s="3" t="n"/>
      <c r="CR53" s="3" t="n"/>
      <c r="CS53" s="3" t="n"/>
      <c r="CT53" s="3" t="n"/>
      <c r="CU53" s="3" t="n"/>
      <c r="CV53" s="3" t="n"/>
      <c r="CW53" s="3" t="n"/>
      <c r="CX53" s="3" t="n"/>
      <c r="CY53" s="3" t="n"/>
    </row>
    <row r="54" hidden="1" outlineLevel="1">
      <c r="C54" s="34" t="inlineStr">
        <is>
          <t>Current portion of long-term debt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  <c r="BZ54" s="3" t="n"/>
      <c r="CA54" s="3" t="n"/>
      <c r="CB54" s="3" t="n"/>
      <c r="CC54" s="3" t="n"/>
      <c r="CD54" s="3" t="n"/>
      <c r="CE54" s="3" t="n"/>
      <c r="CF54" s="3" t="n"/>
      <c r="CG54" s="3" t="n"/>
      <c r="CH54" s="3" t="n"/>
      <c r="CI54" s="3" t="n"/>
      <c r="CJ54" s="3" t="n"/>
      <c r="CK54" s="3" t="n"/>
      <c r="CL54" s="3" t="n"/>
      <c r="CM54" s="3" t="n"/>
      <c r="CN54" s="3" t="n"/>
      <c r="CO54" s="3" t="n"/>
      <c r="CP54" s="3" t="n"/>
      <c r="CQ54" s="3" t="n"/>
      <c r="CR54" s="3" t="n"/>
      <c r="CS54" s="3" t="n"/>
      <c r="CT54" s="3" t="n"/>
      <c r="CU54" s="3" t="n"/>
      <c r="CV54" s="3" t="n"/>
      <c r="CW54" s="3" t="n"/>
      <c r="CX54" s="3" t="n"/>
      <c r="CY54" s="3" t="n"/>
    </row>
    <row r="55" hidden="1" outlineLevel="1">
      <c r="C55" s="34" t="inlineStr">
        <is>
          <t>Short term debt (Revolving credit facility)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  <c r="CD55" s="3" t="n"/>
      <c r="CE55" s="3" t="n"/>
      <c r="CF55" s="3" t="n"/>
      <c r="CG55" s="3" t="n"/>
      <c r="CH55" s="3" t="n"/>
      <c r="CI55" s="3" t="n"/>
      <c r="CJ55" s="3" t="n"/>
      <c r="CK55" s="3" t="n"/>
      <c r="CL55" s="3" t="n"/>
      <c r="CM55" s="3" t="n"/>
      <c r="CN55" s="3" t="n"/>
      <c r="CO55" s="3" t="n"/>
      <c r="CP55" s="3" t="n"/>
      <c r="CQ55" s="3" t="n"/>
      <c r="CR55" s="3" t="n"/>
      <c r="CS55" s="3" t="n"/>
      <c r="CT55" s="3" t="n"/>
      <c r="CU55" s="3" t="n"/>
      <c r="CV55" s="3" t="n"/>
      <c r="CW55" s="3" t="n"/>
      <c r="CX55" s="3" t="n"/>
      <c r="CY55" s="3" t="n"/>
    </row>
    <row r="56" hidden="1" outlineLevel="1">
      <c r="C56" s="34" t="inlineStr">
        <is>
          <t>Long term debt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  <c r="CD56" s="3" t="n"/>
      <c r="CE56" s="3" t="n"/>
      <c r="CF56" s="3" t="n"/>
      <c r="CG56" s="3" t="n"/>
      <c r="CH56" s="3" t="n"/>
      <c r="CI56" s="3" t="n"/>
      <c r="CJ56" s="3" t="n"/>
      <c r="CK56" s="3" t="n"/>
      <c r="CL56" s="3" t="n"/>
      <c r="CM56" s="3" t="n"/>
      <c r="CN56" s="3" t="n"/>
      <c r="CO56" s="3" t="n"/>
      <c r="CP56" s="3" t="n"/>
      <c r="CQ56" s="3" t="n"/>
      <c r="CR56" s="3" t="n"/>
      <c r="CS56" s="3" t="n"/>
      <c r="CT56" s="3" t="n"/>
      <c r="CU56" s="3" t="n"/>
      <c r="CV56" s="3" t="n"/>
      <c r="CW56" s="3" t="n"/>
      <c r="CX56" s="3" t="n"/>
      <c r="CY56" s="3" t="n"/>
    </row>
    <row r="57" hidden="1" outlineLevel="1">
      <c r="C57" s="34" t="inlineStr">
        <is>
          <t>Convertible debt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  <c r="CD57" s="3" t="n"/>
      <c r="CE57" s="3" t="n"/>
      <c r="CF57" s="3" t="n"/>
      <c r="CG57" s="3" t="n"/>
      <c r="CH57" s="3" t="n"/>
      <c r="CI57" s="3" t="n"/>
      <c r="CJ57" s="3" t="n"/>
      <c r="CK57" s="3" t="n"/>
      <c r="CL57" s="3" t="n"/>
      <c r="CM57" s="3" t="n"/>
      <c r="CN57" s="3" t="n"/>
      <c r="CO57" s="3" t="n"/>
      <c r="CP57" s="3" t="n"/>
      <c r="CQ57" s="3" t="n"/>
      <c r="CR57" s="3" t="n"/>
      <c r="CS57" s="3" t="n"/>
      <c r="CT57" s="3" t="n"/>
      <c r="CU57" s="3" t="n"/>
      <c r="CV57" s="3" t="n"/>
      <c r="CW57" s="3" t="n"/>
      <c r="CX57" s="3" t="n"/>
      <c r="CY57" s="3" t="n"/>
    </row>
    <row r="58" hidden="1" outlineLevel="1">
      <c r="C58" s="34" t="inlineStr">
        <is>
          <t>Total debt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  <c r="CD58" s="3" t="n"/>
      <c r="CE58" s="3" t="n"/>
      <c r="CF58" s="3" t="n"/>
      <c r="CG58" s="3" t="n"/>
      <c r="CH58" s="3" t="n"/>
      <c r="CI58" s="3" t="n"/>
      <c r="CJ58" s="3" t="n"/>
      <c r="CK58" s="3" t="n"/>
      <c r="CL58" s="3" t="n"/>
      <c r="CM58" s="3" t="n"/>
      <c r="CN58" s="3" t="n"/>
      <c r="CO58" s="3" t="n"/>
      <c r="CP58" s="3" t="n"/>
      <c r="CQ58" s="3" t="n"/>
      <c r="CR58" s="3" t="n"/>
      <c r="CS58" s="3" t="n"/>
      <c r="CT58" s="3" t="n"/>
      <c r="CU58" s="3" t="n"/>
      <c r="CV58" s="3" t="n"/>
      <c r="CW58" s="3" t="n"/>
      <c r="CX58" s="3" t="n"/>
      <c r="CY58" s="3" t="n"/>
    </row>
    <row r="59" hidden="1" outlineLevel="1">
      <c r="C59" s="34" t="inlineStr">
        <is>
          <t>Interest expense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  <c r="CD59" s="3" t="n"/>
      <c r="CE59" s="3" t="n"/>
      <c r="CF59" s="3" t="n"/>
      <c r="CG59" s="3" t="n"/>
      <c r="CH59" s="3" t="n"/>
      <c r="CI59" s="3" t="n"/>
      <c r="CJ59" s="3" t="n"/>
      <c r="CK59" s="3" t="n"/>
      <c r="CL59" s="3" t="n"/>
      <c r="CM59" s="3" t="n"/>
      <c r="CN59" s="3" t="n"/>
      <c r="CO59" s="3" t="n"/>
      <c r="CP59" s="3" t="n"/>
      <c r="CQ59" s="3" t="n"/>
      <c r="CR59" s="3" t="n"/>
      <c r="CS59" s="3" t="n"/>
      <c r="CT59" s="3" t="n"/>
      <c r="CU59" s="3" t="n"/>
      <c r="CV59" s="3" t="n"/>
      <c r="CW59" s="3" t="n"/>
      <c r="CX59" s="3" t="n"/>
      <c r="CY59" s="3" t="n"/>
    </row>
    <row r="60" hidden="1" outlineLevel="1">
      <c r="C60" s="34" t="inlineStr">
        <is>
          <t>Average interest rate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  <c r="CD60" s="3" t="n"/>
      <c r="CE60" s="3" t="n"/>
      <c r="CF60" s="3" t="n"/>
      <c r="CG60" s="3" t="n"/>
      <c r="CH60" s="3" t="n"/>
      <c r="CI60" s="3" t="n"/>
      <c r="CJ60" s="3" t="n"/>
      <c r="CK60" s="3" t="n"/>
      <c r="CL60" s="3" t="n"/>
      <c r="CM60" s="3" t="n"/>
      <c r="CN60" s="3" t="n"/>
      <c r="CO60" s="3" t="n"/>
      <c r="CP60" s="3" t="n"/>
      <c r="CQ60" s="3" t="n"/>
      <c r="CR60" s="3" t="n"/>
      <c r="CS60" s="3" t="n"/>
      <c r="CT60" s="3" t="n"/>
      <c r="CU60" s="3" t="n"/>
      <c r="CV60" s="3" t="n"/>
      <c r="CW60" s="3" t="n"/>
      <c r="CX60" s="3" t="n"/>
      <c r="CY60" s="3" t="n"/>
    </row>
    <row r="61" hidden="1" outlineLevel="1">
      <c r="C61" s="34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  <c r="CD61" s="3" t="n"/>
      <c r="CE61" s="3" t="n"/>
      <c r="CF61" s="3" t="n"/>
      <c r="CG61" s="3" t="n"/>
      <c r="CH61" s="3" t="n"/>
      <c r="CI61" s="3" t="n"/>
      <c r="CJ61" s="3" t="n"/>
      <c r="CK61" s="3" t="n"/>
      <c r="CL61" s="3" t="n"/>
      <c r="CM61" s="3" t="n"/>
      <c r="CN61" s="3" t="n"/>
      <c r="CO61" s="3" t="n"/>
      <c r="CP61" s="3" t="n"/>
      <c r="CQ61" s="3" t="n"/>
      <c r="CR61" s="3" t="n"/>
      <c r="CS61" s="3" t="n"/>
      <c r="CT61" s="3" t="n"/>
      <c r="CU61" s="3" t="n"/>
      <c r="CV61" s="3" t="n"/>
      <c r="CW61" s="3" t="n"/>
      <c r="CX61" s="3" t="n"/>
      <c r="CY61" s="3" t="n"/>
    </row>
    <row r="62" hidden="1" outlineLevel="1">
      <c r="C62" s="34" t="inlineStr">
        <is>
          <t>Stake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  <c r="CD62" s="3" t="n"/>
      <c r="CE62" s="3" t="n"/>
      <c r="CF62" s="3" t="n"/>
      <c r="CG62" s="3" t="n"/>
      <c r="CH62" s="3" t="n"/>
      <c r="CI62" s="3" t="n"/>
      <c r="CJ62" s="3" t="n"/>
      <c r="CK62" s="3" t="n"/>
      <c r="CL62" s="3" t="n"/>
      <c r="CM62" s="3" t="n"/>
      <c r="CN62" s="3" t="n"/>
      <c r="CO62" s="3" t="n"/>
      <c r="CP62" s="3" t="n"/>
      <c r="CQ62" s="3" t="n"/>
      <c r="CR62" s="3" t="n"/>
      <c r="CS62" s="3" t="n"/>
      <c r="CT62" s="3" t="n"/>
      <c r="CU62" s="3" t="n"/>
      <c r="CV62" s="3" t="n"/>
      <c r="CW62" s="3" t="n"/>
      <c r="CX62" s="3" t="n"/>
      <c r="CY62" s="3" t="n"/>
    </row>
    <row r="63" hidden="1" outlineLevel="1">
      <c r="C63" s="34" t="inlineStr">
        <is>
          <t>PRE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  <c r="CD63" s="3" t="n"/>
      <c r="CE63" s="3" t="n"/>
      <c r="CF63" s="3" t="n"/>
      <c r="CG63" s="3" t="n"/>
      <c r="CH63" s="3" t="n"/>
      <c r="CI63" s="3" t="n"/>
      <c r="CJ63" s="3" t="n"/>
      <c r="CK63" s="3" t="n"/>
      <c r="CL63" s="3" t="n"/>
      <c r="CM63" s="3" t="n"/>
      <c r="CN63" s="3" t="n"/>
      <c r="CO63" s="3" t="n"/>
      <c r="CP63" s="3" t="n"/>
      <c r="CQ63" s="3" t="n"/>
      <c r="CR63" s="3" t="n"/>
      <c r="CS63" s="3" t="n"/>
      <c r="CT63" s="3" t="n"/>
      <c r="CU63" s="3" t="n"/>
      <c r="CV63" s="3" t="n"/>
      <c r="CW63" s="3" t="n"/>
      <c r="CX63" s="3" t="n"/>
      <c r="CY63" s="3" t="n"/>
    </row>
    <row r="64" hidden="1" outlineLevel="1">
      <c r="C64" s="34" t="inlineStr">
        <is>
          <t>CDI+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  <c r="CD64" s="3" t="n"/>
      <c r="CE64" s="3" t="n"/>
      <c r="CF64" s="3" t="n"/>
      <c r="CG64" s="3" t="n"/>
      <c r="CH64" s="3" t="n"/>
      <c r="CI64" s="3" t="n"/>
      <c r="CJ64" s="3" t="n"/>
      <c r="CK64" s="3" t="n"/>
      <c r="CL64" s="3" t="n"/>
      <c r="CM64" s="3" t="n"/>
      <c r="CN64" s="3" t="n"/>
      <c r="CO64" s="3" t="n"/>
      <c r="CP64" s="3" t="n"/>
      <c r="CQ64" s="3" t="n"/>
      <c r="CR64" s="3" t="n"/>
      <c r="CS64" s="3" t="n"/>
      <c r="CT64" s="3" t="n"/>
      <c r="CU64" s="3" t="n"/>
      <c r="CV64" s="3" t="n"/>
      <c r="CW64" s="3" t="n"/>
      <c r="CX64" s="3" t="n"/>
      <c r="CY64" s="3" t="n"/>
    </row>
    <row r="65" hidden="1" outlineLevel="1">
      <c r="C65" s="34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  <c r="CD65" s="3" t="n"/>
      <c r="CE65" s="3" t="n"/>
      <c r="CF65" s="3" t="n"/>
      <c r="CG65" s="3" t="n"/>
      <c r="CH65" s="3" t="n"/>
      <c r="CI65" s="3" t="n"/>
      <c r="CJ65" s="3" t="n"/>
      <c r="CK65" s="3" t="n"/>
      <c r="CL65" s="3" t="n"/>
      <c r="CM65" s="3" t="n"/>
      <c r="CN65" s="3" t="n"/>
      <c r="CO65" s="3" t="n"/>
      <c r="CP65" s="3" t="n"/>
      <c r="CQ65" s="3" t="n"/>
      <c r="CR65" s="3" t="n"/>
      <c r="CS65" s="3" t="n"/>
      <c r="CT65" s="3" t="n"/>
      <c r="CU65" s="3" t="n"/>
      <c r="CV65" s="3" t="n"/>
      <c r="CW65" s="3" t="n"/>
      <c r="CX65" s="3" t="n"/>
      <c r="CY65" s="3" t="n"/>
    </row>
    <row r="66" hidden="1" outlineLevel="1">
      <c r="C66" s="34" t="inlineStr">
        <is>
          <t>Spread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  <c r="CD66" s="3" t="n"/>
      <c r="CE66" s="3" t="n"/>
      <c r="CF66" s="3" t="n"/>
      <c r="CG66" s="3" t="n"/>
      <c r="CH66" s="3" t="n"/>
      <c r="CI66" s="3" t="n"/>
      <c r="CJ66" s="3" t="n"/>
      <c r="CK66" s="3" t="n"/>
      <c r="CL66" s="3" t="n"/>
      <c r="CM66" s="3" t="n"/>
      <c r="CN66" s="3" t="n"/>
      <c r="CO66" s="3" t="n"/>
      <c r="CP66" s="3" t="n"/>
      <c r="CQ66" s="3" t="n"/>
      <c r="CR66" s="3" t="n"/>
      <c r="CS66" s="3" t="n"/>
      <c r="CT66" s="3" t="n"/>
      <c r="CU66" s="3" t="n"/>
      <c r="CV66" s="3" t="n"/>
      <c r="CW66" s="3" t="n"/>
      <c r="CX66" s="3" t="n"/>
      <c r="CY66" s="3" t="n"/>
    </row>
    <row r="67" hidden="1" outlineLevel="1">
      <c r="C67" s="34" t="inlineStr">
        <is>
          <t>PRE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</row>
    <row r="68" hidden="1" outlineLevel="1">
      <c r="C68" s="34" t="inlineStr">
        <is>
          <t>CDI+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  <c r="CD68" s="3" t="n"/>
      <c r="CE68" s="3" t="n"/>
      <c r="CF68" s="3" t="n"/>
      <c r="CG68" s="3" t="n"/>
      <c r="CH68" s="3" t="n"/>
      <c r="CI68" s="3" t="n"/>
      <c r="CJ68" s="3" t="n"/>
      <c r="CK68" s="3" t="n"/>
      <c r="CL68" s="3" t="n"/>
      <c r="CM68" s="3" t="n"/>
      <c r="CN68" s="3" t="n"/>
      <c r="CO68" s="3" t="n"/>
      <c r="CP68" s="3" t="n"/>
      <c r="CQ68" s="3" t="n"/>
      <c r="CR68" s="3" t="n"/>
      <c r="CS68" s="3" t="n"/>
      <c r="CT68" s="3" t="n"/>
      <c r="CU68" s="3" t="n"/>
      <c r="CV68" s="3" t="n"/>
      <c r="CW68" s="3" t="n"/>
      <c r="CX68" s="3" t="n"/>
      <c r="CY68" s="3" t="n"/>
    </row>
    <row r="69" hidden="1" outlineLevel="1">
      <c r="C69" s="34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  <c r="CD69" s="3" t="n"/>
      <c r="CE69" s="3" t="n"/>
      <c r="CF69" s="3" t="n"/>
      <c r="CG69" s="3" t="n"/>
      <c r="CH69" s="3" t="n"/>
      <c r="CI69" s="3" t="n"/>
      <c r="CJ69" s="3" t="n"/>
      <c r="CK69" s="3" t="n"/>
      <c r="CL69" s="3" t="n"/>
      <c r="CM69" s="3" t="n"/>
      <c r="CN69" s="3" t="n"/>
      <c r="CO69" s="3" t="n"/>
      <c r="CP69" s="3" t="n"/>
      <c r="CQ69" s="3" t="n"/>
      <c r="CR69" s="3" t="n"/>
      <c r="CS69" s="3" t="n"/>
      <c r="CT69" s="3" t="n"/>
      <c r="CU69" s="3" t="n"/>
      <c r="CV69" s="3" t="n"/>
      <c r="CW69" s="3" t="n"/>
      <c r="CX69" s="3" t="n"/>
      <c r="CY69" s="3" t="n"/>
    </row>
    <row r="70" hidden="1" outlineLevel="1">
      <c r="C70" s="34" t="inlineStr">
        <is>
          <t>RECEITAS FINANCEIRAS - Rendimentos de aplicações financeiras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  <c r="CD70" s="3" t="n"/>
      <c r="CE70" s="3" t="n"/>
      <c r="CF70" s="3" t="n"/>
      <c r="CG70" s="3" t="n"/>
      <c r="CH70" s="3" t="n"/>
      <c r="CI70" s="3" t="n"/>
      <c r="CJ70" s="3" t="n"/>
      <c r="CK70" s="3" t="n"/>
      <c r="CL70" s="3" t="n"/>
      <c r="CM70" s="3" t="n"/>
      <c r="CN70" s="3" t="n"/>
      <c r="CO70" s="3" t="n"/>
      <c r="CP70" s="3" t="n"/>
      <c r="CQ70" s="3" t="n"/>
      <c r="CR70" s="3" t="n"/>
      <c r="CS70" s="3" t="n"/>
      <c r="CT70" s="3" t="n"/>
      <c r="CU70" s="3" t="n"/>
      <c r="CV70" s="3" t="n"/>
      <c r="CW70" s="3" t="n"/>
      <c r="CX70" s="3" t="n"/>
      <c r="CY70" s="3" t="n"/>
    </row>
    <row r="71" hidden="1" outlineLevel="1">
      <c r="C71" s="34" t="inlineStr">
        <is>
          <t>RECEITAS FINANCEIRAS - Variação cambial ativa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  <c r="CD71" s="3" t="n"/>
      <c r="CE71" s="3" t="n"/>
      <c r="CF71" s="3" t="n"/>
      <c r="CG71" s="3" t="n"/>
      <c r="CH71" s="3" t="n"/>
      <c r="CI71" s="3" t="n"/>
      <c r="CJ71" s="3" t="n"/>
      <c r="CK71" s="3" t="n"/>
      <c r="CL71" s="3" t="n"/>
      <c r="CM71" s="3" t="n"/>
      <c r="CN71" s="3" t="n"/>
      <c r="CO71" s="3" t="n"/>
      <c r="CP71" s="3" t="n"/>
      <c r="CQ71" s="3" t="n"/>
      <c r="CR71" s="3" t="n"/>
      <c r="CS71" s="3" t="n"/>
      <c r="CT71" s="3" t="n"/>
      <c r="CU71" s="3" t="n"/>
      <c r="CV71" s="3" t="n"/>
      <c r="CW71" s="3" t="n"/>
      <c r="CX71" s="3" t="n"/>
      <c r="CY71" s="3" t="n"/>
    </row>
    <row r="72" hidden="1" outlineLevel="1">
      <c r="C72" s="34" t="inlineStr">
        <is>
          <t>RECEITAS FINANCEIRAS - Atualização de contas a pagar por aquisição de empresas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inlineStr">
        <is>
          <t>RECEITAS FINANCEIRAS - Resultado positivo com instrumentos derivativos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RECEITAS FINANCEIRAS - Descontos obtidos de fornecedores por antecipação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RECEITAS FINANCEIRAS - Atualização monetária sobre Exclusão ICMS da base de PIS/COFINS (nota explicativa nº 7)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RECEITAS FINANCEIRAS - Outras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DESPESAS FINANCEIRAS - Encargos sobre empréstimos, financiamentos e debêntures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DESPESAS FINANCEIRAS - Variação cambial passiva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DESPESAS FINANCEIRAS - Resultado negativo com instrumentos derivativos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DESPESAS FINANCEIRAS - Juros sobre arrendamento - IFRS16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inlineStr">
        <is>
          <t>DESPESAS FINANCEIRAS - Despesas bancárias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DESPESAS FINANCEIRAS - Despesas com obtenção de empréstimos e financiamentos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DESPESAS FINANCEIRAS - Atualização de contas a pagar por aquisição de empresas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DESPESAS FINANCEIRAS - Outras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CHECK [EX IFRS-16]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collapsed="1">
      <c r="C89" s="26" t="inlineStr">
        <is>
          <t>Nonoperating Income / (Loss)</t>
        </is>
      </c>
      <c r="D89" s="25">
        <f>INDEX('Inputs (2)'!$D$9:$AL$9,MATCH(D$7,'Inputs (2)'!$D$2:$AL$2,0))</f>
        <v>9.87809727</v>
      </c>
      <c r="E89" s="25">
        <f>INDEX('Inputs (2)'!$D$9:$AL$9,MATCH(E$7,'Inputs (2)'!$D$2:$AL$2,0))</f>
        <v>8.77768171</v>
      </c>
      <c r="F89" s="25">
        <f>INDEX('Inputs (2)'!$D$9:$AL$9,MATCH(F$7,'Inputs (2)'!$D$2:$AL$2,0))</f>
        <v>9.81101742</v>
      </c>
      <c r="G89" s="25">
        <f>INDEX('Inputs (2)'!$D$9:$AL$9,MATCH(G$7,'Inputs (2)'!$D$2:$AL$2,0))</f>
        <v>8.64034112</v>
      </c>
      <c r="H89" s="3">
        <f>SUM(D89:G89)</f>
        <v>37.10713752</v>
      </c>
      <c r="I89" s="25">
        <f>INDEX('Inputs (2)'!$D$9:$AL$9,MATCH(I$7,'Inputs (2)'!$D$2:$AL$2,0))</f>
        <v>6.69925278</v>
      </c>
      <c r="J89" s="25">
        <f>INDEX('Inputs (2)'!$D$9:$AL$9,MATCH(J$7,'Inputs (2)'!$D$2:$AL$2,0))</f>
        <v>6.79723379</v>
      </c>
      <c r="K89" s="25">
        <f>INDEX('Inputs (2)'!$D$9:$AL$9,MATCH(K$7,'Inputs (2)'!$D$2:$AL$2,0))</f>
        <v>16.4558964</v>
      </c>
      <c r="L89" s="25">
        <f>INDEX('Inputs (2)'!$D$9:$AL$9,MATCH(L$7,'Inputs (2)'!$D$2:$AL$2,0))</f>
        <v>18.92533787</v>
      </c>
      <c r="M89" s="3">
        <f>SUM(I89:L89)</f>
        <v>48.87772084</v>
      </c>
      <c r="N89" s="25">
        <f>INDEX('Inputs (2)'!$D$9:$AL$9,MATCH(N$7,'Inputs (2)'!$D$2:$AL$2,0))</f>
        <v>20.19570061</v>
      </c>
      <c r="O89" s="25">
        <f>INDEX('Inputs (2)'!$D$9:$AL$9,MATCH(O$7,'Inputs (2)'!$D$2:$AL$2,0))</f>
        <v>21.47671546</v>
      </c>
      <c r="P89" s="25">
        <f>INDEX('Inputs (2)'!$D$9:$AL$9,MATCH(P$7,'Inputs (2)'!$D$2:$AL$2,0))</f>
        <v>28.95401388</v>
      </c>
      <c r="Q89" s="25">
        <f>INDEX('Inputs (2)'!$D$9:$AL$9,MATCH(Q$7,'Inputs (2)'!$D$2:$AL$2,0))</f>
        <v>42.83506655</v>
      </c>
      <c r="R89" s="3">
        <f>SUM(N89:Q89)</f>
        <v>113.4614965</v>
      </c>
      <c r="S89" s="25">
        <f>INDEX('Inputs (2)'!$D$9:$AL$9,MATCH(S$7,'Inputs (2)'!$D$2:$AL$2,0))</f>
        <v>45.00753287</v>
      </c>
      <c r="T89" s="25">
        <f>INDEX('Inputs (2)'!$D$9:$AL$9,MATCH(T$7,'Inputs (2)'!$D$2:$AL$2,0))</f>
        <v>58.87857805</v>
      </c>
      <c r="U89" s="25">
        <f>INDEX('Inputs (2)'!$D$9:$AL$9,MATCH(U$7,'Inputs (2)'!$D$2:$AL$2,0))</f>
        <v>60.852</v>
      </c>
      <c r="V89" s="25">
        <f>INDEX('Inputs (2)'!$D$9:$AL$9,MATCH(V$7,'Inputs (2)'!$D$2:$AL$2,0))</f>
        <v>55.57188908</v>
      </c>
      <c r="W89" s="3">
        <f>SUM(S89:V89)</f>
        <v>220.31</v>
      </c>
      <c r="X89" s="25">
        <f>INDEX('Inputs (2)'!$D$9:$AL$9,MATCH(X$7,'Inputs (2)'!$D$2:$AL$2,0))</f>
        <v>36.46648343</v>
      </c>
      <c r="Y89" s="25">
        <f>INDEX('Inputs (2)'!$D$9:$AL$9,MATCH(Y$7,'Inputs (2)'!$D$2:$AL$2,0))</f>
        <v>39.213</v>
      </c>
      <c r="Z89" s="25">
        <f>INDEX('Inputs (2)'!$D$9:$AL$9,MATCH(Z$7,'Inputs (2)'!$D$2:$AL$2,0))</f>
        <v>62.182</v>
      </c>
      <c r="AA89" s="25">
        <f>INDEX('Inputs (2)'!$D$9:$AL$9,MATCH(AA$7,'Inputs (2)'!$D$2:$AL$2,0))</f>
        <v>67.62451657</v>
      </c>
      <c r="AB89" s="3">
        <f>SUM(X89:AA89)</f>
        <v>205.486</v>
      </c>
      <c r="AC89" s="25">
        <f>INDEX('Inputs (2)'!$D$9:$AL$9,MATCH(AC$7,'Inputs (2)'!$D$2:$AL$2,0))</f>
        <v>79.099815</v>
      </c>
      <c r="AD89" s="25">
        <f>INDEX('Inputs (2)'!$D$9:$AL$9,MATCH(AD$7,'Inputs (2)'!$D$2:$AL$2,0))</f>
        <v>80.601</v>
      </c>
      <c r="AE89" s="25">
        <f>INDEX('Inputs (2)'!$D$9:$AL$9,MATCH(AE$7,'Inputs (2)'!$D$2:$AL$2,0))</f>
        <v>90.06051204</v>
      </c>
      <c r="AF89" s="25">
        <f>INDEX('Inputs (2)'!$D$9:$AL$9,MATCH(AF$7,'Inputs (2)'!$D$2:$AL$2,0))</f>
        <v>85.67562359</v>
      </c>
      <c r="AG89" s="3">
        <f>SUM(AC89:AF89)</f>
        <v>335.43695063</v>
      </c>
      <c r="AH89" s="3">
        <f>AF89</f>
        <v>85.67562359</v>
      </c>
      <c r="AI89" s="3">
        <f>AG89</f>
        <v>335.43695063</v>
      </c>
      <c r="AJ89" s="3">
        <f>AH89</f>
        <v>85.67562359</v>
      </c>
      <c r="AK89" s="3">
        <f>AI89</f>
        <v>335.43695063</v>
      </c>
      <c r="AL89" s="3">
        <f>SUM(AH89:AK89)</f>
        <v>842.22514844</v>
      </c>
      <c r="AM89" s="3">
        <f>AK89</f>
        <v>335.43695063</v>
      </c>
      <c r="AN89" s="3">
        <f>AL89</f>
        <v>842.22514844</v>
      </c>
      <c r="AO89" s="3">
        <f>AM89</f>
        <v>335.43695063</v>
      </c>
      <c r="AP89" s="3">
        <f>AN89</f>
        <v>842.22514844</v>
      </c>
      <c r="AQ89" s="3">
        <f>SUM(AM89:AP89)</f>
        <v>2355.32419814</v>
      </c>
      <c r="AR89" s="3">
        <f>AP89</f>
        <v>842.22514844</v>
      </c>
      <c r="AS89" s="3">
        <f>AQ89</f>
        <v>2355.32419814</v>
      </c>
      <c r="AT89" s="3">
        <f>AR89</f>
        <v>842.22514844</v>
      </c>
      <c r="AU89" s="3">
        <f>AS89</f>
        <v>2355.32419814</v>
      </c>
      <c r="AV89" s="3">
        <f>SUM(AR89:AU89)</f>
        <v>6395.09869316</v>
      </c>
      <c r="AW89" s="3">
        <f>AU89</f>
        <v>2355.32419814</v>
      </c>
      <c r="AX89" s="3">
        <f>AV89</f>
        <v>6395.09869316</v>
      </c>
      <c r="AY89" s="3">
        <f>AW89</f>
        <v>2355.32419814</v>
      </c>
      <c r="AZ89" s="3">
        <f>AX89</f>
        <v>6395.09869316</v>
      </c>
      <c r="BA89" s="3">
        <f>SUM(AW89:AZ89)</f>
        <v>17500.8457826</v>
      </c>
      <c r="BB89" s="3">
        <f>AZ89</f>
        <v>6395.09869316</v>
      </c>
      <c r="BC89" s="3">
        <f>BA89</f>
        <v>17500.8457826</v>
      </c>
      <c r="BD89" s="3">
        <f>BB89</f>
        <v>6395.09869316</v>
      </c>
      <c r="BE89" s="3">
        <f>BC89</f>
        <v>17500.8457826</v>
      </c>
      <c r="BF89" s="3">
        <f>SUM(BB89:BE89)</f>
        <v>47791.88895152</v>
      </c>
      <c r="BG89" s="3">
        <f>BE89</f>
        <v>17500.8457826</v>
      </c>
      <c r="BH89" s="3">
        <f>BF89</f>
        <v>47791.88895152</v>
      </c>
      <c r="BI89" s="3">
        <f>BG89</f>
        <v>17500.8457826</v>
      </c>
      <c r="BJ89" s="3">
        <f>BH89</f>
        <v>47791.88895152</v>
      </c>
      <c r="BK89" s="3">
        <f>SUM(BG89:BJ89)</f>
        <v>130585.46946824</v>
      </c>
      <c r="BL89" s="3">
        <f>BJ89</f>
        <v>47791.88895152</v>
      </c>
      <c r="BM89" s="3">
        <f>BK89</f>
        <v>130585.46946824</v>
      </c>
      <c r="BN89" s="3">
        <f>BL89</f>
        <v>47791.88895152</v>
      </c>
      <c r="BO89" s="3">
        <f>BM89</f>
        <v>130585.46946824</v>
      </c>
      <c r="BP89" s="3">
        <f>SUM(BL89:BO89)</f>
        <v>356754.71683952</v>
      </c>
      <c r="BQ89" s="3">
        <f>BO89</f>
        <v>130585.46946824</v>
      </c>
      <c r="BR89" s="3">
        <f>BP89</f>
        <v>356754.71683952</v>
      </c>
      <c r="BS89" s="3">
        <f>BQ89</f>
        <v>130585.46946824</v>
      </c>
      <c r="BT89" s="3">
        <f>BR89</f>
        <v>356754.71683952</v>
      </c>
      <c r="BU89" s="3">
        <f>SUM(BQ89:BT89)</f>
        <v>974680.37261552</v>
      </c>
      <c r="BV89" s="3">
        <f>BT89</f>
        <v>356754.71683952</v>
      </c>
      <c r="BW89" s="3">
        <f>BU89</f>
        <v>974680.37261552</v>
      </c>
      <c r="BX89" s="3">
        <f>BV89</f>
        <v>356754.71683952</v>
      </c>
      <c r="BY89" s="3">
        <f>BW89</f>
        <v>974680.37261552</v>
      </c>
      <c r="BZ89" s="3">
        <f>SUM(BV89:BY89)</f>
        <v>2662870.17891008</v>
      </c>
      <c r="CA89" s="3">
        <f>BY89</f>
        <v>974680.37261552</v>
      </c>
      <c r="CB89" s="3">
        <f>BZ89</f>
        <v>2662870.17891008</v>
      </c>
      <c r="CC89" s="3">
        <f>CA89</f>
        <v>974680.37261552</v>
      </c>
      <c r="CD89" s="3">
        <f>CB89</f>
        <v>2662870.17891008</v>
      </c>
      <c r="CE89" s="3">
        <f>SUM(CA89:CD89)</f>
        <v>7275101.1030512</v>
      </c>
      <c r="CF89" s="3">
        <f>CD89</f>
        <v>2662870.17891008</v>
      </c>
      <c r="CG89" s="3">
        <f>CE89</f>
        <v>7275101.1030512</v>
      </c>
      <c r="CH89" s="3">
        <f>CF89</f>
        <v>2662870.17891008</v>
      </c>
      <c r="CI89" s="3">
        <f>CG89</f>
        <v>7275101.1030512</v>
      </c>
      <c r="CJ89" s="3">
        <f>SUM(CF89:CI89)</f>
        <v>19875942.5639226</v>
      </c>
      <c r="CK89" s="3">
        <f>CI89</f>
        <v>7275101.1030512</v>
      </c>
      <c r="CL89" s="3">
        <f>CJ89</f>
        <v>19875942.5639226</v>
      </c>
      <c r="CM89" s="3">
        <f>CK89</f>
        <v>7275101.1030512</v>
      </c>
      <c r="CN89" s="3">
        <f>CL89</f>
        <v>19875942.5639226</v>
      </c>
      <c r="CO89" s="3">
        <f>SUM(CK89:CN89)</f>
        <v>54302087.3339475</v>
      </c>
      <c r="CP89" s="3">
        <f>CN89</f>
        <v>19875942.5639226</v>
      </c>
      <c r="CQ89" s="3">
        <f>CO89</f>
        <v>54302087.3339475</v>
      </c>
      <c r="CR89" s="3">
        <f>CP89</f>
        <v>19875942.5639226</v>
      </c>
      <c r="CS89" s="3">
        <f>CQ89</f>
        <v>54302087.3339475</v>
      </c>
      <c r="CT89" s="3">
        <f>SUM(CP89:CS89)</f>
        <v>148356059.79574</v>
      </c>
      <c r="CU89" s="3">
        <f>CS89</f>
        <v>54302087.3339475</v>
      </c>
      <c r="CV89" s="3">
        <f>CT89</f>
        <v>148356059.79574</v>
      </c>
      <c r="CW89" s="3">
        <f>CU89</f>
        <v>54302087.3339475</v>
      </c>
      <c r="CX89" s="3">
        <f>CV89</f>
        <v>148356059.79574</v>
      </c>
      <c r="CY89" s="3">
        <f>SUM(CU89:CX89)</f>
        <v>405316294.259375</v>
      </c>
    </row>
    <row r="90" hidden="1" outlineLevel="1">
      <c r="C90" s="3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2" t="inlineStr">
        <is>
          <t>Resultado Não Recorrente</t>
        </is>
      </c>
      <c r="D91" s="6" t="n"/>
      <c r="E91" s="6" t="n"/>
      <c r="F91" s="6" t="n"/>
      <c r="G91" s="6" t="n"/>
      <c r="H91" s="3" t="n"/>
      <c r="I91" s="6" t="n"/>
      <c r="J91" s="6" t="n"/>
      <c r="K91" s="6" t="n"/>
      <c r="L91" s="6" t="n"/>
      <c r="M91" s="3" t="n"/>
      <c r="N91" s="6" t="n"/>
      <c r="O91" s="6" t="n"/>
      <c r="P91" s="6" t="n"/>
      <c r="Q91" s="6" t="n"/>
      <c r="R91" s="3" t="n"/>
      <c r="S91" s="6" t="n"/>
      <c r="T91" s="6" t="n"/>
      <c r="U91" s="6" t="n"/>
      <c r="V91" s="6" t="n"/>
      <c r="W91" s="3" t="n"/>
      <c r="X91" s="6" t="n"/>
      <c r="Y91" s="6" t="n"/>
      <c r="Z91" s="6" t="n"/>
      <c r="AA91" s="6" t="n"/>
      <c r="AB91" s="3" t="n"/>
      <c r="AC91" s="6" t="n"/>
      <c r="AD91" s="6" t="n"/>
      <c r="AE91" s="6" t="n"/>
      <c r="AF91" s="6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2" t="inlineStr">
        <is>
          <t>Plano de Opção de Compra de Ações</t>
        </is>
      </c>
      <c r="D92" s="6" t="n"/>
      <c r="E92" s="6" t="n"/>
      <c r="F92" s="6" t="n"/>
      <c r="G92" s="6" t="n"/>
      <c r="H92" s="3" t="n"/>
      <c r="I92" s="6" t="n"/>
      <c r="J92" s="6" t="n"/>
      <c r="K92" s="6" t="n"/>
      <c r="L92" s="6" t="n"/>
      <c r="M92" s="3" t="n"/>
      <c r="N92" s="6" t="n"/>
      <c r="O92" s="6" t="n"/>
      <c r="P92" s="6" t="n"/>
      <c r="Q92" s="6" t="n"/>
      <c r="R92" s="3" t="n"/>
      <c r="S92" s="6" t="n"/>
      <c r="T92" s="6" t="n"/>
      <c r="U92" s="6" t="n"/>
      <c r="V92" s="6" t="n"/>
      <c r="W92" s="3" t="n"/>
      <c r="X92" s="6" t="n"/>
      <c r="Y92" s="6" t="n"/>
      <c r="Z92" s="6" t="n"/>
      <c r="AA92" s="6" t="n"/>
      <c r="AB92" s="3" t="n"/>
      <c r="AC92" s="6" t="n"/>
      <c r="AD92" s="6" t="n"/>
      <c r="AE92" s="6" t="n"/>
      <c r="AF92" s="6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2" t="inlineStr">
        <is>
          <t>Baixa Imobilizado</t>
        </is>
      </c>
      <c r="D93" s="6" t="n"/>
      <c r="E93" s="6" t="n"/>
      <c r="F93" s="6" t="n"/>
      <c r="G93" s="6" t="n"/>
      <c r="H93" s="3" t="n"/>
      <c r="I93" s="6" t="n"/>
      <c r="J93" s="6" t="n"/>
      <c r="K93" s="6" t="n"/>
      <c r="L93" s="6" t="n"/>
      <c r="M93" s="3" t="n"/>
      <c r="N93" s="6" t="n"/>
      <c r="O93" s="6" t="n"/>
      <c r="P93" s="6" t="n"/>
      <c r="Q93" s="6" t="n"/>
      <c r="R93" s="3" t="n"/>
      <c r="S93" s="6" t="n"/>
      <c r="T93" s="6" t="n"/>
      <c r="U93" s="6" t="n"/>
      <c r="V93" s="6" t="n"/>
      <c r="W93" s="3" t="n"/>
      <c r="X93" s="6" t="n"/>
      <c r="Y93" s="6" t="n"/>
      <c r="Z93" s="6" t="n"/>
      <c r="AA93" s="6" t="n"/>
      <c r="AB93" s="3" t="n"/>
      <c r="AC93" s="6" t="n"/>
      <c r="AD93" s="6" t="n"/>
      <c r="AE93" s="6" t="n"/>
      <c r="AF93" s="6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collapsed="1" customFormat="1" s="17">
      <c r="A96" s="13" t="n"/>
      <c r="B96" s="1" t="n"/>
      <c r="C96" s="14" t="inlineStr">
        <is>
          <t>Pretax Income - EBT</t>
        </is>
      </c>
      <c r="D96" s="16">
        <f>SUM(D39,D40,D89)</f>
        <v>79.8511794964181</v>
      </c>
      <c r="E96" s="16">
        <f>SUM(E39,E40,E89)</f>
        <v>-101.690738806812</v>
      </c>
      <c r="F96" s="16">
        <f>SUM(F39,F40,F89)</f>
        <v>202.742533505985</v>
      </c>
      <c r="G96" s="16">
        <f>SUM(G39,G40,G89)</f>
        <v>160.155702360001</v>
      </c>
      <c r="H96" s="16">
        <f>SUM(D96:G96)</f>
        <v>341.058676555592</v>
      </c>
      <c r="I96" s="16">
        <f>SUM(I39,I40,I89)</f>
        <v>167.96626838</v>
      </c>
      <c r="J96" s="16">
        <f>SUM(J39,J40,J89)</f>
        <v>92.6404290099987</v>
      </c>
      <c r="K96" s="16">
        <f>SUM(K39,K40,K89)</f>
        <v>135.89422188</v>
      </c>
      <c r="L96" s="16">
        <f>SUM(L39,L40,L89)</f>
        <v>99.05633589</v>
      </c>
      <c r="M96" s="16">
        <f>SUM(I96:L96)</f>
        <v>495.557255159999</v>
      </c>
      <c r="N96" s="16">
        <f>SUM(N39,N40,N89)</f>
        <v>153.507005969442</v>
      </c>
      <c r="O96" s="16">
        <f>SUM(O39,O40,O89)</f>
        <v>97.818434778051</v>
      </c>
      <c r="P96" s="16">
        <f>SUM(P39,P40,P89)</f>
        <v>123.28083126</v>
      </c>
      <c r="Q96" s="16">
        <f>SUM(Q39,Q40,Q89)</f>
        <v>30.1845657000001</v>
      </c>
      <c r="R96" s="16">
        <f>SUM(N96:Q96)</f>
        <v>404.790837707493</v>
      </c>
      <c r="S96" s="16">
        <f>SUM(S39,S40,S89)</f>
        <v>124.97772461</v>
      </c>
      <c r="T96" s="16">
        <f>SUM(T39,T40,T89)</f>
        <v>97.9919510499998</v>
      </c>
      <c r="U96" s="16">
        <f>SUM(U39,U40,U89)</f>
        <v>214.897435338059</v>
      </c>
      <c r="V96" s="16">
        <f>SUM(V39,V40,V89)</f>
        <v>93.3019067500001</v>
      </c>
      <c r="W96" s="16">
        <f>SUM(S96:V96)</f>
        <v>531.169017748059</v>
      </c>
      <c r="X96" s="16">
        <f>SUM(X39,X40,X89)</f>
        <v>217.3046009</v>
      </c>
      <c r="Y96" s="16">
        <f>SUM(Y39,Y40,Y89)</f>
        <v>228.914</v>
      </c>
      <c r="Z96" s="16">
        <f>SUM(Z39,Z40,Z89)</f>
        <v>244.697474</v>
      </c>
      <c r="AA96" s="16">
        <f>SUM(AA39,AA40,AA89)</f>
        <v>99.7419250999991</v>
      </c>
      <c r="AB96" s="16">
        <f>SUM(X96:AA96)</f>
        <v>790.657999999999</v>
      </c>
      <c r="AC96" s="16">
        <f>SUM(AC39,AC40,AC89)</f>
        <v>232.114186</v>
      </c>
      <c r="AD96" s="16">
        <f>SUM(AD39,AD40,AD89)</f>
        <v>191.73</v>
      </c>
      <c r="AE96" s="16">
        <f>SUM(AE39,AE40,AE89)</f>
        <v>239.759090393919</v>
      </c>
      <c r="AF96" s="16">
        <f>SUM(AF39,AF40,AF89)</f>
        <v>103.16258393</v>
      </c>
      <c r="AG96" s="16">
        <f>SUM(AC96:AF96)</f>
        <v>766.765860323919</v>
      </c>
      <c r="AH96" s="16">
        <f>SUM(AH39,AH40,AH89)</f>
        <v>85.67562359</v>
      </c>
      <c r="AI96" s="16">
        <f>SUM(AI39,AI40,AI89)</f>
        <v>335.43695063</v>
      </c>
      <c r="AJ96" s="16">
        <f>SUM(AJ39,AJ40,AJ89)</f>
        <v>85.67562359</v>
      </c>
      <c r="AK96" s="16">
        <f>SUM(AK39,AK40,AK89)</f>
        <v>335.43695063</v>
      </c>
      <c r="AL96" s="16">
        <f>SUM(AH96:AK96)</f>
        <v>842.22514844</v>
      </c>
      <c r="AM96" s="16">
        <f>SUM(AM39,AM40,AM89)</f>
        <v>335.43695063</v>
      </c>
      <c r="AN96" s="16">
        <f>SUM(AN39,AN40,AN89)</f>
        <v>842.22514844</v>
      </c>
      <c r="AO96" s="16">
        <f>SUM(AO39,AO40,AO89)</f>
        <v>335.43695063</v>
      </c>
      <c r="AP96" s="16">
        <f>SUM(AP39,AP40,AP89)</f>
        <v>842.22514844</v>
      </c>
      <c r="AQ96" s="16">
        <f>SUM(AM96:AP96)</f>
        <v>2355.32419814</v>
      </c>
      <c r="AR96" s="16">
        <f>SUM(AR39,AR40,AR89)</f>
        <v>842.22514844</v>
      </c>
      <c r="AS96" s="16">
        <f>SUM(AS39,AS40,AS89)</f>
        <v>2355.32419814</v>
      </c>
      <c r="AT96" s="16">
        <f>SUM(AT39,AT40,AT89)</f>
        <v>842.22514844</v>
      </c>
      <c r="AU96" s="16">
        <f>SUM(AU39,AU40,AU89)</f>
        <v>2355.32419814</v>
      </c>
      <c r="AV96" s="16">
        <f>SUM(AR96:AU96)</f>
        <v>6395.09869316</v>
      </c>
      <c r="AW96" s="16">
        <f>SUM(AW39,AW40,AW89)</f>
        <v>2355.32419814</v>
      </c>
      <c r="AX96" s="16">
        <f>SUM(AX39,AX40,AX89)</f>
        <v>6395.09869316</v>
      </c>
      <c r="AY96" s="16">
        <f>SUM(AY39,AY40,AY89)</f>
        <v>2355.32419814</v>
      </c>
      <c r="AZ96" s="16">
        <f>SUM(AZ39,AZ40,AZ89)</f>
        <v>6395.09869316</v>
      </c>
      <c r="BA96" s="16">
        <f>SUM(AW96:AZ96)</f>
        <v>17500.8457826</v>
      </c>
      <c r="BB96" s="16">
        <f>SUM(BB39,BB40,BB89)</f>
        <v>6395.09869316</v>
      </c>
      <c r="BC96" s="16">
        <f>SUM(BC39,BC40,BC89)</f>
        <v>17500.8457826</v>
      </c>
      <c r="BD96" s="16">
        <f>SUM(BD39,BD40,BD89)</f>
        <v>6395.09869316</v>
      </c>
      <c r="BE96" s="16">
        <f>SUM(BE39,BE40,BE89)</f>
        <v>17500.8457826</v>
      </c>
      <c r="BF96" s="16">
        <f>SUM(BB96:BE96)</f>
        <v>47791.88895152</v>
      </c>
      <c r="BG96" s="16">
        <f>SUM(BG39,BG40,BG89)</f>
        <v>17500.8457826</v>
      </c>
      <c r="BH96" s="16">
        <f>SUM(BH39,BH40,BH89)</f>
        <v>47791.88895152</v>
      </c>
      <c r="BI96" s="16">
        <f>SUM(BI39,BI40,BI89)</f>
        <v>17500.8457826</v>
      </c>
      <c r="BJ96" s="16">
        <f>SUM(BJ39,BJ40,BJ89)</f>
        <v>47791.88895152</v>
      </c>
      <c r="BK96" s="16">
        <f>SUM(BG96:BJ96)</f>
        <v>130585.46946824</v>
      </c>
      <c r="BL96" s="16">
        <f>SUM(BL39,BL40,BL89)</f>
        <v>47791.88895152</v>
      </c>
      <c r="BM96" s="16">
        <f>SUM(BM39,BM40,BM89)</f>
        <v>130585.46946824</v>
      </c>
      <c r="BN96" s="16">
        <f>SUM(BN39,BN40,BN89)</f>
        <v>47791.88895152</v>
      </c>
      <c r="BO96" s="16">
        <f>SUM(BO39,BO40,BO89)</f>
        <v>130585.46946824</v>
      </c>
      <c r="BP96" s="16">
        <f>SUM(BL96:BO96)</f>
        <v>356754.71683952</v>
      </c>
      <c r="BQ96" s="16">
        <f>SUM(BQ39,BQ40,BQ89)</f>
        <v>130585.46946824</v>
      </c>
      <c r="BR96" s="16">
        <f>SUM(BR39,BR40,BR89)</f>
        <v>356754.71683952</v>
      </c>
      <c r="BS96" s="16">
        <f>SUM(BS39,BS40,BS89)</f>
        <v>130585.46946824</v>
      </c>
      <c r="BT96" s="16">
        <f>SUM(BT39,BT40,BT89)</f>
        <v>356754.71683952</v>
      </c>
      <c r="BU96" s="16">
        <f>SUM(BQ96:BT96)</f>
        <v>974680.37261552</v>
      </c>
      <c r="BV96" s="16">
        <f>SUM(BV39,BV40,BV89)</f>
        <v>356754.71683952</v>
      </c>
      <c r="BW96" s="16">
        <f>SUM(BW39,BW40,BW89)</f>
        <v>974680.37261552</v>
      </c>
      <c r="BX96" s="16">
        <f>SUM(BX39,BX40,BX89)</f>
        <v>356754.71683952</v>
      </c>
      <c r="BY96" s="16">
        <f>SUM(BY39,BY40,BY89)</f>
        <v>974680.37261552</v>
      </c>
      <c r="BZ96" s="16">
        <f>SUM(BV96:BY96)</f>
        <v>2662870.17891008</v>
      </c>
      <c r="CA96" s="16">
        <f>SUM(CA39,CA40,CA89)</f>
        <v>974680.37261552</v>
      </c>
      <c r="CB96" s="16">
        <f>SUM(CB39,CB40,CB89)</f>
        <v>2662870.17891008</v>
      </c>
      <c r="CC96" s="16">
        <f>SUM(CC39,CC40,CC89)</f>
        <v>974680.37261552</v>
      </c>
      <c r="CD96" s="16">
        <f>SUM(CD39,CD40,CD89)</f>
        <v>2662870.17891008</v>
      </c>
      <c r="CE96" s="16">
        <f>SUM(CA96:CD96)</f>
        <v>7275101.1030512</v>
      </c>
      <c r="CF96" s="16">
        <f>SUM(CF39,CF40,CF89)</f>
        <v>2662870.17891008</v>
      </c>
      <c r="CG96" s="16">
        <f>SUM(CG39,CG40,CG89)</f>
        <v>7275101.1030512</v>
      </c>
      <c r="CH96" s="16">
        <f>SUM(CH39,CH40,CH89)</f>
        <v>2662870.17891008</v>
      </c>
      <c r="CI96" s="16">
        <f>SUM(CI39,CI40,CI89)</f>
        <v>7275101.1030512</v>
      </c>
      <c r="CJ96" s="16">
        <f>SUM(CF96:CI96)</f>
        <v>19875942.5639226</v>
      </c>
      <c r="CK96" s="16">
        <f>SUM(CK39,CK40,CK89)</f>
        <v>7275101.1030512</v>
      </c>
      <c r="CL96" s="16">
        <f>SUM(CL39,CL40,CL89)</f>
        <v>19875942.5639226</v>
      </c>
      <c r="CM96" s="16">
        <f>SUM(CM39,CM40,CM89)</f>
        <v>7275101.1030512</v>
      </c>
      <c r="CN96" s="16">
        <f>SUM(CN39,CN40,CN89)</f>
        <v>19875942.5639226</v>
      </c>
      <c r="CO96" s="16">
        <f>SUM(CK96:CN96)</f>
        <v>54302087.3339475</v>
      </c>
      <c r="CP96" s="16">
        <f>SUM(CP39,CP40,CP89)</f>
        <v>19875942.5639226</v>
      </c>
      <c r="CQ96" s="16">
        <f>SUM(CQ39,CQ40,CQ89)</f>
        <v>54302087.3339475</v>
      </c>
      <c r="CR96" s="16">
        <f>SUM(CR39,CR40,CR89)</f>
        <v>19875942.5639226</v>
      </c>
      <c r="CS96" s="16">
        <f>SUM(CS39,CS40,CS89)</f>
        <v>54302087.3339475</v>
      </c>
      <c r="CT96" s="16">
        <f>SUM(CP96:CS96)</f>
        <v>148356059.79574</v>
      </c>
      <c r="CU96" s="16">
        <f>SUM(CU39,CU40,CU89)</f>
        <v>54302087.3339475</v>
      </c>
      <c r="CV96" s="16">
        <f>SUM(CV39,CV40,CV89)</f>
        <v>148356059.79574</v>
      </c>
      <c r="CW96" s="16">
        <f>SUM(CW39,CW40,CW89)</f>
        <v>54302087.3339475</v>
      </c>
      <c r="CX96" s="16">
        <f>SUM(CX39,CX40,CX89)</f>
        <v>148356059.79574</v>
      </c>
      <c r="CY96" s="16">
        <f>SUM(CU96:CX96)</f>
        <v>405316294.259375</v>
      </c>
    </row>
    <row r="97">
      <c r="C97" s="26" t="inlineStr">
        <is>
          <t>Taxes</t>
        </is>
      </c>
      <c r="D97" s="25">
        <f>INDEX('Inputs (2)'!$D$10:$AL$10,MATCH(D$7,'Inputs (2)'!$D$2:$AL$2,0))</f>
        <v>-21.17096331</v>
      </c>
      <c r="E97" s="25">
        <f>INDEX('Inputs (2)'!$D$10:$AL$10,MATCH(E$7,'Inputs (2)'!$D$2:$AL$2,0))</f>
        <v>29.41262276</v>
      </c>
      <c r="F97" s="25">
        <f>INDEX('Inputs (2)'!$D$10:$AL$10,MATCH(F$7,'Inputs (2)'!$D$2:$AL$2,0))</f>
        <v>-70.97032536</v>
      </c>
      <c r="G97" s="25">
        <f>INDEX('Inputs (2)'!$D$10:$AL$10,MATCH(G$7,'Inputs (2)'!$D$2:$AL$2,0))</f>
        <v>-21.0436467</v>
      </c>
      <c r="H97" s="3">
        <f>SUM(D97:G97)</f>
        <v>-83.77231261</v>
      </c>
      <c r="I97" s="25">
        <f>INDEX('Inputs (2)'!$D$10:$AL$10,MATCH(I$7,'Inputs (2)'!$D$2:$AL$2,0))</f>
        <v>-49.15601659</v>
      </c>
      <c r="J97" s="25">
        <f>INDEX('Inputs (2)'!$D$10:$AL$10,MATCH(J$7,'Inputs (2)'!$D$2:$AL$2,0))</f>
        <v>-27.14299102</v>
      </c>
      <c r="K97" s="25">
        <f>INDEX('Inputs (2)'!$D$10:$AL$10,MATCH(K$7,'Inputs (2)'!$D$2:$AL$2,0))</f>
        <v>-39.94616017</v>
      </c>
      <c r="L97" s="25">
        <f>INDEX('Inputs (2)'!$D$10:$AL$10,MATCH(L$7,'Inputs (2)'!$D$2:$AL$2,0))</f>
        <v>-28.37167513</v>
      </c>
      <c r="M97" s="3">
        <f>SUM(I97:L97)</f>
        <v>-144.61684291</v>
      </c>
      <c r="N97" s="25">
        <f>INDEX('Inputs (2)'!$D$10:$AL$10,MATCH(N$7,'Inputs (2)'!$D$2:$AL$2,0))</f>
        <v>-42.67500254</v>
      </c>
      <c r="O97" s="25">
        <f>INDEX('Inputs (2)'!$D$10:$AL$10,MATCH(O$7,'Inputs (2)'!$D$2:$AL$2,0))</f>
        <v>-27.30873652</v>
      </c>
      <c r="P97" s="25">
        <f>INDEX('Inputs (2)'!$D$10:$AL$10,MATCH(P$7,'Inputs (2)'!$D$2:$AL$2,0))</f>
        <v>-26.85181194</v>
      </c>
      <c r="Q97" s="25">
        <f>INDEX('Inputs (2)'!$D$10:$AL$10,MATCH(Q$7,'Inputs (2)'!$D$2:$AL$2,0))</f>
        <v>0.17334404</v>
      </c>
      <c r="R97" s="3">
        <f>SUM(N97:Q97)</f>
        <v>-96.66220696</v>
      </c>
      <c r="S97" s="25">
        <f>INDEX('Inputs (2)'!$D$10:$AL$10,MATCH(S$7,'Inputs (2)'!$D$2:$AL$2,0))</f>
        <v>-31.1542375</v>
      </c>
      <c r="T97" s="25">
        <f>INDEX('Inputs (2)'!$D$10:$AL$10,MATCH(T$7,'Inputs (2)'!$D$2:$AL$2,0))</f>
        <v>-24.2056574939299</v>
      </c>
      <c r="U97" s="25">
        <f>INDEX('Inputs (2)'!$D$10:$AL$10,MATCH(U$7,'Inputs (2)'!$D$2:$AL$2,0))</f>
        <v>-43.257</v>
      </c>
      <c r="V97" s="25">
        <f>INDEX('Inputs (2)'!$D$10:$AL$10,MATCH(V$7,'Inputs (2)'!$D$2:$AL$2,0))</f>
        <v>-11.8881050060701</v>
      </c>
      <c r="W97" s="3">
        <f>SUM(S97:V97)</f>
        <v>-110.505</v>
      </c>
      <c r="X97" s="25">
        <f>INDEX('Inputs (2)'!$D$10:$AL$10,MATCH(X$7,'Inputs (2)'!$D$2:$AL$2,0))</f>
        <v>-48.642</v>
      </c>
      <c r="Y97" s="25">
        <f>INDEX('Inputs (2)'!$D$10:$AL$10,MATCH(Y$7,'Inputs (2)'!$D$2:$AL$2,0))</f>
        <v>-55.949</v>
      </c>
      <c r="Z97" s="25">
        <f>INDEX('Inputs (2)'!$D$10:$AL$10,MATCH(Z$7,'Inputs (2)'!$D$2:$AL$2,0))</f>
        <v>-57.35</v>
      </c>
      <c r="AA97" s="25">
        <f>INDEX('Inputs (2)'!$D$10:$AL$10,MATCH(AA$7,'Inputs (2)'!$D$2:$AL$2,0))</f>
        <v>-20.816</v>
      </c>
      <c r="AB97" s="3">
        <f>SUM(X97:AA97)</f>
        <v>-182.757</v>
      </c>
      <c r="AC97" s="25">
        <f>INDEX('Inputs (2)'!$D$10:$AL$10,MATCH(AC$7,'Inputs (2)'!$D$2:$AL$2,0))</f>
        <v>-54.01302</v>
      </c>
      <c r="AD97" s="25">
        <f>INDEX('Inputs (2)'!$D$10:$AL$10,MATCH(AD$7,'Inputs (2)'!$D$2:$AL$2,0))</f>
        <v>-44.404</v>
      </c>
      <c r="AE97" s="25">
        <f>INDEX('Inputs (2)'!$D$10:$AL$10,MATCH(AE$7,'Inputs (2)'!$D$2:$AL$2,0))</f>
        <v>-53.90447839</v>
      </c>
      <c r="AF97" s="25">
        <f>INDEX('Inputs (2)'!$D$10:$AL$10,MATCH(AF$7,'Inputs (2)'!$D$2:$AL$2,0))</f>
        <v>-4.21478333</v>
      </c>
      <c r="AG97" s="3">
        <f>SUM(AC97:AF97)</f>
        <v>-156.53628172</v>
      </c>
      <c r="AH97" s="3">
        <f>AH98*-AH96</f>
        <v>0</v>
      </c>
      <c r="AI97" s="3">
        <f>AI98*-AI96</f>
        <v>0</v>
      </c>
      <c r="AJ97" s="3">
        <f>AJ98*-AJ96</f>
        <v>0</v>
      </c>
      <c r="AK97" s="3">
        <f>AK98*-AK96</f>
        <v>0</v>
      </c>
      <c r="AL97" s="3">
        <f>SUM(AH97:AK97)</f>
        <v>0</v>
      </c>
      <c r="AM97" s="3">
        <f>AM98*-AM96</f>
        <v>0</v>
      </c>
      <c r="AN97" s="3">
        <f>AN98*-AN96</f>
        <v>0</v>
      </c>
      <c r="AO97" s="3">
        <f>AO98*-AO96</f>
        <v>0</v>
      </c>
      <c r="AP97" s="3">
        <f>AP98*-AP96</f>
        <v>0</v>
      </c>
      <c r="AQ97" s="3">
        <f>SUM(AM97:AP97)</f>
        <v>0</v>
      </c>
      <c r="AR97" s="3">
        <f>AR98*-AR96</f>
        <v>0</v>
      </c>
      <c r="AS97" s="3">
        <f>AS98*-AS96</f>
        <v>0</v>
      </c>
      <c r="AT97" s="3">
        <f>AT98*-AT96</f>
        <v>0</v>
      </c>
      <c r="AU97" s="3">
        <f>AU98*-AU96</f>
        <v>0</v>
      </c>
      <c r="AV97" s="3">
        <f>SUM(AR97:AU97)</f>
        <v>0</v>
      </c>
      <c r="AW97" s="3">
        <f>AW98*-AW96</f>
        <v>0</v>
      </c>
      <c r="AX97" s="3">
        <f>AX98*-AX96</f>
        <v>0</v>
      </c>
      <c r="AY97" s="3">
        <f>AY98*-AY96</f>
        <v>0</v>
      </c>
      <c r="AZ97" s="3">
        <f>AZ98*-AZ96</f>
        <v>0</v>
      </c>
      <c r="BA97" s="3">
        <f>SUM(AW97:AZ97)</f>
        <v>0</v>
      </c>
      <c r="BB97" s="3">
        <f>BB98*-BB96</f>
        <v>0</v>
      </c>
      <c r="BC97" s="3">
        <f>BC98*-BC96</f>
        <v>0</v>
      </c>
      <c r="BD97" s="3">
        <f>BD98*-BD96</f>
        <v>0</v>
      </c>
      <c r="BE97" s="3">
        <f>BE98*-BE96</f>
        <v>0</v>
      </c>
      <c r="BF97" s="3">
        <f>SUM(BB97:BE97)</f>
        <v>0</v>
      </c>
      <c r="BG97" s="3">
        <f>BG98*-BG96</f>
        <v>0</v>
      </c>
      <c r="BH97" s="3">
        <f>BH98*-BH96</f>
        <v>0</v>
      </c>
      <c r="BI97" s="3">
        <f>BI98*-BI96</f>
        <v>0</v>
      </c>
      <c r="BJ97" s="3">
        <f>BJ98*-BJ96</f>
        <v>0</v>
      </c>
      <c r="BK97" s="3">
        <f>SUM(BG97:BJ97)</f>
        <v>0</v>
      </c>
      <c r="BL97" s="3">
        <f>BL98*-BL96</f>
        <v>0</v>
      </c>
      <c r="BM97" s="3">
        <f>BM98*-BM96</f>
        <v>0</v>
      </c>
      <c r="BN97" s="3">
        <f>BN98*-BN96</f>
        <v>0</v>
      </c>
      <c r="BO97" s="3">
        <f>BO98*-BO96</f>
        <v>0</v>
      </c>
      <c r="BP97" s="3">
        <f>SUM(BL97:BO97)</f>
        <v>0</v>
      </c>
      <c r="BQ97" s="3">
        <f>BQ98*-BQ96</f>
        <v>0</v>
      </c>
      <c r="BR97" s="3">
        <f>BR98*-BR96</f>
        <v>0</v>
      </c>
      <c r="BS97" s="3">
        <f>BS98*-BS96</f>
        <v>0</v>
      </c>
      <c r="BT97" s="3">
        <f>BT98*-BT96</f>
        <v>0</v>
      </c>
      <c r="BU97" s="3">
        <f>SUM(BQ97:BT97)</f>
        <v>0</v>
      </c>
      <c r="BV97" s="3">
        <f>BV98*-BV96</f>
        <v>0</v>
      </c>
      <c r="BW97" s="3">
        <f>BW98*-BW96</f>
        <v>0</v>
      </c>
      <c r="BX97" s="3">
        <f>BX98*-BX96</f>
        <v>0</v>
      </c>
      <c r="BY97" s="3">
        <f>BY98*-BY96</f>
        <v>0</v>
      </c>
      <c r="BZ97" s="3">
        <f>SUM(BV97:BY97)</f>
        <v>0</v>
      </c>
      <c r="CA97" s="3">
        <f>CA98*-CA96</f>
        <v>0</v>
      </c>
      <c r="CB97" s="3">
        <f>CB98*-CB96</f>
        <v>0</v>
      </c>
      <c r="CC97" s="3">
        <f>CC98*-CC96</f>
        <v>0</v>
      </c>
      <c r="CD97" s="3">
        <f>CD98*-CD96</f>
        <v>0</v>
      </c>
      <c r="CE97" s="3">
        <f>SUM(CA97:CD97)</f>
        <v>0</v>
      </c>
      <c r="CF97" s="3">
        <f>CF98*-CF96</f>
        <v>0</v>
      </c>
      <c r="CG97" s="3">
        <f>CG98*-CG96</f>
        <v>0</v>
      </c>
      <c r="CH97" s="3">
        <f>CH98*-CH96</f>
        <v>0</v>
      </c>
      <c r="CI97" s="3">
        <f>CI98*-CI96</f>
        <v>0</v>
      </c>
      <c r="CJ97" s="3">
        <f>SUM(CF97:CI97)</f>
        <v>0</v>
      </c>
      <c r="CK97" s="3">
        <f>CK98*-CK96</f>
        <v>0</v>
      </c>
      <c r="CL97" s="3">
        <f>CL98*-CL96</f>
        <v>0</v>
      </c>
      <c r="CM97" s="3">
        <f>CM98*-CM96</f>
        <v>0</v>
      </c>
      <c r="CN97" s="3">
        <f>CN98*-CN96</f>
        <v>0</v>
      </c>
      <c r="CO97" s="3">
        <f>SUM(CK97:CN97)</f>
        <v>0</v>
      </c>
      <c r="CP97" s="3">
        <f>CP98*-CP96</f>
        <v>0</v>
      </c>
      <c r="CQ97" s="3">
        <f>CQ98*-CQ96</f>
        <v>0</v>
      </c>
      <c r="CR97" s="3">
        <f>CR98*-CR96</f>
        <v>0</v>
      </c>
      <c r="CS97" s="3">
        <f>CS98*-CS96</f>
        <v>0</v>
      </c>
      <c r="CT97" s="3">
        <f>SUM(CP97:CS97)</f>
        <v>0</v>
      </c>
      <c r="CU97" s="3">
        <f>CU98*-CU96</f>
        <v>0</v>
      </c>
      <c r="CV97" s="3">
        <f>CV98*-CV96</f>
        <v>0</v>
      </c>
      <c r="CW97" s="3">
        <f>CW98*-CW96</f>
        <v>0</v>
      </c>
      <c r="CX97" s="3">
        <f>CX98*-CX96</f>
        <v>0</v>
      </c>
      <c r="CY97" s="3">
        <f>SUM(CU97:CX97)</f>
        <v>0</v>
      </c>
    </row>
    <row r="98" hidden="1" outlineLevel="1">
      <c r="C98" s="34" t="inlineStr">
        <is>
          <t>% ETR</t>
        </is>
      </c>
      <c r="D98" s="48">
        <f>-D97/D96</f>
        <v>0.265130251594464</v>
      </c>
      <c r="E98" s="48">
        <f>-E97/E96</f>
        <v>0.289236002266409</v>
      </c>
      <c r="F98" s="48">
        <f>-F97/F96</f>
        <v>0.350051487138513</v>
      </c>
      <c r="G98" s="48">
        <f>-G97/G96</f>
        <v>0.131394926249318</v>
      </c>
      <c r="H98" s="48">
        <f>-H97/H96</f>
        <v>0.245624340820267</v>
      </c>
      <c r="I98" s="48">
        <f>-I97/I96</f>
        <v>0.292654096945177</v>
      </c>
      <c r="J98" s="48">
        <f>-J97/J96</f>
        <v>0.292992933107752</v>
      </c>
      <c r="K98" s="48">
        <f>-K97/K96</f>
        <v>0.29395039478039</v>
      </c>
      <c r="L98" s="48">
        <f>-L97/L96</f>
        <v>0.286419590176505</v>
      </c>
      <c r="M98" s="48">
        <f>-M97/M96</f>
        <v>0.291826709031448</v>
      </c>
      <c r="N98" s="48">
        <f>-N97/N96</f>
        <v>0.278000357511338</v>
      </c>
      <c r="O98" s="48">
        <f>-O97/O96</f>
        <v>0.279177811237353</v>
      </c>
      <c r="P98" s="48">
        <f>-P97/P96</f>
        <v>0.21781011423722</v>
      </c>
      <c r="Q98" s="48">
        <f>-Q97/Q96</f>
        <v>-0.00574280384627166</v>
      </c>
      <c r="R98" s="48">
        <f>-R97/R96</f>
        <v>0.23879544188164</v>
      </c>
      <c r="S98" s="48">
        <f>-S97/S96</f>
        <v>0.24927832217476</v>
      </c>
      <c r="T98" s="48">
        <f>-T97/T96</f>
        <v>0.247016793058637</v>
      </c>
      <c r="U98" s="48">
        <f>-U97/U96</f>
        <v>0.20129137386843</v>
      </c>
      <c r="V98" s="48">
        <f>-V97/V96</f>
        <v>0.127415456127</v>
      </c>
      <c r="W98" s="48">
        <f>-W97/W96</f>
        <v>0.208041124967146</v>
      </c>
      <c r="X98" s="48">
        <f>-X97/X96</f>
        <v>0.223842476406582</v>
      </c>
      <c r="Y98" s="48">
        <f>-Y97/Y96</f>
        <v>0.244410564666207</v>
      </c>
      <c r="Z98" s="48">
        <f>-Z97/Z96</f>
        <v>0.234371034005852</v>
      </c>
      <c r="AA98" s="48">
        <f>-AA97/AA96</f>
        <v>0.208698598699898</v>
      </c>
      <c r="AB98" s="48">
        <f>-AB97/AB96</f>
        <v>0.231145451004101</v>
      </c>
      <c r="AC98" s="48">
        <f>-AC97/AC96</f>
        <v>0.23270021074886</v>
      </c>
      <c r="AD98" s="48">
        <f>-AD97/AD96</f>
        <v>0.231596515933865</v>
      </c>
      <c r="AE98" s="48">
        <f>-AE97/AE96</f>
        <v>0.224827673067312</v>
      </c>
      <c r="AF98" s="44">
        <f>-AF97/AF96</f>
        <v>0.0408557363477819</v>
      </c>
      <c r="AG98" s="48">
        <f>-AG97/AG96</f>
        <v>0.204151345045372</v>
      </c>
      <c r="AH98" s="44" t="n"/>
      <c r="AI98" s="44" t="n"/>
      <c r="AJ98" s="44" t="n"/>
      <c r="AK98" s="44" t="n"/>
      <c r="AL98" s="48">
        <f>-AL97/AL96</f>
        <v>0</v>
      </c>
      <c r="AM98" s="44" t="n"/>
      <c r="AN98" s="44" t="n"/>
      <c r="AO98" s="44" t="n"/>
      <c r="AP98" s="44" t="n"/>
      <c r="AQ98" s="48">
        <f>-AQ97/AQ96</f>
        <v>0</v>
      </c>
      <c r="AR98" s="44" t="n"/>
      <c r="AS98" s="44" t="n"/>
      <c r="AT98" s="44" t="n"/>
      <c r="AU98" s="44" t="n"/>
      <c r="AV98" s="48">
        <f>-AV97/AV96</f>
        <v>0</v>
      </c>
      <c r="AW98" s="44" t="n"/>
      <c r="AX98" s="44" t="n"/>
      <c r="AY98" s="44" t="n"/>
      <c r="AZ98" s="44" t="n"/>
      <c r="BA98" s="48">
        <f>-BA97/BA96</f>
        <v>0</v>
      </c>
      <c r="BB98" s="44" t="n"/>
      <c r="BC98" s="44" t="n"/>
      <c r="BD98" s="44" t="n"/>
      <c r="BE98" s="44" t="n"/>
      <c r="BF98" s="48">
        <f>-BF97/BF96</f>
        <v>0</v>
      </c>
      <c r="BG98" s="44" t="n"/>
      <c r="BH98" s="44" t="n"/>
      <c r="BI98" s="44" t="n"/>
      <c r="BJ98" s="44" t="n"/>
      <c r="BK98" s="48">
        <f>-BK97/BK96</f>
        <v>0</v>
      </c>
      <c r="BL98" s="44" t="n"/>
      <c r="BM98" s="44" t="n"/>
      <c r="BN98" s="44" t="n"/>
      <c r="BO98" s="44" t="n"/>
      <c r="BP98" s="48">
        <f>-BP97/BP96</f>
        <v>0</v>
      </c>
      <c r="BQ98" s="44" t="n"/>
      <c r="BR98" s="44" t="n"/>
      <c r="BS98" s="44" t="n"/>
      <c r="BT98" s="44" t="n"/>
      <c r="BU98" s="48">
        <f>-BU97/BU96</f>
        <v>0</v>
      </c>
      <c r="BV98" s="44" t="n"/>
      <c r="BW98" s="44" t="n"/>
      <c r="BX98" s="44" t="n"/>
      <c r="BY98" s="44" t="n"/>
      <c r="BZ98" s="48">
        <f>-BZ97/BZ96</f>
        <v>0</v>
      </c>
      <c r="CA98" s="44" t="n"/>
      <c r="CB98" s="44" t="n"/>
      <c r="CC98" s="44" t="n"/>
      <c r="CD98" s="44" t="n"/>
      <c r="CE98" s="48">
        <f>-CE97/CE96</f>
        <v>0</v>
      </c>
      <c r="CF98" s="44" t="n"/>
      <c r="CG98" s="44" t="n"/>
      <c r="CH98" s="44" t="n"/>
      <c r="CI98" s="44" t="n"/>
      <c r="CJ98" s="48">
        <f>-CJ97/CJ96</f>
        <v>0</v>
      </c>
      <c r="CK98" s="44" t="n"/>
      <c r="CL98" s="44" t="n"/>
      <c r="CM98" s="44" t="n"/>
      <c r="CN98" s="44" t="n"/>
      <c r="CO98" s="48">
        <f>-CO97/CO96</f>
        <v>0</v>
      </c>
      <c r="CP98" s="44" t="n"/>
      <c r="CQ98" s="44" t="n"/>
      <c r="CR98" s="44" t="n"/>
      <c r="CS98" s="44" t="n"/>
      <c r="CT98" s="48">
        <f>-CT97/CT96</f>
        <v>0</v>
      </c>
      <c r="CU98" s="44" t="n"/>
      <c r="CV98" s="44" t="n"/>
      <c r="CW98" s="44" t="n"/>
      <c r="CX98" s="44" t="n"/>
      <c r="CY98" s="48">
        <f>-CY97/CY96</f>
        <v>0</v>
      </c>
    </row>
    <row r="99" hidden="1" outlineLevel="1">
      <c r="C99" s="34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collapsed="1">
      <c r="C101" s="26" t="inlineStr">
        <is>
          <t>Equity in Income of Affiliates, after tax (enter as +)</t>
        </is>
      </c>
      <c r="D101" s="25">
        <f>INDEX('Inputs (2)'!$D$11:$AL$11,MATCH(D$7,'Inputs (2)'!$D$2:$AL$2,0))</f>
        <v>0.0388915699999984</v>
      </c>
      <c r="E101" s="25">
        <f>INDEX('Inputs (2)'!$D$11:$AL$11,MATCH(E$7,'Inputs (2)'!$D$2:$AL$2,0))</f>
        <v>-1.02743027</v>
      </c>
      <c r="F101" s="25">
        <f>INDEX('Inputs (2)'!$D$11:$AL$11,MATCH(F$7,'Inputs (2)'!$D$2:$AL$2,0))</f>
        <v>0.292335850000004</v>
      </c>
      <c r="G101" s="25">
        <f>INDEX('Inputs (2)'!$D$11:$AL$11,MATCH(G$7,'Inputs (2)'!$D$2:$AL$2,0))</f>
        <v>0.370562310000001</v>
      </c>
      <c r="H101" s="3">
        <f>SUM(D101:G101)</f>
        <v>-0.325640539999998</v>
      </c>
      <c r="I101" s="25">
        <f>INDEX('Inputs (2)'!$D$11:$AL$11,MATCH(I$7,'Inputs (2)'!$D$2:$AL$2,0))</f>
        <v>-0.198294749999998</v>
      </c>
      <c r="J101" s="25">
        <f>INDEX('Inputs (2)'!$D$11:$AL$11,MATCH(J$7,'Inputs (2)'!$D$2:$AL$2,0))</f>
        <v>-0.00223524199999671</v>
      </c>
      <c r="K101" s="25">
        <f>INDEX('Inputs (2)'!$D$11:$AL$11,MATCH(K$7,'Inputs (2)'!$D$2:$AL$2,0))</f>
        <v>0.44109465</v>
      </c>
      <c r="L101" s="25">
        <f>INDEX('Inputs (2)'!$D$11:$AL$11,MATCH(L$7,'Inputs (2)'!$D$2:$AL$2,0))</f>
        <v>0.309085383441993</v>
      </c>
      <c r="M101" s="3">
        <f>SUM(I101:L101)</f>
        <v>0.549650041441998</v>
      </c>
      <c r="N101" s="25">
        <f>INDEX('Inputs (2)'!$D$11:$AL$11,MATCH(N$7,'Inputs (2)'!$D$2:$AL$2,0))</f>
        <v>0.000197683550001122</v>
      </c>
      <c r="O101" s="25">
        <f>INDEX('Inputs (2)'!$D$11:$AL$11,MATCH(O$7,'Inputs (2)'!$D$2:$AL$2,0))</f>
        <v>0.414430566612997</v>
      </c>
      <c r="P101" s="25">
        <f>INDEX('Inputs (2)'!$D$11:$AL$11,MATCH(P$7,'Inputs (2)'!$D$2:$AL$2,0))</f>
        <v>0.24977188</v>
      </c>
      <c r="Q101" s="25">
        <f>INDEX('Inputs (2)'!$D$11:$AL$11,MATCH(Q$7,'Inputs (2)'!$D$2:$AL$2,0))</f>
        <v>-0.0614080706760011</v>
      </c>
      <c r="R101" s="3">
        <f>SUM(N101:Q101)</f>
        <v>0.602992059486997</v>
      </c>
      <c r="S101" s="25">
        <f>INDEX('Inputs (2)'!$D$11:$AL$11,MATCH(S$7,'Inputs (2)'!$D$2:$AL$2,0))</f>
        <v>0</v>
      </c>
      <c r="T101" s="25">
        <f>INDEX('Inputs (2)'!$D$11:$AL$11,MATCH(T$7,'Inputs (2)'!$D$2:$AL$2,0))</f>
        <v>0.255</v>
      </c>
      <c r="U101" s="25">
        <f>INDEX('Inputs (2)'!$D$11:$AL$11,MATCH(U$7,'Inputs (2)'!$D$2:$AL$2,0))</f>
        <v>0.176</v>
      </c>
      <c r="V101" s="25">
        <f>INDEX('Inputs (2)'!$D$11:$AL$11,MATCH(V$7,'Inputs (2)'!$D$2:$AL$2,0))</f>
        <v>-0.274</v>
      </c>
      <c r="W101" s="3">
        <f>SUM(S101:V101)</f>
        <v>0.157</v>
      </c>
      <c r="X101" s="25">
        <f>INDEX('Inputs (2)'!$D$11:$AL$11,MATCH(X$7,'Inputs (2)'!$D$2:$AL$2,0))</f>
        <v>-0.348</v>
      </c>
      <c r="Y101" s="25">
        <f>INDEX('Inputs (2)'!$D$11:$AL$11,MATCH(Y$7,'Inputs (2)'!$D$2:$AL$2,0))</f>
        <v>-0.802</v>
      </c>
      <c r="Z101" s="25">
        <f>INDEX('Inputs (2)'!$D$11:$AL$11,MATCH(Z$7,'Inputs (2)'!$D$2:$AL$2,0))</f>
        <v>-0.655</v>
      </c>
      <c r="AA101" s="25">
        <f>INDEX('Inputs (2)'!$D$11:$AL$11,MATCH(AA$7,'Inputs (2)'!$D$2:$AL$2,0))</f>
        <v>-2.442</v>
      </c>
      <c r="AB101" s="3">
        <f>SUM(X101:AA101)</f>
        <v>-4.247</v>
      </c>
      <c r="AC101" s="25">
        <f>INDEX('Inputs (2)'!$D$11:$AL$11,MATCH(AC$7,'Inputs (2)'!$D$2:$AL$2,0))</f>
        <v>-2.271</v>
      </c>
      <c r="AD101" s="25">
        <f>INDEX('Inputs (2)'!$D$11:$AL$11,MATCH(AD$7,'Inputs (2)'!$D$2:$AL$2,0))</f>
        <v>-2.776</v>
      </c>
      <c r="AE101" s="25">
        <f>INDEX('Inputs (2)'!$D$11:$AL$11,MATCH(AE$7,'Inputs (2)'!$D$2:$AL$2,0))</f>
        <v>-3.60633808341797</v>
      </c>
      <c r="AF101" s="25">
        <f>INDEX('Inputs (2)'!$D$11:$AL$11,MATCH(AF$7,'Inputs (2)'!$D$2:$AL$2,0))</f>
        <v>-4.9056465948825</v>
      </c>
      <c r="AG101" s="3">
        <f>SUM(AC101:AF101)</f>
        <v>-13.5589846783005</v>
      </c>
      <c r="AH101" s="3">
        <f>AC101*(1+AH129)</f>
        <v>-2.271</v>
      </c>
      <c r="AI101" s="3">
        <f>AD101*(1+AI129)</f>
        <v>-2.776</v>
      </c>
      <c r="AJ101" s="3">
        <f>AE101*(1+AJ129)</f>
        <v>-3.60633808341797</v>
      </c>
      <c r="AK101" s="3">
        <f>AF101*(1+AK129)</f>
        <v>-4.9056465948825</v>
      </c>
      <c r="AL101" s="3">
        <f>SUM(AH101:AK101)</f>
        <v>-13.5589846783005</v>
      </c>
      <c r="AM101" s="3">
        <f>AH101*(1+AM129)</f>
        <v>-2.271</v>
      </c>
      <c r="AN101" s="3">
        <f>AI101*(1+AN129)</f>
        <v>-2.776</v>
      </c>
      <c r="AO101" s="3">
        <f>AJ101*(1+AO129)</f>
        <v>-3.60633808341797</v>
      </c>
      <c r="AP101" s="3">
        <f>AK101*(1+AP129)</f>
        <v>-4.9056465948825</v>
      </c>
      <c r="AQ101" s="3">
        <f>SUM(AM101:AP101)</f>
        <v>-13.5589846783005</v>
      </c>
      <c r="AR101" s="3">
        <f>AM101*(1+AR129)</f>
        <v>-2.271</v>
      </c>
      <c r="AS101" s="3">
        <f>AN101*(1+AS129)</f>
        <v>-2.776</v>
      </c>
      <c r="AT101" s="3">
        <f>AO101*(1+AT129)</f>
        <v>-3.60633808341797</v>
      </c>
      <c r="AU101" s="3">
        <f>AP101*(1+AU129)</f>
        <v>-4.9056465948825</v>
      </c>
      <c r="AV101" s="3">
        <f>SUM(AR101:AU101)</f>
        <v>-13.5589846783005</v>
      </c>
      <c r="AW101" s="3">
        <f>AR101*(1+AW129)</f>
        <v>-2.271</v>
      </c>
      <c r="AX101" s="3">
        <f>AS101*(1+AX129)</f>
        <v>-2.776</v>
      </c>
      <c r="AY101" s="3">
        <f>AT101*(1+AY129)</f>
        <v>-3.60633808341797</v>
      </c>
      <c r="AZ101" s="3">
        <f>AU101*(1+AZ129)</f>
        <v>-4.9056465948825</v>
      </c>
      <c r="BA101" s="3">
        <f>SUM(AW101:AZ101)</f>
        <v>-13.5589846783005</v>
      </c>
      <c r="BB101" s="3">
        <f>AW101*(1+BB129)</f>
        <v>-2.271</v>
      </c>
      <c r="BC101" s="3">
        <f>AX101*(1+BC129)</f>
        <v>-2.776</v>
      </c>
      <c r="BD101" s="3">
        <f>AY101*(1+BD129)</f>
        <v>-3.60633808341797</v>
      </c>
      <c r="BE101" s="3">
        <f>AZ101*(1+BE129)</f>
        <v>-4.9056465948825</v>
      </c>
      <c r="BF101" s="3">
        <f>SUM(BB101:BE101)</f>
        <v>-13.5589846783005</v>
      </c>
      <c r="BG101" s="3">
        <f>BB101*(1+BG129)</f>
        <v>-2.271</v>
      </c>
      <c r="BH101" s="3">
        <f>BC101*(1+BH129)</f>
        <v>-2.776</v>
      </c>
      <c r="BI101" s="3">
        <f>BD101*(1+BI129)</f>
        <v>-3.60633808341797</v>
      </c>
      <c r="BJ101" s="3">
        <f>BE101*(1+BJ129)</f>
        <v>-4.9056465948825</v>
      </c>
      <c r="BK101" s="3">
        <f>SUM(BG101:BJ101)</f>
        <v>-13.5589846783005</v>
      </c>
      <c r="BL101" s="3">
        <f>BG101*(1+BL129)</f>
        <v>-2.271</v>
      </c>
      <c r="BM101" s="3">
        <f>BH101*(1+BM129)</f>
        <v>-2.776</v>
      </c>
      <c r="BN101" s="3">
        <f>BI101*(1+BN129)</f>
        <v>-3.60633808341797</v>
      </c>
      <c r="BO101" s="3">
        <f>BJ101*(1+BO129)</f>
        <v>-4.9056465948825</v>
      </c>
      <c r="BP101" s="3">
        <f>SUM(BL101:BO101)</f>
        <v>-13.5589846783005</v>
      </c>
      <c r="BQ101" s="3">
        <f>BL101*(1+BQ129)</f>
        <v>-2.271</v>
      </c>
      <c r="BR101" s="3">
        <f>BM101*(1+BR129)</f>
        <v>-2.776</v>
      </c>
      <c r="BS101" s="3">
        <f>BN101*(1+BS129)</f>
        <v>-3.60633808341797</v>
      </c>
      <c r="BT101" s="3">
        <f>BO101*(1+BT129)</f>
        <v>-4.9056465948825</v>
      </c>
      <c r="BU101" s="3">
        <f>SUM(BQ101:BT101)</f>
        <v>-13.5589846783005</v>
      </c>
      <c r="BV101" s="3">
        <f>BQ101*(1+BV129)</f>
        <v>-2.271</v>
      </c>
      <c r="BW101" s="3">
        <f>BR101*(1+BW129)</f>
        <v>-2.776</v>
      </c>
      <c r="BX101" s="3">
        <f>BS101*(1+BX129)</f>
        <v>-3.60633808341797</v>
      </c>
      <c r="BY101" s="3">
        <f>BT101*(1+BY129)</f>
        <v>-4.9056465948825</v>
      </c>
      <c r="BZ101" s="3">
        <f>SUM(BV101:BY101)</f>
        <v>-13.5589846783005</v>
      </c>
      <c r="CA101" s="3">
        <f>BV101*(1+CA129)</f>
        <v>-2.271</v>
      </c>
      <c r="CB101" s="3">
        <f>BW101*(1+CB129)</f>
        <v>-2.776</v>
      </c>
      <c r="CC101" s="3">
        <f>BX101*(1+CC129)</f>
        <v>-3.60633808341797</v>
      </c>
      <c r="CD101" s="3">
        <f>BY101*(1+CD129)</f>
        <v>-4.9056465948825</v>
      </c>
      <c r="CE101" s="3">
        <f>SUM(CA101:CD101)</f>
        <v>-13.5589846783005</v>
      </c>
      <c r="CF101" s="3">
        <f>CA101*(1+CF129)</f>
        <v>-2.271</v>
      </c>
      <c r="CG101" s="3">
        <f>CB101*(1+CG129)</f>
        <v>-2.776</v>
      </c>
      <c r="CH101" s="3">
        <f>CC101*(1+CH129)</f>
        <v>-3.60633808341797</v>
      </c>
      <c r="CI101" s="3">
        <f>CD101*(1+CI129)</f>
        <v>-4.9056465948825</v>
      </c>
      <c r="CJ101" s="3">
        <f>SUM(CF101:CI101)</f>
        <v>-13.5589846783005</v>
      </c>
      <c r="CK101" s="3">
        <f>CF101*(1+CK129)</f>
        <v>-2.271</v>
      </c>
      <c r="CL101" s="3">
        <f>CG101*(1+CL129)</f>
        <v>-2.776</v>
      </c>
      <c r="CM101" s="3">
        <f>CH101*(1+CM129)</f>
        <v>-3.60633808341797</v>
      </c>
      <c r="CN101" s="3">
        <f>CI101*(1+CN129)</f>
        <v>-4.9056465948825</v>
      </c>
      <c r="CO101" s="3">
        <f>SUM(CK101:CN101)</f>
        <v>-13.5589846783005</v>
      </c>
      <c r="CP101" s="3">
        <f>CK101*(1+CP129)</f>
        <v>-2.271</v>
      </c>
      <c r="CQ101" s="3">
        <f>CL101*(1+CQ129)</f>
        <v>-2.776</v>
      </c>
      <c r="CR101" s="3">
        <f>CM101*(1+CR129)</f>
        <v>-3.60633808341797</v>
      </c>
      <c r="CS101" s="3">
        <f>CN101*(1+CS129)</f>
        <v>-4.9056465948825</v>
      </c>
      <c r="CT101" s="3">
        <f>SUM(CP101:CS101)</f>
        <v>-13.5589846783005</v>
      </c>
      <c r="CU101" s="3">
        <f>CP101*(1+CU129)</f>
        <v>-2.271</v>
      </c>
      <c r="CV101" s="3">
        <f>CQ101*(1+CV129)</f>
        <v>-2.776</v>
      </c>
      <c r="CW101" s="3">
        <f>CR101*(1+CW129)</f>
        <v>-3.60633808341797</v>
      </c>
      <c r="CX101" s="3">
        <f>CS101*(1+CX129)</f>
        <v>-4.9056465948825</v>
      </c>
      <c r="CY101" s="3">
        <f>SUM(CU101:CX101)</f>
        <v>-13.5589846783005</v>
      </c>
    </row>
    <row r="102">
      <c r="C102" s="26" t="inlineStr">
        <is>
          <t>Minority Interest Expense, after tax (enter as - )</t>
        </is>
      </c>
      <c r="D102" s="25">
        <f>INDEX('Inputs (2)'!$D$12:$AL$12,MATCH(D$7,'Inputs (2)'!$D$2:$AL$2,0))</f>
        <v>0</v>
      </c>
      <c r="E102" s="25">
        <f>INDEX('Inputs (2)'!$D$12:$AL$12,MATCH(E$7,'Inputs (2)'!$D$2:$AL$2,0))</f>
        <v>0</v>
      </c>
      <c r="F102" s="25">
        <f>INDEX('Inputs (2)'!$D$12:$AL$12,MATCH(F$7,'Inputs (2)'!$D$2:$AL$2,0))</f>
        <v>0</v>
      </c>
      <c r="G102" s="25">
        <f>INDEX('Inputs (2)'!$D$12:$AL$12,MATCH(G$7,'Inputs (2)'!$D$2:$AL$2,0))</f>
        <v>0</v>
      </c>
      <c r="H102" s="3">
        <f>SUM(D102:G102)</f>
        <v>0</v>
      </c>
      <c r="I102" s="25">
        <f>INDEX('Inputs (2)'!$D$12:$AL$12,MATCH(I$7,'Inputs (2)'!$D$2:$AL$2,0))</f>
        <v>0</v>
      </c>
      <c r="J102" s="25">
        <f>INDEX('Inputs (2)'!$D$12:$AL$12,MATCH(J$7,'Inputs (2)'!$D$2:$AL$2,0))</f>
        <v>0.039423182</v>
      </c>
      <c r="K102" s="25">
        <f>INDEX('Inputs (2)'!$D$12:$AL$12,MATCH(K$7,'Inputs (2)'!$D$2:$AL$2,0))</f>
        <v>-1.426590592597</v>
      </c>
      <c r="L102" s="25">
        <f>INDEX('Inputs (2)'!$D$12:$AL$12,MATCH(L$7,'Inputs (2)'!$D$2:$AL$2,0))</f>
        <v>-0.177942983442</v>
      </c>
      <c r="M102" s="3">
        <f>SUM(I102:L102)</f>
        <v>-1.565110394039</v>
      </c>
      <c r="N102" s="25">
        <f>INDEX('Inputs (2)'!$D$12:$AL$12,MATCH(N$7,'Inputs (2)'!$D$2:$AL$2,0))</f>
        <v>-0.39147077355</v>
      </c>
      <c r="O102" s="25">
        <f>INDEX('Inputs (2)'!$D$12:$AL$12,MATCH(O$7,'Inputs (2)'!$D$2:$AL$2,0))</f>
        <v>-0.414890426612999</v>
      </c>
      <c r="P102" s="25">
        <f>INDEX('Inputs (2)'!$D$12:$AL$12,MATCH(P$7,'Inputs (2)'!$D$2:$AL$2,0))</f>
        <v>-0.67304117</v>
      </c>
      <c r="Q102" s="25">
        <f>INDEX('Inputs (2)'!$D$12:$AL$12,MATCH(Q$7,'Inputs (2)'!$D$2:$AL$2,0))</f>
        <v>0.656184120676</v>
      </c>
      <c r="R102" s="3">
        <f>SUM(N102:Q102)</f>
        <v>-0.823218249487</v>
      </c>
      <c r="S102" s="25">
        <f>INDEX('Inputs (2)'!$D$12:$AL$12,MATCH(S$7,'Inputs (2)'!$D$2:$AL$2,0))</f>
        <v>0.02834465</v>
      </c>
      <c r="T102" s="25">
        <f>INDEX('Inputs (2)'!$D$12:$AL$12,MATCH(T$7,'Inputs (2)'!$D$2:$AL$2,0))</f>
        <v>0.385635388738</v>
      </c>
      <c r="U102" s="25">
        <f>INDEX('Inputs (2)'!$D$12:$AL$12,MATCH(U$7,'Inputs (2)'!$D$2:$AL$2,0))</f>
        <v>2.382</v>
      </c>
      <c r="V102" s="25">
        <f>INDEX('Inputs (2)'!$D$12:$AL$12,MATCH(V$7,'Inputs (2)'!$D$2:$AL$2,0))</f>
        <v>0.139</v>
      </c>
      <c r="W102" s="3">
        <f>SUM(S102:V102)</f>
        <v>2.934980038738</v>
      </c>
      <c r="X102" s="25">
        <f>INDEX('Inputs (2)'!$D$12:$AL$12,MATCH(X$7,'Inputs (2)'!$D$2:$AL$2,0))</f>
        <v>-0.355</v>
      </c>
      <c r="Y102" s="25">
        <f>INDEX('Inputs (2)'!$D$12:$AL$12,MATCH(Y$7,'Inputs (2)'!$D$2:$AL$2,0))</f>
        <v>1.423</v>
      </c>
      <c r="Z102" s="25">
        <f>INDEX('Inputs (2)'!$D$12:$AL$12,MATCH(Z$7,'Inputs (2)'!$D$2:$AL$2,0))</f>
        <v>4.013</v>
      </c>
      <c r="AA102" s="25">
        <f>INDEX('Inputs (2)'!$D$12:$AL$12,MATCH(AA$7,'Inputs (2)'!$D$2:$AL$2,0))</f>
        <v>7.437</v>
      </c>
      <c r="AB102" s="3">
        <f>SUM(X102:AA102)</f>
        <v>12.518</v>
      </c>
      <c r="AC102" s="25">
        <f>INDEX('Inputs (2)'!$D$12:$AL$12,MATCH(AC$7,'Inputs (2)'!$D$2:$AL$2,0))</f>
        <v>3.456124</v>
      </c>
      <c r="AD102" s="25">
        <f>INDEX('Inputs (2)'!$D$12:$AL$12,MATCH(AD$7,'Inputs (2)'!$D$2:$AL$2,0))</f>
        <v>7.749179</v>
      </c>
      <c r="AE102" s="25">
        <f>INDEX('Inputs (2)'!$D$12:$AL$12,MATCH(AE$7,'Inputs (2)'!$D$2:$AL$2,0))</f>
        <v>2.668448799683</v>
      </c>
      <c r="AF102" s="25">
        <f>INDEX('Inputs (2)'!$D$12:$AL$12,MATCH(AF$7,'Inputs (2)'!$D$2:$AL$2,0))</f>
        <v>2.28625577847376</v>
      </c>
      <c r="AG102" s="3">
        <f>SUM(AC102:AF102)</f>
        <v>16.1600075781568</v>
      </c>
      <c r="AH102" s="3">
        <f>AC102*(1+AH216)</f>
        <v>3.456124</v>
      </c>
      <c r="AI102" s="3">
        <f>AD102*(1+AI216)</f>
        <v>7.749179</v>
      </c>
      <c r="AJ102" s="3">
        <f>AE102*(1+AJ216)</f>
        <v>2.668448799683</v>
      </c>
      <c r="AK102" s="3">
        <f>AF102*(1+AK216)</f>
        <v>2.28625577847376</v>
      </c>
      <c r="AL102" s="3">
        <f>SUM(AH102:AK102)</f>
        <v>16.1600075781568</v>
      </c>
      <c r="AM102" s="3">
        <f>AH102*(1+AM216)</f>
        <v>3.456124</v>
      </c>
      <c r="AN102" s="3">
        <f>AI102*(1+AN216)</f>
        <v>7.749179</v>
      </c>
      <c r="AO102" s="3">
        <f>AJ102*(1+AO216)</f>
        <v>2.668448799683</v>
      </c>
      <c r="AP102" s="3">
        <f>AK102*(1+AP216)</f>
        <v>2.28625577847376</v>
      </c>
      <c r="AQ102" s="3">
        <f>SUM(AM102:AP102)</f>
        <v>16.1600075781568</v>
      </c>
      <c r="AR102" s="3">
        <f>AM102*(1+AR216)</f>
        <v>3.456124</v>
      </c>
      <c r="AS102" s="3">
        <f>AN102*(1+AS216)</f>
        <v>7.749179</v>
      </c>
      <c r="AT102" s="3">
        <f>AO102*(1+AT216)</f>
        <v>2.668448799683</v>
      </c>
      <c r="AU102" s="3">
        <f>AP102*(1+AU216)</f>
        <v>2.28625577847376</v>
      </c>
      <c r="AV102" s="3">
        <f>SUM(AR102:AU102)</f>
        <v>16.1600075781568</v>
      </c>
      <c r="AW102" s="3">
        <f>AR102*(1+AW216)</f>
        <v>3.456124</v>
      </c>
      <c r="AX102" s="3">
        <f>AS102*(1+AX216)</f>
        <v>7.749179</v>
      </c>
      <c r="AY102" s="3">
        <f>AT102*(1+AY216)</f>
        <v>2.668448799683</v>
      </c>
      <c r="AZ102" s="3">
        <f>AU102*(1+AZ216)</f>
        <v>2.28625577847376</v>
      </c>
      <c r="BA102" s="3">
        <f>SUM(AW102:AZ102)</f>
        <v>16.1600075781568</v>
      </c>
      <c r="BB102" s="3">
        <f>AW102*(1+BB216)</f>
        <v>3.456124</v>
      </c>
      <c r="BC102" s="3">
        <f>AX102*(1+BC216)</f>
        <v>7.749179</v>
      </c>
      <c r="BD102" s="3">
        <f>AY102*(1+BD216)</f>
        <v>2.668448799683</v>
      </c>
      <c r="BE102" s="3">
        <f>AZ102*(1+BE216)</f>
        <v>2.28625577847376</v>
      </c>
      <c r="BF102" s="3">
        <f>SUM(BB102:BE102)</f>
        <v>16.1600075781568</v>
      </c>
      <c r="BG102" s="3">
        <f>BB102*(1+BG216)</f>
        <v>3.456124</v>
      </c>
      <c r="BH102" s="3">
        <f>BC102*(1+BH216)</f>
        <v>7.749179</v>
      </c>
      <c r="BI102" s="3">
        <f>BD102*(1+BI216)</f>
        <v>2.668448799683</v>
      </c>
      <c r="BJ102" s="3">
        <f>BE102*(1+BJ216)</f>
        <v>2.28625577847376</v>
      </c>
      <c r="BK102" s="3">
        <f>SUM(BG102:BJ102)</f>
        <v>16.1600075781568</v>
      </c>
      <c r="BL102" s="3">
        <f>BG102*(1+BL216)</f>
        <v>3.456124</v>
      </c>
      <c r="BM102" s="3">
        <f>BH102*(1+BM216)</f>
        <v>7.749179</v>
      </c>
      <c r="BN102" s="3">
        <f>BI102*(1+BN216)</f>
        <v>2.668448799683</v>
      </c>
      <c r="BO102" s="3">
        <f>BJ102*(1+BO216)</f>
        <v>2.28625577847376</v>
      </c>
      <c r="BP102" s="3">
        <f>SUM(BL102:BO102)</f>
        <v>16.1600075781568</v>
      </c>
      <c r="BQ102" s="3">
        <f>BL102*(1+BQ216)</f>
        <v>3.456124</v>
      </c>
      <c r="BR102" s="3">
        <f>BM102*(1+BR216)</f>
        <v>7.749179</v>
      </c>
      <c r="BS102" s="3">
        <f>BN102*(1+BS216)</f>
        <v>2.668448799683</v>
      </c>
      <c r="BT102" s="3">
        <f>BO102*(1+BT216)</f>
        <v>2.28625577847376</v>
      </c>
      <c r="BU102" s="3">
        <f>SUM(BQ102:BT102)</f>
        <v>16.1600075781568</v>
      </c>
      <c r="BV102" s="3">
        <f>BQ102*(1+BV216)</f>
        <v>3.456124</v>
      </c>
      <c r="BW102" s="3">
        <f>BR102*(1+BW216)</f>
        <v>7.749179</v>
      </c>
      <c r="BX102" s="3">
        <f>BS102*(1+BX216)</f>
        <v>2.668448799683</v>
      </c>
      <c r="BY102" s="3">
        <f>BT102*(1+BY216)</f>
        <v>2.28625577847376</v>
      </c>
      <c r="BZ102" s="3">
        <f>SUM(BV102:BY102)</f>
        <v>16.1600075781568</v>
      </c>
      <c r="CA102" s="3">
        <f>BV102*(1+CA216)</f>
        <v>3.456124</v>
      </c>
      <c r="CB102" s="3">
        <f>BW102*(1+CB216)</f>
        <v>7.749179</v>
      </c>
      <c r="CC102" s="3">
        <f>BX102*(1+CC216)</f>
        <v>2.668448799683</v>
      </c>
      <c r="CD102" s="3">
        <f>BY102*(1+CD216)</f>
        <v>2.28625577847376</v>
      </c>
      <c r="CE102" s="3">
        <f>SUM(CA102:CD102)</f>
        <v>16.1600075781568</v>
      </c>
      <c r="CF102" s="3">
        <f>CA102*(1+CF216)</f>
        <v>3.456124</v>
      </c>
      <c r="CG102" s="3">
        <f>CB102*(1+CG216)</f>
        <v>7.749179</v>
      </c>
      <c r="CH102" s="3">
        <f>CC102*(1+CH216)</f>
        <v>2.668448799683</v>
      </c>
      <c r="CI102" s="3">
        <f>CD102*(1+CI216)</f>
        <v>2.28625577847376</v>
      </c>
      <c r="CJ102" s="3">
        <f>SUM(CF102:CI102)</f>
        <v>16.1600075781568</v>
      </c>
      <c r="CK102" s="3">
        <f>CF102*(1+CK216)</f>
        <v>3.456124</v>
      </c>
      <c r="CL102" s="3">
        <f>CG102*(1+CL216)</f>
        <v>7.749179</v>
      </c>
      <c r="CM102" s="3">
        <f>CH102*(1+CM216)</f>
        <v>2.668448799683</v>
      </c>
      <c r="CN102" s="3">
        <f>CI102*(1+CN216)</f>
        <v>2.28625577847376</v>
      </c>
      <c r="CO102" s="3">
        <f>SUM(CK102:CN102)</f>
        <v>16.1600075781568</v>
      </c>
      <c r="CP102" s="3">
        <f>CK102*(1+CP216)</f>
        <v>3.456124</v>
      </c>
      <c r="CQ102" s="3">
        <f>CL102*(1+CQ216)</f>
        <v>7.749179</v>
      </c>
      <c r="CR102" s="3">
        <f>CM102*(1+CR216)</f>
        <v>2.668448799683</v>
      </c>
      <c r="CS102" s="3">
        <f>CN102*(1+CS216)</f>
        <v>2.28625577847376</v>
      </c>
      <c r="CT102" s="3">
        <f>SUM(CP102:CS102)</f>
        <v>16.1600075781568</v>
      </c>
      <c r="CU102" s="3">
        <f>CP102*(1+CU216)</f>
        <v>3.456124</v>
      </c>
      <c r="CV102" s="3">
        <f>CQ102*(1+CV216)</f>
        <v>7.749179</v>
      </c>
      <c r="CW102" s="3">
        <f>CR102*(1+CW216)</f>
        <v>2.668448799683</v>
      </c>
      <c r="CX102" s="3">
        <f>CS102*(1+CX216)</f>
        <v>2.28625577847376</v>
      </c>
      <c r="CY102" s="3">
        <f>SUM(CU102:CX102)</f>
        <v>16.1600075781568</v>
      </c>
    </row>
    <row r="103" customFormat="1" s="17">
      <c r="A103" s="13" t="n"/>
      <c r="B103" s="1" t="n"/>
      <c r="C103" s="14" t="inlineStr">
        <is>
          <t>Net Income</t>
        </is>
      </c>
      <c r="D103" s="16">
        <f>SUM(D96,D97,D101,D102)</f>
        <v>58.7191077564181</v>
      </c>
      <c r="E103" s="16">
        <f>SUM(E96,E97,E101,E102)</f>
        <v>-73.3055463168124</v>
      </c>
      <c r="F103" s="16">
        <f>SUM(F96,F97,F101,F102)</f>
        <v>132.064543995985</v>
      </c>
      <c r="G103" s="16">
        <f>SUM(G96,G97,G101,G102)</f>
        <v>139.482617970001</v>
      </c>
      <c r="H103" s="16">
        <f>SUM(D103:G103)</f>
        <v>256.960723405592</v>
      </c>
      <c r="I103" s="16">
        <f>SUM(I96,I97,I101,I102)</f>
        <v>118.61195704</v>
      </c>
      <c r="J103" s="16">
        <f>SUM(J96,J97,J101,J102)</f>
        <v>65.5346259299987</v>
      </c>
      <c r="K103" s="16">
        <f>SUM(K96,K97,K101,K102)</f>
        <v>94.9625657674033</v>
      </c>
      <c r="L103" s="16">
        <f>SUM(L96,L97,L101,L102)</f>
        <v>70.81580316</v>
      </c>
      <c r="M103" s="16">
        <f>SUM(I103:L103)</f>
        <v>349.924951897402</v>
      </c>
      <c r="N103" s="16">
        <f>SUM(N96,N97,N101,N102)</f>
        <v>110.440730339442</v>
      </c>
      <c r="O103" s="16">
        <f>SUM(O96,O97,O101,O102)</f>
        <v>70.509238398051</v>
      </c>
      <c r="P103" s="16">
        <f>SUM(P96,P97,P101,P102)</f>
        <v>96.0057500300001</v>
      </c>
      <c r="Q103" s="16">
        <f>SUM(Q96,Q97,Q101,Q102)</f>
        <v>30.9526857900001</v>
      </c>
      <c r="R103" s="16">
        <f>SUM(N103:Q103)</f>
        <v>307.908404557493</v>
      </c>
      <c r="S103" s="16">
        <f>SUM(S96,S97,S101,S102)</f>
        <v>93.8518317599999</v>
      </c>
      <c r="T103" s="16">
        <f>SUM(T96,T97,T101,T102)</f>
        <v>74.4269289448079</v>
      </c>
      <c r="U103" s="16">
        <f>SUM(U96,U97,U101,U102)</f>
        <v>174.198435338059</v>
      </c>
      <c r="V103" s="16">
        <f>SUM(V96,V97,V101,V102)</f>
        <v>81.27880174393</v>
      </c>
      <c r="W103" s="16">
        <f>SUM(S103:V103)</f>
        <v>423.755997786797</v>
      </c>
      <c r="X103" s="16">
        <f>SUM(X96,X97,X101,X102)</f>
        <v>167.9596009</v>
      </c>
      <c r="Y103" s="16">
        <f>SUM(Y96,Y97,Y101,Y102)</f>
        <v>173.586</v>
      </c>
      <c r="Z103" s="16">
        <f>SUM(Z96,Z97,Z101,Z102)</f>
        <v>190.705474</v>
      </c>
      <c r="AA103" s="16">
        <f>SUM(AA96,AA97,AA101,AA102)</f>
        <v>83.9209250999991</v>
      </c>
      <c r="AB103" s="16">
        <f>SUM(X103:AA103)</f>
        <v>616.171999999999</v>
      </c>
      <c r="AC103" s="16">
        <f>SUM(AC96,AC97,AC101,AC102)</f>
        <v>179.28629</v>
      </c>
      <c r="AD103" s="16">
        <f>SUM(AD96,AD97,AD101,AD102)</f>
        <v>152.299179</v>
      </c>
      <c r="AE103" s="16">
        <f>SUM(AE96,AE97,AE101,AE102)</f>
        <v>184.916722720184</v>
      </c>
      <c r="AF103" s="16">
        <f>SUM(AF96,AF97,AF101,AF102)</f>
        <v>96.3284097835912</v>
      </c>
      <c r="AG103" s="16">
        <f>SUM(AC103:AF103)</f>
        <v>612.830601503775</v>
      </c>
      <c r="AH103" s="16">
        <f>SUM(AH96,AH97,AH101,AH102)</f>
        <v>86.86074759</v>
      </c>
      <c r="AI103" s="16">
        <f>SUM(AI96,AI97,AI101,AI102)</f>
        <v>340.41012963</v>
      </c>
      <c r="AJ103" s="16">
        <f>SUM(AJ96,AJ97,AJ101,AJ102)</f>
        <v>84.737734306265</v>
      </c>
      <c r="AK103" s="16">
        <f>SUM(AK96,AK97,AK101,AK102)</f>
        <v>332.817559813591</v>
      </c>
      <c r="AL103" s="16">
        <f>SUM(AH103:AK103)</f>
        <v>844.826171339856</v>
      </c>
      <c r="AM103" s="16">
        <f>SUM(AM96,AM97,AM101,AM102)</f>
        <v>336.62207463</v>
      </c>
      <c r="AN103" s="16">
        <f>SUM(AN96,AN97,AN101,AN102)</f>
        <v>847.19832744</v>
      </c>
      <c r="AO103" s="16">
        <f>SUM(AO96,AO97,AO101,AO102)</f>
        <v>334.499061346265</v>
      </c>
      <c r="AP103" s="16">
        <f>SUM(AP96,AP97,AP101,AP102)</f>
        <v>839.605757623591</v>
      </c>
      <c r="AQ103" s="16">
        <f>SUM(AM103:AP103)</f>
        <v>2357.92522103986</v>
      </c>
      <c r="AR103" s="16">
        <f>SUM(AR96,AR97,AR101,AR102)</f>
        <v>843.41027244</v>
      </c>
      <c r="AS103" s="16">
        <f>SUM(AS96,AS97,AS101,AS102)</f>
        <v>2360.29737714</v>
      </c>
      <c r="AT103" s="16">
        <f>SUM(AT96,AT97,AT101,AT102)</f>
        <v>841.287259156265</v>
      </c>
      <c r="AU103" s="16">
        <f>SUM(AU96,AU97,AU101,AU102)</f>
        <v>2352.70480732359</v>
      </c>
      <c r="AV103" s="16">
        <f>SUM(AR103:AU103)</f>
        <v>6397.69971605986</v>
      </c>
      <c r="AW103" s="16">
        <f>SUM(AW96,AW97,AW101,AW102)</f>
        <v>2356.50932214</v>
      </c>
      <c r="AX103" s="16">
        <f>SUM(AX96,AX97,AX101,AX102)</f>
        <v>6400.07187216</v>
      </c>
      <c r="AY103" s="16">
        <f>SUM(AY96,AY97,AY101,AY102)</f>
        <v>2354.38630885627</v>
      </c>
      <c r="AZ103" s="16">
        <f>SUM(AZ96,AZ97,AZ101,AZ102)</f>
        <v>6392.47930234359</v>
      </c>
      <c r="BA103" s="16">
        <f>SUM(AW103:AZ103)</f>
        <v>17503.4468054999</v>
      </c>
      <c r="BB103" s="16">
        <f>SUM(BB96,BB97,BB101,BB102)</f>
        <v>6396.28381716</v>
      </c>
      <c r="BC103" s="16">
        <f>SUM(BC96,BC97,BC101,BC102)</f>
        <v>17505.8189616</v>
      </c>
      <c r="BD103" s="16">
        <f>SUM(BD96,BD97,BD101,BD102)</f>
        <v>6394.16080387627</v>
      </c>
      <c r="BE103" s="16">
        <f>SUM(BE96,BE97,BE101,BE102)</f>
        <v>17498.2263917836</v>
      </c>
      <c r="BF103" s="16">
        <f>SUM(BB103:BE103)</f>
        <v>47794.4899744199</v>
      </c>
      <c r="BG103" s="16">
        <f>SUM(BG96,BG97,BG101,BG102)</f>
        <v>17502.0309066</v>
      </c>
      <c r="BH103" s="16">
        <f>SUM(BH96,BH97,BH101,BH102)</f>
        <v>47796.86213052</v>
      </c>
      <c r="BI103" s="16">
        <f>SUM(BI96,BI97,BI101,BI102)</f>
        <v>17499.9078933163</v>
      </c>
      <c r="BJ103" s="16">
        <f>SUM(BJ96,BJ97,BJ101,BJ102)</f>
        <v>47789.2695607036</v>
      </c>
      <c r="BK103" s="16">
        <f>SUM(BG103:BJ103)</f>
        <v>130588.07049114</v>
      </c>
      <c r="BL103" s="16">
        <f>SUM(BL96,BL97,BL101,BL102)</f>
        <v>47793.07407552</v>
      </c>
      <c r="BM103" s="16">
        <f>SUM(BM96,BM97,BM101,BM102)</f>
        <v>130590.44264724</v>
      </c>
      <c r="BN103" s="16">
        <f>SUM(BN96,BN97,BN101,BN102)</f>
        <v>47790.9510622363</v>
      </c>
      <c r="BO103" s="16">
        <f>SUM(BO96,BO97,BO101,BO102)</f>
        <v>130582.850077424</v>
      </c>
      <c r="BP103" s="16">
        <f>SUM(BL103:BO103)</f>
        <v>356757.31786242</v>
      </c>
      <c r="BQ103" s="16">
        <f>SUM(BQ96,BQ97,BQ101,BQ102)</f>
        <v>130586.65459224</v>
      </c>
      <c r="BR103" s="16">
        <f>SUM(BR96,BR97,BR101,BR102)</f>
        <v>356759.69001852</v>
      </c>
      <c r="BS103" s="16">
        <f>SUM(BS96,BS97,BS101,BS102)</f>
        <v>130584.531578956</v>
      </c>
      <c r="BT103" s="16">
        <f>SUM(BT96,BT97,BT101,BT102)</f>
        <v>356752.097448704</v>
      </c>
      <c r="BU103" s="16">
        <f>SUM(BQ103:BT103)</f>
        <v>974682.97363842</v>
      </c>
      <c r="BV103" s="16">
        <f>SUM(BV96,BV97,BV101,BV102)</f>
        <v>356755.90196352</v>
      </c>
      <c r="BW103" s="16">
        <f>SUM(BW96,BW97,BW101,BW102)</f>
        <v>974685.34579452</v>
      </c>
      <c r="BX103" s="16">
        <f>SUM(BX96,BX97,BX101,BX102)</f>
        <v>356753.778950236</v>
      </c>
      <c r="BY103" s="16">
        <f>SUM(BY96,BY97,BY101,BY102)</f>
        <v>974677.753224704</v>
      </c>
      <c r="BZ103" s="16">
        <f>SUM(BV103:BY103)</f>
        <v>2662872.77993298</v>
      </c>
      <c r="CA103" s="16">
        <f>SUM(CA96,CA97,CA101,CA102)</f>
        <v>974681.55773952</v>
      </c>
      <c r="CB103" s="16">
        <f>SUM(CB96,CB97,CB101,CB102)</f>
        <v>2662875.15208908</v>
      </c>
      <c r="CC103" s="16">
        <f>SUM(CC96,CC97,CC101,CC102)</f>
        <v>974679.434726236</v>
      </c>
      <c r="CD103" s="16">
        <f>SUM(CD96,CD97,CD101,CD102)</f>
        <v>2662867.55951926</v>
      </c>
      <c r="CE103" s="16">
        <f>SUM(CA103:CD103)</f>
        <v>7275103.7040741</v>
      </c>
      <c r="CF103" s="16">
        <f>SUM(CF96,CF97,CF101,CF102)</f>
        <v>2662871.36403408</v>
      </c>
      <c r="CG103" s="16">
        <f>SUM(CG96,CG97,CG101,CG102)</f>
        <v>7275106.0762302</v>
      </c>
      <c r="CH103" s="16">
        <f>SUM(CH96,CH97,CH101,CH102)</f>
        <v>2662869.2410208</v>
      </c>
      <c r="CI103" s="16">
        <f>SUM(CI96,CI97,CI101,CI102)</f>
        <v>7275098.48366038</v>
      </c>
      <c r="CJ103" s="16">
        <f>SUM(CF103:CI103)</f>
        <v>19875945.1649455</v>
      </c>
      <c r="CK103" s="16">
        <f>SUM(CK96,CK97,CK101,CK102)</f>
        <v>7275102.2881752</v>
      </c>
      <c r="CL103" s="16">
        <f>SUM(CL96,CL97,CL101,CL102)</f>
        <v>19875947.5371016</v>
      </c>
      <c r="CM103" s="16">
        <f>SUM(CM96,CM97,CM101,CM102)</f>
        <v>7275100.16516192</v>
      </c>
      <c r="CN103" s="16">
        <f>SUM(CN96,CN97,CN101,CN102)</f>
        <v>19875939.9445317</v>
      </c>
      <c r="CO103" s="16">
        <f>SUM(CK103:CN103)</f>
        <v>54302089.9349704</v>
      </c>
      <c r="CP103" s="16">
        <f>SUM(CP96,CP97,CP101,CP102)</f>
        <v>19875943.7490466</v>
      </c>
      <c r="CQ103" s="16">
        <f>SUM(CQ96,CQ97,CQ101,CQ102)</f>
        <v>54302092.3071265</v>
      </c>
      <c r="CR103" s="16">
        <f>SUM(CR96,CR97,CR101,CR102)</f>
        <v>19875941.6260333</v>
      </c>
      <c r="CS103" s="16">
        <f>SUM(CS96,CS97,CS101,CS102)</f>
        <v>54302084.7145567</v>
      </c>
      <c r="CT103" s="16">
        <f>SUM(CP103:CS103)</f>
        <v>148356062.396763</v>
      </c>
      <c r="CU103" s="16">
        <f>SUM(CU96,CU97,CU101,CU102)</f>
        <v>54302088.5190715</v>
      </c>
      <c r="CV103" s="16">
        <f>SUM(CV96,CV97,CV101,CV102)</f>
        <v>148356064.768919</v>
      </c>
      <c r="CW103" s="16">
        <f>SUM(CW96,CW97,CW101,CW102)</f>
        <v>54302086.3960582</v>
      </c>
      <c r="CX103" s="16">
        <f>SUM(CX96,CX97,CX101,CX102)</f>
        <v>148356057.176349</v>
      </c>
      <c r="CY103" s="16">
        <f>SUM(CU103:CX103)</f>
        <v>405316296.860398</v>
      </c>
    </row>
    <row r="104">
      <c r="C104" s="24" t="inlineStr">
        <is>
          <t>Common Dividends</t>
        </is>
      </c>
      <c r="D104" s="25">
        <f>INDEX('Inputs (2)'!$D$13:$AL$13,MATCH(D$7,'Inputs (2)'!$D$2:$AL$2,0))</f>
        <v>-31.1765432</v>
      </c>
      <c r="E104" s="25">
        <f>INDEX('Inputs (2)'!$D$13:$AL$13,MATCH(E$7,'Inputs (2)'!$D$2:$AL$2,0))</f>
        <v>0</v>
      </c>
      <c r="F104" s="25">
        <f>INDEX('Inputs (2)'!$D$13:$AL$13,MATCH(F$7,'Inputs (2)'!$D$2:$AL$2,0))</f>
        <v>0</v>
      </c>
      <c r="G104" s="25">
        <f>INDEX('Inputs (2)'!$D$13:$AL$13,MATCH(G$7,'Inputs (2)'!$D$2:$AL$2,0))</f>
        <v>-197.75241252</v>
      </c>
      <c r="H104" s="3">
        <f>SUM(D104:G104)</f>
        <v>-228.92895572</v>
      </c>
      <c r="I104" s="25">
        <f>INDEX('Inputs (2)'!$D$13:$AL$13,MATCH(I$7,'Inputs (2)'!$D$2:$AL$2,0))</f>
        <v>-75.10232011</v>
      </c>
      <c r="J104" s="25">
        <f>INDEX('Inputs (2)'!$D$13:$AL$13,MATCH(J$7,'Inputs (2)'!$D$2:$AL$2,0))</f>
        <v>-156.2545951</v>
      </c>
      <c r="K104" s="25">
        <f>INDEX('Inputs (2)'!$D$13:$AL$13,MATCH(K$7,'Inputs (2)'!$D$2:$AL$2,0))</f>
        <v>-42.22723762</v>
      </c>
      <c r="L104" s="25">
        <f>INDEX('Inputs (2)'!$D$13:$AL$13,MATCH(L$7,'Inputs (2)'!$D$2:$AL$2,0))</f>
        <v>-22.55733515</v>
      </c>
      <c r="M104" s="3">
        <f>SUM(I104:L104)</f>
        <v>-296.14148798</v>
      </c>
      <c r="N104" s="25">
        <f>INDEX('Inputs (2)'!$D$13:$AL$13,MATCH(N$7,'Inputs (2)'!$D$2:$AL$2,0))</f>
        <v>-4.12979244</v>
      </c>
      <c r="O104" s="25">
        <f>INDEX('Inputs (2)'!$D$13:$AL$13,MATCH(O$7,'Inputs (2)'!$D$2:$AL$2,0))</f>
        <v>-225.0161942</v>
      </c>
      <c r="P104" s="25">
        <f>INDEX('Inputs (2)'!$D$13:$AL$13,MATCH(P$7,'Inputs (2)'!$D$2:$AL$2,0))</f>
        <v>-0.0015808</v>
      </c>
      <c r="Q104" s="25">
        <f>INDEX('Inputs (2)'!$D$13:$AL$13,MATCH(Q$7,'Inputs (2)'!$D$2:$AL$2,0))</f>
        <v>-108.0538068</v>
      </c>
      <c r="R104" s="3">
        <f>SUM(N104:Q104)</f>
        <v>-337.20137424</v>
      </c>
      <c r="S104" s="25">
        <f>INDEX('Inputs (2)'!$D$13:$AL$13,MATCH(S$7,'Inputs (2)'!$D$2:$AL$2,0))</f>
        <v>0</v>
      </c>
      <c r="T104" s="25">
        <f>INDEX('Inputs (2)'!$D$13:$AL$13,MATCH(T$7,'Inputs (2)'!$D$2:$AL$2,0))</f>
        <v>-273.224548</v>
      </c>
      <c r="U104" s="25">
        <f>INDEX('Inputs (2)'!$D$13:$AL$13,MATCH(U$7,'Inputs (2)'!$D$2:$AL$2,0))</f>
        <v>-13.87953525</v>
      </c>
      <c r="V104" s="25">
        <f>INDEX('Inputs (2)'!$D$13:$AL$13,MATCH(V$7,'Inputs (2)'!$D$2:$AL$2,0))</f>
        <v>-223.00491675</v>
      </c>
      <c r="W104" s="3">
        <f>SUM(S104:V104)</f>
        <v>-510.109</v>
      </c>
      <c r="X104" s="25">
        <f>INDEX('Inputs (2)'!$D$13:$AL$13,MATCH(X$7,'Inputs (2)'!$D$2:$AL$2,0))</f>
        <v>-0.496</v>
      </c>
      <c r="Y104" s="25">
        <f>INDEX('Inputs (2)'!$D$13:$AL$13,MATCH(Y$7,'Inputs (2)'!$D$2:$AL$2,0))</f>
        <v>-80.533</v>
      </c>
      <c r="Z104" s="25">
        <f>INDEX('Inputs (2)'!$D$13:$AL$13,MATCH(Z$7,'Inputs (2)'!$D$2:$AL$2,0))</f>
        <v>0</v>
      </c>
      <c r="AA104" s="25">
        <f>INDEX('Inputs (2)'!$D$13:$AL$13,MATCH(AA$7,'Inputs (2)'!$D$2:$AL$2,0))</f>
        <v>-262.333</v>
      </c>
      <c r="AB104" s="3">
        <f>SUM(X104:AA104)</f>
        <v>-343.362</v>
      </c>
      <c r="AC104" s="25">
        <f>INDEX('Inputs (2)'!$D$13:$AL$13,MATCH(AC$7,'Inputs (2)'!$D$2:$AL$2,0))</f>
        <v>0</v>
      </c>
      <c r="AD104" s="25">
        <f>INDEX('Inputs (2)'!$D$13:$AL$13,MATCH(AD$7,'Inputs (2)'!$D$2:$AL$2,0))</f>
        <v>-254.045</v>
      </c>
      <c r="AE104" s="25">
        <f>INDEX('Inputs (2)'!$D$13:$AL$13,MATCH(AE$7,'Inputs (2)'!$D$2:$AL$2,0))</f>
        <v>0</v>
      </c>
      <c r="AF104" s="25">
        <f>INDEX('Inputs (2)'!$D$13:$AL$13,MATCH(AF$7,'Inputs (2)'!$D$2:$AL$2,0))</f>
        <v>-259.01</v>
      </c>
      <c r="AG104" s="3">
        <f>SUM(AC104:AF104)</f>
        <v>-513.055</v>
      </c>
      <c r="AH104" s="3" t="n"/>
      <c r="AI104" s="3" t="n"/>
      <c r="AJ104" s="3" t="n"/>
      <c r="AK104" s="3" t="n"/>
      <c r="AL104" s="3">
        <f>SUM(AH104:AK104)</f>
        <v>0</v>
      </c>
      <c r="AM104" s="3" t="n"/>
      <c r="AN104" s="3" t="n"/>
      <c r="AO104" s="3" t="n"/>
      <c r="AP104" s="3" t="n"/>
      <c r="AQ104" s="3">
        <f>SUM(AM104:AP104)</f>
        <v>0</v>
      </c>
      <c r="AR104" s="3" t="n"/>
      <c r="AS104" s="3" t="n"/>
      <c r="AT104" s="3" t="n"/>
      <c r="AU104" s="3" t="n"/>
      <c r="AV104" s="3">
        <f>SUM(AR104:AU104)</f>
        <v>0</v>
      </c>
      <c r="AW104" s="3" t="n"/>
      <c r="AX104" s="3" t="n"/>
      <c r="AY104" s="3" t="n"/>
      <c r="AZ104" s="3" t="n"/>
      <c r="BA104" s="3">
        <f>SUM(AW104:AZ104)</f>
        <v>0</v>
      </c>
      <c r="BB104" s="3" t="n"/>
      <c r="BC104" s="3" t="n"/>
      <c r="BD104" s="3" t="n"/>
      <c r="BE104" s="3" t="n"/>
      <c r="BF104" s="3">
        <f>SUM(BB104:BE104)</f>
        <v>0</v>
      </c>
      <c r="BG104" s="3" t="n"/>
      <c r="BH104" s="3" t="n"/>
      <c r="BI104" s="3" t="n"/>
      <c r="BJ104" s="3" t="n"/>
      <c r="BK104" s="3">
        <f>SUM(BG104:BJ104)</f>
        <v>0</v>
      </c>
      <c r="BL104" s="3" t="n"/>
      <c r="BM104" s="3" t="n"/>
      <c r="BN104" s="3" t="n"/>
      <c r="BO104" s="3" t="n"/>
      <c r="BP104" s="3">
        <f>SUM(BL104:BO104)</f>
        <v>0</v>
      </c>
      <c r="BQ104" s="3" t="n"/>
      <c r="BR104" s="3" t="n"/>
      <c r="BS104" s="3" t="n"/>
      <c r="BT104" s="3" t="n"/>
      <c r="BU104" s="3">
        <f>SUM(BQ104:BT104)</f>
        <v>0</v>
      </c>
      <c r="BV104" s="3" t="n"/>
      <c r="BW104" s="3" t="n"/>
      <c r="BX104" s="3" t="n"/>
      <c r="BY104" s="3" t="n"/>
      <c r="BZ104" s="3">
        <f>SUM(BV104:BY104)</f>
        <v>0</v>
      </c>
      <c r="CA104" s="3" t="n"/>
      <c r="CB104" s="3" t="n"/>
      <c r="CC104" s="3" t="n"/>
      <c r="CD104" s="3" t="n"/>
      <c r="CE104" s="3">
        <f>SUM(CA104:CD104)</f>
        <v>0</v>
      </c>
      <c r="CF104" s="3" t="n"/>
      <c r="CG104" s="3" t="n"/>
      <c r="CH104" s="3" t="n"/>
      <c r="CI104" s="3" t="n"/>
      <c r="CJ104" s="3">
        <f>SUM(CF104:CI104)</f>
        <v>0</v>
      </c>
      <c r="CK104" s="3" t="n"/>
      <c r="CL104" s="3" t="n"/>
      <c r="CM104" s="3" t="n"/>
      <c r="CN104" s="3" t="n"/>
      <c r="CO104" s="3">
        <f>SUM(CK104:CN104)</f>
        <v>0</v>
      </c>
      <c r="CP104" s="3" t="n"/>
      <c r="CQ104" s="3" t="n"/>
      <c r="CR104" s="3" t="n"/>
      <c r="CS104" s="3" t="n"/>
      <c r="CT104" s="3">
        <f>SUM(CP104:CS104)</f>
        <v>0</v>
      </c>
      <c r="CU104" s="3" t="n"/>
      <c r="CV104" s="3" t="n"/>
      <c r="CW104" s="3" t="n"/>
      <c r="CX104" s="3" t="n"/>
      <c r="CY104" s="3">
        <f>SUM(CU104:CX104)</f>
        <v>0</v>
      </c>
    </row>
    <row r="105" hidden="1" outlineLevel="1">
      <c r="C105" s="32" t="inlineStr">
        <is>
          <t>% DVD Payout</t>
        </is>
      </c>
      <c r="D105" s="40">
        <f>-D104/D103</f>
        <v>0.530943748827525</v>
      </c>
      <c r="E105" s="40">
        <f>-E104/E103</f>
        <v>0</v>
      </c>
      <c r="F105" s="40">
        <f>-F104/F103</f>
        <v>0</v>
      </c>
      <c r="G105" s="40">
        <f>-G104/G103</f>
        <v>1.41775667389991</v>
      </c>
      <c r="H105" s="40">
        <f>-H104/H103</f>
        <v>0.890910302111245</v>
      </c>
      <c r="I105" s="40">
        <f>-I104/I103</f>
        <v>0.633176637366106</v>
      </c>
      <c r="J105" s="40">
        <f>-J104/J103</f>
        <v>2.38430589757092</v>
      </c>
      <c r="K105" s="40">
        <f>-K104/K103</f>
        <v>0.444672458865837</v>
      </c>
      <c r="L105" s="40">
        <f>-L104/L103</f>
        <v>0.318535328887457</v>
      </c>
      <c r="M105" s="40">
        <f>-M104/M103</f>
        <v>0.846300003398526</v>
      </c>
      <c r="N105" s="40">
        <f>-N104/N103</f>
        <v>0.0373937443849474</v>
      </c>
      <c r="O105" s="40">
        <f>-O104/O103</f>
        <v>3.19130087506689</v>
      </c>
      <c r="P105" s="40">
        <f>-P104/P103</f>
        <v>1.646568043587e-05</v>
      </c>
      <c r="Q105" s="40">
        <f>-Q104/Q103</f>
        <v>3.49093476194913</v>
      </c>
      <c r="R105" s="40">
        <f>-R104/R103</f>
        <v>1.09513533651218</v>
      </c>
      <c r="S105" s="40">
        <f>-S104/S103</f>
        <v>0</v>
      </c>
      <c r="T105" s="40">
        <f>-T104/T103</f>
        <v>3.67104422920113</v>
      </c>
      <c r="U105" s="40">
        <f>-U104/U103</f>
        <v>0.0796765781682517</v>
      </c>
      <c r="V105" s="40">
        <f>-V104/V103</f>
        <v>2.74370330227776</v>
      </c>
      <c r="W105" s="40">
        <f>-W104/W103</f>
        <v>1.20378001176198</v>
      </c>
      <c r="X105" s="40">
        <f>-X104/X103</f>
        <v>0.00295309108465499</v>
      </c>
      <c r="Y105" s="40">
        <f>-Y104/Y103</f>
        <v>0.463937183874276</v>
      </c>
      <c r="Z105" s="40">
        <f>-Z104/Z103</f>
        <v>0</v>
      </c>
      <c r="AA105" s="40">
        <f>-AA104/AA103</f>
        <v>3.12595457792449</v>
      </c>
      <c r="AB105" s="40">
        <f>-AB104/AB103</f>
        <v>0.557250248307292</v>
      </c>
      <c r="AC105" s="40">
        <f>-AC104/AC103</f>
        <v>0</v>
      </c>
      <c r="AD105" s="40">
        <f>-AD104/AD103</f>
        <v>1.66806545949929</v>
      </c>
      <c r="AE105" s="40">
        <f>-AE104/AE103</f>
        <v>0</v>
      </c>
      <c r="AF105" s="44">
        <f>-AF104/AF103</f>
        <v>2.68882254551783</v>
      </c>
      <c r="AG105" s="3" t="n"/>
      <c r="AH105" s="44" t="n"/>
      <c r="AI105" s="44" t="n"/>
      <c r="AJ105" s="44" t="n"/>
      <c r="AK105" s="44" t="n"/>
      <c r="AL105" s="3">
        <f>-AL104/AL103</f>
        <v>0</v>
      </c>
      <c r="AM105" s="44" t="n"/>
      <c r="AN105" s="44" t="n"/>
      <c r="AO105" s="44" t="n"/>
      <c r="AP105" s="44" t="n"/>
      <c r="AQ105" s="3">
        <f>-AQ104/AQ103</f>
        <v>0</v>
      </c>
      <c r="AR105" s="44" t="n"/>
      <c r="AS105" s="44" t="n"/>
      <c r="AT105" s="44" t="n"/>
      <c r="AU105" s="44" t="n"/>
      <c r="AV105" s="3">
        <f>-AV104/AV103</f>
        <v>0</v>
      </c>
      <c r="AW105" s="44" t="n"/>
      <c r="AX105" s="44" t="n"/>
      <c r="AY105" s="44" t="n"/>
      <c r="AZ105" s="44" t="n"/>
      <c r="BA105" s="3">
        <f>-BA104/BA103</f>
        <v>0</v>
      </c>
      <c r="BB105" s="44" t="n"/>
      <c r="BC105" s="44" t="n"/>
      <c r="BD105" s="44" t="n"/>
      <c r="BE105" s="44" t="n"/>
      <c r="BF105" s="3">
        <f>-BF104/BF103</f>
        <v>0</v>
      </c>
      <c r="BG105" s="44" t="n"/>
      <c r="BH105" s="44" t="n"/>
      <c r="BI105" s="44" t="n"/>
      <c r="BJ105" s="44" t="n"/>
      <c r="BK105" s="3">
        <f>-BK104/BK103</f>
        <v>0</v>
      </c>
      <c r="BL105" s="44" t="n"/>
      <c r="BM105" s="44" t="n"/>
      <c r="BN105" s="44" t="n"/>
      <c r="BO105" s="44" t="n"/>
      <c r="BP105" s="3">
        <f>-BP104/BP103</f>
        <v>0</v>
      </c>
      <c r="BQ105" s="44" t="n"/>
      <c r="BR105" s="44" t="n"/>
      <c r="BS105" s="44" t="n"/>
      <c r="BT105" s="44" t="n"/>
      <c r="BU105" s="3">
        <f>-BU104/BU103</f>
        <v>0</v>
      </c>
      <c r="BV105" s="44" t="n"/>
      <c r="BW105" s="44" t="n"/>
      <c r="BX105" s="44" t="n"/>
      <c r="BY105" s="44" t="n"/>
      <c r="BZ105" s="3">
        <f>-BZ104/BZ103</f>
        <v>0</v>
      </c>
      <c r="CA105" s="44" t="n"/>
      <c r="CB105" s="44" t="n"/>
      <c r="CC105" s="44" t="n"/>
      <c r="CD105" s="44" t="n"/>
      <c r="CE105" s="3">
        <f>-CE104/CE103</f>
        <v>0</v>
      </c>
      <c r="CF105" s="44" t="n"/>
      <c r="CG105" s="44" t="n"/>
      <c r="CH105" s="44" t="n"/>
      <c r="CI105" s="44" t="n"/>
      <c r="CJ105" s="3">
        <f>-CJ104/CJ103</f>
        <v>0</v>
      </c>
      <c r="CK105" s="44" t="n"/>
      <c r="CL105" s="44" t="n"/>
      <c r="CM105" s="44" t="n"/>
      <c r="CN105" s="44" t="n"/>
      <c r="CO105" s="3">
        <f>-CO104/CO103</f>
        <v>0</v>
      </c>
      <c r="CP105" s="44" t="n"/>
      <c r="CQ105" s="44" t="n"/>
      <c r="CR105" s="44" t="n"/>
      <c r="CS105" s="44" t="n"/>
      <c r="CT105" s="3">
        <f>-CT104/CT103</f>
        <v>0</v>
      </c>
      <c r="CU105" s="44" t="n"/>
      <c r="CV105" s="44" t="n"/>
      <c r="CW105" s="44" t="n"/>
      <c r="CX105" s="44" t="n"/>
      <c r="CY105" s="3">
        <f>-CY104/CY103</f>
        <v>0</v>
      </c>
    </row>
    <row r="106" hidden="1" outlineLevel="1">
      <c r="C106" s="5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  <c r="AZ106" s="1" t="n"/>
      <c r="BA106" s="1" t="n"/>
      <c r="BB106" s="1" t="n"/>
      <c r="BC106" s="1" t="n"/>
      <c r="BD106" s="1" t="n"/>
      <c r="BE106" s="1" t="n"/>
      <c r="BF106" s="1" t="n"/>
      <c r="BG106" s="1" t="n"/>
      <c r="BH106" s="1" t="n"/>
      <c r="BI106" s="1" t="n"/>
      <c r="BJ106" s="1" t="n"/>
      <c r="BK106" s="1" t="n"/>
      <c r="BL106" s="1" t="n"/>
      <c r="BM106" s="1" t="n"/>
      <c r="BN106" s="1" t="n"/>
      <c r="BO106" s="1" t="n"/>
      <c r="BP106" s="1" t="n"/>
      <c r="BQ106" s="1" t="n"/>
      <c r="BR106" s="1" t="n"/>
      <c r="BS106" s="1" t="n"/>
      <c r="BT106" s="1" t="n"/>
      <c r="BU106" s="1" t="n"/>
      <c r="BV106" s="1" t="n"/>
      <c r="BW106" s="1" t="n"/>
      <c r="BX106" s="1" t="n"/>
      <c r="BY106" s="1" t="n"/>
      <c r="BZ106" s="1" t="n"/>
      <c r="CA106" s="1" t="n"/>
      <c r="CB106" s="1" t="n"/>
      <c r="CC106" s="1" t="n"/>
      <c r="CD106" s="1" t="n"/>
      <c r="CE106" s="1" t="n"/>
      <c r="CF106" s="1" t="n"/>
      <c r="CG106" s="1" t="n"/>
      <c r="CH106" s="1" t="n"/>
      <c r="CI106" s="1" t="n"/>
      <c r="CJ106" s="1" t="n"/>
      <c r="CK106" s="1" t="n"/>
      <c r="CL106" s="1" t="n"/>
      <c r="CM106" s="1" t="n"/>
      <c r="CN106" s="1" t="n"/>
      <c r="CO106" s="1" t="n"/>
      <c r="CP106" s="1" t="n"/>
      <c r="CQ106" s="1" t="n"/>
      <c r="CR106" s="1" t="n"/>
      <c r="CS106" s="1" t="n"/>
      <c r="CT106" s="1" t="n"/>
      <c r="CU106" s="1" t="n"/>
      <c r="CV106" s="1" t="n"/>
      <c r="CW106" s="1" t="n"/>
      <c r="CX106" s="1" t="n"/>
      <c r="CY106" s="1" t="n"/>
    </row>
    <row r="107" hidden="1" outlineLevel="1">
      <c r="C107" s="5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  <c r="AZ107" s="1" t="n"/>
      <c r="BA107" s="1" t="n"/>
      <c r="BB107" s="1" t="n"/>
      <c r="BC107" s="1" t="n"/>
      <c r="BD107" s="1" t="n"/>
      <c r="BE107" s="1" t="n"/>
      <c r="BF107" s="1" t="n"/>
      <c r="BG107" s="1" t="n"/>
      <c r="BH107" s="1" t="n"/>
      <c r="BI107" s="1" t="n"/>
      <c r="BJ107" s="1" t="n"/>
      <c r="BK107" s="1" t="n"/>
      <c r="BL107" s="1" t="n"/>
      <c r="BM107" s="1" t="n"/>
      <c r="BN107" s="1" t="n"/>
      <c r="BO107" s="1" t="n"/>
      <c r="BP107" s="1" t="n"/>
      <c r="BQ107" s="1" t="n"/>
      <c r="BR107" s="1" t="n"/>
      <c r="BS107" s="1" t="n"/>
      <c r="BT107" s="1" t="n"/>
      <c r="BU107" s="1" t="n"/>
      <c r="BV107" s="1" t="n"/>
      <c r="BW107" s="1" t="n"/>
      <c r="BX107" s="1" t="n"/>
      <c r="BY107" s="1" t="n"/>
      <c r="BZ107" s="1" t="n"/>
      <c r="CA107" s="1" t="n"/>
      <c r="CB107" s="1" t="n"/>
      <c r="CC107" s="1" t="n"/>
      <c r="CD107" s="1" t="n"/>
      <c r="CE107" s="1" t="n"/>
      <c r="CF107" s="1" t="n"/>
      <c r="CG107" s="1" t="n"/>
      <c r="CH107" s="1" t="n"/>
      <c r="CI107" s="1" t="n"/>
      <c r="CJ107" s="1" t="n"/>
      <c r="CK107" s="1" t="n"/>
      <c r="CL107" s="1" t="n"/>
      <c r="CM107" s="1" t="n"/>
      <c r="CN107" s="1" t="n"/>
      <c r="CO107" s="1" t="n"/>
      <c r="CP107" s="1" t="n"/>
      <c r="CQ107" s="1" t="n"/>
      <c r="CR107" s="1" t="n"/>
      <c r="CS107" s="1" t="n"/>
      <c r="CT107" s="1" t="n"/>
      <c r="CU107" s="1" t="n"/>
      <c r="CV107" s="1" t="n"/>
      <c r="CW107" s="1" t="n"/>
      <c r="CX107" s="1" t="n"/>
      <c r="CY107" s="1" t="n"/>
    </row>
    <row r="108" collapsed="1" ht="11.25" customHeight="1">
      <c r="C108" s="12" t="inlineStr">
        <is>
          <t>Balance Sheet</t>
        </is>
      </c>
      <c r="D108" s="12" t="str">
        <f>D13</f>
        <v>1Q20</v>
      </c>
      <c r="E108" s="12" t="str">
        <f>E13</f>
        <v>2Q20</v>
      </c>
      <c r="F108" s="12" t="str">
        <f>F13</f>
        <v>3Q20</v>
      </c>
      <c r="G108" s="12" t="str">
        <f>G13</f>
        <v>4Q20</v>
      </c>
      <c r="H108" s="12">
        <f>H13</f>
        <v>2020</v>
      </c>
      <c r="I108" s="12" t="str">
        <f>I13</f>
        <v>1Q21</v>
      </c>
      <c r="J108" s="12" t="str">
        <f>J13</f>
        <v>2Q21</v>
      </c>
      <c r="K108" s="12" t="str">
        <f>K13</f>
        <v>3Q21</v>
      </c>
      <c r="L108" s="12" t="str">
        <f>L13</f>
        <v>4Q21</v>
      </c>
      <c r="M108" s="12">
        <f>M13</f>
        <v>2021</v>
      </c>
      <c r="N108" s="12" t="str">
        <f>N13</f>
        <v>1Q22</v>
      </c>
      <c r="O108" s="12" t="str">
        <f>O13</f>
        <v>2Q22</v>
      </c>
      <c r="P108" s="12" t="str">
        <f>P13</f>
        <v>3Q22</v>
      </c>
      <c r="Q108" s="12" t="str">
        <f>Q13</f>
        <v>4Q22</v>
      </c>
      <c r="R108" s="12">
        <f>R13</f>
        <v>2022</v>
      </c>
      <c r="S108" s="12" t="str">
        <f>S13</f>
        <v>1Q23</v>
      </c>
      <c r="T108" s="12" t="str">
        <f>T13</f>
        <v>2Q23</v>
      </c>
      <c r="U108" s="12" t="str">
        <f>U13</f>
        <v>3Q23</v>
      </c>
      <c r="V108" s="12" t="str">
        <f>V13</f>
        <v>4Q23</v>
      </c>
      <c r="W108" s="12">
        <f>W13</f>
        <v>2023</v>
      </c>
      <c r="X108" s="12" t="str">
        <f>X13</f>
        <v>1Q24</v>
      </c>
      <c r="Y108" s="12" t="str">
        <f>Y13</f>
        <v>2Q24</v>
      </c>
      <c r="Z108" s="12" t="str">
        <f>Z13</f>
        <v>3Q24</v>
      </c>
      <c r="AA108" s="12" t="str">
        <f>AA13</f>
        <v>4Q24</v>
      </c>
      <c r="AB108" s="12">
        <f>AB13</f>
        <v>2024</v>
      </c>
      <c r="AC108" s="12" t="str">
        <f>AC13</f>
        <v>1Q25</v>
      </c>
      <c r="AD108" s="12" t="str">
        <f>AD13</f>
        <v>2Q25</v>
      </c>
      <c r="AE108" s="12" t="str">
        <f>AE13</f>
        <v>3Q25</v>
      </c>
      <c r="AF108" s="12" t="str">
        <f>AF13</f>
        <v>4Q25</v>
      </c>
      <c r="AG108" s="12">
        <f>AG13</f>
        <v>2025</v>
      </c>
      <c r="AH108" s="12" t="str">
        <f>AH13</f>
        <v>1Q26</v>
      </c>
      <c r="AI108" s="12" t="str">
        <f>AI13</f>
        <v>2Q26</v>
      </c>
      <c r="AJ108" s="12" t="str">
        <f>AJ13</f>
        <v>3Q26</v>
      </c>
      <c r="AK108" s="12" t="str">
        <f>AK13</f>
        <v>4Q26</v>
      </c>
      <c r="AL108" s="12">
        <f>AL13</f>
        <v>2026</v>
      </c>
      <c r="AM108" s="12" t="str">
        <f>AM13</f>
        <v>1Q27</v>
      </c>
      <c r="AN108" s="12" t="str">
        <f>AN13</f>
        <v>2Q27</v>
      </c>
      <c r="AO108" s="12" t="str">
        <f>AO13</f>
        <v>3Q27</v>
      </c>
      <c r="AP108" s="12" t="str">
        <f>AP13</f>
        <v>4Q27</v>
      </c>
      <c r="AQ108" s="12">
        <f>AQ13</f>
        <v>2027</v>
      </c>
      <c r="AR108" s="12" t="str">
        <f>AR13</f>
        <v>1Q28</v>
      </c>
      <c r="AS108" s="12" t="str">
        <f>AS13</f>
        <v>2Q28</v>
      </c>
      <c r="AT108" s="12" t="str">
        <f>AT13</f>
        <v>3Q28</v>
      </c>
      <c r="AU108" s="12" t="str">
        <f>AU13</f>
        <v>4Q28</v>
      </c>
      <c r="AV108" s="12">
        <f>AV13</f>
        <v>2028</v>
      </c>
      <c r="AW108" s="12" t="str">
        <f>AW13</f>
        <v>1Q29</v>
      </c>
      <c r="AX108" s="12" t="str">
        <f>AX13</f>
        <v>2Q29</v>
      </c>
      <c r="AY108" s="12" t="str">
        <f>AY13</f>
        <v>3Q29</v>
      </c>
      <c r="AZ108" s="12" t="str">
        <f>AZ13</f>
        <v>4Q29</v>
      </c>
      <c r="BA108" s="12">
        <f>BA13</f>
        <v>2029</v>
      </c>
      <c r="BB108" s="12" t="str">
        <f>BB13</f>
        <v>1Q30</v>
      </c>
      <c r="BC108" s="12" t="str">
        <f>BC13</f>
        <v>2Q30</v>
      </c>
      <c r="BD108" s="12" t="str">
        <f>BD13</f>
        <v>3Q30</v>
      </c>
      <c r="BE108" s="12" t="str">
        <f>BE13</f>
        <v>4Q30</v>
      </c>
      <c r="BF108" s="12">
        <f>BF13</f>
        <v>2030</v>
      </c>
      <c r="BG108" s="12" t="str">
        <f>BG13</f>
        <v>1Q31</v>
      </c>
      <c r="BH108" s="12" t="str">
        <f>BH13</f>
        <v>2Q31</v>
      </c>
      <c r="BI108" s="12" t="str">
        <f>BI13</f>
        <v>3Q31</v>
      </c>
      <c r="BJ108" s="12" t="str">
        <f>BJ13</f>
        <v>4Q31</v>
      </c>
      <c r="BK108" s="12">
        <f>BK13</f>
        <v>2031</v>
      </c>
      <c r="BL108" s="12" t="str">
        <f>BL13</f>
        <v>1Q32</v>
      </c>
      <c r="BM108" s="12" t="str">
        <f>BM13</f>
        <v>2Q32</v>
      </c>
      <c r="BN108" s="12" t="str">
        <f>BN13</f>
        <v>3Q32</v>
      </c>
      <c r="BO108" s="12" t="str">
        <f>BO13</f>
        <v>4Q32</v>
      </c>
      <c r="BP108" s="12">
        <f>BP13</f>
        <v>2032</v>
      </c>
      <c r="BQ108" s="12" t="str">
        <f>BQ13</f>
        <v>1Q33</v>
      </c>
      <c r="BR108" s="12" t="str">
        <f>BR13</f>
        <v>2Q33</v>
      </c>
      <c r="BS108" s="12" t="str">
        <f>BS13</f>
        <v>3Q33</v>
      </c>
      <c r="BT108" s="12" t="str">
        <f>BT13</f>
        <v>4Q33</v>
      </c>
      <c r="BU108" s="12">
        <f>BU13</f>
        <v>2033</v>
      </c>
      <c r="BV108" s="12" t="str">
        <f>BV13</f>
        <v>1Q34</v>
      </c>
      <c r="BW108" s="12" t="str">
        <f>BW13</f>
        <v>2Q34</v>
      </c>
      <c r="BX108" s="12" t="str">
        <f>BX13</f>
        <v>3Q34</v>
      </c>
      <c r="BY108" s="12" t="str">
        <f>BY13</f>
        <v>4Q34</v>
      </c>
      <c r="BZ108" s="12">
        <f>BZ13</f>
        <v>2034</v>
      </c>
      <c r="CA108" s="12" t="str">
        <f>CA13</f>
        <v>1Q35</v>
      </c>
      <c r="CB108" s="12" t="str">
        <f>CB13</f>
        <v>2Q35</v>
      </c>
      <c r="CC108" s="12" t="str">
        <f>CC13</f>
        <v>3Q35</v>
      </c>
      <c r="CD108" s="12" t="str">
        <f>CD13</f>
        <v>4Q35</v>
      </c>
      <c r="CE108" s="12">
        <f>CE13</f>
        <v>2035</v>
      </c>
      <c r="CF108" s="12" t="str">
        <f>CF13</f>
        <v>1Q36</v>
      </c>
      <c r="CG108" s="12" t="str">
        <f>CG13</f>
        <v>2Q36</v>
      </c>
      <c r="CH108" s="12" t="str">
        <f>CH13</f>
        <v>3Q36</v>
      </c>
      <c r="CI108" s="12" t="str">
        <f>CI13</f>
        <v>4Q36</v>
      </c>
      <c r="CJ108" s="12">
        <f>CJ13</f>
        <v>2036</v>
      </c>
      <c r="CK108" s="12" t="str">
        <f>CK13</f>
        <v>1Q37</v>
      </c>
      <c r="CL108" s="12" t="str">
        <f>CL13</f>
        <v>2Q37</v>
      </c>
      <c r="CM108" s="12" t="str">
        <f>CM13</f>
        <v>3Q37</v>
      </c>
      <c r="CN108" s="12" t="str">
        <f>CN13</f>
        <v>4Q37</v>
      </c>
      <c r="CO108" s="12">
        <f>CO13</f>
        <v>2037</v>
      </c>
      <c r="CP108" s="12" t="str">
        <f>CP13</f>
        <v>1Q38</v>
      </c>
      <c r="CQ108" s="12" t="str">
        <f>CQ13</f>
        <v>2Q38</v>
      </c>
      <c r="CR108" s="12" t="str">
        <f>CR13</f>
        <v>3Q38</v>
      </c>
      <c r="CS108" s="12" t="str">
        <f>CS13</f>
        <v>4Q38</v>
      </c>
      <c r="CT108" s="12">
        <f>CT13</f>
        <v>2038</v>
      </c>
      <c r="CU108" s="12" t="str">
        <f>CU13</f>
        <v>1Q39</v>
      </c>
      <c r="CV108" s="12" t="str">
        <f>CV13</f>
        <v>2Q39</v>
      </c>
      <c r="CW108" s="12" t="str">
        <f>CW13</f>
        <v>3Q39</v>
      </c>
      <c r="CX108" s="12" t="str">
        <f>CX13</f>
        <v>4Q39</v>
      </c>
      <c r="CY108" s="12">
        <f>CY13</f>
        <v>2039</v>
      </c>
    </row>
    <row r="109">
      <c r="C109" s="5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  <c r="AZ109" s="1" t="n"/>
      <c r="BA109" s="1" t="n"/>
      <c r="BB109" s="1" t="n"/>
      <c r="BC109" s="1" t="n"/>
      <c r="BD109" s="1" t="n"/>
      <c r="BE109" s="1" t="n"/>
      <c r="BF109" s="1" t="n"/>
      <c r="BG109" s="1" t="n"/>
      <c r="BH109" s="1" t="n"/>
      <c r="BI109" s="1" t="n"/>
      <c r="BJ109" s="1" t="n"/>
      <c r="BK109" s="1" t="n"/>
      <c r="BL109" s="1" t="n"/>
      <c r="BM109" s="1" t="n"/>
      <c r="BN109" s="1" t="n"/>
      <c r="BO109" s="1" t="n"/>
      <c r="BP109" s="1" t="n"/>
      <c r="BQ109" s="1" t="n"/>
      <c r="BR109" s="1" t="n"/>
      <c r="BS109" s="1" t="n"/>
      <c r="BT109" s="1" t="n"/>
      <c r="BU109" s="1" t="n"/>
      <c r="BV109" s="1" t="n"/>
      <c r="BW109" s="1" t="n"/>
      <c r="BX109" s="1" t="n"/>
      <c r="BY109" s="1" t="n"/>
      <c r="BZ109" s="1" t="n"/>
      <c r="CA109" s="1" t="n"/>
      <c r="CB109" s="1" t="n"/>
      <c r="CC109" s="1" t="n"/>
      <c r="CD109" s="1" t="n"/>
      <c r="CE109" s="1" t="n"/>
      <c r="CF109" s="1" t="n"/>
      <c r="CG109" s="1" t="n"/>
      <c r="CH109" s="1" t="n"/>
      <c r="CI109" s="1" t="n"/>
      <c r="CJ109" s="1" t="n"/>
      <c r="CK109" s="1" t="n"/>
      <c r="CL109" s="1" t="n"/>
      <c r="CM109" s="1" t="n"/>
      <c r="CN109" s="1" t="n"/>
      <c r="CO109" s="1" t="n"/>
      <c r="CP109" s="1" t="n"/>
      <c r="CQ109" s="1" t="n"/>
      <c r="CR109" s="1" t="n"/>
      <c r="CS109" s="1" t="n"/>
      <c r="CT109" s="1" t="n"/>
      <c r="CU109" s="1" t="n"/>
      <c r="CV109" s="1" t="n"/>
      <c r="CW109" s="1" t="n"/>
      <c r="CX109" s="1" t="n"/>
      <c r="CY109" s="1" t="n"/>
    </row>
    <row r="110">
      <c r="C110" s="24" t="inlineStr">
        <is>
          <t>Cash and equivalents (inc. investment securities)</t>
        </is>
      </c>
      <c r="D110" s="25">
        <f>INDEX('Inputs (2)'!$D$15:$AL$15,MATCH(D$7,'Inputs (2)'!$D$2:$AL$2,0))</f>
        <v>803.57634139</v>
      </c>
      <c r="E110" s="25">
        <f>INDEX('Inputs (2)'!$D$15:$AL$15,MATCH(E$7,'Inputs (2)'!$D$2:$AL$2,0))</f>
        <v>1152.75829087</v>
      </c>
      <c r="F110" s="25">
        <f>INDEX('Inputs (2)'!$D$15:$AL$15,MATCH(F$7,'Inputs (2)'!$D$2:$AL$2,0))</f>
        <v>1209.19289322</v>
      </c>
      <c r="G110" s="25">
        <f>INDEX('Inputs (2)'!$D$15:$AL$15,MATCH(G$7,'Inputs (2)'!$D$2:$AL$2,0))</f>
        <v>1111.41967783</v>
      </c>
      <c r="H110" s="3">
        <f>G110</f>
        <v>1111.41967783</v>
      </c>
      <c r="I110" s="25">
        <f>INDEX('Inputs (2)'!$D$15:$AL$15,MATCH(I$7,'Inputs (2)'!$D$2:$AL$2,0))</f>
        <v>1097.37400565</v>
      </c>
      <c r="J110" s="25">
        <f>INDEX('Inputs (2)'!$D$15:$AL$15,MATCH(J$7,'Inputs (2)'!$D$2:$AL$2,0))</f>
        <v>672.07445116</v>
      </c>
      <c r="K110" s="25">
        <f>INDEX('Inputs (2)'!$D$15:$AL$15,MATCH(K$7,'Inputs (2)'!$D$2:$AL$2,0))</f>
        <v>1028.20945984</v>
      </c>
      <c r="L110" s="25">
        <f>INDEX('Inputs (2)'!$D$15:$AL$15,MATCH(L$7,'Inputs (2)'!$D$2:$AL$2,0))</f>
        <v>861.42660329</v>
      </c>
      <c r="M110" s="3">
        <f>L110</f>
        <v>861.42660329</v>
      </c>
      <c r="N110" s="25">
        <f>INDEX('Inputs (2)'!$D$15:$AL$15,MATCH(N$7,'Inputs (2)'!$D$2:$AL$2,0))</f>
        <v>564.73251232</v>
      </c>
      <c r="O110" s="25">
        <f>INDEX('Inputs (2)'!$D$15:$AL$15,MATCH(O$7,'Inputs (2)'!$D$2:$AL$2,0))</f>
        <v>779.92863828</v>
      </c>
      <c r="P110" s="25">
        <f>INDEX('Inputs (2)'!$D$15:$AL$15,MATCH(P$7,'Inputs (2)'!$D$2:$AL$2,0))</f>
        <v>894.09475116</v>
      </c>
      <c r="Q110" s="25">
        <f>INDEX('Inputs (2)'!$D$15:$AL$15,MATCH(Q$7,'Inputs (2)'!$D$2:$AL$2,0))</f>
        <v>1431.131409</v>
      </c>
      <c r="R110" s="3">
        <f>Q110</f>
        <v>1431.131409</v>
      </c>
      <c r="S110" s="25">
        <f>INDEX('Inputs (2)'!$D$15:$AL$15,MATCH(S$7,'Inputs (2)'!$D$2:$AL$2,0))</f>
        <v>1399.25993934</v>
      </c>
      <c r="T110" s="25">
        <f>INDEX('Inputs (2)'!$D$15:$AL$15,MATCH(T$7,'Inputs (2)'!$D$2:$AL$2,0))</f>
        <v>1028.607</v>
      </c>
      <c r="U110" s="25">
        <f>INDEX('Inputs (2)'!$D$15:$AL$15,MATCH(U$7,'Inputs (2)'!$D$2:$AL$2,0))</f>
        <v>1098.312</v>
      </c>
      <c r="V110" s="25">
        <f>INDEX('Inputs (2)'!$D$15:$AL$15,MATCH(V$7,'Inputs (2)'!$D$2:$AL$2,0))</f>
        <v>1057.615</v>
      </c>
      <c r="W110" s="3">
        <f>V110</f>
        <v>1057.615</v>
      </c>
      <c r="X110" s="25">
        <f>INDEX('Inputs (2)'!$D$15:$AL$15,MATCH(X$7,'Inputs (2)'!$D$2:$AL$2,0))</f>
        <v>1026.176</v>
      </c>
      <c r="Y110" s="25">
        <f>INDEX('Inputs (2)'!$D$15:$AL$15,MATCH(Y$7,'Inputs (2)'!$D$2:$AL$2,0))</f>
        <v>2126.948</v>
      </c>
      <c r="Z110" s="25">
        <f>INDEX('Inputs (2)'!$D$15:$AL$15,MATCH(Z$7,'Inputs (2)'!$D$2:$AL$2,0))</f>
        <v>2337.434</v>
      </c>
      <c r="AA110" s="25">
        <f>INDEX('Inputs (2)'!$D$15:$AL$15,MATCH(AA$7,'Inputs (2)'!$D$2:$AL$2,0))</f>
        <v>2445.961</v>
      </c>
      <c r="AB110" s="3">
        <f>AA110</f>
        <v>2445.961</v>
      </c>
      <c r="AC110" s="25">
        <f>INDEX('Inputs (2)'!$D$15:$AL$15,MATCH(AC$7,'Inputs (2)'!$D$2:$AL$2,0))</f>
        <v>2545.291089</v>
      </c>
      <c r="AD110" s="25">
        <f>INDEX('Inputs (2)'!$D$15:$AL$15,MATCH(AD$7,'Inputs (2)'!$D$2:$AL$2,0))</f>
        <v>2190.792</v>
      </c>
      <c r="AE110" s="25">
        <f>INDEX('Inputs (2)'!$D$15:$AL$15,MATCH(AE$7,'Inputs (2)'!$D$2:$AL$2,0))</f>
        <v>2622.425</v>
      </c>
      <c r="AF110" s="25">
        <f>INDEX('Inputs (2)'!$D$15:$AL$15,MATCH(AF$7,'Inputs (2)'!$D$2:$AL$2,0))</f>
        <v>2275.013</v>
      </c>
      <c r="AG110" s="3">
        <f>AF110</f>
        <v>2275.013</v>
      </c>
      <c r="AH110" s="3">
        <f>AG110+AH280</f>
        <v>2983.26162359</v>
      </c>
      <c r="AI110" s="3">
        <f>AH110+AI280</f>
        <v>9298.33557422</v>
      </c>
      <c r="AJ110" s="3" t="e">
        <f>AI110+AJ280</f>
        <v>#DIV/0!</v>
      </c>
      <c r="AK110" s="3" t="e">
        <f>AJ110+AK280</f>
        <v>#DIV/0!</v>
      </c>
      <c r="AL110" s="3" t="e">
        <f>AK110</f>
        <v>#DIV/0!</v>
      </c>
      <c r="AM110" s="3" t="e">
        <f>AL110+AM280</f>
        <v>#DIV/0!</v>
      </c>
      <c r="AN110" s="3" t="e">
        <f>AM110+AN280</f>
        <v>#DIV/0!</v>
      </c>
      <c r="AO110" s="3" t="e">
        <f>AN110+AO280</f>
        <v>#DIV/0!</v>
      </c>
      <c r="AP110" s="3" t="e">
        <f>AO110+AP280</f>
        <v>#DIV/0!</v>
      </c>
      <c r="AQ110" s="3" t="e">
        <f>AP110</f>
        <v>#DIV/0!</v>
      </c>
      <c r="AR110" s="3" t="e">
        <f>AQ110+AR280</f>
        <v>#DIV/0!</v>
      </c>
      <c r="AS110" s="3" t="e">
        <f>AR110+AS280</f>
        <v>#DIV/0!</v>
      </c>
      <c r="AT110" s="3" t="e">
        <f>AS110+AT280</f>
        <v>#DIV/0!</v>
      </c>
      <c r="AU110" s="3" t="e">
        <f>AT110+AU280</f>
        <v>#DIV/0!</v>
      </c>
      <c r="AV110" s="3" t="e">
        <f>AU110</f>
        <v>#DIV/0!</v>
      </c>
      <c r="AW110" s="3" t="e">
        <f>AV110+AW280</f>
        <v>#DIV/0!</v>
      </c>
      <c r="AX110" s="3" t="e">
        <f>AW110+AX280</f>
        <v>#DIV/0!</v>
      </c>
      <c r="AY110" s="3" t="e">
        <f>AX110+AY280</f>
        <v>#DIV/0!</v>
      </c>
      <c r="AZ110" s="3" t="e">
        <f>AY110+AZ280</f>
        <v>#DIV/0!</v>
      </c>
      <c r="BA110" s="3" t="e">
        <f>AZ110</f>
        <v>#DIV/0!</v>
      </c>
      <c r="BB110" s="3" t="e">
        <f>BA110+BB280</f>
        <v>#DIV/0!</v>
      </c>
      <c r="BC110" s="3" t="e">
        <f>BB110+BC280</f>
        <v>#DIV/0!</v>
      </c>
      <c r="BD110" s="3" t="e">
        <f>BC110+BD280</f>
        <v>#DIV/0!</v>
      </c>
      <c r="BE110" s="3" t="e">
        <f>BD110+BE280</f>
        <v>#DIV/0!</v>
      </c>
      <c r="BF110" s="3" t="e">
        <f>BE110</f>
        <v>#DIV/0!</v>
      </c>
      <c r="BG110" s="3" t="e">
        <f>BF110+BG280</f>
        <v>#DIV/0!</v>
      </c>
      <c r="BH110" s="3" t="e">
        <f>BG110+BH280</f>
        <v>#DIV/0!</v>
      </c>
      <c r="BI110" s="3" t="e">
        <f>BH110+BI280</f>
        <v>#DIV/0!</v>
      </c>
      <c r="BJ110" s="3" t="e">
        <f>BI110+BJ280</f>
        <v>#DIV/0!</v>
      </c>
      <c r="BK110" s="3" t="e">
        <f>BJ110</f>
        <v>#DIV/0!</v>
      </c>
      <c r="BL110" s="3" t="e">
        <f>BK110+BL280</f>
        <v>#DIV/0!</v>
      </c>
      <c r="BM110" s="3" t="e">
        <f>BL110+BM280</f>
        <v>#DIV/0!</v>
      </c>
      <c r="BN110" s="3" t="e">
        <f>BM110+BN280</f>
        <v>#DIV/0!</v>
      </c>
      <c r="BO110" s="3" t="e">
        <f>BN110+BO280</f>
        <v>#DIV/0!</v>
      </c>
      <c r="BP110" s="3" t="e">
        <f>BO110</f>
        <v>#DIV/0!</v>
      </c>
      <c r="BQ110" s="3" t="e">
        <f>BP110+BQ280</f>
        <v>#DIV/0!</v>
      </c>
      <c r="BR110" s="3" t="e">
        <f>BQ110+BR280</f>
        <v>#DIV/0!</v>
      </c>
      <c r="BS110" s="3" t="e">
        <f>BR110+BS280</f>
        <v>#DIV/0!</v>
      </c>
      <c r="BT110" s="3" t="e">
        <f>BS110+BT280</f>
        <v>#DIV/0!</v>
      </c>
      <c r="BU110" s="3" t="e">
        <f>BT110</f>
        <v>#DIV/0!</v>
      </c>
      <c r="BV110" s="3" t="e">
        <f>BU110+BV280</f>
        <v>#DIV/0!</v>
      </c>
      <c r="BW110" s="3" t="e">
        <f>BV110+BW280</f>
        <v>#DIV/0!</v>
      </c>
      <c r="BX110" s="3" t="e">
        <f>BW110+BX280</f>
        <v>#DIV/0!</v>
      </c>
      <c r="BY110" s="3" t="e">
        <f>BX110+BY280</f>
        <v>#DIV/0!</v>
      </c>
      <c r="BZ110" s="3" t="e">
        <f>BY110</f>
        <v>#DIV/0!</v>
      </c>
      <c r="CA110" s="3" t="e">
        <f>BZ110+CA280</f>
        <v>#DIV/0!</v>
      </c>
      <c r="CB110" s="3" t="e">
        <f>CA110+CB280</f>
        <v>#DIV/0!</v>
      </c>
      <c r="CC110" s="3" t="e">
        <f>CB110+CC280</f>
        <v>#DIV/0!</v>
      </c>
      <c r="CD110" s="3" t="e">
        <f>CC110+CD280</f>
        <v>#DIV/0!</v>
      </c>
      <c r="CE110" s="3" t="e">
        <f>CD110</f>
        <v>#DIV/0!</v>
      </c>
      <c r="CF110" s="3" t="e">
        <f>CE110+CF280</f>
        <v>#DIV/0!</v>
      </c>
      <c r="CG110" s="3" t="e">
        <f>CF110+CG280</f>
        <v>#DIV/0!</v>
      </c>
      <c r="CH110" s="3" t="e">
        <f>CG110+CH280</f>
        <v>#DIV/0!</v>
      </c>
      <c r="CI110" s="3" t="e">
        <f>CH110+CI280</f>
        <v>#DIV/0!</v>
      </c>
      <c r="CJ110" s="3" t="e">
        <f>CI110</f>
        <v>#DIV/0!</v>
      </c>
      <c r="CK110" s="3" t="e">
        <f>CJ110+CK280</f>
        <v>#DIV/0!</v>
      </c>
      <c r="CL110" s="3" t="e">
        <f>CK110+CL280</f>
        <v>#DIV/0!</v>
      </c>
      <c r="CM110" s="3" t="e">
        <f>CL110+CM280</f>
        <v>#DIV/0!</v>
      </c>
      <c r="CN110" s="3" t="e">
        <f>CM110+CN280</f>
        <v>#DIV/0!</v>
      </c>
      <c r="CO110" s="3" t="e">
        <f>CN110</f>
        <v>#DIV/0!</v>
      </c>
      <c r="CP110" s="3" t="e">
        <f>CO110+CP280</f>
        <v>#DIV/0!</v>
      </c>
      <c r="CQ110" s="3" t="e">
        <f>CP110+CQ280</f>
        <v>#DIV/0!</v>
      </c>
      <c r="CR110" s="3" t="e">
        <f>CQ110+CR280</f>
        <v>#DIV/0!</v>
      </c>
      <c r="CS110" s="3" t="e">
        <f>CR110+CS280</f>
        <v>#DIV/0!</v>
      </c>
      <c r="CT110" s="3" t="e">
        <f>CS110</f>
        <v>#DIV/0!</v>
      </c>
      <c r="CU110" s="3" t="e">
        <f>CT110+CU280</f>
        <v>#DIV/0!</v>
      </c>
      <c r="CV110" s="3" t="e">
        <f>CU110+CV280</f>
        <v>#DIV/0!</v>
      </c>
      <c r="CW110" s="3" t="e">
        <f>CV110+CW280</f>
        <v>#DIV/0!</v>
      </c>
      <c r="CX110" s="3" t="e">
        <f>CW110+CX280</f>
        <v>#DIV/0!</v>
      </c>
      <c r="CY110" s="3" t="e">
        <f>CX110</f>
        <v>#DIV/0!</v>
      </c>
    </row>
    <row r="111">
      <c r="C111" s="26" t="inlineStr">
        <is>
          <t>Accounts receivable</t>
        </is>
      </c>
      <c r="D111" s="25">
        <f>INDEX('Inputs (2)'!$D$16:$AL$16,MATCH(D$7,'Inputs (2)'!$D$2:$AL$2,0))</f>
        <v>548.08151402</v>
      </c>
      <c r="E111" s="25">
        <f>INDEX('Inputs (2)'!$D$16:$AL$16,MATCH(E$7,'Inputs (2)'!$D$2:$AL$2,0))</f>
        <v>425.91700577</v>
      </c>
      <c r="F111" s="25">
        <f>INDEX('Inputs (2)'!$D$16:$AL$16,MATCH(F$7,'Inputs (2)'!$D$2:$AL$2,0))</f>
        <v>642.00719746</v>
      </c>
      <c r="G111" s="25">
        <f>INDEX('Inputs (2)'!$D$16:$AL$16,MATCH(G$7,'Inputs (2)'!$D$2:$AL$2,0))</f>
        <v>704.46811931</v>
      </c>
      <c r="H111" s="3">
        <f>G111</f>
        <v>704.46811931</v>
      </c>
      <c r="I111" s="25">
        <f>INDEX('Inputs (2)'!$D$16:$AL$16,MATCH(I$7,'Inputs (2)'!$D$2:$AL$2,0))</f>
        <v>722.33269323</v>
      </c>
      <c r="J111" s="25">
        <f>INDEX('Inputs (2)'!$D$16:$AL$16,MATCH(J$7,'Inputs (2)'!$D$2:$AL$2,0))</f>
        <v>710.16007206</v>
      </c>
      <c r="K111" s="25">
        <f>INDEX('Inputs (2)'!$D$16:$AL$16,MATCH(K$7,'Inputs (2)'!$D$2:$AL$2,0))</f>
        <v>798.87962103</v>
      </c>
      <c r="L111" s="25">
        <f>INDEX('Inputs (2)'!$D$16:$AL$16,MATCH(L$7,'Inputs (2)'!$D$2:$AL$2,0))</f>
        <v>793.850845533222</v>
      </c>
      <c r="M111" s="3">
        <f>L111</f>
        <v>793.850845533222</v>
      </c>
      <c r="N111" s="25">
        <f>INDEX('Inputs (2)'!$D$16:$AL$16,MATCH(N$7,'Inputs (2)'!$D$2:$AL$2,0))</f>
        <v>867.74374465</v>
      </c>
      <c r="O111" s="25">
        <f>INDEX('Inputs (2)'!$D$16:$AL$16,MATCH(O$7,'Inputs (2)'!$D$2:$AL$2,0))</f>
        <v>900.92993497</v>
      </c>
      <c r="P111" s="25">
        <f>INDEX('Inputs (2)'!$D$16:$AL$16,MATCH(P$7,'Inputs (2)'!$D$2:$AL$2,0))</f>
        <v>885.46691962</v>
      </c>
      <c r="Q111" s="25">
        <f>INDEX('Inputs (2)'!$D$16:$AL$16,MATCH(Q$7,'Inputs (2)'!$D$2:$AL$2,0))</f>
        <v>856.84906289</v>
      </c>
      <c r="R111" s="3">
        <f>Q111</f>
        <v>856.84906289</v>
      </c>
      <c r="S111" s="25">
        <f>INDEX('Inputs (2)'!$D$16:$AL$16,MATCH(S$7,'Inputs (2)'!$D$2:$AL$2,0))</f>
        <v>973.70141759</v>
      </c>
      <c r="T111" s="25">
        <f>INDEX('Inputs (2)'!$D$16:$AL$16,MATCH(T$7,'Inputs (2)'!$D$2:$AL$2,0))</f>
        <v>1486.024</v>
      </c>
      <c r="U111" s="25">
        <f>INDEX('Inputs (2)'!$D$16:$AL$16,MATCH(U$7,'Inputs (2)'!$D$2:$AL$2,0))</f>
        <v>1558.622</v>
      </c>
      <c r="V111" s="25">
        <f>INDEX('Inputs (2)'!$D$16:$AL$16,MATCH(V$7,'Inputs (2)'!$D$2:$AL$2,0))</f>
        <v>1505.194</v>
      </c>
      <c r="W111" s="3">
        <f>V111</f>
        <v>1505.194</v>
      </c>
      <c r="X111" s="25">
        <f>INDEX('Inputs (2)'!$D$16:$AL$16,MATCH(X$7,'Inputs (2)'!$D$2:$AL$2,0))</f>
        <v>1731.049</v>
      </c>
      <c r="Y111" s="25">
        <f>INDEX('Inputs (2)'!$D$16:$AL$16,MATCH(Y$7,'Inputs (2)'!$D$2:$AL$2,0))</f>
        <v>1759.05</v>
      </c>
      <c r="Z111" s="25">
        <f>INDEX('Inputs (2)'!$D$16:$AL$16,MATCH(Z$7,'Inputs (2)'!$D$2:$AL$2,0))</f>
        <v>1763.847</v>
      </c>
      <c r="AA111" s="25">
        <f>INDEX('Inputs (2)'!$D$16:$AL$16,MATCH(AA$7,'Inputs (2)'!$D$2:$AL$2,0))</f>
        <v>1634.904</v>
      </c>
      <c r="AB111" s="3">
        <f>AA111</f>
        <v>1634.904</v>
      </c>
      <c r="AC111" s="25">
        <f>INDEX('Inputs (2)'!$D$16:$AL$16,MATCH(AC$7,'Inputs (2)'!$D$2:$AL$2,0))</f>
        <v>1789.123657</v>
      </c>
      <c r="AD111" s="25">
        <f>INDEX('Inputs (2)'!$D$16:$AL$16,MATCH(AD$7,'Inputs (2)'!$D$2:$AL$2,0))</f>
        <v>1859.62</v>
      </c>
      <c r="AE111" s="25">
        <f>INDEX('Inputs (2)'!$D$16:$AL$16,MATCH(AE$7,'Inputs (2)'!$D$2:$AL$2,0))</f>
        <v>1911.173</v>
      </c>
      <c r="AF111" s="25">
        <f>INDEX('Inputs (2)'!$D$16:$AL$16,MATCH(AF$7,'Inputs (2)'!$D$2:$AL$2,0))</f>
        <v>1747.166</v>
      </c>
      <c r="AG111" s="3">
        <f>AF111</f>
        <v>1747.166</v>
      </c>
      <c r="AH111" s="3">
        <f>(AH112/(AH$5-AG$5))*AH$15</f>
        <v>0</v>
      </c>
      <c r="AI111" s="3">
        <f>(AI112/(AI$5-AH$5))*AI$15</f>
        <v>0</v>
      </c>
      <c r="AJ111" s="3">
        <f>(AJ112/(AJ$5-AI$5))*AJ$15</f>
        <v>0</v>
      </c>
      <c r="AK111" s="3">
        <f>(AK112/(AK$5-AJ$5))*AK$15</f>
        <v>0</v>
      </c>
      <c r="AL111" s="3">
        <f>AK111</f>
        <v>0</v>
      </c>
      <c r="AM111" s="3">
        <f>(AM112/(AM$5-AL$5))*AM$15</f>
        <v>0</v>
      </c>
      <c r="AN111" s="3">
        <f>(AN112/(AN$5-AM$5))*AN$15</f>
        <v>0</v>
      </c>
      <c r="AO111" s="3">
        <f>(AO112/(AO$5-AN$5))*AO$15</f>
        <v>0</v>
      </c>
      <c r="AP111" s="3">
        <f>(AP112/(AP$5-AO$5))*AP$15</f>
        <v>0</v>
      </c>
      <c r="AQ111" s="3">
        <f>AP111</f>
        <v>0</v>
      </c>
      <c r="AR111" s="3">
        <f>(AR112/(AR$5-AQ$5))*AR$15</f>
        <v>0</v>
      </c>
      <c r="AS111" s="3">
        <f>(AS112/(AS$5-AR$5))*AS$15</f>
        <v>0</v>
      </c>
      <c r="AT111" s="3">
        <f>(AT112/(AT$5-AS$5))*AT$15</f>
        <v>0</v>
      </c>
      <c r="AU111" s="3">
        <f>(AU112/(AU$5-AT$5))*AU$15</f>
        <v>0</v>
      </c>
      <c r="AV111" s="3">
        <f>AU111</f>
        <v>0</v>
      </c>
      <c r="AW111" s="3">
        <f>(AW112/(AW$5-AV$5))*AW$15</f>
        <v>0</v>
      </c>
      <c r="AX111" s="3">
        <f>(AX112/(AX$5-AW$5))*AX$15</f>
        <v>0</v>
      </c>
      <c r="AY111" s="3">
        <f>(AY112/(AY$5-AX$5))*AY$15</f>
        <v>0</v>
      </c>
      <c r="AZ111" s="3">
        <f>(AZ112/(AZ$5-AY$5))*AZ$15</f>
        <v>0</v>
      </c>
      <c r="BA111" s="3">
        <f>AZ111</f>
        <v>0</v>
      </c>
      <c r="BB111" s="3">
        <f>(BB112/(BB$5-BA$5))*BB$15</f>
        <v>0</v>
      </c>
      <c r="BC111" s="3">
        <f>(BC112/(BC$5-BB$5))*BC$15</f>
        <v>0</v>
      </c>
      <c r="BD111" s="3">
        <f>(BD112/(BD$5-BC$5))*BD$15</f>
        <v>0</v>
      </c>
      <c r="BE111" s="3">
        <f>(BE112/(BE$5-BD$5))*BE$15</f>
        <v>0</v>
      </c>
      <c r="BF111" s="3">
        <f>BE111</f>
        <v>0</v>
      </c>
      <c r="BG111" s="3">
        <f>(BG112/(BG$5-BF$5))*BG$15</f>
        <v>0</v>
      </c>
      <c r="BH111" s="3">
        <f>(BH112/(BH$5-BG$5))*BH$15</f>
        <v>0</v>
      </c>
      <c r="BI111" s="3">
        <f>(BI112/(BI$5-BH$5))*BI$15</f>
        <v>0</v>
      </c>
      <c r="BJ111" s="3">
        <f>(BJ112/(BJ$5-BI$5))*BJ$15</f>
        <v>0</v>
      </c>
      <c r="BK111" s="3">
        <f>BJ111</f>
        <v>0</v>
      </c>
      <c r="BL111" s="3">
        <f>(BL112/(BL$5-BK$5))*BL$15</f>
        <v>0</v>
      </c>
      <c r="BM111" s="3">
        <f>(BM112/(BM$5-BL$5))*BM$15</f>
        <v>0</v>
      </c>
      <c r="BN111" s="3">
        <f>(BN112/(BN$5-BM$5))*BN$15</f>
        <v>0</v>
      </c>
      <c r="BO111" s="3">
        <f>(BO112/(BO$5-BN$5))*BO$15</f>
        <v>0</v>
      </c>
      <c r="BP111" s="3">
        <f>BO111</f>
        <v>0</v>
      </c>
      <c r="BQ111" s="3">
        <f>(BQ112/(BQ$5-BP$5))*BQ$15</f>
        <v>0</v>
      </c>
      <c r="BR111" s="3">
        <f>(BR112/(BR$5-BQ$5))*BR$15</f>
        <v>0</v>
      </c>
      <c r="BS111" s="3">
        <f>(BS112/(BS$5-BR$5))*BS$15</f>
        <v>0</v>
      </c>
      <c r="BT111" s="3">
        <f>(BT112/(BT$5-BS$5))*BT$15</f>
        <v>0</v>
      </c>
      <c r="BU111" s="3">
        <f>BT111</f>
        <v>0</v>
      </c>
      <c r="BV111" s="3">
        <f>(BV112/(BV$5-BU$5))*BV$15</f>
        <v>0</v>
      </c>
      <c r="BW111" s="3">
        <f>(BW112/(BW$5-BV$5))*BW$15</f>
        <v>0</v>
      </c>
      <c r="BX111" s="3">
        <f>(BX112/(BX$5-BW$5))*BX$15</f>
        <v>0</v>
      </c>
      <c r="BY111" s="3">
        <f>(BY112/(BY$5-BX$5))*BY$15</f>
        <v>0</v>
      </c>
      <c r="BZ111" s="3">
        <f>BY111</f>
        <v>0</v>
      </c>
      <c r="CA111" s="3">
        <f>(CA112/(CA$5-BZ$5))*CA$15</f>
        <v>0</v>
      </c>
      <c r="CB111" s="3">
        <f>(CB112/(CB$5-CA$5))*CB$15</f>
        <v>0</v>
      </c>
      <c r="CC111" s="3">
        <f>(CC112/(CC$5-CB$5))*CC$15</f>
        <v>0</v>
      </c>
      <c r="CD111" s="3">
        <f>(CD112/(CD$5-CC$5))*CD$15</f>
        <v>0</v>
      </c>
      <c r="CE111" s="3">
        <f>CD111</f>
        <v>0</v>
      </c>
      <c r="CF111" s="3">
        <f>(CF112/(CF$5-CE$5))*CF$15</f>
        <v>0</v>
      </c>
      <c r="CG111" s="3">
        <f>(CG112/(CG$5-CF$5))*CG$15</f>
        <v>0</v>
      </c>
      <c r="CH111" s="3">
        <f>(CH112/(CH$5-CG$5))*CH$15</f>
        <v>0</v>
      </c>
      <c r="CI111" s="3">
        <f>(CI112/(CI$5-CH$5))*CI$15</f>
        <v>0</v>
      </c>
      <c r="CJ111" s="3">
        <f>CI111</f>
        <v>0</v>
      </c>
      <c r="CK111" s="3">
        <f>(CK112/(CK$5-CJ$5))*CK$15</f>
        <v>0</v>
      </c>
      <c r="CL111" s="3">
        <f>(CL112/(CL$5-CK$5))*CL$15</f>
        <v>0</v>
      </c>
      <c r="CM111" s="3">
        <f>(CM112/(CM$5-CL$5))*CM$15</f>
        <v>0</v>
      </c>
      <c r="CN111" s="3">
        <f>(CN112/(CN$5-CM$5))*CN$15</f>
        <v>0</v>
      </c>
      <c r="CO111" s="3">
        <f>CN111</f>
        <v>0</v>
      </c>
      <c r="CP111" s="3">
        <f>(CP112/(CP$5-CO$5))*CP$15</f>
        <v>0</v>
      </c>
      <c r="CQ111" s="3">
        <f>(CQ112/(CQ$5-CP$5))*CQ$15</f>
        <v>0</v>
      </c>
      <c r="CR111" s="3">
        <f>(CR112/(CR$5-CQ$5))*CR$15</f>
        <v>0</v>
      </c>
      <c r="CS111" s="3">
        <f>(CS112/(CS$5-CR$5))*CS$15</f>
        <v>0</v>
      </c>
      <c r="CT111" s="3">
        <f>CS111</f>
        <v>0</v>
      </c>
      <c r="CU111" s="3">
        <f>(CU112/(CU$5-CT$5))*CU$15</f>
        <v>0</v>
      </c>
      <c r="CV111" s="3">
        <f>(CV112/(CV$5-CU$5))*CV$15</f>
        <v>0</v>
      </c>
      <c r="CW111" s="3">
        <f>(CW112/(CW$5-CV$5))*CW$15</f>
        <v>0</v>
      </c>
      <c r="CX111" s="3">
        <f>(CX112/(CX$5-CW$5))*CX$15</f>
        <v>0</v>
      </c>
      <c r="CY111" s="3">
        <f>CX111</f>
        <v>0</v>
      </c>
    </row>
    <row r="112" hidden="1" outlineLevel="1">
      <c r="C112" s="34" t="inlineStr">
        <is>
          <t>DSO</t>
        </is>
      </c>
      <c r="D112" s="3" t="n"/>
      <c r="E112" s="3">
        <f>(E111/E$15)*(E$5-D$5)</f>
        <v>85.1939061578468</v>
      </c>
      <c r="F112" s="3">
        <f>(F111/F$15)*(F$5-E$5)</f>
        <v>67.5346506957605</v>
      </c>
      <c r="G112" s="3">
        <f>(G111/G$15)*(G$5-F$5)</f>
        <v>69.8278680665118</v>
      </c>
      <c r="H112" s="3" t="n"/>
      <c r="I112" s="3">
        <f>(I111/I$15)*(I$5-H$5)</f>
        <v>72.7336789893666</v>
      </c>
      <c r="J112" s="3">
        <f>(J111/J$15)*(J$5-I$5)</f>
        <v>69.3347272424099</v>
      </c>
      <c r="K112" s="3">
        <f>(K111/K$15)*(K$5-J$5)</f>
        <v>71.4373947989124</v>
      </c>
      <c r="L112" s="3">
        <f>(L111/L$15)*(L$5-K$5)</f>
        <v>71.7466812072558</v>
      </c>
      <c r="M112" s="3" t="n"/>
      <c r="N112" s="3">
        <f>(N111/N$15)*(N$5-M$5)</f>
        <v>71.654313531596</v>
      </c>
      <c r="O112" s="3">
        <f>(O111/O$15)*(O$5-N$5)</f>
        <v>73.7440269083562</v>
      </c>
      <c r="P112" s="3">
        <f>(P111/P$15)*(P$5-O$5)</f>
        <v>71.0452457835497</v>
      </c>
      <c r="Q112" s="3">
        <f>(Q111/Q$15)*(Q$5-P$5)</f>
        <v>70.7157143773324</v>
      </c>
      <c r="R112" s="3" t="n"/>
      <c r="S112" s="3">
        <f>(S111/S$15)*(S$5-R$5)</f>
        <v>70.8533932096631</v>
      </c>
      <c r="T112" s="3">
        <f>(T111/T$15)*(T$5-S$5)</f>
        <v>81.4852926200678</v>
      </c>
      <c r="U112" s="3">
        <f>(U111/U$15)*(U$5-T$5)</f>
        <v>76.6790232320613</v>
      </c>
      <c r="V112" s="3">
        <f>(V111/V$15)*(V$5-U$5)</f>
        <v>81.2453304911115</v>
      </c>
      <c r="W112" s="3" t="n"/>
      <c r="X112" s="3">
        <f>(X111/X$15)*(X$5-W$5)</f>
        <v>82.7144765418237</v>
      </c>
      <c r="Y112" s="3">
        <f>(Y111/Y$15)*(Y$5-X$5)</f>
        <v>80.9187079984754</v>
      </c>
      <c r="Z112" s="3">
        <f>(Z111/Z$15)*(Z$5-Y$5)</f>
        <v>82.680125609244</v>
      </c>
      <c r="AA112" s="3">
        <f>(AA111/AA$15)*(AA$5-Z$5)</f>
        <v>81.7746634334565</v>
      </c>
      <c r="AB112" s="3" t="n"/>
      <c r="AC112" s="3">
        <f>(AC111/AC$15)*(AC$5-AB$5)</f>
        <v>79.9082957400076</v>
      </c>
      <c r="AD112" s="3">
        <f>(AD111/AD$15)*(AD$5-AC$5)</f>
        <v>83.5873853377544</v>
      </c>
      <c r="AE112" s="3">
        <f>(AE111/AE$15)*(AE$5-AD$5)</f>
        <v>80.2508382087268</v>
      </c>
      <c r="AF112" s="6">
        <f>(AF111/AF$15)*(AF$5-AE$5)</f>
        <v>78.006229085761</v>
      </c>
      <c r="AG112" s="3" t="n"/>
      <c r="AH112" s="6" t="n"/>
      <c r="AI112" s="6" t="n"/>
      <c r="AJ112" s="6" t="n"/>
      <c r="AK112" s="6" t="n"/>
      <c r="AL112" s="3" t="n"/>
      <c r="AM112" s="6" t="n"/>
      <c r="AN112" s="6" t="n"/>
      <c r="AO112" s="6" t="n"/>
      <c r="AP112" s="6" t="n"/>
      <c r="AQ112" s="3" t="n"/>
      <c r="AR112" s="6" t="n"/>
      <c r="AS112" s="6" t="n"/>
      <c r="AT112" s="6" t="n"/>
      <c r="AU112" s="6" t="n"/>
      <c r="AV112" s="3" t="n"/>
      <c r="AW112" s="6" t="n"/>
      <c r="AX112" s="6" t="n"/>
      <c r="AY112" s="6" t="n"/>
      <c r="AZ112" s="6" t="n"/>
      <c r="BA112" s="3" t="n"/>
      <c r="BB112" s="6" t="n"/>
      <c r="BC112" s="6" t="n"/>
      <c r="BD112" s="6" t="n"/>
      <c r="BE112" s="6" t="n"/>
      <c r="BF112" s="3" t="n"/>
      <c r="BG112" s="6" t="n"/>
      <c r="BH112" s="6" t="n"/>
      <c r="BI112" s="6" t="n"/>
      <c r="BJ112" s="6" t="n"/>
      <c r="BK112" s="3" t="n"/>
      <c r="BL112" s="6" t="n"/>
      <c r="BM112" s="6" t="n"/>
      <c r="BN112" s="6" t="n"/>
      <c r="BO112" s="6" t="n"/>
      <c r="BP112" s="3" t="n"/>
      <c r="BQ112" s="6" t="n"/>
      <c r="BR112" s="6" t="n"/>
      <c r="BS112" s="6" t="n"/>
      <c r="BT112" s="6" t="n"/>
      <c r="BU112" s="3" t="n"/>
      <c r="BV112" s="6" t="n"/>
      <c r="BW112" s="6" t="n"/>
      <c r="BX112" s="6" t="n"/>
      <c r="BY112" s="6" t="n"/>
      <c r="BZ112" s="3" t="n"/>
      <c r="CA112" s="6" t="n"/>
      <c r="CB112" s="6" t="n"/>
      <c r="CC112" s="6" t="n"/>
      <c r="CD112" s="6" t="n"/>
      <c r="CE112" s="3" t="n"/>
      <c r="CF112" s="6" t="n"/>
      <c r="CG112" s="6" t="n"/>
      <c r="CH112" s="6" t="n"/>
      <c r="CI112" s="6" t="n"/>
      <c r="CJ112" s="3" t="n"/>
      <c r="CK112" s="6" t="n"/>
      <c r="CL112" s="6" t="n"/>
      <c r="CM112" s="6" t="n"/>
      <c r="CN112" s="6" t="n"/>
      <c r="CO112" s="3" t="n"/>
      <c r="CP112" s="6" t="n"/>
      <c r="CQ112" s="6" t="n"/>
      <c r="CR112" s="6" t="n"/>
      <c r="CS112" s="6" t="n"/>
      <c r="CT112" s="3" t="n"/>
      <c r="CU112" s="6" t="n"/>
      <c r="CV112" s="6" t="n"/>
      <c r="CW112" s="6" t="n"/>
      <c r="CX112" s="6" t="n"/>
      <c r="CY112" s="3" t="n"/>
    </row>
    <row r="113" hidden="1" outlineLevel="1">
      <c r="C113" s="34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collapsed="1">
      <c r="C115" s="26" t="inlineStr">
        <is>
          <t>Inventories</t>
        </is>
      </c>
      <c r="D115" s="25">
        <f>INDEX('Inputs (2)'!$D$17:$AL$17,MATCH(D$7,'Inputs (2)'!$D$2:$AL$2,0))</f>
        <v>36.86838604</v>
      </c>
      <c r="E115" s="25">
        <f>INDEX('Inputs (2)'!$D$17:$AL$17,MATCH(E$7,'Inputs (2)'!$D$2:$AL$2,0))</f>
        <v>83.86315236</v>
      </c>
      <c r="F115" s="25">
        <f>INDEX('Inputs (2)'!$D$17:$AL$17,MATCH(F$7,'Inputs (2)'!$D$2:$AL$2,0))</f>
        <v>81.68701938</v>
      </c>
      <c r="G115" s="25">
        <f>INDEX('Inputs (2)'!$D$17:$AL$17,MATCH(G$7,'Inputs (2)'!$D$2:$AL$2,0))</f>
        <v>63.09252977</v>
      </c>
      <c r="H115" s="3">
        <f>G115</f>
        <v>63.09252977</v>
      </c>
      <c r="I115" s="25">
        <f>INDEX('Inputs (2)'!$D$17:$AL$17,MATCH(I$7,'Inputs (2)'!$D$2:$AL$2,0))</f>
        <v>63.8348316</v>
      </c>
      <c r="J115" s="25">
        <f>INDEX('Inputs (2)'!$D$17:$AL$17,MATCH(J$7,'Inputs (2)'!$D$2:$AL$2,0))</f>
        <v>71.51351074</v>
      </c>
      <c r="K115" s="25">
        <f>INDEX('Inputs (2)'!$D$17:$AL$17,MATCH(K$7,'Inputs (2)'!$D$2:$AL$2,0))</f>
        <v>68.37885212</v>
      </c>
      <c r="L115" s="25">
        <f>INDEX('Inputs (2)'!$D$17:$AL$17,MATCH(L$7,'Inputs (2)'!$D$2:$AL$2,0))</f>
        <v>72.60991872</v>
      </c>
      <c r="M115" s="3">
        <f>L115</f>
        <v>72.60991872</v>
      </c>
      <c r="N115" s="25">
        <f>INDEX('Inputs (2)'!$D$17:$AL$17,MATCH(N$7,'Inputs (2)'!$D$2:$AL$2,0))</f>
        <v>95.16856361</v>
      </c>
      <c r="O115" s="25">
        <f>INDEX('Inputs (2)'!$D$17:$AL$17,MATCH(O$7,'Inputs (2)'!$D$2:$AL$2,0))</f>
        <v>76.20863578</v>
      </c>
      <c r="P115" s="25">
        <f>INDEX('Inputs (2)'!$D$17:$AL$17,MATCH(P$7,'Inputs (2)'!$D$2:$AL$2,0))</f>
        <v>85.47263984</v>
      </c>
      <c r="Q115" s="25">
        <f>INDEX('Inputs (2)'!$D$17:$AL$17,MATCH(Q$7,'Inputs (2)'!$D$2:$AL$2,0))</f>
        <v>96.57554571</v>
      </c>
      <c r="R115" s="3">
        <f>Q115</f>
        <v>96.57554571</v>
      </c>
      <c r="S115" s="25">
        <f>INDEX('Inputs (2)'!$D$17:$AL$17,MATCH(S$7,'Inputs (2)'!$D$2:$AL$2,0))</f>
        <v>99.24706762</v>
      </c>
      <c r="T115" s="25">
        <f>INDEX('Inputs (2)'!$D$17:$AL$17,MATCH(T$7,'Inputs (2)'!$D$2:$AL$2,0))</f>
        <v>132.464</v>
      </c>
      <c r="U115" s="25">
        <f>INDEX('Inputs (2)'!$D$17:$AL$17,MATCH(U$7,'Inputs (2)'!$D$2:$AL$2,0))</f>
        <v>135.196</v>
      </c>
      <c r="V115" s="25">
        <f>INDEX('Inputs (2)'!$D$17:$AL$17,MATCH(V$7,'Inputs (2)'!$D$2:$AL$2,0))</f>
        <v>134.929</v>
      </c>
      <c r="W115" s="3">
        <f>V115</f>
        <v>134.929</v>
      </c>
      <c r="X115" s="25">
        <f>INDEX('Inputs (2)'!$D$17:$AL$17,MATCH(X$7,'Inputs (2)'!$D$2:$AL$2,0))</f>
        <v>127.562</v>
      </c>
      <c r="Y115" s="25">
        <f>INDEX('Inputs (2)'!$D$17:$AL$17,MATCH(Y$7,'Inputs (2)'!$D$2:$AL$2,0))</f>
        <v>139.551</v>
      </c>
      <c r="Z115" s="25">
        <f>INDEX('Inputs (2)'!$D$17:$AL$17,MATCH(Z$7,'Inputs (2)'!$D$2:$AL$2,0))</f>
        <v>139.511</v>
      </c>
      <c r="AA115" s="25">
        <f>INDEX('Inputs (2)'!$D$17:$AL$17,MATCH(AA$7,'Inputs (2)'!$D$2:$AL$2,0))</f>
        <v>155.036</v>
      </c>
      <c r="AB115" s="3">
        <f>AA115</f>
        <v>155.036</v>
      </c>
      <c r="AC115" s="25">
        <f>INDEX('Inputs (2)'!$D$17:$AL$17,MATCH(AC$7,'Inputs (2)'!$D$2:$AL$2,0))</f>
        <v>155.495579</v>
      </c>
      <c r="AD115" s="25">
        <f>INDEX('Inputs (2)'!$D$17:$AL$17,MATCH(AD$7,'Inputs (2)'!$D$2:$AL$2,0))</f>
        <v>149.579</v>
      </c>
      <c r="AE115" s="25">
        <f>INDEX('Inputs (2)'!$D$17:$AL$17,MATCH(AE$7,'Inputs (2)'!$D$2:$AL$2,0))</f>
        <v>154.975</v>
      </c>
      <c r="AF115" s="25">
        <f>INDEX('Inputs (2)'!$D$17:$AL$17,MATCH(AF$7,'Inputs (2)'!$D$2:$AL$2,0))</f>
        <v>180.702</v>
      </c>
      <c r="AG115" s="3">
        <f>AF115</f>
        <v>180.702</v>
      </c>
      <c r="AH115" s="3">
        <f>(AH116/(AH$5-AG$5))*-AH$20</f>
        <v>0</v>
      </c>
      <c r="AI115" s="3">
        <f>(AI116/(AI$5-AH$5))*-AI$20</f>
        <v>0</v>
      </c>
      <c r="AJ115" s="3">
        <f>(AJ116/(AJ$5-AI$5))*-AJ$20</f>
        <v>0</v>
      </c>
      <c r="AK115" s="3">
        <f>(AK116/(AK$5-AJ$5))*-AK$20</f>
        <v>0</v>
      </c>
      <c r="AL115" s="3">
        <f>AK115</f>
        <v>0</v>
      </c>
      <c r="AM115" s="3">
        <f>(AM116/(AM$5-AL$5))*-AM$20</f>
        <v>0</v>
      </c>
      <c r="AN115" s="3">
        <f>(AN116/(AN$5-AM$5))*-AN$20</f>
        <v>0</v>
      </c>
      <c r="AO115" s="3">
        <f>(AO116/(AO$5-AN$5))*-AO$20</f>
        <v>0</v>
      </c>
      <c r="AP115" s="3">
        <f>(AP116/(AP$5-AO$5))*-AP$20</f>
        <v>0</v>
      </c>
      <c r="AQ115" s="3">
        <f>AP115</f>
        <v>0</v>
      </c>
      <c r="AR115" s="3">
        <f>(AR116/(AR$5-AQ$5))*-AR$20</f>
        <v>0</v>
      </c>
      <c r="AS115" s="3">
        <f>(AS116/(AS$5-AR$5))*-AS$20</f>
        <v>0</v>
      </c>
      <c r="AT115" s="3">
        <f>(AT116/(AT$5-AS$5))*-AT$20</f>
        <v>0</v>
      </c>
      <c r="AU115" s="3">
        <f>(AU116/(AU$5-AT$5))*-AU$20</f>
        <v>0</v>
      </c>
      <c r="AV115" s="3">
        <f>AU115</f>
        <v>0</v>
      </c>
      <c r="AW115" s="3">
        <f>(AW116/(AW$5-AV$5))*-AW$20</f>
        <v>0</v>
      </c>
      <c r="AX115" s="3">
        <f>(AX116/(AX$5-AW$5))*-AX$20</f>
        <v>0</v>
      </c>
      <c r="AY115" s="3">
        <f>(AY116/(AY$5-AX$5))*-AY$20</f>
        <v>0</v>
      </c>
      <c r="AZ115" s="3">
        <f>(AZ116/(AZ$5-AY$5))*-AZ$20</f>
        <v>0</v>
      </c>
      <c r="BA115" s="3">
        <f>AZ115</f>
        <v>0</v>
      </c>
      <c r="BB115" s="3">
        <f>(BB116/(BB$5-BA$5))*-BB$20</f>
        <v>0</v>
      </c>
      <c r="BC115" s="3">
        <f>(BC116/(BC$5-BB$5))*-BC$20</f>
        <v>0</v>
      </c>
      <c r="BD115" s="3">
        <f>(BD116/(BD$5-BC$5))*-BD$20</f>
        <v>0</v>
      </c>
      <c r="BE115" s="3">
        <f>(BE116/(BE$5-BD$5))*-BE$20</f>
        <v>0</v>
      </c>
      <c r="BF115" s="3">
        <f>BE115</f>
        <v>0</v>
      </c>
      <c r="BG115" s="3">
        <f>(BG116/(BG$5-BF$5))*-BG$20</f>
        <v>0</v>
      </c>
      <c r="BH115" s="3">
        <f>(BH116/(BH$5-BG$5))*-BH$20</f>
        <v>0</v>
      </c>
      <c r="BI115" s="3">
        <f>(BI116/(BI$5-BH$5))*-BI$20</f>
        <v>0</v>
      </c>
      <c r="BJ115" s="3">
        <f>(BJ116/(BJ$5-BI$5))*-BJ$20</f>
        <v>0</v>
      </c>
      <c r="BK115" s="3">
        <f>BJ115</f>
        <v>0</v>
      </c>
      <c r="BL115" s="3">
        <f>(BL116/(BL$5-BK$5))*-BL$20</f>
        <v>0</v>
      </c>
      <c r="BM115" s="3">
        <f>(BM116/(BM$5-BL$5))*-BM$20</f>
        <v>0</v>
      </c>
      <c r="BN115" s="3">
        <f>(BN116/(BN$5-BM$5))*-BN$20</f>
        <v>0</v>
      </c>
      <c r="BO115" s="3">
        <f>(BO116/(BO$5-BN$5))*-BO$20</f>
        <v>0</v>
      </c>
      <c r="BP115" s="3">
        <f>BO115</f>
        <v>0</v>
      </c>
      <c r="BQ115" s="3">
        <f>(BQ116/(BQ$5-BP$5))*-BQ$20</f>
        <v>0</v>
      </c>
      <c r="BR115" s="3">
        <f>(BR116/(BR$5-BQ$5))*-BR$20</f>
        <v>0</v>
      </c>
      <c r="BS115" s="3">
        <f>(BS116/(BS$5-BR$5))*-BS$20</f>
        <v>0</v>
      </c>
      <c r="BT115" s="3">
        <f>(BT116/(BT$5-BS$5))*-BT$20</f>
        <v>0</v>
      </c>
      <c r="BU115" s="3">
        <f>BT115</f>
        <v>0</v>
      </c>
      <c r="BV115" s="3">
        <f>(BV116/(BV$5-BU$5))*-BV$20</f>
        <v>0</v>
      </c>
      <c r="BW115" s="3">
        <f>(BW116/(BW$5-BV$5))*-BW$20</f>
        <v>0</v>
      </c>
      <c r="BX115" s="3">
        <f>(BX116/(BX$5-BW$5))*-BX$20</f>
        <v>0</v>
      </c>
      <c r="BY115" s="3">
        <f>(BY116/(BY$5-BX$5))*-BY$20</f>
        <v>0</v>
      </c>
      <c r="BZ115" s="3">
        <f>BY115</f>
        <v>0</v>
      </c>
      <c r="CA115" s="3">
        <f>(CA116/(CA$5-BZ$5))*-CA$20</f>
        <v>0</v>
      </c>
      <c r="CB115" s="3">
        <f>(CB116/(CB$5-CA$5))*-CB$20</f>
        <v>0</v>
      </c>
      <c r="CC115" s="3">
        <f>(CC116/(CC$5-CB$5))*-CC$20</f>
        <v>0</v>
      </c>
      <c r="CD115" s="3">
        <f>(CD116/(CD$5-CC$5))*-CD$20</f>
        <v>0</v>
      </c>
      <c r="CE115" s="3">
        <f>CD115</f>
        <v>0</v>
      </c>
      <c r="CF115" s="3">
        <f>(CF116/(CF$5-CE$5))*-CF$20</f>
        <v>0</v>
      </c>
      <c r="CG115" s="3">
        <f>(CG116/(CG$5-CF$5))*-CG$20</f>
        <v>0</v>
      </c>
      <c r="CH115" s="3">
        <f>(CH116/(CH$5-CG$5))*-CH$20</f>
        <v>0</v>
      </c>
      <c r="CI115" s="3">
        <f>(CI116/(CI$5-CH$5))*-CI$20</f>
        <v>0</v>
      </c>
      <c r="CJ115" s="3">
        <f>CI115</f>
        <v>0</v>
      </c>
      <c r="CK115" s="3">
        <f>(CK116/(CK$5-CJ$5))*-CK$20</f>
        <v>0</v>
      </c>
      <c r="CL115" s="3">
        <f>(CL116/(CL$5-CK$5))*-CL$20</f>
        <v>0</v>
      </c>
      <c r="CM115" s="3">
        <f>(CM116/(CM$5-CL$5))*-CM$20</f>
        <v>0</v>
      </c>
      <c r="CN115" s="3">
        <f>(CN116/(CN$5-CM$5))*-CN$20</f>
        <v>0</v>
      </c>
      <c r="CO115" s="3">
        <f>CN115</f>
        <v>0</v>
      </c>
      <c r="CP115" s="3">
        <f>(CP116/(CP$5-CO$5))*-CP$20</f>
        <v>0</v>
      </c>
      <c r="CQ115" s="3">
        <f>(CQ116/(CQ$5-CP$5))*-CQ$20</f>
        <v>0</v>
      </c>
      <c r="CR115" s="3">
        <f>(CR116/(CR$5-CQ$5))*-CR$20</f>
        <v>0</v>
      </c>
      <c r="CS115" s="3">
        <f>(CS116/(CS$5-CR$5))*-CS$20</f>
        <v>0</v>
      </c>
      <c r="CT115" s="3">
        <f>CS115</f>
        <v>0</v>
      </c>
      <c r="CU115" s="3">
        <f>(CU116/(CU$5-CT$5))*-CU$20</f>
        <v>0</v>
      </c>
      <c r="CV115" s="3">
        <f>(CV116/(CV$5-CU$5))*-CV$20</f>
        <v>0</v>
      </c>
      <c r="CW115" s="3">
        <f>(CW116/(CW$5-CV$5))*-CW$20</f>
        <v>0</v>
      </c>
      <c r="CX115" s="3">
        <f>(CX116/(CX$5-CW$5))*-CX$20</f>
        <v>0</v>
      </c>
      <c r="CY115" s="3">
        <f>CX115</f>
        <v>0</v>
      </c>
    </row>
    <row r="116" hidden="1" outlineLevel="1">
      <c r="C116" s="34" t="inlineStr">
        <is>
          <t>DIO</t>
        </is>
      </c>
      <c r="D116" s="3" t="n"/>
      <c r="E116" s="3">
        <f>((E115/E$20)*(E$5-D$5))*-1</f>
        <v>19.9109808323518</v>
      </c>
      <c r="F116" s="3">
        <f>((F115/F$20)*(F$5-E$5))*-1</f>
        <v>15.3669417278871</v>
      </c>
      <c r="G116" s="3">
        <f>((G115/G$20)*(G$5-F$5))*-1</f>
        <v>10.7778304841921</v>
      </c>
      <c r="H116" s="3" t="n"/>
      <c r="I116" s="3">
        <f>((I115/I$20)*(I$5-H$5))*-1</f>
        <v>10.7449899263207</v>
      </c>
      <c r="J116" s="3">
        <f>((J115/J$20)*(J$5-I$5))*-1</f>
        <v>10.8669413652353</v>
      </c>
      <c r="K116" s="3">
        <f>((K115/K$20)*(K$5-J$5))*-1</f>
        <v>9.8747187820491</v>
      </c>
      <c r="L116" s="3">
        <f>((L115/L$20)*(L$5-K$5))*-1</f>
        <v>10.2742543917326</v>
      </c>
      <c r="M116" s="3" t="n"/>
      <c r="N116" s="3">
        <f>((N115/N$20)*(N$5-M$5))*-1</f>
        <v>12.7261373613173</v>
      </c>
      <c r="O116" s="3">
        <f>((O115/O$20)*(O$5-N$5))*-1</f>
        <v>9.72663680745669</v>
      </c>
      <c r="P116" s="3">
        <f>((P115/P$20)*(P$5-O$5))*-1</f>
        <v>11.0378072455138</v>
      </c>
      <c r="Q116" s="3">
        <f>((Q115/Q$20)*(Q$5-P$5))*-1</f>
        <v>11.707046502414</v>
      </c>
      <c r="R116" s="3" t="n"/>
      <c r="S116" s="3">
        <f>((S115/S$20)*(S$5-R$5))*-1</f>
        <v>11.5041995771281</v>
      </c>
      <c r="T116" s="3">
        <f>((T115/T$20)*(T$5-S$5))*-1</f>
        <v>11.2113648053022</v>
      </c>
      <c r="U116" s="3">
        <f>((U115/U$20)*(U$5-T$5))*-1</f>
        <v>10.3817450424924</v>
      </c>
      <c r="V116" s="3">
        <f>((V115/V$20)*(V$5-U$5))*-1</f>
        <v>10.722794299935</v>
      </c>
      <c r="W116" s="3" t="n"/>
      <c r="X116" s="3">
        <f>((X115/X$20)*(X$5-W$5))*-1</f>
        <v>9.73762259959802</v>
      </c>
      <c r="Y116" s="3">
        <f>((Y115/Y$20)*(Y$5-X$5))*-1</f>
        <v>10.0719766758484</v>
      </c>
      <c r="Z116" s="3">
        <f>((Z115/Z$20)*(Z$5-Y$5))*-1</f>
        <v>10.2525569461707</v>
      </c>
      <c r="AA116" s="3">
        <f>((AA115/AA$20)*(AA$5-Z$5))*-1</f>
        <v>11.5831175876328</v>
      </c>
      <c r="AB116" s="3" t="n"/>
      <c r="AC116" s="3">
        <f>((AC115/AC$20)*(AC$5-AB$5))*-1</f>
        <v>10.9155281097465</v>
      </c>
      <c r="AD116" s="3">
        <f>((AD115/AD$20)*(AD$5-AC$5))*-1</f>
        <v>10.2612324314219</v>
      </c>
      <c r="AE116" s="3">
        <f>((AE115/AE$20)*(AE$5-AD$5))*-1</f>
        <v>10.1862178101814</v>
      </c>
      <c r="AF116" s="6">
        <f>((AF115/AF$20)*(AF$5-AE$5))*-1</f>
        <v>11.9253258654417</v>
      </c>
      <c r="AG116" s="3" t="n"/>
      <c r="AH116" s="6" t="n"/>
      <c r="AI116" s="6" t="n"/>
      <c r="AJ116" s="6" t="n"/>
      <c r="AK116" s="6" t="n"/>
      <c r="AL116" s="3" t="n"/>
      <c r="AM116" s="6" t="n"/>
      <c r="AN116" s="6" t="n"/>
      <c r="AO116" s="6" t="n"/>
      <c r="AP116" s="6" t="n"/>
      <c r="AQ116" s="3" t="n"/>
      <c r="AR116" s="6" t="n"/>
      <c r="AS116" s="6" t="n"/>
      <c r="AT116" s="6" t="n"/>
      <c r="AU116" s="6" t="n"/>
      <c r="AV116" s="3" t="n"/>
      <c r="AW116" s="6" t="n"/>
      <c r="AX116" s="6" t="n"/>
      <c r="AY116" s="6" t="n"/>
      <c r="AZ116" s="6" t="n"/>
      <c r="BA116" s="3" t="n"/>
      <c r="BB116" s="6" t="n"/>
      <c r="BC116" s="6" t="n"/>
      <c r="BD116" s="6" t="n"/>
      <c r="BE116" s="6" t="n"/>
      <c r="BF116" s="3" t="n"/>
      <c r="BG116" s="6" t="n"/>
      <c r="BH116" s="6" t="n"/>
      <c r="BI116" s="6" t="n"/>
      <c r="BJ116" s="6" t="n"/>
      <c r="BK116" s="3" t="n"/>
      <c r="BL116" s="6" t="n"/>
      <c r="BM116" s="6" t="n"/>
      <c r="BN116" s="6" t="n"/>
      <c r="BO116" s="6" t="n"/>
      <c r="BP116" s="3" t="n"/>
      <c r="BQ116" s="6" t="n"/>
      <c r="BR116" s="6" t="n"/>
      <c r="BS116" s="6" t="n"/>
      <c r="BT116" s="6" t="n"/>
      <c r="BU116" s="3" t="n"/>
      <c r="BV116" s="6" t="n"/>
      <c r="BW116" s="6" t="n"/>
      <c r="BX116" s="6" t="n"/>
      <c r="BY116" s="6" t="n"/>
      <c r="BZ116" s="3" t="n"/>
      <c r="CA116" s="6" t="n"/>
      <c r="CB116" s="6" t="n"/>
      <c r="CC116" s="6" t="n"/>
      <c r="CD116" s="6" t="n"/>
      <c r="CE116" s="3" t="n"/>
      <c r="CF116" s="6" t="n"/>
      <c r="CG116" s="6" t="n"/>
      <c r="CH116" s="6" t="n"/>
      <c r="CI116" s="6" t="n"/>
      <c r="CJ116" s="3" t="n"/>
      <c r="CK116" s="6" t="n"/>
      <c r="CL116" s="6" t="n"/>
      <c r="CM116" s="6" t="n"/>
      <c r="CN116" s="6" t="n"/>
      <c r="CO116" s="3" t="n"/>
      <c r="CP116" s="6" t="n"/>
      <c r="CQ116" s="6" t="n"/>
      <c r="CR116" s="6" t="n"/>
      <c r="CS116" s="6" t="n"/>
      <c r="CT116" s="3" t="n"/>
      <c r="CU116" s="6" t="n"/>
      <c r="CV116" s="6" t="n"/>
      <c r="CW116" s="6" t="n"/>
      <c r="CX116" s="6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hidden="1" outlineLevel="1">
      <c r="C118" s="34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  <c r="BZ118" s="3" t="n"/>
      <c r="CA118" s="3" t="n"/>
      <c r="CB118" s="3" t="n"/>
      <c r="CC118" s="3" t="n"/>
      <c r="CD118" s="3" t="n"/>
      <c r="CE118" s="3" t="n"/>
      <c r="CF118" s="3" t="n"/>
      <c r="CG118" s="3" t="n"/>
      <c r="CH118" s="3" t="n"/>
      <c r="CI118" s="3" t="n"/>
      <c r="CJ118" s="3" t="n"/>
      <c r="CK118" s="3" t="n"/>
      <c r="CL118" s="3" t="n"/>
      <c r="CM118" s="3" t="n"/>
      <c r="CN118" s="3" t="n"/>
      <c r="CO118" s="3" t="n"/>
      <c r="CP118" s="3" t="n"/>
      <c r="CQ118" s="3" t="n"/>
      <c r="CR118" s="3" t="n"/>
      <c r="CS118" s="3" t="n"/>
      <c r="CT118" s="3" t="n"/>
      <c r="CU118" s="3" t="n"/>
      <c r="CV118" s="3" t="n"/>
      <c r="CW118" s="3" t="n"/>
      <c r="CX118" s="3" t="n"/>
      <c r="CY118" s="3" t="n"/>
    </row>
    <row r="119" collapsed="1">
      <c r="C119" s="26" t="inlineStr">
        <is>
          <t>Deferred income taxes</t>
        </is>
      </c>
      <c r="D119" s="25">
        <f>INDEX('Inputs (2)'!$D$18:$AL$18,MATCH(D$7,'Inputs (2)'!$D$2:$AL$2,0))</f>
        <v>12.5274</v>
      </c>
      <c r="E119" s="25">
        <f>INDEX('Inputs (2)'!$D$18:$AL$18,MATCH(E$7,'Inputs (2)'!$D$2:$AL$2,0))</f>
        <v>80.02739699</v>
      </c>
      <c r="F119" s="25">
        <f>INDEX('Inputs (2)'!$D$18:$AL$18,MATCH(F$7,'Inputs (2)'!$D$2:$AL$2,0))</f>
        <v>66.31949783</v>
      </c>
      <c r="G119" s="25">
        <f>INDEX('Inputs (2)'!$D$18:$AL$18,MATCH(G$7,'Inputs (2)'!$D$2:$AL$2,0))</f>
        <v>75.95658545</v>
      </c>
      <c r="H119" s="3">
        <f>G119</f>
        <v>75.95658545</v>
      </c>
      <c r="I119" s="25">
        <f>INDEX('Inputs (2)'!$D$18:$AL$18,MATCH(I$7,'Inputs (2)'!$D$2:$AL$2,0))</f>
        <v>90.94827093</v>
      </c>
      <c r="J119" s="25">
        <f>INDEX('Inputs (2)'!$D$18:$AL$18,MATCH(J$7,'Inputs (2)'!$D$2:$AL$2,0))</f>
        <v>107.55430088</v>
      </c>
      <c r="K119" s="25">
        <f>INDEX('Inputs (2)'!$D$18:$AL$18,MATCH(K$7,'Inputs (2)'!$D$2:$AL$2,0))</f>
        <v>115.09237981</v>
      </c>
      <c r="L119" s="25">
        <f>INDEX('Inputs (2)'!$D$18:$AL$18,MATCH(L$7,'Inputs (2)'!$D$2:$AL$2,0))</f>
        <v>25.195</v>
      </c>
      <c r="M119" s="3">
        <f>L119</f>
        <v>25.195</v>
      </c>
      <c r="N119" s="25">
        <f>INDEX('Inputs (2)'!$D$18:$AL$18,MATCH(N$7,'Inputs (2)'!$D$2:$AL$2,0))</f>
        <v>37.19035428</v>
      </c>
      <c r="O119" s="25">
        <f>INDEX('Inputs (2)'!$D$18:$AL$18,MATCH(O$7,'Inputs (2)'!$D$2:$AL$2,0))</f>
        <v>150.8146551</v>
      </c>
      <c r="P119" s="25">
        <f>INDEX('Inputs (2)'!$D$18:$AL$18,MATCH(P$7,'Inputs (2)'!$D$2:$AL$2,0))</f>
        <v>177.40878868</v>
      </c>
      <c r="Q119" s="25">
        <f>INDEX('Inputs (2)'!$D$18:$AL$18,MATCH(Q$7,'Inputs (2)'!$D$2:$AL$2,0))</f>
        <v>48.62433562</v>
      </c>
      <c r="R119" s="3">
        <f>Q119</f>
        <v>48.62433562</v>
      </c>
      <c r="S119" s="25">
        <f>INDEX('Inputs (2)'!$D$18:$AL$18,MATCH(S$7,'Inputs (2)'!$D$2:$AL$2,0))</f>
        <v>53.22583053</v>
      </c>
      <c r="T119" s="25">
        <f>INDEX('Inputs (2)'!$D$18:$AL$18,MATCH(T$7,'Inputs (2)'!$D$2:$AL$2,0))</f>
        <v>55.901</v>
      </c>
      <c r="U119" s="25">
        <f>INDEX('Inputs (2)'!$D$18:$AL$18,MATCH(U$7,'Inputs (2)'!$D$2:$AL$2,0))</f>
        <v>29.695</v>
      </c>
      <c r="V119" s="25">
        <f>INDEX('Inputs (2)'!$D$18:$AL$18,MATCH(V$7,'Inputs (2)'!$D$2:$AL$2,0))</f>
        <v>34.356</v>
      </c>
      <c r="W119" s="3">
        <f>V119</f>
        <v>34.356</v>
      </c>
      <c r="X119" s="25">
        <f>INDEX('Inputs (2)'!$D$18:$AL$18,MATCH(X$7,'Inputs (2)'!$D$2:$AL$2,0))</f>
        <v>34.109</v>
      </c>
      <c r="Y119" s="25">
        <f>INDEX('Inputs (2)'!$D$18:$AL$18,MATCH(Y$7,'Inputs (2)'!$D$2:$AL$2,0))</f>
        <v>37.285</v>
      </c>
      <c r="Z119" s="25">
        <f>INDEX('Inputs (2)'!$D$18:$AL$18,MATCH(Z$7,'Inputs (2)'!$D$2:$AL$2,0))</f>
        <v>37.378</v>
      </c>
      <c r="AA119" s="25">
        <f>INDEX('Inputs (2)'!$D$18:$AL$18,MATCH(AA$7,'Inputs (2)'!$D$2:$AL$2,0))</f>
        <v>20.478</v>
      </c>
      <c r="AB119" s="3">
        <f>AA119</f>
        <v>20.478</v>
      </c>
      <c r="AC119" s="25">
        <f>INDEX('Inputs (2)'!$D$18:$AL$18,MATCH(AC$7,'Inputs (2)'!$D$2:$AL$2,0))</f>
        <v>21.879454</v>
      </c>
      <c r="AD119" s="25">
        <f>INDEX('Inputs (2)'!$D$18:$AL$18,MATCH(AD$7,'Inputs (2)'!$D$2:$AL$2,0))</f>
        <v>11.582</v>
      </c>
      <c r="AE119" s="25">
        <f>INDEX('Inputs (2)'!$D$18:$AL$18,MATCH(AE$7,'Inputs (2)'!$D$2:$AL$2,0))</f>
        <v>12.011</v>
      </c>
      <c r="AF119" s="25">
        <f>INDEX('Inputs (2)'!$D$18:$AL$18,MATCH(AF$7,'Inputs (2)'!$D$2:$AL$2,0))</f>
        <v>11.058</v>
      </c>
      <c r="AG119" s="3">
        <f>AF119</f>
        <v>11.058</v>
      </c>
      <c r="AH119" s="3">
        <f>AG119</f>
        <v>11.058</v>
      </c>
      <c r="AI119" s="3">
        <f>AH119</f>
        <v>11.058</v>
      </c>
      <c r="AJ119" s="3">
        <f>AI119</f>
        <v>11.058</v>
      </c>
      <c r="AK119" s="3">
        <f>AJ119</f>
        <v>11.058</v>
      </c>
      <c r="AL119" s="3">
        <f>AK119</f>
        <v>11.058</v>
      </c>
      <c r="AM119" s="3">
        <f>AL119</f>
        <v>11.058</v>
      </c>
      <c r="AN119" s="3">
        <f>AM119</f>
        <v>11.058</v>
      </c>
      <c r="AO119" s="3">
        <f>AN119</f>
        <v>11.058</v>
      </c>
      <c r="AP119" s="3">
        <f>AO119</f>
        <v>11.058</v>
      </c>
      <c r="AQ119" s="3">
        <f>AP119</f>
        <v>11.058</v>
      </c>
      <c r="AR119" s="3">
        <f>AQ119</f>
        <v>11.058</v>
      </c>
      <c r="AS119" s="3">
        <f>AR119</f>
        <v>11.058</v>
      </c>
      <c r="AT119" s="3">
        <f>AS119</f>
        <v>11.058</v>
      </c>
      <c r="AU119" s="3">
        <f>AT119</f>
        <v>11.058</v>
      </c>
      <c r="AV119" s="3">
        <f>AU119</f>
        <v>11.058</v>
      </c>
      <c r="AW119" s="3">
        <f>AV119</f>
        <v>11.058</v>
      </c>
      <c r="AX119" s="3">
        <f>AW119</f>
        <v>11.058</v>
      </c>
      <c r="AY119" s="3">
        <f>AX119</f>
        <v>11.058</v>
      </c>
      <c r="AZ119" s="3">
        <f>AY119</f>
        <v>11.058</v>
      </c>
      <c r="BA119" s="3">
        <f>AZ119</f>
        <v>11.058</v>
      </c>
      <c r="BB119" s="3">
        <f>BA119</f>
        <v>11.058</v>
      </c>
      <c r="BC119" s="3">
        <f>BB119</f>
        <v>11.058</v>
      </c>
      <c r="BD119" s="3">
        <f>BC119</f>
        <v>11.058</v>
      </c>
      <c r="BE119" s="3">
        <f>BD119</f>
        <v>11.058</v>
      </c>
      <c r="BF119" s="3">
        <f>BE119</f>
        <v>11.058</v>
      </c>
      <c r="BG119" s="3">
        <f>BF119</f>
        <v>11.058</v>
      </c>
      <c r="BH119" s="3">
        <f>BG119</f>
        <v>11.058</v>
      </c>
      <c r="BI119" s="3">
        <f>BH119</f>
        <v>11.058</v>
      </c>
      <c r="BJ119" s="3">
        <f>BI119</f>
        <v>11.058</v>
      </c>
      <c r="BK119" s="3">
        <f>BJ119</f>
        <v>11.058</v>
      </c>
      <c r="BL119" s="3">
        <f>BK119</f>
        <v>11.058</v>
      </c>
      <c r="BM119" s="3">
        <f>BL119</f>
        <v>11.058</v>
      </c>
      <c r="BN119" s="3">
        <f>BM119</f>
        <v>11.058</v>
      </c>
      <c r="BO119" s="3">
        <f>BN119</f>
        <v>11.058</v>
      </c>
      <c r="BP119" s="3">
        <f>BO119</f>
        <v>11.058</v>
      </c>
      <c r="BQ119" s="3">
        <f>BP119</f>
        <v>11.058</v>
      </c>
      <c r="BR119" s="3">
        <f>BQ119</f>
        <v>11.058</v>
      </c>
      <c r="BS119" s="3">
        <f>BR119</f>
        <v>11.058</v>
      </c>
      <c r="BT119" s="3">
        <f>BS119</f>
        <v>11.058</v>
      </c>
      <c r="BU119" s="3">
        <f>BT119</f>
        <v>11.058</v>
      </c>
      <c r="BV119" s="3">
        <f>BU119</f>
        <v>11.058</v>
      </c>
      <c r="BW119" s="3">
        <f>BV119</f>
        <v>11.058</v>
      </c>
      <c r="BX119" s="3">
        <f>BW119</f>
        <v>11.058</v>
      </c>
      <c r="BY119" s="3">
        <f>BX119</f>
        <v>11.058</v>
      </c>
      <c r="BZ119" s="3">
        <f>BY119</f>
        <v>11.058</v>
      </c>
      <c r="CA119" s="3">
        <f>BZ119</f>
        <v>11.058</v>
      </c>
      <c r="CB119" s="3">
        <f>CA119</f>
        <v>11.058</v>
      </c>
      <c r="CC119" s="3">
        <f>CB119</f>
        <v>11.058</v>
      </c>
      <c r="CD119" s="3">
        <f>CC119</f>
        <v>11.058</v>
      </c>
      <c r="CE119" s="3">
        <f>CD119</f>
        <v>11.058</v>
      </c>
      <c r="CF119" s="3">
        <f>CE119</f>
        <v>11.058</v>
      </c>
      <c r="CG119" s="3">
        <f>CF119</f>
        <v>11.058</v>
      </c>
      <c r="CH119" s="3">
        <f>CG119</f>
        <v>11.058</v>
      </c>
      <c r="CI119" s="3">
        <f>CH119</f>
        <v>11.058</v>
      </c>
      <c r="CJ119" s="3">
        <f>CI119</f>
        <v>11.058</v>
      </c>
      <c r="CK119" s="3">
        <f>CJ119</f>
        <v>11.058</v>
      </c>
      <c r="CL119" s="3">
        <f>CK119</f>
        <v>11.058</v>
      </c>
      <c r="CM119" s="3">
        <f>CL119</f>
        <v>11.058</v>
      </c>
      <c r="CN119" s="3">
        <f>CM119</f>
        <v>11.058</v>
      </c>
      <c r="CO119" s="3">
        <f>CN119</f>
        <v>11.058</v>
      </c>
      <c r="CP119" s="3">
        <f>CO119</f>
        <v>11.058</v>
      </c>
      <c r="CQ119" s="3">
        <f>CP119</f>
        <v>11.058</v>
      </c>
      <c r="CR119" s="3">
        <f>CQ119</f>
        <v>11.058</v>
      </c>
      <c r="CS119" s="3">
        <f>CR119</f>
        <v>11.058</v>
      </c>
      <c r="CT119" s="3">
        <f>CS119</f>
        <v>11.058</v>
      </c>
      <c r="CU119" s="3">
        <f>CT119</f>
        <v>11.058</v>
      </c>
      <c r="CV119" s="3">
        <f>CU119</f>
        <v>11.058</v>
      </c>
      <c r="CW119" s="3">
        <f>CV119</f>
        <v>11.058</v>
      </c>
      <c r="CX119" s="3">
        <f>CW119</f>
        <v>11.058</v>
      </c>
      <c r="CY119" s="3">
        <f>CX119</f>
        <v>11.058</v>
      </c>
    </row>
    <row r="120">
      <c r="C120" s="26" t="inlineStr">
        <is>
          <t>Prepaid expenses</t>
        </is>
      </c>
      <c r="D120" s="25">
        <f>INDEX('Inputs (2)'!$D$19:$AL$19,MATCH(D$7,'Inputs (2)'!$D$2:$AL$2,0))</f>
        <v>14.324618</v>
      </c>
      <c r="E120" s="25">
        <f>INDEX('Inputs (2)'!$D$19:$AL$19,MATCH(E$7,'Inputs (2)'!$D$2:$AL$2,0))</f>
        <v>20.99392462</v>
      </c>
      <c r="F120" s="25">
        <f>INDEX('Inputs (2)'!$D$19:$AL$19,MATCH(F$7,'Inputs (2)'!$D$2:$AL$2,0))</f>
        <v>16.03496786</v>
      </c>
      <c r="G120" s="25">
        <f>INDEX('Inputs (2)'!$D$19:$AL$19,MATCH(G$7,'Inputs (2)'!$D$2:$AL$2,0))</f>
        <v>7.77194942</v>
      </c>
      <c r="H120" s="3">
        <f>G120</f>
        <v>7.77194942</v>
      </c>
      <c r="I120" s="25">
        <f>INDEX('Inputs (2)'!$D$19:$AL$19,MATCH(I$7,'Inputs (2)'!$D$2:$AL$2,0))</f>
        <v>21.44050233</v>
      </c>
      <c r="J120" s="25">
        <f>INDEX('Inputs (2)'!$D$19:$AL$19,MATCH(J$7,'Inputs (2)'!$D$2:$AL$2,0))</f>
        <v>19.74941461</v>
      </c>
      <c r="K120" s="25">
        <f>INDEX('Inputs (2)'!$D$19:$AL$19,MATCH(K$7,'Inputs (2)'!$D$2:$AL$2,0))</f>
        <v>12.87100357</v>
      </c>
      <c r="L120" s="25">
        <f>INDEX('Inputs (2)'!$D$19:$AL$19,MATCH(L$7,'Inputs (2)'!$D$2:$AL$2,0))</f>
        <v>6.91804293</v>
      </c>
      <c r="M120" s="3">
        <f>L120</f>
        <v>6.91804293</v>
      </c>
      <c r="N120" s="25">
        <f>INDEX('Inputs (2)'!$D$19:$AL$19,MATCH(N$7,'Inputs (2)'!$D$2:$AL$2,0))</f>
        <v>28.66972893</v>
      </c>
      <c r="O120" s="25">
        <f>INDEX('Inputs (2)'!$D$19:$AL$19,MATCH(O$7,'Inputs (2)'!$D$2:$AL$2,0))</f>
        <v>27.25646226</v>
      </c>
      <c r="P120" s="25">
        <f>INDEX('Inputs (2)'!$D$19:$AL$19,MATCH(P$7,'Inputs (2)'!$D$2:$AL$2,0))</f>
        <v>22.41682529</v>
      </c>
      <c r="Q120" s="25">
        <f>INDEX('Inputs (2)'!$D$19:$AL$19,MATCH(Q$7,'Inputs (2)'!$D$2:$AL$2,0))</f>
        <v>0</v>
      </c>
      <c r="R120" s="3">
        <f>Q120</f>
        <v>0</v>
      </c>
      <c r="S120" s="25">
        <f>INDEX('Inputs (2)'!$D$19:$AL$19,MATCH(S$7,'Inputs (2)'!$D$2:$AL$2,0))</f>
        <v>0</v>
      </c>
      <c r="T120" s="25">
        <f>INDEX('Inputs (2)'!$D$19:$AL$19,MATCH(T$7,'Inputs (2)'!$D$2:$AL$2,0))</f>
        <v>0</v>
      </c>
      <c r="U120" s="25">
        <f>INDEX('Inputs (2)'!$D$19:$AL$19,MATCH(U$7,'Inputs (2)'!$D$2:$AL$2,0))</f>
        <v>0</v>
      </c>
      <c r="V120" s="25">
        <f>INDEX('Inputs (2)'!$D$19:$AL$19,MATCH(V$7,'Inputs (2)'!$D$2:$AL$2,0))</f>
        <v>0</v>
      </c>
      <c r="W120" s="3">
        <f>V120</f>
        <v>0</v>
      </c>
      <c r="X120" s="25">
        <f>INDEX('Inputs (2)'!$D$19:$AL$19,MATCH(X$7,'Inputs (2)'!$D$2:$AL$2,0))</f>
        <v>0</v>
      </c>
      <c r="Y120" s="25">
        <f>INDEX('Inputs (2)'!$D$19:$AL$19,MATCH(Y$7,'Inputs (2)'!$D$2:$AL$2,0))</f>
        <v>0</v>
      </c>
      <c r="Z120" s="25">
        <f>INDEX('Inputs (2)'!$D$19:$AL$19,MATCH(Z$7,'Inputs (2)'!$D$2:$AL$2,0))</f>
        <v>0</v>
      </c>
      <c r="AA120" s="25">
        <f>INDEX('Inputs (2)'!$D$19:$AL$19,MATCH(AA$7,'Inputs (2)'!$D$2:$AL$2,0))</f>
        <v>0</v>
      </c>
      <c r="AB120" s="3">
        <f>AA120</f>
        <v>0</v>
      </c>
      <c r="AC120" s="25">
        <f>INDEX('Inputs (2)'!$D$19:$AL$19,MATCH(AC$7,'Inputs (2)'!$D$2:$AL$2,0))</f>
        <v>0</v>
      </c>
      <c r="AD120" s="25">
        <f>INDEX('Inputs (2)'!$D$19:$AL$19,MATCH(AD$7,'Inputs (2)'!$D$2:$AL$2,0))</f>
        <v>0</v>
      </c>
      <c r="AE120" s="25">
        <f>INDEX('Inputs (2)'!$D$19:$AL$19,MATCH(AE$7,'Inputs (2)'!$D$2:$AL$2,0))</f>
        <v>0</v>
      </c>
      <c r="AF120" s="25">
        <f>INDEX('Inputs (2)'!$D$19:$AL$19,MATCH(AF$7,'Inputs (2)'!$D$2:$AL$2,0))</f>
        <v>0</v>
      </c>
      <c r="AG120" s="3">
        <f>AF120</f>
        <v>0</v>
      </c>
      <c r="AH120" s="3">
        <f>AG120</f>
        <v>0</v>
      </c>
      <c r="AI120" s="3">
        <f>AH120</f>
        <v>0</v>
      </c>
      <c r="AJ120" s="3">
        <f>AI120</f>
        <v>0</v>
      </c>
      <c r="AK120" s="3">
        <f>AJ120</f>
        <v>0</v>
      </c>
      <c r="AL120" s="3">
        <f>AK120</f>
        <v>0</v>
      </c>
      <c r="AM120" s="3">
        <f>AL120</f>
        <v>0</v>
      </c>
      <c r="AN120" s="3">
        <f>AM120</f>
        <v>0</v>
      </c>
      <c r="AO120" s="3">
        <f>AN120</f>
        <v>0</v>
      </c>
      <c r="AP120" s="3">
        <f>AO120</f>
        <v>0</v>
      </c>
      <c r="AQ120" s="3">
        <f>AP120</f>
        <v>0</v>
      </c>
      <c r="AR120" s="3">
        <f>AQ120</f>
        <v>0</v>
      </c>
      <c r="AS120" s="3">
        <f>AR120</f>
        <v>0</v>
      </c>
      <c r="AT120" s="3">
        <f>AS120</f>
        <v>0</v>
      </c>
      <c r="AU120" s="3">
        <f>AT120</f>
        <v>0</v>
      </c>
      <c r="AV120" s="3">
        <f>AU120</f>
        <v>0</v>
      </c>
      <c r="AW120" s="3">
        <f>AV120</f>
        <v>0</v>
      </c>
      <c r="AX120" s="3">
        <f>AW120</f>
        <v>0</v>
      </c>
      <c r="AY120" s="3">
        <f>AX120</f>
        <v>0</v>
      </c>
      <c r="AZ120" s="3">
        <f>AY120</f>
        <v>0</v>
      </c>
      <c r="BA120" s="3">
        <f>AZ120</f>
        <v>0</v>
      </c>
      <c r="BB120" s="3">
        <f>BA120</f>
        <v>0</v>
      </c>
      <c r="BC120" s="3">
        <f>BB120</f>
        <v>0</v>
      </c>
      <c r="BD120" s="3">
        <f>BC120</f>
        <v>0</v>
      </c>
      <c r="BE120" s="3">
        <f>BD120</f>
        <v>0</v>
      </c>
      <c r="BF120" s="3">
        <f>BE120</f>
        <v>0</v>
      </c>
      <c r="BG120" s="3">
        <f>BF120</f>
        <v>0</v>
      </c>
      <c r="BH120" s="3">
        <f>BG120</f>
        <v>0</v>
      </c>
      <c r="BI120" s="3">
        <f>BH120</f>
        <v>0</v>
      </c>
      <c r="BJ120" s="3">
        <f>BI120</f>
        <v>0</v>
      </c>
      <c r="BK120" s="3">
        <f>BJ120</f>
        <v>0</v>
      </c>
      <c r="BL120" s="3">
        <f>BK120</f>
        <v>0</v>
      </c>
      <c r="BM120" s="3">
        <f>BL120</f>
        <v>0</v>
      </c>
      <c r="BN120" s="3">
        <f>BM120</f>
        <v>0</v>
      </c>
      <c r="BO120" s="3">
        <f>BN120</f>
        <v>0</v>
      </c>
      <c r="BP120" s="3">
        <f>BO120</f>
        <v>0</v>
      </c>
      <c r="BQ120" s="3">
        <f>BP120</f>
        <v>0</v>
      </c>
      <c r="BR120" s="3">
        <f>BQ120</f>
        <v>0</v>
      </c>
      <c r="BS120" s="3">
        <f>BR120</f>
        <v>0</v>
      </c>
      <c r="BT120" s="3">
        <f>BS120</f>
        <v>0</v>
      </c>
      <c r="BU120" s="3">
        <f>BT120</f>
        <v>0</v>
      </c>
      <c r="BV120" s="3">
        <f>BU120</f>
        <v>0</v>
      </c>
      <c r="BW120" s="3">
        <f>BV120</f>
        <v>0</v>
      </c>
      <c r="BX120" s="3">
        <f>BW120</f>
        <v>0</v>
      </c>
      <c r="BY120" s="3">
        <f>BX120</f>
        <v>0</v>
      </c>
      <c r="BZ120" s="3">
        <f>BY120</f>
        <v>0</v>
      </c>
      <c r="CA120" s="3">
        <f>BZ120</f>
        <v>0</v>
      </c>
      <c r="CB120" s="3">
        <f>CA120</f>
        <v>0</v>
      </c>
      <c r="CC120" s="3">
        <f>CB120</f>
        <v>0</v>
      </c>
      <c r="CD120" s="3">
        <f>CC120</f>
        <v>0</v>
      </c>
      <c r="CE120" s="3">
        <f>CD120</f>
        <v>0</v>
      </c>
      <c r="CF120" s="3">
        <f>CE120</f>
        <v>0</v>
      </c>
      <c r="CG120" s="3">
        <f>CF120</f>
        <v>0</v>
      </c>
      <c r="CH120" s="3">
        <f>CG120</f>
        <v>0</v>
      </c>
      <c r="CI120" s="3">
        <f>CH120</f>
        <v>0</v>
      </c>
      <c r="CJ120" s="3">
        <f>CI120</f>
        <v>0</v>
      </c>
      <c r="CK120" s="3">
        <f>CJ120</f>
        <v>0</v>
      </c>
      <c r="CL120" s="3">
        <f>CK120</f>
        <v>0</v>
      </c>
      <c r="CM120" s="3">
        <f>CL120</f>
        <v>0</v>
      </c>
      <c r="CN120" s="3">
        <f>CM120</f>
        <v>0</v>
      </c>
      <c r="CO120" s="3">
        <f>CN120</f>
        <v>0</v>
      </c>
      <c r="CP120" s="3">
        <f>CO120</f>
        <v>0</v>
      </c>
      <c r="CQ120" s="3">
        <f>CP120</f>
        <v>0</v>
      </c>
      <c r="CR120" s="3">
        <f>CQ120</f>
        <v>0</v>
      </c>
      <c r="CS120" s="3">
        <f>CR120</f>
        <v>0</v>
      </c>
      <c r="CT120" s="3">
        <f>CS120</f>
        <v>0</v>
      </c>
      <c r="CU120" s="3">
        <f>CT120</f>
        <v>0</v>
      </c>
      <c r="CV120" s="3">
        <f>CU120</f>
        <v>0</v>
      </c>
      <c r="CW120" s="3">
        <f>CV120</f>
        <v>0</v>
      </c>
      <c r="CX120" s="3">
        <f>CW120</f>
        <v>0</v>
      </c>
      <c r="CY120" s="3">
        <f>CX120</f>
        <v>0</v>
      </c>
    </row>
    <row r="121">
      <c r="C121" s="26" t="inlineStr">
        <is>
          <t>Other current assets</t>
        </is>
      </c>
      <c r="D121" s="25">
        <f>INDEX('Inputs (2)'!$D$20:$AL$20,MATCH(D$7,'Inputs (2)'!$D$2:$AL$2,0))</f>
        <v>82.32837364</v>
      </c>
      <c r="E121" s="25">
        <f>INDEX('Inputs (2)'!$D$20:$AL$20,MATCH(E$7,'Inputs (2)'!$D$2:$AL$2,0))</f>
        <v>98.3831463400008</v>
      </c>
      <c r="F121" s="25">
        <f>INDEX('Inputs (2)'!$D$20:$AL$20,MATCH(F$7,'Inputs (2)'!$D$2:$AL$2,0))</f>
        <v>76.273454639997</v>
      </c>
      <c r="G121" s="25">
        <f>INDEX('Inputs (2)'!$D$20:$AL$20,MATCH(G$7,'Inputs (2)'!$D$2:$AL$2,0))</f>
        <v>63.06147049</v>
      </c>
      <c r="H121" s="3">
        <f>G121</f>
        <v>63.06147049</v>
      </c>
      <c r="I121" s="25">
        <f>INDEX('Inputs (2)'!$D$20:$AL$20,MATCH(I$7,'Inputs (2)'!$D$2:$AL$2,0))</f>
        <v>63.62988346</v>
      </c>
      <c r="J121" s="25">
        <f>INDEX('Inputs (2)'!$D$20:$AL$20,MATCH(J$7,'Inputs (2)'!$D$2:$AL$2,0))</f>
        <v>61.85708362</v>
      </c>
      <c r="K121" s="25">
        <f>INDEX('Inputs (2)'!$D$20:$AL$20,MATCH(K$7,'Inputs (2)'!$D$2:$AL$2,0))</f>
        <v>151.69322796</v>
      </c>
      <c r="L121" s="25">
        <f>INDEX('Inputs (2)'!$D$20:$AL$20,MATCH(L$7,'Inputs (2)'!$D$2:$AL$2,0))</f>
        <v>71.99774145</v>
      </c>
      <c r="M121" s="3">
        <f>L121</f>
        <v>71.99774145</v>
      </c>
      <c r="N121" s="25">
        <f>INDEX('Inputs (2)'!$D$20:$AL$20,MATCH(N$7,'Inputs (2)'!$D$2:$AL$2,0))</f>
        <v>104.14867507</v>
      </c>
      <c r="O121" s="25">
        <f>INDEX('Inputs (2)'!$D$20:$AL$20,MATCH(O$7,'Inputs (2)'!$D$2:$AL$2,0))</f>
        <v>147.91897069</v>
      </c>
      <c r="P121" s="25">
        <f>INDEX('Inputs (2)'!$D$20:$AL$20,MATCH(P$7,'Inputs (2)'!$D$2:$AL$2,0))</f>
        <v>180.4205824</v>
      </c>
      <c r="Q121" s="25">
        <f>INDEX('Inputs (2)'!$D$20:$AL$20,MATCH(Q$7,'Inputs (2)'!$D$2:$AL$2,0))</f>
        <v>128.48923243</v>
      </c>
      <c r="R121" s="3">
        <f>Q121</f>
        <v>128.48923243</v>
      </c>
      <c r="S121" s="25">
        <f>INDEX('Inputs (2)'!$D$20:$AL$20,MATCH(S$7,'Inputs (2)'!$D$2:$AL$2,0))</f>
        <v>121.272759</v>
      </c>
      <c r="T121" s="25">
        <f>INDEX('Inputs (2)'!$D$20:$AL$20,MATCH(T$7,'Inputs (2)'!$D$2:$AL$2,0))</f>
        <v>208.445</v>
      </c>
      <c r="U121" s="25">
        <f>INDEX('Inputs (2)'!$D$20:$AL$20,MATCH(U$7,'Inputs (2)'!$D$2:$AL$2,0))</f>
        <v>168.103</v>
      </c>
      <c r="V121" s="25">
        <f>INDEX('Inputs (2)'!$D$20:$AL$20,MATCH(V$7,'Inputs (2)'!$D$2:$AL$2,0))</f>
        <v>239.301</v>
      </c>
      <c r="W121" s="3">
        <f>V121</f>
        <v>239.301</v>
      </c>
      <c r="X121" s="25">
        <f>INDEX('Inputs (2)'!$D$20:$AL$20,MATCH(X$7,'Inputs (2)'!$D$2:$AL$2,0))</f>
        <v>254.996</v>
      </c>
      <c r="Y121" s="25">
        <f>INDEX('Inputs (2)'!$D$20:$AL$20,MATCH(Y$7,'Inputs (2)'!$D$2:$AL$2,0))</f>
        <v>265.067</v>
      </c>
      <c r="Z121" s="25">
        <f>INDEX('Inputs (2)'!$D$20:$AL$20,MATCH(Z$7,'Inputs (2)'!$D$2:$AL$2,0))</f>
        <v>253.653</v>
      </c>
      <c r="AA121" s="25">
        <f>INDEX('Inputs (2)'!$D$20:$AL$20,MATCH(AA$7,'Inputs (2)'!$D$2:$AL$2,0))</f>
        <v>244.111</v>
      </c>
      <c r="AB121" s="3">
        <f>AA121</f>
        <v>244.111</v>
      </c>
      <c r="AC121" s="25">
        <f>INDEX('Inputs (2)'!$D$20:$AL$20,MATCH(AC$7,'Inputs (2)'!$D$2:$AL$2,0))</f>
        <v>258.051</v>
      </c>
      <c r="AD121" s="25">
        <f>INDEX('Inputs (2)'!$D$20:$AL$20,MATCH(AD$7,'Inputs (2)'!$D$2:$AL$2,0))</f>
        <v>274.276</v>
      </c>
      <c r="AE121" s="25">
        <f>INDEX('Inputs (2)'!$D$20:$AL$20,MATCH(AE$7,'Inputs (2)'!$D$2:$AL$2,0))</f>
        <v>285.309</v>
      </c>
      <c r="AF121" s="25">
        <f>INDEX('Inputs (2)'!$D$20:$AL$20,MATCH(AF$7,'Inputs (2)'!$D$2:$AL$2,0))</f>
        <v>331.206</v>
      </c>
      <c r="AG121" s="3">
        <f>AF121</f>
        <v>331.206</v>
      </c>
      <c r="AH121" s="3">
        <f>AG121</f>
        <v>331.206</v>
      </c>
      <c r="AI121" s="3">
        <f>AH121</f>
        <v>331.206</v>
      </c>
      <c r="AJ121" s="3">
        <f>AI121</f>
        <v>331.206</v>
      </c>
      <c r="AK121" s="3">
        <f>AJ121</f>
        <v>331.206</v>
      </c>
      <c r="AL121" s="3">
        <f>AK121</f>
        <v>331.206</v>
      </c>
      <c r="AM121" s="3">
        <f>AL121</f>
        <v>331.206</v>
      </c>
      <c r="AN121" s="3">
        <f>AM121</f>
        <v>331.206</v>
      </c>
      <c r="AO121" s="3">
        <f>AN121</f>
        <v>331.206</v>
      </c>
      <c r="AP121" s="3">
        <f>AO121</f>
        <v>331.206</v>
      </c>
      <c r="AQ121" s="3">
        <f>AP121</f>
        <v>331.206</v>
      </c>
      <c r="AR121" s="3">
        <f>AQ121</f>
        <v>331.206</v>
      </c>
      <c r="AS121" s="3">
        <f>AR121</f>
        <v>331.206</v>
      </c>
      <c r="AT121" s="3">
        <f>AS121</f>
        <v>331.206</v>
      </c>
      <c r="AU121" s="3">
        <f>AT121</f>
        <v>331.206</v>
      </c>
      <c r="AV121" s="3">
        <f>AU121</f>
        <v>331.206</v>
      </c>
      <c r="AW121" s="3">
        <f>AV121</f>
        <v>331.206</v>
      </c>
      <c r="AX121" s="3">
        <f>AW121</f>
        <v>331.206</v>
      </c>
      <c r="AY121" s="3">
        <f>AX121</f>
        <v>331.206</v>
      </c>
      <c r="AZ121" s="3">
        <f>AY121</f>
        <v>331.206</v>
      </c>
      <c r="BA121" s="3">
        <f>AZ121</f>
        <v>331.206</v>
      </c>
      <c r="BB121" s="3">
        <f>BA121</f>
        <v>331.206</v>
      </c>
      <c r="BC121" s="3">
        <f>BB121</f>
        <v>331.206</v>
      </c>
      <c r="BD121" s="3">
        <f>BC121</f>
        <v>331.206</v>
      </c>
      <c r="BE121" s="3">
        <f>BD121</f>
        <v>331.206</v>
      </c>
      <c r="BF121" s="3">
        <f>BE121</f>
        <v>331.206</v>
      </c>
      <c r="BG121" s="3">
        <f>BF121</f>
        <v>331.206</v>
      </c>
      <c r="BH121" s="3">
        <f>BG121</f>
        <v>331.206</v>
      </c>
      <c r="BI121" s="3">
        <f>BH121</f>
        <v>331.206</v>
      </c>
      <c r="BJ121" s="3">
        <f>BI121</f>
        <v>331.206</v>
      </c>
      <c r="BK121" s="3">
        <f>BJ121</f>
        <v>331.206</v>
      </c>
      <c r="BL121" s="3">
        <f>BK121</f>
        <v>331.206</v>
      </c>
      <c r="BM121" s="3">
        <f>BL121</f>
        <v>331.206</v>
      </c>
      <c r="BN121" s="3">
        <f>BM121</f>
        <v>331.206</v>
      </c>
      <c r="BO121" s="3">
        <f>BN121</f>
        <v>331.206</v>
      </c>
      <c r="BP121" s="3">
        <f>BO121</f>
        <v>331.206</v>
      </c>
      <c r="BQ121" s="3">
        <f>BP121</f>
        <v>331.206</v>
      </c>
      <c r="BR121" s="3">
        <f>BQ121</f>
        <v>331.206</v>
      </c>
      <c r="BS121" s="3">
        <f>BR121</f>
        <v>331.206</v>
      </c>
      <c r="BT121" s="3">
        <f>BS121</f>
        <v>331.206</v>
      </c>
      <c r="BU121" s="3">
        <f>BT121</f>
        <v>331.206</v>
      </c>
      <c r="BV121" s="3">
        <f>BU121</f>
        <v>331.206</v>
      </c>
      <c r="BW121" s="3">
        <f>BV121</f>
        <v>331.206</v>
      </c>
      <c r="BX121" s="3">
        <f>BW121</f>
        <v>331.206</v>
      </c>
      <c r="BY121" s="3">
        <f>BX121</f>
        <v>331.206</v>
      </c>
      <c r="BZ121" s="3">
        <f>BY121</f>
        <v>331.206</v>
      </c>
      <c r="CA121" s="3">
        <f>BZ121</f>
        <v>331.206</v>
      </c>
      <c r="CB121" s="3">
        <f>CA121</f>
        <v>331.206</v>
      </c>
      <c r="CC121" s="3">
        <f>CB121</f>
        <v>331.206</v>
      </c>
      <c r="CD121" s="3">
        <f>CC121</f>
        <v>331.206</v>
      </c>
      <c r="CE121" s="3">
        <f>CD121</f>
        <v>331.206</v>
      </c>
      <c r="CF121" s="3">
        <f>CE121</f>
        <v>331.206</v>
      </c>
      <c r="CG121" s="3">
        <f>CF121</f>
        <v>331.206</v>
      </c>
      <c r="CH121" s="3">
        <f>CG121</f>
        <v>331.206</v>
      </c>
      <c r="CI121" s="3">
        <f>CH121</f>
        <v>331.206</v>
      </c>
      <c r="CJ121" s="3">
        <f>CI121</f>
        <v>331.206</v>
      </c>
      <c r="CK121" s="3">
        <f>CJ121</f>
        <v>331.206</v>
      </c>
      <c r="CL121" s="3">
        <f>CK121</f>
        <v>331.206</v>
      </c>
      <c r="CM121" s="3">
        <f>CL121</f>
        <v>331.206</v>
      </c>
      <c r="CN121" s="3">
        <f>CM121</f>
        <v>331.206</v>
      </c>
      <c r="CO121" s="3">
        <f>CN121</f>
        <v>331.206</v>
      </c>
      <c r="CP121" s="3">
        <f>CO121</f>
        <v>331.206</v>
      </c>
      <c r="CQ121" s="3">
        <f>CP121</f>
        <v>331.206</v>
      </c>
      <c r="CR121" s="3">
        <f>CQ121</f>
        <v>331.206</v>
      </c>
      <c r="CS121" s="3">
        <f>CR121</f>
        <v>331.206</v>
      </c>
      <c r="CT121" s="3">
        <f>CS121</f>
        <v>331.206</v>
      </c>
      <c r="CU121" s="3">
        <f>CT121</f>
        <v>331.206</v>
      </c>
      <c r="CV121" s="3">
        <f>CU121</f>
        <v>331.206</v>
      </c>
      <c r="CW121" s="3">
        <f>CV121</f>
        <v>331.206</v>
      </c>
      <c r="CX121" s="3">
        <f>CW121</f>
        <v>331.206</v>
      </c>
      <c r="CY121" s="3">
        <f>CX121</f>
        <v>331.206</v>
      </c>
    </row>
    <row r="122" hidden="1" outlineLevel="1">
      <c r="C122" s="38" t="inlineStr">
        <is>
          <t>%(Var.)</t>
        </is>
      </c>
      <c r="D122" s="3" t="n"/>
      <c r="E122" s="47">
        <f>(E121-D121)/D121</f>
        <v>0.195008986454707</v>
      </c>
      <c r="F122" s="47">
        <f>(F121-E121)/E121</f>
        <v>-0.224730479990905</v>
      </c>
      <c r="G122" s="47">
        <f>(G121-F121)/F121</f>
        <v>-0.173218640906672</v>
      </c>
      <c r="H122" s="3" t="n"/>
      <c r="I122" s="47">
        <f>(I121-H121)/H121</f>
        <v>0.00901363329436086</v>
      </c>
      <c r="J122" s="47">
        <f>(J121-I121)/I121</f>
        <v>-0.0278611203352974</v>
      </c>
      <c r="K122" s="47">
        <f>(K121-J121)/J121</f>
        <v>1.45231781200486</v>
      </c>
      <c r="L122" s="47">
        <f>(L121-K121)/K121</f>
        <v>-0.525372738003933</v>
      </c>
      <c r="M122" s="3" t="n"/>
      <c r="N122" s="47">
        <f>(N121-M121)/M121</f>
        <v>0.446554752586617</v>
      </c>
      <c r="O122" s="47">
        <f>(O121-N121)/N121</f>
        <v>0.420267426259444</v>
      </c>
      <c r="P122" s="47">
        <f>(P121-O121)/O121</f>
        <v>0.219725783369024</v>
      </c>
      <c r="Q122" s="47">
        <f>(Q121-P121)/P121</f>
        <v>-0.287834953635534</v>
      </c>
      <c r="R122" s="3" t="n"/>
      <c r="S122" s="47">
        <f>(S121-R121)/R121</f>
        <v>-0.0561640325303639</v>
      </c>
      <c r="T122" s="47">
        <f>(T121-S121)/S121</f>
        <v>0.718811394403916</v>
      </c>
      <c r="U122" s="47">
        <f>(U121-T121)/T121</f>
        <v>-0.193537863705054</v>
      </c>
      <c r="V122" s="47">
        <f>(V121-U121)/U121</f>
        <v>0.423537949947354</v>
      </c>
      <c r="W122" s="3" t="n"/>
      <c r="X122" s="47">
        <f>(X121-W121)/W121</f>
        <v>0.0655868550486627</v>
      </c>
      <c r="Y122" s="47">
        <f>(Y121-X121)/X121</f>
        <v>0.0394947371723478</v>
      </c>
      <c r="Z122" s="47">
        <f>(Z121-Y121)/Y121</f>
        <v>-0.0430608110402275</v>
      </c>
      <c r="AA122" s="47">
        <f>(AA121-Z121)/Z121</f>
        <v>-0.0376183210922009</v>
      </c>
      <c r="AB122" s="3" t="n"/>
      <c r="AC122" s="47">
        <f>(AC121-AB121)/AB121</f>
        <v>0.057105169369672</v>
      </c>
      <c r="AD122" s="47">
        <f>(AD121-AC121)/AC121</f>
        <v>0.0628751680869286</v>
      </c>
      <c r="AE122" s="47">
        <f>(AE121-AD121)/AD121</f>
        <v>0.040225903834094</v>
      </c>
      <c r="AF122" s="218">
        <f>(AF121-AE121)/AE121</f>
        <v>0.160867690819428</v>
      </c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n"/>
      <c r="D123" s="3" t="n"/>
      <c r="E123" s="47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52" t="inlineStr">
        <is>
          <t xml:space="preserve">Impostos e Contribuições a Recuperar </t>
        </is>
      </c>
      <c r="D124" s="6" t="n"/>
      <c r="E124" s="6" t="n"/>
      <c r="F124" s="6" t="n"/>
      <c r="G124" s="6" t="n"/>
      <c r="H124" s="3" t="n"/>
      <c r="I124" s="6" t="n"/>
      <c r="J124" s="6" t="n"/>
      <c r="K124" s="6" t="n"/>
      <c r="L124" s="6" t="n"/>
      <c r="M124" s="3" t="n"/>
      <c r="N124" s="6" t="n"/>
      <c r="O124" s="6" t="n"/>
      <c r="P124" s="6" t="n"/>
      <c r="Q124" s="6" t="n"/>
      <c r="R124" s="3" t="n"/>
      <c r="S124" s="6" t="n"/>
      <c r="T124" s="6" t="n"/>
      <c r="U124" s="6" t="n"/>
      <c r="V124" s="6" t="n"/>
      <c r="W124" s="3" t="n"/>
      <c r="X124" s="6" t="n"/>
      <c r="Y124" s="6" t="n"/>
      <c r="Z124" s="6" t="n"/>
      <c r="AA124" s="6" t="n"/>
      <c r="AB124" s="3" t="n"/>
      <c r="AC124" s="6" t="n"/>
      <c r="AD124" s="6" t="n"/>
      <c r="AE124" s="6" t="n"/>
      <c r="AF124" s="6" t="n"/>
      <c r="AG124" s="3">
        <f>AF124</f>
        <v>0</v>
      </c>
      <c r="AH124" s="216">
        <f>AG124*AH15/AG15</f>
        <v>0</v>
      </c>
      <c r="AI124" s="216">
        <f>AH124*AI15/AH15</f>
        <v>0</v>
      </c>
      <c r="AJ124" s="216">
        <f>AI124*AJ15/AI15</f>
        <v>0</v>
      </c>
      <c r="AK124" s="216">
        <f>AJ124*AK15/AJ15</f>
        <v>0</v>
      </c>
      <c r="AL124" s="3">
        <f>AK124</f>
        <v>0</v>
      </c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hidden="1" outlineLevel="1">
      <c r="C125" s="52" t="inlineStr">
        <is>
          <t>Outros Créditos</t>
        </is>
      </c>
      <c r="D125" s="6" t="n"/>
      <c r="E125" s="6" t="n"/>
      <c r="F125" s="6" t="n"/>
      <c r="G125" s="6" t="n"/>
      <c r="H125" s="3" t="n"/>
      <c r="I125" s="6" t="n"/>
      <c r="J125" s="6" t="n"/>
      <c r="K125" s="6" t="n"/>
      <c r="L125" s="6" t="n"/>
      <c r="M125" s="3" t="n"/>
      <c r="N125" s="6" t="n"/>
      <c r="O125" s="6" t="n"/>
      <c r="P125" s="6" t="n"/>
      <c r="Q125" s="6" t="n"/>
      <c r="R125" s="3" t="n"/>
      <c r="S125" s="6" t="n"/>
      <c r="T125" s="6" t="n"/>
      <c r="U125" s="6" t="n"/>
      <c r="V125" s="6" t="n"/>
      <c r="W125" s="3" t="n"/>
      <c r="X125" s="6" t="n"/>
      <c r="Y125" s="6" t="n"/>
      <c r="Z125" s="6" t="n"/>
      <c r="AA125" s="6" t="n"/>
      <c r="AB125" s="3" t="n"/>
      <c r="AC125" s="6" t="n"/>
      <c r="AD125" s="6" t="n"/>
      <c r="AE125" s="6" t="n"/>
      <c r="AF125" s="6" t="n"/>
      <c r="AG125" s="3">
        <f>AF125</f>
        <v>0</v>
      </c>
      <c r="AH125" s="3">
        <f>AG125</f>
        <v>0</v>
      </c>
      <c r="AI125" s="3">
        <f>AH125</f>
        <v>0</v>
      </c>
      <c r="AJ125" s="3">
        <f>AI125</f>
        <v>0</v>
      </c>
      <c r="AK125" s="3">
        <f>AJ125</f>
        <v>0</v>
      </c>
      <c r="AL125" s="3">
        <f>AK125</f>
        <v>0</v>
      </c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  <c r="BZ125" s="3" t="n"/>
      <c r="CA125" s="3" t="n"/>
      <c r="CB125" s="3" t="n"/>
      <c r="CC125" s="3" t="n"/>
      <c r="CD125" s="3" t="n"/>
      <c r="CE125" s="3" t="n"/>
      <c r="CF125" s="3" t="n"/>
      <c r="CG125" s="3" t="n"/>
      <c r="CH125" s="3" t="n"/>
      <c r="CI125" s="3" t="n"/>
      <c r="CJ125" s="3" t="n"/>
      <c r="CK125" s="3" t="n"/>
      <c r="CL125" s="3" t="n"/>
      <c r="CM125" s="3" t="n"/>
      <c r="CN125" s="3" t="n"/>
      <c r="CO125" s="3" t="n"/>
      <c r="CP125" s="3" t="n"/>
      <c r="CQ125" s="3" t="n"/>
      <c r="CR125" s="3" t="n"/>
      <c r="CS125" s="3" t="n"/>
      <c r="CT125" s="3" t="n"/>
      <c r="CU125" s="3" t="n"/>
      <c r="CV125" s="3" t="n"/>
      <c r="CW125" s="3" t="n"/>
      <c r="CX125" s="3" t="n"/>
      <c r="CY125" s="3" t="n"/>
    </row>
    <row r="126" hidden="1" outlineLevel="1">
      <c r="C126" s="34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  <c r="BZ126" s="3" t="n"/>
      <c r="CA126" s="3" t="n"/>
      <c r="CB126" s="3" t="n"/>
      <c r="CC126" s="3" t="n"/>
      <c r="CD126" s="3" t="n"/>
      <c r="CE126" s="3" t="n"/>
      <c r="CF126" s="3" t="n"/>
      <c r="CG126" s="3" t="n"/>
      <c r="CH126" s="3" t="n"/>
      <c r="CI126" s="3" t="n"/>
      <c r="CJ126" s="3" t="n"/>
      <c r="CK126" s="3" t="n"/>
      <c r="CL126" s="3" t="n"/>
      <c r="CM126" s="3" t="n"/>
      <c r="CN126" s="3" t="n"/>
      <c r="CO126" s="3" t="n"/>
      <c r="CP126" s="3" t="n"/>
      <c r="CQ126" s="3" t="n"/>
      <c r="CR126" s="3" t="n"/>
      <c r="CS126" s="3" t="n"/>
      <c r="CT126" s="3" t="n"/>
      <c r="CU126" s="3" t="n"/>
      <c r="CV126" s="3" t="n"/>
      <c r="CW126" s="3" t="n"/>
      <c r="CX126" s="3" t="n"/>
      <c r="CY126" s="3" t="n"/>
    </row>
    <row r="127" collapsed="1">
      <c r="C127" s="26" t="inlineStr">
        <is>
          <t>Equity in affiliates</t>
        </is>
      </c>
      <c r="D127" s="25">
        <f>INDEX('Inputs (2)'!$D$21:$AL$21,MATCH(D$7,'Inputs (2)'!$D$2:$AL$2,0))</f>
        <v>17.5695489861008</v>
      </c>
      <c r="E127" s="25">
        <f>INDEX('Inputs (2)'!$D$21:$AL$21,MATCH(E$7,'Inputs (2)'!$D$2:$AL$2,0))</f>
        <v>18.0742044236336</v>
      </c>
      <c r="F127" s="25">
        <f>INDEX('Inputs (2)'!$D$21:$AL$21,MATCH(F$7,'Inputs (2)'!$D$2:$AL$2,0))</f>
        <v>23.1600065860319</v>
      </c>
      <c r="G127" s="25">
        <f>INDEX('Inputs (2)'!$D$21:$AL$21,MATCH(G$7,'Inputs (2)'!$D$2:$AL$2,0))</f>
        <v>34.3720942828173</v>
      </c>
      <c r="H127" s="3">
        <f>G127</f>
        <v>34.3720942828173</v>
      </c>
      <c r="I127" s="25">
        <f>INDEX('Inputs (2)'!$D$21:$AL$21,MATCH(I$7,'Inputs (2)'!$D$2:$AL$2,0))</f>
        <v>33.9309088196028</v>
      </c>
      <c r="J127" s="25">
        <f>INDEX('Inputs (2)'!$D$21:$AL$21,MATCH(J$7,'Inputs (2)'!$D$2:$AL$2,0))</f>
        <v>135.736947285287</v>
      </c>
      <c r="K127" s="25">
        <f>INDEX('Inputs (2)'!$D$21:$AL$21,MATCH(K$7,'Inputs (2)'!$D$2:$AL$2,0))</f>
        <v>355.250406008409</v>
      </c>
      <c r="L127" s="25">
        <f>INDEX('Inputs (2)'!$D$21:$AL$21,MATCH(L$7,'Inputs (2)'!$D$2:$AL$2,0))</f>
        <v>43.0832158302319</v>
      </c>
      <c r="M127" s="3">
        <f>L127</f>
        <v>43.0832158302319</v>
      </c>
      <c r="N127" s="25">
        <f>INDEX('Inputs (2)'!$D$21:$AL$21,MATCH(N$7,'Inputs (2)'!$D$2:$AL$2,0))</f>
        <v>40.5498050422764</v>
      </c>
      <c r="O127" s="25">
        <f>INDEX('Inputs (2)'!$D$21:$AL$21,MATCH(O$7,'Inputs (2)'!$D$2:$AL$2,0))</f>
        <v>42.331656162821</v>
      </c>
      <c r="P127" s="25">
        <f>INDEX('Inputs (2)'!$D$21:$AL$21,MATCH(P$7,'Inputs (2)'!$D$2:$AL$2,0))</f>
        <v>52.56045319</v>
      </c>
      <c r="Q127" s="25">
        <f>INDEX('Inputs (2)'!$D$21:$AL$21,MATCH(Q$7,'Inputs (2)'!$D$2:$AL$2,0))</f>
        <v>44.0802310958267</v>
      </c>
      <c r="R127" s="3">
        <f>Q127</f>
        <v>44.0802310958267</v>
      </c>
      <c r="S127" s="25">
        <f>INDEX('Inputs (2)'!$D$21:$AL$21,MATCH(S$7,'Inputs (2)'!$D$2:$AL$2,0))</f>
        <v>56.8724403</v>
      </c>
      <c r="T127" s="25">
        <f>INDEX('Inputs (2)'!$D$21:$AL$21,MATCH(T$7,'Inputs (2)'!$D$2:$AL$2,0))</f>
        <v>66.428</v>
      </c>
      <c r="U127" s="25">
        <f>INDEX('Inputs (2)'!$D$21:$AL$21,MATCH(U$7,'Inputs (2)'!$D$2:$AL$2,0))</f>
        <v>68.26</v>
      </c>
      <c r="V127" s="25">
        <f>INDEX('Inputs (2)'!$D$21:$AL$21,MATCH(V$7,'Inputs (2)'!$D$2:$AL$2,0))</f>
        <v>81.519</v>
      </c>
      <c r="W127" s="3">
        <f>V127</f>
        <v>81.519</v>
      </c>
      <c r="X127" s="25">
        <f>INDEX('Inputs (2)'!$D$21:$AL$21,MATCH(X$7,'Inputs (2)'!$D$2:$AL$2,0))</f>
        <v>69.005</v>
      </c>
      <c r="Y127" s="25">
        <f>INDEX('Inputs (2)'!$D$21:$AL$21,MATCH(Y$7,'Inputs (2)'!$D$2:$AL$2,0))</f>
        <v>93.409</v>
      </c>
      <c r="Z127" s="25">
        <f>INDEX('Inputs (2)'!$D$21:$AL$21,MATCH(Z$7,'Inputs (2)'!$D$2:$AL$2,0))</f>
        <v>100.357</v>
      </c>
      <c r="AA127" s="25">
        <f>INDEX('Inputs (2)'!$D$21:$AL$21,MATCH(AA$7,'Inputs (2)'!$D$2:$AL$2,0))</f>
        <v>81.91</v>
      </c>
      <c r="AB127" s="3">
        <f>AA127</f>
        <v>81.91</v>
      </c>
      <c r="AC127" s="25">
        <f>INDEX('Inputs (2)'!$D$21:$AL$21,MATCH(AC$7,'Inputs (2)'!$D$2:$AL$2,0))</f>
        <v>102.201544</v>
      </c>
      <c r="AD127" s="25">
        <f>INDEX('Inputs (2)'!$D$21:$AL$21,MATCH(AD$7,'Inputs (2)'!$D$2:$AL$2,0))</f>
        <v>241.834</v>
      </c>
      <c r="AE127" s="25">
        <f>INDEX('Inputs (2)'!$D$21:$AL$21,MATCH(AE$7,'Inputs (2)'!$D$2:$AL$2,0))</f>
        <v>109.652</v>
      </c>
      <c r="AF127" s="25">
        <f>INDEX('Inputs (2)'!$D$21:$AL$21,MATCH(AF$7,'Inputs (2)'!$D$2:$AL$2,0))</f>
        <v>111.772</v>
      </c>
      <c r="AG127" s="3">
        <f>AF127</f>
        <v>111.772</v>
      </c>
      <c r="AH127" s="3">
        <f>AG127+AH101+AH130</f>
        <v>109.501</v>
      </c>
      <c r="AI127" s="3">
        <f>AH127+AI101+AI130</f>
        <v>106.725</v>
      </c>
      <c r="AJ127" s="3">
        <f>AI127+AJ101+AJ130</f>
        <v>103.118661916582</v>
      </c>
      <c r="AK127" s="3">
        <f>AJ127+AK101+AK130</f>
        <v>98.2130153216995</v>
      </c>
      <c r="AL127" s="3">
        <f>AK127</f>
        <v>98.2130153216995</v>
      </c>
      <c r="AM127" s="3">
        <f>AL127+AM101+AM130</f>
        <v>95.9420153216995</v>
      </c>
      <c r="AN127" s="3">
        <f>AM127+AN101+AN130</f>
        <v>93.1660153216996</v>
      </c>
      <c r="AO127" s="3">
        <f>AN127+AO101+AO130</f>
        <v>89.5596772382816</v>
      </c>
      <c r="AP127" s="3">
        <f>AO127+AP101+AP130</f>
        <v>84.6540306433991</v>
      </c>
      <c r="AQ127" s="3">
        <f>AP127</f>
        <v>84.6540306433991</v>
      </c>
      <c r="AR127" s="3">
        <f>AQ127+AR101+AR130</f>
        <v>82.3830306433991</v>
      </c>
      <c r="AS127" s="3">
        <f>AR127+AS101+AS130</f>
        <v>79.6070306433991</v>
      </c>
      <c r="AT127" s="3">
        <f>AS127+AT101+AT130</f>
        <v>76.0006925599811</v>
      </c>
      <c r="AU127" s="3">
        <f>AT127+AU101+AU130</f>
        <v>71.0950459650986</v>
      </c>
      <c r="AV127" s="3">
        <f>AU127</f>
        <v>71.0950459650986</v>
      </c>
      <c r="AW127" s="3">
        <f>AV127+AW101+AW130</f>
        <v>68.8240459650986</v>
      </c>
      <c r="AX127" s="3">
        <f>AW127+AX101+AX130</f>
        <v>66.0480459650986</v>
      </c>
      <c r="AY127" s="3">
        <f>AX127+AY101+AY130</f>
        <v>62.4417078816807</v>
      </c>
      <c r="AZ127" s="3">
        <f>AY127+AZ101+AZ130</f>
        <v>57.5360612867982</v>
      </c>
      <c r="BA127" s="3">
        <f>AZ127</f>
        <v>57.5360612867982</v>
      </c>
      <c r="BB127" s="3">
        <f>BA127+BB101+BB130</f>
        <v>55.2650612867982</v>
      </c>
      <c r="BC127" s="3">
        <f>BB127+BC101+BC130</f>
        <v>52.4890612867982</v>
      </c>
      <c r="BD127" s="3">
        <f>BC127+BD101+BD130</f>
        <v>48.8827232033802</v>
      </c>
      <c r="BE127" s="3">
        <f>BD127+BE101+BE130</f>
        <v>43.9770766084977</v>
      </c>
      <c r="BF127" s="3">
        <f>BE127</f>
        <v>43.9770766084977</v>
      </c>
      <c r="BG127" s="3">
        <f>BF127+BG101+BG130</f>
        <v>41.7060766084977</v>
      </c>
      <c r="BH127" s="3">
        <f>BG127+BH101+BH130</f>
        <v>38.9300766084977</v>
      </c>
      <c r="BI127" s="3">
        <f>BH127+BI101+BI130</f>
        <v>35.3237385250797</v>
      </c>
      <c r="BJ127" s="3">
        <f>BI127+BJ101+BJ130</f>
        <v>30.4180919301972</v>
      </c>
      <c r="BK127" s="3">
        <f>BJ127</f>
        <v>30.4180919301972</v>
      </c>
      <c r="BL127" s="3">
        <f>BK127+BL101+BL130</f>
        <v>28.1470919301972</v>
      </c>
      <c r="BM127" s="3">
        <f>BL127+BM101+BM130</f>
        <v>25.3710919301972</v>
      </c>
      <c r="BN127" s="3">
        <f>BM127+BN101+BN130</f>
        <v>21.7647538467792</v>
      </c>
      <c r="BO127" s="3">
        <f>BN127+BO101+BO130</f>
        <v>16.8591072518967</v>
      </c>
      <c r="BP127" s="3">
        <f>BO127</f>
        <v>16.8591072518967</v>
      </c>
      <c r="BQ127" s="3">
        <f>BP127+BQ101+BQ130</f>
        <v>14.5881072518967</v>
      </c>
      <c r="BR127" s="3">
        <f>BQ127+BR101+BR130</f>
        <v>11.8121072518967</v>
      </c>
      <c r="BS127" s="3">
        <f>BR127+BS101+BS130</f>
        <v>8.20576916847877</v>
      </c>
      <c r="BT127" s="3">
        <f>BS127+BT101+BT130</f>
        <v>3.30012257359627</v>
      </c>
      <c r="BU127" s="3">
        <f>BT127</f>
        <v>3.30012257359627</v>
      </c>
      <c r="BV127" s="3">
        <f>BU127+BV101+BV130</f>
        <v>1.02912257359627</v>
      </c>
      <c r="BW127" s="3">
        <f>BV127+BW101+BW130</f>
        <v>-1.74687742640373</v>
      </c>
      <c r="BX127" s="3">
        <f>BW127+BX101+BX130</f>
        <v>-5.3532155098217</v>
      </c>
      <c r="BY127" s="3">
        <f>BX127+BY101+BY130</f>
        <v>-10.2588621047042</v>
      </c>
      <c r="BZ127" s="3">
        <f>BY127</f>
        <v>-10.2588621047042</v>
      </c>
      <c r="CA127" s="3">
        <f>BZ127+CA101+CA130</f>
        <v>-12.5298621047042</v>
      </c>
      <c r="CB127" s="3">
        <f>CA127+CB101+CB130</f>
        <v>-15.3058621047042</v>
      </c>
      <c r="CC127" s="3">
        <f>CB127+CC101+CC130</f>
        <v>-18.9122001881222</v>
      </c>
      <c r="CD127" s="3">
        <f>CC127+CD101+CD130</f>
        <v>-23.8178467830047</v>
      </c>
      <c r="CE127" s="3">
        <f>CD127</f>
        <v>-23.8178467830047</v>
      </c>
      <c r="CF127" s="3">
        <f>CE127+CF101+CF130</f>
        <v>-26.0888467830047</v>
      </c>
      <c r="CG127" s="3">
        <f>CF127+CG101+CG130</f>
        <v>-28.8648467830047</v>
      </c>
      <c r="CH127" s="3">
        <f>CG127+CH101+CH130</f>
        <v>-32.4711848664227</v>
      </c>
      <c r="CI127" s="3">
        <f>CH127+CI101+CI130</f>
        <v>-37.3768314613051</v>
      </c>
      <c r="CJ127" s="3">
        <f>CI127</f>
        <v>-37.3768314613051</v>
      </c>
      <c r="CK127" s="3">
        <f>CJ127+CK101+CK130</f>
        <v>-39.6478314613051</v>
      </c>
      <c r="CL127" s="3">
        <f>CK127+CL101+CL130</f>
        <v>-42.4238314613052</v>
      </c>
      <c r="CM127" s="3">
        <f>CL127+CM101+CM130</f>
        <v>-46.0301695447231</v>
      </c>
      <c r="CN127" s="3">
        <f>CM127+CN101+CN130</f>
        <v>-50.9358161396056</v>
      </c>
      <c r="CO127" s="3">
        <f>CN127</f>
        <v>-50.9358161396056</v>
      </c>
      <c r="CP127" s="3">
        <f>CO127+CP101+CP130</f>
        <v>-53.2068161396056</v>
      </c>
      <c r="CQ127" s="3">
        <f>CP127+CQ101+CQ130</f>
        <v>-55.9828161396056</v>
      </c>
      <c r="CR127" s="3">
        <f>CQ127+CR101+CR130</f>
        <v>-59.5891542230236</v>
      </c>
      <c r="CS127" s="3">
        <f>CR127+CS101+CS130</f>
        <v>-64.4948008179061</v>
      </c>
      <c r="CT127" s="3">
        <f>CS127</f>
        <v>-64.4948008179061</v>
      </c>
      <c r="CU127" s="3">
        <f>CT127+CU101+CU130</f>
        <v>-66.7658008179061</v>
      </c>
      <c r="CV127" s="3">
        <f>CU127+CV101+CV130</f>
        <v>-69.5418008179061</v>
      </c>
      <c r="CW127" s="3">
        <f>CV127+CW101+CW130</f>
        <v>-73.1481389013241</v>
      </c>
      <c r="CX127" s="3">
        <f>CW127+CX101+CX130</f>
        <v>-78.0537854962066</v>
      </c>
      <c r="CY127" s="3">
        <f>CX127</f>
        <v>-78.0537854962066</v>
      </c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4" t="inlineStr">
        <is>
          <t>Equity in Income - % YoY</t>
        </is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>
        <f>IF(I101=0,0,N101/I101-1)</f>
        <v>-1.00099691771971</v>
      </c>
      <c r="O129" s="3">
        <f>IF(J101=0,0,O101/J101-1)</f>
        <v>-186.407471143441</v>
      </c>
      <c r="P129" s="3">
        <f>IF(K101=0,0,P101/K101-1)</f>
        <v>-0.433745387752946</v>
      </c>
      <c r="Q129" s="3">
        <f>IF(L101=0,0,Q101/L101-1)</f>
        <v>-1.19867672159763</v>
      </c>
      <c r="R129" s="3" t="n"/>
      <c r="S129" s="3">
        <f>IF(N101=0,0,S101/N101-1)</f>
        <v>-1</v>
      </c>
      <c r="T129" s="3">
        <f>IF(O101=0,0,T101/O101-1)</f>
        <v>-0.38469789503214</v>
      </c>
      <c r="U129" s="3">
        <f>IF(P101=0,0,U101/P101-1)</f>
        <v>-0.295357027380344</v>
      </c>
      <c r="V129" s="3">
        <f>IF(Q101=0,0,V101/Q101-1)</f>
        <v>3.46195421845556</v>
      </c>
      <c r="W129" s="3" t="n"/>
      <c r="X129" s="3">
        <f>IF(S101=0,0,X101/S101-1)</f>
        <v>0</v>
      </c>
      <c r="Y129" s="3">
        <f>IF(T101=0,0,Y101/T101-1)</f>
        <v>-4.14509803921569</v>
      </c>
      <c r="Z129" s="3">
        <f>IF(U101=0,0,Z101/U101-1)</f>
        <v>-4.72159090909091</v>
      </c>
      <c r="AA129" s="3">
        <f>IF(V101=0,0,AA101/V101-1)</f>
        <v>7.91240875912409</v>
      </c>
      <c r="AB129" s="3" t="n"/>
      <c r="AC129" s="3">
        <f>IF(X101=0,0,AC101/X101-1)</f>
        <v>5.52586206896552</v>
      </c>
      <c r="AD129" s="3">
        <f>IF(Y101=0,0,AD101/Y101-1)</f>
        <v>2.46134663341646</v>
      </c>
      <c r="AE129" s="3">
        <f>IF(Z101=0,0,AE101/Z101-1)</f>
        <v>4.50585966934041</v>
      </c>
      <c r="AF129" s="3">
        <f>IF(AA101=0,0,AF101/AA101-1)</f>
        <v>1.00886428946867</v>
      </c>
      <c r="AG129" s="3" t="n"/>
      <c r="AH129" s="6" t="n"/>
      <c r="AI129" s="6" t="n"/>
      <c r="AJ129" s="6" t="n"/>
      <c r="AK129" s="6" t="n"/>
      <c r="AL129" s="3" t="n"/>
      <c r="AM129" s="6" t="n"/>
      <c r="AN129" s="6" t="n"/>
      <c r="AO129" s="6" t="n"/>
      <c r="AP129" s="6" t="n"/>
      <c r="AQ129" s="3" t="n"/>
      <c r="AR129" s="6" t="n"/>
      <c r="AS129" s="6" t="n"/>
      <c r="AT129" s="6" t="n"/>
      <c r="AU129" s="6" t="n"/>
      <c r="AV129" s="3" t="n"/>
      <c r="AW129" s="6" t="n"/>
      <c r="AX129" s="6" t="n"/>
      <c r="AY129" s="6" t="n"/>
      <c r="AZ129" s="6" t="n"/>
      <c r="BA129" s="3" t="n"/>
      <c r="BB129" s="6" t="n"/>
      <c r="BC129" s="6" t="n"/>
      <c r="BD129" s="6" t="n"/>
      <c r="BE129" s="6" t="n"/>
      <c r="BF129" s="3" t="n"/>
      <c r="BG129" s="6" t="n"/>
      <c r="BH129" s="6" t="n"/>
      <c r="BI129" s="6" t="n"/>
      <c r="BJ129" s="6" t="n"/>
      <c r="BK129" s="3" t="n"/>
      <c r="BL129" s="6" t="n"/>
      <c r="BM129" s="6" t="n"/>
      <c r="BN129" s="6" t="n"/>
      <c r="BO129" s="6" t="n"/>
      <c r="BP129" s="3" t="n"/>
      <c r="BQ129" s="6" t="n"/>
      <c r="BR129" s="6" t="n"/>
      <c r="BS129" s="6" t="n"/>
      <c r="BT129" s="6" t="n"/>
      <c r="BU129" s="3" t="n"/>
      <c r="BV129" s="6" t="n"/>
      <c r="BW129" s="6" t="n"/>
      <c r="BX129" s="6" t="n"/>
      <c r="BY129" s="6" t="n"/>
      <c r="BZ129" s="3" t="n"/>
      <c r="CA129" s="6" t="n"/>
      <c r="CB129" s="6" t="n"/>
      <c r="CC129" s="6" t="n"/>
      <c r="CD129" s="6" t="n"/>
      <c r="CE129" s="3" t="n"/>
      <c r="CF129" s="6" t="n"/>
      <c r="CG129" s="6" t="n"/>
      <c r="CH129" s="6" t="n"/>
      <c r="CI129" s="6" t="n"/>
      <c r="CJ129" s="3" t="n"/>
      <c r="CK129" s="6" t="n"/>
      <c r="CL129" s="6" t="n"/>
      <c r="CM129" s="6" t="n"/>
      <c r="CN129" s="6" t="n"/>
      <c r="CO129" s="3" t="n"/>
      <c r="CP129" s="6" t="n"/>
      <c r="CQ129" s="6" t="n"/>
      <c r="CR129" s="6" t="n"/>
      <c r="CS129" s="6" t="n"/>
      <c r="CT129" s="3" t="n"/>
      <c r="CU129" s="6" t="n"/>
      <c r="CV129" s="6" t="n"/>
      <c r="CW129" s="6" t="n"/>
      <c r="CX129" s="6" t="n"/>
      <c r="CY129" s="3" t="n"/>
    </row>
    <row r="130" hidden="1" outlineLevel="1">
      <c r="C130" s="34" t="inlineStr">
        <is>
          <t>Dividends (enter as -)</t>
        </is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6" t="n"/>
      <c r="AI130" s="6" t="n"/>
      <c r="AJ130" s="6" t="n"/>
      <c r="AK130" s="6" t="n"/>
      <c r="AL130" s="3" t="n"/>
      <c r="AM130" s="6" t="n"/>
      <c r="AN130" s="6" t="n"/>
      <c r="AO130" s="6" t="n"/>
      <c r="AP130" s="6" t="n"/>
      <c r="AQ130" s="3" t="n"/>
      <c r="AR130" s="6" t="n"/>
      <c r="AS130" s="6" t="n"/>
      <c r="AT130" s="6" t="n"/>
      <c r="AU130" s="6" t="n"/>
      <c r="AV130" s="3" t="n"/>
      <c r="AW130" s="6" t="n"/>
      <c r="AX130" s="6" t="n"/>
      <c r="AY130" s="6" t="n"/>
      <c r="AZ130" s="6" t="n"/>
      <c r="BA130" s="3" t="n"/>
      <c r="BB130" s="6" t="n"/>
      <c r="BC130" s="6" t="n"/>
      <c r="BD130" s="6" t="n"/>
      <c r="BE130" s="6" t="n"/>
      <c r="BF130" s="3" t="n"/>
      <c r="BG130" s="6" t="n"/>
      <c r="BH130" s="6" t="n"/>
      <c r="BI130" s="6" t="n"/>
      <c r="BJ130" s="6" t="n"/>
      <c r="BK130" s="3" t="n"/>
      <c r="BL130" s="6" t="n"/>
      <c r="BM130" s="6" t="n"/>
      <c r="BN130" s="6" t="n"/>
      <c r="BO130" s="6" t="n"/>
      <c r="BP130" s="3" t="n"/>
      <c r="BQ130" s="6" t="n"/>
      <c r="BR130" s="6" t="n"/>
      <c r="BS130" s="6" t="n"/>
      <c r="BT130" s="6" t="n"/>
      <c r="BU130" s="3" t="n"/>
      <c r="BV130" s="6" t="n"/>
      <c r="BW130" s="6" t="n"/>
      <c r="BX130" s="6" t="n"/>
      <c r="BY130" s="6" t="n"/>
      <c r="BZ130" s="3" t="n"/>
      <c r="CA130" s="6" t="n"/>
      <c r="CB130" s="6" t="n"/>
      <c r="CC130" s="6" t="n"/>
      <c r="CD130" s="6" t="n"/>
      <c r="CE130" s="3" t="n"/>
      <c r="CF130" s="6" t="n"/>
      <c r="CG130" s="6" t="n"/>
      <c r="CH130" s="6" t="n"/>
      <c r="CI130" s="6" t="n"/>
      <c r="CJ130" s="3" t="n"/>
      <c r="CK130" s="6" t="n"/>
      <c r="CL130" s="6" t="n"/>
      <c r="CM130" s="6" t="n"/>
      <c r="CN130" s="6" t="n"/>
      <c r="CO130" s="3" t="n"/>
      <c r="CP130" s="6" t="n"/>
      <c r="CQ130" s="6" t="n"/>
      <c r="CR130" s="6" t="n"/>
      <c r="CS130" s="6" t="n"/>
      <c r="CT130" s="3" t="n"/>
      <c r="CU130" s="6" t="n"/>
      <c r="CV130" s="6" t="n"/>
      <c r="CW130" s="6" t="n"/>
      <c r="CX130" s="6" t="n"/>
      <c r="CY130" s="3" t="n"/>
    </row>
    <row r="131" hidden="1" outlineLevel="1">
      <c r="C131" s="34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  <c r="BZ131" s="3" t="n"/>
      <c r="CA131" s="3" t="n"/>
      <c r="CB131" s="3" t="n"/>
      <c r="CC131" s="3" t="n"/>
      <c r="CD131" s="3" t="n"/>
      <c r="CE131" s="3" t="n"/>
      <c r="CF131" s="3" t="n"/>
      <c r="CG131" s="3" t="n"/>
      <c r="CH131" s="3" t="n"/>
      <c r="CI131" s="3" t="n"/>
      <c r="CJ131" s="3" t="n"/>
      <c r="CK131" s="3" t="n"/>
      <c r="CL131" s="3" t="n"/>
      <c r="CM131" s="3" t="n"/>
      <c r="CN131" s="3" t="n"/>
      <c r="CO131" s="3" t="n"/>
      <c r="CP131" s="3" t="n"/>
      <c r="CQ131" s="3" t="n"/>
      <c r="CR131" s="3" t="n"/>
      <c r="CS131" s="3" t="n"/>
      <c r="CT131" s="3" t="n"/>
      <c r="CU131" s="3" t="n"/>
      <c r="CV131" s="3" t="n"/>
      <c r="CW131" s="3" t="n"/>
      <c r="CX131" s="3" t="n"/>
      <c r="CY131" s="3" t="n"/>
    </row>
    <row r="132" collapsed="1">
      <c r="C132" s="26" t="inlineStr">
        <is>
          <t>PP&amp;E</t>
        </is>
      </c>
      <c r="D132" s="25">
        <f>INDEX('Inputs (2)'!$D$22:$AL$22,MATCH(D$7,'Inputs (2)'!$D$2:$AL$2,0))</f>
        <v>754.229636302314</v>
      </c>
      <c r="E132" s="25">
        <f>INDEX('Inputs (2)'!$D$22:$AL$22,MATCH(E$7,'Inputs (2)'!$D$2:$AL$2,0))</f>
        <v>738.340821293317</v>
      </c>
      <c r="F132" s="25">
        <f>INDEX('Inputs (2)'!$D$22:$AL$22,MATCH(F$7,'Inputs (2)'!$D$2:$AL$2,0))</f>
        <v>707.7424608929</v>
      </c>
      <c r="G132" s="25">
        <f>INDEX('Inputs (2)'!$D$22:$AL$22,MATCH(G$7,'Inputs (2)'!$D$2:$AL$2,0))</f>
        <v>708.768648562485</v>
      </c>
      <c r="H132" s="3">
        <f>G132</f>
        <v>708.768648562485</v>
      </c>
      <c r="I132" s="25">
        <f>INDEX('Inputs (2)'!$D$22:$AL$22,MATCH(I$7,'Inputs (2)'!$D$2:$AL$2,0))</f>
        <v>690.647707332069</v>
      </c>
      <c r="J132" s="25">
        <f>INDEX('Inputs (2)'!$D$22:$AL$22,MATCH(J$7,'Inputs (2)'!$D$2:$AL$2,0))</f>
        <v>707.228095126682</v>
      </c>
      <c r="K132" s="25">
        <f>INDEX('Inputs (2)'!$D$22:$AL$22,MATCH(K$7,'Inputs (2)'!$D$2:$AL$2,0))</f>
        <v>720.527861893454</v>
      </c>
      <c r="L132" s="25">
        <f>INDEX('Inputs (2)'!$D$22:$AL$22,MATCH(L$7,'Inputs (2)'!$D$2:$AL$2,0))</f>
        <v>814.406748984424</v>
      </c>
      <c r="M132" s="3">
        <f>L132</f>
        <v>814.406748984424</v>
      </c>
      <c r="N132" s="25">
        <f>INDEX('Inputs (2)'!$D$22:$AL$22,MATCH(N$7,'Inputs (2)'!$D$2:$AL$2,0))</f>
        <v>800.795161026482</v>
      </c>
      <c r="O132" s="25">
        <f>INDEX('Inputs (2)'!$D$22:$AL$22,MATCH(O$7,'Inputs (2)'!$D$2:$AL$2,0))</f>
        <v>825.129211877353</v>
      </c>
      <c r="P132" s="25">
        <f>INDEX('Inputs (2)'!$D$22:$AL$22,MATCH(P$7,'Inputs (2)'!$D$2:$AL$2,0))</f>
        <v>874.14140573</v>
      </c>
      <c r="Q132" s="25">
        <f>INDEX('Inputs (2)'!$D$22:$AL$22,MATCH(Q$7,'Inputs (2)'!$D$2:$AL$2,0))</f>
        <v>925.882893132822</v>
      </c>
      <c r="R132" s="3">
        <f>Q132</f>
        <v>925.882893132822</v>
      </c>
      <c r="S132" s="25">
        <f>INDEX('Inputs (2)'!$D$22:$AL$22,MATCH(S$7,'Inputs (2)'!$D$2:$AL$2,0))</f>
        <v>909.11490776</v>
      </c>
      <c r="T132" s="25">
        <f>INDEX('Inputs (2)'!$D$22:$AL$22,MATCH(T$7,'Inputs (2)'!$D$2:$AL$2,0))</f>
        <v>1351.334</v>
      </c>
      <c r="U132" s="25">
        <f>INDEX('Inputs (2)'!$D$22:$AL$22,MATCH(U$7,'Inputs (2)'!$D$2:$AL$2,0))</f>
        <v>1349.217</v>
      </c>
      <c r="V132" s="25">
        <f>INDEX('Inputs (2)'!$D$22:$AL$22,MATCH(V$7,'Inputs (2)'!$D$2:$AL$2,0))</f>
        <v>1348.492</v>
      </c>
      <c r="W132" s="3">
        <f>V132</f>
        <v>1348.492</v>
      </c>
      <c r="X132" s="25">
        <f>INDEX('Inputs (2)'!$D$22:$AL$22,MATCH(X$7,'Inputs (2)'!$D$2:$AL$2,0))</f>
        <v>1326.688</v>
      </c>
      <c r="Y132" s="25">
        <f>INDEX('Inputs (2)'!$D$22:$AL$22,MATCH(Y$7,'Inputs (2)'!$D$2:$AL$2,0))</f>
        <v>1320.192</v>
      </c>
      <c r="Z132" s="25">
        <f>INDEX('Inputs (2)'!$D$22:$AL$22,MATCH(Z$7,'Inputs (2)'!$D$2:$AL$2,0))</f>
        <v>1334.583</v>
      </c>
      <c r="AA132" s="25">
        <f>INDEX('Inputs (2)'!$D$22:$AL$22,MATCH(AA$7,'Inputs (2)'!$D$2:$AL$2,0))</f>
        <v>1375.065</v>
      </c>
      <c r="AB132" s="3">
        <f>AA132</f>
        <v>1375.065</v>
      </c>
      <c r="AC132" s="25">
        <f>INDEX('Inputs (2)'!$D$22:$AL$22,MATCH(AC$7,'Inputs (2)'!$D$2:$AL$2,0))</f>
        <v>1348.365553</v>
      </c>
      <c r="AD132" s="25">
        <f>INDEX('Inputs (2)'!$D$22:$AL$22,MATCH(AD$7,'Inputs (2)'!$D$2:$AL$2,0))</f>
        <v>1338.359</v>
      </c>
      <c r="AE132" s="25">
        <f>INDEX('Inputs (2)'!$D$22:$AL$22,MATCH(AE$7,'Inputs (2)'!$D$2:$AL$2,0))</f>
        <v>1344.449</v>
      </c>
      <c r="AF132" s="25">
        <f>INDEX('Inputs (2)'!$D$22:$AL$22,MATCH(AF$7,'Inputs (2)'!$D$2:$AL$2,0))</f>
        <v>1379.255</v>
      </c>
      <c r="AG132" s="3">
        <f>AF132</f>
        <v>1379.255</v>
      </c>
      <c r="AH132" s="3">
        <f>AH137</f>
        <v>1379.255</v>
      </c>
      <c r="AI132" s="3">
        <f>AI137</f>
        <v>1379.255</v>
      </c>
      <c r="AJ132" s="3">
        <f>AJ137</f>
        <v>1379.255</v>
      </c>
      <c r="AK132" s="3">
        <f>AK137</f>
        <v>1379.255</v>
      </c>
      <c r="AL132" s="3">
        <f>AK132</f>
        <v>1379.255</v>
      </c>
      <c r="AM132" s="3">
        <f>AM137</f>
        <v>1379.255</v>
      </c>
      <c r="AN132" s="3">
        <f>AN137</f>
        <v>1379.255</v>
      </c>
      <c r="AO132" s="3">
        <f>AO137</f>
        <v>1379.255</v>
      </c>
      <c r="AP132" s="3">
        <f>AP137</f>
        <v>1379.255</v>
      </c>
      <c r="AQ132" s="3">
        <f>AP132</f>
        <v>1379.255</v>
      </c>
      <c r="AR132" s="3">
        <f>AR137</f>
        <v>1379.255</v>
      </c>
      <c r="AS132" s="3">
        <f>AS137</f>
        <v>1379.255</v>
      </c>
      <c r="AT132" s="3">
        <f>AT137</f>
        <v>1379.255</v>
      </c>
      <c r="AU132" s="3">
        <f>AU137</f>
        <v>1379.255</v>
      </c>
      <c r="AV132" s="3">
        <f>AU132</f>
        <v>1379.255</v>
      </c>
      <c r="AW132" s="3">
        <f>AW137</f>
        <v>1379.255</v>
      </c>
      <c r="AX132" s="3">
        <f>AX137</f>
        <v>1379.255</v>
      </c>
      <c r="AY132" s="3">
        <f>AY137</f>
        <v>1379.255</v>
      </c>
      <c r="AZ132" s="3">
        <f>AZ137</f>
        <v>1379.255</v>
      </c>
      <c r="BA132" s="3">
        <f>AZ132</f>
        <v>1379.255</v>
      </c>
      <c r="BB132" s="3">
        <f>BB137</f>
        <v>1379.255</v>
      </c>
      <c r="BC132" s="3">
        <f>BC137</f>
        <v>1379.255</v>
      </c>
      <c r="BD132" s="3">
        <f>BD137</f>
        <v>1379.255</v>
      </c>
      <c r="BE132" s="3">
        <f>BE137</f>
        <v>1379.255</v>
      </c>
      <c r="BF132" s="3">
        <f>BE132</f>
        <v>1379.255</v>
      </c>
      <c r="BG132" s="3">
        <f>BG137</f>
        <v>1379.255</v>
      </c>
      <c r="BH132" s="3">
        <f>BH137</f>
        <v>1379.255</v>
      </c>
      <c r="BI132" s="3">
        <f>BI137</f>
        <v>1379.255</v>
      </c>
      <c r="BJ132" s="3">
        <f>BJ137</f>
        <v>1379.255</v>
      </c>
      <c r="BK132" s="3">
        <f>BJ132</f>
        <v>1379.255</v>
      </c>
      <c r="BL132" s="3">
        <f>BL137</f>
        <v>1379.255</v>
      </c>
      <c r="BM132" s="3">
        <f>BM137</f>
        <v>1379.255</v>
      </c>
      <c r="BN132" s="3">
        <f>BN137</f>
        <v>1379.255</v>
      </c>
      <c r="BO132" s="3">
        <f>BO137</f>
        <v>1379.255</v>
      </c>
      <c r="BP132" s="3">
        <f>BO132</f>
        <v>1379.255</v>
      </c>
      <c r="BQ132" s="3">
        <f>BQ137</f>
        <v>1379.255</v>
      </c>
      <c r="BR132" s="3">
        <f>BR137</f>
        <v>1379.255</v>
      </c>
      <c r="BS132" s="3">
        <f>BS137</f>
        <v>1379.255</v>
      </c>
      <c r="BT132" s="3">
        <f>BT137</f>
        <v>1379.255</v>
      </c>
      <c r="BU132" s="3">
        <f>BT132</f>
        <v>1379.255</v>
      </c>
      <c r="BV132" s="3">
        <f>BV137</f>
        <v>1379.255</v>
      </c>
      <c r="BW132" s="3">
        <f>BW137</f>
        <v>1379.255</v>
      </c>
      <c r="BX132" s="3">
        <f>BX137</f>
        <v>1379.255</v>
      </c>
      <c r="BY132" s="3">
        <f>BY137</f>
        <v>1379.255</v>
      </c>
      <c r="BZ132" s="3">
        <f>BY132</f>
        <v>1379.255</v>
      </c>
      <c r="CA132" s="3">
        <f>CA137</f>
        <v>1379.255</v>
      </c>
      <c r="CB132" s="3">
        <f>CB137</f>
        <v>1379.255</v>
      </c>
      <c r="CC132" s="3">
        <f>CC137</f>
        <v>1379.255</v>
      </c>
      <c r="CD132" s="3">
        <f>CD137</f>
        <v>1379.255</v>
      </c>
      <c r="CE132" s="3">
        <f>CD132</f>
        <v>1379.255</v>
      </c>
      <c r="CF132" s="3">
        <f>CF137</f>
        <v>1379.255</v>
      </c>
      <c r="CG132" s="3">
        <f>CG137</f>
        <v>1379.255</v>
      </c>
      <c r="CH132" s="3">
        <f>CH137</f>
        <v>1379.255</v>
      </c>
      <c r="CI132" s="3">
        <f>CI137</f>
        <v>1379.255</v>
      </c>
      <c r="CJ132" s="3">
        <f>CI132</f>
        <v>1379.255</v>
      </c>
      <c r="CK132" s="3">
        <f>CK137</f>
        <v>1379.255</v>
      </c>
      <c r="CL132" s="3">
        <f>CL137</f>
        <v>1379.255</v>
      </c>
      <c r="CM132" s="3">
        <f>CM137</f>
        <v>1379.255</v>
      </c>
      <c r="CN132" s="3">
        <f>CN137</f>
        <v>1379.255</v>
      </c>
      <c r="CO132" s="3">
        <f>CN132</f>
        <v>1379.255</v>
      </c>
      <c r="CP132" s="3">
        <f>CP137</f>
        <v>1379.255</v>
      </c>
      <c r="CQ132" s="3">
        <f>CQ137</f>
        <v>1379.255</v>
      </c>
      <c r="CR132" s="3">
        <f>CR137</f>
        <v>1379.255</v>
      </c>
      <c r="CS132" s="3">
        <f>CS137</f>
        <v>1379.255</v>
      </c>
      <c r="CT132" s="3">
        <f>CS132</f>
        <v>1379.255</v>
      </c>
      <c r="CU132" s="3">
        <f>CU137</f>
        <v>1379.255</v>
      </c>
      <c r="CV132" s="3">
        <f>CV137</f>
        <v>1379.255</v>
      </c>
      <c r="CW132" s="3">
        <f>CW137</f>
        <v>1379.255</v>
      </c>
      <c r="CX132" s="3">
        <f>CX137</f>
        <v>1379.255</v>
      </c>
      <c r="CY132" s="3">
        <f>CX132</f>
        <v>1379.255</v>
      </c>
    </row>
    <row r="133" hidden="1" outlineLevel="1">
      <c r="C133" s="34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  <c r="BZ133" s="3" t="n"/>
      <c r="CA133" s="3" t="n"/>
      <c r="CB133" s="3" t="n"/>
      <c r="CC133" s="3" t="n"/>
      <c r="CD133" s="3" t="n"/>
      <c r="CE133" s="3" t="n"/>
      <c r="CF133" s="3" t="n"/>
      <c r="CG133" s="3" t="n"/>
      <c r="CH133" s="3" t="n"/>
      <c r="CI133" s="3" t="n"/>
      <c r="CJ133" s="3" t="n"/>
      <c r="CK133" s="3" t="n"/>
      <c r="CL133" s="3" t="n"/>
      <c r="CM133" s="3" t="n"/>
      <c r="CN133" s="3" t="n"/>
      <c r="CO133" s="3" t="n"/>
      <c r="CP133" s="3" t="n"/>
      <c r="CQ133" s="3" t="n"/>
      <c r="CR133" s="3" t="n"/>
      <c r="CS133" s="3" t="n"/>
      <c r="CT133" s="3" t="n"/>
      <c r="CU133" s="3" t="n"/>
      <c r="CV133" s="3" t="n"/>
      <c r="CW133" s="3" t="n"/>
      <c r="CX133" s="3" t="n"/>
      <c r="CY133" s="3" t="n"/>
    </row>
    <row r="134" hidden="1" outlineLevel="1">
      <c r="C134" s="34" t="inlineStr">
        <is>
          <t>Capital expenditures</t>
        </is>
      </c>
      <c r="D134" s="3" t="n"/>
      <c r="E134" s="3">
        <f>E132-D132-E36</f>
        <v>68.810393331003</v>
      </c>
      <c r="F134" s="3">
        <f>F132-E132-F36</f>
        <v>57.1817254595837</v>
      </c>
      <c r="G134" s="3">
        <f>G132-F132-G36</f>
        <v>99.7604620895845</v>
      </c>
      <c r="H134" s="3" t="n"/>
      <c r="I134" s="3">
        <f>I132-H132-I36</f>
        <v>68.7154970595848</v>
      </c>
      <c r="J134" s="3">
        <f>J132-I132-J36</f>
        <v>107.464828354613</v>
      </c>
      <c r="K134" s="3">
        <f>K132-J132-K36</f>
        <v>117.133446016772</v>
      </c>
      <c r="L134" s="3">
        <f>L132-K132-L36</f>
        <v>201.60404561097</v>
      </c>
      <c r="M134" s="3" t="n"/>
      <c r="N134" s="3">
        <f>N132-M132-N36</f>
        <v>93.8480479320584</v>
      </c>
      <c r="O134" s="3">
        <f>O132-N132-O36</f>
        <v>138.176616030871</v>
      </c>
      <c r="P134" s="3">
        <f>P132-O132-P36</f>
        <v>158.764699752647</v>
      </c>
      <c r="Q134" s="3">
        <f>Q132-P132-Q36</f>
        <v>176.026087902822</v>
      </c>
      <c r="R134" s="3" t="n"/>
      <c r="S134" s="3">
        <f>S132-R132-S36</f>
        <v>114.494102777178</v>
      </c>
      <c r="T134" s="3">
        <f>T132-S132-T36</f>
        <v>608.29509224</v>
      </c>
      <c r="U134" s="3">
        <f>U132-T132-U36</f>
        <v>186.044</v>
      </c>
      <c r="V134" s="3">
        <f>V132-U132-V36</f>
        <v>189.154</v>
      </c>
      <c r="W134" s="3" t="n"/>
      <c r="X134" s="3">
        <f>X132-W132-X36</f>
        <v>167.75</v>
      </c>
      <c r="Y134" s="3">
        <f>Y132-X132-Y36</f>
        <v>185.308</v>
      </c>
      <c r="Z134" s="3">
        <f>Z132-Y132-Z36</f>
        <v>211</v>
      </c>
      <c r="AA134" s="3">
        <f>AA132-Z132-AA36</f>
        <v>242.498</v>
      </c>
      <c r="AB134" s="3" t="n"/>
      <c r="AC134" s="3">
        <f>AC132-AB132-AC36</f>
        <v>185.44163</v>
      </c>
      <c r="AD134" s="3">
        <f>AD132-AC132-AD36</f>
        <v>212.396447</v>
      </c>
      <c r="AE134" s="3">
        <f>AE132-AD132-AE36</f>
        <v>235.46499664</v>
      </c>
      <c r="AF134" s="6">
        <f>AF132-AE132-AF36</f>
        <v>271.19785589</v>
      </c>
      <c r="AG134" s="3">
        <f>SUM(AC134:AF134)</f>
        <v>904.50092953</v>
      </c>
      <c r="AH134" s="6" t="n"/>
      <c r="AI134" s="6" t="n"/>
      <c r="AJ134" s="6" t="n"/>
      <c r="AK134" s="6" t="n"/>
      <c r="AL134" s="3" t="n"/>
      <c r="AM134" s="6" t="n"/>
      <c r="AN134" s="6" t="n"/>
      <c r="AO134" s="6" t="n"/>
      <c r="AP134" s="6" t="n"/>
      <c r="AQ134" s="3" t="n"/>
      <c r="AR134" s="6" t="n"/>
      <c r="AS134" s="6" t="n"/>
      <c r="AT134" s="6" t="n"/>
      <c r="AU134" s="6" t="n"/>
      <c r="AV134" s="3" t="n"/>
      <c r="AW134" s="6" t="n"/>
      <c r="AX134" s="6" t="n"/>
      <c r="AY134" s="6" t="n"/>
      <c r="AZ134" s="6" t="n"/>
      <c r="BA134" s="3" t="n"/>
      <c r="BB134" s="6" t="n"/>
      <c r="BC134" s="6" t="n"/>
      <c r="BD134" s="6" t="n"/>
      <c r="BE134" s="6" t="n"/>
      <c r="BF134" s="3" t="n"/>
      <c r="BG134" s="6" t="n"/>
      <c r="BH134" s="6" t="n"/>
      <c r="BI134" s="6" t="n"/>
      <c r="BJ134" s="6" t="n"/>
      <c r="BK134" s="3" t="n"/>
      <c r="BL134" s="6" t="n"/>
      <c r="BM134" s="6" t="n"/>
      <c r="BN134" s="6" t="n"/>
      <c r="BO134" s="6" t="n"/>
      <c r="BP134" s="3" t="n"/>
      <c r="BQ134" s="6" t="n"/>
      <c r="BR134" s="6" t="n"/>
      <c r="BS134" s="6" t="n"/>
      <c r="BT134" s="6" t="n"/>
      <c r="BU134" s="3" t="n"/>
      <c r="BV134" s="6" t="n"/>
      <c r="BW134" s="6" t="n"/>
      <c r="BX134" s="6" t="n"/>
      <c r="BY134" s="6" t="n"/>
      <c r="BZ134" s="3" t="n"/>
      <c r="CA134" s="6" t="n"/>
      <c r="CB134" s="6" t="n"/>
      <c r="CC134" s="6" t="n"/>
      <c r="CD134" s="6" t="n"/>
      <c r="CE134" s="3" t="n"/>
      <c r="CF134" s="6" t="n"/>
      <c r="CG134" s="6" t="n"/>
      <c r="CH134" s="6" t="n"/>
      <c r="CI134" s="6" t="n"/>
      <c r="CJ134" s="3" t="n"/>
      <c r="CK134" s="6" t="n"/>
      <c r="CL134" s="6" t="n"/>
      <c r="CM134" s="6" t="n"/>
      <c r="CN134" s="6" t="n"/>
      <c r="CO134" s="3" t="n"/>
      <c r="CP134" s="6" t="n"/>
      <c r="CQ134" s="6" t="n"/>
      <c r="CR134" s="6" t="n"/>
      <c r="CS134" s="6" t="n"/>
      <c r="CT134" s="3" t="n"/>
      <c r="CU134" s="6" t="n"/>
      <c r="CV134" s="6" t="n"/>
      <c r="CW134" s="6" t="n"/>
      <c r="CX134" s="6" t="n"/>
      <c r="CY134" s="3" t="n"/>
    </row>
    <row r="135" hidden="1" outlineLevel="1">
      <c r="C135" s="34" t="inlineStr">
        <is>
          <t>Recurring asset sales (enter as -)</t>
        </is>
      </c>
      <c r="D135" s="3" t="n"/>
      <c r="E135" s="3" t="n"/>
      <c r="F135" s="3" t="n"/>
      <c r="G135" s="3" t="n"/>
      <c r="H135" s="3">
        <f>SUM(D135:G135)</f>
        <v>0</v>
      </c>
      <c r="I135" s="3" t="n"/>
      <c r="J135" s="3" t="n"/>
      <c r="K135" s="3" t="n"/>
      <c r="L135" s="3" t="n"/>
      <c r="M135" s="3">
        <f>SUM(I135:L135)</f>
        <v>0</v>
      </c>
      <c r="N135" s="3" t="n"/>
      <c r="O135" s="3" t="n"/>
      <c r="P135" s="3" t="n"/>
      <c r="Q135" s="3" t="n"/>
      <c r="R135" s="3">
        <f>SUM(N135:Q135)</f>
        <v>0</v>
      </c>
      <c r="S135" s="3" t="n"/>
      <c r="T135" s="3" t="n"/>
      <c r="U135" s="3" t="n"/>
      <c r="V135" s="3" t="n"/>
      <c r="W135" s="3">
        <f>SUM(S135:V135)</f>
        <v>0</v>
      </c>
      <c r="X135" s="3" t="n"/>
      <c r="Y135" s="3" t="n"/>
      <c r="Z135" s="3" t="n"/>
      <c r="AA135" s="3" t="n"/>
      <c r="AB135" s="3">
        <f>SUM(X135:AA135)</f>
        <v>0</v>
      </c>
      <c r="AC135" s="3" t="n"/>
      <c r="AD135" s="3" t="n"/>
      <c r="AE135" s="3" t="n"/>
      <c r="AF135" s="6" t="n"/>
      <c r="AG135" s="3" t="n"/>
      <c r="AH135" s="6" t="n"/>
      <c r="AI135" s="6" t="n"/>
      <c r="AJ135" s="6" t="n"/>
      <c r="AK135" s="6" t="n"/>
      <c r="AL135" s="3" t="n"/>
      <c r="AM135" s="6" t="n"/>
      <c r="AN135" s="6" t="n"/>
      <c r="AO135" s="6" t="n"/>
      <c r="AP135" s="6" t="n"/>
      <c r="AQ135" s="3" t="n"/>
      <c r="AR135" s="6" t="n"/>
      <c r="AS135" s="6" t="n"/>
      <c r="AT135" s="6" t="n"/>
      <c r="AU135" s="6" t="n"/>
      <c r="AV135" s="3" t="n"/>
      <c r="AW135" s="6" t="n"/>
      <c r="AX135" s="6" t="n"/>
      <c r="AY135" s="6" t="n"/>
      <c r="AZ135" s="6" t="n"/>
      <c r="BA135" s="3" t="n"/>
      <c r="BB135" s="6" t="n"/>
      <c r="BC135" s="6" t="n"/>
      <c r="BD135" s="6" t="n"/>
      <c r="BE135" s="6" t="n"/>
      <c r="BF135" s="3" t="n"/>
      <c r="BG135" s="6" t="n"/>
      <c r="BH135" s="6" t="n"/>
      <c r="BI135" s="6" t="n"/>
      <c r="BJ135" s="6" t="n"/>
      <c r="BK135" s="3" t="n"/>
      <c r="BL135" s="6" t="n"/>
      <c r="BM135" s="6" t="n"/>
      <c r="BN135" s="6" t="n"/>
      <c r="BO135" s="6" t="n"/>
      <c r="BP135" s="3" t="n"/>
      <c r="BQ135" s="6" t="n"/>
      <c r="BR135" s="6" t="n"/>
      <c r="BS135" s="6" t="n"/>
      <c r="BT135" s="6" t="n"/>
      <c r="BU135" s="3" t="n"/>
      <c r="BV135" s="6" t="n"/>
      <c r="BW135" s="6" t="n"/>
      <c r="BX135" s="6" t="n"/>
      <c r="BY135" s="6" t="n"/>
      <c r="BZ135" s="3" t="n"/>
      <c r="CA135" s="6" t="n"/>
      <c r="CB135" s="6" t="n"/>
      <c r="CC135" s="6" t="n"/>
      <c r="CD135" s="6" t="n"/>
      <c r="CE135" s="3" t="n"/>
      <c r="CF135" s="6" t="n"/>
      <c r="CG135" s="6" t="n"/>
      <c r="CH135" s="6" t="n"/>
      <c r="CI135" s="6" t="n"/>
      <c r="CJ135" s="3" t="n"/>
      <c r="CK135" s="6" t="n"/>
      <c r="CL135" s="6" t="n"/>
      <c r="CM135" s="6" t="n"/>
      <c r="CN135" s="6" t="n"/>
      <c r="CO135" s="3" t="n"/>
      <c r="CP135" s="6" t="n"/>
      <c r="CQ135" s="6" t="n"/>
      <c r="CR135" s="6" t="n"/>
      <c r="CS135" s="6" t="n"/>
      <c r="CT135" s="3" t="n"/>
      <c r="CU135" s="6" t="n"/>
      <c r="CV135" s="6" t="n"/>
      <c r="CW135" s="6" t="n"/>
      <c r="CX135" s="6" t="n"/>
      <c r="CY135" s="3" t="n"/>
    </row>
    <row r="136" hidden="1" outlineLevel="1">
      <c r="C136" s="34" t="inlineStr">
        <is>
          <t>Depreciation</t>
        </is>
      </c>
      <c r="D136" s="3">
        <f>D36</f>
        <v>-87.25438368</v>
      </c>
      <c r="E136" s="3">
        <f>E36</f>
        <v>-84.69920834</v>
      </c>
      <c r="F136" s="3">
        <f>F36</f>
        <v>-87.78008586</v>
      </c>
      <c r="G136" s="3">
        <f>G36</f>
        <v>-98.73427442</v>
      </c>
      <c r="H136" s="3" t="n"/>
      <c r="I136" s="3">
        <f>I36</f>
        <v>-86.83643829</v>
      </c>
      <c r="J136" s="3">
        <f>J36</f>
        <v>-90.88444056</v>
      </c>
      <c r="K136" s="3">
        <f>K36</f>
        <v>-103.83367925</v>
      </c>
      <c r="L136" s="3">
        <f>L36</f>
        <v>-107.72515852</v>
      </c>
      <c r="M136" s="3" t="n"/>
      <c r="N136" s="3">
        <f>N36</f>
        <v>-107.45963589</v>
      </c>
      <c r="O136" s="3">
        <f>O36</f>
        <v>-113.84256518</v>
      </c>
      <c r="P136" s="3">
        <f>P36</f>
        <v>-109.7525059</v>
      </c>
      <c r="Q136" s="3">
        <f>Q36</f>
        <v>-124.2846005</v>
      </c>
      <c r="R136" s="3" t="n"/>
      <c r="S136" s="3">
        <f>S36</f>
        <v>-131.26208815</v>
      </c>
      <c r="T136" s="3">
        <f>T36</f>
        <v>-166.076</v>
      </c>
      <c r="U136" s="3">
        <f>U36</f>
        <v>-188.161</v>
      </c>
      <c r="V136" s="3">
        <f>V36</f>
        <v>-189.879</v>
      </c>
      <c r="W136" s="3" t="n"/>
      <c r="X136" s="3">
        <f>X36</f>
        <v>-189.554</v>
      </c>
      <c r="Y136" s="3">
        <f>Y36</f>
        <v>-191.804</v>
      </c>
      <c r="Z136" s="3">
        <f>Z36</f>
        <v>-196.609</v>
      </c>
      <c r="AA136" s="3">
        <f>AA36</f>
        <v>-202.016</v>
      </c>
      <c r="AB136" s="3" t="n"/>
      <c r="AC136" s="3">
        <f>AC36</f>
        <v>-212.141077</v>
      </c>
      <c r="AD136" s="3">
        <f>AD36</f>
        <v>-222.403</v>
      </c>
      <c r="AE136" s="3">
        <f>AE36</f>
        <v>-229.37499664</v>
      </c>
      <c r="AF136" s="3">
        <f>AF36</f>
        <v>-236.39185589</v>
      </c>
      <c r="AG136" s="3" t="n"/>
      <c r="AH136" s="3">
        <f>AH36</f>
        <v>0</v>
      </c>
      <c r="AI136" s="3">
        <f>AI36</f>
        <v>0</v>
      </c>
      <c r="AJ136" s="3">
        <f>AJ36</f>
        <v>0</v>
      </c>
      <c r="AK136" s="3">
        <f>AK36</f>
        <v>0</v>
      </c>
      <c r="AL136" s="3" t="n"/>
      <c r="AM136" s="3">
        <f>AM36</f>
        <v>0</v>
      </c>
      <c r="AN136" s="3">
        <f>AN36</f>
        <v>0</v>
      </c>
      <c r="AO136" s="3">
        <f>AO36</f>
        <v>0</v>
      </c>
      <c r="AP136" s="3">
        <f>AP36</f>
        <v>0</v>
      </c>
      <c r="AQ136" s="3" t="n"/>
      <c r="AR136" s="3">
        <f>AR36</f>
        <v>0</v>
      </c>
      <c r="AS136" s="3">
        <f>AS36</f>
        <v>0</v>
      </c>
      <c r="AT136" s="3">
        <f>AT36</f>
        <v>0</v>
      </c>
      <c r="AU136" s="3">
        <f>AU36</f>
        <v>0</v>
      </c>
      <c r="AV136" s="3" t="n"/>
      <c r="AW136" s="3">
        <f>AW36</f>
        <v>0</v>
      </c>
      <c r="AX136" s="3">
        <f>AX36</f>
        <v>0</v>
      </c>
      <c r="AY136" s="3">
        <f>AY36</f>
        <v>0</v>
      </c>
      <c r="AZ136" s="3">
        <f>AZ36</f>
        <v>0</v>
      </c>
      <c r="BA136" s="3" t="n"/>
      <c r="BB136" s="3">
        <f>BB36</f>
        <v>0</v>
      </c>
      <c r="BC136" s="3">
        <f>BC36</f>
        <v>0</v>
      </c>
      <c r="BD136" s="3">
        <f>BD36</f>
        <v>0</v>
      </c>
      <c r="BE136" s="3">
        <f>BE36</f>
        <v>0</v>
      </c>
      <c r="BF136" s="3" t="n"/>
      <c r="BG136" s="3">
        <f>BG36</f>
        <v>0</v>
      </c>
      <c r="BH136" s="3">
        <f>BH36</f>
        <v>0</v>
      </c>
      <c r="BI136" s="3">
        <f>BI36</f>
        <v>0</v>
      </c>
      <c r="BJ136" s="3">
        <f>BJ36</f>
        <v>0</v>
      </c>
      <c r="BK136" s="3" t="n"/>
      <c r="BL136" s="3">
        <f>BL36</f>
        <v>0</v>
      </c>
      <c r="BM136" s="3">
        <f>BM36</f>
        <v>0</v>
      </c>
      <c r="BN136" s="3">
        <f>BN36</f>
        <v>0</v>
      </c>
      <c r="BO136" s="3">
        <f>BO36</f>
        <v>0</v>
      </c>
      <c r="BP136" s="3" t="n"/>
      <c r="BQ136" s="3">
        <f>BQ36</f>
        <v>0</v>
      </c>
      <c r="BR136" s="3">
        <f>BR36</f>
        <v>0</v>
      </c>
      <c r="BS136" s="3">
        <f>BS36</f>
        <v>0</v>
      </c>
      <c r="BT136" s="3">
        <f>BT36</f>
        <v>0</v>
      </c>
      <c r="BU136" s="3" t="n"/>
      <c r="BV136" s="3">
        <f>BV36</f>
        <v>0</v>
      </c>
      <c r="BW136" s="3">
        <f>BW36</f>
        <v>0</v>
      </c>
      <c r="BX136" s="3">
        <f>BX36</f>
        <v>0</v>
      </c>
      <c r="BY136" s="3">
        <f>BY36</f>
        <v>0</v>
      </c>
      <c r="BZ136" s="3" t="n"/>
      <c r="CA136" s="3">
        <f>CA36</f>
        <v>0</v>
      </c>
      <c r="CB136" s="3">
        <f>CB36</f>
        <v>0</v>
      </c>
      <c r="CC136" s="3">
        <f>CC36</f>
        <v>0</v>
      </c>
      <c r="CD136" s="3">
        <f>CD36</f>
        <v>0</v>
      </c>
      <c r="CE136" s="3" t="n"/>
      <c r="CF136" s="3">
        <f>CF36</f>
        <v>0</v>
      </c>
      <c r="CG136" s="3">
        <f>CG36</f>
        <v>0</v>
      </c>
      <c r="CH136" s="3">
        <f>CH36</f>
        <v>0</v>
      </c>
      <c r="CI136" s="3">
        <f>CI36</f>
        <v>0</v>
      </c>
      <c r="CJ136" s="3" t="n"/>
      <c r="CK136" s="3">
        <f>CK36</f>
        <v>0</v>
      </c>
      <c r="CL136" s="3">
        <f>CL36</f>
        <v>0</v>
      </c>
      <c r="CM136" s="3">
        <f>CM36</f>
        <v>0</v>
      </c>
      <c r="CN136" s="3">
        <f>CN36</f>
        <v>0</v>
      </c>
      <c r="CO136" s="3" t="n"/>
      <c r="CP136" s="3">
        <f>CP36</f>
        <v>0</v>
      </c>
      <c r="CQ136" s="3">
        <f>CQ36</f>
        <v>0</v>
      </c>
      <c r="CR136" s="3">
        <f>CR36</f>
        <v>0</v>
      </c>
      <c r="CS136" s="3">
        <f>CS36</f>
        <v>0</v>
      </c>
      <c r="CT136" s="3" t="n"/>
      <c r="CU136" s="3">
        <f>CU36</f>
        <v>0</v>
      </c>
      <c r="CV136" s="3">
        <f>CV36</f>
        <v>0</v>
      </c>
      <c r="CW136" s="3">
        <f>CW36</f>
        <v>0</v>
      </c>
      <c r="CX136" s="3">
        <f>CX36</f>
        <v>0</v>
      </c>
      <c r="CY136" s="3" t="n"/>
    </row>
    <row r="137" hidden="1" outlineLevel="1">
      <c r="C137" s="34" t="inlineStr">
        <is>
          <t>PP&amp;E</t>
        </is>
      </c>
      <c r="D137" s="3">
        <f>D132</f>
        <v>754.229636302314</v>
      </c>
      <c r="E137" s="3">
        <f>E132</f>
        <v>738.340821293317</v>
      </c>
      <c r="F137" s="3">
        <f>F132</f>
        <v>707.7424608929</v>
      </c>
      <c r="G137" s="3">
        <f>G132</f>
        <v>708.768648562485</v>
      </c>
      <c r="H137" s="3" t="n"/>
      <c r="I137" s="3">
        <f>I132</f>
        <v>690.647707332069</v>
      </c>
      <c r="J137" s="3">
        <f>J132</f>
        <v>707.228095126682</v>
      </c>
      <c r="K137" s="3">
        <f>K132</f>
        <v>720.527861893454</v>
      </c>
      <c r="L137" s="3">
        <f>L132</f>
        <v>814.406748984424</v>
      </c>
      <c r="M137" s="3" t="n"/>
      <c r="N137" s="3">
        <f>N132</f>
        <v>800.795161026482</v>
      </c>
      <c r="O137" s="3">
        <f>O132</f>
        <v>825.129211877353</v>
      </c>
      <c r="P137" s="3">
        <f>P132</f>
        <v>874.14140573</v>
      </c>
      <c r="Q137" s="3">
        <f>Q132</f>
        <v>925.882893132822</v>
      </c>
      <c r="R137" s="3" t="n"/>
      <c r="S137" s="3">
        <f>S132</f>
        <v>909.11490776</v>
      </c>
      <c r="T137" s="3">
        <f>T132</f>
        <v>1351.334</v>
      </c>
      <c r="U137" s="3">
        <f>U132</f>
        <v>1349.217</v>
      </c>
      <c r="V137" s="3">
        <f>V132</f>
        <v>1348.492</v>
      </c>
      <c r="W137" s="3" t="n"/>
      <c r="X137" s="3">
        <f>X132</f>
        <v>1326.688</v>
      </c>
      <c r="Y137" s="3">
        <f>Y132</f>
        <v>1320.192</v>
      </c>
      <c r="Z137" s="3">
        <f>Z132</f>
        <v>1334.583</v>
      </c>
      <c r="AA137" s="3">
        <f>Y137+SUM(AA134:AA136)</f>
        <v>1360.674</v>
      </c>
      <c r="AB137" s="3" t="n"/>
      <c r="AC137" s="3">
        <f>AC132</f>
        <v>1348.365553</v>
      </c>
      <c r="AD137" s="3">
        <f>AD132</f>
        <v>1338.359</v>
      </c>
      <c r="AE137" s="3">
        <f>AE132</f>
        <v>1344.449</v>
      </c>
      <c r="AF137" s="3">
        <f>AE137+SUM(AF134:AF136)</f>
        <v>1379.255</v>
      </c>
      <c r="AG137" s="3" t="n"/>
      <c r="AH137" s="3">
        <f>AF137+SUM(AH134:AH136)</f>
        <v>1379.255</v>
      </c>
      <c r="AI137" s="3">
        <f>AH137+SUM(AI134:AI136)</f>
        <v>1379.255</v>
      </c>
      <c r="AJ137" s="3">
        <f>AI137+SUM(AJ134:AJ136)</f>
        <v>1379.255</v>
      </c>
      <c r="AK137" s="3">
        <f>AJ137+SUM(AK134:AK136)</f>
        <v>1379.255</v>
      </c>
      <c r="AL137" s="3" t="n"/>
      <c r="AM137" s="3">
        <f>AK137+SUM(AM134:AM136)</f>
        <v>1379.255</v>
      </c>
      <c r="AN137" s="3">
        <f>AM137+SUM(AN134:AN136)</f>
        <v>1379.255</v>
      </c>
      <c r="AO137" s="3">
        <f>AN137+SUM(AO134:AO136)</f>
        <v>1379.255</v>
      </c>
      <c r="AP137" s="3">
        <f>AO137+SUM(AP134:AP136)</f>
        <v>1379.255</v>
      </c>
      <c r="AQ137" s="3" t="n"/>
      <c r="AR137" s="3">
        <f>AP137+SUM(AR134:AR136)</f>
        <v>1379.255</v>
      </c>
      <c r="AS137" s="3">
        <f>AR137+SUM(AS134:AS136)</f>
        <v>1379.255</v>
      </c>
      <c r="AT137" s="3">
        <f>AS137+SUM(AT134:AT136)</f>
        <v>1379.255</v>
      </c>
      <c r="AU137" s="3">
        <f>AT137+SUM(AU134:AU136)</f>
        <v>1379.255</v>
      </c>
      <c r="AV137" s="3" t="n"/>
      <c r="AW137" s="3">
        <f>AU137+SUM(AW134:AW136)</f>
        <v>1379.255</v>
      </c>
      <c r="AX137" s="3">
        <f>AW137+SUM(AX134:AX136)</f>
        <v>1379.255</v>
      </c>
      <c r="AY137" s="3">
        <f>AX137+SUM(AY134:AY136)</f>
        <v>1379.255</v>
      </c>
      <c r="AZ137" s="3">
        <f>AY137+SUM(AZ134:AZ136)</f>
        <v>1379.255</v>
      </c>
      <c r="BA137" s="3" t="n"/>
      <c r="BB137" s="3">
        <f>AZ137+SUM(BB134:BB136)</f>
        <v>1379.255</v>
      </c>
      <c r="BC137" s="3">
        <f>BB137+SUM(BC134:BC136)</f>
        <v>1379.255</v>
      </c>
      <c r="BD137" s="3">
        <f>BC137+SUM(BD134:BD136)</f>
        <v>1379.255</v>
      </c>
      <c r="BE137" s="3">
        <f>BD137+SUM(BE134:BE136)</f>
        <v>1379.255</v>
      </c>
      <c r="BF137" s="3" t="n"/>
      <c r="BG137" s="3">
        <f>BE137+SUM(BG134:BG136)</f>
        <v>1379.255</v>
      </c>
      <c r="BH137" s="3">
        <f>BG137+SUM(BH134:BH136)</f>
        <v>1379.255</v>
      </c>
      <c r="BI137" s="3">
        <f>BH137+SUM(BI134:BI136)</f>
        <v>1379.255</v>
      </c>
      <c r="BJ137" s="3">
        <f>BI137+SUM(BJ134:BJ136)</f>
        <v>1379.255</v>
      </c>
      <c r="BK137" s="3" t="n"/>
      <c r="BL137" s="3">
        <f>BJ137+SUM(BL134:BL136)</f>
        <v>1379.255</v>
      </c>
      <c r="BM137" s="3">
        <f>BL137+SUM(BM134:BM136)</f>
        <v>1379.255</v>
      </c>
      <c r="BN137" s="3">
        <f>BM137+SUM(BN134:BN136)</f>
        <v>1379.255</v>
      </c>
      <c r="BO137" s="3">
        <f>BN137+SUM(BO134:BO136)</f>
        <v>1379.255</v>
      </c>
      <c r="BP137" s="3" t="n"/>
      <c r="BQ137" s="3">
        <f>BO137+SUM(BQ134:BQ136)</f>
        <v>1379.255</v>
      </c>
      <c r="BR137" s="3">
        <f>BQ137+SUM(BR134:BR136)</f>
        <v>1379.255</v>
      </c>
      <c r="BS137" s="3">
        <f>BR137+SUM(BS134:BS136)</f>
        <v>1379.255</v>
      </c>
      <c r="BT137" s="3">
        <f>BS137+SUM(BT134:BT136)</f>
        <v>1379.255</v>
      </c>
      <c r="BU137" s="3" t="n"/>
      <c r="BV137" s="3">
        <f>BT137+SUM(BV134:BV136)</f>
        <v>1379.255</v>
      </c>
      <c r="BW137" s="3">
        <f>BV137+SUM(BW134:BW136)</f>
        <v>1379.255</v>
      </c>
      <c r="BX137" s="3">
        <f>BW137+SUM(BX134:BX136)</f>
        <v>1379.255</v>
      </c>
      <c r="BY137" s="3">
        <f>BX137+SUM(BY134:BY136)</f>
        <v>1379.255</v>
      </c>
      <c r="BZ137" s="3" t="n"/>
      <c r="CA137" s="3">
        <f>BY137+SUM(CA134:CA136)</f>
        <v>1379.255</v>
      </c>
      <c r="CB137" s="3">
        <f>CA137+SUM(CB134:CB136)</f>
        <v>1379.255</v>
      </c>
      <c r="CC137" s="3">
        <f>CB137+SUM(CC134:CC136)</f>
        <v>1379.255</v>
      </c>
      <c r="CD137" s="3">
        <f>CC137+SUM(CD134:CD136)</f>
        <v>1379.255</v>
      </c>
      <c r="CE137" s="3" t="n"/>
      <c r="CF137" s="3">
        <f>CD137+SUM(CF134:CF136)</f>
        <v>1379.255</v>
      </c>
      <c r="CG137" s="3">
        <f>CF137+SUM(CG134:CG136)</f>
        <v>1379.255</v>
      </c>
      <c r="CH137" s="3">
        <f>CG137+SUM(CH134:CH136)</f>
        <v>1379.255</v>
      </c>
      <c r="CI137" s="3">
        <f>CH137+SUM(CI134:CI136)</f>
        <v>1379.255</v>
      </c>
      <c r="CJ137" s="3" t="n"/>
      <c r="CK137" s="3">
        <f>CI137+SUM(CK134:CK136)</f>
        <v>1379.255</v>
      </c>
      <c r="CL137" s="3">
        <f>CK137+SUM(CL134:CL136)</f>
        <v>1379.255</v>
      </c>
      <c r="CM137" s="3">
        <f>CL137+SUM(CM134:CM136)</f>
        <v>1379.255</v>
      </c>
      <c r="CN137" s="3">
        <f>CM137+SUM(CN134:CN136)</f>
        <v>1379.255</v>
      </c>
      <c r="CO137" s="3" t="n"/>
      <c r="CP137" s="3">
        <f>CN137+SUM(CP134:CP136)</f>
        <v>1379.255</v>
      </c>
      <c r="CQ137" s="3">
        <f>CP137+SUM(CQ134:CQ136)</f>
        <v>1379.255</v>
      </c>
      <c r="CR137" s="3">
        <f>CQ137+SUM(CR134:CR136)</f>
        <v>1379.255</v>
      </c>
      <c r="CS137" s="3">
        <f>CR137+SUM(CS134:CS136)</f>
        <v>1379.255</v>
      </c>
      <c r="CT137" s="3" t="n"/>
      <c r="CU137" s="3">
        <f>CS137+SUM(CU134:CU136)</f>
        <v>1379.255</v>
      </c>
      <c r="CV137" s="3">
        <f>CU137+SUM(CV134:CV136)</f>
        <v>1379.255</v>
      </c>
      <c r="CW137" s="3">
        <f>CV137+SUM(CW134:CW136)</f>
        <v>1379.255</v>
      </c>
      <c r="CX137" s="3">
        <f>CW137+SUM(CX134:CX136)</f>
        <v>1379.255</v>
      </c>
      <c r="CY137" s="3" t="n"/>
      <c r="CZ137">
        <f>CX137+SUM(CZ134:CZ136)</f>
        <v>1379.255</v>
      </c>
      <c r="DA137">
        <f>CZ137+SUM(DA134:DA136)</f>
        <v>1379.255</v>
      </c>
      <c r="DB137">
        <f>DA137+SUM(DB134:DB136)</f>
        <v>1379.255</v>
      </c>
      <c r="DC137">
        <f>DB137+SUM(DC134:DC136)</f>
        <v>1379.255</v>
      </c>
    </row>
    <row r="138" hidden="1" outlineLevel="1">
      <c r="C138" s="34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  <c r="BZ138" s="3" t="n"/>
      <c r="CA138" s="3" t="n"/>
      <c r="CB138" s="3" t="n"/>
      <c r="CC138" s="3" t="n"/>
      <c r="CD138" s="3" t="n"/>
      <c r="CE138" s="3" t="n"/>
      <c r="CF138" s="3" t="n"/>
      <c r="CG138" s="3" t="n"/>
      <c r="CH138" s="3" t="n"/>
      <c r="CI138" s="3" t="n"/>
      <c r="CJ138" s="3" t="n"/>
      <c r="CK138" s="3" t="n"/>
      <c r="CL138" s="3" t="n"/>
      <c r="CM138" s="3" t="n"/>
      <c r="CN138" s="3" t="n"/>
      <c r="CO138" s="3" t="n"/>
      <c r="CP138" s="3" t="n"/>
      <c r="CQ138" s="3" t="n"/>
      <c r="CR138" s="3" t="n"/>
      <c r="CS138" s="3" t="n"/>
      <c r="CT138" s="3" t="n"/>
      <c r="CU138" s="3" t="n"/>
      <c r="CV138" s="3" t="n"/>
      <c r="CW138" s="3" t="n"/>
      <c r="CX138" s="3" t="n"/>
      <c r="CY138" s="3" t="n"/>
    </row>
    <row r="139" hidden="1" outlineLevel="1">
      <c r="C139" s="34" t="inlineStr">
        <is>
          <t>Capital expenditures (% Net Revenues)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40">
        <f>AF134/AF15</f>
        <v>0.131611409028421</v>
      </c>
      <c r="AG139" s="40">
        <f>AG134/AG15</f>
        <v>0.109091922198732</v>
      </c>
      <c r="AH139" s="40">
        <f>AH134/AH15</f>
        <v>0</v>
      </c>
      <c r="AI139" s="40">
        <f>AI134/AI15</f>
        <v>0</v>
      </c>
      <c r="AJ139" s="40">
        <f>AJ134/AJ15</f>
        <v>0</v>
      </c>
      <c r="AK139" s="40">
        <f>AK134/AK15</f>
        <v>0</v>
      </c>
      <c r="AL139" s="40">
        <f>AL134/AL15</f>
        <v>0</v>
      </c>
      <c r="AM139" s="40">
        <f>AM134/AM15</f>
        <v>0</v>
      </c>
      <c r="AN139" s="40">
        <f>AN134/AN15</f>
        <v>0</v>
      </c>
      <c r="AO139" s="40">
        <f>AO134/AO15</f>
        <v>0</v>
      </c>
      <c r="AP139" s="40">
        <f>AP134/AP15</f>
        <v>0</v>
      </c>
      <c r="AQ139" s="40">
        <f>AQ134/AQ15</f>
        <v>0</v>
      </c>
      <c r="AR139" s="40">
        <f>AR134/AR15</f>
        <v>0</v>
      </c>
      <c r="AS139" s="40">
        <f>AS134/AS15</f>
        <v>0</v>
      </c>
      <c r="AT139" s="40">
        <f>AT134/AT15</f>
        <v>0</v>
      </c>
      <c r="AU139" s="40">
        <f>AU134/AU15</f>
        <v>0</v>
      </c>
      <c r="AV139" s="40">
        <f>AV134/AV15</f>
        <v>0</v>
      </c>
      <c r="AW139" s="40">
        <f>AW134/AW15</f>
        <v>0</v>
      </c>
      <c r="AX139" s="40">
        <f>AX134/AX15</f>
        <v>0</v>
      </c>
      <c r="AY139" s="40">
        <f>AY134/AY15</f>
        <v>0</v>
      </c>
      <c r="AZ139" s="40">
        <f>AZ134/AZ15</f>
        <v>0</v>
      </c>
      <c r="BA139" s="40">
        <f>BA134/BA15</f>
        <v>0</v>
      </c>
      <c r="BB139" s="40">
        <f>BB134/BB15</f>
        <v>0</v>
      </c>
      <c r="BC139" s="40">
        <f>BC134/BC15</f>
        <v>0</v>
      </c>
      <c r="BD139" s="40">
        <f>BD134/BD15</f>
        <v>0</v>
      </c>
      <c r="BE139" s="40">
        <f>BE134/BE15</f>
        <v>0</v>
      </c>
      <c r="BF139" s="40">
        <f>BF134/BF15</f>
        <v>0</v>
      </c>
      <c r="BG139" s="40">
        <f>BG134/BG15</f>
        <v>0</v>
      </c>
      <c r="BH139" s="40">
        <f>BH134/BH15</f>
        <v>0</v>
      </c>
      <c r="BI139" s="40">
        <f>BI134/BI15</f>
        <v>0</v>
      </c>
      <c r="BJ139" s="40">
        <f>BJ134/BJ15</f>
        <v>0</v>
      </c>
      <c r="BK139" s="40">
        <f>BK134/BK15</f>
        <v>0</v>
      </c>
      <c r="BL139" s="40">
        <f>BL134/BL15</f>
        <v>0</v>
      </c>
      <c r="BM139" s="40">
        <f>BM134/BM15</f>
        <v>0</v>
      </c>
      <c r="BN139" s="40">
        <f>BN134/BN15</f>
        <v>0</v>
      </c>
      <c r="BO139" s="40">
        <f>BO134/BO15</f>
        <v>0</v>
      </c>
      <c r="BP139" s="40">
        <f>BP134/BP15</f>
        <v>0</v>
      </c>
      <c r="BQ139" s="40">
        <f>BQ134/BQ15</f>
        <v>0</v>
      </c>
      <c r="BR139" s="40">
        <f>BR134/BR15</f>
        <v>0</v>
      </c>
      <c r="BS139" s="40">
        <f>BS134/BS15</f>
        <v>0</v>
      </c>
      <c r="BT139" s="40">
        <f>BT134/BT15</f>
        <v>0</v>
      </c>
      <c r="BU139" s="40">
        <f>BU134/BU15</f>
        <v>0</v>
      </c>
      <c r="BV139" s="40">
        <f>BV134/BV15</f>
        <v>0</v>
      </c>
      <c r="BW139" s="40">
        <f>BW134/BW15</f>
        <v>0</v>
      </c>
      <c r="BX139" s="40">
        <f>BX134/BX15</f>
        <v>0</v>
      </c>
      <c r="BY139" s="40">
        <f>BY134/BY15</f>
        <v>0</v>
      </c>
      <c r="BZ139" s="40">
        <f>BZ134/BZ15</f>
        <v>0</v>
      </c>
      <c r="CA139" s="40">
        <f>CA134/CA15</f>
        <v>0</v>
      </c>
      <c r="CB139" s="40">
        <f>CB134/CB15</f>
        <v>0</v>
      </c>
      <c r="CC139" s="40">
        <f>CC134/CC15</f>
        <v>0</v>
      </c>
      <c r="CD139" s="40">
        <f>CD134/CD15</f>
        <v>0</v>
      </c>
      <c r="CE139" s="40">
        <f>CE134/CE15</f>
        <v>0</v>
      </c>
      <c r="CF139" s="40">
        <f>CF134/CF15</f>
        <v>0</v>
      </c>
      <c r="CG139" s="40">
        <f>CG134/CG15</f>
        <v>0</v>
      </c>
      <c r="CH139" s="40">
        <f>CH134/CH15</f>
        <v>0</v>
      </c>
      <c r="CI139" s="40">
        <f>CI134/CI15</f>
        <v>0</v>
      </c>
      <c r="CJ139" s="40">
        <f>CJ134/CJ15</f>
        <v>0</v>
      </c>
      <c r="CK139" s="40">
        <f>CK134/CK15</f>
        <v>0</v>
      </c>
      <c r="CL139" s="40">
        <f>CL134/CL15</f>
        <v>0</v>
      </c>
      <c r="CM139" s="40">
        <f>CM134/CM15</f>
        <v>0</v>
      </c>
      <c r="CN139" s="40">
        <f>CN134/CN15</f>
        <v>0</v>
      </c>
      <c r="CO139" s="40">
        <f>CO134/CO15</f>
        <v>0</v>
      </c>
      <c r="CP139" s="40">
        <f>CP134/CP15</f>
        <v>0</v>
      </c>
      <c r="CQ139" s="40">
        <f>CQ134/CQ15</f>
        <v>0</v>
      </c>
      <c r="CR139" s="40">
        <f>CR134/CR15</f>
        <v>0</v>
      </c>
      <c r="CS139" s="40">
        <f>CS134/CS15</f>
        <v>0</v>
      </c>
      <c r="CT139" s="40">
        <f>CT134/CT15</f>
        <v>0</v>
      </c>
      <c r="CU139" s="40">
        <f>CU134/CU15</f>
        <v>0</v>
      </c>
      <c r="CV139" s="40">
        <f>CV134/CV15</f>
        <v>0</v>
      </c>
      <c r="CW139" s="40">
        <f>CW134/CW15</f>
        <v>0</v>
      </c>
      <c r="CX139" s="40">
        <f>CX134/CX15</f>
        <v>0</v>
      </c>
      <c r="CY139" s="40">
        <f>CY134/CY15</f>
        <v>0</v>
      </c>
    </row>
    <row r="140" hidden="1" outlineLevel="1">
      <c r="C140" s="34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34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>
      <c r="C142" s="26" t="inlineStr">
        <is>
          <t>Right-of-use-assets</t>
        </is>
      </c>
      <c r="D142" s="25">
        <f>INDEX('Inputs (2)'!$D$23:$AL$23,MATCH(D$7,'Inputs (2)'!$D$2:$AL$2,0))</f>
        <v>790.36075693</v>
      </c>
      <c r="E142" s="25">
        <f>INDEX('Inputs (2)'!$D$23:$AL$23,MATCH(E$7,'Inputs (2)'!$D$2:$AL$2,0))</f>
        <v>760.73000788</v>
      </c>
      <c r="F142" s="25">
        <f>INDEX('Inputs (2)'!$D$23:$AL$23,MATCH(F$7,'Inputs (2)'!$D$2:$AL$2,0))</f>
        <v>739.31711011</v>
      </c>
      <c r="G142" s="25">
        <f>INDEX('Inputs (2)'!$D$23:$AL$23,MATCH(G$7,'Inputs (2)'!$D$2:$AL$2,0))</f>
        <v>729.94134505</v>
      </c>
      <c r="H142" s="3">
        <f>G142</f>
        <v>729.94134505</v>
      </c>
      <c r="I142" s="25">
        <f>INDEX('Inputs (2)'!$D$23:$AL$23,MATCH(I$7,'Inputs (2)'!$D$2:$AL$2,0))</f>
        <v>700.21256363</v>
      </c>
      <c r="J142" s="25">
        <f>INDEX('Inputs (2)'!$D$23:$AL$23,MATCH(J$7,'Inputs (2)'!$D$2:$AL$2,0))</f>
        <v>682.61007549</v>
      </c>
      <c r="K142" s="25">
        <f>INDEX('Inputs (2)'!$D$23:$AL$23,MATCH(K$7,'Inputs (2)'!$D$2:$AL$2,0))</f>
        <v>691.23293304</v>
      </c>
      <c r="L142" s="25">
        <f>INDEX('Inputs (2)'!$D$23:$AL$23,MATCH(L$7,'Inputs (2)'!$D$2:$AL$2,0))</f>
        <v>750.77481334</v>
      </c>
      <c r="M142" s="3">
        <f>L142</f>
        <v>750.77481334</v>
      </c>
      <c r="N142" s="25">
        <f>INDEX('Inputs (2)'!$D$23:$AL$23,MATCH(N$7,'Inputs (2)'!$D$2:$AL$2,0))</f>
        <v>793.13655731</v>
      </c>
      <c r="O142" s="25">
        <f>INDEX('Inputs (2)'!$D$23:$AL$23,MATCH(O$7,'Inputs (2)'!$D$2:$AL$2,0))</f>
        <v>819.19444533</v>
      </c>
      <c r="P142" s="25">
        <f>INDEX('Inputs (2)'!$D$23:$AL$23,MATCH(P$7,'Inputs (2)'!$D$2:$AL$2,0))</f>
        <v>800.2101333</v>
      </c>
      <c r="Q142" s="25">
        <f>INDEX('Inputs (2)'!$D$23:$AL$23,MATCH(Q$7,'Inputs (2)'!$D$2:$AL$2,0))</f>
        <v>1022.28667143</v>
      </c>
      <c r="R142" s="3">
        <f>Q142</f>
        <v>1022.28667143</v>
      </c>
      <c r="S142" s="25">
        <f>INDEX('Inputs (2)'!$D$23:$AL$23,MATCH(S$7,'Inputs (2)'!$D$2:$AL$2,0))</f>
        <v>1026.53310531</v>
      </c>
      <c r="T142" s="25">
        <f>INDEX('Inputs (2)'!$D$23:$AL$23,MATCH(T$7,'Inputs (2)'!$D$2:$AL$2,0))</f>
        <v>1332.423</v>
      </c>
      <c r="U142" s="25">
        <f>INDEX('Inputs (2)'!$D$23:$AL$23,MATCH(U$7,'Inputs (2)'!$D$2:$AL$2,0))</f>
        <v>1296.497</v>
      </c>
      <c r="V142" s="25">
        <f>INDEX('Inputs (2)'!$D$23:$AL$23,MATCH(V$7,'Inputs (2)'!$D$2:$AL$2,0))</f>
        <v>1295.095</v>
      </c>
      <c r="W142" s="3">
        <f>V142</f>
        <v>1295.095</v>
      </c>
      <c r="X142" s="25">
        <f>INDEX('Inputs (2)'!$D$23:$AL$23,MATCH(X$7,'Inputs (2)'!$D$2:$AL$2,0))</f>
        <v>1249.703</v>
      </c>
      <c r="Y142" s="25">
        <f>INDEX('Inputs (2)'!$D$23:$AL$23,MATCH(Y$7,'Inputs (2)'!$D$2:$AL$2,0))</f>
        <v>1202.109</v>
      </c>
      <c r="Z142" s="25">
        <f>INDEX('Inputs (2)'!$D$23:$AL$23,MATCH(Z$7,'Inputs (2)'!$D$2:$AL$2,0))</f>
        <v>1159.406</v>
      </c>
      <c r="AA142" s="25">
        <f>INDEX('Inputs (2)'!$D$23:$AL$23,MATCH(AA$7,'Inputs (2)'!$D$2:$AL$2,0))</f>
        <v>1138.643</v>
      </c>
      <c r="AB142" s="3">
        <f>AA142</f>
        <v>1138.643</v>
      </c>
      <c r="AC142" s="25">
        <f>INDEX('Inputs (2)'!$D$23:$AL$23,MATCH(AC$7,'Inputs (2)'!$D$2:$AL$2,0))</f>
        <v>1140.475247</v>
      </c>
      <c r="AD142" s="25">
        <f>INDEX('Inputs (2)'!$D$23:$AL$23,MATCH(AD$7,'Inputs (2)'!$D$2:$AL$2,0))</f>
        <v>1096.847</v>
      </c>
      <c r="AE142" s="25">
        <f>INDEX('Inputs (2)'!$D$23:$AL$23,MATCH(AE$7,'Inputs (2)'!$D$2:$AL$2,0))</f>
        <v>1104.344</v>
      </c>
      <c r="AF142" s="25">
        <f>INDEX('Inputs (2)'!$D$23:$AL$23,MATCH(AF$7,'Inputs (2)'!$D$2:$AL$2,0))</f>
        <v>1098.591</v>
      </c>
      <c r="AG142" s="3">
        <f>AF142</f>
        <v>1098.591</v>
      </c>
      <c r="AH142" s="3">
        <f>AG142</f>
        <v>1098.591</v>
      </c>
      <c r="AI142" s="3">
        <f>AH142</f>
        <v>1098.591</v>
      </c>
      <c r="AJ142" s="3">
        <f>AI142</f>
        <v>1098.591</v>
      </c>
      <c r="AK142" s="3">
        <f>AJ142</f>
        <v>1098.591</v>
      </c>
      <c r="AL142" s="3">
        <f>AK142</f>
        <v>1098.591</v>
      </c>
      <c r="AM142" s="3">
        <f>AL142</f>
        <v>1098.591</v>
      </c>
      <c r="AN142" s="3">
        <f>AM142</f>
        <v>1098.591</v>
      </c>
      <c r="AO142" s="3">
        <f>AN142</f>
        <v>1098.591</v>
      </c>
      <c r="AP142" s="3">
        <f>AO142</f>
        <v>1098.591</v>
      </c>
      <c r="AQ142" s="3">
        <f>AP142</f>
        <v>1098.591</v>
      </c>
      <c r="AR142" s="3">
        <f>AQ142</f>
        <v>1098.591</v>
      </c>
      <c r="AS142" s="3">
        <f>AR142</f>
        <v>1098.591</v>
      </c>
      <c r="AT142" s="3">
        <f>AS142</f>
        <v>1098.591</v>
      </c>
      <c r="AU142" s="3">
        <f>AT142</f>
        <v>1098.591</v>
      </c>
      <c r="AV142" s="3">
        <f>AU142</f>
        <v>1098.591</v>
      </c>
      <c r="AW142" s="3">
        <f>AV142</f>
        <v>1098.591</v>
      </c>
      <c r="AX142" s="3">
        <f>AW142</f>
        <v>1098.591</v>
      </c>
      <c r="AY142" s="3">
        <f>AX142</f>
        <v>1098.591</v>
      </c>
      <c r="AZ142" s="3">
        <f>AY142</f>
        <v>1098.591</v>
      </c>
      <c r="BA142" s="3">
        <f>AZ142</f>
        <v>1098.591</v>
      </c>
      <c r="BB142" s="3">
        <f>BA142</f>
        <v>1098.591</v>
      </c>
      <c r="BC142" s="3">
        <f>BB142</f>
        <v>1098.591</v>
      </c>
      <c r="BD142" s="3">
        <f>BC142</f>
        <v>1098.591</v>
      </c>
      <c r="BE142" s="3">
        <f>BD142</f>
        <v>1098.591</v>
      </c>
      <c r="BF142" s="3">
        <f>BE142</f>
        <v>1098.591</v>
      </c>
      <c r="BG142" s="3">
        <f>BF142</f>
        <v>1098.591</v>
      </c>
      <c r="BH142" s="3">
        <f>BG142</f>
        <v>1098.591</v>
      </c>
      <c r="BI142" s="3">
        <f>BH142</f>
        <v>1098.591</v>
      </c>
      <c r="BJ142" s="3">
        <f>BI142</f>
        <v>1098.591</v>
      </c>
      <c r="BK142" s="3">
        <f>BJ142</f>
        <v>1098.591</v>
      </c>
      <c r="BL142" s="3">
        <f>BK142</f>
        <v>1098.591</v>
      </c>
      <c r="BM142" s="3">
        <f>BL142</f>
        <v>1098.591</v>
      </c>
      <c r="BN142" s="3">
        <f>BM142</f>
        <v>1098.591</v>
      </c>
      <c r="BO142" s="3">
        <f>BN142</f>
        <v>1098.591</v>
      </c>
      <c r="BP142" s="3">
        <f>BO142</f>
        <v>1098.591</v>
      </c>
      <c r="BQ142" s="3">
        <f>BP142</f>
        <v>1098.591</v>
      </c>
      <c r="BR142" s="3">
        <f>BQ142</f>
        <v>1098.591</v>
      </c>
      <c r="BS142" s="3">
        <f>BR142</f>
        <v>1098.591</v>
      </c>
      <c r="BT142" s="3">
        <f>BS142</f>
        <v>1098.591</v>
      </c>
      <c r="BU142" s="3">
        <f>BT142</f>
        <v>1098.591</v>
      </c>
      <c r="BV142" s="3">
        <f>BU142</f>
        <v>1098.591</v>
      </c>
      <c r="BW142" s="3">
        <f>BV142</f>
        <v>1098.591</v>
      </c>
      <c r="BX142" s="3">
        <f>BW142</f>
        <v>1098.591</v>
      </c>
      <c r="BY142" s="3">
        <f>BX142</f>
        <v>1098.591</v>
      </c>
      <c r="BZ142" s="3">
        <f>BY142</f>
        <v>1098.591</v>
      </c>
      <c r="CA142" s="3">
        <f>BZ142</f>
        <v>1098.591</v>
      </c>
      <c r="CB142" s="3">
        <f>CA142</f>
        <v>1098.591</v>
      </c>
      <c r="CC142" s="3">
        <f>CB142</f>
        <v>1098.591</v>
      </c>
      <c r="CD142" s="3">
        <f>CC142</f>
        <v>1098.591</v>
      </c>
      <c r="CE142" s="3">
        <f>CD142</f>
        <v>1098.591</v>
      </c>
      <c r="CF142" s="3">
        <f>CE142</f>
        <v>1098.591</v>
      </c>
      <c r="CG142" s="3">
        <f>CF142</f>
        <v>1098.591</v>
      </c>
      <c r="CH142" s="3">
        <f>CG142</f>
        <v>1098.591</v>
      </c>
      <c r="CI142" s="3">
        <f>CH142</f>
        <v>1098.591</v>
      </c>
      <c r="CJ142" s="3">
        <f>CI142</f>
        <v>1098.591</v>
      </c>
      <c r="CK142" s="3">
        <f>CJ142</f>
        <v>1098.591</v>
      </c>
      <c r="CL142" s="3">
        <f>CK142</f>
        <v>1098.591</v>
      </c>
      <c r="CM142" s="3">
        <f>CL142</f>
        <v>1098.591</v>
      </c>
      <c r="CN142" s="3">
        <f>CM142</f>
        <v>1098.591</v>
      </c>
      <c r="CO142" s="3">
        <f>CN142</f>
        <v>1098.591</v>
      </c>
      <c r="CP142" s="3">
        <f>CO142</f>
        <v>1098.591</v>
      </c>
      <c r="CQ142" s="3">
        <f>CP142</f>
        <v>1098.591</v>
      </c>
      <c r="CR142" s="3">
        <f>CQ142</f>
        <v>1098.591</v>
      </c>
      <c r="CS142" s="3">
        <f>CR142</f>
        <v>1098.591</v>
      </c>
      <c r="CT142" s="3">
        <f>CS142</f>
        <v>1098.591</v>
      </c>
      <c r="CU142" s="3">
        <f>CT142</f>
        <v>1098.591</v>
      </c>
      <c r="CV142" s="3">
        <f>CU142</f>
        <v>1098.591</v>
      </c>
      <c r="CW142" s="3">
        <f>CV142</f>
        <v>1098.591</v>
      </c>
      <c r="CX142" s="3">
        <f>CW142</f>
        <v>1098.591</v>
      </c>
      <c r="CY142" s="3">
        <f>CX142</f>
        <v>1098.591</v>
      </c>
    </row>
    <row r="143" hidden="1" outlineLevel="1">
      <c r="C143" s="38" t="inlineStr">
        <is>
          <t>%(Var.)</t>
        </is>
      </c>
      <c r="D143" s="3" t="n"/>
      <c r="E143" s="47">
        <f>(E142-D142)/D142</f>
        <v>-0.0374901572354058</v>
      </c>
      <c r="F143" s="47">
        <f>(F142-E142)/E142</f>
        <v>-0.0281478284650206</v>
      </c>
      <c r="G143" s="47">
        <f>(G142-F142)/F142</f>
        <v>-0.0126816557222718</v>
      </c>
      <c r="H143" s="3" t="n"/>
      <c r="I143" s="47">
        <f>(I142-H142)/H142</f>
        <v>-0.0407276305440182</v>
      </c>
      <c r="J143" s="47">
        <f>(J142-I142)/I142</f>
        <v>-0.0251387779287281</v>
      </c>
      <c r="K143" s="47">
        <f>(K142-J142)/J142</f>
        <v>0.0126321861625179</v>
      </c>
      <c r="L143" s="47">
        <f>(L142-K142)/K142</f>
        <v>0.0861386624594671</v>
      </c>
      <c r="M143" s="3" t="n"/>
      <c r="N143" s="47">
        <f>(N142-M142)/M142</f>
        <v>0.0564240345004964</v>
      </c>
      <c r="O143" s="47">
        <f>(O142-N142)/N142</f>
        <v>0.0328542264000263</v>
      </c>
      <c r="P143" s="47">
        <f>(P142-O142)/O142</f>
        <v>-0.0231743661571735</v>
      </c>
      <c r="Q143" s="47">
        <f>(Q142-P142)/P142</f>
        <v>0.277522776691386</v>
      </c>
      <c r="R143" s="3" t="n"/>
      <c r="S143" s="47">
        <f>(S142-R142)/R142</f>
        <v>0.00415385820697451</v>
      </c>
      <c r="T143" s="47">
        <f>(T142-S142)/S142</f>
        <v>0.297983467954134</v>
      </c>
      <c r="U143" s="47">
        <f>(U142-T142)/T142</f>
        <v>-0.0269629089260692</v>
      </c>
      <c r="V143" s="47">
        <f>(V142-U142)/U142</f>
        <v>-0.00108137542932999</v>
      </c>
      <c r="W143" s="3" t="n"/>
      <c r="X143" s="47">
        <f>(X142-W142)/W142</f>
        <v>-0.0350491662773774</v>
      </c>
      <c r="Y143" s="47">
        <f>(Y142-X142)/X142</f>
        <v>-0.0380842488175191</v>
      </c>
      <c r="Z143" s="47">
        <f>(Z142-Y142)/Y142</f>
        <v>-0.0355234009561529</v>
      </c>
      <c r="AA143" s="47">
        <f>(AA142-Z142)/Z142</f>
        <v>-0.0179083082198987</v>
      </c>
      <c r="AB143" s="3" t="n"/>
      <c r="AC143" s="47">
        <f>(AC142-AB142)/AB142</f>
        <v>0.00160914966323953</v>
      </c>
      <c r="AD143" s="47">
        <f>(AD142-AC142)/AC142</f>
        <v>-0.0382544444649399</v>
      </c>
      <c r="AE143" s="47">
        <f>(AE142-AD142)/AD142</f>
        <v>0.00683504627354597</v>
      </c>
      <c r="AF143" s="218">
        <f>(AF142-AE142)/AE142</f>
        <v>-0.00520942749722906</v>
      </c>
      <c r="AG143" s="3" t="n"/>
      <c r="AH143" s="218" t="n"/>
      <c r="AI143" s="218" t="n"/>
      <c r="AJ143" s="218" t="n"/>
      <c r="AK143" s="218" t="n"/>
      <c r="AL143" s="3" t="n"/>
      <c r="AM143" s="218" t="n"/>
      <c r="AN143" s="218" t="n"/>
      <c r="AO143" s="218" t="n"/>
      <c r="AP143" s="218" t="n"/>
      <c r="AQ143" s="3" t="n"/>
      <c r="AR143" s="218" t="n"/>
      <c r="AS143" s="218" t="n"/>
      <c r="AT143" s="218" t="n"/>
      <c r="AU143" s="218" t="n"/>
      <c r="AV143" s="3" t="n"/>
      <c r="AW143" s="218" t="n"/>
      <c r="AX143" s="218" t="n"/>
      <c r="AY143" s="218" t="n"/>
      <c r="AZ143" s="218" t="n"/>
      <c r="BA143" s="3" t="n"/>
      <c r="BB143" s="218" t="n"/>
      <c r="BC143" s="218" t="n"/>
      <c r="BD143" s="218" t="n"/>
      <c r="BE143" s="218" t="n"/>
      <c r="BF143" s="3" t="n"/>
      <c r="BG143" s="218" t="n"/>
      <c r="BH143" s="218" t="n"/>
      <c r="BI143" s="218" t="n"/>
      <c r="BJ143" s="218" t="n"/>
      <c r="BK143" s="3" t="n"/>
      <c r="BL143" s="218" t="n"/>
      <c r="BM143" s="218" t="n"/>
      <c r="BN143" s="218" t="n"/>
      <c r="BO143" s="218" t="n"/>
      <c r="BP143" s="3" t="n"/>
      <c r="BQ143" s="218" t="n"/>
      <c r="BR143" s="218" t="n"/>
      <c r="BS143" s="218" t="n"/>
      <c r="BT143" s="218" t="n"/>
      <c r="BU143" s="3" t="n"/>
      <c r="BV143" s="218" t="n"/>
      <c r="BW143" s="218" t="n"/>
      <c r="BX143" s="218" t="n"/>
      <c r="BY143" s="218" t="n"/>
      <c r="BZ143" s="3" t="n"/>
      <c r="CA143" s="218" t="n"/>
      <c r="CB143" s="218" t="n"/>
      <c r="CC143" s="218" t="n"/>
      <c r="CD143" s="218" t="n"/>
      <c r="CE143" s="3" t="n"/>
      <c r="CF143" s="218" t="n"/>
      <c r="CG143" s="218" t="n"/>
      <c r="CH143" s="218" t="n"/>
      <c r="CI143" s="218" t="n"/>
      <c r="CJ143" s="3" t="n"/>
      <c r="CK143" s="218" t="n"/>
      <c r="CL143" s="218" t="n"/>
      <c r="CM143" s="218" t="n"/>
      <c r="CN143" s="218" t="n"/>
      <c r="CO143" s="3" t="n"/>
      <c r="CP143" s="218" t="n"/>
      <c r="CQ143" s="218" t="n"/>
      <c r="CR143" s="218" t="n"/>
      <c r="CS143" s="218" t="n"/>
      <c r="CT143" s="3" t="n"/>
      <c r="CU143" s="218" t="n"/>
      <c r="CV143" s="218" t="n"/>
      <c r="CW143" s="218" t="n"/>
      <c r="CX143" s="218" t="n"/>
      <c r="CY143" s="3" t="n"/>
    </row>
    <row r="144" hidden="1" outlineLevel="1">
      <c r="C144" s="34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  <c r="BZ144" s="3" t="n"/>
      <c r="CA144" s="3" t="n"/>
      <c r="CB144" s="3" t="n"/>
      <c r="CC144" s="3" t="n"/>
      <c r="CD144" s="3" t="n"/>
      <c r="CE144" s="3" t="n"/>
      <c r="CF144" s="3" t="n"/>
      <c r="CG144" s="3" t="n"/>
      <c r="CH144" s="3" t="n"/>
      <c r="CI144" s="3" t="n"/>
      <c r="CJ144" s="3" t="n"/>
      <c r="CK144" s="3" t="n"/>
      <c r="CL144" s="3" t="n"/>
      <c r="CM144" s="3" t="n"/>
      <c r="CN144" s="3" t="n"/>
      <c r="CO144" s="3" t="n"/>
      <c r="CP144" s="3" t="n"/>
      <c r="CQ144" s="3" t="n"/>
      <c r="CR144" s="3" t="n"/>
      <c r="CS144" s="3" t="n"/>
      <c r="CT144" s="3" t="n"/>
      <c r="CU144" s="3" t="n"/>
      <c r="CV144" s="3" t="n"/>
      <c r="CW144" s="3" t="n"/>
      <c r="CX144" s="3" t="n"/>
      <c r="CY144" s="3" t="n"/>
    </row>
    <row r="145" collapsed="1">
      <c r="C145" s="26" t="inlineStr">
        <is>
          <t>Goodwill</t>
        </is>
      </c>
      <c r="D145" s="25" t="n"/>
      <c r="E145" s="25" t="n"/>
      <c r="F145" s="25" t="n"/>
      <c r="G145" s="25" t="n"/>
      <c r="H145" s="3">
        <f>G145</f>
        <v>0</v>
      </c>
      <c r="I145" s="25" t="n"/>
      <c r="J145" s="25" t="n"/>
      <c r="K145" s="25" t="n"/>
      <c r="L145" s="25" t="n"/>
      <c r="M145" s="3">
        <f>L145</f>
        <v>0</v>
      </c>
      <c r="N145" s="25" t="n"/>
      <c r="O145" s="25" t="n"/>
      <c r="P145" s="25" t="n"/>
      <c r="Q145" s="25" t="n"/>
      <c r="R145" s="3">
        <f>Q145</f>
        <v>0</v>
      </c>
      <c r="S145" s="25" t="n"/>
      <c r="T145" s="25" t="n"/>
      <c r="U145" s="25" t="n"/>
      <c r="V145" s="25" t="n"/>
      <c r="W145" s="3">
        <f>V145</f>
        <v>0</v>
      </c>
      <c r="X145" s="25" t="n"/>
      <c r="Y145" s="25" t="n"/>
      <c r="Z145" s="25" t="n"/>
      <c r="AA145" s="25" t="n"/>
      <c r="AB145" s="3">
        <f>AA145</f>
        <v>0</v>
      </c>
      <c r="AC145" s="25" t="n"/>
      <c r="AD145" s="25" t="n"/>
      <c r="AE145" s="25" t="n"/>
      <c r="AF145" s="25" t="n"/>
      <c r="AG145" s="3">
        <f>AF145</f>
        <v>0</v>
      </c>
      <c r="AH145" s="3">
        <f>AG145</f>
        <v>0</v>
      </c>
      <c r="AI145" s="3">
        <f>AH145</f>
        <v>0</v>
      </c>
      <c r="AJ145" s="3">
        <f>AI145</f>
        <v>0</v>
      </c>
      <c r="AK145" s="3">
        <f>AJ145</f>
        <v>0</v>
      </c>
      <c r="AL145" s="3">
        <f>AK145</f>
        <v>0</v>
      </c>
      <c r="AM145" s="3">
        <f>AL145</f>
        <v>0</v>
      </c>
      <c r="AN145" s="3">
        <f>AM145</f>
        <v>0</v>
      </c>
      <c r="AO145" s="3">
        <f>AN145</f>
        <v>0</v>
      </c>
      <c r="AP145" s="3">
        <f>AO145</f>
        <v>0</v>
      </c>
      <c r="AQ145" s="3">
        <f>AP145</f>
        <v>0</v>
      </c>
      <c r="AR145" s="3">
        <f>AQ145</f>
        <v>0</v>
      </c>
      <c r="AS145" s="3">
        <f>AR145</f>
        <v>0</v>
      </c>
      <c r="AT145" s="3">
        <f>AS145</f>
        <v>0</v>
      </c>
      <c r="AU145" s="3">
        <f>AT145</f>
        <v>0</v>
      </c>
      <c r="AV145" s="3">
        <f>AU145</f>
        <v>0</v>
      </c>
      <c r="AW145" s="3">
        <f>AV145</f>
        <v>0</v>
      </c>
      <c r="AX145" s="3">
        <f>AW145</f>
        <v>0</v>
      </c>
      <c r="AY145" s="3">
        <f>AX145</f>
        <v>0</v>
      </c>
      <c r="AZ145" s="3">
        <f>AY145</f>
        <v>0</v>
      </c>
      <c r="BA145" s="3">
        <f>AZ145</f>
        <v>0</v>
      </c>
      <c r="BB145" s="3">
        <f>BA145</f>
        <v>0</v>
      </c>
      <c r="BC145" s="3">
        <f>BB145</f>
        <v>0</v>
      </c>
      <c r="BD145" s="3">
        <f>BC145</f>
        <v>0</v>
      </c>
      <c r="BE145" s="3">
        <f>BD145</f>
        <v>0</v>
      </c>
      <c r="BF145" s="3">
        <f>BE145</f>
        <v>0</v>
      </c>
      <c r="BG145" s="3">
        <f>BF145</f>
        <v>0</v>
      </c>
      <c r="BH145" s="3">
        <f>BG145</f>
        <v>0</v>
      </c>
      <c r="BI145" s="3">
        <f>BH145</f>
        <v>0</v>
      </c>
      <c r="BJ145" s="3">
        <f>BI145</f>
        <v>0</v>
      </c>
      <c r="BK145" s="3">
        <f>BJ145</f>
        <v>0</v>
      </c>
      <c r="BL145" s="3">
        <f>BK145</f>
        <v>0</v>
      </c>
      <c r="BM145" s="3">
        <f>BL145</f>
        <v>0</v>
      </c>
      <c r="BN145" s="3">
        <f>BM145</f>
        <v>0</v>
      </c>
      <c r="BO145" s="3">
        <f>BN145</f>
        <v>0</v>
      </c>
      <c r="BP145" s="3">
        <f>BO145</f>
        <v>0</v>
      </c>
      <c r="BQ145" s="3">
        <f>BP145</f>
        <v>0</v>
      </c>
      <c r="BR145" s="3">
        <f>BQ145</f>
        <v>0</v>
      </c>
      <c r="BS145" s="3">
        <f>BR145</f>
        <v>0</v>
      </c>
      <c r="BT145" s="3">
        <f>BS145</f>
        <v>0</v>
      </c>
      <c r="BU145" s="3">
        <f>BT145</f>
        <v>0</v>
      </c>
      <c r="BV145" s="3">
        <f>BU145</f>
        <v>0</v>
      </c>
      <c r="BW145" s="3">
        <f>BV145</f>
        <v>0</v>
      </c>
      <c r="BX145" s="3">
        <f>BW145</f>
        <v>0</v>
      </c>
      <c r="BY145" s="3">
        <f>BX145</f>
        <v>0</v>
      </c>
      <c r="BZ145" s="3">
        <f>BY145</f>
        <v>0</v>
      </c>
      <c r="CA145" s="3">
        <f>BZ145</f>
        <v>0</v>
      </c>
      <c r="CB145" s="3">
        <f>CA145</f>
        <v>0</v>
      </c>
      <c r="CC145" s="3">
        <f>CB145</f>
        <v>0</v>
      </c>
      <c r="CD145" s="3">
        <f>CC145</f>
        <v>0</v>
      </c>
      <c r="CE145" s="3">
        <f>CD145</f>
        <v>0</v>
      </c>
      <c r="CF145" s="3">
        <f>CE145</f>
        <v>0</v>
      </c>
      <c r="CG145" s="3">
        <f>CF145</f>
        <v>0</v>
      </c>
      <c r="CH145" s="3">
        <f>CG145</f>
        <v>0</v>
      </c>
      <c r="CI145" s="3">
        <f>CH145</f>
        <v>0</v>
      </c>
      <c r="CJ145" s="3">
        <f>CI145</f>
        <v>0</v>
      </c>
      <c r="CK145" s="3">
        <f>CJ145</f>
        <v>0</v>
      </c>
      <c r="CL145" s="3">
        <f>CK145</f>
        <v>0</v>
      </c>
      <c r="CM145" s="3">
        <f>CL145</f>
        <v>0</v>
      </c>
      <c r="CN145" s="3">
        <f>CM145</f>
        <v>0</v>
      </c>
      <c r="CO145" s="3">
        <f>CN145</f>
        <v>0</v>
      </c>
      <c r="CP145" s="3">
        <f>CO145</f>
        <v>0</v>
      </c>
      <c r="CQ145" s="3">
        <f>CP145</f>
        <v>0</v>
      </c>
      <c r="CR145" s="3">
        <f>CQ145</f>
        <v>0</v>
      </c>
      <c r="CS145" s="3">
        <f>CR145</f>
        <v>0</v>
      </c>
      <c r="CT145" s="3">
        <f>CS145</f>
        <v>0</v>
      </c>
      <c r="CU145" s="3">
        <f>CT145</f>
        <v>0</v>
      </c>
      <c r="CV145" s="3">
        <f>CU145</f>
        <v>0</v>
      </c>
      <c r="CW145" s="3">
        <f>CV145</f>
        <v>0</v>
      </c>
      <c r="CX145" s="3">
        <f>CW145</f>
        <v>0</v>
      </c>
      <c r="CY145" s="3">
        <f>CX145</f>
        <v>0</v>
      </c>
    </row>
    <row r="146">
      <c r="C146" s="26" t="inlineStr">
        <is>
          <t>Intangibles</t>
        </is>
      </c>
      <c r="D146" s="25">
        <f>INDEX('Inputs (2)'!$D$25:$AL$25,MATCH(D$7,'Inputs (2)'!$D$2:$AL$2,0))</f>
        <v>2018.04714308667</v>
      </c>
      <c r="E146" s="25">
        <f>INDEX('Inputs (2)'!$D$25:$AL$25,MATCH(E$7,'Inputs (2)'!$D$2:$AL$2,0))</f>
        <v>2016.4350344973</v>
      </c>
      <c r="F146" s="25">
        <f>INDEX('Inputs (2)'!$D$25:$AL$25,MATCH(F$7,'Inputs (2)'!$D$2:$AL$2,0))</f>
        <v>2018.35236046229</v>
      </c>
      <c r="G146" s="25">
        <f>INDEX('Inputs (2)'!$D$25:$AL$25,MATCH(G$7,'Inputs (2)'!$D$2:$AL$2,0))</f>
        <v>2030.60799782729</v>
      </c>
      <c r="H146" s="3">
        <f>G146</f>
        <v>2030.60799782729</v>
      </c>
      <c r="I146" s="25">
        <f>INDEX('Inputs (2)'!$D$25:$AL$25,MATCH(I$7,'Inputs (2)'!$D$2:$AL$2,0))</f>
        <v>2031.48169488229</v>
      </c>
      <c r="J146" s="25">
        <f>INDEX('Inputs (2)'!$D$25:$AL$25,MATCH(J$7,'Inputs (2)'!$D$2:$AL$2,0))</f>
        <v>2190.43942357097</v>
      </c>
      <c r="K146" s="25">
        <f>INDEX('Inputs (2)'!$D$25:$AL$25,MATCH(K$7,'Inputs (2)'!$D$2:$AL$2,0))</f>
        <v>2297.7921099923</v>
      </c>
      <c r="L146" s="25">
        <f>INDEX('Inputs (2)'!$D$25:$AL$25,MATCH(L$7,'Inputs (2)'!$D$2:$AL$2,0))</f>
        <v>2586.60910697806</v>
      </c>
      <c r="M146" s="3">
        <f>L146</f>
        <v>2586.60910697806</v>
      </c>
      <c r="N146" s="25">
        <f>INDEX('Inputs (2)'!$D$25:$AL$25,MATCH(N$7,'Inputs (2)'!$D$2:$AL$2,0))</f>
        <v>2617.50945189824</v>
      </c>
      <c r="O146" s="25">
        <f>INDEX('Inputs (2)'!$D$25:$AL$25,MATCH(O$7,'Inputs (2)'!$D$2:$AL$2,0))</f>
        <v>3021.34173723033</v>
      </c>
      <c r="P146" s="25">
        <f>INDEX('Inputs (2)'!$D$25:$AL$25,MATCH(P$7,'Inputs (2)'!$D$2:$AL$2,0))</f>
        <v>3013.73986065</v>
      </c>
      <c r="Q146" s="25">
        <f>INDEX('Inputs (2)'!$D$25:$AL$25,MATCH(Q$7,'Inputs (2)'!$D$2:$AL$2,0))</f>
        <v>3159.92612126809</v>
      </c>
      <c r="R146" s="3">
        <f>Q146</f>
        <v>3159.92612126809</v>
      </c>
      <c r="S146" s="25">
        <f>INDEX('Inputs (2)'!$D$25:$AL$25,MATCH(S$7,'Inputs (2)'!$D$2:$AL$2,0))</f>
        <v>3147.22512633</v>
      </c>
      <c r="T146" s="25">
        <f>INDEX('Inputs (2)'!$D$25:$AL$25,MATCH(T$7,'Inputs (2)'!$D$2:$AL$2,0))</f>
        <v>5768.121</v>
      </c>
      <c r="U146" s="25">
        <f>INDEX('Inputs (2)'!$D$25:$AL$25,MATCH(U$7,'Inputs (2)'!$D$2:$AL$2,0))</f>
        <v>5744.055</v>
      </c>
      <c r="V146" s="25">
        <f>INDEX('Inputs (2)'!$D$25:$AL$25,MATCH(V$7,'Inputs (2)'!$D$2:$AL$2,0))</f>
        <v>5807.506</v>
      </c>
      <c r="W146" s="3">
        <f>V146</f>
        <v>5807.506</v>
      </c>
      <c r="X146" s="25">
        <f>INDEX('Inputs (2)'!$D$25:$AL$25,MATCH(X$7,'Inputs (2)'!$D$2:$AL$2,0))</f>
        <v>5788.92</v>
      </c>
      <c r="Y146" s="25">
        <f>INDEX('Inputs (2)'!$D$25:$AL$25,MATCH(Y$7,'Inputs (2)'!$D$2:$AL$2,0))</f>
        <v>5783.283</v>
      </c>
      <c r="Z146" s="25">
        <f>INDEX('Inputs (2)'!$D$25:$AL$25,MATCH(Z$7,'Inputs (2)'!$D$2:$AL$2,0))</f>
        <v>5830.303</v>
      </c>
      <c r="AA146" s="25">
        <f>INDEX('Inputs (2)'!$D$25:$AL$25,MATCH(AA$7,'Inputs (2)'!$D$2:$AL$2,0))</f>
        <v>5863.532</v>
      </c>
      <c r="AB146" s="3">
        <f>AA146</f>
        <v>5863.532</v>
      </c>
      <c r="AC146" s="25">
        <f>INDEX('Inputs (2)'!$D$25:$AL$25,MATCH(AC$7,'Inputs (2)'!$D$2:$AL$2,0))</f>
        <v>5819.864287</v>
      </c>
      <c r="AD146" s="25">
        <f>INDEX('Inputs (2)'!$D$25:$AL$25,MATCH(AD$7,'Inputs (2)'!$D$2:$AL$2,0))</f>
        <v>5825.38</v>
      </c>
      <c r="AE146" s="25">
        <f>INDEX('Inputs (2)'!$D$25:$AL$25,MATCH(AE$7,'Inputs (2)'!$D$2:$AL$2,0))</f>
        <v>5957.247</v>
      </c>
      <c r="AF146" s="25">
        <f>INDEX('Inputs (2)'!$D$25:$AL$25,MATCH(AF$7,'Inputs (2)'!$D$2:$AL$2,0))</f>
        <v>5979.637</v>
      </c>
      <c r="AG146" s="3">
        <f>AF146</f>
        <v>5979.637</v>
      </c>
      <c r="AH146" s="3">
        <f>AH150</f>
        <v>5979.637</v>
      </c>
      <c r="AI146" s="3" t="n"/>
      <c r="AJ146" s="3" t="n"/>
      <c r="AK146" s="3" t="n"/>
      <c r="AL146" s="3">
        <f>AK146</f>
        <v>0</v>
      </c>
      <c r="AN146" s="3" t="n"/>
      <c r="AO146" s="3" t="n"/>
      <c r="AP146" s="3" t="n"/>
      <c r="AQ146" s="3">
        <f>AP146</f>
        <v>0</v>
      </c>
      <c r="AS146" s="3" t="n"/>
      <c r="AT146" s="3" t="n"/>
      <c r="AU146" s="3" t="n"/>
      <c r="AV146" s="3">
        <f>AU146</f>
        <v>0</v>
      </c>
      <c r="AX146" s="3" t="n"/>
      <c r="AY146" s="3" t="n"/>
      <c r="AZ146" s="3" t="n"/>
      <c r="BA146" s="3">
        <f>AZ146</f>
        <v>0</v>
      </c>
      <c r="BC146" s="3" t="n"/>
      <c r="BD146" s="3" t="n"/>
      <c r="BE146" s="3" t="n"/>
      <c r="BF146" s="3">
        <f>BE146</f>
        <v>0</v>
      </c>
      <c r="BH146" s="3" t="n"/>
      <c r="BI146" s="3" t="n"/>
      <c r="BJ146" s="3" t="n"/>
      <c r="BK146" s="3">
        <f>BJ146</f>
        <v>0</v>
      </c>
      <c r="BM146" s="3" t="n"/>
      <c r="BN146" s="3" t="n"/>
      <c r="BO146" s="3" t="n"/>
      <c r="BP146" s="3">
        <f>BO146</f>
        <v>0</v>
      </c>
      <c r="BR146" s="3" t="n"/>
      <c r="BS146" s="3" t="n"/>
      <c r="BT146" s="3" t="n"/>
      <c r="BU146" s="3">
        <f>BT146</f>
        <v>0</v>
      </c>
      <c r="BW146" s="3" t="n"/>
      <c r="BX146" s="3" t="n"/>
      <c r="BY146" s="3" t="n"/>
      <c r="BZ146" s="3">
        <f>BY146</f>
        <v>0</v>
      </c>
      <c r="CB146" s="3" t="n"/>
      <c r="CC146" s="3" t="n"/>
      <c r="CD146" s="3" t="n"/>
      <c r="CE146" s="3">
        <f>CD146</f>
        <v>0</v>
      </c>
      <c r="CG146" s="3" t="n"/>
      <c r="CH146" s="3" t="n"/>
      <c r="CI146" s="3" t="n"/>
      <c r="CJ146" s="3">
        <f>CI146</f>
        <v>0</v>
      </c>
      <c r="CL146" s="3" t="n"/>
      <c r="CM146" s="3" t="n"/>
      <c r="CN146" s="3" t="n"/>
      <c r="CO146" s="3">
        <f>CN146</f>
        <v>0</v>
      </c>
      <c r="CQ146" s="3" t="n"/>
      <c r="CR146" s="3" t="n"/>
      <c r="CS146" s="3" t="n"/>
      <c r="CT146" s="3">
        <f>CS146</f>
        <v>0</v>
      </c>
      <c r="CV146" s="3" t="n"/>
      <c r="CW146" s="3" t="n"/>
      <c r="CX146" s="3" t="n"/>
      <c r="CY146" s="3">
        <f>CX146</f>
        <v>0</v>
      </c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hidden="1" outlineLevel="1">
      <c r="C148" s="34" t="inlineStr">
        <is>
          <t>Purchase of intangible assets</t>
        </is>
      </c>
      <c r="D148" s="3" t="n"/>
      <c r="E148" s="3">
        <f>E146-D146-E50</f>
        <v>-1.6121085893717</v>
      </c>
      <c r="F148" s="3">
        <f>F146-E146-F50</f>
        <v>1.91732596499878</v>
      </c>
      <c r="G148" s="3">
        <f>G146-F146-G50</f>
        <v>12.2556373650002</v>
      </c>
      <c r="H148" s="3" t="n"/>
      <c r="I148" s="3">
        <f>I146-H146-I50</f>
        <v>0.873697054999866</v>
      </c>
      <c r="J148" s="3">
        <f>J146-I146-J50</f>
        <v>158.95772868868</v>
      </c>
      <c r="K148" s="3">
        <f>K146-J146-K50</f>
        <v>107.35268642133</v>
      </c>
      <c r="L148" s="3">
        <f>L146-K146-L50</f>
        <v>288.81699698576</v>
      </c>
      <c r="M148" s="3" t="n"/>
      <c r="N148" s="3">
        <f>N146-M146-N50</f>
        <v>30.9003449201769</v>
      </c>
      <c r="O148" s="3">
        <f>O146-N146-O50</f>
        <v>403.832285332093</v>
      </c>
      <c r="P148" s="3">
        <f>P146-O146-P50</f>
        <v>-7.60187658033283</v>
      </c>
      <c r="Q148" s="3">
        <f>Q146-P146-Q50</f>
        <v>146.186260618085</v>
      </c>
      <c r="R148" s="3" t="n"/>
      <c r="S148" s="3">
        <f>S146-R146-S50</f>
        <v>-12.7009949380854</v>
      </c>
      <c r="T148" s="3">
        <f>T146-S146-T50</f>
        <v>2620.89587367</v>
      </c>
      <c r="U148" s="3">
        <f>U146-T146-U50</f>
        <v>-24.0659999999998</v>
      </c>
      <c r="V148" s="3">
        <f>V146-U146-V50</f>
        <v>63.451</v>
      </c>
      <c r="W148" s="3" t="n"/>
      <c r="X148" s="3">
        <f>X146-W146-X50</f>
        <v>-18.5860000000002</v>
      </c>
      <c r="Y148" s="3">
        <f>Y146-X146-Y50</f>
        <v>-5.63699999999972</v>
      </c>
      <c r="Z148" s="3">
        <f>Z146-Y146-Z50</f>
        <v>47.0199999999995</v>
      </c>
      <c r="AA148" s="3">
        <f>AA146-Z146-AA50</f>
        <v>33.2290000000003</v>
      </c>
      <c r="AB148" s="3" t="n"/>
      <c r="AC148" s="3">
        <f>AC146-AB146-AC50</f>
        <v>-43.6677130000007</v>
      </c>
      <c r="AD148" s="3">
        <f>AD146-AC146-AD50</f>
        <v>5.51571300000069</v>
      </c>
      <c r="AE148" s="3">
        <f>AE146-AD146-AE50</f>
        <v>131.867</v>
      </c>
      <c r="AF148" s="3" t="n"/>
      <c r="AG148" s="3" t="n"/>
      <c r="AH148" s="6" t="n"/>
      <c r="AI148" s="6" t="n"/>
      <c r="AJ148" s="6" t="n"/>
      <c r="AK148" s="6" t="n"/>
      <c r="AL148" s="3" t="n"/>
      <c r="AM148" s="6" t="n"/>
      <c r="AN148" s="6" t="n"/>
      <c r="AO148" s="6" t="n"/>
      <c r="AP148" s="6" t="n"/>
      <c r="AQ148" s="3" t="n"/>
      <c r="AR148" s="6" t="n"/>
      <c r="AS148" s="6" t="n"/>
      <c r="AT148" s="6" t="n"/>
      <c r="AU148" s="6" t="n"/>
      <c r="AV148" s="3" t="n"/>
      <c r="AW148" s="6" t="n"/>
      <c r="AX148" s="6" t="n"/>
      <c r="AY148" s="6" t="n"/>
      <c r="AZ148" s="6" t="n"/>
      <c r="BA148" s="3" t="n"/>
      <c r="BB148" s="6" t="n"/>
      <c r="BC148" s="6" t="n"/>
      <c r="BD148" s="6" t="n"/>
      <c r="BE148" s="6" t="n"/>
      <c r="BF148" s="3" t="n"/>
      <c r="BG148" s="6" t="n"/>
      <c r="BH148" s="6" t="n"/>
      <c r="BI148" s="6" t="n"/>
      <c r="BJ148" s="6" t="n"/>
      <c r="BK148" s="3" t="n"/>
      <c r="BL148" s="6" t="n"/>
      <c r="BM148" s="6" t="n"/>
      <c r="BN148" s="6" t="n"/>
      <c r="BO148" s="6" t="n"/>
      <c r="BP148" s="3" t="n"/>
      <c r="BQ148" s="6" t="n"/>
      <c r="BR148" s="6" t="n"/>
      <c r="BS148" s="6" t="n"/>
      <c r="BT148" s="6" t="n"/>
      <c r="BU148" s="3" t="n"/>
      <c r="BV148" s="6" t="n"/>
      <c r="BW148" s="6" t="n"/>
      <c r="BX148" s="6" t="n"/>
      <c r="BY148" s="6" t="n"/>
      <c r="BZ148" s="3" t="n"/>
      <c r="CA148" s="6" t="n"/>
      <c r="CB148" s="6" t="n"/>
      <c r="CC148" s="6" t="n"/>
      <c r="CD148" s="6" t="n"/>
      <c r="CE148" s="3" t="n"/>
      <c r="CF148" s="6" t="n"/>
      <c r="CG148" s="6" t="n"/>
      <c r="CH148" s="6" t="n"/>
      <c r="CI148" s="6" t="n"/>
      <c r="CJ148" s="3" t="n"/>
      <c r="CK148" s="6" t="n"/>
      <c r="CL148" s="6" t="n"/>
      <c r="CM148" s="6" t="n"/>
      <c r="CN148" s="6" t="n"/>
      <c r="CO148" s="3" t="n"/>
      <c r="CP148" s="6" t="n"/>
      <c r="CQ148" s="6" t="n"/>
      <c r="CR148" s="6" t="n"/>
      <c r="CS148" s="6" t="n"/>
      <c r="CT148" s="3" t="n"/>
      <c r="CU148" s="6" t="n"/>
      <c r="CV148" s="6" t="n"/>
      <c r="CW148" s="6" t="n"/>
      <c r="CX148" s="6" t="n"/>
      <c r="CY148" s="3" t="n"/>
    </row>
    <row r="149" hidden="1" outlineLevel="1">
      <c r="C149" s="34" t="inlineStr">
        <is>
          <t>Amortization (enter as -)</t>
        </is>
      </c>
      <c r="D149" s="3" t="n"/>
      <c r="E149" s="3">
        <f>E49</f>
        <v>0</v>
      </c>
      <c r="F149" s="3">
        <f>F49</f>
        <v>0</v>
      </c>
      <c r="G149" s="3">
        <f>G49</f>
        <v>0</v>
      </c>
      <c r="H149" s="3" t="n"/>
      <c r="I149" s="3">
        <f>I49</f>
        <v>0</v>
      </c>
      <c r="J149" s="3">
        <f>J49</f>
        <v>0</v>
      </c>
      <c r="K149" s="3">
        <f>K49</f>
        <v>0</v>
      </c>
      <c r="L149" s="3">
        <f>L49</f>
        <v>0</v>
      </c>
      <c r="M149" s="3" t="n"/>
      <c r="N149" s="3">
        <f>N49</f>
        <v>0</v>
      </c>
      <c r="O149" s="3">
        <f>O49</f>
        <v>0</v>
      </c>
      <c r="P149" s="3">
        <f>P49</f>
        <v>0</v>
      </c>
      <c r="Q149" s="3">
        <f>Q49</f>
        <v>0</v>
      </c>
      <c r="R149" s="3" t="n"/>
      <c r="S149" s="3">
        <f>S49</f>
        <v>0</v>
      </c>
      <c r="T149" s="3">
        <f>T49</f>
        <v>0</v>
      </c>
      <c r="U149" s="3">
        <f>U49</f>
        <v>0</v>
      </c>
      <c r="V149" s="3">
        <f>V49</f>
        <v>0</v>
      </c>
      <c r="W149" s="3" t="n"/>
      <c r="X149" s="3">
        <f>X49</f>
        <v>0</v>
      </c>
      <c r="Y149" s="3">
        <f>Y49</f>
        <v>0</v>
      </c>
      <c r="Z149" s="3">
        <f>Z49</f>
        <v>0</v>
      </c>
      <c r="AA149" s="3">
        <f>AA49</f>
        <v>0</v>
      </c>
      <c r="AB149" s="3" t="n"/>
      <c r="AC149" s="3">
        <f>AC49</f>
        <v>0</v>
      </c>
      <c r="AD149" s="3">
        <f>AD49</f>
        <v>0</v>
      </c>
      <c r="AE149" s="3">
        <f>AE49</f>
        <v>0</v>
      </c>
      <c r="AF149" s="3" t="n"/>
      <c r="AG149" s="3" t="n"/>
      <c r="AH149" s="3">
        <f>AH49</f>
        <v>0</v>
      </c>
      <c r="AI149" s="6" t="n"/>
      <c r="AJ149" s="6" t="n"/>
      <c r="AK149" s="6" t="n"/>
      <c r="AL149" s="3" t="n"/>
      <c r="AM149" s="6" t="n"/>
      <c r="AN149" s="6" t="n"/>
      <c r="AO149" s="6" t="n"/>
      <c r="AP149" s="6" t="n"/>
      <c r="AQ149" s="3" t="n"/>
      <c r="AR149" s="6" t="n"/>
      <c r="AS149" s="6" t="n"/>
      <c r="AT149" s="6" t="n"/>
      <c r="AU149" s="6" t="n"/>
      <c r="AV149" s="3" t="n"/>
      <c r="AW149" s="6" t="n"/>
      <c r="AX149" s="6" t="n"/>
      <c r="AY149" s="6" t="n"/>
      <c r="AZ149" s="6" t="n"/>
      <c r="BA149" s="3" t="n"/>
      <c r="BB149" s="6" t="n"/>
      <c r="BC149" s="6" t="n"/>
      <c r="BD149" s="6" t="n"/>
      <c r="BE149" s="6" t="n"/>
      <c r="BF149" s="3" t="n"/>
      <c r="BG149" s="6" t="n"/>
      <c r="BH149" s="6" t="n"/>
      <c r="BI149" s="6" t="n"/>
      <c r="BJ149" s="6" t="n"/>
      <c r="BK149" s="3" t="n"/>
      <c r="BL149" s="6" t="n"/>
      <c r="BM149" s="6" t="n"/>
      <c r="BN149" s="6" t="n"/>
      <c r="BO149" s="6" t="n"/>
      <c r="BP149" s="3" t="n"/>
      <c r="BQ149" s="6" t="n"/>
      <c r="BR149" s="6" t="n"/>
      <c r="BS149" s="6" t="n"/>
      <c r="BT149" s="6" t="n"/>
      <c r="BU149" s="3" t="n"/>
      <c r="BV149" s="6" t="n"/>
      <c r="BW149" s="6" t="n"/>
      <c r="BX149" s="6" t="n"/>
      <c r="BY149" s="6" t="n"/>
      <c r="BZ149" s="3" t="n"/>
      <c r="CA149" s="6" t="n"/>
      <c r="CB149" s="6" t="n"/>
      <c r="CC149" s="6" t="n"/>
      <c r="CD149" s="6" t="n"/>
      <c r="CE149" s="3" t="n"/>
      <c r="CF149" s="6" t="n"/>
      <c r="CG149" s="6" t="n"/>
      <c r="CH149" s="6" t="n"/>
      <c r="CI149" s="6" t="n"/>
      <c r="CJ149" s="3" t="n"/>
      <c r="CK149" s="6" t="n"/>
      <c r="CL149" s="6" t="n"/>
      <c r="CM149" s="6" t="n"/>
      <c r="CN149" s="6" t="n"/>
      <c r="CO149" s="3" t="n"/>
      <c r="CP149" s="6" t="n"/>
      <c r="CQ149" s="6" t="n"/>
      <c r="CR149" s="6" t="n"/>
      <c r="CS149" s="6" t="n"/>
      <c r="CT149" s="3" t="n"/>
      <c r="CU149" s="6" t="n"/>
      <c r="CV149" s="6" t="n"/>
      <c r="CW149" s="6" t="n"/>
      <c r="CX149" s="6" t="n"/>
      <c r="CY149" s="3" t="n"/>
    </row>
    <row r="150" hidden="1" outlineLevel="1">
      <c r="C150" s="34" t="inlineStr">
        <is>
          <t>Intangibles</t>
        </is>
      </c>
      <c r="D150" s="3" t="n"/>
      <c r="E150" s="3">
        <f>E146</f>
        <v>2016.4350344973</v>
      </c>
      <c r="F150" s="3">
        <f>F146</f>
        <v>2018.35236046229</v>
      </c>
      <c r="G150" s="3">
        <f>G146</f>
        <v>2030.60799782729</v>
      </c>
      <c r="H150" s="3" t="n"/>
      <c r="I150" s="3">
        <f>I146</f>
        <v>2031.48169488229</v>
      </c>
      <c r="J150" s="3">
        <f>J146</f>
        <v>2190.43942357097</v>
      </c>
      <c r="K150" s="3">
        <f>K146</f>
        <v>2297.7921099923</v>
      </c>
      <c r="L150" s="3">
        <f>L146</f>
        <v>2586.60910697806</v>
      </c>
      <c r="M150" s="3" t="n"/>
      <c r="N150" s="3">
        <f>N146</f>
        <v>2617.50945189824</v>
      </c>
      <c r="O150" s="3">
        <f>O146</f>
        <v>3021.34173723033</v>
      </c>
      <c r="P150" s="3">
        <f>P146</f>
        <v>3013.73986065</v>
      </c>
      <c r="Q150" s="3">
        <f>Q146</f>
        <v>3159.92612126809</v>
      </c>
      <c r="R150" s="3" t="n"/>
      <c r="S150" s="3">
        <f>S146</f>
        <v>3147.22512633</v>
      </c>
      <c r="T150" s="3">
        <f>T146</f>
        <v>5768.121</v>
      </c>
      <c r="U150" s="3">
        <f>U146</f>
        <v>5744.055</v>
      </c>
      <c r="V150" s="3">
        <f>V146</f>
        <v>5807.506</v>
      </c>
      <c r="W150" s="3" t="n"/>
      <c r="X150" s="3">
        <f>X146</f>
        <v>5788.92</v>
      </c>
      <c r="Y150" s="3">
        <f>Y146</f>
        <v>5783.283</v>
      </c>
      <c r="Z150" s="3">
        <f>Z146</f>
        <v>5830.303</v>
      </c>
      <c r="AA150" s="3">
        <f>AA146</f>
        <v>5863.532</v>
      </c>
      <c r="AB150" s="3" t="n"/>
      <c r="AC150" s="3">
        <f>AC146</f>
        <v>5819.864287</v>
      </c>
      <c r="AD150" s="3">
        <f>AD146</f>
        <v>5825.38</v>
      </c>
      <c r="AE150" s="3">
        <f>AE146</f>
        <v>5957.247</v>
      </c>
      <c r="AF150" s="3">
        <f>AF146</f>
        <v>5979.637</v>
      </c>
      <c r="AG150" s="3" t="n"/>
      <c r="AH150" s="3">
        <f>AF150+SUM(AH148:AH149)</f>
        <v>5979.637</v>
      </c>
      <c r="AI150" s="3">
        <f>AH150+SUM(AI148:AI149)</f>
        <v>5979.637</v>
      </c>
      <c r="AJ150" s="3">
        <f>AI150+SUM(AJ148:AJ149)</f>
        <v>5979.637</v>
      </c>
      <c r="AK150" s="3">
        <f>AJ150+SUM(AK148:AK149)</f>
        <v>5979.637</v>
      </c>
      <c r="AL150" s="3" t="n"/>
      <c r="AM150" s="3">
        <f>AK150+SUM(AM148:AM149)</f>
        <v>5979.637</v>
      </c>
      <c r="AN150" s="3">
        <f>AM150+SUM(AN148:AN149)</f>
        <v>5979.637</v>
      </c>
      <c r="AO150" s="3">
        <f>AN150+SUM(AO148:AO149)</f>
        <v>5979.637</v>
      </c>
      <c r="AP150" s="3">
        <f>AO150+SUM(AP148:AP149)</f>
        <v>5979.637</v>
      </c>
      <c r="AQ150" s="3" t="n"/>
      <c r="AR150" s="3">
        <f>AP150+SUM(AR148:AR149)</f>
        <v>5979.637</v>
      </c>
      <c r="AS150" s="3">
        <f>AR150+SUM(AS148:AS149)</f>
        <v>5979.637</v>
      </c>
      <c r="AT150" s="3">
        <f>AS150+SUM(AT148:AT149)</f>
        <v>5979.637</v>
      </c>
      <c r="AU150" s="3">
        <f>AT150+SUM(AU148:AU149)</f>
        <v>5979.637</v>
      </c>
      <c r="AV150" s="3" t="n"/>
      <c r="AW150" s="3">
        <f>AU150+SUM(AW148:AW149)</f>
        <v>5979.637</v>
      </c>
      <c r="AX150" s="3">
        <f>AW150+SUM(AX148:AX149)</f>
        <v>5979.637</v>
      </c>
      <c r="AY150" s="3">
        <f>AX150+SUM(AY148:AY149)</f>
        <v>5979.637</v>
      </c>
      <c r="AZ150" s="3">
        <f>AY150+SUM(AZ148:AZ149)</f>
        <v>5979.637</v>
      </c>
      <c r="BA150" s="3" t="n"/>
      <c r="BB150" s="3">
        <f>AZ150+SUM(BB148:BB149)</f>
        <v>5979.637</v>
      </c>
      <c r="BC150" s="3">
        <f>BB150+SUM(BC148:BC149)</f>
        <v>5979.637</v>
      </c>
      <c r="BD150" s="3">
        <f>BC150+SUM(BD148:BD149)</f>
        <v>5979.637</v>
      </c>
      <c r="BE150" s="3">
        <f>BD150+SUM(BE148:BE149)</f>
        <v>5979.637</v>
      </c>
      <c r="BF150" s="3" t="n"/>
      <c r="BG150" s="3">
        <f>BE150+SUM(BG148:BG149)</f>
        <v>5979.637</v>
      </c>
      <c r="BH150" s="3">
        <f>BG150+SUM(BH148:BH149)</f>
        <v>5979.637</v>
      </c>
      <c r="BI150" s="3">
        <f>BH150+SUM(BI148:BI149)</f>
        <v>5979.637</v>
      </c>
      <c r="BJ150" s="3">
        <f>BI150+SUM(BJ148:BJ149)</f>
        <v>5979.637</v>
      </c>
      <c r="BK150" s="3" t="n"/>
      <c r="BL150" s="3">
        <f>BJ150+SUM(BL148:BL149)</f>
        <v>5979.637</v>
      </c>
      <c r="BM150" s="3">
        <f>BL150+SUM(BM148:BM149)</f>
        <v>5979.637</v>
      </c>
      <c r="BN150" s="3">
        <f>BM150+SUM(BN148:BN149)</f>
        <v>5979.637</v>
      </c>
      <c r="BO150" s="3">
        <f>BN150+SUM(BO148:BO149)</f>
        <v>5979.637</v>
      </c>
      <c r="BP150" s="3" t="n"/>
      <c r="BQ150" s="3">
        <f>BO150+SUM(BQ148:BQ149)</f>
        <v>5979.637</v>
      </c>
      <c r="BR150" s="3">
        <f>BQ150+SUM(BR148:BR149)</f>
        <v>5979.637</v>
      </c>
      <c r="BS150" s="3">
        <f>BR150+SUM(BS148:BS149)</f>
        <v>5979.637</v>
      </c>
      <c r="BT150" s="3">
        <f>BS150+SUM(BT148:BT149)</f>
        <v>5979.637</v>
      </c>
      <c r="BU150" s="3" t="n"/>
      <c r="BV150" s="3">
        <f>BT150+SUM(BV148:BV149)</f>
        <v>5979.637</v>
      </c>
      <c r="BW150" s="3">
        <f>BV150+SUM(BW148:BW149)</f>
        <v>5979.637</v>
      </c>
      <c r="BX150" s="3">
        <f>BW150+SUM(BX148:BX149)</f>
        <v>5979.637</v>
      </c>
      <c r="BY150" s="3">
        <f>BX150+SUM(BY148:BY149)</f>
        <v>5979.637</v>
      </c>
      <c r="BZ150" s="3" t="n"/>
      <c r="CA150" s="3">
        <f>BY150+SUM(CA148:CA149)</f>
        <v>5979.637</v>
      </c>
      <c r="CB150" s="3">
        <f>CA150+SUM(CB148:CB149)</f>
        <v>5979.637</v>
      </c>
      <c r="CC150" s="3">
        <f>CB150+SUM(CC148:CC149)</f>
        <v>5979.637</v>
      </c>
      <c r="CD150" s="3">
        <f>CC150+SUM(CD148:CD149)</f>
        <v>5979.637</v>
      </c>
      <c r="CE150" s="3" t="n"/>
      <c r="CF150" s="3">
        <f>CD150+SUM(CF148:CF149)</f>
        <v>5979.637</v>
      </c>
      <c r="CG150" s="3">
        <f>CF150+SUM(CG148:CG149)</f>
        <v>5979.637</v>
      </c>
      <c r="CH150" s="3">
        <f>CG150+SUM(CH148:CH149)</f>
        <v>5979.637</v>
      </c>
      <c r="CI150" s="3">
        <f>CH150+SUM(CI148:CI149)</f>
        <v>5979.637</v>
      </c>
      <c r="CJ150" s="3" t="n"/>
      <c r="CK150" s="3">
        <f>CI150+SUM(CK148:CK149)</f>
        <v>5979.637</v>
      </c>
      <c r="CL150" s="3">
        <f>CK150+SUM(CL148:CL149)</f>
        <v>5979.637</v>
      </c>
      <c r="CM150" s="3">
        <f>CL150+SUM(CM148:CM149)</f>
        <v>5979.637</v>
      </c>
      <c r="CN150" s="3">
        <f>CM150+SUM(CN148:CN149)</f>
        <v>5979.637</v>
      </c>
      <c r="CO150" s="3" t="n"/>
      <c r="CP150" s="3">
        <f>CN150+SUM(CP148:CP149)</f>
        <v>5979.637</v>
      </c>
      <c r="CQ150" s="3">
        <f>CP150+SUM(CQ148:CQ149)</f>
        <v>5979.637</v>
      </c>
      <c r="CR150" s="3">
        <f>CQ150+SUM(CR148:CR149)</f>
        <v>5979.637</v>
      </c>
      <c r="CS150" s="3">
        <f>CR150+SUM(CS148:CS149)</f>
        <v>5979.637</v>
      </c>
      <c r="CT150" s="3" t="n"/>
      <c r="CU150" s="3">
        <f>CS150+SUM(CU148:CU149)</f>
        <v>5979.637</v>
      </c>
      <c r="CV150" s="3">
        <f>CU150+SUM(CV148:CV149)</f>
        <v>5979.637</v>
      </c>
      <c r="CW150" s="3">
        <f>CV150+SUM(CW148:CW149)</f>
        <v>5979.637</v>
      </c>
      <c r="CX150" s="3">
        <f>CW150+SUM(CX148:CX149)</f>
        <v>5979.637</v>
      </c>
      <c r="CY150" s="3" t="n"/>
      <c r="CZ150">
        <f>CX150+SUM(CZ148:CZ149)</f>
        <v>5979.637</v>
      </c>
      <c r="DA150">
        <f>CZ150+SUM(DA148:DA149)</f>
        <v>5979.637</v>
      </c>
      <c r="DB150">
        <f>DA150+SUM(DB148:DB149)</f>
        <v>5979.637</v>
      </c>
      <c r="DC150">
        <f>DB150+SUM(DC148:DC149)</f>
        <v>5979.637</v>
      </c>
    </row>
    <row r="151" hidden="1" outlineLevel="1">
      <c r="C151" s="34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hidden="1" outlineLevel="1">
      <c r="C152" s="34" t="inlineStr">
        <is>
          <t>Definir % do D&amp;A No PPE and Intagibles</t>
        </is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34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34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collapsed="1">
      <c r="C155" s="26" t="inlineStr">
        <is>
          <t>Other non-current assets</t>
        </is>
      </c>
      <c r="D155" s="25">
        <f>INDEX('Inputs (2)'!$D$26:$AL$26,MATCH(D$7,'Inputs (2)'!$D$2:$AL$2,0))</f>
        <v>65.82283961</v>
      </c>
      <c r="E155" s="25">
        <f>INDEX('Inputs (2)'!$D$26:$AL$26,MATCH(E$7,'Inputs (2)'!$D$2:$AL$2,0))</f>
        <v>73.44718083</v>
      </c>
      <c r="F155" s="25">
        <f>INDEX('Inputs (2)'!$D$26:$AL$26,MATCH(F$7,'Inputs (2)'!$D$2:$AL$2,0))</f>
        <v>73.41897207</v>
      </c>
      <c r="G155" s="25">
        <f>INDEX('Inputs (2)'!$D$26:$AL$26,MATCH(G$7,'Inputs (2)'!$D$2:$AL$2,0))</f>
        <v>58.07394153</v>
      </c>
      <c r="H155" s="3">
        <f>G155</f>
        <v>58.07394153</v>
      </c>
      <c r="I155" s="25">
        <f>INDEX('Inputs (2)'!$D$26:$AL$26,MATCH(I$7,'Inputs (2)'!$D$2:$AL$2,0))</f>
        <v>57.70639164</v>
      </c>
      <c r="J155" s="25">
        <f>INDEX('Inputs (2)'!$D$26:$AL$26,MATCH(J$7,'Inputs (2)'!$D$2:$AL$2,0))</f>
        <v>46.88245908</v>
      </c>
      <c r="K155" s="25">
        <f>INDEX('Inputs (2)'!$D$26:$AL$26,MATCH(K$7,'Inputs (2)'!$D$2:$AL$2,0))</f>
        <v>45.76159196</v>
      </c>
      <c r="L155" s="25">
        <f>INDEX('Inputs (2)'!$D$26:$AL$26,MATCH(L$7,'Inputs (2)'!$D$2:$AL$2,0))</f>
        <v>46.89604854</v>
      </c>
      <c r="M155" s="3">
        <f>L155</f>
        <v>46.89604854</v>
      </c>
      <c r="N155" s="25">
        <f>INDEX('Inputs (2)'!$D$26:$AL$26,MATCH(N$7,'Inputs (2)'!$D$2:$AL$2,0))</f>
        <v>46.34248186</v>
      </c>
      <c r="O155" s="25">
        <f>INDEX('Inputs (2)'!$D$26:$AL$26,MATCH(O$7,'Inputs (2)'!$D$2:$AL$2,0))</f>
        <v>48.66050671</v>
      </c>
      <c r="P155" s="25">
        <f>INDEX('Inputs (2)'!$D$26:$AL$26,MATCH(P$7,'Inputs (2)'!$D$2:$AL$2,0))</f>
        <v>50.13974602</v>
      </c>
      <c r="Q155" s="25">
        <f>INDEX('Inputs (2)'!$D$26:$AL$26,MATCH(Q$7,'Inputs (2)'!$D$2:$AL$2,0))</f>
        <v>77.92503408</v>
      </c>
      <c r="R155" s="3">
        <f>Q155</f>
        <v>77.92503408</v>
      </c>
      <c r="S155" s="25">
        <f>INDEX('Inputs (2)'!$D$26:$AL$26,MATCH(S$7,'Inputs (2)'!$D$2:$AL$2,0))</f>
        <v>77.42650597</v>
      </c>
      <c r="T155" s="25">
        <f>INDEX('Inputs (2)'!$D$26:$AL$26,MATCH(T$7,'Inputs (2)'!$D$2:$AL$2,0))</f>
        <v>80.237</v>
      </c>
      <c r="U155" s="25">
        <f>INDEX('Inputs (2)'!$D$26:$AL$26,MATCH(U$7,'Inputs (2)'!$D$2:$AL$2,0))</f>
        <v>85.086</v>
      </c>
      <c r="V155" s="25">
        <f>INDEX('Inputs (2)'!$D$26:$AL$26,MATCH(V$7,'Inputs (2)'!$D$2:$AL$2,0))</f>
        <v>75.961</v>
      </c>
      <c r="W155" s="3">
        <f>V155</f>
        <v>75.961</v>
      </c>
      <c r="X155" s="25">
        <f>INDEX('Inputs (2)'!$D$26:$AL$26,MATCH(X$7,'Inputs (2)'!$D$2:$AL$2,0))</f>
        <v>77.885</v>
      </c>
      <c r="Y155" s="25">
        <f>INDEX('Inputs (2)'!$D$26:$AL$26,MATCH(Y$7,'Inputs (2)'!$D$2:$AL$2,0))</f>
        <v>75.5</v>
      </c>
      <c r="Z155" s="25">
        <f>INDEX('Inputs (2)'!$D$26:$AL$26,MATCH(Z$7,'Inputs (2)'!$D$2:$AL$2,0))</f>
        <v>74.756</v>
      </c>
      <c r="AA155" s="25">
        <f>INDEX('Inputs (2)'!$D$26:$AL$26,MATCH(AA$7,'Inputs (2)'!$D$2:$AL$2,0))</f>
        <v>102.77</v>
      </c>
      <c r="AB155" s="3">
        <f>AA155</f>
        <v>102.77</v>
      </c>
      <c r="AC155" s="25">
        <f>INDEX('Inputs (2)'!$D$26:$AL$26,MATCH(AC$7,'Inputs (2)'!$D$2:$AL$2,0))</f>
        <v>89.979094</v>
      </c>
      <c r="AD155" s="25">
        <f>INDEX('Inputs (2)'!$D$26:$AL$26,MATCH(AD$7,'Inputs (2)'!$D$2:$AL$2,0))</f>
        <v>84.177</v>
      </c>
      <c r="AE155" s="25">
        <f>INDEX('Inputs (2)'!$D$26:$AL$26,MATCH(AE$7,'Inputs (2)'!$D$2:$AL$2,0))</f>
        <v>82.641</v>
      </c>
      <c r="AF155" s="25">
        <f>INDEX('Inputs (2)'!$D$26:$AL$26,MATCH(AF$7,'Inputs (2)'!$D$2:$AL$2,0))</f>
        <v>106.081</v>
      </c>
      <c r="AG155" s="3">
        <f>AF155</f>
        <v>106.081</v>
      </c>
      <c r="AH155" s="3">
        <f>AG155</f>
        <v>106.081</v>
      </c>
      <c r="AI155" s="3">
        <f>AH155</f>
        <v>106.081</v>
      </c>
      <c r="AJ155" s="3">
        <f>AI155</f>
        <v>106.081</v>
      </c>
      <c r="AK155" s="3">
        <f>AJ155</f>
        <v>106.081</v>
      </c>
      <c r="AL155" s="3">
        <f>AK155</f>
        <v>106.081</v>
      </c>
      <c r="AM155" s="3">
        <f>AL155</f>
        <v>106.081</v>
      </c>
      <c r="AN155" s="3">
        <f>AM155</f>
        <v>106.081</v>
      </c>
      <c r="AO155" s="3">
        <f>AN155</f>
        <v>106.081</v>
      </c>
      <c r="AP155" s="3">
        <f>AO155</f>
        <v>106.081</v>
      </c>
      <c r="AQ155" s="3">
        <f>AP155</f>
        <v>106.081</v>
      </c>
      <c r="AR155" s="3">
        <f>AQ155</f>
        <v>106.081</v>
      </c>
      <c r="AS155" s="3">
        <f>AR155</f>
        <v>106.081</v>
      </c>
      <c r="AT155" s="3">
        <f>AS155</f>
        <v>106.081</v>
      </c>
      <c r="AU155" s="3">
        <f>AT155</f>
        <v>106.081</v>
      </c>
      <c r="AV155" s="3">
        <f>AU155</f>
        <v>106.081</v>
      </c>
      <c r="AW155" s="3">
        <f>AV155</f>
        <v>106.081</v>
      </c>
      <c r="AX155" s="3">
        <f>AW155</f>
        <v>106.081</v>
      </c>
      <c r="AY155" s="3">
        <f>AX155</f>
        <v>106.081</v>
      </c>
      <c r="AZ155" s="3">
        <f>AY155</f>
        <v>106.081</v>
      </c>
      <c r="BA155" s="3">
        <f>AZ155</f>
        <v>106.081</v>
      </c>
      <c r="BB155" s="3">
        <f>BA155</f>
        <v>106.081</v>
      </c>
      <c r="BC155" s="3">
        <f>BB155</f>
        <v>106.081</v>
      </c>
      <c r="BD155" s="3">
        <f>BC155</f>
        <v>106.081</v>
      </c>
      <c r="BE155" s="3">
        <f>BD155</f>
        <v>106.081</v>
      </c>
      <c r="BF155" s="3">
        <f>BE155</f>
        <v>106.081</v>
      </c>
      <c r="BG155" s="3">
        <f>BF155</f>
        <v>106.081</v>
      </c>
      <c r="BH155" s="3">
        <f>BG155</f>
        <v>106.081</v>
      </c>
      <c r="BI155" s="3">
        <f>BH155</f>
        <v>106.081</v>
      </c>
      <c r="BJ155" s="3">
        <f>BI155</f>
        <v>106.081</v>
      </c>
      <c r="BK155" s="3">
        <f>BJ155</f>
        <v>106.081</v>
      </c>
      <c r="BL155" s="3">
        <f>BK155</f>
        <v>106.081</v>
      </c>
      <c r="BM155" s="3">
        <f>BL155</f>
        <v>106.081</v>
      </c>
      <c r="BN155" s="3">
        <f>BM155</f>
        <v>106.081</v>
      </c>
      <c r="BO155" s="3">
        <f>BN155</f>
        <v>106.081</v>
      </c>
      <c r="BP155" s="3">
        <f>BO155</f>
        <v>106.081</v>
      </c>
      <c r="BQ155" s="3">
        <f>BP155</f>
        <v>106.081</v>
      </c>
      <c r="BR155" s="3">
        <f>BQ155</f>
        <v>106.081</v>
      </c>
      <c r="BS155" s="3">
        <f>BR155</f>
        <v>106.081</v>
      </c>
      <c r="BT155" s="3">
        <f>BS155</f>
        <v>106.081</v>
      </c>
      <c r="BU155" s="3">
        <f>BT155</f>
        <v>106.081</v>
      </c>
      <c r="BV155" s="3">
        <f>BU155</f>
        <v>106.081</v>
      </c>
      <c r="BW155" s="3">
        <f>BV155</f>
        <v>106.081</v>
      </c>
      <c r="BX155" s="3">
        <f>BW155</f>
        <v>106.081</v>
      </c>
      <c r="BY155" s="3">
        <f>BX155</f>
        <v>106.081</v>
      </c>
      <c r="BZ155" s="3">
        <f>BY155</f>
        <v>106.081</v>
      </c>
      <c r="CA155" s="3">
        <f>BZ155</f>
        <v>106.081</v>
      </c>
      <c r="CB155" s="3">
        <f>CA155</f>
        <v>106.081</v>
      </c>
      <c r="CC155" s="3">
        <f>CB155</f>
        <v>106.081</v>
      </c>
      <c r="CD155" s="3">
        <f>CC155</f>
        <v>106.081</v>
      </c>
      <c r="CE155" s="3">
        <f>CD155</f>
        <v>106.081</v>
      </c>
      <c r="CF155" s="3">
        <f>CE155</f>
        <v>106.081</v>
      </c>
      <c r="CG155" s="3">
        <f>CF155</f>
        <v>106.081</v>
      </c>
      <c r="CH155" s="3">
        <f>CG155</f>
        <v>106.081</v>
      </c>
      <c r="CI155" s="3">
        <f>CH155</f>
        <v>106.081</v>
      </c>
      <c r="CJ155" s="3">
        <f>CI155</f>
        <v>106.081</v>
      </c>
      <c r="CK155" s="3">
        <f>CJ155</f>
        <v>106.081</v>
      </c>
      <c r="CL155" s="3">
        <f>CK155</f>
        <v>106.081</v>
      </c>
      <c r="CM155" s="3">
        <f>CL155</f>
        <v>106.081</v>
      </c>
      <c r="CN155" s="3">
        <f>CM155</f>
        <v>106.081</v>
      </c>
      <c r="CO155" s="3">
        <f>CN155</f>
        <v>106.081</v>
      </c>
      <c r="CP155" s="3">
        <f>CO155</f>
        <v>106.081</v>
      </c>
      <c r="CQ155" s="3">
        <f>CP155</f>
        <v>106.081</v>
      </c>
      <c r="CR155" s="3">
        <f>CQ155</f>
        <v>106.081</v>
      </c>
      <c r="CS155" s="3">
        <f>CR155</f>
        <v>106.081</v>
      </c>
      <c r="CT155" s="3">
        <f>CS155</f>
        <v>106.081</v>
      </c>
      <c r="CU155" s="3">
        <f>CT155</f>
        <v>106.081</v>
      </c>
      <c r="CV155" s="3">
        <f>CU155</f>
        <v>106.081</v>
      </c>
      <c r="CW155" s="3">
        <f>CV155</f>
        <v>106.081</v>
      </c>
      <c r="CX155" s="3">
        <f>CW155</f>
        <v>106.081</v>
      </c>
      <c r="CY155" s="3">
        <f>CX155</f>
        <v>106.081</v>
      </c>
    </row>
    <row r="156" hidden="1" outlineLevel="1">
      <c r="C156" s="38" t="inlineStr">
        <is>
          <t>%(Var.)</t>
        </is>
      </c>
      <c r="D156" s="3" t="n"/>
      <c r="E156" s="47">
        <f>(E155-D155)/D155</f>
        <v>0.115831241331644</v>
      </c>
      <c r="F156" s="47">
        <f>(F155-E155)/E155</f>
        <v>-0.000384068655613946</v>
      </c>
      <c r="G156" s="47">
        <f>(G155-F155)/F155</f>
        <v>-0.209006338652761</v>
      </c>
      <c r="H156" s="3" t="n"/>
      <c r="I156" s="47">
        <f>(I155-H155)/H155</f>
        <v>-0.00632899852010403</v>
      </c>
      <c r="J156" s="47">
        <f>(J155-I155)/I155</f>
        <v>-0.187569041355503</v>
      </c>
      <c r="K156" s="47">
        <f>(K155-J155)/J155</f>
        <v>-0.0239080274796881</v>
      </c>
      <c r="L156" s="47">
        <f>(L155-K155)/K155</f>
        <v>0.0247905837933177</v>
      </c>
      <c r="M156" s="3" t="n"/>
      <c r="N156" s="47">
        <f>(N155-M155)/M155</f>
        <v>-0.0118041220365896</v>
      </c>
      <c r="O156" s="47">
        <f>(O155-N155)/N155</f>
        <v>0.0500194369607289</v>
      </c>
      <c r="P156" s="47">
        <f>(P155-O155)/O155</f>
        <v>0.0303991760467223</v>
      </c>
      <c r="Q156" s="47">
        <f>(Q155-P155)/P155</f>
        <v>0.554156936672891</v>
      </c>
      <c r="R156" s="3" t="n"/>
      <c r="S156" s="47">
        <f>(S155-R155)/R155</f>
        <v>-0.00639753470608953</v>
      </c>
      <c r="T156" s="47">
        <f>(T155-S155)/S155</f>
        <v>0.036298861672629</v>
      </c>
      <c r="U156" s="47">
        <f>(U155-T155)/T155</f>
        <v>0.0604334658573973</v>
      </c>
      <c r="V156" s="47">
        <f>(V155-U155)/U155</f>
        <v>-0.107244435042193</v>
      </c>
      <c r="W156" s="3" t="n"/>
      <c r="X156" s="47">
        <f>(X155-W155)/W155</f>
        <v>0.0253287871407695</v>
      </c>
      <c r="Y156" s="47">
        <f>(Y155-X155)/X155</f>
        <v>-0.0306220710021184</v>
      </c>
      <c r="Z156" s="47">
        <f>(Z155-Y155)/Y155</f>
        <v>-0.00985430463576159</v>
      </c>
      <c r="AA156" s="47">
        <f>(AA155-Z155)/Z155</f>
        <v>0.374739151372465</v>
      </c>
      <c r="AB156" s="3" t="n"/>
      <c r="AC156" s="47">
        <f>(AC155-AB155)/AB155</f>
        <v>-0.124461477084752</v>
      </c>
      <c r="AD156" s="47">
        <f>(AD155-AC155)/AC155</f>
        <v>-0.0644826897234597</v>
      </c>
      <c r="AE156" s="47">
        <f>(AE155-AD155)/AD155</f>
        <v>-0.0182472646922556</v>
      </c>
      <c r="AF156" s="218">
        <f>(AF155-AE155)/AE155</f>
        <v>0.283636451640227</v>
      </c>
      <c r="AG156" s="3" t="n"/>
      <c r="AH156" s="218" t="n"/>
      <c r="AI156" s="218" t="n"/>
      <c r="AJ156" s="218" t="n"/>
      <c r="AK156" s="218" t="n"/>
      <c r="AL156" s="3" t="n"/>
      <c r="AM156" s="218" t="n"/>
      <c r="AN156" s="218" t="n"/>
      <c r="AO156" s="218" t="n"/>
      <c r="AP156" s="218" t="n"/>
      <c r="AQ156" s="3" t="n"/>
      <c r="AR156" s="218" t="n"/>
      <c r="AS156" s="218" t="n"/>
      <c r="AT156" s="218" t="n"/>
      <c r="AU156" s="218" t="n"/>
      <c r="AV156" s="3" t="n"/>
      <c r="AW156" s="218" t="n"/>
      <c r="AX156" s="218" t="n"/>
      <c r="AY156" s="218" t="n"/>
      <c r="AZ156" s="218" t="n"/>
      <c r="BA156" s="3" t="n"/>
      <c r="BB156" s="218" t="n"/>
      <c r="BC156" s="218" t="n"/>
      <c r="BD156" s="218" t="n"/>
      <c r="BE156" s="218" t="n"/>
      <c r="BF156" s="3" t="n"/>
      <c r="BG156" s="218" t="n"/>
      <c r="BH156" s="218" t="n"/>
      <c r="BI156" s="218" t="n"/>
      <c r="BJ156" s="218" t="n"/>
      <c r="BK156" s="3" t="n"/>
      <c r="BL156" s="218" t="n"/>
      <c r="BM156" s="218" t="n"/>
      <c r="BN156" s="218" t="n"/>
      <c r="BO156" s="218" t="n"/>
      <c r="BP156" s="3" t="n"/>
      <c r="BQ156" s="218" t="n"/>
      <c r="BR156" s="218" t="n"/>
      <c r="BS156" s="218" t="n"/>
      <c r="BT156" s="218" t="n"/>
      <c r="BU156" s="3" t="n"/>
      <c r="BV156" s="218" t="n"/>
      <c r="BW156" s="218" t="n"/>
      <c r="BX156" s="218" t="n"/>
      <c r="BY156" s="218" t="n"/>
      <c r="BZ156" s="3" t="n"/>
      <c r="CA156" s="218" t="n"/>
      <c r="CB156" s="218" t="n"/>
      <c r="CC156" s="218" t="n"/>
      <c r="CD156" s="218" t="n"/>
      <c r="CE156" s="3" t="n"/>
      <c r="CF156" s="218" t="n"/>
      <c r="CG156" s="218" t="n"/>
      <c r="CH156" s="218" t="n"/>
      <c r="CI156" s="218" t="n"/>
      <c r="CJ156" s="3" t="n"/>
      <c r="CK156" s="218" t="n"/>
      <c r="CL156" s="218" t="n"/>
      <c r="CM156" s="218" t="n"/>
      <c r="CN156" s="218" t="n"/>
      <c r="CO156" s="3" t="n"/>
      <c r="CP156" s="218" t="n"/>
      <c r="CQ156" s="218" t="n"/>
      <c r="CR156" s="218" t="n"/>
      <c r="CS156" s="218" t="n"/>
      <c r="CT156" s="3" t="n"/>
      <c r="CU156" s="218" t="n"/>
      <c r="CV156" s="218" t="n"/>
      <c r="CW156" s="218" t="n"/>
      <c r="CX156" s="218" t="n"/>
      <c r="CY156" s="3" t="n"/>
    </row>
    <row r="157" hidden="1" outlineLevel="1">
      <c r="C157" s="34" t="n"/>
      <c r="D157" s="3" t="n"/>
      <c r="E157" s="47" t="n"/>
      <c r="F157" s="47" t="n"/>
      <c r="G157" s="47" t="n"/>
      <c r="H157" s="3" t="n"/>
      <c r="I157" s="47" t="n"/>
      <c r="J157" s="47" t="n"/>
      <c r="K157" s="47" t="n"/>
      <c r="L157" s="47" t="n"/>
      <c r="M157" s="3" t="n"/>
      <c r="N157" s="47" t="n"/>
      <c r="O157" s="47" t="n"/>
      <c r="P157" s="47" t="n"/>
      <c r="Q157" s="47" t="n"/>
      <c r="R157" s="3" t="n"/>
      <c r="S157" s="47" t="n"/>
      <c r="T157" s="47" t="n"/>
      <c r="U157" s="47" t="n"/>
      <c r="V157" s="47" t="n"/>
      <c r="W157" s="3" t="n"/>
      <c r="X157" s="47" t="n"/>
      <c r="Y157" s="47" t="n"/>
      <c r="Z157" s="47" t="n"/>
      <c r="AA157" s="47" t="n"/>
      <c r="AB157" s="3" t="n"/>
      <c r="AC157" s="47" t="n"/>
      <c r="AD157" s="47" t="n"/>
      <c r="AE157" s="47" t="n"/>
      <c r="AF157" s="218" t="n"/>
      <c r="AG157" s="3" t="n"/>
      <c r="AH157" s="218" t="n"/>
      <c r="AI157" s="218" t="n"/>
      <c r="AJ157" s="218" t="n"/>
      <c r="AK157" s="218" t="n"/>
      <c r="AL157" s="3" t="n"/>
      <c r="AM157" s="218" t="n"/>
      <c r="AN157" s="218" t="n"/>
      <c r="AO157" s="218" t="n"/>
      <c r="AP157" s="218" t="n"/>
      <c r="AQ157" s="3" t="n"/>
      <c r="AR157" s="218" t="n"/>
      <c r="AS157" s="218" t="n"/>
      <c r="AT157" s="218" t="n"/>
      <c r="AU157" s="218" t="n"/>
      <c r="AV157" s="3" t="n"/>
      <c r="AW157" s="218" t="n"/>
      <c r="AX157" s="218" t="n"/>
      <c r="AY157" s="218" t="n"/>
      <c r="AZ157" s="218" t="n"/>
      <c r="BA157" s="3" t="n"/>
      <c r="BB157" s="218" t="n"/>
      <c r="BC157" s="218" t="n"/>
      <c r="BD157" s="218" t="n"/>
      <c r="BE157" s="218" t="n"/>
      <c r="BF157" s="3" t="n"/>
      <c r="BG157" s="218" t="n"/>
      <c r="BH157" s="218" t="n"/>
      <c r="BI157" s="218" t="n"/>
      <c r="BJ157" s="218" t="n"/>
      <c r="BK157" s="3" t="n"/>
      <c r="BL157" s="218" t="n"/>
      <c r="BM157" s="218" t="n"/>
      <c r="BN157" s="218" t="n"/>
      <c r="BO157" s="218" t="n"/>
      <c r="BP157" s="3" t="n"/>
      <c r="BQ157" s="218" t="n"/>
      <c r="BR157" s="218" t="n"/>
      <c r="BS157" s="218" t="n"/>
      <c r="BT157" s="218" t="n"/>
      <c r="BU157" s="3" t="n"/>
      <c r="BV157" s="218" t="n"/>
      <c r="BW157" s="218" t="n"/>
      <c r="BX157" s="218" t="n"/>
      <c r="BY157" s="218" t="n"/>
      <c r="BZ157" s="3" t="n"/>
      <c r="CA157" s="218" t="n"/>
      <c r="CB157" s="218" t="n"/>
      <c r="CC157" s="218" t="n"/>
      <c r="CD157" s="218" t="n"/>
      <c r="CE157" s="3" t="n"/>
      <c r="CF157" s="218" t="n"/>
      <c r="CG157" s="218" t="n"/>
      <c r="CH157" s="218" t="n"/>
      <c r="CI157" s="218" t="n"/>
      <c r="CJ157" s="3" t="n"/>
      <c r="CK157" s="218" t="n"/>
      <c r="CL157" s="218" t="n"/>
      <c r="CM157" s="218" t="n"/>
      <c r="CN157" s="218" t="n"/>
      <c r="CO157" s="3" t="n"/>
      <c r="CP157" s="218" t="n"/>
      <c r="CQ157" s="218" t="n"/>
      <c r="CR157" s="218" t="n"/>
      <c r="CS157" s="218" t="n"/>
      <c r="CT157" s="3" t="n"/>
      <c r="CU157" s="218" t="n"/>
      <c r="CV157" s="218" t="n"/>
      <c r="CW157" s="218" t="n"/>
      <c r="CX157" s="218" t="n"/>
      <c r="CY157" s="3" t="n"/>
    </row>
    <row r="158" hidden="1" outlineLevel="1">
      <c r="C158" s="52" t="inlineStr">
        <is>
          <t>Outros Créditos - LP</t>
        </is>
      </c>
      <c r="D158" s="6" t="n"/>
      <c r="E158" s="6" t="n"/>
      <c r="F158" s="6" t="n"/>
      <c r="G158" s="6" t="n"/>
      <c r="H158" s="3" t="n"/>
      <c r="I158" s="6" t="n"/>
      <c r="J158" s="6" t="n"/>
      <c r="K158" s="6" t="n"/>
      <c r="L158" s="6" t="n"/>
      <c r="M158" s="3" t="n"/>
      <c r="N158" s="6" t="n"/>
      <c r="O158" s="6" t="n"/>
      <c r="P158" s="6" t="n"/>
      <c r="Q158" s="6" t="n"/>
      <c r="R158" s="3" t="n"/>
      <c r="S158" s="6" t="n"/>
      <c r="T158" s="6" t="n"/>
      <c r="U158" s="6" t="n"/>
      <c r="V158" s="6" t="n"/>
      <c r="W158" s="3" t="n"/>
      <c r="X158" s="6" t="n"/>
      <c r="Y158" s="6" t="n"/>
      <c r="Z158" s="6" t="n"/>
      <c r="AA158" s="6" t="n"/>
      <c r="AB158" s="3" t="n"/>
      <c r="AC158" s="6" t="n"/>
      <c r="AD158" s="6" t="n"/>
      <c r="AE158" s="6" t="n"/>
      <c r="AF158" s="6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  <c r="BZ158" s="3" t="n"/>
      <c r="CA158" s="3" t="n"/>
      <c r="CB158" s="3" t="n"/>
      <c r="CC158" s="3" t="n"/>
      <c r="CD158" s="3" t="n"/>
      <c r="CE158" s="3" t="n"/>
      <c r="CF158" s="3" t="n"/>
      <c r="CG158" s="3" t="n"/>
      <c r="CH158" s="3" t="n"/>
      <c r="CI158" s="3" t="n"/>
      <c r="CJ158" s="3" t="n"/>
      <c r="CK158" s="3" t="n"/>
      <c r="CL158" s="3" t="n"/>
      <c r="CM158" s="3" t="n"/>
      <c r="CN158" s="3" t="n"/>
      <c r="CO158" s="3" t="n"/>
      <c r="CP158" s="3" t="n"/>
      <c r="CQ158" s="3" t="n"/>
      <c r="CR158" s="3" t="n"/>
      <c r="CS158" s="3" t="n"/>
      <c r="CT158" s="3" t="n"/>
      <c r="CU158" s="3" t="n"/>
      <c r="CV158" s="3" t="n"/>
      <c r="CW158" s="3" t="n"/>
      <c r="CX158" s="3" t="n"/>
      <c r="CY158" s="3" t="n"/>
    </row>
    <row r="159" hidden="1" outlineLevel="1">
      <c r="C159" s="52" t="inlineStr">
        <is>
          <t xml:space="preserve">Impostos e Contribuições a Recuperar </t>
        </is>
      </c>
      <c r="D159" s="6" t="n"/>
      <c r="E159" s="6" t="n"/>
      <c r="F159" s="6" t="n"/>
      <c r="G159" s="6" t="n"/>
      <c r="H159" s="3" t="n"/>
      <c r="I159" s="6" t="n"/>
      <c r="J159" s="6" t="n"/>
      <c r="K159" s="6" t="n"/>
      <c r="L159" s="6" t="n"/>
      <c r="M159" s="3" t="n"/>
      <c r="N159" s="6" t="n"/>
      <c r="O159" s="6" t="n"/>
      <c r="P159" s="6" t="n"/>
      <c r="Q159" s="6" t="n"/>
      <c r="R159" s="3" t="n"/>
      <c r="S159" s="6" t="n"/>
      <c r="T159" s="6" t="n"/>
      <c r="U159" s="6" t="n"/>
      <c r="V159" s="6" t="n"/>
      <c r="W159" s="3" t="n"/>
      <c r="X159" s="6" t="n"/>
      <c r="Y159" s="6" t="n"/>
      <c r="Z159" s="6" t="n"/>
      <c r="AA159" s="6" t="n"/>
      <c r="AB159" s="3" t="n"/>
      <c r="AC159" s="6" t="n"/>
      <c r="AD159" s="6" t="n"/>
      <c r="AE159" s="6" t="n"/>
      <c r="AF159" s="6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  <c r="BZ159" s="3" t="n"/>
      <c r="CA159" s="3" t="n"/>
      <c r="CB159" s="3" t="n"/>
      <c r="CC159" s="3" t="n"/>
      <c r="CD159" s="3" t="n"/>
      <c r="CE159" s="3" t="n"/>
      <c r="CF159" s="3" t="n"/>
      <c r="CG159" s="3" t="n"/>
      <c r="CH159" s="3" t="n"/>
      <c r="CI159" s="3" t="n"/>
      <c r="CJ159" s="3" t="n"/>
      <c r="CK159" s="3" t="n"/>
      <c r="CL159" s="3" t="n"/>
      <c r="CM159" s="3" t="n"/>
      <c r="CN159" s="3" t="n"/>
      <c r="CO159" s="3" t="n"/>
      <c r="CP159" s="3" t="n"/>
      <c r="CQ159" s="3" t="n"/>
      <c r="CR159" s="3" t="n"/>
      <c r="CS159" s="3" t="n"/>
      <c r="CT159" s="3" t="n"/>
      <c r="CU159" s="3" t="n"/>
      <c r="CV159" s="3" t="n"/>
      <c r="CW159" s="3" t="n"/>
      <c r="CX159" s="3" t="n"/>
      <c r="CY159" s="3" t="n"/>
    </row>
    <row r="160" hidden="1" outlineLevel="1">
      <c r="C160" s="52" t="inlineStr">
        <is>
          <t xml:space="preserve">Imposto de Renda e Contribuição Social Diferidos </t>
        </is>
      </c>
      <c r="D160" s="6" t="n"/>
      <c r="E160" s="6" t="n"/>
      <c r="F160" s="6" t="n"/>
      <c r="G160" s="6" t="n"/>
      <c r="H160" s="3" t="n"/>
      <c r="I160" s="6" t="n"/>
      <c r="J160" s="6" t="n"/>
      <c r="K160" s="6" t="n"/>
      <c r="L160" s="6" t="n"/>
      <c r="M160" s="3" t="n"/>
      <c r="N160" s="6" t="n"/>
      <c r="O160" s="6" t="n"/>
      <c r="P160" s="6" t="n"/>
      <c r="Q160" s="6" t="n"/>
      <c r="R160" s="3" t="n"/>
      <c r="S160" s="6" t="n"/>
      <c r="T160" s="6" t="n"/>
      <c r="U160" s="6" t="n"/>
      <c r="V160" s="6" t="n"/>
      <c r="W160" s="3" t="n"/>
      <c r="X160" s="6" t="n"/>
      <c r="Y160" s="6" t="n"/>
      <c r="Z160" s="6" t="n"/>
      <c r="AA160" s="6" t="n"/>
      <c r="AB160" s="3" t="n"/>
      <c r="AC160" s="6" t="n"/>
      <c r="AD160" s="6" t="n"/>
      <c r="AE160" s="6" t="n"/>
      <c r="AF160" s="6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hidden="1" outlineLevel="1">
      <c r="C161" s="52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  <c r="BZ161" s="3" t="n"/>
      <c r="CA161" s="3" t="n"/>
      <c r="CB161" s="3" t="n"/>
      <c r="CC161" s="3" t="n"/>
      <c r="CD161" s="3" t="n"/>
      <c r="CE161" s="3" t="n"/>
      <c r="CF161" s="3" t="n"/>
      <c r="CG161" s="3" t="n"/>
      <c r="CH161" s="3" t="n"/>
      <c r="CI161" s="3" t="n"/>
      <c r="CJ161" s="3" t="n"/>
      <c r="CK161" s="3" t="n"/>
      <c r="CL161" s="3" t="n"/>
      <c r="CM161" s="3" t="n"/>
      <c r="CN161" s="3" t="n"/>
      <c r="CO161" s="3" t="n"/>
      <c r="CP161" s="3" t="n"/>
      <c r="CQ161" s="3" t="n"/>
      <c r="CR161" s="3" t="n"/>
      <c r="CS161" s="3" t="n"/>
      <c r="CT161" s="3" t="n"/>
      <c r="CU161" s="3" t="n"/>
      <c r="CV161" s="3" t="n"/>
      <c r="CW161" s="3" t="n"/>
      <c r="CX161" s="3" t="n"/>
      <c r="CY161" s="3" t="n"/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collapsed="1" customFormat="1" s="17">
      <c r="A163" s="13" t="n"/>
      <c r="B163" s="1" t="n"/>
      <c r="C163" s="14" t="inlineStr">
        <is>
          <t>Total Assets</t>
        </is>
      </c>
      <c r="D163" s="16">
        <f>(D110+D111+D115+D119+D120+D121+D127+D132+D142+D145+D146+D155)</f>
        <v>5143.73655800508</v>
      </c>
      <c r="E163" s="16">
        <f>(E110+E111+E115+E119+E120+E121+E127+E132+E142+E145+E146+E155)</f>
        <v>5468.97016587425</v>
      </c>
      <c r="F163" s="16">
        <f>(F110+F111+F115+F119+F120+F121+F127+F132+F142+F145+F146+F155)</f>
        <v>5653.50594051122</v>
      </c>
      <c r="G163" s="16">
        <f>(G110+G111+G115+G119+G120+G121+G127+G132+G142+G145+G146+G155)</f>
        <v>5587.5343595226</v>
      </c>
      <c r="H163" s="16">
        <f>SUM(H110,H111,H115,H119,H120,H121,H127,H142,H145,H146,H155,H132)</f>
        <v>5587.5343595226</v>
      </c>
      <c r="I163" s="16">
        <f>(I110+I111+I115+I119+I120+I121+I127+I132+I142+I145+I146+I155)</f>
        <v>5573.53945350397</v>
      </c>
      <c r="J163" s="16">
        <f>(J110+J111+J115+J119+J120+J121+J127+J132+J142+J145+J146+J155)</f>
        <v>5405.80583362294</v>
      </c>
      <c r="K163" s="16">
        <f>(K110+K111+K115+K119+K120+K121+K127+K132+K142+K145+K146+K155)</f>
        <v>6285.68944722417</v>
      </c>
      <c r="L163" s="16">
        <f>(L110+L111+L115+L119+L120+L121+L127+L132+L142+L145+L146+L155)</f>
        <v>6073.76808559594</v>
      </c>
      <c r="M163" s="16">
        <f>SUM(M110,M111,M115,M119,M120,M121,M127,M142,M145,M146,M155,M132)</f>
        <v>6073.76808559594</v>
      </c>
      <c r="N163" s="16">
        <f>(N110+N111+N115+N119+N120+N121+N127+N132+N142+N145+N146+N155)</f>
        <v>5995.987035997</v>
      </c>
      <c r="O163" s="16">
        <f>(O110+O111+O115+O119+O120+O121+O127+O132+O142+O145+O146+O155)</f>
        <v>6839.71485439051</v>
      </c>
      <c r="P163" s="16">
        <f>(P110+P111+P115+P119+P120+P121+P127+P132+P142+P145+P146+P155)</f>
        <v>7036.07210588</v>
      </c>
      <c r="Q163" s="16">
        <f>(Q110+Q111+Q115+Q119+Q120+Q121+Q127+Q132+Q142+Q145+Q146+Q155)</f>
        <v>7791.77053665673</v>
      </c>
      <c r="R163" s="16">
        <f>SUM(R110,R111,R115,R119,R120,R121,R127,R142,R145,R146,R155,R132)</f>
        <v>7791.77053665673</v>
      </c>
      <c r="S163" s="16">
        <f>(S110+S111+S115+S119+S120+S121+S127+S132+S142+S145+S146+S155)</f>
        <v>7863.87909975</v>
      </c>
      <c r="T163" s="16">
        <f>(T110+T111+T115+T119+T120+T121+T127+T132+T142+T145+T146+T155)</f>
        <v>11509.984</v>
      </c>
      <c r="U163" s="16">
        <f>(U110+U111+U115+U119+U120+U121+U127+U132+U142+U145+U146+U155)</f>
        <v>11533.043</v>
      </c>
      <c r="V163" s="16">
        <f>(V110+V111+V115+V119+V120+V121+V127+V132+V142+V145+V146+V155)</f>
        <v>11579.968</v>
      </c>
      <c r="W163" s="16">
        <f>SUM(W110,W111,W115,W119,W120,W121,W127,W142,W145,W146,W155,W132)</f>
        <v>11579.968</v>
      </c>
      <c r="X163" s="16">
        <f>(X110+X111+X115+X119+X120+X121+X127+X132+X142+X145+X146+X155)</f>
        <v>11686.093</v>
      </c>
      <c r="Y163" s="16">
        <f>(Y110+Y111+Y115+Y119+Y120+Y121+Y127+Y132+Y142+Y145+Y146+Y155)</f>
        <v>12802.394</v>
      </c>
      <c r="Z163" s="16">
        <f>(Z110+Z111+Z115+Z119+Z120+Z121+Z127+Z132+Z142+Z145+Z146+Z155)</f>
        <v>13031.228</v>
      </c>
      <c r="AA163" s="16">
        <f>(AA110+AA111+AA115+AA119+AA120+AA121+AA127+AA132+AA142+AA145+AA146+AA155)</f>
        <v>13062.41</v>
      </c>
      <c r="AB163" s="16">
        <f>SUM(AB110,AB111,AB115,AB119,AB120,AB121,AB127,AB142,AB145,AB146,AB155,AB132)</f>
        <v>13062.41</v>
      </c>
      <c r="AC163" s="16">
        <f>(AC110+AC111+AC115+AC119+AC120+AC121+AC127+AC132+AC142+AC145+AC146+AC155)</f>
        <v>13270.726504</v>
      </c>
      <c r="AD163" s="16">
        <f>(AD110+AD111+AD115+AD119+AD120+AD121+AD127+AD132+AD142+AD145+AD146+AD155)</f>
        <v>13072.446</v>
      </c>
      <c r="AE163" s="16">
        <f>(AE110+AE111+AE115+AE119+AE120+AE121+AE127+AE132+AE142+AE145+AE146+AE155)</f>
        <v>13584.226</v>
      </c>
      <c r="AF163" s="16">
        <f>(AF110+AF111+AF115+AF119+AF120+AF121+AF127+AF132+AF142+AF145+AF146+AF155)</f>
        <v>13220.481</v>
      </c>
      <c r="AG163" s="16">
        <f>SUM(AG110,AG111,AG115,AG119,AG120,AG121,AG127,AG142,AG145,AG146,AG155,AG132)</f>
        <v>13220.481</v>
      </c>
      <c r="AH163" s="16">
        <f>(AH110+AH111+AH115+AH119+AH120+AH121+AH127+AH132+AH142+AH145+AH146+AH155)</f>
        <v>11998.59062359</v>
      </c>
      <c r="AI163" s="16">
        <f>(AI110+AI111+AI115+AI119+AI120+AI121+AI127+AI132+AI142+AI145+AI146+AI155)</f>
        <v>12331.25157422</v>
      </c>
      <c r="AJ163" s="16" t="e">
        <f>(AJ110+AJ111+AJ115+AJ119+AJ120+AJ121+AJ127+AJ132+AJ142+AJ145+AJ146+AJ155)</f>
        <v>#DIV/0!</v>
      </c>
      <c r="AK163" s="16" t="e">
        <f>(AK110+AK111+AK115+AK119+AK120+AK121+AK127+AK132+AK142+AK145+AK146+AK155)</f>
        <v>#DIV/0!</v>
      </c>
      <c r="AL163" s="16" t="e">
        <f>SUM(AL110,AL111,AL115,AL119,AL120,AL121,AL127,AL142,AL145,AL146,AL155,AL132)</f>
        <v>#DIV/0!</v>
      </c>
      <c r="AM163" s="16" t="e">
        <f>(AM110+AM111+AM115+AM119+AM120+AM121+AM127+AM132+AM142+AM145+AM146+AM155)</f>
        <v>#DIV/0!</v>
      </c>
      <c r="AN163" s="16" t="e">
        <f>(AN110+AN111+AN115+AN119+AN120+AN121+AN127+AN132+AN142+AN145+AN146+AN155)</f>
        <v>#DIV/0!</v>
      </c>
      <c r="AO163" s="16" t="e">
        <f>(AO110+AO111+AO115+AO119+AO120+AO121+AO127+AO132+AO142+AO145+AO146+AO155)</f>
        <v>#DIV/0!</v>
      </c>
      <c r="AP163" s="16" t="e">
        <f>(AP110+AP111+AP115+AP119+AP120+AP121+AP127+AP132+AP142+AP145+AP146+AP155)</f>
        <v>#DIV/0!</v>
      </c>
      <c r="AQ163" s="16" t="e">
        <f>SUM(AQ110,AQ111,AQ115,AQ119,AQ120,AQ121,AQ127,AQ142,AQ145,AQ146,AQ155,AQ132)</f>
        <v>#DIV/0!</v>
      </c>
      <c r="AR163" s="16" t="e">
        <f>(AR110+AR111+AR115+AR119+AR120+AR121+AR127+AR132+AR142+AR145+AR146+AR155)</f>
        <v>#DIV/0!</v>
      </c>
      <c r="AS163" s="16" t="e">
        <f>(AS110+AS111+AS115+AS119+AS120+AS121+AS127+AS132+AS142+AS145+AS146+AS155)</f>
        <v>#DIV/0!</v>
      </c>
      <c r="AT163" s="16" t="e">
        <f>(AT110+AT111+AT115+AT119+AT120+AT121+AT127+AT132+AT142+AT145+AT146+AT155)</f>
        <v>#DIV/0!</v>
      </c>
      <c r="AU163" s="16" t="e">
        <f>(AU110+AU111+AU115+AU119+AU120+AU121+AU127+AU132+AU142+AU145+AU146+AU155)</f>
        <v>#DIV/0!</v>
      </c>
      <c r="AV163" s="16" t="e">
        <f>SUM(AV110,AV111,AV115,AV119,AV120,AV121,AV127,AV142,AV145,AV146,AV155,AV132)</f>
        <v>#DIV/0!</v>
      </c>
      <c r="AW163" s="16" t="e">
        <f>(AW110+AW111+AW115+AW119+AW120+AW121+AW127+AW132+AW142+AW145+AW146+AW155)</f>
        <v>#DIV/0!</v>
      </c>
      <c r="AX163" s="16" t="e">
        <f>(AX110+AX111+AX115+AX119+AX120+AX121+AX127+AX132+AX142+AX145+AX146+AX155)</f>
        <v>#DIV/0!</v>
      </c>
      <c r="AY163" s="16" t="e">
        <f>(AY110+AY111+AY115+AY119+AY120+AY121+AY127+AY132+AY142+AY145+AY146+AY155)</f>
        <v>#DIV/0!</v>
      </c>
      <c r="AZ163" s="16" t="e">
        <f>(AZ110+AZ111+AZ115+AZ119+AZ120+AZ121+AZ127+AZ132+AZ142+AZ145+AZ146+AZ155)</f>
        <v>#DIV/0!</v>
      </c>
      <c r="BA163" s="16" t="e">
        <f>SUM(BA110,BA111,BA115,BA119,BA120,BA121,BA127,BA142,BA145,BA146,BA155,BA132)</f>
        <v>#DIV/0!</v>
      </c>
      <c r="BB163" s="16" t="e">
        <f>(BB110+BB111+BB115+BB119+BB120+BB121+BB127+BB132+BB142+BB145+BB146+BB155)</f>
        <v>#DIV/0!</v>
      </c>
      <c r="BC163" s="16" t="e">
        <f>(BC110+BC111+BC115+BC119+BC120+BC121+BC127+BC132+BC142+BC145+BC146+BC155)</f>
        <v>#DIV/0!</v>
      </c>
      <c r="BD163" s="16" t="e">
        <f>(BD110+BD111+BD115+BD119+BD120+BD121+BD127+BD132+BD142+BD145+BD146+BD155)</f>
        <v>#DIV/0!</v>
      </c>
      <c r="BE163" s="16" t="e">
        <f>(BE110+BE111+BE115+BE119+BE120+BE121+BE127+BE132+BE142+BE145+BE146+BE155)</f>
        <v>#DIV/0!</v>
      </c>
      <c r="BF163" s="16" t="e">
        <f>SUM(BF110,BF111,BF115,BF119,BF120,BF121,BF127,BF142,BF145,BF146,BF155,BF132)</f>
        <v>#DIV/0!</v>
      </c>
      <c r="BG163" s="16" t="e">
        <f>(BG110+BG111+BG115+BG119+BG120+BG121+BG127+BG132+BG142+BG145+BG146+BG155)</f>
        <v>#DIV/0!</v>
      </c>
      <c r="BH163" s="16" t="e">
        <f>(BH110+BH111+BH115+BH119+BH120+BH121+BH127+BH132+BH142+BH145+BH146+BH155)</f>
        <v>#DIV/0!</v>
      </c>
      <c r="BI163" s="16" t="e">
        <f>(BI110+BI111+BI115+BI119+BI120+BI121+BI127+BI132+BI142+BI145+BI146+BI155)</f>
        <v>#DIV/0!</v>
      </c>
      <c r="BJ163" s="16" t="e">
        <f>(BJ110+BJ111+BJ115+BJ119+BJ120+BJ121+BJ127+BJ132+BJ142+BJ145+BJ146+BJ155)</f>
        <v>#DIV/0!</v>
      </c>
      <c r="BK163" s="16" t="e">
        <f>SUM(BK110,BK111,BK115,BK119,BK120,BK121,BK127,BK142,BK145,BK146,BK155,BK132)</f>
        <v>#DIV/0!</v>
      </c>
      <c r="BL163" s="16" t="e">
        <f>(BL110+BL111+BL115+BL119+BL120+BL121+BL127+BL132+BL142+BL145+BL146+BL155)</f>
        <v>#DIV/0!</v>
      </c>
      <c r="BM163" s="16" t="e">
        <f>(BM110+BM111+BM115+BM119+BM120+BM121+BM127+BM132+BM142+BM145+BM146+BM155)</f>
        <v>#DIV/0!</v>
      </c>
      <c r="BN163" s="16" t="e">
        <f>(BN110+BN111+BN115+BN119+BN120+BN121+BN127+BN132+BN142+BN145+BN146+BN155)</f>
        <v>#DIV/0!</v>
      </c>
      <c r="BO163" s="16" t="e">
        <f>(BO110+BO111+BO115+BO119+BO120+BO121+BO127+BO132+BO142+BO145+BO146+BO155)</f>
        <v>#DIV/0!</v>
      </c>
      <c r="BP163" s="16" t="e">
        <f>SUM(BP110,BP111,BP115,BP119,BP120,BP121,BP127,BP142,BP145,BP146,BP155,BP132)</f>
        <v>#DIV/0!</v>
      </c>
      <c r="BQ163" s="16" t="e">
        <f>(BQ110+BQ111+BQ115+BQ119+BQ120+BQ121+BQ127+BQ132+BQ142+BQ145+BQ146+BQ155)</f>
        <v>#DIV/0!</v>
      </c>
      <c r="BR163" s="16" t="e">
        <f>(BR110+BR111+BR115+BR119+BR120+BR121+BR127+BR132+BR142+BR145+BR146+BR155)</f>
        <v>#DIV/0!</v>
      </c>
      <c r="BS163" s="16" t="e">
        <f>(BS110+BS111+BS115+BS119+BS120+BS121+BS127+BS132+BS142+BS145+BS146+BS155)</f>
        <v>#DIV/0!</v>
      </c>
      <c r="BT163" s="16" t="e">
        <f>(BT110+BT111+BT115+BT119+BT120+BT121+BT127+BT132+BT142+BT145+BT146+BT155)</f>
        <v>#DIV/0!</v>
      </c>
      <c r="BU163" s="16" t="e">
        <f>SUM(BU110,BU111,BU115,BU119,BU120,BU121,BU127,BU142,BU145,BU146,BU155,BU132)</f>
        <v>#DIV/0!</v>
      </c>
      <c r="BV163" s="16" t="e">
        <f>(BV110+BV111+BV115+BV119+BV120+BV121+BV127+BV132+BV142+BV145+BV146+BV155)</f>
        <v>#DIV/0!</v>
      </c>
      <c r="BW163" s="16" t="e">
        <f>(BW110+BW111+BW115+BW119+BW120+BW121+BW127+BW132+BW142+BW145+BW146+BW155)</f>
        <v>#DIV/0!</v>
      </c>
      <c r="BX163" s="16" t="e">
        <f>(BX110+BX111+BX115+BX119+BX120+BX121+BX127+BX132+BX142+BX145+BX146+BX155)</f>
        <v>#DIV/0!</v>
      </c>
      <c r="BY163" s="16" t="e">
        <f>(BY110+BY111+BY115+BY119+BY120+BY121+BY127+BY132+BY142+BY145+BY146+BY155)</f>
        <v>#DIV/0!</v>
      </c>
      <c r="BZ163" s="16" t="e">
        <f>SUM(BZ110,BZ111,BZ115,BZ119,BZ120,BZ121,BZ127,BZ142,BZ145,BZ146,BZ155,BZ132)</f>
        <v>#DIV/0!</v>
      </c>
      <c r="CA163" s="16" t="e">
        <f>(CA110+CA111+CA115+CA119+CA120+CA121+CA127+CA132+CA142+CA145+CA146+CA155)</f>
        <v>#DIV/0!</v>
      </c>
      <c r="CB163" s="16" t="e">
        <f>(CB110+CB111+CB115+CB119+CB120+CB121+CB127+CB132+CB142+CB145+CB146+CB155)</f>
        <v>#DIV/0!</v>
      </c>
      <c r="CC163" s="16" t="e">
        <f>(CC110+CC111+CC115+CC119+CC120+CC121+CC127+CC132+CC142+CC145+CC146+CC155)</f>
        <v>#DIV/0!</v>
      </c>
      <c r="CD163" s="16" t="e">
        <f>(CD110+CD111+CD115+CD119+CD120+CD121+CD127+CD132+CD142+CD145+CD146+CD155)</f>
        <v>#DIV/0!</v>
      </c>
      <c r="CE163" s="16" t="e">
        <f>SUM(CE110,CE111,CE115,CE119,CE120,CE121,CE127,CE142,CE145,CE146,CE155,CE132)</f>
        <v>#DIV/0!</v>
      </c>
      <c r="CF163" s="16" t="e">
        <f>(CF110+CF111+CF115+CF119+CF120+CF121+CF127+CF132+CF142+CF145+CF146+CF155)</f>
        <v>#DIV/0!</v>
      </c>
      <c r="CG163" s="16" t="e">
        <f>(CG110+CG111+CG115+CG119+CG120+CG121+CG127+CG132+CG142+CG145+CG146+CG155)</f>
        <v>#DIV/0!</v>
      </c>
      <c r="CH163" s="16" t="e">
        <f>(CH110+CH111+CH115+CH119+CH120+CH121+CH127+CH132+CH142+CH145+CH146+CH155)</f>
        <v>#DIV/0!</v>
      </c>
      <c r="CI163" s="16" t="e">
        <f>(CI110+CI111+CI115+CI119+CI120+CI121+CI127+CI132+CI142+CI145+CI146+CI155)</f>
        <v>#DIV/0!</v>
      </c>
      <c r="CJ163" s="16" t="e">
        <f>SUM(CJ110,CJ111,CJ115,CJ119,CJ120,CJ121,CJ127,CJ142,CJ145,CJ146,CJ155,CJ132)</f>
        <v>#DIV/0!</v>
      </c>
      <c r="CK163" s="16" t="e">
        <f>(CK110+CK111+CK115+CK119+CK120+CK121+CK127+CK132+CK142+CK145+CK146+CK155)</f>
        <v>#DIV/0!</v>
      </c>
      <c r="CL163" s="16" t="e">
        <f>(CL110+CL111+CL115+CL119+CL120+CL121+CL127+CL132+CL142+CL145+CL146+CL155)</f>
        <v>#DIV/0!</v>
      </c>
      <c r="CM163" s="16" t="e">
        <f>(CM110+CM111+CM115+CM119+CM120+CM121+CM127+CM132+CM142+CM145+CM146+CM155)</f>
        <v>#DIV/0!</v>
      </c>
      <c r="CN163" s="16" t="e">
        <f>(CN110+CN111+CN115+CN119+CN120+CN121+CN127+CN132+CN142+CN145+CN146+CN155)</f>
        <v>#DIV/0!</v>
      </c>
      <c r="CO163" s="16" t="e">
        <f>SUM(CO110,CO111,CO115,CO119,CO120,CO121,CO127,CO142,CO145,CO146,CO155,CO132)</f>
        <v>#DIV/0!</v>
      </c>
      <c r="CP163" s="16" t="e">
        <f>(CP110+CP111+CP115+CP119+CP120+CP121+CP127+CP132+CP142+CP145+CP146+CP155)</f>
        <v>#DIV/0!</v>
      </c>
      <c r="CQ163" s="16" t="e">
        <f>(CQ110+CQ111+CQ115+CQ119+CQ120+CQ121+CQ127+CQ132+CQ142+CQ145+CQ146+CQ155)</f>
        <v>#DIV/0!</v>
      </c>
      <c r="CR163" s="16" t="e">
        <f>(CR110+CR111+CR115+CR119+CR120+CR121+CR127+CR132+CR142+CR145+CR146+CR155)</f>
        <v>#DIV/0!</v>
      </c>
      <c r="CS163" s="16" t="e">
        <f>(CS110+CS111+CS115+CS119+CS120+CS121+CS127+CS132+CS142+CS145+CS146+CS155)</f>
        <v>#DIV/0!</v>
      </c>
      <c r="CT163" s="16" t="e">
        <f>SUM(CT110,CT111,CT115,CT119,CT120,CT121,CT127,CT142,CT145,CT146,CT155,CT132)</f>
        <v>#DIV/0!</v>
      </c>
      <c r="CU163" s="16" t="e">
        <f>(CU110+CU111+CU115+CU119+CU120+CU121+CU127+CU132+CU142+CU145+CU146+CU155)</f>
        <v>#DIV/0!</v>
      </c>
      <c r="CV163" s="16" t="e">
        <f>(CV110+CV111+CV115+CV119+CV120+CV121+CV127+CV132+CV142+CV145+CV146+CV155)</f>
        <v>#DIV/0!</v>
      </c>
      <c r="CW163" s="16" t="e">
        <f>(CW110+CW111+CW115+CW119+CW120+CW121+CW127+CW132+CW142+CW145+CW146+CW155)</f>
        <v>#DIV/0!</v>
      </c>
      <c r="CX163" s="16" t="e">
        <f>(CX110+CX111+CX115+CX119+CX120+CX121+CX127+CX132+CX142+CX145+CX146+CX155)</f>
        <v>#DIV/0!</v>
      </c>
      <c r="CY163" s="16" t="e">
        <f>SUM(CY110,CY111,CY115,CY119,CY120,CY121,CY127,CY142,CY145,CY146,CY155,CY132)</f>
        <v>#DIV/0!</v>
      </c>
    </row>
    <row r="164">
      <c r="C164" s="26" t="inlineStr">
        <is>
          <t>Accounts payable</t>
        </is>
      </c>
      <c r="D164" s="25">
        <f>INDEX('Inputs (2)'!$D$28:$AL$28,MATCH(D$7,'Inputs (2)'!$D$2:$AL$2,0))</f>
        <v>178.57823267</v>
      </c>
      <c r="E164" s="25">
        <f>INDEX('Inputs (2)'!$D$28:$AL$28,MATCH(E$7,'Inputs (2)'!$D$2:$AL$2,0))</f>
        <v>162.59514476</v>
      </c>
      <c r="F164" s="25">
        <f>INDEX('Inputs (2)'!$D$28:$AL$28,MATCH(F$7,'Inputs (2)'!$D$2:$AL$2,0))</f>
        <v>196.96674689</v>
      </c>
      <c r="G164" s="25">
        <f>INDEX('Inputs (2)'!$D$28:$AL$28,MATCH(G$7,'Inputs (2)'!$D$2:$AL$2,0))</f>
        <v>250.45905831</v>
      </c>
      <c r="H164" s="3">
        <f>G164</f>
        <v>250.45905831</v>
      </c>
      <c r="I164" s="25">
        <f>INDEX('Inputs (2)'!$D$28:$AL$28,MATCH(I$7,'Inputs (2)'!$D$2:$AL$2,0))</f>
        <v>217.45823862</v>
      </c>
      <c r="J164" s="25">
        <f>INDEX('Inputs (2)'!$D$28:$AL$28,MATCH(J$7,'Inputs (2)'!$D$2:$AL$2,0))</f>
        <v>271.93653186</v>
      </c>
      <c r="K164" s="25">
        <f>INDEX('Inputs (2)'!$D$28:$AL$28,MATCH(K$7,'Inputs (2)'!$D$2:$AL$2,0))</f>
        <v>290.60493982</v>
      </c>
      <c r="L164" s="25">
        <f>INDEX('Inputs (2)'!$D$28:$AL$28,MATCH(L$7,'Inputs (2)'!$D$2:$AL$2,0))</f>
        <v>356.88085195</v>
      </c>
      <c r="M164" s="3">
        <f>L164</f>
        <v>356.88085195</v>
      </c>
      <c r="N164" s="25">
        <f>INDEX('Inputs (2)'!$D$28:$AL$28,MATCH(N$7,'Inputs (2)'!$D$2:$AL$2,0))</f>
        <v>306.31845786</v>
      </c>
      <c r="O164" s="25">
        <f>INDEX('Inputs (2)'!$D$28:$AL$28,MATCH(O$7,'Inputs (2)'!$D$2:$AL$2,0))</f>
        <v>302.67521001</v>
      </c>
      <c r="P164" s="25">
        <f>INDEX('Inputs (2)'!$D$28:$AL$28,MATCH(P$7,'Inputs (2)'!$D$2:$AL$2,0))</f>
        <v>297.71210255</v>
      </c>
      <c r="Q164" s="25">
        <f>INDEX('Inputs (2)'!$D$28:$AL$28,MATCH(Q$7,'Inputs (2)'!$D$2:$AL$2,0))</f>
        <v>364.26789641</v>
      </c>
      <c r="R164" s="3">
        <f>Q164</f>
        <v>364.26789641</v>
      </c>
      <c r="S164" s="25">
        <f>INDEX('Inputs (2)'!$D$28:$AL$28,MATCH(S$7,'Inputs (2)'!$D$2:$AL$2,0))</f>
        <v>359.71789864</v>
      </c>
      <c r="T164" s="25">
        <f>INDEX('Inputs (2)'!$D$28:$AL$28,MATCH(T$7,'Inputs (2)'!$D$2:$AL$2,0))</f>
        <v>591.27</v>
      </c>
      <c r="U164" s="25">
        <f>INDEX('Inputs (2)'!$D$28:$AL$28,MATCH(U$7,'Inputs (2)'!$D$2:$AL$2,0))</f>
        <v>575.225</v>
      </c>
      <c r="V164" s="25">
        <f>INDEX('Inputs (2)'!$D$28:$AL$28,MATCH(V$7,'Inputs (2)'!$D$2:$AL$2,0))</f>
        <v>620.413</v>
      </c>
      <c r="W164" s="3">
        <f>V164</f>
        <v>620.413</v>
      </c>
      <c r="X164" s="25">
        <f>INDEX('Inputs (2)'!$D$28:$AL$28,MATCH(X$7,'Inputs (2)'!$D$2:$AL$2,0))</f>
        <v>632.446</v>
      </c>
      <c r="Y164" s="25">
        <f>INDEX('Inputs (2)'!$D$28:$AL$28,MATCH(Y$7,'Inputs (2)'!$D$2:$AL$2,0))</f>
        <v>676.475</v>
      </c>
      <c r="Z164" s="25">
        <f>INDEX('Inputs (2)'!$D$28:$AL$28,MATCH(Z$7,'Inputs (2)'!$D$2:$AL$2,0))</f>
        <v>647.545</v>
      </c>
      <c r="AA164" s="25">
        <f>INDEX('Inputs (2)'!$D$28:$AL$28,MATCH(AA$7,'Inputs (2)'!$D$2:$AL$2,0))</f>
        <v>704.009</v>
      </c>
      <c r="AB164" s="3">
        <f>AA164</f>
        <v>704.009</v>
      </c>
      <c r="AC164" s="25">
        <f>INDEX('Inputs (2)'!$D$28:$AL$28,MATCH(AC$7,'Inputs (2)'!$D$2:$AL$2,0))</f>
        <v>674.716396</v>
      </c>
      <c r="AD164" s="25">
        <f>INDEX('Inputs (2)'!$D$28:$AL$28,MATCH(AD$7,'Inputs (2)'!$D$2:$AL$2,0))</f>
        <v>652.937</v>
      </c>
      <c r="AE164" s="25">
        <f>INDEX('Inputs (2)'!$D$28:$AL$28,MATCH(AE$7,'Inputs (2)'!$D$2:$AL$2,0))</f>
        <v>721.344</v>
      </c>
      <c r="AF164" s="25">
        <f>INDEX('Inputs (2)'!$D$28:$AL$28,MATCH(AF$7,'Inputs (2)'!$D$2:$AL$2,0))</f>
        <v>800.133</v>
      </c>
      <c r="AG164" s="3">
        <f>AF164</f>
        <v>800.133</v>
      </c>
      <c r="AH164" s="3">
        <f>(AH165/(AH$5-AG$5))*-AH20</f>
        <v>0</v>
      </c>
      <c r="AI164" s="3">
        <f>(AI165/(AI$5-AH$5))*-AI20</f>
        <v>0</v>
      </c>
      <c r="AJ164" s="3">
        <f>(AJ165/(AJ$5-AI$5))*-AJ20</f>
        <v>0</v>
      </c>
      <c r="AK164" s="3">
        <f>(AK165/(AK$5-AJ$5))*-AK20</f>
        <v>0</v>
      </c>
      <c r="AL164" s="3">
        <f>AK164</f>
        <v>0</v>
      </c>
      <c r="AM164" s="3">
        <f>(AM165/(AM$5-AL$5))*-AM20</f>
        <v>0</v>
      </c>
      <c r="AN164" s="3">
        <f>(AN165/(AN$5-AM$5))*-AN20</f>
        <v>0</v>
      </c>
      <c r="AO164" s="3">
        <f>(AO165/(AO$5-AN$5))*-AO20</f>
        <v>0</v>
      </c>
      <c r="AP164" s="3">
        <f>(AP165/(AP$5-AO$5))*-AP20</f>
        <v>0</v>
      </c>
      <c r="AQ164" s="3">
        <f>AP164</f>
        <v>0</v>
      </c>
      <c r="AR164" s="3">
        <f>(AR165/(AR$5-AQ$5))*-AR20</f>
        <v>0</v>
      </c>
      <c r="AS164" s="3">
        <f>(AS165/(AS$5-AR$5))*-AS20</f>
        <v>0</v>
      </c>
      <c r="AT164" s="3">
        <f>(AT165/(AT$5-AS$5))*-AT20</f>
        <v>0</v>
      </c>
      <c r="AU164" s="3">
        <f>(AU165/(AU$5-AT$5))*-AU20</f>
        <v>0</v>
      </c>
      <c r="AV164" s="3">
        <f>AU164</f>
        <v>0</v>
      </c>
      <c r="AW164" s="3">
        <f>(AW165/(AW$5-AV$5))*-AW20</f>
        <v>0</v>
      </c>
      <c r="AX164" s="3">
        <f>(AX165/(AX$5-AW$5))*-AX20</f>
        <v>0</v>
      </c>
      <c r="AY164" s="3">
        <f>(AY165/(AY$5-AX$5))*-AY20</f>
        <v>0</v>
      </c>
      <c r="AZ164" s="3">
        <f>(AZ165/(AZ$5-AY$5))*-AZ20</f>
        <v>0</v>
      </c>
      <c r="BA164" s="3">
        <f>AZ164</f>
        <v>0</v>
      </c>
      <c r="BB164" s="3">
        <f>(BB165/(BB$5-BA$5))*-BB20</f>
        <v>0</v>
      </c>
      <c r="BC164" s="3">
        <f>(BC165/(BC$5-BB$5))*-BC20</f>
        <v>0</v>
      </c>
      <c r="BD164" s="3">
        <f>(BD165/(BD$5-BC$5))*-BD20</f>
        <v>0</v>
      </c>
      <c r="BE164" s="3">
        <f>(BE165/(BE$5-BD$5))*-BE20</f>
        <v>0</v>
      </c>
      <c r="BF164" s="3">
        <f>BE164</f>
        <v>0</v>
      </c>
      <c r="BG164" s="3">
        <f>(BG165/(BG$5-BF$5))*-BG20</f>
        <v>0</v>
      </c>
      <c r="BH164" s="3">
        <f>(BH165/(BH$5-BG$5))*-BH20</f>
        <v>0</v>
      </c>
      <c r="BI164" s="3">
        <f>(BI165/(BI$5-BH$5))*-BI20</f>
        <v>0</v>
      </c>
      <c r="BJ164" s="3">
        <f>(BJ165/(BJ$5-BI$5))*-BJ20</f>
        <v>0</v>
      </c>
      <c r="BK164" s="3">
        <f>BJ164</f>
        <v>0</v>
      </c>
      <c r="BL164" s="3">
        <f>(BL165/(BL$5-BK$5))*-BL20</f>
        <v>0</v>
      </c>
      <c r="BM164" s="3">
        <f>(BM165/(BM$5-BL$5))*-BM20</f>
        <v>0</v>
      </c>
      <c r="BN164" s="3">
        <f>(BN165/(BN$5-BM$5))*-BN20</f>
        <v>0</v>
      </c>
      <c r="BO164" s="3">
        <f>(BO165/(BO$5-BN$5))*-BO20</f>
        <v>0</v>
      </c>
      <c r="BP164" s="3">
        <f>BO164</f>
        <v>0</v>
      </c>
      <c r="BQ164" s="3">
        <f>(BQ165/(BQ$5-BP$5))*-BQ20</f>
        <v>0</v>
      </c>
      <c r="BR164" s="3">
        <f>(BR165/(BR$5-BQ$5))*-BR20</f>
        <v>0</v>
      </c>
      <c r="BS164" s="3">
        <f>(BS165/(BS$5-BR$5))*-BS20</f>
        <v>0</v>
      </c>
      <c r="BT164" s="3">
        <f>(BT165/(BT$5-BS$5))*-BT20</f>
        <v>0</v>
      </c>
      <c r="BU164" s="3">
        <f>BT164</f>
        <v>0</v>
      </c>
      <c r="BV164" s="3">
        <f>(BV165/(BV$5-BU$5))*-BV20</f>
        <v>0</v>
      </c>
      <c r="BW164" s="3">
        <f>(BW165/(BW$5-BV$5))*-BW20</f>
        <v>0</v>
      </c>
      <c r="BX164" s="3">
        <f>(BX165/(BX$5-BW$5))*-BX20</f>
        <v>0</v>
      </c>
      <c r="BY164" s="3">
        <f>(BY165/(BY$5-BX$5))*-BY20</f>
        <v>0</v>
      </c>
      <c r="BZ164" s="3">
        <f>BY164</f>
        <v>0</v>
      </c>
      <c r="CA164" s="3">
        <f>(CA165/(CA$5-BZ$5))*-CA20</f>
        <v>0</v>
      </c>
      <c r="CB164" s="3">
        <f>(CB165/(CB$5-CA$5))*-CB20</f>
        <v>0</v>
      </c>
      <c r="CC164" s="3">
        <f>(CC165/(CC$5-CB$5))*-CC20</f>
        <v>0</v>
      </c>
      <c r="CD164" s="3">
        <f>(CD165/(CD$5-CC$5))*-CD20</f>
        <v>0</v>
      </c>
      <c r="CE164" s="3">
        <f>CD164</f>
        <v>0</v>
      </c>
      <c r="CF164" s="3">
        <f>(CF165/(CF$5-CE$5))*-CF20</f>
        <v>0</v>
      </c>
      <c r="CG164" s="3">
        <f>(CG165/(CG$5-CF$5))*-CG20</f>
        <v>0</v>
      </c>
      <c r="CH164" s="3">
        <f>(CH165/(CH$5-CG$5))*-CH20</f>
        <v>0</v>
      </c>
      <c r="CI164" s="3">
        <f>(CI165/(CI$5-CH$5))*-CI20</f>
        <v>0</v>
      </c>
      <c r="CJ164" s="3">
        <f>CI164</f>
        <v>0</v>
      </c>
      <c r="CK164" s="3">
        <f>(CK165/(CK$5-CJ$5))*-CK20</f>
        <v>0</v>
      </c>
      <c r="CL164" s="3">
        <f>(CL165/(CL$5-CK$5))*-CL20</f>
        <v>0</v>
      </c>
      <c r="CM164" s="3">
        <f>(CM165/(CM$5-CL$5))*-CM20</f>
        <v>0</v>
      </c>
      <c r="CN164" s="3">
        <f>(CN165/(CN$5-CM$5))*-CN20</f>
        <v>0</v>
      </c>
      <c r="CO164" s="3">
        <f>CN164</f>
        <v>0</v>
      </c>
      <c r="CP164" s="3">
        <f>(CP165/(CP$5-CO$5))*-CP20</f>
        <v>0</v>
      </c>
      <c r="CQ164" s="3">
        <f>(CQ165/(CQ$5-CP$5))*-CQ20</f>
        <v>0</v>
      </c>
      <c r="CR164" s="3">
        <f>(CR165/(CR$5-CQ$5))*-CR20</f>
        <v>0</v>
      </c>
      <c r="CS164" s="3">
        <f>(CS165/(CS$5-CR$5))*-CS20</f>
        <v>0</v>
      </c>
      <c r="CT164" s="3">
        <f>CS164</f>
        <v>0</v>
      </c>
      <c r="CU164" s="3">
        <f>(CU165/(CU$5-CT$5))*-CU20</f>
        <v>0</v>
      </c>
      <c r="CV164" s="3">
        <f>(CV165/(CV$5-CU$5))*-CV20</f>
        <v>0</v>
      </c>
      <c r="CW164" s="3">
        <f>(CW165/(CW$5-CV$5))*-CW20</f>
        <v>0</v>
      </c>
      <c r="CX164" s="3">
        <f>(CX165/(CX$5-CW$5))*-CX20</f>
        <v>0</v>
      </c>
      <c r="CY164" s="3">
        <f>CX164</f>
        <v>0</v>
      </c>
    </row>
    <row r="165" hidden="1" outlineLevel="1">
      <c r="C165" s="34" t="inlineStr">
        <is>
          <t>DPO</t>
        </is>
      </c>
      <c r="D165" s="3" t="n"/>
      <c r="E165" s="3">
        <f>-(E164/E$20)*(E$5-D$5)</f>
        <v>38.6037099685032</v>
      </c>
      <c r="F165" s="3">
        <f>-(F164/F$20)*(F$5-E$5)</f>
        <v>37.0533353372812</v>
      </c>
      <c r="G165" s="3">
        <f>-(G164/G$20)*(G$5-F$5)</f>
        <v>42.7848634939204</v>
      </c>
      <c r="H165" s="3" t="n"/>
      <c r="I165" s="3">
        <f>-(I164/I$20)*(I$5-H$5)</f>
        <v>36.603630413076</v>
      </c>
      <c r="J165" s="3">
        <f>-(J164/J$20)*(J$5-I$5)</f>
        <v>41.3225181676776</v>
      </c>
      <c r="K165" s="3">
        <f>-(K164/K$20)*(K$5-J$5)</f>
        <v>41.9668065260994</v>
      </c>
      <c r="L165" s="3">
        <f>-(L164/L$20)*(L$5-K$5)</f>
        <v>50.4983991871982</v>
      </c>
      <c r="M165" s="3" t="n"/>
      <c r="N165" s="3">
        <f>-(N164/N$20)*(N$5-M$5)</f>
        <v>40.9615383816052</v>
      </c>
      <c r="O165" s="3">
        <f>-(O164/O$20)*(O$5-N$5)</f>
        <v>38.630947900534</v>
      </c>
      <c r="P165" s="3">
        <f>-(P164/P$20)*(P$5-O$5)</f>
        <v>38.4460899856951</v>
      </c>
      <c r="Q165" s="3">
        <f>-(Q164/Q$20)*(Q$5-P$5)</f>
        <v>44.1571535657067</v>
      </c>
      <c r="R165" s="3" t="n"/>
      <c r="S165" s="3">
        <f>-(S164/S$20)*(S$5-R$5)</f>
        <v>41.696612269336</v>
      </c>
      <c r="T165" s="3">
        <f>-(T164/T$20)*(T$5-S$5)</f>
        <v>50.0433602218793</v>
      </c>
      <c r="U165" s="3">
        <f>-(U164/U$20)*(U$5-T$5)</f>
        <v>44.1717158204952</v>
      </c>
      <c r="V165" s="3">
        <f>-(V164/V$20)*(V$5-U$5)</f>
        <v>49.3041598174265</v>
      </c>
      <c r="W165" s="3" t="n"/>
      <c r="X165" s="3">
        <f>-(X164/X$20)*(X$5-W$5)</f>
        <v>48.2786446012556</v>
      </c>
      <c r="Y165" s="3">
        <f>-(Y164/Y$20)*(Y$5-X$5)</f>
        <v>48.8240171822096</v>
      </c>
      <c r="Z165" s="3">
        <f>-(Z164/Z$20)*(Z$5-Y$5)</f>
        <v>47.5875879873854</v>
      </c>
      <c r="AA165" s="3">
        <f>-(AA164/AA$20)*(AA$5-Z$5)</f>
        <v>52.5982289903751</v>
      </c>
      <c r="AB165" s="3" t="n"/>
      <c r="AC165" s="3">
        <f>-(AC164/AC$20)*(AC$5-AB$5)</f>
        <v>47.3639561588104</v>
      </c>
      <c r="AD165" s="3">
        <f>-(AD164/AD$20)*(AD$5-AC$5)</f>
        <v>44.7919716007949</v>
      </c>
      <c r="AE165" s="3">
        <f>-(AE164/AE$20)*(AE$5-AD$5)</f>
        <v>47.4125962256333</v>
      </c>
      <c r="AF165" s="6">
        <f>-(AF164/AF$20)*(AF$5-AE$5)</f>
        <v>52.8043229222335</v>
      </c>
      <c r="AG165" s="3" t="n"/>
      <c r="AH165" s="6" t="n"/>
      <c r="AI165" s="6" t="n"/>
      <c r="AJ165" s="6" t="n"/>
      <c r="AK165" s="6" t="n"/>
      <c r="AL165" s="3" t="n"/>
      <c r="AM165" s="6" t="n"/>
      <c r="AN165" s="6" t="n"/>
      <c r="AO165" s="6" t="n"/>
      <c r="AP165" s="6" t="n"/>
      <c r="AQ165" s="3" t="n"/>
      <c r="AR165" s="6" t="n"/>
      <c r="AS165" s="6" t="n"/>
      <c r="AT165" s="6" t="n"/>
      <c r="AU165" s="6" t="n"/>
      <c r="AV165" s="3" t="n"/>
      <c r="AW165" s="6" t="n"/>
      <c r="AX165" s="6" t="n"/>
      <c r="AY165" s="6" t="n"/>
      <c r="AZ165" s="6" t="n"/>
      <c r="BA165" s="3" t="n"/>
      <c r="BB165" s="6" t="n"/>
      <c r="BC165" s="6" t="n"/>
      <c r="BD165" s="6" t="n"/>
      <c r="BE165" s="6" t="n"/>
      <c r="BF165" s="3" t="n"/>
      <c r="BG165" s="6" t="n"/>
      <c r="BH165" s="6" t="n"/>
      <c r="BI165" s="6" t="n"/>
      <c r="BJ165" s="6" t="n"/>
      <c r="BK165" s="3" t="n"/>
      <c r="BL165" s="6" t="n"/>
      <c r="BM165" s="6" t="n"/>
      <c r="BN165" s="6" t="n"/>
      <c r="BO165" s="6" t="n"/>
      <c r="BP165" s="3" t="n"/>
      <c r="BQ165" s="6" t="n"/>
      <c r="BR165" s="6" t="n"/>
      <c r="BS165" s="6" t="n"/>
      <c r="BT165" s="6" t="n"/>
      <c r="BU165" s="3" t="n"/>
      <c r="BV165" s="6" t="n"/>
      <c r="BW165" s="6" t="n"/>
      <c r="BX165" s="6" t="n"/>
      <c r="BY165" s="6" t="n"/>
      <c r="BZ165" s="3" t="n"/>
      <c r="CA165" s="6" t="n"/>
      <c r="CB165" s="6" t="n"/>
      <c r="CC165" s="6" t="n"/>
      <c r="CD165" s="6" t="n"/>
      <c r="CE165" s="3" t="n"/>
      <c r="CF165" s="6" t="n"/>
      <c r="CG165" s="6" t="n"/>
      <c r="CH165" s="6" t="n"/>
      <c r="CI165" s="6" t="n"/>
      <c r="CJ165" s="3" t="n"/>
      <c r="CK165" s="6" t="n"/>
      <c r="CL165" s="6" t="n"/>
      <c r="CM165" s="6" t="n"/>
      <c r="CN165" s="6" t="n"/>
      <c r="CO165" s="3" t="n"/>
      <c r="CP165" s="6" t="n"/>
      <c r="CQ165" s="6" t="n"/>
      <c r="CR165" s="6" t="n"/>
      <c r="CS165" s="6" t="n"/>
      <c r="CT165" s="3" t="n"/>
      <c r="CU165" s="6" t="n"/>
      <c r="CV165" s="6" t="n"/>
      <c r="CW165" s="6" t="n"/>
      <c r="CX165" s="6" t="n"/>
      <c r="CY165" s="3" t="n"/>
    </row>
    <row r="166" hidden="1" outlineLevel="1">
      <c r="C166" s="34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  <c r="BZ166" s="3" t="n"/>
      <c r="CA166" s="3" t="n"/>
      <c r="CB166" s="3" t="n"/>
      <c r="CC166" s="3" t="n"/>
      <c r="CD166" s="3" t="n"/>
      <c r="CE166" s="3" t="n"/>
      <c r="CF166" s="3" t="n"/>
      <c r="CG166" s="3" t="n"/>
      <c r="CH166" s="3" t="n"/>
      <c r="CI166" s="3" t="n"/>
      <c r="CJ166" s="3" t="n"/>
      <c r="CK166" s="3" t="n"/>
      <c r="CL166" s="3" t="n"/>
      <c r="CM166" s="3" t="n"/>
      <c r="CN166" s="3" t="n"/>
      <c r="CO166" s="3" t="n"/>
      <c r="CP166" s="3" t="n"/>
      <c r="CQ166" s="3" t="n"/>
      <c r="CR166" s="3" t="n"/>
      <c r="CS166" s="3" t="n"/>
      <c r="CT166" s="3" t="n"/>
      <c r="CU166" s="3" t="n"/>
      <c r="CV166" s="3" t="n"/>
      <c r="CW166" s="3" t="n"/>
      <c r="CX166" s="3" t="n"/>
      <c r="CY166" s="3" t="n"/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collapsed="1">
      <c r="C168" s="26" t="inlineStr">
        <is>
          <t>Accrued expenses</t>
        </is>
      </c>
      <c r="D168" s="25">
        <f>INDEX('Inputs (2)'!$D$29:$AL$29,MATCH(D$7,'Inputs (2)'!$D$2:$AL$2,0))</f>
        <v>108.91141814</v>
      </c>
      <c r="E168" s="25">
        <f>INDEX('Inputs (2)'!$D$29:$AL$29,MATCH(E$7,'Inputs (2)'!$D$2:$AL$2,0))</f>
        <v>128.82923871</v>
      </c>
      <c r="F168" s="25">
        <f>INDEX('Inputs (2)'!$D$29:$AL$29,MATCH(F$7,'Inputs (2)'!$D$2:$AL$2,0))</f>
        <v>148.59254415</v>
      </c>
      <c r="G168" s="25">
        <f>INDEX('Inputs (2)'!$D$29:$AL$29,MATCH(G$7,'Inputs (2)'!$D$2:$AL$2,0))</f>
        <v>138.77407439</v>
      </c>
      <c r="H168" s="3">
        <f>G168</f>
        <v>138.77407439</v>
      </c>
      <c r="I168" s="25">
        <f>INDEX('Inputs (2)'!$D$29:$AL$29,MATCH(I$7,'Inputs (2)'!$D$2:$AL$2,0))</f>
        <v>129.77137318</v>
      </c>
      <c r="J168" s="25">
        <f>INDEX('Inputs (2)'!$D$29:$AL$29,MATCH(J$7,'Inputs (2)'!$D$2:$AL$2,0))</f>
        <v>179.05014977</v>
      </c>
      <c r="K168" s="25">
        <f>INDEX('Inputs (2)'!$D$29:$AL$29,MATCH(K$7,'Inputs (2)'!$D$2:$AL$2,0))</f>
        <v>218.24255644</v>
      </c>
      <c r="L168" s="25">
        <f>INDEX('Inputs (2)'!$D$29:$AL$29,MATCH(L$7,'Inputs (2)'!$D$2:$AL$2,0))</f>
        <v>202.16819922</v>
      </c>
      <c r="M168" s="3">
        <f>L168</f>
        <v>202.16819922</v>
      </c>
      <c r="N168" s="25">
        <f>INDEX('Inputs (2)'!$D$29:$AL$29,MATCH(N$7,'Inputs (2)'!$D$2:$AL$2,0))</f>
        <v>172.71857732</v>
      </c>
      <c r="O168" s="25">
        <f>INDEX('Inputs (2)'!$D$29:$AL$29,MATCH(O$7,'Inputs (2)'!$D$2:$AL$2,0))</f>
        <v>210.8868834</v>
      </c>
      <c r="P168" s="25">
        <f>INDEX('Inputs (2)'!$D$29:$AL$29,MATCH(P$7,'Inputs (2)'!$D$2:$AL$2,0))</f>
        <v>241.1555246</v>
      </c>
      <c r="Q168" s="25">
        <f>INDEX('Inputs (2)'!$D$29:$AL$29,MATCH(Q$7,'Inputs (2)'!$D$2:$AL$2,0))</f>
        <v>227.60029686</v>
      </c>
      <c r="R168" s="3">
        <f>Q168</f>
        <v>227.60029686</v>
      </c>
      <c r="S168" s="25">
        <f>INDEX('Inputs (2)'!$D$29:$AL$29,MATCH(S$7,'Inputs (2)'!$D$2:$AL$2,0))</f>
        <v>191.55423713</v>
      </c>
      <c r="T168" s="25">
        <f>INDEX('Inputs (2)'!$D$29:$AL$29,MATCH(T$7,'Inputs (2)'!$D$2:$AL$2,0))</f>
        <v>328.937</v>
      </c>
      <c r="U168" s="25">
        <f>INDEX('Inputs (2)'!$D$29:$AL$29,MATCH(U$7,'Inputs (2)'!$D$2:$AL$2,0))</f>
        <v>380.761</v>
      </c>
      <c r="V168" s="25">
        <f>INDEX('Inputs (2)'!$D$29:$AL$29,MATCH(V$7,'Inputs (2)'!$D$2:$AL$2,0))</f>
        <v>338.989</v>
      </c>
      <c r="W168" s="3">
        <f>V168</f>
        <v>338.989</v>
      </c>
      <c r="X168" s="25">
        <f>INDEX('Inputs (2)'!$D$29:$AL$29,MATCH(X$7,'Inputs (2)'!$D$2:$AL$2,0))</f>
        <v>285.808</v>
      </c>
      <c r="Y168" s="25">
        <f>INDEX('Inputs (2)'!$D$29:$AL$29,MATCH(Y$7,'Inputs (2)'!$D$2:$AL$2,0))</f>
        <v>352.951</v>
      </c>
      <c r="Z168" s="25">
        <f>INDEX('Inputs (2)'!$D$29:$AL$29,MATCH(Z$7,'Inputs (2)'!$D$2:$AL$2,0))</f>
        <v>402.732</v>
      </c>
      <c r="AA168" s="25">
        <f>INDEX('Inputs (2)'!$D$29:$AL$29,MATCH(AA$7,'Inputs (2)'!$D$2:$AL$2,0))</f>
        <v>381.902</v>
      </c>
      <c r="AB168" s="3">
        <f>AA168</f>
        <v>381.902</v>
      </c>
      <c r="AC168" s="25">
        <f>INDEX('Inputs (2)'!$D$29:$AL$29,MATCH(AC$7,'Inputs (2)'!$D$2:$AL$2,0))</f>
        <v>309.762274</v>
      </c>
      <c r="AD168" s="25">
        <f>INDEX('Inputs (2)'!$D$29:$AL$29,MATCH(AD$7,'Inputs (2)'!$D$2:$AL$2,0))</f>
        <v>368.403</v>
      </c>
      <c r="AE168" s="25">
        <f>INDEX('Inputs (2)'!$D$29:$AL$29,MATCH(AE$7,'Inputs (2)'!$D$2:$AL$2,0))</f>
        <v>438.976</v>
      </c>
      <c r="AF168" s="25">
        <f>INDEX('Inputs (2)'!$D$29:$AL$29,MATCH(AF$7,'Inputs (2)'!$D$2:$AL$2,0))</f>
        <v>407.632</v>
      </c>
      <c r="AG168" s="3">
        <f>AF168</f>
        <v>407.632</v>
      </c>
      <c r="AH168" s="3">
        <f>AF168*AH24/AF24</f>
        <v>0</v>
      </c>
      <c r="AI168" s="3">
        <f>AG168*AI24/AG24</f>
        <v>0</v>
      </c>
      <c r="AJ168" s="3" t="e">
        <f>AH168*AJ24/AH24</f>
        <v>#DIV/0!</v>
      </c>
      <c r="AK168" s="3" t="e">
        <f>AI168*AK24/AI24</f>
        <v>#DIV/0!</v>
      </c>
      <c r="AL168" s="3" t="e">
        <f>AK168</f>
        <v>#DIV/0!</v>
      </c>
      <c r="AM168" s="3" t="e">
        <f>AK168*AM24/AK24</f>
        <v>#DIV/0!</v>
      </c>
      <c r="AN168" s="3" t="e">
        <f>AL168*AN24/AL24</f>
        <v>#DIV/0!</v>
      </c>
      <c r="AO168" s="3" t="e">
        <f>AM168*AO24/AM24</f>
        <v>#DIV/0!</v>
      </c>
      <c r="AP168" s="3" t="e">
        <f>AN168*AP24/AN24</f>
        <v>#DIV/0!</v>
      </c>
      <c r="AQ168" s="3" t="e">
        <f>AP168</f>
        <v>#DIV/0!</v>
      </c>
      <c r="AR168" s="3" t="e">
        <f>AP168*AR24/AP24</f>
        <v>#DIV/0!</v>
      </c>
      <c r="AS168" s="3" t="e">
        <f>AQ168*AS24/AQ24</f>
        <v>#DIV/0!</v>
      </c>
      <c r="AT168" s="3" t="e">
        <f>AR168*AT24/AR24</f>
        <v>#DIV/0!</v>
      </c>
      <c r="AU168" s="3" t="e">
        <f>AS168*AU24/AS24</f>
        <v>#DIV/0!</v>
      </c>
      <c r="AV168" s="3" t="e">
        <f>AU168</f>
        <v>#DIV/0!</v>
      </c>
      <c r="AW168" s="3" t="e">
        <f>AU168*AW24/AU24</f>
        <v>#DIV/0!</v>
      </c>
      <c r="AX168" s="3" t="e">
        <f>AV168*AX24/AV24</f>
        <v>#DIV/0!</v>
      </c>
      <c r="AY168" s="3" t="e">
        <f>AW168*AY24/AW24</f>
        <v>#DIV/0!</v>
      </c>
      <c r="AZ168" s="3" t="e">
        <f>AX168*AZ24/AX24</f>
        <v>#DIV/0!</v>
      </c>
      <c r="BA168" s="3" t="e">
        <f>AZ168</f>
        <v>#DIV/0!</v>
      </c>
      <c r="BB168" s="3" t="e">
        <f>AZ168*BB24/AZ24</f>
        <v>#DIV/0!</v>
      </c>
      <c r="BC168" s="3" t="e">
        <f>BA168*BC24/BA24</f>
        <v>#DIV/0!</v>
      </c>
      <c r="BD168" s="3" t="e">
        <f>BB168*BD24/BB24</f>
        <v>#DIV/0!</v>
      </c>
      <c r="BE168" s="3" t="e">
        <f>BC168*BE24/BC24</f>
        <v>#DIV/0!</v>
      </c>
      <c r="BF168" s="3" t="e">
        <f>BE168</f>
        <v>#DIV/0!</v>
      </c>
      <c r="BG168" s="3" t="e">
        <f>BE168*BG24/BE24</f>
        <v>#DIV/0!</v>
      </c>
      <c r="BH168" s="3" t="e">
        <f>BF168*BH24/BF24</f>
        <v>#DIV/0!</v>
      </c>
      <c r="BI168" s="3" t="e">
        <f>BG168*BI24/BG24</f>
        <v>#DIV/0!</v>
      </c>
      <c r="BJ168" s="3" t="e">
        <f>BH168*BJ24/BH24</f>
        <v>#DIV/0!</v>
      </c>
      <c r="BK168" s="3" t="e">
        <f>BJ168</f>
        <v>#DIV/0!</v>
      </c>
      <c r="BL168" s="3" t="e">
        <f>BJ168*BL24/BJ24</f>
        <v>#DIV/0!</v>
      </c>
      <c r="BM168" s="3" t="e">
        <f>BK168*BM24/BK24</f>
        <v>#DIV/0!</v>
      </c>
      <c r="BN168" s="3" t="e">
        <f>BL168*BN24/BL24</f>
        <v>#DIV/0!</v>
      </c>
      <c r="BO168" s="3" t="e">
        <f>BM168*BO24/BM24</f>
        <v>#DIV/0!</v>
      </c>
      <c r="BP168" s="3" t="e">
        <f>BO168</f>
        <v>#DIV/0!</v>
      </c>
      <c r="BQ168" s="3" t="e">
        <f>BO168*BQ24/BO24</f>
        <v>#DIV/0!</v>
      </c>
      <c r="BR168" s="3" t="e">
        <f>BP168*BR24/BP24</f>
        <v>#DIV/0!</v>
      </c>
      <c r="BS168" s="3" t="e">
        <f>BQ168*BS24/BQ24</f>
        <v>#DIV/0!</v>
      </c>
      <c r="BT168" s="3" t="e">
        <f>BR168*BT24/BR24</f>
        <v>#DIV/0!</v>
      </c>
      <c r="BU168" s="3" t="e">
        <f>BT168</f>
        <v>#DIV/0!</v>
      </c>
      <c r="BV168" s="3" t="e">
        <f>BT168*BV24/BT24</f>
        <v>#DIV/0!</v>
      </c>
      <c r="BW168" s="3" t="e">
        <f>BU168*BW24/BU24</f>
        <v>#DIV/0!</v>
      </c>
      <c r="BX168" s="3" t="e">
        <f>BV168*BX24/BV24</f>
        <v>#DIV/0!</v>
      </c>
      <c r="BY168" s="3" t="e">
        <f>BW168*BY24/BW24</f>
        <v>#DIV/0!</v>
      </c>
      <c r="BZ168" s="3" t="e">
        <f>BY168</f>
        <v>#DIV/0!</v>
      </c>
      <c r="CA168" s="3" t="e">
        <f>BY168*CA24/BY24</f>
        <v>#DIV/0!</v>
      </c>
      <c r="CB168" s="3" t="e">
        <f>BZ168*CB24/BZ24</f>
        <v>#DIV/0!</v>
      </c>
      <c r="CC168" s="3" t="e">
        <f>CA168*CC24/CA24</f>
        <v>#DIV/0!</v>
      </c>
      <c r="CD168" s="3" t="e">
        <f>CB168*CD24/CB24</f>
        <v>#DIV/0!</v>
      </c>
      <c r="CE168" s="3" t="e">
        <f>CD168</f>
        <v>#DIV/0!</v>
      </c>
      <c r="CF168" s="3" t="e">
        <f>CD168*CF24/CD24</f>
        <v>#DIV/0!</v>
      </c>
      <c r="CG168" s="3" t="e">
        <f>CE168*CG24/CE24</f>
        <v>#DIV/0!</v>
      </c>
      <c r="CH168" s="3" t="e">
        <f>CF168*CH24/CF24</f>
        <v>#DIV/0!</v>
      </c>
      <c r="CI168" s="3" t="e">
        <f>CG168*CI24/CG24</f>
        <v>#DIV/0!</v>
      </c>
      <c r="CJ168" s="3" t="e">
        <f>CI168</f>
        <v>#DIV/0!</v>
      </c>
      <c r="CK168" s="3" t="e">
        <f>CI168*CK24/CI24</f>
        <v>#DIV/0!</v>
      </c>
      <c r="CL168" s="3" t="e">
        <f>CJ168*CL24/CJ24</f>
        <v>#DIV/0!</v>
      </c>
      <c r="CM168" s="3" t="e">
        <f>CK168*CM24/CK24</f>
        <v>#DIV/0!</v>
      </c>
      <c r="CN168" s="3" t="e">
        <f>CL168*CN24/CL24</f>
        <v>#DIV/0!</v>
      </c>
      <c r="CO168" s="3" t="e">
        <f>CN168</f>
        <v>#DIV/0!</v>
      </c>
      <c r="CP168" s="3" t="e">
        <f>CN168*CP24/CN24</f>
        <v>#DIV/0!</v>
      </c>
      <c r="CQ168" s="3" t="e">
        <f>CO168*CQ24/CO24</f>
        <v>#DIV/0!</v>
      </c>
      <c r="CR168" s="3" t="e">
        <f>CP168*CR24/CP24</f>
        <v>#DIV/0!</v>
      </c>
      <c r="CS168" s="3" t="e">
        <f>CQ168*CS24/CQ24</f>
        <v>#DIV/0!</v>
      </c>
      <c r="CT168" s="3" t="e">
        <f>CS168</f>
        <v>#DIV/0!</v>
      </c>
      <c r="CU168" s="3" t="e">
        <f>CS168*CU24/CS24</f>
        <v>#DIV/0!</v>
      </c>
      <c r="CV168" s="3" t="e">
        <f>CT168*CV24/CT24</f>
        <v>#DIV/0!</v>
      </c>
      <c r="CW168" s="3" t="e">
        <f>CU168*CW24/CU24</f>
        <v>#DIV/0!</v>
      </c>
      <c r="CX168" s="3" t="e">
        <f>CV168*CX24/CV24</f>
        <v>#DIV/0!</v>
      </c>
      <c r="CY168" s="3" t="e">
        <f>CX168</f>
        <v>#DIV/0!</v>
      </c>
    </row>
    <row r="169" hidden="1" outlineLevel="1">
      <c r="C169" s="38" t="inlineStr">
        <is>
          <t>%(Var.)</t>
        </is>
      </c>
      <c r="D169" s="3" t="n"/>
      <c r="E169" s="47">
        <f>(E168-D168)/D168</f>
        <v>0.182880922038832</v>
      </c>
      <c r="F169" s="47">
        <f>(F168-E168)/E168</f>
        <v>0.153406987714086</v>
      </c>
      <c r="G169" s="47">
        <f>(G168-F168)/F168</f>
        <v>-0.0660764630968868</v>
      </c>
      <c r="H169" s="3" t="n"/>
      <c r="I169" s="47">
        <f>(I168-H168)/H168</f>
        <v>-0.0648730769747345</v>
      </c>
      <c r="J169" s="47">
        <f>(J168-I168)/I168</f>
        <v>0.379735340564268</v>
      </c>
      <c r="K169" s="47">
        <f>(K168-J168)/J168</f>
        <v>0.218890666778804</v>
      </c>
      <c r="L169" s="47">
        <f>(L168-K168)/K168</f>
        <v>-0.0736536332886074</v>
      </c>
      <c r="M169" s="3" t="n"/>
      <c r="N169" s="47">
        <f>(N168-M168)/M168</f>
        <v>-0.145668913378176</v>
      </c>
      <c r="O169" s="47">
        <f>(O168-N168)/N168</f>
        <v>0.220985528437306</v>
      </c>
      <c r="P169" s="47">
        <f>(P168-O168)/O168</f>
        <v>0.143530222041301</v>
      </c>
      <c r="Q169" s="47">
        <f>(Q168-P168)/P168</f>
        <v>-0.0562094845742547</v>
      </c>
      <c r="R169" s="3" t="n"/>
      <c r="S169" s="47">
        <f>(S168-R168)/R168</f>
        <v>-0.158374396814484</v>
      </c>
      <c r="T169" s="47">
        <f>(T168-S168)/S168</f>
        <v>0.717200334110929</v>
      </c>
      <c r="U169" s="47">
        <f>(U168-T168)/T168</f>
        <v>0.157549925973667</v>
      </c>
      <c r="V169" s="47">
        <f>(V168-U168)/U168</f>
        <v>-0.109706613860138</v>
      </c>
      <c r="W169" s="3" t="n"/>
      <c r="X169" s="47">
        <f>(X168-W168)/W168</f>
        <v>-0.156881196734997</v>
      </c>
      <c r="Y169" s="47">
        <f>(Y168-X168)/X168</f>
        <v>0.234923445110004</v>
      </c>
      <c r="Z169" s="47">
        <f>(Z168-Y168)/Y168</f>
        <v>0.141042240990959</v>
      </c>
      <c r="AA169" s="47">
        <f>(AA168-Z168)/Z168</f>
        <v>-0.0517217405123011</v>
      </c>
      <c r="AB169" s="3" t="n"/>
      <c r="AC169" s="47">
        <f>(AC168-AB168)/AB168</f>
        <v>-0.188895910469178</v>
      </c>
      <c r="AD169" s="47">
        <f>(AD168-AC168)/AC168</f>
        <v>0.189308805242048</v>
      </c>
      <c r="AE169" s="47">
        <f>(AE168-AD168)/AD168</f>
        <v>0.191564672383232</v>
      </c>
      <c r="AF169" s="218">
        <f>(AF168-AE168)/AE168</f>
        <v>-0.0714025368129465</v>
      </c>
      <c r="AG169" s="3" t="n"/>
      <c r="AH169" s="218" t="n"/>
      <c r="AI169" s="218" t="n"/>
      <c r="AJ169" s="218" t="n"/>
      <c r="AK169" s="218" t="n"/>
      <c r="AL169" s="3" t="n"/>
      <c r="AM169" s="218" t="n"/>
      <c r="AN169" s="218" t="n"/>
      <c r="AO169" s="218" t="n"/>
      <c r="AP169" s="218" t="n"/>
      <c r="AQ169" s="3" t="n"/>
      <c r="AR169" s="218" t="n"/>
      <c r="AS169" s="218" t="n"/>
      <c r="AT169" s="218" t="n"/>
      <c r="AU169" s="218" t="n"/>
      <c r="AV169" s="3" t="n"/>
      <c r="AW169" s="218" t="n"/>
      <c r="AX169" s="218" t="n"/>
      <c r="AY169" s="218" t="n"/>
      <c r="AZ169" s="218" t="n"/>
      <c r="BA169" s="3" t="n"/>
      <c r="BB169" s="218" t="n"/>
      <c r="BC169" s="218" t="n"/>
      <c r="BD169" s="218" t="n"/>
      <c r="BE169" s="218" t="n"/>
      <c r="BF169" s="3" t="n"/>
      <c r="BG169" s="218" t="n"/>
      <c r="BH169" s="218" t="n"/>
      <c r="BI169" s="218" t="n"/>
      <c r="BJ169" s="218" t="n"/>
      <c r="BK169" s="3" t="n"/>
      <c r="BL169" s="218" t="n"/>
      <c r="BM169" s="218" t="n"/>
      <c r="BN169" s="218" t="n"/>
      <c r="BO169" s="218" t="n"/>
      <c r="BP169" s="3" t="n"/>
      <c r="BQ169" s="218" t="n"/>
      <c r="BR169" s="218" t="n"/>
      <c r="BS169" s="218" t="n"/>
      <c r="BT169" s="218" t="n"/>
      <c r="BU169" s="3" t="n"/>
      <c r="BV169" s="218" t="n"/>
      <c r="BW169" s="218" t="n"/>
      <c r="BX169" s="218" t="n"/>
      <c r="BY169" s="218" t="n"/>
      <c r="BZ169" s="3" t="n"/>
      <c r="CA169" s="218" t="n"/>
      <c r="CB169" s="218" t="n"/>
      <c r="CC169" s="218" t="n"/>
      <c r="CD169" s="218" t="n"/>
      <c r="CE169" s="3" t="n"/>
      <c r="CF169" s="218" t="n"/>
      <c r="CG169" s="218" t="n"/>
      <c r="CH169" s="218" t="n"/>
      <c r="CI169" s="218" t="n"/>
      <c r="CJ169" s="3" t="n"/>
      <c r="CK169" s="218" t="n"/>
      <c r="CL169" s="218" t="n"/>
      <c r="CM169" s="218" t="n"/>
      <c r="CN169" s="218" t="n"/>
      <c r="CO169" s="3" t="n"/>
      <c r="CP169" s="218" t="n"/>
      <c r="CQ169" s="218" t="n"/>
      <c r="CR169" s="218" t="n"/>
      <c r="CS169" s="218" t="n"/>
      <c r="CT169" s="3" t="n"/>
      <c r="CU169" s="218" t="n"/>
      <c r="CV169" s="218" t="n"/>
      <c r="CW169" s="218" t="n"/>
      <c r="CX169" s="218" t="n"/>
      <c r="CY169" s="3" t="n"/>
    </row>
    <row r="170" collapsed="1">
      <c r="C170" s="26" t="inlineStr">
        <is>
          <t>Taxes payable</t>
        </is>
      </c>
      <c r="D170" s="25">
        <f>INDEX('Inputs (2)'!$D$30:$AL$30,MATCH(D$7,'Inputs (2)'!$D$2:$AL$2,0))</f>
        <v>28.53369986</v>
      </c>
      <c r="E170" s="25">
        <f>INDEX('Inputs (2)'!$D$30:$AL$30,MATCH(E$7,'Inputs (2)'!$D$2:$AL$2,0))</f>
        <v>26.89354755</v>
      </c>
      <c r="F170" s="25">
        <f>INDEX('Inputs (2)'!$D$30:$AL$30,MATCH(F$7,'Inputs (2)'!$D$2:$AL$2,0))</f>
        <v>64.41560137</v>
      </c>
      <c r="G170" s="25">
        <f>INDEX('Inputs (2)'!$D$30:$AL$30,MATCH(G$7,'Inputs (2)'!$D$2:$AL$2,0))</f>
        <v>37.62955018</v>
      </c>
      <c r="H170" s="3">
        <f>G170</f>
        <v>37.62955018</v>
      </c>
      <c r="I170" s="25">
        <f>INDEX('Inputs (2)'!$D$30:$AL$30,MATCH(I$7,'Inputs (2)'!$D$2:$AL$2,0))</f>
        <v>82.64400593</v>
      </c>
      <c r="J170" s="25">
        <f>INDEX('Inputs (2)'!$D$30:$AL$30,MATCH(J$7,'Inputs (2)'!$D$2:$AL$2,0))</f>
        <v>84.15495263</v>
      </c>
      <c r="K170" s="25">
        <f>INDEX('Inputs (2)'!$D$30:$AL$30,MATCH(K$7,'Inputs (2)'!$D$2:$AL$2,0))</f>
        <v>191.66460878</v>
      </c>
      <c r="L170" s="25">
        <f>INDEX('Inputs (2)'!$D$30:$AL$30,MATCH(L$7,'Inputs (2)'!$D$2:$AL$2,0))</f>
        <v>91.24440729</v>
      </c>
      <c r="M170" s="3">
        <f>L170</f>
        <v>91.24440729</v>
      </c>
      <c r="N170" s="25">
        <f>INDEX('Inputs (2)'!$D$30:$AL$30,MATCH(N$7,'Inputs (2)'!$D$2:$AL$2,0))</f>
        <v>81.85342882</v>
      </c>
      <c r="O170" s="25">
        <f>INDEX('Inputs (2)'!$D$30:$AL$30,MATCH(O$7,'Inputs (2)'!$D$2:$AL$2,0))</f>
        <v>124.66710529</v>
      </c>
      <c r="P170" s="25">
        <f>INDEX('Inputs (2)'!$D$30:$AL$30,MATCH(P$7,'Inputs (2)'!$D$2:$AL$2,0))</f>
        <v>173.02486096</v>
      </c>
      <c r="Q170" s="25">
        <f>INDEX('Inputs (2)'!$D$30:$AL$30,MATCH(Q$7,'Inputs (2)'!$D$2:$AL$2,0))</f>
        <v>47.92208004</v>
      </c>
      <c r="R170" s="3">
        <f>Q170</f>
        <v>47.92208004</v>
      </c>
      <c r="S170" s="25">
        <f>INDEX('Inputs (2)'!$D$30:$AL$30,MATCH(S$7,'Inputs (2)'!$D$2:$AL$2,0))</f>
        <v>59.47314835</v>
      </c>
      <c r="T170" s="25">
        <f>INDEX('Inputs (2)'!$D$30:$AL$30,MATCH(T$7,'Inputs (2)'!$D$2:$AL$2,0))</f>
        <v>80.564</v>
      </c>
      <c r="U170" s="25">
        <f>INDEX('Inputs (2)'!$D$30:$AL$30,MATCH(U$7,'Inputs (2)'!$D$2:$AL$2,0))</f>
        <v>84.038</v>
      </c>
      <c r="V170" s="25">
        <f>INDEX('Inputs (2)'!$D$30:$AL$30,MATCH(V$7,'Inputs (2)'!$D$2:$AL$2,0))</f>
        <v>80.583</v>
      </c>
      <c r="W170" s="3">
        <f>V170</f>
        <v>80.583</v>
      </c>
      <c r="X170" s="25">
        <f>INDEX('Inputs (2)'!$D$30:$AL$30,MATCH(X$7,'Inputs (2)'!$D$2:$AL$2,0))</f>
        <v>75.011</v>
      </c>
      <c r="Y170" s="25">
        <f>INDEX('Inputs (2)'!$D$30:$AL$30,MATCH(Y$7,'Inputs (2)'!$D$2:$AL$2,0))</f>
        <v>109.283</v>
      </c>
      <c r="Z170" s="25">
        <f>INDEX('Inputs (2)'!$D$30:$AL$30,MATCH(Z$7,'Inputs (2)'!$D$2:$AL$2,0))</f>
        <v>95.523</v>
      </c>
      <c r="AA170" s="25">
        <f>INDEX('Inputs (2)'!$D$30:$AL$30,MATCH(AA$7,'Inputs (2)'!$D$2:$AL$2,0))</f>
        <v>98.581</v>
      </c>
      <c r="AB170" s="3">
        <f>AA170</f>
        <v>98.581</v>
      </c>
      <c r="AC170" s="25">
        <f>INDEX('Inputs (2)'!$D$30:$AL$30,MATCH(AC$7,'Inputs (2)'!$D$2:$AL$2,0))</f>
        <v>85.512222</v>
      </c>
      <c r="AD170" s="25">
        <f>INDEX('Inputs (2)'!$D$30:$AL$30,MATCH(AD$7,'Inputs (2)'!$D$2:$AL$2,0))</f>
        <v>103.274</v>
      </c>
      <c r="AE170" s="25">
        <f>INDEX('Inputs (2)'!$D$30:$AL$30,MATCH(AE$7,'Inputs (2)'!$D$2:$AL$2,0))</f>
        <v>117.346</v>
      </c>
      <c r="AF170" s="25">
        <f>INDEX('Inputs (2)'!$D$30:$AL$30,MATCH(AF$7,'Inputs (2)'!$D$2:$AL$2,0))</f>
        <v>97.53</v>
      </c>
      <c r="AG170" s="3">
        <f>AF170</f>
        <v>97.53</v>
      </c>
      <c r="AH170" s="3">
        <f>AF170*AH97/AF97</f>
        <v>0</v>
      </c>
      <c r="AI170" s="3">
        <f>AG170*AI97/AG97</f>
        <v>0</v>
      </c>
      <c r="AJ170" s="3" t="e">
        <f>AH170*AJ97/AH97</f>
        <v>#DIV/0!</v>
      </c>
      <c r="AK170" s="3" t="e">
        <f>AI170*AK97/AI97</f>
        <v>#DIV/0!</v>
      </c>
      <c r="AL170" s="3" t="e">
        <f>AK170</f>
        <v>#DIV/0!</v>
      </c>
      <c r="AM170" s="3" t="e">
        <f>AK170*AM97/AK97</f>
        <v>#DIV/0!</v>
      </c>
      <c r="AN170" s="3" t="e">
        <f>AL170*AN97/AL97</f>
        <v>#DIV/0!</v>
      </c>
      <c r="AO170" s="3" t="e">
        <f>AM170*AO97/AM97</f>
        <v>#DIV/0!</v>
      </c>
      <c r="AP170" s="3" t="e">
        <f>AN170*AP97/AN97</f>
        <v>#DIV/0!</v>
      </c>
      <c r="AQ170" s="3" t="e">
        <f>AP170</f>
        <v>#DIV/0!</v>
      </c>
      <c r="AR170" s="3" t="e">
        <f>AP170*AR97/AP97</f>
        <v>#DIV/0!</v>
      </c>
      <c r="AS170" s="3" t="e">
        <f>AQ170*AS97/AQ97</f>
        <v>#DIV/0!</v>
      </c>
      <c r="AT170" s="3" t="e">
        <f>AR170*AT97/AR97</f>
        <v>#DIV/0!</v>
      </c>
      <c r="AU170" s="3" t="e">
        <f>AS170*AU97/AS97</f>
        <v>#DIV/0!</v>
      </c>
      <c r="AV170" s="3" t="e">
        <f>AU170</f>
        <v>#DIV/0!</v>
      </c>
      <c r="AW170" s="3" t="e">
        <f>AU170*AW97/AU97</f>
        <v>#DIV/0!</v>
      </c>
      <c r="AX170" s="3" t="e">
        <f>AV170*AX97/AV97</f>
        <v>#DIV/0!</v>
      </c>
      <c r="AY170" s="3" t="e">
        <f>AW170*AY97/AW97</f>
        <v>#DIV/0!</v>
      </c>
      <c r="AZ170" s="3" t="e">
        <f>AX170*AZ97/AX97</f>
        <v>#DIV/0!</v>
      </c>
      <c r="BA170" s="3" t="e">
        <f>AZ170</f>
        <v>#DIV/0!</v>
      </c>
      <c r="BB170" s="3" t="e">
        <f>AZ170*BB97/AZ97</f>
        <v>#DIV/0!</v>
      </c>
      <c r="BC170" s="3" t="e">
        <f>BA170*BC97/BA97</f>
        <v>#DIV/0!</v>
      </c>
      <c r="BD170" s="3" t="e">
        <f>BB170*BD97/BB97</f>
        <v>#DIV/0!</v>
      </c>
      <c r="BE170" s="3" t="e">
        <f>BC170*BE97/BC97</f>
        <v>#DIV/0!</v>
      </c>
      <c r="BF170" s="3" t="e">
        <f>BE170</f>
        <v>#DIV/0!</v>
      </c>
      <c r="BG170" s="3" t="e">
        <f>BE170*BG97/BE97</f>
        <v>#DIV/0!</v>
      </c>
      <c r="BH170" s="3" t="e">
        <f>BF170*BH97/BF97</f>
        <v>#DIV/0!</v>
      </c>
      <c r="BI170" s="3" t="e">
        <f>BG170*BI97/BG97</f>
        <v>#DIV/0!</v>
      </c>
      <c r="BJ170" s="3" t="e">
        <f>BH170*BJ97/BH97</f>
        <v>#DIV/0!</v>
      </c>
      <c r="BK170" s="3" t="e">
        <f>BJ170</f>
        <v>#DIV/0!</v>
      </c>
      <c r="BL170" s="3" t="e">
        <f>BJ170*BL97/BJ97</f>
        <v>#DIV/0!</v>
      </c>
      <c r="BM170" s="3" t="e">
        <f>BK170*BM97/BK97</f>
        <v>#DIV/0!</v>
      </c>
      <c r="BN170" s="3" t="e">
        <f>BL170*BN97/BL97</f>
        <v>#DIV/0!</v>
      </c>
      <c r="BO170" s="3" t="e">
        <f>BM170*BO97/BM97</f>
        <v>#DIV/0!</v>
      </c>
      <c r="BP170" s="3" t="e">
        <f>BO170</f>
        <v>#DIV/0!</v>
      </c>
      <c r="BQ170" s="3" t="e">
        <f>BO170*BQ97/BO97</f>
        <v>#DIV/0!</v>
      </c>
      <c r="BR170" s="3" t="e">
        <f>BP170*BR97/BP97</f>
        <v>#DIV/0!</v>
      </c>
      <c r="BS170" s="3" t="e">
        <f>BQ170*BS97/BQ97</f>
        <v>#DIV/0!</v>
      </c>
      <c r="BT170" s="3" t="e">
        <f>BR170*BT97/BR97</f>
        <v>#DIV/0!</v>
      </c>
      <c r="BU170" s="3" t="e">
        <f>BT170</f>
        <v>#DIV/0!</v>
      </c>
      <c r="BV170" s="3" t="e">
        <f>BT170*BV97/BT97</f>
        <v>#DIV/0!</v>
      </c>
      <c r="BW170" s="3" t="e">
        <f>BU170*BW97/BU97</f>
        <v>#DIV/0!</v>
      </c>
      <c r="BX170" s="3" t="e">
        <f>BV170*BX97/BV97</f>
        <v>#DIV/0!</v>
      </c>
      <c r="BY170" s="3" t="e">
        <f>BW170*BY97/BW97</f>
        <v>#DIV/0!</v>
      </c>
      <c r="BZ170" s="3" t="e">
        <f>BY170</f>
        <v>#DIV/0!</v>
      </c>
      <c r="CA170" s="3" t="e">
        <f>BY170*CA97/BY97</f>
        <v>#DIV/0!</v>
      </c>
      <c r="CB170" s="3" t="e">
        <f>BZ170*CB97/BZ97</f>
        <v>#DIV/0!</v>
      </c>
      <c r="CC170" s="3" t="e">
        <f>CA170*CC97/CA97</f>
        <v>#DIV/0!</v>
      </c>
      <c r="CD170" s="3" t="e">
        <f>CB170*CD97/CB97</f>
        <v>#DIV/0!</v>
      </c>
      <c r="CE170" s="3" t="e">
        <f>CD170</f>
        <v>#DIV/0!</v>
      </c>
      <c r="CF170" s="3" t="e">
        <f>CD170*CF97/CD97</f>
        <v>#DIV/0!</v>
      </c>
      <c r="CG170" s="3" t="e">
        <f>CE170*CG97/CE97</f>
        <v>#DIV/0!</v>
      </c>
      <c r="CH170" s="3" t="e">
        <f>CF170*CH97/CF97</f>
        <v>#DIV/0!</v>
      </c>
      <c r="CI170" s="3" t="e">
        <f>CG170*CI97/CG97</f>
        <v>#DIV/0!</v>
      </c>
      <c r="CJ170" s="3" t="e">
        <f>CI170</f>
        <v>#DIV/0!</v>
      </c>
      <c r="CK170" s="3" t="e">
        <f>CI170*CK97/CI97</f>
        <v>#DIV/0!</v>
      </c>
      <c r="CL170" s="3" t="e">
        <f>CJ170*CL97/CJ97</f>
        <v>#DIV/0!</v>
      </c>
      <c r="CM170" s="3" t="e">
        <f>CK170*CM97/CK97</f>
        <v>#DIV/0!</v>
      </c>
      <c r="CN170" s="3" t="e">
        <f>CL170*CN97/CL97</f>
        <v>#DIV/0!</v>
      </c>
      <c r="CO170" s="3" t="e">
        <f>CN170</f>
        <v>#DIV/0!</v>
      </c>
      <c r="CP170" s="3" t="e">
        <f>CN170*CP97/CN97</f>
        <v>#DIV/0!</v>
      </c>
      <c r="CQ170" s="3" t="e">
        <f>CO170*CQ97/CO97</f>
        <v>#DIV/0!</v>
      </c>
      <c r="CR170" s="3" t="e">
        <f>CP170*CR97/CP97</f>
        <v>#DIV/0!</v>
      </c>
      <c r="CS170" s="3" t="e">
        <f>CQ170*CS97/CQ97</f>
        <v>#DIV/0!</v>
      </c>
      <c r="CT170" s="3" t="e">
        <f>CS170</f>
        <v>#DIV/0!</v>
      </c>
      <c r="CU170" s="3" t="e">
        <f>CS170*CU97/CS97</f>
        <v>#DIV/0!</v>
      </c>
      <c r="CV170" s="3" t="e">
        <f>CT170*CV97/CT97</f>
        <v>#DIV/0!</v>
      </c>
      <c r="CW170" s="3" t="e">
        <f>CU170*CW97/CU97</f>
        <v>#DIV/0!</v>
      </c>
      <c r="CX170" s="3" t="e">
        <f>CV170*CX97/CV97</f>
        <v>#DIV/0!</v>
      </c>
      <c r="CY170" s="3" t="e">
        <f>CX170</f>
        <v>#DIV/0!</v>
      </c>
    </row>
    <row r="171">
      <c r="C171" s="26" t="inlineStr">
        <is>
          <t>Other current liabilities (non-debt)</t>
        </is>
      </c>
      <c r="D171" s="25">
        <f>INDEX('Inputs (2)'!$D$31:$AL$31,MATCH(D$7,'Inputs (2)'!$D$2:$AL$2,0))</f>
        <v>258.16440353</v>
      </c>
      <c r="E171" s="25">
        <f>INDEX('Inputs (2)'!$D$31:$AL$31,MATCH(E$7,'Inputs (2)'!$D$2:$AL$2,0))</f>
        <v>257.36294849</v>
      </c>
      <c r="F171" s="25">
        <f>INDEX('Inputs (2)'!$D$31:$AL$31,MATCH(F$7,'Inputs (2)'!$D$2:$AL$2,0))</f>
        <v>227.35485368</v>
      </c>
      <c r="G171" s="25">
        <f>INDEX('Inputs (2)'!$D$31:$AL$31,MATCH(G$7,'Inputs (2)'!$D$2:$AL$2,0))</f>
        <v>105.62015696</v>
      </c>
      <c r="H171" s="3">
        <f>G171</f>
        <v>105.62015696</v>
      </c>
      <c r="I171" s="25">
        <f>INDEX('Inputs (2)'!$D$31:$AL$31,MATCH(I$7,'Inputs (2)'!$D$2:$AL$2,0))</f>
        <v>177.44848047</v>
      </c>
      <c r="J171" s="25">
        <f>INDEX('Inputs (2)'!$D$31:$AL$31,MATCH(J$7,'Inputs (2)'!$D$2:$AL$2,0))</f>
        <v>104.25604364</v>
      </c>
      <c r="K171" s="25">
        <f>INDEX('Inputs (2)'!$D$31:$AL$31,MATCH(K$7,'Inputs (2)'!$D$2:$AL$2,0))</f>
        <v>99.3151014</v>
      </c>
      <c r="L171" s="25">
        <f>INDEX('Inputs (2)'!$D$31:$AL$31,MATCH(L$7,'Inputs (2)'!$D$2:$AL$2,0))</f>
        <v>51.87826799</v>
      </c>
      <c r="M171" s="3">
        <f>L171</f>
        <v>51.87826799</v>
      </c>
      <c r="N171" s="25">
        <f>INDEX('Inputs (2)'!$D$31:$AL$31,MATCH(N$7,'Inputs (2)'!$D$2:$AL$2,0))</f>
        <v>260.91422812</v>
      </c>
      <c r="O171" s="25">
        <f>INDEX('Inputs (2)'!$D$31:$AL$31,MATCH(O$7,'Inputs (2)'!$D$2:$AL$2,0))</f>
        <v>41.17705445</v>
      </c>
      <c r="P171" s="25">
        <f>INDEX('Inputs (2)'!$D$31:$AL$31,MATCH(P$7,'Inputs (2)'!$D$2:$AL$2,0))</f>
        <v>50.16331915</v>
      </c>
      <c r="Q171" s="25">
        <f>INDEX('Inputs (2)'!$D$31:$AL$31,MATCH(Q$7,'Inputs (2)'!$D$2:$AL$2,0))</f>
        <v>58.52487884</v>
      </c>
      <c r="R171" s="3">
        <f>Q171</f>
        <v>58.52487884</v>
      </c>
      <c r="S171" s="25">
        <f>INDEX('Inputs (2)'!$D$31:$AL$31,MATCH(S$7,'Inputs (2)'!$D$2:$AL$2,0))</f>
        <v>60.47420555</v>
      </c>
      <c r="T171" s="25">
        <f>INDEX('Inputs (2)'!$D$31:$AL$31,MATCH(T$7,'Inputs (2)'!$D$2:$AL$2,0))</f>
        <v>167.236</v>
      </c>
      <c r="U171" s="25">
        <f>INDEX('Inputs (2)'!$D$31:$AL$31,MATCH(U$7,'Inputs (2)'!$D$2:$AL$2,0))</f>
        <v>170.451</v>
      </c>
      <c r="V171" s="25">
        <f>INDEX('Inputs (2)'!$D$31:$AL$31,MATCH(V$7,'Inputs (2)'!$D$2:$AL$2,0))</f>
        <v>66.469</v>
      </c>
      <c r="W171" s="3">
        <f>V171</f>
        <v>66.469</v>
      </c>
      <c r="X171" s="25">
        <f>INDEX('Inputs (2)'!$D$31:$AL$31,MATCH(X$7,'Inputs (2)'!$D$2:$AL$2,0))</f>
        <v>197.109</v>
      </c>
      <c r="Y171" s="25">
        <f>INDEX('Inputs (2)'!$D$31:$AL$31,MATCH(Y$7,'Inputs (2)'!$D$2:$AL$2,0))</f>
        <v>42.201</v>
      </c>
      <c r="Z171" s="25">
        <f>INDEX('Inputs (2)'!$D$31:$AL$31,MATCH(Z$7,'Inputs (2)'!$D$2:$AL$2,0))</f>
        <v>219.83</v>
      </c>
      <c r="AA171" s="25">
        <f>INDEX('Inputs (2)'!$D$31:$AL$31,MATCH(AA$7,'Inputs (2)'!$D$2:$AL$2,0))</f>
        <v>60.71</v>
      </c>
      <c r="AB171" s="3">
        <f>AA171</f>
        <v>60.71</v>
      </c>
      <c r="AC171" s="25">
        <f>INDEX('Inputs (2)'!$D$31:$AL$31,MATCH(AC$7,'Inputs (2)'!$D$2:$AL$2,0))</f>
        <v>342.175026</v>
      </c>
      <c r="AD171" s="25">
        <f>INDEX('Inputs (2)'!$D$31:$AL$31,MATCH(AD$7,'Inputs (2)'!$D$2:$AL$2,0))</f>
        <v>89.419</v>
      </c>
      <c r="AE171" s="25">
        <f>INDEX('Inputs (2)'!$D$31:$AL$31,MATCH(AE$7,'Inputs (2)'!$D$2:$AL$2,0))</f>
        <v>251.31</v>
      </c>
      <c r="AF171" s="25">
        <f>INDEX('Inputs (2)'!$D$31:$AL$31,MATCH(AF$7,'Inputs (2)'!$D$2:$AL$2,0))</f>
        <v>389.55</v>
      </c>
      <c r="AG171" s="3">
        <f>AF171</f>
        <v>389.55</v>
      </c>
      <c r="AH171" s="3">
        <f>AG171</f>
        <v>389.55</v>
      </c>
      <c r="AI171" s="3">
        <f>AH171</f>
        <v>389.55</v>
      </c>
      <c r="AJ171" s="3">
        <f>AI171</f>
        <v>389.55</v>
      </c>
      <c r="AK171" s="3">
        <f>AJ171</f>
        <v>389.55</v>
      </c>
      <c r="AL171" s="3">
        <f>AK171</f>
        <v>389.55</v>
      </c>
      <c r="AM171" s="3">
        <f>AL171</f>
        <v>389.55</v>
      </c>
      <c r="AN171" s="3">
        <f>AM171</f>
        <v>389.55</v>
      </c>
      <c r="AO171" s="3">
        <f>AN171</f>
        <v>389.55</v>
      </c>
      <c r="AP171" s="3">
        <f>AO171</f>
        <v>389.55</v>
      </c>
      <c r="AQ171" s="3">
        <f>AP171</f>
        <v>389.55</v>
      </c>
      <c r="AR171" s="3">
        <f>AQ171</f>
        <v>389.55</v>
      </c>
      <c r="AS171" s="3">
        <f>AR171</f>
        <v>389.55</v>
      </c>
      <c r="AT171" s="3">
        <f>AS171</f>
        <v>389.55</v>
      </c>
      <c r="AU171" s="3">
        <f>AT171</f>
        <v>389.55</v>
      </c>
      <c r="AV171" s="3">
        <f>AU171</f>
        <v>389.55</v>
      </c>
      <c r="AW171" s="3">
        <f>AV171</f>
        <v>389.55</v>
      </c>
      <c r="AX171" s="3">
        <f>AW171</f>
        <v>389.55</v>
      </c>
      <c r="AY171" s="3">
        <f>AX171</f>
        <v>389.55</v>
      </c>
      <c r="AZ171" s="3">
        <f>AY171</f>
        <v>389.55</v>
      </c>
      <c r="BA171" s="3">
        <f>AZ171</f>
        <v>389.55</v>
      </c>
      <c r="BB171" s="3">
        <f>BA171</f>
        <v>389.55</v>
      </c>
      <c r="BC171" s="3">
        <f>BB171</f>
        <v>389.55</v>
      </c>
      <c r="BD171" s="3">
        <f>BC171</f>
        <v>389.55</v>
      </c>
      <c r="BE171" s="3">
        <f>BD171</f>
        <v>389.55</v>
      </c>
      <c r="BF171" s="3">
        <f>BE171</f>
        <v>389.55</v>
      </c>
      <c r="BG171" s="3">
        <f>BF171</f>
        <v>389.55</v>
      </c>
      <c r="BH171" s="3">
        <f>BG171</f>
        <v>389.55</v>
      </c>
      <c r="BI171" s="3">
        <f>BH171</f>
        <v>389.55</v>
      </c>
      <c r="BJ171" s="3">
        <f>BI171</f>
        <v>389.55</v>
      </c>
      <c r="BK171" s="3">
        <f>BJ171</f>
        <v>389.55</v>
      </c>
      <c r="BL171" s="3">
        <f>BK171</f>
        <v>389.55</v>
      </c>
      <c r="BM171" s="3">
        <f>BL171</f>
        <v>389.55</v>
      </c>
      <c r="BN171" s="3">
        <f>BM171</f>
        <v>389.55</v>
      </c>
      <c r="BO171" s="3">
        <f>BN171</f>
        <v>389.55</v>
      </c>
      <c r="BP171" s="3">
        <f>BO171</f>
        <v>389.55</v>
      </c>
      <c r="BQ171" s="3">
        <f>BP171</f>
        <v>389.55</v>
      </c>
      <c r="BR171" s="3">
        <f>BQ171</f>
        <v>389.55</v>
      </c>
      <c r="BS171" s="3">
        <f>BR171</f>
        <v>389.55</v>
      </c>
      <c r="BT171" s="3">
        <f>BS171</f>
        <v>389.55</v>
      </c>
      <c r="BU171" s="3">
        <f>BT171</f>
        <v>389.55</v>
      </c>
      <c r="BV171" s="3">
        <f>BU171</f>
        <v>389.55</v>
      </c>
      <c r="BW171" s="3">
        <f>BV171</f>
        <v>389.55</v>
      </c>
      <c r="BX171" s="3">
        <f>BW171</f>
        <v>389.55</v>
      </c>
      <c r="BY171" s="3">
        <f>BX171</f>
        <v>389.55</v>
      </c>
      <c r="BZ171" s="3">
        <f>BY171</f>
        <v>389.55</v>
      </c>
      <c r="CA171" s="3">
        <f>BZ171</f>
        <v>389.55</v>
      </c>
      <c r="CB171" s="3">
        <f>CA171</f>
        <v>389.55</v>
      </c>
      <c r="CC171" s="3">
        <f>CB171</f>
        <v>389.55</v>
      </c>
      <c r="CD171" s="3">
        <f>CC171</f>
        <v>389.55</v>
      </c>
      <c r="CE171" s="3">
        <f>CD171</f>
        <v>389.55</v>
      </c>
      <c r="CF171" s="3">
        <f>CE171</f>
        <v>389.55</v>
      </c>
      <c r="CG171" s="3">
        <f>CF171</f>
        <v>389.55</v>
      </c>
      <c r="CH171" s="3">
        <f>CG171</f>
        <v>389.55</v>
      </c>
      <c r="CI171" s="3">
        <f>CH171</f>
        <v>389.55</v>
      </c>
      <c r="CJ171" s="3">
        <f>CI171</f>
        <v>389.55</v>
      </c>
      <c r="CK171" s="3">
        <f>CJ171</f>
        <v>389.55</v>
      </c>
      <c r="CL171" s="3">
        <f>CK171</f>
        <v>389.55</v>
      </c>
      <c r="CM171" s="3">
        <f>CL171</f>
        <v>389.55</v>
      </c>
      <c r="CN171" s="3">
        <f>CM171</f>
        <v>389.55</v>
      </c>
      <c r="CO171" s="3">
        <f>CN171</f>
        <v>389.55</v>
      </c>
      <c r="CP171" s="3">
        <f>CO171</f>
        <v>389.55</v>
      </c>
      <c r="CQ171" s="3">
        <f>CP171</f>
        <v>389.55</v>
      </c>
      <c r="CR171" s="3">
        <f>CQ171</f>
        <v>389.55</v>
      </c>
      <c r="CS171" s="3">
        <f>CR171</f>
        <v>389.55</v>
      </c>
      <c r="CT171" s="3">
        <f>CS171</f>
        <v>389.55</v>
      </c>
      <c r="CU171" s="3">
        <f>CT171</f>
        <v>389.55</v>
      </c>
      <c r="CV171" s="3">
        <f>CU171</f>
        <v>389.55</v>
      </c>
      <c r="CW171" s="3">
        <f>CV171</f>
        <v>389.55</v>
      </c>
      <c r="CX171" s="3">
        <f>CW171</f>
        <v>389.55</v>
      </c>
      <c r="CY171" s="3">
        <f>CX171</f>
        <v>389.55</v>
      </c>
    </row>
    <row r="172" hidden="1" outlineLevel="1">
      <c r="C172" s="38" t="inlineStr">
        <is>
          <t>%(Var.)</t>
        </is>
      </c>
      <c r="D172" s="3" t="n"/>
      <c r="E172" s="47">
        <f>(E171-D171)/D171</f>
        <v>-0.0031044366653239</v>
      </c>
      <c r="F172" s="47">
        <f>(F171-E171)/E171</f>
        <v>-0.116598348698068</v>
      </c>
      <c r="G172" s="47">
        <f>(G171-F171)/F171</f>
        <v>-0.535439181304396</v>
      </c>
      <c r="H172" s="3" t="n"/>
      <c r="I172" s="47">
        <f>(I171-H171)/H171</f>
        <v>0.680062646916937</v>
      </c>
      <c r="J172" s="47">
        <f>(J171-I171)/I171</f>
        <v>-0.412471476995117</v>
      </c>
      <c r="K172" s="47">
        <f>(K171-J171)/J171</f>
        <v>-0.0473923819424922</v>
      </c>
      <c r="L172" s="47">
        <f>(L171-K171)/K171</f>
        <v>-0.47763968159227</v>
      </c>
      <c r="M172" s="3" t="n"/>
      <c r="N172" s="47">
        <f>(N171-M171)/M171</f>
        <v>4.02935503109498</v>
      </c>
      <c r="O172" s="47">
        <f>(O171-N171)/N171</f>
        <v>-0.842181644340753</v>
      </c>
      <c r="P172" s="47">
        <f>(P171-O171)/O171</f>
        <v>0.218234762540185</v>
      </c>
      <c r="Q172" s="47">
        <f>(Q171-P171)/P171</f>
        <v>0.166686731095225</v>
      </c>
      <c r="R172" s="3" t="n"/>
      <c r="S172" s="47">
        <f>(S171-R171)/R171</f>
        <v>0.0333076590441002</v>
      </c>
      <c r="T172" s="47">
        <f>(T171-S171)/S171</f>
        <v>1.7654104502742</v>
      </c>
      <c r="U172" s="47">
        <f>(U171-T171)/T171</f>
        <v>0.0192243296897799</v>
      </c>
      <c r="V172" s="47">
        <f>(V171-U171)/U171</f>
        <v>-0.610040422174115</v>
      </c>
      <c r="W172" s="3" t="n"/>
      <c r="X172" s="47">
        <f>(X171-W171)/W171</f>
        <v>1.96542749251531</v>
      </c>
      <c r="Y172" s="47">
        <f>(Y171-X171)/X171</f>
        <v>-0.785900187206064</v>
      </c>
      <c r="Z172" s="47">
        <f>(Z171-Y171)/Y171</f>
        <v>4.20911826733964</v>
      </c>
      <c r="AA172" s="47">
        <f>(AA171-Z171)/Z171</f>
        <v>-0.723832052040213</v>
      </c>
      <c r="AB172" s="3" t="n"/>
      <c r="AC172" s="47">
        <f>(AC171-AB171)/AB171</f>
        <v>4.63622180859825</v>
      </c>
      <c r="AD172" s="47">
        <f>(AD171-AC171)/AC171</f>
        <v>-0.738674674638587</v>
      </c>
      <c r="AE172" s="47">
        <f>(AE171-AD171)/AD171</f>
        <v>1.81047652064997</v>
      </c>
      <c r="AF172" s="218">
        <f>(AF171-AE171)/AE171</f>
        <v>0.550077593410529</v>
      </c>
      <c r="AG172" s="3" t="n"/>
      <c r="AH172" s="218" t="n"/>
      <c r="AI172" s="218" t="n"/>
      <c r="AJ172" s="218" t="n"/>
      <c r="AK172" s="218" t="n"/>
      <c r="AL172" s="3" t="n"/>
      <c r="AM172" s="218" t="n"/>
      <c r="AN172" s="218" t="n"/>
      <c r="AO172" s="218" t="n"/>
      <c r="AP172" s="218" t="n"/>
      <c r="AQ172" s="3" t="n"/>
      <c r="AR172" s="218" t="n"/>
      <c r="AS172" s="218" t="n"/>
      <c r="AT172" s="218" t="n"/>
      <c r="AU172" s="218" t="n"/>
      <c r="AV172" s="3" t="n"/>
      <c r="AW172" s="218" t="n"/>
      <c r="AX172" s="218" t="n"/>
      <c r="AY172" s="218" t="n"/>
      <c r="AZ172" s="218" t="n"/>
      <c r="BA172" s="3" t="n"/>
      <c r="BB172" s="218" t="n"/>
      <c r="BC172" s="218" t="n"/>
      <c r="BD172" s="218" t="n"/>
      <c r="BE172" s="218" t="n"/>
      <c r="BF172" s="3" t="n"/>
      <c r="BG172" s="218" t="n"/>
      <c r="BH172" s="218" t="n"/>
      <c r="BI172" s="218" t="n"/>
      <c r="BJ172" s="218" t="n"/>
      <c r="BK172" s="3" t="n"/>
      <c r="BL172" s="218" t="n"/>
      <c r="BM172" s="218" t="n"/>
      <c r="BN172" s="218" t="n"/>
      <c r="BO172" s="218" t="n"/>
      <c r="BP172" s="3" t="n"/>
      <c r="BQ172" s="218" t="n"/>
      <c r="BR172" s="218" t="n"/>
      <c r="BS172" s="218" t="n"/>
      <c r="BT172" s="218" t="n"/>
      <c r="BU172" s="3" t="n"/>
      <c r="BV172" s="218" t="n"/>
      <c r="BW172" s="218" t="n"/>
      <c r="BX172" s="218" t="n"/>
      <c r="BY172" s="218" t="n"/>
      <c r="BZ172" s="3" t="n"/>
      <c r="CA172" s="218" t="n"/>
      <c r="CB172" s="218" t="n"/>
      <c r="CC172" s="218" t="n"/>
      <c r="CD172" s="218" t="n"/>
      <c r="CE172" s="3" t="n"/>
      <c r="CF172" s="218" t="n"/>
      <c r="CG172" s="218" t="n"/>
      <c r="CH172" s="218" t="n"/>
      <c r="CI172" s="218" t="n"/>
      <c r="CJ172" s="3" t="n"/>
      <c r="CK172" s="218" t="n"/>
      <c r="CL172" s="218" t="n"/>
      <c r="CM172" s="218" t="n"/>
      <c r="CN172" s="218" t="n"/>
      <c r="CO172" s="3" t="n"/>
      <c r="CP172" s="218" t="n"/>
      <c r="CQ172" s="218" t="n"/>
      <c r="CR172" s="218" t="n"/>
      <c r="CS172" s="218" t="n"/>
      <c r="CT172" s="3" t="n"/>
      <c r="CU172" s="218" t="n"/>
      <c r="CV172" s="218" t="n"/>
      <c r="CW172" s="218" t="n"/>
      <c r="CX172" s="218" t="n"/>
      <c r="CY172" s="3" t="n"/>
    </row>
    <row r="173" hidden="1" outlineLevel="1">
      <c r="C173" s="3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hidden="1" outlineLevel="1">
      <c r="C174" s="34" t="inlineStr">
        <is>
          <t xml:space="preserve">Dividendos a Pagar </t>
        </is>
      </c>
      <c r="D174" s="6" t="n"/>
      <c r="E174" s="6" t="n"/>
      <c r="F174" s="6" t="n"/>
      <c r="G174" s="6" t="n"/>
      <c r="H174" s="3" t="n"/>
      <c r="I174" s="6" t="n"/>
      <c r="J174" s="6" t="n"/>
      <c r="K174" s="6" t="n"/>
      <c r="L174" s="6" t="n"/>
      <c r="M174" s="3" t="n"/>
      <c r="N174" s="6" t="n"/>
      <c r="O174" s="6" t="n"/>
      <c r="P174" s="6" t="n"/>
      <c r="Q174" s="6" t="n"/>
      <c r="R174" s="3" t="n"/>
      <c r="S174" s="6" t="n"/>
      <c r="T174" s="6" t="n"/>
      <c r="U174" s="6" t="n"/>
      <c r="V174" s="6" t="n"/>
      <c r="W174" s="3" t="n"/>
      <c r="X174" s="6" t="n"/>
      <c r="Y174" s="6" t="n"/>
      <c r="Z174" s="6" t="n"/>
      <c r="AA174" s="6" t="n"/>
      <c r="AB174" s="3" t="n"/>
      <c r="AC174" s="6" t="n"/>
      <c r="AD174" s="6" t="n"/>
      <c r="AE174" s="6" t="n"/>
      <c r="AF174" s="6" t="n"/>
      <c r="AG174" s="3" t="n"/>
      <c r="AH174" s="6" t="n"/>
      <c r="AI174" s="6" t="n"/>
      <c r="AJ174" s="6" t="n"/>
      <c r="AK174" s="6" t="n"/>
      <c r="AL174" s="3" t="n"/>
      <c r="AM174" s="6" t="n"/>
      <c r="AN174" s="6" t="n"/>
      <c r="AO174" s="6" t="n"/>
      <c r="AP174" s="6" t="n"/>
      <c r="AQ174" s="3" t="n"/>
      <c r="AR174" s="6" t="n"/>
      <c r="AS174" s="6" t="n"/>
      <c r="AT174" s="6" t="n"/>
      <c r="AU174" s="6" t="n"/>
      <c r="AV174" s="3" t="n"/>
      <c r="AW174" s="6" t="n"/>
      <c r="AX174" s="6" t="n"/>
      <c r="AY174" s="6" t="n"/>
      <c r="AZ174" s="6" t="n"/>
      <c r="BA174" s="3" t="n"/>
      <c r="BB174" s="6" t="n"/>
      <c r="BC174" s="6" t="n"/>
      <c r="BD174" s="6" t="n"/>
      <c r="BE174" s="6" t="n"/>
      <c r="BF174" s="3" t="n"/>
      <c r="BG174" s="6" t="n"/>
      <c r="BH174" s="6" t="n"/>
      <c r="BI174" s="6" t="n"/>
      <c r="BJ174" s="6" t="n"/>
      <c r="BK174" s="3" t="n"/>
      <c r="BL174" s="6" t="n"/>
      <c r="BM174" s="6" t="n"/>
      <c r="BN174" s="6" t="n"/>
      <c r="BO174" s="6" t="n"/>
      <c r="BP174" s="3" t="n"/>
      <c r="BQ174" s="6" t="n"/>
      <c r="BR174" s="6" t="n"/>
      <c r="BS174" s="6" t="n"/>
      <c r="BT174" s="6" t="n"/>
      <c r="BU174" s="3" t="n"/>
      <c r="BV174" s="6" t="n"/>
      <c r="BW174" s="6" t="n"/>
      <c r="BX174" s="6" t="n"/>
      <c r="BY174" s="6" t="n"/>
      <c r="BZ174" s="3" t="n"/>
      <c r="CA174" s="6" t="n"/>
      <c r="CB174" s="6" t="n"/>
      <c r="CC174" s="6" t="n"/>
      <c r="CD174" s="6" t="n"/>
      <c r="CE174" s="3" t="n"/>
      <c r="CF174" s="6" t="n"/>
      <c r="CG174" s="6" t="n"/>
      <c r="CH174" s="6" t="n"/>
      <c r="CI174" s="6" t="n"/>
      <c r="CJ174" s="3" t="n"/>
      <c r="CK174" s="6" t="n"/>
      <c r="CL174" s="6" t="n"/>
      <c r="CM174" s="6" t="n"/>
      <c r="CN174" s="6" t="n"/>
      <c r="CO174" s="3" t="n"/>
      <c r="CP174" s="6" t="n"/>
      <c r="CQ174" s="6" t="n"/>
      <c r="CR174" s="6" t="n"/>
      <c r="CS174" s="6" t="n"/>
      <c r="CT174" s="3" t="n"/>
      <c r="CU174" s="6" t="n"/>
      <c r="CV174" s="6" t="n"/>
      <c r="CW174" s="6" t="n"/>
      <c r="CX174" s="6" t="n"/>
      <c r="CY174" s="3" t="n"/>
    </row>
    <row r="175" hidden="1" outlineLevel="1">
      <c r="C175" s="34" t="inlineStr">
        <is>
          <t>Contas a pagar pela aquisição de controladas</t>
        </is>
      </c>
      <c r="D175" s="6" t="n"/>
      <c r="E175" s="6" t="n"/>
      <c r="F175" s="6" t="n"/>
      <c r="G175" s="6" t="n"/>
      <c r="H175" s="3" t="n"/>
      <c r="I175" s="6" t="n"/>
      <c r="J175" s="6" t="n"/>
      <c r="K175" s="6" t="n"/>
      <c r="L175" s="6" t="n"/>
      <c r="M175" s="3" t="n"/>
      <c r="N175" s="6" t="n"/>
      <c r="O175" s="6" t="n"/>
      <c r="P175" s="6" t="n"/>
      <c r="Q175" s="6" t="n"/>
      <c r="R175" s="3" t="n"/>
      <c r="S175" s="6" t="n"/>
      <c r="T175" s="6" t="n"/>
      <c r="U175" s="6" t="n"/>
      <c r="V175" s="6" t="n"/>
      <c r="W175" s="3" t="n"/>
      <c r="X175" s="6" t="n"/>
      <c r="Y175" s="6" t="n"/>
      <c r="Z175" s="6" t="n"/>
      <c r="AA175" s="6" t="n"/>
      <c r="AB175" s="3" t="n"/>
      <c r="AC175" s="6" t="n"/>
      <c r="AD175" s="6" t="n"/>
      <c r="AE175" s="6" t="n"/>
      <c r="AF175" s="6" t="n"/>
      <c r="AG175" s="3" t="n"/>
      <c r="AH175" s="6" t="n"/>
      <c r="AI175" s="6" t="n"/>
      <c r="AJ175" s="6" t="n"/>
      <c r="AK175" s="6" t="n"/>
      <c r="AL175" s="3" t="n"/>
      <c r="AM175" s="6" t="n"/>
      <c r="AN175" s="6" t="n"/>
      <c r="AO175" s="6" t="n"/>
      <c r="AP175" s="6" t="n"/>
      <c r="AQ175" s="3" t="n"/>
      <c r="AR175" s="6" t="n"/>
      <c r="AS175" s="6" t="n"/>
      <c r="AT175" s="6" t="n"/>
      <c r="AU175" s="6" t="n"/>
      <c r="AV175" s="3" t="n"/>
      <c r="AW175" s="6" t="n"/>
      <c r="AX175" s="6" t="n"/>
      <c r="AY175" s="6" t="n"/>
      <c r="AZ175" s="6" t="n"/>
      <c r="BA175" s="3" t="n"/>
      <c r="BB175" s="6" t="n"/>
      <c r="BC175" s="6" t="n"/>
      <c r="BD175" s="6" t="n"/>
      <c r="BE175" s="6" t="n"/>
      <c r="BF175" s="3" t="n"/>
      <c r="BG175" s="6" t="n"/>
      <c r="BH175" s="6" t="n"/>
      <c r="BI175" s="6" t="n"/>
      <c r="BJ175" s="6" t="n"/>
      <c r="BK175" s="3" t="n"/>
      <c r="BL175" s="6" t="n"/>
      <c r="BM175" s="6" t="n"/>
      <c r="BN175" s="6" t="n"/>
      <c r="BO175" s="6" t="n"/>
      <c r="BP175" s="3" t="n"/>
      <c r="BQ175" s="6" t="n"/>
      <c r="BR175" s="6" t="n"/>
      <c r="BS175" s="6" t="n"/>
      <c r="BT175" s="6" t="n"/>
      <c r="BU175" s="3" t="n"/>
      <c r="BV175" s="6" t="n"/>
      <c r="BW175" s="6" t="n"/>
      <c r="BX175" s="6" t="n"/>
      <c r="BY175" s="6" t="n"/>
      <c r="BZ175" s="3" t="n"/>
      <c r="CA175" s="6" t="n"/>
      <c r="CB175" s="6" t="n"/>
      <c r="CC175" s="6" t="n"/>
      <c r="CD175" s="6" t="n"/>
      <c r="CE175" s="3" t="n"/>
      <c r="CF175" s="6" t="n"/>
      <c r="CG175" s="6" t="n"/>
      <c r="CH175" s="6" t="n"/>
      <c r="CI175" s="6" t="n"/>
      <c r="CJ175" s="3" t="n"/>
      <c r="CK175" s="6" t="n"/>
      <c r="CL175" s="6" t="n"/>
      <c r="CM175" s="6" t="n"/>
      <c r="CN175" s="6" t="n"/>
      <c r="CO175" s="3" t="n"/>
      <c r="CP175" s="6" t="n"/>
      <c r="CQ175" s="6" t="n"/>
      <c r="CR175" s="6" t="n"/>
      <c r="CS175" s="6" t="n"/>
      <c r="CT175" s="3" t="n"/>
      <c r="CU175" s="6" t="n"/>
      <c r="CV175" s="6" t="n"/>
      <c r="CW175" s="6" t="n"/>
      <c r="CX175" s="6" t="n"/>
      <c r="CY175" s="3" t="n"/>
    </row>
    <row r="176" hidden="1" outlineLevel="1">
      <c r="C176" s="34" t="inlineStr">
        <is>
          <t>Outros</t>
        </is>
      </c>
      <c r="D176" s="6" t="n"/>
      <c r="E176" s="6" t="n"/>
      <c r="F176" s="6" t="n"/>
      <c r="G176" s="6" t="n"/>
      <c r="H176" s="3" t="n"/>
      <c r="I176" s="6" t="n"/>
      <c r="J176" s="6" t="n"/>
      <c r="K176" s="6" t="n"/>
      <c r="L176" s="6" t="n"/>
      <c r="M176" s="3" t="n"/>
      <c r="N176" s="6" t="n"/>
      <c r="O176" s="6" t="n"/>
      <c r="P176" s="6" t="n"/>
      <c r="Q176" s="6" t="n"/>
      <c r="R176" s="3" t="n"/>
      <c r="S176" s="6" t="n"/>
      <c r="T176" s="6" t="n"/>
      <c r="U176" s="6" t="n"/>
      <c r="V176" s="6" t="n"/>
      <c r="W176" s="3" t="n"/>
      <c r="X176" s="6" t="n"/>
      <c r="Y176" s="6" t="n"/>
      <c r="Z176" s="6" t="n"/>
      <c r="AA176" s="6" t="n"/>
      <c r="AB176" s="3" t="n"/>
      <c r="AC176" s="6" t="n"/>
      <c r="AD176" s="6" t="n"/>
      <c r="AE176" s="6" t="n"/>
      <c r="AF176" s="6" t="n"/>
      <c r="AG176" s="3" t="n"/>
      <c r="AH176" s="6" t="n"/>
      <c r="AI176" s="6" t="n"/>
      <c r="AJ176" s="6" t="n"/>
      <c r="AK176" s="6" t="n"/>
      <c r="AL176" s="3" t="n"/>
      <c r="AM176" s="6" t="n"/>
      <c r="AN176" s="6" t="n"/>
      <c r="AO176" s="6" t="n"/>
      <c r="AP176" s="6" t="n"/>
      <c r="AQ176" s="3" t="n"/>
      <c r="AR176" s="6" t="n"/>
      <c r="AS176" s="6" t="n"/>
      <c r="AT176" s="6" t="n"/>
      <c r="AU176" s="6" t="n"/>
      <c r="AV176" s="3" t="n"/>
      <c r="AW176" s="6" t="n"/>
      <c r="AX176" s="6" t="n"/>
      <c r="AY176" s="6" t="n"/>
      <c r="AZ176" s="6" t="n"/>
      <c r="BA176" s="3" t="n"/>
      <c r="BB176" s="6" t="n"/>
      <c r="BC176" s="6" t="n"/>
      <c r="BD176" s="6" t="n"/>
      <c r="BE176" s="6" t="n"/>
      <c r="BF176" s="3" t="n"/>
      <c r="BG176" s="6" t="n"/>
      <c r="BH176" s="6" t="n"/>
      <c r="BI176" s="6" t="n"/>
      <c r="BJ176" s="6" t="n"/>
      <c r="BK176" s="3" t="n"/>
      <c r="BL176" s="6" t="n"/>
      <c r="BM176" s="6" t="n"/>
      <c r="BN176" s="6" t="n"/>
      <c r="BO176" s="6" t="n"/>
      <c r="BP176" s="3" t="n"/>
      <c r="BQ176" s="6" t="n"/>
      <c r="BR176" s="6" t="n"/>
      <c r="BS176" s="6" t="n"/>
      <c r="BT176" s="6" t="n"/>
      <c r="BU176" s="3" t="n"/>
      <c r="BV176" s="6" t="n"/>
      <c r="BW176" s="6" t="n"/>
      <c r="BX176" s="6" t="n"/>
      <c r="BY176" s="6" t="n"/>
      <c r="BZ176" s="3" t="n"/>
      <c r="CA176" s="6" t="n"/>
      <c r="CB176" s="6" t="n"/>
      <c r="CC176" s="6" t="n"/>
      <c r="CD176" s="6" t="n"/>
      <c r="CE176" s="3" t="n"/>
      <c r="CF176" s="6" t="n"/>
      <c r="CG176" s="6" t="n"/>
      <c r="CH176" s="6" t="n"/>
      <c r="CI176" s="6" t="n"/>
      <c r="CJ176" s="3" t="n"/>
      <c r="CK176" s="6" t="n"/>
      <c r="CL176" s="6" t="n"/>
      <c r="CM176" s="6" t="n"/>
      <c r="CN176" s="6" t="n"/>
      <c r="CO176" s="3" t="n"/>
      <c r="CP176" s="6" t="n"/>
      <c r="CQ176" s="6" t="n"/>
      <c r="CR176" s="6" t="n"/>
      <c r="CS176" s="6" t="n"/>
      <c r="CT176" s="3" t="n"/>
      <c r="CU176" s="6" t="n"/>
      <c r="CV176" s="6" t="n"/>
      <c r="CW176" s="6" t="n"/>
      <c r="CX176" s="6" t="n"/>
      <c r="CY176" s="3" t="n"/>
    </row>
    <row r="177" hidden="1" outlineLevel="1">
      <c r="C177" s="34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  <c r="BZ177" s="3" t="n"/>
      <c r="CA177" s="3" t="n"/>
      <c r="CB177" s="3" t="n"/>
      <c r="CC177" s="3" t="n"/>
      <c r="CD177" s="3" t="n"/>
      <c r="CE177" s="3" t="n"/>
      <c r="CF177" s="3" t="n"/>
      <c r="CG177" s="3" t="n"/>
      <c r="CH177" s="3" t="n"/>
      <c r="CI177" s="3" t="n"/>
      <c r="CJ177" s="3" t="n"/>
      <c r="CK177" s="3" t="n"/>
      <c r="CL177" s="3" t="n"/>
      <c r="CM177" s="3" t="n"/>
      <c r="CN177" s="3" t="n"/>
      <c r="CO177" s="3" t="n"/>
      <c r="CP177" s="3" t="n"/>
      <c r="CQ177" s="3" t="n"/>
      <c r="CR177" s="3" t="n"/>
      <c r="CS177" s="3" t="n"/>
      <c r="CT177" s="3" t="n"/>
      <c r="CU177" s="3" t="n"/>
      <c r="CV177" s="3" t="n"/>
      <c r="CW177" s="3" t="n"/>
      <c r="CX177" s="3" t="n"/>
      <c r="CY177" s="3" t="n"/>
    </row>
    <row r="178" collapsed="1">
      <c r="C178" s="26" t="inlineStr">
        <is>
          <t>Current portion of long-term debt</t>
        </is>
      </c>
      <c r="D178" s="25">
        <f>INDEX('Inputs (2)'!$D$32:$AL$32,MATCH(D$7,'Inputs (2)'!$D$2:$AL$2,0))</f>
        <v>59.04090445</v>
      </c>
      <c r="E178" s="25">
        <f>INDEX('Inputs (2)'!$D$32:$AL$32,MATCH(E$7,'Inputs (2)'!$D$2:$AL$2,0))</f>
        <v>311.45430246</v>
      </c>
      <c r="F178" s="25">
        <f>INDEX('Inputs (2)'!$D$32:$AL$32,MATCH(F$7,'Inputs (2)'!$D$2:$AL$2,0))</f>
        <v>326.18057893</v>
      </c>
      <c r="G178" s="25">
        <f>INDEX('Inputs (2)'!$D$32:$AL$32,MATCH(G$7,'Inputs (2)'!$D$2:$AL$2,0))</f>
        <v>472.24978372</v>
      </c>
      <c r="H178" s="3">
        <f>G178</f>
        <v>472.24978372</v>
      </c>
      <c r="I178" s="25">
        <f>INDEX('Inputs (2)'!$D$32:$AL$32,MATCH(I$7,'Inputs (2)'!$D$2:$AL$2,0))</f>
        <v>634.39933369</v>
      </c>
      <c r="J178" s="25">
        <f>INDEX('Inputs (2)'!$D$32:$AL$32,MATCH(J$7,'Inputs (2)'!$D$2:$AL$2,0))</f>
        <v>734.08204401</v>
      </c>
      <c r="K178" s="25">
        <f>INDEX('Inputs (2)'!$D$32:$AL$32,MATCH(K$7,'Inputs (2)'!$D$2:$AL$2,0))</f>
        <v>365.44586972</v>
      </c>
      <c r="L178" s="25">
        <f>INDEX('Inputs (2)'!$D$32:$AL$32,MATCH(L$7,'Inputs (2)'!$D$2:$AL$2,0))</f>
        <v>375.05613713</v>
      </c>
      <c r="M178" s="3">
        <f>L178</f>
        <v>375.05613713</v>
      </c>
      <c r="N178" s="25">
        <f>INDEX('Inputs (2)'!$D$32:$AL$32,MATCH(N$7,'Inputs (2)'!$D$2:$AL$2,0))</f>
        <v>226.60160284</v>
      </c>
      <c r="O178" s="25">
        <f>INDEX('Inputs (2)'!$D$32:$AL$32,MATCH(O$7,'Inputs (2)'!$D$2:$AL$2,0))</f>
        <v>499.57014269</v>
      </c>
      <c r="P178" s="25">
        <f>INDEX('Inputs (2)'!$D$32:$AL$32,MATCH(P$7,'Inputs (2)'!$D$2:$AL$2,0))</f>
        <v>526.2207363</v>
      </c>
      <c r="Q178" s="25">
        <f>INDEX('Inputs (2)'!$D$32:$AL$32,MATCH(Q$7,'Inputs (2)'!$D$2:$AL$2,0))</f>
        <v>360.91905258</v>
      </c>
      <c r="R178" s="3">
        <f>Q178</f>
        <v>360.91905258</v>
      </c>
      <c r="S178" s="25">
        <f>INDEX('Inputs (2)'!$D$32:$AL$32,MATCH(S$7,'Inputs (2)'!$D$2:$AL$2,0))</f>
        <v>371.51442415</v>
      </c>
      <c r="T178" s="25">
        <f>INDEX('Inputs (2)'!$D$32:$AL$32,MATCH(T$7,'Inputs (2)'!$D$2:$AL$2,0))</f>
        <v>554.579</v>
      </c>
      <c r="U178" s="25">
        <f>INDEX('Inputs (2)'!$D$32:$AL$32,MATCH(U$7,'Inputs (2)'!$D$2:$AL$2,0))</f>
        <v>444.503</v>
      </c>
      <c r="V178" s="25">
        <f>INDEX('Inputs (2)'!$D$32:$AL$32,MATCH(V$7,'Inputs (2)'!$D$2:$AL$2,0))</f>
        <v>308.095</v>
      </c>
      <c r="W178" s="3">
        <f>V178</f>
        <v>308.095</v>
      </c>
      <c r="X178" s="25">
        <f>INDEX('Inputs (2)'!$D$32:$AL$32,MATCH(X$7,'Inputs (2)'!$D$2:$AL$2,0))</f>
        <v>317.363</v>
      </c>
      <c r="Y178" s="25">
        <f>INDEX('Inputs (2)'!$D$32:$AL$32,MATCH(Y$7,'Inputs (2)'!$D$2:$AL$2,0))</f>
        <v>312.988</v>
      </c>
      <c r="Z178" s="25">
        <f>INDEX('Inputs (2)'!$D$32:$AL$32,MATCH(Z$7,'Inputs (2)'!$D$2:$AL$2,0))</f>
        <v>617.308</v>
      </c>
      <c r="AA178" s="25">
        <f>INDEX('Inputs (2)'!$D$32:$AL$32,MATCH(AA$7,'Inputs (2)'!$D$2:$AL$2,0))</f>
        <v>206.757</v>
      </c>
      <c r="AB178" s="3">
        <f>AA178</f>
        <v>206.757</v>
      </c>
      <c r="AC178" s="25">
        <f>INDEX('Inputs (2)'!$D$32:$AL$32,MATCH(AC$7,'Inputs (2)'!$D$2:$AL$2,0))</f>
        <v>312.099094</v>
      </c>
      <c r="AD178" s="25">
        <f>INDEX('Inputs (2)'!$D$32:$AL$32,MATCH(AD$7,'Inputs (2)'!$D$2:$AL$2,0))</f>
        <v>224.873</v>
      </c>
      <c r="AE178" s="25">
        <f>INDEX('Inputs (2)'!$D$32:$AL$32,MATCH(AE$7,'Inputs (2)'!$D$2:$AL$2,0))</f>
        <v>359.051</v>
      </c>
      <c r="AF178" s="25">
        <f>INDEX('Inputs (2)'!$D$32:$AL$32,MATCH(AF$7,'Inputs (2)'!$D$2:$AL$2,0))</f>
        <v>232.103</v>
      </c>
      <c r="AG178" s="3">
        <f>AF178</f>
        <v>232.103</v>
      </c>
      <c r="AH178" s="3">
        <f>AG178</f>
        <v>232.103</v>
      </c>
      <c r="AI178" s="3">
        <f>AH178</f>
        <v>232.103</v>
      </c>
      <c r="AJ178" s="3">
        <f>AI178</f>
        <v>232.103</v>
      </c>
      <c r="AK178" s="3">
        <f>AJ178</f>
        <v>232.103</v>
      </c>
      <c r="AL178" s="3">
        <f>AK178</f>
        <v>232.103</v>
      </c>
      <c r="AM178" s="3">
        <f>AL178</f>
        <v>232.103</v>
      </c>
      <c r="AN178" s="3">
        <f>AM178</f>
        <v>232.103</v>
      </c>
      <c r="AO178" s="3">
        <f>AN178</f>
        <v>232.103</v>
      </c>
      <c r="AP178" s="3">
        <f>AO178</f>
        <v>232.103</v>
      </c>
      <c r="AQ178" s="3">
        <f>AP178</f>
        <v>232.103</v>
      </c>
      <c r="AR178" s="3">
        <f>AQ178</f>
        <v>232.103</v>
      </c>
      <c r="AS178" s="3">
        <f>AR178</f>
        <v>232.103</v>
      </c>
      <c r="AT178" s="3">
        <f>AS178</f>
        <v>232.103</v>
      </c>
      <c r="AU178" s="3">
        <f>AT178</f>
        <v>232.103</v>
      </c>
      <c r="AV178" s="3">
        <f>AU178</f>
        <v>232.103</v>
      </c>
      <c r="AW178" s="3">
        <f>AV178</f>
        <v>232.103</v>
      </c>
      <c r="AX178" s="3">
        <f>AW178</f>
        <v>232.103</v>
      </c>
      <c r="AY178" s="3">
        <f>AX178</f>
        <v>232.103</v>
      </c>
      <c r="AZ178" s="3">
        <f>AY178</f>
        <v>232.103</v>
      </c>
      <c r="BA178" s="3">
        <f>AZ178</f>
        <v>232.103</v>
      </c>
      <c r="BB178" s="3">
        <f>BA178</f>
        <v>232.103</v>
      </c>
      <c r="BC178" s="3">
        <f>BB178</f>
        <v>232.103</v>
      </c>
      <c r="BD178" s="3">
        <f>BC178</f>
        <v>232.103</v>
      </c>
      <c r="BE178" s="3">
        <f>BD178</f>
        <v>232.103</v>
      </c>
      <c r="BF178" s="3">
        <f>BE178</f>
        <v>232.103</v>
      </c>
      <c r="BG178" s="3">
        <f>BF178</f>
        <v>232.103</v>
      </c>
      <c r="BH178" s="3">
        <f>BG178</f>
        <v>232.103</v>
      </c>
      <c r="BI178" s="3">
        <f>BH178</f>
        <v>232.103</v>
      </c>
      <c r="BJ178" s="3">
        <f>BI178</f>
        <v>232.103</v>
      </c>
      <c r="BK178" s="3">
        <f>BJ178</f>
        <v>232.103</v>
      </c>
      <c r="BL178" s="3">
        <f>BK178</f>
        <v>232.103</v>
      </c>
      <c r="BM178" s="3">
        <f>BL178</f>
        <v>232.103</v>
      </c>
      <c r="BN178" s="3">
        <f>BM178</f>
        <v>232.103</v>
      </c>
      <c r="BO178" s="3">
        <f>BN178</f>
        <v>232.103</v>
      </c>
      <c r="BP178" s="3">
        <f>BO178</f>
        <v>232.103</v>
      </c>
      <c r="BQ178" s="3">
        <f>BP178</f>
        <v>232.103</v>
      </c>
      <c r="BR178" s="3">
        <f>BQ178</f>
        <v>232.103</v>
      </c>
      <c r="BS178" s="3">
        <f>BR178</f>
        <v>232.103</v>
      </c>
      <c r="BT178" s="3">
        <f>BS178</f>
        <v>232.103</v>
      </c>
      <c r="BU178" s="3">
        <f>BT178</f>
        <v>232.103</v>
      </c>
      <c r="BV178" s="3">
        <f>BU178</f>
        <v>232.103</v>
      </c>
      <c r="BW178" s="3">
        <f>BV178</f>
        <v>232.103</v>
      </c>
      <c r="BX178" s="3">
        <f>BW178</f>
        <v>232.103</v>
      </c>
      <c r="BY178" s="3">
        <f>BX178</f>
        <v>232.103</v>
      </c>
      <c r="BZ178" s="3">
        <f>BY178</f>
        <v>232.103</v>
      </c>
      <c r="CA178" s="3">
        <f>BZ178</f>
        <v>232.103</v>
      </c>
      <c r="CB178" s="3">
        <f>CA178</f>
        <v>232.103</v>
      </c>
      <c r="CC178" s="3">
        <f>CB178</f>
        <v>232.103</v>
      </c>
      <c r="CD178" s="3">
        <f>CC178</f>
        <v>232.103</v>
      </c>
      <c r="CE178" s="3">
        <f>CD178</f>
        <v>232.103</v>
      </c>
      <c r="CF178" s="3">
        <f>CE178</f>
        <v>232.103</v>
      </c>
      <c r="CG178" s="3">
        <f>CF178</f>
        <v>232.103</v>
      </c>
      <c r="CH178" s="3">
        <f>CG178</f>
        <v>232.103</v>
      </c>
      <c r="CI178" s="3">
        <f>CH178</f>
        <v>232.103</v>
      </c>
      <c r="CJ178" s="3">
        <f>CI178</f>
        <v>232.103</v>
      </c>
      <c r="CK178" s="3">
        <f>CJ178</f>
        <v>232.103</v>
      </c>
      <c r="CL178" s="3">
        <f>CK178</f>
        <v>232.103</v>
      </c>
      <c r="CM178" s="3">
        <f>CL178</f>
        <v>232.103</v>
      </c>
      <c r="CN178" s="3">
        <f>CM178</f>
        <v>232.103</v>
      </c>
      <c r="CO178" s="3">
        <f>CN178</f>
        <v>232.103</v>
      </c>
      <c r="CP178" s="3">
        <f>CO178</f>
        <v>232.103</v>
      </c>
      <c r="CQ178" s="3">
        <f>CP178</f>
        <v>232.103</v>
      </c>
      <c r="CR178" s="3">
        <f>CQ178</f>
        <v>232.103</v>
      </c>
      <c r="CS178" s="3">
        <f>CR178</f>
        <v>232.103</v>
      </c>
      <c r="CT178" s="3">
        <f>CS178</f>
        <v>232.103</v>
      </c>
      <c r="CU178" s="3">
        <f>CT178</f>
        <v>232.103</v>
      </c>
      <c r="CV178" s="3">
        <f>CU178</f>
        <v>232.103</v>
      </c>
      <c r="CW178" s="3">
        <f>CV178</f>
        <v>232.103</v>
      </c>
      <c r="CX178" s="3">
        <f>CW178</f>
        <v>232.103</v>
      </c>
      <c r="CY178" s="3">
        <f>CX178</f>
        <v>232.103</v>
      </c>
    </row>
    <row r="179">
      <c r="C179" s="26" t="inlineStr">
        <is>
          <t>Short term debt (Revolving credit facility)</t>
        </is>
      </c>
      <c r="D179" s="25" t="n"/>
      <c r="E179" s="25" t="n"/>
      <c r="F179" s="25" t="n"/>
      <c r="G179" s="25" t="n"/>
      <c r="H179" s="3">
        <f>G179</f>
        <v>0</v>
      </c>
      <c r="I179" s="25" t="n"/>
      <c r="J179" s="25" t="n"/>
      <c r="K179" s="25" t="n"/>
      <c r="L179" s="25" t="n"/>
      <c r="M179" s="3">
        <f>L179</f>
        <v>0</v>
      </c>
      <c r="N179" s="25" t="n"/>
      <c r="O179" s="25" t="n"/>
      <c r="P179" s="25" t="n"/>
      <c r="Q179" s="25" t="n"/>
      <c r="R179" s="3">
        <f>Q179</f>
        <v>0</v>
      </c>
      <c r="S179" s="25" t="n"/>
      <c r="T179" s="25" t="n"/>
      <c r="U179" s="25" t="n"/>
      <c r="V179" s="25" t="n"/>
      <c r="W179" s="3">
        <f>V179</f>
        <v>0</v>
      </c>
      <c r="X179" s="25" t="n"/>
      <c r="Y179" s="25" t="n"/>
      <c r="Z179" s="25" t="n"/>
      <c r="AA179" s="25" t="n"/>
      <c r="AB179" s="3">
        <f>AA179</f>
        <v>0</v>
      </c>
      <c r="AC179" s="25" t="n"/>
      <c r="AD179" s="25" t="n"/>
      <c r="AE179" s="25" t="n"/>
      <c r="AF179" s="25" t="n"/>
      <c r="AG179" s="3">
        <f>AF179</f>
        <v>0</v>
      </c>
      <c r="AH179" s="3">
        <f>AG179</f>
        <v>0</v>
      </c>
      <c r="AI179" s="3">
        <f>AH179</f>
        <v>0</v>
      </c>
      <c r="AJ179" s="3">
        <f>AI179</f>
        <v>0</v>
      </c>
      <c r="AK179" s="3">
        <f>AJ179</f>
        <v>0</v>
      </c>
      <c r="AL179" s="3">
        <f>AK179</f>
        <v>0</v>
      </c>
      <c r="AM179" s="3">
        <f>AL179</f>
        <v>0</v>
      </c>
      <c r="AN179" s="3">
        <f>AM179</f>
        <v>0</v>
      </c>
      <c r="AO179" s="3">
        <f>AN179</f>
        <v>0</v>
      </c>
      <c r="AP179" s="3">
        <f>AO179</f>
        <v>0</v>
      </c>
      <c r="AQ179" s="3">
        <f>AP179</f>
        <v>0</v>
      </c>
      <c r="AR179" s="3">
        <f>AQ179</f>
        <v>0</v>
      </c>
      <c r="AS179" s="3">
        <f>AR179</f>
        <v>0</v>
      </c>
      <c r="AT179" s="3">
        <f>AS179</f>
        <v>0</v>
      </c>
      <c r="AU179" s="3">
        <f>AT179</f>
        <v>0</v>
      </c>
      <c r="AV179" s="3">
        <f>AU179</f>
        <v>0</v>
      </c>
      <c r="AW179" s="3">
        <f>AV179</f>
        <v>0</v>
      </c>
      <c r="AX179" s="3">
        <f>AW179</f>
        <v>0</v>
      </c>
      <c r="AY179" s="3">
        <f>AX179</f>
        <v>0</v>
      </c>
      <c r="AZ179" s="3">
        <f>AY179</f>
        <v>0</v>
      </c>
      <c r="BA179" s="3">
        <f>AZ179</f>
        <v>0</v>
      </c>
      <c r="BB179" s="3">
        <f>BA179</f>
        <v>0</v>
      </c>
      <c r="BC179" s="3">
        <f>BB179</f>
        <v>0</v>
      </c>
      <c r="BD179" s="3">
        <f>BC179</f>
        <v>0</v>
      </c>
      <c r="BE179" s="3">
        <f>BD179</f>
        <v>0</v>
      </c>
      <c r="BF179" s="3">
        <f>BE179</f>
        <v>0</v>
      </c>
      <c r="BG179" s="3">
        <f>BF179</f>
        <v>0</v>
      </c>
      <c r="BH179" s="3">
        <f>BG179</f>
        <v>0</v>
      </c>
      <c r="BI179" s="3">
        <f>BH179</f>
        <v>0</v>
      </c>
      <c r="BJ179" s="3">
        <f>BI179</f>
        <v>0</v>
      </c>
      <c r="BK179" s="3">
        <f>BJ179</f>
        <v>0</v>
      </c>
      <c r="BL179" s="3">
        <f>BK179</f>
        <v>0</v>
      </c>
      <c r="BM179" s="3">
        <f>BL179</f>
        <v>0</v>
      </c>
      <c r="BN179" s="3">
        <f>BM179</f>
        <v>0</v>
      </c>
      <c r="BO179" s="3">
        <f>BN179</f>
        <v>0</v>
      </c>
      <c r="BP179" s="3">
        <f>BO179</f>
        <v>0</v>
      </c>
      <c r="BQ179" s="3">
        <f>BP179</f>
        <v>0</v>
      </c>
      <c r="BR179" s="3">
        <f>BQ179</f>
        <v>0</v>
      </c>
      <c r="BS179" s="3">
        <f>BR179</f>
        <v>0</v>
      </c>
      <c r="BT179" s="3">
        <f>BS179</f>
        <v>0</v>
      </c>
      <c r="BU179" s="3">
        <f>BT179</f>
        <v>0</v>
      </c>
      <c r="BV179" s="3">
        <f>BU179</f>
        <v>0</v>
      </c>
      <c r="BW179" s="3">
        <f>BV179</f>
        <v>0</v>
      </c>
      <c r="BX179" s="3">
        <f>BW179</f>
        <v>0</v>
      </c>
      <c r="BY179" s="3">
        <f>BX179</f>
        <v>0</v>
      </c>
      <c r="BZ179" s="3">
        <f>BY179</f>
        <v>0</v>
      </c>
      <c r="CA179" s="3">
        <f>BZ179</f>
        <v>0</v>
      </c>
      <c r="CB179" s="3">
        <f>CA179</f>
        <v>0</v>
      </c>
      <c r="CC179" s="3">
        <f>CB179</f>
        <v>0</v>
      </c>
      <c r="CD179" s="3">
        <f>CC179</f>
        <v>0</v>
      </c>
      <c r="CE179" s="3">
        <f>CD179</f>
        <v>0</v>
      </c>
      <c r="CF179" s="3">
        <f>CE179</f>
        <v>0</v>
      </c>
      <c r="CG179" s="3">
        <f>CF179</f>
        <v>0</v>
      </c>
      <c r="CH179" s="3">
        <f>CG179</f>
        <v>0</v>
      </c>
      <c r="CI179" s="3">
        <f>CH179</f>
        <v>0</v>
      </c>
      <c r="CJ179" s="3">
        <f>CI179</f>
        <v>0</v>
      </c>
      <c r="CK179" s="3">
        <f>CJ179</f>
        <v>0</v>
      </c>
      <c r="CL179" s="3">
        <f>CK179</f>
        <v>0</v>
      </c>
      <c r="CM179" s="3">
        <f>CL179</f>
        <v>0</v>
      </c>
      <c r="CN179" s="3">
        <f>CM179</f>
        <v>0</v>
      </c>
      <c r="CO179" s="3">
        <f>CN179</f>
        <v>0</v>
      </c>
      <c r="CP179" s="3">
        <f>CO179</f>
        <v>0</v>
      </c>
      <c r="CQ179" s="3">
        <f>CP179</f>
        <v>0</v>
      </c>
      <c r="CR179" s="3">
        <f>CQ179</f>
        <v>0</v>
      </c>
      <c r="CS179" s="3">
        <f>CR179</f>
        <v>0</v>
      </c>
      <c r="CT179" s="3">
        <f>CS179</f>
        <v>0</v>
      </c>
      <c r="CU179" s="3">
        <f>CT179</f>
        <v>0</v>
      </c>
      <c r="CV179" s="3">
        <f>CU179</f>
        <v>0</v>
      </c>
      <c r="CW179" s="3">
        <f>CV179</f>
        <v>0</v>
      </c>
      <c r="CX179" s="3">
        <f>CW179</f>
        <v>0</v>
      </c>
      <c r="CY179" s="3">
        <f>CX179</f>
        <v>0</v>
      </c>
    </row>
    <row r="180">
      <c r="C180" s="26" t="inlineStr">
        <is>
          <t>Short term operating leases</t>
        </is>
      </c>
      <c r="D180" s="25">
        <f>INDEX('Inputs (2)'!$D$34:$AL$34,MATCH(D$7,'Inputs (2)'!$D$2:$AL$2,0))</f>
        <v>92.853</v>
      </c>
      <c r="E180" s="25">
        <f>INDEX('Inputs (2)'!$D$34:$AL$34,MATCH(E$7,'Inputs (2)'!$D$2:$AL$2,0))</f>
        <v>101.06879373</v>
      </c>
      <c r="F180" s="25">
        <f>INDEX('Inputs (2)'!$D$34:$AL$34,MATCH(F$7,'Inputs (2)'!$D$2:$AL$2,0))</f>
        <v>97.42076887</v>
      </c>
      <c r="G180" s="25">
        <f>INDEX('Inputs (2)'!$D$34:$AL$34,MATCH(G$7,'Inputs (2)'!$D$2:$AL$2,0))</f>
        <v>105.03906635</v>
      </c>
      <c r="H180" s="3">
        <f>G180</f>
        <v>105.03906635</v>
      </c>
      <c r="I180" s="25">
        <f>INDEX('Inputs (2)'!$D$34:$AL$34,MATCH(I$7,'Inputs (2)'!$D$2:$AL$2,0))</f>
        <v>106.47604073</v>
      </c>
      <c r="J180" s="25">
        <f>INDEX('Inputs (2)'!$D$34:$AL$34,MATCH(J$7,'Inputs (2)'!$D$2:$AL$2,0))</f>
        <v>107.53912171</v>
      </c>
      <c r="K180" s="25">
        <f>INDEX('Inputs (2)'!$D$34:$AL$34,MATCH(K$7,'Inputs (2)'!$D$2:$AL$2,0))</f>
        <v>102.09020266</v>
      </c>
      <c r="L180" s="25">
        <f>INDEX('Inputs (2)'!$D$34:$AL$34,MATCH(L$7,'Inputs (2)'!$D$2:$AL$2,0))</f>
        <v>129.64438544</v>
      </c>
      <c r="M180" s="3">
        <f>L180</f>
        <v>129.64438544</v>
      </c>
      <c r="N180" s="25">
        <f>INDEX('Inputs (2)'!$D$34:$AL$34,MATCH(N$7,'Inputs (2)'!$D$2:$AL$2,0))</f>
        <v>140.28839753</v>
      </c>
      <c r="O180" s="25">
        <f>INDEX('Inputs (2)'!$D$34:$AL$34,MATCH(O$7,'Inputs (2)'!$D$2:$AL$2,0))</f>
        <v>150.37974573</v>
      </c>
      <c r="P180" s="25">
        <f>INDEX('Inputs (2)'!$D$34:$AL$34,MATCH(P$7,'Inputs (2)'!$D$2:$AL$2,0))</f>
        <v>156.82602384</v>
      </c>
      <c r="Q180" s="25">
        <f>INDEX('Inputs (2)'!$D$34:$AL$34,MATCH(Q$7,'Inputs (2)'!$D$2:$AL$2,0))</f>
        <v>174.90125352</v>
      </c>
      <c r="R180" s="3">
        <f>Q180</f>
        <v>174.90125352</v>
      </c>
      <c r="S180" s="25">
        <f>INDEX('Inputs (2)'!$D$34:$AL$34,MATCH(S$7,'Inputs (2)'!$D$2:$AL$2,0))</f>
        <v>192.467104</v>
      </c>
      <c r="T180" s="25">
        <f>INDEX('Inputs (2)'!$D$34:$AL$34,MATCH(T$7,'Inputs (2)'!$D$2:$AL$2,0))</f>
        <v>269.893</v>
      </c>
      <c r="U180" s="25">
        <f>INDEX('Inputs (2)'!$D$34:$AL$34,MATCH(U$7,'Inputs (2)'!$D$2:$AL$2,0))</f>
        <v>263.101</v>
      </c>
      <c r="V180" s="25">
        <f>INDEX('Inputs (2)'!$D$34:$AL$34,MATCH(V$7,'Inputs (2)'!$D$2:$AL$2,0))</f>
        <v>272.067</v>
      </c>
      <c r="W180" s="3">
        <f>V180</f>
        <v>272.067</v>
      </c>
      <c r="X180" s="25">
        <f>INDEX('Inputs (2)'!$D$34:$AL$34,MATCH(X$7,'Inputs (2)'!$D$2:$AL$2,0))</f>
        <v>277.296</v>
      </c>
      <c r="Y180" s="25">
        <f>INDEX('Inputs (2)'!$D$34:$AL$34,MATCH(Y$7,'Inputs (2)'!$D$2:$AL$2,0))</f>
        <v>280.827</v>
      </c>
      <c r="Z180" s="25">
        <f>INDEX('Inputs (2)'!$D$34:$AL$34,MATCH(Z$7,'Inputs (2)'!$D$2:$AL$2,0))</f>
        <v>288.153</v>
      </c>
      <c r="AA180" s="25">
        <f>INDEX('Inputs (2)'!$D$34:$AL$34,MATCH(AA$7,'Inputs (2)'!$D$2:$AL$2,0))</f>
        <v>290.854</v>
      </c>
      <c r="AB180" s="3">
        <f>AA180</f>
        <v>290.854</v>
      </c>
      <c r="AC180" s="25">
        <f>INDEX('Inputs (2)'!$D$34:$AL$34,MATCH(AC$7,'Inputs (2)'!$D$2:$AL$2,0))</f>
        <v>310.350855</v>
      </c>
      <c r="AD180" s="25">
        <f>INDEX('Inputs (2)'!$D$34:$AL$34,MATCH(AD$7,'Inputs (2)'!$D$2:$AL$2,0))</f>
        <v>304.045</v>
      </c>
      <c r="AE180" s="25">
        <f>INDEX('Inputs (2)'!$D$34:$AL$34,MATCH(AE$7,'Inputs (2)'!$D$2:$AL$2,0))</f>
        <v>313.074</v>
      </c>
      <c r="AF180" s="25">
        <f>INDEX('Inputs (2)'!$D$34:$AL$34,MATCH(AF$7,'Inputs (2)'!$D$2:$AL$2,0))</f>
        <v>318.732</v>
      </c>
      <c r="AG180" s="3">
        <f>AF180</f>
        <v>318.732</v>
      </c>
      <c r="AH180" s="3">
        <f>AG180</f>
        <v>318.732</v>
      </c>
      <c r="AI180" s="3">
        <f>AH180</f>
        <v>318.732</v>
      </c>
      <c r="AJ180" s="3">
        <f>AI180</f>
        <v>318.732</v>
      </c>
      <c r="AK180" s="3">
        <f>AJ180</f>
        <v>318.732</v>
      </c>
      <c r="AL180" s="3">
        <f>AK180</f>
        <v>318.732</v>
      </c>
      <c r="AM180" s="3">
        <f>AL180</f>
        <v>318.732</v>
      </c>
      <c r="AN180" s="3">
        <f>AM180</f>
        <v>318.732</v>
      </c>
      <c r="AO180" s="3">
        <f>AN180</f>
        <v>318.732</v>
      </c>
      <c r="AP180" s="3">
        <f>AO180</f>
        <v>318.732</v>
      </c>
      <c r="AQ180" s="3">
        <f>AP180</f>
        <v>318.732</v>
      </c>
      <c r="AR180" s="3">
        <f>AQ180</f>
        <v>318.732</v>
      </c>
      <c r="AS180" s="3">
        <f>AR180</f>
        <v>318.732</v>
      </c>
      <c r="AT180" s="3">
        <f>AS180</f>
        <v>318.732</v>
      </c>
      <c r="AU180" s="3">
        <f>AT180</f>
        <v>318.732</v>
      </c>
      <c r="AV180" s="3">
        <f>AU180</f>
        <v>318.732</v>
      </c>
      <c r="AW180" s="3">
        <f>AV180</f>
        <v>318.732</v>
      </c>
      <c r="AX180" s="3">
        <f>AW180</f>
        <v>318.732</v>
      </c>
      <c r="AY180" s="3">
        <f>AX180</f>
        <v>318.732</v>
      </c>
      <c r="AZ180" s="3">
        <f>AY180</f>
        <v>318.732</v>
      </c>
      <c r="BA180" s="3">
        <f>AZ180</f>
        <v>318.732</v>
      </c>
      <c r="BB180" s="3">
        <f>BA180</f>
        <v>318.732</v>
      </c>
      <c r="BC180" s="3">
        <f>BB180</f>
        <v>318.732</v>
      </c>
      <c r="BD180" s="3">
        <f>BC180</f>
        <v>318.732</v>
      </c>
      <c r="BE180" s="3">
        <f>BD180</f>
        <v>318.732</v>
      </c>
      <c r="BF180" s="3">
        <f>BE180</f>
        <v>318.732</v>
      </c>
      <c r="BG180" s="3">
        <f>BF180</f>
        <v>318.732</v>
      </c>
      <c r="BH180" s="3">
        <f>BG180</f>
        <v>318.732</v>
      </c>
      <c r="BI180" s="3">
        <f>BH180</f>
        <v>318.732</v>
      </c>
      <c r="BJ180" s="3">
        <f>BI180</f>
        <v>318.732</v>
      </c>
      <c r="BK180" s="3">
        <f>BJ180</f>
        <v>318.732</v>
      </c>
      <c r="BL180" s="3">
        <f>BK180</f>
        <v>318.732</v>
      </c>
      <c r="BM180" s="3">
        <f>BL180</f>
        <v>318.732</v>
      </c>
      <c r="BN180" s="3">
        <f>BM180</f>
        <v>318.732</v>
      </c>
      <c r="BO180" s="3">
        <f>BN180</f>
        <v>318.732</v>
      </c>
      <c r="BP180" s="3">
        <f>BO180</f>
        <v>318.732</v>
      </c>
      <c r="BQ180" s="3">
        <f>BP180</f>
        <v>318.732</v>
      </c>
      <c r="BR180" s="3">
        <f>BQ180</f>
        <v>318.732</v>
      </c>
      <c r="BS180" s="3">
        <f>BR180</f>
        <v>318.732</v>
      </c>
      <c r="BT180" s="3">
        <f>BS180</f>
        <v>318.732</v>
      </c>
      <c r="BU180" s="3">
        <f>BT180</f>
        <v>318.732</v>
      </c>
      <c r="BV180" s="3">
        <f>BU180</f>
        <v>318.732</v>
      </c>
      <c r="BW180" s="3">
        <f>BV180</f>
        <v>318.732</v>
      </c>
      <c r="BX180" s="3">
        <f>BW180</f>
        <v>318.732</v>
      </c>
      <c r="BY180" s="3">
        <f>BX180</f>
        <v>318.732</v>
      </c>
      <c r="BZ180" s="3">
        <f>BY180</f>
        <v>318.732</v>
      </c>
      <c r="CA180" s="3">
        <f>BZ180</f>
        <v>318.732</v>
      </c>
      <c r="CB180" s="3">
        <f>CA180</f>
        <v>318.732</v>
      </c>
      <c r="CC180" s="3">
        <f>CB180</f>
        <v>318.732</v>
      </c>
      <c r="CD180" s="3">
        <f>CC180</f>
        <v>318.732</v>
      </c>
      <c r="CE180" s="3">
        <f>CD180</f>
        <v>318.732</v>
      </c>
      <c r="CF180" s="3">
        <f>CE180</f>
        <v>318.732</v>
      </c>
      <c r="CG180" s="3">
        <f>CF180</f>
        <v>318.732</v>
      </c>
      <c r="CH180" s="3">
        <f>CG180</f>
        <v>318.732</v>
      </c>
      <c r="CI180" s="3">
        <f>CH180</f>
        <v>318.732</v>
      </c>
      <c r="CJ180" s="3">
        <f>CI180</f>
        <v>318.732</v>
      </c>
      <c r="CK180" s="3">
        <f>CJ180</f>
        <v>318.732</v>
      </c>
      <c r="CL180" s="3">
        <f>CK180</f>
        <v>318.732</v>
      </c>
      <c r="CM180" s="3">
        <f>CL180</f>
        <v>318.732</v>
      </c>
      <c r="CN180" s="3">
        <f>CM180</f>
        <v>318.732</v>
      </c>
      <c r="CO180" s="3">
        <f>CN180</f>
        <v>318.732</v>
      </c>
      <c r="CP180" s="3">
        <f>CO180</f>
        <v>318.732</v>
      </c>
      <c r="CQ180" s="3">
        <f>CP180</f>
        <v>318.732</v>
      </c>
      <c r="CR180" s="3">
        <f>CQ180</f>
        <v>318.732</v>
      </c>
      <c r="CS180" s="3">
        <f>CR180</f>
        <v>318.732</v>
      </c>
      <c r="CT180" s="3">
        <f>CS180</f>
        <v>318.732</v>
      </c>
      <c r="CU180" s="3">
        <f>CT180</f>
        <v>318.732</v>
      </c>
      <c r="CV180" s="3">
        <f>CU180</f>
        <v>318.732</v>
      </c>
      <c r="CW180" s="3">
        <f>CV180</f>
        <v>318.732</v>
      </c>
      <c r="CX180" s="3">
        <f>CW180</f>
        <v>318.732</v>
      </c>
      <c r="CY180" s="3">
        <f>CX180</f>
        <v>318.732</v>
      </c>
    </row>
    <row r="181" hidden="1" outlineLevel="1">
      <c r="C181" s="38" t="inlineStr">
        <is>
          <t>%(Var.)</t>
        </is>
      </c>
      <c r="D181" s="3" t="n"/>
      <c r="E181" s="47">
        <f>(E180-D180)/D180</f>
        <v>0.0884817262770185</v>
      </c>
      <c r="F181" s="47">
        <f>(F180-E180)/E180</f>
        <v>-0.0360944731342644</v>
      </c>
      <c r="G181" s="47">
        <f>(G180-F180)/F180</f>
        <v>0.0781999317842171</v>
      </c>
      <c r="H181" s="3" t="n"/>
      <c r="I181" s="47">
        <f>(I180-H180)/H180</f>
        <v>0.0136803803568842</v>
      </c>
      <c r="J181" s="47">
        <f>(J180-I180)/I180</f>
        <v>0.00998422718117169</v>
      </c>
      <c r="K181" s="47">
        <f>(K180-J180)/J180</f>
        <v>-0.0506691793958859</v>
      </c>
      <c r="L181" s="47">
        <f>(L180-K180)/K180</f>
        <v>0.269900363228449</v>
      </c>
      <c r="M181" s="3" t="n"/>
      <c r="N181" s="47">
        <f>(N180-M180)/M180</f>
        <v>0.0821016047388036</v>
      </c>
      <c r="O181" s="47">
        <f>(O180-N180)/N180</f>
        <v>0.0719328781116201</v>
      </c>
      <c r="P181" s="47">
        <f>(P180-O180)/O180</f>
        <v>0.0428666645146083</v>
      </c>
      <c r="Q181" s="47">
        <f>(Q180-P180)/P180</f>
        <v>0.115256570544957</v>
      </c>
      <c r="R181" s="3" t="n"/>
      <c r="S181" s="47">
        <f>(S180-R180)/R180</f>
        <v>0.100432959321194</v>
      </c>
      <c r="T181" s="47">
        <f>(T180-S180)/S180</f>
        <v>0.402281191906956</v>
      </c>
      <c r="U181" s="47">
        <f>(U180-T180)/T180</f>
        <v>-0.0251655285613189</v>
      </c>
      <c r="V181" s="47">
        <f>(V180-U180)/U180</f>
        <v>0.0340781676998567</v>
      </c>
      <c r="W181" s="3" t="n"/>
      <c r="X181" s="47">
        <f>(X180-W180)/W180</f>
        <v>0.0192195304833</v>
      </c>
      <c r="Y181" s="47">
        <f>(Y180-X180)/X180</f>
        <v>0.0127336853037909</v>
      </c>
      <c r="Z181" s="47">
        <f>(Z180-Y180)/Y180</f>
        <v>0.0260872352017435</v>
      </c>
      <c r="AA181" s="47">
        <f>(AA180-Z180)/Z180</f>
        <v>0.00937349255430263</v>
      </c>
      <c r="AB181" s="3" t="n"/>
      <c r="AC181" s="47">
        <f>(AC180-AB180)/AB180</f>
        <v>0.0670331334621493</v>
      </c>
      <c r="AD181" s="47">
        <f>(AD180-AC180)/AC180</f>
        <v>-0.0203184714925305</v>
      </c>
      <c r="AE181" s="47">
        <f>(AE180-AD180)/AD180</f>
        <v>0.0296962620664704</v>
      </c>
      <c r="AF181" s="6">
        <f>(AF180-AE180)/AE180</f>
        <v>0.0180724046072175</v>
      </c>
      <c r="AG181" s="3" t="n"/>
      <c r="AH181" s="6" t="n"/>
      <c r="AI181" s="6" t="n"/>
      <c r="AJ181" s="6" t="n"/>
      <c r="AK181" s="6" t="n"/>
      <c r="AL181" s="3" t="n"/>
      <c r="AM181" s="6" t="n"/>
      <c r="AN181" s="6" t="n"/>
      <c r="AO181" s="6" t="n"/>
      <c r="AP181" s="6" t="n"/>
      <c r="AQ181" s="3" t="n"/>
      <c r="AR181" s="6" t="n"/>
      <c r="AS181" s="6" t="n"/>
      <c r="AT181" s="6" t="n"/>
      <c r="AU181" s="6" t="n"/>
      <c r="AV181" s="3" t="n"/>
      <c r="AW181" s="6" t="n"/>
      <c r="AX181" s="6" t="n"/>
      <c r="AY181" s="6" t="n"/>
      <c r="AZ181" s="6" t="n"/>
      <c r="BA181" s="3" t="n"/>
      <c r="BB181" s="6" t="n"/>
      <c r="BC181" s="6" t="n"/>
      <c r="BD181" s="6" t="n"/>
      <c r="BE181" s="6" t="n"/>
      <c r="BF181" s="3" t="n"/>
      <c r="BG181" s="6" t="n"/>
      <c r="BH181" s="6" t="n"/>
      <c r="BI181" s="6" t="n"/>
      <c r="BJ181" s="6" t="n"/>
      <c r="BK181" s="3" t="n"/>
      <c r="BL181" s="6" t="n"/>
      <c r="BM181" s="6" t="n"/>
      <c r="BN181" s="6" t="n"/>
      <c r="BO181" s="6" t="n"/>
      <c r="BP181" s="3" t="n"/>
      <c r="BQ181" s="6" t="n"/>
      <c r="BR181" s="6" t="n"/>
      <c r="BS181" s="6" t="n"/>
      <c r="BT181" s="6" t="n"/>
      <c r="BU181" s="3" t="n"/>
      <c r="BV181" s="6" t="n"/>
      <c r="BW181" s="6" t="n"/>
      <c r="BX181" s="6" t="n"/>
      <c r="BY181" s="6" t="n"/>
      <c r="BZ181" s="3" t="n"/>
      <c r="CA181" s="6" t="n"/>
      <c r="CB181" s="6" t="n"/>
      <c r="CC181" s="6" t="n"/>
      <c r="CD181" s="6" t="n"/>
      <c r="CE181" s="3" t="n"/>
      <c r="CF181" s="6" t="n"/>
      <c r="CG181" s="6" t="n"/>
      <c r="CH181" s="6" t="n"/>
      <c r="CI181" s="6" t="n"/>
      <c r="CJ181" s="3" t="n"/>
      <c r="CK181" s="6" t="n"/>
      <c r="CL181" s="6" t="n"/>
      <c r="CM181" s="6" t="n"/>
      <c r="CN181" s="6" t="n"/>
      <c r="CO181" s="3" t="n"/>
      <c r="CP181" s="6" t="n"/>
      <c r="CQ181" s="6" t="n"/>
      <c r="CR181" s="6" t="n"/>
      <c r="CS181" s="6" t="n"/>
      <c r="CT181" s="3" t="n"/>
      <c r="CU181" s="6" t="n"/>
      <c r="CV181" s="6" t="n"/>
      <c r="CW181" s="6" t="n"/>
      <c r="CX181" s="6" t="n"/>
      <c r="CY181" s="3" t="n"/>
    </row>
    <row r="182" hidden="1" outlineLevel="1">
      <c r="C182" s="3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collapsed="1">
      <c r="C183" s="26" t="inlineStr">
        <is>
          <t>Long term debt</t>
        </is>
      </c>
      <c r="D183" s="25">
        <f>INDEX('Inputs (2)'!$D$35:$AL$35,MATCH(D$7,'Inputs (2)'!$D$2:$AL$2,0))</f>
        <v>1490.59748095</v>
      </c>
      <c r="E183" s="25">
        <f>INDEX('Inputs (2)'!$D$35:$AL$35,MATCH(E$7,'Inputs (2)'!$D$2:$AL$2,0))</f>
        <v>1608.02496604</v>
      </c>
      <c r="F183" s="25">
        <f>INDEX('Inputs (2)'!$D$35:$AL$35,MATCH(F$7,'Inputs (2)'!$D$2:$AL$2,0))</f>
        <v>1601.88611074</v>
      </c>
      <c r="G183" s="25">
        <f>INDEX('Inputs (2)'!$D$35:$AL$35,MATCH(G$7,'Inputs (2)'!$D$2:$AL$2,0))</f>
        <v>1431.47082595</v>
      </c>
      <c r="H183" s="3">
        <f>G183</f>
        <v>1431.47082595</v>
      </c>
      <c r="I183" s="25">
        <f>INDEX('Inputs (2)'!$D$35:$AL$35,MATCH(I$7,'Inputs (2)'!$D$2:$AL$2,0))</f>
        <v>1275.30632972</v>
      </c>
      <c r="J183" s="25">
        <f>INDEX('Inputs (2)'!$D$35:$AL$35,MATCH(J$7,'Inputs (2)'!$D$2:$AL$2,0))</f>
        <v>906.94541517</v>
      </c>
      <c r="K183" s="25">
        <f>INDEX('Inputs (2)'!$D$35:$AL$35,MATCH(K$7,'Inputs (2)'!$D$2:$AL$2,0))</f>
        <v>1899.4522545</v>
      </c>
      <c r="L183" s="25">
        <f>INDEX('Inputs (2)'!$D$35:$AL$35,MATCH(L$7,'Inputs (2)'!$D$2:$AL$2,0))</f>
        <v>1749.38006419</v>
      </c>
      <c r="M183" s="3">
        <f>L183</f>
        <v>1749.38006419</v>
      </c>
      <c r="N183" s="25">
        <f>INDEX('Inputs (2)'!$D$35:$AL$35,MATCH(N$7,'Inputs (2)'!$D$2:$AL$2,0))</f>
        <v>1749.30787365</v>
      </c>
      <c r="O183" s="25">
        <f>INDEX('Inputs (2)'!$D$35:$AL$35,MATCH(O$7,'Inputs (2)'!$D$2:$AL$2,0))</f>
        <v>2198.94245932</v>
      </c>
      <c r="P183" s="25">
        <f>INDEX('Inputs (2)'!$D$35:$AL$35,MATCH(P$7,'Inputs (2)'!$D$2:$AL$2,0))</f>
        <v>2198.90955949</v>
      </c>
      <c r="Q183" s="25">
        <f>INDEX('Inputs (2)'!$D$35:$AL$35,MATCH(Q$7,'Inputs (2)'!$D$2:$AL$2,0))</f>
        <v>2198.91676294</v>
      </c>
      <c r="R183" s="3">
        <f>Q183</f>
        <v>2198.91676294</v>
      </c>
      <c r="S183" s="25">
        <f>INDEX('Inputs (2)'!$D$35:$AL$35,MATCH(S$7,'Inputs (2)'!$D$2:$AL$2,0))</f>
        <v>2199.00417427</v>
      </c>
      <c r="T183" s="25">
        <f>INDEX('Inputs (2)'!$D$35:$AL$35,MATCH(T$7,'Inputs (2)'!$D$2:$AL$2,0))</f>
        <v>2199.379</v>
      </c>
      <c r="U183" s="25">
        <f>INDEX('Inputs (2)'!$D$35:$AL$35,MATCH(U$7,'Inputs (2)'!$D$2:$AL$2,0))</f>
        <v>2201.791</v>
      </c>
      <c r="V183" s="25">
        <f>INDEX('Inputs (2)'!$D$35:$AL$35,MATCH(V$7,'Inputs (2)'!$D$2:$AL$2,0))</f>
        <v>2501.478</v>
      </c>
      <c r="W183" s="3">
        <f>V183</f>
        <v>2501.478</v>
      </c>
      <c r="X183" s="25">
        <f>INDEX('Inputs (2)'!$D$35:$AL$35,MATCH(X$7,'Inputs (2)'!$D$2:$AL$2,0))</f>
        <v>2501.374</v>
      </c>
      <c r="Y183" s="25">
        <f>INDEX('Inputs (2)'!$D$35:$AL$35,MATCH(Y$7,'Inputs (2)'!$D$2:$AL$2,0))</f>
        <v>3499.92</v>
      </c>
      <c r="Z183" s="25">
        <f>INDEX('Inputs (2)'!$D$35:$AL$35,MATCH(Z$7,'Inputs (2)'!$D$2:$AL$2,0))</f>
        <v>3249.82</v>
      </c>
      <c r="AA183" s="25">
        <f>INDEX('Inputs (2)'!$D$35:$AL$35,MATCH(AA$7,'Inputs (2)'!$D$2:$AL$2,0))</f>
        <v>3898.314</v>
      </c>
      <c r="AB183" s="3">
        <f>AA183</f>
        <v>3898.314</v>
      </c>
      <c r="AC183" s="25">
        <f>INDEX('Inputs (2)'!$D$35:$AL$35,MATCH(AC$7,'Inputs (2)'!$D$2:$AL$2,0))</f>
        <v>3898.372699</v>
      </c>
      <c r="AD183" s="25">
        <f>INDEX('Inputs (2)'!$D$35:$AL$35,MATCH(AD$7,'Inputs (2)'!$D$2:$AL$2,0))</f>
        <v>3898.37</v>
      </c>
      <c r="AE183" s="25">
        <f>INDEX('Inputs (2)'!$D$35:$AL$35,MATCH(AE$7,'Inputs (2)'!$D$2:$AL$2,0))</f>
        <v>3898.368</v>
      </c>
      <c r="AF183" s="25">
        <f>INDEX('Inputs (2)'!$D$35:$AL$35,MATCH(AF$7,'Inputs (2)'!$D$2:$AL$2,0))</f>
        <v>3798.366</v>
      </c>
      <c r="AG183" s="3">
        <f>AF183</f>
        <v>3798.366</v>
      </c>
      <c r="AH183" s="3">
        <f>AH189</f>
        <v>3798.366</v>
      </c>
      <c r="AI183" s="3">
        <f>AI189</f>
        <v>3798.366</v>
      </c>
      <c r="AJ183" s="3">
        <f>AJ189</f>
        <v>3798.366</v>
      </c>
      <c r="AK183" s="3">
        <f>AK189</f>
        <v>3798.366</v>
      </c>
      <c r="AL183" s="3">
        <f>AK183</f>
        <v>3798.366</v>
      </c>
      <c r="AM183" s="3">
        <f>AM189</f>
        <v>3798.366</v>
      </c>
      <c r="AN183" s="3">
        <f>AN189</f>
        <v>3798.366</v>
      </c>
      <c r="AO183" s="3">
        <f>AO189</f>
        <v>3798.366</v>
      </c>
      <c r="AP183" s="3">
        <f>AP189</f>
        <v>3798.366</v>
      </c>
      <c r="AQ183" s="3">
        <f>AP183</f>
        <v>3798.366</v>
      </c>
      <c r="AR183" s="3">
        <f>AR189</f>
        <v>3798.366</v>
      </c>
      <c r="AS183" s="3">
        <f>AS189</f>
        <v>3798.366</v>
      </c>
      <c r="AT183" s="3">
        <f>AT189</f>
        <v>3798.366</v>
      </c>
      <c r="AU183" s="3">
        <f>AU189</f>
        <v>3798.366</v>
      </c>
      <c r="AV183" s="3">
        <f>AU183</f>
        <v>3798.366</v>
      </c>
      <c r="AW183" s="3">
        <f>AW189</f>
        <v>3798.366</v>
      </c>
      <c r="AX183" s="3">
        <f>AX189</f>
        <v>3798.366</v>
      </c>
      <c r="AY183" s="3">
        <f>AY189</f>
        <v>3798.366</v>
      </c>
      <c r="AZ183" s="3">
        <f>AZ189</f>
        <v>3798.366</v>
      </c>
      <c r="BA183" s="3">
        <f>AZ183</f>
        <v>3798.366</v>
      </c>
      <c r="BB183" s="3">
        <f>BB189</f>
        <v>3798.366</v>
      </c>
      <c r="BC183" s="3">
        <f>BC189</f>
        <v>3798.366</v>
      </c>
      <c r="BD183" s="3">
        <f>BD189</f>
        <v>3798.366</v>
      </c>
      <c r="BE183" s="3">
        <f>BE189</f>
        <v>3798.366</v>
      </c>
      <c r="BF183" s="3">
        <f>BE183</f>
        <v>3798.366</v>
      </c>
      <c r="BG183" s="3">
        <f>BG189</f>
        <v>3798.366</v>
      </c>
      <c r="BH183" s="3">
        <f>BH189</f>
        <v>3798.366</v>
      </c>
      <c r="BI183" s="3">
        <f>BI189</f>
        <v>3798.366</v>
      </c>
      <c r="BJ183" s="3">
        <f>BJ189</f>
        <v>3798.366</v>
      </c>
      <c r="BK183" s="3">
        <f>BJ183</f>
        <v>3798.366</v>
      </c>
      <c r="BL183" s="3">
        <f>BL189</f>
        <v>3798.366</v>
      </c>
      <c r="BM183" s="3">
        <f>BM189</f>
        <v>3798.366</v>
      </c>
      <c r="BN183" s="3">
        <f>BN189</f>
        <v>3798.366</v>
      </c>
      <c r="BO183" s="3">
        <f>BO189</f>
        <v>3798.366</v>
      </c>
      <c r="BP183" s="3">
        <f>BO183</f>
        <v>3798.366</v>
      </c>
      <c r="BQ183" s="3">
        <f>BQ189</f>
        <v>3798.366</v>
      </c>
      <c r="BR183" s="3">
        <f>BR189</f>
        <v>3798.366</v>
      </c>
      <c r="BS183" s="3">
        <f>BS189</f>
        <v>3798.366</v>
      </c>
      <c r="BT183" s="3">
        <f>BT189</f>
        <v>3798.366</v>
      </c>
      <c r="BU183" s="3">
        <f>BT183</f>
        <v>3798.366</v>
      </c>
      <c r="BV183" s="3">
        <f>BV189</f>
        <v>3798.366</v>
      </c>
      <c r="BW183" s="3">
        <f>BW189</f>
        <v>3798.366</v>
      </c>
      <c r="BX183" s="3">
        <f>BX189</f>
        <v>3798.366</v>
      </c>
      <c r="BY183" s="3">
        <f>BY189</f>
        <v>3798.366</v>
      </c>
      <c r="BZ183" s="3">
        <f>BY183</f>
        <v>3798.366</v>
      </c>
      <c r="CA183" s="3">
        <f>CA189</f>
        <v>3798.366</v>
      </c>
      <c r="CB183" s="3">
        <f>CB189</f>
        <v>3798.366</v>
      </c>
      <c r="CC183" s="3">
        <f>CC189</f>
        <v>3798.366</v>
      </c>
      <c r="CD183" s="3">
        <f>CD189</f>
        <v>3798.366</v>
      </c>
      <c r="CE183" s="3">
        <f>CD183</f>
        <v>3798.366</v>
      </c>
      <c r="CF183" s="3">
        <f>CF189</f>
        <v>3798.366</v>
      </c>
      <c r="CG183" s="3">
        <f>CG189</f>
        <v>3798.366</v>
      </c>
      <c r="CH183" s="3">
        <f>CH189</f>
        <v>3798.366</v>
      </c>
      <c r="CI183" s="3">
        <f>CI189</f>
        <v>3798.366</v>
      </c>
      <c r="CJ183" s="3">
        <f>CI183</f>
        <v>3798.366</v>
      </c>
      <c r="CK183" s="3">
        <f>CK189</f>
        <v>3798.366</v>
      </c>
      <c r="CL183" s="3">
        <f>CL189</f>
        <v>3798.366</v>
      </c>
      <c r="CM183" s="3">
        <f>CM189</f>
        <v>3798.366</v>
      </c>
      <c r="CN183" s="3">
        <f>CN189</f>
        <v>3798.366</v>
      </c>
      <c r="CO183" s="3">
        <f>CN183</f>
        <v>3798.366</v>
      </c>
      <c r="CP183" s="3">
        <f>CP189</f>
        <v>3798.366</v>
      </c>
      <c r="CQ183" s="3">
        <f>CQ189</f>
        <v>3798.366</v>
      </c>
      <c r="CR183" s="3">
        <f>CR189</f>
        <v>3798.366</v>
      </c>
      <c r="CS183" s="3">
        <f>CS189</f>
        <v>3798.366</v>
      </c>
      <c r="CT183" s="3">
        <f>CS183</f>
        <v>3798.366</v>
      </c>
      <c r="CU183" s="3">
        <f>CU189</f>
        <v>3798.366</v>
      </c>
      <c r="CV183" s="3">
        <f>CV189</f>
        <v>3798.366</v>
      </c>
      <c r="CW183" s="3">
        <f>CW189</f>
        <v>3798.366</v>
      </c>
      <c r="CX183" s="3">
        <f>CX189</f>
        <v>3798.366</v>
      </c>
      <c r="CY183" s="3">
        <f>CX183</f>
        <v>3798.366</v>
      </c>
    </row>
    <row r="184" hidden="1" outlineLevel="1">
      <c r="C184" s="34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  <c r="BZ184" s="3" t="n"/>
      <c r="CA184" s="3" t="n"/>
      <c r="CB184" s="3" t="n"/>
      <c r="CC184" s="3" t="n"/>
      <c r="CD184" s="3" t="n"/>
      <c r="CE184" s="3" t="n"/>
      <c r="CF184" s="3" t="n"/>
      <c r="CG184" s="3" t="n"/>
      <c r="CH184" s="3" t="n"/>
      <c r="CI184" s="3" t="n"/>
      <c r="CJ184" s="3" t="n"/>
      <c r="CK184" s="3" t="n"/>
      <c r="CL184" s="3" t="n"/>
      <c r="CM184" s="3" t="n"/>
      <c r="CN184" s="3" t="n"/>
      <c r="CO184" s="3" t="n"/>
      <c r="CP184" s="3" t="n"/>
      <c r="CQ184" s="3" t="n"/>
      <c r="CR184" s="3" t="n"/>
      <c r="CS184" s="3" t="n"/>
      <c r="CT184" s="3" t="n"/>
      <c r="CU184" s="3" t="n"/>
      <c r="CV184" s="3" t="n"/>
      <c r="CW184" s="3" t="n"/>
      <c r="CX184" s="3" t="n"/>
      <c r="CY184" s="3" t="n"/>
    </row>
    <row r="185" hidden="1" outlineLevel="1">
      <c r="C185" s="34" t="inlineStr">
        <is>
          <t>Current portion of LTD</t>
        </is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>
        <f>AF178</f>
        <v>232.103</v>
      </c>
      <c r="AI185" s="35" t="n"/>
      <c r="AJ185" s="35" t="n"/>
      <c r="AK185" s="35" t="n"/>
      <c r="AL185" s="3" t="n"/>
      <c r="AM185" s="3">
        <f>AK178</f>
        <v>232.103</v>
      </c>
      <c r="AN185" s="35" t="n"/>
      <c r="AO185" s="35" t="n"/>
      <c r="AP185" s="35" t="n"/>
      <c r="AQ185" s="3" t="n"/>
      <c r="AR185" s="3">
        <f>AP178</f>
        <v>232.103</v>
      </c>
      <c r="AS185" s="35" t="n"/>
      <c r="AT185" s="35" t="n"/>
      <c r="AU185" s="35" t="n"/>
      <c r="AV185" s="3" t="n"/>
      <c r="AW185" s="3">
        <f>AU178</f>
        <v>232.103</v>
      </c>
      <c r="AX185" s="35" t="n"/>
      <c r="AY185" s="35" t="n"/>
      <c r="AZ185" s="35" t="n"/>
      <c r="BA185" s="3" t="n"/>
      <c r="BB185" s="3">
        <f>AZ178</f>
        <v>232.103</v>
      </c>
      <c r="BC185" s="35" t="n"/>
      <c r="BD185" s="35" t="n"/>
      <c r="BE185" s="35" t="n"/>
      <c r="BF185" s="3" t="n"/>
      <c r="BG185" s="3">
        <f>BE178</f>
        <v>232.103</v>
      </c>
      <c r="BH185" s="35" t="n"/>
      <c r="BI185" s="35" t="n"/>
      <c r="BJ185" s="35" t="n"/>
      <c r="BK185" s="3" t="n"/>
      <c r="BL185" s="3">
        <f>BJ178</f>
        <v>232.103</v>
      </c>
      <c r="BM185" s="35" t="n"/>
      <c r="BN185" s="35" t="n"/>
      <c r="BO185" s="35" t="n"/>
      <c r="BP185" s="3" t="n"/>
      <c r="BQ185" s="3">
        <f>BO178</f>
        <v>232.103</v>
      </c>
      <c r="BR185" s="35" t="n"/>
      <c r="BS185" s="35" t="n"/>
      <c r="BT185" s="35" t="n"/>
      <c r="BU185" s="3" t="n"/>
      <c r="BV185" s="3">
        <f>BT178</f>
        <v>232.103</v>
      </c>
      <c r="BW185" s="35" t="n"/>
      <c r="BX185" s="35" t="n"/>
      <c r="BY185" s="35" t="n"/>
      <c r="BZ185" s="3" t="n"/>
      <c r="CA185" s="3">
        <f>BY178</f>
        <v>232.103</v>
      </c>
      <c r="CB185" s="35" t="n"/>
      <c r="CC185" s="35" t="n"/>
      <c r="CD185" s="35" t="n"/>
      <c r="CE185" s="3" t="n"/>
      <c r="CF185" s="3">
        <f>CD178</f>
        <v>232.103</v>
      </c>
      <c r="CG185" s="35" t="n"/>
      <c r="CH185" s="35" t="n"/>
      <c r="CI185" s="35" t="n"/>
      <c r="CJ185" s="3" t="n"/>
      <c r="CK185" s="3">
        <f>CI178</f>
        <v>232.103</v>
      </c>
      <c r="CL185" s="35" t="n"/>
      <c r="CM185" s="35" t="n"/>
      <c r="CN185" s="35" t="n"/>
      <c r="CO185" s="3" t="n"/>
      <c r="CP185" s="3">
        <f>CN178</f>
        <v>232.103</v>
      </c>
      <c r="CQ185" s="35" t="n"/>
      <c r="CR185" s="35" t="n"/>
      <c r="CS185" s="35" t="n"/>
      <c r="CT185" s="3" t="n"/>
      <c r="CU185" s="3">
        <f>CS178</f>
        <v>232.103</v>
      </c>
      <c r="CV185" s="35" t="n"/>
      <c r="CW185" s="35" t="n"/>
      <c r="CX185" s="35" t="n"/>
      <c r="CY185" s="3" t="n"/>
    </row>
    <row r="186" hidden="1" outlineLevel="1">
      <c r="C186" s="34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  <c r="BZ186" s="3" t="n"/>
      <c r="CA186" s="3" t="n"/>
      <c r="CB186" s="3" t="n"/>
      <c r="CC186" s="3" t="n"/>
      <c r="CD186" s="3" t="n"/>
      <c r="CE186" s="3" t="n"/>
      <c r="CF186" s="3" t="n"/>
      <c r="CG186" s="3" t="n"/>
      <c r="CH186" s="3" t="n"/>
      <c r="CI186" s="3" t="n"/>
      <c r="CJ186" s="3" t="n"/>
      <c r="CK186" s="3" t="n"/>
      <c r="CL186" s="3" t="n"/>
      <c r="CM186" s="3" t="n"/>
      <c r="CN186" s="3" t="n"/>
      <c r="CO186" s="3" t="n"/>
      <c r="CP186" s="3" t="n"/>
      <c r="CQ186" s="3" t="n"/>
      <c r="CR186" s="3" t="n"/>
      <c r="CS186" s="3" t="n"/>
      <c r="CT186" s="3" t="n"/>
      <c r="CU186" s="3" t="n"/>
      <c r="CV186" s="3" t="n"/>
      <c r="CW186" s="3" t="n"/>
      <c r="CX186" s="3" t="n"/>
      <c r="CY186" s="3" t="n"/>
    </row>
    <row r="187" hidden="1" outlineLevel="1">
      <c r="C187" s="34" t="inlineStr">
        <is>
          <t>Reclassification of LTD to CP of LTD</t>
        </is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>
        <f>-AI185</f>
        <v>0</v>
      </c>
      <c r="AJ187" s="3">
        <f>-AJ185</f>
        <v>0</v>
      </c>
      <c r="AK187" s="3">
        <f>-AK185</f>
        <v>0</v>
      </c>
      <c r="AL187" s="3" t="n"/>
      <c r="AM187" s="3" t="n"/>
      <c r="AN187" s="3">
        <f>-AN185</f>
        <v>0</v>
      </c>
      <c r="AO187" s="3">
        <f>-AO185</f>
        <v>0</v>
      </c>
      <c r="AP187" s="3">
        <f>-AP185</f>
        <v>0</v>
      </c>
      <c r="AQ187" s="3" t="n"/>
      <c r="AR187" s="3" t="n"/>
      <c r="AS187" s="3">
        <f>-AS185</f>
        <v>0</v>
      </c>
      <c r="AT187" s="3">
        <f>-AT185</f>
        <v>0</v>
      </c>
      <c r="AU187" s="3">
        <f>-AU185</f>
        <v>0</v>
      </c>
      <c r="AV187" s="3" t="n"/>
      <c r="AW187" s="3" t="n"/>
      <c r="AX187" s="3">
        <f>-AX185</f>
        <v>0</v>
      </c>
      <c r="AY187" s="3">
        <f>-AY185</f>
        <v>0</v>
      </c>
      <c r="AZ187" s="3">
        <f>-AZ185</f>
        <v>0</v>
      </c>
      <c r="BA187" s="3" t="n"/>
      <c r="BB187" s="3" t="n"/>
      <c r="BC187" s="3">
        <f>-BC185</f>
        <v>0</v>
      </c>
      <c r="BD187" s="3">
        <f>-BD185</f>
        <v>0</v>
      </c>
      <c r="BE187" s="3">
        <f>-BE185</f>
        <v>0</v>
      </c>
      <c r="BF187" s="3" t="n"/>
      <c r="BG187" s="3" t="n"/>
      <c r="BH187" s="3">
        <f>-BH185</f>
        <v>0</v>
      </c>
      <c r="BI187" s="3">
        <f>-BI185</f>
        <v>0</v>
      </c>
      <c r="BJ187" s="3">
        <f>-BJ185</f>
        <v>0</v>
      </c>
      <c r="BK187" s="3" t="n"/>
      <c r="BL187" s="3" t="n"/>
      <c r="BM187" s="3">
        <f>-BM185</f>
        <v>0</v>
      </c>
      <c r="BN187" s="3">
        <f>-BN185</f>
        <v>0</v>
      </c>
      <c r="BO187" s="3">
        <f>-BO185</f>
        <v>0</v>
      </c>
      <c r="BP187" s="3" t="n"/>
      <c r="BQ187" s="3" t="n"/>
      <c r="BR187" s="3">
        <f>-BR185</f>
        <v>0</v>
      </c>
      <c r="BS187" s="3">
        <f>-BS185</f>
        <v>0</v>
      </c>
      <c r="BT187" s="3">
        <f>-BT185</f>
        <v>0</v>
      </c>
      <c r="BU187" s="3" t="n"/>
      <c r="BV187" s="3" t="n"/>
      <c r="BW187" s="3">
        <f>-BW185</f>
        <v>0</v>
      </c>
      <c r="BX187" s="3">
        <f>-BX185</f>
        <v>0</v>
      </c>
      <c r="BY187" s="3">
        <f>-BY185</f>
        <v>0</v>
      </c>
      <c r="BZ187" s="3" t="n"/>
      <c r="CA187" s="3" t="n"/>
      <c r="CB187" s="3">
        <f>-CB185</f>
        <v>0</v>
      </c>
      <c r="CC187" s="3">
        <f>-CC185</f>
        <v>0</v>
      </c>
      <c r="CD187" s="3">
        <f>-CD185</f>
        <v>0</v>
      </c>
      <c r="CE187" s="3" t="n"/>
      <c r="CF187" s="3" t="n"/>
      <c r="CG187" s="3">
        <f>-CG185</f>
        <v>0</v>
      </c>
      <c r="CH187" s="3">
        <f>-CH185</f>
        <v>0</v>
      </c>
      <c r="CI187" s="3">
        <f>-CI185</f>
        <v>0</v>
      </c>
      <c r="CJ187" s="3" t="n"/>
      <c r="CK187" s="3" t="n"/>
      <c r="CL187" s="3">
        <f>-CL185</f>
        <v>0</v>
      </c>
      <c r="CM187" s="3">
        <f>-CM185</f>
        <v>0</v>
      </c>
      <c r="CN187" s="3">
        <f>-CN185</f>
        <v>0</v>
      </c>
      <c r="CO187" s="3" t="n"/>
      <c r="CP187" s="3" t="n"/>
      <c r="CQ187" s="3">
        <f>-CQ185</f>
        <v>0</v>
      </c>
      <c r="CR187" s="3">
        <f>-CR185</f>
        <v>0</v>
      </c>
      <c r="CS187" s="3">
        <f>-CS185</f>
        <v>0</v>
      </c>
      <c r="CT187" s="3" t="n"/>
      <c r="CU187" s="3" t="n"/>
      <c r="CV187" s="3">
        <f>-CV185</f>
        <v>0</v>
      </c>
      <c r="CW187" s="3">
        <f>-CW185</f>
        <v>0</v>
      </c>
      <c r="CX187" s="3">
        <f>-CX185</f>
        <v>0</v>
      </c>
      <c r="CY187" s="3" t="n"/>
    </row>
    <row r="188" hidden="1" outlineLevel="1">
      <c r="C188" s="34" t="inlineStr">
        <is>
          <t>Discretionary (paydown)/borrowing of long term debt</t>
        </is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5" t="n"/>
      <c r="AI188" s="35" t="n"/>
      <c r="AJ188" s="35" t="n"/>
      <c r="AK188" s="35" t="n"/>
      <c r="AL188" s="3" t="n"/>
      <c r="AM188" s="35" t="n"/>
      <c r="AN188" s="35" t="n"/>
      <c r="AO188" s="35" t="n"/>
      <c r="AP188" s="35" t="n"/>
      <c r="AQ188" s="3" t="n"/>
      <c r="AR188" s="35" t="n"/>
      <c r="AS188" s="35" t="n"/>
      <c r="AT188" s="35" t="n"/>
      <c r="AU188" s="35" t="n"/>
      <c r="AV188" s="3" t="n"/>
      <c r="AW188" s="35" t="n"/>
      <c r="AX188" s="35" t="n"/>
      <c r="AY188" s="35" t="n"/>
      <c r="AZ188" s="35" t="n"/>
      <c r="BA188" s="3" t="n"/>
      <c r="BB188" s="35" t="n"/>
      <c r="BC188" s="35" t="n"/>
      <c r="BD188" s="35" t="n"/>
      <c r="BE188" s="35" t="n"/>
      <c r="BF188" s="3" t="n"/>
      <c r="BG188" s="35" t="n"/>
      <c r="BH188" s="35" t="n"/>
      <c r="BI188" s="35" t="n"/>
      <c r="BJ188" s="35" t="n"/>
      <c r="BK188" s="3" t="n"/>
      <c r="BL188" s="35" t="n"/>
      <c r="BM188" s="35" t="n"/>
      <c r="BN188" s="35" t="n"/>
      <c r="BO188" s="35" t="n"/>
      <c r="BP188" s="3" t="n"/>
      <c r="BQ188" s="35" t="n"/>
      <c r="BR188" s="35" t="n"/>
      <c r="BS188" s="35" t="n"/>
      <c r="BT188" s="35" t="n"/>
      <c r="BU188" s="3" t="n"/>
      <c r="BV188" s="35" t="n"/>
      <c r="BW188" s="35" t="n"/>
      <c r="BX188" s="35" t="n"/>
      <c r="BY188" s="35" t="n"/>
      <c r="BZ188" s="3" t="n"/>
      <c r="CA188" s="35" t="n"/>
      <c r="CB188" s="35" t="n"/>
      <c r="CC188" s="35" t="n"/>
      <c r="CD188" s="35" t="n"/>
      <c r="CE188" s="3" t="n"/>
      <c r="CF188" s="35" t="n"/>
      <c r="CG188" s="35" t="n"/>
      <c r="CH188" s="35" t="n"/>
      <c r="CI188" s="35" t="n"/>
      <c r="CJ188" s="3" t="n"/>
      <c r="CK188" s="35" t="n"/>
      <c r="CL188" s="35" t="n"/>
      <c r="CM188" s="35" t="n"/>
      <c r="CN188" s="35" t="n"/>
      <c r="CO188" s="3" t="n"/>
      <c r="CP188" s="35" t="n"/>
      <c r="CQ188" s="35" t="n"/>
      <c r="CR188" s="35" t="n"/>
      <c r="CS188" s="35" t="n"/>
      <c r="CT188" s="3" t="n"/>
      <c r="CU188" s="35" t="n"/>
      <c r="CV188" s="35" t="n"/>
      <c r="CW188" s="35" t="n"/>
      <c r="CX188" s="35" t="n"/>
      <c r="CY188" s="3" t="n"/>
    </row>
    <row r="189" hidden="1" outlineLevel="1">
      <c r="C189" s="34" t="inlineStr">
        <is>
          <t>Long term debt</t>
        </is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>
        <f>AF183+SUM(AH187:AH188)</f>
        <v>3798.366</v>
      </c>
      <c r="AI189" s="3">
        <f>AH189+SUM(AI187:AI188)</f>
        <v>3798.366</v>
      </c>
      <c r="AJ189" s="3">
        <f>AI189+SUM(AJ187:AJ188)</f>
        <v>3798.366</v>
      </c>
      <c r="AK189" s="3">
        <f>AJ189+SUM(AK187:AK188)</f>
        <v>3798.366</v>
      </c>
      <c r="AL189" s="3" t="n"/>
      <c r="AM189" s="3">
        <f>AK189+SUM(AM187:AM188)</f>
        <v>3798.366</v>
      </c>
      <c r="AN189" s="3">
        <f>AM189+SUM(AN187:AN188)</f>
        <v>3798.366</v>
      </c>
      <c r="AO189" s="3">
        <f>AN189+SUM(AO187:AO188)</f>
        <v>3798.366</v>
      </c>
      <c r="AP189" s="3">
        <f>AO189+SUM(AP187:AP188)</f>
        <v>3798.366</v>
      </c>
      <c r="AQ189" s="3" t="n"/>
      <c r="AR189" s="3">
        <f>AP189+SUM(AR187:AR188)</f>
        <v>3798.366</v>
      </c>
      <c r="AS189" s="3">
        <f>AR189+SUM(AS187:AS188)</f>
        <v>3798.366</v>
      </c>
      <c r="AT189" s="3">
        <f>AS189+SUM(AT187:AT188)</f>
        <v>3798.366</v>
      </c>
      <c r="AU189" s="3">
        <f>AT189+SUM(AU187:AU188)</f>
        <v>3798.366</v>
      </c>
      <c r="AV189" s="3" t="n"/>
      <c r="AW189" s="3">
        <f>AU189+SUM(AW187:AW188)</f>
        <v>3798.366</v>
      </c>
      <c r="AX189" s="3">
        <f>AW189+SUM(AX187:AX188)</f>
        <v>3798.366</v>
      </c>
      <c r="AY189" s="3">
        <f>AX189+SUM(AY187:AY188)</f>
        <v>3798.366</v>
      </c>
      <c r="AZ189" s="3">
        <f>AY189+SUM(AZ187:AZ188)</f>
        <v>3798.366</v>
      </c>
      <c r="BA189" s="3" t="n"/>
      <c r="BB189" s="3">
        <f>AZ189+SUM(BB187:BB188)</f>
        <v>3798.366</v>
      </c>
      <c r="BC189" s="3">
        <f>BB189+SUM(BC187:BC188)</f>
        <v>3798.366</v>
      </c>
      <c r="BD189" s="3">
        <f>BC189+SUM(BD187:BD188)</f>
        <v>3798.366</v>
      </c>
      <c r="BE189" s="3">
        <f>BD189+SUM(BE187:BE188)</f>
        <v>3798.366</v>
      </c>
      <c r="BF189" s="3" t="n"/>
      <c r="BG189" s="3">
        <f>BE189+SUM(BG187:BG188)</f>
        <v>3798.366</v>
      </c>
      <c r="BH189" s="3">
        <f>BG189+SUM(BH187:BH188)</f>
        <v>3798.366</v>
      </c>
      <c r="BI189" s="3">
        <f>BH189+SUM(BI187:BI188)</f>
        <v>3798.366</v>
      </c>
      <c r="BJ189" s="3">
        <f>BI189+SUM(BJ187:BJ188)</f>
        <v>3798.366</v>
      </c>
      <c r="BK189" s="3" t="n"/>
      <c r="BL189" s="3">
        <f>BJ189+SUM(BL187:BL188)</f>
        <v>3798.366</v>
      </c>
      <c r="BM189" s="3">
        <f>BL189+SUM(BM187:BM188)</f>
        <v>3798.366</v>
      </c>
      <c r="BN189" s="3">
        <f>BM189+SUM(BN187:BN188)</f>
        <v>3798.366</v>
      </c>
      <c r="BO189" s="3">
        <f>BN189+SUM(BO187:BO188)</f>
        <v>3798.366</v>
      </c>
      <c r="BP189" s="3" t="n"/>
      <c r="BQ189" s="3">
        <f>BO189+SUM(BQ187:BQ188)</f>
        <v>3798.366</v>
      </c>
      <c r="BR189" s="3">
        <f>BQ189+SUM(BR187:BR188)</f>
        <v>3798.366</v>
      </c>
      <c r="BS189" s="3">
        <f>BR189+SUM(BS187:BS188)</f>
        <v>3798.366</v>
      </c>
      <c r="BT189" s="3">
        <f>BS189+SUM(BT187:BT188)</f>
        <v>3798.366</v>
      </c>
      <c r="BU189" s="3" t="n"/>
      <c r="BV189" s="3">
        <f>BT189+SUM(BV187:BV188)</f>
        <v>3798.366</v>
      </c>
      <c r="BW189" s="3">
        <f>BV189+SUM(BW187:BW188)</f>
        <v>3798.366</v>
      </c>
      <c r="BX189" s="3">
        <f>BW189+SUM(BX187:BX188)</f>
        <v>3798.366</v>
      </c>
      <c r="BY189" s="3">
        <f>BX189+SUM(BY187:BY188)</f>
        <v>3798.366</v>
      </c>
      <c r="BZ189" s="3" t="n"/>
      <c r="CA189" s="3">
        <f>BY189+SUM(CA187:CA188)</f>
        <v>3798.366</v>
      </c>
      <c r="CB189" s="3">
        <f>CA189+SUM(CB187:CB188)</f>
        <v>3798.366</v>
      </c>
      <c r="CC189" s="3">
        <f>CB189+SUM(CC187:CC188)</f>
        <v>3798.366</v>
      </c>
      <c r="CD189" s="3">
        <f>CC189+SUM(CD187:CD188)</f>
        <v>3798.366</v>
      </c>
      <c r="CE189" s="3" t="n"/>
      <c r="CF189" s="3">
        <f>CD189+SUM(CF187:CF188)</f>
        <v>3798.366</v>
      </c>
      <c r="CG189" s="3">
        <f>CF189+SUM(CG187:CG188)</f>
        <v>3798.366</v>
      </c>
      <c r="CH189" s="3">
        <f>CG189+SUM(CH187:CH188)</f>
        <v>3798.366</v>
      </c>
      <c r="CI189" s="3">
        <f>CH189+SUM(CI187:CI188)</f>
        <v>3798.366</v>
      </c>
      <c r="CJ189" s="3" t="n"/>
      <c r="CK189" s="3">
        <f>CI189+SUM(CK187:CK188)</f>
        <v>3798.366</v>
      </c>
      <c r="CL189" s="3">
        <f>CK189+SUM(CL187:CL188)</f>
        <v>3798.366</v>
      </c>
      <c r="CM189" s="3">
        <f>CL189+SUM(CM187:CM188)</f>
        <v>3798.366</v>
      </c>
      <c r="CN189" s="3">
        <f>CM189+SUM(CN187:CN188)</f>
        <v>3798.366</v>
      </c>
      <c r="CO189" s="3" t="n"/>
      <c r="CP189" s="3">
        <f>CN189+SUM(CP187:CP188)</f>
        <v>3798.366</v>
      </c>
      <c r="CQ189" s="3">
        <f>CP189+SUM(CQ187:CQ188)</f>
        <v>3798.366</v>
      </c>
      <c r="CR189" s="3">
        <f>CQ189+SUM(CR187:CR188)</f>
        <v>3798.366</v>
      </c>
      <c r="CS189" s="3">
        <f>CR189+SUM(CS187:CS188)</f>
        <v>3798.366</v>
      </c>
      <c r="CT189" s="3" t="n"/>
      <c r="CU189" s="3">
        <f>CS189+SUM(CU187:CU188)</f>
        <v>3798.366</v>
      </c>
      <c r="CV189" s="3">
        <f>CU189+SUM(CV187:CV188)</f>
        <v>3798.366</v>
      </c>
      <c r="CW189" s="3">
        <f>CV189+SUM(CW187:CW188)</f>
        <v>3798.366</v>
      </c>
      <c r="CX189" s="3">
        <f>CW189+SUM(CX187:CX188)</f>
        <v>3798.366</v>
      </c>
      <c r="CY189" s="3" t="n"/>
      <c r="CZ189">
        <f>CX189+SUM(CZ187:CZ188)</f>
        <v>3798.366</v>
      </c>
      <c r="DA189">
        <f>CZ189+SUM(DA187:DA188)</f>
        <v>3798.366</v>
      </c>
      <c r="DB189">
        <f>DA189+SUM(DB187:DB188)</f>
        <v>3798.366</v>
      </c>
      <c r="DC189">
        <f>DB189+SUM(DC187:DC188)</f>
        <v>3798.366</v>
      </c>
    </row>
    <row r="190" hidden="1" outlineLevel="1">
      <c r="C190" s="34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34" t="inlineStr">
        <is>
          <t>Discretionary (paydown)/borrowing of convertible debt</t>
        </is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5" t="n"/>
      <c r="AI191" s="35" t="n"/>
      <c r="AJ191" s="35" t="n"/>
      <c r="AK191" s="35" t="n"/>
      <c r="AL191" s="3" t="n"/>
      <c r="AM191" s="35" t="n"/>
      <c r="AN191" s="35" t="n"/>
      <c r="AO191" s="35" t="n"/>
      <c r="AP191" s="35" t="n"/>
      <c r="AQ191" s="3" t="n"/>
      <c r="AR191" s="35" t="n"/>
      <c r="AS191" s="35" t="n"/>
      <c r="AT191" s="35" t="n"/>
      <c r="AU191" s="35" t="n"/>
      <c r="AV191" s="3" t="n"/>
      <c r="AW191" s="35" t="n"/>
      <c r="AX191" s="35" t="n"/>
      <c r="AY191" s="35" t="n"/>
      <c r="AZ191" s="35" t="n"/>
      <c r="BA191" s="3" t="n"/>
      <c r="BB191" s="35" t="n"/>
      <c r="BC191" s="35" t="n"/>
      <c r="BD191" s="35" t="n"/>
      <c r="BE191" s="35" t="n"/>
      <c r="BF191" s="3" t="n"/>
      <c r="BG191" s="35" t="n"/>
      <c r="BH191" s="35" t="n"/>
      <c r="BI191" s="35" t="n"/>
      <c r="BJ191" s="35" t="n"/>
      <c r="BK191" s="3" t="n"/>
      <c r="BL191" s="35" t="n"/>
      <c r="BM191" s="35" t="n"/>
      <c r="BN191" s="35" t="n"/>
      <c r="BO191" s="35" t="n"/>
      <c r="BP191" s="3" t="n"/>
      <c r="BQ191" s="35" t="n"/>
      <c r="BR191" s="35" t="n"/>
      <c r="BS191" s="35" t="n"/>
      <c r="BT191" s="35" t="n"/>
      <c r="BU191" s="3" t="n"/>
      <c r="BV191" s="35" t="n"/>
      <c r="BW191" s="35" t="n"/>
      <c r="BX191" s="35" t="n"/>
      <c r="BY191" s="35" t="n"/>
      <c r="BZ191" s="3" t="n"/>
      <c r="CA191" s="35" t="n"/>
      <c r="CB191" s="35" t="n"/>
      <c r="CC191" s="35" t="n"/>
      <c r="CD191" s="35" t="n"/>
      <c r="CE191" s="3" t="n"/>
      <c r="CF191" s="35" t="n"/>
      <c r="CG191" s="35" t="n"/>
      <c r="CH191" s="35" t="n"/>
      <c r="CI191" s="35" t="n"/>
      <c r="CJ191" s="3" t="n"/>
      <c r="CK191" s="35" t="n"/>
      <c r="CL191" s="35" t="n"/>
      <c r="CM191" s="35" t="n"/>
      <c r="CN191" s="35" t="n"/>
      <c r="CO191" s="3" t="n"/>
      <c r="CP191" s="35" t="n"/>
      <c r="CQ191" s="35" t="n"/>
      <c r="CR191" s="35" t="n"/>
      <c r="CS191" s="35" t="n"/>
      <c r="CT191" s="3" t="n"/>
      <c r="CU191" s="35" t="n"/>
      <c r="CV191" s="35" t="n"/>
      <c r="CW191" s="35" t="n"/>
      <c r="CX191" s="35" t="n"/>
      <c r="CY191" s="3" t="n"/>
    </row>
    <row r="192" hidden="1" outlineLevel="1">
      <c r="C192" s="34" t="inlineStr">
        <is>
          <t>Convertible debt</t>
        </is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>
        <f>AH204</f>
        <v>0</v>
      </c>
      <c r="AI192" s="3">
        <f>AH192+SUM(AI191)</f>
        <v>0</v>
      </c>
      <c r="AJ192" s="3">
        <f>AI192+SUM(AJ191)</f>
        <v>0</v>
      </c>
      <c r="AK192" s="3">
        <f>AJ192+SUM(AK191)</f>
        <v>0</v>
      </c>
      <c r="AL192" s="3" t="n"/>
      <c r="AM192" s="3">
        <f>AM204</f>
        <v>0</v>
      </c>
      <c r="AN192" s="3">
        <f>AM192+SUM(AN191)</f>
        <v>0</v>
      </c>
      <c r="AO192" s="3">
        <f>AN192+SUM(AO191)</f>
        <v>0</v>
      </c>
      <c r="AP192" s="3">
        <f>AO192+SUM(AP191)</f>
        <v>0</v>
      </c>
      <c r="AQ192" s="3" t="n"/>
      <c r="AR192" s="3">
        <f>AR204</f>
        <v>0</v>
      </c>
      <c r="AS192" s="3">
        <f>AR192+SUM(AS191)</f>
        <v>0</v>
      </c>
      <c r="AT192" s="3">
        <f>AS192+SUM(AT191)</f>
        <v>0</v>
      </c>
      <c r="AU192" s="3">
        <f>AT192+SUM(AU191)</f>
        <v>0</v>
      </c>
      <c r="AV192" s="3" t="n"/>
      <c r="AW192" s="3">
        <f>AW204</f>
        <v>0</v>
      </c>
      <c r="AX192" s="3">
        <f>AW192+SUM(AX191)</f>
        <v>0</v>
      </c>
      <c r="AY192" s="3">
        <f>AX192+SUM(AY191)</f>
        <v>0</v>
      </c>
      <c r="AZ192" s="3">
        <f>AY192+SUM(AZ191)</f>
        <v>0</v>
      </c>
      <c r="BA192" s="3" t="n"/>
      <c r="BB192" s="3">
        <f>BB204</f>
        <v>0</v>
      </c>
      <c r="BC192" s="3">
        <f>BB192+SUM(BC191)</f>
        <v>0</v>
      </c>
      <c r="BD192" s="3">
        <f>BC192+SUM(BD191)</f>
        <v>0</v>
      </c>
      <c r="BE192" s="3">
        <f>BD192+SUM(BE191)</f>
        <v>0</v>
      </c>
      <c r="BF192" s="3" t="n"/>
      <c r="BG192" s="3">
        <f>BG204</f>
        <v>0</v>
      </c>
      <c r="BH192" s="3">
        <f>BG192+SUM(BH191)</f>
        <v>0</v>
      </c>
      <c r="BI192" s="3">
        <f>BH192+SUM(BI191)</f>
        <v>0</v>
      </c>
      <c r="BJ192" s="3">
        <f>BI192+SUM(BJ191)</f>
        <v>0</v>
      </c>
      <c r="BK192" s="3" t="n"/>
      <c r="BL192" s="3">
        <f>BL204</f>
        <v>0</v>
      </c>
      <c r="BM192" s="3">
        <f>BL192+SUM(BM191)</f>
        <v>0</v>
      </c>
      <c r="BN192" s="3">
        <f>BM192+SUM(BN191)</f>
        <v>0</v>
      </c>
      <c r="BO192" s="3">
        <f>BN192+SUM(BO191)</f>
        <v>0</v>
      </c>
      <c r="BP192" s="3" t="n"/>
      <c r="BQ192" s="3">
        <f>BQ204</f>
        <v>0</v>
      </c>
      <c r="BR192" s="3">
        <f>BQ192+SUM(BR191)</f>
        <v>0</v>
      </c>
      <c r="BS192" s="3">
        <f>BR192+SUM(BS191)</f>
        <v>0</v>
      </c>
      <c r="BT192" s="3">
        <f>BS192+SUM(BT191)</f>
        <v>0</v>
      </c>
      <c r="BU192" s="3" t="n"/>
      <c r="BV192" s="3">
        <f>BV204</f>
        <v>0</v>
      </c>
      <c r="BW192" s="3">
        <f>BV192+SUM(BW191)</f>
        <v>0</v>
      </c>
      <c r="BX192" s="3">
        <f>BW192+SUM(BX191)</f>
        <v>0</v>
      </c>
      <c r="BY192" s="3">
        <f>BX192+SUM(BY191)</f>
        <v>0</v>
      </c>
      <c r="BZ192" s="3" t="n"/>
      <c r="CA192" s="3">
        <f>CA204</f>
        <v>0</v>
      </c>
      <c r="CB192" s="3">
        <f>CA192+SUM(CB191)</f>
        <v>0</v>
      </c>
      <c r="CC192" s="3">
        <f>CB192+SUM(CC191)</f>
        <v>0</v>
      </c>
      <c r="CD192" s="3">
        <f>CC192+SUM(CD191)</f>
        <v>0</v>
      </c>
      <c r="CE192" s="3" t="n"/>
      <c r="CF192" s="3">
        <f>CF204</f>
        <v>0</v>
      </c>
      <c r="CG192" s="3">
        <f>CF192+SUM(CG191)</f>
        <v>0</v>
      </c>
      <c r="CH192" s="3">
        <f>CG192+SUM(CH191)</f>
        <v>0</v>
      </c>
      <c r="CI192" s="3">
        <f>CH192+SUM(CI191)</f>
        <v>0</v>
      </c>
      <c r="CJ192" s="3" t="n"/>
      <c r="CK192" s="3">
        <f>CK204</f>
        <v>0</v>
      </c>
      <c r="CL192" s="3">
        <f>CK192+SUM(CL191)</f>
        <v>0</v>
      </c>
      <c r="CM192" s="3">
        <f>CL192+SUM(CM191)</f>
        <v>0</v>
      </c>
      <c r="CN192" s="3">
        <f>CM192+SUM(CN191)</f>
        <v>0</v>
      </c>
      <c r="CO192" s="3" t="n"/>
      <c r="CP192" s="3">
        <f>CP204</f>
        <v>0</v>
      </c>
      <c r="CQ192" s="3">
        <f>CP192+SUM(CQ191)</f>
        <v>0</v>
      </c>
      <c r="CR192" s="3">
        <f>CQ192+SUM(CR191)</f>
        <v>0</v>
      </c>
      <c r="CS192" s="3">
        <f>CR192+SUM(CS191)</f>
        <v>0</v>
      </c>
      <c r="CT192" s="3" t="n"/>
      <c r="CU192" s="3">
        <f>CU204</f>
        <v>0</v>
      </c>
      <c r="CV192" s="3">
        <f>CU192+SUM(CV191)</f>
        <v>0</v>
      </c>
      <c r="CW192" s="3">
        <f>CV192+SUM(CW191)</f>
        <v>0</v>
      </c>
      <c r="CX192" s="3">
        <f>CW192+SUM(CX191)</f>
        <v>0</v>
      </c>
      <c r="CY192" s="3" t="n"/>
    </row>
    <row r="193" hidden="1" outlineLevel="1">
      <c r="C193" s="34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I193" s="3" t="n"/>
      <c r="AJ193" s="3" t="n"/>
      <c r="AK193" s="3" t="n"/>
      <c r="AL193" s="3" t="n"/>
      <c r="AN193" s="3" t="n"/>
      <c r="AO193" s="3" t="n"/>
      <c r="AP193" s="3" t="n"/>
      <c r="AQ193" s="3" t="n"/>
      <c r="AS193" s="3" t="n"/>
      <c r="AT193" s="3" t="n"/>
      <c r="AU193" s="3" t="n"/>
      <c r="AV193" s="3" t="n"/>
      <c r="AX193" s="3" t="n"/>
      <c r="AY193" s="3" t="n"/>
      <c r="AZ193" s="3" t="n"/>
      <c r="BA193" s="3" t="n"/>
      <c r="BC193" s="3" t="n"/>
      <c r="BD193" s="3" t="n"/>
      <c r="BE193" s="3" t="n"/>
      <c r="BF193" s="3" t="n"/>
      <c r="BH193" s="3" t="n"/>
      <c r="BI193" s="3" t="n"/>
      <c r="BJ193" s="3" t="n"/>
      <c r="BK193" s="3" t="n"/>
      <c r="BM193" s="3" t="n"/>
      <c r="BN193" s="3" t="n"/>
      <c r="BO193" s="3" t="n"/>
      <c r="BP193" s="3" t="n"/>
      <c r="BR193" s="3" t="n"/>
      <c r="BS193" s="3" t="n"/>
      <c r="BT193" s="3" t="n"/>
      <c r="BU193" s="3" t="n"/>
      <c r="BW193" s="3" t="n"/>
      <c r="BX193" s="3" t="n"/>
      <c r="BY193" s="3" t="n"/>
      <c r="BZ193" s="3" t="n"/>
      <c r="CB193" s="3" t="n"/>
      <c r="CC193" s="3" t="n"/>
      <c r="CD193" s="3" t="n"/>
      <c r="CE193" s="3" t="n"/>
      <c r="CG193" s="3" t="n"/>
      <c r="CH193" s="3" t="n"/>
      <c r="CI193" s="3" t="n"/>
      <c r="CJ193" s="3" t="n"/>
      <c r="CL193" s="3" t="n"/>
      <c r="CM193" s="3" t="n"/>
      <c r="CN193" s="3" t="n"/>
      <c r="CO193" s="3" t="n"/>
      <c r="CQ193" s="3" t="n"/>
      <c r="CR193" s="3" t="n"/>
      <c r="CS193" s="3" t="n"/>
      <c r="CT193" s="3" t="n"/>
      <c r="CV193" s="3" t="n"/>
      <c r="CW193" s="3" t="n"/>
      <c r="CX193" s="3" t="n"/>
      <c r="CY193" s="3" t="n"/>
    </row>
    <row r="194" hidden="1" outlineLevel="1">
      <c r="C194" s="34" t="inlineStr">
        <is>
          <t>Calculation of short term debt</t>
        </is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  <c r="BZ194" s="3" t="n"/>
      <c r="CA194" s="3" t="n"/>
      <c r="CB194" s="3" t="n"/>
      <c r="CC194" s="3" t="n"/>
      <c r="CD194" s="3" t="n"/>
      <c r="CE194" s="3" t="n"/>
      <c r="CF194" s="3" t="n"/>
      <c r="CG194" s="3" t="n"/>
      <c r="CH194" s="3" t="n"/>
      <c r="CI194" s="3" t="n"/>
      <c r="CJ194" s="3" t="n"/>
      <c r="CK194" s="3" t="n"/>
      <c r="CL194" s="3" t="n"/>
      <c r="CM194" s="3" t="n"/>
      <c r="CN194" s="3" t="n"/>
      <c r="CO194" s="3" t="n"/>
      <c r="CP194" s="3" t="n"/>
      <c r="CQ194" s="3" t="n"/>
      <c r="CR194" s="3" t="n"/>
      <c r="CS194" s="3" t="n"/>
      <c r="CT194" s="3" t="n"/>
      <c r="CU194" s="3" t="n"/>
      <c r="CV194" s="3" t="n"/>
      <c r="CW194" s="3" t="n"/>
      <c r="CX194" s="3" t="n"/>
      <c r="CY194" s="3" t="n"/>
    </row>
    <row r="195" hidden="1" outlineLevel="1">
      <c r="C195" s="34" t="inlineStr">
        <is>
          <t>Cash @ beginning of the period (end of last period)</t>
        </is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6">
        <f>AG110</f>
        <v>2275.013</v>
      </c>
      <c r="AI195" s="3" t="n"/>
      <c r="AJ195" s="3" t="n"/>
      <c r="AK195" s="3" t="n"/>
      <c r="AL195" s="3" t="n"/>
      <c r="AM195" s="36" t="e">
        <f>AL110</f>
        <v>#DIV/0!</v>
      </c>
      <c r="AN195" s="3" t="n"/>
      <c r="AO195" s="3" t="n"/>
      <c r="AP195" s="3" t="n"/>
      <c r="AQ195" s="3" t="n"/>
      <c r="AR195" s="36" t="e">
        <f>AQ110</f>
        <v>#DIV/0!</v>
      </c>
      <c r="AS195" s="3" t="n"/>
      <c r="AT195" s="3" t="n"/>
      <c r="AU195" s="3" t="n"/>
      <c r="AV195" s="3" t="n"/>
      <c r="AW195" s="36" t="e">
        <f>AV110</f>
        <v>#DIV/0!</v>
      </c>
      <c r="AX195" s="3" t="n"/>
      <c r="AY195" s="3" t="n"/>
      <c r="AZ195" s="3" t="n"/>
      <c r="BA195" s="3" t="n"/>
      <c r="BB195" s="36" t="e">
        <f>BA110</f>
        <v>#DIV/0!</v>
      </c>
      <c r="BC195" s="3" t="n"/>
      <c r="BD195" s="3" t="n"/>
      <c r="BE195" s="3" t="n"/>
      <c r="BF195" s="3" t="n"/>
      <c r="BG195" s="36" t="e">
        <f>BF110</f>
        <v>#DIV/0!</v>
      </c>
      <c r="BH195" s="3" t="n"/>
      <c r="BI195" s="3" t="n"/>
      <c r="BJ195" s="3" t="n"/>
      <c r="BK195" s="3" t="n"/>
      <c r="BL195" s="36" t="e">
        <f>BK110</f>
        <v>#DIV/0!</v>
      </c>
      <c r="BM195" s="3" t="n"/>
      <c r="BN195" s="3" t="n"/>
      <c r="BO195" s="3" t="n"/>
      <c r="BP195" s="3" t="n"/>
      <c r="BQ195" s="36" t="e">
        <f>BP110</f>
        <v>#DIV/0!</v>
      </c>
      <c r="BR195" s="3" t="n"/>
      <c r="BS195" s="3" t="n"/>
      <c r="BT195" s="3" t="n"/>
      <c r="BU195" s="3" t="n"/>
      <c r="BV195" s="36" t="e">
        <f>BU110</f>
        <v>#DIV/0!</v>
      </c>
      <c r="BW195" s="3" t="n"/>
      <c r="BX195" s="3" t="n"/>
      <c r="BY195" s="3" t="n"/>
      <c r="BZ195" s="3" t="n"/>
      <c r="CA195" s="36" t="e">
        <f>BZ110</f>
        <v>#DIV/0!</v>
      </c>
      <c r="CB195" s="3" t="n"/>
      <c r="CC195" s="3" t="n"/>
      <c r="CD195" s="3" t="n"/>
      <c r="CE195" s="3" t="n"/>
      <c r="CF195" s="36" t="e">
        <f>CE110</f>
        <v>#DIV/0!</v>
      </c>
      <c r="CG195" s="3" t="n"/>
      <c r="CH195" s="3" t="n"/>
      <c r="CI195" s="3" t="n"/>
      <c r="CJ195" s="3" t="n"/>
      <c r="CK195" s="36" t="e">
        <f>CJ110</f>
        <v>#DIV/0!</v>
      </c>
      <c r="CL195" s="3" t="n"/>
      <c r="CM195" s="3" t="n"/>
      <c r="CN195" s="3" t="n"/>
      <c r="CO195" s="3" t="n"/>
      <c r="CP195" s="36" t="e">
        <f>CO110</f>
        <v>#DIV/0!</v>
      </c>
      <c r="CQ195" s="3" t="n"/>
      <c r="CR195" s="3" t="n"/>
      <c r="CS195" s="3" t="n"/>
      <c r="CT195" s="3" t="n"/>
      <c r="CU195" s="36" t="e">
        <f>CT110</f>
        <v>#DIV/0!</v>
      </c>
      <c r="CV195" s="3" t="n"/>
      <c r="CW195" s="3" t="n"/>
      <c r="CX195" s="3" t="n"/>
      <c r="CY195" s="3" t="n"/>
    </row>
    <row r="196" hidden="1" outlineLevel="1">
      <c r="C196" s="34" t="inlineStr">
        <is>
          <t>Plus: Free cash flows prior to debt during period</t>
        </is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inlineStr">
        <is>
          <t>% of sales</t>
        </is>
      </c>
      <c r="AH196" s="37">
        <f>SUM(AH259,AH266)+SUM(AH268:AH274)</f>
        <v>708.24862359</v>
      </c>
      <c r="AI196" s="37">
        <f>SUM(AI259,AI266)+SUM(AI268:AI274)</f>
        <v>6315.07395063</v>
      </c>
      <c r="AJ196" s="37" t="e">
        <f>SUM(AJ259,AJ266)+SUM(AJ268:AJ274)</f>
        <v>#DIV/0!</v>
      </c>
      <c r="AK196" s="37" t="e">
        <f>SUM(AK259,AK266)+SUM(AK268:AK274)</f>
        <v>#DIV/0!</v>
      </c>
      <c r="AL196" s="3" t="n"/>
      <c r="AM196" s="37" t="e">
        <f>SUM(AM259,AM266)+SUM(AM268:AM274)</f>
        <v>#DIV/0!</v>
      </c>
      <c r="AN196" s="37" t="e">
        <f>SUM(AN259,AN266)+SUM(AN268:AN274)</f>
        <v>#DIV/0!</v>
      </c>
      <c r="AO196" s="37" t="e">
        <f>SUM(AO259,AO266)+SUM(AO268:AO274)</f>
        <v>#DIV/0!</v>
      </c>
      <c r="AP196" s="37" t="e">
        <f>SUM(AP259,AP266)+SUM(AP268:AP274)</f>
        <v>#DIV/0!</v>
      </c>
      <c r="AQ196" s="3" t="n"/>
      <c r="AR196" s="37" t="e">
        <f>SUM(AR259,AR266)+SUM(AR268:AR274)</f>
        <v>#DIV/0!</v>
      </c>
      <c r="AS196" s="37" t="e">
        <f>SUM(AS259,AS266)+SUM(AS268:AS274)</f>
        <v>#DIV/0!</v>
      </c>
      <c r="AT196" s="37" t="e">
        <f>SUM(AT259,AT266)+SUM(AT268:AT274)</f>
        <v>#DIV/0!</v>
      </c>
      <c r="AU196" s="37" t="e">
        <f>SUM(AU259,AU266)+SUM(AU268:AU274)</f>
        <v>#DIV/0!</v>
      </c>
      <c r="AV196" s="3" t="n"/>
      <c r="AW196" s="37" t="e">
        <f>SUM(AW259,AW266)+SUM(AW268:AW274)</f>
        <v>#DIV/0!</v>
      </c>
      <c r="AX196" s="37" t="e">
        <f>SUM(AX259,AX266)+SUM(AX268:AX274)</f>
        <v>#DIV/0!</v>
      </c>
      <c r="AY196" s="37" t="e">
        <f>SUM(AY259,AY266)+SUM(AY268:AY274)</f>
        <v>#DIV/0!</v>
      </c>
      <c r="AZ196" s="37" t="e">
        <f>SUM(AZ259,AZ266)+SUM(AZ268:AZ274)</f>
        <v>#DIV/0!</v>
      </c>
      <c r="BA196" s="3" t="n"/>
      <c r="BB196" s="37" t="e">
        <f>SUM(BB259,BB266)+SUM(BB268:BB274)</f>
        <v>#DIV/0!</v>
      </c>
      <c r="BC196" s="37" t="e">
        <f>SUM(BC259,BC266)+SUM(BC268:BC274)</f>
        <v>#DIV/0!</v>
      </c>
      <c r="BD196" s="37" t="e">
        <f>SUM(BD259,BD266)+SUM(BD268:BD274)</f>
        <v>#DIV/0!</v>
      </c>
      <c r="BE196" s="37" t="e">
        <f>SUM(BE259,BE266)+SUM(BE268:BE274)</f>
        <v>#DIV/0!</v>
      </c>
      <c r="BF196" s="3" t="n"/>
      <c r="BG196" s="37" t="e">
        <f>SUM(BG259,BG266)+SUM(BG268:BG274)</f>
        <v>#DIV/0!</v>
      </c>
      <c r="BH196" s="37" t="e">
        <f>SUM(BH259,BH266)+SUM(BH268:BH274)</f>
        <v>#DIV/0!</v>
      </c>
      <c r="BI196" s="37" t="e">
        <f>SUM(BI259,BI266)+SUM(BI268:BI274)</f>
        <v>#DIV/0!</v>
      </c>
      <c r="BJ196" s="37" t="e">
        <f>SUM(BJ259,BJ266)+SUM(BJ268:BJ274)</f>
        <v>#DIV/0!</v>
      </c>
      <c r="BK196" s="3" t="n"/>
      <c r="BL196" s="37" t="e">
        <f>SUM(BL259,BL266)+SUM(BL268:BL274)</f>
        <v>#DIV/0!</v>
      </c>
      <c r="BM196" s="37" t="e">
        <f>SUM(BM259,BM266)+SUM(BM268:BM274)</f>
        <v>#DIV/0!</v>
      </c>
      <c r="BN196" s="37" t="e">
        <f>SUM(BN259,BN266)+SUM(BN268:BN274)</f>
        <v>#DIV/0!</v>
      </c>
      <c r="BO196" s="37" t="e">
        <f>SUM(BO259,BO266)+SUM(BO268:BO274)</f>
        <v>#DIV/0!</v>
      </c>
      <c r="BP196" s="3" t="n"/>
      <c r="BQ196" s="37" t="e">
        <f>SUM(BQ259,BQ266)+SUM(BQ268:BQ274)</f>
        <v>#DIV/0!</v>
      </c>
      <c r="BR196" s="37" t="e">
        <f>SUM(BR259,BR266)+SUM(BR268:BR274)</f>
        <v>#DIV/0!</v>
      </c>
      <c r="BS196" s="37" t="e">
        <f>SUM(BS259,BS266)+SUM(BS268:BS274)</f>
        <v>#DIV/0!</v>
      </c>
      <c r="BT196" s="37" t="e">
        <f>SUM(BT259,BT266)+SUM(BT268:BT274)</f>
        <v>#DIV/0!</v>
      </c>
      <c r="BU196" s="3" t="n"/>
      <c r="BV196" s="37" t="e">
        <f>SUM(BV259,BV266)+SUM(BV268:BV274)</f>
        <v>#DIV/0!</v>
      </c>
      <c r="BW196" s="37" t="e">
        <f>SUM(BW259,BW266)+SUM(BW268:BW274)</f>
        <v>#DIV/0!</v>
      </c>
      <c r="BX196" s="37" t="e">
        <f>SUM(BX259,BX266)+SUM(BX268:BX274)</f>
        <v>#DIV/0!</v>
      </c>
      <c r="BY196" s="37" t="e">
        <f>SUM(BY259,BY266)+SUM(BY268:BY274)</f>
        <v>#DIV/0!</v>
      </c>
      <c r="BZ196" s="3" t="n"/>
      <c r="CA196" s="37" t="e">
        <f>SUM(CA259,CA266)+SUM(CA268:CA274)</f>
        <v>#DIV/0!</v>
      </c>
      <c r="CB196" s="37" t="e">
        <f>SUM(CB259,CB266)+SUM(CB268:CB274)</f>
        <v>#DIV/0!</v>
      </c>
      <c r="CC196" s="37" t="e">
        <f>SUM(CC259,CC266)+SUM(CC268:CC274)</f>
        <v>#DIV/0!</v>
      </c>
      <c r="CD196" s="37" t="e">
        <f>SUM(CD259,CD266)+SUM(CD268:CD274)</f>
        <v>#DIV/0!</v>
      </c>
      <c r="CE196" s="3" t="n"/>
      <c r="CF196" s="37" t="e">
        <f>SUM(CF259,CF266)+SUM(CF268:CF274)</f>
        <v>#DIV/0!</v>
      </c>
      <c r="CG196" s="37" t="e">
        <f>SUM(CG259,CG266)+SUM(CG268:CG274)</f>
        <v>#DIV/0!</v>
      </c>
      <c r="CH196" s="37" t="e">
        <f>SUM(CH259,CH266)+SUM(CH268:CH274)</f>
        <v>#DIV/0!</v>
      </c>
      <c r="CI196" s="37" t="e">
        <f>SUM(CI259,CI266)+SUM(CI268:CI274)</f>
        <v>#DIV/0!</v>
      </c>
      <c r="CJ196" s="3" t="n"/>
      <c r="CK196" s="37" t="e">
        <f>SUM(CK259,CK266)+SUM(CK268:CK274)</f>
        <v>#DIV/0!</v>
      </c>
      <c r="CL196" s="37" t="e">
        <f>SUM(CL259,CL266)+SUM(CL268:CL274)</f>
        <v>#DIV/0!</v>
      </c>
      <c r="CM196" s="37" t="e">
        <f>SUM(CM259,CM266)+SUM(CM268:CM274)</f>
        <v>#DIV/0!</v>
      </c>
      <c r="CN196" s="37" t="e">
        <f>SUM(CN259,CN266)+SUM(CN268:CN274)</f>
        <v>#DIV/0!</v>
      </c>
      <c r="CO196" s="3" t="n"/>
      <c r="CP196" s="37" t="e">
        <f>SUM(CP259,CP266)+SUM(CP268:CP274)</f>
        <v>#DIV/0!</v>
      </c>
      <c r="CQ196" s="37" t="e">
        <f>SUM(CQ259,CQ266)+SUM(CQ268:CQ274)</f>
        <v>#DIV/0!</v>
      </c>
      <c r="CR196" s="37" t="e">
        <f>SUM(CR259,CR266)+SUM(CR268:CR274)</f>
        <v>#DIV/0!</v>
      </c>
      <c r="CS196" s="37" t="e">
        <f>SUM(CS259,CS266)+SUM(CS268:CS274)</f>
        <v>#DIV/0!</v>
      </c>
      <c r="CT196" s="3" t="n"/>
      <c r="CU196" s="37" t="e">
        <f>SUM(CU259,CU266)+SUM(CU268:CU274)</f>
        <v>#DIV/0!</v>
      </c>
      <c r="CV196" s="37" t="e">
        <f>SUM(CV259,CV266)+SUM(CV268:CV274)</f>
        <v>#DIV/0!</v>
      </c>
      <c r="CW196" s="37" t="e">
        <f>SUM(CW259,CW266)+SUM(CW268:CW274)</f>
        <v>#DIV/0!</v>
      </c>
      <c r="CX196" s="37" t="e">
        <f>SUM(CX259,CX266)+SUM(CX268:CX274)</f>
        <v>#DIV/0!</v>
      </c>
      <c r="CY196" s="3" t="n"/>
    </row>
    <row r="197" hidden="1" outlineLevel="1">
      <c r="C197" s="34" t="inlineStr">
        <is>
          <t>Less: Minimum cash balance</t>
        </is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257" t="n"/>
      <c r="AH197" s="3">
        <f>($AG$197*AH15)</f>
        <v>0</v>
      </c>
      <c r="AI197" s="3">
        <f>($AG$197*AI15)</f>
        <v>0</v>
      </c>
      <c r="AJ197" s="3">
        <f>($AG$197*AJ15)</f>
        <v>0</v>
      </c>
      <c r="AK197" s="3">
        <f>($AG$197*AK15)</f>
        <v>0</v>
      </c>
      <c r="AL197" s="3" t="n"/>
      <c r="AM197" s="3">
        <f>($AG$197*AM15)</f>
        <v>0</v>
      </c>
      <c r="AN197" s="3">
        <f>($AG$197*AN15)</f>
        <v>0</v>
      </c>
      <c r="AO197" s="3">
        <f>($AG$197*AO15)</f>
        <v>0</v>
      </c>
      <c r="AP197" s="3">
        <f>($AG$197*AP15)</f>
        <v>0</v>
      </c>
      <c r="AQ197" s="3" t="n"/>
      <c r="AR197" s="3">
        <f>($AG$197*AR15)</f>
        <v>0</v>
      </c>
      <c r="AS197" s="3">
        <f>($AG$197*AS15)</f>
        <v>0</v>
      </c>
      <c r="AT197" s="3">
        <f>($AG$197*AT15)</f>
        <v>0</v>
      </c>
      <c r="AU197" s="3">
        <f>($AG$197*AU15)</f>
        <v>0</v>
      </c>
      <c r="AV197" s="3" t="n"/>
      <c r="AW197" s="3">
        <f>($AG$197*AW15)</f>
        <v>0</v>
      </c>
      <c r="AX197" s="3">
        <f>($AG$197*AX15)</f>
        <v>0</v>
      </c>
      <c r="AY197" s="3">
        <f>($AG$197*AY15)</f>
        <v>0</v>
      </c>
      <c r="AZ197" s="3">
        <f>($AG$197*AZ15)</f>
        <v>0</v>
      </c>
      <c r="BA197" s="3" t="n"/>
      <c r="BB197" s="3">
        <f>($AG$197*BB15)</f>
        <v>0</v>
      </c>
      <c r="BC197" s="3">
        <f>($AG$197*BC15)</f>
        <v>0</v>
      </c>
      <c r="BD197" s="3">
        <f>($AG$197*BD15)</f>
        <v>0</v>
      </c>
      <c r="BE197" s="3">
        <f>($AG$197*BE15)</f>
        <v>0</v>
      </c>
      <c r="BF197" s="3" t="n"/>
      <c r="BG197" s="3">
        <f>($AG$197*BG15)</f>
        <v>0</v>
      </c>
      <c r="BH197" s="3">
        <f>($AG$197*BH15)</f>
        <v>0</v>
      </c>
      <c r="BI197" s="3">
        <f>($AG$197*BI15)</f>
        <v>0</v>
      </c>
      <c r="BJ197" s="3">
        <f>($AG$197*BJ15)</f>
        <v>0</v>
      </c>
      <c r="BK197" s="3" t="n"/>
      <c r="BL197" s="3">
        <f>($AG$197*BL15)</f>
        <v>0</v>
      </c>
      <c r="BM197" s="3">
        <f>($AG$197*BM15)</f>
        <v>0</v>
      </c>
      <c r="BN197" s="3">
        <f>($AG$197*BN15)</f>
        <v>0</v>
      </c>
      <c r="BO197" s="3">
        <f>($AG$197*BO15)</f>
        <v>0</v>
      </c>
      <c r="BP197" s="3" t="n"/>
      <c r="BQ197" s="3">
        <f>($AG$197*BQ15)</f>
        <v>0</v>
      </c>
      <c r="BR197" s="3">
        <f>($AG$197*BR15)</f>
        <v>0</v>
      </c>
      <c r="BS197" s="3">
        <f>($AG$197*BS15)</f>
        <v>0</v>
      </c>
      <c r="BT197" s="3">
        <f>($AG$197*BT15)</f>
        <v>0</v>
      </c>
      <c r="BU197" s="3" t="n"/>
      <c r="BV197" s="3">
        <f>($AG$197*BV15)</f>
        <v>0</v>
      </c>
      <c r="BW197" s="3">
        <f>($AG$197*BW15)</f>
        <v>0</v>
      </c>
      <c r="BX197" s="3">
        <f>($AG$197*BX15)</f>
        <v>0</v>
      </c>
      <c r="BY197" s="3">
        <f>($AG$197*BY15)</f>
        <v>0</v>
      </c>
      <c r="BZ197" s="3" t="n"/>
      <c r="CA197" s="3">
        <f>($AG$197*CA15)</f>
        <v>0</v>
      </c>
      <c r="CB197" s="3">
        <f>($AG$197*CB15)</f>
        <v>0</v>
      </c>
      <c r="CC197" s="3">
        <f>($AG$197*CC15)</f>
        <v>0</v>
      </c>
      <c r="CD197" s="3">
        <f>($AG$197*CD15)</f>
        <v>0</v>
      </c>
      <c r="CE197" s="3" t="n"/>
      <c r="CF197" s="3">
        <f>($AG$197*CF15)</f>
        <v>0</v>
      </c>
      <c r="CG197" s="3">
        <f>($AG$197*CG15)</f>
        <v>0</v>
      </c>
      <c r="CH197" s="3">
        <f>($AG$197*CH15)</f>
        <v>0</v>
      </c>
      <c r="CI197" s="3">
        <f>($AG$197*CI15)</f>
        <v>0</v>
      </c>
      <c r="CJ197" s="3" t="n"/>
      <c r="CK197" s="3">
        <f>($AG$197*CK15)</f>
        <v>0</v>
      </c>
      <c r="CL197" s="3">
        <f>($AG$197*CL15)</f>
        <v>0</v>
      </c>
      <c r="CM197" s="3">
        <f>($AG$197*CM15)</f>
        <v>0</v>
      </c>
      <c r="CN197" s="3">
        <f>($AG$197*CN15)</f>
        <v>0</v>
      </c>
      <c r="CO197" s="3" t="n"/>
      <c r="CP197" s="3">
        <f>($AG$197*CP15)</f>
        <v>0</v>
      </c>
      <c r="CQ197" s="3">
        <f>($AG$197*CQ15)</f>
        <v>0</v>
      </c>
      <c r="CR197" s="3">
        <f>($AG$197*CR15)</f>
        <v>0</v>
      </c>
      <c r="CS197" s="3">
        <f>($AG$197*CS15)</f>
        <v>0</v>
      </c>
      <c r="CT197" s="3" t="n"/>
      <c r="CU197" s="3">
        <f>($AG$197*CU15)</f>
        <v>0</v>
      </c>
      <c r="CV197" s="3">
        <f>($AG$197*CV15)</f>
        <v>0</v>
      </c>
      <c r="CW197" s="3">
        <f>($AG$197*CW15)</f>
        <v>0</v>
      </c>
      <c r="CX197" s="3">
        <f>($AG$197*CX15)</f>
        <v>0</v>
      </c>
      <c r="CY197" s="3" t="n"/>
    </row>
    <row r="198" hidden="1" outlineLevel="1">
      <c r="C198" s="34" t="inlineStr">
        <is>
          <t>Total cash available / (debt required) for short term debt paydown</t>
        </is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1">
        <f>AH195+AH196-AH197-AF185+AH187+AH191</f>
        <v>2983.26162359</v>
      </c>
      <c r="AI198" s="1">
        <f>AI195+AI196-AI197-AG185+AI187+AI191</f>
        <v>6315.07395063</v>
      </c>
      <c r="AJ198" s="1" t="e">
        <f>AJ195+AJ196-AJ197-AH185+AJ187+AJ191</f>
        <v>#DIV/0!</v>
      </c>
      <c r="AK198" s="1" t="e">
        <f>AK195+AK196-AK197-AI185+AK187+AK191</f>
        <v>#DIV/0!</v>
      </c>
      <c r="AL198" s="3" t="n"/>
      <c r="AM198" s="1" t="e">
        <f>AM195+AM196-AM197-AK185+AM187+AM191</f>
        <v>#DIV/0!</v>
      </c>
      <c r="AN198" s="1" t="e">
        <f>AN195+AN196-AN197-AL185+AN187+AN191</f>
        <v>#DIV/0!</v>
      </c>
      <c r="AO198" s="1" t="e">
        <f>AO195+AO196-AO197-AM185+AO187+AO191</f>
        <v>#DIV/0!</v>
      </c>
      <c r="AP198" s="1" t="e">
        <f>AP195+AP196-AP197-AN185+AP187+AP191</f>
        <v>#DIV/0!</v>
      </c>
      <c r="AQ198" s="3" t="n"/>
      <c r="AR198" s="1" t="e">
        <f>AR195+AR196-AR197-AP185+AR187+AR191</f>
        <v>#DIV/0!</v>
      </c>
      <c r="AS198" s="1" t="e">
        <f>AS195+AS196-AS197-AQ185+AS187+AS191</f>
        <v>#DIV/0!</v>
      </c>
      <c r="AT198" s="1" t="e">
        <f>AT195+AT196-AT197-AR185+AT187+AT191</f>
        <v>#DIV/0!</v>
      </c>
      <c r="AU198" s="1" t="e">
        <f>AU195+AU196-AU197-AS185+AU187+AU191</f>
        <v>#DIV/0!</v>
      </c>
      <c r="AV198" s="3" t="n"/>
      <c r="AW198" s="1" t="e">
        <f>AW195+AW196-AW197-AU185+AW187+AW191</f>
        <v>#DIV/0!</v>
      </c>
      <c r="AX198" s="1" t="e">
        <f>AX195+AX196-AX197-AV185+AX187+AX191</f>
        <v>#DIV/0!</v>
      </c>
      <c r="AY198" s="1" t="e">
        <f>AY195+AY196-AY197-AW185+AY187+AY191</f>
        <v>#DIV/0!</v>
      </c>
      <c r="AZ198" s="1" t="e">
        <f>AZ195+AZ196-AZ197-AX185+AZ187+AZ191</f>
        <v>#DIV/0!</v>
      </c>
      <c r="BA198" s="3" t="n"/>
      <c r="BB198" s="1" t="e">
        <f>BB195+BB196-BB197-AZ185+BB187+BB191</f>
        <v>#DIV/0!</v>
      </c>
      <c r="BC198" s="1" t="e">
        <f>BC195+BC196-BC197-BA185+BC187+BC191</f>
        <v>#DIV/0!</v>
      </c>
      <c r="BD198" s="1" t="e">
        <f>BD195+BD196-BD197-BB185+BD187+BD191</f>
        <v>#DIV/0!</v>
      </c>
      <c r="BE198" s="1" t="e">
        <f>BE195+BE196-BE197-BC185+BE187+BE191</f>
        <v>#DIV/0!</v>
      </c>
      <c r="BF198" s="3" t="n"/>
      <c r="BG198" s="1" t="e">
        <f>BG195+BG196-BG197-BE185+BG187+BG191</f>
        <v>#DIV/0!</v>
      </c>
      <c r="BH198" s="1" t="e">
        <f>BH195+BH196-BH197-BF185+BH187+BH191</f>
        <v>#DIV/0!</v>
      </c>
      <c r="BI198" s="1" t="e">
        <f>BI195+BI196-BI197-BG185+BI187+BI191</f>
        <v>#DIV/0!</v>
      </c>
      <c r="BJ198" s="1" t="e">
        <f>BJ195+BJ196-BJ197-BH185+BJ187+BJ191</f>
        <v>#DIV/0!</v>
      </c>
      <c r="BK198" s="3" t="n"/>
      <c r="BL198" s="1" t="e">
        <f>BL195+BL196-BL197-BJ185+BL187+BL191</f>
        <v>#DIV/0!</v>
      </c>
      <c r="BM198" s="1" t="e">
        <f>BM195+BM196-BM197-BK185+BM187+BM191</f>
        <v>#DIV/0!</v>
      </c>
      <c r="BN198" s="1" t="e">
        <f>BN195+BN196-BN197-BL185+BN187+BN191</f>
        <v>#DIV/0!</v>
      </c>
      <c r="BO198" s="1" t="e">
        <f>BO195+BO196-BO197-BM185+BO187+BO191</f>
        <v>#DIV/0!</v>
      </c>
      <c r="BP198" s="3" t="n"/>
      <c r="BQ198" s="1" t="e">
        <f>BQ195+BQ196-BQ197-BO185+BQ187+BQ191</f>
        <v>#DIV/0!</v>
      </c>
      <c r="BR198" s="1" t="e">
        <f>BR195+BR196-BR197-BP185+BR187+BR191</f>
        <v>#DIV/0!</v>
      </c>
      <c r="BS198" s="1" t="e">
        <f>BS195+BS196-BS197-BQ185+BS187+BS191</f>
        <v>#DIV/0!</v>
      </c>
      <c r="BT198" s="1" t="e">
        <f>BT195+BT196-BT197-BR185+BT187+BT191</f>
        <v>#DIV/0!</v>
      </c>
      <c r="BU198" s="3" t="n"/>
      <c r="BV198" s="1" t="e">
        <f>BV195+BV196-BV197-BT185+BV187+BV191</f>
        <v>#DIV/0!</v>
      </c>
      <c r="BW198" s="1" t="e">
        <f>BW195+BW196-BW197-BU185+BW187+BW191</f>
        <v>#DIV/0!</v>
      </c>
      <c r="BX198" s="1" t="e">
        <f>BX195+BX196-BX197-BV185+BX187+BX191</f>
        <v>#DIV/0!</v>
      </c>
      <c r="BY198" s="1" t="e">
        <f>BY195+BY196-BY197-BW185+BY187+BY191</f>
        <v>#DIV/0!</v>
      </c>
      <c r="BZ198" s="3" t="n"/>
      <c r="CA198" s="1" t="e">
        <f>CA195+CA196-CA197-BY185+CA187+CA191</f>
        <v>#DIV/0!</v>
      </c>
      <c r="CB198" s="1" t="e">
        <f>CB195+CB196-CB197-BZ185+CB187+CB191</f>
        <v>#DIV/0!</v>
      </c>
      <c r="CC198" s="1" t="e">
        <f>CC195+CC196-CC197-CA185+CC187+CC191</f>
        <v>#DIV/0!</v>
      </c>
      <c r="CD198" s="1" t="e">
        <f>CD195+CD196-CD197-CB185+CD187+CD191</f>
        <v>#DIV/0!</v>
      </c>
      <c r="CE198" s="3" t="n"/>
      <c r="CF198" s="1" t="e">
        <f>CF195+CF196-CF197-CD185+CF187+CF191</f>
        <v>#DIV/0!</v>
      </c>
      <c r="CG198" s="1" t="e">
        <f>CG195+CG196-CG197-CE185+CG187+CG191</f>
        <v>#DIV/0!</v>
      </c>
      <c r="CH198" s="1" t="e">
        <f>CH195+CH196-CH197-CF185+CH187+CH191</f>
        <v>#DIV/0!</v>
      </c>
      <c r="CI198" s="1" t="e">
        <f>CI195+CI196-CI197-CG185+CI187+CI191</f>
        <v>#DIV/0!</v>
      </c>
      <c r="CJ198" s="3" t="n"/>
      <c r="CK198" s="1" t="e">
        <f>CK195+CK196-CK197-CI185+CK187+CK191</f>
        <v>#DIV/0!</v>
      </c>
      <c r="CL198" s="1" t="e">
        <f>CL195+CL196-CL197-CJ185+CL187+CL191</f>
        <v>#DIV/0!</v>
      </c>
      <c r="CM198" s="1" t="e">
        <f>CM195+CM196-CM197-CK185+CM187+CM191</f>
        <v>#DIV/0!</v>
      </c>
      <c r="CN198" s="1" t="e">
        <f>CN195+CN196-CN197-CL185+CN187+CN191</f>
        <v>#DIV/0!</v>
      </c>
      <c r="CO198" s="3" t="n"/>
      <c r="CP198" s="1" t="e">
        <f>CP195+CP196-CP197-CN185+CP187+CP191</f>
        <v>#DIV/0!</v>
      </c>
      <c r="CQ198" s="1" t="e">
        <f>CQ195+CQ196-CQ197-CO185+CQ187+CQ191</f>
        <v>#DIV/0!</v>
      </c>
      <c r="CR198" s="1" t="e">
        <f>CR195+CR196-CR197-CP185+CR187+CR191</f>
        <v>#DIV/0!</v>
      </c>
      <c r="CS198" s="1" t="e">
        <f>CS195+CS196-CS197-CQ185+CS187+CS191</f>
        <v>#DIV/0!</v>
      </c>
      <c r="CT198" s="3" t="n"/>
      <c r="CU198" s="1" t="e">
        <f>CU195+CU196-CU197-CS185+CU187+CU191</f>
        <v>#DIV/0!</v>
      </c>
      <c r="CV198" s="1" t="e">
        <f>CV195+CV196-CV197-CT185+CV187+CV191</f>
        <v>#DIV/0!</v>
      </c>
      <c r="CW198" s="1" t="e">
        <f>CW195+CW196-CW197-CU185+CW187+CW191</f>
        <v>#DIV/0!</v>
      </c>
      <c r="CX198" s="1" t="e">
        <f>CX195+CX196-CX197-CV185+CX187+CX191</f>
        <v>#DIV/0!</v>
      </c>
      <c r="CY198" s="3" t="n"/>
    </row>
    <row r="199" hidden="1" outlineLevel="1">
      <c r="C199" s="34" t="inlineStr">
        <is>
          <t>Short term debt</t>
        </is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>
        <f>AH179</f>
        <v>0</v>
      </c>
      <c r="AI199" s="3">
        <f>MAX(0,AH199-AI198)</f>
        <v>0</v>
      </c>
      <c r="AJ199" s="3" t="e">
        <f>MAX(0,AI199-AJ198)</f>
        <v>#DIV/0!</v>
      </c>
      <c r="AK199" s="3" t="e">
        <f>MAX(0,AJ199-AK198)</f>
        <v>#DIV/0!</v>
      </c>
      <c r="AL199" s="3" t="n"/>
      <c r="AM199" s="3">
        <f>AM179</f>
        <v>0</v>
      </c>
      <c r="AN199" s="3" t="e">
        <f>MAX(0,AM199-AN198)</f>
        <v>#DIV/0!</v>
      </c>
      <c r="AO199" s="3" t="e">
        <f>MAX(0,AN199-AO198)</f>
        <v>#DIV/0!</v>
      </c>
      <c r="AP199" s="3" t="e">
        <f>MAX(0,AO199-AP198)</f>
        <v>#DIV/0!</v>
      </c>
      <c r="AQ199" s="3" t="n"/>
      <c r="AR199" s="3">
        <f>AR179</f>
        <v>0</v>
      </c>
      <c r="AS199" s="3" t="e">
        <f>MAX(0,AR199-AS198)</f>
        <v>#DIV/0!</v>
      </c>
      <c r="AT199" s="3" t="e">
        <f>MAX(0,AS199-AT198)</f>
        <v>#DIV/0!</v>
      </c>
      <c r="AU199" s="3" t="e">
        <f>MAX(0,AT199-AU198)</f>
        <v>#DIV/0!</v>
      </c>
      <c r="AV199" s="3" t="n"/>
      <c r="AW199" s="3">
        <f>AW179</f>
        <v>0</v>
      </c>
      <c r="AX199" s="3" t="e">
        <f>MAX(0,AW199-AX198)</f>
        <v>#DIV/0!</v>
      </c>
      <c r="AY199" s="3" t="e">
        <f>MAX(0,AX199-AY198)</f>
        <v>#DIV/0!</v>
      </c>
      <c r="AZ199" s="3" t="e">
        <f>MAX(0,AY199-AZ198)</f>
        <v>#DIV/0!</v>
      </c>
      <c r="BA199" s="3" t="n"/>
      <c r="BB199" s="3">
        <f>BB179</f>
        <v>0</v>
      </c>
      <c r="BC199" s="3" t="e">
        <f>MAX(0,BB199-BC198)</f>
        <v>#DIV/0!</v>
      </c>
      <c r="BD199" s="3" t="e">
        <f>MAX(0,BC199-BD198)</f>
        <v>#DIV/0!</v>
      </c>
      <c r="BE199" s="3" t="e">
        <f>MAX(0,BD199-BE198)</f>
        <v>#DIV/0!</v>
      </c>
      <c r="BF199" s="3" t="n"/>
      <c r="BG199" s="3">
        <f>BG179</f>
        <v>0</v>
      </c>
      <c r="BH199" s="3" t="e">
        <f>MAX(0,BG199-BH198)</f>
        <v>#DIV/0!</v>
      </c>
      <c r="BI199" s="3" t="e">
        <f>MAX(0,BH199-BI198)</f>
        <v>#DIV/0!</v>
      </c>
      <c r="BJ199" s="3" t="e">
        <f>MAX(0,BI199-BJ198)</f>
        <v>#DIV/0!</v>
      </c>
      <c r="BK199" s="3" t="n"/>
      <c r="BL199" s="3">
        <f>BL179</f>
        <v>0</v>
      </c>
      <c r="BM199" s="3" t="e">
        <f>MAX(0,BL199-BM198)</f>
        <v>#DIV/0!</v>
      </c>
      <c r="BN199" s="3" t="e">
        <f>MAX(0,BM199-BN198)</f>
        <v>#DIV/0!</v>
      </c>
      <c r="BO199" s="3" t="e">
        <f>MAX(0,BN199-BO198)</f>
        <v>#DIV/0!</v>
      </c>
      <c r="BP199" s="3" t="n"/>
      <c r="BQ199" s="3">
        <f>BQ179</f>
        <v>0</v>
      </c>
      <c r="BR199" s="3" t="e">
        <f>MAX(0,BQ199-BR198)</f>
        <v>#DIV/0!</v>
      </c>
      <c r="BS199" s="3" t="e">
        <f>MAX(0,BR199-BS198)</f>
        <v>#DIV/0!</v>
      </c>
      <c r="BT199" s="3" t="e">
        <f>MAX(0,BS199-BT198)</f>
        <v>#DIV/0!</v>
      </c>
      <c r="BU199" s="3" t="n"/>
      <c r="BV199" s="3">
        <f>BV179</f>
        <v>0</v>
      </c>
      <c r="BW199" s="3" t="e">
        <f>MAX(0,BV199-BW198)</f>
        <v>#DIV/0!</v>
      </c>
      <c r="BX199" s="3" t="e">
        <f>MAX(0,BW199-BX198)</f>
        <v>#DIV/0!</v>
      </c>
      <c r="BY199" s="3" t="e">
        <f>MAX(0,BX199-BY198)</f>
        <v>#DIV/0!</v>
      </c>
      <c r="BZ199" s="3" t="n"/>
      <c r="CA199" s="3">
        <f>CA179</f>
        <v>0</v>
      </c>
      <c r="CB199" s="3" t="e">
        <f>MAX(0,CA199-CB198)</f>
        <v>#DIV/0!</v>
      </c>
      <c r="CC199" s="3" t="e">
        <f>MAX(0,CB199-CC198)</f>
        <v>#DIV/0!</v>
      </c>
      <c r="CD199" s="3" t="e">
        <f>MAX(0,CC199-CD198)</f>
        <v>#DIV/0!</v>
      </c>
      <c r="CE199" s="3" t="n"/>
      <c r="CF199" s="3">
        <f>CF179</f>
        <v>0</v>
      </c>
      <c r="CG199" s="3" t="e">
        <f>MAX(0,CF199-CG198)</f>
        <v>#DIV/0!</v>
      </c>
      <c r="CH199" s="3" t="e">
        <f>MAX(0,CG199-CH198)</f>
        <v>#DIV/0!</v>
      </c>
      <c r="CI199" s="3" t="e">
        <f>MAX(0,CH199-CI198)</f>
        <v>#DIV/0!</v>
      </c>
      <c r="CJ199" s="3" t="n"/>
      <c r="CK199" s="3">
        <f>CK179</f>
        <v>0</v>
      </c>
      <c r="CL199" s="3" t="e">
        <f>MAX(0,CK199-CL198)</f>
        <v>#DIV/0!</v>
      </c>
      <c r="CM199" s="3" t="e">
        <f>MAX(0,CL199-CM198)</f>
        <v>#DIV/0!</v>
      </c>
      <c r="CN199" s="3" t="e">
        <f>MAX(0,CM199-CN198)</f>
        <v>#DIV/0!</v>
      </c>
      <c r="CO199" s="3" t="n"/>
      <c r="CP199" s="3">
        <f>CP179</f>
        <v>0</v>
      </c>
      <c r="CQ199" s="3" t="e">
        <f>MAX(0,CP199-CQ198)</f>
        <v>#DIV/0!</v>
      </c>
      <c r="CR199" s="3" t="e">
        <f>MAX(0,CQ199-CR198)</f>
        <v>#DIV/0!</v>
      </c>
      <c r="CS199" s="3" t="e">
        <f>MAX(0,CR199-CS198)</f>
        <v>#DIV/0!</v>
      </c>
      <c r="CT199" s="3" t="n"/>
      <c r="CU199" s="3">
        <f>CU179</f>
        <v>0</v>
      </c>
      <c r="CV199" s="3" t="e">
        <f>MAX(0,CU199-CV198)</f>
        <v>#DIV/0!</v>
      </c>
      <c r="CW199" s="3" t="e">
        <f>MAX(0,CV199-CW198)</f>
        <v>#DIV/0!</v>
      </c>
      <c r="CX199" s="3" t="e">
        <f>MAX(0,CW199-CX198)</f>
        <v>#DIV/0!</v>
      </c>
      <c r="CY199" s="3" t="n"/>
    </row>
    <row r="200" hidden="1" outlineLevel="1">
      <c r="C200" s="34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/>
      <c r="CC200" s="3" t="n"/>
      <c r="CD200" s="3" t="n"/>
      <c r="CE200" s="3" t="n"/>
      <c r="CF200" s="3" t="n"/>
      <c r="CG200" s="3" t="n"/>
      <c r="CH200" s="3" t="n"/>
      <c r="CI200" s="3" t="n"/>
      <c r="CJ200" s="3" t="n"/>
      <c r="CK200" s="3" t="n"/>
      <c r="CL200" s="3" t="n"/>
      <c r="CM200" s="3" t="n"/>
      <c r="CN200" s="3" t="n"/>
      <c r="CO200" s="3" t="n"/>
      <c r="CP200" s="3" t="n"/>
      <c r="CQ200" s="3" t="n"/>
      <c r="CR200" s="3" t="n"/>
      <c r="CS200" s="3" t="n"/>
      <c r="CT200" s="3" t="n"/>
      <c r="CU200" s="3" t="n"/>
      <c r="CV200" s="3" t="n"/>
      <c r="CW200" s="3" t="n"/>
      <c r="CX200" s="3" t="n"/>
      <c r="CY200" s="3" t="n"/>
    </row>
    <row r="201" collapsed="1">
      <c r="C201" s="26" t="inlineStr">
        <is>
          <t>Long term operating leases</t>
        </is>
      </c>
      <c r="D201" s="25">
        <f>INDEX('Inputs (2)'!$D$36:$AL$36,MATCH(D$7,'Inputs (2)'!$D$2:$AL$2,0))</f>
        <v>731.1126</v>
      </c>
      <c r="E201" s="25">
        <f>INDEX('Inputs (2)'!$D$36:$AL$36,MATCH(E$7,'Inputs (2)'!$D$2:$AL$2,0))</f>
        <v>704.58350024</v>
      </c>
      <c r="F201" s="25">
        <f>INDEX('Inputs (2)'!$D$36:$AL$36,MATCH(F$7,'Inputs (2)'!$D$2:$AL$2,0))</f>
        <v>686.98637337</v>
      </c>
      <c r="G201" s="25">
        <f>INDEX('Inputs (2)'!$D$36:$AL$36,MATCH(G$7,'Inputs (2)'!$D$2:$AL$2,0))</f>
        <v>680.79029472</v>
      </c>
      <c r="H201" s="3">
        <f>G201</f>
        <v>680.79029472</v>
      </c>
      <c r="I201" s="25">
        <f>INDEX('Inputs (2)'!$D$36:$AL$36,MATCH(I$7,'Inputs (2)'!$D$2:$AL$2,0))</f>
        <v>653.30756924</v>
      </c>
      <c r="J201" s="25">
        <f>INDEX('Inputs (2)'!$D$36:$AL$36,MATCH(J$7,'Inputs (2)'!$D$2:$AL$2,0))</f>
        <v>637.70299012</v>
      </c>
      <c r="K201" s="25">
        <f>INDEX('Inputs (2)'!$D$36:$AL$36,MATCH(K$7,'Inputs (2)'!$D$2:$AL$2,0))</f>
        <v>660.67497517</v>
      </c>
      <c r="L201" s="25">
        <f>INDEX('Inputs (2)'!$D$36:$AL$36,MATCH(L$7,'Inputs (2)'!$D$2:$AL$2,0))</f>
        <v>694.57460451</v>
      </c>
      <c r="M201" s="3">
        <f>L201</f>
        <v>694.57460451</v>
      </c>
      <c r="N201" s="25">
        <f>INDEX('Inputs (2)'!$D$36:$AL$36,MATCH(N$7,'Inputs (2)'!$D$2:$AL$2,0))</f>
        <v>731.44314163</v>
      </c>
      <c r="O201" s="25">
        <f>INDEX('Inputs (2)'!$D$36:$AL$36,MATCH(O$7,'Inputs (2)'!$D$2:$AL$2,0))</f>
        <v>754.21563203</v>
      </c>
      <c r="P201" s="25">
        <f>INDEX('Inputs (2)'!$D$36:$AL$36,MATCH(P$7,'Inputs (2)'!$D$2:$AL$2,0))</f>
        <v>735.36389905</v>
      </c>
      <c r="Q201" s="25">
        <f>INDEX('Inputs (2)'!$D$36:$AL$36,MATCH(Q$7,'Inputs (2)'!$D$2:$AL$2,0))</f>
        <v>943.34829983</v>
      </c>
      <c r="R201" s="3">
        <f>Q201</f>
        <v>943.34829983</v>
      </c>
      <c r="S201" s="25">
        <f>INDEX('Inputs (2)'!$D$36:$AL$36,MATCH(S$7,'Inputs (2)'!$D$2:$AL$2,0))</f>
        <v>928.19154368</v>
      </c>
      <c r="T201" s="25">
        <f>INDEX('Inputs (2)'!$D$36:$AL$36,MATCH(T$7,'Inputs (2)'!$D$2:$AL$2,0))</f>
        <v>1191.85</v>
      </c>
      <c r="U201" s="25">
        <f>INDEX('Inputs (2)'!$D$36:$AL$36,MATCH(U$7,'Inputs (2)'!$D$2:$AL$2,0))</f>
        <v>1167.495</v>
      </c>
      <c r="V201" s="25">
        <f>INDEX('Inputs (2)'!$D$36:$AL$36,MATCH(V$7,'Inputs (2)'!$D$2:$AL$2,0))</f>
        <v>1159.409</v>
      </c>
      <c r="W201" s="3">
        <f>V201</f>
        <v>1159.409</v>
      </c>
      <c r="X201" s="25">
        <f>INDEX('Inputs (2)'!$D$36:$AL$36,MATCH(X$7,'Inputs (2)'!$D$2:$AL$2,0))</f>
        <v>1112.521</v>
      </c>
      <c r="Y201" s="25">
        <f>INDEX('Inputs (2)'!$D$36:$AL$36,MATCH(Y$7,'Inputs (2)'!$D$2:$AL$2,0))</f>
        <v>1061.775</v>
      </c>
      <c r="Z201" s="25">
        <f>INDEX('Inputs (2)'!$D$36:$AL$36,MATCH(Z$7,'Inputs (2)'!$D$2:$AL$2,0))</f>
        <v>1015.306</v>
      </c>
      <c r="AA201" s="25">
        <f>INDEX('Inputs (2)'!$D$36:$AL$36,MATCH(AA$7,'Inputs (2)'!$D$2:$AL$2,0))</f>
        <v>995.637</v>
      </c>
      <c r="AB201" s="3">
        <f>AA201</f>
        <v>995.637</v>
      </c>
      <c r="AC201" s="25">
        <f>INDEX('Inputs (2)'!$D$36:$AL$36,MATCH(AC$7,'Inputs (2)'!$D$2:$AL$2,0))</f>
        <v>977.075</v>
      </c>
      <c r="AD201" s="25">
        <f>INDEX('Inputs (2)'!$D$36:$AL$36,MATCH(AD$7,'Inputs (2)'!$D$2:$AL$2,0))</f>
        <v>936.924</v>
      </c>
      <c r="AE201" s="25">
        <f>INDEX('Inputs (2)'!$D$36:$AL$36,MATCH(AE$7,'Inputs (2)'!$D$2:$AL$2,0))</f>
        <v>935.366</v>
      </c>
      <c r="AF201" s="25">
        <f>INDEX('Inputs (2)'!$D$36:$AL$36,MATCH(AF$7,'Inputs (2)'!$D$2:$AL$2,0))</f>
        <v>922.242</v>
      </c>
      <c r="AG201" s="3">
        <f>AF201</f>
        <v>922.242</v>
      </c>
      <c r="AH201" s="3">
        <f>AG201</f>
        <v>922.242</v>
      </c>
      <c r="AI201" s="3">
        <f>AH201</f>
        <v>922.242</v>
      </c>
      <c r="AJ201" s="3">
        <f>AI201</f>
        <v>922.242</v>
      </c>
      <c r="AK201" s="3">
        <f>AJ201</f>
        <v>922.242</v>
      </c>
      <c r="AL201" s="3">
        <f>AK201</f>
        <v>922.242</v>
      </c>
      <c r="AM201" s="3">
        <f>AL201</f>
        <v>922.242</v>
      </c>
      <c r="AN201" s="3">
        <f>AM201</f>
        <v>922.242</v>
      </c>
      <c r="AO201" s="3">
        <f>AN201</f>
        <v>922.242</v>
      </c>
      <c r="AP201" s="3">
        <f>AO201</f>
        <v>922.242</v>
      </c>
      <c r="AQ201" s="3">
        <f>AP201</f>
        <v>922.242</v>
      </c>
      <c r="AR201" s="3">
        <f>AQ201</f>
        <v>922.242</v>
      </c>
      <c r="AS201" s="3">
        <f>AR201</f>
        <v>922.242</v>
      </c>
      <c r="AT201" s="3">
        <f>AS201</f>
        <v>922.242</v>
      </c>
      <c r="AU201" s="3">
        <f>AT201</f>
        <v>922.242</v>
      </c>
      <c r="AV201" s="3">
        <f>AU201</f>
        <v>922.242</v>
      </c>
      <c r="AW201" s="3">
        <f>AV201</f>
        <v>922.242</v>
      </c>
      <c r="AX201" s="3">
        <f>AW201</f>
        <v>922.242</v>
      </c>
      <c r="AY201" s="3">
        <f>AX201</f>
        <v>922.242</v>
      </c>
      <c r="AZ201" s="3">
        <f>AY201</f>
        <v>922.242</v>
      </c>
      <c r="BA201" s="3">
        <f>AZ201</f>
        <v>922.242</v>
      </c>
      <c r="BB201" s="3">
        <f>BA201</f>
        <v>922.242</v>
      </c>
      <c r="BC201" s="3">
        <f>BB201</f>
        <v>922.242</v>
      </c>
      <c r="BD201" s="3">
        <f>BC201</f>
        <v>922.242</v>
      </c>
      <c r="BE201" s="3">
        <f>BD201</f>
        <v>922.242</v>
      </c>
      <c r="BF201" s="3">
        <f>BE201</f>
        <v>922.242</v>
      </c>
      <c r="BG201" s="3">
        <f>BF201</f>
        <v>922.242</v>
      </c>
      <c r="BH201" s="3">
        <f>BG201</f>
        <v>922.242</v>
      </c>
      <c r="BI201" s="3">
        <f>BH201</f>
        <v>922.242</v>
      </c>
      <c r="BJ201" s="3">
        <f>BI201</f>
        <v>922.242</v>
      </c>
      <c r="BK201" s="3">
        <f>BJ201</f>
        <v>922.242</v>
      </c>
      <c r="BL201" s="3">
        <f>BK201</f>
        <v>922.242</v>
      </c>
      <c r="BM201" s="3">
        <f>BL201</f>
        <v>922.242</v>
      </c>
      <c r="BN201" s="3">
        <f>BM201</f>
        <v>922.242</v>
      </c>
      <c r="BO201" s="3">
        <f>BN201</f>
        <v>922.242</v>
      </c>
      <c r="BP201" s="3">
        <f>BO201</f>
        <v>922.242</v>
      </c>
      <c r="BQ201" s="3">
        <f>BP201</f>
        <v>922.242</v>
      </c>
      <c r="BR201" s="3">
        <f>BQ201</f>
        <v>922.242</v>
      </c>
      <c r="BS201" s="3">
        <f>BR201</f>
        <v>922.242</v>
      </c>
      <c r="BT201" s="3">
        <f>BS201</f>
        <v>922.242</v>
      </c>
      <c r="BU201" s="3">
        <f>BT201</f>
        <v>922.242</v>
      </c>
      <c r="BV201" s="3">
        <f>BU201</f>
        <v>922.242</v>
      </c>
      <c r="BW201" s="3">
        <f>BV201</f>
        <v>922.242</v>
      </c>
      <c r="BX201" s="3">
        <f>BW201</f>
        <v>922.242</v>
      </c>
      <c r="BY201" s="3">
        <f>BX201</f>
        <v>922.242</v>
      </c>
      <c r="BZ201" s="3">
        <f>BY201</f>
        <v>922.242</v>
      </c>
      <c r="CA201" s="3">
        <f>BZ201</f>
        <v>922.242</v>
      </c>
      <c r="CB201" s="3">
        <f>CA201</f>
        <v>922.242</v>
      </c>
      <c r="CC201" s="3">
        <f>CB201</f>
        <v>922.242</v>
      </c>
      <c r="CD201" s="3">
        <f>CC201</f>
        <v>922.242</v>
      </c>
      <c r="CE201" s="3">
        <f>CD201</f>
        <v>922.242</v>
      </c>
      <c r="CF201" s="3">
        <f>CE201</f>
        <v>922.242</v>
      </c>
      <c r="CG201" s="3">
        <f>CF201</f>
        <v>922.242</v>
      </c>
      <c r="CH201" s="3">
        <f>CG201</f>
        <v>922.242</v>
      </c>
      <c r="CI201" s="3">
        <f>CH201</f>
        <v>922.242</v>
      </c>
      <c r="CJ201" s="3">
        <f>CI201</f>
        <v>922.242</v>
      </c>
      <c r="CK201" s="3">
        <f>CJ201</f>
        <v>922.242</v>
      </c>
      <c r="CL201" s="3">
        <f>CK201</f>
        <v>922.242</v>
      </c>
      <c r="CM201" s="3">
        <f>CL201</f>
        <v>922.242</v>
      </c>
      <c r="CN201" s="3">
        <f>CM201</f>
        <v>922.242</v>
      </c>
      <c r="CO201" s="3">
        <f>CN201</f>
        <v>922.242</v>
      </c>
      <c r="CP201" s="3">
        <f>CO201</f>
        <v>922.242</v>
      </c>
      <c r="CQ201" s="3">
        <f>CP201</f>
        <v>922.242</v>
      </c>
      <c r="CR201" s="3">
        <f>CQ201</f>
        <v>922.242</v>
      </c>
      <c r="CS201" s="3">
        <f>CR201</f>
        <v>922.242</v>
      </c>
      <c r="CT201" s="3">
        <f>CS201</f>
        <v>922.242</v>
      </c>
      <c r="CU201" s="3">
        <f>CT201</f>
        <v>922.242</v>
      </c>
      <c r="CV201" s="3">
        <f>CU201</f>
        <v>922.242</v>
      </c>
      <c r="CW201" s="3">
        <f>CV201</f>
        <v>922.242</v>
      </c>
      <c r="CX201" s="3">
        <f>CW201</f>
        <v>922.242</v>
      </c>
      <c r="CY201" s="3">
        <f>CX201</f>
        <v>922.242</v>
      </c>
    </row>
    <row r="202" hidden="1" outlineLevel="1">
      <c r="C202" s="38" t="inlineStr">
        <is>
          <t>%(Var.)</t>
        </is>
      </c>
      <c r="D202" s="3" t="n"/>
      <c r="E202" s="47">
        <f>(E201-D201)/D201</f>
        <v>-0.0362859288158897</v>
      </c>
      <c r="F202" s="47">
        <f>(F201-E201)/E201</f>
        <v>-0.0249752185000159</v>
      </c>
      <c r="G202" s="47">
        <f>(G201-F201)/F201</f>
        <v>-0.00901921623220159</v>
      </c>
      <c r="H202" s="3" t="n"/>
      <c r="I202" s="47">
        <f>(I201-H201)/H201</f>
        <v>-0.0403688561560697</v>
      </c>
      <c r="J202" s="47">
        <f>(J201-I201)/I201</f>
        <v>-0.0238855017984148</v>
      </c>
      <c r="K202" s="47">
        <f>(K201-J201)/J201</f>
        <v>0.0360230160527825</v>
      </c>
      <c r="L202" s="47">
        <f>(L201-K201)/K201</f>
        <v>0.0513105999380058</v>
      </c>
      <c r="M202" s="3" t="n"/>
      <c r="N202" s="47">
        <f>(N201-M201)/M201</f>
        <v>0.0530807445026148</v>
      </c>
      <c r="O202" s="47">
        <f>(O201-N201)/N201</f>
        <v>0.0311336440304192</v>
      </c>
      <c r="P202" s="47">
        <f>(P201-O201)/O201</f>
        <v>-0.0249951501658217</v>
      </c>
      <c r="Q202" s="47">
        <f>(Q201-P201)/P201</f>
        <v>0.282831943543449</v>
      </c>
      <c r="R202" s="3" t="n"/>
      <c r="S202" s="47">
        <f>(S201-R201)/R201</f>
        <v>-0.0160669777564994</v>
      </c>
      <c r="T202" s="47">
        <f>(T201-S201)/S201</f>
        <v>0.284056085314755</v>
      </c>
      <c r="U202" s="47">
        <f>(U201-T201)/T201</f>
        <v>-0.0204346184503084</v>
      </c>
      <c r="V202" s="47">
        <f>(V201-U201)/U201</f>
        <v>-0.00692593972565194</v>
      </c>
      <c r="W202" s="3" t="n"/>
      <c r="X202" s="47">
        <f>(X201-W201)/W201</f>
        <v>-0.0404412937970985</v>
      </c>
      <c r="Y202" s="47">
        <f>(Y201-X201)/X201</f>
        <v>-0.0456135210031989</v>
      </c>
      <c r="Z202" s="47">
        <f>(Z201-Y201)/Y201</f>
        <v>-0.043765392856302</v>
      </c>
      <c r="AA202" s="47">
        <f>(AA201-Z201)/Z201</f>
        <v>-0.0193724847484404</v>
      </c>
      <c r="AB202" s="3" t="n"/>
      <c r="AC202" s="47">
        <f>(AC201-AB201)/AB201</f>
        <v>-0.0186433408963307</v>
      </c>
      <c r="AD202" s="47">
        <f>(AD201-AC201)/AC201</f>
        <v>-0.0410930583629712</v>
      </c>
      <c r="AE202" s="47">
        <f>(AE201-AD201)/AD201</f>
        <v>-0.00166288834526599</v>
      </c>
      <c r="AF202" s="230">
        <f>(AF201-AE201)/AE201</f>
        <v>-0.0140308713380644</v>
      </c>
      <c r="AG202" s="3" t="n"/>
      <c r="AH202" s="6" t="n"/>
      <c r="AI202" s="6" t="n"/>
      <c r="AJ202" s="6" t="n"/>
      <c r="AK202" s="6" t="n"/>
      <c r="AL202" s="3" t="n"/>
      <c r="AM202" s="6" t="n"/>
      <c r="AN202" s="6" t="n"/>
      <c r="AO202" s="6" t="n"/>
      <c r="AP202" s="6" t="n"/>
      <c r="AQ202" s="3" t="n"/>
      <c r="AR202" s="6" t="n"/>
      <c r="AS202" s="6" t="n"/>
      <c r="AT202" s="6" t="n"/>
      <c r="AU202" s="6" t="n"/>
      <c r="AV202" s="3" t="n"/>
      <c r="AW202" s="6" t="n"/>
      <c r="AX202" s="6" t="n"/>
      <c r="AY202" s="6" t="n"/>
      <c r="AZ202" s="6" t="n"/>
      <c r="BA202" s="3" t="n"/>
      <c r="BB202" s="6" t="n"/>
      <c r="BC202" s="6" t="n"/>
      <c r="BD202" s="6" t="n"/>
      <c r="BE202" s="6" t="n"/>
      <c r="BF202" s="3" t="n"/>
      <c r="BG202" s="6" t="n"/>
      <c r="BH202" s="6" t="n"/>
      <c r="BI202" s="6" t="n"/>
      <c r="BJ202" s="6" t="n"/>
      <c r="BK202" s="3" t="n"/>
      <c r="BL202" s="6" t="n"/>
      <c r="BM202" s="6" t="n"/>
      <c r="BN202" s="6" t="n"/>
      <c r="BO202" s="6" t="n"/>
      <c r="BP202" s="3" t="n"/>
      <c r="BQ202" s="6" t="n"/>
      <c r="BR202" s="6" t="n"/>
      <c r="BS202" s="6" t="n"/>
      <c r="BT202" s="6" t="n"/>
      <c r="BU202" s="3" t="n"/>
      <c r="BV202" s="6" t="n"/>
      <c r="BW202" s="6" t="n"/>
      <c r="BX202" s="6" t="n"/>
      <c r="BY202" s="6" t="n"/>
      <c r="BZ202" s="3" t="n"/>
      <c r="CA202" s="6" t="n"/>
      <c r="CB202" s="6" t="n"/>
      <c r="CC202" s="6" t="n"/>
      <c r="CD202" s="6" t="n"/>
      <c r="CE202" s="3" t="n"/>
      <c r="CF202" s="6" t="n"/>
      <c r="CG202" s="6" t="n"/>
      <c r="CH202" s="6" t="n"/>
      <c r="CI202" s="6" t="n"/>
      <c r="CJ202" s="3" t="n"/>
      <c r="CK202" s="6" t="n"/>
      <c r="CL202" s="6" t="n"/>
      <c r="CM202" s="6" t="n"/>
      <c r="CN202" s="6" t="n"/>
      <c r="CO202" s="3" t="n"/>
      <c r="CP202" s="6" t="n"/>
      <c r="CQ202" s="6" t="n"/>
      <c r="CR202" s="6" t="n"/>
      <c r="CS202" s="6" t="n"/>
      <c r="CT202" s="3" t="n"/>
      <c r="CU202" s="6" t="n"/>
      <c r="CV202" s="6" t="n"/>
      <c r="CW202" s="6" t="n"/>
      <c r="CX202" s="6" t="n"/>
      <c r="CY202" s="3" t="n"/>
    </row>
    <row r="203" hidden="1" outlineLevel="1">
      <c r="C203" s="34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  <c r="AY203" s="3" t="n"/>
      <c r="AZ203" s="3" t="n"/>
      <c r="BA203" s="3" t="n"/>
      <c r="BB203" s="3" t="n"/>
      <c r="BC203" s="3" t="n"/>
      <c r="BD203" s="3" t="n"/>
      <c r="BE203" s="3" t="n"/>
      <c r="BF203" s="3" t="n"/>
      <c r="BG203" s="3" t="n"/>
      <c r="BH203" s="3" t="n"/>
      <c r="BI203" s="3" t="n"/>
      <c r="BJ203" s="3" t="n"/>
      <c r="BK203" s="3" t="n"/>
      <c r="BL203" s="3" t="n"/>
      <c r="BM203" s="3" t="n"/>
      <c r="BN203" s="3" t="n"/>
      <c r="BO203" s="3" t="n"/>
      <c r="BP203" s="3" t="n"/>
      <c r="BQ203" s="3" t="n"/>
      <c r="BR203" s="3" t="n"/>
      <c r="BS203" s="3" t="n"/>
      <c r="BT203" s="3" t="n"/>
      <c r="BU203" s="3" t="n"/>
      <c r="BV203" s="3" t="n"/>
      <c r="BW203" s="3" t="n"/>
      <c r="BX203" s="3" t="n"/>
      <c r="BY203" s="3" t="n"/>
      <c r="BZ203" s="3" t="n"/>
      <c r="CA203" s="3" t="n"/>
      <c r="CB203" s="3" t="n"/>
      <c r="CC203" s="3" t="n"/>
      <c r="CD203" s="3" t="n"/>
      <c r="CE203" s="3" t="n"/>
      <c r="CF203" s="3" t="n"/>
      <c r="CG203" s="3" t="n"/>
      <c r="CH203" s="3" t="n"/>
      <c r="CI203" s="3" t="n"/>
      <c r="CJ203" s="3" t="n"/>
      <c r="CK203" s="3" t="n"/>
      <c r="CL203" s="3" t="n"/>
      <c r="CM203" s="3" t="n"/>
      <c r="CN203" s="3" t="n"/>
      <c r="CO203" s="3" t="n"/>
      <c r="CP203" s="3" t="n"/>
      <c r="CQ203" s="3" t="n"/>
      <c r="CR203" s="3" t="n"/>
      <c r="CS203" s="3" t="n"/>
      <c r="CT203" s="3" t="n"/>
      <c r="CU203" s="3" t="n"/>
      <c r="CV203" s="3" t="n"/>
      <c r="CW203" s="3" t="n"/>
      <c r="CX203" s="3" t="n"/>
      <c r="CY203" s="3" t="n"/>
    </row>
    <row r="204" collapsed="1">
      <c r="C204" s="26" t="inlineStr">
        <is>
          <t>Convertible debt</t>
        </is>
      </c>
      <c r="D204" s="25" t="n"/>
      <c r="E204" s="25" t="n"/>
      <c r="F204" s="25" t="n"/>
      <c r="G204" s="25" t="n"/>
      <c r="H204" s="3">
        <f>G204</f>
        <v>0</v>
      </c>
      <c r="I204" s="25" t="n"/>
      <c r="J204" s="25" t="n"/>
      <c r="K204" s="25" t="n"/>
      <c r="L204" s="25" t="n"/>
      <c r="M204" s="3">
        <f>L204</f>
        <v>0</v>
      </c>
      <c r="N204" s="25" t="n"/>
      <c r="O204" s="25" t="n"/>
      <c r="P204" s="25" t="n"/>
      <c r="Q204" s="25" t="n"/>
      <c r="R204" s="3">
        <f>Q204</f>
        <v>0</v>
      </c>
      <c r="S204" s="25" t="n"/>
      <c r="T204" s="25" t="n"/>
      <c r="U204" s="25" t="n"/>
      <c r="V204" s="25" t="n"/>
      <c r="W204" s="3">
        <f>V204</f>
        <v>0</v>
      </c>
      <c r="X204" s="25" t="n"/>
      <c r="Y204" s="25" t="n"/>
      <c r="Z204" s="25" t="n"/>
      <c r="AA204" s="25" t="n"/>
      <c r="AB204" s="3">
        <f>AA204</f>
        <v>0</v>
      </c>
      <c r="AC204" s="25" t="n"/>
      <c r="AD204" s="25" t="n"/>
      <c r="AE204" s="25" t="n"/>
      <c r="AF204" s="25" t="n"/>
      <c r="AG204" s="3">
        <f>AF204</f>
        <v>0</v>
      </c>
      <c r="AH204" s="3">
        <f>AG204</f>
        <v>0</v>
      </c>
      <c r="AI204" s="3">
        <f>AH204</f>
        <v>0</v>
      </c>
      <c r="AJ204" s="3">
        <f>AI204</f>
        <v>0</v>
      </c>
      <c r="AK204" s="3">
        <f>AJ204</f>
        <v>0</v>
      </c>
      <c r="AL204" s="3">
        <f>AK204</f>
        <v>0</v>
      </c>
      <c r="AM204" s="3">
        <f>AL204</f>
        <v>0</v>
      </c>
      <c r="AN204" s="3">
        <f>AM204</f>
        <v>0</v>
      </c>
      <c r="AO204" s="3">
        <f>AN204</f>
        <v>0</v>
      </c>
      <c r="AP204" s="3">
        <f>AO204</f>
        <v>0</v>
      </c>
      <c r="AQ204" s="3">
        <f>AP204</f>
        <v>0</v>
      </c>
      <c r="AR204" s="3">
        <f>AQ204</f>
        <v>0</v>
      </c>
      <c r="AS204" s="3">
        <f>AR204</f>
        <v>0</v>
      </c>
      <c r="AT204" s="3">
        <f>AS204</f>
        <v>0</v>
      </c>
      <c r="AU204" s="3">
        <f>AT204</f>
        <v>0</v>
      </c>
      <c r="AV204" s="3">
        <f>AU204</f>
        <v>0</v>
      </c>
      <c r="AW204" s="3">
        <f>AV204</f>
        <v>0</v>
      </c>
      <c r="AX204" s="3">
        <f>AW204</f>
        <v>0</v>
      </c>
      <c r="AY204" s="3">
        <f>AX204</f>
        <v>0</v>
      </c>
      <c r="AZ204" s="3">
        <f>AY204</f>
        <v>0</v>
      </c>
      <c r="BA204" s="3">
        <f>AZ204</f>
        <v>0</v>
      </c>
      <c r="BB204" s="3">
        <f>BA204</f>
        <v>0</v>
      </c>
      <c r="BC204" s="3">
        <f>BB204</f>
        <v>0</v>
      </c>
      <c r="BD204" s="3">
        <f>BC204</f>
        <v>0</v>
      </c>
      <c r="BE204" s="3">
        <f>BD204</f>
        <v>0</v>
      </c>
      <c r="BF204" s="3">
        <f>BE204</f>
        <v>0</v>
      </c>
      <c r="BG204" s="3">
        <f>BF204</f>
        <v>0</v>
      </c>
      <c r="BH204" s="3">
        <f>BG204</f>
        <v>0</v>
      </c>
      <c r="BI204" s="3">
        <f>BH204</f>
        <v>0</v>
      </c>
      <c r="BJ204" s="3">
        <f>BI204</f>
        <v>0</v>
      </c>
      <c r="BK204" s="3">
        <f>BJ204</f>
        <v>0</v>
      </c>
      <c r="BL204" s="3">
        <f>BK204</f>
        <v>0</v>
      </c>
      <c r="BM204" s="3">
        <f>BL204</f>
        <v>0</v>
      </c>
      <c r="BN204" s="3">
        <f>BM204</f>
        <v>0</v>
      </c>
      <c r="BO204" s="3">
        <f>BN204</f>
        <v>0</v>
      </c>
      <c r="BP204" s="3">
        <f>BO204</f>
        <v>0</v>
      </c>
      <c r="BQ204" s="3">
        <f>BP204</f>
        <v>0</v>
      </c>
      <c r="BR204" s="3">
        <f>BQ204</f>
        <v>0</v>
      </c>
      <c r="BS204" s="3">
        <f>BR204</f>
        <v>0</v>
      </c>
      <c r="BT204" s="3">
        <f>BS204</f>
        <v>0</v>
      </c>
      <c r="BU204" s="3">
        <f>BT204</f>
        <v>0</v>
      </c>
      <c r="BV204" s="3">
        <f>BU204</f>
        <v>0</v>
      </c>
      <c r="BW204" s="3">
        <f>BV204</f>
        <v>0</v>
      </c>
      <c r="BX204" s="3">
        <f>BW204</f>
        <v>0</v>
      </c>
      <c r="BY204" s="3">
        <f>BX204</f>
        <v>0</v>
      </c>
      <c r="BZ204" s="3">
        <f>BY204</f>
        <v>0</v>
      </c>
      <c r="CA204" s="3">
        <f>BZ204</f>
        <v>0</v>
      </c>
      <c r="CB204" s="3">
        <f>CA204</f>
        <v>0</v>
      </c>
      <c r="CC204" s="3">
        <f>CB204</f>
        <v>0</v>
      </c>
      <c r="CD204" s="3">
        <f>CC204</f>
        <v>0</v>
      </c>
      <c r="CE204" s="3">
        <f>CD204</f>
        <v>0</v>
      </c>
      <c r="CF204" s="3">
        <f>CE204</f>
        <v>0</v>
      </c>
      <c r="CG204" s="3">
        <f>CF204</f>
        <v>0</v>
      </c>
      <c r="CH204" s="3">
        <f>CG204</f>
        <v>0</v>
      </c>
      <c r="CI204" s="3">
        <f>CH204</f>
        <v>0</v>
      </c>
      <c r="CJ204" s="3">
        <f>CI204</f>
        <v>0</v>
      </c>
      <c r="CK204" s="3">
        <f>CJ204</f>
        <v>0</v>
      </c>
      <c r="CL204" s="3">
        <f>CK204</f>
        <v>0</v>
      </c>
      <c r="CM204" s="3">
        <f>CL204</f>
        <v>0</v>
      </c>
      <c r="CN204" s="3">
        <f>CM204</f>
        <v>0</v>
      </c>
      <c r="CO204" s="3">
        <f>CN204</f>
        <v>0</v>
      </c>
      <c r="CP204" s="3">
        <f>CO204</f>
        <v>0</v>
      </c>
      <c r="CQ204" s="3">
        <f>CP204</f>
        <v>0</v>
      </c>
      <c r="CR204" s="3">
        <f>CQ204</f>
        <v>0</v>
      </c>
      <c r="CS204" s="3">
        <f>CR204</f>
        <v>0</v>
      </c>
      <c r="CT204" s="3">
        <f>CS204</f>
        <v>0</v>
      </c>
      <c r="CU204" s="3">
        <f>CT204</f>
        <v>0</v>
      </c>
      <c r="CV204" s="3">
        <f>CU204</f>
        <v>0</v>
      </c>
      <c r="CW204" s="3">
        <f>CV204</f>
        <v>0</v>
      </c>
      <c r="CX204" s="3">
        <f>CW204</f>
        <v>0</v>
      </c>
      <c r="CY204" s="3">
        <f>CX204</f>
        <v>0</v>
      </c>
    </row>
    <row r="205">
      <c r="C205" s="26" t="inlineStr">
        <is>
          <t>Deferred income taxes</t>
        </is>
      </c>
      <c r="D205" s="25">
        <f>INDEX('Inputs (2)'!$D$38:$AL$38,MATCH(D$7,'Inputs (2)'!$D$2:$AL$2,0))</f>
        <v>418.369</v>
      </c>
      <c r="E205" s="25">
        <f>INDEX('Inputs (2)'!$D$38:$AL$38,MATCH(E$7,'Inputs (2)'!$D$2:$AL$2,0))</f>
        <v>469.42195361</v>
      </c>
      <c r="F205" s="25">
        <f>INDEX('Inputs (2)'!$D$38:$AL$38,MATCH(F$7,'Inputs (2)'!$D$2:$AL$2,0))</f>
        <v>468.6245004</v>
      </c>
      <c r="G205" s="25">
        <f>INDEX('Inputs (2)'!$D$38:$AL$38,MATCH(G$7,'Inputs (2)'!$D$2:$AL$2,0))</f>
        <v>468.94024418</v>
      </c>
      <c r="H205" s="3">
        <f>G205</f>
        <v>468.94024418</v>
      </c>
      <c r="I205" s="25">
        <f>INDEX('Inputs (2)'!$D$38:$AL$38,MATCH(I$7,'Inputs (2)'!$D$2:$AL$2,0))</f>
        <v>467.16584292</v>
      </c>
      <c r="J205" s="25">
        <f>INDEX('Inputs (2)'!$D$38:$AL$38,MATCH(J$7,'Inputs (2)'!$D$2:$AL$2,0))</f>
        <v>466.67550792</v>
      </c>
      <c r="K205" s="25">
        <f>INDEX('Inputs (2)'!$D$38:$AL$38,MATCH(K$7,'Inputs (2)'!$D$2:$AL$2,0))</f>
        <v>465.94036794</v>
      </c>
      <c r="L205" s="25">
        <f>INDEX('Inputs (2)'!$D$38:$AL$38,MATCH(L$7,'Inputs (2)'!$D$2:$AL$2,0))</f>
        <v>397.561</v>
      </c>
      <c r="M205" s="3">
        <f>L205</f>
        <v>397.561</v>
      </c>
      <c r="N205" s="25">
        <f>INDEX('Inputs (2)'!$D$38:$AL$38,MATCH(N$7,'Inputs (2)'!$D$2:$AL$2,0))</f>
        <v>410.47774333</v>
      </c>
      <c r="O205" s="25">
        <f>INDEX('Inputs (2)'!$D$38:$AL$38,MATCH(O$7,'Inputs (2)'!$D$2:$AL$2,0))</f>
        <v>508.20410198</v>
      </c>
      <c r="P205" s="25">
        <f>INDEX('Inputs (2)'!$D$38:$AL$38,MATCH(P$7,'Inputs (2)'!$D$2:$AL$2,0))</f>
        <v>510.90411053</v>
      </c>
      <c r="Q205" s="25">
        <f>INDEX('Inputs (2)'!$D$38:$AL$38,MATCH(Q$7,'Inputs (2)'!$D$2:$AL$2,0))</f>
        <v>397.58912424</v>
      </c>
      <c r="R205" s="3">
        <f>Q205</f>
        <v>397.58912424</v>
      </c>
      <c r="S205" s="25">
        <f>INDEX('Inputs (2)'!$D$38:$AL$38,MATCH(S$7,'Inputs (2)'!$D$2:$AL$2,0))</f>
        <v>403.13935572</v>
      </c>
      <c r="T205" s="25">
        <f>INDEX('Inputs (2)'!$D$38:$AL$38,MATCH(T$7,'Inputs (2)'!$D$2:$AL$2,0))</f>
        <v>570.569</v>
      </c>
      <c r="U205" s="25">
        <f>INDEX('Inputs (2)'!$D$38:$AL$38,MATCH(U$7,'Inputs (2)'!$D$2:$AL$2,0))</f>
        <v>549.898</v>
      </c>
      <c r="V205" s="25">
        <f>INDEX('Inputs (2)'!$D$38:$AL$38,MATCH(V$7,'Inputs (2)'!$D$2:$AL$2,0))</f>
        <v>580.533</v>
      </c>
      <c r="W205" s="3">
        <f>V205</f>
        <v>580.533</v>
      </c>
      <c r="X205" s="25">
        <f>INDEX('Inputs (2)'!$D$38:$AL$38,MATCH(X$7,'Inputs (2)'!$D$2:$AL$2,0))</f>
        <v>576.753</v>
      </c>
      <c r="Y205" s="25">
        <f>INDEX('Inputs (2)'!$D$38:$AL$38,MATCH(Y$7,'Inputs (2)'!$D$2:$AL$2,0))</f>
        <v>551.446</v>
      </c>
      <c r="Z205" s="25">
        <f>INDEX('Inputs (2)'!$D$38:$AL$38,MATCH(Z$7,'Inputs (2)'!$D$2:$AL$2,0))</f>
        <v>581.485</v>
      </c>
      <c r="AA205" s="25">
        <f>INDEX('Inputs (2)'!$D$38:$AL$38,MATCH(AA$7,'Inputs (2)'!$D$2:$AL$2,0))</f>
        <v>571.796</v>
      </c>
      <c r="AB205" s="3">
        <f>AA205</f>
        <v>571.796</v>
      </c>
      <c r="AC205" s="25">
        <f>INDEX('Inputs (2)'!$D$38:$AL$38,MATCH(AC$7,'Inputs (2)'!$D$2:$AL$2,0))</f>
        <v>580.326605</v>
      </c>
      <c r="AD205" s="25">
        <f>INDEX('Inputs (2)'!$D$38:$AL$38,MATCH(AD$7,'Inputs (2)'!$D$2:$AL$2,0))</f>
        <v>525.619</v>
      </c>
      <c r="AE205" s="25">
        <f>INDEX('Inputs (2)'!$D$38:$AL$38,MATCH(AE$7,'Inputs (2)'!$D$2:$AL$2,0))</f>
        <v>543.129</v>
      </c>
      <c r="AF205" s="25">
        <f>INDEX('Inputs (2)'!$D$38:$AL$38,MATCH(AF$7,'Inputs (2)'!$D$2:$AL$2,0))</f>
        <v>557.54</v>
      </c>
      <c r="AG205" s="3">
        <f>AF205</f>
        <v>557.54</v>
      </c>
      <c r="AH205" s="3">
        <f>AG205</f>
        <v>557.54</v>
      </c>
      <c r="AI205" s="3">
        <f>AH205</f>
        <v>557.54</v>
      </c>
      <c r="AJ205" s="3">
        <f>AI205</f>
        <v>557.54</v>
      </c>
      <c r="AK205" s="3">
        <f>AJ205</f>
        <v>557.54</v>
      </c>
      <c r="AL205" s="3">
        <f>AK205</f>
        <v>557.54</v>
      </c>
      <c r="AM205" s="3">
        <f>AL205</f>
        <v>557.54</v>
      </c>
      <c r="AN205" s="3">
        <f>AM205</f>
        <v>557.54</v>
      </c>
      <c r="AO205" s="3">
        <f>AN205</f>
        <v>557.54</v>
      </c>
      <c r="AP205" s="3">
        <f>AO205</f>
        <v>557.54</v>
      </c>
      <c r="AQ205" s="3">
        <f>AP205</f>
        <v>557.54</v>
      </c>
      <c r="AR205" s="3">
        <f>AQ205</f>
        <v>557.54</v>
      </c>
      <c r="AS205" s="3">
        <f>AR205</f>
        <v>557.54</v>
      </c>
      <c r="AT205" s="3">
        <f>AS205</f>
        <v>557.54</v>
      </c>
      <c r="AU205" s="3">
        <f>AT205</f>
        <v>557.54</v>
      </c>
      <c r="AV205" s="3">
        <f>AU205</f>
        <v>557.54</v>
      </c>
      <c r="AW205" s="3">
        <f>AV205</f>
        <v>557.54</v>
      </c>
      <c r="AX205" s="3">
        <f>AW205</f>
        <v>557.54</v>
      </c>
      <c r="AY205" s="3">
        <f>AX205</f>
        <v>557.54</v>
      </c>
      <c r="AZ205" s="3">
        <f>AY205</f>
        <v>557.54</v>
      </c>
      <c r="BA205" s="3">
        <f>AZ205</f>
        <v>557.54</v>
      </c>
      <c r="BB205" s="3">
        <f>BA205</f>
        <v>557.54</v>
      </c>
      <c r="BC205" s="3">
        <f>BB205</f>
        <v>557.54</v>
      </c>
      <c r="BD205" s="3">
        <f>BC205</f>
        <v>557.54</v>
      </c>
      <c r="BE205" s="3">
        <f>BD205</f>
        <v>557.54</v>
      </c>
      <c r="BF205" s="3">
        <f>BE205</f>
        <v>557.54</v>
      </c>
      <c r="BG205" s="3">
        <f>BF205</f>
        <v>557.54</v>
      </c>
      <c r="BH205" s="3">
        <f>BG205</f>
        <v>557.54</v>
      </c>
      <c r="BI205" s="3">
        <f>BH205</f>
        <v>557.54</v>
      </c>
      <c r="BJ205" s="3">
        <f>BI205</f>
        <v>557.54</v>
      </c>
      <c r="BK205" s="3">
        <f>BJ205</f>
        <v>557.54</v>
      </c>
      <c r="BL205" s="3">
        <f>BK205</f>
        <v>557.54</v>
      </c>
      <c r="BM205" s="3">
        <f>BL205</f>
        <v>557.54</v>
      </c>
      <c r="BN205" s="3">
        <f>BM205</f>
        <v>557.54</v>
      </c>
      <c r="BO205" s="3">
        <f>BN205</f>
        <v>557.54</v>
      </c>
      <c r="BP205" s="3">
        <f>BO205</f>
        <v>557.54</v>
      </c>
      <c r="BQ205" s="3">
        <f>BP205</f>
        <v>557.54</v>
      </c>
      <c r="BR205" s="3">
        <f>BQ205</f>
        <v>557.54</v>
      </c>
      <c r="BS205" s="3">
        <f>BR205</f>
        <v>557.54</v>
      </c>
      <c r="BT205" s="3">
        <f>BS205</f>
        <v>557.54</v>
      </c>
      <c r="BU205" s="3">
        <f>BT205</f>
        <v>557.54</v>
      </c>
      <c r="BV205" s="3">
        <f>BU205</f>
        <v>557.54</v>
      </c>
      <c r="BW205" s="3">
        <f>BV205</f>
        <v>557.54</v>
      </c>
      <c r="BX205" s="3">
        <f>BW205</f>
        <v>557.54</v>
      </c>
      <c r="BY205" s="3">
        <f>BX205</f>
        <v>557.54</v>
      </c>
      <c r="BZ205" s="3">
        <f>BY205</f>
        <v>557.54</v>
      </c>
      <c r="CA205" s="3">
        <f>BZ205</f>
        <v>557.54</v>
      </c>
      <c r="CB205" s="3">
        <f>CA205</f>
        <v>557.54</v>
      </c>
      <c r="CC205" s="3">
        <f>CB205</f>
        <v>557.54</v>
      </c>
      <c r="CD205" s="3">
        <f>CC205</f>
        <v>557.54</v>
      </c>
      <c r="CE205" s="3">
        <f>CD205</f>
        <v>557.54</v>
      </c>
      <c r="CF205" s="3">
        <f>CE205</f>
        <v>557.54</v>
      </c>
      <c r="CG205" s="3">
        <f>CF205</f>
        <v>557.54</v>
      </c>
      <c r="CH205" s="3">
        <f>CG205</f>
        <v>557.54</v>
      </c>
      <c r="CI205" s="3">
        <f>CH205</f>
        <v>557.54</v>
      </c>
      <c r="CJ205" s="3">
        <f>CI205</f>
        <v>557.54</v>
      </c>
      <c r="CK205" s="3">
        <f>CJ205</f>
        <v>557.54</v>
      </c>
      <c r="CL205" s="3">
        <f>CK205</f>
        <v>557.54</v>
      </c>
      <c r="CM205" s="3">
        <f>CL205</f>
        <v>557.54</v>
      </c>
      <c r="CN205" s="3">
        <f>CM205</f>
        <v>557.54</v>
      </c>
      <c r="CO205" s="3">
        <f>CN205</f>
        <v>557.54</v>
      </c>
      <c r="CP205" s="3">
        <f>CO205</f>
        <v>557.54</v>
      </c>
      <c r="CQ205" s="3">
        <f>CP205</f>
        <v>557.54</v>
      </c>
      <c r="CR205" s="3">
        <f>CQ205</f>
        <v>557.54</v>
      </c>
      <c r="CS205" s="3">
        <f>CR205</f>
        <v>557.54</v>
      </c>
      <c r="CT205" s="3">
        <f>CS205</f>
        <v>557.54</v>
      </c>
      <c r="CU205" s="3">
        <f>CT205</f>
        <v>557.54</v>
      </c>
      <c r="CV205" s="3">
        <f>CU205</f>
        <v>557.54</v>
      </c>
      <c r="CW205" s="3">
        <f>CV205</f>
        <v>557.54</v>
      </c>
      <c r="CX205" s="3">
        <f>CW205</f>
        <v>557.54</v>
      </c>
      <c r="CY205" s="3">
        <f>CX205</f>
        <v>557.54</v>
      </c>
    </row>
    <row r="206">
      <c r="C206" s="26" t="inlineStr">
        <is>
          <t>Other non-current liabilities</t>
        </is>
      </c>
      <c r="D206" s="25">
        <f>INDEX('Inputs (2)'!$D$39:$AL$39,MATCH(D$7,'Inputs (2)'!$D$2:$AL$2,0))</f>
        <v>154.87342166</v>
      </c>
      <c r="E206" s="25">
        <f>INDEX('Inputs (2)'!$D$39:$AL$39,MATCH(E$7,'Inputs (2)'!$D$2:$AL$2,0))</f>
        <v>149.60362893</v>
      </c>
      <c r="F206" s="25">
        <f>INDEX('Inputs (2)'!$D$39:$AL$39,MATCH(F$7,'Inputs (2)'!$D$2:$AL$2,0))</f>
        <v>147.53818617</v>
      </c>
      <c r="G206" s="25">
        <f>INDEX('Inputs (2)'!$D$39:$AL$39,MATCH(G$7,'Inputs (2)'!$D$2:$AL$2,0))</f>
        <v>145.71100568</v>
      </c>
      <c r="H206" s="3">
        <f>G206</f>
        <v>145.71100568</v>
      </c>
      <c r="I206" s="25">
        <f>INDEX('Inputs (2)'!$D$39:$AL$39,MATCH(I$7,'Inputs (2)'!$D$2:$AL$2,0))</f>
        <v>136.68378796</v>
      </c>
      <c r="J206" s="25">
        <f>INDEX('Inputs (2)'!$D$39:$AL$39,MATCH(J$7,'Inputs (2)'!$D$2:$AL$2,0))</f>
        <v>155.12582427</v>
      </c>
      <c r="K206" s="25">
        <f>INDEX('Inputs (2)'!$D$39:$AL$39,MATCH(K$7,'Inputs (2)'!$D$2:$AL$2,0))</f>
        <v>174.46362033</v>
      </c>
      <c r="L206" s="25">
        <f>INDEX('Inputs (2)'!$D$39:$AL$39,MATCH(L$7,'Inputs (2)'!$D$2:$AL$2,0))</f>
        <v>170.89964967</v>
      </c>
      <c r="M206" s="3">
        <f>L206</f>
        <v>170.89964967</v>
      </c>
      <c r="N206" s="25">
        <f>INDEX('Inputs (2)'!$D$39:$AL$39,MATCH(N$7,'Inputs (2)'!$D$2:$AL$2,0))</f>
        <v>162.3528526</v>
      </c>
      <c r="O206" s="25">
        <f>INDEX('Inputs (2)'!$D$39:$AL$39,MATCH(O$7,'Inputs (2)'!$D$2:$AL$2,0))</f>
        <v>220.24069615</v>
      </c>
      <c r="P206" s="25">
        <f>INDEX('Inputs (2)'!$D$39:$AL$39,MATCH(P$7,'Inputs (2)'!$D$2:$AL$2,0))</f>
        <v>214.30085814</v>
      </c>
      <c r="Q206" s="25">
        <f>INDEX('Inputs (2)'!$D$39:$AL$39,MATCH(Q$7,'Inputs (2)'!$D$2:$AL$2,0))</f>
        <v>316.6958399</v>
      </c>
      <c r="R206" s="3">
        <f>Q206</f>
        <v>316.6958399</v>
      </c>
      <c r="S206" s="25">
        <f>INDEX('Inputs (2)'!$D$39:$AL$39,MATCH(S$7,'Inputs (2)'!$D$2:$AL$2,0))</f>
        <v>290.3589332</v>
      </c>
      <c r="T206" s="25">
        <f>INDEX('Inputs (2)'!$D$39:$AL$39,MATCH(T$7,'Inputs (2)'!$D$2:$AL$2,0))</f>
        <v>447.123</v>
      </c>
      <c r="U206" s="25">
        <f>INDEX('Inputs (2)'!$D$39:$AL$39,MATCH(U$7,'Inputs (2)'!$D$2:$AL$2,0))</f>
        <v>503.835</v>
      </c>
      <c r="V206" s="25">
        <f>INDEX('Inputs (2)'!$D$39:$AL$39,MATCH(V$7,'Inputs (2)'!$D$2:$AL$2,0))</f>
        <v>540.862</v>
      </c>
      <c r="W206" s="3">
        <f>V206</f>
        <v>540.862</v>
      </c>
      <c r="X206" s="25">
        <f>INDEX('Inputs (2)'!$D$39:$AL$39,MATCH(X$7,'Inputs (2)'!$D$2:$AL$2,0))</f>
        <v>497.68558127</v>
      </c>
      <c r="Y206" s="25">
        <f>INDEX('Inputs (2)'!$D$39:$AL$39,MATCH(Y$7,'Inputs (2)'!$D$2:$AL$2,0))</f>
        <v>483.483</v>
      </c>
      <c r="Z206" s="25">
        <f>INDEX('Inputs (2)'!$D$39:$AL$39,MATCH(Z$7,'Inputs (2)'!$D$2:$AL$2,0))</f>
        <v>485.671</v>
      </c>
      <c r="AA206" s="25">
        <f>INDEX('Inputs (2)'!$D$39:$AL$39,MATCH(AA$7,'Inputs (2)'!$D$2:$AL$2,0))</f>
        <v>479.019</v>
      </c>
      <c r="AB206" s="3">
        <f>AA206</f>
        <v>479.019</v>
      </c>
      <c r="AC206" s="25">
        <f>INDEX('Inputs (2)'!$D$39:$AL$39,MATCH(AC$7,'Inputs (2)'!$D$2:$AL$2,0))</f>
        <v>460.11376819</v>
      </c>
      <c r="AD206" s="25">
        <f>INDEX('Inputs (2)'!$D$39:$AL$39,MATCH(AD$7,'Inputs (2)'!$D$2:$AL$2,0))</f>
        <v>498.062</v>
      </c>
      <c r="AE206" s="25">
        <f>INDEX('Inputs (2)'!$D$39:$AL$39,MATCH(AE$7,'Inputs (2)'!$D$2:$AL$2,0))</f>
        <v>523.59</v>
      </c>
      <c r="AF206" s="25">
        <f>INDEX('Inputs (2)'!$D$39:$AL$39,MATCH(AF$7,'Inputs (2)'!$D$2:$AL$2,0))</f>
        <v>600.385</v>
      </c>
      <c r="AG206" s="3">
        <f>AF206</f>
        <v>600.385</v>
      </c>
      <c r="AH206" s="3">
        <f>AG206</f>
        <v>600.385</v>
      </c>
      <c r="AI206" s="3">
        <f>AH206</f>
        <v>600.385</v>
      </c>
      <c r="AJ206" s="3">
        <f>AI206</f>
        <v>600.385</v>
      </c>
      <c r="AK206" s="3">
        <f>AJ206</f>
        <v>600.385</v>
      </c>
      <c r="AL206" s="3">
        <f>AK206</f>
        <v>600.385</v>
      </c>
      <c r="AM206" s="3">
        <f>AL206</f>
        <v>600.385</v>
      </c>
      <c r="AN206" s="3">
        <f>AM206</f>
        <v>600.385</v>
      </c>
      <c r="AO206" s="3">
        <f>AN206</f>
        <v>600.385</v>
      </c>
      <c r="AP206" s="3">
        <f>AO206</f>
        <v>600.385</v>
      </c>
      <c r="AQ206" s="3">
        <f>AP206</f>
        <v>600.385</v>
      </c>
      <c r="AR206" s="3">
        <f>AQ206</f>
        <v>600.385</v>
      </c>
      <c r="AS206" s="3">
        <f>AR206</f>
        <v>600.385</v>
      </c>
      <c r="AT206" s="3">
        <f>AS206</f>
        <v>600.385</v>
      </c>
      <c r="AU206" s="3">
        <f>AT206</f>
        <v>600.385</v>
      </c>
      <c r="AV206" s="3">
        <f>AU206</f>
        <v>600.385</v>
      </c>
      <c r="AW206" s="3">
        <f>AV206</f>
        <v>600.385</v>
      </c>
      <c r="AX206" s="3">
        <f>AW206</f>
        <v>600.385</v>
      </c>
      <c r="AY206" s="3">
        <f>AX206</f>
        <v>600.385</v>
      </c>
      <c r="AZ206" s="3">
        <f>AY206</f>
        <v>600.385</v>
      </c>
      <c r="BA206" s="3">
        <f>AZ206</f>
        <v>600.385</v>
      </c>
      <c r="BB206" s="3">
        <f>BA206</f>
        <v>600.385</v>
      </c>
      <c r="BC206" s="3">
        <f>BB206</f>
        <v>600.385</v>
      </c>
      <c r="BD206" s="3">
        <f>BC206</f>
        <v>600.385</v>
      </c>
      <c r="BE206" s="3">
        <f>BD206</f>
        <v>600.385</v>
      </c>
      <c r="BF206" s="3">
        <f>BE206</f>
        <v>600.385</v>
      </c>
      <c r="BG206" s="3">
        <f>BF206</f>
        <v>600.385</v>
      </c>
      <c r="BH206" s="3">
        <f>BG206</f>
        <v>600.385</v>
      </c>
      <c r="BI206" s="3">
        <f>BH206</f>
        <v>600.385</v>
      </c>
      <c r="BJ206" s="3">
        <f>BI206</f>
        <v>600.385</v>
      </c>
      <c r="BK206" s="3">
        <f>BJ206</f>
        <v>600.385</v>
      </c>
      <c r="BL206" s="3">
        <f>BK206</f>
        <v>600.385</v>
      </c>
      <c r="BM206" s="3">
        <f>BL206</f>
        <v>600.385</v>
      </c>
      <c r="BN206" s="3">
        <f>BM206</f>
        <v>600.385</v>
      </c>
      <c r="BO206" s="3">
        <f>BN206</f>
        <v>600.385</v>
      </c>
      <c r="BP206" s="3">
        <f>BO206</f>
        <v>600.385</v>
      </c>
      <c r="BQ206" s="3">
        <f>BP206</f>
        <v>600.385</v>
      </c>
      <c r="BR206" s="3">
        <f>BQ206</f>
        <v>600.385</v>
      </c>
      <c r="BS206" s="3">
        <f>BR206</f>
        <v>600.385</v>
      </c>
      <c r="BT206" s="3">
        <f>BS206</f>
        <v>600.385</v>
      </c>
      <c r="BU206" s="3">
        <f>BT206</f>
        <v>600.385</v>
      </c>
      <c r="BV206" s="3">
        <f>BU206</f>
        <v>600.385</v>
      </c>
      <c r="BW206" s="3">
        <f>BV206</f>
        <v>600.385</v>
      </c>
      <c r="BX206" s="3">
        <f>BW206</f>
        <v>600.385</v>
      </c>
      <c r="BY206" s="3">
        <f>BX206</f>
        <v>600.385</v>
      </c>
      <c r="BZ206" s="3">
        <f>BY206</f>
        <v>600.385</v>
      </c>
      <c r="CA206" s="3">
        <f>BZ206</f>
        <v>600.385</v>
      </c>
      <c r="CB206" s="3">
        <f>CA206</f>
        <v>600.385</v>
      </c>
      <c r="CC206" s="3">
        <f>CB206</f>
        <v>600.385</v>
      </c>
      <c r="CD206" s="3">
        <f>CC206</f>
        <v>600.385</v>
      </c>
      <c r="CE206" s="3">
        <f>CD206</f>
        <v>600.385</v>
      </c>
      <c r="CF206" s="3">
        <f>CE206</f>
        <v>600.385</v>
      </c>
      <c r="CG206" s="3">
        <f>CF206</f>
        <v>600.385</v>
      </c>
      <c r="CH206" s="3">
        <f>CG206</f>
        <v>600.385</v>
      </c>
      <c r="CI206" s="3">
        <f>CH206</f>
        <v>600.385</v>
      </c>
      <c r="CJ206" s="3">
        <f>CI206</f>
        <v>600.385</v>
      </c>
      <c r="CK206" s="3">
        <f>CJ206</f>
        <v>600.385</v>
      </c>
      <c r="CL206" s="3">
        <f>CK206</f>
        <v>600.385</v>
      </c>
      <c r="CM206" s="3">
        <f>CL206</f>
        <v>600.385</v>
      </c>
      <c r="CN206" s="3">
        <f>CM206</f>
        <v>600.385</v>
      </c>
      <c r="CO206" s="3">
        <f>CN206</f>
        <v>600.385</v>
      </c>
      <c r="CP206" s="3">
        <f>CO206</f>
        <v>600.385</v>
      </c>
      <c r="CQ206" s="3">
        <f>CP206</f>
        <v>600.385</v>
      </c>
      <c r="CR206" s="3">
        <f>CQ206</f>
        <v>600.385</v>
      </c>
      <c r="CS206" s="3">
        <f>CR206</f>
        <v>600.385</v>
      </c>
      <c r="CT206" s="3">
        <f>CS206</f>
        <v>600.385</v>
      </c>
      <c r="CU206" s="3">
        <f>CT206</f>
        <v>600.385</v>
      </c>
      <c r="CV206" s="3">
        <f>CU206</f>
        <v>600.385</v>
      </c>
      <c r="CW206" s="3">
        <f>CV206</f>
        <v>600.385</v>
      </c>
      <c r="CX206" s="3">
        <f>CW206</f>
        <v>600.385</v>
      </c>
      <c r="CY206" s="3">
        <f>CX206</f>
        <v>600.385</v>
      </c>
    </row>
    <row r="207" hidden="1" outlineLevel="1" ht="12" customHeight="1">
      <c r="C207" s="38" t="inlineStr">
        <is>
          <t>%(Var.)</t>
        </is>
      </c>
      <c r="D207" s="3" t="n"/>
      <c r="E207" s="47">
        <f>(E206-D206)/D206</f>
        <v>-0.034026449945485</v>
      </c>
      <c r="F207" s="47">
        <f>(F206-E206)/E206</f>
        <v>-0.0138061006592723</v>
      </c>
      <c r="G207" s="47">
        <f>(G206-F206)/F206</f>
        <v>-0.0123844581354324</v>
      </c>
      <c r="H207" s="3" t="n"/>
      <c r="I207" s="47">
        <f>(I206-H206)/H206</f>
        <v>-0.0619528887188176</v>
      </c>
      <c r="J207" s="47">
        <f>(J206-I206)/I206</f>
        <v>0.134924826018116</v>
      </c>
      <c r="K207" s="47">
        <f>(K206-J206)/J206</f>
        <v>0.12465878038683</v>
      </c>
      <c r="L207" s="47">
        <f>(L206-K206)/K206</f>
        <v>-0.0204281594825254</v>
      </c>
      <c r="M207" s="3" t="n"/>
      <c r="N207" s="47">
        <f>(N206-M206)/M206</f>
        <v>-0.0500106178479798</v>
      </c>
      <c r="O207" s="47">
        <f>(O206-N206)/N206</f>
        <v>0.35655575262741</v>
      </c>
      <c r="P207" s="47">
        <f>(P206-O206)/O206</f>
        <v>-0.0269697567880668</v>
      </c>
      <c r="Q207" s="47">
        <f>(Q206-P206)/P206</f>
        <v>0.477809480786618</v>
      </c>
      <c r="R207" s="3" t="n"/>
      <c r="S207" s="47">
        <f>(S206-R206)/R206</f>
        <v>-0.0831615177146506</v>
      </c>
      <c r="T207" s="47">
        <f>(T206-S206)/S206</f>
        <v>0.539897516058238</v>
      </c>
      <c r="U207" s="47">
        <f>(U206-T206)/T206</f>
        <v>0.126837581605062</v>
      </c>
      <c r="V207" s="47">
        <f>(V206-U206)/U206</f>
        <v>0.073490329175226</v>
      </c>
      <c r="W207" s="3" t="n"/>
      <c r="X207" s="47">
        <f>(X206-W206)/W206</f>
        <v>-0.0798289004034299</v>
      </c>
      <c r="Y207" s="47">
        <f>(Y206-X206)/X206</f>
        <v>-0.0285372568635759</v>
      </c>
      <c r="Z207" s="47">
        <f>(Z206-Y206)/Y206</f>
        <v>0.00452549520872512</v>
      </c>
      <c r="AA207" s="47">
        <f>(AA206-Z206)/Z206</f>
        <v>-0.0136965147188118</v>
      </c>
      <c r="AB207" s="3" t="n"/>
      <c r="AC207" s="47">
        <f>(AC206-AB206)/AB206</f>
        <v>-0.0394665593849095</v>
      </c>
      <c r="AD207" s="47">
        <f>(AD206-AC206)/AC206</f>
        <v>0.0824757580267183</v>
      </c>
      <c r="AE207" s="47">
        <f>(AE206-AD206)/AD206</f>
        <v>0.0512546630740752</v>
      </c>
      <c r="AF207" s="230">
        <f>(AF206-AE206)/AE206</f>
        <v>0.146670104471056</v>
      </c>
      <c r="AG207" s="3" t="n"/>
      <c r="AH207" s="230" t="n"/>
      <c r="AI207" s="230" t="n"/>
      <c r="AJ207" s="230" t="n"/>
      <c r="AK207" s="230" t="n"/>
      <c r="AL207" s="3" t="n"/>
      <c r="AM207" s="230" t="n"/>
      <c r="AN207" s="230" t="n"/>
      <c r="AO207" s="230" t="n"/>
      <c r="AP207" s="230" t="n"/>
      <c r="AQ207" s="3" t="n"/>
      <c r="AR207" s="230" t="n"/>
      <c r="AS207" s="230" t="n"/>
      <c r="AT207" s="230" t="n"/>
      <c r="AU207" s="230" t="n"/>
      <c r="AV207" s="3" t="n"/>
      <c r="AW207" s="230" t="n"/>
      <c r="AX207" s="230" t="n"/>
      <c r="AY207" s="230" t="n"/>
      <c r="AZ207" s="230" t="n"/>
      <c r="BA207" s="3" t="n"/>
      <c r="BB207" s="230" t="n"/>
      <c r="BC207" s="230" t="n"/>
      <c r="BD207" s="230" t="n"/>
      <c r="BE207" s="230" t="n"/>
      <c r="BF207" s="3" t="n"/>
      <c r="BG207" s="230" t="n"/>
      <c r="BH207" s="230" t="n"/>
      <c r="BI207" s="230" t="n"/>
      <c r="BJ207" s="230" t="n"/>
      <c r="BK207" s="3" t="n"/>
      <c r="BL207" s="230" t="n"/>
      <c r="BM207" s="230" t="n"/>
      <c r="BN207" s="230" t="n"/>
      <c r="BO207" s="230" t="n"/>
      <c r="BP207" s="3" t="n"/>
      <c r="BQ207" s="230" t="n"/>
      <c r="BR207" s="230" t="n"/>
      <c r="BS207" s="230" t="n"/>
      <c r="BT207" s="230" t="n"/>
      <c r="BU207" s="3" t="n"/>
      <c r="BV207" s="230" t="n"/>
      <c r="BW207" s="230" t="n"/>
      <c r="BX207" s="230" t="n"/>
      <c r="BY207" s="230" t="n"/>
      <c r="BZ207" s="3" t="n"/>
      <c r="CA207" s="230" t="n"/>
      <c r="CB207" s="230" t="n"/>
      <c r="CC207" s="230" t="n"/>
      <c r="CD207" s="230" t="n"/>
      <c r="CE207" s="3" t="n"/>
      <c r="CF207" s="230" t="n"/>
      <c r="CG207" s="230" t="n"/>
      <c r="CH207" s="230" t="n"/>
      <c r="CI207" s="230" t="n"/>
      <c r="CJ207" s="3" t="n"/>
      <c r="CK207" s="230" t="n"/>
      <c r="CL207" s="230" t="n"/>
      <c r="CM207" s="230" t="n"/>
      <c r="CN207" s="230" t="n"/>
      <c r="CO207" s="3" t="n"/>
      <c r="CP207" s="230" t="n"/>
      <c r="CQ207" s="230" t="n"/>
      <c r="CR207" s="230" t="n"/>
      <c r="CS207" s="230" t="n"/>
      <c r="CT207" s="3" t="n"/>
      <c r="CU207" s="230" t="n"/>
      <c r="CV207" s="230" t="n"/>
      <c r="CW207" s="230" t="n"/>
      <c r="CX207" s="230" t="n"/>
      <c r="CY207" s="3" t="n"/>
    </row>
    <row r="208" hidden="1" outlineLevel="1" ht="12" customHeight="1">
      <c r="C208" s="38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  <c r="AY208" s="3" t="n"/>
      <c r="AZ208" s="3" t="n"/>
      <c r="BA208" s="3" t="n"/>
      <c r="BB208" s="3" t="n"/>
      <c r="BC208" s="3" t="n"/>
      <c r="BD208" s="3" t="n"/>
      <c r="BE208" s="3" t="n"/>
      <c r="BF208" s="3" t="n"/>
      <c r="BG208" s="3" t="n"/>
      <c r="BH208" s="3" t="n"/>
      <c r="BI208" s="3" t="n"/>
      <c r="BJ208" s="3" t="n"/>
      <c r="BK208" s="3" t="n"/>
      <c r="BL208" s="3" t="n"/>
      <c r="BM208" s="3" t="n"/>
      <c r="BN208" s="3" t="n"/>
      <c r="BO208" s="3" t="n"/>
      <c r="BP208" s="3" t="n"/>
      <c r="BQ208" s="3" t="n"/>
      <c r="BR208" s="3" t="n"/>
      <c r="BS208" s="3" t="n"/>
      <c r="BT208" s="3" t="n"/>
      <c r="BU208" s="3" t="n"/>
      <c r="BV208" s="3" t="n"/>
      <c r="BW208" s="3" t="n"/>
      <c r="BX208" s="3" t="n"/>
      <c r="BY208" s="3" t="n"/>
      <c r="BZ208" s="3" t="n"/>
      <c r="CA208" s="3" t="n"/>
      <c r="CB208" s="3" t="n"/>
      <c r="CC208" s="3" t="n"/>
      <c r="CD208" s="3" t="n"/>
      <c r="CE208" s="3" t="n"/>
      <c r="CF208" s="3" t="n"/>
      <c r="CG208" s="3" t="n"/>
      <c r="CH208" s="3" t="n"/>
      <c r="CI208" s="3" t="n"/>
      <c r="CJ208" s="3" t="n"/>
      <c r="CK208" s="3" t="n"/>
      <c r="CL208" s="3" t="n"/>
      <c r="CM208" s="3" t="n"/>
      <c r="CN208" s="3" t="n"/>
      <c r="CO208" s="3" t="n"/>
      <c r="CP208" s="3" t="n"/>
      <c r="CQ208" s="3" t="n"/>
      <c r="CR208" s="3" t="n"/>
      <c r="CS208" s="3" t="n"/>
      <c r="CT208" s="3" t="n"/>
      <c r="CU208" s="3" t="n"/>
      <c r="CV208" s="3" t="n"/>
      <c r="CW208" s="3" t="n"/>
      <c r="CX208" s="3" t="n"/>
      <c r="CY208" s="3" t="n"/>
    </row>
    <row r="209" hidden="1" outlineLevel="1">
      <c r="C209" s="34" t="inlineStr">
        <is>
          <t>Contas a pagar pela aquisição de controladas</t>
        </is>
      </c>
      <c r="D209" s="6" t="n"/>
      <c r="E209" s="6" t="n"/>
      <c r="F209" s="6" t="n"/>
      <c r="G209" s="6" t="n"/>
      <c r="H209" s="3" t="n"/>
      <c r="I209" s="6" t="n"/>
      <c r="J209" s="6" t="n"/>
      <c r="K209" s="6" t="n"/>
      <c r="L209" s="6" t="n"/>
      <c r="M209" s="3" t="n"/>
      <c r="N209" s="6" t="n"/>
      <c r="O209" s="6" t="n"/>
      <c r="P209" s="6" t="n"/>
      <c r="Q209" s="6" t="n"/>
      <c r="R209" s="3" t="n"/>
      <c r="S209" s="6" t="n"/>
      <c r="T209" s="6" t="n"/>
      <c r="U209" s="6" t="n"/>
      <c r="V209" s="6" t="n"/>
      <c r="W209" s="3" t="n"/>
      <c r="X209" s="6" t="n"/>
      <c r="Y209" s="6" t="n"/>
      <c r="Z209" s="6" t="n"/>
      <c r="AA209" s="6" t="n"/>
      <c r="AB209" s="3" t="n"/>
      <c r="AC209" s="6" t="n"/>
      <c r="AD209" s="6" t="n"/>
      <c r="AE209" s="6" t="n"/>
      <c r="AF209" s="6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  <c r="AY209" s="3" t="n"/>
      <c r="AZ209" s="3" t="n"/>
      <c r="BA209" s="3" t="n"/>
      <c r="BB209" s="3" t="n"/>
      <c r="BC209" s="3" t="n"/>
      <c r="BD209" s="3" t="n"/>
      <c r="BE209" s="3" t="n"/>
      <c r="BF209" s="3" t="n"/>
      <c r="BG209" s="3" t="n"/>
      <c r="BH209" s="3" t="n"/>
      <c r="BI209" s="3" t="n"/>
      <c r="BJ209" s="3" t="n"/>
      <c r="BK209" s="3" t="n"/>
      <c r="BL209" s="3" t="n"/>
      <c r="BM209" s="3" t="n"/>
      <c r="BN209" s="3" t="n"/>
      <c r="BO209" s="3" t="n"/>
      <c r="BP209" s="3" t="n"/>
      <c r="BQ209" s="3" t="n"/>
      <c r="BR209" s="3" t="n"/>
      <c r="BS209" s="3" t="n"/>
      <c r="BT209" s="3" t="n"/>
      <c r="BU209" s="3" t="n"/>
      <c r="BV209" s="3" t="n"/>
      <c r="BW209" s="3" t="n"/>
      <c r="BX209" s="3" t="n"/>
      <c r="BY209" s="3" t="n"/>
      <c r="BZ209" s="3" t="n"/>
      <c r="CA209" s="3" t="n"/>
      <c r="CB209" s="3" t="n"/>
      <c r="CC209" s="3" t="n"/>
      <c r="CD209" s="3" t="n"/>
      <c r="CE209" s="3" t="n"/>
      <c r="CF209" s="3" t="n"/>
      <c r="CG209" s="3" t="n"/>
      <c r="CH209" s="3" t="n"/>
      <c r="CI209" s="3" t="n"/>
      <c r="CJ209" s="3" t="n"/>
      <c r="CK209" s="3" t="n"/>
      <c r="CL209" s="3" t="n"/>
      <c r="CM209" s="3" t="n"/>
      <c r="CN209" s="3" t="n"/>
      <c r="CO209" s="3" t="n"/>
      <c r="CP209" s="3" t="n"/>
      <c r="CQ209" s="3" t="n"/>
      <c r="CR209" s="3" t="n"/>
      <c r="CS209" s="3" t="n"/>
      <c r="CT209" s="3" t="n"/>
      <c r="CU209" s="3" t="n"/>
      <c r="CV209" s="3" t="n"/>
      <c r="CW209" s="3" t="n"/>
      <c r="CX209" s="3" t="n"/>
      <c r="CY209" s="3" t="n"/>
    </row>
    <row r="210" hidden="1" outlineLevel="1">
      <c r="C210" s="34" t="inlineStr">
        <is>
          <t xml:space="preserve">Outras Obrigações </t>
        </is>
      </c>
      <c r="D210" s="6" t="n"/>
      <c r="E210" s="6" t="n"/>
      <c r="F210" s="6" t="n"/>
      <c r="G210" s="6" t="n"/>
      <c r="H210" s="3" t="n"/>
      <c r="I210" s="6" t="n"/>
      <c r="J210" s="6" t="n"/>
      <c r="K210" s="6" t="n"/>
      <c r="L210" s="6" t="n"/>
      <c r="M210" s="3" t="n"/>
      <c r="N210" s="6" t="n"/>
      <c r="O210" s="6" t="n"/>
      <c r="P210" s="6" t="n"/>
      <c r="Q210" s="6" t="n"/>
      <c r="R210" s="3" t="n"/>
      <c r="S210" s="6" t="n"/>
      <c r="T210" s="6" t="n"/>
      <c r="U210" s="6" t="n"/>
      <c r="V210" s="6" t="n"/>
      <c r="W210" s="3" t="n"/>
      <c r="X210" s="6" t="n"/>
      <c r="Y210" s="6" t="n"/>
      <c r="Z210" s="6" t="n"/>
      <c r="AA210" s="6" t="n"/>
      <c r="AB210" s="3" t="n"/>
      <c r="AC210" s="6" t="n"/>
      <c r="AD210" s="6" t="n"/>
      <c r="AE210" s="6" t="n"/>
      <c r="AF210" s="6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/>
      <c r="CC210" s="3" t="n"/>
      <c r="CD210" s="3" t="n"/>
      <c r="CE210" s="3" t="n"/>
      <c r="CF210" s="3" t="n"/>
      <c r="CG210" s="3" t="n"/>
      <c r="CH210" s="3" t="n"/>
      <c r="CI210" s="3" t="n"/>
      <c r="CJ210" s="3" t="n"/>
      <c r="CK210" s="3" t="n"/>
      <c r="CL210" s="3" t="n"/>
      <c r="CM210" s="3" t="n"/>
      <c r="CN210" s="3" t="n"/>
      <c r="CO210" s="3" t="n"/>
      <c r="CP210" s="3" t="n"/>
      <c r="CQ210" s="3" t="n"/>
      <c r="CR210" s="3" t="n"/>
      <c r="CS210" s="3" t="n"/>
      <c r="CT210" s="3" t="n"/>
      <c r="CU210" s="3" t="n"/>
      <c r="CV210" s="3" t="n"/>
      <c r="CW210" s="3" t="n"/>
      <c r="CX210" s="3" t="n"/>
      <c r="CY210" s="3" t="n"/>
    </row>
    <row r="211" hidden="1" outlineLevel="1">
      <c r="C211" s="34" t="inlineStr">
        <is>
          <t xml:space="preserve">Provisão de Risco Cíveis, Trabalhistas e Tributários </t>
        </is>
      </c>
      <c r="D211" s="6" t="n"/>
      <c r="E211" s="6" t="n"/>
      <c r="F211" s="6" t="n"/>
      <c r="G211" s="6" t="n"/>
      <c r="H211" s="3" t="n"/>
      <c r="I211" s="6" t="n"/>
      <c r="J211" s="6" t="n"/>
      <c r="K211" s="6" t="n"/>
      <c r="L211" s="6" t="n"/>
      <c r="M211" s="3" t="n"/>
      <c r="N211" s="6" t="n"/>
      <c r="O211" s="6" t="n"/>
      <c r="P211" s="6" t="n"/>
      <c r="Q211" s="6" t="n"/>
      <c r="R211" s="3" t="n"/>
      <c r="S211" s="6" t="n"/>
      <c r="T211" s="6" t="n"/>
      <c r="U211" s="6" t="n"/>
      <c r="V211" s="6" t="n"/>
      <c r="W211" s="3" t="n"/>
      <c r="X211" s="6" t="n"/>
      <c r="Y211" s="6" t="n"/>
      <c r="Z211" s="6" t="n"/>
      <c r="AA211" s="6" t="n"/>
      <c r="AB211" s="3" t="n"/>
      <c r="AC211" s="6" t="n"/>
      <c r="AD211" s="6" t="n"/>
      <c r="AE211" s="6" t="n"/>
      <c r="AF211" s="6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hidden="1" outlineLevel="1">
      <c r="C212" s="34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  <c r="AY212" s="3" t="n"/>
      <c r="AZ212" s="3" t="n"/>
      <c r="BA212" s="3" t="n"/>
      <c r="BB212" s="3" t="n"/>
      <c r="BC212" s="3" t="n"/>
      <c r="BD212" s="3" t="n"/>
      <c r="BE212" s="3" t="n"/>
      <c r="BF212" s="3" t="n"/>
      <c r="BG212" s="3" t="n"/>
      <c r="BH212" s="3" t="n"/>
      <c r="BI212" s="3" t="n"/>
      <c r="BJ212" s="3" t="n"/>
      <c r="BK212" s="3" t="n"/>
      <c r="BL212" s="3" t="n"/>
      <c r="BM212" s="3" t="n"/>
      <c r="BN212" s="3" t="n"/>
      <c r="BO212" s="3" t="n"/>
      <c r="BP212" s="3" t="n"/>
      <c r="BQ212" s="3" t="n"/>
      <c r="BR212" s="3" t="n"/>
      <c r="BS212" s="3" t="n"/>
      <c r="BT212" s="3" t="n"/>
      <c r="BU212" s="3" t="n"/>
      <c r="BV212" s="3" t="n"/>
      <c r="BW212" s="3" t="n"/>
      <c r="BX212" s="3" t="n"/>
      <c r="BY212" s="3" t="n"/>
      <c r="BZ212" s="3" t="n"/>
      <c r="CA212" s="3" t="n"/>
      <c r="CB212" s="3" t="n"/>
      <c r="CC212" s="3" t="n"/>
      <c r="CD212" s="3" t="n"/>
      <c r="CE212" s="3" t="n"/>
      <c r="CF212" s="3" t="n"/>
      <c r="CG212" s="3" t="n"/>
      <c r="CH212" s="3" t="n"/>
      <c r="CI212" s="3" t="n"/>
      <c r="CJ212" s="3" t="n"/>
      <c r="CK212" s="3" t="n"/>
      <c r="CL212" s="3" t="n"/>
      <c r="CM212" s="3" t="n"/>
      <c r="CN212" s="3" t="n"/>
      <c r="CO212" s="3" t="n"/>
      <c r="CP212" s="3" t="n"/>
      <c r="CQ212" s="3" t="n"/>
      <c r="CR212" s="3" t="n"/>
      <c r="CS212" s="3" t="n"/>
      <c r="CT212" s="3" t="n"/>
      <c r="CU212" s="3" t="n"/>
      <c r="CV212" s="3" t="n"/>
      <c r="CW212" s="3" t="n"/>
      <c r="CX212" s="3" t="n"/>
      <c r="CY212" s="3" t="n"/>
    </row>
    <row r="213" collapsed="1" customFormat="1" s="17">
      <c r="A213" s="13" t="n"/>
      <c r="B213" s="13" t="n"/>
      <c r="C213" s="27" t="inlineStr">
        <is>
          <t>Total Liabilities</t>
        </is>
      </c>
      <c r="D213" s="16">
        <f>SUM(D164+D168+D170+D171+D178+D179+D180+D183+D201+D204+D205+D206)</f>
        <v>3521.03416126</v>
      </c>
      <c r="E213" s="16">
        <f>SUM(E164+E168+E170+E171+E178+E179+E180+E183+E201+E204+E205+E206)</f>
        <v>3919.83802452</v>
      </c>
      <c r="F213" s="16">
        <f>SUM(F164+F168+F170+F171+F178+F179+F180+F183+F201+F204+F205+F206)</f>
        <v>3965.96626457</v>
      </c>
      <c r="G213" s="16">
        <f>SUM(G164+G168+G170+G171+G178+G179+G180+G183+G201+G204+G205+G206)</f>
        <v>3836.68406044</v>
      </c>
      <c r="H213" s="16">
        <f>SUM(H164,H168,H170,H171,H178,H179,H183,H180,H201,H204,H205,H206)</f>
        <v>3836.68406044</v>
      </c>
      <c r="I213" s="16">
        <f>SUM(I164+I168+I170+I171+I178+I179+I180+I183+I201+I204+I205+I206)</f>
        <v>3880.66100246</v>
      </c>
      <c r="J213" s="16">
        <f>SUM(J164+J168+J170+J171+J178+J179+J180+J183+J201+J204+J205+J206)</f>
        <v>3647.4685811</v>
      </c>
      <c r="K213" s="16">
        <f>SUM(K164+K168+K170+K171+K178+K179+K180+K183+K201+K204+K205+K206)</f>
        <v>4467.89449676</v>
      </c>
      <c r="L213" s="16">
        <f>SUM(L164+L168+L170+L171+L178+L179+L180+L183+L201+L204+L205+L206)</f>
        <v>4219.28756739</v>
      </c>
      <c r="M213" s="16">
        <f>SUM(M164,M168,M170,M171,M178,M179,M183,M180,M201,M204,M205,M206)</f>
        <v>4219.28756739</v>
      </c>
      <c r="N213" s="16">
        <f>SUM(N164+N168+N170+N171+N178+N179+N180+N183+N201+N204+N205+N206)</f>
        <v>4242.2763037</v>
      </c>
      <c r="O213" s="16">
        <f>SUM(O164+O168+O170+O171+O178+O179+O180+O183+O201+O204+O205+O206)</f>
        <v>5010.95903105</v>
      </c>
      <c r="P213" s="16">
        <f>SUM(P164+P168+P170+P171+P178+P179+P180+P183+P201+P204+P205+P206)</f>
        <v>5104.58099461</v>
      </c>
      <c r="Q213" s="16">
        <f>SUM(Q164+Q168+Q170+Q171+Q178+Q179+Q180+Q183+Q201+Q204+Q205+Q206)</f>
        <v>5090.68548516</v>
      </c>
      <c r="R213" s="16">
        <f>SUM(R164,R168,R170,R171,R178,R179,R183,R180,R201,R204,R205,R206)</f>
        <v>5090.68548516</v>
      </c>
      <c r="S213" s="16">
        <f>SUM(S164+S168+S170+S171+S178+S179+S180+S183+S201+S204+S205+S206)</f>
        <v>5055.89502469</v>
      </c>
      <c r="T213" s="16">
        <f>SUM(T164+T168+T170+T171+T178+T179+T180+T183+T201+T204+T205+T206)</f>
        <v>6401.4</v>
      </c>
      <c r="U213" s="16">
        <f>SUM(U164+U168+U170+U171+U178+U179+U180+U183+U201+U204+U205+U206)</f>
        <v>6341.098</v>
      </c>
      <c r="V213" s="16">
        <f>SUM(V164+V168+V170+V171+V178+V179+V180+V183+V201+V204+V205+V206)</f>
        <v>6468.898</v>
      </c>
      <c r="W213" s="16">
        <f>SUM(W164,W168,W170,W171,W178,W179,W183,W180,W201,W204,W205,W206)</f>
        <v>6468.898</v>
      </c>
      <c r="X213" s="16">
        <f>SUM(X164+X168+X170+X171+X178+X179+X180+X183+X201+X204+X205+X206)</f>
        <v>6473.36658127</v>
      </c>
      <c r="Y213" s="16">
        <f>SUM(Y164+Y168+Y170+Y171+Y178+Y179+Y180+Y183+Y201+Y204+Y205+Y206)</f>
        <v>7371.349</v>
      </c>
      <c r="Z213" s="16">
        <f>SUM(Z164+Z168+Z170+Z171+Z178+Z179+Z180+Z183+Z201+Z204+Z205+Z206)</f>
        <v>7603.373</v>
      </c>
      <c r="AA213" s="16">
        <f>SUM(AA164+AA168+AA170+AA171+AA178+AA179+AA180+AA183+AA201+AA204+AA205+AA206)</f>
        <v>7687.579</v>
      </c>
      <c r="AB213" s="16">
        <f>SUM(AB164,AB168,AB170,AB171,AB178,AB179,AB183,AB180,AB201,AB204,AB205,AB206)</f>
        <v>7687.579</v>
      </c>
      <c r="AC213" s="16">
        <f>SUM(AC164+AC168+AC170+AC171+AC178+AC179+AC180+AC183+AC201+AC204+AC205+AC206)</f>
        <v>7950.50393919</v>
      </c>
      <c r="AD213" s="16">
        <f>SUM(AD164+AD168+AD170+AD171+AD178+AD179+AD180+AD183+AD201+AD204+AD205+AD206)</f>
        <v>7601.926</v>
      </c>
      <c r="AE213" s="16">
        <f>SUM(AE164+AE168+AE170+AE171+AE178+AE179+AE180+AE183+AE201+AE204+AE205+AE206)</f>
        <v>8101.554</v>
      </c>
      <c r="AF213" s="16">
        <f>SUM(AF164+AF168+AF170+AF171+AF178+AF179+AF180+AF183+AF201+AF204+AF205+AF206)</f>
        <v>8124.213</v>
      </c>
      <c r="AG213" s="16">
        <f>SUM(AG164,AG168,AG170,AG171,AG178,AG179,AG183,AG180,AG201,AG204,AG205,AG206)</f>
        <v>8124.213</v>
      </c>
      <c r="AH213" s="16">
        <f>SUM(AH164+AH168+AH170+AH171+AH178+AH179+AH180+AH183+AH201+AH204+AH205+AH206)</f>
        <v>6818.918</v>
      </c>
      <c r="AI213" s="16">
        <f>SUM(AI164+AI168+AI170+AI171+AI178+AI179+AI180+AI183+AI201+AI204+AI205+AI206)</f>
        <v>6818.918</v>
      </c>
      <c r="AJ213" s="16" t="e">
        <f>SUM(AJ164+AJ168+AJ170+AJ171+AJ178+AJ179+AJ180+AJ183+AJ201+AJ204+AJ205+AJ206)</f>
        <v>#DIV/0!</v>
      </c>
      <c r="AK213" s="16" t="e">
        <f>SUM(AK164+AK168+AK170+AK171+AK178+AK179+AK180+AK183+AK201+AK204+AK205+AK206)</f>
        <v>#DIV/0!</v>
      </c>
      <c r="AL213" s="16" t="e">
        <f>SUM(AL164,AL168,AL170,AL171,AL178,AL179,AL183,AL180,AL201,AL204,AL205,AL206)</f>
        <v>#DIV/0!</v>
      </c>
      <c r="AM213" s="16" t="e">
        <f>SUM(AM164+AM168+AM170+AM171+AM178+AM179+AM180+AM183+AM201+AM204+AM205+AM206)</f>
        <v>#DIV/0!</v>
      </c>
      <c r="AN213" s="16" t="e">
        <f>SUM(AN164+AN168+AN170+AN171+AN178+AN179+AN180+AN183+AN201+AN204+AN205+AN206)</f>
        <v>#DIV/0!</v>
      </c>
      <c r="AO213" s="16" t="e">
        <f>SUM(AO164+AO168+AO170+AO171+AO178+AO179+AO180+AO183+AO201+AO204+AO205+AO206)</f>
        <v>#DIV/0!</v>
      </c>
      <c r="AP213" s="16" t="e">
        <f>SUM(AP164+AP168+AP170+AP171+AP178+AP179+AP180+AP183+AP201+AP204+AP205+AP206)</f>
        <v>#DIV/0!</v>
      </c>
      <c r="AQ213" s="16" t="e">
        <f>SUM(AQ164,AQ168,AQ170,AQ171,AQ178,AQ179,AQ183,AQ180,AQ201,AQ204,AQ205,AQ206)</f>
        <v>#DIV/0!</v>
      </c>
      <c r="AR213" s="16" t="e">
        <f>SUM(AR164+AR168+AR170+AR171+AR178+AR179+AR180+AR183+AR201+AR204+AR205+AR206)</f>
        <v>#DIV/0!</v>
      </c>
      <c r="AS213" s="16" t="e">
        <f>SUM(AS164+AS168+AS170+AS171+AS178+AS179+AS180+AS183+AS201+AS204+AS205+AS206)</f>
        <v>#DIV/0!</v>
      </c>
      <c r="AT213" s="16" t="e">
        <f>SUM(AT164+AT168+AT170+AT171+AT178+AT179+AT180+AT183+AT201+AT204+AT205+AT206)</f>
        <v>#DIV/0!</v>
      </c>
      <c r="AU213" s="16" t="e">
        <f>SUM(AU164+AU168+AU170+AU171+AU178+AU179+AU180+AU183+AU201+AU204+AU205+AU206)</f>
        <v>#DIV/0!</v>
      </c>
      <c r="AV213" s="16" t="e">
        <f>SUM(AV164,AV168,AV170,AV171,AV178,AV179,AV183,AV180,AV201,AV204,AV205,AV206)</f>
        <v>#DIV/0!</v>
      </c>
      <c r="AW213" s="16" t="e">
        <f>SUM(AW164+AW168+AW170+AW171+AW178+AW179+AW180+AW183+AW201+AW204+AW205+AW206)</f>
        <v>#DIV/0!</v>
      </c>
      <c r="AX213" s="16" t="e">
        <f>SUM(AX164+AX168+AX170+AX171+AX178+AX179+AX180+AX183+AX201+AX204+AX205+AX206)</f>
        <v>#DIV/0!</v>
      </c>
      <c r="AY213" s="16" t="e">
        <f>SUM(AY164+AY168+AY170+AY171+AY178+AY179+AY180+AY183+AY201+AY204+AY205+AY206)</f>
        <v>#DIV/0!</v>
      </c>
      <c r="AZ213" s="16" t="e">
        <f>SUM(AZ164+AZ168+AZ170+AZ171+AZ178+AZ179+AZ180+AZ183+AZ201+AZ204+AZ205+AZ206)</f>
        <v>#DIV/0!</v>
      </c>
      <c r="BA213" s="16" t="e">
        <f>SUM(BA164,BA168,BA170,BA171,BA178,BA179,BA183,BA180,BA201,BA204,BA205,BA206)</f>
        <v>#DIV/0!</v>
      </c>
      <c r="BB213" s="16" t="e">
        <f>SUM(BB164+BB168+BB170+BB171+BB178+BB179+BB180+BB183+BB201+BB204+BB205+BB206)</f>
        <v>#DIV/0!</v>
      </c>
      <c r="BC213" s="16" t="e">
        <f>SUM(BC164+BC168+BC170+BC171+BC178+BC179+BC180+BC183+BC201+BC204+BC205+BC206)</f>
        <v>#DIV/0!</v>
      </c>
      <c r="BD213" s="16" t="e">
        <f>SUM(BD164+BD168+BD170+BD171+BD178+BD179+BD180+BD183+BD201+BD204+BD205+BD206)</f>
        <v>#DIV/0!</v>
      </c>
      <c r="BE213" s="16" t="e">
        <f>SUM(BE164+BE168+BE170+BE171+BE178+BE179+BE180+BE183+BE201+BE204+BE205+BE206)</f>
        <v>#DIV/0!</v>
      </c>
      <c r="BF213" s="16" t="e">
        <f>SUM(BF164,BF168,BF170,BF171,BF178,BF179,BF183,BF180,BF201,BF204,BF205,BF206)</f>
        <v>#DIV/0!</v>
      </c>
      <c r="BG213" s="16" t="e">
        <f>SUM(BG164+BG168+BG170+BG171+BG178+BG179+BG180+BG183+BG201+BG204+BG205+BG206)</f>
        <v>#DIV/0!</v>
      </c>
      <c r="BH213" s="16" t="e">
        <f>SUM(BH164+BH168+BH170+BH171+BH178+BH179+BH180+BH183+BH201+BH204+BH205+BH206)</f>
        <v>#DIV/0!</v>
      </c>
      <c r="BI213" s="16" t="e">
        <f>SUM(BI164+BI168+BI170+BI171+BI178+BI179+BI180+BI183+BI201+BI204+BI205+BI206)</f>
        <v>#DIV/0!</v>
      </c>
      <c r="BJ213" s="16" t="e">
        <f>SUM(BJ164+BJ168+BJ170+BJ171+BJ178+BJ179+BJ180+BJ183+BJ201+BJ204+BJ205+BJ206)</f>
        <v>#DIV/0!</v>
      </c>
      <c r="BK213" s="16" t="e">
        <f>SUM(BK164,BK168,BK170,BK171,BK178,BK179,BK183,BK180,BK201,BK204,BK205,BK206)</f>
        <v>#DIV/0!</v>
      </c>
      <c r="BL213" s="16" t="e">
        <f>SUM(BL164+BL168+BL170+BL171+BL178+BL179+BL180+BL183+BL201+BL204+BL205+BL206)</f>
        <v>#DIV/0!</v>
      </c>
      <c r="BM213" s="16" t="e">
        <f>SUM(BM164+BM168+BM170+BM171+BM178+BM179+BM180+BM183+BM201+BM204+BM205+BM206)</f>
        <v>#DIV/0!</v>
      </c>
      <c r="BN213" s="16" t="e">
        <f>SUM(BN164+BN168+BN170+BN171+BN178+BN179+BN180+BN183+BN201+BN204+BN205+BN206)</f>
        <v>#DIV/0!</v>
      </c>
      <c r="BO213" s="16" t="e">
        <f>SUM(BO164+BO168+BO170+BO171+BO178+BO179+BO180+BO183+BO201+BO204+BO205+BO206)</f>
        <v>#DIV/0!</v>
      </c>
      <c r="BP213" s="16" t="e">
        <f>SUM(BP164,BP168,BP170,BP171,BP178,BP179,BP183,BP180,BP201,BP204,BP205,BP206)</f>
        <v>#DIV/0!</v>
      </c>
      <c r="BQ213" s="16" t="e">
        <f>SUM(BQ164+BQ168+BQ170+BQ171+BQ178+BQ179+BQ180+BQ183+BQ201+BQ204+BQ205+BQ206)</f>
        <v>#DIV/0!</v>
      </c>
      <c r="BR213" s="16" t="e">
        <f>SUM(BR164+BR168+BR170+BR171+BR178+BR179+BR180+BR183+BR201+BR204+BR205+BR206)</f>
        <v>#DIV/0!</v>
      </c>
      <c r="BS213" s="16" t="e">
        <f>SUM(BS164+BS168+BS170+BS171+BS178+BS179+BS180+BS183+BS201+BS204+BS205+BS206)</f>
        <v>#DIV/0!</v>
      </c>
      <c r="BT213" s="16" t="e">
        <f>SUM(BT164+BT168+BT170+BT171+BT178+BT179+BT180+BT183+BT201+BT204+BT205+BT206)</f>
        <v>#DIV/0!</v>
      </c>
      <c r="BU213" s="16" t="e">
        <f>SUM(BU164,BU168,BU170,BU171,BU178,BU179,BU183,BU180,BU201,BU204,BU205,BU206)</f>
        <v>#DIV/0!</v>
      </c>
      <c r="BV213" s="16" t="e">
        <f>SUM(BV164+BV168+BV170+BV171+BV178+BV179+BV180+BV183+BV201+BV204+BV205+BV206)</f>
        <v>#DIV/0!</v>
      </c>
      <c r="BW213" s="16" t="e">
        <f>SUM(BW164+BW168+BW170+BW171+BW178+BW179+BW180+BW183+BW201+BW204+BW205+BW206)</f>
        <v>#DIV/0!</v>
      </c>
      <c r="BX213" s="16" t="e">
        <f>SUM(BX164+BX168+BX170+BX171+BX178+BX179+BX180+BX183+BX201+BX204+BX205+BX206)</f>
        <v>#DIV/0!</v>
      </c>
      <c r="BY213" s="16" t="e">
        <f>SUM(BY164+BY168+BY170+BY171+BY178+BY179+BY180+BY183+BY201+BY204+BY205+BY206)</f>
        <v>#DIV/0!</v>
      </c>
      <c r="BZ213" s="16" t="e">
        <f>SUM(BZ164,BZ168,BZ170,BZ171,BZ178,BZ179,BZ183,BZ180,BZ201,BZ204,BZ205,BZ206)</f>
        <v>#DIV/0!</v>
      </c>
      <c r="CA213" s="16" t="e">
        <f>SUM(CA164+CA168+CA170+CA171+CA178+CA179+CA180+CA183+CA201+CA204+CA205+CA206)</f>
        <v>#DIV/0!</v>
      </c>
      <c r="CB213" s="16" t="e">
        <f>SUM(CB164+CB168+CB170+CB171+CB178+CB179+CB180+CB183+CB201+CB204+CB205+CB206)</f>
        <v>#DIV/0!</v>
      </c>
      <c r="CC213" s="16" t="e">
        <f>SUM(CC164+CC168+CC170+CC171+CC178+CC179+CC180+CC183+CC201+CC204+CC205+CC206)</f>
        <v>#DIV/0!</v>
      </c>
      <c r="CD213" s="16" t="e">
        <f>SUM(CD164+CD168+CD170+CD171+CD178+CD179+CD180+CD183+CD201+CD204+CD205+CD206)</f>
        <v>#DIV/0!</v>
      </c>
      <c r="CE213" s="16" t="e">
        <f>SUM(CE164,CE168,CE170,CE171,CE178,CE179,CE183,CE180,CE201,CE204,CE205,CE206)</f>
        <v>#DIV/0!</v>
      </c>
      <c r="CF213" s="16" t="e">
        <f>SUM(CF164+CF168+CF170+CF171+CF178+CF179+CF180+CF183+CF201+CF204+CF205+CF206)</f>
        <v>#DIV/0!</v>
      </c>
      <c r="CG213" s="16" t="e">
        <f>SUM(CG164+CG168+CG170+CG171+CG178+CG179+CG180+CG183+CG201+CG204+CG205+CG206)</f>
        <v>#DIV/0!</v>
      </c>
      <c r="CH213" s="16" t="e">
        <f>SUM(CH164+CH168+CH170+CH171+CH178+CH179+CH180+CH183+CH201+CH204+CH205+CH206)</f>
        <v>#DIV/0!</v>
      </c>
      <c r="CI213" s="16" t="e">
        <f>SUM(CI164+CI168+CI170+CI171+CI178+CI179+CI180+CI183+CI201+CI204+CI205+CI206)</f>
        <v>#DIV/0!</v>
      </c>
      <c r="CJ213" s="16" t="e">
        <f>SUM(CJ164,CJ168,CJ170,CJ171,CJ178,CJ179,CJ183,CJ180,CJ201,CJ204,CJ205,CJ206)</f>
        <v>#DIV/0!</v>
      </c>
      <c r="CK213" s="16" t="e">
        <f>SUM(CK164+CK168+CK170+CK171+CK178+CK179+CK180+CK183+CK201+CK204+CK205+CK206)</f>
        <v>#DIV/0!</v>
      </c>
      <c r="CL213" s="16" t="e">
        <f>SUM(CL164+CL168+CL170+CL171+CL178+CL179+CL180+CL183+CL201+CL204+CL205+CL206)</f>
        <v>#DIV/0!</v>
      </c>
      <c r="CM213" s="16" t="e">
        <f>SUM(CM164+CM168+CM170+CM171+CM178+CM179+CM180+CM183+CM201+CM204+CM205+CM206)</f>
        <v>#DIV/0!</v>
      </c>
      <c r="CN213" s="16" t="e">
        <f>SUM(CN164+CN168+CN170+CN171+CN178+CN179+CN180+CN183+CN201+CN204+CN205+CN206)</f>
        <v>#DIV/0!</v>
      </c>
      <c r="CO213" s="16" t="e">
        <f>SUM(CO164,CO168,CO170,CO171,CO178,CO179,CO183,CO180,CO201,CO204,CO205,CO206)</f>
        <v>#DIV/0!</v>
      </c>
      <c r="CP213" s="16" t="e">
        <f>SUM(CP164+CP168+CP170+CP171+CP178+CP179+CP180+CP183+CP201+CP204+CP205+CP206)</f>
        <v>#DIV/0!</v>
      </c>
      <c r="CQ213" s="16" t="e">
        <f>SUM(CQ164+CQ168+CQ170+CQ171+CQ178+CQ179+CQ180+CQ183+CQ201+CQ204+CQ205+CQ206)</f>
        <v>#DIV/0!</v>
      </c>
      <c r="CR213" s="16" t="e">
        <f>SUM(CR164+CR168+CR170+CR171+CR178+CR179+CR180+CR183+CR201+CR204+CR205+CR206)</f>
        <v>#DIV/0!</v>
      </c>
      <c r="CS213" s="16" t="e">
        <f>SUM(CS164+CS168+CS170+CS171+CS178+CS179+CS180+CS183+CS201+CS204+CS205+CS206)</f>
        <v>#DIV/0!</v>
      </c>
      <c r="CT213" s="16" t="e">
        <f>SUM(CT164,CT168,CT170,CT171,CT178,CT179,CT183,CT180,CT201,CT204,CT205,CT206)</f>
        <v>#DIV/0!</v>
      </c>
      <c r="CU213" s="16" t="e">
        <f>SUM(CU164+CU168+CU170+CU171+CU178+CU179+CU180+CU183+CU201+CU204+CU205+CU206)</f>
        <v>#DIV/0!</v>
      </c>
      <c r="CV213" s="16" t="e">
        <f>SUM(CV164+CV168+CV170+CV171+CV178+CV179+CV180+CV183+CV201+CV204+CV205+CV206)</f>
        <v>#DIV/0!</v>
      </c>
      <c r="CW213" s="16" t="e">
        <f>SUM(CW164+CW168+CW170+CW171+CW178+CW179+CW180+CW183+CW201+CW204+CW205+CW206)</f>
        <v>#DIV/0!</v>
      </c>
      <c r="CX213" s="16" t="e">
        <f>SUM(CX164+CX168+CX170+CX171+CX178+CX179+CX180+CX183+CX201+CX204+CX205+CX206)</f>
        <v>#DIV/0!</v>
      </c>
      <c r="CY213" s="16" t="e">
        <f>SUM(CY164,CY168,CY170,CY171,CY178,CY179,CY183,CY180,CY201,CY204,CY205,CY206)</f>
        <v>#DIV/0!</v>
      </c>
    </row>
    <row r="214">
      <c r="C214" s="26" t="inlineStr">
        <is>
          <t>Minority interest</t>
        </is>
      </c>
      <c r="D214" s="25">
        <f>INDEX('Inputs (2)'!$D$41:$AL$41,MATCH(D$7,'Inputs (2)'!$D$2:$AL$2,0))</f>
        <v>0</v>
      </c>
      <c r="E214" s="25">
        <f>INDEX('Inputs (2)'!$D$41:$AL$41,MATCH(E$7,'Inputs (2)'!$D$2:$AL$2,0))</f>
        <v>0</v>
      </c>
      <c r="F214" s="25">
        <f>INDEX('Inputs (2)'!$D$41:$AL$41,MATCH(F$7,'Inputs (2)'!$D$2:$AL$2,0))</f>
        <v>0</v>
      </c>
      <c r="G214" s="25">
        <f>INDEX('Inputs (2)'!$D$41:$AL$41,MATCH(G$7,'Inputs (2)'!$D$2:$AL$2,0))</f>
        <v>0</v>
      </c>
      <c r="H214" s="3">
        <f>G214</f>
        <v>0</v>
      </c>
      <c r="I214" s="25">
        <f>INDEX('Inputs (2)'!$D$41:$AL$41,MATCH(I$7,'Inputs (2)'!$D$2:$AL$2,0))</f>
        <v>0</v>
      </c>
      <c r="J214" s="25">
        <f>INDEX('Inputs (2)'!$D$41:$AL$41,MATCH(J$7,'Inputs (2)'!$D$2:$AL$2,0))</f>
        <v>1.33071621</v>
      </c>
      <c r="K214" s="25">
        <f>INDEX('Inputs (2)'!$D$41:$AL$41,MATCH(K$7,'Inputs (2)'!$D$2:$AL$2,0))</f>
        <v>2.803541769555</v>
      </c>
      <c r="L214" s="25">
        <f>INDEX('Inputs (2)'!$D$41:$AL$41,MATCH(L$7,'Inputs (2)'!$D$2:$AL$2,0))</f>
        <v>9.19917964485728</v>
      </c>
      <c r="M214" s="3">
        <f>L214</f>
        <v>9.19917964485728</v>
      </c>
      <c r="N214" s="25">
        <f>INDEX('Inputs (2)'!$D$41:$AL$41,MATCH(N$7,'Inputs (2)'!$D$2:$AL$2,0))</f>
        <v>9.99071729730728</v>
      </c>
      <c r="O214" s="25">
        <f>INDEX('Inputs (2)'!$D$41:$AL$41,MATCH(O$7,'Inputs (2)'!$D$2:$AL$2,0))</f>
        <v>11.70036526</v>
      </c>
      <c r="P214" s="25">
        <f>INDEX('Inputs (2)'!$D$41:$AL$41,MATCH(P$7,'Inputs (2)'!$D$2:$AL$2,0))</f>
        <v>16.59030887</v>
      </c>
      <c r="Q214" s="25">
        <f>INDEX('Inputs (2)'!$D$41:$AL$41,MATCH(Q$7,'Inputs (2)'!$D$2:$AL$2,0))</f>
        <v>19.548874</v>
      </c>
      <c r="R214" s="3">
        <f>Q214</f>
        <v>19.548874</v>
      </c>
      <c r="S214" s="25">
        <f>INDEX('Inputs (2)'!$D$41:$AL$41,MATCH(S$7,'Inputs (2)'!$D$2:$AL$2,0))</f>
        <v>22.120863</v>
      </c>
      <c r="T214" s="25">
        <f>INDEX('Inputs (2)'!$D$41:$AL$41,MATCH(T$7,'Inputs (2)'!$D$2:$AL$2,0))</f>
        <v>13.204</v>
      </c>
      <c r="U214" s="25">
        <f>INDEX('Inputs (2)'!$D$41:$AL$41,MATCH(U$7,'Inputs (2)'!$D$2:$AL$2,0))</f>
        <v>14.811</v>
      </c>
      <c r="V214" s="25">
        <f>INDEX('Inputs (2)'!$D$41:$AL$41,MATCH(V$7,'Inputs (2)'!$D$2:$AL$2,0))</f>
        <v>27.619</v>
      </c>
      <c r="W214" s="3">
        <f>V214</f>
        <v>27.619</v>
      </c>
      <c r="X214" s="25">
        <f>INDEX('Inputs (2)'!$D$41:$AL$41,MATCH(X$7,'Inputs (2)'!$D$2:$AL$2,0))</f>
        <v>29.501955374137</v>
      </c>
      <c r="Y214" s="25">
        <f>INDEX('Inputs (2)'!$D$41:$AL$41,MATCH(Y$7,'Inputs (2)'!$D$2:$AL$2,0))</f>
        <v>74.196880127518</v>
      </c>
      <c r="Z214" s="25">
        <f>INDEX('Inputs (2)'!$D$41:$AL$41,MATCH(Z$7,'Inputs (2)'!$D$2:$AL$2,0))</f>
        <v>85.252</v>
      </c>
      <c r="AA214" s="25">
        <f>INDEX('Inputs (2)'!$D$41:$AL$41,MATCH(AA$7,'Inputs (2)'!$D$2:$AL$2,0))</f>
        <v>85.763</v>
      </c>
      <c r="AB214" s="3">
        <f>AA214</f>
        <v>85.763</v>
      </c>
      <c r="AC214" s="25">
        <f>INDEX('Inputs (2)'!$D$41:$AL$41,MATCH(AC$7,'Inputs (2)'!$D$2:$AL$2,0))</f>
        <v>93.419046</v>
      </c>
      <c r="AD214" s="25">
        <f>INDEX('Inputs (2)'!$D$41:$AL$41,MATCH(AD$7,'Inputs (2)'!$D$2:$AL$2,0))</f>
        <v>91.417</v>
      </c>
      <c r="AE214" s="25">
        <f>INDEX('Inputs (2)'!$D$41:$AL$41,MATCH(AE$7,'Inputs (2)'!$D$2:$AL$2,0))</f>
        <v>87.661</v>
      </c>
      <c r="AF214" s="25">
        <f>INDEX('Inputs (2)'!$D$41:$AL$41,MATCH(AF$7,'Inputs (2)'!$D$2:$AL$2,0))</f>
        <v>94.928</v>
      </c>
      <c r="AG214" s="3">
        <f>AF214</f>
        <v>94.928</v>
      </c>
      <c r="AH214" s="3">
        <f>AG214-AH102+AH217</f>
        <v>91.471876</v>
      </c>
      <c r="AI214" s="3">
        <f>AH214-AI102+AI217</f>
        <v>83.722697</v>
      </c>
      <c r="AJ214" s="3">
        <f>AI214-AJ102+AJ217</f>
        <v>81.054248200317</v>
      </c>
      <c r="AK214" s="3">
        <f>AJ214-AK102+AK217</f>
        <v>78.7679924218432</v>
      </c>
      <c r="AL214" s="3">
        <f>AK214</f>
        <v>78.7679924218432</v>
      </c>
      <c r="AM214" s="3">
        <f>AL214-AM102+AM217</f>
        <v>75.3118684218432</v>
      </c>
      <c r="AN214" s="3">
        <f>AM214-AN102+AN217</f>
        <v>67.5626894218432</v>
      </c>
      <c r="AO214" s="3">
        <f>AN214-AO102+AO217</f>
        <v>64.8942406221602</v>
      </c>
      <c r="AP214" s="3">
        <f>AO214-AP102+AP217</f>
        <v>62.6079848436865</v>
      </c>
      <c r="AQ214" s="3">
        <f>AP214</f>
        <v>62.6079848436865</v>
      </c>
      <c r="AR214" s="3">
        <f>AQ214-AR102+AR217</f>
        <v>59.1518608436865</v>
      </c>
      <c r="AS214" s="3">
        <f>AR214-AS102+AS217</f>
        <v>51.4026818436865</v>
      </c>
      <c r="AT214" s="3">
        <f>AS214-AT102+AT217</f>
        <v>48.7342330440035</v>
      </c>
      <c r="AU214" s="3">
        <f>AT214-AU102+AU217</f>
        <v>46.4479772655297</v>
      </c>
      <c r="AV214" s="3">
        <f>AU214</f>
        <v>46.4479772655297</v>
      </c>
      <c r="AW214" s="3">
        <f>AV214-AW102+AW217</f>
        <v>42.9918532655297</v>
      </c>
      <c r="AX214" s="3">
        <f>AW214-AX102+AX217</f>
        <v>35.2426742655297</v>
      </c>
      <c r="AY214" s="3">
        <f>AX214-AY102+AY217</f>
        <v>32.5742254658467</v>
      </c>
      <c r="AZ214" s="3">
        <f>AY214-AZ102+AZ217</f>
        <v>30.287969687373</v>
      </c>
      <c r="BA214" s="3">
        <f>AZ214</f>
        <v>30.287969687373</v>
      </c>
      <c r="BB214" s="3">
        <f>BA214-BB102+BB217</f>
        <v>26.831845687373</v>
      </c>
      <c r="BC214" s="3">
        <f>BB214-BC102+BC217</f>
        <v>19.082666687373</v>
      </c>
      <c r="BD214" s="3">
        <f>BC214-BD102+BD217</f>
        <v>16.41421788769</v>
      </c>
      <c r="BE214" s="3">
        <f>BD214-BE102+BE217</f>
        <v>14.1279621092162</v>
      </c>
      <c r="BF214" s="3">
        <f>BE214</f>
        <v>14.1279621092162</v>
      </c>
      <c r="BG214" s="3">
        <f>BF214-BG102+BG217</f>
        <v>10.6718381092162</v>
      </c>
      <c r="BH214" s="3">
        <f>BG214-BH102+BH217</f>
        <v>2.92265910921619</v>
      </c>
      <c r="BI214" s="3">
        <f>BH214-BI102+BI217</f>
        <v>0.254210309533189</v>
      </c>
      <c r="BJ214" s="3">
        <f>BI214-BJ102+BJ217</f>
        <v>-2.03204546894057</v>
      </c>
      <c r="BK214" s="3">
        <f>BJ214</f>
        <v>-2.03204546894057</v>
      </c>
      <c r="BL214" s="3">
        <f>BK214-BL102+BL217</f>
        <v>-5.48816946894057</v>
      </c>
      <c r="BM214" s="3">
        <f>BL214-BM102+BM217</f>
        <v>-13.2373484689406</v>
      </c>
      <c r="BN214" s="3">
        <f>BM214-BN102+BN217</f>
        <v>-15.9057972686236</v>
      </c>
      <c r="BO214" s="3">
        <f>BN214-BO102+BO217</f>
        <v>-18.1920530470973</v>
      </c>
      <c r="BP214" s="3">
        <f>BO214</f>
        <v>-18.1920530470973</v>
      </c>
      <c r="BQ214" s="3">
        <f>BP214-BQ102+BQ217</f>
        <v>-21.6481770470973</v>
      </c>
      <c r="BR214" s="3">
        <f>BQ214-BR102+BR217</f>
        <v>-29.3973560470973</v>
      </c>
      <c r="BS214" s="3">
        <f>BR214-BS102+BS217</f>
        <v>-32.0658048467803</v>
      </c>
      <c r="BT214" s="3">
        <f>BS214-BT102+BT217</f>
        <v>-34.3520606252541</v>
      </c>
      <c r="BU214" s="3">
        <f>BT214</f>
        <v>-34.3520606252541</v>
      </c>
      <c r="BV214" s="3">
        <f>BU214-BV102+BV217</f>
        <v>-37.8081846252541</v>
      </c>
      <c r="BW214" s="3">
        <f>BV214-BW102+BW217</f>
        <v>-45.5573636252541</v>
      </c>
      <c r="BX214" s="3">
        <f>BW214-BX102+BX217</f>
        <v>-48.2258124249371</v>
      </c>
      <c r="BY214" s="3">
        <f>BX214-BY102+BY217</f>
        <v>-50.5120682034109</v>
      </c>
      <c r="BZ214" s="3">
        <f>BY214</f>
        <v>-50.5120682034109</v>
      </c>
      <c r="CA214" s="3">
        <f>BZ214-CA102+CA217</f>
        <v>-53.9681922034109</v>
      </c>
      <c r="CB214" s="3">
        <f>CA214-CB102+CB217</f>
        <v>-61.7173712034109</v>
      </c>
      <c r="CC214" s="3">
        <f>CB214-CC102+CC217</f>
        <v>-64.3858200030939</v>
      </c>
      <c r="CD214" s="3">
        <f>CC214-CD102+CD217</f>
        <v>-66.6720757815676</v>
      </c>
      <c r="CE214" s="3">
        <f>CD214</f>
        <v>-66.6720757815676</v>
      </c>
      <c r="CF214" s="3">
        <f>CE214-CF102+CF217</f>
        <v>-70.1281997815676</v>
      </c>
      <c r="CG214" s="3">
        <f>CF214-CG102+CG217</f>
        <v>-77.8773787815676</v>
      </c>
      <c r="CH214" s="3">
        <f>CG214-CH102+CH217</f>
        <v>-80.5458275812506</v>
      </c>
      <c r="CI214" s="3">
        <f>CH214-CI102+CI217</f>
        <v>-82.8320833597244</v>
      </c>
      <c r="CJ214" s="3">
        <f>CI214</f>
        <v>-82.8320833597244</v>
      </c>
      <c r="CK214" s="3">
        <f>CJ214-CK102+CK217</f>
        <v>-86.2882073597244</v>
      </c>
      <c r="CL214" s="3">
        <f>CK214-CL102+CL217</f>
        <v>-94.0373863597244</v>
      </c>
      <c r="CM214" s="3">
        <f>CL214-CM102+CM217</f>
        <v>-96.7058351594074</v>
      </c>
      <c r="CN214" s="3">
        <f>CM214-CN102+CN217</f>
        <v>-98.9920909378811</v>
      </c>
      <c r="CO214" s="3">
        <f>CN214</f>
        <v>-98.9920909378811</v>
      </c>
      <c r="CP214" s="3">
        <f>CO214-CP102+CP217</f>
        <v>-102.448214937881</v>
      </c>
      <c r="CQ214" s="3">
        <f>CP214-CQ102+CQ217</f>
        <v>-110.197393937881</v>
      </c>
      <c r="CR214" s="3">
        <f>CQ214-CR102+CR217</f>
        <v>-112.865842737564</v>
      </c>
      <c r="CS214" s="3">
        <f>CR214-CS102+CS217</f>
        <v>-115.152098516038</v>
      </c>
      <c r="CT214" s="3">
        <f>CS214</f>
        <v>-115.152098516038</v>
      </c>
      <c r="CU214" s="3">
        <f>CT214-CU102+CU217</f>
        <v>-118.608222516038</v>
      </c>
      <c r="CV214" s="3">
        <f>CU214-CV102+CV217</f>
        <v>-126.357401516038</v>
      </c>
      <c r="CW214" s="3">
        <f>CV214-CW102+CW217</f>
        <v>-129.025850315721</v>
      </c>
      <c r="CX214" s="3">
        <f>CW214-CX102+CX217</f>
        <v>-131.312106094195</v>
      </c>
      <c r="CY214" s="3">
        <f>CX214</f>
        <v>-131.312106094195</v>
      </c>
    </row>
    <row r="215" hidden="1" outlineLevel="1" customFormat="1" s="39">
      <c r="A215" s="19" t="n"/>
      <c r="B215" s="19" t="n"/>
      <c r="C215" s="38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/>
      <c r="AV215" s="22" t="n"/>
      <c r="AW215" s="22" t="n"/>
      <c r="AX215" s="22" t="n"/>
      <c r="AY215" s="22" t="n"/>
      <c r="AZ215" s="22" t="n"/>
      <c r="BA215" s="22" t="n"/>
      <c r="BB215" s="22" t="n"/>
      <c r="BC215" s="22" t="n"/>
      <c r="BD215" s="22" t="n"/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</row>
    <row r="216" hidden="1" outlineLevel="1" customFormat="1" s="39">
      <c r="A216" s="19" t="n"/>
      <c r="B216" s="19" t="n"/>
      <c r="C216" s="34" t="inlineStr">
        <is>
          <t>Minority Interest Expense - % YoY</t>
        </is>
      </c>
      <c r="D216" s="22" t="n"/>
      <c r="E216" s="40">
        <f>IF(D101=0,0,E101/D101-1)</f>
        <v>-27.4178141946968</v>
      </c>
      <c r="F216" s="22" t="n"/>
      <c r="G216" s="22" t="n"/>
      <c r="H216" s="40" t="n"/>
      <c r="I216" s="22" t="n"/>
      <c r="J216" s="40">
        <f>IF(I101=0,0,J101/I101-1)</f>
        <v>-0.988727679376299</v>
      </c>
      <c r="K216" s="22" t="n"/>
      <c r="L216" s="22" t="n"/>
      <c r="M216" s="40" t="n"/>
      <c r="N216" s="40">
        <f>IF(I101=0,0,N101/I101-1)</f>
        <v>-1.00099691771971</v>
      </c>
      <c r="O216" s="40">
        <f>IF(J101=0,0,O101/J101-1)</f>
        <v>-186.407471143441</v>
      </c>
      <c r="P216" s="40">
        <f>IF(K101=0,0,P101/K101-1)</f>
        <v>-0.433745387752946</v>
      </c>
      <c r="Q216" s="40">
        <f>IF(L101=0,0,Q101/L101-1)</f>
        <v>-1.19867672159763</v>
      </c>
      <c r="R216" s="40" t="n"/>
      <c r="S216" s="40">
        <f>IF(N101=0,0,S101/N101-1)</f>
        <v>-1</v>
      </c>
      <c r="T216" s="40">
        <f>IF(O101=0,0,T101/O101-1)</f>
        <v>-0.38469789503214</v>
      </c>
      <c r="U216" s="40">
        <f>IF(P101=0,0,U101/P101-1)</f>
        <v>-0.295357027380344</v>
      </c>
      <c r="V216" s="40">
        <f>IF(Q101=0,0,V101/Q101-1)</f>
        <v>3.46195421845556</v>
      </c>
      <c r="W216" s="40">
        <f>IF(R102=0,0,W102/R102-1)</f>
        <v>-4.56525142702676</v>
      </c>
      <c r="X216" s="40">
        <f>IF(S101=0,0,X101/S101-1)</f>
        <v>0</v>
      </c>
      <c r="Y216" s="40">
        <f>IF(T101=0,0,Y101/T101-1)</f>
        <v>-4.14509803921569</v>
      </c>
      <c r="Z216" s="40">
        <f>IF(U101=0,0,Z101/U101-1)</f>
        <v>-4.72159090909091</v>
      </c>
      <c r="AA216" s="40">
        <f>IF(V101=0,0,AA101/V101-1)</f>
        <v>7.91240875912409</v>
      </c>
      <c r="AB216" s="40">
        <f>IF(W102=0,0,AB102/W102-1)</f>
        <v>3.26510566844692</v>
      </c>
      <c r="AC216" s="40">
        <f>IF(X101=0,0,AC101/X101-1)</f>
        <v>5.52586206896552</v>
      </c>
      <c r="AD216" s="40">
        <f>IF(Y101=0,0,AD101/Y101-1)</f>
        <v>2.46134663341646</v>
      </c>
      <c r="AE216" s="40">
        <f>IF(Z101=0,0,AE101/Z101-1)</f>
        <v>4.50585966934041</v>
      </c>
      <c r="AF216" s="40">
        <f>IF(AA101=0,0,AF101/AA101-1)</f>
        <v>1.00886428946867</v>
      </c>
      <c r="AG216" s="40">
        <f>IF(AB102=0,0,AG102/AB102-1)</f>
        <v>0.290941650276143</v>
      </c>
      <c r="AH216" s="35" t="n"/>
      <c r="AI216" s="35" t="n"/>
      <c r="AJ216" s="35" t="n"/>
      <c r="AK216" s="35" t="n"/>
      <c r="AL216" s="40">
        <f>IF(AG102=0,0,AL102/AG102-1)</f>
        <v>0</v>
      </c>
      <c r="AM216" s="35" t="n"/>
      <c r="AN216" s="35" t="n"/>
      <c r="AO216" s="35" t="n"/>
      <c r="AP216" s="35" t="n"/>
      <c r="AQ216" s="40">
        <f>IF(AL102=0,0,AQ102/AL102-1)</f>
        <v>0</v>
      </c>
      <c r="AR216" s="35" t="n"/>
      <c r="AS216" s="35" t="n"/>
      <c r="AT216" s="35" t="n"/>
      <c r="AU216" s="35" t="n"/>
      <c r="AV216" s="40">
        <f>IF(AQ102=0,0,AV102/AQ102-1)</f>
        <v>0</v>
      </c>
      <c r="AW216" s="35" t="n"/>
      <c r="AX216" s="35" t="n"/>
      <c r="AY216" s="35" t="n"/>
      <c r="AZ216" s="35" t="n"/>
      <c r="BA216" s="40">
        <f>IF(AV102=0,0,BA102/AV102-1)</f>
        <v>0</v>
      </c>
      <c r="BB216" s="35" t="n"/>
      <c r="BC216" s="35" t="n"/>
      <c r="BD216" s="35" t="n"/>
      <c r="BE216" s="35" t="n"/>
      <c r="BF216" s="40">
        <f>IF(BA102=0,0,BF102/BA102-1)</f>
        <v>0</v>
      </c>
      <c r="BG216" s="35" t="n"/>
      <c r="BH216" s="35" t="n"/>
      <c r="BI216" s="35" t="n"/>
      <c r="BJ216" s="35" t="n"/>
      <c r="BK216" s="40">
        <f>IF(BF102=0,0,BK102/BF102-1)</f>
        <v>0</v>
      </c>
      <c r="BL216" s="35" t="n"/>
      <c r="BM216" s="35" t="n"/>
      <c r="BN216" s="35" t="n"/>
      <c r="BO216" s="35" t="n"/>
      <c r="BP216" s="40">
        <f>IF(BK102=0,0,BP102/BK102-1)</f>
        <v>0</v>
      </c>
      <c r="BQ216" s="35" t="n"/>
      <c r="BR216" s="35" t="n"/>
      <c r="BS216" s="35" t="n"/>
      <c r="BT216" s="35" t="n"/>
      <c r="BU216" s="40">
        <f>IF(BP102=0,0,BU102/BP102-1)</f>
        <v>0</v>
      </c>
      <c r="BV216" s="35" t="n"/>
      <c r="BW216" s="35" t="n"/>
      <c r="BX216" s="35" t="n"/>
      <c r="BY216" s="35" t="n"/>
      <c r="BZ216" s="40">
        <f>IF(BU102=0,0,BZ102/BU102-1)</f>
        <v>0</v>
      </c>
      <c r="CA216" s="35" t="n"/>
      <c r="CB216" s="35" t="n"/>
      <c r="CC216" s="35" t="n"/>
      <c r="CD216" s="35" t="n"/>
      <c r="CE216" s="40">
        <f>IF(BZ102=0,0,CE102/BZ102-1)</f>
        <v>0</v>
      </c>
      <c r="CF216" s="35" t="n"/>
      <c r="CG216" s="35" t="n"/>
      <c r="CH216" s="35" t="n"/>
      <c r="CI216" s="35" t="n"/>
      <c r="CJ216" s="40">
        <f>IF(CE102=0,0,CJ102/CE102-1)</f>
        <v>0</v>
      </c>
      <c r="CK216" s="35" t="n"/>
      <c r="CL216" s="35" t="n"/>
      <c r="CM216" s="35" t="n"/>
      <c r="CN216" s="35" t="n"/>
      <c r="CO216" s="40">
        <f>IF(CJ102=0,0,CO102/CJ102-1)</f>
        <v>0</v>
      </c>
      <c r="CP216" s="35" t="n"/>
      <c r="CQ216" s="35" t="n"/>
      <c r="CR216" s="35" t="n"/>
      <c r="CS216" s="35" t="n"/>
      <c r="CT216" s="40">
        <f>IF(CO102=0,0,CT102/CO102-1)</f>
        <v>0</v>
      </c>
      <c r="CU216" s="35" t="n"/>
      <c r="CV216" s="35" t="n"/>
      <c r="CW216" s="35" t="n"/>
      <c r="CX216" s="35" t="n"/>
      <c r="CY216" s="40">
        <f>IF(CT102=0,0,CY102/CT102-1)</f>
        <v>0</v>
      </c>
    </row>
    <row r="217" hidden="1" outlineLevel="1" customFormat="1" s="39">
      <c r="A217" s="19" t="n"/>
      <c r="B217" s="19" t="n"/>
      <c r="C217" s="34" t="inlineStr">
        <is>
          <t>Dividends (enter as -)</t>
        </is>
      </c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35" t="n"/>
      <c r="AI217" s="35" t="n"/>
      <c r="AJ217" s="35" t="n"/>
      <c r="AK217" s="35" t="n"/>
      <c r="AL217" s="22" t="n"/>
      <c r="AM217" s="35" t="n"/>
      <c r="AN217" s="35" t="n"/>
      <c r="AO217" s="35" t="n"/>
      <c r="AP217" s="35" t="n"/>
      <c r="AQ217" s="22" t="n"/>
      <c r="AR217" s="35" t="n"/>
      <c r="AS217" s="35" t="n"/>
      <c r="AT217" s="35" t="n"/>
      <c r="AU217" s="35" t="n"/>
      <c r="AV217" s="22" t="n"/>
      <c r="AW217" s="35" t="n"/>
      <c r="AX217" s="35" t="n"/>
      <c r="AY217" s="35" t="n"/>
      <c r="AZ217" s="35" t="n"/>
      <c r="BA217" s="22" t="n"/>
      <c r="BB217" s="35" t="n"/>
      <c r="BC217" s="35" t="n"/>
      <c r="BD217" s="35" t="n"/>
      <c r="BE217" s="35" t="n"/>
      <c r="BF217" s="22" t="n"/>
      <c r="BG217" s="35" t="n"/>
      <c r="BH217" s="35" t="n"/>
      <c r="BI217" s="35" t="n"/>
      <c r="BJ217" s="35" t="n"/>
      <c r="BK217" s="22" t="n"/>
      <c r="BL217" s="35" t="n"/>
      <c r="BM217" s="35" t="n"/>
      <c r="BN217" s="35" t="n"/>
      <c r="BO217" s="35" t="n"/>
      <c r="BP217" s="22" t="n"/>
      <c r="BQ217" s="35" t="n"/>
      <c r="BR217" s="35" t="n"/>
      <c r="BS217" s="35" t="n"/>
      <c r="BT217" s="35" t="n"/>
      <c r="BU217" s="22" t="n"/>
      <c r="BV217" s="35" t="n"/>
      <c r="BW217" s="35" t="n"/>
      <c r="BX217" s="35" t="n"/>
      <c r="BY217" s="35" t="n"/>
      <c r="BZ217" s="22" t="n"/>
      <c r="CA217" s="35" t="n"/>
      <c r="CB217" s="35" t="n"/>
      <c r="CC217" s="35" t="n"/>
      <c r="CD217" s="35" t="n"/>
      <c r="CE217" s="22" t="n"/>
      <c r="CF217" s="35" t="n"/>
      <c r="CG217" s="35" t="n"/>
      <c r="CH217" s="35" t="n"/>
      <c r="CI217" s="35" t="n"/>
      <c r="CJ217" s="22" t="n"/>
      <c r="CK217" s="35" t="n"/>
      <c r="CL217" s="35" t="n"/>
      <c r="CM217" s="35" t="n"/>
      <c r="CN217" s="35" t="n"/>
      <c r="CO217" s="22" t="n"/>
      <c r="CP217" s="35" t="n"/>
      <c r="CQ217" s="35" t="n"/>
      <c r="CR217" s="35" t="n"/>
      <c r="CS217" s="35" t="n"/>
      <c r="CT217" s="22" t="n"/>
      <c r="CU217" s="35" t="n"/>
      <c r="CV217" s="35" t="n"/>
      <c r="CW217" s="35" t="n"/>
      <c r="CX217" s="35" t="n"/>
      <c r="CY217" s="22" t="n"/>
    </row>
    <row r="218" hidden="1" outlineLevel="1" customFormat="1" s="39">
      <c r="A218" s="19" t="n"/>
      <c r="B218" s="19" t="n"/>
      <c r="C218" s="38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/>
      <c r="AV218" s="22" t="n"/>
      <c r="AW218" s="22" t="n"/>
      <c r="AX218" s="22" t="n"/>
      <c r="AY218" s="22" t="n"/>
      <c r="AZ218" s="22" t="n"/>
      <c r="BA218" s="22" t="n"/>
      <c r="BB218" s="22" t="n"/>
      <c r="BC218" s="22" t="n"/>
      <c r="BD218" s="22" t="n"/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</row>
    <row r="219" collapsed="1">
      <c r="C219" s="26" t="inlineStr">
        <is>
          <t>Convertible Preferred Stock</t>
        </is>
      </c>
      <c r="D219" s="25" t="n"/>
      <c r="E219" s="25" t="n"/>
      <c r="F219" s="25" t="n"/>
      <c r="G219" s="25" t="n"/>
      <c r="H219" s="3">
        <f>G219</f>
        <v>0</v>
      </c>
      <c r="I219" s="25" t="n"/>
      <c r="J219" s="25" t="n"/>
      <c r="K219" s="25" t="n"/>
      <c r="L219" s="25" t="n"/>
      <c r="M219" s="3">
        <f>L219</f>
        <v>0</v>
      </c>
      <c r="N219" s="25" t="n"/>
      <c r="O219" s="25" t="n"/>
      <c r="P219" s="25" t="n"/>
      <c r="Q219" s="25" t="n"/>
      <c r="R219" s="3">
        <f>Q219</f>
        <v>0</v>
      </c>
      <c r="S219" s="25" t="n"/>
      <c r="T219" s="25" t="n"/>
      <c r="U219" s="25" t="n"/>
      <c r="V219" s="25" t="n"/>
      <c r="W219" s="3">
        <f>V219</f>
        <v>0</v>
      </c>
      <c r="X219" s="25" t="n"/>
      <c r="Y219" s="25" t="n"/>
      <c r="Z219" s="25" t="n"/>
      <c r="AA219" s="25" t="n"/>
      <c r="AB219" s="3">
        <f>AA219</f>
        <v>0</v>
      </c>
      <c r="AC219" s="25" t="n"/>
      <c r="AD219" s="25" t="n"/>
      <c r="AE219" s="25" t="n"/>
      <c r="AF219" s="25" t="n"/>
      <c r="AG219" s="3">
        <f>AF219</f>
        <v>0</v>
      </c>
      <c r="AH219" s="3">
        <f>AG219</f>
        <v>0</v>
      </c>
      <c r="AI219" s="3">
        <f>AH219</f>
        <v>0</v>
      </c>
      <c r="AJ219" s="3">
        <f>AI219</f>
        <v>0</v>
      </c>
      <c r="AK219" s="3">
        <f>AJ219</f>
        <v>0</v>
      </c>
      <c r="AL219" s="3">
        <f>AK219</f>
        <v>0</v>
      </c>
      <c r="AM219" s="3">
        <f>AL219</f>
        <v>0</v>
      </c>
      <c r="AN219" s="3">
        <f>AM219</f>
        <v>0</v>
      </c>
      <c r="AO219" s="3">
        <f>AN219</f>
        <v>0</v>
      </c>
      <c r="AP219" s="3">
        <f>AO219</f>
        <v>0</v>
      </c>
      <c r="AQ219" s="3">
        <f>AP219</f>
        <v>0</v>
      </c>
      <c r="AR219" s="3">
        <f>AQ219</f>
        <v>0</v>
      </c>
      <c r="AS219" s="3">
        <f>AR219</f>
        <v>0</v>
      </c>
      <c r="AT219" s="3">
        <f>AS219</f>
        <v>0</v>
      </c>
      <c r="AU219" s="3">
        <f>AT219</f>
        <v>0</v>
      </c>
      <c r="AV219" s="3">
        <f>AU219</f>
        <v>0</v>
      </c>
      <c r="AW219" s="3">
        <f>AV219</f>
        <v>0</v>
      </c>
      <c r="AX219" s="3">
        <f>AW219</f>
        <v>0</v>
      </c>
      <c r="AY219" s="3">
        <f>AX219</f>
        <v>0</v>
      </c>
      <c r="AZ219" s="3">
        <f>AY219</f>
        <v>0</v>
      </c>
      <c r="BA219" s="3">
        <f>AZ219</f>
        <v>0</v>
      </c>
      <c r="BB219" s="3">
        <f>BA219</f>
        <v>0</v>
      </c>
      <c r="BC219" s="3">
        <f>BB219</f>
        <v>0</v>
      </c>
      <c r="BD219" s="3">
        <f>BC219</f>
        <v>0</v>
      </c>
      <c r="BE219" s="3">
        <f>BD219</f>
        <v>0</v>
      </c>
      <c r="BF219" s="3">
        <f>BE219</f>
        <v>0</v>
      </c>
      <c r="BG219" s="3">
        <f>BF219</f>
        <v>0</v>
      </c>
      <c r="BH219" s="3">
        <f>BG219</f>
        <v>0</v>
      </c>
      <c r="BI219" s="3">
        <f>BH219</f>
        <v>0</v>
      </c>
      <c r="BJ219" s="3">
        <f>BI219</f>
        <v>0</v>
      </c>
      <c r="BK219" s="3">
        <f>BJ219</f>
        <v>0</v>
      </c>
      <c r="BL219" s="3">
        <f>BK219</f>
        <v>0</v>
      </c>
      <c r="BM219" s="3">
        <f>BL219</f>
        <v>0</v>
      </c>
      <c r="BN219" s="3">
        <f>BM219</f>
        <v>0</v>
      </c>
      <c r="BO219" s="3">
        <f>BN219</f>
        <v>0</v>
      </c>
      <c r="BP219" s="3">
        <f>BO219</f>
        <v>0</v>
      </c>
      <c r="BQ219" s="3">
        <f>BP219</f>
        <v>0</v>
      </c>
      <c r="BR219" s="3">
        <f>BQ219</f>
        <v>0</v>
      </c>
      <c r="BS219" s="3">
        <f>BR219</f>
        <v>0</v>
      </c>
      <c r="BT219" s="3">
        <f>BS219</f>
        <v>0</v>
      </c>
      <c r="BU219" s="3">
        <f>BT219</f>
        <v>0</v>
      </c>
      <c r="BV219" s="3">
        <f>BU219</f>
        <v>0</v>
      </c>
      <c r="BW219" s="3">
        <f>BV219</f>
        <v>0</v>
      </c>
      <c r="BX219" s="3">
        <f>BW219</f>
        <v>0</v>
      </c>
      <c r="BY219" s="3">
        <f>BX219</f>
        <v>0</v>
      </c>
      <c r="BZ219" s="3">
        <f>BY219</f>
        <v>0</v>
      </c>
      <c r="CA219" s="3">
        <f>BZ219</f>
        <v>0</v>
      </c>
      <c r="CB219" s="3">
        <f>CA219</f>
        <v>0</v>
      </c>
      <c r="CC219" s="3">
        <f>CB219</f>
        <v>0</v>
      </c>
      <c r="CD219" s="3">
        <f>CC219</f>
        <v>0</v>
      </c>
      <c r="CE219" s="3">
        <f>CD219</f>
        <v>0</v>
      </c>
      <c r="CF219" s="3">
        <f>CE219</f>
        <v>0</v>
      </c>
      <c r="CG219" s="3">
        <f>CF219</f>
        <v>0</v>
      </c>
      <c r="CH219" s="3">
        <f>CG219</f>
        <v>0</v>
      </c>
      <c r="CI219" s="3">
        <f>CH219</f>
        <v>0</v>
      </c>
      <c r="CJ219" s="3">
        <f>CI219</f>
        <v>0</v>
      </c>
      <c r="CK219" s="3">
        <f>CJ219</f>
        <v>0</v>
      </c>
      <c r="CL219" s="3">
        <f>CK219</f>
        <v>0</v>
      </c>
      <c r="CM219" s="3">
        <f>CL219</f>
        <v>0</v>
      </c>
      <c r="CN219" s="3">
        <f>CM219</f>
        <v>0</v>
      </c>
      <c r="CO219" s="3">
        <f>CN219</f>
        <v>0</v>
      </c>
      <c r="CP219" s="3">
        <f>CO219</f>
        <v>0</v>
      </c>
      <c r="CQ219" s="3">
        <f>CP219</f>
        <v>0</v>
      </c>
      <c r="CR219" s="3">
        <f>CQ219</f>
        <v>0</v>
      </c>
      <c r="CS219" s="3">
        <f>CR219</f>
        <v>0</v>
      </c>
      <c r="CT219" s="3">
        <f>CS219</f>
        <v>0</v>
      </c>
      <c r="CU219" s="3">
        <f>CT219</f>
        <v>0</v>
      </c>
      <c r="CV219" s="3">
        <f>CU219</f>
        <v>0</v>
      </c>
      <c r="CW219" s="3">
        <f>CV219</f>
        <v>0</v>
      </c>
      <c r="CX219" s="3">
        <f>CW219</f>
        <v>0</v>
      </c>
      <c r="CY219" s="3">
        <f>CX219</f>
        <v>0</v>
      </c>
    </row>
    <row r="220">
      <c r="C220" s="24" t="inlineStr">
        <is>
          <t>Common Stock and APIC</t>
        </is>
      </c>
      <c r="D220" s="25">
        <f>INDEX('Inputs (2)'!$D$43:$AL$43,MATCH(D$7,'Inputs (2)'!$D$2:$AL$2,0))</f>
        <v>1461.10739523</v>
      </c>
      <c r="E220" s="25">
        <f>INDEX('Inputs (2)'!$D$43:$AL$43,MATCH(E$7,'Inputs (2)'!$D$2:$AL$2,0))</f>
        <v>1461.16167668</v>
      </c>
      <c r="F220" s="25">
        <f>INDEX('Inputs (2)'!$D$43:$AL$43,MATCH(F$7,'Inputs (2)'!$D$2:$AL$2,0))</f>
        <v>1467.18436703</v>
      </c>
      <c r="G220" s="25">
        <f>INDEX('Inputs (2)'!$D$43:$AL$43,MATCH(G$7,'Inputs (2)'!$D$2:$AL$2,0))</f>
        <v>1468.15627256</v>
      </c>
      <c r="H220" s="3">
        <f>G220</f>
        <v>1468.15627256</v>
      </c>
      <c r="I220" s="25">
        <f>INDEX('Inputs (2)'!$D$43:$AL$43,MATCH(I$7,'Inputs (2)'!$D$2:$AL$2,0))</f>
        <v>1468.70785658</v>
      </c>
      <c r="J220" s="25">
        <f>INDEX('Inputs (2)'!$D$43:$AL$43,MATCH(J$7,'Inputs (2)'!$D$2:$AL$2,0))</f>
        <v>1469.12340486</v>
      </c>
      <c r="K220" s="25">
        <f>INDEX('Inputs (2)'!$D$43:$AL$43,MATCH(K$7,'Inputs (2)'!$D$2:$AL$2,0))</f>
        <v>1474.49783234</v>
      </c>
      <c r="L220" s="25">
        <f>INDEX('Inputs (2)'!$D$43:$AL$43,MATCH(L$7,'Inputs (2)'!$D$2:$AL$2,0))</f>
        <v>1474.72765197</v>
      </c>
      <c r="M220" s="3">
        <f>L220</f>
        <v>1474.72765197</v>
      </c>
      <c r="N220" s="25">
        <f>INDEX('Inputs (2)'!$D$43:$AL$43,MATCH(N$7,'Inputs (2)'!$D$2:$AL$2,0))</f>
        <v>1475.10780063</v>
      </c>
      <c r="O220" s="25">
        <f>INDEX('Inputs (2)'!$D$43:$AL$43,MATCH(O$7,'Inputs (2)'!$D$2:$AL$2,0))</f>
        <v>1475.01522486</v>
      </c>
      <c r="P220" s="25">
        <f>INDEX('Inputs (2)'!$D$43:$AL$43,MATCH(P$7,'Inputs (2)'!$D$2:$AL$2,0))</f>
        <v>1476.85481989</v>
      </c>
      <c r="Q220" s="25">
        <f>INDEX('Inputs (2)'!$D$43:$AL$43,MATCH(Q$7,'Inputs (2)'!$D$2:$AL$2,0))</f>
        <v>2320.43421514</v>
      </c>
      <c r="R220" s="3">
        <f>Q220</f>
        <v>2320.43421514</v>
      </c>
      <c r="S220" s="25">
        <f>INDEX('Inputs (2)'!$D$43:$AL$43,MATCH(S$7,'Inputs (2)'!$D$2:$AL$2,0))</f>
        <v>2320.15239841</v>
      </c>
      <c r="T220" s="25">
        <f>INDEX('Inputs (2)'!$D$43:$AL$43,MATCH(T$7,'Inputs (2)'!$D$2:$AL$2,0))</f>
        <v>4651.356</v>
      </c>
      <c r="U220" s="25">
        <f>INDEX('Inputs (2)'!$D$43:$AL$43,MATCH(U$7,'Inputs (2)'!$D$2:$AL$2,0))</f>
        <v>4651.442</v>
      </c>
      <c r="V220" s="25">
        <f>INDEX('Inputs (2)'!$D$43:$AL$43,MATCH(V$7,'Inputs (2)'!$D$2:$AL$2,0))</f>
        <v>4651.48</v>
      </c>
      <c r="W220" s="3">
        <f>V220</f>
        <v>4651.48</v>
      </c>
      <c r="X220" s="25">
        <f>INDEX('Inputs (2)'!$D$43:$AL$43,MATCH(X$7,'Inputs (2)'!$D$2:$AL$2,0))</f>
        <v>4651.518</v>
      </c>
      <c r="Y220" s="25">
        <f>INDEX('Inputs (2)'!$D$43:$AL$43,MATCH(Y$7,'Inputs (2)'!$D$2:$AL$2,0))</f>
        <v>4651.55639558</v>
      </c>
      <c r="Z220" s="25">
        <f>INDEX('Inputs (2)'!$D$43:$AL$43,MATCH(Z$7,'Inputs (2)'!$D$2:$AL$2,0))</f>
        <v>4651.594</v>
      </c>
      <c r="AA220" s="25">
        <f>INDEX('Inputs (2)'!$D$43:$AL$43,MATCH(AA$7,'Inputs (2)'!$D$2:$AL$2,0))</f>
        <v>4651.632</v>
      </c>
      <c r="AB220" s="3">
        <f>AA220</f>
        <v>4651.632</v>
      </c>
      <c r="AC220" s="25">
        <f>INDEX('Inputs (2)'!$D$43:$AL$43,MATCH(AC$7,'Inputs (2)'!$D$2:$AL$2,0))</f>
        <v>4651.632083</v>
      </c>
      <c r="AD220" s="25">
        <f>INDEX('Inputs (2)'!$D$43:$AL$43,MATCH(AD$7,'Inputs (2)'!$D$2:$AL$2,0))</f>
        <v>4651.632</v>
      </c>
      <c r="AE220" s="25">
        <f>INDEX('Inputs (2)'!$D$43:$AL$43,MATCH(AE$7,'Inputs (2)'!$D$2:$AL$2,0))</f>
        <v>4651.632</v>
      </c>
      <c r="AF220" s="25">
        <f>INDEX('Inputs (2)'!$D$43:$AL$43,MATCH(AF$7,'Inputs (2)'!$D$2:$AL$2,0))</f>
        <v>4651.632</v>
      </c>
      <c r="AG220" s="3">
        <f>AF220</f>
        <v>4651.632</v>
      </c>
      <c r="AH220" s="3">
        <f>AG220+AH224</f>
        <v>4651.632</v>
      </c>
      <c r="AI220" s="3">
        <f>AH220+AI224</f>
        <v>4651.632</v>
      </c>
      <c r="AJ220" s="3">
        <f>AI220+AJ224</f>
        <v>4651.632</v>
      </c>
      <c r="AK220" s="3">
        <f>AJ220+AK224</f>
        <v>4651.632</v>
      </c>
      <c r="AL220" s="3">
        <f>AK220</f>
        <v>4651.632</v>
      </c>
      <c r="AM220" s="3">
        <f>AL220+AM224</f>
        <v>4651.632</v>
      </c>
      <c r="AN220" s="3">
        <f>AM220+AN224</f>
        <v>4651.632</v>
      </c>
      <c r="AO220" s="3">
        <f>AN220+AO224</f>
        <v>4651.632</v>
      </c>
      <c r="AP220" s="3">
        <f>AO220+AP224</f>
        <v>4651.632</v>
      </c>
      <c r="AQ220" s="3">
        <f>AP220</f>
        <v>4651.632</v>
      </c>
      <c r="AR220" s="3">
        <f>AQ220+AR224</f>
        <v>4651.632</v>
      </c>
      <c r="AS220" s="3">
        <f>AR220+AS224</f>
        <v>4651.632</v>
      </c>
      <c r="AT220" s="3">
        <f>AS220+AT224</f>
        <v>4651.632</v>
      </c>
      <c r="AU220" s="3">
        <f>AT220+AU224</f>
        <v>4651.632</v>
      </c>
      <c r="AV220" s="3">
        <f>AU220</f>
        <v>4651.632</v>
      </c>
      <c r="AW220" s="3">
        <f>AV220+AW224</f>
        <v>4651.632</v>
      </c>
      <c r="AX220" s="3">
        <f>AW220+AX224</f>
        <v>4651.632</v>
      </c>
      <c r="AY220" s="3">
        <f>AX220+AY224</f>
        <v>4651.632</v>
      </c>
      <c r="AZ220" s="3">
        <f>AY220+AZ224</f>
        <v>4651.632</v>
      </c>
      <c r="BA220" s="3">
        <f>AZ220</f>
        <v>4651.632</v>
      </c>
      <c r="BB220" s="3">
        <f>BA220+BB224</f>
        <v>4651.632</v>
      </c>
      <c r="BC220" s="3">
        <f>BB220+BC224</f>
        <v>4651.632</v>
      </c>
      <c r="BD220" s="3">
        <f>BC220+BD224</f>
        <v>4651.632</v>
      </c>
      <c r="BE220" s="3">
        <f>BD220+BE224</f>
        <v>4651.632</v>
      </c>
      <c r="BF220" s="3">
        <f>BE220</f>
        <v>4651.632</v>
      </c>
      <c r="BG220" s="3">
        <f>BF220+BG224</f>
        <v>4651.632</v>
      </c>
      <c r="BH220" s="3">
        <f>BG220+BH224</f>
        <v>4651.632</v>
      </c>
      <c r="BI220" s="3">
        <f>BH220+BI224</f>
        <v>4651.632</v>
      </c>
      <c r="BJ220" s="3">
        <f>BI220+BJ224</f>
        <v>4651.632</v>
      </c>
      <c r="BK220" s="3">
        <f>BJ220</f>
        <v>4651.632</v>
      </c>
      <c r="BL220" s="3">
        <f>BK220+BL224</f>
        <v>4651.632</v>
      </c>
      <c r="BM220" s="3">
        <f>BL220+BM224</f>
        <v>4651.632</v>
      </c>
      <c r="BN220" s="3">
        <f>BM220+BN224</f>
        <v>4651.632</v>
      </c>
      <c r="BO220" s="3">
        <f>BN220+BO224</f>
        <v>4651.632</v>
      </c>
      <c r="BP220" s="3">
        <f>BO220</f>
        <v>4651.632</v>
      </c>
      <c r="BQ220" s="3">
        <f>BP220+BQ224</f>
        <v>4651.632</v>
      </c>
      <c r="BR220" s="3">
        <f>BQ220+BR224</f>
        <v>4651.632</v>
      </c>
      <c r="BS220" s="3">
        <f>BR220+BS224</f>
        <v>4651.632</v>
      </c>
      <c r="BT220" s="3">
        <f>BS220+BT224</f>
        <v>4651.632</v>
      </c>
      <c r="BU220" s="3">
        <f>BT220</f>
        <v>4651.632</v>
      </c>
      <c r="BV220" s="3">
        <f>BU220+BV224</f>
        <v>4651.632</v>
      </c>
      <c r="BW220" s="3">
        <f>BV220+BW224</f>
        <v>4651.632</v>
      </c>
      <c r="BX220" s="3">
        <f>BW220+BX224</f>
        <v>4651.632</v>
      </c>
      <c r="BY220" s="3">
        <f>BX220+BY224</f>
        <v>4651.632</v>
      </c>
      <c r="BZ220" s="3">
        <f>BY220</f>
        <v>4651.632</v>
      </c>
      <c r="CA220" s="3">
        <f>BZ220+CA224</f>
        <v>4651.632</v>
      </c>
      <c r="CB220" s="3">
        <f>CA220+CB224</f>
        <v>4651.632</v>
      </c>
      <c r="CC220" s="3">
        <f>CB220+CC224</f>
        <v>4651.632</v>
      </c>
      <c r="CD220" s="3">
        <f>CC220+CD224</f>
        <v>4651.632</v>
      </c>
      <c r="CE220" s="3">
        <f>CD220</f>
        <v>4651.632</v>
      </c>
      <c r="CF220" s="3">
        <f>CE220+CF224</f>
        <v>4651.632</v>
      </c>
      <c r="CG220" s="3">
        <f>CF220+CG224</f>
        <v>4651.632</v>
      </c>
      <c r="CH220" s="3">
        <f>CG220+CH224</f>
        <v>4651.632</v>
      </c>
      <c r="CI220" s="3">
        <f>CH220+CI224</f>
        <v>4651.632</v>
      </c>
      <c r="CJ220" s="3">
        <f>CI220</f>
        <v>4651.632</v>
      </c>
      <c r="CK220" s="3">
        <f>CJ220+CK224</f>
        <v>4651.632</v>
      </c>
      <c r="CL220" s="3">
        <f>CK220+CL224</f>
        <v>4651.632</v>
      </c>
      <c r="CM220" s="3">
        <f>CL220+CM224</f>
        <v>4651.632</v>
      </c>
      <c r="CN220" s="3">
        <f>CM220+CN224</f>
        <v>4651.632</v>
      </c>
      <c r="CO220" s="3">
        <f>CN220</f>
        <v>4651.632</v>
      </c>
      <c r="CP220" s="3">
        <f>CO220+CP224</f>
        <v>4651.632</v>
      </c>
      <c r="CQ220" s="3">
        <f>CP220+CQ224</f>
        <v>4651.632</v>
      </c>
      <c r="CR220" s="3">
        <f>CQ220+CR224</f>
        <v>4651.632</v>
      </c>
      <c r="CS220" s="3">
        <f>CR220+CS224</f>
        <v>4651.632</v>
      </c>
      <c r="CT220" s="3">
        <f>CS220</f>
        <v>4651.632</v>
      </c>
      <c r="CU220" s="3">
        <f>CT220+CU224</f>
        <v>4651.632</v>
      </c>
      <c r="CV220" s="3">
        <f>CU220+CV224</f>
        <v>4651.632</v>
      </c>
      <c r="CW220" s="3">
        <f>CV220+CW224</f>
        <v>4651.632</v>
      </c>
      <c r="CX220" s="3">
        <f>CW220+CX224</f>
        <v>4651.632</v>
      </c>
      <c r="CY220" s="3">
        <f>CX220</f>
        <v>4651.632</v>
      </c>
    </row>
    <row r="221" hidden="1" outlineLevel="1" customFormat="1" s="39">
      <c r="A221" s="19" t="n"/>
      <c r="B221" s="19" t="n"/>
      <c r="C221" s="41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/>
      <c r="AV221" s="22" t="n"/>
      <c r="AW221" s="22" t="n"/>
      <c r="AX221" s="22" t="n"/>
      <c r="AY221" s="22" t="n"/>
      <c r="AZ221" s="22" t="n"/>
      <c r="BA221" s="22" t="n"/>
      <c r="BB221" s="22" t="n"/>
      <c r="BC221" s="22" t="n"/>
      <c r="BD221" s="22" t="n"/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</row>
    <row r="222" hidden="1" outlineLevel="1" customFormat="1" s="39">
      <c r="A222" s="19" t="n"/>
      <c r="B222" s="19" t="n"/>
      <c r="C222" s="41" t="inlineStr">
        <is>
          <t>Diluted Shares outstanding</t>
        </is>
      </c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/>
      <c r="AV222" s="22" t="n"/>
      <c r="AW222" s="22" t="n"/>
      <c r="AX222" s="22" t="n"/>
      <c r="AY222" s="22" t="n"/>
      <c r="AZ222" s="22" t="n"/>
      <c r="BA222" s="22" t="n"/>
      <c r="BB222" s="22" t="n"/>
      <c r="BC222" s="22" t="n"/>
      <c r="BD222" s="22" t="n"/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</row>
    <row r="223" hidden="1" outlineLevel="1" customFormat="1" s="39">
      <c r="A223" s="19" t="n"/>
      <c r="B223" s="19" t="n"/>
      <c r="C223" s="41" t="inlineStr">
        <is>
          <t>Treasury share $ repurchases</t>
        </is>
      </c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6" t="n"/>
      <c r="AI223" s="6" t="n"/>
      <c r="AJ223" s="6" t="n"/>
      <c r="AK223" s="6" t="n"/>
      <c r="AL223" s="22" t="n"/>
      <c r="AM223" s="6" t="n"/>
      <c r="AN223" s="6" t="n"/>
      <c r="AO223" s="6" t="n"/>
      <c r="AP223" s="6" t="n"/>
      <c r="AQ223" s="22" t="n"/>
      <c r="AR223" s="6" t="n"/>
      <c r="AS223" s="6" t="n"/>
      <c r="AT223" s="6" t="n"/>
      <c r="AU223" s="6" t="n"/>
      <c r="AV223" s="22" t="n"/>
      <c r="AW223" s="6" t="n"/>
      <c r="AX223" s="6" t="n"/>
      <c r="AY223" s="6" t="n"/>
      <c r="AZ223" s="6" t="n"/>
      <c r="BA223" s="22" t="n"/>
      <c r="BB223" s="6" t="n"/>
      <c r="BC223" s="6" t="n"/>
      <c r="BD223" s="6" t="n"/>
      <c r="BE223" s="6" t="n"/>
      <c r="BF223" s="22" t="n"/>
      <c r="BG223" s="6" t="n"/>
      <c r="BH223" s="6" t="n"/>
      <c r="BI223" s="6" t="n"/>
      <c r="BJ223" s="6" t="n"/>
      <c r="BK223" s="22" t="n"/>
      <c r="BL223" s="6" t="n"/>
      <c r="BM223" s="6" t="n"/>
      <c r="BN223" s="6" t="n"/>
      <c r="BO223" s="6" t="n"/>
      <c r="BP223" s="22" t="n"/>
      <c r="BQ223" s="6" t="n"/>
      <c r="BR223" s="6" t="n"/>
      <c r="BS223" s="6" t="n"/>
      <c r="BT223" s="6" t="n"/>
      <c r="BU223" s="22" t="n"/>
      <c r="BV223" s="6" t="n"/>
      <c r="BW223" s="6" t="n"/>
      <c r="BX223" s="6" t="n"/>
      <c r="BY223" s="6" t="n"/>
      <c r="BZ223" s="22" t="n"/>
      <c r="CA223" s="6" t="n"/>
      <c r="CB223" s="6" t="n"/>
      <c r="CC223" s="6" t="n"/>
      <c r="CD223" s="6" t="n"/>
      <c r="CE223" s="22" t="n"/>
      <c r="CF223" s="6" t="n"/>
      <c r="CG223" s="6" t="n"/>
      <c r="CH223" s="6" t="n"/>
      <c r="CI223" s="6" t="n"/>
      <c r="CJ223" s="22" t="n"/>
      <c r="CK223" s="6" t="n"/>
      <c r="CL223" s="6" t="n"/>
      <c r="CM223" s="6" t="n"/>
      <c r="CN223" s="6" t="n"/>
      <c r="CO223" s="22" t="n"/>
      <c r="CP223" s="6" t="n"/>
      <c r="CQ223" s="6" t="n"/>
      <c r="CR223" s="6" t="n"/>
      <c r="CS223" s="6" t="n"/>
      <c r="CT223" s="22" t="n"/>
      <c r="CU223" s="6" t="n"/>
      <c r="CV223" s="6" t="n"/>
      <c r="CW223" s="6" t="n"/>
      <c r="CX223" s="6" t="n"/>
      <c r="CY223" s="22" t="n"/>
    </row>
    <row r="224" hidden="1" outlineLevel="1" customFormat="1" s="39">
      <c r="A224" s="19" t="n"/>
      <c r="B224" s="19" t="n"/>
      <c r="C224" s="41" t="inlineStr">
        <is>
          <t>Value of shares issued</t>
        </is>
      </c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6" t="n"/>
      <c r="AI224" s="6" t="n"/>
      <c r="AJ224" s="6" t="n"/>
      <c r="AK224" s="6" t="n"/>
      <c r="AL224" s="22" t="n"/>
      <c r="AM224" s="6" t="n"/>
      <c r="AN224" s="6" t="n"/>
      <c r="AO224" s="6" t="n"/>
      <c r="AP224" s="6" t="n"/>
      <c r="AQ224" s="22" t="n"/>
      <c r="AR224" s="6" t="n"/>
      <c r="AS224" s="6" t="n"/>
      <c r="AT224" s="6" t="n"/>
      <c r="AU224" s="6" t="n"/>
      <c r="AV224" s="22" t="n"/>
      <c r="AW224" s="6" t="n"/>
      <c r="AX224" s="6" t="n"/>
      <c r="AY224" s="6" t="n"/>
      <c r="AZ224" s="6" t="n"/>
      <c r="BA224" s="22" t="n"/>
      <c r="BB224" s="6" t="n"/>
      <c r="BC224" s="6" t="n"/>
      <c r="BD224" s="6" t="n"/>
      <c r="BE224" s="6" t="n"/>
      <c r="BF224" s="22" t="n"/>
      <c r="BG224" s="6" t="n"/>
      <c r="BH224" s="6" t="n"/>
      <c r="BI224" s="6" t="n"/>
      <c r="BJ224" s="6" t="n"/>
      <c r="BK224" s="22" t="n"/>
      <c r="BL224" s="6" t="n"/>
      <c r="BM224" s="6" t="n"/>
      <c r="BN224" s="6" t="n"/>
      <c r="BO224" s="6" t="n"/>
      <c r="BP224" s="22" t="n"/>
      <c r="BQ224" s="6" t="n"/>
      <c r="BR224" s="6" t="n"/>
      <c r="BS224" s="6" t="n"/>
      <c r="BT224" s="6" t="n"/>
      <c r="BU224" s="22" t="n"/>
      <c r="BV224" s="6" t="n"/>
      <c r="BW224" s="6" t="n"/>
      <c r="BX224" s="6" t="n"/>
      <c r="BY224" s="6" t="n"/>
      <c r="BZ224" s="22" t="n"/>
      <c r="CA224" s="6" t="n"/>
      <c r="CB224" s="6" t="n"/>
      <c r="CC224" s="6" t="n"/>
      <c r="CD224" s="6" t="n"/>
      <c r="CE224" s="22" t="n"/>
      <c r="CF224" s="6" t="n"/>
      <c r="CG224" s="6" t="n"/>
      <c r="CH224" s="6" t="n"/>
      <c r="CI224" s="6" t="n"/>
      <c r="CJ224" s="22" t="n"/>
      <c r="CK224" s="6" t="n"/>
      <c r="CL224" s="6" t="n"/>
      <c r="CM224" s="6" t="n"/>
      <c r="CN224" s="6" t="n"/>
      <c r="CO224" s="22" t="n"/>
      <c r="CP224" s="6" t="n"/>
      <c r="CQ224" s="6" t="n"/>
      <c r="CR224" s="6" t="n"/>
      <c r="CS224" s="6" t="n"/>
      <c r="CT224" s="22" t="n"/>
      <c r="CU224" s="6" t="n"/>
      <c r="CV224" s="6" t="n"/>
      <c r="CW224" s="6" t="n"/>
      <c r="CX224" s="6" t="n"/>
      <c r="CY224" s="22" t="n"/>
    </row>
    <row r="225" hidden="1" outlineLevel="1" customFormat="1" s="39">
      <c r="A225" s="19" t="n"/>
      <c r="B225" s="19" t="n"/>
      <c r="C225" s="41" t="inlineStr">
        <is>
          <t>Expected average share price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58" t="n"/>
      <c r="AH225" s="42">
        <f>AG225*(1+AH226)</f>
        <v>0</v>
      </c>
      <c r="AI225" s="42">
        <f>AH225*(1+AI226)</f>
        <v>0</v>
      </c>
      <c r="AJ225" s="42">
        <f>AI225*(1+AJ226)</f>
        <v>0</v>
      </c>
      <c r="AK225" s="42">
        <f>AJ225*(1+AK226)</f>
        <v>0</v>
      </c>
      <c r="AL225" s="22" t="n"/>
      <c r="AM225" s="42">
        <f>AK225*(1+AM226)</f>
        <v>0</v>
      </c>
      <c r="AN225" s="42">
        <f>AM225*(1+AN226)</f>
        <v>0</v>
      </c>
      <c r="AO225" s="42">
        <f>AN225*(1+AO226)</f>
        <v>0</v>
      </c>
      <c r="AP225" s="42">
        <f>AO225*(1+AP226)</f>
        <v>0</v>
      </c>
      <c r="AQ225" s="22" t="n"/>
      <c r="AR225" s="42">
        <f>AP225*(1+AR226)</f>
        <v>0</v>
      </c>
      <c r="AS225" s="42">
        <f>AR225*(1+AS226)</f>
        <v>0</v>
      </c>
      <c r="AT225" s="42">
        <f>AS225*(1+AT226)</f>
        <v>0</v>
      </c>
      <c r="AU225" s="42">
        <f>AT225*(1+AU226)</f>
        <v>0</v>
      </c>
      <c r="AV225" s="22" t="n"/>
      <c r="AW225" s="42">
        <f>AU225*(1+AW226)</f>
        <v>0</v>
      </c>
      <c r="AX225" s="42">
        <f>AW225*(1+AX226)</f>
        <v>0</v>
      </c>
      <c r="AY225" s="42">
        <f>AX225*(1+AY226)</f>
        <v>0</v>
      </c>
      <c r="AZ225" s="42">
        <f>AY225*(1+AZ226)</f>
        <v>0</v>
      </c>
      <c r="BA225" s="22" t="n"/>
      <c r="BB225" s="42">
        <f>AZ225*(1+BB226)</f>
        <v>0</v>
      </c>
      <c r="BC225" s="42">
        <f>BB225*(1+BC226)</f>
        <v>0</v>
      </c>
      <c r="BD225" s="42">
        <f>BC225*(1+BD226)</f>
        <v>0</v>
      </c>
      <c r="BE225" s="42">
        <f>BD225*(1+BE226)</f>
        <v>0</v>
      </c>
      <c r="BF225" s="22" t="n"/>
      <c r="BG225" s="42">
        <f>BE225*(1+BG226)</f>
        <v>0</v>
      </c>
      <c r="BH225" s="42">
        <f>BG225*(1+BH226)</f>
        <v>0</v>
      </c>
      <c r="BI225" s="42">
        <f>BH225*(1+BI226)</f>
        <v>0</v>
      </c>
      <c r="BJ225" s="42">
        <f>BI225*(1+BJ226)</f>
        <v>0</v>
      </c>
      <c r="BK225" s="22" t="n"/>
      <c r="BL225" s="42">
        <f>BJ225*(1+BL226)</f>
        <v>0</v>
      </c>
      <c r="BM225" s="42">
        <f>BL225*(1+BM226)</f>
        <v>0</v>
      </c>
      <c r="BN225" s="42">
        <f>BM225*(1+BN226)</f>
        <v>0</v>
      </c>
      <c r="BO225" s="42">
        <f>BN225*(1+BO226)</f>
        <v>0</v>
      </c>
      <c r="BP225" s="22" t="n"/>
      <c r="BQ225" s="42">
        <f>BO225*(1+BQ226)</f>
        <v>0</v>
      </c>
      <c r="BR225" s="42">
        <f>BQ225*(1+BR226)</f>
        <v>0</v>
      </c>
      <c r="BS225" s="42">
        <f>BR225*(1+BS226)</f>
        <v>0</v>
      </c>
      <c r="BT225" s="42">
        <f>BS225*(1+BT226)</f>
        <v>0</v>
      </c>
      <c r="BU225" s="22" t="n"/>
      <c r="BV225" s="42">
        <f>BT225*(1+BV226)</f>
        <v>0</v>
      </c>
      <c r="BW225" s="42">
        <f>BV225*(1+BW226)</f>
        <v>0</v>
      </c>
      <c r="BX225" s="42">
        <f>BW225*(1+BX226)</f>
        <v>0</v>
      </c>
      <c r="BY225" s="42">
        <f>BX225*(1+BY226)</f>
        <v>0</v>
      </c>
      <c r="BZ225" s="22" t="n"/>
      <c r="CA225" s="42">
        <f>BY225*(1+CA226)</f>
        <v>0</v>
      </c>
      <c r="CB225" s="42">
        <f>CA225*(1+CB226)</f>
        <v>0</v>
      </c>
      <c r="CC225" s="42">
        <f>CB225*(1+CC226)</f>
        <v>0</v>
      </c>
      <c r="CD225" s="42">
        <f>CC225*(1+CD226)</f>
        <v>0</v>
      </c>
      <c r="CE225" s="22" t="n"/>
      <c r="CF225" s="42">
        <f>CD225*(1+CF226)</f>
        <v>0</v>
      </c>
      <c r="CG225" s="42">
        <f>CF225*(1+CG226)</f>
        <v>0</v>
      </c>
      <c r="CH225" s="42">
        <f>CG225*(1+CH226)</f>
        <v>0</v>
      </c>
      <c r="CI225" s="42">
        <f>CH225*(1+CI226)</f>
        <v>0</v>
      </c>
      <c r="CJ225" s="22" t="n"/>
      <c r="CK225" s="42">
        <f>CI225*(1+CK226)</f>
        <v>0</v>
      </c>
      <c r="CL225" s="42">
        <f>CK225*(1+CL226)</f>
        <v>0</v>
      </c>
      <c r="CM225" s="42">
        <f>CL225*(1+CM226)</f>
        <v>0</v>
      </c>
      <c r="CN225" s="42">
        <f>CM225*(1+CN226)</f>
        <v>0</v>
      </c>
      <c r="CO225" s="22" t="n"/>
      <c r="CP225" s="42">
        <f>CN225*(1+CP226)</f>
        <v>0</v>
      </c>
      <c r="CQ225" s="42">
        <f>CP225*(1+CQ226)</f>
        <v>0</v>
      </c>
      <c r="CR225" s="42">
        <f>CQ225*(1+CR226)</f>
        <v>0</v>
      </c>
      <c r="CS225" s="42">
        <f>CR225*(1+CS226)</f>
        <v>0</v>
      </c>
      <c r="CT225" s="22" t="n"/>
      <c r="CU225" s="42">
        <f>CS225*(1+CU226)</f>
        <v>0</v>
      </c>
      <c r="CV225" s="42">
        <f>CU225*(1+CV226)</f>
        <v>0</v>
      </c>
      <c r="CW225" s="42">
        <f>CV225*(1+CW226)</f>
        <v>0</v>
      </c>
      <c r="CX225" s="42">
        <f>CW225*(1+CX226)</f>
        <v>0</v>
      </c>
      <c r="CY225" s="22" t="n"/>
      <c r="CZ225">
        <f>CX225*(1+CZ226)</f>
        <v>0</v>
      </c>
      <c r="DA225">
        <f>CZ225*(1+DA226)</f>
        <v>0</v>
      </c>
      <c r="DB225">
        <f>DA225*(1+DB226)</f>
        <v>0</v>
      </c>
      <c r="DC225">
        <f>DB225*(1+DC226)</f>
        <v>0</v>
      </c>
    </row>
    <row r="226" hidden="1" outlineLevel="1" customFormat="1" s="39">
      <c r="A226" s="19" t="n"/>
      <c r="B226" s="19" t="n"/>
      <c r="C226" s="41" t="inlineStr">
        <is>
          <t>Consensus EPS growth</t>
        </is>
      </c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40">
        <f>$AL$231</f>
        <v>0</v>
      </c>
      <c r="AI226" s="40">
        <f>$AL$231</f>
        <v>0</v>
      </c>
      <c r="AJ226" s="40">
        <f>$AL$231</f>
        <v>0</v>
      </c>
      <c r="AK226" s="40">
        <f>$AL$231</f>
        <v>0</v>
      </c>
      <c r="AL226" s="22" t="n"/>
      <c r="AM226" s="40">
        <f>$AL$231</f>
        <v>0</v>
      </c>
      <c r="AN226" s="40">
        <f>$AL$231</f>
        <v>0</v>
      </c>
      <c r="AO226" s="40">
        <f>$AL$231</f>
        <v>0</v>
      </c>
      <c r="AP226" s="40">
        <f>$AL$231</f>
        <v>0</v>
      </c>
      <c r="AQ226" s="22" t="n"/>
      <c r="AR226" s="40">
        <f>$AL$231</f>
        <v>0</v>
      </c>
      <c r="AS226" s="40">
        <f>$AL$231</f>
        <v>0</v>
      </c>
      <c r="AT226" s="40">
        <f>$AL$231</f>
        <v>0</v>
      </c>
      <c r="AU226" s="40">
        <f>$AL$231</f>
        <v>0</v>
      </c>
      <c r="AV226" s="22" t="n"/>
      <c r="AW226" s="40">
        <f>$AL$231</f>
        <v>0</v>
      </c>
      <c r="AX226" s="40">
        <f>$AL$231</f>
        <v>0</v>
      </c>
      <c r="AY226" s="40">
        <f>$AL$231</f>
        <v>0</v>
      </c>
      <c r="AZ226" s="40">
        <f>$AL$231</f>
        <v>0</v>
      </c>
      <c r="BA226" s="22" t="n"/>
      <c r="BB226" s="40">
        <f>$AL$231</f>
        <v>0</v>
      </c>
      <c r="BC226" s="40">
        <f>$AL$231</f>
        <v>0</v>
      </c>
      <c r="BD226" s="40">
        <f>$AL$231</f>
        <v>0</v>
      </c>
      <c r="BE226" s="40">
        <f>$AL$231</f>
        <v>0</v>
      </c>
      <c r="BF226" s="22" t="n"/>
      <c r="BG226" s="40">
        <f>$AL$231</f>
        <v>0</v>
      </c>
      <c r="BH226" s="40">
        <f>$AL$231</f>
        <v>0</v>
      </c>
      <c r="BI226" s="40">
        <f>$AL$231</f>
        <v>0</v>
      </c>
      <c r="BJ226" s="40">
        <f>$AL$231</f>
        <v>0</v>
      </c>
      <c r="BK226" s="22" t="n"/>
      <c r="BL226" s="40">
        <f>$AL$231</f>
        <v>0</v>
      </c>
      <c r="BM226" s="40">
        <f>$AL$231</f>
        <v>0</v>
      </c>
      <c r="BN226" s="40">
        <f>$AL$231</f>
        <v>0</v>
      </c>
      <c r="BO226" s="40">
        <f>$AL$231</f>
        <v>0</v>
      </c>
      <c r="BP226" s="22" t="n"/>
      <c r="BQ226" s="40">
        <f>$AL$231</f>
        <v>0</v>
      </c>
      <c r="BR226" s="40">
        <f>$AL$231</f>
        <v>0</v>
      </c>
      <c r="BS226" s="40">
        <f>$AL$231</f>
        <v>0</v>
      </c>
      <c r="BT226" s="40">
        <f>$AL$231</f>
        <v>0</v>
      </c>
      <c r="BU226" s="22" t="n"/>
      <c r="BV226" s="40">
        <f>$AL$231</f>
        <v>0</v>
      </c>
      <c r="BW226" s="40">
        <f>$AL$231</f>
        <v>0</v>
      </c>
      <c r="BX226" s="40">
        <f>$AL$231</f>
        <v>0</v>
      </c>
      <c r="BY226" s="40">
        <f>$AL$231</f>
        <v>0</v>
      </c>
      <c r="BZ226" s="22" t="n"/>
      <c r="CA226" s="40">
        <f>$AL$231</f>
        <v>0</v>
      </c>
      <c r="CB226" s="40">
        <f>$AL$231</f>
        <v>0</v>
      </c>
      <c r="CC226" s="40">
        <f>$AL$231</f>
        <v>0</v>
      </c>
      <c r="CD226" s="40">
        <f>$AL$231</f>
        <v>0</v>
      </c>
      <c r="CE226" s="22" t="n"/>
      <c r="CF226" s="40">
        <f>$AL$231</f>
        <v>0</v>
      </c>
      <c r="CG226" s="40">
        <f>$AL$231</f>
        <v>0</v>
      </c>
      <c r="CH226" s="40">
        <f>$AL$231</f>
        <v>0</v>
      </c>
      <c r="CI226" s="40">
        <f>$AL$231</f>
        <v>0</v>
      </c>
      <c r="CJ226" s="22" t="n"/>
      <c r="CK226" s="40">
        <f>$AL$231</f>
        <v>0</v>
      </c>
      <c r="CL226" s="40">
        <f>$AL$231</f>
        <v>0</v>
      </c>
      <c r="CM226" s="40">
        <f>$AL$231</f>
        <v>0</v>
      </c>
      <c r="CN226" s="40">
        <f>$AL$231</f>
        <v>0</v>
      </c>
      <c r="CO226" s="22" t="n"/>
      <c r="CP226" s="40">
        <f>$AL$231</f>
        <v>0</v>
      </c>
      <c r="CQ226" s="40">
        <f>$AL$231</f>
        <v>0</v>
      </c>
      <c r="CR226" s="40">
        <f>$AL$231</f>
        <v>0</v>
      </c>
      <c r="CS226" s="40">
        <f>$AL$231</f>
        <v>0</v>
      </c>
      <c r="CT226" s="22" t="n"/>
      <c r="CU226" s="40">
        <f>$AL$231</f>
        <v>0</v>
      </c>
      <c r="CV226" s="40">
        <f>$AL$231</f>
        <v>0</v>
      </c>
      <c r="CW226" s="40">
        <f>$AL$231</f>
        <v>0</v>
      </c>
      <c r="CX226" s="40">
        <f>$AL$231</f>
        <v>0</v>
      </c>
      <c r="CY226" s="22" t="n"/>
    </row>
    <row r="227" hidden="1" outlineLevel="1" customFormat="1" s="39">
      <c r="A227" s="19" t="n"/>
      <c r="B227" s="19" t="n"/>
      <c r="C227" s="41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3" t="n"/>
      <c r="AI227" s="3" t="n"/>
      <c r="AJ227" s="3" t="n"/>
      <c r="AK227" s="3" t="n"/>
      <c r="AL227" s="22" t="n"/>
      <c r="AM227" s="3" t="n"/>
      <c r="AN227" s="3" t="n"/>
      <c r="AO227" s="3" t="n"/>
      <c r="AP227" s="3" t="n"/>
      <c r="AQ227" s="22" t="n"/>
      <c r="AR227" s="3" t="n"/>
      <c r="AS227" s="3" t="n"/>
      <c r="AT227" s="3" t="n"/>
      <c r="AU227" s="3" t="n"/>
      <c r="AV227" s="22" t="n"/>
      <c r="AW227" s="3" t="n"/>
      <c r="AX227" s="3" t="n"/>
      <c r="AY227" s="3" t="n"/>
      <c r="AZ227" s="3" t="n"/>
      <c r="BA227" s="22" t="n"/>
      <c r="BB227" s="3" t="n"/>
      <c r="BC227" s="3" t="n"/>
      <c r="BD227" s="3" t="n"/>
      <c r="BE227" s="3" t="n"/>
      <c r="BF227" s="22" t="n"/>
      <c r="BG227" s="3" t="n"/>
      <c r="BH227" s="3" t="n"/>
      <c r="BI227" s="3" t="n"/>
      <c r="BJ227" s="3" t="n"/>
      <c r="BK227" s="22" t="n"/>
      <c r="BL227" s="3" t="n"/>
      <c r="BM227" s="3" t="n"/>
      <c r="BN227" s="3" t="n"/>
      <c r="BO227" s="3" t="n"/>
      <c r="BP227" s="22" t="n"/>
      <c r="BQ227" s="3" t="n"/>
      <c r="BR227" s="3" t="n"/>
      <c r="BS227" s="3" t="n"/>
      <c r="BT227" s="3" t="n"/>
      <c r="BU227" s="22" t="n"/>
      <c r="BV227" s="3" t="n"/>
      <c r="BW227" s="3" t="n"/>
      <c r="BX227" s="3" t="n"/>
      <c r="BY227" s="3" t="n"/>
      <c r="BZ227" s="22" t="n"/>
      <c r="CA227" s="3" t="n"/>
      <c r="CB227" s="3" t="n"/>
      <c r="CC227" s="3" t="n"/>
      <c r="CD227" s="3" t="n"/>
      <c r="CE227" s="22" t="n"/>
      <c r="CF227" s="3" t="n"/>
      <c r="CG227" s="3" t="n"/>
      <c r="CH227" s="3" t="n"/>
      <c r="CI227" s="3" t="n"/>
      <c r="CJ227" s="22" t="n"/>
      <c r="CK227" s="3" t="n"/>
      <c r="CL227" s="3" t="n"/>
      <c r="CM227" s="3" t="n"/>
      <c r="CN227" s="3" t="n"/>
      <c r="CO227" s="22" t="n"/>
      <c r="CP227" s="3" t="n"/>
      <c r="CQ227" s="3" t="n"/>
      <c r="CR227" s="3" t="n"/>
      <c r="CS227" s="3" t="n"/>
      <c r="CT227" s="22" t="n"/>
      <c r="CU227" s="3" t="n"/>
      <c r="CV227" s="3" t="n"/>
      <c r="CW227" s="3" t="n"/>
      <c r="CX227" s="3" t="n"/>
      <c r="CY227" s="22" t="n"/>
    </row>
    <row r="228" hidden="1" outlineLevel="1" customFormat="1" s="39">
      <c r="A228" s="19" t="n"/>
      <c r="B228" s="19" t="n"/>
      <c r="C228" s="41" t="inlineStr">
        <is>
          <t>Shares repurchased</t>
        </is>
      </c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43" t="e">
        <f>-AH223/AH225</f>
        <v>#DIV/0!</v>
      </c>
      <c r="AI228" s="43" t="e">
        <f>-AI223/AI225</f>
        <v>#DIV/0!</v>
      </c>
      <c r="AJ228" s="43" t="e">
        <f>-AJ223/AJ225</f>
        <v>#DIV/0!</v>
      </c>
      <c r="AK228" s="43" t="e">
        <f>-AK223/AK225</f>
        <v>#DIV/0!</v>
      </c>
      <c r="AL228" s="22" t="n"/>
      <c r="AM228" s="43" t="e">
        <f>-AM223/AM225</f>
        <v>#DIV/0!</v>
      </c>
      <c r="AN228" s="43" t="e">
        <f>-AN223/AN225</f>
        <v>#DIV/0!</v>
      </c>
      <c r="AO228" s="43" t="e">
        <f>-AO223/AO225</f>
        <v>#DIV/0!</v>
      </c>
      <c r="AP228" s="43" t="e">
        <f>-AP223/AP225</f>
        <v>#DIV/0!</v>
      </c>
      <c r="AQ228" s="22" t="n"/>
      <c r="AR228" s="43" t="e">
        <f>-AR223/AR225</f>
        <v>#DIV/0!</v>
      </c>
      <c r="AS228" s="43" t="e">
        <f>-AS223/AS225</f>
        <v>#DIV/0!</v>
      </c>
      <c r="AT228" s="43" t="e">
        <f>-AT223/AT225</f>
        <v>#DIV/0!</v>
      </c>
      <c r="AU228" s="43" t="e">
        <f>-AU223/AU225</f>
        <v>#DIV/0!</v>
      </c>
      <c r="AV228" s="22" t="n"/>
      <c r="AW228" s="43" t="e">
        <f>-AW223/AW225</f>
        <v>#DIV/0!</v>
      </c>
      <c r="AX228" s="43" t="e">
        <f>-AX223/AX225</f>
        <v>#DIV/0!</v>
      </c>
      <c r="AY228" s="43" t="e">
        <f>-AY223/AY225</f>
        <v>#DIV/0!</v>
      </c>
      <c r="AZ228" s="43" t="e">
        <f>-AZ223/AZ225</f>
        <v>#DIV/0!</v>
      </c>
      <c r="BA228" s="22" t="n"/>
      <c r="BB228" s="43" t="e">
        <f>-BB223/BB225</f>
        <v>#DIV/0!</v>
      </c>
      <c r="BC228" s="43" t="e">
        <f>-BC223/BC225</f>
        <v>#DIV/0!</v>
      </c>
      <c r="BD228" s="43" t="e">
        <f>-BD223/BD225</f>
        <v>#DIV/0!</v>
      </c>
      <c r="BE228" s="43" t="e">
        <f>-BE223/BE225</f>
        <v>#DIV/0!</v>
      </c>
      <c r="BF228" s="22" t="n"/>
      <c r="BG228" s="43" t="e">
        <f>-BG223/BG225</f>
        <v>#DIV/0!</v>
      </c>
      <c r="BH228" s="43" t="e">
        <f>-BH223/BH225</f>
        <v>#DIV/0!</v>
      </c>
      <c r="BI228" s="43" t="e">
        <f>-BI223/BI225</f>
        <v>#DIV/0!</v>
      </c>
      <c r="BJ228" s="43" t="e">
        <f>-BJ223/BJ225</f>
        <v>#DIV/0!</v>
      </c>
      <c r="BK228" s="22" t="n"/>
      <c r="BL228" s="43" t="e">
        <f>-BL223/BL225</f>
        <v>#DIV/0!</v>
      </c>
      <c r="BM228" s="43" t="e">
        <f>-BM223/BM225</f>
        <v>#DIV/0!</v>
      </c>
      <c r="BN228" s="43" t="e">
        <f>-BN223/BN225</f>
        <v>#DIV/0!</v>
      </c>
      <c r="BO228" s="43" t="e">
        <f>-BO223/BO225</f>
        <v>#DIV/0!</v>
      </c>
      <c r="BP228" s="22" t="n"/>
      <c r="BQ228" s="43" t="e">
        <f>-BQ223/BQ225</f>
        <v>#DIV/0!</v>
      </c>
      <c r="BR228" s="43" t="e">
        <f>-BR223/BR225</f>
        <v>#DIV/0!</v>
      </c>
      <c r="BS228" s="43" t="e">
        <f>-BS223/BS225</f>
        <v>#DIV/0!</v>
      </c>
      <c r="BT228" s="43" t="e">
        <f>-BT223/BT225</f>
        <v>#DIV/0!</v>
      </c>
      <c r="BU228" s="22" t="n"/>
      <c r="BV228" s="43" t="e">
        <f>-BV223/BV225</f>
        <v>#DIV/0!</v>
      </c>
      <c r="BW228" s="43" t="e">
        <f>-BW223/BW225</f>
        <v>#DIV/0!</v>
      </c>
      <c r="BX228" s="43" t="e">
        <f>-BX223/BX225</f>
        <v>#DIV/0!</v>
      </c>
      <c r="BY228" s="43" t="e">
        <f>-BY223/BY225</f>
        <v>#DIV/0!</v>
      </c>
      <c r="BZ228" s="22" t="n"/>
      <c r="CA228" s="43" t="e">
        <f>-CA223/CA225</f>
        <v>#DIV/0!</v>
      </c>
      <c r="CB228" s="43" t="e">
        <f>-CB223/CB225</f>
        <v>#DIV/0!</v>
      </c>
      <c r="CC228" s="43" t="e">
        <f>-CC223/CC225</f>
        <v>#DIV/0!</v>
      </c>
      <c r="CD228" s="43" t="e">
        <f>-CD223/CD225</f>
        <v>#DIV/0!</v>
      </c>
      <c r="CE228" s="22" t="n"/>
      <c r="CF228" s="43" t="e">
        <f>-CF223/CF225</f>
        <v>#DIV/0!</v>
      </c>
      <c r="CG228" s="43" t="e">
        <f>-CG223/CG225</f>
        <v>#DIV/0!</v>
      </c>
      <c r="CH228" s="43" t="e">
        <f>-CH223/CH225</f>
        <v>#DIV/0!</v>
      </c>
      <c r="CI228" s="43" t="e">
        <f>-CI223/CI225</f>
        <v>#DIV/0!</v>
      </c>
      <c r="CJ228" s="22" t="n"/>
      <c r="CK228" s="43" t="e">
        <f>-CK223/CK225</f>
        <v>#DIV/0!</v>
      </c>
      <c r="CL228" s="43" t="e">
        <f>-CL223/CL225</f>
        <v>#DIV/0!</v>
      </c>
      <c r="CM228" s="43" t="e">
        <f>-CM223/CM225</f>
        <v>#DIV/0!</v>
      </c>
      <c r="CN228" s="43" t="e">
        <f>-CN223/CN225</f>
        <v>#DIV/0!</v>
      </c>
      <c r="CO228" s="22" t="n"/>
      <c r="CP228" s="43" t="e">
        <f>-CP223/CP225</f>
        <v>#DIV/0!</v>
      </c>
      <c r="CQ228" s="43" t="e">
        <f>-CQ223/CQ225</f>
        <v>#DIV/0!</v>
      </c>
      <c r="CR228" s="43" t="e">
        <f>-CR223/CR225</f>
        <v>#DIV/0!</v>
      </c>
      <c r="CS228" s="43" t="e">
        <f>-CS223/CS225</f>
        <v>#DIV/0!</v>
      </c>
      <c r="CT228" s="22" t="n"/>
      <c r="CU228" s="43" t="e">
        <f>-CU223/CU225</f>
        <v>#DIV/0!</v>
      </c>
      <c r="CV228" s="43" t="e">
        <f>-CV223/CV225</f>
        <v>#DIV/0!</v>
      </c>
      <c r="CW228" s="43" t="e">
        <f>-CW223/CW225</f>
        <v>#DIV/0!</v>
      </c>
      <c r="CX228" s="43" t="e">
        <f>-CX223/CX225</f>
        <v>#DIV/0!</v>
      </c>
      <c r="CY228" s="22" t="n"/>
    </row>
    <row r="229" hidden="1" outlineLevel="1" customFormat="1" s="39">
      <c r="A229" s="19" t="n"/>
      <c r="B229" s="19" t="n"/>
      <c r="C229" s="41" t="inlineStr">
        <is>
          <t>Shares issued</t>
        </is>
      </c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46" t="n"/>
      <c r="AG229" s="22" t="n"/>
      <c r="AH229" s="43" t="e">
        <f>AH224/AH225</f>
        <v>#DIV/0!</v>
      </c>
      <c r="AI229" s="43" t="e">
        <f>AI224/AI225</f>
        <v>#DIV/0!</v>
      </c>
      <c r="AJ229" s="43" t="e">
        <f>AJ224/AJ225</f>
        <v>#DIV/0!</v>
      </c>
      <c r="AK229" s="43" t="e">
        <f>AK224/AK225</f>
        <v>#DIV/0!</v>
      </c>
      <c r="AL229" s="22" t="n"/>
      <c r="AM229" s="43" t="e">
        <f>AM224/AM225</f>
        <v>#DIV/0!</v>
      </c>
      <c r="AN229" s="43" t="e">
        <f>AN224/AN225</f>
        <v>#DIV/0!</v>
      </c>
      <c r="AO229" s="43" t="e">
        <f>AO224/AO225</f>
        <v>#DIV/0!</v>
      </c>
      <c r="AP229" s="43" t="e">
        <f>AP224/AP225</f>
        <v>#DIV/0!</v>
      </c>
      <c r="AQ229" s="22" t="n"/>
      <c r="AR229" s="43" t="e">
        <f>AR224/AR225</f>
        <v>#DIV/0!</v>
      </c>
      <c r="AS229" s="43" t="e">
        <f>AS224/AS225</f>
        <v>#DIV/0!</v>
      </c>
      <c r="AT229" s="43" t="e">
        <f>AT224/AT225</f>
        <v>#DIV/0!</v>
      </c>
      <c r="AU229" s="43" t="e">
        <f>AU224/AU225</f>
        <v>#DIV/0!</v>
      </c>
      <c r="AV229" s="22" t="n"/>
      <c r="AW229" s="43" t="e">
        <f>AW224/AW225</f>
        <v>#DIV/0!</v>
      </c>
      <c r="AX229" s="43" t="e">
        <f>AX224/AX225</f>
        <v>#DIV/0!</v>
      </c>
      <c r="AY229" s="43" t="e">
        <f>AY224/AY225</f>
        <v>#DIV/0!</v>
      </c>
      <c r="AZ229" s="43" t="e">
        <f>AZ224/AZ225</f>
        <v>#DIV/0!</v>
      </c>
      <c r="BA229" s="22" t="n"/>
      <c r="BB229" s="43" t="e">
        <f>BB224/BB225</f>
        <v>#DIV/0!</v>
      </c>
      <c r="BC229" s="43" t="e">
        <f>BC224/BC225</f>
        <v>#DIV/0!</v>
      </c>
      <c r="BD229" s="43" t="e">
        <f>BD224/BD225</f>
        <v>#DIV/0!</v>
      </c>
      <c r="BE229" s="43" t="e">
        <f>BE224/BE225</f>
        <v>#DIV/0!</v>
      </c>
      <c r="BF229" s="22" t="n"/>
      <c r="BG229" s="43" t="e">
        <f>BG224/BG225</f>
        <v>#DIV/0!</v>
      </c>
      <c r="BH229" s="43" t="e">
        <f>BH224/BH225</f>
        <v>#DIV/0!</v>
      </c>
      <c r="BI229" s="43" t="e">
        <f>BI224/BI225</f>
        <v>#DIV/0!</v>
      </c>
      <c r="BJ229" s="43" t="e">
        <f>BJ224/BJ225</f>
        <v>#DIV/0!</v>
      </c>
      <c r="BK229" s="22" t="n"/>
      <c r="BL229" s="43" t="e">
        <f>BL224/BL225</f>
        <v>#DIV/0!</v>
      </c>
      <c r="BM229" s="43" t="e">
        <f>BM224/BM225</f>
        <v>#DIV/0!</v>
      </c>
      <c r="BN229" s="43" t="e">
        <f>BN224/BN225</f>
        <v>#DIV/0!</v>
      </c>
      <c r="BO229" s="43" t="e">
        <f>BO224/BO225</f>
        <v>#DIV/0!</v>
      </c>
      <c r="BP229" s="22" t="n"/>
      <c r="BQ229" s="43" t="e">
        <f>BQ224/BQ225</f>
        <v>#DIV/0!</v>
      </c>
      <c r="BR229" s="43" t="e">
        <f>BR224/BR225</f>
        <v>#DIV/0!</v>
      </c>
      <c r="BS229" s="43" t="e">
        <f>BS224/BS225</f>
        <v>#DIV/0!</v>
      </c>
      <c r="BT229" s="43" t="e">
        <f>BT224/BT225</f>
        <v>#DIV/0!</v>
      </c>
      <c r="BU229" s="22" t="n"/>
      <c r="BV229" s="43" t="e">
        <f>BV224/BV225</f>
        <v>#DIV/0!</v>
      </c>
      <c r="BW229" s="43" t="e">
        <f>BW224/BW225</f>
        <v>#DIV/0!</v>
      </c>
      <c r="BX229" s="43" t="e">
        <f>BX224/BX225</f>
        <v>#DIV/0!</v>
      </c>
      <c r="BY229" s="43" t="e">
        <f>BY224/BY225</f>
        <v>#DIV/0!</v>
      </c>
      <c r="BZ229" s="22" t="n"/>
      <c r="CA229" s="43" t="e">
        <f>CA224/CA225</f>
        <v>#DIV/0!</v>
      </c>
      <c r="CB229" s="43" t="e">
        <f>CB224/CB225</f>
        <v>#DIV/0!</v>
      </c>
      <c r="CC229" s="43" t="e">
        <f>CC224/CC225</f>
        <v>#DIV/0!</v>
      </c>
      <c r="CD229" s="43" t="e">
        <f>CD224/CD225</f>
        <v>#DIV/0!</v>
      </c>
      <c r="CE229" s="22" t="n"/>
      <c r="CF229" s="43" t="e">
        <f>CF224/CF225</f>
        <v>#DIV/0!</v>
      </c>
      <c r="CG229" s="43" t="e">
        <f>CG224/CG225</f>
        <v>#DIV/0!</v>
      </c>
      <c r="CH229" s="43" t="e">
        <f>CH224/CH225</f>
        <v>#DIV/0!</v>
      </c>
      <c r="CI229" s="43" t="e">
        <f>CI224/CI225</f>
        <v>#DIV/0!</v>
      </c>
      <c r="CJ229" s="22" t="n"/>
      <c r="CK229" s="43" t="e">
        <f>CK224/CK225</f>
        <v>#DIV/0!</v>
      </c>
      <c r="CL229" s="43" t="e">
        <f>CL224/CL225</f>
        <v>#DIV/0!</v>
      </c>
      <c r="CM229" s="43" t="e">
        <f>CM224/CM225</f>
        <v>#DIV/0!</v>
      </c>
      <c r="CN229" s="43" t="e">
        <f>CN224/CN225</f>
        <v>#DIV/0!</v>
      </c>
      <c r="CO229" s="22" t="n"/>
      <c r="CP229" s="43" t="e">
        <f>CP224/CP225</f>
        <v>#DIV/0!</v>
      </c>
      <c r="CQ229" s="43" t="e">
        <f>CQ224/CQ225</f>
        <v>#DIV/0!</v>
      </c>
      <c r="CR229" s="43" t="e">
        <f>CR224/CR225</f>
        <v>#DIV/0!</v>
      </c>
      <c r="CS229" s="43" t="e">
        <f>CS224/CS225</f>
        <v>#DIV/0!</v>
      </c>
      <c r="CT229" s="22" t="n"/>
      <c r="CU229" s="43" t="e">
        <f>CU224/CU225</f>
        <v>#DIV/0!</v>
      </c>
      <c r="CV229" s="43" t="e">
        <f>CV224/CV225</f>
        <v>#DIV/0!</v>
      </c>
      <c r="CW229" s="43" t="e">
        <f>CW224/CW225</f>
        <v>#DIV/0!</v>
      </c>
      <c r="CX229" s="43" t="e">
        <f>CX224/CX225</f>
        <v>#DIV/0!</v>
      </c>
      <c r="CY229" s="22" t="n"/>
    </row>
    <row r="230" hidden="1" outlineLevel="1" customFormat="1" s="39">
      <c r="A230" s="19" t="n"/>
      <c r="B230" s="19" t="n"/>
      <c r="C230" s="41" t="inlineStr">
        <is>
          <t>End of period basic shares outstanding</t>
        </is>
      </c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58" t="n"/>
      <c r="AH230" s="1" t="e">
        <f>AG230+AH229-AH228</f>
        <v>#DIV/0!</v>
      </c>
      <c r="AI230" s="1" t="e">
        <f>AH230+AI229-AI228</f>
        <v>#DIV/0!</v>
      </c>
      <c r="AJ230" s="43" t="e">
        <f>AI230+AJ229-AJ228</f>
        <v>#DIV/0!</v>
      </c>
      <c r="AK230" s="43" t="e">
        <f>AJ230+AK229-AK228</f>
        <v>#DIV/0!</v>
      </c>
      <c r="AL230" s="22" t="n"/>
      <c r="AM230" s="1" t="e">
        <f>AK230+AM229-AM228</f>
        <v>#DIV/0!</v>
      </c>
      <c r="AN230" s="1" t="e">
        <f>AM230+AN229-AN228</f>
        <v>#DIV/0!</v>
      </c>
      <c r="AO230" s="43" t="e">
        <f>AN230+AO229-AO228</f>
        <v>#DIV/0!</v>
      </c>
      <c r="AP230" s="43" t="e">
        <f>AO230+AP229-AP228</f>
        <v>#DIV/0!</v>
      </c>
      <c r="AQ230" s="22" t="n"/>
      <c r="AR230" s="1" t="e">
        <f>AP230+AR229-AR228</f>
        <v>#DIV/0!</v>
      </c>
      <c r="AS230" s="1" t="e">
        <f>AR230+AS229-AS228</f>
        <v>#DIV/0!</v>
      </c>
      <c r="AT230" s="43" t="e">
        <f>AS230+AT229-AT228</f>
        <v>#DIV/0!</v>
      </c>
      <c r="AU230" s="43" t="e">
        <f>AT230+AU229-AU228</f>
        <v>#DIV/0!</v>
      </c>
      <c r="AV230" s="22" t="n"/>
      <c r="AW230" s="1" t="e">
        <f>AU230+AW229-AW228</f>
        <v>#DIV/0!</v>
      </c>
      <c r="AX230" s="1" t="e">
        <f>AW230+AX229-AX228</f>
        <v>#DIV/0!</v>
      </c>
      <c r="AY230" s="43" t="e">
        <f>AX230+AY229-AY228</f>
        <v>#DIV/0!</v>
      </c>
      <c r="AZ230" s="43" t="e">
        <f>AY230+AZ229-AZ228</f>
        <v>#DIV/0!</v>
      </c>
      <c r="BA230" s="22" t="n"/>
      <c r="BB230" s="1" t="e">
        <f>AZ230+BB229-BB228</f>
        <v>#DIV/0!</v>
      </c>
      <c r="BC230" s="1" t="e">
        <f>BB230+BC229-BC228</f>
        <v>#DIV/0!</v>
      </c>
      <c r="BD230" s="43" t="e">
        <f>BC230+BD229-BD228</f>
        <v>#DIV/0!</v>
      </c>
      <c r="BE230" s="43" t="e">
        <f>BD230+BE229-BE228</f>
        <v>#DIV/0!</v>
      </c>
      <c r="BF230" s="22" t="n"/>
      <c r="BG230" s="1" t="e">
        <f>BE230+BG229-BG228</f>
        <v>#DIV/0!</v>
      </c>
      <c r="BH230" s="1" t="e">
        <f>BG230+BH229-BH228</f>
        <v>#DIV/0!</v>
      </c>
      <c r="BI230" s="43" t="e">
        <f>BH230+BI229-BI228</f>
        <v>#DIV/0!</v>
      </c>
      <c r="BJ230" s="43" t="e">
        <f>BI230+BJ229-BJ228</f>
        <v>#DIV/0!</v>
      </c>
      <c r="BK230" s="22" t="n"/>
      <c r="BL230" s="1" t="e">
        <f>BJ230+BL229-BL228</f>
        <v>#DIV/0!</v>
      </c>
      <c r="BM230" s="1" t="e">
        <f>BL230+BM229-BM228</f>
        <v>#DIV/0!</v>
      </c>
      <c r="BN230" s="43" t="e">
        <f>BM230+BN229-BN228</f>
        <v>#DIV/0!</v>
      </c>
      <c r="BO230" s="43" t="e">
        <f>BN230+BO229-BO228</f>
        <v>#DIV/0!</v>
      </c>
      <c r="BP230" s="22" t="n"/>
      <c r="BQ230" s="1" t="e">
        <f>BO230+BQ229-BQ228</f>
        <v>#DIV/0!</v>
      </c>
      <c r="BR230" s="1" t="e">
        <f>BQ230+BR229-BR228</f>
        <v>#DIV/0!</v>
      </c>
      <c r="BS230" s="43" t="e">
        <f>BR230+BS229-BS228</f>
        <v>#DIV/0!</v>
      </c>
      <c r="BT230" s="43" t="e">
        <f>BS230+BT229-BT228</f>
        <v>#DIV/0!</v>
      </c>
      <c r="BU230" s="22" t="n"/>
      <c r="BV230" s="1" t="e">
        <f>BT230+BV229-BV228</f>
        <v>#DIV/0!</v>
      </c>
      <c r="BW230" s="1" t="e">
        <f>BV230+BW229-BW228</f>
        <v>#DIV/0!</v>
      </c>
      <c r="BX230" s="43" t="e">
        <f>BW230+BX229-BX228</f>
        <v>#DIV/0!</v>
      </c>
      <c r="BY230" s="43" t="e">
        <f>BX230+BY229-BY228</f>
        <v>#DIV/0!</v>
      </c>
      <c r="BZ230" s="22" t="n"/>
      <c r="CA230" s="1" t="e">
        <f>BY230+CA229-CA228</f>
        <v>#DIV/0!</v>
      </c>
      <c r="CB230" s="1" t="e">
        <f>CA230+CB229-CB228</f>
        <v>#DIV/0!</v>
      </c>
      <c r="CC230" s="43" t="e">
        <f>CB230+CC229-CC228</f>
        <v>#DIV/0!</v>
      </c>
      <c r="CD230" s="43" t="e">
        <f>CC230+CD229-CD228</f>
        <v>#DIV/0!</v>
      </c>
      <c r="CE230" s="22" t="n"/>
      <c r="CF230" s="1" t="e">
        <f>CD230+CF229-CF228</f>
        <v>#DIV/0!</v>
      </c>
      <c r="CG230" s="1" t="e">
        <f>CF230+CG229-CG228</f>
        <v>#DIV/0!</v>
      </c>
      <c r="CH230" s="43" t="e">
        <f>CG230+CH229-CH228</f>
        <v>#DIV/0!</v>
      </c>
      <c r="CI230" s="43" t="e">
        <f>CH230+CI229-CI228</f>
        <v>#DIV/0!</v>
      </c>
      <c r="CJ230" s="22" t="n"/>
      <c r="CK230" s="1" t="e">
        <f>CI230+CK229-CK228</f>
        <v>#DIV/0!</v>
      </c>
      <c r="CL230" s="1" t="e">
        <f>CK230+CL229-CL228</f>
        <v>#DIV/0!</v>
      </c>
      <c r="CM230" s="43" t="e">
        <f>CL230+CM229-CM228</f>
        <v>#DIV/0!</v>
      </c>
      <c r="CN230" s="43" t="e">
        <f>CM230+CN229-CN228</f>
        <v>#DIV/0!</v>
      </c>
      <c r="CO230" s="22" t="n"/>
      <c r="CP230" s="1" t="e">
        <f>CN230+CP229-CP228</f>
        <v>#DIV/0!</v>
      </c>
      <c r="CQ230" s="1" t="e">
        <f>CP230+CQ229-CQ228</f>
        <v>#DIV/0!</v>
      </c>
      <c r="CR230" s="43" t="e">
        <f>CQ230+CR229-CR228</f>
        <v>#DIV/0!</v>
      </c>
      <c r="CS230" s="43" t="e">
        <f>CR230+CS229-CS228</f>
        <v>#DIV/0!</v>
      </c>
      <c r="CT230" s="22" t="n"/>
      <c r="CU230" s="1" t="e">
        <f>CS230+CU229-CU228</f>
        <v>#DIV/0!</v>
      </c>
      <c r="CV230" s="1" t="e">
        <f>CU230+CV229-CV228</f>
        <v>#DIV/0!</v>
      </c>
      <c r="CW230" s="43" t="e">
        <f>CV230+CW229-CW228</f>
        <v>#DIV/0!</v>
      </c>
      <c r="CX230" s="43" t="e">
        <f>CW230+CX229-CX228</f>
        <v>#DIV/0!</v>
      </c>
      <c r="CY230" s="22" t="n"/>
      <c r="CZ230" t="e">
        <f>CX230+CZ229-CZ228</f>
        <v>#DIV/0!</v>
      </c>
      <c r="DA230" t="e">
        <f>CZ230+DA229-DA228</f>
        <v>#DIV/0!</v>
      </c>
      <c r="DB230" t="e">
        <f>DA230+DB229-DB228</f>
        <v>#DIV/0!</v>
      </c>
      <c r="DC230" t="e">
        <f>DB230+DC229-DC228</f>
        <v>#DIV/0!</v>
      </c>
    </row>
    <row r="231" hidden="1" outlineLevel="1" customFormat="1" s="39">
      <c r="A231" s="19" t="n"/>
      <c r="B231" s="19" t="n"/>
      <c r="C231" s="41" t="inlineStr">
        <is>
          <t>Weighted average basic shares outstanding</t>
        </is>
      </c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43" t="e">
        <f>AVERAGE(AG230,AH230)</f>
        <v>#DIV/0!</v>
      </c>
      <c r="AI231" s="43" t="e">
        <f>AVERAGE(AH230,AI230)</f>
        <v>#DIV/0!</v>
      </c>
      <c r="AJ231" s="43" t="e">
        <f>AVERAGE(AI230,AJ230)</f>
        <v>#DIV/0!</v>
      </c>
      <c r="AK231" s="43" t="e">
        <f>AVERAGE(AJ230,AK230)</f>
        <v>#DIV/0!</v>
      </c>
      <c r="AL231" s="22" t="n"/>
      <c r="AM231" s="43" t="e">
        <f>AVERAGE(AK230,AM230)</f>
        <v>#DIV/0!</v>
      </c>
      <c r="AN231" s="43" t="e">
        <f>AVERAGE(AM230,AN230)</f>
        <v>#DIV/0!</v>
      </c>
      <c r="AO231" s="43" t="e">
        <f>AVERAGE(AN230,AO230)</f>
        <v>#DIV/0!</v>
      </c>
      <c r="AP231" s="43" t="e">
        <f>AVERAGE(AO230,AP230)</f>
        <v>#DIV/0!</v>
      </c>
      <c r="AQ231" s="22" t="n"/>
      <c r="AR231" s="43" t="e">
        <f>AVERAGE(AP230,AR230)</f>
        <v>#DIV/0!</v>
      </c>
      <c r="AS231" s="43" t="e">
        <f>AVERAGE(AR230,AS230)</f>
        <v>#DIV/0!</v>
      </c>
      <c r="AT231" s="43" t="e">
        <f>AVERAGE(AS230,AT230)</f>
        <v>#DIV/0!</v>
      </c>
      <c r="AU231" s="43" t="e">
        <f>AVERAGE(AT230,AU230)</f>
        <v>#DIV/0!</v>
      </c>
      <c r="AV231" s="22" t="n"/>
      <c r="AW231" s="43" t="e">
        <f>AVERAGE(AU230,AW230)</f>
        <v>#DIV/0!</v>
      </c>
      <c r="AX231" s="43" t="e">
        <f>AVERAGE(AW230,AX230)</f>
        <v>#DIV/0!</v>
      </c>
      <c r="AY231" s="43" t="e">
        <f>AVERAGE(AX230,AY230)</f>
        <v>#DIV/0!</v>
      </c>
      <c r="AZ231" s="43" t="e">
        <f>AVERAGE(AY230,AZ230)</f>
        <v>#DIV/0!</v>
      </c>
      <c r="BA231" s="22" t="n"/>
      <c r="BB231" s="43" t="e">
        <f>AVERAGE(AZ230,BB230)</f>
        <v>#DIV/0!</v>
      </c>
      <c r="BC231" s="43" t="e">
        <f>AVERAGE(BB230,BC230)</f>
        <v>#DIV/0!</v>
      </c>
      <c r="BD231" s="43" t="e">
        <f>AVERAGE(BC230,BD230)</f>
        <v>#DIV/0!</v>
      </c>
      <c r="BE231" s="43" t="e">
        <f>AVERAGE(BD230,BE230)</f>
        <v>#DIV/0!</v>
      </c>
      <c r="BF231" s="22" t="n"/>
      <c r="BG231" s="43" t="e">
        <f>AVERAGE(BE230,BG230)</f>
        <v>#DIV/0!</v>
      </c>
      <c r="BH231" s="43" t="e">
        <f>AVERAGE(BG230,BH230)</f>
        <v>#DIV/0!</v>
      </c>
      <c r="BI231" s="43" t="e">
        <f>AVERAGE(BH230,BI230)</f>
        <v>#DIV/0!</v>
      </c>
      <c r="BJ231" s="43" t="e">
        <f>AVERAGE(BI230,BJ230)</f>
        <v>#DIV/0!</v>
      </c>
      <c r="BK231" s="22" t="n"/>
      <c r="BL231" s="43" t="e">
        <f>AVERAGE(BJ230,BL230)</f>
        <v>#DIV/0!</v>
      </c>
      <c r="BM231" s="43" t="e">
        <f>AVERAGE(BL230,BM230)</f>
        <v>#DIV/0!</v>
      </c>
      <c r="BN231" s="43" t="e">
        <f>AVERAGE(BM230,BN230)</f>
        <v>#DIV/0!</v>
      </c>
      <c r="BO231" s="43" t="e">
        <f>AVERAGE(BN230,BO230)</f>
        <v>#DIV/0!</v>
      </c>
      <c r="BP231" s="22" t="n"/>
      <c r="BQ231" s="43" t="e">
        <f>AVERAGE(BO230,BQ230)</f>
        <v>#DIV/0!</v>
      </c>
      <c r="BR231" s="43" t="e">
        <f>AVERAGE(BQ230,BR230)</f>
        <v>#DIV/0!</v>
      </c>
      <c r="BS231" s="43" t="e">
        <f>AVERAGE(BR230,BS230)</f>
        <v>#DIV/0!</v>
      </c>
      <c r="BT231" s="43" t="e">
        <f>AVERAGE(BS230,BT230)</f>
        <v>#DIV/0!</v>
      </c>
      <c r="BU231" s="22" t="n"/>
      <c r="BV231" s="43" t="e">
        <f>AVERAGE(BT230,BV230)</f>
        <v>#DIV/0!</v>
      </c>
      <c r="BW231" s="43" t="e">
        <f>AVERAGE(BV230,BW230)</f>
        <v>#DIV/0!</v>
      </c>
      <c r="BX231" s="43" t="e">
        <f>AVERAGE(BW230,BX230)</f>
        <v>#DIV/0!</v>
      </c>
      <c r="BY231" s="43" t="e">
        <f>AVERAGE(BX230,BY230)</f>
        <v>#DIV/0!</v>
      </c>
      <c r="BZ231" s="22" t="n"/>
      <c r="CA231" s="43" t="e">
        <f>AVERAGE(BY230,CA230)</f>
        <v>#DIV/0!</v>
      </c>
      <c r="CB231" s="43" t="e">
        <f>AVERAGE(CA230,CB230)</f>
        <v>#DIV/0!</v>
      </c>
      <c r="CC231" s="43" t="e">
        <f>AVERAGE(CB230,CC230)</f>
        <v>#DIV/0!</v>
      </c>
      <c r="CD231" s="43" t="e">
        <f>AVERAGE(CC230,CD230)</f>
        <v>#DIV/0!</v>
      </c>
      <c r="CE231" s="22" t="n"/>
      <c r="CF231" s="43" t="e">
        <f>AVERAGE(CD230,CF230)</f>
        <v>#DIV/0!</v>
      </c>
      <c r="CG231" s="43" t="e">
        <f>AVERAGE(CF230,CG230)</f>
        <v>#DIV/0!</v>
      </c>
      <c r="CH231" s="43" t="e">
        <f>AVERAGE(CG230,CH230)</f>
        <v>#DIV/0!</v>
      </c>
      <c r="CI231" s="43" t="e">
        <f>AVERAGE(CH230,CI230)</f>
        <v>#DIV/0!</v>
      </c>
      <c r="CJ231" s="22" t="n"/>
      <c r="CK231" s="43" t="e">
        <f>AVERAGE(CI230,CK230)</f>
        <v>#DIV/0!</v>
      </c>
      <c r="CL231" s="43" t="e">
        <f>AVERAGE(CK230,CL230)</f>
        <v>#DIV/0!</v>
      </c>
      <c r="CM231" s="43" t="e">
        <f>AVERAGE(CL230,CM230)</f>
        <v>#DIV/0!</v>
      </c>
      <c r="CN231" s="43" t="e">
        <f>AVERAGE(CM230,CN230)</f>
        <v>#DIV/0!</v>
      </c>
      <c r="CO231" s="22" t="n"/>
      <c r="CP231" s="43" t="e">
        <f>AVERAGE(CN230,CP230)</f>
        <v>#DIV/0!</v>
      </c>
      <c r="CQ231" s="43" t="e">
        <f>AVERAGE(CP230,CQ230)</f>
        <v>#DIV/0!</v>
      </c>
      <c r="CR231" s="43" t="e">
        <f>AVERAGE(CQ230,CR230)</f>
        <v>#DIV/0!</v>
      </c>
      <c r="CS231" s="43" t="e">
        <f>AVERAGE(CR230,CS230)</f>
        <v>#DIV/0!</v>
      </c>
      <c r="CT231" s="22" t="n"/>
      <c r="CU231" s="43" t="e">
        <f>AVERAGE(CS230,CU230)</f>
        <v>#DIV/0!</v>
      </c>
      <c r="CV231" s="43" t="e">
        <f>AVERAGE(CU230,CV230)</f>
        <v>#DIV/0!</v>
      </c>
      <c r="CW231" s="43" t="e">
        <f>AVERAGE(CV230,CW230)</f>
        <v>#DIV/0!</v>
      </c>
      <c r="CX231" s="43" t="e">
        <f>AVERAGE(CW230,CX230)</f>
        <v>#DIV/0!</v>
      </c>
      <c r="CY231" s="22" t="n"/>
      <c r="CZ231" t="e">
        <f>AVERAGE(CX230,CZ230)</f>
        <v>#DIV/0!</v>
      </c>
      <c r="DA231" t="e">
        <f>AVERAGE(CZ230,DA230)</f>
        <v>#DIV/0!</v>
      </c>
      <c r="DB231" t="e">
        <f>AVERAGE(DA230,DB230)</f>
        <v>#DIV/0!</v>
      </c>
      <c r="DC231" t="e">
        <f>AVERAGE(DB230,DC230)</f>
        <v>#DIV/0!</v>
      </c>
    </row>
    <row r="232" hidden="1" outlineLevel="1" customFormat="1" s="39">
      <c r="A232" s="19" t="n"/>
      <c r="B232" s="19" t="n"/>
      <c r="C232" s="41" t="n"/>
      <c r="D232" s="22" t="n"/>
      <c r="E232" s="22" t="n"/>
      <c r="F232" s="22" t="n"/>
      <c r="G232" s="22" t="n"/>
      <c r="H232" s="3" t="n"/>
      <c r="I232" s="22" t="n"/>
      <c r="J232" s="22" t="n"/>
      <c r="K232" s="22" t="n"/>
      <c r="L232" s="22" t="n"/>
      <c r="M232" s="3" t="n"/>
      <c r="N232" s="22" t="n"/>
      <c r="O232" s="22" t="n"/>
      <c r="P232" s="22" t="n"/>
      <c r="Q232" s="22" t="n"/>
      <c r="R232" s="3" t="n"/>
      <c r="S232" s="22" t="n"/>
      <c r="T232" s="22" t="n"/>
      <c r="U232" s="22" t="n"/>
      <c r="V232" s="22" t="n"/>
      <c r="W232" s="3" t="n"/>
      <c r="X232" s="22" t="n"/>
      <c r="Y232" s="22" t="n"/>
      <c r="Z232" s="22" t="n"/>
      <c r="AA232" s="22" t="n"/>
      <c r="AB232" s="3" t="n"/>
      <c r="AC232" s="22" t="n"/>
      <c r="AD232" s="22" t="n"/>
      <c r="AE232" s="22" t="n"/>
      <c r="AF232" s="22" t="n"/>
      <c r="AG232" s="3" t="n"/>
      <c r="AH232" s="22" t="n"/>
      <c r="AI232" s="22" t="n"/>
      <c r="AJ232" s="22" t="n"/>
      <c r="AK232" s="22" t="n"/>
      <c r="AL232" s="3" t="n"/>
      <c r="AM232" s="22" t="n"/>
      <c r="AN232" s="22" t="n"/>
      <c r="AO232" s="22" t="n"/>
      <c r="AP232" s="22" t="n"/>
      <c r="AQ232" s="3" t="n"/>
      <c r="AR232" s="22" t="n"/>
      <c r="AS232" s="22" t="n"/>
      <c r="AT232" s="22" t="n"/>
      <c r="AU232" s="22" t="n"/>
      <c r="AV232" s="3" t="n"/>
      <c r="AW232" s="22" t="n"/>
      <c r="AX232" s="22" t="n"/>
      <c r="AY232" s="22" t="n"/>
      <c r="AZ232" s="22" t="n"/>
      <c r="BA232" s="3" t="n"/>
      <c r="BB232" s="22" t="n"/>
      <c r="BC232" s="22" t="n"/>
      <c r="BD232" s="22" t="n"/>
      <c r="BE232" s="22" t="n"/>
      <c r="BF232" s="3" t="n"/>
      <c r="BG232" s="22" t="n"/>
      <c r="BH232" s="22" t="n"/>
      <c r="BI232" s="22" t="n"/>
      <c r="BJ232" s="22" t="n"/>
      <c r="BK232" s="3" t="n"/>
      <c r="BL232" s="22" t="n"/>
      <c r="BM232" s="22" t="n"/>
      <c r="BN232" s="22" t="n"/>
      <c r="BO232" s="22" t="n"/>
      <c r="BP232" s="3" t="n"/>
      <c r="BQ232" s="22" t="n"/>
      <c r="BR232" s="22" t="n"/>
      <c r="BS232" s="22" t="n"/>
      <c r="BT232" s="22" t="n"/>
      <c r="BU232" s="3" t="n"/>
      <c r="BV232" s="22" t="n"/>
      <c r="BW232" s="22" t="n"/>
      <c r="BX232" s="22" t="n"/>
      <c r="BY232" s="22" t="n"/>
      <c r="BZ232" s="3" t="n"/>
      <c r="CA232" s="22" t="n"/>
      <c r="CB232" s="22" t="n"/>
      <c r="CC232" s="22" t="n"/>
      <c r="CD232" s="22" t="n"/>
      <c r="CE232" s="3" t="n"/>
      <c r="CF232" s="22" t="n"/>
      <c r="CG232" s="22" t="n"/>
      <c r="CH232" s="22" t="n"/>
      <c r="CI232" s="22" t="n"/>
      <c r="CJ232" s="3" t="n"/>
      <c r="CK232" s="22" t="n"/>
      <c r="CL232" s="22" t="n"/>
      <c r="CM232" s="22" t="n"/>
      <c r="CN232" s="22" t="n"/>
      <c r="CO232" s="3" t="n"/>
      <c r="CP232" s="22" t="n"/>
      <c r="CQ232" s="22" t="n"/>
      <c r="CR232" s="22" t="n"/>
      <c r="CS232" s="22" t="n"/>
      <c r="CT232" s="3" t="n"/>
      <c r="CU232" s="22" t="n"/>
      <c r="CV232" s="22" t="n"/>
      <c r="CW232" s="22" t="n"/>
      <c r="CX232" s="22" t="n"/>
      <c r="CY232" s="3" t="n"/>
    </row>
    <row r="233" collapsed="1">
      <c r="C233" s="26" t="inlineStr">
        <is>
          <t>Treasury stock (contra account)</t>
        </is>
      </c>
      <c r="D233" s="25">
        <f>INDEX('Inputs (2)'!$D$44:$AL$44,MATCH(D$7,'Inputs (2)'!$D$2:$AL$2,0))</f>
        <v>0</v>
      </c>
      <c r="E233" s="25">
        <f>INDEX('Inputs (2)'!$D$44:$AL$44,MATCH(E$7,'Inputs (2)'!$D$2:$AL$2,0))</f>
        <v>0</v>
      </c>
      <c r="F233" s="25">
        <f>INDEX('Inputs (2)'!$D$44:$AL$44,MATCH(F$7,'Inputs (2)'!$D$2:$AL$2,0))</f>
        <v>0</v>
      </c>
      <c r="G233" s="25">
        <f>INDEX('Inputs (2)'!$D$44:$AL$44,MATCH(G$7,'Inputs (2)'!$D$2:$AL$2,0))</f>
        <v>-2.67399757</v>
      </c>
      <c r="H233" s="3">
        <f>G233</f>
        <v>-2.67399757</v>
      </c>
      <c r="I233" s="25">
        <f>INDEX('Inputs (2)'!$D$44:$AL$44,MATCH(I$7,'Inputs (2)'!$D$2:$AL$2,0))</f>
        <v>-23.0143155</v>
      </c>
      <c r="J233" s="25">
        <f>INDEX('Inputs (2)'!$D$44:$AL$44,MATCH(J$7,'Inputs (2)'!$D$2:$AL$2,0))</f>
        <v>-24.83640528</v>
      </c>
      <c r="K233" s="25">
        <f>INDEX('Inputs (2)'!$D$44:$AL$44,MATCH(K$7,'Inputs (2)'!$D$2:$AL$2,0))</f>
        <v>-24.83640528</v>
      </c>
      <c r="L233" s="25">
        <f>INDEX('Inputs (2)'!$D$44:$AL$44,MATCH(L$7,'Inputs (2)'!$D$2:$AL$2,0))</f>
        <v>-24.83640528</v>
      </c>
      <c r="M233" s="3">
        <f>L233</f>
        <v>-24.83640528</v>
      </c>
      <c r="N233" s="25">
        <f>INDEX('Inputs (2)'!$D$44:$AL$44,MATCH(N$7,'Inputs (2)'!$D$2:$AL$2,0))</f>
        <v>-22.89021678</v>
      </c>
      <c r="O233" s="25">
        <f>INDEX('Inputs (2)'!$D$44:$AL$44,MATCH(O$7,'Inputs (2)'!$D$2:$AL$2,0))</f>
        <v>-27.2412731</v>
      </c>
      <c r="P233" s="25">
        <f>INDEX('Inputs (2)'!$D$44:$AL$44,MATCH(P$7,'Inputs (2)'!$D$2:$AL$2,0))</f>
        <v>-19.97143105</v>
      </c>
      <c r="Q233" s="25">
        <f>INDEX('Inputs (2)'!$D$44:$AL$44,MATCH(Q$7,'Inputs (2)'!$D$2:$AL$2,0))</f>
        <v>-19.97143105</v>
      </c>
      <c r="R233" s="3">
        <f>Q233</f>
        <v>-19.97143105</v>
      </c>
      <c r="S233" s="25">
        <f>INDEX('Inputs (2)'!$D$44:$AL$44,MATCH(S$7,'Inputs (2)'!$D$2:$AL$2,0))</f>
        <v>-9.213137</v>
      </c>
      <c r="T233" s="25">
        <f>INDEX('Inputs (2)'!$D$44:$AL$44,MATCH(T$7,'Inputs (2)'!$D$2:$AL$2,0))</f>
        <v>-9.213</v>
      </c>
      <c r="U233" s="25">
        <f>INDEX('Inputs (2)'!$D$44:$AL$44,MATCH(U$7,'Inputs (2)'!$D$2:$AL$2,0))</f>
        <v>-9.213</v>
      </c>
      <c r="V233" s="25">
        <f>INDEX('Inputs (2)'!$D$44:$AL$44,MATCH(V$7,'Inputs (2)'!$D$2:$AL$2,0))</f>
        <v>-39.462</v>
      </c>
      <c r="W233" s="3">
        <f>V233</f>
        <v>-39.462</v>
      </c>
      <c r="X233" s="25">
        <f>INDEX('Inputs (2)'!$D$44:$AL$44,MATCH(X$7,'Inputs (2)'!$D$2:$AL$2,0))</f>
        <v>-27.15</v>
      </c>
      <c r="Y233" s="25">
        <f>INDEX('Inputs (2)'!$D$44:$AL$44,MATCH(Y$7,'Inputs (2)'!$D$2:$AL$2,0))</f>
        <v>-27.15</v>
      </c>
      <c r="Z233" s="25">
        <f>INDEX('Inputs (2)'!$D$44:$AL$44,MATCH(Z$7,'Inputs (2)'!$D$2:$AL$2,0))</f>
        <v>-48.065</v>
      </c>
      <c r="AA233" s="25">
        <f>INDEX('Inputs (2)'!$D$44:$AL$44,MATCH(AA$7,'Inputs (2)'!$D$2:$AL$2,0))</f>
        <v>-48.065</v>
      </c>
      <c r="AB233" s="3">
        <f>AA233</f>
        <v>-48.065</v>
      </c>
      <c r="AC233" s="25">
        <f>INDEX('Inputs (2)'!$D$44:$AL$44,MATCH(AC$7,'Inputs (2)'!$D$2:$AL$2,0))</f>
        <v>-35.559101</v>
      </c>
      <c r="AD233" s="25">
        <f>INDEX('Inputs (2)'!$D$44:$AL$44,MATCH(AD$7,'Inputs (2)'!$D$2:$AL$2,0))</f>
        <v>-35.559</v>
      </c>
      <c r="AE233" s="25">
        <f>INDEX('Inputs (2)'!$D$44:$AL$44,MATCH(AE$7,'Inputs (2)'!$D$2:$AL$2,0))</f>
        <v>-35.559</v>
      </c>
      <c r="AF233" s="25">
        <f>INDEX('Inputs (2)'!$D$44:$AL$44,MATCH(AF$7,'Inputs (2)'!$D$2:$AL$2,0))</f>
        <v>-35.559</v>
      </c>
      <c r="AG233" s="3">
        <f>AF233</f>
        <v>-35.559</v>
      </c>
      <c r="AH233" s="3">
        <f>AG233+AH223</f>
        <v>-35.559</v>
      </c>
      <c r="AI233" s="3">
        <f>AH233+AI223</f>
        <v>-35.559</v>
      </c>
      <c r="AJ233" s="3">
        <f>AI233+AJ223</f>
        <v>-35.559</v>
      </c>
      <c r="AK233" s="3">
        <f>AJ233+AK223</f>
        <v>-35.559</v>
      </c>
      <c r="AL233" s="3">
        <f>AK233</f>
        <v>-35.559</v>
      </c>
      <c r="AM233" s="3">
        <f>AL233+AM223</f>
        <v>-35.559</v>
      </c>
      <c r="AN233" s="3">
        <f>AM233+AN223</f>
        <v>-35.559</v>
      </c>
      <c r="AO233" s="3">
        <f>AN233+AO223</f>
        <v>-35.559</v>
      </c>
      <c r="AP233" s="3">
        <f>AO233+AP223</f>
        <v>-35.559</v>
      </c>
      <c r="AQ233" s="3">
        <f>AP233</f>
        <v>-35.559</v>
      </c>
      <c r="AR233" s="3">
        <f>AQ233+AR223</f>
        <v>-35.559</v>
      </c>
      <c r="AS233" s="3">
        <f>AR233+AS223</f>
        <v>-35.559</v>
      </c>
      <c r="AT233" s="3">
        <f>AS233+AT223</f>
        <v>-35.559</v>
      </c>
      <c r="AU233" s="3">
        <f>AT233+AU223</f>
        <v>-35.559</v>
      </c>
      <c r="AV233" s="3">
        <f>AU233</f>
        <v>-35.559</v>
      </c>
      <c r="AW233" s="3">
        <f>AV233+AW223</f>
        <v>-35.559</v>
      </c>
      <c r="AX233" s="3">
        <f>AW233+AX223</f>
        <v>-35.559</v>
      </c>
      <c r="AY233" s="3">
        <f>AX233+AY223</f>
        <v>-35.559</v>
      </c>
      <c r="AZ233" s="3">
        <f>AY233+AZ223</f>
        <v>-35.559</v>
      </c>
      <c r="BA233" s="3">
        <f>AZ233</f>
        <v>-35.559</v>
      </c>
      <c r="BB233" s="3">
        <f>BA233+BB223</f>
        <v>-35.559</v>
      </c>
      <c r="BC233" s="3">
        <f>BB233+BC223</f>
        <v>-35.559</v>
      </c>
      <c r="BD233" s="3">
        <f>BC233+BD223</f>
        <v>-35.559</v>
      </c>
      <c r="BE233" s="3">
        <f>BD233+BE223</f>
        <v>-35.559</v>
      </c>
      <c r="BF233" s="3">
        <f>BE233</f>
        <v>-35.559</v>
      </c>
      <c r="BG233" s="3">
        <f>BF233+BG223</f>
        <v>-35.559</v>
      </c>
      <c r="BH233" s="3">
        <f>BG233+BH223</f>
        <v>-35.559</v>
      </c>
      <c r="BI233" s="3">
        <f>BH233+BI223</f>
        <v>-35.559</v>
      </c>
      <c r="BJ233" s="3">
        <f>BI233+BJ223</f>
        <v>-35.559</v>
      </c>
      <c r="BK233" s="3">
        <f>BJ233</f>
        <v>-35.559</v>
      </c>
      <c r="BL233" s="3">
        <f>BK233+BL223</f>
        <v>-35.559</v>
      </c>
      <c r="BM233" s="3">
        <f>BL233+BM223</f>
        <v>-35.559</v>
      </c>
      <c r="BN233" s="3">
        <f>BM233+BN223</f>
        <v>-35.559</v>
      </c>
      <c r="BO233" s="3">
        <f>BN233+BO223</f>
        <v>-35.559</v>
      </c>
      <c r="BP233" s="3">
        <f>BO233</f>
        <v>-35.559</v>
      </c>
      <c r="BQ233" s="3">
        <f>BP233+BQ223</f>
        <v>-35.559</v>
      </c>
      <c r="BR233" s="3">
        <f>BQ233+BR223</f>
        <v>-35.559</v>
      </c>
      <c r="BS233" s="3">
        <f>BR233+BS223</f>
        <v>-35.559</v>
      </c>
      <c r="BT233" s="3">
        <f>BS233+BT223</f>
        <v>-35.559</v>
      </c>
      <c r="BU233" s="3">
        <f>BT233</f>
        <v>-35.559</v>
      </c>
      <c r="BV233" s="3">
        <f>BU233+BV223</f>
        <v>-35.559</v>
      </c>
      <c r="BW233" s="3">
        <f>BV233+BW223</f>
        <v>-35.559</v>
      </c>
      <c r="BX233" s="3">
        <f>BW233+BX223</f>
        <v>-35.559</v>
      </c>
      <c r="BY233" s="3">
        <f>BX233+BY223</f>
        <v>-35.559</v>
      </c>
      <c r="BZ233" s="3">
        <f>BY233</f>
        <v>-35.559</v>
      </c>
      <c r="CA233" s="3">
        <f>BZ233+CA223</f>
        <v>-35.559</v>
      </c>
      <c r="CB233" s="3">
        <f>CA233+CB223</f>
        <v>-35.559</v>
      </c>
      <c r="CC233" s="3">
        <f>CB233+CC223</f>
        <v>-35.559</v>
      </c>
      <c r="CD233" s="3">
        <f>CC233+CD223</f>
        <v>-35.559</v>
      </c>
      <c r="CE233" s="3">
        <f>CD233</f>
        <v>-35.559</v>
      </c>
      <c r="CF233" s="3">
        <f>CE233+CF223</f>
        <v>-35.559</v>
      </c>
      <c r="CG233" s="3">
        <f>CF233+CG223</f>
        <v>-35.559</v>
      </c>
      <c r="CH233" s="3">
        <f>CG233+CH223</f>
        <v>-35.559</v>
      </c>
      <c r="CI233" s="3">
        <f>CH233+CI223</f>
        <v>-35.559</v>
      </c>
      <c r="CJ233" s="3">
        <f>CI233</f>
        <v>-35.559</v>
      </c>
      <c r="CK233" s="3">
        <f>CJ233+CK223</f>
        <v>-35.559</v>
      </c>
      <c r="CL233" s="3">
        <f>CK233+CL223</f>
        <v>-35.559</v>
      </c>
      <c r="CM233" s="3">
        <f>CL233+CM223</f>
        <v>-35.559</v>
      </c>
      <c r="CN233" s="3">
        <f>CM233+CN223</f>
        <v>-35.559</v>
      </c>
      <c r="CO233" s="3">
        <f>CN233</f>
        <v>-35.559</v>
      </c>
      <c r="CP233" s="3">
        <f>CO233+CP223</f>
        <v>-35.559</v>
      </c>
      <c r="CQ233" s="3">
        <f>CP233+CQ223</f>
        <v>-35.559</v>
      </c>
      <c r="CR233" s="3">
        <f>CQ233+CR223</f>
        <v>-35.559</v>
      </c>
      <c r="CS233" s="3">
        <f>CR233+CS223</f>
        <v>-35.559</v>
      </c>
      <c r="CT233" s="3">
        <f>CS233</f>
        <v>-35.559</v>
      </c>
      <c r="CU233" s="3">
        <f>CT233+CU223</f>
        <v>-35.559</v>
      </c>
      <c r="CV233" s="3">
        <f>CU233+CV223</f>
        <v>-35.559</v>
      </c>
      <c r="CW233" s="3">
        <f>CV233+CW223</f>
        <v>-35.559</v>
      </c>
      <c r="CX233" s="3">
        <f>CW233+CX223</f>
        <v>-35.559</v>
      </c>
      <c r="CY233" s="3">
        <f>CX233</f>
        <v>-35.559</v>
      </c>
    </row>
    <row r="234">
      <c r="C234" s="26" t="inlineStr">
        <is>
          <t>Comprehensive (accumulated) loss</t>
        </is>
      </c>
      <c r="D234" s="25">
        <f>INDEX('Inputs (2)'!$D$45:$AL$45,MATCH(D$7,'Inputs (2)'!$D$2:$AL$2,0))</f>
        <v>0</v>
      </c>
      <c r="E234" s="25">
        <f>INDEX('Inputs (2)'!$D$45:$AL$45,MATCH(E$7,'Inputs (2)'!$D$2:$AL$2,0))</f>
        <v>0</v>
      </c>
      <c r="F234" s="25">
        <f>INDEX('Inputs (2)'!$D$45:$AL$45,MATCH(F$7,'Inputs (2)'!$D$2:$AL$2,0))</f>
        <v>0</v>
      </c>
      <c r="G234" s="25">
        <f>INDEX('Inputs (2)'!$D$45:$AL$45,MATCH(G$7,'Inputs (2)'!$D$2:$AL$2,0))</f>
        <v>0</v>
      </c>
      <c r="H234" s="3">
        <f>G234</f>
        <v>0</v>
      </c>
      <c r="I234" s="25">
        <f>INDEX('Inputs (2)'!$D$45:$AL$45,MATCH(I$7,'Inputs (2)'!$D$2:$AL$2,0))</f>
        <v>0</v>
      </c>
      <c r="J234" s="25">
        <f>INDEX('Inputs (2)'!$D$45:$AL$45,MATCH(J$7,'Inputs (2)'!$D$2:$AL$2,0))</f>
        <v>0</v>
      </c>
      <c r="K234" s="25">
        <f>INDEX('Inputs (2)'!$D$45:$AL$45,MATCH(K$7,'Inputs (2)'!$D$2:$AL$2,0))</f>
        <v>0</v>
      </c>
      <c r="L234" s="25">
        <f>INDEX('Inputs (2)'!$D$45:$AL$45,MATCH(L$7,'Inputs (2)'!$D$2:$AL$2,0))</f>
        <v>0</v>
      </c>
      <c r="M234" s="3">
        <f>L234</f>
        <v>0</v>
      </c>
      <c r="N234" s="25">
        <f>INDEX('Inputs (2)'!$D$45:$AL$45,MATCH(N$7,'Inputs (2)'!$D$2:$AL$2,0))</f>
        <v>0</v>
      </c>
      <c r="O234" s="25">
        <f>INDEX('Inputs (2)'!$D$45:$AL$45,MATCH(O$7,'Inputs (2)'!$D$2:$AL$2,0))</f>
        <v>0</v>
      </c>
      <c r="P234" s="25">
        <f>INDEX('Inputs (2)'!$D$45:$AL$45,MATCH(P$7,'Inputs (2)'!$D$2:$AL$2,0))</f>
        <v>0</v>
      </c>
      <c r="Q234" s="25">
        <f>INDEX('Inputs (2)'!$D$45:$AL$45,MATCH(Q$7,'Inputs (2)'!$D$2:$AL$2,0))</f>
        <v>0</v>
      </c>
      <c r="R234" s="3">
        <f>Q234</f>
        <v>0</v>
      </c>
      <c r="S234" s="25">
        <f>INDEX('Inputs (2)'!$D$45:$AL$45,MATCH(S$7,'Inputs (2)'!$D$2:$AL$2,0))</f>
        <v>0</v>
      </c>
      <c r="T234" s="25">
        <f>INDEX('Inputs (2)'!$D$45:$AL$45,MATCH(T$7,'Inputs (2)'!$D$2:$AL$2,0))</f>
        <v>73.884</v>
      </c>
      <c r="U234" s="25">
        <f>INDEX('Inputs (2)'!$D$45:$AL$45,MATCH(U$7,'Inputs (2)'!$D$2:$AL$2,0))</f>
        <v>73.884</v>
      </c>
      <c r="V234" s="25">
        <f>INDEX('Inputs (2)'!$D$45:$AL$45,MATCH(V$7,'Inputs (2)'!$D$2:$AL$2,0))</f>
        <v>73.884</v>
      </c>
      <c r="W234" s="3">
        <f>V234</f>
        <v>73.884</v>
      </c>
      <c r="X234" s="25">
        <f>INDEX('Inputs (2)'!$D$45:$AL$45,MATCH(X$7,'Inputs (2)'!$D$2:$AL$2,0))</f>
        <v>73.884</v>
      </c>
      <c r="Y234" s="25">
        <f>INDEX('Inputs (2)'!$D$45:$AL$45,MATCH(Y$7,'Inputs (2)'!$D$2:$AL$2,0))</f>
        <v>73.884</v>
      </c>
      <c r="Z234" s="25">
        <f>INDEX('Inputs (2)'!$D$45:$AL$45,MATCH(Z$7,'Inputs (2)'!$D$2:$AL$2,0))</f>
        <v>73.884</v>
      </c>
      <c r="AA234" s="25">
        <f>INDEX('Inputs (2)'!$D$45:$AL$45,MATCH(AA$7,'Inputs (2)'!$D$2:$AL$2,0))</f>
        <v>52.817</v>
      </c>
      <c r="AB234" s="3">
        <f>AA234</f>
        <v>52.817</v>
      </c>
      <c r="AC234" s="25">
        <f>INDEX('Inputs (2)'!$D$45:$AL$45,MATCH(AC$7,'Inputs (2)'!$D$2:$AL$2,0))</f>
        <v>52.817</v>
      </c>
      <c r="AD234" s="25">
        <f>INDEX('Inputs (2)'!$D$45:$AL$45,MATCH(AD$7,'Inputs (2)'!$D$2:$AL$2,0))</f>
        <v>52.817</v>
      </c>
      <c r="AE234" s="25">
        <f>INDEX('Inputs (2)'!$D$45:$AL$45,MATCH(AE$7,'Inputs (2)'!$D$2:$AL$2,0))</f>
        <v>52.817</v>
      </c>
      <c r="AF234" s="25">
        <f>INDEX('Inputs (2)'!$D$45:$AL$45,MATCH(AF$7,'Inputs (2)'!$D$2:$AL$2,0))</f>
        <v>52.817</v>
      </c>
      <c r="AG234" s="3">
        <f>AF234</f>
        <v>52.817</v>
      </c>
      <c r="AH234" s="3">
        <f>AG234</f>
        <v>52.817</v>
      </c>
      <c r="AI234" s="3">
        <f>AH234</f>
        <v>52.817</v>
      </c>
      <c r="AJ234" s="3">
        <f>AI234</f>
        <v>52.817</v>
      </c>
      <c r="AK234" s="3">
        <f>AJ234</f>
        <v>52.817</v>
      </c>
      <c r="AL234" s="3">
        <f>AK234</f>
        <v>52.817</v>
      </c>
      <c r="AM234" s="3">
        <f>AL234</f>
        <v>52.817</v>
      </c>
      <c r="AN234" s="3">
        <f>AM234</f>
        <v>52.817</v>
      </c>
      <c r="AO234" s="3">
        <f>AN234</f>
        <v>52.817</v>
      </c>
      <c r="AP234" s="3">
        <f>AO234</f>
        <v>52.817</v>
      </c>
      <c r="AQ234" s="3">
        <f>AP234</f>
        <v>52.817</v>
      </c>
      <c r="AR234" s="3">
        <f>AQ234</f>
        <v>52.817</v>
      </c>
      <c r="AS234" s="3">
        <f>AR234</f>
        <v>52.817</v>
      </c>
      <c r="AT234" s="3">
        <f>AS234</f>
        <v>52.817</v>
      </c>
      <c r="AU234" s="3">
        <f>AT234</f>
        <v>52.817</v>
      </c>
      <c r="AV234" s="3">
        <f>AU234</f>
        <v>52.817</v>
      </c>
      <c r="AW234" s="3">
        <f>AV234</f>
        <v>52.817</v>
      </c>
      <c r="AX234" s="3">
        <f>AW234</f>
        <v>52.817</v>
      </c>
      <c r="AY234" s="3">
        <f>AX234</f>
        <v>52.817</v>
      </c>
      <c r="AZ234" s="3">
        <f>AY234</f>
        <v>52.817</v>
      </c>
      <c r="BA234" s="3">
        <f>AZ234</f>
        <v>52.817</v>
      </c>
      <c r="BB234" s="3">
        <f>BA234</f>
        <v>52.817</v>
      </c>
      <c r="BC234" s="3">
        <f>BB234</f>
        <v>52.817</v>
      </c>
      <c r="BD234" s="3">
        <f>BC234</f>
        <v>52.817</v>
      </c>
      <c r="BE234" s="3">
        <f>BD234</f>
        <v>52.817</v>
      </c>
      <c r="BF234" s="3">
        <f>BE234</f>
        <v>52.817</v>
      </c>
      <c r="BG234" s="3">
        <f>BF234</f>
        <v>52.817</v>
      </c>
      <c r="BH234" s="3">
        <f>BG234</f>
        <v>52.817</v>
      </c>
      <c r="BI234" s="3">
        <f>BH234</f>
        <v>52.817</v>
      </c>
      <c r="BJ234" s="3">
        <f>BI234</f>
        <v>52.817</v>
      </c>
      <c r="BK234" s="3">
        <f>BJ234</f>
        <v>52.817</v>
      </c>
      <c r="BL234" s="3">
        <f>BK234</f>
        <v>52.817</v>
      </c>
      <c r="BM234" s="3">
        <f>BL234</f>
        <v>52.817</v>
      </c>
      <c r="BN234" s="3">
        <f>BM234</f>
        <v>52.817</v>
      </c>
      <c r="BO234" s="3">
        <f>BN234</f>
        <v>52.817</v>
      </c>
      <c r="BP234" s="3">
        <f>BO234</f>
        <v>52.817</v>
      </c>
      <c r="BQ234" s="3">
        <f>BP234</f>
        <v>52.817</v>
      </c>
      <c r="BR234" s="3">
        <f>BQ234</f>
        <v>52.817</v>
      </c>
      <c r="BS234" s="3">
        <f>BR234</f>
        <v>52.817</v>
      </c>
      <c r="BT234" s="3">
        <f>BS234</f>
        <v>52.817</v>
      </c>
      <c r="BU234" s="3">
        <f>BT234</f>
        <v>52.817</v>
      </c>
      <c r="BV234" s="3">
        <f>BU234</f>
        <v>52.817</v>
      </c>
      <c r="BW234" s="3">
        <f>BV234</f>
        <v>52.817</v>
      </c>
      <c r="BX234" s="3">
        <f>BW234</f>
        <v>52.817</v>
      </c>
      <c r="BY234" s="3">
        <f>BX234</f>
        <v>52.817</v>
      </c>
      <c r="BZ234" s="3">
        <f>BY234</f>
        <v>52.817</v>
      </c>
      <c r="CA234" s="3">
        <f>BZ234</f>
        <v>52.817</v>
      </c>
      <c r="CB234" s="3">
        <f>CA234</f>
        <v>52.817</v>
      </c>
      <c r="CC234" s="3">
        <f>CB234</f>
        <v>52.817</v>
      </c>
      <c r="CD234" s="3">
        <f>CC234</f>
        <v>52.817</v>
      </c>
      <c r="CE234" s="3">
        <f>CD234</f>
        <v>52.817</v>
      </c>
      <c r="CF234" s="3">
        <f>CE234</f>
        <v>52.817</v>
      </c>
      <c r="CG234" s="3">
        <f>CF234</f>
        <v>52.817</v>
      </c>
      <c r="CH234" s="3">
        <f>CG234</f>
        <v>52.817</v>
      </c>
      <c r="CI234" s="3">
        <f>CH234</f>
        <v>52.817</v>
      </c>
      <c r="CJ234" s="3">
        <f>CI234</f>
        <v>52.817</v>
      </c>
      <c r="CK234" s="3">
        <f>CJ234</f>
        <v>52.817</v>
      </c>
      <c r="CL234" s="3">
        <f>CK234</f>
        <v>52.817</v>
      </c>
      <c r="CM234" s="3">
        <f>CL234</f>
        <v>52.817</v>
      </c>
      <c r="CN234" s="3">
        <f>CM234</f>
        <v>52.817</v>
      </c>
      <c r="CO234" s="3">
        <f>CN234</f>
        <v>52.817</v>
      </c>
      <c r="CP234" s="3">
        <f>CO234</f>
        <v>52.817</v>
      </c>
      <c r="CQ234" s="3">
        <f>CP234</f>
        <v>52.817</v>
      </c>
      <c r="CR234" s="3">
        <f>CQ234</f>
        <v>52.817</v>
      </c>
      <c r="CS234" s="3">
        <f>CR234</f>
        <v>52.817</v>
      </c>
      <c r="CT234" s="3">
        <f>CS234</f>
        <v>52.817</v>
      </c>
      <c r="CU234" s="3">
        <f>CT234</f>
        <v>52.817</v>
      </c>
      <c r="CV234" s="3">
        <f>CU234</f>
        <v>52.817</v>
      </c>
      <c r="CW234" s="3">
        <f>CV234</f>
        <v>52.817</v>
      </c>
      <c r="CX234" s="3">
        <f>CW234</f>
        <v>52.817</v>
      </c>
      <c r="CY234" s="3">
        <f>CX234</f>
        <v>52.817</v>
      </c>
    </row>
    <row r="235">
      <c r="C235" s="26" t="inlineStr">
        <is>
          <t>Other equity account</t>
        </is>
      </c>
      <c r="D235" s="25">
        <f>INDEX('Inputs (2)'!$D$46:$AL$46,MATCH(D$7,'Inputs (2)'!$D$2:$AL$2,0))</f>
        <v>102.87647304</v>
      </c>
      <c r="E235" s="25">
        <f>INDEX('Inputs (2)'!$D$46:$AL$46,MATCH(E$7,'Inputs (2)'!$D$2:$AL$2,0))</f>
        <v>102.87647304</v>
      </c>
      <c r="F235" s="25">
        <f>INDEX('Inputs (2)'!$D$46:$AL$46,MATCH(F$7,'Inputs (2)'!$D$2:$AL$2,0))</f>
        <v>102.87647304</v>
      </c>
      <c r="G235" s="25">
        <f>INDEX('Inputs (2)'!$D$46:$AL$46,MATCH(G$7,'Inputs (2)'!$D$2:$AL$2,0))</f>
        <v>115.72452726</v>
      </c>
      <c r="H235" s="3">
        <f>G235</f>
        <v>115.72452726</v>
      </c>
      <c r="I235" s="25">
        <f>INDEX('Inputs (2)'!$D$46:$AL$46,MATCH(I$7,'Inputs (2)'!$D$2:$AL$2,0))</f>
        <v>125.89858391</v>
      </c>
      <c r="J235" s="25">
        <f>INDEX('Inputs (2)'!$D$46:$AL$46,MATCH(J$7,'Inputs (2)'!$D$2:$AL$2,0))</f>
        <v>125.89858391</v>
      </c>
      <c r="K235" s="25">
        <f>INDEX('Inputs (2)'!$D$46:$AL$46,MATCH(K$7,'Inputs (2)'!$D$2:$AL$2,0))</f>
        <v>125.89858391</v>
      </c>
      <c r="L235" s="25">
        <f>INDEX('Inputs (2)'!$D$46:$AL$46,MATCH(L$7,'Inputs (2)'!$D$2:$AL$2,0))</f>
        <v>143.39483164</v>
      </c>
      <c r="M235" s="3">
        <f>L235</f>
        <v>143.39483164</v>
      </c>
      <c r="N235" s="25">
        <f>INDEX('Inputs (2)'!$D$46:$AL$46,MATCH(N$7,'Inputs (2)'!$D$2:$AL$2,0))</f>
        <v>156.22491938</v>
      </c>
      <c r="O235" s="25">
        <f>INDEX('Inputs (2)'!$D$46:$AL$46,MATCH(O$7,'Inputs (2)'!$D$2:$AL$2,0))</f>
        <v>156.22491938</v>
      </c>
      <c r="P235" s="25">
        <f>INDEX('Inputs (2)'!$D$46:$AL$46,MATCH(P$7,'Inputs (2)'!$D$2:$AL$2,0))</f>
        <v>156.22491938</v>
      </c>
      <c r="Q235" s="25">
        <f>INDEX('Inputs (2)'!$D$46:$AL$46,MATCH(Q$7,'Inputs (2)'!$D$2:$AL$2,0))</f>
        <v>193.782383397</v>
      </c>
      <c r="R235" s="3">
        <f>Q235</f>
        <v>193.782383397</v>
      </c>
      <c r="S235" s="25">
        <f>INDEX('Inputs (2)'!$D$46:$AL$46,MATCH(S$7,'Inputs (2)'!$D$2:$AL$2,0))</f>
        <v>356.23489755</v>
      </c>
      <c r="T235" s="25">
        <f>INDEX('Inputs (2)'!$D$46:$AL$46,MATCH(T$7,'Inputs (2)'!$D$2:$AL$2,0))</f>
        <v>186.235</v>
      </c>
      <c r="U235" s="25">
        <f>INDEX('Inputs (2)'!$D$46:$AL$46,MATCH(U$7,'Inputs (2)'!$D$2:$AL$2,0))</f>
        <v>93.705</v>
      </c>
      <c r="V235" s="25">
        <f>INDEX('Inputs (2)'!$D$46:$AL$46,MATCH(V$7,'Inputs (2)'!$D$2:$AL$2,0))</f>
        <v>207.423</v>
      </c>
      <c r="W235" s="3">
        <f>V235</f>
        <v>207.423</v>
      </c>
      <c r="X235" s="25">
        <f>INDEX('Inputs (2)'!$D$46:$AL$46,MATCH(X$7,'Inputs (2)'!$D$2:$AL$2,0))</f>
        <v>0</v>
      </c>
      <c r="Y235" s="25">
        <f>INDEX('Inputs (2)'!$D$46:$AL$46,MATCH(Y$7,'Inputs (2)'!$D$2:$AL$2,0))</f>
        <v>0</v>
      </c>
      <c r="Z235" s="25">
        <f>INDEX('Inputs (2)'!$D$46:$AL$46,MATCH(Z$7,'Inputs (2)'!$D$2:$AL$2,0))</f>
        <v>-184.073</v>
      </c>
      <c r="AA235" s="25">
        <f>INDEX('Inputs (2)'!$D$46:$AL$46,MATCH(AA$7,'Inputs (2)'!$D$2:$AL$2,0))</f>
        <v>-300.502</v>
      </c>
      <c r="AB235" s="3">
        <f>AA235</f>
        <v>-300.502</v>
      </c>
      <c r="AC235" s="25">
        <f>INDEX('Inputs (2)'!$D$46:$AL$46,MATCH(AC$7,'Inputs (2)'!$D$2:$AL$2,0))</f>
        <v>0</v>
      </c>
      <c r="AD235" s="25">
        <f>INDEX('Inputs (2)'!$D$46:$AL$46,MATCH(AD$7,'Inputs (2)'!$D$2:$AL$2,0))</f>
        <v>0</v>
      </c>
      <c r="AE235" s="25">
        <f>INDEX('Inputs (2)'!$D$46:$AL$46,MATCH(AE$7,'Inputs (2)'!$D$2:$AL$2,0))</f>
        <v>-169.009</v>
      </c>
      <c r="AF235" s="25">
        <f>INDEX('Inputs (2)'!$D$46:$AL$46,MATCH(AF$7,'Inputs (2)'!$D$2:$AL$2,0))</f>
        <v>0</v>
      </c>
      <c r="AG235" s="3">
        <f>AF235</f>
        <v>0</v>
      </c>
      <c r="AH235" s="3">
        <f>AG235</f>
        <v>0</v>
      </c>
      <c r="AI235" s="3">
        <f>AH235</f>
        <v>0</v>
      </c>
      <c r="AJ235" s="3">
        <f>AI235</f>
        <v>0</v>
      </c>
      <c r="AK235" s="3">
        <f>AJ235</f>
        <v>0</v>
      </c>
      <c r="AL235" s="3">
        <f>AK235</f>
        <v>0</v>
      </c>
      <c r="AM235" s="3">
        <f>AL235</f>
        <v>0</v>
      </c>
      <c r="AN235" s="3">
        <f>AM235</f>
        <v>0</v>
      </c>
      <c r="AO235" s="3">
        <f>AN235</f>
        <v>0</v>
      </c>
      <c r="AP235" s="3">
        <f>AO235</f>
        <v>0</v>
      </c>
      <c r="AQ235" s="3">
        <f>AP235</f>
        <v>0</v>
      </c>
      <c r="AR235" s="3">
        <f>AQ235</f>
        <v>0</v>
      </c>
      <c r="AS235" s="3">
        <f>AR235</f>
        <v>0</v>
      </c>
      <c r="AT235" s="3">
        <f>AS235</f>
        <v>0</v>
      </c>
      <c r="AU235" s="3">
        <f>AT235</f>
        <v>0</v>
      </c>
      <c r="AV235" s="3">
        <f>AU235</f>
        <v>0</v>
      </c>
      <c r="AW235" s="3">
        <f>AV235</f>
        <v>0</v>
      </c>
      <c r="AX235" s="3">
        <f>AW235</f>
        <v>0</v>
      </c>
      <c r="AY235" s="3">
        <f>AX235</f>
        <v>0</v>
      </c>
      <c r="AZ235" s="3">
        <f>AY235</f>
        <v>0</v>
      </c>
      <c r="BA235" s="3">
        <f>AZ235</f>
        <v>0</v>
      </c>
      <c r="BB235" s="3">
        <f>BA235</f>
        <v>0</v>
      </c>
      <c r="BC235" s="3">
        <f>BB235</f>
        <v>0</v>
      </c>
      <c r="BD235" s="3">
        <f>BC235</f>
        <v>0</v>
      </c>
      <c r="BE235" s="3">
        <f>BD235</f>
        <v>0</v>
      </c>
      <c r="BF235" s="3">
        <f>BE235</f>
        <v>0</v>
      </c>
      <c r="BG235" s="3">
        <f>BF235</f>
        <v>0</v>
      </c>
      <c r="BH235" s="3">
        <f>BG235</f>
        <v>0</v>
      </c>
      <c r="BI235" s="3">
        <f>BH235</f>
        <v>0</v>
      </c>
      <c r="BJ235" s="3">
        <f>BI235</f>
        <v>0</v>
      </c>
      <c r="BK235" s="3">
        <f>BJ235</f>
        <v>0</v>
      </c>
      <c r="BL235" s="3">
        <f>BK235</f>
        <v>0</v>
      </c>
      <c r="BM235" s="3">
        <f>BL235</f>
        <v>0</v>
      </c>
      <c r="BN235" s="3">
        <f>BM235</f>
        <v>0</v>
      </c>
      <c r="BO235" s="3">
        <f>BN235</f>
        <v>0</v>
      </c>
      <c r="BP235" s="3">
        <f>BO235</f>
        <v>0</v>
      </c>
      <c r="BQ235" s="3">
        <f>BP235</f>
        <v>0</v>
      </c>
      <c r="BR235" s="3">
        <f>BQ235</f>
        <v>0</v>
      </c>
      <c r="BS235" s="3">
        <f>BR235</f>
        <v>0</v>
      </c>
      <c r="BT235" s="3">
        <f>BS235</f>
        <v>0</v>
      </c>
      <c r="BU235" s="3">
        <f>BT235</f>
        <v>0</v>
      </c>
      <c r="BV235" s="3">
        <f>BU235</f>
        <v>0</v>
      </c>
      <c r="BW235" s="3">
        <f>BV235</f>
        <v>0</v>
      </c>
      <c r="BX235" s="3">
        <f>BW235</f>
        <v>0</v>
      </c>
      <c r="BY235" s="3">
        <f>BX235</f>
        <v>0</v>
      </c>
      <c r="BZ235" s="3">
        <f>BY235</f>
        <v>0</v>
      </c>
      <c r="CA235" s="3">
        <f>BZ235</f>
        <v>0</v>
      </c>
      <c r="CB235" s="3">
        <f>CA235</f>
        <v>0</v>
      </c>
      <c r="CC235" s="3">
        <f>CB235</f>
        <v>0</v>
      </c>
      <c r="CD235" s="3">
        <f>CC235</f>
        <v>0</v>
      </c>
      <c r="CE235" s="3">
        <f>CD235</f>
        <v>0</v>
      </c>
      <c r="CF235" s="3">
        <f>CE235</f>
        <v>0</v>
      </c>
      <c r="CG235" s="3">
        <f>CF235</f>
        <v>0</v>
      </c>
      <c r="CH235" s="3">
        <f>CG235</f>
        <v>0</v>
      </c>
      <c r="CI235" s="3">
        <f>CH235</f>
        <v>0</v>
      </c>
      <c r="CJ235" s="3">
        <f>CI235</f>
        <v>0</v>
      </c>
      <c r="CK235" s="3">
        <f>CJ235</f>
        <v>0</v>
      </c>
      <c r="CL235" s="3">
        <f>CK235</f>
        <v>0</v>
      </c>
      <c r="CM235" s="3">
        <f>CL235</f>
        <v>0</v>
      </c>
      <c r="CN235" s="3">
        <f>CM235</f>
        <v>0</v>
      </c>
      <c r="CO235" s="3">
        <f>CN235</f>
        <v>0</v>
      </c>
      <c r="CP235" s="3">
        <f>CO235</f>
        <v>0</v>
      </c>
      <c r="CQ235" s="3">
        <f>CP235</f>
        <v>0</v>
      </c>
      <c r="CR235" s="3">
        <f>CQ235</f>
        <v>0</v>
      </c>
      <c r="CS235" s="3">
        <f>CR235</f>
        <v>0</v>
      </c>
      <c r="CT235" s="3">
        <f>CS235</f>
        <v>0</v>
      </c>
      <c r="CU235" s="3">
        <f>CT235</f>
        <v>0</v>
      </c>
      <c r="CV235" s="3">
        <f>CU235</f>
        <v>0</v>
      </c>
      <c r="CW235" s="3">
        <f>CV235</f>
        <v>0</v>
      </c>
      <c r="CX235" s="3">
        <f>CW235</f>
        <v>0</v>
      </c>
      <c r="CY235" s="3">
        <f>CX235</f>
        <v>0</v>
      </c>
    </row>
    <row r="236">
      <c r="C236" s="28" t="inlineStr">
        <is>
          <t>Retained earnings</t>
        </is>
      </c>
      <c r="D236" s="25">
        <f>INDEX('Inputs (2)'!$D$47:$AL$47,MATCH(D$7,'Inputs (2)'!$D$2:$AL$2,0))</f>
        <v>58.7194642900001</v>
      </c>
      <c r="E236" s="25">
        <f>INDEX('Inputs (2)'!$D$47:$AL$47,MATCH(E$7,'Inputs (2)'!$D$2:$AL$2,0))</f>
        <v>-14.90600837</v>
      </c>
      <c r="F236" s="25">
        <f>INDEX('Inputs (2)'!$D$47:$AL$47,MATCH(F$7,'Inputs (2)'!$D$2:$AL$2,0))</f>
        <v>117.47883588</v>
      </c>
      <c r="G236" s="25">
        <f>INDEX('Inputs (2)'!$D$47:$AL$47,MATCH(G$7,'Inputs (2)'!$D$2:$AL$2,0))</f>
        <v>169.64349684</v>
      </c>
      <c r="H236" s="3">
        <f>G236</f>
        <v>169.64349684</v>
      </c>
      <c r="I236" s="25">
        <f>INDEX('Inputs (2)'!$D$47:$AL$47,MATCH(I$7,'Inputs (2)'!$D$2:$AL$2,0))</f>
        <v>121.28632605</v>
      </c>
      <c r="J236" s="25">
        <f>INDEX('Inputs (2)'!$D$47:$AL$47,MATCH(J$7,'Inputs (2)'!$D$2:$AL$2,0))</f>
        <v>186.82095282</v>
      </c>
      <c r="K236" s="25">
        <f>INDEX('Inputs (2)'!$D$47:$AL$47,MATCH(K$7,'Inputs (2)'!$D$2:$AL$2,0))</f>
        <v>239.43139772</v>
      </c>
      <c r="L236" s="25">
        <f>INDEX('Inputs (2)'!$D$47:$AL$47,MATCH(L$7,'Inputs (2)'!$D$2:$AL$2,0))</f>
        <v>251.99589812</v>
      </c>
      <c r="M236" s="3">
        <f>L236</f>
        <v>251.99589812</v>
      </c>
      <c r="N236" s="25">
        <f>INDEX('Inputs (2)'!$D$47:$AL$47,MATCH(N$7,'Inputs (2)'!$D$2:$AL$2,0))</f>
        <v>135.27750577</v>
      </c>
      <c r="O236" s="25">
        <f>INDEX('Inputs (2)'!$D$47:$AL$47,MATCH(O$7,'Inputs (2)'!$D$2:$AL$2,0))</f>
        <v>213.0565861</v>
      </c>
      <c r="P236" s="25">
        <f>INDEX('Inputs (2)'!$D$47:$AL$47,MATCH(P$7,'Inputs (2)'!$D$2:$AL$2,0))</f>
        <v>301.79249417</v>
      </c>
      <c r="Q236" s="25">
        <f>INDEX('Inputs (2)'!$D$47:$AL$47,MATCH(Q$7,'Inputs (2)'!$D$2:$AL$2,0))</f>
        <v>187.291</v>
      </c>
      <c r="R236" s="3">
        <f>Q236</f>
        <v>187.291</v>
      </c>
      <c r="S236" s="25">
        <f>INDEX('Inputs (2)'!$D$47:$AL$47,MATCH(S$7,'Inputs (2)'!$D$2:$AL$2,0))</f>
        <v>118.68901586</v>
      </c>
      <c r="T236" s="25">
        <f>INDEX('Inputs (2)'!$D$47:$AL$47,MATCH(T$7,'Inputs (2)'!$D$2:$AL$2,0))</f>
        <v>193.118</v>
      </c>
      <c r="U236" s="25">
        <f>INDEX('Inputs (2)'!$D$47:$AL$47,MATCH(U$7,'Inputs (2)'!$D$2:$AL$2,0))</f>
        <v>367.316</v>
      </c>
      <c r="V236" s="25">
        <f>INDEX('Inputs (2)'!$D$47:$AL$47,MATCH(V$7,'Inputs (2)'!$D$2:$AL$2,0))</f>
        <v>190.126</v>
      </c>
      <c r="W236" s="3">
        <f>V236</f>
        <v>190.126</v>
      </c>
      <c r="X236" s="25">
        <f>INDEX('Inputs (2)'!$D$47:$AL$47,MATCH(X$7,'Inputs (2)'!$D$2:$AL$2,0))</f>
        <v>484.972</v>
      </c>
      <c r="Y236" s="25">
        <f>INDEX('Inputs (2)'!$D$47:$AL$47,MATCH(Y$7,'Inputs (2)'!$D$2:$AL$2,0))</f>
        <v>658.558</v>
      </c>
      <c r="Z236" s="25">
        <f>INDEX('Inputs (2)'!$D$47:$AL$47,MATCH(Z$7,'Inputs (2)'!$D$2:$AL$2,0))</f>
        <v>849.263</v>
      </c>
      <c r="AA236" s="25">
        <f>INDEX('Inputs (2)'!$D$47:$AL$47,MATCH(AA$7,'Inputs (2)'!$D$2:$AL$2,0))</f>
        <v>933.186</v>
      </c>
      <c r="AB236" s="3">
        <f>AA236</f>
        <v>933.186</v>
      </c>
      <c r="AC236" s="25">
        <f>INDEX('Inputs (2)'!$D$47:$AL$47,MATCH(AC$7,'Inputs (2)'!$D$2:$AL$2,0))</f>
        <v>557.914</v>
      </c>
      <c r="AD236" s="25">
        <f>INDEX('Inputs (2)'!$D$47:$AL$47,MATCH(AD$7,'Inputs (2)'!$D$2:$AL$2,0))</f>
        <v>710.213</v>
      </c>
      <c r="AE236" s="25">
        <f>INDEX('Inputs (2)'!$D$47:$AL$47,MATCH(AE$7,'Inputs (2)'!$D$2:$AL$2,0))</f>
        <v>895.13</v>
      </c>
      <c r="AF236" s="25">
        <f>INDEX('Inputs (2)'!$D$47:$AL$47,MATCH(AF$7,'Inputs (2)'!$D$2:$AL$2,0))</f>
        <v>332.45</v>
      </c>
      <c r="AG236" s="3">
        <f>AF236</f>
        <v>332.45</v>
      </c>
      <c r="AH236" s="3">
        <f>AG236+AH103+AH104</f>
        <v>419.31074759</v>
      </c>
      <c r="AI236" s="3">
        <f>AH236+AI103+AI104</f>
        <v>759.72087722</v>
      </c>
      <c r="AJ236" s="3">
        <f>AI236+AJ103+AJ104</f>
        <v>844.458611526265</v>
      </c>
      <c r="AK236" s="3">
        <f>AJ236+AK103+AK104</f>
        <v>1177.27617133986</v>
      </c>
      <c r="AL236" s="3">
        <f>AK236</f>
        <v>1177.27617133986</v>
      </c>
      <c r="AM236" s="3">
        <f>AL236+AM103+AM104</f>
        <v>1513.89824596986</v>
      </c>
      <c r="AN236" s="3">
        <f>AM236+AN103+AN104</f>
        <v>2361.09657340986</v>
      </c>
      <c r="AO236" s="3">
        <f>AN236+AO103+AO104</f>
        <v>2695.59563475612</v>
      </c>
      <c r="AP236" s="3">
        <f>AO236+AP103+AP104</f>
        <v>3535.20139237971</v>
      </c>
      <c r="AQ236" s="3">
        <f>AP236</f>
        <v>3535.20139237971</v>
      </c>
      <c r="AR236" s="3">
        <f>AQ236+AR103+AR104</f>
        <v>4378.61166481971</v>
      </c>
      <c r="AS236" s="3">
        <f>AR236+AS103+AS104</f>
        <v>6738.90904195971</v>
      </c>
      <c r="AT236" s="3">
        <f>AS236+AT103+AT104</f>
        <v>7580.19630111598</v>
      </c>
      <c r="AU236" s="3">
        <f>AT236+AU103+AU104</f>
        <v>9932.90110843957</v>
      </c>
      <c r="AV236" s="3">
        <f>AU236</f>
        <v>9932.90110843957</v>
      </c>
      <c r="AW236" s="3">
        <f>AV236+AW103+AW104</f>
        <v>12289.4104305796</v>
      </c>
      <c r="AX236" s="3">
        <f>AW236+AX103+AX104</f>
        <v>18689.4823027396</v>
      </c>
      <c r="AY236" s="3">
        <f>AX236+AY103+AY104</f>
        <v>21043.8686115958</v>
      </c>
      <c r="AZ236" s="3">
        <f>AY236+AZ103+AZ104</f>
        <v>27436.3479139394</v>
      </c>
      <c r="BA236" s="3">
        <f>AZ236</f>
        <v>27436.3479139394</v>
      </c>
      <c r="BB236" s="3">
        <f>BA236+BB103+BB104</f>
        <v>33832.6317310994</v>
      </c>
      <c r="BC236" s="3">
        <f>BB236+BC103+BC104</f>
        <v>51338.4506926994</v>
      </c>
      <c r="BD236" s="3">
        <f>BC236+BD103+BD104</f>
        <v>57732.6114965757</v>
      </c>
      <c r="BE236" s="3">
        <f>BD236+BE103+BE104</f>
        <v>75230.8378883593</v>
      </c>
      <c r="BF236" s="3">
        <f>BE236</f>
        <v>75230.8378883593</v>
      </c>
      <c r="BG236" s="3">
        <f>BF236+BG103+BG104</f>
        <v>92732.8687949593</v>
      </c>
      <c r="BH236" s="3">
        <f>BG236+BH103+BH104</f>
        <v>140529.730925479</v>
      </c>
      <c r="BI236" s="3">
        <f>BH236+BI103+BI104</f>
        <v>158029.638818796</v>
      </c>
      <c r="BJ236" s="3">
        <f>BI236+BJ103+BJ104</f>
        <v>205818.908379499</v>
      </c>
      <c r="BK236" s="3">
        <f>BJ236</f>
        <v>205818.908379499</v>
      </c>
      <c r="BL236" s="3">
        <f>BK236+BL103+BL104</f>
        <v>253611.982455019</v>
      </c>
      <c r="BM236" s="3">
        <f>BL236+BM103+BM104</f>
        <v>384202.425102259</v>
      </c>
      <c r="BN236" s="3">
        <f>BM236+BN103+BN104</f>
        <v>431993.376164496</v>
      </c>
      <c r="BO236" s="3">
        <f>BN236+BO103+BO104</f>
        <v>562576.226241919</v>
      </c>
      <c r="BP236" s="3">
        <f>BO236</f>
        <v>562576.226241919</v>
      </c>
      <c r="BQ236" s="3">
        <f>BP236+BQ103+BQ104</f>
        <v>693162.880834159</v>
      </c>
      <c r="BR236" s="3">
        <f>BQ236+BR103+BR104</f>
        <v>1049922.57085268</v>
      </c>
      <c r="BS236" s="3">
        <f>BR236+BS103+BS104</f>
        <v>1180507.10243164</v>
      </c>
      <c r="BT236" s="3">
        <f>BS236+BT103+BT104</f>
        <v>1537259.19988034</v>
      </c>
      <c r="BU236" s="3">
        <f>BT236</f>
        <v>1537259.19988034</v>
      </c>
      <c r="BV236" s="3">
        <f>BU236+BV103+BV104</f>
        <v>1894015.10184386</v>
      </c>
      <c r="BW236" s="3">
        <f>BV236+BW103+BW104</f>
        <v>2868700.44763838</v>
      </c>
      <c r="BX236" s="3">
        <f>BW236+BX103+BX104</f>
        <v>3225454.22658862</v>
      </c>
      <c r="BY236" s="3">
        <f>BX236+BY103+BY104</f>
        <v>4200131.97981332</v>
      </c>
      <c r="BZ236" s="3">
        <f>BY236</f>
        <v>4200131.97981332</v>
      </c>
      <c r="CA236" s="3">
        <f>BZ236+CA103+CA104</f>
        <v>5174813.53755284</v>
      </c>
      <c r="CB236" s="3">
        <f>CA236+CB103+CB104</f>
        <v>7837688.68964192</v>
      </c>
      <c r="CC236" s="3">
        <f>CB236+CC103+CC104</f>
        <v>8812368.12436816</v>
      </c>
      <c r="CD236" s="3">
        <f>CC236+CD103+CD104</f>
        <v>11475235.6838874</v>
      </c>
      <c r="CE236" s="3">
        <f>CD236</f>
        <v>11475235.6838874</v>
      </c>
      <c r="CF236" s="3">
        <f>CE236+CF103+CF104</f>
        <v>14138107.0479215</v>
      </c>
      <c r="CG236" s="3">
        <f>CF236+CG103+CG104</f>
        <v>21413213.1241517</v>
      </c>
      <c r="CH236" s="3">
        <f>CG236+CH103+CH104</f>
        <v>24076082.3651725</v>
      </c>
      <c r="CI236" s="3">
        <f>CH236+CI103+CI104</f>
        <v>31351180.8488329</v>
      </c>
      <c r="CJ236" s="3">
        <f>CI236</f>
        <v>31351180.8488329</v>
      </c>
      <c r="CK236" s="3">
        <f>CJ236+CK103+CK104</f>
        <v>38626283.1370081</v>
      </c>
      <c r="CL236" s="3">
        <f>CK236+CL103+CL104</f>
        <v>58502230.6741097</v>
      </c>
      <c r="CM236" s="3">
        <f>CL236+CM103+CM104</f>
        <v>65777330.8392716</v>
      </c>
      <c r="CN236" s="3">
        <f>CM236+CN103+CN104</f>
        <v>85653270.7838033</v>
      </c>
      <c r="CO236" s="3">
        <f>CN236</f>
        <v>85653270.7838033</v>
      </c>
      <c r="CP236" s="3">
        <f>CO236+CP103+CP104</f>
        <v>105529214.53285</v>
      </c>
      <c r="CQ236" s="3">
        <f>CP236+CQ103+CQ104</f>
        <v>159831306.839976</v>
      </c>
      <c r="CR236" s="3">
        <f>CQ236+CR103+CR104</f>
        <v>179707248.46601</v>
      </c>
      <c r="CS236" s="3">
        <f>CR236+CS103+CS104</f>
        <v>234009333.180566</v>
      </c>
      <c r="CT236" s="3">
        <f>CS236</f>
        <v>234009333.180566</v>
      </c>
      <c r="CU236" s="3">
        <f>CT236+CU103+CU104</f>
        <v>288311421.699638</v>
      </c>
      <c r="CV236" s="3">
        <f>CU236+CV103+CV104</f>
        <v>436667486.468557</v>
      </c>
      <c r="CW236" s="3">
        <f>CV236+CW103+CW104</f>
        <v>490969572.864615</v>
      </c>
      <c r="CX236" s="3">
        <f>CW236+CX103+CX104</f>
        <v>639325630.040965</v>
      </c>
      <c r="CY236" s="3">
        <f>CX236</f>
        <v>639325630.040965</v>
      </c>
    </row>
    <row r="237" customFormat="1" s="17">
      <c r="A237" s="13" t="inlineStr">
        <is>
          <t xml:space="preserve"> </t>
        </is>
      </c>
      <c r="B237" s="13" t="n"/>
      <c r="C237" s="27" t="inlineStr">
        <is>
          <t>Total Shareholders' Equity</t>
        </is>
      </c>
      <c r="D237" s="16">
        <f>SUM(D214+D219+D220+D233+D234+D235+D236)</f>
        <v>1622.70333256</v>
      </c>
      <c r="E237" s="16">
        <f>SUM(E214+E219+E220+E233+E234+E235+E236)</f>
        <v>1549.13214135</v>
      </c>
      <c r="F237" s="16">
        <f>SUM(F214+F219+F220+F233+F234+F235+F236)</f>
        <v>1687.53967595</v>
      </c>
      <c r="G237" s="16">
        <f>SUM(G214+G219+G220+G233+G234+G235+G236)</f>
        <v>1750.85029909</v>
      </c>
      <c r="H237" s="16">
        <f>SUM(H214,H219,H220,H233,H234,H235,H236)</f>
        <v>1750.85029909</v>
      </c>
      <c r="I237" s="16">
        <f>SUM(I214+I219+I220+I233+I234+I235+I236)</f>
        <v>1692.87845104</v>
      </c>
      <c r="J237" s="16">
        <f>SUM(J214+J219+J220+J233+J234+J235+J236)</f>
        <v>1758.33725252</v>
      </c>
      <c r="K237" s="16">
        <f>SUM(K214+K219+K220+K233+K234+K235+K236)</f>
        <v>1817.79495045956</v>
      </c>
      <c r="L237" s="16">
        <f>SUM(L214+L219+L220+L233+L234+L235+L236)</f>
        <v>1854.48115609486</v>
      </c>
      <c r="M237" s="16">
        <f>SUM(M214,M219,M220,M233,M234,M235,M236)</f>
        <v>1854.48115609486</v>
      </c>
      <c r="N237" s="16">
        <f>SUM(N214+N219+N220+N233+N234+N235+N236)</f>
        <v>1753.71072629731</v>
      </c>
      <c r="O237" s="16">
        <f>SUM(O214+O219+O220+O233+O234+O235+O236)</f>
        <v>1828.7558225</v>
      </c>
      <c r="P237" s="16">
        <f>SUM(P214+P219+P220+P233+P234+P235+P236)</f>
        <v>1931.49111126</v>
      </c>
      <c r="Q237" s="16">
        <f>SUM(Q214+Q219+Q220+Q233+Q234+Q235+Q236)</f>
        <v>2701.085041487</v>
      </c>
      <c r="R237" s="16">
        <f>SUM(R214,R219,R220,R233,R234,R235,R236)</f>
        <v>2701.085041487</v>
      </c>
      <c r="S237" s="16">
        <f>SUM(S214+S219+S220+S233+S234+S235+S236)</f>
        <v>2807.98403782</v>
      </c>
      <c r="T237" s="16">
        <f>SUM(T214+T219+T220+T233+T234+T235+T236)</f>
        <v>5108.584</v>
      </c>
      <c r="U237" s="16">
        <f>SUM(U214+U219+U220+U233+U234+U235+U236)</f>
        <v>5191.945</v>
      </c>
      <c r="V237" s="16">
        <f>SUM(V214+V219+V220+V233+V234+V235+V236)</f>
        <v>5111.07</v>
      </c>
      <c r="W237" s="16">
        <f>SUM(W214,W219,W220,W233,W234,W235,W236)</f>
        <v>5111.07</v>
      </c>
      <c r="X237" s="16">
        <f>SUM(X214+X219+X220+X233+X234+X235+X236)</f>
        <v>5212.72595537414</v>
      </c>
      <c r="Y237" s="16">
        <f>SUM(Y214+Y219+Y220+Y233+Y234+Y235+Y236)</f>
        <v>5431.04527570752</v>
      </c>
      <c r="Z237" s="16">
        <f>SUM(Z214+Z219+Z220+Z233+Z234+Z235+Z236)</f>
        <v>5427.855</v>
      </c>
      <c r="AA237" s="16">
        <f>SUM(AA214+AA219+AA220+AA233+AA234+AA235+AA236)</f>
        <v>5374.831</v>
      </c>
      <c r="AB237" s="16">
        <f>SUM(AB214,AB219,AB220,AB233,AB234,AB235,AB236)</f>
        <v>5374.831</v>
      </c>
      <c r="AC237" s="16">
        <f>SUM(AC214+AC219+AC220+AC233+AC234+AC235+AC236)</f>
        <v>5320.223028</v>
      </c>
      <c r="AD237" s="16">
        <f>SUM(AD214+AD219+AD220+AD233+AD234+AD235+AD236)</f>
        <v>5470.52</v>
      </c>
      <c r="AE237" s="16">
        <f>SUM(AE214+AE219+AE220+AE233+AE234+AE235+AE236)</f>
        <v>5482.672</v>
      </c>
      <c r="AF237" s="16">
        <f>SUM(AF214+AF219+AF220+AF233+AF234+AF235+AF236)</f>
        <v>5096.268</v>
      </c>
      <c r="AG237" s="16">
        <f>SUM(AG214,AG219,AG220,AG233,AG234,AG235,AG236)</f>
        <v>5096.268</v>
      </c>
      <c r="AH237" s="16">
        <f>SUM(AH214+AH219+AH220+AH233+AH234+AH235+AH236)</f>
        <v>5179.67262359</v>
      </c>
      <c r="AI237" s="16">
        <f>SUM(AI214+AI219+AI220+AI233+AI234+AI235+AI236)</f>
        <v>5512.33357422</v>
      </c>
      <c r="AJ237" s="16">
        <f>SUM(AJ214+AJ219+AJ220+AJ233+AJ234+AJ235+AJ236)</f>
        <v>5594.40285972658</v>
      </c>
      <c r="AK237" s="16">
        <f>SUM(AK214+AK219+AK220+AK233+AK234+AK235+AK236)</f>
        <v>5924.9341637617</v>
      </c>
      <c r="AL237" s="16">
        <f>SUM(AL214,AL219,AL220,AL233,AL234,AL235,AL236)</f>
        <v>5924.9341637617</v>
      </c>
      <c r="AM237" s="16">
        <f>SUM(AM214+AM219+AM220+AM233+AM234+AM235+AM236)</f>
        <v>6258.1001143917</v>
      </c>
      <c r="AN237" s="16">
        <f>SUM(AN214+AN219+AN220+AN233+AN234+AN235+AN236)</f>
        <v>7097.5492628317</v>
      </c>
      <c r="AO237" s="16">
        <f>SUM(AO214+AO219+AO220+AO233+AO234+AO235+AO236)</f>
        <v>7429.37987537828</v>
      </c>
      <c r="AP237" s="16">
        <f>SUM(AP214+AP219+AP220+AP233+AP234+AP235+AP236)</f>
        <v>8266.6993772234</v>
      </c>
      <c r="AQ237" s="16">
        <f>SUM(AQ214,AQ219,AQ220,AQ233,AQ234,AQ235,AQ236)</f>
        <v>8266.6993772234</v>
      </c>
      <c r="AR237" s="16">
        <f>SUM(AR214+AR219+AR220+AR233+AR234+AR235+AR236)</f>
        <v>9106.6535256634</v>
      </c>
      <c r="AS237" s="16">
        <f>SUM(AS214+AS219+AS220+AS233+AS234+AS235+AS236)</f>
        <v>11459.2017238034</v>
      </c>
      <c r="AT237" s="16">
        <f>SUM(AT214+AT219+AT220+AT233+AT234+AT235+AT236)</f>
        <v>12297.82053416</v>
      </c>
      <c r="AU237" s="16">
        <f>SUM(AU214+AU219+AU220+AU233+AU234+AU235+AU236)</f>
        <v>14648.2390857051</v>
      </c>
      <c r="AV237" s="16">
        <f>SUM(AV214,AV219,AV220,AV233,AV234,AV235,AV236)</f>
        <v>14648.2390857051</v>
      </c>
      <c r="AW237" s="16">
        <f>SUM(AW214+AW219+AW220+AW233+AW234+AW235+AW236)</f>
        <v>17001.2922838451</v>
      </c>
      <c r="AX237" s="16">
        <f>SUM(AX214+AX219+AX220+AX233+AX234+AX235+AX236)</f>
        <v>23393.6149770051</v>
      </c>
      <c r="AY237" s="16">
        <f>SUM(AY214+AY219+AY220+AY233+AY234+AY235+AY236)</f>
        <v>25745.3328370617</v>
      </c>
      <c r="AZ237" s="16">
        <f>SUM(AZ214+AZ219+AZ220+AZ233+AZ234+AZ235+AZ236)</f>
        <v>32135.5258836268</v>
      </c>
      <c r="BA237" s="16">
        <f>SUM(BA214,BA219,BA220,BA233,BA234,BA235,BA236)</f>
        <v>32135.5258836268</v>
      </c>
      <c r="BB237" s="16">
        <f>SUM(BB214+BB219+BB220+BB233+BB234+BB235+BB236)</f>
        <v>38528.3535767868</v>
      </c>
      <c r="BC237" s="16">
        <f>SUM(BC214+BC219+BC220+BC233+BC234+BC235+BC236)</f>
        <v>56026.4233593868</v>
      </c>
      <c r="BD237" s="16">
        <f>SUM(BD214+BD219+BD220+BD233+BD234+BD235+BD236)</f>
        <v>62417.9157144634</v>
      </c>
      <c r="BE237" s="16">
        <f>SUM(BE214+BE219+BE220+BE233+BE234+BE235+BE236)</f>
        <v>79913.8558504685</v>
      </c>
      <c r="BF237" s="16">
        <f>SUM(BF214,BF219,BF220,BF233,BF234,BF235,BF236)</f>
        <v>79913.8558504685</v>
      </c>
      <c r="BG237" s="16">
        <f>SUM(BG214+BG219+BG220+BG233+BG234+BG235+BG236)</f>
        <v>97412.4306330685</v>
      </c>
      <c r="BH237" s="16">
        <f>SUM(BH214+BH219+BH220+BH233+BH234+BH235+BH236)</f>
        <v>145201.543584589</v>
      </c>
      <c r="BI237" s="16">
        <f>SUM(BI214+BI219+BI220+BI233+BI234+BI235+BI236)</f>
        <v>162698.783029105</v>
      </c>
      <c r="BJ237" s="16">
        <f>SUM(BJ214+BJ219+BJ220+BJ233+BJ234+BJ235+BJ236)</f>
        <v>210485.76633403</v>
      </c>
      <c r="BK237" s="16">
        <f>SUM(BK214,BK219,BK220,BK233,BK234,BK235,BK236)</f>
        <v>210485.76633403</v>
      </c>
      <c r="BL237" s="16">
        <f>SUM(BL214+BL219+BL220+BL233+BL234+BL235+BL236)</f>
        <v>258275.38428555</v>
      </c>
      <c r="BM237" s="16">
        <f>SUM(BM214+BM219+BM220+BM233+BM234+BM235+BM236)</f>
        <v>388858.07775379</v>
      </c>
      <c r="BN237" s="16">
        <f>SUM(BN214+BN219+BN220+BN233+BN234+BN235+BN236)</f>
        <v>436646.360367227</v>
      </c>
      <c r="BO237" s="16">
        <f>SUM(BO214+BO219+BO220+BO233+BO234+BO235+BO236)</f>
        <v>567226.924188872</v>
      </c>
      <c r="BP237" s="16">
        <f>SUM(BP214,BP219,BP220,BP233,BP234,BP235,BP236)</f>
        <v>567226.924188872</v>
      </c>
      <c r="BQ237" s="16">
        <f>SUM(BQ214+BQ219+BQ220+BQ233+BQ234+BQ235+BQ236)</f>
        <v>697810.122657112</v>
      </c>
      <c r="BR237" s="16">
        <f>SUM(BR214+BR219+BR220+BR233+BR234+BR235+BR236)</f>
        <v>1054562.06349663</v>
      </c>
      <c r="BS237" s="16">
        <f>SUM(BS214+BS219+BS220+BS233+BS234+BS235+BS236)</f>
        <v>1185143.92662679</v>
      </c>
      <c r="BT237" s="16">
        <f>SUM(BT214+BT219+BT220+BT233+BT234+BT235+BT236)</f>
        <v>1541893.73781971</v>
      </c>
      <c r="BU237" s="16">
        <f>SUM(BU214,BU219,BU220,BU233,BU234,BU235,BU236)</f>
        <v>1541893.73781971</v>
      </c>
      <c r="BV237" s="16">
        <f>SUM(BV214+BV219+BV220+BV233+BV234+BV235+BV236)</f>
        <v>1898646.18365923</v>
      </c>
      <c r="BW237" s="16">
        <f>SUM(BW214+BW219+BW220+BW233+BW234+BW235+BW236)</f>
        <v>2873323.78027475</v>
      </c>
      <c r="BX237" s="16">
        <f>SUM(BX214+BX219+BX220+BX233+BX234+BX235+BX236)</f>
        <v>3230074.89077619</v>
      </c>
      <c r="BY237" s="16">
        <f>SUM(BY214+BY219+BY220+BY233+BY234+BY235+BY236)</f>
        <v>4204750.35774512</v>
      </c>
      <c r="BZ237" s="16">
        <f>SUM(BZ214,BZ219,BZ220,BZ233,BZ234,BZ235,BZ236)</f>
        <v>4204750.35774512</v>
      </c>
      <c r="CA237" s="16">
        <f>SUM(CA214+CA219+CA220+CA233+CA234+CA235+CA236)</f>
        <v>5179428.45936064</v>
      </c>
      <c r="CB237" s="16">
        <f>SUM(CB214+CB219+CB220+CB233+CB234+CB235+CB236)</f>
        <v>7842295.86227072</v>
      </c>
      <c r="CC237" s="16">
        <f>SUM(CC214+CC219+CC220+CC233+CC234+CC235+CC236)</f>
        <v>8816972.62854816</v>
      </c>
      <c r="CD237" s="16">
        <f>SUM(CD214+CD219+CD220+CD233+CD234+CD235+CD236)</f>
        <v>11479837.9018116</v>
      </c>
      <c r="CE237" s="16">
        <f>SUM(CE214,CE219,CE220,CE233,CE234,CE235,CE236)</f>
        <v>11479837.9018116</v>
      </c>
      <c r="CF237" s="16">
        <f>SUM(CF214+CF219+CF220+CF233+CF234+CF235+CF236)</f>
        <v>14142705.8097217</v>
      </c>
      <c r="CG237" s="16">
        <f>SUM(CG214+CG219+CG220+CG233+CG234+CG235+CG236)</f>
        <v>21417804.1367729</v>
      </c>
      <c r="CH237" s="16">
        <f>SUM(CH214+CH219+CH220+CH233+CH234+CH235+CH236)</f>
        <v>24080670.7093449</v>
      </c>
      <c r="CI237" s="16">
        <f>SUM(CI214+CI219+CI220+CI233+CI234+CI235+CI236)</f>
        <v>31355766.9067495</v>
      </c>
      <c r="CJ237" s="16">
        <f>SUM(CJ214,CJ219,CJ220,CJ233,CJ234,CJ235,CJ236)</f>
        <v>31355766.9067495</v>
      </c>
      <c r="CK237" s="16">
        <f>SUM(CK214+CK219+CK220+CK233+CK234+CK235+CK236)</f>
        <v>38630865.7388007</v>
      </c>
      <c r="CL237" s="16">
        <f>SUM(CL214+CL219+CL220+CL233+CL234+CL235+CL236)</f>
        <v>58506805.5267233</v>
      </c>
      <c r="CM237" s="16">
        <f>SUM(CM214+CM219+CM220+CM233+CM234+CM235+CM236)</f>
        <v>65781903.0234364</v>
      </c>
      <c r="CN237" s="16">
        <f>SUM(CN214+CN219+CN220+CN233+CN234+CN235+CN236)</f>
        <v>85657840.6817124</v>
      </c>
      <c r="CO237" s="16">
        <f>SUM(CO214,CO219,CO220,CO233,CO234,CO235,CO236)</f>
        <v>85657840.6817124</v>
      </c>
      <c r="CP237" s="16">
        <f>SUM(CP214+CP219+CP220+CP233+CP234+CP235+CP236)</f>
        <v>105533780.974635</v>
      </c>
      <c r="CQ237" s="16">
        <f>SUM(CQ214+CQ219+CQ220+CQ233+CQ234+CQ235+CQ236)</f>
        <v>159835865.532582</v>
      </c>
      <c r="CR237" s="16">
        <f>SUM(CR214+CR219+CR220+CR233+CR234+CR235+CR236)</f>
        <v>179711804.490167</v>
      </c>
      <c r="CS237" s="16">
        <f>SUM(CS214+CS219+CS220+CS233+CS234+CS235+CS236)</f>
        <v>234013886.918468</v>
      </c>
      <c r="CT237" s="16">
        <f>SUM(CT214,CT219,CT220,CT233,CT234,CT235,CT236)</f>
        <v>234013886.918468</v>
      </c>
      <c r="CU237" s="16">
        <f>SUM(CU214+CU219+CU220+CU233+CU234+CU235+CU236)</f>
        <v>288315971.981415</v>
      </c>
      <c r="CV237" s="16">
        <f>SUM(CV214+CV219+CV220+CV233+CV234+CV235+CV236)</f>
        <v>436672029.001156</v>
      </c>
      <c r="CW237" s="16">
        <f>SUM(CW214+CW219+CW220+CW233+CW234+CW235+CW236)</f>
        <v>490974112.728765</v>
      </c>
      <c r="CX237" s="16">
        <f>SUM(CX214+CX219+CX220+CX233+CX234+CX235+CX236)</f>
        <v>639330167.618859</v>
      </c>
      <c r="CY237" s="16">
        <f>SUM(CY214,CY219,CY220,CY233,CY234,CY235,CY236)</f>
        <v>639330167.618859</v>
      </c>
    </row>
    <row r="238">
      <c r="C238" s="29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customFormat="1" s="17">
      <c r="A239" s="13" t="n"/>
      <c r="B239" s="1" t="n"/>
      <c r="C239" s="14" t="inlineStr">
        <is>
          <t>Total Liabilities + Shareholders' Equity</t>
        </is>
      </c>
      <c r="D239" s="16">
        <f>D237+D213</f>
        <v>5143.73749382</v>
      </c>
      <c r="E239" s="16">
        <f>E237+E213</f>
        <v>5468.97016587</v>
      </c>
      <c r="F239" s="16">
        <f>F237+F213</f>
        <v>5653.50594052</v>
      </c>
      <c r="G239" s="16">
        <f>G237+G213</f>
        <v>5587.53435953</v>
      </c>
      <c r="H239" s="16">
        <f>H237+H213</f>
        <v>5587.53435953</v>
      </c>
      <c r="I239" s="16">
        <f>I237+I213</f>
        <v>5573.5394535</v>
      </c>
      <c r="J239" s="16">
        <f>J237+J213</f>
        <v>5405.80583362</v>
      </c>
      <c r="K239" s="16">
        <f>K237+K213</f>
        <v>6285.68944721956</v>
      </c>
      <c r="L239" s="16">
        <f>L237+L213</f>
        <v>6073.76872348486</v>
      </c>
      <c r="M239" s="16">
        <f>M237+M213</f>
        <v>6073.76872348486</v>
      </c>
      <c r="N239" s="16">
        <f>N237+N213</f>
        <v>5995.98702999731</v>
      </c>
      <c r="O239" s="16">
        <f>O237+O213</f>
        <v>6839.71485355</v>
      </c>
      <c r="P239" s="16">
        <f>P237+P213</f>
        <v>7036.07210587</v>
      </c>
      <c r="Q239" s="16">
        <f>Q237+Q213</f>
        <v>7791.770526647</v>
      </c>
      <c r="R239" s="16">
        <f>R237+R213</f>
        <v>7791.770526647</v>
      </c>
      <c r="S239" s="16">
        <f>S237+S213</f>
        <v>7863.87906251</v>
      </c>
      <c r="T239" s="16">
        <f>T237+T213</f>
        <v>11509.984</v>
      </c>
      <c r="U239" s="16">
        <f>U237+U213</f>
        <v>11533.043</v>
      </c>
      <c r="V239" s="16">
        <f>V237+V213</f>
        <v>11579.968</v>
      </c>
      <c r="W239" s="16">
        <f>W237+W213</f>
        <v>11579.968</v>
      </c>
      <c r="X239" s="16">
        <f>X237+X213</f>
        <v>11686.0925366441</v>
      </c>
      <c r="Y239" s="16">
        <f>Y237+Y213</f>
        <v>12802.3942757075</v>
      </c>
      <c r="Z239" s="16">
        <f>Z237+Z213</f>
        <v>13031.228</v>
      </c>
      <c r="AA239" s="16">
        <f>AA237+AA213</f>
        <v>13062.41</v>
      </c>
      <c r="AB239" s="16">
        <f>AB237+AB213</f>
        <v>13062.41</v>
      </c>
      <c r="AC239" s="16">
        <f>AC237+AC213</f>
        <v>13270.72696719</v>
      </c>
      <c r="AD239" s="16">
        <f>AD237+AD213</f>
        <v>13072.446</v>
      </c>
      <c r="AE239" s="16">
        <f>AE237+AE213</f>
        <v>13584.226</v>
      </c>
      <c r="AF239" s="16">
        <f>AF237+AF213</f>
        <v>13220.481</v>
      </c>
      <c r="AG239" s="16">
        <f>AG237+AG213</f>
        <v>13220.481</v>
      </c>
      <c r="AH239" s="16">
        <f>AH237+AH213</f>
        <v>11998.59062359</v>
      </c>
      <c r="AI239" s="16">
        <f>AI237+AI213</f>
        <v>12331.25157422</v>
      </c>
      <c r="AJ239" s="16" t="e">
        <f>AJ237+AJ213</f>
        <v>#DIV/0!</v>
      </c>
      <c r="AK239" s="16" t="e">
        <f>AK237+AK213</f>
        <v>#DIV/0!</v>
      </c>
      <c r="AL239" s="16" t="e">
        <f>AL237+AL213</f>
        <v>#DIV/0!</v>
      </c>
      <c r="AM239" s="16" t="e">
        <f>AM237+AM213</f>
        <v>#DIV/0!</v>
      </c>
      <c r="AN239" s="16" t="e">
        <f>AN237+AN213</f>
        <v>#DIV/0!</v>
      </c>
      <c r="AO239" s="16" t="e">
        <f>AO237+AO213</f>
        <v>#DIV/0!</v>
      </c>
      <c r="AP239" s="16" t="e">
        <f>AP237+AP213</f>
        <v>#DIV/0!</v>
      </c>
      <c r="AQ239" s="16" t="e">
        <f>AQ237+AQ213</f>
        <v>#DIV/0!</v>
      </c>
      <c r="AR239" s="16" t="e">
        <f>AR237+AR213</f>
        <v>#DIV/0!</v>
      </c>
      <c r="AS239" s="16" t="e">
        <f>AS237+AS213</f>
        <v>#DIV/0!</v>
      </c>
      <c r="AT239" s="16" t="e">
        <f>AT237+AT213</f>
        <v>#DIV/0!</v>
      </c>
      <c r="AU239" s="16" t="e">
        <f>AU237+AU213</f>
        <v>#DIV/0!</v>
      </c>
      <c r="AV239" s="16" t="e">
        <f>AV237+AV213</f>
        <v>#DIV/0!</v>
      </c>
      <c r="AW239" s="16" t="e">
        <f>AW237+AW213</f>
        <v>#DIV/0!</v>
      </c>
      <c r="AX239" s="16" t="e">
        <f>AX237+AX213</f>
        <v>#DIV/0!</v>
      </c>
      <c r="AY239" s="16" t="e">
        <f>AY237+AY213</f>
        <v>#DIV/0!</v>
      </c>
      <c r="AZ239" s="16" t="e">
        <f>AZ237+AZ213</f>
        <v>#DIV/0!</v>
      </c>
      <c r="BA239" s="16" t="e">
        <f>BA237+BA213</f>
        <v>#DIV/0!</v>
      </c>
      <c r="BB239" s="16" t="e">
        <f>BB237+BB213</f>
        <v>#DIV/0!</v>
      </c>
      <c r="BC239" s="16" t="e">
        <f>BC237+BC213</f>
        <v>#DIV/0!</v>
      </c>
      <c r="BD239" s="16" t="e">
        <f>BD237+BD213</f>
        <v>#DIV/0!</v>
      </c>
      <c r="BE239" s="16" t="e">
        <f>BE237+BE213</f>
        <v>#DIV/0!</v>
      </c>
      <c r="BF239" s="16" t="e">
        <f>BF237+BF213</f>
        <v>#DIV/0!</v>
      </c>
      <c r="BG239" s="16" t="e">
        <f>BG237+BG213</f>
        <v>#DIV/0!</v>
      </c>
      <c r="BH239" s="16" t="e">
        <f>BH237+BH213</f>
        <v>#DIV/0!</v>
      </c>
      <c r="BI239" s="16" t="e">
        <f>BI237+BI213</f>
        <v>#DIV/0!</v>
      </c>
      <c r="BJ239" s="16" t="e">
        <f>BJ237+BJ213</f>
        <v>#DIV/0!</v>
      </c>
      <c r="BK239" s="16" t="e">
        <f>BK237+BK213</f>
        <v>#DIV/0!</v>
      </c>
      <c r="BL239" s="16" t="e">
        <f>BL237+BL213</f>
        <v>#DIV/0!</v>
      </c>
      <c r="BM239" s="16" t="e">
        <f>BM237+BM213</f>
        <v>#DIV/0!</v>
      </c>
      <c r="BN239" s="16" t="e">
        <f>BN237+BN213</f>
        <v>#DIV/0!</v>
      </c>
      <c r="BO239" s="16" t="e">
        <f>BO237+BO213</f>
        <v>#DIV/0!</v>
      </c>
      <c r="BP239" s="16" t="e">
        <f>BP237+BP213</f>
        <v>#DIV/0!</v>
      </c>
      <c r="BQ239" s="16" t="e">
        <f>BQ237+BQ213</f>
        <v>#DIV/0!</v>
      </c>
      <c r="BR239" s="16" t="e">
        <f>BR237+BR213</f>
        <v>#DIV/0!</v>
      </c>
      <c r="BS239" s="16" t="e">
        <f>BS237+BS213</f>
        <v>#DIV/0!</v>
      </c>
      <c r="BT239" s="16" t="e">
        <f>BT237+BT213</f>
        <v>#DIV/0!</v>
      </c>
      <c r="BU239" s="16" t="e">
        <f>BU237+BU213</f>
        <v>#DIV/0!</v>
      </c>
      <c r="BV239" s="16" t="e">
        <f>BV237+BV213</f>
        <v>#DIV/0!</v>
      </c>
      <c r="BW239" s="16" t="e">
        <f>BW237+BW213</f>
        <v>#DIV/0!</v>
      </c>
      <c r="BX239" s="16" t="e">
        <f>BX237+BX213</f>
        <v>#DIV/0!</v>
      </c>
      <c r="BY239" s="16" t="e">
        <f>BY237+BY213</f>
        <v>#DIV/0!</v>
      </c>
      <c r="BZ239" s="16" t="e">
        <f>BZ237+BZ213</f>
        <v>#DIV/0!</v>
      </c>
      <c r="CA239" s="16" t="e">
        <f>CA237+CA213</f>
        <v>#DIV/0!</v>
      </c>
      <c r="CB239" s="16" t="e">
        <f>CB237+CB213</f>
        <v>#DIV/0!</v>
      </c>
      <c r="CC239" s="16" t="e">
        <f>CC237+CC213</f>
        <v>#DIV/0!</v>
      </c>
      <c r="CD239" s="16" t="e">
        <f>CD237+CD213</f>
        <v>#DIV/0!</v>
      </c>
      <c r="CE239" s="16" t="e">
        <f>CE237+CE213</f>
        <v>#DIV/0!</v>
      </c>
      <c r="CF239" s="16" t="e">
        <f>CF237+CF213</f>
        <v>#DIV/0!</v>
      </c>
      <c r="CG239" s="16" t="e">
        <f>CG237+CG213</f>
        <v>#DIV/0!</v>
      </c>
      <c r="CH239" s="16" t="e">
        <f>CH237+CH213</f>
        <v>#DIV/0!</v>
      </c>
      <c r="CI239" s="16" t="e">
        <f>CI237+CI213</f>
        <v>#DIV/0!</v>
      </c>
      <c r="CJ239" s="16" t="e">
        <f>CJ237+CJ213</f>
        <v>#DIV/0!</v>
      </c>
      <c r="CK239" s="16" t="e">
        <f>CK237+CK213</f>
        <v>#DIV/0!</v>
      </c>
      <c r="CL239" s="16" t="e">
        <f>CL237+CL213</f>
        <v>#DIV/0!</v>
      </c>
      <c r="CM239" s="16" t="e">
        <f>CM237+CM213</f>
        <v>#DIV/0!</v>
      </c>
      <c r="CN239" s="16" t="e">
        <f>CN237+CN213</f>
        <v>#DIV/0!</v>
      </c>
      <c r="CO239" s="16" t="e">
        <f>CO237+CO213</f>
        <v>#DIV/0!</v>
      </c>
      <c r="CP239" s="16" t="e">
        <f>CP237+CP213</f>
        <v>#DIV/0!</v>
      </c>
      <c r="CQ239" s="16" t="e">
        <f>CQ237+CQ213</f>
        <v>#DIV/0!</v>
      </c>
      <c r="CR239" s="16" t="e">
        <f>CR237+CR213</f>
        <v>#DIV/0!</v>
      </c>
      <c r="CS239" s="16" t="e">
        <f>CS237+CS213</f>
        <v>#DIV/0!</v>
      </c>
      <c r="CT239" s="16" t="e">
        <f>CT237+CT213</f>
        <v>#DIV/0!</v>
      </c>
      <c r="CU239" s="16" t="e">
        <f>CU237+CU213</f>
        <v>#DIV/0!</v>
      </c>
      <c r="CV239" s="16" t="e">
        <f>CV237+CV213</f>
        <v>#DIV/0!</v>
      </c>
      <c r="CW239" s="16" t="e">
        <f>CW237+CW213</f>
        <v>#DIV/0!</v>
      </c>
      <c r="CX239" s="16" t="e">
        <f>CX237+CX213</f>
        <v>#DIV/0!</v>
      </c>
      <c r="CY239" s="16" t="e">
        <f>CY237+CY213</f>
        <v>#DIV/0!</v>
      </c>
    </row>
    <row r="240">
      <c r="C240" s="5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  <c r="AZ240" s="1" t="n"/>
      <c r="BA240" s="1" t="n"/>
      <c r="BB240" s="1" t="n"/>
      <c r="BC240" s="1" t="n"/>
      <c r="BD240" s="1" t="n"/>
      <c r="BE240" s="1" t="n"/>
      <c r="BF240" s="1" t="n"/>
      <c r="BG240" s="1" t="n"/>
      <c r="BH240" s="1" t="n"/>
      <c r="BI240" s="1" t="n"/>
      <c r="BJ240" s="1" t="n"/>
      <c r="BK240" s="1" t="n"/>
      <c r="BL240" s="1" t="n"/>
      <c r="BM240" s="1" t="n"/>
      <c r="BN240" s="1" t="n"/>
      <c r="BO240" s="1" t="n"/>
      <c r="BP240" s="1" t="n"/>
      <c r="BQ240" s="1" t="n"/>
      <c r="BR240" s="1" t="n"/>
      <c r="BS240" s="1" t="n"/>
      <c r="BT240" s="1" t="n"/>
      <c r="BU240" s="1" t="n"/>
      <c r="BV240" s="1" t="n"/>
      <c r="BW240" s="1" t="n"/>
      <c r="BX240" s="1" t="n"/>
      <c r="BY240" s="1" t="n"/>
      <c r="BZ240" s="1" t="n"/>
      <c r="CA240" s="1" t="n"/>
      <c r="CB240" s="1" t="n"/>
      <c r="CC240" s="1" t="n"/>
      <c r="CD240" s="1" t="n"/>
      <c r="CE240" s="1" t="n"/>
      <c r="CF240" s="1" t="n"/>
      <c r="CG240" s="1" t="n"/>
      <c r="CH240" s="1" t="n"/>
      <c r="CI240" s="1" t="n"/>
      <c r="CJ240" s="1" t="n"/>
      <c r="CK240" s="1" t="n"/>
      <c r="CL240" s="1" t="n"/>
      <c r="CM240" s="1" t="n"/>
      <c r="CN240" s="1" t="n"/>
      <c r="CO240" s="1" t="n"/>
      <c r="CP240" s="1" t="n"/>
      <c r="CQ240" s="1" t="n"/>
      <c r="CR240" s="1" t="n"/>
      <c r="CS240" s="1" t="n"/>
      <c r="CT240" s="1" t="n"/>
      <c r="CU240" s="1" t="n"/>
      <c r="CV240" s="1" t="n"/>
      <c r="CW240" s="1" t="n"/>
      <c r="CX240" s="1" t="n"/>
      <c r="CY240" s="1" t="n"/>
    </row>
    <row r="241" customFormat="1" s="17">
      <c r="A241" s="13" t="n"/>
      <c r="B241" s="13" t="n"/>
      <c r="C241" s="12" t="inlineStr">
        <is>
          <t>Cash Flow Statement</t>
        </is>
      </c>
      <c r="D241" s="232" t="str">
        <f>D108</f>
        <v>1Q20</v>
      </c>
      <c r="E241" s="232" t="str">
        <f>E108</f>
        <v>2Q20</v>
      </c>
      <c r="F241" s="232" t="str">
        <f>F108</f>
        <v>3Q20</v>
      </c>
      <c r="G241" s="232" t="str">
        <f>G108</f>
        <v>4Q20</v>
      </c>
      <c r="H241" s="232">
        <f>H108</f>
        <v>2020</v>
      </c>
      <c r="I241" s="232" t="str">
        <f>I108</f>
        <v>1Q21</v>
      </c>
      <c r="J241" s="232" t="str">
        <f>J108</f>
        <v>2Q21</v>
      </c>
      <c r="K241" s="232" t="str">
        <f>K108</f>
        <v>3Q21</v>
      </c>
      <c r="L241" s="232" t="str">
        <f>L108</f>
        <v>4Q21</v>
      </c>
      <c r="M241" s="232">
        <f>M108</f>
        <v>2021</v>
      </c>
      <c r="N241" s="232" t="str">
        <f>N108</f>
        <v>1Q22</v>
      </c>
      <c r="O241" s="232" t="str">
        <f>O108</f>
        <v>2Q22</v>
      </c>
      <c r="P241" s="232" t="str">
        <f>P108</f>
        <v>3Q22</v>
      </c>
      <c r="Q241" s="232" t="str">
        <f>Q108</f>
        <v>4Q22</v>
      </c>
      <c r="R241" s="232">
        <f>R108</f>
        <v>2022</v>
      </c>
      <c r="S241" s="232" t="str">
        <f>S108</f>
        <v>1Q23</v>
      </c>
      <c r="T241" s="232" t="str">
        <f>T108</f>
        <v>2Q23</v>
      </c>
      <c r="U241" s="232" t="str">
        <f>U108</f>
        <v>3Q23</v>
      </c>
      <c r="V241" s="232" t="str">
        <f>V108</f>
        <v>4Q23</v>
      </c>
      <c r="W241" s="232">
        <f>W108</f>
        <v>2023</v>
      </c>
      <c r="X241" s="232" t="str">
        <f>X108</f>
        <v>1Q24</v>
      </c>
      <c r="Y241" s="232" t="str">
        <f>Y108</f>
        <v>2Q24</v>
      </c>
      <c r="Z241" s="232" t="str">
        <f>Z108</f>
        <v>3Q24</v>
      </c>
      <c r="AA241" s="232" t="str">
        <f>AA108</f>
        <v>4Q24</v>
      </c>
      <c r="AB241" s="232">
        <f>AB108</f>
        <v>2024</v>
      </c>
      <c r="AC241" s="232" t="str">
        <f>AC108</f>
        <v>1Q25</v>
      </c>
      <c r="AD241" s="232" t="str">
        <f>AD108</f>
        <v>2Q25</v>
      </c>
      <c r="AE241" s="232" t="str">
        <f>AE108</f>
        <v>3Q25</v>
      </c>
      <c r="AF241" s="232" t="str">
        <f>AF108</f>
        <v>4Q25</v>
      </c>
      <c r="AG241" s="232">
        <f>AG108</f>
        <v>2025</v>
      </c>
      <c r="AH241" s="232" t="str">
        <f>AH108</f>
        <v>1Q26</v>
      </c>
      <c r="AI241" s="232" t="str">
        <f>AI108</f>
        <v>2Q26</v>
      </c>
      <c r="AJ241" s="232" t="str">
        <f>AJ108</f>
        <v>3Q26</v>
      </c>
      <c r="AK241" s="232" t="str">
        <f>AK108</f>
        <v>4Q26</v>
      </c>
      <c r="AL241" s="232">
        <f>AL108</f>
        <v>2026</v>
      </c>
      <c r="AM241" s="232" t="str">
        <f>AM108</f>
        <v>1Q27</v>
      </c>
      <c r="AN241" s="232" t="str">
        <f>AN108</f>
        <v>2Q27</v>
      </c>
      <c r="AO241" s="232" t="str">
        <f>AO108</f>
        <v>3Q27</v>
      </c>
      <c r="AP241" s="232" t="str">
        <f>AP108</f>
        <v>4Q27</v>
      </c>
      <c r="AQ241" s="232">
        <f>AQ108</f>
        <v>2027</v>
      </c>
      <c r="AR241" s="232" t="str">
        <f>AR108</f>
        <v>1Q28</v>
      </c>
      <c r="AS241" s="232" t="str">
        <f>AS108</f>
        <v>2Q28</v>
      </c>
      <c r="AT241" s="232" t="str">
        <f>AT108</f>
        <v>3Q28</v>
      </c>
      <c r="AU241" s="232" t="str">
        <f>AU108</f>
        <v>4Q28</v>
      </c>
      <c r="AV241" s="232">
        <f>AV108</f>
        <v>2028</v>
      </c>
      <c r="AW241" s="232" t="str">
        <f>AW108</f>
        <v>1Q29</v>
      </c>
      <c r="AX241" s="232" t="str">
        <f>AX108</f>
        <v>2Q29</v>
      </c>
      <c r="AY241" s="232" t="str">
        <f>AY108</f>
        <v>3Q29</v>
      </c>
      <c r="AZ241" s="232" t="str">
        <f>AZ108</f>
        <v>4Q29</v>
      </c>
      <c r="BA241" s="232">
        <f>BA108</f>
        <v>2029</v>
      </c>
      <c r="BB241" s="232" t="str">
        <f>BB108</f>
        <v>1Q30</v>
      </c>
      <c r="BC241" s="232" t="str">
        <f>BC108</f>
        <v>2Q30</v>
      </c>
      <c r="BD241" s="232" t="str">
        <f>BD108</f>
        <v>3Q30</v>
      </c>
      <c r="BE241" s="232" t="str">
        <f>BE108</f>
        <v>4Q30</v>
      </c>
      <c r="BF241" s="232">
        <f>BF108</f>
        <v>2030</v>
      </c>
      <c r="BG241" s="232" t="str">
        <f>BG108</f>
        <v>1Q31</v>
      </c>
      <c r="BH241" s="232" t="str">
        <f>BH108</f>
        <v>2Q31</v>
      </c>
      <c r="BI241" s="232" t="str">
        <f>BI108</f>
        <v>3Q31</v>
      </c>
      <c r="BJ241" s="232" t="str">
        <f>BJ108</f>
        <v>4Q31</v>
      </c>
      <c r="BK241" s="232">
        <f>BK108</f>
        <v>2031</v>
      </c>
      <c r="BL241" s="232" t="str">
        <f>BL108</f>
        <v>1Q32</v>
      </c>
      <c r="BM241" s="232" t="str">
        <f>BM108</f>
        <v>2Q32</v>
      </c>
      <c r="BN241" s="232" t="str">
        <f>BN108</f>
        <v>3Q32</v>
      </c>
      <c r="BO241" s="232" t="str">
        <f>BO108</f>
        <v>4Q32</v>
      </c>
      <c r="BP241" s="232">
        <f>BP108</f>
        <v>2032</v>
      </c>
      <c r="BQ241" s="232" t="str">
        <f>BQ108</f>
        <v>1Q33</v>
      </c>
      <c r="BR241" s="232" t="str">
        <f>BR108</f>
        <v>2Q33</v>
      </c>
      <c r="BS241" s="232" t="str">
        <f>BS108</f>
        <v>3Q33</v>
      </c>
      <c r="BT241" s="232" t="str">
        <f>BT108</f>
        <v>4Q33</v>
      </c>
      <c r="BU241" s="232">
        <f>BU108</f>
        <v>2033</v>
      </c>
      <c r="BV241" s="232" t="str">
        <f>BV108</f>
        <v>1Q34</v>
      </c>
      <c r="BW241" s="232" t="str">
        <f>BW108</f>
        <v>2Q34</v>
      </c>
      <c r="BX241" s="232" t="str">
        <f>BX108</f>
        <v>3Q34</v>
      </c>
      <c r="BY241" s="232" t="str">
        <f>BY108</f>
        <v>4Q34</v>
      </c>
      <c r="BZ241" s="232">
        <f>BZ108</f>
        <v>2034</v>
      </c>
      <c r="CA241" s="232" t="str">
        <f>CA108</f>
        <v>1Q35</v>
      </c>
      <c r="CB241" s="232" t="str">
        <f>CB108</f>
        <v>2Q35</v>
      </c>
      <c r="CC241" s="232" t="str">
        <f>CC108</f>
        <v>3Q35</v>
      </c>
      <c r="CD241" s="232" t="str">
        <f>CD108</f>
        <v>4Q35</v>
      </c>
      <c r="CE241" s="232">
        <f>CE108</f>
        <v>2035</v>
      </c>
      <c r="CF241" s="232" t="str">
        <f>CF108</f>
        <v>1Q36</v>
      </c>
      <c r="CG241" s="232" t="str">
        <f>CG108</f>
        <v>2Q36</v>
      </c>
      <c r="CH241" s="232" t="str">
        <f>CH108</f>
        <v>3Q36</v>
      </c>
      <c r="CI241" s="232" t="str">
        <f>CI108</f>
        <v>4Q36</v>
      </c>
      <c r="CJ241" s="232">
        <f>CJ108</f>
        <v>2036</v>
      </c>
      <c r="CK241" s="232" t="str">
        <f>CK108</f>
        <v>1Q37</v>
      </c>
      <c r="CL241" s="232" t="str">
        <f>CL108</f>
        <v>2Q37</v>
      </c>
      <c r="CM241" s="232" t="str">
        <f>CM108</f>
        <v>3Q37</v>
      </c>
      <c r="CN241" s="232" t="str">
        <f>CN108</f>
        <v>4Q37</v>
      </c>
      <c r="CO241" s="232">
        <f>CO108</f>
        <v>2037</v>
      </c>
      <c r="CP241" s="232" t="str">
        <f>CP108</f>
        <v>1Q38</v>
      </c>
      <c r="CQ241" s="232" t="str">
        <f>CQ108</f>
        <v>2Q38</v>
      </c>
      <c r="CR241" s="232" t="str">
        <f>CR108</f>
        <v>3Q38</v>
      </c>
      <c r="CS241" s="232" t="str">
        <f>CS108</f>
        <v>4Q38</v>
      </c>
      <c r="CT241" s="232">
        <f>CT108</f>
        <v>2038</v>
      </c>
      <c r="CU241" s="232" t="str">
        <f>CU108</f>
        <v>1Q39</v>
      </c>
      <c r="CV241" s="232" t="str">
        <f>CV108</f>
        <v>2Q39</v>
      </c>
      <c r="CW241" s="232" t="str">
        <f>CW108</f>
        <v>3Q39</v>
      </c>
      <c r="CX241" s="232" t="str">
        <f>CX108</f>
        <v>4Q39</v>
      </c>
      <c r="CY241" s="232">
        <f>CY108</f>
        <v>2039</v>
      </c>
    </row>
    <row r="242">
      <c r="C242" s="5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  <c r="AZ242" s="1" t="n"/>
      <c r="BA242" s="1" t="n"/>
      <c r="BB242" s="1" t="n"/>
      <c r="BC242" s="1" t="n"/>
      <c r="BD242" s="1" t="n"/>
      <c r="BE242" s="1" t="n"/>
      <c r="BF242" s="1" t="n"/>
      <c r="BG242" s="1" t="n"/>
      <c r="BH242" s="1" t="n"/>
      <c r="BI242" s="1" t="n"/>
      <c r="BJ242" s="1" t="n"/>
      <c r="BK242" s="1" t="n"/>
      <c r="BL242" s="1" t="n"/>
      <c r="BM242" s="1" t="n"/>
      <c r="BN242" s="1" t="n"/>
      <c r="BO242" s="1" t="n"/>
      <c r="BP242" s="1" t="n"/>
      <c r="BQ242" s="1" t="n"/>
      <c r="BR242" s="1" t="n"/>
      <c r="BS242" s="1" t="n"/>
      <c r="BT242" s="1" t="n"/>
      <c r="BU242" s="1" t="n"/>
      <c r="BV242" s="1" t="n"/>
      <c r="BW242" s="1" t="n"/>
      <c r="BX242" s="1" t="n"/>
      <c r="BY242" s="1" t="n"/>
      <c r="BZ242" s="1" t="n"/>
      <c r="CA242" s="1" t="n"/>
      <c r="CB242" s="1" t="n"/>
      <c r="CC242" s="1" t="n"/>
      <c r="CD242" s="1" t="n"/>
      <c r="CE242" s="1" t="n"/>
      <c r="CF242" s="1" t="n"/>
      <c r="CG242" s="1" t="n"/>
      <c r="CH242" s="1" t="n"/>
      <c r="CI242" s="1" t="n"/>
      <c r="CJ242" s="1" t="n"/>
      <c r="CK242" s="1" t="n"/>
      <c r="CL242" s="1" t="n"/>
      <c r="CM242" s="1" t="n"/>
      <c r="CN242" s="1" t="n"/>
      <c r="CO242" s="1" t="n"/>
      <c r="CP242" s="1" t="n"/>
      <c r="CQ242" s="1" t="n"/>
      <c r="CR242" s="1" t="n"/>
      <c r="CS242" s="1" t="n"/>
      <c r="CT242" s="1" t="n"/>
      <c r="CU242" s="1" t="n"/>
      <c r="CV242" s="1" t="n"/>
      <c r="CW242" s="1" t="n"/>
      <c r="CX242" s="1" t="n"/>
      <c r="CY242" s="1" t="n"/>
    </row>
    <row r="243">
      <c r="C243" s="29" t="inlineStr">
        <is>
          <t>Net Income</t>
        </is>
      </c>
      <c r="D243" s="3" t="n"/>
      <c r="E243" s="3">
        <f>E103</f>
        <v>-73.3055463168124</v>
      </c>
      <c r="F243" s="3">
        <f>F103</f>
        <v>132.064543995985</v>
      </c>
      <c r="G243" s="3">
        <f>G103</f>
        <v>139.482617970001</v>
      </c>
      <c r="H243" s="3">
        <f>SUM(D243:G243)</f>
        <v>198.241615649174</v>
      </c>
      <c r="I243" s="3">
        <f>I103</f>
        <v>118.61195704</v>
      </c>
      <c r="J243" s="3">
        <f>J103</f>
        <v>65.5346259299987</v>
      </c>
      <c r="K243" s="3">
        <f>K103</f>
        <v>94.9625657674033</v>
      </c>
      <c r="L243" s="3">
        <f>L103</f>
        <v>70.81580316</v>
      </c>
      <c r="M243" s="3">
        <f>SUM(I243:L243)</f>
        <v>349.924951897402</v>
      </c>
      <c r="N243" s="3">
        <f>N103</f>
        <v>110.440730339442</v>
      </c>
      <c r="O243" s="3">
        <f>O103</f>
        <v>70.509238398051</v>
      </c>
      <c r="P243" s="3">
        <f>P103</f>
        <v>96.0057500300001</v>
      </c>
      <c r="Q243" s="3">
        <f>Q103</f>
        <v>30.9526857900001</v>
      </c>
      <c r="R243" s="3">
        <f>SUM(N243:Q243)</f>
        <v>307.908404557493</v>
      </c>
      <c r="S243" s="3">
        <f>S103</f>
        <v>93.8518317599999</v>
      </c>
      <c r="T243" s="3">
        <f>T103</f>
        <v>74.4269289448079</v>
      </c>
      <c r="U243" s="3">
        <f>U103</f>
        <v>174.198435338059</v>
      </c>
      <c r="V243" s="3">
        <f>V103</f>
        <v>81.27880174393</v>
      </c>
      <c r="W243" s="3">
        <f>SUM(S243:V243)</f>
        <v>423.755997786797</v>
      </c>
      <c r="X243" s="3">
        <f>X103</f>
        <v>167.9596009</v>
      </c>
      <c r="Y243" s="3">
        <f>Y103</f>
        <v>173.586</v>
      </c>
      <c r="Z243" s="3">
        <f>Z103</f>
        <v>190.705474</v>
      </c>
      <c r="AA243" s="3">
        <f>AA103</f>
        <v>83.9209250999991</v>
      </c>
      <c r="AB243" s="3">
        <f>SUM(X243:AA243)</f>
        <v>616.171999999999</v>
      </c>
      <c r="AC243" s="3">
        <f>AC103</f>
        <v>179.28629</v>
      </c>
      <c r="AD243" s="3">
        <f>AD103</f>
        <v>152.299179</v>
      </c>
      <c r="AE243" s="3">
        <f>AE103</f>
        <v>184.916722720184</v>
      </c>
      <c r="AF243" s="3">
        <f>AF103</f>
        <v>96.3284097835912</v>
      </c>
      <c r="AG243" s="3">
        <f>SUM(AC243:AF243)</f>
        <v>612.830601503775</v>
      </c>
      <c r="AH243" s="3">
        <f>AH103</f>
        <v>86.86074759</v>
      </c>
      <c r="AI243" s="3">
        <f>AI103</f>
        <v>340.41012963</v>
      </c>
      <c r="AJ243" s="3">
        <f>AJ103</f>
        <v>84.737734306265</v>
      </c>
      <c r="AK243" s="3">
        <f>AK103</f>
        <v>332.817559813591</v>
      </c>
      <c r="AL243" s="3">
        <f>SUM(AH243:AK243)</f>
        <v>844.826171339856</v>
      </c>
      <c r="AM243" s="3">
        <f>AM103</f>
        <v>336.62207463</v>
      </c>
      <c r="AN243" s="3">
        <f>AN103</f>
        <v>847.19832744</v>
      </c>
      <c r="AO243" s="3">
        <f>AO103</f>
        <v>334.499061346265</v>
      </c>
      <c r="AP243" s="3">
        <f>AP103</f>
        <v>839.605757623591</v>
      </c>
      <c r="AQ243" s="3">
        <f>SUM(AM243:AP243)</f>
        <v>2357.92522103986</v>
      </c>
      <c r="AR243" s="3">
        <f>AR103</f>
        <v>843.41027244</v>
      </c>
      <c r="AS243" s="3">
        <f>AS103</f>
        <v>2360.29737714</v>
      </c>
      <c r="AT243" s="3">
        <f>AT103</f>
        <v>841.287259156265</v>
      </c>
      <c r="AU243" s="3">
        <f>AU103</f>
        <v>2352.70480732359</v>
      </c>
      <c r="AV243" s="3">
        <f>SUM(AR243:AU243)</f>
        <v>6397.69971605986</v>
      </c>
      <c r="AW243" s="3">
        <f>AW103</f>
        <v>2356.50932214</v>
      </c>
      <c r="AX243" s="3">
        <f>AX103</f>
        <v>6400.07187216</v>
      </c>
      <c r="AY243" s="3">
        <f>AY103</f>
        <v>2354.38630885627</v>
      </c>
      <c r="AZ243" s="3">
        <f>AZ103</f>
        <v>6392.47930234359</v>
      </c>
      <c r="BA243" s="3">
        <f>SUM(AW243:AZ243)</f>
        <v>17503.4468054999</v>
      </c>
      <c r="BB243" s="3">
        <f>BB103</f>
        <v>6396.28381716</v>
      </c>
      <c r="BC243" s="3">
        <f>BC103</f>
        <v>17505.8189616</v>
      </c>
      <c r="BD243" s="3">
        <f>BD103</f>
        <v>6394.16080387627</v>
      </c>
      <c r="BE243" s="3">
        <f>BE103</f>
        <v>17498.2263917836</v>
      </c>
      <c r="BF243" s="3">
        <f>SUM(BB243:BE243)</f>
        <v>47794.4899744199</v>
      </c>
      <c r="BG243" s="3">
        <f>BG103</f>
        <v>17502.0309066</v>
      </c>
      <c r="BH243" s="3">
        <f>BH103</f>
        <v>47796.86213052</v>
      </c>
      <c r="BI243" s="3">
        <f>BI103</f>
        <v>17499.9078933163</v>
      </c>
      <c r="BJ243" s="3">
        <f>BJ103</f>
        <v>47789.2695607036</v>
      </c>
      <c r="BK243" s="3">
        <f>SUM(BG243:BJ243)</f>
        <v>130588.07049114</v>
      </c>
      <c r="BL243" s="3">
        <f>BL103</f>
        <v>47793.07407552</v>
      </c>
      <c r="BM243" s="3">
        <f>BM103</f>
        <v>130590.44264724</v>
      </c>
      <c r="BN243" s="3">
        <f>BN103</f>
        <v>47790.9510622363</v>
      </c>
      <c r="BO243" s="3">
        <f>BO103</f>
        <v>130582.850077424</v>
      </c>
      <c r="BP243" s="3">
        <f>SUM(BL243:BO243)</f>
        <v>356757.31786242</v>
      </c>
      <c r="BQ243" s="3">
        <f>BQ103</f>
        <v>130586.65459224</v>
      </c>
      <c r="BR243" s="3">
        <f>BR103</f>
        <v>356759.69001852</v>
      </c>
      <c r="BS243" s="3">
        <f>BS103</f>
        <v>130584.531578956</v>
      </c>
      <c r="BT243" s="3">
        <f>BT103</f>
        <v>356752.097448704</v>
      </c>
      <c r="BU243" s="3">
        <f>SUM(BQ243:BT243)</f>
        <v>974682.97363842</v>
      </c>
      <c r="BV243" s="3">
        <f>BV103</f>
        <v>356755.90196352</v>
      </c>
      <c r="BW243" s="3">
        <f>BW103</f>
        <v>974685.34579452</v>
      </c>
      <c r="BX243" s="3">
        <f>BX103</f>
        <v>356753.778950236</v>
      </c>
      <c r="BY243" s="3">
        <f>BY103</f>
        <v>974677.753224704</v>
      </c>
      <c r="BZ243" s="3">
        <f>SUM(BV243:BY243)</f>
        <v>2662872.77993298</v>
      </c>
      <c r="CA243" s="3">
        <f>CA103</f>
        <v>974681.55773952</v>
      </c>
      <c r="CB243" s="3">
        <f>CB103</f>
        <v>2662875.15208908</v>
      </c>
      <c r="CC243" s="3">
        <f>CC103</f>
        <v>974679.434726236</v>
      </c>
      <c r="CD243" s="3">
        <f>CD103</f>
        <v>2662867.55951926</v>
      </c>
      <c r="CE243" s="3">
        <f>SUM(CA243:CD243)</f>
        <v>7275103.7040741</v>
      </c>
      <c r="CF243" s="3">
        <f>CF103</f>
        <v>2662871.36403408</v>
      </c>
      <c r="CG243" s="3">
        <f>CG103</f>
        <v>7275106.0762302</v>
      </c>
      <c r="CH243" s="3">
        <f>CH103</f>
        <v>2662869.2410208</v>
      </c>
      <c r="CI243" s="3">
        <f>CI103</f>
        <v>7275098.48366038</v>
      </c>
      <c r="CJ243" s="3">
        <f>SUM(CF243:CI243)</f>
        <v>19875945.1649455</v>
      </c>
      <c r="CK243" s="3">
        <f>CK103</f>
        <v>7275102.2881752</v>
      </c>
      <c r="CL243" s="3">
        <f>CL103</f>
        <v>19875947.5371016</v>
      </c>
      <c r="CM243" s="3">
        <f>CM103</f>
        <v>7275100.16516192</v>
      </c>
      <c r="CN243" s="3">
        <f>CN103</f>
        <v>19875939.9445317</v>
      </c>
      <c r="CO243" s="3">
        <f>SUM(CK243:CN243)</f>
        <v>54302089.9349704</v>
      </c>
      <c r="CP243" s="3">
        <f>CP103</f>
        <v>19875943.7490466</v>
      </c>
      <c r="CQ243" s="3">
        <f>CQ103</f>
        <v>54302092.3071265</v>
      </c>
      <c r="CR243" s="3">
        <f>CR103</f>
        <v>19875941.6260333</v>
      </c>
      <c r="CS243" s="3">
        <f>CS103</f>
        <v>54302084.7145567</v>
      </c>
      <c r="CT243" s="3">
        <f>SUM(CP243:CS243)</f>
        <v>148356062.396763</v>
      </c>
      <c r="CU243" s="3">
        <f>CU103</f>
        <v>54302088.5190715</v>
      </c>
      <c r="CV243" s="3">
        <f>CV103</f>
        <v>148356064.768919</v>
      </c>
      <c r="CW243" s="3">
        <f>CW103</f>
        <v>54302086.3960582</v>
      </c>
      <c r="CX243" s="3">
        <f>CX103</f>
        <v>148356057.176349</v>
      </c>
      <c r="CY243" s="3">
        <f>SUM(CU243:CX243)</f>
        <v>405316296.860398</v>
      </c>
    </row>
    <row r="244">
      <c r="C244" s="29" t="inlineStr">
        <is>
          <t>Depreciation &amp; amortization</t>
        </is>
      </c>
      <c r="D244" s="3" t="n"/>
      <c r="E244" s="3">
        <f>-E36</f>
        <v>84.69920834</v>
      </c>
      <c r="F244" s="3">
        <f>-F36</f>
        <v>87.78008586</v>
      </c>
      <c r="G244" s="3">
        <f>-G36</f>
        <v>98.73427442</v>
      </c>
      <c r="H244" s="3">
        <f>SUM(D244:G244)</f>
        <v>271.21356862</v>
      </c>
      <c r="I244" s="3">
        <f>-I36</f>
        <v>86.83643829</v>
      </c>
      <c r="J244" s="3">
        <f>-J36</f>
        <v>90.88444056</v>
      </c>
      <c r="K244" s="3">
        <f>-K36</f>
        <v>103.83367925</v>
      </c>
      <c r="L244" s="3">
        <f>-L36</f>
        <v>107.72515852</v>
      </c>
      <c r="M244" s="3">
        <f>SUM(I244:L244)</f>
        <v>389.27971662</v>
      </c>
      <c r="N244" s="3">
        <f>-N36</f>
        <v>107.45963589</v>
      </c>
      <c r="O244" s="3">
        <f>-O36</f>
        <v>113.84256518</v>
      </c>
      <c r="P244" s="3">
        <f>-P36</f>
        <v>109.7525059</v>
      </c>
      <c r="Q244" s="3">
        <f>-Q36</f>
        <v>124.2846005</v>
      </c>
      <c r="R244" s="3">
        <f>SUM(N244:Q244)</f>
        <v>455.33930747</v>
      </c>
      <c r="S244" s="3">
        <f>-S36</f>
        <v>131.26208815</v>
      </c>
      <c r="T244" s="3">
        <f>-T36</f>
        <v>166.076</v>
      </c>
      <c r="U244" s="3">
        <f>-U36</f>
        <v>188.161</v>
      </c>
      <c r="V244" s="3">
        <f>-V36</f>
        <v>189.879</v>
      </c>
      <c r="W244" s="3">
        <f>SUM(S244:V244)</f>
        <v>675.37808815</v>
      </c>
      <c r="X244" s="3">
        <f>-X36</f>
        <v>189.554</v>
      </c>
      <c r="Y244" s="3">
        <f>-Y36</f>
        <v>191.804</v>
      </c>
      <c r="Z244" s="3">
        <f>-Z36</f>
        <v>196.609</v>
      </c>
      <c r="AA244" s="3">
        <f>-AA36</f>
        <v>202.016</v>
      </c>
      <c r="AB244" s="3">
        <f>SUM(X244:AA244)</f>
        <v>779.983</v>
      </c>
      <c r="AC244" s="3">
        <f>-AC36</f>
        <v>212.141077</v>
      </c>
      <c r="AD244" s="3">
        <f>-AD36</f>
        <v>222.403</v>
      </c>
      <c r="AE244" s="3">
        <f>-AE36</f>
        <v>229.37499664</v>
      </c>
      <c r="AF244" s="3">
        <f>-AF36</f>
        <v>236.39185589</v>
      </c>
      <c r="AG244" s="3">
        <f>SUM(AC244:AF244)</f>
        <v>900.31092953</v>
      </c>
      <c r="AH244" s="3">
        <f>-AH36</f>
        <v>0</v>
      </c>
      <c r="AI244" s="3">
        <f>-AI36</f>
        <v>0</v>
      </c>
      <c r="AJ244" s="3">
        <f>-AJ36</f>
        <v>0</v>
      </c>
      <c r="AK244" s="3">
        <f>-AK36</f>
        <v>0</v>
      </c>
      <c r="AL244" s="3">
        <f>SUM(AH244:AK244)</f>
        <v>0</v>
      </c>
      <c r="AM244" s="3">
        <f>-AM36</f>
        <v>0</v>
      </c>
      <c r="AN244" s="3">
        <f>-AN36</f>
        <v>0</v>
      </c>
      <c r="AO244" s="3">
        <f>-AO36</f>
        <v>0</v>
      </c>
      <c r="AP244" s="3">
        <f>-AP36</f>
        <v>0</v>
      </c>
      <c r="AQ244" s="3">
        <f>SUM(AM244:AP244)</f>
        <v>0</v>
      </c>
      <c r="AR244" s="3">
        <f>-AR36</f>
        <v>0</v>
      </c>
      <c r="AS244" s="3">
        <f>-AS36</f>
        <v>0</v>
      </c>
      <c r="AT244" s="3">
        <f>-AT36</f>
        <v>0</v>
      </c>
      <c r="AU244" s="3">
        <f>-AU36</f>
        <v>0</v>
      </c>
      <c r="AV244" s="3">
        <f>SUM(AR244:AU244)</f>
        <v>0</v>
      </c>
      <c r="AW244" s="3">
        <f>-AW36</f>
        <v>0</v>
      </c>
      <c r="AX244" s="3">
        <f>-AX36</f>
        <v>0</v>
      </c>
      <c r="AY244" s="3">
        <f>-AY36</f>
        <v>0</v>
      </c>
      <c r="AZ244" s="3">
        <f>-AZ36</f>
        <v>0</v>
      </c>
      <c r="BA244" s="3">
        <f>SUM(AW244:AZ244)</f>
        <v>0</v>
      </c>
      <c r="BB244" s="3">
        <f>-BB36</f>
        <v>0</v>
      </c>
      <c r="BC244" s="3">
        <f>-BC36</f>
        <v>0</v>
      </c>
      <c r="BD244" s="3">
        <f>-BD36</f>
        <v>0</v>
      </c>
      <c r="BE244" s="3">
        <f>-BE36</f>
        <v>0</v>
      </c>
      <c r="BF244" s="3">
        <f>SUM(BB244:BE244)</f>
        <v>0</v>
      </c>
      <c r="BG244" s="3">
        <f>-BG36</f>
        <v>0</v>
      </c>
      <c r="BH244" s="3">
        <f>-BH36</f>
        <v>0</v>
      </c>
      <c r="BI244" s="3">
        <f>-BI36</f>
        <v>0</v>
      </c>
      <c r="BJ244" s="3">
        <f>-BJ36</f>
        <v>0</v>
      </c>
      <c r="BK244" s="3">
        <f>SUM(BG244:BJ244)</f>
        <v>0</v>
      </c>
      <c r="BL244" s="3">
        <f>-BL36</f>
        <v>0</v>
      </c>
      <c r="BM244" s="3">
        <f>-BM36</f>
        <v>0</v>
      </c>
      <c r="BN244" s="3">
        <f>-BN36</f>
        <v>0</v>
      </c>
      <c r="BO244" s="3">
        <f>-BO36</f>
        <v>0</v>
      </c>
      <c r="BP244" s="3">
        <f>SUM(BL244:BO244)</f>
        <v>0</v>
      </c>
      <c r="BQ244" s="3">
        <f>-BQ36</f>
        <v>0</v>
      </c>
      <c r="BR244" s="3">
        <f>-BR36</f>
        <v>0</v>
      </c>
      <c r="BS244" s="3">
        <f>-BS36</f>
        <v>0</v>
      </c>
      <c r="BT244" s="3">
        <f>-BT36</f>
        <v>0</v>
      </c>
      <c r="BU244" s="3">
        <f>SUM(BQ244:BT244)</f>
        <v>0</v>
      </c>
      <c r="BV244" s="3">
        <f>-BV36</f>
        <v>0</v>
      </c>
      <c r="BW244" s="3">
        <f>-BW36</f>
        <v>0</v>
      </c>
      <c r="BX244" s="3">
        <f>-BX36</f>
        <v>0</v>
      </c>
      <c r="BY244" s="3">
        <f>-BY36</f>
        <v>0</v>
      </c>
      <c r="BZ244" s="3">
        <f>SUM(BV244:BY244)</f>
        <v>0</v>
      </c>
      <c r="CA244" s="3">
        <f>-CA36</f>
        <v>0</v>
      </c>
      <c r="CB244" s="3">
        <f>-CB36</f>
        <v>0</v>
      </c>
      <c r="CC244" s="3">
        <f>-CC36</f>
        <v>0</v>
      </c>
      <c r="CD244" s="3">
        <f>-CD36</f>
        <v>0</v>
      </c>
      <c r="CE244" s="3">
        <f>SUM(CA244:CD244)</f>
        <v>0</v>
      </c>
      <c r="CF244" s="3">
        <f>-CF36</f>
        <v>0</v>
      </c>
      <c r="CG244" s="3">
        <f>-CG36</f>
        <v>0</v>
      </c>
      <c r="CH244" s="3">
        <f>-CH36</f>
        <v>0</v>
      </c>
      <c r="CI244" s="3">
        <f>-CI36</f>
        <v>0</v>
      </c>
      <c r="CJ244" s="3">
        <f>SUM(CF244:CI244)</f>
        <v>0</v>
      </c>
      <c r="CK244" s="3">
        <f>-CK36</f>
        <v>0</v>
      </c>
      <c r="CL244" s="3">
        <f>-CL36</f>
        <v>0</v>
      </c>
      <c r="CM244" s="3">
        <f>-CM36</f>
        <v>0</v>
      </c>
      <c r="CN244" s="3">
        <f>-CN36</f>
        <v>0</v>
      </c>
      <c r="CO244" s="3">
        <f>SUM(CK244:CN244)</f>
        <v>0</v>
      </c>
      <c r="CP244" s="3">
        <f>-CP36</f>
        <v>0</v>
      </c>
      <c r="CQ244" s="3">
        <f>-CQ36</f>
        <v>0</v>
      </c>
      <c r="CR244" s="3">
        <f>-CR36</f>
        <v>0</v>
      </c>
      <c r="CS244" s="3">
        <f>-CS36</f>
        <v>0</v>
      </c>
      <c r="CT244" s="3">
        <f>SUM(CP244:CS244)</f>
        <v>0</v>
      </c>
      <c r="CU244" s="3">
        <f>-CU36</f>
        <v>0</v>
      </c>
      <c r="CV244" s="3">
        <f>-CV36</f>
        <v>0</v>
      </c>
      <c r="CW244" s="3">
        <f>-CW36</f>
        <v>0</v>
      </c>
      <c r="CX244" s="3">
        <f>-CX36</f>
        <v>0</v>
      </c>
      <c r="CY244" s="3">
        <f>SUM(CU244:CX244)</f>
        <v>0</v>
      </c>
    </row>
    <row r="245">
      <c r="C245" s="29" t="inlineStr">
        <is>
          <t xml:space="preserve">Changes in working capital </t>
        </is>
      </c>
      <c r="D245" s="3" t="n"/>
      <c r="E245" s="3">
        <f>SUM(E246:E255)</f>
        <v>37.4917445399992</v>
      </c>
      <c r="F245" s="3">
        <f>SUM(F246:F255)</f>
        <v>-112.286097719996</v>
      </c>
      <c r="G245" s="3">
        <f>SUM(G246:G255)</f>
        <v>-136.559679740003</v>
      </c>
      <c r="H245" s="3">
        <f>SUM(D245:G245)</f>
        <v>-211.35403292</v>
      </c>
      <c r="I245" s="3">
        <f>SUM(I246:I255)</f>
        <v>25.22932999</v>
      </c>
      <c r="J245" s="3">
        <f>SUM(J246:J255)</f>
        <v>22.93704434</v>
      </c>
      <c r="K245" s="3">
        <f>SUM(K246:K255)</f>
        <v>-16.38631402</v>
      </c>
      <c r="L245" s="3">
        <f>SUM(L246:L255)</f>
        <v>10.3086879267785</v>
      </c>
      <c r="M245" s="3">
        <f>SUM(I245:L245)</f>
        <v>42.0887482367785</v>
      </c>
      <c r="N245" s="3">
        <f>SUM(N246:N255)</f>
        <v>-29.7998089067786</v>
      </c>
      <c r="O245" s="3">
        <f>SUM(O246:O255)</f>
        <v>-214.87967258</v>
      </c>
      <c r="P245" s="3">
        <f>SUM(P246:P255)</f>
        <v>37.29246563</v>
      </c>
      <c r="Q245" s="3">
        <f>SUM(Q246:Q255)</f>
        <v>43.5919377800001</v>
      </c>
      <c r="R245" s="3">
        <f>SUM(N245:Q245)</f>
        <v>-163.795078076778</v>
      </c>
      <c r="S245" s="3">
        <f>SUM(S246:S255)</f>
        <v>-138.45432909</v>
      </c>
      <c r="T245" s="3">
        <f>SUM(T246:T255)</f>
        <v>28.8302293499998</v>
      </c>
      <c r="U245" s="3">
        <f>SUM(U246:U255)</f>
        <v>13.0150000000002</v>
      </c>
      <c r="V245" s="3">
        <f>SUM(V246:V255)</f>
        <v>-95.5499999999999</v>
      </c>
      <c r="W245" s="3">
        <f>SUM(S245:V245)</f>
        <v>-192.15909974</v>
      </c>
      <c r="X245" s="3">
        <f>SUM(X246:X255)</f>
        <v>-153.796</v>
      </c>
      <c r="Y245" s="3">
        <f>SUM(Y246:Y255)</f>
        <v>-88.008</v>
      </c>
      <c r="Z245" s="3">
        <f>SUM(Z246:Z255)</f>
        <v>221.323</v>
      </c>
      <c r="AA245" s="3">
        <f>SUM(AA246:AA255)</f>
        <v>9.74300000000006</v>
      </c>
      <c r="AB245" s="3">
        <f>SUM(X245:AA245)</f>
        <v>-10.738</v>
      </c>
      <c r="AC245" s="3">
        <f>SUM(AC246:AC255)</f>
        <v>5.47383299999999</v>
      </c>
      <c r="AD245" s="3">
        <f>SUM(AD246:AD255)</f>
        <v>-323.347833</v>
      </c>
      <c r="AE245" s="3">
        <f>SUM(AE246:AE255)</f>
        <v>264.042</v>
      </c>
      <c r="AF245" s="3">
        <f>SUM(AF246:AF255)</f>
        <v>273.616</v>
      </c>
      <c r="AG245" s="3">
        <f>SUM(AC245:AF245)</f>
        <v>219.784</v>
      </c>
      <c r="AH245" s="3">
        <f>SUM(AH246:AH255)</f>
        <v>622.573</v>
      </c>
      <c r="AI245" s="3">
        <f>SUM(AI246:AI255)</f>
        <v>0</v>
      </c>
      <c r="AJ245" s="3" t="e">
        <f>SUM(AJ246:AJ255)</f>
        <v>#DIV/0!</v>
      </c>
      <c r="AK245" s="3" t="e">
        <f>SUM(AK246:AK255)</f>
        <v>#DIV/0!</v>
      </c>
      <c r="AL245" s="3" t="e">
        <f>SUM(AH245:AK245)</f>
        <v>#DIV/0!</v>
      </c>
      <c r="AM245" s="3" t="e">
        <f>SUM(AM246:AM255)</f>
        <v>#DIV/0!</v>
      </c>
      <c r="AN245" s="3" t="e">
        <f>SUM(AN246:AN255)</f>
        <v>#DIV/0!</v>
      </c>
      <c r="AO245" s="3" t="e">
        <f>SUM(AO246:AO255)</f>
        <v>#DIV/0!</v>
      </c>
      <c r="AP245" s="3" t="e">
        <f>SUM(AP246:AP255)</f>
        <v>#DIV/0!</v>
      </c>
      <c r="AQ245" s="3" t="e">
        <f>SUM(AM245:AP245)</f>
        <v>#DIV/0!</v>
      </c>
      <c r="AR245" s="3" t="e">
        <f>SUM(AR246:AR255)</f>
        <v>#DIV/0!</v>
      </c>
      <c r="AS245" s="3" t="e">
        <f>SUM(AS246:AS255)</f>
        <v>#DIV/0!</v>
      </c>
      <c r="AT245" s="3" t="e">
        <f>SUM(AT246:AT255)</f>
        <v>#DIV/0!</v>
      </c>
      <c r="AU245" s="3" t="e">
        <f>SUM(AU246:AU255)</f>
        <v>#DIV/0!</v>
      </c>
      <c r="AV245" s="3" t="e">
        <f>SUM(AR245:AU245)</f>
        <v>#DIV/0!</v>
      </c>
      <c r="AW245" s="3" t="e">
        <f>SUM(AW246:AW255)</f>
        <v>#DIV/0!</v>
      </c>
      <c r="AX245" s="3" t="e">
        <f>SUM(AX246:AX255)</f>
        <v>#DIV/0!</v>
      </c>
      <c r="AY245" s="3" t="e">
        <f>SUM(AY246:AY255)</f>
        <v>#DIV/0!</v>
      </c>
      <c r="AZ245" s="3" t="e">
        <f>SUM(AZ246:AZ255)</f>
        <v>#DIV/0!</v>
      </c>
      <c r="BA245" s="3" t="e">
        <f>SUM(AW245:AZ245)</f>
        <v>#DIV/0!</v>
      </c>
      <c r="BB245" s="3" t="e">
        <f>SUM(BB246:BB255)</f>
        <v>#DIV/0!</v>
      </c>
      <c r="BC245" s="3" t="e">
        <f>SUM(BC246:BC255)</f>
        <v>#DIV/0!</v>
      </c>
      <c r="BD245" s="3" t="e">
        <f>SUM(BD246:BD255)</f>
        <v>#DIV/0!</v>
      </c>
      <c r="BE245" s="3" t="e">
        <f>SUM(BE246:BE255)</f>
        <v>#DIV/0!</v>
      </c>
      <c r="BF245" s="3" t="e">
        <f>SUM(BB245:BE245)</f>
        <v>#DIV/0!</v>
      </c>
      <c r="BG245" s="3" t="e">
        <f>SUM(BG246:BG255)</f>
        <v>#DIV/0!</v>
      </c>
      <c r="BH245" s="3" t="e">
        <f>SUM(BH246:BH255)</f>
        <v>#DIV/0!</v>
      </c>
      <c r="BI245" s="3" t="e">
        <f>SUM(BI246:BI255)</f>
        <v>#DIV/0!</v>
      </c>
      <c r="BJ245" s="3" t="e">
        <f>SUM(BJ246:BJ255)</f>
        <v>#DIV/0!</v>
      </c>
      <c r="BK245" s="3" t="e">
        <f>SUM(BG245:BJ245)</f>
        <v>#DIV/0!</v>
      </c>
      <c r="BL245" s="3" t="e">
        <f>SUM(BL246:BL255)</f>
        <v>#DIV/0!</v>
      </c>
      <c r="BM245" s="3" t="e">
        <f>SUM(BM246:BM255)</f>
        <v>#DIV/0!</v>
      </c>
      <c r="BN245" s="3" t="e">
        <f>SUM(BN246:BN255)</f>
        <v>#DIV/0!</v>
      </c>
      <c r="BO245" s="3" t="e">
        <f>SUM(BO246:BO255)</f>
        <v>#DIV/0!</v>
      </c>
      <c r="BP245" s="3" t="e">
        <f>SUM(BL245:BO245)</f>
        <v>#DIV/0!</v>
      </c>
      <c r="BQ245" s="3" t="e">
        <f>SUM(BQ246:BQ255)</f>
        <v>#DIV/0!</v>
      </c>
      <c r="BR245" s="3" t="e">
        <f>SUM(BR246:BR255)</f>
        <v>#DIV/0!</v>
      </c>
      <c r="BS245" s="3" t="e">
        <f>SUM(BS246:BS255)</f>
        <v>#DIV/0!</v>
      </c>
      <c r="BT245" s="3" t="e">
        <f>SUM(BT246:BT255)</f>
        <v>#DIV/0!</v>
      </c>
      <c r="BU245" s="3" t="e">
        <f>SUM(BQ245:BT245)</f>
        <v>#DIV/0!</v>
      </c>
      <c r="BV245" s="3" t="e">
        <f>SUM(BV246:BV255)</f>
        <v>#DIV/0!</v>
      </c>
      <c r="BW245" s="3" t="e">
        <f>SUM(BW246:BW255)</f>
        <v>#DIV/0!</v>
      </c>
      <c r="BX245" s="3" t="e">
        <f>SUM(BX246:BX255)</f>
        <v>#DIV/0!</v>
      </c>
      <c r="BY245" s="3" t="e">
        <f>SUM(BY246:BY255)</f>
        <v>#DIV/0!</v>
      </c>
      <c r="BZ245" s="3" t="e">
        <f>SUM(BV245:BY245)</f>
        <v>#DIV/0!</v>
      </c>
      <c r="CA245" s="3" t="e">
        <f>SUM(CA246:CA255)</f>
        <v>#DIV/0!</v>
      </c>
      <c r="CB245" s="3" t="e">
        <f>SUM(CB246:CB255)</f>
        <v>#DIV/0!</v>
      </c>
      <c r="CC245" s="3" t="e">
        <f>SUM(CC246:CC255)</f>
        <v>#DIV/0!</v>
      </c>
      <c r="CD245" s="3" t="e">
        <f>SUM(CD246:CD255)</f>
        <v>#DIV/0!</v>
      </c>
      <c r="CE245" s="3" t="e">
        <f>SUM(CA245:CD245)</f>
        <v>#DIV/0!</v>
      </c>
      <c r="CF245" s="3" t="e">
        <f>SUM(CF246:CF255)</f>
        <v>#DIV/0!</v>
      </c>
      <c r="CG245" s="3" t="e">
        <f>SUM(CG246:CG255)</f>
        <v>#DIV/0!</v>
      </c>
      <c r="CH245" s="3" t="e">
        <f>SUM(CH246:CH255)</f>
        <v>#DIV/0!</v>
      </c>
      <c r="CI245" s="3" t="e">
        <f>SUM(CI246:CI255)</f>
        <v>#DIV/0!</v>
      </c>
      <c r="CJ245" s="3" t="e">
        <f>SUM(CF245:CI245)</f>
        <v>#DIV/0!</v>
      </c>
      <c r="CK245" s="3" t="e">
        <f>SUM(CK246:CK255)</f>
        <v>#DIV/0!</v>
      </c>
      <c r="CL245" s="3" t="e">
        <f>SUM(CL246:CL255)</f>
        <v>#DIV/0!</v>
      </c>
      <c r="CM245" s="3" t="e">
        <f>SUM(CM246:CM255)</f>
        <v>#DIV/0!</v>
      </c>
      <c r="CN245" s="3" t="e">
        <f>SUM(CN246:CN255)</f>
        <v>#DIV/0!</v>
      </c>
      <c r="CO245" s="3" t="e">
        <f>SUM(CK245:CN245)</f>
        <v>#DIV/0!</v>
      </c>
      <c r="CP245" s="3" t="e">
        <f>SUM(CP246:CP255)</f>
        <v>#DIV/0!</v>
      </c>
      <c r="CQ245" s="3" t="e">
        <f>SUM(CQ246:CQ255)</f>
        <v>#DIV/0!</v>
      </c>
      <c r="CR245" s="3" t="e">
        <f>SUM(CR246:CR255)</f>
        <v>#DIV/0!</v>
      </c>
      <c r="CS245" s="3" t="e">
        <f>SUM(CS246:CS255)</f>
        <v>#DIV/0!</v>
      </c>
      <c r="CT245" s="3" t="e">
        <f>SUM(CP245:CS245)</f>
        <v>#DIV/0!</v>
      </c>
      <c r="CU245" s="3" t="e">
        <f>SUM(CU246:CU255)</f>
        <v>#DIV/0!</v>
      </c>
      <c r="CV245" s="3" t="e">
        <f>SUM(CV246:CV255)</f>
        <v>#DIV/0!</v>
      </c>
      <c r="CW245" s="3" t="e">
        <f>SUM(CW246:CW255)</f>
        <v>#DIV/0!</v>
      </c>
      <c r="CX245" s="3" t="e">
        <f>SUM(CX246:CX255)</f>
        <v>#DIV/0!</v>
      </c>
      <c r="CY245" s="3" t="e">
        <f>SUM(CU245:CX245)</f>
        <v>#DIV/0!</v>
      </c>
    </row>
    <row r="246" hidden="1" outlineLevel="1">
      <c r="C246" s="29" t="inlineStr">
        <is>
          <t>Accounts receivable</t>
        </is>
      </c>
      <c r="D246" s="3" t="n"/>
      <c r="E246" s="3">
        <f>(E111-D111)*-1</f>
        <v>122.16450825</v>
      </c>
      <c r="F246" s="3">
        <f>(F111-E111)*-1</f>
        <v>-216.09019169</v>
      </c>
      <c r="G246" s="3">
        <f>(G111-F111)*-1</f>
        <v>-62.46092185</v>
      </c>
      <c r="H246" s="3">
        <f>SUM(D246:G246)</f>
        <v>-156.38660529</v>
      </c>
      <c r="I246" s="3">
        <f>(I111-H111)*-1</f>
        <v>-17.86457392</v>
      </c>
      <c r="J246" s="3">
        <f>(J111-I111)*-1</f>
        <v>12.1726211700001</v>
      </c>
      <c r="K246" s="3">
        <f>(K111-J111)*-1</f>
        <v>-88.71954897</v>
      </c>
      <c r="L246" s="3">
        <f>(L111-K111)*-1</f>
        <v>5.02877549677839</v>
      </c>
      <c r="M246" s="3">
        <f>SUM(I246:L246)</f>
        <v>-89.3827262232215</v>
      </c>
      <c r="N246" s="3">
        <f>(N111-M111)*-1</f>
        <v>-73.8928991167786</v>
      </c>
      <c r="O246" s="3">
        <f>(O111-N111)*-1</f>
        <v>-33.1861903199999</v>
      </c>
      <c r="P246" s="3">
        <f>(P111-O111)*-1</f>
        <v>15.46301535</v>
      </c>
      <c r="Q246" s="3">
        <f>(Q111-P111)*-1</f>
        <v>28.6178567300001</v>
      </c>
      <c r="R246" s="3">
        <f>SUM(N246:Q246)</f>
        <v>-62.9982173567785</v>
      </c>
      <c r="S246" s="3">
        <f>(S111-R111)*-1</f>
        <v>-116.8523547</v>
      </c>
      <c r="T246" s="3">
        <f>(T111-S111)*-1</f>
        <v>-512.32258241</v>
      </c>
      <c r="U246" s="3">
        <f>(U111-T111)*-1</f>
        <v>-72.598</v>
      </c>
      <c r="V246" s="3">
        <f>(V111-U111)*-1</f>
        <v>53.4280000000001</v>
      </c>
      <c r="W246" s="3">
        <f>SUM(S246:V246)</f>
        <v>-648.34493711</v>
      </c>
      <c r="X246" s="3">
        <f>(X111-W111)*-1</f>
        <v>-225.855</v>
      </c>
      <c r="Y246" s="3">
        <f>(Y111-X111)*-1</f>
        <v>-28.001</v>
      </c>
      <c r="Z246" s="3">
        <f>(Z111-Y111)*-1</f>
        <v>-4.79700000000003</v>
      </c>
      <c r="AA246" s="3">
        <f>(AA111-Z111)*-1</f>
        <v>128.943</v>
      </c>
      <c r="AB246" s="3">
        <f>SUM(X246:AA246)</f>
        <v>-129.71</v>
      </c>
      <c r="AC246" s="3">
        <f>(AC111-AB111)*-1</f>
        <v>-154.219657</v>
      </c>
      <c r="AD246" s="3">
        <f>(AD111-AC111)*-1</f>
        <v>-70.4963430000003</v>
      </c>
      <c r="AE246" s="3">
        <f>(AE111-AD111)*-1</f>
        <v>-51.5529999999999</v>
      </c>
      <c r="AF246" s="3">
        <f>(AF111-AE111)*-1</f>
        <v>164.007</v>
      </c>
      <c r="AG246" s="3">
        <f>SUM(AC246:AF246)</f>
        <v>-112.262</v>
      </c>
      <c r="AH246" s="3">
        <f>(AH111-AG111)*-1</f>
        <v>1747.166</v>
      </c>
      <c r="AI246" s="3">
        <f>(AI111-AH111)*-1</f>
        <v>0</v>
      </c>
      <c r="AJ246" s="3">
        <f>(AJ111-AI111)*-1</f>
        <v>0</v>
      </c>
      <c r="AK246" s="3">
        <f>(AK111-AJ111)*-1</f>
        <v>0</v>
      </c>
      <c r="AL246" s="3">
        <f>SUM(AH246:AK246)</f>
        <v>1747.166</v>
      </c>
      <c r="AM246" s="3">
        <f>(AM111-AL111)*-1</f>
        <v>0</v>
      </c>
      <c r="AN246" s="3">
        <f>(AN111-AM111)*-1</f>
        <v>0</v>
      </c>
      <c r="AO246" s="3">
        <f>(AO111-AN111)*-1</f>
        <v>0</v>
      </c>
      <c r="AP246" s="3">
        <f>(AP111-AO111)*-1</f>
        <v>0</v>
      </c>
      <c r="AQ246" s="3">
        <f>SUM(AM246:AP246)</f>
        <v>0</v>
      </c>
      <c r="AR246" s="3">
        <f>(AR111-AQ111)*-1</f>
        <v>0</v>
      </c>
      <c r="AS246" s="3">
        <f>(AS111-AR111)*-1</f>
        <v>0</v>
      </c>
      <c r="AT246" s="3">
        <f>(AT111-AS111)*-1</f>
        <v>0</v>
      </c>
      <c r="AU246" s="3">
        <f>(AU111-AT111)*-1</f>
        <v>0</v>
      </c>
      <c r="AV246" s="3">
        <f>SUM(AR246:AU246)</f>
        <v>0</v>
      </c>
      <c r="AW246" s="3">
        <f>(AW111-AV111)*-1</f>
        <v>0</v>
      </c>
      <c r="AX246" s="3">
        <f>(AX111-AW111)*-1</f>
        <v>0</v>
      </c>
      <c r="AY246" s="3">
        <f>(AY111-AX111)*-1</f>
        <v>0</v>
      </c>
      <c r="AZ246" s="3">
        <f>(AZ111-AY111)*-1</f>
        <v>0</v>
      </c>
      <c r="BA246" s="3">
        <f>SUM(AW246:AZ246)</f>
        <v>0</v>
      </c>
      <c r="BB246" s="3">
        <f>(BB111-BA111)*-1</f>
        <v>0</v>
      </c>
      <c r="BC246" s="3">
        <f>(BC111-BB111)*-1</f>
        <v>0</v>
      </c>
      <c r="BD246" s="3">
        <f>(BD111-BC111)*-1</f>
        <v>0</v>
      </c>
      <c r="BE246" s="3">
        <f>(BE111-BD111)*-1</f>
        <v>0</v>
      </c>
      <c r="BF246" s="3">
        <f>SUM(BB246:BE246)</f>
        <v>0</v>
      </c>
      <c r="BG246" s="3">
        <f>(BG111-BF111)*-1</f>
        <v>0</v>
      </c>
      <c r="BH246" s="3">
        <f>(BH111-BG111)*-1</f>
        <v>0</v>
      </c>
      <c r="BI246" s="3">
        <f>(BI111-BH111)*-1</f>
        <v>0</v>
      </c>
      <c r="BJ246" s="3">
        <f>(BJ111-BI111)*-1</f>
        <v>0</v>
      </c>
      <c r="BK246" s="3">
        <f>SUM(BG246:BJ246)</f>
        <v>0</v>
      </c>
      <c r="BL246" s="3">
        <f>(BL111-BK111)*-1</f>
        <v>0</v>
      </c>
      <c r="BM246" s="3">
        <f>(BM111-BL111)*-1</f>
        <v>0</v>
      </c>
      <c r="BN246" s="3">
        <f>(BN111-BM111)*-1</f>
        <v>0</v>
      </c>
      <c r="BO246" s="3">
        <f>(BO111-BN111)*-1</f>
        <v>0</v>
      </c>
      <c r="BP246" s="3">
        <f>SUM(BL246:BO246)</f>
        <v>0</v>
      </c>
      <c r="BQ246" s="3">
        <f>(BQ111-BP111)*-1</f>
        <v>0</v>
      </c>
      <c r="BR246" s="3">
        <f>(BR111-BQ111)*-1</f>
        <v>0</v>
      </c>
      <c r="BS246" s="3">
        <f>(BS111-BR111)*-1</f>
        <v>0</v>
      </c>
      <c r="BT246" s="3">
        <f>(BT111-BS111)*-1</f>
        <v>0</v>
      </c>
      <c r="BU246" s="3">
        <f>SUM(BQ246:BT246)</f>
        <v>0</v>
      </c>
      <c r="BV246" s="3">
        <f>(BV111-BU111)*-1</f>
        <v>0</v>
      </c>
      <c r="BW246" s="3">
        <f>(BW111-BV111)*-1</f>
        <v>0</v>
      </c>
      <c r="BX246" s="3">
        <f>(BX111-BW111)*-1</f>
        <v>0</v>
      </c>
      <c r="BY246" s="3">
        <f>(BY111-BX111)*-1</f>
        <v>0</v>
      </c>
      <c r="BZ246" s="3">
        <f>SUM(BV246:BY246)</f>
        <v>0</v>
      </c>
      <c r="CA246" s="3">
        <f>(CA111-BZ111)*-1</f>
        <v>0</v>
      </c>
      <c r="CB246" s="3">
        <f>(CB111-CA111)*-1</f>
        <v>0</v>
      </c>
      <c r="CC246" s="3">
        <f>(CC111-CB111)*-1</f>
        <v>0</v>
      </c>
      <c r="CD246" s="3">
        <f>(CD111-CC111)*-1</f>
        <v>0</v>
      </c>
      <c r="CE246" s="3">
        <f>SUM(CA246:CD246)</f>
        <v>0</v>
      </c>
      <c r="CF246" s="3">
        <f>(CF111-CE111)*-1</f>
        <v>0</v>
      </c>
      <c r="CG246" s="3">
        <f>(CG111-CF111)*-1</f>
        <v>0</v>
      </c>
      <c r="CH246" s="3">
        <f>(CH111-CG111)*-1</f>
        <v>0</v>
      </c>
      <c r="CI246" s="3">
        <f>(CI111-CH111)*-1</f>
        <v>0</v>
      </c>
      <c r="CJ246" s="3">
        <f>SUM(CF246:CI246)</f>
        <v>0</v>
      </c>
      <c r="CK246" s="3">
        <f>(CK111-CJ111)*-1</f>
        <v>0</v>
      </c>
      <c r="CL246" s="3">
        <f>(CL111-CK111)*-1</f>
        <v>0</v>
      </c>
      <c r="CM246" s="3">
        <f>(CM111-CL111)*-1</f>
        <v>0</v>
      </c>
      <c r="CN246" s="3">
        <f>(CN111-CM111)*-1</f>
        <v>0</v>
      </c>
      <c r="CO246" s="3">
        <f>SUM(CK246:CN246)</f>
        <v>0</v>
      </c>
      <c r="CP246" s="3">
        <f>(CP111-CO111)*-1</f>
        <v>0</v>
      </c>
      <c r="CQ246" s="3">
        <f>(CQ111-CP111)*-1</f>
        <v>0</v>
      </c>
      <c r="CR246" s="3">
        <f>(CR111-CQ111)*-1</f>
        <v>0</v>
      </c>
      <c r="CS246" s="3">
        <f>(CS111-CR111)*-1</f>
        <v>0</v>
      </c>
      <c r="CT246" s="3">
        <f>SUM(CP246:CS246)</f>
        <v>0</v>
      </c>
      <c r="CU246" s="3">
        <f>(CU111-CT111)*-1</f>
        <v>0</v>
      </c>
      <c r="CV246" s="3">
        <f>(CV111-CU111)*-1</f>
        <v>0</v>
      </c>
      <c r="CW246" s="3">
        <f>(CW111-CV111)*-1</f>
        <v>0</v>
      </c>
      <c r="CX246" s="3">
        <f>(CX111-CW111)*-1</f>
        <v>0</v>
      </c>
      <c r="CY246" s="3">
        <f>SUM(CU246:CX246)</f>
        <v>0</v>
      </c>
    </row>
    <row r="247" hidden="1" outlineLevel="1">
      <c r="C247" s="29" t="inlineStr">
        <is>
          <t>Inventories</t>
        </is>
      </c>
      <c r="D247" s="3" t="n"/>
      <c r="E247" s="3">
        <f>(E115-D115)*-1</f>
        <v>-46.99476632</v>
      </c>
      <c r="F247" s="3">
        <f>(F115-E115)*-1</f>
        <v>2.17613297999998</v>
      </c>
      <c r="G247" s="3">
        <f>(G115-F115)*-1</f>
        <v>18.59448961</v>
      </c>
      <c r="H247" s="3">
        <f>SUM(D247:G247)</f>
        <v>-26.22414373</v>
      </c>
      <c r="I247" s="3">
        <f>(I115-H115)*-1</f>
        <v>-0.742301830000017</v>
      </c>
      <c r="J247" s="3">
        <f>(J115-I115)*-1</f>
        <v>-7.67867914</v>
      </c>
      <c r="K247" s="3">
        <f>(K115-J115)*-1</f>
        <v>3.13465861999998</v>
      </c>
      <c r="L247" s="3">
        <f>(L115-K115)*-1</f>
        <v>-4.23106659999996</v>
      </c>
      <c r="M247" s="3">
        <f>SUM(I247:L247)</f>
        <v>-9.51738895</v>
      </c>
      <c r="N247" s="3">
        <f>(N115-M115)*-1</f>
        <v>-22.55864489</v>
      </c>
      <c r="O247" s="3">
        <f>(O115-N115)*-1</f>
        <v>18.95992783</v>
      </c>
      <c r="P247" s="3">
        <f>(P115-O115)*-1</f>
        <v>-9.26400406000001</v>
      </c>
      <c r="Q247" s="3">
        <f>(Q115-P115)*-1</f>
        <v>-11.10290587</v>
      </c>
      <c r="R247" s="3">
        <f>SUM(N247:Q247)</f>
        <v>-23.96562699</v>
      </c>
      <c r="S247" s="3">
        <f>(S115-R115)*-1</f>
        <v>-2.67152191</v>
      </c>
      <c r="T247" s="3">
        <f>(T115-S115)*-1</f>
        <v>-33.21693238</v>
      </c>
      <c r="U247" s="3">
        <f>(U115-T115)*-1</f>
        <v>-2.732</v>
      </c>
      <c r="V247" s="3">
        <f>(V115-U115)*-1</f>
        <v>0.266999999999996</v>
      </c>
      <c r="W247" s="3">
        <f>SUM(S247:V247)</f>
        <v>-38.35345429</v>
      </c>
      <c r="X247" s="3">
        <f>(X115-W115)*-1</f>
        <v>7.367</v>
      </c>
      <c r="Y247" s="3">
        <f>(Y115-X115)*-1</f>
        <v>-11.989</v>
      </c>
      <c r="Z247" s="3">
        <f>(Z115-Y115)*-1</f>
        <v>0.0400000000000205</v>
      </c>
      <c r="AA247" s="3">
        <f>(AA115-Z115)*-1</f>
        <v>-15.525</v>
      </c>
      <c r="AB247" s="3">
        <f>SUM(X247:AA247)</f>
        <v>-20.107</v>
      </c>
      <c r="AC247" s="3">
        <f>(AC115-AB115)*-1</f>
        <v>-0.459578999999991</v>
      </c>
      <c r="AD247" s="3">
        <f>(AD115-AC115)*-1</f>
        <v>5.91657899999998</v>
      </c>
      <c r="AE247" s="3">
        <f>(AE115-AD115)*-1</f>
        <v>-5.39599999999999</v>
      </c>
      <c r="AF247" s="3">
        <f>(AF115-AE115)*-1</f>
        <v>-25.727</v>
      </c>
      <c r="AG247" s="3">
        <f>SUM(AC247:AF247)</f>
        <v>-25.666</v>
      </c>
      <c r="AH247" s="3">
        <f>(AH115-AG115)*-1</f>
        <v>180.702</v>
      </c>
      <c r="AI247" s="3">
        <f>(AI115-AH115)*-1</f>
        <v>0</v>
      </c>
      <c r="AJ247" s="3">
        <f>(AJ115-AI115)*-1</f>
        <v>0</v>
      </c>
      <c r="AK247" s="3">
        <f>(AK115-AJ115)*-1</f>
        <v>0</v>
      </c>
      <c r="AL247" s="3">
        <f>SUM(AH247:AK247)</f>
        <v>180.702</v>
      </c>
      <c r="AM247" s="3">
        <f>(AM115-AL115)*-1</f>
        <v>0</v>
      </c>
      <c r="AN247" s="3">
        <f>(AN115-AM115)*-1</f>
        <v>0</v>
      </c>
      <c r="AO247" s="3">
        <f>(AO115-AN115)*-1</f>
        <v>0</v>
      </c>
      <c r="AP247" s="3">
        <f>(AP115-AO115)*-1</f>
        <v>0</v>
      </c>
      <c r="AQ247" s="3">
        <f>SUM(AM247:AP247)</f>
        <v>0</v>
      </c>
      <c r="AR247" s="3">
        <f>(AR115-AQ115)*-1</f>
        <v>0</v>
      </c>
      <c r="AS247" s="3">
        <f>(AS115-AR115)*-1</f>
        <v>0</v>
      </c>
      <c r="AT247" s="3">
        <f>(AT115-AS115)*-1</f>
        <v>0</v>
      </c>
      <c r="AU247" s="3">
        <f>(AU115-AT115)*-1</f>
        <v>0</v>
      </c>
      <c r="AV247" s="3">
        <f>SUM(AR247:AU247)</f>
        <v>0</v>
      </c>
      <c r="AW247" s="3">
        <f>(AW115-AV115)*-1</f>
        <v>0</v>
      </c>
      <c r="AX247" s="3">
        <f>(AX115-AW115)*-1</f>
        <v>0</v>
      </c>
      <c r="AY247" s="3">
        <f>(AY115-AX115)*-1</f>
        <v>0</v>
      </c>
      <c r="AZ247" s="3">
        <f>(AZ115-AY115)*-1</f>
        <v>0</v>
      </c>
      <c r="BA247" s="3">
        <f>SUM(AW247:AZ247)</f>
        <v>0</v>
      </c>
      <c r="BB247" s="3">
        <f>(BB115-BA115)*-1</f>
        <v>0</v>
      </c>
      <c r="BC247" s="3">
        <f>(BC115-BB115)*-1</f>
        <v>0</v>
      </c>
      <c r="BD247" s="3">
        <f>(BD115-BC115)*-1</f>
        <v>0</v>
      </c>
      <c r="BE247" s="3">
        <f>(BE115-BD115)*-1</f>
        <v>0</v>
      </c>
      <c r="BF247" s="3">
        <f>SUM(BB247:BE247)</f>
        <v>0</v>
      </c>
      <c r="BG247" s="3">
        <f>(BG115-BF115)*-1</f>
        <v>0</v>
      </c>
      <c r="BH247" s="3">
        <f>(BH115-BG115)*-1</f>
        <v>0</v>
      </c>
      <c r="BI247" s="3">
        <f>(BI115-BH115)*-1</f>
        <v>0</v>
      </c>
      <c r="BJ247" s="3">
        <f>(BJ115-BI115)*-1</f>
        <v>0</v>
      </c>
      <c r="BK247" s="3">
        <f>SUM(BG247:BJ247)</f>
        <v>0</v>
      </c>
      <c r="BL247" s="3">
        <f>(BL115-BK115)*-1</f>
        <v>0</v>
      </c>
      <c r="BM247" s="3">
        <f>(BM115-BL115)*-1</f>
        <v>0</v>
      </c>
      <c r="BN247" s="3">
        <f>(BN115-BM115)*-1</f>
        <v>0</v>
      </c>
      <c r="BO247" s="3">
        <f>(BO115-BN115)*-1</f>
        <v>0</v>
      </c>
      <c r="BP247" s="3">
        <f>SUM(BL247:BO247)</f>
        <v>0</v>
      </c>
      <c r="BQ247" s="3">
        <f>(BQ115-BP115)*-1</f>
        <v>0</v>
      </c>
      <c r="BR247" s="3">
        <f>(BR115-BQ115)*-1</f>
        <v>0</v>
      </c>
      <c r="BS247" s="3">
        <f>(BS115-BR115)*-1</f>
        <v>0</v>
      </c>
      <c r="BT247" s="3">
        <f>(BT115-BS115)*-1</f>
        <v>0</v>
      </c>
      <c r="BU247" s="3">
        <f>SUM(BQ247:BT247)</f>
        <v>0</v>
      </c>
      <c r="BV247" s="3">
        <f>(BV115-BU115)*-1</f>
        <v>0</v>
      </c>
      <c r="BW247" s="3">
        <f>(BW115-BV115)*-1</f>
        <v>0</v>
      </c>
      <c r="BX247" s="3">
        <f>(BX115-BW115)*-1</f>
        <v>0</v>
      </c>
      <c r="BY247" s="3">
        <f>(BY115-BX115)*-1</f>
        <v>0</v>
      </c>
      <c r="BZ247" s="3">
        <f>SUM(BV247:BY247)</f>
        <v>0</v>
      </c>
      <c r="CA247" s="3">
        <f>(CA115-BZ115)*-1</f>
        <v>0</v>
      </c>
      <c r="CB247" s="3">
        <f>(CB115-CA115)*-1</f>
        <v>0</v>
      </c>
      <c r="CC247" s="3">
        <f>(CC115-CB115)*-1</f>
        <v>0</v>
      </c>
      <c r="CD247" s="3">
        <f>(CD115-CC115)*-1</f>
        <v>0</v>
      </c>
      <c r="CE247" s="3">
        <f>SUM(CA247:CD247)</f>
        <v>0</v>
      </c>
      <c r="CF247" s="3">
        <f>(CF115-CE115)*-1</f>
        <v>0</v>
      </c>
      <c r="CG247" s="3">
        <f>(CG115-CF115)*-1</f>
        <v>0</v>
      </c>
      <c r="CH247" s="3">
        <f>(CH115-CG115)*-1</f>
        <v>0</v>
      </c>
      <c r="CI247" s="3">
        <f>(CI115-CH115)*-1</f>
        <v>0</v>
      </c>
      <c r="CJ247" s="3">
        <f>SUM(CF247:CI247)</f>
        <v>0</v>
      </c>
      <c r="CK247" s="3">
        <f>(CK115-CJ115)*-1</f>
        <v>0</v>
      </c>
      <c r="CL247" s="3">
        <f>(CL115-CK115)*-1</f>
        <v>0</v>
      </c>
      <c r="CM247" s="3">
        <f>(CM115-CL115)*-1</f>
        <v>0</v>
      </c>
      <c r="CN247" s="3">
        <f>(CN115-CM115)*-1</f>
        <v>0</v>
      </c>
      <c r="CO247" s="3">
        <f>SUM(CK247:CN247)</f>
        <v>0</v>
      </c>
      <c r="CP247" s="3">
        <f>(CP115-CO115)*-1</f>
        <v>0</v>
      </c>
      <c r="CQ247" s="3">
        <f>(CQ115-CP115)*-1</f>
        <v>0</v>
      </c>
      <c r="CR247" s="3">
        <f>(CR115-CQ115)*-1</f>
        <v>0</v>
      </c>
      <c r="CS247" s="3">
        <f>(CS115-CR115)*-1</f>
        <v>0</v>
      </c>
      <c r="CT247" s="3">
        <f>SUM(CP247:CS247)</f>
        <v>0</v>
      </c>
      <c r="CU247" s="3">
        <f>(CU115-CT115)*-1</f>
        <v>0</v>
      </c>
      <c r="CV247" s="3">
        <f>(CV115-CU115)*-1</f>
        <v>0</v>
      </c>
      <c r="CW247" s="3">
        <f>(CW115-CV115)*-1</f>
        <v>0</v>
      </c>
      <c r="CX247" s="3">
        <f>(CX115-CW115)*-1</f>
        <v>0</v>
      </c>
      <c r="CY247" s="3">
        <f>SUM(CU247:CX247)</f>
        <v>0</v>
      </c>
    </row>
    <row r="248" hidden="1" outlineLevel="1">
      <c r="C248" s="29" t="inlineStr">
        <is>
          <t>Deferred income taxes</t>
        </is>
      </c>
      <c r="D248" s="3" t="n"/>
      <c r="E248" s="3">
        <f>(E119-D119)*-1</f>
        <v>-67.49999699</v>
      </c>
      <c r="F248" s="3">
        <f>(F119-E119)*-1</f>
        <v>13.70789916</v>
      </c>
      <c r="G248" s="3">
        <f>(G119-F119)*-1</f>
        <v>-9.63708762000002</v>
      </c>
      <c r="H248" s="3">
        <f>SUM(D248:G248)</f>
        <v>-63.42918545</v>
      </c>
      <c r="I248" s="3">
        <f>(I119-H119)*-1</f>
        <v>-14.99168548</v>
      </c>
      <c r="J248" s="3">
        <f>(J119-I119)*-1</f>
        <v>-16.60602995</v>
      </c>
      <c r="K248" s="3">
        <f>(K119-J119)*-1</f>
        <v>-7.53807893</v>
      </c>
      <c r="L248" s="3">
        <f>(L119-K119)*-1</f>
        <v>89.89737981</v>
      </c>
      <c r="M248" s="3">
        <f>SUM(I248:L248)</f>
        <v>50.76158545</v>
      </c>
      <c r="N248" s="3">
        <f>(N119-M119)*-1</f>
        <v>-11.99535428</v>
      </c>
      <c r="O248" s="3">
        <f>(O119-N119)*-1</f>
        <v>-113.62430082</v>
      </c>
      <c r="P248" s="3">
        <f>(P119-O119)*-1</f>
        <v>-26.59413358</v>
      </c>
      <c r="Q248" s="3">
        <f>(Q119-P119)*-1</f>
        <v>128.78445306</v>
      </c>
      <c r="R248" s="3">
        <f>SUM(N248:Q248)</f>
        <v>-23.42933562</v>
      </c>
      <c r="S248" s="3">
        <f>(S119-R119)*-1</f>
        <v>-4.60149490999999</v>
      </c>
      <c r="T248" s="3">
        <f>(T119-S119)*-1</f>
        <v>-2.67516947</v>
      </c>
      <c r="U248" s="3">
        <f>(U119-T119)*-1</f>
        <v>26.206</v>
      </c>
      <c r="V248" s="3">
        <f>(V119-U119)*-1</f>
        <v>-4.661</v>
      </c>
      <c r="W248" s="3">
        <f>SUM(S248:V248)</f>
        <v>14.26833562</v>
      </c>
      <c r="X248" s="3">
        <f>(X119-W119)*-1</f>
        <v>0.247</v>
      </c>
      <c r="Y248" s="3">
        <f>(Y119-X119)*-1</f>
        <v>-3.176</v>
      </c>
      <c r="Z248" s="3">
        <f>(Z119-Y119)*-1</f>
        <v>-0.0929999999999964</v>
      </c>
      <c r="AA248" s="3">
        <f>(AA119-Z119)*-1</f>
        <v>16.9</v>
      </c>
      <c r="AB248" s="3">
        <f>SUM(X248:AA248)</f>
        <v>13.878</v>
      </c>
      <c r="AC248" s="3">
        <f>(AC119-AB119)*-1</f>
        <v>-1.401454</v>
      </c>
      <c r="AD248" s="3">
        <f>(AD119-AC119)*-1</f>
        <v>10.297454</v>
      </c>
      <c r="AE248" s="3">
        <f>(AE119-AD119)*-1</f>
        <v>-0.429</v>
      </c>
      <c r="AF248" s="3">
        <f>(AF119-AE119)*-1</f>
        <v>0.953000000000001</v>
      </c>
      <c r="AG248" s="3">
        <f>SUM(AC248:AF248)</f>
        <v>9.42</v>
      </c>
      <c r="AH248" s="3">
        <f>(AH119-AG119)*-1</f>
        <v>0</v>
      </c>
      <c r="AI248" s="3">
        <f>(AI119-AH119)*-1</f>
        <v>0</v>
      </c>
      <c r="AJ248" s="3">
        <f>(AJ119-AI119)*-1</f>
        <v>0</v>
      </c>
      <c r="AK248" s="3">
        <f>(AK119-AJ119)*-1</f>
        <v>0</v>
      </c>
      <c r="AL248" s="3">
        <f>SUM(AH248:AK248)</f>
        <v>0</v>
      </c>
      <c r="AM248" s="3">
        <f>(AM119-AL119)*-1</f>
        <v>0</v>
      </c>
      <c r="AN248" s="3">
        <f>(AN119-AM119)*-1</f>
        <v>0</v>
      </c>
      <c r="AO248" s="3">
        <f>(AO119-AN119)*-1</f>
        <v>0</v>
      </c>
      <c r="AP248" s="3">
        <f>(AP119-AO119)*-1</f>
        <v>0</v>
      </c>
      <c r="AQ248" s="3">
        <f>SUM(AM248:AP248)</f>
        <v>0</v>
      </c>
      <c r="AR248" s="3">
        <f>(AR119-AQ119)*-1</f>
        <v>0</v>
      </c>
      <c r="AS248" s="3">
        <f>(AS119-AR119)*-1</f>
        <v>0</v>
      </c>
      <c r="AT248" s="3">
        <f>(AT119-AS119)*-1</f>
        <v>0</v>
      </c>
      <c r="AU248" s="3">
        <f>(AU119-AT119)*-1</f>
        <v>0</v>
      </c>
      <c r="AV248" s="3">
        <f>SUM(AR248:AU248)</f>
        <v>0</v>
      </c>
      <c r="AW248" s="3">
        <f>(AW119-AV119)*-1</f>
        <v>0</v>
      </c>
      <c r="AX248" s="3">
        <f>(AX119-AW119)*-1</f>
        <v>0</v>
      </c>
      <c r="AY248" s="3">
        <f>(AY119-AX119)*-1</f>
        <v>0</v>
      </c>
      <c r="AZ248" s="3">
        <f>(AZ119-AY119)*-1</f>
        <v>0</v>
      </c>
      <c r="BA248" s="3">
        <f>SUM(AW248:AZ248)</f>
        <v>0</v>
      </c>
      <c r="BB248" s="3">
        <f>(BB119-BA119)*-1</f>
        <v>0</v>
      </c>
      <c r="BC248" s="3">
        <f>(BC119-BB119)*-1</f>
        <v>0</v>
      </c>
      <c r="BD248" s="3">
        <f>(BD119-BC119)*-1</f>
        <v>0</v>
      </c>
      <c r="BE248" s="3">
        <f>(BE119-BD119)*-1</f>
        <v>0</v>
      </c>
      <c r="BF248" s="3">
        <f>SUM(BB248:BE248)</f>
        <v>0</v>
      </c>
      <c r="BG248" s="3">
        <f>(BG119-BF119)*-1</f>
        <v>0</v>
      </c>
      <c r="BH248" s="3">
        <f>(BH119-BG119)*-1</f>
        <v>0</v>
      </c>
      <c r="BI248" s="3">
        <f>(BI119-BH119)*-1</f>
        <v>0</v>
      </c>
      <c r="BJ248" s="3">
        <f>(BJ119-BI119)*-1</f>
        <v>0</v>
      </c>
      <c r="BK248" s="3">
        <f>SUM(BG248:BJ248)</f>
        <v>0</v>
      </c>
      <c r="BL248" s="3">
        <f>(BL119-BK119)*-1</f>
        <v>0</v>
      </c>
      <c r="BM248" s="3">
        <f>(BM119-BL119)*-1</f>
        <v>0</v>
      </c>
      <c r="BN248" s="3">
        <f>(BN119-BM119)*-1</f>
        <v>0</v>
      </c>
      <c r="BO248" s="3">
        <f>(BO119-BN119)*-1</f>
        <v>0</v>
      </c>
      <c r="BP248" s="3">
        <f>SUM(BL248:BO248)</f>
        <v>0</v>
      </c>
      <c r="BQ248" s="3">
        <f>(BQ119-BP119)*-1</f>
        <v>0</v>
      </c>
      <c r="BR248" s="3">
        <f>(BR119-BQ119)*-1</f>
        <v>0</v>
      </c>
      <c r="BS248" s="3">
        <f>(BS119-BR119)*-1</f>
        <v>0</v>
      </c>
      <c r="BT248" s="3">
        <f>(BT119-BS119)*-1</f>
        <v>0</v>
      </c>
      <c r="BU248" s="3">
        <f>SUM(BQ248:BT248)</f>
        <v>0</v>
      </c>
      <c r="BV248" s="3">
        <f>(BV119-BU119)*-1</f>
        <v>0</v>
      </c>
      <c r="BW248" s="3">
        <f>(BW119-BV119)*-1</f>
        <v>0</v>
      </c>
      <c r="BX248" s="3">
        <f>(BX119-BW119)*-1</f>
        <v>0</v>
      </c>
      <c r="BY248" s="3">
        <f>(BY119-BX119)*-1</f>
        <v>0</v>
      </c>
      <c r="BZ248" s="3">
        <f>SUM(BV248:BY248)</f>
        <v>0</v>
      </c>
      <c r="CA248" s="3">
        <f>(CA119-BZ119)*-1</f>
        <v>0</v>
      </c>
      <c r="CB248" s="3">
        <f>(CB119-CA119)*-1</f>
        <v>0</v>
      </c>
      <c r="CC248" s="3">
        <f>(CC119-CB119)*-1</f>
        <v>0</v>
      </c>
      <c r="CD248" s="3">
        <f>(CD119-CC119)*-1</f>
        <v>0</v>
      </c>
      <c r="CE248" s="3">
        <f>SUM(CA248:CD248)</f>
        <v>0</v>
      </c>
      <c r="CF248" s="3">
        <f>(CF119-CE119)*-1</f>
        <v>0</v>
      </c>
      <c r="CG248" s="3">
        <f>(CG119-CF119)*-1</f>
        <v>0</v>
      </c>
      <c r="CH248" s="3">
        <f>(CH119-CG119)*-1</f>
        <v>0</v>
      </c>
      <c r="CI248" s="3">
        <f>(CI119-CH119)*-1</f>
        <v>0</v>
      </c>
      <c r="CJ248" s="3">
        <f>SUM(CF248:CI248)</f>
        <v>0</v>
      </c>
      <c r="CK248" s="3">
        <f>(CK119-CJ119)*-1</f>
        <v>0</v>
      </c>
      <c r="CL248" s="3">
        <f>(CL119-CK119)*-1</f>
        <v>0</v>
      </c>
      <c r="CM248" s="3">
        <f>(CM119-CL119)*-1</f>
        <v>0</v>
      </c>
      <c r="CN248" s="3">
        <f>(CN119-CM119)*-1</f>
        <v>0</v>
      </c>
      <c r="CO248" s="3">
        <f>SUM(CK248:CN248)</f>
        <v>0</v>
      </c>
      <c r="CP248" s="3">
        <f>(CP119-CO119)*-1</f>
        <v>0</v>
      </c>
      <c r="CQ248" s="3">
        <f>(CQ119-CP119)*-1</f>
        <v>0</v>
      </c>
      <c r="CR248" s="3">
        <f>(CR119-CQ119)*-1</f>
        <v>0</v>
      </c>
      <c r="CS248" s="3">
        <f>(CS119-CR119)*-1</f>
        <v>0</v>
      </c>
      <c r="CT248" s="3">
        <f>SUM(CP248:CS248)</f>
        <v>0</v>
      </c>
      <c r="CU248" s="3">
        <f>(CU119-CT119)*-1</f>
        <v>0</v>
      </c>
      <c r="CV248" s="3">
        <f>(CV119-CU119)*-1</f>
        <v>0</v>
      </c>
      <c r="CW248" s="3">
        <f>(CW119-CV119)*-1</f>
        <v>0</v>
      </c>
      <c r="CX248" s="3">
        <f>(CX119-CW119)*-1</f>
        <v>0</v>
      </c>
      <c r="CY248" s="3">
        <f>SUM(CU248:CX248)</f>
        <v>0</v>
      </c>
    </row>
    <row r="249" hidden="1" outlineLevel="1">
      <c r="C249" s="29" t="inlineStr">
        <is>
          <t>Prepaid expenses</t>
        </is>
      </c>
      <c r="D249" s="3" t="n"/>
      <c r="E249" s="3">
        <f>(E120-D120)*-1</f>
        <v>-6.66930662</v>
      </c>
      <c r="F249" s="3">
        <f>(F120-E120)*-1</f>
        <v>4.95895676</v>
      </c>
      <c r="G249" s="3">
        <f>(G120-F120)*-1</f>
        <v>8.26301844</v>
      </c>
      <c r="H249" s="3">
        <f>SUM(D249:G249)</f>
        <v>6.55266858</v>
      </c>
      <c r="I249" s="3">
        <f>(I120-H120)*-1</f>
        <v>-13.66855291</v>
      </c>
      <c r="J249" s="3">
        <f>(J120-I120)*-1</f>
        <v>1.69108772000001</v>
      </c>
      <c r="K249" s="3">
        <f>(K120-J120)*-1</f>
        <v>6.87841104</v>
      </c>
      <c r="L249" s="3">
        <f>(L120-K120)*-1</f>
        <v>5.95296064</v>
      </c>
      <c r="M249" s="3">
        <f>SUM(I249:L249)</f>
        <v>0.853906489999999</v>
      </c>
      <c r="N249" s="3">
        <f>(N120-M120)*-1</f>
        <v>-21.751686</v>
      </c>
      <c r="O249" s="3">
        <f>(O120-N120)*-1</f>
        <v>1.41326667</v>
      </c>
      <c r="P249" s="3">
        <f>(P120-O120)*-1</f>
        <v>4.83963697</v>
      </c>
      <c r="Q249" s="3">
        <f>(Q120-P120)*-1</f>
        <v>22.41682529</v>
      </c>
      <c r="R249" s="3">
        <f>SUM(N249:Q249)</f>
        <v>6.91804293</v>
      </c>
      <c r="S249" s="3">
        <f>(S120-R120)*-1</f>
        <v>0</v>
      </c>
      <c r="T249" s="3">
        <f>(T120-S120)*-1</f>
        <v>0</v>
      </c>
      <c r="U249" s="3">
        <f>(U120-T120)*-1</f>
        <v>0</v>
      </c>
      <c r="V249" s="3">
        <f>(V120-U120)*-1</f>
        <v>0</v>
      </c>
      <c r="W249" s="3">
        <f>SUM(S249:V249)</f>
        <v>0</v>
      </c>
      <c r="X249" s="3">
        <f>(X120-W120)*-1</f>
        <v>0</v>
      </c>
      <c r="Y249" s="3">
        <f>(Y120-X120)*-1</f>
        <v>0</v>
      </c>
      <c r="Z249" s="3">
        <f>(Z120-Y120)*-1</f>
        <v>0</v>
      </c>
      <c r="AA249" s="3">
        <f>(AA120-Z120)*-1</f>
        <v>0</v>
      </c>
      <c r="AB249" s="3">
        <f>SUM(X249:AA249)</f>
        <v>0</v>
      </c>
      <c r="AC249" s="3">
        <f>(AC120-AB120)*-1</f>
        <v>0</v>
      </c>
      <c r="AD249" s="3">
        <f>(AD120-AC120)*-1</f>
        <v>0</v>
      </c>
      <c r="AE249" s="3">
        <f>(AE120-AD120)*-1</f>
        <v>0</v>
      </c>
      <c r="AF249" s="3">
        <f>(AF120-AE120)*-1</f>
        <v>0</v>
      </c>
      <c r="AG249" s="3">
        <f>SUM(AC249:AF249)</f>
        <v>0</v>
      </c>
      <c r="AH249" s="3">
        <f>(AH120-AG120)*-1</f>
        <v>0</v>
      </c>
      <c r="AI249" s="3">
        <f>(AI120-AH120)*-1</f>
        <v>0</v>
      </c>
      <c r="AJ249" s="3">
        <f>(AJ120-AI120)*-1</f>
        <v>0</v>
      </c>
      <c r="AK249" s="3">
        <f>(AK120-AJ120)*-1</f>
        <v>0</v>
      </c>
      <c r="AL249" s="3">
        <f>SUM(AH249:AK249)</f>
        <v>0</v>
      </c>
      <c r="AM249" s="3">
        <f>(AM120-AL120)*-1</f>
        <v>0</v>
      </c>
      <c r="AN249" s="3">
        <f>(AN120-AM120)*-1</f>
        <v>0</v>
      </c>
      <c r="AO249" s="3">
        <f>(AO120-AN120)*-1</f>
        <v>0</v>
      </c>
      <c r="AP249" s="3">
        <f>(AP120-AO120)*-1</f>
        <v>0</v>
      </c>
      <c r="AQ249" s="3">
        <f>SUM(AM249:AP249)</f>
        <v>0</v>
      </c>
      <c r="AR249" s="3">
        <f>(AR120-AQ120)*-1</f>
        <v>0</v>
      </c>
      <c r="AS249" s="3">
        <f>(AS120-AR120)*-1</f>
        <v>0</v>
      </c>
      <c r="AT249" s="3">
        <f>(AT120-AS120)*-1</f>
        <v>0</v>
      </c>
      <c r="AU249" s="3">
        <f>(AU120-AT120)*-1</f>
        <v>0</v>
      </c>
      <c r="AV249" s="3">
        <f>SUM(AR249:AU249)</f>
        <v>0</v>
      </c>
      <c r="AW249" s="3">
        <f>(AW120-AV120)*-1</f>
        <v>0</v>
      </c>
      <c r="AX249" s="3">
        <f>(AX120-AW120)*-1</f>
        <v>0</v>
      </c>
      <c r="AY249" s="3">
        <f>(AY120-AX120)*-1</f>
        <v>0</v>
      </c>
      <c r="AZ249" s="3">
        <f>(AZ120-AY120)*-1</f>
        <v>0</v>
      </c>
      <c r="BA249" s="3">
        <f>SUM(AW249:AZ249)</f>
        <v>0</v>
      </c>
      <c r="BB249" s="3">
        <f>(BB120-BA120)*-1</f>
        <v>0</v>
      </c>
      <c r="BC249" s="3">
        <f>(BC120-BB120)*-1</f>
        <v>0</v>
      </c>
      <c r="BD249" s="3">
        <f>(BD120-BC120)*-1</f>
        <v>0</v>
      </c>
      <c r="BE249" s="3">
        <f>(BE120-BD120)*-1</f>
        <v>0</v>
      </c>
      <c r="BF249" s="3">
        <f>SUM(BB249:BE249)</f>
        <v>0</v>
      </c>
      <c r="BG249" s="3">
        <f>(BG120-BF120)*-1</f>
        <v>0</v>
      </c>
      <c r="BH249" s="3">
        <f>(BH120-BG120)*-1</f>
        <v>0</v>
      </c>
      <c r="BI249" s="3">
        <f>(BI120-BH120)*-1</f>
        <v>0</v>
      </c>
      <c r="BJ249" s="3">
        <f>(BJ120-BI120)*-1</f>
        <v>0</v>
      </c>
      <c r="BK249" s="3">
        <f>SUM(BG249:BJ249)</f>
        <v>0</v>
      </c>
      <c r="BL249" s="3">
        <f>(BL120-BK120)*-1</f>
        <v>0</v>
      </c>
      <c r="BM249" s="3">
        <f>(BM120-BL120)*-1</f>
        <v>0</v>
      </c>
      <c r="BN249" s="3">
        <f>(BN120-BM120)*-1</f>
        <v>0</v>
      </c>
      <c r="BO249" s="3">
        <f>(BO120-BN120)*-1</f>
        <v>0</v>
      </c>
      <c r="BP249" s="3">
        <f>SUM(BL249:BO249)</f>
        <v>0</v>
      </c>
      <c r="BQ249" s="3">
        <f>(BQ120-BP120)*-1</f>
        <v>0</v>
      </c>
      <c r="BR249" s="3">
        <f>(BR120-BQ120)*-1</f>
        <v>0</v>
      </c>
      <c r="BS249" s="3">
        <f>(BS120-BR120)*-1</f>
        <v>0</v>
      </c>
      <c r="BT249" s="3">
        <f>(BT120-BS120)*-1</f>
        <v>0</v>
      </c>
      <c r="BU249" s="3">
        <f>SUM(BQ249:BT249)</f>
        <v>0</v>
      </c>
      <c r="BV249" s="3">
        <f>(BV120-BU120)*-1</f>
        <v>0</v>
      </c>
      <c r="BW249" s="3">
        <f>(BW120-BV120)*-1</f>
        <v>0</v>
      </c>
      <c r="BX249" s="3">
        <f>(BX120-BW120)*-1</f>
        <v>0</v>
      </c>
      <c r="BY249" s="3">
        <f>(BY120-BX120)*-1</f>
        <v>0</v>
      </c>
      <c r="BZ249" s="3">
        <f>SUM(BV249:BY249)</f>
        <v>0</v>
      </c>
      <c r="CA249" s="3">
        <f>(CA120-BZ120)*-1</f>
        <v>0</v>
      </c>
      <c r="CB249" s="3">
        <f>(CB120-CA120)*-1</f>
        <v>0</v>
      </c>
      <c r="CC249" s="3">
        <f>(CC120-CB120)*-1</f>
        <v>0</v>
      </c>
      <c r="CD249" s="3">
        <f>(CD120-CC120)*-1</f>
        <v>0</v>
      </c>
      <c r="CE249" s="3">
        <f>SUM(CA249:CD249)</f>
        <v>0</v>
      </c>
      <c r="CF249" s="3">
        <f>(CF120-CE120)*-1</f>
        <v>0</v>
      </c>
      <c r="CG249" s="3">
        <f>(CG120-CF120)*-1</f>
        <v>0</v>
      </c>
      <c r="CH249" s="3">
        <f>(CH120-CG120)*-1</f>
        <v>0</v>
      </c>
      <c r="CI249" s="3">
        <f>(CI120-CH120)*-1</f>
        <v>0</v>
      </c>
      <c r="CJ249" s="3">
        <f>SUM(CF249:CI249)</f>
        <v>0</v>
      </c>
      <c r="CK249" s="3">
        <f>(CK120-CJ120)*-1</f>
        <v>0</v>
      </c>
      <c r="CL249" s="3">
        <f>(CL120-CK120)*-1</f>
        <v>0</v>
      </c>
      <c r="CM249" s="3">
        <f>(CM120-CL120)*-1</f>
        <v>0</v>
      </c>
      <c r="CN249" s="3">
        <f>(CN120-CM120)*-1</f>
        <v>0</v>
      </c>
      <c r="CO249" s="3">
        <f>SUM(CK249:CN249)</f>
        <v>0</v>
      </c>
      <c r="CP249" s="3">
        <f>(CP120-CO120)*-1</f>
        <v>0</v>
      </c>
      <c r="CQ249" s="3">
        <f>(CQ120-CP120)*-1</f>
        <v>0</v>
      </c>
      <c r="CR249" s="3">
        <f>(CR120-CQ120)*-1</f>
        <v>0</v>
      </c>
      <c r="CS249" s="3">
        <f>(CS120-CR120)*-1</f>
        <v>0</v>
      </c>
      <c r="CT249" s="3">
        <f>SUM(CP249:CS249)</f>
        <v>0</v>
      </c>
      <c r="CU249" s="3">
        <f>(CU120-CT120)*-1</f>
        <v>0</v>
      </c>
      <c r="CV249" s="3">
        <f>(CV120-CU120)*-1</f>
        <v>0</v>
      </c>
      <c r="CW249" s="3">
        <f>(CW120-CV120)*-1</f>
        <v>0</v>
      </c>
      <c r="CX249" s="3">
        <f>(CX120-CW120)*-1</f>
        <v>0</v>
      </c>
      <c r="CY249" s="3">
        <f>SUM(CU249:CX249)</f>
        <v>0</v>
      </c>
    </row>
    <row r="250" hidden="1" outlineLevel="1">
      <c r="C250" s="29" t="inlineStr">
        <is>
          <t>Other current assets</t>
        </is>
      </c>
      <c r="D250" s="3" t="n"/>
      <c r="E250" s="3">
        <f>(E121-D121)*-1</f>
        <v>-16.0547727000008</v>
      </c>
      <c r="F250" s="3">
        <f>(F121-E121)*-1</f>
        <v>22.1096917000038</v>
      </c>
      <c r="G250" s="3">
        <f>(G121-F121)*-1</f>
        <v>13.211984149997</v>
      </c>
      <c r="H250" s="3">
        <f>SUM(D250:G250)</f>
        <v>19.26690315</v>
      </c>
      <c r="I250" s="3">
        <f>(I121-H121)*-1</f>
        <v>-0.568412970000018</v>
      </c>
      <c r="J250" s="3">
        <f>(J121-I121)*-1</f>
        <v>1.77279984000001</v>
      </c>
      <c r="K250" s="3">
        <f>(K121-J121)*-1</f>
        <v>-89.83614434</v>
      </c>
      <c r="L250" s="3">
        <f>(L121-K121)*-1</f>
        <v>79.69548651</v>
      </c>
      <c r="M250" s="3">
        <f>SUM(I250:L250)</f>
        <v>-8.93627096000003</v>
      </c>
      <c r="N250" s="3">
        <f>(N121-M121)*-1</f>
        <v>-32.15093362</v>
      </c>
      <c r="O250" s="3">
        <f>(O121-N121)*-1</f>
        <v>-43.77029562</v>
      </c>
      <c r="P250" s="3">
        <f>(P121-O121)*-1</f>
        <v>-32.50161171</v>
      </c>
      <c r="Q250" s="3">
        <f>(Q121-P121)*-1</f>
        <v>51.93134997</v>
      </c>
      <c r="R250" s="3">
        <f>SUM(N250:Q250)</f>
        <v>-56.49149098</v>
      </c>
      <c r="S250" s="3">
        <f>(S121-R121)*-1</f>
        <v>7.21647343000001</v>
      </c>
      <c r="T250" s="3">
        <f>(T121-S121)*-1</f>
        <v>-87.172241</v>
      </c>
      <c r="U250" s="3">
        <f>(U121-T121)*-1</f>
        <v>40.342</v>
      </c>
      <c r="V250" s="3">
        <f>(V121-U121)*-1</f>
        <v>-71.198</v>
      </c>
      <c r="W250" s="3">
        <f>SUM(S250:V250)</f>
        <v>-110.81176757</v>
      </c>
      <c r="X250" s="3">
        <f>(X121-W121)*-1</f>
        <v>-15.695</v>
      </c>
      <c r="Y250" s="3">
        <f>(Y121-X121)*-1</f>
        <v>-10.071</v>
      </c>
      <c r="Z250" s="3">
        <f>(Z121-Y121)*-1</f>
        <v>11.414</v>
      </c>
      <c r="AA250" s="3">
        <f>(AA121-Z121)*-1</f>
        <v>9.54200000000003</v>
      </c>
      <c r="AB250" s="3">
        <f>SUM(X250:AA250)</f>
        <v>-4.81</v>
      </c>
      <c r="AC250" s="3">
        <f>(AC121-AB121)*-1</f>
        <v>-13.94</v>
      </c>
      <c r="AD250" s="3">
        <f>(AD121-AC121)*-1</f>
        <v>-16.225</v>
      </c>
      <c r="AE250" s="3">
        <f>(AE121-AD121)*-1</f>
        <v>-11.033</v>
      </c>
      <c r="AF250" s="3">
        <f>(AF121-AE121)*-1</f>
        <v>-45.8970000000001</v>
      </c>
      <c r="AG250" s="3">
        <f>SUM(AC250:AF250)</f>
        <v>-87.095</v>
      </c>
      <c r="AH250" s="3">
        <f>(AH121-AG121)*-1</f>
        <v>0</v>
      </c>
      <c r="AI250" s="3">
        <f>(AI121-AH121)*-1</f>
        <v>0</v>
      </c>
      <c r="AJ250" s="3">
        <f>(AJ121-AI121)*-1</f>
        <v>0</v>
      </c>
      <c r="AK250" s="3">
        <f>(AK121-AJ121)*-1</f>
        <v>0</v>
      </c>
      <c r="AL250" s="3">
        <f>SUM(AH250:AK250)</f>
        <v>0</v>
      </c>
      <c r="AM250" s="3">
        <f>(AM121-AL121)*-1</f>
        <v>0</v>
      </c>
      <c r="AN250" s="3">
        <f>(AN121-AM121)*-1</f>
        <v>0</v>
      </c>
      <c r="AO250" s="3">
        <f>(AO121-AN121)*-1</f>
        <v>0</v>
      </c>
      <c r="AP250" s="3">
        <f>(AP121-AO121)*-1</f>
        <v>0</v>
      </c>
      <c r="AQ250" s="3">
        <f>SUM(AM250:AP250)</f>
        <v>0</v>
      </c>
      <c r="AR250" s="3">
        <f>(AR121-AQ121)*-1</f>
        <v>0</v>
      </c>
      <c r="AS250" s="3">
        <f>(AS121-AR121)*-1</f>
        <v>0</v>
      </c>
      <c r="AT250" s="3">
        <f>(AT121-AS121)*-1</f>
        <v>0</v>
      </c>
      <c r="AU250" s="3">
        <f>(AU121-AT121)*-1</f>
        <v>0</v>
      </c>
      <c r="AV250" s="3">
        <f>SUM(AR250:AU250)</f>
        <v>0</v>
      </c>
      <c r="AW250" s="3">
        <f>(AW121-AV121)*-1</f>
        <v>0</v>
      </c>
      <c r="AX250" s="3">
        <f>(AX121-AW121)*-1</f>
        <v>0</v>
      </c>
      <c r="AY250" s="3">
        <f>(AY121-AX121)*-1</f>
        <v>0</v>
      </c>
      <c r="AZ250" s="3">
        <f>(AZ121-AY121)*-1</f>
        <v>0</v>
      </c>
      <c r="BA250" s="3">
        <f>SUM(AW250:AZ250)</f>
        <v>0</v>
      </c>
      <c r="BB250" s="3">
        <f>(BB121-BA121)*-1</f>
        <v>0</v>
      </c>
      <c r="BC250" s="3">
        <f>(BC121-BB121)*-1</f>
        <v>0</v>
      </c>
      <c r="BD250" s="3">
        <f>(BD121-BC121)*-1</f>
        <v>0</v>
      </c>
      <c r="BE250" s="3">
        <f>(BE121-BD121)*-1</f>
        <v>0</v>
      </c>
      <c r="BF250" s="3">
        <f>SUM(BB250:BE250)</f>
        <v>0</v>
      </c>
      <c r="BG250" s="3">
        <f>(BG121-BF121)*-1</f>
        <v>0</v>
      </c>
      <c r="BH250" s="3">
        <f>(BH121-BG121)*-1</f>
        <v>0</v>
      </c>
      <c r="BI250" s="3">
        <f>(BI121-BH121)*-1</f>
        <v>0</v>
      </c>
      <c r="BJ250" s="3">
        <f>(BJ121-BI121)*-1</f>
        <v>0</v>
      </c>
      <c r="BK250" s="3">
        <f>SUM(BG250:BJ250)</f>
        <v>0</v>
      </c>
      <c r="BL250" s="3">
        <f>(BL121-BK121)*-1</f>
        <v>0</v>
      </c>
      <c r="BM250" s="3">
        <f>(BM121-BL121)*-1</f>
        <v>0</v>
      </c>
      <c r="BN250" s="3">
        <f>(BN121-BM121)*-1</f>
        <v>0</v>
      </c>
      <c r="BO250" s="3">
        <f>(BO121-BN121)*-1</f>
        <v>0</v>
      </c>
      <c r="BP250" s="3">
        <f>SUM(BL250:BO250)</f>
        <v>0</v>
      </c>
      <c r="BQ250" s="3">
        <f>(BQ121-BP121)*-1</f>
        <v>0</v>
      </c>
      <c r="BR250" s="3">
        <f>(BR121-BQ121)*-1</f>
        <v>0</v>
      </c>
      <c r="BS250" s="3">
        <f>(BS121-BR121)*-1</f>
        <v>0</v>
      </c>
      <c r="BT250" s="3">
        <f>(BT121-BS121)*-1</f>
        <v>0</v>
      </c>
      <c r="BU250" s="3">
        <f>SUM(BQ250:BT250)</f>
        <v>0</v>
      </c>
      <c r="BV250" s="3">
        <f>(BV121-BU121)*-1</f>
        <v>0</v>
      </c>
      <c r="BW250" s="3">
        <f>(BW121-BV121)*-1</f>
        <v>0</v>
      </c>
      <c r="BX250" s="3">
        <f>(BX121-BW121)*-1</f>
        <v>0</v>
      </c>
      <c r="BY250" s="3">
        <f>(BY121-BX121)*-1</f>
        <v>0</v>
      </c>
      <c r="BZ250" s="3">
        <f>SUM(BV250:BY250)</f>
        <v>0</v>
      </c>
      <c r="CA250" s="3">
        <f>(CA121-BZ121)*-1</f>
        <v>0</v>
      </c>
      <c r="CB250" s="3">
        <f>(CB121-CA121)*-1</f>
        <v>0</v>
      </c>
      <c r="CC250" s="3">
        <f>(CC121-CB121)*-1</f>
        <v>0</v>
      </c>
      <c r="CD250" s="3">
        <f>(CD121-CC121)*-1</f>
        <v>0</v>
      </c>
      <c r="CE250" s="3">
        <f>SUM(CA250:CD250)</f>
        <v>0</v>
      </c>
      <c r="CF250" s="3">
        <f>(CF121-CE121)*-1</f>
        <v>0</v>
      </c>
      <c r="CG250" s="3">
        <f>(CG121-CF121)*-1</f>
        <v>0</v>
      </c>
      <c r="CH250" s="3">
        <f>(CH121-CG121)*-1</f>
        <v>0</v>
      </c>
      <c r="CI250" s="3">
        <f>(CI121-CH121)*-1</f>
        <v>0</v>
      </c>
      <c r="CJ250" s="3">
        <f>SUM(CF250:CI250)</f>
        <v>0</v>
      </c>
      <c r="CK250" s="3">
        <f>(CK121-CJ121)*-1</f>
        <v>0</v>
      </c>
      <c r="CL250" s="3">
        <f>(CL121-CK121)*-1</f>
        <v>0</v>
      </c>
      <c r="CM250" s="3">
        <f>(CM121-CL121)*-1</f>
        <v>0</v>
      </c>
      <c r="CN250" s="3">
        <f>(CN121-CM121)*-1</f>
        <v>0</v>
      </c>
      <c r="CO250" s="3">
        <f>SUM(CK250:CN250)</f>
        <v>0</v>
      </c>
      <c r="CP250" s="3">
        <f>(CP121-CO121)*-1</f>
        <v>0</v>
      </c>
      <c r="CQ250" s="3">
        <f>(CQ121-CP121)*-1</f>
        <v>0</v>
      </c>
      <c r="CR250" s="3">
        <f>(CR121-CQ121)*-1</f>
        <v>0</v>
      </c>
      <c r="CS250" s="3">
        <f>(CS121-CR121)*-1</f>
        <v>0</v>
      </c>
      <c r="CT250" s="3">
        <f>SUM(CP250:CS250)</f>
        <v>0</v>
      </c>
      <c r="CU250" s="3">
        <f>(CU121-CT121)*-1</f>
        <v>0</v>
      </c>
      <c r="CV250" s="3">
        <f>(CV121-CU121)*-1</f>
        <v>0</v>
      </c>
      <c r="CW250" s="3">
        <f>(CW121-CV121)*-1</f>
        <v>0</v>
      </c>
      <c r="CX250" s="3">
        <f>(CX121-CW121)*-1</f>
        <v>0</v>
      </c>
      <c r="CY250" s="3">
        <f>SUM(CU250:CX250)</f>
        <v>0</v>
      </c>
    </row>
    <row r="251" hidden="1" outlineLevel="1">
      <c r="C251" s="29" t="inlineStr">
        <is>
          <t>Accounts payable</t>
        </is>
      </c>
      <c r="D251" s="3" t="n"/>
      <c r="E251" s="3">
        <f>E164-D164</f>
        <v>-15.9830879100001</v>
      </c>
      <c r="F251" s="3">
        <f>F164-E164</f>
        <v>34.37160213</v>
      </c>
      <c r="G251" s="3">
        <f>G164-F164</f>
        <v>53.49231142</v>
      </c>
      <c r="H251" s="3">
        <f>SUM(D251:G251)</f>
        <v>71.8808256399999</v>
      </c>
      <c r="I251" s="3">
        <f>I164-H164</f>
        <v>-33.00081969</v>
      </c>
      <c r="J251" s="3">
        <f>J164-I164</f>
        <v>54.47829324</v>
      </c>
      <c r="K251" s="3">
        <f>K164-J164</f>
        <v>18.66840796</v>
      </c>
      <c r="L251" s="3">
        <f>L164-K164</f>
        <v>66.2759121299999</v>
      </c>
      <c r="M251" s="3">
        <f>SUM(I251:L251)</f>
        <v>106.42179364</v>
      </c>
      <c r="N251" s="3">
        <f>N164-M164</f>
        <v>-50.5623940899999</v>
      </c>
      <c r="O251" s="3">
        <f>O164-N164</f>
        <v>-3.64324785000002</v>
      </c>
      <c r="P251" s="3">
        <f>P164-O164</f>
        <v>-4.96310746</v>
      </c>
      <c r="Q251" s="3">
        <f>Q164-P164</f>
        <v>66.55579386</v>
      </c>
      <c r="R251" s="3">
        <f>SUM(N251:Q251)</f>
        <v>7.38704446000003</v>
      </c>
      <c r="S251" s="3">
        <f>S164-R164</f>
        <v>-4.54999776999995</v>
      </c>
      <c r="T251" s="3">
        <f>T164-S164</f>
        <v>231.55210136</v>
      </c>
      <c r="U251" s="3">
        <f>U164-T164</f>
        <v>-16.045</v>
      </c>
      <c r="V251" s="3">
        <f>V164-U164</f>
        <v>45.188</v>
      </c>
      <c r="W251" s="3">
        <f>SUM(S251:V251)</f>
        <v>256.14510359</v>
      </c>
      <c r="X251" s="3">
        <f>X164-W164</f>
        <v>12.033</v>
      </c>
      <c r="Y251" s="3">
        <f>Y164-X164</f>
        <v>44.029</v>
      </c>
      <c r="Z251" s="3">
        <f>Z164-Y164</f>
        <v>-28.9300000000001</v>
      </c>
      <c r="AA251" s="3">
        <f>AA164-Z164</f>
        <v>56.4640000000001</v>
      </c>
      <c r="AB251" s="3">
        <f>SUM(X251:AA251)</f>
        <v>83.596</v>
      </c>
      <c r="AC251" s="3">
        <f>AC164-AB164</f>
        <v>-29.2926040000001</v>
      </c>
      <c r="AD251" s="3">
        <f>AD164-AC164</f>
        <v>-21.7793959999999</v>
      </c>
      <c r="AE251" s="3">
        <f>AE164-AD164</f>
        <v>68.407</v>
      </c>
      <c r="AF251" s="3">
        <f>AF164-AE164</f>
        <v>78.789</v>
      </c>
      <c r="AG251" s="3">
        <f>SUM(AC251:AF251)</f>
        <v>96.124</v>
      </c>
      <c r="AH251" s="3">
        <f>AH164-AG164</f>
        <v>-800.133</v>
      </c>
      <c r="AI251" s="3">
        <f>AI164-AH164</f>
        <v>0</v>
      </c>
      <c r="AJ251" s="3">
        <f>AJ164-AI164</f>
        <v>0</v>
      </c>
      <c r="AK251" s="3">
        <f>AK164-AJ164</f>
        <v>0</v>
      </c>
      <c r="AL251" s="3">
        <f>SUM(AH251:AK251)</f>
        <v>-800.133</v>
      </c>
      <c r="AM251" s="3">
        <f>AM164-AL164</f>
        <v>0</v>
      </c>
      <c r="AN251" s="3">
        <f>AN164-AM164</f>
        <v>0</v>
      </c>
      <c r="AO251" s="3">
        <f>AO164-AN164</f>
        <v>0</v>
      </c>
      <c r="AP251" s="3">
        <f>AP164-AO164</f>
        <v>0</v>
      </c>
      <c r="AQ251" s="3">
        <f>SUM(AM251:AP251)</f>
        <v>0</v>
      </c>
      <c r="AR251" s="3">
        <f>AR164-AQ164</f>
        <v>0</v>
      </c>
      <c r="AS251" s="3">
        <f>AS164-AR164</f>
        <v>0</v>
      </c>
      <c r="AT251" s="3">
        <f>AT164-AS164</f>
        <v>0</v>
      </c>
      <c r="AU251" s="3">
        <f>AU164-AT164</f>
        <v>0</v>
      </c>
      <c r="AV251" s="3">
        <f>SUM(AR251:AU251)</f>
        <v>0</v>
      </c>
      <c r="AW251" s="3">
        <f>AW164-AV164</f>
        <v>0</v>
      </c>
      <c r="AX251" s="3">
        <f>AX164-AW164</f>
        <v>0</v>
      </c>
      <c r="AY251" s="3">
        <f>AY164-AX164</f>
        <v>0</v>
      </c>
      <c r="AZ251" s="3">
        <f>AZ164-AY164</f>
        <v>0</v>
      </c>
      <c r="BA251" s="3">
        <f>SUM(AW251:AZ251)</f>
        <v>0</v>
      </c>
      <c r="BB251" s="3">
        <f>BB164-BA164</f>
        <v>0</v>
      </c>
      <c r="BC251" s="3">
        <f>BC164-BB164</f>
        <v>0</v>
      </c>
      <c r="BD251" s="3">
        <f>BD164-BC164</f>
        <v>0</v>
      </c>
      <c r="BE251" s="3">
        <f>BE164-BD164</f>
        <v>0</v>
      </c>
      <c r="BF251" s="3">
        <f>SUM(BB251:BE251)</f>
        <v>0</v>
      </c>
      <c r="BG251" s="3">
        <f>BG164-BF164</f>
        <v>0</v>
      </c>
      <c r="BH251" s="3">
        <f>BH164-BG164</f>
        <v>0</v>
      </c>
      <c r="BI251" s="3">
        <f>BI164-BH164</f>
        <v>0</v>
      </c>
      <c r="BJ251" s="3">
        <f>BJ164-BI164</f>
        <v>0</v>
      </c>
      <c r="BK251" s="3">
        <f>SUM(BG251:BJ251)</f>
        <v>0</v>
      </c>
      <c r="BL251" s="3">
        <f>BL164-BK164</f>
        <v>0</v>
      </c>
      <c r="BM251" s="3">
        <f>BM164-BL164</f>
        <v>0</v>
      </c>
      <c r="BN251" s="3">
        <f>BN164-BM164</f>
        <v>0</v>
      </c>
      <c r="BO251" s="3">
        <f>BO164-BN164</f>
        <v>0</v>
      </c>
      <c r="BP251" s="3">
        <f>SUM(BL251:BO251)</f>
        <v>0</v>
      </c>
      <c r="BQ251" s="3">
        <f>BQ164-BP164</f>
        <v>0</v>
      </c>
      <c r="BR251" s="3">
        <f>BR164-BQ164</f>
        <v>0</v>
      </c>
      <c r="BS251" s="3">
        <f>BS164-BR164</f>
        <v>0</v>
      </c>
      <c r="BT251" s="3">
        <f>BT164-BS164</f>
        <v>0</v>
      </c>
      <c r="BU251" s="3">
        <f>SUM(BQ251:BT251)</f>
        <v>0</v>
      </c>
      <c r="BV251" s="3">
        <f>BV164-BU164</f>
        <v>0</v>
      </c>
      <c r="BW251" s="3">
        <f>BW164-BV164</f>
        <v>0</v>
      </c>
      <c r="BX251" s="3">
        <f>BX164-BW164</f>
        <v>0</v>
      </c>
      <c r="BY251" s="3">
        <f>BY164-BX164</f>
        <v>0</v>
      </c>
      <c r="BZ251" s="3">
        <f>SUM(BV251:BY251)</f>
        <v>0</v>
      </c>
      <c r="CA251" s="3">
        <f>CA164-BZ164</f>
        <v>0</v>
      </c>
      <c r="CB251" s="3">
        <f>CB164-CA164</f>
        <v>0</v>
      </c>
      <c r="CC251" s="3">
        <f>CC164-CB164</f>
        <v>0</v>
      </c>
      <c r="CD251" s="3">
        <f>CD164-CC164</f>
        <v>0</v>
      </c>
      <c r="CE251" s="3">
        <f>SUM(CA251:CD251)</f>
        <v>0</v>
      </c>
      <c r="CF251" s="3">
        <f>CF164-CE164</f>
        <v>0</v>
      </c>
      <c r="CG251" s="3">
        <f>CG164-CF164</f>
        <v>0</v>
      </c>
      <c r="CH251" s="3">
        <f>CH164-CG164</f>
        <v>0</v>
      </c>
      <c r="CI251" s="3">
        <f>CI164-CH164</f>
        <v>0</v>
      </c>
      <c r="CJ251" s="3">
        <f>SUM(CF251:CI251)</f>
        <v>0</v>
      </c>
      <c r="CK251" s="3">
        <f>CK164-CJ164</f>
        <v>0</v>
      </c>
      <c r="CL251" s="3">
        <f>CL164-CK164</f>
        <v>0</v>
      </c>
      <c r="CM251" s="3">
        <f>CM164-CL164</f>
        <v>0</v>
      </c>
      <c r="CN251" s="3">
        <f>CN164-CM164</f>
        <v>0</v>
      </c>
      <c r="CO251" s="3">
        <f>SUM(CK251:CN251)</f>
        <v>0</v>
      </c>
      <c r="CP251" s="3">
        <f>CP164-CO164</f>
        <v>0</v>
      </c>
      <c r="CQ251" s="3">
        <f>CQ164-CP164</f>
        <v>0</v>
      </c>
      <c r="CR251" s="3">
        <f>CR164-CQ164</f>
        <v>0</v>
      </c>
      <c r="CS251" s="3">
        <f>CS164-CR164</f>
        <v>0</v>
      </c>
      <c r="CT251" s="3">
        <f>SUM(CP251:CS251)</f>
        <v>0</v>
      </c>
      <c r="CU251" s="3">
        <f>CU164-CT164</f>
        <v>0</v>
      </c>
      <c r="CV251" s="3">
        <f>CV164-CU164</f>
        <v>0</v>
      </c>
      <c r="CW251" s="3">
        <f>CW164-CV164</f>
        <v>0</v>
      </c>
      <c r="CX251" s="3">
        <f>CX164-CW164</f>
        <v>0</v>
      </c>
      <c r="CY251" s="3">
        <f>SUM(CU251:CX251)</f>
        <v>0</v>
      </c>
    </row>
    <row r="252" hidden="1" outlineLevel="1">
      <c r="C252" s="29" t="inlineStr">
        <is>
          <t>Accrued expenses</t>
        </is>
      </c>
      <c r="D252" s="3" t="n"/>
      <c r="E252" s="3">
        <f>E168-D168</f>
        <v>19.91782057</v>
      </c>
      <c r="F252" s="3">
        <f>F168-E168</f>
        <v>19.76330544</v>
      </c>
      <c r="G252" s="3">
        <f>G168-F168</f>
        <v>-9.81846976</v>
      </c>
      <c r="H252" s="3">
        <f>SUM(D252:G252)</f>
        <v>29.86265625</v>
      </c>
      <c r="I252" s="3">
        <f>I168-H168</f>
        <v>-9.00270121</v>
      </c>
      <c r="J252" s="3">
        <f>J168-I168</f>
        <v>49.27877659</v>
      </c>
      <c r="K252" s="3">
        <f>K168-J168</f>
        <v>39.19240667</v>
      </c>
      <c r="L252" s="3">
        <f>L168-K168</f>
        <v>-16.07435722</v>
      </c>
      <c r="M252" s="3">
        <f>SUM(I252:L252)</f>
        <v>63.39412483</v>
      </c>
      <c r="N252" s="3">
        <f>N168-M168</f>
        <v>-29.4496219</v>
      </c>
      <c r="O252" s="3">
        <f>O168-N168</f>
        <v>38.16830608</v>
      </c>
      <c r="P252" s="3">
        <f>P168-O168</f>
        <v>30.2686412</v>
      </c>
      <c r="Q252" s="3">
        <f>Q168-P168</f>
        <v>-13.55522774</v>
      </c>
      <c r="R252" s="3">
        <f>SUM(N252:Q252)</f>
        <v>25.43209764</v>
      </c>
      <c r="S252" s="3">
        <f>S168-R168</f>
        <v>-36.04605973</v>
      </c>
      <c r="T252" s="3">
        <f>T168-S168</f>
        <v>137.38276287</v>
      </c>
      <c r="U252" s="3">
        <f>U168-T168</f>
        <v>51.824</v>
      </c>
      <c r="V252" s="3">
        <f>V168-U168</f>
        <v>-41.772</v>
      </c>
      <c r="W252" s="3">
        <f>SUM(S252:V252)</f>
        <v>111.38870314</v>
      </c>
      <c r="X252" s="3">
        <f>X168-W168</f>
        <v>-53.181</v>
      </c>
      <c r="Y252" s="3">
        <f>Y168-X168</f>
        <v>67.143</v>
      </c>
      <c r="Z252" s="3">
        <f>Z168-Y168</f>
        <v>49.781</v>
      </c>
      <c r="AA252" s="3">
        <f>AA168-Z168</f>
        <v>-20.83</v>
      </c>
      <c r="AB252" s="3">
        <f>SUM(X252:AA252)</f>
        <v>42.913</v>
      </c>
      <c r="AC252" s="3">
        <f>AC168-AB168</f>
        <v>-72.139726</v>
      </c>
      <c r="AD252" s="3">
        <f>AD168-AC168</f>
        <v>58.640726</v>
      </c>
      <c r="AE252" s="3">
        <f>AE168-AD168</f>
        <v>70.573</v>
      </c>
      <c r="AF252" s="3">
        <f>AF168-AE168</f>
        <v>-31.344</v>
      </c>
      <c r="AG252" s="3">
        <f>SUM(AC252:AF252)</f>
        <v>25.73</v>
      </c>
      <c r="AH252" s="3">
        <f>AH168-AG168</f>
        <v>-407.632</v>
      </c>
      <c r="AI252" s="3">
        <f>AI168-AH168</f>
        <v>0</v>
      </c>
      <c r="AJ252" s="3" t="e">
        <f>AJ168-AI168</f>
        <v>#DIV/0!</v>
      </c>
      <c r="AK252" s="3" t="e">
        <f>AK168-AJ168</f>
        <v>#DIV/0!</v>
      </c>
      <c r="AL252" s="3" t="e">
        <f>SUM(AH252:AK252)</f>
        <v>#DIV/0!</v>
      </c>
      <c r="AM252" s="3" t="e">
        <f>AM168-AL168</f>
        <v>#DIV/0!</v>
      </c>
      <c r="AN252" s="3" t="e">
        <f>AN168-AM168</f>
        <v>#DIV/0!</v>
      </c>
      <c r="AO252" s="3" t="e">
        <f>AO168-AN168</f>
        <v>#DIV/0!</v>
      </c>
      <c r="AP252" s="3" t="e">
        <f>AP168-AO168</f>
        <v>#DIV/0!</v>
      </c>
      <c r="AQ252" s="3" t="e">
        <f>SUM(AM252:AP252)</f>
        <v>#DIV/0!</v>
      </c>
      <c r="AR252" s="3" t="e">
        <f>AR168-AQ168</f>
        <v>#DIV/0!</v>
      </c>
      <c r="AS252" s="3" t="e">
        <f>AS168-AR168</f>
        <v>#DIV/0!</v>
      </c>
      <c r="AT252" s="3" t="e">
        <f>AT168-AS168</f>
        <v>#DIV/0!</v>
      </c>
      <c r="AU252" s="3" t="e">
        <f>AU168-AT168</f>
        <v>#DIV/0!</v>
      </c>
      <c r="AV252" s="3" t="e">
        <f>SUM(AR252:AU252)</f>
        <v>#DIV/0!</v>
      </c>
      <c r="AW252" s="3" t="e">
        <f>AW168-AV168</f>
        <v>#DIV/0!</v>
      </c>
      <c r="AX252" s="3" t="e">
        <f>AX168-AW168</f>
        <v>#DIV/0!</v>
      </c>
      <c r="AY252" s="3" t="e">
        <f>AY168-AX168</f>
        <v>#DIV/0!</v>
      </c>
      <c r="AZ252" s="3" t="e">
        <f>AZ168-AY168</f>
        <v>#DIV/0!</v>
      </c>
      <c r="BA252" s="3" t="e">
        <f>SUM(AW252:AZ252)</f>
        <v>#DIV/0!</v>
      </c>
      <c r="BB252" s="3" t="e">
        <f>BB168-BA168</f>
        <v>#DIV/0!</v>
      </c>
      <c r="BC252" s="3" t="e">
        <f>BC168-BB168</f>
        <v>#DIV/0!</v>
      </c>
      <c r="BD252" s="3" t="e">
        <f>BD168-BC168</f>
        <v>#DIV/0!</v>
      </c>
      <c r="BE252" s="3" t="e">
        <f>BE168-BD168</f>
        <v>#DIV/0!</v>
      </c>
      <c r="BF252" s="3" t="e">
        <f>SUM(BB252:BE252)</f>
        <v>#DIV/0!</v>
      </c>
      <c r="BG252" s="3" t="e">
        <f>BG168-BF168</f>
        <v>#DIV/0!</v>
      </c>
      <c r="BH252" s="3" t="e">
        <f>BH168-BG168</f>
        <v>#DIV/0!</v>
      </c>
      <c r="BI252" s="3" t="e">
        <f>BI168-BH168</f>
        <v>#DIV/0!</v>
      </c>
      <c r="BJ252" s="3" t="e">
        <f>BJ168-BI168</f>
        <v>#DIV/0!</v>
      </c>
      <c r="BK252" s="3" t="e">
        <f>SUM(BG252:BJ252)</f>
        <v>#DIV/0!</v>
      </c>
      <c r="BL252" s="3" t="e">
        <f>BL168-BK168</f>
        <v>#DIV/0!</v>
      </c>
      <c r="BM252" s="3" t="e">
        <f>BM168-BL168</f>
        <v>#DIV/0!</v>
      </c>
      <c r="BN252" s="3" t="e">
        <f>BN168-BM168</f>
        <v>#DIV/0!</v>
      </c>
      <c r="BO252" s="3" t="e">
        <f>BO168-BN168</f>
        <v>#DIV/0!</v>
      </c>
      <c r="BP252" s="3" t="e">
        <f>SUM(BL252:BO252)</f>
        <v>#DIV/0!</v>
      </c>
      <c r="BQ252" s="3" t="e">
        <f>BQ168-BP168</f>
        <v>#DIV/0!</v>
      </c>
      <c r="BR252" s="3" t="e">
        <f>BR168-BQ168</f>
        <v>#DIV/0!</v>
      </c>
      <c r="BS252" s="3" t="e">
        <f>BS168-BR168</f>
        <v>#DIV/0!</v>
      </c>
      <c r="BT252" s="3" t="e">
        <f>BT168-BS168</f>
        <v>#DIV/0!</v>
      </c>
      <c r="BU252" s="3" t="e">
        <f>SUM(BQ252:BT252)</f>
        <v>#DIV/0!</v>
      </c>
      <c r="BV252" s="3" t="e">
        <f>BV168-BU168</f>
        <v>#DIV/0!</v>
      </c>
      <c r="BW252" s="3" t="e">
        <f>BW168-BV168</f>
        <v>#DIV/0!</v>
      </c>
      <c r="BX252" s="3" t="e">
        <f>BX168-BW168</f>
        <v>#DIV/0!</v>
      </c>
      <c r="BY252" s="3" t="e">
        <f>BY168-BX168</f>
        <v>#DIV/0!</v>
      </c>
      <c r="BZ252" s="3" t="e">
        <f>SUM(BV252:BY252)</f>
        <v>#DIV/0!</v>
      </c>
      <c r="CA252" s="3" t="e">
        <f>CA168-BZ168</f>
        <v>#DIV/0!</v>
      </c>
      <c r="CB252" s="3" t="e">
        <f>CB168-CA168</f>
        <v>#DIV/0!</v>
      </c>
      <c r="CC252" s="3" t="e">
        <f>CC168-CB168</f>
        <v>#DIV/0!</v>
      </c>
      <c r="CD252" s="3" t="e">
        <f>CD168-CC168</f>
        <v>#DIV/0!</v>
      </c>
      <c r="CE252" s="3" t="e">
        <f>SUM(CA252:CD252)</f>
        <v>#DIV/0!</v>
      </c>
      <c r="CF252" s="3" t="e">
        <f>CF168-CE168</f>
        <v>#DIV/0!</v>
      </c>
      <c r="CG252" s="3" t="e">
        <f>CG168-CF168</f>
        <v>#DIV/0!</v>
      </c>
      <c r="CH252" s="3" t="e">
        <f>CH168-CG168</f>
        <v>#DIV/0!</v>
      </c>
      <c r="CI252" s="3" t="e">
        <f>CI168-CH168</f>
        <v>#DIV/0!</v>
      </c>
      <c r="CJ252" s="3" t="e">
        <f>SUM(CF252:CI252)</f>
        <v>#DIV/0!</v>
      </c>
      <c r="CK252" s="3" t="e">
        <f>CK168-CJ168</f>
        <v>#DIV/0!</v>
      </c>
      <c r="CL252" s="3" t="e">
        <f>CL168-CK168</f>
        <v>#DIV/0!</v>
      </c>
      <c r="CM252" s="3" t="e">
        <f>CM168-CL168</f>
        <v>#DIV/0!</v>
      </c>
      <c r="CN252" s="3" t="e">
        <f>CN168-CM168</f>
        <v>#DIV/0!</v>
      </c>
      <c r="CO252" s="3" t="e">
        <f>SUM(CK252:CN252)</f>
        <v>#DIV/0!</v>
      </c>
      <c r="CP252" s="3" t="e">
        <f>CP168-CO168</f>
        <v>#DIV/0!</v>
      </c>
      <c r="CQ252" s="3" t="e">
        <f>CQ168-CP168</f>
        <v>#DIV/0!</v>
      </c>
      <c r="CR252" s="3" t="e">
        <f>CR168-CQ168</f>
        <v>#DIV/0!</v>
      </c>
      <c r="CS252" s="3" t="e">
        <f>CS168-CR168</f>
        <v>#DIV/0!</v>
      </c>
      <c r="CT252" s="3" t="e">
        <f>SUM(CP252:CS252)</f>
        <v>#DIV/0!</v>
      </c>
      <c r="CU252" s="3" t="e">
        <f>CU168-CT168</f>
        <v>#DIV/0!</v>
      </c>
      <c r="CV252" s="3" t="e">
        <f>CV168-CU168</f>
        <v>#DIV/0!</v>
      </c>
      <c r="CW252" s="3" t="e">
        <f>CW168-CV168</f>
        <v>#DIV/0!</v>
      </c>
      <c r="CX252" s="3" t="e">
        <f>CX168-CW168</f>
        <v>#DIV/0!</v>
      </c>
      <c r="CY252" s="3" t="e">
        <f>SUM(CU252:CX252)</f>
        <v>#DIV/0!</v>
      </c>
    </row>
    <row r="253" hidden="1" outlineLevel="1">
      <c r="C253" s="29" t="inlineStr">
        <is>
          <t>Taxes payable</t>
        </is>
      </c>
      <c r="D253" s="3" t="n"/>
      <c r="E253" s="3">
        <f>E170-D170</f>
        <v>-1.64015231</v>
      </c>
      <c r="F253" s="3">
        <f>F170-E170</f>
        <v>37.52205382</v>
      </c>
      <c r="G253" s="3">
        <f>G170-F170</f>
        <v>-26.78605119</v>
      </c>
      <c r="H253" s="3">
        <f>SUM(D253:G253)</f>
        <v>9.09585031999999</v>
      </c>
      <c r="I253" s="3">
        <f>I170-H170</f>
        <v>45.01445575</v>
      </c>
      <c r="J253" s="3">
        <f>J170-I170</f>
        <v>1.51094669999996</v>
      </c>
      <c r="K253" s="3">
        <f>K170-J170</f>
        <v>107.50965615</v>
      </c>
      <c r="L253" s="3">
        <f>L170-K170</f>
        <v>-100.42020149</v>
      </c>
      <c r="M253" s="3">
        <f>SUM(I253:L253)</f>
        <v>53.61485711</v>
      </c>
      <c r="N253" s="3">
        <f>N170-M170</f>
        <v>-9.39097846999999</v>
      </c>
      <c r="O253" s="3">
        <f>O170-N170</f>
        <v>42.81367647</v>
      </c>
      <c r="P253" s="3">
        <f>P170-O170</f>
        <v>48.35775567</v>
      </c>
      <c r="Q253" s="3">
        <f>Q170-P170</f>
        <v>-125.10278092</v>
      </c>
      <c r="R253" s="3">
        <f>SUM(N253:Q253)</f>
        <v>-43.32232725</v>
      </c>
      <c r="S253" s="3">
        <f>S170-R170</f>
        <v>11.55106831</v>
      </c>
      <c r="T253" s="3">
        <f>T170-S170</f>
        <v>21.09085165</v>
      </c>
      <c r="U253" s="3">
        <f>U170-T170</f>
        <v>3.47400000000002</v>
      </c>
      <c r="V253" s="3">
        <f>V170-U170</f>
        <v>-3.45500000000001</v>
      </c>
      <c r="W253" s="3">
        <f>SUM(S253:V253)</f>
        <v>32.66091996</v>
      </c>
      <c r="X253" s="3">
        <f>X170-W170</f>
        <v>-5.572</v>
      </c>
      <c r="Y253" s="3">
        <f>Y170-X170</f>
        <v>34.272</v>
      </c>
      <c r="Z253" s="3">
        <f>Z170-Y170</f>
        <v>-13.76</v>
      </c>
      <c r="AA253" s="3">
        <f>AA170-Z170</f>
        <v>3.05800000000001</v>
      </c>
      <c r="AB253" s="3">
        <f>SUM(X253:AA253)</f>
        <v>17.998</v>
      </c>
      <c r="AC253" s="3">
        <f>AC170-AB170</f>
        <v>-13.068778</v>
      </c>
      <c r="AD253" s="3">
        <f>AD170-AC170</f>
        <v>17.761778</v>
      </c>
      <c r="AE253" s="3">
        <f>AE170-AD170</f>
        <v>14.072</v>
      </c>
      <c r="AF253" s="3">
        <f>AF170-AE170</f>
        <v>-19.816</v>
      </c>
      <c r="AG253" s="3">
        <f>SUM(AC253:AF253)</f>
        <v>-1.051</v>
      </c>
      <c r="AH253" s="3">
        <f>AH170-AG170</f>
        <v>-97.53</v>
      </c>
      <c r="AI253" s="3">
        <f>AI170-AH170</f>
        <v>0</v>
      </c>
      <c r="AJ253" s="3" t="e">
        <f>AJ170-AI170</f>
        <v>#DIV/0!</v>
      </c>
      <c r="AK253" s="3" t="e">
        <f>AK170-AJ170</f>
        <v>#DIV/0!</v>
      </c>
      <c r="AL253" s="3" t="e">
        <f>SUM(AH253:AK253)</f>
        <v>#DIV/0!</v>
      </c>
      <c r="AM253" s="3" t="e">
        <f>AM170-AL170</f>
        <v>#DIV/0!</v>
      </c>
      <c r="AN253" s="3" t="e">
        <f>AN170-AM170</f>
        <v>#DIV/0!</v>
      </c>
      <c r="AO253" s="3" t="e">
        <f>AO170-AN170</f>
        <v>#DIV/0!</v>
      </c>
      <c r="AP253" s="3" t="e">
        <f>AP170-AO170</f>
        <v>#DIV/0!</v>
      </c>
      <c r="AQ253" s="3" t="e">
        <f>SUM(AM253:AP253)</f>
        <v>#DIV/0!</v>
      </c>
      <c r="AR253" s="3" t="e">
        <f>AR170-AQ170</f>
        <v>#DIV/0!</v>
      </c>
      <c r="AS253" s="3" t="e">
        <f>AS170-AR170</f>
        <v>#DIV/0!</v>
      </c>
      <c r="AT253" s="3" t="e">
        <f>AT170-AS170</f>
        <v>#DIV/0!</v>
      </c>
      <c r="AU253" s="3" t="e">
        <f>AU170-AT170</f>
        <v>#DIV/0!</v>
      </c>
      <c r="AV253" s="3" t="e">
        <f>SUM(AR253:AU253)</f>
        <v>#DIV/0!</v>
      </c>
      <c r="AW253" s="3" t="e">
        <f>AW170-AV170</f>
        <v>#DIV/0!</v>
      </c>
      <c r="AX253" s="3" t="e">
        <f>AX170-AW170</f>
        <v>#DIV/0!</v>
      </c>
      <c r="AY253" s="3" t="e">
        <f>AY170-AX170</f>
        <v>#DIV/0!</v>
      </c>
      <c r="AZ253" s="3" t="e">
        <f>AZ170-AY170</f>
        <v>#DIV/0!</v>
      </c>
      <c r="BA253" s="3" t="e">
        <f>SUM(AW253:AZ253)</f>
        <v>#DIV/0!</v>
      </c>
      <c r="BB253" s="3" t="e">
        <f>BB170-BA170</f>
        <v>#DIV/0!</v>
      </c>
      <c r="BC253" s="3" t="e">
        <f>BC170-BB170</f>
        <v>#DIV/0!</v>
      </c>
      <c r="BD253" s="3" t="e">
        <f>BD170-BC170</f>
        <v>#DIV/0!</v>
      </c>
      <c r="BE253" s="3" t="e">
        <f>BE170-BD170</f>
        <v>#DIV/0!</v>
      </c>
      <c r="BF253" s="3" t="e">
        <f>SUM(BB253:BE253)</f>
        <v>#DIV/0!</v>
      </c>
      <c r="BG253" s="3" t="e">
        <f>BG170-BF170</f>
        <v>#DIV/0!</v>
      </c>
      <c r="BH253" s="3" t="e">
        <f>BH170-BG170</f>
        <v>#DIV/0!</v>
      </c>
      <c r="BI253" s="3" t="e">
        <f>BI170-BH170</f>
        <v>#DIV/0!</v>
      </c>
      <c r="BJ253" s="3" t="e">
        <f>BJ170-BI170</f>
        <v>#DIV/0!</v>
      </c>
      <c r="BK253" s="3" t="e">
        <f>SUM(BG253:BJ253)</f>
        <v>#DIV/0!</v>
      </c>
      <c r="BL253" s="3" t="e">
        <f>BL170-BK170</f>
        <v>#DIV/0!</v>
      </c>
      <c r="BM253" s="3" t="e">
        <f>BM170-BL170</f>
        <v>#DIV/0!</v>
      </c>
      <c r="BN253" s="3" t="e">
        <f>BN170-BM170</f>
        <v>#DIV/0!</v>
      </c>
      <c r="BO253" s="3" t="e">
        <f>BO170-BN170</f>
        <v>#DIV/0!</v>
      </c>
      <c r="BP253" s="3" t="e">
        <f>SUM(BL253:BO253)</f>
        <v>#DIV/0!</v>
      </c>
      <c r="BQ253" s="3" t="e">
        <f>BQ170-BP170</f>
        <v>#DIV/0!</v>
      </c>
      <c r="BR253" s="3" t="e">
        <f>BR170-BQ170</f>
        <v>#DIV/0!</v>
      </c>
      <c r="BS253" s="3" t="e">
        <f>BS170-BR170</f>
        <v>#DIV/0!</v>
      </c>
      <c r="BT253" s="3" t="e">
        <f>BT170-BS170</f>
        <v>#DIV/0!</v>
      </c>
      <c r="BU253" s="3" t="e">
        <f>SUM(BQ253:BT253)</f>
        <v>#DIV/0!</v>
      </c>
      <c r="BV253" s="3" t="e">
        <f>BV170-BU170</f>
        <v>#DIV/0!</v>
      </c>
      <c r="BW253" s="3" t="e">
        <f>BW170-BV170</f>
        <v>#DIV/0!</v>
      </c>
      <c r="BX253" s="3" t="e">
        <f>BX170-BW170</f>
        <v>#DIV/0!</v>
      </c>
      <c r="BY253" s="3" t="e">
        <f>BY170-BX170</f>
        <v>#DIV/0!</v>
      </c>
      <c r="BZ253" s="3" t="e">
        <f>SUM(BV253:BY253)</f>
        <v>#DIV/0!</v>
      </c>
      <c r="CA253" s="3" t="e">
        <f>CA170-BZ170</f>
        <v>#DIV/0!</v>
      </c>
      <c r="CB253" s="3" t="e">
        <f>CB170-CA170</f>
        <v>#DIV/0!</v>
      </c>
      <c r="CC253" s="3" t="e">
        <f>CC170-CB170</f>
        <v>#DIV/0!</v>
      </c>
      <c r="CD253" s="3" t="e">
        <f>CD170-CC170</f>
        <v>#DIV/0!</v>
      </c>
      <c r="CE253" s="3" t="e">
        <f>SUM(CA253:CD253)</f>
        <v>#DIV/0!</v>
      </c>
      <c r="CF253" s="3" t="e">
        <f>CF170-CE170</f>
        <v>#DIV/0!</v>
      </c>
      <c r="CG253" s="3" t="e">
        <f>CG170-CF170</f>
        <v>#DIV/0!</v>
      </c>
      <c r="CH253" s="3" t="e">
        <f>CH170-CG170</f>
        <v>#DIV/0!</v>
      </c>
      <c r="CI253" s="3" t="e">
        <f>CI170-CH170</f>
        <v>#DIV/0!</v>
      </c>
      <c r="CJ253" s="3" t="e">
        <f>SUM(CF253:CI253)</f>
        <v>#DIV/0!</v>
      </c>
      <c r="CK253" s="3" t="e">
        <f>CK170-CJ170</f>
        <v>#DIV/0!</v>
      </c>
      <c r="CL253" s="3" t="e">
        <f>CL170-CK170</f>
        <v>#DIV/0!</v>
      </c>
      <c r="CM253" s="3" t="e">
        <f>CM170-CL170</f>
        <v>#DIV/0!</v>
      </c>
      <c r="CN253" s="3" t="e">
        <f>CN170-CM170</f>
        <v>#DIV/0!</v>
      </c>
      <c r="CO253" s="3" t="e">
        <f>SUM(CK253:CN253)</f>
        <v>#DIV/0!</v>
      </c>
      <c r="CP253" s="3" t="e">
        <f>CP170-CO170</f>
        <v>#DIV/0!</v>
      </c>
      <c r="CQ253" s="3" t="e">
        <f>CQ170-CP170</f>
        <v>#DIV/0!</v>
      </c>
      <c r="CR253" s="3" t="e">
        <f>CR170-CQ170</f>
        <v>#DIV/0!</v>
      </c>
      <c r="CS253" s="3" t="e">
        <f>CS170-CR170</f>
        <v>#DIV/0!</v>
      </c>
      <c r="CT253" s="3" t="e">
        <f>SUM(CP253:CS253)</f>
        <v>#DIV/0!</v>
      </c>
      <c r="CU253" s="3" t="e">
        <f>CU170-CT170</f>
        <v>#DIV/0!</v>
      </c>
      <c r="CV253" s="3" t="e">
        <f>CV170-CU170</f>
        <v>#DIV/0!</v>
      </c>
      <c r="CW253" s="3" t="e">
        <f>CW170-CV170</f>
        <v>#DIV/0!</v>
      </c>
      <c r="CX253" s="3" t="e">
        <f>CX170-CW170</f>
        <v>#DIV/0!</v>
      </c>
      <c r="CY253" s="3" t="e">
        <f>SUM(CU253:CX253)</f>
        <v>#DIV/0!</v>
      </c>
    </row>
    <row r="254" hidden="1" outlineLevel="1">
      <c r="C254" s="29" t="inlineStr">
        <is>
          <t>Other current liabilities (non-debt)</t>
        </is>
      </c>
      <c r="D254" s="3" t="n"/>
      <c r="E254" s="3">
        <f>E171-D171</f>
        <v>-0.801455040000008</v>
      </c>
      <c r="F254" s="3">
        <f>F171-E171</f>
        <v>-30.00809481</v>
      </c>
      <c r="G254" s="3">
        <f>G171-F171</f>
        <v>-121.73469672</v>
      </c>
      <c r="H254" s="3">
        <f>SUM(D254:G254)</f>
        <v>-152.54424657</v>
      </c>
      <c r="I254" s="3">
        <f>I171-H171</f>
        <v>71.82832351</v>
      </c>
      <c r="J254" s="3">
        <f>J171-I171</f>
        <v>-73.19243683</v>
      </c>
      <c r="K254" s="3">
        <f>K171-J171</f>
        <v>-4.94094224000001</v>
      </c>
      <c r="L254" s="3">
        <f>L171-K171</f>
        <v>-47.43683341</v>
      </c>
      <c r="M254" s="3">
        <f>SUM(I254:L254)</f>
        <v>-53.74188897</v>
      </c>
      <c r="N254" s="3">
        <f>N171-M171</f>
        <v>209.03596013</v>
      </c>
      <c r="O254" s="3">
        <f>O171-N171</f>
        <v>-219.73717367</v>
      </c>
      <c r="P254" s="3">
        <f>P171-O171</f>
        <v>8.98626470000001</v>
      </c>
      <c r="Q254" s="3">
        <f>Q171-P171</f>
        <v>8.36155969</v>
      </c>
      <c r="R254" s="3">
        <f>SUM(N254:Q254)</f>
        <v>6.64661085000004</v>
      </c>
      <c r="S254" s="3">
        <f>S171-R171</f>
        <v>1.94932670999999</v>
      </c>
      <c r="T254" s="3">
        <f>T171-S171</f>
        <v>106.76179445</v>
      </c>
      <c r="U254" s="3">
        <f>U171-T171</f>
        <v>3.21500000000003</v>
      </c>
      <c r="V254" s="3">
        <f>V171-U171</f>
        <v>-103.982</v>
      </c>
      <c r="W254" s="3">
        <f>SUM(S254:V254)</f>
        <v>7.94412116</v>
      </c>
      <c r="X254" s="3">
        <f>X171-W171</f>
        <v>130.64</v>
      </c>
      <c r="Y254" s="3">
        <f>Y171-X171</f>
        <v>-154.908</v>
      </c>
      <c r="Z254" s="3">
        <f>Z171-Y171</f>
        <v>177.629</v>
      </c>
      <c r="AA254" s="3">
        <f>AA171-Z171</f>
        <v>-159.12</v>
      </c>
      <c r="AB254" s="3">
        <f>SUM(X254:AA254)</f>
        <v>-5.75899999999999</v>
      </c>
      <c r="AC254" s="3">
        <f>AC171-AB171</f>
        <v>281.465026</v>
      </c>
      <c r="AD254" s="3">
        <f>AD171-AC171</f>
        <v>-252.756026</v>
      </c>
      <c r="AE254" s="3">
        <f>AE171-AD171</f>
        <v>161.891</v>
      </c>
      <c r="AF254" s="3">
        <f>AF171-AE171</f>
        <v>138.24</v>
      </c>
      <c r="AG254" s="3">
        <f>SUM(AC254:AF254)</f>
        <v>328.84</v>
      </c>
      <c r="AH254" s="3">
        <f>AH171-AG171</f>
        <v>0</v>
      </c>
      <c r="AI254" s="3">
        <f>AI171-AH171</f>
        <v>0</v>
      </c>
      <c r="AJ254" s="3">
        <f>AJ171-AI171</f>
        <v>0</v>
      </c>
      <c r="AK254" s="3">
        <f>AK171-AJ171</f>
        <v>0</v>
      </c>
      <c r="AL254" s="3">
        <f>SUM(AH254:AK254)</f>
        <v>0</v>
      </c>
      <c r="AM254" s="3">
        <f>AM171-AL171</f>
        <v>0</v>
      </c>
      <c r="AN254" s="3">
        <f>AN171-AM171</f>
        <v>0</v>
      </c>
      <c r="AO254" s="3">
        <f>AO171-AN171</f>
        <v>0</v>
      </c>
      <c r="AP254" s="3">
        <f>AP171-AO171</f>
        <v>0</v>
      </c>
      <c r="AQ254" s="3">
        <f>SUM(AM254:AP254)</f>
        <v>0</v>
      </c>
      <c r="AR254" s="3">
        <f>AR171-AQ171</f>
        <v>0</v>
      </c>
      <c r="AS254" s="3">
        <f>AS171-AR171</f>
        <v>0</v>
      </c>
      <c r="AT254" s="3">
        <f>AT171-AS171</f>
        <v>0</v>
      </c>
      <c r="AU254" s="3">
        <f>AU171-AT171</f>
        <v>0</v>
      </c>
      <c r="AV254" s="3">
        <f>SUM(AR254:AU254)</f>
        <v>0</v>
      </c>
      <c r="AW254" s="3">
        <f>AW171-AV171</f>
        <v>0</v>
      </c>
      <c r="AX254" s="3">
        <f>AX171-AW171</f>
        <v>0</v>
      </c>
      <c r="AY254" s="3">
        <f>AY171-AX171</f>
        <v>0</v>
      </c>
      <c r="AZ254" s="3">
        <f>AZ171-AY171</f>
        <v>0</v>
      </c>
      <c r="BA254" s="3">
        <f>SUM(AW254:AZ254)</f>
        <v>0</v>
      </c>
      <c r="BB254" s="3">
        <f>BB171-BA171</f>
        <v>0</v>
      </c>
      <c r="BC254" s="3">
        <f>BC171-BB171</f>
        <v>0</v>
      </c>
      <c r="BD254" s="3">
        <f>BD171-BC171</f>
        <v>0</v>
      </c>
      <c r="BE254" s="3">
        <f>BE171-BD171</f>
        <v>0</v>
      </c>
      <c r="BF254" s="3">
        <f>SUM(BB254:BE254)</f>
        <v>0</v>
      </c>
      <c r="BG254" s="3">
        <f>BG171-BF171</f>
        <v>0</v>
      </c>
      <c r="BH254" s="3">
        <f>BH171-BG171</f>
        <v>0</v>
      </c>
      <c r="BI254" s="3">
        <f>BI171-BH171</f>
        <v>0</v>
      </c>
      <c r="BJ254" s="3">
        <f>BJ171-BI171</f>
        <v>0</v>
      </c>
      <c r="BK254" s="3">
        <f>SUM(BG254:BJ254)</f>
        <v>0</v>
      </c>
      <c r="BL254" s="3">
        <f>BL171-BK171</f>
        <v>0</v>
      </c>
      <c r="BM254" s="3">
        <f>BM171-BL171</f>
        <v>0</v>
      </c>
      <c r="BN254" s="3">
        <f>BN171-BM171</f>
        <v>0</v>
      </c>
      <c r="BO254" s="3">
        <f>BO171-BN171</f>
        <v>0</v>
      </c>
      <c r="BP254" s="3">
        <f>SUM(BL254:BO254)</f>
        <v>0</v>
      </c>
      <c r="BQ254" s="3">
        <f>BQ171-BP171</f>
        <v>0</v>
      </c>
      <c r="BR254" s="3">
        <f>BR171-BQ171</f>
        <v>0</v>
      </c>
      <c r="BS254" s="3">
        <f>BS171-BR171</f>
        <v>0</v>
      </c>
      <c r="BT254" s="3">
        <f>BT171-BS171</f>
        <v>0</v>
      </c>
      <c r="BU254" s="3">
        <f>SUM(BQ254:BT254)</f>
        <v>0</v>
      </c>
      <c r="BV254" s="3">
        <f>BV171-BU171</f>
        <v>0</v>
      </c>
      <c r="BW254" s="3">
        <f>BW171-BV171</f>
        <v>0</v>
      </c>
      <c r="BX254" s="3">
        <f>BX171-BW171</f>
        <v>0</v>
      </c>
      <c r="BY254" s="3">
        <f>BY171-BX171</f>
        <v>0</v>
      </c>
      <c r="BZ254" s="3">
        <f>SUM(BV254:BY254)</f>
        <v>0</v>
      </c>
      <c r="CA254" s="3">
        <f>CA171-BZ171</f>
        <v>0</v>
      </c>
      <c r="CB254" s="3">
        <f>CB171-CA171</f>
        <v>0</v>
      </c>
      <c r="CC254" s="3">
        <f>CC171-CB171</f>
        <v>0</v>
      </c>
      <c r="CD254" s="3">
        <f>CD171-CC171</f>
        <v>0</v>
      </c>
      <c r="CE254" s="3">
        <f>SUM(CA254:CD254)</f>
        <v>0</v>
      </c>
      <c r="CF254" s="3">
        <f>CF171-CE171</f>
        <v>0</v>
      </c>
      <c r="CG254" s="3">
        <f>CG171-CF171</f>
        <v>0</v>
      </c>
      <c r="CH254" s="3">
        <f>CH171-CG171</f>
        <v>0</v>
      </c>
      <c r="CI254" s="3">
        <f>CI171-CH171</f>
        <v>0</v>
      </c>
      <c r="CJ254" s="3">
        <f>SUM(CF254:CI254)</f>
        <v>0</v>
      </c>
      <c r="CK254" s="3">
        <f>CK171-CJ171</f>
        <v>0</v>
      </c>
      <c r="CL254" s="3">
        <f>CL171-CK171</f>
        <v>0</v>
      </c>
      <c r="CM254" s="3">
        <f>CM171-CL171</f>
        <v>0</v>
      </c>
      <c r="CN254" s="3">
        <f>CN171-CM171</f>
        <v>0</v>
      </c>
      <c r="CO254" s="3">
        <f>SUM(CK254:CN254)</f>
        <v>0</v>
      </c>
      <c r="CP254" s="3">
        <f>CP171-CO171</f>
        <v>0</v>
      </c>
      <c r="CQ254" s="3">
        <f>CQ171-CP171</f>
        <v>0</v>
      </c>
      <c r="CR254" s="3">
        <f>CR171-CQ171</f>
        <v>0</v>
      </c>
      <c r="CS254" s="3">
        <f>CS171-CR171</f>
        <v>0</v>
      </c>
      <c r="CT254" s="3">
        <f>SUM(CP254:CS254)</f>
        <v>0</v>
      </c>
      <c r="CU254" s="3">
        <f>CU171-CT171</f>
        <v>0</v>
      </c>
      <c r="CV254" s="3">
        <f>CV171-CU171</f>
        <v>0</v>
      </c>
      <c r="CW254" s="3">
        <f>CW171-CV171</f>
        <v>0</v>
      </c>
      <c r="CX254" s="3">
        <f>CX171-CW171</f>
        <v>0</v>
      </c>
      <c r="CY254" s="3">
        <f>SUM(CU254:CX254)</f>
        <v>0</v>
      </c>
    </row>
    <row r="255" hidden="1" outlineLevel="1">
      <c r="C255" s="29" t="inlineStr">
        <is>
          <t>Deferred income taxes</t>
        </is>
      </c>
      <c r="D255" s="3" t="n"/>
      <c r="E255" s="3">
        <f>E205-D205</f>
        <v>51.05295361</v>
      </c>
      <c r="F255" s="3">
        <f>F205-E205</f>
        <v>-0.797453210000015</v>
      </c>
      <c r="G255" s="3">
        <f>G205-F205</f>
        <v>0.315743779999934</v>
      </c>
      <c r="H255" s="3">
        <f>SUM(D255:G255)</f>
        <v>50.57124418</v>
      </c>
      <c r="I255" s="3">
        <f>I205-H205</f>
        <v>-1.77440125999993</v>
      </c>
      <c r="J255" s="3">
        <f>J205-I205</f>
        <v>-0.49033500000013</v>
      </c>
      <c r="K255" s="3">
        <f>K205-J205</f>
        <v>-0.735139979999985</v>
      </c>
      <c r="L255" s="3">
        <f>L205-K205</f>
        <v>-68.3793679399999</v>
      </c>
      <c r="M255" s="3">
        <f>SUM(I255:L255)</f>
        <v>-71.3792441799999</v>
      </c>
      <c r="N255" s="3">
        <f>N205-M205</f>
        <v>12.91674333</v>
      </c>
      <c r="O255" s="3">
        <f>O205-N205</f>
        <v>97.72635865</v>
      </c>
      <c r="P255" s="3">
        <f>P205-O205</f>
        <v>2.70000854999995</v>
      </c>
      <c r="Q255" s="3">
        <f>Q205-P205</f>
        <v>-113.31498629</v>
      </c>
      <c r="R255" s="3">
        <f>SUM(N255:Q255)</f>
        <v>0.0281242399999542</v>
      </c>
      <c r="S255" s="3">
        <f>S205-R205</f>
        <v>5.55023148000015</v>
      </c>
      <c r="T255" s="3">
        <f>T205-S205</f>
        <v>167.42964428</v>
      </c>
      <c r="U255" s="3">
        <f>U205-T205</f>
        <v>-20.6709999999999</v>
      </c>
      <c r="V255" s="3">
        <f>V205-U205</f>
        <v>30.635</v>
      </c>
      <c r="W255" s="3">
        <f>SUM(S255:V255)</f>
        <v>182.94387576</v>
      </c>
      <c r="X255" s="3">
        <f>X205-W205</f>
        <v>-3.77999999999997</v>
      </c>
      <c r="Y255" s="3">
        <f>Y205-X205</f>
        <v>-25.307</v>
      </c>
      <c r="Z255" s="3">
        <f>Z205-Y205</f>
        <v>30.039</v>
      </c>
      <c r="AA255" s="3">
        <f>AA205-Z205</f>
        <v>-9.68899999999997</v>
      </c>
      <c r="AB255" s="3">
        <f>SUM(X255:AA255)</f>
        <v>-8.73699999999997</v>
      </c>
      <c r="AC255" s="3">
        <f>AC205-AB205</f>
        <v>8.53060499999992</v>
      </c>
      <c r="AD255" s="3">
        <f>AD205-AC205</f>
        <v>-54.7076049999999</v>
      </c>
      <c r="AE255" s="3">
        <f>AE205-AD205</f>
        <v>17.51</v>
      </c>
      <c r="AF255" s="3">
        <f>AF205-AE205</f>
        <v>14.4109999999999</v>
      </c>
      <c r="AG255" s="3">
        <f>SUM(AC255:AF255)</f>
        <v>-14.2560000000001</v>
      </c>
      <c r="AH255" s="3">
        <f>AH205-AG205</f>
        <v>0</v>
      </c>
      <c r="AI255" s="3">
        <f>AI205-AH205</f>
        <v>0</v>
      </c>
      <c r="AJ255" s="3">
        <f>AJ205-AI205</f>
        <v>0</v>
      </c>
      <c r="AK255" s="3">
        <f>AK205-AJ205</f>
        <v>0</v>
      </c>
      <c r="AL255" s="3">
        <f>SUM(AH255:AK255)</f>
        <v>0</v>
      </c>
      <c r="AM255" s="3">
        <f>AM205-AL205</f>
        <v>0</v>
      </c>
      <c r="AN255" s="3">
        <f>AN205-AM205</f>
        <v>0</v>
      </c>
      <c r="AO255" s="3">
        <f>AO205-AN205</f>
        <v>0</v>
      </c>
      <c r="AP255" s="3">
        <f>AP205-AO205</f>
        <v>0</v>
      </c>
      <c r="AQ255" s="3">
        <f>SUM(AM255:AP255)</f>
        <v>0</v>
      </c>
      <c r="AR255" s="3">
        <f>AR205-AQ205</f>
        <v>0</v>
      </c>
      <c r="AS255" s="3">
        <f>AS205-AR205</f>
        <v>0</v>
      </c>
      <c r="AT255" s="3">
        <f>AT205-AS205</f>
        <v>0</v>
      </c>
      <c r="AU255" s="3">
        <f>AU205-AT205</f>
        <v>0</v>
      </c>
      <c r="AV255" s="3">
        <f>SUM(AR255:AU255)</f>
        <v>0</v>
      </c>
      <c r="AW255" s="3">
        <f>AW205-AV205</f>
        <v>0</v>
      </c>
      <c r="AX255" s="3">
        <f>AX205-AW205</f>
        <v>0</v>
      </c>
      <c r="AY255" s="3">
        <f>AY205-AX205</f>
        <v>0</v>
      </c>
      <c r="AZ255" s="3">
        <f>AZ205-AY205</f>
        <v>0</v>
      </c>
      <c r="BA255" s="3">
        <f>SUM(AW255:AZ255)</f>
        <v>0</v>
      </c>
      <c r="BB255" s="3">
        <f>BB205-BA205</f>
        <v>0</v>
      </c>
      <c r="BC255" s="3">
        <f>BC205-BB205</f>
        <v>0</v>
      </c>
      <c r="BD255" s="3">
        <f>BD205-BC205</f>
        <v>0</v>
      </c>
      <c r="BE255" s="3">
        <f>BE205-BD205</f>
        <v>0</v>
      </c>
      <c r="BF255" s="3">
        <f>SUM(BB255:BE255)</f>
        <v>0</v>
      </c>
      <c r="BG255" s="3">
        <f>BG205-BF205</f>
        <v>0</v>
      </c>
      <c r="BH255" s="3">
        <f>BH205-BG205</f>
        <v>0</v>
      </c>
      <c r="BI255" s="3">
        <f>BI205-BH205</f>
        <v>0</v>
      </c>
      <c r="BJ255" s="3">
        <f>BJ205-BI205</f>
        <v>0</v>
      </c>
      <c r="BK255" s="3">
        <f>SUM(BG255:BJ255)</f>
        <v>0</v>
      </c>
      <c r="BL255" s="3">
        <f>BL205-BK205</f>
        <v>0</v>
      </c>
      <c r="BM255" s="3">
        <f>BM205-BL205</f>
        <v>0</v>
      </c>
      <c r="BN255" s="3">
        <f>BN205-BM205</f>
        <v>0</v>
      </c>
      <c r="BO255" s="3">
        <f>BO205-BN205</f>
        <v>0</v>
      </c>
      <c r="BP255" s="3">
        <f>SUM(BL255:BO255)</f>
        <v>0</v>
      </c>
      <c r="BQ255" s="3">
        <f>BQ205-BP205</f>
        <v>0</v>
      </c>
      <c r="BR255" s="3">
        <f>BR205-BQ205</f>
        <v>0</v>
      </c>
      <c r="BS255" s="3">
        <f>BS205-BR205</f>
        <v>0</v>
      </c>
      <c r="BT255" s="3">
        <f>BT205-BS205</f>
        <v>0</v>
      </c>
      <c r="BU255" s="3">
        <f>SUM(BQ255:BT255)</f>
        <v>0</v>
      </c>
      <c r="BV255" s="3">
        <f>BV205-BU205</f>
        <v>0</v>
      </c>
      <c r="BW255" s="3">
        <f>BW205-BV205</f>
        <v>0</v>
      </c>
      <c r="BX255" s="3">
        <f>BX205-BW205</f>
        <v>0</v>
      </c>
      <c r="BY255" s="3">
        <f>BY205-BX205</f>
        <v>0</v>
      </c>
      <c r="BZ255" s="3">
        <f>SUM(BV255:BY255)</f>
        <v>0</v>
      </c>
      <c r="CA255" s="3">
        <f>CA205-BZ205</f>
        <v>0</v>
      </c>
      <c r="CB255" s="3">
        <f>CB205-CA205</f>
        <v>0</v>
      </c>
      <c r="CC255" s="3">
        <f>CC205-CB205</f>
        <v>0</v>
      </c>
      <c r="CD255" s="3">
        <f>CD205-CC205</f>
        <v>0</v>
      </c>
      <c r="CE255" s="3">
        <f>SUM(CA255:CD255)</f>
        <v>0</v>
      </c>
      <c r="CF255" s="3">
        <f>CF205-CE205</f>
        <v>0</v>
      </c>
      <c r="CG255" s="3">
        <f>CG205-CF205</f>
        <v>0</v>
      </c>
      <c r="CH255" s="3">
        <f>CH205-CG205</f>
        <v>0</v>
      </c>
      <c r="CI255" s="3">
        <f>CI205-CH205</f>
        <v>0</v>
      </c>
      <c r="CJ255" s="3">
        <f>SUM(CF255:CI255)</f>
        <v>0</v>
      </c>
      <c r="CK255" s="3">
        <f>CK205-CJ205</f>
        <v>0</v>
      </c>
      <c r="CL255" s="3">
        <f>CL205-CK205</f>
        <v>0</v>
      </c>
      <c r="CM255" s="3">
        <f>CM205-CL205</f>
        <v>0</v>
      </c>
      <c r="CN255" s="3">
        <f>CN205-CM205</f>
        <v>0</v>
      </c>
      <c r="CO255" s="3">
        <f>SUM(CK255:CN255)</f>
        <v>0</v>
      </c>
      <c r="CP255" s="3">
        <f>CP205-CO205</f>
        <v>0</v>
      </c>
      <c r="CQ255" s="3">
        <f>CQ205-CP205</f>
        <v>0</v>
      </c>
      <c r="CR255" s="3">
        <f>CR205-CQ205</f>
        <v>0</v>
      </c>
      <c r="CS255" s="3">
        <f>CS205-CR205</f>
        <v>0</v>
      </c>
      <c r="CT255" s="3">
        <f>SUM(CP255:CS255)</f>
        <v>0</v>
      </c>
      <c r="CU255" s="3">
        <f>CU205-CT205</f>
        <v>0</v>
      </c>
      <c r="CV255" s="3">
        <f>CV205-CU205</f>
        <v>0</v>
      </c>
      <c r="CW255" s="3">
        <f>CW205-CV205</f>
        <v>0</v>
      </c>
      <c r="CX255" s="3">
        <f>CX205-CW205</f>
        <v>0</v>
      </c>
      <c r="CY255" s="3">
        <f>SUM(CU255:CX255)</f>
        <v>0</v>
      </c>
    </row>
    <row r="256" collapsed="1">
      <c r="C256" s="29" t="inlineStr">
        <is>
          <t>Equity income in affiliates</t>
        </is>
      </c>
      <c r="D256" s="3" t="n"/>
      <c r="E256" s="3">
        <f>(E127-D127)*-1</f>
        <v>-0.504655437532762</v>
      </c>
      <c r="F256" s="3">
        <f>(F127-E127)*-1</f>
        <v>-5.08580216239831</v>
      </c>
      <c r="G256" s="3">
        <f>(G127-F127)*-1</f>
        <v>-11.2120876967854</v>
      </c>
      <c r="H256" s="3">
        <f>SUM(D256:G256)</f>
        <v>-16.8025452967165</v>
      </c>
      <c r="I256" s="3">
        <f>(I127-H127)*-1</f>
        <v>0.441185463214524</v>
      </c>
      <c r="J256" s="3">
        <f>(J127-I127)*-1</f>
        <v>-101.806038465684</v>
      </c>
      <c r="K256" s="3">
        <f>(K127-J127)*-1</f>
        <v>-219.513458723122</v>
      </c>
      <c r="L256" s="3">
        <f>(L127-K127)*-1</f>
        <v>312.167190178177</v>
      </c>
      <c r="M256" s="3">
        <f>SUM(I256:L256)</f>
        <v>-8.71112154741468</v>
      </c>
      <c r="N256" s="3">
        <f>(N127-M127)*-1</f>
        <v>2.53341078795557</v>
      </c>
      <c r="O256" s="3">
        <f>(O127-N127)*-1</f>
        <v>-1.78185112054463</v>
      </c>
      <c r="P256" s="3">
        <f>(P127-O127)*-1</f>
        <v>-10.228797027179</v>
      </c>
      <c r="Q256" s="3">
        <f>(Q127-P127)*-1</f>
        <v>8.48022209417331</v>
      </c>
      <c r="R256" s="3">
        <f>SUM(N256:Q256)</f>
        <v>-0.997015265594762</v>
      </c>
      <c r="S256" s="3">
        <f>(S127-R127)*-1</f>
        <v>-12.7922092041733</v>
      </c>
      <c r="T256" s="3">
        <f>(T127-S127)*-1</f>
        <v>-9.55555970000001</v>
      </c>
      <c r="U256" s="3">
        <f>(U127-T127)*-1</f>
        <v>-1.83200000000001</v>
      </c>
      <c r="V256" s="3">
        <f>(V127-U127)*-1</f>
        <v>-13.259</v>
      </c>
      <c r="W256" s="3">
        <f>SUM(S256:V256)</f>
        <v>-37.4387689041733</v>
      </c>
      <c r="X256" s="3">
        <f>(X127-W127)*-1</f>
        <v>12.514</v>
      </c>
      <c r="Y256" s="3">
        <f>(Y127-X127)*-1</f>
        <v>-24.404</v>
      </c>
      <c r="Z256" s="3">
        <f>(Z127-Y127)*-1</f>
        <v>-6.94799999999999</v>
      </c>
      <c r="AA256" s="3">
        <f>(AA127-Z127)*-1</f>
        <v>18.447</v>
      </c>
      <c r="AB256" s="3">
        <f>SUM(X256:AA256)</f>
        <v>-0.390999999999991</v>
      </c>
      <c r="AC256" s="3">
        <f>(AC127-AB127)*-1</f>
        <v>-20.291544</v>
      </c>
      <c r="AD256" s="3">
        <f>(AD127-AC127)*-1</f>
        <v>-139.632456</v>
      </c>
      <c r="AE256" s="3">
        <f>(AE127-AD127)*-1</f>
        <v>132.182</v>
      </c>
      <c r="AF256" s="3">
        <f>(AF127-AE127)*-1</f>
        <v>-2.12</v>
      </c>
      <c r="AG256" s="3">
        <f>SUM(AC256:AF256)</f>
        <v>-29.862</v>
      </c>
      <c r="AH256" s="3">
        <f>(AH127-AG127)*-1</f>
        <v>2.271</v>
      </c>
      <c r="AI256" s="3">
        <f>(AI127-AH127)*-1</f>
        <v>2.776</v>
      </c>
      <c r="AJ256" s="3">
        <f>(AJ127-AI127)*-1</f>
        <v>3.60633808341797</v>
      </c>
      <c r="AK256" s="3">
        <f>(AK127-AJ127)*-1</f>
        <v>4.9056465948825</v>
      </c>
      <c r="AL256" s="3">
        <f>SUM(AH256:AK256)</f>
        <v>13.5589846783005</v>
      </c>
      <c r="AM256" s="3">
        <f>(AM127-AL127)*-1</f>
        <v>2.271</v>
      </c>
      <c r="AN256" s="3">
        <f>(AN127-AM127)*-1</f>
        <v>2.776</v>
      </c>
      <c r="AO256" s="3">
        <f>(AO127-AN127)*-1</f>
        <v>3.60633808341797</v>
      </c>
      <c r="AP256" s="3">
        <f>(AP127-AO127)*-1</f>
        <v>4.9056465948825</v>
      </c>
      <c r="AQ256" s="3">
        <f>SUM(AM256:AP256)</f>
        <v>13.5589846783005</v>
      </c>
      <c r="AR256" s="3">
        <f>(AR127-AQ127)*-1</f>
        <v>2.271</v>
      </c>
      <c r="AS256" s="3">
        <f>(AS127-AR127)*-1</f>
        <v>2.776</v>
      </c>
      <c r="AT256" s="3">
        <f>(AT127-AS127)*-1</f>
        <v>3.60633808341797</v>
      </c>
      <c r="AU256" s="3">
        <f>(AU127-AT127)*-1</f>
        <v>4.9056465948825</v>
      </c>
      <c r="AV256" s="3">
        <f>SUM(AR256:AU256)</f>
        <v>13.5589846783005</v>
      </c>
      <c r="AW256" s="3">
        <f>(AW127-AV127)*-1</f>
        <v>2.271</v>
      </c>
      <c r="AX256" s="3">
        <f>(AX127-AW127)*-1</f>
        <v>2.776</v>
      </c>
      <c r="AY256" s="3">
        <f>(AY127-AX127)*-1</f>
        <v>3.60633808341797</v>
      </c>
      <c r="AZ256" s="3">
        <f>(AZ127-AY127)*-1</f>
        <v>4.9056465948825</v>
      </c>
      <c r="BA256" s="3">
        <f>SUM(AW256:AZ256)</f>
        <v>13.5589846783005</v>
      </c>
      <c r="BB256" s="3">
        <f>(BB127-BA127)*-1</f>
        <v>2.271</v>
      </c>
      <c r="BC256" s="3">
        <f>(BC127-BB127)*-1</f>
        <v>2.776</v>
      </c>
      <c r="BD256" s="3">
        <f>(BD127-BC127)*-1</f>
        <v>3.60633808341797</v>
      </c>
      <c r="BE256" s="3">
        <f>(BE127-BD127)*-1</f>
        <v>4.9056465948825</v>
      </c>
      <c r="BF256" s="3">
        <f>SUM(BB256:BE256)</f>
        <v>13.5589846783005</v>
      </c>
      <c r="BG256" s="3">
        <f>(BG127-BF127)*-1</f>
        <v>2.271</v>
      </c>
      <c r="BH256" s="3">
        <f>(BH127-BG127)*-1</f>
        <v>2.776</v>
      </c>
      <c r="BI256" s="3">
        <f>(BI127-BH127)*-1</f>
        <v>3.60633808341797</v>
      </c>
      <c r="BJ256" s="3">
        <f>(BJ127-BI127)*-1</f>
        <v>4.9056465948825</v>
      </c>
      <c r="BK256" s="3">
        <f>SUM(BG256:BJ256)</f>
        <v>13.5589846783005</v>
      </c>
      <c r="BL256" s="3">
        <f>(BL127-BK127)*-1</f>
        <v>2.271</v>
      </c>
      <c r="BM256" s="3">
        <f>(BM127-BL127)*-1</f>
        <v>2.776</v>
      </c>
      <c r="BN256" s="3">
        <f>(BN127-BM127)*-1</f>
        <v>3.60633808341797</v>
      </c>
      <c r="BO256" s="3">
        <f>(BO127-BN127)*-1</f>
        <v>4.9056465948825</v>
      </c>
      <c r="BP256" s="3">
        <f>SUM(BL256:BO256)</f>
        <v>13.5589846783005</v>
      </c>
      <c r="BQ256" s="3">
        <f>(BQ127-BP127)*-1</f>
        <v>2.271</v>
      </c>
      <c r="BR256" s="3">
        <f>(BR127-BQ127)*-1</f>
        <v>2.776</v>
      </c>
      <c r="BS256" s="3">
        <f>(BS127-BR127)*-1</f>
        <v>3.60633808341797</v>
      </c>
      <c r="BT256" s="3">
        <f>(BT127-BS127)*-1</f>
        <v>4.9056465948825</v>
      </c>
      <c r="BU256" s="3">
        <f>SUM(BQ256:BT256)</f>
        <v>13.5589846783005</v>
      </c>
      <c r="BV256" s="3">
        <f>(BV127-BU127)*-1</f>
        <v>2.271</v>
      </c>
      <c r="BW256" s="3">
        <f>(BW127-BV127)*-1</f>
        <v>2.776</v>
      </c>
      <c r="BX256" s="3">
        <f>(BX127-BW127)*-1</f>
        <v>3.60633808341797</v>
      </c>
      <c r="BY256" s="3">
        <f>(BY127-BX127)*-1</f>
        <v>4.9056465948825</v>
      </c>
      <c r="BZ256" s="3">
        <f>SUM(BV256:BY256)</f>
        <v>13.5589846783005</v>
      </c>
      <c r="CA256" s="3">
        <f>(CA127-BZ127)*-1</f>
        <v>2.271</v>
      </c>
      <c r="CB256" s="3">
        <f>(CB127-CA127)*-1</f>
        <v>2.776</v>
      </c>
      <c r="CC256" s="3">
        <f>(CC127-CB127)*-1</f>
        <v>3.60633808341797</v>
      </c>
      <c r="CD256" s="3">
        <f>(CD127-CC127)*-1</f>
        <v>4.9056465948825</v>
      </c>
      <c r="CE256" s="3">
        <f>SUM(CA256:CD256)</f>
        <v>13.5589846783005</v>
      </c>
      <c r="CF256" s="3">
        <f>(CF127-CE127)*-1</f>
        <v>2.271</v>
      </c>
      <c r="CG256" s="3">
        <f>(CG127-CF127)*-1</f>
        <v>2.776</v>
      </c>
      <c r="CH256" s="3">
        <f>(CH127-CG127)*-1</f>
        <v>3.60633808341797</v>
      </c>
      <c r="CI256" s="3">
        <f>(CI127-CH127)*-1</f>
        <v>4.9056465948825</v>
      </c>
      <c r="CJ256" s="3">
        <f>SUM(CF256:CI256)</f>
        <v>13.5589846783005</v>
      </c>
      <c r="CK256" s="3">
        <f>(CK127-CJ127)*-1</f>
        <v>2.271</v>
      </c>
      <c r="CL256" s="3">
        <f>(CL127-CK127)*-1</f>
        <v>2.776</v>
      </c>
      <c r="CM256" s="3">
        <f>(CM127-CL127)*-1</f>
        <v>3.60633808341797</v>
      </c>
      <c r="CN256" s="3">
        <f>(CN127-CM127)*-1</f>
        <v>4.9056465948825</v>
      </c>
      <c r="CO256" s="3">
        <f>SUM(CK256:CN256)</f>
        <v>13.5589846783005</v>
      </c>
      <c r="CP256" s="3">
        <f>(CP127-CO127)*-1</f>
        <v>2.271</v>
      </c>
      <c r="CQ256" s="3">
        <f>(CQ127-CP127)*-1</f>
        <v>2.776</v>
      </c>
      <c r="CR256" s="3">
        <f>(CR127-CQ127)*-1</f>
        <v>3.60633808341797</v>
      </c>
      <c r="CS256" s="3">
        <f>(CS127-CR127)*-1</f>
        <v>4.9056465948825</v>
      </c>
      <c r="CT256" s="3">
        <f>SUM(CP256:CS256)</f>
        <v>13.5589846783005</v>
      </c>
      <c r="CU256" s="3">
        <f>(CU127-CT127)*-1</f>
        <v>2.271</v>
      </c>
      <c r="CV256" s="3">
        <f>(CV127-CU127)*-1</f>
        <v>2.776</v>
      </c>
      <c r="CW256" s="3">
        <f>(CW127-CV127)*-1</f>
        <v>3.60633808341797</v>
      </c>
      <c r="CX256" s="3">
        <f>(CX127-CW127)*-1</f>
        <v>4.9056465948825</v>
      </c>
      <c r="CY256" s="3">
        <f>SUM(CU256:CX256)</f>
        <v>13.5589846783005</v>
      </c>
    </row>
    <row r="257">
      <c r="C257" s="29" t="inlineStr">
        <is>
          <t>Dividends received from affiliates</t>
        </is>
      </c>
      <c r="D257" s="3" t="n"/>
      <c r="E257" s="3">
        <f>-E130</f>
        <v>0</v>
      </c>
      <c r="F257" s="3">
        <f>-F130</f>
        <v>0</v>
      </c>
      <c r="G257" s="3">
        <f>-G130</f>
        <v>0</v>
      </c>
      <c r="H257" s="3">
        <f>SUM(D257:G257)</f>
        <v>0</v>
      </c>
      <c r="I257" s="3">
        <f>-I130</f>
        <v>0</v>
      </c>
      <c r="J257" s="3">
        <f>-J130</f>
        <v>0</v>
      </c>
      <c r="K257" s="3">
        <f>-K130</f>
        <v>0</v>
      </c>
      <c r="L257" s="3">
        <f>-L130</f>
        <v>0</v>
      </c>
      <c r="M257" s="3">
        <f>SUM(I257:L257)</f>
        <v>0</v>
      </c>
      <c r="N257" s="3">
        <f>-N130</f>
        <v>0</v>
      </c>
      <c r="O257" s="3">
        <f>-O130</f>
        <v>0</v>
      </c>
      <c r="P257" s="3">
        <f>-P130</f>
        <v>0</v>
      </c>
      <c r="Q257" s="3">
        <f>-Q130</f>
        <v>0</v>
      </c>
      <c r="R257" s="3">
        <f>SUM(N257:Q257)</f>
        <v>0</v>
      </c>
      <c r="S257" s="3">
        <f>-S130</f>
        <v>0</v>
      </c>
      <c r="T257" s="3">
        <f>-T130</f>
        <v>0</v>
      </c>
      <c r="U257" s="3">
        <f>-U130</f>
        <v>0</v>
      </c>
      <c r="V257" s="3">
        <f>-V130</f>
        <v>0</v>
      </c>
      <c r="W257" s="3">
        <f>SUM(S257:V257)</f>
        <v>0</v>
      </c>
      <c r="X257" s="3">
        <f>-X130</f>
        <v>0</v>
      </c>
      <c r="Y257" s="3">
        <f>-Y130</f>
        <v>0</v>
      </c>
      <c r="Z257" s="3">
        <f>-Z130</f>
        <v>0</v>
      </c>
      <c r="AA257" s="3">
        <f>-AA130</f>
        <v>0</v>
      </c>
      <c r="AB257" s="3">
        <f>SUM(X257:AA257)</f>
        <v>0</v>
      </c>
      <c r="AC257" s="3">
        <f>-AC130</f>
        <v>0</v>
      </c>
      <c r="AD257" s="3">
        <f>-AD130</f>
        <v>0</v>
      </c>
      <c r="AE257" s="3">
        <f>-AE130</f>
        <v>0</v>
      </c>
      <c r="AF257" s="3">
        <f>-AF130</f>
        <v>0</v>
      </c>
      <c r="AG257" s="3">
        <f>SUM(AC257:AF257)</f>
        <v>0</v>
      </c>
      <c r="AH257" s="3">
        <f>-AH130</f>
        <v>0</v>
      </c>
      <c r="AI257" s="3">
        <f>-AI130</f>
        <v>0</v>
      </c>
      <c r="AJ257" s="3">
        <f>-AJ130</f>
        <v>0</v>
      </c>
      <c r="AK257" s="3">
        <f>-AK130</f>
        <v>0</v>
      </c>
      <c r="AL257" s="3">
        <f>SUM(AH257:AK257)</f>
        <v>0</v>
      </c>
      <c r="AM257" s="3">
        <f>-AM130</f>
        <v>0</v>
      </c>
      <c r="AN257" s="3">
        <f>-AN130</f>
        <v>0</v>
      </c>
      <c r="AO257" s="3">
        <f>-AO130</f>
        <v>0</v>
      </c>
      <c r="AP257" s="3">
        <f>-AP130</f>
        <v>0</v>
      </c>
      <c r="AQ257" s="3">
        <f>SUM(AM257:AP257)</f>
        <v>0</v>
      </c>
      <c r="AR257" s="3">
        <f>-AR130</f>
        <v>0</v>
      </c>
      <c r="AS257" s="3">
        <f>-AS130</f>
        <v>0</v>
      </c>
      <c r="AT257" s="3">
        <f>-AT130</f>
        <v>0</v>
      </c>
      <c r="AU257" s="3">
        <f>-AU130</f>
        <v>0</v>
      </c>
      <c r="AV257" s="3">
        <f>SUM(AR257:AU257)</f>
        <v>0</v>
      </c>
      <c r="AW257" s="3">
        <f>-AW130</f>
        <v>0</v>
      </c>
      <c r="AX257" s="3">
        <f>-AX130</f>
        <v>0</v>
      </c>
      <c r="AY257" s="3">
        <f>-AY130</f>
        <v>0</v>
      </c>
      <c r="AZ257" s="3">
        <f>-AZ130</f>
        <v>0</v>
      </c>
      <c r="BA257" s="3">
        <f>SUM(AW257:AZ257)</f>
        <v>0</v>
      </c>
      <c r="BB257" s="3">
        <f>-BB130</f>
        <v>0</v>
      </c>
      <c r="BC257" s="3">
        <f>-BC130</f>
        <v>0</v>
      </c>
      <c r="BD257" s="3">
        <f>-BD130</f>
        <v>0</v>
      </c>
      <c r="BE257" s="3">
        <f>-BE130</f>
        <v>0</v>
      </c>
      <c r="BF257" s="3">
        <f>SUM(BB257:BE257)</f>
        <v>0</v>
      </c>
      <c r="BG257" s="3">
        <f>-BG130</f>
        <v>0</v>
      </c>
      <c r="BH257" s="3">
        <f>-BH130</f>
        <v>0</v>
      </c>
      <c r="BI257" s="3">
        <f>-BI130</f>
        <v>0</v>
      </c>
      <c r="BJ257" s="3">
        <f>-BJ130</f>
        <v>0</v>
      </c>
      <c r="BK257" s="3">
        <f>SUM(BG257:BJ257)</f>
        <v>0</v>
      </c>
      <c r="BL257" s="3">
        <f>-BL130</f>
        <v>0</v>
      </c>
      <c r="BM257" s="3">
        <f>-BM130</f>
        <v>0</v>
      </c>
      <c r="BN257" s="3">
        <f>-BN130</f>
        <v>0</v>
      </c>
      <c r="BO257" s="3">
        <f>-BO130</f>
        <v>0</v>
      </c>
      <c r="BP257" s="3">
        <f>SUM(BL257:BO257)</f>
        <v>0</v>
      </c>
      <c r="BQ257" s="3">
        <f>-BQ130</f>
        <v>0</v>
      </c>
      <c r="BR257" s="3">
        <f>-BR130</f>
        <v>0</v>
      </c>
      <c r="BS257" s="3">
        <f>-BS130</f>
        <v>0</v>
      </c>
      <c r="BT257" s="3">
        <f>-BT130</f>
        <v>0</v>
      </c>
      <c r="BU257" s="3">
        <f>SUM(BQ257:BT257)</f>
        <v>0</v>
      </c>
      <c r="BV257" s="3">
        <f>-BV130</f>
        <v>0</v>
      </c>
      <c r="BW257" s="3">
        <f>-BW130</f>
        <v>0</v>
      </c>
      <c r="BX257" s="3">
        <f>-BX130</f>
        <v>0</v>
      </c>
      <c r="BY257" s="3">
        <f>-BY130</f>
        <v>0</v>
      </c>
      <c r="BZ257" s="3">
        <f>SUM(BV257:BY257)</f>
        <v>0</v>
      </c>
      <c r="CA257" s="3">
        <f>-CA130</f>
        <v>0</v>
      </c>
      <c r="CB257" s="3">
        <f>-CB130</f>
        <v>0</v>
      </c>
      <c r="CC257" s="3">
        <f>-CC130</f>
        <v>0</v>
      </c>
      <c r="CD257" s="3">
        <f>-CD130</f>
        <v>0</v>
      </c>
      <c r="CE257" s="3">
        <f>SUM(CA257:CD257)</f>
        <v>0</v>
      </c>
      <c r="CF257" s="3">
        <f>-CF130</f>
        <v>0</v>
      </c>
      <c r="CG257" s="3">
        <f>-CG130</f>
        <v>0</v>
      </c>
      <c r="CH257" s="3">
        <f>-CH130</f>
        <v>0</v>
      </c>
      <c r="CI257" s="3">
        <f>-CI130</f>
        <v>0</v>
      </c>
      <c r="CJ257" s="3">
        <f>SUM(CF257:CI257)</f>
        <v>0</v>
      </c>
      <c r="CK257" s="3">
        <f>-CK130</f>
        <v>0</v>
      </c>
      <c r="CL257" s="3">
        <f>-CL130</f>
        <v>0</v>
      </c>
      <c r="CM257" s="3">
        <f>-CM130</f>
        <v>0</v>
      </c>
      <c r="CN257" s="3">
        <f>-CN130</f>
        <v>0</v>
      </c>
      <c r="CO257" s="3">
        <f>SUM(CK257:CN257)</f>
        <v>0</v>
      </c>
      <c r="CP257" s="3">
        <f>-CP130</f>
        <v>0</v>
      </c>
      <c r="CQ257" s="3">
        <f>-CQ130</f>
        <v>0</v>
      </c>
      <c r="CR257" s="3">
        <f>-CR130</f>
        <v>0</v>
      </c>
      <c r="CS257" s="3">
        <f>-CS130</f>
        <v>0</v>
      </c>
      <c r="CT257" s="3">
        <f>SUM(CP257:CS257)</f>
        <v>0</v>
      </c>
      <c r="CU257" s="3">
        <f>-CU130</f>
        <v>0</v>
      </c>
      <c r="CV257" s="3">
        <f>-CV130</f>
        <v>0</v>
      </c>
      <c r="CW257" s="3">
        <f>-CW130</f>
        <v>0</v>
      </c>
      <c r="CX257" s="3">
        <f>-CX130</f>
        <v>0</v>
      </c>
      <c r="CY257" s="3">
        <f>SUM(CU257:CX257)</f>
        <v>0</v>
      </c>
    </row>
    <row r="258">
      <c r="C258" s="30" t="inlineStr">
        <is>
          <t>Minority interest expense</t>
        </is>
      </c>
      <c r="D258" s="3" t="n"/>
      <c r="E258" s="3">
        <f>-E102</f>
        <v>0</v>
      </c>
      <c r="F258" s="3">
        <f>-F102</f>
        <v>0</v>
      </c>
      <c r="G258" s="3">
        <f>-G102</f>
        <v>0</v>
      </c>
      <c r="H258" s="3">
        <f>SUM(D258:G258)</f>
        <v>0</v>
      </c>
      <c r="I258" s="3">
        <f>-I102</f>
        <v>0</v>
      </c>
      <c r="J258" s="3">
        <f>-J102</f>
        <v>-0.039423182</v>
      </c>
      <c r="K258" s="3">
        <f>-K102</f>
        <v>1.426590592597</v>
      </c>
      <c r="L258" s="3">
        <f>-L102</f>
        <v>0.177942983442</v>
      </c>
      <c r="M258" s="3">
        <f>SUM(I258:L258)</f>
        <v>1.565110394039</v>
      </c>
      <c r="N258" s="3">
        <f>-N102</f>
        <v>0.39147077355</v>
      </c>
      <c r="O258" s="3">
        <f>-O102</f>
        <v>0.414890426612999</v>
      </c>
      <c r="P258" s="3">
        <f>-P102</f>
        <v>0.67304117</v>
      </c>
      <c r="Q258" s="3">
        <f>-Q102</f>
        <v>-0.656184120676</v>
      </c>
      <c r="R258" s="3">
        <f>SUM(N258:Q258)</f>
        <v>0.823218249487</v>
      </c>
      <c r="S258" s="3">
        <f>-S102</f>
        <v>-0.02834465</v>
      </c>
      <c r="T258" s="3">
        <f>-T102</f>
        <v>-0.385635388738</v>
      </c>
      <c r="U258" s="3">
        <f>-U102</f>
        <v>-2.382</v>
      </c>
      <c r="V258" s="3">
        <f>-V102</f>
        <v>-0.139</v>
      </c>
      <c r="W258" s="3">
        <f>SUM(S258:V258)</f>
        <v>-2.934980038738</v>
      </c>
      <c r="X258" s="3">
        <f>-X102</f>
        <v>0.355</v>
      </c>
      <c r="Y258" s="3">
        <f>-Y102</f>
        <v>-1.423</v>
      </c>
      <c r="Z258" s="3">
        <f>-Z102</f>
        <v>-4.013</v>
      </c>
      <c r="AA258" s="3">
        <f>-AA102</f>
        <v>-7.437</v>
      </c>
      <c r="AB258" s="3">
        <f>SUM(X258:AA258)</f>
        <v>-12.518</v>
      </c>
      <c r="AC258" s="3">
        <f>-AC102</f>
        <v>-3.456124</v>
      </c>
      <c r="AD258" s="3">
        <f>-AD102</f>
        <v>-7.749179</v>
      </c>
      <c r="AE258" s="3">
        <f>-AE102</f>
        <v>-2.668448799683</v>
      </c>
      <c r="AF258" s="3">
        <f>-AF102</f>
        <v>-2.28625577847376</v>
      </c>
      <c r="AG258" s="3">
        <f>SUM(AC258:AF258)</f>
        <v>-16.1600075781568</v>
      </c>
      <c r="AH258" s="3">
        <f>-AH102</f>
        <v>-3.456124</v>
      </c>
      <c r="AI258" s="3">
        <f>-AI102</f>
        <v>-7.749179</v>
      </c>
      <c r="AJ258" s="3">
        <f>-AJ102</f>
        <v>-2.668448799683</v>
      </c>
      <c r="AK258" s="3">
        <f>-AK102</f>
        <v>-2.28625577847376</v>
      </c>
      <c r="AL258" s="3">
        <f>SUM(AH258:AK258)</f>
        <v>-16.1600075781568</v>
      </c>
      <c r="AM258" s="3">
        <f>-AM102</f>
        <v>-3.456124</v>
      </c>
      <c r="AN258" s="3">
        <f>-AN102</f>
        <v>-7.749179</v>
      </c>
      <c r="AO258" s="3">
        <f>-AO102</f>
        <v>-2.668448799683</v>
      </c>
      <c r="AP258" s="3">
        <f>-AP102</f>
        <v>-2.28625577847376</v>
      </c>
      <c r="AQ258" s="3">
        <f>SUM(AM258:AP258)</f>
        <v>-16.1600075781568</v>
      </c>
      <c r="AR258" s="3">
        <f>-AR102</f>
        <v>-3.456124</v>
      </c>
      <c r="AS258" s="3">
        <f>-AS102</f>
        <v>-7.749179</v>
      </c>
      <c r="AT258" s="3">
        <f>-AT102</f>
        <v>-2.668448799683</v>
      </c>
      <c r="AU258" s="3">
        <f>-AU102</f>
        <v>-2.28625577847376</v>
      </c>
      <c r="AV258" s="3">
        <f>SUM(AR258:AU258)</f>
        <v>-16.1600075781568</v>
      </c>
      <c r="AW258" s="3">
        <f>-AW102</f>
        <v>-3.456124</v>
      </c>
      <c r="AX258" s="3">
        <f>-AX102</f>
        <v>-7.749179</v>
      </c>
      <c r="AY258" s="3">
        <f>-AY102</f>
        <v>-2.668448799683</v>
      </c>
      <c r="AZ258" s="3">
        <f>-AZ102</f>
        <v>-2.28625577847376</v>
      </c>
      <c r="BA258" s="3">
        <f>SUM(AW258:AZ258)</f>
        <v>-16.1600075781568</v>
      </c>
      <c r="BB258" s="3">
        <f>-BB102</f>
        <v>-3.456124</v>
      </c>
      <c r="BC258" s="3">
        <f>-BC102</f>
        <v>-7.749179</v>
      </c>
      <c r="BD258" s="3">
        <f>-BD102</f>
        <v>-2.668448799683</v>
      </c>
      <c r="BE258" s="3">
        <f>-BE102</f>
        <v>-2.28625577847376</v>
      </c>
      <c r="BF258" s="3">
        <f>SUM(BB258:BE258)</f>
        <v>-16.1600075781568</v>
      </c>
      <c r="BG258" s="3">
        <f>-BG102</f>
        <v>-3.456124</v>
      </c>
      <c r="BH258" s="3">
        <f>-BH102</f>
        <v>-7.749179</v>
      </c>
      <c r="BI258" s="3">
        <f>-BI102</f>
        <v>-2.668448799683</v>
      </c>
      <c r="BJ258" s="3">
        <f>-BJ102</f>
        <v>-2.28625577847376</v>
      </c>
      <c r="BK258" s="3">
        <f>SUM(BG258:BJ258)</f>
        <v>-16.1600075781568</v>
      </c>
      <c r="BL258" s="3">
        <f>-BL102</f>
        <v>-3.456124</v>
      </c>
      <c r="BM258" s="3">
        <f>-BM102</f>
        <v>-7.749179</v>
      </c>
      <c r="BN258" s="3">
        <f>-BN102</f>
        <v>-2.668448799683</v>
      </c>
      <c r="BO258" s="3">
        <f>-BO102</f>
        <v>-2.28625577847376</v>
      </c>
      <c r="BP258" s="3">
        <f>SUM(BL258:BO258)</f>
        <v>-16.1600075781568</v>
      </c>
      <c r="BQ258" s="3">
        <f>-BQ102</f>
        <v>-3.456124</v>
      </c>
      <c r="BR258" s="3">
        <f>-BR102</f>
        <v>-7.749179</v>
      </c>
      <c r="BS258" s="3">
        <f>-BS102</f>
        <v>-2.668448799683</v>
      </c>
      <c r="BT258" s="3">
        <f>-BT102</f>
        <v>-2.28625577847376</v>
      </c>
      <c r="BU258" s="3">
        <f>SUM(BQ258:BT258)</f>
        <v>-16.1600075781568</v>
      </c>
      <c r="BV258" s="3">
        <f>-BV102</f>
        <v>-3.456124</v>
      </c>
      <c r="BW258" s="3">
        <f>-BW102</f>
        <v>-7.749179</v>
      </c>
      <c r="BX258" s="3">
        <f>-BX102</f>
        <v>-2.668448799683</v>
      </c>
      <c r="BY258" s="3">
        <f>-BY102</f>
        <v>-2.28625577847376</v>
      </c>
      <c r="BZ258" s="3">
        <f>SUM(BV258:BY258)</f>
        <v>-16.1600075781568</v>
      </c>
      <c r="CA258" s="3">
        <f>-CA102</f>
        <v>-3.456124</v>
      </c>
      <c r="CB258" s="3">
        <f>-CB102</f>
        <v>-7.749179</v>
      </c>
      <c r="CC258" s="3">
        <f>-CC102</f>
        <v>-2.668448799683</v>
      </c>
      <c r="CD258" s="3">
        <f>-CD102</f>
        <v>-2.28625577847376</v>
      </c>
      <c r="CE258" s="3">
        <f>SUM(CA258:CD258)</f>
        <v>-16.1600075781568</v>
      </c>
      <c r="CF258" s="3">
        <f>-CF102</f>
        <v>-3.456124</v>
      </c>
      <c r="CG258" s="3">
        <f>-CG102</f>
        <v>-7.749179</v>
      </c>
      <c r="CH258" s="3">
        <f>-CH102</f>
        <v>-2.668448799683</v>
      </c>
      <c r="CI258" s="3">
        <f>-CI102</f>
        <v>-2.28625577847376</v>
      </c>
      <c r="CJ258" s="3">
        <f>SUM(CF258:CI258)</f>
        <v>-16.1600075781568</v>
      </c>
      <c r="CK258" s="3">
        <f>-CK102</f>
        <v>-3.456124</v>
      </c>
      <c r="CL258" s="3">
        <f>-CL102</f>
        <v>-7.749179</v>
      </c>
      <c r="CM258" s="3">
        <f>-CM102</f>
        <v>-2.668448799683</v>
      </c>
      <c r="CN258" s="3">
        <f>-CN102</f>
        <v>-2.28625577847376</v>
      </c>
      <c r="CO258" s="3">
        <f>SUM(CK258:CN258)</f>
        <v>-16.1600075781568</v>
      </c>
      <c r="CP258" s="3">
        <f>-CP102</f>
        <v>-3.456124</v>
      </c>
      <c r="CQ258" s="3">
        <f>-CQ102</f>
        <v>-7.749179</v>
      </c>
      <c r="CR258" s="3">
        <f>-CR102</f>
        <v>-2.668448799683</v>
      </c>
      <c r="CS258" s="3">
        <f>-CS102</f>
        <v>-2.28625577847376</v>
      </c>
      <c r="CT258" s="3">
        <f>SUM(CP258:CS258)</f>
        <v>-16.1600075781568</v>
      </c>
      <c r="CU258" s="3">
        <f>-CU102</f>
        <v>-3.456124</v>
      </c>
      <c r="CV258" s="3">
        <f>-CV102</f>
        <v>-7.749179</v>
      </c>
      <c r="CW258" s="3">
        <f>-CW102</f>
        <v>-2.668448799683</v>
      </c>
      <c r="CX258" s="3">
        <f>-CX102</f>
        <v>-2.28625577847376</v>
      </c>
      <c r="CY258" s="3">
        <f>SUM(CU258:CX258)</f>
        <v>-16.1600075781568</v>
      </c>
    </row>
    <row r="259">
      <c r="C259" s="26" t="inlineStr">
        <is>
          <t>Cash from operations</t>
        </is>
      </c>
      <c r="D259" s="3" t="n"/>
      <c r="E259" s="3">
        <f>SUM(E243,E244,E245,E256,E257,E258)</f>
        <v>48.3807511256541</v>
      </c>
      <c r="F259" s="3">
        <f>SUM(F243,F244,F245,F256,F257,F258)</f>
        <v>102.472729973591</v>
      </c>
      <c r="G259" s="3">
        <f>SUM(G243,G244,G245,G256,G257,G258)</f>
        <v>90.4451249532124</v>
      </c>
      <c r="H259" s="3">
        <f>SUM(H243,H244,H245,H256,H257,H258)</f>
        <v>241.298606052457</v>
      </c>
      <c r="I259" s="3">
        <f>SUM(I243,I244,I245,I256,I257,I258)</f>
        <v>231.118910783214</v>
      </c>
      <c r="J259" s="3">
        <f>SUM(J243,J244,J245,J256,J257,J258)</f>
        <v>77.5106491823144</v>
      </c>
      <c r="K259" s="3">
        <f>SUM(K243,K244,K245,K256,K257,K258)</f>
        <v>-35.6769371331216</v>
      </c>
      <c r="L259" s="3">
        <f>SUM(L243,L244,L245,L256,L257,L258)</f>
        <v>501.194782768398</v>
      </c>
      <c r="M259" s="3">
        <f>SUM(M243,M244,M245,M256,M257,M258)</f>
        <v>774.147405600804</v>
      </c>
      <c r="N259" s="3">
        <f>SUM(N243,N244,N245,N256,N257,N258)</f>
        <v>191.025438884169</v>
      </c>
      <c r="O259" s="3">
        <f>SUM(O243,O244,O245,O256,O257,O258)</f>
        <v>-31.8948296958806</v>
      </c>
      <c r="P259" s="3">
        <f>SUM(P243,P244,P245,P256,P257,P258)</f>
        <v>233.494965702821</v>
      </c>
      <c r="Q259" s="3">
        <f>SUM(Q243,Q244,Q245,Q256,Q257,Q258)</f>
        <v>206.653262043497</v>
      </c>
      <c r="R259" s="3">
        <f>SUM(R243,R244,R245,R256,R257,R258)</f>
        <v>599.278836934607</v>
      </c>
      <c r="S259" s="3">
        <f>SUM(S243,S244,S245,S256,S257,S258)</f>
        <v>73.8390369658267</v>
      </c>
      <c r="T259" s="3">
        <f>SUM(T243,T244,T245,T256,T257,T258)</f>
        <v>259.39196320607</v>
      </c>
      <c r="U259" s="3">
        <f>SUM(U243,U244,U245,U256,U257,U258)</f>
        <v>371.16043533806</v>
      </c>
      <c r="V259" s="3">
        <f>SUM(V243,V244,V245,V256,V257,V258)</f>
        <v>162.20980174393</v>
      </c>
      <c r="W259" s="3">
        <f>SUM(W243,W244,W245,W256,W257,W258)</f>
        <v>866.601237253886</v>
      </c>
      <c r="X259" s="3">
        <f>SUM(X243,X244,X245,X256,X257,X258)</f>
        <v>216.5866009</v>
      </c>
      <c r="Y259" s="3">
        <f>SUM(Y243,Y244,Y245,Y256,Y257,Y258)</f>
        <v>251.555</v>
      </c>
      <c r="Z259" s="3">
        <f>SUM(Z243,Z244,Z245,Z256,Z257,Z258)</f>
        <v>597.676474</v>
      </c>
      <c r="AA259" s="3">
        <f>SUM(AA243,AA244,AA245,AA256,AA257,AA258)</f>
        <v>306.689925099999</v>
      </c>
      <c r="AB259" s="3">
        <f>SUM(AB243,AB244,AB245,AB256,AB257,AB258)</f>
        <v>1372.508</v>
      </c>
      <c r="AC259" s="3">
        <f>SUM(AC243,AC244,AC245,AC256,AC257,AC258)</f>
        <v>373.153532</v>
      </c>
      <c r="AD259" s="3">
        <f>SUM(AD243,AD244,AD245,AD256,AD257,AD258)</f>
        <v>-96.0272890000001</v>
      </c>
      <c r="AE259" s="3">
        <f>SUM(AE243,AE244,AE245,AE256,AE257,AE258)</f>
        <v>807.847270560501</v>
      </c>
      <c r="AF259" s="3">
        <f>SUM(AF243,AF244,AF245,AF256,AF257,AF258)</f>
        <v>601.930009895117</v>
      </c>
      <c r="AG259" s="3">
        <f>SUM(AG243,AG244,AG245,AG256,AG257,AG258)</f>
        <v>1686.90352345562</v>
      </c>
      <c r="AH259" s="3">
        <f>SUM(AH243,AH244,AH245,AH256,AH257,AH258)</f>
        <v>708.24862359</v>
      </c>
      <c r="AI259" s="3">
        <f>SUM(AI243,AI244,AI245,AI256,AI257,AI258)</f>
        <v>335.43695063</v>
      </c>
      <c r="AJ259" s="3" t="e">
        <f>SUM(AJ243,AJ244,AJ245,AJ256,AJ257,AJ258)</f>
        <v>#DIV/0!</v>
      </c>
      <c r="AK259" s="3" t="e">
        <f>SUM(AK243,AK244,AK245,AK256,AK257,AK258)</f>
        <v>#DIV/0!</v>
      </c>
      <c r="AL259" s="3" t="e">
        <f>SUM(AL243,AL244,AL245,AL256,AL257,AL258)</f>
        <v>#DIV/0!</v>
      </c>
      <c r="AM259" s="3" t="e">
        <f>SUM(AM243,AM244,AM245,AM256,AM257,AM258)</f>
        <v>#DIV/0!</v>
      </c>
      <c r="AN259" s="3" t="e">
        <f>SUM(AN243,AN244,AN245,AN256,AN257,AN258)</f>
        <v>#DIV/0!</v>
      </c>
      <c r="AO259" s="3" t="e">
        <f>SUM(AO243,AO244,AO245,AO256,AO257,AO258)</f>
        <v>#DIV/0!</v>
      </c>
      <c r="AP259" s="3" t="e">
        <f>SUM(AP243,AP244,AP245,AP256,AP257,AP258)</f>
        <v>#DIV/0!</v>
      </c>
      <c r="AQ259" s="3" t="e">
        <f>SUM(AQ243,AQ244,AQ245,AQ256,AQ257,AQ258)</f>
        <v>#DIV/0!</v>
      </c>
      <c r="AR259" s="3" t="e">
        <f>SUM(AR243,AR244,AR245,AR256,AR257,AR258)</f>
        <v>#DIV/0!</v>
      </c>
      <c r="AS259" s="3" t="e">
        <f>SUM(AS243,AS244,AS245,AS256,AS257,AS258)</f>
        <v>#DIV/0!</v>
      </c>
      <c r="AT259" s="3" t="e">
        <f>SUM(AT243,AT244,AT245,AT256,AT257,AT258)</f>
        <v>#DIV/0!</v>
      </c>
      <c r="AU259" s="3" t="e">
        <f>SUM(AU243,AU244,AU245,AU256,AU257,AU258)</f>
        <v>#DIV/0!</v>
      </c>
      <c r="AV259" s="3" t="e">
        <f>SUM(AV243,AV244,AV245,AV256,AV257,AV258)</f>
        <v>#DIV/0!</v>
      </c>
      <c r="AW259" s="3" t="e">
        <f>SUM(AW243,AW244,AW245,AW256,AW257,AW258)</f>
        <v>#DIV/0!</v>
      </c>
      <c r="AX259" s="3" t="e">
        <f>SUM(AX243,AX244,AX245,AX256,AX257,AX258)</f>
        <v>#DIV/0!</v>
      </c>
      <c r="AY259" s="3" t="e">
        <f>SUM(AY243,AY244,AY245,AY256,AY257,AY258)</f>
        <v>#DIV/0!</v>
      </c>
      <c r="AZ259" s="3" t="e">
        <f>SUM(AZ243,AZ244,AZ245,AZ256,AZ257,AZ258)</f>
        <v>#DIV/0!</v>
      </c>
      <c r="BA259" s="3" t="e">
        <f>SUM(BA243,BA244,BA245,BA256,BA257,BA258)</f>
        <v>#DIV/0!</v>
      </c>
      <c r="BB259" s="3" t="e">
        <f>SUM(BB243,BB244,BB245,BB256,BB257,BB258)</f>
        <v>#DIV/0!</v>
      </c>
      <c r="BC259" s="3" t="e">
        <f>SUM(BC243,BC244,BC245,BC256,BC257,BC258)</f>
        <v>#DIV/0!</v>
      </c>
      <c r="BD259" s="3" t="e">
        <f>SUM(BD243,BD244,BD245,BD256,BD257,BD258)</f>
        <v>#DIV/0!</v>
      </c>
      <c r="BE259" s="3" t="e">
        <f>SUM(BE243,BE244,BE245,BE256,BE257,BE258)</f>
        <v>#DIV/0!</v>
      </c>
      <c r="BF259" s="3" t="e">
        <f>SUM(BF243,BF244,BF245,BF256,BF257,BF258)</f>
        <v>#DIV/0!</v>
      </c>
      <c r="BG259" s="3" t="e">
        <f>SUM(BG243,BG244,BG245,BG256,BG257,BG258)</f>
        <v>#DIV/0!</v>
      </c>
      <c r="BH259" s="3" t="e">
        <f>SUM(BH243,BH244,BH245,BH256,BH257,BH258)</f>
        <v>#DIV/0!</v>
      </c>
      <c r="BI259" s="3" t="e">
        <f>SUM(BI243,BI244,BI245,BI256,BI257,BI258)</f>
        <v>#DIV/0!</v>
      </c>
      <c r="BJ259" s="3" t="e">
        <f>SUM(BJ243,BJ244,BJ245,BJ256,BJ257,BJ258)</f>
        <v>#DIV/0!</v>
      </c>
      <c r="BK259" s="3" t="e">
        <f>SUM(BK243,BK244,BK245,BK256,BK257,BK258)</f>
        <v>#DIV/0!</v>
      </c>
      <c r="BL259" s="3" t="e">
        <f>SUM(BL243,BL244,BL245,BL256,BL257,BL258)</f>
        <v>#DIV/0!</v>
      </c>
      <c r="BM259" s="3" t="e">
        <f>SUM(BM243,BM244,BM245,BM256,BM257,BM258)</f>
        <v>#DIV/0!</v>
      </c>
      <c r="BN259" s="3" t="e">
        <f>SUM(BN243,BN244,BN245,BN256,BN257,BN258)</f>
        <v>#DIV/0!</v>
      </c>
      <c r="BO259" s="3" t="e">
        <f>SUM(BO243,BO244,BO245,BO256,BO257,BO258)</f>
        <v>#DIV/0!</v>
      </c>
      <c r="BP259" s="3" t="e">
        <f>SUM(BP243,BP244,BP245,BP256,BP257,BP258)</f>
        <v>#DIV/0!</v>
      </c>
      <c r="BQ259" s="3" t="e">
        <f>SUM(BQ243,BQ244,BQ245,BQ256,BQ257,BQ258)</f>
        <v>#DIV/0!</v>
      </c>
      <c r="BR259" s="3" t="e">
        <f>SUM(BR243,BR244,BR245,BR256,BR257,BR258)</f>
        <v>#DIV/0!</v>
      </c>
      <c r="BS259" s="3" t="e">
        <f>SUM(BS243,BS244,BS245,BS256,BS257,BS258)</f>
        <v>#DIV/0!</v>
      </c>
      <c r="BT259" s="3" t="e">
        <f>SUM(BT243,BT244,BT245,BT256,BT257,BT258)</f>
        <v>#DIV/0!</v>
      </c>
      <c r="BU259" s="3" t="e">
        <f>SUM(BU243,BU244,BU245,BU256,BU257,BU258)</f>
        <v>#DIV/0!</v>
      </c>
      <c r="BV259" s="3" t="e">
        <f>SUM(BV243,BV244,BV245,BV256,BV257,BV258)</f>
        <v>#DIV/0!</v>
      </c>
      <c r="BW259" s="3" t="e">
        <f>SUM(BW243,BW244,BW245,BW256,BW257,BW258)</f>
        <v>#DIV/0!</v>
      </c>
      <c r="BX259" s="3" t="e">
        <f>SUM(BX243,BX244,BX245,BX256,BX257,BX258)</f>
        <v>#DIV/0!</v>
      </c>
      <c r="BY259" s="3" t="e">
        <f>SUM(BY243,BY244,BY245,BY256,BY257,BY258)</f>
        <v>#DIV/0!</v>
      </c>
      <c r="BZ259" s="3" t="e">
        <f>SUM(BZ243,BZ244,BZ245,BZ256,BZ257,BZ258)</f>
        <v>#DIV/0!</v>
      </c>
      <c r="CA259" s="3" t="e">
        <f>SUM(CA243,CA244,CA245,CA256,CA257,CA258)</f>
        <v>#DIV/0!</v>
      </c>
      <c r="CB259" s="3" t="e">
        <f>SUM(CB243,CB244,CB245,CB256,CB257,CB258)</f>
        <v>#DIV/0!</v>
      </c>
      <c r="CC259" s="3" t="e">
        <f>SUM(CC243,CC244,CC245,CC256,CC257,CC258)</f>
        <v>#DIV/0!</v>
      </c>
      <c r="CD259" s="3" t="e">
        <f>SUM(CD243,CD244,CD245,CD256,CD257,CD258)</f>
        <v>#DIV/0!</v>
      </c>
      <c r="CE259" s="3" t="e">
        <f>SUM(CE243,CE244,CE245,CE256,CE257,CE258)</f>
        <v>#DIV/0!</v>
      </c>
      <c r="CF259" s="3" t="e">
        <f>SUM(CF243,CF244,CF245,CF256,CF257,CF258)</f>
        <v>#DIV/0!</v>
      </c>
      <c r="CG259" s="3" t="e">
        <f>SUM(CG243,CG244,CG245,CG256,CG257,CG258)</f>
        <v>#DIV/0!</v>
      </c>
      <c r="CH259" s="3" t="e">
        <f>SUM(CH243,CH244,CH245,CH256,CH257,CH258)</f>
        <v>#DIV/0!</v>
      </c>
      <c r="CI259" s="3" t="e">
        <f>SUM(CI243,CI244,CI245,CI256,CI257,CI258)</f>
        <v>#DIV/0!</v>
      </c>
      <c r="CJ259" s="3" t="e">
        <f>SUM(CJ243,CJ244,CJ245,CJ256,CJ257,CJ258)</f>
        <v>#DIV/0!</v>
      </c>
      <c r="CK259" s="3" t="e">
        <f>SUM(CK243,CK244,CK245,CK256,CK257,CK258)</f>
        <v>#DIV/0!</v>
      </c>
      <c r="CL259" s="3" t="e">
        <f>SUM(CL243,CL244,CL245,CL256,CL257,CL258)</f>
        <v>#DIV/0!</v>
      </c>
      <c r="CM259" s="3" t="e">
        <f>SUM(CM243,CM244,CM245,CM256,CM257,CM258)</f>
        <v>#DIV/0!</v>
      </c>
      <c r="CN259" s="3" t="e">
        <f>SUM(CN243,CN244,CN245,CN256,CN257,CN258)</f>
        <v>#DIV/0!</v>
      </c>
      <c r="CO259" s="3" t="e">
        <f>SUM(CO243,CO244,CO245,CO256,CO257,CO258)</f>
        <v>#DIV/0!</v>
      </c>
      <c r="CP259" s="3" t="e">
        <f>SUM(CP243,CP244,CP245,CP256,CP257,CP258)</f>
        <v>#DIV/0!</v>
      </c>
      <c r="CQ259" s="3" t="e">
        <f>SUM(CQ243,CQ244,CQ245,CQ256,CQ257,CQ258)</f>
        <v>#DIV/0!</v>
      </c>
      <c r="CR259" s="3" t="e">
        <f>SUM(CR243,CR244,CR245,CR256,CR257,CR258)</f>
        <v>#DIV/0!</v>
      </c>
      <c r="CS259" s="3" t="e">
        <f>SUM(CS243,CS244,CS245,CS256,CS257,CS258)</f>
        <v>#DIV/0!</v>
      </c>
      <c r="CT259" s="3" t="e">
        <f>SUM(CT243,CT244,CT245,CT256,CT257,CT258)</f>
        <v>#DIV/0!</v>
      </c>
      <c r="CU259" s="3" t="e">
        <f>SUM(CU243,CU244,CU245,CU256,CU257,CU258)</f>
        <v>#DIV/0!</v>
      </c>
      <c r="CV259" s="3" t="e">
        <f>SUM(CV243,CV244,CV245,CV256,CV257,CV258)</f>
        <v>#DIV/0!</v>
      </c>
      <c r="CW259" s="3" t="e">
        <f>SUM(CW243,CW244,CW245,CW256,CW257,CW258)</f>
        <v>#DIV/0!</v>
      </c>
      <c r="CX259" s="3" t="e">
        <f>SUM(CX243,CX244,CX245,CX256,CX257,CX258)</f>
        <v>#DIV/0!</v>
      </c>
      <c r="CY259" s="3" t="e">
        <f>SUM(CY243,CY244,CY245,CY256,CY257,CY258)</f>
        <v>#DIV/0!</v>
      </c>
    </row>
    <row r="260">
      <c r="C260" s="26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  <c r="AY260" s="3" t="n"/>
      <c r="AZ260" s="3" t="n"/>
      <c r="BA260" s="3" t="n"/>
      <c r="BB260" s="3" t="n"/>
      <c r="BC260" s="3" t="n"/>
      <c r="BD260" s="3" t="n"/>
      <c r="BE260" s="3" t="n"/>
      <c r="BF260" s="3" t="n"/>
      <c r="BG260" s="3" t="n"/>
      <c r="BH260" s="3" t="n"/>
      <c r="BI260" s="3" t="n"/>
      <c r="BJ260" s="3" t="n"/>
      <c r="BK260" s="3" t="n"/>
      <c r="BL260" s="3" t="n"/>
      <c r="BM260" s="3" t="n"/>
      <c r="BN260" s="3" t="n"/>
      <c r="BO260" s="3" t="n"/>
      <c r="BP260" s="3" t="n"/>
      <c r="BQ260" s="3" t="n"/>
      <c r="BR260" s="3" t="n"/>
      <c r="BS260" s="3" t="n"/>
      <c r="BT260" s="3" t="n"/>
      <c r="BU260" s="3" t="n"/>
      <c r="BV260" s="3" t="n"/>
      <c r="BW260" s="3" t="n"/>
      <c r="BX260" s="3" t="n"/>
      <c r="BY260" s="3" t="n"/>
      <c r="BZ260" s="3" t="n"/>
      <c r="CA260" s="3" t="n"/>
      <c r="CB260" s="3" t="n"/>
      <c r="CC260" s="3" t="n"/>
      <c r="CD260" s="3" t="n"/>
      <c r="CE260" s="3" t="n"/>
      <c r="CF260" s="3" t="n"/>
      <c r="CG260" s="3" t="n"/>
      <c r="CH260" s="3" t="n"/>
      <c r="CI260" s="3" t="n"/>
      <c r="CJ260" s="3" t="n"/>
      <c r="CK260" s="3" t="n"/>
      <c r="CL260" s="3" t="n"/>
      <c r="CM260" s="3" t="n"/>
      <c r="CN260" s="3" t="n"/>
      <c r="CO260" s="3" t="n"/>
      <c r="CP260" s="3" t="n"/>
      <c r="CQ260" s="3" t="n"/>
      <c r="CR260" s="3" t="n"/>
      <c r="CS260" s="3" t="n"/>
      <c r="CT260" s="3" t="n"/>
      <c r="CU260" s="3" t="n"/>
      <c r="CV260" s="3" t="n"/>
      <c r="CW260" s="3" t="n"/>
      <c r="CX260" s="3" t="n"/>
      <c r="CY260" s="3" t="n"/>
    </row>
    <row r="261">
      <c r="C261" s="29" t="inlineStr">
        <is>
          <t>Purchase of fixed assets (capital expenditures)</t>
        </is>
      </c>
      <c r="D261" s="3" t="n"/>
      <c r="E261" s="3">
        <f>-E134</f>
        <v>-68.810393331003</v>
      </c>
      <c r="F261" s="3">
        <f>-F134</f>
        <v>-57.1817254595837</v>
      </c>
      <c r="G261" s="3">
        <f>-G134</f>
        <v>-99.7604620895845</v>
      </c>
      <c r="H261" s="3">
        <f>SUM(D261:G261)</f>
        <v>-225.752580880171</v>
      </c>
      <c r="I261" s="3">
        <f>-I134</f>
        <v>-68.7154970595848</v>
      </c>
      <c r="J261" s="3">
        <f>-J134</f>
        <v>-107.464828354613</v>
      </c>
      <c r="K261" s="3">
        <f>-K134</f>
        <v>-117.133446016772</v>
      </c>
      <c r="L261" s="3">
        <f>-L134</f>
        <v>-201.60404561097</v>
      </c>
      <c r="M261" s="3">
        <f>SUM(I261:L261)</f>
        <v>-494.917817041939</v>
      </c>
      <c r="N261" s="3">
        <f>-N134</f>
        <v>-93.8480479320584</v>
      </c>
      <c r="O261" s="3">
        <f>-O134</f>
        <v>-138.176616030871</v>
      </c>
      <c r="P261" s="3">
        <f>-P134</f>
        <v>-158.764699752647</v>
      </c>
      <c r="Q261" s="3">
        <f>-Q134</f>
        <v>-176.026087902822</v>
      </c>
      <c r="R261" s="3">
        <f>SUM(N261:Q261)</f>
        <v>-566.815451618398</v>
      </c>
      <c r="S261" s="3">
        <f>-S134</f>
        <v>-114.494102777178</v>
      </c>
      <c r="T261" s="3">
        <f>-T134</f>
        <v>-608.29509224</v>
      </c>
      <c r="U261" s="3">
        <f>-U134</f>
        <v>-186.044</v>
      </c>
      <c r="V261" s="3">
        <f>-V134</f>
        <v>-189.154</v>
      </c>
      <c r="W261" s="3">
        <f>SUM(S261:V261)</f>
        <v>-1097.98719501718</v>
      </c>
      <c r="X261" s="3">
        <f>-X134</f>
        <v>-167.75</v>
      </c>
      <c r="Y261" s="3">
        <f>-Y134</f>
        <v>-185.308</v>
      </c>
      <c r="Z261" s="3">
        <f>-Z134</f>
        <v>-211</v>
      </c>
      <c r="AA261" s="3">
        <f>-AA134</f>
        <v>-242.498</v>
      </c>
      <c r="AB261" s="3">
        <f>SUM(X261:AA261)</f>
        <v>-806.556</v>
      </c>
      <c r="AC261" s="3">
        <f>-AC134</f>
        <v>-185.44163</v>
      </c>
      <c r="AD261" s="3">
        <f>-AD134</f>
        <v>-212.396447</v>
      </c>
      <c r="AE261" s="3">
        <f>-AE134</f>
        <v>-235.46499664</v>
      </c>
      <c r="AF261" s="3">
        <f>-AF134</f>
        <v>-271.19785589</v>
      </c>
      <c r="AG261" s="3">
        <f>SUM(AC261:AF261)</f>
        <v>-904.50092953</v>
      </c>
      <c r="AH261" s="3">
        <f>-AH134</f>
        <v>0</v>
      </c>
      <c r="AI261" s="3">
        <f>-AI134</f>
        <v>0</v>
      </c>
      <c r="AJ261" s="3">
        <f>-AJ134</f>
        <v>0</v>
      </c>
      <c r="AK261" s="3">
        <f>-AK134</f>
        <v>0</v>
      </c>
      <c r="AL261" s="3">
        <f>SUM(AH261:AK261)</f>
        <v>0</v>
      </c>
      <c r="AM261" s="3">
        <f>-AM134</f>
        <v>0</v>
      </c>
      <c r="AN261" s="3">
        <f>-AN134</f>
        <v>0</v>
      </c>
      <c r="AO261" s="3">
        <f>-AO134</f>
        <v>0</v>
      </c>
      <c r="AP261" s="3">
        <f>-AP134</f>
        <v>0</v>
      </c>
      <c r="AQ261" s="3">
        <f>SUM(AM261:AP261)</f>
        <v>0</v>
      </c>
      <c r="AR261" s="3">
        <f>-AR134</f>
        <v>0</v>
      </c>
      <c r="AS261" s="3">
        <f>-AS134</f>
        <v>0</v>
      </c>
      <c r="AT261" s="3">
        <f>-AT134</f>
        <v>0</v>
      </c>
      <c r="AU261" s="3">
        <f>-AU134</f>
        <v>0</v>
      </c>
      <c r="AV261" s="3">
        <f>SUM(AR261:AU261)</f>
        <v>0</v>
      </c>
      <c r="AW261" s="3">
        <f>-AW134</f>
        <v>0</v>
      </c>
      <c r="AX261" s="3">
        <f>-AX134</f>
        <v>0</v>
      </c>
      <c r="AY261" s="3">
        <f>-AY134</f>
        <v>0</v>
      </c>
      <c r="AZ261" s="3">
        <f>-AZ134</f>
        <v>0</v>
      </c>
      <c r="BA261" s="3">
        <f>SUM(AW261:AZ261)</f>
        <v>0</v>
      </c>
      <c r="BB261" s="3">
        <f>-BB134</f>
        <v>0</v>
      </c>
      <c r="BC261" s="3">
        <f>-BC134</f>
        <v>0</v>
      </c>
      <c r="BD261" s="3">
        <f>-BD134</f>
        <v>0</v>
      </c>
      <c r="BE261" s="3">
        <f>-BE134</f>
        <v>0</v>
      </c>
      <c r="BF261" s="3">
        <f>SUM(BB261:BE261)</f>
        <v>0</v>
      </c>
      <c r="BG261" s="3">
        <f>-BG134</f>
        <v>0</v>
      </c>
      <c r="BH261" s="3">
        <f>-BH134</f>
        <v>0</v>
      </c>
      <c r="BI261" s="3">
        <f>-BI134</f>
        <v>0</v>
      </c>
      <c r="BJ261" s="3">
        <f>-BJ134</f>
        <v>0</v>
      </c>
      <c r="BK261" s="3">
        <f>SUM(BG261:BJ261)</f>
        <v>0</v>
      </c>
      <c r="BL261" s="3">
        <f>-BL134</f>
        <v>0</v>
      </c>
      <c r="BM261" s="3">
        <f>-BM134</f>
        <v>0</v>
      </c>
      <c r="BN261" s="3">
        <f>-BN134</f>
        <v>0</v>
      </c>
      <c r="BO261" s="3">
        <f>-BO134</f>
        <v>0</v>
      </c>
      <c r="BP261" s="3">
        <f>SUM(BL261:BO261)</f>
        <v>0</v>
      </c>
      <c r="BQ261" s="3">
        <f>-BQ134</f>
        <v>0</v>
      </c>
      <c r="BR261" s="3">
        <f>-BR134</f>
        <v>0</v>
      </c>
      <c r="BS261" s="3">
        <f>-BS134</f>
        <v>0</v>
      </c>
      <c r="BT261" s="3">
        <f>-BT134</f>
        <v>0</v>
      </c>
      <c r="BU261" s="3">
        <f>SUM(BQ261:BT261)</f>
        <v>0</v>
      </c>
      <c r="BV261" s="3">
        <f>-BV134</f>
        <v>0</v>
      </c>
      <c r="BW261" s="3">
        <f>-BW134</f>
        <v>0</v>
      </c>
      <c r="BX261" s="3">
        <f>-BX134</f>
        <v>0</v>
      </c>
      <c r="BY261" s="3">
        <f>-BY134</f>
        <v>0</v>
      </c>
      <c r="BZ261" s="3">
        <f>SUM(BV261:BY261)</f>
        <v>0</v>
      </c>
      <c r="CA261" s="3">
        <f>-CA134</f>
        <v>0</v>
      </c>
      <c r="CB261" s="3">
        <f>-CB134</f>
        <v>0</v>
      </c>
      <c r="CC261" s="3">
        <f>-CC134</f>
        <v>0</v>
      </c>
      <c r="CD261" s="3">
        <f>-CD134</f>
        <v>0</v>
      </c>
      <c r="CE261" s="3">
        <f>SUM(CA261:CD261)</f>
        <v>0</v>
      </c>
      <c r="CF261" s="3">
        <f>-CF134</f>
        <v>0</v>
      </c>
      <c r="CG261" s="3">
        <f>-CG134</f>
        <v>0</v>
      </c>
      <c r="CH261" s="3">
        <f>-CH134</f>
        <v>0</v>
      </c>
      <c r="CI261" s="3">
        <f>-CI134</f>
        <v>0</v>
      </c>
      <c r="CJ261" s="3">
        <f>SUM(CF261:CI261)</f>
        <v>0</v>
      </c>
      <c r="CK261" s="3">
        <f>-CK134</f>
        <v>0</v>
      </c>
      <c r="CL261" s="3">
        <f>-CL134</f>
        <v>0</v>
      </c>
      <c r="CM261" s="3">
        <f>-CM134</f>
        <v>0</v>
      </c>
      <c r="CN261" s="3">
        <f>-CN134</f>
        <v>0</v>
      </c>
      <c r="CO261" s="3">
        <f>SUM(CK261:CN261)</f>
        <v>0</v>
      </c>
      <c r="CP261" s="3">
        <f>-CP134</f>
        <v>0</v>
      </c>
      <c r="CQ261" s="3">
        <f>-CQ134</f>
        <v>0</v>
      </c>
      <c r="CR261" s="3">
        <f>-CR134</f>
        <v>0</v>
      </c>
      <c r="CS261" s="3">
        <f>-CS134</f>
        <v>0</v>
      </c>
      <c r="CT261" s="3">
        <f>SUM(CP261:CS261)</f>
        <v>0</v>
      </c>
      <c r="CU261" s="3">
        <f>-CU134</f>
        <v>0</v>
      </c>
      <c r="CV261" s="3">
        <f>-CV134</f>
        <v>0</v>
      </c>
      <c r="CW261" s="3">
        <f>-CW134</f>
        <v>0</v>
      </c>
      <c r="CX261" s="3">
        <f>-CX134</f>
        <v>0</v>
      </c>
      <c r="CY261" s="3">
        <f>SUM(CU261:CX261)</f>
        <v>0</v>
      </c>
    </row>
    <row r="262">
      <c r="C262" s="29" t="inlineStr">
        <is>
          <t>Proceeds from sale of fixed assets</t>
        </is>
      </c>
      <c r="D262" s="3" t="n"/>
      <c r="E262" s="3">
        <f>-E135</f>
        <v>0</v>
      </c>
      <c r="F262" s="3">
        <f>-F135</f>
        <v>0</v>
      </c>
      <c r="G262" s="3">
        <f>-G135</f>
        <v>0</v>
      </c>
      <c r="H262" s="3">
        <f>SUM(D262:G262)</f>
        <v>0</v>
      </c>
      <c r="I262" s="3">
        <f>-I135</f>
        <v>0</v>
      </c>
      <c r="J262" s="3">
        <f>-J135</f>
        <v>0</v>
      </c>
      <c r="K262" s="3">
        <f>-K135</f>
        <v>0</v>
      </c>
      <c r="L262" s="3">
        <f>-L135</f>
        <v>0</v>
      </c>
      <c r="M262" s="3">
        <f>SUM(I262:L262)</f>
        <v>0</v>
      </c>
      <c r="N262" s="3">
        <f>-N135</f>
        <v>0</v>
      </c>
      <c r="O262" s="3">
        <f>-O135</f>
        <v>0</v>
      </c>
      <c r="P262" s="3">
        <f>-P135</f>
        <v>0</v>
      </c>
      <c r="Q262" s="3">
        <f>-Q135</f>
        <v>0</v>
      </c>
      <c r="R262" s="3">
        <f>SUM(N262:Q262)</f>
        <v>0</v>
      </c>
      <c r="S262" s="3">
        <f>-S135</f>
        <v>0</v>
      </c>
      <c r="T262" s="3">
        <f>-T135</f>
        <v>0</v>
      </c>
      <c r="U262" s="3">
        <f>-U135</f>
        <v>0</v>
      </c>
      <c r="V262" s="3">
        <f>-V135</f>
        <v>0</v>
      </c>
      <c r="W262" s="3">
        <f>SUM(S262:V262)</f>
        <v>0</v>
      </c>
      <c r="X262" s="3">
        <f>-X135</f>
        <v>0</v>
      </c>
      <c r="Y262" s="3">
        <f>-Y135</f>
        <v>0</v>
      </c>
      <c r="Z262" s="3">
        <f>-Z135</f>
        <v>0</v>
      </c>
      <c r="AA262" s="3">
        <f>-AA135</f>
        <v>0</v>
      </c>
      <c r="AB262" s="3">
        <f>SUM(X262:AA262)</f>
        <v>0</v>
      </c>
      <c r="AC262" s="3">
        <f>-AC135</f>
        <v>0</v>
      </c>
      <c r="AD262" s="3">
        <f>-AD135</f>
        <v>0</v>
      </c>
      <c r="AE262" s="3">
        <f>-AE135</f>
        <v>0</v>
      </c>
      <c r="AF262" s="3">
        <f>-AF135</f>
        <v>0</v>
      </c>
      <c r="AG262" s="3">
        <f>SUM(AC262:AF262)</f>
        <v>0</v>
      </c>
      <c r="AH262" s="3">
        <f>-AH135</f>
        <v>0</v>
      </c>
      <c r="AI262" s="3">
        <f>-AI135</f>
        <v>0</v>
      </c>
      <c r="AJ262" s="3">
        <f>-AJ135</f>
        <v>0</v>
      </c>
      <c r="AK262" s="3">
        <f>-AK135</f>
        <v>0</v>
      </c>
      <c r="AL262" s="3">
        <f>SUM(AH262:AK262)</f>
        <v>0</v>
      </c>
      <c r="AM262" s="3">
        <f>-AM135</f>
        <v>0</v>
      </c>
      <c r="AN262" s="3">
        <f>-AN135</f>
        <v>0</v>
      </c>
      <c r="AO262" s="3">
        <f>-AO135</f>
        <v>0</v>
      </c>
      <c r="AP262" s="3">
        <f>-AP135</f>
        <v>0</v>
      </c>
      <c r="AQ262" s="3">
        <f>SUM(AM262:AP262)</f>
        <v>0</v>
      </c>
      <c r="AR262" s="3">
        <f>-AR135</f>
        <v>0</v>
      </c>
      <c r="AS262" s="3">
        <f>-AS135</f>
        <v>0</v>
      </c>
      <c r="AT262" s="3">
        <f>-AT135</f>
        <v>0</v>
      </c>
      <c r="AU262" s="3">
        <f>-AU135</f>
        <v>0</v>
      </c>
      <c r="AV262" s="3">
        <f>SUM(AR262:AU262)</f>
        <v>0</v>
      </c>
      <c r="AW262" s="3">
        <f>-AW135</f>
        <v>0</v>
      </c>
      <c r="AX262" s="3">
        <f>-AX135</f>
        <v>0</v>
      </c>
      <c r="AY262" s="3">
        <f>-AY135</f>
        <v>0</v>
      </c>
      <c r="AZ262" s="3">
        <f>-AZ135</f>
        <v>0</v>
      </c>
      <c r="BA262" s="3">
        <f>SUM(AW262:AZ262)</f>
        <v>0</v>
      </c>
      <c r="BB262" s="3">
        <f>-BB135</f>
        <v>0</v>
      </c>
      <c r="BC262" s="3">
        <f>-BC135</f>
        <v>0</v>
      </c>
      <c r="BD262" s="3">
        <f>-BD135</f>
        <v>0</v>
      </c>
      <c r="BE262" s="3">
        <f>-BE135</f>
        <v>0</v>
      </c>
      <c r="BF262" s="3">
        <f>SUM(BB262:BE262)</f>
        <v>0</v>
      </c>
      <c r="BG262" s="3">
        <f>-BG135</f>
        <v>0</v>
      </c>
      <c r="BH262" s="3">
        <f>-BH135</f>
        <v>0</v>
      </c>
      <c r="BI262" s="3">
        <f>-BI135</f>
        <v>0</v>
      </c>
      <c r="BJ262" s="3">
        <f>-BJ135</f>
        <v>0</v>
      </c>
      <c r="BK262" s="3">
        <f>SUM(BG262:BJ262)</f>
        <v>0</v>
      </c>
      <c r="BL262" s="3">
        <f>-BL135</f>
        <v>0</v>
      </c>
      <c r="BM262" s="3">
        <f>-BM135</f>
        <v>0</v>
      </c>
      <c r="BN262" s="3">
        <f>-BN135</f>
        <v>0</v>
      </c>
      <c r="BO262" s="3">
        <f>-BO135</f>
        <v>0</v>
      </c>
      <c r="BP262" s="3">
        <f>SUM(BL262:BO262)</f>
        <v>0</v>
      </c>
      <c r="BQ262" s="3">
        <f>-BQ135</f>
        <v>0</v>
      </c>
      <c r="BR262" s="3">
        <f>-BR135</f>
        <v>0</v>
      </c>
      <c r="BS262" s="3">
        <f>-BS135</f>
        <v>0</v>
      </c>
      <c r="BT262" s="3">
        <f>-BT135</f>
        <v>0</v>
      </c>
      <c r="BU262" s="3">
        <f>SUM(BQ262:BT262)</f>
        <v>0</v>
      </c>
      <c r="BV262" s="3">
        <f>-BV135</f>
        <v>0</v>
      </c>
      <c r="BW262" s="3">
        <f>-BW135</f>
        <v>0</v>
      </c>
      <c r="BX262" s="3">
        <f>-BX135</f>
        <v>0</v>
      </c>
      <c r="BY262" s="3">
        <f>-BY135</f>
        <v>0</v>
      </c>
      <c r="BZ262" s="3">
        <f>SUM(BV262:BY262)</f>
        <v>0</v>
      </c>
      <c r="CA262" s="3">
        <f>-CA135</f>
        <v>0</v>
      </c>
      <c r="CB262" s="3">
        <f>-CB135</f>
        <v>0</v>
      </c>
      <c r="CC262" s="3">
        <f>-CC135</f>
        <v>0</v>
      </c>
      <c r="CD262" s="3">
        <f>-CD135</f>
        <v>0</v>
      </c>
      <c r="CE262" s="3">
        <f>SUM(CA262:CD262)</f>
        <v>0</v>
      </c>
      <c r="CF262" s="3">
        <f>-CF135</f>
        <v>0</v>
      </c>
      <c r="CG262" s="3">
        <f>-CG135</f>
        <v>0</v>
      </c>
      <c r="CH262" s="3">
        <f>-CH135</f>
        <v>0</v>
      </c>
      <c r="CI262" s="3">
        <f>-CI135</f>
        <v>0</v>
      </c>
      <c r="CJ262" s="3">
        <f>SUM(CF262:CI262)</f>
        <v>0</v>
      </c>
      <c r="CK262" s="3">
        <f>-CK135</f>
        <v>0</v>
      </c>
      <c r="CL262" s="3">
        <f>-CL135</f>
        <v>0</v>
      </c>
      <c r="CM262" s="3">
        <f>-CM135</f>
        <v>0</v>
      </c>
      <c r="CN262" s="3">
        <f>-CN135</f>
        <v>0</v>
      </c>
      <c r="CO262" s="3">
        <f>SUM(CK262:CN262)</f>
        <v>0</v>
      </c>
      <c r="CP262" s="3">
        <f>-CP135</f>
        <v>0</v>
      </c>
      <c r="CQ262" s="3">
        <f>-CQ135</f>
        <v>0</v>
      </c>
      <c r="CR262" s="3">
        <f>-CR135</f>
        <v>0</v>
      </c>
      <c r="CS262" s="3">
        <f>-CS135</f>
        <v>0</v>
      </c>
      <c r="CT262" s="3">
        <f>SUM(CP262:CS262)</f>
        <v>0</v>
      </c>
      <c r="CU262" s="3">
        <f>-CU135</f>
        <v>0</v>
      </c>
      <c r="CV262" s="3">
        <f>-CV135</f>
        <v>0</v>
      </c>
      <c r="CW262" s="3">
        <f>-CW135</f>
        <v>0</v>
      </c>
      <c r="CX262" s="3">
        <f>-CX135</f>
        <v>0</v>
      </c>
      <c r="CY262" s="3">
        <f>SUM(CU262:CX262)</f>
        <v>0</v>
      </c>
    </row>
    <row r="263">
      <c r="C263" s="29" t="inlineStr">
        <is>
          <t>Var.Right-of-use-assets</t>
        </is>
      </c>
      <c r="D263" s="3" t="n"/>
      <c r="E263" s="3">
        <f>(E142-D142)*-1</f>
        <v>29.6307490500001</v>
      </c>
      <c r="F263" s="3">
        <f>(F142-E142)*-1</f>
        <v>21.41289777</v>
      </c>
      <c r="G263" s="3">
        <f>(G142-F142)*-1</f>
        <v>9.37576505999994</v>
      </c>
      <c r="H263" s="3">
        <f>SUM(D263:G263)</f>
        <v>60.41941188</v>
      </c>
      <c r="I263" s="3">
        <f>(I142-H142)*-1</f>
        <v>29.7287814200001</v>
      </c>
      <c r="J263" s="3">
        <f>(J142-I142)*-1</f>
        <v>17.60248814</v>
      </c>
      <c r="K263" s="3">
        <f>(K142-J142)*-1</f>
        <v>-8.62285755000005</v>
      </c>
      <c r="L263" s="3">
        <f>(L142-K142)*-1</f>
        <v>-59.5418803</v>
      </c>
      <c r="M263" s="3">
        <f>SUM(I263:L263)</f>
        <v>-20.8334682899999</v>
      </c>
      <c r="N263" s="3">
        <f>(N142-M142)*-1</f>
        <v>-42.3617439699999</v>
      </c>
      <c r="O263" s="3">
        <f>(O142-N142)*-1</f>
        <v>-26.0578880200002</v>
      </c>
      <c r="P263" s="3">
        <f>(P142-O142)*-1</f>
        <v>18.9843120300001</v>
      </c>
      <c r="Q263" s="3">
        <f>(Q142-P142)*-1</f>
        <v>-222.07653813</v>
      </c>
      <c r="R263" s="3">
        <f>SUM(N263:Q263)</f>
        <v>-271.51185809</v>
      </c>
      <c r="S263" s="3">
        <f>(S142-R142)*-1</f>
        <v>-4.24643388000015</v>
      </c>
      <c r="T263" s="3">
        <f>(T142-S142)*-1</f>
        <v>-305.88989469</v>
      </c>
      <c r="U263" s="3">
        <f>(U142-T142)*-1</f>
        <v>35.9259999999999</v>
      </c>
      <c r="V263" s="3">
        <f>(V142-U142)*-1</f>
        <v>1.40200000000004</v>
      </c>
      <c r="W263" s="3">
        <f>SUM(S263:V263)</f>
        <v>-272.80832857</v>
      </c>
      <c r="X263" s="3">
        <f>(X142-W142)*-1</f>
        <v>45.3920000000001</v>
      </c>
      <c r="Y263" s="3">
        <f>(Y142-X142)*-1</f>
        <v>47.5940000000001</v>
      </c>
      <c r="Z263" s="3">
        <f>(Z142-Y142)*-1</f>
        <v>42.703</v>
      </c>
      <c r="AA263" s="3">
        <f>(AA142-Z142)*-1</f>
        <v>20.7629999999999</v>
      </c>
      <c r="AB263" s="3">
        <f>SUM(X263:AA263)</f>
        <v>156.452</v>
      </c>
      <c r="AC263" s="3">
        <f>(AC142-AB142)*-1</f>
        <v>-1.83224700000005</v>
      </c>
      <c r="AD263" s="3">
        <f>(AD142-AC142)*-1</f>
        <v>43.6282470000001</v>
      </c>
      <c r="AE263" s="3">
        <f>(AE142-AD142)*-1</f>
        <v>-7.49700000000007</v>
      </c>
      <c r="AF263" s="3">
        <f>(AF142-AE142)*-1</f>
        <v>5.75299999999993</v>
      </c>
      <c r="AG263" s="3">
        <f>SUM(AC263:AF263)</f>
        <v>40.0519999999999</v>
      </c>
      <c r="AH263" s="3">
        <f>(AH142-AG142)*-1</f>
        <v>0</v>
      </c>
      <c r="AI263" s="3">
        <f>(AI142-AH142)*-1</f>
        <v>0</v>
      </c>
      <c r="AJ263" s="3">
        <f>(AJ142-AI142)*-1</f>
        <v>0</v>
      </c>
      <c r="AK263" s="3">
        <f>(AK142-AJ142)*-1</f>
        <v>0</v>
      </c>
      <c r="AL263" s="3">
        <f>SUM(AH263:AK263)</f>
        <v>0</v>
      </c>
      <c r="AM263" s="3">
        <f>(AM142-AL142)*-1</f>
        <v>0</v>
      </c>
      <c r="AN263" s="3">
        <f>(AN142-AM142)*-1</f>
        <v>0</v>
      </c>
      <c r="AO263" s="3">
        <f>(AO142-AN142)*-1</f>
        <v>0</v>
      </c>
      <c r="AP263" s="3">
        <f>(AP142-AO142)*-1</f>
        <v>0</v>
      </c>
      <c r="AQ263" s="3">
        <f>SUM(AM263:AP263)</f>
        <v>0</v>
      </c>
      <c r="AR263" s="3">
        <f>(AR142-AQ142)*-1</f>
        <v>0</v>
      </c>
      <c r="AS263" s="3">
        <f>(AS142-AR142)*-1</f>
        <v>0</v>
      </c>
      <c r="AT263" s="3">
        <f>(AT142-AS142)*-1</f>
        <v>0</v>
      </c>
      <c r="AU263" s="3">
        <f>(AU142-AT142)*-1</f>
        <v>0</v>
      </c>
      <c r="AV263" s="3">
        <f>SUM(AR263:AU263)</f>
        <v>0</v>
      </c>
      <c r="AW263" s="3">
        <f>(AW142-AV142)*-1</f>
        <v>0</v>
      </c>
      <c r="AX263" s="3">
        <f>(AX142-AW142)*-1</f>
        <v>0</v>
      </c>
      <c r="AY263" s="3">
        <f>(AY142-AX142)*-1</f>
        <v>0</v>
      </c>
      <c r="AZ263" s="3">
        <f>(AZ142-AY142)*-1</f>
        <v>0</v>
      </c>
      <c r="BA263" s="3">
        <f>SUM(AW263:AZ263)</f>
        <v>0</v>
      </c>
      <c r="BB263" s="3">
        <f>(BB142-BA142)*-1</f>
        <v>0</v>
      </c>
      <c r="BC263" s="3">
        <f>(BC142-BB142)*-1</f>
        <v>0</v>
      </c>
      <c r="BD263" s="3">
        <f>(BD142-BC142)*-1</f>
        <v>0</v>
      </c>
      <c r="BE263" s="3">
        <f>(BE142-BD142)*-1</f>
        <v>0</v>
      </c>
      <c r="BF263" s="3">
        <f>SUM(BB263:BE263)</f>
        <v>0</v>
      </c>
      <c r="BG263" s="3">
        <f>(BG142-BF142)*-1</f>
        <v>0</v>
      </c>
      <c r="BH263" s="3">
        <f>(BH142-BG142)*-1</f>
        <v>0</v>
      </c>
      <c r="BI263" s="3">
        <f>(BI142-BH142)*-1</f>
        <v>0</v>
      </c>
      <c r="BJ263" s="3">
        <f>(BJ142-BI142)*-1</f>
        <v>0</v>
      </c>
      <c r="BK263" s="3">
        <f>SUM(BG263:BJ263)</f>
        <v>0</v>
      </c>
      <c r="BL263" s="3">
        <f>(BL142-BK142)*-1</f>
        <v>0</v>
      </c>
      <c r="BM263" s="3">
        <f>(BM142-BL142)*-1</f>
        <v>0</v>
      </c>
      <c r="BN263" s="3">
        <f>(BN142-BM142)*-1</f>
        <v>0</v>
      </c>
      <c r="BO263" s="3">
        <f>(BO142-BN142)*-1</f>
        <v>0</v>
      </c>
      <c r="BP263" s="3">
        <f>SUM(BL263:BO263)</f>
        <v>0</v>
      </c>
      <c r="BQ263" s="3">
        <f>(BQ142-BP142)*-1</f>
        <v>0</v>
      </c>
      <c r="BR263" s="3">
        <f>(BR142-BQ142)*-1</f>
        <v>0</v>
      </c>
      <c r="BS263" s="3">
        <f>(BS142-BR142)*-1</f>
        <v>0</v>
      </c>
      <c r="BT263" s="3">
        <f>(BT142-BS142)*-1</f>
        <v>0</v>
      </c>
      <c r="BU263" s="3">
        <f>SUM(BQ263:BT263)</f>
        <v>0</v>
      </c>
      <c r="BV263" s="3">
        <f>(BV142-BU142)*-1</f>
        <v>0</v>
      </c>
      <c r="BW263" s="3">
        <f>(BW142-BV142)*-1</f>
        <v>0</v>
      </c>
      <c r="BX263" s="3">
        <f>(BX142-BW142)*-1</f>
        <v>0</v>
      </c>
      <c r="BY263" s="3">
        <f>(BY142-BX142)*-1</f>
        <v>0</v>
      </c>
      <c r="BZ263" s="3">
        <f>SUM(BV263:BY263)</f>
        <v>0</v>
      </c>
      <c r="CA263" s="3">
        <f>(CA142-BZ142)*-1</f>
        <v>0</v>
      </c>
      <c r="CB263" s="3">
        <f>(CB142-CA142)*-1</f>
        <v>0</v>
      </c>
      <c r="CC263" s="3">
        <f>(CC142-CB142)*-1</f>
        <v>0</v>
      </c>
      <c r="CD263" s="3">
        <f>(CD142-CC142)*-1</f>
        <v>0</v>
      </c>
      <c r="CE263" s="3">
        <f>SUM(CA263:CD263)</f>
        <v>0</v>
      </c>
      <c r="CF263" s="3">
        <f>(CF142-CE142)*-1</f>
        <v>0</v>
      </c>
      <c r="CG263" s="3">
        <f>(CG142-CF142)*-1</f>
        <v>0</v>
      </c>
      <c r="CH263" s="3">
        <f>(CH142-CG142)*-1</f>
        <v>0</v>
      </c>
      <c r="CI263" s="3">
        <f>(CI142-CH142)*-1</f>
        <v>0</v>
      </c>
      <c r="CJ263" s="3">
        <f>SUM(CF263:CI263)</f>
        <v>0</v>
      </c>
      <c r="CK263" s="3">
        <f>(CK142-CJ142)*-1</f>
        <v>0</v>
      </c>
      <c r="CL263" s="3">
        <f>(CL142-CK142)*-1</f>
        <v>0</v>
      </c>
      <c r="CM263" s="3">
        <f>(CM142-CL142)*-1</f>
        <v>0</v>
      </c>
      <c r="CN263" s="3">
        <f>(CN142-CM142)*-1</f>
        <v>0</v>
      </c>
      <c r="CO263" s="3">
        <f>SUM(CK263:CN263)</f>
        <v>0</v>
      </c>
      <c r="CP263" s="3">
        <f>(CP142-CO142)*-1</f>
        <v>0</v>
      </c>
      <c r="CQ263" s="3">
        <f>(CQ142-CP142)*-1</f>
        <v>0</v>
      </c>
      <c r="CR263" s="3">
        <f>(CR142-CQ142)*-1</f>
        <v>0</v>
      </c>
      <c r="CS263" s="3">
        <f>(CS142-CR142)*-1</f>
        <v>0</v>
      </c>
      <c r="CT263" s="3">
        <f>SUM(CP263:CS263)</f>
        <v>0</v>
      </c>
      <c r="CU263" s="3">
        <f>(CU142-CT142)*-1</f>
        <v>0</v>
      </c>
      <c r="CV263" s="3">
        <f>(CV142-CU142)*-1</f>
        <v>0</v>
      </c>
      <c r="CW263" s="3">
        <f>(CW142-CV142)*-1</f>
        <v>0</v>
      </c>
      <c r="CX263" s="3">
        <f>(CX142-CW142)*-1</f>
        <v>0</v>
      </c>
      <c r="CY263" s="3">
        <f>SUM(CU263:CX263)</f>
        <v>0</v>
      </c>
      <c r="CZ263" s="3" t="n"/>
      <c r="DA263" s="3" t="n"/>
      <c r="DB263" s="3" t="n"/>
      <c r="DC263" s="3" t="n"/>
    </row>
    <row r="264">
      <c r="C264" s="29" t="inlineStr">
        <is>
          <t>Purchases of intangible assets</t>
        </is>
      </c>
      <c r="D264" s="3" t="n"/>
      <c r="E264" s="3">
        <f>((E146-D146)*-1)+((E145-D145)*-1)</f>
        <v>1.6121085893717</v>
      </c>
      <c r="F264" s="3">
        <f>((F146-E146)*-1)+((F145-E145)*-1)</f>
        <v>-1.91732596499878</v>
      </c>
      <c r="G264" s="3">
        <f>((G146-F146)*-1)+((G145-F145)*-1)</f>
        <v>-12.2556373650002</v>
      </c>
      <c r="H264" s="3">
        <f>SUM(D264:G264)</f>
        <v>-12.5608547406273</v>
      </c>
      <c r="I264" s="3">
        <f>((I146-H146)*-1)+((I145-H145)*-1)</f>
        <v>-0.873697054999866</v>
      </c>
      <c r="J264" s="3">
        <f>((J146-I146)*-1)+((J145-I145)*-1)</f>
        <v>-158.95772868868</v>
      </c>
      <c r="K264" s="3">
        <f>((K146-J146)*-1)+((K145-J145)*-1)</f>
        <v>-107.35268642133</v>
      </c>
      <c r="L264" s="3">
        <f>((L146-K146)*-1)+((L145-K145)*-1)</f>
        <v>-288.81699698576</v>
      </c>
      <c r="M264" s="3">
        <f>SUM(I264:L264)</f>
        <v>-556.001109150769</v>
      </c>
      <c r="N264" s="3">
        <f>((N146-M146)*-1)+((N145-M145)*-1)</f>
        <v>-30.9003449201769</v>
      </c>
      <c r="O264" s="3">
        <f>((O146-N146)*-1)+((O145-N145)*-1)</f>
        <v>-403.832285332093</v>
      </c>
      <c r="P264" s="3">
        <f>((P146-O146)*-1)+((P145-O145)*-1)</f>
        <v>7.60187658033283</v>
      </c>
      <c r="Q264" s="3">
        <f>((Q146-P146)*-1)+((Q145-P145)*-1)</f>
        <v>-146.186260618085</v>
      </c>
      <c r="R264" s="3">
        <f>SUM(N264:Q264)</f>
        <v>-573.317014290022</v>
      </c>
      <c r="S264" s="3">
        <f>((S146-R146)*-1)+((S145-R145)*-1)</f>
        <v>12.7009949380854</v>
      </c>
      <c r="T264" s="3">
        <f>((T146-S146)*-1)+((T145-S145)*-1)</f>
        <v>-2620.89587367</v>
      </c>
      <c r="U264" s="3">
        <f>((U146-T146)*-1)+((U145-T145)*-1)</f>
        <v>24.0659999999998</v>
      </c>
      <c r="V264" s="3">
        <f>((V146-U146)*-1)+((V145-U145)*-1)</f>
        <v>-63.451</v>
      </c>
      <c r="W264" s="3">
        <f>SUM(S264:V264)</f>
        <v>-2647.57987873192</v>
      </c>
      <c r="X264" s="3">
        <f>((X146-W146)*-1)+((X145-W145)*-1)</f>
        <v>18.5860000000002</v>
      </c>
      <c r="Y264" s="3">
        <f>((Y146-X146)*-1)+((Y145-X145)*-1)</f>
        <v>5.63699999999972</v>
      </c>
      <c r="Z264" s="3">
        <f>((Z146-Y146)*-1)+((Z145-Y145)*-1)</f>
        <v>-47.0199999999995</v>
      </c>
      <c r="AA264" s="3">
        <f>((AA146-Z146)*-1)+((AA145-Z145)*-1)</f>
        <v>-33.2290000000003</v>
      </c>
      <c r="AB264" s="3">
        <f>SUM(X264:AA264)</f>
        <v>-56.0259999999998</v>
      </c>
      <c r="AC264" s="3">
        <f>((AC146-AB146)*-1)+((AC145-AB145)*-1)</f>
        <v>43.6677130000007</v>
      </c>
      <c r="AD264" s="3">
        <f>((AD146-AC146)*-1)+((AD145-AC145)*-1)</f>
        <v>-5.51571300000069</v>
      </c>
      <c r="AE264" s="3">
        <f>((AE146-AD146)*-1)+((AE145-AD145)*-1)</f>
        <v>-131.867</v>
      </c>
      <c r="AF264" s="3">
        <f>((AF146-AE146)*-1)+((AF145-AE145)*-1)</f>
        <v>-22.3899999999994</v>
      </c>
      <c r="AG264" s="3">
        <f>SUM(AC264:AF264)</f>
        <v>-116.105</v>
      </c>
      <c r="AH264" s="3">
        <f>((AH146-AG146)*-1)+((AH145-AG145)*-1)</f>
        <v>0</v>
      </c>
      <c r="AI264" s="3">
        <f>((AI146-AH146)*-1)+((AI145-AH145)*-1)</f>
        <v>5979.637</v>
      </c>
      <c r="AJ264" s="3">
        <f>((AJ146-AI146)*-1)+((AJ145-AI145)*-1)</f>
        <v>0</v>
      </c>
      <c r="AK264" s="3">
        <f>((AK146-AJ146)*-1)+((AK145-AJ145)*-1)</f>
        <v>0</v>
      </c>
      <c r="AL264" s="3">
        <f>SUM(AH264:AK264)</f>
        <v>5979.637</v>
      </c>
      <c r="AM264" s="3">
        <f>((AM146-AL146)*-1)+((AM145-AL145)*-1)</f>
        <v>0</v>
      </c>
      <c r="AN264" s="3">
        <f>((AN146-AM146)*-1)+((AN145-AM145)*-1)</f>
        <v>0</v>
      </c>
      <c r="AO264" s="3">
        <f>((AO146-AN146)*-1)+((AO145-AN145)*-1)</f>
        <v>0</v>
      </c>
      <c r="AP264" s="3">
        <f>((AP146-AO146)*-1)+((AP145-AO145)*-1)</f>
        <v>0</v>
      </c>
      <c r="AQ264" s="3">
        <f>SUM(AM264:AP264)</f>
        <v>0</v>
      </c>
      <c r="AR264" s="3">
        <f>((AR146-AQ146)*-1)+((AR145-AQ145)*-1)</f>
        <v>0</v>
      </c>
      <c r="AS264" s="3">
        <f>((AS146-AR146)*-1)+((AS145-AR145)*-1)</f>
        <v>0</v>
      </c>
      <c r="AT264" s="3">
        <f>((AT146-AS146)*-1)+((AT145-AS145)*-1)</f>
        <v>0</v>
      </c>
      <c r="AU264" s="3">
        <f>((AU146-AT146)*-1)+((AU145-AT145)*-1)</f>
        <v>0</v>
      </c>
      <c r="AV264" s="3">
        <f>SUM(AR264:AU264)</f>
        <v>0</v>
      </c>
      <c r="AW264" s="3">
        <f>((AW146-AV146)*-1)+((AW145-AV145)*-1)</f>
        <v>0</v>
      </c>
      <c r="AX264" s="3">
        <f>((AX146-AW146)*-1)+((AX145-AW145)*-1)</f>
        <v>0</v>
      </c>
      <c r="AY264" s="3">
        <f>((AY146-AX146)*-1)+((AY145-AX145)*-1)</f>
        <v>0</v>
      </c>
      <c r="AZ264" s="3">
        <f>((AZ146-AY146)*-1)+((AZ145-AY145)*-1)</f>
        <v>0</v>
      </c>
      <c r="BA264" s="3">
        <f>SUM(AW264:AZ264)</f>
        <v>0</v>
      </c>
      <c r="BB264" s="3">
        <f>((BB146-BA146)*-1)+((BB145-BA145)*-1)</f>
        <v>0</v>
      </c>
      <c r="BC264" s="3">
        <f>((BC146-BB146)*-1)+((BC145-BB145)*-1)</f>
        <v>0</v>
      </c>
      <c r="BD264" s="3">
        <f>((BD146-BC146)*-1)+((BD145-BC145)*-1)</f>
        <v>0</v>
      </c>
      <c r="BE264" s="3">
        <f>((BE146-BD146)*-1)+((BE145-BD145)*-1)</f>
        <v>0</v>
      </c>
      <c r="BF264" s="3">
        <f>SUM(BB264:BE264)</f>
        <v>0</v>
      </c>
      <c r="BG264" s="3">
        <f>((BG146-BF146)*-1)+((BG145-BF145)*-1)</f>
        <v>0</v>
      </c>
      <c r="BH264" s="3">
        <f>((BH146-BG146)*-1)+((BH145-BG145)*-1)</f>
        <v>0</v>
      </c>
      <c r="BI264" s="3">
        <f>((BI146-BH146)*-1)+((BI145-BH145)*-1)</f>
        <v>0</v>
      </c>
      <c r="BJ264" s="3">
        <f>((BJ146-BI146)*-1)+((BJ145-BI145)*-1)</f>
        <v>0</v>
      </c>
      <c r="BK264" s="3">
        <f>SUM(BG264:BJ264)</f>
        <v>0</v>
      </c>
      <c r="BL264" s="3">
        <f>((BL146-BK146)*-1)+((BL145-BK145)*-1)</f>
        <v>0</v>
      </c>
      <c r="BM264" s="3">
        <f>((BM146-BL146)*-1)+((BM145-BL145)*-1)</f>
        <v>0</v>
      </c>
      <c r="BN264" s="3">
        <f>((BN146-BM146)*-1)+((BN145-BM145)*-1)</f>
        <v>0</v>
      </c>
      <c r="BO264" s="3">
        <f>((BO146-BN146)*-1)+((BO145-BN145)*-1)</f>
        <v>0</v>
      </c>
      <c r="BP264" s="3">
        <f>SUM(BL264:BO264)</f>
        <v>0</v>
      </c>
      <c r="BQ264" s="3">
        <f>((BQ146-BP146)*-1)+((BQ145-BP145)*-1)</f>
        <v>0</v>
      </c>
      <c r="BR264" s="3">
        <f>((BR146-BQ146)*-1)+((BR145-BQ145)*-1)</f>
        <v>0</v>
      </c>
      <c r="BS264" s="3">
        <f>((BS146-BR146)*-1)+((BS145-BR145)*-1)</f>
        <v>0</v>
      </c>
      <c r="BT264" s="3">
        <f>((BT146-BS146)*-1)+((BT145-BS145)*-1)</f>
        <v>0</v>
      </c>
      <c r="BU264" s="3">
        <f>SUM(BQ264:BT264)</f>
        <v>0</v>
      </c>
      <c r="BV264" s="3">
        <f>((BV146-BU146)*-1)+((BV145-BU145)*-1)</f>
        <v>0</v>
      </c>
      <c r="BW264" s="3">
        <f>((BW146-BV146)*-1)+((BW145-BV145)*-1)</f>
        <v>0</v>
      </c>
      <c r="BX264" s="3">
        <f>((BX146-BW146)*-1)+((BX145-BW145)*-1)</f>
        <v>0</v>
      </c>
      <c r="BY264" s="3">
        <f>((BY146-BX146)*-1)+((BY145-BX145)*-1)</f>
        <v>0</v>
      </c>
      <c r="BZ264" s="3">
        <f>SUM(BV264:BY264)</f>
        <v>0</v>
      </c>
      <c r="CA264" s="3">
        <f>((CA146-BZ146)*-1)+((CA145-BZ145)*-1)</f>
        <v>0</v>
      </c>
      <c r="CB264" s="3">
        <f>((CB146-CA146)*-1)+((CB145-CA145)*-1)</f>
        <v>0</v>
      </c>
      <c r="CC264" s="3">
        <f>((CC146-CB146)*-1)+((CC145-CB145)*-1)</f>
        <v>0</v>
      </c>
      <c r="CD264" s="3">
        <f>((CD146-CC146)*-1)+((CD145-CC145)*-1)</f>
        <v>0</v>
      </c>
      <c r="CE264" s="3">
        <f>SUM(CA264:CD264)</f>
        <v>0</v>
      </c>
      <c r="CF264" s="3">
        <f>((CF146-CE146)*-1)+((CF145-CE145)*-1)</f>
        <v>0</v>
      </c>
      <c r="CG264" s="3">
        <f>((CG146-CF146)*-1)+((CG145-CF145)*-1)</f>
        <v>0</v>
      </c>
      <c r="CH264" s="3">
        <f>((CH146-CG146)*-1)+((CH145-CG145)*-1)</f>
        <v>0</v>
      </c>
      <c r="CI264" s="3">
        <f>((CI146-CH146)*-1)+((CI145-CH145)*-1)</f>
        <v>0</v>
      </c>
      <c r="CJ264" s="3">
        <f>SUM(CF264:CI264)</f>
        <v>0</v>
      </c>
      <c r="CK264" s="3">
        <f>((CK146-CJ146)*-1)+((CK145-CJ145)*-1)</f>
        <v>0</v>
      </c>
      <c r="CL264" s="3">
        <f>((CL146-CK146)*-1)+((CL145-CK145)*-1)</f>
        <v>0</v>
      </c>
      <c r="CM264" s="3">
        <f>((CM146-CL146)*-1)+((CM145-CL145)*-1)</f>
        <v>0</v>
      </c>
      <c r="CN264" s="3">
        <f>((CN146-CM146)*-1)+((CN145-CM145)*-1)</f>
        <v>0</v>
      </c>
      <c r="CO264" s="3">
        <f>SUM(CK264:CN264)</f>
        <v>0</v>
      </c>
      <c r="CP264" s="3">
        <f>((CP146-CO146)*-1)+((CP145-CO145)*-1)</f>
        <v>0</v>
      </c>
      <c r="CQ264" s="3">
        <f>((CQ146-CP146)*-1)+((CQ145-CP145)*-1)</f>
        <v>0</v>
      </c>
      <c r="CR264" s="3">
        <f>((CR146-CQ146)*-1)+((CR145-CQ145)*-1)</f>
        <v>0</v>
      </c>
      <c r="CS264" s="3">
        <f>((CS146-CR146)*-1)+((CS145-CR145)*-1)</f>
        <v>0</v>
      </c>
      <c r="CT264" s="3">
        <f>SUM(CP264:CS264)</f>
        <v>0</v>
      </c>
      <c r="CU264" s="3">
        <f>((CU146-CT146)*-1)+((CU145-CT145)*-1)</f>
        <v>0</v>
      </c>
      <c r="CV264" s="3">
        <f>((CV146-CU146)*-1)+((CV145-CU145)*-1)</f>
        <v>0</v>
      </c>
      <c r="CW264" s="3">
        <f>((CW146-CV146)*-1)+((CW145-CV145)*-1)</f>
        <v>0</v>
      </c>
      <c r="CX264" s="3">
        <f>((CX146-CW146)*-1)+((CX145-CW145)*-1)</f>
        <v>0</v>
      </c>
      <c r="CY264" s="3">
        <f>SUM(CU264:CX264)</f>
        <v>0</v>
      </c>
      <c r="CZ264" s="3" t="n"/>
      <c r="DA264" s="3" t="n"/>
      <c r="DB264" s="3" t="n"/>
      <c r="DC264" s="3" t="n"/>
    </row>
    <row r="265">
      <c r="C265" s="30" t="inlineStr">
        <is>
          <t>Purchases/Proceeds from other long-term assets</t>
        </is>
      </c>
      <c r="D265" s="3" t="n"/>
      <c r="E265" s="3">
        <f>((E155-D155)*-1)+(E206-D206)</f>
        <v>-12.89413395</v>
      </c>
      <c r="F265" s="3">
        <f>((F155-E155)*-1)+(F206-E206)</f>
        <v>-2.03723399999998</v>
      </c>
      <c r="G265" s="3">
        <f>((G155-F155)*-1)+(G206-F206)</f>
        <v>13.51785005</v>
      </c>
      <c r="H265" s="3">
        <f>SUM(D265:G265)</f>
        <v>-1.41351789999997</v>
      </c>
      <c r="I265" s="3">
        <f>((I155-H155)*-1)+(I206-H206)</f>
        <v>-8.65966783000006</v>
      </c>
      <c r="J265" s="3">
        <f>((J155-I155)*-1)+(J206-I206)</f>
        <v>29.26596887</v>
      </c>
      <c r="K265" s="3">
        <f>((K155-J155)*-1)+(K206-J206)</f>
        <v>20.45866318</v>
      </c>
      <c r="L265" s="3">
        <f>((L155-K155)*-1)+(L206-K206)</f>
        <v>-4.69842723999999</v>
      </c>
      <c r="M265" s="3">
        <f>SUM(I265:L265)</f>
        <v>36.36653698</v>
      </c>
      <c r="N265" s="3">
        <f>((N155-M155)*-1)+(N206-M206)</f>
        <v>-7.99323039000001</v>
      </c>
      <c r="O265" s="3">
        <f>((O155-N155)*-1)+(O206-N206)</f>
        <v>55.5698187</v>
      </c>
      <c r="P265" s="3">
        <f>((P155-O155)*-1)+(P206-O206)</f>
        <v>-7.41907732000002</v>
      </c>
      <c r="Q265" s="3">
        <f>((Q155-P155)*-1)+(Q206-P206)</f>
        <v>74.6096937</v>
      </c>
      <c r="R265" s="3">
        <f>SUM(N265:Q265)</f>
        <v>114.76720469</v>
      </c>
      <c r="S265" s="3">
        <f>((S155-R155)*-1)+(S206-R206)</f>
        <v>-25.83837859</v>
      </c>
      <c r="T265" s="3">
        <f>((T155-S155)*-1)+(T206-S206)</f>
        <v>153.95357277</v>
      </c>
      <c r="U265" s="3">
        <f>((U155-T155)*-1)+(U206-T206)</f>
        <v>51.863</v>
      </c>
      <c r="V265" s="3">
        <f>((V155-U155)*-1)+(V206-U206)</f>
        <v>46.152</v>
      </c>
      <c r="W265" s="3">
        <f>SUM(S265:V265)</f>
        <v>226.13019418</v>
      </c>
      <c r="X265" s="3">
        <f>((X155-W155)*-1)+(X206-W206)</f>
        <v>-45.1004187299999</v>
      </c>
      <c r="Y265" s="3">
        <f>((Y155-X155)*-1)+(Y206-X206)</f>
        <v>-11.8175812700001</v>
      </c>
      <c r="Z265" s="3">
        <f>((Z155-Y155)*-1)+(Z206-Y206)</f>
        <v>2.93200000000005</v>
      </c>
      <c r="AA265" s="3">
        <f>((AA155-Z155)*-1)+(AA206-Z206)</f>
        <v>-34.6660000000001</v>
      </c>
      <c r="AB265" s="3">
        <f>SUM(X265:AA265)</f>
        <v>-88.652</v>
      </c>
      <c r="AC265" s="3">
        <f>((AC155-AB155)*-1)+(AC206-AB206)</f>
        <v>-6.11432580999997</v>
      </c>
      <c r="AD265" s="3">
        <f>((AD155-AC155)*-1)+(AD206-AC206)</f>
        <v>43.75032581</v>
      </c>
      <c r="AE265" s="3">
        <f>((AE155-AD155)*-1)+(AE206-AD206)</f>
        <v>27.064</v>
      </c>
      <c r="AF265" s="3">
        <f>((AF155-AE155)*-1)+(AF206-AE206)</f>
        <v>53.355</v>
      </c>
      <c r="AG265" s="3">
        <f>SUM(AC265:AF265)</f>
        <v>118.055</v>
      </c>
      <c r="AH265" s="3">
        <f>((AH155-AG155)*-1)+(AH206-AG206)</f>
        <v>0</v>
      </c>
      <c r="AI265" s="3">
        <f>((AI155-AH155)*-1)+(AI206-AH206)</f>
        <v>0</v>
      </c>
      <c r="AJ265" s="3">
        <f>((AJ155-AI155)*-1)+(AJ206-AI206)</f>
        <v>0</v>
      </c>
      <c r="AK265" s="3">
        <f>((AK155-AJ155)*-1)+(AK206-AJ206)</f>
        <v>0</v>
      </c>
      <c r="AL265" s="3">
        <f>SUM(AH265:AK265)</f>
        <v>0</v>
      </c>
      <c r="AM265" s="3">
        <f>((AM155-AL155)*-1)+(AM206-AL206)</f>
        <v>0</v>
      </c>
      <c r="AN265" s="3">
        <f>((AN155-AM155)*-1)+(AN206-AM206)</f>
        <v>0</v>
      </c>
      <c r="AO265" s="3">
        <f>((AO155-AN155)*-1)+(AO206-AN206)</f>
        <v>0</v>
      </c>
      <c r="AP265" s="3">
        <f>((AP155-AO155)*-1)+(AP206-AO206)</f>
        <v>0</v>
      </c>
      <c r="AQ265" s="3">
        <f>SUM(AM265:AP265)</f>
        <v>0</v>
      </c>
      <c r="AR265" s="3">
        <f>((AR155-AQ155)*-1)+(AR206-AQ206)</f>
        <v>0</v>
      </c>
      <c r="AS265" s="3">
        <f>((AS155-AR155)*-1)+(AS206-AR206)</f>
        <v>0</v>
      </c>
      <c r="AT265" s="3">
        <f>((AT155-AS155)*-1)+(AT206-AS206)</f>
        <v>0</v>
      </c>
      <c r="AU265" s="3">
        <f>((AU155-AT155)*-1)+(AU206-AT206)</f>
        <v>0</v>
      </c>
      <c r="AV265" s="3">
        <f>SUM(AR265:AU265)</f>
        <v>0</v>
      </c>
      <c r="AW265" s="3">
        <f>((AW155-AV155)*-1)+(AW206-AV206)</f>
        <v>0</v>
      </c>
      <c r="AX265" s="3">
        <f>((AX155-AW155)*-1)+(AX206-AW206)</f>
        <v>0</v>
      </c>
      <c r="AY265" s="3">
        <f>((AY155-AX155)*-1)+(AY206-AX206)</f>
        <v>0</v>
      </c>
      <c r="AZ265" s="3">
        <f>((AZ155-AY155)*-1)+(AZ206-AY206)</f>
        <v>0</v>
      </c>
      <c r="BA265" s="3">
        <f>SUM(AW265:AZ265)</f>
        <v>0</v>
      </c>
      <c r="BB265" s="3">
        <f>((BB155-BA155)*-1)+(BB206-BA206)</f>
        <v>0</v>
      </c>
      <c r="BC265" s="3">
        <f>((BC155-BB155)*-1)+(BC206-BB206)</f>
        <v>0</v>
      </c>
      <c r="BD265" s="3">
        <f>((BD155-BC155)*-1)+(BD206-BC206)</f>
        <v>0</v>
      </c>
      <c r="BE265" s="3">
        <f>((BE155-BD155)*-1)+(BE206-BD206)</f>
        <v>0</v>
      </c>
      <c r="BF265" s="3">
        <f>SUM(BB265:BE265)</f>
        <v>0</v>
      </c>
      <c r="BG265" s="3">
        <f>((BG155-BF155)*-1)+(BG206-BF206)</f>
        <v>0</v>
      </c>
      <c r="BH265" s="3">
        <f>((BH155-BG155)*-1)+(BH206-BG206)</f>
        <v>0</v>
      </c>
      <c r="BI265" s="3">
        <f>((BI155-BH155)*-1)+(BI206-BH206)</f>
        <v>0</v>
      </c>
      <c r="BJ265" s="3">
        <f>((BJ155-BI155)*-1)+(BJ206-BI206)</f>
        <v>0</v>
      </c>
      <c r="BK265" s="3">
        <f>SUM(BG265:BJ265)</f>
        <v>0</v>
      </c>
      <c r="BL265" s="3">
        <f>((BL155-BK155)*-1)+(BL206-BK206)</f>
        <v>0</v>
      </c>
      <c r="BM265" s="3">
        <f>((BM155-BL155)*-1)+(BM206-BL206)</f>
        <v>0</v>
      </c>
      <c r="BN265" s="3">
        <f>((BN155-BM155)*-1)+(BN206-BM206)</f>
        <v>0</v>
      </c>
      <c r="BO265" s="3">
        <f>((BO155-BN155)*-1)+(BO206-BN206)</f>
        <v>0</v>
      </c>
      <c r="BP265" s="3">
        <f>SUM(BL265:BO265)</f>
        <v>0</v>
      </c>
      <c r="BQ265" s="3">
        <f>((BQ155-BP155)*-1)+(BQ206-BP206)</f>
        <v>0</v>
      </c>
      <c r="BR265" s="3">
        <f>((BR155-BQ155)*-1)+(BR206-BQ206)</f>
        <v>0</v>
      </c>
      <c r="BS265" s="3">
        <f>((BS155-BR155)*-1)+(BS206-BR206)</f>
        <v>0</v>
      </c>
      <c r="BT265" s="3">
        <f>((BT155-BS155)*-1)+(BT206-BS206)</f>
        <v>0</v>
      </c>
      <c r="BU265" s="3">
        <f>SUM(BQ265:BT265)</f>
        <v>0</v>
      </c>
      <c r="BV265" s="3">
        <f>((BV155-BU155)*-1)+(BV206-BU206)</f>
        <v>0</v>
      </c>
      <c r="BW265" s="3">
        <f>((BW155-BV155)*-1)+(BW206-BV206)</f>
        <v>0</v>
      </c>
      <c r="BX265" s="3">
        <f>((BX155-BW155)*-1)+(BX206-BW206)</f>
        <v>0</v>
      </c>
      <c r="BY265" s="3">
        <f>((BY155-BX155)*-1)+(BY206-BX206)</f>
        <v>0</v>
      </c>
      <c r="BZ265" s="3">
        <f>SUM(BV265:BY265)</f>
        <v>0</v>
      </c>
      <c r="CA265" s="3">
        <f>((CA155-BZ155)*-1)+(CA206-BZ206)</f>
        <v>0</v>
      </c>
      <c r="CB265" s="3">
        <f>((CB155-CA155)*-1)+(CB206-CA206)</f>
        <v>0</v>
      </c>
      <c r="CC265" s="3">
        <f>((CC155-CB155)*-1)+(CC206-CB206)</f>
        <v>0</v>
      </c>
      <c r="CD265" s="3">
        <f>((CD155-CC155)*-1)+(CD206-CC206)</f>
        <v>0</v>
      </c>
      <c r="CE265" s="3">
        <f>SUM(CA265:CD265)</f>
        <v>0</v>
      </c>
      <c r="CF265" s="3">
        <f>((CF155-CE155)*-1)+(CF206-CE206)</f>
        <v>0</v>
      </c>
      <c r="CG265" s="3">
        <f>((CG155-CF155)*-1)+(CG206-CF206)</f>
        <v>0</v>
      </c>
      <c r="CH265" s="3">
        <f>((CH155-CG155)*-1)+(CH206-CG206)</f>
        <v>0</v>
      </c>
      <c r="CI265" s="3">
        <f>((CI155-CH155)*-1)+(CI206-CH206)</f>
        <v>0</v>
      </c>
      <c r="CJ265" s="3">
        <f>SUM(CF265:CI265)</f>
        <v>0</v>
      </c>
      <c r="CK265" s="3">
        <f>((CK155-CJ155)*-1)+(CK206-CJ206)</f>
        <v>0</v>
      </c>
      <c r="CL265" s="3">
        <f>((CL155-CK155)*-1)+(CL206-CK206)</f>
        <v>0</v>
      </c>
      <c r="CM265" s="3">
        <f>((CM155-CL155)*-1)+(CM206-CL206)</f>
        <v>0</v>
      </c>
      <c r="CN265" s="3">
        <f>((CN155-CM155)*-1)+(CN206-CM206)</f>
        <v>0</v>
      </c>
      <c r="CO265" s="3">
        <f>SUM(CK265:CN265)</f>
        <v>0</v>
      </c>
      <c r="CP265" s="3">
        <f>((CP155-CO155)*-1)+(CP206-CO206)</f>
        <v>0</v>
      </c>
      <c r="CQ265" s="3">
        <f>((CQ155-CP155)*-1)+(CQ206-CP206)</f>
        <v>0</v>
      </c>
      <c r="CR265" s="3">
        <f>((CR155-CQ155)*-1)+(CR206-CQ206)</f>
        <v>0</v>
      </c>
      <c r="CS265" s="3">
        <f>((CS155-CR155)*-1)+(CS206-CR206)</f>
        <v>0</v>
      </c>
      <c r="CT265" s="3">
        <f>SUM(CP265:CS265)</f>
        <v>0</v>
      </c>
      <c r="CU265" s="3">
        <f>((CU155-CT155)*-1)+(CU206-CT206)</f>
        <v>0</v>
      </c>
      <c r="CV265" s="3">
        <f>((CV155-CU155)*-1)+(CV206-CU206)</f>
        <v>0</v>
      </c>
      <c r="CW265" s="3">
        <f>((CW155-CV155)*-1)+(CW206-CV206)</f>
        <v>0</v>
      </c>
      <c r="CX265" s="3">
        <f>((CX155-CW155)*-1)+(CX206-CW206)</f>
        <v>0</v>
      </c>
      <c r="CY265" s="3">
        <f>SUM(CU265:CX265)</f>
        <v>0</v>
      </c>
    </row>
    <row r="266">
      <c r="C266" s="26" t="inlineStr">
        <is>
          <t>Cash from investing</t>
        </is>
      </c>
      <c r="D266" s="3" t="n"/>
      <c r="E266" s="3">
        <f>SUM(E261,E262,E264,E265,E263)</f>
        <v>-50.4616696416313</v>
      </c>
      <c r="F266" s="3">
        <f>SUM(F261,F262,F264,F265,F263)</f>
        <v>-39.7233876545825</v>
      </c>
      <c r="G266" s="3">
        <f>SUM(G261,G262,G264,G265,G263)</f>
        <v>-89.1224843445848</v>
      </c>
      <c r="H266" s="3">
        <f>SUM(H261,H262,H264,H265)</f>
        <v>-239.726953520799</v>
      </c>
      <c r="I266" s="3">
        <f>SUM(I261,I262,I264,I265,I263)</f>
        <v>-48.5200805245845</v>
      </c>
      <c r="J266" s="3">
        <f>SUM(J261,J262,J264,J265,J263)</f>
        <v>-219.554100033293</v>
      </c>
      <c r="K266" s="3">
        <f>SUM(K261,K262,K264,K265,K263)</f>
        <v>-212.650326808102</v>
      </c>
      <c r="L266" s="3">
        <f>SUM(L261,L262,L264,L265,L263)</f>
        <v>-554.661350136729</v>
      </c>
      <c r="M266" s="3">
        <f>SUM(M261,M262,M264,M265)</f>
        <v>-1014.55238921271</v>
      </c>
      <c r="N266" s="3">
        <f>SUM(N261,N262,N264,N265,N263)</f>
        <v>-175.103367212235</v>
      </c>
      <c r="O266" s="3">
        <f>SUM(O261,O262,O264,O265,O263)</f>
        <v>-512.496970682964</v>
      </c>
      <c r="P266" s="3">
        <f>SUM(P261,P262,P264,P265,P263)</f>
        <v>-139.597588462314</v>
      </c>
      <c r="Q266" s="3">
        <f>SUM(Q261,Q262,Q264,Q265,Q263)</f>
        <v>-469.679192950907</v>
      </c>
      <c r="R266" s="3">
        <f>SUM(R261,R262,R264,R265)</f>
        <v>-1025.36526121842</v>
      </c>
      <c r="S266" s="3">
        <f>SUM(S261,S262,S264,S265,S263)</f>
        <v>-131.877920309093</v>
      </c>
      <c r="T266" s="3">
        <f>SUM(T261,T262,T264,T265,T263)</f>
        <v>-3381.12728783</v>
      </c>
      <c r="U266" s="3">
        <f>SUM(U261,U262,U264,U265,U263)</f>
        <v>-74.1890000000003</v>
      </c>
      <c r="V266" s="3">
        <f>SUM(V261,V262,V264,V265,V263)</f>
        <v>-205.051</v>
      </c>
      <c r="W266" s="3">
        <f>SUM(W261,W262,W264,W265)</f>
        <v>-3519.43687956909</v>
      </c>
      <c r="X266" s="3">
        <f>SUM(X261,X262,X264,X265,X263)</f>
        <v>-148.87241873</v>
      </c>
      <c r="Y266" s="3">
        <f>SUM(Y261,Y262,Y264,Y265,Y263)</f>
        <v>-143.89458127</v>
      </c>
      <c r="Z266" s="3">
        <f>SUM(Z261,Z262,Z264,Z265,Z263)</f>
        <v>-212.385</v>
      </c>
      <c r="AA266" s="3">
        <f>SUM(AA261,AA262,AA264,AA265,AA263)</f>
        <v>-289.63</v>
      </c>
      <c r="AB266" s="3">
        <f>SUM(AB261,AB262,AB264,AB265)</f>
        <v>-951.234</v>
      </c>
      <c r="AC266" s="3">
        <f>SUM(AC261,AC262,AC264,AC265,AC263)</f>
        <v>-149.720489809999</v>
      </c>
      <c r="AD266" s="3">
        <f>SUM(AD261,AD262,AD264,AD265,AD263)</f>
        <v>-130.53358719</v>
      </c>
      <c r="AE266" s="3">
        <f>SUM(AE261,AE262,AE264,AE265,AE263)</f>
        <v>-347.76499664</v>
      </c>
      <c r="AF266" s="3">
        <f>SUM(AF261,AF262,AF264,AF265,AF263)</f>
        <v>-234.47985589</v>
      </c>
      <c r="AG266" s="3">
        <f>SUM(AG261,AG262,AG264,AG265)</f>
        <v>-902.55092953</v>
      </c>
      <c r="AH266" s="3">
        <f>SUM(AH261,AH262,AH264,AH265,AH263)</f>
        <v>0</v>
      </c>
      <c r="AI266" s="3">
        <f>SUM(AI261,AI262,AI264,AI265,AI263)</f>
        <v>5979.637</v>
      </c>
      <c r="AJ266" s="3">
        <f>SUM(AJ261,AJ262,AJ264,AJ265,AJ263)</f>
        <v>0</v>
      </c>
      <c r="AK266" s="3">
        <f>SUM(AK261,AK262,AK264,AK265,AK263)</f>
        <v>0</v>
      </c>
      <c r="AL266" s="3">
        <f>SUM(AL261,AL262,AL264,AL265)</f>
        <v>5979.637</v>
      </c>
      <c r="AM266" s="3">
        <f>SUM(AM261,AM262,AM264,AM265,AM263)</f>
        <v>0</v>
      </c>
      <c r="AN266" s="3">
        <f>SUM(AN261,AN262,AN264,AN265,AN263)</f>
        <v>0</v>
      </c>
      <c r="AO266" s="3">
        <f>SUM(AO261,AO262,AO264,AO265,AO263)</f>
        <v>0</v>
      </c>
      <c r="AP266" s="3">
        <f>SUM(AP261,AP262,AP264,AP265,AP263)</f>
        <v>0</v>
      </c>
      <c r="AQ266" s="3">
        <f>SUM(AQ261,AQ262,AQ264,AQ265)</f>
        <v>0</v>
      </c>
      <c r="AR266" s="3">
        <f>SUM(AR261,AR262,AR264,AR265,AR263)</f>
        <v>0</v>
      </c>
      <c r="AS266" s="3">
        <f>SUM(AS261,AS262,AS264,AS265,AS263)</f>
        <v>0</v>
      </c>
      <c r="AT266" s="3">
        <f>SUM(AT261,AT262,AT264,AT265,AT263)</f>
        <v>0</v>
      </c>
      <c r="AU266" s="3">
        <f>SUM(AU261,AU262,AU264,AU265,AU263)</f>
        <v>0</v>
      </c>
      <c r="AV266" s="3">
        <f>SUM(AV261,AV262,AV264,AV265)</f>
        <v>0</v>
      </c>
      <c r="AW266" s="3">
        <f>SUM(AW261,AW262,AW264,AW265,AW263)</f>
        <v>0</v>
      </c>
      <c r="AX266" s="3">
        <f>SUM(AX261,AX262,AX264,AX265,AX263)</f>
        <v>0</v>
      </c>
      <c r="AY266" s="3">
        <f>SUM(AY261,AY262,AY264,AY265,AY263)</f>
        <v>0</v>
      </c>
      <c r="AZ266" s="3">
        <f>SUM(AZ261,AZ262,AZ264,AZ265,AZ263)</f>
        <v>0</v>
      </c>
      <c r="BA266" s="3">
        <f>SUM(BA261,BA262,BA264,BA265)</f>
        <v>0</v>
      </c>
      <c r="BB266" s="3">
        <f>SUM(BB261,BB262,BB264,BB265,BB263)</f>
        <v>0</v>
      </c>
      <c r="BC266" s="3">
        <f>SUM(BC261,BC262,BC264,BC265,BC263)</f>
        <v>0</v>
      </c>
      <c r="BD266" s="3">
        <f>SUM(BD261,BD262,BD264,BD265,BD263)</f>
        <v>0</v>
      </c>
      <c r="BE266" s="3">
        <f>SUM(BE261,BE262,BE264,BE265,BE263)</f>
        <v>0</v>
      </c>
      <c r="BF266" s="3">
        <f>SUM(BF261,BF262,BF264,BF265)</f>
        <v>0</v>
      </c>
      <c r="BG266" s="3">
        <f>SUM(BG261,BG262,BG264,BG265,BG263)</f>
        <v>0</v>
      </c>
      <c r="BH266" s="3">
        <f>SUM(BH261,BH262,BH264,BH265,BH263)</f>
        <v>0</v>
      </c>
      <c r="BI266" s="3">
        <f>SUM(BI261,BI262,BI264,BI265,BI263)</f>
        <v>0</v>
      </c>
      <c r="BJ266" s="3">
        <f>SUM(BJ261,BJ262,BJ264,BJ265,BJ263)</f>
        <v>0</v>
      </c>
      <c r="BK266" s="3">
        <f>SUM(BK261,BK262,BK264,BK265)</f>
        <v>0</v>
      </c>
      <c r="BL266" s="3">
        <f>SUM(BL261,BL262,BL264,BL265,BL263)</f>
        <v>0</v>
      </c>
      <c r="BM266" s="3">
        <f>SUM(BM261,BM262,BM264,BM265,BM263)</f>
        <v>0</v>
      </c>
      <c r="BN266" s="3">
        <f>SUM(BN261,BN262,BN264,BN265,BN263)</f>
        <v>0</v>
      </c>
      <c r="BO266" s="3">
        <f>SUM(BO261,BO262,BO264,BO265,BO263)</f>
        <v>0</v>
      </c>
      <c r="BP266" s="3">
        <f>SUM(BP261,BP262,BP264,BP265)</f>
        <v>0</v>
      </c>
      <c r="BQ266" s="3">
        <f>SUM(BQ261,BQ262,BQ264,BQ265,BQ263)</f>
        <v>0</v>
      </c>
      <c r="BR266" s="3">
        <f>SUM(BR261,BR262,BR264,BR265,BR263)</f>
        <v>0</v>
      </c>
      <c r="BS266" s="3">
        <f>SUM(BS261,BS262,BS264,BS265,BS263)</f>
        <v>0</v>
      </c>
      <c r="BT266" s="3">
        <f>SUM(BT261,BT262,BT264,BT265,BT263)</f>
        <v>0</v>
      </c>
      <c r="BU266" s="3">
        <f>SUM(BU261,BU262,BU264,BU265)</f>
        <v>0</v>
      </c>
      <c r="BV266" s="3">
        <f>SUM(BV261,BV262,BV264,BV265,BV263)</f>
        <v>0</v>
      </c>
      <c r="BW266" s="3">
        <f>SUM(BW261,BW262,BW264,BW265,BW263)</f>
        <v>0</v>
      </c>
      <c r="BX266" s="3">
        <f>SUM(BX261,BX262,BX264,BX265,BX263)</f>
        <v>0</v>
      </c>
      <c r="BY266" s="3">
        <f>SUM(BY261,BY262,BY264,BY265,BY263)</f>
        <v>0</v>
      </c>
      <c r="BZ266" s="3">
        <f>SUM(BZ261,BZ262,BZ264,BZ265)</f>
        <v>0</v>
      </c>
      <c r="CA266" s="3">
        <f>SUM(CA261,CA262,CA264,CA265,CA263)</f>
        <v>0</v>
      </c>
      <c r="CB266" s="3">
        <f>SUM(CB261,CB262,CB264,CB265,CB263)</f>
        <v>0</v>
      </c>
      <c r="CC266" s="3">
        <f>SUM(CC261,CC262,CC264,CC265,CC263)</f>
        <v>0</v>
      </c>
      <c r="CD266" s="3">
        <f>SUM(CD261,CD262,CD264,CD265,CD263)</f>
        <v>0</v>
      </c>
      <c r="CE266" s="3">
        <f>SUM(CE261,CE262,CE264,CE265)</f>
        <v>0</v>
      </c>
      <c r="CF266" s="3">
        <f>SUM(CF261,CF262,CF264,CF265,CF263)</f>
        <v>0</v>
      </c>
      <c r="CG266" s="3">
        <f>SUM(CG261,CG262,CG264,CG265,CG263)</f>
        <v>0</v>
      </c>
      <c r="CH266" s="3">
        <f>SUM(CH261,CH262,CH264,CH265,CH263)</f>
        <v>0</v>
      </c>
      <c r="CI266" s="3">
        <f>SUM(CI261,CI262,CI264,CI265,CI263)</f>
        <v>0</v>
      </c>
      <c r="CJ266" s="3">
        <f>SUM(CJ261,CJ262,CJ264,CJ265)</f>
        <v>0</v>
      </c>
      <c r="CK266" s="3">
        <f>SUM(CK261,CK262,CK264,CK265,CK263)</f>
        <v>0</v>
      </c>
      <c r="CL266" s="3">
        <f>SUM(CL261,CL262,CL264,CL265,CL263)</f>
        <v>0</v>
      </c>
      <c r="CM266" s="3">
        <f>SUM(CM261,CM262,CM264,CM265,CM263)</f>
        <v>0</v>
      </c>
      <c r="CN266" s="3">
        <f>SUM(CN261,CN262,CN264,CN265,CN263)</f>
        <v>0</v>
      </c>
      <c r="CO266" s="3">
        <f>SUM(CO261,CO262,CO264,CO265)</f>
        <v>0</v>
      </c>
      <c r="CP266" s="3">
        <f>SUM(CP261,CP262,CP264,CP265,CP263)</f>
        <v>0</v>
      </c>
      <c r="CQ266" s="3">
        <f>SUM(CQ261,CQ262,CQ264,CQ265,CQ263)</f>
        <v>0</v>
      </c>
      <c r="CR266" s="3">
        <f>SUM(CR261,CR262,CR264,CR265,CR263)</f>
        <v>0</v>
      </c>
      <c r="CS266" s="3">
        <f>SUM(CS261,CS262,CS264,CS265,CS263)</f>
        <v>0</v>
      </c>
      <c r="CT266" s="3">
        <f>SUM(CT261,CT262,CT264,CT265)</f>
        <v>0</v>
      </c>
      <c r="CU266" s="3">
        <f>SUM(CU261,CU262,CU264,CU265,CU263)</f>
        <v>0</v>
      </c>
      <c r="CV266" s="3">
        <f>SUM(CV261,CV262,CV264,CV265,CV263)</f>
        <v>0</v>
      </c>
      <c r="CW266" s="3">
        <f>SUM(CW261,CW262,CW264,CW265,CW263)</f>
        <v>0</v>
      </c>
      <c r="CX266" s="3">
        <f>SUM(CX261,CX262,CX264,CX265,CX263)</f>
        <v>0</v>
      </c>
      <c r="CY266" s="3">
        <f>SUM(CY261,CY262,CY264,CY265)</f>
        <v>0</v>
      </c>
    </row>
    <row r="267">
      <c r="C267" s="26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  <c r="CU267" s="3" t="n"/>
      <c r="CV267" s="3" t="n"/>
      <c r="CW267" s="3" t="n"/>
      <c r="CX267" s="3" t="n"/>
      <c r="CY267" s="3" t="n"/>
    </row>
    <row r="268">
      <c r="C268" s="26" t="inlineStr">
        <is>
          <t>Convertible preferred stock</t>
        </is>
      </c>
      <c r="D268" s="3" t="n"/>
      <c r="E268" s="3">
        <f>E219-D219</f>
        <v>0</v>
      </c>
      <c r="F268" s="3">
        <f>F219-E219</f>
        <v>0</v>
      </c>
      <c r="G268" s="3">
        <f>G219-F219</f>
        <v>0</v>
      </c>
      <c r="H268" s="3">
        <f>SUM(D268:G268)</f>
        <v>0</v>
      </c>
      <c r="I268" s="3">
        <f>I219-H219</f>
        <v>0</v>
      </c>
      <c r="J268" s="3">
        <f>J219-I219</f>
        <v>0</v>
      </c>
      <c r="K268" s="3">
        <f>K219-J219</f>
        <v>0</v>
      </c>
      <c r="L268" s="3">
        <f>L219-K219</f>
        <v>0</v>
      </c>
      <c r="M268" s="3">
        <f>SUM(I268:L268)</f>
        <v>0</v>
      </c>
      <c r="N268" s="3">
        <f>N219-M219</f>
        <v>0</v>
      </c>
      <c r="O268" s="3">
        <f>O219-N219</f>
        <v>0</v>
      </c>
      <c r="P268" s="3">
        <f>P219-O219</f>
        <v>0</v>
      </c>
      <c r="Q268" s="3">
        <f>Q219-P219</f>
        <v>0</v>
      </c>
      <c r="R268" s="3">
        <f>SUM(N268:Q268)</f>
        <v>0</v>
      </c>
      <c r="S268" s="3">
        <f>S219-R219</f>
        <v>0</v>
      </c>
      <c r="T268" s="3">
        <f>T219-S219</f>
        <v>0</v>
      </c>
      <c r="U268" s="3">
        <f>U219-T219</f>
        <v>0</v>
      </c>
      <c r="V268" s="3">
        <f>V219-U219</f>
        <v>0</v>
      </c>
      <c r="W268" s="3">
        <f>SUM(S268:V268)</f>
        <v>0</v>
      </c>
      <c r="X268" s="3">
        <f>X219-W219</f>
        <v>0</v>
      </c>
      <c r="Y268" s="3">
        <f>Y219-X219</f>
        <v>0</v>
      </c>
      <c r="Z268" s="3">
        <f>Z219-Y219</f>
        <v>0</v>
      </c>
      <c r="AA268" s="3">
        <f>AA219-Z219</f>
        <v>0</v>
      </c>
      <c r="AB268" s="3">
        <f>SUM(X268:AA268)</f>
        <v>0</v>
      </c>
      <c r="AC268" s="3">
        <f>AC219-AB219</f>
        <v>0</v>
      </c>
      <c r="AD268" s="3">
        <f>AD219-AC219</f>
        <v>0</v>
      </c>
      <c r="AE268" s="3">
        <f>AE219-AD219</f>
        <v>0</v>
      </c>
      <c r="AF268" s="3">
        <f>AF219-AE219</f>
        <v>0</v>
      </c>
      <c r="AG268" s="3">
        <f>SUM(AC268:AF268)</f>
        <v>0</v>
      </c>
      <c r="AH268" s="3">
        <f>AH219-AG219</f>
        <v>0</v>
      </c>
      <c r="AI268" s="3">
        <f>AI219-AH219</f>
        <v>0</v>
      </c>
      <c r="AJ268" s="3">
        <f>AJ219-AI219</f>
        <v>0</v>
      </c>
      <c r="AK268" s="3">
        <f>AK219-AJ219</f>
        <v>0</v>
      </c>
      <c r="AL268" s="3">
        <f>SUM(AH268:AK268)</f>
        <v>0</v>
      </c>
      <c r="AM268" s="3">
        <f>AM219-AL219</f>
        <v>0</v>
      </c>
      <c r="AN268" s="3">
        <f>AN219-AM219</f>
        <v>0</v>
      </c>
      <c r="AO268" s="3">
        <f>AO219-AN219</f>
        <v>0</v>
      </c>
      <c r="AP268" s="3">
        <f>AP219-AO219</f>
        <v>0</v>
      </c>
      <c r="AQ268" s="3">
        <f>SUM(AM268:AP268)</f>
        <v>0</v>
      </c>
      <c r="AR268" s="3">
        <f>AR219-AQ219</f>
        <v>0</v>
      </c>
      <c r="AS268" s="3">
        <f>AS219-AR219</f>
        <v>0</v>
      </c>
      <c r="AT268" s="3">
        <f>AT219-AS219</f>
        <v>0</v>
      </c>
      <c r="AU268" s="3">
        <f>AU219-AT219</f>
        <v>0</v>
      </c>
      <c r="AV268" s="3">
        <f>SUM(AR268:AU268)</f>
        <v>0</v>
      </c>
      <c r="AW268" s="3">
        <f>AW219-AV219</f>
        <v>0</v>
      </c>
      <c r="AX268" s="3">
        <f>AX219-AW219</f>
        <v>0</v>
      </c>
      <c r="AY268" s="3">
        <f>AY219-AX219</f>
        <v>0</v>
      </c>
      <c r="AZ268" s="3">
        <f>AZ219-AY219</f>
        <v>0</v>
      </c>
      <c r="BA268" s="3">
        <f>SUM(AW268:AZ268)</f>
        <v>0</v>
      </c>
      <c r="BB268" s="3">
        <f>BB219-BA219</f>
        <v>0</v>
      </c>
      <c r="BC268" s="3">
        <f>BC219-BB219</f>
        <v>0</v>
      </c>
      <c r="BD268" s="3">
        <f>BD219-BC219</f>
        <v>0</v>
      </c>
      <c r="BE268" s="3">
        <f>BE219-BD219</f>
        <v>0</v>
      </c>
      <c r="BF268" s="3">
        <f>SUM(BB268:BE268)</f>
        <v>0</v>
      </c>
      <c r="BG268" s="3">
        <f>BG219-BF219</f>
        <v>0</v>
      </c>
      <c r="BH268" s="3">
        <f>BH219-BG219</f>
        <v>0</v>
      </c>
      <c r="BI268" s="3">
        <f>BI219-BH219</f>
        <v>0</v>
      </c>
      <c r="BJ268" s="3">
        <f>BJ219-BI219</f>
        <v>0</v>
      </c>
      <c r="BK268" s="3">
        <f>SUM(BG268:BJ268)</f>
        <v>0</v>
      </c>
      <c r="BL268" s="3">
        <f>BL219-BK219</f>
        <v>0</v>
      </c>
      <c r="BM268" s="3">
        <f>BM219-BL219</f>
        <v>0</v>
      </c>
      <c r="BN268" s="3">
        <f>BN219-BM219</f>
        <v>0</v>
      </c>
      <c r="BO268" s="3">
        <f>BO219-BN219</f>
        <v>0</v>
      </c>
      <c r="BP268" s="3">
        <f>SUM(BL268:BO268)</f>
        <v>0</v>
      </c>
      <c r="BQ268" s="3">
        <f>BQ219-BP219</f>
        <v>0</v>
      </c>
      <c r="BR268" s="3">
        <f>BR219-BQ219</f>
        <v>0</v>
      </c>
      <c r="BS268" s="3">
        <f>BS219-BR219</f>
        <v>0</v>
      </c>
      <c r="BT268" s="3">
        <f>BT219-BS219</f>
        <v>0</v>
      </c>
      <c r="BU268" s="3">
        <f>SUM(BQ268:BT268)</f>
        <v>0</v>
      </c>
      <c r="BV268" s="3">
        <f>BV219-BU219</f>
        <v>0</v>
      </c>
      <c r="BW268" s="3">
        <f>BW219-BV219</f>
        <v>0</v>
      </c>
      <c r="BX268" s="3">
        <f>BX219-BW219</f>
        <v>0</v>
      </c>
      <c r="BY268" s="3">
        <f>BY219-BX219</f>
        <v>0</v>
      </c>
      <c r="BZ268" s="3">
        <f>SUM(BV268:BY268)</f>
        <v>0</v>
      </c>
      <c r="CA268" s="3">
        <f>CA219-BZ219</f>
        <v>0</v>
      </c>
      <c r="CB268" s="3">
        <f>CB219-CA219</f>
        <v>0</v>
      </c>
      <c r="CC268" s="3">
        <f>CC219-CB219</f>
        <v>0</v>
      </c>
      <c r="CD268" s="3">
        <f>CD219-CC219</f>
        <v>0</v>
      </c>
      <c r="CE268" s="3">
        <f>SUM(CA268:CD268)</f>
        <v>0</v>
      </c>
      <c r="CF268" s="3">
        <f>CF219-CE219</f>
        <v>0</v>
      </c>
      <c r="CG268" s="3">
        <f>CG219-CF219</f>
        <v>0</v>
      </c>
      <c r="CH268" s="3">
        <f>CH219-CG219</f>
        <v>0</v>
      </c>
      <c r="CI268" s="3">
        <f>CI219-CH219</f>
        <v>0</v>
      </c>
      <c r="CJ268" s="3">
        <f>SUM(CF268:CI268)</f>
        <v>0</v>
      </c>
      <c r="CK268" s="3">
        <f>CK219-CJ219</f>
        <v>0</v>
      </c>
      <c r="CL268" s="3">
        <f>CL219-CK219</f>
        <v>0</v>
      </c>
      <c r="CM268" s="3">
        <f>CM219-CL219</f>
        <v>0</v>
      </c>
      <c r="CN268" s="3">
        <f>CN219-CM219</f>
        <v>0</v>
      </c>
      <c r="CO268" s="3">
        <f>SUM(CK268:CN268)</f>
        <v>0</v>
      </c>
      <c r="CP268" s="3">
        <f>CP219-CO219</f>
        <v>0</v>
      </c>
      <c r="CQ268" s="3">
        <f>CQ219-CP219</f>
        <v>0</v>
      </c>
      <c r="CR268" s="3">
        <f>CR219-CQ219</f>
        <v>0</v>
      </c>
      <c r="CS268" s="3">
        <f>CS219-CR219</f>
        <v>0</v>
      </c>
      <c r="CT268" s="3">
        <f>SUM(CP268:CS268)</f>
        <v>0</v>
      </c>
      <c r="CU268" s="3">
        <f>CU219-CT219</f>
        <v>0</v>
      </c>
      <c r="CV268" s="3">
        <f>CV219-CU219</f>
        <v>0</v>
      </c>
      <c r="CW268" s="3">
        <f>CW219-CV219</f>
        <v>0</v>
      </c>
      <c r="CX268" s="3">
        <f>CX219-CW219</f>
        <v>0</v>
      </c>
      <c r="CY268" s="3">
        <f>SUM(CU268:CX268)</f>
        <v>0</v>
      </c>
    </row>
    <row r="269">
      <c r="C269" s="26" t="inlineStr">
        <is>
          <t>Common stock and APIC</t>
        </is>
      </c>
      <c r="D269" s="3" t="n"/>
      <c r="E269" s="3">
        <f>E220-D220</f>
        <v>0.0542814499999622</v>
      </c>
      <c r="F269" s="3">
        <f>F220-E220</f>
        <v>6.02269034999995</v>
      </c>
      <c r="G269" s="3">
        <f>G220-F220</f>
        <v>0.971905529999958</v>
      </c>
      <c r="H269" s="3">
        <f>SUM(D269:G269)</f>
        <v>7.04887732999987</v>
      </c>
      <c r="I269" s="3">
        <f>I220-H220</f>
        <v>0.551584020000064</v>
      </c>
      <c r="J269" s="3">
        <f>J220-I220</f>
        <v>0.415548280001076</v>
      </c>
      <c r="K269" s="3">
        <f>K220-J220</f>
        <v>5.37442747999899</v>
      </c>
      <c r="L269" s="3">
        <f>L220-K220</f>
        <v>0.229819630000065</v>
      </c>
      <c r="M269" s="3">
        <f>SUM(I269:L269)</f>
        <v>6.57137941000019</v>
      </c>
      <c r="N269" s="3">
        <f>N220-M220</f>
        <v>0.380148659999804</v>
      </c>
      <c r="O269" s="3">
        <f>O220-N220</f>
        <v>-0.0925757699999394</v>
      </c>
      <c r="P269" s="3">
        <f>P220-O220</f>
        <v>1.83959503000006</v>
      </c>
      <c r="Q269" s="3">
        <f>Q220-P220</f>
        <v>843.57939525</v>
      </c>
      <c r="R269" s="3">
        <f>SUM(N269:Q269)</f>
        <v>845.70656317</v>
      </c>
      <c r="S269" s="3">
        <f>S220-R220</f>
        <v>-0.281816729999719</v>
      </c>
      <c r="T269" s="3">
        <f>T220-S220</f>
        <v>2331.20360159</v>
      </c>
      <c r="U269" s="3">
        <f>U220-T220</f>
        <v>0.0860000000002401</v>
      </c>
      <c r="V269" s="3">
        <f>V220-U220</f>
        <v>0.0379999999995562</v>
      </c>
      <c r="W269" s="3">
        <f>SUM(S269:V269)</f>
        <v>2331.04578486</v>
      </c>
      <c r="X269" s="3">
        <f>X220-W220</f>
        <v>0.0380000000004657</v>
      </c>
      <c r="Y269" s="3">
        <f>Y220-X220</f>
        <v>0.0383955800007243</v>
      </c>
      <c r="Z269" s="3">
        <f>Z220-Y220</f>
        <v>0.0376044199992975</v>
      </c>
      <c r="AA269" s="3">
        <f>AA220-Z220</f>
        <v>0.0379999999995562</v>
      </c>
      <c r="AB269" s="3">
        <f>SUM(X269:AA269)</f>
        <v>0.152000000000044</v>
      </c>
      <c r="AC269" s="3">
        <f>AC220-AB220</f>
        <v>8.2999999904132e-05</v>
      </c>
      <c r="AD269" s="3">
        <f>AD220-AC220</f>
        <v>-8.2999999904132e-05</v>
      </c>
      <c r="AE269" s="3">
        <f>AE220-AD220</f>
        <v>0</v>
      </c>
      <c r="AF269" s="3">
        <f>AF220-AE220</f>
        <v>0</v>
      </c>
      <c r="AG269" s="3">
        <f>SUM(AC269:AF269)</f>
        <v>0</v>
      </c>
      <c r="AH269" s="3">
        <f>AH220-AG220</f>
        <v>0</v>
      </c>
      <c r="AI269" s="3">
        <f>AI220-AH220</f>
        <v>0</v>
      </c>
      <c r="AJ269" s="3">
        <f>AJ220-AI220</f>
        <v>0</v>
      </c>
      <c r="AK269" s="3">
        <f>AK220-AJ220</f>
        <v>0</v>
      </c>
      <c r="AL269" s="3">
        <f>SUM(AH269:AK269)</f>
        <v>0</v>
      </c>
      <c r="AM269" s="3">
        <f>AM220-AL220</f>
        <v>0</v>
      </c>
      <c r="AN269" s="3">
        <f>AN220-AM220</f>
        <v>0</v>
      </c>
      <c r="AO269" s="3">
        <f>AO220-AN220</f>
        <v>0</v>
      </c>
      <c r="AP269" s="3">
        <f>AP220-AO220</f>
        <v>0</v>
      </c>
      <c r="AQ269" s="3">
        <f>SUM(AM269:AP269)</f>
        <v>0</v>
      </c>
      <c r="AR269" s="3">
        <f>AR220-AQ220</f>
        <v>0</v>
      </c>
      <c r="AS269" s="3">
        <f>AS220-AR220</f>
        <v>0</v>
      </c>
      <c r="AT269" s="3">
        <f>AT220-AS220</f>
        <v>0</v>
      </c>
      <c r="AU269" s="3">
        <f>AU220-AT220</f>
        <v>0</v>
      </c>
      <c r="AV269" s="3">
        <f>SUM(AR269:AU269)</f>
        <v>0</v>
      </c>
      <c r="AW269" s="3">
        <f>AW220-AV220</f>
        <v>0</v>
      </c>
      <c r="AX269" s="3">
        <f>AX220-AW220</f>
        <v>0</v>
      </c>
      <c r="AY269" s="3">
        <f>AY220-AX220</f>
        <v>0</v>
      </c>
      <c r="AZ269" s="3">
        <f>AZ220-AY220</f>
        <v>0</v>
      </c>
      <c r="BA269" s="3">
        <f>SUM(AW269:AZ269)</f>
        <v>0</v>
      </c>
      <c r="BB269" s="3">
        <f>BB220-BA220</f>
        <v>0</v>
      </c>
      <c r="BC269" s="3">
        <f>BC220-BB220</f>
        <v>0</v>
      </c>
      <c r="BD269" s="3">
        <f>BD220-BC220</f>
        <v>0</v>
      </c>
      <c r="BE269" s="3">
        <f>BE220-BD220</f>
        <v>0</v>
      </c>
      <c r="BF269" s="3">
        <f>SUM(BB269:BE269)</f>
        <v>0</v>
      </c>
      <c r="BG269" s="3">
        <f>BG220-BF220</f>
        <v>0</v>
      </c>
      <c r="BH269" s="3">
        <f>BH220-BG220</f>
        <v>0</v>
      </c>
      <c r="BI269" s="3">
        <f>BI220-BH220</f>
        <v>0</v>
      </c>
      <c r="BJ269" s="3">
        <f>BJ220-BI220</f>
        <v>0</v>
      </c>
      <c r="BK269" s="3">
        <f>SUM(BG269:BJ269)</f>
        <v>0</v>
      </c>
      <c r="BL269" s="3">
        <f>BL220-BK220</f>
        <v>0</v>
      </c>
      <c r="BM269" s="3">
        <f>BM220-BL220</f>
        <v>0</v>
      </c>
      <c r="BN269" s="3">
        <f>BN220-BM220</f>
        <v>0</v>
      </c>
      <c r="BO269" s="3">
        <f>BO220-BN220</f>
        <v>0</v>
      </c>
      <c r="BP269" s="3">
        <f>SUM(BL269:BO269)</f>
        <v>0</v>
      </c>
      <c r="BQ269" s="3">
        <f>BQ220-BP220</f>
        <v>0</v>
      </c>
      <c r="BR269" s="3">
        <f>BR220-BQ220</f>
        <v>0</v>
      </c>
      <c r="BS269" s="3">
        <f>BS220-BR220</f>
        <v>0</v>
      </c>
      <c r="BT269" s="3">
        <f>BT220-BS220</f>
        <v>0</v>
      </c>
      <c r="BU269" s="3">
        <f>SUM(BQ269:BT269)</f>
        <v>0</v>
      </c>
      <c r="BV269" s="3">
        <f>BV220-BU220</f>
        <v>0</v>
      </c>
      <c r="BW269" s="3">
        <f>BW220-BV220</f>
        <v>0</v>
      </c>
      <c r="BX269" s="3">
        <f>BX220-BW220</f>
        <v>0</v>
      </c>
      <c r="BY269" s="3">
        <f>BY220-BX220</f>
        <v>0</v>
      </c>
      <c r="BZ269" s="3">
        <f>SUM(BV269:BY269)</f>
        <v>0</v>
      </c>
      <c r="CA269" s="3">
        <f>CA220-BZ220</f>
        <v>0</v>
      </c>
      <c r="CB269" s="3">
        <f>CB220-CA220</f>
        <v>0</v>
      </c>
      <c r="CC269" s="3">
        <f>CC220-CB220</f>
        <v>0</v>
      </c>
      <c r="CD269" s="3">
        <f>CD220-CC220</f>
        <v>0</v>
      </c>
      <c r="CE269" s="3">
        <f>SUM(CA269:CD269)</f>
        <v>0</v>
      </c>
      <c r="CF269" s="3">
        <f>CF220-CE220</f>
        <v>0</v>
      </c>
      <c r="CG269" s="3">
        <f>CG220-CF220</f>
        <v>0</v>
      </c>
      <c r="CH269" s="3">
        <f>CH220-CG220</f>
        <v>0</v>
      </c>
      <c r="CI269" s="3">
        <f>CI220-CH220</f>
        <v>0</v>
      </c>
      <c r="CJ269" s="3">
        <f>SUM(CF269:CI269)</f>
        <v>0</v>
      </c>
      <c r="CK269" s="3">
        <f>CK220-CJ220</f>
        <v>0</v>
      </c>
      <c r="CL269" s="3">
        <f>CL220-CK220</f>
        <v>0</v>
      </c>
      <c r="CM269" s="3">
        <f>CM220-CL220</f>
        <v>0</v>
      </c>
      <c r="CN269" s="3">
        <f>CN220-CM220</f>
        <v>0</v>
      </c>
      <c r="CO269" s="3">
        <f>SUM(CK269:CN269)</f>
        <v>0</v>
      </c>
      <c r="CP269" s="3">
        <f>CP220-CO220</f>
        <v>0</v>
      </c>
      <c r="CQ269" s="3">
        <f>CQ220-CP220</f>
        <v>0</v>
      </c>
      <c r="CR269" s="3">
        <f>CR220-CQ220</f>
        <v>0</v>
      </c>
      <c r="CS269" s="3">
        <f>CS220-CR220</f>
        <v>0</v>
      </c>
      <c r="CT269" s="3">
        <f>SUM(CP269:CS269)</f>
        <v>0</v>
      </c>
      <c r="CU269" s="3">
        <f>CU220-CT220</f>
        <v>0</v>
      </c>
      <c r="CV269" s="3">
        <f>CV220-CU220</f>
        <v>0</v>
      </c>
      <c r="CW269" s="3">
        <f>CW220-CV220</f>
        <v>0</v>
      </c>
      <c r="CX269" s="3">
        <f>CX220-CW220</f>
        <v>0</v>
      </c>
      <c r="CY269" s="3">
        <f>SUM(CU269:CX269)</f>
        <v>0</v>
      </c>
    </row>
    <row r="270">
      <c r="C270" s="26" t="inlineStr">
        <is>
          <t>Treasury stock repurchases</t>
        </is>
      </c>
      <c r="D270" s="3" t="n"/>
      <c r="E270" s="3">
        <f>E233-D233</f>
        <v>0</v>
      </c>
      <c r="F270" s="3">
        <f>F233-E233</f>
        <v>0</v>
      </c>
      <c r="G270" s="3">
        <f>G233-F233</f>
        <v>-2.67399757</v>
      </c>
      <c r="H270" s="3">
        <f>SUM(D270:G270)</f>
        <v>-2.67399757</v>
      </c>
      <c r="I270" s="3">
        <f>I233-H233</f>
        <v>-20.34031793</v>
      </c>
      <c r="J270" s="3">
        <f>J233-I233</f>
        <v>-1.82208978</v>
      </c>
      <c r="K270" s="3">
        <f>K233-J233</f>
        <v>0</v>
      </c>
      <c r="L270" s="3">
        <f>L233-K233</f>
        <v>0</v>
      </c>
      <c r="M270" s="3">
        <f>SUM(I270:L270)</f>
        <v>-22.16240771</v>
      </c>
      <c r="N270" s="3">
        <f>N233-M233</f>
        <v>1.9461885</v>
      </c>
      <c r="O270" s="3">
        <f>O233-N233</f>
        <v>-4.35105632</v>
      </c>
      <c r="P270" s="3">
        <f>P233-O233</f>
        <v>7.26984205</v>
      </c>
      <c r="Q270" s="3">
        <f>Q233-P233</f>
        <v>0</v>
      </c>
      <c r="R270" s="3">
        <f>SUM(N270:Q270)</f>
        <v>4.86497423</v>
      </c>
      <c r="S270" s="3">
        <f>S233-R233</f>
        <v>10.75829405</v>
      </c>
      <c r="T270" s="3">
        <f>T233-S233</f>
        <v>0.000137000000000498</v>
      </c>
      <c r="U270" s="3">
        <f>U233-T233</f>
        <v>0</v>
      </c>
      <c r="V270" s="3">
        <f>V233-U233</f>
        <v>-30.249</v>
      </c>
      <c r="W270" s="3">
        <f>SUM(S270:V270)</f>
        <v>-19.49056895</v>
      </c>
      <c r="X270" s="3">
        <f>X233-W233</f>
        <v>12.312</v>
      </c>
      <c r="Y270" s="3">
        <f>Y233-X233</f>
        <v>0</v>
      </c>
      <c r="Z270" s="3">
        <f>Z233-Y233</f>
        <v>-20.915</v>
      </c>
      <c r="AA270" s="3">
        <f>AA233-Z233</f>
        <v>0</v>
      </c>
      <c r="AB270" s="3">
        <f>SUM(X270:AA270)</f>
        <v>-8.60299999999999</v>
      </c>
      <c r="AC270" s="3">
        <f>AC233-AB233</f>
        <v>12.505899</v>
      </c>
      <c r="AD270" s="3">
        <f>AD233-AC233</f>
        <v>0.0001010000000079</v>
      </c>
      <c r="AE270" s="3">
        <f>AE233-AD233</f>
        <v>0</v>
      </c>
      <c r="AF270" s="3">
        <f>AF233-AE233</f>
        <v>0</v>
      </c>
      <c r="AG270" s="3">
        <f>SUM(AC270:AF270)</f>
        <v>12.506</v>
      </c>
      <c r="AH270" s="3">
        <f>AH233-AG233</f>
        <v>0</v>
      </c>
      <c r="AI270" s="3">
        <f>AI233-AH233</f>
        <v>0</v>
      </c>
      <c r="AJ270" s="3">
        <f>AJ233-AI233</f>
        <v>0</v>
      </c>
      <c r="AK270" s="3">
        <f>AK233-AJ233</f>
        <v>0</v>
      </c>
      <c r="AL270" s="3">
        <f>SUM(AH270:AK270)</f>
        <v>0</v>
      </c>
      <c r="AM270" s="3">
        <f>AM233-AL233</f>
        <v>0</v>
      </c>
      <c r="AN270" s="3">
        <f>AN233-AM233</f>
        <v>0</v>
      </c>
      <c r="AO270" s="3">
        <f>AO233-AN233</f>
        <v>0</v>
      </c>
      <c r="AP270" s="3">
        <f>AP233-AO233</f>
        <v>0</v>
      </c>
      <c r="AQ270" s="3">
        <f>SUM(AM270:AP270)</f>
        <v>0</v>
      </c>
      <c r="AR270" s="3">
        <f>AR233-AQ233</f>
        <v>0</v>
      </c>
      <c r="AS270" s="3">
        <f>AS233-AR233</f>
        <v>0</v>
      </c>
      <c r="AT270" s="3">
        <f>AT233-AS233</f>
        <v>0</v>
      </c>
      <c r="AU270" s="3">
        <f>AU233-AT233</f>
        <v>0</v>
      </c>
      <c r="AV270" s="3">
        <f>SUM(AR270:AU270)</f>
        <v>0</v>
      </c>
      <c r="AW270" s="3">
        <f>AW233-AV233</f>
        <v>0</v>
      </c>
      <c r="AX270" s="3">
        <f>AX233-AW233</f>
        <v>0</v>
      </c>
      <c r="AY270" s="3">
        <f>AY233-AX233</f>
        <v>0</v>
      </c>
      <c r="AZ270" s="3">
        <f>AZ233-AY233</f>
        <v>0</v>
      </c>
      <c r="BA270" s="3">
        <f>SUM(AW270:AZ270)</f>
        <v>0</v>
      </c>
      <c r="BB270" s="3">
        <f>BB233-BA233</f>
        <v>0</v>
      </c>
      <c r="BC270" s="3">
        <f>BC233-BB233</f>
        <v>0</v>
      </c>
      <c r="BD270" s="3">
        <f>BD233-BC233</f>
        <v>0</v>
      </c>
      <c r="BE270" s="3">
        <f>BE233-BD233</f>
        <v>0</v>
      </c>
      <c r="BF270" s="3">
        <f>SUM(BB270:BE270)</f>
        <v>0</v>
      </c>
      <c r="BG270" s="3">
        <f>BG233-BF233</f>
        <v>0</v>
      </c>
      <c r="BH270" s="3">
        <f>BH233-BG233</f>
        <v>0</v>
      </c>
      <c r="BI270" s="3">
        <f>BI233-BH233</f>
        <v>0</v>
      </c>
      <c r="BJ270" s="3">
        <f>BJ233-BI233</f>
        <v>0</v>
      </c>
      <c r="BK270" s="3">
        <f>SUM(BG270:BJ270)</f>
        <v>0</v>
      </c>
      <c r="BL270" s="3">
        <f>BL233-BK233</f>
        <v>0</v>
      </c>
      <c r="BM270" s="3">
        <f>BM233-BL233</f>
        <v>0</v>
      </c>
      <c r="BN270" s="3">
        <f>BN233-BM233</f>
        <v>0</v>
      </c>
      <c r="BO270" s="3">
        <f>BO233-BN233</f>
        <v>0</v>
      </c>
      <c r="BP270" s="3">
        <f>SUM(BL270:BO270)</f>
        <v>0</v>
      </c>
      <c r="BQ270" s="3">
        <f>BQ233-BP233</f>
        <v>0</v>
      </c>
      <c r="BR270" s="3">
        <f>BR233-BQ233</f>
        <v>0</v>
      </c>
      <c r="BS270" s="3">
        <f>BS233-BR233</f>
        <v>0</v>
      </c>
      <c r="BT270" s="3">
        <f>BT233-BS233</f>
        <v>0</v>
      </c>
      <c r="BU270" s="3">
        <f>SUM(BQ270:BT270)</f>
        <v>0</v>
      </c>
      <c r="BV270" s="3">
        <f>BV233-BU233</f>
        <v>0</v>
      </c>
      <c r="BW270" s="3">
        <f>BW233-BV233</f>
        <v>0</v>
      </c>
      <c r="BX270" s="3">
        <f>BX233-BW233</f>
        <v>0</v>
      </c>
      <c r="BY270" s="3">
        <f>BY233-BX233</f>
        <v>0</v>
      </c>
      <c r="BZ270" s="3">
        <f>SUM(BV270:BY270)</f>
        <v>0</v>
      </c>
      <c r="CA270" s="3">
        <f>CA233-BZ233</f>
        <v>0</v>
      </c>
      <c r="CB270" s="3">
        <f>CB233-CA233</f>
        <v>0</v>
      </c>
      <c r="CC270" s="3">
        <f>CC233-CB233</f>
        <v>0</v>
      </c>
      <c r="CD270" s="3">
        <f>CD233-CC233</f>
        <v>0</v>
      </c>
      <c r="CE270" s="3">
        <f>SUM(CA270:CD270)</f>
        <v>0</v>
      </c>
      <c r="CF270" s="3">
        <f>CF233-CE233</f>
        <v>0</v>
      </c>
      <c r="CG270" s="3">
        <f>CG233-CF233</f>
        <v>0</v>
      </c>
      <c r="CH270" s="3">
        <f>CH233-CG233</f>
        <v>0</v>
      </c>
      <c r="CI270" s="3">
        <f>CI233-CH233</f>
        <v>0</v>
      </c>
      <c r="CJ270" s="3">
        <f>SUM(CF270:CI270)</f>
        <v>0</v>
      </c>
      <c r="CK270" s="3">
        <f>CK233-CJ233</f>
        <v>0</v>
      </c>
      <c r="CL270" s="3">
        <f>CL233-CK233</f>
        <v>0</v>
      </c>
      <c r="CM270" s="3">
        <f>CM233-CL233</f>
        <v>0</v>
      </c>
      <c r="CN270" s="3">
        <f>CN233-CM233</f>
        <v>0</v>
      </c>
      <c r="CO270" s="3">
        <f>SUM(CK270:CN270)</f>
        <v>0</v>
      </c>
      <c r="CP270" s="3">
        <f>CP233-CO233</f>
        <v>0</v>
      </c>
      <c r="CQ270" s="3">
        <f>CQ233-CP233</f>
        <v>0</v>
      </c>
      <c r="CR270" s="3">
        <f>CR233-CQ233</f>
        <v>0</v>
      </c>
      <c r="CS270" s="3">
        <f>CS233-CR233</f>
        <v>0</v>
      </c>
      <c r="CT270" s="3">
        <f>SUM(CP270:CS270)</f>
        <v>0</v>
      </c>
      <c r="CU270" s="3">
        <f>CU233-CT233</f>
        <v>0</v>
      </c>
      <c r="CV270" s="3">
        <f>CV233-CU233</f>
        <v>0</v>
      </c>
      <c r="CW270" s="3">
        <f>CW233-CV233</f>
        <v>0</v>
      </c>
      <c r="CX270" s="3">
        <f>CX233-CW233</f>
        <v>0</v>
      </c>
      <c r="CY270" s="3">
        <f>SUM(CU270:CX270)</f>
        <v>0</v>
      </c>
    </row>
    <row r="271">
      <c r="C271" s="26" t="inlineStr">
        <is>
          <t>Comprehensive accumulated loss</t>
        </is>
      </c>
      <c r="D271" s="3" t="n"/>
      <c r="E271" s="3">
        <f>E234-D234</f>
        <v>0</v>
      </c>
      <c r="F271" s="3">
        <f>F234-E234</f>
        <v>0</v>
      </c>
      <c r="G271" s="3">
        <f>G234-F234</f>
        <v>0</v>
      </c>
      <c r="H271" s="3">
        <f>SUM(D271:G271)</f>
        <v>0</v>
      </c>
      <c r="I271" s="3">
        <f>I234-H234</f>
        <v>0</v>
      </c>
      <c r="J271" s="3">
        <f>J234-I234</f>
        <v>0</v>
      </c>
      <c r="K271" s="3">
        <f>K234-J234</f>
        <v>0</v>
      </c>
      <c r="L271" s="3">
        <f>L234-K234</f>
        <v>0</v>
      </c>
      <c r="M271" s="3">
        <f>SUM(I271:L271)</f>
        <v>0</v>
      </c>
      <c r="N271" s="3">
        <f>N234-M234</f>
        <v>0</v>
      </c>
      <c r="O271" s="3">
        <f>O234-N234</f>
        <v>0</v>
      </c>
      <c r="P271" s="3">
        <f>P234-O234</f>
        <v>0</v>
      </c>
      <c r="Q271" s="3">
        <f>Q234-P234</f>
        <v>0</v>
      </c>
      <c r="R271" s="3">
        <f>SUM(N271:Q271)</f>
        <v>0</v>
      </c>
      <c r="S271" s="3">
        <f>S234-R234</f>
        <v>0</v>
      </c>
      <c r="T271" s="3">
        <f>T234-S234</f>
        <v>73.884</v>
      </c>
      <c r="U271" s="3">
        <f>U234-T234</f>
        <v>0</v>
      </c>
      <c r="V271" s="3">
        <f>V234-U234</f>
        <v>0</v>
      </c>
      <c r="W271" s="3">
        <f>SUM(S271:V271)</f>
        <v>73.884</v>
      </c>
      <c r="X271" s="3">
        <f>X234-W234</f>
        <v>0</v>
      </c>
      <c r="Y271" s="3">
        <f>Y234-X234</f>
        <v>0</v>
      </c>
      <c r="Z271" s="3">
        <f>Z234-Y234</f>
        <v>0</v>
      </c>
      <c r="AA271" s="3">
        <f>AA234-Z234</f>
        <v>-21.067</v>
      </c>
      <c r="AB271" s="3">
        <f>SUM(X271:AA271)</f>
        <v>-21.067</v>
      </c>
      <c r="AC271" s="3">
        <f>AC234-AB234</f>
        <v>0</v>
      </c>
      <c r="AD271" s="3">
        <f>AD234-AC234</f>
        <v>0</v>
      </c>
      <c r="AE271" s="3">
        <f>AE234-AD234</f>
        <v>0</v>
      </c>
      <c r="AF271" s="3">
        <f>AF234-AE234</f>
        <v>0</v>
      </c>
      <c r="AG271" s="3">
        <f>SUM(AC271:AF271)</f>
        <v>0</v>
      </c>
      <c r="AH271" s="3">
        <f>AH234-AG234</f>
        <v>0</v>
      </c>
      <c r="AI271" s="3">
        <f>AI234-AH234</f>
        <v>0</v>
      </c>
      <c r="AJ271" s="3">
        <f>AJ234-AI234</f>
        <v>0</v>
      </c>
      <c r="AK271" s="3">
        <f>AK234-AJ234</f>
        <v>0</v>
      </c>
      <c r="AL271" s="3">
        <f>SUM(AH271:AK271)</f>
        <v>0</v>
      </c>
      <c r="AM271" s="3">
        <f>AM234-AL234</f>
        <v>0</v>
      </c>
      <c r="AN271" s="3">
        <f>AN234-AM234</f>
        <v>0</v>
      </c>
      <c r="AO271" s="3">
        <f>AO234-AN234</f>
        <v>0</v>
      </c>
      <c r="AP271" s="3">
        <f>AP234-AO234</f>
        <v>0</v>
      </c>
      <c r="AQ271" s="3">
        <f>SUM(AM271:AP271)</f>
        <v>0</v>
      </c>
      <c r="AR271" s="3">
        <f>AR234-AQ234</f>
        <v>0</v>
      </c>
      <c r="AS271" s="3">
        <f>AS234-AR234</f>
        <v>0</v>
      </c>
      <c r="AT271" s="3">
        <f>AT234-AS234</f>
        <v>0</v>
      </c>
      <c r="AU271" s="3">
        <f>AU234-AT234</f>
        <v>0</v>
      </c>
      <c r="AV271" s="3">
        <f>SUM(AR271:AU271)</f>
        <v>0</v>
      </c>
      <c r="AW271" s="3">
        <f>AW234-AV234</f>
        <v>0</v>
      </c>
      <c r="AX271" s="3">
        <f>AX234-AW234</f>
        <v>0</v>
      </c>
      <c r="AY271" s="3">
        <f>AY234-AX234</f>
        <v>0</v>
      </c>
      <c r="AZ271" s="3">
        <f>AZ234-AY234</f>
        <v>0</v>
      </c>
      <c r="BA271" s="3">
        <f>SUM(AW271:AZ271)</f>
        <v>0</v>
      </c>
      <c r="BB271" s="3">
        <f>BB234-BA234</f>
        <v>0</v>
      </c>
      <c r="BC271" s="3">
        <f>BC234-BB234</f>
        <v>0</v>
      </c>
      <c r="BD271" s="3">
        <f>BD234-BC234</f>
        <v>0</v>
      </c>
      <c r="BE271" s="3">
        <f>BE234-BD234</f>
        <v>0</v>
      </c>
      <c r="BF271" s="3">
        <f>SUM(BB271:BE271)</f>
        <v>0</v>
      </c>
      <c r="BG271" s="3">
        <f>BG234-BF234</f>
        <v>0</v>
      </c>
      <c r="BH271" s="3">
        <f>BH234-BG234</f>
        <v>0</v>
      </c>
      <c r="BI271" s="3">
        <f>BI234-BH234</f>
        <v>0</v>
      </c>
      <c r="BJ271" s="3">
        <f>BJ234-BI234</f>
        <v>0</v>
      </c>
      <c r="BK271" s="3">
        <f>SUM(BG271:BJ271)</f>
        <v>0</v>
      </c>
      <c r="BL271" s="3">
        <f>BL234-BK234</f>
        <v>0</v>
      </c>
      <c r="BM271" s="3">
        <f>BM234-BL234</f>
        <v>0</v>
      </c>
      <c r="BN271" s="3">
        <f>BN234-BM234</f>
        <v>0</v>
      </c>
      <c r="BO271" s="3">
        <f>BO234-BN234</f>
        <v>0</v>
      </c>
      <c r="BP271" s="3">
        <f>SUM(BL271:BO271)</f>
        <v>0</v>
      </c>
      <c r="BQ271" s="3">
        <f>BQ234-BP234</f>
        <v>0</v>
      </c>
      <c r="BR271" s="3">
        <f>BR234-BQ234</f>
        <v>0</v>
      </c>
      <c r="BS271" s="3">
        <f>BS234-BR234</f>
        <v>0</v>
      </c>
      <c r="BT271" s="3">
        <f>BT234-BS234</f>
        <v>0</v>
      </c>
      <c r="BU271" s="3">
        <f>SUM(BQ271:BT271)</f>
        <v>0</v>
      </c>
      <c r="BV271" s="3">
        <f>BV234-BU234</f>
        <v>0</v>
      </c>
      <c r="BW271" s="3">
        <f>BW234-BV234</f>
        <v>0</v>
      </c>
      <c r="BX271" s="3">
        <f>BX234-BW234</f>
        <v>0</v>
      </c>
      <c r="BY271" s="3">
        <f>BY234-BX234</f>
        <v>0</v>
      </c>
      <c r="BZ271" s="3">
        <f>SUM(BV271:BY271)</f>
        <v>0</v>
      </c>
      <c r="CA271" s="3">
        <f>CA234-BZ234</f>
        <v>0</v>
      </c>
      <c r="CB271" s="3">
        <f>CB234-CA234</f>
        <v>0</v>
      </c>
      <c r="CC271" s="3">
        <f>CC234-CB234</f>
        <v>0</v>
      </c>
      <c r="CD271" s="3">
        <f>CD234-CC234</f>
        <v>0</v>
      </c>
      <c r="CE271" s="3">
        <f>SUM(CA271:CD271)</f>
        <v>0</v>
      </c>
      <c r="CF271" s="3">
        <f>CF234-CE234</f>
        <v>0</v>
      </c>
      <c r="CG271" s="3">
        <f>CG234-CF234</f>
        <v>0</v>
      </c>
      <c r="CH271" s="3">
        <f>CH234-CG234</f>
        <v>0</v>
      </c>
      <c r="CI271" s="3">
        <f>CI234-CH234</f>
        <v>0</v>
      </c>
      <c r="CJ271" s="3">
        <f>SUM(CF271:CI271)</f>
        <v>0</v>
      </c>
      <c r="CK271" s="3">
        <f>CK234-CJ234</f>
        <v>0</v>
      </c>
      <c r="CL271" s="3">
        <f>CL234-CK234</f>
        <v>0</v>
      </c>
      <c r="CM271" s="3">
        <f>CM234-CL234</f>
        <v>0</v>
      </c>
      <c r="CN271" s="3">
        <f>CN234-CM234</f>
        <v>0</v>
      </c>
      <c r="CO271" s="3">
        <f>SUM(CK271:CN271)</f>
        <v>0</v>
      </c>
      <c r="CP271" s="3">
        <f>CP234-CO234</f>
        <v>0</v>
      </c>
      <c r="CQ271" s="3">
        <f>CQ234-CP234</f>
        <v>0</v>
      </c>
      <c r="CR271" s="3">
        <f>CR234-CQ234</f>
        <v>0</v>
      </c>
      <c r="CS271" s="3">
        <f>CS234-CR234</f>
        <v>0</v>
      </c>
      <c r="CT271" s="3">
        <f>SUM(CP271:CS271)</f>
        <v>0</v>
      </c>
      <c r="CU271" s="3">
        <f>CU234-CT234</f>
        <v>0</v>
      </c>
      <c r="CV271" s="3">
        <f>CV234-CU234</f>
        <v>0</v>
      </c>
      <c r="CW271" s="3">
        <f>CW234-CV234</f>
        <v>0</v>
      </c>
      <c r="CX271" s="3">
        <f>CX234-CW234</f>
        <v>0</v>
      </c>
      <c r="CY271" s="3">
        <f>SUM(CU271:CX271)</f>
        <v>0</v>
      </c>
    </row>
    <row r="272">
      <c r="C272" s="26" t="inlineStr">
        <is>
          <t>Other equity account</t>
        </is>
      </c>
      <c r="D272" s="3" t="n"/>
      <c r="E272" s="3">
        <f>E235-D235</f>
        <v>0</v>
      </c>
      <c r="F272" s="3">
        <f>F235-E235</f>
        <v>0</v>
      </c>
      <c r="G272" s="3">
        <f>G235-F235</f>
        <v>12.84805422</v>
      </c>
      <c r="H272" s="3">
        <f>SUM(D272:G272)</f>
        <v>12.84805422</v>
      </c>
      <c r="I272" s="3">
        <f>I235-H235</f>
        <v>10.17405665</v>
      </c>
      <c r="J272" s="3">
        <f>J235-I235</f>
        <v>0</v>
      </c>
      <c r="K272" s="3">
        <f>K235-J235</f>
        <v>0</v>
      </c>
      <c r="L272" s="3">
        <f>L235-K235</f>
        <v>17.49624773</v>
      </c>
      <c r="M272" s="3">
        <f>SUM(I272:L272)</f>
        <v>27.67030438</v>
      </c>
      <c r="N272" s="3">
        <f>N235-M235</f>
        <v>12.83008774</v>
      </c>
      <c r="O272" s="3">
        <f>O235-N235</f>
        <v>0</v>
      </c>
      <c r="P272" s="3">
        <f>P235-O235</f>
        <v>0</v>
      </c>
      <c r="Q272" s="3">
        <f>Q235-P235</f>
        <v>37.557464017</v>
      </c>
      <c r="R272" s="3">
        <f>SUM(N272:Q272)</f>
        <v>50.387551757</v>
      </c>
      <c r="S272" s="3">
        <f>S235-R235</f>
        <v>162.452514153</v>
      </c>
      <c r="T272" s="3">
        <f>T235-S235</f>
        <v>-169.99989755</v>
      </c>
      <c r="U272" s="3">
        <f>U235-T235</f>
        <v>-92.53</v>
      </c>
      <c r="V272" s="3">
        <f>V235-U235</f>
        <v>113.718</v>
      </c>
      <c r="W272" s="3">
        <f>SUM(S272:V272)</f>
        <v>13.640616603</v>
      </c>
      <c r="X272" s="3">
        <f>X235-W235</f>
        <v>-207.423</v>
      </c>
      <c r="Y272" s="3">
        <f>Y235-X235</f>
        <v>0</v>
      </c>
      <c r="Z272" s="3">
        <f>Z235-Y235</f>
        <v>-184.073</v>
      </c>
      <c r="AA272" s="3">
        <f>AA235-Z235</f>
        <v>-116.429</v>
      </c>
      <c r="AB272" s="3">
        <f>SUM(X272:AA272)</f>
        <v>-507.925</v>
      </c>
      <c r="AC272" s="3">
        <f>AC235-AB235</f>
        <v>300.502</v>
      </c>
      <c r="AD272" s="3">
        <f>AD235-AC235</f>
        <v>0</v>
      </c>
      <c r="AE272" s="3">
        <f>AE235-AD235</f>
        <v>-169.009</v>
      </c>
      <c r="AF272" s="3">
        <f>AF235-AE235</f>
        <v>169.009</v>
      </c>
      <c r="AG272" s="3">
        <f>SUM(AC272:AF272)</f>
        <v>300.502</v>
      </c>
      <c r="AH272" s="3">
        <f>AH235-AG235</f>
        <v>0</v>
      </c>
      <c r="AI272" s="3">
        <f>AI235-AH235</f>
        <v>0</v>
      </c>
      <c r="AJ272" s="3">
        <f>AJ235-AI235</f>
        <v>0</v>
      </c>
      <c r="AK272" s="3">
        <f>AK235-AJ235</f>
        <v>0</v>
      </c>
      <c r="AL272" s="3">
        <f>SUM(AH272:AK272)</f>
        <v>0</v>
      </c>
      <c r="AM272" s="3">
        <f>AM235-AL235</f>
        <v>0</v>
      </c>
      <c r="AN272" s="3">
        <f>AN235-AM235</f>
        <v>0</v>
      </c>
      <c r="AO272" s="3">
        <f>AO235-AN235</f>
        <v>0</v>
      </c>
      <c r="AP272" s="3">
        <f>AP235-AO235</f>
        <v>0</v>
      </c>
      <c r="AQ272" s="3">
        <f>SUM(AM272:AP272)</f>
        <v>0</v>
      </c>
      <c r="AR272" s="3">
        <f>AR235-AQ235</f>
        <v>0</v>
      </c>
      <c r="AS272" s="3">
        <f>AS235-AR235</f>
        <v>0</v>
      </c>
      <c r="AT272" s="3">
        <f>AT235-AS235</f>
        <v>0</v>
      </c>
      <c r="AU272" s="3">
        <f>AU235-AT235</f>
        <v>0</v>
      </c>
      <c r="AV272" s="3">
        <f>SUM(AR272:AU272)</f>
        <v>0</v>
      </c>
      <c r="AW272" s="3">
        <f>AW235-AV235</f>
        <v>0</v>
      </c>
      <c r="AX272" s="3">
        <f>AX235-AW235</f>
        <v>0</v>
      </c>
      <c r="AY272" s="3">
        <f>AY235-AX235</f>
        <v>0</v>
      </c>
      <c r="AZ272" s="3">
        <f>AZ235-AY235</f>
        <v>0</v>
      </c>
      <c r="BA272" s="3">
        <f>SUM(AW272:AZ272)</f>
        <v>0</v>
      </c>
      <c r="BB272" s="3">
        <f>BB235-BA235</f>
        <v>0</v>
      </c>
      <c r="BC272" s="3">
        <f>BC235-BB235</f>
        <v>0</v>
      </c>
      <c r="BD272" s="3">
        <f>BD235-BC235</f>
        <v>0</v>
      </c>
      <c r="BE272" s="3">
        <f>BE235-BD235</f>
        <v>0</v>
      </c>
      <c r="BF272" s="3">
        <f>SUM(BB272:BE272)</f>
        <v>0</v>
      </c>
      <c r="BG272" s="3">
        <f>BG235-BF235</f>
        <v>0</v>
      </c>
      <c r="BH272" s="3">
        <f>BH235-BG235</f>
        <v>0</v>
      </c>
      <c r="BI272" s="3">
        <f>BI235-BH235</f>
        <v>0</v>
      </c>
      <c r="BJ272" s="3">
        <f>BJ235-BI235</f>
        <v>0</v>
      </c>
      <c r="BK272" s="3">
        <f>SUM(BG272:BJ272)</f>
        <v>0</v>
      </c>
      <c r="BL272" s="3">
        <f>BL235-BK235</f>
        <v>0</v>
      </c>
      <c r="BM272" s="3">
        <f>BM235-BL235</f>
        <v>0</v>
      </c>
      <c r="BN272" s="3">
        <f>BN235-BM235</f>
        <v>0</v>
      </c>
      <c r="BO272" s="3">
        <f>BO235-BN235</f>
        <v>0</v>
      </c>
      <c r="BP272" s="3">
        <f>SUM(BL272:BO272)</f>
        <v>0</v>
      </c>
      <c r="BQ272" s="3">
        <f>BQ235-BP235</f>
        <v>0</v>
      </c>
      <c r="BR272" s="3">
        <f>BR235-BQ235</f>
        <v>0</v>
      </c>
      <c r="BS272" s="3">
        <f>BS235-BR235</f>
        <v>0</v>
      </c>
      <c r="BT272" s="3">
        <f>BT235-BS235</f>
        <v>0</v>
      </c>
      <c r="BU272" s="3">
        <f>SUM(BQ272:BT272)</f>
        <v>0</v>
      </c>
      <c r="BV272" s="3">
        <f>BV235-BU235</f>
        <v>0</v>
      </c>
      <c r="BW272" s="3">
        <f>BW235-BV235</f>
        <v>0</v>
      </c>
      <c r="BX272" s="3">
        <f>BX235-BW235</f>
        <v>0</v>
      </c>
      <c r="BY272" s="3">
        <f>BY235-BX235</f>
        <v>0</v>
      </c>
      <c r="BZ272" s="3">
        <f>SUM(BV272:BY272)</f>
        <v>0</v>
      </c>
      <c r="CA272" s="3">
        <f>CA235-BZ235</f>
        <v>0</v>
      </c>
      <c r="CB272" s="3">
        <f>CB235-CA235</f>
        <v>0</v>
      </c>
      <c r="CC272" s="3">
        <f>CC235-CB235</f>
        <v>0</v>
      </c>
      <c r="CD272" s="3">
        <f>CD235-CC235</f>
        <v>0</v>
      </c>
      <c r="CE272" s="3">
        <f>SUM(CA272:CD272)</f>
        <v>0</v>
      </c>
      <c r="CF272" s="3">
        <f>CF235-CE235</f>
        <v>0</v>
      </c>
      <c r="CG272" s="3">
        <f>CG235-CF235</f>
        <v>0</v>
      </c>
      <c r="CH272" s="3">
        <f>CH235-CG235</f>
        <v>0</v>
      </c>
      <c r="CI272" s="3">
        <f>CI235-CH235</f>
        <v>0</v>
      </c>
      <c r="CJ272" s="3">
        <f>SUM(CF272:CI272)</f>
        <v>0</v>
      </c>
      <c r="CK272" s="3">
        <f>CK235-CJ235</f>
        <v>0</v>
      </c>
      <c r="CL272" s="3">
        <f>CL235-CK235</f>
        <v>0</v>
      </c>
      <c r="CM272" s="3">
        <f>CM235-CL235</f>
        <v>0</v>
      </c>
      <c r="CN272" s="3">
        <f>CN235-CM235</f>
        <v>0</v>
      </c>
      <c r="CO272" s="3">
        <f>SUM(CK272:CN272)</f>
        <v>0</v>
      </c>
      <c r="CP272" s="3">
        <f>CP235-CO235</f>
        <v>0</v>
      </c>
      <c r="CQ272" s="3">
        <f>CQ235-CP235</f>
        <v>0</v>
      </c>
      <c r="CR272" s="3">
        <f>CR235-CQ235</f>
        <v>0</v>
      </c>
      <c r="CS272" s="3">
        <f>CS235-CR235</f>
        <v>0</v>
      </c>
      <c r="CT272" s="3">
        <f>SUM(CP272:CS272)</f>
        <v>0</v>
      </c>
      <c r="CU272" s="3">
        <f>CU235-CT235</f>
        <v>0</v>
      </c>
      <c r="CV272" s="3">
        <f>CV235-CU235</f>
        <v>0</v>
      </c>
      <c r="CW272" s="3">
        <f>CW235-CV235</f>
        <v>0</v>
      </c>
      <c r="CX272" s="3">
        <f>CX235-CW235</f>
        <v>0</v>
      </c>
      <c r="CY272" s="3">
        <f>SUM(CU272:CX272)</f>
        <v>0</v>
      </c>
    </row>
    <row r="273">
      <c r="C273" s="29" t="inlineStr">
        <is>
          <t>Common and preferred dividends</t>
        </is>
      </c>
      <c r="D273" s="3" t="n"/>
      <c r="E273" s="3">
        <f>(E236-D236)-E243</f>
        <v>-0.319926343187731</v>
      </c>
      <c r="F273" s="3">
        <f>(F236-E236)-F243</f>
        <v>0.320300254014597</v>
      </c>
      <c r="G273" s="3">
        <f>(G236-F236)-G243</f>
        <v>-87.3179570100009</v>
      </c>
      <c r="H273" s="3">
        <f>SUM(D273:G273)</f>
        <v>-87.317583099174</v>
      </c>
      <c r="I273" s="3">
        <f>(I236-H236)-I243</f>
        <v>-166.96912783</v>
      </c>
      <c r="J273" s="3">
        <f>(J236-I236)-J243</f>
        <v>8.40001263213708e-07</v>
      </c>
      <c r="K273" s="3">
        <f>(K236-J236)-K243</f>
        <v>-42.3521208674033</v>
      </c>
      <c r="L273" s="3">
        <f>(L236-K236)-L243</f>
        <v>-58.25130276</v>
      </c>
      <c r="M273" s="3">
        <f>SUM(I273:L273)</f>
        <v>-267.572550617402</v>
      </c>
      <c r="N273" s="3">
        <f>(N236-M236)-N243</f>
        <v>-227.159122689442</v>
      </c>
      <c r="O273" s="3">
        <f>(O236-N236)-O243</f>
        <v>7.26984193194902</v>
      </c>
      <c r="P273" s="3">
        <f>(P236-O236)-P243</f>
        <v>-7.26984196000001</v>
      </c>
      <c r="Q273" s="3">
        <f>(Q236-P236)-Q243</f>
        <v>-145.45417996</v>
      </c>
      <c r="R273" s="3">
        <f>SUM(N273:Q273)</f>
        <v>-372.613302677493</v>
      </c>
      <c r="S273" s="3">
        <f>(S236-R236)-S243</f>
        <v>-162.4538159</v>
      </c>
      <c r="T273" s="3">
        <f>(T236-S236)-T243</f>
        <v>0.00205519519207087</v>
      </c>
      <c r="U273" s="3">
        <f>(U236-T236)-U243</f>
        <v>-0.000435338059361357</v>
      </c>
      <c r="V273" s="3">
        <f>(V236-U236)-V243</f>
        <v>-258.46880174393</v>
      </c>
      <c r="W273" s="3">
        <f>SUM(S273:V273)</f>
        <v>-420.920997786797</v>
      </c>
      <c r="X273" s="3">
        <f>(X236-W236)-X243</f>
        <v>126.8863991</v>
      </c>
      <c r="Y273" s="3">
        <f>(Y236-X236)-Y243</f>
        <v>0</v>
      </c>
      <c r="Z273" s="3">
        <f>(Z236-Y236)-Z243</f>
        <v>-0.000473999999968555</v>
      </c>
      <c r="AA273" s="3">
        <f>(AA236-Z236)-AA243</f>
        <v>0.00207490000080668</v>
      </c>
      <c r="AB273" s="3">
        <f>SUM(X273:AA273)</f>
        <v>126.888000000001</v>
      </c>
      <c r="AC273" s="3">
        <f>(AC236-AB236)-AC243</f>
        <v>-554.55829</v>
      </c>
      <c r="AD273" s="3">
        <f>(AD236-AC236)-AD243</f>
        <v>-0.000179000000031238</v>
      </c>
      <c r="AE273" s="3">
        <f>(AE236-AD236)-AE243</f>
        <v>0.000277279816401688</v>
      </c>
      <c r="AF273" s="3">
        <f>(AF236-AE236)-AF243</f>
        <v>-659.008409783591</v>
      </c>
      <c r="AG273" s="3">
        <f>SUM(AC273:AF273)</f>
        <v>-1213.56660150378</v>
      </c>
      <c r="AH273" s="3">
        <f>(AH236-AG236)-AH243</f>
        <v>0</v>
      </c>
      <c r="AI273" s="3">
        <f>(AI236-AH236)-AI243</f>
        <v>0</v>
      </c>
      <c r="AJ273" s="3">
        <f>(AJ236-AI236)-AJ243</f>
        <v>0</v>
      </c>
      <c r="AK273" s="3">
        <f>(AK236-AJ236)-AK243</f>
        <v>0</v>
      </c>
      <c r="AL273" s="3">
        <f>SUM(AH273:AK273)</f>
        <v>0</v>
      </c>
      <c r="AM273" s="3">
        <f>(AM236-AL236)-AM243</f>
        <v>0</v>
      </c>
      <c r="AN273" s="3">
        <f>(AN236-AM236)-AN243</f>
        <v>0</v>
      </c>
      <c r="AO273" s="3">
        <f>(AO236-AN236)-AO243</f>
        <v>0</v>
      </c>
      <c r="AP273" s="3">
        <f>(AP236-AO236)-AP243</f>
        <v>0</v>
      </c>
      <c r="AQ273" s="3">
        <f>SUM(AM273:AP273)</f>
        <v>0</v>
      </c>
      <c r="AR273" s="3">
        <f>(AR236-AQ236)-AR243</f>
        <v>0</v>
      </c>
      <c r="AS273" s="3">
        <f>(AS236-AR236)-AS243</f>
        <v>0</v>
      </c>
      <c r="AT273" s="3">
        <f>(AT236-AS236)-AT243</f>
        <v>0</v>
      </c>
      <c r="AU273" s="3">
        <f>(AU236-AT236)-AU243</f>
        <v>0</v>
      </c>
      <c r="AV273" s="3">
        <f>SUM(AR273:AU273)</f>
        <v>0</v>
      </c>
      <c r="AW273" s="3">
        <f>(AW236-AV236)-AW243</f>
        <v>0</v>
      </c>
      <c r="AX273" s="3">
        <f>(AX236-AW236)-AX243</f>
        <v>0</v>
      </c>
      <c r="AY273" s="3">
        <f>(AY236-AX236)-AY243</f>
        <v>0</v>
      </c>
      <c r="AZ273" s="3">
        <f>(AZ236-AY236)-AZ243</f>
        <v>0</v>
      </c>
      <c r="BA273" s="3">
        <f>SUM(AW273:AZ273)</f>
        <v>0</v>
      </c>
      <c r="BB273" s="3">
        <f>(BB236-BA236)-BB243</f>
        <v>0</v>
      </c>
      <c r="BC273" s="3">
        <f>(BC236-BB236)-BC243</f>
        <v>0</v>
      </c>
      <c r="BD273" s="3">
        <f>(BD236-BC236)-BD243</f>
        <v>0</v>
      </c>
      <c r="BE273" s="3">
        <f>(BE236-BD236)-BE243</f>
        <v>0</v>
      </c>
      <c r="BF273" s="3">
        <f>SUM(BB273:BE273)</f>
        <v>0</v>
      </c>
      <c r="BG273" s="3">
        <f>(BG236-BF236)-BG243</f>
        <v>0</v>
      </c>
      <c r="BH273" s="3">
        <f>(BH236-BG236)-BH243</f>
        <v>0</v>
      </c>
      <c r="BI273" s="3">
        <f>(BI236-BH236)-BI243</f>
        <v>0</v>
      </c>
      <c r="BJ273" s="3">
        <f>(BJ236-BI236)-BJ243</f>
        <v>0</v>
      </c>
      <c r="BK273" s="3">
        <f>SUM(BG273:BJ273)</f>
        <v>0</v>
      </c>
      <c r="BL273" s="3">
        <f>(BL236-BK236)-BL243</f>
        <v>0</v>
      </c>
      <c r="BM273" s="3">
        <f>(BM236-BL236)-BM243</f>
        <v>0</v>
      </c>
      <c r="BN273" s="3">
        <f>(BN236-BM236)-BN243</f>
        <v>0</v>
      </c>
      <c r="BO273" s="3">
        <f>(BO236-BN236)-BO243</f>
        <v>0</v>
      </c>
      <c r="BP273" s="3">
        <f>SUM(BL273:BO273)</f>
        <v>0</v>
      </c>
      <c r="BQ273" s="3">
        <f>(BQ236-BP236)-BQ243</f>
        <v>0</v>
      </c>
      <c r="BR273" s="3">
        <f>(BR236-BQ236)-BR243</f>
        <v>0</v>
      </c>
      <c r="BS273" s="3">
        <f>(BS236-BR236)-BS243</f>
        <v>0</v>
      </c>
      <c r="BT273" s="3">
        <f>(BT236-BS236)-BT243</f>
        <v>0</v>
      </c>
      <c r="BU273" s="3">
        <f>SUM(BQ273:BT273)</f>
        <v>0</v>
      </c>
      <c r="BV273" s="3">
        <f>(BV236-BU236)-BV243</f>
        <v>0</v>
      </c>
      <c r="BW273" s="3">
        <f>(BW236-BV236)-BW243</f>
        <v>0</v>
      </c>
      <c r="BX273" s="3">
        <f>(BX236-BW236)-BX243</f>
        <v>0</v>
      </c>
      <c r="BY273" s="3">
        <f>(BY236-BX236)-BY243</f>
        <v>0</v>
      </c>
      <c r="BZ273" s="3">
        <f>SUM(BV273:BY273)</f>
        <v>0</v>
      </c>
      <c r="CA273" s="3">
        <f>(CA236-BZ236)-CA243</f>
        <v>0</v>
      </c>
      <c r="CB273" s="3">
        <f>(CB236-CA236)-CB243</f>
        <v>0</v>
      </c>
      <c r="CC273" s="3">
        <f>(CC236-CB236)-CC243</f>
        <v>0</v>
      </c>
      <c r="CD273" s="3">
        <f>(CD236-CC236)-CD243</f>
        <v>0</v>
      </c>
      <c r="CE273" s="3">
        <f>SUM(CA273:CD273)</f>
        <v>0</v>
      </c>
      <c r="CF273" s="3">
        <f>(CF236-CE236)-CF243</f>
        <v>0</v>
      </c>
      <c r="CG273" s="3">
        <f>(CG236-CF236)-CG243</f>
        <v>0</v>
      </c>
      <c r="CH273" s="3">
        <f>(CH236-CG236)-CH243</f>
        <v>0</v>
      </c>
      <c r="CI273" s="3">
        <f>(CI236-CH236)-CI243</f>
        <v>0</v>
      </c>
      <c r="CJ273" s="3">
        <f>SUM(CF273:CI273)</f>
        <v>0</v>
      </c>
      <c r="CK273" s="3">
        <f>(CK236-CJ236)-CK243</f>
        <v>0</v>
      </c>
      <c r="CL273" s="3">
        <f>(CL236-CK236)-CL243</f>
        <v>0</v>
      </c>
      <c r="CM273" s="3">
        <f>(CM236-CL236)-CM243</f>
        <v>0</v>
      </c>
      <c r="CN273" s="3">
        <f>(CN236-CM236)-CN243</f>
        <v>0</v>
      </c>
      <c r="CO273" s="3">
        <f>SUM(CK273:CN273)</f>
        <v>0</v>
      </c>
      <c r="CP273" s="3">
        <f>(CP236-CO236)-CP243</f>
        <v>0</v>
      </c>
      <c r="CQ273" s="3">
        <f>(CQ236-CP236)-CQ243</f>
        <v>0</v>
      </c>
      <c r="CR273" s="3">
        <f>(CR236-CQ236)-CR243</f>
        <v>0</v>
      </c>
      <c r="CS273" s="3">
        <f>(CS236-CR236)-CS243</f>
        <v>0</v>
      </c>
      <c r="CT273" s="3">
        <f>SUM(CP273:CS273)</f>
        <v>0</v>
      </c>
      <c r="CU273" s="3">
        <f>(CU236-CT236)-CU243</f>
        <v>0</v>
      </c>
      <c r="CV273" s="3">
        <f>(CV236-CU236)-CV243</f>
        <v>0</v>
      </c>
      <c r="CW273" s="3">
        <f>(CW236-CV236)-CW243</f>
        <v>0</v>
      </c>
      <c r="CX273" s="3">
        <f>(CX236-CW236)-CX243</f>
        <v>0</v>
      </c>
      <c r="CY273" s="3">
        <f>SUM(CU273:CX273)</f>
        <v>0</v>
      </c>
    </row>
    <row r="274">
      <c r="C274" s="26" t="inlineStr">
        <is>
          <t>Dividends to minority interests</t>
        </is>
      </c>
      <c r="D274" s="3" t="n"/>
      <c r="E274" s="3">
        <f>(E214-D214)+E102</f>
        <v>0</v>
      </c>
      <c r="F274" s="3">
        <f>(F214-E214)+F102</f>
        <v>0</v>
      </c>
      <c r="G274" s="3">
        <f>(G214-F214)+G102</f>
        <v>0</v>
      </c>
      <c r="H274" s="3">
        <f>SUM(D274:G274)</f>
        <v>0</v>
      </c>
      <c r="I274" s="3">
        <f>(I214-H214)+I102</f>
        <v>0</v>
      </c>
      <c r="J274" s="3">
        <f>(J214-I214)+J102</f>
        <v>1.370139392</v>
      </c>
      <c r="K274" s="3">
        <f>(K214-J214)+K102</f>
        <v>0.046234966958</v>
      </c>
      <c r="L274" s="3">
        <f>(L214-K214)+L102</f>
        <v>6.21769489186028</v>
      </c>
      <c r="M274" s="3">
        <f>SUM(I274:L274)</f>
        <v>7.63406925081828</v>
      </c>
      <c r="N274" s="3">
        <f>(N214-M214)+N102</f>
        <v>0.4000668789</v>
      </c>
      <c r="O274" s="3">
        <f>(O214-N214)+O102</f>
        <v>1.29475753607972</v>
      </c>
      <c r="P274" s="3">
        <f>(P214-O214)+P102</f>
        <v>4.21690244</v>
      </c>
      <c r="Q274" s="3">
        <f>(Q214-P214)+Q102</f>
        <v>3.614749250676</v>
      </c>
      <c r="R274" s="3">
        <f>SUM(N274:Q274)</f>
        <v>9.52647610565572</v>
      </c>
      <c r="S274" s="3">
        <f>(S214-R214)+S102</f>
        <v>2.60033365</v>
      </c>
      <c r="T274" s="3">
        <f>(T214-S214)+T102</f>
        <v>-8.531227611262</v>
      </c>
      <c r="U274" s="3">
        <f>(U214-T214)+U102</f>
        <v>3.989</v>
      </c>
      <c r="V274" s="3">
        <f>(V214-U214)+V102</f>
        <v>12.947</v>
      </c>
      <c r="W274" s="3">
        <f>SUM(S274:V274)</f>
        <v>11.005106038738</v>
      </c>
      <c r="X274" s="3">
        <f>(X214-W214)+X102</f>
        <v>1.527955374137</v>
      </c>
      <c r="Y274" s="3">
        <f>(Y214-X214)+Y102</f>
        <v>46.117924753381</v>
      </c>
      <c r="Z274" s="3">
        <f>(Z214-Y214)+Z102</f>
        <v>15.068119872482</v>
      </c>
      <c r="AA274" s="3">
        <f>(AA214-Z214)+AA102</f>
        <v>7.94800000000001</v>
      </c>
      <c r="AB274" s="3">
        <f>SUM(X274:AA274)</f>
        <v>70.662</v>
      </c>
      <c r="AC274" s="3">
        <f>(AC214-AB214)+AC102</f>
        <v>11.11217</v>
      </c>
      <c r="AD274" s="3">
        <f>(AD214-AC214)+AD102</f>
        <v>5.74713299999999</v>
      </c>
      <c r="AE274" s="3">
        <f>(AE214-AD214)+AE102</f>
        <v>-1.087551200317</v>
      </c>
      <c r="AF274" s="3">
        <f>(AF214-AE214)+AF102</f>
        <v>9.55325577847376</v>
      </c>
      <c r="AG274" s="3">
        <f>SUM(AC274:AF274)</f>
        <v>25.3250075781568</v>
      </c>
      <c r="AH274" s="3">
        <f>(AH214-AG214)+AH102</f>
        <v>0</v>
      </c>
      <c r="AI274" s="3">
        <f>(AI214-AH214)+AI102</f>
        <v>0</v>
      </c>
      <c r="AJ274" s="3">
        <f>(AJ214-AI214)+AJ102</f>
        <v>0</v>
      </c>
      <c r="AK274" s="3">
        <f>(AK214-AJ214)+AK102</f>
        <v>0</v>
      </c>
      <c r="AL274" s="3">
        <f>SUM(AH274:AK274)</f>
        <v>0</v>
      </c>
      <c r="AM274" s="3">
        <f>(AM214-AL214)+AM102</f>
        <v>0</v>
      </c>
      <c r="AN274" s="3">
        <f>(AN214-AM214)+AN102</f>
        <v>0</v>
      </c>
      <c r="AO274" s="3">
        <f>(AO214-AN214)+AO102</f>
        <v>0</v>
      </c>
      <c r="AP274" s="3">
        <f>(AP214-AO214)+AP102</f>
        <v>0</v>
      </c>
      <c r="AQ274" s="3">
        <f>SUM(AM274:AP274)</f>
        <v>0</v>
      </c>
      <c r="AR274" s="3">
        <f>(AR214-AQ214)+AR102</f>
        <v>0</v>
      </c>
      <c r="AS274" s="3">
        <f>(AS214-AR214)+AS102</f>
        <v>0</v>
      </c>
      <c r="AT274" s="3">
        <f>(AT214-AS214)+AT102</f>
        <v>0</v>
      </c>
      <c r="AU274" s="3">
        <f>(AU214-AT214)+AU102</f>
        <v>0</v>
      </c>
      <c r="AV274" s="3">
        <f>SUM(AR274:AU274)</f>
        <v>0</v>
      </c>
      <c r="AW274" s="3">
        <f>(AW214-AV214)+AW102</f>
        <v>0</v>
      </c>
      <c r="AX274" s="3">
        <f>(AX214-AW214)+AX102</f>
        <v>0</v>
      </c>
      <c r="AY274" s="3">
        <f>(AY214-AX214)+AY102</f>
        <v>0</v>
      </c>
      <c r="AZ274" s="3">
        <f>(AZ214-AY214)+AZ102</f>
        <v>0</v>
      </c>
      <c r="BA274" s="3">
        <f>SUM(AW274:AZ274)</f>
        <v>0</v>
      </c>
      <c r="BB274" s="3">
        <f>(BB214-BA214)+BB102</f>
        <v>0</v>
      </c>
      <c r="BC274" s="3">
        <f>(BC214-BB214)+BC102</f>
        <v>0</v>
      </c>
      <c r="BD274" s="3">
        <f>(BD214-BC214)+BD102</f>
        <v>0</v>
      </c>
      <c r="BE274" s="3">
        <f>(BE214-BD214)+BE102</f>
        <v>0</v>
      </c>
      <c r="BF274" s="3">
        <f>SUM(BB274:BE274)</f>
        <v>0</v>
      </c>
      <c r="BG274" s="3">
        <f>(BG214-BF214)+BG102</f>
        <v>0</v>
      </c>
      <c r="BH274" s="3">
        <f>(BH214-BG214)+BH102</f>
        <v>0</v>
      </c>
      <c r="BI274" s="3">
        <f>(BI214-BH214)+BI102</f>
        <v>0</v>
      </c>
      <c r="BJ274" s="3">
        <f>(BJ214-BI214)+BJ102</f>
        <v>0</v>
      </c>
      <c r="BK274" s="3">
        <f>SUM(BG274:BJ274)</f>
        <v>0</v>
      </c>
      <c r="BL274" s="3">
        <f>(BL214-BK214)+BL102</f>
        <v>0</v>
      </c>
      <c r="BM274" s="3">
        <f>(BM214-BL214)+BM102</f>
        <v>0</v>
      </c>
      <c r="BN274" s="3">
        <f>(BN214-BM214)+BN102</f>
        <v>0</v>
      </c>
      <c r="BO274" s="3">
        <f>(BO214-BN214)+BO102</f>
        <v>0</v>
      </c>
      <c r="BP274" s="3">
        <f>SUM(BL274:BO274)</f>
        <v>0</v>
      </c>
      <c r="BQ274" s="3">
        <f>(BQ214-BP214)+BQ102</f>
        <v>0</v>
      </c>
      <c r="BR274" s="3">
        <f>(BR214-BQ214)+BR102</f>
        <v>0</v>
      </c>
      <c r="BS274" s="3">
        <f>(BS214-BR214)+BS102</f>
        <v>0</v>
      </c>
      <c r="BT274" s="3">
        <f>(BT214-BS214)+BT102</f>
        <v>0</v>
      </c>
      <c r="BU274" s="3">
        <f>SUM(BQ274:BT274)</f>
        <v>0</v>
      </c>
      <c r="BV274" s="3">
        <f>(BV214-BU214)+BV102</f>
        <v>0</v>
      </c>
      <c r="BW274" s="3">
        <f>(BW214-BV214)+BW102</f>
        <v>0</v>
      </c>
      <c r="BX274" s="3">
        <f>(BX214-BW214)+BX102</f>
        <v>0</v>
      </c>
      <c r="BY274" s="3">
        <f>(BY214-BX214)+BY102</f>
        <v>0</v>
      </c>
      <c r="BZ274" s="3">
        <f>SUM(BV274:BY274)</f>
        <v>0</v>
      </c>
      <c r="CA274" s="3">
        <f>(CA214-BZ214)+CA102</f>
        <v>0</v>
      </c>
      <c r="CB274" s="3">
        <f>(CB214-CA214)+CB102</f>
        <v>0</v>
      </c>
      <c r="CC274" s="3">
        <f>(CC214-CB214)+CC102</f>
        <v>0</v>
      </c>
      <c r="CD274" s="3">
        <f>(CD214-CC214)+CD102</f>
        <v>0</v>
      </c>
      <c r="CE274" s="3">
        <f>SUM(CA274:CD274)</f>
        <v>0</v>
      </c>
      <c r="CF274" s="3">
        <f>(CF214-CE214)+CF102</f>
        <v>0</v>
      </c>
      <c r="CG274" s="3">
        <f>(CG214-CF214)+CG102</f>
        <v>0</v>
      </c>
      <c r="CH274" s="3">
        <f>(CH214-CG214)+CH102</f>
        <v>0</v>
      </c>
      <c r="CI274" s="3">
        <f>(CI214-CH214)+CI102</f>
        <v>0</v>
      </c>
      <c r="CJ274" s="3">
        <f>SUM(CF274:CI274)</f>
        <v>0</v>
      </c>
      <c r="CK274" s="3">
        <f>(CK214-CJ214)+CK102</f>
        <v>0</v>
      </c>
      <c r="CL274" s="3">
        <f>(CL214-CK214)+CL102</f>
        <v>0</v>
      </c>
      <c r="CM274" s="3">
        <f>(CM214-CL214)+CM102</f>
        <v>0</v>
      </c>
      <c r="CN274" s="3">
        <f>(CN214-CM214)+CN102</f>
        <v>0</v>
      </c>
      <c r="CO274" s="3">
        <f>SUM(CK274:CN274)</f>
        <v>0</v>
      </c>
      <c r="CP274" s="3">
        <f>(CP214-CO214)+CP102</f>
        <v>0</v>
      </c>
      <c r="CQ274" s="3">
        <f>(CQ214-CP214)+CQ102</f>
        <v>0</v>
      </c>
      <c r="CR274" s="3">
        <f>(CR214-CQ214)+CR102</f>
        <v>0</v>
      </c>
      <c r="CS274" s="3">
        <f>(CS214-CR214)+CS102</f>
        <v>0</v>
      </c>
      <c r="CT274" s="3">
        <f>SUM(CP274:CS274)</f>
        <v>0</v>
      </c>
      <c r="CU274" s="3">
        <f>(CU214-CT214)+CU102</f>
        <v>0</v>
      </c>
      <c r="CV274" s="3">
        <f>(CV214-CU214)+CV102</f>
        <v>0</v>
      </c>
      <c r="CW274" s="3">
        <f>(CW214-CV214)+CW102</f>
        <v>0</v>
      </c>
      <c r="CX274" s="3">
        <f>(CX214-CW214)+CX102</f>
        <v>0</v>
      </c>
      <c r="CY274" s="3">
        <f>SUM(CU274:CX274)</f>
        <v>0</v>
      </c>
    </row>
    <row r="275">
      <c r="C275" s="28" t="inlineStr">
        <is>
          <t>Increases / (decreases) in debt</t>
        </is>
      </c>
      <c r="D275" s="3" t="n"/>
      <c r="E275" s="3">
        <f>SUM(E178:E180,E183,E204,E201)-SUM(D178:D180,D183,D204,D201)</f>
        <v>351.52757707</v>
      </c>
      <c r="F275" s="3">
        <f>SUM(F178:F180,F183,F204,F201)-SUM(E178:E180,E183,E204,E201)</f>
        <v>-12.6577305599999</v>
      </c>
      <c r="G275" s="3">
        <f>SUM(G178:G180,G183,G204,G201)-SUM(F178:F180,F183,F204,F201)</f>
        <v>-22.9238611700002</v>
      </c>
      <c r="H275" s="3">
        <f>SUM(D275:G275)</f>
        <v>315.94598534</v>
      </c>
      <c r="I275" s="3">
        <f>SUM(I178:I180,I183,I204,I201)-SUM(H178:H180,H183,H204,H201)</f>
        <v>-20.0606973599997</v>
      </c>
      <c r="J275" s="3">
        <f>SUM(J178:J180,J183,J204,J201)-SUM(I178:I180,I183,I204,I201)</f>
        <v>-283.21970237</v>
      </c>
      <c r="K275" s="3">
        <f>SUM(K178:K180,K183,K204,K201)-SUM(J178:J180,J183,J204,J201)</f>
        <v>641.39373104</v>
      </c>
      <c r="L275" s="3">
        <f>SUM(L178:L180,L183,L204,L201)-SUM(K178:K180,K183,K204,K201)</f>
        <v>-79.0081107800002</v>
      </c>
      <c r="M275" s="3">
        <f>SUM(I275:L275)</f>
        <v>259.10522053</v>
      </c>
      <c r="N275" s="3">
        <f>SUM(N178:N180,N183,N204,N201)-SUM(M178:M180,M183,M204,M201)</f>
        <v>-101.01417562</v>
      </c>
      <c r="O275" s="3">
        <f>SUM(O178:O180,O183,O204,O201)-SUM(N178:N180,N183,N204,N201)</f>
        <v>755.46696412</v>
      </c>
      <c r="P275" s="3">
        <f>SUM(P178:P180,P183,P204,P201)-SUM(O178:O180,O183,O204,O201)</f>
        <v>14.21223891</v>
      </c>
      <c r="Q275" s="3">
        <f>SUM(Q178:Q180,Q183,Q204,Q201)-SUM(P178:P180,P183,P204,P201)</f>
        <v>60.76515019</v>
      </c>
      <c r="R275" s="3">
        <f>SUM(N275:Q275)</f>
        <v>729.4301776</v>
      </c>
      <c r="S275" s="3">
        <f>SUM(S178:S180,S183,S204,S201)-SUM(R178:R180,R183,R204,R201)</f>
        <v>13.0918772300001</v>
      </c>
      <c r="T275" s="3">
        <f>SUM(T178:T180,T183,T204,T201)-SUM(S178:S180,S183,S204,S201)</f>
        <v>524.5237539</v>
      </c>
      <c r="U275" s="3">
        <f>SUM(U178:U180,U183,U204,U201)-SUM(T178:T180,T183,T204,T201)</f>
        <v>-138.811</v>
      </c>
      <c r="V275" s="3">
        <f>SUM(V178:V180,V183,V204,V201)-SUM(U178:U180,U183,U204,U201)</f>
        <v>164.159</v>
      </c>
      <c r="W275" s="3">
        <f>SUM(S275:V275)</f>
        <v>562.96363113</v>
      </c>
      <c r="X275" s="3">
        <f>SUM(X178:X180,X183,X204,X201)-SUM(W178:W180,W183,W204,W201)</f>
        <v>-32.4949999999999</v>
      </c>
      <c r="Y275" s="3">
        <f>SUM(Y178:Y180,Y183,Y204,Y201)-SUM(X178:X180,X183,X204,X201)</f>
        <v>946.956</v>
      </c>
      <c r="Z275" s="3">
        <f>SUM(Z178:Z180,Z183,Z204,Z201)-SUM(Y178:Y180,Y183,Y204,Y201)</f>
        <v>15.0770000000002</v>
      </c>
      <c r="AA275" s="3">
        <f>SUM(AA178:AA180,AA183,AA204,AA201)-SUM(Z178:Z180,Z183,Z204,Z201)</f>
        <v>220.974999999999</v>
      </c>
      <c r="AB275" s="3">
        <f>SUM(X275:AA275)</f>
        <v>1150.513</v>
      </c>
      <c r="AC275" s="3">
        <f>SUM(AC178:AC180,AC183,AC204,AC201)-SUM(AB178:AB180,AB183,AB204,AB201)</f>
        <v>106.335648</v>
      </c>
      <c r="AD275" s="3">
        <f>SUM(AD178:AD180,AD183,AD204,AD201)-SUM(AC178:AC180,AC183,AC204,AC201)</f>
        <v>-133.685648000001</v>
      </c>
      <c r="AE275" s="3">
        <f>SUM(AE178:AE180,AE183,AE204,AE201)-SUM(AD178:AD180,AD183,AD204,AD201)</f>
        <v>141.647000000001</v>
      </c>
      <c r="AF275" s="3">
        <f>SUM(AF178:AF180,AF183,AF204,AF201)-SUM(AE178:AE180,AE183,AE204,AE201)</f>
        <v>-234.416</v>
      </c>
      <c r="AG275" s="3">
        <f>SUM(AC275:AF275)</f>
        <v>-120.119</v>
      </c>
      <c r="AH275" s="3">
        <f>SUM(AH178:AH180,AH183,AH204,AH201)-SUM(AG178:AG180,AG183,AG204,AG201)</f>
        <v>0</v>
      </c>
      <c r="AI275" s="3">
        <f>SUM(AI178:AI180,AI183,AI204,AI201)-SUM(AH178:AH180,AH183,AH204,AH201)</f>
        <v>0</v>
      </c>
      <c r="AJ275" s="3">
        <f>SUM(AJ178:AJ180,AJ183,AJ204,AJ201)-SUM(AI178:AI180,AI183,AI204,AI201)</f>
        <v>0</v>
      </c>
      <c r="AK275" s="3">
        <f>SUM(AK178:AK180,AK183,AK204,AK201)-SUM(AJ178:AJ180,AJ183,AJ204,AJ201)</f>
        <v>0</v>
      </c>
      <c r="AL275" s="3">
        <f>SUM(AH275:AK275)</f>
        <v>0</v>
      </c>
      <c r="AM275" s="3">
        <f>SUM(AM178:AM180,AM183,AM204,AM201)-SUM(AL178:AL180,AL183,AL204,AL201)</f>
        <v>0</v>
      </c>
      <c r="AN275" s="3">
        <f>SUM(AN178:AN180,AN183,AN204,AN201)-SUM(AM178:AM180,AM183,AM204,AM201)</f>
        <v>0</v>
      </c>
      <c r="AO275" s="3">
        <f>SUM(AO178:AO180,AO183,AO204,AO201)-SUM(AN178:AN180,AN183,AN204,AN201)</f>
        <v>0</v>
      </c>
      <c r="AP275" s="3">
        <f>SUM(AP178:AP180,AP183,AP204,AP201)-SUM(AO178:AO180,AO183,AO204,AO201)</f>
        <v>0</v>
      </c>
      <c r="AQ275" s="3">
        <f>SUM(AM275:AP275)</f>
        <v>0</v>
      </c>
      <c r="AR275" s="3">
        <f>SUM(AR178:AR180,AR183,AR204,AR201)-SUM(AQ178:AQ180,AQ183,AQ204,AQ201)</f>
        <v>0</v>
      </c>
      <c r="AS275" s="3">
        <f>SUM(AS178:AS180,AS183,AS204,AS201)-SUM(AR178:AR180,AR183,AR204,AR201)</f>
        <v>0</v>
      </c>
      <c r="AT275" s="3">
        <f>SUM(AT178:AT180,AT183,AT204,AT201)-SUM(AS178:AS180,AS183,AS204,AS201)</f>
        <v>0</v>
      </c>
      <c r="AU275" s="3">
        <f>SUM(AU178:AU180,AU183,AU204,AU201)-SUM(AT178:AT180,AT183,AT204,AT201)</f>
        <v>0</v>
      </c>
      <c r="AV275" s="3">
        <f>SUM(AR275:AU275)</f>
        <v>0</v>
      </c>
      <c r="AW275" s="3">
        <f>SUM(AW178:AW180,AW183,AW204,AW201)-SUM(AV178:AV180,AV183,AV204,AV201)</f>
        <v>0</v>
      </c>
      <c r="AX275" s="3">
        <f>SUM(AX178:AX180,AX183,AX204,AX201)-SUM(AW178:AW180,AW183,AW204,AW201)</f>
        <v>0</v>
      </c>
      <c r="AY275" s="3">
        <f>SUM(AY178:AY180,AY183,AY204,AY201)-SUM(AX178:AX180,AX183,AX204,AX201)</f>
        <v>0</v>
      </c>
      <c r="AZ275" s="3">
        <f>SUM(AZ178:AZ180,AZ183,AZ204,AZ201)-SUM(AY178:AY180,AY183,AY204,AY201)</f>
        <v>0</v>
      </c>
      <c r="BA275" s="3">
        <f>SUM(AW275:AZ275)</f>
        <v>0</v>
      </c>
      <c r="BB275" s="3">
        <f>SUM(BB178:BB180,BB183,BB204,BB201)-SUM(BA178:BA180,BA183,BA204,BA201)</f>
        <v>0</v>
      </c>
      <c r="BC275" s="3">
        <f>SUM(BC178:BC180,BC183,BC204,BC201)-SUM(BB178:BB180,BB183,BB204,BB201)</f>
        <v>0</v>
      </c>
      <c r="BD275" s="3">
        <f>SUM(BD178:BD180,BD183,BD204,BD201)-SUM(BC178:BC180,BC183,BC204,BC201)</f>
        <v>0</v>
      </c>
      <c r="BE275" s="3">
        <f>SUM(BE178:BE180,BE183,BE204,BE201)-SUM(BD178:BD180,BD183,BD204,BD201)</f>
        <v>0</v>
      </c>
      <c r="BF275" s="3">
        <f>SUM(BB275:BE275)</f>
        <v>0</v>
      </c>
      <c r="BG275" s="3">
        <f>SUM(BG178:BG180,BG183,BG204,BG201)-SUM(BF178:BF180,BF183,BF204,BF201)</f>
        <v>0</v>
      </c>
      <c r="BH275" s="3">
        <f>SUM(BH178:BH180,BH183,BH204,BH201)-SUM(BG178:BG180,BG183,BG204,BG201)</f>
        <v>0</v>
      </c>
      <c r="BI275" s="3">
        <f>SUM(BI178:BI180,BI183,BI204,BI201)-SUM(BH178:BH180,BH183,BH204,BH201)</f>
        <v>0</v>
      </c>
      <c r="BJ275" s="3">
        <f>SUM(BJ178:BJ180,BJ183,BJ204,BJ201)-SUM(BI178:BI180,BI183,BI204,BI201)</f>
        <v>0</v>
      </c>
      <c r="BK275" s="3">
        <f>SUM(BG275:BJ275)</f>
        <v>0</v>
      </c>
      <c r="BL275" s="3">
        <f>SUM(BL178:BL180,BL183,BL204,BL201)-SUM(BK178:BK180,BK183,BK204,BK201)</f>
        <v>0</v>
      </c>
      <c r="BM275" s="3">
        <f>SUM(BM178:BM180,BM183,BM204,BM201)-SUM(BL178:BL180,BL183,BL204,BL201)</f>
        <v>0</v>
      </c>
      <c r="BN275" s="3">
        <f>SUM(BN178:BN180,BN183,BN204,BN201)-SUM(BM178:BM180,BM183,BM204,BM201)</f>
        <v>0</v>
      </c>
      <c r="BO275" s="3">
        <f>SUM(BO178:BO180,BO183,BO204,BO201)-SUM(BN178:BN180,BN183,BN204,BN201)</f>
        <v>0</v>
      </c>
      <c r="BP275" s="3">
        <f>SUM(BL275:BO275)</f>
        <v>0</v>
      </c>
      <c r="BQ275" s="3">
        <f>SUM(BQ178:BQ180,BQ183,BQ204,BQ201)-SUM(BP178:BP180,BP183,BP204,BP201)</f>
        <v>0</v>
      </c>
      <c r="BR275" s="3">
        <f>SUM(BR178:BR180,BR183,BR204,BR201)-SUM(BQ178:BQ180,BQ183,BQ204,BQ201)</f>
        <v>0</v>
      </c>
      <c r="BS275" s="3">
        <f>SUM(BS178:BS180,BS183,BS204,BS201)-SUM(BR178:BR180,BR183,BR204,BR201)</f>
        <v>0</v>
      </c>
      <c r="BT275" s="3">
        <f>SUM(BT178:BT180,BT183,BT204,BT201)-SUM(BS178:BS180,BS183,BS204,BS201)</f>
        <v>0</v>
      </c>
      <c r="BU275" s="3">
        <f>SUM(BQ275:BT275)</f>
        <v>0</v>
      </c>
      <c r="BV275" s="3">
        <f>SUM(BV178:BV180,BV183,BV204,BV201)-SUM(BU178:BU180,BU183,BU204,BU201)</f>
        <v>0</v>
      </c>
      <c r="BW275" s="3">
        <f>SUM(BW178:BW180,BW183,BW204,BW201)-SUM(BV178:BV180,BV183,BV204,BV201)</f>
        <v>0</v>
      </c>
      <c r="BX275" s="3">
        <f>SUM(BX178:BX180,BX183,BX204,BX201)-SUM(BW178:BW180,BW183,BW204,BW201)</f>
        <v>0</v>
      </c>
      <c r="BY275" s="3">
        <f>SUM(BY178:BY180,BY183,BY204,BY201)-SUM(BX178:BX180,BX183,BX204,BX201)</f>
        <v>0</v>
      </c>
      <c r="BZ275" s="3">
        <f>SUM(BV275:BY275)</f>
        <v>0</v>
      </c>
      <c r="CA275" s="3">
        <f>SUM(CA178:CA180,CA183,CA204,CA201)-SUM(BZ178:BZ180,BZ183,BZ204,BZ201)</f>
        <v>0</v>
      </c>
      <c r="CB275" s="3">
        <f>SUM(CB178:CB180,CB183,CB204,CB201)-SUM(CA178:CA180,CA183,CA204,CA201)</f>
        <v>0</v>
      </c>
      <c r="CC275" s="3">
        <f>SUM(CC178:CC180,CC183,CC204,CC201)-SUM(CB178:CB180,CB183,CB204,CB201)</f>
        <v>0</v>
      </c>
      <c r="CD275" s="3">
        <f>SUM(CD178:CD180,CD183,CD204,CD201)-SUM(CC178:CC180,CC183,CC204,CC201)</f>
        <v>0</v>
      </c>
      <c r="CE275" s="3">
        <f>SUM(CA275:CD275)</f>
        <v>0</v>
      </c>
      <c r="CF275" s="3">
        <f>SUM(CF178:CF180,CF183,CF204,CF201)-SUM(CE178:CE180,CE183,CE204,CE201)</f>
        <v>0</v>
      </c>
      <c r="CG275" s="3">
        <f>SUM(CG178:CG180,CG183,CG204,CG201)-SUM(CF178:CF180,CF183,CF204,CF201)</f>
        <v>0</v>
      </c>
      <c r="CH275" s="3">
        <f>SUM(CH178:CH180,CH183,CH204,CH201)-SUM(CG178:CG180,CG183,CG204,CG201)</f>
        <v>0</v>
      </c>
      <c r="CI275" s="3">
        <f>SUM(CI178:CI180,CI183,CI204,CI201)-SUM(CH178:CH180,CH183,CH204,CH201)</f>
        <v>0</v>
      </c>
      <c r="CJ275" s="3">
        <f>SUM(CF275:CI275)</f>
        <v>0</v>
      </c>
      <c r="CK275" s="3">
        <f>SUM(CK178:CK180,CK183,CK204,CK201)-SUM(CJ178:CJ180,CJ183,CJ204,CJ201)</f>
        <v>0</v>
      </c>
      <c r="CL275" s="3">
        <f>SUM(CL178:CL180,CL183,CL204,CL201)-SUM(CK178:CK180,CK183,CK204,CK201)</f>
        <v>0</v>
      </c>
      <c r="CM275" s="3">
        <f>SUM(CM178:CM180,CM183,CM204,CM201)-SUM(CL178:CL180,CL183,CL204,CL201)</f>
        <v>0</v>
      </c>
      <c r="CN275" s="3">
        <f>SUM(CN178:CN180,CN183,CN204,CN201)-SUM(CM178:CM180,CM183,CM204,CM201)</f>
        <v>0</v>
      </c>
      <c r="CO275" s="3">
        <f>SUM(CK275:CN275)</f>
        <v>0</v>
      </c>
      <c r="CP275" s="3">
        <f>SUM(CP178:CP180,CP183,CP204,CP201)-SUM(CO178:CO180,CO183,CO204,CO201)</f>
        <v>0</v>
      </c>
      <c r="CQ275" s="3">
        <f>SUM(CQ178:CQ180,CQ183,CQ204,CQ201)-SUM(CP178:CP180,CP183,CP204,CP201)</f>
        <v>0</v>
      </c>
      <c r="CR275" s="3">
        <f>SUM(CR178:CR180,CR183,CR204,CR201)-SUM(CQ178:CQ180,CQ183,CQ204,CQ201)</f>
        <v>0</v>
      </c>
      <c r="CS275" s="3">
        <f>SUM(CS178:CS180,CS183,CS204,CS201)-SUM(CR178:CR180,CR183,CR204,CR201)</f>
        <v>0</v>
      </c>
      <c r="CT275" s="3">
        <f>SUM(CP275:CS275)</f>
        <v>0</v>
      </c>
      <c r="CU275" s="3">
        <f>SUM(CU178:CU180,CU183,CU204,CU201)-SUM(CT178:CT180,CT183,CT204,CT201)</f>
        <v>0</v>
      </c>
      <c r="CV275" s="3">
        <f>SUM(CV178:CV180,CV183,CV204,CV201)-SUM(CU178:CU180,CU183,CU204,CU201)</f>
        <v>0</v>
      </c>
      <c r="CW275" s="3">
        <f>SUM(CW178:CW180,CW183,CW204,CW201)-SUM(CV178:CV180,CV183,CV204,CV201)</f>
        <v>0</v>
      </c>
      <c r="CX275" s="3">
        <f>SUM(CX178:CX180,CX183,CX204,CX201)-SUM(CW178:CW180,CW183,CW204,CW201)</f>
        <v>0</v>
      </c>
      <c r="CY275" s="3">
        <f>SUM(CU275:CX275)</f>
        <v>0</v>
      </c>
      <c r="CZ275" s="3" t="n"/>
      <c r="DA275" s="3" t="n"/>
      <c r="DB275" s="3" t="n"/>
      <c r="DC275" s="3" t="n"/>
    </row>
    <row r="276">
      <c r="C276" s="26" t="inlineStr">
        <is>
          <t>Cash from financing</t>
        </is>
      </c>
      <c r="D276" s="3" t="n"/>
      <c r="E276" s="3">
        <f>SUM(E268,E269,E270,E271,E272,E273,E274,E275)</f>
        <v>351.261932176812</v>
      </c>
      <c r="F276" s="3">
        <f>SUM(F268,F269,F270,F271,F272,F273,F274,F275)</f>
        <v>-6.31473995598535</v>
      </c>
      <c r="G276" s="3">
        <f>SUM(G268,G269,G270,G271,G272,G273,G274,G275)</f>
        <v>-99.0958560000012</v>
      </c>
      <c r="H276" s="3">
        <f>SUM(H268,H269,H270,H271,H272,H273,H274,H275)</f>
        <v>245.851336220826</v>
      </c>
      <c r="I276" s="3">
        <f>SUM(I268,I269,I270,I271,I272,I273,I274,I275)</f>
        <v>-196.644502449999</v>
      </c>
      <c r="J276" s="3">
        <f>SUM(J268,J269,J270,J271,J272,J273,J274,J275)</f>
        <v>-283.256103637998</v>
      </c>
      <c r="K276" s="3">
        <f>SUM(K268,K269,K270,K271,K272,K273,K274,K275)</f>
        <v>604.462272619554</v>
      </c>
      <c r="L276" s="3">
        <f>SUM(L268,L269,L270,L271,L272,L273,L274,L275)</f>
        <v>-113.31565128814</v>
      </c>
      <c r="M276" s="3">
        <f>SUM(M268,M269,M270,M271,M272,M273,M274,M275)</f>
        <v>11.2460152434171</v>
      </c>
      <c r="N276" s="3">
        <f>SUM(N268,N269,N270,N271,N272,N273,N274,N275)</f>
        <v>-312.616806530542</v>
      </c>
      <c r="O276" s="3">
        <f>SUM(O268,O269,O270,O271,O272,O273,O274,O275)</f>
        <v>759.587931498029</v>
      </c>
      <c r="P276" s="3">
        <f>SUM(P268,P269,P270,P271,P272,P273,P274,P275)</f>
        <v>20.26873647</v>
      </c>
      <c r="Q276" s="3">
        <f>SUM(Q268,Q269,Q270,Q271,Q272,Q273,Q274,Q275)</f>
        <v>800.062578747676</v>
      </c>
      <c r="R276" s="3">
        <f>SUM(R268,R269,R270,R271,R272,R273,R274,R275)</f>
        <v>1267.30244018516</v>
      </c>
      <c r="S276" s="3">
        <f>SUM(S268,S269,S270,S271,S272,S273,S274,S275)</f>
        <v>26.1673864530005</v>
      </c>
      <c r="T276" s="3">
        <f>SUM(T268,T269,T270,T271,T272,T273,T274,T275)</f>
        <v>2751.08242252393</v>
      </c>
      <c r="U276" s="3">
        <f>SUM(U268,U269,U270,U271,U272,U273,U274,U275)</f>
        <v>-227.266435338059</v>
      </c>
      <c r="V276" s="3">
        <f>SUM(V268,V269,V270,V271,V272,V273,V274,V275)</f>
        <v>2.14419825606921</v>
      </c>
      <c r="W276" s="3">
        <f>SUM(W268,W269,W270,W271,W272,W273,W274,W275)</f>
        <v>2552.12757189494</v>
      </c>
      <c r="X276" s="3">
        <f>SUM(X268,X269,X270,X271,X272,X273,X274,X275)</f>
        <v>-99.1536455258624</v>
      </c>
      <c r="Y276" s="3">
        <f>SUM(Y268,Y269,Y270,Y271,Y272,Y273,Y274,Y275)</f>
        <v>993.112320333382</v>
      </c>
      <c r="Z276" s="3">
        <f>SUM(Z268,Z269,Z270,Z271,Z272,Z273,Z274,Z275)</f>
        <v>-174.805749707518</v>
      </c>
      <c r="AA276" s="3">
        <f>SUM(AA268,AA269,AA270,AA271,AA272,AA273,AA274,AA275)</f>
        <v>91.4670748999998</v>
      </c>
      <c r="AB276" s="3">
        <f>SUM(AB268,AB269,AB270,AB271,AB272,AB273,AB274,AB275)</f>
        <v>810.620000000001</v>
      </c>
      <c r="AC276" s="3">
        <f>SUM(AC268,AC269,AC270,AC271,AC272,AC273,AC274,AC275)</f>
        <v>-124.10249</v>
      </c>
      <c r="AD276" s="3">
        <f>SUM(AD268,AD269,AD270,AD271,AD272,AD273,AD274,AD275)</f>
        <v>-127.938676000001</v>
      </c>
      <c r="AE276" s="3">
        <f>SUM(AE268,AE269,AE270,AE271,AE272,AE273,AE274,AE275)</f>
        <v>-28.4492739204998</v>
      </c>
      <c r="AF276" s="3">
        <f>SUM(AF268,AF269,AF270,AF271,AF272,AF273,AF274,AF275)</f>
        <v>-714.862154005118</v>
      </c>
      <c r="AG276" s="3">
        <f>SUM(AG268,AG269,AG270,AG271,AG272,AG273,AG274,AG275)</f>
        <v>-995.352593925618</v>
      </c>
      <c r="AH276" s="3">
        <f>SUM(AH268,AH269,AH270,AH271,AH272,AH273,AH274,AH275)</f>
        <v>0</v>
      </c>
      <c r="AI276" s="3">
        <f>SUM(AI268,AI269,AI270,AI271,AI272,AI273,AI274,AI275)</f>
        <v>0</v>
      </c>
      <c r="AJ276" s="3">
        <f>SUM(AJ268,AJ269,AJ270,AJ271,AJ272,AJ273,AJ274,AJ275)</f>
        <v>0</v>
      </c>
      <c r="AK276" s="3">
        <f>SUM(AK268,AK269,AK270,AK271,AK272,AK273,AK274,AK275)</f>
        <v>0</v>
      </c>
      <c r="AL276" s="3">
        <f>SUM(AL268,AL269,AL270,AL271,AL272,AL273,AL274,AL275)</f>
        <v>0</v>
      </c>
      <c r="AM276" s="3">
        <f>SUM(AM268,AM269,AM270,AM271,AM272,AM273,AM274,AM275)</f>
        <v>0</v>
      </c>
      <c r="AN276" s="3">
        <f>SUM(AN268,AN269,AN270,AN271,AN272,AN273,AN274,AN275)</f>
        <v>0</v>
      </c>
      <c r="AO276" s="3">
        <f>SUM(AO268,AO269,AO270,AO271,AO272,AO273,AO274,AO275)</f>
        <v>0</v>
      </c>
      <c r="AP276" s="3">
        <f>SUM(AP268,AP269,AP270,AP271,AP272,AP273,AP274,AP275)</f>
        <v>0</v>
      </c>
      <c r="AQ276" s="3">
        <f>SUM(AQ268,AQ269,AQ270,AQ271,AQ272,AQ273,AQ274,AQ275)</f>
        <v>0</v>
      </c>
      <c r="AR276" s="3">
        <f>SUM(AR268,AR269,AR270,AR271,AR272,AR273,AR274,AR275)</f>
        <v>0</v>
      </c>
      <c r="AS276" s="3">
        <f>SUM(AS268,AS269,AS270,AS271,AS272,AS273,AS274,AS275)</f>
        <v>0</v>
      </c>
      <c r="AT276" s="3">
        <f>SUM(AT268,AT269,AT270,AT271,AT272,AT273,AT274,AT275)</f>
        <v>0</v>
      </c>
      <c r="AU276" s="3">
        <f>SUM(AU268,AU269,AU270,AU271,AU272,AU273,AU274,AU275)</f>
        <v>0</v>
      </c>
      <c r="AV276" s="3">
        <f>SUM(AV268,AV269,AV270,AV271,AV272,AV273,AV274,AV275)</f>
        <v>0</v>
      </c>
      <c r="AW276" s="3">
        <f>SUM(AW268,AW269,AW270,AW271,AW272,AW273,AW274,AW275)</f>
        <v>0</v>
      </c>
      <c r="AX276" s="3">
        <f>SUM(AX268,AX269,AX270,AX271,AX272,AX273,AX274,AX275)</f>
        <v>0</v>
      </c>
      <c r="AY276" s="3">
        <f>SUM(AY268,AY269,AY270,AY271,AY272,AY273,AY274,AY275)</f>
        <v>0</v>
      </c>
      <c r="AZ276" s="3">
        <f>SUM(AZ268,AZ269,AZ270,AZ271,AZ272,AZ273,AZ274,AZ275)</f>
        <v>0</v>
      </c>
      <c r="BA276" s="3">
        <f>SUM(BA268,BA269,BA270,BA271,BA272,BA273,BA274,BA275)</f>
        <v>0</v>
      </c>
      <c r="BB276" s="3">
        <f>SUM(BB268,BB269,BB270,BB271,BB272,BB273,BB274,BB275)</f>
        <v>0</v>
      </c>
      <c r="BC276" s="3">
        <f>SUM(BC268,BC269,BC270,BC271,BC272,BC273,BC274,BC275)</f>
        <v>0</v>
      </c>
      <c r="BD276" s="3">
        <f>SUM(BD268,BD269,BD270,BD271,BD272,BD273,BD274,BD275)</f>
        <v>0</v>
      </c>
      <c r="BE276" s="3">
        <f>SUM(BE268,BE269,BE270,BE271,BE272,BE273,BE274,BE275)</f>
        <v>0</v>
      </c>
      <c r="BF276" s="3">
        <f>SUM(BF268,BF269,BF270,BF271,BF272,BF273,BF274,BF275)</f>
        <v>0</v>
      </c>
      <c r="BG276" s="3">
        <f>SUM(BG268,BG269,BG270,BG271,BG272,BG273,BG274,BG275)</f>
        <v>0</v>
      </c>
      <c r="BH276" s="3">
        <f>SUM(BH268,BH269,BH270,BH271,BH272,BH273,BH274,BH275)</f>
        <v>0</v>
      </c>
      <c r="BI276" s="3">
        <f>SUM(BI268,BI269,BI270,BI271,BI272,BI273,BI274,BI275)</f>
        <v>0</v>
      </c>
      <c r="BJ276" s="3">
        <f>SUM(BJ268,BJ269,BJ270,BJ271,BJ272,BJ273,BJ274,BJ275)</f>
        <v>0</v>
      </c>
      <c r="BK276" s="3">
        <f>SUM(BK268,BK269,BK270,BK271,BK272,BK273,BK274,BK275)</f>
        <v>0</v>
      </c>
      <c r="BL276" s="3">
        <f>SUM(BL268,BL269,BL270,BL271,BL272,BL273,BL274,BL275)</f>
        <v>0</v>
      </c>
      <c r="BM276" s="3">
        <f>SUM(BM268,BM269,BM270,BM271,BM272,BM273,BM274,BM275)</f>
        <v>0</v>
      </c>
      <c r="BN276" s="3">
        <f>SUM(BN268,BN269,BN270,BN271,BN272,BN273,BN274,BN275)</f>
        <v>0</v>
      </c>
      <c r="BO276" s="3">
        <f>SUM(BO268,BO269,BO270,BO271,BO272,BO273,BO274,BO275)</f>
        <v>0</v>
      </c>
      <c r="BP276" s="3">
        <f>SUM(BP268,BP269,BP270,BP271,BP272,BP273,BP274,BP275)</f>
        <v>0</v>
      </c>
      <c r="BQ276" s="3">
        <f>SUM(BQ268,BQ269,BQ270,BQ271,BQ272,BQ273,BQ274,BQ275)</f>
        <v>0</v>
      </c>
      <c r="BR276" s="3">
        <f>SUM(BR268,BR269,BR270,BR271,BR272,BR273,BR274,BR275)</f>
        <v>0</v>
      </c>
      <c r="BS276" s="3">
        <f>SUM(BS268,BS269,BS270,BS271,BS272,BS273,BS274,BS275)</f>
        <v>0</v>
      </c>
      <c r="BT276" s="3">
        <f>SUM(BT268,BT269,BT270,BT271,BT272,BT273,BT274,BT275)</f>
        <v>0</v>
      </c>
      <c r="BU276" s="3">
        <f>SUM(BU268,BU269,BU270,BU271,BU272,BU273,BU274,BU275)</f>
        <v>0</v>
      </c>
      <c r="BV276" s="3">
        <f>SUM(BV268,BV269,BV270,BV271,BV272,BV273,BV274,BV275)</f>
        <v>0</v>
      </c>
      <c r="BW276" s="3">
        <f>SUM(BW268,BW269,BW270,BW271,BW272,BW273,BW274,BW275)</f>
        <v>0</v>
      </c>
      <c r="BX276" s="3">
        <f>SUM(BX268,BX269,BX270,BX271,BX272,BX273,BX274,BX275)</f>
        <v>0</v>
      </c>
      <c r="BY276" s="3">
        <f>SUM(BY268,BY269,BY270,BY271,BY272,BY273,BY274,BY275)</f>
        <v>0</v>
      </c>
      <c r="BZ276" s="3">
        <f>SUM(BZ268,BZ269,BZ270,BZ271,BZ272,BZ273,BZ274,BZ275)</f>
        <v>0</v>
      </c>
      <c r="CA276" s="3">
        <f>SUM(CA268,CA269,CA270,CA271,CA272,CA273,CA274,CA275)</f>
        <v>0</v>
      </c>
      <c r="CB276" s="3">
        <f>SUM(CB268,CB269,CB270,CB271,CB272,CB273,CB274,CB275)</f>
        <v>0</v>
      </c>
      <c r="CC276" s="3">
        <f>SUM(CC268,CC269,CC270,CC271,CC272,CC273,CC274,CC275)</f>
        <v>0</v>
      </c>
      <c r="CD276" s="3">
        <f>SUM(CD268,CD269,CD270,CD271,CD272,CD273,CD274,CD275)</f>
        <v>0</v>
      </c>
      <c r="CE276" s="3">
        <f>SUM(CE268,CE269,CE270,CE271,CE272,CE273,CE274,CE275)</f>
        <v>0</v>
      </c>
      <c r="CF276" s="3">
        <f>SUM(CF268,CF269,CF270,CF271,CF272,CF273,CF274,CF275)</f>
        <v>0</v>
      </c>
      <c r="CG276" s="3">
        <f>SUM(CG268,CG269,CG270,CG271,CG272,CG273,CG274,CG275)</f>
        <v>0</v>
      </c>
      <c r="CH276" s="3">
        <f>SUM(CH268,CH269,CH270,CH271,CH272,CH273,CH274,CH275)</f>
        <v>0</v>
      </c>
      <c r="CI276" s="3">
        <f>SUM(CI268,CI269,CI270,CI271,CI272,CI273,CI274,CI275)</f>
        <v>0</v>
      </c>
      <c r="CJ276" s="3">
        <f>SUM(CJ268,CJ269,CJ270,CJ271,CJ272,CJ273,CJ274,CJ275)</f>
        <v>0</v>
      </c>
      <c r="CK276" s="3">
        <f>SUM(CK268,CK269,CK270,CK271,CK272,CK273,CK274,CK275)</f>
        <v>0</v>
      </c>
      <c r="CL276" s="3">
        <f>SUM(CL268,CL269,CL270,CL271,CL272,CL273,CL274,CL275)</f>
        <v>0</v>
      </c>
      <c r="CM276" s="3">
        <f>SUM(CM268,CM269,CM270,CM271,CM272,CM273,CM274,CM275)</f>
        <v>0</v>
      </c>
      <c r="CN276" s="3">
        <f>SUM(CN268,CN269,CN270,CN271,CN272,CN273,CN274,CN275)</f>
        <v>0</v>
      </c>
      <c r="CO276" s="3">
        <f>SUM(CO268,CO269,CO270,CO271,CO272,CO273,CO274,CO275)</f>
        <v>0</v>
      </c>
      <c r="CP276" s="3">
        <f>SUM(CP268,CP269,CP270,CP271,CP272,CP273,CP274,CP275)</f>
        <v>0</v>
      </c>
      <c r="CQ276" s="3">
        <f>SUM(CQ268,CQ269,CQ270,CQ271,CQ272,CQ273,CQ274,CQ275)</f>
        <v>0</v>
      </c>
      <c r="CR276" s="3">
        <f>SUM(CR268,CR269,CR270,CR271,CR272,CR273,CR274,CR275)</f>
        <v>0</v>
      </c>
      <c r="CS276" s="3">
        <f>SUM(CS268,CS269,CS270,CS271,CS272,CS273,CS274,CS275)</f>
        <v>0</v>
      </c>
      <c r="CT276" s="3">
        <f>SUM(CT268,CT269,CT270,CT271,CT272,CT273,CT274,CT275)</f>
        <v>0</v>
      </c>
      <c r="CU276" s="3">
        <f>SUM(CU268,CU269,CU270,CU271,CU272,CU273,CU274,CU275)</f>
        <v>0</v>
      </c>
      <c r="CV276" s="3">
        <f>SUM(CV268,CV269,CV270,CV271,CV272,CV273,CV274,CV275)</f>
        <v>0</v>
      </c>
      <c r="CW276" s="3">
        <f>SUM(CW268,CW269,CW270,CW271,CW272,CW273,CW274,CW275)</f>
        <v>0</v>
      </c>
      <c r="CX276" s="3">
        <f>SUM(CX268,CX269,CX270,CX271,CX272,CX273,CX274,CX275)</f>
        <v>0</v>
      </c>
      <c r="CY276" s="3">
        <f>SUM(CY268,CY269,CY270,CY271,CY272,CY273,CY274,CY275)</f>
        <v>0</v>
      </c>
    </row>
    <row r="277">
      <c r="C277" s="26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/>
      <c r="BO277" s="3" t="n"/>
      <c r="BP277" s="3" t="n"/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  <c r="CG277" s="3" t="n"/>
      <c r="CH277" s="3" t="n"/>
      <c r="CI277" s="3" t="n"/>
      <c r="CJ277" s="3" t="n"/>
      <c r="CK277" s="3" t="n"/>
      <c r="CL277" s="3" t="n"/>
      <c r="CM277" s="3" t="n"/>
      <c r="CN277" s="3" t="n"/>
      <c r="CO277" s="3" t="n"/>
      <c r="CP277" s="3" t="n"/>
      <c r="CQ277" s="3" t="n"/>
      <c r="CR277" s="3" t="n"/>
      <c r="CS277" s="3" t="n"/>
      <c r="CT277" s="3" t="n"/>
      <c r="CU277" s="3" t="n"/>
      <c r="CV277" s="3" t="n"/>
      <c r="CW277" s="3" t="n"/>
      <c r="CX277" s="3" t="n"/>
      <c r="CY277" s="3" t="n"/>
    </row>
    <row r="278">
      <c r="C278" s="26" t="inlineStr">
        <is>
          <t>Others</t>
        </is>
      </c>
      <c r="D278" s="3" t="n"/>
      <c r="E278" s="3" t="n"/>
      <c r="F278" s="3" t="n"/>
      <c r="G278" s="3" t="n"/>
      <c r="H278" s="3">
        <f>SUM(D278:G278)</f>
        <v>0</v>
      </c>
      <c r="I278" s="3" t="n"/>
      <c r="J278" s="3" t="n"/>
      <c r="K278" s="3" t="n"/>
      <c r="L278" s="3" t="n"/>
      <c r="M278" s="3">
        <f>SUM(I278:L278)</f>
        <v>0</v>
      </c>
      <c r="N278" s="3" t="n"/>
      <c r="O278" s="3" t="n"/>
      <c r="P278" s="3" t="n"/>
      <c r="Q278" s="3" t="n"/>
      <c r="R278" s="3">
        <f>SUM(N278:Q278)</f>
        <v>0</v>
      </c>
      <c r="S278" s="3" t="n"/>
      <c r="T278" s="3" t="n"/>
      <c r="U278" s="3" t="n"/>
      <c r="V278" s="3" t="n"/>
      <c r="W278" s="3">
        <f>SUM(S278:V278)</f>
        <v>0</v>
      </c>
      <c r="X278" s="3" t="n"/>
      <c r="Y278" s="3" t="n"/>
      <c r="Z278" s="3" t="n"/>
      <c r="AA278" s="3" t="n"/>
      <c r="AB278" s="3">
        <f>SUM(X278:AA278)</f>
        <v>0</v>
      </c>
      <c r="AC278" s="3" t="n"/>
      <c r="AD278" s="3" t="n"/>
      <c r="AE278" s="3" t="n"/>
      <c r="AF278" s="3" t="n"/>
      <c r="AG278" s="3">
        <f>SUM(AC278:AF278)</f>
        <v>0</v>
      </c>
      <c r="AH278" s="3" t="n"/>
      <c r="AI278" s="3" t="n"/>
      <c r="AJ278" s="3" t="n"/>
      <c r="AK278" s="3" t="n"/>
      <c r="AL278" s="3">
        <f>SUM(AH278:AK278)</f>
        <v>0</v>
      </c>
      <c r="AM278" s="3" t="n"/>
      <c r="AN278" s="3" t="n"/>
      <c r="AO278" s="3" t="n"/>
      <c r="AP278" s="3" t="n"/>
      <c r="AQ278" s="3">
        <f>SUM(AM278:AP278)</f>
        <v>0</v>
      </c>
      <c r="AR278" s="3" t="n"/>
      <c r="AS278" s="3" t="n"/>
      <c r="AT278" s="3" t="n"/>
      <c r="AU278" s="3" t="n"/>
      <c r="AV278" s="3">
        <f>SUM(AR278:AU278)</f>
        <v>0</v>
      </c>
      <c r="AW278" s="3" t="n"/>
      <c r="AX278" s="3" t="n"/>
      <c r="AY278" s="3" t="n"/>
      <c r="AZ278" s="3" t="n"/>
      <c r="BA278" s="3">
        <f>SUM(AW278:AZ278)</f>
        <v>0</v>
      </c>
      <c r="BB278" s="3" t="n"/>
      <c r="BC278" s="3" t="n"/>
      <c r="BD278" s="3" t="n"/>
      <c r="BE278" s="3" t="n"/>
      <c r="BF278" s="3">
        <f>SUM(BB278:BE278)</f>
        <v>0</v>
      </c>
      <c r="BG278" s="3" t="n"/>
      <c r="BH278" s="3" t="n"/>
      <c r="BI278" s="3" t="n"/>
      <c r="BJ278" s="3" t="n"/>
      <c r="BK278" s="3">
        <f>SUM(BG278:BJ278)</f>
        <v>0</v>
      </c>
      <c r="BL278" s="3" t="n"/>
      <c r="BM278" s="3" t="n"/>
      <c r="BN278" s="3" t="n"/>
      <c r="BO278" s="3" t="n"/>
      <c r="BP278" s="3">
        <f>SUM(BL278:BO278)</f>
        <v>0</v>
      </c>
      <c r="BQ278" s="3" t="n"/>
      <c r="BR278" s="3" t="n"/>
      <c r="BS278" s="3" t="n"/>
      <c r="BT278" s="3" t="n"/>
      <c r="BU278" s="3">
        <f>SUM(BQ278:BT278)</f>
        <v>0</v>
      </c>
      <c r="BV278" s="3" t="n"/>
      <c r="BW278" s="3" t="n"/>
      <c r="BX278" s="3" t="n"/>
      <c r="BY278" s="3" t="n"/>
      <c r="BZ278" s="3">
        <f>SUM(BV278:BY278)</f>
        <v>0</v>
      </c>
      <c r="CA278" s="3" t="n"/>
      <c r="CB278" s="3" t="n"/>
      <c r="CC278" s="3" t="n"/>
      <c r="CD278" s="3" t="n"/>
      <c r="CE278" s="3">
        <f>SUM(CA278:CD278)</f>
        <v>0</v>
      </c>
      <c r="CF278" s="3" t="n"/>
      <c r="CG278" s="3" t="n"/>
      <c r="CH278" s="3" t="n"/>
      <c r="CI278" s="3" t="n"/>
      <c r="CJ278" s="3">
        <f>SUM(CF278:CI278)</f>
        <v>0</v>
      </c>
      <c r="CK278" s="3" t="n"/>
      <c r="CL278" s="3" t="n"/>
      <c r="CM278" s="3" t="n"/>
      <c r="CN278" s="3" t="n"/>
      <c r="CO278" s="3">
        <f>SUM(CK278:CN278)</f>
        <v>0</v>
      </c>
      <c r="CP278" s="3" t="n"/>
      <c r="CQ278" s="3" t="n"/>
      <c r="CR278" s="3" t="n"/>
      <c r="CS278" s="3" t="n"/>
      <c r="CT278" s="3">
        <f>SUM(CP278:CS278)</f>
        <v>0</v>
      </c>
      <c r="CU278" s="3" t="n"/>
      <c r="CV278" s="3" t="n"/>
      <c r="CW278" s="3" t="n"/>
      <c r="CX278" s="3" t="n"/>
      <c r="CY278" s="3">
        <f>SUM(CU278:CX278)</f>
        <v>0</v>
      </c>
    </row>
    <row r="279">
      <c r="C279" s="26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  <c r="AY279" s="3" t="n"/>
      <c r="AZ279" s="3" t="n"/>
      <c r="BA279" s="3" t="n"/>
      <c r="BB279" s="3" t="n"/>
      <c r="BC279" s="3" t="n"/>
      <c r="BD279" s="3" t="n"/>
      <c r="BE279" s="3" t="n"/>
      <c r="BF279" s="3" t="n"/>
      <c r="BG279" s="3" t="n"/>
      <c r="BH279" s="3" t="n"/>
      <c r="BI279" s="3" t="n"/>
      <c r="BJ279" s="3" t="n"/>
      <c r="BK279" s="3" t="n"/>
      <c r="BL279" s="3" t="n"/>
      <c r="BM279" s="3" t="n"/>
      <c r="BN279" s="3" t="n"/>
      <c r="BO279" s="3" t="n"/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  <c r="CG279" s="3" t="n"/>
      <c r="CH279" s="3" t="n"/>
      <c r="CI279" s="3" t="n"/>
      <c r="CJ279" s="3" t="n"/>
      <c r="CK279" s="3" t="n"/>
      <c r="CL279" s="3" t="n"/>
      <c r="CM279" s="3" t="n"/>
      <c r="CN279" s="3" t="n"/>
      <c r="CO279" s="3" t="n"/>
      <c r="CP279" s="3" t="n"/>
      <c r="CQ279" s="3" t="n"/>
      <c r="CR279" s="3" t="n"/>
      <c r="CS279" s="3" t="n"/>
      <c r="CT279" s="3" t="n"/>
      <c r="CU279" s="3" t="n"/>
      <c r="CV279" s="3" t="n"/>
      <c r="CW279" s="3" t="n"/>
      <c r="CX279" s="3" t="n"/>
      <c r="CY279" s="3" t="n"/>
    </row>
    <row r="280">
      <c r="C280" s="26" t="inlineStr">
        <is>
          <t>Total increase/decrease of cash</t>
        </is>
      </c>
      <c r="D280" s="3" t="n"/>
      <c r="E280" s="3">
        <f>SUM(E259,E266,E276,E278)</f>
        <v>349.181013660835</v>
      </c>
      <c r="F280" s="3">
        <f>SUM(F259,F266,F276,F278)</f>
        <v>56.434602363023</v>
      </c>
      <c r="G280" s="3">
        <f>SUM(G259,G266,G276,G278)</f>
        <v>-97.7732153913735</v>
      </c>
      <c r="H280" s="3">
        <f>SUM(D280:G280)</f>
        <v>307.842400632485</v>
      </c>
      <c r="I280" s="3">
        <f>SUM(I259,I266,I276,I278)</f>
        <v>-14.0456721913697</v>
      </c>
      <c r="J280" s="3">
        <f>SUM(J259,J266,J276,J278)</f>
        <v>-425.299554488976</v>
      </c>
      <c r="K280" s="3">
        <f>SUM(K259,K266,K276,K278)</f>
        <v>356.13500867833</v>
      </c>
      <c r="L280" s="3">
        <f>SUM(L259,L266,L276,L278)</f>
        <v>-166.782218656471</v>
      </c>
      <c r="M280" s="3">
        <f>SUM(I280:L280)</f>
        <v>-249.992436658487</v>
      </c>
      <c r="N280" s="3">
        <f>SUM(N259,N266,N276,N278)</f>
        <v>-296.694734858608</v>
      </c>
      <c r="O280" s="3">
        <f>SUM(O259,O266,O276,O278)</f>
        <v>215.196131119184</v>
      </c>
      <c r="P280" s="3">
        <f>SUM(P259,P266,P276,P278)</f>
        <v>114.166113710507</v>
      </c>
      <c r="Q280" s="3">
        <f>SUM(Q259,Q266,Q276,Q278)</f>
        <v>537.036647840266</v>
      </c>
      <c r="R280" s="3">
        <f>SUM(N280:Q280)</f>
        <v>569.704157811349</v>
      </c>
      <c r="S280" s="3">
        <f>SUM(S259,S266,S276,S278)</f>
        <v>-31.8714968902654</v>
      </c>
      <c r="T280" s="3">
        <f>SUM(T259,T266,T276,T278)</f>
        <v>-370.652902100001</v>
      </c>
      <c r="U280" s="3">
        <f>SUM(U259,U266,U276,U278)</f>
        <v>69.7050000000005</v>
      </c>
      <c r="V280" s="3">
        <f>SUM(V259,V266,V276,V278)</f>
        <v>-40.6970000000006</v>
      </c>
      <c r="W280" s="3">
        <f>SUM(S280:V280)</f>
        <v>-373.516398990267</v>
      </c>
      <c r="X280" s="3">
        <f>SUM(X259,X266,X276,X278)</f>
        <v>-31.4394633558622</v>
      </c>
      <c r="Y280" s="3">
        <f>SUM(Y259,Y266,Y276,Y278)</f>
        <v>1100.77273906338</v>
      </c>
      <c r="Z280" s="3">
        <f>SUM(Z259,Z266,Z276,Z278)</f>
        <v>210.485724292482</v>
      </c>
      <c r="AA280" s="3">
        <f>SUM(AA259,AA266,AA276,AA278)</f>
        <v>108.526999999999</v>
      </c>
      <c r="AB280" s="3">
        <f>SUM(X280:AA280)</f>
        <v>1388.346</v>
      </c>
      <c r="AC280" s="3">
        <f>SUM(AC259,AC266,AC276,AC278)</f>
        <v>99.3305521900008</v>
      </c>
      <c r="AD280" s="3">
        <f>SUM(AD259,AD266,AD276,AD278)</f>
        <v>-354.499552190001</v>
      </c>
      <c r="AE280" s="3">
        <f>SUM(AE259,AE266,AE276,AE278)</f>
        <v>431.633000000001</v>
      </c>
      <c r="AF280" s="3">
        <f>SUM(AF259,AF266,AF276,AF278)</f>
        <v>-347.412</v>
      </c>
      <c r="AG280" s="3">
        <f>SUM(AC280:AF280)</f>
        <v>-170.947999999999</v>
      </c>
      <c r="AH280" s="3">
        <f>SUM(AH259,AH266,AH276,AH278)</f>
        <v>708.24862359</v>
      </c>
      <c r="AI280" s="3">
        <f>SUM(AI259,AI266,AI276,AI278)</f>
        <v>6315.07395063</v>
      </c>
      <c r="AJ280" s="3" t="e">
        <f>SUM(AJ259,AJ266,AJ276,AJ278)</f>
        <v>#DIV/0!</v>
      </c>
      <c r="AK280" s="3" t="e">
        <f>SUM(AK259,AK266,AK276,AK278)</f>
        <v>#DIV/0!</v>
      </c>
      <c r="AL280" s="3" t="e">
        <f>SUM(AH280:AK280)</f>
        <v>#DIV/0!</v>
      </c>
      <c r="AM280" s="3" t="e">
        <f>SUM(AM259,AM266,AM276,AM278)</f>
        <v>#DIV/0!</v>
      </c>
      <c r="AN280" s="3" t="e">
        <f>SUM(AN259,AN266,AN276,AN278)</f>
        <v>#DIV/0!</v>
      </c>
      <c r="AO280" s="3" t="e">
        <f>SUM(AO259,AO266,AO276,AO278)</f>
        <v>#DIV/0!</v>
      </c>
      <c r="AP280" s="3" t="e">
        <f>SUM(AP259,AP266,AP276,AP278)</f>
        <v>#DIV/0!</v>
      </c>
      <c r="AQ280" s="3" t="e">
        <f>SUM(AM280:AP280)</f>
        <v>#DIV/0!</v>
      </c>
      <c r="AR280" s="3" t="e">
        <f>SUM(AR259,AR266,AR276,AR278)</f>
        <v>#DIV/0!</v>
      </c>
      <c r="AS280" s="3" t="e">
        <f>SUM(AS259,AS266,AS276,AS278)</f>
        <v>#DIV/0!</v>
      </c>
      <c r="AT280" s="3" t="e">
        <f>SUM(AT259,AT266,AT276,AT278)</f>
        <v>#DIV/0!</v>
      </c>
      <c r="AU280" s="3" t="e">
        <f>SUM(AU259,AU266,AU276,AU278)</f>
        <v>#DIV/0!</v>
      </c>
      <c r="AV280" s="3" t="e">
        <f>SUM(AR280:AU280)</f>
        <v>#DIV/0!</v>
      </c>
      <c r="AW280" s="3" t="e">
        <f>SUM(AW259,AW266,AW276,AW278)</f>
        <v>#DIV/0!</v>
      </c>
      <c r="AX280" s="3" t="e">
        <f>SUM(AX259,AX266,AX276,AX278)</f>
        <v>#DIV/0!</v>
      </c>
      <c r="AY280" s="3" t="e">
        <f>SUM(AY259,AY266,AY276,AY278)</f>
        <v>#DIV/0!</v>
      </c>
      <c r="AZ280" s="3" t="e">
        <f>SUM(AZ259,AZ266,AZ276,AZ278)</f>
        <v>#DIV/0!</v>
      </c>
      <c r="BA280" s="3" t="e">
        <f>SUM(AW280:AZ280)</f>
        <v>#DIV/0!</v>
      </c>
      <c r="BB280" s="3" t="e">
        <f>SUM(BB259,BB266,BB276,BB278)</f>
        <v>#DIV/0!</v>
      </c>
      <c r="BC280" s="3" t="e">
        <f>SUM(BC259,BC266,BC276,BC278)</f>
        <v>#DIV/0!</v>
      </c>
      <c r="BD280" s="3" t="e">
        <f>SUM(BD259,BD266,BD276,BD278)</f>
        <v>#DIV/0!</v>
      </c>
      <c r="BE280" s="3" t="e">
        <f>SUM(BE259,BE266,BE276,BE278)</f>
        <v>#DIV/0!</v>
      </c>
      <c r="BF280" s="3" t="e">
        <f>SUM(BB280:BE280)</f>
        <v>#DIV/0!</v>
      </c>
      <c r="BG280" s="3" t="e">
        <f>SUM(BG259,BG266,BG276,BG278)</f>
        <v>#DIV/0!</v>
      </c>
      <c r="BH280" s="3" t="e">
        <f>SUM(BH259,BH266,BH276,BH278)</f>
        <v>#DIV/0!</v>
      </c>
      <c r="BI280" s="3" t="e">
        <f>SUM(BI259,BI266,BI276,BI278)</f>
        <v>#DIV/0!</v>
      </c>
      <c r="BJ280" s="3" t="e">
        <f>SUM(BJ259,BJ266,BJ276,BJ278)</f>
        <v>#DIV/0!</v>
      </c>
      <c r="BK280" s="3" t="e">
        <f>SUM(BG280:BJ280)</f>
        <v>#DIV/0!</v>
      </c>
      <c r="BL280" s="3" t="e">
        <f>SUM(BL259,BL266,BL276,BL278)</f>
        <v>#DIV/0!</v>
      </c>
      <c r="BM280" s="3" t="e">
        <f>SUM(BM259,BM266,BM276,BM278)</f>
        <v>#DIV/0!</v>
      </c>
      <c r="BN280" s="3" t="e">
        <f>SUM(BN259,BN266,BN276,BN278)</f>
        <v>#DIV/0!</v>
      </c>
      <c r="BO280" s="3" t="e">
        <f>SUM(BO259,BO266,BO276,BO278)</f>
        <v>#DIV/0!</v>
      </c>
      <c r="BP280" s="3" t="e">
        <f>SUM(BL280:BO280)</f>
        <v>#DIV/0!</v>
      </c>
      <c r="BQ280" s="3" t="e">
        <f>SUM(BQ259,BQ266,BQ276,BQ278)</f>
        <v>#DIV/0!</v>
      </c>
      <c r="BR280" s="3" t="e">
        <f>SUM(BR259,BR266,BR276,BR278)</f>
        <v>#DIV/0!</v>
      </c>
      <c r="BS280" s="3" t="e">
        <f>SUM(BS259,BS266,BS276,BS278)</f>
        <v>#DIV/0!</v>
      </c>
      <c r="BT280" s="3" t="e">
        <f>SUM(BT259,BT266,BT276,BT278)</f>
        <v>#DIV/0!</v>
      </c>
      <c r="BU280" s="3" t="e">
        <f>SUM(BQ280:BT280)</f>
        <v>#DIV/0!</v>
      </c>
      <c r="BV280" s="3" t="e">
        <f>SUM(BV259,BV266,BV276,BV278)</f>
        <v>#DIV/0!</v>
      </c>
      <c r="BW280" s="3" t="e">
        <f>SUM(BW259,BW266,BW276,BW278)</f>
        <v>#DIV/0!</v>
      </c>
      <c r="BX280" s="3" t="e">
        <f>SUM(BX259,BX266,BX276,BX278)</f>
        <v>#DIV/0!</v>
      </c>
      <c r="BY280" s="3" t="e">
        <f>SUM(BY259,BY266,BY276,BY278)</f>
        <v>#DIV/0!</v>
      </c>
      <c r="BZ280" s="3" t="e">
        <f>SUM(BV280:BY280)</f>
        <v>#DIV/0!</v>
      </c>
      <c r="CA280" s="3" t="e">
        <f>SUM(CA259,CA266,CA276,CA278)</f>
        <v>#DIV/0!</v>
      </c>
      <c r="CB280" s="3" t="e">
        <f>SUM(CB259,CB266,CB276,CB278)</f>
        <v>#DIV/0!</v>
      </c>
      <c r="CC280" s="3" t="e">
        <f>SUM(CC259,CC266,CC276,CC278)</f>
        <v>#DIV/0!</v>
      </c>
      <c r="CD280" s="3" t="e">
        <f>SUM(CD259,CD266,CD276,CD278)</f>
        <v>#DIV/0!</v>
      </c>
      <c r="CE280" s="3" t="e">
        <f>SUM(CA280:CD280)</f>
        <v>#DIV/0!</v>
      </c>
      <c r="CF280" s="3" t="e">
        <f>SUM(CF259,CF266,CF276,CF278)</f>
        <v>#DIV/0!</v>
      </c>
      <c r="CG280" s="3" t="e">
        <f>SUM(CG259,CG266,CG276,CG278)</f>
        <v>#DIV/0!</v>
      </c>
      <c r="CH280" s="3" t="e">
        <f>SUM(CH259,CH266,CH276,CH278)</f>
        <v>#DIV/0!</v>
      </c>
      <c r="CI280" s="3" t="e">
        <f>SUM(CI259,CI266,CI276,CI278)</f>
        <v>#DIV/0!</v>
      </c>
      <c r="CJ280" s="3" t="e">
        <f>SUM(CF280:CI280)</f>
        <v>#DIV/0!</v>
      </c>
      <c r="CK280" s="3" t="e">
        <f>SUM(CK259,CK266,CK276,CK278)</f>
        <v>#DIV/0!</v>
      </c>
      <c r="CL280" s="3" t="e">
        <f>SUM(CL259,CL266,CL276,CL278)</f>
        <v>#DIV/0!</v>
      </c>
      <c r="CM280" s="3" t="e">
        <f>SUM(CM259,CM266,CM276,CM278)</f>
        <v>#DIV/0!</v>
      </c>
      <c r="CN280" s="3" t="e">
        <f>SUM(CN259,CN266,CN276,CN278)</f>
        <v>#DIV/0!</v>
      </c>
      <c r="CO280" s="3" t="e">
        <f>SUM(CK280:CN280)</f>
        <v>#DIV/0!</v>
      </c>
      <c r="CP280" s="3" t="e">
        <f>SUM(CP259,CP266,CP276,CP278)</f>
        <v>#DIV/0!</v>
      </c>
      <c r="CQ280" s="3" t="e">
        <f>SUM(CQ259,CQ266,CQ276,CQ278)</f>
        <v>#DIV/0!</v>
      </c>
      <c r="CR280" s="3" t="e">
        <f>SUM(CR259,CR266,CR276,CR278)</f>
        <v>#DIV/0!</v>
      </c>
      <c r="CS280" s="3" t="e">
        <f>SUM(CS259,CS266,CS276,CS278)</f>
        <v>#DIV/0!</v>
      </c>
      <c r="CT280" s="3" t="e">
        <f>SUM(CP280:CS280)</f>
        <v>#DIV/0!</v>
      </c>
      <c r="CU280" s="3" t="e">
        <f>SUM(CU259,CU266,CU276,CU278)</f>
        <v>#DIV/0!</v>
      </c>
      <c r="CV280" s="3" t="e">
        <f>SUM(CV259,CV266,CV276,CV278)</f>
        <v>#DIV/0!</v>
      </c>
      <c r="CW280" s="3" t="e">
        <f>SUM(CW259,CW266,CW276,CW278)</f>
        <v>#DIV/0!</v>
      </c>
      <c r="CX280" s="3" t="e">
        <f>SUM(CX259,CX266,CX276,CX278)</f>
        <v>#DIV/0!</v>
      </c>
      <c r="CY280" s="3" t="e">
        <f>SUM(CU280:CX280)</f>
        <v>#DIV/0!</v>
      </c>
    </row>
    <row r="281">
      <c r="C281" s="4" t="inlineStr">
        <is>
          <t>Check</t>
        </is>
      </c>
      <c r="E281" s="51">
        <f>(E280)-(E110-D110)</f>
        <v>-0.000935819164851637</v>
      </c>
      <c r="F281" s="51">
        <f>(F280)-(F110-E110)</f>
        <v>1.30230404238318e-08</v>
      </c>
      <c r="G281" s="51">
        <f>(G280)-(G110-F110)</f>
        <v>-1.373592795062e-09</v>
      </c>
      <c r="I281" s="51">
        <f>(I280)-(I110-H110)</f>
        <v>-1.13697780079747e-08</v>
      </c>
      <c r="J281" s="51">
        <f>(J280)-(J110-I110)</f>
        <v>1.02409103419632e-09</v>
      </c>
      <c r="K281" s="51">
        <f>(K280)-(K110-J110)</f>
        <v>-1.66994595929282e-09</v>
      </c>
      <c r="L281" s="51">
        <f>(L280)-(L110-K110)</f>
        <v>0.000637893528960376</v>
      </c>
      <c r="N281" s="51">
        <f>(N280)-(N110-M110)</f>
        <v>-0.000643888608351517</v>
      </c>
      <c r="O281" s="51">
        <f>(O280)-(O110-N110)</f>
        <v>5.15918418386718e-06</v>
      </c>
      <c r="P281" s="51">
        <f>(P280)-(P110-O110)</f>
        <v>8.30506962756772e-07</v>
      </c>
      <c r="Q281" s="51">
        <f>(Q280)-(Q110-P110)</f>
        <v>-9.99973394755216e-06</v>
      </c>
      <c r="S281" s="51">
        <f>(S280)-(S110-R110)</f>
        <v>-2.72302651929124e-05</v>
      </c>
      <c r="T281" s="51">
        <f>(T280)-(T110-S110)</f>
        <v>3.72399988464167e-05</v>
      </c>
      <c r="U281" s="51">
        <f>(U280)-(U110-T110)</f>
        <v>3.69482222595252e-13</v>
      </c>
      <c r="V281" s="51">
        <f>(V280)-(V110-U110)</f>
        <v>-4.9737991503207e-13</v>
      </c>
      <c r="X281" s="51">
        <f>(X280)-(X110-W110)</f>
        <v>-0.000463355862123649</v>
      </c>
      <c r="Y281" s="51">
        <f>(Y280)-(Y110-X110)</f>
        <v>0.000739063381161031</v>
      </c>
      <c r="Z281" s="51">
        <f>(Z280)-(Z110-Y110)</f>
        <v>-0.000275707517943147</v>
      </c>
      <c r="AA281" s="51">
        <f>(AA280)-(AA110-Z110)</f>
        <v>-9.66338120633736e-13</v>
      </c>
      <c r="AC281" s="51">
        <f>(AC280)-(AC110-AB110)</f>
        <v>0.000463190000743907</v>
      </c>
      <c r="AD281" s="51">
        <f>(AD280)-(AD110-AC110)</f>
        <v>-0.000463190001141811</v>
      </c>
      <c r="AE281" s="51">
        <f>(AE280)-(AE110-AD110)</f>
        <v>0</v>
      </c>
      <c r="AF281" s="51">
        <f>(AF280)-(AF110-AE110)</f>
        <v>0</v>
      </c>
      <c r="AH281" s="51">
        <f>(AH280)-(AH110-AG110)</f>
        <v>0</v>
      </c>
      <c r="AI281" s="51">
        <f>(AI280)-(AI110-AH110)</f>
        <v>0</v>
      </c>
      <c r="AJ281" s="51" t="e">
        <f>(AJ280)-(AJ110-AI110)</f>
        <v>#DIV/0!</v>
      </c>
      <c r="AK281" s="51" t="e">
        <f>(AK280)-(AK110-AJ110)</f>
        <v>#DIV/0!</v>
      </c>
      <c r="AM281" s="51" t="e">
        <f>(AM280)-(AM110-AL110)</f>
        <v>#DIV/0!</v>
      </c>
      <c r="AN281" s="51" t="e">
        <f>(AN280)-(AN110-AM110)</f>
        <v>#DIV/0!</v>
      </c>
      <c r="AO281" s="51" t="e">
        <f>(AO280)-(AO110-AN110)</f>
        <v>#DIV/0!</v>
      </c>
      <c r="AP281" s="51" t="e">
        <f>(AP280)-(AP110-AO110)</f>
        <v>#DIV/0!</v>
      </c>
      <c r="AR281" s="51" t="e">
        <f>(AR280)-(AR110-AQ110)</f>
        <v>#DIV/0!</v>
      </c>
      <c r="AS281" s="51" t="e">
        <f>(AS280)-(AS110-AR110)</f>
        <v>#DIV/0!</v>
      </c>
      <c r="AT281" s="51" t="e">
        <f>(AT280)-(AT110-AS110)</f>
        <v>#DIV/0!</v>
      </c>
      <c r="AU281" s="51" t="e">
        <f>(AU280)-(AU110-AT110)</f>
        <v>#DIV/0!</v>
      </c>
      <c r="AW281" s="51" t="e">
        <f>(AW280)-(AW110-AV110)</f>
        <v>#DIV/0!</v>
      </c>
      <c r="AX281" s="51" t="e">
        <f>(AX280)-(AX110-AW110)</f>
        <v>#DIV/0!</v>
      </c>
      <c r="AY281" s="51" t="e">
        <f>(AY280)-(AY110-AX110)</f>
        <v>#DIV/0!</v>
      </c>
      <c r="AZ281" s="51" t="e">
        <f>(AZ280)-(AZ110-AY110)</f>
        <v>#DIV/0!</v>
      </c>
      <c r="BB281" s="51" t="e">
        <f>(BB280)-(BB110-BA110)</f>
        <v>#DIV/0!</v>
      </c>
      <c r="BC281" s="51" t="e">
        <f>(BC280)-(BC110-BB110)</f>
        <v>#DIV/0!</v>
      </c>
      <c r="BD281" s="51" t="e">
        <f>(BD280)-(BD110-BC110)</f>
        <v>#DIV/0!</v>
      </c>
      <c r="BE281" s="51" t="e">
        <f>(BE280)-(BE110-BD110)</f>
        <v>#DIV/0!</v>
      </c>
      <c r="BG281" s="51" t="e">
        <f>(BG280)-(BG110-BF110)</f>
        <v>#DIV/0!</v>
      </c>
      <c r="BH281" s="51" t="e">
        <f>(BH280)-(BH110-BG110)</f>
        <v>#DIV/0!</v>
      </c>
      <c r="BI281" s="51" t="e">
        <f>(BI280)-(BI110-BH110)</f>
        <v>#DIV/0!</v>
      </c>
      <c r="BJ281" s="51" t="e">
        <f>(BJ280)-(BJ110-BI110)</f>
        <v>#DIV/0!</v>
      </c>
      <c r="BL281" s="51" t="e">
        <f>(BL280)-(BL110-BK110)</f>
        <v>#DIV/0!</v>
      </c>
      <c r="BM281" s="51" t="e">
        <f>(BM280)-(BM110-BL110)</f>
        <v>#DIV/0!</v>
      </c>
      <c r="BN281" s="51" t="e">
        <f>(BN280)-(BN110-BM110)</f>
        <v>#DIV/0!</v>
      </c>
      <c r="BO281" s="51" t="e">
        <f>(BO280)-(BO110-BN110)</f>
        <v>#DIV/0!</v>
      </c>
      <c r="BQ281" s="51" t="e">
        <f>(BQ280)-(BQ110-BP110)</f>
        <v>#DIV/0!</v>
      </c>
      <c r="BR281" s="51" t="e">
        <f>(BR280)-(BR110-BQ110)</f>
        <v>#DIV/0!</v>
      </c>
      <c r="BS281" s="51" t="e">
        <f>(BS280)-(BS110-BR110)</f>
        <v>#DIV/0!</v>
      </c>
      <c r="BT281" s="51" t="e">
        <f>(BT280)-(BT110-BS110)</f>
        <v>#DIV/0!</v>
      </c>
      <c r="BV281" s="51" t="e">
        <f>(BV280)-(BV110-BU110)</f>
        <v>#DIV/0!</v>
      </c>
      <c r="BW281" s="51" t="e">
        <f>(BW280)-(BW110-BV110)</f>
        <v>#DIV/0!</v>
      </c>
      <c r="BX281" s="51" t="e">
        <f>(BX280)-(BX110-BW110)</f>
        <v>#DIV/0!</v>
      </c>
      <c r="BY281" s="51" t="e">
        <f>(BY280)-(BY110-BX110)</f>
        <v>#DIV/0!</v>
      </c>
      <c r="CA281" s="51" t="e">
        <f>(CA280)-(CA110-BZ110)</f>
        <v>#DIV/0!</v>
      </c>
      <c r="CB281" s="51" t="e">
        <f>(CB280)-(CB110-CA110)</f>
        <v>#DIV/0!</v>
      </c>
      <c r="CC281" s="51" t="e">
        <f>(CC280)-(CC110-CB110)</f>
        <v>#DIV/0!</v>
      </c>
      <c r="CD281" s="51" t="e">
        <f>(CD280)-(CD110-CC110)</f>
        <v>#DIV/0!</v>
      </c>
      <c r="CF281" s="51" t="e">
        <f>(CF280)-(CF110-CE110)</f>
        <v>#DIV/0!</v>
      </c>
      <c r="CG281" s="51" t="e">
        <f>(CG280)-(CG110-CF110)</f>
        <v>#DIV/0!</v>
      </c>
      <c r="CH281" s="51" t="e">
        <f>(CH280)-(CH110-CG110)</f>
        <v>#DIV/0!</v>
      </c>
      <c r="CI281" s="51" t="e">
        <f>(CI280)-(CI110-CH110)</f>
        <v>#DIV/0!</v>
      </c>
      <c r="CK281" s="51" t="e">
        <f>(CK280)-(CK110-CJ110)</f>
        <v>#DIV/0!</v>
      </c>
      <c r="CL281" s="51" t="e">
        <f>(CL280)-(CL110-CK110)</f>
        <v>#DIV/0!</v>
      </c>
      <c r="CM281" s="51" t="e">
        <f>(CM280)-(CM110-CL110)</f>
        <v>#DIV/0!</v>
      </c>
      <c r="CN281" s="51" t="e">
        <f>(CN280)-(CN110-CM110)</f>
        <v>#DIV/0!</v>
      </c>
      <c r="CP281" s="51" t="e">
        <f>(CP280)-(CP110-CO110)</f>
        <v>#DIV/0!</v>
      </c>
      <c r="CQ281" s="51" t="e">
        <f>(CQ280)-(CQ110-CP110)</f>
        <v>#DIV/0!</v>
      </c>
      <c r="CR281" s="51" t="e">
        <f>(CR280)-(CR110-CQ110)</f>
        <v>#DIV/0!</v>
      </c>
      <c r="CS281" s="51" t="e">
        <f>(CS280)-(CS110-CR110)</f>
        <v>#DIV/0!</v>
      </c>
      <c r="CU281" s="51" t="e">
        <f>(CU280)-(CU110-CT110)</f>
        <v>#DIV/0!</v>
      </c>
      <c r="CV281" s="51" t="e">
        <f>(CV280)-(CV110-CU110)</f>
        <v>#DIV/0!</v>
      </c>
      <c r="CW281" s="51" t="e">
        <f>(CW280)-(CW110-CV110)</f>
        <v>#DIV/0!</v>
      </c>
      <c r="CX281" s="51" t="e">
        <f>(CX280)-(CX110-CW110)</f>
        <v>#DIV/0!</v>
      </c>
    </row>
    <row r="283">
      <c r="C283" s="53" t="inlineStr">
        <is>
          <t>Ratio Analysis</t>
        </is>
      </c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  <c r="AE283" s="53" t="n"/>
      <c r="AF283" s="53" t="n"/>
      <c r="AG283" s="53" t="n"/>
      <c r="AH283" s="53" t="n"/>
      <c r="AI283" s="53" t="n"/>
      <c r="AJ283" s="53" t="n"/>
      <c r="AK283" s="53" t="n"/>
      <c r="AL283" s="53" t="n"/>
      <c r="AM283" s="53" t="n"/>
      <c r="AN283" s="53" t="n"/>
      <c r="AO283" s="53" t="n"/>
      <c r="AP283" s="53" t="n"/>
      <c r="AQ283" s="53" t="n"/>
      <c r="AR283" s="53" t="n"/>
      <c r="AS283" s="53" t="n"/>
      <c r="AT283" s="53" t="n"/>
      <c r="AU283" s="53" t="n"/>
      <c r="AV283" s="53" t="n"/>
      <c r="AW283" s="53" t="n"/>
      <c r="AX283" s="53" t="n"/>
      <c r="AY283" s="53" t="n"/>
      <c r="AZ283" s="53" t="n"/>
      <c r="BA283" s="53" t="n"/>
      <c r="BB283" s="53" t="n"/>
      <c r="BC283" s="53" t="n"/>
      <c r="BD283" s="53" t="n"/>
      <c r="BE283" s="53" t="n"/>
      <c r="BF283" s="53" t="n"/>
      <c r="BG283" s="53" t="n"/>
      <c r="BH283" s="53" t="n"/>
      <c r="BI283" s="53" t="n"/>
      <c r="BJ283" s="53" t="n"/>
      <c r="BK283" s="53" t="n"/>
      <c r="BL283" s="53" t="n"/>
      <c r="BM283" s="53" t="n"/>
      <c r="BN283" s="53" t="n"/>
      <c r="BO283" s="53" t="n"/>
      <c r="BP283" s="53" t="n"/>
      <c r="BQ283" s="53" t="n"/>
      <c r="BR283" s="53" t="n"/>
      <c r="BS283" s="53" t="n"/>
      <c r="BT283" s="53" t="n"/>
      <c r="BU283" s="53" t="n"/>
      <c r="BV283" s="53" t="n"/>
      <c r="BW283" s="53" t="n"/>
      <c r="BX283" s="53" t="n"/>
      <c r="BY283" s="53" t="n"/>
      <c r="BZ283" s="53" t="n"/>
      <c r="CA283" s="53" t="n"/>
      <c r="CB283" s="53" t="n"/>
      <c r="CC283" s="53" t="n"/>
      <c r="CD283" s="53" t="n"/>
      <c r="CE283" s="53" t="n"/>
      <c r="CF283" s="53" t="n"/>
      <c r="CG283" s="53" t="n"/>
      <c r="CH283" s="53" t="n"/>
      <c r="CI283" s="53" t="n"/>
      <c r="CJ283" s="53" t="n"/>
      <c r="CK283" s="53" t="n"/>
      <c r="CL283" s="53" t="n"/>
      <c r="CM283" s="53" t="n"/>
      <c r="CN283" s="53" t="n"/>
      <c r="CO283" s="53" t="n"/>
      <c r="CP283" s="53" t="n"/>
      <c r="CQ283" s="53" t="n"/>
      <c r="CR283" s="53" t="n"/>
      <c r="CS283" s="53" t="n"/>
      <c r="CT283" s="53" t="n"/>
      <c r="CU283" s="53" t="n"/>
      <c r="CV283" s="53" t="n"/>
      <c r="CW283" s="53" t="n"/>
      <c r="CX283" s="53" t="n"/>
      <c r="CY283" s="53" t="n"/>
    </row>
    <row r="285" customFormat="1" s="234">
      <c r="C285" s="234" t="inlineStr">
        <is>
          <t>YEAR</t>
        </is>
      </c>
      <c r="D285" s="234" t="str">
        <f>D241</f>
        <v>1Q20</v>
      </c>
      <c r="E285" s="235" t="str">
        <f>E241</f>
        <v>2Q20</v>
      </c>
      <c r="F285" s="235" t="str">
        <f>F241</f>
        <v>3Q20</v>
      </c>
      <c r="G285" s="235" t="str">
        <f>G241</f>
        <v>4Q20</v>
      </c>
      <c r="H285" s="235">
        <f>H241</f>
        <v>2020</v>
      </c>
      <c r="I285" s="235" t="str">
        <f>I241</f>
        <v>1Q21</v>
      </c>
      <c r="J285" s="235" t="str">
        <f>J241</f>
        <v>2Q21</v>
      </c>
      <c r="K285" s="235" t="str">
        <f>K241</f>
        <v>3Q21</v>
      </c>
      <c r="L285" s="235" t="str">
        <f>L241</f>
        <v>4Q21</v>
      </c>
      <c r="M285" s="235">
        <f>M241</f>
        <v>2021</v>
      </c>
      <c r="N285" s="235" t="str">
        <f>N241</f>
        <v>1Q22</v>
      </c>
      <c r="O285" s="235" t="str">
        <f>O241</f>
        <v>2Q22</v>
      </c>
      <c r="P285" s="235" t="str">
        <f>P241</f>
        <v>3Q22</v>
      </c>
      <c r="Q285" s="235" t="str">
        <f>Q241</f>
        <v>4Q22</v>
      </c>
      <c r="R285" s="235">
        <f>R241</f>
        <v>2022</v>
      </c>
      <c r="S285" s="235" t="str">
        <f>S241</f>
        <v>1Q23</v>
      </c>
      <c r="T285" s="235" t="str">
        <f>T241</f>
        <v>2Q23</v>
      </c>
      <c r="U285" s="235" t="str">
        <f>U241</f>
        <v>3Q23</v>
      </c>
      <c r="V285" s="235" t="str">
        <f>V241</f>
        <v>4Q23</v>
      </c>
      <c r="W285" s="235">
        <f>W241</f>
        <v>2023</v>
      </c>
      <c r="X285" s="235" t="str">
        <f>X241</f>
        <v>1Q24</v>
      </c>
      <c r="Y285" s="235" t="str">
        <f>Y241</f>
        <v>2Q24</v>
      </c>
      <c r="Z285" s="235" t="str">
        <f>Z241</f>
        <v>3Q24</v>
      </c>
      <c r="AA285" s="235" t="str">
        <f>AA241</f>
        <v>4Q24</v>
      </c>
      <c r="AB285" s="235">
        <f>AB241</f>
        <v>2024</v>
      </c>
      <c r="AC285" s="235" t="str">
        <f>AC241</f>
        <v>1Q25</v>
      </c>
      <c r="AD285" s="235" t="str">
        <f>AD241</f>
        <v>2Q25</v>
      </c>
      <c r="AE285" s="235" t="str">
        <f>AE241</f>
        <v>3Q25</v>
      </c>
      <c r="AF285" s="235" t="str">
        <f>AF241</f>
        <v>4Q25</v>
      </c>
      <c r="AG285" s="235">
        <f>AG241</f>
        <v>2025</v>
      </c>
      <c r="AH285" s="235" t="str">
        <f>AH241</f>
        <v>1Q26</v>
      </c>
      <c r="AI285" s="235" t="str">
        <f>AI241</f>
        <v>2Q26</v>
      </c>
      <c r="AJ285" s="235" t="str">
        <f>AJ241</f>
        <v>3Q26</v>
      </c>
      <c r="AK285" s="235" t="str">
        <f>AK241</f>
        <v>4Q26</v>
      </c>
      <c r="AL285" s="235">
        <f>AL241</f>
        <v>2026</v>
      </c>
      <c r="AM285" s="235" t="str">
        <f>AM241</f>
        <v>1Q27</v>
      </c>
      <c r="AN285" s="235" t="str">
        <f>AN241</f>
        <v>2Q27</v>
      </c>
      <c r="AO285" s="235" t="str">
        <f>AO241</f>
        <v>3Q27</v>
      </c>
      <c r="AP285" s="235" t="str">
        <f>AP241</f>
        <v>4Q27</v>
      </c>
      <c r="AQ285" s="235">
        <f>AQ241</f>
        <v>2027</v>
      </c>
      <c r="AR285" s="235" t="str">
        <f>AR241</f>
        <v>1Q28</v>
      </c>
      <c r="AS285" s="235" t="str">
        <f>AS241</f>
        <v>2Q28</v>
      </c>
      <c r="AT285" s="235" t="str">
        <f>AT241</f>
        <v>3Q28</v>
      </c>
      <c r="AU285" s="235" t="str">
        <f>AU241</f>
        <v>4Q28</v>
      </c>
      <c r="AV285" s="235">
        <f>AV241</f>
        <v>2028</v>
      </c>
      <c r="AW285" s="235" t="str">
        <f>AW241</f>
        <v>1Q29</v>
      </c>
      <c r="AX285" s="235" t="str">
        <f>AX241</f>
        <v>2Q29</v>
      </c>
      <c r="AY285" s="235" t="str">
        <f>AY241</f>
        <v>3Q29</v>
      </c>
      <c r="AZ285" s="235" t="str">
        <f>AZ241</f>
        <v>4Q29</v>
      </c>
      <c r="BA285" s="235">
        <f>BA241</f>
        <v>2029</v>
      </c>
      <c r="BB285" s="235" t="str">
        <f>BB241</f>
        <v>1Q30</v>
      </c>
      <c r="BC285" s="235" t="str">
        <f>BC241</f>
        <v>2Q30</v>
      </c>
      <c r="BD285" s="235" t="str">
        <f>BD241</f>
        <v>3Q30</v>
      </c>
      <c r="BE285" s="235" t="str">
        <f>BE241</f>
        <v>4Q30</v>
      </c>
      <c r="BF285" s="235">
        <f>BF241</f>
        <v>2030</v>
      </c>
      <c r="BG285" s="235" t="str">
        <f>BG241</f>
        <v>1Q31</v>
      </c>
      <c r="BH285" s="235" t="str">
        <f>BH241</f>
        <v>2Q31</v>
      </c>
      <c r="BI285" s="235" t="str">
        <f>BI241</f>
        <v>3Q31</v>
      </c>
      <c r="BJ285" s="235" t="str">
        <f>BJ241</f>
        <v>4Q31</v>
      </c>
      <c r="BK285" s="235">
        <f>BK241</f>
        <v>2031</v>
      </c>
      <c r="BL285" s="235" t="str">
        <f>BL241</f>
        <v>1Q32</v>
      </c>
      <c r="BM285" s="235" t="str">
        <f>BM241</f>
        <v>2Q32</v>
      </c>
      <c r="BN285" s="235" t="str">
        <f>BN241</f>
        <v>3Q32</v>
      </c>
      <c r="BO285" s="235" t="str">
        <f>BO241</f>
        <v>4Q32</v>
      </c>
      <c r="BP285" s="235">
        <f>BP241</f>
        <v>2032</v>
      </c>
      <c r="BQ285" s="235" t="str">
        <f>BQ241</f>
        <v>1Q33</v>
      </c>
      <c r="BR285" s="235" t="str">
        <f>BR241</f>
        <v>2Q33</v>
      </c>
      <c r="BS285" s="235" t="str">
        <f>BS241</f>
        <v>3Q33</v>
      </c>
      <c r="BT285" s="235" t="str">
        <f>BT241</f>
        <v>4Q33</v>
      </c>
      <c r="BU285" s="235">
        <f>BU241</f>
        <v>2033</v>
      </c>
      <c r="BV285" s="235" t="str">
        <f>BV241</f>
        <v>1Q34</v>
      </c>
      <c r="BW285" s="235" t="str">
        <f>BW241</f>
        <v>2Q34</v>
      </c>
      <c r="BX285" s="235" t="str">
        <f>BX241</f>
        <v>3Q34</v>
      </c>
      <c r="BY285" s="235" t="str">
        <f>BY241</f>
        <v>4Q34</v>
      </c>
      <c r="BZ285" s="235">
        <f>BZ241</f>
        <v>2034</v>
      </c>
      <c r="CA285" s="235" t="str">
        <f>CA241</f>
        <v>1Q35</v>
      </c>
      <c r="CB285" s="235" t="str">
        <f>CB241</f>
        <v>2Q35</v>
      </c>
      <c r="CC285" s="235" t="str">
        <f>CC241</f>
        <v>3Q35</v>
      </c>
      <c r="CD285" s="235" t="str">
        <f>CD241</f>
        <v>4Q35</v>
      </c>
      <c r="CE285" s="235">
        <f>CE241</f>
        <v>2035</v>
      </c>
      <c r="CF285" s="235" t="str">
        <f>CF241</f>
        <v>1Q36</v>
      </c>
      <c r="CG285" s="235" t="str">
        <f>CG241</f>
        <v>2Q36</v>
      </c>
      <c r="CH285" s="235" t="str">
        <f>CH241</f>
        <v>3Q36</v>
      </c>
      <c r="CI285" s="235" t="str">
        <f>CI241</f>
        <v>4Q36</v>
      </c>
      <c r="CJ285" s="235">
        <f>CJ241</f>
        <v>2036</v>
      </c>
      <c r="CK285" s="235" t="str">
        <f>CK241</f>
        <v>1Q37</v>
      </c>
      <c r="CL285" s="235" t="str">
        <f>CL241</f>
        <v>2Q37</v>
      </c>
      <c r="CM285" s="235" t="str">
        <f>CM241</f>
        <v>3Q37</v>
      </c>
      <c r="CN285" s="235" t="str">
        <f>CN241</f>
        <v>4Q37</v>
      </c>
      <c r="CO285" s="235">
        <f>CO241</f>
        <v>2037</v>
      </c>
      <c r="CP285" s="235" t="str">
        <f>CP241</f>
        <v>1Q38</v>
      </c>
      <c r="CQ285" s="235" t="str">
        <f>CQ241</f>
        <v>2Q38</v>
      </c>
      <c r="CR285" s="235" t="str">
        <f>CR241</f>
        <v>3Q38</v>
      </c>
      <c r="CS285" s="235" t="str">
        <f>CS241</f>
        <v>4Q38</v>
      </c>
      <c r="CT285" s="235">
        <f>CT241</f>
        <v>2038</v>
      </c>
      <c r="CU285" s="235" t="str">
        <f>CU241</f>
        <v>1Q39</v>
      </c>
      <c r="CV285" s="235" t="str">
        <f>CV241</f>
        <v>2Q39</v>
      </c>
      <c r="CW285" s="235" t="str">
        <f>CW241</f>
        <v>3Q39</v>
      </c>
      <c r="CX285" s="235" t="str">
        <f>CX241</f>
        <v>4Q39</v>
      </c>
      <c r="CY285" s="235">
        <f>CY241</f>
        <v>2039</v>
      </c>
    </row>
    <row r="286" customFormat="1" s="233">
      <c r="A286" s="224" t="n"/>
      <c r="B286" s="224" t="n"/>
      <c r="C286" s="234" t="inlineStr">
        <is>
          <t>GROWTH &amp; MARGINS</t>
        </is>
      </c>
    </row>
    <row r="287" customFormat="1" s="233">
      <c r="A287" s="224" t="n"/>
      <c r="B287" s="224" t="n"/>
      <c r="C287" s="233" t="inlineStr">
        <is>
          <t>NET REVENUE GROWTH</t>
        </is>
      </c>
      <c r="E287" s="236">
        <f>E15/D15-1</f>
        <v>-0.362764659028851</v>
      </c>
      <c r="F287" s="236">
        <f>F15/E15-1</f>
        <v>0.922397639424807</v>
      </c>
      <c r="G287" s="236">
        <f>G15/F15-1</f>
        <v>0.0612539562048802</v>
      </c>
      <c r="H287" s="236" t="n"/>
      <c r="I287" s="220">
        <f>I15/H15-1</f>
        <v>-0.699218169071936</v>
      </c>
      <c r="J287" s="220">
        <f>J15/I15-1</f>
        <v>0.0428038025117514</v>
      </c>
      <c r="K287" s="220">
        <f>K15/J15-1</f>
        <v>0.103816114516444</v>
      </c>
      <c r="L287" s="220">
        <f>L15/K15-1</f>
        <v>-0.0105784607804016</v>
      </c>
      <c r="M287" s="236" t="n"/>
      <c r="N287" s="220">
        <f>N15/M15-1</f>
        <v>-0.718561606401695</v>
      </c>
      <c r="O287" s="220">
        <f>O15/N15-1</f>
        <v>0.0200322409136144</v>
      </c>
      <c r="P287" s="220">
        <f>P15/O15-1</f>
        <v>0.0313820928321329</v>
      </c>
      <c r="Q287" s="220">
        <f>Q15/P15-1</f>
        <v>-0.0278101709631601</v>
      </c>
      <c r="R287" s="236" t="n"/>
      <c r="S287" s="220">
        <f>S15/R15-1</f>
        <v>-0.722874262372865</v>
      </c>
      <c r="T287" s="220">
        <f>T15/S15-1</f>
        <v>0.341776954258032</v>
      </c>
      <c r="U287" s="220">
        <f>U15/T15-1</f>
        <v>0.126844711881177</v>
      </c>
      <c r="V287" s="220">
        <f>V15/U15-1</f>
        <v>-0.0885563179923478</v>
      </c>
      <c r="W287" s="236" t="n"/>
      <c r="X287" s="220">
        <f>X15/W15-1</f>
        <v>-0.705688050487958</v>
      </c>
      <c r="Y287" s="220">
        <f>Y15/X15-1</f>
        <v>0.0387269712636651</v>
      </c>
      <c r="Z287" s="220">
        <f>Z15/Y15-1</f>
        <v>-0.0078508291873125</v>
      </c>
      <c r="AA287" s="220">
        <f>AA15/Z15-1</f>
        <v>-0.0628400769735755</v>
      </c>
      <c r="AB287" s="236" t="n"/>
      <c r="AC287" s="220">
        <f>AC15/AB15-1</f>
        <v>-0.737779646435841</v>
      </c>
      <c r="AD287" s="220">
        <f>AD15/AC15-1</f>
        <v>0.0046941204144364</v>
      </c>
      <c r="AE287" s="220">
        <f>AE15/AD15-1</f>
        <v>0.0822146064436291</v>
      </c>
      <c r="AF287" s="220">
        <f>AF15/AE15-1</f>
        <v>-0.0595093949999969</v>
      </c>
      <c r="AG287" s="236" t="n"/>
      <c r="AH287" s="220">
        <f>AH15/AG15-1</f>
        <v>-0.75696177985476</v>
      </c>
      <c r="AI287" s="220">
        <f>AI15/AH15-1</f>
        <v>0.0046941204144364</v>
      </c>
      <c r="AJ287" s="220">
        <f>AJ15/AI15-1</f>
        <v>0.0822146064436291</v>
      </c>
      <c r="AK287" s="220">
        <f>AK15/AJ15-1</f>
        <v>-0.0595093949999969</v>
      </c>
      <c r="AL287" s="236" t="n"/>
      <c r="AM287" s="220">
        <f>AM15/AL15-1</f>
        <v>-0.75696177985476</v>
      </c>
      <c r="AN287" s="220">
        <f>AN15/AM15-1</f>
        <v>0.0046941204144364</v>
      </c>
      <c r="AO287" s="220">
        <f>AO15/AN15-1</f>
        <v>0.0822146064436291</v>
      </c>
      <c r="AP287" s="220">
        <f>AP15/AO15-1</f>
        <v>-0.0595093949999969</v>
      </c>
      <c r="AQ287" s="236" t="n"/>
      <c r="AR287" s="220">
        <f>AR15/AQ15-1</f>
        <v>-0.75696177985476</v>
      </c>
      <c r="AS287" s="220">
        <f>AS15/AR15-1</f>
        <v>0.0046941204144364</v>
      </c>
      <c r="AT287" s="220">
        <f>AT15/AS15-1</f>
        <v>0.0822146064436291</v>
      </c>
      <c r="AU287" s="220">
        <f>AU15/AT15-1</f>
        <v>-0.0595093949999969</v>
      </c>
      <c r="AV287" s="236" t="n"/>
      <c r="AW287" s="220">
        <f>AW15/AV15-1</f>
        <v>-0.75696177985476</v>
      </c>
      <c r="AX287" s="220">
        <f>AX15/AW15-1</f>
        <v>0.0046941204144364</v>
      </c>
      <c r="AY287" s="220">
        <f>AY15/AX15-1</f>
        <v>0.0822146064436291</v>
      </c>
      <c r="AZ287" s="220">
        <f>AZ15/AY15-1</f>
        <v>-0.0595093949999969</v>
      </c>
      <c r="BA287" s="236" t="n"/>
      <c r="BB287" s="220">
        <f>BB15/BA15-1</f>
        <v>-0.75696177985476</v>
      </c>
      <c r="BC287" s="220">
        <f>BC15/BB15-1</f>
        <v>0.0046941204144364</v>
      </c>
      <c r="BD287" s="220">
        <f>BD15/BC15-1</f>
        <v>0.0822146064436291</v>
      </c>
      <c r="BE287" s="220">
        <f>BE15/BD15-1</f>
        <v>-0.0595093949999969</v>
      </c>
      <c r="BF287" s="236" t="n"/>
      <c r="BG287" s="220">
        <f>BG15/BF15-1</f>
        <v>-0.75696177985476</v>
      </c>
      <c r="BH287" s="220">
        <f>BH15/BG15-1</f>
        <v>0.0046941204144364</v>
      </c>
      <c r="BI287" s="220">
        <f>BI15/BH15-1</f>
        <v>0.0822146064436291</v>
      </c>
      <c r="BJ287" s="220">
        <f>BJ15/BI15-1</f>
        <v>-0.0595093949999969</v>
      </c>
      <c r="BK287" s="236" t="n"/>
      <c r="BL287" s="220">
        <f>BL15/BK15-1</f>
        <v>-0.75696177985476</v>
      </c>
      <c r="BM287" s="220">
        <f>BM15/BL15-1</f>
        <v>0.0046941204144364</v>
      </c>
      <c r="BN287" s="220">
        <f>BN15/BM15-1</f>
        <v>0.0822146064436291</v>
      </c>
      <c r="BO287" s="220">
        <f>BO15/BN15-1</f>
        <v>-0.0595093949999969</v>
      </c>
      <c r="BP287" s="236" t="n"/>
      <c r="BQ287" s="220">
        <f>BQ15/BP15-1</f>
        <v>-0.75696177985476</v>
      </c>
      <c r="BR287" s="220">
        <f>BR15/BQ15-1</f>
        <v>0.0046941204144364</v>
      </c>
      <c r="BS287" s="220">
        <f>BS15/BR15-1</f>
        <v>0.0822146064436291</v>
      </c>
      <c r="BT287" s="220">
        <f>BT15/BS15-1</f>
        <v>-0.0595093949999969</v>
      </c>
      <c r="BU287" s="236" t="n"/>
      <c r="BV287" s="220">
        <f>BV15/BU15-1</f>
        <v>-0.75696177985476</v>
      </c>
      <c r="BW287" s="220">
        <f>BW15/BV15-1</f>
        <v>0.0046941204144364</v>
      </c>
      <c r="BX287" s="220">
        <f>BX15/BW15-1</f>
        <v>0.0822146064436291</v>
      </c>
      <c r="BY287" s="220">
        <f>BY15/BX15-1</f>
        <v>-0.0595093949999969</v>
      </c>
      <c r="BZ287" s="236" t="n"/>
      <c r="CA287" s="220">
        <f>CA15/BZ15-1</f>
        <v>-0.75696177985476</v>
      </c>
      <c r="CB287" s="220">
        <f>CB15/CA15-1</f>
        <v>0.0046941204144364</v>
      </c>
      <c r="CC287" s="220">
        <f>CC15/CB15-1</f>
        <v>0.0822146064436291</v>
      </c>
      <c r="CD287" s="220">
        <f>CD15/CC15-1</f>
        <v>-0.0595093949999969</v>
      </c>
      <c r="CE287" s="236" t="n"/>
      <c r="CF287" s="220">
        <f>CF15/CE15-1</f>
        <v>-0.75696177985476</v>
      </c>
      <c r="CG287" s="220">
        <f>CG15/CF15-1</f>
        <v>0.0046941204144364</v>
      </c>
      <c r="CH287" s="220">
        <f>CH15/CG15-1</f>
        <v>0.0822146064436291</v>
      </c>
      <c r="CI287" s="220">
        <f>CI15/CH15-1</f>
        <v>-0.0595093949999969</v>
      </c>
      <c r="CJ287" s="236" t="n"/>
      <c r="CK287" s="220">
        <f>CK15/CJ15-1</f>
        <v>-0.75696177985476</v>
      </c>
      <c r="CL287" s="220">
        <f>CL15/CK15-1</f>
        <v>0.0046941204144364</v>
      </c>
      <c r="CM287" s="220">
        <f>CM15/CL15-1</f>
        <v>0.0822146064436291</v>
      </c>
      <c r="CN287" s="220">
        <f>CN15/CM15-1</f>
        <v>-0.0595093949999969</v>
      </c>
      <c r="CO287" s="236" t="n"/>
      <c r="CP287" s="220">
        <f>CP15/CO15-1</f>
        <v>-0.75696177985476</v>
      </c>
      <c r="CQ287" s="220">
        <f>CQ15/CP15-1</f>
        <v>0.0046941204144364</v>
      </c>
      <c r="CR287" s="220">
        <f>CR15/CQ15-1</f>
        <v>0.0822146064436291</v>
      </c>
      <c r="CS287" s="220">
        <f>CS15/CR15-1</f>
        <v>-0.0595093949999969</v>
      </c>
      <c r="CT287" s="236" t="n"/>
      <c r="CU287" s="220">
        <f>CU15/CT15-1</f>
        <v>-0.75696177985476</v>
      </c>
      <c r="CV287" s="220">
        <f>CV15/CU15-1</f>
        <v>0.0046941204144364</v>
      </c>
      <c r="CW287" s="220">
        <f>CW15/CV15-1</f>
        <v>0.0822146064436291</v>
      </c>
      <c r="CX287" s="220">
        <f>CX15/CW15-1</f>
        <v>-0.0595093949999969</v>
      </c>
      <c r="CY287" s="236" t="n"/>
    </row>
    <row r="288" customFormat="1" s="233">
      <c r="A288" s="224" t="n"/>
      <c r="B288" s="224" t="n"/>
      <c r="C288" s="233" t="inlineStr">
        <is>
          <t>GROSS MARGIN</t>
        </is>
      </c>
      <c r="D288" s="220">
        <f>SUM(D15,D20)/D15</f>
        <v>0.363200126979904</v>
      </c>
      <c r="E288" s="220">
        <f>SUM(E15,E20)/E15</f>
        <v>0.157515189692811</v>
      </c>
      <c r="F288" s="220">
        <f>SUM(F15,F20)/F15</f>
        <v>0.440819051658289</v>
      </c>
      <c r="G288" s="220">
        <f>SUM(G15,G20)/G15</f>
        <v>0.419751493310564</v>
      </c>
      <c r="I288" s="221">
        <f>SUM(I15,I20)/I15</f>
        <v>0.401795069723501</v>
      </c>
      <c r="J288" s="221">
        <f>SUM(J15,J20)/J15</f>
        <v>0.357496739866581</v>
      </c>
      <c r="K288" s="221">
        <f>SUM(K15,K20)/K15</f>
        <v>0.380785189840725</v>
      </c>
      <c r="L288" s="221">
        <f>SUM(L15,L20)/L15</f>
        <v>0.361282903736456</v>
      </c>
      <c r="N288" s="221">
        <f>SUM(N15,N20)/N15</f>
        <v>0.382484652268077</v>
      </c>
      <c r="O288" s="221">
        <f>SUM(O15,O20)/O15</f>
        <v>0.35867625551508</v>
      </c>
      <c r="P288" s="221">
        <f>SUM(P15,P20)/P15</f>
        <v>0.378691933810225</v>
      </c>
      <c r="Q288" s="221">
        <f>SUM(Q15,Q20)/Q15</f>
        <v>0.319181365294037</v>
      </c>
      <c r="S288" s="221">
        <f>SUM(S15,S20)/S15</f>
        <v>0.372236403194471</v>
      </c>
      <c r="T288" s="221">
        <f>SUM(T15,T20)/T15</f>
        <v>0.35212266524298</v>
      </c>
      <c r="U288" s="221">
        <f>SUM(U15,U20)/U15</f>
        <v>0.35933757494502</v>
      </c>
      <c r="V288" s="221">
        <f>SUM(V15,V20)/V15</f>
        <v>0.320791272009256</v>
      </c>
      <c r="X288" s="221">
        <f>SUM(X15,X20)/X15</f>
        <v>0.374048700472629</v>
      </c>
      <c r="Y288" s="221">
        <f>SUM(Y15,Y20)/Y15</f>
        <v>0.362633846290723</v>
      </c>
      <c r="Z288" s="221">
        <f>SUM(Z15,Z20)/Z15</f>
        <v>0.36215305690024</v>
      </c>
      <c r="AA288" s="221">
        <f>SUM(AA15,AA20)/AA15</f>
        <v>0.330526179704973</v>
      </c>
      <c r="AC288" s="221">
        <f>SUM(AC15,AC20)/AC15</f>
        <v>0.363754383213718</v>
      </c>
      <c r="AD288" s="221">
        <f>SUM(AD15,AD20)/AD15</f>
        <v>0.34477926514411</v>
      </c>
      <c r="AE288" s="221">
        <f>SUM(AE15,AE20)/AE15</f>
        <v>0.361150936379489</v>
      </c>
      <c r="AF288" s="221">
        <f>SUM(AF15,AF20)/AF15</f>
        <v>0.32346881787166</v>
      </c>
      <c r="AH288" s="221">
        <f>SUM(AH15,AH20)/AH15</f>
        <v>0</v>
      </c>
      <c r="AI288" s="221">
        <f>SUM(AI15,AI20)/AI15</f>
        <v>0</v>
      </c>
      <c r="AJ288" s="221">
        <f>SUM(AJ15,AJ20)/AJ15</f>
        <v>0</v>
      </c>
      <c r="AK288" s="221">
        <f>SUM(AK15,AK20)/AK15</f>
        <v>0</v>
      </c>
      <c r="AM288" s="221">
        <f>SUM(AM15,AM20)/AM15</f>
        <v>0</v>
      </c>
      <c r="AN288" s="221">
        <f>SUM(AN15,AN20)/AN15</f>
        <v>0</v>
      </c>
      <c r="AO288" s="221">
        <f>SUM(AO15,AO20)/AO15</f>
        <v>0</v>
      </c>
      <c r="AP288" s="221">
        <f>SUM(AP15,AP20)/AP15</f>
        <v>0</v>
      </c>
      <c r="AR288" s="221">
        <f>SUM(AR15,AR20)/AR15</f>
        <v>0</v>
      </c>
      <c r="AS288" s="221">
        <f>SUM(AS15,AS20)/AS15</f>
        <v>0</v>
      </c>
      <c r="AT288" s="221">
        <f>SUM(AT15,AT20)/AT15</f>
        <v>0</v>
      </c>
      <c r="AU288" s="221">
        <f>SUM(AU15,AU20)/AU15</f>
        <v>0</v>
      </c>
      <c r="AW288" s="221">
        <f>SUM(AW15,AW20)/AW15</f>
        <v>0</v>
      </c>
      <c r="AX288" s="221">
        <f>SUM(AX15,AX20)/AX15</f>
        <v>0</v>
      </c>
      <c r="AY288" s="221">
        <f>SUM(AY15,AY20)/AY15</f>
        <v>0</v>
      </c>
      <c r="AZ288" s="221">
        <f>SUM(AZ15,AZ20)/AZ15</f>
        <v>0</v>
      </c>
      <c r="BB288" s="221">
        <f>SUM(BB15,BB20)/BB15</f>
        <v>0</v>
      </c>
      <c r="BC288" s="221">
        <f>SUM(BC15,BC20)/BC15</f>
        <v>0</v>
      </c>
      <c r="BD288" s="221">
        <f>SUM(BD15,BD20)/BD15</f>
        <v>0</v>
      </c>
      <c r="BE288" s="221">
        <f>SUM(BE15,BE20)/BE15</f>
        <v>0</v>
      </c>
      <c r="BG288" s="221">
        <f>SUM(BG15,BG20)/BG15</f>
        <v>0</v>
      </c>
      <c r="BH288" s="221">
        <f>SUM(BH15,BH20)/BH15</f>
        <v>0</v>
      </c>
      <c r="BI288" s="221">
        <f>SUM(BI15,BI20)/BI15</f>
        <v>0</v>
      </c>
      <c r="BJ288" s="221">
        <f>SUM(BJ15,BJ20)/BJ15</f>
        <v>0</v>
      </c>
      <c r="BL288" s="221">
        <f>SUM(BL15,BL20)/BL15</f>
        <v>0</v>
      </c>
      <c r="BM288" s="221">
        <f>SUM(BM15,BM20)/BM15</f>
        <v>0</v>
      </c>
      <c r="BN288" s="221">
        <f>SUM(BN15,BN20)/BN15</f>
        <v>0</v>
      </c>
      <c r="BO288" s="221">
        <f>SUM(BO15,BO20)/BO15</f>
        <v>0</v>
      </c>
      <c r="BQ288" s="221">
        <f>SUM(BQ15,BQ20)/BQ15</f>
        <v>0</v>
      </c>
      <c r="BR288" s="221">
        <f>SUM(BR15,BR20)/BR15</f>
        <v>0</v>
      </c>
      <c r="BS288" s="221">
        <f>SUM(BS15,BS20)/BS15</f>
        <v>0</v>
      </c>
      <c r="BT288" s="221">
        <f>SUM(BT15,BT20)/BT15</f>
        <v>0</v>
      </c>
      <c r="BV288" s="221">
        <f>SUM(BV15,BV20)/BV15</f>
        <v>0</v>
      </c>
      <c r="BW288" s="221">
        <f>SUM(BW15,BW20)/BW15</f>
        <v>0</v>
      </c>
      <c r="BX288" s="221">
        <f>SUM(BX15,BX20)/BX15</f>
        <v>0</v>
      </c>
      <c r="BY288" s="221">
        <f>SUM(BY15,BY20)/BY15</f>
        <v>0</v>
      </c>
      <c r="CA288" s="221">
        <f>SUM(CA15,CA20)/CA15</f>
        <v>0</v>
      </c>
      <c r="CB288" s="221">
        <f>SUM(CB15,CB20)/CB15</f>
        <v>0</v>
      </c>
      <c r="CC288" s="221">
        <f>SUM(CC15,CC20)/CC15</f>
        <v>0</v>
      </c>
      <c r="CD288" s="221">
        <f>SUM(CD15,CD20)/CD15</f>
        <v>0</v>
      </c>
      <c r="CF288" s="221">
        <f>SUM(CF15,CF20)/CF15</f>
        <v>0</v>
      </c>
      <c r="CG288" s="221">
        <f>SUM(CG15,CG20)/CG15</f>
        <v>0</v>
      </c>
      <c r="CH288" s="221">
        <f>SUM(CH15,CH20)/CH15</f>
        <v>0</v>
      </c>
      <c r="CI288" s="221">
        <f>SUM(CI15,CI20)/CI15</f>
        <v>0</v>
      </c>
      <c r="CK288" s="221">
        <f>SUM(CK15,CK20)/CK15</f>
        <v>0</v>
      </c>
      <c r="CL288" s="221">
        <f>SUM(CL15,CL20)/CL15</f>
        <v>0</v>
      </c>
      <c r="CM288" s="221">
        <f>SUM(CM15,CM20)/CM15</f>
        <v>0</v>
      </c>
      <c r="CN288" s="221">
        <f>SUM(CN15,CN20)/CN15</f>
        <v>0</v>
      </c>
      <c r="CP288" s="221">
        <f>SUM(CP15,CP20)/CP15</f>
        <v>0</v>
      </c>
      <c r="CQ288" s="221">
        <f>SUM(CQ15,CQ20)/CQ15</f>
        <v>0</v>
      </c>
      <c r="CR288" s="221">
        <f>SUM(CR15,CR20)/CR15</f>
        <v>0</v>
      </c>
      <c r="CS288" s="221">
        <f>SUM(CS15,CS20)/CS15</f>
        <v>0</v>
      </c>
      <c r="CU288" s="221">
        <f>SUM(CU15,CU20)/CU15</f>
        <v>0</v>
      </c>
      <c r="CV288" s="221">
        <f>SUM(CV15,CV20)/CV15</f>
        <v>0</v>
      </c>
      <c r="CW288" s="221">
        <f>SUM(CW15,CW20)/CW15</f>
        <v>0</v>
      </c>
      <c r="CX288" s="221">
        <f>SUM(CX15,CX20)/CX15</f>
        <v>0</v>
      </c>
    </row>
    <row r="289" customFormat="1" s="233">
      <c r="A289" s="224" t="n"/>
      <c r="B289" s="224" t="n"/>
      <c r="C289" s="233" t="inlineStr">
        <is>
          <t>EBIT MARGIN</t>
        </is>
      </c>
      <c r="D289" s="236">
        <f>(D39/D15)</f>
        <v>0.152243214726691</v>
      </c>
      <c r="E289" s="236">
        <f>(E39/E15)</f>
        <v>-0.143073749876066</v>
      </c>
      <c r="F289" s="236">
        <f>(F39/F15)</f>
        <v>0.269906414411052</v>
      </c>
      <c r="G289" s="236">
        <f>(G39/G15)</f>
        <v>0.214768085967938</v>
      </c>
      <c r="I289" s="222">
        <f>(I39/I15)</f>
        <v>0.2223025728652</v>
      </c>
      <c r="J289" s="222">
        <f>(J39/J15)</f>
        <v>0.138243120970677</v>
      </c>
      <c r="K289" s="222">
        <f>(K39/K15)</f>
        <v>0.179543215915377</v>
      </c>
      <c r="L289" s="222">
        <f>(L39/L15)</f>
        <v>0.151720185368242</v>
      </c>
      <c r="N289" s="222">
        <f>(N39/N15)</f>
        <v>0.201043370270948</v>
      </c>
      <c r="O289" s="222">
        <f>(O39/O15)</f>
        <v>0.165651449967628</v>
      </c>
      <c r="P289" s="222">
        <f>(P39/P15)</f>
        <v>0.194213659289806</v>
      </c>
      <c r="Q289" s="222">
        <f>(Q39/Q15)</f>
        <v>0.0972364094907333</v>
      </c>
      <c r="S289" s="222">
        <f>(S39/S15)</f>
        <v>0.173441818362818</v>
      </c>
      <c r="T289" s="222">
        <f>(T39/T15)</f>
        <v>0.119010015419926</v>
      </c>
      <c r="U289" s="222">
        <f>(U39/U15)</f>
        <v>0.169944271575315</v>
      </c>
      <c r="V289" s="222">
        <f>(V39/V15)</f>
        <v>0.109099542322058</v>
      </c>
      <c r="X289" s="222">
        <f>(X39/X15)</f>
        <v>0.172007529842977</v>
      </c>
      <c r="Y289" s="222">
        <f>(Y39/Y15)</f>
        <v>0.166941495357906</v>
      </c>
      <c r="Z289" s="222">
        <f>(Z39/Z15)</f>
        <v>0.173626854271995</v>
      </c>
      <c r="AA289" s="222">
        <f>(AA39/AA15)</f>
        <v>0.110567580735906</v>
      </c>
      <c r="AC289" s="222">
        <f>(AC39/AC15)</f>
        <v>0.166487471427848</v>
      </c>
      <c r="AD289" s="222">
        <f>(AD39/AD15)</f>
        <v>0.15296712871561</v>
      </c>
      <c r="AE289" s="222">
        <f>(AE39/AE15)</f>
        <v>0.168869203041734</v>
      </c>
      <c r="AF289" s="222">
        <f>(AF39/AF15)</f>
        <v>0.106545082557633</v>
      </c>
      <c r="AH289" s="222">
        <f>(AH39/AH15)</f>
        <v>0</v>
      </c>
      <c r="AI289" s="222">
        <f>(AI39/AI15)</f>
        <v>0</v>
      </c>
      <c r="AJ289" s="222">
        <f>(AJ39/AJ15)</f>
        <v>0</v>
      </c>
      <c r="AK289" s="222">
        <f>(AK39/AK15)</f>
        <v>0</v>
      </c>
      <c r="AM289" s="222">
        <f>(AM39/AM15)</f>
        <v>0</v>
      </c>
      <c r="AN289" s="222">
        <f>(AN39/AN15)</f>
        <v>0</v>
      </c>
      <c r="AO289" s="222">
        <f>(AO39/AO15)</f>
        <v>0</v>
      </c>
      <c r="AP289" s="222">
        <f>(AP39/AP15)</f>
        <v>0</v>
      </c>
      <c r="AR289" s="222">
        <f>(AR39/AR15)</f>
        <v>0</v>
      </c>
      <c r="AS289" s="222">
        <f>(AS39/AS15)</f>
        <v>0</v>
      </c>
      <c r="AT289" s="222">
        <f>(AT39/AT15)</f>
        <v>0</v>
      </c>
      <c r="AU289" s="222">
        <f>(AU39/AU15)</f>
        <v>0</v>
      </c>
      <c r="AW289" s="222">
        <f>(AW39/AW15)</f>
        <v>0</v>
      </c>
      <c r="AX289" s="222">
        <f>(AX39/AX15)</f>
        <v>0</v>
      </c>
      <c r="AY289" s="222">
        <f>(AY39/AY15)</f>
        <v>0</v>
      </c>
      <c r="AZ289" s="222">
        <f>(AZ39/AZ15)</f>
        <v>0</v>
      </c>
      <c r="BB289" s="222">
        <f>(BB39/BB15)</f>
        <v>0</v>
      </c>
      <c r="BC289" s="222">
        <f>(BC39/BC15)</f>
        <v>0</v>
      </c>
      <c r="BD289" s="222">
        <f>(BD39/BD15)</f>
        <v>0</v>
      </c>
      <c r="BE289" s="222">
        <f>(BE39/BE15)</f>
        <v>0</v>
      </c>
      <c r="BG289" s="222">
        <f>(BG39/BG15)</f>
        <v>0</v>
      </c>
      <c r="BH289" s="222">
        <f>(BH39/BH15)</f>
        <v>0</v>
      </c>
      <c r="BI289" s="222">
        <f>(BI39/BI15)</f>
        <v>0</v>
      </c>
      <c r="BJ289" s="222">
        <f>(BJ39/BJ15)</f>
        <v>0</v>
      </c>
      <c r="BL289" s="222">
        <f>(BL39/BL15)</f>
        <v>0</v>
      </c>
      <c r="BM289" s="222">
        <f>(BM39/BM15)</f>
        <v>0</v>
      </c>
      <c r="BN289" s="222">
        <f>(BN39/BN15)</f>
        <v>0</v>
      </c>
      <c r="BO289" s="222">
        <f>(BO39/BO15)</f>
        <v>0</v>
      </c>
      <c r="BQ289" s="222">
        <f>(BQ39/BQ15)</f>
        <v>0</v>
      </c>
      <c r="BR289" s="222">
        <f>(BR39/BR15)</f>
        <v>0</v>
      </c>
      <c r="BS289" s="222">
        <f>(BS39/BS15)</f>
        <v>0</v>
      </c>
      <c r="BT289" s="222">
        <f>(BT39/BT15)</f>
        <v>0</v>
      </c>
      <c r="BV289" s="222">
        <f>(BV39/BV15)</f>
        <v>0</v>
      </c>
      <c r="BW289" s="222">
        <f>(BW39/BW15)</f>
        <v>0</v>
      </c>
      <c r="BX289" s="222">
        <f>(BX39/BX15)</f>
        <v>0</v>
      </c>
      <c r="BY289" s="222">
        <f>(BY39/BY15)</f>
        <v>0</v>
      </c>
      <c r="CA289" s="222">
        <f>(CA39/CA15)</f>
        <v>0</v>
      </c>
      <c r="CB289" s="222">
        <f>(CB39/CB15)</f>
        <v>0</v>
      </c>
      <c r="CC289" s="222">
        <f>(CC39/CC15)</f>
        <v>0</v>
      </c>
      <c r="CD289" s="222">
        <f>(CD39/CD15)</f>
        <v>0</v>
      </c>
      <c r="CF289" s="222">
        <f>(CF39/CF15)</f>
        <v>0</v>
      </c>
      <c r="CG289" s="222">
        <f>(CG39/CG15)</f>
        <v>0</v>
      </c>
      <c r="CH289" s="222">
        <f>(CH39/CH15)</f>
        <v>0</v>
      </c>
      <c r="CI289" s="222">
        <f>(CI39/CI15)</f>
        <v>0</v>
      </c>
      <c r="CK289" s="222">
        <f>(CK39/CK15)</f>
        <v>0</v>
      </c>
      <c r="CL289" s="222">
        <f>(CL39/CL15)</f>
        <v>0</v>
      </c>
      <c r="CM289" s="222">
        <f>(CM39/CM15)</f>
        <v>0</v>
      </c>
      <c r="CN289" s="222">
        <f>(CN39/CN15)</f>
        <v>0</v>
      </c>
      <c r="CP289" s="222">
        <f>(CP39/CP15)</f>
        <v>0</v>
      </c>
      <c r="CQ289" s="222">
        <f>(CQ39/CQ15)</f>
        <v>0</v>
      </c>
      <c r="CR289" s="222">
        <f>(CR39/CR15)</f>
        <v>0</v>
      </c>
      <c r="CS289" s="222">
        <f>(CS39/CS15)</f>
        <v>0</v>
      </c>
      <c r="CU289" s="222">
        <f>(CU39/CU15)</f>
        <v>0</v>
      </c>
      <c r="CV289" s="222">
        <f>(CV39/CV15)</f>
        <v>0</v>
      </c>
      <c r="CW289" s="222">
        <f>(CW39/CW15)</f>
        <v>0</v>
      </c>
      <c r="CX289" s="222">
        <f>(CX39/CX15)</f>
        <v>0</v>
      </c>
    </row>
    <row r="290" customFormat="1" s="233">
      <c r="A290" s="224" t="n"/>
      <c r="B290" s="224" t="n"/>
      <c r="C290" s="233" t="inlineStr">
        <is>
          <t>EBITDA MARTGIN</t>
        </is>
      </c>
      <c r="D290" s="236">
        <f>D35/D15</f>
        <v>0.274459552845285</v>
      </c>
      <c r="E290" s="236">
        <f>E35/E15</f>
        <v>0.0431013130516859</v>
      </c>
      <c r="F290" s="236">
        <f>F35/F15</f>
        <v>0.370274336941545</v>
      </c>
      <c r="G290" s="236">
        <f>G35/G15</f>
        <v>0.321145039927673</v>
      </c>
      <c r="I290" s="222">
        <f>I35/I15</f>
        <v>0.319455921951514</v>
      </c>
      <c r="J290" s="222">
        <f>J35/J15</f>
        <v>0.235751672787481</v>
      </c>
      <c r="K290" s="222">
        <f>K35/K15</f>
        <v>0.280467268512208</v>
      </c>
      <c r="L290" s="222">
        <f>L35/L15</f>
        <v>0.257546146003587</v>
      </c>
      <c r="N290" s="222">
        <f>N35/N15</f>
        <v>0.299638100564009</v>
      </c>
      <c r="O290" s="222">
        <f>O35/O15</f>
        <v>0.268051250953796</v>
      </c>
      <c r="P290" s="222">
        <f>P35/P15</f>
        <v>0.289930707651191</v>
      </c>
      <c r="Q290" s="222">
        <f>Q35/Q15</f>
        <v>0.208727740510899</v>
      </c>
      <c r="S290" s="222">
        <f>S35/S15</f>
        <v>0.279570226668161</v>
      </c>
      <c r="T290" s="222">
        <f>T35/T15</f>
        <v>0.219083469465352</v>
      </c>
      <c r="U290" s="222">
        <f>U35/U15</f>
        <v>0.270562705891066</v>
      </c>
      <c r="V290" s="222">
        <f>V35/V15</f>
        <v>0.220502068654802</v>
      </c>
      <c r="X290" s="222">
        <f>X35/X15</f>
        <v>0.271539757750396</v>
      </c>
      <c r="Y290" s="222">
        <f>Y35/Y15</f>
        <v>0.2639002488118</v>
      </c>
      <c r="Z290" s="222">
        <f>Z35/Z15</f>
        <v>0.273801031460857</v>
      </c>
      <c r="AA290" s="222">
        <f>AA35/AA15</f>
        <v>0.22039845717836</v>
      </c>
      <c r="AC290" s="222">
        <f>AC35/AC15</f>
        <v>0.27176453668699</v>
      </c>
      <c r="AD290" s="222">
        <f>AD35/AD15</f>
        <v>0.262821104916541</v>
      </c>
      <c r="AE290" s="222">
        <f>AE35/AE15</f>
        <v>0.273559835583178</v>
      </c>
      <c r="AF290" s="222">
        <f>AF35/AF15</f>
        <v>0.221265256632849</v>
      </c>
      <c r="AH290" s="222">
        <f>AH35/AH15</f>
        <v>0</v>
      </c>
      <c r="AI290" s="222">
        <f>AI35/AI15</f>
        <v>0</v>
      </c>
      <c r="AJ290" s="222">
        <f>AJ35/AJ15</f>
        <v>0</v>
      </c>
      <c r="AK290" s="222">
        <f>AK35/AK15</f>
        <v>0</v>
      </c>
      <c r="AM290" s="222">
        <f>AM35/AM15</f>
        <v>0</v>
      </c>
      <c r="AN290" s="222">
        <f>AN35/AN15</f>
        <v>0</v>
      </c>
      <c r="AO290" s="222">
        <f>AO35/AO15</f>
        <v>0</v>
      </c>
      <c r="AP290" s="222">
        <f>AP35/AP15</f>
        <v>0</v>
      </c>
      <c r="AR290" s="222">
        <f>AR35/AR15</f>
        <v>0</v>
      </c>
      <c r="AS290" s="222">
        <f>AS35/AS15</f>
        <v>0</v>
      </c>
      <c r="AT290" s="222">
        <f>AT35/AT15</f>
        <v>0</v>
      </c>
      <c r="AU290" s="222">
        <f>AU35/AU15</f>
        <v>0</v>
      </c>
      <c r="AW290" s="222">
        <f>AW35/AW15</f>
        <v>0</v>
      </c>
      <c r="AX290" s="222">
        <f>AX35/AX15</f>
        <v>0</v>
      </c>
      <c r="AY290" s="222">
        <f>AY35/AY15</f>
        <v>0</v>
      </c>
      <c r="AZ290" s="222">
        <f>AZ35/AZ15</f>
        <v>0</v>
      </c>
      <c r="BB290" s="222">
        <f>BB35/BB15</f>
        <v>0</v>
      </c>
      <c r="BC290" s="222">
        <f>BC35/BC15</f>
        <v>0</v>
      </c>
      <c r="BD290" s="222">
        <f>BD35/BD15</f>
        <v>0</v>
      </c>
      <c r="BE290" s="222">
        <f>BE35/BE15</f>
        <v>0</v>
      </c>
      <c r="BG290" s="222">
        <f>BG35/BG15</f>
        <v>0</v>
      </c>
      <c r="BH290" s="222">
        <f>BH35/BH15</f>
        <v>0</v>
      </c>
      <c r="BI290" s="222">
        <f>BI35/BI15</f>
        <v>0</v>
      </c>
      <c r="BJ290" s="222">
        <f>BJ35/BJ15</f>
        <v>0</v>
      </c>
      <c r="BL290" s="222">
        <f>BL35/BL15</f>
        <v>0</v>
      </c>
      <c r="BM290" s="222">
        <f>BM35/BM15</f>
        <v>0</v>
      </c>
      <c r="BN290" s="222">
        <f>BN35/BN15</f>
        <v>0</v>
      </c>
      <c r="BO290" s="222">
        <f>BO35/BO15</f>
        <v>0</v>
      </c>
      <c r="BQ290" s="222">
        <f>BQ35/BQ15</f>
        <v>0</v>
      </c>
      <c r="BR290" s="222">
        <f>BR35/BR15</f>
        <v>0</v>
      </c>
      <c r="BS290" s="222">
        <f>BS35/BS15</f>
        <v>0</v>
      </c>
      <c r="BT290" s="222">
        <f>BT35/BT15</f>
        <v>0</v>
      </c>
      <c r="BV290" s="222">
        <f>BV35/BV15</f>
        <v>0</v>
      </c>
      <c r="BW290" s="222">
        <f>BW35/BW15</f>
        <v>0</v>
      </c>
      <c r="BX290" s="222">
        <f>BX35/BX15</f>
        <v>0</v>
      </c>
      <c r="BY290" s="222">
        <f>BY35/BY15</f>
        <v>0</v>
      </c>
      <c r="CA290" s="222">
        <f>CA35/CA15</f>
        <v>0</v>
      </c>
      <c r="CB290" s="222">
        <f>CB35/CB15</f>
        <v>0</v>
      </c>
      <c r="CC290" s="222">
        <f>CC35/CC15</f>
        <v>0</v>
      </c>
      <c r="CD290" s="222">
        <f>CD35/CD15</f>
        <v>0</v>
      </c>
      <c r="CF290" s="222">
        <f>CF35/CF15</f>
        <v>0</v>
      </c>
      <c r="CG290" s="222">
        <f>CG35/CG15</f>
        <v>0</v>
      </c>
      <c r="CH290" s="222">
        <f>CH35/CH15</f>
        <v>0</v>
      </c>
      <c r="CI290" s="222">
        <f>CI35/CI15</f>
        <v>0</v>
      </c>
      <c r="CK290" s="222">
        <f>CK35/CK15</f>
        <v>0</v>
      </c>
      <c r="CL290" s="222">
        <f>CL35/CL15</f>
        <v>0</v>
      </c>
      <c r="CM290" s="222">
        <f>CM35/CM15</f>
        <v>0</v>
      </c>
      <c r="CN290" s="222">
        <f>CN35/CN15</f>
        <v>0</v>
      </c>
      <c r="CP290" s="222">
        <f>CP35/CP15</f>
        <v>0</v>
      </c>
      <c r="CQ290" s="222">
        <f>CQ35/CQ15</f>
        <v>0</v>
      </c>
      <c r="CR290" s="222">
        <f>CR35/CR15</f>
        <v>0</v>
      </c>
      <c r="CS290" s="222">
        <f>CS35/CS15</f>
        <v>0</v>
      </c>
      <c r="CU290" s="222">
        <f>CU35/CU15</f>
        <v>0</v>
      </c>
      <c r="CV290" s="222">
        <f>CV35/CV15</f>
        <v>0</v>
      </c>
      <c r="CW290" s="222">
        <f>CW35/CW15</f>
        <v>0</v>
      </c>
      <c r="CX290" s="222">
        <f>CX35/CX15</f>
        <v>0</v>
      </c>
    </row>
    <row r="291" customFormat="1" s="233">
      <c r="A291" s="224" t="n"/>
      <c r="B291" s="224" t="n"/>
      <c r="C291" s="233" t="inlineStr">
        <is>
          <t>ETR</t>
        </is>
      </c>
      <c r="D291" s="236">
        <f>-D97/D96</f>
        <v>0.265130251594464</v>
      </c>
      <c r="E291" s="236">
        <f>-E97/E96</f>
        <v>0.289236002266409</v>
      </c>
      <c r="F291" s="236">
        <f>-F97/F96</f>
        <v>0.350051487138513</v>
      </c>
      <c r="G291" s="236">
        <f>-G97/G96</f>
        <v>0.131394926249318</v>
      </c>
      <c r="I291" s="222">
        <f>-I97/I96</f>
        <v>0.292654096945177</v>
      </c>
      <c r="J291" s="222">
        <f>-J97/J96</f>
        <v>0.292992933107752</v>
      </c>
      <c r="K291" s="222">
        <f>-K97/K96</f>
        <v>0.29395039478039</v>
      </c>
      <c r="L291" s="222">
        <f>-L97/L96</f>
        <v>0.286419590176505</v>
      </c>
      <c r="N291" s="222">
        <f>-N97/N96</f>
        <v>0.278000357511338</v>
      </c>
      <c r="O291" s="222">
        <f>-O97/O96</f>
        <v>0.279177811237353</v>
      </c>
      <c r="P291" s="222">
        <f>-P97/P96</f>
        <v>0.21781011423722</v>
      </c>
      <c r="Q291" s="222">
        <f>-Q97/Q96</f>
        <v>-0.00574280384627166</v>
      </c>
      <c r="S291" s="222">
        <f>-S97/S96</f>
        <v>0.24927832217476</v>
      </c>
      <c r="T291" s="222">
        <f>-T97/T96</f>
        <v>0.247016793058637</v>
      </c>
      <c r="U291" s="222">
        <f>-U97/U96</f>
        <v>0.20129137386843</v>
      </c>
      <c r="V291" s="222">
        <f>-V97/V96</f>
        <v>0.127415456127</v>
      </c>
      <c r="X291" s="222">
        <f>-X97/X96</f>
        <v>0.223842476406582</v>
      </c>
      <c r="Y291" s="222">
        <f>-Y97/Y96</f>
        <v>0.244410564666207</v>
      </c>
      <c r="Z291" s="222">
        <f>-Z97/Z96</f>
        <v>0.234371034005852</v>
      </c>
      <c r="AA291" s="222">
        <f>-AA97/AA96</f>
        <v>0.208698598699898</v>
      </c>
      <c r="AC291" s="222">
        <f>-AC97/AC96</f>
        <v>0.23270021074886</v>
      </c>
      <c r="AD291" s="222">
        <f>-AD97/AD96</f>
        <v>0.231596515933865</v>
      </c>
      <c r="AE291" s="222">
        <f>-AE97/AE96</f>
        <v>0.224827673067312</v>
      </c>
      <c r="AF291" s="222">
        <f>-AF97/AF96</f>
        <v>0.0408557363477819</v>
      </c>
      <c r="AH291" s="222">
        <f>-AH97/AH96</f>
        <v>0</v>
      </c>
      <c r="AI291" s="222">
        <f>-AI97/AI96</f>
        <v>0</v>
      </c>
      <c r="AJ291" s="222">
        <f>-AJ97/AJ96</f>
        <v>0</v>
      </c>
      <c r="AK291" s="222">
        <f>-AK97/AK96</f>
        <v>0</v>
      </c>
      <c r="AM291" s="222">
        <f>-AM97/AM96</f>
        <v>0</v>
      </c>
      <c r="AN291" s="222">
        <f>-AN97/AN96</f>
        <v>0</v>
      </c>
      <c r="AO291" s="222">
        <f>-AO97/AO96</f>
        <v>0</v>
      </c>
      <c r="AP291" s="222">
        <f>-AP97/AP96</f>
        <v>0</v>
      </c>
      <c r="AR291" s="222">
        <f>-AR97/AR96</f>
        <v>0</v>
      </c>
      <c r="AS291" s="222">
        <f>-AS97/AS96</f>
        <v>0</v>
      </c>
      <c r="AT291" s="222">
        <f>-AT97/AT96</f>
        <v>0</v>
      </c>
      <c r="AU291" s="222">
        <f>-AU97/AU96</f>
        <v>0</v>
      </c>
      <c r="AW291" s="222">
        <f>-AW97/AW96</f>
        <v>0</v>
      </c>
      <c r="AX291" s="222">
        <f>-AX97/AX96</f>
        <v>0</v>
      </c>
      <c r="AY291" s="222">
        <f>-AY97/AY96</f>
        <v>0</v>
      </c>
      <c r="AZ291" s="222">
        <f>-AZ97/AZ96</f>
        <v>0</v>
      </c>
      <c r="BB291" s="222">
        <f>-BB97/BB96</f>
        <v>0</v>
      </c>
      <c r="BC291" s="222">
        <f>-BC97/BC96</f>
        <v>0</v>
      </c>
      <c r="BD291" s="222">
        <f>-BD97/BD96</f>
        <v>0</v>
      </c>
      <c r="BE291" s="222">
        <f>-BE97/BE96</f>
        <v>0</v>
      </c>
      <c r="BG291" s="222">
        <f>-BG97/BG96</f>
        <v>0</v>
      </c>
      <c r="BH291" s="222">
        <f>-BH97/BH96</f>
        <v>0</v>
      </c>
      <c r="BI291" s="222">
        <f>-BI97/BI96</f>
        <v>0</v>
      </c>
      <c r="BJ291" s="222">
        <f>-BJ97/BJ96</f>
        <v>0</v>
      </c>
      <c r="BL291" s="222">
        <f>-BL97/BL96</f>
        <v>0</v>
      </c>
      <c r="BM291" s="222">
        <f>-BM97/BM96</f>
        <v>0</v>
      </c>
      <c r="BN291" s="222">
        <f>-BN97/BN96</f>
        <v>0</v>
      </c>
      <c r="BO291" s="222">
        <f>-BO97/BO96</f>
        <v>0</v>
      </c>
      <c r="BQ291" s="222">
        <f>-BQ97/BQ96</f>
        <v>0</v>
      </c>
      <c r="BR291" s="222">
        <f>-BR97/BR96</f>
        <v>0</v>
      </c>
      <c r="BS291" s="222">
        <f>-BS97/BS96</f>
        <v>0</v>
      </c>
      <c r="BT291" s="222">
        <f>-BT97/BT96</f>
        <v>0</v>
      </c>
      <c r="BV291" s="222">
        <f>-BV97/BV96</f>
        <v>0</v>
      </c>
      <c r="BW291" s="222">
        <f>-BW97/BW96</f>
        <v>0</v>
      </c>
      <c r="BX291" s="222">
        <f>-BX97/BX96</f>
        <v>0</v>
      </c>
      <c r="BY291" s="222">
        <f>-BY97/BY96</f>
        <v>0</v>
      </c>
      <c r="CA291" s="222">
        <f>-CA97/CA96</f>
        <v>0</v>
      </c>
      <c r="CB291" s="222">
        <f>-CB97/CB96</f>
        <v>0</v>
      </c>
      <c r="CC291" s="222">
        <f>-CC97/CC96</f>
        <v>0</v>
      </c>
      <c r="CD291" s="222">
        <f>-CD97/CD96</f>
        <v>0</v>
      </c>
      <c r="CF291" s="222">
        <f>-CF97/CF96</f>
        <v>0</v>
      </c>
      <c r="CG291" s="222">
        <f>-CG97/CG96</f>
        <v>0</v>
      </c>
      <c r="CH291" s="222">
        <f>-CH97/CH96</f>
        <v>0</v>
      </c>
      <c r="CI291" s="222">
        <f>-CI97/CI96</f>
        <v>0</v>
      </c>
      <c r="CK291" s="222">
        <f>-CK97/CK96</f>
        <v>0</v>
      </c>
      <c r="CL291" s="222">
        <f>-CL97/CL96</f>
        <v>0</v>
      </c>
      <c r="CM291" s="222">
        <f>-CM97/CM96</f>
        <v>0</v>
      </c>
      <c r="CN291" s="222">
        <f>-CN97/CN96</f>
        <v>0</v>
      </c>
      <c r="CP291" s="222">
        <f>-CP97/CP96</f>
        <v>0</v>
      </c>
      <c r="CQ291" s="222">
        <f>-CQ97/CQ96</f>
        <v>0</v>
      </c>
      <c r="CR291" s="222">
        <f>-CR97/CR96</f>
        <v>0</v>
      </c>
      <c r="CS291" s="222">
        <f>-CS97/CS96</f>
        <v>0</v>
      </c>
      <c r="CU291" s="222">
        <f>-CU97/CU96</f>
        <v>0</v>
      </c>
      <c r="CV291" s="222">
        <f>-CV97/CV96</f>
        <v>0</v>
      </c>
      <c r="CW291" s="222">
        <f>-CW97/CW96</f>
        <v>0</v>
      </c>
      <c r="CX291" s="222">
        <f>-CX97/CX96</f>
        <v>0</v>
      </c>
    </row>
    <row r="292" customFormat="1" s="233">
      <c r="A292" s="224" t="n"/>
      <c r="B292" s="224" t="n"/>
    </row>
    <row r="293" customFormat="1" s="233">
      <c r="A293" s="224" t="n"/>
      <c r="B293" s="224" t="n"/>
      <c r="C293" s="234" t="inlineStr">
        <is>
          <t>CAPITAL STRUCTURE</t>
        </is>
      </c>
    </row>
    <row r="294" customFormat="1" s="233">
      <c r="A294" s="224" t="n"/>
      <c r="B294" s="224" t="n"/>
      <c r="C294" s="233" t="inlineStr">
        <is>
          <t>MARKET DEBT / EQUITY</t>
        </is>
      </c>
    </row>
    <row r="295" customFormat="1" s="233">
      <c r="A295" s="224" t="n"/>
      <c r="B295" s="224" t="n"/>
      <c r="C295" s="233" t="inlineStr">
        <is>
          <t>NET DEBT / (NET DEBT + MARKET CAP)</t>
        </is>
      </c>
    </row>
    <row r="296" customFormat="1" s="233">
      <c r="A296" s="224" t="n"/>
      <c r="B296" s="224" t="n"/>
    </row>
    <row r="297" customFormat="1" s="233">
      <c r="A297" s="224" t="n"/>
      <c r="B297" s="224" t="n"/>
      <c r="C297" s="234" t="inlineStr">
        <is>
          <t>FINANCIAL RISK RATIOS</t>
        </is>
      </c>
    </row>
    <row r="298" customFormat="1" s="233">
      <c r="A298" s="224" t="n"/>
      <c r="B298" s="224" t="n"/>
      <c r="C298" s="233" t="inlineStr">
        <is>
          <t>EBITDA / TOTAL INTEREST</t>
        </is>
      </c>
      <c r="D298" s="219">
        <f>D35/-D40</f>
        <v>5.06078340935444</v>
      </c>
      <c r="E298" s="219">
        <f>E35/-E40</f>
        <v>0.432119665221466</v>
      </c>
      <c r="F298" s="219">
        <f>F35/-F40</f>
        <v>7.5093957355393</v>
      </c>
      <c r="G298" s="219">
        <f>G35/-G40</f>
        <v>6.23286772259655</v>
      </c>
      <c r="I298" s="219">
        <f>I35/-I40</f>
        <v>7.62867827213341</v>
      </c>
      <c r="J298" s="219">
        <f>J35/-J40</f>
        <v>5.10912636836047</v>
      </c>
      <c r="K298" s="219">
        <f>K35/-K40</f>
        <v>4.42016319534931</v>
      </c>
      <c r="L298" s="219">
        <f>L35/-L40</f>
        <v>3.52793760676458</v>
      </c>
      <c r="N298" s="219">
        <f>N35/-N40</f>
        <v>3.80591371495667</v>
      </c>
      <c r="O298" s="219">
        <f>O35/-O40</f>
        <v>2.76389544125128</v>
      </c>
      <c r="P298" s="219">
        <f>P35/-P40</f>
        <v>2.58983201211192</v>
      </c>
      <c r="Q298" s="219">
        <f>Q35/-Q40</f>
        <v>1.92225688821348</v>
      </c>
      <c r="S298" s="219">
        <f>S35/-S40</f>
        <v>2.56995522773927</v>
      </c>
      <c r="T298" s="219">
        <f>T35/-T40</f>
        <v>2.29548047032442</v>
      </c>
      <c r="U298" s="219">
        <f>U35/-U40</f>
        <v>3.08970819952649</v>
      </c>
      <c r="V298" s="219">
        <f>V35/-V40</f>
        <v>2.53557794274652</v>
      </c>
      <c r="X298" s="219">
        <f>X35/-X40</f>
        <v>3.52411532011262</v>
      </c>
      <c r="Y298" s="219">
        <f>Y35/-Y40</f>
        <v>3.71450730381449</v>
      </c>
      <c r="Z298" s="219">
        <f>Z35/-Z40</f>
        <v>3.39562530567368</v>
      </c>
      <c r="AA298" s="219">
        <f>AA35/-AA40</f>
        <v>2.36717333388177</v>
      </c>
      <c r="AC298" s="219">
        <f>AC35/-AC40</f>
        <v>3.00117849377754</v>
      </c>
      <c r="AD298" s="219">
        <f>AD35/-AD40</f>
        <v>2.67977114999144</v>
      </c>
      <c r="AE298" s="219">
        <f>AE35/-AE40</f>
        <v>2.72079080583193</v>
      </c>
      <c r="AF298" s="219">
        <f>AF35/-AF40</f>
        <v>2.25645672271068</v>
      </c>
      <c r="AH298" s="219" t="e">
        <f>AH35/-AH40</f>
        <v>#DIV/0!</v>
      </c>
      <c r="AI298" s="219" t="e">
        <f>AI35/-AI40</f>
        <v>#DIV/0!</v>
      </c>
      <c r="AJ298" s="219" t="e">
        <f>AJ35/-AJ40</f>
        <v>#DIV/0!</v>
      </c>
      <c r="AK298" s="219" t="e">
        <f>AK35/-AK40</f>
        <v>#DIV/0!</v>
      </c>
      <c r="AM298" s="219" t="e">
        <f>AM35/-AM40</f>
        <v>#DIV/0!</v>
      </c>
      <c r="AN298" s="219" t="e">
        <f>AN35/-AN40</f>
        <v>#DIV/0!</v>
      </c>
      <c r="AO298" s="219" t="e">
        <f>AO35/-AO40</f>
        <v>#DIV/0!</v>
      </c>
      <c r="AP298" s="219" t="e">
        <f>AP35/-AP40</f>
        <v>#DIV/0!</v>
      </c>
      <c r="AR298" s="219" t="e">
        <f>AR35/-AR40</f>
        <v>#DIV/0!</v>
      </c>
      <c r="AS298" s="219" t="e">
        <f>AS35/-AS40</f>
        <v>#DIV/0!</v>
      </c>
      <c r="AT298" s="219" t="e">
        <f>AT35/-AT40</f>
        <v>#DIV/0!</v>
      </c>
      <c r="AU298" s="219" t="e">
        <f>AU35/-AU40</f>
        <v>#DIV/0!</v>
      </c>
      <c r="AW298" s="219" t="e">
        <f>AW35/-AW40</f>
        <v>#DIV/0!</v>
      </c>
      <c r="AX298" s="219" t="e">
        <f>AX35/-AX40</f>
        <v>#DIV/0!</v>
      </c>
      <c r="AY298" s="219" t="e">
        <f>AY35/-AY40</f>
        <v>#DIV/0!</v>
      </c>
      <c r="AZ298" s="219" t="e">
        <f>AZ35/-AZ40</f>
        <v>#DIV/0!</v>
      </c>
      <c r="BB298" s="219" t="e">
        <f>BB35/-BB40</f>
        <v>#DIV/0!</v>
      </c>
      <c r="BC298" s="219" t="e">
        <f>BC35/-BC40</f>
        <v>#DIV/0!</v>
      </c>
      <c r="BD298" s="219" t="e">
        <f>BD35/-BD40</f>
        <v>#DIV/0!</v>
      </c>
      <c r="BE298" s="219" t="e">
        <f>BE35/-BE40</f>
        <v>#DIV/0!</v>
      </c>
      <c r="BG298" s="219" t="e">
        <f>BG35/-BG40</f>
        <v>#DIV/0!</v>
      </c>
      <c r="BH298" s="219" t="e">
        <f>BH35/-BH40</f>
        <v>#DIV/0!</v>
      </c>
      <c r="BI298" s="219" t="e">
        <f>BI35/-BI40</f>
        <v>#DIV/0!</v>
      </c>
      <c r="BJ298" s="219" t="e">
        <f>BJ35/-BJ40</f>
        <v>#DIV/0!</v>
      </c>
      <c r="BL298" s="219" t="e">
        <f>BL35/-BL40</f>
        <v>#DIV/0!</v>
      </c>
      <c r="BM298" s="219" t="e">
        <f>BM35/-BM40</f>
        <v>#DIV/0!</v>
      </c>
      <c r="BN298" s="219" t="e">
        <f>BN35/-BN40</f>
        <v>#DIV/0!</v>
      </c>
      <c r="BO298" s="219" t="e">
        <f>BO35/-BO40</f>
        <v>#DIV/0!</v>
      </c>
      <c r="BQ298" s="219" t="e">
        <f>BQ35/-BQ40</f>
        <v>#DIV/0!</v>
      </c>
      <c r="BR298" s="219" t="e">
        <f>BR35/-BR40</f>
        <v>#DIV/0!</v>
      </c>
      <c r="BS298" s="219" t="e">
        <f>BS35/-BS40</f>
        <v>#DIV/0!</v>
      </c>
      <c r="BT298" s="219" t="e">
        <f>BT35/-BT40</f>
        <v>#DIV/0!</v>
      </c>
      <c r="BV298" s="219" t="e">
        <f>BV35/-BV40</f>
        <v>#DIV/0!</v>
      </c>
      <c r="BW298" s="219" t="e">
        <f>BW35/-BW40</f>
        <v>#DIV/0!</v>
      </c>
      <c r="BX298" s="219" t="e">
        <f>BX35/-BX40</f>
        <v>#DIV/0!</v>
      </c>
      <c r="BY298" s="219" t="e">
        <f>BY35/-BY40</f>
        <v>#DIV/0!</v>
      </c>
      <c r="CA298" s="219" t="e">
        <f>CA35/-CA40</f>
        <v>#DIV/0!</v>
      </c>
      <c r="CB298" s="219" t="e">
        <f>CB35/-CB40</f>
        <v>#DIV/0!</v>
      </c>
      <c r="CC298" s="219" t="e">
        <f>CC35/-CC40</f>
        <v>#DIV/0!</v>
      </c>
      <c r="CD298" s="219" t="e">
        <f>CD35/-CD40</f>
        <v>#DIV/0!</v>
      </c>
      <c r="CF298" s="219" t="e">
        <f>CF35/-CF40</f>
        <v>#DIV/0!</v>
      </c>
      <c r="CG298" s="219" t="e">
        <f>CG35/-CG40</f>
        <v>#DIV/0!</v>
      </c>
      <c r="CH298" s="219" t="e">
        <f>CH35/-CH40</f>
        <v>#DIV/0!</v>
      </c>
      <c r="CI298" s="219" t="e">
        <f>CI35/-CI40</f>
        <v>#DIV/0!</v>
      </c>
      <c r="CK298" s="219" t="e">
        <f>CK35/-CK40</f>
        <v>#DIV/0!</v>
      </c>
      <c r="CL298" s="219" t="e">
        <f>CL35/-CL40</f>
        <v>#DIV/0!</v>
      </c>
      <c r="CM298" s="219" t="e">
        <f>CM35/-CM40</f>
        <v>#DIV/0!</v>
      </c>
      <c r="CN298" s="219" t="e">
        <f>CN35/-CN40</f>
        <v>#DIV/0!</v>
      </c>
      <c r="CP298" s="219" t="e">
        <f>CP35/-CP40</f>
        <v>#DIV/0!</v>
      </c>
      <c r="CQ298" s="219" t="e">
        <f>CQ35/-CQ40</f>
        <v>#DIV/0!</v>
      </c>
      <c r="CR298" s="219" t="e">
        <f>CR35/-CR40</f>
        <v>#DIV/0!</v>
      </c>
      <c r="CS298" s="219" t="e">
        <f>CS35/-CS40</f>
        <v>#DIV/0!</v>
      </c>
      <c r="CU298" s="219" t="e">
        <f>CU35/-CU40</f>
        <v>#DIV/0!</v>
      </c>
      <c r="CV298" s="219" t="e">
        <f>CV35/-CV40</f>
        <v>#DIV/0!</v>
      </c>
      <c r="CW298" s="219" t="e">
        <f>CW35/-CW40</f>
        <v>#DIV/0!</v>
      </c>
      <c r="CX298" s="219" t="e">
        <f>CX35/-CX40</f>
        <v>#DIV/0!</v>
      </c>
    </row>
    <row r="299" customFormat="1" s="233">
      <c r="A299" s="224" t="n"/>
      <c r="B299" s="224" t="n"/>
      <c r="C299" s="233" t="inlineStr">
        <is>
          <t>(EBITDA - CAPEX) / TOTAL INTEREST</t>
        </is>
      </c>
      <c r="D299" s="219">
        <f>(D35-D134)/-D40</f>
        <v>5.06078340935444</v>
      </c>
      <c r="E299" s="219">
        <f>(E35-E134)/-E40</f>
        <v>-1.08426620381236</v>
      </c>
      <c r="F299" s="219">
        <f>(F35-F134)/-F40</f>
        <v>6.18341391905201</v>
      </c>
      <c r="G299" s="219">
        <f>(G35-G134)/-G40</f>
        <v>4.146817524429</v>
      </c>
      <c r="I299" s="219">
        <f>(I35-I134)/-I40</f>
        <v>5.79277911322986</v>
      </c>
      <c r="J299" s="219">
        <f>(J35-J134)/-J40</f>
        <v>2.61044211949186</v>
      </c>
      <c r="K299" s="219">
        <f>(K35-K134)/-K40</f>
        <v>2.62586972136247</v>
      </c>
      <c r="L299" s="219">
        <f>(L35-L134)/-L40</f>
        <v>0.814997781088257</v>
      </c>
      <c r="N299" s="219">
        <f>(N35-N134)/-N40</f>
        <v>2.71222058301987</v>
      </c>
      <c r="O299" s="219">
        <f>(O35-O134)/-O40</f>
        <v>1.48235367901972</v>
      </c>
      <c r="P299" s="219">
        <f>(P35-P134)/-P40</f>
        <v>1.35301292626173</v>
      </c>
      <c r="Q299" s="219">
        <f>(Q35-Q134)/-Q40</f>
        <v>0.468030333938145</v>
      </c>
      <c r="S299" s="219">
        <f>(S35-S134)/-S40</f>
        <v>1.71899336104942</v>
      </c>
      <c r="T299" s="219">
        <f>(T35-T134)/-T40</f>
        <v>-1.54504207072898</v>
      </c>
      <c r="U299" s="219">
        <f>(U35-U134)/-U40</f>
        <v>1.95361713832643</v>
      </c>
      <c r="V299" s="219">
        <f>(V35-V134)/-V40</f>
        <v>1.25943909220502</v>
      </c>
      <c r="X299" s="219">
        <f>(X35-X134)/-X40</f>
        <v>2.38094751232798</v>
      </c>
      <c r="Y299" s="219">
        <f>(Y35-Y134)/-Y40</f>
        <v>2.39599268551262</v>
      </c>
      <c r="Z299" s="219">
        <f>(Z35-Z134)/-Z40</f>
        <v>2.06235094814131</v>
      </c>
      <c r="AA299" s="219">
        <f>(AA35-AA134)/-AA40</f>
        <v>0.951156708141739</v>
      </c>
      <c r="AC299" s="219">
        <f>(AC35-AC134)/-AC40</f>
        <v>1.98489404878399</v>
      </c>
      <c r="AD299" s="219">
        <f>(AD35-AD134)/-AD40</f>
        <v>1.61007641595907</v>
      </c>
      <c r="AE299" s="219">
        <f>(AE35-AE134)/-AE40</f>
        <v>1.65190595591893</v>
      </c>
      <c r="AF299" s="219">
        <f>(AF35-AF134)/-AF40</f>
        <v>0.914287359084004</v>
      </c>
      <c r="AH299" s="219" t="e">
        <f>(AH35-AH134)/-AH40</f>
        <v>#DIV/0!</v>
      </c>
      <c r="AI299" s="219" t="e">
        <f>(AI35-AI134)/-AI40</f>
        <v>#DIV/0!</v>
      </c>
      <c r="AJ299" s="219" t="e">
        <f>(AJ35-AJ134)/-AJ40</f>
        <v>#DIV/0!</v>
      </c>
      <c r="AK299" s="219" t="e">
        <f>(AK35-AK134)/-AK40</f>
        <v>#DIV/0!</v>
      </c>
      <c r="AM299" s="219" t="e">
        <f>(AM35-AM134)/-AM40</f>
        <v>#DIV/0!</v>
      </c>
      <c r="AN299" s="219" t="e">
        <f>(AN35-AN134)/-AN40</f>
        <v>#DIV/0!</v>
      </c>
      <c r="AO299" s="219" t="e">
        <f>(AO35-AO134)/-AO40</f>
        <v>#DIV/0!</v>
      </c>
      <c r="AP299" s="219" t="e">
        <f>(AP35-AP134)/-AP40</f>
        <v>#DIV/0!</v>
      </c>
      <c r="AR299" s="219" t="e">
        <f>(AR35-AR134)/-AR40</f>
        <v>#DIV/0!</v>
      </c>
      <c r="AS299" s="219" t="e">
        <f>(AS35-AS134)/-AS40</f>
        <v>#DIV/0!</v>
      </c>
      <c r="AT299" s="219" t="e">
        <f>(AT35-AT134)/-AT40</f>
        <v>#DIV/0!</v>
      </c>
      <c r="AU299" s="219" t="e">
        <f>(AU35-AU134)/-AU40</f>
        <v>#DIV/0!</v>
      </c>
      <c r="AW299" s="219" t="e">
        <f>(AW35-AW134)/-AW40</f>
        <v>#DIV/0!</v>
      </c>
      <c r="AX299" s="219" t="e">
        <f>(AX35-AX134)/-AX40</f>
        <v>#DIV/0!</v>
      </c>
      <c r="AY299" s="219" t="e">
        <f>(AY35-AY134)/-AY40</f>
        <v>#DIV/0!</v>
      </c>
      <c r="AZ299" s="219" t="e">
        <f>(AZ35-AZ134)/-AZ40</f>
        <v>#DIV/0!</v>
      </c>
      <c r="BB299" s="219" t="e">
        <f>(BB35-BB134)/-BB40</f>
        <v>#DIV/0!</v>
      </c>
      <c r="BC299" s="219" t="e">
        <f>(BC35-BC134)/-BC40</f>
        <v>#DIV/0!</v>
      </c>
      <c r="BD299" s="219" t="e">
        <f>(BD35-BD134)/-BD40</f>
        <v>#DIV/0!</v>
      </c>
      <c r="BE299" s="219" t="e">
        <f>(BE35-BE134)/-BE40</f>
        <v>#DIV/0!</v>
      </c>
      <c r="BG299" s="219" t="e">
        <f>(BG35-BG134)/-BG40</f>
        <v>#DIV/0!</v>
      </c>
      <c r="BH299" s="219" t="e">
        <f>(BH35-BH134)/-BH40</f>
        <v>#DIV/0!</v>
      </c>
      <c r="BI299" s="219" t="e">
        <f>(BI35-BI134)/-BI40</f>
        <v>#DIV/0!</v>
      </c>
      <c r="BJ299" s="219" t="e">
        <f>(BJ35-BJ134)/-BJ40</f>
        <v>#DIV/0!</v>
      </c>
      <c r="BL299" s="219" t="e">
        <f>(BL35-BL134)/-BL40</f>
        <v>#DIV/0!</v>
      </c>
      <c r="BM299" s="219" t="e">
        <f>(BM35-BM134)/-BM40</f>
        <v>#DIV/0!</v>
      </c>
      <c r="BN299" s="219" t="e">
        <f>(BN35-BN134)/-BN40</f>
        <v>#DIV/0!</v>
      </c>
      <c r="BO299" s="219" t="e">
        <f>(BO35-BO134)/-BO40</f>
        <v>#DIV/0!</v>
      </c>
      <c r="BQ299" s="219" t="e">
        <f>(BQ35-BQ134)/-BQ40</f>
        <v>#DIV/0!</v>
      </c>
      <c r="BR299" s="219" t="e">
        <f>(BR35-BR134)/-BR40</f>
        <v>#DIV/0!</v>
      </c>
      <c r="BS299" s="219" t="e">
        <f>(BS35-BS134)/-BS40</f>
        <v>#DIV/0!</v>
      </c>
      <c r="BT299" s="219" t="e">
        <f>(BT35-BT134)/-BT40</f>
        <v>#DIV/0!</v>
      </c>
      <c r="BV299" s="219" t="e">
        <f>(BV35-BV134)/-BV40</f>
        <v>#DIV/0!</v>
      </c>
      <c r="BW299" s="219" t="e">
        <f>(BW35-BW134)/-BW40</f>
        <v>#DIV/0!</v>
      </c>
      <c r="BX299" s="219" t="e">
        <f>(BX35-BX134)/-BX40</f>
        <v>#DIV/0!</v>
      </c>
      <c r="BY299" s="219" t="e">
        <f>(BY35-BY134)/-BY40</f>
        <v>#DIV/0!</v>
      </c>
      <c r="CA299" s="219" t="e">
        <f>(CA35-CA134)/-CA40</f>
        <v>#DIV/0!</v>
      </c>
      <c r="CB299" s="219" t="e">
        <f>(CB35-CB134)/-CB40</f>
        <v>#DIV/0!</v>
      </c>
      <c r="CC299" s="219" t="e">
        <f>(CC35-CC134)/-CC40</f>
        <v>#DIV/0!</v>
      </c>
      <c r="CD299" s="219" t="e">
        <f>(CD35-CD134)/-CD40</f>
        <v>#DIV/0!</v>
      </c>
      <c r="CF299" s="219" t="e">
        <f>(CF35-CF134)/-CF40</f>
        <v>#DIV/0!</v>
      </c>
      <c r="CG299" s="219" t="e">
        <f>(CG35-CG134)/-CG40</f>
        <v>#DIV/0!</v>
      </c>
      <c r="CH299" s="219" t="e">
        <f>(CH35-CH134)/-CH40</f>
        <v>#DIV/0!</v>
      </c>
      <c r="CI299" s="219" t="e">
        <f>(CI35-CI134)/-CI40</f>
        <v>#DIV/0!</v>
      </c>
      <c r="CK299" s="219" t="e">
        <f>(CK35-CK134)/-CK40</f>
        <v>#DIV/0!</v>
      </c>
      <c r="CL299" s="219" t="e">
        <f>(CL35-CL134)/-CL40</f>
        <v>#DIV/0!</v>
      </c>
      <c r="CM299" s="219" t="e">
        <f>(CM35-CM134)/-CM40</f>
        <v>#DIV/0!</v>
      </c>
      <c r="CN299" s="219" t="e">
        <f>(CN35-CN134)/-CN40</f>
        <v>#DIV/0!</v>
      </c>
      <c r="CP299" s="219" t="e">
        <f>(CP35-CP134)/-CP40</f>
        <v>#DIV/0!</v>
      </c>
      <c r="CQ299" s="219" t="e">
        <f>(CQ35-CQ134)/-CQ40</f>
        <v>#DIV/0!</v>
      </c>
      <c r="CR299" s="219" t="e">
        <f>(CR35-CR134)/-CR40</f>
        <v>#DIV/0!</v>
      </c>
      <c r="CS299" s="219" t="e">
        <f>(CS35-CS134)/-CS40</f>
        <v>#DIV/0!</v>
      </c>
      <c r="CU299" s="219" t="e">
        <f>(CU35-CU134)/-CU40</f>
        <v>#DIV/0!</v>
      </c>
      <c r="CV299" s="219" t="e">
        <f>(CV35-CV134)/-CV40</f>
        <v>#DIV/0!</v>
      </c>
      <c r="CW299" s="219" t="e">
        <f>(CW35-CW134)/-CW40</f>
        <v>#DIV/0!</v>
      </c>
      <c r="CX299" s="219" t="e">
        <f>(CX35-CX134)/-CX40</f>
        <v>#DIV/0!</v>
      </c>
    </row>
    <row r="300" customFormat="1" s="233">
      <c r="A300" s="224" t="n"/>
      <c r="B300" s="224" t="n"/>
      <c r="C300" s="233" t="inlineStr">
        <is>
          <t>TOTAL DEBT / EBITDA</t>
        </is>
      </c>
      <c r="D300" s="219">
        <f>SUM(D178,D179,D180,D183,D201,D204)/(D35*4)</f>
        <v>3.02839089389216</v>
      </c>
      <c r="E300" s="219">
        <f>SUM(E178,E179,E180,E183,E201,E204)/(E35*4)</f>
        <v>34.7439458731903</v>
      </c>
      <c r="F300" s="219">
        <f>SUM(F178,F179,F180,F183,F201,F204)/(F35*4)</f>
        <v>2.09402029521343</v>
      </c>
      <c r="G300" s="219">
        <f>SUM(G178,G179,G180,G183,G201,G204)/(G35*4)</f>
        <v>2.25578663414147</v>
      </c>
      <c r="I300" s="219">
        <f>SUM(I178,I179,I180,I183,I201,I204)/(I35*4)</f>
        <v>2.33729225368133</v>
      </c>
      <c r="J300" s="219">
        <f>SUM(J178,J179,J180,J183,J201,J204)/(J35*4)</f>
        <v>2.71492537792791</v>
      </c>
      <c r="K300" s="219">
        <f>SUM(K178,K179,K180,K183,K201,K204)/(K35*4)</f>
        <v>2.62314222727255</v>
      </c>
      <c r="L300" s="219">
        <f>SUM(L178,L179,L180,L183,L201,L204)/(L35*4)</f>
        <v>2.81179737473771</v>
      </c>
      <c r="N300" s="219">
        <f>SUM(N178,N179,N180,N183,N201,N204)/(N35*4)</f>
        <v>2.17989990041178</v>
      </c>
      <c r="O300" s="219">
        <f>SUM(O178,O179,O180,O183,O201,O204)/(O35*4)</f>
        <v>3.02269193582681</v>
      </c>
      <c r="P300" s="219">
        <f>SUM(P178,P179,P180,P183,P201,P204)/(P35*4)</f>
        <v>2.72024237577508</v>
      </c>
      <c r="Q300" s="219">
        <f>SUM(Q178,Q179,Q180,Q183,Q201,Q204)/(Q35*4)</f>
        <v>3.95189522171574</v>
      </c>
      <c r="S300" s="219">
        <f>SUM(S178,S179,S180,S183,S201,S204)/(S35*4)</f>
        <v>2.66874041207452</v>
      </c>
      <c r="T300" s="219">
        <f>SUM(T178,T179,T180,T183,T201,T204)/(T35*4)</f>
        <v>2.89875968842999</v>
      </c>
      <c r="U300" s="219">
        <f>SUM(U178,U179,U180,U183,U201,U204)/(U35*4)</f>
        <v>2.01441530039361</v>
      </c>
      <c r="V300" s="219">
        <f>SUM(V178,V179,V180,V183,V201,V204)/(V35*4)</f>
        <v>2.821101647348</v>
      </c>
      <c r="X300" s="219">
        <f>SUM(X178,X179,X180,X183,X201,X204)/(X35*4)</f>
        <v>2.03455885906254</v>
      </c>
      <c r="Y300" s="219">
        <f>SUM(Y178,Y179,Y180,Y183,Y201,Y204)/(Y35*4)</f>
        <v>2.468886960586</v>
      </c>
      <c r="Z300" s="219">
        <f>SUM(Z178,Z179,Z180,Z183,Z201,Z204)/(Z35*4)</f>
        <v>2.40545462123616</v>
      </c>
      <c r="AA300" s="219">
        <f>SUM(AA178,AA179,AA180,AA183,AA201,AA204)/(AA35*4)</f>
        <v>3.32494712969339</v>
      </c>
      <c r="AC300" s="219">
        <f>SUM(AC178,AC179,AC180,AC183,AC201,AC204)/(AC35*4)</f>
        <v>2.5098795262425</v>
      </c>
      <c r="AD300" s="219">
        <f>SUM(AD178,AD179,AD180,AD183,AD201,AD204)/(AD35*4)</f>
        <v>2.52034994079949</v>
      </c>
      <c r="AE300" s="219">
        <f>SUM(AE178,AE179,AE180,AE183,AE201,AE204)/(AE35*4)</f>
        <v>2.29654261433211</v>
      </c>
      <c r="AF300" s="219">
        <f>SUM(AF178,AF179,AF180,AF183,AF201,AF204)/(AF35*4)</f>
        <v>2.89043751166982</v>
      </c>
      <c r="AH300" s="219" t="e">
        <f>SUM(AH178,AH179,AH180,AH183,AH201,AH204)/(AH35*4)</f>
        <v>#DIV/0!</v>
      </c>
      <c r="AI300" s="219" t="e">
        <f>SUM(AI178,AI179,AI180,AI183,AI201,AI204)/(AI35*4)</f>
        <v>#DIV/0!</v>
      </c>
      <c r="AJ300" s="219" t="e">
        <f>SUM(AJ178,AJ179,AJ180,AJ183,AJ201,AJ204)/(AJ35*4)</f>
        <v>#DIV/0!</v>
      </c>
      <c r="AK300" s="219" t="e">
        <f>SUM(AK178,AK179,AK180,AK183,AK201,AK204)/(AK35*4)</f>
        <v>#DIV/0!</v>
      </c>
      <c r="AM300" s="219" t="e">
        <f>SUM(AM178,AM179,AM180,AM183,AM201,AM204)/(AM35*4)</f>
        <v>#DIV/0!</v>
      </c>
      <c r="AN300" s="219" t="e">
        <f>SUM(AN178,AN179,AN180,AN183,AN201,AN204)/(AN35*4)</f>
        <v>#DIV/0!</v>
      </c>
      <c r="AO300" s="219" t="e">
        <f>SUM(AO178,AO179,AO180,AO183,AO201,AO204)/(AO35*4)</f>
        <v>#DIV/0!</v>
      </c>
      <c r="AP300" s="219" t="e">
        <f>SUM(AP178,AP179,AP180,AP183,AP201,AP204)/(AP35*4)</f>
        <v>#DIV/0!</v>
      </c>
      <c r="AR300" s="219" t="e">
        <f>SUM(AR178,AR179,AR180,AR183,AR201,AR204)/(AR35*4)</f>
        <v>#DIV/0!</v>
      </c>
      <c r="AS300" s="219" t="e">
        <f>SUM(AS178,AS179,AS180,AS183,AS201,AS204)/(AS35*4)</f>
        <v>#DIV/0!</v>
      </c>
      <c r="AT300" s="219" t="e">
        <f>SUM(AT178,AT179,AT180,AT183,AT201,AT204)/(AT35*4)</f>
        <v>#DIV/0!</v>
      </c>
      <c r="AU300" s="219" t="e">
        <f>SUM(AU178,AU179,AU180,AU183,AU201,AU204)/(AU35*4)</f>
        <v>#DIV/0!</v>
      </c>
      <c r="AW300" s="219" t="e">
        <f>SUM(AW178,AW179,AW180,AW183,AW201,AW204)/(AW35*4)</f>
        <v>#DIV/0!</v>
      </c>
      <c r="AX300" s="219" t="e">
        <f>SUM(AX178,AX179,AX180,AX183,AX201,AX204)/(AX35*4)</f>
        <v>#DIV/0!</v>
      </c>
      <c r="AY300" s="219" t="e">
        <f>SUM(AY178,AY179,AY180,AY183,AY201,AY204)/(AY35*4)</f>
        <v>#DIV/0!</v>
      </c>
      <c r="AZ300" s="219" t="e">
        <f>SUM(AZ178,AZ179,AZ180,AZ183,AZ201,AZ204)/(AZ35*4)</f>
        <v>#DIV/0!</v>
      </c>
      <c r="BB300" s="219" t="e">
        <f>SUM(BB178,BB179,BB180,BB183,BB201,BB204)/(BB35*4)</f>
        <v>#DIV/0!</v>
      </c>
      <c r="BC300" s="219" t="e">
        <f>SUM(BC178,BC179,BC180,BC183,BC201,BC204)/(BC35*4)</f>
        <v>#DIV/0!</v>
      </c>
      <c r="BD300" s="219" t="e">
        <f>SUM(BD178,BD179,BD180,BD183,BD201,BD204)/(BD35*4)</f>
        <v>#DIV/0!</v>
      </c>
      <c r="BE300" s="219" t="e">
        <f>SUM(BE178,BE179,BE180,BE183,BE201,BE204)/(BE35*4)</f>
        <v>#DIV/0!</v>
      </c>
      <c r="BG300" s="219" t="e">
        <f>SUM(BG178,BG179,BG180,BG183,BG201,BG204)/(BG35*4)</f>
        <v>#DIV/0!</v>
      </c>
      <c r="BH300" s="219" t="e">
        <f>SUM(BH178,BH179,BH180,BH183,BH201,BH204)/(BH35*4)</f>
        <v>#DIV/0!</v>
      </c>
      <c r="BI300" s="219" t="e">
        <f>SUM(BI178,BI179,BI180,BI183,BI201,BI204)/(BI35*4)</f>
        <v>#DIV/0!</v>
      </c>
      <c r="BJ300" s="219" t="e">
        <f>SUM(BJ178,BJ179,BJ180,BJ183,BJ201,BJ204)/(BJ35*4)</f>
        <v>#DIV/0!</v>
      </c>
      <c r="BL300" s="219" t="e">
        <f>SUM(BL178,BL179,BL180,BL183,BL201,BL204)/(BL35*4)</f>
        <v>#DIV/0!</v>
      </c>
      <c r="BM300" s="219" t="e">
        <f>SUM(BM178,BM179,BM180,BM183,BM201,BM204)/(BM35*4)</f>
        <v>#DIV/0!</v>
      </c>
      <c r="BN300" s="219" t="e">
        <f>SUM(BN178,BN179,BN180,BN183,BN201,BN204)/(BN35*4)</f>
        <v>#DIV/0!</v>
      </c>
      <c r="BO300" s="219" t="e">
        <f>SUM(BO178,BO179,BO180,BO183,BO201,BO204)/(BO35*4)</f>
        <v>#DIV/0!</v>
      </c>
      <c r="BQ300" s="219" t="e">
        <f>SUM(BQ178,BQ179,BQ180,BQ183,BQ201,BQ204)/(BQ35*4)</f>
        <v>#DIV/0!</v>
      </c>
      <c r="BR300" s="219" t="e">
        <f>SUM(BR178,BR179,BR180,BR183,BR201,BR204)/(BR35*4)</f>
        <v>#DIV/0!</v>
      </c>
      <c r="BS300" s="219" t="e">
        <f>SUM(BS178,BS179,BS180,BS183,BS201,BS204)/(BS35*4)</f>
        <v>#DIV/0!</v>
      </c>
      <c r="BT300" s="219" t="e">
        <f>SUM(BT178,BT179,BT180,BT183,BT201,BT204)/(BT35*4)</f>
        <v>#DIV/0!</v>
      </c>
      <c r="BV300" s="219" t="e">
        <f>SUM(BV178,BV179,BV180,BV183,BV201,BV204)/(BV35*4)</f>
        <v>#DIV/0!</v>
      </c>
      <c r="BW300" s="219" t="e">
        <f>SUM(BW178,BW179,BW180,BW183,BW201,BW204)/(BW35*4)</f>
        <v>#DIV/0!</v>
      </c>
      <c r="BX300" s="219" t="e">
        <f>SUM(BX178,BX179,BX180,BX183,BX201,BX204)/(BX35*4)</f>
        <v>#DIV/0!</v>
      </c>
      <c r="BY300" s="219" t="e">
        <f>SUM(BY178,BY179,BY180,BY183,BY201,BY204)/(BY35*4)</f>
        <v>#DIV/0!</v>
      </c>
      <c r="CA300" s="219" t="e">
        <f>SUM(CA178,CA179,CA180,CA183,CA201,CA204)/(CA35*4)</f>
        <v>#DIV/0!</v>
      </c>
      <c r="CB300" s="219" t="e">
        <f>SUM(CB178,CB179,CB180,CB183,CB201,CB204)/(CB35*4)</f>
        <v>#DIV/0!</v>
      </c>
      <c r="CC300" s="219" t="e">
        <f>SUM(CC178,CC179,CC180,CC183,CC201,CC204)/(CC35*4)</f>
        <v>#DIV/0!</v>
      </c>
      <c r="CD300" s="219" t="e">
        <f>SUM(CD178,CD179,CD180,CD183,CD201,CD204)/(CD35*4)</f>
        <v>#DIV/0!</v>
      </c>
      <c r="CF300" s="219" t="e">
        <f>SUM(CF178,CF179,CF180,CF183,CF201,CF204)/(CF35*4)</f>
        <v>#DIV/0!</v>
      </c>
      <c r="CG300" s="219" t="e">
        <f>SUM(CG178,CG179,CG180,CG183,CG201,CG204)/(CG35*4)</f>
        <v>#DIV/0!</v>
      </c>
      <c r="CH300" s="219" t="e">
        <f>SUM(CH178,CH179,CH180,CH183,CH201,CH204)/(CH35*4)</f>
        <v>#DIV/0!</v>
      </c>
      <c r="CI300" s="219" t="e">
        <f>SUM(CI178,CI179,CI180,CI183,CI201,CI204)/(CI35*4)</f>
        <v>#DIV/0!</v>
      </c>
      <c r="CK300" s="219" t="e">
        <f>SUM(CK178,CK179,CK180,CK183,CK201,CK204)/(CK35*4)</f>
        <v>#DIV/0!</v>
      </c>
      <c r="CL300" s="219" t="e">
        <f>SUM(CL178,CL179,CL180,CL183,CL201,CL204)/(CL35*4)</f>
        <v>#DIV/0!</v>
      </c>
      <c r="CM300" s="219" t="e">
        <f>SUM(CM178,CM179,CM180,CM183,CM201,CM204)/(CM35*4)</f>
        <v>#DIV/0!</v>
      </c>
      <c r="CN300" s="219" t="e">
        <f>SUM(CN178,CN179,CN180,CN183,CN201,CN204)/(CN35*4)</f>
        <v>#DIV/0!</v>
      </c>
      <c r="CP300" s="219" t="e">
        <f>SUM(CP178,CP179,CP180,CP183,CP201,CP204)/(CP35*4)</f>
        <v>#DIV/0!</v>
      </c>
      <c r="CQ300" s="219" t="e">
        <f>SUM(CQ178,CQ179,CQ180,CQ183,CQ201,CQ204)/(CQ35*4)</f>
        <v>#DIV/0!</v>
      </c>
      <c r="CR300" s="219" t="e">
        <f>SUM(CR178,CR179,CR180,CR183,CR201,CR204)/(CR35*4)</f>
        <v>#DIV/0!</v>
      </c>
      <c r="CS300" s="219" t="e">
        <f>SUM(CS178,CS179,CS180,CS183,CS201,CS204)/(CS35*4)</f>
        <v>#DIV/0!</v>
      </c>
      <c r="CU300" s="219" t="e">
        <f>SUM(CU178,CU179,CU180,CU183,CU201,CU204)/(CU35*4)</f>
        <v>#DIV/0!</v>
      </c>
      <c r="CV300" s="219" t="e">
        <f>SUM(CV178,CV179,CV180,CV183,CV201,CV204)/(CV35*4)</f>
        <v>#DIV/0!</v>
      </c>
      <c r="CW300" s="219" t="e">
        <f>SUM(CW178,CW179,CW180,CW183,CW201,CW204)/(CW35*4)</f>
        <v>#DIV/0!</v>
      </c>
      <c r="CX300" s="219" t="e">
        <f>SUM(CX178,CX179,CX180,CX183,CX201,CX204)/(CX35*4)</f>
        <v>#DIV/0!</v>
      </c>
    </row>
    <row r="301" customFormat="1" s="233">
      <c r="A301" s="224" t="n"/>
      <c r="B301" s="224" t="n"/>
      <c r="C301" s="233" t="inlineStr">
        <is>
          <t>TOTAL DEBT / TOTAL CAPITALIZATION</t>
        </is>
      </c>
      <c r="D301" s="221">
        <f>SUM(D178+D179+D180+D183+D201+D204)/(SUM(D178+D179+D180+D183+D201+D204)+D237)</f>
        <v>0.593949312840049</v>
      </c>
      <c r="E301" s="221">
        <f>SUM(E178+E179+E180+E183+E201+E204)/(SUM(E178+E179+E180+E183+E201+E204)+E237)</f>
        <v>0.637567485607987</v>
      </c>
      <c r="F301" s="221">
        <f>SUM(F178+F179+F180+F183+F201+F204)/(SUM(F178+F179+F180+F183+F201+F204)+F237)</f>
        <v>0.616469432892547</v>
      </c>
      <c r="G301" s="221">
        <f>SUM(G178+G179+G180+G183+G201+G204)/(SUM(G178+G179+G180+G183+G201+G204)+G237)</f>
        <v>0.605699893546527</v>
      </c>
      <c r="I301" s="221">
        <f>SUM(I178+I179+I180+I183+I201+I204)/(SUM(I178+I179+I180+I183+I201+I204)+I237)</f>
        <v>0.611935866487487</v>
      </c>
      <c r="J301" s="221">
        <f>SUM(J178+J179+J180+J183+J201+J204)/(SUM(J178+J179+J180+J183+J201+J204)+J237)</f>
        <v>0.575752941741671</v>
      </c>
      <c r="K301" s="221">
        <f>SUM(K178+K179+K180+K183+K201+K204)/(SUM(K178+K179+K180+K183+K201+K204)+K237)</f>
        <v>0.624845606807553</v>
      </c>
      <c r="L301" s="221">
        <f>SUM(L178+L179+L180+L183+L201+L204)/(SUM(L178+L179+L180+L183+L201+L204)+L237)</f>
        <v>0.613902037756584</v>
      </c>
      <c r="N301" s="221">
        <f>SUM(N178+N179+N180+N183+N201+N204)/(SUM(N178+N179+N180+N183+N201+N204)+N237)</f>
        <v>0.618870535301626</v>
      </c>
      <c r="O301" s="221">
        <f>SUM(O178+O179+O180+O183+O201+O204)/(SUM(O178+O179+O180+O183+O201+O204)+O237)</f>
        <v>0.66332811552901</v>
      </c>
      <c r="P301" s="221">
        <f>SUM(P178+P179+P180+P183+P201+P204)/(SUM(P178+P179+P180+P183+P201+P204)+P237)</f>
        <v>0.65190903124816</v>
      </c>
      <c r="Q301" s="221">
        <f>SUM(Q178+Q179+Q180+Q183+Q201+Q204)/(SUM(Q178+Q179+Q180+Q183+Q201+Q204)+Q237)</f>
        <v>0.576577381111874</v>
      </c>
      <c r="S301" s="221">
        <f>SUM(S178+S179+S180+S183+S201+S204)/(SUM(S178+S179+S180+S183+S201+S204)+S237)</f>
        <v>0.567946706482355</v>
      </c>
      <c r="T301" s="221">
        <f>SUM(T178+T179+T180+T183+T201+T204)/(SUM(T178+T179+T180+T183+T201+T204)+T237)</f>
        <v>0.452120564740353</v>
      </c>
      <c r="U301" s="221">
        <f>SUM(U178+U179+U180+U183+U201+U204)/(SUM(U178+U179+U180+U183+U201+U204)+U237)</f>
        <v>0.439849236716373</v>
      </c>
      <c r="V301" s="221">
        <f>SUM(V178+V179+V180+V183+V201+V204)/(SUM(V178+V179+V180+V183+V201+V204)+V237)</f>
        <v>0.453485354495596</v>
      </c>
      <c r="X301" s="221">
        <f>SUM(X178+X179+X180+X183+X201+X204)/(SUM(X178+X179+X180+X183+X201+X204)+X237)</f>
        <v>0.446707243594787</v>
      </c>
      <c r="Y301" s="221">
        <f>SUM(Y178+Y179+Y180+Y183+Y201+Y204)/(SUM(Y178+Y179+Y180+Y183+Y201+Y204)+Y237)</f>
        <v>0.486986547156667</v>
      </c>
      <c r="Z301" s="221">
        <f>SUM(Z178+Z179+Z180+Z183+Z201+Z204)/(SUM(Z178+Z179+Z180+Z183+Z201+Z204)+Z237)</f>
        <v>0.487862933061293</v>
      </c>
      <c r="AA301" s="221">
        <f>SUM(AA178+AA179+AA180+AA183+AA201+AA204)/(SUM(AA178+AA179+AA180+AA183+AA201+AA204)+AA237)</f>
        <v>0.500777001173931</v>
      </c>
      <c r="AC301" s="221">
        <f>SUM(AC178+AC179+AC180+AC183+AC201+AC204)/(SUM(AC178+AC179+AC180+AC183+AC201+AC204)+AC237)</f>
        <v>0.508211898596869</v>
      </c>
      <c r="AD301" s="221">
        <f>SUM(AD178+AD179+AD180+AD183+AD201+AD204)/(SUM(AD178+AD179+AD180+AD183+AD201+AD204)+AD237)</f>
        <v>0.495094110311173</v>
      </c>
      <c r="AE301" s="221">
        <f>SUM(AE178+AE179+AE180+AE183+AE201+AE204)/(SUM(AE178+AE179+AE180+AE183+AE201+AE204)+AE237)</f>
        <v>0.501055054583729</v>
      </c>
      <c r="AF301" s="221">
        <f>SUM(AF178+AF179+AF180+AF183+AF201+AF204)/(SUM(AF178+AF179+AF180+AF183+AF201+AF204)+AF237)</f>
        <v>0.508448103925736</v>
      </c>
      <c r="AH301" s="221">
        <f>SUM(AH178+AH179+AH180+AH183+AH201+AH204)/(SUM(AH178+AH179+AH180+AH183+AH201+AH204)+AH237)</f>
        <v>0.504390458383355</v>
      </c>
      <c r="AI301" s="221">
        <f>SUM(AI178+AI179+AI180+AI183+AI201+AI204)/(SUM(AI178+AI179+AI180+AI183+AI201+AI204)+AI237)</f>
        <v>0.48883088069555</v>
      </c>
      <c r="AJ301" s="221">
        <f>SUM(AJ178+AJ179+AJ180+AJ183+AJ201+AJ204)/(SUM(AJ178+AJ179+AJ180+AJ183+AJ201+AJ204)+AJ237)</f>
        <v>0.48513876122044</v>
      </c>
      <c r="AK301" s="221">
        <f>SUM(AK178+AK179+AK180+AK183+AK201+AK204)/(SUM(AK178+AK179+AK180+AK183+AK201+AK204)+AK237)</f>
        <v>0.470816847530075</v>
      </c>
      <c r="AM301" s="221">
        <f>SUM(AM178+AM179+AM180+AM183+AM201+AM204)/(SUM(AM178+AM179+AM180+AM183+AM201+AM204)+AM237)</f>
        <v>0.457211786078491</v>
      </c>
      <c r="AN301" s="221">
        <f>SUM(AN178+AN179+AN180+AN183+AN201+AN204)/(SUM(AN178+AN179+AN180+AN183+AN201+AN204)+AN237)</f>
        <v>0.426182092120832</v>
      </c>
      <c r="AO301" s="221">
        <f>SUM(AO178+AO179+AO180+AO183+AO201+AO204)/(SUM(AO178+AO179+AO180+AO183+AO201+AO204)+AO237)</f>
        <v>0.415047359665111</v>
      </c>
      <c r="AP301" s="221">
        <f>SUM(AP178+AP179+AP180+AP183+AP201+AP204)/(SUM(AP178+AP179+AP180+AP183+AP201+AP204)+AP237)</f>
        <v>0.389377128199559</v>
      </c>
      <c r="AR301" s="221">
        <f>SUM(AR178+AR179+AR180+AR183+AR201+AR204)/(SUM(AR178+AR179+AR180+AR183+AR201+AR204)+AR237)</f>
        <v>0.36663010229421</v>
      </c>
      <c r="AS301" s="221">
        <f>SUM(AS178+AS179+AS180+AS183+AS201+AS204)/(SUM(AS178+AS179+AS180+AS183+AS201+AS204)+AS237)</f>
        <v>0.315077098762374</v>
      </c>
      <c r="AT301" s="221">
        <f>SUM(AT178+AT179+AT180+AT183+AT201+AT204)/(SUM(AT178+AT179+AT180+AT183+AT201+AT204)+AT237)</f>
        <v>0.300037789845358</v>
      </c>
      <c r="AU301" s="221">
        <f>SUM(AU178+AU179+AU180+AU183+AU201+AU204)/(SUM(AU178+AU179+AU180+AU183+AU201+AU204)+AU237)</f>
        <v>0.264634896145402</v>
      </c>
      <c r="AW301" s="221">
        <f>SUM(AW178+AW179+AW180+AW183+AW201+AW204)/(SUM(AW178+AW179+AW180+AW183+AW201+AW204)+AW237)</f>
        <v>0.236676947524424</v>
      </c>
      <c r="AX301" s="221">
        <f>SUM(AX178+AX179+AX180+AX183+AX201+AX204)/(SUM(AX178+AX179+AX180+AX183+AX201+AX204)+AX237)</f>
        <v>0.183897866323128</v>
      </c>
      <c r="AY301" s="221">
        <f>SUM(AY178+AY179+AY180+AY183+AY201+AY204)/(SUM(AY178+AY179+AY180+AY183+AY201+AY204)+AY237)</f>
        <v>0.169954576442507</v>
      </c>
      <c r="AZ301" s="221">
        <f>SUM(AZ178+AZ179+AZ180+AZ183+AZ201+AZ204)/(SUM(AZ178+AZ179+AZ180+AZ183+AZ201+AZ204)+AZ237)</f>
        <v>0.140921415375821</v>
      </c>
      <c r="BB301" s="221">
        <f>SUM(BB178+BB179+BB180+BB183+BB201+BB204)/(SUM(BB178+BB179+BB180+BB183+BB201+BB204)+BB237)</f>
        <v>0.120353138872654</v>
      </c>
      <c r="BC301" s="221">
        <f>SUM(BC178+BC179+BC180+BC183+BC201+BC204)/(SUM(BC178+BC179+BC180+BC183+BC201+BC204)+BC237)</f>
        <v>0.085997169446221</v>
      </c>
      <c r="BD301" s="221">
        <f>SUM(BD178+BD179+BD180+BD183+BD201+BD204)/(SUM(BD178+BD179+BD180+BD183+BD201+BD204)+BD237)</f>
        <v>0.0778769824402788</v>
      </c>
      <c r="BE301" s="221">
        <f>SUM(BE178+BE179+BE180+BE183+BE201+BE204)/(SUM(BE178+BE179+BE180+BE183+BE201+BE204)+BE237)</f>
        <v>0.0618820743853152</v>
      </c>
      <c r="BG301" s="221">
        <f>SUM(BG178+BG179+BG180+BG183+BG201+BG204)/(SUM(BG178+BG179+BG180+BG183+BG201+BG204)+BG237)</f>
        <v>0.0513366199919281</v>
      </c>
      <c r="BH301" s="221">
        <f>SUM(BH178+BH179+BH180+BH183+BH201+BH204)/(SUM(BH178+BH179+BH180+BH183+BH201+BH204)+BH237)</f>
        <v>0.0350324873563711</v>
      </c>
      <c r="BI301" s="221">
        <f>SUM(BI178+BI179+BI180+BI183+BI201+BI204)/(SUM(BI178+BI179+BI180+BI183+BI201+BI204)+BI237)</f>
        <v>0.0313831988240975</v>
      </c>
      <c r="BJ301" s="221">
        <f>SUM(BJ178+BJ179+BJ180+BJ183+BJ201+BJ204)/(SUM(BJ178+BJ179+BJ180+BJ183+BJ201+BJ204)+BJ237)</f>
        <v>0.0244322913531889</v>
      </c>
      <c r="BL301" s="221">
        <f>SUM(BL178+BL179+BL180+BL183+BL201+BL204)/(SUM(BL178+BL179+BL180+BL183+BL201+BL204)+BL237)</f>
        <v>0.0200019216861543</v>
      </c>
      <c r="BM301" s="221">
        <f>SUM(BM178+BM179+BM180+BM183+BM201+BM204)/(SUM(BM178+BM179+BM180+BM183+BM201+BM204)+BM237)</f>
        <v>0.0133749001848888</v>
      </c>
      <c r="BN301" s="221">
        <f>SUM(BN178+BN179+BN180+BN183+BN201+BN204)/(SUM(BN178+BN179+BN180+BN183+BN201+BN204)+BN237)</f>
        <v>0.0119285599263796</v>
      </c>
      <c r="BO301" s="221">
        <f>SUM(BO178+BO179+BO180+BO183+BO201+BO204)/(SUM(BO178+BO179+BO180+BO183+BO201+BO204)+BO237)</f>
        <v>0.00920778695995985</v>
      </c>
      <c r="BQ301" s="221">
        <f>SUM(BQ178+BQ179+BQ180+BQ183+BQ201+BQ204)/(SUM(BQ178+BQ179+BQ180+BQ183+BQ201+BQ204)+BQ237)</f>
        <v>0.00749762653081826</v>
      </c>
      <c r="BR301" s="221">
        <f>SUM(BR178+BR179+BR180+BR183+BR201+BR204)/(SUM(BR178+BR179+BR180+BR183+BR201+BR204)+BR237)</f>
        <v>0.00497384067184778</v>
      </c>
      <c r="BS301" s="221">
        <f>SUM(BS178+BS179+BS180+BS183+BS201+BS204)/(SUM(BS178+BS179+BS180+BS183+BS201+BS204)+BS237)</f>
        <v>0.00442823835654329</v>
      </c>
      <c r="BT301" s="221">
        <f>SUM(BT178+BT179+BT180+BT183+BT201+BT204)/(SUM(BT178+BT179+BT180+BT183+BT201+BT204)+BT237)</f>
        <v>0.00340716238017139</v>
      </c>
      <c r="BV301" s="221">
        <f>SUM(BV178+BV179+BV180+BV183+BV201+BV204)/(SUM(BV178+BV179+BV180+BV183+BV201+BV204)+BV237)</f>
        <v>0.00276873480563846</v>
      </c>
      <c r="BW301" s="221">
        <f>SUM(BW178+BW179+BW180+BW183+BW201+BW204)/(SUM(BW178+BW179+BW180+BW183+BW201+BW204)+BW237)</f>
        <v>0.00183125538366005</v>
      </c>
      <c r="BX301" s="221">
        <f>SUM(BX178+BX179+BX180+BX183+BX201+BX204)/(SUM(BX178+BX179+BX180+BX183+BX201+BX204)+BX237)</f>
        <v>0.00162932881248832</v>
      </c>
      <c r="BY301" s="221">
        <f>SUM(BY178+BY179+BY180+BY183+BY201+BY204)/(SUM(BY178+BY179+BY180+BY183+BY201+BY204)+BY237)</f>
        <v>0.00125211774415682</v>
      </c>
      <c r="CA301" s="221">
        <f>SUM(CA178+CA179+CA180+CA183+CA201+CA204)/(SUM(CA178+CA179+CA180+CA183+CA201+CA204)+CA237)</f>
        <v>0.00101673059179373</v>
      </c>
      <c r="CB301" s="221">
        <f>SUM(CB178+CB179+CB180+CB183+CB201+CB204)/(SUM(CB178+CB179+CB180+CB183+CB201+CB204)+CB237)</f>
        <v>0.000671729568532595</v>
      </c>
      <c r="CC301" s="221">
        <f>SUM(CC178+CC179+CC180+CC183+CC201+CC204)/(SUM(CC178+CC179+CC180+CC183+CC201+CC204)+CC237)</f>
        <v>0.000597517248134232</v>
      </c>
      <c r="CD301" s="221">
        <f>SUM(CD178+CD179+CD180+CD183+CD201+CD204)/(SUM(CD178+CD179+CD180+CD183+CD201+CD204)+CD237)</f>
        <v>0.00045898065414426</v>
      </c>
      <c r="CF301" s="221">
        <f>SUM(CF178+CF179+CF180+CF183+CF201+CF204)/(SUM(CF178+CF179+CF180+CF183+CF201+CF204)+CF237)</f>
        <v>0.000372593403695635</v>
      </c>
      <c r="CG301" s="221">
        <f>SUM(CG178+CG179+CG180+CG183+CG201+CG204)/(SUM(CG178+CG179+CG180+CG183+CG201+CG204)+CG237)</f>
        <v>0.000246063782035907</v>
      </c>
      <c r="CH301" s="221">
        <f>SUM(CH178+CH179+CH180+CH183+CH201+CH204)/(SUM(CH178+CH179+CH180+CH183+CH201+CH204)+CH237)</f>
        <v>0.000218859738458966</v>
      </c>
      <c r="CI301" s="221">
        <f>SUM(CI178+CI179+CI180+CI183+CI201+CI204)/(SUM(CI178+CI179+CI180+CI183+CI201+CI204)+CI237)</f>
        <v>0.000168088917886295</v>
      </c>
      <c r="CK301" s="221">
        <f>SUM(CK178+CK179+CK180+CK183+CK201+CK204)/(SUM(CK178+CK179+CK180+CK183+CK201+CK204)+CK237)</f>
        <v>0.000136438147923418</v>
      </c>
      <c r="CL301" s="221">
        <f>SUM(CL178+CL179+CL180+CL183+CL201+CL204)/(SUM(CL178+CL179+CL180+CL183+CL201+CL204)+CL237)</f>
        <v>9.00915379012725e-05</v>
      </c>
      <c r="CM301" s="221">
        <f>SUM(CM178+CM179+CM180+CM183+CM201+CM204)/(SUM(CM178+CM179+CM180+CM183+CM201+CM204)+CM237)</f>
        <v>8.01287339478215e-05</v>
      </c>
      <c r="CN301" s="221">
        <f>SUM(CN178+CN179+CN180+CN183+CN201+CN204)/(SUM(CN178+CN179+CN180+CN183+CN201+CN204)+CN237)</f>
        <v>6.15369074185116e-05</v>
      </c>
      <c r="CP301" s="221">
        <f>SUM(CP178+CP179+CP180+CP183+CP201+CP204)/(SUM(CP178+CP179+CP180+CP183+CP201+CP204)+CP237)</f>
        <v>4.99477954296961e-05</v>
      </c>
      <c r="CQ301" s="221">
        <f>SUM(CQ178+CQ179+CQ180+CQ183+CQ201+CQ204)/(SUM(CQ178+CQ179+CQ180+CQ183+CQ201+CQ204)+CQ237)</f>
        <v>3.29792636598004e-05</v>
      </c>
      <c r="CR301" s="221">
        <f>SUM(CR178+CR179+CR180+CR183+CR201+CR204)/(SUM(CR178+CR179+CR180+CR183+CR201+CR204)+CR237)</f>
        <v>2.93318983331353e-05</v>
      </c>
      <c r="CS301" s="221">
        <f>SUM(CS178+CS179+CS180+CS183+CS201+CS204)/(SUM(CS178+CS179+CS180+CS183+CS201+CS204)+CS237)</f>
        <v>2.25256899345723e-05</v>
      </c>
      <c r="CU301" s="221">
        <f>SUM(CU178+CU179+CU180+CU183+CU201+CU204)/(SUM(CU178+CU179+CU180+CU183+CU201+CU204)+CU237)</f>
        <v>1.82832278932715e-05</v>
      </c>
      <c r="CV301" s="221">
        <f>SUM(CV178+CV179+CV180+CV183+CV201+CV204)/(SUM(CV178+CV179+CV180+CV183+CV201+CV204)+CV237)</f>
        <v>1.20717128979186e-05</v>
      </c>
      <c r="CW301" s="221">
        <f>SUM(CW178+CW179+CW180+CW183+CW201+CW204)/(SUM(CW178+CW179+CW180+CW183+CW201+CW204)+CW237)</f>
        <v>1.073658725792e-05</v>
      </c>
      <c r="CX301" s="221">
        <f>SUM(CX178+CX179+CX180+CX183+CX201+CX204)/(SUM(CX178+CX179+CX180+CX183+CX201+CX204)+CX237)</f>
        <v>8.24519130010243e-06</v>
      </c>
    </row>
    <row r="302" customFormat="1" s="233">
      <c r="A302" s="224" t="n"/>
      <c r="B302" s="224" t="n"/>
      <c r="C302" s="233" t="inlineStr">
        <is>
          <t>NET DEBT / EBITDA</t>
        </is>
      </c>
      <c r="D302" s="219">
        <f>(SUM(D178,D179,D180,D183,D201,D204)-D110)/(D35*4)</f>
        <v>2.00313845507704</v>
      </c>
      <c r="E302" s="219">
        <f>(SUM(E178,E179,E180,E183,E201,E204)-E110)/(E35*4)</f>
        <v>20.0469043745564</v>
      </c>
      <c r="F302" s="219">
        <f>(SUM(F178,F179,F180,F183,F201,F204)-F110)/(F35*4)</f>
        <v>1.1605276179965</v>
      </c>
      <c r="G302" s="219">
        <f>(SUM(G178,G179,G180,G183,G201,G204)-G110)/(G35*4)</f>
        <v>1.32361371248316</v>
      </c>
      <c r="I302" s="219">
        <f>(SUM(I178,I179,I180,I183,I201,I204)-I110)/(I35*4)</f>
        <v>1.37647784308456</v>
      </c>
      <c r="J302" s="219">
        <f>(SUM(J178,J179,J180,J183,J201,J204)-J110)/(J35*4)</f>
        <v>1.95028754929442</v>
      </c>
      <c r="K302" s="219">
        <f>(SUM(K178,K179,K180,K183,K201,K204)-K110)/(K35*4)</f>
        <v>1.73231012888129</v>
      </c>
      <c r="L302" s="219">
        <f>(SUM(L178,L179,L180,L183,L201,L204)-L110)/(L35*4)</f>
        <v>1.99035271453083</v>
      </c>
      <c r="N302" s="219">
        <f>(SUM(N178,N179,N180,N183,N201,N204)-N110)/(N35*4)</f>
        <v>1.74759107335105</v>
      </c>
      <c r="O302" s="219">
        <f>(SUM(O178,O179,O180,O183,O201,O204)-O110)/(O35*4)</f>
        <v>2.36840013589029</v>
      </c>
      <c r="P302" s="219">
        <f>(SUM(P178,P179,P180,P183,P201,P204)-P110)/(P35*4)</f>
        <v>2.04787877978937</v>
      </c>
      <c r="Q302" s="219">
        <f>(SUM(Q178,Q179,Q180,Q183,Q201,Q204)-Q110)/(Q35*4)</f>
        <v>2.4142252631166</v>
      </c>
      <c r="S302" s="219">
        <f>(SUM(S178,S179,S180,S183,S201,S204)-S110)/(S35*4)</f>
        <v>1.65706817361479</v>
      </c>
      <c r="T302" s="219">
        <f>(SUM(T178,T179,T180,T183,T201,T204)-T110)/(T35*4)</f>
        <v>2.19147885735661</v>
      </c>
      <c r="U302" s="219">
        <f>(SUM(U178,U179,U180,U183,U201,U204)-U110)/(U35*4)</f>
        <v>1.4717328887009</v>
      </c>
      <c r="V302" s="219">
        <f>(SUM(V178,V179,V180,V183,V201,V204)-V110)/(V35*4)</f>
        <v>2.1175871586543</v>
      </c>
      <c r="X302" s="219">
        <f>(SUM(X178,X179,X180,X183,X201,X204)-X110)/(X35*4)</f>
        <v>1.53847030423887</v>
      </c>
      <c r="Y302" s="219">
        <f>(SUM(Y178,Y179,Y180,Y183,Y201,Y204)-Y110)/(Y35*4)</f>
        <v>1.45032736453353</v>
      </c>
      <c r="Z302" s="219">
        <f>(SUM(Z178,Z179,Z180,Z183,Z201,Z204)-Z110)/(Z35*4)</f>
        <v>1.31803622616138</v>
      </c>
      <c r="AA302" s="219">
        <f>(SUM(AA178,AA179,AA180,AA183,AA201,AA204)-AA110)/(AA35*4)</f>
        <v>1.81653620790635</v>
      </c>
      <c r="AC302" s="219">
        <f>(SUM(AC178,AC179,AC180,AC183,AC201,AC204)-AC110)/(AC35*4)</f>
        <v>1.34791282521952</v>
      </c>
      <c r="AD302" s="219">
        <f>(SUM(AD178,AD179,AD180,AD183,AD201,AD204)-AD110)/(AD35*4)</f>
        <v>1.49101655734932</v>
      </c>
      <c r="AE302" s="219">
        <f>(SUM(AE178,AE179,AE180,AE183,AE201,AE204)-AE110)/(AE35*4)</f>
        <v>1.20270589141751</v>
      </c>
      <c r="AF302" s="219">
        <f>(SUM(AF178,AF179,AF180,AF183,AF201,AF204)-AF110)/(AF35*4)</f>
        <v>1.64300243274807</v>
      </c>
      <c r="AH302" s="219" t="e">
        <f>(SUM(AH178,AH179,AH180,AH183,AH201,AH204)-AH110)/(AH35*4)</f>
        <v>#DIV/0!</v>
      </c>
      <c r="AI302" s="219" t="e">
        <f>(SUM(AI178,AI179,AI180,AI183,AI201,AI204)-AI110)/(AI35*4)</f>
        <v>#DIV/0!</v>
      </c>
      <c r="AJ302" s="219" t="e">
        <f>(SUM(AJ178,AJ179,AJ180,AJ183,AJ201,AJ204)-AJ110)/(AJ35*4)</f>
        <v>#DIV/0!</v>
      </c>
      <c r="AK302" s="219" t="e">
        <f>(SUM(AK178,AK179,AK180,AK183,AK201,AK204)-AK110)/(AK35*4)</f>
        <v>#DIV/0!</v>
      </c>
      <c r="AM302" s="219" t="e">
        <f>(SUM(AM178,AM179,AM180,AM183,AM201,AM204)-AM110)/(AM35*4)</f>
        <v>#DIV/0!</v>
      </c>
      <c r="AN302" s="219" t="e">
        <f>(SUM(AN178,AN179,AN180,AN183,AN201,AN204)-AN110)/(AN35*4)</f>
        <v>#DIV/0!</v>
      </c>
      <c r="AO302" s="219" t="e">
        <f>(SUM(AO178,AO179,AO180,AO183,AO201,AO204)-AO110)/(AO35*4)</f>
        <v>#DIV/0!</v>
      </c>
      <c r="AP302" s="219" t="e">
        <f>(SUM(AP178,AP179,AP180,AP183,AP201,AP204)-AP110)/(AP35*4)</f>
        <v>#DIV/0!</v>
      </c>
      <c r="AR302" s="219" t="e">
        <f>(SUM(AR178,AR179,AR180,AR183,AR201,AR204)-AR110)/(AR35*4)</f>
        <v>#DIV/0!</v>
      </c>
      <c r="AS302" s="219" t="e">
        <f>(SUM(AS178,AS179,AS180,AS183,AS201,AS204)-AS110)/(AS35*4)</f>
        <v>#DIV/0!</v>
      </c>
      <c r="AT302" s="219" t="e">
        <f>(SUM(AT178,AT179,AT180,AT183,AT201,AT204)-AT110)/(AT35*4)</f>
        <v>#DIV/0!</v>
      </c>
      <c r="AU302" s="219" t="e">
        <f>(SUM(AU178,AU179,AU180,AU183,AU201,AU204)-AU110)/(AU35*4)</f>
        <v>#DIV/0!</v>
      </c>
      <c r="AW302" s="219" t="e">
        <f>(SUM(AW178,AW179,AW180,AW183,AW201,AW204)-AW110)/(AW35*4)</f>
        <v>#DIV/0!</v>
      </c>
      <c r="AX302" s="219" t="e">
        <f>(SUM(AX178,AX179,AX180,AX183,AX201,AX204)-AX110)/(AX35*4)</f>
        <v>#DIV/0!</v>
      </c>
      <c r="AY302" s="219" t="e">
        <f>(SUM(AY178,AY179,AY180,AY183,AY201,AY204)-AY110)/(AY35*4)</f>
        <v>#DIV/0!</v>
      </c>
      <c r="AZ302" s="219" t="e">
        <f>(SUM(AZ178,AZ179,AZ180,AZ183,AZ201,AZ204)-AZ110)/(AZ35*4)</f>
        <v>#DIV/0!</v>
      </c>
      <c r="BB302" s="219" t="e">
        <f>(SUM(BB178,BB179,BB180,BB183,BB201,BB204)-BB110)/(BB35*4)</f>
        <v>#DIV/0!</v>
      </c>
      <c r="BC302" s="219" t="e">
        <f>(SUM(BC178,BC179,BC180,BC183,BC201,BC204)-BC110)/(BC35*4)</f>
        <v>#DIV/0!</v>
      </c>
      <c r="BD302" s="219" t="e">
        <f>(SUM(BD178,BD179,BD180,BD183,BD201,BD204)-BD110)/(BD35*4)</f>
        <v>#DIV/0!</v>
      </c>
      <c r="BE302" s="219" t="e">
        <f>(SUM(BE178,BE179,BE180,BE183,BE201,BE204)-BE110)/(BE35*4)</f>
        <v>#DIV/0!</v>
      </c>
      <c r="BG302" s="219" t="e">
        <f>(SUM(BG178,BG179,BG180,BG183,BG201,BG204)-BG110)/(BG35*4)</f>
        <v>#DIV/0!</v>
      </c>
      <c r="BH302" s="219" t="e">
        <f>(SUM(BH178,BH179,BH180,BH183,BH201,BH204)-BH110)/(BH35*4)</f>
        <v>#DIV/0!</v>
      </c>
      <c r="BI302" s="219" t="e">
        <f>(SUM(BI178,BI179,BI180,BI183,BI201,BI204)-BI110)/(BI35*4)</f>
        <v>#DIV/0!</v>
      </c>
      <c r="BJ302" s="219" t="e">
        <f>(SUM(BJ178,BJ179,BJ180,BJ183,BJ201,BJ204)-BJ110)/(BJ35*4)</f>
        <v>#DIV/0!</v>
      </c>
      <c r="BL302" s="219" t="e">
        <f>(SUM(BL178,BL179,BL180,BL183,BL201,BL204)-BL110)/(BL35*4)</f>
        <v>#DIV/0!</v>
      </c>
      <c r="BM302" s="219" t="e">
        <f>(SUM(BM178,BM179,BM180,BM183,BM201,BM204)-BM110)/(BM35*4)</f>
        <v>#DIV/0!</v>
      </c>
      <c r="BN302" s="219" t="e">
        <f>(SUM(BN178,BN179,BN180,BN183,BN201,BN204)-BN110)/(BN35*4)</f>
        <v>#DIV/0!</v>
      </c>
      <c r="BO302" s="219" t="e">
        <f>(SUM(BO178,BO179,BO180,BO183,BO201,BO204)-BO110)/(BO35*4)</f>
        <v>#DIV/0!</v>
      </c>
      <c r="BQ302" s="219" t="e">
        <f>(SUM(BQ178,BQ179,BQ180,BQ183,BQ201,BQ204)-BQ110)/(BQ35*4)</f>
        <v>#DIV/0!</v>
      </c>
      <c r="BR302" s="219" t="e">
        <f>(SUM(BR178,BR179,BR180,BR183,BR201,BR204)-BR110)/(BR35*4)</f>
        <v>#DIV/0!</v>
      </c>
      <c r="BS302" s="219" t="e">
        <f>(SUM(BS178,BS179,BS180,BS183,BS201,BS204)-BS110)/(BS35*4)</f>
        <v>#DIV/0!</v>
      </c>
      <c r="BT302" s="219" t="e">
        <f>(SUM(BT178,BT179,BT180,BT183,BT201,BT204)-BT110)/(BT35*4)</f>
        <v>#DIV/0!</v>
      </c>
      <c r="BV302" s="219" t="e">
        <f>(SUM(BV178,BV179,BV180,BV183,BV201,BV204)-BV110)/(BV35*4)</f>
        <v>#DIV/0!</v>
      </c>
      <c r="BW302" s="219" t="e">
        <f>(SUM(BW178,BW179,BW180,BW183,BW201,BW204)-BW110)/(BW35*4)</f>
        <v>#DIV/0!</v>
      </c>
      <c r="BX302" s="219" t="e">
        <f>(SUM(BX178,BX179,BX180,BX183,BX201,BX204)-BX110)/(BX35*4)</f>
        <v>#DIV/0!</v>
      </c>
      <c r="BY302" s="219" t="e">
        <f>(SUM(BY178,BY179,BY180,BY183,BY201,BY204)-BY110)/(BY35*4)</f>
        <v>#DIV/0!</v>
      </c>
      <c r="CA302" s="219" t="e">
        <f>(SUM(CA178,CA179,CA180,CA183,CA201,CA204)-CA110)/(CA35*4)</f>
        <v>#DIV/0!</v>
      </c>
      <c r="CB302" s="219" t="e">
        <f>(SUM(CB178,CB179,CB180,CB183,CB201,CB204)-CB110)/(CB35*4)</f>
        <v>#DIV/0!</v>
      </c>
      <c r="CC302" s="219" t="e">
        <f>(SUM(CC178,CC179,CC180,CC183,CC201,CC204)-CC110)/(CC35*4)</f>
        <v>#DIV/0!</v>
      </c>
      <c r="CD302" s="219" t="e">
        <f>(SUM(CD178,CD179,CD180,CD183,CD201,CD204)-CD110)/(CD35*4)</f>
        <v>#DIV/0!</v>
      </c>
      <c r="CF302" s="219" t="e">
        <f>(SUM(CF178,CF179,CF180,CF183,CF201,CF204)-CF110)/(CF35*4)</f>
        <v>#DIV/0!</v>
      </c>
      <c r="CG302" s="219" t="e">
        <f>(SUM(CG178,CG179,CG180,CG183,CG201,CG204)-CG110)/(CG35*4)</f>
        <v>#DIV/0!</v>
      </c>
      <c r="CH302" s="219" t="e">
        <f>(SUM(CH178,CH179,CH180,CH183,CH201,CH204)-CH110)/(CH35*4)</f>
        <v>#DIV/0!</v>
      </c>
      <c r="CI302" s="219" t="e">
        <f>(SUM(CI178,CI179,CI180,CI183,CI201,CI204)-CI110)/(CI35*4)</f>
        <v>#DIV/0!</v>
      </c>
      <c r="CK302" s="219" t="e">
        <f>(SUM(CK178,CK179,CK180,CK183,CK201,CK204)-CK110)/(CK35*4)</f>
        <v>#DIV/0!</v>
      </c>
      <c r="CL302" s="219" t="e">
        <f>(SUM(CL178,CL179,CL180,CL183,CL201,CL204)-CL110)/(CL35*4)</f>
        <v>#DIV/0!</v>
      </c>
      <c r="CM302" s="219" t="e">
        <f>(SUM(CM178,CM179,CM180,CM183,CM201,CM204)-CM110)/(CM35*4)</f>
        <v>#DIV/0!</v>
      </c>
      <c r="CN302" s="219" t="e">
        <f>(SUM(CN178,CN179,CN180,CN183,CN201,CN204)-CN110)/(CN35*4)</f>
        <v>#DIV/0!</v>
      </c>
      <c r="CP302" s="219" t="e">
        <f>(SUM(CP178,CP179,CP180,CP183,CP201,CP204)-CP110)/(CP35*4)</f>
        <v>#DIV/0!</v>
      </c>
      <c r="CQ302" s="219" t="e">
        <f>(SUM(CQ178,CQ179,CQ180,CQ183,CQ201,CQ204)-CQ110)/(CQ35*4)</f>
        <v>#DIV/0!</v>
      </c>
      <c r="CR302" s="219" t="e">
        <f>(SUM(CR178,CR179,CR180,CR183,CR201,CR204)-CR110)/(CR35*4)</f>
        <v>#DIV/0!</v>
      </c>
      <c r="CS302" s="219" t="e">
        <f>(SUM(CS178,CS179,CS180,CS183,CS201,CS204)-CS110)/(CS35*4)</f>
        <v>#DIV/0!</v>
      </c>
      <c r="CU302" s="219" t="e">
        <f>(SUM(CU178,CU179,CU180,CU183,CU201,CU204)-CU110)/(CU35*4)</f>
        <v>#DIV/0!</v>
      </c>
      <c r="CV302" s="219" t="e">
        <f>(SUM(CV178,CV179,CV180,CV183,CV201,CV204)-CV110)/(CV35*4)</f>
        <v>#DIV/0!</v>
      </c>
      <c r="CW302" s="219" t="e">
        <f>(SUM(CW178,CW179,CW180,CW183,CW201,CW204)-CW110)/(CW35*4)</f>
        <v>#DIV/0!</v>
      </c>
      <c r="CX302" s="219" t="e">
        <f>(SUM(CX178,CX179,CX180,CX183,CX201,CX204)-CX110)/(CX35*4)</f>
        <v>#DIV/0!</v>
      </c>
    </row>
    <row r="303" customFormat="1" s="233">
      <c r="A303" s="224" t="n"/>
      <c r="B303" s="224" t="n"/>
      <c r="C303" s="237" t="inlineStr">
        <is>
          <t>NET DEBT (EX IFRS 16.) / EBITDA</t>
        </is>
      </c>
      <c r="D303" s="219">
        <f>(SUM(D178,D179,D183,D204)-D110)/(D35*4)</f>
        <v>0.951872138004398</v>
      </c>
      <c r="E303" s="219">
        <f>(SUM(E178,E179,E183,E204)-E110)/(E35*4)</f>
        <v>9.77527562833382</v>
      </c>
      <c r="F303" s="219">
        <f>(SUM(F178,F179,F183,F204)-F110)/(F35*4)</f>
        <v>0.554968052319766</v>
      </c>
      <c r="G303" s="219">
        <f>(SUM(G178,G179,G183,G204)-G110)/(G35*4)</f>
        <v>0.664520782921449</v>
      </c>
      <c r="I303" s="219">
        <f>(SUM(I178,I179,I183,I204)-I110)/(I35*4)</f>
        <v>0.711243349068999</v>
      </c>
      <c r="J303" s="219">
        <f>(SUM(J178,J179,J183,J204)-J110)/(J35*4)</f>
        <v>1.10240483449641</v>
      </c>
      <c r="K303" s="219">
        <f>(SUM(K178,K179,K183,K204)-K110)/(K35*4)</f>
        <v>1.07145674201222</v>
      </c>
      <c r="L303" s="219">
        <f>(SUM(L178,L179,L183,L204)-L110)/(L35*4)</f>
        <v>1.20438872694359</v>
      </c>
      <c r="N303" s="219">
        <f>(SUM(N178,N179,N183,N204)-N110)/(N35*4)</f>
        <v>1.08027118121678</v>
      </c>
      <c r="O303" s="219">
        <f>(SUM(O178,O179,O183,O204)-O110)/(O35*4)</f>
        <v>1.60952386326859</v>
      </c>
      <c r="P303" s="219">
        <f>(SUM(P178,P179,P183,P204)-P110)/(P35*4)</f>
        <v>1.3769476239155</v>
      </c>
      <c r="Q303" s="219">
        <f>(SUM(Q178,Q179,Q183,Q204)-Q110)/(Q35*4)</f>
        <v>1.21272920650732</v>
      </c>
      <c r="S303" s="219">
        <f>(SUM(S178,S179,S183,S204)-S110)/(S35*4)</f>
        <v>0.846826122961618</v>
      </c>
      <c r="T303" s="219">
        <f>(SUM(T178,T179,T183,T204)-T110)/(T35*4)</f>
        <v>1.18636922476057</v>
      </c>
      <c r="U303" s="219">
        <f>(SUM(U178,U179,U183,U204)-U110)/(U35*4)</f>
        <v>0.764867000466998</v>
      </c>
      <c r="V303" s="219">
        <f>(SUM(V178,V179,V183,V204)-V110)/(V35*4)</f>
        <v>1.16538422448892</v>
      </c>
      <c r="X303" s="219">
        <f>(SUM(X178,X179,X183,X204)-X110)/(X35*4)</f>
        <v>0.866585260153487</v>
      </c>
      <c r="Y303" s="219">
        <f>(SUM(Y178,Y179,Y183,Y204)-Y110)/(Y35*4)</f>
        <v>0.807377865636876</v>
      </c>
      <c r="Z303" s="219">
        <f>(SUM(Z178,Z179,Z183,Z204)-Z110)/(Z35*4)</f>
        <v>0.711642508167299</v>
      </c>
      <c r="AA303" s="219">
        <f>(SUM(AA178,AA179,AA183,AA204)-AA110)/(AA35*4)</f>
        <v>1.0231641651057</v>
      </c>
      <c r="AC303" s="219">
        <f>(SUM(AC178,AC179,AC183,AC204)-AC110)/(AC35*4)</f>
        <v>0.760182023029118</v>
      </c>
      <c r="AD303" s="219">
        <f>(SUM(AD178,AD179,AD183,AD204)-AD110)/(AD35*4)</f>
        <v>0.907953071848747</v>
      </c>
      <c r="AE303" s="219">
        <f>(SUM(AE178,AE179,AE183,AE204)-AE110)/(AE35*4)</f>
        <v>0.681970496370742</v>
      </c>
      <c r="AF303" s="219">
        <f>(SUM(AF178,AF179,AF183,AF204)-AF110)/(AF35*4)</f>
        <v>0.962551595926552</v>
      </c>
      <c r="AH303" s="219" t="e">
        <f>(SUM(AH178,AH179,AH183,AH204)-AH110)/(AH35*4)</f>
        <v>#DIV/0!</v>
      </c>
      <c r="AI303" s="219" t="e">
        <f>(SUM(AI178,AI179,AI183,AI204)-AI110)/(AI35*4)</f>
        <v>#DIV/0!</v>
      </c>
      <c r="AJ303" s="219" t="e">
        <f>(SUM(AJ178,AJ179,AJ183,AJ204)-AJ110)/(AJ35*4)</f>
        <v>#DIV/0!</v>
      </c>
      <c r="AK303" s="219" t="e">
        <f>(SUM(AK178,AK179,AK183,AK204)-AK110)/(AK35*4)</f>
        <v>#DIV/0!</v>
      </c>
      <c r="AM303" s="219" t="e">
        <f>(SUM(AM178,AM179,AM183,AM204)-AM110)/(AM35*4)</f>
        <v>#DIV/0!</v>
      </c>
      <c r="AN303" s="219" t="e">
        <f>(SUM(AN178,AN179,AN183,AN204)-AN110)/(AN35*4)</f>
        <v>#DIV/0!</v>
      </c>
      <c r="AO303" s="219" t="e">
        <f>(SUM(AO178,AO179,AO183,AO204)-AO110)/(AO35*4)</f>
        <v>#DIV/0!</v>
      </c>
      <c r="AP303" s="219" t="e">
        <f>(SUM(AP178,AP179,AP183,AP204)-AP110)/(AP35*4)</f>
        <v>#DIV/0!</v>
      </c>
      <c r="AR303" s="219" t="e">
        <f>(SUM(AR178,AR179,AR183,AR204)-AR110)/(AR35*4)</f>
        <v>#DIV/0!</v>
      </c>
      <c r="AS303" s="219" t="e">
        <f>(SUM(AS178,AS179,AS183,AS204)-AS110)/(AS35*4)</f>
        <v>#DIV/0!</v>
      </c>
      <c r="AT303" s="219" t="e">
        <f>(SUM(AT178,AT179,AT183,AT204)-AT110)/(AT35*4)</f>
        <v>#DIV/0!</v>
      </c>
      <c r="AU303" s="219" t="e">
        <f>(SUM(AU178,AU179,AU183,AU204)-AU110)/(AU35*4)</f>
        <v>#DIV/0!</v>
      </c>
      <c r="AW303" s="219" t="e">
        <f>(SUM(AW178,AW179,AW183,AW204)-AW110)/(AW35*4)</f>
        <v>#DIV/0!</v>
      </c>
      <c r="AX303" s="219" t="e">
        <f>(SUM(AX178,AX179,AX183,AX204)-AX110)/(AX35*4)</f>
        <v>#DIV/0!</v>
      </c>
      <c r="AY303" s="219" t="e">
        <f>(SUM(AY178,AY179,AY183,AY204)-AY110)/(AY35*4)</f>
        <v>#DIV/0!</v>
      </c>
      <c r="AZ303" s="219" t="e">
        <f>(SUM(AZ178,AZ179,AZ183,AZ204)-AZ110)/(AZ35*4)</f>
        <v>#DIV/0!</v>
      </c>
      <c r="BB303" s="219" t="e">
        <f>(SUM(BB178,BB179,BB183,BB204)-BB110)/(BB35*4)</f>
        <v>#DIV/0!</v>
      </c>
      <c r="BC303" s="219" t="e">
        <f>(SUM(BC178,BC179,BC183,BC204)-BC110)/(BC35*4)</f>
        <v>#DIV/0!</v>
      </c>
      <c r="BD303" s="219" t="e">
        <f>(SUM(BD178,BD179,BD183,BD204)-BD110)/(BD35*4)</f>
        <v>#DIV/0!</v>
      </c>
      <c r="BE303" s="219" t="e">
        <f>(SUM(BE178,BE179,BE183,BE204)-BE110)/(BE35*4)</f>
        <v>#DIV/0!</v>
      </c>
      <c r="BG303" s="219" t="e">
        <f>(SUM(BG178,BG179,BG183,BG204)-BG110)/(BG35*4)</f>
        <v>#DIV/0!</v>
      </c>
      <c r="BH303" s="219" t="e">
        <f>(SUM(BH178,BH179,BH183,BH204)-BH110)/(BH35*4)</f>
        <v>#DIV/0!</v>
      </c>
      <c r="BI303" s="219" t="e">
        <f>(SUM(BI178,BI179,BI183,BI204)-BI110)/(BI35*4)</f>
        <v>#DIV/0!</v>
      </c>
      <c r="BJ303" s="219" t="e">
        <f>(SUM(BJ178,BJ179,BJ183,BJ204)-BJ110)/(BJ35*4)</f>
        <v>#DIV/0!</v>
      </c>
      <c r="BL303" s="219" t="e">
        <f>(SUM(BL178,BL179,BL183,BL204)-BL110)/(BL35*4)</f>
        <v>#DIV/0!</v>
      </c>
      <c r="BM303" s="219" t="e">
        <f>(SUM(BM178,BM179,BM183,BM204)-BM110)/(BM35*4)</f>
        <v>#DIV/0!</v>
      </c>
      <c r="BN303" s="219" t="e">
        <f>(SUM(BN178,BN179,BN183,BN204)-BN110)/(BN35*4)</f>
        <v>#DIV/0!</v>
      </c>
      <c r="BO303" s="219" t="e">
        <f>(SUM(BO178,BO179,BO183,BO204)-BO110)/(BO35*4)</f>
        <v>#DIV/0!</v>
      </c>
      <c r="BQ303" s="219" t="e">
        <f>(SUM(BQ178,BQ179,BQ183,BQ204)-BQ110)/(BQ35*4)</f>
        <v>#DIV/0!</v>
      </c>
      <c r="BR303" s="219" t="e">
        <f>(SUM(BR178,BR179,BR183,BR204)-BR110)/(BR35*4)</f>
        <v>#DIV/0!</v>
      </c>
      <c r="BS303" s="219" t="e">
        <f>(SUM(BS178,BS179,BS183,BS204)-BS110)/(BS35*4)</f>
        <v>#DIV/0!</v>
      </c>
      <c r="BT303" s="219" t="e">
        <f>(SUM(BT178,BT179,BT183,BT204)-BT110)/(BT35*4)</f>
        <v>#DIV/0!</v>
      </c>
      <c r="BV303" s="219" t="e">
        <f>(SUM(BV178,BV179,BV183,BV204)-BV110)/(BV35*4)</f>
        <v>#DIV/0!</v>
      </c>
      <c r="BW303" s="219" t="e">
        <f>(SUM(BW178,BW179,BW183,BW204)-BW110)/(BW35*4)</f>
        <v>#DIV/0!</v>
      </c>
      <c r="BX303" s="219" t="e">
        <f>(SUM(BX178,BX179,BX183,BX204)-BX110)/(BX35*4)</f>
        <v>#DIV/0!</v>
      </c>
      <c r="BY303" s="219" t="e">
        <f>(SUM(BY178,BY179,BY183,BY204)-BY110)/(BY35*4)</f>
        <v>#DIV/0!</v>
      </c>
      <c r="CA303" s="219" t="e">
        <f>(SUM(CA178,CA179,CA183,CA204)-CA110)/(CA35*4)</f>
        <v>#DIV/0!</v>
      </c>
      <c r="CB303" s="219" t="e">
        <f>(SUM(CB178,CB179,CB183,CB204)-CB110)/(CB35*4)</f>
        <v>#DIV/0!</v>
      </c>
      <c r="CC303" s="219" t="e">
        <f>(SUM(CC178,CC179,CC183,CC204)-CC110)/(CC35*4)</f>
        <v>#DIV/0!</v>
      </c>
      <c r="CD303" s="219" t="e">
        <f>(SUM(CD178,CD179,CD183,CD204)-CD110)/(CD35*4)</f>
        <v>#DIV/0!</v>
      </c>
      <c r="CF303" s="219" t="e">
        <f>(SUM(CF178,CF179,CF183,CF204)-CF110)/(CF35*4)</f>
        <v>#DIV/0!</v>
      </c>
      <c r="CG303" s="219" t="e">
        <f>(SUM(CG178,CG179,CG183,CG204)-CG110)/(CG35*4)</f>
        <v>#DIV/0!</v>
      </c>
      <c r="CH303" s="219" t="e">
        <f>(SUM(CH178,CH179,CH183,CH204)-CH110)/(CH35*4)</f>
        <v>#DIV/0!</v>
      </c>
      <c r="CI303" s="219" t="e">
        <f>(SUM(CI178,CI179,CI183,CI204)-CI110)/(CI35*4)</f>
        <v>#DIV/0!</v>
      </c>
      <c r="CK303" s="219" t="e">
        <f>(SUM(CK178,CK179,CK183,CK204)-CK110)/(CK35*4)</f>
        <v>#DIV/0!</v>
      </c>
      <c r="CL303" s="219" t="e">
        <f>(SUM(CL178,CL179,CL183,CL204)-CL110)/(CL35*4)</f>
        <v>#DIV/0!</v>
      </c>
      <c r="CM303" s="219" t="e">
        <f>(SUM(CM178,CM179,CM183,CM204)-CM110)/(CM35*4)</f>
        <v>#DIV/0!</v>
      </c>
      <c r="CN303" s="219" t="e">
        <f>(SUM(CN178,CN179,CN183,CN204)-CN110)/(CN35*4)</f>
        <v>#DIV/0!</v>
      </c>
      <c r="CP303" s="219" t="e">
        <f>(SUM(CP178,CP179,CP183,CP204)-CP110)/(CP35*4)</f>
        <v>#DIV/0!</v>
      </c>
      <c r="CQ303" s="219" t="e">
        <f>(SUM(CQ178,CQ179,CQ183,CQ204)-CQ110)/(CQ35*4)</f>
        <v>#DIV/0!</v>
      </c>
      <c r="CR303" s="219" t="e">
        <f>(SUM(CR178,CR179,CR183,CR204)-CR110)/(CR35*4)</f>
        <v>#DIV/0!</v>
      </c>
      <c r="CS303" s="219" t="e">
        <f>(SUM(CS178,CS179,CS183,CS204)-CS110)/(CS35*4)</f>
        <v>#DIV/0!</v>
      </c>
      <c r="CU303" s="219" t="e">
        <f>(SUM(CU178,CU179,CU183,CU204)-CU110)/(CU35*4)</f>
        <v>#DIV/0!</v>
      </c>
      <c r="CV303" s="219" t="e">
        <f>(SUM(CV178,CV179,CV183,CV204)-CV110)/(CV35*4)</f>
        <v>#DIV/0!</v>
      </c>
      <c r="CW303" s="219" t="e">
        <f>(SUM(CW178,CW179,CW183,CW204)-CW110)/(CW35*4)</f>
        <v>#DIV/0!</v>
      </c>
      <c r="CX303" s="219" t="e">
        <f>(SUM(CX178,CX179,CX183,CX204)-CX110)/(CX35*4)</f>
        <v>#DIV/0!</v>
      </c>
    </row>
    <row r="304" customFormat="1" s="233">
      <c r="A304" s="224" t="n"/>
      <c r="B304" s="224" t="n"/>
      <c r="C304" s="233" t="inlineStr">
        <is>
          <t>INTEREST COVERAGE</t>
        </is>
      </c>
      <c r="D304" s="219">
        <f>D39/-D40</f>
        <v>2.80722579078872</v>
      </c>
      <c r="E304" s="219">
        <f>E39/-E40</f>
        <v>-1.43441061353018</v>
      </c>
      <c r="F304" s="219">
        <f>F39/-F40</f>
        <v>5.47387133041583</v>
      </c>
      <c r="G304" s="219">
        <f>G39/-G40</f>
        <v>4.16827571484487</v>
      </c>
      <c r="I304" s="219">
        <f>I39/-I40</f>
        <v>5.30863474715458</v>
      </c>
      <c r="J304" s="219">
        <f>J39/-J40</f>
        <v>2.99595572851959</v>
      </c>
      <c r="K304" s="219">
        <f>K39/-K40</f>
        <v>2.82960047057776</v>
      </c>
      <c r="L304" s="219">
        <f>L39/-L40</f>
        <v>2.07830462995342</v>
      </c>
      <c r="N304" s="219">
        <f>N39/-N40</f>
        <v>2.55359288012794</v>
      </c>
      <c r="O304" s="219">
        <f>O39/-O40</f>
        <v>1.708043837785</v>
      </c>
      <c r="P304" s="219">
        <f>P39/-P40</f>
        <v>1.73483090526327</v>
      </c>
      <c r="Q304" s="219">
        <f>Q39/-Q40</f>
        <v>0.895488819412332</v>
      </c>
      <c r="S304" s="219">
        <f>S39/-S40</f>
        <v>1.59436758742984</v>
      </c>
      <c r="T304" s="219">
        <f>T39/-T40</f>
        <v>1.24694559035479</v>
      </c>
      <c r="U304" s="219">
        <f>U39/-U40</f>
        <v>1.94068952562964</v>
      </c>
      <c r="V304" s="219">
        <f>V39/-V40</f>
        <v>1.25454783605054</v>
      </c>
      <c r="X304" s="219">
        <f>X39/-X40</f>
        <v>2.23235954880526</v>
      </c>
      <c r="Y304" s="219">
        <f>Y39/-Y40</f>
        <v>2.34977195591385</v>
      </c>
      <c r="Z304" s="219">
        <f>Z39/-Z40</f>
        <v>2.15328531439368</v>
      </c>
      <c r="AA304" s="219">
        <f>AA39/-AA40</f>
        <v>1.18754292593821</v>
      </c>
      <c r="AC304" s="219">
        <f>AC39/-AC40</f>
        <v>1.83857181964898</v>
      </c>
      <c r="AD304" s="219">
        <f>AD39/-AD40</f>
        <v>1.55968029492642</v>
      </c>
      <c r="AE304" s="219">
        <f>AE39/-AE40</f>
        <v>1.67955129101697</v>
      </c>
      <c r="AF304" s="219">
        <f>AF39/-AF40</f>
        <v>1.08654368728056</v>
      </c>
      <c r="AH304" s="219" t="e">
        <f>AH39/-AH40</f>
        <v>#DIV/0!</v>
      </c>
      <c r="AI304" s="219" t="e">
        <f>AI39/-AI40</f>
        <v>#DIV/0!</v>
      </c>
      <c r="AJ304" s="219" t="e">
        <f>AJ39/-AJ40</f>
        <v>#DIV/0!</v>
      </c>
      <c r="AK304" s="219" t="e">
        <f>AK39/-AK40</f>
        <v>#DIV/0!</v>
      </c>
      <c r="AM304" s="219" t="e">
        <f>AM39/-AM40</f>
        <v>#DIV/0!</v>
      </c>
      <c r="AN304" s="219" t="e">
        <f>AN39/-AN40</f>
        <v>#DIV/0!</v>
      </c>
      <c r="AO304" s="219" t="e">
        <f>AO39/-AO40</f>
        <v>#DIV/0!</v>
      </c>
      <c r="AP304" s="219" t="e">
        <f>AP39/-AP40</f>
        <v>#DIV/0!</v>
      </c>
      <c r="AR304" s="219" t="e">
        <f>AR39/-AR40</f>
        <v>#DIV/0!</v>
      </c>
      <c r="AS304" s="219" t="e">
        <f>AS39/-AS40</f>
        <v>#DIV/0!</v>
      </c>
      <c r="AT304" s="219" t="e">
        <f>AT39/-AT40</f>
        <v>#DIV/0!</v>
      </c>
      <c r="AU304" s="219" t="e">
        <f>AU39/-AU40</f>
        <v>#DIV/0!</v>
      </c>
      <c r="AW304" s="219" t="e">
        <f>AW39/-AW40</f>
        <v>#DIV/0!</v>
      </c>
      <c r="AX304" s="219" t="e">
        <f>AX39/-AX40</f>
        <v>#DIV/0!</v>
      </c>
      <c r="AY304" s="219" t="e">
        <f>AY39/-AY40</f>
        <v>#DIV/0!</v>
      </c>
      <c r="AZ304" s="219" t="e">
        <f>AZ39/-AZ40</f>
        <v>#DIV/0!</v>
      </c>
      <c r="BB304" s="219" t="e">
        <f>BB39/-BB40</f>
        <v>#DIV/0!</v>
      </c>
      <c r="BC304" s="219" t="e">
        <f>BC39/-BC40</f>
        <v>#DIV/0!</v>
      </c>
      <c r="BD304" s="219" t="e">
        <f>BD39/-BD40</f>
        <v>#DIV/0!</v>
      </c>
      <c r="BE304" s="219" t="e">
        <f>BE39/-BE40</f>
        <v>#DIV/0!</v>
      </c>
      <c r="BG304" s="219" t="e">
        <f>BG39/-BG40</f>
        <v>#DIV/0!</v>
      </c>
      <c r="BH304" s="219" t="e">
        <f>BH39/-BH40</f>
        <v>#DIV/0!</v>
      </c>
      <c r="BI304" s="219" t="e">
        <f>BI39/-BI40</f>
        <v>#DIV/0!</v>
      </c>
      <c r="BJ304" s="219" t="e">
        <f>BJ39/-BJ40</f>
        <v>#DIV/0!</v>
      </c>
      <c r="BL304" s="219" t="e">
        <f>BL39/-BL40</f>
        <v>#DIV/0!</v>
      </c>
      <c r="BM304" s="219" t="e">
        <f>BM39/-BM40</f>
        <v>#DIV/0!</v>
      </c>
      <c r="BN304" s="219" t="e">
        <f>BN39/-BN40</f>
        <v>#DIV/0!</v>
      </c>
      <c r="BO304" s="219" t="e">
        <f>BO39/-BO40</f>
        <v>#DIV/0!</v>
      </c>
      <c r="BQ304" s="219" t="e">
        <f>BQ39/-BQ40</f>
        <v>#DIV/0!</v>
      </c>
      <c r="BR304" s="219" t="e">
        <f>BR39/-BR40</f>
        <v>#DIV/0!</v>
      </c>
      <c r="BS304" s="219" t="e">
        <f>BS39/-BS40</f>
        <v>#DIV/0!</v>
      </c>
      <c r="BT304" s="219" t="e">
        <f>BT39/-BT40</f>
        <v>#DIV/0!</v>
      </c>
      <c r="BV304" s="219" t="e">
        <f>BV39/-BV40</f>
        <v>#DIV/0!</v>
      </c>
      <c r="BW304" s="219" t="e">
        <f>BW39/-BW40</f>
        <v>#DIV/0!</v>
      </c>
      <c r="BX304" s="219" t="e">
        <f>BX39/-BX40</f>
        <v>#DIV/0!</v>
      </c>
      <c r="BY304" s="219" t="e">
        <f>BY39/-BY40</f>
        <v>#DIV/0!</v>
      </c>
      <c r="CA304" s="219" t="e">
        <f>CA39/-CA40</f>
        <v>#DIV/0!</v>
      </c>
      <c r="CB304" s="219" t="e">
        <f>CB39/-CB40</f>
        <v>#DIV/0!</v>
      </c>
      <c r="CC304" s="219" t="e">
        <f>CC39/-CC40</f>
        <v>#DIV/0!</v>
      </c>
      <c r="CD304" s="219" t="e">
        <f>CD39/-CD40</f>
        <v>#DIV/0!</v>
      </c>
      <c r="CF304" s="219" t="e">
        <f>CF39/-CF40</f>
        <v>#DIV/0!</v>
      </c>
      <c r="CG304" s="219" t="e">
        <f>CG39/-CG40</f>
        <v>#DIV/0!</v>
      </c>
      <c r="CH304" s="219" t="e">
        <f>CH39/-CH40</f>
        <v>#DIV/0!</v>
      </c>
      <c r="CI304" s="219" t="e">
        <f>CI39/-CI40</f>
        <v>#DIV/0!</v>
      </c>
      <c r="CK304" s="219" t="e">
        <f>CK39/-CK40</f>
        <v>#DIV/0!</v>
      </c>
      <c r="CL304" s="219" t="e">
        <f>CL39/-CL40</f>
        <v>#DIV/0!</v>
      </c>
      <c r="CM304" s="219" t="e">
        <f>CM39/-CM40</f>
        <v>#DIV/0!</v>
      </c>
      <c r="CN304" s="219" t="e">
        <f>CN39/-CN40</f>
        <v>#DIV/0!</v>
      </c>
      <c r="CP304" s="219" t="e">
        <f>CP39/-CP40</f>
        <v>#DIV/0!</v>
      </c>
      <c r="CQ304" s="219" t="e">
        <f>CQ39/-CQ40</f>
        <v>#DIV/0!</v>
      </c>
      <c r="CR304" s="219" t="e">
        <f>CR39/-CR40</f>
        <v>#DIV/0!</v>
      </c>
      <c r="CS304" s="219" t="e">
        <f>CS39/-CS40</f>
        <v>#DIV/0!</v>
      </c>
      <c r="CU304" s="219" t="e">
        <f>CU39/-CU40</f>
        <v>#DIV/0!</v>
      </c>
      <c r="CV304" s="219" t="e">
        <f>CV39/-CV40</f>
        <v>#DIV/0!</v>
      </c>
      <c r="CW304" s="219" t="e">
        <f>CW39/-CW40</f>
        <v>#DIV/0!</v>
      </c>
      <c r="CX304" s="219" t="e">
        <f>CX39/-CX40</f>
        <v>#DIV/0!</v>
      </c>
    </row>
    <row r="305" customFormat="1" s="233">
      <c r="A305" s="224" t="n"/>
      <c r="B305" s="224" t="n"/>
    </row>
    <row r="306" customFormat="1" s="233">
      <c r="A306" s="224" t="n"/>
      <c r="B306" s="224" t="n"/>
      <c r="C306" s="234" t="inlineStr">
        <is>
          <t>INTERNAL LIQUIDITY</t>
        </is>
      </c>
    </row>
    <row r="307" customFormat="1" s="233">
      <c r="A307" s="224" t="n"/>
      <c r="B307" s="224" t="n"/>
      <c r="C307" s="233" t="inlineStr">
        <is>
          <t>CURRENT RATIO</t>
        </is>
      </c>
      <c r="D307" s="219">
        <f>SUM(D110,D111,D115,D119,D120,D121)/SUM(D164,D168,D170,D171)</f>
        <v>2.60839180587666</v>
      </c>
      <c r="E307" s="219">
        <f>SUM(E110,E111,E115,E119,E120,E121)/SUM(E164,E168,E170,E171)</f>
        <v>3.2343316987266</v>
      </c>
      <c r="F307" s="219">
        <f>SUM(F110,F111,F115,F119,F120,F121)/SUM(F164,F168,F170,F171)</f>
        <v>3.28168431368751</v>
      </c>
      <c r="G307" s="219">
        <f>SUM(G110,G111,G115,G119,G120,G121)/SUM(G164,G168,G170,G171)</f>
        <v>3.80438613360517</v>
      </c>
      <c r="I307" s="219">
        <f>SUM(I110,I111,I115,I119,I120,I121)/SUM(I164,I168,I170,I171)</f>
        <v>3.39121562232658</v>
      </c>
      <c r="J307" s="219">
        <f>SUM(J110,J111,J115,J119,J120,J121)/SUM(J164,J168,J170,J171)</f>
        <v>2.56946324620051</v>
      </c>
      <c r="K307" s="219">
        <f>SUM(K110,K111,K115,K119,K120,K121)/SUM(K164,K168,K170,K171)</f>
        <v>2.71949306902349</v>
      </c>
      <c r="L307" s="219">
        <f>SUM(L110,L111,L115,L119,L120,L121)/SUM(L164,L168,L170,L171)</f>
        <v>2.60904574039934</v>
      </c>
      <c r="N307" s="219">
        <f>SUM(N110,N111,N115,N119,N120,N121)/SUM(N164,N168,N170,N171)</f>
        <v>2.06576282070206</v>
      </c>
      <c r="O307" s="219">
        <f>SUM(O110,O111,O115,O119,O120,O121)/SUM(O164,O168,O170,O171)</f>
        <v>3.06599665137333</v>
      </c>
      <c r="P307" s="219">
        <f>SUM(P110,P111,P115,P119,P120,P121)/SUM(P164,P168,P170,P171)</f>
        <v>2.94634656097299</v>
      </c>
      <c r="Q307" s="219">
        <f>SUM(Q110,Q111,Q115,Q119,Q120,Q121)/SUM(Q164,Q168,Q170,Q171)</f>
        <v>3.66835744257164</v>
      </c>
      <c r="S307" s="219">
        <f>SUM(S110,S111,S115,S119,S120,S121)/SUM(S164,S168,S170,S171)</f>
        <v>3.94313194836049</v>
      </c>
      <c r="T307" s="219">
        <f>SUM(T110,T111,T115,T119,T120,T121)/SUM(T164,T168,T170,T171)</f>
        <v>2.49265715017119</v>
      </c>
      <c r="U307" s="219">
        <f>SUM(U110,U111,U115,U119,U120,U121)/SUM(U164,U168,U170,U171)</f>
        <v>2.47004523017824</v>
      </c>
      <c r="V307" s="219">
        <f>SUM(V110,V111,V115,V119,V120,V121)/SUM(V164,V168,V170,V171)</f>
        <v>2.68551155312376</v>
      </c>
      <c r="X307" s="219">
        <f>SUM(X110,X111,X115,X119,X120,X121)/SUM(X164,X168,X170,X171)</f>
        <v>2.66629815503363</v>
      </c>
      <c r="Y307" s="219">
        <f>SUM(Y110,Y111,Y115,Y119,Y120,Y121)/SUM(Y164,Y168,Y170,Y171)</f>
        <v>3.6648864011652</v>
      </c>
      <c r="Z307" s="219">
        <f>SUM(Z110,Z111,Z115,Z119,Z120,Z121)/SUM(Z164,Z168,Z170,Z171)</f>
        <v>3.31848524124397</v>
      </c>
      <c r="AA307" s="219">
        <f>SUM(AA110,AA111,AA115,AA119,AA120,AA121)/SUM(AA164,AA168,AA170,AA171)</f>
        <v>3.61426499475587</v>
      </c>
      <c r="AC307" s="219">
        <f>SUM(AC110,AC111,AC115,AC119,AC120,AC121)/SUM(AC164,AC168,AC170,AC171)</f>
        <v>3.37767730986976</v>
      </c>
      <c r="AD307" s="219">
        <f>SUM(AD110,AD111,AD115,AD119,AD120,AD121)/SUM(AD164,AD168,AD170,AD171)</f>
        <v>3.69499758243804</v>
      </c>
      <c r="AE307" s="219">
        <f>SUM(AE110,AE111,AE115,AE119,AE120,AE121)/SUM(AE164,AE168,AE170,AE171)</f>
        <v>3.26093607747931</v>
      </c>
      <c r="AF307" s="219">
        <f>SUM(AF110,AF111,AF115,AF119,AF120,AF121)/SUM(AF164,AF168,AF170,AF171)</f>
        <v>2.68174670840106</v>
      </c>
      <c r="AH307" s="219">
        <f>SUM(AH110,AH111,AH115,AH119,AH120,AH121)/SUM(AH164,AH168,AH170,AH171)</f>
        <v>8.53683897725581</v>
      </c>
      <c r="AI307" s="219">
        <f>SUM(AI110,AI111,AI115,AI119,AI120,AI121)/SUM(AI164,AI168,AI170,AI171)</f>
        <v>24.748041520267</v>
      </c>
      <c r="AJ307" s="219" t="e">
        <f>SUM(AJ110,AJ111,AJ115,AJ119,AJ120,AJ121)/SUM(AJ164,AJ168,AJ170,AJ171)</f>
        <v>#DIV/0!</v>
      </c>
      <c r="AK307" s="219" t="e">
        <f>SUM(AK110,AK111,AK115,AK119,AK120,AK121)/SUM(AK164,AK168,AK170,AK171)</f>
        <v>#DIV/0!</v>
      </c>
      <c r="AM307" s="219" t="e">
        <f>SUM(AM110,AM111,AM115,AM119,AM120,AM121)/SUM(AM164,AM168,AM170,AM171)</f>
        <v>#DIV/0!</v>
      </c>
      <c r="AN307" s="219" t="e">
        <f>SUM(AN110,AN111,AN115,AN119,AN120,AN121)/SUM(AN164,AN168,AN170,AN171)</f>
        <v>#DIV/0!</v>
      </c>
      <c r="AO307" s="219" t="e">
        <f>SUM(AO110,AO111,AO115,AO119,AO120,AO121)/SUM(AO164,AO168,AO170,AO171)</f>
        <v>#DIV/0!</v>
      </c>
      <c r="AP307" s="219" t="e">
        <f>SUM(AP110,AP111,AP115,AP119,AP120,AP121)/SUM(AP164,AP168,AP170,AP171)</f>
        <v>#DIV/0!</v>
      </c>
      <c r="AR307" s="219" t="e">
        <f>SUM(AR110,AR111,AR115,AR119,AR120,AR121)/SUM(AR164,AR168,AR170,AR171)</f>
        <v>#DIV/0!</v>
      </c>
      <c r="AS307" s="219" t="e">
        <f>SUM(AS110,AS111,AS115,AS119,AS120,AS121)/SUM(AS164,AS168,AS170,AS171)</f>
        <v>#DIV/0!</v>
      </c>
      <c r="AT307" s="219" t="e">
        <f>SUM(AT110,AT111,AT115,AT119,AT120,AT121)/SUM(AT164,AT168,AT170,AT171)</f>
        <v>#DIV/0!</v>
      </c>
      <c r="AU307" s="219" t="e">
        <f>SUM(AU110,AU111,AU115,AU119,AU120,AU121)/SUM(AU164,AU168,AU170,AU171)</f>
        <v>#DIV/0!</v>
      </c>
      <c r="AW307" s="219" t="e">
        <f>SUM(AW110,AW111,AW115,AW119,AW120,AW121)/SUM(AW164,AW168,AW170,AW171)</f>
        <v>#DIV/0!</v>
      </c>
      <c r="AX307" s="219" t="e">
        <f>SUM(AX110,AX111,AX115,AX119,AX120,AX121)/SUM(AX164,AX168,AX170,AX171)</f>
        <v>#DIV/0!</v>
      </c>
      <c r="AY307" s="219" t="e">
        <f>SUM(AY110,AY111,AY115,AY119,AY120,AY121)/SUM(AY164,AY168,AY170,AY171)</f>
        <v>#DIV/0!</v>
      </c>
      <c r="AZ307" s="219" t="e">
        <f>SUM(AZ110,AZ111,AZ115,AZ119,AZ120,AZ121)/SUM(AZ164,AZ168,AZ170,AZ171)</f>
        <v>#DIV/0!</v>
      </c>
      <c r="BB307" s="219" t="e">
        <f>SUM(BB110,BB111,BB115,BB119,BB120,BB121)/SUM(BB164,BB168,BB170,BB171)</f>
        <v>#DIV/0!</v>
      </c>
      <c r="BC307" s="219" t="e">
        <f>SUM(BC110,BC111,BC115,BC119,BC120,BC121)/SUM(BC164,BC168,BC170,BC171)</f>
        <v>#DIV/0!</v>
      </c>
      <c r="BD307" s="219" t="e">
        <f>SUM(BD110,BD111,BD115,BD119,BD120,BD121)/SUM(BD164,BD168,BD170,BD171)</f>
        <v>#DIV/0!</v>
      </c>
      <c r="BE307" s="219" t="e">
        <f>SUM(BE110,BE111,BE115,BE119,BE120,BE121)/SUM(BE164,BE168,BE170,BE171)</f>
        <v>#DIV/0!</v>
      </c>
      <c r="BG307" s="219" t="e">
        <f>SUM(BG110,BG111,BG115,BG119,BG120,BG121)/SUM(BG164,BG168,BG170,BG171)</f>
        <v>#DIV/0!</v>
      </c>
      <c r="BH307" s="219" t="e">
        <f>SUM(BH110,BH111,BH115,BH119,BH120,BH121)/SUM(BH164,BH168,BH170,BH171)</f>
        <v>#DIV/0!</v>
      </c>
      <c r="BI307" s="219" t="e">
        <f>SUM(BI110,BI111,BI115,BI119,BI120,BI121)/SUM(BI164,BI168,BI170,BI171)</f>
        <v>#DIV/0!</v>
      </c>
      <c r="BJ307" s="219" t="e">
        <f>SUM(BJ110,BJ111,BJ115,BJ119,BJ120,BJ121)/SUM(BJ164,BJ168,BJ170,BJ171)</f>
        <v>#DIV/0!</v>
      </c>
      <c r="BL307" s="219" t="e">
        <f>SUM(BL110,BL111,BL115,BL119,BL120,BL121)/SUM(BL164,BL168,BL170,BL171)</f>
        <v>#DIV/0!</v>
      </c>
      <c r="BM307" s="219" t="e">
        <f>SUM(BM110,BM111,BM115,BM119,BM120,BM121)/SUM(BM164,BM168,BM170,BM171)</f>
        <v>#DIV/0!</v>
      </c>
      <c r="BN307" s="219" t="e">
        <f>SUM(BN110,BN111,BN115,BN119,BN120,BN121)/SUM(BN164,BN168,BN170,BN171)</f>
        <v>#DIV/0!</v>
      </c>
      <c r="BO307" s="219" t="e">
        <f>SUM(BO110,BO111,BO115,BO119,BO120,BO121)/SUM(BO164,BO168,BO170,BO171)</f>
        <v>#DIV/0!</v>
      </c>
      <c r="BQ307" s="219" t="e">
        <f>SUM(BQ110,BQ111,BQ115,BQ119,BQ120,BQ121)/SUM(BQ164,BQ168,BQ170,BQ171)</f>
        <v>#DIV/0!</v>
      </c>
      <c r="BR307" s="219" t="e">
        <f>SUM(BR110,BR111,BR115,BR119,BR120,BR121)/SUM(BR164,BR168,BR170,BR171)</f>
        <v>#DIV/0!</v>
      </c>
      <c r="BS307" s="219" t="e">
        <f>SUM(BS110,BS111,BS115,BS119,BS120,BS121)/SUM(BS164,BS168,BS170,BS171)</f>
        <v>#DIV/0!</v>
      </c>
      <c r="BT307" s="219" t="e">
        <f>SUM(BT110,BT111,BT115,BT119,BT120,BT121)/SUM(BT164,BT168,BT170,BT171)</f>
        <v>#DIV/0!</v>
      </c>
      <c r="BV307" s="219" t="e">
        <f>SUM(BV110,BV111,BV115,BV119,BV120,BV121)/SUM(BV164,BV168,BV170,BV171)</f>
        <v>#DIV/0!</v>
      </c>
      <c r="BW307" s="219" t="e">
        <f>SUM(BW110,BW111,BW115,BW119,BW120,BW121)/SUM(BW164,BW168,BW170,BW171)</f>
        <v>#DIV/0!</v>
      </c>
      <c r="BX307" s="219" t="e">
        <f>SUM(BX110,BX111,BX115,BX119,BX120,BX121)/SUM(BX164,BX168,BX170,BX171)</f>
        <v>#DIV/0!</v>
      </c>
      <c r="BY307" s="219" t="e">
        <f>SUM(BY110,BY111,BY115,BY119,BY120,BY121)/SUM(BY164,BY168,BY170,BY171)</f>
        <v>#DIV/0!</v>
      </c>
      <c r="CA307" s="219" t="e">
        <f>SUM(CA110,CA111,CA115,CA119,CA120,CA121)/SUM(CA164,CA168,CA170,CA171)</f>
        <v>#DIV/0!</v>
      </c>
      <c r="CB307" s="219" t="e">
        <f>SUM(CB110,CB111,CB115,CB119,CB120,CB121)/SUM(CB164,CB168,CB170,CB171)</f>
        <v>#DIV/0!</v>
      </c>
      <c r="CC307" s="219" t="e">
        <f>SUM(CC110,CC111,CC115,CC119,CC120,CC121)/SUM(CC164,CC168,CC170,CC171)</f>
        <v>#DIV/0!</v>
      </c>
      <c r="CD307" s="219" t="e">
        <f>SUM(CD110,CD111,CD115,CD119,CD120,CD121)/SUM(CD164,CD168,CD170,CD171)</f>
        <v>#DIV/0!</v>
      </c>
      <c r="CF307" s="219" t="e">
        <f>SUM(CF110,CF111,CF115,CF119,CF120,CF121)/SUM(CF164,CF168,CF170,CF171)</f>
        <v>#DIV/0!</v>
      </c>
      <c r="CG307" s="219" t="e">
        <f>SUM(CG110,CG111,CG115,CG119,CG120,CG121)/SUM(CG164,CG168,CG170,CG171)</f>
        <v>#DIV/0!</v>
      </c>
      <c r="CH307" s="219" t="e">
        <f>SUM(CH110,CH111,CH115,CH119,CH120,CH121)/SUM(CH164,CH168,CH170,CH171)</f>
        <v>#DIV/0!</v>
      </c>
      <c r="CI307" s="219" t="e">
        <f>SUM(CI110,CI111,CI115,CI119,CI120,CI121)/SUM(CI164,CI168,CI170,CI171)</f>
        <v>#DIV/0!</v>
      </c>
      <c r="CK307" s="219" t="e">
        <f>SUM(CK110,CK111,CK115,CK119,CK120,CK121)/SUM(CK164,CK168,CK170,CK171)</f>
        <v>#DIV/0!</v>
      </c>
      <c r="CL307" s="219" t="e">
        <f>SUM(CL110,CL111,CL115,CL119,CL120,CL121)/SUM(CL164,CL168,CL170,CL171)</f>
        <v>#DIV/0!</v>
      </c>
      <c r="CM307" s="219" t="e">
        <f>SUM(CM110,CM111,CM115,CM119,CM120,CM121)/SUM(CM164,CM168,CM170,CM171)</f>
        <v>#DIV/0!</v>
      </c>
      <c r="CN307" s="219" t="e">
        <f>SUM(CN110,CN111,CN115,CN119,CN120,CN121)/SUM(CN164,CN168,CN170,CN171)</f>
        <v>#DIV/0!</v>
      </c>
      <c r="CP307" s="219" t="e">
        <f>SUM(CP110,CP111,CP115,CP119,CP120,CP121)/SUM(CP164,CP168,CP170,CP171)</f>
        <v>#DIV/0!</v>
      </c>
      <c r="CQ307" s="219" t="e">
        <f>SUM(CQ110,CQ111,CQ115,CQ119,CQ120,CQ121)/SUM(CQ164,CQ168,CQ170,CQ171)</f>
        <v>#DIV/0!</v>
      </c>
      <c r="CR307" s="219" t="e">
        <f>SUM(CR110,CR111,CR115,CR119,CR120,CR121)/SUM(CR164,CR168,CR170,CR171)</f>
        <v>#DIV/0!</v>
      </c>
      <c r="CS307" s="219" t="e">
        <f>SUM(CS110,CS111,CS115,CS119,CS120,CS121)/SUM(CS164,CS168,CS170,CS171)</f>
        <v>#DIV/0!</v>
      </c>
      <c r="CU307" s="219" t="e">
        <f>SUM(CU110,CU111,CU115,CU119,CU120,CU121)/SUM(CU164,CU168,CU170,CU171)</f>
        <v>#DIV/0!</v>
      </c>
      <c r="CV307" s="219" t="e">
        <f>SUM(CV110,CV111,CV115,CV119,CV120,CV121)/SUM(CV164,CV168,CV170,CV171)</f>
        <v>#DIV/0!</v>
      </c>
      <c r="CW307" s="219" t="e">
        <f>SUM(CW110,CW111,CW115,CW119,CW120,CW121)/SUM(CW164,CW168,CW170,CW171)</f>
        <v>#DIV/0!</v>
      </c>
      <c r="CX307" s="219" t="e">
        <f>SUM(CX110,CX111,CX115,CX119,CX120,CX121)/SUM(CX164,CX168,CX170,CX171)</f>
        <v>#DIV/0!</v>
      </c>
    </row>
    <row r="308" customFormat="1" s="233">
      <c r="A308" s="224" t="n"/>
      <c r="B308" s="224" t="n"/>
      <c r="C308" s="233" t="inlineStr">
        <is>
          <t>CASH RATIO</t>
        </is>
      </c>
      <c r="D308" s="219">
        <f>SUM(D110)/SUM(D164,D168,D170,D171)</f>
        <v>1.39950100905513</v>
      </c>
      <c r="E308" s="219">
        <f>SUM(E110)/SUM(E164,E168,E170,E171)</f>
        <v>2.00242587846793</v>
      </c>
      <c r="F308" s="219">
        <f>SUM(F110)/SUM(F164,F168,F170,F171)</f>
        <v>1.89727986280001</v>
      </c>
      <c r="G308" s="219">
        <f>SUM(G110)/SUM(G164,G168,G170,G171)</f>
        <v>2.08724036658901</v>
      </c>
      <c r="I308" s="219">
        <f>SUM(I110)/SUM(I164,I168,I170,I171)</f>
        <v>1.80690610287759</v>
      </c>
      <c r="J308" s="219">
        <f>SUM(J110)/SUM(J164,J168,J170,J171)</f>
        <v>1.05110555510199</v>
      </c>
      <c r="K308" s="219">
        <f>SUM(K110)/SUM(K164,K168,K170,K171)</f>
        <v>1.28553949098146</v>
      </c>
      <c r="L308" s="219">
        <f>SUM(L110)/SUM(L164,L168,L170,L171)</f>
        <v>1.22680331725282</v>
      </c>
      <c r="N308" s="219">
        <f>SUM(N110)/SUM(N164,N168,N170,N171)</f>
        <v>0.687185796984398</v>
      </c>
      <c r="O308" s="219">
        <f>SUM(O110)/SUM(O164,O168,O170,O171)</f>
        <v>1.14795622598988</v>
      </c>
      <c r="P308" s="219">
        <f>SUM(P110)/SUM(P164,P168,P170,P171)</f>
        <v>1.17326676424756</v>
      </c>
      <c r="Q308" s="219">
        <f>SUM(Q110)/SUM(Q164,Q168,Q170,Q171)</f>
        <v>2.04940620949406</v>
      </c>
      <c r="S308" s="219">
        <f>SUM(S110)/SUM(S164,S168,S170,S171)</f>
        <v>2.08465332260828</v>
      </c>
      <c r="T308" s="219">
        <f>SUM(T110)/SUM(T164,T168,T170,T171)</f>
        <v>0.880651400205649</v>
      </c>
      <c r="U308" s="219">
        <f>SUM(U110)/SUM(U164,U168,U170,U171)</f>
        <v>0.907339680703856</v>
      </c>
      <c r="V308" s="219">
        <f>SUM(V110)/SUM(V164,V168,V170,V171)</f>
        <v>0.955859891147757</v>
      </c>
      <c r="X308" s="219">
        <f>SUM(X110)/SUM(X164,X168,X170,X171)</f>
        <v>0.862061839388293</v>
      </c>
      <c r="Y308" s="219">
        <f>SUM(Y110)/SUM(Y164,Y168,Y170,Y171)</f>
        <v>1.80110931400361</v>
      </c>
      <c r="Z308" s="219">
        <f>SUM(Z110)/SUM(Z164,Z168,Z170,Z171)</f>
        <v>1.7116158842439</v>
      </c>
      <c r="AA308" s="219">
        <f>SUM(AA110)/SUM(AA164,AA168,AA170,AA171)</f>
        <v>1.96430860213845</v>
      </c>
      <c r="AC308" s="219">
        <f>SUM(AC110)/SUM(AC164,AC168,AC170,AC171)</f>
        <v>1.80240229321269</v>
      </c>
      <c r="AD308" s="219">
        <f>SUM(AD110)/SUM(AD164,AD168,AD170,AD171)</f>
        <v>1.80455720725878</v>
      </c>
      <c r="AE308" s="219">
        <f>SUM(AE110)/SUM(AE164,AE168,AE170,AE171)</f>
        <v>1.71515118615335</v>
      </c>
      <c r="AF308" s="219">
        <f>SUM(AF110)/SUM(AF164,AF168,AF170,AF171)</f>
        <v>1.34231330888665</v>
      </c>
      <c r="AH308" s="219">
        <f>SUM(AH110)/SUM(AH164,AH168,AH170,AH171)</f>
        <v>7.65822519211911</v>
      </c>
      <c r="AI308" s="219">
        <f>SUM(AI110)/SUM(AI164,AI168,AI170,AI171)</f>
        <v>23.8694277351303</v>
      </c>
      <c r="AJ308" s="219" t="e">
        <f>SUM(AJ110)/SUM(AJ164,AJ168,AJ170,AJ171)</f>
        <v>#DIV/0!</v>
      </c>
      <c r="AK308" s="219" t="e">
        <f>SUM(AK110)/SUM(AK164,AK168,AK170,AK171)</f>
        <v>#DIV/0!</v>
      </c>
      <c r="AM308" s="219" t="e">
        <f>SUM(AM110)/SUM(AM164,AM168,AM170,AM171)</f>
        <v>#DIV/0!</v>
      </c>
      <c r="AN308" s="219" t="e">
        <f>SUM(AN110)/SUM(AN164,AN168,AN170,AN171)</f>
        <v>#DIV/0!</v>
      </c>
      <c r="AO308" s="219" t="e">
        <f>SUM(AO110)/SUM(AO164,AO168,AO170,AO171)</f>
        <v>#DIV/0!</v>
      </c>
      <c r="AP308" s="219" t="e">
        <f>SUM(AP110)/SUM(AP164,AP168,AP170,AP171)</f>
        <v>#DIV/0!</v>
      </c>
      <c r="AR308" s="219" t="e">
        <f>SUM(AR110)/SUM(AR164,AR168,AR170,AR171)</f>
        <v>#DIV/0!</v>
      </c>
      <c r="AS308" s="219" t="e">
        <f>SUM(AS110)/SUM(AS164,AS168,AS170,AS171)</f>
        <v>#DIV/0!</v>
      </c>
      <c r="AT308" s="219" t="e">
        <f>SUM(AT110)/SUM(AT164,AT168,AT170,AT171)</f>
        <v>#DIV/0!</v>
      </c>
      <c r="AU308" s="219" t="e">
        <f>SUM(AU110)/SUM(AU164,AU168,AU170,AU171)</f>
        <v>#DIV/0!</v>
      </c>
      <c r="AW308" s="219" t="e">
        <f>SUM(AW110)/SUM(AW164,AW168,AW170,AW171)</f>
        <v>#DIV/0!</v>
      </c>
      <c r="AX308" s="219" t="e">
        <f>SUM(AX110)/SUM(AX164,AX168,AX170,AX171)</f>
        <v>#DIV/0!</v>
      </c>
      <c r="AY308" s="219" t="e">
        <f>SUM(AY110)/SUM(AY164,AY168,AY170,AY171)</f>
        <v>#DIV/0!</v>
      </c>
      <c r="AZ308" s="219" t="e">
        <f>SUM(AZ110)/SUM(AZ164,AZ168,AZ170,AZ171)</f>
        <v>#DIV/0!</v>
      </c>
      <c r="BB308" s="219" t="e">
        <f>SUM(BB110)/SUM(BB164,BB168,BB170,BB171)</f>
        <v>#DIV/0!</v>
      </c>
      <c r="BC308" s="219" t="e">
        <f>SUM(BC110)/SUM(BC164,BC168,BC170,BC171)</f>
        <v>#DIV/0!</v>
      </c>
      <c r="BD308" s="219" t="e">
        <f>SUM(BD110)/SUM(BD164,BD168,BD170,BD171)</f>
        <v>#DIV/0!</v>
      </c>
      <c r="BE308" s="219" t="e">
        <f>SUM(BE110)/SUM(BE164,BE168,BE170,BE171)</f>
        <v>#DIV/0!</v>
      </c>
      <c r="BG308" s="219" t="e">
        <f>SUM(BG110)/SUM(BG164,BG168,BG170,BG171)</f>
        <v>#DIV/0!</v>
      </c>
      <c r="BH308" s="219" t="e">
        <f>SUM(BH110)/SUM(BH164,BH168,BH170,BH171)</f>
        <v>#DIV/0!</v>
      </c>
      <c r="BI308" s="219" t="e">
        <f>SUM(BI110)/SUM(BI164,BI168,BI170,BI171)</f>
        <v>#DIV/0!</v>
      </c>
      <c r="BJ308" s="219" t="e">
        <f>SUM(BJ110)/SUM(BJ164,BJ168,BJ170,BJ171)</f>
        <v>#DIV/0!</v>
      </c>
      <c r="BL308" s="219" t="e">
        <f>SUM(BL110)/SUM(BL164,BL168,BL170,BL171)</f>
        <v>#DIV/0!</v>
      </c>
      <c r="BM308" s="219" t="e">
        <f>SUM(BM110)/SUM(BM164,BM168,BM170,BM171)</f>
        <v>#DIV/0!</v>
      </c>
      <c r="BN308" s="219" t="e">
        <f>SUM(BN110)/SUM(BN164,BN168,BN170,BN171)</f>
        <v>#DIV/0!</v>
      </c>
      <c r="BO308" s="219" t="e">
        <f>SUM(BO110)/SUM(BO164,BO168,BO170,BO171)</f>
        <v>#DIV/0!</v>
      </c>
      <c r="BQ308" s="219" t="e">
        <f>SUM(BQ110)/SUM(BQ164,BQ168,BQ170,BQ171)</f>
        <v>#DIV/0!</v>
      </c>
      <c r="BR308" s="219" t="e">
        <f>SUM(BR110)/SUM(BR164,BR168,BR170,BR171)</f>
        <v>#DIV/0!</v>
      </c>
      <c r="BS308" s="219" t="e">
        <f>SUM(BS110)/SUM(BS164,BS168,BS170,BS171)</f>
        <v>#DIV/0!</v>
      </c>
      <c r="BT308" s="219" t="e">
        <f>SUM(BT110)/SUM(BT164,BT168,BT170,BT171)</f>
        <v>#DIV/0!</v>
      </c>
      <c r="BV308" s="219" t="e">
        <f>SUM(BV110)/SUM(BV164,BV168,BV170,BV171)</f>
        <v>#DIV/0!</v>
      </c>
      <c r="BW308" s="219" t="e">
        <f>SUM(BW110)/SUM(BW164,BW168,BW170,BW171)</f>
        <v>#DIV/0!</v>
      </c>
      <c r="BX308" s="219" t="e">
        <f>SUM(BX110)/SUM(BX164,BX168,BX170,BX171)</f>
        <v>#DIV/0!</v>
      </c>
      <c r="BY308" s="219" t="e">
        <f>SUM(BY110)/SUM(BY164,BY168,BY170,BY171)</f>
        <v>#DIV/0!</v>
      </c>
      <c r="CA308" s="219" t="e">
        <f>SUM(CA110)/SUM(CA164,CA168,CA170,CA171)</f>
        <v>#DIV/0!</v>
      </c>
      <c r="CB308" s="219" t="e">
        <f>SUM(CB110)/SUM(CB164,CB168,CB170,CB171)</f>
        <v>#DIV/0!</v>
      </c>
      <c r="CC308" s="219" t="e">
        <f>SUM(CC110)/SUM(CC164,CC168,CC170,CC171)</f>
        <v>#DIV/0!</v>
      </c>
      <c r="CD308" s="219" t="e">
        <f>SUM(CD110)/SUM(CD164,CD168,CD170,CD171)</f>
        <v>#DIV/0!</v>
      </c>
      <c r="CF308" s="219" t="e">
        <f>SUM(CF110)/SUM(CF164,CF168,CF170,CF171)</f>
        <v>#DIV/0!</v>
      </c>
      <c r="CG308" s="219" t="e">
        <f>SUM(CG110)/SUM(CG164,CG168,CG170,CG171)</f>
        <v>#DIV/0!</v>
      </c>
      <c r="CH308" s="219" t="e">
        <f>SUM(CH110)/SUM(CH164,CH168,CH170,CH171)</f>
        <v>#DIV/0!</v>
      </c>
      <c r="CI308" s="219" t="e">
        <f>SUM(CI110)/SUM(CI164,CI168,CI170,CI171)</f>
        <v>#DIV/0!</v>
      </c>
      <c r="CK308" s="219" t="e">
        <f>SUM(CK110)/SUM(CK164,CK168,CK170,CK171)</f>
        <v>#DIV/0!</v>
      </c>
      <c r="CL308" s="219" t="e">
        <f>SUM(CL110)/SUM(CL164,CL168,CL170,CL171)</f>
        <v>#DIV/0!</v>
      </c>
      <c r="CM308" s="219" t="e">
        <f>SUM(CM110)/SUM(CM164,CM168,CM170,CM171)</f>
        <v>#DIV/0!</v>
      </c>
      <c r="CN308" s="219" t="e">
        <f>SUM(CN110)/SUM(CN164,CN168,CN170,CN171)</f>
        <v>#DIV/0!</v>
      </c>
      <c r="CP308" s="219" t="e">
        <f>SUM(CP110)/SUM(CP164,CP168,CP170,CP171)</f>
        <v>#DIV/0!</v>
      </c>
      <c r="CQ308" s="219" t="e">
        <f>SUM(CQ110)/SUM(CQ164,CQ168,CQ170,CQ171)</f>
        <v>#DIV/0!</v>
      </c>
      <c r="CR308" s="219" t="e">
        <f>SUM(CR110)/SUM(CR164,CR168,CR170,CR171)</f>
        <v>#DIV/0!</v>
      </c>
      <c r="CS308" s="219" t="e">
        <f>SUM(CS110)/SUM(CS164,CS168,CS170,CS171)</f>
        <v>#DIV/0!</v>
      </c>
      <c r="CU308" s="219" t="e">
        <f>SUM(CU110)/SUM(CU164,CU168,CU170,CU171)</f>
        <v>#DIV/0!</v>
      </c>
      <c r="CV308" s="219" t="e">
        <f>SUM(CV110)/SUM(CV164,CV168,CV170,CV171)</f>
        <v>#DIV/0!</v>
      </c>
      <c r="CW308" s="219" t="e">
        <f>SUM(CW110)/SUM(CW164,CW168,CW170,CW171)</f>
        <v>#DIV/0!</v>
      </c>
      <c r="CX308" s="219" t="e">
        <f>SUM(CX110)/SUM(CX164,CX168,CX170,CX171)</f>
        <v>#DIV/0!</v>
      </c>
    </row>
    <row r="309" customFormat="1" s="233">
      <c r="A309" s="224" t="n"/>
      <c r="B309" s="224" t="n"/>
    </row>
    <row r="310" customFormat="1" s="233">
      <c r="A310" s="224" t="n"/>
      <c r="B310" s="224" t="n"/>
      <c r="C310" s="234" t="inlineStr">
        <is>
          <t>OPERATING EFFICIENCY</t>
        </is>
      </c>
    </row>
    <row r="311" customFormat="1" s="238">
      <c r="A311" s="222" t="n"/>
      <c r="B311" s="222" t="n"/>
      <c r="C311" s="238" t="inlineStr">
        <is>
          <t>RETURN ON CAPITAL (ROIC)</t>
        </is>
      </c>
      <c r="D311" s="238">
        <f>D313/D316</f>
        <v>0.0163294099355037</v>
      </c>
      <c r="E311" s="238">
        <f>E313/E316</f>
        <v>-0.0202298031200107</v>
      </c>
      <c r="F311" s="238">
        <f>F313/F316</f>
        <v>0.0362381398092101</v>
      </c>
      <c r="G311" s="238">
        <f>G313/G316</f>
        <v>0.0369630009335681</v>
      </c>
      <c r="I311" s="222">
        <f>I313/I316</f>
        <v>0.0321262590666634</v>
      </c>
      <c r="J311" s="222">
        <f>J313/J316</f>
        <v>0.0172204386844638</v>
      </c>
      <c r="K311" s="222">
        <f>K313/K316</f>
        <v>0.0244270768217796</v>
      </c>
      <c r="L311" s="222">
        <f>L313/L316</f>
        <v>0.0164528831179752</v>
      </c>
      <c r="N311" s="222">
        <f>N313/N316</f>
        <v>0.0251516661583769</v>
      </c>
      <c r="O311" s="222">
        <f>O313/O316</f>
        <v>0.0137773249059528</v>
      </c>
      <c r="P311" s="222">
        <f>P313/P316</f>
        <v>0.0188593552328235</v>
      </c>
      <c r="Q311" s="222">
        <f>Q313/Q316</f>
        <v>0.00572623510846135</v>
      </c>
      <c r="S311" s="222">
        <f>S313/S316</f>
        <v>0.0172274307346594</v>
      </c>
      <c r="T311" s="222">
        <f>T313/T316</f>
        <v>0.00838497854968039</v>
      </c>
      <c r="U311" s="222">
        <f>U313/U316</f>
        <v>0.0198378688674493</v>
      </c>
      <c r="V311" s="222">
        <f>V313/V316</f>
        <v>0.00925838802444368</v>
      </c>
      <c r="X311" s="222">
        <f>X313/X316</f>
        <v>0.0189447822975437</v>
      </c>
      <c r="Y311" s="222">
        <f>Y313/Y316</f>
        <v>0.0193958179985655</v>
      </c>
      <c r="Z311" s="222">
        <f>Z313/Z316</f>
        <v>0.021430400304914</v>
      </c>
      <c r="AA311" s="222">
        <f>AA313/AA316</f>
        <v>0.00895835145791549</v>
      </c>
      <c r="AC311" s="222">
        <f>AC313/AC316</f>
        <v>0.0203521995703223</v>
      </c>
      <c r="AD311" s="222">
        <f>AD313/AD316</f>
        <v>0.0165020763968424</v>
      </c>
      <c r="AE311" s="222">
        <f>AE313/AE316</f>
        <v>0.0211208431131246</v>
      </c>
      <c r="AF311" s="222">
        <f>AF313/AF316</f>
        <v>0.0115884750961121</v>
      </c>
      <c r="AH311" s="222">
        <f>AH313/AH316</f>
        <v>0.010823241747962</v>
      </c>
      <c r="AI311" s="222">
        <f>AI313/AI316</f>
        <v>0.173239979956163</v>
      </c>
      <c r="AJ311" s="222" t="e">
        <f>AJ313/AJ316</f>
        <v>#DIV/0!</v>
      </c>
      <c r="AK311" s="222" t="e">
        <f>AK313/AK316</f>
        <v>#DIV/0!</v>
      </c>
      <c r="AM311" s="222" t="e">
        <f>AM313/AM316</f>
        <v>#DIV/0!</v>
      </c>
      <c r="AN311" s="222" t="e">
        <f>AN313/AN316</f>
        <v>#DIV/0!</v>
      </c>
      <c r="AO311" s="222" t="e">
        <f>AO313/AO316</f>
        <v>#DIV/0!</v>
      </c>
      <c r="AP311" s="222" t="e">
        <f>AP313/AP316</f>
        <v>#DIV/0!</v>
      </c>
      <c r="AR311" s="222" t="e">
        <f>AR313/AR316</f>
        <v>#DIV/0!</v>
      </c>
      <c r="AS311" s="222" t="e">
        <f>AS313/AS316</f>
        <v>#DIV/0!</v>
      </c>
      <c r="AT311" s="222" t="e">
        <f>AT313/AT316</f>
        <v>#DIV/0!</v>
      </c>
      <c r="AU311" s="222" t="e">
        <f>AU313/AU316</f>
        <v>#DIV/0!</v>
      </c>
      <c r="AW311" s="222" t="e">
        <f>AW313/AW316</f>
        <v>#DIV/0!</v>
      </c>
      <c r="AX311" s="222" t="e">
        <f>AX313/AX316</f>
        <v>#DIV/0!</v>
      </c>
      <c r="AY311" s="222" t="e">
        <f>AY313/AY316</f>
        <v>#DIV/0!</v>
      </c>
      <c r="AZ311" s="222" t="e">
        <f>AZ313/AZ316</f>
        <v>#DIV/0!</v>
      </c>
      <c r="BB311" s="222" t="e">
        <f>BB313/BB316</f>
        <v>#DIV/0!</v>
      </c>
      <c r="BC311" s="222" t="e">
        <f>BC313/BC316</f>
        <v>#DIV/0!</v>
      </c>
      <c r="BD311" s="222" t="e">
        <f>BD313/BD316</f>
        <v>#DIV/0!</v>
      </c>
      <c r="BE311" s="222" t="e">
        <f>BE313/BE316</f>
        <v>#DIV/0!</v>
      </c>
      <c r="BG311" s="222" t="e">
        <f>BG313/BG316</f>
        <v>#DIV/0!</v>
      </c>
      <c r="BH311" s="222" t="e">
        <f>BH313/BH316</f>
        <v>#DIV/0!</v>
      </c>
      <c r="BI311" s="222" t="e">
        <f>BI313/BI316</f>
        <v>#DIV/0!</v>
      </c>
      <c r="BJ311" s="222" t="e">
        <f>BJ313/BJ316</f>
        <v>#DIV/0!</v>
      </c>
      <c r="BL311" s="222" t="e">
        <f>BL313/BL316</f>
        <v>#DIV/0!</v>
      </c>
      <c r="BM311" s="222" t="e">
        <f>BM313/BM316</f>
        <v>#DIV/0!</v>
      </c>
      <c r="BN311" s="222" t="e">
        <f>BN313/BN316</f>
        <v>#DIV/0!</v>
      </c>
      <c r="BO311" s="222" t="e">
        <f>BO313/BO316</f>
        <v>#DIV/0!</v>
      </c>
      <c r="BQ311" s="222" t="e">
        <f>BQ313/BQ316</f>
        <v>#DIV/0!</v>
      </c>
      <c r="BR311" s="222" t="e">
        <f>BR313/BR316</f>
        <v>#DIV/0!</v>
      </c>
      <c r="BS311" s="222" t="e">
        <f>BS313/BS316</f>
        <v>#DIV/0!</v>
      </c>
      <c r="BT311" s="222" t="e">
        <f>BT313/BT316</f>
        <v>#DIV/0!</v>
      </c>
      <c r="BV311" s="222" t="e">
        <f>BV313/BV316</f>
        <v>#DIV/0!</v>
      </c>
      <c r="BW311" s="222" t="e">
        <f>BW313/BW316</f>
        <v>#DIV/0!</v>
      </c>
      <c r="BX311" s="222" t="e">
        <f>BX313/BX316</f>
        <v>#DIV/0!</v>
      </c>
      <c r="BY311" s="222" t="e">
        <f>BY313/BY316</f>
        <v>#DIV/0!</v>
      </c>
      <c r="CA311" s="222" t="e">
        <f>CA313/CA316</f>
        <v>#DIV/0!</v>
      </c>
      <c r="CB311" s="222" t="e">
        <f>CB313/CB316</f>
        <v>#DIV/0!</v>
      </c>
      <c r="CC311" s="222" t="e">
        <f>CC313/CC316</f>
        <v>#DIV/0!</v>
      </c>
      <c r="CD311" s="222" t="e">
        <f>CD313/CD316</f>
        <v>#DIV/0!</v>
      </c>
      <c r="CF311" s="222" t="e">
        <f>CF313/CF316</f>
        <v>#DIV/0!</v>
      </c>
      <c r="CG311" s="222" t="e">
        <f>CG313/CG316</f>
        <v>#DIV/0!</v>
      </c>
      <c r="CH311" s="222" t="e">
        <f>CH313/CH316</f>
        <v>#DIV/0!</v>
      </c>
      <c r="CI311" s="222" t="e">
        <f>CI313/CI316</f>
        <v>#DIV/0!</v>
      </c>
      <c r="CK311" s="222" t="e">
        <f>CK313/CK316</f>
        <v>#DIV/0!</v>
      </c>
      <c r="CL311" s="222" t="e">
        <f>CL313/CL316</f>
        <v>#DIV/0!</v>
      </c>
      <c r="CM311" s="222" t="e">
        <f>CM313/CM316</f>
        <v>#DIV/0!</v>
      </c>
      <c r="CN311" s="222" t="e">
        <f>CN313/CN316</f>
        <v>#DIV/0!</v>
      </c>
      <c r="CP311" s="222" t="e">
        <f>CP313/CP316</f>
        <v>#DIV/0!</v>
      </c>
      <c r="CQ311" s="222" t="e">
        <f>CQ313/CQ316</f>
        <v>#DIV/0!</v>
      </c>
      <c r="CR311" s="222" t="e">
        <f>CR313/CR316</f>
        <v>#DIV/0!</v>
      </c>
      <c r="CS311" s="222" t="e">
        <f>CS313/CS316</f>
        <v>#DIV/0!</v>
      </c>
      <c r="CU311" s="222" t="e">
        <f>CU313/CU316</f>
        <v>#DIV/0!</v>
      </c>
      <c r="CV311" s="222" t="e">
        <f>CV313/CV316</f>
        <v>#DIV/0!</v>
      </c>
      <c r="CW311" s="222" t="e">
        <f>CW313/CW316</f>
        <v>#DIV/0!</v>
      </c>
      <c r="CX311" s="222" t="e">
        <f>CX313/CX316</f>
        <v>#DIV/0!</v>
      </c>
    </row>
    <row r="312" customFormat="1" s="238">
      <c r="A312" s="222" t="n"/>
      <c r="B312" s="222" t="n"/>
      <c r="C312" s="238" t="inlineStr">
        <is>
          <t>RETURN ON CAPITAL (ROIC) - EX GOODWILL</t>
        </is>
      </c>
      <c r="D312" s="238">
        <f>D313/D317</f>
        <v>0.0163294099355037</v>
      </c>
      <c r="E312" s="238">
        <f>E313/E317</f>
        <v>-0.0202298031200107</v>
      </c>
      <c r="F312" s="238">
        <f>F313/F317</f>
        <v>0.0362381398092101</v>
      </c>
      <c r="G312" s="238">
        <f>G313/G317</f>
        <v>0.0369630009335681</v>
      </c>
      <c r="I312" s="222">
        <f>I313/I317</f>
        <v>0.0321262590666634</v>
      </c>
      <c r="J312" s="222">
        <f>J313/J317</f>
        <v>0.0172204386844638</v>
      </c>
      <c r="K312" s="222">
        <f>K313/K317</f>
        <v>0.0244270768217796</v>
      </c>
      <c r="L312" s="222">
        <f>L313/L317</f>
        <v>0.0164528831179752</v>
      </c>
      <c r="N312" s="222">
        <f>N313/N317</f>
        <v>0.0251516661583769</v>
      </c>
      <c r="O312" s="222">
        <f>O313/O317</f>
        <v>0.0137773249059528</v>
      </c>
      <c r="P312" s="222">
        <f>P313/P317</f>
        <v>0.0188593552328235</v>
      </c>
      <c r="Q312" s="222">
        <f>Q313/Q317</f>
        <v>0.00572623510846135</v>
      </c>
      <c r="S312" s="222">
        <f>S313/S317</f>
        <v>0.0172274307346594</v>
      </c>
      <c r="T312" s="222">
        <f>T313/T317</f>
        <v>0.00838497854968039</v>
      </c>
      <c r="U312" s="222">
        <f>U313/U317</f>
        <v>0.0198378688674493</v>
      </c>
      <c r="V312" s="222">
        <f>V313/V317</f>
        <v>0.00925838802444368</v>
      </c>
      <c r="X312" s="222">
        <f>X313/X317</f>
        <v>0.0189447822975437</v>
      </c>
      <c r="Y312" s="222">
        <f>Y313/Y317</f>
        <v>0.0193958179985655</v>
      </c>
      <c r="Z312" s="222">
        <f>Z313/Z317</f>
        <v>0.021430400304914</v>
      </c>
      <c r="AA312" s="222">
        <f>AA313/AA317</f>
        <v>0.00895835145791549</v>
      </c>
      <c r="AC312" s="222">
        <f>AC313/AC317</f>
        <v>0.0203521995703223</v>
      </c>
      <c r="AD312" s="222">
        <f>AD313/AD317</f>
        <v>0.0165020763968424</v>
      </c>
      <c r="AE312" s="222">
        <f>AE313/AE317</f>
        <v>0.0211208431131246</v>
      </c>
      <c r="AF312" s="222">
        <f>AF313/AF317</f>
        <v>0.0115884750961121</v>
      </c>
      <c r="AH312" s="222">
        <f>AH313/AH317</f>
        <v>0.010823241747962</v>
      </c>
      <c r="AI312" s="222">
        <f>AI313/AI317</f>
        <v>0.173239979956163</v>
      </c>
      <c r="AJ312" s="222" t="e">
        <f>AJ313/AJ317</f>
        <v>#DIV/0!</v>
      </c>
      <c r="AK312" s="222" t="e">
        <f>AK313/AK317</f>
        <v>#DIV/0!</v>
      </c>
      <c r="AM312" s="222" t="e">
        <f>AM313/AM317</f>
        <v>#DIV/0!</v>
      </c>
      <c r="AN312" s="222" t="e">
        <f>AN313/AN317</f>
        <v>#DIV/0!</v>
      </c>
      <c r="AO312" s="222" t="e">
        <f>AO313/AO317</f>
        <v>#DIV/0!</v>
      </c>
      <c r="AP312" s="222" t="e">
        <f>AP313/AP317</f>
        <v>#DIV/0!</v>
      </c>
      <c r="AR312" s="222" t="e">
        <f>AR313/AR317</f>
        <v>#DIV/0!</v>
      </c>
      <c r="AS312" s="222" t="e">
        <f>AS313/AS317</f>
        <v>#DIV/0!</v>
      </c>
      <c r="AT312" s="222" t="e">
        <f>AT313/AT317</f>
        <v>#DIV/0!</v>
      </c>
      <c r="AU312" s="222" t="e">
        <f>AU313/AU317</f>
        <v>#DIV/0!</v>
      </c>
      <c r="AW312" s="222" t="e">
        <f>AW313/AW317</f>
        <v>#DIV/0!</v>
      </c>
      <c r="AX312" s="222" t="e">
        <f>AX313/AX317</f>
        <v>#DIV/0!</v>
      </c>
      <c r="AY312" s="222" t="e">
        <f>AY313/AY317</f>
        <v>#DIV/0!</v>
      </c>
      <c r="AZ312" s="222" t="e">
        <f>AZ313/AZ317</f>
        <v>#DIV/0!</v>
      </c>
      <c r="BB312" s="222" t="e">
        <f>BB313/BB317</f>
        <v>#DIV/0!</v>
      </c>
      <c r="BC312" s="222" t="e">
        <f>BC313/BC317</f>
        <v>#DIV/0!</v>
      </c>
      <c r="BD312" s="222" t="e">
        <f>BD313/BD317</f>
        <v>#DIV/0!</v>
      </c>
      <c r="BE312" s="222" t="e">
        <f>BE313/BE317</f>
        <v>#DIV/0!</v>
      </c>
      <c r="BG312" s="222" t="e">
        <f>BG313/BG317</f>
        <v>#DIV/0!</v>
      </c>
      <c r="BH312" s="222" t="e">
        <f>BH313/BH317</f>
        <v>#DIV/0!</v>
      </c>
      <c r="BI312" s="222" t="e">
        <f>BI313/BI317</f>
        <v>#DIV/0!</v>
      </c>
      <c r="BJ312" s="222" t="e">
        <f>BJ313/BJ317</f>
        <v>#DIV/0!</v>
      </c>
      <c r="BL312" s="222" t="e">
        <f>BL313/BL317</f>
        <v>#DIV/0!</v>
      </c>
      <c r="BM312" s="222" t="e">
        <f>BM313/BM317</f>
        <v>#DIV/0!</v>
      </c>
      <c r="BN312" s="222" t="e">
        <f>BN313/BN317</f>
        <v>#DIV/0!</v>
      </c>
      <c r="BO312" s="222" t="e">
        <f>BO313/BO317</f>
        <v>#DIV/0!</v>
      </c>
      <c r="BQ312" s="222" t="e">
        <f>BQ313/BQ317</f>
        <v>#DIV/0!</v>
      </c>
      <c r="BR312" s="222" t="e">
        <f>BR313/BR317</f>
        <v>#DIV/0!</v>
      </c>
      <c r="BS312" s="222" t="e">
        <f>BS313/BS317</f>
        <v>#DIV/0!</v>
      </c>
      <c r="BT312" s="222" t="e">
        <f>BT313/BT317</f>
        <v>#DIV/0!</v>
      </c>
      <c r="BV312" s="222" t="e">
        <f>BV313/BV317</f>
        <v>#DIV/0!</v>
      </c>
      <c r="BW312" s="222" t="e">
        <f>BW313/BW317</f>
        <v>#DIV/0!</v>
      </c>
      <c r="BX312" s="222" t="e">
        <f>BX313/BX317</f>
        <v>#DIV/0!</v>
      </c>
      <c r="BY312" s="222" t="e">
        <f>BY313/BY317</f>
        <v>#DIV/0!</v>
      </c>
      <c r="CA312" s="222" t="e">
        <f>CA313/CA317</f>
        <v>#DIV/0!</v>
      </c>
      <c r="CB312" s="222" t="e">
        <f>CB313/CB317</f>
        <v>#DIV/0!</v>
      </c>
      <c r="CC312" s="222" t="e">
        <f>CC313/CC317</f>
        <v>#DIV/0!</v>
      </c>
      <c r="CD312" s="222" t="e">
        <f>CD313/CD317</f>
        <v>#DIV/0!</v>
      </c>
      <c r="CF312" s="222" t="e">
        <f>CF313/CF317</f>
        <v>#DIV/0!</v>
      </c>
      <c r="CG312" s="222" t="e">
        <f>CG313/CG317</f>
        <v>#DIV/0!</v>
      </c>
      <c r="CH312" s="222" t="e">
        <f>CH313/CH317</f>
        <v>#DIV/0!</v>
      </c>
      <c r="CI312" s="222" t="e">
        <f>CI313/CI317</f>
        <v>#DIV/0!</v>
      </c>
      <c r="CK312" s="222" t="e">
        <f>CK313/CK317</f>
        <v>#DIV/0!</v>
      </c>
      <c r="CL312" s="222" t="e">
        <f>CL313/CL317</f>
        <v>#DIV/0!</v>
      </c>
      <c r="CM312" s="222" t="e">
        <f>CM313/CM317</f>
        <v>#DIV/0!</v>
      </c>
      <c r="CN312" s="222" t="e">
        <f>CN313/CN317</f>
        <v>#DIV/0!</v>
      </c>
      <c r="CP312" s="222" t="e">
        <f>CP313/CP317</f>
        <v>#DIV/0!</v>
      </c>
      <c r="CQ312" s="222" t="e">
        <f>CQ313/CQ317</f>
        <v>#DIV/0!</v>
      </c>
      <c r="CR312" s="222" t="e">
        <f>CR313/CR317</f>
        <v>#DIV/0!</v>
      </c>
      <c r="CS312" s="222" t="e">
        <f>CS313/CS317</f>
        <v>#DIV/0!</v>
      </c>
      <c r="CU312" s="222" t="e">
        <f>CU313/CU317</f>
        <v>#DIV/0!</v>
      </c>
      <c r="CV312" s="222" t="e">
        <f>CV313/CV317</f>
        <v>#DIV/0!</v>
      </c>
      <c r="CW312" s="222" t="e">
        <f>CW313/CW317</f>
        <v>#DIV/0!</v>
      </c>
      <c r="CX312" s="222" t="e">
        <f>CX313/CX317</f>
        <v>#DIV/0!</v>
      </c>
    </row>
    <row r="313" customFormat="1" s="233">
      <c r="A313" s="224" t="n"/>
      <c r="B313" s="224" t="n"/>
      <c r="C313" s="233" t="inlineStr">
        <is>
          <t>NOPLAT</t>
        </is>
      </c>
      <c r="D313" s="233">
        <f>D314*(1-D315)</f>
        <v>58.6802161864181</v>
      </c>
      <c r="E313" s="233">
        <f>E314*(1-E315)</f>
        <v>-72.2781160468124</v>
      </c>
      <c r="F313" s="233">
        <f>F314*(1-F315)</f>
        <v>131.772208145985</v>
      </c>
      <c r="G313" s="233">
        <f>G314*(1-G315)</f>
        <v>139.112055660001</v>
      </c>
      <c r="I313" s="223">
        <f>I314*(1-I315)</f>
        <v>118.81025179</v>
      </c>
      <c r="J313" s="224">
        <f>J314*(1-J315)</f>
        <v>65.4974379899987</v>
      </c>
      <c r="K313" s="224">
        <f>K314*(1-K315)</f>
        <v>95.9480617100003</v>
      </c>
      <c r="L313" s="224">
        <f>L314*(1-L315)</f>
        <v>70.68466076</v>
      </c>
      <c r="N313" s="223">
        <f>N314*(1-N315)</f>
        <v>110.832003429442</v>
      </c>
      <c r="O313" s="224">
        <f>O314*(1-O315)</f>
        <v>70.509698258051</v>
      </c>
      <c r="P313" s="224">
        <f>P314*(1-P315)</f>
        <v>96.4290193200001</v>
      </c>
      <c r="Q313" s="224">
        <f>Q314*(1-Q315)</f>
        <v>30.3579097400001</v>
      </c>
      <c r="S313" s="223">
        <f>S314*(1-S315)</f>
        <v>93.8234871099999</v>
      </c>
      <c r="T313" s="224">
        <f>T314*(1-T315)</f>
        <v>73.7862935560699</v>
      </c>
      <c r="U313" s="224">
        <f>U314*(1-U315)</f>
        <v>171.640435338059</v>
      </c>
      <c r="V313" s="224">
        <f>V314*(1-V315)</f>
        <v>81.41380174393</v>
      </c>
      <c r="X313" s="223">
        <f>X314*(1-X315)</f>
        <v>168.6626009</v>
      </c>
      <c r="Y313" s="224">
        <f>Y314*(1-Y315)</f>
        <v>172.965</v>
      </c>
      <c r="Z313" s="224">
        <f>Z314*(1-Z315)</f>
        <v>187.347474</v>
      </c>
      <c r="AA313" s="224">
        <f>AA314*(1-AA315)</f>
        <v>78.9259250999991</v>
      </c>
      <c r="AC313" s="223">
        <f>AC314*(1-AC315)</f>
        <v>178.101166</v>
      </c>
      <c r="AD313" s="224">
        <f>AD314*(1-AD315)</f>
        <v>147.326</v>
      </c>
      <c r="AE313" s="224">
        <f>AE314*(1-AE315)</f>
        <v>185.854612003919</v>
      </c>
      <c r="AF313" s="224">
        <f>AF314*(1-AF315)</f>
        <v>98.9478006</v>
      </c>
      <c r="AH313" s="223">
        <f>AH314*(1-AH315)</f>
        <v>85.67562359</v>
      </c>
      <c r="AI313" s="224">
        <f>AI314*(1-AI315)</f>
        <v>335.43695063</v>
      </c>
      <c r="AJ313" s="224">
        <f>AJ314*(1-AJ315)</f>
        <v>85.67562359</v>
      </c>
      <c r="AK313" s="224">
        <f>AK314*(1-AK315)</f>
        <v>335.43695063</v>
      </c>
      <c r="AM313" s="223">
        <f>AM314*(1-AM315)</f>
        <v>335.43695063</v>
      </c>
      <c r="AN313" s="224">
        <f>AN314*(1-AN315)</f>
        <v>842.22514844</v>
      </c>
      <c r="AO313" s="224">
        <f>AO314*(1-AO315)</f>
        <v>335.43695063</v>
      </c>
      <c r="AP313" s="224">
        <f>AP314*(1-AP315)</f>
        <v>842.22514844</v>
      </c>
      <c r="AR313" s="223">
        <f>AR314*(1-AR315)</f>
        <v>842.22514844</v>
      </c>
      <c r="AS313" s="224">
        <f>AS314*(1-AS315)</f>
        <v>2355.32419814</v>
      </c>
      <c r="AT313" s="224">
        <f>AT314*(1-AT315)</f>
        <v>842.22514844</v>
      </c>
      <c r="AU313" s="224">
        <f>AU314*(1-AU315)</f>
        <v>2355.32419814</v>
      </c>
      <c r="AW313" s="223">
        <f>AW314*(1-AW315)</f>
        <v>2355.32419814</v>
      </c>
      <c r="AX313" s="224">
        <f>AX314*(1-AX315)</f>
        <v>6395.09869316</v>
      </c>
      <c r="AY313" s="224">
        <f>AY314*(1-AY315)</f>
        <v>2355.32419814</v>
      </c>
      <c r="AZ313" s="224">
        <f>AZ314*(1-AZ315)</f>
        <v>6395.09869316</v>
      </c>
      <c r="BB313" s="223">
        <f>BB314*(1-BB315)</f>
        <v>6395.09869316</v>
      </c>
      <c r="BC313" s="224">
        <f>BC314*(1-BC315)</f>
        <v>17500.8457826</v>
      </c>
      <c r="BD313" s="224">
        <f>BD314*(1-BD315)</f>
        <v>6395.09869316</v>
      </c>
      <c r="BE313" s="224">
        <f>BE314*(1-BE315)</f>
        <v>17500.8457826</v>
      </c>
      <c r="BG313" s="223">
        <f>BG314*(1-BG315)</f>
        <v>17500.8457826</v>
      </c>
      <c r="BH313" s="224">
        <f>BH314*(1-BH315)</f>
        <v>47791.88895152</v>
      </c>
      <c r="BI313" s="224">
        <f>BI314*(1-BI315)</f>
        <v>17500.8457826</v>
      </c>
      <c r="BJ313" s="224">
        <f>BJ314*(1-BJ315)</f>
        <v>47791.88895152</v>
      </c>
      <c r="BL313" s="223">
        <f>BL314*(1-BL315)</f>
        <v>47791.88895152</v>
      </c>
      <c r="BM313" s="224">
        <f>BM314*(1-BM315)</f>
        <v>130585.46946824</v>
      </c>
      <c r="BN313" s="224">
        <f>BN314*(1-BN315)</f>
        <v>47791.88895152</v>
      </c>
      <c r="BO313" s="224">
        <f>BO314*(1-BO315)</f>
        <v>130585.46946824</v>
      </c>
      <c r="BQ313" s="223">
        <f>BQ314*(1-BQ315)</f>
        <v>130585.46946824</v>
      </c>
      <c r="BR313" s="224">
        <f>BR314*(1-BR315)</f>
        <v>356754.71683952</v>
      </c>
      <c r="BS313" s="224">
        <f>BS314*(1-BS315)</f>
        <v>130585.46946824</v>
      </c>
      <c r="BT313" s="224">
        <f>BT314*(1-BT315)</f>
        <v>356754.71683952</v>
      </c>
      <c r="BV313" s="223">
        <f>BV314*(1-BV315)</f>
        <v>356754.71683952</v>
      </c>
      <c r="BW313" s="224">
        <f>BW314*(1-BW315)</f>
        <v>974680.37261552</v>
      </c>
      <c r="BX313" s="224">
        <f>BX314*(1-BX315)</f>
        <v>356754.71683952</v>
      </c>
      <c r="BY313" s="224">
        <f>BY314*(1-BY315)</f>
        <v>974680.37261552</v>
      </c>
      <c r="CA313" s="223">
        <f>CA314*(1-CA315)</f>
        <v>974680.37261552</v>
      </c>
      <c r="CB313" s="224">
        <f>CB314*(1-CB315)</f>
        <v>2662870.17891008</v>
      </c>
      <c r="CC313" s="224">
        <f>CC314*(1-CC315)</f>
        <v>974680.37261552</v>
      </c>
      <c r="CD313" s="224">
        <f>CD314*(1-CD315)</f>
        <v>2662870.17891008</v>
      </c>
      <c r="CF313" s="223">
        <f>CF314*(1-CF315)</f>
        <v>2662870.17891008</v>
      </c>
      <c r="CG313" s="224">
        <f>CG314*(1-CG315)</f>
        <v>7275101.1030512</v>
      </c>
      <c r="CH313" s="224">
        <f>CH314*(1-CH315)</f>
        <v>2662870.17891008</v>
      </c>
      <c r="CI313" s="224">
        <f>CI314*(1-CI315)</f>
        <v>7275101.1030512</v>
      </c>
      <c r="CK313" s="223">
        <f>CK314*(1-CK315)</f>
        <v>7275101.1030512</v>
      </c>
      <c r="CL313" s="224">
        <f>CL314*(1-CL315)</f>
        <v>19875942.5639226</v>
      </c>
      <c r="CM313" s="224">
        <f>CM314*(1-CM315)</f>
        <v>7275101.1030512</v>
      </c>
      <c r="CN313" s="224">
        <f>CN314*(1-CN315)</f>
        <v>19875942.5639226</v>
      </c>
      <c r="CP313" s="223">
        <f>CP314*(1-CP315)</f>
        <v>19875942.5639226</v>
      </c>
      <c r="CQ313" s="224">
        <f>CQ314*(1-CQ315)</f>
        <v>54302087.3339475</v>
      </c>
      <c r="CR313" s="224">
        <f>CR314*(1-CR315)</f>
        <v>19875942.5639226</v>
      </c>
      <c r="CS313" s="224">
        <f>CS314*(1-CS315)</f>
        <v>54302087.3339475</v>
      </c>
      <c r="CU313" s="223">
        <f>CU314*(1-CU315)</f>
        <v>54302087.3339475</v>
      </c>
      <c r="CV313" s="224">
        <f>CV314*(1-CV315)</f>
        <v>148356059.79574</v>
      </c>
      <c r="CW313" s="224">
        <f>CW314*(1-CW315)</f>
        <v>54302087.3339475</v>
      </c>
      <c r="CX313" s="224">
        <f>CX314*(1-CX315)</f>
        <v>148356059.79574</v>
      </c>
    </row>
    <row r="314" customFormat="1" s="233">
      <c r="A314" s="224" t="n"/>
      <c r="B314" s="224" t="n"/>
      <c r="C314" s="233" t="inlineStr">
        <is>
          <t>EBIT</t>
        </is>
      </c>
      <c r="D314" s="239">
        <f>D96</f>
        <v>79.8511794964181</v>
      </c>
      <c r="E314" s="239">
        <f>E96</f>
        <v>-101.690738806812</v>
      </c>
      <c r="F314" s="239">
        <f>F96</f>
        <v>202.742533505985</v>
      </c>
      <c r="G314" s="239">
        <f>G96</f>
        <v>160.155702360001</v>
      </c>
      <c r="I314" s="36">
        <f>I96</f>
        <v>167.96626838</v>
      </c>
      <c r="J314" s="36">
        <f>J96</f>
        <v>92.6404290099987</v>
      </c>
      <c r="K314" s="36">
        <f>K96</f>
        <v>135.89422188</v>
      </c>
      <c r="L314" s="36">
        <f>L96</f>
        <v>99.05633589</v>
      </c>
      <c r="N314" s="36">
        <f>N96</f>
        <v>153.507005969442</v>
      </c>
      <c r="O314" s="36">
        <f>O96</f>
        <v>97.818434778051</v>
      </c>
      <c r="P314" s="36">
        <f>P96</f>
        <v>123.28083126</v>
      </c>
      <c r="Q314" s="36">
        <f>Q96</f>
        <v>30.1845657000001</v>
      </c>
      <c r="S314" s="36">
        <f>S96</f>
        <v>124.97772461</v>
      </c>
      <c r="T314" s="36">
        <f>T96</f>
        <v>97.9919510499998</v>
      </c>
      <c r="U314" s="36">
        <f>U96</f>
        <v>214.897435338059</v>
      </c>
      <c r="V314" s="36">
        <f>V96</f>
        <v>93.3019067500001</v>
      </c>
      <c r="X314" s="36">
        <f>X96</f>
        <v>217.3046009</v>
      </c>
      <c r="Y314" s="36">
        <f>Y96</f>
        <v>228.914</v>
      </c>
      <c r="Z314" s="36">
        <f>Z96</f>
        <v>244.697474</v>
      </c>
      <c r="AA314" s="36">
        <f>AA96</f>
        <v>99.7419250999991</v>
      </c>
      <c r="AC314" s="36">
        <f>AC96</f>
        <v>232.114186</v>
      </c>
      <c r="AD314" s="36">
        <f>AD96</f>
        <v>191.73</v>
      </c>
      <c r="AE314" s="36">
        <f>AE96</f>
        <v>239.759090393919</v>
      </c>
      <c r="AF314" s="36">
        <f>AF96</f>
        <v>103.16258393</v>
      </c>
      <c r="AH314" s="36">
        <f>AH96</f>
        <v>85.67562359</v>
      </c>
      <c r="AI314" s="36">
        <f>AI96</f>
        <v>335.43695063</v>
      </c>
      <c r="AJ314" s="36">
        <f>AJ96</f>
        <v>85.67562359</v>
      </c>
      <c r="AK314" s="36">
        <f>AK96</f>
        <v>335.43695063</v>
      </c>
      <c r="AM314" s="36">
        <f>AM96</f>
        <v>335.43695063</v>
      </c>
      <c r="AN314" s="36">
        <f>AN96</f>
        <v>842.22514844</v>
      </c>
      <c r="AO314" s="36">
        <f>AO96</f>
        <v>335.43695063</v>
      </c>
      <c r="AP314" s="36">
        <f>AP96</f>
        <v>842.22514844</v>
      </c>
      <c r="AR314" s="36">
        <f>AR96</f>
        <v>842.22514844</v>
      </c>
      <c r="AS314" s="36">
        <f>AS96</f>
        <v>2355.32419814</v>
      </c>
      <c r="AT314" s="36">
        <f>AT96</f>
        <v>842.22514844</v>
      </c>
      <c r="AU314" s="36">
        <f>AU96</f>
        <v>2355.32419814</v>
      </c>
      <c r="AW314" s="36">
        <f>AW96</f>
        <v>2355.32419814</v>
      </c>
      <c r="AX314" s="36">
        <f>AX96</f>
        <v>6395.09869316</v>
      </c>
      <c r="AY314" s="36">
        <f>AY96</f>
        <v>2355.32419814</v>
      </c>
      <c r="AZ314" s="36">
        <f>AZ96</f>
        <v>6395.09869316</v>
      </c>
      <c r="BB314" s="36">
        <f>BB96</f>
        <v>6395.09869316</v>
      </c>
      <c r="BC314" s="36">
        <f>BC96</f>
        <v>17500.8457826</v>
      </c>
      <c r="BD314" s="36">
        <f>BD96</f>
        <v>6395.09869316</v>
      </c>
      <c r="BE314" s="36">
        <f>BE96</f>
        <v>17500.8457826</v>
      </c>
      <c r="BG314" s="36">
        <f>BG96</f>
        <v>17500.8457826</v>
      </c>
      <c r="BH314" s="36">
        <f>BH96</f>
        <v>47791.88895152</v>
      </c>
      <c r="BI314" s="36">
        <f>BI96</f>
        <v>17500.8457826</v>
      </c>
      <c r="BJ314" s="36">
        <f>BJ96</f>
        <v>47791.88895152</v>
      </c>
      <c r="BL314" s="36">
        <f>BL96</f>
        <v>47791.88895152</v>
      </c>
      <c r="BM314" s="36">
        <f>BM96</f>
        <v>130585.46946824</v>
      </c>
      <c r="BN314" s="36">
        <f>BN96</f>
        <v>47791.88895152</v>
      </c>
      <c r="BO314" s="36">
        <f>BO96</f>
        <v>130585.46946824</v>
      </c>
      <c r="BQ314" s="36">
        <f>BQ96</f>
        <v>130585.46946824</v>
      </c>
      <c r="BR314" s="36">
        <f>BR96</f>
        <v>356754.71683952</v>
      </c>
      <c r="BS314" s="36">
        <f>BS96</f>
        <v>130585.46946824</v>
      </c>
      <c r="BT314" s="36">
        <f>BT96</f>
        <v>356754.71683952</v>
      </c>
      <c r="BV314" s="36">
        <f>BV96</f>
        <v>356754.71683952</v>
      </c>
      <c r="BW314" s="36">
        <f>BW96</f>
        <v>974680.37261552</v>
      </c>
      <c r="BX314" s="36">
        <f>BX96</f>
        <v>356754.71683952</v>
      </c>
      <c r="BY314" s="36">
        <f>BY96</f>
        <v>974680.37261552</v>
      </c>
      <c r="CA314" s="36">
        <f>CA96</f>
        <v>974680.37261552</v>
      </c>
      <c r="CB314" s="36">
        <f>CB96</f>
        <v>2662870.17891008</v>
      </c>
      <c r="CC314" s="36">
        <f>CC96</f>
        <v>974680.37261552</v>
      </c>
      <c r="CD314" s="36">
        <f>CD96</f>
        <v>2662870.17891008</v>
      </c>
      <c r="CF314" s="36">
        <f>CF96</f>
        <v>2662870.17891008</v>
      </c>
      <c r="CG314" s="36">
        <f>CG96</f>
        <v>7275101.1030512</v>
      </c>
      <c r="CH314" s="36">
        <f>CH96</f>
        <v>2662870.17891008</v>
      </c>
      <c r="CI314" s="36">
        <f>CI96</f>
        <v>7275101.1030512</v>
      </c>
      <c r="CK314" s="36">
        <f>CK96</f>
        <v>7275101.1030512</v>
      </c>
      <c r="CL314" s="36">
        <f>CL96</f>
        <v>19875942.5639226</v>
      </c>
      <c r="CM314" s="36">
        <f>CM96</f>
        <v>7275101.1030512</v>
      </c>
      <c r="CN314" s="36">
        <f>CN96</f>
        <v>19875942.5639226</v>
      </c>
      <c r="CP314" s="36">
        <f>CP96</f>
        <v>19875942.5639226</v>
      </c>
      <c r="CQ314" s="36">
        <f>CQ96</f>
        <v>54302087.3339475</v>
      </c>
      <c r="CR314" s="36">
        <f>CR96</f>
        <v>19875942.5639226</v>
      </c>
      <c r="CS314" s="36">
        <f>CS96</f>
        <v>54302087.3339475</v>
      </c>
      <c r="CU314" s="36">
        <f>CU96</f>
        <v>54302087.3339475</v>
      </c>
      <c r="CV314" s="36">
        <f>CV96</f>
        <v>148356059.79574</v>
      </c>
      <c r="CW314" s="36">
        <f>CW96</f>
        <v>54302087.3339475</v>
      </c>
      <c r="CX314" s="36">
        <f>CX96</f>
        <v>148356059.79574</v>
      </c>
    </row>
    <row r="315" customFormat="1" s="233">
      <c r="A315" s="224" t="n"/>
      <c r="B315" s="224" t="n"/>
      <c r="C315" s="233" t="inlineStr">
        <is>
          <t>ETR</t>
        </is>
      </c>
      <c r="D315" s="240">
        <f>D98</f>
        <v>0.265130251594464</v>
      </c>
      <c r="E315" s="240">
        <f>E98</f>
        <v>0.289236002266409</v>
      </c>
      <c r="F315" s="240">
        <f>F98</f>
        <v>0.350051487138513</v>
      </c>
      <c r="G315" s="240">
        <f>G98</f>
        <v>0.131394926249318</v>
      </c>
      <c r="I315" s="225">
        <f>I98</f>
        <v>0.292654096945177</v>
      </c>
      <c r="J315" s="225">
        <f>J98</f>
        <v>0.292992933107752</v>
      </c>
      <c r="K315" s="225">
        <f>K98</f>
        <v>0.29395039478039</v>
      </c>
      <c r="L315" s="225">
        <f>L98</f>
        <v>0.286419590176505</v>
      </c>
      <c r="N315" s="225">
        <f>N98</f>
        <v>0.278000357511338</v>
      </c>
      <c r="O315" s="225">
        <f>O98</f>
        <v>0.279177811237353</v>
      </c>
      <c r="P315" s="225">
        <f>P98</f>
        <v>0.21781011423722</v>
      </c>
      <c r="Q315" s="225">
        <f>Q98</f>
        <v>-0.00574280384627166</v>
      </c>
      <c r="S315" s="225">
        <f>S98</f>
        <v>0.24927832217476</v>
      </c>
      <c r="T315" s="225">
        <f>T98</f>
        <v>0.247016793058637</v>
      </c>
      <c r="U315" s="225">
        <f>U98</f>
        <v>0.20129137386843</v>
      </c>
      <c r="V315" s="225">
        <f>V98</f>
        <v>0.127415456127</v>
      </c>
      <c r="X315" s="225">
        <f>X98</f>
        <v>0.223842476406582</v>
      </c>
      <c r="Y315" s="225">
        <f>Y98</f>
        <v>0.244410564666207</v>
      </c>
      <c r="Z315" s="225">
        <f>Z98</f>
        <v>0.234371034005852</v>
      </c>
      <c r="AA315" s="225">
        <f>AA98</f>
        <v>0.208698598699898</v>
      </c>
      <c r="AC315" s="225">
        <f>AC98</f>
        <v>0.23270021074886</v>
      </c>
      <c r="AD315" s="225">
        <f>AD98</f>
        <v>0.231596515933865</v>
      </c>
      <c r="AE315" s="225">
        <f>AE98</f>
        <v>0.224827673067312</v>
      </c>
      <c r="AF315" s="225">
        <f>AF98</f>
        <v>0.0408557363477819</v>
      </c>
      <c r="AH315" s="225">
        <f>AH98</f>
        <v>0</v>
      </c>
      <c r="AI315" s="225">
        <f>AI98</f>
        <v>0</v>
      </c>
      <c r="AJ315" s="225">
        <f>AJ98</f>
        <v>0</v>
      </c>
      <c r="AK315" s="225">
        <f>AK98</f>
        <v>0</v>
      </c>
      <c r="AM315" s="225">
        <f>AM98</f>
        <v>0</v>
      </c>
      <c r="AN315" s="225">
        <f>AN98</f>
        <v>0</v>
      </c>
      <c r="AO315" s="225">
        <f>AO98</f>
        <v>0</v>
      </c>
      <c r="AP315" s="225">
        <f>AP98</f>
        <v>0</v>
      </c>
      <c r="AR315" s="225">
        <f>AR98</f>
        <v>0</v>
      </c>
      <c r="AS315" s="225">
        <f>AS98</f>
        <v>0</v>
      </c>
      <c r="AT315" s="225">
        <f>AT98</f>
        <v>0</v>
      </c>
      <c r="AU315" s="225">
        <f>AU98</f>
        <v>0</v>
      </c>
      <c r="AW315" s="225">
        <f>AW98</f>
        <v>0</v>
      </c>
      <c r="AX315" s="225">
        <f>AX98</f>
        <v>0</v>
      </c>
      <c r="AY315" s="225">
        <f>AY98</f>
        <v>0</v>
      </c>
      <c r="AZ315" s="225">
        <f>AZ98</f>
        <v>0</v>
      </c>
      <c r="BB315" s="225">
        <f>BB98</f>
        <v>0</v>
      </c>
      <c r="BC315" s="225">
        <f>BC98</f>
        <v>0</v>
      </c>
      <c r="BD315" s="225">
        <f>BD98</f>
        <v>0</v>
      </c>
      <c r="BE315" s="225">
        <f>BE98</f>
        <v>0</v>
      </c>
      <c r="BG315" s="225">
        <f>BG98</f>
        <v>0</v>
      </c>
      <c r="BH315" s="225">
        <f>BH98</f>
        <v>0</v>
      </c>
      <c r="BI315" s="225">
        <f>BI98</f>
        <v>0</v>
      </c>
      <c r="BJ315" s="225">
        <f>BJ98</f>
        <v>0</v>
      </c>
      <c r="BL315" s="225">
        <f>BL98</f>
        <v>0</v>
      </c>
      <c r="BM315" s="225">
        <f>BM98</f>
        <v>0</v>
      </c>
      <c r="BN315" s="225">
        <f>BN98</f>
        <v>0</v>
      </c>
      <c r="BO315" s="225">
        <f>BO98</f>
        <v>0</v>
      </c>
      <c r="BQ315" s="225">
        <f>BQ98</f>
        <v>0</v>
      </c>
      <c r="BR315" s="225">
        <f>BR98</f>
        <v>0</v>
      </c>
      <c r="BS315" s="225">
        <f>BS98</f>
        <v>0</v>
      </c>
      <c r="BT315" s="225">
        <f>BT98</f>
        <v>0</v>
      </c>
      <c r="BV315" s="225">
        <f>BV98</f>
        <v>0</v>
      </c>
      <c r="BW315" s="225">
        <f>BW98</f>
        <v>0</v>
      </c>
      <c r="BX315" s="225">
        <f>BX98</f>
        <v>0</v>
      </c>
      <c r="BY315" s="225">
        <f>BY98</f>
        <v>0</v>
      </c>
      <c r="CA315" s="225">
        <f>CA98</f>
        <v>0</v>
      </c>
      <c r="CB315" s="225">
        <f>CB98</f>
        <v>0</v>
      </c>
      <c r="CC315" s="225">
        <f>CC98</f>
        <v>0</v>
      </c>
      <c r="CD315" s="225">
        <f>CD98</f>
        <v>0</v>
      </c>
      <c r="CF315" s="225">
        <f>CF98</f>
        <v>0</v>
      </c>
      <c r="CG315" s="225">
        <f>CG98</f>
        <v>0</v>
      </c>
      <c r="CH315" s="225">
        <f>CH98</f>
        <v>0</v>
      </c>
      <c r="CI315" s="225">
        <f>CI98</f>
        <v>0</v>
      </c>
      <c r="CK315" s="225">
        <f>CK98</f>
        <v>0</v>
      </c>
      <c r="CL315" s="225">
        <f>CL98</f>
        <v>0</v>
      </c>
      <c r="CM315" s="225">
        <f>CM98</f>
        <v>0</v>
      </c>
      <c r="CN315" s="225">
        <f>CN98</f>
        <v>0</v>
      </c>
      <c r="CP315" s="225">
        <f>CP98</f>
        <v>0</v>
      </c>
      <c r="CQ315" s="225">
        <f>CQ98</f>
        <v>0</v>
      </c>
      <c r="CR315" s="225">
        <f>CR98</f>
        <v>0</v>
      </c>
      <c r="CS315" s="225">
        <f>CS98</f>
        <v>0</v>
      </c>
      <c r="CU315" s="225">
        <f>CU98</f>
        <v>0</v>
      </c>
      <c r="CV315" s="225">
        <f>CV98</f>
        <v>0</v>
      </c>
      <c r="CW315" s="225">
        <f>CW98</f>
        <v>0</v>
      </c>
      <c r="CX315" s="225">
        <f>CX98</f>
        <v>0</v>
      </c>
    </row>
    <row r="316" customFormat="1" s="233">
      <c r="A316" s="224" t="n"/>
      <c r="B316" s="224" t="n"/>
      <c r="C316" s="233" t="inlineStr">
        <is>
          <t>INVESTED CAPITAL</t>
        </is>
      </c>
      <c r="D316" s="239">
        <f>D319-D320+D321</f>
        <v>3593.52949176898</v>
      </c>
      <c r="E316" s="239">
        <f>E319-E320+E321</f>
        <v>3572.85316214061</v>
      </c>
      <c r="F316" s="239">
        <f>F319-F320+F321</f>
        <v>3636.28510844519</v>
      </c>
      <c r="G316" s="239">
        <f>G319-G320+G321</f>
        <v>3763.54874188978</v>
      </c>
      <c r="I316" s="36">
        <f>I319-I320+I321</f>
        <v>3698.22865287436</v>
      </c>
      <c r="J316" s="36">
        <f>J319-J320+J321</f>
        <v>3803.47093300766</v>
      </c>
      <c r="K316" s="36">
        <f>K319-K320+K321</f>
        <v>3927.93875460576</v>
      </c>
      <c r="L316" s="36">
        <f>L319-L320+L321</f>
        <v>4296.18689035571</v>
      </c>
      <c r="N316" s="36">
        <f>N319-N320+N321</f>
        <v>4406.54717391472</v>
      </c>
      <c r="O316" s="36">
        <f>O319-O320+O321</f>
        <v>5117.80761064769</v>
      </c>
      <c r="P316" s="36">
        <f>P319-P320+P321</f>
        <v>5113.06023613</v>
      </c>
      <c r="Q316" s="36">
        <f>Q319-Q320+Q321</f>
        <v>5301.54790451091</v>
      </c>
      <c r="S316" s="36">
        <f>S319-S320+S321</f>
        <v>5446.16829724</v>
      </c>
      <c r="T316" s="36">
        <f>T319-T320+T321</f>
        <v>8799.819</v>
      </c>
      <c r="U316" s="36">
        <f>U319-U320+U321</f>
        <v>8652.161</v>
      </c>
      <c r="V316" s="36">
        <f>V319-V320+V321</f>
        <v>8793.518</v>
      </c>
      <c r="X316" s="36">
        <f>X319-X320+X321</f>
        <v>8902.85241873</v>
      </c>
      <c r="Y316" s="36">
        <f>Y319-Y320+Y321</f>
        <v>8917.644</v>
      </c>
      <c r="Z316" s="36">
        <f>Z319-Z320+Z321</f>
        <v>8742.136</v>
      </c>
      <c r="AA316" s="36">
        <f>AA319-AA320+AA321</f>
        <v>8810.318</v>
      </c>
      <c r="AC316" s="36">
        <f>AC319-AC320+AC321</f>
        <v>8750.95418481</v>
      </c>
      <c r="AD316" s="36">
        <f>AD319-AD320+AD321</f>
        <v>8927.725</v>
      </c>
      <c r="AE316" s="36">
        <f>AE319-AE320+AE321</f>
        <v>8799.583</v>
      </c>
      <c r="AF316" s="36">
        <f>AF319-AF320+AF321</f>
        <v>8538.466</v>
      </c>
      <c r="AH316" s="36">
        <f>AH319-AH320+AH321</f>
        <v>7915.893</v>
      </c>
      <c r="AI316" s="36">
        <f>AI319-AI320+AI321</f>
        <v>1936.256</v>
      </c>
      <c r="AJ316" s="36" t="e">
        <f>AJ319-AJ320+AJ321</f>
        <v>#DIV/0!</v>
      </c>
      <c r="AK316" s="36" t="e">
        <f>AK319-AK320+AK321</f>
        <v>#DIV/0!</v>
      </c>
      <c r="AM316" s="36" t="e">
        <f>AM319-AM320+AM321</f>
        <v>#DIV/0!</v>
      </c>
      <c r="AN316" s="36" t="e">
        <f>AN319-AN320+AN321</f>
        <v>#DIV/0!</v>
      </c>
      <c r="AO316" s="36" t="e">
        <f>AO319-AO320+AO321</f>
        <v>#DIV/0!</v>
      </c>
      <c r="AP316" s="36" t="e">
        <f>AP319-AP320+AP321</f>
        <v>#DIV/0!</v>
      </c>
      <c r="AR316" s="36" t="e">
        <f>AR319-AR320+AR321</f>
        <v>#DIV/0!</v>
      </c>
      <c r="AS316" s="36" t="e">
        <f>AS319-AS320+AS321</f>
        <v>#DIV/0!</v>
      </c>
      <c r="AT316" s="36" t="e">
        <f>AT319-AT320+AT321</f>
        <v>#DIV/0!</v>
      </c>
      <c r="AU316" s="36" t="e">
        <f>AU319-AU320+AU321</f>
        <v>#DIV/0!</v>
      </c>
      <c r="AW316" s="36" t="e">
        <f>AW319-AW320+AW321</f>
        <v>#DIV/0!</v>
      </c>
      <c r="AX316" s="36" t="e">
        <f>AX319-AX320+AX321</f>
        <v>#DIV/0!</v>
      </c>
      <c r="AY316" s="36" t="e">
        <f>AY319-AY320+AY321</f>
        <v>#DIV/0!</v>
      </c>
      <c r="AZ316" s="36" t="e">
        <f>AZ319-AZ320+AZ321</f>
        <v>#DIV/0!</v>
      </c>
      <c r="BB316" s="36" t="e">
        <f>BB319-BB320+BB321</f>
        <v>#DIV/0!</v>
      </c>
      <c r="BC316" s="36" t="e">
        <f>BC319-BC320+BC321</f>
        <v>#DIV/0!</v>
      </c>
      <c r="BD316" s="36" t="e">
        <f>BD319-BD320+BD321</f>
        <v>#DIV/0!</v>
      </c>
      <c r="BE316" s="36" t="e">
        <f>BE319-BE320+BE321</f>
        <v>#DIV/0!</v>
      </c>
      <c r="BG316" s="36" t="e">
        <f>BG319-BG320+BG321</f>
        <v>#DIV/0!</v>
      </c>
      <c r="BH316" s="36" t="e">
        <f>BH319-BH320+BH321</f>
        <v>#DIV/0!</v>
      </c>
      <c r="BI316" s="36" t="e">
        <f>BI319-BI320+BI321</f>
        <v>#DIV/0!</v>
      </c>
      <c r="BJ316" s="36" t="e">
        <f>BJ319-BJ320+BJ321</f>
        <v>#DIV/0!</v>
      </c>
      <c r="BL316" s="36" t="e">
        <f>BL319-BL320+BL321</f>
        <v>#DIV/0!</v>
      </c>
      <c r="BM316" s="36" t="e">
        <f>BM319-BM320+BM321</f>
        <v>#DIV/0!</v>
      </c>
      <c r="BN316" s="36" t="e">
        <f>BN319-BN320+BN321</f>
        <v>#DIV/0!</v>
      </c>
      <c r="BO316" s="36" t="e">
        <f>BO319-BO320+BO321</f>
        <v>#DIV/0!</v>
      </c>
      <c r="BQ316" s="36" t="e">
        <f>BQ319-BQ320+BQ321</f>
        <v>#DIV/0!</v>
      </c>
      <c r="BR316" s="36" t="e">
        <f>BR319-BR320+BR321</f>
        <v>#DIV/0!</v>
      </c>
      <c r="BS316" s="36" t="e">
        <f>BS319-BS320+BS321</f>
        <v>#DIV/0!</v>
      </c>
      <c r="BT316" s="36" t="e">
        <f>BT319-BT320+BT321</f>
        <v>#DIV/0!</v>
      </c>
      <c r="BV316" s="36" t="e">
        <f>BV319-BV320+BV321</f>
        <v>#DIV/0!</v>
      </c>
      <c r="BW316" s="36" t="e">
        <f>BW319-BW320+BW321</f>
        <v>#DIV/0!</v>
      </c>
      <c r="BX316" s="36" t="e">
        <f>BX319-BX320+BX321</f>
        <v>#DIV/0!</v>
      </c>
      <c r="BY316" s="36" t="e">
        <f>BY319-BY320+BY321</f>
        <v>#DIV/0!</v>
      </c>
      <c r="CA316" s="36" t="e">
        <f>CA319-CA320+CA321</f>
        <v>#DIV/0!</v>
      </c>
      <c r="CB316" s="36" t="e">
        <f>CB319-CB320+CB321</f>
        <v>#DIV/0!</v>
      </c>
      <c r="CC316" s="36" t="e">
        <f>CC319-CC320+CC321</f>
        <v>#DIV/0!</v>
      </c>
      <c r="CD316" s="36" t="e">
        <f>CD319-CD320+CD321</f>
        <v>#DIV/0!</v>
      </c>
      <c r="CF316" s="36" t="e">
        <f>CF319-CF320+CF321</f>
        <v>#DIV/0!</v>
      </c>
      <c r="CG316" s="36" t="e">
        <f>CG319-CG320+CG321</f>
        <v>#DIV/0!</v>
      </c>
      <c r="CH316" s="36" t="e">
        <f>CH319-CH320+CH321</f>
        <v>#DIV/0!</v>
      </c>
      <c r="CI316" s="36" t="e">
        <f>CI319-CI320+CI321</f>
        <v>#DIV/0!</v>
      </c>
      <c r="CK316" s="36" t="e">
        <f>CK319-CK320+CK321</f>
        <v>#DIV/0!</v>
      </c>
      <c r="CL316" s="36" t="e">
        <f>CL319-CL320+CL321</f>
        <v>#DIV/0!</v>
      </c>
      <c r="CM316" s="36" t="e">
        <f>CM319-CM320+CM321</f>
        <v>#DIV/0!</v>
      </c>
      <c r="CN316" s="36" t="e">
        <f>CN319-CN320+CN321</f>
        <v>#DIV/0!</v>
      </c>
      <c r="CP316" s="36" t="e">
        <f>CP319-CP320+CP321</f>
        <v>#DIV/0!</v>
      </c>
      <c r="CQ316" s="36" t="e">
        <f>CQ319-CQ320+CQ321</f>
        <v>#DIV/0!</v>
      </c>
      <c r="CR316" s="36" t="e">
        <f>CR319-CR320+CR321</f>
        <v>#DIV/0!</v>
      </c>
      <c r="CS316" s="36" t="e">
        <f>CS319-CS320+CS321</f>
        <v>#DIV/0!</v>
      </c>
      <c r="CU316" s="36" t="e">
        <f>CU319-CU320+CU321</f>
        <v>#DIV/0!</v>
      </c>
      <c r="CV316" s="36" t="e">
        <f>CV319-CV320+CV321</f>
        <v>#DIV/0!</v>
      </c>
      <c r="CW316" s="36" t="e">
        <f>CW319-CW320+CW321</f>
        <v>#DIV/0!</v>
      </c>
      <c r="CX316" s="36" t="e">
        <f>CX319-CX320+CX321</f>
        <v>#DIV/0!</v>
      </c>
    </row>
    <row r="317" customFormat="1" s="233">
      <c r="A317" s="224" t="n"/>
      <c r="B317" s="224" t="n"/>
      <c r="C317" s="233" t="inlineStr">
        <is>
          <t>INVESTED CAPITAL - EX GOODWILL</t>
        </is>
      </c>
      <c r="D317" s="241">
        <f>D316-D145</f>
        <v>3593.52949176898</v>
      </c>
      <c r="E317" s="241">
        <f>E316-E145</f>
        <v>3572.85316214061</v>
      </c>
      <c r="F317" s="241">
        <f>F316-F145</f>
        <v>3636.28510844519</v>
      </c>
      <c r="G317" s="241">
        <f>G316-G145</f>
        <v>3763.54874188978</v>
      </c>
      <c r="I317" s="226">
        <f>I316-I145</f>
        <v>3698.22865287436</v>
      </c>
      <c r="J317" s="226">
        <f>J316-J145</f>
        <v>3803.47093300766</v>
      </c>
      <c r="K317" s="226">
        <f>K316-K145</f>
        <v>3927.93875460576</v>
      </c>
      <c r="L317" s="226">
        <f>L316-L145</f>
        <v>4296.18689035571</v>
      </c>
      <c r="N317" s="226">
        <f>N316-N145</f>
        <v>4406.54717391472</v>
      </c>
      <c r="O317" s="226">
        <f>O316-O145</f>
        <v>5117.80761064769</v>
      </c>
      <c r="P317" s="226">
        <f>P316-P145</f>
        <v>5113.06023613</v>
      </c>
      <c r="Q317" s="226">
        <f>Q316-Q145</f>
        <v>5301.54790451091</v>
      </c>
      <c r="S317" s="226">
        <f>S316-S145</f>
        <v>5446.16829724</v>
      </c>
      <c r="T317" s="226">
        <f>T316-T145</f>
        <v>8799.819</v>
      </c>
      <c r="U317" s="226">
        <f>U316-U145</f>
        <v>8652.161</v>
      </c>
      <c r="V317" s="226">
        <f>V316-V145</f>
        <v>8793.518</v>
      </c>
      <c r="X317" s="226">
        <f>X316-X145</f>
        <v>8902.85241873</v>
      </c>
      <c r="Y317" s="226">
        <f>Y316-Y145</f>
        <v>8917.644</v>
      </c>
      <c r="Z317" s="226">
        <f>Z316-Z145</f>
        <v>8742.136</v>
      </c>
      <c r="AA317" s="226">
        <f>AA316-AA145</f>
        <v>8810.318</v>
      </c>
      <c r="AC317" s="226">
        <f>AC316-AC145</f>
        <v>8750.95418481</v>
      </c>
      <c r="AD317" s="226">
        <f>AD316-AD145</f>
        <v>8927.725</v>
      </c>
      <c r="AE317" s="226">
        <f>AE316-AE145</f>
        <v>8799.583</v>
      </c>
      <c r="AF317" s="226">
        <f>AF316-AF145</f>
        <v>8538.466</v>
      </c>
      <c r="AH317" s="226">
        <f>AH316-AH145</f>
        <v>7915.893</v>
      </c>
      <c r="AI317" s="226">
        <f>AI316-AI145</f>
        <v>1936.256</v>
      </c>
      <c r="AJ317" s="226" t="e">
        <f>AJ316-AJ145</f>
        <v>#DIV/0!</v>
      </c>
      <c r="AK317" s="226" t="e">
        <f>AK316-AK145</f>
        <v>#DIV/0!</v>
      </c>
      <c r="AM317" s="226" t="e">
        <f>AM316-AM145</f>
        <v>#DIV/0!</v>
      </c>
      <c r="AN317" s="226" t="e">
        <f>AN316-AN145</f>
        <v>#DIV/0!</v>
      </c>
      <c r="AO317" s="226" t="e">
        <f>AO316-AO145</f>
        <v>#DIV/0!</v>
      </c>
      <c r="AP317" s="226" t="e">
        <f>AP316-AP145</f>
        <v>#DIV/0!</v>
      </c>
      <c r="AR317" s="226" t="e">
        <f>AR316-AR145</f>
        <v>#DIV/0!</v>
      </c>
      <c r="AS317" s="226" t="e">
        <f>AS316-AS145</f>
        <v>#DIV/0!</v>
      </c>
      <c r="AT317" s="226" t="e">
        <f>AT316-AT145</f>
        <v>#DIV/0!</v>
      </c>
      <c r="AU317" s="226" t="e">
        <f>AU316-AU145</f>
        <v>#DIV/0!</v>
      </c>
      <c r="AW317" s="226" t="e">
        <f>AW316-AW145</f>
        <v>#DIV/0!</v>
      </c>
      <c r="AX317" s="226" t="e">
        <f>AX316-AX145</f>
        <v>#DIV/0!</v>
      </c>
      <c r="AY317" s="226" t="e">
        <f>AY316-AY145</f>
        <v>#DIV/0!</v>
      </c>
      <c r="AZ317" s="226" t="e">
        <f>AZ316-AZ145</f>
        <v>#DIV/0!</v>
      </c>
      <c r="BB317" s="226" t="e">
        <f>BB316-BB145</f>
        <v>#DIV/0!</v>
      </c>
      <c r="BC317" s="226" t="e">
        <f>BC316-BC145</f>
        <v>#DIV/0!</v>
      </c>
      <c r="BD317" s="226" t="e">
        <f>BD316-BD145</f>
        <v>#DIV/0!</v>
      </c>
      <c r="BE317" s="226" t="e">
        <f>BE316-BE145</f>
        <v>#DIV/0!</v>
      </c>
      <c r="BG317" s="226" t="e">
        <f>BG316-BG145</f>
        <v>#DIV/0!</v>
      </c>
      <c r="BH317" s="226" t="e">
        <f>BH316-BH145</f>
        <v>#DIV/0!</v>
      </c>
      <c r="BI317" s="226" t="e">
        <f>BI316-BI145</f>
        <v>#DIV/0!</v>
      </c>
      <c r="BJ317" s="226" t="e">
        <f>BJ316-BJ145</f>
        <v>#DIV/0!</v>
      </c>
      <c r="BL317" s="226" t="e">
        <f>BL316-BL145</f>
        <v>#DIV/0!</v>
      </c>
      <c r="BM317" s="226" t="e">
        <f>BM316-BM145</f>
        <v>#DIV/0!</v>
      </c>
      <c r="BN317" s="226" t="e">
        <f>BN316-BN145</f>
        <v>#DIV/0!</v>
      </c>
      <c r="BO317" s="226" t="e">
        <f>BO316-BO145</f>
        <v>#DIV/0!</v>
      </c>
      <c r="BQ317" s="226" t="e">
        <f>BQ316-BQ145</f>
        <v>#DIV/0!</v>
      </c>
      <c r="BR317" s="226" t="e">
        <f>BR316-BR145</f>
        <v>#DIV/0!</v>
      </c>
      <c r="BS317" s="226" t="e">
        <f>BS316-BS145</f>
        <v>#DIV/0!</v>
      </c>
      <c r="BT317" s="226" t="e">
        <f>BT316-BT145</f>
        <v>#DIV/0!</v>
      </c>
      <c r="BV317" s="226" t="e">
        <f>BV316-BV145</f>
        <v>#DIV/0!</v>
      </c>
      <c r="BW317" s="226" t="e">
        <f>BW316-BW145</f>
        <v>#DIV/0!</v>
      </c>
      <c r="BX317" s="226" t="e">
        <f>BX316-BX145</f>
        <v>#DIV/0!</v>
      </c>
      <c r="BY317" s="226" t="e">
        <f>BY316-BY145</f>
        <v>#DIV/0!</v>
      </c>
      <c r="CA317" s="226" t="e">
        <f>CA316-CA145</f>
        <v>#DIV/0!</v>
      </c>
      <c r="CB317" s="226" t="e">
        <f>CB316-CB145</f>
        <v>#DIV/0!</v>
      </c>
      <c r="CC317" s="226" t="e">
        <f>CC316-CC145</f>
        <v>#DIV/0!</v>
      </c>
      <c r="CD317" s="226" t="e">
        <f>CD316-CD145</f>
        <v>#DIV/0!</v>
      </c>
      <c r="CF317" s="226" t="e">
        <f>CF316-CF145</f>
        <v>#DIV/0!</v>
      </c>
      <c r="CG317" s="226" t="e">
        <f>CG316-CG145</f>
        <v>#DIV/0!</v>
      </c>
      <c r="CH317" s="226" t="e">
        <f>CH316-CH145</f>
        <v>#DIV/0!</v>
      </c>
      <c r="CI317" s="226" t="e">
        <f>CI316-CI145</f>
        <v>#DIV/0!</v>
      </c>
      <c r="CK317" s="226" t="e">
        <f>CK316-CK145</f>
        <v>#DIV/0!</v>
      </c>
      <c r="CL317" s="226" t="e">
        <f>CL316-CL145</f>
        <v>#DIV/0!</v>
      </c>
      <c r="CM317" s="226" t="e">
        <f>CM316-CM145</f>
        <v>#DIV/0!</v>
      </c>
      <c r="CN317" s="226" t="e">
        <f>CN316-CN145</f>
        <v>#DIV/0!</v>
      </c>
      <c r="CP317" s="226" t="e">
        <f>CP316-CP145</f>
        <v>#DIV/0!</v>
      </c>
      <c r="CQ317" s="226" t="e">
        <f>CQ316-CQ145</f>
        <v>#DIV/0!</v>
      </c>
      <c r="CR317" s="226" t="e">
        <f>CR316-CR145</f>
        <v>#DIV/0!</v>
      </c>
      <c r="CS317" s="226" t="e">
        <f>CS316-CS145</f>
        <v>#DIV/0!</v>
      </c>
      <c r="CU317" s="226" t="e">
        <f>CU316-CU145</f>
        <v>#DIV/0!</v>
      </c>
      <c r="CV317" s="226" t="e">
        <f>CV316-CV145</f>
        <v>#DIV/0!</v>
      </c>
      <c r="CW317" s="226" t="e">
        <f>CW316-CW145</f>
        <v>#DIV/0!</v>
      </c>
      <c r="CX317" s="226" t="e">
        <f>CX316-CX145</f>
        <v>#DIV/0!</v>
      </c>
    </row>
    <row r="318" customFormat="1" s="233">
      <c r="A318" s="224" t="n"/>
      <c r="B318" s="224" t="n"/>
      <c r="C318" s="233" t="inlineStr">
        <is>
          <t>OPERATING WORKING CAPITAL</t>
        </is>
      </c>
      <c r="D318" s="242">
        <f>D319-D320</f>
        <v>119.9425375</v>
      </c>
      <c r="E318" s="242">
        <f>E319-E320</f>
        <v>133.503746570001</v>
      </c>
      <c r="F318" s="242">
        <f>F319-F320</f>
        <v>244.992391079997</v>
      </c>
      <c r="G318" s="242">
        <f>G319-G320</f>
        <v>381.8678146</v>
      </c>
      <c r="I318" s="36">
        <f>I319-I320</f>
        <v>354.86408335</v>
      </c>
      <c r="J318" s="36">
        <f>J319-J320</f>
        <v>331.43670401</v>
      </c>
      <c r="K318" s="36">
        <f>K319-K320</f>
        <v>347.08787805</v>
      </c>
      <c r="L318" s="36">
        <f>L319-L320</f>
        <v>268.399822183222</v>
      </c>
      <c r="N318" s="36">
        <f>N319-N320</f>
        <v>311.11637442</v>
      </c>
      <c r="O318" s="36">
        <f>O319-O320</f>
        <v>623.72240565</v>
      </c>
      <c r="P318" s="36">
        <f>P319-P320</f>
        <v>589.12994857</v>
      </c>
      <c r="Q318" s="36">
        <f>Q319-Q320</f>
        <v>432.2230245</v>
      </c>
      <c r="S318" s="36">
        <f>S319-S320</f>
        <v>576.22758507</v>
      </c>
      <c r="T318" s="36">
        <f>T319-T320</f>
        <v>714.827</v>
      </c>
      <c r="U318" s="36">
        <f>U319-U320</f>
        <v>681.141</v>
      </c>
      <c r="V318" s="36">
        <f>V319-V320</f>
        <v>807.326</v>
      </c>
      <c r="X318" s="36">
        <f>X319-X320</f>
        <v>957.342</v>
      </c>
      <c r="Y318" s="36">
        <f>Y319-Y320</f>
        <v>1020.043</v>
      </c>
      <c r="Z318" s="36">
        <f>Z319-Z320</f>
        <v>828.759</v>
      </c>
      <c r="AA318" s="36">
        <f>AA319-AA320</f>
        <v>809.327</v>
      </c>
      <c r="AC318" s="36">
        <f>AC319-AC320</f>
        <v>812.383772</v>
      </c>
      <c r="AD318" s="36">
        <f>AD319-AD320</f>
        <v>1081.024</v>
      </c>
      <c r="AE318" s="36">
        <f>AE319-AE320</f>
        <v>834.492</v>
      </c>
      <c r="AF318" s="36">
        <f>AF319-AF320</f>
        <v>575.287</v>
      </c>
      <c r="AH318" s="36">
        <f>AH319-AH320</f>
        <v>-47.286</v>
      </c>
      <c r="AI318" s="36">
        <f>AI319-AI320</f>
        <v>-47.286</v>
      </c>
      <c r="AJ318" s="36" t="e">
        <f>AJ319-AJ320</f>
        <v>#DIV/0!</v>
      </c>
      <c r="AK318" s="36" t="e">
        <f>AK319-AK320</f>
        <v>#DIV/0!</v>
      </c>
      <c r="AM318" s="36" t="e">
        <f>AM319-AM320</f>
        <v>#DIV/0!</v>
      </c>
      <c r="AN318" s="36" t="e">
        <f>AN319-AN320</f>
        <v>#DIV/0!</v>
      </c>
      <c r="AO318" s="36" t="e">
        <f>AO319-AO320</f>
        <v>#DIV/0!</v>
      </c>
      <c r="AP318" s="36" t="e">
        <f>AP319-AP320</f>
        <v>#DIV/0!</v>
      </c>
      <c r="AR318" s="36" t="e">
        <f>AR319-AR320</f>
        <v>#DIV/0!</v>
      </c>
      <c r="AS318" s="36" t="e">
        <f>AS319-AS320</f>
        <v>#DIV/0!</v>
      </c>
      <c r="AT318" s="36" t="e">
        <f>AT319-AT320</f>
        <v>#DIV/0!</v>
      </c>
      <c r="AU318" s="36" t="e">
        <f>AU319-AU320</f>
        <v>#DIV/0!</v>
      </c>
      <c r="AW318" s="36" t="e">
        <f>AW319-AW320</f>
        <v>#DIV/0!</v>
      </c>
      <c r="AX318" s="36" t="e">
        <f>AX319-AX320</f>
        <v>#DIV/0!</v>
      </c>
      <c r="AY318" s="36" t="e">
        <f>AY319-AY320</f>
        <v>#DIV/0!</v>
      </c>
      <c r="AZ318" s="36" t="e">
        <f>AZ319-AZ320</f>
        <v>#DIV/0!</v>
      </c>
      <c r="BB318" s="36" t="e">
        <f>BB319-BB320</f>
        <v>#DIV/0!</v>
      </c>
      <c r="BC318" s="36" t="e">
        <f>BC319-BC320</f>
        <v>#DIV/0!</v>
      </c>
      <c r="BD318" s="36" t="e">
        <f>BD319-BD320</f>
        <v>#DIV/0!</v>
      </c>
      <c r="BE318" s="36" t="e">
        <f>BE319-BE320</f>
        <v>#DIV/0!</v>
      </c>
      <c r="BG318" s="36" t="e">
        <f>BG319-BG320</f>
        <v>#DIV/0!</v>
      </c>
      <c r="BH318" s="36" t="e">
        <f>BH319-BH320</f>
        <v>#DIV/0!</v>
      </c>
      <c r="BI318" s="36" t="e">
        <f>BI319-BI320</f>
        <v>#DIV/0!</v>
      </c>
      <c r="BJ318" s="36" t="e">
        <f>BJ319-BJ320</f>
        <v>#DIV/0!</v>
      </c>
      <c r="BL318" s="36" t="e">
        <f>BL319-BL320</f>
        <v>#DIV/0!</v>
      </c>
      <c r="BM318" s="36" t="e">
        <f>BM319-BM320</f>
        <v>#DIV/0!</v>
      </c>
      <c r="BN318" s="36" t="e">
        <f>BN319-BN320</f>
        <v>#DIV/0!</v>
      </c>
      <c r="BO318" s="36" t="e">
        <f>BO319-BO320</f>
        <v>#DIV/0!</v>
      </c>
      <c r="BQ318" s="36" t="e">
        <f>BQ319-BQ320</f>
        <v>#DIV/0!</v>
      </c>
      <c r="BR318" s="36" t="e">
        <f>BR319-BR320</f>
        <v>#DIV/0!</v>
      </c>
      <c r="BS318" s="36" t="e">
        <f>BS319-BS320</f>
        <v>#DIV/0!</v>
      </c>
      <c r="BT318" s="36" t="e">
        <f>BT319-BT320</f>
        <v>#DIV/0!</v>
      </c>
      <c r="BV318" s="36" t="e">
        <f>BV319-BV320</f>
        <v>#DIV/0!</v>
      </c>
      <c r="BW318" s="36" t="e">
        <f>BW319-BW320</f>
        <v>#DIV/0!</v>
      </c>
      <c r="BX318" s="36" t="e">
        <f>BX319-BX320</f>
        <v>#DIV/0!</v>
      </c>
      <c r="BY318" s="36" t="e">
        <f>BY319-BY320</f>
        <v>#DIV/0!</v>
      </c>
      <c r="CA318" s="36" t="e">
        <f>CA319-CA320</f>
        <v>#DIV/0!</v>
      </c>
      <c r="CB318" s="36" t="e">
        <f>CB319-CB320</f>
        <v>#DIV/0!</v>
      </c>
      <c r="CC318" s="36" t="e">
        <f>CC319-CC320</f>
        <v>#DIV/0!</v>
      </c>
      <c r="CD318" s="36" t="e">
        <f>CD319-CD320</f>
        <v>#DIV/0!</v>
      </c>
      <c r="CF318" s="36" t="e">
        <f>CF319-CF320</f>
        <v>#DIV/0!</v>
      </c>
      <c r="CG318" s="36" t="e">
        <f>CG319-CG320</f>
        <v>#DIV/0!</v>
      </c>
      <c r="CH318" s="36" t="e">
        <f>CH319-CH320</f>
        <v>#DIV/0!</v>
      </c>
      <c r="CI318" s="36" t="e">
        <f>CI319-CI320</f>
        <v>#DIV/0!</v>
      </c>
      <c r="CK318" s="36" t="e">
        <f>CK319-CK320</f>
        <v>#DIV/0!</v>
      </c>
      <c r="CL318" s="36" t="e">
        <f>CL319-CL320</f>
        <v>#DIV/0!</v>
      </c>
      <c r="CM318" s="36" t="e">
        <f>CM319-CM320</f>
        <v>#DIV/0!</v>
      </c>
      <c r="CN318" s="36" t="e">
        <f>CN319-CN320</f>
        <v>#DIV/0!</v>
      </c>
      <c r="CP318" s="36" t="e">
        <f>CP319-CP320</f>
        <v>#DIV/0!</v>
      </c>
      <c r="CQ318" s="36" t="e">
        <f>CQ319-CQ320</f>
        <v>#DIV/0!</v>
      </c>
      <c r="CR318" s="36" t="e">
        <f>CR319-CR320</f>
        <v>#DIV/0!</v>
      </c>
      <c r="CS318" s="36" t="e">
        <f>CS319-CS320</f>
        <v>#DIV/0!</v>
      </c>
      <c r="CU318" s="36" t="e">
        <f>CU319-CU320</f>
        <v>#DIV/0!</v>
      </c>
      <c r="CV318" s="36" t="e">
        <f>CV319-CV320</f>
        <v>#DIV/0!</v>
      </c>
      <c r="CW318" s="36" t="e">
        <f>CW319-CW320</f>
        <v>#DIV/0!</v>
      </c>
      <c r="CX318" s="36" t="e">
        <f>CX319-CX320</f>
        <v>#DIV/0!</v>
      </c>
    </row>
    <row r="319" customFormat="1" s="233">
      <c r="A319" s="224" t="n"/>
      <c r="B319" s="224" t="n"/>
      <c r="C319" s="233" t="inlineStr">
        <is>
          <t>CURRENT ASSETS</t>
        </is>
      </c>
      <c r="D319" s="241">
        <f>D111+D115+D119+D120+D121</f>
        <v>694.1302917</v>
      </c>
      <c r="E319" s="241">
        <f>E111+E115+E119+E120+E121</f>
        <v>709.184626080001</v>
      </c>
      <c r="F319" s="241">
        <f>F111+F115+F119+F120+F121</f>
        <v>882.322137169997</v>
      </c>
      <c r="G319" s="241">
        <f>G111+G115+G119+G120+G121</f>
        <v>914.35065444</v>
      </c>
      <c r="I319" s="226">
        <f>I111+I115+I119+I120+I121</f>
        <v>962.18618155</v>
      </c>
      <c r="J319" s="226">
        <f>J111+J115+J119+J120+J121</f>
        <v>970.83438191</v>
      </c>
      <c r="K319" s="226">
        <f>K111+K115+K119+K120+K121</f>
        <v>1146.91508449</v>
      </c>
      <c r="L319" s="226">
        <f>L111+L115+L119+L120+L121</f>
        <v>970.571548633222</v>
      </c>
      <c r="N319" s="226">
        <f>N111+N115+N119+N120+N121</f>
        <v>1132.92106654</v>
      </c>
      <c r="O319" s="226">
        <f>O111+O115+O119+O120+O121</f>
        <v>1303.1286588</v>
      </c>
      <c r="P319" s="226">
        <f>P111+P115+P119+P120+P121</f>
        <v>1351.18575583</v>
      </c>
      <c r="Q319" s="226">
        <f>Q111+Q115+Q119+Q120+Q121</f>
        <v>1130.53817665</v>
      </c>
      <c r="S319" s="226">
        <f>S111+S115+S119+S120+S121</f>
        <v>1247.44707474</v>
      </c>
      <c r="T319" s="226">
        <f>T111+T115+T119+T120+T121</f>
        <v>1882.834</v>
      </c>
      <c r="U319" s="226">
        <f>U111+U115+U119+U120+U121</f>
        <v>1891.616</v>
      </c>
      <c r="V319" s="226">
        <f>V111+V115+V119+V120+V121</f>
        <v>1913.78</v>
      </c>
      <c r="X319" s="226">
        <f>X111+X115+X119+X120+X121</f>
        <v>2147.716</v>
      </c>
      <c r="Y319" s="226">
        <f>Y111+Y115+Y119+Y120+Y121</f>
        <v>2200.953</v>
      </c>
      <c r="Z319" s="226">
        <f>Z111+Z115+Z119+Z120+Z121</f>
        <v>2194.389</v>
      </c>
      <c r="AA319" s="226">
        <f>AA111+AA115+AA119+AA120+AA121</f>
        <v>2054.529</v>
      </c>
      <c r="AC319" s="226">
        <f>AC111+AC115+AC119+AC120+AC121</f>
        <v>2224.54969</v>
      </c>
      <c r="AD319" s="226">
        <f>AD111+AD115+AD119+AD120+AD121</f>
        <v>2295.057</v>
      </c>
      <c r="AE319" s="226">
        <f>AE111+AE115+AE119+AE120+AE121</f>
        <v>2363.468</v>
      </c>
      <c r="AF319" s="226">
        <f>AF111+AF115+AF119+AF120+AF121</f>
        <v>2270.132</v>
      </c>
      <c r="AH319" s="226">
        <f>AH111+AH115+AH119+AH120+AH121</f>
        <v>342.264</v>
      </c>
      <c r="AI319" s="226">
        <f>AI111+AI115+AI119+AI120+AI121</f>
        <v>342.264</v>
      </c>
      <c r="AJ319" s="226">
        <f>AJ111+AJ115+AJ119+AJ120+AJ121</f>
        <v>342.264</v>
      </c>
      <c r="AK319" s="226">
        <f>AK111+AK115+AK119+AK120+AK121</f>
        <v>342.264</v>
      </c>
      <c r="AM319" s="226">
        <f>AM111+AM115+AM119+AM120+AM121</f>
        <v>342.264</v>
      </c>
      <c r="AN319" s="226">
        <f>AN111+AN115+AN119+AN120+AN121</f>
        <v>342.264</v>
      </c>
      <c r="AO319" s="226">
        <f>AO111+AO115+AO119+AO120+AO121</f>
        <v>342.264</v>
      </c>
      <c r="AP319" s="226">
        <f>AP111+AP115+AP119+AP120+AP121</f>
        <v>342.264</v>
      </c>
      <c r="AR319" s="226">
        <f>AR111+AR115+AR119+AR120+AR121</f>
        <v>342.264</v>
      </c>
      <c r="AS319" s="226">
        <f>AS111+AS115+AS119+AS120+AS121</f>
        <v>342.264</v>
      </c>
      <c r="AT319" s="226">
        <f>AT111+AT115+AT119+AT120+AT121</f>
        <v>342.264</v>
      </c>
      <c r="AU319" s="226">
        <f>AU111+AU115+AU119+AU120+AU121</f>
        <v>342.264</v>
      </c>
      <c r="AW319" s="226">
        <f>AW111+AW115+AW119+AW120+AW121</f>
        <v>342.264</v>
      </c>
      <c r="AX319" s="226">
        <f>AX111+AX115+AX119+AX120+AX121</f>
        <v>342.264</v>
      </c>
      <c r="AY319" s="226">
        <f>AY111+AY115+AY119+AY120+AY121</f>
        <v>342.264</v>
      </c>
      <c r="AZ319" s="226">
        <f>AZ111+AZ115+AZ119+AZ120+AZ121</f>
        <v>342.264</v>
      </c>
      <c r="BB319" s="226">
        <f>BB111+BB115+BB119+BB120+BB121</f>
        <v>342.264</v>
      </c>
      <c r="BC319" s="226">
        <f>BC111+BC115+BC119+BC120+BC121</f>
        <v>342.264</v>
      </c>
      <c r="BD319" s="226">
        <f>BD111+BD115+BD119+BD120+BD121</f>
        <v>342.264</v>
      </c>
      <c r="BE319" s="226">
        <f>BE111+BE115+BE119+BE120+BE121</f>
        <v>342.264</v>
      </c>
      <c r="BG319" s="226">
        <f>BG111+BG115+BG119+BG120+BG121</f>
        <v>342.264</v>
      </c>
      <c r="BH319" s="226">
        <f>BH111+BH115+BH119+BH120+BH121</f>
        <v>342.264</v>
      </c>
      <c r="BI319" s="226">
        <f>BI111+BI115+BI119+BI120+BI121</f>
        <v>342.264</v>
      </c>
      <c r="BJ319" s="226">
        <f>BJ111+BJ115+BJ119+BJ120+BJ121</f>
        <v>342.264</v>
      </c>
      <c r="BL319" s="226">
        <f>BL111+BL115+BL119+BL120+BL121</f>
        <v>342.264</v>
      </c>
      <c r="BM319" s="226">
        <f>BM111+BM115+BM119+BM120+BM121</f>
        <v>342.264</v>
      </c>
      <c r="BN319" s="226">
        <f>BN111+BN115+BN119+BN120+BN121</f>
        <v>342.264</v>
      </c>
      <c r="BO319" s="226">
        <f>BO111+BO115+BO119+BO120+BO121</f>
        <v>342.264</v>
      </c>
      <c r="BQ319" s="226">
        <f>BQ111+BQ115+BQ119+BQ120+BQ121</f>
        <v>342.264</v>
      </c>
      <c r="BR319" s="226">
        <f>BR111+BR115+BR119+BR120+BR121</f>
        <v>342.264</v>
      </c>
      <c r="BS319" s="226">
        <f>BS111+BS115+BS119+BS120+BS121</f>
        <v>342.264</v>
      </c>
      <c r="BT319" s="226">
        <f>BT111+BT115+BT119+BT120+BT121</f>
        <v>342.264</v>
      </c>
      <c r="BV319" s="226">
        <f>BV111+BV115+BV119+BV120+BV121</f>
        <v>342.264</v>
      </c>
      <c r="BW319" s="226">
        <f>BW111+BW115+BW119+BW120+BW121</f>
        <v>342.264</v>
      </c>
      <c r="BX319" s="226">
        <f>BX111+BX115+BX119+BX120+BX121</f>
        <v>342.264</v>
      </c>
      <c r="BY319" s="226">
        <f>BY111+BY115+BY119+BY120+BY121</f>
        <v>342.264</v>
      </c>
      <c r="CA319" s="226">
        <f>CA111+CA115+CA119+CA120+CA121</f>
        <v>342.264</v>
      </c>
      <c r="CB319" s="226">
        <f>CB111+CB115+CB119+CB120+CB121</f>
        <v>342.264</v>
      </c>
      <c r="CC319" s="226">
        <f>CC111+CC115+CC119+CC120+CC121</f>
        <v>342.264</v>
      </c>
      <c r="CD319" s="226">
        <f>CD111+CD115+CD119+CD120+CD121</f>
        <v>342.264</v>
      </c>
      <c r="CF319" s="226">
        <f>CF111+CF115+CF119+CF120+CF121</f>
        <v>342.264</v>
      </c>
      <c r="CG319" s="226">
        <f>CG111+CG115+CG119+CG120+CG121</f>
        <v>342.264</v>
      </c>
      <c r="CH319" s="226">
        <f>CH111+CH115+CH119+CH120+CH121</f>
        <v>342.264</v>
      </c>
      <c r="CI319" s="226">
        <f>CI111+CI115+CI119+CI120+CI121</f>
        <v>342.264</v>
      </c>
      <c r="CK319" s="226">
        <f>CK111+CK115+CK119+CK120+CK121</f>
        <v>342.264</v>
      </c>
      <c r="CL319" s="226">
        <f>CL111+CL115+CL119+CL120+CL121</f>
        <v>342.264</v>
      </c>
      <c r="CM319" s="226">
        <f>CM111+CM115+CM119+CM120+CM121</f>
        <v>342.264</v>
      </c>
      <c r="CN319" s="226">
        <f>CN111+CN115+CN119+CN120+CN121</f>
        <v>342.264</v>
      </c>
      <c r="CP319" s="226">
        <f>CP111+CP115+CP119+CP120+CP121</f>
        <v>342.264</v>
      </c>
      <c r="CQ319" s="226">
        <f>CQ111+CQ115+CQ119+CQ120+CQ121</f>
        <v>342.264</v>
      </c>
      <c r="CR319" s="226">
        <f>CR111+CR115+CR119+CR120+CR121</f>
        <v>342.264</v>
      </c>
      <c r="CS319" s="226">
        <f>CS111+CS115+CS119+CS120+CS121</f>
        <v>342.264</v>
      </c>
      <c r="CU319" s="226">
        <f>CU111+CU115+CU119+CU120+CU121</f>
        <v>342.264</v>
      </c>
      <c r="CV319" s="226">
        <f>CV111+CV115+CV119+CV120+CV121</f>
        <v>342.264</v>
      </c>
      <c r="CW319" s="226">
        <f>CW111+CW115+CW119+CW120+CW121</f>
        <v>342.264</v>
      </c>
      <c r="CX319" s="226">
        <f>CX111+CX115+CX119+CX120+CX121</f>
        <v>342.264</v>
      </c>
    </row>
    <row r="320" customFormat="1" s="233">
      <c r="A320" s="224" t="n"/>
      <c r="B320" s="224" t="n"/>
      <c r="C320" s="233" t="inlineStr">
        <is>
          <t>CURRENT LIABILITIES</t>
        </is>
      </c>
      <c r="D320" s="241">
        <f>D164+D168+D170+D171</f>
        <v>574.1877542</v>
      </c>
      <c r="E320" s="241">
        <f>E164+E168+E170+E171</f>
        <v>575.68087951</v>
      </c>
      <c r="F320" s="241">
        <f>F164+F168+F170+F171</f>
        <v>637.32974609</v>
      </c>
      <c r="G320" s="241">
        <f>G164+G168+G170+G171</f>
        <v>532.48283984</v>
      </c>
      <c r="I320" s="226">
        <f>I164+I168+I170+I171</f>
        <v>607.3220982</v>
      </c>
      <c r="J320" s="226">
        <f>J164+J168+J170+J171</f>
        <v>639.3976779</v>
      </c>
      <c r="K320" s="226">
        <f>K164+K168+K170+K171</f>
        <v>799.82720644</v>
      </c>
      <c r="L320" s="226">
        <f>L164+L168+L170+L171</f>
        <v>702.17172645</v>
      </c>
      <c r="N320" s="226">
        <f>N164+N168+N170+N171</f>
        <v>821.80469212</v>
      </c>
      <c r="O320" s="226">
        <f>O164+O168+O170+O171</f>
        <v>679.40625315</v>
      </c>
      <c r="P320" s="226">
        <f>P164+P168+P170+P171</f>
        <v>762.05580726</v>
      </c>
      <c r="Q320" s="226">
        <f>Q164+Q168+Q170+Q171</f>
        <v>698.31515215</v>
      </c>
      <c r="S320" s="226">
        <f>S164+S168+S170+S171</f>
        <v>671.21948967</v>
      </c>
      <c r="T320" s="226">
        <f>T164+T168+T170+T171</f>
        <v>1168.007</v>
      </c>
      <c r="U320" s="226">
        <f>U164+U168+U170+U171</f>
        <v>1210.475</v>
      </c>
      <c r="V320" s="226">
        <f>V164+V168+V170+V171</f>
        <v>1106.454</v>
      </c>
      <c r="X320" s="226">
        <f>X164+X168+X170+X171</f>
        <v>1190.374</v>
      </c>
      <c r="Y320" s="226">
        <f>Y164+Y168+Y170+Y171</f>
        <v>1180.91</v>
      </c>
      <c r="Z320" s="226">
        <f>Z164+Z168+Z170+Z171</f>
        <v>1365.63</v>
      </c>
      <c r="AA320" s="226">
        <f>AA164+AA168+AA170+AA171</f>
        <v>1245.202</v>
      </c>
      <c r="AC320" s="226">
        <f>AC164+AC168+AC170+AC171</f>
        <v>1412.165918</v>
      </c>
      <c r="AD320" s="226">
        <f>AD164+AD168+AD170+AD171</f>
        <v>1214.033</v>
      </c>
      <c r="AE320" s="226">
        <f>AE164+AE168+AE170+AE171</f>
        <v>1528.976</v>
      </c>
      <c r="AF320" s="226">
        <f>AF164+AF168+AF170+AF171</f>
        <v>1694.845</v>
      </c>
      <c r="AH320" s="226">
        <f>AH164+AH168+AH170+AH171</f>
        <v>389.55</v>
      </c>
      <c r="AI320" s="226">
        <f>AI164+AI168+AI170+AI171</f>
        <v>389.55</v>
      </c>
      <c r="AJ320" s="226" t="e">
        <f>AJ164+AJ168+AJ170+AJ171</f>
        <v>#DIV/0!</v>
      </c>
      <c r="AK320" s="226" t="e">
        <f>AK164+AK168+AK170+AK171</f>
        <v>#DIV/0!</v>
      </c>
      <c r="AM320" s="226" t="e">
        <f>AM164+AM168+AM170+AM171</f>
        <v>#DIV/0!</v>
      </c>
      <c r="AN320" s="226" t="e">
        <f>AN164+AN168+AN170+AN171</f>
        <v>#DIV/0!</v>
      </c>
      <c r="AO320" s="226" t="e">
        <f>AO164+AO168+AO170+AO171</f>
        <v>#DIV/0!</v>
      </c>
      <c r="AP320" s="226" t="e">
        <f>AP164+AP168+AP170+AP171</f>
        <v>#DIV/0!</v>
      </c>
      <c r="AR320" s="226" t="e">
        <f>AR164+AR168+AR170+AR171</f>
        <v>#DIV/0!</v>
      </c>
      <c r="AS320" s="226" t="e">
        <f>AS164+AS168+AS170+AS171</f>
        <v>#DIV/0!</v>
      </c>
      <c r="AT320" s="226" t="e">
        <f>AT164+AT168+AT170+AT171</f>
        <v>#DIV/0!</v>
      </c>
      <c r="AU320" s="226" t="e">
        <f>AU164+AU168+AU170+AU171</f>
        <v>#DIV/0!</v>
      </c>
      <c r="AW320" s="226" t="e">
        <f>AW164+AW168+AW170+AW171</f>
        <v>#DIV/0!</v>
      </c>
      <c r="AX320" s="226" t="e">
        <f>AX164+AX168+AX170+AX171</f>
        <v>#DIV/0!</v>
      </c>
      <c r="AY320" s="226" t="e">
        <f>AY164+AY168+AY170+AY171</f>
        <v>#DIV/0!</v>
      </c>
      <c r="AZ320" s="226" t="e">
        <f>AZ164+AZ168+AZ170+AZ171</f>
        <v>#DIV/0!</v>
      </c>
      <c r="BB320" s="226" t="e">
        <f>BB164+BB168+BB170+BB171</f>
        <v>#DIV/0!</v>
      </c>
      <c r="BC320" s="226" t="e">
        <f>BC164+BC168+BC170+BC171</f>
        <v>#DIV/0!</v>
      </c>
      <c r="BD320" s="226" t="e">
        <f>BD164+BD168+BD170+BD171</f>
        <v>#DIV/0!</v>
      </c>
      <c r="BE320" s="226" t="e">
        <f>BE164+BE168+BE170+BE171</f>
        <v>#DIV/0!</v>
      </c>
      <c r="BG320" s="226" t="e">
        <f>BG164+BG168+BG170+BG171</f>
        <v>#DIV/0!</v>
      </c>
      <c r="BH320" s="226" t="e">
        <f>BH164+BH168+BH170+BH171</f>
        <v>#DIV/0!</v>
      </c>
      <c r="BI320" s="226" t="e">
        <f>BI164+BI168+BI170+BI171</f>
        <v>#DIV/0!</v>
      </c>
      <c r="BJ320" s="226" t="e">
        <f>BJ164+BJ168+BJ170+BJ171</f>
        <v>#DIV/0!</v>
      </c>
      <c r="BL320" s="226" t="e">
        <f>BL164+BL168+BL170+BL171</f>
        <v>#DIV/0!</v>
      </c>
      <c r="BM320" s="226" t="e">
        <f>BM164+BM168+BM170+BM171</f>
        <v>#DIV/0!</v>
      </c>
      <c r="BN320" s="226" t="e">
        <f>BN164+BN168+BN170+BN171</f>
        <v>#DIV/0!</v>
      </c>
      <c r="BO320" s="226" t="e">
        <f>BO164+BO168+BO170+BO171</f>
        <v>#DIV/0!</v>
      </c>
      <c r="BQ320" s="226" t="e">
        <f>BQ164+BQ168+BQ170+BQ171</f>
        <v>#DIV/0!</v>
      </c>
      <c r="BR320" s="226" t="e">
        <f>BR164+BR168+BR170+BR171</f>
        <v>#DIV/0!</v>
      </c>
      <c r="BS320" s="226" t="e">
        <f>BS164+BS168+BS170+BS171</f>
        <v>#DIV/0!</v>
      </c>
      <c r="BT320" s="226" t="e">
        <f>BT164+BT168+BT170+BT171</f>
        <v>#DIV/0!</v>
      </c>
      <c r="BV320" s="226" t="e">
        <f>BV164+BV168+BV170+BV171</f>
        <v>#DIV/0!</v>
      </c>
      <c r="BW320" s="226" t="e">
        <f>BW164+BW168+BW170+BW171</f>
        <v>#DIV/0!</v>
      </c>
      <c r="BX320" s="226" t="e">
        <f>BX164+BX168+BX170+BX171</f>
        <v>#DIV/0!</v>
      </c>
      <c r="BY320" s="226" t="e">
        <f>BY164+BY168+BY170+BY171</f>
        <v>#DIV/0!</v>
      </c>
      <c r="CA320" s="226" t="e">
        <f>CA164+CA168+CA170+CA171</f>
        <v>#DIV/0!</v>
      </c>
      <c r="CB320" s="226" t="e">
        <f>CB164+CB168+CB170+CB171</f>
        <v>#DIV/0!</v>
      </c>
      <c r="CC320" s="226" t="e">
        <f>CC164+CC168+CC170+CC171</f>
        <v>#DIV/0!</v>
      </c>
      <c r="CD320" s="226" t="e">
        <f>CD164+CD168+CD170+CD171</f>
        <v>#DIV/0!</v>
      </c>
      <c r="CF320" s="226" t="e">
        <f>CF164+CF168+CF170+CF171</f>
        <v>#DIV/0!</v>
      </c>
      <c r="CG320" s="226" t="e">
        <f>CG164+CG168+CG170+CG171</f>
        <v>#DIV/0!</v>
      </c>
      <c r="CH320" s="226" t="e">
        <f>CH164+CH168+CH170+CH171</f>
        <v>#DIV/0!</v>
      </c>
      <c r="CI320" s="226" t="e">
        <f>CI164+CI168+CI170+CI171</f>
        <v>#DIV/0!</v>
      </c>
      <c r="CK320" s="226" t="e">
        <f>CK164+CK168+CK170+CK171</f>
        <v>#DIV/0!</v>
      </c>
      <c r="CL320" s="226" t="e">
        <f>CL164+CL168+CL170+CL171</f>
        <v>#DIV/0!</v>
      </c>
      <c r="CM320" s="226" t="e">
        <f>CM164+CM168+CM170+CM171</f>
        <v>#DIV/0!</v>
      </c>
      <c r="CN320" s="226" t="e">
        <f>CN164+CN168+CN170+CN171</f>
        <v>#DIV/0!</v>
      </c>
      <c r="CP320" s="226" t="e">
        <f>CP164+CP168+CP170+CP171</f>
        <v>#DIV/0!</v>
      </c>
      <c r="CQ320" s="226" t="e">
        <f>CQ164+CQ168+CQ170+CQ171</f>
        <v>#DIV/0!</v>
      </c>
      <c r="CR320" s="226" t="e">
        <f>CR164+CR168+CR170+CR171</f>
        <v>#DIV/0!</v>
      </c>
      <c r="CS320" s="226" t="e">
        <f>CS164+CS168+CS170+CS171</f>
        <v>#DIV/0!</v>
      </c>
      <c r="CU320" s="226" t="e">
        <f>CU164+CU168+CU170+CU171</f>
        <v>#DIV/0!</v>
      </c>
      <c r="CV320" s="226" t="e">
        <f>CV164+CV168+CV170+CV171</f>
        <v>#DIV/0!</v>
      </c>
      <c r="CW320" s="226" t="e">
        <f>CW164+CW168+CW170+CW171</f>
        <v>#DIV/0!</v>
      </c>
      <c r="CX320" s="226" t="e">
        <f>CX164+CX168+CX170+CX171</f>
        <v>#DIV/0!</v>
      </c>
    </row>
    <row r="321" customFormat="1" s="233">
      <c r="A321" s="224" t="n"/>
      <c r="B321" s="224" t="n"/>
      <c r="C321" s="233" t="inlineStr">
        <is>
          <t>FIXED ASSETS</t>
        </is>
      </c>
      <c r="D321" s="241">
        <f>D132+D142+D145+D146+D155-D206</f>
        <v>3473.58695426898</v>
      </c>
      <c r="E321" s="241">
        <f>E132+E142+E145+E146+E155-E206</f>
        <v>3439.34941557061</v>
      </c>
      <c r="F321" s="241">
        <f>F132+F142+F145+F146+F155-F206</f>
        <v>3391.29271736519</v>
      </c>
      <c r="G321" s="241">
        <f>G132+G142+G145+G146+G155-G206</f>
        <v>3381.68092728978</v>
      </c>
      <c r="I321" s="226">
        <f>I132+I142+I145+I146+I155-I206</f>
        <v>3343.36456952436</v>
      </c>
      <c r="J321" s="226">
        <f>J132+J142+J145+J146+J155-J206</f>
        <v>3472.03422899766</v>
      </c>
      <c r="K321" s="226">
        <f>K132+K142+K145+K146+K155-K206</f>
        <v>3580.85087655576</v>
      </c>
      <c r="L321" s="226">
        <f>L132+L142+L145+L146+L155-L206</f>
        <v>4027.78706817249</v>
      </c>
      <c r="N321" s="226">
        <f>N132+N142+N145+N146+N155-N206</f>
        <v>4095.43079949472</v>
      </c>
      <c r="O321" s="226">
        <f>O132+O142+O145+O146+O155-O206</f>
        <v>4494.08520499769</v>
      </c>
      <c r="P321" s="226">
        <f>P132+P142+P145+P146+P155-P206</f>
        <v>4523.93028756</v>
      </c>
      <c r="Q321" s="226">
        <f>Q132+Q142+Q145+Q146+Q155-Q206</f>
        <v>4869.32488001091</v>
      </c>
      <c r="S321" s="226">
        <f>S132+S142+S145+S146+S155-S206</f>
        <v>4869.94071217</v>
      </c>
      <c r="T321" s="226">
        <f>T132+T142+T145+T146+T155-T206</f>
        <v>8084.992</v>
      </c>
      <c r="U321" s="226">
        <f>U132+U142+U145+U146+U155-U206</f>
        <v>7971.02</v>
      </c>
      <c r="V321" s="226">
        <f>V132+V142+V145+V146+V155-V206</f>
        <v>7986.192</v>
      </c>
      <c r="X321" s="226">
        <f>X132+X142+X145+X146+X155-X206</f>
        <v>7945.51041873</v>
      </c>
      <c r="Y321" s="226">
        <f>Y132+Y142+Y145+Y146+Y155-Y206</f>
        <v>7897.601</v>
      </c>
      <c r="Z321" s="226">
        <f>Z132+Z142+Z145+Z146+Z155-Z206</f>
        <v>7913.377</v>
      </c>
      <c r="AA321" s="226">
        <f>AA132+AA142+AA145+AA146+AA155-AA206</f>
        <v>8000.991</v>
      </c>
      <c r="AC321" s="226">
        <f>AC132+AC142+AC145+AC146+AC155-AC206</f>
        <v>7938.57041281</v>
      </c>
      <c r="AD321" s="226">
        <f>AD132+AD142+AD145+AD146+AD155-AD206</f>
        <v>7846.701</v>
      </c>
      <c r="AE321" s="226">
        <f>AE132+AE142+AE145+AE146+AE155-AE206</f>
        <v>7965.091</v>
      </c>
      <c r="AF321" s="226">
        <f>AF132+AF142+AF145+AF146+AF155-AF206</f>
        <v>7963.179</v>
      </c>
      <c r="AH321" s="226">
        <f>AH132+AH142+AH145+AH146+AH155-AH206</f>
        <v>7963.179</v>
      </c>
      <c r="AI321" s="226">
        <f>AI132+AI142+AI145+AI146+AI155-AI206</f>
        <v>1983.542</v>
      </c>
      <c r="AJ321" s="226">
        <f>AJ132+AJ142+AJ145+AJ146+AJ155-AJ206</f>
        <v>1983.542</v>
      </c>
      <c r="AK321" s="226">
        <f>AK132+AK142+AK145+AK146+AK155-AK206</f>
        <v>1983.542</v>
      </c>
      <c r="AM321" s="226">
        <f>AM132+AM142+AM145+AM146+AM155-AM206</f>
        <v>1983.542</v>
      </c>
      <c r="AN321" s="226">
        <f>AN132+AN142+AN145+AN146+AN155-AN206</f>
        <v>1983.542</v>
      </c>
      <c r="AO321" s="226">
        <f>AO132+AO142+AO145+AO146+AO155-AO206</f>
        <v>1983.542</v>
      </c>
      <c r="AP321" s="226">
        <f>AP132+AP142+AP145+AP146+AP155-AP206</f>
        <v>1983.542</v>
      </c>
      <c r="AR321" s="226">
        <f>AR132+AR142+AR145+AR146+AR155-AR206</f>
        <v>1983.542</v>
      </c>
      <c r="AS321" s="226">
        <f>AS132+AS142+AS145+AS146+AS155-AS206</f>
        <v>1983.542</v>
      </c>
      <c r="AT321" s="226">
        <f>AT132+AT142+AT145+AT146+AT155-AT206</f>
        <v>1983.542</v>
      </c>
      <c r="AU321" s="226">
        <f>AU132+AU142+AU145+AU146+AU155-AU206</f>
        <v>1983.542</v>
      </c>
      <c r="AW321" s="226">
        <f>AW132+AW142+AW145+AW146+AW155-AW206</f>
        <v>1983.542</v>
      </c>
      <c r="AX321" s="226">
        <f>AX132+AX142+AX145+AX146+AX155-AX206</f>
        <v>1983.542</v>
      </c>
      <c r="AY321" s="226">
        <f>AY132+AY142+AY145+AY146+AY155-AY206</f>
        <v>1983.542</v>
      </c>
      <c r="AZ321" s="226">
        <f>AZ132+AZ142+AZ145+AZ146+AZ155-AZ206</f>
        <v>1983.542</v>
      </c>
      <c r="BB321" s="226">
        <f>BB132+BB142+BB145+BB146+BB155-BB206</f>
        <v>1983.542</v>
      </c>
      <c r="BC321" s="226">
        <f>BC132+BC142+BC145+BC146+BC155-BC206</f>
        <v>1983.542</v>
      </c>
      <c r="BD321" s="226">
        <f>BD132+BD142+BD145+BD146+BD155-BD206</f>
        <v>1983.542</v>
      </c>
      <c r="BE321" s="226">
        <f>BE132+BE142+BE145+BE146+BE155-BE206</f>
        <v>1983.542</v>
      </c>
      <c r="BG321" s="226">
        <f>BG132+BG142+BG145+BG146+BG155-BG206</f>
        <v>1983.542</v>
      </c>
      <c r="BH321" s="226">
        <f>BH132+BH142+BH145+BH146+BH155-BH206</f>
        <v>1983.542</v>
      </c>
      <c r="BI321" s="226">
        <f>BI132+BI142+BI145+BI146+BI155-BI206</f>
        <v>1983.542</v>
      </c>
      <c r="BJ321" s="226">
        <f>BJ132+BJ142+BJ145+BJ146+BJ155-BJ206</f>
        <v>1983.542</v>
      </c>
      <c r="BL321" s="226">
        <f>BL132+BL142+BL145+BL146+BL155-BL206</f>
        <v>1983.542</v>
      </c>
      <c r="BM321" s="226">
        <f>BM132+BM142+BM145+BM146+BM155-BM206</f>
        <v>1983.542</v>
      </c>
      <c r="BN321" s="226">
        <f>BN132+BN142+BN145+BN146+BN155-BN206</f>
        <v>1983.542</v>
      </c>
      <c r="BO321" s="226">
        <f>BO132+BO142+BO145+BO146+BO155-BO206</f>
        <v>1983.542</v>
      </c>
      <c r="BQ321" s="226">
        <f>BQ132+BQ142+BQ145+BQ146+BQ155-BQ206</f>
        <v>1983.542</v>
      </c>
      <c r="BR321" s="226">
        <f>BR132+BR142+BR145+BR146+BR155-BR206</f>
        <v>1983.542</v>
      </c>
      <c r="BS321" s="226">
        <f>BS132+BS142+BS145+BS146+BS155-BS206</f>
        <v>1983.542</v>
      </c>
      <c r="BT321" s="226">
        <f>BT132+BT142+BT145+BT146+BT155-BT206</f>
        <v>1983.542</v>
      </c>
      <c r="BV321" s="226">
        <f>BV132+BV142+BV145+BV146+BV155-BV206</f>
        <v>1983.542</v>
      </c>
      <c r="BW321" s="226">
        <f>BW132+BW142+BW145+BW146+BW155-BW206</f>
        <v>1983.542</v>
      </c>
      <c r="BX321" s="226">
        <f>BX132+BX142+BX145+BX146+BX155-BX206</f>
        <v>1983.542</v>
      </c>
      <c r="BY321" s="226">
        <f>BY132+BY142+BY145+BY146+BY155-BY206</f>
        <v>1983.542</v>
      </c>
      <c r="CA321" s="226">
        <f>CA132+CA142+CA145+CA146+CA155-CA206</f>
        <v>1983.542</v>
      </c>
      <c r="CB321" s="226">
        <f>CB132+CB142+CB145+CB146+CB155-CB206</f>
        <v>1983.542</v>
      </c>
      <c r="CC321" s="226">
        <f>CC132+CC142+CC145+CC146+CC155-CC206</f>
        <v>1983.542</v>
      </c>
      <c r="CD321" s="226">
        <f>CD132+CD142+CD145+CD146+CD155-CD206</f>
        <v>1983.542</v>
      </c>
      <c r="CF321" s="226">
        <f>CF132+CF142+CF145+CF146+CF155-CF206</f>
        <v>1983.542</v>
      </c>
      <c r="CG321" s="226">
        <f>CG132+CG142+CG145+CG146+CG155-CG206</f>
        <v>1983.542</v>
      </c>
      <c r="CH321" s="226">
        <f>CH132+CH142+CH145+CH146+CH155-CH206</f>
        <v>1983.542</v>
      </c>
      <c r="CI321" s="226">
        <f>CI132+CI142+CI145+CI146+CI155-CI206</f>
        <v>1983.542</v>
      </c>
      <c r="CK321" s="226">
        <f>CK132+CK142+CK145+CK146+CK155-CK206</f>
        <v>1983.542</v>
      </c>
      <c r="CL321" s="226">
        <f>CL132+CL142+CL145+CL146+CL155-CL206</f>
        <v>1983.542</v>
      </c>
      <c r="CM321" s="226">
        <f>CM132+CM142+CM145+CM146+CM155-CM206</f>
        <v>1983.542</v>
      </c>
      <c r="CN321" s="226">
        <f>CN132+CN142+CN145+CN146+CN155-CN206</f>
        <v>1983.542</v>
      </c>
      <c r="CP321" s="226">
        <f>CP132+CP142+CP145+CP146+CP155-CP206</f>
        <v>1983.542</v>
      </c>
      <c r="CQ321" s="226">
        <f>CQ132+CQ142+CQ145+CQ146+CQ155-CQ206</f>
        <v>1983.542</v>
      </c>
      <c r="CR321" s="226">
        <f>CR132+CR142+CR145+CR146+CR155-CR206</f>
        <v>1983.542</v>
      </c>
      <c r="CS321" s="226">
        <f>CS132+CS142+CS145+CS146+CS155-CS206</f>
        <v>1983.542</v>
      </c>
      <c r="CU321" s="226">
        <f>CU132+CU142+CU145+CU146+CU155-CU206</f>
        <v>1983.542</v>
      </c>
      <c r="CV321" s="226">
        <f>CV132+CV142+CV145+CV146+CV155-CV206</f>
        <v>1983.542</v>
      </c>
      <c r="CW321" s="226">
        <f>CW132+CW142+CW145+CW146+CW155-CW206</f>
        <v>1983.542</v>
      </c>
      <c r="CX321" s="226">
        <f>CX132+CX142+CX145+CX146+CX155-CX206</f>
        <v>1983.542</v>
      </c>
    </row>
    <row r="322" customFormat="1" s="233">
      <c r="A322" s="224" t="n"/>
      <c r="B322" s="224" t="n"/>
    </row>
    <row r="323" customFormat="1" s="233">
      <c r="A323" s="224" t="n"/>
      <c r="B323" s="224" t="n"/>
    </row>
    <row r="324" customFormat="1" s="233">
      <c r="A324" s="224" t="n"/>
      <c r="B324" s="224" t="n"/>
    </row>
    <row r="325" customFormat="1" s="233">
      <c r="A325" s="224" t="n"/>
      <c r="B325" s="224" t="n"/>
    </row>
    <row r="326" customFormat="1" s="233">
      <c r="A326" s="224" t="n"/>
      <c r="B326" s="224" t="n"/>
    </row>
    <row r="327" customFormat="1" s="233">
      <c r="A327" s="224" t="n"/>
      <c r="B327" s="224" t="n"/>
    </row>
    <row r="328" customFormat="1" s="233">
      <c r="A328" s="224" t="n"/>
      <c r="B328" s="224" t="n"/>
    </row>
    <row r="329" customFormat="1" s="233">
      <c r="A329" s="224" t="n"/>
      <c r="B329" s="224" t="n"/>
      <c r="C329" s="234" t="inlineStr">
        <is>
          <t>DUPONT ANALYSIS</t>
        </is>
      </c>
    </row>
    <row r="330" customFormat="1" s="233">
      <c r="A330" s="224" t="n"/>
      <c r="B330" s="224" t="n"/>
      <c r="C330" s="233" t="inlineStr">
        <is>
          <t>NET PROFIT MARGIN</t>
        </is>
      </c>
      <c r="D330" s="238">
        <f>D103/D15</f>
        <v>0.082247263975867</v>
      </c>
      <c r="E330" s="238">
        <f>E103/E15</f>
        <v>-0.161130959379233</v>
      </c>
      <c r="F330" s="238">
        <f>F103/F15</f>
        <v>0.151002858916707</v>
      </c>
      <c r="G330" s="238">
        <f>G103/G15</f>
        <v>0.150279486198082</v>
      </c>
      <c r="I330" s="222">
        <f>I103/I15</f>
        <v>0.132704070952723</v>
      </c>
      <c r="J330" s="222">
        <f>J103/J15</f>
        <v>0.070311116280366</v>
      </c>
      <c r="K330" s="222">
        <f>K103/K15</f>
        <v>0.0923015253958599</v>
      </c>
      <c r="L330" s="222">
        <f>L103/L15</f>
        <v>0.069567318354692</v>
      </c>
      <c r="N330" s="222">
        <f>N103/N15</f>
        <v>0.101329898719667</v>
      </c>
      <c r="O330" s="222">
        <f>O103/O15</f>
        <v>0.063422077394608</v>
      </c>
      <c r="P330" s="222">
        <f>P103/P15</f>
        <v>0.0837282660950388</v>
      </c>
      <c r="Q330" s="222">
        <f>Q103/Q15</f>
        <v>0.0277665625788939</v>
      </c>
      <c r="S330" s="222">
        <f>S103/S15</f>
        <v>0.0758813581408775</v>
      </c>
      <c r="T330" s="222">
        <f>T103/T15</f>
        <v>0.044847900078882</v>
      </c>
      <c r="U330" s="222">
        <f>U103/U15</f>
        <v>0.093152001870575</v>
      </c>
      <c r="V330" s="222">
        <f>V103/V15</f>
        <v>0.0476864943020137</v>
      </c>
      <c r="X330" s="222">
        <f>X103/X15</f>
        <v>0.0881933025735041</v>
      </c>
      <c r="Y330" s="222">
        <f>Y103/Y15</f>
        <v>0.0877493804980482</v>
      </c>
      <c r="Z330" s="222">
        <f>Z103/Z15</f>
        <v>0.0971662738906247</v>
      </c>
      <c r="AA330" s="222">
        <f>AA103/AA15</f>
        <v>0.0456256373534493</v>
      </c>
      <c r="AC330" s="222">
        <f>AC103/AC15</f>
        <v>0.0889725588241424</v>
      </c>
      <c r="AD330" s="222">
        <f>AD103/AD15</f>
        <v>0.0752268197159542</v>
      </c>
      <c r="AE330" s="222">
        <f>AE103/AE15</f>
        <v>0.0843991234992824</v>
      </c>
      <c r="AF330" s="222">
        <f>AF103/AF15</f>
        <v>0.0467478538850536</v>
      </c>
      <c r="AH330" s="222">
        <f>AH103/AH15</f>
        <v>0.0431054877339492</v>
      </c>
      <c r="AI330" s="222">
        <f>AI103/AI15</f>
        <v>0.168142544295401</v>
      </c>
      <c r="AJ330" s="222">
        <f>AJ103/AJ15</f>
        <v>0.0386757368266035</v>
      </c>
      <c r="AK330" s="222">
        <f>AK103/AK15</f>
        <v>0.161515244479787</v>
      </c>
      <c r="AM330" s="222">
        <f>AM103/AM15</f>
        <v>0.167051966642416</v>
      </c>
      <c r="AN330" s="222">
        <f>AN103/AN15</f>
        <v>0.418466049918673</v>
      </c>
      <c r="AO330" s="222">
        <f>AO103/AO15</f>
        <v>0.152671035770395</v>
      </c>
      <c r="AP330" s="222">
        <f>AP103/AP15</f>
        <v>0.407457855544535</v>
      </c>
      <c r="AR330" s="222">
        <f>AR103/AR15</f>
        <v>0.418550520943648</v>
      </c>
      <c r="AS330" s="222">
        <f>AS103/AS15</f>
        <v>1.16584781633098</v>
      </c>
      <c r="AT330" s="222">
        <f>AT103/AT15</f>
        <v>0.383977750845961</v>
      </c>
      <c r="AU330" s="222">
        <f>AU103/AU15</f>
        <v>1.14175974475768</v>
      </c>
      <c r="AW330" s="222">
        <f>AW103/AW15</f>
        <v>1.16944058736305</v>
      </c>
      <c r="AX330" s="222">
        <f>AX103/AX15</f>
        <v>3.16125836040213</v>
      </c>
      <c r="AY330" s="222">
        <f>AY103/AY15</f>
        <v>1.07458177888468</v>
      </c>
      <c r="AZ330" s="222">
        <f>AZ103/AZ15</f>
        <v>3.10224874531347</v>
      </c>
      <c r="BB330" s="222">
        <f>BB103/BB15</f>
        <v>3.1742178288043</v>
      </c>
      <c r="BC330" s="222">
        <f>BC103/BC15</f>
        <v>8.64684298136904</v>
      </c>
      <c r="BD330" s="222">
        <f>BD103/BD15</f>
        <v>2.91840326511324</v>
      </c>
      <c r="BE330" s="222">
        <f>BE103/BE15</f>
        <v>8.49183052485133</v>
      </c>
      <c r="BG330" s="222">
        <f>BG103/BG15</f>
        <v>8.68555244452561</v>
      </c>
      <c r="BH330" s="222">
        <f>BH103/BH15</f>
        <v>23.6088333114452</v>
      </c>
      <c r="BI330" s="222">
        <f>BI103/BI15</f>
        <v>7.9872542936478</v>
      </c>
      <c r="BJ330" s="222">
        <f>BJ103/BJ15</f>
        <v>23.1919720850386</v>
      </c>
      <c r="BL330" s="222">
        <f>BL103/BL15</f>
        <v>23.7177761588508</v>
      </c>
      <c r="BM330" s="222">
        <f>BM103/BM15</f>
        <v>64.5039832135312</v>
      </c>
      <c r="BN330" s="222">
        <f>BN103/BN15</f>
        <v>21.812599323174</v>
      </c>
      <c r="BO330" s="222">
        <f>BO103/BO15</f>
        <v>63.3714187644889</v>
      </c>
      <c r="BQ330" s="222">
        <f>BQ103/BQ15</f>
        <v>64.8048928189436</v>
      </c>
      <c r="BR330" s="222">
        <f>BR103/BR15</f>
        <v>176.218263677856</v>
      </c>
      <c r="BS330" s="222">
        <f>BS103/BS15</f>
        <v>59.6009914392956</v>
      </c>
      <c r="BT330" s="222">
        <f>BT103/BT15</f>
        <v>173.130595243764</v>
      </c>
      <c r="BV330" s="222">
        <f>BV103/BV15</f>
        <v>177.04357356778</v>
      </c>
      <c r="BW330" s="222">
        <f>BW103/BW15</f>
        <v>481.437124410676</v>
      </c>
      <c r="BX330" s="222">
        <f>BX103/BX15</f>
        <v>162.828465730591</v>
      </c>
      <c r="BY330" s="222">
        <f>BY103/BY15</f>
        <v>473.007841561215</v>
      </c>
      <c r="CA330" s="222">
        <f>CA103/CA15</f>
        <v>483.695168385638</v>
      </c>
      <c r="CB330" s="222">
        <f>CB103/CB15</f>
        <v>1315.30340680497</v>
      </c>
      <c r="CC330" s="222">
        <f>CC103/CC15</f>
        <v>444.860198545426</v>
      </c>
      <c r="CD330" s="222">
        <f>CD103/CD15</f>
        <v>1292.28068715467</v>
      </c>
      <c r="CF330" s="222">
        <f>CF103/CF15</f>
        <v>1321.47571951903</v>
      </c>
      <c r="CG330" s="222">
        <f>CG103/CG15</f>
        <v>3593.47369305919</v>
      </c>
      <c r="CH330" s="222">
        <f>CH103/CH15</f>
        <v>1215.37861275769</v>
      </c>
      <c r="CI330" s="222">
        <f>CI103/CI15</f>
        <v>3530.58087097647</v>
      </c>
      <c r="CK330" s="222">
        <f>CK103/CK15</f>
        <v>3610.34001142152</v>
      </c>
      <c r="CL330" s="222">
        <f>CL103/CL15</f>
        <v>9817.54683035622</v>
      </c>
      <c r="CM330" s="222">
        <f>CM103/CM15</f>
        <v>3320.47890681188</v>
      </c>
      <c r="CN330" s="222">
        <f>CN103/CN15</f>
        <v>9645.72692980699</v>
      </c>
      <c r="CP330" s="222">
        <f>CP103/CP15</f>
        <v>9863.62969749327</v>
      </c>
      <c r="CQ330" s="222">
        <f>CQ103/CQ15</f>
        <v>26822.0336774587</v>
      </c>
      <c r="CR330" s="222">
        <f>CR103/CR15</f>
        <v>9071.71632334478</v>
      </c>
      <c r="CS330" s="222">
        <f>CS103/CS15</f>
        <v>26352.6194151116</v>
      </c>
      <c r="CU330" s="222">
        <f>CU103/CU15</f>
        <v>26947.9376534418</v>
      </c>
      <c r="CV330" s="222">
        <f>CV103/CV15</f>
        <v>73279.1536462578</v>
      </c>
      <c r="CW330" s="222">
        <f>CW103/CW15</f>
        <v>24784.391744519</v>
      </c>
      <c r="CX330" s="222">
        <f>CX103/CX15</f>
        <v>71996.696503382</v>
      </c>
    </row>
    <row r="331" customFormat="1" s="233">
      <c r="A331" s="224" t="n"/>
      <c r="B331" s="224" t="n"/>
      <c r="C331" s="233" t="inlineStr">
        <is>
          <t>ASSET TURNOVER</t>
        </is>
      </c>
      <c r="D331" s="238">
        <f>D103/D163</f>
        <v>0.0114156522392335</v>
      </c>
      <c r="E331" s="238">
        <f>E103/E163</f>
        <v>-0.0134039031286421</v>
      </c>
      <c r="F331" s="238">
        <f>F103/F163</f>
        <v>0.023359760365626</v>
      </c>
      <c r="G331" s="238">
        <f>G103/G163</f>
        <v>0.0249631785677142</v>
      </c>
      <c r="I331" s="222">
        <f>I103/I163</f>
        <v>0.0212812626571488</v>
      </c>
      <c r="J331" s="222">
        <f>J103/J163</f>
        <v>0.0121230077340898</v>
      </c>
      <c r="K331" s="222">
        <f>K103/K163</f>
        <v>0.0151077406169565</v>
      </c>
      <c r="L331" s="222">
        <f>L103/L163</f>
        <v>0.0116592866507269</v>
      </c>
      <c r="N331" s="222">
        <f>N103/N163</f>
        <v>0.0184191075925297</v>
      </c>
      <c r="O331" s="222">
        <f>O103/O163</f>
        <v>0.0103087979395501</v>
      </c>
      <c r="P331" s="222">
        <f>P103/P163</f>
        <v>0.0136447933712573</v>
      </c>
      <c r="Q331" s="222">
        <f>Q103/Q163</f>
        <v>0.00397248425686842</v>
      </c>
      <c r="S331" s="222">
        <f>S103/S163</f>
        <v>0.0119345466238136</v>
      </c>
      <c r="T331" s="222">
        <f>T103/T163</f>
        <v>0.00646629299787106</v>
      </c>
      <c r="U331" s="222">
        <f>U103/U163</f>
        <v>0.0151042908049558</v>
      </c>
      <c r="V331" s="222">
        <f>V103/V163</f>
        <v>0.00701891419250295</v>
      </c>
      <c r="X331" s="222">
        <f>X103/X163</f>
        <v>0.0143726051897756</v>
      </c>
      <c r="Y331" s="222">
        <f>Y103/Y163</f>
        <v>0.0135588703175359</v>
      </c>
      <c r="Z331" s="222">
        <f>Z103/Z163</f>
        <v>0.0146344975316217</v>
      </c>
      <c r="AA331" s="222">
        <f>AA103/AA163</f>
        <v>0.00642461269398213</v>
      </c>
      <c r="AC331" s="222">
        <f>AC103/AC163</f>
        <v>0.0135099076863622</v>
      </c>
      <c r="AD331" s="222">
        <f>AD103/AD163</f>
        <v>0.0116503964904502</v>
      </c>
      <c r="AE331" s="222">
        <f>AE103/AE163</f>
        <v>0.0136126064687222</v>
      </c>
      <c r="AF331" s="222">
        <f>AF103/AF163</f>
        <v>0.00728630144270781</v>
      </c>
      <c r="AH331" s="222">
        <f>AH103/AH163</f>
        <v>0.00723924586769601</v>
      </c>
      <c r="AI331" s="222">
        <f>AI103/AI163</f>
        <v>0.0276054808857902</v>
      </c>
      <c r="AJ331" s="222" t="e">
        <f>AJ103/AJ163</f>
        <v>#DIV/0!</v>
      </c>
      <c r="AK331" s="222" t="e">
        <f>AK103/AK163</f>
        <v>#DIV/0!</v>
      </c>
      <c r="AM331" s="222" t="e">
        <f>AM103/AM163</f>
        <v>#DIV/0!</v>
      </c>
      <c r="AN331" s="222" t="e">
        <f>AN103/AN163</f>
        <v>#DIV/0!</v>
      </c>
      <c r="AO331" s="222" t="e">
        <f>AO103/AO163</f>
        <v>#DIV/0!</v>
      </c>
      <c r="AP331" s="222" t="e">
        <f>AP103/AP163</f>
        <v>#DIV/0!</v>
      </c>
      <c r="AR331" s="222" t="e">
        <f>AR103/AR163</f>
        <v>#DIV/0!</v>
      </c>
      <c r="AS331" s="222" t="e">
        <f>AS103/AS163</f>
        <v>#DIV/0!</v>
      </c>
      <c r="AT331" s="222" t="e">
        <f>AT103/AT163</f>
        <v>#DIV/0!</v>
      </c>
      <c r="AU331" s="222" t="e">
        <f>AU103/AU163</f>
        <v>#DIV/0!</v>
      </c>
      <c r="AW331" s="222" t="e">
        <f>AW103/AW163</f>
        <v>#DIV/0!</v>
      </c>
      <c r="AX331" s="222" t="e">
        <f>AX103/AX163</f>
        <v>#DIV/0!</v>
      </c>
      <c r="AY331" s="222" t="e">
        <f>AY103/AY163</f>
        <v>#DIV/0!</v>
      </c>
      <c r="AZ331" s="222" t="e">
        <f>AZ103/AZ163</f>
        <v>#DIV/0!</v>
      </c>
      <c r="BB331" s="222" t="e">
        <f>BB103/BB163</f>
        <v>#DIV/0!</v>
      </c>
      <c r="BC331" s="222" t="e">
        <f>BC103/BC163</f>
        <v>#DIV/0!</v>
      </c>
      <c r="BD331" s="222" t="e">
        <f>BD103/BD163</f>
        <v>#DIV/0!</v>
      </c>
      <c r="BE331" s="222" t="e">
        <f>BE103/BE163</f>
        <v>#DIV/0!</v>
      </c>
      <c r="BG331" s="222" t="e">
        <f>BG103/BG163</f>
        <v>#DIV/0!</v>
      </c>
      <c r="BH331" s="222" t="e">
        <f>BH103/BH163</f>
        <v>#DIV/0!</v>
      </c>
      <c r="BI331" s="222" t="e">
        <f>BI103/BI163</f>
        <v>#DIV/0!</v>
      </c>
      <c r="BJ331" s="222" t="e">
        <f>BJ103/BJ163</f>
        <v>#DIV/0!</v>
      </c>
      <c r="BL331" s="222" t="e">
        <f>BL103/BL163</f>
        <v>#DIV/0!</v>
      </c>
      <c r="BM331" s="222" t="e">
        <f>BM103/BM163</f>
        <v>#DIV/0!</v>
      </c>
      <c r="BN331" s="222" t="e">
        <f>BN103/BN163</f>
        <v>#DIV/0!</v>
      </c>
      <c r="BO331" s="222" t="e">
        <f>BO103/BO163</f>
        <v>#DIV/0!</v>
      </c>
      <c r="BQ331" s="222" t="e">
        <f>BQ103/BQ163</f>
        <v>#DIV/0!</v>
      </c>
      <c r="BR331" s="222" t="e">
        <f>BR103/BR163</f>
        <v>#DIV/0!</v>
      </c>
      <c r="BS331" s="222" t="e">
        <f>BS103/BS163</f>
        <v>#DIV/0!</v>
      </c>
      <c r="BT331" s="222" t="e">
        <f>BT103/BT163</f>
        <v>#DIV/0!</v>
      </c>
      <c r="BV331" s="222" t="e">
        <f>BV103/BV163</f>
        <v>#DIV/0!</v>
      </c>
      <c r="BW331" s="222" t="e">
        <f>BW103/BW163</f>
        <v>#DIV/0!</v>
      </c>
      <c r="BX331" s="222" t="e">
        <f>BX103/BX163</f>
        <v>#DIV/0!</v>
      </c>
      <c r="BY331" s="222" t="e">
        <f>BY103/BY163</f>
        <v>#DIV/0!</v>
      </c>
      <c r="CA331" s="222" t="e">
        <f>CA103/CA163</f>
        <v>#DIV/0!</v>
      </c>
      <c r="CB331" s="222" t="e">
        <f>CB103/CB163</f>
        <v>#DIV/0!</v>
      </c>
      <c r="CC331" s="222" t="e">
        <f>CC103/CC163</f>
        <v>#DIV/0!</v>
      </c>
      <c r="CD331" s="222" t="e">
        <f>CD103/CD163</f>
        <v>#DIV/0!</v>
      </c>
      <c r="CF331" s="222" t="e">
        <f>CF103/CF163</f>
        <v>#DIV/0!</v>
      </c>
      <c r="CG331" s="222" t="e">
        <f>CG103/CG163</f>
        <v>#DIV/0!</v>
      </c>
      <c r="CH331" s="222" t="e">
        <f>CH103/CH163</f>
        <v>#DIV/0!</v>
      </c>
      <c r="CI331" s="222" t="e">
        <f>CI103/CI163</f>
        <v>#DIV/0!</v>
      </c>
      <c r="CK331" s="222" t="e">
        <f>CK103/CK163</f>
        <v>#DIV/0!</v>
      </c>
      <c r="CL331" s="222" t="e">
        <f>CL103/CL163</f>
        <v>#DIV/0!</v>
      </c>
      <c r="CM331" s="222" t="e">
        <f>CM103/CM163</f>
        <v>#DIV/0!</v>
      </c>
      <c r="CN331" s="222" t="e">
        <f>CN103/CN163</f>
        <v>#DIV/0!</v>
      </c>
      <c r="CP331" s="222" t="e">
        <f>CP103/CP163</f>
        <v>#DIV/0!</v>
      </c>
      <c r="CQ331" s="222" t="e">
        <f>CQ103/CQ163</f>
        <v>#DIV/0!</v>
      </c>
      <c r="CR331" s="222" t="e">
        <f>CR103/CR163</f>
        <v>#DIV/0!</v>
      </c>
      <c r="CS331" s="222" t="e">
        <f>CS103/CS163</f>
        <v>#DIV/0!</v>
      </c>
      <c r="CU331" s="222" t="e">
        <f>CU103/CU163</f>
        <v>#DIV/0!</v>
      </c>
      <c r="CV331" s="222" t="e">
        <f>CV103/CV163</f>
        <v>#DIV/0!</v>
      </c>
      <c r="CW331" s="222" t="e">
        <f>CW103/CW163</f>
        <v>#DIV/0!</v>
      </c>
      <c r="CX331" s="222" t="e">
        <f>CX103/CX163</f>
        <v>#DIV/0!</v>
      </c>
    </row>
    <row r="332" customFormat="1" s="233">
      <c r="A332" s="224" t="n"/>
      <c r="B332" s="224" t="n"/>
      <c r="C332" s="233" t="inlineStr">
        <is>
          <t>EQUITY MULTIPLIER</t>
        </is>
      </c>
      <c r="D332" s="238">
        <f>D163/D237</f>
        <v>3.16985640862045</v>
      </c>
      <c r="E332" s="238">
        <f>E163/E237</f>
        <v>3.53034451993765</v>
      </c>
      <c r="F332" s="238">
        <f>F163/F237</f>
        <v>3.35014697496139</v>
      </c>
      <c r="G332" s="238">
        <f>G163/G237</f>
        <v>3.19132615873939</v>
      </c>
      <c r="I332" s="222">
        <f>I163/I237</f>
        <v>3.29234473395295</v>
      </c>
      <c r="J332" s="222">
        <f>J163/J237</f>
        <v>3.07438509073017</v>
      </c>
      <c r="K332" s="222">
        <f>K163/K237</f>
        <v>3.4578649509589</v>
      </c>
      <c r="L332" s="222">
        <f>L163/L237</f>
        <v>3.27518457959746</v>
      </c>
      <c r="N332" s="222">
        <f>N163/N237</f>
        <v>3.41902854677556</v>
      </c>
      <c r="O332" s="222">
        <f>O163/O237</f>
        <v>3.74009190851968</v>
      </c>
      <c r="P332" s="222">
        <f>P163/P237</f>
        <v>3.64281878640904</v>
      </c>
      <c r="Q332" s="222">
        <f>Q163/Q237</f>
        <v>2.88468168050244</v>
      </c>
      <c r="S332" s="222">
        <f>S163/S237</f>
        <v>2.80054266471372</v>
      </c>
      <c r="T332" s="222">
        <f>T163/T237</f>
        <v>2.25306738618764</v>
      </c>
      <c r="U332" s="222">
        <f>U163/U237</f>
        <v>2.22133381613249</v>
      </c>
      <c r="V332" s="222">
        <f>V163/V237</f>
        <v>2.26566413686371</v>
      </c>
      <c r="X332" s="222">
        <f>X163/X237</f>
        <v>2.24183912602427</v>
      </c>
      <c r="Y332" s="222">
        <f>Y163/Y237</f>
        <v>2.35726151230293</v>
      </c>
      <c r="Z332" s="222">
        <f>Z163/Z237</f>
        <v>2.40080621166188</v>
      </c>
      <c r="AA332" s="222">
        <f>AA163/AA237</f>
        <v>2.43029222686258</v>
      </c>
      <c r="AC332" s="222">
        <f>AC163/AC237</f>
        <v>2.49439289183123</v>
      </c>
      <c r="AD332" s="222">
        <f>AD163/AD237</f>
        <v>2.38961670919766</v>
      </c>
      <c r="AE332" s="222">
        <f>AE163/AE237</f>
        <v>2.47766526978087</v>
      </c>
      <c r="AF332" s="222">
        <f>AF163/AF237</f>
        <v>2.5941494835044</v>
      </c>
      <c r="AH332" s="222">
        <f>AH163/AH237</f>
        <v>2.31647663772114</v>
      </c>
      <c r="AI332" s="222">
        <f>AI163/AI237</f>
        <v>2.23702927411553</v>
      </c>
      <c r="AJ332" s="222" t="e">
        <f>AJ163/AJ237</f>
        <v>#DIV/0!</v>
      </c>
      <c r="AK332" s="222" t="e">
        <f>AK163/AK237</f>
        <v>#DIV/0!</v>
      </c>
      <c r="AM332" s="222" t="e">
        <f>AM163/AM237</f>
        <v>#DIV/0!</v>
      </c>
      <c r="AN332" s="222" t="e">
        <f>AN163/AN237</f>
        <v>#DIV/0!</v>
      </c>
      <c r="AO332" s="222" t="e">
        <f>AO163/AO237</f>
        <v>#DIV/0!</v>
      </c>
      <c r="AP332" s="222" t="e">
        <f>AP163/AP237</f>
        <v>#DIV/0!</v>
      </c>
      <c r="AR332" s="222" t="e">
        <f>AR163/AR237</f>
        <v>#DIV/0!</v>
      </c>
      <c r="AS332" s="222" t="e">
        <f>AS163/AS237</f>
        <v>#DIV/0!</v>
      </c>
      <c r="AT332" s="222" t="e">
        <f>AT163/AT237</f>
        <v>#DIV/0!</v>
      </c>
      <c r="AU332" s="222" t="e">
        <f>AU163/AU237</f>
        <v>#DIV/0!</v>
      </c>
      <c r="AW332" s="222" t="e">
        <f>AW163/AW237</f>
        <v>#DIV/0!</v>
      </c>
      <c r="AX332" s="222" t="e">
        <f>AX163/AX237</f>
        <v>#DIV/0!</v>
      </c>
      <c r="AY332" s="222" t="e">
        <f>AY163/AY237</f>
        <v>#DIV/0!</v>
      </c>
      <c r="AZ332" s="222" t="e">
        <f>AZ163/AZ237</f>
        <v>#DIV/0!</v>
      </c>
      <c r="BB332" s="222" t="e">
        <f>BB163/BB237</f>
        <v>#DIV/0!</v>
      </c>
      <c r="BC332" s="222" t="e">
        <f>BC163/BC237</f>
        <v>#DIV/0!</v>
      </c>
      <c r="BD332" s="222" t="e">
        <f>BD163/BD237</f>
        <v>#DIV/0!</v>
      </c>
      <c r="BE332" s="222" t="e">
        <f>BE163/BE237</f>
        <v>#DIV/0!</v>
      </c>
      <c r="BG332" s="222" t="e">
        <f>BG163/BG237</f>
        <v>#DIV/0!</v>
      </c>
      <c r="BH332" s="222" t="e">
        <f>BH163/BH237</f>
        <v>#DIV/0!</v>
      </c>
      <c r="BI332" s="222" t="e">
        <f>BI163/BI237</f>
        <v>#DIV/0!</v>
      </c>
      <c r="BJ332" s="222" t="e">
        <f>BJ163/BJ237</f>
        <v>#DIV/0!</v>
      </c>
      <c r="BL332" s="222" t="e">
        <f>BL163/BL237</f>
        <v>#DIV/0!</v>
      </c>
      <c r="BM332" s="222" t="e">
        <f>BM163/BM237</f>
        <v>#DIV/0!</v>
      </c>
      <c r="BN332" s="222" t="e">
        <f>BN163/BN237</f>
        <v>#DIV/0!</v>
      </c>
      <c r="BO332" s="222" t="e">
        <f>BO163/BO237</f>
        <v>#DIV/0!</v>
      </c>
      <c r="BQ332" s="222" t="e">
        <f>BQ163/BQ237</f>
        <v>#DIV/0!</v>
      </c>
      <c r="BR332" s="222" t="e">
        <f>BR163/BR237</f>
        <v>#DIV/0!</v>
      </c>
      <c r="BS332" s="222" t="e">
        <f>BS163/BS237</f>
        <v>#DIV/0!</v>
      </c>
      <c r="BT332" s="222" t="e">
        <f>BT163/BT237</f>
        <v>#DIV/0!</v>
      </c>
      <c r="BV332" s="222" t="e">
        <f>BV163/BV237</f>
        <v>#DIV/0!</v>
      </c>
      <c r="BW332" s="222" t="e">
        <f>BW163/BW237</f>
        <v>#DIV/0!</v>
      </c>
      <c r="BX332" s="222" t="e">
        <f>BX163/BX237</f>
        <v>#DIV/0!</v>
      </c>
      <c r="BY332" s="222" t="e">
        <f>BY163/BY237</f>
        <v>#DIV/0!</v>
      </c>
      <c r="CA332" s="222" t="e">
        <f>CA163/CA237</f>
        <v>#DIV/0!</v>
      </c>
      <c r="CB332" s="222" t="e">
        <f>CB163/CB237</f>
        <v>#DIV/0!</v>
      </c>
      <c r="CC332" s="222" t="e">
        <f>CC163/CC237</f>
        <v>#DIV/0!</v>
      </c>
      <c r="CD332" s="222" t="e">
        <f>CD163/CD237</f>
        <v>#DIV/0!</v>
      </c>
      <c r="CF332" s="222" t="e">
        <f>CF163/CF237</f>
        <v>#DIV/0!</v>
      </c>
      <c r="CG332" s="222" t="e">
        <f>CG163/CG237</f>
        <v>#DIV/0!</v>
      </c>
      <c r="CH332" s="222" t="e">
        <f>CH163/CH237</f>
        <v>#DIV/0!</v>
      </c>
      <c r="CI332" s="222" t="e">
        <f>CI163/CI237</f>
        <v>#DIV/0!</v>
      </c>
      <c r="CK332" s="222" t="e">
        <f>CK163/CK237</f>
        <v>#DIV/0!</v>
      </c>
      <c r="CL332" s="222" t="e">
        <f>CL163/CL237</f>
        <v>#DIV/0!</v>
      </c>
      <c r="CM332" s="222" t="e">
        <f>CM163/CM237</f>
        <v>#DIV/0!</v>
      </c>
      <c r="CN332" s="222" t="e">
        <f>CN163/CN237</f>
        <v>#DIV/0!</v>
      </c>
      <c r="CP332" s="222" t="e">
        <f>CP163/CP237</f>
        <v>#DIV/0!</v>
      </c>
      <c r="CQ332" s="222" t="e">
        <f>CQ163/CQ237</f>
        <v>#DIV/0!</v>
      </c>
      <c r="CR332" s="222" t="e">
        <f>CR163/CR237</f>
        <v>#DIV/0!</v>
      </c>
      <c r="CS332" s="222" t="e">
        <f>CS163/CS237</f>
        <v>#DIV/0!</v>
      </c>
      <c r="CU332" s="222" t="e">
        <f>CU163/CU237</f>
        <v>#DIV/0!</v>
      </c>
      <c r="CV332" s="222" t="e">
        <f>CV163/CV237</f>
        <v>#DIV/0!</v>
      </c>
      <c r="CW332" s="222" t="e">
        <f>CW163/CW237</f>
        <v>#DIV/0!</v>
      </c>
      <c r="CX332" s="222" t="e">
        <f>CX163/CX237</f>
        <v>#DIV/0!</v>
      </c>
    </row>
    <row r="333" customFormat="1" s="233">
      <c r="A333" s="224" t="n"/>
      <c r="B333" s="224" t="n"/>
      <c r="C333" s="233" t="inlineStr">
        <is>
          <t>ROE - DUPONT</t>
        </is>
      </c>
      <c r="D333" s="238">
        <f>PRODUCT(D330:D332)</f>
        <v>0.00297619771843966</v>
      </c>
      <c r="E333" s="238">
        <f>PRODUCT(E330:E332)</f>
        <v>0.00762478079859176</v>
      </c>
      <c r="F333" s="238">
        <f>PRODUCT(F330:F332)</f>
        <v>0.0118172769441398</v>
      </c>
      <c r="G333" s="238">
        <f>PRODUCT(G330:G332)</f>
        <v>0.0119721121634384</v>
      </c>
      <c r="I333" s="222">
        <f>PRODUCT(I330:I332)</f>
        <v>0.00929794431089103</v>
      </c>
      <c r="J333" s="222">
        <f>PRODUCT(J330:J332)</f>
        <v>0.00262055114714236</v>
      </c>
      <c r="K333" s="222">
        <f>PRODUCT(K330:K332)</f>
        <v>0.0048218803081283</v>
      </c>
      <c r="L333" s="222">
        <f>PRODUCT(L330:L332)</f>
        <v>0.00265651959136054</v>
      </c>
      <c r="N333" s="222">
        <f>PRODUCT(N330:N332)</f>
        <v>0.0063812964430284</v>
      </c>
      <c r="O333" s="222">
        <f>PRODUCT(O330:O332)</f>
        <v>0.00244529221435524</v>
      </c>
      <c r="P333" s="222">
        <f>PRODUCT(P330:P332)</f>
        <v>0.0041617561366471</v>
      </c>
      <c r="Q333" s="222">
        <f>PRODUCT(Q330:Q332)</f>
        <v>0.000318186830022846</v>
      </c>
      <c r="S333" s="222">
        <f>PRODUCT(S330:S332)</f>
        <v>0.00253619834088759</v>
      </c>
      <c r="T333" s="222">
        <f>PRODUCT(T330:T332)</f>
        <v>0.000653388781019319</v>
      </c>
      <c r="U333" s="222">
        <f>PRODUCT(U330:U332)</f>
        <v>0.00312540540673334</v>
      </c>
      <c r="V333" s="222">
        <f>PRODUCT(V330:V332)</f>
        <v>0.000758334578911347</v>
      </c>
      <c r="X333" s="222">
        <f>PRODUCT(X330:X332)</f>
        <v>0.00284168245733829</v>
      </c>
      <c r="Y333" s="222">
        <f>PRODUCT(Y330:Y332)</f>
        <v>0.00280462842599851</v>
      </c>
      <c r="Z333" s="222">
        <f>PRODUCT(Z330:Z332)</f>
        <v>0.00341389744551492</v>
      </c>
      <c r="AA333" s="222">
        <f>PRODUCT(AA330:AA332)</f>
        <v>0.000712384388453988</v>
      </c>
      <c r="AC333" s="222">
        <f>PRODUCT(AC330:AC332)</f>
        <v>0.00299828783482106</v>
      </c>
      <c r="AD333" s="222">
        <f>PRODUCT(AD330:AD332)</f>
        <v>0.00209431331601399</v>
      </c>
      <c r="AE333" s="222">
        <f>PRODUCT(AE330:AE332)</f>
        <v>0.00284656994216385</v>
      </c>
      <c r="AF333" s="222">
        <f>PRODUCT(AF330:AF332)</f>
        <v>0.000883616486719868</v>
      </c>
      <c r="AH333" s="222">
        <f>PRODUCT(AH330:AH332)</f>
        <v>0.000722859370059442</v>
      </c>
      <c r="AI333" s="222">
        <f>PRODUCT(AI330:AI332)</f>
        <v>0.010383519888492</v>
      </c>
      <c r="AJ333" s="222" t="e">
        <f>PRODUCT(AJ330:AJ332)</f>
        <v>#DIV/0!</v>
      </c>
      <c r="AK333" s="222" t="e">
        <f>PRODUCT(AK330:AK332)</f>
        <v>#DIV/0!</v>
      </c>
      <c r="AM333" s="222" t="e">
        <f>PRODUCT(AM330:AM332)</f>
        <v>#DIV/0!</v>
      </c>
      <c r="AN333" s="222" t="e">
        <f>PRODUCT(AN330:AN332)</f>
        <v>#DIV/0!</v>
      </c>
      <c r="AO333" s="222" t="e">
        <f>PRODUCT(AO330:AO332)</f>
        <v>#DIV/0!</v>
      </c>
      <c r="AP333" s="222" t="e">
        <f>PRODUCT(AP330:AP332)</f>
        <v>#DIV/0!</v>
      </c>
      <c r="AR333" s="222" t="e">
        <f>PRODUCT(AR330:AR332)</f>
        <v>#DIV/0!</v>
      </c>
      <c r="AS333" s="222" t="e">
        <f>PRODUCT(AS330:AS332)</f>
        <v>#DIV/0!</v>
      </c>
      <c r="AT333" s="222" t="e">
        <f>PRODUCT(AT330:AT332)</f>
        <v>#DIV/0!</v>
      </c>
      <c r="AU333" s="222" t="e">
        <f>PRODUCT(AU330:AU332)</f>
        <v>#DIV/0!</v>
      </c>
      <c r="AW333" s="222" t="e">
        <f>PRODUCT(AW330:AW332)</f>
        <v>#DIV/0!</v>
      </c>
      <c r="AX333" s="222" t="e">
        <f>PRODUCT(AX330:AX332)</f>
        <v>#DIV/0!</v>
      </c>
      <c r="AY333" s="222" t="e">
        <f>PRODUCT(AY330:AY332)</f>
        <v>#DIV/0!</v>
      </c>
      <c r="AZ333" s="222" t="e">
        <f>PRODUCT(AZ330:AZ332)</f>
        <v>#DIV/0!</v>
      </c>
      <c r="BB333" s="222" t="e">
        <f>PRODUCT(BB330:BB332)</f>
        <v>#DIV/0!</v>
      </c>
      <c r="BC333" s="222" t="e">
        <f>PRODUCT(BC330:BC332)</f>
        <v>#DIV/0!</v>
      </c>
      <c r="BD333" s="222" t="e">
        <f>PRODUCT(BD330:BD332)</f>
        <v>#DIV/0!</v>
      </c>
      <c r="BE333" s="222" t="e">
        <f>PRODUCT(BE330:BE332)</f>
        <v>#DIV/0!</v>
      </c>
      <c r="BG333" s="222" t="e">
        <f>PRODUCT(BG330:BG332)</f>
        <v>#DIV/0!</v>
      </c>
      <c r="BH333" s="222" t="e">
        <f>PRODUCT(BH330:BH332)</f>
        <v>#DIV/0!</v>
      </c>
      <c r="BI333" s="222" t="e">
        <f>PRODUCT(BI330:BI332)</f>
        <v>#DIV/0!</v>
      </c>
      <c r="BJ333" s="222" t="e">
        <f>PRODUCT(BJ330:BJ332)</f>
        <v>#DIV/0!</v>
      </c>
      <c r="BL333" s="222" t="e">
        <f>PRODUCT(BL330:BL332)</f>
        <v>#DIV/0!</v>
      </c>
      <c r="BM333" s="222" t="e">
        <f>PRODUCT(BM330:BM332)</f>
        <v>#DIV/0!</v>
      </c>
      <c r="BN333" s="222" t="e">
        <f>PRODUCT(BN330:BN332)</f>
        <v>#DIV/0!</v>
      </c>
      <c r="BO333" s="222" t="e">
        <f>PRODUCT(BO330:BO332)</f>
        <v>#DIV/0!</v>
      </c>
      <c r="BQ333" s="222" t="e">
        <f>PRODUCT(BQ330:BQ332)</f>
        <v>#DIV/0!</v>
      </c>
      <c r="BR333" s="222" t="e">
        <f>PRODUCT(BR330:BR332)</f>
        <v>#DIV/0!</v>
      </c>
      <c r="BS333" s="222" t="e">
        <f>PRODUCT(BS330:BS332)</f>
        <v>#DIV/0!</v>
      </c>
      <c r="BT333" s="222" t="e">
        <f>PRODUCT(BT330:BT332)</f>
        <v>#DIV/0!</v>
      </c>
      <c r="BV333" s="222" t="e">
        <f>PRODUCT(BV330:BV332)</f>
        <v>#DIV/0!</v>
      </c>
      <c r="BW333" s="222" t="e">
        <f>PRODUCT(BW330:BW332)</f>
        <v>#DIV/0!</v>
      </c>
      <c r="BX333" s="222" t="e">
        <f>PRODUCT(BX330:BX332)</f>
        <v>#DIV/0!</v>
      </c>
      <c r="BY333" s="222" t="e">
        <f>PRODUCT(BY330:BY332)</f>
        <v>#DIV/0!</v>
      </c>
      <c r="CA333" s="222" t="e">
        <f>PRODUCT(CA330:CA332)</f>
        <v>#DIV/0!</v>
      </c>
      <c r="CB333" s="222" t="e">
        <f>PRODUCT(CB330:CB332)</f>
        <v>#DIV/0!</v>
      </c>
      <c r="CC333" s="222" t="e">
        <f>PRODUCT(CC330:CC332)</f>
        <v>#DIV/0!</v>
      </c>
      <c r="CD333" s="222" t="e">
        <f>PRODUCT(CD330:CD332)</f>
        <v>#DIV/0!</v>
      </c>
      <c r="CF333" s="222" t="e">
        <f>PRODUCT(CF330:CF332)</f>
        <v>#DIV/0!</v>
      </c>
      <c r="CG333" s="222" t="e">
        <f>PRODUCT(CG330:CG332)</f>
        <v>#DIV/0!</v>
      </c>
      <c r="CH333" s="222" t="e">
        <f>PRODUCT(CH330:CH332)</f>
        <v>#DIV/0!</v>
      </c>
      <c r="CI333" s="222" t="e">
        <f>PRODUCT(CI330:CI332)</f>
        <v>#DIV/0!</v>
      </c>
      <c r="CK333" s="222" t="e">
        <f>PRODUCT(CK330:CK332)</f>
        <v>#DIV/0!</v>
      </c>
      <c r="CL333" s="222" t="e">
        <f>PRODUCT(CL330:CL332)</f>
        <v>#DIV/0!</v>
      </c>
      <c r="CM333" s="222" t="e">
        <f>PRODUCT(CM330:CM332)</f>
        <v>#DIV/0!</v>
      </c>
      <c r="CN333" s="222" t="e">
        <f>PRODUCT(CN330:CN332)</f>
        <v>#DIV/0!</v>
      </c>
      <c r="CP333" s="222" t="e">
        <f>PRODUCT(CP330:CP332)</f>
        <v>#DIV/0!</v>
      </c>
      <c r="CQ333" s="222" t="e">
        <f>PRODUCT(CQ330:CQ332)</f>
        <v>#DIV/0!</v>
      </c>
      <c r="CR333" s="222" t="e">
        <f>PRODUCT(CR330:CR332)</f>
        <v>#DIV/0!</v>
      </c>
      <c r="CS333" s="222" t="e">
        <f>PRODUCT(CS330:CS332)</f>
        <v>#DIV/0!</v>
      </c>
      <c r="CU333" s="222" t="e">
        <f>PRODUCT(CU330:CU332)</f>
        <v>#DIV/0!</v>
      </c>
      <c r="CV333" s="222" t="e">
        <f>PRODUCT(CV330:CV332)</f>
        <v>#DIV/0!</v>
      </c>
      <c r="CW333" s="222" t="e">
        <f>PRODUCT(CW330:CW332)</f>
        <v>#DIV/0!</v>
      </c>
      <c r="CX333" s="222" t="e">
        <f>PRODUCT(CX330:CX332)</f>
        <v>#DIV/0!</v>
      </c>
    </row>
    <row r="334" customFormat="1" s="233">
      <c r="A334" s="224" t="n"/>
      <c r="B334" s="224" t="n"/>
      <c r="C334" s="233" t="inlineStr">
        <is>
          <t>ROE</t>
        </is>
      </c>
      <c r="D334" s="238">
        <f>D103/D237</f>
        <v>0.0361859784091168</v>
      </c>
      <c r="E334" s="238">
        <f>E103/E237</f>
        <v>-0.0473203959559769</v>
      </c>
      <c r="F334" s="238">
        <f>F103/F237</f>
        <v>0.0782586305247251</v>
      </c>
      <c r="G334" s="238">
        <f>G103/G237</f>
        <v>0.0796656447684286</v>
      </c>
      <c r="I334" s="222">
        <f>I103/I237</f>
        <v>0.0700652530411334</v>
      </c>
      <c r="J334" s="222">
        <f>J103/J237</f>
        <v>0.0372707942324923</v>
      </c>
      <c r="K334" s="222">
        <f>K103/K237</f>
        <v>0.052240526767552</v>
      </c>
      <c r="L334" s="222">
        <f>L103/L237</f>
        <v>0.0381863158475673</v>
      </c>
      <c r="N334" s="222">
        <f>N103/N237</f>
        <v>0.0629754546649897</v>
      </c>
      <c r="O334" s="222">
        <f>O103/O237</f>
        <v>0.0385558517602757</v>
      </c>
      <c r="P334" s="222">
        <f>P103/P237</f>
        <v>0.0497055096294858</v>
      </c>
      <c r="Q334" s="222">
        <f>Q103/Q237</f>
        <v>0.0114593525618727</v>
      </c>
      <c r="S334" s="222">
        <f>S103/S237</f>
        <v>0.0334232070040051</v>
      </c>
      <c r="T334" s="222">
        <f>T103/T237</f>
        <v>0.0145689938630368</v>
      </c>
      <c r="U334" s="222">
        <f>U103/U237</f>
        <v>0.0335516719337473</v>
      </c>
      <c r="V334" s="222">
        <f>V103/V237</f>
        <v>0.0159025021656776</v>
      </c>
      <c r="X334" s="222">
        <f>X103/X237</f>
        <v>0.0322210686573384</v>
      </c>
      <c r="Y334" s="222">
        <f>Y103/Y237</f>
        <v>0.0319618031498341</v>
      </c>
      <c r="Z334" s="222">
        <f>Z103/Z237</f>
        <v>0.0351345925784679</v>
      </c>
      <c r="AA334" s="222">
        <f>AA103/AA237</f>
        <v>0.0156136862907874</v>
      </c>
      <c r="AC334" s="222">
        <f>AC103/AC237</f>
        <v>0.0336990177021579</v>
      </c>
      <c r="AD334" s="222">
        <f>AD103/AD237</f>
        <v>0.0278399821223577</v>
      </c>
      <c r="AE334" s="222">
        <f>AE103/AE237</f>
        <v>0.0337274822787473</v>
      </c>
      <c r="AF334" s="222">
        <f>AF103/AF237</f>
        <v>0.0189017551242578</v>
      </c>
      <c r="AH334" s="222">
        <f>AH103/AH237</f>
        <v>0.0167695439272371</v>
      </c>
      <c r="AI334" s="222">
        <f>AI103/AI237</f>
        <v>0.0617542688675491</v>
      </c>
      <c r="AJ334" s="222">
        <f>AJ103/AJ237</f>
        <v>0.0151468774114002</v>
      </c>
      <c r="AK334" s="222">
        <f>AK103/AK237</f>
        <v>0.0561723642178478</v>
      </c>
      <c r="AM334" s="222">
        <f>AM103/AM237</f>
        <v>0.0537898193504244</v>
      </c>
      <c r="AN334" s="222">
        <f>AN103/AN237</f>
        <v>0.119364909783239</v>
      </c>
      <c r="AO334" s="222">
        <f>AO103/AO237</f>
        <v>0.0450238198823066</v>
      </c>
      <c r="AP334" s="222">
        <f>AP103/AP237</f>
        <v>0.101564810731704</v>
      </c>
      <c r="AR334" s="222">
        <f>AR103/AR237</f>
        <v>0.0926147316424405</v>
      </c>
      <c r="AS334" s="222">
        <f>AS103/AS237</f>
        <v>0.205973979167948</v>
      </c>
      <c r="AT334" s="222">
        <f>AT103/AT237</f>
        <v>0.0684094597753642</v>
      </c>
      <c r="AU334" s="222">
        <f>AU103/AU237</f>
        <v>0.160613490369607</v>
      </c>
      <c r="AW334" s="222">
        <f>AW103/AW237</f>
        <v>0.138607658923622</v>
      </c>
      <c r="AX334" s="222">
        <f>AX103/AX237</f>
        <v>0.273581995704853</v>
      </c>
      <c r="AY334" s="222">
        <f>AY103/AY237</f>
        <v>0.0914490530674752</v>
      </c>
      <c r="AZ334" s="222">
        <f>AZ103/AZ237</f>
        <v>0.198922504815787</v>
      </c>
      <c r="BB334" s="222">
        <f>BB103/BB237</f>
        <v>0.166014979187009</v>
      </c>
      <c r="BC334" s="222">
        <f>BC103/BC237</f>
        <v>0.312456478781579</v>
      </c>
      <c r="BD334" s="222">
        <f>BD103/BD237</f>
        <v>0.102441113752131</v>
      </c>
      <c r="BE334" s="222">
        <f>BE103/BE237</f>
        <v>0.218963610322164</v>
      </c>
      <c r="BG334" s="222">
        <f>BG103/BG237</f>
        <v>0.17966937887554</v>
      </c>
      <c r="BH334" s="222">
        <f>BH103/BH237</f>
        <v>0.329175991870055</v>
      </c>
      <c r="BI334" s="222">
        <f>BI103/BI237</f>
        <v>0.107560164664451</v>
      </c>
      <c r="BJ334" s="222">
        <f>BJ103/BJ237</f>
        <v>0.227042761099886</v>
      </c>
      <c r="BL334" s="222">
        <f>BL103/BL237</f>
        <v>0.185046957563249</v>
      </c>
      <c r="BM334" s="222">
        <f>BM103/BM237</f>
        <v>0.335830602778232</v>
      </c>
      <c r="BN334" s="222">
        <f>BN103/BN237</f>
        <v>0.109450015848164</v>
      </c>
      <c r="BO334" s="222">
        <f>BO103/BO237</f>
        <v>0.230212714715818</v>
      </c>
      <c r="BQ334" s="222">
        <f>BQ103/BQ237</f>
        <v>0.187137804901703</v>
      </c>
      <c r="BR334" s="222">
        <f>BR103/BR237</f>
        <v>0.338301274403524</v>
      </c>
      <c r="BS334" s="222">
        <f>BS103/BS237</f>
        <v>0.110184534253685</v>
      </c>
      <c r="BT334" s="222">
        <f>BT103/BT237</f>
        <v>0.231372687169196</v>
      </c>
      <c r="BV334" s="222">
        <f>BV103/BV237</f>
        <v>0.18790014960868</v>
      </c>
      <c r="BW334" s="222">
        <f>BW103/BW237</f>
        <v>0.339218765558443</v>
      </c>
      <c r="BX334" s="222">
        <f>BX103/BX237</f>
        <v>0.110447525526106</v>
      </c>
      <c r="BY334" s="222">
        <f>BY103/BY237</f>
        <v>0.231803952743438</v>
      </c>
      <c r="CA334" s="222">
        <f>CA103/CA237</f>
        <v>0.188183226274321</v>
      </c>
      <c r="CB334" s="222">
        <f>CB103/CB237</f>
        <v>0.339553008309744</v>
      </c>
      <c r="CC334" s="222">
        <f>CC103/CC237</f>
        <v>0.110545816096826</v>
      </c>
      <c r="CD334" s="222">
        <f>CD103/CD237</f>
        <v>0.231960379780191</v>
      </c>
      <c r="CF334" s="222">
        <f>CF103/CF237</f>
        <v>0.188285848539932</v>
      </c>
      <c r="CG334" s="222">
        <f>CG103/CG237</f>
        <v>0.339675628265707</v>
      </c>
      <c r="CH334" s="222">
        <f>CH103/CH237</f>
        <v>0.110581190746794</v>
      </c>
      <c r="CI334" s="222">
        <f>CI103/CI237</f>
        <v>0.232017877454446</v>
      </c>
      <c r="CK334" s="222">
        <f>CK103/CK237</f>
        <v>0.188323563271017</v>
      </c>
      <c r="CL334" s="222">
        <f>CL103/CL237</f>
        <v>0.339720266012868</v>
      </c>
      <c r="CM334" s="222">
        <f>CM103/CM237</f>
        <v>0.110594249037915</v>
      </c>
      <c r="CN334" s="222">
        <f>CN103/CN237</f>
        <v>0.232038769438361</v>
      </c>
      <c r="CP334" s="222">
        <f>CP103/CP237</f>
        <v>0.188337265712329</v>
      </c>
      <c r="CQ334" s="222">
        <f>CQ103/CQ237</f>
        <v>0.33973659244869</v>
      </c>
      <c r="CR334" s="222">
        <f>CR103/CR237</f>
        <v>0.110598976413488</v>
      </c>
      <c r="CS334" s="222">
        <f>CS103/CS237</f>
        <v>0.232046420106154</v>
      </c>
      <c r="CU334" s="222">
        <f>CU103/CU237</f>
        <v>0.188342283453418</v>
      </c>
      <c r="CV334" s="222">
        <f>CV103/CV237</f>
        <v>0.339742541120092</v>
      </c>
      <c r="CW334" s="222">
        <f>CW103/CW237</f>
        <v>0.110600711907711</v>
      </c>
      <c r="CX334" s="222">
        <f>CX103/CX237</f>
        <v>0.232049205074885</v>
      </c>
    </row>
    <row r="336">
      <c r="C336" s="53" t="inlineStr">
        <is>
          <t>Scenario Analysis</t>
        </is>
      </c>
      <c r="D336" s="5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  <c r="AA336" s="53" t="n"/>
      <c r="AB336" s="53" t="n"/>
      <c r="AC336" s="53" t="n"/>
      <c r="AD336" s="53" t="n"/>
      <c r="AE336" s="53" t="n"/>
      <c r="AF336" s="53" t="n"/>
      <c r="AG336" s="53" t="n"/>
      <c r="AH336" s="53" t="n"/>
      <c r="AI336" s="53" t="n"/>
      <c r="AJ336" s="53" t="n"/>
      <c r="AK336" s="53" t="n"/>
      <c r="AL336" s="53" t="n"/>
      <c r="AM336" s="53" t="n"/>
      <c r="AN336" s="53" t="n"/>
      <c r="AO336" s="53" t="n"/>
      <c r="AP336" s="53" t="n"/>
      <c r="AQ336" s="53" t="n"/>
      <c r="AR336" s="53" t="n"/>
      <c r="AS336" s="53" t="n"/>
      <c r="AT336" s="53" t="n"/>
      <c r="AU336" s="53" t="n"/>
      <c r="AV336" s="53" t="n"/>
      <c r="AW336" s="53" t="n"/>
      <c r="AX336" s="53" t="n"/>
      <c r="AY336" s="53" t="n"/>
      <c r="AZ336" s="53" t="n"/>
      <c r="BA336" s="53" t="n"/>
      <c r="BB336" s="53" t="n"/>
      <c r="BC336" s="53" t="n"/>
      <c r="BD336" s="53" t="n"/>
      <c r="BE336" s="53" t="n"/>
      <c r="BF336" s="53" t="n"/>
      <c r="BG336" s="53" t="n"/>
      <c r="BH336" s="53" t="n"/>
      <c r="BI336" s="53" t="n"/>
      <c r="BJ336" s="53" t="n"/>
      <c r="BK336" s="53" t="n"/>
      <c r="BL336" s="53" t="n"/>
      <c r="BM336" s="53" t="n"/>
      <c r="BN336" s="53" t="n"/>
      <c r="BO336" s="53" t="n"/>
      <c r="BP336" s="53" t="n"/>
      <c r="BQ336" s="53" t="n"/>
      <c r="BR336" s="53" t="n"/>
      <c r="BS336" s="53" t="n"/>
      <c r="BT336" s="53" t="n"/>
      <c r="BU336" s="53" t="n"/>
      <c r="BV336" s="53" t="n"/>
      <c r="BW336" s="53" t="n"/>
      <c r="BX336" s="53" t="n"/>
      <c r="BY336" s="53" t="n"/>
      <c r="BZ336" s="53" t="n"/>
      <c r="CA336" s="53" t="n"/>
      <c r="CB336" s="53" t="n"/>
      <c r="CC336" s="53" t="n"/>
      <c r="CD336" s="53" t="n"/>
      <c r="CE336" s="53" t="n"/>
      <c r="CF336" s="53" t="n"/>
      <c r="CG336" s="53" t="n"/>
      <c r="CH336" s="53" t="n"/>
      <c r="CI336" s="53" t="n"/>
      <c r="CJ336" s="53" t="n"/>
      <c r="CK336" s="53" t="n"/>
      <c r="CL336" s="53" t="n"/>
      <c r="CM336" s="53" t="n"/>
      <c r="CN336" s="53" t="n"/>
      <c r="CO336" s="53" t="n"/>
      <c r="CP336" s="53" t="n"/>
      <c r="CQ336" s="53" t="n"/>
      <c r="CR336" s="53" t="n"/>
      <c r="CS336" s="53" t="n"/>
      <c r="CT336" s="53" t="n"/>
      <c r="CU336" s="53" t="n"/>
      <c r="CV336" s="53" t="n"/>
      <c r="CW336" s="53" t="n"/>
      <c r="CX336" s="53" t="n"/>
      <c r="CY336" s="53" t="n"/>
    </row>
    <row r="339">
      <c r="C339" s="4" t="inlineStr">
        <is>
          <t>Bull case</t>
        </is>
      </c>
    </row>
    <row r="340">
      <c r="C340" s="4" t="inlineStr">
        <is>
          <t>Base case</t>
        </is>
      </c>
    </row>
    <row r="341">
      <c r="C341" s="4" t="inlineStr">
        <is>
          <t>Bear case</t>
        </is>
      </c>
    </row>
    <row r="344">
      <c r="C344" s="4" t="inlineStr">
        <is>
          <t>Bull case</t>
        </is>
      </c>
    </row>
    <row r="345">
      <c r="C345" s="4" t="inlineStr">
        <is>
          <t>Base case</t>
        </is>
      </c>
    </row>
    <row r="346">
      <c r="C346" s="4" t="inlineStr">
        <is>
          <t>Bear case</t>
        </is>
      </c>
    </row>
    <row r="349">
      <c r="C349" s="4" t="inlineStr">
        <is>
          <t>% Gross Margin</t>
        </is>
      </c>
    </row>
    <row r="350">
      <c r="C350" s="4" t="inlineStr">
        <is>
          <t>Bull case</t>
        </is>
      </c>
    </row>
    <row r="351">
      <c r="C351" s="4" t="inlineStr">
        <is>
          <t>Base case</t>
        </is>
      </c>
    </row>
    <row r="352">
      <c r="C352" s="4" t="inlineStr">
        <is>
          <t>Bear case</t>
        </is>
      </c>
    </row>
    <row r="355">
      <c r="C355" s="4" t="inlineStr">
        <is>
          <t>Capital expenditures</t>
        </is>
      </c>
    </row>
    <row r="356">
      <c r="C356" s="4" t="inlineStr">
        <is>
          <t>Bull case</t>
        </is>
      </c>
    </row>
    <row r="357">
      <c r="C357" s="4" t="inlineStr">
        <is>
          <t>Base case</t>
        </is>
      </c>
    </row>
    <row r="358">
      <c r="C358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281:G281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281:L281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281:Q281">
    <cfRule type="cellIs" priority="44" operator="notEqual" dxfId="0">
      <formula>0</formula>
    </cfRule>
  </conditionalFormatting>
  <conditionalFormatting sqref="S281:V281">
    <cfRule type="cellIs" priority="43" operator="notEqual" dxfId="0">
      <formula>0</formula>
    </cfRule>
  </conditionalFormatting>
  <conditionalFormatting sqref="X281:AA281">
    <cfRule type="cellIs" priority="42" operator="notEqual" dxfId="0">
      <formula>0</formula>
    </cfRule>
  </conditionalFormatting>
  <conditionalFormatting sqref="AC281:AF281">
    <cfRule type="cellIs" priority="41" operator="notEqual" dxfId="0">
      <formula>0</formula>
    </cfRule>
  </conditionalFormatting>
  <conditionalFormatting sqref="AH281:AK281">
    <cfRule type="cellIs" priority="14" operator="notEqual" dxfId="0">
      <formula>0</formula>
    </cfRule>
  </conditionalFormatting>
  <conditionalFormatting sqref="AM281:AP281">
    <cfRule type="cellIs" priority="13" operator="notEqual" dxfId="0">
      <formula>0</formula>
    </cfRule>
  </conditionalFormatting>
  <conditionalFormatting sqref="AR281:AU281">
    <cfRule type="cellIs" priority="12" operator="notEqual" dxfId="0">
      <formula>0</formula>
    </cfRule>
  </conditionalFormatting>
  <conditionalFormatting sqref="AW281:AZ281">
    <cfRule type="cellIs" priority="11" operator="notEqual" dxfId="0">
      <formula>0</formula>
    </cfRule>
  </conditionalFormatting>
  <conditionalFormatting sqref="BB281:BE281">
    <cfRule type="cellIs" priority="10" operator="notEqual" dxfId="0">
      <formula>0</formula>
    </cfRule>
  </conditionalFormatting>
  <conditionalFormatting sqref="BG281:BJ281">
    <cfRule type="cellIs" priority="9" operator="notEqual" dxfId="0">
      <formula>0</formula>
    </cfRule>
  </conditionalFormatting>
  <conditionalFormatting sqref="BL281:BO281">
    <cfRule type="cellIs" priority="8" operator="notEqual" dxfId="0">
      <formula>0</formula>
    </cfRule>
  </conditionalFormatting>
  <conditionalFormatting sqref="BQ281:BT281">
    <cfRule type="cellIs" priority="7" operator="notEqual" dxfId="0">
      <formula>0</formula>
    </cfRule>
  </conditionalFormatting>
  <conditionalFormatting sqref="BV281:BY281">
    <cfRule type="cellIs" priority="6" operator="notEqual" dxfId="0">
      <formula>0</formula>
    </cfRule>
  </conditionalFormatting>
  <conditionalFormatting sqref="CA281:CD281">
    <cfRule type="cellIs" priority="5" operator="notEqual" dxfId="0">
      <formula>0</formula>
    </cfRule>
  </conditionalFormatting>
  <conditionalFormatting sqref="CF281:CI281">
    <cfRule type="cellIs" priority="4" operator="notEqual" dxfId="0">
      <formula>0</formula>
    </cfRule>
  </conditionalFormatting>
  <conditionalFormatting sqref="CK281:CN281">
    <cfRule type="cellIs" priority="3" operator="notEqual" dxfId="0">
      <formula>0</formula>
    </cfRule>
  </conditionalFormatting>
  <conditionalFormatting sqref="CP281:CS281">
    <cfRule type="cellIs" priority="2" operator="notEqual" dxfId="0">
      <formula>0</formula>
    </cfRule>
  </conditionalFormatting>
  <conditionalFormatting sqref="CU281:CX281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e">
        <f>IF(scenario=2,"Base Case",IF(scenario=1,"Bull Case","Bear Case"))</f>
        <v>#NAME?</v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4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5">
        <f>YEAR(S17)</f>
        <v>2038</v>
      </c>
      <c r="T16" s="255">
        <f>YEAR(T17)</f>
        <v>2039</v>
      </c>
      <c r="U16" s="255">
        <f>YEAR(U17)</f>
        <v>2040</v>
      </c>
      <c r="V16" s="255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6470.85</v>
      </c>
      <c r="E18" s="83">
        <f>Model!AB15</f>
        <v>7684.659</v>
      </c>
      <c r="F18" s="83">
        <f>Model!AG15</f>
        <v>8291.18152196714</v>
      </c>
      <c r="G18" s="83">
        <f>Model!AL15</f>
        <v>8291.18152196714</v>
      </c>
      <c r="H18" s="83">
        <f>Model!AQ15</f>
        <v>8291.18152196714</v>
      </c>
      <c r="I18" s="83">
        <f>Model!AV15</f>
        <v>8291.18152196714</v>
      </c>
      <c r="J18" s="83">
        <f>Model!BA15</f>
        <v>8291.18152196714</v>
      </c>
      <c r="K18" s="83">
        <f>Model!BF15</f>
        <v>8291.18152196714</v>
      </c>
      <c r="L18" s="83">
        <f>Model!BK15</f>
        <v>8291.18152196714</v>
      </c>
      <c r="M18" s="83">
        <f>Model!BP15</f>
        <v>8291.18152196714</v>
      </c>
      <c r="N18" s="83">
        <f>Model!BU15</f>
        <v>8291.18152196714</v>
      </c>
      <c r="O18" s="83">
        <f>Model!BZ15</f>
        <v>8291.18152196714</v>
      </c>
      <c r="P18" s="83">
        <f>Model!CE15</f>
        <v>8291.18152196714</v>
      </c>
      <c r="Q18" s="83">
        <f>Model!CJ15</f>
        <v>8291.18152196714</v>
      </c>
      <c r="R18" s="83">
        <f>Model!CO15</f>
        <v>8291.18152196714</v>
      </c>
      <c r="S18" s="83" t="n"/>
      <c r="T18" s="83" t="n"/>
      <c r="U18" s="83" t="n"/>
      <c r="V18" s="84" t="n"/>
      <c r="X18" s="85">
        <f>((L18/F18)^(1/6))-1</f>
        <v>0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0.187581075129233</v>
      </c>
      <c r="F19" s="87">
        <f>F18/E18-1</f>
        <v>0.0789264067497519</v>
      </c>
      <c r="G19" s="87">
        <f>G18/F18-1</f>
        <v>0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Model!W35</f>
        <v>1591.15410589806</v>
      </c>
      <c r="E20" s="83">
        <f>Model!AB35</f>
        <v>1981.95</v>
      </c>
      <c r="F20" s="83">
        <f>Model!AG35</f>
        <v>2135.01771360392</v>
      </c>
      <c r="G20" s="83">
        <f>Model!AL35</f>
        <v>0</v>
      </c>
      <c r="H20" s="83">
        <f>Model!AQ35</f>
        <v>0</v>
      </c>
      <c r="I20" s="83">
        <f>Model!BA35</f>
        <v>0</v>
      </c>
      <c r="J20" s="83">
        <f>Model!BA35</f>
        <v>0</v>
      </c>
      <c r="K20" s="83">
        <f>Model!BF35</f>
        <v>0</v>
      </c>
      <c r="L20" s="83">
        <f>Model!BK35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0.245895686949637</v>
      </c>
      <c r="E21" s="92">
        <f>E20/E18</f>
        <v>0.257909947598195</v>
      </c>
      <c r="F21" s="92">
        <f>F20/F18</f>
        <v>0.257504640074189</v>
      </c>
      <c r="G21" s="92">
        <f>G20/G18</f>
        <v>0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Model!W39</f>
        <v>915.776017748059</v>
      </c>
      <c r="E22" s="83">
        <f>Model!AB39</f>
        <v>1201.967</v>
      </c>
      <c r="F22" s="83">
        <f>Model!AG39</f>
        <v>1234.70678407392</v>
      </c>
      <c r="G22" s="83">
        <f>Model!AL39</f>
        <v>0</v>
      </c>
      <c r="H22" s="83">
        <f>Model!AQ39</f>
        <v>0</v>
      </c>
      <c r="I22" s="83">
        <f>Model!AV39</f>
        <v>0</v>
      </c>
      <c r="J22" s="83">
        <f>Model!BA39</f>
        <v>0</v>
      </c>
      <c r="K22" s="83">
        <f>Model!BF39</f>
        <v>0</v>
      </c>
      <c r="L22" s="83">
        <f>Model!BK39</f>
        <v>0</v>
      </c>
      <c r="M22" s="83">
        <f>Model!BP39</f>
        <v>0</v>
      </c>
      <c r="N22" s="83">
        <f>Model!BU39</f>
        <v>0</v>
      </c>
      <c r="O22" s="83">
        <f>Model!BZ39</f>
        <v>0</v>
      </c>
      <c r="P22" s="83">
        <f>Model!CE39</f>
        <v>0</v>
      </c>
      <c r="Q22" s="83">
        <f>Model!CJ39</f>
        <v>0</v>
      </c>
      <c r="R22" s="83">
        <f>Model!CO39</f>
        <v>0</v>
      </c>
      <c r="S22" s="83" t="n"/>
      <c r="T22" s="83" t="n"/>
      <c r="U22" s="83" t="n"/>
      <c r="V22" s="84" t="n"/>
      <c r="X22" s="85">
        <f>((L22/F22)^(1/6))-1</f>
        <v>-1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0.141523295664103</v>
      </c>
      <c r="E23" s="92">
        <f>E22/E18</f>
        <v>0.156411234382684</v>
      </c>
      <c r="F23" s="92">
        <f>F22/F18</f>
        <v>0.148918074076971</v>
      </c>
      <c r="G23" s="92">
        <f>G22/G18</f>
        <v>0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Model!W98</f>
        <v>0.208041124967146</v>
      </c>
      <c r="E24" s="95">
        <f>Model!AB98</f>
        <v>0.231145451004101</v>
      </c>
      <c r="F24" s="95">
        <f>Model!AG98</f>
        <v>0.204151345045372</v>
      </c>
      <c r="G24" s="95">
        <f>Model!AL98</f>
        <v>0</v>
      </c>
      <c r="H24" s="95">
        <f>Model!AQ98</f>
        <v>0</v>
      </c>
      <c r="I24" s="95">
        <f>Model!AV98</f>
        <v>0</v>
      </c>
      <c r="J24" s="95">
        <f>Model!BA98</f>
        <v>0</v>
      </c>
      <c r="K24" s="95">
        <f>Model!BF98</f>
        <v>0</v>
      </c>
      <c r="L24" s="95">
        <f>Model!BK98</f>
        <v>0</v>
      </c>
      <c r="M24" s="95">
        <f>Model!BP98</f>
        <v>0</v>
      </c>
      <c r="N24" s="95">
        <f>Model!BU98</f>
        <v>0</v>
      </c>
      <c r="O24" s="95">
        <f>Model!BZ98</f>
        <v>0</v>
      </c>
      <c r="P24" s="95">
        <f>Model!CE98</f>
        <v>0</v>
      </c>
      <c r="Q24" s="95">
        <f>Model!CJ98</f>
        <v>0</v>
      </c>
      <c r="R24" s="95">
        <f>Model!CO98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725.25694479782</v>
      </c>
      <c r="E25" s="97">
        <f>E22*(1-E24)</f>
        <v>924.137795692953</v>
      </c>
      <c r="F25" s="97">
        <f>F22*(1-F24)</f>
        <v>982.639733368582</v>
      </c>
      <c r="G25" s="97">
        <f>G22*(1-G24)</f>
        <v>0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Model!W36</f>
        <v>-675.37808815</v>
      </c>
      <c r="E26" s="100">
        <f>Model!AB36</f>
        <v>-779.983</v>
      </c>
      <c r="F26" s="100">
        <f>Model!AG36</f>
        <v>-900.31092953</v>
      </c>
      <c r="G26" s="100">
        <f>Model!AL36</f>
        <v>0</v>
      </c>
      <c r="H26" s="100">
        <f>Model!AQ36</f>
        <v>0</v>
      </c>
      <c r="I26" s="100">
        <f>Model!AV36</f>
        <v>0</v>
      </c>
      <c r="J26" s="100">
        <f>Model!BA36</f>
        <v>0</v>
      </c>
      <c r="K26" s="100">
        <f>Model!BF36</f>
        <v>0</v>
      </c>
      <c r="L26" s="101">
        <f>Model!BK36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33.9710944400001</v>
      </c>
      <c r="E27" s="103">
        <f>SUM(E28:E39)</f>
        <v>-99.39</v>
      </c>
      <c r="F27" s="103">
        <f>SUM(F28:F39)</f>
        <v>337.839</v>
      </c>
      <c r="G27" s="103" t="e">
        <f>SUM(G28:G39)</f>
        <v>#DIV/0!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Model!W246</f>
        <v>-648.34493711</v>
      </c>
      <c r="E28" s="106">
        <f>Model!AB246</f>
        <v>-129.71</v>
      </c>
      <c r="F28" s="106">
        <f>Model!AG246</f>
        <v>-112.262</v>
      </c>
      <c r="G28" s="106">
        <f>Model!AL246</f>
        <v>1747.166</v>
      </c>
      <c r="H28" s="106">
        <f>Model!AQ246</f>
        <v>0</v>
      </c>
      <c r="I28" s="106">
        <f>Model!AV246</f>
        <v>0</v>
      </c>
      <c r="J28" s="106">
        <f>Model!BA246</f>
        <v>0</v>
      </c>
      <c r="K28" s="106">
        <f>Model!BF246</f>
        <v>0</v>
      </c>
      <c r="L28" s="107">
        <f>Model!BK246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Model!W247</f>
        <v>-38.35345429</v>
      </c>
      <c r="E29" s="106">
        <f>Model!AB247</f>
        <v>-20.107</v>
      </c>
      <c r="F29" s="106">
        <f>Model!AG247</f>
        <v>-25.666</v>
      </c>
      <c r="G29" s="106">
        <f>Model!AL247</f>
        <v>180.702</v>
      </c>
      <c r="H29" s="106">
        <f>Model!AQ247</f>
        <v>0</v>
      </c>
      <c r="I29" s="106">
        <f>Model!AV247</f>
        <v>0</v>
      </c>
      <c r="J29" s="106">
        <f>Model!BA247</f>
        <v>0</v>
      </c>
      <c r="K29" s="106">
        <f>Model!BF247</f>
        <v>0</v>
      </c>
      <c r="L29" s="107">
        <f>Model!BK247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Model!W248</f>
        <v>14.26833562</v>
      </c>
      <c r="E30" s="106">
        <f>Model!AB248</f>
        <v>13.878</v>
      </c>
      <c r="F30" s="106">
        <f>Model!AG248</f>
        <v>9.42</v>
      </c>
      <c r="G30" s="106">
        <f>Model!AL248</f>
        <v>0</v>
      </c>
      <c r="H30" s="106">
        <f>Model!AQ248</f>
        <v>0</v>
      </c>
      <c r="I30" s="106">
        <f>Model!AV248</f>
        <v>0</v>
      </c>
      <c r="J30" s="106">
        <f>Model!BA248</f>
        <v>0</v>
      </c>
      <c r="K30" s="106">
        <f>Model!BF248</f>
        <v>0</v>
      </c>
      <c r="L30" s="107">
        <f>Model!BK248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Model!W249</f>
        <v>0</v>
      </c>
      <c r="E31" s="106">
        <f>Model!AB249</f>
        <v>0</v>
      </c>
      <c r="F31" s="106">
        <f>Model!AG249</f>
        <v>0</v>
      </c>
      <c r="G31" s="106">
        <f>Model!AL249</f>
        <v>0</v>
      </c>
      <c r="H31" s="106">
        <f>Model!AQ249</f>
        <v>0</v>
      </c>
      <c r="I31" s="106">
        <f>Model!AV249</f>
        <v>0</v>
      </c>
      <c r="J31" s="106">
        <f>Model!BA249</f>
        <v>0</v>
      </c>
      <c r="K31" s="106">
        <f>Model!BF249</f>
        <v>0</v>
      </c>
      <c r="L31" s="107">
        <f>Model!BK249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Model!W250</f>
        <v>-110.81176757</v>
      </c>
      <c r="E32" s="106">
        <f>Model!AB250</f>
        <v>-4.81</v>
      </c>
      <c r="F32" s="106">
        <f>Model!AG250</f>
        <v>-87.095</v>
      </c>
      <c r="G32" s="106">
        <f>Model!AL250</f>
        <v>0</v>
      </c>
      <c r="H32" s="106">
        <f>Model!AQ250</f>
        <v>0</v>
      </c>
      <c r="I32" s="106">
        <f>Model!AV250</f>
        <v>0</v>
      </c>
      <c r="J32" s="106">
        <f>Model!BA250</f>
        <v>0</v>
      </c>
      <c r="K32" s="106">
        <f>Model!BF250</f>
        <v>0</v>
      </c>
      <c r="L32" s="107">
        <f>Model!BK250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Model!W251</f>
        <v>256.14510359</v>
      </c>
      <c r="E33" s="106">
        <f>Model!AB251</f>
        <v>83.596</v>
      </c>
      <c r="F33" s="106">
        <f>Model!AG251</f>
        <v>96.124</v>
      </c>
      <c r="G33" s="106">
        <f>Model!AL251</f>
        <v>-800.133</v>
      </c>
      <c r="H33" s="106">
        <f>Model!AQ251</f>
        <v>0</v>
      </c>
      <c r="I33" s="106">
        <f>Model!AV251</f>
        <v>0</v>
      </c>
      <c r="J33" s="106">
        <f>Model!BA251</f>
        <v>0</v>
      </c>
      <c r="K33" s="106">
        <f>Model!BF251</f>
        <v>0</v>
      </c>
      <c r="L33" s="107">
        <f>Model!BK251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Model!W252</f>
        <v>111.38870314</v>
      </c>
      <c r="E34" s="106">
        <f>Model!AB252</f>
        <v>42.913</v>
      </c>
      <c r="F34" s="106">
        <f>Model!AG252</f>
        <v>25.73</v>
      </c>
      <c r="G34" s="106" t="e">
        <f>Model!AL252</f>
        <v>#DIV/0!</v>
      </c>
      <c r="H34" s="106" t="e">
        <f>Model!AQ252</f>
        <v>#DIV/0!</v>
      </c>
      <c r="I34" s="106" t="e">
        <f>Model!AV252</f>
        <v>#DIV/0!</v>
      </c>
      <c r="J34" s="106" t="e">
        <f>Model!BA252</f>
        <v>#DIV/0!</v>
      </c>
      <c r="K34" s="106" t="e">
        <f>Model!BF252</f>
        <v>#DIV/0!</v>
      </c>
      <c r="L34" s="107" t="e">
        <f>Model!BK252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Model!W253</f>
        <v>32.66091996</v>
      </c>
      <c r="E35" s="106">
        <f>Model!AB253</f>
        <v>17.998</v>
      </c>
      <c r="F35" s="106">
        <f>Model!AG253</f>
        <v>-1.051</v>
      </c>
      <c r="G35" s="106" t="e">
        <f>Model!AL253</f>
        <v>#DIV/0!</v>
      </c>
      <c r="H35" s="106" t="e">
        <f>Model!AQ253</f>
        <v>#DIV/0!</v>
      </c>
      <c r="I35" s="106" t="e">
        <f>Model!AV253</f>
        <v>#DIV/0!</v>
      </c>
      <c r="J35" s="106" t="e">
        <f>Model!BA253</f>
        <v>#DIV/0!</v>
      </c>
      <c r="K35" s="106" t="e">
        <f>Model!BF253</f>
        <v>#DIV/0!</v>
      </c>
      <c r="L35" s="107" t="e">
        <f>Model!BK253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Model!W254</f>
        <v>7.94412116</v>
      </c>
      <c r="E36" s="106">
        <f>Model!AB254</f>
        <v>-5.75899999999999</v>
      </c>
      <c r="F36" s="106">
        <f>Model!AG254</f>
        <v>328.84</v>
      </c>
      <c r="G36" s="106">
        <f>Model!AL254</f>
        <v>0</v>
      </c>
      <c r="H36" s="106">
        <f>Model!AQ254</f>
        <v>0</v>
      </c>
      <c r="I36" s="106">
        <f>Model!AV254</f>
        <v>0</v>
      </c>
      <c r="J36" s="106">
        <f>Model!BA254</f>
        <v>0</v>
      </c>
      <c r="K36" s="106">
        <f>Model!BF254</f>
        <v>0</v>
      </c>
      <c r="L36" s="107">
        <f>Model!BK254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Model!W255</f>
        <v>182.94387576</v>
      </c>
      <c r="E37" s="106">
        <f>Model!AB255</f>
        <v>-8.73699999999997</v>
      </c>
      <c r="F37" s="106">
        <f>Model!AG255</f>
        <v>-14.2560000000001</v>
      </c>
      <c r="G37" s="106">
        <f>Model!AL255</f>
        <v>0</v>
      </c>
      <c r="H37" s="106">
        <f>Model!AQ255</f>
        <v>0</v>
      </c>
      <c r="I37" s="106">
        <f>Model!AV255</f>
        <v>0</v>
      </c>
      <c r="J37" s="106">
        <f>Model!BA255</f>
        <v>0</v>
      </c>
      <c r="K37" s="106">
        <f>Model!BF255</f>
        <v>0</v>
      </c>
      <c r="L37" s="107">
        <f>Model!BK255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(Model!W155-Model!R155)*-1</f>
        <v>1.96403408</v>
      </c>
      <c r="E38" s="106">
        <f>(Model!AB155-Model!W155)*-1</f>
        <v>-26.809</v>
      </c>
      <c r="F38" s="106">
        <f>(Model!AG155-Model!AB155)*-1</f>
        <v>-3.31099999999999</v>
      </c>
      <c r="G38" s="106">
        <f>(Model!AL155-Model!AG155)*-1</f>
        <v>0</v>
      </c>
      <c r="H38" s="106">
        <f>(Model!AQ155-Model!AL155)*-1</f>
        <v>0</v>
      </c>
      <c r="I38" s="106">
        <f>(Model!AV155-Model!AQ155)*-1</f>
        <v>0</v>
      </c>
      <c r="J38" s="106">
        <f>(Model!BA155-Model!AV155)*-1</f>
        <v>0</v>
      </c>
      <c r="K38" s="106">
        <f>(Model!BF155-Model!BA155)*-1</f>
        <v>0</v>
      </c>
      <c r="L38" s="107">
        <f>(Model!BK155-Model!BF155)*-1</f>
        <v>0</v>
      </c>
      <c r="M38">
        <f>(Model!BP155-Model!BK155)*-1</f>
        <v>0</v>
      </c>
      <c r="N38">
        <f>(Model!BU155-Model!BP155)*-1</f>
        <v>0</v>
      </c>
      <c r="O38">
        <f>(Model!BZ155-Model!BU155)*-1</f>
        <v>0</v>
      </c>
      <c r="P38">
        <f>(Model!CE155-Model!BZ155)*-1</f>
        <v>0</v>
      </c>
      <c r="Q38">
        <f>(Model!CJ155-Model!CE155)*-1</f>
        <v>0</v>
      </c>
      <c r="R38">
        <f>(Model!CO155-Model!CJ155)*-1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Model!W206-Model!R206</f>
        <v>224.1661601</v>
      </c>
      <c r="E39" s="106">
        <f>Model!AB206-Model!W206</f>
        <v>-61.843</v>
      </c>
      <c r="F39" s="106">
        <f>Model!AG206-Model!AB206</f>
        <v>121.366</v>
      </c>
      <c r="G39" s="106">
        <f>Model!AL206-Model!AG206</f>
        <v>0</v>
      </c>
      <c r="H39" s="106">
        <f>Model!AQ206-Model!AL206</f>
        <v>0</v>
      </c>
      <c r="I39" s="106">
        <f>Model!AV206-Model!AQ206</f>
        <v>0</v>
      </c>
      <c r="J39" s="106">
        <f>Model!BA206-Model!AV206</f>
        <v>0</v>
      </c>
      <c r="K39" s="106">
        <f>Model!BF206-Model!BA206</f>
        <v>0</v>
      </c>
      <c r="L39" s="107">
        <f>Model!BK206-Model!BF206</f>
        <v>0</v>
      </c>
      <c r="M39">
        <f>Model!BP206-Model!BK206</f>
        <v>0</v>
      </c>
      <c r="N39">
        <f>Model!BU206-Model!BP206</f>
        <v>0</v>
      </c>
      <c r="O39">
        <f>Model!BZ206-Model!BU206</f>
        <v>0</v>
      </c>
      <c r="P39">
        <f>Model!CE206-Model!BZ206</f>
        <v>0</v>
      </c>
      <c r="Q39">
        <f>Model!CJ206-Model!CE206</f>
        <v>0</v>
      </c>
      <c r="R39">
        <f>Model!CO206-Model!CJ206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-641.40699371</v>
      </c>
      <c r="E44" s="103">
        <f>SUM(E27+E40+E41+E42+E26)</f>
        <v>-879.373</v>
      </c>
      <c r="F44" s="103">
        <f>SUM(F27+F40+F41+F42+F26)</f>
        <v>-562.47192953</v>
      </c>
      <c r="G44" s="103" t="e">
        <f>SUM(G27+G40+G41+G42+G26)</f>
        <v>#DIV/0!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>
        <f>+L46-M46</f>
        <v>0</v>
      </c>
      <c r="N44" s="103">
        <f>+M46-N46</f>
        <v>0</v>
      </c>
      <c r="O44" s="103">
        <f>+N46-O46</f>
        <v>0</v>
      </c>
      <c r="P44" s="103">
        <f>+O46-P46</f>
        <v>0</v>
      </c>
      <c r="Q44" s="103">
        <f>+P46-Q46</f>
        <v>0</v>
      </c>
      <c r="R44" s="103">
        <f>+Q46-R46</f>
        <v>0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Model!W316</f>
        <v>0</v>
      </c>
      <c r="E46" s="106">
        <f>Model!AB316</f>
        <v>0</v>
      </c>
      <c r="F46" s="106">
        <f>Model!AG316</f>
        <v>0</v>
      </c>
      <c r="G46" s="106">
        <f>Model!AL316</f>
        <v>0</v>
      </c>
      <c r="H46" s="106">
        <f>Model!AQ316</f>
        <v>0</v>
      </c>
      <c r="I46" s="106">
        <f>Model!AV316</f>
        <v>0</v>
      </c>
      <c r="J46" s="106">
        <f>Model!BA316</f>
        <v>0</v>
      </c>
      <c r="K46" s="106">
        <f>Model!BF316</f>
        <v>0</v>
      </c>
      <c r="L46" s="106">
        <f>Model!BK316</f>
        <v>0</v>
      </c>
      <c r="M46" s="115">
        <f>Model!BP316</f>
        <v>0</v>
      </c>
      <c r="N46" s="115">
        <f>Model!BU316</f>
        <v>0</v>
      </c>
      <c r="O46" s="115">
        <f>Model!BZ316</f>
        <v>0</v>
      </c>
      <c r="P46" s="115">
        <f>Model!CE316</f>
        <v>0</v>
      </c>
      <c r="Q46" s="115">
        <f>Model!CJ316</f>
        <v>0</v>
      </c>
      <c r="R46" s="115">
        <f>Model!CO316</f>
        <v>0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Model!W317</f>
        <v>0</v>
      </c>
      <c r="E47" s="106">
        <f>Model!AB317</f>
        <v>0</v>
      </c>
      <c r="F47" s="106">
        <f>Model!AG317</f>
        <v>0</v>
      </c>
      <c r="G47" s="106">
        <f>Model!AL317</f>
        <v>0</v>
      </c>
      <c r="H47" s="106">
        <f>Model!AQ317</f>
        <v>0</v>
      </c>
      <c r="I47" s="106">
        <f>Model!AV317</f>
        <v>0</v>
      </c>
      <c r="J47" s="106">
        <f>Model!BA317</f>
        <v>0</v>
      </c>
      <c r="K47" s="106">
        <f>Model!BF317</f>
        <v>0</v>
      </c>
      <c r="L47" s="106">
        <f>Model!BK317</f>
        <v>0</v>
      </c>
      <c r="M47">
        <f>Model!BP317</f>
        <v>0</v>
      </c>
      <c r="N47">
        <f>Model!BU317</f>
        <v>0</v>
      </c>
      <c r="O47">
        <f>Model!BZ317</f>
        <v>0</v>
      </c>
      <c r="P47">
        <f>Model!CE317</f>
        <v>0</v>
      </c>
      <c r="Q47">
        <f>Model!CJ317</f>
        <v>0</v>
      </c>
      <c r="R47">
        <f>Model!CO317</f>
        <v>0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</v>
      </c>
      <c r="E48" s="92">
        <f>E46/E18</f>
        <v>0</v>
      </c>
      <c r="F48" s="92">
        <f>F46/F18</f>
        <v>0</v>
      </c>
      <c r="G48" s="92">
        <f>G46/G18</f>
        <v>0</v>
      </c>
      <c r="H48" s="92">
        <f>H46/H18</f>
        <v>0</v>
      </c>
      <c r="I48" s="92">
        <f>I46/I18</f>
        <v>0</v>
      </c>
      <c r="J48" s="92">
        <f>J46/J18</f>
        <v>0</v>
      </c>
      <c r="K48" s="92">
        <f>K46/K18</f>
        <v>0</v>
      </c>
      <c r="L48" s="92">
        <f>L46/L18</f>
        <v>0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 t="e">
        <v>#VALUE!</v>
      </c>
      <c r="H50" s="120" t="e">
        <v>#VALUE!</v>
      </c>
      <c r="I50" s="120" t="e">
        <v>#VALUE!</v>
      </c>
      <c r="J50" s="120" t="e">
        <v>#VALUE!</v>
      </c>
      <c r="K50" s="120" t="e">
        <v>#VALUE!</v>
      </c>
      <c r="L50" s="120" t="e">
        <v>#VALUE!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#VALUE!</v>
      </c>
      <c r="Z50" s="123" t="e">
        <f>R50</f>
        <v>#DIV/0!</v>
      </c>
    </row>
    <row r="51">
      <c r="C51" s="68" t="inlineStr">
        <is>
          <t>Capital Turnover</t>
        </is>
      </c>
      <c r="D51" s="124" t="e">
        <f>D18/D46</f>
        <v>#DIV/0!</v>
      </c>
      <c r="E51" s="124" t="e">
        <f>E18/E46</f>
        <v>#DIV/0!</v>
      </c>
      <c r="F51" s="124" t="e">
        <f>F18/F46</f>
        <v>#DIV/0!</v>
      </c>
      <c r="G51" s="124" t="e">
        <f>G18/G46</f>
        <v>#DIV/0!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83.8499510878203</v>
      </c>
      <c r="E53" s="125">
        <f>E25+E44</f>
        <v>44.7647956929534</v>
      </c>
      <c r="F53" s="125">
        <f>F25+F44</f>
        <v>420.167803838582</v>
      </c>
      <c r="G53" s="126" t="e">
        <f>(G25+G44)*stub_year_fraction</f>
        <v>#DIV/0!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>
        <f>M25+M44</f>
        <v>0</v>
      </c>
      <c r="N53" s="125">
        <f>N25+N44</f>
        <v>0</v>
      </c>
      <c r="O53" s="125">
        <f>O25+O44</f>
        <v>0</v>
      </c>
      <c r="P53" s="125">
        <f>P25+P44</f>
        <v>0</v>
      </c>
      <c r="Q53" s="125">
        <f>Q25+Q44</f>
        <v>0</v>
      </c>
      <c r="R53" s="125">
        <f>R25+R44</f>
        <v>0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0.204151345045372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2026-10-12T09:35:35Z</dcterms:modified>
  <cp:lastModifiedBy>Lucas Nascimento</cp:lastModifiedBy>
</cp:coreProperties>
</file>