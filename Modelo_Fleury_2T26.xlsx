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  <sheet xmlns:r="http://schemas.openxmlformats.org/officeDocument/2006/relationships" name="Control" sheetId="5" state="visible" r:id="rId5"/>
  </sheets>
  <definedNames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BalType" hidden="1">TRUE()</definedName>
    <definedName name="beta_observed">Valuation!$D$93</definedName>
    <definedName name="GrpAcct1" hidden="1">"5611"</definedName>
    <definedName name="GrpAcct2" hidden="1">"5612"</definedName>
    <definedName name="GrpLevel" hidden="1">2</definedName>
    <definedName name="last_close">Valuation!$G$7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owLevel" hidden="1">1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ColumnsCount" hidden="1">2</definedName>
    <definedName name="XRefCopyRangeCount" hidden="1">5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</definedNames>
  <calcPr calcId="191029" fullCalcOnLoad="1"/>
</workbook>
</file>

<file path=xl/styles.xml><?xml version="1.0" encoding="utf-8"?>
<styleSheet xmlns="http://schemas.openxmlformats.org/spreadsheetml/2006/main">
  <numFmts count="39">
    <numFmt numFmtId="164" formatCode="#,##0_ ;[Red]\-#,##0\ "/>
    <numFmt numFmtId="165" formatCode="#,##0_);[Red]\(#,##0\)"/>
    <numFmt numFmtId="166" formatCode="#,##0.0_);[Red]\(#,##0.0\)"/>
    <numFmt numFmtId="167" formatCode="#,##0.0_ ;[Red]\-#,##0.0\ "/>
    <numFmt numFmtId="168" formatCode="[$-409]d\-mmm;@"/>
    <numFmt numFmtId="169" formatCode="[$-409]d\-mmm"/>
    <numFmt numFmtId="170" formatCode="[$-416]d\-mmm"/>
    <numFmt numFmtId="171" formatCode="0.0%"/>
    <numFmt numFmtId="172" formatCode="#,##0.0;[Red]#,##0.0"/>
    <numFmt numFmtId="173" formatCode="#,##0.00_);[Red]\(#,##0.00\)"/>
    <numFmt numFmtId="174" formatCode="0.0\x"/>
    <numFmt numFmtId="175" formatCode="0.0"/>
    <numFmt numFmtId="176" formatCode="[$-409]d\-mmm\-yy;@"/>
    <numFmt numFmtId="177" formatCode="[$BRL]\ #,##0.00_);[Red]\([$BRL]\ #,##0.00\)"/>
    <numFmt numFmtId="178" formatCode="#,##0.0_);\(#,##0.0\)"/>
    <numFmt numFmtId="179" formatCode="#,##0.000_);\(#,##0.000\)"/>
    <numFmt numFmtId="180" formatCode="&quot;R$ &quot;#,##0.00"/>
    <numFmt numFmtId="181" formatCode="#,##0.0\x"/>
    <numFmt numFmtId="182" formatCode="\$#,##0.00_);&quot;($&quot;#,##0.00\)"/>
    <numFmt numFmtId="183" formatCode="#,##0.000_);[Red]\(#,##0.000\)"/>
    <numFmt numFmtId="184" formatCode="\$#,##0.00_);[Red]&quot;($&quot;#,##0.00\)"/>
    <numFmt numFmtId="185" formatCode="\$#,##0.0_);&quot;($&quot;#,##0.0\)"/>
    <numFmt numFmtId="186" formatCode="#,##0_);\(#,##0\)"/>
    <numFmt numFmtId="187" formatCode="0.0%;\(0.0%\)"/>
    <numFmt numFmtId="188" formatCode="0.000"/>
    <numFmt numFmtId="189" formatCode="#,##0.00_);\(#,##0.00\)"/>
    <numFmt numFmtId="190" formatCode="#,##0.0"/>
    <numFmt numFmtId="191" formatCode="0.00\x"/>
    <numFmt numFmtId="192" formatCode="0.0&quot;x&quot;"/>
    <numFmt numFmtId="193" formatCode="#,##0.0;\(#,##0.0\)"/>
    <numFmt numFmtId="194" formatCode="_(* #,##0.00_);_(* \(#,##0.00\);_(* \-??_);_(@_)"/>
    <numFmt numFmtId="195" formatCode="_(* #,##0_);_(* \(#,##0\);_(* \-_);_(@_)"/>
    <numFmt numFmtId="196" formatCode="_(\$* #,##0.00_);_(\$* \(#,##0.00\);_(\$* \-??_);_(@_)"/>
    <numFmt numFmtId="197" formatCode="_(\$* #,##0_);_(\$* \(#,##0\);_(\$* \-_);_(@_)"/>
    <numFmt numFmtId="198" formatCode="m/d/yyyy"/>
    <numFmt numFmtId="199" formatCode="0_);\(0\)"/>
    <numFmt numFmtId="200" formatCode="#,##0.0;(#,##0.0)"/>
    <numFmt numFmtId="201" formatCode="0.00x"/>
    <numFmt numFmtId="202" formatCode="dd/mm/yyyy"/>
  </numFmts>
  <fonts count="26">
    <font>
      <name val="Arial"/>
      <family val="2"/>
      <sz val="10"/>
    </font>
    <font>
      <name val="Arial"/>
      <charset val="1"/>
      <sz val="10"/>
    </font>
    <font>
      <name val="Arial"/>
      <charset val="1"/>
      <b val="1"/>
      <sz val="8"/>
    </font>
    <font>
      <name val="Aptos Narrow"/>
      <charset val="1"/>
      <color theme="1"/>
      <sz val="11"/>
    </font>
    <font>
      <name val="Verdana"/>
      <charset val="1"/>
      <color theme="1"/>
      <sz val="10"/>
    </font>
    <font>
      <name val="Arial"/>
      <charset val="1"/>
      <sz val="8"/>
    </font>
    <font>
      <name val="Arial"/>
      <charset val="1"/>
      <b val="1"/>
      <color rgb="FF333333"/>
      <sz val="10"/>
    </font>
    <font>
      <name val="Calibri"/>
      <charset val="1"/>
      <color rgb="FF000000"/>
      <sz val="11"/>
    </font>
    <font>
      <name val="Cambria"/>
      <charset val="1"/>
      <b val="1"/>
      <color rgb="FFFFFFFF"/>
      <sz val="11"/>
    </font>
    <font>
      <name val="Cambria"/>
      <charset val="1"/>
      <b val="1"/>
      <color rgb="FF17365D"/>
      <sz val="11"/>
    </font>
    <font>
      <name val="Verdana"/>
      <charset val="1"/>
      <color rgb="FF0000FF"/>
      <sz val="10"/>
    </font>
    <font>
      <name val="Verdana"/>
      <charset val="1"/>
      <b val="1"/>
      <color theme="1"/>
      <sz val="10"/>
    </font>
    <font>
      <name val="Verdana"/>
      <charset val="1"/>
      <b val="1"/>
      <color rgb="FFFFFFFF"/>
      <sz val="10"/>
    </font>
    <font>
      <name val="Verdana"/>
      <charset val="1"/>
      <i val="1"/>
      <color theme="1"/>
      <sz val="10"/>
    </font>
    <font>
      <name val="Verdana"/>
      <charset val="1"/>
      <sz val="10"/>
    </font>
    <font>
      <name val="Verdana"/>
      <charset val="1"/>
      <b val="1"/>
      <color theme="0"/>
      <sz val="10"/>
    </font>
    <font>
      <name val="Verdana"/>
      <charset val="1"/>
      <b val="1"/>
      <sz val="10"/>
    </font>
    <font>
      <name val="Verdana"/>
      <charset val="1"/>
      <b val="1"/>
      <color theme="0" tint="-0.0499893185216834"/>
      <sz val="10"/>
    </font>
    <font>
      <name val="Verdana"/>
      <charset val="1"/>
      <b val="1"/>
      <color rgb="FF333333"/>
      <sz val="10"/>
    </font>
    <font>
      <name val="Verdana"/>
      <charset val="1"/>
      <b val="1"/>
      <color rgb="FF0000FF"/>
      <sz val="10"/>
    </font>
    <font>
      <name val="Verdana"/>
      <charset val="1"/>
      <color rgb="FF008000"/>
      <sz val="10"/>
    </font>
    <font>
      <name val="Cambria"/>
      <charset val="1"/>
      <b val="1"/>
      <color rgb="FFFFFFFF"/>
      <sz val="14"/>
    </font>
    <font>
      <name val="Cambria"/>
      <charset val="1"/>
      <color rgb="FF0000FF"/>
      <sz val="11"/>
    </font>
    <font>
      <name val="Verdana"/>
      <family val="2"/>
      <b val="1"/>
      <color rgb="FFFFFFFF"/>
      <sz val="10"/>
    </font>
    <font>
      <name val="Verdana"/>
      <b val="1"/>
      <sz val="10"/>
    </font>
    <font>
      <name val="Verdana"/>
      <family val="2"/>
      <b val="1"/>
      <color theme="1"/>
      <sz val="10"/>
    </font>
  </fonts>
  <fills count="18">
    <fill>
      <patternFill/>
    </fill>
    <fill>
      <patternFill patternType="gray125"/>
    </fill>
    <fill>
      <patternFill patternType="solid">
        <fgColor rgb="FFC0C0C0"/>
        <bgColor rgb="FFD8D8D8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FCC"/>
        <bgColor rgb="FFFFF2CC"/>
      </patternFill>
    </fill>
    <fill>
      <patternFill patternType="solid">
        <fgColor rgb="FFD9D9D9"/>
        <bgColor rgb="FFD8D8D8"/>
      </patternFill>
    </fill>
    <fill>
      <patternFill patternType="solid">
        <fgColor rgb="FFD8D8D8"/>
        <bgColor rgb="FFD9D9D9"/>
      </patternFill>
    </fill>
    <fill>
      <patternFill patternType="solid">
        <fgColor rgb="FF00B050"/>
        <bgColor rgb="FF008080"/>
      </patternFill>
    </fill>
    <fill>
      <patternFill patternType="solid">
        <fgColor theme="0"/>
        <bgColor rgb="FFF2F2F2"/>
      </patternFill>
    </fill>
    <fill>
      <patternFill patternType="solid">
        <fgColor theme="4" tint="0.3998840296639912"/>
        <bgColor rgb="FF00CCFF"/>
      </patternFill>
    </fill>
    <fill>
      <patternFill patternType="solid">
        <fgColor theme="0" tint="-0.0499893185216834"/>
        <bgColor rgb="FFE2F0D9"/>
      </patternFill>
    </fill>
    <fill>
      <patternFill patternType="solid">
        <fgColor rgb="FFFFF2CC"/>
        <bgColor rgb="FFFFFFCC"/>
      </patternFill>
    </fill>
    <fill>
      <patternFill patternType="solid">
        <fgColor rgb="FF4472C4"/>
        <bgColor rgb="FF666699"/>
      </patternFill>
    </fill>
    <fill>
      <patternFill patternType="solid">
        <fgColor rgb="FF00B050"/>
        <bgColor rgb="FF00B050"/>
      </patternFill>
    </fill>
    <fill>
      <patternFill patternType="solid">
        <fgColor rgb="FFD9D9D9"/>
        <bgColor rgb="FFD9D9D9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medium">
        <color auto="1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rgb="FFFFFF00"/>
      </right>
      <top/>
      <bottom style="thin">
        <color rgb="FFFFFF00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/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/>
      <right style="thin">
        <color rgb="FFFFFF00"/>
      </right>
      <top/>
      <bottom style="thin">
        <color auto="1"/>
      </bottom>
      <diagonal/>
    </border>
    <border>
      <left style="thin">
        <color rgb="FFFFFF00"/>
      </left>
      <right/>
      <top/>
      <bottom style="thin">
        <color auto="1"/>
      </bottom>
      <diagonal/>
    </border>
    <border>
      <left style="medium">
        <color rgb="FF00B050"/>
      </left>
      <right style="thin">
        <color auto="1"/>
      </right>
      <top style="medium">
        <color rgb="FF00B050"/>
      </top>
      <bottom style="medium">
        <color rgb="FF00B050"/>
      </bottom>
      <diagonal/>
    </border>
    <border>
      <left/>
      <right style="thin">
        <color auto="1"/>
      </right>
      <top style="thin">
        <color rgb="FFFFFF00"/>
      </top>
      <bottom style="thin">
        <color rgb="FFFFFF00"/>
      </bottom>
      <diagonal/>
    </border>
    <border>
      <left/>
      <right style="thin">
        <color auto="1"/>
      </right>
      <top style="thin">
        <color rgb="FFFFFF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5">
    <xf numFmtId="0" fontId="0" fillId="0" borderId="0"/>
    <xf numFmtId="194" fontId="1" fillId="0" borderId="0"/>
    <xf numFmtId="194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5" fontId="1" fillId="0" borderId="0"/>
    <xf numFmtId="195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7" fontId="1" fillId="0" borderId="0"/>
    <xf numFmtId="197" fontId="1" fillId="0" borderId="0"/>
    <xf numFmtId="197" fontId="1" fillId="0" borderId="0"/>
    <xf numFmtId="197" fontId="1" fillId="0" borderId="0"/>
    <xf numFmtId="198" fontId="2" fillId="0" borderId="1"/>
    <xf numFmtId="0" fontId="1" fillId="0" borderId="0"/>
    <xf numFmtId="0" fontId="1" fillId="0" borderId="0"/>
    <xf numFmtId="0" fontId="3" fillId="0" borderId="0"/>
    <xf numFmtId="0" fontId="1" fillId="0" borderId="0"/>
    <xf numFmtId="0" fontId="4" fillId="0" borderId="0"/>
    <xf numFmtId="0" fontId="3" fillId="0" borderId="0"/>
    <xf numFmtId="0" fontId="1" fillId="0" borderId="0"/>
    <xf numFmtId="0" fontId="1" fillId="0" borderId="0"/>
    <xf numFmtId="199" fontId="5" fillId="0" borderId="0"/>
    <xf numFmtId="0" fontId="6" fillId="2" borderId="2"/>
    <xf numFmtId="9" fontId="1" fillId="0" borderId="0"/>
    <xf numFmtId="9" fontId="3" fillId="0" borderId="0"/>
    <xf numFmtId="9" fontId="1" fillId="0" borderId="0"/>
    <xf numFmtId="9" fontId="1" fillId="0" borderId="0"/>
    <xf numFmtId="9" fontId="4" fillId="0" borderId="0"/>
    <xf numFmtId="194" fontId="7" fillId="0" borderId="0"/>
  </cellStyleXfs>
  <cellXfs count="277">
    <xf numFmtId="0" fontId="0" fillId="0" borderId="0" pivotButton="0" quotePrefix="0" xfId="0"/>
    <xf numFmtId="0" fontId="8" fillId="3" borderId="0" pivotButton="0" quotePrefix="0" xfId="24"/>
    <xf numFmtId="0" fontId="9" fillId="4" borderId="0" pivotButton="0" quotePrefix="0" xfId="24"/>
    <xf numFmtId="0" fontId="4" fillId="0" borderId="0" applyAlignment="1" pivotButton="0" quotePrefix="0" xfId="24">
      <alignment horizontal="center"/>
    </xf>
    <xf numFmtId="0" fontId="4" fillId="0" borderId="0" pivotButton="0" quotePrefix="0" xfId="24"/>
    <xf numFmtId="0" fontId="8" fillId="3" borderId="0" applyAlignment="1" pivotButton="0" quotePrefix="0" xfId="24">
      <alignment horizontal="center"/>
    </xf>
    <xf numFmtId="0" fontId="8" fillId="3" borderId="0" applyAlignment="1" pivotButton="0" quotePrefix="0" xfId="21">
      <alignment horizontal="center"/>
    </xf>
    <xf numFmtId="164" fontId="8" fillId="3" borderId="0" applyAlignment="1" pivotButton="0" quotePrefix="0" xfId="21">
      <alignment horizontal="center"/>
    </xf>
    <xf numFmtId="0" fontId="3" fillId="5" borderId="0" pivotButton="0" quotePrefix="0" xfId="24"/>
    <xf numFmtId="165" fontId="10" fillId="6" borderId="0" applyAlignment="1" pivotButton="0" quotePrefix="0" xfId="24">
      <alignment horizontal="center"/>
    </xf>
    <xf numFmtId="0" fontId="4" fillId="7" borderId="0" pivotButton="0" quotePrefix="0" xfId="20"/>
    <xf numFmtId="166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/>
    </xf>
    <xf numFmtId="167" fontId="4" fillId="7" borderId="0" applyAlignment="1" pivotButton="0" quotePrefix="0" xfId="20">
      <alignment horizontal="left"/>
    </xf>
    <xf numFmtId="0" fontId="4" fillId="7" borderId="0" applyAlignment="1" pivotButton="0" quotePrefix="0" xfId="20">
      <alignment horizontal="left"/>
    </xf>
    <xf numFmtId="0" fontId="4" fillId="7" borderId="1" applyAlignment="1" pivotButton="0" quotePrefix="0" xfId="20">
      <alignment horizontal="left"/>
    </xf>
    <xf numFmtId="166" fontId="4" fillId="0" borderId="0" pivotButton="0" quotePrefix="0" xfId="24"/>
    <xf numFmtId="0" fontId="11" fillId="0" borderId="0" pivotButton="0" quotePrefix="0" xfId="20"/>
    <xf numFmtId="0" fontId="4" fillId="0" borderId="0" pivotButton="0" quotePrefix="0" xfId="20"/>
    <xf numFmtId="168" fontId="10" fillId="6" borderId="0" applyAlignment="1" pivotButton="0" quotePrefix="0" xfId="24">
      <alignment horizontal="center"/>
    </xf>
    <xf numFmtId="169" fontId="10" fillId="6" borderId="0" applyAlignment="1" pivotButton="0" quotePrefix="0" xfId="21">
      <alignment horizontal="center"/>
    </xf>
    <xf numFmtId="170" fontId="4" fillId="7" borderId="0" applyAlignment="1" pivotButton="0" quotePrefix="0" xfId="21">
      <alignment horizontal="center"/>
    </xf>
    <xf numFmtId="170" fontId="11" fillId="7" borderId="0" applyAlignment="1" pivotButton="0" quotePrefix="0" xfId="21">
      <alignment horizontal="center"/>
    </xf>
    <xf numFmtId="168" fontId="10" fillId="0" borderId="0" applyAlignment="1" pivotButton="0" quotePrefix="0" xfId="24">
      <alignment horizontal="center"/>
    </xf>
    <xf numFmtId="164" fontId="4" fillId="0" borderId="0" applyAlignment="1" pivotButton="0" quotePrefix="0" xfId="21">
      <alignment horizontal="center"/>
    </xf>
    <xf numFmtId="0" fontId="4" fillId="0" borderId="0" applyAlignment="1" pivotButton="0" quotePrefix="0" xfId="21">
      <alignment horizontal="center"/>
    </xf>
    <xf numFmtId="0" fontId="11" fillId="8" borderId="0" applyAlignment="1" pivotButton="0" quotePrefix="0" xfId="21">
      <alignment horizontal="center"/>
    </xf>
    <xf numFmtId="10" fontId="11" fillId="0" borderId="0" applyAlignment="1" pivotButton="0" quotePrefix="0" xfId="30">
      <alignment horizontal="center"/>
    </xf>
    <xf numFmtId="0" fontId="11" fillId="0" borderId="0" applyAlignment="1" pivotButton="0" quotePrefix="0" xfId="21">
      <alignment horizontal="center"/>
    </xf>
    <xf numFmtId="10" fontId="11" fillId="0" borderId="0" applyAlignment="1" pivotButton="0" quotePrefix="0" xfId="21">
      <alignment horizontal="center"/>
    </xf>
    <xf numFmtId="0" fontId="11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left"/>
    </xf>
    <xf numFmtId="0" fontId="11" fillId="0" borderId="0" pivotButton="0" quotePrefix="0" xfId="24"/>
    <xf numFmtId="0" fontId="11" fillId="7" borderId="0" pivotButton="0" quotePrefix="0" xfId="20"/>
    <xf numFmtId="166" fontId="11" fillId="7" borderId="0" applyAlignment="1" pivotButton="0" quotePrefix="0" xfId="24">
      <alignment horizontal="center"/>
    </xf>
    <xf numFmtId="166" fontId="11" fillId="0" borderId="0" applyAlignment="1" pivotButton="0" quotePrefix="0" xfId="24">
      <alignment horizontal="center"/>
    </xf>
    <xf numFmtId="0" fontId="11" fillId="10" borderId="0" applyAlignment="1" pivotButton="0" quotePrefix="0" xfId="24">
      <alignment horizontal="center"/>
    </xf>
    <xf numFmtId="0" fontId="4" fillId="10" borderId="0" applyAlignment="1" pivotButton="0" quotePrefix="0" xfId="24">
      <alignment horizontal="center"/>
    </xf>
    <xf numFmtId="171" fontId="4" fillId="10" borderId="0" pivotButton="0" quotePrefix="0" xfId="20"/>
    <xf numFmtId="166" fontId="11" fillId="10" borderId="0" applyAlignment="1" pivotButton="0" quotePrefix="0" xfId="24">
      <alignment horizontal="center"/>
    </xf>
    <xf numFmtId="9" fontId="4" fillId="10" borderId="0" applyAlignment="1" pivotButton="0" quotePrefix="0" xfId="30">
      <alignment horizontal="center"/>
    </xf>
    <xf numFmtId="10" fontId="10" fillId="6" borderId="0" applyAlignment="1" pivotButton="0" quotePrefix="0" xfId="24">
      <alignment horizontal="center"/>
    </xf>
    <xf numFmtId="166" fontId="4" fillId="10" borderId="0" applyAlignment="1" pivotButton="0" quotePrefix="0" xfId="24">
      <alignment horizontal="center"/>
    </xf>
    <xf numFmtId="0" fontId="11" fillId="10" borderId="0" pivotButton="0" quotePrefix="0" xfId="24"/>
    <xf numFmtId="171" fontId="13" fillId="10" borderId="0" pivotButton="0" quotePrefix="0" xfId="20"/>
    <xf numFmtId="0" fontId="11" fillId="10" borderId="0" pivotButton="0" quotePrefix="0" xfId="20"/>
    <xf numFmtId="166" fontId="4" fillId="7" borderId="0" applyAlignment="1" pivotButton="0" quotePrefix="0" xfId="24">
      <alignment horizontal="center"/>
    </xf>
    <xf numFmtId="171" fontId="4" fillId="10" borderId="0" applyAlignment="1" pivotButton="0" quotePrefix="0" xfId="20">
      <alignment horizontal="left"/>
    </xf>
    <xf numFmtId="171" fontId="4" fillId="10" borderId="0" applyAlignment="1" pivotButton="0" quotePrefix="0" xfId="30">
      <alignment horizontal="center"/>
    </xf>
    <xf numFmtId="171" fontId="10" fillId="6" borderId="0" applyAlignment="1" pivotButton="0" quotePrefix="0" xfId="30">
      <alignment horizontal="center"/>
    </xf>
    <xf numFmtId="167" fontId="4" fillId="0" borderId="0" applyAlignment="1" pivotButton="0" quotePrefix="0" xfId="20">
      <alignment horizontal="left"/>
    </xf>
    <xf numFmtId="171" fontId="4" fillId="0" borderId="0" applyAlignment="1" pivotButton="0" quotePrefix="0" xfId="30">
      <alignment horizontal="center"/>
    </xf>
    <xf numFmtId="171" fontId="10" fillId="6" borderId="0" applyAlignment="1" pivotButton="0" quotePrefix="0" xfId="24">
      <alignment horizontal="center"/>
    </xf>
    <xf numFmtId="9" fontId="4" fillId="0" borderId="0" applyAlignment="1" pivotButton="0" quotePrefix="0" xfId="30">
      <alignment horizontal="center"/>
    </xf>
    <xf numFmtId="9" fontId="4" fillId="0" borderId="0" applyAlignment="1" pivotButton="0" quotePrefix="0" xfId="30">
      <alignment horizontal="left"/>
    </xf>
    <xf numFmtId="9" fontId="10" fillId="6" borderId="0" applyAlignment="1" pivotButton="0" quotePrefix="0" xfId="30">
      <alignment horizontal="center"/>
    </xf>
    <xf numFmtId="9" fontId="4" fillId="0" borderId="0" pivotButton="0" quotePrefix="0" xfId="30"/>
    <xf numFmtId="0" fontId="4" fillId="0" borderId="0" applyAlignment="1" pivotButton="0" quotePrefix="0" xfId="20">
      <alignment horizontal="left"/>
    </xf>
    <xf numFmtId="171" fontId="4" fillId="0" borderId="0" applyAlignment="1" pivotButton="0" quotePrefix="0" xfId="24">
      <alignment horizontal="center"/>
    </xf>
    <xf numFmtId="0" fontId="4" fillId="10" borderId="0" applyAlignment="1" pivotButton="0" quotePrefix="0" xfId="20">
      <alignment horizontal="left"/>
    </xf>
    <xf numFmtId="0" fontId="14" fillId="10" borderId="0" applyAlignment="1" pivotButton="0" quotePrefix="0" xfId="20">
      <alignment horizontal="left"/>
    </xf>
    <xf numFmtId="166" fontId="14" fillId="10" borderId="0" applyAlignment="1" pivotButton="0" quotePrefix="0" xfId="24">
      <alignment horizontal="center"/>
    </xf>
    <xf numFmtId="164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horizontal="center"/>
    </xf>
    <xf numFmtId="0" fontId="11" fillId="7" borderId="0" applyAlignment="1" pivotButton="0" quotePrefix="0" xfId="20">
      <alignment horizontal="left"/>
    </xf>
    <xf numFmtId="0" fontId="4" fillId="10" borderId="0" pivotButton="0" quotePrefix="0" xfId="24"/>
    <xf numFmtId="167" fontId="4" fillId="10" borderId="0" applyAlignment="1" pivotButton="0" quotePrefix="0" xfId="20">
      <alignment horizontal="left"/>
    </xf>
    <xf numFmtId="173" fontId="4" fillId="0" borderId="0" applyAlignment="1" pivotButton="0" quotePrefix="0" xfId="24">
      <alignment horizontal="center"/>
    </xf>
    <xf numFmtId="165" fontId="4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center"/>
    </xf>
    <xf numFmtId="0" fontId="4" fillId="7" borderId="1" pivotButton="0" quotePrefix="0" xfId="20"/>
    <xf numFmtId="172" fontId="4" fillId="0" borderId="0" pivotButton="0" quotePrefix="0" xfId="24"/>
    <xf numFmtId="0" fontId="15" fillId="11" borderId="0" pivotButton="0" quotePrefix="0" xfId="24"/>
    <xf numFmtId="0" fontId="11" fillId="0" borderId="0" applyAlignment="1" pivotButton="0" quotePrefix="0" xfId="24">
      <alignment vertical="center"/>
    </xf>
    <xf numFmtId="0" fontId="11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vertical="center"/>
    </xf>
    <xf numFmtId="9" fontId="4" fillId="0" borderId="0" applyAlignment="1" pivotButton="0" quotePrefix="0" xfId="30">
      <alignment vertical="center"/>
    </xf>
    <xf numFmtId="9" fontId="4" fillId="0" borderId="0" applyAlignment="1" pivotButton="0" quotePrefix="0" xfId="30">
      <alignment horizontal="center" vertical="center"/>
    </xf>
    <xf numFmtId="171" fontId="4" fillId="0" borderId="0" applyAlignment="1" pivotButton="0" quotePrefix="0" xfId="24">
      <alignment horizontal="center" vertical="center"/>
    </xf>
    <xf numFmtId="171" fontId="4" fillId="0" borderId="0" applyAlignment="1" pivotButton="0" quotePrefix="0" xfId="30">
      <alignment horizontal="center" vertical="center"/>
    </xf>
    <xf numFmtId="174" fontId="4" fillId="0" borderId="0" applyAlignment="1" pivotButton="0" quotePrefix="0" xfId="24">
      <alignment horizontal="center" vertical="center"/>
    </xf>
    <xf numFmtId="174" fontId="4" fillId="0" borderId="0" applyAlignment="1" pivotButton="0" quotePrefix="0" xfId="24">
      <alignment vertical="center"/>
    </xf>
    <xf numFmtId="171" fontId="4" fillId="0" borderId="0" applyAlignment="1" pivotButton="0" quotePrefix="0" xfId="30">
      <alignment vertical="center"/>
    </xf>
    <xf numFmtId="175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vertical="center"/>
    </xf>
    <xf numFmtId="172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horizontal="right" vertical="center"/>
    </xf>
    <xf numFmtId="0" fontId="14" fillId="0" borderId="0" pivotButton="0" quotePrefix="0" xfId="22"/>
    <xf numFmtId="0" fontId="12" fillId="0" borderId="0" pivotButton="0" quotePrefix="0" xfId="22"/>
    <xf numFmtId="0" fontId="14" fillId="0" borderId="3" pivotButton="0" quotePrefix="0" xfId="22"/>
    <xf numFmtId="176" fontId="10" fillId="6" borderId="4" applyAlignment="1" pivotButton="0" quotePrefix="0" xfId="18">
      <alignment horizontal="center"/>
    </xf>
    <xf numFmtId="177" fontId="10" fillId="6" borderId="0" applyAlignment="1" pivotButton="0" quotePrefix="0" xfId="22">
      <alignment horizontal="center"/>
    </xf>
    <xf numFmtId="171" fontId="14" fillId="0" borderId="0" applyAlignment="1" pivotButton="0" quotePrefix="0" xfId="22">
      <alignment horizontal="right"/>
    </xf>
    <xf numFmtId="176" fontId="10" fillId="6" borderId="4" applyAlignment="1" pivotButton="0" quotePrefix="0" xfId="18">
      <alignment horizontal="right"/>
    </xf>
    <xf numFmtId="171" fontId="14" fillId="0" borderId="0" applyAlignment="1" pivotButton="0" quotePrefix="0" xfId="22">
      <alignment horizontal="center"/>
    </xf>
    <xf numFmtId="178" fontId="10" fillId="0" borderId="0" applyAlignment="1" pivotButton="0" quotePrefix="0" xfId="22">
      <alignment horizontal="center"/>
    </xf>
    <xf numFmtId="179" fontId="14" fillId="0" borderId="0" applyAlignment="1" pivotButton="0" quotePrefix="0" xfId="22">
      <alignment horizontal="center"/>
    </xf>
    <xf numFmtId="0" fontId="16" fillId="0" borderId="0" pivotButton="0" quotePrefix="0" xfId="22"/>
    <xf numFmtId="180" fontId="14" fillId="0" borderId="0" pivotButton="0" quotePrefix="0" xfId="22"/>
    <xf numFmtId="0" fontId="11" fillId="7" borderId="0" pivotButton="0" quotePrefix="0" xfId="22"/>
    <xf numFmtId="0" fontId="11" fillId="7" borderId="1" pivotButton="0" quotePrefix="0" xfId="22"/>
    <xf numFmtId="0" fontId="16" fillId="0" borderId="0" applyAlignment="1" pivotButton="0" quotePrefix="0" xfId="22">
      <alignment horizontal="center"/>
    </xf>
    <xf numFmtId="0" fontId="14" fillId="0" borderId="0" applyAlignment="1" pivotButton="0" quotePrefix="0" xfId="22">
      <alignment horizontal="center"/>
    </xf>
    <xf numFmtId="1" fontId="16" fillId="0" borderId="0" applyAlignment="1" pivotButton="0" quotePrefix="0" xfId="22">
      <alignment horizontal="center"/>
    </xf>
    <xf numFmtId="0" fontId="14" fillId="0" borderId="1" pivotButton="0" quotePrefix="0" xfId="22"/>
    <xf numFmtId="168" fontId="14" fillId="0" borderId="1" applyAlignment="1" pivotButton="0" quotePrefix="0" xfId="22">
      <alignment horizontal="center"/>
    </xf>
    <xf numFmtId="168" fontId="14" fillId="0" borderId="0" applyAlignment="1" pivotButton="0" quotePrefix="0" xfId="22">
      <alignment horizontal="center"/>
    </xf>
    <xf numFmtId="0" fontId="14" fillId="0" borderId="5" pivotButton="0" quotePrefix="0" xfId="22"/>
    <xf numFmtId="178" fontId="14" fillId="12" borderId="6" applyAlignment="1" pivotButton="0" quotePrefix="0" xfId="22">
      <alignment horizontal="center"/>
    </xf>
    <xf numFmtId="178" fontId="14" fillId="12" borderId="7" applyAlignment="1" pivotButton="0" quotePrefix="0" xfId="22">
      <alignment horizontal="center"/>
    </xf>
    <xf numFmtId="171" fontId="16" fillId="0" borderId="0" applyAlignment="1" pivotButton="0" quotePrefix="0" xfId="33">
      <alignment horizontal="center"/>
    </xf>
    <xf numFmtId="0" fontId="14" fillId="0" borderId="8" pivotButton="0" quotePrefix="0" xfId="22"/>
    <xf numFmtId="171" fontId="16" fillId="0" borderId="1" applyAlignment="1" pivotButton="0" quotePrefix="0" xfId="33">
      <alignment horizontal="center"/>
    </xf>
    <xf numFmtId="171" fontId="16" fillId="0" borderId="9" applyAlignment="1" pivotButton="0" quotePrefix="0" xfId="33">
      <alignment horizontal="center"/>
    </xf>
    <xf numFmtId="178" fontId="14" fillId="0" borderId="5" pivotButton="0" quotePrefix="0" xfId="22"/>
    <xf numFmtId="0" fontId="14" fillId="0" borderId="6" pivotButton="0" quotePrefix="0" xfId="22"/>
    <xf numFmtId="0" fontId="14" fillId="0" borderId="7" pivotButton="0" quotePrefix="0" xfId="22"/>
    <xf numFmtId="171" fontId="14" fillId="0" borderId="1" applyAlignment="1" pivotButton="0" quotePrefix="0" xfId="33">
      <alignment horizontal="center"/>
    </xf>
    <xf numFmtId="0" fontId="14" fillId="0" borderId="9" pivotButton="0" quotePrefix="0" xfId="22"/>
    <xf numFmtId="171" fontId="14" fillId="0" borderId="9" applyAlignment="1" pivotButton="0" quotePrefix="0" xfId="33">
      <alignment horizontal="center"/>
    </xf>
    <xf numFmtId="171" fontId="14" fillId="12" borderId="6" applyAlignment="1" pivotButton="0" quotePrefix="0" xfId="22">
      <alignment horizontal="center"/>
    </xf>
    <xf numFmtId="171" fontId="14" fillId="12" borderId="7" applyAlignment="1" pivotButton="0" quotePrefix="0" xfId="22">
      <alignment horizontal="center"/>
    </xf>
    <xf numFmtId="178" fontId="14" fillId="0" borderId="1" applyAlignment="1" pivotButton="0" quotePrefix="0" xfId="22">
      <alignment horizontal="center"/>
    </xf>
    <xf numFmtId="178" fontId="14" fillId="0" borderId="9" applyAlignment="1" pivotButton="0" quotePrefix="0" xfId="22">
      <alignment horizontal="center"/>
    </xf>
    <xf numFmtId="178" fontId="14" fillId="0" borderId="10" applyAlignment="1" pivotButton="0" quotePrefix="0" xfId="22">
      <alignment horizontal="left"/>
    </xf>
    <xf numFmtId="178" fontId="14" fillId="12" borderId="11" applyAlignment="1" pivotButton="0" quotePrefix="0" xfId="22">
      <alignment horizontal="center"/>
    </xf>
    <xf numFmtId="178" fontId="14" fillId="12" borderId="12" applyAlignment="1" pivotButton="0" quotePrefix="0" xfId="22">
      <alignment horizontal="center"/>
    </xf>
    <xf numFmtId="178" fontId="14" fillId="0" borderId="5" applyAlignment="1" pivotButton="0" quotePrefix="0" xfId="22">
      <alignment horizontal="left"/>
    </xf>
    <xf numFmtId="178" fontId="14" fillId="0" borderId="6" applyAlignment="1" pivotButton="0" quotePrefix="0" xfId="22">
      <alignment horizontal="center"/>
    </xf>
    <xf numFmtId="178" fontId="14" fillId="0" borderId="7" applyAlignment="1" pivotButton="0" quotePrefix="0" xfId="22">
      <alignment horizontal="center"/>
    </xf>
    <xf numFmtId="178" fontId="14" fillId="0" borderId="13" applyAlignment="1" pivotButton="0" quotePrefix="0" xfId="22">
      <alignment horizontal="left"/>
    </xf>
    <xf numFmtId="178" fontId="14" fillId="12" borderId="0" applyAlignment="1" pivotButton="0" quotePrefix="0" xfId="22">
      <alignment horizontal="center"/>
    </xf>
    <xf numFmtId="178" fontId="14" fillId="12" borderId="14" applyAlignment="1" pivotButton="0" quotePrefix="0" xfId="22">
      <alignment horizontal="center"/>
    </xf>
    <xf numFmtId="178" fontId="14" fillId="0" borderId="8" applyAlignment="1" pivotButton="0" quotePrefix="0" xfId="22">
      <alignment horizontal="left"/>
    </xf>
    <xf numFmtId="178" fontId="14" fillId="12" borderId="1" applyAlignment="1" pivotButton="0" quotePrefix="0" xfId="22">
      <alignment horizontal="center"/>
    </xf>
    <xf numFmtId="178" fontId="14" fillId="12" borderId="9" applyAlignment="1" pivotButton="0" quotePrefix="0" xfId="22">
      <alignment horizontal="center"/>
    </xf>
    <xf numFmtId="178" fontId="14" fillId="0" borderId="0" applyAlignment="1" pivotButton="0" quotePrefix="0" xfId="22">
      <alignment horizontal="center"/>
    </xf>
    <xf numFmtId="178" fontId="14" fillId="0" borderId="15" applyAlignment="1" pivotButton="0" quotePrefix="0" xfId="22">
      <alignment horizontal="center"/>
    </xf>
    <xf numFmtId="0" fontId="14" fillId="0" borderId="13" pivotButton="0" quotePrefix="0" xfId="22"/>
    <xf numFmtId="0" fontId="14" fillId="0" borderId="14" pivotButton="0" quotePrefix="0" xfId="22"/>
    <xf numFmtId="178" fontId="4" fillId="0" borderId="0" applyAlignment="1" pivotButton="0" quotePrefix="0" xfId="22">
      <alignment horizontal="center"/>
    </xf>
    <xf numFmtId="178" fontId="4" fillId="0" borderId="14" applyAlignment="1" pivotButton="0" quotePrefix="0" xfId="22">
      <alignment horizontal="center"/>
    </xf>
    <xf numFmtId="171" fontId="10" fillId="6" borderId="1" applyAlignment="1" pivotButton="0" quotePrefix="0" xfId="33">
      <alignment horizontal="center"/>
    </xf>
    <xf numFmtId="171" fontId="10" fillId="6" borderId="9" applyAlignment="1" pivotButton="0" quotePrefix="0" xfId="33">
      <alignment horizontal="center"/>
    </xf>
    <xf numFmtId="0" fontId="16" fillId="0" borderId="10" pivotButton="0" quotePrefix="0" xfId="22"/>
    <xf numFmtId="171" fontId="16" fillId="12" borderId="11" applyAlignment="1" pivotButton="0" quotePrefix="0" xfId="22">
      <alignment horizontal="center"/>
    </xf>
    <xf numFmtId="171" fontId="16" fillId="0" borderId="11" applyAlignment="1" pivotButton="0" quotePrefix="0" xfId="33">
      <alignment horizontal="center"/>
    </xf>
    <xf numFmtId="171" fontId="16" fillId="0" borderId="12" applyAlignment="1" pivotButton="0" quotePrefix="0" xfId="33">
      <alignment horizontal="center"/>
    </xf>
    <xf numFmtId="171" fontId="16" fillId="0" borderId="0" applyAlignment="1" pivotButton="0" quotePrefix="0" xfId="22">
      <alignment horizontal="center"/>
    </xf>
    <xf numFmtId="181" fontId="14" fillId="0" borderId="0" applyAlignment="1" pivotButton="0" quotePrefix="0" xfId="23">
      <alignment horizontal="center" vertical="center"/>
    </xf>
    <xf numFmtId="178" fontId="16" fillId="0" borderId="0" applyAlignment="1" pivotButton="0" quotePrefix="0" xfId="22">
      <alignment horizontal="center"/>
    </xf>
    <xf numFmtId="178" fontId="18" fillId="2" borderId="2" applyAlignment="1" pivotButton="0" quotePrefix="0" xfId="28">
      <alignment horizontal="center"/>
    </xf>
    <xf numFmtId="0" fontId="14" fillId="0" borderId="0" applyAlignment="1" pivotButton="0" quotePrefix="0" xfId="22">
      <alignment horizontal="left"/>
    </xf>
    <xf numFmtId="173" fontId="14" fillId="0" borderId="0" applyAlignment="1" pivotButton="0" quotePrefix="0" xfId="22">
      <alignment horizontal="center"/>
    </xf>
    <xf numFmtId="173" fontId="18" fillId="2" borderId="2" applyAlignment="1" pivotButton="0" quotePrefix="0" xfId="28">
      <alignment horizontal="center"/>
    </xf>
    <xf numFmtId="10" fontId="14" fillId="0" borderId="0" pivotButton="0" quotePrefix="0" xfId="22"/>
    <xf numFmtId="178" fontId="16" fillId="0" borderId="0" pivotButton="0" quotePrefix="0" xfId="22"/>
    <xf numFmtId="179" fontId="14" fillId="0" borderId="0" pivotButton="0" quotePrefix="0" xfId="22"/>
    <xf numFmtId="0" fontId="11" fillId="7" borderId="5" pivotButton="0" quotePrefix="0" xfId="22"/>
    <xf numFmtId="171" fontId="4" fillId="7" borderId="7" applyAlignment="1" pivotButton="0" quotePrefix="0" xfId="22">
      <alignment horizontal="center"/>
    </xf>
    <xf numFmtId="0" fontId="11" fillId="7" borderId="6" pivotButton="0" quotePrefix="0" xfId="22"/>
    <xf numFmtId="0" fontId="4" fillId="7" borderId="6" pivotButton="0" quotePrefix="0" xfId="22"/>
    <xf numFmtId="0" fontId="11" fillId="7" borderId="16" pivotButton="0" quotePrefix="0" xfId="22"/>
    <xf numFmtId="171" fontId="4" fillId="7" borderId="17" applyAlignment="1" pivotButton="0" quotePrefix="0" xfId="22">
      <alignment horizontal="center"/>
    </xf>
    <xf numFmtId="0" fontId="4" fillId="7" borderId="17" pivotButton="0" quotePrefix="0" xfId="22"/>
    <xf numFmtId="0" fontId="4" fillId="7" borderId="18" pivotButton="0" quotePrefix="0" xfId="22"/>
    <xf numFmtId="0" fontId="16" fillId="0" borderId="13" applyAlignment="1" pivotButton="0" quotePrefix="0" xfId="22">
      <alignment horizontal="left"/>
    </xf>
    <xf numFmtId="178" fontId="14" fillId="0" borderId="14" applyAlignment="1" pivotButton="0" quotePrefix="0" xfId="22">
      <alignment horizontal="right"/>
    </xf>
    <xf numFmtId="0" fontId="16" fillId="0" borderId="0" applyAlignment="1" pivotButton="0" quotePrefix="0" xfId="22">
      <alignment horizontal="left"/>
    </xf>
    <xf numFmtId="0" fontId="14" fillId="0" borderId="13" applyAlignment="1" pivotButton="0" quotePrefix="0" xfId="22">
      <alignment horizontal="left"/>
    </xf>
    <xf numFmtId="178" fontId="4" fillId="12" borderId="14" applyAlignment="1" pivotButton="0" quotePrefix="0" xfId="22">
      <alignment horizontal="center"/>
    </xf>
    <xf numFmtId="171" fontId="19" fillId="6" borderId="14" applyAlignment="1" pivotButton="0" quotePrefix="0" xfId="22">
      <alignment horizontal="center"/>
    </xf>
    <xf numFmtId="182" fontId="4" fillId="12" borderId="14" applyAlignment="1" pivotButton="0" quotePrefix="0" xfId="18">
      <alignment horizontal="center"/>
    </xf>
    <xf numFmtId="171" fontId="11" fillId="0" borderId="19" applyAlignment="1" pivotButton="0" quotePrefix="0" xfId="24">
      <alignment horizontal="center"/>
    </xf>
    <xf numFmtId="0" fontId="14" fillId="0" borderId="1" applyAlignment="1" pivotButton="0" quotePrefix="0" xfId="22">
      <alignment horizontal="left"/>
    </xf>
    <xf numFmtId="0" fontId="14" fillId="0" borderId="9" applyAlignment="1" pivotButton="0" quotePrefix="0" xfId="22">
      <alignment horizontal="right"/>
    </xf>
    <xf numFmtId="178" fontId="16" fillId="0" borderId="14" applyAlignment="1" pivotButton="0" quotePrefix="0" xfId="22">
      <alignment horizontal="center"/>
    </xf>
    <xf numFmtId="0" fontId="14" fillId="0" borderId="1" applyAlignment="1" pivotButton="0" quotePrefix="0" xfId="22">
      <alignment horizontal="right"/>
    </xf>
    <xf numFmtId="183" fontId="10" fillId="6" borderId="20" pivotButton="0" quotePrefix="0" xfId="22"/>
    <xf numFmtId="182" fontId="10" fillId="6" borderId="21" pivotButton="0" quotePrefix="0" xfId="10"/>
    <xf numFmtId="179" fontId="14" fillId="0" borderId="14" applyAlignment="1" pivotButton="0" quotePrefix="0" xfId="22">
      <alignment horizontal="right"/>
    </xf>
    <xf numFmtId="183" fontId="10" fillId="6" borderId="22" pivotButton="0" quotePrefix="0" xfId="22"/>
    <xf numFmtId="182" fontId="10" fillId="6" borderId="23" pivotButton="0" quotePrefix="0" xfId="10"/>
    <xf numFmtId="178" fontId="14" fillId="0" borderId="14" applyAlignment="1" pivotButton="0" quotePrefix="0" xfId="22">
      <alignment horizontal="center"/>
    </xf>
    <xf numFmtId="183" fontId="10" fillId="6" borderId="24" pivotButton="0" quotePrefix="0" xfId="22"/>
    <xf numFmtId="182" fontId="10" fillId="6" borderId="25" pivotButton="0" quotePrefix="0" xfId="10"/>
    <xf numFmtId="179" fontId="14" fillId="0" borderId="9" applyAlignment="1" pivotButton="0" quotePrefix="0" xfId="22">
      <alignment horizontal="right"/>
    </xf>
    <xf numFmtId="174" fontId="10" fillId="6" borderId="14" applyAlignment="1" pivotButton="0" quotePrefix="0" xfId="22">
      <alignment horizontal="center"/>
    </xf>
    <xf numFmtId="184" fontId="14" fillId="0" borderId="0" applyAlignment="1" pivotButton="0" quotePrefix="0" xfId="22">
      <alignment horizontal="right"/>
    </xf>
    <xf numFmtId="185" fontId="14" fillId="0" borderId="14" applyAlignment="1" pivotButton="0" quotePrefix="0" xfId="22">
      <alignment horizontal="right"/>
    </xf>
    <xf numFmtId="0" fontId="14" fillId="0" borderId="0" applyAlignment="1" pivotButton="0" quotePrefix="0" xfId="22">
      <alignment horizontal="right"/>
    </xf>
    <xf numFmtId="178" fontId="20" fillId="0" borderId="0" pivotButton="0" quotePrefix="0" xfId="22"/>
    <xf numFmtId="178" fontId="14" fillId="0" borderId="14" pivotButton="0" quotePrefix="0" xfId="22"/>
    <xf numFmtId="182" fontId="16" fillId="0" borderId="26" applyAlignment="1" pivotButton="0" quotePrefix="0" xfId="22">
      <alignment horizontal="center"/>
    </xf>
    <xf numFmtId="183" fontId="10" fillId="6" borderId="27" applyAlignment="1" pivotButton="0" quotePrefix="0" xfId="22">
      <alignment horizontal="right"/>
    </xf>
    <xf numFmtId="0" fontId="14" fillId="0" borderId="14" applyAlignment="1" pivotButton="0" quotePrefix="0" xfId="22">
      <alignment horizontal="right"/>
    </xf>
    <xf numFmtId="182" fontId="16" fillId="0" borderId="14" applyAlignment="1" pivotButton="0" quotePrefix="0" xfId="22">
      <alignment horizontal="center"/>
    </xf>
    <xf numFmtId="183" fontId="10" fillId="6" borderId="28" applyAlignment="1" pivotButton="0" quotePrefix="0" xfId="22">
      <alignment horizontal="right"/>
    </xf>
    <xf numFmtId="186" fontId="10" fillId="6" borderId="14" applyAlignment="1" pivotButton="0" quotePrefix="0" xfId="22">
      <alignment horizontal="right"/>
    </xf>
    <xf numFmtId="0" fontId="16" fillId="0" borderId="0" applyAlignment="1" pivotButton="0" quotePrefix="0" xfId="22">
      <alignment horizontal="right"/>
    </xf>
    <xf numFmtId="178" fontId="16" fillId="0" borderId="14" applyAlignment="1" pivotButton="0" quotePrefix="0" xfId="27">
      <alignment horizontal="right"/>
    </xf>
    <xf numFmtId="0" fontId="14" fillId="0" borderId="8" applyAlignment="1" pivotButton="0" quotePrefix="0" xfId="22">
      <alignment horizontal="left"/>
    </xf>
    <xf numFmtId="171" fontId="14" fillId="0" borderId="9" applyAlignment="1" pivotButton="0" quotePrefix="0" xfId="22">
      <alignment horizontal="right"/>
    </xf>
    <xf numFmtId="0" fontId="11" fillId="7" borderId="3" pivotButton="0" quotePrefix="0" xfId="22"/>
    <xf numFmtId="171" fontId="4" fillId="7" borderId="3" applyAlignment="1" pivotButton="0" quotePrefix="0" xfId="22">
      <alignment horizontal="center"/>
    </xf>
    <xf numFmtId="0" fontId="4" fillId="7" borderId="3" pivotButton="0" quotePrefix="0" xfId="22"/>
    <xf numFmtId="0" fontId="16" fillId="0" borderId="1" pivotButton="0" quotePrefix="0" xfId="22"/>
    <xf numFmtId="171" fontId="10" fillId="6" borderId="0" applyAlignment="1" pivotButton="0" quotePrefix="0" xfId="22">
      <alignment horizontal="center"/>
    </xf>
    <xf numFmtId="0" fontId="14" fillId="0" borderId="11" applyAlignment="1" pivotButton="0" quotePrefix="0" xfId="22">
      <alignment horizontal="right"/>
    </xf>
    <xf numFmtId="178" fontId="14" fillId="0" borderId="0" pivotButton="0" quotePrefix="0" xfId="22"/>
    <xf numFmtId="9" fontId="14" fillId="0" borderId="0" pivotButton="0" quotePrefix="0" xfId="22"/>
    <xf numFmtId="187" fontId="14" fillId="0" borderId="0" applyAlignment="1" pivotButton="0" quotePrefix="0" xfId="22">
      <alignment horizontal="center"/>
    </xf>
    <xf numFmtId="178" fontId="14" fillId="0" borderId="0" applyAlignment="1" pivotButton="0" quotePrefix="0" xfId="22">
      <alignment horizontal="right"/>
    </xf>
    <xf numFmtId="188" fontId="14" fillId="0" borderId="0" pivotButton="0" quotePrefix="0" xfId="22"/>
    <xf numFmtId="189" fontId="10" fillId="6" borderId="0" applyAlignment="1" pivotButton="0" quotePrefix="0" xfId="22">
      <alignment horizontal="center"/>
    </xf>
    <xf numFmtId="0" fontId="16" fillId="0" borderId="1" applyAlignment="1" pivotButton="0" quotePrefix="0" xfId="22">
      <alignment horizontal="left" wrapText="1"/>
    </xf>
    <xf numFmtId="0" fontId="16" fillId="0" borderId="1" applyAlignment="1" pivotButton="0" quotePrefix="0" xfId="22">
      <alignment horizontal="center" wrapText="1"/>
    </xf>
    <xf numFmtId="189" fontId="14" fillId="0" borderId="0" applyAlignment="1" pivotButton="0" quotePrefix="0" xfId="22">
      <alignment horizontal="center"/>
    </xf>
    <xf numFmtId="182" fontId="14" fillId="0" borderId="0" applyAlignment="1" pivotButton="0" quotePrefix="0" xfId="22">
      <alignment horizontal="center"/>
    </xf>
    <xf numFmtId="10" fontId="14" fillId="0" borderId="0" applyAlignment="1" pivotButton="0" quotePrefix="0" xfId="22">
      <alignment horizontal="center"/>
    </xf>
    <xf numFmtId="2" fontId="14" fillId="0" borderId="0" applyAlignment="1" pivotButton="0" quotePrefix="0" xfId="22">
      <alignment horizontal="center"/>
    </xf>
    <xf numFmtId="189" fontId="10" fillId="6" borderId="0" applyAlignment="1" pivotButton="0" quotePrefix="0" xfId="22">
      <alignment horizontal="left"/>
    </xf>
    <xf numFmtId="182" fontId="10" fillId="6" borderId="0" applyAlignment="1" pivotButton="0" quotePrefix="0" xfId="22">
      <alignment horizontal="center"/>
    </xf>
    <xf numFmtId="178" fontId="10" fillId="6" borderId="0" applyAlignment="1" pivotButton="0" quotePrefix="0" xfId="22">
      <alignment horizontal="center"/>
    </xf>
    <xf numFmtId="10" fontId="10" fillId="6" borderId="0" applyAlignment="1" pivotButton="0" quotePrefix="0" xfId="22">
      <alignment horizontal="center"/>
    </xf>
    <xf numFmtId="189" fontId="10" fillId="6" borderId="1" applyAlignment="1" pivotButton="0" quotePrefix="0" xfId="22">
      <alignment horizontal="left"/>
    </xf>
    <xf numFmtId="189" fontId="10" fillId="6" borderId="1" applyAlignment="1" pivotButton="0" quotePrefix="0" xfId="22">
      <alignment horizontal="center"/>
    </xf>
    <xf numFmtId="182" fontId="10" fillId="6" borderId="1" applyAlignment="1" pivotButton="0" quotePrefix="0" xfId="22">
      <alignment horizontal="center"/>
    </xf>
    <xf numFmtId="178" fontId="10" fillId="6" borderId="1" applyAlignment="1" pivotButton="0" quotePrefix="0" xfId="22">
      <alignment horizontal="center"/>
    </xf>
    <xf numFmtId="10" fontId="14" fillId="0" borderId="1" applyAlignment="1" pivotButton="0" quotePrefix="0" xfId="22">
      <alignment horizontal="center"/>
    </xf>
    <xf numFmtId="10" fontId="10" fillId="6" borderId="1" applyAlignment="1" pivotButton="0" quotePrefix="0" xfId="22">
      <alignment horizontal="center"/>
    </xf>
    <xf numFmtId="189" fontId="14" fillId="0" borderId="1" applyAlignment="1" pivotButton="0" quotePrefix="0" xfId="22">
      <alignment horizontal="center"/>
    </xf>
    <xf numFmtId="189" fontId="16" fillId="0" borderId="0" applyAlignment="1" pivotButton="0" quotePrefix="0" xfId="22">
      <alignment horizontal="right"/>
    </xf>
    <xf numFmtId="189" fontId="16" fillId="0" borderId="29" applyAlignment="1" pivotButton="0" quotePrefix="0" xfId="22">
      <alignment horizontal="center"/>
    </xf>
    <xf numFmtId="0" fontId="21" fillId="3" borderId="0" pivotButton="0" quotePrefix="0" xfId="24"/>
    <xf numFmtId="0" fontId="22" fillId="13" borderId="0" pivotButton="0" quotePrefix="0" xfId="24"/>
    <xf numFmtId="0" fontId="8" fillId="14" borderId="0" pivotButton="0" quotePrefix="0" xfId="24"/>
    <xf numFmtId="180" fontId="22" fillId="13" borderId="0" pivotButton="0" quotePrefix="0" xfId="24"/>
    <xf numFmtId="190" fontId="22" fillId="13" borderId="0" pivotButton="0" quotePrefix="0" xfId="24"/>
    <xf numFmtId="171" fontId="22" fillId="13" borderId="0" pivotButton="0" quotePrefix="0" xfId="24"/>
    <xf numFmtId="14" fontId="22" fillId="13" borderId="0" pivotButton="0" quotePrefix="0" xfId="24"/>
    <xf numFmtId="191" fontId="22" fillId="13" borderId="0" pivotButton="0" quotePrefix="0" xfId="24"/>
    <xf numFmtId="171" fontId="3" fillId="0" borderId="0" pivotButton="0" quotePrefix="0" xfId="24"/>
    <xf numFmtId="174" fontId="22" fillId="13" borderId="0" pivotButton="0" quotePrefix="0" xfId="24"/>
    <xf numFmtId="175" fontId="3" fillId="0" borderId="0" pivotButton="0" quotePrefix="0" xfId="24"/>
    <xf numFmtId="0" fontId="17" fillId="9" borderId="0" applyAlignment="1" pivotButton="0" quotePrefix="0" xfId="22">
      <alignment horizontal="center" wrapText="1"/>
    </xf>
    <xf numFmtId="0" fontId="14" fillId="0" borderId="0" pivotButton="0" quotePrefix="0" xfId="22"/>
    <xf numFmtId="0" fontId="16" fillId="0" borderId="1" applyAlignment="1" pivotButton="0" quotePrefix="0" xfId="22">
      <alignment horizontal="center"/>
    </xf>
    <xf numFmtId="0" fontId="0" fillId="0" borderId="1" pivotButton="0" quotePrefix="0" xfId="0"/>
    <xf numFmtId="0" fontId="16" fillId="0" borderId="10" applyAlignment="1" pivotButton="0" quotePrefix="0" xfId="22">
      <alignment horizontal="center"/>
    </xf>
    <xf numFmtId="0" fontId="0" fillId="0" borderId="11" pivotButton="0" quotePrefix="0" xfId="0"/>
    <xf numFmtId="0" fontId="15" fillId="9" borderId="1" applyAlignment="1" pivotButton="0" quotePrefix="0" xfId="22">
      <alignment horizontal="center"/>
    </xf>
    <xf numFmtId="171" fontId="4" fillId="0" borderId="0" applyAlignment="1" pivotButton="0" quotePrefix="0" xfId="30">
      <alignment horizontal="right" vertical="center"/>
    </xf>
    <xf numFmtId="171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200" fontId="0" fillId="0" borderId="0" pivotButton="0" quotePrefix="0" xfId="0"/>
    <xf numFmtId="169" fontId="11" fillId="7" borderId="0" applyAlignment="1" pivotButton="0" quotePrefix="0" xfId="21">
      <alignment horizont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0" fontId="23" fillId="15" borderId="0" applyAlignment="1" pivotButton="0" quotePrefix="0" xfId="0">
      <alignment horizontal="left"/>
    </xf>
    <xf numFmtId="0" fontId="24" fillId="16" borderId="0" pivotButton="0" quotePrefix="0" xfId="0"/>
    <xf numFmtId="166" fontId="25" fillId="17" borderId="0" applyAlignment="1" pivotButton="0" quotePrefix="0" xfId="0">
      <alignment horizontal="center"/>
    </xf>
    <xf numFmtId="166" fontId="25" fillId="0" borderId="0" applyAlignment="1" pivotButton="0" quotePrefix="0" xfId="0">
      <alignment horizontal="center"/>
    </xf>
    <xf numFmtId="0" fontId="25" fillId="16" borderId="0" pivotButton="0" quotePrefix="0" xfId="0"/>
    <xf numFmtId="190" fontId="25" fillId="17" borderId="0" applyAlignment="1" pivotButton="0" quotePrefix="0" xfId="0">
      <alignment horizontal="center"/>
    </xf>
    <xf numFmtId="190" fontId="25" fillId="0" borderId="0" applyAlignment="1" pivotButton="0" quotePrefix="0" xfId="0">
      <alignment horizontal="center"/>
    </xf>
    <xf numFmtId="201" fontId="25" fillId="17" borderId="0" applyAlignment="1" pivotButton="0" quotePrefix="0" xfId="0">
      <alignment horizontal="center"/>
    </xf>
    <xf numFmtId="201" fontId="25" fillId="0" borderId="0" applyAlignment="1" pivotButton="0" quotePrefix="0" xfId="0">
      <alignment horizontal="center"/>
    </xf>
    <xf numFmtId="202" fontId="22" fillId="13" borderId="0" pivotButton="0" quotePrefix="0" xfId="24"/>
  </cellXfs>
  <cellStyles count="35">
    <cellStyle name="Normal" xfId="0" builtinId="0"/>
    <cellStyle name="Comma" xfId="1"/>
    <cellStyle name="Comma 1" xfId="2"/>
    <cellStyle name="Comma 2" xfId="3"/>
    <cellStyle name="Comma 3" xfId="4"/>
    <cellStyle name="Comma [0]" xfId="5"/>
    <cellStyle name="Comma [0] 2" xfId="6"/>
    <cellStyle name="Comma [0] 3" xfId="7"/>
    <cellStyle name="Comma [0] 4" xfId="8"/>
    <cellStyle name="Currency" xfId="9"/>
    <cellStyle name="Currency 2" xfId="10"/>
    <cellStyle name="Currency 3" xfId="11"/>
    <cellStyle name="Currency 4" xfId="12"/>
    <cellStyle name="Currency 5" xfId="13"/>
    <cellStyle name="Currency [0]" xfId="14"/>
    <cellStyle name="Currency [0] 4" xfId="15"/>
    <cellStyle name="Currency [0] 5" xfId="16"/>
    <cellStyle name="Currency [0] 6" xfId="17"/>
    <cellStyle name="m/d/yy" xfId="18"/>
    <cellStyle name="Normal 3" xfId="19"/>
    <cellStyle name="Normal 2" xfId="20"/>
    <cellStyle name="Normal 2 2" xfId="21"/>
    <cellStyle name="Normal 2 3" xfId="22"/>
    <cellStyle name="Normal 4" xfId="23"/>
    <cellStyle name="Normal 5" xfId="24"/>
    <cellStyle name="Normal 6" xfId="25"/>
    <cellStyle name="Normal 7" xfId="26"/>
    <cellStyle name="Normal [3] 2" xfId="27"/>
    <cellStyle name="Output_dcfmodel" xfId="28"/>
    <cellStyle name="Percent" xfId="29"/>
    <cellStyle name="Percent 6" xfId="30"/>
    <cellStyle name="Percent 7" xfId="31"/>
    <cellStyle name="Percent 8" xfId="32"/>
    <cellStyle name="Porcentagem 3" xfId="33"/>
    <cellStyle name="Separador de milhares 2 17" xfId="34"/>
  </cellStyles>
  <dxfs count="24"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F2CC"/>
      <rgbColor rgb="FF99CCFF"/>
      <rgbColor rgb="FFFF99CC"/>
      <rgbColor rgb="FFCC99FF"/>
      <rgbColor rgb="FFD9D9D9"/>
      <rgbColor rgb="FF4472C4"/>
      <rgbColor rgb="FF46B1E1"/>
      <rgbColor rgb="FF99CC00"/>
      <rgbColor rgb="FFFFCC00"/>
      <rgbColor rgb="FFFF9900"/>
      <rgbColor rgb="FFFF6600"/>
      <rgbColor rgb="FF666699"/>
      <rgbColor rgb="FF70AD47"/>
      <rgbColor rgb="FF17365D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145"/>
  <sheetViews>
    <sheetView showGridLines="0" tabSelected="1" zoomScaleNormal="100" workbookViewId="0">
      <pane xSplit="3" ySplit="2" topLeftCell="D3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9.7109375" defaultRowHeight="12.75"/>
  <cols>
    <col width="90" customWidth="1" min="1" max="1"/>
    <col width="10.140625" customWidth="1" min="2" max="2"/>
    <col width="45" customWidth="1" min="3" max="3"/>
    <col width="12.42578125" customWidth="1" min="4" max="33"/>
  </cols>
  <sheetData>
    <row r="1" ht="14.25" customHeight="1">
      <c r="A1" s="1" t="inlineStr">
        <is>
          <t>Base histórica normalizada (R$ mil) — convertida da máscara anterior; linhas de origem auditáveis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</row>
    <row r="2" ht="14.25" customHeight="1">
      <c r="A2" s="2" t="inlineStr">
        <is>
          <t>Fonte / conta original</t>
        </is>
      </c>
      <c r="B2" s="2" t="inlineStr">
        <is>
          <t>Código</t>
        </is>
      </c>
      <c r="C2" s="2" t="inlineStr">
        <is>
          <t>Conta padronizada</t>
        </is>
      </c>
      <c r="D2" s="2" t="inlineStr">
        <is>
          <t>1Q21</t>
        </is>
      </c>
      <c r="E2" s="2" t="inlineStr">
        <is>
          <t>2Q21</t>
        </is>
      </c>
      <c r="F2" s="2" t="inlineStr">
        <is>
          <t>3Q21</t>
        </is>
      </c>
      <c r="G2" s="2" t="inlineStr">
        <is>
          <t>4Q21</t>
        </is>
      </c>
      <c r="H2" s="2" t="inlineStr">
        <is>
          <t>2021</t>
        </is>
      </c>
      <c r="I2" s="2" t="inlineStr">
        <is>
          <t>1Q22</t>
        </is>
      </c>
      <c r="J2" s="2" t="inlineStr">
        <is>
          <t>2Q22</t>
        </is>
      </c>
      <c r="K2" s="2" t="inlineStr">
        <is>
          <t>3Q22</t>
        </is>
      </c>
      <c r="L2" s="2" t="inlineStr">
        <is>
          <t>4Q22</t>
        </is>
      </c>
      <c r="M2" s="2" t="inlineStr">
        <is>
          <t>2022</t>
        </is>
      </c>
      <c r="N2" s="2" t="inlineStr">
        <is>
          <t>1Q23</t>
        </is>
      </c>
      <c r="O2" s="2" t="inlineStr">
        <is>
          <t>2Q23</t>
        </is>
      </c>
      <c r="P2" s="2" t="inlineStr">
        <is>
          <t>3Q23</t>
        </is>
      </c>
      <c r="Q2" s="2" t="inlineStr">
        <is>
          <t>4Q23</t>
        </is>
      </c>
      <c r="R2" s="2" t="inlineStr">
        <is>
          <t>2023</t>
        </is>
      </c>
      <c r="S2" s="2" t="inlineStr">
        <is>
          <t>1Q24</t>
        </is>
      </c>
      <c r="T2" s="2" t="inlineStr">
        <is>
          <t>2Q24</t>
        </is>
      </c>
      <c r="U2" s="2" t="inlineStr">
        <is>
          <t>3Q24</t>
        </is>
      </c>
      <c r="V2" s="2" t="inlineStr">
        <is>
          <t>4Q24</t>
        </is>
      </c>
      <c r="W2" s="2" t="inlineStr">
        <is>
          <t>2024</t>
        </is>
      </c>
      <c r="X2" s="2" t="inlineStr">
        <is>
          <t>1Q25</t>
        </is>
      </c>
      <c r="Y2" s="2" t="inlineStr">
        <is>
          <t>2Q25</t>
        </is>
      </c>
      <c r="Z2" s="2" t="inlineStr">
        <is>
          <t>3Q25</t>
        </is>
      </c>
      <c r="AA2" s="2" t="inlineStr">
        <is>
          <t>4Q25</t>
        </is>
      </c>
      <c r="AB2" s="2" t="inlineStr">
        <is>
          <t>2025</t>
        </is>
      </c>
      <c r="AC2" s="2" t="inlineStr">
        <is>
          <t>1Q26</t>
        </is>
      </c>
      <c r="AD2" s="2" t="inlineStr">
        <is>
          <t>2Q26</t>
        </is>
      </c>
      <c r="AE2" s="2" t="inlineStr">
        <is>
          <t>3Q26</t>
        </is>
      </c>
      <c r="AF2" s="2" t="inlineStr">
        <is>
          <t>4Q26</t>
        </is>
      </c>
      <c r="AG2" s="2" t="inlineStr">
        <is>
          <t>2026</t>
        </is>
      </c>
    </row>
    <row r="3">
      <c r="A3" t="inlineStr">
        <is>
          <t>Fonte: ver coluna A de cada linha</t>
        </is>
      </c>
      <c r="C3" t="inlineStr">
        <is>
          <t>Unidade: R$ mil (monetário); demais unidades × 1.000</t>
        </is>
      </c>
    </row>
    <row r="4">
      <c r="A4" t="inlineStr">
        <is>
          <t>DRE (R$ mil, trimestre isolado como divulgado; custos e despesas ja negativos na fonte)</t>
        </is>
      </c>
      <c r="C4" t="inlineStr">
        <is>
          <t>[linha bruta, sem código; lançada nas linhas abaixo]</t>
        </is>
      </c>
      <c r="D4" s="262" t="n"/>
      <c r="E4" s="262" t="n"/>
      <c r="F4" s="262" t="n"/>
      <c r="G4" s="262" t="n"/>
      <c r="I4" s="262" t="n"/>
      <c r="J4" s="262" t="n"/>
      <c r="K4" s="262" t="n"/>
      <c r="L4" s="262" t="n"/>
      <c r="N4" s="262" t="n"/>
      <c r="O4" s="262" t="n"/>
      <c r="P4" s="262" t="n"/>
      <c r="Q4" s="262" t="n"/>
      <c r="S4" s="262" t="n"/>
      <c r="T4" s="262" t="n"/>
      <c r="U4" s="262" t="n"/>
      <c r="V4" s="262" t="n"/>
      <c r="X4" s="262" t="n"/>
      <c r="Y4" s="262" t="n"/>
      <c r="Z4" s="262" t="n"/>
      <c r="AA4" s="262" t="n"/>
      <c r="AC4" s="262" t="n"/>
      <c r="AD4" s="262" t="n"/>
    </row>
    <row r="5">
      <c r="A5" t="inlineStr">
        <is>
          <t>Fleury DRE: Receita Líquida (l.15) | Combinada DRE: Receita Líquida (l.13) · fonte · unid. moeda</t>
        </is>
      </c>
      <c r="B5" t="n">
        <v>1</v>
      </c>
      <c r="C5" t="inlineStr">
        <is>
          <t>Net Revenues</t>
        </is>
      </c>
      <c r="D5" s="262" t="n">
        <v>893807.97581</v>
      </c>
      <c r="E5" s="262" t="n">
        <v>932066.35589</v>
      </c>
      <c r="F5" s="262" t="n">
        <v>1028829.86343</v>
      </c>
      <c r="G5" s="262" t="n">
        <v>1017946.42707</v>
      </c>
      <c r="I5" s="262" t="n">
        <v>1089912.570079</v>
      </c>
      <c r="J5" s="262" t="n">
        <v>1111745.961258</v>
      </c>
      <c r="K5" s="262" t="n">
        <v>1146634.87622</v>
      </c>
      <c r="L5" s="262" t="n">
        <v>1114746.76428</v>
      </c>
      <c r="N5" s="262" t="n">
        <v>1236823.29968</v>
      </c>
      <c r="O5" s="262" t="n">
        <v>1659541</v>
      </c>
      <c r="P5" s="262" t="n">
        <v>1870045</v>
      </c>
      <c r="Q5" s="262" t="n">
        <v>1704440.70032</v>
      </c>
      <c r="S5" s="262" t="n">
        <v>1904448.4785</v>
      </c>
      <c r="T5" s="262" t="n">
        <v>1978202</v>
      </c>
      <c r="U5" s="262" t="n">
        <v>1962671.474</v>
      </c>
      <c r="V5" s="262" t="n">
        <v>1839337.0475</v>
      </c>
      <c r="X5" s="262" t="n">
        <v>2015074</v>
      </c>
      <c r="Y5" s="262" t="n">
        <v>2024533</v>
      </c>
      <c r="Z5" s="262" t="n">
        <v>2190979.183827</v>
      </c>
      <c r="AA5" s="262" t="n">
        <v>2060595.33814</v>
      </c>
      <c r="AC5" s="262" t="n">
        <v>2223117.81868</v>
      </c>
      <c r="AD5" s="262" t="n">
        <v>2316653.662</v>
      </c>
    </row>
    <row r="6">
      <c r="A6" t="inlineStr">
        <is>
          <t>Fleury DRE: Pessoal e Serviços Médicos (l.18) | Combinada DRE: Pessoal e Serviços Médicos (l.16) · fonte · unid. moeda</t>
        </is>
      </c>
      <c r="B6" t="n">
        <v>2</v>
      </c>
      <c r="C6" t="inlineStr">
        <is>
          <t>COGS (cash)</t>
        </is>
      </c>
      <c r="D6" s="262" t="n">
        <v>-283198.16464</v>
      </c>
      <c r="E6" s="262" t="n">
        <v>-316306.20036</v>
      </c>
      <c r="F6" s="262" t="n">
        <v>-339155.84876</v>
      </c>
      <c r="G6" s="262" t="n">
        <v>-357590.13146</v>
      </c>
      <c r="I6" s="262" t="n">
        <v>-363945.82807</v>
      </c>
      <c r="J6" s="262" t="n">
        <v>-382157.20466</v>
      </c>
      <c r="K6" s="262" t="n">
        <v>-387841.05179</v>
      </c>
      <c r="L6" s="262" t="n">
        <v>-409434.77865</v>
      </c>
      <c r="N6" s="262" t="n">
        <v>-415399</v>
      </c>
      <c r="O6" s="262" t="n">
        <v>-528450</v>
      </c>
      <c r="P6" s="262" t="n">
        <v>-583227</v>
      </c>
      <c r="Q6" s="262" t="n">
        <v>-558411</v>
      </c>
      <c r="S6" s="262" t="n">
        <v>-558172</v>
      </c>
      <c r="T6" s="262" t="n">
        <v>-593782</v>
      </c>
      <c r="U6" s="262" t="n">
        <v>-584497</v>
      </c>
      <c r="V6" s="262" t="n">
        <v>-597559</v>
      </c>
      <c r="X6" s="262" t="n">
        <v>-576724</v>
      </c>
      <c r="Y6" s="262" t="n">
        <v>-628800</v>
      </c>
      <c r="Z6" s="262" t="n">
        <v>-653924</v>
      </c>
      <c r="AA6" s="262" t="n">
        <v>-658396</v>
      </c>
      <c r="AC6" s="262" t="n">
        <v>-675490</v>
      </c>
      <c r="AD6" s="262" t="n">
        <v>-693259</v>
      </c>
    </row>
    <row r="7">
      <c r="A7" t="inlineStr">
        <is>
          <t>Fleury DRE: Aluguéis, Serviços com Ocupação e Utilidades (l.19) | Combinada DRE: Aluguéis, Serviços com Ocupação e Utilidades (l.17) · fonte · unid. moeda</t>
        </is>
      </c>
      <c r="B7" t="n">
        <v>2</v>
      </c>
      <c r="C7" t="inlineStr">
        <is>
          <t>COGS (cash)</t>
        </is>
      </c>
      <c r="D7" s="262" t="n">
        <v>-127743.6042</v>
      </c>
      <c r="E7" s="262" t="n">
        <v>-139249.29594</v>
      </c>
      <c r="F7" s="262" t="n">
        <v>-143291.91475</v>
      </c>
      <c r="G7" s="262" t="n">
        <v>-133736.826</v>
      </c>
      <c r="I7" s="262" t="n">
        <v>-143814.67313</v>
      </c>
      <c r="J7" s="262" t="n">
        <v>-155664.60617</v>
      </c>
      <c r="K7" s="262" t="n">
        <v>-150945.28427</v>
      </c>
      <c r="L7" s="262" t="n">
        <v>-145879.32341</v>
      </c>
      <c r="N7" s="262" t="n">
        <v>-157275</v>
      </c>
      <c r="O7" s="262" t="n">
        <v>-215279</v>
      </c>
      <c r="P7" s="262" t="n">
        <v>-233578</v>
      </c>
      <c r="Q7" s="262" t="n">
        <v>-238413</v>
      </c>
      <c r="S7" s="262" t="n">
        <v>-232772</v>
      </c>
      <c r="T7" s="262" t="n">
        <v>-243374</v>
      </c>
      <c r="U7" s="262" t="n">
        <v>-248722</v>
      </c>
      <c r="V7" s="262" t="n">
        <v>-254094</v>
      </c>
      <c r="X7" s="262" t="n">
        <v>-260595</v>
      </c>
      <c r="Y7" s="262" t="n">
        <v>-268355</v>
      </c>
      <c r="Z7" s="262" t="n">
        <v>-290252</v>
      </c>
      <c r="AA7" s="262" t="n">
        <v>-279230</v>
      </c>
      <c r="AC7" s="262" t="n">
        <v>-285077</v>
      </c>
      <c r="AD7" s="262" t="n">
        <v>-321874</v>
      </c>
    </row>
    <row r="8">
      <c r="A8" t="inlineStr">
        <is>
          <t>Fleury DRE: Material Direto e Intermediação de Exames (l.20) | Combinada DRE: Material Direto e Intermediação de Exames (l.18) · fonte · unid. moeda</t>
        </is>
      </c>
      <c r="B8" t="n">
        <v>2</v>
      </c>
      <c r="C8" t="inlineStr">
        <is>
          <t>COGS (cash)</t>
        </is>
      </c>
      <c r="D8" s="262" t="n">
        <v>-122595.91533</v>
      </c>
      <c r="E8" s="262" t="n">
        <v>-141464.99492</v>
      </c>
      <c r="F8" s="262" t="n">
        <v>-153105.15959</v>
      </c>
      <c r="G8" s="262" t="n">
        <v>-157149.88899</v>
      </c>
      <c r="I8" s="262" t="n">
        <v>-163674.36889</v>
      </c>
      <c r="J8" s="262" t="n">
        <v>-172449.53282</v>
      </c>
      <c r="K8" s="262" t="n">
        <v>-171594.51997</v>
      </c>
      <c r="L8" s="262" t="n">
        <v>-200344.33895</v>
      </c>
      <c r="N8" s="262" t="n">
        <v>-200613.64322</v>
      </c>
      <c r="O8" s="262" t="n">
        <v>-327996</v>
      </c>
      <c r="P8" s="262" t="n">
        <v>-377692.564662</v>
      </c>
      <c r="Q8" s="262" t="n">
        <v>-358028</v>
      </c>
      <c r="S8" s="262" t="n">
        <v>-397723</v>
      </c>
      <c r="T8" s="262" t="n">
        <v>-418959</v>
      </c>
      <c r="U8" s="262" t="n">
        <v>-408903</v>
      </c>
      <c r="V8" s="262" t="n">
        <v>-382625</v>
      </c>
      <c r="X8" s="262" t="n">
        <v>-437908</v>
      </c>
      <c r="Y8" s="262" t="n">
        <v>-424918</v>
      </c>
      <c r="Z8" s="262" t="n">
        <v>-451367</v>
      </c>
      <c r="AA8" s="262" t="n">
        <v>-450906</v>
      </c>
      <c r="AC8" s="262" t="n">
        <v>-450940</v>
      </c>
      <c r="AD8" s="262" t="n">
        <v>-484625</v>
      </c>
    </row>
    <row r="9">
      <c r="A9" t="inlineStr">
        <is>
          <t>Fleury DRE: Gastos Gerais (l.22) | Combinada DRE: Gastos Gerais (l.20) · fonte · unid. moeda</t>
        </is>
      </c>
      <c r="B9" t="n">
        <v>2</v>
      </c>
      <c r="C9" t="inlineStr">
        <is>
          <t>COGS (cash)</t>
        </is>
      </c>
      <c r="D9" s="262" t="n">
        <v>-1142.65368</v>
      </c>
      <c r="E9" s="262" t="n">
        <v>-1835.1811</v>
      </c>
      <c r="F9" s="262" t="n">
        <v>-1513.76547</v>
      </c>
      <c r="G9" s="262" t="n">
        <v>-1702.9396</v>
      </c>
      <c r="I9" s="262" t="n">
        <v>-1602.86962</v>
      </c>
      <c r="J9" s="262" t="n">
        <v>-2717.73914</v>
      </c>
      <c r="K9" s="262" t="n">
        <v>-2032.64154</v>
      </c>
      <c r="L9" s="262" t="n">
        <v>-3281.92909</v>
      </c>
      <c r="N9" s="262" t="n">
        <v>-3145</v>
      </c>
      <c r="O9" s="262" t="n">
        <v>-3454</v>
      </c>
      <c r="P9" s="262" t="n">
        <v>-3570</v>
      </c>
      <c r="Q9" s="262" t="n">
        <v>-2819</v>
      </c>
      <c r="S9" s="262" t="n">
        <v>-3425</v>
      </c>
      <c r="T9" s="262" t="n">
        <v>-4724</v>
      </c>
      <c r="U9" s="262" t="n">
        <v>-9762</v>
      </c>
      <c r="V9" s="262" t="n">
        <v>2890</v>
      </c>
      <c r="X9" s="262" t="n">
        <v>-6855</v>
      </c>
      <c r="Y9" s="262" t="n">
        <v>-4443</v>
      </c>
      <c r="Z9" s="262" t="n">
        <v>-4162</v>
      </c>
      <c r="AA9" s="262" t="n">
        <v>-5525</v>
      </c>
      <c r="AC9" s="262" t="n">
        <v>-6136</v>
      </c>
      <c r="AD9" s="262" t="n">
        <v>-8422</v>
      </c>
    </row>
    <row r="10">
      <c r="A10" t="inlineStr">
        <is>
          <t>Fleury DRE: Depreciação e Amortização Custos (l.21) | Combinada DRE: Depreciação e Amortização Custos (l.19) · fonte · unid. moeda</t>
        </is>
      </c>
      <c r="B10" t="n">
        <v>4</v>
      </c>
      <c r="C10" t="inlineStr">
        <is>
          <t>D&amp;A</t>
        </is>
      </c>
      <c r="D10" s="262" t="n">
        <v>-71869.52937</v>
      </c>
      <c r="E10" s="262" t="n">
        <v>-74966.50410999999</v>
      </c>
      <c r="F10" s="262" t="n">
        <v>-85222.83483000001</v>
      </c>
      <c r="G10" s="262" t="n">
        <v>-92917.14043</v>
      </c>
      <c r="I10" s="262" t="n">
        <v>-92124.97173</v>
      </c>
      <c r="J10" s="262" t="n">
        <v>-98401.39642999999</v>
      </c>
      <c r="K10" s="262" t="n">
        <v>-99149.98273</v>
      </c>
      <c r="L10" s="262" t="n">
        <v>-105872.62601</v>
      </c>
      <c r="N10" s="262" t="n">
        <v>-103719.58673</v>
      </c>
      <c r="O10" s="262" t="n">
        <v>-129263</v>
      </c>
      <c r="P10" s="262" t="n">
        <v>-144412</v>
      </c>
      <c r="Q10" s="262" t="n">
        <v>-146171</v>
      </c>
      <c r="S10" s="262" t="n">
        <v>-147107</v>
      </c>
      <c r="T10" s="262" t="n">
        <v>-150040</v>
      </c>
      <c r="U10" s="262" t="n">
        <v>-153788</v>
      </c>
      <c r="V10" s="262" t="n">
        <v>-154396</v>
      </c>
      <c r="X10" s="262" t="n">
        <v>-160872.937</v>
      </c>
      <c r="Y10" s="262" t="n">
        <v>-170039</v>
      </c>
      <c r="Z10" s="262" t="n">
        <v>-175424.31835</v>
      </c>
      <c r="AA10" s="262" t="n">
        <v>-176448.55554</v>
      </c>
      <c r="AC10" s="262" t="n">
        <v>-177408.8603</v>
      </c>
      <c r="AD10" s="262" t="n">
        <v>-164335</v>
      </c>
    </row>
    <row r="11">
      <c r="A11" t="inlineStr">
        <is>
          <t>Fleury DRE: SG&amp;A (l.35) | Combinada DRE: SG&amp;A (l.33) · fonte · unid. moeda</t>
        </is>
      </c>
      <c r="B11" t="n">
        <v>3</v>
      </c>
      <c r="C11" t="inlineStr">
        <is>
          <t>SG&amp;A and Other (cash)</t>
        </is>
      </c>
      <c r="D11" s="262" t="n">
        <v>-75695.03458000001</v>
      </c>
      <c r="E11" s="262" t="n">
        <v>-115884.22273</v>
      </c>
      <c r="F11" s="262" t="n">
        <v>-101782.81322</v>
      </c>
      <c r="G11" s="262" t="n">
        <v>-123333.41402</v>
      </c>
      <c r="I11" s="262" t="n">
        <v>-93586.94485</v>
      </c>
      <c r="J11" s="262" t="n">
        <v>-108251.66897</v>
      </c>
      <c r="K11" s="262" t="n">
        <v>-110987.03846</v>
      </c>
      <c r="L11" s="262" t="n">
        <v>-125699.27284</v>
      </c>
      <c r="N11" s="262" t="n">
        <v>-113453.4706</v>
      </c>
      <c r="O11" s="262" t="n">
        <v>-179447</v>
      </c>
      <c r="P11" s="262" t="n">
        <v>-130664</v>
      </c>
      <c r="Q11" s="262" t="n">
        <v>-133497</v>
      </c>
      <c r="S11" s="262" t="n">
        <v>-139962</v>
      </c>
      <c r="T11" s="262" t="n">
        <v>-145978</v>
      </c>
      <c r="U11" s="262" t="n">
        <v>-133693</v>
      </c>
      <c r="V11" s="262" t="n">
        <v>-163614</v>
      </c>
      <c r="X11" s="262" t="n">
        <v>-144996</v>
      </c>
      <c r="Y11" s="262" t="n">
        <v>-126585</v>
      </c>
      <c r="Z11" s="262" t="n">
        <v>-146464</v>
      </c>
      <c r="AA11" s="262" t="n">
        <v>-157502.88136</v>
      </c>
      <c r="AC11" s="262" t="n">
        <v>-152425.16452</v>
      </c>
      <c r="AD11" s="262" t="n">
        <v>-148244</v>
      </c>
    </row>
    <row r="12">
      <c r="A12" t="inlineStr">
        <is>
          <t>Fleury DRE: [nao existe] | Combinada DRE: Comercial (l.36) [0 em 1Q20..1Q23 (13 per.): linha inexistente/vazia na fonte; total divulgado confirma] · fonte · unid. moeda</t>
        </is>
      </c>
      <c r="B12" t="n">
        <v>3</v>
      </c>
      <c r="C12" t="inlineStr">
        <is>
          <t>SG&amp;A and Other (cash)</t>
        </is>
      </c>
      <c r="D12" s="262" t="n">
        <v>0</v>
      </c>
      <c r="E12" s="262" t="n">
        <v>0</v>
      </c>
      <c r="F12" s="262" t="n">
        <v>0</v>
      </c>
      <c r="G12" s="262" t="n">
        <v>0</v>
      </c>
      <c r="I12" s="262" t="n">
        <v>0</v>
      </c>
      <c r="J12" s="262" t="n">
        <v>0</v>
      </c>
      <c r="K12" s="262" t="n">
        <v>0</v>
      </c>
      <c r="L12" s="262" t="n">
        <v>0</v>
      </c>
      <c r="N12" s="262" t="n">
        <v>0</v>
      </c>
      <c r="O12" s="262" t="n">
        <v>-38444</v>
      </c>
      <c r="P12" s="262" t="n">
        <v>-37203</v>
      </c>
      <c r="Q12" s="262" t="n">
        <v>-42613</v>
      </c>
      <c r="S12" s="262" t="n">
        <v>-34716</v>
      </c>
      <c r="T12" s="262" t="n">
        <v>-49585</v>
      </c>
      <c r="U12" s="262" t="n">
        <v>-43879</v>
      </c>
      <c r="V12" s="262" t="n">
        <v>-42222</v>
      </c>
      <c r="X12" s="262" t="n">
        <v>-41781</v>
      </c>
      <c r="Y12" s="262" t="n">
        <v>-41424</v>
      </c>
      <c r="Z12" s="262" t="n">
        <v>-38133</v>
      </c>
      <c r="AA12" s="262" t="n">
        <v>-45673</v>
      </c>
      <c r="AC12" s="262" t="n">
        <v>-46353</v>
      </c>
      <c r="AD12" s="262" t="n">
        <v>-47969</v>
      </c>
    </row>
    <row r="13">
      <c r="A13" t="inlineStr">
        <is>
          <t>Fleury DRE: Outras receitas (despesas) operacionais líquidas (l.38) | Combinada DRE: Outras receitas (despesas) operacionais líquidas (l.37) · fonte · unid. moeda</t>
        </is>
      </c>
      <c r="B13" t="n">
        <v>3</v>
      </c>
      <c r="C13" t="inlineStr">
        <is>
          <t>SG&amp;A and Other (cash)</t>
        </is>
      </c>
      <c r="D13" s="262" t="n">
        <v>2480.66151</v>
      </c>
      <c r="E13" s="262" t="n">
        <v>-147.2569</v>
      </c>
      <c r="F13" s="262" t="n">
        <v>1096.81176</v>
      </c>
      <c r="G13" s="262" t="n">
        <v>18356.16885</v>
      </c>
      <c r="I13" s="262" t="n">
        <v>4570.77789</v>
      </c>
      <c r="J13" s="262" t="n">
        <v>9537.914409999999</v>
      </c>
      <c r="K13" s="262" t="n">
        <v>10479.79976</v>
      </c>
      <c r="L13" s="262" t="n">
        <v>289.28109</v>
      </c>
      <c r="N13" s="262" t="n">
        <v>-904.88192</v>
      </c>
      <c r="O13" s="262" t="n">
        <v>-2584</v>
      </c>
      <c r="P13" s="262" t="n">
        <v>7912</v>
      </c>
      <c r="Q13" s="262" t="n">
        <v>6256</v>
      </c>
      <c r="S13" s="262" t="n">
        <v>-19156</v>
      </c>
      <c r="T13" s="262" t="n">
        <v>-505</v>
      </c>
      <c r="U13" s="262" t="n">
        <v>10260</v>
      </c>
      <c r="V13" s="262" t="n">
        <v>-405</v>
      </c>
      <c r="X13" s="262" t="n">
        <v>-4986.442</v>
      </c>
      <c r="Y13" s="262" t="n">
        <v>281</v>
      </c>
      <c r="Z13" s="262" t="n">
        <v>1368.230727</v>
      </c>
      <c r="AA13" s="262" t="n">
        <v>-5395.29901</v>
      </c>
      <c r="AC13" s="262" t="n">
        <v>-15879.574</v>
      </c>
      <c r="AD13" s="262" t="n">
        <v>-2725</v>
      </c>
    </row>
    <row r="14">
      <c r="A14" t="inlineStr">
        <is>
          <t>Fleury DRE: Reversão de (provisão) para riscos tributários, trabalhistas e cíveis (l.39) | Combinada DRE: Reversão de (provisão) para riscos tributários, trabalhistas e cíveis (l.38) · fonte · unid. moeda</t>
        </is>
      </c>
      <c r="B14" t="n">
        <v>3</v>
      </c>
      <c r="C14" t="inlineStr">
        <is>
          <t>SG&amp;A and Other (cash)</t>
        </is>
      </c>
      <c r="D14" s="262" t="n">
        <v>-381.01393</v>
      </c>
      <c r="E14" s="262" t="n">
        <v>2556.99861</v>
      </c>
      <c r="F14" s="262" t="n">
        <v>-2524.07184</v>
      </c>
      <c r="G14" s="262" t="n">
        <v>-621.21672</v>
      </c>
      <c r="I14" s="262" t="n">
        <v>-1279.33113</v>
      </c>
      <c r="J14" s="262" t="n">
        <v>-2038.22825</v>
      </c>
      <c r="K14" s="262" t="n">
        <v>-1269.47887</v>
      </c>
      <c r="L14" s="262" t="n">
        <v>2282.17092</v>
      </c>
      <c r="N14" s="262" t="n">
        <v>-253.3337</v>
      </c>
      <c r="O14" s="262" t="n">
        <v>-309</v>
      </c>
      <c r="P14" s="262" t="n">
        <v>-6058</v>
      </c>
      <c r="Q14" s="262" t="n">
        <v>-1083</v>
      </c>
      <c r="S14" s="262" t="n">
        <v>-1389</v>
      </c>
      <c r="T14" s="262" t="n">
        <v>753</v>
      </c>
      <c r="U14" s="262" t="n">
        <v>-6094</v>
      </c>
      <c r="V14" s="262" t="n">
        <v>3679</v>
      </c>
      <c r="X14" s="262" t="n">
        <v>6397.094</v>
      </c>
      <c r="Y14" s="262" t="n">
        <v>1801</v>
      </c>
      <c r="Z14" s="262" t="n">
        <v>-8681.509260000001</v>
      </c>
      <c r="AA14" s="262" t="n">
        <v>-2029.00146</v>
      </c>
      <c r="AC14" s="262" t="n">
        <v>15179.096</v>
      </c>
      <c r="AD14" s="262" t="n">
        <v>3397</v>
      </c>
    </row>
    <row r="15">
      <c r="A15" t="inlineStr">
        <is>
          <t>Fleury DRE: Depreciação e Amortização (l.36) | Combinada DRE: Depreciação e Amortização (l.34) · fonte · unid. moeda</t>
        </is>
      </c>
      <c r="B15" t="n">
        <v>4</v>
      </c>
      <c r="C15" t="inlineStr">
        <is>
          <t>D&amp;A</t>
        </is>
      </c>
      <c r="D15" s="262" t="n">
        <v>-14966.90892</v>
      </c>
      <c r="E15" s="262" t="n">
        <v>-15917.93645</v>
      </c>
      <c r="F15" s="262" t="n">
        <v>-18610.84442</v>
      </c>
      <c r="G15" s="262" t="n">
        <v>-14808.01809</v>
      </c>
      <c r="I15" s="262" t="n">
        <v>-15334.66416</v>
      </c>
      <c r="J15" s="262" t="n">
        <v>-15441.16875</v>
      </c>
      <c r="K15" s="262" t="n">
        <v>-10602.52317</v>
      </c>
      <c r="L15" s="262" t="n">
        <v>-18411.97449</v>
      </c>
      <c r="N15" s="262" t="n">
        <v>-27542.50142</v>
      </c>
      <c r="O15" s="262" t="n">
        <v>-36813</v>
      </c>
      <c r="P15" s="262" t="n">
        <v>-43749</v>
      </c>
      <c r="Q15" s="262" t="n">
        <v>-43708</v>
      </c>
      <c r="S15" s="262" t="n">
        <v>-42447</v>
      </c>
      <c r="T15" s="262" t="n">
        <v>-41764</v>
      </c>
      <c r="U15" s="262" t="n">
        <v>-42821</v>
      </c>
      <c r="V15" s="262" t="n">
        <v>-47620</v>
      </c>
      <c r="X15" s="262" t="n">
        <v>-51268.14</v>
      </c>
      <c r="Y15" s="262" t="n">
        <v>-52364</v>
      </c>
      <c r="Z15" s="262" t="n">
        <v>-53950.67829</v>
      </c>
      <c r="AA15" s="262" t="n">
        <v>-59943.30035</v>
      </c>
      <c r="AC15" s="262" t="n">
        <v>-55712.83548</v>
      </c>
      <c r="AD15" s="262" t="n">
        <v>-51471</v>
      </c>
    </row>
    <row r="16">
      <c r="A16" t="inlineStr">
        <is>
          <t>Fleury DRE: Amortização de Ágio (l.37) | Combinada DRE: Amortização de Ágio (l.35) · fonte · unid. moeda</t>
        </is>
      </c>
      <c r="B16" t="n">
        <v>4</v>
      </c>
      <c r="C16" t="inlineStr">
        <is>
          <t>D&amp;A</t>
        </is>
      </c>
      <c r="D16" s="262" t="n">
        <v>0</v>
      </c>
      <c r="E16" s="262" t="n">
        <v>0</v>
      </c>
      <c r="F16" s="262" t="n">
        <v>0</v>
      </c>
      <c r="G16" s="262" t="n">
        <v>0</v>
      </c>
      <c r="I16" s="262" t="n">
        <v>0</v>
      </c>
      <c r="J16" s="262" t="n">
        <v>0</v>
      </c>
      <c r="K16" s="262" t="n">
        <v>0</v>
      </c>
      <c r="L16" s="262" t="n">
        <v>0</v>
      </c>
      <c r="N16" s="262" t="n">
        <v>0</v>
      </c>
      <c r="O16" s="262" t="n">
        <v>0</v>
      </c>
      <c r="P16" s="262" t="n">
        <v>0</v>
      </c>
      <c r="Q16" s="262" t="n">
        <v>0</v>
      </c>
      <c r="S16" s="262" t="n">
        <v>0</v>
      </c>
      <c r="T16" s="262" t="n">
        <v>0</v>
      </c>
      <c r="U16" s="262" t="n">
        <v>0</v>
      </c>
      <c r="V16" s="262" t="n">
        <v>0</v>
      </c>
      <c r="X16" s="262" t="n">
        <v>0</v>
      </c>
      <c r="Y16" s="262" t="n">
        <v>0</v>
      </c>
      <c r="Z16" s="262" t="n">
        <v>0</v>
      </c>
      <c r="AA16" s="262" t="n">
        <v>0</v>
      </c>
      <c r="AC16" s="262" t="n">
        <v>0</v>
      </c>
      <c r="AD16" s="262" t="n">
        <v>0</v>
      </c>
    </row>
    <row r="17">
      <c r="A17" t="inlineStr">
        <is>
          <t>Fleury DRE: Equivalência Patrimonial (l.40) | Combinada DRE: Equivalência Patrimonial (l.39) · fonte · unid. moeda</t>
        </is>
      </c>
      <c r="B17" t="n">
        <v>8</v>
      </c>
      <c r="C17" t="inlineStr">
        <is>
          <t>Equity in Income of Affiliates, after tax (enter as +)</t>
        </is>
      </c>
      <c r="D17" s="262" t="n">
        <v>-198.29475</v>
      </c>
      <c r="E17" s="262" t="n">
        <v>-2.235242</v>
      </c>
      <c r="F17" s="262" t="n">
        <v>441.09465</v>
      </c>
      <c r="G17" s="262" t="n">
        <v>309.085383</v>
      </c>
      <c r="I17" s="262" t="n">
        <v>0.197684</v>
      </c>
      <c r="J17" s="262" t="n">
        <v>414.430567</v>
      </c>
      <c r="K17" s="262" t="n">
        <v>249.77188</v>
      </c>
      <c r="L17" s="262" t="n">
        <v>-61.408071</v>
      </c>
      <c r="N17" s="262" t="n">
        <v>0</v>
      </c>
      <c r="O17" s="262" t="n">
        <v>255</v>
      </c>
      <c r="P17" s="262" t="n">
        <v>176</v>
      </c>
      <c r="Q17" s="262" t="n">
        <v>-274</v>
      </c>
      <c r="S17" s="262" t="n">
        <v>-348</v>
      </c>
      <c r="T17" s="262" t="n">
        <v>-802</v>
      </c>
      <c r="U17" s="262" t="n">
        <v>-655</v>
      </c>
      <c r="V17" s="262" t="n">
        <v>-2442</v>
      </c>
      <c r="X17" s="262" t="n">
        <v>-2271</v>
      </c>
      <c r="Y17" s="262" t="n">
        <v>-2776</v>
      </c>
      <c r="Z17" s="262" t="n">
        <v>-3606.338083</v>
      </c>
      <c r="AA17" s="262" t="n">
        <v>-4905.646595</v>
      </c>
      <c r="AC17" s="262" t="n">
        <v>-5061.568</v>
      </c>
      <c r="AD17" s="262" t="n">
        <v>-5364.726</v>
      </c>
    </row>
    <row r="18">
      <c r="A18" t="inlineStr">
        <is>
          <t>Fleury DRE: Receitas financeiras (l.45) | Combinada DRE: Receitas financeiras (l.44) · fonte · unid. moeda</t>
        </is>
      </c>
      <c r="B18" t="n">
        <v>6</v>
      </c>
      <c r="C18" t="inlineStr">
        <is>
          <t>Nonoperating Income / (Loss)</t>
        </is>
      </c>
      <c r="D18" s="262" t="n">
        <v>6699.25278</v>
      </c>
      <c r="E18" s="262" t="n">
        <v>6797.23379</v>
      </c>
      <c r="F18" s="262" t="n">
        <v>16455.8964</v>
      </c>
      <c r="G18" s="262" t="n">
        <v>18925.33787</v>
      </c>
      <c r="I18" s="262" t="n">
        <v>20195.70061</v>
      </c>
      <c r="J18" s="262" t="n">
        <v>21476.71546</v>
      </c>
      <c r="K18" s="262" t="n">
        <v>28954.01388</v>
      </c>
      <c r="L18" s="262" t="n">
        <v>42835.06655</v>
      </c>
      <c r="N18" s="262" t="n">
        <v>45007.53287</v>
      </c>
      <c r="O18" s="262" t="n">
        <v>58878.57805</v>
      </c>
      <c r="P18" s="262" t="n">
        <v>60852</v>
      </c>
      <c r="Q18" s="262" t="n">
        <v>55571.88908</v>
      </c>
      <c r="S18" s="262" t="n">
        <v>36466.48343</v>
      </c>
      <c r="T18" s="262" t="n">
        <v>39213</v>
      </c>
      <c r="U18" s="262" t="n">
        <v>62182</v>
      </c>
      <c r="V18" s="262" t="n">
        <v>67624.51657000001</v>
      </c>
      <c r="X18" s="262" t="n">
        <v>79099.815</v>
      </c>
      <c r="Y18" s="262" t="n">
        <v>80601</v>
      </c>
      <c r="Z18" s="262" t="n">
        <v>90060.51204</v>
      </c>
      <c r="AA18" s="262" t="n">
        <v>85675.62359</v>
      </c>
      <c r="AC18" s="262" t="n">
        <v>80814.98742999999</v>
      </c>
      <c r="AD18" s="262" t="n">
        <v>79498.624</v>
      </c>
    </row>
    <row r="19">
      <c r="A19" t="inlineStr">
        <is>
          <t>Fleury DRE: [nao existe] | Combinada DRE: Variação Cambial Líquida (l.46) [0 em 1Q20..2Q26 (20 per.): linha inexistente/vazia na fonte; total divulgado confirma] · fonte · unid. moeda</t>
        </is>
      </c>
      <c r="B19" t="n">
        <v>6</v>
      </c>
      <c r="C19" t="inlineStr">
        <is>
          <t>Nonoperating Income / (Loss)</t>
        </is>
      </c>
      <c r="D19" s="262" t="n">
        <v>0</v>
      </c>
      <c r="E19" s="262" t="n">
        <v>0</v>
      </c>
      <c r="F19" s="262" t="n">
        <v>0</v>
      </c>
      <c r="G19" s="262" t="n">
        <v>0</v>
      </c>
      <c r="I19" s="262" t="n">
        <v>0</v>
      </c>
      <c r="J19" s="262" t="n">
        <v>0</v>
      </c>
      <c r="K19" s="262" t="n">
        <v>0</v>
      </c>
      <c r="L19" s="262" t="n">
        <v>0</v>
      </c>
      <c r="N19" s="262" t="n">
        <v>0</v>
      </c>
      <c r="O19" s="262" t="n">
        <v>0</v>
      </c>
      <c r="P19" s="262" t="n">
        <v>0</v>
      </c>
      <c r="Q19" s="262" t="n">
        <v>0</v>
      </c>
      <c r="S19" s="262" t="n">
        <v>0</v>
      </c>
      <c r="T19" s="262" t="n">
        <v>0</v>
      </c>
      <c r="U19" s="262" t="n">
        <v>0</v>
      </c>
      <c r="V19" s="262" t="n">
        <v>0</v>
      </c>
      <c r="X19" s="262" t="n">
        <v>0</v>
      </c>
      <c r="Y19" s="262" t="n">
        <v>0</v>
      </c>
      <c r="Z19" s="262" t="n">
        <v>0</v>
      </c>
      <c r="AA19" s="262" t="n">
        <v>0</v>
      </c>
      <c r="AC19" s="262" t="n">
        <v>0</v>
      </c>
      <c r="AD19" s="262" t="n">
        <v>0</v>
      </c>
    </row>
    <row r="20">
      <c r="A20" t="inlineStr">
        <is>
          <t>Fleury DRE: Despesas financeiras (l.46) | Combinada DRE: Despesas financeiras (l.45) · fonte · unid. moeda</t>
        </is>
      </c>
      <c r="B20" t="n">
        <v>5</v>
      </c>
      <c r="C20" t="inlineStr">
        <is>
          <t>Interest Expense</t>
        </is>
      </c>
      <c r="D20" s="262" t="n">
        <v>-37428.79707</v>
      </c>
      <c r="E20" s="262" t="n">
        <v>-43008.56677</v>
      </c>
      <c r="F20" s="262" t="n">
        <v>-65281.09683</v>
      </c>
      <c r="G20" s="262" t="n">
        <v>-74312.02258999999</v>
      </c>
      <c r="I20" s="262" t="n">
        <v>-85808.39103</v>
      </c>
      <c r="J20" s="262" t="n">
        <v>-107820.61116</v>
      </c>
      <c r="K20" s="262" t="n">
        <v>-128365.3378</v>
      </c>
      <c r="L20" s="262" t="n">
        <v>-121044.4737</v>
      </c>
      <c r="N20" s="262" t="n">
        <v>-134546.69035</v>
      </c>
      <c r="O20" s="262" t="n">
        <v>-158388.627</v>
      </c>
      <c r="P20" s="262" t="n">
        <v>-163758</v>
      </c>
      <c r="Q20" s="262" t="n">
        <v>-148223.68265</v>
      </c>
      <c r="S20" s="262" t="n">
        <v>-146741.36103</v>
      </c>
      <c r="T20" s="262" t="n">
        <v>-140543</v>
      </c>
      <c r="U20" s="262" t="n">
        <v>-158257</v>
      </c>
      <c r="V20" s="262" t="n">
        <v>-171253.63897</v>
      </c>
      <c r="X20" s="262" t="n">
        <v>-182470.204</v>
      </c>
      <c r="Y20" s="262" t="n">
        <v>-198558</v>
      </c>
      <c r="Z20" s="262" t="n">
        <v>-220290.3303</v>
      </c>
      <c r="AA20" s="262" t="n">
        <v>-202059.34008</v>
      </c>
      <c r="AC20" s="262" t="n">
        <v>-195875.19551</v>
      </c>
      <c r="AD20" s="262" t="n">
        <v>-190784.577</v>
      </c>
    </row>
    <row r="21">
      <c r="A21" t="inlineStr">
        <is>
          <t>Fleury DRE: Imposto de Renda e Contribuição Social (l.50) | Combinada DRE: Imposto de Renda e Contribuição Social (l.50) · fonte · unid. moeda</t>
        </is>
      </c>
      <c r="B21" t="n">
        <v>7</v>
      </c>
      <c r="C21" t="inlineStr">
        <is>
          <t>Taxes</t>
        </is>
      </c>
      <c r="D21" s="262" t="n">
        <v>-49156.01659</v>
      </c>
      <c r="E21" s="262" t="n">
        <v>-27142.99102</v>
      </c>
      <c r="F21" s="262" t="n">
        <v>-39946.16017</v>
      </c>
      <c r="G21" s="262" t="n">
        <v>-28371.67513</v>
      </c>
      <c r="I21" s="262" t="n">
        <v>-42675.00254</v>
      </c>
      <c r="J21" s="262" t="n">
        <v>-27308.73652</v>
      </c>
      <c r="K21" s="262" t="n">
        <v>-26851.81194</v>
      </c>
      <c r="L21" s="262" t="n">
        <v>173.34404</v>
      </c>
      <c r="N21" s="262" t="n">
        <v>-31154.2375</v>
      </c>
      <c r="O21" s="262" t="n">
        <v>-24205.657494</v>
      </c>
      <c r="P21" s="262" t="n">
        <v>-43257</v>
      </c>
      <c r="Q21" s="262" t="n">
        <v>-11888.105006</v>
      </c>
      <c r="S21" s="262" t="n">
        <v>-48642</v>
      </c>
      <c r="T21" s="262" t="n">
        <v>-55949</v>
      </c>
      <c r="U21" s="262" t="n">
        <v>-57350</v>
      </c>
      <c r="V21" s="262" t="n">
        <v>-20816</v>
      </c>
      <c r="X21" s="262" t="n">
        <v>-54013.02</v>
      </c>
      <c r="Y21" s="262" t="n">
        <v>-44404</v>
      </c>
      <c r="Z21" s="262" t="n">
        <v>-53904.47839</v>
      </c>
      <c r="AA21" s="262" t="n">
        <v>-4214.78333</v>
      </c>
      <c r="AC21" s="262" t="n">
        <v>-55100.18466</v>
      </c>
      <c r="AD21" s="262" t="n">
        <v>-61143.775</v>
      </c>
    </row>
    <row r="22">
      <c r="A22" t="inlineStr">
        <is>
          <t>Fleury DRE: Participação dos não-controladores (l.55) | Combinada DRE: Participação dos não-controladores (l.55) [0 em 1Q20..4Q20 (4 per.): linha inexistente/vazia na fonte; total divulgado confirma] · fonte · unid. moeda</t>
        </is>
      </c>
      <c r="B22" t="n">
        <v>9</v>
      </c>
      <c r="C22" t="inlineStr">
        <is>
          <t>Minority Interest Expense, after tax (enter as - )</t>
        </is>
      </c>
      <c r="D22" s="262" t="n">
        <v>0</v>
      </c>
      <c r="E22" s="262" t="n">
        <v>39.423182</v>
      </c>
      <c r="F22" s="262" t="n">
        <v>-1426.590593</v>
      </c>
      <c r="G22" s="262" t="n">
        <v>-177.942983</v>
      </c>
      <c r="I22" s="262" t="n">
        <v>-391.470774</v>
      </c>
      <c r="J22" s="262" t="n">
        <v>-414.890427</v>
      </c>
      <c r="K22" s="262" t="n">
        <v>-673.04117</v>
      </c>
      <c r="L22" s="262" t="n">
        <v>656.184121</v>
      </c>
      <c r="N22" s="262" t="n">
        <v>28.34465</v>
      </c>
      <c r="O22" s="262" t="n">
        <v>385.635389</v>
      </c>
      <c r="P22" s="262" t="n">
        <v>2382</v>
      </c>
      <c r="Q22" s="262" t="n">
        <v>139</v>
      </c>
      <c r="S22" s="262" t="n">
        <v>-355</v>
      </c>
      <c r="T22" s="262" t="n">
        <v>1423</v>
      </c>
      <c r="U22" s="262" t="n">
        <v>4013</v>
      </c>
      <c r="V22" s="262" t="n">
        <v>7437</v>
      </c>
      <c r="X22" s="262" t="n">
        <v>3456.124</v>
      </c>
      <c r="Y22" s="262" t="n">
        <v>7749.179</v>
      </c>
      <c r="Z22" s="262" t="n">
        <v>2668.4488</v>
      </c>
      <c r="AA22" s="262" t="n">
        <v>2286.255778</v>
      </c>
      <c r="AC22" s="262" t="n">
        <v>3559.44448</v>
      </c>
      <c r="AD22" s="262" t="n">
        <v>2518</v>
      </c>
    </row>
    <row r="23">
      <c r="A23" t="inlineStr">
        <is>
          <t>DRE - subtotais divulgados (memoria, sem codigo)</t>
        </is>
      </c>
      <c r="C23" t="inlineStr">
        <is>
          <t>[linha bruta, sem código; lançada nas linhas abaixo]</t>
        </is>
      </c>
      <c r="D23" s="262" t="n"/>
      <c r="E23" s="262" t="n"/>
      <c r="F23" s="262" t="n"/>
      <c r="G23" s="262" t="n"/>
      <c r="I23" s="262" t="n"/>
      <c r="J23" s="262" t="n"/>
      <c r="K23" s="262" t="n"/>
      <c r="L23" s="262" t="n"/>
      <c r="N23" s="262" t="n"/>
      <c r="O23" s="262" t="n"/>
      <c r="P23" s="262" t="n"/>
      <c r="Q23" s="262" t="n"/>
      <c r="S23" s="262" t="n"/>
      <c r="T23" s="262" t="n"/>
      <c r="U23" s="262" t="n"/>
      <c r="V23" s="262" t="n"/>
      <c r="X23" s="262" t="n"/>
      <c r="Y23" s="262" t="n"/>
      <c r="Z23" s="262" t="n"/>
      <c r="AA23" s="262" t="n"/>
      <c r="AC23" s="262" t="n"/>
      <c r="AD23" s="262" t="n"/>
    </row>
    <row r="24">
      <c r="A24" t="inlineStr">
        <is>
          <t>Fleury DRE: Receita Bruta (l.10) | Combinada DRE: Receita Bruta (l.7) · memoria · unid. moeda</t>
        </is>
      </c>
      <c r="C24" t="inlineStr">
        <is>
          <t>[linha bruta, sem código; lançada nas linhas abaixo]</t>
        </is>
      </c>
      <c r="D24" s="262" t="n">
        <v>964269.11605</v>
      </c>
      <c r="E24" s="262" t="n">
        <v>1005132.59501</v>
      </c>
      <c r="F24" s="262" t="n">
        <v>1107449.82635</v>
      </c>
      <c r="G24" s="262" t="n">
        <v>1095560.76463</v>
      </c>
      <c r="I24" s="262" t="n">
        <v>1173408.106179</v>
      </c>
      <c r="J24" s="262" t="n">
        <v>1196381.537348</v>
      </c>
      <c r="K24" s="262" t="n">
        <v>1234206.763</v>
      </c>
      <c r="L24" s="262" t="n">
        <v>1199027.27825</v>
      </c>
      <c r="N24" s="262" t="n">
        <v>1330405.76229</v>
      </c>
      <c r="O24" s="262" t="n">
        <v>1784525</v>
      </c>
      <c r="P24" s="262" t="n">
        <v>2011020</v>
      </c>
      <c r="Q24" s="262" t="n">
        <v>1835383.23771</v>
      </c>
      <c r="S24" s="262" t="n">
        <v>2055579.4785</v>
      </c>
      <c r="T24" s="262" t="n">
        <v>2136902</v>
      </c>
      <c r="U24" s="262" t="n">
        <v>2133178.474</v>
      </c>
      <c r="V24" s="262" t="n">
        <v>1994306.0475</v>
      </c>
      <c r="X24" s="262" t="n">
        <v>2188441</v>
      </c>
      <c r="Y24" s="262" t="n">
        <v>2197802</v>
      </c>
      <c r="Z24" s="262" t="n">
        <v>2378625.650647</v>
      </c>
      <c r="AA24" s="262" t="n">
        <v>2238166.032</v>
      </c>
      <c r="AC24" s="262" t="n">
        <v>2410224.21568</v>
      </c>
      <c r="AD24" s="262" t="n">
        <v>2514578.357</v>
      </c>
    </row>
    <row r="25">
      <c r="A25" t="inlineStr">
        <is>
          <t>Fleury DRE: Custo do serviço prestado (l.17) | Combinada DRE: Custo do serviço prestado (l.15) · memoria · unid. moeda</t>
        </is>
      </c>
      <c r="C25" t="inlineStr">
        <is>
          <t>[linha bruta, sem código; lançada nas linhas abaixo]</t>
        </is>
      </c>
      <c r="D25" s="262" t="n">
        <v>-606549.86722</v>
      </c>
      <c r="E25" s="262" t="n">
        <v>-673822.17643</v>
      </c>
      <c r="F25" s="262" t="n">
        <v>-722289.5233999999</v>
      </c>
      <c r="G25" s="262" t="n">
        <v>-743096.92648</v>
      </c>
      <c r="I25" s="262" t="n">
        <v>-765162.71144</v>
      </c>
      <c r="J25" s="262" t="n">
        <v>-811390.47922</v>
      </c>
      <c r="K25" s="262" t="n">
        <v>-811563.4803000001</v>
      </c>
      <c r="L25" s="262" t="n">
        <v>-864812.9961099999</v>
      </c>
      <c r="N25" s="262" t="n">
        <v>-880152.2299499999</v>
      </c>
      <c r="O25" s="262" t="n">
        <v>-1204442</v>
      </c>
      <c r="P25" s="262" t="n">
        <v>-1342479.564662</v>
      </c>
      <c r="Q25" s="262" t="n">
        <v>-1303842</v>
      </c>
      <c r="S25" s="262" t="n">
        <v>-1339199</v>
      </c>
      <c r="T25" s="262" t="n">
        <v>-1410879</v>
      </c>
      <c r="U25" s="262" t="n">
        <v>-1405672</v>
      </c>
      <c r="V25" s="262" t="n">
        <v>-1385784</v>
      </c>
      <c r="X25" s="262" t="n">
        <v>-1442954.937</v>
      </c>
      <c r="Y25" s="262" t="n">
        <v>-1496555</v>
      </c>
      <c r="Z25" s="262" t="n">
        <v>-1575129.31835</v>
      </c>
      <c r="AA25" s="262" t="n">
        <v>-1570505.55554</v>
      </c>
      <c r="AC25" s="262" t="n">
        <v>-1595051.8603</v>
      </c>
      <c r="AD25" s="262" t="n">
        <v>-1672515</v>
      </c>
    </row>
    <row r="26">
      <c r="A26" t="inlineStr">
        <is>
          <t>Fleury DRE: Lucro Bruto (l.30) | Combinada DRE: Lucro Bruto (l.28) · memoria · unid. moeda</t>
        </is>
      </c>
      <c r="C26" t="inlineStr">
        <is>
          <t>[linha bruta, sem código; lançada nas linhas abaixo]</t>
        </is>
      </c>
      <c r="D26" s="262" t="n">
        <v>287258.10859</v>
      </c>
      <c r="E26" s="262" t="n">
        <v>258244.17946</v>
      </c>
      <c r="F26" s="262" t="n">
        <v>306540.34003</v>
      </c>
      <c r="G26" s="262" t="n">
        <v>274849.50059</v>
      </c>
      <c r="I26" s="262" t="n">
        <v>324749.858639</v>
      </c>
      <c r="J26" s="262" t="n">
        <v>300355.482038</v>
      </c>
      <c r="K26" s="262" t="n">
        <v>335071.39592</v>
      </c>
      <c r="L26" s="262" t="n">
        <v>249933.76817</v>
      </c>
      <c r="N26" s="262" t="n">
        <v>356671.06973</v>
      </c>
      <c r="O26" s="262" t="n">
        <v>455099</v>
      </c>
      <c r="P26" s="262" t="n">
        <v>527565.435338</v>
      </c>
      <c r="Q26" s="262" t="n">
        <v>400598.70032</v>
      </c>
      <c r="S26" s="262" t="n">
        <v>565249.4785</v>
      </c>
      <c r="T26" s="262" t="n">
        <v>567323</v>
      </c>
      <c r="U26" s="262" t="n">
        <v>556999.474</v>
      </c>
      <c r="V26" s="262" t="n">
        <v>453553.0475</v>
      </c>
      <c r="X26" s="262" t="n">
        <v>572119.063</v>
      </c>
      <c r="Y26" s="262" t="n">
        <v>527978</v>
      </c>
      <c r="Z26" s="262" t="n">
        <v>615849.865477</v>
      </c>
      <c r="AA26" s="262" t="n">
        <v>490089.7826</v>
      </c>
      <c r="AC26" s="262" t="n">
        <v>628065.95838</v>
      </c>
      <c r="AD26" s="262" t="n">
        <v>644138.662</v>
      </c>
    </row>
    <row r="27">
      <c r="A27" t="inlineStr">
        <is>
          <t>Fleury DRE: (Despesas) Receitas Operacionais (l.33) | Combinada DRE: (Despesas) Receitas Operacionais (l.31) · memoria · unid. moeda</t>
        </is>
      </c>
      <c r="C27" t="inlineStr">
        <is>
          <t>[linha bruta, sem código; lançada nas linhas abaixo]</t>
        </is>
      </c>
      <c r="D27" s="262" t="n">
        <v>-88760.59067000001</v>
      </c>
      <c r="E27" s="262" t="n">
        <v>-129394.652712</v>
      </c>
      <c r="F27" s="262" t="n">
        <v>-121379.82307</v>
      </c>
      <c r="G27" s="262" t="n">
        <v>-120097.394597</v>
      </c>
      <c r="I27" s="262" t="n">
        <v>-105629.964566</v>
      </c>
      <c r="J27" s="262" t="n">
        <v>-115778.720993</v>
      </c>
      <c r="K27" s="262" t="n">
        <v>-112129.46886</v>
      </c>
      <c r="L27" s="262" t="n">
        <v>-141601.203391</v>
      </c>
      <c r="N27" s="262" t="n">
        <v>-142154.18764</v>
      </c>
      <c r="O27" s="262" t="n">
        <v>-257342</v>
      </c>
      <c r="P27" s="262" t="n">
        <v>-209586</v>
      </c>
      <c r="Q27" s="262" t="n">
        <v>-214919</v>
      </c>
      <c r="S27" s="262" t="n">
        <v>-238018</v>
      </c>
      <c r="T27" s="262" t="n">
        <v>-237881</v>
      </c>
      <c r="U27" s="262" t="n">
        <v>-216882</v>
      </c>
      <c r="V27" s="262" t="n">
        <v>-252624</v>
      </c>
      <c r="X27" s="262" t="n">
        <v>-238905.488</v>
      </c>
      <c r="Y27" s="262" t="n">
        <v>-221067</v>
      </c>
      <c r="Z27" s="262" t="n">
        <v>-249467.294907</v>
      </c>
      <c r="AA27" s="262" t="n">
        <v>-275449.128775</v>
      </c>
      <c r="AC27" s="262" t="n">
        <v>-260253.046</v>
      </c>
      <c r="AD27" s="262" t="n">
        <v>-252376.726</v>
      </c>
    </row>
    <row r="28">
      <c r="A28" t="inlineStr">
        <is>
          <t>Fleury DRE: Lucro Operacional Antes do Resultado Financeiro (l.42) | Combinada DRE: Lucro Operacional Antes do Resultado Financeiro (l.41) · memoria · unid. moeda</t>
        </is>
      </c>
      <c r="C28" t="inlineStr">
        <is>
          <t>[linha bruta, sem código; lançada nas linhas abaixo]</t>
        </is>
      </c>
      <c r="D28" s="262" t="n">
        <v>198497.51792</v>
      </c>
      <c r="E28" s="262" t="n">
        <v>128849.526748</v>
      </c>
      <c r="F28" s="262" t="n">
        <v>185160.51696</v>
      </c>
      <c r="G28" s="262" t="n">
        <v>154752.105993</v>
      </c>
      <c r="I28" s="262" t="n">
        <v>219119.894073</v>
      </c>
      <c r="J28" s="262" t="n">
        <v>184576.761045</v>
      </c>
      <c r="K28" s="262" t="n">
        <v>222941.92706</v>
      </c>
      <c r="L28" s="262" t="n">
        <v>108332.564779</v>
      </c>
      <c r="N28" s="262" t="n">
        <v>214516.88209</v>
      </c>
      <c r="O28" s="262" t="n">
        <v>197757</v>
      </c>
      <c r="P28" s="262" t="n">
        <v>317979.435338</v>
      </c>
      <c r="Q28" s="262" t="n">
        <v>185679.70032</v>
      </c>
      <c r="S28" s="262" t="n">
        <v>327231.4785</v>
      </c>
      <c r="T28" s="262" t="n">
        <v>329442</v>
      </c>
      <c r="U28" s="262" t="n">
        <v>340117.474</v>
      </c>
      <c r="V28" s="262" t="n">
        <v>200929.0475</v>
      </c>
      <c r="X28" s="262" t="n">
        <v>333213.575</v>
      </c>
      <c r="Y28" s="262" t="n">
        <v>306911</v>
      </c>
      <c r="Z28" s="262" t="n">
        <v>366382.570571</v>
      </c>
      <c r="AA28" s="262" t="n">
        <v>214640.653825</v>
      </c>
      <c r="AC28" s="262" t="n">
        <v>367812.91238</v>
      </c>
      <c r="AD28" s="262" t="n">
        <v>391761.936</v>
      </c>
    </row>
    <row r="29">
      <c r="A29" t="inlineStr">
        <is>
          <t>Fleury DRE: Lucro Antes do Imposto de Renda e da Contribuição Social (l.48) | Combinada DRE: Lucro Antes do Imposto de Renda e da Contribuição Social (l.48) · memoria · unid. moeda</t>
        </is>
      </c>
      <c r="C29" t="inlineStr">
        <is>
          <t>[linha bruta, sem código; lançada nas linhas abaixo]</t>
        </is>
      </c>
      <c r="D29" s="262" t="n">
        <v>167767.97363</v>
      </c>
      <c r="E29" s="262" t="n">
        <v>92638.193768</v>
      </c>
      <c r="F29" s="262" t="n">
        <v>136335.31653</v>
      </c>
      <c r="G29" s="262" t="n">
        <v>99365.421273</v>
      </c>
      <c r="I29" s="262" t="n">
        <v>153507.203653</v>
      </c>
      <c r="J29" s="262" t="n">
        <v>98232.865345</v>
      </c>
      <c r="K29" s="262" t="n">
        <v>123530.60314</v>
      </c>
      <c r="L29" s="262" t="n">
        <v>30123.157629</v>
      </c>
      <c r="N29" s="262" t="n">
        <v>124977.72461</v>
      </c>
      <c r="O29" s="262" t="n">
        <v>98246.95105</v>
      </c>
      <c r="P29" s="262" t="n">
        <v>215073.435338</v>
      </c>
      <c r="Q29" s="262" t="n">
        <v>93027.90674999999</v>
      </c>
      <c r="S29" s="262" t="n">
        <v>216956.6009</v>
      </c>
      <c r="T29" s="262" t="n">
        <v>228112</v>
      </c>
      <c r="U29" s="262" t="n">
        <v>244042.474</v>
      </c>
      <c r="V29" s="262" t="n">
        <v>97299.92509999999</v>
      </c>
      <c r="X29" s="262" t="n">
        <v>229843.186</v>
      </c>
      <c r="Y29" s="262" t="n">
        <v>188954</v>
      </c>
      <c r="Z29" s="262" t="n">
        <v>236152.752311</v>
      </c>
      <c r="AA29" s="262" t="n">
        <v>98256.937335</v>
      </c>
      <c r="AC29" s="262" t="n">
        <v>252752.7043</v>
      </c>
      <c r="AD29" s="262" t="n">
        <v>280475.983</v>
      </c>
    </row>
    <row r="30">
      <c r="A30" t="inlineStr">
        <is>
          <t>Fleury DRE: Lucro Líquido do Período (l.56) | Combinada DRE: Lucro Líquido do Período (l.56) - COD 44 alimenta o check IS do Model (linha 4) · memoria · unid. moeda</t>
        </is>
      </c>
      <c r="B30" t="n">
        <v>44</v>
      </c>
      <c r="C30" t="inlineStr">
        <is>
          <t>Fleury DRE: Lucro Líquido do Período (l.56) | Combinada DRE:</t>
        </is>
      </c>
      <c r="D30" s="262" t="n">
        <v>118611.95704</v>
      </c>
      <c r="E30" s="262" t="n">
        <v>65534.62593</v>
      </c>
      <c r="F30" s="262" t="n">
        <v>94962.56576699999</v>
      </c>
      <c r="G30" s="262" t="n">
        <v>70815.80316</v>
      </c>
      <c r="I30" s="262" t="n">
        <v>110440.730339</v>
      </c>
      <c r="J30" s="262" t="n">
        <v>70509.238398</v>
      </c>
      <c r="K30" s="262" t="n">
        <v>96005.75003</v>
      </c>
      <c r="L30" s="262" t="n">
        <v>30952.68579</v>
      </c>
      <c r="N30" s="262" t="n">
        <v>93851.83176</v>
      </c>
      <c r="O30" s="262" t="n">
        <v>74426.92894500001</v>
      </c>
      <c r="P30" s="262" t="n">
        <v>174198.435338</v>
      </c>
      <c r="Q30" s="262" t="n">
        <v>81278.801744</v>
      </c>
      <c r="S30" s="262" t="n">
        <v>167959.6009</v>
      </c>
      <c r="T30" s="262" t="n">
        <v>173586</v>
      </c>
      <c r="U30" s="262" t="n">
        <v>190705.474</v>
      </c>
      <c r="V30" s="262" t="n">
        <v>83920.92509999999</v>
      </c>
      <c r="X30" s="262" t="n">
        <v>179286.29</v>
      </c>
      <c r="Y30" s="262" t="n">
        <v>152299.179</v>
      </c>
      <c r="Z30" s="262" t="n">
        <v>184916.72272</v>
      </c>
      <c r="AA30" s="262" t="n">
        <v>96328.409784</v>
      </c>
      <c r="AC30" s="262" t="n">
        <v>201211.96412</v>
      </c>
      <c r="AD30" s="262" t="n">
        <v>221850.208</v>
      </c>
    </row>
    <row r="31">
      <c r="A31" t="inlineStr">
        <is>
          <t>Fleury DRE: EBITDA (l.65) | Combinada DRE: EBITDA (l.68) · memoria · unid. moeda</t>
        </is>
      </c>
      <c r="C31" t="inlineStr">
        <is>
          <t>[linha bruta, sem código; lançada nas linhas abaixo]</t>
        </is>
      </c>
      <c r="D31" s="262" t="n">
        <v>285532.25096</v>
      </c>
      <c r="E31" s="262" t="n">
        <v>219736.20255</v>
      </c>
      <c r="F31" s="262" t="n">
        <v>288553.10156</v>
      </c>
      <c r="G31" s="262" t="n">
        <v>262168.17913</v>
      </c>
      <c r="I31" s="262" t="n">
        <v>326579.332279</v>
      </c>
      <c r="J31" s="262" t="n">
        <v>298004.895658</v>
      </c>
      <c r="K31" s="262" t="n">
        <v>332444.66108</v>
      </c>
      <c r="L31" s="262" t="n">
        <v>232678.57335</v>
      </c>
      <c r="N31" s="262" t="n">
        <v>345778.97024</v>
      </c>
      <c r="O31" s="262" t="n">
        <v>363578</v>
      </c>
      <c r="P31" s="262" t="n">
        <v>505964.435338</v>
      </c>
      <c r="Q31" s="262" t="n">
        <v>375832.70032</v>
      </c>
      <c r="S31" s="262" t="n">
        <v>517133.4785</v>
      </c>
      <c r="T31" s="262" t="n">
        <v>522048</v>
      </c>
      <c r="U31" s="262" t="n">
        <v>537381.474</v>
      </c>
      <c r="V31" s="262" t="n">
        <v>405387.0475</v>
      </c>
      <c r="X31" s="262" t="n">
        <v>547625.652</v>
      </c>
      <c r="Y31" s="262" t="n">
        <v>532090</v>
      </c>
      <c r="Z31" s="262" t="n">
        <v>599363.9052940001</v>
      </c>
      <c r="AA31" s="262" t="n">
        <v>455938.15631</v>
      </c>
      <c r="AC31" s="262" t="n">
        <v>605996.17616</v>
      </c>
      <c r="AD31" s="262" t="n">
        <v>612932.662</v>
      </c>
    </row>
    <row r="32">
      <c r="A32" t="inlineStr">
        <is>
          <t>DFC (R$ mil, trimestre isolado)</t>
        </is>
      </c>
      <c r="C32" t="inlineStr">
        <is>
          <t>[linha bruta, sem código; lançada nas linhas abaixo]</t>
        </is>
      </c>
      <c r="D32" s="262" t="n"/>
      <c r="E32" s="262" t="n"/>
      <c r="F32" s="262" t="n"/>
      <c r="G32" s="262" t="n"/>
      <c r="I32" s="262" t="n"/>
      <c r="J32" s="262" t="n"/>
      <c r="K32" s="262" t="n"/>
      <c r="L32" s="262" t="n"/>
      <c r="N32" s="262" t="n"/>
      <c r="O32" s="262" t="n"/>
      <c r="P32" s="262" t="n"/>
      <c r="Q32" s="262" t="n"/>
      <c r="S32" s="262" t="n"/>
      <c r="T32" s="262" t="n"/>
      <c r="U32" s="262" t="n"/>
      <c r="V32" s="262" t="n"/>
      <c r="X32" s="262" t="n"/>
      <c r="Y32" s="262" t="n"/>
      <c r="Z32" s="262" t="n"/>
      <c r="AA32" s="262" t="n"/>
      <c r="AC32" s="262" t="n"/>
      <c r="AD32" s="262" t="n"/>
    </row>
    <row r="33">
      <c r="A33" t="inlineStr">
        <is>
          <t>Fleury DFC: Dividendos e/ou juros sobre capital próprio (l.63) | Combinada DFC: Dividendos e/ou juros sobre capital próprio e JCSP (l.59) · fonte · unid. moeda</t>
        </is>
      </c>
      <c r="B33" t="n">
        <v>10</v>
      </c>
      <c r="C33" t="inlineStr">
        <is>
          <t>Common Dividends</t>
        </is>
      </c>
      <c r="D33" s="262" t="n">
        <v>-75102.32011</v>
      </c>
      <c r="E33" s="262" t="n">
        <v>-156254.5951</v>
      </c>
      <c r="F33" s="262" t="n">
        <v>-42227.23762</v>
      </c>
      <c r="G33" s="262" t="n">
        <v>-22557.33515</v>
      </c>
      <c r="I33" s="262" t="n">
        <v>-4129.79244</v>
      </c>
      <c r="J33" s="262" t="n">
        <v>-225016.1942</v>
      </c>
      <c r="K33" s="262" t="n">
        <v>-1.5808</v>
      </c>
      <c r="L33" s="262" t="n">
        <v>-108053.8068</v>
      </c>
      <c r="N33" s="262" t="n">
        <v>0</v>
      </c>
      <c r="O33" s="262" t="n">
        <v>-273224.548</v>
      </c>
      <c r="P33" s="262" t="n">
        <v>-13879.53525</v>
      </c>
      <c r="Q33" s="262" t="n">
        <v>-223004.91675</v>
      </c>
      <c r="S33" s="262" t="n">
        <v>-496</v>
      </c>
      <c r="T33" s="262" t="n">
        <v>-80533</v>
      </c>
      <c r="U33" s="262" t="n">
        <v>0</v>
      </c>
      <c r="V33" s="262" t="n">
        <v>-262333</v>
      </c>
      <c r="X33" s="262" t="n">
        <v>0</v>
      </c>
      <c r="Y33" s="262" t="n">
        <v>-254045</v>
      </c>
      <c r="Z33" s="262" t="n">
        <v>0</v>
      </c>
      <c r="AA33" s="262" t="n">
        <v>-259010</v>
      </c>
      <c r="AC33" s="262" t="n">
        <v>-391</v>
      </c>
      <c r="AD33" s="262" t="n">
        <v>-222897</v>
      </c>
    </row>
    <row r="34">
      <c r="A34" t="inlineStr">
        <is>
          <t>Fleury DFC: Depreciações e amortizações (l.13) | Combinada DFC: Depreciações e amortizações (l.10) - memoria p/ conferir o cod 4 · memoria · unid. moeda</t>
        </is>
      </c>
      <c r="C34" t="inlineStr">
        <is>
          <t>[linha bruta, sem código; lançada nas linhas abaixo]</t>
        </is>
      </c>
      <c r="D34" s="262" t="n">
        <v>86836.43829000001</v>
      </c>
      <c r="E34" s="262" t="n">
        <v>90884.44056</v>
      </c>
      <c r="F34" s="262" t="n">
        <v>103833.67925</v>
      </c>
      <c r="G34" s="262" t="n">
        <v>107725.15852</v>
      </c>
      <c r="I34" s="262" t="n">
        <v>107459.63589</v>
      </c>
      <c r="J34" s="262" t="n">
        <v>113842.56518</v>
      </c>
      <c r="K34" s="262" t="n">
        <v>109752.5059</v>
      </c>
      <c r="L34" s="262" t="n">
        <v>124284.6005</v>
      </c>
      <c r="N34" s="262" t="n">
        <v>131262.08829</v>
      </c>
      <c r="O34" s="262" t="n">
        <v>166076</v>
      </c>
      <c r="P34" s="262" t="n">
        <v>188161</v>
      </c>
      <c r="Q34" s="262" t="n">
        <v>189879</v>
      </c>
      <c r="S34" s="262" t="n">
        <v>189554</v>
      </c>
      <c r="T34" s="262" t="n">
        <v>191804</v>
      </c>
      <c r="U34" s="262" t="n">
        <v>196609</v>
      </c>
      <c r="V34" s="262" t="n">
        <v>202016</v>
      </c>
      <c r="X34" s="262" t="n">
        <v>212141</v>
      </c>
      <c r="Y34" s="262" t="n">
        <v>222404</v>
      </c>
      <c r="Z34" s="262" t="n">
        <v>229374</v>
      </c>
      <c r="AA34" s="262" t="n">
        <v>236392</v>
      </c>
      <c r="AC34" s="262" t="n">
        <v>233122</v>
      </c>
      <c r="AD34" s="262" t="n">
        <v>215806</v>
      </c>
    </row>
    <row r="35">
      <c r="A35" t="inlineStr">
        <is>
          <t>BALANCO (R$ mil, saldo de fim de trimestre; 4T21 e 4T22 da aba Fleury lidos da coluna anual)</t>
        </is>
      </c>
      <c r="C35" t="inlineStr">
        <is>
          <t>[linha bruta, sem código; lançada nas linhas abaixo]</t>
        </is>
      </c>
      <c r="D35" s="262" t="n"/>
      <c r="E35" s="262" t="n"/>
      <c r="F35" s="262" t="n"/>
      <c r="G35" s="262" t="n"/>
      <c r="I35" s="262" t="n"/>
      <c r="J35" s="262" t="n"/>
      <c r="K35" s="262" t="n"/>
      <c r="L35" s="262" t="n"/>
      <c r="N35" s="262" t="n"/>
      <c r="O35" s="262" t="n"/>
      <c r="P35" s="262" t="n"/>
      <c r="Q35" s="262" t="n"/>
      <c r="S35" s="262" t="n"/>
      <c r="T35" s="262" t="n"/>
      <c r="U35" s="262" t="n"/>
      <c r="V35" s="262" t="n"/>
      <c r="X35" s="262" t="n"/>
      <c r="Y35" s="262" t="n"/>
      <c r="Z35" s="262" t="n"/>
      <c r="AA35" s="262" t="n"/>
      <c r="AC35" s="262" t="n"/>
      <c r="AD35" s="262" t="n"/>
    </row>
    <row r="36">
      <c r="A36" t="inlineStr">
        <is>
          <t>Fleury BP: Caixa e Equivalente de Caixa (l.12) | Combinada BP: Caixa e Equivalente de Caixa AC (l.9) · fonte · unid. moeda</t>
        </is>
      </c>
      <c r="B36" t="n">
        <v>11</v>
      </c>
      <c r="C36" t="inlineStr">
        <is>
          <t>Cash and equivalents (inc. investment securities)</t>
        </is>
      </c>
      <c r="D36" s="262" t="n">
        <v>13585.43702</v>
      </c>
      <c r="E36" s="262" t="n">
        <v>35432.93066</v>
      </c>
      <c r="F36" s="262" t="n">
        <v>25929.55784</v>
      </c>
      <c r="G36" s="262" t="n">
        <v>33722.30695</v>
      </c>
      <c r="I36" s="262" t="n">
        <v>13714.19443</v>
      </c>
      <c r="J36" s="262" t="n">
        <v>20642.61124</v>
      </c>
      <c r="K36" s="262" t="n">
        <v>8886.99288</v>
      </c>
      <c r="L36" s="262" t="n">
        <v>17255.94149</v>
      </c>
      <c r="N36" s="262" t="n">
        <v>9869.667450000001</v>
      </c>
      <c r="O36" s="262" t="n">
        <v>31512</v>
      </c>
      <c r="P36" s="262" t="n">
        <v>14117</v>
      </c>
      <c r="Q36" s="262" t="n">
        <v>21920</v>
      </c>
      <c r="S36" s="262" t="n">
        <v>91401</v>
      </c>
      <c r="T36" s="262" t="n">
        <v>10412</v>
      </c>
      <c r="U36" s="262" t="n">
        <v>12634</v>
      </c>
      <c r="V36" s="262" t="n">
        <v>21788</v>
      </c>
      <c r="X36" s="262" t="n">
        <v>7535.596</v>
      </c>
      <c r="Y36" s="262" t="n">
        <v>7432</v>
      </c>
      <c r="Z36" s="262" t="n">
        <v>11689</v>
      </c>
      <c r="AA36" s="262" t="n">
        <v>21772</v>
      </c>
      <c r="AC36" s="262" t="n">
        <v>9720</v>
      </c>
      <c r="AD36" s="262" t="n">
        <v>19060</v>
      </c>
    </row>
    <row r="37">
      <c r="A37" t="inlineStr">
        <is>
          <t>Fleury BP: Títulos e Valores Mobilíarios (l.13) | Combinada BP: Títulos e Valores Mobilíarios AC (l.10) · fonte · unid. moeda</t>
        </is>
      </c>
      <c r="B37" t="n">
        <v>11</v>
      </c>
      <c r="C37" t="inlineStr">
        <is>
          <t>Cash and equivalents (inc. investment securities)</t>
        </is>
      </c>
      <c r="D37" s="262" t="n">
        <v>1021467.55549</v>
      </c>
      <c r="E37" s="262" t="n">
        <v>570834.56283</v>
      </c>
      <c r="F37" s="262" t="n">
        <v>938811.7619</v>
      </c>
      <c r="G37" s="262" t="n">
        <v>763371.86327</v>
      </c>
      <c r="I37" s="262" t="n">
        <v>492795.46408</v>
      </c>
      <c r="J37" s="262" t="n">
        <v>699803.40461</v>
      </c>
      <c r="K37" s="262" t="n">
        <v>766586.53788</v>
      </c>
      <c r="L37" s="262" t="n">
        <v>1292234.27653</v>
      </c>
      <c r="N37" s="262" t="n">
        <v>1271657.31157</v>
      </c>
      <c r="O37" s="262" t="n">
        <v>879132</v>
      </c>
      <c r="P37" s="262" t="n">
        <v>962521</v>
      </c>
      <c r="Q37" s="262" t="n">
        <v>902213</v>
      </c>
      <c r="S37" s="262" t="n">
        <v>798128</v>
      </c>
      <c r="T37" s="262" t="n">
        <v>1993649</v>
      </c>
      <c r="U37" s="262" t="n">
        <v>2222581</v>
      </c>
      <c r="V37" s="262" t="n">
        <v>2319955</v>
      </c>
      <c r="X37" s="262" t="n">
        <v>2453023.209</v>
      </c>
      <c r="Y37" s="262" t="n">
        <v>2077180</v>
      </c>
      <c r="Z37" s="262" t="n">
        <v>2500949</v>
      </c>
      <c r="AA37" s="262" t="n">
        <v>2140619</v>
      </c>
      <c r="AC37" s="262" t="n">
        <v>2140485</v>
      </c>
      <c r="AD37" s="262" t="n">
        <v>1880069</v>
      </c>
    </row>
    <row r="38">
      <c r="A38" t="inlineStr">
        <is>
          <t>Fleury BP: Contas a Receber (l.14) | Combinada BP: Contas a Receber AC (l.11) · fonte · unid. moeda</t>
        </is>
      </c>
      <c r="B38" t="n">
        <v>12</v>
      </c>
      <c r="C38" t="inlineStr">
        <is>
          <t>Accounts receivable</t>
        </is>
      </c>
      <c r="D38" s="262" t="n">
        <v>722332.69323</v>
      </c>
      <c r="E38" s="262" t="n">
        <v>710160.07206</v>
      </c>
      <c r="F38" s="262" t="n">
        <v>798879.62103</v>
      </c>
      <c r="G38" s="262" t="n">
        <v>793850.845533</v>
      </c>
      <c r="I38" s="262" t="n">
        <v>867743.74465</v>
      </c>
      <c r="J38" s="262" t="n">
        <v>900929.9349699999</v>
      </c>
      <c r="K38" s="262" t="n">
        <v>885466.9196199999</v>
      </c>
      <c r="L38" s="262" t="n">
        <v>856849.0628899999</v>
      </c>
      <c r="N38" s="262" t="n">
        <v>973701.41759</v>
      </c>
      <c r="O38" s="262" t="n">
        <v>1486024</v>
      </c>
      <c r="P38" s="262" t="n">
        <v>1558622</v>
      </c>
      <c r="Q38" s="262" t="n">
        <v>1505194</v>
      </c>
      <c r="S38" s="262" t="n">
        <v>1731049</v>
      </c>
      <c r="T38" s="262" t="n">
        <v>1759050</v>
      </c>
      <c r="U38" s="262" t="n">
        <v>1763847</v>
      </c>
      <c r="V38" s="262" t="n">
        <v>1634904</v>
      </c>
      <c r="X38" s="262" t="n">
        <v>1789123.657</v>
      </c>
      <c r="Y38" s="262" t="n">
        <v>1859620</v>
      </c>
      <c r="Z38" s="262" t="n">
        <v>1911173</v>
      </c>
      <c r="AA38" s="262" t="n">
        <v>1747166</v>
      </c>
      <c r="AC38" s="262" t="n">
        <v>2005869</v>
      </c>
      <c r="AD38" s="262" t="n">
        <v>2094735</v>
      </c>
    </row>
    <row r="39">
      <c r="A39" t="inlineStr">
        <is>
          <t>Fleury BP: Estoques (l.15) | Combinada BP: Estoques AC (l.12) · fonte · unid. moeda</t>
        </is>
      </c>
      <c r="B39" t="n">
        <v>13</v>
      </c>
      <c r="C39" t="inlineStr">
        <is>
          <t>Inventories</t>
        </is>
      </c>
      <c r="D39" s="262" t="n">
        <v>63834.8316</v>
      </c>
      <c r="E39" s="262" t="n">
        <v>71513.51074</v>
      </c>
      <c r="F39" s="262" t="n">
        <v>68378.85212</v>
      </c>
      <c r="G39" s="262" t="n">
        <v>72609.91872</v>
      </c>
      <c r="I39" s="262" t="n">
        <v>95168.56361</v>
      </c>
      <c r="J39" s="262" t="n">
        <v>76208.63578</v>
      </c>
      <c r="K39" s="262" t="n">
        <v>85472.63984</v>
      </c>
      <c r="L39" s="262" t="n">
        <v>96575.54571000001</v>
      </c>
      <c r="N39" s="262" t="n">
        <v>99247.06762</v>
      </c>
      <c r="O39" s="262" t="n">
        <v>132464</v>
      </c>
      <c r="P39" s="262" t="n">
        <v>135196</v>
      </c>
      <c r="Q39" s="262" t="n">
        <v>134929</v>
      </c>
      <c r="S39" s="262" t="n">
        <v>127562</v>
      </c>
      <c r="T39" s="262" t="n">
        <v>139551</v>
      </c>
      <c r="U39" s="262" t="n">
        <v>139511</v>
      </c>
      <c r="V39" s="262" t="n">
        <v>155036</v>
      </c>
      <c r="X39" s="262" t="n">
        <v>155495.579</v>
      </c>
      <c r="Y39" s="262" t="n">
        <v>149579</v>
      </c>
      <c r="Z39" s="262" t="n">
        <v>154975</v>
      </c>
      <c r="AA39" s="262" t="n">
        <v>180702</v>
      </c>
      <c r="AC39" s="262" t="n">
        <v>150818</v>
      </c>
      <c r="AD39" s="262" t="n">
        <v>156590</v>
      </c>
    </row>
    <row r="40">
      <c r="A40" t="inlineStr">
        <is>
          <t>Fleury BP: Despesas do Exercício Seguinte (l.18) | Combinada BP: Despesas do Exercício Seguinte AC (l.16) · fonte · unid. moeda</t>
        </is>
      </c>
      <c r="B40" t="n">
        <v>15</v>
      </c>
      <c r="C40" t="inlineStr">
        <is>
          <t>Prepaid expenses</t>
        </is>
      </c>
      <c r="D40" s="262" t="n">
        <v>21440.50233</v>
      </c>
      <c r="E40" s="262" t="n">
        <v>19749.41461</v>
      </c>
      <c r="F40" s="262" t="n">
        <v>12871.00357</v>
      </c>
      <c r="G40" s="262" t="n">
        <v>6918.04293</v>
      </c>
      <c r="I40" s="262" t="n">
        <v>28669.72893</v>
      </c>
      <c r="J40" s="262" t="n">
        <v>27256.46226</v>
      </c>
      <c r="K40" s="262" t="n">
        <v>22416.82529</v>
      </c>
      <c r="L40" s="262" t="n">
        <v>0</v>
      </c>
      <c r="N40" s="262" t="n">
        <v>0</v>
      </c>
      <c r="O40" s="262" t="n">
        <v>0</v>
      </c>
      <c r="P40" s="262" t="n">
        <v>0</v>
      </c>
      <c r="Q40" s="262" t="n">
        <v>0</v>
      </c>
      <c r="S40" s="262" t="n">
        <v>0</v>
      </c>
      <c r="T40" s="262" t="n">
        <v>0</v>
      </c>
      <c r="U40" s="262" t="n">
        <v>0</v>
      </c>
      <c r="V40" s="262" t="n">
        <v>0</v>
      </c>
      <c r="X40" s="262" t="n">
        <v>0</v>
      </c>
      <c r="Y40" s="262" t="n">
        <v>0</v>
      </c>
      <c r="Z40" s="262" t="n">
        <v>0</v>
      </c>
      <c r="AA40" s="262" t="n">
        <v>0</v>
      </c>
      <c r="AC40" s="262" t="n">
        <v>0</v>
      </c>
      <c r="AD40" s="262" t="n">
        <v>0</v>
      </c>
    </row>
    <row r="41">
      <c r="A41" t="inlineStr">
        <is>
          <t>Fleury BP: Imposto de Renda e Contribuições Sociais Diferidos (l.19) | Combinada BP: Imposto de Renda e Contribuições Sociais Diferidos AC (l.17) · fonte · unid. moeda</t>
        </is>
      </c>
      <c r="B41" t="n">
        <v>14</v>
      </c>
      <c r="C41" t="inlineStr">
        <is>
          <t>Deferred income taxes</t>
        </is>
      </c>
      <c r="D41" s="262" t="n">
        <v>0</v>
      </c>
      <c r="E41" s="262" t="n">
        <v>0</v>
      </c>
      <c r="F41" s="262" t="n">
        <v>0</v>
      </c>
      <c r="G41" s="262" t="n">
        <v>0</v>
      </c>
      <c r="I41" s="262" t="n">
        <v>0</v>
      </c>
      <c r="J41" s="262" t="n">
        <v>0</v>
      </c>
      <c r="K41" s="262" t="n">
        <v>0</v>
      </c>
      <c r="L41" s="262" t="n">
        <v>0</v>
      </c>
      <c r="N41" s="262" t="n">
        <v>0</v>
      </c>
      <c r="O41" s="262" t="n">
        <v>0</v>
      </c>
      <c r="P41" s="262" t="n">
        <v>0</v>
      </c>
      <c r="Q41" s="262" t="n">
        <v>0</v>
      </c>
      <c r="S41" s="262" t="n">
        <v>0</v>
      </c>
      <c r="T41" s="262" t="n">
        <v>0</v>
      </c>
      <c r="U41" s="262" t="n">
        <v>0</v>
      </c>
      <c r="V41" s="262" t="n">
        <v>0</v>
      </c>
      <c r="X41" s="262" t="n">
        <v>0</v>
      </c>
      <c r="Y41" s="262" t="n">
        <v>0</v>
      </c>
      <c r="Z41" s="262" t="n">
        <v>0</v>
      </c>
      <c r="AA41" s="262" t="n">
        <v>0</v>
      </c>
      <c r="AC41" s="262" t="n">
        <v>0</v>
      </c>
      <c r="AD41" s="262" t="n">
        <v>0</v>
      </c>
    </row>
    <row r="42">
      <c r="A42" t="inlineStr">
        <is>
          <t>Fleury BP: Imposto a Recuperar (l.16) | Combinada BP: Imposto a Recuperar AC (l.13) · fonte · unid. moeda</t>
        </is>
      </c>
      <c r="B42" t="n">
        <v>16</v>
      </c>
      <c r="C42" t="inlineStr">
        <is>
          <t>Other current assets</t>
        </is>
      </c>
      <c r="D42" s="262" t="n">
        <v>60139.99233</v>
      </c>
      <c r="E42" s="262" t="n">
        <v>49718.49825</v>
      </c>
      <c r="F42" s="262" t="n">
        <v>129474.38855</v>
      </c>
      <c r="G42" s="262" t="n">
        <v>27296.75458</v>
      </c>
      <c r="I42" s="262" t="n">
        <v>60850.37061</v>
      </c>
      <c r="J42" s="262" t="n">
        <v>103606.69989</v>
      </c>
      <c r="K42" s="262" t="n">
        <v>144075.20776</v>
      </c>
      <c r="L42" s="262" t="n">
        <v>77022.16918</v>
      </c>
      <c r="N42" s="262" t="n">
        <v>88263.75900000001</v>
      </c>
      <c r="O42" s="262" t="n">
        <v>18671</v>
      </c>
      <c r="P42" s="262" t="n">
        <v>16989</v>
      </c>
      <c r="Q42" s="262" t="n">
        <v>20280</v>
      </c>
      <c r="S42" s="262" t="n">
        <v>16158</v>
      </c>
      <c r="T42" s="262" t="n">
        <v>15285</v>
      </c>
      <c r="U42" s="262" t="n">
        <v>16360</v>
      </c>
      <c r="V42" s="262" t="n">
        <v>21602</v>
      </c>
      <c r="X42" s="262" t="n">
        <v>22377</v>
      </c>
      <c r="Y42" s="262" t="n">
        <v>20753</v>
      </c>
      <c r="Z42" s="262" t="n">
        <v>18599</v>
      </c>
      <c r="AA42" s="262" t="n">
        <v>22863</v>
      </c>
      <c r="AC42" s="262" t="n">
        <v>15587</v>
      </c>
      <c r="AD42" s="262" t="n">
        <v>243400</v>
      </c>
    </row>
    <row r="43">
      <c r="A43" t="inlineStr">
        <is>
          <t>Fleury BP: [nao existe] | Combinada BP: IRPJ e CSLL a compensar (l.14) [0 em 1Q20..1Q23 (13 per.): linha inexistente/vazia na fonte; total divulgado confirma] · fonte · unid. moeda</t>
        </is>
      </c>
      <c r="B43" t="n">
        <v>16</v>
      </c>
      <c r="C43" t="inlineStr">
        <is>
          <t>Other current assets</t>
        </is>
      </c>
      <c r="D43" s="262" t="n">
        <v>0</v>
      </c>
      <c r="E43" s="262" t="n">
        <v>0</v>
      </c>
      <c r="F43" s="262" t="n">
        <v>0</v>
      </c>
      <c r="G43" s="262" t="n">
        <v>0</v>
      </c>
      <c r="I43" s="262" t="n">
        <v>0</v>
      </c>
      <c r="J43" s="262" t="n">
        <v>0</v>
      </c>
      <c r="K43" s="262" t="n">
        <v>0</v>
      </c>
      <c r="L43" s="262" t="n">
        <v>0</v>
      </c>
      <c r="N43" s="262" t="n">
        <v>0</v>
      </c>
      <c r="O43" s="262" t="n">
        <v>112671</v>
      </c>
      <c r="P43" s="262" t="n">
        <v>91941</v>
      </c>
      <c r="Q43" s="262" t="n">
        <v>162486</v>
      </c>
      <c r="S43" s="262" t="n">
        <v>174335</v>
      </c>
      <c r="T43" s="262" t="n">
        <v>169898</v>
      </c>
      <c r="U43" s="262" t="n">
        <v>153615</v>
      </c>
      <c r="V43" s="262" t="n">
        <v>143242</v>
      </c>
      <c r="X43" s="262" t="n">
        <v>164655</v>
      </c>
      <c r="Y43" s="262" t="n">
        <v>174606</v>
      </c>
      <c r="Z43" s="262" t="n">
        <v>181166</v>
      </c>
      <c r="AA43" s="262" t="n">
        <v>225290</v>
      </c>
      <c r="AC43" s="262" t="n">
        <v>204296</v>
      </c>
      <c r="AD43" s="262" t="n">
        <v>0</v>
      </c>
    </row>
    <row r="44">
      <c r="A44" t="inlineStr">
        <is>
          <t>Fleury BP: Créditos com Partes Relacionadas (l.17) | Combinada BP: Créditos com Partes Relacionadas AC (l.15) · fonte · unid. moeda</t>
        </is>
      </c>
      <c r="B44" t="n">
        <v>16</v>
      </c>
      <c r="C44" t="inlineStr">
        <is>
          <t>Other current assets</t>
        </is>
      </c>
      <c r="D44" s="262" t="n">
        <v>0</v>
      </c>
      <c r="E44" s="262" t="n">
        <v>0</v>
      </c>
      <c r="F44" s="262" t="n">
        <v>0</v>
      </c>
      <c r="G44" s="262" t="n">
        <v>0</v>
      </c>
      <c r="I44" s="262" t="n">
        <v>0</v>
      </c>
      <c r="J44" s="262" t="n">
        <v>0</v>
      </c>
      <c r="K44" s="262" t="n">
        <v>0</v>
      </c>
      <c r="L44" s="262" t="n">
        <v>0</v>
      </c>
      <c r="N44" s="262" t="n">
        <v>0</v>
      </c>
      <c r="O44" s="262" t="n">
        <v>0</v>
      </c>
      <c r="P44" s="262" t="n">
        <v>0</v>
      </c>
      <c r="Q44" s="262" t="n">
        <v>0</v>
      </c>
      <c r="S44" s="262" t="n">
        <v>0</v>
      </c>
      <c r="T44" s="262" t="n">
        <v>0</v>
      </c>
      <c r="U44" s="262" t="n">
        <v>0</v>
      </c>
      <c r="V44" s="262" t="n">
        <v>0</v>
      </c>
      <c r="X44" s="262" t="n">
        <v>0</v>
      </c>
      <c r="Y44" s="262" t="n">
        <v>0</v>
      </c>
      <c r="Z44" s="262" t="n">
        <v>0</v>
      </c>
      <c r="AA44" s="262" t="n">
        <v>0</v>
      </c>
      <c r="AC44" s="262" t="n">
        <v>0</v>
      </c>
      <c r="AD44" s="262" t="n">
        <v>0</v>
      </c>
    </row>
    <row r="45">
      <c r="A45" t="inlineStr">
        <is>
          <t>Fleury BP: Instrumentos Financeiros Derivativos (l.20) | Combinada BP: Instrumentos Financeiros Derivativos AC (l.18) · fonte · unid. moeda</t>
        </is>
      </c>
      <c r="B45" t="n">
        <v>16</v>
      </c>
      <c r="C45" t="inlineStr">
        <is>
          <t>Other current assets</t>
        </is>
      </c>
      <c r="D45" s="262" t="n">
        <v>215.78719</v>
      </c>
      <c r="E45" s="262" t="n">
        <v>0</v>
      </c>
      <c r="F45" s="262" t="n">
        <v>276.29003</v>
      </c>
      <c r="G45" s="262" t="n">
        <v>68</v>
      </c>
      <c r="I45" s="262" t="n">
        <v>0</v>
      </c>
      <c r="J45" s="262" t="n">
        <v>192.94505</v>
      </c>
      <c r="K45" s="262" t="n">
        <v>275.56128</v>
      </c>
      <c r="L45" s="262" t="n">
        <v>0</v>
      </c>
      <c r="N45" s="262" t="n">
        <v>0</v>
      </c>
      <c r="O45" s="262" t="n">
        <v>0</v>
      </c>
      <c r="P45" s="262" t="n">
        <v>0</v>
      </c>
      <c r="Q45" s="262" t="n">
        <v>0</v>
      </c>
      <c r="S45" s="262" t="n">
        <v>0</v>
      </c>
      <c r="T45" s="262" t="n">
        <v>0</v>
      </c>
      <c r="U45" s="262" t="n">
        <v>0</v>
      </c>
      <c r="V45" s="262" t="n">
        <v>0</v>
      </c>
      <c r="X45" s="262" t="n">
        <v>0</v>
      </c>
      <c r="Y45" s="262" t="n">
        <v>0</v>
      </c>
      <c r="Z45" s="262" t="n">
        <v>0</v>
      </c>
      <c r="AA45" s="262" t="n">
        <v>0</v>
      </c>
      <c r="AC45" s="262" t="n">
        <v>0</v>
      </c>
      <c r="AD45" s="262" t="n">
        <v>0</v>
      </c>
    </row>
    <row r="46">
      <c r="A46" t="inlineStr">
        <is>
          <t>Fleury BP: Notas Promissórias a Receber (l.21) | Combinada BP: Notas Promissórias a Receber AC (l.19) · fonte · unid. moeda</t>
        </is>
      </c>
      <c r="B46" t="n">
        <v>16</v>
      </c>
      <c r="C46" t="inlineStr">
        <is>
          <t>Other current assets</t>
        </is>
      </c>
      <c r="D46" s="262" t="n">
        <v>0</v>
      </c>
      <c r="E46" s="262" t="n">
        <v>0</v>
      </c>
      <c r="F46" s="262" t="n">
        <v>0</v>
      </c>
      <c r="G46" s="262" t="n">
        <v>0</v>
      </c>
      <c r="I46" s="262" t="n">
        <v>0</v>
      </c>
      <c r="J46" s="262" t="n">
        <v>0</v>
      </c>
      <c r="K46" s="262" t="n">
        <v>0</v>
      </c>
      <c r="L46" s="262" t="n">
        <v>0</v>
      </c>
      <c r="N46" s="262" t="n">
        <v>0</v>
      </c>
      <c r="O46" s="262" t="n">
        <v>0</v>
      </c>
      <c r="P46" s="262" t="n">
        <v>0</v>
      </c>
      <c r="Q46" s="262" t="n">
        <v>0</v>
      </c>
      <c r="S46" s="262" t="n">
        <v>0</v>
      </c>
      <c r="T46" s="262" t="n">
        <v>0</v>
      </c>
      <c r="U46" s="262" t="n">
        <v>0</v>
      </c>
      <c r="V46" s="262" t="n">
        <v>0</v>
      </c>
      <c r="X46" s="262" t="n">
        <v>0</v>
      </c>
      <c r="Y46" s="262" t="n">
        <v>0</v>
      </c>
      <c r="Z46" s="262" t="n">
        <v>0</v>
      </c>
      <c r="AA46" s="262" t="n">
        <v>0</v>
      </c>
      <c r="AC46" s="262" t="n">
        <v>0</v>
      </c>
      <c r="AD46" s="262" t="n">
        <v>0</v>
      </c>
    </row>
    <row r="47">
      <c r="A47" t="inlineStr">
        <is>
          <t>Fleury BP: Outros (l.22) | Combinada BP: Outros AC (l.20) · fonte · unid. moeda</t>
        </is>
      </c>
      <c r="B47" t="n">
        <v>16</v>
      </c>
      <c r="C47" t="inlineStr">
        <is>
          <t>Other current assets</t>
        </is>
      </c>
      <c r="D47" s="262" t="n">
        <v>3274.10394</v>
      </c>
      <c r="E47" s="262" t="n">
        <v>12138.58537</v>
      </c>
      <c r="F47" s="262" t="n">
        <v>21942.54938</v>
      </c>
      <c r="G47" s="262" t="n">
        <v>44632.98687</v>
      </c>
      <c r="I47" s="262" t="n">
        <v>43298.30446</v>
      </c>
      <c r="J47" s="262" t="n">
        <v>44119.32575</v>
      </c>
      <c r="K47" s="262" t="n">
        <v>36069.81336</v>
      </c>
      <c r="L47" s="262" t="n">
        <v>36499</v>
      </c>
      <c r="N47" s="262" t="n">
        <v>33009</v>
      </c>
      <c r="O47" s="262" t="n">
        <v>77103</v>
      </c>
      <c r="P47" s="262" t="n">
        <v>59173</v>
      </c>
      <c r="Q47" s="262" t="n">
        <v>56535</v>
      </c>
      <c r="S47" s="262" t="n">
        <v>64503</v>
      </c>
      <c r="T47" s="262" t="n">
        <v>79884</v>
      </c>
      <c r="U47" s="262" t="n">
        <v>83678</v>
      </c>
      <c r="V47" s="262" t="n">
        <v>79267</v>
      </c>
      <c r="X47" s="262" t="n">
        <v>71019</v>
      </c>
      <c r="Y47" s="262" t="n">
        <v>78917</v>
      </c>
      <c r="Z47" s="262" t="n">
        <v>85544</v>
      </c>
      <c r="AA47" s="262" t="n">
        <v>83053</v>
      </c>
      <c r="AC47" s="262" t="n">
        <v>123563</v>
      </c>
      <c r="AD47" s="262" t="n">
        <v>145076</v>
      </c>
    </row>
    <row r="48">
      <c r="A48" t="inlineStr">
        <is>
          <t>Fleury BP: Ativos Mantidos para Venda (l.23) | Combinada BP: Ativos Mantidos para Venda AC (l.21) · fonte · unid. moeda</t>
        </is>
      </c>
      <c r="B48" t="n">
        <v>16</v>
      </c>
      <c r="C48" t="inlineStr">
        <is>
          <t>Other current assets</t>
        </is>
      </c>
      <c r="D48" s="262" t="n">
        <v>0</v>
      </c>
      <c r="E48" s="262" t="n">
        <v>0</v>
      </c>
      <c r="F48" s="262" t="n">
        <v>0</v>
      </c>
      <c r="G48" s="262" t="n">
        <v>0</v>
      </c>
      <c r="I48" s="262" t="n">
        <v>0</v>
      </c>
      <c r="J48" s="262" t="n">
        <v>0</v>
      </c>
      <c r="K48" s="262" t="n">
        <v>0</v>
      </c>
      <c r="L48" s="262" t="n">
        <v>14968.06325</v>
      </c>
      <c r="N48" s="262" t="n">
        <v>0</v>
      </c>
      <c r="O48" s="262" t="n">
        <v>0</v>
      </c>
      <c r="P48" s="262" t="n">
        <v>0</v>
      </c>
      <c r="Q48" s="262" t="n">
        <v>0</v>
      </c>
      <c r="S48" s="262" t="n">
        <v>0</v>
      </c>
      <c r="T48" s="262" t="n">
        <v>0</v>
      </c>
      <c r="U48" s="262" t="n">
        <v>0</v>
      </c>
      <c r="V48" s="262" t="n">
        <v>0</v>
      </c>
      <c r="X48" s="262" t="n">
        <v>0</v>
      </c>
      <c r="Y48" s="262" t="n">
        <v>0</v>
      </c>
      <c r="Z48" s="262" t="n">
        <v>0</v>
      </c>
      <c r="AA48" s="262" t="n">
        <v>0</v>
      </c>
      <c r="AC48" s="262" t="n">
        <v>0</v>
      </c>
      <c r="AD48" s="262" t="n">
        <v>0</v>
      </c>
    </row>
    <row r="49">
      <c r="A49" t="inlineStr">
        <is>
          <t>Fleury BP: Partes Relacionadas (l.28) | Combinada BP: Partes Relacionadas ANC (l.26) · fonte · unid. moeda</t>
        </is>
      </c>
      <c r="B49" t="n">
        <v>22</v>
      </c>
      <c r="C49" t="inlineStr">
        <is>
          <t>Other non-current assets</t>
        </is>
      </c>
      <c r="D49" s="262" t="n">
        <v>0.09265</v>
      </c>
      <c r="E49" s="262" t="n">
        <v>0.09265</v>
      </c>
      <c r="F49" s="262" t="n">
        <v>0.09265</v>
      </c>
      <c r="G49" s="262" t="n">
        <v>0</v>
      </c>
      <c r="I49" s="262" t="n">
        <v>0</v>
      </c>
      <c r="J49" s="262" t="n">
        <v>55</v>
      </c>
      <c r="K49" s="262" t="n">
        <v>55</v>
      </c>
      <c r="L49" s="262" t="n">
        <v>0</v>
      </c>
      <c r="N49" s="262" t="n">
        <v>0</v>
      </c>
      <c r="O49" s="262" t="n">
        <v>0</v>
      </c>
      <c r="P49" s="262" t="n">
        <v>0</v>
      </c>
      <c r="Q49" s="262" t="n">
        <v>0</v>
      </c>
      <c r="S49" s="262" t="n">
        <v>0</v>
      </c>
      <c r="T49" s="262" t="n">
        <v>0</v>
      </c>
      <c r="U49" s="262" t="n">
        <v>0</v>
      </c>
      <c r="V49" s="262" t="n">
        <v>0</v>
      </c>
      <c r="X49" s="262" t="n">
        <v>0</v>
      </c>
      <c r="Y49" s="262" t="n">
        <v>0</v>
      </c>
      <c r="Z49" s="262" t="n">
        <v>0</v>
      </c>
      <c r="AA49" s="262" t="n">
        <v>0</v>
      </c>
      <c r="AC49" s="262" t="n">
        <v>0</v>
      </c>
      <c r="AD49" s="262" t="n">
        <v>0</v>
      </c>
    </row>
    <row r="50">
      <c r="A50" t="inlineStr">
        <is>
          <t>Fleury BP: Contas a Receber (l.29) | Combinada BP: Contas a Receber ANC (l.27) · fonte · unid. moeda</t>
        </is>
      </c>
      <c r="B50" t="n">
        <v>22</v>
      </c>
      <c r="C50" t="inlineStr">
        <is>
          <t>Other non-current assets</t>
        </is>
      </c>
      <c r="D50" s="262" t="n">
        <v>0</v>
      </c>
      <c r="E50" s="262" t="n">
        <v>0</v>
      </c>
      <c r="F50" s="262" t="n">
        <v>0</v>
      </c>
      <c r="G50" s="262" t="n">
        <v>0</v>
      </c>
      <c r="I50" s="262" t="n">
        <v>0</v>
      </c>
      <c r="J50" s="262" t="n">
        <v>0</v>
      </c>
      <c r="K50" s="262" t="n">
        <v>0</v>
      </c>
      <c r="L50" s="262" t="n">
        <v>0</v>
      </c>
      <c r="N50" s="262" t="n">
        <v>0</v>
      </c>
      <c r="O50" s="262" t="n">
        <v>3060</v>
      </c>
      <c r="P50" s="262" t="n">
        <v>2774</v>
      </c>
      <c r="Q50" s="262" t="n">
        <v>2548</v>
      </c>
      <c r="S50" s="262" t="n">
        <v>2818</v>
      </c>
      <c r="T50" s="262" t="n">
        <v>2764</v>
      </c>
      <c r="U50" s="262" t="n">
        <v>2416</v>
      </c>
      <c r="V50" s="262" t="n">
        <v>3786</v>
      </c>
      <c r="X50" s="262" t="n">
        <v>2137</v>
      </c>
      <c r="Y50" s="262" t="n">
        <v>2072</v>
      </c>
      <c r="Z50" s="262" t="n">
        <v>1826</v>
      </c>
      <c r="AA50" s="262" t="n">
        <v>9532</v>
      </c>
      <c r="AC50" s="262" t="n">
        <v>7242</v>
      </c>
      <c r="AD50" s="262" t="n">
        <v>4742</v>
      </c>
    </row>
    <row r="51">
      <c r="A51" t="inlineStr">
        <is>
          <t>Fleury BP: Instrumentos Financeiros e Derivativos (l.30) | Combinada BP: Instrumentos Financeiros e Derivativos ANC (l.28) · fonte · unid. moeda</t>
        </is>
      </c>
      <c r="B51" t="n">
        <v>22</v>
      </c>
      <c r="C51" t="inlineStr">
        <is>
          <t>Other non-current assets</t>
        </is>
      </c>
      <c r="D51" s="262" t="n">
        <v>0</v>
      </c>
      <c r="E51" s="262" t="n">
        <v>0</v>
      </c>
      <c r="F51" s="262" t="n">
        <v>0</v>
      </c>
      <c r="G51" s="262" t="n">
        <v>0</v>
      </c>
      <c r="I51" s="262" t="n">
        <v>0</v>
      </c>
      <c r="J51" s="262" t="n">
        <v>0</v>
      </c>
      <c r="K51" s="262" t="n">
        <v>0</v>
      </c>
      <c r="L51" s="262" t="n">
        <v>0</v>
      </c>
      <c r="N51" s="262" t="n">
        <v>0</v>
      </c>
      <c r="O51" s="262" t="n">
        <v>0</v>
      </c>
      <c r="P51" s="262" t="n">
        <v>0</v>
      </c>
      <c r="Q51" s="262" t="n">
        <v>0</v>
      </c>
      <c r="S51" s="262" t="n">
        <v>0</v>
      </c>
      <c r="T51" s="262" t="n">
        <v>0</v>
      </c>
      <c r="U51" s="262" t="n">
        <v>0</v>
      </c>
      <c r="V51" s="262" t="n">
        <v>0</v>
      </c>
      <c r="X51" s="262" t="n">
        <v>0</v>
      </c>
      <c r="Y51" s="262" t="n">
        <v>0</v>
      </c>
      <c r="Z51" s="262" t="n">
        <v>0</v>
      </c>
      <c r="AA51" s="262" t="n">
        <v>0</v>
      </c>
      <c r="AC51" s="262" t="n">
        <v>0</v>
      </c>
      <c r="AD51" s="262" t="n">
        <v>0</v>
      </c>
    </row>
    <row r="52">
      <c r="A52" t="inlineStr">
        <is>
          <t>Fleury BP: Impostos a Recuperar (l.31) | Combinada BP: Impostos a Recuperar ANC (l.29) · fonte · unid. moeda</t>
        </is>
      </c>
      <c r="B52" t="n">
        <v>22</v>
      </c>
      <c r="C52" t="inlineStr">
        <is>
          <t>Other non-current assets</t>
        </is>
      </c>
      <c r="D52" s="262" t="n">
        <v>0</v>
      </c>
      <c r="E52" s="262" t="n">
        <v>0</v>
      </c>
      <c r="F52" s="262" t="n">
        <v>0</v>
      </c>
      <c r="G52" s="262" t="n">
        <v>0</v>
      </c>
      <c r="I52" s="262" t="n">
        <v>0</v>
      </c>
      <c r="J52" s="262" t="n">
        <v>0</v>
      </c>
      <c r="K52" s="262" t="n">
        <v>0</v>
      </c>
      <c r="L52" s="262" t="n">
        <v>0</v>
      </c>
      <c r="N52" s="262" t="n">
        <v>0</v>
      </c>
      <c r="O52" s="262" t="n">
        <v>0</v>
      </c>
      <c r="P52" s="262" t="n">
        <v>0</v>
      </c>
      <c r="Q52" s="262" t="n">
        <v>0</v>
      </c>
      <c r="S52" s="262" t="n">
        <v>0</v>
      </c>
      <c r="T52" s="262" t="n">
        <v>0</v>
      </c>
      <c r="U52" s="262" t="n">
        <v>0</v>
      </c>
      <c r="V52" s="262" t="n">
        <v>7509</v>
      </c>
      <c r="X52" s="262" t="n">
        <v>4332</v>
      </c>
      <c r="Y52" s="262" t="n">
        <v>4457</v>
      </c>
      <c r="Z52" s="262" t="n">
        <v>8722</v>
      </c>
      <c r="AA52" s="262" t="n">
        <v>1989</v>
      </c>
      <c r="AC52" s="262" t="n">
        <v>1989</v>
      </c>
      <c r="AD52" s="262" t="n">
        <v>8754</v>
      </c>
    </row>
    <row r="53">
      <c r="A53" t="inlineStr">
        <is>
          <t>Fleury BP: [nao existe] | Combinada BP: IRPJ e CSLL a compensar ANC (l.30) [0 em 1Q20..1Q23 (13 per.): linha inexistente/vazia na fonte; total divulgado confirma] · fonte · unid. moeda</t>
        </is>
      </c>
      <c r="B53" t="n">
        <v>22</v>
      </c>
      <c r="C53" t="inlineStr">
        <is>
          <t>Other non-current assets</t>
        </is>
      </c>
      <c r="D53" s="262" t="n">
        <v>0</v>
      </c>
      <c r="E53" s="262" t="n">
        <v>0</v>
      </c>
      <c r="F53" s="262" t="n">
        <v>0</v>
      </c>
      <c r="G53" s="262" t="n">
        <v>0</v>
      </c>
      <c r="I53" s="262" t="n">
        <v>0</v>
      </c>
      <c r="J53" s="262" t="n">
        <v>0</v>
      </c>
      <c r="K53" s="262" t="n">
        <v>0</v>
      </c>
      <c r="L53" s="262" t="n">
        <v>0</v>
      </c>
      <c r="N53" s="262" t="n">
        <v>0</v>
      </c>
      <c r="O53" s="262" t="n">
        <v>0</v>
      </c>
      <c r="P53" s="262" t="n">
        <v>0</v>
      </c>
      <c r="Q53" s="262" t="n">
        <v>0</v>
      </c>
      <c r="S53" s="262" t="n">
        <v>0</v>
      </c>
      <c r="T53" s="262" t="n">
        <v>0</v>
      </c>
      <c r="U53" s="262" t="n">
        <v>0</v>
      </c>
      <c r="V53" s="262" t="n">
        <v>18341</v>
      </c>
      <c r="X53" s="262" t="n">
        <v>12276</v>
      </c>
      <c r="Y53" s="262" t="n">
        <v>9671</v>
      </c>
      <c r="Z53" s="262" t="n">
        <v>4670</v>
      </c>
      <c r="AA53" s="262" t="n">
        <v>7956</v>
      </c>
      <c r="AC53" s="262" t="n">
        <v>7646</v>
      </c>
      <c r="AD53" s="262" t="n">
        <v>0</v>
      </c>
    </row>
    <row r="54">
      <c r="A54" t="inlineStr">
        <is>
          <t>Fleury BP: Depósitos Judiciais (l.32) | Combinada BP: Depósitos Judiciais ANC (l.31) · fonte · unid. moeda</t>
        </is>
      </c>
      <c r="B54" t="n">
        <v>22</v>
      </c>
      <c r="C54" t="inlineStr">
        <is>
          <t>Other non-current assets</t>
        </is>
      </c>
      <c r="D54" s="262" t="n">
        <v>23550.96251</v>
      </c>
      <c r="E54" s="262" t="n">
        <v>23710.98661</v>
      </c>
      <c r="F54" s="262" t="n">
        <v>23716.08139</v>
      </c>
      <c r="G54" s="262" t="n">
        <v>24009.03879</v>
      </c>
      <c r="I54" s="262" t="n">
        <v>24082.69692</v>
      </c>
      <c r="J54" s="262" t="n">
        <v>25976.73505</v>
      </c>
      <c r="K54" s="262" t="n">
        <v>22524.50943</v>
      </c>
      <c r="L54" s="262" t="n">
        <v>24160.16329</v>
      </c>
      <c r="N54" s="262" t="n">
        <v>24463.64082</v>
      </c>
      <c r="O54" s="262" t="n">
        <v>25124</v>
      </c>
      <c r="P54" s="262" t="n">
        <v>25461</v>
      </c>
      <c r="Q54" s="262" t="n">
        <v>25856</v>
      </c>
      <c r="S54" s="262" t="n">
        <v>25755</v>
      </c>
      <c r="T54" s="262" t="n">
        <v>27021</v>
      </c>
      <c r="U54" s="262" t="n">
        <v>27745</v>
      </c>
      <c r="V54" s="262" t="n">
        <v>27605</v>
      </c>
      <c r="X54" s="262" t="n">
        <v>28193.094</v>
      </c>
      <c r="Y54" s="262" t="n">
        <v>28171</v>
      </c>
      <c r="Z54" s="262" t="n">
        <v>21142</v>
      </c>
      <c r="AA54" s="262" t="n">
        <v>19488</v>
      </c>
      <c r="AC54" s="262" t="n">
        <v>23546</v>
      </c>
      <c r="AD54" s="262" t="n">
        <v>13274</v>
      </c>
    </row>
    <row r="55">
      <c r="A55" t="inlineStr">
        <is>
          <t>Fleury BP: Imposto de Renda e Contribuição Social Diferidos (l.33) | Combinada BP: Imposto de Renda e Contribuição Social Diferidos ANC (l.32) · fonte · unid. moeda</t>
        </is>
      </c>
      <c r="B55" t="n">
        <v>14</v>
      </c>
      <c r="C55" t="inlineStr">
        <is>
          <t>Deferred income taxes</t>
        </is>
      </c>
      <c r="D55" s="262" t="n">
        <v>90948.27093</v>
      </c>
      <c r="E55" s="262" t="n">
        <v>107554.30088</v>
      </c>
      <c r="F55" s="262" t="n">
        <v>115092.37981</v>
      </c>
      <c r="G55" s="262" t="n">
        <v>25195</v>
      </c>
      <c r="I55" s="262" t="n">
        <v>37190.35428</v>
      </c>
      <c r="J55" s="262" t="n">
        <v>150814.6551</v>
      </c>
      <c r="K55" s="262" t="n">
        <v>177408.78868</v>
      </c>
      <c r="L55" s="262" t="n">
        <v>48624.33562</v>
      </c>
      <c r="N55" s="262" t="n">
        <v>53225.83053</v>
      </c>
      <c r="O55" s="262" t="n">
        <v>55901</v>
      </c>
      <c r="P55" s="262" t="n">
        <v>29695</v>
      </c>
      <c r="Q55" s="262" t="n">
        <v>34356</v>
      </c>
      <c r="S55" s="262" t="n">
        <v>34109</v>
      </c>
      <c r="T55" s="262" t="n">
        <v>37285</v>
      </c>
      <c r="U55" s="262" t="n">
        <v>37378</v>
      </c>
      <c r="V55" s="262" t="n">
        <v>20478</v>
      </c>
      <c r="X55" s="262" t="n">
        <v>21879.454</v>
      </c>
      <c r="Y55" s="262" t="n">
        <v>11582</v>
      </c>
      <c r="Z55" s="262" t="n">
        <v>12011</v>
      </c>
      <c r="AA55" s="262" t="n">
        <v>11058</v>
      </c>
      <c r="AC55" s="262" t="n">
        <v>8430</v>
      </c>
      <c r="AD55" s="262" t="n">
        <v>10269</v>
      </c>
    </row>
    <row r="56">
      <c r="A56" t="inlineStr">
        <is>
          <t>Fleury BP: Títulos e Valores Mobiliários (l.34) | Combinada BP: Títulos e Valores Mobiliários ANC (l.33) · fonte · unid. moeda</t>
        </is>
      </c>
      <c r="B56" t="n">
        <v>11</v>
      </c>
      <c r="C56" t="inlineStr">
        <is>
          <t>Cash and equivalents (inc. investment securities)</t>
        </is>
      </c>
      <c r="D56" s="262" t="n">
        <v>62321.01314</v>
      </c>
      <c r="E56" s="262" t="n">
        <v>65806.95767</v>
      </c>
      <c r="F56" s="262" t="n">
        <v>63468.1401</v>
      </c>
      <c r="G56" s="262" t="n">
        <v>64332.43307</v>
      </c>
      <c r="I56" s="262" t="n">
        <v>58222.85381</v>
      </c>
      <c r="J56" s="262" t="n">
        <v>59482.62243</v>
      </c>
      <c r="K56" s="262" t="n">
        <v>118621.2204</v>
      </c>
      <c r="L56" s="262" t="n">
        <v>121641.19098</v>
      </c>
      <c r="N56" s="262" t="n">
        <v>117732.96032</v>
      </c>
      <c r="O56" s="262" t="n">
        <v>117963</v>
      </c>
      <c r="P56" s="262" t="n">
        <v>121674</v>
      </c>
      <c r="Q56" s="262" t="n">
        <v>133482</v>
      </c>
      <c r="S56" s="262" t="n">
        <v>136647</v>
      </c>
      <c r="T56" s="262" t="n">
        <v>122887</v>
      </c>
      <c r="U56" s="262" t="n">
        <v>102219</v>
      </c>
      <c r="V56" s="262" t="n">
        <v>104218</v>
      </c>
      <c r="X56" s="262" t="n">
        <v>84732.284</v>
      </c>
      <c r="Y56" s="262" t="n">
        <v>106180</v>
      </c>
      <c r="Z56" s="262" t="n">
        <v>109787</v>
      </c>
      <c r="AA56" s="262" t="n">
        <v>112622</v>
      </c>
      <c r="AC56" s="262" t="n">
        <v>116348</v>
      </c>
      <c r="AD56" s="262" t="n">
        <v>138544</v>
      </c>
    </row>
    <row r="57">
      <c r="A57" t="inlineStr">
        <is>
          <t>Fleury BP: Notas Promissórias a Receber (l.35) | Combinada BP: Notas Promissórias a Receber ANC (l.34) · fonte · unid. moeda</t>
        </is>
      </c>
      <c r="B57" t="n">
        <v>22</v>
      </c>
      <c r="C57" t="inlineStr">
        <is>
          <t>Other non-current assets</t>
        </is>
      </c>
      <c r="D57" s="262" t="n">
        <v>0</v>
      </c>
      <c r="E57" s="262" t="n">
        <v>0</v>
      </c>
      <c r="F57" s="262" t="n">
        <v>0</v>
      </c>
      <c r="G57" s="262" t="n">
        <v>0</v>
      </c>
      <c r="I57" s="262" t="n">
        <v>0</v>
      </c>
      <c r="J57" s="262" t="n">
        <v>0</v>
      </c>
      <c r="K57" s="262" t="n">
        <v>0</v>
      </c>
      <c r="L57" s="262" t="n">
        <v>0</v>
      </c>
      <c r="N57" s="262" t="n">
        <v>0</v>
      </c>
      <c r="O57" s="262" t="n">
        <v>0</v>
      </c>
      <c r="P57" s="262" t="n">
        <v>0</v>
      </c>
      <c r="Q57" s="262" t="n">
        <v>0</v>
      </c>
      <c r="S57" s="262" t="n">
        <v>0</v>
      </c>
      <c r="T57" s="262" t="n">
        <v>0</v>
      </c>
      <c r="U57" s="262" t="n">
        <v>0</v>
      </c>
      <c r="V57" s="262" t="n">
        <v>0</v>
      </c>
      <c r="X57" s="262" t="n">
        <v>0</v>
      </c>
      <c r="Y57" s="262" t="n">
        <v>0</v>
      </c>
      <c r="Z57" s="262" t="n">
        <v>0</v>
      </c>
      <c r="AA57" s="262" t="n">
        <v>0</v>
      </c>
      <c r="AC57" s="262" t="n">
        <v>0</v>
      </c>
      <c r="AD57" s="262" t="n">
        <v>0</v>
      </c>
    </row>
    <row r="58">
      <c r="A58" t="inlineStr">
        <is>
          <t>Fleury BP: Créditos a Receber (l.36) | Combinada BP: Créditos a Receber ANC (l.35) · fonte · unid. moeda</t>
        </is>
      </c>
      <c r="B58" t="n">
        <v>22</v>
      </c>
      <c r="C58" t="inlineStr">
        <is>
          <t>Other non-current assets</t>
        </is>
      </c>
      <c r="D58" s="262" t="n">
        <v>0</v>
      </c>
      <c r="E58" s="262" t="n">
        <v>0</v>
      </c>
      <c r="F58" s="262" t="n">
        <v>0</v>
      </c>
      <c r="G58" s="262" t="n">
        <v>0</v>
      </c>
      <c r="I58" s="262" t="n">
        <v>0</v>
      </c>
      <c r="J58" s="262" t="n">
        <v>0</v>
      </c>
      <c r="K58" s="262" t="n">
        <v>0</v>
      </c>
      <c r="L58" s="262" t="n">
        <v>0</v>
      </c>
      <c r="N58" s="262" t="n">
        <v>0</v>
      </c>
      <c r="O58" s="262" t="n">
        <v>0</v>
      </c>
      <c r="P58" s="262" t="n">
        <v>0</v>
      </c>
      <c r="Q58" s="262" t="n">
        <v>0</v>
      </c>
      <c r="S58" s="262" t="n">
        <v>0</v>
      </c>
      <c r="T58" s="262" t="n">
        <v>0</v>
      </c>
      <c r="U58" s="262" t="n">
        <v>0</v>
      </c>
      <c r="V58" s="262" t="n">
        <v>0</v>
      </c>
      <c r="X58" s="262" t="n">
        <v>0</v>
      </c>
      <c r="Y58" s="262" t="n">
        <v>0</v>
      </c>
      <c r="Z58" s="262" t="n">
        <v>0</v>
      </c>
      <c r="AA58" s="262" t="n">
        <v>0</v>
      </c>
      <c r="AC58" s="262" t="n">
        <v>0</v>
      </c>
      <c r="AD58" s="262" t="n">
        <v>0</v>
      </c>
    </row>
    <row r="59">
      <c r="A59" t="inlineStr">
        <is>
          <t>Fleury BP: Outros (l.37) | Combinada BP: Outros ANC (l.36) · fonte · unid. moeda</t>
        </is>
      </c>
      <c r="B59" t="n">
        <v>22</v>
      </c>
      <c r="C59" t="inlineStr">
        <is>
          <t>Other non-current assets</t>
        </is>
      </c>
      <c r="D59" s="262" t="n">
        <v>34155.33648</v>
      </c>
      <c r="E59" s="262" t="n">
        <v>23171.37982</v>
      </c>
      <c r="F59" s="262" t="n">
        <v>22045.41792</v>
      </c>
      <c r="G59" s="262" t="n">
        <v>22887.00975</v>
      </c>
      <c r="I59" s="262" t="n">
        <v>22259.78494</v>
      </c>
      <c r="J59" s="262" t="n">
        <v>22628.77166</v>
      </c>
      <c r="K59" s="262" t="n">
        <v>27560.23659</v>
      </c>
      <c r="L59" s="262" t="n">
        <v>53764.87079</v>
      </c>
      <c r="N59" s="262" t="n">
        <v>52962.86515</v>
      </c>
      <c r="O59" s="262" t="n">
        <v>52053</v>
      </c>
      <c r="P59" s="262" t="n">
        <v>56851</v>
      </c>
      <c r="Q59" s="262" t="n">
        <v>47557</v>
      </c>
      <c r="S59" s="262" t="n">
        <v>49312</v>
      </c>
      <c r="T59" s="262" t="n">
        <v>45715</v>
      </c>
      <c r="U59" s="262" t="n">
        <v>44595</v>
      </c>
      <c r="V59" s="262" t="n">
        <v>45529</v>
      </c>
      <c r="X59" s="262" t="n">
        <v>43041</v>
      </c>
      <c r="Y59" s="262" t="n">
        <v>39806</v>
      </c>
      <c r="Z59" s="262" t="n">
        <v>46281</v>
      </c>
      <c r="AA59" s="262" t="n">
        <v>67116</v>
      </c>
      <c r="AC59" s="262" t="n">
        <v>64134</v>
      </c>
      <c r="AD59" s="262" t="n">
        <v>61144</v>
      </c>
    </row>
    <row r="60">
      <c r="A60" t="inlineStr">
        <is>
          <t>Fleury BP: Investimentos (l.41) | Combinada BP: Investimentos (l.40) · fonte · unid. moeda</t>
        </is>
      </c>
      <c r="B60" t="n">
        <v>17</v>
      </c>
      <c r="C60" t="inlineStr">
        <is>
          <t>Equity in affiliates</t>
        </is>
      </c>
      <c r="D60" s="262" t="n">
        <v>33930.90882</v>
      </c>
      <c r="E60" s="262" t="n">
        <v>135736.947285</v>
      </c>
      <c r="F60" s="262" t="n">
        <v>355250.406008</v>
      </c>
      <c r="G60" s="262" t="n">
        <v>43083.21583</v>
      </c>
      <c r="I60" s="262" t="n">
        <v>40549.805042</v>
      </c>
      <c r="J60" s="262" t="n">
        <v>42331.656163</v>
      </c>
      <c r="K60" s="262" t="n">
        <v>52560.45319</v>
      </c>
      <c r="L60" s="262" t="n">
        <v>44080.231096</v>
      </c>
      <c r="N60" s="262" t="n">
        <v>56872.4403</v>
      </c>
      <c r="O60" s="262" t="n">
        <v>66428</v>
      </c>
      <c r="P60" s="262" t="n">
        <v>68260</v>
      </c>
      <c r="Q60" s="262" t="n">
        <v>81519</v>
      </c>
      <c r="S60" s="262" t="n">
        <v>69005</v>
      </c>
      <c r="T60" s="262" t="n">
        <v>93409</v>
      </c>
      <c r="U60" s="262" t="n">
        <v>100357</v>
      </c>
      <c r="V60" s="262" t="n">
        <v>81910</v>
      </c>
      <c r="X60" s="262" t="n">
        <v>102201.544</v>
      </c>
      <c r="Y60" s="262" t="n">
        <v>241834</v>
      </c>
      <c r="Z60" s="262" t="n">
        <v>109652</v>
      </c>
      <c r="AA60" s="262" t="n">
        <v>111772</v>
      </c>
      <c r="AC60" s="262" t="n">
        <v>105850</v>
      </c>
      <c r="AD60" s="262" t="n">
        <v>169324</v>
      </c>
    </row>
    <row r="61">
      <c r="A61" t="inlineStr">
        <is>
          <t>Fleury BP: Imobilizado (l.42) | Combinada BP: Imobilizado (l.41) · fonte · unid. moeda</t>
        </is>
      </c>
      <c r="B61" t="n">
        <v>18</v>
      </c>
      <c r="C61" t="inlineStr">
        <is>
          <t>PP&amp;E</t>
        </is>
      </c>
      <c r="D61" s="262" t="n">
        <v>690647.707332</v>
      </c>
      <c r="E61" s="262" t="n">
        <v>707228.095127</v>
      </c>
      <c r="F61" s="262" t="n">
        <v>720527.861893</v>
      </c>
      <c r="G61" s="262" t="n">
        <v>814406.7489839999</v>
      </c>
      <c r="I61" s="262" t="n">
        <v>800795.161026</v>
      </c>
      <c r="J61" s="262" t="n">
        <v>825129.2118770001</v>
      </c>
      <c r="K61" s="262" t="n">
        <v>874141.40573</v>
      </c>
      <c r="L61" s="262" t="n">
        <v>925882.893133</v>
      </c>
      <c r="N61" s="262" t="n">
        <v>909114.90776</v>
      </c>
      <c r="O61" s="262" t="n">
        <v>1351334</v>
      </c>
      <c r="P61" s="262" t="n">
        <v>1349217</v>
      </c>
      <c r="Q61" s="262" t="n">
        <v>1348492</v>
      </c>
      <c r="S61" s="262" t="n">
        <v>1326688</v>
      </c>
      <c r="T61" s="262" t="n">
        <v>1320192</v>
      </c>
      <c r="U61" s="262" t="n">
        <v>1334583</v>
      </c>
      <c r="V61" s="262" t="n">
        <v>1375065</v>
      </c>
      <c r="X61" s="262" t="n">
        <v>1348365.553</v>
      </c>
      <c r="Y61" s="262" t="n">
        <v>1338359</v>
      </c>
      <c r="Z61" s="262" t="n">
        <v>1344449</v>
      </c>
      <c r="AA61" s="262" t="n">
        <v>1379255</v>
      </c>
      <c r="AC61" s="262" t="n">
        <v>1355204</v>
      </c>
      <c r="AD61" s="262" t="n">
        <v>1404052</v>
      </c>
    </row>
    <row r="62">
      <c r="A62" t="inlineStr">
        <is>
          <t>Fleury BP: Intangível (l.43) | Combinada BP: Intangível (l.42) · fonte · unid. moeda</t>
        </is>
      </c>
      <c r="B62" t="n">
        <v>21</v>
      </c>
      <c r="C62" t="inlineStr">
        <is>
          <t>Intangibles</t>
        </is>
      </c>
      <c r="D62" s="262" t="n">
        <v>2031481.694882</v>
      </c>
      <c r="E62" s="262" t="n">
        <v>2190439.423571</v>
      </c>
      <c r="F62" s="262" t="n">
        <v>2297792.109992</v>
      </c>
      <c r="G62" s="262" t="n">
        <v>2586609.106978</v>
      </c>
      <c r="I62" s="262" t="n">
        <v>2617509.451898</v>
      </c>
      <c r="J62" s="262" t="n">
        <v>3021341.73723</v>
      </c>
      <c r="K62" s="262" t="n">
        <v>3013739.86065</v>
      </c>
      <c r="L62" s="262" t="n">
        <v>3159926.121268</v>
      </c>
      <c r="N62" s="262" t="n">
        <v>3147225.12633</v>
      </c>
      <c r="O62" s="262" t="n">
        <v>5768121</v>
      </c>
      <c r="P62" s="262" t="n">
        <v>5744055</v>
      </c>
      <c r="Q62" s="262" t="n">
        <v>5807506</v>
      </c>
      <c r="S62" s="262" t="n">
        <v>5788920</v>
      </c>
      <c r="T62" s="262" t="n">
        <v>5783283</v>
      </c>
      <c r="U62" s="262" t="n">
        <v>5830303</v>
      </c>
      <c r="V62" s="262" t="n">
        <v>5863532</v>
      </c>
      <c r="X62" s="262" t="n">
        <v>5819864.287</v>
      </c>
      <c r="Y62" s="262" t="n">
        <v>5825380</v>
      </c>
      <c r="Z62" s="262" t="n">
        <v>5957247</v>
      </c>
      <c r="AA62" s="262" t="n">
        <v>5979637</v>
      </c>
      <c r="AC62" s="262" t="n">
        <v>5905506</v>
      </c>
      <c r="AD62" s="262" t="n">
        <v>6006075</v>
      </c>
    </row>
    <row r="63">
      <c r="A63" t="inlineStr">
        <is>
          <t>Fleury BP: Direito de Uso (l.44) | Combinada BP: Direito de Uso (l.43) · fonte · unid. moeda</t>
        </is>
      </c>
      <c r="B63" t="n">
        <v>19</v>
      </c>
      <c r="C63" t="inlineStr">
        <is>
          <t>Right-of-use-assets</t>
        </is>
      </c>
      <c r="D63" s="262" t="n">
        <v>700212.56363</v>
      </c>
      <c r="E63" s="262" t="n">
        <v>682610.07549</v>
      </c>
      <c r="F63" s="262" t="n">
        <v>691232.93304</v>
      </c>
      <c r="G63" s="262" t="n">
        <v>750774.81334</v>
      </c>
      <c r="I63" s="262" t="n">
        <v>793136.5573099999</v>
      </c>
      <c r="J63" s="262" t="n">
        <v>819194.44533</v>
      </c>
      <c r="K63" s="262" t="n">
        <v>800210.1333</v>
      </c>
      <c r="L63" s="262" t="n">
        <v>1022286.67143</v>
      </c>
      <c r="N63" s="262" t="n">
        <v>1026533.10531</v>
      </c>
      <c r="O63" s="262" t="n">
        <v>1332423</v>
      </c>
      <c r="P63" s="262" t="n">
        <v>1296497</v>
      </c>
      <c r="Q63" s="262" t="n">
        <v>1295095</v>
      </c>
      <c r="S63" s="262" t="n">
        <v>1249703</v>
      </c>
      <c r="T63" s="262" t="n">
        <v>1202109</v>
      </c>
      <c r="U63" s="262" t="n">
        <v>1159406</v>
      </c>
      <c r="V63" s="262" t="n">
        <v>1138643</v>
      </c>
      <c r="X63" s="262" t="n">
        <v>1140475.247</v>
      </c>
      <c r="Y63" s="262" t="n">
        <v>1096847</v>
      </c>
      <c r="Z63" s="262" t="n">
        <v>1104344</v>
      </c>
      <c r="AA63" s="262" t="n">
        <v>1098591</v>
      </c>
      <c r="AC63" s="262" t="n">
        <v>1079421</v>
      </c>
      <c r="AD63" s="262" t="n">
        <v>1203367</v>
      </c>
    </row>
    <row r="64">
      <c r="A64" t="inlineStr">
        <is>
          <t>Fleury BP: Empréstimos e Financiamentos (l.51) | Combinada BP: Empréstimos e Financiamentos PC (l.50) · fonte · unid. moeda</t>
        </is>
      </c>
      <c r="B64" t="n">
        <v>27</v>
      </c>
      <c r="C64" t="inlineStr">
        <is>
          <t>Current portion of long-term debt</t>
        </is>
      </c>
      <c r="D64" s="262" t="n">
        <v>634399.33369</v>
      </c>
      <c r="E64" s="262" t="n">
        <v>734082.04401</v>
      </c>
      <c r="F64" s="262" t="n">
        <v>365445.86972</v>
      </c>
      <c r="G64" s="262" t="n">
        <v>375056.13713</v>
      </c>
      <c r="I64" s="262" t="n">
        <v>226601.60284</v>
      </c>
      <c r="J64" s="262" t="n">
        <v>499570.14269</v>
      </c>
      <c r="K64" s="262" t="n">
        <v>526220.7363</v>
      </c>
      <c r="L64" s="262" t="n">
        <v>360919.05258</v>
      </c>
      <c r="N64" s="262" t="n">
        <v>371514.42415</v>
      </c>
      <c r="O64" s="262" t="n">
        <v>463884</v>
      </c>
      <c r="P64" s="262" t="n">
        <v>347068</v>
      </c>
      <c r="Q64" s="262" t="n">
        <v>12473</v>
      </c>
      <c r="S64" s="262" t="n">
        <v>9338</v>
      </c>
      <c r="T64" s="262" t="n">
        <v>19513</v>
      </c>
      <c r="U64" s="262" t="n">
        <v>24133</v>
      </c>
      <c r="V64" s="262" t="n">
        <v>22387</v>
      </c>
      <c r="X64" s="262" t="n">
        <v>20307.133</v>
      </c>
      <c r="Y64" s="262" t="n">
        <v>17480</v>
      </c>
      <c r="Z64" s="262" t="n">
        <v>17715</v>
      </c>
      <c r="AA64" s="262" t="n">
        <v>17358</v>
      </c>
      <c r="AC64" s="262" t="n">
        <v>10818</v>
      </c>
      <c r="AD64" s="262" t="n">
        <v>41631</v>
      </c>
    </row>
    <row r="65">
      <c r="A65" t="inlineStr">
        <is>
          <t>Fleury BP: [nao existe] | Combinada BP: Debêntures PC (l.51) [0 em 1Q20..1Q23 (13 per.): linha inexistente/vazia na fonte; total divulgado confirma] · fonte · unid. moeda</t>
        </is>
      </c>
      <c r="B65" t="n">
        <v>27</v>
      </c>
      <c r="C65" t="inlineStr">
        <is>
          <t>Current portion of long-term debt</t>
        </is>
      </c>
      <c r="D65" s="262" t="n">
        <v>0</v>
      </c>
      <c r="E65" s="262" t="n">
        <v>0</v>
      </c>
      <c r="F65" s="262" t="n">
        <v>0</v>
      </c>
      <c r="G65" s="262" t="n">
        <v>0</v>
      </c>
      <c r="I65" s="262" t="n">
        <v>0</v>
      </c>
      <c r="J65" s="262" t="n">
        <v>0</v>
      </c>
      <c r="K65" s="262" t="n">
        <v>0</v>
      </c>
      <c r="L65" s="262" t="n">
        <v>0</v>
      </c>
      <c r="N65" s="262" t="n">
        <v>0</v>
      </c>
      <c r="O65" s="262" t="n">
        <v>90695</v>
      </c>
      <c r="P65" s="262" t="n">
        <v>97435</v>
      </c>
      <c r="Q65" s="262" t="n">
        <v>295622</v>
      </c>
      <c r="S65" s="262" t="n">
        <v>308025</v>
      </c>
      <c r="T65" s="262" t="n">
        <v>293475</v>
      </c>
      <c r="U65" s="262" t="n">
        <v>593175</v>
      </c>
      <c r="V65" s="262" t="n">
        <v>184370</v>
      </c>
      <c r="X65" s="262" t="n">
        <v>291791.961</v>
      </c>
      <c r="Y65" s="262" t="n">
        <v>207393</v>
      </c>
      <c r="Z65" s="262" t="n">
        <v>341336</v>
      </c>
      <c r="AA65" s="262" t="n">
        <v>214745</v>
      </c>
      <c r="AC65" s="262" t="n">
        <v>328970</v>
      </c>
      <c r="AD65" s="262" t="n">
        <v>557886</v>
      </c>
    </row>
    <row r="66">
      <c r="A66" t="inlineStr">
        <is>
          <t>Fleury BP: Arrendamento Mercantil Financeiro (l.52) | Combinada BP: Arrendamento Mercantil Financeiro PC (l.52) · fonte · unid. moeda</t>
        </is>
      </c>
      <c r="B66" t="n">
        <v>29</v>
      </c>
      <c r="C66" t="inlineStr">
        <is>
          <t>Short term operating leases</t>
        </is>
      </c>
      <c r="D66" s="262" t="n">
        <v>106476.04073</v>
      </c>
      <c r="E66" s="262" t="n">
        <v>107539.12171</v>
      </c>
      <c r="F66" s="262" t="n">
        <v>102090.20266</v>
      </c>
      <c r="G66" s="262" t="n">
        <v>129644.38544</v>
      </c>
      <c r="I66" s="262" t="n">
        <v>140288.39753</v>
      </c>
      <c r="J66" s="262" t="n">
        <v>150379.74573</v>
      </c>
      <c r="K66" s="262" t="n">
        <v>156826.02384</v>
      </c>
      <c r="L66" s="262" t="n">
        <v>174901.25352</v>
      </c>
      <c r="N66" s="262" t="n">
        <v>192467.104</v>
      </c>
      <c r="O66" s="262" t="n">
        <v>269893</v>
      </c>
      <c r="P66" s="262" t="n">
        <v>263101</v>
      </c>
      <c r="Q66" s="262" t="n">
        <v>272067</v>
      </c>
      <c r="S66" s="262" t="n">
        <v>277296</v>
      </c>
      <c r="T66" s="262" t="n">
        <v>280827</v>
      </c>
      <c r="U66" s="262" t="n">
        <v>288153</v>
      </c>
      <c r="V66" s="262" t="n">
        <v>290854</v>
      </c>
      <c r="X66" s="262" t="n">
        <v>310350.855</v>
      </c>
      <c r="Y66" s="262" t="n">
        <v>304045</v>
      </c>
      <c r="Z66" s="262" t="n">
        <v>313074</v>
      </c>
      <c r="AA66" s="262" t="n">
        <v>318732</v>
      </c>
      <c r="AC66" s="262" t="n">
        <v>308319</v>
      </c>
      <c r="AD66" s="262" t="n">
        <v>319569</v>
      </c>
    </row>
    <row r="67">
      <c r="A67" t="inlineStr">
        <is>
          <t>Fleury BP: Instrumentos Financeiros Derivativos (l.53) | Combinada BP: Instrumentos Financeiros Derivativos PC (l.53) · fonte · unid. moeda</t>
        </is>
      </c>
      <c r="B67" t="n">
        <v>26</v>
      </c>
      <c r="C67" t="inlineStr">
        <is>
          <t>Other current liabilities (non-debt)</t>
        </is>
      </c>
      <c r="D67" s="262" t="n">
        <v>121.68251</v>
      </c>
      <c r="E67" s="262" t="n">
        <v>507.3662</v>
      </c>
      <c r="F67" s="262" t="n">
        <v>113.42423</v>
      </c>
      <c r="G67" s="262" t="n">
        <v>0</v>
      </c>
      <c r="I67" s="262" t="n">
        <v>999.9412600000001</v>
      </c>
      <c r="J67" s="262" t="n">
        <v>297.57553</v>
      </c>
      <c r="K67" s="262" t="n">
        <v>12.70915</v>
      </c>
      <c r="L67" s="262" t="n">
        <v>0</v>
      </c>
      <c r="N67" s="262" t="n">
        <v>275.521</v>
      </c>
      <c r="O67" s="262" t="n">
        <v>0</v>
      </c>
      <c r="P67" s="262" t="n">
        <v>0</v>
      </c>
      <c r="Q67" s="262" t="n">
        <v>0</v>
      </c>
      <c r="S67" s="262" t="n">
        <v>0</v>
      </c>
      <c r="T67" s="262" t="n">
        <v>0</v>
      </c>
      <c r="U67" s="262" t="n">
        <v>0</v>
      </c>
      <c r="V67" s="262" t="n">
        <v>0</v>
      </c>
      <c r="X67" s="262" t="n">
        <v>0</v>
      </c>
      <c r="Y67" s="262" t="n">
        <v>0</v>
      </c>
      <c r="Z67" s="262" t="n">
        <v>0</v>
      </c>
      <c r="AA67" s="262" t="n">
        <v>0</v>
      </c>
      <c r="AC67" s="262" t="n">
        <v>0</v>
      </c>
      <c r="AD67" s="262" t="n">
        <v>0</v>
      </c>
    </row>
    <row r="68">
      <c r="A68" t="inlineStr">
        <is>
          <t>Fleury BP: Fornecedores (l.54) | Combinada BP: Fornecedores PC (l.54) · fonte · unid. moeda</t>
        </is>
      </c>
      <c r="B68" t="n">
        <v>23</v>
      </c>
      <c r="C68" t="inlineStr">
        <is>
          <t>Accounts payable</t>
        </is>
      </c>
      <c r="D68" s="262" t="n">
        <v>217458.23862</v>
      </c>
      <c r="E68" s="262" t="n">
        <v>271936.53186</v>
      </c>
      <c r="F68" s="262" t="n">
        <v>290604.93982</v>
      </c>
      <c r="G68" s="262" t="n">
        <v>356880.85195</v>
      </c>
      <c r="I68" s="262" t="n">
        <v>306318.45786</v>
      </c>
      <c r="J68" s="262" t="n">
        <v>302675.21001</v>
      </c>
      <c r="K68" s="262" t="n">
        <v>297712.10255</v>
      </c>
      <c r="L68" s="262" t="n">
        <v>364267.89641</v>
      </c>
      <c r="N68" s="262" t="n">
        <v>359717.89864</v>
      </c>
      <c r="O68" s="262" t="n">
        <v>591270</v>
      </c>
      <c r="P68" s="262" t="n">
        <v>575225</v>
      </c>
      <c r="Q68" s="262" t="n">
        <v>620413</v>
      </c>
      <c r="S68" s="262" t="n">
        <v>632446</v>
      </c>
      <c r="T68" s="262" t="n">
        <v>676475</v>
      </c>
      <c r="U68" s="262" t="n">
        <v>647545</v>
      </c>
      <c r="V68" s="262" t="n">
        <v>704009</v>
      </c>
      <c r="X68" s="262" t="n">
        <v>674716.3959999999</v>
      </c>
      <c r="Y68" s="262" t="n">
        <v>652937</v>
      </c>
      <c r="Z68" s="262" t="n">
        <v>721344</v>
      </c>
      <c r="AA68" s="262" t="n">
        <v>800133</v>
      </c>
      <c r="AC68" s="262" t="n">
        <v>733299</v>
      </c>
      <c r="AD68" s="262" t="n">
        <v>840735</v>
      </c>
    </row>
    <row r="69">
      <c r="A69" t="inlineStr">
        <is>
          <t>Fleury BP: Salários e Encargos a Recolher (l.55) | Combinada BP: Obrigações Trabalhistas (l.55) · fonte · unid. moeda</t>
        </is>
      </c>
      <c r="B69" t="n">
        <v>24</v>
      </c>
      <c r="C69" t="inlineStr">
        <is>
          <t>Accrued expenses</t>
        </is>
      </c>
      <c r="D69" s="262" t="n">
        <v>129771.37318</v>
      </c>
      <c r="E69" s="262" t="n">
        <v>179050.14977</v>
      </c>
      <c r="F69" s="262" t="n">
        <v>218242.55644</v>
      </c>
      <c r="G69" s="262" t="n">
        <v>202168.19922</v>
      </c>
      <c r="I69" s="262" t="n">
        <v>172718.57732</v>
      </c>
      <c r="J69" s="262" t="n">
        <v>210886.8834</v>
      </c>
      <c r="K69" s="262" t="n">
        <v>241155.5246</v>
      </c>
      <c r="L69" s="262" t="n">
        <v>227600.29686</v>
      </c>
      <c r="N69" s="262" t="n">
        <v>191554.23713</v>
      </c>
      <c r="O69" s="262" t="n">
        <v>328937</v>
      </c>
      <c r="P69" s="262" t="n">
        <v>380761</v>
      </c>
      <c r="Q69" s="262" t="n">
        <v>338989</v>
      </c>
      <c r="S69" s="262" t="n">
        <v>285808</v>
      </c>
      <c r="T69" s="262" t="n">
        <v>352951</v>
      </c>
      <c r="U69" s="262" t="n">
        <v>402732</v>
      </c>
      <c r="V69" s="262" t="n">
        <v>381902</v>
      </c>
      <c r="X69" s="262" t="n">
        <v>309762.274</v>
      </c>
      <c r="Y69" s="262" t="n">
        <v>368403</v>
      </c>
      <c r="Z69" s="262" t="n">
        <v>438976</v>
      </c>
      <c r="AA69" s="262" t="n">
        <v>407632</v>
      </c>
      <c r="AC69" s="262" t="n">
        <v>345296</v>
      </c>
      <c r="AD69" s="262" t="n">
        <v>406046</v>
      </c>
    </row>
    <row r="70">
      <c r="A70" t="inlineStr">
        <is>
          <t>Fleury BP: [nao existe] | Combinada BP: Obrigações Tributárias (l.56) [0 em 1Q20..1Q23 (13 per.): linha inexistente/vazia na fonte; total divulgado confirma] · fonte · unid. moeda</t>
        </is>
      </c>
      <c r="B70" t="n">
        <v>25</v>
      </c>
      <c r="C70" t="inlineStr">
        <is>
          <t>Taxes payable</t>
        </is>
      </c>
      <c r="D70" s="262" t="n">
        <v>0</v>
      </c>
      <c r="E70" s="262" t="n">
        <v>0</v>
      </c>
      <c r="F70" s="262" t="n">
        <v>0</v>
      </c>
      <c r="G70" s="262" t="n">
        <v>0</v>
      </c>
      <c r="I70" s="262" t="n">
        <v>0</v>
      </c>
      <c r="J70" s="262" t="n">
        <v>0</v>
      </c>
      <c r="K70" s="262" t="n">
        <v>0</v>
      </c>
      <c r="L70" s="262" t="n">
        <v>0</v>
      </c>
      <c r="N70" s="262" t="n">
        <v>0</v>
      </c>
      <c r="O70" s="262" t="n">
        <v>70035</v>
      </c>
      <c r="P70" s="262" t="n">
        <v>68007</v>
      </c>
      <c r="Q70" s="262" t="n">
        <v>63016</v>
      </c>
      <c r="S70" s="262" t="n">
        <v>70697</v>
      </c>
      <c r="T70" s="262" t="n">
        <v>75872</v>
      </c>
      <c r="U70" s="262" t="n">
        <v>66146</v>
      </c>
      <c r="V70" s="262" t="n">
        <v>62176</v>
      </c>
      <c r="X70" s="262" t="n">
        <v>68674.27499999999</v>
      </c>
      <c r="Y70" s="262" t="n">
        <v>69104</v>
      </c>
      <c r="Z70" s="262" t="n">
        <v>69669</v>
      </c>
      <c r="AA70" s="262" t="n">
        <v>59250</v>
      </c>
      <c r="AC70" s="262" t="n">
        <v>76505</v>
      </c>
      <c r="AD70" s="262" t="n">
        <v>79919</v>
      </c>
    </row>
    <row r="71">
      <c r="A71" t="inlineStr">
        <is>
          <t>Fleury BP: Provisão para Imposto de Renda e Contribuição Social (l.56) | Combinada BP: Provisão para Imposto de Renda e Contribuição Social PC (l.57) · fonte · unid. moeda</t>
        </is>
      </c>
      <c r="B71" t="n">
        <v>25</v>
      </c>
      <c r="C71" t="inlineStr">
        <is>
          <t>Taxes payable</t>
        </is>
      </c>
      <c r="D71" s="262" t="n">
        <v>43393.95959</v>
      </c>
      <c r="E71" s="262" t="n">
        <v>52079.5961</v>
      </c>
      <c r="F71" s="262" t="n">
        <v>154887.85622</v>
      </c>
      <c r="G71" s="262" t="n">
        <v>52865.87558</v>
      </c>
      <c r="I71" s="262" t="n">
        <v>45947.8586</v>
      </c>
      <c r="J71" s="262" t="n">
        <v>85707.86883000001</v>
      </c>
      <c r="K71" s="262" t="n">
        <v>133431.00994</v>
      </c>
      <c r="L71" s="262" t="n">
        <v>7110.00227</v>
      </c>
      <c r="N71" s="262" t="n">
        <v>10984.444</v>
      </c>
      <c r="O71" s="262" t="n">
        <v>0</v>
      </c>
      <c r="P71" s="262" t="n">
        <v>0</v>
      </c>
      <c r="Q71" s="262" t="n">
        <v>0</v>
      </c>
      <c r="S71" s="262" t="n">
        <v>0</v>
      </c>
      <c r="T71" s="262" t="n">
        <v>0</v>
      </c>
      <c r="U71" s="262" t="n">
        <v>0</v>
      </c>
      <c r="V71" s="262" t="n">
        <v>0</v>
      </c>
      <c r="X71" s="262" t="n">
        <v>0</v>
      </c>
      <c r="Y71" s="262" t="n">
        <v>0</v>
      </c>
      <c r="Z71" s="262" t="n">
        <v>0</v>
      </c>
      <c r="AA71" s="262" t="n">
        <v>0</v>
      </c>
      <c r="AC71" s="262" t="n">
        <v>0</v>
      </c>
      <c r="AD71" s="262" t="n">
        <v>0</v>
      </c>
    </row>
    <row r="72">
      <c r="A72" t="inlineStr">
        <is>
          <t>Fleury BP: Imposto de Renda e Contribuição Social Diferidos (l.57) | Combinada BP: Imposto de Renda e Contribuição Social Diferidos PC (l.58) · fonte · unid. moeda</t>
        </is>
      </c>
      <c r="B72" t="n">
        <v>33</v>
      </c>
      <c r="C72" t="inlineStr">
        <is>
          <t>Deferred income taxes</t>
        </is>
      </c>
      <c r="D72" s="262" t="n">
        <v>0</v>
      </c>
      <c r="E72" s="262" t="n">
        <v>0</v>
      </c>
      <c r="F72" s="262" t="n">
        <v>0</v>
      </c>
      <c r="G72" s="262" t="n">
        <v>0</v>
      </c>
      <c r="I72" s="262" t="n">
        <v>0</v>
      </c>
      <c r="J72" s="262" t="n">
        <v>0</v>
      </c>
      <c r="K72" s="262" t="n">
        <v>0</v>
      </c>
      <c r="L72" s="262" t="n">
        <v>0</v>
      </c>
      <c r="N72" s="262" t="n">
        <v>0</v>
      </c>
      <c r="O72" s="262" t="n">
        <v>0</v>
      </c>
      <c r="P72" s="262" t="n">
        <v>0</v>
      </c>
      <c r="Q72" s="262" t="n">
        <v>0</v>
      </c>
      <c r="S72" s="262" t="n">
        <v>0</v>
      </c>
      <c r="T72" s="262" t="n">
        <v>0</v>
      </c>
      <c r="U72" s="262" t="n">
        <v>0</v>
      </c>
      <c r="V72" s="262" t="n">
        <v>0</v>
      </c>
      <c r="X72" s="262" t="n">
        <v>0</v>
      </c>
      <c r="Y72" s="262" t="n">
        <v>0</v>
      </c>
      <c r="Z72" s="262" t="n">
        <v>0</v>
      </c>
      <c r="AA72" s="262" t="n">
        <v>0</v>
      </c>
      <c r="AC72" s="262" t="n">
        <v>0</v>
      </c>
      <c r="AD72" s="262" t="n">
        <v>0</v>
      </c>
    </row>
    <row r="73">
      <c r="A73" t="inlineStr">
        <is>
          <t>Fleury BP: Impostos e Contribuições a Recolher (l.58) | Combinada BP: Impostos e Contribuições a Recolher PC (l.59) · fonte · unid. moeda</t>
        </is>
      </c>
      <c r="B73" t="n">
        <v>25</v>
      </c>
      <c r="C73" t="inlineStr">
        <is>
          <t>Taxes payable</t>
        </is>
      </c>
      <c r="D73" s="262" t="n">
        <v>39250.04634</v>
      </c>
      <c r="E73" s="262" t="n">
        <v>32075.35653</v>
      </c>
      <c r="F73" s="262" t="n">
        <v>36776.75256</v>
      </c>
      <c r="G73" s="262" t="n">
        <v>38378.53171</v>
      </c>
      <c r="I73" s="262" t="n">
        <v>35905.57022</v>
      </c>
      <c r="J73" s="262" t="n">
        <v>38959.23646</v>
      </c>
      <c r="K73" s="262" t="n">
        <v>39593.85102</v>
      </c>
      <c r="L73" s="262" t="n">
        <v>40812.07777</v>
      </c>
      <c r="N73" s="262" t="n">
        <v>48488.70435</v>
      </c>
      <c r="O73" s="262" t="n">
        <v>10529</v>
      </c>
      <c r="P73" s="262" t="n">
        <v>16031</v>
      </c>
      <c r="Q73" s="262" t="n">
        <v>17567</v>
      </c>
      <c r="S73" s="262" t="n">
        <v>4314</v>
      </c>
      <c r="T73" s="262" t="n">
        <v>33411</v>
      </c>
      <c r="U73" s="262" t="n">
        <v>29377</v>
      </c>
      <c r="V73" s="262" t="n">
        <v>36405</v>
      </c>
      <c r="X73" s="262" t="n">
        <v>16837.947</v>
      </c>
      <c r="Y73" s="262" t="n">
        <v>34170</v>
      </c>
      <c r="Z73" s="262" t="n">
        <v>47677</v>
      </c>
      <c r="AA73" s="262" t="n">
        <v>38280</v>
      </c>
      <c r="AC73" s="262" t="n">
        <v>12743</v>
      </c>
      <c r="AD73" s="262" t="n">
        <v>33089</v>
      </c>
    </row>
    <row r="74">
      <c r="A74" t="inlineStr">
        <is>
          <t>Fleury BP: Dividendos e Juros Sobre o Capital Próprio (l.59) | Combinada BP: Dividendos e Juros Sobre o Capital Próprio PC (l.60) · fonte · unid. moeda</t>
        </is>
      </c>
      <c r="B74" t="n">
        <v>26</v>
      </c>
      <c r="C74" t="inlineStr">
        <is>
          <t>Other current liabilities (non-debt)</t>
        </is>
      </c>
      <c r="D74" s="262" t="n">
        <v>0</v>
      </c>
      <c r="E74" s="262" t="n">
        <v>0</v>
      </c>
      <c r="F74" s="262" t="n">
        <v>0</v>
      </c>
      <c r="G74" s="262" t="n">
        <v>15011</v>
      </c>
      <c r="I74" s="262" t="n">
        <v>0</v>
      </c>
      <c r="J74" s="262" t="n">
        <v>0</v>
      </c>
      <c r="K74" s="262" t="n">
        <v>0</v>
      </c>
      <c r="L74" s="262" t="n">
        <v>0</v>
      </c>
      <c r="N74" s="262" t="n">
        <v>0</v>
      </c>
      <c r="O74" s="262" t="n">
        <v>74</v>
      </c>
      <c r="P74" s="262" t="n">
        <v>78725</v>
      </c>
      <c r="Q74" s="262" t="n">
        <v>756</v>
      </c>
      <c r="S74" s="262" t="n">
        <v>80796</v>
      </c>
      <c r="T74" s="262" t="n">
        <v>0</v>
      </c>
      <c r="U74" s="262" t="n">
        <v>160906</v>
      </c>
      <c r="V74" s="262" t="n">
        <v>482</v>
      </c>
      <c r="X74" s="262" t="n">
        <v>254535.014</v>
      </c>
      <c r="Y74" s="262" t="n">
        <v>490</v>
      </c>
      <c r="Z74" s="262" t="n">
        <v>147403</v>
      </c>
      <c r="AA74" s="262" t="n">
        <v>291836</v>
      </c>
      <c r="AC74" s="262" t="n">
        <v>293863</v>
      </c>
      <c r="AD74" s="262" t="n">
        <v>71216</v>
      </c>
    </row>
    <row r="75">
      <c r="A75" t="inlineStr">
        <is>
          <t>Fleury BP: Contas a Pagar - Aquisição de Empresas (l.60) | Combinada BP: Contas a Pagar - Aquisição de Empresas PC (l.61) -&gt; cod 27 (divida, como no release: divida bruta inclui aquisicoes) · fonte · unid. moeda</t>
        </is>
      </c>
      <c r="B75" t="n">
        <v>27</v>
      </c>
      <c r="C75" t="inlineStr">
        <is>
          <t>Current portion of long-term debt</t>
        </is>
      </c>
      <c r="D75" s="262" t="n">
        <v>13972.95141</v>
      </c>
      <c r="E75" s="262" t="n">
        <v>96445.8434</v>
      </c>
      <c r="F75" s="262" t="n">
        <v>91471.07042</v>
      </c>
      <c r="G75" s="262" t="n">
        <v>29671.26799</v>
      </c>
      <c r="I75" s="262" t="n">
        <v>21624.2188</v>
      </c>
      <c r="J75" s="262" t="n">
        <v>24888.13305</v>
      </c>
      <c r="K75" s="262" t="n">
        <v>33334.3691</v>
      </c>
      <c r="L75" s="262" t="n">
        <v>40337.14643</v>
      </c>
      <c r="N75" s="262" t="n">
        <v>35179.64471</v>
      </c>
      <c r="O75" s="262" t="n">
        <v>138754</v>
      </c>
      <c r="P75" s="262" t="n">
        <v>64769</v>
      </c>
      <c r="Q75" s="262" t="n">
        <v>31097</v>
      </c>
      <c r="S75" s="262" t="n">
        <v>95328</v>
      </c>
      <c r="T75" s="262" t="n">
        <v>15876</v>
      </c>
      <c r="U75" s="262" t="n">
        <v>37072</v>
      </c>
      <c r="V75" s="262" t="n">
        <v>42573</v>
      </c>
      <c r="X75" s="262" t="n">
        <v>66129.012</v>
      </c>
      <c r="Y75" s="262" t="n">
        <v>63519</v>
      </c>
      <c r="Z75" s="262" t="n">
        <v>65391</v>
      </c>
      <c r="AA75" s="262" t="n">
        <v>79339</v>
      </c>
      <c r="AC75" s="262" t="n">
        <v>43467</v>
      </c>
      <c r="AD75" s="262" t="n">
        <v>68124</v>
      </c>
    </row>
    <row r="76">
      <c r="A76" t="inlineStr">
        <is>
          <t>Fleury BP: [nao existe] | Combinada BP: Partes Relacionadas (l.62) [0 em 1Q20..1Q23 (13 per.): linha inexistente/vazia na fonte; total divulgado confirma] · fonte · unid. moeda</t>
        </is>
      </c>
      <c r="B76" t="n">
        <v>26</v>
      </c>
      <c r="C76" t="inlineStr">
        <is>
          <t>Other current liabilities (non-debt)</t>
        </is>
      </c>
      <c r="D76" s="262" t="n">
        <v>0</v>
      </c>
      <c r="E76" s="262" t="n">
        <v>0</v>
      </c>
      <c r="F76" s="262" t="n">
        <v>0</v>
      </c>
      <c r="G76" s="262" t="n">
        <v>0</v>
      </c>
      <c r="I76" s="262" t="n">
        <v>0</v>
      </c>
      <c r="J76" s="262" t="n">
        <v>0</v>
      </c>
      <c r="K76" s="262" t="n">
        <v>0</v>
      </c>
      <c r="L76" s="262" t="n">
        <v>0</v>
      </c>
      <c r="N76" s="262" t="n">
        <v>0</v>
      </c>
      <c r="O76" s="262" t="n">
        <v>0</v>
      </c>
      <c r="P76" s="262" t="n">
        <v>0</v>
      </c>
      <c r="Q76" s="262" t="n">
        <v>0</v>
      </c>
      <c r="S76" s="262" t="n">
        <v>0</v>
      </c>
      <c r="T76" s="262" t="n">
        <v>0</v>
      </c>
      <c r="U76" s="262" t="n">
        <v>0</v>
      </c>
      <c r="V76" s="262" t="n">
        <v>0</v>
      </c>
      <c r="X76" s="262" t="n">
        <v>0</v>
      </c>
      <c r="Y76" s="262" t="n">
        <v>0</v>
      </c>
      <c r="Z76" s="262" t="n">
        <v>0</v>
      </c>
      <c r="AA76" s="262" t="n">
        <v>0</v>
      </c>
      <c r="AC76" s="262" t="n">
        <v>0</v>
      </c>
      <c r="AD76" s="262" t="n">
        <v>0</v>
      </c>
    </row>
    <row r="77">
      <c r="A77" t="inlineStr">
        <is>
          <t>Fleury BP: Outras Contas a Pagar (l.61) | Combinada BP: Outras Contas a Pagar PC (l.63) · fonte · unid. moeda</t>
        </is>
      </c>
      <c r="B77" t="n">
        <v>26</v>
      </c>
      <c r="C77" t="inlineStr">
        <is>
          <t>Other current liabilities (non-debt)</t>
        </is>
      </c>
      <c r="D77" s="262" t="n">
        <v>163353.84655</v>
      </c>
      <c r="E77" s="262" t="n">
        <v>7302.83404</v>
      </c>
      <c r="F77" s="262" t="n">
        <v>7730.60675</v>
      </c>
      <c r="G77" s="262" t="n">
        <v>7196</v>
      </c>
      <c r="I77" s="262" t="n">
        <v>238290.06806</v>
      </c>
      <c r="J77" s="262" t="n">
        <v>15991.34587</v>
      </c>
      <c r="K77" s="262" t="n">
        <v>16816.2409</v>
      </c>
      <c r="L77" s="262" t="n">
        <v>18187.73241</v>
      </c>
      <c r="N77" s="262" t="n">
        <v>25019.03984</v>
      </c>
      <c r="O77" s="262" t="n">
        <v>28408</v>
      </c>
      <c r="P77" s="262" t="n">
        <v>26957</v>
      </c>
      <c r="Q77" s="262" t="n">
        <v>34616</v>
      </c>
      <c r="S77" s="262" t="n">
        <v>20985</v>
      </c>
      <c r="T77" s="262" t="n">
        <v>26325</v>
      </c>
      <c r="U77" s="262" t="n">
        <v>21852</v>
      </c>
      <c r="V77" s="262" t="n">
        <v>17655</v>
      </c>
      <c r="X77" s="262" t="n">
        <v>21511</v>
      </c>
      <c r="Y77" s="262" t="n">
        <v>25410</v>
      </c>
      <c r="Z77" s="262" t="n">
        <v>38516</v>
      </c>
      <c r="AA77" s="262" t="n">
        <v>18375</v>
      </c>
      <c r="AC77" s="262" t="n">
        <v>22476</v>
      </c>
      <c r="AD77" s="262" t="n">
        <v>20744</v>
      </c>
    </row>
    <row r="78">
      <c r="A78" t="inlineStr">
        <is>
          <t>Fleury BP: Empréstimos e Financiamentos (l.65) | Combinada BP: Empréstimos e Financiamentos PNC (l.67) · fonte · unid. moeda</t>
        </is>
      </c>
      <c r="B78" t="n">
        <v>30</v>
      </c>
      <c r="C78" t="inlineStr">
        <is>
          <t>Long term debt</t>
        </is>
      </c>
      <c r="D78" s="262" t="n">
        <v>1275306.32972</v>
      </c>
      <c r="E78" s="262" t="n">
        <v>906945.4151700001</v>
      </c>
      <c r="F78" s="262" t="n">
        <v>1899452.2545</v>
      </c>
      <c r="G78" s="262" t="n">
        <v>1749380.06419</v>
      </c>
      <c r="I78" s="262" t="n">
        <v>1749307.87365</v>
      </c>
      <c r="J78" s="262" t="n">
        <v>2198942.45932</v>
      </c>
      <c r="K78" s="262" t="n">
        <v>2198909.55949</v>
      </c>
      <c r="L78" s="262" t="n">
        <v>2198916.76294</v>
      </c>
      <c r="N78" s="262" t="n">
        <v>2199004.17427</v>
      </c>
      <c r="O78" s="262" t="n">
        <v>287</v>
      </c>
      <c r="P78" s="262" t="n">
        <v>2612</v>
      </c>
      <c r="Q78" s="262" t="n">
        <v>2421</v>
      </c>
      <c r="S78" s="262" t="n">
        <v>2230</v>
      </c>
      <c r="T78" s="262" t="n">
        <v>2039</v>
      </c>
      <c r="U78" s="262" t="n">
        <v>1848</v>
      </c>
      <c r="V78" s="262" t="n">
        <v>1657</v>
      </c>
      <c r="X78" s="262" t="n">
        <v>1466</v>
      </c>
      <c r="Y78" s="262" t="n">
        <v>1274</v>
      </c>
      <c r="Z78" s="262" t="n">
        <v>1083</v>
      </c>
      <c r="AA78" s="262" t="n">
        <v>892</v>
      </c>
      <c r="AC78" s="262" t="n">
        <v>701</v>
      </c>
      <c r="AD78" s="262" t="n">
        <v>510</v>
      </c>
    </row>
    <row r="79">
      <c r="A79" t="inlineStr">
        <is>
          <t>Fleury BP: [nao existe] | Combinada BP: Debêntures PNC (l.68) [0 em 1Q20..1Q23 (13 per.): linha inexistente/vazia na fonte; total divulgado confirma] · fonte · unid. moeda</t>
        </is>
      </c>
      <c r="B79" t="n">
        <v>30</v>
      </c>
      <c r="C79" t="inlineStr">
        <is>
          <t>Long term debt</t>
        </is>
      </c>
      <c r="D79" s="262" t="n">
        <v>0</v>
      </c>
      <c r="E79" s="262" t="n">
        <v>0</v>
      </c>
      <c r="F79" s="262" t="n">
        <v>0</v>
      </c>
      <c r="G79" s="262" t="n">
        <v>0</v>
      </c>
      <c r="I79" s="262" t="n">
        <v>0</v>
      </c>
      <c r="J79" s="262" t="n">
        <v>0</v>
      </c>
      <c r="K79" s="262" t="n">
        <v>0</v>
      </c>
      <c r="L79" s="262" t="n">
        <v>0</v>
      </c>
      <c r="N79" s="262" t="n">
        <v>0</v>
      </c>
      <c r="O79" s="262" t="n">
        <v>2199092</v>
      </c>
      <c r="P79" s="262" t="n">
        <v>2199179</v>
      </c>
      <c r="Q79" s="262" t="n">
        <v>2499057</v>
      </c>
      <c r="S79" s="262" t="n">
        <v>2499144</v>
      </c>
      <c r="T79" s="262" t="n">
        <v>3497881</v>
      </c>
      <c r="U79" s="262" t="n">
        <v>3247972</v>
      </c>
      <c r="V79" s="262" t="n">
        <v>3896657</v>
      </c>
      <c r="X79" s="262" t="n">
        <v>3896906.699</v>
      </c>
      <c r="Y79" s="262" t="n">
        <v>3897096</v>
      </c>
      <c r="Z79" s="262" t="n">
        <v>3897285</v>
      </c>
      <c r="AA79" s="262" t="n">
        <v>3797474</v>
      </c>
      <c r="AC79" s="262" t="n">
        <v>3797664</v>
      </c>
      <c r="AD79" s="262" t="n">
        <v>3447853</v>
      </c>
    </row>
    <row r="80">
      <c r="A80" t="inlineStr">
        <is>
          <t>Fleury BP: Arrendamento Financeiro Mercantil (l.66) | Combinada BP: Arrendamento Financeiro Mercantil PNC (l.69) · fonte · unid. moeda</t>
        </is>
      </c>
      <c r="B80" t="n">
        <v>31</v>
      </c>
      <c r="C80" t="inlineStr">
        <is>
          <t>Long term operating leases</t>
        </is>
      </c>
      <c r="D80" s="262" t="n">
        <v>653307.56924</v>
      </c>
      <c r="E80" s="262" t="n">
        <v>637702.99012</v>
      </c>
      <c r="F80" s="262" t="n">
        <v>660674.97517</v>
      </c>
      <c r="G80" s="262" t="n">
        <v>694574.60451</v>
      </c>
      <c r="I80" s="262" t="n">
        <v>731443.14163</v>
      </c>
      <c r="J80" s="262" t="n">
        <v>754215.63203</v>
      </c>
      <c r="K80" s="262" t="n">
        <v>735363.89905</v>
      </c>
      <c r="L80" s="262" t="n">
        <v>943348.29983</v>
      </c>
      <c r="N80" s="262" t="n">
        <v>928191.54368</v>
      </c>
      <c r="O80" s="262" t="n">
        <v>1191850</v>
      </c>
      <c r="P80" s="262" t="n">
        <v>1167495</v>
      </c>
      <c r="Q80" s="262" t="n">
        <v>1159409</v>
      </c>
      <c r="S80" s="262" t="n">
        <v>1112521</v>
      </c>
      <c r="T80" s="262" t="n">
        <v>1061775</v>
      </c>
      <c r="U80" s="262" t="n">
        <v>1015306</v>
      </c>
      <c r="V80" s="262" t="n">
        <v>995637</v>
      </c>
      <c r="X80" s="262" t="n">
        <v>977075</v>
      </c>
      <c r="Y80" s="262" t="n">
        <v>936924</v>
      </c>
      <c r="Z80" s="262" t="n">
        <v>935366</v>
      </c>
      <c r="AA80" s="262" t="n">
        <v>922242</v>
      </c>
      <c r="AC80" s="262" t="n">
        <v>910562</v>
      </c>
      <c r="AD80" s="262" t="n">
        <v>1041536</v>
      </c>
    </row>
    <row r="81">
      <c r="A81" t="inlineStr">
        <is>
          <t>Fleury BP: Instrumentos Financeiros Derivativos (l.67) | Combinada BP: Instrumentos Financeiros Derivativos PNC (l.70) · fonte · unid. moeda</t>
        </is>
      </c>
      <c r="B81" t="n">
        <v>34</v>
      </c>
      <c r="C81" t="inlineStr">
        <is>
          <t>Other non-current liabilities</t>
        </is>
      </c>
      <c r="D81" s="262" t="n">
        <v>0</v>
      </c>
      <c r="E81" s="262" t="n">
        <v>0</v>
      </c>
      <c r="F81" s="262" t="n">
        <v>0</v>
      </c>
      <c r="G81" s="262" t="n">
        <v>0</v>
      </c>
      <c r="I81" s="262" t="n">
        <v>0</v>
      </c>
      <c r="J81" s="262" t="n">
        <v>0</v>
      </c>
      <c r="K81" s="262" t="n">
        <v>0</v>
      </c>
      <c r="L81" s="262" t="n">
        <v>0</v>
      </c>
      <c r="N81" s="262" t="n">
        <v>0</v>
      </c>
      <c r="O81" s="262" t="n">
        <v>0</v>
      </c>
      <c r="P81" s="262" t="n">
        <v>0</v>
      </c>
      <c r="Q81" s="262" t="n">
        <v>0</v>
      </c>
      <c r="S81" s="262" t="n">
        <v>0</v>
      </c>
      <c r="T81" s="262" t="n">
        <v>0</v>
      </c>
      <c r="U81" s="262" t="n">
        <v>0</v>
      </c>
      <c r="V81" s="262" t="n">
        <v>0</v>
      </c>
      <c r="X81" s="262" t="n">
        <v>0</v>
      </c>
      <c r="Y81" s="262" t="n">
        <v>0</v>
      </c>
      <c r="Z81" s="262" t="n">
        <v>0</v>
      </c>
      <c r="AA81" s="262" t="n">
        <v>0</v>
      </c>
      <c r="AC81" s="262" t="n">
        <v>0</v>
      </c>
      <c r="AD81" s="262" t="n">
        <v>0</v>
      </c>
    </row>
    <row r="82">
      <c r="A82" t="inlineStr">
        <is>
          <t>Fleury BP: Imposto de Renda e Contribuição Social Diferidos (l.68) | Combinada BP: Imposto de Renda e Contribuição Social Diferidos PNC (l.71) · fonte · unid. moeda</t>
        </is>
      </c>
      <c r="B82" t="n">
        <v>33</v>
      </c>
      <c r="C82" t="inlineStr">
        <is>
          <t>Deferred income taxes</t>
        </is>
      </c>
      <c r="D82" s="262" t="n">
        <v>467165.84292</v>
      </c>
      <c r="E82" s="262" t="n">
        <v>466675.50792</v>
      </c>
      <c r="F82" s="262" t="n">
        <v>465940.36794</v>
      </c>
      <c r="G82" s="262" t="n">
        <v>397561</v>
      </c>
      <c r="I82" s="262" t="n">
        <v>410477.74333</v>
      </c>
      <c r="J82" s="262" t="n">
        <v>508204.10198</v>
      </c>
      <c r="K82" s="262" t="n">
        <v>510904.11053</v>
      </c>
      <c r="L82" s="262" t="n">
        <v>397589.12424</v>
      </c>
      <c r="N82" s="262" t="n">
        <v>403139.35572</v>
      </c>
      <c r="O82" s="262" t="n">
        <v>570569</v>
      </c>
      <c r="P82" s="262" t="n">
        <v>549898</v>
      </c>
      <c r="Q82" s="262" t="n">
        <v>580533</v>
      </c>
      <c r="S82" s="262" t="n">
        <v>576753</v>
      </c>
      <c r="T82" s="262" t="n">
        <v>551446</v>
      </c>
      <c r="U82" s="262" t="n">
        <v>581485</v>
      </c>
      <c r="V82" s="262" t="n">
        <v>571796</v>
      </c>
      <c r="X82" s="262" t="n">
        <v>580326.605</v>
      </c>
      <c r="Y82" s="262" t="n">
        <v>525619</v>
      </c>
      <c r="Z82" s="262" t="n">
        <v>543129</v>
      </c>
      <c r="AA82" s="262" t="n">
        <v>557540</v>
      </c>
      <c r="AC82" s="262" t="n">
        <v>555293</v>
      </c>
      <c r="AD82" s="262" t="n">
        <v>527353</v>
      </c>
    </row>
    <row r="83">
      <c r="A83" t="inlineStr">
        <is>
          <t>Fleury BP: [nao existe] | Combinada BP: Provisão para riscos tributários, trabalhstas e cíveis (l.72) [0 em 1Q20..1Q23 (13 per.): linha inexistente/vazia na fonte; total divulgado confirma] · fonte · unid. moeda</t>
        </is>
      </c>
      <c r="B83" t="n">
        <v>34</v>
      </c>
      <c r="C83" t="inlineStr">
        <is>
          <t>Other non-current liabilities</t>
        </is>
      </c>
      <c r="D83" s="262" t="n">
        <v>0</v>
      </c>
      <c r="E83" s="262" t="n">
        <v>0</v>
      </c>
      <c r="F83" s="262" t="n">
        <v>0</v>
      </c>
      <c r="G83" s="262" t="n">
        <v>0</v>
      </c>
      <c r="I83" s="262" t="n">
        <v>0</v>
      </c>
      <c r="J83" s="262" t="n">
        <v>0</v>
      </c>
      <c r="K83" s="262" t="n">
        <v>0</v>
      </c>
      <c r="L83" s="262" t="n">
        <v>0</v>
      </c>
      <c r="N83" s="262" t="n">
        <v>0</v>
      </c>
      <c r="O83" s="262" t="n">
        <v>109665</v>
      </c>
      <c r="P83" s="262" t="n">
        <v>115045</v>
      </c>
      <c r="Q83" s="262" t="n">
        <v>161339</v>
      </c>
      <c r="S83" s="262" t="n">
        <v>167652</v>
      </c>
      <c r="T83" s="262" t="n">
        <v>167701</v>
      </c>
      <c r="U83" s="262" t="n">
        <v>177706</v>
      </c>
      <c r="V83" s="262" t="n">
        <v>176249</v>
      </c>
      <c r="X83" s="262" t="n">
        <v>171745.768</v>
      </c>
      <c r="Y83" s="262" t="n">
        <v>174042</v>
      </c>
      <c r="Z83" s="262" t="n">
        <v>184821</v>
      </c>
      <c r="AA83" s="262" t="n">
        <v>180504</v>
      </c>
      <c r="AC83" s="262" t="n">
        <v>174320</v>
      </c>
      <c r="AD83" s="262" t="n">
        <v>168203</v>
      </c>
    </row>
    <row r="84">
      <c r="A84" t="inlineStr">
        <is>
          <t>Fleury BP: [nao existe] | Combinada BP: Parcelamentos tributários (l.73) [0 em 1Q20..1Q23 (13 per.): linha inexistente/vazia na fonte; total divulgado confirma] · fonte · unid. moeda</t>
        </is>
      </c>
      <c r="B84" t="n">
        <v>34</v>
      </c>
      <c r="C84" t="inlineStr">
        <is>
          <t>Other non-current liabilities</t>
        </is>
      </c>
      <c r="D84" s="262" t="n">
        <v>0</v>
      </c>
      <c r="E84" s="262" t="n">
        <v>0</v>
      </c>
      <c r="F84" s="262" t="n">
        <v>0</v>
      </c>
      <c r="G84" s="262" t="n">
        <v>0</v>
      </c>
      <c r="I84" s="262" t="n">
        <v>0</v>
      </c>
      <c r="J84" s="262" t="n">
        <v>0</v>
      </c>
      <c r="K84" s="262" t="n">
        <v>0</v>
      </c>
      <c r="L84" s="262" t="n">
        <v>0</v>
      </c>
      <c r="N84" s="262" t="n">
        <v>0</v>
      </c>
      <c r="O84" s="262" t="n">
        <v>15466</v>
      </c>
      <c r="P84" s="262" t="n">
        <v>13619</v>
      </c>
      <c r="Q84" s="262" t="n">
        <v>12929</v>
      </c>
      <c r="S84" s="262" t="n">
        <v>11749</v>
      </c>
      <c r="T84" s="262" t="n">
        <v>3594</v>
      </c>
      <c r="U84" s="262" t="n">
        <v>2235</v>
      </c>
      <c r="V84" s="262" t="n">
        <v>960</v>
      </c>
      <c r="X84" s="262" t="n">
        <v>0.00019</v>
      </c>
      <c r="Y84" s="262" t="n">
        <v>0</v>
      </c>
      <c r="Z84" s="262" t="n">
        <v>850</v>
      </c>
      <c r="AA84" s="262" t="n">
        <v>850</v>
      </c>
      <c r="AC84" s="262" t="n">
        <v>850</v>
      </c>
      <c r="AD84" s="262" t="n">
        <v>550</v>
      </c>
    </row>
    <row r="85">
      <c r="A85" t="inlineStr">
        <is>
          <t>Fleury BP: Provisão para Perdas em Investimentos (l.69) | Combinada BP: Provisão para Perdas em Investimentos PNC (l.74) · fonte · unid. moeda</t>
        </is>
      </c>
      <c r="B85" t="n">
        <v>34</v>
      </c>
      <c r="C85" t="inlineStr">
        <is>
          <t>Other non-current liabilities</t>
        </is>
      </c>
      <c r="D85" s="262" t="n">
        <v>0</v>
      </c>
      <c r="E85" s="262" t="n">
        <v>0</v>
      </c>
      <c r="F85" s="262" t="n">
        <v>0</v>
      </c>
      <c r="G85" s="262" t="n">
        <v>0</v>
      </c>
      <c r="I85" s="262" t="n">
        <v>0</v>
      </c>
      <c r="J85" s="262" t="n">
        <v>0</v>
      </c>
      <c r="K85" s="262" t="n">
        <v>0</v>
      </c>
      <c r="L85" s="262" t="n">
        <v>0</v>
      </c>
      <c r="N85" s="262" t="n">
        <v>0</v>
      </c>
      <c r="O85" s="262" t="n">
        <v>0</v>
      </c>
      <c r="P85" s="262" t="n">
        <v>0</v>
      </c>
      <c r="Q85" s="262" t="n">
        <v>0</v>
      </c>
      <c r="S85" s="262" t="n">
        <v>0</v>
      </c>
      <c r="T85" s="262" t="n">
        <v>0</v>
      </c>
      <c r="U85" s="262" t="n">
        <v>0</v>
      </c>
      <c r="V85" s="262" t="n">
        <v>0</v>
      </c>
      <c r="X85" s="262" t="n">
        <v>0</v>
      </c>
      <c r="Y85" s="262" t="n">
        <v>0</v>
      </c>
      <c r="Z85" s="262" t="n">
        <v>0</v>
      </c>
      <c r="AA85" s="262" t="n">
        <v>0</v>
      </c>
      <c r="AC85" s="262" t="n">
        <v>0</v>
      </c>
      <c r="AD85" s="262" t="n">
        <v>0</v>
      </c>
    </row>
    <row r="86">
      <c r="A86" t="inlineStr">
        <is>
          <t>Fleury BP: Provisão para Contingências (l.70) | Combinada BP: Provisão para Contingências PNC (l.75) · fonte · unid. moeda</t>
        </is>
      </c>
      <c r="B86" t="n">
        <v>34</v>
      </c>
      <c r="C86" t="inlineStr">
        <is>
          <t>Other non-current liabilities</t>
        </is>
      </c>
      <c r="D86" s="262" t="n">
        <v>41761.59682</v>
      </c>
      <c r="E86" s="262" t="n">
        <v>34240.47782</v>
      </c>
      <c r="F86" s="262" t="n">
        <v>37095.10299</v>
      </c>
      <c r="G86" s="262" t="n">
        <v>36196.39398</v>
      </c>
      <c r="I86" s="262" t="n">
        <v>37118.80782</v>
      </c>
      <c r="J86" s="262" t="n">
        <v>34508.83943</v>
      </c>
      <c r="K86" s="262" t="n">
        <v>31753.93463</v>
      </c>
      <c r="L86" s="262" t="n">
        <v>29086.9152</v>
      </c>
      <c r="N86" s="262" t="n">
        <v>27401.2128</v>
      </c>
      <c r="O86" s="262" t="n">
        <v>0</v>
      </c>
      <c r="P86" s="262" t="n">
        <v>0</v>
      </c>
      <c r="Q86" s="262" t="n">
        <v>0</v>
      </c>
      <c r="S86" s="262" t="n">
        <v>0</v>
      </c>
      <c r="T86" s="262" t="n">
        <v>0</v>
      </c>
      <c r="U86" s="262" t="n">
        <v>0</v>
      </c>
      <c r="V86" s="262" t="n">
        <v>0</v>
      </c>
      <c r="X86" s="262" t="n">
        <v>0</v>
      </c>
      <c r="Y86" s="262" t="n">
        <v>0</v>
      </c>
      <c r="Z86" s="262" t="n">
        <v>0</v>
      </c>
      <c r="AA86" s="262" t="n">
        <v>0</v>
      </c>
      <c r="AC86" s="262" t="n">
        <v>0</v>
      </c>
      <c r="AD86" s="262" t="n">
        <v>0</v>
      </c>
    </row>
    <row r="87">
      <c r="A87" t="inlineStr">
        <is>
          <t>Fleury BP: Impostos e Contribuições a Recolher (l.71) | Combinada BP: Impostos e Contribuições a Recolher PNC (l.76) · fonte · unid. moeda</t>
        </is>
      </c>
      <c r="B87" t="n">
        <v>34</v>
      </c>
      <c r="C87" t="inlineStr">
        <is>
          <t>Other non-current liabilities</t>
        </is>
      </c>
      <c r="D87" s="262" t="n">
        <v>14229.83693</v>
      </c>
      <c r="E87" s="262" t="n">
        <v>14273.74772</v>
      </c>
      <c r="F87" s="262" t="n">
        <v>15329.68637</v>
      </c>
      <c r="G87" s="262" t="n">
        <v>13197.46827</v>
      </c>
      <c r="I87" s="262" t="n">
        <v>10528.30524</v>
      </c>
      <c r="J87" s="262" t="n">
        <v>11883.98585</v>
      </c>
      <c r="K87" s="262" t="n">
        <v>8071.87964</v>
      </c>
      <c r="L87" s="262" t="n">
        <v>8707.59719</v>
      </c>
      <c r="N87" s="262" t="n">
        <v>6440.94581</v>
      </c>
      <c r="O87" s="262" t="n">
        <v>0</v>
      </c>
      <c r="P87" s="262" t="n">
        <v>0</v>
      </c>
      <c r="Q87" s="262" t="n">
        <v>0</v>
      </c>
      <c r="S87" s="262" t="n">
        <v>0</v>
      </c>
      <c r="T87" s="262" t="n">
        <v>0</v>
      </c>
      <c r="U87" s="262" t="n">
        <v>0</v>
      </c>
      <c r="V87" s="262" t="n">
        <v>0</v>
      </c>
      <c r="X87" s="262" t="n">
        <v>0</v>
      </c>
      <c r="Y87" s="262" t="n">
        <v>0</v>
      </c>
      <c r="Z87" s="262" t="n">
        <v>0</v>
      </c>
      <c r="AA87" s="262" t="n">
        <v>0</v>
      </c>
      <c r="AC87" s="262" t="n">
        <v>0</v>
      </c>
      <c r="AD87" s="262" t="n">
        <v>0</v>
      </c>
    </row>
    <row r="88">
      <c r="A88" t="inlineStr">
        <is>
          <t>Fleury BP: Partes Relacionadas (l.72) | Combinada BP: Partes Relacionadas PNC (l.77) · fonte · unid. moeda</t>
        </is>
      </c>
      <c r="B88" t="n">
        <v>34</v>
      </c>
      <c r="C88" t="inlineStr">
        <is>
          <t>Other non-current liabilities</t>
        </is>
      </c>
      <c r="D88" s="262" t="n">
        <v>0</v>
      </c>
      <c r="E88" s="262" t="n">
        <v>0</v>
      </c>
      <c r="F88" s="262" t="n">
        <v>0</v>
      </c>
      <c r="G88" s="262" t="n">
        <v>0</v>
      </c>
      <c r="I88" s="262" t="n">
        <v>0</v>
      </c>
      <c r="J88" s="262" t="n">
        <v>0</v>
      </c>
      <c r="K88" s="262" t="n">
        <v>0</v>
      </c>
      <c r="L88" s="262" t="n">
        <v>0</v>
      </c>
      <c r="N88" s="262" t="n">
        <v>0</v>
      </c>
      <c r="O88" s="262" t="n">
        <v>0</v>
      </c>
      <c r="P88" s="262" t="n">
        <v>0</v>
      </c>
      <c r="Q88" s="262" t="n">
        <v>0</v>
      </c>
      <c r="S88" s="262" t="n">
        <v>0</v>
      </c>
      <c r="T88" s="262" t="n">
        <v>0</v>
      </c>
      <c r="U88" s="262" t="n">
        <v>0</v>
      </c>
      <c r="V88" s="262" t="n">
        <v>0</v>
      </c>
      <c r="X88" s="262" t="n">
        <v>0</v>
      </c>
      <c r="Y88" s="262" t="n">
        <v>0</v>
      </c>
      <c r="Z88" s="262" t="n">
        <v>0</v>
      </c>
      <c r="AA88" s="262" t="n">
        <v>0</v>
      </c>
      <c r="AC88" s="262" t="n">
        <v>0</v>
      </c>
      <c r="AD88" s="262" t="n">
        <v>0</v>
      </c>
    </row>
    <row r="89">
      <c r="A89" t="inlineStr">
        <is>
          <t>Fleury BP: Contas a Pagar - Aquisição de Empresas (l.73) | Combinada BP: Contas a Pagar - Aquisição de Empresas PNC (l.78) -&gt; cod 30 (divida, como no release: divida bruta inclui aquisicoes) · fonte · unid. moeda</t>
        </is>
      </c>
      <c r="B89" t="n">
        <v>30</v>
      </c>
      <c r="C89" t="inlineStr">
        <is>
          <t>Long term debt</t>
        </is>
      </c>
      <c r="D89" s="262" t="n">
        <v>75778.46891</v>
      </c>
      <c r="E89" s="262" t="n">
        <v>102405.22383</v>
      </c>
      <c r="F89" s="262" t="n">
        <v>118541.26399</v>
      </c>
      <c r="G89" s="262" t="n">
        <v>118693.35449</v>
      </c>
      <c r="I89" s="262" t="n">
        <v>112602.92761</v>
      </c>
      <c r="J89" s="262" t="n">
        <v>172471.59742</v>
      </c>
      <c r="K89" s="262" t="n">
        <v>173818.76173</v>
      </c>
      <c r="L89" s="262" t="n">
        <v>276326.07295</v>
      </c>
      <c r="N89" s="262" t="n">
        <v>253940.85754</v>
      </c>
      <c r="O89" s="262" t="n">
        <v>319414</v>
      </c>
      <c r="P89" s="262" t="n">
        <v>375171</v>
      </c>
      <c r="Q89" s="262" t="n">
        <v>366576</v>
      </c>
      <c r="S89" s="262" t="n">
        <v>318283</v>
      </c>
      <c r="T89" s="262" t="n">
        <v>312188</v>
      </c>
      <c r="U89" s="262" t="n">
        <v>305730</v>
      </c>
      <c r="V89" s="262" t="n">
        <v>301810</v>
      </c>
      <c r="X89" s="262" t="n">
        <v>288368</v>
      </c>
      <c r="Y89" s="262" t="n">
        <v>324020</v>
      </c>
      <c r="Z89" s="262" t="n">
        <v>337917</v>
      </c>
      <c r="AA89" s="262" t="n">
        <v>348031</v>
      </c>
      <c r="AC89" s="262" t="n">
        <v>361874</v>
      </c>
      <c r="AD89" s="262" t="n">
        <v>344139</v>
      </c>
    </row>
    <row r="90">
      <c r="A90" t="inlineStr">
        <is>
          <t>Fleury BP: Dividendos a Pagar (l.74) | Combinada BP: Dividendos a Pagar PNC (l.79) · fonte · unid. moeda</t>
        </is>
      </c>
      <c r="B90" t="n">
        <v>34</v>
      </c>
      <c r="C90" t="inlineStr">
        <is>
          <t>Other non-current liabilities</t>
        </is>
      </c>
      <c r="D90" s="262" t="n">
        <v>0</v>
      </c>
      <c r="E90" s="262" t="n">
        <v>0</v>
      </c>
      <c r="F90" s="262" t="n">
        <v>0</v>
      </c>
      <c r="G90" s="262" t="n">
        <v>0</v>
      </c>
      <c r="I90" s="262" t="n">
        <v>0</v>
      </c>
      <c r="J90" s="262" t="n">
        <v>0</v>
      </c>
      <c r="K90" s="262" t="n">
        <v>0</v>
      </c>
      <c r="L90" s="262" t="n">
        <v>0</v>
      </c>
      <c r="N90" s="262" t="n">
        <v>0</v>
      </c>
      <c r="O90" s="262" t="n">
        <v>0</v>
      </c>
      <c r="P90" s="262" t="n">
        <v>0</v>
      </c>
      <c r="Q90" s="262" t="n">
        <v>0</v>
      </c>
      <c r="S90" s="262" t="n">
        <v>0</v>
      </c>
      <c r="T90" s="262" t="n">
        <v>0</v>
      </c>
      <c r="U90" s="262" t="n">
        <v>0</v>
      </c>
      <c r="V90" s="262" t="n">
        <v>0</v>
      </c>
      <c r="X90" s="262" t="n">
        <v>0</v>
      </c>
      <c r="Y90" s="262" t="n">
        <v>0</v>
      </c>
      <c r="Z90" s="262" t="n">
        <v>0</v>
      </c>
      <c r="AA90" s="262" t="n">
        <v>71000</v>
      </c>
      <c r="AC90" s="262" t="n">
        <v>71000</v>
      </c>
      <c r="AD90" s="262" t="n">
        <v>71000</v>
      </c>
    </row>
    <row r="91">
      <c r="A91" t="inlineStr">
        <is>
          <t>Fleury BP: Outros (l.75) | Combinada BP: Outros PNC (l.80) · fonte · unid. moeda</t>
        </is>
      </c>
      <c r="B91" t="n">
        <v>34</v>
      </c>
      <c r="C91" t="inlineStr">
        <is>
          <t>Other non-current liabilities</t>
        </is>
      </c>
      <c r="D91" s="262" t="n">
        <v>4913.8853</v>
      </c>
      <c r="E91" s="262" t="n">
        <v>4206.3749</v>
      </c>
      <c r="F91" s="262" t="n">
        <v>3497.56698</v>
      </c>
      <c r="G91" s="262" t="n">
        <v>2812.43293</v>
      </c>
      <c r="I91" s="262" t="n">
        <v>2102.81193</v>
      </c>
      <c r="J91" s="262" t="n">
        <v>1376.27345</v>
      </c>
      <c r="K91" s="262" t="n">
        <v>656.28214</v>
      </c>
      <c r="L91" s="262" t="n">
        <v>2575.25456</v>
      </c>
      <c r="N91" s="262" t="n">
        <v>2575.91705</v>
      </c>
      <c r="O91" s="262" t="n">
        <v>2578</v>
      </c>
      <c r="P91" s="262" t="n">
        <v>0</v>
      </c>
      <c r="Q91" s="262" t="n">
        <v>18</v>
      </c>
      <c r="S91" s="262" t="n">
        <v>1.58127</v>
      </c>
      <c r="T91" s="262" t="n">
        <v>0</v>
      </c>
      <c r="U91" s="262" t="n">
        <v>0</v>
      </c>
      <c r="V91" s="262" t="n">
        <v>0</v>
      </c>
      <c r="X91" s="262" t="n">
        <v>0</v>
      </c>
      <c r="Y91" s="262" t="n">
        <v>0</v>
      </c>
      <c r="Z91" s="262" t="n">
        <v>2</v>
      </c>
      <c r="AA91" s="262" t="n">
        <v>0</v>
      </c>
      <c r="AC91" s="262" t="n">
        <v>0</v>
      </c>
      <c r="AD91" s="262" t="n">
        <v>0</v>
      </c>
    </row>
    <row r="92">
      <c r="A92" t="inlineStr">
        <is>
          <t>Fleury BP: Capital Social (l.80) | Combinada BP: Capital Social (l.85) · fonte · unid. moeda</t>
        </is>
      </c>
      <c r="B92" t="n">
        <v>37</v>
      </c>
      <c r="C92" t="inlineStr">
        <is>
          <t>Common Stock and APIC</t>
        </is>
      </c>
      <c r="D92" s="262" t="n">
        <v>1432201.93513</v>
      </c>
      <c r="E92" s="262" t="n">
        <v>1432201.93513</v>
      </c>
      <c r="F92" s="262" t="n">
        <v>1437252.71995</v>
      </c>
      <c r="G92" s="262" t="n">
        <v>1437252.71995</v>
      </c>
      <c r="I92" s="262" t="n">
        <v>1437252.71995</v>
      </c>
      <c r="J92" s="262" t="n">
        <v>1437252.71995</v>
      </c>
      <c r="K92" s="262" t="n">
        <v>1438948.52855</v>
      </c>
      <c r="L92" s="262" t="n">
        <v>1717221.96891</v>
      </c>
      <c r="N92" s="262" t="n">
        <v>1716902.30805</v>
      </c>
      <c r="O92" s="262" t="n">
        <v>2735982</v>
      </c>
      <c r="P92" s="262" t="n">
        <v>2736029</v>
      </c>
      <c r="Q92" s="262" t="n">
        <v>2736029</v>
      </c>
      <c r="S92" s="262" t="n">
        <v>2736029</v>
      </c>
      <c r="T92" s="262" t="n">
        <v>2736029.22626</v>
      </c>
      <c r="U92" s="262" t="n">
        <v>2736029</v>
      </c>
      <c r="V92" s="262" t="n">
        <v>2736029</v>
      </c>
      <c r="X92" s="262" t="n">
        <v>2736029.226</v>
      </c>
      <c r="Y92" s="262" t="n">
        <v>2736029</v>
      </c>
      <c r="Z92" s="262" t="n">
        <v>2736029</v>
      </c>
      <c r="AA92" s="262" t="n">
        <v>2736029</v>
      </c>
      <c r="AC92" s="262" t="n">
        <v>2736029</v>
      </c>
      <c r="AD92" s="262" t="n">
        <v>2736029</v>
      </c>
    </row>
    <row r="93">
      <c r="A93" t="inlineStr">
        <is>
          <t>Fleury BP: Reserva de Capital (l.81) | Combinada BP: Reserva de Capital (l.86) · fonte · unid. moeda</t>
        </is>
      </c>
      <c r="B93" t="n">
        <v>37</v>
      </c>
      <c r="C93" t="inlineStr">
        <is>
          <t>Common Stock and APIC</t>
        </is>
      </c>
      <c r="D93" s="262" t="n">
        <v>36505.92145</v>
      </c>
      <c r="E93" s="262" t="n">
        <v>36921.46973</v>
      </c>
      <c r="F93" s="262" t="n">
        <v>37245.11239</v>
      </c>
      <c r="G93" s="262" t="n">
        <v>37474.93202</v>
      </c>
      <c r="I93" s="262" t="n">
        <v>37855.08068</v>
      </c>
      <c r="J93" s="262" t="n">
        <v>37762.50491</v>
      </c>
      <c r="K93" s="262" t="n">
        <v>37906.29134</v>
      </c>
      <c r="L93" s="262" t="n">
        <v>603212.24623</v>
      </c>
      <c r="N93" s="262" t="n">
        <v>603250.09036</v>
      </c>
      <c r="O93" s="262" t="n">
        <v>1915374</v>
      </c>
      <c r="P93" s="262" t="n">
        <v>1915413</v>
      </c>
      <c r="Q93" s="262" t="n">
        <v>1915451</v>
      </c>
      <c r="S93" s="262" t="n">
        <v>1915489</v>
      </c>
      <c r="T93" s="262" t="n">
        <v>1915527.16932</v>
      </c>
      <c r="U93" s="262" t="n">
        <v>1915565</v>
      </c>
      <c r="V93" s="262" t="n">
        <v>1915603</v>
      </c>
      <c r="X93" s="262" t="n">
        <v>1915602.857</v>
      </c>
      <c r="Y93" s="262" t="n">
        <v>1915603</v>
      </c>
      <c r="Z93" s="262" t="n">
        <v>1915603</v>
      </c>
      <c r="AA93" s="262" t="n">
        <v>1915603</v>
      </c>
      <c r="AC93" s="262" t="n">
        <v>1915603</v>
      </c>
      <c r="AD93" s="262" t="n">
        <v>1928699</v>
      </c>
    </row>
    <row r="94">
      <c r="A94" t="inlineStr">
        <is>
          <t>Fleury BP: Reserva de Capital - Opções Outorgadas Reconhecidas (l.82) | Combinada BP: Reserva de Capital - Opções Outorgadas Reconhecidas (l.87) · fonte · unid. moeda</t>
        </is>
      </c>
      <c r="B94" t="n">
        <v>37</v>
      </c>
      <c r="C94" t="inlineStr">
        <is>
          <t>Common Stock and APIC</t>
        </is>
      </c>
      <c r="D94" s="262" t="n">
        <v>0</v>
      </c>
      <c r="E94" s="262" t="n">
        <v>0</v>
      </c>
      <c r="F94" s="262" t="n">
        <v>0</v>
      </c>
      <c r="G94" s="262" t="n">
        <v>0</v>
      </c>
      <c r="I94" s="262" t="n">
        <v>0</v>
      </c>
      <c r="J94" s="262" t="n">
        <v>0</v>
      </c>
      <c r="K94" s="262" t="n">
        <v>0</v>
      </c>
      <c r="L94" s="262" t="n">
        <v>0</v>
      </c>
      <c r="N94" s="262" t="n">
        <v>0</v>
      </c>
      <c r="O94" s="262" t="n">
        <v>0</v>
      </c>
      <c r="P94" s="262" t="n">
        <v>0</v>
      </c>
      <c r="Q94" s="262" t="n">
        <v>0</v>
      </c>
      <c r="S94" s="262" t="n">
        <v>0</v>
      </c>
      <c r="T94" s="262" t="n">
        <v>0</v>
      </c>
      <c r="U94" s="262" t="n">
        <v>0</v>
      </c>
      <c r="V94" s="262" t="n">
        <v>0</v>
      </c>
      <c r="X94" s="262" t="n">
        <v>0</v>
      </c>
      <c r="Y94" s="262" t="n">
        <v>0</v>
      </c>
      <c r="Z94" s="262" t="n">
        <v>0</v>
      </c>
      <c r="AA94" s="262" t="n">
        <v>0</v>
      </c>
      <c r="AC94" s="262" t="n">
        <v>0</v>
      </c>
      <c r="AD94" s="262" t="n">
        <v>0</v>
      </c>
    </row>
    <row r="95">
      <c r="A95" t="inlineStr">
        <is>
          <t>Fleury BP: Reserva de Reavaliação (l.83) | Combinada BP: Reserva de Reavaliação (l.88) · fonte · unid. moeda</t>
        </is>
      </c>
      <c r="B95" t="n">
        <v>40</v>
      </c>
      <c r="C95" t="inlineStr">
        <is>
          <t>Other equity account</t>
        </is>
      </c>
      <c r="D95" s="262" t="n">
        <v>0</v>
      </c>
      <c r="E95" s="262" t="n">
        <v>0</v>
      </c>
      <c r="F95" s="262" t="n">
        <v>0</v>
      </c>
      <c r="G95" s="262" t="n">
        <v>0</v>
      </c>
      <c r="I95" s="262" t="n">
        <v>0</v>
      </c>
      <c r="J95" s="262" t="n">
        <v>0</v>
      </c>
      <c r="K95" s="262" t="n">
        <v>0</v>
      </c>
      <c r="L95" s="262" t="n">
        <v>0</v>
      </c>
      <c r="N95" s="262" t="n">
        <v>0</v>
      </c>
      <c r="O95" s="262" t="n">
        <v>0</v>
      </c>
      <c r="P95" s="262" t="n">
        <v>0</v>
      </c>
      <c r="Q95" s="262" t="n">
        <v>0</v>
      </c>
      <c r="S95" s="262" t="n">
        <v>0</v>
      </c>
      <c r="T95" s="262" t="n">
        <v>0</v>
      </c>
      <c r="U95" s="262" t="n">
        <v>0</v>
      </c>
      <c r="V95" s="262" t="n">
        <v>0</v>
      </c>
      <c r="X95" s="262" t="n">
        <v>0</v>
      </c>
      <c r="Y95" s="262" t="n">
        <v>0</v>
      </c>
      <c r="Z95" s="262" t="n">
        <v>0</v>
      </c>
      <c r="AA95" s="262" t="n">
        <v>0</v>
      </c>
      <c r="AC95" s="262" t="n">
        <v>0</v>
      </c>
      <c r="AD95" s="262" t="n">
        <v>0</v>
      </c>
    </row>
    <row r="96">
      <c r="A96" t="inlineStr">
        <is>
          <t>Fleury BP: Reserva Legal (l.84) | Combinada BP: Reserva Legal (l.89) · fonte · unid. moeda</t>
        </is>
      </c>
      <c r="B96" t="n">
        <v>40</v>
      </c>
      <c r="C96" t="inlineStr">
        <is>
          <t>Other equity account</t>
        </is>
      </c>
      <c r="D96" s="262" t="n">
        <v>115724.52726</v>
      </c>
      <c r="E96" s="262" t="n">
        <v>115724.52726</v>
      </c>
      <c r="F96" s="262" t="n">
        <v>115724.52726</v>
      </c>
      <c r="G96" s="262" t="n">
        <v>133220.77499</v>
      </c>
      <c r="I96" s="262" t="n">
        <v>133220.77499</v>
      </c>
      <c r="J96" s="262" t="n">
        <v>133220.77499</v>
      </c>
      <c r="K96" s="262" t="n">
        <v>133220.77499</v>
      </c>
      <c r="L96" s="262" t="n">
        <v>148616.19521</v>
      </c>
      <c r="N96" s="262" t="n">
        <v>148616.19521</v>
      </c>
      <c r="O96" s="262" t="n">
        <v>148616</v>
      </c>
      <c r="P96" s="262" t="n">
        <v>148616</v>
      </c>
      <c r="Q96" s="262" t="n">
        <v>169804</v>
      </c>
      <c r="S96" s="262" t="n">
        <v>0</v>
      </c>
      <c r="T96" s="262" t="n">
        <v>0</v>
      </c>
      <c r="U96" s="262" t="n">
        <v>0</v>
      </c>
      <c r="V96" s="262" t="n">
        <v>0</v>
      </c>
      <c r="X96" s="262" t="n">
        <v>0</v>
      </c>
      <c r="Y96" s="262" t="n">
        <v>0</v>
      </c>
      <c r="Z96" s="262" t="n">
        <v>0</v>
      </c>
      <c r="AA96" s="262" t="n">
        <v>0</v>
      </c>
      <c r="AC96" s="262" t="n">
        <v>0</v>
      </c>
      <c r="AD96" s="262" t="n">
        <v>0</v>
      </c>
    </row>
    <row r="97">
      <c r="A97" t="inlineStr">
        <is>
          <t>Fleury BP: Reserva para Investimentos (l.85) | Combinada BP: Reserva para Investimentos (l.90) · fonte · unid. moeda</t>
        </is>
      </c>
      <c r="B97" t="n">
        <v>40</v>
      </c>
      <c r="C97" t="inlineStr">
        <is>
          <t>Other equity account</t>
        </is>
      </c>
      <c r="D97" s="262" t="n">
        <v>10174.05665</v>
      </c>
      <c r="E97" s="262" t="n">
        <v>10174.05665</v>
      </c>
      <c r="F97" s="262" t="n">
        <v>10174.05665</v>
      </c>
      <c r="G97" s="262" t="n">
        <v>10174.05665</v>
      </c>
      <c r="I97" s="262" t="n">
        <v>23004.14439</v>
      </c>
      <c r="J97" s="262" t="n">
        <v>23004.14439</v>
      </c>
      <c r="K97" s="262" t="n">
        <v>23004.14439</v>
      </c>
      <c r="L97" s="262" t="n">
        <v>45166.188187</v>
      </c>
      <c r="N97" s="262" t="n">
        <v>207618.70234</v>
      </c>
      <c r="O97" s="262" t="n">
        <v>37619</v>
      </c>
      <c r="P97" s="262" t="n">
        <v>37619</v>
      </c>
      <c r="Q97" s="262" t="n">
        <v>37619</v>
      </c>
      <c r="S97" s="262" t="n">
        <v>0</v>
      </c>
      <c r="T97" s="262" t="n">
        <v>0</v>
      </c>
      <c r="U97" s="262" t="n">
        <v>0</v>
      </c>
      <c r="V97" s="262" t="n">
        <v>0</v>
      </c>
      <c r="X97" s="262" t="n">
        <v>0</v>
      </c>
      <c r="Y97" s="262" t="n">
        <v>0</v>
      </c>
      <c r="Z97" s="262" t="n">
        <v>0</v>
      </c>
      <c r="AA97" s="262" t="n">
        <v>0</v>
      </c>
      <c r="AC97" s="262" t="n">
        <v>0</v>
      </c>
      <c r="AD97" s="262" t="n">
        <v>0</v>
      </c>
    </row>
    <row r="98">
      <c r="A98" t="inlineStr">
        <is>
          <t>Fleury BP: Lucros Acumulados (l.86) | Combinada BP: Lucros Acumulados (l.91) · fonte · unid. moeda</t>
        </is>
      </c>
      <c r="B98" t="n">
        <v>41</v>
      </c>
      <c r="C98" t="inlineStr">
        <is>
          <t>Retained earnings</t>
        </is>
      </c>
      <c r="D98" s="262" t="n">
        <v>121286.32605</v>
      </c>
      <c r="E98" s="262" t="n">
        <v>186820.95282</v>
      </c>
      <c r="F98" s="262" t="n">
        <v>239431.39772</v>
      </c>
      <c r="G98" s="262" t="n">
        <v>251995.89812</v>
      </c>
      <c r="I98" s="262" t="n">
        <v>135277.50577</v>
      </c>
      <c r="J98" s="262" t="n">
        <v>213056.5861</v>
      </c>
      <c r="K98" s="262" t="n">
        <v>301792.49417</v>
      </c>
      <c r="L98" s="262" t="n">
        <v>187291</v>
      </c>
      <c r="N98" s="262" t="n">
        <v>118689.01586</v>
      </c>
      <c r="O98" s="262" t="n">
        <v>24838</v>
      </c>
      <c r="P98" s="262" t="n">
        <v>24838</v>
      </c>
      <c r="Q98" s="262" t="n">
        <v>190126</v>
      </c>
      <c r="S98" s="262" t="n">
        <v>317013</v>
      </c>
      <c r="T98" s="262" t="n">
        <v>317013</v>
      </c>
      <c r="U98" s="262" t="n">
        <v>317013</v>
      </c>
      <c r="V98" s="262" t="n">
        <v>347820</v>
      </c>
      <c r="X98" s="262" t="n">
        <v>378628</v>
      </c>
      <c r="Y98" s="262" t="n">
        <v>378628</v>
      </c>
      <c r="Z98" s="262" t="n">
        <v>378628</v>
      </c>
      <c r="AA98" s="262" t="n">
        <v>332450</v>
      </c>
      <c r="AC98" s="262" t="n">
        <v>332450</v>
      </c>
      <c r="AD98" s="262" t="n">
        <v>332449</v>
      </c>
    </row>
    <row r="99">
      <c r="A99" t="inlineStr">
        <is>
          <t>Fleury BP: Dividendo Adicional Proposto (l.87) | Combinada BP: Dividendo Adicional Proposto (l.92) · fonte · unid. moeda</t>
        </is>
      </c>
      <c r="B99" t="n">
        <v>40</v>
      </c>
      <c r="C99" t="inlineStr">
        <is>
          <t>Other equity account</t>
        </is>
      </c>
      <c r="D99" s="262" t="n">
        <v>0</v>
      </c>
      <c r="E99" s="262" t="n">
        <v>0</v>
      </c>
      <c r="F99" s="262" t="n">
        <v>0</v>
      </c>
      <c r="G99" s="262" t="n">
        <v>0</v>
      </c>
      <c r="I99" s="262" t="n">
        <v>0</v>
      </c>
      <c r="J99" s="262" t="n">
        <v>0</v>
      </c>
      <c r="K99" s="262" t="n">
        <v>0</v>
      </c>
      <c r="L99" s="262" t="n">
        <v>0</v>
      </c>
      <c r="N99" s="262" t="n">
        <v>0</v>
      </c>
      <c r="O99" s="262" t="n">
        <v>0</v>
      </c>
      <c r="P99" s="262" t="n">
        <v>0</v>
      </c>
      <c r="Q99" s="262" t="n">
        <v>0</v>
      </c>
      <c r="S99" s="262" t="n">
        <v>0</v>
      </c>
      <c r="T99" s="262" t="n">
        <v>0</v>
      </c>
      <c r="U99" s="262" t="n">
        <v>0</v>
      </c>
      <c r="V99" s="262" t="n">
        <v>0</v>
      </c>
      <c r="X99" s="262" t="n">
        <v>0</v>
      </c>
      <c r="Y99" s="262" t="n">
        <v>0</v>
      </c>
      <c r="Z99" s="262" t="n">
        <v>0</v>
      </c>
      <c r="AA99" s="262" t="n">
        <v>0</v>
      </c>
      <c r="AC99" s="262" t="n">
        <v>0</v>
      </c>
      <c r="AD99" s="262" t="n">
        <v>0</v>
      </c>
    </row>
    <row r="100">
      <c r="A100" t="inlineStr">
        <is>
          <t>Fleury BP: [nao existe] | Combinada BP: Lucro do Período (l.93) [0 em 1Q20..1Q23 (13 per.): linha inexistente/vazia na fonte; total divulgado confirma] · fonte · unid. moeda</t>
        </is>
      </c>
      <c r="B100" t="n">
        <v>41</v>
      </c>
      <c r="C100" t="inlineStr">
        <is>
          <t>Retained earnings</t>
        </is>
      </c>
      <c r="D100" s="262" t="n">
        <v>0</v>
      </c>
      <c r="E100" s="262" t="n">
        <v>0</v>
      </c>
      <c r="F100" s="262" t="n">
        <v>0</v>
      </c>
      <c r="G100" s="262" t="n">
        <v>0</v>
      </c>
      <c r="I100" s="262" t="n">
        <v>0</v>
      </c>
      <c r="J100" s="262" t="n">
        <v>0</v>
      </c>
      <c r="K100" s="262" t="n">
        <v>0</v>
      </c>
      <c r="L100" s="262" t="n">
        <v>0</v>
      </c>
      <c r="N100" s="262" t="n">
        <v>0</v>
      </c>
      <c r="O100" s="262" t="n">
        <v>168280</v>
      </c>
      <c r="P100" s="262" t="n">
        <v>342478</v>
      </c>
      <c r="Q100" s="262" t="n">
        <v>0</v>
      </c>
      <c r="S100" s="262" t="n">
        <v>167959</v>
      </c>
      <c r="T100" s="262" t="n">
        <v>341545</v>
      </c>
      <c r="U100" s="262" t="n">
        <v>532250</v>
      </c>
      <c r="V100" s="262" t="n">
        <v>585366</v>
      </c>
      <c r="X100" s="262" t="n">
        <v>179286</v>
      </c>
      <c r="Y100" s="262" t="n">
        <v>331585</v>
      </c>
      <c r="Z100" s="262" t="n">
        <v>516502</v>
      </c>
      <c r="AA100" s="262" t="n">
        <v>0</v>
      </c>
      <c r="AC100" s="262" t="n">
        <v>201212</v>
      </c>
      <c r="AD100" s="262" t="n">
        <v>423062</v>
      </c>
    </row>
    <row r="101">
      <c r="A101" t="inlineStr">
        <is>
          <t>Fleury BP: [nao existe] | Combinada BP: Ajustes de avaliação patrimonial (l.94) [0 em 1Q20..1Q23 (13 per.): linha inexistente/vazia na fonte; total divulgado confirma] · fonte · unid. moeda</t>
        </is>
      </c>
      <c r="B101" t="n">
        <v>39</v>
      </c>
      <c r="C101" t="inlineStr">
        <is>
          <t>Comprehensive (accumulated) loss</t>
        </is>
      </c>
      <c r="D101" s="262" t="n">
        <v>0</v>
      </c>
      <c r="E101" s="262" t="n">
        <v>0</v>
      </c>
      <c r="F101" s="262" t="n">
        <v>0</v>
      </c>
      <c r="G101" s="262" t="n">
        <v>0</v>
      </c>
      <c r="I101" s="262" t="n">
        <v>0</v>
      </c>
      <c r="J101" s="262" t="n">
        <v>0</v>
      </c>
      <c r="K101" s="262" t="n">
        <v>0</v>
      </c>
      <c r="L101" s="262" t="n">
        <v>0</v>
      </c>
      <c r="N101" s="262" t="n">
        <v>0</v>
      </c>
      <c r="O101" s="262" t="n">
        <v>73884</v>
      </c>
      <c r="P101" s="262" t="n">
        <v>73884</v>
      </c>
      <c r="Q101" s="262" t="n">
        <v>73884</v>
      </c>
      <c r="S101" s="262" t="n">
        <v>73884</v>
      </c>
      <c r="T101" s="262" t="n">
        <v>73884</v>
      </c>
      <c r="U101" s="262" t="n">
        <v>73884</v>
      </c>
      <c r="V101" s="262" t="n">
        <v>52817</v>
      </c>
      <c r="X101" s="262" t="n">
        <v>52817</v>
      </c>
      <c r="Y101" s="262" t="n">
        <v>52817</v>
      </c>
      <c r="Z101" s="262" t="n">
        <v>52817</v>
      </c>
      <c r="AA101" s="262" t="n">
        <v>52817</v>
      </c>
      <c r="AC101" s="262" t="n">
        <v>52817</v>
      </c>
      <c r="AD101" s="262" t="n">
        <v>52817</v>
      </c>
    </row>
    <row r="102">
      <c r="A102" t="inlineStr">
        <is>
          <t>Fleury BP: [nao existe] | Combinada BP: Juros sobre capital próprio (l.95) [0 em 1Q20..1Q23 (13 per.): linha inexistente/vazia na fonte; total divulgado confirma] · fonte · unid. moeda</t>
        </is>
      </c>
      <c r="B102" t="n">
        <v>40</v>
      </c>
      <c r="C102" t="inlineStr">
        <is>
          <t>Other equity account</t>
        </is>
      </c>
      <c r="D102" s="262" t="n">
        <v>0</v>
      </c>
      <c r="E102" s="262" t="n">
        <v>0</v>
      </c>
      <c r="F102" s="262" t="n">
        <v>0</v>
      </c>
      <c r="G102" s="262" t="n">
        <v>0</v>
      </c>
      <c r="I102" s="262" t="n">
        <v>0</v>
      </c>
      <c r="J102" s="262" t="n">
        <v>0</v>
      </c>
      <c r="K102" s="262" t="n">
        <v>0</v>
      </c>
      <c r="L102" s="262" t="n">
        <v>0</v>
      </c>
      <c r="N102" s="262" t="n">
        <v>0</v>
      </c>
      <c r="O102" s="262" t="n">
        <v>0</v>
      </c>
      <c r="P102" s="262" t="n">
        <v>-92530</v>
      </c>
      <c r="Q102" s="262" t="n">
        <v>0</v>
      </c>
      <c r="S102" s="262" t="n">
        <v>0</v>
      </c>
      <c r="T102" s="262" t="n">
        <v>0</v>
      </c>
      <c r="U102" s="262" t="n">
        <v>-184073</v>
      </c>
      <c r="V102" s="262" t="n">
        <v>-300502</v>
      </c>
      <c r="X102" s="262" t="n">
        <v>0</v>
      </c>
      <c r="Y102" s="262" t="n">
        <v>0</v>
      </c>
      <c r="Z102" s="262" t="n">
        <v>-169009</v>
      </c>
      <c r="AA102" s="262" t="n">
        <v>0</v>
      </c>
      <c r="AC102" s="262" t="n">
        <v>0</v>
      </c>
      <c r="AD102" s="262" t="n">
        <v>0</v>
      </c>
    </row>
    <row r="103">
      <c r="A103" t="inlineStr">
        <is>
          <t>Fleury BP: Ações em Tesouraria (l.88) | Combinada BP: Ações em Tesouraria (l.96) · fonte · unid. moeda</t>
        </is>
      </c>
      <c r="B103" t="n">
        <v>38</v>
      </c>
      <c r="C103" t="inlineStr">
        <is>
          <t>Treasury stock (contra account)</t>
        </is>
      </c>
      <c r="D103" s="262" t="n">
        <v>-23014.3155</v>
      </c>
      <c r="E103" s="262" t="n">
        <v>-24836.40528</v>
      </c>
      <c r="F103" s="262" t="n">
        <v>-24836.40528</v>
      </c>
      <c r="G103" s="262" t="n">
        <v>-24836.40528</v>
      </c>
      <c r="I103" s="262" t="n">
        <v>-22890.21678</v>
      </c>
      <c r="J103" s="262" t="n">
        <v>-27241.2731</v>
      </c>
      <c r="K103" s="262" t="n">
        <v>-19971.43105</v>
      </c>
      <c r="L103" s="262" t="n">
        <v>-19971.43105</v>
      </c>
      <c r="N103" s="262" t="n">
        <v>-9213.137000000001</v>
      </c>
      <c r="O103" s="262" t="n">
        <v>-9213</v>
      </c>
      <c r="P103" s="262" t="n">
        <v>-9213</v>
      </c>
      <c r="Q103" s="262" t="n">
        <v>-39462</v>
      </c>
      <c r="S103" s="262" t="n">
        <v>-27150</v>
      </c>
      <c r="T103" s="262" t="n">
        <v>-27150</v>
      </c>
      <c r="U103" s="262" t="n">
        <v>-48065</v>
      </c>
      <c r="V103" s="262" t="n">
        <v>-48065</v>
      </c>
      <c r="X103" s="262" t="n">
        <v>-35559.101</v>
      </c>
      <c r="Y103" s="262" t="n">
        <v>-35559</v>
      </c>
      <c r="Z103" s="262" t="n">
        <v>-35559</v>
      </c>
      <c r="AA103" s="262" t="n">
        <v>-35559</v>
      </c>
      <c r="AC103" s="262" t="n">
        <v>-55497</v>
      </c>
      <c r="AD103" s="262" t="n">
        <v>-55478</v>
      </c>
    </row>
    <row r="104">
      <c r="A104" t="inlineStr">
        <is>
          <t>Fleury BP: Minoritários (l.90) | Combinada BP: Minoritários (l.98) · fonte · unid. moeda</t>
        </is>
      </c>
      <c r="B104" t="n">
        <v>35</v>
      </c>
      <c r="C104" t="inlineStr">
        <is>
          <t>Minority interest</t>
        </is>
      </c>
      <c r="D104" s="262" t="n">
        <v>0</v>
      </c>
      <c r="E104" s="262" t="n">
        <v>1330.71621</v>
      </c>
      <c r="F104" s="262" t="n">
        <v>2803.54177</v>
      </c>
      <c r="G104" s="262" t="n">
        <v>9199.179645</v>
      </c>
      <c r="I104" s="262" t="n">
        <v>9990.717296999999</v>
      </c>
      <c r="J104" s="262" t="n">
        <v>11700.36526</v>
      </c>
      <c r="K104" s="262" t="n">
        <v>16590.30887</v>
      </c>
      <c r="L104" s="262" t="n">
        <v>19548.874</v>
      </c>
      <c r="N104" s="262" t="n">
        <v>22120.863</v>
      </c>
      <c r="O104" s="262" t="n">
        <v>13204</v>
      </c>
      <c r="P104" s="262" t="n">
        <v>14811</v>
      </c>
      <c r="Q104" s="262" t="n">
        <v>27619</v>
      </c>
      <c r="S104" s="262" t="n">
        <v>29501.955374</v>
      </c>
      <c r="T104" s="262" t="n">
        <v>74196.880128</v>
      </c>
      <c r="U104" s="262" t="n">
        <v>85252</v>
      </c>
      <c r="V104" s="262" t="n">
        <v>85763</v>
      </c>
      <c r="X104" s="262" t="n">
        <v>93419.046</v>
      </c>
      <c r="Y104" s="262" t="n">
        <v>91417</v>
      </c>
      <c r="Z104" s="262" t="n">
        <v>87661</v>
      </c>
      <c r="AA104" s="262" t="n">
        <v>94928</v>
      </c>
      <c r="AC104" s="262" t="n">
        <v>95020</v>
      </c>
      <c r="AD104" s="262" t="n">
        <v>100794</v>
      </c>
    </row>
    <row r="105">
      <c r="A105" t="inlineStr">
        <is>
          <t>BALANCO - totais divulgados (memoria, sem codigo)</t>
        </is>
      </c>
      <c r="C105" t="inlineStr">
        <is>
          <t>[linha bruta, sem código; lançada nas linhas abaixo]</t>
        </is>
      </c>
      <c r="D105" s="262" t="n"/>
      <c r="E105" s="262" t="n"/>
      <c r="F105" s="262" t="n"/>
      <c r="G105" s="262" t="n"/>
      <c r="I105" s="262" t="n"/>
      <c r="J105" s="262" t="n"/>
      <c r="K105" s="262" t="n"/>
      <c r="L105" s="262" t="n"/>
      <c r="N105" s="262" t="n"/>
      <c r="O105" s="262" t="n"/>
      <c r="P105" s="262" t="n"/>
      <c r="Q105" s="262" t="n"/>
      <c r="S105" s="262" t="n"/>
      <c r="T105" s="262" t="n"/>
      <c r="U105" s="262" t="n"/>
      <c r="V105" s="262" t="n"/>
      <c r="X105" s="262" t="n"/>
      <c r="Y105" s="262" t="n"/>
      <c r="Z105" s="262" t="n"/>
      <c r="AA105" s="262" t="n"/>
      <c r="AC105" s="262" t="n"/>
      <c r="AD105" s="262" t="n"/>
    </row>
    <row r="106">
      <c r="A106" t="inlineStr">
        <is>
          <t>Fleury BP: Total do Circulante (l.24) | Combinada BP: Total do Circulante (l.22) · memoria · unid. moeda</t>
        </is>
      </c>
      <c r="C106" t="inlineStr">
        <is>
          <t>[linha bruta, sem código; lançada nas linhas abaixo]</t>
        </is>
      </c>
      <c r="D106" s="262" t="n">
        <v>1906290.90313</v>
      </c>
      <c r="E106" s="262" t="n">
        <v>1469547.57452</v>
      </c>
      <c r="F106" s="262" t="n">
        <v>1996564.02442</v>
      </c>
      <c r="G106" s="262" t="n">
        <v>1742470.718853</v>
      </c>
      <c r="I106" s="262" t="n">
        <v>1602240.37077</v>
      </c>
      <c r="J106" s="262" t="n">
        <v>1872760.01955</v>
      </c>
      <c r="K106" s="262" t="n">
        <v>1949250.49791</v>
      </c>
      <c r="L106" s="262" t="n">
        <v>2391404.05905</v>
      </c>
      <c r="N106" s="262" t="n">
        <v>2475748.22323</v>
      </c>
      <c r="O106" s="262" t="n">
        <v>2737577</v>
      </c>
      <c r="P106" s="262" t="n">
        <v>2838559</v>
      </c>
      <c r="Q106" s="262" t="n">
        <v>2803557</v>
      </c>
      <c r="S106" s="262" t="n">
        <v>3003136</v>
      </c>
      <c r="T106" s="262" t="n">
        <v>4167729</v>
      </c>
      <c r="U106" s="262" t="n">
        <v>4392226</v>
      </c>
      <c r="V106" s="262" t="n">
        <v>4375794</v>
      </c>
      <c r="X106" s="262" t="n">
        <v>4663229.041</v>
      </c>
      <c r="Y106" s="262" t="n">
        <v>4368087</v>
      </c>
      <c r="Z106" s="262" t="n">
        <v>4864095</v>
      </c>
      <c r="AA106" s="262" t="n">
        <v>4421465</v>
      </c>
      <c r="AC106" s="262" t="n">
        <v>4650338</v>
      </c>
      <c r="AD106" s="262" t="n">
        <v>4538930</v>
      </c>
    </row>
    <row r="107">
      <c r="A107" t="inlineStr">
        <is>
          <t>Fleury BP: TOTAL DO ATIVO (l.47) | Combinada BP: TOTAL DO ATIVO (l.46) · memoria · unid. moeda</t>
        </is>
      </c>
      <c r="C107" t="inlineStr">
        <is>
          <t>[linha bruta, sem código; lançada nas linhas abaixo]</t>
        </is>
      </c>
      <c r="D107" s="262" t="n">
        <v>5573539.453504</v>
      </c>
      <c r="E107" s="262" t="n">
        <v>5405805.833623</v>
      </c>
      <c r="F107" s="262" t="n">
        <v>6285689.447224</v>
      </c>
      <c r="G107" s="262" t="n">
        <v>6073768.085596</v>
      </c>
      <c r="I107" s="262" t="n">
        <v>5995987.035997</v>
      </c>
      <c r="J107" s="262" t="n">
        <v>6839714.854391</v>
      </c>
      <c r="K107" s="262" t="n">
        <v>7036072.10588</v>
      </c>
      <c r="L107" s="262" t="n">
        <v>7791770.536657</v>
      </c>
      <c r="N107" s="262" t="n">
        <v>7863879.09975</v>
      </c>
      <c r="O107" s="262" t="n">
        <v>11509984</v>
      </c>
      <c r="P107" s="262" t="n">
        <v>11533043</v>
      </c>
      <c r="Q107" s="262" t="n">
        <v>11579968</v>
      </c>
      <c r="S107" s="262" t="n">
        <v>11686093</v>
      </c>
      <c r="T107" s="262" t="n">
        <v>12802394</v>
      </c>
      <c r="U107" s="262" t="n">
        <v>13031228</v>
      </c>
      <c r="V107" s="262" t="n">
        <v>13062410</v>
      </c>
      <c r="X107" s="262" t="n">
        <v>13270726.504</v>
      </c>
      <c r="Y107" s="262" t="n">
        <v>13072446</v>
      </c>
      <c r="Z107" s="262" t="n">
        <v>13584226</v>
      </c>
      <c r="AA107" s="262" t="n">
        <v>13220481</v>
      </c>
      <c r="AC107" s="262" t="n">
        <v>13325654</v>
      </c>
      <c r="AD107" s="262" t="n">
        <v>13558475</v>
      </c>
    </row>
    <row r="108">
      <c r="A108" t="inlineStr">
        <is>
          <t>Fleury BP: Total do Circulante (l.62) | Combinada BP: Total do Circulante (l.64) · memoria · unid. moeda</t>
        </is>
      </c>
      <c r="C108" t="inlineStr">
        <is>
          <t>[linha bruta, sem código; lançada nas linhas abaixo]</t>
        </is>
      </c>
      <c r="D108" s="262" t="n">
        <v>1348197.47262</v>
      </c>
      <c r="E108" s="262" t="n">
        <v>1481018.84362</v>
      </c>
      <c r="F108" s="262" t="n">
        <v>1267363.27882</v>
      </c>
      <c r="G108" s="262" t="n">
        <v>1206872.24902</v>
      </c>
      <c r="I108" s="262" t="n">
        <v>1188694.69249</v>
      </c>
      <c r="J108" s="262" t="n">
        <v>1329356.14157</v>
      </c>
      <c r="K108" s="262" t="n">
        <v>1445102.5674</v>
      </c>
      <c r="L108" s="262" t="n">
        <v>1234135.45825</v>
      </c>
      <c r="N108" s="262" t="n">
        <v>1235201.01782</v>
      </c>
      <c r="O108" s="262" t="n">
        <v>1992479</v>
      </c>
      <c r="P108" s="262" t="n">
        <v>1918079</v>
      </c>
      <c r="Q108" s="262" t="n">
        <v>1686616</v>
      </c>
      <c r="S108" s="262" t="n">
        <v>1785033</v>
      </c>
      <c r="T108" s="262" t="n">
        <v>1774725</v>
      </c>
      <c r="U108" s="262" t="n">
        <v>2271091</v>
      </c>
      <c r="V108" s="262" t="n">
        <v>1742813</v>
      </c>
      <c r="X108" s="262" t="n">
        <v>2034615.867</v>
      </c>
      <c r="Y108" s="262" t="n">
        <v>1742951</v>
      </c>
      <c r="Z108" s="262" t="n">
        <v>2201101</v>
      </c>
      <c r="AA108" s="262" t="n">
        <v>2245680</v>
      </c>
      <c r="AC108" s="262" t="n">
        <v>2175756</v>
      </c>
      <c r="AD108" s="262" t="n">
        <v>2438959</v>
      </c>
    </row>
    <row r="109">
      <c r="A109" t="inlineStr">
        <is>
          <t>Fleury BP: Total do Passivo (l.77) | Combinada BP: Total do Passivo (l.82) · memoria · unid. moeda</t>
        </is>
      </c>
      <c r="C109" t="inlineStr">
        <is>
          <t>[linha bruta, sem código; lançada nas linhas abaixo]</t>
        </is>
      </c>
      <c r="D109" s="262" t="n">
        <v>3880661.00246</v>
      </c>
      <c r="E109" s="262" t="n">
        <v>3647468.5811</v>
      </c>
      <c r="F109" s="262" t="n">
        <v>4467894.49676</v>
      </c>
      <c r="G109" s="262" t="n">
        <v>4219287.56739</v>
      </c>
      <c r="I109" s="262" t="n">
        <v>4242276.3037</v>
      </c>
      <c r="J109" s="262" t="n">
        <v>5010959.03105</v>
      </c>
      <c r="K109" s="262" t="n">
        <v>5104580.99461</v>
      </c>
      <c r="L109" s="262" t="n">
        <v>5090685.48516</v>
      </c>
      <c r="N109" s="262" t="n">
        <v>5055895.02469</v>
      </c>
      <c r="O109" s="262" t="n">
        <v>6401400</v>
      </c>
      <c r="P109" s="262" t="n">
        <v>6341098</v>
      </c>
      <c r="Q109" s="262" t="n">
        <v>6468898</v>
      </c>
      <c r="S109" s="262" t="n">
        <v>6473366.58127</v>
      </c>
      <c r="T109" s="262" t="n">
        <v>7371349</v>
      </c>
      <c r="U109" s="262" t="n">
        <v>7603373</v>
      </c>
      <c r="V109" s="262" t="n">
        <v>7687579</v>
      </c>
      <c r="X109" s="262" t="n">
        <v>7950503.93919</v>
      </c>
      <c r="Y109" s="262" t="n">
        <v>7601926</v>
      </c>
      <c r="Z109" s="262" t="n">
        <v>8101554</v>
      </c>
      <c r="AA109" s="262" t="n">
        <v>8124213</v>
      </c>
      <c r="AC109" s="262" t="n">
        <v>8048020</v>
      </c>
      <c r="AD109" s="262" t="n">
        <v>8040103</v>
      </c>
    </row>
    <row r="110">
      <c r="A110" t="inlineStr">
        <is>
          <t>Fleury BP: Total do Patrimônio Líquido (l.91) | Combinada BP: Total do Patrimônio Líquido (l.99) · memoria · unid. moeda</t>
        </is>
      </c>
      <c r="C110" t="inlineStr">
        <is>
          <t>[linha bruta, sem código; lançada nas linhas abaixo]</t>
        </is>
      </c>
      <c r="D110" s="262" t="n">
        <v>1692878.45104</v>
      </c>
      <c r="E110" s="262" t="n">
        <v>1758337.25252</v>
      </c>
      <c r="F110" s="262" t="n">
        <v>1817794.95046</v>
      </c>
      <c r="G110" s="262" t="n">
        <v>1854481.156095</v>
      </c>
      <c r="I110" s="262" t="n">
        <v>1753710.726297</v>
      </c>
      <c r="J110" s="262" t="n">
        <v>1828755.8225</v>
      </c>
      <c r="K110" s="262" t="n">
        <v>1931491.11126</v>
      </c>
      <c r="L110" s="262" t="n">
        <v>2701085.041487</v>
      </c>
      <c r="N110" s="262" t="n">
        <v>2807984.03782</v>
      </c>
      <c r="O110" s="262" t="n">
        <v>5108584</v>
      </c>
      <c r="P110" s="262" t="n">
        <v>5191945</v>
      </c>
      <c r="Q110" s="262" t="n">
        <v>5111070</v>
      </c>
      <c r="S110" s="262" t="n">
        <v>5212725.955374</v>
      </c>
      <c r="T110" s="262" t="n">
        <v>5431045.275708</v>
      </c>
      <c r="U110" s="262" t="n">
        <v>5427855</v>
      </c>
      <c r="V110" s="262" t="n">
        <v>5374831</v>
      </c>
      <c r="X110" s="262" t="n">
        <v>5320223.028</v>
      </c>
      <c r="Y110" s="262" t="n">
        <v>5470520</v>
      </c>
      <c r="Z110" s="262" t="n">
        <v>5482672</v>
      </c>
      <c r="AA110" s="262" t="n">
        <v>5096268</v>
      </c>
      <c r="AC110" s="262" t="n">
        <v>5277634</v>
      </c>
      <c r="AD110" s="262" t="n">
        <v>5518372</v>
      </c>
    </row>
    <row r="111">
      <c r="A111" t="inlineStr">
        <is>
          <t>Fleury BP: TOTAL DO PASSIVO E PATRIMÔNIO LÍQUIDO (l.93) | Combinada BP: TOTAL DO PASSIVO E PATRIMÔNIO LÍQUIDO (l.101) · memoria · unid. moeda</t>
        </is>
      </c>
      <c r="C111" t="inlineStr">
        <is>
          <t>[linha bruta, sem código; lançada nas linhas abaixo]</t>
        </is>
      </c>
      <c r="D111" s="262" t="n">
        <v>5573539.4535</v>
      </c>
      <c r="E111" s="262" t="n">
        <v>5405805.83362</v>
      </c>
      <c r="F111" s="262" t="n">
        <v>6285689.44722</v>
      </c>
      <c r="G111" s="262" t="n">
        <v>6073768.723485</v>
      </c>
      <c r="I111" s="262" t="n">
        <v>5995987.029997</v>
      </c>
      <c r="J111" s="262" t="n">
        <v>6839714.85355</v>
      </c>
      <c r="K111" s="262" t="n">
        <v>7036072.10587</v>
      </c>
      <c r="L111" s="262" t="n">
        <v>7791770.526647</v>
      </c>
      <c r="N111" s="262" t="n">
        <v>7863879.06251</v>
      </c>
      <c r="O111" s="262" t="n">
        <v>11509984</v>
      </c>
      <c r="P111" s="262" t="n">
        <v>11533043</v>
      </c>
      <c r="Q111" s="262" t="n">
        <v>11579968</v>
      </c>
      <c r="S111" s="262" t="n">
        <v>11686092.536644</v>
      </c>
      <c r="T111" s="262" t="n">
        <v>12802394.275708</v>
      </c>
      <c r="U111" s="262" t="n">
        <v>13031228</v>
      </c>
      <c r="V111" s="262" t="n">
        <v>13062410</v>
      </c>
      <c r="X111" s="262" t="n">
        <v>13270726.96719</v>
      </c>
      <c r="Y111" s="262" t="n">
        <v>13072446</v>
      </c>
      <c r="Z111" s="262" t="n">
        <v>13584226</v>
      </c>
      <c r="AA111" s="262" t="n">
        <v>13220481</v>
      </c>
      <c r="AC111" s="262" t="n">
        <v>13325654</v>
      </c>
      <c r="AD111" s="262" t="n">
        <v>13558475</v>
      </c>
    </row>
    <row r="112">
      <c r="A112" t="inlineStr">
        <is>
          <t>CHECKS (devem ser 0)</t>
        </is>
      </c>
      <c r="C112" t="inlineStr">
        <is>
          <t>[linha bruta, sem código; lançada nas linhas abaixo]</t>
        </is>
      </c>
      <c r="D112" s="262" t="n"/>
      <c r="E112" s="262" t="n"/>
      <c r="F112" s="262" t="n"/>
      <c r="G112" s="262" t="n"/>
      <c r="I112" s="262" t="n"/>
      <c r="J112" s="262" t="n"/>
      <c r="K112" s="262" t="n"/>
      <c r="L112" s="262" t="n"/>
      <c r="N112" s="262" t="n"/>
      <c r="O112" s="262" t="n"/>
      <c r="P112" s="262" t="n"/>
      <c r="Q112" s="262" t="n"/>
      <c r="S112" s="262" t="n"/>
      <c r="T112" s="262" t="n"/>
      <c r="U112" s="262" t="n"/>
      <c r="V112" s="262" t="n"/>
      <c r="X112" s="262" t="n"/>
      <c r="Y112" s="262" t="n"/>
      <c r="Z112" s="262" t="n"/>
      <c r="AA112" s="262" t="n"/>
      <c r="AC112" s="262" t="n"/>
      <c r="AD112" s="262" t="n"/>
    </row>
    <row r="113">
      <c r="A113" t="inlineStr">
        <is>
          <t>CHECK: soma das linhas codificadas 1-9 da DRE - lucro liquido do periodo · derivada · unid. moeda</t>
        </is>
      </c>
      <c r="C113" t="inlineStr">
        <is>
          <t>[linha bruta, sem código; lançada nas linhas abaixo]</t>
        </is>
      </c>
      <c r="D113" s="262">
        <f>D5+D6+D7+D8+D9+D10+D11+D12+D13+D14+D15+D16+D17+D18+D19+D20+D21+D22-D30</f>
        <v>0</v>
      </c>
      <c r="E113" s="262">
        <f>E5+E6+E7+E8+E9+E10+E11+E12+E13+E14+E15+E16+E17+E18+E19+E20+E21+E22-E30</f>
        <v>0</v>
      </c>
      <c r="F113" s="262">
        <f>F5+F6+F7+F8+F9+F10+F11+F12+F13+F14+F15+F16+F17+F18+F19+F20+F21+F22-F30</f>
        <v>0</v>
      </c>
      <c r="G113" s="262">
        <f>G5+G6+G7+G8+G9+G10+G11+G12+G13+G14+G15+G16+G17+G18+G19+G20+G21+G22-G30</f>
        <v>0</v>
      </c>
      <c r="I113" s="262">
        <f>I5+I6+I7+I8+I9+I10+I11+I12+I13+I14+I15+I16+I17+I18+I19+I20+I21+I22-I30</f>
        <v>0</v>
      </c>
      <c r="J113" s="262">
        <f>J5+J6+J7+J8+J9+J10+J11+J12+J13+J14+J15+J16+J17+J18+J19+J20+J21+J22-J30</f>
        <v>0</v>
      </c>
      <c r="K113" s="262">
        <f>K5+K6+K7+K8+K9+K10+K11+K12+K13+K14+K15+K16+K17+K18+K19+K20+K21+K22-K30</f>
        <v>0</v>
      </c>
      <c r="L113" s="262">
        <f>L5+L6+L7+L8+L9+L10+L11+L12+L13+L14+L15+L16+L17+L18+L19+L20+L21+L22-L30</f>
        <v>0</v>
      </c>
      <c r="N113" s="262">
        <f>N5+N6+N7+N8+N9+N10+N11+N12+N13+N14+N15+N16+N17+N18+N19+N20+N21+N22-N30</f>
        <v>0</v>
      </c>
      <c r="O113" s="262">
        <f>O5+O6+O7+O8+O9+O10+O11+O12+O13+O14+O15+O16+O17+O18+O19+O20+O21+O22-O30</f>
        <v>0</v>
      </c>
      <c r="P113" s="262">
        <f>P5+P6+P7+P8+P9+P10+P11+P12+P13+P14+P15+P16+P17+P18+P19+P20+P21+P22-P30</f>
        <v>0</v>
      </c>
      <c r="Q113" s="262">
        <f>Q5+Q6+Q7+Q8+Q9+Q10+Q11+Q12+Q13+Q14+Q15+Q16+Q17+Q18+Q19+Q20+Q21+Q22-Q30</f>
        <v>0</v>
      </c>
      <c r="S113" s="262">
        <f>S5+S6+S7+S8+S9+S10+S11+S12+S13+S14+S15+S16+S17+S18+S19+S20+S21+S22-S30</f>
        <v>0</v>
      </c>
      <c r="T113" s="262">
        <f>T5+T6+T7+T8+T9+T10+T11+T12+T13+T14+T15+T16+T17+T18+T19+T20+T21+T22-T30</f>
        <v>0</v>
      </c>
      <c r="U113" s="262">
        <f>U5+U6+U7+U8+U9+U10+U11+U12+U13+U14+U15+U16+U17+U18+U19+U20+U21+U22-U30</f>
        <v>0</v>
      </c>
      <c r="V113" s="262">
        <f>V5+V6+V7+V8+V9+V10+V11+V12+V13+V14+V15+V16+V17+V18+V19+V20+V21+V22-V30</f>
        <v>0</v>
      </c>
      <c r="X113" s="262">
        <f>X5+X6+X7+X8+X9+X10+X11+X12+X13+X14+X15+X16+X17+X18+X19+X20+X21+X22-X30</f>
        <v>0</v>
      </c>
      <c r="Y113" s="262">
        <f>Y5+Y6+Y7+Y8+Y9+Y10+Y11+Y12+Y13+Y14+Y15+Y16+Y17+Y18+Y19+Y20+Y21+Y22-Y30</f>
        <v>0</v>
      </c>
      <c r="Z113" s="262">
        <f>Z5+Z6+Z7+Z8+Z9+Z10+Z11+Z12+Z13+Z14+Z15+Z16+Z17+Z18+Z19+Z20+Z21+Z22-Z30</f>
        <v>1.00024044513702e-06</v>
      </c>
      <c r="AA113" s="262">
        <f>AA5+AA6+AA7+AA8+AA9+AA10+AA11+AA12+AA13+AA14+AA15+AA16+AA17+AA18+AA19+AA20+AA21+AA22-AA30</f>
        <v>-1.00009492598474e-06</v>
      </c>
      <c r="AC113" s="262">
        <f>AC5+AC6+AC7+AC8+AC9+AC10+AC11+AC12+AC13+AC14+AC15+AC16+AC17+AC18+AC19+AC20+AC21+AC22-AC30</f>
        <v>0</v>
      </c>
      <c r="AD113" s="262">
        <f>AD5+AD6+AD7+AD8+AD9+AD10+AD11+AD12+AD13+AD14+AD15+AD16+AD17+AD18+AD19+AD20+AD21+AD22-AD30</f>
        <v>0</v>
      </c>
    </row>
    <row r="114">
      <c r="A114" t="inlineStr">
        <is>
          <t>CHECK: D&amp;A da DRE (cod 4, negativa) + D&amp;A da DFC (positiva) · derivada · unid. moeda</t>
        </is>
      </c>
      <c r="C114" t="inlineStr">
        <is>
          <t>[linha bruta, sem código; lançada nas linhas abaixo]</t>
        </is>
      </c>
      <c r="D114" s="262">
        <f>D10+D15+D16+D34</f>
        <v>0</v>
      </c>
      <c r="E114" s="262">
        <f>E10+E15+E16+E34</f>
        <v>0</v>
      </c>
      <c r="F114" s="262">
        <f>F10+F15+F16+F34</f>
        <v>0</v>
      </c>
      <c r="G114" s="262">
        <f>G10+G15+G16+G34</f>
        <v>0</v>
      </c>
      <c r="I114" s="262">
        <f>I10+I15+I16+I34</f>
        <v>0</v>
      </c>
      <c r="J114" s="262">
        <f>J10+J15+J16+J34</f>
        <v>0</v>
      </c>
      <c r="K114" s="262">
        <f>K10+K15+K16+K34</f>
        <v>0</v>
      </c>
      <c r="L114" s="262">
        <f>L10+L15+L16+L34</f>
        <v>0</v>
      </c>
      <c r="N114" s="262">
        <f>N10+N15+N16+N34</f>
        <v>0.000140000018291175</v>
      </c>
      <c r="O114" s="262">
        <f>O10+O15+O16+O34</f>
        <v>0</v>
      </c>
      <c r="P114" s="262">
        <f>P10+P15+P16+P34</f>
        <v>0</v>
      </c>
      <c r="Q114" s="262">
        <f>Q10+Q15+Q16+Q34</f>
        <v>0</v>
      </c>
      <c r="S114" s="262">
        <f>S10+S15+S16+S34</f>
        <v>0</v>
      </c>
      <c r="T114" s="262">
        <f>T10+T15+T16+T34</f>
        <v>0</v>
      </c>
      <c r="U114" s="262">
        <f>U10+U15+U16+U34</f>
        <v>0</v>
      </c>
      <c r="V114" s="262">
        <f>V10+V15+V16+V34</f>
        <v>0</v>
      </c>
      <c r="X114" s="262">
        <f>X10+X15+X16+X34</f>
        <v>-0.0769999999902211</v>
      </c>
      <c r="Y114" s="262">
        <f>Y10+Y15+Y16+Y34</f>
        <v>1</v>
      </c>
      <c r="Z114" s="262">
        <f>Z10+Z15+Z16+Z34</f>
        <v>-0.996639999997569</v>
      </c>
      <c r="AA114" s="262">
        <f>AA10+AA15+AA16+AA34</f>
        <v>0.144109999993816</v>
      </c>
      <c r="AC114" s="262">
        <f>AC10+AC15+AC16+AC34</f>
        <v>0.304219999990892</v>
      </c>
      <c r="AD114" s="262">
        <f>AD10+AD15+AD16+AD34</f>
        <v>0</v>
      </c>
    </row>
    <row r="115">
      <c r="A115" t="inlineStr">
        <is>
          <t>CHECK: ativo (cod 11-22) - total do ativo · derivada · unid. moeda</t>
        </is>
      </c>
      <c r="C115" t="inlineStr">
        <is>
          <t>[linha bruta, sem código; lançada nas linhas abaixo]</t>
        </is>
      </c>
      <c r="D115" s="262">
        <f>D36+D37+D56+D38+D39+D41+D55+D40+D42+D43+D44+D45+D46+D47+D48+D60+D61+D63+D62+D49+D50+D51+D52+D53+D54+D57+D58+D59-D107</f>
        <v>0</v>
      </c>
      <c r="E115" s="262">
        <f>E36+E37+E56+E38+E39+E41+E55+E40+E42+E43+E44+E45+E46+E47+E48+E60+E61+E63+E62+E49+E50+E51+E52+E53+E54+E57+E58+E59-E107</f>
        <v>0</v>
      </c>
      <c r="F115" s="262">
        <f>F36+F37+F56+F38+F39+F41+F55+F40+F42+F43+F44+F45+F46+F47+F48+F60+F61+F63+F62+F49+F50+F51+F52+F53+F54+F57+F58+F59-F107</f>
        <v>-9.99309122562408e-07</v>
      </c>
      <c r="G115" s="262">
        <f>G36+G37+G56+G38+G39+G41+G55+G40+G42+G43+G44+G45+G46+G47+G48+G60+G61+G63+G62+G49+G50+G51+G52+G53+G54+G57+G58+G59-G107</f>
        <v>-1.00024044513702e-06</v>
      </c>
      <c r="I115" s="262">
        <f>I36+I37+I56+I38+I39+I41+I55+I40+I42+I43+I44+I45+I46+I47+I48+I60+I61+I63+I62+I49+I50+I51+I52+I53+I54+I57+I58+I59-I107</f>
        <v>-9.99309122562408e-07</v>
      </c>
      <c r="J115" s="262">
        <f>J36+J37+J56+J38+J39+J41+J55+J40+J42+J43+J44+J45+J46+J47+J48+J60+J61+J63+J62+J49+J50+J51+J52+J53+J54+J57+J58+J59-J107</f>
        <v>-9.99309122562408e-07</v>
      </c>
      <c r="K115" s="262">
        <f>K36+K37+K56+K38+K39+K41+K55+K40+K42+K43+K44+K45+K46+K47+K48+K60+K61+K63+K62+K49+K50+K51+K52+K53+K54+K57+K58+K59-K107</f>
        <v>0</v>
      </c>
      <c r="L115" s="262">
        <f>L36+L37+L56+L38+L39+L41+L55+L40+L42+L43+L44+L45+L46+L47+L48+L60+L61+L63+L62+L49+L50+L51+L52+L53+L54+L57+L58+L59-L107</f>
        <v>0</v>
      </c>
      <c r="N115" s="262">
        <f>N36+N37+N56+N38+N39+N41+N55+N40+N42+N43+N44+N45+N46+N47+N48+N60+N61+N63+N62+N49+N50+N51+N52+N53+N54+N57+N58+N59-N107</f>
        <v>0</v>
      </c>
      <c r="O115" s="262">
        <f>O36+O37+O56+O38+O39+O41+O55+O40+O42+O43+O44+O45+O46+O47+O48+O60+O61+O63+O62+O49+O50+O51+O52+O53+O54+O57+O58+O59-O107</f>
        <v>0</v>
      </c>
      <c r="P115" s="262">
        <f>P36+P37+P56+P38+P39+P41+P55+P40+P42+P43+P44+P45+P46+P47+P48+P60+P61+P63+P62+P49+P50+P51+P52+P53+P54+P57+P58+P59-P107</f>
        <v>0</v>
      </c>
      <c r="Q115" s="262">
        <f>Q36+Q37+Q56+Q38+Q39+Q41+Q55+Q40+Q42+Q43+Q44+Q45+Q46+Q47+Q48+Q60+Q61+Q63+Q62+Q49+Q50+Q51+Q52+Q53+Q54+Q57+Q58+Q59-Q107</f>
        <v>0</v>
      </c>
      <c r="S115" s="262">
        <f>S36+S37+S56+S38+S39+S41+S55+S40+S42+S43+S44+S45+S46+S47+S48+S60+S61+S63+S62+S49+S50+S51+S52+S53+S54+S57+S58+S59-S107</f>
        <v>0</v>
      </c>
      <c r="T115" s="262">
        <f>T36+T37+T56+T38+T39+T41+T55+T40+T42+T43+T44+T45+T46+T47+T48+T60+T61+T63+T62+T49+T50+T51+T52+T53+T54+T57+T58+T59-T107</f>
        <v>0</v>
      </c>
      <c r="U115" s="262">
        <f>U36+U37+U56+U38+U39+U41+U55+U40+U42+U43+U44+U45+U46+U47+U48+U60+U61+U63+U62+U49+U50+U51+U52+U53+U54+U57+U58+U59-U107</f>
        <v>0</v>
      </c>
      <c r="V115" s="262">
        <f>V36+V37+V56+V38+V39+V41+V55+V40+V42+V43+V44+V45+V46+V47+V48+V60+V61+V63+V62+V49+V50+V51+V52+V53+V54+V57+V58+V59-V107</f>
        <v>0</v>
      </c>
      <c r="X115" s="262">
        <f>X36+X37+X56+X38+X39+X41+X55+X40+X42+X43+X44+X45+X46+X47+X48+X60+X61+X63+X62+X49+X50+X51+X52+X53+X54+X57+X58+X59-X107</f>
        <v>0</v>
      </c>
      <c r="Y115" s="262">
        <f>Y36+Y37+Y56+Y38+Y39+Y41+Y55+Y40+Y42+Y43+Y44+Y45+Y46+Y47+Y48+Y60+Y61+Y63+Y62+Y49+Y50+Y51+Y52+Y53+Y54+Y57+Y58+Y59-Y107</f>
        <v>0</v>
      </c>
      <c r="Z115" s="262">
        <f>Z36+Z37+Z56+Z38+Z39+Z41+Z55+Z40+Z42+Z43+Z44+Z45+Z46+Z47+Z48+Z60+Z61+Z63+Z62+Z49+Z50+Z51+Z52+Z53+Z54+Z57+Z58+Z59-Z107</f>
        <v>0</v>
      </c>
      <c r="AA115" s="262">
        <f>AA36+AA37+AA56+AA38+AA39+AA41+AA55+AA40+AA42+AA43+AA44+AA45+AA46+AA47+AA48+AA60+AA61+AA63+AA62+AA49+AA50+AA51+AA52+AA53+AA54+AA57+AA58+AA59-AA107</f>
        <v>0</v>
      </c>
      <c r="AC115" s="262">
        <f>AC36+AC37+AC56+AC38+AC39+AC41+AC55+AC40+AC42+AC43+AC44+AC45+AC46+AC47+AC48+AC60+AC61+AC63+AC62+AC49+AC50+AC51+AC52+AC53+AC54+AC57+AC58+AC59-AC107</f>
        <v>0</v>
      </c>
      <c r="AD115" s="262">
        <f>AD36+AD37+AD56+AD38+AD39+AD41+AD55+AD40+AD42+AD43+AD44+AD45+AD46+AD47+AD48+AD60+AD61+AD63+AD62+AD49+AD50+AD51+AD52+AD53+AD54+AD57+AD58+AD59-AD107</f>
        <v>0</v>
      </c>
    </row>
    <row r="116">
      <c r="A116" t="inlineStr">
        <is>
          <t>CHECK: passivo (cod 23-34) - total do passivo · derivada · unid. moeda</t>
        </is>
      </c>
      <c r="C116" t="inlineStr">
        <is>
          <t>[linha bruta, sem código; lançada nas linhas abaixo]</t>
        </is>
      </c>
      <c r="D116" s="262">
        <f>D68+D69+D70+D71+D73+D67+D74+D75+D76+D77+D64+D65+D66+D78+D79+D80+D72+D82+D81+D83+D84+D85+D86+D87+D88+D89+D90+D91-D109</f>
        <v>0</v>
      </c>
      <c r="E116" s="262">
        <f>E68+E69+E70+E71+E73+E67+E74+E75+E76+E77+E64+E65+E66+E78+E79+E80+E72+E82+E81+E83+E84+E85+E86+E87+E88+E89+E90+E91-E109</f>
        <v>0</v>
      </c>
      <c r="F116" s="262">
        <f>F68+F69+F70+F71+F73+F67+F74+F75+F76+F77+F64+F65+F66+F78+F79+F80+F72+F82+F81+F83+F84+F85+F86+F87+F88+F89+F90+F91-F109</f>
        <v>0</v>
      </c>
      <c r="G116" s="262">
        <f>G68+G69+G70+G71+G73+G67+G74+G75+G76+G77+G64+G65+G66+G78+G79+G80+G72+G82+G81+G83+G84+G85+G86+G87+G88+G89+G90+G91-G109</f>
        <v>0</v>
      </c>
      <c r="I116" s="262">
        <f>I68+I69+I70+I71+I73+I67+I74+I75+I76+I77+I64+I65+I66+I78+I79+I80+I72+I82+I81+I83+I84+I85+I86+I87+I88+I89+I90+I91-I109</f>
        <v>0</v>
      </c>
      <c r="J116" s="262">
        <f>J68+J69+J70+J71+J73+J67+J74+J75+J76+J77+J64+J65+J66+J78+J79+J80+J72+J82+J81+J83+J84+J85+J86+J87+J88+J89+J90+J91-J109</f>
        <v>0</v>
      </c>
      <c r="K116" s="262">
        <f>K68+K69+K70+K71+K73+K67+K74+K75+K76+K77+K64+K65+K66+K78+K79+K80+K72+K82+K81+K83+K84+K85+K86+K87+K88+K89+K90+K91-K109</f>
        <v>0</v>
      </c>
      <c r="L116" s="262">
        <f>L68+L69+L70+L71+L73+L67+L74+L75+L76+L77+L64+L65+L66+L78+L79+L80+L72+L82+L81+L83+L84+L85+L86+L87+L88+L89+L90+L91-L109</f>
        <v>0</v>
      </c>
      <c r="N116" s="262">
        <f>N68+N69+N70+N71+N73+N67+N74+N75+N76+N77+N64+N65+N66+N78+N79+N80+N72+N82+N81+N83+N84+N85+N86+N87+N88+N89+N90+N91-N109</f>
        <v>0</v>
      </c>
      <c r="O116" s="262">
        <f>O68+O69+O70+O71+O73+O67+O74+O75+O76+O77+O64+O65+O66+O78+O79+O80+O72+O82+O81+O83+O84+O85+O86+O87+O88+O89+O90+O91-O109</f>
        <v>0</v>
      </c>
      <c r="P116" s="262">
        <f>P68+P69+P70+P71+P73+P67+P74+P75+P76+P77+P64+P65+P66+P78+P79+P80+P72+P82+P81+P83+P84+P85+P86+P87+P88+P89+P90+P91-P109</f>
        <v>0</v>
      </c>
      <c r="Q116" s="262">
        <f>Q68+Q69+Q70+Q71+Q73+Q67+Q74+Q75+Q76+Q77+Q64+Q65+Q66+Q78+Q79+Q80+Q72+Q82+Q81+Q83+Q84+Q85+Q86+Q87+Q88+Q89+Q90+Q91-Q109</f>
        <v>0</v>
      </c>
      <c r="S116" s="262">
        <f>S68+S69+S70+S71+S73+S67+S74+S75+S76+S77+S64+S65+S66+S78+S79+S80+S72+S82+S81+S83+S84+S85+S86+S87+S88+S89+S90+S91-S109</f>
        <v>0</v>
      </c>
      <c r="T116" s="262">
        <f>T68+T69+T70+T71+T73+T67+T74+T75+T76+T77+T64+T65+T66+T78+T79+T80+T72+T82+T81+T83+T84+T85+T86+T87+T88+T89+T90+T91-T109</f>
        <v>0</v>
      </c>
      <c r="U116" s="262">
        <f>U68+U69+U70+U71+U73+U67+U74+U75+U76+U77+U64+U65+U66+U78+U79+U80+U72+U82+U81+U83+U84+U85+U86+U87+U88+U89+U90+U91-U109</f>
        <v>0</v>
      </c>
      <c r="V116" s="262">
        <f>V68+V69+V70+V71+V73+V67+V74+V75+V76+V77+V64+V65+V66+V78+V79+V80+V72+V82+V81+V83+V84+V85+V86+V87+V88+V89+V90+V91-V109</f>
        <v>0</v>
      </c>
      <c r="X116" s="262">
        <f>X68+X69+X70+X71+X73+X67+X74+X75+X76+X77+X64+X65+X66+X78+X79+X80+X72+X82+X81+X83+X84+X85+X86+X87+X88+X89+X90+X91-X109</f>
        <v>0</v>
      </c>
      <c r="Y116" s="262">
        <f>Y68+Y69+Y70+Y71+Y73+Y67+Y74+Y75+Y76+Y77+Y64+Y65+Y66+Y78+Y79+Y80+Y72+Y82+Y81+Y83+Y84+Y85+Y86+Y87+Y88+Y89+Y90+Y91-Y109</f>
        <v>0</v>
      </c>
      <c r="Z116" s="262">
        <f>Z68+Z69+Z70+Z71+Z73+Z67+Z74+Z75+Z76+Z77+Z64+Z65+Z66+Z78+Z79+Z80+Z72+Z82+Z81+Z83+Z84+Z85+Z86+Z87+Z88+Z89+Z90+Z91-Z109</f>
        <v>0</v>
      </c>
      <c r="AA116" s="262">
        <f>AA68+AA69+AA70+AA71+AA73+AA67+AA74+AA75+AA76+AA77+AA64+AA65+AA66+AA78+AA79+AA80+AA72+AA82+AA81+AA83+AA84+AA85+AA86+AA87+AA88+AA89+AA90+AA91-AA109</f>
        <v>0</v>
      </c>
      <c r="AC116" s="262">
        <f>AC68+AC69+AC70+AC71+AC73+AC67+AC74+AC75+AC76+AC77+AC64+AC65+AC66+AC78+AC79+AC80+AC72+AC82+AC81+AC83+AC84+AC85+AC86+AC87+AC88+AC89+AC90+AC91-AC109</f>
        <v>0</v>
      </c>
      <c r="AD116" s="262">
        <f>AD68+AD69+AD70+AD71+AD73+AD67+AD74+AD75+AD76+AD77+AD64+AD65+AD66+AD78+AD79+AD80+AD72+AD82+AD81+AD83+AD84+AD85+AD86+AD87+AD88+AD89+AD90+AD91-AD109</f>
        <v>0</v>
      </c>
    </row>
    <row r="117">
      <c r="A117" t="inlineStr">
        <is>
          <t>CHECK: PL (cod 35-41) - total do PL · derivada · unid. moeda</t>
        </is>
      </c>
      <c r="C117" t="inlineStr">
        <is>
          <t>[linha bruta, sem código; lançada nas linhas abaixo]</t>
        </is>
      </c>
      <c r="D117" s="262">
        <f>D104+D92+D93+D94+D103+D101+D95+D96+D97+D99+D102+D98+D100-D110</f>
        <v>0</v>
      </c>
      <c r="E117" s="262">
        <f>E104+E92+E93+E94+E103+E101+E95+E96+E97+E99+E102+E98+E100-E110</f>
        <v>0</v>
      </c>
      <c r="F117" s="262">
        <f>F104+F92+F93+F94+F103+F101+F95+F96+F97+F99+F102+F98+F100-F110</f>
        <v>0</v>
      </c>
      <c r="G117" s="262">
        <f>G104+G92+G93+G94+G103+G101+G95+G96+G97+G99+G102+G98+G100-G110</f>
        <v>0</v>
      </c>
      <c r="I117" s="262">
        <f>I104+I92+I93+I94+I103+I101+I95+I96+I97+I99+I102+I98+I100-I110</f>
        <v>0</v>
      </c>
      <c r="J117" s="262">
        <f>J104+J92+J93+J94+J103+J101+J95+J96+J97+J99+J102+J98+J100-J110</f>
        <v>0</v>
      </c>
      <c r="K117" s="262">
        <f>K104+K92+K93+K94+K103+K101+K95+K96+K97+K99+K102+K98+K100-K110</f>
        <v>0</v>
      </c>
      <c r="L117" s="262">
        <f>L104+L92+L93+L94+L103+L101+L95+L96+L97+L99+L102+L98+L100-L110</f>
        <v>0</v>
      </c>
      <c r="N117" s="262">
        <f>N104+N92+N93+N94+N103+N101+N95+N96+N97+N99+N102+N98+N100-N110</f>
        <v>0</v>
      </c>
      <c r="O117" s="262">
        <f>O104+O92+O93+O94+O103+O101+O95+O96+O97+O99+O102+O98+O100-O110</f>
        <v>0</v>
      </c>
      <c r="P117" s="262">
        <f>P104+P92+P93+P94+P103+P101+P95+P96+P97+P99+P102+P98+P100-P110</f>
        <v>0</v>
      </c>
      <c r="Q117" s="262">
        <f>Q104+Q92+Q93+Q94+Q103+Q101+Q95+Q96+Q97+Q99+Q102+Q98+Q100-Q110</f>
        <v>0</v>
      </c>
      <c r="S117" s="262">
        <f>S104+S92+S93+S94+S103+S101+S95+S96+S97+S99+S102+S98+S100-S110</f>
        <v>0</v>
      </c>
      <c r="T117" s="262">
        <f>T104+T92+T93+T94+T103+T101+T95+T96+T97+T99+T102+T98+T100-T110</f>
        <v>0</v>
      </c>
      <c r="U117" s="262">
        <f>U104+U92+U93+U94+U103+U101+U95+U96+U97+U99+U102+U98+U100-U110</f>
        <v>0</v>
      </c>
      <c r="V117" s="262">
        <f>V104+V92+V93+V94+V103+V101+V95+V96+V97+V99+V102+V98+V100-V110</f>
        <v>0</v>
      </c>
      <c r="X117" s="262">
        <f>X104+X92+X93+X94+X103+X101+X95+X96+X97+X99+X102+X98+X100-X110</f>
        <v>0</v>
      </c>
      <c r="Y117" s="262">
        <f>Y104+Y92+Y93+Y94+Y103+Y101+Y95+Y96+Y97+Y99+Y102+Y98+Y100-Y110</f>
        <v>0</v>
      </c>
      <c r="Z117" s="262">
        <f>Z104+Z92+Z93+Z94+Z103+Z101+Z95+Z96+Z97+Z99+Z102+Z98+Z100-Z110</f>
        <v>0</v>
      </c>
      <c r="AA117" s="262">
        <f>AA104+AA92+AA93+AA94+AA103+AA101+AA95+AA96+AA97+AA99+AA102+AA98+AA100-AA110</f>
        <v>0</v>
      </c>
      <c r="AC117" s="262">
        <f>AC104+AC92+AC93+AC94+AC103+AC101+AC95+AC96+AC97+AC99+AC102+AC98+AC100-AC110</f>
        <v>0</v>
      </c>
      <c r="AD117" s="262">
        <f>AD104+AD92+AD93+AD94+AD103+AD101+AD95+AD96+AD97+AD99+AD102+AD98+AD100-AD110</f>
        <v>0</v>
      </c>
    </row>
    <row r="118">
      <c r="A118" t="inlineStr">
        <is>
          <t>[vazio] cod 20 Goodwill: o agio esta dentro do Intangivel na fonte (cod 21); nao aberto no balanco</t>
        </is>
      </c>
      <c r="C118" t="inlineStr">
        <is>
          <t>[linha bruta, sem código; lançada nas linhas abaixo]</t>
        </is>
      </c>
      <c r="D118" s="262" t="n"/>
      <c r="E118" s="262" t="n"/>
      <c r="F118" s="262" t="n"/>
      <c r="G118" s="262" t="n"/>
      <c r="I118" s="262" t="n"/>
      <c r="J118" s="262" t="n"/>
      <c r="K118" s="262" t="n"/>
      <c r="L118" s="262" t="n"/>
      <c r="N118" s="262" t="n"/>
      <c r="O118" s="262" t="n"/>
      <c r="P118" s="262" t="n"/>
      <c r="Q118" s="262" t="n"/>
      <c r="S118" s="262" t="n"/>
      <c r="T118" s="262" t="n"/>
      <c r="U118" s="262" t="n"/>
      <c r="V118" s="262" t="n"/>
      <c r="X118" s="262" t="n"/>
      <c r="Y118" s="262" t="n"/>
      <c r="Z118" s="262" t="n"/>
      <c r="AA118" s="262" t="n"/>
      <c r="AC118" s="262" t="n"/>
      <c r="AD118" s="262" t="n"/>
    </row>
    <row r="119">
      <c r="A119" t="inlineStr">
        <is>
          <t>[vazio] cod 28 Short term debt (revolving): sem linha propria; emprestimos e debentures CP estao no cod 27</t>
        </is>
      </c>
      <c r="C119" t="inlineStr">
        <is>
          <t>[linha bruta, sem código; lançada nas linhas abaixo]</t>
        </is>
      </c>
      <c r="D119" s="262" t="n"/>
      <c r="E119" s="262" t="n"/>
      <c r="F119" s="262" t="n"/>
      <c r="G119" s="262" t="n"/>
      <c r="I119" s="262" t="n"/>
      <c r="J119" s="262" t="n"/>
      <c r="K119" s="262" t="n"/>
      <c r="L119" s="262" t="n"/>
      <c r="N119" s="262" t="n"/>
      <c r="O119" s="262" t="n"/>
      <c r="P119" s="262" t="n"/>
      <c r="Q119" s="262" t="n"/>
      <c r="S119" s="262" t="n"/>
      <c r="T119" s="262" t="n"/>
      <c r="U119" s="262" t="n"/>
      <c r="V119" s="262" t="n"/>
      <c r="X119" s="262" t="n"/>
      <c r="Y119" s="262" t="n"/>
      <c r="Z119" s="262" t="n"/>
      <c r="AA119" s="262" t="n"/>
      <c r="AC119" s="262" t="n"/>
      <c r="AD119" s="262" t="n"/>
    </row>
    <row r="120">
      <c r="A120" t="inlineStr">
        <is>
          <t>[vazio] cod 32 Convertible debt: inexistente</t>
        </is>
      </c>
      <c r="C120" t="inlineStr">
        <is>
          <t>[linha bruta, sem código; lançada nas linhas abaixo]</t>
        </is>
      </c>
      <c r="D120" s="262" t="n"/>
      <c r="E120" s="262" t="n"/>
      <c r="F120" s="262" t="n"/>
      <c r="G120" s="262" t="n"/>
      <c r="I120" s="262" t="n"/>
      <c r="J120" s="262" t="n"/>
      <c r="K120" s="262" t="n"/>
      <c r="L120" s="262" t="n"/>
      <c r="N120" s="262" t="n"/>
      <c r="O120" s="262" t="n"/>
      <c r="P120" s="262" t="n"/>
      <c r="Q120" s="262" t="n"/>
      <c r="S120" s="262" t="n"/>
      <c r="T120" s="262" t="n"/>
      <c r="U120" s="262" t="n"/>
      <c r="V120" s="262" t="n"/>
      <c r="X120" s="262" t="n"/>
      <c r="Y120" s="262" t="n"/>
      <c r="Z120" s="262" t="n"/>
      <c r="AA120" s="262" t="n"/>
      <c r="AC120" s="262" t="n"/>
      <c r="AD120" s="262" t="n"/>
    </row>
    <row r="121">
      <c r="A121" t="inlineStr">
        <is>
          <t>[vazio] cod 36 Convertible Preferred Stock: inexistente</t>
        </is>
      </c>
      <c r="C121" t="inlineStr">
        <is>
          <t>[linha bruta, sem código; lançada nas linhas abaixo]</t>
        </is>
      </c>
      <c r="D121" s="262" t="n"/>
      <c r="E121" s="262" t="n"/>
      <c r="F121" s="262" t="n"/>
      <c r="G121" s="262" t="n"/>
      <c r="I121" s="262" t="n"/>
      <c r="J121" s="262" t="n"/>
      <c r="K121" s="262" t="n"/>
      <c r="L121" s="262" t="n"/>
      <c r="N121" s="262" t="n"/>
      <c r="O121" s="262" t="n"/>
      <c r="P121" s="262" t="n"/>
      <c r="Q121" s="262" t="n"/>
      <c r="S121" s="262" t="n"/>
      <c r="T121" s="262" t="n"/>
      <c r="U121" s="262" t="n"/>
      <c r="V121" s="262" t="n"/>
      <c r="X121" s="262" t="n"/>
      <c r="Y121" s="262" t="n"/>
      <c r="Z121" s="262" t="n"/>
      <c r="AA121" s="262" t="n"/>
      <c r="AC121" s="262" t="n"/>
      <c r="AD121" s="262" t="n"/>
    </row>
    <row r="122">
      <c r="D122" s="262" t="n"/>
      <c r="E122" s="262" t="n"/>
      <c r="F122" s="262" t="n"/>
      <c r="G122" s="262" t="n"/>
      <c r="I122" s="262" t="n"/>
      <c r="J122" s="262" t="n"/>
      <c r="K122" s="262" t="n"/>
      <c r="L122" s="262" t="n"/>
      <c r="N122" s="262" t="n"/>
      <c r="O122" s="262" t="n"/>
      <c r="P122" s="262" t="n"/>
      <c r="Q122" s="262" t="n"/>
      <c r="S122" s="262" t="n"/>
      <c r="T122" s="262" t="n"/>
      <c r="U122" s="262" t="n"/>
      <c r="V122" s="262" t="n"/>
      <c r="X122" s="262" t="n"/>
      <c r="Y122" s="262" t="n"/>
      <c r="Z122" s="262" t="n"/>
      <c r="AA122" s="262" t="n"/>
      <c r="AC122" s="262" t="n"/>
      <c r="AD122" s="262" t="n"/>
    </row>
    <row r="123">
      <c r="A123" t="inlineStr">
        <is>
          <t>RECEITA BRUTA POR NEGOCIO (R$ mil; aba "Outras Informacoes"). 2T23 vazio: a aba Combinada so traz o 2T23 pro forma. Codigos 45-55 = memoria, nao entram nos codigos 1-41</t>
        </is>
      </c>
      <c r="C123" t="inlineStr">
        <is>
          <t>[linha bruta, sem código; lançada nas linhas abaixo]</t>
        </is>
      </c>
      <c r="D123" s="262" t="n"/>
      <c r="E123" s="262" t="n"/>
      <c r="F123" s="262" t="n"/>
      <c r="G123" s="262" t="n"/>
      <c r="I123" s="262" t="n"/>
      <c r="J123" s="262" t="n"/>
      <c r="K123" s="262" t="n"/>
      <c r="L123" s="262" t="n"/>
      <c r="N123" s="262" t="n"/>
      <c r="O123" s="262" t="n"/>
      <c r="P123" s="262" t="n"/>
      <c r="Q123" s="262" t="n"/>
      <c r="S123" s="262" t="n"/>
      <c r="T123" s="262" t="n"/>
      <c r="U123" s="262" t="n"/>
      <c r="V123" s="262" t="n"/>
      <c r="X123" s="262" t="n"/>
      <c r="Y123" s="262" t="n"/>
      <c r="Z123" s="262" t="n"/>
      <c r="AA123" s="262" t="n"/>
      <c r="AC123" s="262" t="n"/>
      <c r="AD123" s="262" t="n"/>
    </row>
    <row r="124">
      <c r="A124" t="inlineStr">
        <is>
          <t>Marca Fleury | Fleury OI l.13 / Combinada OI l.11 · fonte · unid. moeda</t>
        </is>
      </c>
      <c r="B124" t="n">
        <v>45</v>
      </c>
      <c r="C124" t="inlineStr">
        <is>
          <t>Marca Fleury | Fleury OI l.13 / Combinada OI l.11</t>
        </is>
      </c>
      <c r="D124" s="262" t="n">
        <v>390315.686737</v>
      </c>
      <c r="E124" s="262" t="n">
        <v>393473.64947</v>
      </c>
      <c r="F124" s="262" t="n">
        <v>430289.524728</v>
      </c>
      <c r="G124" s="262" t="n">
        <v>420125.355195</v>
      </c>
      <c r="I124" s="262" t="n">
        <v>460881.36144</v>
      </c>
      <c r="J124" s="262" t="n">
        <v>447893.503927</v>
      </c>
      <c r="K124" s="262" t="n">
        <v>467536.305</v>
      </c>
      <c r="L124" s="262" t="n">
        <v>441225.25712</v>
      </c>
      <c r="N124" s="262" t="n">
        <v>513382.763</v>
      </c>
      <c r="O124" s="262" t="n"/>
      <c r="P124" s="262" t="n">
        <v>516365.38311</v>
      </c>
      <c r="Q124" s="262" t="n">
        <v>461316.368</v>
      </c>
      <c r="S124" s="262" t="n">
        <v>524271.57081</v>
      </c>
      <c r="T124" s="262" t="n">
        <v>537839.508303</v>
      </c>
      <c r="U124" s="262" t="n">
        <v>522393.136</v>
      </c>
      <c r="V124" s="262" t="n">
        <v>505176.84355</v>
      </c>
      <c r="X124" s="262" t="n">
        <v>554136.73</v>
      </c>
      <c r="Y124" s="262" t="n">
        <v>560847.492</v>
      </c>
      <c r="Z124" s="262" t="n">
        <v>586022.739445</v>
      </c>
      <c r="AA124" s="262" t="n">
        <v>548688.281953</v>
      </c>
      <c r="AC124" s="262" t="n">
        <v>621154.913435</v>
      </c>
      <c r="AD124" s="262" t="n">
        <v>627978.348</v>
      </c>
    </row>
    <row r="125">
      <c r="A125" t="inlineStr">
        <is>
          <t>Outras Marcas SP (release: Demais Marcas SP) | Fleury OI l.14 / Combinada OI l.12 · fonte · unid. moeda</t>
        </is>
      </c>
      <c r="B125" t="n">
        <v>46</v>
      </c>
      <c r="C125" t="inlineStr">
        <is>
          <t>Outras Marcas SP (release: Demais Marcas SP) | Fleury OI l.1</t>
        </is>
      </c>
      <c r="D125" s="262" t="n">
        <v>129339.606053</v>
      </c>
      <c r="E125" s="262" t="n">
        <v>134228.10704</v>
      </c>
      <c r="F125" s="262" t="n">
        <v>138416.11284</v>
      </c>
      <c r="G125" s="262" t="n">
        <v>133767.57361</v>
      </c>
      <c r="I125" s="262" t="n">
        <v>151038.67056</v>
      </c>
      <c r="J125" s="262" t="n">
        <v>156341.420521</v>
      </c>
      <c r="K125" s="262" t="n">
        <v>165446.23</v>
      </c>
      <c r="L125" s="262" t="n">
        <v>151836.198</v>
      </c>
      <c r="N125" s="262" t="n">
        <v>178979.496</v>
      </c>
      <c r="O125" s="262" t="n"/>
      <c r="P125" s="262" t="n">
        <v>247762.14341</v>
      </c>
      <c r="Q125" s="262" t="n">
        <v>222190.043</v>
      </c>
      <c r="S125" s="262" t="n">
        <v>260104.847016</v>
      </c>
      <c r="T125" s="262" t="n">
        <v>275116.410953</v>
      </c>
      <c r="U125" s="262" t="n">
        <v>272523.471</v>
      </c>
      <c r="V125" s="262" t="n">
        <v>252227.442297</v>
      </c>
      <c r="X125" s="262" t="n">
        <v>284972.37</v>
      </c>
      <c r="Y125" s="262" t="n">
        <v>292180.676</v>
      </c>
      <c r="Z125" s="262" t="n">
        <v>346355.975155</v>
      </c>
      <c r="AA125" s="262" t="n">
        <v>316543.483</v>
      </c>
      <c r="AC125" s="262" t="n">
        <v>364963.967882</v>
      </c>
      <c r="AD125" s="262" t="n">
        <v>373079.278</v>
      </c>
    </row>
    <row r="126">
      <c r="A126" t="inlineStr">
        <is>
          <t>Marcas Rio de Janeiro | Fleury OI l.15 / Combinada OI l.25 · fonte · unid. moeda</t>
        </is>
      </c>
      <c r="B126" t="n">
        <v>47</v>
      </c>
      <c r="C126" t="inlineStr">
        <is>
          <t>Marcas Rio de Janeiro | Fleury OI l.15 / Combinada OI l.25</t>
        </is>
      </c>
      <c r="D126" s="262" t="n">
        <v>155201.122208</v>
      </c>
      <c r="E126" s="262" t="n">
        <v>158687.03648</v>
      </c>
      <c r="F126" s="262" t="n">
        <v>159760.68278</v>
      </c>
      <c r="G126" s="262" t="n">
        <v>145987.47663</v>
      </c>
      <c r="I126" s="262" t="n">
        <v>159521.79541</v>
      </c>
      <c r="J126" s="262" t="n">
        <v>171349.672199</v>
      </c>
      <c r="K126" s="262" t="n">
        <v>179385.965</v>
      </c>
      <c r="L126" s="262" t="n">
        <v>167181.327</v>
      </c>
      <c r="N126" s="262" t="n">
        <v>187006.096</v>
      </c>
      <c r="O126" s="262" t="n"/>
      <c r="P126" s="262" t="n">
        <v>232984.65544</v>
      </c>
      <c r="Q126" s="262" t="n">
        <v>201689.043</v>
      </c>
      <c r="S126" s="262" t="n">
        <v>217491.723434</v>
      </c>
      <c r="T126" s="262" t="n">
        <v>239352.098345</v>
      </c>
      <c r="U126" s="262" t="n">
        <v>241885.631</v>
      </c>
      <c r="V126" s="262" t="n">
        <v>213783.914483</v>
      </c>
      <c r="X126" s="262" t="n">
        <v>235788.503</v>
      </c>
      <c r="Y126" s="262" t="n">
        <v>258331.341</v>
      </c>
      <c r="Z126" s="262" t="n">
        <v>267138.504779</v>
      </c>
      <c r="AA126" s="262" t="n">
        <v>244001.99</v>
      </c>
      <c r="AC126" s="262" t="n">
        <v>257539.538841</v>
      </c>
      <c r="AD126" s="262" t="n">
        <v>281271.38</v>
      </c>
    </row>
    <row r="127">
      <c r="A127" t="inlineStr">
        <is>
          <t>Marcas MG | Fleury OI l.16 / Combinada OI l.37 · fonte · unid. moeda</t>
        </is>
      </c>
      <c r="B127" t="n">
        <v>48</v>
      </c>
      <c r="C127" t="inlineStr">
        <is>
          <t>Marcas MG | Fleury OI l.16 / Combinada OI l.37</t>
        </is>
      </c>
      <c r="D127" s="262" t="n">
        <v>0</v>
      </c>
      <c r="E127" s="262" t="n">
        <v>0</v>
      </c>
      <c r="F127" s="262" t="n">
        <v>0</v>
      </c>
      <c r="G127" s="262" t="n">
        <v>0</v>
      </c>
      <c r="I127" s="262" t="n">
        <v>0</v>
      </c>
      <c r="J127" s="262" t="n">
        <v>0</v>
      </c>
      <c r="K127" s="262" t="n">
        <v>0</v>
      </c>
      <c r="L127" s="262" t="n">
        <v>8506.9792</v>
      </c>
      <c r="N127" s="262" t="n">
        <v>9993.879000000001</v>
      </c>
      <c r="O127" s="262" t="n"/>
      <c r="P127" s="262" t="n">
        <v>146853.65604</v>
      </c>
      <c r="Q127" s="262" t="n">
        <v>139428.568</v>
      </c>
      <c r="S127" s="262" t="n">
        <v>163046.700426</v>
      </c>
      <c r="T127" s="262" t="n">
        <v>163888.105577</v>
      </c>
      <c r="U127" s="262" t="n">
        <v>162345.725</v>
      </c>
      <c r="V127" s="262" t="n">
        <v>152069.03667</v>
      </c>
      <c r="X127" s="262" t="n">
        <v>168573.027</v>
      </c>
      <c r="Y127" s="262" t="n">
        <v>172094.632</v>
      </c>
      <c r="Z127" s="262" t="n">
        <v>187584.298868</v>
      </c>
      <c r="AA127" s="262" t="n">
        <v>184394.027</v>
      </c>
      <c r="AC127" s="262" t="n">
        <v>201793.70904</v>
      </c>
      <c r="AD127" s="262" t="n">
        <v>205113.35</v>
      </c>
    </row>
    <row r="128">
      <c r="A128" t="inlineStr">
        <is>
          <t>Marcas Regionais | Fleury OI l.17 / Combinada OI l.50 · fonte · unid. moeda</t>
        </is>
      </c>
      <c r="B128" t="n">
        <v>49</v>
      </c>
      <c r="C128" t="inlineStr">
        <is>
          <t>Marcas Regionais | Fleury OI l.17 / Combinada OI l.50</t>
        </is>
      </c>
      <c r="D128" s="262" t="n">
        <v>106827.649419</v>
      </c>
      <c r="E128" s="262" t="n">
        <v>107263.47615</v>
      </c>
      <c r="F128" s="262" t="n">
        <v>109393.5775</v>
      </c>
      <c r="G128" s="262" t="n">
        <v>141590.59045</v>
      </c>
      <c r="I128" s="262" t="n">
        <v>148502.178229</v>
      </c>
      <c r="J128" s="262" t="n">
        <v>160663.107997</v>
      </c>
      <c r="K128" s="262" t="n">
        <v>174007.403</v>
      </c>
      <c r="L128" s="262" t="n">
        <v>156722.36188</v>
      </c>
      <c r="N128" s="262" t="n">
        <v>172357.8786</v>
      </c>
      <c r="O128" s="262" t="n"/>
      <c r="P128" s="262" t="n">
        <v>221457.45508</v>
      </c>
      <c r="Q128" s="262" t="n">
        <v>201105.045</v>
      </c>
      <c r="S128" s="262" t="n">
        <v>212529.530462</v>
      </c>
      <c r="T128" s="262" t="n">
        <v>218365.689718</v>
      </c>
      <c r="U128" s="262" t="n">
        <v>234342.798</v>
      </c>
      <c r="V128" s="262" t="n">
        <v>230446.687523</v>
      </c>
      <c r="X128" s="262" t="n">
        <v>242430.426</v>
      </c>
      <c r="Y128" s="262" t="n">
        <v>254313.886</v>
      </c>
      <c r="Z128" s="262" t="n">
        <v>275621.203034</v>
      </c>
      <c r="AA128" s="262" t="n">
        <v>241983.079</v>
      </c>
      <c r="AC128" s="262" t="n">
        <v>264269.334131</v>
      </c>
      <c r="AD128" s="262" t="n">
        <v>280261.26</v>
      </c>
    </row>
    <row r="129">
      <c r="A129" t="inlineStr">
        <is>
          <t>B2B | Fleury OI l.18 / Combinada OI l.91 · fonte · unid. moeda</t>
        </is>
      </c>
      <c r="B129" t="n">
        <v>50</v>
      </c>
      <c r="C129" t="inlineStr">
        <is>
          <t>B2B | Fleury OI l.18 / Combinada OI l.91</t>
        </is>
      </c>
      <c r="D129" s="262" t="n">
        <v>168726.365557</v>
      </c>
      <c r="E129" s="262" t="n">
        <v>170377.53754</v>
      </c>
      <c r="F129" s="262" t="n">
        <v>182922.07006</v>
      </c>
      <c r="G129" s="262" t="n">
        <v>172433.53089</v>
      </c>
      <c r="I129" s="262" t="n">
        <v>174203.19546</v>
      </c>
      <c r="J129" s="262" t="n">
        <v>171748.216896</v>
      </c>
      <c r="K129" s="262" t="n">
        <v>146603.407</v>
      </c>
      <c r="L129" s="262" t="n">
        <v>129838.387</v>
      </c>
      <c r="N129" s="262" t="n">
        <v>121832.221</v>
      </c>
      <c r="O129" s="262" t="n"/>
      <c r="P129" s="262" t="n">
        <v>462554.25082</v>
      </c>
      <c r="Q129" s="262" t="n">
        <v>441410.801</v>
      </c>
      <c r="S129" s="262" t="n">
        <v>489420.559829</v>
      </c>
      <c r="T129" s="262" t="n">
        <v>501640.815262</v>
      </c>
      <c r="U129" s="262" t="n">
        <v>501259.219</v>
      </c>
      <c r="V129" s="262" t="n">
        <v>465728.886</v>
      </c>
      <c r="X129" s="262" t="n">
        <v>480049.79</v>
      </c>
      <c r="Y129" s="262" t="n">
        <v>485926.475</v>
      </c>
      <c r="Z129" s="262" t="n">
        <v>511573.079516</v>
      </c>
      <c r="AA129" s="262" t="n">
        <v>485007.49</v>
      </c>
      <c r="AC129" s="262" t="n">
        <v>506496.753097</v>
      </c>
      <c r="AD129" s="262" t="n">
        <v>545082.4449999999</v>
      </c>
    </row>
    <row r="130">
      <c r="A130" t="inlineStr">
        <is>
          <t>Novos Elos e Plataformas de Saude (Fleury: linha unica; Combinada: Novos Elos + Plataformas) | Fleury OI l.19 / Combinada OI l.74 · fonte · unid. moeda</t>
        </is>
      </c>
      <c r="B130" t="n">
        <v>51</v>
      </c>
      <c r="C130" t="inlineStr">
        <is>
          <t>Novos Elos e Plataformas de Saude (Fleury: linha unica; Comb</t>
        </is>
      </c>
      <c r="D130" s="262" t="n">
        <v>13859.16205</v>
      </c>
      <c r="E130" s="262" t="n">
        <v>41102.53789</v>
      </c>
      <c r="F130" s="262" t="n">
        <v>86668.21253200001</v>
      </c>
      <c r="G130" s="262" t="n">
        <v>81656.594275</v>
      </c>
      <c r="I130" s="262" t="n">
        <v>79260.90508</v>
      </c>
      <c r="J130" s="262" t="n">
        <v>88385.615808</v>
      </c>
      <c r="K130" s="262" t="n">
        <v>101369.994</v>
      </c>
      <c r="L130" s="262" t="n">
        <v>143717.03405</v>
      </c>
      <c r="N130" s="262" t="n">
        <v>146853.54669</v>
      </c>
      <c r="O130" s="262" t="n"/>
      <c r="P130" s="262" t="n">
        <v>170035.810886</v>
      </c>
      <c r="Q130" s="262" t="n">
        <v>154776.833</v>
      </c>
      <c r="S130" s="262" t="n">
        <v>171182.634253</v>
      </c>
      <c r="T130" s="262" t="n">
        <v>180985.20372</v>
      </c>
      <c r="U130" s="262" t="n">
        <v>183717.552</v>
      </c>
      <c r="V130" s="262" t="n">
        <v>160048.93761</v>
      </c>
      <c r="X130" s="262" t="n">
        <v>204873.019</v>
      </c>
      <c r="Y130" s="262" t="n">
        <v>156045.571</v>
      </c>
      <c r="Z130" s="262" t="n">
        <v>186709.789704</v>
      </c>
      <c r="AA130" s="262" t="n">
        <v>198683.613</v>
      </c>
      <c r="AC130" s="262" t="n">
        <v>175039.85569</v>
      </c>
      <c r="AD130" s="262" t="n">
        <v>180325.225</v>
      </c>
    </row>
    <row r="131">
      <c r="A131" t="inlineStr">
        <is>
          <t>Plataformas de saude (so na aba Combinada; soma no cod 51) | Fleury OI l.None / Combinada OI l.90 · fonte · unid. moeda</t>
        </is>
      </c>
      <c r="B131" t="n">
        <v>51</v>
      </c>
      <c r="C131" t="inlineStr">
        <is>
          <t>Plataformas de saude (so na aba Combinada; soma no cod 51) |</t>
        </is>
      </c>
      <c r="D131" s="262" t="n"/>
      <c r="E131" s="262" t="n"/>
      <c r="F131" s="262" t="n"/>
      <c r="G131" s="262" t="n"/>
      <c r="I131" s="262" t="n"/>
      <c r="J131" s="262" t="n"/>
      <c r="K131" s="262" t="n"/>
      <c r="L131" s="262" t="n"/>
      <c r="N131" s="262" t="n"/>
      <c r="O131" s="262" t="n"/>
      <c r="P131" s="262" t="n">
        <v>13006.96938</v>
      </c>
      <c r="Q131" s="262" t="n">
        <v>13466.847</v>
      </c>
      <c r="S131" s="262" t="n">
        <v>17531.3755</v>
      </c>
      <c r="T131" s="262" t="n">
        <v>19714.11514</v>
      </c>
      <c r="U131" s="262" t="n">
        <v>14710.26</v>
      </c>
      <c r="V131" s="262" t="n">
        <v>14824.594</v>
      </c>
      <c r="X131" s="262" t="n">
        <v>17617.135</v>
      </c>
      <c r="Y131" s="262" t="n">
        <v>18062.096</v>
      </c>
      <c r="Z131" s="262" t="n">
        <v>17620.532832</v>
      </c>
      <c r="AA131" s="262" t="n">
        <v>18864.21</v>
      </c>
      <c r="AC131" s="262" t="n">
        <v>18966.185037</v>
      </c>
      <c r="AD131" s="262" t="n">
        <v>21467.171</v>
      </c>
    </row>
    <row r="132">
      <c r="A132" t="inlineStr">
        <is>
          <t>Receita bruta total (Outras Informacoes) - memoria · memoria · unid. moeda</t>
        </is>
      </c>
      <c r="C132" t="inlineStr">
        <is>
          <t>[linha bruta, sem código; lançada nas linhas abaixo]</t>
        </is>
      </c>
      <c r="D132" s="262" t="n">
        <v>964269.592024</v>
      </c>
      <c r="E132" s="262" t="n">
        <v>1005132.34457</v>
      </c>
      <c r="F132" s="262" t="n">
        <v>1107450.18044</v>
      </c>
      <c r="G132" s="262" t="n">
        <v>1095561.12105</v>
      </c>
      <c r="I132" s="262" t="n">
        <v>1173408.106179</v>
      </c>
      <c r="J132" s="262" t="n">
        <v>1196381.537348</v>
      </c>
      <c r="K132" s="262" t="n">
        <v>1234349.304</v>
      </c>
      <c r="L132" s="262" t="n">
        <v>1199027.54425</v>
      </c>
      <c r="N132" s="262" t="n">
        <v>1330405.88029</v>
      </c>
      <c r="O132" s="262" t="n"/>
      <c r="P132" s="262" t="n">
        <v>2011020.324166</v>
      </c>
      <c r="Q132" s="262" t="n">
        <v>1835383.548</v>
      </c>
      <c r="S132" s="262" t="n">
        <v>2055578.941731</v>
      </c>
      <c r="T132" s="262" t="n">
        <v>2136901.947018</v>
      </c>
      <c r="U132" s="262" t="n">
        <v>2133177.792</v>
      </c>
      <c r="V132" s="262" t="n">
        <v>1994306.342133</v>
      </c>
      <c r="X132" s="262" t="n">
        <v>2188441</v>
      </c>
      <c r="Y132" s="262" t="n">
        <v>2197802.169</v>
      </c>
      <c r="Z132" s="262" t="n">
        <v>2378626.123333</v>
      </c>
      <c r="AA132" s="262" t="n">
        <v>2238166.173953</v>
      </c>
      <c r="AC132" s="262" t="n">
        <v>2410224.257154</v>
      </c>
      <c r="AD132" s="262" t="n">
        <v>2514578.457</v>
      </c>
    </row>
    <row r="133">
      <c r="A133" t="inlineStr">
        <is>
          <t>CHECK: soma dos negocios - receita bruta (deve ser 0) · derivada · unid. moeda</t>
        </is>
      </c>
      <c r="C133" t="inlineStr">
        <is>
          <t>[linha bruta, sem código; lançada nas linhas abaixo]</t>
        </is>
      </c>
      <c r="D133" s="262">
        <f>D124+D125+D126+D127+D128+D129+D130+D131-D132</f>
        <v>0</v>
      </c>
      <c r="E133" s="262">
        <f>E124+E125+E126+E127+E128+E129+E130+E131-E132</f>
        <v>0</v>
      </c>
      <c r="F133" s="262">
        <f>F124+F125+F126+F127+F128+F129+F130+F131-F132</f>
        <v>0</v>
      </c>
      <c r="G133" s="262">
        <f>G124+G125+G126+G127+G128+G129+G130+G131-G132</f>
        <v>0</v>
      </c>
      <c r="I133" s="262">
        <f>I124+I125+I126+I127+I128+I129+I130+I131-I132</f>
        <v>0</v>
      </c>
      <c r="J133" s="262">
        <f>J124+J125+J126+J127+J128+J129+J130+J131-J132</f>
        <v>0</v>
      </c>
      <c r="K133" s="262">
        <f>K124+K125+K126+K127+K128+K129+K130+K131-K132</f>
        <v>0</v>
      </c>
      <c r="L133" s="262">
        <f>L124+L125+L126+L127+L128+L129+L130+L131-L132</f>
        <v>0</v>
      </c>
      <c r="N133" s="262">
        <f>N124+N125+N126+N127+N128+N129+N130+N131-N132</f>
        <v>0</v>
      </c>
      <c r="O133" s="262">
        <f>O124+O125+O126+O127+O128+O129+O130+O131-O132</f>
        <v>0</v>
      </c>
      <c r="P133" s="262">
        <f>P124+P125+P126+P127+P128+P129+P130+P131-P132</f>
        <v>0</v>
      </c>
      <c r="Q133" s="262">
        <f>Q124+Q125+Q126+Q127+Q128+Q129+Q130+Q131-Q132</f>
        <v>0</v>
      </c>
      <c r="S133" s="262">
        <f>S124+S125+S126+S127+S128+S129+S130+S131-S132</f>
        <v>-1.00000761449337e-06</v>
      </c>
      <c r="T133" s="262">
        <f>T124+T125+T126+T127+T128+T129+T130+T131-T132</f>
        <v>0</v>
      </c>
      <c r="U133" s="262">
        <f>U124+U125+U126+U127+U128+U129+U130+U131-U132</f>
        <v>0</v>
      </c>
      <c r="V133" s="262">
        <f>V124+V125+V126+V127+V128+V129+V130+V131-V132</f>
        <v>0</v>
      </c>
      <c r="X133" s="262">
        <f>X124+X125+X126+X127+X128+X129+X130+X131-X132</f>
        <v>0</v>
      </c>
      <c r="Y133" s="262">
        <f>Y124+Y125+Y126+Y127+Y128+Y129+Y130+Y131-Y132</f>
        <v>0</v>
      </c>
      <c r="Z133" s="262">
        <f>Z124+Z125+Z126+Z127+Z128+Z129+Z130+Z131-Z132</f>
        <v>0</v>
      </c>
      <c r="AA133" s="262">
        <f>AA124+AA125+AA126+AA127+AA128+AA129+AA130+AA131-AA132</f>
        <v>0</v>
      </c>
      <c r="AC133" s="262">
        <f>AC124+AC125+AC126+AC127+AC128+AC129+AC130+AC131-AC132</f>
        <v>-9.99774783849716e-07</v>
      </c>
      <c r="AD133" s="262">
        <f>AD124+AD125+AD126+AD127+AD128+AD129+AD130+AD131-AD132</f>
        <v>0</v>
      </c>
    </row>
    <row r="134">
      <c r="A134" t="inlineStr">
        <is>
          <t>Deducoes da receita - Impostos | Fleury DRE l.12 / Combinada DRE l.9 · fonte · unid. moeda</t>
        </is>
      </c>
      <c r="B134" t="n">
        <v>52</v>
      </c>
      <c r="C134" t="inlineStr">
        <is>
          <t>Deducoes da receita - Impostos | Fleury DRE l.12 / Combinada</t>
        </is>
      </c>
      <c r="D134" s="262" t="n">
        <v>-60479.0977</v>
      </c>
      <c r="E134" s="262" t="n">
        <v>-62620.90643</v>
      </c>
      <c r="F134" s="262" t="n">
        <v>-68383.83963</v>
      </c>
      <c r="G134" s="262" t="n">
        <v>-67183.58676000001</v>
      </c>
      <c r="I134" s="262" t="n">
        <v>-72056.93266000001</v>
      </c>
      <c r="J134" s="262" t="n">
        <v>-73664.18925</v>
      </c>
      <c r="K134" s="262" t="n">
        <v>-75619.67247999999</v>
      </c>
      <c r="L134" s="262" t="n">
        <v>-73712.02794</v>
      </c>
      <c r="N134" s="262" t="n">
        <v>-81579.13177000001</v>
      </c>
      <c r="O134" s="262" t="n">
        <v>-109406</v>
      </c>
      <c r="P134" s="262" t="n">
        <v>-123963</v>
      </c>
      <c r="Q134" s="262" t="n">
        <v>-113246.86823</v>
      </c>
      <c r="S134" s="262" t="n">
        <v>-126652</v>
      </c>
      <c r="T134" s="262" t="n">
        <v>-133194</v>
      </c>
      <c r="U134" s="262" t="n">
        <v>-136299</v>
      </c>
      <c r="V134" s="262" t="n">
        <v>-123965</v>
      </c>
      <c r="X134" s="262" t="n">
        <v>-137280</v>
      </c>
      <c r="Y134" s="262" t="n">
        <v>-138257</v>
      </c>
      <c r="Z134" s="262" t="n">
        <v>-150707.32908</v>
      </c>
      <c r="AA134" s="262" t="n">
        <v>-141090.0998</v>
      </c>
      <c r="AC134" s="262" t="n">
        <v>-151474.952</v>
      </c>
      <c r="AD134" s="262" t="n">
        <v>-160541.522</v>
      </c>
    </row>
    <row r="135">
      <c r="A135" t="inlineStr">
        <is>
          <t>Deducoes da receita - Glosas | Fleury DRE l.13 / Combinada DRE l.10 · fonte · unid. moeda</t>
        </is>
      </c>
      <c r="B135" t="n">
        <v>52</v>
      </c>
      <c r="C135" t="inlineStr">
        <is>
          <t>Deducoes da receita - Glosas | Fleury DRE l.13 / Combinada D</t>
        </is>
      </c>
      <c r="D135" s="262" t="n">
        <v>-9982.04254</v>
      </c>
      <c r="E135" s="262" t="n">
        <v>-10445.33269</v>
      </c>
      <c r="F135" s="262" t="n">
        <v>-10236.12329</v>
      </c>
      <c r="G135" s="262" t="n">
        <v>-10430.7508</v>
      </c>
      <c r="I135" s="262" t="n">
        <v>-11438.60344</v>
      </c>
      <c r="J135" s="262" t="n">
        <v>-10971.38684</v>
      </c>
      <c r="K135" s="262" t="n">
        <v>-11952.2143</v>
      </c>
      <c r="L135" s="262" t="n">
        <v>-10568.48603</v>
      </c>
      <c r="N135" s="262" t="n">
        <v>-12003.33084</v>
      </c>
      <c r="O135" s="262" t="n">
        <v>-13470</v>
      </c>
      <c r="P135" s="262" t="n">
        <v>-13546</v>
      </c>
      <c r="Q135" s="262" t="n">
        <v>-11093.66916</v>
      </c>
      <c r="S135" s="262" t="n">
        <v>-21180</v>
      </c>
      <c r="T135" s="262" t="n">
        <v>-22170</v>
      </c>
      <c r="U135" s="262" t="n">
        <v>-30207</v>
      </c>
      <c r="V135" s="262" t="n">
        <v>-26518</v>
      </c>
      <c r="X135" s="262" t="n">
        <v>-31623</v>
      </c>
      <c r="Y135" s="262" t="n">
        <v>-31434</v>
      </c>
      <c r="Z135" s="262" t="n">
        <v>-32436.684</v>
      </c>
      <c r="AA135" s="262" t="n">
        <v>-32132.70825</v>
      </c>
      <c r="AC135" s="262" t="n">
        <v>-32391.456</v>
      </c>
      <c r="AD135" s="262" t="n">
        <v>-32787.759</v>
      </c>
    </row>
    <row r="136">
      <c r="A136" t="inlineStr">
        <is>
          <t>Deducoes da receita - Abatimentos (so na aba Combinada) | Fleury DRE l.None / Combinada DRE l.11 · fonte · unid. moeda</t>
        </is>
      </c>
      <c r="B136" t="n">
        <v>52</v>
      </c>
      <c r="C136" t="inlineStr">
        <is>
          <t>Deducoes da receita - Abatimentos (so na aba Combinada) | Fl</t>
        </is>
      </c>
      <c r="D136" s="262" t="n">
        <v>0</v>
      </c>
      <c r="E136" s="262" t="n">
        <v>0</v>
      </c>
      <c r="F136" s="262" t="n">
        <v>0</v>
      </c>
      <c r="G136" s="262" t="n">
        <v>0</v>
      </c>
      <c r="I136" s="262" t="n">
        <v>0</v>
      </c>
      <c r="J136" s="262" t="n">
        <v>0</v>
      </c>
      <c r="K136" s="262" t="n">
        <v>0</v>
      </c>
      <c r="L136" s="262" t="n">
        <v>0</v>
      </c>
      <c r="N136" s="262" t="n">
        <v>0</v>
      </c>
      <c r="O136" s="262" t="n">
        <v>-2108</v>
      </c>
      <c r="P136" s="262" t="n">
        <v>-3466</v>
      </c>
      <c r="Q136" s="262" t="n">
        <v>-6602</v>
      </c>
      <c r="S136" s="262" t="n">
        <v>-3299</v>
      </c>
      <c r="T136" s="262" t="n">
        <v>-3336</v>
      </c>
      <c r="U136" s="262" t="n">
        <v>-4001</v>
      </c>
      <c r="V136" s="262" t="n">
        <v>-4486</v>
      </c>
      <c r="X136" s="262" t="n">
        <v>-4464</v>
      </c>
      <c r="Y136" s="262" t="n">
        <v>-3578</v>
      </c>
      <c r="Z136" s="262" t="n">
        <v>-4502.45374</v>
      </c>
      <c r="AA136" s="262" t="n">
        <v>-4347.88581</v>
      </c>
      <c r="AC136" s="262" t="n">
        <v>-3239.989</v>
      </c>
      <c r="AD136" s="262" t="n">
        <v>-4595.414</v>
      </c>
    </row>
    <row r="137">
      <c r="D137" s="262" t="n"/>
      <c r="E137" s="262" t="n"/>
      <c r="F137" s="262" t="n"/>
      <c r="G137" s="262" t="n"/>
      <c r="I137" s="262" t="n"/>
      <c r="J137" s="262" t="n"/>
      <c r="K137" s="262" t="n"/>
      <c r="L137" s="262" t="n"/>
      <c r="N137" s="262" t="n"/>
      <c r="O137" s="262" t="n"/>
      <c r="P137" s="262" t="n"/>
      <c r="Q137" s="262" t="n"/>
      <c r="S137" s="262" t="n"/>
      <c r="T137" s="262" t="n"/>
      <c r="U137" s="262" t="n"/>
      <c r="V137" s="262" t="n"/>
      <c r="X137" s="262" t="n"/>
      <c r="Y137" s="262" t="n"/>
      <c r="Z137" s="262" t="n"/>
      <c r="AA137" s="262" t="n"/>
      <c r="AC137" s="262" t="n"/>
      <c r="AD137" s="262" t="n"/>
    </row>
    <row r="138">
      <c r="A138" t="inlineStr">
        <is>
          <t>VOLUME (mil exames) E ACOES. Volumes da aba Combinada incluem o lab-to-lab do Pardini (quebra de serie no 2T23)</t>
        </is>
      </c>
      <c r="C138" t="inlineStr">
        <is>
          <t>[linha bruta, sem código; lançada nas linhas abaixo]</t>
        </is>
      </c>
      <c r="D138" s="262" t="n"/>
      <c r="E138" s="262" t="n"/>
      <c r="F138" s="262" t="n"/>
      <c r="G138" s="262" t="n"/>
      <c r="I138" s="262" t="n"/>
      <c r="J138" s="262" t="n"/>
      <c r="K138" s="262" t="n"/>
      <c r="L138" s="262" t="n"/>
      <c r="N138" s="262" t="n"/>
      <c r="O138" s="262" t="n"/>
      <c r="P138" s="262" t="n"/>
      <c r="Q138" s="262" t="n"/>
      <c r="S138" s="262" t="n"/>
      <c r="T138" s="262" t="n"/>
      <c r="U138" s="262" t="n"/>
      <c r="V138" s="262" t="n"/>
      <c r="X138" s="262" t="n"/>
      <c r="Y138" s="262" t="n"/>
      <c r="Z138" s="262" t="n"/>
      <c r="AA138" s="262" t="n"/>
      <c r="AC138" s="262" t="n"/>
      <c r="AD138" s="262" t="n"/>
    </row>
    <row r="139">
      <c r="A139" t="inlineStr">
        <is>
          <t>Exames - Unidades de Atendimento (PSC), mil | Fleury OI l.27 / Combinada OI l.102 · fonte · unid. un</t>
        </is>
      </c>
      <c r="B139" t="n">
        <v>53</v>
      </c>
      <c r="C139" t="inlineStr">
        <is>
          <t>Exames - Unidades de Atendimento (PSC), mil | Fleury OI l.27</t>
        </is>
      </c>
      <c r="D139" s="262" t="n">
        <v>14679154</v>
      </c>
      <c r="E139" s="262" t="n">
        <v>15004562</v>
      </c>
      <c r="F139" s="262" t="n">
        <v>15768101</v>
      </c>
      <c r="G139" s="262" t="n">
        <v>16663758</v>
      </c>
      <c r="I139" s="262" t="n">
        <v>18443280</v>
      </c>
      <c r="J139" s="262" t="n">
        <v>19516806.999604</v>
      </c>
      <c r="K139" s="262" t="n">
        <v>20759489</v>
      </c>
      <c r="L139" s="262" t="n">
        <v>19863724</v>
      </c>
      <c r="N139" s="262" t="n">
        <v>24639577</v>
      </c>
      <c r="O139" s="262" t="n"/>
      <c r="P139" s="262" t="n">
        <v>36037031</v>
      </c>
      <c r="Q139" s="262" t="n">
        <v>32350275</v>
      </c>
      <c r="S139" s="262" t="n">
        <v>37322504.000043</v>
      </c>
      <c r="T139" s="262" t="n">
        <v>37661768</v>
      </c>
      <c r="U139" s="262" t="n">
        <v>38316821</v>
      </c>
      <c r="V139" s="262" t="n">
        <v>35997773.870007</v>
      </c>
      <c r="X139" s="262" t="n">
        <v>40343756</v>
      </c>
      <c r="Y139" s="262" t="n">
        <v>39674485</v>
      </c>
      <c r="Z139" s="262" t="n">
        <v>44294023</v>
      </c>
      <c r="AA139" s="262" t="n">
        <v>40889107</v>
      </c>
      <c r="AC139" s="262" t="n">
        <v>47509718</v>
      </c>
      <c r="AD139" s="262" t="n">
        <v>46692560</v>
      </c>
    </row>
    <row r="140">
      <c r="A140" t="inlineStr">
        <is>
          <t>Exames - B2B, mil | Fleury OI l.28 / Combinada OI l.103 · fonte · unid. un</t>
        </is>
      </c>
      <c r="B140" t="n">
        <v>54</v>
      </c>
      <c r="C140" t="inlineStr">
        <is>
          <t>Exames - B2B, mil | Fleury OI l.28 / Combinada OI l.103</t>
        </is>
      </c>
      <c r="D140" s="262" t="n">
        <v>9279240.5</v>
      </c>
      <c r="E140" s="262" t="n">
        <v>9367924</v>
      </c>
      <c r="F140" s="262" t="n">
        <v>9361241.74</v>
      </c>
      <c r="G140" s="262" t="n">
        <v>8963542</v>
      </c>
      <c r="I140" s="262" t="n">
        <v>9172471</v>
      </c>
      <c r="J140" s="262" t="n">
        <v>9101283</v>
      </c>
      <c r="K140" s="262" t="n">
        <v>8325894</v>
      </c>
      <c r="L140" s="262" t="n">
        <v>6781810</v>
      </c>
      <c r="N140" s="262" t="n">
        <v>6572057</v>
      </c>
      <c r="O140" s="262" t="n"/>
      <c r="P140" s="262" t="n">
        <v>43098373</v>
      </c>
      <c r="Q140" s="262" t="n">
        <v>40482540</v>
      </c>
      <c r="S140" s="262" t="n">
        <v>44185140</v>
      </c>
      <c r="T140" s="262" t="n">
        <v>47746356</v>
      </c>
      <c r="U140" s="262" t="n">
        <v>49313098</v>
      </c>
      <c r="V140" s="262" t="n">
        <v>45175047.000009</v>
      </c>
      <c r="X140" s="262" t="n">
        <v>49242257</v>
      </c>
      <c r="Y140" s="262" t="n">
        <v>49738982</v>
      </c>
      <c r="Z140" s="262" t="n">
        <v>53681259</v>
      </c>
      <c r="AA140" s="262" t="n">
        <v>50715319</v>
      </c>
      <c r="AC140" s="262" t="n">
        <v>56978643</v>
      </c>
      <c r="AD140" s="262" t="n">
        <v>60275898</v>
      </c>
    </row>
    <row r="141">
      <c r="A141" t="inlineStr">
        <is>
          <t>Numero de acoes (unidades) | Fleury OI l.74 / Combinada OI l.293 · memoria · unid. un</t>
        </is>
      </c>
      <c r="C141" t="inlineStr">
        <is>
          <t>[linha bruta, sem código; lançada nas linhas abaixo]</t>
        </is>
      </c>
      <c r="D141" s="262" t="n">
        <v>317366310000</v>
      </c>
      <c r="E141" s="262" t="n">
        <v>317366310000</v>
      </c>
      <c r="F141" s="262" t="n">
        <v>317943996000</v>
      </c>
      <c r="G141" s="262" t="n">
        <v>317943996000</v>
      </c>
      <c r="I141" s="262" t="n">
        <v>317943996000</v>
      </c>
      <c r="J141" s="262" t="n">
        <v>317943996000</v>
      </c>
      <c r="K141" s="262" t="n">
        <v>318137880000</v>
      </c>
      <c r="L141" s="262" t="n">
        <v>367197096000</v>
      </c>
      <c r="N141" s="262" t="n">
        <v>367197096000</v>
      </c>
      <c r="O141" s="262" t="n">
        <v>547185685000</v>
      </c>
      <c r="P141" s="262" t="n">
        <v>547191026000</v>
      </c>
      <c r="Q141" s="262" t="n">
        <v>547191026000</v>
      </c>
      <c r="S141" s="262" t="n">
        <v>547191026000</v>
      </c>
      <c r="T141" s="262" t="n">
        <v>547191026000</v>
      </c>
      <c r="U141" s="262" t="n">
        <v>547191026000</v>
      </c>
      <c r="V141" s="262" t="n">
        <v>547191026000</v>
      </c>
      <c r="X141" s="262" t="n">
        <v>547191026000</v>
      </c>
      <c r="Y141" s="262" t="n">
        <v>547191026000</v>
      </c>
      <c r="Z141" s="262" t="n">
        <v>547191026000</v>
      </c>
      <c r="AA141" s="262" t="n">
        <v>547191026000</v>
      </c>
      <c r="AC141" s="262" t="n">
        <v>547191026000</v>
      </c>
      <c r="AD141" s="262" t="n">
        <v>547191026000</v>
      </c>
    </row>
    <row r="142">
      <c r="A142" t="inlineStr">
        <is>
          <t>Numero de acoes em milhoes (derivada) - cod 55 alimenta Model linha 230 · derivada · unid. un</t>
        </is>
      </c>
      <c r="B142" t="n">
        <v>55</v>
      </c>
      <c r="C142" t="inlineStr">
        <is>
          <t>Numero de acoes em milhoes (derivada) - cod 55 alimenta Mode</t>
        </is>
      </c>
      <c r="D142" s="262">
        <f>D141/1000000</f>
        <v>317366.31</v>
      </c>
      <c r="E142" s="262">
        <f>E141/1000000</f>
        <v>317366.31</v>
      </c>
      <c r="F142" s="262">
        <f>F141/1000000</f>
        <v>317943.996</v>
      </c>
      <c r="G142" s="262">
        <f>G141/1000000</f>
        <v>317943.996</v>
      </c>
      <c r="I142" s="262">
        <f>I141/1000000</f>
        <v>317943.996</v>
      </c>
      <c r="J142" s="262">
        <f>J141/1000000</f>
        <v>317943.996</v>
      </c>
      <c r="K142" s="262">
        <f>K141/1000000</f>
        <v>318137.88</v>
      </c>
      <c r="L142" s="262">
        <f>L141/1000000</f>
        <v>367197.096</v>
      </c>
      <c r="N142" s="262">
        <f>N141/1000000</f>
        <v>367197.096</v>
      </c>
      <c r="O142" s="262">
        <f>O141/1000000</f>
        <v>547185.685</v>
      </c>
      <c r="P142" s="262">
        <f>P141/1000000</f>
        <v>547191.026</v>
      </c>
      <c r="Q142" s="262">
        <f>Q141/1000000</f>
        <v>547191.026</v>
      </c>
      <c r="S142" s="262">
        <f>S141/1000000</f>
        <v>547191.026</v>
      </c>
      <c r="T142" s="262">
        <f>T141/1000000</f>
        <v>547191.026</v>
      </c>
      <c r="U142" s="262">
        <f>U141/1000000</f>
        <v>547191.026</v>
      </c>
      <c r="V142" s="262">
        <f>V141/1000000</f>
        <v>547191.026</v>
      </c>
      <c r="X142" s="262">
        <f>X141/1000000</f>
        <v>547191.026</v>
      </c>
      <c r="Y142" s="262">
        <f>Y141/1000000</f>
        <v>547191.026</v>
      </c>
      <c r="Z142" s="262">
        <f>Z141/1000000</f>
        <v>547191.026</v>
      </c>
      <c r="AA142" s="262">
        <f>AA141/1000000</f>
        <v>547191.026</v>
      </c>
      <c r="AC142" s="262">
        <f>AC141/1000000</f>
        <v>547191.026</v>
      </c>
      <c r="AD142" s="262">
        <f>AD141/1000000</f>
        <v>547191.026</v>
      </c>
    </row>
    <row r="143">
      <c r="A143" t="inlineStr">
        <is>
          <t>Divida liquida / EBITDA LTM divulgado pela companhia (x) | Fleury OI l.72 / Combinada OI l.291 · fonte · unid. un</t>
        </is>
      </c>
      <c r="B143" t="n">
        <v>56</v>
      </c>
      <c r="C143" t="inlineStr">
        <is>
          <t>Divida liquida / EBITDA LTM divulgado pela companhia (x) | F</t>
        </is>
      </c>
      <c r="D143" s="262" t="n">
        <v>973.06958</v>
      </c>
      <c r="E143" s="262" t="n">
        <v>1036.043743</v>
      </c>
      <c r="F143" s="262" t="n">
        <v>1324.946558</v>
      </c>
      <c r="G143" s="262" t="n">
        <v>1336.541608</v>
      </c>
      <c r="I143" s="262" t="n">
        <v>1408.707608</v>
      </c>
      <c r="J143" s="262" t="n">
        <v>1800.335043</v>
      </c>
      <c r="K143" s="262" t="n">
        <v>1671.746699</v>
      </c>
      <c r="L143" s="262" t="n">
        <v>1214.893301</v>
      </c>
      <c r="N143" s="262" t="n">
        <v>1208.015624</v>
      </c>
      <c r="O143" s="262" t="n"/>
      <c r="P143" s="262" t="n">
        <v>1200</v>
      </c>
      <c r="Q143" s="262" t="n">
        <v>1200</v>
      </c>
      <c r="S143" s="262" t="n">
        <v>1200</v>
      </c>
      <c r="T143" s="262" t="n">
        <v>1100</v>
      </c>
      <c r="U143" s="262" t="n">
        <v>1000</v>
      </c>
      <c r="V143" s="262" t="n">
        <v>1000</v>
      </c>
      <c r="X143" s="262" t="n">
        <v>1000</v>
      </c>
      <c r="Y143" s="262" t="n">
        <v>1100</v>
      </c>
      <c r="Z143" s="262" t="n">
        <v>1000</v>
      </c>
      <c r="AA143" s="262" t="n">
        <v>1000</v>
      </c>
      <c r="AC143" s="262" t="n">
        <v>1000</v>
      </c>
      <c r="AD143" s="262" t="n">
        <v>1100</v>
      </c>
    </row>
    <row r="145">
      <c r="A145" t="inlineStr">
        <is>
          <t>Linhas de origem: 4 a 143. A Inputs (2) varre as linhas 4 a 200; as linhas 144 a 200 estão livres. Linhas "(lançamento)" aplicam código e sinal sobre a linha bruta indicada (a máscara tem uma só coluna de código).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64"/>
  <sheetViews>
    <sheetView showGridLines="0" tabSelected="1" zoomScaleNormal="100" workbookViewId="0">
      <pane xSplit="3" ySplit="3" topLeftCell="D4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10.42578125" defaultRowHeight="12.75"/>
  <cols>
    <col width="14.7109375" customWidth="1" style="3" min="1" max="1"/>
    <col width="10.140625" customWidth="1" style="3" min="2" max="2"/>
    <col width="50" customWidth="1" style="4" min="3" max="3"/>
    <col width="12.42578125" customWidth="1" style="3" min="4" max="33"/>
    <col width="10.42578125" customWidth="1" style="4" min="34" max="54"/>
    <col width="11" customWidth="1" style="4" min="55" max="55"/>
    <col width="10.42578125" customWidth="1" style="4" min="56" max="58"/>
    <col width="10.42578125" customWidth="1" style="4" min="59" max="16384"/>
  </cols>
  <sheetData>
    <row r="1" ht="14.25" customFormat="1" customHeight="1" s="3">
      <c r="A1" s="5" t="str">
        <f>IF(Control!B3="","EMPRESA",Control!B3)</f>
        <v>Fleury S.A.</v>
      </c>
      <c r="B1" s="5" t="inlineStr">
        <is>
          <t>Código</t>
        </is>
      </c>
      <c r="C1" s="1" t="inlineStr">
        <is>
          <t>Conta padronizada</t>
        </is>
      </c>
      <c r="D1" s="1" t="n">
        <v>2021</v>
      </c>
      <c r="E1" s="1" t="n">
        <v>2021</v>
      </c>
      <c r="F1" s="1" t="n">
        <v>2021</v>
      </c>
      <c r="G1" s="1" t="n">
        <v>2021</v>
      </c>
      <c r="H1" s="1" t="n">
        <v>2021</v>
      </c>
      <c r="I1" s="1" t="n">
        <v>2022</v>
      </c>
      <c r="J1" s="1" t="n">
        <v>2022</v>
      </c>
      <c r="K1" s="1" t="n">
        <v>2022</v>
      </c>
      <c r="L1" s="1" t="n">
        <v>2022</v>
      </c>
      <c r="M1" s="1" t="n">
        <v>2022</v>
      </c>
      <c r="N1" s="1" t="n">
        <v>2023</v>
      </c>
      <c r="O1" s="1" t="n">
        <v>2023</v>
      </c>
      <c r="P1" s="1" t="n">
        <v>2023</v>
      </c>
      <c r="Q1" s="1" t="n">
        <v>2023</v>
      </c>
      <c r="R1" s="1" t="n">
        <v>2023</v>
      </c>
      <c r="S1" s="1" t="n">
        <v>2024</v>
      </c>
      <c r="T1" s="1" t="n">
        <v>2024</v>
      </c>
      <c r="U1" s="1" t="n">
        <v>2024</v>
      </c>
      <c r="V1" s="1" t="n">
        <v>2024</v>
      </c>
      <c r="W1" s="1" t="n">
        <v>2024</v>
      </c>
      <c r="X1" s="1" t="n">
        <v>2025</v>
      </c>
      <c r="Y1" s="1" t="n">
        <v>2025</v>
      </c>
      <c r="Z1" s="1" t="n">
        <v>2025</v>
      </c>
      <c r="AA1" s="1" t="n">
        <v>2025</v>
      </c>
      <c r="AB1" s="1" t="n">
        <v>2025</v>
      </c>
      <c r="AC1" s="1" t="n">
        <v>2026</v>
      </c>
      <c r="AD1" s="1" t="n">
        <v>2026</v>
      </c>
      <c r="AE1" s="1" t="n">
        <v>2026</v>
      </c>
      <c r="AF1" s="1" t="n">
        <v>2026</v>
      </c>
      <c r="AG1" s="1" t="n">
        <v>2026</v>
      </c>
    </row>
    <row r="2" ht="14.25" customHeight="1">
      <c r="A2" s="1" t="inlineStr">
        <is>
          <t>R$ milhões</t>
        </is>
      </c>
      <c r="B2" s="1" t="n"/>
      <c r="C2" s="1" t="inlineStr">
        <is>
          <t>Período</t>
        </is>
      </c>
      <c r="D2" s="6" t="inlineStr">
        <is>
          <t>1Q21</t>
        </is>
      </c>
      <c r="E2" s="6" t="inlineStr">
        <is>
          <t>2Q21</t>
        </is>
      </c>
      <c r="F2" s="6" t="inlineStr">
        <is>
          <t>3Q21</t>
        </is>
      </c>
      <c r="G2" s="6" t="inlineStr">
        <is>
          <t>4Q21</t>
        </is>
      </c>
      <c r="H2" s="7" t="inlineStr">
        <is>
          <t>2021</t>
        </is>
      </c>
      <c r="I2" s="6" t="inlineStr">
        <is>
          <t>1Q22</t>
        </is>
      </c>
      <c r="J2" s="6" t="inlineStr">
        <is>
          <t>2Q22</t>
        </is>
      </c>
      <c r="K2" s="6" t="inlineStr">
        <is>
          <t>3Q22</t>
        </is>
      </c>
      <c r="L2" s="6" t="inlineStr">
        <is>
          <t>4Q22</t>
        </is>
      </c>
      <c r="M2" s="7" t="inlineStr">
        <is>
          <t>2022</t>
        </is>
      </c>
      <c r="N2" s="6" t="inlineStr">
        <is>
          <t>1Q23</t>
        </is>
      </c>
      <c r="O2" s="6" t="inlineStr">
        <is>
          <t>2Q23</t>
        </is>
      </c>
      <c r="P2" s="6" t="inlineStr">
        <is>
          <t>3Q23</t>
        </is>
      </c>
      <c r="Q2" s="6" t="inlineStr">
        <is>
          <t>4Q23</t>
        </is>
      </c>
      <c r="R2" s="7" t="inlineStr">
        <is>
          <t>2023</t>
        </is>
      </c>
      <c r="S2" s="6" t="inlineStr">
        <is>
          <t>1Q24</t>
        </is>
      </c>
      <c r="T2" s="6" t="inlineStr">
        <is>
          <t>2Q24</t>
        </is>
      </c>
      <c r="U2" s="6" t="inlineStr">
        <is>
          <t>3Q24</t>
        </is>
      </c>
      <c r="V2" s="6" t="inlineStr">
        <is>
          <t>4Q24</t>
        </is>
      </c>
      <c r="W2" s="7" t="inlineStr">
        <is>
          <t>2024</t>
        </is>
      </c>
      <c r="X2" s="6" t="inlineStr">
        <is>
          <t>1Q25</t>
        </is>
      </c>
      <c r="Y2" s="6" t="inlineStr">
        <is>
          <t>2Q25</t>
        </is>
      </c>
      <c r="Z2" s="6" t="inlineStr">
        <is>
          <t>3Q25</t>
        </is>
      </c>
      <c r="AA2" s="6" t="inlineStr">
        <is>
          <t>4Q25</t>
        </is>
      </c>
      <c r="AB2" s="7" t="inlineStr">
        <is>
          <t>2025</t>
        </is>
      </c>
      <c r="AC2" s="6" t="inlineStr">
        <is>
          <t>1Q26</t>
        </is>
      </c>
      <c r="AD2" s="6" t="inlineStr">
        <is>
          <t>2Q26</t>
        </is>
      </c>
      <c r="AE2" s="6" t="inlineStr">
        <is>
          <t>3Q26</t>
        </is>
      </c>
      <c r="AF2" s="6" t="inlineStr">
        <is>
          <t>4Q26</t>
        </is>
      </c>
      <c r="AG2" s="7" t="inlineStr">
        <is>
          <t>2026</t>
        </is>
      </c>
    </row>
    <row r="3" ht="15" customHeight="1">
      <c r="A3" s="8" t="inlineStr">
        <is>
          <t>Actual flag</t>
        </is>
      </c>
      <c r="B3" s="8" t="n"/>
      <c r="C3" s="8" t="inlineStr">
        <is>
          <t>0 = sem dados / 1 = realizado</t>
        </is>
      </c>
      <c r="D3" s="8" t="n">
        <v>1</v>
      </c>
      <c r="E3" s="8" t="n">
        <v>1</v>
      </c>
      <c r="F3" s="8" t="n">
        <v>1</v>
      </c>
      <c r="G3" s="8" t="n">
        <v>1</v>
      </c>
      <c r="H3" s="8" t="n">
        <v>1</v>
      </c>
      <c r="I3" s="8" t="n">
        <v>1</v>
      </c>
      <c r="J3" s="8" t="n">
        <v>1</v>
      </c>
      <c r="K3" s="8" t="n">
        <v>1</v>
      </c>
      <c r="L3" s="8" t="n">
        <v>1</v>
      </c>
      <c r="M3" s="8" t="n">
        <v>1</v>
      </c>
      <c r="N3" s="8" t="n">
        <v>1</v>
      </c>
      <c r="O3" s="8" t="n">
        <v>1</v>
      </c>
      <c r="P3" s="8" t="n">
        <v>1</v>
      </c>
      <c r="Q3" s="8" t="n">
        <v>1</v>
      </c>
      <c r="R3" s="8" t="n">
        <v>1</v>
      </c>
      <c r="S3" s="8" t="n">
        <v>1</v>
      </c>
      <c r="T3" s="8" t="n">
        <v>1</v>
      </c>
      <c r="U3" s="8" t="n">
        <v>1</v>
      </c>
      <c r="V3" s="8" t="n">
        <v>1</v>
      </c>
      <c r="W3" s="8" t="n">
        <v>1</v>
      </c>
      <c r="X3" s="8" t="n">
        <v>1</v>
      </c>
      <c r="Y3" s="8" t="n">
        <v>1</v>
      </c>
      <c r="Z3" s="8" t="n">
        <v>1</v>
      </c>
      <c r="AA3" s="8" t="n">
        <v>1</v>
      </c>
      <c r="AB3" s="8" t="n">
        <v>1</v>
      </c>
      <c r="AC3" s="8" t="n">
        <v>1</v>
      </c>
      <c r="AD3" s="8" t="n">
        <v>1</v>
      </c>
      <c r="AE3" s="8" t="n">
        <v>0</v>
      </c>
      <c r="AF3" s="8" t="n">
        <v>0</v>
      </c>
      <c r="AG3" s="8" t="n">
        <v>0</v>
      </c>
    </row>
    <row r="4">
      <c r="B4" s="9" t="n">
        <v>1</v>
      </c>
      <c r="C4" s="10" t="inlineStr">
        <is>
          <t>Net Revenues</t>
        </is>
      </c>
      <c r="D4" s="11">
        <f>IF(D$3=0,"",SUMIFS(INDEX(Inputs!$D$4:$AG$200,0,MATCH(D$2,Inputs!$D$2:$AG$2,0)),Inputs!$B$4:$B$200,$B4)/1000)</f>
        <v>893.80797581</v>
      </c>
      <c r="E4" s="11">
        <f>IF(E$3=0,"",SUMIFS(INDEX(Inputs!$D$4:$AG$200,0,MATCH(E$2,Inputs!$D$2:$AG$2,0)),Inputs!$B$4:$B$200,$B4)/1000)</f>
        <v>932.06635589</v>
      </c>
      <c r="F4" s="11">
        <f>IF(F$3=0,"",SUMIFS(INDEX(Inputs!$D$4:$AG$200,0,MATCH(F$2,Inputs!$D$2:$AG$2,0)),Inputs!$B$4:$B$200,$B4)/1000)</f>
        <v>1028.82986343</v>
      </c>
      <c r="G4" s="11">
        <f>IF(G$3=0,"",SUMIFS(INDEX(Inputs!$D$4:$AG$200,0,MATCH(G$2,Inputs!$D$2:$AG$2,0)),Inputs!$B$4:$B$200,$B4)/1000)</f>
        <v>1017.94642707</v>
      </c>
      <c r="H4" s="12">
        <f>IF(COUNT(D4:G4)=4,SUM(D4:G4),"")</f>
        <v>3872.6506222</v>
      </c>
      <c r="I4" s="11">
        <f>IF(I$3=0,"",SUMIFS(INDEX(Inputs!$D$4:$AG$200,0,MATCH(I$2,Inputs!$D$2:$AG$2,0)),Inputs!$B$4:$B$200,$B4)/1000)</f>
        <v>1089.912570079</v>
      </c>
      <c r="J4" s="11">
        <f>IF(J$3=0,"",SUMIFS(INDEX(Inputs!$D$4:$AG$200,0,MATCH(J$2,Inputs!$D$2:$AG$2,0)),Inputs!$B$4:$B$200,$B4)/1000)</f>
        <v>1111.745961258</v>
      </c>
      <c r="K4" s="11">
        <f>IF(K$3=0,"",SUMIFS(INDEX(Inputs!$D$4:$AG$200,0,MATCH(K$2,Inputs!$D$2:$AG$2,0)),Inputs!$B$4:$B$200,$B4)/1000)</f>
        <v>1146.63487622</v>
      </c>
      <c r="L4" s="11">
        <f>IF(L$3=0,"",SUMIFS(INDEX(Inputs!$D$4:$AG$200,0,MATCH(L$2,Inputs!$D$2:$AG$2,0)),Inputs!$B$4:$B$200,$B4)/1000)</f>
        <v>1114.74676428</v>
      </c>
      <c r="M4" s="12">
        <f>IF(COUNT(I4:L4)=4,SUM(I4:L4),"")</f>
        <v>4463.040171837</v>
      </c>
      <c r="N4" s="11">
        <f>IF(N$3=0,"",SUMIFS(INDEX(Inputs!$D$4:$AG$200,0,MATCH(N$2,Inputs!$D$2:$AG$2,0)),Inputs!$B$4:$B$200,$B4)/1000)</f>
        <v>1236.82329968</v>
      </c>
      <c r="O4" s="11">
        <f>IF(O$3=0,"",SUMIFS(INDEX(Inputs!$D$4:$AG$200,0,MATCH(O$2,Inputs!$D$2:$AG$2,0)),Inputs!$B$4:$B$200,$B4)/1000)</f>
        <v>1659.541</v>
      </c>
      <c r="P4" s="11">
        <f>IF(P$3=0,"",SUMIFS(INDEX(Inputs!$D$4:$AG$200,0,MATCH(P$2,Inputs!$D$2:$AG$2,0)),Inputs!$B$4:$B$200,$B4)/1000)</f>
        <v>1870.045</v>
      </c>
      <c r="Q4" s="11">
        <f>IF(Q$3=0,"",SUMIFS(INDEX(Inputs!$D$4:$AG$200,0,MATCH(Q$2,Inputs!$D$2:$AG$2,0)),Inputs!$B$4:$B$200,$B4)/1000)</f>
        <v>1704.44070032</v>
      </c>
      <c r="R4" s="12">
        <f>IF(COUNT(N4:Q4)=4,SUM(N4:Q4),"")</f>
        <v>6470.85</v>
      </c>
      <c r="S4" s="11">
        <f>IF(S$3=0,"",SUMIFS(INDEX(Inputs!$D$4:$AG$200,0,MATCH(S$2,Inputs!$D$2:$AG$2,0)),Inputs!$B$4:$B$200,$B4)/1000)</f>
        <v>1904.4484785</v>
      </c>
      <c r="T4" s="11">
        <f>IF(T$3=0,"",SUMIFS(INDEX(Inputs!$D$4:$AG$200,0,MATCH(T$2,Inputs!$D$2:$AG$2,0)),Inputs!$B$4:$B$200,$B4)/1000)</f>
        <v>1978.202</v>
      </c>
      <c r="U4" s="11">
        <f>IF(U$3=0,"",SUMIFS(INDEX(Inputs!$D$4:$AG$200,0,MATCH(U$2,Inputs!$D$2:$AG$2,0)),Inputs!$B$4:$B$200,$B4)/1000)</f>
        <v>1962.671474</v>
      </c>
      <c r="V4" s="11">
        <f>IF(V$3=0,"",SUMIFS(INDEX(Inputs!$D$4:$AG$200,0,MATCH(V$2,Inputs!$D$2:$AG$2,0)),Inputs!$B$4:$B$200,$B4)/1000)</f>
        <v>1839.3370475</v>
      </c>
      <c r="W4" s="12">
        <f>IF(COUNT(S4:V4)=4,SUM(S4:V4),"")</f>
        <v>7684.659</v>
      </c>
      <c r="X4" s="11">
        <f>IF(X$3=0,"",SUMIFS(INDEX(Inputs!$D$4:$AG$200,0,MATCH(X$2,Inputs!$D$2:$AG$2,0)),Inputs!$B$4:$B$200,$B4)/1000)</f>
        <v>2015.074</v>
      </c>
      <c r="Y4" s="11">
        <f>IF(Y$3=0,"",SUMIFS(INDEX(Inputs!$D$4:$AG$200,0,MATCH(Y$2,Inputs!$D$2:$AG$2,0)),Inputs!$B$4:$B$200,$B4)/1000)</f>
        <v>2024.533</v>
      </c>
      <c r="Z4" s="11">
        <f>IF(Z$3=0,"",SUMIFS(INDEX(Inputs!$D$4:$AG$200,0,MATCH(Z$2,Inputs!$D$2:$AG$2,0)),Inputs!$B$4:$B$200,$B4)/1000)</f>
        <v>2190.979183827</v>
      </c>
      <c r="AA4" s="11">
        <f>IF(AA$3=0,"",SUMIFS(INDEX(Inputs!$D$4:$AG$200,0,MATCH(AA$2,Inputs!$D$2:$AG$2,0)),Inputs!$B$4:$B$200,$B4)/1000)</f>
        <v>2060.59533814</v>
      </c>
      <c r="AB4" s="12">
        <f>IF(COUNT(X4:AA4)=4,SUM(X4:AA4),"")</f>
        <v>8291.181521967</v>
      </c>
      <c r="AC4" s="11">
        <f>IF(AC$3=0,"",SUMIFS(INDEX(Inputs!$D$4:$AG$200,0,MATCH(AC$2,Inputs!$D$2:$AG$2,0)),Inputs!$B$4:$B$200,$B4)/1000)</f>
        <v>2223.11781868</v>
      </c>
      <c r="AD4" s="11">
        <f>IF(AD$3=0,"",SUMIFS(INDEX(Inputs!$D$4:$AG$200,0,MATCH(AD$2,Inputs!$D$2:$AG$2,0)),Inputs!$B$4:$B$200,$B4)/1000)</f>
        <v>2316.653662</v>
      </c>
      <c r="AE4" s="11" t="str">
        <f>IF(AE$3=0,"",SUMIFS(INDEX(Inputs!$D$4:$AG$200,0,MATCH(AE$2,Inputs!$D$2:$AG$2,0)),Inputs!$B$4:$B$200,$B4)/1000)</f>
        <v/>
      </c>
      <c r="AF4" s="11" t="str">
        <f>IF(AF$3=0,"",SUMIFS(INDEX(Inputs!$D$4:$AG$200,0,MATCH(AF$2,Inputs!$D$2:$AG$2,0)),Inputs!$B$4:$B$200,$B4)/1000)</f>
        <v/>
      </c>
      <c r="AG4" s="12" t="str">
        <f>IF(COUNT(AC4:AF4)=4,SUM(AC4:AF4),"")</f>
        <v/>
      </c>
    </row>
    <row r="5">
      <c r="B5" s="9" t="n">
        <v>2</v>
      </c>
      <c r="C5" s="13" t="inlineStr">
        <is>
          <t>COGS (cash)</t>
        </is>
      </c>
      <c r="D5" s="11">
        <f>IF(D$3=0,"",SUMIFS(INDEX(Inputs!$D$4:$AG$200,0,MATCH(D$2,Inputs!$D$2:$AG$2,0)),Inputs!$B$4:$B$200,$B5)/1000)</f>
        <v>-534.68033785</v>
      </c>
      <c r="E5" s="11">
        <f>IF(E$3=0,"",SUMIFS(INDEX(Inputs!$D$4:$AG$200,0,MATCH(E$2,Inputs!$D$2:$AG$2,0)),Inputs!$B$4:$B$200,$B5)/1000)</f>
        <v>-598.85567232</v>
      </c>
      <c r="F5" s="11">
        <f>IF(F$3=0,"",SUMIFS(INDEX(Inputs!$D$4:$AG$200,0,MATCH(F$2,Inputs!$D$2:$AG$2,0)),Inputs!$B$4:$B$200,$B5)/1000)</f>
        <v>-637.06668857</v>
      </c>
      <c r="G5" s="11">
        <f>IF(G$3=0,"",SUMIFS(INDEX(Inputs!$D$4:$AG$200,0,MATCH(G$2,Inputs!$D$2:$AG$2,0)),Inputs!$B$4:$B$200,$B5)/1000)</f>
        <v>-650.17978605</v>
      </c>
      <c r="H5" s="12">
        <f>IF(COUNT(D5:G5)=4,SUM(D5:G5),"")</f>
        <v>-2420.78248479</v>
      </c>
      <c r="I5" s="11">
        <f>IF(I$3=0,"",SUMIFS(INDEX(Inputs!$D$4:$AG$200,0,MATCH(I$2,Inputs!$D$2:$AG$2,0)),Inputs!$B$4:$B$200,$B5)/1000)</f>
        <v>-673.03773971</v>
      </c>
      <c r="J5" s="11">
        <f>IF(J$3=0,"",SUMIFS(INDEX(Inputs!$D$4:$AG$200,0,MATCH(J$2,Inputs!$D$2:$AG$2,0)),Inputs!$B$4:$B$200,$B5)/1000)</f>
        <v>-712.98908279</v>
      </c>
      <c r="K5" s="11">
        <f>IF(K$3=0,"",SUMIFS(INDEX(Inputs!$D$4:$AG$200,0,MATCH(K$2,Inputs!$D$2:$AG$2,0)),Inputs!$B$4:$B$200,$B5)/1000)</f>
        <v>-712.41349757</v>
      </c>
      <c r="L5" s="11">
        <f>IF(L$3=0,"",SUMIFS(INDEX(Inputs!$D$4:$AG$200,0,MATCH(L$2,Inputs!$D$2:$AG$2,0)),Inputs!$B$4:$B$200,$B5)/1000)</f>
        <v>-758.9403701</v>
      </c>
      <c r="M5" s="12">
        <f>IF(COUNT(I5:L5)=4,SUM(I5:L5),"")</f>
        <v>-2857.38069017</v>
      </c>
      <c r="N5" s="11">
        <f>IF(N$3=0,"",SUMIFS(INDEX(Inputs!$D$4:$AG$200,0,MATCH(N$2,Inputs!$D$2:$AG$2,0)),Inputs!$B$4:$B$200,$B5)/1000)</f>
        <v>-776.43264322</v>
      </c>
      <c r="O5" s="11">
        <f>IF(O$3=0,"",SUMIFS(INDEX(Inputs!$D$4:$AG$200,0,MATCH(O$2,Inputs!$D$2:$AG$2,0)),Inputs!$B$4:$B$200,$B5)/1000)</f>
        <v>-1075.179</v>
      </c>
      <c r="P5" s="11">
        <f>IF(P$3=0,"",SUMIFS(INDEX(Inputs!$D$4:$AG$200,0,MATCH(P$2,Inputs!$D$2:$AG$2,0)),Inputs!$B$4:$B$200,$B5)/1000)</f>
        <v>-1198.067564662</v>
      </c>
      <c r="Q5" s="11">
        <f>IF(Q$3=0,"",SUMIFS(INDEX(Inputs!$D$4:$AG$200,0,MATCH(Q$2,Inputs!$D$2:$AG$2,0)),Inputs!$B$4:$B$200,$B5)/1000)</f>
        <v>-1157.671</v>
      </c>
      <c r="R5" s="12">
        <f>IF(COUNT(N5:Q5)=4,SUM(N5:Q5),"")</f>
        <v>-4207.350207882</v>
      </c>
      <c r="S5" s="11">
        <f>IF(S$3=0,"",SUMIFS(INDEX(Inputs!$D$4:$AG$200,0,MATCH(S$2,Inputs!$D$2:$AG$2,0)),Inputs!$B$4:$B$200,$B5)/1000)</f>
        <v>-1192.092</v>
      </c>
      <c r="T5" s="11">
        <f>IF(T$3=0,"",SUMIFS(INDEX(Inputs!$D$4:$AG$200,0,MATCH(T$2,Inputs!$D$2:$AG$2,0)),Inputs!$B$4:$B$200,$B5)/1000)</f>
        <v>-1260.839</v>
      </c>
      <c r="U5" s="11">
        <f>IF(U$3=0,"",SUMIFS(INDEX(Inputs!$D$4:$AG$200,0,MATCH(U$2,Inputs!$D$2:$AG$2,0)),Inputs!$B$4:$B$200,$B5)/1000)</f>
        <v>-1251.884</v>
      </c>
      <c r="V5" s="11">
        <f>IF(V$3=0,"",SUMIFS(INDEX(Inputs!$D$4:$AG$200,0,MATCH(V$2,Inputs!$D$2:$AG$2,0)),Inputs!$B$4:$B$200,$B5)/1000)</f>
        <v>-1231.388</v>
      </c>
      <c r="W5" s="12">
        <f>IF(COUNT(S5:V5)=4,SUM(S5:V5),"")</f>
        <v>-4936.203</v>
      </c>
      <c r="X5" s="11">
        <f>IF(X$3=0,"",SUMIFS(INDEX(Inputs!$D$4:$AG$200,0,MATCH(X$2,Inputs!$D$2:$AG$2,0)),Inputs!$B$4:$B$200,$B5)/1000)</f>
        <v>-1282.082</v>
      </c>
      <c r="Y5" s="11">
        <f>IF(Y$3=0,"",SUMIFS(INDEX(Inputs!$D$4:$AG$200,0,MATCH(Y$2,Inputs!$D$2:$AG$2,0)),Inputs!$B$4:$B$200,$B5)/1000)</f>
        <v>-1326.516</v>
      </c>
      <c r="Z5" s="11">
        <f>IF(Z$3=0,"",SUMIFS(INDEX(Inputs!$D$4:$AG$200,0,MATCH(Z$2,Inputs!$D$2:$AG$2,0)),Inputs!$B$4:$B$200,$B5)/1000)</f>
        <v>-1399.705</v>
      </c>
      <c r="AA5" s="11">
        <f>IF(AA$3=0,"",SUMIFS(INDEX(Inputs!$D$4:$AG$200,0,MATCH(AA$2,Inputs!$D$2:$AG$2,0)),Inputs!$B$4:$B$200,$B5)/1000)</f>
        <v>-1394.057</v>
      </c>
      <c r="AB5" s="12">
        <f>IF(COUNT(X5:AA5)=4,SUM(X5:AA5),"")</f>
        <v>-5402.36</v>
      </c>
      <c r="AC5" s="11">
        <f>IF(AC$3=0,"",SUMIFS(INDEX(Inputs!$D$4:$AG$200,0,MATCH(AC$2,Inputs!$D$2:$AG$2,0)),Inputs!$B$4:$B$200,$B5)/1000)</f>
        <v>-1417.643</v>
      </c>
      <c r="AD5" s="11">
        <f>IF(AD$3=0,"",SUMIFS(INDEX(Inputs!$D$4:$AG$200,0,MATCH(AD$2,Inputs!$D$2:$AG$2,0)),Inputs!$B$4:$B$200,$B5)/1000)</f>
        <v>-1508.18</v>
      </c>
      <c r="AE5" s="11" t="str">
        <f>IF(AE$3=0,"",SUMIFS(INDEX(Inputs!$D$4:$AG$200,0,MATCH(AE$2,Inputs!$D$2:$AG$2,0)),Inputs!$B$4:$B$200,$B5)/1000)</f>
        <v/>
      </c>
      <c r="AF5" s="11" t="str">
        <f>IF(AF$3=0,"",SUMIFS(INDEX(Inputs!$D$4:$AG$200,0,MATCH(AF$2,Inputs!$D$2:$AG$2,0)),Inputs!$B$4:$B$200,$B5)/1000)</f>
        <v/>
      </c>
      <c r="AG5" s="12" t="str">
        <f>IF(COUNT(AC5:AF5)=4,SUM(AC5:AF5),"")</f>
        <v/>
      </c>
    </row>
    <row r="6">
      <c r="B6" s="9" t="n">
        <v>3</v>
      </c>
      <c r="C6" s="13" t="inlineStr">
        <is>
          <t>SG&amp;A and Other (cash)</t>
        </is>
      </c>
      <c r="D6" s="11">
        <f>IF(D$3=0,"",SUMIFS(INDEX(Inputs!$D$4:$AG$200,0,MATCH(D$2,Inputs!$D$2:$AG$2,0)),Inputs!$B$4:$B$200,$B6)/1000)</f>
        <v>-73.595387</v>
      </c>
      <c r="E6" s="11">
        <f>IF(E$3=0,"",SUMIFS(INDEX(Inputs!$D$4:$AG$200,0,MATCH(E$2,Inputs!$D$2:$AG$2,0)),Inputs!$B$4:$B$200,$B6)/1000)</f>
        <v>-113.47448102</v>
      </c>
      <c r="F6" s="11">
        <f>IF(F$3=0,"",SUMIFS(INDEX(Inputs!$D$4:$AG$200,0,MATCH(F$2,Inputs!$D$2:$AG$2,0)),Inputs!$B$4:$B$200,$B6)/1000)</f>
        <v>-103.2100733</v>
      </c>
      <c r="G6" s="11">
        <f>IF(G$3=0,"",SUMIFS(INDEX(Inputs!$D$4:$AG$200,0,MATCH(G$2,Inputs!$D$2:$AG$2,0)),Inputs!$B$4:$B$200,$B6)/1000)</f>
        <v>-105.59846189</v>
      </c>
      <c r="H6" s="12">
        <f>IF(COUNT(D6:G6)=4,SUM(D6:G6),"")</f>
        <v>-395.87840321</v>
      </c>
      <c r="I6" s="11">
        <f>IF(I$3=0,"",SUMIFS(INDEX(Inputs!$D$4:$AG$200,0,MATCH(I$2,Inputs!$D$2:$AG$2,0)),Inputs!$B$4:$B$200,$B6)/1000)</f>
        <v>-90.29549809</v>
      </c>
      <c r="J6" s="11">
        <f>IF(J$3=0,"",SUMIFS(INDEX(Inputs!$D$4:$AG$200,0,MATCH(J$2,Inputs!$D$2:$AG$2,0)),Inputs!$B$4:$B$200,$B6)/1000)</f>
        <v>-100.75198281</v>
      </c>
      <c r="K6" s="11">
        <f>IF(K$3=0,"",SUMIFS(INDEX(Inputs!$D$4:$AG$200,0,MATCH(K$2,Inputs!$D$2:$AG$2,0)),Inputs!$B$4:$B$200,$B6)/1000)</f>
        <v>-101.77671757</v>
      </c>
      <c r="L6" s="11">
        <f>IF(L$3=0,"",SUMIFS(INDEX(Inputs!$D$4:$AG$200,0,MATCH(L$2,Inputs!$D$2:$AG$2,0)),Inputs!$B$4:$B$200,$B6)/1000)</f>
        <v>-123.12782083</v>
      </c>
      <c r="M6" s="12">
        <f>IF(COUNT(I6:L6)=4,SUM(I6:L6),"")</f>
        <v>-415.9520193</v>
      </c>
      <c r="N6" s="11">
        <f>IF(N$3=0,"",SUMIFS(INDEX(Inputs!$D$4:$AG$200,0,MATCH(N$2,Inputs!$D$2:$AG$2,0)),Inputs!$B$4:$B$200,$B6)/1000)</f>
        <v>-114.61168622</v>
      </c>
      <c r="O6" s="11">
        <f>IF(O$3=0,"",SUMIFS(INDEX(Inputs!$D$4:$AG$200,0,MATCH(O$2,Inputs!$D$2:$AG$2,0)),Inputs!$B$4:$B$200,$B6)/1000)</f>
        <v>-220.784</v>
      </c>
      <c r="P6" s="11">
        <f>IF(P$3=0,"",SUMIFS(INDEX(Inputs!$D$4:$AG$200,0,MATCH(P$2,Inputs!$D$2:$AG$2,0)),Inputs!$B$4:$B$200,$B6)/1000)</f>
        <v>-166.013</v>
      </c>
      <c r="Q6" s="11">
        <f>IF(Q$3=0,"",SUMIFS(INDEX(Inputs!$D$4:$AG$200,0,MATCH(Q$2,Inputs!$D$2:$AG$2,0)),Inputs!$B$4:$B$200,$B6)/1000)</f>
        <v>-170.937</v>
      </c>
      <c r="R6" s="12">
        <f>IF(COUNT(N6:Q6)=4,SUM(N6:Q6),"")</f>
        <v>-672.34568622</v>
      </c>
      <c r="S6" s="11">
        <f>IF(S$3=0,"",SUMIFS(INDEX(Inputs!$D$4:$AG$200,0,MATCH(S$2,Inputs!$D$2:$AG$2,0)),Inputs!$B$4:$B$200,$B6)/1000)</f>
        <v>-195.223</v>
      </c>
      <c r="T6" s="11">
        <f>IF(T$3=0,"",SUMIFS(INDEX(Inputs!$D$4:$AG$200,0,MATCH(T$2,Inputs!$D$2:$AG$2,0)),Inputs!$B$4:$B$200,$B6)/1000)</f>
        <v>-195.315</v>
      </c>
      <c r="U6" s="11">
        <f>IF(U$3=0,"",SUMIFS(INDEX(Inputs!$D$4:$AG$200,0,MATCH(U$2,Inputs!$D$2:$AG$2,0)),Inputs!$B$4:$B$200,$B6)/1000)</f>
        <v>-173.406</v>
      </c>
      <c r="V6" s="11">
        <f>IF(V$3=0,"",SUMIFS(INDEX(Inputs!$D$4:$AG$200,0,MATCH(V$2,Inputs!$D$2:$AG$2,0)),Inputs!$B$4:$B$200,$B6)/1000)</f>
        <v>-202.562</v>
      </c>
      <c r="W6" s="12">
        <f>IF(COUNT(S6:V6)=4,SUM(S6:V6),"")</f>
        <v>-766.506</v>
      </c>
      <c r="X6" s="11">
        <f>IF(X$3=0,"",SUMIFS(INDEX(Inputs!$D$4:$AG$200,0,MATCH(X$2,Inputs!$D$2:$AG$2,0)),Inputs!$B$4:$B$200,$B6)/1000)</f>
        <v>-185.366348</v>
      </c>
      <c r="Y6" s="11">
        <f>IF(Y$3=0,"",SUMIFS(INDEX(Inputs!$D$4:$AG$200,0,MATCH(Y$2,Inputs!$D$2:$AG$2,0)),Inputs!$B$4:$B$200,$B6)/1000)</f>
        <v>-165.927</v>
      </c>
      <c r="Z6" s="11">
        <f>IF(Z$3=0,"",SUMIFS(INDEX(Inputs!$D$4:$AG$200,0,MATCH(Z$2,Inputs!$D$2:$AG$2,0)),Inputs!$B$4:$B$200,$B6)/1000)</f>
        <v>-191.910278533</v>
      </c>
      <c r="AA6" s="11">
        <f>IF(AA$3=0,"",SUMIFS(INDEX(Inputs!$D$4:$AG$200,0,MATCH(AA$2,Inputs!$D$2:$AG$2,0)),Inputs!$B$4:$B$200,$B6)/1000)</f>
        <v>-210.60018183</v>
      </c>
      <c r="AB6" s="12">
        <f>IF(COUNT(X6:AA6)=4,SUM(X6:AA6),"")</f>
        <v>-753.803808363</v>
      </c>
      <c r="AC6" s="11">
        <f>IF(AC$3=0,"",SUMIFS(INDEX(Inputs!$D$4:$AG$200,0,MATCH(AC$2,Inputs!$D$2:$AG$2,0)),Inputs!$B$4:$B$200,$B6)/1000)</f>
        <v>-199.47864252</v>
      </c>
      <c r="AD6" s="11">
        <f>IF(AD$3=0,"",SUMIFS(INDEX(Inputs!$D$4:$AG$200,0,MATCH(AD$2,Inputs!$D$2:$AG$2,0)),Inputs!$B$4:$B$200,$B6)/1000)</f>
        <v>-195.541</v>
      </c>
      <c r="AE6" s="11" t="str">
        <f>IF(AE$3=0,"",SUMIFS(INDEX(Inputs!$D$4:$AG$200,0,MATCH(AE$2,Inputs!$D$2:$AG$2,0)),Inputs!$B$4:$B$200,$B6)/1000)</f>
        <v/>
      </c>
      <c r="AF6" s="11" t="str">
        <f>IF(AF$3=0,"",SUMIFS(INDEX(Inputs!$D$4:$AG$200,0,MATCH(AF$2,Inputs!$D$2:$AG$2,0)),Inputs!$B$4:$B$200,$B6)/1000)</f>
        <v/>
      </c>
      <c r="AG6" s="12" t="str">
        <f>IF(COUNT(AC6:AF6)=4,SUM(AC6:AF6),"")</f>
        <v/>
      </c>
    </row>
    <row r="7">
      <c r="B7" s="9" t="n">
        <v>4</v>
      </c>
      <c r="C7" s="13" t="inlineStr">
        <is>
          <t>D&amp;A</t>
        </is>
      </c>
      <c r="D7" s="11">
        <f>IF(D$3=0,"",SUMIFS(INDEX(Inputs!$D$4:$AG$200,0,MATCH(D$2,Inputs!$D$2:$AG$2,0)),Inputs!$B$4:$B$200,$B7)/1000)</f>
        <v>-86.83643829</v>
      </c>
      <c r="E7" s="11">
        <f>IF(E$3=0,"",SUMIFS(INDEX(Inputs!$D$4:$AG$200,0,MATCH(E$2,Inputs!$D$2:$AG$2,0)),Inputs!$B$4:$B$200,$B7)/1000)</f>
        <v>-90.88444056</v>
      </c>
      <c r="F7" s="11">
        <f>IF(F$3=0,"",SUMIFS(INDEX(Inputs!$D$4:$AG$200,0,MATCH(F$2,Inputs!$D$2:$AG$2,0)),Inputs!$B$4:$B$200,$B7)/1000)</f>
        <v>-103.83367925</v>
      </c>
      <c r="G7" s="11">
        <f>IF(G$3=0,"",SUMIFS(INDEX(Inputs!$D$4:$AG$200,0,MATCH(G$2,Inputs!$D$2:$AG$2,0)),Inputs!$B$4:$B$200,$B7)/1000)</f>
        <v>-107.72515852</v>
      </c>
      <c r="H7" s="12">
        <f>IF(COUNT(D7:G7)=4,SUM(D7:G7),"")</f>
        <v>-389.27971662</v>
      </c>
      <c r="I7" s="11">
        <f>IF(I$3=0,"",SUMIFS(INDEX(Inputs!$D$4:$AG$200,0,MATCH(I$2,Inputs!$D$2:$AG$2,0)),Inputs!$B$4:$B$200,$B7)/1000)</f>
        <v>-107.45963589</v>
      </c>
      <c r="J7" s="11">
        <f>IF(J$3=0,"",SUMIFS(INDEX(Inputs!$D$4:$AG$200,0,MATCH(J$2,Inputs!$D$2:$AG$2,0)),Inputs!$B$4:$B$200,$B7)/1000)</f>
        <v>-113.84256518</v>
      </c>
      <c r="K7" s="11">
        <f>IF(K$3=0,"",SUMIFS(INDEX(Inputs!$D$4:$AG$200,0,MATCH(K$2,Inputs!$D$2:$AG$2,0)),Inputs!$B$4:$B$200,$B7)/1000)</f>
        <v>-109.7525059</v>
      </c>
      <c r="L7" s="11">
        <f>IF(L$3=0,"",SUMIFS(INDEX(Inputs!$D$4:$AG$200,0,MATCH(L$2,Inputs!$D$2:$AG$2,0)),Inputs!$B$4:$B$200,$B7)/1000)</f>
        <v>-124.2846005</v>
      </c>
      <c r="M7" s="12">
        <f>IF(COUNT(I7:L7)=4,SUM(I7:L7),"")</f>
        <v>-455.33930747</v>
      </c>
      <c r="N7" s="11">
        <f>IF(N$3=0,"",SUMIFS(INDEX(Inputs!$D$4:$AG$200,0,MATCH(N$2,Inputs!$D$2:$AG$2,0)),Inputs!$B$4:$B$200,$B7)/1000)</f>
        <v>-131.26208815</v>
      </c>
      <c r="O7" s="11">
        <f>IF(O$3=0,"",SUMIFS(INDEX(Inputs!$D$4:$AG$200,0,MATCH(O$2,Inputs!$D$2:$AG$2,0)),Inputs!$B$4:$B$200,$B7)/1000)</f>
        <v>-166.076</v>
      </c>
      <c r="P7" s="11">
        <f>IF(P$3=0,"",SUMIFS(INDEX(Inputs!$D$4:$AG$200,0,MATCH(P$2,Inputs!$D$2:$AG$2,0)),Inputs!$B$4:$B$200,$B7)/1000)</f>
        <v>-188.161</v>
      </c>
      <c r="Q7" s="11">
        <f>IF(Q$3=0,"",SUMIFS(INDEX(Inputs!$D$4:$AG$200,0,MATCH(Q$2,Inputs!$D$2:$AG$2,0)),Inputs!$B$4:$B$200,$B7)/1000)</f>
        <v>-189.879</v>
      </c>
      <c r="R7" s="12">
        <f>IF(COUNT(N7:Q7)=4,SUM(N7:Q7),"")</f>
        <v>-675.37808815</v>
      </c>
      <c r="S7" s="11">
        <f>IF(S$3=0,"",SUMIFS(INDEX(Inputs!$D$4:$AG$200,0,MATCH(S$2,Inputs!$D$2:$AG$2,0)),Inputs!$B$4:$B$200,$B7)/1000)</f>
        <v>-189.554</v>
      </c>
      <c r="T7" s="11">
        <f>IF(T$3=0,"",SUMIFS(INDEX(Inputs!$D$4:$AG$200,0,MATCH(T$2,Inputs!$D$2:$AG$2,0)),Inputs!$B$4:$B$200,$B7)/1000)</f>
        <v>-191.804</v>
      </c>
      <c r="U7" s="11">
        <f>IF(U$3=0,"",SUMIFS(INDEX(Inputs!$D$4:$AG$200,0,MATCH(U$2,Inputs!$D$2:$AG$2,0)),Inputs!$B$4:$B$200,$B7)/1000)</f>
        <v>-196.609</v>
      </c>
      <c r="V7" s="11">
        <f>IF(V$3=0,"",SUMIFS(INDEX(Inputs!$D$4:$AG$200,0,MATCH(V$2,Inputs!$D$2:$AG$2,0)),Inputs!$B$4:$B$200,$B7)/1000)</f>
        <v>-202.016</v>
      </c>
      <c r="W7" s="12">
        <f>IF(COUNT(S7:V7)=4,SUM(S7:V7),"")</f>
        <v>-779.983</v>
      </c>
      <c r="X7" s="11">
        <f>IF(X$3=0,"",SUMIFS(INDEX(Inputs!$D$4:$AG$200,0,MATCH(X$2,Inputs!$D$2:$AG$2,0)),Inputs!$B$4:$B$200,$B7)/1000)</f>
        <v>-212.141077</v>
      </c>
      <c r="Y7" s="11">
        <f>IF(Y$3=0,"",SUMIFS(INDEX(Inputs!$D$4:$AG$200,0,MATCH(Y$2,Inputs!$D$2:$AG$2,0)),Inputs!$B$4:$B$200,$B7)/1000)</f>
        <v>-222.403</v>
      </c>
      <c r="Z7" s="11">
        <f>IF(Z$3=0,"",SUMIFS(INDEX(Inputs!$D$4:$AG$200,0,MATCH(Z$2,Inputs!$D$2:$AG$2,0)),Inputs!$B$4:$B$200,$B7)/1000)</f>
        <v>-229.37499664</v>
      </c>
      <c r="AA7" s="11">
        <f>IF(AA$3=0,"",SUMIFS(INDEX(Inputs!$D$4:$AG$200,0,MATCH(AA$2,Inputs!$D$2:$AG$2,0)),Inputs!$B$4:$B$200,$B7)/1000)</f>
        <v>-236.39185589</v>
      </c>
      <c r="AB7" s="12">
        <f>IF(COUNT(X7:AA7)=4,SUM(X7:AA7),"")</f>
        <v>-900.31092953</v>
      </c>
      <c r="AC7" s="11">
        <f>IF(AC$3=0,"",SUMIFS(INDEX(Inputs!$D$4:$AG$200,0,MATCH(AC$2,Inputs!$D$2:$AG$2,0)),Inputs!$B$4:$B$200,$B7)/1000)</f>
        <v>-233.12169578</v>
      </c>
      <c r="AD7" s="11">
        <f>IF(AD$3=0,"",SUMIFS(INDEX(Inputs!$D$4:$AG$200,0,MATCH(AD$2,Inputs!$D$2:$AG$2,0)),Inputs!$B$4:$B$200,$B7)/1000)</f>
        <v>-215.806</v>
      </c>
      <c r="AE7" s="11" t="str">
        <f>IF(AE$3=0,"",SUMIFS(INDEX(Inputs!$D$4:$AG$200,0,MATCH(AE$2,Inputs!$D$2:$AG$2,0)),Inputs!$B$4:$B$200,$B7)/1000)</f>
        <v/>
      </c>
      <c r="AF7" s="11" t="str">
        <f>IF(AF$3=0,"",SUMIFS(INDEX(Inputs!$D$4:$AG$200,0,MATCH(AF$2,Inputs!$D$2:$AG$2,0)),Inputs!$B$4:$B$200,$B7)/1000)</f>
        <v/>
      </c>
      <c r="AG7" s="12" t="str">
        <f>IF(COUNT(AC7:AF7)=4,SUM(AC7:AF7),"")</f>
        <v/>
      </c>
    </row>
    <row r="8">
      <c r="B8" s="9" t="n">
        <v>5</v>
      </c>
      <c r="C8" s="14" t="inlineStr">
        <is>
          <t>Interest Expense</t>
        </is>
      </c>
      <c r="D8" s="11">
        <f>IF(D$3=0,"",SUMIFS(INDEX(Inputs!$D$4:$AG$200,0,MATCH(D$2,Inputs!$D$2:$AG$2,0)),Inputs!$B$4:$B$200,$B8)/1000)</f>
        <v>-37.42879707</v>
      </c>
      <c r="E8" s="11">
        <f>IF(E$3=0,"",SUMIFS(INDEX(Inputs!$D$4:$AG$200,0,MATCH(E$2,Inputs!$D$2:$AG$2,0)),Inputs!$B$4:$B$200,$B8)/1000)</f>
        <v>-43.00856677</v>
      </c>
      <c r="F8" s="11">
        <f>IF(F$3=0,"",SUMIFS(INDEX(Inputs!$D$4:$AG$200,0,MATCH(F$2,Inputs!$D$2:$AG$2,0)),Inputs!$B$4:$B$200,$B8)/1000)</f>
        <v>-65.28109683</v>
      </c>
      <c r="G8" s="11">
        <f>IF(G$3=0,"",SUMIFS(INDEX(Inputs!$D$4:$AG$200,0,MATCH(G$2,Inputs!$D$2:$AG$2,0)),Inputs!$B$4:$B$200,$B8)/1000)</f>
        <v>-74.31202259</v>
      </c>
      <c r="H8" s="12">
        <f>IF(COUNT(D8:G8)=4,SUM(D8:G8),"")</f>
        <v>-220.03048326</v>
      </c>
      <c r="I8" s="11">
        <f>IF(I$3=0,"",SUMIFS(INDEX(Inputs!$D$4:$AG$200,0,MATCH(I$2,Inputs!$D$2:$AG$2,0)),Inputs!$B$4:$B$200,$B8)/1000)</f>
        <v>-85.80839103</v>
      </c>
      <c r="J8" s="11">
        <f>IF(J$3=0,"",SUMIFS(INDEX(Inputs!$D$4:$AG$200,0,MATCH(J$2,Inputs!$D$2:$AG$2,0)),Inputs!$B$4:$B$200,$B8)/1000)</f>
        <v>-107.82061116</v>
      </c>
      <c r="K8" s="11">
        <f>IF(K$3=0,"",SUMIFS(INDEX(Inputs!$D$4:$AG$200,0,MATCH(K$2,Inputs!$D$2:$AG$2,0)),Inputs!$B$4:$B$200,$B8)/1000)</f>
        <v>-128.3653378</v>
      </c>
      <c r="L8" s="11">
        <f>IF(L$3=0,"",SUMIFS(INDEX(Inputs!$D$4:$AG$200,0,MATCH(L$2,Inputs!$D$2:$AG$2,0)),Inputs!$B$4:$B$200,$B8)/1000)</f>
        <v>-121.0444737</v>
      </c>
      <c r="M8" s="12">
        <f>IF(COUNT(I8:L8)=4,SUM(I8:L8),"")</f>
        <v>-443.03881369</v>
      </c>
      <c r="N8" s="11">
        <f>IF(N$3=0,"",SUMIFS(INDEX(Inputs!$D$4:$AG$200,0,MATCH(N$2,Inputs!$D$2:$AG$2,0)),Inputs!$B$4:$B$200,$B8)/1000)</f>
        <v>-134.54669035</v>
      </c>
      <c r="O8" s="11">
        <f>IF(O$3=0,"",SUMIFS(INDEX(Inputs!$D$4:$AG$200,0,MATCH(O$2,Inputs!$D$2:$AG$2,0)),Inputs!$B$4:$B$200,$B8)/1000)</f>
        <v>-158.388627</v>
      </c>
      <c r="P8" s="11">
        <f>IF(P$3=0,"",SUMIFS(INDEX(Inputs!$D$4:$AG$200,0,MATCH(P$2,Inputs!$D$2:$AG$2,0)),Inputs!$B$4:$B$200,$B8)/1000)</f>
        <v>-163.758</v>
      </c>
      <c r="Q8" s="11">
        <f>IF(Q$3=0,"",SUMIFS(INDEX(Inputs!$D$4:$AG$200,0,MATCH(Q$2,Inputs!$D$2:$AG$2,0)),Inputs!$B$4:$B$200,$B8)/1000)</f>
        <v>-148.22368265</v>
      </c>
      <c r="R8" s="12">
        <f>IF(COUNT(N8:Q8)=4,SUM(N8:Q8),"")</f>
        <v>-604.917</v>
      </c>
      <c r="S8" s="11">
        <f>IF(S$3=0,"",SUMIFS(INDEX(Inputs!$D$4:$AG$200,0,MATCH(S$2,Inputs!$D$2:$AG$2,0)),Inputs!$B$4:$B$200,$B8)/1000)</f>
        <v>-146.74136103</v>
      </c>
      <c r="T8" s="11">
        <f>IF(T$3=0,"",SUMIFS(INDEX(Inputs!$D$4:$AG$200,0,MATCH(T$2,Inputs!$D$2:$AG$2,0)),Inputs!$B$4:$B$200,$B8)/1000)</f>
        <v>-140.543</v>
      </c>
      <c r="U8" s="11">
        <f>IF(U$3=0,"",SUMIFS(INDEX(Inputs!$D$4:$AG$200,0,MATCH(U$2,Inputs!$D$2:$AG$2,0)),Inputs!$B$4:$B$200,$B8)/1000)</f>
        <v>-158.257</v>
      </c>
      <c r="V8" s="11">
        <f>IF(V$3=0,"",SUMIFS(INDEX(Inputs!$D$4:$AG$200,0,MATCH(V$2,Inputs!$D$2:$AG$2,0)),Inputs!$B$4:$B$200,$B8)/1000)</f>
        <v>-171.25363897</v>
      </c>
      <c r="W8" s="12">
        <f>IF(COUNT(S8:V8)=4,SUM(S8:V8),"")</f>
        <v>-616.795</v>
      </c>
      <c r="X8" s="11">
        <f>IF(X$3=0,"",SUMIFS(INDEX(Inputs!$D$4:$AG$200,0,MATCH(X$2,Inputs!$D$2:$AG$2,0)),Inputs!$B$4:$B$200,$B8)/1000)</f>
        <v>-182.470204</v>
      </c>
      <c r="Y8" s="11">
        <f>IF(Y$3=0,"",SUMIFS(INDEX(Inputs!$D$4:$AG$200,0,MATCH(Y$2,Inputs!$D$2:$AG$2,0)),Inputs!$B$4:$B$200,$B8)/1000)</f>
        <v>-198.558</v>
      </c>
      <c r="Z8" s="11">
        <f>IF(Z$3=0,"",SUMIFS(INDEX(Inputs!$D$4:$AG$200,0,MATCH(Z$2,Inputs!$D$2:$AG$2,0)),Inputs!$B$4:$B$200,$B8)/1000)</f>
        <v>-220.2903303</v>
      </c>
      <c r="AA8" s="11">
        <f>IF(AA$3=0,"",SUMIFS(INDEX(Inputs!$D$4:$AG$200,0,MATCH(AA$2,Inputs!$D$2:$AG$2,0)),Inputs!$B$4:$B$200,$B8)/1000)</f>
        <v>-202.05934008</v>
      </c>
      <c r="AB8" s="12">
        <f>IF(COUNT(X8:AA8)=4,SUM(X8:AA8),"")</f>
        <v>-803.37787438</v>
      </c>
      <c r="AC8" s="11">
        <f>IF(AC$3=0,"",SUMIFS(INDEX(Inputs!$D$4:$AG$200,0,MATCH(AC$2,Inputs!$D$2:$AG$2,0)),Inputs!$B$4:$B$200,$B8)/1000)</f>
        <v>-195.87519551</v>
      </c>
      <c r="AD8" s="11">
        <f>IF(AD$3=0,"",SUMIFS(INDEX(Inputs!$D$4:$AG$200,0,MATCH(AD$2,Inputs!$D$2:$AG$2,0)),Inputs!$B$4:$B$200,$B8)/1000)</f>
        <v>-190.784577</v>
      </c>
      <c r="AE8" s="11" t="str">
        <f>IF(AE$3=0,"",SUMIFS(INDEX(Inputs!$D$4:$AG$200,0,MATCH(AE$2,Inputs!$D$2:$AG$2,0)),Inputs!$B$4:$B$200,$B8)/1000)</f>
        <v/>
      </c>
      <c r="AF8" s="11" t="str">
        <f>IF(AF$3=0,"",SUMIFS(INDEX(Inputs!$D$4:$AG$200,0,MATCH(AF$2,Inputs!$D$2:$AG$2,0)),Inputs!$B$4:$B$200,$B8)/1000)</f>
        <v/>
      </c>
      <c r="AG8" s="12" t="str">
        <f>IF(COUNT(AC8:AF8)=4,SUM(AC8:AF8),"")</f>
        <v/>
      </c>
    </row>
    <row r="9">
      <c r="B9" s="9" t="n">
        <v>6</v>
      </c>
      <c r="C9" s="14" t="inlineStr">
        <is>
          <t>Nonoperating Income / (Loss)</t>
        </is>
      </c>
      <c r="D9" s="11">
        <f>IF(D$3=0,"",SUMIFS(INDEX(Inputs!$D$4:$AG$200,0,MATCH(D$2,Inputs!$D$2:$AG$2,0)),Inputs!$B$4:$B$200,$B9)/1000)</f>
        <v>6.69925278</v>
      </c>
      <c r="E9" s="11">
        <f>IF(E$3=0,"",SUMIFS(INDEX(Inputs!$D$4:$AG$200,0,MATCH(E$2,Inputs!$D$2:$AG$2,0)),Inputs!$B$4:$B$200,$B9)/1000)</f>
        <v>6.79723379</v>
      </c>
      <c r="F9" s="11">
        <f>IF(F$3=0,"",SUMIFS(INDEX(Inputs!$D$4:$AG$200,0,MATCH(F$2,Inputs!$D$2:$AG$2,0)),Inputs!$B$4:$B$200,$B9)/1000)</f>
        <v>16.4558964</v>
      </c>
      <c r="G9" s="11">
        <f>IF(G$3=0,"",SUMIFS(INDEX(Inputs!$D$4:$AG$200,0,MATCH(G$2,Inputs!$D$2:$AG$2,0)),Inputs!$B$4:$B$200,$B9)/1000)</f>
        <v>18.92533787</v>
      </c>
      <c r="H9" s="12">
        <f>IF(COUNT(D9:G9)=4,SUM(D9:G9),"")</f>
        <v>48.87772084</v>
      </c>
      <c r="I9" s="11">
        <f>IF(I$3=0,"",SUMIFS(INDEX(Inputs!$D$4:$AG$200,0,MATCH(I$2,Inputs!$D$2:$AG$2,0)),Inputs!$B$4:$B$200,$B9)/1000)</f>
        <v>20.19570061</v>
      </c>
      <c r="J9" s="11">
        <f>IF(J$3=0,"",SUMIFS(INDEX(Inputs!$D$4:$AG$200,0,MATCH(J$2,Inputs!$D$2:$AG$2,0)),Inputs!$B$4:$B$200,$B9)/1000)</f>
        <v>21.47671546</v>
      </c>
      <c r="K9" s="11">
        <f>IF(K$3=0,"",SUMIFS(INDEX(Inputs!$D$4:$AG$200,0,MATCH(K$2,Inputs!$D$2:$AG$2,0)),Inputs!$B$4:$B$200,$B9)/1000)</f>
        <v>28.95401388</v>
      </c>
      <c r="L9" s="11">
        <f>IF(L$3=0,"",SUMIFS(INDEX(Inputs!$D$4:$AG$200,0,MATCH(L$2,Inputs!$D$2:$AG$2,0)),Inputs!$B$4:$B$200,$B9)/1000)</f>
        <v>42.83506655</v>
      </c>
      <c r="M9" s="12">
        <f>IF(COUNT(I9:L9)=4,SUM(I9:L9),"")</f>
        <v>113.4614965</v>
      </c>
      <c r="N9" s="11">
        <f>IF(N$3=0,"",SUMIFS(INDEX(Inputs!$D$4:$AG$200,0,MATCH(N$2,Inputs!$D$2:$AG$2,0)),Inputs!$B$4:$B$200,$B9)/1000)</f>
        <v>45.00753287</v>
      </c>
      <c r="O9" s="11">
        <f>IF(O$3=0,"",SUMIFS(INDEX(Inputs!$D$4:$AG$200,0,MATCH(O$2,Inputs!$D$2:$AG$2,0)),Inputs!$B$4:$B$200,$B9)/1000)</f>
        <v>58.87857805</v>
      </c>
      <c r="P9" s="11">
        <f>IF(P$3=0,"",SUMIFS(INDEX(Inputs!$D$4:$AG$200,0,MATCH(P$2,Inputs!$D$2:$AG$2,0)),Inputs!$B$4:$B$200,$B9)/1000)</f>
        <v>60.852</v>
      </c>
      <c r="Q9" s="11">
        <f>IF(Q$3=0,"",SUMIFS(INDEX(Inputs!$D$4:$AG$200,0,MATCH(Q$2,Inputs!$D$2:$AG$2,0)),Inputs!$B$4:$B$200,$B9)/1000)</f>
        <v>55.57188908</v>
      </c>
      <c r="R9" s="12">
        <f>IF(COUNT(N9:Q9)=4,SUM(N9:Q9),"")</f>
        <v>220.31</v>
      </c>
      <c r="S9" s="11">
        <f>IF(S$3=0,"",SUMIFS(INDEX(Inputs!$D$4:$AG$200,0,MATCH(S$2,Inputs!$D$2:$AG$2,0)),Inputs!$B$4:$B$200,$B9)/1000)</f>
        <v>36.46648343</v>
      </c>
      <c r="T9" s="11">
        <f>IF(T$3=0,"",SUMIFS(INDEX(Inputs!$D$4:$AG$200,0,MATCH(T$2,Inputs!$D$2:$AG$2,0)),Inputs!$B$4:$B$200,$B9)/1000)</f>
        <v>39.213</v>
      </c>
      <c r="U9" s="11">
        <f>IF(U$3=0,"",SUMIFS(INDEX(Inputs!$D$4:$AG$200,0,MATCH(U$2,Inputs!$D$2:$AG$2,0)),Inputs!$B$4:$B$200,$B9)/1000)</f>
        <v>62.182</v>
      </c>
      <c r="V9" s="11">
        <f>IF(V$3=0,"",SUMIFS(INDEX(Inputs!$D$4:$AG$200,0,MATCH(V$2,Inputs!$D$2:$AG$2,0)),Inputs!$B$4:$B$200,$B9)/1000)</f>
        <v>67.62451657</v>
      </c>
      <c r="W9" s="12">
        <f>IF(COUNT(S9:V9)=4,SUM(S9:V9),"")</f>
        <v>205.486</v>
      </c>
      <c r="X9" s="11">
        <f>IF(X$3=0,"",SUMIFS(INDEX(Inputs!$D$4:$AG$200,0,MATCH(X$2,Inputs!$D$2:$AG$2,0)),Inputs!$B$4:$B$200,$B9)/1000)</f>
        <v>79.099815</v>
      </c>
      <c r="Y9" s="11">
        <f>IF(Y$3=0,"",SUMIFS(INDEX(Inputs!$D$4:$AG$200,0,MATCH(Y$2,Inputs!$D$2:$AG$2,0)),Inputs!$B$4:$B$200,$B9)/1000)</f>
        <v>80.601</v>
      </c>
      <c r="Z9" s="11">
        <f>IF(Z$3=0,"",SUMIFS(INDEX(Inputs!$D$4:$AG$200,0,MATCH(Z$2,Inputs!$D$2:$AG$2,0)),Inputs!$B$4:$B$200,$B9)/1000)</f>
        <v>90.06051204</v>
      </c>
      <c r="AA9" s="11">
        <f>IF(AA$3=0,"",SUMIFS(INDEX(Inputs!$D$4:$AG$200,0,MATCH(AA$2,Inputs!$D$2:$AG$2,0)),Inputs!$B$4:$B$200,$B9)/1000)</f>
        <v>85.67562359</v>
      </c>
      <c r="AB9" s="12">
        <f>IF(COUNT(X9:AA9)=4,SUM(X9:AA9),"")</f>
        <v>335.43695063</v>
      </c>
      <c r="AC9" s="11">
        <f>IF(AC$3=0,"",SUMIFS(INDEX(Inputs!$D$4:$AG$200,0,MATCH(AC$2,Inputs!$D$2:$AG$2,0)),Inputs!$B$4:$B$200,$B9)/1000)</f>
        <v>80.81498743</v>
      </c>
      <c r="AD9" s="11">
        <f>IF(AD$3=0,"",SUMIFS(INDEX(Inputs!$D$4:$AG$200,0,MATCH(AD$2,Inputs!$D$2:$AG$2,0)),Inputs!$B$4:$B$200,$B9)/1000)</f>
        <v>79.498624</v>
      </c>
      <c r="AE9" s="11" t="str">
        <f>IF(AE$3=0,"",SUMIFS(INDEX(Inputs!$D$4:$AG$200,0,MATCH(AE$2,Inputs!$D$2:$AG$2,0)),Inputs!$B$4:$B$200,$B9)/1000)</f>
        <v/>
      </c>
      <c r="AF9" s="11" t="str">
        <f>IF(AF$3=0,"",SUMIFS(INDEX(Inputs!$D$4:$AG$200,0,MATCH(AF$2,Inputs!$D$2:$AG$2,0)),Inputs!$B$4:$B$200,$B9)/1000)</f>
        <v/>
      </c>
      <c r="AG9" s="12" t="str">
        <f>IF(COUNT(AC9:AF9)=4,SUM(AC9:AF9),"")</f>
        <v/>
      </c>
    </row>
    <row r="10">
      <c r="B10" s="9" t="n">
        <v>7</v>
      </c>
      <c r="C10" s="14" t="inlineStr">
        <is>
          <t>Taxes</t>
        </is>
      </c>
      <c r="D10" s="11">
        <f>IF(D$3=0,"",SUMIFS(INDEX(Inputs!$D$4:$AG$200,0,MATCH(D$2,Inputs!$D$2:$AG$2,0)),Inputs!$B$4:$B$200,$B10)/1000)</f>
        <v>-49.15601659</v>
      </c>
      <c r="E10" s="11">
        <f>IF(E$3=0,"",SUMIFS(INDEX(Inputs!$D$4:$AG$200,0,MATCH(E$2,Inputs!$D$2:$AG$2,0)),Inputs!$B$4:$B$200,$B10)/1000)</f>
        <v>-27.14299102</v>
      </c>
      <c r="F10" s="11">
        <f>IF(F$3=0,"",SUMIFS(INDEX(Inputs!$D$4:$AG$200,0,MATCH(F$2,Inputs!$D$2:$AG$2,0)),Inputs!$B$4:$B$200,$B10)/1000)</f>
        <v>-39.94616017</v>
      </c>
      <c r="G10" s="11">
        <f>IF(G$3=0,"",SUMIFS(INDEX(Inputs!$D$4:$AG$200,0,MATCH(G$2,Inputs!$D$2:$AG$2,0)),Inputs!$B$4:$B$200,$B10)/1000)</f>
        <v>-28.37167513</v>
      </c>
      <c r="H10" s="12">
        <f>IF(COUNT(D10:G10)=4,SUM(D10:G10),"")</f>
        <v>-144.61684291</v>
      </c>
      <c r="I10" s="11">
        <f>IF(I$3=0,"",SUMIFS(INDEX(Inputs!$D$4:$AG$200,0,MATCH(I$2,Inputs!$D$2:$AG$2,0)),Inputs!$B$4:$B$200,$B10)/1000)</f>
        <v>-42.67500254</v>
      </c>
      <c r="J10" s="11">
        <f>IF(J$3=0,"",SUMIFS(INDEX(Inputs!$D$4:$AG$200,0,MATCH(J$2,Inputs!$D$2:$AG$2,0)),Inputs!$B$4:$B$200,$B10)/1000)</f>
        <v>-27.30873652</v>
      </c>
      <c r="K10" s="11">
        <f>IF(K$3=0,"",SUMIFS(INDEX(Inputs!$D$4:$AG$200,0,MATCH(K$2,Inputs!$D$2:$AG$2,0)),Inputs!$B$4:$B$200,$B10)/1000)</f>
        <v>-26.85181194</v>
      </c>
      <c r="L10" s="11">
        <f>IF(L$3=0,"",SUMIFS(INDEX(Inputs!$D$4:$AG$200,0,MATCH(L$2,Inputs!$D$2:$AG$2,0)),Inputs!$B$4:$B$200,$B10)/1000)</f>
        <v>0.17334404</v>
      </c>
      <c r="M10" s="12">
        <f>IF(COUNT(I10:L10)=4,SUM(I10:L10),"")</f>
        <v>-96.66220696</v>
      </c>
      <c r="N10" s="11">
        <f>IF(N$3=0,"",SUMIFS(INDEX(Inputs!$D$4:$AG$200,0,MATCH(N$2,Inputs!$D$2:$AG$2,0)),Inputs!$B$4:$B$200,$B10)/1000)</f>
        <v>-31.1542375</v>
      </c>
      <c r="O10" s="11">
        <f>IF(O$3=0,"",SUMIFS(INDEX(Inputs!$D$4:$AG$200,0,MATCH(O$2,Inputs!$D$2:$AG$2,0)),Inputs!$B$4:$B$200,$B10)/1000)</f>
        <v>-24.205657494</v>
      </c>
      <c r="P10" s="11">
        <f>IF(P$3=0,"",SUMIFS(INDEX(Inputs!$D$4:$AG$200,0,MATCH(P$2,Inputs!$D$2:$AG$2,0)),Inputs!$B$4:$B$200,$B10)/1000)</f>
        <v>-43.257</v>
      </c>
      <c r="Q10" s="11">
        <f>IF(Q$3=0,"",SUMIFS(INDEX(Inputs!$D$4:$AG$200,0,MATCH(Q$2,Inputs!$D$2:$AG$2,0)),Inputs!$B$4:$B$200,$B10)/1000)</f>
        <v>-11.888105006</v>
      </c>
      <c r="R10" s="12">
        <f>IF(COUNT(N10:Q10)=4,SUM(N10:Q10),"")</f>
        <v>-110.505</v>
      </c>
      <c r="S10" s="11">
        <f>IF(S$3=0,"",SUMIFS(INDEX(Inputs!$D$4:$AG$200,0,MATCH(S$2,Inputs!$D$2:$AG$2,0)),Inputs!$B$4:$B$200,$B10)/1000)</f>
        <v>-48.642</v>
      </c>
      <c r="T10" s="11">
        <f>IF(T$3=0,"",SUMIFS(INDEX(Inputs!$D$4:$AG$200,0,MATCH(T$2,Inputs!$D$2:$AG$2,0)),Inputs!$B$4:$B$200,$B10)/1000)</f>
        <v>-55.949</v>
      </c>
      <c r="U10" s="11">
        <f>IF(U$3=0,"",SUMIFS(INDEX(Inputs!$D$4:$AG$200,0,MATCH(U$2,Inputs!$D$2:$AG$2,0)),Inputs!$B$4:$B$200,$B10)/1000)</f>
        <v>-57.35</v>
      </c>
      <c r="V10" s="11">
        <f>IF(V$3=0,"",SUMIFS(INDEX(Inputs!$D$4:$AG$200,0,MATCH(V$2,Inputs!$D$2:$AG$2,0)),Inputs!$B$4:$B$200,$B10)/1000)</f>
        <v>-20.816</v>
      </c>
      <c r="W10" s="12">
        <f>IF(COUNT(S10:V10)=4,SUM(S10:V10),"")</f>
        <v>-182.757</v>
      </c>
      <c r="X10" s="11">
        <f>IF(X$3=0,"",SUMIFS(INDEX(Inputs!$D$4:$AG$200,0,MATCH(X$2,Inputs!$D$2:$AG$2,0)),Inputs!$B$4:$B$200,$B10)/1000)</f>
        <v>-54.01302</v>
      </c>
      <c r="Y10" s="11">
        <f>IF(Y$3=0,"",SUMIFS(INDEX(Inputs!$D$4:$AG$200,0,MATCH(Y$2,Inputs!$D$2:$AG$2,0)),Inputs!$B$4:$B$200,$B10)/1000)</f>
        <v>-44.404</v>
      </c>
      <c r="Z10" s="11">
        <f>IF(Z$3=0,"",SUMIFS(INDEX(Inputs!$D$4:$AG$200,0,MATCH(Z$2,Inputs!$D$2:$AG$2,0)),Inputs!$B$4:$B$200,$B10)/1000)</f>
        <v>-53.90447839</v>
      </c>
      <c r="AA10" s="11">
        <f>IF(AA$3=0,"",SUMIFS(INDEX(Inputs!$D$4:$AG$200,0,MATCH(AA$2,Inputs!$D$2:$AG$2,0)),Inputs!$B$4:$B$200,$B10)/1000)</f>
        <v>-4.21478333</v>
      </c>
      <c r="AB10" s="12">
        <f>IF(COUNT(X10:AA10)=4,SUM(X10:AA10),"")</f>
        <v>-156.53628172</v>
      </c>
      <c r="AC10" s="11">
        <f>IF(AC$3=0,"",SUMIFS(INDEX(Inputs!$D$4:$AG$200,0,MATCH(AC$2,Inputs!$D$2:$AG$2,0)),Inputs!$B$4:$B$200,$B10)/1000)</f>
        <v>-55.10018466</v>
      </c>
      <c r="AD10" s="11">
        <f>IF(AD$3=0,"",SUMIFS(INDEX(Inputs!$D$4:$AG$200,0,MATCH(AD$2,Inputs!$D$2:$AG$2,0)),Inputs!$B$4:$B$200,$B10)/1000)</f>
        <v>-61.143775</v>
      </c>
      <c r="AE10" s="11" t="str">
        <f>IF(AE$3=0,"",SUMIFS(INDEX(Inputs!$D$4:$AG$200,0,MATCH(AE$2,Inputs!$D$2:$AG$2,0)),Inputs!$B$4:$B$200,$B10)/1000)</f>
        <v/>
      </c>
      <c r="AF10" s="11" t="str">
        <f>IF(AF$3=0,"",SUMIFS(INDEX(Inputs!$D$4:$AG$200,0,MATCH(AF$2,Inputs!$D$2:$AG$2,0)),Inputs!$B$4:$B$200,$B10)/1000)</f>
        <v/>
      </c>
      <c r="AG10" s="12" t="str">
        <f>IF(COUNT(AC10:AF10)=4,SUM(AC10:AF10),"")</f>
        <v/>
      </c>
    </row>
    <row r="11">
      <c r="B11" s="9" t="n">
        <v>8</v>
      </c>
      <c r="C11" s="14" t="inlineStr">
        <is>
          <t>Equity in Income of Affiliates, after tax (enter as +)</t>
        </is>
      </c>
      <c r="D11" s="11">
        <f>IF(D$3=0,"",SUMIFS(INDEX(Inputs!$D$4:$AG$200,0,MATCH(D$2,Inputs!$D$2:$AG$2,0)),Inputs!$B$4:$B$200,$B11)/1000)</f>
        <v>-0.19829475</v>
      </c>
      <c r="E11" s="11">
        <f>IF(E$3=0,"",SUMIFS(INDEX(Inputs!$D$4:$AG$200,0,MATCH(E$2,Inputs!$D$2:$AG$2,0)),Inputs!$B$4:$B$200,$B11)/1000)</f>
        <v>-0.002235242</v>
      </c>
      <c r="F11" s="11">
        <f>IF(F$3=0,"",SUMIFS(INDEX(Inputs!$D$4:$AG$200,0,MATCH(F$2,Inputs!$D$2:$AG$2,0)),Inputs!$B$4:$B$200,$B11)/1000)</f>
        <v>0.44109465</v>
      </c>
      <c r="G11" s="11">
        <f>IF(G$3=0,"",SUMIFS(INDEX(Inputs!$D$4:$AG$200,0,MATCH(G$2,Inputs!$D$2:$AG$2,0)),Inputs!$B$4:$B$200,$B11)/1000)</f>
        <v>0.309085383</v>
      </c>
      <c r="H11" s="12">
        <f>IF(COUNT(D11:G11)=4,SUM(D11:G11),"")</f>
        <v>0.549650041</v>
      </c>
      <c r="I11" s="11">
        <f>IF(I$3=0,"",SUMIFS(INDEX(Inputs!$D$4:$AG$200,0,MATCH(I$2,Inputs!$D$2:$AG$2,0)),Inputs!$B$4:$B$200,$B11)/1000)</f>
        <v>0.000197684</v>
      </c>
      <c r="J11" s="11">
        <f>IF(J$3=0,"",SUMIFS(INDEX(Inputs!$D$4:$AG$200,0,MATCH(J$2,Inputs!$D$2:$AG$2,0)),Inputs!$B$4:$B$200,$B11)/1000)</f>
        <v>0.414430567</v>
      </c>
      <c r="K11" s="11">
        <f>IF(K$3=0,"",SUMIFS(INDEX(Inputs!$D$4:$AG$200,0,MATCH(K$2,Inputs!$D$2:$AG$2,0)),Inputs!$B$4:$B$200,$B11)/1000)</f>
        <v>0.24977188</v>
      </c>
      <c r="L11" s="11">
        <f>IF(L$3=0,"",SUMIFS(INDEX(Inputs!$D$4:$AG$200,0,MATCH(L$2,Inputs!$D$2:$AG$2,0)),Inputs!$B$4:$B$200,$B11)/1000)</f>
        <v>-0.061408071</v>
      </c>
      <c r="M11" s="12">
        <f>IF(COUNT(I11:L11)=4,SUM(I11:L11),"")</f>
        <v>0.60299206</v>
      </c>
      <c r="N11" s="11">
        <f>IF(N$3=0,"",SUMIFS(INDEX(Inputs!$D$4:$AG$200,0,MATCH(N$2,Inputs!$D$2:$AG$2,0)),Inputs!$B$4:$B$200,$B11)/1000)</f>
        <v>0</v>
      </c>
      <c r="O11" s="11">
        <f>IF(O$3=0,"",SUMIFS(INDEX(Inputs!$D$4:$AG$200,0,MATCH(O$2,Inputs!$D$2:$AG$2,0)),Inputs!$B$4:$B$200,$B11)/1000)</f>
        <v>0.255</v>
      </c>
      <c r="P11" s="11">
        <f>IF(P$3=0,"",SUMIFS(INDEX(Inputs!$D$4:$AG$200,0,MATCH(P$2,Inputs!$D$2:$AG$2,0)),Inputs!$B$4:$B$200,$B11)/1000)</f>
        <v>0.176</v>
      </c>
      <c r="Q11" s="11">
        <f>IF(Q$3=0,"",SUMIFS(INDEX(Inputs!$D$4:$AG$200,0,MATCH(Q$2,Inputs!$D$2:$AG$2,0)),Inputs!$B$4:$B$200,$B11)/1000)</f>
        <v>-0.274</v>
      </c>
      <c r="R11" s="12">
        <f>IF(COUNT(N11:Q11)=4,SUM(N11:Q11),"")</f>
        <v>0.157</v>
      </c>
      <c r="S11" s="11">
        <f>IF(S$3=0,"",SUMIFS(INDEX(Inputs!$D$4:$AG$200,0,MATCH(S$2,Inputs!$D$2:$AG$2,0)),Inputs!$B$4:$B$200,$B11)/1000)</f>
        <v>-0.348</v>
      </c>
      <c r="T11" s="11">
        <f>IF(T$3=0,"",SUMIFS(INDEX(Inputs!$D$4:$AG$200,0,MATCH(T$2,Inputs!$D$2:$AG$2,0)),Inputs!$B$4:$B$200,$B11)/1000)</f>
        <v>-0.802</v>
      </c>
      <c r="U11" s="11">
        <f>IF(U$3=0,"",SUMIFS(INDEX(Inputs!$D$4:$AG$200,0,MATCH(U$2,Inputs!$D$2:$AG$2,0)),Inputs!$B$4:$B$200,$B11)/1000)</f>
        <v>-0.655</v>
      </c>
      <c r="V11" s="11">
        <f>IF(V$3=0,"",SUMIFS(INDEX(Inputs!$D$4:$AG$200,0,MATCH(V$2,Inputs!$D$2:$AG$2,0)),Inputs!$B$4:$B$200,$B11)/1000)</f>
        <v>-2.442</v>
      </c>
      <c r="W11" s="12">
        <f>IF(COUNT(S11:V11)=4,SUM(S11:V11),"")</f>
        <v>-4.247</v>
      </c>
      <c r="X11" s="11">
        <f>IF(X$3=0,"",SUMIFS(INDEX(Inputs!$D$4:$AG$200,0,MATCH(X$2,Inputs!$D$2:$AG$2,0)),Inputs!$B$4:$B$200,$B11)/1000)</f>
        <v>-2.271</v>
      </c>
      <c r="Y11" s="11">
        <f>IF(Y$3=0,"",SUMIFS(INDEX(Inputs!$D$4:$AG$200,0,MATCH(Y$2,Inputs!$D$2:$AG$2,0)),Inputs!$B$4:$B$200,$B11)/1000)</f>
        <v>-2.776</v>
      </c>
      <c r="Z11" s="11">
        <f>IF(Z$3=0,"",SUMIFS(INDEX(Inputs!$D$4:$AG$200,0,MATCH(Z$2,Inputs!$D$2:$AG$2,0)),Inputs!$B$4:$B$200,$B11)/1000)</f>
        <v>-3.606338083</v>
      </c>
      <c r="AA11" s="11">
        <f>IF(AA$3=0,"",SUMIFS(INDEX(Inputs!$D$4:$AG$200,0,MATCH(AA$2,Inputs!$D$2:$AG$2,0)),Inputs!$B$4:$B$200,$B11)/1000)</f>
        <v>-4.905646595</v>
      </c>
      <c r="AB11" s="12">
        <f>IF(COUNT(X11:AA11)=4,SUM(X11:AA11),"")</f>
        <v>-13.558984678</v>
      </c>
      <c r="AC11" s="11">
        <f>IF(AC$3=0,"",SUMIFS(INDEX(Inputs!$D$4:$AG$200,0,MATCH(AC$2,Inputs!$D$2:$AG$2,0)),Inputs!$B$4:$B$200,$B11)/1000)</f>
        <v>-5.061568</v>
      </c>
      <c r="AD11" s="11">
        <f>IF(AD$3=0,"",SUMIFS(INDEX(Inputs!$D$4:$AG$200,0,MATCH(AD$2,Inputs!$D$2:$AG$2,0)),Inputs!$B$4:$B$200,$B11)/1000)</f>
        <v>-5.364726</v>
      </c>
      <c r="AE11" s="11" t="str">
        <f>IF(AE$3=0,"",SUMIFS(INDEX(Inputs!$D$4:$AG$200,0,MATCH(AE$2,Inputs!$D$2:$AG$2,0)),Inputs!$B$4:$B$200,$B11)/1000)</f>
        <v/>
      </c>
      <c r="AF11" s="11" t="str">
        <f>IF(AF$3=0,"",SUMIFS(INDEX(Inputs!$D$4:$AG$200,0,MATCH(AF$2,Inputs!$D$2:$AG$2,0)),Inputs!$B$4:$B$200,$B11)/1000)</f>
        <v/>
      </c>
      <c r="AG11" s="12" t="str">
        <f>IF(COUNT(AC11:AF11)=4,SUM(AC11:AF11),"")</f>
        <v/>
      </c>
    </row>
    <row r="12">
      <c r="B12" s="9" t="n">
        <v>9</v>
      </c>
      <c r="C12" s="14" t="inlineStr">
        <is>
          <t>Minority Interest Expense, after tax (enter as - )</t>
        </is>
      </c>
      <c r="D12" s="11">
        <f>IF(D$3=0,"",SUMIFS(INDEX(Inputs!$D$4:$AG$200,0,MATCH(D$2,Inputs!$D$2:$AG$2,0)),Inputs!$B$4:$B$200,$B12)/1000)</f>
        <v>0</v>
      </c>
      <c r="E12" s="11">
        <f>IF(E$3=0,"",SUMIFS(INDEX(Inputs!$D$4:$AG$200,0,MATCH(E$2,Inputs!$D$2:$AG$2,0)),Inputs!$B$4:$B$200,$B12)/1000)</f>
        <v>0.039423182</v>
      </c>
      <c r="F12" s="11">
        <f>IF(F$3=0,"",SUMIFS(INDEX(Inputs!$D$4:$AG$200,0,MATCH(F$2,Inputs!$D$2:$AG$2,0)),Inputs!$B$4:$B$200,$B12)/1000)</f>
        <v>-1.426590593</v>
      </c>
      <c r="G12" s="11">
        <f>IF(G$3=0,"",SUMIFS(INDEX(Inputs!$D$4:$AG$200,0,MATCH(G$2,Inputs!$D$2:$AG$2,0)),Inputs!$B$4:$B$200,$B12)/1000)</f>
        <v>-0.177942983</v>
      </c>
      <c r="H12" s="12">
        <f>IF(COUNT(D12:G12)=4,SUM(D12:G12),"")</f>
        <v>-1.565110394</v>
      </c>
      <c r="I12" s="11">
        <f>IF(I$3=0,"",SUMIFS(INDEX(Inputs!$D$4:$AG$200,0,MATCH(I$2,Inputs!$D$2:$AG$2,0)),Inputs!$B$4:$B$200,$B12)/1000)</f>
        <v>-0.391470774</v>
      </c>
      <c r="J12" s="11">
        <f>IF(J$3=0,"",SUMIFS(INDEX(Inputs!$D$4:$AG$200,0,MATCH(J$2,Inputs!$D$2:$AG$2,0)),Inputs!$B$4:$B$200,$B12)/1000)</f>
        <v>-0.414890427</v>
      </c>
      <c r="K12" s="11">
        <f>IF(K$3=0,"",SUMIFS(INDEX(Inputs!$D$4:$AG$200,0,MATCH(K$2,Inputs!$D$2:$AG$2,0)),Inputs!$B$4:$B$200,$B12)/1000)</f>
        <v>-0.67304117</v>
      </c>
      <c r="L12" s="11">
        <f>IF(L$3=0,"",SUMIFS(INDEX(Inputs!$D$4:$AG$200,0,MATCH(L$2,Inputs!$D$2:$AG$2,0)),Inputs!$B$4:$B$200,$B12)/1000)</f>
        <v>0.656184121</v>
      </c>
      <c r="M12" s="12">
        <f>IF(COUNT(I12:L12)=4,SUM(I12:L12),"")</f>
        <v>-0.82321825</v>
      </c>
      <c r="N12" s="11">
        <f>IF(N$3=0,"",SUMIFS(INDEX(Inputs!$D$4:$AG$200,0,MATCH(N$2,Inputs!$D$2:$AG$2,0)),Inputs!$B$4:$B$200,$B12)/1000)</f>
        <v>0.02834465</v>
      </c>
      <c r="O12" s="11">
        <f>IF(O$3=0,"",SUMIFS(INDEX(Inputs!$D$4:$AG$200,0,MATCH(O$2,Inputs!$D$2:$AG$2,0)),Inputs!$B$4:$B$200,$B12)/1000)</f>
        <v>0.385635389</v>
      </c>
      <c r="P12" s="11">
        <f>IF(P$3=0,"",SUMIFS(INDEX(Inputs!$D$4:$AG$200,0,MATCH(P$2,Inputs!$D$2:$AG$2,0)),Inputs!$B$4:$B$200,$B12)/1000)</f>
        <v>2.382</v>
      </c>
      <c r="Q12" s="11">
        <f>IF(Q$3=0,"",SUMIFS(INDEX(Inputs!$D$4:$AG$200,0,MATCH(Q$2,Inputs!$D$2:$AG$2,0)),Inputs!$B$4:$B$200,$B12)/1000)</f>
        <v>0.139</v>
      </c>
      <c r="R12" s="12">
        <f>IF(COUNT(N12:Q12)=4,SUM(N12:Q12),"")</f>
        <v>2.934980039</v>
      </c>
      <c r="S12" s="11">
        <f>IF(S$3=0,"",SUMIFS(INDEX(Inputs!$D$4:$AG$200,0,MATCH(S$2,Inputs!$D$2:$AG$2,0)),Inputs!$B$4:$B$200,$B12)/1000)</f>
        <v>-0.355</v>
      </c>
      <c r="T12" s="11">
        <f>IF(T$3=0,"",SUMIFS(INDEX(Inputs!$D$4:$AG$200,0,MATCH(T$2,Inputs!$D$2:$AG$2,0)),Inputs!$B$4:$B$200,$B12)/1000)</f>
        <v>1.423</v>
      </c>
      <c r="U12" s="11">
        <f>IF(U$3=0,"",SUMIFS(INDEX(Inputs!$D$4:$AG$200,0,MATCH(U$2,Inputs!$D$2:$AG$2,0)),Inputs!$B$4:$B$200,$B12)/1000)</f>
        <v>4.013</v>
      </c>
      <c r="V12" s="11">
        <f>IF(V$3=0,"",SUMIFS(INDEX(Inputs!$D$4:$AG$200,0,MATCH(V$2,Inputs!$D$2:$AG$2,0)),Inputs!$B$4:$B$200,$B12)/1000)</f>
        <v>7.437</v>
      </c>
      <c r="W12" s="12">
        <f>IF(COUNT(S12:V12)=4,SUM(S12:V12),"")</f>
        <v>12.518</v>
      </c>
      <c r="X12" s="11">
        <f>IF(X$3=0,"",SUMIFS(INDEX(Inputs!$D$4:$AG$200,0,MATCH(X$2,Inputs!$D$2:$AG$2,0)),Inputs!$B$4:$B$200,$B12)/1000)</f>
        <v>3.456124</v>
      </c>
      <c r="Y12" s="11">
        <f>IF(Y$3=0,"",SUMIFS(INDEX(Inputs!$D$4:$AG$200,0,MATCH(Y$2,Inputs!$D$2:$AG$2,0)),Inputs!$B$4:$B$200,$B12)/1000)</f>
        <v>7.749179</v>
      </c>
      <c r="Z12" s="11">
        <f>IF(Z$3=0,"",SUMIFS(INDEX(Inputs!$D$4:$AG$200,0,MATCH(Z$2,Inputs!$D$2:$AG$2,0)),Inputs!$B$4:$B$200,$B12)/1000)</f>
        <v>2.6684488</v>
      </c>
      <c r="AA12" s="11">
        <f>IF(AA$3=0,"",SUMIFS(INDEX(Inputs!$D$4:$AG$200,0,MATCH(AA$2,Inputs!$D$2:$AG$2,0)),Inputs!$B$4:$B$200,$B12)/1000)</f>
        <v>2.286255778</v>
      </c>
      <c r="AB12" s="12">
        <f>IF(COUNT(X12:AA12)=4,SUM(X12:AA12),"")</f>
        <v>16.160007578</v>
      </c>
      <c r="AC12" s="11">
        <f>IF(AC$3=0,"",SUMIFS(INDEX(Inputs!$D$4:$AG$200,0,MATCH(AC$2,Inputs!$D$2:$AG$2,0)),Inputs!$B$4:$B$200,$B12)/1000)</f>
        <v>3.55944448</v>
      </c>
      <c r="AD12" s="11">
        <f>IF(AD$3=0,"",SUMIFS(INDEX(Inputs!$D$4:$AG$200,0,MATCH(AD$2,Inputs!$D$2:$AG$2,0)),Inputs!$B$4:$B$200,$B12)/1000)</f>
        <v>2.518</v>
      </c>
      <c r="AE12" s="11" t="str">
        <f>IF(AE$3=0,"",SUMIFS(INDEX(Inputs!$D$4:$AG$200,0,MATCH(AE$2,Inputs!$D$2:$AG$2,0)),Inputs!$B$4:$B$200,$B12)/1000)</f>
        <v/>
      </c>
      <c r="AF12" s="11" t="str">
        <f>IF(AF$3=0,"",SUMIFS(INDEX(Inputs!$D$4:$AG$200,0,MATCH(AF$2,Inputs!$D$2:$AG$2,0)),Inputs!$B$4:$B$200,$B12)/1000)</f>
        <v/>
      </c>
      <c r="AG12" s="12" t="str">
        <f>IF(COUNT(AC12:AF12)=4,SUM(AC12:AF12),"")</f>
        <v/>
      </c>
    </row>
    <row r="13">
      <c r="B13" s="9" t="n">
        <v>10</v>
      </c>
      <c r="C13" s="13" t="inlineStr">
        <is>
          <t>Common Dividends</t>
        </is>
      </c>
      <c r="D13" s="11">
        <f>IF(D$3=0,"",SUMIFS(INDEX(Inputs!$D$4:$AG$200,0,MATCH(D$2,Inputs!$D$2:$AG$2,0)),Inputs!$B$4:$B$200,$B13)/1000)</f>
        <v>-75.10232011</v>
      </c>
      <c r="E13" s="11">
        <f>IF(E$3=0,"",SUMIFS(INDEX(Inputs!$D$4:$AG$200,0,MATCH(E$2,Inputs!$D$2:$AG$2,0)),Inputs!$B$4:$B$200,$B13)/1000)</f>
        <v>-156.2545951</v>
      </c>
      <c r="F13" s="11">
        <f>IF(F$3=0,"",SUMIFS(INDEX(Inputs!$D$4:$AG$200,0,MATCH(F$2,Inputs!$D$2:$AG$2,0)),Inputs!$B$4:$B$200,$B13)/1000)</f>
        <v>-42.22723762</v>
      </c>
      <c r="G13" s="11">
        <f>IF(G$3=0,"",SUMIFS(INDEX(Inputs!$D$4:$AG$200,0,MATCH(G$2,Inputs!$D$2:$AG$2,0)),Inputs!$B$4:$B$200,$B13)/1000)</f>
        <v>-22.55733515</v>
      </c>
      <c r="H13" s="12">
        <f>IF(COUNT(D13:G13)=4,SUM(D13:G13),"")</f>
        <v>-296.14148798</v>
      </c>
      <c r="I13" s="11">
        <f>IF(I$3=0,"",SUMIFS(INDEX(Inputs!$D$4:$AG$200,0,MATCH(I$2,Inputs!$D$2:$AG$2,0)),Inputs!$B$4:$B$200,$B13)/1000)</f>
        <v>-4.12979244</v>
      </c>
      <c r="J13" s="11">
        <f>IF(J$3=0,"",SUMIFS(INDEX(Inputs!$D$4:$AG$200,0,MATCH(J$2,Inputs!$D$2:$AG$2,0)),Inputs!$B$4:$B$200,$B13)/1000)</f>
        <v>-225.0161942</v>
      </c>
      <c r="K13" s="11">
        <f>IF(K$3=0,"",SUMIFS(INDEX(Inputs!$D$4:$AG$200,0,MATCH(K$2,Inputs!$D$2:$AG$2,0)),Inputs!$B$4:$B$200,$B13)/1000)</f>
        <v>-0.0015808</v>
      </c>
      <c r="L13" s="11">
        <f>IF(L$3=0,"",SUMIFS(INDEX(Inputs!$D$4:$AG$200,0,MATCH(L$2,Inputs!$D$2:$AG$2,0)),Inputs!$B$4:$B$200,$B13)/1000)</f>
        <v>-108.0538068</v>
      </c>
      <c r="M13" s="12">
        <f>IF(COUNT(I13:L13)=4,SUM(I13:L13),"")</f>
        <v>-337.20137424</v>
      </c>
      <c r="N13" s="11">
        <f>IF(N$3=0,"",SUMIFS(INDEX(Inputs!$D$4:$AG$200,0,MATCH(N$2,Inputs!$D$2:$AG$2,0)),Inputs!$B$4:$B$200,$B13)/1000)</f>
        <v>0</v>
      </c>
      <c r="O13" s="11">
        <f>IF(O$3=0,"",SUMIFS(INDEX(Inputs!$D$4:$AG$200,0,MATCH(O$2,Inputs!$D$2:$AG$2,0)),Inputs!$B$4:$B$200,$B13)/1000)</f>
        <v>-273.224548</v>
      </c>
      <c r="P13" s="11">
        <f>IF(P$3=0,"",SUMIFS(INDEX(Inputs!$D$4:$AG$200,0,MATCH(P$2,Inputs!$D$2:$AG$2,0)),Inputs!$B$4:$B$200,$B13)/1000)</f>
        <v>-13.87953525</v>
      </c>
      <c r="Q13" s="11">
        <f>IF(Q$3=0,"",SUMIFS(INDEX(Inputs!$D$4:$AG$200,0,MATCH(Q$2,Inputs!$D$2:$AG$2,0)),Inputs!$B$4:$B$200,$B13)/1000)</f>
        <v>-223.00491675</v>
      </c>
      <c r="R13" s="12">
        <f>IF(COUNT(N13:Q13)=4,SUM(N13:Q13),"")</f>
        <v>-510.109</v>
      </c>
      <c r="S13" s="11">
        <f>IF(S$3=0,"",SUMIFS(INDEX(Inputs!$D$4:$AG$200,0,MATCH(S$2,Inputs!$D$2:$AG$2,0)),Inputs!$B$4:$B$200,$B13)/1000)</f>
        <v>-0.496</v>
      </c>
      <c r="T13" s="11">
        <f>IF(T$3=0,"",SUMIFS(INDEX(Inputs!$D$4:$AG$200,0,MATCH(T$2,Inputs!$D$2:$AG$2,0)),Inputs!$B$4:$B$200,$B13)/1000)</f>
        <v>-80.533</v>
      </c>
      <c r="U13" s="11">
        <f>IF(U$3=0,"",SUMIFS(INDEX(Inputs!$D$4:$AG$200,0,MATCH(U$2,Inputs!$D$2:$AG$2,0)),Inputs!$B$4:$B$200,$B13)/1000)</f>
        <v>0</v>
      </c>
      <c r="V13" s="11">
        <f>IF(V$3=0,"",SUMIFS(INDEX(Inputs!$D$4:$AG$200,0,MATCH(V$2,Inputs!$D$2:$AG$2,0)),Inputs!$B$4:$B$200,$B13)/1000)</f>
        <v>-262.333</v>
      </c>
      <c r="W13" s="12">
        <f>IF(COUNT(S13:V13)=4,SUM(S13:V13),"")</f>
        <v>-343.362</v>
      </c>
      <c r="X13" s="11">
        <f>IF(X$3=0,"",SUMIFS(INDEX(Inputs!$D$4:$AG$200,0,MATCH(X$2,Inputs!$D$2:$AG$2,0)),Inputs!$B$4:$B$200,$B13)/1000)</f>
        <v>0</v>
      </c>
      <c r="Y13" s="11">
        <f>IF(Y$3=0,"",SUMIFS(INDEX(Inputs!$D$4:$AG$200,0,MATCH(Y$2,Inputs!$D$2:$AG$2,0)),Inputs!$B$4:$B$200,$B13)/1000)</f>
        <v>-254.045</v>
      </c>
      <c r="Z13" s="11">
        <f>IF(Z$3=0,"",SUMIFS(INDEX(Inputs!$D$4:$AG$200,0,MATCH(Z$2,Inputs!$D$2:$AG$2,0)),Inputs!$B$4:$B$200,$B13)/1000)</f>
        <v>0</v>
      </c>
      <c r="AA13" s="11">
        <f>IF(AA$3=0,"",SUMIFS(INDEX(Inputs!$D$4:$AG$200,0,MATCH(AA$2,Inputs!$D$2:$AG$2,0)),Inputs!$B$4:$B$200,$B13)/1000)</f>
        <v>-259.01</v>
      </c>
      <c r="AB13" s="12">
        <f>IF(COUNT(X13:AA13)=4,SUM(X13:AA13),"")</f>
        <v>-513.055</v>
      </c>
      <c r="AC13" s="11">
        <f>IF(AC$3=0,"",SUMIFS(INDEX(Inputs!$D$4:$AG$200,0,MATCH(AC$2,Inputs!$D$2:$AG$2,0)),Inputs!$B$4:$B$200,$B13)/1000)</f>
        <v>-0.391</v>
      </c>
      <c r="AD13" s="11">
        <f>IF(AD$3=0,"",SUMIFS(INDEX(Inputs!$D$4:$AG$200,0,MATCH(AD$2,Inputs!$D$2:$AG$2,0)),Inputs!$B$4:$B$200,$B13)/1000)</f>
        <v>-222.897</v>
      </c>
      <c r="AE13" s="11" t="str">
        <f>IF(AE$3=0,"",SUMIFS(INDEX(Inputs!$D$4:$AG$200,0,MATCH(AE$2,Inputs!$D$2:$AG$2,0)),Inputs!$B$4:$B$200,$B13)/1000)</f>
        <v/>
      </c>
      <c r="AF13" s="11" t="str">
        <f>IF(AF$3=0,"",SUMIFS(INDEX(Inputs!$D$4:$AG$200,0,MATCH(AF$2,Inputs!$D$2:$AG$2,0)),Inputs!$B$4:$B$200,$B13)/1000)</f>
        <v/>
      </c>
      <c r="AG13" s="12" t="str">
        <f>IF(COUNT(AC13:AF13)=4,SUM(AC13:AF13),"")</f>
        <v/>
      </c>
    </row>
    <row r="14">
      <c r="D14" s="12" t="n"/>
    </row>
    <row r="15">
      <c r="B15" s="9" t="n">
        <v>11</v>
      </c>
      <c r="C15" s="13" t="inlineStr">
        <is>
          <t>Cash and equivalents (inc. investment securities)</t>
        </is>
      </c>
      <c r="D15" s="11">
        <f>IF(D$3=0,"",SUMIFS(INDEX(Inputs!$D$4:$AG$200,0,MATCH(D$2,Inputs!$D$2:$AG$2,0)),Inputs!$B$4:$B$200,$B15)/1000)</f>
        <v>1097.37400565</v>
      </c>
      <c r="E15" s="11">
        <f>IF(E$3=0,"",SUMIFS(INDEX(Inputs!$D$4:$AG$200,0,MATCH(E$2,Inputs!$D$2:$AG$2,0)),Inputs!$B$4:$B$200,$B15)/1000)</f>
        <v>672.07445116</v>
      </c>
      <c r="F15" s="11">
        <f>IF(F$3=0,"",SUMIFS(INDEX(Inputs!$D$4:$AG$200,0,MATCH(F$2,Inputs!$D$2:$AG$2,0)),Inputs!$B$4:$B$200,$B15)/1000)</f>
        <v>1028.20945984</v>
      </c>
      <c r="G15" s="11">
        <f>IF(G$3=0,"",SUMIFS(INDEX(Inputs!$D$4:$AG$200,0,MATCH(G$2,Inputs!$D$2:$AG$2,0)),Inputs!$B$4:$B$200,$B15)/1000)</f>
        <v>861.42660329</v>
      </c>
      <c r="H15" s="12">
        <f>IF(G15="","",G15)</f>
        <v>861.42660329</v>
      </c>
      <c r="I15" s="11">
        <f>IF(I$3=0,"",SUMIFS(INDEX(Inputs!$D$4:$AG$200,0,MATCH(I$2,Inputs!$D$2:$AG$2,0)),Inputs!$B$4:$B$200,$B15)/1000)</f>
        <v>564.73251232</v>
      </c>
      <c r="J15" s="11">
        <f>IF(J$3=0,"",SUMIFS(INDEX(Inputs!$D$4:$AG$200,0,MATCH(J$2,Inputs!$D$2:$AG$2,0)),Inputs!$B$4:$B$200,$B15)/1000)</f>
        <v>779.92863828</v>
      </c>
      <c r="K15" s="11">
        <f>IF(K$3=0,"",SUMIFS(INDEX(Inputs!$D$4:$AG$200,0,MATCH(K$2,Inputs!$D$2:$AG$2,0)),Inputs!$B$4:$B$200,$B15)/1000)</f>
        <v>894.09475116</v>
      </c>
      <c r="L15" s="11">
        <f>IF(L$3=0,"",SUMIFS(INDEX(Inputs!$D$4:$AG$200,0,MATCH(L$2,Inputs!$D$2:$AG$2,0)),Inputs!$B$4:$B$200,$B15)/1000)</f>
        <v>1431.131409</v>
      </c>
      <c r="M15" s="12">
        <f>IF(L15="","",L15)</f>
        <v>1431.131409</v>
      </c>
      <c r="N15" s="11">
        <f>IF(N$3=0,"",SUMIFS(INDEX(Inputs!$D$4:$AG$200,0,MATCH(N$2,Inputs!$D$2:$AG$2,0)),Inputs!$B$4:$B$200,$B15)/1000)</f>
        <v>1399.25993934</v>
      </c>
      <c r="O15" s="11">
        <f>IF(O$3=0,"",SUMIFS(INDEX(Inputs!$D$4:$AG$200,0,MATCH(O$2,Inputs!$D$2:$AG$2,0)),Inputs!$B$4:$B$200,$B15)/1000)</f>
        <v>1028.607</v>
      </c>
      <c r="P15" s="11">
        <f>IF(P$3=0,"",SUMIFS(INDEX(Inputs!$D$4:$AG$200,0,MATCH(P$2,Inputs!$D$2:$AG$2,0)),Inputs!$B$4:$B$200,$B15)/1000)</f>
        <v>1098.312</v>
      </c>
      <c r="Q15" s="11">
        <f>IF(Q$3=0,"",SUMIFS(INDEX(Inputs!$D$4:$AG$200,0,MATCH(Q$2,Inputs!$D$2:$AG$2,0)),Inputs!$B$4:$B$200,$B15)/1000)</f>
        <v>1057.615</v>
      </c>
      <c r="R15" s="12">
        <f>IF(Q15="","",Q15)</f>
        <v>1057.615</v>
      </c>
      <c r="S15" s="11">
        <f>IF(S$3=0,"",SUMIFS(INDEX(Inputs!$D$4:$AG$200,0,MATCH(S$2,Inputs!$D$2:$AG$2,0)),Inputs!$B$4:$B$200,$B15)/1000)</f>
        <v>1026.176</v>
      </c>
      <c r="T15" s="11">
        <f>IF(T$3=0,"",SUMIFS(INDEX(Inputs!$D$4:$AG$200,0,MATCH(T$2,Inputs!$D$2:$AG$2,0)),Inputs!$B$4:$B$200,$B15)/1000)</f>
        <v>2126.948</v>
      </c>
      <c r="U15" s="11">
        <f>IF(U$3=0,"",SUMIFS(INDEX(Inputs!$D$4:$AG$200,0,MATCH(U$2,Inputs!$D$2:$AG$2,0)),Inputs!$B$4:$B$200,$B15)/1000)</f>
        <v>2337.434</v>
      </c>
      <c r="V15" s="11">
        <f>IF(V$3=0,"",SUMIFS(INDEX(Inputs!$D$4:$AG$200,0,MATCH(V$2,Inputs!$D$2:$AG$2,0)),Inputs!$B$4:$B$200,$B15)/1000)</f>
        <v>2445.961</v>
      </c>
      <c r="W15" s="12">
        <f>IF(V15="","",V15)</f>
        <v>2445.961</v>
      </c>
      <c r="X15" s="11">
        <f>IF(X$3=0,"",SUMIFS(INDEX(Inputs!$D$4:$AG$200,0,MATCH(X$2,Inputs!$D$2:$AG$2,0)),Inputs!$B$4:$B$200,$B15)/1000)</f>
        <v>2545.291089</v>
      </c>
      <c r="Y15" s="11">
        <f>IF(Y$3=0,"",SUMIFS(INDEX(Inputs!$D$4:$AG$200,0,MATCH(Y$2,Inputs!$D$2:$AG$2,0)),Inputs!$B$4:$B$200,$B15)/1000)</f>
        <v>2190.792</v>
      </c>
      <c r="Z15" s="11">
        <f>IF(Z$3=0,"",SUMIFS(INDEX(Inputs!$D$4:$AG$200,0,MATCH(Z$2,Inputs!$D$2:$AG$2,0)),Inputs!$B$4:$B$200,$B15)/1000)</f>
        <v>2622.425</v>
      </c>
      <c r="AA15" s="11">
        <f>IF(AA$3=0,"",SUMIFS(INDEX(Inputs!$D$4:$AG$200,0,MATCH(AA$2,Inputs!$D$2:$AG$2,0)),Inputs!$B$4:$B$200,$B15)/1000)</f>
        <v>2275.013</v>
      </c>
      <c r="AB15" s="12">
        <f>IF(AA15="","",AA15)</f>
        <v>2275.013</v>
      </c>
      <c r="AC15" s="11">
        <f>IF(AC$3=0,"",SUMIFS(INDEX(Inputs!$D$4:$AG$200,0,MATCH(AC$2,Inputs!$D$2:$AG$2,0)),Inputs!$B$4:$B$200,$B15)/1000)</f>
        <v>2266.553</v>
      </c>
      <c r="AD15" s="11">
        <f>IF(AD$3=0,"",SUMIFS(INDEX(Inputs!$D$4:$AG$200,0,MATCH(AD$2,Inputs!$D$2:$AG$2,0)),Inputs!$B$4:$B$200,$B15)/1000)</f>
        <v>2037.673</v>
      </c>
      <c r="AE15" s="11" t="str">
        <f>IF(AE$3=0,"",SUMIFS(INDEX(Inputs!$D$4:$AG$200,0,MATCH(AE$2,Inputs!$D$2:$AG$2,0)),Inputs!$B$4:$B$200,$B15)/1000)</f>
        <v/>
      </c>
      <c r="AF15" s="11" t="str">
        <f>IF(AF$3=0,"",SUMIFS(INDEX(Inputs!$D$4:$AG$200,0,MATCH(AF$2,Inputs!$D$2:$AG$2,0)),Inputs!$B$4:$B$200,$B15)/1000)</f>
        <v/>
      </c>
      <c r="AG15" s="12" t="str">
        <f>IF(AF15="","",AF15)</f>
        <v/>
      </c>
    </row>
    <row r="16">
      <c r="B16" s="9" t="n">
        <v>12</v>
      </c>
      <c r="C16" s="14" t="inlineStr">
        <is>
          <t>Accounts receivable</t>
        </is>
      </c>
      <c r="D16" s="11">
        <f>IF(D$3=0,"",SUMIFS(INDEX(Inputs!$D$4:$AG$200,0,MATCH(D$2,Inputs!$D$2:$AG$2,0)),Inputs!$B$4:$B$200,$B16)/1000)</f>
        <v>722.33269323</v>
      </c>
      <c r="E16" s="11">
        <f>IF(E$3=0,"",SUMIFS(INDEX(Inputs!$D$4:$AG$200,0,MATCH(E$2,Inputs!$D$2:$AG$2,0)),Inputs!$B$4:$B$200,$B16)/1000)</f>
        <v>710.16007206</v>
      </c>
      <c r="F16" s="11">
        <f>IF(F$3=0,"",SUMIFS(INDEX(Inputs!$D$4:$AG$200,0,MATCH(F$2,Inputs!$D$2:$AG$2,0)),Inputs!$B$4:$B$200,$B16)/1000)</f>
        <v>798.87962103</v>
      </c>
      <c r="G16" s="11">
        <f>IF(G$3=0,"",SUMIFS(INDEX(Inputs!$D$4:$AG$200,0,MATCH(G$2,Inputs!$D$2:$AG$2,0)),Inputs!$B$4:$B$200,$B16)/1000)</f>
        <v>793.850845533</v>
      </c>
      <c r="H16" s="12">
        <f>IF(G16="","",G16)</f>
        <v>793.850845533</v>
      </c>
      <c r="I16" s="11">
        <f>IF(I$3=0,"",SUMIFS(INDEX(Inputs!$D$4:$AG$200,0,MATCH(I$2,Inputs!$D$2:$AG$2,0)),Inputs!$B$4:$B$200,$B16)/1000)</f>
        <v>867.74374465</v>
      </c>
      <c r="J16" s="11">
        <f>IF(J$3=0,"",SUMIFS(INDEX(Inputs!$D$4:$AG$200,0,MATCH(J$2,Inputs!$D$2:$AG$2,0)),Inputs!$B$4:$B$200,$B16)/1000)</f>
        <v>900.92993497</v>
      </c>
      <c r="K16" s="11">
        <f>IF(K$3=0,"",SUMIFS(INDEX(Inputs!$D$4:$AG$200,0,MATCH(K$2,Inputs!$D$2:$AG$2,0)),Inputs!$B$4:$B$200,$B16)/1000)</f>
        <v>885.46691962</v>
      </c>
      <c r="L16" s="11">
        <f>IF(L$3=0,"",SUMIFS(INDEX(Inputs!$D$4:$AG$200,0,MATCH(L$2,Inputs!$D$2:$AG$2,0)),Inputs!$B$4:$B$200,$B16)/1000)</f>
        <v>856.84906289</v>
      </c>
      <c r="M16" s="12">
        <f>IF(L16="","",L16)</f>
        <v>856.84906289</v>
      </c>
      <c r="N16" s="11">
        <f>IF(N$3=0,"",SUMIFS(INDEX(Inputs!$D$4:$AG$200,0,MATCH(N$2,Inputs!$D$2:$AG$2,0)),Inputs!$B$4:$B$200,$B16)/1000)</f>
        <v>973.70141759</v>
      </c>
      <c r="O16" s="11">
        <f>IF(O$3=0,"",SUMIFS(INDEX(Inputs!$D$4:$AG$200,0,MATCH(O$2,Inputs!$D$2:$AG$2,0)),Inputs!$B$4:$B$200,$B16)/1000)</f>
        <v>1486.024</v>
      </c>
      <c r="P16" s="11">
        <f>IF(P$3=0,"",SUMIFS(INDEX(Inputs!$D$4:$AG$200,0,MATCH(P$2,Inputs!$D$2:$AG$2,0)),Inputs!$B$4:$B$200,$B16)/1000)</f>
        <v>1558.622</v>
      </c>
      <c r="Q16" s="11">
        <f>IF(Q$3=0,"",SUMIFS(INDEX(Inputs!$D$4:$AG$200,0,MATCH(Q$2,Inputs!$D$2:$AG$2,0)),Inputs!$B$4:$B$200,$B16)/1000)</f>
        <v>1505.194</v>
      </c>
      <c r="R16" s="12">
        <f>IF(Q16="","",Q16)</f>
        <v>1505.194</v>
      </c>
      <c r="S16" s="11">
        <f>IF(S$3=0,"",SUMIFS(INDEX(Inputs!$D$4:$AG$200,0,MATCH(S$2,Inputs!$D$2:$AG$2,0)),Inputs!$B$4:$B$200,$B16)/1000)</f>
        <v>1731.049</v>
      </c>
      <c r="T16" s="11">
        <f>IF(T$3=0,"",SUMIFS(INDEX(Inputs!$D$4:$AG$200,0,MATCH(T$2,Inputs!$D$2:$AG$2,0)),Inputs!$B$4:$B$200,$B16)/1000)</f>
        <v>1759.05</v>
      </c>
      <c r="U16" s="11">
        <f>IF(U$3=0,"",SUMIFS(INDEX(Inputs!$D$4:$AG$200,0,MATCH(U$2,Inputs!$D$2:$AG$2,0)),Inputs!$B$4:$B$200,$B16)/1000)</f>
        <v>1763.847</v>
      </c>
      <c r="V16" s="11">
        <f>IF(V$3=0,"",SUMIFS(INDEX(Inputs!$D$4:$AG$200,0,MATCH(V$2,Inputs!$D$2:$AG$2,0)),Inputs!$B$4:$B$200,$B16)/1000)</f>
        <v>1634.904</v>
      </c>
      <c r="W16" s="12">
        <f>IF(V16="","",V16)</f>
        <v>1634.904</v>
      </c>
      <c r="X16" s="11">
        <f>IF(X$3=0,"",SUMIFS(INDEX(Inputs!$D$4:$AG$200,0,MATCH(X$2,Inputs!$D$2:$AG$2,0)),Inputs!$B$4:$B$200,$B16)/1000)</f>
        <v>1789.123657</v>
      </c>
      <c r="Y16" s="11">
        <f>IF(Y$3=0,"",SUMIFS(INDEX(Inputs!$D$4:$AG$200,0,MATCH(Y$2,Inputs!$D$2:$AG$2,0)),Inputs!$B$4:$B$200,$B16)/1000)</f>
        <v>1859.62</v>
      </c>
      <c r="Z16" s="11">
        <f>IF(Z$3=0,"",SUMIFS(INDEX(Inputs!$D$4:$AG$200,0,MATCH(Z$2,Inputs!$D$2:$AG$2,0)),Inputs!$B$4:$B$200,$B16)/1000)</f>
        <v>1911.173</v>
      </c>
      <c r="AA16" s="11">
        <f>IF(AA$3=0,"",SUMIFS(INDEX(Inputs!$D$4:$AG$200,0,MATCH(AA$2,Inputs!$D$2:$AG$2,0)),Inputs!$B$4:$B$200,$B16)/1000)</f>
        <v>1747.166</v>
      </c>
      <c r="AB16" s="12">
        <f>IF(AA16="","",AA16)</f>
        <v>1747.166</v>
      </c>
      <c r="AC16" s="11">
        <f>IF(AC$3=0,"",SUMIFS(INDEX(Inputs!$D$4:$AG$200,0,MATCH(AC$2,Inputs!$D$2:$AG$2,0)),Inputs!$B$4:$B$200,$B16)/1000)</f>
        <v>2005.869</v>
      </c>
      <c r="AD16" s="11">
        <f>IF(AD$3=0,"",SUMIFS(INDEX(Inputs!$D$4:$AG$200,0,MATCH(AD$2,Inputs!$D$2:$AG$2,0)),Inputs!$B$4:$B$200,$B16)/1000)</f>
        <v>2094.735</v>
      </c>
      <c r="AE16" s="11" t="str">
        <f>IF(AE$3=0,"",SUMIFS(INDEX(Inputs!$D$4:$AG$200,0,MATCH(AE$2,Inputs!$D$2:$AG$2,0)),Inputs!$B$4:$B$200,$B16)/1000)</f>
        <v/>
      </c>
      <c r="AF16" s="11" t="str">
        <f>IF(AF$3=0,"",SUMIFS(INDEX(Inputs!$D$4:$AG$200,0,MATCH(AF$2,Inputs!$D$2:$AG$2,0)),Inputs!$B$4:$B$200,$B16)/1000)</f>
        <v/>
      </c>
      <c r="AG16" s="12" t="str">
        <f>IF(AF16="","",AF16)</f>
        <v/>
      </c>
    </row>
    <row r="17">
      <c r="B17" s="9" t="n">
        <v>13</v>
      </c>
      <c r="C17" s="14" t="inlineStr">
        <is>
          <t>Inventories</t>
        </is>
      </c>
      <c r="D17" s="11">
        <f>IF(D$3=0,"",SUMIFS(INDEX(Inputs!$D$4:$AG$200,0,MATCH(D$2,Inputs!$D$2:$AG$2,0)),Inputs!$B$4:$B$200,$B17)/1000)</f>
        <v>63.8348316</v>
      </c>
      <c r="E17" s="11">
        <f>IF(E$3=0,"",SUMIFS(INDEX(Inputs!$D$4:$AG$200,0,MATCH(E$2,Inputs!$D$2:$AG$2,0)),Inputs!$B$4:$B$200,$B17)/1000)</f>
        <v>71.51351074</v>
      </c>
      <c r="F17" s="11">
        <f>IF(F$3=0,"",SUMIFS(INDEX(Inputs!$D$4:$AG$200,0,MATCH(F$2,Inputs!$D$2:$AG$2,0)),Inputs!$B$4:$B$200,$B17)/1000)</f>
        <v>68.37885212</v>
      </c>
      <c r="G17" s="11">
        <f>IF(G$3=0,"",SUMIFS(INDEX(Inputs!$D$4:$AG$200,0,MATCH(G$2,Inputs!$D$2:$AG$2,0)),Inputs!$B$4:$B$200,$B17)/1000)</f>
        <v>72.60991872</v>
      </c>
      <c r="H17" s="12">
        <f>IF(G17="","",G17)</f>
        <v>72.60991872</v>
      </c>
      <c r="I17" s="11">
        <f>IF(I$3=0,"",SUMIFS(INDEX(Inputs!$D$4:$AG$200,0,MATCH(I$2,Inputs!$D$2:$AG$2,0)),Inputs!$B$4:$B$200,$B17)/1000)</f>
        <v>95.16856361</v>
      </c>
      <c r="J17" s="11">
        <f>IF(J$3=0,"",SUMIFS(INDEX(Inputs!$D$4:$AG$200,0,MATCH(J$2,Inputs!$D$2:$AG$2,0)),Inputs!$B$4:$B$200,$B17)/1000)</f>
        <v>76.20863578</v>
      </c>
      <c r="K17" s="11">
        <f>IF(K$3=0,"",SUMIFS(INDEX(Inputs!$D$4:$AG$200,0,MATCH(K$2,Inputs!$D$2:$AG$2,0)),Inputs!$B$4:$B$200,$B17)/1000)</f>
        <v>85.47263984</v>
      </c>
      <c r="L17" s="11">
        <f>IF(L$3=0,"",SUMIFS(INDEX(Inputs!$D$4:$AG$200,0,MATCH(L$2,Inputs!$D$2:$AG$2,0)),Inputs!$B$4:$B$200,$B17)/1000)</f>
        <v>96.57554571</v>
      </c>
      <c r="M17" s="12">
        <f>IF(L17="","",L17)</f>
        <v>96.57554571</v>
      </c>
      <c r="N17" s="11">
        <f>IF(N$3=0,"",SUMIFS(INDEX(Inputs!$D$4:$AG$200,0,MATCH(N$2,Inputs!$D$2:$AG$2,0)),Inputs!$B$4:$B$200,$B17)/1000)</f>
        <v>99.24706762</v>
      </c>
      <c r="O17" s="11">
        <f>IF(O$3=0,"",SUMIFS(INDEX(Inputs!$D$4:$AG$200,0,MATCH(O$2,Inputs!$D$2:$AG$2,0)),Inputs!$B$4:$B$200,$B17)/1000)</f>
        <v>132.464</v>
      </c>
      <c r="P17" s="11">
        <f>IF(P$3=0,"",SUMIFS(INDEX(Inputs!$D$4:$AG$200,0,MATCH(P$2,Inputs!$D$2:$AG$2,0)),Inputs!$B$4:$B$200,$B17)/1000)</f>
        <v>135.196</v>
      </c>
      <c r="Q17" s="11">
        <f>IF(Q$3=0,"",SUMIFS(INDEX(Inputs!$D$4:$AG$200,0,MATCH(Q$2,Inputs!$D$2:$AG$2,0)),Inputs!$B$4:$B$200,$B17)/1000)</f>
        <v>134.929</v>
      </c>
      <c r="R17" s="12">
        <f>IF(Q17="","",Q17)</f>
        <v>134.929</v>
      </c>
      <c r="S17" s="11">
        <f>IF(S$3=0,"",SUMIFS(INDEX(Inputs!$D$4:$AG$200,0,MATCH(S$2,Inputs!$D$2:$AG$2,0)),Inputs!$B$4:$B$200,$B17)/1000)</f>
        <v>127.562</v>
      </c>
      <c r="T17" s="11">
        <f>IF(T$3=0,"",SUMIFS(INDEX(Inputs!$D$4:$AG$200,0,MATCH(T$2,Inputs!$D$2:$AG$2,0)),Inputs!$B$4:$B$200,$B17)/1000)</f>
        <v>139.551</v>
      </c>
      <c r="U17" s="11">
        <f>IF(U$3=0,"",SUMIFS(INDEX(Inputs!$D$4:$AG$200,0,MATCH(U$2,Inputs!$D$2:$AG$2,0)),Inputs!$B$4:$B$200,$B17)/1000)</f>
        <v>139.511</v>
      </c>
      <c r="V17" s="11">
        <f>IF(V$3=0,"",SUMIFS(INDEX(Inputs!$D$4:$AG$200,0,MATCH(V$2,Inputs!$D$2:$AG$2,0)),Inputs!$B$4:$B$200,$B17)/1000)</f>
        <v>155.036</v>
      </c>
      <c r="W17" s="12">
        <f>IF(V17="","",V17)</f>
        <v>155.036</v>
      </c>
      <c r="X17" s="11">
        <f>IF(X$3=0,"",SUMIFS(INDEX(Inputs!$D$4:$AG$200,0,MATCH(X$2,Inputs!$D$2:$AG$2,0)),Inputs!$B$4:$B$200,$B17)/1000)</f>
        <v>155.495579</v>
      </c>
      <c r="Y17" s="11">
        <f>IF(Y$3=0,"",SUMIFS(INDEX(Inputs!$D$4:$AG$200,0,MATCH(Y$2,Inputs!$D$2:$AG$2,0)),Inputs!$B$4:$B$200,$B17)/1000)</f>
        <v>149.579</v>
      </c>
      <c r="Z17" s="11">
        <f>IF(Z$3=0,"",SUMIFS(INDEX(Inputs!$D$4:$AG$200,0,MATCH(Z$2,Inputs!$D$2:$AG$2,0)),Inputs!$B$4:$B$200,$B17)/1000)</f>
        <v>154.975</v>
      </c>
      <c r="AA17" s="11">
        <f>IF(AA$3=0,"",SUMIFS(INDEX(Inputs!$D$4:$AG$200,0,MATCH(AA$2,Inputs!$D$2:$AG$2,0)),Inputs!$B$4:$B$200,$B17)/1000)</f>
        <v>180.702</v>
      </c>
      <c r="AB17" s="12">
        <f>IF(AA17="","",AA17)</f>
        <v>180.702</v>
      </c>
      <c r="AC17" s="11">
        <f>IF(AC$3=0,"",SUMIFS(INDEX(Inputs!$D$4:$AG$200,0,MATCH(AC$2,Inputs!$D$2:$AG$2,0)),Inputs!$B$4:$B$200,$B17)/1000)</f>
        <v>150.818</v>
      </c>
      <c r="AD17" s="11">
        <f>IF(AD$3=0,"",SUMIFS(INDEX(Inputs!$D$4:$AG$200,0,MATCH(AD$2,Inputs!$D$2:$AG$2,0)),Inputs!$B$4:$B$200,$B17)/1000)</f>
        <v>156.59</v>
      </c>
      <c r="AE17" s="11" t="str">
        <f>IF(AE$3=0,"",SUMIFS(INDEX(Inputs!$D$4:$AG$200,0,MATCH(AE$2,Inputs!$D$2:$AG$2,0)),Inputs!$B$4:$B$200,$B17)/1000)</f>
        <v/>
      </c>
      <c r="AF17" s="11" t="str">
        <f>IF(AF$3=0,"",SUMIFS(INDEX(Inputs!$D$4:$AG$200,0,MATCH(AF$2,Inputs!$D$2:$AG$2,0)),Inputs!$B$4:$B$200,$B17)/1000)</f>
        <v/>
      </c>
      <c r="AG17" s="12" t="str">
        <f>IF(AF17="","",AF17)</f>
        <v/>
      </c>
    </row>
    <row r="18">
      <c r="B18" s="9" t="n">
        <v>14</v>
      </c>
      <c r="C18" s="14" t="inlineStr">
        <is>
          <t>Deferred income taxes</t>
        </is>
      </c>
      <c r="D18" s="11">
        <f>IF(D$3=0,"",SUMIFS(INDEX(Inputs!$D$4:$AG$200,0,MATCH(D$2,Inputs!$D$2:$AG$2,0)),Inputs!$B$4:$B$200,$B18)/1000)</f>
        <v>90.94827093</v>
      </c>
      <c r="E18" s="11">
        <f>IF(E$3=0,"",SUMIFS(INDEX(Inputs!$D$4:$AG$200,0,MATCH(E$2,Inputs!$D$2:$AG$2,0)),Inputs!$B$4:$B$200,$B18)/1000)</f>
        <v>107.55430088</v>
      </c>
      <c r="F18" s="11">
        <f>IF(F$3=0,"",SUMIFS(INDEX(Inputs!$D$4:$AG$200,0,MATCH(F$2,Inputs!$D$2:$AG$2,0)),Inputs!$B$4:$B$200,$B18)/1000)</f>
        <v>115.09237981</v>
      </c>
      <c r="G18" s="11">
        <f>IF(G$3=0,"",SUMIFS(INDEX(Inputs!$D$4:$AG$200,0,MATCH(G$2,Inputs!$D$2:$AG$2,0)),Inputs!$B$4:$B$200,$B18)/1000)</f>
        <v>25.195</v>
      </c>
      <c r="H18" s="12">
        <f>IF(G18="","",G18)</f>
        <v>25.195</v>
      </c>
      <c r="I18" s="11">
        <f>IF(I$3=0,"",SUMIFS(INDEX(Inputs!$D$4:$AG$200,0,MATCH(I$2,Inputs!$D$2:$AG$2,0)),Inputs!$B$4:$B$200,$B18)/1000)</f>
        <v>37.19035428</v>
      </c>
      <c r="J18" s="11">
        <f>IF(J$3=0,"",SUMIFS(INDEX(Inputs!$D$4:$AG$200,0,MATCH(J$2,Inputs!$D$2:$AG$2,0)),Inputs!$B$4:$B$200,$B18)/1000)</f>
        <v>150.8146551</v>
      </c>
      <c r="K18" s="11">
        <f>IF(K$3=0,"",SUMIFS(INDEX(Inputs!$D$4:$AG$200,0,MATCH(K$2,Inputs!$D$2:$AG$2,0)),Inputs!$B$4:$B$200,$B18)/1000)</f>
        <v>177.40878868</v>
      </c>
      <c r="L18" s="11">
        <f>IF(L$3=0,"",SUMIFS(INDEX(Inputs!$D$4:$AG$200,0,MATCH(L$2,Inputs!$D$2:$AG$2,0)),Inputs!$B$4:$B$200,$B18)/1000)</f>
        <v>48.62433562</v>
      </c>
      <c r="M18" s="12">
        <f>IF(L18="","",L18)</f>
        <v>48.62433562</v>
      </c>
      <c r="N18" s="11">
        <f>IF(N$3=0,"",SUMIFS(INDEX(Inputs!$D$4:$AG$200,0,MATCH(N$2,Inputs!$D$2:$AG$2,0)),Inputs!$B$4:$B$200,$B18)/1000)</f>
        <v>53.22583053</v>
      </c>
      <c r="O18" s="11">
        <f>IF(O$3=0,"",SUMIFS(INDEX(Inputs!$D$4:$AG$200,0,MATCH(O$2,Inputs!$D$2:$AG$2,0)),Inputs!$B$4:$B$200,$B18)/1000)</f>
        <v>55.901</v>
      </c>
      <c r="P18" s="11">
        <f>IF(P$3=0,"",SUMIFS(INDEX(Inputs!$D$4:$AG$200,0,MATCH(P$2,Inputs!$D$2:$AG$2,0)),Inputs!$B$4:$B$200,$B18)/1000)</f>
        <v>29.695</v>
      </c>
      <c r="Q18" s="11">
        <f>IF(Q$3=0,"",SUMIFS(INDEX(Inputs!$D$4:$AG$200,0,MATCH(Q$2,Inputs!$D$2:$AG$2,0)),Inputs!$B$4:$B$200,$B18)/1000)</f>
        <v>34.356</v>
      </c>
      <c r="R18" s="12">
        <f>IF(Q18="","",Q18)</f>
        <v>34.356</v>
      </c>
      <c r="S18" s="11">
        <f>IF(S$3=0,"",SUMIFS(INDEX(Inputs!$D$4:$AG$200,0,MATCH(S$2,Inputs!$D$2:$AG$2,0)),Inputs!$B$4:$B$200,$B18)/1000)</f>
        <v>34.109</v>
      </c>
      <c r="T18" s="11">
        <f>IF(T$3=0,"",SUMIFS(INDEX(Inputs!$D$4:$AG$200,0,MATCH(T$2,Inputs!$D$2:$AG$2,0)),Inputs!$B$4:$B$200,$B18)/1000)</f>
        <v>37.285</v>
      </c>
      <c r="U18" s="11">
        <f>IF(U$3=0,"",SUMIFS(INDEX(Inputs!$D$4:$AG$200,0,MATCH(U$2,Inputs!$D$2:$AG$2,0)),Inputs!$B$4:$B$200,$B18)/1000)</f>
        <v>37.378</v>
      </c>
      <c r="V18" s="11">
        <f>IF(V$3=0,"",SUMIFS(INDEX(Inputs!$D$4:$AG$200,0,MATCH(V$2,Inputs!$D$2:$AG$2,0)),Inputs!$B$4:$B$200,$B18)/1000)</f>
        <v>20.478</v>
      </c>
      <c r="W18" s="12">
        <f>IF(V18="","",V18)</f>
        <v>20.478</v>
      </c>
      <c r="X18" s="11">
        <f>IF(X$3=0,"",SUMIFS(INDEX(Inputs!$D$4:$AG$200,0,MATCH(X$2,Inputs!$D$2:$AG$2,0)),Inputs!$B$4:$B$200,$B18)/1000)</f>
        <v>21.879454</v>
      </c>
      <c r="Y18" s="11">
        <f>IF(Y$3=0,"",SUMIFS(INDEX(Inputs!$D$4:$AG$200,0,MATCH(Y$2,Inputs!$D$2:$AG$2,0)),Inputs!$B$4:$B$200,$B18)/1000)</f>
        <v>11.582</v>
      </c>
      <c r="Z18" s="11">
        <f>IF(Z$3=0,"",SUMIFS(INDEX(Inputs!$D$4:$AG$200,0,MATCH(Z$2,Inputs!$D$2:$AG$2,0)),Inputs!$B$4:$B$200,$B18)/1000)</f>
        <v>12.011</v>
      </c>
      <c r="AA18" s="11">
        <f>IF(AA$3=0,"",SUMIFS(INDEX(Inputs!$D$4:$AG$200,0,MATCH(AA$2,Inputs!$D$2:$AG$2,0)),Inputs!$B$4:$B$200,$B18)/1000)</f>
        <v>11.058</v>
      </c>
      <c r="AB18" s="12">
        <f>IF(AA18="","",AA18)</f>
        <v>11.058</v>
      </c>
      <c r="AC18" s="11">
        <f>IF(AC$3=0,"",SUMIFS(INDEX(Inputs!$D$4:$AG$200,0,MATCH(AC$2,Inputs!$D$2:$AG$2,0)),Inputs!$B$4:$B$200,$B18)/1000)</f>
        <v>8.43</v>
      </c>
      <c r="AD18" s="11">
        <f>IF(AD$3=0,"",SUMIFS(INDEX(Inputs!$D$4:$AG$200,0,MATCH(AD$2,Inputs!$D$2:$AG$2,0)),Inputs!$B$4:$B$200,$B18)/1000)</f>
        <v>10.269</v>
      </c>
      <c r="AE18" s="11" t="str">
        <f>IF(AE$3=0,"",SUMIFS(INDEX(Inputs!$D$4:$AG$200,0,MATCH(AE$2,Inputs!$D$2:$AG$2,0)),Inputs!$B$4:$B$200,$B18)/1000)</f>
        <v/>
      </c>
      <c r="AF18" s="11" t="str">
        <f>IF(AF$3=0,"",SUMIFS(INDEX(Inputs!$D$4:$AG$200,0,MATCH(AF$2,Inputs!$D$2:$AG$2,0)),Inputs!$B$4:$B$200,$B18)/1000)</f>
        <v/>
      </c>
      <c r="AG18" s="12" t="str">
        <f>IF(AF18="","",AF18)</f>
        <v/>
      </c>
    </row>
    <row r="19">
      <c r="B19" s="9" t="n">
        <v>15</v>
      </c>
      <c r="C19" s="14" t="inlineStr">
        <is>
          <t>Prepaid expenses</t>
        </is>
      </c>
      <c r="D19" s="11">
        <f>IF(D$3=0,"",SUMIFS(INDEX(Inputs!$D$4:$AG$200,0,MATCH(D$2,Inputs!$D$2:$AG$2,0)),Inputs!$B$4:$B$200,$B19)/1000)</f>
        <v>21.44050233</v>
      </c>
      <c r="E19" s="11">
        <f>IF(E$3=0,"",SUMIFS(INDEX(Inputs!$D$4:$AG$200,0,MATCH(E$2,Inputs!$D$2:$AG$2,0)),Inputs!$B$4:$B$200,$B19)/1000)</f>
        <v>19.74941461</v>
      </c>
      <c r="F19" s="11">
        <f>IF(F$3=0,"",SUMIFS(INDEX(Inputs!$D$4:$AG$200,0,MATCH(F$2,Inputs!$D$2:$AG$2,0)),Inputs!$B$4:$B$200,$B19)/1000)</f>
        <v>12.87100357</v>
      </c>
      <c r="G19" s="11">
        <f>IF(G$3=0,"",SUMIFS(INDEX(Inputs!$D$4:$AG$200,0,MATCH(G$2,Inputs!$D$2:$AG$2,0)),Inputs!$B$4:$B$200,$B19)/1000)</f>
        <v>6.91804293</v>
      </c>
      <c r="H19" s="12">
        <f>IF(G19="","",G19)</f>
        <v>6.91804293</v>
      </c>
      <c r="I19" s="11">
        <f>IF(I$3=0,"",SUMIFS(INDEX(Inputs!$D$4:$AG$200,0,MATCH(I$2,Inputs!$D$2:$AG$2,0)),Inputs!$B$4:$B$200,$B19)/1000)</f>
        <v>28.66972893</v>
      </c>
      <c r="J19" s="11">
        <f>IF(J$3=0,"",SUMIFS(INDEX(Inputs!$D$4:$AG$200,0,MATCH(J$2,Inputs!$D$2:$AG$2,0)),Inputs!$B$4:$B$200,$B19)/1000)</f>
        <v>27.25646226</v>
      </c>
      <c r="K19" s="11">
        <f>IF(K$3=0,"",SUMIFS(INDEX(Inputs!$D$4:$AG$200,0,MATCH(K$2,Inputs!$D$2:$AG$2,0)),Inputs!$B$4:$B$200,$B19)/1000)</f>
        <v>22.41682529</v>
      </c>
      <c r="L19" s="11">
        <f>IF(L$3=0,"",SUMIFS(INDEX(Inputs!$D$4:$AG$200,0,MATCH(L$2,Inputs!$D$2:$AG$2,0)),Inputs!$B$4:$B$200,$B19)/1000)</f>
        <v>0</v>
      </c>
      <c r="M19" s="12">
        <f>IF(L19="","",L19)</f>
        <v>0</v>
      </c>
      <c r="N19" s="11">
        <f>IF(N$3=0,"",SUMIFS(INDEX(Inputs!$D$4:$AG$200,0,MATCH(N$2,Inputs!$D$2:$AG$2,0)),Inputs!$B$4:$B$200,$B19)/1000)</f>
        <v>0</v>
      </c>
      <c r="O19" s="11">
        <f>IF(O$3=0,"",SUMIFS(INDEX(Inputs!$D$4:$AG$200,0,MATCH(O$2,Inputs!$D$2:$AG$2,0)),Inputs!$B$4:$B$200,$B19)/1000)</f>
        <v>0</v>
      </c>
      <c r="P19" s="11">
        <f>IF(P$3=0,"",SUMIFS(INDEX(Inputs!$D$4:$AG$200,0,MATCH(P$2,Inputs!$D$2:$AG$2,0)),Inputs!$B$4:$B$200,$B19)/1000)</f>
        <v>0</v>
      </c>
      <c r="Q19" s="11">
        <f>IF(Q$3=0,"",SUMIFS(INDEX(Inputs!$D$4:$AG$200,0,MATCH(Q$2,Inputs!$D$2:$AG$2,0)),Inputs!$B$4:$B$200,$B19)/1000)</f>
        <v>0</v>
      </c>
      <c r="R19" s="12">
        <f>IF(Q19="","",Q19)</f>
        <v>0</v>
      </c>
      <c r="S19" s="11">
        <f>IF(S$3=0,"",SUMIFS(INDEX(Inputs!$D$4:$AG$200,0,MATCH(S$2,Inputs!$D$2:$AG$2,0)),Inputs!$B$4:$B$200,$B19)/1000)</f>
        <v>0</v>
      </c>
      <c r="T19" s="11">
        <f>IF(T$3=0,"",SUMIFS(INDEX(Inputs!$D$4:$AG$200,0,MATCH(T$2,Inputs!$D$2:$AG$2,0)),Inputs!$B$4:$B$200,$B19)/1000)</f>
        <v>0</v>
      </c>
      <c r="U19" s="11">
        <f>IF(U$3=0,"",SUMIFS(INDEX(Inputs!$D$4:$AG$200,0,MATCH(U$2,Inputs!$D$2:$AG$2,0)),Inputs!$B$4:$B$200,$B19)/1000)</f>
        <v>0</v>
      </c>
      <c r="V19" s="11">
        <f>IF(V$3=0,"",SUMIFS(INDEX(Inputs!$D$4:$AG$200,0,MATCH(V$2,Inputs!$D$2:$AG$2,0)),Inputs!$B$4:$B$200,$B19)/1000)</f>
        <v>0</v>
      </c>
      <c r="W19" s="12">
        <f>IF(V19="","",V19)</f>
        <v>0</v>
      </c>
      <c r="X19" s="11">
        <f>IF(X$3=0,"",SUMIFS(INDEX(Inputs!$D$4:$AG$200,0,MATCH(X$2,Inputs!$D$2:$AG$2,0)),Inputs!$B$4:$B$200,$B19)/1000)</f>
        <v>0</v>
      </c>
      <c r="Y19" s="11">
        <f>IF(Y$3=0,"",SUMIFS(INDEX(Inputs!$D$4:$AG$200,0,MATCH(Y$2,Inputs!$D$2:$AG$2,0)),Inputs!$B$4:$B$200,$B19)/1000)</f>
        <v>0</v>
      </c>
      <c r="Z19" s="11">
        <f>IF(Z$3=0,"",SUMIFS(INDEX(Inputs!$D$4:$AG$200,0,MATCH(Z$2,Inputs!$D$2:$AG$2,0)),Inputs!$B$4:$B$200,$B19)/1000)</f>
        <v>0</v>
      </c>
      <c r="AA19" s="11">
        <f>IF(AA$3=0,"",SUMIFS(INDEX(Inputs!$D$4:$AG$200,0,MATCH(AA$2,Inputs!$D$2:$AG$2,0)),Inputs!$B$4:$B$200,$B19)/1000)</f>
        <v>0</v>
      </c>
      <c r="AB19" s="12">
        <f>IF(AA19="","",AA19)</f>
        <v>0</v>
      </c>
      <c r="AC19" s="11">
        <f>IF(AC$3=0,"",SUMIFS(INDEX(Inputs!$D$4:$AG$200,0,MATCH(AC$2,Inputs!$D$2:$AG$2,0)),Inputs!$B$4:$B$200,$B19)/1000)</f>
        <v>0</v>
      </c>
      <c r="AD19" s="11">
        <f>IF(AD$3=0,"",SUMIFS(INDEX(Inputs!$D$4:$AG$200,0,MATCH(AD$2,Inputs!$D$2:$AG$2,0)),Inputs!$B$4:$B$200,$B19)/1000)</f>
        <v>0</v>
      </c>
      <c r="AE19" s="11" t="str">
        <f>IF(AE$3=0,"",SUMIFS(INDEX(Inputs!$D$4:$AG$200,0,MATCH(AE$2,Inputs!$D$2:$AG$2,0)),Inputs!$B$4:$B$200,$B19)/1000)</f>
        <v/>
      </c>
      <c r="AF19" s="11" t="str">
        <f>IF(AF$3=0,"",SUMIFS(INDEX(Inputs!$D$4:$AG$200,0,MATCH(AF$2,Inputs!$D$2:$AG$2,0)),Inputs!$B$4:$B$200,$B19)/1000)</f>
        <v/>
      </c>
      <c r="AG19" s="12" t="str">
        <f>IF(AF19="","",AF19)</f>
        <v/>
      </c>
    </row>
    <row r="20">
      <c r="B20" s="9" t="n">
        <v>16</v>
      </c>
      <c r="C20" s="14" t="inlineStr">
        <is>
          <t>Other current assets</t>
        </is>
      </c>
      <c r="D20" s="11">
        <f>IF(D$3=0,"",SUMIFS(INDEX(Inputs!$D$4:$AG$200,0,MATCH(D$2,Inputs!$D$2:$AG$2,0)),Inputs!$B$4:$B$200,$B20)/1000)</f>
        <v>63.62988346</v>
      </c>
      <c r="E20" s="11">
        <f>IF(E$3=0,"",SUMIFS(INDEX(Inputs!$D$4:$AG$200,0,MATCH(E$2,Inputs!$D$2:$AG$2,0)),Inputs!$B$4:$B$200,$B20)/1000)</f>
        <v>61.85708362</v>
      </c>
      <c r="F20" s="11">
        <f>IF(F$3=0,"",SUMIFS(INDEX(Inputs!$D$4:$AG$200,0,MATCH(F$2,Inputs!$D$2:$AG$2,0)),Inputs!$B$4:$B$200,$B20)/1000)</f>
        <v>151.69322796</v>
      </c>
      <c r="G20" s="11">
        <f>IF(G$3=0,"",SUMIFS(INDEX(Inputs!$D$4:$AG$200,0,MATCH(G$2,Inputs!$D$2:$AG$2,0)),Inputs!$B$4:$B$200,$B20)/1000)</f>
        <v>71.99774145</v>
      </c>
      <c r="H20" s="12">
        <f>IF(G20="","",G20)</f>
        <v>71.99774145</v>
      </c>
      <c r="I20" s="11">
        <f>IF(I$3=0,"",SUMIFS(INDEX(Inputs!$D$4:$AG$200,0,MATCH(I$2,Inputs!$D$2:$AG$2,0)),Inputs!$B$4:$B$200,$B20)/1000)</f>
        <v>104.14867507</v>
      </c>
      <c r="J20" s="11">
        <f>IF(J$3=0,"",SUMIFS(INDEX(Inputs!$D$4:$AG$200,0,MATCH(J$2,Inputs!$D$2:$AG$2,0)),Inputs!$B$4:$B$200,$B20)/1000)</f>
        <v>147.91897069</v>
      </c>
      <c r="K20" s="11">
        <f>IF(K$3=0,"",SUMIFS(INDEX(Inputs!$D$4:$AG$200,0,MATCH(K$2,Inputs!$D$2:$AG$2,0)),Inputs!$B$4:$B$200,$B20)/1000)</f>
        <v>180.4205824</v>
      </c>
      <c r="L20" s="11">
        <f>IF(L$3=0,"",SUMIFS(INDEX(Inputs!$D$4:$AG$200,0,MATCH(L$2,Inputs!$D$2:$AG$2,0)),Inputs!$B$4:$B$200,$B20)/1000)</f>
        <v>128.48923243</v>
      </c>
      <c r="M20" s="12">
        <f>IF(L20="","",L20)</f>
        <v>128.48923243</v>
      </c>
      <c r="N20" s="11">
        <f>IF(N$3=0,"",SUMIFS(INDEX(Inputs!$D$4:$AG$200,0,MATCH(N$2,Inputs!$D$2:$AG$2,0)),Inputs!$B$4:$B$200,$B20)/1000)</f>
        <v>121.272759</v>
      </c>
      <c r="O20" s="11">
        <f>IF(O$3=0,"",SUMIFS(INDEX(Inputs!$D$4:$AG$200,0,MATCH(O$2,Inputs!$D$2:$AG$2,0)),Inputs!$B$4:$B$200,$B20)/1000)</f>
        <v>208.445</v>
      </c>
      <c r="P20" s="11">
        <f>IF(P$3=0,"",SUMIFS(INDEX(Inputs!$D$4:$AG$200,0,MATCH(P$2,Inputs!$D$2:$AG$2,0)),Inputs!$B$4:$B$200,$B20)/1000)</f>
        <v>168.103</v>
      </c>
      <c r="Q20" s="11">
        <f>IF(Q$3=0,"",SUMIFS(INDEX(Inputs!$D$4:$AG$200,0,MATCH(Q$2,Inputs!$D$2:$AG$2,0)),Inputs!$B$4:$B$200,$B20)/1000)</f>
        <v>239.301</v>
      </c>
      <c r="R20" s="12">
        <f>IF(Q20="","",Q20)</f>
        <v>239.301</v>
      </c>
      <c r="S20" s="11">
        <f>IF(S$3=0,"",SUMIFS(INDEX(Inputs!$D$4:$AG$200,0,MATCH(S$2,Inputs!$D$2:$AG$2,0)),Inputs!$B$4:$B$200,$B20)/1000)</f>
        <v>254.996</v>
      </c>
      <c r="T20" s="11">
        <f>IF(T$3=0,"",SUMIFS(INDEX(Inputs!$D$4:$AG$200,0,MATCH(T$2,Inputs!$D$2:$AG$2,0)),Inputs!$B$4:$B$200,$B20)/1000)</f>
        <v>265.067</v>
      </c>
      <c r="U20" s="11">
        <f>IF(U$3=0,"",SUMIFS(INDEX(Inputs!$D$4:$AG$200,0,MATCH(U$2,Inputs!$D$2:$AG$2,0)),Inputs!$B$4:$B$200,$B20)/1000)</f>
        <v>253.653</v>
      </c>
      <c r="V20" s="11">
        <f>IF(V$3=0,"",SUMIFS(INDEX(Inputs!$D$4:$AG$200,0,MATCH(V$2,Inputs!$D$2:$AG$2,0)),Inputs!$B$4:$B$200,$B20)/1000)</f>
        <v>244.111</v>
      </c>
      <c r="W20" s="12">
        <f>IF(V20="","",V20)</f>
        <v>244.111</v>
      </c>
      <c r="X20" s="11">
        <f>IF(X$3=0,"",SUMIFS(INDEX(Inputs!$D$4:$AG$200,0,MATCH(X$2,Inputs!$D$2:$AG$2,0)),Inputs!$B$4:$B$200,$B20)/1000)</f>
        <v>258.051</v>
      </c>
      <c r="Y20" s="11">
        <f>IF(Y$3=0,"",SUMIFS(INDEX(Inputs!$D$4:$AG$200,0,MATCH(Y$2,Inputs!$D$2:$AG$2,0)),Inputs!$B$4:$B$200,$B20)/1000)</f>
        <v>274.276</v>
      </c>
      <c r="Z20" s="11">
        <f>IF(Z$3=0,"",SUMIFS(INDEX(Inputs!$D$4:$AG$200,0,MATCH(Z$2,Inputs!$D$2:$AG$2,0)),Inputs!$B$4:$B$200,$B20)/1000)</f>
        <v>285.309</v>
      </c>
      <c r="AA20" s="11">
        <f>IF(AA$3=0,"",SUMIFS(INDEX(Inputs!$D$4:$AG$200,0,MATCH(AA$2,Inputs!$D$2:$AG$2,0)),Inputs!$B$4:$B$200,$B20)/1000)</f>
        <v>331.206</v>
      </c>
      <c r="AB20" s="12">
        <f>IF(AA20="","",AA20)</f>
        <v>331.206</v>
      </c>
      <c r="AC20" s="11">
        <f>IF(AC$3=0,"",SUMIFS(INDEX(Inputs!$D$4:$AG$200,0,MATCH(AC$2,Inputs!$D$2:$AG$2,0)),Inputs!$B$4:$B$200,$B20)/1000)</f>
        <v>343.446</v>
      </c>
      <c r="AD20" s="11">
        <f>IF(AD$3=0,"",SUMIFS(INDEX(Inputs!$D$4:$AG$200,0,MATCH(AD$2,Inputs!$D$2:$AG$2,0)),Inputs!$B$4:$B$200,$B20)/1000)</f>
        <v>388.476</v>
      </c>
      <c r="AE20" s="11" t="str">
        <f>IF(AE$3=0,"",SUMIFS(INDEX(Inputs!$D$4:$AG$200,0,MATCH(AE$2,Inputs!$D$2:$AG$2,0)),Inputs!$B$4:$B$200,$B20)/1000)</f>
        <v/>
      </c>
      <c r="AF20" s="11" t="str">
        <f>IF(AF$3=0,"",SUMIFS(INDEX(Inputs!$D$4:$AG$200,0,MATCH(AF$2,Inputs!$D$2:$AG$2,0)),Inputs!$B$4:$B$200,$B20)/1000)</f>
        <v/>
      </c>
      <c r="AG20" s="12" t="str">
        <f>IF(AF20="","",AF20)</f>
        <v/>
      </c>
    </row>
    <row r="21">
      <c r="B21" s="9" t="n">
        <v>17</v>
      </c>
      <c r="C21" s="14" t="inlineStr">
        <is>
          <t>Equity in affiliates</t>
        </is>
      </c>
      <c r="D21" s="11">
        <f>IF(D$3=0,"",SUMIFS(INDEX(Inputs!$D$4:$AG$200,0,MATCH(D$2,Inputs!$D$2:$AG$2,0)),Inputs!$B$4:$B$200,$B21)/1000)</f>
        <v>33.93090882</v>
      </c>
      <c r="E21" s="11">
        <f>IF(E$3=0,"",SUMIFS(INDEX(Inputs!$D$4:$AG$200,0,MATCH(E$2,Inputs!$D$2:$AG$2,0)),Inputs!$B$4:$B$200,$B21)/1000)</f>
        <v>135.736947285</v>
      </c>
      <c r="F21" s="11">
        <f>IF(F$3=0,"",SUMIFS(INDEX(Inputs!$D$4:$AG$200,0,MATCH(F$2,Inputs!$D$2:$AG$2,0)),Inputs!$B$4:$B$200,$B21)/1000)</f>
        <v>355.250406008</v>
      </c>
      <c r="G21" s="11">
        <f>IF(G$3=0,"",SUMIFS(INDEX(Inputs!$D$4:$AG$200,0,MATCH(G$2,Inputs!$D$2:$AG$2,0)),Inputs!$B$4:$B$200,$B21)/1000)</f>
        <v>43.08321583</v>
      </c>
      <c r="H21" s="12">
        <f>IF(G21="","",G21)</f>
        <v>43.08321583</v>
      </c>
      <c r="I21" s="11">
        <f>IF(I$3=0,"",SUMIFS(INDEX(Inputs!$D$4:$AG$200,0,MATCH(I$2,Inputs!$D$2:$AG$2,0)),Inputs!$B$4:$B$200,$B21)/1000)</f>
        <v>40.549805042</v>
      </c>
      <c r="J21" s="11">
        <f>IF(J$3=0,"",SUMIFS(INDEX(Inputs!$D$4:$AG$200,0,MATCH(J$2,Inputs!$D$2:$AG$2,0)),Inputs!$B$4:$B$200,$B21)/1000)</f>
        <v>42.331656163</v>
      </c>
      <c r="K21" s="11">
        <f>IF(K$3=0,"",SUMIFS(INDEX(Inputs!$D$4:$AG$200,0,MATCH(K$2,Inputs!$D$2:$AG$2,0)),Inputs!$B$4:$B$200,$B21)/1000)</f>
        <v>52.56045319</v>
      </c>
      <c r="L21" s="11">
        <f>IF(L$3=0,"",SUMIFS(INDEX(Inputs!$D$4:$AG$200,0,MATCH(L$2,Inputs!$D$2:$AG$2,0)),Inputs!$B$4:$B$200,$B21)/1000)</f>
        <v>44.080231096</v>
      </c>
      <c r="M21" s="12">
        <f>IF(L21="","",L21)</f>
        <v>44.080231096</v>
      </c>
      <c r="N21" s="11">
        <f>IF(N$3=0,"",SUMIFS(INDEX(Inputs!$D$4:$AG$200,0,MATCH(N$2,Inputs!$D$2:$AG$2,0)),Inputs!$B$4:$B$200,$B21)/1000)</f>
        <v>56.8724403</v>
      </c>
      <c r="O21" s="11">
        <f>IF(O$3=0,"",SUMIFS(INDEX(Inputs!$D$4:$AG$200,0,MATCH(O$2,Inputs!$D$2:$AG$2,0)),Inputs!$B$4:$B$200,$B21)/1000)</f>
        <v>66.428</v>
      </c>
      <c r="P21" s="11">
        <f>IF(P$3=0,"",SUMIFS(INDEX(Inputs!$D$4:$AG$200,0,MATCH(P$2,Inputs!$D$2:$AG$2,0)),Inputs!$B$4:$B$200,$B21)/1000)</f>
        <v>68.26</v>
      </c>
      <c r="Q21" s="11">
        <f>IF(Q$3=0,"",SUMIFS(INDEX(Inputs!$D$4:$AG$200,0,MATCH(Q$2,Inputs!$D$2:$AG$2,0)),Inputs!$B$4:$B$200,$B21)/1000)</f>
        <v>81.519</v>
      </c>
      <c r="R21" s="12">
        <f>IF(Q21="","",Q21)</f>
        <v>81.519</v>
      </c>
      <c r="S21" s="11">
        <f>IF(S$3=0,"",SUMIFS(INDEX(Inputs!$D$4:$AG$200,0,MATCH(S$2,Inputs!$D$2:$AG$2,0)),Inputs!$B$4:$B$200,$B21)/1000)</f>
        <v>69.005</v>
      </c>
      <c r="T21" s="11">
        <f>IF(T$3=0,"",SUMIFS(INDEX(Inputs!$D$4:$AG$200,0,MATCH(T$2,Inputs!$D$2:$AG$2,0)),Inputs!$B$4:$B$200,$B21)/1000)</f>
        <v>93.409</v>
      </c>
      <c r="U21" s="11">
        <f>IF(U$3=0,"",SUMIFS(INDEX(Inputs!$D$4:$AG$200,0,MATCH(U$2,Inputs!$D$2:$AG$2,0)),Inputs!$B$4:$B$200,$B21)/1000)</f>
        <v>100.357</v>
      </c>
      <c r="V21" s="11">
        <f>IF(V$3=0,"",SUMIFS(INDEX(Inputs!$D$4:$AG$200,0,MATCH(V$2,Inputs!$D$2:$AG$2,0)),Inputs!$B$4:$B$200,$B21)/1000)</f>
        <v>81.91</v>
      </c>
      <c r="W21" s="12">
        <f>IF(V21="","",V21)</f>
        <v>81.91</v>
      </c>
      <c r="X21" s="11">
        <f>IF(X$3=0,"",SUMIFS(INDEX(Inputs!$D$4:$AG$200,0,MATCH(X$2,Inputs!$D$2:$AG$2,0)),Inputs!$B$4:$B$200,$B21)/1000)</f>
        <v>102.201544</v>
      </c>
      <c r="Y21" s="11">
        <f>IF(Y$3=0,"",SUMIFS(INDEX(Inputs!$D$4:$AG$200,0,MATCH(Y$2,Inputs!$D$2:$AG$2,0)),Inputs!$B$4:$B$200,$B21)/1000)</f>
        <v>241.834</v>
      </c>
      <c r="Z21" s="11">
        <f>IF(Z$3=0,"",SUMIFS(INDEX(Inputs!$D$4:$AG$200,0,MATCH(Z$2,Inputs!$D$2:$AG$2,0)),Inputs!$B$4:$B$200,$B21)/1000)</f>
        <v>109.652</v>
      </c>
      <c r="AA21" s="11">
        <f>IF(AA$3=0,"",SUMIFS(INDEX(Inputs!$D$4:$AG$200,0,MATCH(AA$2,Inputs!$D$2:$AG$2,0)),Inputs!$B$4:$B$200,$B21)/1000)</f>
        <v>111.772</v>
      </c>
      <c r="AB21" s="12">
        <f>IF(AA21="","",AA21)</f>
        <v>111.772</v>
      </c>
      <c r="AC21" s="11">
        <f>IF(AC$3=0,"",SUMIFS(INDEX(Inputs!$D$4:$AG$200,0,MATCH(AC$2,Inputs!$D$2:$AG$2,0)),Inputs!$B$4:$B$200,$B21)/1000)</f>
        <v>105.85</v>
      </c>
      <c r="AD21" s="11">
        <f>IF(AD$3=0,"",SUMIFS(INDEX(Inputs!$D$4:$AG$200,0,MATCH(AD$2,Inputs!$D$2:$AG$2,0)),Inputs!$B$4:$B$200,$B21)/1000)</f>
        <v>169.324</v>
      </c>
      <c r="AE21" s="11" t="str">
        <f>IF(AE$3=0,"",SUMIFS(INDEX(Inputs!$D$4:$AG$200,0,MATCH(AE$2,Inputs!$D$2:$AG$2,0)),Inputs!$B$4:$B$200,$B21)/1000)</f>
        <v/>
      </c>
      <c r="AF21" s="11" t="str">
        <f>IF(AF$3=0,"",SUMIFS(INDEX(Inputs!$D$4:$AG$200,0,MATCH(AF$2,Inputs!$D$2:$AG$2,0)),Inputs!$B$4:$B$200,$B21)/1000)</f>
        <v/>
      </c>
      <c r="AG21" s="12" t="str">
        <f>IF(AF21="","",AF21)</f>
        <v/>
      </c>
    </row>
    <row r="22">
      <c r="B22" s="9" t="n">
        <v>18</v>
      </c>
      <c r="C22" s="14" t="inlineStr">
        <is>
          <t>PP&amp;E</t>
        </is>
      </c>
      <c r="D22" s="11">
        <f>IF(D$3=0,"",SUMIFS(INDEX(Inputs!$D$4:$AG$200,0,MATCH(D$2,Inputs!$D$2:$AG$2,0)),Inputs!$B$4:$B$200,$B22)/1000)</f>
        <v>690.647707332</v>
      </c>
      <c r="E22" s="11">
        <f>IF(E$3=0,"",SUMIFS(INDEX(Inputs!$D$4:$AG$200,0,MATCH(E$2,Inputs!$D$2:$AG$2,0)),Inputs!$B$4:$B$200,$B22)/1000)</f>
        <v>707.228095127</v>
      </c>
      <c r="F22" s="11">
        <f>IF(F$3=0,"",SUMIFS(INDEX(Inputs!$D$4:$AG$200,0,MATCH(F$2,Inputs!$D$2:$AG$2,0)),Inputs!$B$4:$B$200,$B22)/1000)</f>
        <v>720.527861893</v>
      </c>
      <c r="G22" s="11">
        <f>IF(G$3=0,"",SUMIFS(INDEX(Inputs!$D$4:$AG$200,0,MATCH(G$2,Inputs!$D$2:$AG$2,0)),Inputs!$B$4:$B$200,$B22)/1000)</f>
        <v>814.406748984</v>
      </c>
      <c r="H22" s="12">
        <f>IF(G22="","",G22)</f>
        <v>814.406748984</v>
      </c>
      <c r="I22" s="11">
        <f>IF(I$3=0,"",SUMIFS(INDEX(Inputs!$D$4:$AG$200,0,MATCH(I$2,Inputs!$D$2:$AG$2,0)),Inputs!$B$4:$B$200,$B22)/1000)</f>
        <v>800.795161026</v>
      </c>
      <c r="J22" s="11">
        <f>IF(J$3=0,"",SUMIFS(INDEX(Inputs!$D$4:$AG$200,0,MATCH(J$2,Inputs!$D$2:$AG$2,0)),Inputs!$B$4:$B$200,$B22)/1000)</f>
        <v>825.129211877</v>
      </c>
      <c r="K22" s="11">
        <f>IF(K$3=0,"",SUMIFS(INDEX(Inputs!$D$4:$AG$200,0,MATCH(K$2,Inputs!$D$2:$AG$2,0)),Inputs!$B$4:$B$200,$B22)/1000)</f>
        <v>874.14140573</v>
      </c>
      <c r="L22" s="11">
        <f>IF(L$3=0,"",SUMIFS(INDEX(Inputs!$D$4:$AG$200,0,MATCH(L$2,Inputs!$D$2:$AG$2,0)),Inputs!$B$4:$B$200,$B22)/1000)</f>
        <v>925.882893133</v>
      </c>
      <c r="M22" s="12">
        <f>IF(L22="","",L22)</f>
        <v>925.882893133</v>
      </c>
      <c r="N22" s="11">
        <f>IF(N$3=0,"",SUMIFS(INDEX(Inputs!$D$4:$AG$200,0,MATCH(N$2,Inputs!$D$2:$AG$2,0)),Inputs!$B$4:$B$200,$B22)/1000)</f>
        <v>909.11490776</v>
      </c>
      <c r="O22" s="11">
        <f>IF(O$3=0,"",SUMIFS(INDEX(Inputs!$D$4:$AG$200,0,MATCH(O$2,Inputs!$D$2:$AG$2,0)),Inputs!$B$4:$B$200,$B22)/1000)</f>
        <v>1351.334</v>
      </c>
      <c r="P22" s="11">
        <f>IF(P$3=0,"",SUMIFS(INDEX(Inputs!$D$4:$AG$200,0,MATCH(P$2,Inputs!$D$2:$AG$2,0)),Inputs!$B$4:$B$200,$B22)/1000)</f>
        <v>1349.217</v>
      </c>
      <c r="Q22" s="11">
        <f>IF(Q$3=0,"",SUMIFS(INDEX(Inputs!$D$4:$AG$200,0,MATCH(Q$2,Inputs!$D$2:$AG$2,0)),Inputs!$B$4:$B$200,$B22)/1000)</f>
        <v>1348.492</v>
      </c>
      <c r="R22" s="12">
        <f>IF(Q22="","",Q22)</f>
        <v>1348.492</v>
      </c>
      <c r="S22" s="11">
        <f>IF(S$3=0,"",SUMIFS(INDEX(Inputs!$D$4:$AG$200,0,MATCH(S$2,Inputs!$D$2:$AG$2,0)),Inputs!$B$4:$B$200,$B22)/1000)</f>
        <v>1326.688</v>
      </c>
      <c r="T22" s="11">
        <f>IF(T$3=0,"",SUMIFS(INDEX(Inputs!$D$4:$AG$200,0,MATCH(T$2,Inputs!$D$2:$AG$2,0)),Inputs!$B$4:$B$200,$B22)/1000)</f>
        <v>1320.192</v>
      </c>
      <c r="U22" s="11">
        <f>IF(U$3=0,"",SUMIFS(INDEX(Inputs!$D$4:$AG$200,0,MATCH(U$2,Inputs!$D$2:$AG$2,0)),Inputs!$B$4:$B$200,$B22)/1000)</f>
        <v>1334.583</v>
      </c>
      <c r="V22" s="11">
        <f>IF(V$3=0,"",SUMIFS(INDEX(Inputs!$D$4:$AG$200,0,MATCH(V$2,Inputs!$D$2:$AG$2,0)),Inputs!$B$4:$B$200,$B22)/1000)</f>
        <v>1375.065</v>
      </c>
      <c r="W22" s="12">
        <f>IF(V22="","",V22)</f>
        <v>1375.065</v>
      </c>
      <c r="X22" s="11">
        <f>IF(X$3=0,"",SUMIFS(INDEX(Inputs!$D$4:$AG$200,0,MATCH(X$2,Inputs!$D$2:$AG$2,0)),Inputs!$B$4:$B$200,$B22)/1000)</f>
        <v>1348.365553</v>
      </c>
      <c r="Y22" s="11">
        <f>IF(Y$3=0,"",SUMIFS(INDEX(Inputs!$D$4:$AG$200,0,MATCH(Y$2,Inputs!$D$2:$AG$2,0)),Inputs!$B$4:$B$200,$B22)/1000)</f>
        <v>1338.359</v>
      </c>
      <c r="Z22" s="11">
        <f>IF(Z$3=0,"",SUMIFS(INDEX(Inputs!$D$4:$AG$200,0,MATCH(Z$2,Inputs!$D$2:$AG$2,0)),Inputs!$B$4:$B$200,$B22)/1000)</f>
        <v>1344.449</v>
      </c>
      <c r="AA22" s="11">
        <f>IF(AA$3=0,"",SUMIFS(INDEX(Inputs!$D$4:$AG$200,0,MATCH(AA$2,Inputs!$D$2:$AG$2,0)),Inputs!$B$4:$B$200,$B22)/1000)</f>
        <v>1379.255</v>
      </c>
      <c r="AB22" s="12">
        <f>IF(AA22="","",AA22)</f>
        <v>1379.255</v>
      </c>
      <c r="AC22" s="11">
        <f>IF(AC$3=0,"",SUMIFS(INDEX(Inputs!$D$4:$AG$200,0,MATCH(AC$2,Inputs!$D$2:$AG$2,0)),Inputs!$B$4:$B$200,$B22)/1000)</f>
        <v>1355.204</v>
      </c>
      <c r="AD22" s="11">
        <f>IF(AD$3=0,"",SUMIFS(INDEX(Inputs!$D$4:$AG$200,0,MATCH(AD$2,Inputs!$D$2:$AG$2,0)),Inputs!$B$4:$B$200,$B22)/1000)</f>
        <v>1404.052</v>
      </c>
      <c r="AE22" s="11" t="str">
        <f>IF(AE$3=0,"",SUMIFS(INDEX(Inputs!$D$4:$AG$200,0,MATCH(AE$2,Inputs!$D$2:$AG$2,0)),Inputs!$B$4:$B$200,$B22)/1000)</f>
        <v/>
      </c>
      <c r="AF22" s="11" t="str">
        <f>IF(AF$3=0,"",SUMIFS(INDEX(Inputs!$D$4:$AG$200,0,MATCH(AF$2,Inputs!$D$2:$AG$2,0)),Inputs!$B$4:$B$200,$B22)/1000)</f>
        <v/>
      </c>
      <c r="AG22" s="12" t="str">
        <f>IF(AF22="","",AF22)</f>
        <v/>
      </c>
    </row>
    <row r="23">
      <c r="B23" s="9" t="n">
        <v>19</v>
      </c>
      <c r="C23" s="14" t="inlineStr">
        <is>
          <t>Right-of-use-assets</t>
        </is>
      </c>
      <c r="D23" s="11">
        <f>IF(D$3=0,"",SUMIFS(INDEX(Inputs!$D$4:$AG$200,0,MATCH(D$2,Inputs!$D$2:$AG$2,0)),Inputs!$B$4:$B$200,$B23)/1000)</f>
        <v>700.21256363</v>
      </c>
      <c r="E23" s="11">
        <f>IF(E$3=0,"",SUMIFS(INDEX(Inputs!$D$4:$AG$200,0,MATCH(E$2,Inputs!$D$2:$AG$2,0)),Inputs!$B$4:$B$200,$B23)/1000)</f>
        <v>682.61007549</v>
      </c>
      <c r="F23" s="11">
        <f>IF(F$3=0,"",SUMIFS(INDEX(Inputs!$D$4:$AG$200,0,MATCH(F$2,Inputs!$D$2:$AG$2,0)),Inputs!$B$4:$B$200,$B23)/1000)</f>
        <v>691.23293304</v>
      </c>
      <c r="G23" s="11">
        <f>IF(G$3=0,"",SUMIFS(INDEX(Inputs!$D$4:$AG$200,0,MATCH(G$2,Inputs!$D$2:$AG$2,0)),Inputs!$B$4:$B$200,$B23)/1000)</f>
        <v>750.77481334</v>
      </c>
      <c r="H23" s="12">
        <f>IF(G23="","",G23)</f>
        <v>750.77481334</v>
      </c>
      <c r="I23" s="11">
        <f>IF(I$3=0,"",SUMIFS(INDEX(Inputs!$D$4:$AG$200,0,MATCH(I$2,Inputs!$D$2:$AG$2,0)),Inputs!$B$4:$B$200,$B23)/1000)</f>
        <v>793.13655731</v>
      </c>
      <c r="J23" s="11">
        <f>IF(J$3=0,"",SUMIFS(INDEX(Inputs!$D$4:$AG$200,0,MATCH(J$2,Inputs!$D$2:$AG$2,0)),Inputs!$B$4:$B$200,$B23)/1000)</f>
        <v>819.19444533</v>
      </c>
      <c r="K23" s="11">
        <f>IF(K$3=0,"",SUMIFS(INDEX(Inputs!$D$4:$AG$200,0,MATCH(K$2,Inputs!$D$2:$AG$2,0)),Inputs!$B$4:$B$200,$B23)/1000)</f>
        <v>800.2101333</v>
      </c>
      <c r="L23" s="11">
        <f>IF(L$3=0,"",SUMIFS(INDEX(Inputs!$D$4:$AG$200,0,MATCH(L$2,Inputs!$D$2:$AG$2,0)),Inputs!$B$4:$B$200,$B23)/1000)</f>
        <v>1022.28667143</v>
      </c>
      <c r="M23" s="12">
        <f>IF(L23="","",L23)</f>
        <v>1022.28667143</v>
      </c>
      <c r="N23" s="11">
        <f>IF(N$3=0,"",SUMIFS(INDEX(Inputs!$D$4:$AG$200,0,MATCH(N$2,Inputs!$D$2:$AG$2,0)),Inputs!$B$4:$B$200,$B23)/1000)</f>
        <v>1026.53310531</v>
      </c>
      <c r="O23" s="11">
        <f>IF(O$3=0,"",SUMIFS(INDEX(Inputs!$D$4:$AG$200,0,MATCH(O$2,Inputs!$D$2:$AG$2,0)),Inputs!$B$4:$B$200,$B23)/1000)</f>
        <v>1332.423</v>
      </c>
      <c r="P23" s="11">
        <f>IF(P$3=0,"",SUMIFS(INDEX(Inputs!$D$4:$AG$200,0,MATCH(P$2,Inputs!$D$2:$AG$2,0)),Inputs!$B$4:$B$200,$B23)/1000)</f>
        <v>1296.497</v>
      </c>
      <c r="Q23" s="11">
        <f>IF(Q$3=0,"",SUMIFS(INDEX(Inputs!$D$4:$AG$200,0,MATCH(Q$2,Inputs!$D$2:$AG$2,0)),Inputs!$B$4:$B$200,$B23)/1000)</f>
        <v>1295.095</v>
      </c>
      <c r="R23" s="12">
        <f>IF(Q23="","",Q23)</f>
        <v>1295.095</v>
      </c>
      <c r="S23" s="11">
        <f>IF(S$3=0,"",SUMIFS(INDEX(Inputs!$D$4:$AG$200,0,MATCH(S$2,Inputs!$D$2:$AG$2,0)),Inputs!$B$4:$B$200,$B23)/1000)</f>
        <v>1249.703</v>
      </c>
      <c r="T23" s="11">
        <f>IF(T$3=0,"",SUMIFS(INDEX(Inputs!$D$4:$AG$200,0,MATCH(T$2,Inputs!$D$2:$AG$2,0)),Inputs!$B$4:$B$200,$B23)/1000)</f>
        <v>1202.109</v>
      </c>
      <c r="U23" s="11">
        <f>IF(U$3=0,"",SUMIFS(INDEX(Inputs!$D$4:$AG$200,0,MATCH(U$2,Inputs!$D$2:$AG$2,0)),Inputs!$B$4:$B$200,$B23)/1000)</f>
        <v>1159.406</v>
      </c>
      <c r="V23" s="11">
        <f>IF(V$3=0,"",SUMIFS(INDEX(Inputs!$D$4:$AG$200,0,MATCH(V$2,Inputs!$D$2:$AG$2,0)),Inputs!$B$4:$B$200,$B23)/1000)</f>
        <v>1138.643</v>
      </c>
      <c r="W23" s="12">
        <f>IF(V23="","",V23)</f>
        <v>1138.643</v>
      </c>
      <c r="X23" s="11">
        <f>IF(X$3=0,"",SUMIFS(INDEX(Inputs!$D$4:$AG$200,0,MATCH(X$2,Inputs!$D$2:$AG$2,0)),Inputs!$B$4:$B$200,$B23)/1000)</f>
        <v>1140.475247</v>
      </c>
      <c r="Y23" s="11">
        <f>IF(Y$3=0,"",SUMIFS(INDEX(Inputs!$D$4:$AG$200,0,MATCH(Y$2,Inputs!$D$2:$AG$2,0)),Inputs!$B$4:$B$200,$B23)/1000)</f>
        <v>1096.847</v>
      </c>
      <c r="Z23" s="11">
        <f>IF(Z$3=0,"",SUMIFS(INDEX(Inputs!$D$4:$AG$200,0,MATCH(Z$2,Inputs!$D$2:$AG$2,0)),Inputs!$B$4:$B$200,$B23)/1000)</f>
        <v>1104.344</v>
      </c>
      <c r="AA23" s="11">
        <f>IF(AA$3=0,"",SUMIFS(INDEX(Inputs!$D$4:$AG$200,0,MATCH(AA$2,Inputs!$D$2:$AG$2,0)),Inputs!$B$4:$B$200,$B23)/1000)</f>
        <v>1098.591</v>
      </c>
      <c r="AB23" s="12">
        <f>IF(AA23="","",AA23)</f>
        <v>1098.591</v>
      </c>
      <c r="AC23" s="11">
        <f>IF(AC$3=0,"",SUMIFS(INDEX(Inputs!$D$4:$AG$200,0,MATCH(AC$2,Inputs!$D$2:$AG$2,0)),Inputs!$B$4:$B$200,$B23)/1000)</f>
        <v>1079.421</v>
      </c>
      <c r="AD23" s="11">
        <f>IF(AD$3=0,"",SUMIFS(INDEX(Inputs!$D$4:$AG$200,0,MATCH(AD$2,Inputs!$D$2:$AG$2,0)),Inputs!$B$4:$B$200,$B23)/1000)</f>
        <v>1203.367</v>
      </c>
      <c r="AE23" s="11" t="str">
        <f>IF(AE$3=0,"",SUMIFS(INDEX(Inputs!$D$4:$AG$200,0,MATCH(AE$2,Inputs!$D$2:$AG$2,0)),Inputs!$B$4:$B$200,$B23)/1000)</f>
        <v/>
      </c>
      <c r="AF23" s="11" t="str">
        <f>IF(AF$3=0,"",SUMIFS(INDEX(Inputs!$D$4:$AG$200,0,MATCH(AF$2,Inputs!$D$2:$AG$2,0)),Inputs!$B$4:$B$200,$B23)/1000)</f>
        <v/>
      </c>
      <c r="AG23" s="12" t="str">
        <f>IF(AF23="","",AF23)</f>
        <v/>
      </c>
    </row>
    <row r="24">
      <c r="B24" s="9" t="n">
        <v>20</v>
      </c>
      <c r="C24" s="14" t="inlineStr">
        <is>
          <t>Goodwill</t>
        </is>
      </c>
      <c r="D24" s="11">
        <f>IF(D$3=0,"",SUMIFS(INDEX(Inputs!$D$4:$AG$200,0,MATCH(D$2,Inputs!$D$2:$AG$2,0)),Inputs!$B$4:$B$200,$B24)/1000)</f>
        <v>0</v>
      </c>
      <c r="E24" s="11">
        <f>IF(E$3=0,"",SUMIFS(INDEX(Inputs!$D$4:$AG$200,0,MATCH(E$2,Inputs!$D$2:$AG$2,0)),Inputs!$B$4:$B$200,$B24)/1000)</f>
        <v>0</v>
      </c>
      <c r="F24" s="11">
        <f>IF(F$3=0,"",SUMIFS(INDEX(Inputs!$D$4:$AG$200,0,MATCH(F$2,Inputs!$D$2:$AG$2,0)),Inputs!$B$4:$B$200,$B24)/1000)</f>
        <v>0</v>
      </c>
      <c r="G24" s="11">
        <f>IF(G$3=0,"",SUMIFS(INDEX(Inputs!$D$4:$AG$200,0,MATCH(G$2,Inputs!$D$2:$AG$2,0)),Inputs!$B$4:$B$200,$B24)/1000)</f>
        <v>0</v>
      </c>
      <c r="H24" s="12">
        <f>IF(G24="","",G24)</f>
        <v>0</v>
      </c>
      <c r="I24" s="11">
        <f>IF(I$3=0,"",SUMIFS(INDEX(Inputs!$D$4:$AG$200,0,MATCH(I$2,Inputs!$D$2:$AG$2,0)),Inputs!$B$4:$B$200,$B24)/1000)</f>
        <v>0</v>
      </c>
      <c r="J24" s="11">
        <f>IF(J$3=0,"",SUMIFS(INDEX(Inputs!$D$4:$AG$200,0,MATCH(J$2,Inputs!$D$2:$AG$2,0)),Inputs!$B$4:$B$200,$B24)/1000)</f>
        <v>0</v>
      </c>
      <c r="K24" s="11">
        <f>IF(K$3=0,"",SUMIFS(INDEX(Inputs!$D$4:$AG$200,0,MATCH(K$2,Inputs!$D$2:$AG$2,0)),Inputs!$B$4:$B$200,$B24)/1000)</f>
        <v>0</v>
      </c>
      <c r="L24" s="11">
        <f>IF(L$3=0,"",SUMIFS(INDEX(Inputs!$D$4:$AG$200,0,MATCH(L$2,Inputs!$D$2:$AG$2,0)),Inputs!$B$4:$B$200,$B24)/1000)</f>
        <v>0</v>
      </c>
      <c r="M24" s="12">
        <f>IF(L24="","",L24)</f>
        <v>0</v>
      </c>
      <c r="N24" s="11">
        <f>IF(N$3=0,"",SUMIFS(INDEX(Inputs!$D$4:$AG$200,0,MATCH(N$2,Inputs!$D$2:$AG$2,0)),Inputs!$B$4:$B$200,$B24)/1000)</f>
        <v>0</v>
      </c>
      <c r="O24" s="11">
        <f>IF(O$3=0,"",SUMIFS(INDEX(Inputs!$D$4:$AG$200,0,MATCH(O$2,Inputs!$D$2:$AG$2,0)),Inputs!$B$4:$B$200,$B24)/1000)</f>
        <v>0</v>
      </c>
      <c r="P24" s="11">
        <f>IF(P$3=0,"",SUMIFS(INDEX(Inputs!$D$4:$AG$200,0,MATCH(P$2,Inputs!$D$2:$AG$2,0)),Inputs!$B$4:$B$200,$B24)/1000)</f>
        <v>0</v>
      </c>
      <c r="Q24" s="11">
        <f>IF(Q$3=0,"",SUMIFS(INDEX(Inputs!$D$4:$AG$200,0,MATCH(Q$2,Inputs!$D$2:$AG$2,0)),Inputs!$B$4:$B$200,$B24)/1000)</f>
        <v>0</v>
      </c>
      <c r="R24" s="12">
        <f>IF(Q24="","",Q24)</f>
        <v>0</v>
      </c>
      <c r="S24" s="11">
        <f>IF(S$3=0,"",SUMIFS(INDEX(Inputs!$D$4:$AG$200,0,MATCH(S$2,Inputs!$D$2:$AG$2,0)),Inputs!$B$4:$B$200,$B24)/1000)</f>
        <v>0</v>
      </c>
      <c r="T24" s="11">
        <f>IF(T$3=0,"",SUMIFS(INDEX(Inputs!$D$4:$AG$200,0,MATCH(T$2,Inputs!$D$2:$AG$2,0)),Inputs!$B$4:$B$200,$B24)/1000)</f>
        <v>0</v>
      </c>
      <c r="U24" s="11">
        <f>IF(U$3=0,"",SUMIFS(INDEX(Inputs!$D$4:$AG$200,0,MATCH(U$2,Inputs!$D$2:$AG$2,0)),Inputs!$B$4:$B$200,$B24)/1000)</f>
        <v>0</v>
      </c>
      <c r="V24" s="11">
        <f>IF(V$3=0,"",SUMIFS(INDEX(Inputs!$D$4:$AG$200,0,MATCH(V$2,Inputs!$D$2:$AG$2,0)),Inputs!$B$4:$B$200,$B24)/1000)</f>
        <v>0</v>
      </c>
      <c r="W24" s="12">
        <f>IF(V24="","",V24)</f>
        <v>0</v>
      </c>
      <c r="X24" s="11">
        <f>IF(X$3=0,"",SUMIFS(INDEX(Inputs!$D$4:$AG$200,0,MATCH(X$2,Inputs!$D$2:$AG$2,0)),Inputs!$B$4:$B$200,$B24)/1000)</f>
        <v>0</v>
      </c>
      <c r="Y24" s="11">
        <f>IF(Y$3=0,"",SUMIFS(INDEX(Inputs!$D$4:$AG$200,0,MATCH(Y$2,Inputs!$D$2:$AG$2,0)),Inputs!$B$4:$B$200,$B24)/1000)</f>
        <v>0</v>
      </c>
      <c r="Z24" s="11">
        <f>IF(Z$3=0,"",SUMIFS(INDEX(Inputs!$D$4:$AG$200,0,MATCH(Z$2,Inputs!$D$2:$AG$2,0)),Inputs!$B$4:$B$200,$B24)/1000)</f>
        <v>0</v>
      </c>
      <c r="AA24" s="11">
        <f>IF(AA$3=0,"",SUMIFS(INDEX(Inputs!$D$4:$AG$200,0,MATCH(AA$2,Inputs!$D$2:$AG$2,0)),Inputs!$B$4:$B$200,$B24)/1000)</f>
        <v>0</v>
      </c>
      <c r="AB24" s="12">
        <f>IF(AA24="","",AA24)</f>
        <v>0</v>
      </c>
      <c r="AC24" s="11">
        <f>IF(AC$3=0,"",SUMIFS(INDEX(Inputs!$D$4:$AG$200,0,MATCH(AC$2,Inputs!$D$2:$AG$2,0)),Inputs!$B$4:$B$200,$B24)/1000)</f>
        <v>0</v>
      </c>
      <c r="AD24" s="11">
        <f>IF(AD$3=0,"",SUMIFS(INDEX(Inputs!$D$4:$AG$200,0,MATCH(AD$2,Inputs!$D$2:$AG$2,0)),Inputs!$B$4:$B$200,$B24)/1000)</f>
        <v>0</v>
      </c>
      <c r="AE24" s="11" t="str">
        <f>IF(AE$3=0,"",SUMIFS(INDEX(Inputs!$D$4:$AG$200,0,MATCH(AE$2,Inputs!$D$2:$AG$2,0)),Inputs!$B$4:$B$200,$B24)/1000)</f>
        <v/>
      </c>
      <c r="AF24" s="11" t="str">
        <f>IF(AF$3=0,"",SUMIFS(INDEX(Inputs!$D$4:$AG$200,0,MATCH(AF$2,Inputs!$D$2:$AG$2,0)),Inputs!$B$4:$B$200,$B24)/1000)</f>
        <v/>
      </c>
      <c r="AG24" s="12" t="str">
        <f>IF(AF24="","",AF24)</f>
        <v/>
      </c>
    </row>
    <row r="25">
      <c r="B25" s="9" t="n">
        <v>21</v>
      </c>
      <c r="C25" s="14" t="inlineStr">
        <is>
          <t>Intangibles</t>
        </is>
      </c>
      <c r="D25" s="11">
        <f>IF(D$3=0,"",SUMIFS(INDEX(Inputs!$D$4:$AG$200,0,MATCH(D$2,Inputs!$D$2:$AG$2,0)),Inputs!$B$4:$B$200,$B25)/1000)</f>
        <v>2031.481694882</v>
      </c>
      <c r="E25" s="11">
        <f>IF(E$3=0,"",SUMIFS(INDEX(Inputs!$D$4:$AG$200,0,MATCH(E$2,Inputs!$D$2:$AG$2,0)),Inputs!$B$4:$B$200,$B25)/1000)</f>
        <v>2190.439423571</v>
      </c>
      <c r="F25" s="11">
        <f>IF(F$3=0,"",SUMIFS(INDEX(Inputs!$D$4:$AG$200,0,MATCH(F$2,Inputs!$D$2:$AG$2,0)),Inputs!$B$4:$B$200,$B25)/1000)</f>
        <v>2297.792109992</v>
      </c>
      <c r="G25" s="11">
        <f>IF(G$3=0,"",SUMIFS(INDEX(Inputs!$D$4:$AG$200,0,MATCH(G$2,Inputs!$D$2:$AG$2,0)),Inputs!$B$4:$B$200,$B25)/1000)</f>
        <v>2586.609106978</v>
      </c>
      <c r="H25" s="12">
        <f>IF(G25="","",G25)</f>
        <v>2586.609106978</v>
      </c>
      <c r="I25" s="11">
        <f>IF(I$3=0,"",SUMIFS(INDEX(Inputs!$D$4:$AG$200,0,MATCH(I$2,Inputs!$D$2:$AG$2,0)),Inputs!$B$4:$B$200,$B25)/1000)</f>
        <v>2617.509451898</v>
      </c>
      <c r="J25" s="11">
        <f>IF(J$3=0,"",SUMIFS(INDEX(Inputs!$D$4:$AG$200,0,MATCH(J$2,Inputs!$D$2:$AG$2,0)),Inputs!$B$4:$B$200,$B25)/1000)</f>
        <v>3021.34173723</v>
      </c>
      <c r="K25" s="11">
        <f>IF(K$3=0,"",SUMIFS(INDEX(Inputs!$D$4:$AG$200,0,MATCH(K$2,Inputs!$D$2:$AG$2,0)),Inputs!$B$4:$B$200,$B25)/1000)</f>
        <v>3013.73986065</v>
      </c>
      <c r="L25" s="11">
        <f>IF(L$3=0,"",SUMIFS(INDEX(Inputs!$D$4:$AG$200,0,MATCH(L$2,Inputs!$D$2:$AG$2,0)),Inputs!$B$4:$B$200,$B25)/1000)</f>
        <v>3159.926121268</v>
      </c>
      <c r="M25" s="12">
        <f>IF(L25="","",L25)</f>
        <v>3159.926121268</v>
      </c>
      <c r="N25" s="11">
        <f>IF(N$3=0,"",SUMIFS(INDEX(Inputs!$D$4:$AG$200,0,MATCH(N$2,Inputs!$D$2:$AG$2,0)),Inputs!$B$4:$B$200,$B25)/1000)</f>
        <v>3147.22512633</v>
      </c>
      <c r="O25" s="11">
        <f>IF(O$3=0,"",SUMIFS(INDEX(Inputs!$D$4:$AG$200,0,MATCH(O$2,Inputs!$D$2:$AG$2,0)),Inputs!$B$4:$B$200,$B25)/1000)</f>
        <v>5768.121</v>
      </c>
      <c r="P25" s="11">
        <f>IF(P$3=0,"",SUMIFS(INDEX(Inputs!$D$4:$AG$200,0,MATCH(P$2,Inputs!$D$2:$AG$2,0)),Inputs!$B$4:$B$200,$B25)/1000)</f>
        <v>5744.055</v>
      </c>
      <c r="Q25" s="11">
        <f>IF(Q$3=0,"",SUMIFS(INDEX(Inputs!$D$4:$AG$200,0,MATCH(Q$2,Inputs!$D$2:$AG$2,0)),Inputs!$B$4:$B$200,$B25)/1000)</f>
        <v>5807.506</v>
      </c>
      <c r="R25" s="12">
        <f>IF(Q25="","",Q25)</f>
        <v>5807.506</v>
      </c>
      <c r="S25" s="11">
        <f>IF(S$3=0,"",SUMIFS(INDEX(Inputs!$D$4:$AG$200,0,MATCH(S$2,Inputs!$D$2:$AG$2,0)),Inputs!$B$4:$B$200,$B25)/1000)</f>
        <v>5788.92</v>
      </c>
      <c r="T25" s="11">
        <f>IF(T$3=0,"",SUMIFS(INDEX(Inputs!$D$4:$AG$200,0,MATCH(T$2,Inputs!$D$2:$AG$2,0)),Inputs!$B$4:$B$200,$B25)/1000)</f>
        <v>5783.283</v>
      </c>
      <c r="U25" s="11">
        <f>IF(U$3=0,"",SUMIFS(INDEX(Inputs!$D$4:$AG$200,0,MATCH(U$2,Inputs!$D$2:$AG$2,0)),Inputs!$B$4:$B$200,$B25)/1000)</f>
        <v>5830.303</v>
      </c>
      <c r="V25" s="11">
        <f>IF(V$3=0,"",SUMIFS(INDEX(Inputs!$D$4:$AG$200,0,MATCH(V$2,Inputs!$D$2:$AG$2,0)),Inputs!$B$4:$B$200,$B25)/1000)</f>
        <v>5863.532</v>
      </c>
      <c r="W25" s="12">
        <f>IF(V25="","",V25)</f>
        <v>5863.532</v>
      </c>
      <c r="X25" s="11">
        <f>IF(X$3=0,"",SUMIFS(INDEX(Inputs!$D$4:$AG$200,0,MATCH(X$2,Inputs!$D$2:$AG$2,0)),Inputs!$B$4:$B$200,$B25)/1000)</f>
        <v>5819.864287</v>
      </c>
      <c r="Y25" s="11">
        <f>IF(Y$3=0,"",SUMIFS(INDEX(Inputs!$D$4:$AG$200,0,MATCH(Y$2,Inputs!$D$2:$AG$2,0)),Inputs!$B$4:$B$200,$B25)/1000)</f>
        <v>5825.38</v>
      </c>
      <c r="Z25" s="11">
        <f>IF(Z$3=0,"",SUMIFS(INDEX(Inputs!$D$4:$AG$200,0,MATCH(Z$2,Inputs!$D$2:$AG$2,0)),Inputs!$B$4:$B$200,$B25)/1000)</f>
        <v>5957.247</v>
      </c>
      <c r="AA25" s="11">
        <f>IF(AA$3=0,"",SUMIFS(INDEX(Inputs!$D$4:$AG$200,0,MATCH(AA$2,Inputs!$D$2:$AG$2,0)),Inputs!$B$4:$B$200,$B25)/1000)</f>
        <v>5979.637</v>
      </c>
      <c r="AB25" s="12">
        <f>IF(AA25="","",AA25)</f>
        <v>5979.637</v>
      </c>
      <c r="AC25" s="11">
        <f>IF(AC$3=0,"",SUMIFS(INDEX(Inputs!$D$4:$AG$200,0,MATCH(AC$2,Inputs!$D$2:$AG$2,0)),Inputs!$B$4:$B$200,$B25)/1000)</f>
        <v>5905.506</v>
      </c>
      <c r="AD25" s="11">
        <f>IF(AD$3=0,"",SUMIFS(INDEX(Inputs!$D$4:$AG$200,0,MATCH(AD$2,Inputs!$D$2:$AG$2,0)),Inputs!$B$4:$B$200,$B25)/1000)</f>
        <v>6006.075</v>
      </c>
      <c r="AE25" s="11" t="str">
        <f>IF(AE$3=0,"",SUMIFS(INDEX(Inputs!$D$4:$AG$200,0,MATCH(AE$2,Inputs!$D$2:$AG$2,0)),Inputs!$B$4:$B$200,$B25)/1000)</f>
        <v/>
      </c>
      <c r="AF25" s="11" t="str">
        <f>IF(AF$3=0,"",SUMIFS(INDEX(Inputs!$D$4:$AG$200,0,MATCH(AF$2,Inputs!$D$2:$AG$2,0)),Inputs!$B$4:$B$200,$B25)/1000)</f>
        <v/>
      </c>
      <c r="AG25" s="12" t="str">
        <f>IF(AF25="","",AF25)</f>
        <v/>
      </c>
    </row>
    <row r="26">
      <c r="B26" s="9" t="n">
        <v>22</v>
      </c>
      <c r="C26" s="14" t="inlineStr">
        <is>
          <t>Other non-current assets</t>
        </is>
      </c>
      <c r="D26" s="11">
        <f>IF(D$3=0,"",SUMIFS(INDEX(Inputs!$D$4:$AG$200,0,MATCH(D$2,Inputs!$D$2:$AG$2,0)),Inputs!$B$4:$B$200,$B26)/1000)</f>
        <v>57.70639164</v>
      </c>
      <c r="E26" s="11">
        <f>IF(E$3=0,"",SUMIFS(INDEX(Inputs!$D$4:$AG$200,0,MATCH(E$2,Inputs!$D$2:$AG$2,0)),Inputs!$B$4:$B$200,$B26)/1000)</f>
        <v>46.88245908</v>
      </c>
      <c r="F26" s="11">
        <f>IF(F$3=0,"",SUMIFS(INDEX(Inputs!$D$4:$AG$200,0,MATCH(F$2,Inputs!$D$2:$AG$2,0)),Inputs!$B$4:$B$200,$B26)/1000)</f>
        <v>45.76159196</v>
      </c>
      <c r="G26" s="11">
        <f>IF(G$3=0,"",SUMIFS(INDEX(Inputs!$D$4:$AG$200,0,MATCH(G$2,Inputs!$D$2:$AG$2,0)),Inputs!$B$4:$B$200,$B26)/1000)</f>
        <v>46.89604854</v>
      </c>
      <c r="H26" s="12">
        <f>IF(G26="","",G26)</f>
        <v>46.89604854</v>
      </c>
      <c r="I26" s="11">
        <f>IF(I$3=0,"",SUMIFS(INDEX(Inputs!$D$4:$AG$200,0,MATCH(I$2,Inputs!$D$2:$AG$2,0)),Inputs!$B$4:$B$200,$B26)/1000)</f>
        <v>46.34248186</v>
      </c>
      <c r="J26" s="11">
        <f>IF(J$3=0,"",SUMIFS(INDEX(Inputs!$D$4:$AG$200,0,MATCH(J$2,Inputs!$D$2:$AG$2,0)),Inputs!$B$4:$B$200,$B26)/1000)</f>
        <v>48.66050671</v>
      </c>
      <c r="K26" s="11">
        <f>IF(K$3=0,"",SUMIFS(INDEX(Inputs!$D$4:$AG$200,0,MATCH(K$2,Inputs!$D$2:$AG$2,0)),Inputs!$B$4:$B$200,$B26)/1000)</f>
        <v>50.13974602</v>
      </c>
      <c r="L26" s="11">
        <f>IF(L$3=0,"",SUMIFS(INDEX(Inputs!$D$4:$AG$200,0,MATCH(L$2,Inputs!$D$2:$AG$2,0)),Inputs!$B$4:$B$200,$B26)/1000)</f>
        <v>77.92503408</v>
      </c>
      <c r="M26" s="12">
        <f>IF(L26="","",L26)</f>
        <v>77.92503408</v>
      </c>
      <c r="N26" s="11">
        <f>IF(N$3=0,"",SUMIFS(INDEX(Inputs!$D$4:$AG$200,0,MATCH(N$2,Inputs!$D$2:$AG$2,0)),Inputs!$B$4:$B$200,$B26)/1000)</f>
        <v>77.42650597</v>
      </c>
      <c r="O26" s="11">
        <f>IF(O$3=0,"",SUMIFS(INDEX(Inputs!$D$4:$AG$200,0,MATCH(O$2,Inputs!$D$2:$AG$2,0)),Inputs!$B$4:$B$200,$B26)/1000)</f>
        <v>80.237</v>
      </c>
      <c r="P26" s="11">
        <f>IF(P$3=0,"",SUMIFS(INDEX(Inputs!$D$4:$AG$200,0,MATCH(P$2,Inputs!$D$2:$AG$2,0)),Inputs!$B$4:$B$200,$B26)/1000)</f>
        <v>85.086</v>
      </c>
      <c r="Q26" s="11">
        <f>IF(Q$3=0,"",SUMIFS(INDEX(Inputs!$D$4:$AG$200,0,MATCH(Q$2,Inputs!$D$2:$AG$2,0)),Inputs!$B$4:$B$200,$B26)/1000)</f>
        <v>75.961</v>
      </c>
      <c r="R26" s="12">
        <f>IF(Q26="","",Q26)</f>
        <v>75.961</v>
      </c>
      <c r="S26" s="11">
        <f>IF(S$3=0,"",SUMIFS(INDEX(Inputs!$D$4:$AG$200,0,MATCH(S$2,Inputs!$D$2:$AG$2,0)),Inputs!$B$4:$B$200,$B26)/1000)</f>
        <v>77.885</v>
      </c>
      <c r="T26" s="11">
        <f>IF(T$3=0,"",SUMIFS(INDEX(Inputs!$D$4:$AG$200,0,MATCH(T$2,Inputs!$D$2:$AG$2,0)),Inputs!$B$4:$B$200,$B26)/1000)</f>
        <v>75.5</v>
      </c>
      <c r="U26" s="11">
        <f>IF(U$3=0,"",SUMIFS(INDEX(Inputs!$D$4:$AG$200,0,MATCH(U$2,Inputs!$D$2:$AG$2,0)),Inputs!$B$4:$B$200,$B26)/1000)</f>
        <v>74.756</v>
      </c>
      <c r="V26" s="11">
        <f>IF(V$3=0,"",SUMIFS(INDEX(Inputs!$D$4:$AG$200,0,MATCH(V$2,Inputs!$D$2:$AG$2,0)),Inputs!$B$4:$B$200,$B26)/1000)</f>
        <v>102.77</v>
      </c>
      <c r="W26" s="12">
        <f>IF(V26="","",V26)</f>
        <v>102.77</v>
      </c>
      <c r="X26" s="11">
        <f>IF(X$3=0,"",SUMIFS(INDEX(Inputs!$D$4:$AG$200,0,MATCH(X$2,Inputs!$D$2:$AG$2,0)),Inputs!$B$4:$B$200,$B26)/1000)</f>
        <v>89.979094</v>
      </c>
      <c r="Y26" s="11">
        <f>IF(Y$3=0,"",SUMIFS(INDEX(Inputs!$D$4:$AG$200,0,MATCH(Y$2,Inputs!$D$2:$AG$2,0)),Inputs!$B$4:$B$200,$B26)/1000)</f>
        <v>84.177</v>
      </c>
      <c r="Z26" s="11">
        <f>IF(Z$3=0,"",SUMIFS(INDEX(Inputs!$D$4:$AG$200,0,MATCH(Z$2,Inputs!$D$2:$AG$2,0)),Inputs!$B$4:$B$200,$B26)/1000)</f>
        <v>82.641</v>
      </c>
      <c r="AA26" s="11">
        <f>IF(AA$3=0,"",SUMIFS(INDEX(Inputs!$D$4:$AG$200,0,MATCH(AA$2,Inputs!$D$2:$AG$2,0)),Inputs!$B$4:$B$200,$B26)/1000)</f>
        <v>106.081</v>
      </c>
      <c r="AB26" s="12">
        <f>IF(AA26="","",AA26)</f>
        <v>106.081</v>
      </c>
      <c r="AC26" s="11">
        <f>IF(AC$3=0,"",SUMIFS(INDEX(Inputs!$D$4:$AG$200,0,MATCH(AC$2,Inputs!$D$2:$AG$2,0)),Inputs!$B$4:$B$200,$B26)/1000)</f>
        <v>104.557</v>
      </c>
      <c r="AD26" s="11">
        <f>IF(AD$3=0,"",SUMIFS(INDEX(Inputs!$D$4:$AG$200,0,MATCH(AD$2,Inputs!$D$2:$AG$2,0)),Inputs!$B$4:$B$200,$B26)/1000)</f>
        <v>87.914</v>
      </c>
      <c r="AE26" s="11" t="str">
        <f>IF(AE$3=0,"",SUMIFS(INDEX(Inputs!$D$4:$AG$200,0,MATCH(AE$2,Inputs!$D$2:$AG$2,0)),Inputs!$B$4:$B$200,$B26)/1000)</f>
        <v/>
      </c>
      <c r="AF26" s="11" t="str">
        <f>IF(AF$3=0,"",SUMIFS(INDEX(Inputs!$D$4:$AG$200,0,MATCH(AF$2,Inputs!$D$2:$AG$2,0)),Inputs!$B$4:$B$200,$B26)/1000)</f>
        <v/>
      </c>
      <c r="AG26" s="12" t="str">
        <f>IF(AF26="","",AF26)</f>
        <v/>
      </c>
    </row>
    <row r="27">
      <c r="C27" s="3" t="n"/>
    </row>
    <row r="28">
      <c r="B28" s="9" t="n">
        <v>23</v>
      </c>
      <c r="C28" s="14" t="inlineStr">
        <is>
          <t>Accounts payable</t>
        </is>
      </c>
      <c r="D28" s="11">
        <f>IF(D$3=0,"",SUMIFS(INDEX(Inputs!$D$4:$AG$200,0,MATCH(D$2,Inputs!$D$2:$AG$2,0)),Inputs!$B$4:$B$200,$B28)/1000)</f>
        <v>217.45823862</v>
      </c>
      <c r="E28" s="11">
        <f>IF(E$3=0,"",SUMIFS(INDEX(Inputs!$D$4:$AG$200,0,MATCH(E$2,Inputs!$D$2:$AG$2,0)),Inputs!$B$4:$B$200,$B28)/1000)</f>
        <v>271.93653186</v>
      </c>
      <c r="F28" s="11">
        <f>IF(F$3=0,"",SUMIFS(INDEX(Inputs!$D$4:$AG$200,0,MATCH(F$2,Inputs!$D$2:$AG$2,0)),Inputs!$B$4:$B$200,$B28)/1000)</f>
        <v>290.60493982</v>
      </c>
      <c r="G28" s="11">
        <f>IF(G$3=0,"",SUMIFS(INDEX(Inputs!$D$4:$AG$200,0,MATCH(G$2,Inputs!$D$2:$AG$2,0)),Inputs!$B$4:$B$200,$B28)/1000)</f>
        <v>356.88085195</v>
      </c>
      <c r="H28" s="12">
        <f>IF(G28="","",G28)</f>
        <v>356.88085195</v>
      </c>
      <c r="I28" s="11">
        <f>IF(I$3=0,"",SUMIFS(INDEX(Inputs!$D$4:$AG$200,0,MATCH(I$2,Inputs!$D$2:$AG$2,0)),Inputs!$B$4:$B$200,$B28)/1000)</f>
        <v>306.31845786</v>
      </c>
      <c r="J28" s="11">
        <f>IF(J$3=0,"",SUMIFS(INDEX(Inputs!$D$4:$AG$200,0,MATCH(J$2,Inputs!$D$2:$AG$2,0)),Inputs!$B$4:$B$200,$B28)/1000)</f>
        <v>302.67521001</v>
      </c>
      <c r="K28" s="11">
        <f>IF(K$3=0,"",SUMIFS(INDEX(Inputs!$D$4:$AG$200,0,MATCH(K$2,Inputs!$D$2:$AG$2,0)),Inputs!$B$4:$B$200,$B28)/1000)</f>
        <v>297.71210255</v>
      </c>
      <c r="L28" s="11">
        <f>IF(L$3=0,"",SUMIFS(INDEX(Inputs!$D$4:$AG$200,0,MATCH(L$2,Inputs!$D$2:$AG$2,0)),Inputs!$B$4:$B$200,$B28)/1000)</f>
        <v>364.26789641</v>
      </c>
      <c r="M28" s="12">
        <f>IF(L28="","",L28)</f>
        <v>364.26789641</v>
      </c>
      <c r="N28" s="11">
        <f>IF(N$3=0,"",SUMIFS(INDEX(Inputs!$D$4:$AG$200,0,MATCH(N$2,Inputs!$D$2:$AG$2,0)),Inputs!$B$4:$B$200,$B28)/1000)</f>
        <v>359.71789864</v>
      </c>
      <c r="O28" s="11">
        <f>IF(O$3=0,"",SUMIFS(INDEX(Inputs!$D$4:$AG$200,0,MATCH(O$2,Inputs!$D$2:$AG$2,0)),Inputs!$B$4:$B$200,$B28)/1000)</f>
        <v>591.27</v>
      </c>
      <c r="P28" s="11">
        <f>IF(P$3=0,"",SUMIFS(INDEX(Inputs!$D$4:$AG$200,0,MATCH(P$2,Inputs!$D$2:$AG$2,0)),Inputs!$B$4:$B$200,$B28)/1000)</f>
        <v>575.225</v>
      </c>
      <c r="Q28" s="11">
        <f>IF(Q$3=0,"",SUMIFS(INDEX(Inputs!$D$4:$AG$200,0,MATCH(Q$2,Inputs!$D$2:$AG$2,0)),Inputs!$B$4:$B$200,$B28)/1000)</f>
        <v>620.413</v>
      </c>
      <c r="R28" s="12">
        <f>IF(Q28="","",Q28)</f>
        <v>620.413</v>
      </c>
      <c r="S28" s="11">
        <f>IF(S$3=0,"",SUMIFS(INDEX(Inputs!$D$4:$AG$200,0,MATCH(S$2,Inputs!$D$2:$AG$2,0)),Inputs!$B$4:$B$200,$B28)/1000)</f>
        <v>632.446</v>
      </c>
      <c r="T28" s="11">
        <f>IF(T$3=0,"",SUMIFS(INDEX(Inputs!$D$4:$AG$200,0,MATCH(T$2,Inputs!$D$2:$AG$2,0)),Inputs!$B$4:$B$200,$B28)/1000)</f>
        <v>676.475</v>
      </c>
      <c r="U28" s="11">
        <f>IF(U$3=0,"",SUMIFS(INDEX(Inputs!$D$4:$AG$200,0,MATCH(U$2,Inputs!$D$2:$AG$2,0)),Inputs!$B$4:$B$200,$B28)/1000)</f>
        <v>647.545</v>
      </c>
      <c r="V28" s="11">
        <f>IF(V$3=0,"",SUMIFS(INDEX(Inputs!$D$4:$AG$200,0,MATCH(V$2,Inputs!$D$2:$AG$2,0)),Inputs!$B$4:$B$200,$B28)/1000)</f>
        <v>704.009</v>
      </c>
      <c r="W28" s="12">
        <f>IF(V28="","",V28)</f>
        <v>704.009</v>
      </c>
      <c r="X28" s="11">
        <f>IF(X$3=0,"",SUMIFS(INDEX(Inputs!$D$4:$AG$200,0,MATCH(X$2,Inputs!$D$2:$AG$2,0)),Inputs!$B$4:$B$200,$B28)/1000)</f>
        <v>674.716396</v>
      </c>
      <c r="Y28" s="11">
        <f>IF(Y$3=0,"",SUMIFS(INDEX(Inputs!$D$4:$AG$200,0,MATCH(Y$2,Inputs!$D$2:$AG$2,0)),Inputs!$B$4:$B$200,$B28)/1000)</f>
        <v>652.937</v>
      </c>
      <c r="Z28" s="11">
        <f>IF(Z$3=0,"",SUMIFS(INDEX(Inputs!$D$4:$AG$200,0,MATCH(Z$2,Inputs!$D$2:$AG$2,0)),Inputs!$B$4:$B$200,$B28)/1000)</f>
        <v>721.344</v>
      </c>
      <c r="AA28" s="11">
        <f>IF(AA$3=0,"",SUMIFS(INDEX(Inputs!$D$4:$AG$200,0,MATCH(AA$2,Inputs!$D$2:$AG$2,0)),Inputs!$B$4:$B$200,$B28)/1000)</f>
        <v>800.133</v>
      </c>
      <c r="AB28" s="12">
        <f>IF(AA28="","",AA28)</f>
        <v>800.133</v>
      </c>
      <c r="AC28" s="11">
        <f>IF(AC$3=0,"",SUMIFS(INDEX(Inputs!$D$4:$AG$200,0,MATCH(AC$2,Inputs!$D$2:$AG$2,0)),Inputs!$B$4:$B$200,$B28)/1000)</f>
        <v>733.299</v>
      </c>
      <c r="AD28" s="11">
        <f>IF(AD$3=0,"",SUMIFS(INDEX(Inputs!$D$4:$AG$200,0,MATCH(AD$2,Inputs!$D$2:$AG$2,0)),Inputs!$B$4:$B$200,$B28)/1000)</f>
        <v>840.735</v>
      </c>
      <c r="AE28" s="11" t="str">
        <f>IF(AE$3=0,"",SUMIFS(INDEX(Inputs!$D$4:$AG$200,0,MATCH(AE$2,Inputs!$D$2:$AG$2,0)),Inputs!$B$4:$B$200,$B28)/1000)</f>
        <v/>
      </c>
      <c r="AF28" s="11" t="str">
        <f>IF(AF$3=0,"",SUMIFS(INDEX(Inputs!$D$4:$AG$200,0,MATCH(AF$2,Inputs!$D$2:$AG$2,0)),Inputs!$B$4:$B$200,$B28)/1000)</f>
        <v/>
      </c>
      <c r="AG28" s="12" t="str">
        <f>IF(AF28="","",AF28)</f>
        <v/>
      </c>
    </row>
    <row r="29">
      <c r="B29" s="9" t="n">
        <v>24</v>
      </c>
      <c r="C29" s="14" t="inlineStr">
        <is>
          <t>Accrued expenses</t>
        </is>
      </c>
      <c r="D29" s="11">
        <f>IF(D$3=0,"",SUMIFS(INDEX(Inputs!$D$4:$AG$200,0,MATCH(D$2,Inputs!$D$2:$AG$2,0)),Inputs!$B$4:$B$200,$B29)/1000)</f>
        <v>129.77137318</v>
      </c>
      <c r="E29" s="11">
        <f>IF(E$3=0,"",SUMIFS(INDEX(Inputs!$D$4:$AG$200,0,MATCH(E$2,Inputs!$D$2:$AG$2,0)),Inputs!$B$4:$B$200,$B29)/1000)</f>
        <v>179.05014977</v>
      </c>
      <c r="F29" s="11">
        <f>IF(F$3=0,"",SUMIFS(INDEX(Inputs!$D$4:$AG$200,0,MATCH(F$2,Inputs!$D$2:$AG$2,0)),Inputs!$B$4:$B$200,$B29)/1000)</f>
        <v>218.24255644</v>
      </c>
      <c r="G29" s="11">
        <f>IF(G$3=0,"",SUMIFS(INDEX(Inputs!$D$4:$AG$200,0,MATCH(G$2,Inputs!$D$2:$AG$2,0)),Inputs!$B$4:$B$200,$B29)/1000)</f>
        <v>202.16819922</v>
      </c>
      <c r="H29" s="12">
        <f>IF(G29="","",G29)</f>
        <v>202.16819922</v>
      </c>
      <c r="I29" s="11">
        <f>IF(I$3=0,"",SUMIFS(INDEX(Inputs!$D$4:$AG$200,0,MATCH(I$2,Inputs!$D$2:$AG$2,0)),Inputs!$B$4:$B$200,$B29)/1000)</f>
        <v>172.71857732</v>
      </c>
      <c r="J29" s="11">
        <f>IF(J$3=0,"",SUMIFS(INDEX(Inputs!$D$4:$AG$200,0,MATCH(J$2,Inputs!$D$2:$AG$2,0)),Inputs!$B$4:$B$200,$B29)/1000)</f>
        <v>210.8868834</v>
      </c>
      <c r="K29" s="11">
        <f>IF(K$3=0,"",SUMIFS(INDEX(Inputs!$D$4:$AG$200,0,MATCH(K$2,Inputs!$D$2:$AG$2,0)),Inputs!$B$4:$B$200,$B29)/1000)</f>
        <v>241.1555246</v>
      </c>
      <c r="L29" s="11">
        <f>IF(L$3=0,"",SUMIFS(INDEX(Inputs!$D$4:$AG$200,0,MATCH(L$2,Inputs!$D$2:$AG$2,0)),Inputs!$B$4:$B$200,$B29)/1000)</f>
        <v>227.60029686</v>
      </c>
      <c r="M29" s="12">
        <f>IF(L29="","",L29)</f>
        <v>227.60029686</v>
      </c>
      <c r="N29" s="11">
        <f>IF(N$3=0,"",SUMIFS(INDEX(Inputs!$D$4:$AG$200,0,MATCH(N$2,Inputs!$D$2:$AG$2,0)),Inputs!$B$4:$B$200,$B29)/1000)</f>
        <v>191.55423713</v>
      </c>
      <c r="O29" s="11">
        <f>IF(O$3=0,"",SUMIFS(INDEX(Inputs!$D$4:$AG$200,0,MATCH(O$2,Inputs!$D$2:$AG$2,0)),Inputs!$B$4:$B$200,$B29)/1000)</f>
        <v>328.937</v>
      </c>
      <c r="P29" s="11">
        <f>IF(P$3=0,"",SUMIFS(INDEX(Inputs!$D$4:$AG$200,0,MATCH(P$2,Inputs!$D$2:$AG$2,0)),Inputs!$B$4:$B$200,$B29)/1000)</f>
        <v>380.761</v>
      </c>
      <c r="Q29" s="11">
        <f>IF(Q$3=0,"",SUMIFS(INDEX(Inputs!$D$4:$AG$200,0,MATCH(Q$2,Inputs!$D$2:$AG$2,0)),Inputs!$B$4:$B$200,$B29)/1000)</f>
        <v>338.989</v>
      </c>
      <c r="R29" s="12">
        <f>IF(Q29="","",Q29)</f>
        <v>338.989</v>
      </c>
      <c r="S29" s="11">
        <f>IF(S$3=0,"",SUMIFS(INDEX(Inputs!$D$4:$AG$200,0,MATCH(S$2,Inputs!$D$2:$AG$2,0)),Inputs!$B$4:$B$200,$B29)/1000)</f>
        <v>285.808</v>
      </c>
      <c r="T29" s="11">
        <f>IF(T$3=0,"",SUMIFS(INDEX(Inputs!$D$4:$AG$200,0,MATCH(T$2,Inputs!$D$2:$AG$2,0)),Inputs!$B$4:$B$200,$B29)/1000)</f>
        <v>352.951</v>
      </c>
      <c r="U29" s="11">
        <f>IF(U$3=0,"",SUMIFS(INDEX(Inputs!$D$4:$AG$200,0,MATCH(U$2,Inputs!$D$2:$AG$2,0)),Inputs!$B$4:$B$200,$B29)/1000)</f>
        <v>402.732</v>
      </c>
      <c r="V29" s="11">
        <f>IF(V$3=0,"",SUMIFS(INDEX(Inputs!$D$4:$AG$200,0,MATCH(V$2,Inputs!$D$2:$AG$2,0)),Inputs!$B$4:$B$200,$B29)/1000)</f>
        <v>381.902</v>
      </c>
      <c r="W29" s="12">
        <f>IF(V29="","",V29)</f>
        <v>381.902</v>
      </c>
      <c r="X29" s="11">
        <f>IF(X$3=0,"",SUMIFS(INDEX(Inputs!$D$4:$AG$200,0,MATCH(X$2,Inputs!$D$2:$AG$2,0)),Inputs!$B$4:$B$200,$B29)/1000)</f>
        <v>309.762274</v>
      </c>
      <c r="Y29" s="11">
        <f>IF(Y$3=0,"",SUMIFS(INDEX(Inputs!$D$4:$AG$200,0,MATCH(Y$2,Inputs!$D$2:$AG$2,0)),Inputs!$B$4:$B$200,$B29)/1000)</f>
        <v>368.403</v>
      </c>
      <c r="Z29" s="11">
        <f>IF(Z$3=0,"",SUMIFS(INDEX(Inputs!$D$4:$AG$200,0,MATCH(Z$2,Inputs!$D$2:$AG$2,0)),Inputs!$B$4:$B$200,$B29)/1000)</f>
        <v>438.976</v>
      </c>
      <c r="AA29" s="11">
        <f>IF(AA$3=0,"",SUMIFS(INDEX(Inputs!$D$4:$AG$200,0,MATCH(AA$2,Inputs!$D$2:$AG$2,0)),Inputs!$B$4:$B$200,$B29)/1000)</f>
        <v>407.632</v>
      </c>
      <c r="AB29" s="12">
        <f>IF(AA29="","",AA29)</f>
        <v>407.632</v>
      </c>
      <c r="AC29" s="11">
        <f>IF(AC$3=0,"",SUMIFS(INDEX(Inputs!$D$4:$AG$200,0,MATCH(AC$2,Inputs!$D$2:$AG$2,0)),Inputs!$B$4:$B$200,$B29)/1000)</f>
        <v>345.296</v>
      </c>
      <c r="AD29" s="11">
        <f>IF(AD$3=0,"",SUMIFS(INDEX(Inputs!$D$4:$AG$200,0,MATCH(AD$2,Inputs!$D$2:$AG$2,0)),Inputs!$B$4:$B$200,$B29)/1000)</f>
        <v>406.046</v>
      </c>
      <c r="AE29" s="11" t="str">
        <f>IF(AE$3=0,"",SUMIFS(INDEX(Inputs!$D$4:$AG$200,0,MATCH(AE$2,Inputs!$D$2:$AG$2,0)),Inputs!$B$4:$B$200,$B29)/1000)</f>
        <v/>
      </c>
      <c r="AF29" s="11" t="str">
        <f>IF(AF$3=0,"",SUMIFS(INDEX(Inputs!$D$4:$AG$200,0,MATCH(AF$2,Inputs!$D$2:$AG$2,0)),Inputs!$B$4:$B$200,$B29)/1000)</f>
        <v/>
      </c>
      <c r="AG29" s="12" t="str">
        <f>IF(AF29="","",AF29)</f>
        <v/>
      </c>
    </row>
    <row r="30">
      <c r="B30" s="9" t="n">
        <v>25</v>
      </c>
      <c r="C30" s="14" t="inlineStr">
        <is>
          <t>Taxes payable</t>
        </is>
      </c>
      <c r="D30" s="11">
        <f>IF(D$3=0,"",SUMIFS(INDEX(Inputs!$D$4:$AG$200,0,MATCH(D$2,Inputs!$D$2:$AG$2,0)),Inputs!$B$4:$B$200,$B30)/1000)</f>
        <v>82.64400593</v>
      </c>
      <c r="E30" s="11">
        <f>IF(E$3=0,"",SUMIFS(INDEX(Inputs!$D$4:$AG$200,0,MATCH(E$2,Inputs!$D$2:$AG$2,0)),Inputs!$B$4:$B$200,$B30)/1000)</f>
        <v>84.15495263</v>
      </c>
      <c r="F30" s="11">
        <f>IF(F$3=0,"",SUMIFS(INDEX(Inputs!$D$4:$AG$200,0,MATCH(F$2,Inputs!$D$2:$AG$2,0)),Inputs!$B$4:$B$200,$B30)/1000)</f>
        <v>191.66460878</v>
      </c>
      <c r="G30" s="11">
        <f>IF(G$3=0,"",SUMIFS(INDEX(Inputs!$D$4:$AG$200,0,MATCH(G$2,Inputs!$D$2:$AG$2,0)),Inputs!$B$4:$B$200,$B30)/1000)</f>
        <v>91.24440729</v>
      </c>
      <c r="H30" s="12">
        <f>IF(G30="","",G30)</f>
        <v>91.24440729</v>
      </c>
      <c r="I30" s="11">
        <f>IF(I$3=0,"",SUMIFS(INDEX(Inputs!$D$4:$AG$200,0,MATCH(I$2,Inputs!$D$2:$AG$2,0)),Inputs!$B$4:$B$200,$B30)/1000)</f>
        <v>81.85342882</v>
      </c>
      <c r="J30" s="11">
        <f>IF(J$3=0,"",SUMIFS(INDEX(Inputs!$D$4:$AG$200,0,MATCH(J$2,Inputs!$D$2:$AG$2,0)),Inputs!$B$4:$B$200,$B30)/1000)</f>
        <v>124.66710529</v>
      </c>
      <c r="K30" s="11">
        <f>IF(K$3=0,"",SUMIFS(INDEX(Inputs!$D$4:$AG$200,0,MATCH(K$2,Inputs!$D$2:$AG$2,0)),Inputs!$B$4:$B$200,$B30)/1000)</f>
        <v>173.02486096</v>
      </c>
      <c r="L30" s="11">
        <f>IF(L$3=0,"",SUMIFS(INDEX(Inputs!$D$4:$AG$200,0,MATCH(L$2,Inputs!$D$2:$AG$2,0)),Inputs!$B$4:$B$200,$B30)/1000)</f>
        <v>47.92208004</v>
      </c>
      <c r="M30" s="12">
        <f>IF(L30="","",L30)</f>
        <v>47.92208004</v>
      </c>
      <c r="N30" s="11">
        <f>IF(N$3=0,"",SUMIFS(INDEX(Inputs!$D$4:$AG$200,0,MATCH(N$2,Inputs!$D$2:$AG$2,0)),Inputs!$B$4:$B$200,$B30)/1000)</f>
        <v>59.47314835</v>
      </c>
      <c r="O30" s="11">
        <f>IF(O$3=0,"",SUMIFS(INDEX(Inputs!$D$4:$AG$200,0,MATCH(O$2,Inputs!$D$2:$AG$2,0)),Inputs!$B$4:$B$200,$B30)/1000)</f>
        <v>80.564</v>
      </c>
      <c r="P30" s="11">
        <f>IF(P$3=0,"",SUMIFS(INDEX(Inputs!$D$4:$AG$200,0,MATCH(P$2,Inputs!$D$2:$AG$2,0)),Inputs!$B$4:$B$200,$B30)/1000)</f>
        <v>84.038</v>
      </c>
      <c r="Q30" s="11">
        <f>IF(Q$3=0,"",SUMIFS(INDEX(Inputs!$D$4:$AG$200,0,MATCH(Q$2,Inputs!$D$2:$AG$2,0)),Inputs!$B$4:$B$200,$B30)/1000)</f>
        <v>80.583</v>
      </c>
      <c r="R30" s="12">
        <f>IF(Q30="","",Q30)</f>
        <v>80.583</v>
      </c>
      <c r="S30" s="11">
        <f>IF(S$3=0,"",SUMIFS(INDEX(Inputs!$D$4:$AG$200,0,MATCH(S$2,Inputs!$D$2:$AG$2,0)),Inputs!$B$4:$B$200,$B30)/1000)</f>
        <v>75.011</v>
      </c>
      <c r="T30" s="11">
        <f>IF(T$3=0,"",SUMIFS(INDEX(Inputs!$D$4:$AG$200,0,MATCH(T$2,Inputs!$D$2:$AG$2,0)),Inputs!$B$4:$B$200,$B30)/1000)</f>
        <v>109.283</v>
      </c>
      <c r="U30" s="11">
        <f>IF(U$3=0,"",SUMIFS(INDEX(Inputs!$D$4:$AG$200,0,MATCH(U$2,Inputs!$D$2:$AG$2,0)),Inputs!$B$4:$B$200,$B30)/1000)</f>
        <v>95.523</v>
      </c>
      <c r="V30" s="11">
        <f>IF(V$3=0,"",SUMIFS(INDEX(Inputs!$D$4:$AG$200,0,MATCH(V$2,Inputs!$D$2:$AG$2,0)),Inputs!$B$4:$B$200,$B30)/1000)</f>
        <v>98.581</v>
      </c>
      <c r="W30" s="12">
        <f>IF(V30="","",V30)</f>
        <v>98.581</v>
      </c>
      <c r="X30" s="11">
        <f>IF(X$3=0,"",SUMIFS(INDEX(Inputs!$D$4:$AG$200,0,MATCH(X$2,Inputs!$D$2:$AG$2,0)),Inputs!$B$4:$B$200,$B30)/1000)</f>
        <v>85.512222</v>
      </c>
      <c r="Y30" s="11">
        <f>IF(Y$3=0,"",SUMIFS(INDEX(Inputs!$D$4:$AG$200,0,MATCH(Y$2,Inputs!$D$2:$AG$2,0)),Inputs!$B$4:$B$200,$B30)/1000)</f>
        <v>103.274</v>
      </c>
      <c r="Z30" s="11">
        <f>IF(Z$3=0,"",SUMIFS(INDEX(Inputs!$D$4:$AG$200,0,MATCH(Z$2,Inputs!$D$2:$AG$2,0)),Inputs!$B$4:$B$200,$B30)/1000)</f>
        <v>117.346</v>
      </c>
      <c r="AA30" s="11">
        <f>IF(AA$3=0,"",SUMIFS(INDEX(Inputs!$D$4:$AG$200,0,MATCH(AA$2,Inputs!$D$2:$AG$2,0)),Inputs!$B$4:$B$200,$B30)/1000)</f>
        <v>97.53</v>
      </c>
      <c r="AB30" s="12">
        <f>IF(AA30="","",AA30)</f>
        <v>97.53</v>
      </c>
      <c r="AC30" s="11">
        <f>IF(AC$3=0,"",SUMIFS(INDEX(Inputs!$D$4:$AG$200,0,MATCH(AC$2,Inputs!$D$2:$AG$2,0)),Inputs!$B$4:$B$200,$B30)/1000)</f>
        <v>89.248</v>
      </c>
      <c r="AD30" s="11">
        <f>IF(AD$3=0,"",SUMIFS(INDEX(Inputs!$D$4:$AG$200,0,MATCH(AD$2,Inputs!$D$2:$AG$2,0)),Inputs!$B$4:$B$200,$B30)/1000)</f>
        <v>113.008</v>
      </c>
      <c r="AE30" s="11" t="str">
        <f>IF(AE$3=0,"",SUMIFS(INDEX(Inputs!$D$4:$AG$200,0,MATCH(AE$2,Inputs!$D$2:$AG$2,0)),Inputs!$B$4:$B$200,$B30)/1000)</f>
        <v/>
      </c>
      <c r="AF30" s="11" t="str">
        <f>IF(AF$3=0,"",SUMIFS(INDEX(Inputs!$D$4:$AG$200,0,MATCH(AF$2,Inputs!$D$2:$AG$2,0)),Inputs!$B$4:$B$200,$B30)/1000)</f>
        <v/>
      </c>
      <c r="AG30" s="12" t="str">
        <f>IF(AF30="","",AF30)</f>
        <v/>
      </c>
    </row>
    <row r="31">
      <c r="B31" s="9" t="n">
        <v>26</v>
      </c>
      <c r="C31" s="14" t="inlineStr">
        <is>
          <t>Other current liabilities (non-debt)</t>
        </is>
      </c>
      <c r="D31" s="11">
        <f>IF(D$3=0,"",SUMIFS(INDEX(Inputs!$D$4:$AG$200,0,MATCH(D$2,Inputs!$D$2:$AG$2,0)),Inputs!$B$4:$B$200,$B31)/1000)</f>
        <v>163.47552906</v>
      </c>
      <c r="E31" s="11">
        <f>IF(E$3=0,"",SUMIFS(INDEX(Inputs!$D$4:$AG$200,0,MATCH(E$2,Inputs!$D$2:$AG$2,0)),Inputs!$B$4:$B$200,$B31)/1000)</f>
        <v>7.81020024</v>
      </c>
      <c r="F31" s="11">
        <f>IF(F$3=0,"",SUMIFS(INDEX(Inputs!$D$4:$AG$200,0,MATCH(F$2,Inputs!$D$2:$AG$2,0)),Inputs!$B$4:$B$200,$B31)/1000)</f>
        <v>7.84403098</v>
      </c>
      <c r="G31" s="11">
        <f>IF(G$3=0,"",SUMIFS(INDEX(Inputs!$D$4:$AG$200,0,MATCH(G$2,Inputs!$D$2:$AG$2,0)),Inputs!$B$4:$B$200,$B31)/1000)</f>
        <v>22.207</v>
      </c>
      <c r="H31" s="12">
        <f>IF(G31="","",G31)</f>
        <v>22.207</v>
      </c>
      <c r="I31" s="11">
        <f>IF(I$3=0,"",SUMIFS(INDEX(Inputs!$D$4:$AG$200,0,MATCH(I$2,Inputs!$D$2:$AG$2,0)),Inputs!$B$4:$B$200,$B31)/1000)</f>
        <v>239.29000932</v>
      </c>
      <c r="J31" s="11">
        <f>IF(J$3=0,"",SUMIFS(INDEX(Inputs!$D$4:$AG$200,0,MATCH(J$2,Inputs!$D$2:$AG$2,0)),Inputs!$B$4:$B$200,$B31)/1000)</f>
        <v>16.2889214</v>
      </c>
      <c r="K31" s="11">
        <f>IF(K$3=0,"",SUMIFS(INDEX(Inputs!$D$4:$AG$200,0,MATCH(K$2,Inputs!$D$2:$AG$2,0)),Inputs!$B$4:$B$200,$B31)/1000)</f>
        <v>16.82895005</v>
      </c>
      <c r="L31" s="11">
        <f>IF(L$3=0,"",SUMIFS(INDEX(Inputs!$D$4:$AG$200,0,MATCH(L$2,Inputs!$D$2:$AG$2,0)),Inputs!$B$4:$B$200,$B31)/1000)</f>
        <v>18.18773241</v>
      </c>
      <c r="M31" s="12">
        <f>IF(L31="","",L31)</f>
        <v>18.18773241</v>
      </c>
      <c r="N31" s="11">
        <f>IF(N$3=0,"",SUMIFS(INDEX(Inputs!$D$4:$AG$200,0,MATCH(N$2,Inputs!$D$2:$AG$2,0)),Inputs!$B$4:$B$200,$B31)/1000)</f>
        <v>25.29456084</v>
      </c>
      <c r="O31" s="11">
        <f>IF(O$3=0,"",SUMIFS(INDEX(Inputs!$D$4:$AG$200,0,MATCH(O$2,Inputs!$D$2:$AG$2,0)),Inputs!$B$4:$B$200,$B31)/1000)</f>
        <v>28.482</v>
      </c>
      <c r="P31" s="11">
        <f>IF(P$3=0,"",SUMIFS(INDEX(Inputs!$D$4:$AG$200,0,MATCH(P$2,Inputs!$D$2:$AG$2,0)),Inputs!$B$4:$B$200,$B31)/1000)</f>
        <v>105.682</v>
      </c>
      <c r="Q31" s="11">
        <f>IF(Q$3=0,"",SUMIFS(INDEX(Inputs!$D$4:$AG$200,0,MATCH(Q$2,Inputs!$D$2:$AG$2,0)),Inputs!$B$4:$B$200,$B31)/1000)</f>
        <v>35.372</v>
      </c>
      <c r="R31" s="12">
        <f>IF(Q31="","",Q31)</f>
        <v>35.372</v>
      </c>
      <c r="S31" s="11">
        <f>IF(S$3=0,"",SUMIFS(INDEX(Inputs!$D$4:$AG$200,0,MATCH(S$2,Inputs!$D$2:$AG$2,0)),Inputs!$B$4:$B$200,$B31)/1000)</f>
        <v>101.781</v>
      </c>
      <c r="T31" s="11">
        <f>IF(T$3=0,"",SUMIFS(INDEX(Inputs!$D$4:$AG$200,0,MATCH(T$2,Inputs!$D$2:$AG$2,0)),Inputs!$B$4:$B$200,$B31)/1000)</f>
        <v>26.325</v>
      </c>
      <c r="U31" s="11">
        <f>IF(U$3=0,"",SUMIFS(INDEX(Inputs!$D$4:$AG$200,0,MATCH(U$2,Inputs!$D$2:$AG$2,0)),Inputs!$B$4:$B$200,$B31)/1000)</f>
        <v>182.758</v>
      </c>
      <c r="V31" s="11">
        <f>IF(V$3=0,"",SUMIFS(INDEX(Inputs!$D$4:$AG$200,0,MATCH(V$2,Inputs!$D$2:$AG$2,0)),Inputs!$B$4:$B$200,$B31)/1000)</f>
        <v>18.137</v>
      </c>
      <c r="W31" s="12">
        <f>IF(V31="","",V31)</f>
        <v>18.137</v>
      </c>
      <c r="X31" s="11">
        <f>IF(X$3=0,"",SUMIFS(INDEX(Inputs!$D$4:$AG$200,0,MATCH(X$2,Inputs!$D$2:$AG$2,0)),Inputs!$B$4:$B$200,$B31)/1000)</f>
        <v>276.046014</v>
      </c>
      <c r="Y31" s="11">
        <f>IF(Y$3=0,"",SUMIFS(INDEX(Inputs!$D$4:$AG$200,0,MATCH(Y$2,Inputs!$D$2:$AG$2,0)),Inputs!$B$4:$B$200,$B31)/1000)</f>
        <v>25.9</v>
      </c>
      <c r="Z31" s="11">
        <f>IF(Z$3=0,"",SUMIFS(INDEX(Inputs!$D$4:$AG$200,0,MATCH(Z$2,Inputs!$D$2:$AG$2,0)),Inputs!$B$4:$B$200,$B31)/1000)</f>
        <v>185.919</v>
      </c>
      <c r="AA31" s="11">
        <f>IF(AA$3=0,"",SUMIFS(INDEX(Inputs!$D$4:$AG$200,0,MATCH(AA$2,Inputs!$D$2:$AG$2,0)),Inputs!$B$4:$B$200,$B31)/1000)</f>
        <v>310.211</v>
      </c>
      <c r="AB31" s="12">
        <f>IF(AA31="","",AA31)</f>
        <v>310.211</v>
      </c>
      <c r="AC31" s="11">
        <f>IF(AC$3=0,"",SUMIFS(INDEX(Inputs!$D$4:$AG$200,0,MATCH(AC$2,Inputs!$D$2:$AG$2,0)),Inputs!$B$4:$B$200,$B31)/1000)</f>
        <v>316.339</v>
      </c>
      <c r="AD31" s="11">
        <f>IF(AD$3=0,"",SUMIFS(INDEX(Inputs!$D$4:$AG$200,0,MATCH(AD$2,Inputs!$D$2:$AG$2,0)),Inputs!$B$4:$B$200,$B31)/1000)</f>
        <v>91.96</v>
      </c>
      <c r="AE31" s="11" t="str">
        <f>IF(AE$3=0,"",SUMIFS(INDEX(Inputs!$D$4:$AG$200,0,MATCH(AE$2,Inputs!$D$2:$AG$2,0)),Inputs!$B$4:$B$200,$B31)/1000)</f>
        <v/>
      </c>
      <c r="AF31" s="11" t="str">
        <f>IF(AF$3=0,"",SUMIFS(INDEX(Inputs!$D$4:$AG$200,0,MATCH(AF$2,Inputs!$D$2:$AG$2,0)),Inputs!$B$4:$B$200,$B31)/1000)</f>
        <v/>
      </c>
      <c r="AG31" s="12" t="str">
        <f>IF(AF31="","",AF31)</f>
        <v/>
      </c>
    </row>
    <row r="32">
      <c r="B32" s="9" t="n">
        <v>27</v>
      </c>
      <c r="C32" s="14" t="inlineStr">
        <is>
          <t>Current portion of long-term debt</t>
        </is>
      </c>
      <c r="D32" s="11">
        <f>IF(D$3=0,"",SUMIFS(INDEX(Inputs!$D$4:$AG$200,0,MATCH(D$2,Inputs!$D$2:$AG$2,0)),Inputs!$B$4:$B$200,$B32)/1000)</f>
        <v>648.3722851</v>
      </c>
      <c r="E32" s="11">
        <f>IF(E$3=0,"",SUMIFS(INDEX(Inputs!$D$4:$AG$200,0,MATCH(E$2,Inputs!$D$2:$AG$2,0)),Inputs!$B$4:$B$200,$B32)/1000)</f>
        <v>830.52788741</v>
      </c>
      <c r="F32" s="11">
        <f>IF(F$3=0,"",SUMIFS(INDEX(Inputs!$D$4:$AG$200,0,MATCH(F$2,Inputs!$D$2:$AG$2,0)),Inputs!$B$4:$B$200,$B32)/1000)</f>
        <v>456.91694014</v>
      </c>
      <c r="G32" s="11">
        <f>IF(G$3=0,"",SUMIFS(INDEX(Inputs!$D$4:$AG$200,0,MATCH(G$2,Inputs!$D$2:$AG$2,0)),Inputs!$B$4:$B$200,$B32)/1000)</f>
        <v>404.72740512</v>
      </c>
      <c r="H32" s="12">
        <f>IF(G32="","",G32)</f>
        <v>404.72740512</v>
      </c>
      <c r="I32" s="11">
        <f>IF(I$3=0,"",SUMIFS(INDEX(Inputs!$D$4:$AG$200,0,MATCH(I$2,Inputs!$D$2:$AG$2,0)),Inputs!$B$4:$B$200,$B32)/1000)</f>
        <v>248.22582164</v>
      </c>
      <c r="J32" s="11">
        <f>IF(J$3=0,"",SUMIFS(INDEX(Inputs!$D$4:$AG$200,0,MATCH(J$2,Inputs!$D$2:$AG$2,0)),Inputs!$B$4:$B$200,$B32)/1000)</f>
        <v>524.45827574</v>
      </c>
      <c r="K32" s="11">
        <f>IF(K$3=0,"",SUMIFS(INDEX(Inputs!$D$4:$AG$200,0,MATCH(K$2,Inputs!$D$2:$AG$2,0)),Inputs!$B$4:$B$200,$B32)/1000)</f>
        <v>559.5551054</v>
      </c>
      <c r="L32" s="11">
        <f>IF(L$3=0,"",SUMIFS(INDEX(Inputs!$D$4:$AG$200,0,MATCH(L$2,Inputs!$D$2:$AG$2,0)),Inputs!$B$4:$B$200,$B32)/1000)</f>
        <v>401.25619901</v>
      </c>
      <c r="M32" s="12">
        <f>IF(L32="","",L32)</f>
        <v>401.25619901</v>
      </c>
      <c r="N32" s="11">
        <f>IF(N$3=0,"",SUMIFS(INDEX(Inputs!$D$4:$AG$200,0,MATCH(N$2,Inputs!$D$2:$AG$2,0)),Inputs!$B$4:$B$200,$B32)/1000)</f>
        <v>406.69406886</v>
      </c>
      <c r="O32" s="11">
        <f>IF(O$3=0,"",SUMIFS(INDEX(Inputs!$D$4:$AG$200,0,MATCH(O$2,Inputs!$D$2:$AG$2,0)),Inputs!$B$4:$B$200,$B32)/1000)</f>
        <v>693.333</v>
      </c>
      <c r="P32" s="11">
        <f>IF(P$3=0,"",SUMIFS(INDEX(Inputs!$D$4:$AG$200,0,MATCH(P$2,Inputs!$D$2:$AG$2,0)),Inputs!$B$4:$B$200,$B32)/1000)</f>
        <v>509.272</v>
      </c>
      <c r="Q32" s="11">
        <f>IF(Q$3=0,"",SUMIFS(INDEX(Inputs!$D$4:$AG$200,0,MATCH(Q$2,Inputs!$D$2:$AG$2,0)),Inputs!$B$4:$B$200,$B32)/1000)</f>
        <v>339.192</v>
      </c>
      <c r="R32" s="12">
        <f>IF(Q32="","",Q32)</f>
        <v>339.192</v>
      </c>
      <c r="S32" s="11">
        <f>IF(S$3=0,"",SUMIFS(INDEX(Inputs!$D$4:$AG$200,0,MATCH(S$2,Inputs!$D$2:$AG$2,0)),Inputs!$B$4:$B$200,$B32)/1000)</f>
        <v>412.691</v>
      </c>
      <c r="T32" s="11">
        <f>IF(T$3=0,"",SUMIFS(INDEX(Inputs!$D$4:$AG$200,0,MATCH(T$2,Inputs!$D$2:$AG$2,0)),Inputs!$B$4:$B$200,$B32)/1000)</f>
        <v>328.864</v>
      </c>
      <c r="U32" s="11">
        <f>IF(U$3=0,"",SUMIFS(INDEX(Inputs!$D$4:$AG$200,0,MATCH(U$2,Inputs!$D$2:$AG$2,0)),Inputs!$B$4:$B$200,$B32)/1000)</f>
        <v>654.38</v>
      </c>
      <c r="V32" s="11">
        <f>IF(V$3=0,"",SUMIFS(INDEX(Inputs!$D$4:$AG$200,0,MATCH(V$2,Inputs!$D$2:$AG$2,0)),Inputs!$B$4:$B$200,$B32)/1000)</f>
        <v>249.33</v>
      </c>
      <c r="W32" s="12">
        <f>IF(V32="","",V32)</f>
        <v>249.33</v>
      </c>
      <c r="X32" s="11">
        <f>IF(X$3=0,"",SUMIFS(INDEX(Inputs!$D$4:$AG$200,0,MATCH(X$2,Inputs!$D$2:$AG$2,0)),Inputs!$B$4:$B$200,$B32)/1000)</f>
        <v>378.228106</v>
      </c>
      <c r="Y32" s="11">
        <f>IF(Y$3=0,"",SUMIFS(INDEX(Inputs!$D$4:$AG$200,0,MATCH(Y$2,Inputs!$D$2:$AG$2,0)),Inputs!$B$4:$B$200,$B32)/1000)</f>
        <v>288.392</v>
      </c>
      <c r="Z32" s="11">
        <f>IF(Z$3=0,"",SUMIFS(INDEX(Inputs!$D$4:$AG$200,0,MATCH(Z$2,Inputs!$D$2:$AG$2,0)),Inputs!$B$4:$B$200,$B32)/1000)</f>
        <v>424.442</v>
      </c>
      <c r="AA32" s="11">
        <f>IF(AA$3=0,"",SUMIFS(INDEX(Inputs!$D$4:$AG$200,0,MATCH(AA$2,Inputs!$D$2:$AG$2,0)),Inputs!$B$4:$B$200,$B32)/1000)</f>
        <v>311.442</v>
      </c>
      <c r="AB32" s="12">
        <f>IF(AA32="","",AA32)</f>
        <v>311.442</v>
      </c>
      <c r="AC32" s="11">
        <f>IF(AC$3=0,"",SUMIFS(INDEX(Inputs!$D$4:$AG$200,0,MATCH(AC$2,Inputs!$D$2:$AG$2,0)),Inputs!$B$4:$B$200,$B32)/1000)</f>
        <v>383.255</v>
      </c>
      <c r="AD32" s="11">
        <f>IF(AD$3=0,"",SUMIFS(INDEX(Inputs!$D$4:$AG$200,0,MATCH(AD$2,Inputs!$D$2:$AG$2,0)),Inputs!$B$4:$B$200,$B32)/1000)</f>
        <v>667.641</v>
      </c>
      <c r="AE32" s="11" t="str">
        <f>IF(AE$3=0,"",SUMIFS(INDEX(Inputs!$D$4:$AG$200,0,MATCH(AE$2,Inputs!$D$2:$AG$2,0)),Inputs!$B$4:$B$200,$B32)/1000)</f>
        <v/>
      </c>
      <c r="AF32" s="11" t="str">
        <f>IF(AF$3=0,"",SUMIFS(INDEX(Inputs!$D$4:$AG$200,0,MATCH(AF$2,Inputs!$D$2:$AG$2,0)),Inputs!$B$4:$B$200,$B32)/1000)</f>
        <v/>
      </c>
      <c r="AG32" s="12" t="str">
        <f>IF(AF32="","",AF32)</f>
        <v/>
      </c>
    </row>
    <row r="33">
      <c r="B33" s="9" t="n">
        <v>28</v>
      </c>
      <c r="C33" s="14" t="inlineStr">
        <is>
          <t>Short term debt (Revolving credit facility)</t>
        </is>
      </c>
      <c r="D33" s="11">
        <f>IF(D$3=0,"",SUMIFS(INDEX(Inputs!$D$4:$AG$200,0,MATCH(D$2,Inputs!$D$2:$AG$2,0)),Inputs!$B$4:$B$200,$B33)/1000)</f>
        <v>0</v>
      </c>
      <c r="E33" s="11">
        <f>IF(E$3=0,"",SUMIFS(INDEX(Inputs!$D$4:$AG$200,0,MATCH(E$2,Inputs!$D$2:$AG$2,0)),Inputs!$B$4:$B$200,$B33)/1000)</f>
        <v>0</v>
      </c>
      <c r="F33" s="11">
        <f>IF(F$3=0,"",SUMIFS(INDEX(Inputs!$D$4:$AG$200,0,MATCH(F$2,Inputs!$D$2:$AG$2,0)),Inputs!$B$4:$B$200,$B33)/1000)</f>
        <v>0</v>
      </c>
      <c r="G33" s="11">
        <f>IF(G$3=0,"",SUMIFS(INDEX(Inputs!$D$4:$AG$200,0,MATCH(G$2,Inputs!$D$2:$AG$2,0)),Inputs!$B$4:$B$200,$B33)/1000)</f>
        <v>0</v>
      </c>
      <c r="H33" s="12">
        <f>IF(G33="","",G33)</f>
        <v>0</v>
      </c>
      <c r="I33" s="11">
        <f>IF(I$3=0,"",SUMIFS(INDEX(Inputs!$D$4:$AG$200,0,MATCH(I$2,Inputs!$D$2:$AG$2,0)),Inputs!$B$4:$B$200,$B33)/1000)</f>
        <v>0</v>
      </c>
      <c r="J33" s="11">
        <f>IF(J$3=0,"",SUMIFS(INDEX(Inputs!$D$4:$AG$200,0,MATCH(J$2,Inputs!$D$2:$AG$2,0)),Inputs!$B$4:$B$200,$B33)/1000)</f>
        <v>0</v>
      </c>
      <c r="K33" s="11">
        <f>IF(K$3=0,"",SUMIFS(INDEX(Inputs!$D$4:$AG$200,0,MATCH(K$2,Inputs!$D$2:$AG$2,0)),Inputs!$B$4:$B$200,$B33)/1000)</f>
        <v>0</v>
      </c>
      <c r="L33" s="11">
        <f>IF(L$3=0,"",SUMIFS(INDEX(Inputs!$D$4:$AG$200,0,MATCH(L$2,Inputs!$D$2:$AG$2,0)),Inputs!$B$4:$B$200,$B33)/1000)</f>
        <v>0</v>
      </c>
      <c r="M33" s="12">
        <f>IF(L33="","",L33)</f>
        <v>0</v>
      </c>
      <c r="N33" s="11">
        <f>IF(N$3=0,"",SUMIFS(INDEX(Inputs!$D$4:$AG$200,0,MATCH(N$2,Inputs!$D$2:$AG$2,0)),Inputs!$B$4:$B$200,$B33)/1000)</f>
        <v>0</v>
      </c>
      <c r="O33" s="11">
        <f>IF(O$3=0,"",SUMIFS(INDEX(Inputs!$D$4:$AG$200,0,MATCH(O$2,Inputs!$D$2:$AG$2,0)),Inputs!$B$4:$B$200,$B33)/1000)</f>
        <v>0</v>
      </c>
      <c r="P33" s="11">
        <f>IF(P$3=0,"",SUMIFS(INDEX(Inputs!$D$4:$AG$200,0,MATCH(P$2,Inputs!$D$2:$AG$2,0)),Inputs!$B$4:$B$200,$B33)/1000)</f>
        <v>0</v>
      </c>
      <c r="Q33" s="11">
        <f>IF(Q$3=0,"",SUMIFS(INDEX(Inputs!$D$4:$AG$200,0,MATCH(Q$2,Inputs!$D$2:$AG$2,0)),Inputs!$B$4:$B$200,$B33)/1000)</f>
        <v>0</v>
      </c>
      <c r="R33" s="12">
        <f>IF(Q33="","",Q33)</f>
        <v>0</v>
      </c>
      <c r="S33" s="11">
        <f>IF(S$3=0,"",SUMIFS(INDEX(Inputs!$D$4:$AG$200,0,MATCH(S$2,Inputs!$D$2:$AG$2,0)),Inputs!$B$4:$B$200,$B33)/1000)</f>
        <v>0</v>
      </c>
      <c r="T33" s="11">
        <f>IF(T$3=0,"",SUMIFS(INDEX(Inputs!$D$4:$AG$200,0,MATCH(T$2,Inputs!$D$2:$AG$2,0)),Inputs!$B$4:$B$200,$B33)/1000)</f>
        <v>0</v>
      </c>
      <c r="U33" s="11">
        <f>IF(U$3=0,"",SUMIFS(INDEX(Inputs!$D$4:$AG$200,0,MATCH(U$2,Inputs!$D$2:$AG$2,0)),Inputs!$B$4:$B$200,$B33)/1000)</f>
        <v>0</v>
      </c>
      <c r="V33" s="11">
        <f>IF(V$3=0,"",SUMIFS(INDEX(Inputs!$D$4:$AG$200,0,MATCH(V$2,Inputs!$D$2:$AG$2,0)),Inputs!$B$4:$B$200,$B33)/1000)</f>
        <v>0</v>
      </c>
      <c r="W33" s="12">
        <f>IF(V33="","",V33)</f>
        <v>0</v>
      </c>
      <c r="X33" s="11">
        <f>IF(X$3=0,"",SUMIFS(INDEX(Inputs!$D$4:$AG$200,0,MATCH(X$2,Inputs!$D$2:$AG$2,0)),Inputs!$B$4:$B$200,$B33)/1000)</f>
        <v>0</v>
      </c>
      <c r="Y33" s="11">
        <f>IF(Y$3=0,"",SUMIFS(INDEX(Inputs!$D$4:$AG$200,0,MATCH(Y$2,Inputs!$D$2:$AG$2,0)),Inputs!$B$4:$B$200,$B33)/1000)</f>
        <v>0</v>
      </c>
      <c r="Z33" s="11">
        <f>IF(Z$3=0,"",SUMIFS(INDEX(Inputs!$D$4:$AG$200,0,MATCH(Z$2,Inputs!$D$2:$AG$2,0)),Inputs!$B$4:$B$200,$B33)/1000)</f>
        <v>0</v>
      </c>
      <c r="AA33" s="11">
        <f>IF(AA$3=0,"",SUMIFS(INDEX(Inputs!$D$4:$AG$200,0,MATCH(AA$2,Inputs!$D$2:$AG$2,0)),Inputs!$B$4:$B$200,$B33)/1000)</f>
        <v>0</v>
      </c>
      <c r="AB33" s="12">
        <f>IF(AA33="","",AA33)</f>
        <v>0</v>
      </c>
      <c r="AC33" s="11">
        <f>IF(AC$3=0,"",SUMIFS(INDEX(Inputs!$D$4:$AG$200,0,MATCH(AC$2,Inputs!$D$2:$AG$2,0)),Inputs!$B$4:$B$200,$B33)/1000)</f>
        <v>0</v>
      </c>
      <c r="AD33" s="11">
        <f>IF(AD$3=0,"",SUMIFS(INDEX(Inputs!$D$4:$AG$200,0,MATCH(AD$2,Inputs!$D$2:$AG$2,0)),Inputs!$B$4:$B$200,$B33)/1000)</f>
        <v>0</v>
      </c>
      <c r="AE33" s="11" t="str">
        <f>IF(AE$3=0,"",SUMIFS(INDEX(Inputs!$D$4:$AG$200,0,MATCH(AE$2,Inputs!$D$2:$AG$2,0)),Inputs!$B$4:$B$200,$B33)/1000)</f>
        <v/>
      </c>
      <c r="AF33" s="11" t="str">
        <f>IF(AF$3=0,"",SUMIFS(INDEX(Inputs!$D$4:$AG$200,0,MATCH(AF$2,Inputs!$D$2:$AG$2,0)),Inputs!$B$4:$B$200,$B33)/1000)</f>
        <v/>
      </c>
      <c r="AG33" s="12" t="str">
        <f>IF(AF33="","",AF33)</f>
        <v/>
      </c>
    </row>
    <row r="34">
      <c r="B34" s="9" t="n">
        <v>29</v>
      </c>
      <c r="C34" s="14" t="inlineStr">
        <is>
          <t>Short term operating leases</t>
        </is>
      </c>
      <c r="D34" s="11">
        <f>IF(D$3=0,"",SUMIFS(INDEX(Inputs!$D$4:$AG$200,0,MATCH(D$2,Inputs!$D$2:$AG$2,0)),Inputs!$B$4:$B$200,$B34)/1000)</f>
        <v>106.47604073</v>
      </c>
      <c r="E34" s="11">
        <f>IF(E$3=0,"",SUMIFS(INDEX(Inputs!$D$4:$AG$200,0,MATCH(E$2,Inputs!$D$2:$AG$2,0)),Inputs!$B$4:$B$200,$B34)/1000)</f>
        <v>107.53912171</v>
      </c>
      <c r="F34" s="11">
        <f>IF(F$3=0,"",SUMIFS(INDEX(Inputs!$D$4:$AG$200,0,MATCH(F$2,Inputs!$D$2:$AG$2,0)),Inputs!$B$4:$B$200,$B34)/1000)</f>
        <v>102.09020266</v>
      </c>
      <c r="G34" s="11">
        <f>IF(G$3=0,"",SUMIFS(INDEX(Inputs!$D$4:$AG$200,0,MATCH(G$2,Inputs!$D$2:$AG$2,0)),Inputs!$B$4:$B$200,$B34)/1000)</f>
        <v>129.64438544</v>
      </c>
      <c r="H34" s="12">
        <f>IF(G34="","",G34)</f>
        <v>129.64438544</v>
      </c>
      <c r="I34" s="11">
        <f>IF(I$3=0,"",SUMIFS(INDEX(Inputs!$D$4:$AG$200,0,MATCH(I$2,Inputs!$D$2:$AG$2,0)),Inputs!$B$4:$B$200,$B34)/1000)</f>
        <v>140.28839753</v>
      </c>
      <c r="J34" s="11">
        <f>IF(J$3=0,"",SUMIFS(INDEX(Inputs!$D$4:$AG$200,0,MATCH(J$2,Inputs!$D$2:$AG$2,0)),Inputs!$B$4:$B$200,$B34)/1000)</f>
        <v>150.37974573</v>
      </c>
      <c r="K34" s="11">
        <f>IF(K$3=0,"",SUMIFS(INDEX(Inputs!$D$4:$AG$200,0,MATCH(K$2,Inputs!$D$2:$AG$2,0)),Inputs!$B$4:$B$200,$B34)/1000)</f>
        <v>156.82602384</v>
      </c>
      <c r="L34" s="11">
        <f>IF(L$3=0,"",SUMIFS(INDEX(Inputs!$D$4:$AG$200,0,MATCH(L$2,Inputs!$D$2:$AG$2,0)),Inputs!$B$4:$B$200,$B34)/1000)</f>
        <v>174.90125352</v>
      </c>
      <c r="M34" s="12">
        <f>IF(L34="","",L34)</f>
        <v>174.90125352</v>
      </c>
      <c r="N34" s="11">
        <f>IF(N$3=0,"",SUMIFS(INDEX(Inputs!$D$4:$AG$200,0,MATCH(N$2,Inputs!$D$2:$AG$2,0)),Inputs!$B$4:$B$200,$B34)/1000)</f>
        <v>192.467104</v>
      </c>
      <c r="O34" s="11">
        <f>IF(O$3=0,"",SUMIFS(INDEX(Inputs!$D$4:$AG$200,0,MATCH(O$2,Inputs!$D$2:$AG$2,0)),Inputs!$B$4:$B$200,$B34)/1000)</f>
        <v>269.893</v>
      </c>
      <c r="P34" s="11">
        <f>IF(P$3=0,"",SUMIFS(INDEX(Inputs!$D$4:$AG$200,0,MATCH(P$2,Inputs!$D$2:$AG$2,0)),Inputs!$B$4:$B$200,$B34)/1000)</f>
        <v>263.101</v>
      </c>
      <c r="Q34" s="11">
        <f>IF(Q$3=0,"",SUMIFS(INDEX(Inputs!$D$4:$AG$200,0,MATCH(Q$2,Inputs!$D$2:$AG$2,0)),Inputs!$B$4:$B$200,$B34)/1000)</f>
        <v>272.067</v>
      </c>
      <c r="R34" s="12">
        <f>IF(Q34="","",Q34)</f>
        <v>272.067</v>
      </c>
      <c r="S34" s="11">
        <f>IF(S$3=0,"",SUMIFS(INDEX(Inputs!$D$4:$AG$200,0,MATCH(S$2,Inputs!$D$2:$AG$2,0)),Inputs!$B$4:$B$200,$B34)/1000)</f>
        <v>277.296</v>
      </c>
      <c r="T34" s="11">
        <f>IF(T$3=0,"",SUMIFS(INDEX(Inputs!$D$4:$AG$200,0,MATCH(T$2,Inputs!$D$2:$AG$2,0)),Inputs!$B$4:$B$200,$B34)/1000)</f>
        <v>280.827</v>
      </c>
      <c r="U34" s="11">
        <f>IF(U$3=0,"",SUMIFS(INDEX(Inputs!$D$4:$AG$200,0,MATCH(U$2,Inputs!$D$2:$AG$2,0)),Inputs!$B$4:$B$200,$B34)/1000)</f>
        <v>288.153</v>
      </c>
      <c r="V34" s="11">
        <f>IF(V$3=0,"",SUMIFS(INDEX(Inputs!$D$4:$AG$200,0,MATCH(V$2,Inputs!$D$2:$AG$2,0)),Inputs!$B$4:$B$200,$B34)/1000)</f>
        <v>290.854</v>
      </c>
      <c r="W34" s="12">
        <f>IF(V34="","",V34)</f>
        <v>290.854</v>
      </c>
      <c r="X34" s="11">
        <f>IF(X$3=0,"",SUMIFS(INDEX(Inputs!$D$4:$AG$200,0,MATCH(X$2,Inputs!$D$2:$AG$2,0)),Inputs!$B$4:$B$200,$B34)/1000)</f>
        <v>310.350855</v>
      </c>
      <c r="Y34" s="11">
        <f>IF(Y$3=0,"",SUMIFS(INDEX(Inputs!$D$4:$AG$200,0,MATCH(Y$2,Inputs!$D$2:$AG$2,0)),Inputs!$B$4:$B$200,$B34)/1000)</f>
        <v>304.045</v>
      </c>
      <c r="Z34" s="11">
        <f>IF(Z$3=0,"",SUMIFS(INDEX(Inputs!$D$4:$AG$200,0,MATCH(Z$2,Inputs!$D$2:$AG$2,0)),Inputs!$B$4:$B$200,$B34)/1000)</f>
        <v>313.074</v>
      </c>
      <c r="AA34" s="11">
        <f>IF(AA$3=0,"",SUMIFS(INDEX(Inputs!$D$4:$AG$200,0,MATCH(AA$2,Inputs!$D$2:$AG$2,0)),Inputs!$B$4:$B$200,$B34)/1000)</f>
        <v>318.732</v>
      </c>
      <c r="AB34" s="12">
        <f>IF(AA34="","",AA34)</f>
        <v>318.732</v>
      </c>
      <c r="AC34" s="11">
        <f>IF(AC$3=0,"",SUMIFS(INDEX(Inputs!$D$4:$AG$200,0,MATCH(AC$2,Inputs!$D$2:$AG$2,0)),Inputs!$B$4:$B$200,$B34)/1000)</f>
        <v>308.319</v>
      </c>
      <c r="AD34" s="11">
        <f>IF(AD$3=0,"",SUMIFS(INDEX(Inputs!$D$4:$AG$200,0,MATCH(AD$2,Inputs!$D$2:$AG$2,0)),Inputs!$B$4:$B$200,$B34)/1000)</f>
        <v>319.569</v>
      </c>
      <c r="AE34" s="11" t="str">
        <f>IF(AE$3=0,"",SUMIFS(INDEX(Inputs!$D$4:$AG$200,0,MATCH(AE$2,Inputs!$D$2:$AG$2,0)),Inputs!$B$4:$B$200,$B34)/1000)</f>
        <v/>
      </c>
      <c r="AF34" s="11" t="str">
        <f>IF(AF$3=0,"",SUMIFS(INDEX(Inputs!$D$4:$AG$200,0,MATCH(AF$2,Inputs!$D$2:$AG$2,0)),Inputs!$B$4:$B$200,$B34)/1000)</f>
        <v/>
      </c>
      <c r="AG34" s="12" t="str">
        <f>IF(AF34="","",AF34)</f>
        <v/>
      </c>
    </row>
    <row r="35">
      <c r="B35" s="9" t="n">
        <v>30</v>
      </c>
      <c r="C35" s="14" t="inlineStr">
        <is>
          <t>Long term debt</t>
        </is>
      </c>
      <c r="D35" s="11">
        <f>IF(D$3=0,"",SUMIFS(INDEX(Inputs!$D$4:$AG$200,0,MATCH(D$2,Inputs!$D$2:$AG$2,0)),Inputs!$B$4:$B$200,$B35)/1000)</f>
        <v>1351.08479863</v>
      </c>
      <c r="E35" s="11">
        <f>IF(E$3=0,"",SUMIFS(INDEX(Inputs!$D$4:$AG$200,0,MATCH(E$2,Inputs!$D$2:$AG$2,0)),Inputs!$B$4:$B$200,$B35)/1000)</f>
        <v>1009.350639</v>
      </c>
      <c r="F35" s="11">
        <f>IF(F$3=0,"",SUMIFS(INDEX(Inputs!$D$4:$AG$200,0,MATCH(F$2,Inputs!$D$2:$AG$2,0)),Inputs!$B$4:$B$200,$B35)/1000)</f>
        <v>2017.99351849</v>
      </c>
      <c r="G35" s="11">
        <f>IF(G$3=0,"",SUMIFS(INDEX(Inputs!$D$4:$AG$200,0,MATCH(G$2,Inputs!$D$2:$AG$2,0)),Inputs!$B$4:$B$200,$B35)/1000)</f>
        <v>1868.07341868</v>
      </c>
      <c r="H35" s="12">
        <f>IF(G35="","",G35)</f>
        <v>1868.07341868</v>
      </c>
      <c r="I35" s="11">
        <f>IF(I$3=0,"",SUMIFS(INDEX(Inputs!$D$4:$AG$200,0,MATCH(I$2,Inputs!$D$2:$AG$2,0)),Inputs!$B$4:$B$200,$B35)/1000)</f>
        <v>1861.91080126</v>
      </c>
      <c r="J35" s="11">
        <f>IF(J$3=0,"",SUMIFS(INDEX(Inputs!$D$4:$AG$200,0,MATCH(J$2,Inputs!$D$2:$AG$2,0)),Inputs!$B$4:$B$200,$B35)/1000)</f>
        <v>2371.41405674</v>
      </c>
      <c r="K35" s="11">
        <f>IF(K$3=0,"",SUMIFS(INDEX(Inputs!$D$4:$AG$200,0,MATCH(K$2,Inputs!$D$2:$AG$2,0)),Inputs!$B$4:$B$200,$B35)/1000)</f>
        <v>2372.72832122</v>
      </c>
      <c r="L35" s="11">
        <f>IF(L$3=0,"",SUMIFS(INDEX(Inputs!$D$4:$AG$200,0,MATCH(L$2,Inputs!$D$2:$AG$2,0)),Inputs!$B$4:$B$200,$B35)/1000)</f>
        <v>2475.24283589</v>
      </c>
      <c r="M35" s="12">
        <f>IF(L35="","",L35)</f>
        <v>2475.24283589</v>
      </c>
      <c r="N35" s="11">
        <f>IF(N$3=0,"",SUMIFS(INDEX(Inputs!$D$4:$AG$200,0,MATCH(N$2,Inputs!$D$2:$AG$2,0)),Inputs!$B$4:$B$200,$B35)/1000)</f>
        <v>2452.94503181</v>
      </c>
      <c r="O35" s="11">
        <f>IF(O$3=0,"",SUMIFS(INDEX(Inputs!$D$4:$AG$200,0,MATCH(O$2,Inputs!$D$2:$AG$2,0)),Inputs!$B$4:$B$200,$B35)/1000)</f>
        <v>2518.793</v>
      </c>
      <c r="P35" s="11">
        <f>IF(P$3=0,"",SUMIFS(INDEX(Inputs!$D$4:$AG$200,0,MATCH(P$2,Inputs!$D$2:$AG$2,0)),Inputs!$B$4:$B$200,$B35)/1000)</f>
        <v>2576.962</v>
      </c>
      <c r="Q35" s="11">
        <f>IF(Q$3=0,"",SUMIFS(INDEX(Inputs!$D$4:$AG$200,0,MATCH(Q$2,Inputs!$D$2:$AG$2,0)),Inputs!$B$4:$B$200,$B35)/1000)</f>
        <v>2868.054</v>
      </c>
      <c r="R35" s="12">
        <f>IF(Q35="","",Q35)</f>
        <v>2868.054</v>
      </c>
      <c r="S35" s="11">
        <f>IF(S$3=0,"",SUMIFS(INDEX(Inputs!$D$4:$AG$200,0,MATCH(S$2,Inputs!$D$2:$AG$2,0)),Inputs!$B$4:$B$200,$B35)/1000)</f>
        <v>2819.657</v>
      </c>
      <c r="T35" s="11">
        <f>IF(T$3=0,"",SUMIFS(INDEX(Inputs!$D$4:$AG$200,0,MATCH(T$2,Inputs!$D$2:$AG$2,0)),Inputs!$B$4:$B$200,$B35)/1000)</f>
        <v>3812.108</v>
      </c>
      <c r="U35" s="11">
        <f>IF(U$3=0,"",SUMIFS(INDEX(Inputs!$D$4:$AG$200,0,MATCH(U$2,Inputs!$D$2:$AG$2,0)),Inputs!$B$4:$B$200,$B35)/1000)</f>
        <v>3555.55</v>
      </c>
      <c r="V35" s="11">
        <f>IF(V$3=0,"",SUMIFS(INDEX(Inputs!$D$4:$AG$200,0,MATCH(V$2,Inputs!$D$2:$AG$2,0)),Inputs!$B$4:$B$200,$B35)/1000)</f>
        <v>4200.124</v>
      </c>
      <c r="W35" s="12">
        <f>IF(V35="","",V35)</f>
        <v>4200.124</v>
      </c>
      <c r="X35" s="11">
        <f>IF(X$3=0,"",SUMIFS(INDEX(Inputs!$D$4:$AG$200,0,MATCH(X$2,Inputs!$D$2:$AG$2,0)),Inputs!$B$4:$B$200,$B35)/1000)</f>
        <v>4186.740699</v>
      </c>
      <c r="Y35" s="11">
        <f>IF(Y$3=0,"",SUMIFS(INDEX(Inputs!$D$4:$AG$200,0,MATCH(Y$2,Inputs!$D$2:$AG$2,0)),Inputs!$B$4:$B$200,$B35)/1000)</f>
        <v>4222.39</v>
      </c>
      <c r="Z35" s="11">
        <f>IF(Z$3=0,"",SUMIFS(INDEX(Inputs!$D$4:$AG$200,0,MATCH(Z$2,Inputs!$D$2:$AG$2,0)),Inputs!$B$4:$B$200,$B35)/1000)</f>
        <v>4236.285</v>
      </c>
      <c r="AA35" s="11">
        <f>IF(AA$3=0,"",SUMIFS(INDEX(Inputs!$D$4:$AG$200,0,MATCH(AA$2,Inputs!$D$2:$AG$2,0)),Inputs!$B$4:$B$200,$B35)/1000)</f>
        <v>4146.397</v>
      </c>
      <c r="AB35" s="12">
        <f>IF(AA35="","",AA35)</f>
        <v>4146.397</v>
      </c>
      <c r="AC35" s="11">
        <f>IF(AC$3=0,"",SUMIFS(INDEX(Inputs!$D$4:$AG$200,0,MATCH(AC$2,Inputs!$D$2:$AG$2,0)),Inputs!$B$4:$B$200,$B35)/1000)</f>
        <v>4160.239</v>
      </c>
      <c r="AD35" s="11">
        <f>IF(AD$3=0,"",SUMIFS(INDEX(Inputs!$D$4:$AG$200,0,MATCH(AD$2,Inputs!$D$2:$AG$2,0)),Inputs!$B$4:$B$200,$B35)/1000)</f>
        <v>3792.502</v>
      </c>
      <c r="AE35" s="11" t="str">
        <f>IF(AE$3=0,"",SUMIFS(INDEX(Inputs!$D$4:$AG$200,0,MATCH(AE$2,Inputs!$D$2:$AG$2,0)),Inputs!$B$4:$B$200,$B35)/1000)</f>
        <v/>
      </c>
      <c r="AF35" s="11" t="str">
        <f>IF(AF$3=0,"",SUMIFS(INDEX(Inputs!$D$4:$AG$200,0,MATCH(AF$2,Inputs!$D$2:$AG$2,0)),Inputs!$B$4:$B$200,$B35)/1000)</f>
        <v/>
      </c>
      <c r="AG35" s="12" t="str">
        <f>IF(AF35="","",AF35)</f>
        <v/>
      </c>
    </row>
    <row r="36">
      <c r="B36" s="9" t="n">
        <v>31</v>
      </c>
      <c r="C36" s="14" t="inlineStr">
        <is>
          <t>Long term operating leases</t>
        </is>
      </c>
      <c r="D36" s="11">
        <f>IF(D$3=0,"",SUMIFS(INDEX(Inputs!$D$4:$AG$200,0,MATCH(D$2,Inputs!$D$2:$AG$2,0)),Inputs!$B$4:$B$200,$B36)/1000)</f>
        <v>653.30756924</v>
      </c>
      <c r="E36" s="11">
        <f>IF(E$3=0,"",SUMIFS(INDEX(Inputs!$D$4:$AG$200,0,MATCH(E$2,Inputs!$D$2:$AG$2,0)),Inputs!$B$4:$B$200,$B36)/1000)</f>
        <v>637.70299012</v>
      </c>
      <c r="F36" s="11">
        <f>IF(F$3=0,"",SUMIFS(INDEX(Inputs!$D$4:$AG$200,0,MATCH(F$2,Inputs!$D$2:$AG$2,0)),Inputs!$B$4:$B$200,$B36)/1000)</f>
        <v>660.67497517</v>
      </c>
      <c r="G36" s="11">
        <f>IF(G$3=0,"",SUMIFS(INDEX(Inputs!$D$4:$AG$200,0,MATCH(G$2,Inputs!$D$2:$AG$2,0)),Inputs!$B$4:$B$200,$B36)/1000)</f>
        <v>694.57460451</v>
      </c>
      <c r="H36" s="12">
        <f>IF(G36="","",G36)</f>
        <v>694.57460451</v>
      </c>
      <c r="I36" s="11">
        <f>IF(I$3=0,"",SUMIFS(INDEX(Inputs!$D$4:$AG$200,0,MATCH(I$2,Inputs!$D$2:$AG$2,0)),Inputs!$B$4:$B$200,$B36)/1000)</f>
        <v>731.44314163</v>
      </c>
      <c r="J36" s="11">
        <f>IF(J$3=0,"",SUMIFS(INDEX(Inputs!$D$4:$AG$200,0,MATCH(J$2,Inputs!$D$2:$AG$2,0)),Inputs!$B$4:$B$200,$B36)/1000)</f>
        <v>754.21563203</v>
      </c>
      <c r="K36" s="11">
        <f>IF(K$3=0,"",SUMIFS(INDEX(Inputs!$D$4:$AG$200,0,MATCH(K$2,Inputs!$D$2:$AG$2,0)),Inputs!$B$4:$B$200,$B36)/1000)</f>
        <v>735.36389905</v>
      </c>
      <c r="L36" s="11">
        <f>IF(L$3=0,"",SUMIFS(INDEX(Inputs!$D$4:$AG$200,0,MATCH(L$2,Inputs!$D$2:$AG$2,0)),Inputs!$B$4:$B$200,$B36)/1000)</f>
        <v>943.34829983</v>
      </c>
      <c r="M36" s="12">
        <f>IF(L36="","",L36)</f>
        <v>943.34829983</v>
      </c>
      <c r="N36" s="11">
        <f>IF(N$3=0,"",SUMIFS(INDEX(Inputs!$D$4:$AG$200,0,MATCH(N$2,Inputs!$D$2:$AG$2,0)),Inputs!$B$4:$B$200,$B36)/1000)</f>
        <v>928.19154368</v>
      </c>
      <c r="O36" s="11">
        <f>IF(O$3=0,"",SUMIFS(INDEX(Inputs!$D$4:$AG$200,0,MATCH(O$2,Inputs!$D$2:$AG$2,0)),Inputs!$B$4:$B$200,$B36)/1000)</f>
        <v>1191.85</v>
      </c>
      <c r="P36" s="11">
        <f>IF(P$3=0,"",SUMIFS(INDEX(Inputs!$D$4:$AG$200,0,MATCH(P$2,Inputs!$D$2:$AG$2,0)),Inputs!$B$4:$B$200,$B36)/1000)</f>
        <v>1167.495</v>
      </c>
      <c r="Q36" s="11">
        <f>IF(Q$3=0,"",SUMIFS(INDEX(Inputs!$D$4:$AG$200,0,MATCH(Q$2,Inputs!$D$2:$AG$2,0)),Inputs!$B$4:$B$200,$B36)/1000)</f>
        <v>1159.409</v>
      </c>
      <c r="R36" s="12">
        <f>IF(Q36="","",Q36)</f>
        <v>1159.409</v>
      </c>
      <c r="S36" s="11">
        <f>IF(S$3=0,"",SUMIFS(INDEX(Inputs!$D$4:$AG$200,0,MATCH(S$2,Inputs!$D$2:$AG$2,0)),Inputs!$B$4:$B$200,$B36)/1000)</f>
        <v>1112.521</v>
      </c>
      <c r="T36" s="11">
        <f>IF(T$3=0,"",SUMIFS(INDEX(Inputs!$D$4:$AG$200,0,MATCH(T$2,Inputs!$D$2:$AG$2,0)),Inputs!$B$4:$B$200,$B36)/1000)</f>
        <v>1061.775</v>
      </c>
      <c r="U36" s="11">
        <f>IF(U$3=0,"",SUMIFS(INDEX(Inputs!$D$4:$AG$200,0,MATCH(U$2,Inputs!$D$2:$AG$2,0)),Inputs!$B$4:$B$200,$B36)/1000)</f>
        <v>1015.306</v>
      </c>
      <c r="V36" s="11">
        <f>IF(V$3=0,"",SUMIFS(INDEX(Inputs!$D$4:$AG$200,0,MATCH(V$2,Inputs!$D$2:$AG$2,0)),Inputs!$B$4:$B$200,$B36)/1000)</f>
        <v>995.637</v>
      </c>
      <c r="W36" s="12">
        <f>IF(V36="","",V36)</f>
        <v>995.637</v>
      </c>
      <c r="X36" s="11">
        <f>IF(X$3=0,"",SUMIFS(INDEX(Inputs!$D$4:$AG$200,0,MATCH(X$2,Inputs!$D$2:$AG$2,0)),Inputs!$B$4:$B$200,$B36)/1000)</f>
        <v>977.075</v>
      </c>
      <c r="Y36" s="11">
        <f>IF(Y$3=0,"",SUMIFS(INDEX(Inputs!$D$4:$AG$200,0,MATCH(Y$2,Inputs!$D$2:$AG$2,0)),Inputs!$B$4:$B$200,$B36)/1000)</f>
        <v>936.924</v>
      </c>
      <c r="Z36" s="11">
        <f>IF(Z$3=0,"",SUMIFS(INDEX(Inputs!$D$4:$AG$200,0,MATCH(Z$2,Inputs!$D$2:$AG$2,0)),Inputs!$B$4:$B$200,$B36)/1000)</f>
        <v>935.366</v>
      </c>
      <c r="AA36" s="11">
        <f>IF(AA$3=0,"",SUMIFS(INDEX(Inputs!$D$4:$AG$200,0,MATCH(AA$2,Inputs!$D$2:$AG$2,0)),Inputs!$B$4:$B$200,$B36)/1000)</f>
        <v>922.242</v>
      </c>
      <c r="AB36" s="12">
        <f>IF(AA36="","",AA36)</f>
        <v>922.242</v>
      </c>
      <c r="AC36" s="11">
        <f>IF(AC$3=0,"",SUMIFS(INDEX(Inputs!$D$4:$AG$200,0,MATCH(AC$2,Inputs!$D$2:$AG$2,0)),Inputs!$B$4:$B$200,$B36)/1000)</f>
        <v>910.562</v>
      </c>
      <c r="AD36" s="11">
        <f>IF(AD$3=0,"",SUMIFS(INDEX(Inputs!$D$4:$AG$200,0,MATCH(AD$2,Inputs!$D$2:$AG$2,0)),Inputs!$B$4:$B$200,$B36)/1000)</f>
        <v>1041.536</v>
      </c>
      <c r="AE36" s="11" t="str">
        <f>IF(AE$3=0,"",SUMIFS(INDEX(Inputs!$D$4:$AG$200,0,MATCH(AE$2,Inputs!$D$2:$AG$2,0)),Inputs!$B$4:$B$200,$B36)/1000)</f>
        <v/>
      </c>
      <c r="AF36" s="11" t="str">
        <f>IF(AF$3=0,"",SUMIFS(INDEX(Inputs!$D$4:$AG$200,0,MATCH(AF$2,Inputs!$D$2:$AG$2,0)),Inputs!$B$4:$B$200,$B36)/1000)</f>
        <v/>
      </c>
      <c r="AG36" s="12" t="str">
        <f>IF(AF36="","",AF36)</f>
        <v/>
      </c>
    </row>
    <row r="37">
      <c r="B37" s="9" t="n">
        <v>32</v>
      </c>
      <c r="C37" s="14" t="inlineStr">
        <is>
          <t>Convertible debt</t>
        </is>
      </c>
      <c r="D37" s="11">
        <f>IF(D$3=0,"",SUMIFS(INDEX(Inputs!$D$4:$AG$200,0,MATCH(D$2,Inputs!$D$2:$AG$2,0)),Inputs!$B$4:$B$200,$B37)/1000)</f>
        <v>0</v>
      </c>
      <c r="E37" s="11">
        <f>IF(E$3=0,"",SUMIFS(INDEX(Inputs!$D$4:$AG$200,0,MATCH(E$2,Inputs!$D$2:$AG$2,0)),Inputs!$B$4:$B$200,$B37)/1000)</f>
        <v>0</v>
      </c>
      <c r="F37" s="11">
        <f>IF(F$3=0,"",SUMIFS(INDEX(Inputs!$D$4:$AG$200,0,MATCH(F$2,Inputs!$D$2:$AG$2,0)),Inputs!$B$4:$B$200,$B37)/1000)</f>
        <v>0</v>
      </c>
      <c r="G37" s="11">
        <f>IF(G$3=0,"",SUMIFS(INDEX(Inputs!$D$4:$AG$200,0,MATCH(G$2,Inputs!$D$2:$AG$2,0)),Inputs!$B$4:$B$200,$B37)/1000)</f>
        <v>0</v>
      </c>
      <c r="H37" s="12">
        <f>IF(G37="","",G37)</f>
        <v>0</v>
      </c>
      <c r="I37" s="11">
        <f>IF(I$3=0,"",SUMIFS(INDEX(Inputs!$D$4:$AG$200,0,MATCH(I$2,Inputs!$D$2:$AG$2,0)),Inputs!$B$4:$B$200,$B37)/1000)</f>
        <v>0</v>
      </c>
      <c r="J37" s="11">
        <f>IF(J$3=0,"",SUMIFS(INDEX(Inputs!$D$4:$AG$200,0,MATCH(J$2,Inputs!$D$2:$AG$2,0)),Inputs!$B$4:$B$200,$B37)/1000)</f>
        <v>0</v>
      </c>
      <c r="K37" s="11">
        <f>IF(K$3=0,"",SUMIFS(INDEX(Inputs!$D$4:$AG$200,0,MATCH(K$2,Inputs!$D$2:$AG$2,0)),Inputs!$B$4:$B$200,$B37)/1000)</f>
        <v>0</v>
      </c>
      <c r="L37" s="11">
        <f>IF(L$3=0,"",SUMIFS(INDEX(Inputs!$D$4:$AG$200,0,MATCH(L$2,Inputs!$D$2:$AG$2,0)),Inputs!$B$4:$B$200,$B37)/1000)</f>
        <v>0</v>
      </c>
      <c r="M37" s="12">
        <f>IF(L37="","",L37)</f>
        <v>0</v>
      </c>
      <c r="N37" s="11">
        <f>IF(N$3=0,"",SUMIFS(INDEX(Inputs!$D$4:$AG$200,0,MATCH(N$2,Inputs!$D$2:$AG$2,0)),Inputs!$B$4:$B$200,$B37)/1000)</f>
        <v>0</v>
      </c>
      <c r="O37" s="11">
        <f>IF(O$3=0,"",SUMIFS(INDEX(Inputs!$D$4:$AG$200,0,MATCH(O$2,Inputs!$D$2:$AG$2,0)),Inputs!$B$4:$B$200,$B37)/1000)</f>
        <v>0</v>
      </c>
      <c r="P37" s="11">
        <f>IF(P$3=0,"",SUMIFS(INDEX(Inputs!$D$4:$AG$200,0,MATCH(P$2,Inputs!$D$2:$AG$2,0)),Inputs!$B$4:$B$200,$B37)/1000)</f>
        <v>0</v>
      </c>
      <c r="Q37" s="11">
        <f>IF(Q$3=0,"",SUMIFS(INDEX(Inputs!$D$4:$AG$200,0,MATCH(Q$2,Inputs!$D$2:$AG$2,0)),Inputs!$B$4:$B$200,$B37)/1000)</f>
        <v>0</v>
      </c>
      <c r="R37" s="12">
        <f>IF(Q37="","",Q37)</f>
        <v>0</v>
      </c>
      <c r="S37" s="11">
        <f>IF(S$3=0,"",SUMIFS(INDEX(Inputs!$D$4:$AG$200,0,MATCH(S$2,Inputs!$D$2:$AG$2,0)),Inputs!$B$4:$B$200,$B37)/1000)</f>
        <v>0</v>
      </c>
      <c r="T37" s="11">
        <f>IF(T$3=0,"",SUMIFS(INDEX(Inputs!$D$4:$AG$200,0,MATCH(T$2,Inputs!$D$2:$AG$2,0)),Inputs!$B$4:$B$200,$B37)/1000)</f>
        <v>0</v>
      </c>
      <c r="U37" s="11">
        <f>IF(U$3=0,"",SUMIFS(INDEX(Inputs!$D$4:$AG$200,0,MATCH(U$2,Inputs!$D$2:$AG$2,0)),Inputs!$B$4:$B$200,$B37)/1000)</f>
        <v>0</v>
      </c>
      <c r="V37" s="11">
        <f>IF(V$3=0,"",SUMIFS(INDEX(Inputs!$D$4:$AG$200,0,MATCH(V$2,Inputs!$D$2:$AG$2,0)),Inputs!$B$4:$B$200,$B37)/1000)</f>
        <v>0</v>
      </c>
      <c r="W37" s="12">
        <f>IF(V37="","",V37)</f>
        <v>0</v>
      </c>
      <c r="X37" s="11">
        <f>IF(X$3=0,"",SUMIFS(INDEX(Inputs!$D$4:$AG$200,0,MATCH(X$2,Inputs!$D$2:$AG$2,0)),Inputs!$B$4:$B$200,$B37)/1000)</f>
        <v>0</v>
      </c>
      <c r="Y37" s="11">
        <f>IF(Y$3=0,"",SUMIFS(INDEX(Inputs!$D$4:$AG$200,0,MATCH(Y$2,Inputs!$D$2:$AG$2,0)),Inputs!$B$4:$B$200,$B37)/1000)</f>
        <v>0</v>
      </c>
      <c r="Z37" s="11">
        <f>IF(Z$3=0,"",SUMIFS(INDEX(Inputs!$D$4:$AG$200,0,MATCH(Z$2,Inputs!$D$2:$AG$2,0)),Inputs!$B$4:$B$200,$B37)/1000)</f>
        <v>0</v>
      </c>
      <c r="AA37" s="11">
        <f>IF(AA$3=0,"",SUMIFS(INDEX(Inputs!$D$4:$AG$200,0,MATCH(AA$2,Inputs!$D$2:$AG$2,0)),Inputs!$B$4:$B$200,$B37)/1000)</f>
        <v>0</v>
      </c>
      <c r="AB37" s="12">
        <f>IF(AA37="","",AA37)</f>
        <v>0</v>
      </c>
      <c r="AC37" s="11">
        <f>IF(AC$3=0,"",SUMIFS(INDEX(Inputs!$D$4:$AG$200,0,MATCH(AC$2,Inputs!$D$2:$AG$2,0)),Inputs!$B$4:$B$200,$B37)/1000)</f>
        <v>0</v>
      </c>
      <c r="AD37" s="11">
        <f>IF(AD$3=0,"",SUMIFS(INDEX(Inputs!$D$4:$AG$200,0,MATCH(AD$2,Inputs!$D$2:$AG$2,0)),Inputs!$B$4:$B$200,$B37)/1000)</f>
        <v>0</v>
      </c>
      <c r="AE37" s="11" t="str">
        <f>IF(AE$3=0,"",SUMIFS(INDEX(Inputs!$D$4:$AG$200,0,MATCH(AE$2,Inputs!$D$2:$AG$2,0)),Inputs!$B$4:$B$200,$B37)/1000)</f>
        <v/>
      </c>
      <c r="AF37" s="11" t="str">
        <f>IF(AF$3=0,"",SUMIFS(INDEX(Inputs!$D$4:$AG$200,0,MATCH(AF$2,Inputs!$D$2:$AG$2,0)),Inputs!$B$4:$B$200,$B37)/1000)</f>
        <v/>
      </c>
      <c r="AG37" s="12" t="str">
        <f>IF(AF37="","",AF37)</f>
        <v/>
      </c>
    </row>
    <row r="38">
      <c r="B38" s="9" t="n">
        <v>33</v>
      </c>
      <c r="C38" s="14" t="inlineStr">
        <is>
          <t>Deferred income taxes</t>
        </is>
      </c>
      <c r="D38" s="11">
        <f>IF(D$3=0,"",SUMIFS(INDEX(Inputs!$D$4:$AG$200,0,MATCH(D$2,Inputs!$D$2:$AG$2,0)),Inputs!$B$4:$B$200,$B38)/1000)</f>
        <v>467.16584292</v>
      </c>
      <c r="E38" s="11">
        <f>IF(E$3=0,"",SUMIFS(INDEX(Inputs!$D$4:$AG$200,0,MATCH(E$2,Inputs!$D$2:$AG$2,0)),Inputs!$B$4:$B$200,$B38)/1000)</f>
        <v>466.67550792</v>
      </c>
      <c r="F38" s="11">
        <f>IF(F$3=0,"",SUMIFS(INDEX(Inputs!$D$4:$AG$200,0,MATCH(F$2,Inputs!$D$2:$AG$2,0)),Inputs!$B$4:$B$200,$B38)/1000)</f>
        <v>465.94036794</v>
      </c>
      <c r="G38" s="11">
        <f>IF(G$3=0,"",SUMIFS(INDEX(Inputs!$D$4:$AG$200,0,MATCH(G$2,Inputs!$D$2:$AG$2,0)),Inputs!$B$4:$B$200,$B38)/1000)</f>
        <v>397.561</v>
      </c>
      <c r="H38" s="12">
        <f>IF(G38="","",G38)</f>
        <v>397.561</v>
      </c>
      <c r="I38" s="11">
        <f>IF(I$3=0,"",SUMIFS(INDEX(Inputs!$D$4:$AG$200,0,MATCH(I$2,Inputs!$D$2:$AG$2,0)),Inputs!$B$4:$B$200,$B38)/1000)</f>
        <v>410.47774333</v>
      </c>
      <c r="J38" s="11">
        <f>IF(J$3=0,"",SUMIFS(INDEX(Inputs!$D$4:$AG$200,0,MATCH(J$2,Inputs!$D$2:$AG$2,0)),Inputs!$B$4:$B$200,$B38)/1000)</f>
        <v>508.20410198</v>
      </c>
      <c r="K38" s="11">
        <f>IF(K$3=0,"",SUMIFS(INDEX(Inputs!$D$4:$AG$200,0,MATCH(K$2,Inputs!$D$2:$AG$2,0)),Inputs!$B$4:$B$200,$B38)/1000)</f>
        <v>510.90411053</v>
      </c>
      <c r="L38" s="11">
        <f>IF(L$3=0,"",SUMIFS(INDEX(Inputs!$D$4:$AG$200,0,MATCH(L$2,Inputs!$D$2:$AG$2,0)),Inputs!$B$4:$B$200,$B38)/1000)</f>
        <v>397.58912424</v>
      </c>
      <c r="M38" s="12">
        <f>IF(L38="","",L38)</f>
        <v>397.58912424</v>
      </c>
      <c r="N38" s="11">
        <f>IF(N$3=0,"",SUMIFS(INDEX(Inputs!$D$4:$AG$200,0,MATCH(N$2,Inputs!$D$2:$AG$2,0)),Inputs!$B$4:$B$200,$B38)/1000)</f>
        <v>403.13935572</v>
      </c>
      <c r="O38" s="11">
        <f>IF(O$3=0,"",SUMIFS(INDEX(Inputs!$D$4:$AG$200,0,MATCH(O$2,Inputs!$D$2:$AG$2,0)),Inputs!$B$4:$B$200,$B38)/1000)</f>
        <v>570.569</v>
      </c>
      <c r="P38" s="11">
        <f>IF(P$3=0,"",SUMIFS(INDEX(Inputs!$D$4:$AG$200,0,MATCH(P$2,Inputs!$D$2:$AG$2,0)),Inputs!$B$4:$B$200,$B38)/1000)</f>
        <v>549.898</v>
      </c>
      <c r="Q38" s="11">
        <f>IF(Q$3=0,"",SUMIFS(INDEX(Inputs!$D$4:$AG$200,0,MATCH(Q$2,Inputs!$D$2:$AG$2,0)),Inputs!$B$4:$B$200,$B38)/1000)</f>
        <v>580.533</v>
      </c>
      <c r="R38" s="12">
        <f>IF(Q38="","",Q38)</f>
        <v>580.533</v>
      </c>
      <c r="S38" s="11">
        <f>IF(S$3=0,"",SUMIFS(INDEX(Inputs!$D$4:$AG$200,0,MATCH(S$2,Inputs!$D$2:$AG$2,0)),Inputs!$B$4:$B$200,$B38)/1000)</f>
        <v>576.753</v>
      </c>
      <c r="T38" s="11">
        <f>IF(T$3=0,"",SUMIFS(INDEX(Inputs!$D$4:$AG$200,0,MATCH(T$2,Inputs!$D$2:$AG$2,0)),Inputs!$B$4:$B$200,$B38)/1000)</f>
        <v>551.446</v>
      </c>
      <c r="U38" s="11">
        <f>IF(U$3=0,"",SUMIFS(INDEX(Inputs!$D$4:$AG$200,0,MATCH(U$2,Inputs!$D$2:$AG$2,0)),Inputs!$B$4:$B$200,$B38)/1000)</f>
        <v>581.485</v>
      </c>
      <c r="V38" s="11">
        <f>IF(V$3=0,"",SUMIFS(INDEX(Inputs!$D$4:$AG$200,0,MATCH(V$2,Inputs!$D$2:$AG$2,0)),Inputs!$B$4:$B$200,$B38)/1000)</f>
        <v>571.796</v>
      </c>
      <c r="W38" s="12">
        <f>IF(V38="","",V38)</f>
        <v>571.796</v>
      </c>
      <c r="X38" s="11">
        <f>IF(X$3=0,"",SUMIFS(INDEX(Inputs!$D$4:$AG$200,0,MATCH(X$2,Inputs!$D$2:$AG$2,0)),Inputs!$B$4:$B$200,$B38)/1000)</f>
        <v>580.326605</v>
      </c>
      <c r="Y38" s="11">
        <f>IF(Y$3=0,"",SUMIFS(INDEX(Inputs!$D$4:$AG$200,0,MATCH(Y$2,Inputs!$D$2:$AG$2,0)),Inputs!$B$4:$B$200,$B38)/1000)</f>
        <v>525.619</v>
      </c>
      <c r="Z38" s="11">
        <f>IF(Z$3=0,"",SUMIFS(INDEX(Inputs!$D$4:$AG$200,0,MATCH(Z$2,Inputs!$D$2:$AG$2,0)),Inputs!$B$4:$B$200,$B38)/1000)</f>
        <v>543.129</v>
      </c>
      <c r="AA38" s="11">
        <f>IF(AA$3=0,"",SUMIFS(INDEX(Inputs!$D$4:$AG$200,0,MATCH(AA$2,Inputs!$D$2:$AG$2,0)),Inputs!$B$4:$B$200,$B38)/1000)</f>
        <v>557.54</v>
      </c>
      <c r="AB38" s="12">
        <f>IF(AA38="","",AA38)</f>
        <v>557.54</v>
      </c>
      <c r="AC38" s="11">
        <f>IF(AC$3=0,"",SUMIFS(INDEX(Inputs!$D$4:$AG$200,0,MATCH(AC$2,Inputs!$D$2:$AG$2,0)),Inputs!$B$4:$B$200,$B38)/1000)</f>
        <v>555.293</v>
      </c>
      <c r="AD38" s="11">
        <f>IF(AD$3=0,"",SUMIFS(INDEX(Inputs!$D$4:$AG$200,0,MATCH(AD$2,Inputs!$D$2:$AG$2,0)),Inputs!$B$4:$B$200,$B38)/1000)</f>
        <v>527.353</v>
      </c>
      <c r="AE38" s="11" t="str">
        <f>IF(AE$3=0,"",SUMIFS(INDEX(Inputs!$D$4:$AG$200,0,MATCH(AE$2,Inputs!$D$2:$AG$2,0)),Inputs!$B$4:$B$200,$B38)/1000)</f>
        <v/>
      </c>
      <c r="AF38" s="11" t="str">
        <f>IF(AF$3=0,"",SUMIFS(INDEX(Inputs!$D$4:$AG$200,0,MATCH(AF$2,Inputs!$D$2:$AG$2,0)),Inputs!$B$4:$B$200,$B38)/1000)</f>
        <v/>
      </c>
      <c r="AG38" s="12" t="str">
        <f>IF(AF38="","",AF38)</f>
        <v/>
      </c>
    </row>
    <row r="39">
      <c r="B39" s="9" t="n">
        <v>34</v>
      </c>
      <c r="C39" s="14" t="inlineStr">
        <is>
          <t>Other non-current liabilities</t>
        </is>
      </c>
      <c r="D39" s="11">
        <f>IF(D$3=0,"",SUMIFS(INDEX(Inputs!$D$4:$AG$200,0,MATCH(D$2,Inputs!$D$2:$AG$2,0)),Inputs!$B$4:$B$200,$B39)/1000)</f>
        <v>60.90531905</v>
      </c>
      <c r="E39" s="11">
        <f>IF(E$3=0,"",SUMIFS(INDEX(Inputs!$D$4:$AG$200,0,MATCH(E$2,Inputs!$D$2:$AG$2,0)),Inputs!$B$4:$B$200,$B39)/1000)</f>
        <v>52.72060044</v>
      </c>
      <c r="F39" s="11">
        <f>IF(F$3=0,"",SUMIFS(INDEX(Inputs!$D$4:$AG$200,0,MATCH(F$2,Inputs!$D$2:$AG$2,0)),Inputs!$B$4:$B$200,$B39)/1000)</f>
        <v>55.92235634</v>
      </c>
      <c r="G39" s="11">
        <f>IF(G$3=0,"",SUMIFS(INDEX(Inputs!$D$4:$AG$200,0,MATCH(G$2,Inputs!$D$2:$AG$2,0)),Inputs!$B$4:$B$200,$B39)/1000)</f>
        <v>52.20629518</v>
      </c>
      <c r="H39" s="12">
        <f>IF(G39="","",G39)</f>
        <v>52.20629518</v>
      </c>
      <c r="I39" s="11">
        <f>IF(I$3=0,"",SUMIFS(INDEX(Inputs!$D$4:$AG$200,0,MATCH(I$2,Inputs!$D$2:$AG$2,0)),Inputs!$B$4:$B$200,$B39)/1000)</f>
        <v>49.74992499</v>
      </c>
      <c r="J39" s="11">
        <f>IF(J$3=0,"",SUMIFS(INDEX(Inputs!$D$4:$AG$200,0,MATCH(J$2,Inputs!$D$2:$AG$2,0)),Inputs!$B$4:$B$200,$B39)/1000)</f>
        <v>47.76909873</v>
      </c>
      <c r="K39" s="11">
        <f>IF(K$3=0,"",SUMIFS(INDEX(Inputs!$D$4:$AG$200,0,MATCH(K$2,Inputs!$D$2:$AG$2,0)),Inputs!$B$4:$B$200,$B39)/1000)</f>
        <v>40.48209641</v>
      </c>
      <c r="L39" s="11">
        <f>IF(L$3=0,"",SUMIFS(INDEX(Inputs!$D$4:$AG$200,0,MATCH(L$2,Inputs!$D$2:$AG$2,0)),Inputs!$B$4:$B$200,$B39)/1000)</f>
        <v>40.36976695</v>
      </c>
      <c r="M39" s="12">
        <f>IF(L39="","",L39)</f>
        <v>40.36976695</v>
      </c>
      <c r="N39" s="11">
        <f>IF(N$3=0,"",SUMIFS(INDEX(Inputs!$D$4:$AG$200,0,MATCH(N$2,Inputs!$D$2:$AG$2,0)),Inputs!$B$4:$B$200,$B39)/1000)</f>
        <v>36.41807566</v>
      </c>
      <c r="O39" s="11">
        <f>IF(O$3=0,"",SUMIFS(INDEX(Inputs!$D$4:$AG$200,0,MATCH(O$2,Inputs!$D$2:$AG$2,0)),Inputs!$B$4:$B$200,$B39)/1000)</f>
        <v>127.709</v>
      </c>
      <c r="P39" s="11">
        <f>IF(P$3=0,"",SUMIFS(INDEX(Inputs!$D$4:$AG$200,0,MATCH(P$2,Inputs!$D$2:$AG$2,0)),Inputs!$B$4:$B$200,$B39)/1000)</f>
        <v>128.664</v>
      </c>
      <c r="Q39" s="11">
        <f>IF(Q$3=0,"",SUMIFS(INDEX(Inputs!$D$4:$AG$200,0,MATCH(Q$2,Inputs!$D$2:$AG$2,0)),Inputs!$B$4:$B$200,$B39)/1000)</f>
        <v>174.286</v>
      </c>
      <c r="R39" s="12">
        <f>IF(Q39="","",Q39)</f>
        <v>174.286</v>
      </c>
      <c r="S39" s="11">
        <f>IF(S$3=0,"",SUMIFS(INDEX(Inputs!$D$4:$AG$200,0,MATCH(S$2,Inputs!$D$2:$AG$2,0)),Inputs!$B$4:$B$200,$B39)/1000)</f>
        <v>179.40258127</v>
      </c>
      <c r="T39" s="11">
        <f>IF(T$3=0,"",SUMIFS(INDEX(Inputs!$D$4:$AG$200,0,MATCH(T$2,Inputs!$D$2:$AG$2,0)),Inputs!$B$4:$B$200,$B39)/1000)</f>
        <v>171.295</v>
      </c>
      <c r="U39" s="11">
        <f>IF(U$3=0,"",SUMIFS(INDEX(Inputs!$D$4:$AG$200,0,MATCH(U$2,Inputs!$D$2:$AG$2,0)),Inputs!$B$4:$B$200,$B39)/1000)</f>
        <v>179.941</v>
      </c>
      <c r="V39" s="11">
        <f>IF(V$3=0,"",SUMIFS(INDEX(Inputs!$D$4:$AG$200,0,MATCH(V$2,Inputs!$D$2:$AG$2,0)),Inputs!$B$4:$B$200,$B39)/1000)</f>
        <v>177.209</v>
      </c>
      <c r="W39" s="12">
        <f>IF(V39="","",V39)</f>
        <v>177.209</v>
      </c>
      <c r="X39" s="11">
        <f>IF(X$3=0,"",SUMIFS(INDEX(Inputs!$D$4:$AG$200,0,MATCH(X$2,Inputs!$D$2:$AG$2,0)),Inputs!$B$4:$B$200,$B39)/1000)</f>
        <v>171.74576819</v>
      </c>
      <c r="Y39" s="11">
        <f>IF(Y$3=0,"",SUMIFS(INDEX(Inputs!$D$4:$AG$200,0,MATCH(Y$2,Inputs!$D$2:$AG$2,0)),Inputs!$B$4:$B$200,$B39)/1000)</f>
        <v>174.042</v>
      </c>
      <c r="Z39" s="11">
        <f>IF(Z$3=0,"",SUMIFS(INDEX(Inputs!$D$4:$AG$200,0,MATCH(Z$2,Inputs!$D$2:$AG$2,0)),Inputs!$B$4:$B$200,$B39)/1000)</f>
        <v>185.673</v>
      </c>
      <c r="AA39" s="11">
        <f>IF(AA$3=0,"",SUMIFS(INDEX(Inputs!$D$4:$AG$200,0,MATCH(AA$2,Inputs!$D$2:$AG$2,0)),Inputs!$B$4:$B$200,$B39)/1000)</f>
        <v>252.354</v>
      </c>
      <c r="AB39" s="12">
        <f>IF(AA39="","",AA39)</f>
        <v>252.354</v>
      </c>
      <c r="AC39" s="11">
        <f>IF(AC$3=0,"",SUMIFS(INDEX(Inputs!$D$4:$AG$200,0,MATCH(AC$2,Inputs!$D$2:$AG$2,0)),Inputs!$B$4:$B$200,$B39)/1000)</f>
        <v>246.17</v>
      </c>
      <c r="AD39" s="11">
        <f>IF(AD$3=0,"",SUMIFS(INDEX(Inputs!$D$4:$AG$200,0,MATCH(AD$2,Inputs!$D$2:$AG$2,0)),Inputs!$B$4:$B$200,$B39)/1000)</f>
        <v>239.753</v>
      </c>
      <c r="AE39" s="11" t="str">
        <f>IF(AE$3=0,"",SUMIFS(INDEX(Inputs!$D$4:$AG$200,0,MATCH(AE$2,Inputs!$D$2:$AG$2,0)),Inputs!$B$4:$B$200,$B39)/1000)</f>
        <v/>
      </c>
      <c r="AF39" s="11" t="str">
        <f>IF(AF$3=0,"",SUMIFS(INDEX(Inputs!$D$4:$AG$200,0,MATCH(AF$2,Inputs!$D$2:$AG$2,0)),Inputs!$B$4:$B$200,$B39)/1000)</f>
        <v/>
      </c>
      <c r="AG39" s="12" t="str">
        <f>IF(AF39="","",AF39)</f>
        <v/>
      </c>
    </row>
    <row r="40">
      <c r="C40" s="3" t="n"/>
    </row>
    <row r="41">
      <c r="B41" s="9" t="n">
        <v>35</v>
      </c>
      <c r="C41" s="14" t="inlineStr">
        <is>
          <t>Minority interest</t>
        </is>
      </c>
      <c r="D41" s="11">
        <f>IF(D$3=0,"",SUMIFS(INDEX(Inputs!$D$4:$AG$200,0,MATCH(D$2,Inputs!$D$2:$AG$2,0)),Inputs!$B$4:$B$200,$B41)/1000)</f>
        <v>0</v>
      </c>
      <c r="E41" s="11">
        <f>IF(E$3=0,"",SUMIFS(INDEX(Inputs!$D$4:$AG$200,0,MATCH(E$2,Inputs!$D$2:$AG$2,0)),Inputs!$B$4:$B$200,$B41)/1000)</f>
        <v>1.33071621</v>
      </c>
      <c r="F41" s="11">
        <f>IF(F$3=0,"",SUMIFS(INDEX(Inputs!$D$4:$AG$200,0,MATCH(F$2,Inputs!$D$2:$AG$2,0)),Inputs!$B$4:$B$200,$B41)/1000)</f>
        <v>2.80354177</v>
      </c>
      <c r="G41" s="11">
        <f>IF(G$3=0,"",SUMIFS(INDEX(Inputs!$D$4:$AG$200,0,MATCH(G$2,Inputs!$D$2:$AG$2,0)),Inputs!$B$4:$B$200,$B41)/1000)</f>
        <v>9.199179645</v>
      </c>
      <c r="H41" s="12">
        <f>IF(G41="","",G41)</f>
        <v>9.199179645</v>
      </c>
      <c r="I41" s="11">
        <f>IF(I$3=0,"",SUMIFS(INDEX(Inputs!$D$4:$AG$200,0,MATCH(I$2,Inputs!$D$2:$AG$2,0)),Inputs!$B$4:$B$200,$B41)/1000)</f>
        <v>9.990717297</v>
      </c>
      <c r="J41" s="11">
        <f>IF(J$3=0,"",SUMIFS(INDEX(Inputs!$D$4:$AG$200,0,MATCH(J$2,Inputs!$D$2:$AG$2,0)),Inputs!$B$4:$B$200,$B41)/1000)</f>
        <v>11.70036526</v>
      </c>
      <c r="K41" s="11">
        <f>IF(K$3=0,"",SUMIFS(INDEX(Inputs!$D$4:$AG$200,0,MATCH(K$2,Inputs!$D$2:$AG$2,0)),Inputs!$B$4:$B$200,$B41)/1000)</f>
        <v>16.59030887</v>
      </c>
      <c r="L41" s="11">
        <f>IF(L$3=0,"",SUMIFS(INDEX(Inputs!$D$4:$AG$200,0,MATCH(L$2,Inputs!$D$2:$AG$2,0)),Inputs!$B$4:$B$200,$B41)/1000)</f>
        <v>19.548874</v>
      </c>
      <c r="M41" s="12">
        <f>IF(L41="","",L41)</f>
        <v>19.548874</v>
      </c>
      <c r="N41" s="11">
        <f>IF(N$3=0,"",SUMIFS(INDEX(Inputs!$D$4:$AG$200,0,MATCH(N$2,Inputs!$D$2:$AG$2,0)),Inputs!$B$4:$B$200,$B41)/1000)</f>
        <v>22.120863</v>
      </c>
      <c r="O41" s="11">
        <f>IF(O$3=0,"",SUMIFS(INDEX(Inputs!$D$4:$AG$200,0,MATCH(O$2,Inputs!$D$2:$AG$2,0)),Inputs!$B$4:$B$200,$B41)/1000)</f>
        <v>13.204</v>
      </c>
      <c r="P41" s="11">
        <f>IF(P$3=0,"",SUMIFS(INDEX(Inputs!$D$4:$AG$200,0,MATCH(P$2,Inputs!$D$2:$AG$2,0)),Inputs!$B$4:$B$200,$B41)/1000)</f>
        <v>14.811</v>
      </c>
      <c r="Q41" s="11">
        <f>IF(Q$3=0,"",SUMIFS(INDEX(Inputs!$D$4:$AG$200,0,MATCH(Q$2,Inputs!$D$2:$AG$2,0)),Inputs!$B$4:$B$200,$B41)/1000)</f>
        <v>27.619</v>
      </c>
      <c r="R41" s="12">
        <f>IF(Q41="","",Q41)</f>
        <v>27.619</v>
      </c>
      <c r="S41" s="11">
        <f>IF(S$3=0,"",SUMIFS(INDEX(Inputs!$D$4:$AG$200,0,MATCH(S$2,Inputs!$D$2:$AG$2,0)),Inputs!$B$4:$B$200,$B41)/1000)</f>
        <v>29.501955374</v>
      </c>
      <c r="T41" s="11">
        <f>IF(T$3=0,"",SUMIFS(INDEX(Inputs!$D$4:$AG$200,0,MATCH(T$2,Inputs!$D$2:$AG$2,0)),Inputs!$B$4:$B$200,$B41)/1000)</f>
        <v>74.196880128</v>
      </c>
      <c r="U41" s="11">
        <f>IF(U$3=0,"",SUMIFS(INDEX(Inputs!$D$4:$AG$200,0,MATCH(U$2,Inputs!$D$2:$AG$2,0)),Inputs!$B$4:$B$200,$B41)/1000)</f>
        <v>85.252</v>
      </c>
      <c r="V41" s="11">
        <f>IF(V$3=0,"",SUMIFS(INDEX(Inputs!$D$4:$AG$200,0,MATCH(V$2,Inputs!$D$2:$AG$2,0)),Inputs!$B$4:$B$200,$B41)/1000)</f>
        <v>85.763</v>
      </c>
      <c r="W41" s="12">
        <f>IF(V41="","",V41)</f>
        <v>85.763</v>
      </c>
      <c r="X41" s="11">
        <f>IF(X$3=0,"",SUMIFS(INDEX(Inputs!$D$4:$AG$200,0,MATCH(X$2,Inputs!$D$2:$AG$2,0)),Inputs!$B$4:$B$200,$B41)/1000)</f>
        <v>93.419046</v>
      </c>
      <c r="Y41" s="11">
        <f>IF(Y$3=0,"",SUMIFS(INDEX(Inputs!$D$4:$AG$200,0,MATCH(Y$2,Inputs!$D$2:$AG$2,0)),Inputs!$B$4:$B$200,$B41)/1000)</f>
        <v>91.417</v>
      </c>
      <c r="Z41" s="11">
        <f>IF(Z$3=0,"",SUMIFS(INDEX(Inputs!$D$4:$AG$200,0,MATCH(Z$2,Inputs!$D$2:$AG$2,0)),Inputs!$B$4:$B$200,$B41)/1000)</f>
        <v>87.661</v>
      </c>
      <c r="AA41" s="11">
        <f>IF(AA$3=0,"",SUMIFS(INDEX(Inputs!$D$4:$AG$200,0,MATCH(AA$2,Inputs!$D$2:$AG$2,0)),Inputs!$B$4:$B$200,$B41)/1000)</f>
        <v>94.928</v>
      </c>
      <c r="AB41" s="12">
        <f>IF(AA41="","",AA41)</f>
        <v>94.928</v>
      </c>
      <c r="AC41" s="11">
        <f>IF(AC$3=0,"",SUMIFS(INDEX(Inputs!$D$4:$AG$200,0,MATCH(AC$2,Inputs!$D$2:$AG$2,0)),Inputs!$B$4:$B$200,$B41)/1000)</f>
        <v>95.02</v>
      </c>
      <c r="AD41" s="11">
        <f>IF(AD$3=0,"",SUMIFS(INDEX(Inputs!$D$4:$AG$200,0,MATCH(AD$2,Inputs!$D$2:$AG$2,0)),Inputs!$B$4:$B$200,$B41)/1000)</f>
        <v>100.794</v>
      </c>
      <c r="AE41" s="11" t="str">
        <f>IF(AE$3=0,"",SUMIFS(INDEX(Inputs!$D$4:$AG$200,0,MATCH(AE$2,Inputs!$D$2:$AG$2,0)),Inputs!$B$4:$B$200,$B41)/1000)</f>
        <v/>
      </c>
      <c r="AF41" s="11" t="str">
        <f>IF(AF$3=0,"",SUMIFS(INDEX(Inputs!$D$4:$AG$200,0,MATCH(AF$2,Inputs!$D$2:$AG$2,0)),Inputs!$B$4:$B$200,$B41)/1000)</f>
        <v/>
      </c>
      <c r="AG41" s="12" t="str">
        <f>IF(AF41="","",AF41)</f>
        <v/>
      </c>
    </row>
    <row r="42">
      <c r="B42" s="9" t="n">
        <v>36</v>
      </c>
      <c r="C42" s="14" t="inlineStr">
        <is>
          <t>Convertible Preferred Stock</t>
        </is>
      </c>
      <c r="D42" s="11">
        <f>IF(D$3=0,"",SUMIFS(INDEX(Inputs!$D$4:$AG$200,0,MATCH(D$2,Inputs!$D$2:$AG$2,0)),Inputs!$B$4:$B$200,$B42)/1000)</f>
        <v>0</v>
      </c>
      <c r="E42" s="11">
        <f>IF(E$3=0,"",SUMIFS(INDEX(Inputs!$D$4:$AG$200,0,MATCH(E$2,Inputs!$D$2:$AG$2,0)),Inputs!$B$4:$B$200,$B42)/1000)</f>
        <v>0</v>
      </c>
      <c r="F42" s="11">
        <f>IF(F$3=0,"",SUMIFS(INDEX(Inputs!$D$4:$AG$200,0,MATCH(F$2,Inputs!$D$2:$AG$2,0)),Inputs!$B$4:$B$200,$B42)/1000)</f>
        <v>0</v>
      </c>
      <c r="G42" s="11">
        <f>IF(G$3=0,"",SUMIFS(INDEX(Inputs!$D$4:$AG$200,0,MATCH(G$2,Inputs!$D$2:$AG$2,0)),Inputs!$B$4:$B$200,$B42)/1000)</f>
        <v>0</v>
      </c>
      <c r="H42" s="12">
        <f>IF(G42="","",G42)</f>
        <v>0</v>
      </c>
      <c r="I42" s="11">
        <f>IF(I$3=0,"",SUMIFS(INDEX(Inputs!$D$4:$AG$200,0,MATCH(I$2,Inputs!$D$2:$AG$2,0)),Inputs!$B$4:$B$200,$B42)/1000)</f>
        <v>0</v>
      </c>
      <c r="J42" s="11">
        <f>IF(J$3=0,"",SUMIFS(INDEX(Inputs!$D$4:$AG$200,0,MATCH(J$2,Inputs!$D$2:$AG$2,0)),Inputs!$B$4:$B$200,$B42)/1000)</f>
        <v>0</v>
      </c>
      <c r="K42" s="11">
        <f>IF(K$3=0,"",SUMIFS(INDEX(Inputs!$D$4:$AG$200,0,MATCH(K$2,Inputs!$D$2:$AG$2,0)),Inputs!$B$4:$B$200,$B42)/1000)</f>
        <v>0</v>
      </c>
      <c r="L42" s="11">
        <f>IF(L$3=0,"",SUMIFS(INDEX(Inputs!$D$4:$AG$200,0,MATCH(L$2,Inputs!$D$2:$AG$2,0)),Inputs!$B$4:$B$200,$B42)/1000)</f>
        <v>0</v>
      </c>
      <c r="M42" s="12">
        <f>IF(L42="","",L42)</f>
        <v>0</v>
      </c>
      <c r="N42" s="11">
        <f>IF(N$3=0,"",SUMIFS(INDEX(Inputs!$D$4:$AG$200,0,MATCH(N$2,Inputs!$D$2:$AG$2,0)),Inputs!$B$4:$B$200,$B42)/1000)</f>
        <v>0</v>
      </c>
      <c r="O42" s="11">
        <f>IF(O$3=0,"",SUMIFS(INDEX(Inputs!$D$4:$AG$200,0,MATCH(O$2,Inputs!$D$2:$AG$2,0)),Inputs!$B$4:$B$200,$B42)/1000)</f>
        <v>0</v>
      </c>
      <c r="P42" s="11">
        <f>IF(P$3=0,"",SUMIFS(INDEX(Inputs!$D$4:$AG$200,0,MATCH(P$2,Inputs!$D$2:$AG$2,0)),Inputs!$B$4:$B$200,$B42)/1000)</f>
        <v>0</v>
      </c>
      <c r="Q42" s="11">
        <f>IF(Q$3=0,"",SUMIFS(INDEX(Inputs!$D$4:$AG$200,0,MATCH(Q$2,Inputs!$D$2:$AG$2,0)),Inputs!$B$4:$B$200,$B42)/1000)</f>
        <v>0</v>
      </c>
      <c r="R42" s="12">
        <f>IF(Q42="","",Q42)</f>
        <v>0</v>
      </c>
      <c r="S42" s="11">
        <f>IF(S$3=0,"",SUMIFS(INDEX(Inputs!$D$4:$AG$200,0,MATCH(S$2,Inputs!$D$2:$AG$2,0)),Inputs!$B$4:$B$200,$B42)/1000)</f>
        <v>0</v>
      </c>
      <c r="T42" s="11">
        <f>IF(T$3=0,"",SUMIFS(INDEX(Inputs!$D$4:$AG$200,0,MATCH(T$2,Inputs!$D$2:$AG$2,0)),Inputs!$B$4:$B$200,$B42)/1000)</f>
        <v>0</v>
      </c>
      <c r="U42" s="11">
        <f>IF(U$3=0,"",SUMIFS(INDEX(Inputs!$D$4:$AG$200,0,MATCH(U$2,Inputs!$D$2:$AG$2,0)),Inputs!$B$4:$B$200,$B42)/1000)</f>
        <v>0</v>
      </c>
      <c r="V42" s="11">
        <f>IF(V$3=0,"",SUMIFS(INDEX(Inputs!$D$4:$AG$200,0,MATCH(V$2,Inputs!$D$2:$AG$2,0)),Inputs!$B$4:$B$200,$B42)/1000)</f>
        <v>0</v>
      </c>
      <c r="W42" s="12">
        <f>IF(V42="","",V42)</f>
        <v>0</v>
      </c>
      <c r="X42" s="11">
        <f>IF(X$3=0,"",SUMIFS(INDEX(Inputs!$D$4:$AG$200,0,MATCH(X$2,Inputs!$D$2:$AG$2,0)),Inputs!$B$4:$B$200,$B42)/1000)</f>
        <v>0</v>
      </c>
      <c r="Y42" s="11">
        <f>IF(Y$3=0,"",SUMIFS(INDEX(Inputs!$D$4:$AG$200,0,MATCH(Y$2,Inputs!$D$2:$AG$2,0)),Inputs!$B$4:$B$200,$B42)/1000)</f>
        <v>0</v>
      </c>
      <c r="Z42" s="11">
        <f>IF(Z$3=0,"",SUMIFS(INDEX(Inputs!$D$4:$AG$200,0,MATCH(Z$2,Inputs!$D$2:$AG$2,0)),Inputs!$B$4:$B$200,$B42)/1000)</f>
        <v>0</v>
      </c>
      <c r="AA42" s="11">
        <f>IF(AA$3=0,"",SUMIFS(INDEX(Inputs!$D$4:$AG$200,0,MATCH(AA$2,Inputs!$D$2:$AG$2,0)),Inputs!$B$4:$B$200,$B42)/1000)</f>
        <v>0</v>
      </c>
      <c r="AB42" s="12">
        <f>IF(AA42="","",AA42)</f>
        <v>0</v>
      </c>
      <c r="AC42" s="11">
        <f>IF(AC$3=0,"",SUMIFS(INDEX(Inputs!$D$4:$AG$200,0,MATCH(AC$2,Inputs!$D$2:$AG$2,0)),Inputs!$B$4:$B$200,$B42)/1000)</f>
        <v>0</v>
      </c>
      <c r="AD42" s="11">
        <f>IF(AD$3=0,"",SUMIFS(INDEX(Inputs!$D$4:$AG$200,0,MATCH(AD$2,Inputs!$D$2:$AG$2,0)),Inputs!$B$4:$B$200,$B42)/1000)</f>
        <v>0</v>
      </c>
      <c r="AE42" s="11" t="str">
        <f>IF(AE$3=0,"",SUMIFS(INDEX(Inputs!$D$4:$AG$200,0,MATCH(AE$2,Inputs!$D$2:$AG$2,0)),Inputs!$B$4:$B$200,$B42)/1000)</f>
        <v/>
      </c>
      <c r="AF42" s="11" t="str">
        <f>IF(AF$3=0,"",SUMIFS(INDEX(Inputs!$D$4:$AG$200,0,MATCH(AF$2,Inputs!$D$2:$AG$2,0)),Inputs!$B$4:$B$200,$B42)/1000)</f>
        <v/>
      </c>
      <c r="AG42" s="12" t="str">
        <f>IF(AF42="","",AF42)</f>
        <v/>
      </c>
    </row>
    <row r="43">
      <c r="B43" s="9" t="n">
        <v>37</v>
      </c>
      <c r="C43" s="13" t="inlineStr">
        <is>
          <t>Common Stock and APIC</t>
        </is>
      </c>
      <c r="D43" s="11">
        <f>IF(D$3=0,"",SUMIFS(INDEX(Inputs!$D$4:$AG$200,0,MATCH(D$2,Inputs!$D$2:$AG$2,0)),Inputs!$B$4:$B$200,$B43)/1000)</f>
        <v>1468.70785658</v>
      </c>
      <c r="E43" s="11">
        <f>IF(E$3=0,"",SUMIFS(INDEX(Inputs!$D$4:$AG$200,0,MATCH(E$2,Inputs!$D$2:$AG$2,0)),Inputs!$B$4:$B$200,$B43)/1000)</f>
        <v>1469.12340486</v>
      </c>
      <c r="F43" s="11">
        <f>IF(F$3=0,"",SUMIFS(INDEX(Inputs!$D$4:$AG$200,0,MATCH(F$2,Inputs!$D$2:$AG$2,0)),Inputs!$B$4:$B$200,$B43)/1000)</f>
        <v>1474.49783234</v>
      </c>
      <c r="G43" s="11">
        <f>IF(G$3=0,"",SUMIFS(INDEX(Inputs!$D$4:$AG$200,0,MATCH(G$2,Inputs!$D$2:$AG$2,0)),Inputs!$B$4:$B$200,$B43)/1000)</f>
        <v>1474.72765197</v>
      </c>
      <c r="H43" s="12">
        <f>IF(G43="","",G43)</f>
        <v>1474.72765197</v>
      </c>
      <c r="I43" s="11">
        <f>IF(I$3=0,"",SUMIFS(INDEX(Inputs!$D$4:$AG$200,0,MATCH(I$2,Inputs!$D$2:$AG$2,0)),Inputs!$B$4:$B$200,$B43)/1000)</f>
        <v>1475.10780063</v>
      </c>
      <c r="J43" s="11">
        <f>IF(J$3=0,"",SUMIFS(INDEX(Inputs!$D$4:$AG$200,0,MATCH(J$2,Inputs!$D$2:$AG$2,0)),Inputs!$B$4:$B$200,$B43)/1000)</f>
        <v>1475.01522486</v>
      </c>
      <c r="K43" s="11">
        <f>IF(K$3=0,"",SUMIFS(INDEX(Inputs!$D$4:$AG$200,0,MATCH(K$2,Inputs!$D$2:$AG$2,0)),Inputs!$B$4:$B$200,$B43)/1000)</f>
        <v>1476.85481989</v>
      </c>
      <c r="L43" s="11">
        <f>IF(L$3=0,"",SUMIFS(INDEX(Inputs!$D$4:$AG$200,0,MATCH(L$2,Inputs!$D$2:$AG$2,0)),Inputs!$B$4:$B$200,$B43)/1000)</f>
        <v>2320.43421514</v>
      </c>
      <c r="M43" s="12">
        <f>IF(L43="","",L43)</f>
        <v>2320.43421514</v>
      </c>
      <c r="N43" s="11">
        <f>IF(N$3=0,"",SUMIFS(INDEX(Inputs!$D$4:$AG$200,0,MATCH(N$2,Inputs!$D$2:$AG$2,0)),Inputs!$B$4:$B$200,$B43)/1000)</f>
        <v>2320.15239841</v>
      </c>
      <c r="O43" s="11">
        <f>IF(O$3=0,"",SUMIFS(INDEX(Inputs!$D$4:$AG$200,0,MATCH(O$2,Inputs!$D$2:$AG$2,0)),Inputs!$B$4:$B$200,$B43)/1000)</f>
        <v>4651.356</v>
      </c>
      <c r="P43" s="11">
        <f>IF(P$3=0,"",SUMIFS(INDEX(Inputs!$D$4:$AG$200,0,MATCH(P$2,Inputs!$D$2:$AG$2,0)),Inputs!$B$4:$B$200,$B43)/1000)</f>
        <v>4651.442</v>
      </c>
      <c r="Q43" s="11">
        <f>IF(Q$3=0,"",SUMIFS(INDEX(Inputs!$D$4:$AG$200,0,MATCH(Q$2,Inputs!$D$2:$AG$2,0)),Inputs!$B$4:$B$200,$B43)/1000)</f>
        <v>4651.48</v>
      </c>
      <c r="R43" s="12">
        <f>IF(Q43="","",Q43)</f>
        <v>4651.48</v>
      </c>
      <c r="S43" s="11">
        <f>IF(S$3=0,"",SUMIFS(INDEX(Inputs!$D$4:$AG$200,0,MATCH(S$2,Inputs!$D$2:$AG$2,0)),Inputs!$B$4:$B$200,$B43)/1000)</f>
        <v>4651.518</v>
      </c>
      <c r="T43" s="11">
        <f>IF(T$3=0,"",SUMIFS(INDEX(Inputs!$D$4:$AG$200,0,MATCH(T$2,Inputs!$D$2:$AG$2,0)),Inputs!$B$4:$B$200,$B43)/1000)</f>
        <v>4651.55639558</v>
      </c>
      <c r="U43" s="11">
        <f>IF(U$3=0,"",SUMIFS(INDEX(Inputs!$D$4:$AG$200,0,MATCH(U$2,Inputs!$D$2:$AG$2,0)),Inputs!$B$4:$B$200,$B43)/1000)</f>
        <v>4651.594</v>
      </c>
      <c r="V43" s="11">
        <f>IF(V$3=0,"",SUMIFS(INDEX(Inputs!$D$4:$AG$200,0,MATCH(V$2,Inputs!$D$2:$AG$2,0)),Inputs!$B$4:$B$200,$B43)/1000)</f>
        <v>4651.632</v>
      </c>
      <c r="W43" s="12">
        <f>IF(V43="","",V43)</f>
        <v>4651.632</v>
      </c>
      <c r="X43" s="11">
        <f>IF(X$3=0,"",SUMIFS(INDEX(Inputs!$D$4:$AG$200,0,MATCH(X$2,Inputs!$D$2:$AG$2,0)),Inputs!$B$4:$B$200,$B43)/1000)</f>
        <v>4651.632083</v>
      </c>
      <c r="Y43" s="11">
        <f>IF(Y$3=0,"",SUMIFS(INDEX(Inputs!$D$4:$AG$200,0,MATCH(Y$2,Inputs!$D$2:$AG$2,0)),Inputs!$B$4:$B$200,$B43)/1000)</f>
        <v>4651.632</v>
      </c>
      <c r="Z43" s="11">
        <f>IF(Z$3=0,"",SUMIFS(INDEX(Inputs!$D$4:$AG$200,0,MATCH(Z$2,Inputs!$D$2:$AG$2,0)),Inputs!$B$4:$B$200,$B43)/1000)</f>
        <v>4651.632</v>
      </c>
      <c r="AA43" s="11">
        <f>IF(AA$3=0,"",SUMIFS(INDEX(Inputs!$D$4:$AG$200,0,MATCH(AA$2,Inputs!$D$2:$AG$2,0)),Inputs!$B$4:$B$200,$B43)/1000)</f>
        <v>4651.632</v>
      </c>
      <c r="AB43" s="12">
        <f>IF(AA43="","",AA43)</f>
        <v>4651.632</v>
      </c>
      <c r="AC43" s="11">
        <f>IF(AC$3=0,"",SUMIFS(INDEX(Inputs!$D$4:$AG$200,0,MATCH(AC$2,Inputs!$D$2:$AG$2,0)),Inputs!$B$4:$B$200,$B43)/1000)</f>
        <v>4651.632</v>
      </c>
      <c r="AD43" s="11">
        <f>IF(AD$3=0,"",SUMIFS(INDEX(Inputs!$D$4:$AG$200,0,MATCH(AD$2,Inputs!$D$2:$AG$2,0)),Inputs!$B$4:$B$200,$B43)/1000)</f>
        <v>4664.728</v>
      </c>
      <c r="AE43" s="11" t="str">
        <f>IF(AE$3=0,"",SUMIFS(INDEX(Inputs!$D$4:$AG$200,0,MATCH(AE$2,Inputs!$D$2:$AG$2,0)),Inputs!$B$4:$B$200,$B43)/1000)</f>
        <v/>
      </c>
      <c r="AF43" s="11" t="str">
        <f>IF(AF$3=0,"",SUMIFS(INDEX(Inputs!$D$4:$AG$200,0,MATCH(AF$2,Inputs!$D$2:$AG$2,0)),Inputs!$B$4:$B$200,$B43)/1000)</f>
        <v/>
      </c>
      <c r="AG43" s="12" t="str">
        <f>IF(AF43="","",AF43)</f>
        <v/>
      </c>
    </row>
    <row r="44">
      <c r="B44" s="9" t="n">
        <v>38</v>
      </c>
      <c r="C44" s="14" t="inlineStr">
        <is>
          <t>Treasury stock (contra account)</t>
        </is>
      </c>
      <c r="D44" s="11">
        <f>IF(D$3=0,"",SUMIFS(INDEX(Inputs!$D$4:$AG$200,0,MATCH(D$2,Inputs!$D$2:$AG$2,0)),Inputs!$B$4:$B$200,$B44)/1000)</f>
        <v>-23.0143155</v>
      </c>
      <c r="E44" s="11">
        <f>IF(E$3=0,"",SUMIFS(INDEX(Inputs!$D$4:$AG$200,0,MATCH(E$2,Inputs!$D$2:$AG$2,0)),Inputs!$B$4:$B$200,$B44)/1000)</f>
        <v>-24.83640528</v>
      </c>
      <c r="F44" s="11">
        <f>IF(F$3=0,"",SUMIFS(INDEX(Inputs!$D$4:$AG$200,0,MATCH(F$2,Inputs!$D$2:$AG$2,0)),Inputs!$B$4:$B$200,$B44)/1000)</f>
        <v>-24.83640528</v>
      </c>
      <c r="G44" s="11">
        <f>IF(G$3=0,"",SUMIFS(INDEX(Inputs!$D$4:$AG$200,0,MATCH(G$2,Inputs!$D$2:$AG$2,0)),Inputs!$B$4:$B$200,$B44)/1000)</f>
        <v>-24.83640528</v>
      </c>
      <c r="H44" s="12">
        <f>IF(G44="","",G44)</f>
        <v>-24.83640528</v>
      </c>
      <c r="I44" s="11">
        <f>IF(I$3=0,"",SUMIFS(INDEX(Inputs!$D$4:$AG$200,0,MATCH(I$2,Inputs!$D$2:$AG$2,0)),Inputs!$B$4:$B$200,$B44)/1000)</f>
        <v>-22.89021678</v>
      </c>
      <c r="J44" s="11">
        <f>IF(J$3=0,"",SUMIFS(INDEX(Inputs!$D$4:$AG$200,0,MATCH(J$2,Inputs!$D$2:$AG$2,0)),Inputs!$B$4:$B$200,$B44)/1000)</f>
        <v>-27.2412731</v>
      </c>
      <c r="K44" s="11">
        <f>IF(K$3=0,"",SUMIFS(INDEX(Inputs!$D$4:$AG$200,0,MATCH(K$2,Inputs!$D$2:$AG$2,0)),Inputs!$B$4:$B$200,$B44)/1000)</f>
        <v>-19.97143105</v>
      </c>
      <c r="L44" s="11">
        <f>IF(L$3=0,"",SUMIFS(INDEX(Inputs!$D$4:$AG$200,0,MATCH(L$2,Inputs!$D$2:$AG$2,0)),Inputs!$B$4:$B$200,$B44)/1000)</f>
        <v>-19.97143105</v>
      </c>
      <c r="M44" s="12">
        <f>IF(L44="","",L44)</f>
        <v>-19.97143105</v>
      </c>
      <c r="N44" s="11">
        <f>IF(N$3=0,"",SUMIFS(INDEX(Inputs!$D$4:$AG$200,0,MATCH(N$2,Inputs!$D$2:$AG$2,0)),Inputs!$B$4:$B$200,$B44)/1000)</f>
        <v>-9.213137</v>
      </c>
      <c r="O44" s="11">
        <f>IF(O$3=0,"",SUMIFS(INDEX(Inputs!$D$4:$AG$200,0,MATCH(O$2,Inputs!$D$2:$AG$2,0)),Inputs!$B$4:$B$200,$B44)/1000)</f>
        <v>-9.213</v>
      </c>
      <c r="P44" s="11">
        <f>IF(P$3=0,"",SUMIFS(INDEX(Inputs!$D$4:$AG$200,0,MATCH(P$2,Inputs!$D$2:$AG$2,0)),Inputs!$B$4:$B$200,$B44)/1000)</f>
        <v>-9.213</v>
      </c>
      <c r="Q44" s="11">
        <f>IF(Q$3=0,"",SUMIFS(INDEX(Inputs!$D$4:$AG$200,0,MATCH(Q$2,Inputs!$D$2:$AG$2,0)),Inputs!$B$4:$B$200,$B44)/1000)</f>
        <v>-39.462</v>
      </c>
      <c r="R44" s="12">
        <f>IF(Q44="","",Q44)</f>
        <v>-39.462</v>
      </c>
      <c r="S44" s="11">
        <f>IF(S$3=0,"",SUMIFS(INDEX(Inputs!$D$4:$AG$200,0,MATCH(S$2,Inputs!$D$2:$AG$2,0)),Inputs!$B$4:$B$200,$B44)/1000)</f>
        <v>-27.15</v>
      </c>
      <c r="T44" s="11">
        <f>IF(T$3=0,"",SUMIFS(INDEX(Inputs!$D$4:$AG$200,0,MATCH(T$2,Inputs!$D$2:$AG$2,0)),Inputs!$B$4:$B$200,$B44)/1000)</f>
        <v>-27.15</v>
      </c>
      <c r="U44" s="11">
        <f>IF(U$3=0,"",SUMIFS(INDEX(Inputs!$D$4:$AG$200,0,MATCH(U$2,Inputs!$D$2:$AG$2,0)),Inputs!$B$4:$B$200,$B44)/1000)</f>
        <v>-48.065</v>
      </c>
      <c r="V44" s="11">
        <f>IF(V$3=0,"",SUMIFS(INDEX(Inputs!$D$4:$AG$200,0,MATCH(V$2,Inputs!$D$2:$AG$2,0)),Inputs!$B$4:$B$200,$B44)/1000)</f>
        <v>-48.065</v>
      </c>
      <c r="W44" s="12">
        <f>IF(V44="","",V44)</f>
        <v>-48.065</v>
      </c>
      <c r="X44" s="11">
        <f>IF(X$3=0,"",SUMIFS(INDEX(Inputs!$D$4:$AG$200,0,MATCH(X$2,Inputs!$D$2:$AG$2,0)),Inputs!$B$4:$B$200,$B44)/1000)</f>
        <v>-35.559101</v>
      </c>
      <c r="Y44" s="11">
        <f>IF(Y$3=0,"",SUMIFS(INDEX(Inputs!$D$4:$AG$200,0,MATCH(Y$2,Inputs!$D$2:$AG$2,0)),Inputs!$B$4:$B$200,$B44)/1000)</f>
        <v>-35.559</v>
      </c>
      <c r="Z44" s="11">
        <f>IF(Z$3=0,"",SUMIFS(INDEX(Inputs!$D$4:$AG$200,0,MATCH(Z$2,Inputs!$D$2:$AG$2,0)),Inputs!$B$4:$B$200,$B44)/1000)</f>
        <v>-35.559</v>
      </c>
      <c r="AA44" s="11">
        <f>IF(AA$3=0,"",SUMIFS(INDEX(Inputs!$D$4:$AG$200,0,MATCH(AA$2,Inputs!$D$2:$AG$2,0)),Inputs!$B$4:$B$200,$B44)/1000)</f>
        <v>-35.559</v>
      </c>
      <c r="AB44" s="12">
        <f>IF(AA44="","",AA44)</f>
        <v>-35.559</v>
      </c>
      <c r="AC44" s="11">
        <f>IF(AC$3=0,"",SUMIFS(INDEX(Inputs!$D$4:$AG$200,0,MATCH(AC$2,Inputs!$D$2:$AG$2,0)),Inputs!$B$4:$B$200,$B44)/1000)</f>
        <v>-55.497</v>
      </c>
      <c r="AD44" s="11">
        <f>IF(AD$3=0,"",SUMIFS(INDEX(Inputs!$D$4:$AG$200,0,MATCH(AD$2,Inputs!$D$2:$AG$2,0)),Inputs!$B$4:$B$200,$B44)/1000)</f>
        <v>-55.478</v>
      </c>
      <c r="AE44" s="11" t="str">
        <f>IF(AE$3=0,"",SUMIFS(INDEX(Inputs!$D$4:$AG$200,0,MATCH(AE$2,Inputs!$D$2:$AG$2,0)),Inputs!$B$4:$B$200,$B44)/1000)</f>
        <v/>
      </c>
      <c r="AF44" s="11" t="str">
        <f>IF(AF$3=0,"",SUMIFS(INDEX(Inputs!$D$4:$AG$200,0,MATCH(AF$2,Inputs!$D$2:$AG$2,0)),Inputs!$B$4:$B$200,$B44)/1000)</f>
        <v/>
      </c>
      <c r="AG44" s="12" t="str">
        <f>IF(AF44="","",AF44)</f>
        <v/>
      </c>
    </row>
    <row r="45">
      <c r="B45" s="9" t="n">
        <v>39</v>
      </c>
      <c r="C45" s="14" t="inlineStr">
        <is>
          <t>Comprehensive (accumulated) loss</t>
        </is>
      </c>
      <c r="D45" s="11">
        <f>IF(D$3=0,"",SUMIFS(INDEX(Inputs!$D$4:$AG$200,0,MATCH(D$2,Inputs!$D$2:$AG$2,0)),Inputs!$B$4:$B$200,$B45)/1000)</f>
        <v>0</v>
      </c>
      <c r="E45" s="11">
        <f>IF(E$3=0,"",SUMIFS(INDEX(Inputs!$D$4:$AG$200,0,MATCH(E$2,Inputs!$D$2:$AG$2,0)),Inputs!$B$4:$B$200,$B45)/1000)</f>
        <v>0</v>
      </c>
      <c r="F45" s="11">
        <f>IF(F$3=0,"",SUMIFS(INDEX(Inputs!$D$4:$AG$200,0,MATCH(F$2,Inputs!$D$2:$AG$2,0)),Inputs!$B$4:$B$200,$B45)/1000)</f>
        <v>0</v>
      </c>
      <c r="G45" s="11">
        <f>IF(G$3=0,"",SUMIFS(INDEX(Inputs!$D$4:$AG$200,0,MATCH(G$2,Inputs!$D$2:$AG$2,0)),Inputs!$B$4:$B$200,$B45)/1000)</f>
        <v>0</v>
      </c>
      <c r="H45" s="12">
        <f>IF(G45="","",G45)</f>
        <v>0</v>
      </c>
      <c r="I45" s="11">
        <f>IF(I$3=0,"",SUMIFS(INDEX(Inputs!$D$4:$AG$200,0,MATCH(I$2,Inputs!$D$2:$AG$2,0)),Inputs!$B$4:$B$200,$B45)/1000)</f>
        <v>0</v>
      </c>
      <c r="J45" s="11">
        <f>IF(J$3=0,"",SUMIFS(INDEX(Inputs!$D$4:$AG$200,0,MATCH(J$2,Inputs!$D$2:$AG$2,0)),Inputs!$B$4:$B$200,$B45)/1000)</f>
        <v>0</v>
      </c>
      <c r="K45" s="11">
        <f>IF(K$3=0,"",SUMIFS(INDEX(Inputs!$D$4:$AG$200,0,MATCH(K$2,Inputs!$D$2:$AG$2,0)),Inputs!$B$4:$B$200,$B45)/1000)</f>
        <v>0</v>
      </c>
      <c r="L45" s="11">
        <f>IF(L$3=0,"",SUMIFS(INDEX(Inputs!$D$4:$AG$200,0,MATCH(L$2,Inputs!$D$2:$AG$2,0)),Inputs!$B$4:$B$200,$B45)/1000)</f>
        <v>0</v>
      </c>
      <c r="M45" s="12">
        <f>IF(L45="","",L45)</f>
        <v>0</v>
      </c>
      <c r="N45" s="11">
        <f>IF(N$3=0,"",SUMIFS(INDEX(Inputs!$D$4:$AG$200,0,MATCH(N$2,Inputs!$D$2:$AG$2,0)),Inputs!$B$4:$B$200,$B45)/1000)</f>
        <v>0</v>
      </c>
      <c r="O45" s="11">
        <f>IF(O$3=0,"",SUMIFS(INDEX(Inputs!$D$4:$AG$200,0,MATCH(O$2,Inputs!$D$2:$AG$2,0)),Inputs!$B$4:$B$200,$B45)/1000)</f>
        <v>73.884</v>
      </c>
      <c r="P45" s="11">
        <f>IF(P$3=0,"",SUMIFS(INDEX(Inputs!$D$4:$AG$200,0,MATCH(P$2,Inputs!$D$2:$AG$2,0)),Inputs!$B$4:$B$200,$B45)/1000)</f>
        <v>73.884</v>
      </c>
      <c r="Q45" s="11">
        <f>IF(Q$3=0,"",SUMIFS(INDEX(Inputs!$D$4:$AG$200,0,MATCH(Q$2,Inputs!$D$2:$AG$2,0)),Inputs!$B$4:$B$200,$B45)/1000)</f>
        <v>73.884</v>
      </c>
      <c r="R45" s="12">
        <f>IF(Q45="","",Q45)</f>
        <v>73.884</v>
      </c>
      <c r="S45" s="11">
        <f>IF(S$3=0,"",SUMIFS(INDEX(Inputs!$D$4:$AG$200,0,MATCH(S$2,Inputs!$D$2:$AG$2,0)),Inputs!$B$4:$B$200,$B45)/1000)</f>
        <v>73.884</v>
      </c>
      <c r="T45" s="11">
        <f>IF(T$3=0,"",SUMIFS(INDEX(Inputs!$D$4:$AG$200,0,MATCH(T$2,Inputs!$D$2:$AG$2,0)),Inputs!$B$4:$B$200,$B45)/1000)</f>
        <v>73.884</v>
      </c>
      <c r="U45" s="11">
        <f>IF(U$3=0,"",SUMIFS(INDEX(Inputs!$D$4:$AG$200,0,MATCH(U$2,Inputs!$D$2:$AG$2,0)),Inputs!$B$4:$B$200,$B45)/1000)</f>
        <v>73.884</v>
      </c>
      <c r="V45" s="11">
        <f>IF(V$3=0,"",SUMIFS(INDEX(Inputs!$D$4:$AG$200,0,MATCH(V$2,Inputs!$D$2:$AG$2,0)),Inputs!$B$4:$B$200,$B45)/1000)</f>
        <v>52.817</v>
      </c>
      <c r="W45" s="12">
        <f>IF(V45="","",V45)</f>
        <v>52.817</v>
      </c>
      <c r="X45" s="11">
        <f>IF(X$3=0,"",SUMIFS(INDEX(Inputs!$D$4:$AG$200,0,MATCH(X$2,Inputs!$D$2:$AG$2,0)),Inputs!$B$4:$B$200,$B45)/1000)</f>
        <v>52.817</v>
      </c>
      <c r="Y45" s="11">
        <f>IF(Y$3=0,"",SUMIFS(INDEX(Inputs!$D$4:$AG$200,0,MATCH(Y$2,Inputs!$D$2:$AG$2,0)),Inputs!$B$4:$B$200,$B45)/1000)</f>
        <v>52.817</v>
      </c>
      <c r="Z45" s="11">
        <f>IF(Z$3=0,"",SUMIFS(INDEX(Inputs!$D$4:$AG$200,0,MATCH(Z$2,Inputs!$D$2:$AG$2,0)),Inputs!$B$4:$B$200,$B45)/1000)</f>
        <v>52.817</v>
      </c>
      <c r="AA45" s="11">
        <f>IF(AA$3=0,"",SUMIFS(INDEX(Inputs!$D$4:$AG$200,0,MATCH(AA$2,Inputs!$D$2:$AG$2,0)),Inputs!$B$4:$B$200,$B45)/1000)</f>
        <v>52.817</v>
      </c>
      <c r="AB45" s="12">
        <f>IF(AA45="","",AA45)</f>
        <v>52.817</v>
      </c>
      <c r="AC45" s="11">
        <f>IF(AC$3=0,"",SUMIFS(INDEX(Inputs!$D$4:$AG$200,0,MATCH(AC$2,Inputs!$D$2:$AG$2,0)),Inputs!$B$4:$B$200,$B45)/1000)</f>
        <v>52.817</v>
      </c>
      <c r="AD45" s="11">
        <f>IF(AD$3=0,"",SUMIFS(INDEX(Inputs!$D$4:$AG$200,0,MATCH(AD$2,Inputs!$D$2:$AG$2,0)),Inputs!$B$4:$B$200,$B45)/1000)</f>
        <v>52.817</v>
      </c>
      <c r="AE45" s="11" t="str">
        <f>IF(AE$3=0,"",SUMIFS(INDEX(Inputs!$D$4:$AG$200,0,MATCH(AE$2,Inputs!$D$2:$AG$2,0)),Inputs!$B$4:$B$200,$B45)/1000)</f>
        <v/>
      </c>
      <c r="AF45" s="11" t="str">
        <f>IF(AF$3=0,"",SUMIFS(INDEX(Inputs!$D$4:$AG$200,0,MATCH(AF$2,Inputs!$D$2:$AG$2,0)),Inputs!$B$4:$B$200,$B45)/1000)</f>
        <v/>
      </c>
      <c r="AG45" s="12" t="str">
        <f>IF(AF45="","",AF45)</f>
        <v/>
      </c>
    </row>
    <row r="46">
      <c r="B46" s="9" t="n">
        <v>40</v>
      </c>
      <c r="C46" s="14" t="inlineStr">
        <is>
          <t>Other equity account</t>
        </is>
      </c>
      <c r="D46" s="11">
        <f>IF(D$3=0,"",SUMIFS(INDEX(Inputs!$D$4:$AG$200,0,MATCH(D$2,Inputs!$D$2:$AG$2,0)),Inputs!$B$4:$B$200,$B46)/1000)</f>
        <v>125.89858391</v>
      </c>
      <c r="E46" s="11">
        <f>IF(E$3=0,"",SUMIFS(INDEX(Inputs!$D$4:$AG$200,0,MATCH(E$2,Inputs!$D$2:$AG$2,0)),Inputs!$B$4:$B$200,$B46)/1000)</f>
        <v>125.89858391</v>
      </c>
      <c r="F46" s="11">
        <f>IF(F$3=0,"",SUMIFS(INDEX(Inputs!$D$4:$AG$200,0,MATCH(F$2,Inputs!$D$2:$AG$2,0)),Inputs!$B$4:$B$200,$B46)/1000)</f>
        <v>125.89858391</v>
      </c>
      <c r="G46" s="11">
        <f>IF(G$3=0,"",SUMIFS(INDEX(Inputs!$D$4:$AG$200,0,MATCH(G$2,Inputs!$D$2:$AG$2,0)),Inputs!$B$4:$B$200,$B46)/1000)</f>
        <v>143.39483164</v>
      </c>
      <c r="H46" s="12">
        <f>IF(G46="","",G46)</f>
        <v>143.39483164</v>
      </c>
      <c r="I46" s="11">
        <f>IF(I$3=0,"",SUMIFS(INDEX(Inputs!$D$4:$AG$200,0,MATCH(I$2,Inputs!$D$2:$AG$2,0)),Inputs!$B$4:$B$200,$B46)/1000)</f>
        <v>156.22491938</v>
      </c>
      <c r="J46" s="11">
        <f>IF(J$3=0,"",SUMIFS(INDEX(Inputs!$D$4:$AG$200,0,MATCH(J$2,Inputs!$D$2:$AG$2,0)),Inputs!$B$4:$B$200,$B46)/1000)</f>
        <v>156.22491938</v>
      </c>
      <c r="K46" s="11">
        <f>IF(K$3=0,"",SUMIFS(INDEX(Inputs!$D$4:$AG$200,0,MATCH(K$2,Inputs!$D$2:$AG$2,0)),Inputs!$B$4:$B$200,$B46)/1000)</f>
        <v>156.22491938</v>
      </c>
      <c r="L46" s="11">
        <f>IF(L$3=0,"",SUMIFS(INDEX(Inputs!$D$4:$AG$200,0,MATCH(L$2,Inputs!$D$2:$AG$2,0)),Inputs!$B$4:$B$200,$B46)/1000)</f>
        <v>193.782383397</v>
      </c>
      <c r="M46" s="12">
        <f>IF(L46="","",L46)</f>
        <v>193.782383397</v>
      </c>
      <c r="N46" s="11">
        <f>IF(N$3=0,"",SUMIFS(INDEX(Inputs!$D$4:$AG$200,0,MATCH(N$2,Inputs!$D$2:$AG$2,0)),Inputs!$B$4:$B$200,$B46)/1000)</f>
        <v>356.23489755</v>
      </c>
      <c r="O46" s="11">
        <f>IF(O$3=0,"",SUMIFS(INDEX(Inputs!$D$4:$AG$200,0,MATCH(O$2,Inputs!$D$2:$AG$2,0)),Inputs!$B$4:$B$200,$B46)/1000)</f>
        <v>186.235</v>
      </c>
      <c r="P46" s="11">
        <f>IF(P$3=0,"",SUMIFS(INDEX(Inputs!$D$4:$AG$200,0,MATCH(P$2,Inputs!$D$2:$AG$2,0)),Inputs!$B$4:$B$200,$B46)/1000)</f>
        <v>93.705</v>
      </c>
      <c r="Q46" s="11">
        <f>IF(Q$3=0,"",SUMIFS(INDEX(Inputs!$D$4:$AG$200,0,MATCH(Q$2,Inputs!$D$2:$AG$2,0)),Inputs!$B$4:$B$200,$B46)/1000)</f>
        <v>207.423</v>
      </c>
      <c r="R46" s="12">
        <f>IF(Q46="","",Q46)</f>
        <v>207.423</v>
      </c>
      <c r="S46" s="11">
        <f>IF(S$3=0,"",SUMIFS(INDEX(Inputs!$D$4:$AG$200,0,MATCH(S$2,Inputs!$D$2:$AG$2,0)),Inputs!$B$4:$B$200,$B46)/1000)</f>
        <v>0</v>
      </c>
      <c r="T46" s="11">
        <f>IF(T$3=0,"",SUMIFS(INDEX(Inputs!$D$4:$AG$200,0,MATCH(T$2,Inputs!$D$2:$AG$2,0)),Inputs!$B$4:$B$200,$B46)/1000)</f>
        <v>0</v>
      </c>
      <c r="U46" s="11">
        <f>IF(U$3=0,"",SUMIFS(INDEX(Inputs!$D$4:$AG$200,0,MATCH(U$2,Inputs!$D$2:$AG$2,0)),Inputs!$B$4:$B$200,$B46)/1000)</f>
        <v>-184.073</v>
      </c>
      <c r="V46" s="11">
        <f>IF(V$3=0,"",SUMIFS(INDEX(Inputs!$D$4:$AG$200,0,MATCH(V$2,Inputs!$D$2:$AG$2,0)),Inputs!$B$4:$B$200,$B46)/1000)</f>
        <v>-300.502</v>
      </c>
      <c r="W46" s="12">
        <f>IF(V46="","",V46)</f>
        <v>-300.502</v>
      </c>
      <c r="X46" s="11">
        <f>IF(X$3=0,"",SUMIFS(INDEX(Inputs!$D$4:$AG$200,0,MATCH(X$2,Inputs!$D$2:$AG$2,0)),Inputs!$B$4:$B$200,$B46)/1000)</f>
        <v>0</v>
      </c>
      <c r="Y46" s="11">
        <f>IF(Y$3=0,"",SUMIFS(INDEX(Inputs!$D$4:$AG$200,0,MATCH(Y$2,Inputs!$D$2:$AG$2,0)),Inputs!$B$4:$B$200,$B46)/1000)</f>
        <v>0</v>
      </c>
      <c r="Z46" s="11">
        <f>IF(Z$3=0,"",SUMIFS(INDEX(Inputs!$D$4:$AG$200,0,MATCH(Z$2,Inputs!$D$2:$AG$2,0)),Inputs!$B$4:$B$200,$B46)/1000)</f>
        <v>-169.009</v>
      </c>
      <c r="AA46" s="11">
        <f>IF(AA$3=0,"",SUMIFS(INDEX(Inputs!$D$4:$AG$200,0,MATCH(AA$2,Inputs!$D$2:$AG$2,0)),Inputs!$B$4:$B$200,$B46)/1000)</f>
        <v>0</v>
      </c>
      <c r="AB46" s="12">
        <f>IF(AA46="","",AA46)</f>
        <v>0</v>
      </c>
      <c r="AC46" s="11">
        <f>IF(AC$3=0,"",SUMIFS(INDEX(Inputs!$D$4:$AG$200,0,MATCH(AC$2,Inputs!$D$2:$AG$2,0)),Inputs!$B$4:$B$200,$B46)/1000)</f>
        <v>0</v>
      </c>
      <c r="AD46" s="11">
        <f>IF(AD$3=0,"",SUMIFS(INDEX(Inputs!$D$4:$AG$200,0,MATCH(AD$2,Inputs!$D$2:$AG$2,0)),Inputs!$B$4:$B$200,$B46)/1000)</f>
        <v>0</v>
      </c>
      <c r="AE46" s="11" t="str">
        <f>IF(AE$3=0,"",SUMIFS(INDEX(Inputs!$D$4:$AG$200,0,MATCH(AE$2,Inputs!$D$2:$AG$2,0)),Inputs!$B$4:$B$200,$B46)/1000)</f>
        <v/>
      </c>
      <c r="AF46" s="11" t="str">
        <f>IF(AF$3=0,"",SUMIFS(INDEX(Inputs!$D$4:$AG$200,0,MATCH(AF$2,Inputs!$D$2:$AG$2,0)),Inputs!$B$4:$B$200,$B46)/1000)</f>
        <v/>
      </c>
      <c r="AG46" s="12" t="str">
        <f>IF(AF46="","",AF46)</f>
        <v/>
      </c>
    </row>
    <row r="47">
      <c r="B47" s="9" t="n">
        <v>41</v>
      </c>
      <c r="C47" s="15" t="inlineStr">
        <is>
          <t>Retained earnings</t>
        </is>
      </c>
      <c r="D47" s="11">
        <f>IF(D$3=0,"",SUMIFS(INDEX(Inputs!$D$4:$AG$200,0,MATCH(D$2,Inputs!$D$2:$AG$2,0)),Inputs!$B$4:$B$200,$B47)/1000)</f>
        <v>121.28632605</v>
      </c>
      <c r="E47" s="11">
        <f>IF(E$3=0,"",SUMIFS(INDEX(Inputs!$D$4:$AG$200,0,MATCH(E$2,Inputs!$D$2:$AG$2,0)),Inputs!$B$4:$B$200,$B47)/1000)</f>
        <v>186.82095282</v>
      </c>
      <c r="F47" s="11">
        <f>IF(F$3=0,"",SUMIFS(INDEX(Inputs!$D$4:$AG$200,0,MATCH(F$2,Inputs!$D$2:$AG$2,0)),Inputs!$B$4:$B$200,$B47)/1000)</f>
        <v>239.43139772</v>
      </c>
      <c r="G47" s="11">
        <f>IF(G$3=0,"",SUMIFS(INDEX(Inputs!$D$4:$AG$200,0,MATCH(G$2,Inputs!$D$2:$AG$2,0)),Inputs!$B$4:$B$200,$B47)/1000)</f>
        <v>251.99589812</v>
      </c>
      <c r="H47" s="12">
        <f>IF(G47="","",G47)</f>
        <v>251.99589812</v>
      </c>
      <c r="I47" s="11">
        <f>IF(I$3=0,"",SUMIFS(INDEX(Inputs!$D$4:$AG$200,0,MATCH(I$2,Inputs!$D$2:$AG$2,0)),Inputs!$B$4:$B$200,$B47)/1000)</f>
        <v>135.27750577</v>
      </c>
      <c r="J47" s="11">
        <f>IF(J$3=0,"",SUMIFS(INDEX(Inputs!$D$4:$AG$200,0,MATCH(J$2,Inputs!$D$2:$AG$2,0)),Inputs!$B$4:$B$200,$B47)/1000)</f>
        <v>213.0565861</v>
      </c>
      <c r="K47" s="11">
        <f>IF(K$3=0,"",SUMIFS(INDEX(Inputs!$D$4:$AG$200,0,MATCH(K$2,Inputs!$D$2:$AG$2,0)),Inputs!$B$4:$B$200,$B47)/1000)</f>
        <v>301.79249417</v>
      </c>
      <c r="L47" s="11">
        <f>IF(L$3=0,"",SUMIFS(INDEX(Inputs!$D$4:$AG$200,0,MATCH(L$2,Inputs!$D$2:$AG$2,0)),Inputs!$B$4:$B$200,$B47)/1000)</f>
        <v>187.291</v>
      </c>
      <c r="M47" s="12">
        <f>IF(L47="","",L47)</f>
        <v>187.291</v>
      </c>
      <c r="N47" s="11">
        <f>IF(N$3=0,"",SUMIFS(INDEX(Inputs!$D$4:$AG$200,0,MATCH(N$2,Inputs!$D$2:$AG$2,0)),Inputs!$B$4:$B$200,$B47)/1000)</f>
        <v>118.68901586</v>
      </c>
      <c r="O47" s="11">
        <f>IF(O$3=0,"",SUMIFS(INDEX(Inputs!$D$4:$AG$200,0,MATCH(O$2,Inputs!$D$2:$AG$2,0)),Inputs!$B$4:$B$200,$B47)/1000)</f>
        <v>193.118</v>
      </c>
      <c r="P47" s="11">
        <f>IF(P$3=0,"",SUMIFS(INDEX(Inputs!$D$4:$AG$200,0,MATCH(P$2,Inputs!$D$2:$AG$2,0)),Inputs!$B$4:$B$200,$B47)/1000)</f>
        <v>367.316</v>
      </c>
      <c r="Q47" s="11">
        <f>IF(Q$3=0,"",SUMIFS(INDEX(Inputs!$D$4:$AG$200,0,MATCH(Q$2,Inputs!$D$2:$AG$2,0)),Inputs!$B$4:$B$200,$B47)/1000)</f>
        <v>190.126</v>
      </c>
      <c r="R47" s="12">
        <f>IF(Q47="","",Q47)</f>
        <v>190.126</v>
      </c>
      <c r="S47" s="11">
        <f>IF(S$3=0,"",SUMIFS(INDEX(Inputs!$D$4:$AG$200,0,MATCH(S$2,Inputs!$D$2:$AG$2,0)),Inputs!$B$4:$B$200,$B47)/1000)</f>
        <v>484.972</v>
      </c>
      <c r="T47" s="11">
        <f>IF(T$3=0,"",SUMIFS(INDEX(Inputs!$D$4:$AG$200,0,MATCH(T$2,Inputs!$D$2:$AG$2,0)),Inputs!$B$4:$B$200,$B47)/1000)</f>
        <v>658.558</v>
      </c>
      <c r="U47" s="11">
        <f>IF(U$3=0,"",SUMIFS(INDEX(Inputs!$D$4:$AG$200,0,MATCH(U$2,Inputs!$D$2:$AG$2,0)),Inputs!$B$4:$B$200,$B47)/1000)</f>
        <v>849.263</v>
      </c>
      <c r="V47" s="11">
        <f>IF(V$3=0,"",SUMIFS(INDEX(Inputs!$D$4:$AG$200,0,MATCH(V$2,Inputs!$D$2:$AG$2,0)),Inputs!$B$4:$B$200,$B47)/1000)</f>
        <v>933.186</v>
      </c>
      <c r="W47" s="12">
        <f>IF(V47="","",V47)</f>
        <v>933.186</v>
      </c>
      <c r="X47" s="11">
        <f>IF(X$3=0,"",SUMIFS(INDEX(Inputs!$D$4:$AG$200,0,MATCH(X$2,Inputs!$D$2:$AG$2,0)),Inputs!$B$4:$B$200,$B47)/1000)</f>
        <v>557.914</v>
      </c>
      <c r="Y47" s="11">
        <f>IF(Y$3=0,"",SUMIFS(INDEX(Inputs!$D$4:$AG$200,0,MATCH(Y$2,Inputs!$D$2:$AG$2,0)),Inputs!$B$4:$B$200,$B47)/1000)</f>
        <v>710.213</v>
      </c>
      <c r="Z47" s="11">
        <f>IF(Z$3=0,"",SUMIFS(INDEX(Inputs!$D$4:$AG$200,0,MATCH(Z$2,Inputs!$D$2:$AG$2,0)),Inputs!$B$4:$B$200,$B47)/1000)</f>
        <v>895.13</v>
      </c>
      <c r="AA47" s="11">
        <f>IF(AA$3=0,"",SUMIFS(INDEX(Inputs!$D$4:$AG$200,0,MATCH(AA$2,Inputs!$D$2:$AG$2,0)),Inputs!$B$4:$B$200,$B47)/1000)</f>
        <v>332.45</v>
      </c>
      <c r="AB47" s="12">
        <f>IF(AA47="","",AA47)</f>
        <v>332.45</v>
      </c>
      <c r="AC47" s="11">
        <f>IF(AC$3=0,"",SUMIFS(INDEX(Inputs!$D$4:$AG$200,0,MATCH(AC$2,Inputs!$D$2:$AG$2,0)),Inputs!$B$4:$B$200,$B47)/1000)</f>
        <v>533.662</v>
      </c>
      <c r="AD47" s="11">
        <f>IF(AD$3=0,"",SUMIFS(INDEX(Inputs!$D$4:$AG$200,0,MATCH(AD$2,Inputs!$D$2:$AG$2,0)),Inputs!$B$4:$B$200,$B47)/1000)</f>
        <v>755.511</v>
      </c>
      <c r="AE47" s="11" t="str">
        <f>IF(AE$3=0,"",SUMIFS(INDEX(Inputs!$D$4:$AG$200,0,MATCH(AE$2,Inputs!$D$2:$AG$2,0)),Inputs!$B$4:$B$200,$B47)/1000)</f>
        <v/>
      </c>
      <c r="AF47" s="11" t="str">
        <f>IF(AF$3=0,"",SUMIFS(INDEX(Inputs!$D$4:$AG$200,0,MATCH(AF$2,Inputs!$D$2:$AG$2,0)),Inputs!$B$4:$B$200,$B47)/1000)</f>
        <v/>
      </c>
      <c r="AG47" s="12" t="str">
        <f>IF(AF47="","",AF47)</f>
        <v/>
      </c>
    </row>
    <row r="48"/>
    <row r="49" customFormat="1" s="3">
      <c r="C49" s="4" t="n"/>
      <c r="D49" s="16" t="n"/>
      <c r="E49" s="16" t="n"/>
      <c r="F49" s="16" t="n"/>
      <c r="G49" s="16" t="n"/>
      <c r="H49" s="12" t="n"/>
      <c r="I49" s="16" t="n"/>
      <c r="J49" s="16" t="n"/>
      <c r="K49" s="16" t="n"/>
      <c r="L49" s="16" t="n"/>
      <c r="M49" s="12" t="n"/>
      <c r="N49" s="16" t="n"/>
      <c r="O49" s="16" t="n"/>
      <c r="P49" s="16" t="n"/>
      <c r="Q49" s="16" t="n"/>
      <c r="R49" s="12" t="n"/>
      <c r="S49" s="16" t="n"/>
      <c r="T49" s="16" t="n"/>
      <c r="U49" s="16" t="n"/>
      <c r="V49" s="16" t="n"/>
      <c r="W49" s="12" t="n"/>
      <c r="X49" s="16" t="n"/>
      <c r="Y49" s="16" t="n"/>
      <c r="Z49" s="16" t="n"/>
      <c r="AA49" s="16" t="n"/>
      <c r="AC49" s="16" t="n"/>
      <c r="AD49" s="16" t="n"/>
      <c r="AE49" s="16" t="n"/>
      <c r="AF49" s="16" t="n"/>
    </row>
    <row r="50">
      <c r="B50" s="9" t="n">
        <v>44</v>
      </c>
      <c r="C50" s="10" t="inlineStr">
        <is>
          <t>Net income reported (lucro líquido reportado) — base do check de DRE [Model linha 4]</t>
        </is>
      </c>
      <c r="D50" s="11">
        <f>IF(SUMPRODUCT((Inputs!$B$4:$B$200=$B50)*ISNUMBER(INDEX(Inputs!$D$4:$AG$200,0,MATCH(D$2,Inputs!$D$2:$AG$2,0))))=0,"",SUMIFS(INDEX(Inputs!$D$4:$AG$200,0,MATCH(D$2,Inputs!$D$2:$AG$2,0)),Inputs!$B$4:$B$200,$B50)/1000)</f>
        <v>118.61195704</v>
      </c>
      <c r="E50" s="11">
        <f>IF(SUMPRODUCT((Inputs!$B$4:$B$200=$B50)*ISNUMBER(INDEX(Inputs!$D$4:$AG$200,0,MATCH(E$2,Inputs!$D$2:$AG$2,0))))=0,"",SUMIFS(INDEX(Inputs!$D$4:$AG$200,0,MATCH(E$2,Inputs!$D$2:$AG$2,0)),Inputs!$B$4:$B$200,$B50)/1000)</f>
        <v>65.53462593</v>
      </c>
      <c r="F50" s="11">
        <f>IF(SUMPRODUCT((Inputs!$B$4:$B$200=$B50)*ISNUMBER(INDEX(Inputs!$D$4:$AG$200,0,MATCH(F$2,Inputs!$D$2:$AG$2,0))))=0,"",SUMIFS(INDEX(Inputs!$D$4:$AG$200,0,MATCH(F$2,Inputs!$D$2:$AG$2,0)),Inputs!$B$4:$B$200,$B50)/1000)</f>
        <v>94.962565767</v>
      </c>
      <c r="G50" s="11">
        <f>IF(SUMPRODUCT((Inputs!$B$4:$B$200=$B50)*ISNUMBER(INDEX(Inputs!$D$4:$AG$200,0,MATCH(G$2,Inputs!$D$2:$AG$2,0))))=0,"",SUMIFS(INDEX(Inputs!$D$4:$AG$200,0,MATCH(G$2,Inputs!$D$2:$AG$2,0)),Inputs!$B$4:$B$200,$B50)/1000)</f>
        <v>70.81580316</v>
      </c>
      <c r="H50" s="12">
        <f>IF(COUNT(D50:G50)=4,SUM(D50:G50),"")</f>
        <v>349.924951897</v>
      </c>
      <c r="I50" s="11">
        <f>IF(SUMPRODUCT((Inputs!$B$4:$B$200=$B50)*ISNUMBER(INDEX(Inputs!$D$4:$AG$200,0,MATCH(I$2,Inputs!$D$2:$AG$2,0))))=0,"",SUMIFS(INDEX(Inputs!$D$4:$AG$200,0,MATCH(I$2,Inputs!$D$2:$AG$2,0)),Inputs!$B$4:$B$200,$B50)/1000)</f>
        <v>110.440730339</v>
      </c>
      <c r="J50" s="11">
        <f>IF(SUMPRODUCT((Inputs!$B$4:$B$200=$B50)*ISNUMBER(INDEX(Inputs!$D$4:$AG$200,0,MATCH(J$2,Inputs!$D$2:$AG$2,0))))=0,"",SUMIFS(INDEX(Inputs!$D$4:$AG$200,0,MATCH(J$2,Inputs!$D$2:$AG$2,0)),Inputs!$B$4:$B$200,$B50)/1000)</f>
        <v>70.509238398</v>
      </c>
      <c r="K50" s="11">
        <f>IF(SUMPRODUCT((Inputs!$B$4:$B$200=$B50)*ISNUMBER(INDEX(Inputs!$D$4:$AG$200,0,MATCH(K$2,Inputs!$D$2:$AG$2,0))))=0,"",SUMIFS(INDEX(Inputs!$D$4:$AG$200,0,MATCH(K$2,Inputs!$D$2:$AG$2,0)),Inputs!$B$4:$B$200,$B50)/1000)</f>
        <v>96.00575003</v>
      </c>
      <c r="L50" s="11">
        <f>IF(SUMPRODUCT((Inputs!$B$4:$B$200=$B50)*ISNUMBER(INDEX(Inputs!$D$4:$AG$200,0,MATCH(L$2,Inputs!$D$2:$AG$2,0))))=0,"",SUMIFS(INDEX(Inputs!$D$4:$AG$200,0,MATCH(L$2,Inputs!$D$2:$AG$2,0)),Inputs!$B$4:$B$200,$B50)/1000)</f>
        <v>30.95268579</v>
      </c>
      <c r="M50" s="12">
        <f>IF(COUNT(I50:L50)=4,SUM(I50:L50),"")</f>
        <v>307.908404557</v>
      </c>
      <c r="N50" s="11">
        <f>IF(SUMPRODUCT((Inputs!$B$4:$B$200=$B50)*ISNUMBER(INDEX(Inputs!$D$4:$AG$200,0,MATCH(N$2,Inputs!$D$2:$AG$2,0))))=0,"",SUMIFS(INDEX(Inputs!$D$4:$AG$200,0,MATCH(N$2,Inputs!$D$2:$AG$2,0)),Inputs!$B$4:$B$200,$B50)/1000)</f>
        <v>93.85183176</v>
      </c>
      <c r="O50" s="11">
        <f>IF(SUMPRODUCT((Inputs!$B$4:$B$200=$B50)*ISNUMBER(INDEX(Inputs!$D$4:$AG$200,0,MATCH(O$2,Inputs!$D$2:$AG$2,0))))=0,"",SUMIFS(INDEX(Inputs!$D$4:$AG$200,0,MATCH(O$2,Inputs!$D$2:$AG$2,0)),Inputs!$B$4:$B$200,$B50)/1000)</f>
        <v>74.426928945</v>
      </c>
      <c r="P50" s="11">
        <f>IF(SUMPRODUCT((Inputs!$B$4:$B$200=$B50)*ISNUMBER(INDEX(Inputs!$D$4:$AG$200,0,MATCH(P$2,Inputs!$D$2:$AG$2,0))))=0,"",SUMIFS(INDEX(Inputs!$D$4:$AG$200,0,MATCH(P$2,Inputs!$D$2:$AG$2,0)),Inputs!$B$4:$B$200,$B50)/1000)</f>
        <v>174.198435338</v>
      </c>
      <c r="Q50" s="11">
        <f>IF(SUMPRODUCT((Inputs!$B$4:$B$200=$B50)*ISNUMBER(INDEX(Inputs!$D$4:$AG$200,0,MATCH(Q$2,Inputs!$D$2:$AG$2,0))))=0,"",SUMIFS(INDEX(Inputs!$D$4:$AG$200,0,MATCH(Q$2,Inputs!$D$2:$AG$2,0)),Inputs!$B$4:$B$200,$B50)/1000)</f>
        <v>81.278801744</v>
      </c>
      <c r="R50" s="12">
        <f>IF(COUNT(N50:Q50)=4,SUM(N50:Q50),"")</f>
        <v>423.755997787</v>
      </c>
      <c r="S50" s="11">
        <f>IF(SUMPRODUCT((Inputs!$B$4:$B$200=$B50)*ISNUMBER(INDEX(Inputs!$D$4:$AG$200,0,MATCH(S$2,Inputs!$D$2:$AG$2,0))))=0,"",SUMIFS(INDEX(Inputs!$D$4:$AG$200,0,MATCH(S$2,Inputs!$D$2:$AG$2,0)),Inputs!$B$4:$B$200,$B50)/1000)</f>
        <v>167.9596009</v>
      </c>
      <c r="T50" s="11">
        <f>IF(SUMPRODUCT((Inputs!$B$4:$B$200=$B50)*ISNUMBER(INDEX(Inputs!$D$4:$AG$200,0,MATCH(T$2,Inputs!$D$2:$AG$2,0))))=0,"",SUMIFS(INDEX(Inputs!$D$4:$AG$200,0,MATCH(T$2,Inputs!$D$2:$AG$2,0)),Inputs!$B$4:$B$200,$B50)/1000)</f>
        <v>173.586</v>
      </c>
      <c r="U50" s="11">
        <f>IF(SUMPRODUCT((Inputs!$B$4:$B$200=$B50)*ISNUMBER(INDEX(Inputs!$D$4:$AG$200,0,MATCH(U$2,Inputs!$D$2:$AG$2,0))))=0,"",SUMIFS(INDEX(Inputs!$D$4:$AG$200,0,MATCH(U$2,Inputs!$D$2:$AG$2,0)),Inputs!$B$4:$B$200,$B50)/1000)</f>
        <v>190.705474</v>
      </c>
      <c r="V50" s="11">
        <f>IF(SUMPRODUCT((Inputs!$B$4:$B$200=$B50)*ISNUMBER(INDEX(Inputs!$D$4:$AG$200,0,MATCH(V$2,Inputs!$D$2:$AG$2,0))))=0,"",SUMIFS(INDEX(Inputs!$D$4:$AG$200,0,MATCH(V$2,Inputs!$D$2:$AG$2,0)),Inputs!$B$4:$B$200,$B50)/1000)</f>
        <v>83.9209251</v>
      </c>
      <c r="W50" s="12">
        <f>IF(COUNT(S50:V50)=4,SUM(S50:V50),"")</f>
        <v>616.172</v>
      </c>
      <c r="X50" s="11">
        <f>IF(SUMPRODUCT((Inputs!$B$4:$B$200=$B50)*ISNUMBER(INDEX(Inputs!$D$4:$AG$200,0,MATCH(X$2,Inputs!$D$2:$AG$2,0))))=0,"",SUMIFS(INDEX(Inputs!$D$4:$AG$200,0,MATCH(X$2,Inputs!$D$2:$AG$2,0)),Inputs!$B$4:$B$200,$B50)/1000)</f>
        <v>179.28629</v>
      </c>
      <c r="Y50" s="11">
        <f>IF(SUMPRODUCT((Inputs!$B$4:$B$200=$B50)*ISNUMBER(INDEX(Inputs!$D$4:$AG$200,0,MATCH(Y$2,Inputs!$D$2:$AG$2,0))))=0,"",SUMIFS(INDEX(Inputs!$D$4:$AG$200,0,MATCH(Y$2,Inputs!$D$2:$AG$2,0)),Inputs!$B$4:$B$200,$B50)/1000)</f>
        <v>152.299179</v>
      </c>
      <c r="Z50" s="11">
        <f>IF(SUMPRODUCT((Inputs!$B$4:$B$200=$B50)*ISNUMBER(INDEX(Inputs!$D$4:$AG$200,0,MATCH(Z$2,Inputs!$D$2:$AG$2,0))))=0,"",SUMIFS(INDEX(Inputs!$D$4:$AG$200,0,MATCH(Z$2,Inputs!$D$2:$AG$2,0)),Inputs!$B$4:$B$200,$B50)/1000)</f>
        <v>184.91672272</v>
      </c>
      <c r="AA50" s="11">
        <f>IF(SUMPRODUCT((Inputs!$B$4:$B$200=$B50)*ISNUMBER(INDEX(Inputs!$D$4:$AG$200,0,MATCH(AA$2,Inputs!$D$2:$AG$2,0))))=0,"",SUMIFS(INDEX(Inputs!$D$4:$AG$200,0,MATCH(AA$2,Inputs!$D$2:$AG$2,0)),Inputs!$B$4:$B$200,$B50)/1000)</f>
        <v>96.328409784</v>
      </c>
      <c r="AB50" s="12">
        <f>IF(COUNT(X50:AA50)=4,SUM(X50:AA50),"")</f>
        <v>612.830601504</v>
      </c>
      <c r="AC50" s="11">
        <f>IF(SUMPRODUCT((Inputs!$B$4:$B$200=$B50)*ISNUMBER(INDEX(Inputs!$D$4:$AG$200,0,MATCH(AC$2,Inputs!$D$2:$AG$2,0))))=0,"",SUMIFS(INDEX(Inputs!$D$4:$AG$200,0,MATCH(AC$2,Inputs!$D$2:$AG$2,0)),Inputs!$B$4:$B$200,$B50)/1000)</f>
        <v>201.21196412</v>
      </c>
      <c r="AD50" s="11">
        <f>IF(SUMPRODUCT((Inputs!$B$4:$B$200=$B50)*ISNUMBER(INDEX(Inputs!$D$4:$AG$200,0,MATCH(AD$2,Inputs!$D$2:$AG$2,0))))=0,"",SUMIFS(INDEX(Inputs!$D$4:$AG$200,0,MATCH(AD$2,Inputs!$D$2:$AG$2,0)),Inputs!$B$4:$B$200,$B50)/1000)</f>
        <v>221.850208</v>
      </c>
      <c r="AE50" s="11" t="str">
        <f>IF(SUMPRODUCT((Inputs!$B$4:$B$200=$B50)*ISNUMBER(INDEX(Inputs!$D$4:$AG$200,0,MATCH(AE$2,Inputs!$D$2:$AG$2,0))))=0,"",SUMIFS(INDEX(Inputs!$D$4:$AG$200,0,MATCH(AE$2,Inputs!$D$2:$AG$2,0)),Inputs!$B$4:$B$200,$B50)/1000)</f>
        <v/>
      </c>
      <c r="AF50" s="11" t="str">
        <f>IF(SUMPRODUCT((Inputs!$B$4:$B$200=$B50)*ISNUMBER(INDEX(Inputs!$D$4:$AG$200,0,MATCH(AF$2,Inputs!$D$2:$AG$2,0))))=0,"",SUMIFS(INDEX(Inputs!$D$4:$AG$200,0,MATCH(AF$2,Inputs!$D$2:$AG$2,0)),Inputs!$B$4:$B$200,$B50)/1000)</f>
        <v/>
      </c>
      <c r="AG50" s="12" t="str">
        <f>IF(COUNT(AC50:AF50)=4,SUM(AC50:AF50),"")</f>
        <v/>
      </c>
    </row>
    <row r="52">
      <c r="C52" t="inlineStr">
        <is>
          <t>Receita bruta por negocio, deducoes, volumes e acoes (memo) - codigos 45-56 [Model linhas 361+ e 230]</t>
        </is>
      </c>
    </row>
    <row r="53">
      <c r="B53" s="9" t="n">
        <v>45</v>
      </c>
      <c r="C53" s="10" t="inlineStr">
        <is>
          <t>Marca Fleury</t>
        </is>
      </c>
      <c r="D53" s="11">
        <f>IF(SUMPRODUCT((Inputs!$B$4:$B$200=$B53)*ISNUMBER(INDEX(Inputs!$D$4:$AG$200,0,MATCH(D$2,Inputs!$D$2:$AG$2,0))))=0,"",SUMIFS(INDEX(Inputs!$D$4:$AG$200,0,MATCH(D$2,Inputs!$D$2:$AG$2,0)),Inputs!$B$4:$B$200,$B53)/1000)</f>
        <v>390.315686737</v>
      </c>
      <c r="E53" s="11">
        <f>IF(SUMPRODUCT((Inputs!$B$4:$B$200=$B53)*ISNUMBER(INDEX(Inputs!$D$4:$AG$200,0,MATCH(E$2,Inputs!$D$2:$AG$2,0))))=0,"",SUMIFS(INDEX(Inputs!$D$4:$AG$200,0,MATCH(E$2,Inputs!$D$2:$AG$2,0)),Inputs!$B$4:$B$200,$B53)/1000)</f>
        <v>393.47364947</v>
      </c>
      <c r="F53" s="11">
        <f>IF(SUMPRODUCT((Inputs!$B$4:$B$200=$B53)*ISNUMBER(INDEX(Inputs!$D$4:$AG$200,0,MATCH(F$2,Inputs!$D$2:$AG$2,0))))=0,"",SUMIFS(INDEX(Inputs!$D$4:$AG$200,0,MATCH(F$2,Inputs!$D$2:$AG$2,0)),Inputs!$B$4:$B$200,$B53)/1000)</f>
        <v>430.289524728</v>
      </c>
      <c r="G53" s="11">
        <f>IF(SUMPRODUCT((Inputs!$B$4:$B$200=$B53)*ISNUMBER(INDEX(Inputs!$D$4:$AG$200,0,MATCH(G$2,Inputs!$D$2:$AG$2,0))))=0,"",SUMIFS(INDEX(Inputs!$D$4:$AG$200,0,MATCH(G$2,Inputs!$D$2:$AG$2,0)),Inputs!$B$4:$B$200,$B53)/1000)</f>
        <v>420.125355195</v>
      </c>
      <c r="H53" s="12">
        <f>IF(COUNT(D53:G53)=4,SUM(D53:G53),"")</f>
        <v>1634.20421613</v>
      </c>
      <c r="I53" s="11">
        <f>IF(SUMPRODUCT((Inputs!$B$4:$B$200=$B53)*ISNUMBER(INDEX(Inputs!$D$4:$AG$200,0,MATCH(I$2,Inputs!$D$2:$AG$2,0))))=0,"",SUMIFS(INDEX(Inputs!$D$4:$AG$200,0,MATCH(I$2,Inputs!$D$2:$AG$2,0)),Inputs!$B$4:$B$200,$B53)/1000)</f>
        <v>460.88136144</v>
      </c>
      <c r="J53" s="11">
        <f>IF(SUMPRODUCT((Inputs!$B$4:$B$200=$B53)*ISNUMBER(INDEX(Inputs!$D$4:$AG$200,0,MATCH(J$2,Inputs!$D$2:$AG$2,0))))=0,"",SUMIFS(INDEX(Inputs!$D$4:$AG$200,0,MATCH(J$2,Inputs!$D$2:$AG$2,0)),Inputs!$B$4:$B$200,$B53)/1000)</f>
        <v>447.893503927</v>
      </c>
      <c r="K53" s="11">
        <f>IF(SUMPRODUCT((Inputs!$B$4:$B$200=$B53)*ISNUMBER(INDEX(Inputs!$D$4:$AG$200,0,MATCH(K$2,Inputs!$D$2:$AG$2,0))))=0,"",SUMIFS(INDEX(Inputs!$D$4:$AG$200,0,MATCH(K$2,Inputs!$D$2:$AG$2,0)),Inputs!$B$4:$B$200,$B53)/1000)</f>
        <v>467.536305</v>
      </c>
      <c r="L53" s="11">
        <f>IF(SUMPRODUCT((Inputs!$B$4:$B$200=$B53)*ISNUMBER(INDEX(Inputs!$D$4:$AG$200,0,MATCH(L$2,Inputs!$D$2:$AG$2,0))))=0,"",SUMIFS(INDEX(Inputs!$D$4:$AG$200,0,MATCH(L$2,Inputs!$D$2:$AG$2,0)),Inputs!$B$4:$B$200,$B53)/1000)</f>
        <v>441.22525712</v>
      </c>
      <c r="M53" s="12">
        <f>IF(COUNT(I53:L53)=4,SUM(I53:L53),"")</f>
        <v>1817.536427487</v>
      </c>
      <c r="N53" s="11">
        <f>IF(SUMPRODUCT((Inputs!$B$4:$B$200=$B53)*ISNUMBER(INDEX(Inputs!$D$4:$AG$200,0,MATCH(N$2,Inputs!$D$2:$AG$2,0))))=0,"",SUMIFS(INDEX(Inputs!$D$4:$AG$200,0,MATCH(N$2,Inputs!$D$2:$AG$2,0)),Inputs!$B$4:$B$200,$B53)/1000)</f>
        <v>513.382763</v>
      </c>
      <c r="O53" s="11" t="str">
        <f>IF(SUMPRODUCT((Inputs!$B$4:$B$200=$B53)*ISNUMBER(INDEX(Inputs!$D$4:$AG$200,0,MATCH(O$2,Inputs!$D$2:$AG$2,0))))=0,"",SUMIFS(INDEX(Inputs!$D$4:$AG$200,0,MATCH(O$2,Inputs!$D$2:$AG$2,0)),Inputs!$B$4:$B$200,$B53)/1000)</f>
        <v/>
      </c>
      <c r="P53" s="11">
        <f>IF(SUMPRODUCT((Inputs!$B$4:$B$200=$B53)*ISNUMBER(INDEX(Inputs!$D$4:$AG$200,0,MATCH(P$2,Inputs!$D$2:$AG$2,0))))=0,"",SUMIFS(INDEX(Inputs!$D$4:$AG$200,0,MATCH(P$2,Inputs!$D$2:$AG$2,0)),Inputs!$B$4:$B$200,$B53)/1000)</f>
        <v>516.36538311</v>
      </c>
      <c r="Q53" s="11">
        <f>IF(SUMPRODUCT((Inputs!$B$4:$B$200=$B53)*ISNUMBER(INDEX(Inputs!$D$4:$AG$200,0,MATCH(Q$2,Inputs!$D$2:$AG$2,0))))=0,"",SUMIFS(INDEX(Inputs!$D$4:$AG$200,0,MATCH(Q$2,Inputs!$D$2:$AG$2,0)),Inputs!$B$4:$B$200,$B53)/1000)</f>
        <v>461.316368</v>
      </c>
      <c r="R53" s="12" t="str">
        <f>IF(COUNT(N53:Q53)=4,SUM(N53:Q53),"")</f>
        <v/>
      </c>
      <c r="S53" s="11">
        <f>IF(SUMPRODUCT((Inputs!$B$4:$B$200=$B53)*ISNUMBER(INDEX(Inputs!$D$4:$AG$200,0,MATCH(S$2,Inputs!$D$2:$AG$2,0))))=0,"",SUMIFS(INDEX(Inputs!$D$4:$AG$200,0,MATCH(S$2,Inputs!$D$2:$AG$2,0)),Inputs!$B$4:$B$200,$B53)/1000)</f>
        <v>524.27157081</v>
      </c>
      <c r="T53" s="11">
        <f>IF(SUMPRODUCT((Inputs!$B$4:$B$200=$B53)*ISNUMBER(INDEX(Inputs!$D$4:$AG$200,0,MATCH(T$2,Inputs!$D$2:$AG$2,0))))=0,"",SUMIFS(INDEX(Inputs!$D$4:$AG$200,0,MATCH(T$2,Inputs!$D$2:$AG$2,0)),Inputs!$B$4:$B$200,$B53)/1000)</f>
        <v>537.839508303</v>
      </c>
      <c r="U53" s="11">
        <f>IF(SUMPRODUCT((Inputs!$B$4:$B$200=$B53)*ISNUMBER(INDEX(Inputs!$D$4:$AG$200,0,MATCH(U$2,Inputs!$D$2:$AG$2,0))))=0,"",SUMIFS(INDEX(Inputs!$D$4:$AG$200,0,MATCH(U$2,Inputs!$D$2:$AG$2,0)),Inputs!$B$4:$B$200,$B53)/1000)</f>
        <v>522.393136</v>
      </c>
      <c r="V53" s="11">
        <f>IF(SUMPRODUCT((Inputs!$B$4:$B$200=$B53)*ISNUMBER(INDEX(Inputs!$D$4:$AG$200,0,MATCH(V$2,Inputs!$D$2:$AG$2,0))))=0,"",SUMIFS(INDEX(Inputs!$D$4:$AG$200,0,MATCH(V$2,Inputs!$D$2:$AG$2,0)),Inputs!$B$4:$B$200,$B53)/1000)</f>
        <v>505.17684355</v>
      </c>
      <c r="W53" s="12">
        <f>IF(COUNT(S53:V53)=4,SUM(S53:V53),"")</f>
        <v>2089.681058663</v>
      </c>
      <c r="X53" s="11">
        <f>IF(SUMPRODUCT((Inputs!$B$4:$B$200=$B53)*ISNUMBER(INDEX(Inputs!$D$4:$AG$200,0,MATCH(X$2,Inputs!$D$2:$AG$2,0))))=0,"",SUMIFS(INDEX(Inputs!$D$4:$AG$200,0,MATCH(X$2,Inputs!$D$2:$AG$2,0)),Inputs!$B$4:$B$200,$B53)/1000)</f>
        <v>554.13673</v>
      </c>
      <c r="Y53" s="11">
        <f>IF(SUMPRODUCT((Inputs!$B$4:$B$200=$B53)*ISNUMBER(INDEX(Inputs!$D$4:$AG$200,0,MATCH(Y$2,Inputs!$D$2:$AG$2,0))))=0,"",SUMIFS(INDEX(Inputs!$D$4:$AG$200,0,MATCH(Y$2,Inputs!$D$2:$AG$2,0)),Inputs!$B$4:$B$200,$B53)/1000)</f>
        <v>560.847492</v>
      </c>
      <c r="Z53" s="11">
        <f>IF(SUMPRODUCT((Inputs!$B$4:$B$200=$B53)*ISNUMBER(INDEX(Inputs!$D$4:$AG$200,0,MATCH(Z$2,Inputs!$D$2:$AG$2,0))))=0,"",SUMIFS(INDEX(Inputs!$D$4:$AG$200,0,MATCH(Z$2,Inputs!$D$2:$AG$2,0)),Inputs!$B$4:$B$200,$B53)/1000)</f>
        <v>586.022739445</v>
      </c>
      <c r="AA53" s="11">
        <f>IF(SUMPRODUCT((Inputs!$B$4:$B$200=$B53)*ISNUMBER(INDEX(Inputs!$D$4:$AG$200,0,MATCH(AA$2,Inputs!$D$2:$AG$2,0))))=0,"",SUMIFS(INDEX(Inputs!$D$4:$AG$200,0,MATCH(AA$2,Inputs!$D$2:$AG$2,0)),Inputs!$B$4:$B$200,$B53)/1000)</f>
        <v>548.688281953</v>
      </c>
      <c r="AB53" s="12">
        <f>IF(COUNT(X53:AA53)=4,SUM(X53:AA53),"")</f>
        <v>2249.695243398</v>
      </c>
      <c r="AC53" s="11">
        <f>IF(SUMPRODUCT((Inputs!$B$4:$B$200=$B53)*ISNUMBER(INDEX(Inputs!$D$4:$AG$200,0,MATCH(AC$2,Inputs!$D$2:$AG$2,0))))=0,"",SUMIFS(INDEX(Inputs!$D$4:$AG$200,0,MATCH(AC$2,Inputs!$D$2:$AG$2,0)),Inputs!$B$4:$B$200,$B53)/1000)</f>
        <v>621.154913435</v>
      </c>
      <c r="AD53" s="11">
        <f>IF(SUMPRODUCT((Inputs!$B$4:$B$200=$B53)*ISNUMBER(INDEX(Inputs!$D$4:$AG$200,0,MATCH(AD$2,Inputs!$D$2:$AG$2,0))))=0,"",SUMIFS(INDEX(Inputs!$D$4:$AG$200,0,MATCH(AD$2,Inputs!$D$2:$AG$2,0)),Inputs!$B$4:$B$200,$B53)/1000)</f>
        <v>627.978348</v>
      </c>
      <c r="AE53" s="11" t="str">
        <f>IF(SUMPRODUCT((Inputs!$B$4:$B$200=$B53)*ISNUMBER(INDEX(Inputs!$D$4:$AG$200,0,MATCH(AE$2,Inputs!$D$2:$AG$2,0))))=0,"",SUMIFS(INDEX(Inputs!$D$4:$AG$200,0,MATCH(AE$2,Inputs!$D$2:$AG$2,0)),Inputs!$B$4:$B$200,$B53)/1000)</f>
        <v/>
      </c>
      <c r="AF53" s="11" t="str">
        <f>IF(SUMPRODUCT((Inputs!$B$4:$B$200=$B53)*ISNUMBER(INDEX(Inputs!$D$4:$AG$200,0,MATCH(AF$2,Inputs!$D$2:$AG$2,0))))=0,"",SUMIFS(INDEX(Inputs!$D$4:$AG$200,0,MATCH(AF$2,Inputs!$D$2:$AG$2,0)),Inputs!$B$4:$B$200,$B53)/1000)</f>
        <v/>
      </c>
      <c r="AG53" s="12" t="str">
        <f>IF(COUNT(AC53:AF53)=4,SUM(AC53:AF53),"")</f>
        <v/>
      </c>
    </row>
    <row r="54">
      <c r="B54" s="9" t="n">
        <v>46</v>
      </c>
      <c r="C54" s="10" t="inlineStr">
        <is>
          <t>Outras Marcas SP</t>
        </is>
      </c>
      <c r="D54" s="11">
        <f>IF(SUMPRODUCT((Inputs!$B$4:$B$200=$B54)*ISNUMBER(INDEX(Inputs!$D$4:$AG$200,0,MATCH(D$2,Inputs!$D$2:$AG$2,0))))=0,"",SUMIFS(INDEX(Inputs!$D$4:$AG$200,0,MATCH(D$2,Inputs!$D$2:$AG$2,0)),Inputs!$B$4:$B$200,$B54)/1000)</f>
        <v>129.339606053</v>
      </c>
      <c r="E54" s="11">
        <f>IF(SUMPRODUCT((Inputs!$B$4:$B$200=$B54)*ISNUMBER(INDEX(Inputs!$D$4:$AG$200,0,MATCH(E$2,Inputs!$D$2:$AG$2,0))))=0,"",SUMIFS(INDEX(Inputs!$D$4:$AG$200,0,MATCH(E$2,Inputs!$D$2:$AG$2,0)),Inputs!$B$4:$B$200,$B54)/1000)</f>
        <v>134.22810704</v>
      </c>
      <c r="F54" s="11">
        <f>IF(SUMPRODUCT((Inputs!$B$4:$B$200=$B54)*ISNUMBER(INDEX(Inputs!$D$4:$AG$200,0,MATCH(F$2,Inputs!$D$2:$AG$2,0))))=0,"",SUMIFS(INDEX(Inputs!$D$4:$AG$200,0,MATCH(F$2,Inputs!$D$2:$AG$2,0)),Inputs!$B$4:$B$200,$B54)/1000)</f>
        <v>138.41611284</v>
      </c>
      <c r="G54" s="11">
        <f>IF(SUMPRODUCT((Inputs!$B$4:$B$200=$B54)*ISNUMBER(INDEX(Inputs!$D$4:$AG$200,0,MATCH(G$2,Inputs!$D$2:$AG$2,0))))=0,"",SUMIFS(INDEX(Inputs!$D$4:$AG$200,0,MATCH(G$2,Inputs!$D$2:$AG$2,0)),Inputs!$B$4:$B$200,$B54)/1000)</f>
        <v>133.76757361</v>
      </c>
      <c r="H54" s="12">
        <f>IF(COUNT(D54:G54)=4,SUM(D54:G54),"")</f>
        <v>535.751399543</v>
      </c>
      <c r="I54" s="11">
        <f>IF(SUMPRODUCT((Inputs!$B$4:$B$200=$B54)*ISNUMBER(INDEX(Inputs!$D$4:$AG$200,0,MATCH(I$2,Inputs!$D$2:$AG$2,0))))=0,"",SUMIFS(INDEX(Inputs!$D$4:$AG$200,0,MATCH(I$2,Inputs!$D$2:$AG$2,0)),Inputs!$B$4:$B$200,$B54)/1000)</f>
        <v>151.03867056</v>
      </c>
      <c r="J54" s="11">
        <f>IF(SUMPRODUCT((Inputs!$B$4:$B$200=$B54)*ISNUMBER(INDEX(Inputs!$D$4:$AG$200,0,MATCH(J$2,Inputs!$D$2:$AG$2,0))))=0,"",SUMIFS(INDEX(Inputs!$D$4:$AG$200,0,MATCH(J$2,Inputs!$D$2:$AG$2,0)),Inputs!$B$4:$B$200,$B54)/1000)</f>
        <v>156.341420521</v>
      </c>
      <c r="K54" s="11">
        <f>IF(SUMPRODUCT((Inputs!$B$4:$B$200=$B54)*ISNUMBER(INDEX(Inputs!$D$4:$AG$200,0,MATCH(K$2,Inputs!$D$2:$AG$2,0))))=0,"",SUMIFS(INDEX(Inputs!$D$4:$AG$200,0,MATCH(K$2,Inputs!$D$2:$AG$2,0)),Inputs!$B$4:$B$200,$B54)/1000)</f>
        <v>165.44623</v>
      </c>
      <c r="L54" s="11">
        <f>IF(SUMPRODUCT((Inputs!$B$4:$B$200=$B54)*ISNUMBER(INDEX(Inputs!$D$4:$AG$200,0,MATCH(L$2,Inputs!$D$2:$AG$2,0))))=0,"",SUMIFS(INDEX(Inputs!$D$4:$AG$200,0,MATCH(L$2,Inputs!$D$2:$AG$2,0)),Inputs!$B$4:$B$200,$B54)/1000)</f>
        <v>151.836198</v>
      </c>
      <c r="M54" s="12">
        <f>IF(COUNT(I54:L54)=4,SUM(I54:L54),"")</f>
        <v>624.662519081</v>
      </c>
      <c r="N54" s="11">
        <f>IF(SUMPRODUCT((Inputs!$B$4:$B$200=$B54)*ISNUMBER(INDEX(Inputs!$D$4:$AG$200,0,MATCH(N$2,Inputs!$D$2:$AG$2,0))))=0,"",SUMIFS(INDEX(Inputs!$D$4:$AG$200,0,MATCH(N$2,Inputs!$D$2:$AG$2,0)),Inputs!$B$4:$B$200,$B54)/1000)</f>
        <v>178.979496</v>
      </c>
      <c r="O54" s="11" t="str">
        <f>IF(SUMPRODUCT((Inputs!$B$4:$B$200=$B54)*ISNUMBER(INDEX(Inputs!$D$4:$AG$200,0,MATCH(O$2,Inputs!$D$2:$AG$2,0))))=0,"",SUMIFS(INDEX(Inputs!$D$4:$AG$200,0,MATCH(O$2,Inputs!$D$2:$AG$2,0)),Inputs!$B$4:$B$200,$B54)/1000)</f>
        <v/>
      </c>
      <c r="P54" s="11">
        <f>IF(SUMPRODUCT((Inputs!$B$4:$B$200=$B54)*ISNUMBER(INDEX(Inputs!$D$4:$AG$200,0,MATCH(P$2,Inputs!$D$2:$AG$2,0))))=0,"",SUMIFS(INDEX(Inputs!$D$4:$AG$200,0,MATCH(P$2,Inputs!$D$2:$AG$2,0)),Inputs!$B$4:$B$200,$B54)/1000)</f>
        <v>247.76214341</v>
      </c>
      <c r="Q54" s="11">
        <f>IF(SUMPRODUCT((Inputs!$B$4:$B$200=$B54)*ISNUMBER(INDEX(Inputs!$D$4:$AG$200,0,MATCH(Q$2,Inputs!$D$2:$AG$2,0))))=0,"",SUMIFS(INDEX(Inputs!$D$4:$AG$200,0,MATCH(Q$2,Inputs!$D$2:$AG$2,0)),Inputs!$B$4:$B$200,$B54)/1000)</f>
        <v>222.190043</v>
      </c>
      <c r="R54" s="12" t="str">
        <f>IF(COUNT(N54:Q54)=4,SUM(N54:Q54),"")</f>
        <v/>
      </c>
      <c r="S54" s="11">
        <f>IF(SUMPRODUCT((Inputs!$B$4:$B$200=$B54)*ISNUMBER(INDEX(Inputs!$D$4:$AG$200,0,MATCH(S$2,Inputs!$D$2:$AG$2,0))))=0,"",SUMIFS(INDEX(Inputs!$D$4:$AG$200,0,MATCH(S$2,Inputs!$D$2:$AG$2,0)),Inputs!$B$4:$B$200,$B54)/1000)</f>
        <v>260.104847016</v>
      </c>
      <c r="T54" s="11">
        <f>IF(SUMPRODUCT((Inputs!$B$4:$B$200=$B54)*ISNUMBER(INDEX(Inputs!$D$4:$AG$200,0,MATCH(T$2,Inputs!$D$2:$AG$2,0))))=0,"",SUMIFS(INDEX(Inputs!$D$4:$AG$200,0,MATCH(T$2,Inputs!$D$2:$AG$2,0)),Inputs!$B$4:$B$200,$B54)/1000)</f>
        <v>275.116410953</v>
      </c>
      <c r="U54" s="11">
        <f>IF(SUMPRODUCT((Inputs!$B$4:$B$200=$B54)*ISNUMBER(INDEX(Inputs!$D$4:$AG$200,0,MATCH(U$2,Inputs!$D$2:$AG$2,0))))=0,"",SUMIFS(INDEX(Inputs!$D$4:$AG$200,0,MATCH(U$2,Inputs!$D$2:$AG$2,0)),Inputs!$B$4:$B$200,$B54)/1000)</f>
        <v>272.523471</v>
      </c>
      <c r="V54" s="11">
        <f>IF(SUMPRODUCT((Inputs!$B$4:$B$200=$B54)*ISNUMBER(INDEX(Inputs!$D$4:$AG$200,0,MATCH(V$2,Inputs!$D$2:$AG$2,0))))=0,"",SUMIFS(INDEX(Inputs!$D$4:$AG$200,0,MATCH(V$2,Inputs!$D$2:$AG$2,0)),Inputs!$B$4:$B$200,$B54)/1000)</f>
        <v>252.227442297</v>
      </c>
      <c r="W54" s="12">
        <f>IF(COUNT(S54:V54)=4,SUM(S54:V54),"")</f>
        <v>1059.972171266</v>
      </c>
      <c r="X54" s="11">
        <f>IF(SUMPRODUCT((Inputs!$B$4:$B$200=$B54)*ISNUMBER(INDEX(Inputs!$D$4:$AG$200,0,MATCH(X$2,Inputs!$D$2:$AG$2,0))))=0,"",SUMIFS(INDEX(Inputs!$D$4:$AG$200,0,MATCH(X$2,Inputs!$D$2:$AG$2,0)),Inputs!$B$4:$B$200,$B54)/1000)</f>
        <v>284.97237</v>
      </c>
      <c r="Y54" s="11">
        <f>IF(SUMPRODUCT((Inputs!$B$4:$B$200=$B54)*ISNUMBER(INDEX(Inputs!$D$4:$AG$200,0,MATCH(Y$2,Inputs!$D$2:$AG$2,0))))=0,"",SUMIFS(INDEX(Inputs!$D$4:$AG$200,0,MATCH(Y$2,Inputs!$D$2:$AG$2,0)),Inputs!$B$4:$B$200,$B54)/1000)</f>
        <v>292.180676</v>
      </c>
      <c r="Z54" s="11">
        <f>IF(SUMPRODUCT((Inputs!$B$4:$B$200=$B54)*ISNUMBER(INDEX(Inputs!$D$4:$AG$200,0,MATCH(Z$2,Inputs!$D$2:$AG$2,0))))=0,"",SUMIFS(INDEX(Inputs!$D$4:$AG$200,0,MATCH(Z$2,Inputs!$D$2:$AG$2,0)),Inputs!$B$4:$B$200,$B54)/1000)</f>
        <v>346.355975155</v>
      </c>
      <c r="AA54" s="11">
        <f>IF(SUMPRODUCT((Inputs!$B$4:$B$200=$B54)*ISNUMBER(INDEX(Inputs!$D$4:$AG$200,0,MATCH(AA$2,Inputs!$D$2:$AG$2,0))))=0,"",SUMIFS(INDEX(Inputs!$D$4:$AG$200,0,MATCH(AA$2,Inputs!$D$2:$AG$2,0)),Inputs!$B$4:$B$200,$B54)/1000)</f>
        <v>316.543483</v>
      </c>
      <c r="AB54" s="12">
        <f>IF(COUNT(X54:AA54)=4,SUM(X54:AA54),"")</f>
        <v>1240.052504155</v>
      </c>
      <c r="AC54" s="11">
        <f>IF(SUMPRODUCT((Inputs!$B$4:$B$200=$B54)*ISNUMBER(INDEX(Inputs!$D$4:$AG$200,0,MATCH(AC$2,Inputs!$D$2:$AG$2,0))))=0,"",SUMIFS(INDEX(Inputs!$D$4:$AG$200,0,MATCH(AC$2,Inputs!$D$2:$AG$2,0)),Inputs!$B$4:$B$200,$B54)/1000)</f>
        <v>364.963967882</v>
      </c>
      <c r="AD54" s="11">
        <f>IF(SUMPRODUCT((Inputs!$B$4:$B$200=$B54)*ISNUMBER(INDEX(Inputs!$D$4:$AG$200,0,MATCH(AD$2,Inputs!$D$2:$AG$2,0))))=0,"",SUMIFS(INDEX(Inputs!$D$4:$AG$200,0,MATCH(AD$2,Inputs!$D$2:$AG$2,0)),Inputs!$B$4:$B$200,$B54)/1000)</f>
        <v>373.079278</v>
      </c>
      <c r="AE54" s="11" t="str">
        <f>IF(SUMPRODUCT((Inputs!$B$4:$B$200=$B54)*ISNUMBER(INDEX(Inputs!$D$4:$AG$200,0,MATCH(AE$2,Inputs!$D$2:$AG$2,0))))=0,"",SUMIFS(INDEX(Inputs!$D$4:$AG$200,0,MATCH(AE$2,Inputs!$D$2:$AG$2,0)),Inputs!$B$4:$B$200,$B54)/1000)</f>
        <v/>
      </c>
      <c r="AF54" s="11" t="str">
        <f>IF(SUMPRODUCT((Inputs!$B$4:$B$200=$B54)*ISNUMBER(INDEX(Inputs!$D$4:$AG$200,0,MATCH(AF$2,Inputs!$D$2:$AG$2,0))))=0,"",SUMIFS(INDEX(Inputs!$D$4:$AG$200,0,MATCH(AF$2,Inputs!$D$2:$AG$2,0)),Inputs!$B$4:$B$200,$B54)/1000)</f>
        <v/>
      </c>
      <c r="AG54" s="12" t="str">
        <f>IF(COUNT(AC54:AF54)=4,SUM(AC54:AF54),"")</f>
        <v/>
      </c>
    </row>
    <row r="55">
      <c r="B55" s="9" t="n">
        <v>47</v>
      </c>
      <c r="C55" s="10" t="inlineStr">
        <is>
          <t>Marcas Rio de Janeiro</t>
        </is>
      </c>
      <c r="D55" s="11">
        <f>IF(SUMPRODUCT((Inputs!$B$4:$B$200=$B55)*ISNUMBER(INDEX(Inputs!$D$4:$AG$200,0,MATCH(D$2,Inputs!$D$2:$AG$2,0))))=0,"",SUMIFS(INDEX(Inputs!$D$4:$AG$200,0,MATCH(D$2,Inputs!$D$2:$AG$2,0)),Inputs!$B$4:$B$200,$B55)/1000)</f>
        <v>155.201122208</v>
      </c>
      <c r="E55" s="11">
        <f>IF(SUMPRODUCT((Inputs!$B$4:$B$200=$B55)*ISNUMBER(INDEX(Inputs!$D$4:$AG$200,0,MATCH(E$2,Inputs!$D$2:$AG$2,0))))=0,"",SUMIFS(INDEX(Inputs!$D$4:$AG$200,0,MATCH(E$2,Inputs!$D$2:$AG$2,0)),Inputs!$B$4:$B$200,$B55)/1000)</f>
        <v>158.68703648</v>
      </c>
      <c r="F55" s="11">
        <f>IF(SUMPRODUCT((Inputs!$B$4:$B$200=$B55)*ISNUMBER(INDEX(Inputs!$D$4:$AG$200,0,MATCH(F$2,Inputs!$D$2:$AG$2,0))))=0,"",SUMIFS(INDEX(Inputs!$D$4:$AG$200,0,MATCH(F$2,Inputs!$D$2:$AG$2,0)),Inputs!$B$4:$B$200,$B55)/1000)</f>
        <v>159.76068278</v>
      </c>
      <c r="G55" s="11">
        <f>IF(SUMPRODUCT((Inputs!$B$4:$B$200=$B55)*ISNUMBER(INDEX(Inputs!$D$4:$AG$200,0,MATCH(G$2,Inputs!$D$2:$AG$2,0))))=0,"",SUMIFS(INDEX(Inputs!$D$4:$AG$200,0,MATCH(G$2,Inputs!$D$2:$AG$2,0)),Inputs!$B$4:$B$200,$B55)/1000)</f>
        <v>145.98747663</v>
      </c>
      <c r="H55" s="12">
        <f>IF(COUNT(D55:G55)=4,SUM(D55:G55),"")</f>
        <v>619.636318098</v>
      </c>
      <c r="I55" s="11">
        <f>IF(SUMPRODUCT((Inputs!$B$4:$B$200=$B55)*ISNUMBER(INDEX(Inputs!$D$4:$AG$200,0,MATCH(I$2,Inputs!$D$2:$AG$2,0))))=0,"",SUMIFS(INDEX(Inputs!$D$4:$AG$200,0,MATCH(I$2,Inputs!$D$2:$AG$2,0)),Inputs!$B$4:$B$200,$B55)/1000)</f>
        <v>159.52179541</v>
      </c>
      <c r="J55" s="11">
        <f>IF(SUMPRODUCT((Inputs!$B$4:$B$200=$B55)*ISNUMBER(INDEX(Inputs!$D$4:$AG$200,0,MATCH(J$2,Inputs!$D$2:$AG$2,0))))=0,"",SUMIFS(INDEX(Inputs!$D$4:$AG$200,0,MATCH(J$2,Inputs!$D$2:$AG$2,0)),Inputs!$B$4:$B$200,$B55)/1000)</f>
        <v>171.349672199</v>
      </c>
      <c r="K55" s="11">
        <f>IF(SUMPRODUCT((Inputs!$B$4:$B$200=$B55)*ISNUMBER(INDEX(Inputs!$D$4:$AG$200,0,MATCH(K$2,Inputs!$D$2:$AG$2,0))))=0,"",SUMIFS(INDEX(Inputs!$D$4:$AG$200,0,MATCH(K$2,Inputs!$D$2:$AG$2,0)),Inputs!$B$4:$B$200,$B55)/1000)</f>
        <v>179.385965</v>
      </c>
      <c r="L55" s="11">
        <f>IF(SUMPRODUCT((Inputs!$B$4:$B$200=$B55)*ISNUMBER(INDEX(Inputs!$D$4:$AG$200,0,MATCH(L$2,Inputs!$D$2:$AG$2,0))))=0,"",SUMIFS(INDEX(Inputs!$D$4:$AG$200,0,MATCH(L$2,Inputs!$D$2:$AG$2,0)),Inputs!$B$4:$B$200,$B55)/1000)</f>
        <v>167.181327</v>
      </c>
      <c r="M55" s="12">
        <f>IF(COUNT(I55:L55)=4,SUM(I55:L55),"")</f>
        <v>677.438759609</v>
      </c>
      <c r="N55" s="11">
        <f>IF(SUMPRODUCT((Inputs!$B$4:$B$200=$B55)*ISNUMBER(INDEX(Inputs!$D$4:$AG$200,0,MATCH(N$2,Inputs!$D$2:$AG$2,0))))=0,"",SUMIFS(INDEX(Inputs!$D$4:$AG$200,0,MATCH(N$2,Inputs!$D$2:$AG$2,0)),Inputs!$B$4:$B$200,$B55)/1000)</f>
        <v>187.006096</v>
      </c>
      <c r="O55" s="11" t="str">
        <f>IF(SUMPRODUCT((Inputs!$B$4:$B$200=$B55)*ISNUMBER(INDEX(Inputs!$D$4:$AG$200,0,MATCH(O$2,Inputs!$D$2:$AG$2,0))))=0,"",SUMIFS(INDEX(Inputs!$D$4:$AG$200,0,MATCH(O$2,Inputs!$D$2:$AG$2,0)),Inputs!$B$4:$B$200,$B55)/1000)</f>
        <v/>
      </c>
      <c r="P55" s="11">
        <f>IF(SUMPRODUCT((Inputs!$B$4:$B$200=$B55)*ISNUMBER(INDEX(Inputs!$D$4:$AG$200,0,MATCH(P$2,Inputs!$D$2:$AG$2,0))))=0,"",SUMIFS(INDEX(Inputs!$D$4:$AG$200,0,MATCH(P$2,Inputs!$D$2:$AG$2,0)),Inputs!$B$4:$B$200,$B55)/1000)</f>
        <v>232.98465544</v>
      </c>
      <c r="Q55" s="11">
        <f>IF(SUMPRODUCT((Inputs!$B$4:$B$200=$B55)*ISNUMBER(INDEX(Inputs!$D$4:$AG$200,0,MATCH(Q$2,Inputs!$D$2:$AG$2,0))))=0,"",SUMIFS(INDEX(Inputs!$D$4:$AG$200,0,MATCH(Q$2,Inputs!$D$2:$AG$2,0)),Inputs!$B$4:$B$200,$B55)/1000)</f>
        <v>201.689043</v>
      </c>
      <c r="R55" s="12" t="str">
        <f>IF(COUNT(N55:Q55)=4,SUM(N55:Q55),"")</f>
        <v/>
      </c>
      <c r="S55" s="11">
        <f>IF(SUMPRODUCT((Inputs!$B$4:$B$200=$B55)*ISNUMBER(INDEX(Inputs!$D$4:$AG$200,0,MATCH(S$2,Inputs!$D$2:$AG$2,0))))=0,"",SUMIFS(INDEX(Inputs!$D$4:$AG$200,0,MATCH(S$2,Inputs!$D$2:$AG$2,0)),Inputs!$B$4:$B$200,$B55)/1000)</f>
        <v>217.491723434</v>
      </c>
      <c r="T55" s="11">
        <f>IF(SUMPRODUCT((Inputs!$B$4:$B$200=$B55)*ISNUMBER(INDEX(Inputs!$D$4:$AG$200,0,MATCH(T$2,Inputs!$D$2:$AG$2,0))))=0,"",SUMIFS(INDEX(Inputs!$D$4:$AG$200,0,MATCH(T$2,Inputs!$D$2:$AG$2,0)),Inputs!$B$4:$B$200,$B55)/1000)</f>
        <v>239.352098345</v>
      </c>
      <c r="U55" s="11">
        <f>IF(SUMPRODUCT((Inputs!$B$4:$B$200=$B55)*ISNUMBER(INDEX(Inputs!$D$4:$AG$200,0,MATCH(U$2,Inputs!$D$2:$AG$2,0))))=0,"",SUMIFS(INDEX(Inputs!$D$4:$AG$200,0,MATCH(U$2,Inputs!$D$2:$AG$2,0)),Inputs!$B$4:$B$200,$B55)/1000)</f>
        <v>241.885631</v>
      </c>
      <c r="V55" s="11">
        <f>IF(SUMPRODUCT((Inputs!$B$4:$B$200=$B55)*ISNUMBER(INDEX(Inputs!$D$4:$AG$200,0,MATCH(V$2,Inputs!$D$2:$AG$2,0))))=0,"",SUMIFS(INDEX(Inputs!$D$4:$AG$200,0,MATCH(V$2,Inputs!$D$2:$AG$2,0)),Inputs!$B$4:$B$200,$B55)/1000)</f>
        <v>213.783914483</v>
      </c>
      <c r="W55" s="12">
        <f>IF(COUNT(S55:V55)=4,SUM(S55:V55),"")</f>
        <v>912.513367262</v>
      </c>
      <c r="X55" s="11">
        <f>IF(SUMPRODUCT((Inputs!$B$4:$B$200=$B55)*ISNUMBER(INDEX(Inputs!$D$4:$AG$200,0,MATCH(X$2,Inputs!$D$2:$AG$2,0))))=0,"",SUMIFS(INDEX(Inputs!$D$4:$AG$200,0,MATCH(X$2,Inputs!$D$2:$AG$2,0)),Inputs!$B$4:$B$200,$B55)/1000)</f>
        <v>235.788503</v>
      </c>
      <c r="Y55" s="11">
        <f>IF(SUMPRODUCT((Inputs!$B$4:$B$200=$B55)*ISNUMBER(INDEX(Inputs!$D$4:$AG$200,0,MATCH(Y$2,Inputs!$D$2:$AG$2,0))))=0,"",SUMIFS(INDEX(Inputs!$D$4:$AG$200,0,MATCH(Y$2,Inputs!$D$2:$AG$2,0)),Inputs!$B$4:$B$200,$B55)/1000)</f>
        <v>258.331341</v>
      </c>
      <c r="Z55" s="11">
        <f>IF(SUMPRODUCT((Inputs!$B$4:$B$200=$B55)*ISNUMBER(INDEX(Inputs!$D$4:$AG$200,0,MATCH(Z$2,Inputs!$D$2:$AG$2,0))))=0,"",SUMIFS(INDEX(Inputs!$D$4:$AG$200,0,MATCH(Z$2,Inputs!$D$2:$AG$2,0)),Inputs!$B$4:$B$200,$B55)/1000)</f>
        <v>267.138504779</v>
      </c>
      <c r="AA55" s="11">
        <f>IF(SUMPRODUCT((Inputs!$B$4:$B$200=$B55)*ISNUMBER(INDEX(Inputs!$D$4:$AG$200,0,MATCH(AA$2,Inputs!$D$2:$AG$2,0))))=0,"",SUMIFS(INDEX(Inputs!$D$4:$AG$200,0,MATCH(AA$2,Inputs!$D$2:$AG$2,0)),Inputs!$B$4:$B$200,$B55)/1000)</f>
        <v>244.00199</v>
      </c>
      <c r="AB55" s="12">
        <f>IF(COUNT(X55:AA55)=4,SUM(X55:AA55),"")</f>
        <v>1005.260338779</v>
      </c>
      <c r="AC55" s="11">
        <f>IF(SUMPRODUCT((Inputs!$B$4:$B$200=$B55)*ISNUMBER(INDEX(Inputs!$D$4:$AG$200,0,MATCH(AC$2,Inputs!$D$2:$AG$2,0))))=0,"",SUMIFS(INDEX(Inputs!$D$4:$AG$200,0,MATCH(AC$2,Inputs!$D$2:$AG$2,0)),Inputs!$B$4:$B$200,$B55)/1000)</f>
        <v>257.539538841</v>
      </c>
      <c r="AD55" s="11">
        <f>IF(SUMPRODUCT((Inputs!$B$4:$B$200=$B55)*ISNUMBER(INDEX(Inputs!$D$4:$AG$200,0,MATCH(AD$2,Inputs!$D$2:$AG$2,0))))=0,"",SUMIFS(INDEX(Inputs!$D$4:$AG$200,0,MATCH(AD$2,Inputs!$D$2:$AG$2,0)),Inputs!$B$4:$B$200,$B55)/1000)</f>
        <v>281.27138</v>
      </c>
      <c r="AE55" s="11" t="str">
        <f>IF(SUMPRODUCT((Inputs!$B$4:$B$200=$B55)*ISNUMBER(INDEX(Inputs!$D$4:$AG$200,0,MATCH(AE$2,Inputs!$D$2:$AG$2,0))))=0,"",SUMIFS(INDEX(Inputs!$D$4:$AG$200,0,MATCH(AE$2,Inputs!$D$2:$AG$2,0)),Inputs!$B$4:$B$200,$B55)/1000)</f>
        <v/>
      </c>
      <c r="AF55" s="11" t="str">
        <f>IF(SUMPRODUCT((Inputs!$B$4:$B$200=$B55)*ISNUMBER(INDEX(Inputs!$D$4:$AG$200,0,MATCH(AF$2,Inputs!$D$2:$AG$2,0))))=0,"",SUMIFS(INDEX(Inputs!$D$4:$AG$200,0,MATCH(AF$2,Inputs!$D$2:$AG$2,0)),Inputs!$B$4:$B$200,$B55)/1000)</f>
        <v/>
      </c>
      <c r="AG55" s="12" t="str">
        <f>IF(COUNT(AC55:AF55)=4,SUM(AC55:AF55),"")</f>
        <v/>
      </c>
    </row>
    <row r="56">
      <c r="B56" s="9" t="n">
        <v>48</v>
      </c>
      <c r="C56" s="10" t="inlineStr">
        <is>
          <t>Marcas MG</t>
        </is>
      </c>
      <c r="D56" s="11">
        <f>IF(SUMPRODUCT((Inputs!$B$4:$B$200=$B56)*ISNUMBER(INDEX(Inputs!$D$4:$AG$200,0,MATCH(D$2,Inputs!$D$2:$AG$2,0))))=0,"",SUMIFS(INDEX(Inputs!$D$4:$AG$200,0,MATCH(D$2,Inputs!$D$2:$AG$2,0)),Inputs!$B$4:$B$200,$B56)/1000)</f>
        <v>0</v>
      </c>
      <c r="E56" s="11">
        <f>IF(SUMPRODUCT((Inputs!$B$4:$B$200=$B56)*ISNUMBER(INDEX(Inputs!$D$4:$AG$200,0,MATCH(E$2,Inputs!$D$2:$AG$2,0))))=0,"",SUMIFS(INDEX(Inputs!$D$4:$AG$200,0,MATCH(E$2,Inputs!$D$2:$AG$2,0)),Inputs!$B$4:$B$200,$B56)/1000)</f>
        <v>0</v>
      </c>
      <c r="F56" s="11">
        <f>IF(SUMPRODUCT((Inputs!$B$4:$B$200=$B56)*ISNUMBER(INDEX(Inputs!$D$4:$AG$200,0,MATCH(F$2,Inputs!$D$2:$AG$2,0))))=0,"",SUMIFS(INDEX(Inputs!$D$4:$AG$200,0,MATCH(F$2,Inputs!$D$2:$AG$2,0)),Inputs!$B$4:$B$200,$B56)/1000)</f>
        <v>0</v>
      </c>
      <c r="G56" s="11">
        <f>IF(SUMPRODUCT((Inputs!$B$4:$B$200=$B56)*ISNUMBER(INDEX(Inputs!$D$4:$AG$200,0,MATCH(G$2,Inputs!$D$2:$AG$2,0))))=0,"",SUMIFS(INDEX(Inputs!$D$4:$AG$200,0,MATCH(G$2,Inputs!$D$2:$AG$2,0)),Inputs!$B$4:$B$200,$B56)/1000)</f>
        <v>0</v>
      </c>
      <c r="H56" s="12">
        <f>IF(COUNT(D56:G56)=4,SUM(D56:G56),"")</f>
        <v>0</v>
      </c>
      <c r="I56" s="11">
        <f>IF(SUMPRODUCT((Inputs!$B$4:$B$200=$B56)*ISNUMBER(INDEX(Inputs!$D$4:$AG$200,0,MATCH(I$2,Inputs!$D$2:$AG$2,0))))=0,"",SUMIFS(INDEX(Inputs!$D$4:$AG$200,0,MATCH(I$2,Inputs!$D$2:$AG$2,0)),Inputs!$B$4:$B$200,$B56)/1000)</f>
        <v>0</v>
      </c>
      <c r="J56" s="11">
        <f>IF(SUMPRODUCT((Inputs!$B$4:$B$200=$B56)*ISNUMBER(INDEX(Inputs!$D$4:$AG$200,0,MATCH(J$2,Inputs!$D$2:$AG$2,0))))=0,"",SUMIFS(INDEX(Inputs!$D$4:$AG$200,0,MATCH(J$2,Inputs!$D$2:$AG$2,0)),Inputs!$B$4:$B$200,$B56)/1000)</f>
        <v>0</v>
      </c>
      <c r="K56" s="11">
        <f>IF(SUMPRODUCT((Inputs!$B$4:$B$200=$B56)*ISNUMBER(INDEX(Inputs!$D$4:$AG$200,0,MATCH(K$2,Inputs!$D$2:$AG$2,0))))=0,"",SUMIFS(INDEX(Inputs!$D$4:$AG$200,0,MATCH(K$2,Inputs!$D$2:$AG$2,0)),Inputs!$B$4:$B$200,$B56)/1000)</f>
        <v>0</v>
      </c>
      <c r="L56" s="11">
        <f>IF(SUMPRODUCT((Inputs!$B$4:$B$200=$B56)*ISNUMBER(INDEX(Inputs!$D$4:$AG$200,0,MATCH(L$2,Inputs!$D$2:$AG$2,0))))=0,"",SUMIFS(INDEX(Inputs!$D$4:$AG$200,0,MATCH(L$2,Inputs!$D$2:$AG$2,0)),Inputs!$B$4:$B$200,$B56)/1000)</f>
        <v>8.5069792</v>
      </c>
      <c r="M56" s="12">
        <f>IF(COUNT(I56:L56)=4,SUM(I56:L56),"")</f>
        <v>8.5069792</v>
      </c>
      <c r="N56" s="11">
        <f>IF(SUMPRODUCT((Inputs!$B$4:$B$200=$B56)*ISNUMBER(INDEX(Inputs!$D$4:$AG$200,0,MATCH(N$2,Inputs!$D$2:$AG$2,0))))=0,"",SUMIFS(INDEX(Inputs!$D$4:$AG$200,0,MATCH(N$2,Inputs!$D$2:$AG$2,0)),Inputs!$B$4:$B$200,$B56)/1000)</f>
        <v>9.993879</v>
      </c>
      <c r="O56" s="11" t="str">
        <f>IF(SUMPRODUCT((Inputs!$B$4:$B$200=$B56)*ISNUMBER(INDEX(Inputs!$D$4:$AG$200,0,MATCH(O$2,Inputs!$D$2:$AG$2,0))))=0,"",SUMIFS(INDEX(Inputs!$D$4:$AG$200,0,MATCH(O$2,Inputs!$D$2:$AG$2,0)),Inputs!$B$4:$B$200,$B56)/1000)</f>
        <v/>
      </c>
      <c r="P56" s="11">
        <f>IF(SUMPRODUCT((Inputs!$B$4:$B$200=$B56)*ISNUMBER(INDEX(Inputs!$D$4:$AG$200,0,MATCH(P$2,Inputs!$D$2:$AG$2,0))))=0,"",SUMIFS(INDEX(Inputs!$D$4:$AG$200,0,MATCH(P$2,Inputs!$D$2:$AG$2,0)),Inputs!$B$4:$B$200,$B56)/1000)</f>
        <v>146.85365604</v>
      </c>
      <c r="Q56" s="11">
        <f>IF(SUMPRODUCT((Inputs!$B$4:$B$200=$B56)*ISNUMBER(INDEX(Inputs!$D$4:$AG$200,0,MATCH(Q$2,Inputs!$D$2:$AG$2,0))))=0,"",SUMIFS(INDEX(Inputs!$D$4:$AG$200,0,MATCH(Q$2,Inputs!$D$2:$AG$2,0)),Inputs!$B$4:$B$200,$B56)/1000)</f>
        <v>139.428568</v>
      </c>
      <c r="R56" s="12" t="str">
        <f>IF(COUNT(N56:Q56)=4,SUM(N56:Q56),"")</f>
        <v/>
      </c>
      <c r="S56" s="11">
        <f>IF(SUMPRODUCT((Inputs!$B$4:$B$200=$B56)*ISNUMBER(INDEX(Inputs!$D$4:$AG$200,0,MATCH(S$2,Inputs!$D$2:$AG$2,0))))=0,"",SUMIFS(INDEX(Inputs!$D$4:$AG$200,0,MATCH(S$2,Inputs!$D$2:$AG$2,0)),Inputs!$B$4:$B$200,$B56)/1000)</f>
        <v>163.046700426</v>
      </c>
      <c r="T56" s="11">
        <f>IF(SUMPRODUCT((Inputs!$B$4:$B$200=$B56)*ISNUMBER(INDEX(Inputs!$D$4:$AG$200,0,MATCH(T$2,Inputs!$D$2:$AG$2,0))))=0,"",SUMIFS(INDEX(Inputs!$D$4:$AG$200,0,MATCH(T$2,Inputs!$D$2:$AG$2,0)),Inputs!$B$4:$B$200,$B56)/1000)</f>
        <v>163.888105577</v>
      </c>
      <c r="U56" s="11">
        <f>IF(SUMPRODUCT((Inputs!$B$4:$B$200=$B56)*ISNUMBER(INDEX(Inputs!$D$4:$AG$200,0,MATCH(U$2,Inputs!$D$2:$AG$2,0))))=0,"",SUMIFS(INDEX(Inputs!$D$4:$AG$200,0,MATCH(U$2,Inputs!$D$2:$AG$2,0)),Inputs!$B$4:$B$200,$B56)/1000)</f>
        <v>162.345725</v>
      </c>
      <c r="V56" s="11">
        <f>IF(SUMPRODUCT((Inputs!$B$4:$B$200=$B56)*ISNUMBER(INDEX(Inputs!$D$4:$AG$200,0,MATCH(V$2,Inputs!$D$2:$AG$2,0))))=0,"",SUMIFS(INDEX(Inputs!$D$4:$AG$200,0,MATCH(V$2,Inputs!$D$2:$AG$2,0)),Inputs!$B$4:$B$200,$B56)/1000)</f>
        <v>152.06903667</v>
      </c>
      <c r="W56" s="12">
        <f>IF(COUNT(S56:V56)=4,SUM(S56:V56),"")</f>
        <v>641.349567673</v>
      </c>
      <c r="X56" s="11">
        <f>IF(SUMPRODUCT((Inputs!$B$4:$B$200=$B56)*ISNUMBER(INDEX(Inputs!$D$4:$AG$200,0,MATCH(X$2,Inputs!$D$2:$AG$2,0))))=0,"",SUMIFS(INDEX(Inputs!$D$4:$AG$200,0,MATCH(X$2,Inputs!$D$2:$AG$2,0)),Inputs!$B$4:$B$200,$B56)/1000)</f>
        <v>168.573027</v>
      </c>
      <c r="Y56" s="11">
        <f>IF(SUMPRODUCT((Inputs!$B$4:$B$200=$B56)*ISNUMBER(INDEX(Inputs!$D$4:$AG$200,0,MATCH(Y$2,Inputs!$D$2:$AG$2,0))))=0,"",SUMIFS(INDEX(Inputs!$D$4:$AG$200,0,MATCH(Y$2,Inputs!$D$2:$AG$2,0)),Inputs!$B$4:$B$200,$B56)/1000)</f>
        <v>172.094632</v>
      </c>
      <c r="Z56" s="11">
        <f>IF(SUMPRODUCT((Inputs!$B$4:$B$200=$B56)*ISNUMBER(INDEX(Inputs!$D$4:$AG$200,0,MATCH(Z$2,Inputs!$D$2:$AG$2,0))))=0,"",SUMIFS(INDEX(Inputs!$D$4:$AG$200,0,MATCH(Z$2,Inputs!$D$2:$AG$2,0)),Inputs!$B$4:$B$200,$B56)/1000)</f>
        <v>187.584298868</v>
      </c>
      <c r="AA56" s="11">
        <f>IF(SUMPRODUCT((Inputs!$B$4:$B$200=$B56)*ISNUMBER(INDEX(Inputs!$D$4:$AG$200,0,MATCH(AA$2,Inputs!$D$2:$AG$2,0))))=0,"",SUMIFS(INDEX(Inputs!$D$4:$AG$200,0,MATCH(AA$2,Inputs!$D$2:$AG$2,0)),Inputs!$B$4:$B$200,$B56)/1000)</f>
        <v>184.394027</v>
      </c>
      <c r="AB56" s="12">
        <f>IF(COUNT(X56:AA56)=4,SUM(X56:AA56),"")</f>
        <v>712.645984868</v>
      </c>
      <c r="AC56" s="11">
        <f>IF(SUMPRODUCT((Inputs!$B$4:$B$200=$B56)*ISNUMBER(INDEX(Inputs!$D$4:$AG$200,0,MATCH(AC$2,Inputs!$D$2:$AG$2,0))))=0,"",SUMIFS(INDEX(Inputs!$D$4:$AG$200,0,MATCH(AC$2,Inputs!$D$2:$AG$2,0)),Inputs!$B$4:$B$200,$B56)/1000)</f>
        <v>201.79370904</v>
      </c>
      <c r="AD56" s="11">
        <f>IF(SUMPRODUCT((Inputs!$B$4:$B$200=$B56)*ISNUMBER(INDEX(Inputs!$D$4:$AG$200,0,MATCH(AD$2,Inputs!$D$2:$AG$2,0))))=0,"",SUMIFS(INDEX(Inputs!$D$4:$AG$200,0,MATCH(AD$2,Inputs!$D$2:$AG$2,0)),Inputs!$B$4:$B$200,$B56)/1000)</f>
        <v>205.11335</v>
      </c>
      <c r="AE56" s="11" t="str">
        <f>IF(SUMPRODUCT((Inputs!$B$4:$B$200=$B56)*ISNUMBER(INDEX(Inputs!$D$4:$AG$200,0,MATCH(AE$2,Inputs!$D$2:$AG$2,0))))=0,"",SUMIFS(INDEX(Inputs!$D$4:$AG$200,0,MATCH(AE$2,Inputs!$D$2:$AG$2,0)),Inputs!$B$4:$B$200,$B56)/1000)</f>
        <v/>
      </c>
      <c r="AF56" s="11" t="str">
        <f>IF(SUMPRODUCT((Inputs!$B$4:$B$200=$B56)*ISNUMBER(INDEX(Inputs!$D$4:$AG$200,0,MATCH(AF$2,Inputs!$D$2:$AG$2,0))))=0,"",SUMIFS(INDEX(Inputs!$D$4:$AG$200,0,MATCH(AF$2,Inputs!$D$2:$AG$2,0)),Inputs!$B$4:$B$200,$B56)/1000)</f>
        <v/>
      </c>
      <c r="AG56" s="12" t="str">
        <f>IF(COUNT(AC56:AF56)=4,SUM(AC56:AF56),"")</f>
        <v/>
      </c>
    </row>
    <row r="57">
      <c r="B57" s="9" t="n">
        <v>49</v>
      </c>
      <c r="C57" s="10" t="inlineStr">
        <is>
          <t>Marcas Regionais</t>
        </is>
      </c>
      <c r="D57" s="11">
        <f>IF(SUMPRODUCT((Inputs!$B$4:$B$200=$B57)*ISNUMBER(INDEX(Inputs!$D$4:$AG$200,0,MATCH(D$2,Inputs!$D$2:$AG$2,0))))=0,"",SUMIFS(INDEX(Inputs!$D$4:$AG$200,0,MATCH(D$2,Inputs!$D$2:$AG$2,0)),Inputs!$B$4:$B$200,$B57)/1000)</f>
        <v>106.827649419</v>
      </c>
      <c r="E57" s="11">
        <f>IF(SUMPRODUCT((Inputs!$B$4:$B$200=$B57)*ISNUMBER(INDEX(Inputs!$D$4:$AG$200,0,MATCH(E$2,Inputs!$D$2:$AG$2,0))))=0,"",SUMIFS(INDEX(Inputs!$D$4:$AG$200,0,MATCH(E$2,Inputs!$D$2:$AG$2,0)),Inputs!$B$4:$B$200,$B57)/1000)</f>
        <v>107.26347615</v>
      </c>
      <c r="F57" s="11">
        <f>IF(SUMPRODUCT((Inputs!$B$4:$B$200=$B57)*ISNUMBER(INDEX(Inputs!$D$4:$AG$200,0,MATCH(F$2,Inputs!$D$2:$AG$2,0))))=0,"",SUMIFS(INDEX(Inputs!$D$4:$AG$200,0,MATCH(F$2,Inputs!$D$2:$AG$2,0)),Inputs!$B$4:$B$200,$B57)/1000)</f>
        <v>109.3935775</v>
      </c>
      <c r="G57" s="11">
        <f>IF(SUMPRODUCT((Inputs!$B$4:$B$200=$B57)*ISNUMBER(INDEX(Inputs!$D$4:$AG$200,0,MATCH(G$2,Inputs!$D$2:$AG$2,0))))=0,"",SUMIFS(INDEX(Inputs!$D$4:$AG$200,0,MATCH(G$2,Inputs!$D$2:$AG$2,0)),Inputs!$B$4:$B$200,$B57)/1000)</f>
        <v>141.59059045</v>
      </c>
      <c r="H57" s="12">
        <f>IF(COUNT(D57:G57)=4,SUM(D57:G57),"")</f>
        <v>465.075293519</v>
      </c>
      <c r="I57" s="11">
        <f>IF(SUMPRODUCT((Inputs!$B$4:$B$200=$B57)*ISNUMBER(INDEX(Inputs!$D$4:$AG$200,0,MATCH(I$2,Inputs!$D$2:$AG$2,0))))=0,"",SUMIFS(INDEX(Inputs!$D$4:$AG$200,0,MATCH(I$2,Inputs!$D$2:$AG$2,0)),Inputs!$B$4:$B$200,$B57)/1000)</f>
        <v>148.502178229</v>
      </c>
      <c r="J57" s="11">
        <f>IF(SUMPRODUCT((Inputs!$B$4:$B$200=$B57)*ISNUMBER(INDEX(Inputs!$D$4:$AG$200,0,MATCH(J$2,Inputs!$D$2:$AG$2,0))))=0,"",SUMIFS(INDEX(Inputs!$D$4:$AG$200,0,MATCH(J$2,Inputs!$D$2:$AG$2,0)),Inputs!$B$4:$B$200,$B57)/1000)</f>
        <v>160.663107997</v>
      </c>
      <c r="K57" s="11">
        <f>IF(SUMPRODUCT((Inputs!$B$4:$B$200=$B57)*ISNUMBER(INDEX(Inputs!$D$4:$AG$200,0,MATCH(K$2,Inputs!$D$2:$AG$2,0))))=0,"",SUMIFS(INDEX(Inputs!$D$4:$AG$200,0,MATCH(K$2,Inputs!$D$2:$AG$2,0)),Inputs!$B$4:$B$200,$B57)/1000)</f>
        <v>174.007403</v>
      </c>
      <c r="L57" s="11">
        <f>IF(SUMPRODUCT((Inputs!$B$4:$B$200=$B57)*ISNUMBER(INDEX(Inputs!$D$4:$AG$200,0,MATCH(L$2,Inputs!$D$2:$AG$2,0))))=0,"",SUMIFS(INDEX(Inputs!$D$4:$AG$200,0,MATCH(L$2,Inputs!$D$2:$AG$2,0)),Inputs!$B$4:$B$200,$B57)/1000)</f>
        <v>156.72236188</v>
      </c>
      <c r="M57" s="12">
        <f>IF(COUNT(I57:L57)=4,SUM(I57:L57),"")</f>
        <v>639.895051106</v>
      </c>
      <c r="N57" s="11">
        <f>IF(SUMPRODUCT((Inputs!$B$4:$B$200=$B57)*ISNUMBER(INDEX(Inputs!$D$4:$AG$200,0,MATCH(N$2,Inputs!$D$2:$AG$2,0))))=0,"",SUMIFS(INDEX(Inputs!$D$4:$AG$200,0,MATCH(N$2,Inputs!$D$2:$AG$2,0)),Inputs!$B$4:$B$200,$B57)/1000)</f>
        <v>172.3578786</v>
      </c>
      <c r="O57" s="11" t="str">
        <f>IF(SUMPRODUCT((Inputs!$B$4:$B$200=$B57)*ISNUMBER(INDEX(Inputs!$D$4:$AG$200,0,MATCH(O$2,Inputs!$D$2:$AG$2,0))))=0,"",SUMIFS(INDEX(Inputs!$D$4:$AG$200,0,MATCH(O$2,Inputs!$D$2:$AG$2,0)),Inputs!$B$4:$B$200,$B57)/1000)</f>
        <v/>
      </c>
      <c r="P57" s="11">
        <f>IF(SUMPRODUCT((Inputs!$B$4:$B$200=$B57)*ISNUMBER(INDEX(Inputs!$D$4:$AG$200,0,MATCH(P$2,Inputs!$D$2:$AG$2,0))))=0,"",SUMIFS(INDEX(Inputs!$D$4:$AG$200,0,MATCH(P$2,Inputs!$D$2:$AG$2,0)),Inputs!$B$4:$B$200,$B57)/1000)</f>
        <v>221.45745508</v>
      </c>
      <c r="Q57" s="11">
        <f>IF(SUMPRODUCT((Inputs!$B$4:$B$200=$B57)*ISNUMBER(INDEX(Inputs!$D$4:$AG$200,0,MATCH(Q$2,Inputs!$D$2:$AG$2,0))))=0,"",SUMIFS(INDEX(Inputs!$D$4:$AG$200,0,MATCH(Q$2,Inputs!$D$2:$AG$2,0)),Inputs!$B$4:$B$200,$B57)/1000)</f>
        <v>201.105045</v>
      </c>
      <c r="R57" s="12" t="str">
        <f>IF(COUNT(N57:Q57)=4,SUM(N57:Q57),"")</f>
        <v/>
      </c>
      <c r="S57" s="11">
        <f>IF(SUMPRODUCT((Inputs!$B$4:$B$200=$B57)*ISNUMBER(INDEX(Inputs!$D$4:$AG$200,0,MATCH(S$2,Inputs!$D$2:$AG$2,0))))=0,"",SUMIFS(INDEX(Inputs!$D$4:$AG$200,0,MATCH(S$2,Inputs!$D$2:$AG$2,0)),Inputs!$B$4:$B$200,$B57)/1000)</f>
        <v>212.529530462</v>
      </c>
      <c r="T57" s="11">
        <f>IF(SUMPRODUCT((Inputs!$B$4:$B$200=$B57)*ISNUMBER(INDEX(Inputs!$D$4:$AG$200,0,MATCH(T$2,Inputs!$D$2:$AG$2,0))))=0,"",SUMIFS(INDEX(Inputs!$D$4:$AG$200,0,MATCH(T$2,Inputs!$D$2:$AG$2,0)),Inputs!$B$4:$B$200,$B57)/1000)</f>
        <v>218.365689718</v>
      </c>
      <c r="U57" s="11">
        <f>IF(SUMPRODUCT((Inputs!$B$4:$B$200=$B57)*ISNUMBER(INDEX(Inputs!$D$4:$AG$200,0,MATCH(U$2,Inputs!$D$2:$AG$2,0))))=0,"",SUMIFS(INDEX(Inputs!$D$4:$AG$200,0,MATCH(U$2,Inputs!$D$2:$AG$2,0)),Inputs!$B$4:$B$200,$B57)/1000)</f>
        <v>234.342798</v>
      </c>
      <c r="V57" s="11">
        <f>IF(SUMPRODUCT((Inputs!$B$4:$B$200=$B57)*ISNUMBER(INDEX(Inputs!$D$4:$AG$200,0,MATCH(V$2,Inputs!$D$2:$AG$2,0))))=0,"",SUMIFS(INDEX(Inputs!$D$4:$AG$200,0,MATCH(V$2,Inputs!$D$2:$AG$2,0)),Inputs!$B$4:$B$200,$B57)/1000)</f>
        <v>230.446687523</v>
      </c>
      <c r="W57" s="12">
        <f>IF(COUNT(S57:V57)=4,SUM(S57:V57),"")</f>
        <v>895.684705703</v>
      </c>
      <c r="X57" s="11">
        <f>IF(SUMPRODUCT((Inputs!$B$4:$B$200=$B57)*ISNUMBER(INDEX(Inputs!$D$4:$AG$200,0,MATCH(X$2,Inputs!$D$2:$AG$2,0))))=0,"",SUMIFS(INDEX(Inputs!$D$4:$AG$200,0,MATCH(X$2,Inputs!$D$2:$AG$2,0)),Inputs!$B$4:$B$200,$B57)/1000)</f>
        <v>242.430426</v>
      </c>
      <c r="Y57" s="11">
        <f>IF(SUMPRODUCT((Inputs!$B$4:$B$200=$B57)*ISNUMBER(INDEX(Inputs!$D$4:$AG$200,0,MATCH(Y$2,Inputs!$D$2:$AG$2,0))))=0,"",SUMIFS(INDEX(Inputs!$D$4:$AG$200,0,MATCH(Y$2,Inputs!$D$2:$AG$2,0)),Inputs!$B$4:$B$200,$B57)/1000)</f>
        <v>254.313886</v>
      </c>
      <c r="Z57" s="11">
        <f>IF(SUMPRODUCT((Inputs!$B$4:$B$200=$B57)*ISNUMBER(INDEX(Inputs!$D$4:$AG$200,0,MATCH(Z$2,Inputs!$D$2:$AG$2,0))))=0,"",SUMIFS(INDEX(Inputs!$D$4:$AG$200,0,MATCH(Z$2,Inputs!$D$2:$AG$2,0)),Inputs!$B$4:$B$200,$B57)/1000)</f>
        <v>275.621203034</v>
      </c>
      <c r="AA57" s="11">
        <f>IF(SUMPRODUCT((Inputs!$B$4:$B$200=$B57)*ISNUMBER(INDEX(Inputs!$D$4:$AG$200,0,MATCH(AA$2,Inputs!$D$2:$AG$2,0))))=0,"",SUMIFS(INDEX(Inputs!$D$4:$AG$200,0,MATCH(AA$2,Inputs!$D$2:$AG$2,0)),Inputs!$B$4:$B$200,$B57)/1000)</f>
        <v>241.983079</v>
      </c>
      <c r="AB57" s="12">
        <f>IF(COUNT(X57:AA57)=4,SUM(X57:AA57),"")</f>
        <v>1014.348594034</v>
      </c>
      <c r="AC57" s="11">
        <f>IF(SUMPRODUCT((Inputs!$B$4:$B$200=$B57)*ISNUMBER(INDEX(Inputs!$D$4:$AG$200,0,MATCH(AC$2,Inputs!$D$2:$AG$2,0))))=0,"",SUMIFS(INDEX(Inputs!$D$4:$AG$200,0,MATCH(AC$2,Inputs!$D$2:$AG$2,0)),Inputs!$B$4:$B$200,$B57)/1000)</f>
        <v>264.269334131</v>
      </c>
      <c r="AD57" s="11">
        <f>IF(SUMPRODUCT((Inputs!$B$4:$B$200=$B57)*ISNUMBER(INDEX(Inputs!$D$4:$AG$200,0,MATCH(AD$2,Inputs!$D$2:$AG$2,0))))=0,"",SUMIFS(INDEX(Inputs!$D$4:$AG$200,0,MATCH(AD$2,Inputs!$D$2:$AG$2,0)),Inputs!$B$4:$B$200,$B57)/1000)</f>
        <v>280.26126</v>
      </c>
      <c r="AE57" s="11" t="str">
        <f>IF(SUMPRODUCT((Inputs!$B$4:$B$200=$B57)*ISNUMBER(INDEX(Inputs!$D$4:$AG$200,0,MATCH(AE$2,Inputs!$D$2:$AG$2,0))))=0,"",SUMIFS(INDEX(Inputs!$D$4:$AG$200,0,MATCH(AE$2,Inputs!$D$2:$AG$2,0)),Inputs!$B$4:$B$200,$B57)/1000)</f>
        <v/>
      </c>
      <c r="AF57" s="11" t="str">
        <f>IF(SUMPRODUCT((Inputs!$B$4:$B$200=$B57)*ISNUMBER(INDEX(Inputs!$D$4:$AG$200,0,MATCH(AF$2,Inputs!$D$2:$AG$2,0))))=0,"",SUMIFS(INDEX(Inputs!$D$4:$AG$200,0,MATCH(AF$2,Inputs!$D$2:$AG$2,0)),Inputs!$B$4:$B$200,$B57)/1000)</f>
        <v/>
      </c>
      <c r="AG57" s="12" t="str">
        <f>IF(COUNT(AC57:AF57)=4,SUM(AC57:AF57),"")</f>
        <v/>
      </c>
    </row>
    <row r="58">
      <c r="B58" s="9" t="n">
        <v>50</v>
      </c>
      <c r="C58" s="10" t="inlineStr">
        <is>
          <t>B2B</t>
        </is>
      </c>
      <c r="D58" s="11">
        <f>IF(SUMPRODUCT((Inputs!$B$4:$B$200=$B58)*ISNUMBER(INDEX(Inputs!$D$4:$AG$200,0,MATCH(D$2,Inputs!$D$2:$AG$2,0))))=0,"",SUMIFS(INDEX(Inputs!$D$4:$AG$200,0,MATCH(D$2,Inputs!$D$2:$AG$2,0)),Inputs!$B$4:$B$200,$B58)/1000)</f>
        <v>168.726365557</v>
      </c>
      <c r="E58" s="11">
        <f>IF(SUMPRODUCT((Inputs!$B$4:$B$200=$B58)*ISNUMBER(INDEX(Inputs!$D$4:$AG$200,0,MATCH(E$2,Inputs!$D$2:$AG$2,0))))=0,"",SUMIFS(INDEX(Inputs!$D$4:$AG$200,0,MATCH(E$2,Inputs!$D$2:$AG$2,0)),Inputs!$B$4:$B$200,$B58)/1000)</f>
        <v>170.37753754</v>
      </c>
      <c r="F58" s="11">
        <f>IF(SUMPRODUCT((Inputs!$B$4:$B$200=$B58)*ISNUMBER(INDEX(Inputs!$D$4:$AG$200,0,MATCH(F$2,Inputs!$D$2:$AG$2,0))))=0,"",SUMIFS(INDEX(Inputs!$D$4:$AG$200,0,MATCH(F$2,Inputs!$D$2:$AG$2,0)),Inputs!$B$4:$B$200,$B58)/1000)</f>
        <v>182.92207006</v>
      </c>
      <c r="G58" s="11">
        <f>IF(SUMPRODUCT((Inputs!$B$4:$B$200=$B58)*ISNUMBER(INDEX(Inputs!$D$4:$AG$200,0,MATCH(G$2,Inputs!$D$2:$AG$2,0))))=0,"",SUMIFS(INDEX(Inputs!$D$4:$AG$200,0,MATCH(G$2,Inputs!$D$2:$AG$2,0)),Inputs!$B$4:$B$200,$B58)/1000)</f>
        <v>172.43353089</v>
      </c>
      <c r="H58" s="12">
        <f>IF(COUNT(D58:G58)=4,SUM(D58:G58),"")</f>
        <v>694.459504047</v>
      </c>
      <c r="I58" s="11">
        <f>IF(SUMPRODUCT((Inputs!$B$4:$B$200=$B58)*ISNUMBER(INDEX(Inputs!$D$4:$AG$200,0,MATCH(I$2,Inputs!$D$2:$AG$2,0))))=0,"",SUMIFS(INDEX(Inputs!$D$4:$AG$200,0,MATCH(I$2,Inputs!$D$2:$AG$2,0)),Inputs!$B$4:$B$200,$B58)/1000)</f>
        <v>174.20319546</v>
      </c>
      <c r="J58" s="11">
        <f>IF(SUMPRODUCT((Inputs!$B$4:$B$200=$B58)*ISNUMBER(INDEX(Inputs!$D$4:$AG$200,0,MATCH(J$2,Inputs!$D$2:$AG$2,0))))=0,"",SUMIFS(INDEX(Inputs!$D$4:$AG$200,0,MATCH(J$2,Inputs!$D$2:$AG$2,0)),Inputs!$B$4:$B$200,$B58)/1000)</f>
        <v>171.748216896</v>
      </c>
      <c r="K58" s="11">
        <f>IF(SUMPRODUCT((Inputs!$B$4:$B$200=$B58)*ISNUMBER(INDEX(Inputs!$D$4:$AG$200,0,MATCH(K$2,Inputs!$D$2:$AG$2,0))))=0,"",SUMIFS(INDEX(Inputs!$D$4:$AG$200,0,MATCH(K$2,Inputs!$D$2:$AG$2,0)),Inputs!$B$4:$B$200,$B58)/1000)</f>
        <v>146.603407</v>
      </c>
      <c r="L58" s="11">
        <f>IF(SUMPRODUCT((Inputs!$B$4:$B$200=$B58)*ISNUMBER(INDEX(Inputs!$D$4:$AG$200,0,MATCH(L$2,Inputs!$D$2:$AG$2,0))))=0,"",SUMIFS(INDEX(Inputs!$D$4:$AG$200,0,MATCH(L$2,Inputs!$D$2:$AG$2,0)),Inputs!$B$4:$B$200,$B58)/1000)</f>
        <v>129.838387</v>
      </c>
      <c r="M58" s="12">
        <f>IF(COUNT(I58:L58)=4,SUM(I58:L58),"")</f>
        <v>622.393206356</v>
      </c>
      <c r="N58" s="11">
        <f>IF(SUMPRODUCT((Inputs!$B$4:$B$200=$B58)*ISNUMBER(INDEX(Inputs!$D$4:$AG$200,0,MATCH(N$2,Inputs!$D$2:$AG$2,0))))=0,"",SUMIFS(INDEX(Inputs!$D$4:$AG$200,0,MATCH(N$2,Inputs!$D$2:$AG$2,0)),Inputs!$B$4:$B$200,$B58)/1000)</f>
        <v>121.832221</v>
      </c>
      <c r="O58" s="11" t="str">
        <f>IF(SUMPRODUCT((Inputs!$B$4:$B$200=$B58)*ISNUMBER(INDEX(Inputs!$D$4:$AG$200,0,MATCH(O$2,Inputs!$D$2:$AG$2,0))))=0,"",SUMIFS(INDEX(Inputs!$D$4:$AG$200,0,MATCH(O$2,Inputs!$D$2:$AG$2,0)),Inputs!$B$4:$B$200,$B58)/1000)</f>
        <v/>
      </c>
      <c r="P58" s="11">
        <f>IF(SUMPRODUCT((Inputs!$B$4:$B$200=$B58)*ISNUMBER(INDEX(Inputs!$D$4:$AG$200,0,MATCH(P$2,Inputs!$D$2:$AG$2,0))))=0,"",SUMIFS(INDEX(Inputs!$D$4:$AG$200,0,MATCH(P$2,Inputs!$D$2:$AG$2,0)),Inputs!$B$4:$B$200,$B58)/1000)</f>
        <v>462.55425082</v>
      </c>
      <c r="Q58" s="11">
        <f>IF(SUMPRODUCT((Inputs!$B$4:$B$200=$B58)*ISNUMBER(INDEX(Inputs!$D$4:$AG$200,0,MATCH(Q$2,Inputs!$D$2:$AG$2,0))))=0,"",SUMIFS(INDEX(Inputs!$D$4:$AG$200,0,MATCH(Q$2,Inputs!$D$2:$AG$2,0)),Inputs!$B$4:$B$200,$B58)/1000)</f>
        <v>441.410801</v>
      </c>
      <c r="R58" s="12" t="str">
        <f>IF(COUNT(N58:Q58)=4,SUM(N58:Q58),"")</f>
        <v/>
      </c>
      <c r="S58" s="11">
        <f>IF(SUMPRODUCT((Inputs!$B$4:$B$200=$B58)*ISNUMBER(INDEX(Inputs!$D$4:$AG$200,0,MATCH(S$2,Inputs!$D$2:$AG$2,0))))=0,"",SUMIFS(INDEX(Inputs!$D$4:$AG$200,0,MATCH(S$2,Inputs!$D$2:$AG$2,0)),Inputs!$B$4:$B$200,$B58)/1000)</f>
        <v>489.420559829</v>
      </c>
      <c r="T58" s="11">
        <f>IF(SUMPRODUCT((Inputs!$B$4:$B$200=$B58)*ISNUMBER(INDEX(Inputs!$D$4:$AG$200,0,MATCH(T$2,Inputs!$D$2:$AG$2,0))))=0,"",SUMIFS(INDEX(Inputs!$D$4:$AG$200,0,MATCH(T$2,Inputs!$D$2:$AG$2,0)),Inputs!$B$4:$B$200,$B58)/1000)</f>
        <v>501.640815262</v>
      </c>
      <c r="U58" s="11">
        <f>IF(SUMPRODUCT((Inputs!$B$4:$B$200=$B58)*ISNUMBER(INDEX(Inputs!$D$4:$AG$200,0,MATCH(U$2,Inputs!$D$2:$AG$2,0))))=0,"",SUMIFS(INDEX(Inputs!$D$4:$AG$200,0,MATCH(U$2,Inputs!$D$2:$AG$2,0)),Inputs!$B$4:$B$200,$B58)/1000)</f>
        <v>501.259219</v>
      </c>
      <c r="V58" s="11">
        <f>IF(SUMPRODUCT((Inputs!$B$4:$B$200=$B58)*ISNUMBER(INDEX(Inputs!$D$4:$AG$200,0,MATCH(V$2,Inputs!$D$2:$AG$2,0))))=0,"",SUMIFS(INDEX(Inputs!$D$4:$AG$200,0,MATCH(V$2,Inputs!$D$2:$AG$2,0)),Inputs!$B$4:$B$200,$B58)/1000)</f>
        <v>465.728886</v>
      </c>
      <c r="W58" s="12">
        <f>IF(COUNT(S58:V58)=4,SUM(S58:V58),"")</f>
        <v>1958.049480091</v>
      </c>
      <c r="X58" s="11">
        <f>IF(SUMPRODUCT((Inputs!$B$4:$B$200=$B58)*ISNUMBER(INDEX(Inputs!$D$4:$AG$200,0,MATCH(X$2,Inputs!$D$2:$AG$2,0))))=0,"",SUMIFS(INDEX(Inputs!$D$4:$AG$200,0,MATCH(X$2,Inputs!$D$2:$AG$2,0)),Inputs!$B$4:$B$200,$B58)/1000)</f>
        <v>480.04979</v>
      </c>
      <c r="Y58" s="11">
        <f>IF(SUMPRODUCT((Inputs!$B$4:$B$200=$B58)*ISNUMBER(INDEX(Inputs!$D$4:$AG$200,0,MATCH(Y$2,Inputs!$D$2:$AG$2,0))))=0,"",SUMIFS(INDEX(Inputs!$D$4:$AG$200,0,MATCH(Y$2,Inputs!$D$2:$AG$2,0)),Inputs!$B$4:$B$200,$B58)/1000)</f>
        <v>485.926475</v>
      </c>
      <c r="Z58" s="11">
        <f>IF(SUMPRODUCT((Inputs!$B$4:$B$200=$B58)*ISNUMBER(INDEX(Inputs!$D$4:$AG$200,0,MATCH(Z$2,Inputs!$D$2:$AG$2,0))))=0,"",SUMIFS(INDEX(Inputs!$D$4:$AG$200,0,MATCH(Z$2,Inputs!$D$2:$AG$2,0)),Inputs!$B$4:$B$200,$B58)/1000)</f>
        <v>511.573079516</v>
      </c>
      <c r="AA58" s="11">
        <f>IF(SUMPRODUCT((Inputs!$B$4:$B$200=$B58)*ISNUMBER(INDEX(Inputs!$D$4:$AG$200,0,MATCH(AA$2,Inputs!$D$2:$AG$2,0))))=0,"",SUMIFS(INDEX(Inputs!$D$4:$AG$200,0,MATCH(AA$2,Inputs!$D$2:$AG$2,0)),Inputs!$B$4:$B$200,$B58)/1000)</f>
        <v>485.00749</v>
      </c>
      <c r="AB58" s="12">
        <f>IF(COUNT(X58:AA58)=4,SUM(X58:AA58),"")</f>
        <v>1962.556834516</v>
      </c>
      <c r="AC58" s="11">
        <f>IF(SUMPRODUCT((Inputs!$B$4:$B$200=$B58)*ISNUMBER(INDEX(Inputs!$D$4:$AG$200,0,MATCH(AC$2,Inputs!$D$2:$AG$2,0))))=0,"",SUMIFS(INDEX(Inputs!$D$4:$AG$200,0,MATCH(AC$2,Inputs!$D$2:$AG$2,0)),Inputs!$B$4:$B$200,$B58)/1000)</f>
        <v>506.496753097</v>
      </c>
      <c r="AD58" s="11">
        <f>IF(SUMPRODUCT((Inputs!$B$4:$B$200=$B58)*ISNUMBER(INDEX(Inputs!$D$4:$AG$200,0,MATCH(AD$2,Inputs!$D$2:$AG$2,0))))=0,"",SUMIFS(INDEX(Inputs!$D$4:$AG$200,0,MATCH(AD$2,Inputs!$D$2:$AG$2,0)),Inputs!$B$4:$B$200,$B58)/1000)</f>
        <v>545.082445</v>
      </c>
      <c r="AE58" s="11" t="str">
        <f>IF(SUMPRODUCT((Inputs!$B$4:$B$200=$B58)*ISNUMBER(INDEX(Inputs!$D$4:$AG$200,0,MATCH(AE$2,Inputs!$D$2:$AG$2,0))))=0,"",SUMIFS(INDEX(Inputs!$D$4:$AG$200,0,MATCH(AE$2,Inputs!$D$2:$AG$2,0)),Inputs!$B$4:$B$200,$B58)/1000)</f>
        <v/>
      </c>
      <c r="AF58" s="11" t="str">
        <f>IF(SUMPRODUCT((Inputs!$B$4:$B$200=$B58)*ISNUMBER(INDEX(Inputs!$D$4:$AG$200,0,MATCH(AF$2,Inputs!$D$2:$AG$2,0))))=0,"",SUMIFS(INDEX(Inputs!$D$4:$AG$200,0,MATCH(AF$2,Inputs!$D$2:$AG$2,0)),Inputs!$B$4:$B$200,$B58)/1000)</f>
        <v/>
      </c>
      <c r="AG58" s="12" t="str">
        <f>IF(COUNT(AC58:AF58)=4,SUM(AC58:AF58),"")</f>
        <v/>
      </c>
    </row>
    <row r="59">
      <c r="B59" s="9" t="n">
        <v>51</v>
      </c>
      <c r="C59" s="10" t="inlineStr">
        <is>
          <t>Novos Elos e Plataformas</t>
        </is>
      </c>
      <c r="D59" s="11">
        <f>IF(SUMPRODUCT((Inputs!$B$4:$B$200=$B59)*ISNUMBER(INDEX(Inputs!$D$4:$AG$200,0,MATCH(D$2,Inputs!$D$2:$AG$2,0))))=0,"",SUMIFS(INDEX(Inputs!$D$4:$AG$200,0,MATCH(D$2,Inputs!$D$2:$AG$2,0)),Inputs!$B$4:$B$200,$B59)/1000)</f>
        <v>13.85916205</v>
      </c>
      <c r="E59" s="11">
        <f>IF(SUMPRODUCT((Inputs!$B$4:$B$200=$B59)*ISNUMBER(INDEX(Inputs!$D$4:$AG$200,0,MATCH(E$2,Inputs!$D$2:$AG$2,0))))=0,"",SUMIFS(INDEX(Inputs!$D$4:$AG$200,0,MATCH(E$2,Inputs!$D$2:$AG$2,0)),Inputs!$B$4:$B$200,$B59)/1000)</f>
        <v>41.10253789</v>
      </c>
      <c r="F59" s="11">
        <f>IF(SUMPRODUCT((Inputs!$B$4:$B$200=$B59)*ISNUMBER(INDEX(Inputs!$D$4:$AG$200,0,MATCH(F$2,Inputs!$D$2:$AG$2,0))))=0,"",SUMIFS(INDEX(Inputs!$D$4:$AG$200,0,MATCH(F$2,Inputs!$D$2:$AG$2,0)),Inputs!$B$4:$B$200,$B59)/1000)</f>
        <v>86.668212532</v>
      </c>
      <c r="G59" s="11">
        <f>IF(SUMPRODUCT((Inputs!$B$4:$B$200=$B59)*ISNUMBER(INDEX(Inputs!$D$4:$AG$200,0,MATCH(G$2,Inputs!$D$2:$AG$2,0))))=0,"",SUMIFS(INDEX(Inputs!$D$4:$AG$200,0,MATCH(G$2,Inputs!$D$2:$AG$2,0)),Inputs!$B$4:$B$200,$B59)/1000)</f>
        <v>81.656594275</v>
      </c>
      <c r="H59" s="12">
        <f>IF(COUNT(D59:G59)=4,SUM(D59:G59),"")</f>
        <v>223.286506747</v>
      </c>
      <c r="I59" s="11">
        <f>IF(SUMPRODUCT((Inputs!$B$4:$B$200=$B59)*ISNUMBER(INDEX(Inputs!$D$4:$AG$200,0,MATCH(I$2,Inputs!$D$2:$AG$2,0))))=0,"",SUMIFS(INDEX(Inputs!$D$4:$AG$200,0,MATCH(I$2,Inputs!$D$2:$AG$2,0)),Inputs!$B$4:$B$200,$B59)/1000)</f>
        <v>79.26090508</v>
      </c>
      <c r="J59" s="11">
        <f>IF(SUMPRODUCT((Inputs!$B$4:$B$200=$B59)*ISNUMBER(INDEX(Inputs!$D$4:$AG$200,0,MATCH(J$2,Inputs!$D$2:$AG$2,0))))=0,"",SUMIFS(INDEX(Inputs!$D$4:$AG$200,0,MATCH(J$2,Inputs!$D$2:$AG$2,0)),Inputs!$B$4:$B$200,$B59)/1000)</f>
        <v>88.385615808</v>
      </c>
      <c r="K59" s="11">
        <f>IF(SUMPRODUCT((Inputs!$B$4:$B$200=$B59)*ISNUMBER(INDEX(Inputs!$D$4:$AG$200,0,MATCH(K$2,Inputs!$D$2:$AG$2,0))))=0,"",SUMIFS(INDEX(Inputs!$D$4:$AG$200,0,MATCH(K$2,Inputs!$D$2:$AG$2,0)),Inputs!$B$4:$B$200,$B59)/1000)</f>
        <v>101.369994</v>
      </c>
      <c r="L59" s="11">
        <f>IF(SUMPRODUCT((Inputs!$B$4:$B$200=$B59)*ISNUMBER(INDEX(Inputs!$D$4:$AG$200,0,MATCH(L$2,Inputs!$D$2:$AG$2,0))))=0,"",SUMIFS(INDEX(Inputs!$D$4:$AG$200,0,MATCH(L$2,Inputs!$D$2:$AG$2,0)),Inputs!$B$4:$B$200,$B59)/1000)</f>
        <v>143.71703405</v>
      </c>
      <c r="M59" s="12">
        <f>IF(COUNT(I59:L59)=4,SUM(I59:L59),"")</f>
        <v>412.733548938</v>
      </c>
      <c r="N59" s="11">
        <f>IF(SUMPRODUCT((Inputs!$B$4:$B$200=$B59)*ISNUMBER(INDEX(Inputs!$D$4:$AG$200,0,MATCH(N$2,Inputs!$D$2:$AG$2,0))))=0,"",SUMIFS(INDEX(Inputs!$D$4:$AG$200,0,MATCH(N$2,Inputs!$D$2:$AG$2,0)),Inputs!$B$4:$B$200,$B59)/1000)</f>
        <v>146.85354669</v>
      </c>
      <c r="O59" s="11" t="str">
        <f>IF(SUMPRODUCT((Inputs!$B$4:$B$200=$B59)*ISNUMBER(INDEX(Inputs!$D$4:$AG$200,0,MATCH(O$2,Inputs!$D$2:$AG$2,0))))=0,"",SUMIFS(INDEX(Inputs!$D$4:$AG$200,0,MATCH(O$2,Inputs!$D$2:$AG$2,0)),Inputs!$B$4:$B$200,$B59)/1000)</f>
        <v/>
      </c>
      <c r="P59" s="11">
        <f>IF(SUMPRODUCT((Inputs!$B$4:$B$200=$B59)*ISNUMBER(INDEX(Inputs!$D$4:$AG$200,0,MATCH(P$2,Inputs!$D$2:$AG$2,0))))=0,"",SUMIFS(INDEX(Inputs!$D$4:$AG$200,0,MATCH(P$2,Inputs!$D$2:$AG$2,0)),Inputs!$B$4:$B$200,$B59)/1000)</f>
        <v>183.042780266</v>
      </c>
      <c r="Q59" s="11">
        <f>IF(SUMPRODUCT((Inputs!$B$4:$B$200=$B59)*ISNUMBER(INDEX(Inputs!$D$4:$AG$200,0,MATCH(Q$2,Inputs!$D$2:$AG$2,0))))=0,"",SUMIFS(INDEX(Inputs!$D$4:$AG$200,0,MATCH(Q$2,Inputs!$D$2:$AG$2,0)),Inputs!$B$4:$B$200,$B59)/1000)</f>
        <v>168.24368</v>
      </c>
      <c r="R59" s="12" t="str">
        <f>IF(COUNT(N59:Q59)=4,SUM(N59:Q59),"")</f>
        <v/>
      </c>
      <c r="S59" s="11">
        <f>IF(SUMPRODUCT((Inputs!$B$4:$B$200=$B59)*ISNUMBER(INDEX(Inputs!$D$4:$AG$200,0,MATCH(S$2,Inputs!$D$2:$AG$2,0))))=0,"",SUMIFS(INDEX(Inputs!$D$4:$AG$200,0,MATCH(S$2,Inputs!$D$2:$AG$2,0)),Inputs!$B$4:$B$200,$B59)/1000)</f>
        <v>188.714009753</v>
      </c>
      <c r="T59" s="11">
        <f>IF(SUMPRODUCT((Inputs!$B$4:$B$200=$B59)*ISNUMBER(INDEX(Inputs!$D$4:$AG$200,0,MATCH(T$2,Inputs!$D$2:$AG$2,0))))=0,"",SUMIFS(INDEX(Inputs!$D$4:$AG$200,0,MATCH(T$2,Inputs!$D$2:$AG$2,0)),Inputs!$B$4:$B$200,$B59)/1000)</f>
        <v>200.69931886</v>
      </c>
      <c r="U59" s="11">
        <f>IF(SUMPRODUCT((Inputs!$B$4:$B$200=$B59)*ISNUMBER(INDEX(Inputs!$D$4:$AG$200,0,MATCH(U$2,Inputs!$D$2:$AG$2,0))))=0,"",SUMIFS(INDEX(Inputs!$D$4:$AG$200,0,MATCH(U$2,Inputs!$D$2:$AG$2,0)),Inputs!$B$4:$B$200,$B59)/1000)</f>
        <v>198.427812</v>
      </c>
      <c r="V59" s="11">
        <f>IF(SUMPRODUCT((Inputs!$B$4:$B$200=$B59)*ISNUMBER(INDEX(Inputs!$D$4:$AG$200,0,MATCH(V$2,Inputs!$D$2:$AG$2,0))))=0,"",SUMIFS(INDEX(Inputs!$D$4:$AG$200,0,MATCH(V$2,Inputs!$D$2:$AG$2,0)),Inputs!$B$4:$B$200,$B59)/1000)</f>
        <v>174.87353161</v>
      </c>
      <c r="W59" s="12">
        <f>IF(COUNT(S59:V59)=4,SUM(S59:V59),"")</f>
        <v>762.714672223</v>
      </c>
      <c r="X59" s="11">
        <f>IF(SUMPRODUCT((Inputs!$B$4:$B$200=$B59)*ISNUMBER(INDEX(Inputs!$D$4:$AG$200,0,MATCH(X$2,Inputs!$D$2:$AG$2,0))))=0,"",SUMIFS(INDEX(Inputs!$D$4:$AG$200,0,MATCH(X$2,Inputs!$D$2:$AG$2,0)),Inputs!$B$4:$B$200,$B59)/1000)</f>
        <v>222.490154</v>
      </c>
      <c r="Y59" s="11">
        <f>IF(SUMPRODUCT((Inputs!$B$4:$B$200=$B59)*ISNUMBER(INDEX(Inputs!$D$4:$AG$200,0,MATCH(Y$2,Inputs!$D$2:$AG$2,0))))=0,"",SUMIFS(INDEX(Inputs!$D$4:$AG$200,0,MATCH(Y$2,Inputs!$D$2:$AG$2,0)),Inputs!$B$4:$B$200,$B59)/1000)</f>
        <v>174.107667</v>
      </c>
      <c r="Z59" s="11">
        <f>IF(SUMPRODUCT((Inputs!$B$4:$B$200=$B59)*ISNUMBER(INDEX(Inputs!$D$4:$AG$200,0,MATCH(Z$2,Inputs!$D$2:$AG$2,0))))=0,"",SUMIFS(INDEX(Inputs!$D$4:$AG$200,0,MATCH(Z$2,Inputs!$D$2:$AG$2,0)),Inputs!$B$4:$B$200,$B59)/1000)</f>
        <v>204.330322536</v>
      </c>
      <c r="AA59" s="11">
        <f>IF(SUMPRODUCT((Inputs!$B$4:$B$200=$B59)*ISNUMBER(INDEX(Inputs!$D$4:$AG$200,0,MATCH(AA$2,Inputs!$D$2:$AG$2,0))))=0,"",SUMIFS(INDEX(Inputs!$D$4:$AG$200,0,MATCH(AA$2,Inputs!$D$2:$AG$2,0)),Inputs!$B$4:$B$200,$B59)/1000)</f>
        <v>217.547823</v>
      </c>
      <c r="AB59" s="12">
        <f>IF(COUNT(X59:AA59)=4,SUM(X59:AA59),"")</f>
        <v>818.475966536</v>
      </c>
      <c r="AC59" s="11">
        <f>IF(SUMPRODUCT((Inputs!$B$4:$B$200=$B59)*ISNUMBER(INDEX(Inputs!$D$4:$AG$200,0,MATCH(AC$2,Inputs!$D$2:$AG$2,0))))=0,"",SUMIFS(INDEX(Inputs!$D$4:$AG$200,0,MATCH(AC$2,Inputs!$D$2:$AG$2,0)),Inputs!$B$4:$B$200,$B59)/1000)</f>
        <v>194.006040727</v>
      </c>
      <c r="AD59" s="11">
        <f>IF(SUMPRODUCT((Inputs!$B$4:$B$200=$B59)*ISNUMBER(INDEX(Inputs!$D$4:$AG$200,0,MATCH(AD$2,Inputs!$D$2:$AG$2,0))))=0,"",SUMIFS(INDEX(Inputs!$D$4:$AG$200,0,MATCH(AD$2,Inputs!$D$2:$AG$2,0)),Inputs!$B$4:$B$200,$B59)/1000)</f>
        <v>201.792396</v>
      </c>
      <c r="AE59" s="11" t="str">
        <f>IF(SUMPRODUCT((Inputs!$B$4:$B$200=$B59)*ISNUMBER(INDEX(Inputs!$D$4:$AG$200,0,MATCH(AE$2,Inputs!$D$2:$AG$2,0))))=0,"",SUMIFS(INDEX(Inputs!$D$4:$AG$200,0,MATCH(AE$2,Inputs!$D$2:$AG$2,0)),Inputs!$B$4:$B$200,$B59)/1000)</f>
        <v/>
      </c>
      <c r="AF59" s="11" t="str">
        <f>IF(SUMPRODUCT((Inputs!$B$4:$B$200=$B59)*ISNUMBER(INDEX(Inputs!$D$4:$AG$200,0,MATCH(AF$2,Inputs!$D$2:$AG$2,0))))=0,"",SUMIFS(INDEX(Inputs!$D$4:$AG$200,0,MATCH(AF$2,Inputs!$D$2:$AG$2,0)),Inputs!$B$4:$B$200,$B59)/1000)</f>
        <v/>
      </c>
      <c r="AG59" s="12" t="str">
        <f>IF(COUNT(AC59:AF59)=4,SUM(AC59:AF59),"")</f>
        <v/>
      </c>
    </row>
    <row r="60">
      <c r="B60" s="9" t="n">
        <v>52</v>
      </c>
      <c r="C60" s="10" t="inlineStr">
        <is>
          <t>Deducoes da receita</t>
        </is>
      </c>
      <c r="D60" s="11">
        <f>IF(SUMPRODUCT((Inputs!$B$4:$B$200=$B60)*ISNUMBER(INDEX(Inputs!$D$4:$AG$200,0,MATCH(D$2,Inputs!$D$2:$AG$2,0))))=0,"",SUMIFS(INDEX(Inputs!$D$4:$AG$200,0,MATCH(D$2,Inputs!$D$2:$AG$2,0)),Inputs!$B$4:$B$200,$B60)/1000)</f>
        <v>-70.46114024</v>
      </c>
      <c r="E60" s="11">
        <f>IF(SUMPRODUCT((Inputs!$B$4:$B$200=$B60)*ISNUMBER(INDEX(Inputs!$D$4:$AG$200,0,MATCH(E$2,Inputs!$D$2:$AG$2,0))))=0,"",SUMIFS(INDEX(Inputs!$D$4:$AG$200,0,MATCH(E$2,Inputs!$D$2:$AG$2,0)),Inputs!$B$4:$B$200,$B60)/1000)</f>
        <v>-73.06623912</v>
      </c>
      <c r="F60" s="11">
        <f>IF(SUMPRODUCT((Inputs!$B$4:$B$200=$B60)*ISNUMBER(INDEX(Inputs!$D$4:$AG$200,0,MATCH(F$2,Inputs!$D$2:$AG$2,0))))=0,"",SUMIFS(INDEX(Inputs!$D$4:$AG$200,0,MATCH(F$2,Inputs!$D$2:$AG$2,0)),Inputs!$B$4:$B$200,$B60)/1000)</f>
        <v>-78.61996292</v>
      </c>
      <c r="G60" s="11">
        <f>IF(SUMPRODUCT((Inputs!$B$4:$B$200=$B60)*ISNUMBER(INDEX(Inputs!$D$4:$AG$200,0,MATCH(G$2,Inputs!$D$2:$AG$2,0))))=0,"",SUMIFS(INDEX(Inputs!$D$4:$AG$200,0,MATCH(G$2,Inputs!$D$2:$AG$2,0)),Inputs!$B$4:$B$200,$B60)/1000)</f>
        <v>-77.61433756</v>
      </c>
      <c r="H60" s="12">
        <f>IF(COUNT(D60:G60)=4,SUM(D60:G60),"")</f>
        <v>-299.76167984</v>
      </c>
      <c r="I60" s="11">
        <f>IF(SUMPRODUCT((Inputs!$B$4:$B$200=$B60)*ISNUMBER(INDEX(Inputs!$D$4:$AG$200,0,MATCH(I$2,Inputs!$D$2:$AG$2,0))))=0,"",SUMIFS(INDEX(Inputs!$D$4:$AG$200,0,MATCH(I$2,Inputs!$D$2:$AG$2,0)),Inputs!$B$4:$B$200,$B60)/1000)</f>
        <v>-83.4955361</v>
      </c>
      <c r="J60" s="11">
        <f>IF(SUMPRODUCT((Inputs!$B$4:$B$200=$B60)*ISNUMBER(INDEX(Inputs!$D$4:$AG$200,0,MATCH(J$2,Inputs!$D$2:$AG$2,0))))=0,"",SUMIFS(INDEX(Inputs!$D$4:$AG$200,0,MATCH(J$2,Inputs!$D$2:$AG$2,0)),Inputs!$B$4:$B$200,$B60)/1000)</f>
        <v>-84.63557609</v>
      </c>
      <c r="K60" s="11">
        <f>IF(SUMPRODUCT((Inputs!$B$4:$B$200=$B60)*ISNUMBER(INDEX(Inputs!$D$4:$AG$200,0,MATCH(K$2,Inputs!$D$2:$AG$2,0))))=0,"",SUMIFS(INDEX(Inputs!$D$4:$AG$200,0,MATCH(K$2,Inputs!$D$2:$AG$2,0)),Inputs!$B$4:$B$200,$B60)/1000)</f>
        <v>-87.57188678</v>
      </c>
      <c r="L60" s="11">
        <f>IF(SUMPRODUCT((Inputs!$B$4:$B$200=$B60)*ISNUMBER(INDEX(Inputs!$D$4:$AG$200,0,MATCH(L$2,Inputs!$D$2:$AG$2,0))))=0,"",SUMIFS(INDEX(Inputs!$D$4:$AG$200,0,MATCH(L$2,Inputs!$D$2:$AG$2,0)),Inputs!$B$4:$B$200,$B60)/1000)</f>
        <v>-84.28051397</v>
      </c>
      <c r="M60" s="12">
        <f>IF(COUNT(I60:L60)=4,SUM(I60:L60),"")</f>
        <v>-339.98351294</v>
      </c>
      <c r="N60" s="11">
        <f>IF(SUMPRODUCT((Inputs!$B$4:$B$200=$B60)*ISNUMBER(INDEX(Inputs!$D$4:$AG$200,0,MATCH(N$2,Inputs!$D$2:$AG$2,0))))=0,"",SUMIFS(INDEX(Inputs!$D$4:$AG$200,0,MATCH(N$2,Inputs!$D$2:$AG$2,0)),Inputs!$B$4:$B$200,$B60)/1000)</f>
        <v>-93.58246261</v>
      </c>
      <c r="O60" s="11">
        <f>IF(SUMPRODUCT((Inputs!$B$4:$B$200=$B60)*ISNUMBER(INDEX(Inputs!$D$4:$AG$200,0,MATCH(O$2,Inputs!$D$2:$AG$2,0))))=0,"",SUMIFS(INDEX(Inputs!$D$4:$AG$200,0,MATCH(O$2,Inputs!$D$2:$AG$2,0)),Inputs!$B$4:$B$200,$B60)/1000)</f>
        <v>-124.984</v>
      </c>
      <c r="P60" s="11">
        <f>IF(SUMPRODUCT((Inputs!$B$4:$B$200=$B60)*ISNUMBER(INDEX(Inputs!$D$4:$AG$200,0,MATCH(P$2,Inputs!$D$2:$AG$2,0))))=0,"",SUMIFS(INDEX(Inputs!$D$4:$AG$200,0,MATCH(P$2,Inputs!$D$2:$AG$2,0)),Inputs!$B$4:$B$200,$B60)/1000)</f>
        <v>-140.975</v>
      </c>
      <c r="Q60" s="11">
        <f>IF(SUMPRODUCT((Inputs!$B$4:$B$200=$B60)*ISNUMBER(INDEX(Inputs!$D$4:$AG$200,0,MATCH(Q$2,Inputs!$D$2:$AG$2,0))))=0,"",SUMIFS(INDEX(Inputs!$D$4:$AG$200,0,MATCH(Q$2,Inputs!$D$2:$AG$2,0)),Inputs!$B$4:$B$200,$B60)/1000)</f>
        <v>-130.94253739</v>
      </c>
      <c r="R60" s="12">
        <f>IF(COUNT(N60:Q60)=4,SUM(N60:Q60),"")</f>
        <v>-490.484</v>
      </c>
      <c r="S60" s="11">
        <f>IF(SUMPRODUCT((Inputs!$B$4:$B$200=$B60)*ISNUMBER(INDEX(Inputs!$D$4:$AG$200,0,MATCH(S$2,Inputs!$D$2:$AG$2,0))))=0,"",SUMIFS(INDEX(Inputs!$D$4:$AG$200,0,MATCH(S$2,Inputs!$D$2:$AG$2,0)),Inputs!$B$4:$B$200,$B60)/1000)</f>
        <v>-151.131</v>
      </c>
      <c r="T60" s="11">
        <f>IF(SUMPRODUCT((Inputs!$B$4:$B$200=$B60)*ISNUMBER(INDEX(Inputs!$D$4:$AG$200,0,MATCH(T$2,Inputs!$D$2:$AG$2,0))))=0,"",SUMIFS(INDEX(Inputs!$D$4:$AG$200,0,MATCH(T$2,Inputs!$D$2:$AG$2,0)),Inputs!$B$4:$B$200,$B60)/1000)</f>
        <v>-158.7</v>
      </c>
      <c r="U60" s="11">
        <f>IF(SUMPRODUCT((Inputs!$B$4:$B$200=$B60)*ISNUMBER(INDEX(Inputs!$D$4:$AG$200,0,MATCH(U$2,Inputs!$D$2:$AG$2,0))))=0,"",SUMIFS(INDEX(Inputs!$D$4:$AG$200,0,MATCH(U$2,Inputs!$D$2:$AG$2,0)),Inputs!$B$4:$B$200,$B60)/1000)</f>
        <v>-170.507</v>
      </c>
      <c r="V60" s="11">
        <f>IF(SUMPRODUCT((Inputs!$B$4:$B$200=$B60)*ISNUMBER(INDEX(Inputs!$D$4:$AG$200,0,MATCH(V$2,Inputs!$D$2:$AG$2,0))))=0,"",SUMIFS(INDEX(Inputs!$D$4:$AG$200,0,MATCH(V$2,Inputs!$D$2:$AG$2,0)),Inputs!$B$4:$B$200,$B60)/1000)</f>
        <v>-154.969</v>
      </c>
      <c r="W60" s="12">
        <f>IF(COUNT(S60:V60)=4,SUM(S60:V60),"")</f>
        <v>-635.307</v>
      </c>
      <c r="X60" s="11">
        <f>IF(SUMPRODUCT((Inputs!$B$4:$B$200=$B60)*ISNUMBER(INDEX(Inputs!$D$4:$AG$200,0,MATCH(X$2,Inputs!$D$2:$AG$2,0))))=0,"",SUMIFS(INDEX(Inputs!$D$4:$AG$200,0,MATCH(X$2,Inputs!$D$2:$AG$2,0)),Inputs!$B$4:$B$200,$B60)/1000)</f>
        <v>-173.367</v>
      </c>
      <c r="Y60" s="11">
        <f>IF(SUMPRODUCT((Inputs!$B$4:$B$200=$B60)*ISNUMBER(INDEX(Inputs!$D$4:$AG$200,0,MATCH(Y$2,Inputs!$D$2:$AG$2,0))))=0,"",SUMIFS(INDEX(Inputs!$D$4:$AG$200,0,MATCH(Y$2,Inputs!$D$2:$AG$2,0)),Inputs!$B$4:$B$200,$B60)/1000)</f>
        <v>-173.269</v>
      </c>
      <c r="Z60" s="11">
        <f>IF(SUMPRODUCT((Inputs!$B$4:$B$200=$B60)*ISNUMBER(INDEX(Inputs!$D$4:$AG$200,0,MATCH(Z$2,Inputs!$D$2:$AG$2,0))))=0,"",SUMIFS(INDEX(Inputs!$D$4:$AG$200,0,MATCH(Z$2,Inputs!$D$2:$AG$2,0)),Inputs!$B$4:$B$200,$B60)/1000)</f>
        <v>-187.64646682</v>
      </c>
      <c r="AA60" s="11">
        <f>IF(SUMPRODUCT((Inputs!$B$4:$B$200=$B60)*ISNUMBER(INDEX(Inputs!$D$4:$AG$200,0,MATCH(AA$2,Inputs!$D$2:$AG$2,0))))=0,"",SUMIFS(INDEX(Inputs!$D$4:$AG$200,0,MATCH(AA$2,Inputs!$D$2:$AG$2,0)),Inputs!$B$4:$B$200,$B60)/1000)</f>
        <v>-177.57069386</v>
      </c>
      <c r="AB60" s="12">
        <f>IF(COUNT(X60:AA60)=4,SUM(X60:AA60),"")</f>
        <v>-711.85316068</v>
      </c>
      <c r="AC60" s="11">
        <f>IF(SUMPRODUCT((Inputs!$B$4:$B$200=$B60)*ISNUMBER(INDEX(Inputs!$D$4:$AG$200,0,MATCH(AC$2,Inputs!$D$2:$AG$2,0))))=0,"",SUMIFS(INDEX(Inputs!$D$4:$AG$200,0,MATCH(AC$2,Inputs!$D$2:$AG$2,0)),Inputs!$B$4:$B$200,$B60)/1000)</f>
        <v>-187.106397</v>
      </c>
      <c r="AD60" s="11">
        <f>IF(SUMPRODUCT((Inputs!$B$4:$B$200=$B60)*ISNUMBER(INDEX(Inputs!$D$4:$AG$200,0,MATCH(AD$2,Inputs!$D$2:$AG$2,0))))=0,"",SUMIFS(INDEX(Inputs!$D$4:$AG$200,0,MATCH(AD$2,Inputs!$D$2:$AG$2,0)),Inputs!$B$4:$B$200,$B60)/1000)</f>
        <v>-197.924695</v>
      </c>
      <c r="AE60" s="11" t="str">
        <f>IF(SUMPRODUCT((Inputs!$B$4:$B$200=$B60)*ISNUMBER(INDEX(Inputs!$D$4:$AG$200,0,MATCH(AE$2,Inputs!$D$2:$AG$2,0))))=0,"",SUMIFS(INDEX(Inputs!$D$4:$AG$200,0,MATCH(AE$2,Inputs!$D$2:$AG$2,0)),Inputs!$B$4:$B$200,$B60)/1000)</f>
        <v/>
      </c>
      <c r="AF60" s="11" t="str">
        <f>IF(SUMPRODUCT((Inputs!$B$4:$B$200=$B60)*ISNUMBER(INDEX(Inputs!$D$4:$AG$200,0,MATCH(AF$2,Inputs!$D$2:$AG$2,0))))=0,"",SUMIFS(INDEX(Inputs!$D$4:$AG$200,0,MATCH(AF$2,Inputs!$D$2:$AG$2,0)),Inputs!$B$4:$B$200,$B60)/1000)</f>
        <v/>
      </c>
      <c r="AG60" s="12" t="str">
        <f>IF(COUNT(AC60:AF60)=4,SUM(AC60:AF60),"")</f>
        <v/>
      </c>
    </row>
    <row r="61">
      <c r="B61" s="9" t="n">
        <v>53</v>
      </c>
      <c r="C61" s="10" t="inlineStr">
        <is>
          <t>Exames PSC (mil)</t>
        </is>
      </c>
      <c r="D61" s="11">
        <f>IF(SUMPRODUCT((Inputs!$B$4:$B$200=$B61)*ISNUMBER(INDEX(Inputs!$D$4:$AG$200,0,MATCH(D$2,Inputs!$D$2:$AG$2,0))))=0,"",SUMIFS(INDEX(Inputs!$D$4:$AG$200,0,MATCH(D$2,Inputs!$D$2:$AG$2,0)),Inputs!$B$4:$B$200,$B61)/1000)</f>
        <v>14679.154</v>
      </c>
      <c r="E61" s="11">
        <f>IF(SUMPRODUCT((Inputs!$B$4:$B$200=$B61)*ISNUMBER(INDEX(Inputs!$D$4:$AG$200,0,MATCH(E$2,Inputs!$D$2:$AG$2,0))))=0,"",SUMIFS(INDEX(Inputs!$D$4:$AG$200,0,MATCH(E$2,Inputs!$D$2:$AG$2,0)),Inputs!$B$4:$B$200,$B61)/1000)</f>
        <v>15004.562</v>
      </c>
      <c r="F61" s="11">
        <f>IF(SUMPRODUCT((Inputs!$B$4:$B$200=$B61)*ISNUMBER(INDEX(Inputs!$D$4:$AG$200,0,MATCH(F$2,Inputs!$D$2:$AG$2,0))))=0,"",SUMIFS(INDEX(Inputs!$D$4:$AG$200,0,MATCH(F$2,Inputs!$D$2:$AG$2,0)),Inputs!$B$4:$B$200,$B61)/1000)</f>
        <v>15768.101</v>
      </c>
      <c r="G61" s="11">
        <f>IF(SUMPRODUCT((Inputs!$B$4:$B$200=$B61)*ISNUMBER(INDEX(Inputs!$D$4:$AG$200,0,MATCH(G$2,Inputs!$D$2:$AG$2,0))))=0,"",SUMIFS(INDEX(Inputs!$D$4:$AG$200,0,MATCH(G$2,Inputs!$D$2:$AG$2,0)),Inputs!$B$4:$B$200,$B61)/1000)</f>
        <v>16663.758</v>
      </c>
      <c r="H61" s="12">
        <f>IF(COUNT(D61:G61)=4,SUM(D61:G61),"")</f>
        <v>62115.575</v>
      </c>
      <c r="I61" s="11">
        <f>IF(SUMPRODUCT((Inputs!$B$4:$B$200=$B61)*ISNUMBER(INDEX(Inputs!$D$4:$AG$200,0,MATCH(I$2,Inputs!$D$2:$AG$2,0))))=0,"",SUMIFS(INDEX(Inputs!$D$4:$AG$200,0,MATCH(I$2,Inputs!$D$2:$AG$2,0)),Inputs!$B$4:$B$200,$B61)/1000)</f>
        <v>18443.28</v>
      </c>
      <c r="J61" s="11">
        <f>IF(SUMPRODUCT((Inputs!$B$4:$B$200=$B61)*ISNUMBER(INDEX(Inputs!$D$4:$AG$200,0,MATCH(J$2,Inputs!$D$2:$AG$2,0))))=0,"",SUMIFS(INDEX(Inputs!$D$4:$AG$200,0,MATCH(J$2,Inputs!$D$2:$AG$2,0)),Inputs!$B$4:$B$200,$B61)/1000)</f>
        <v>19516.806999604</v>
      </c>
      <c r="K61" s="11">
        <f>IF(SUMPRODUCT((Inputs!$B$4:$B$200=$B61)*ISNUMBER(INDEX(Inputs!$D$4:$AG$200,0,MATCH(K$2,Inputs!$D$2:$AG$2,0))))=0,"",SUMIFS(INDEX(Inputs!$D$4:$AG$200,0,MATCH(K$2,Inputs!$D$2:$AG$2,0)),Inputs!$B$4:$B$200,$B61)/1000)</f>
        <v>20759.489</v>
      </c>
      <c r="L61" s="11">
        <f>IF(SUMPRODUCT((Inputs!$B$4:$B$200=$B61)*ISNUMBER(INDEX(Inputs!$D$4:$AG$200,0,MATCH(L$2,Inputs!$D$2:$AG$2,0))))=0,"",SUMIFS(INDEX(Inputs!$D$4:$AG$200,0,MATCH(L$2,Inputs!$D$2:$AG$2,0)),Inputs!$B$4:$B$200,$B61)/1000)</f>
        <v>19863.724</v>
      </c>
      <c r="M61" s="12">
        <f>IF(COUNT(I61:L61)=4,SUM(I61:L61),"")</f>
        <v>78583.299999604</v>
      </c>
      <c r="N61" s="11">
        <f>IF(SUMPRODUCT((Inputs!$B$4:$B$200=$B61)*ISNUMBER(INDEX(Inputs!$D$4:$AG$200,0,MATCH(N$2,Inputs!$D$2:$AG$2,0))))=0,"",SUMIFS(INDEX(Inputs!$D$4:$AG$200,0,MATCH(N$2,Inputs!$D$2:$AG$2,0)),Inputs!$B$4:$B$200,$B61)/1000)</f>
        <v>24639.577</v>
      </c>
      <c r="O61" s="11" t="str">
        <f>IF(SUMPRODUCT((Inputs!$B$4:$B$200=$B61)*ISNUMBER(INDEX(Inputs!$D$4:$AG$200,0,MATCH(O$2,Inputs!$D$2:$AG$2,0))))=0,"",SUMIFS(INDEX(Inputs!$D$4:$AG$200,0,MATCH(O$2,Inputs!$D$2:$AG$2,0)),Inputs!$B$4:$B$200,$B61)/1000)</f>
        <v/>
      </c>
      <c r="P61" s="11">
        <f>IF(SUMPRODUCT((Inputs!$B$4:$B$200=$B61)*ISNUMBER(INDEX(Inputs!$D$4:$AG$200,0,MATCH(P$2,Inputs!$D$2:$AG$2,0))))=0,"",SUMIFS(INDEX(Inputs!$D$4:$AG$200,0,MATCH(P$2,Inputs!$D$2:$AG$2,0)),Inputs!$B$4:$B$200,$B61)/1000)</f>
        <v>36037.031</v>
      </c>
      <c r="Q61" s="11">
        <f>IF(SUMPRODUCT((Inputs!$B$4:$B$200=$B61)*ISNUMBER(INDEX(Inputs!$D$4:$AG$200,0,MATCH(Q$2,Inputs!$D$2:$AG$2,0))))=0,"",SUMIFS(INDEX(Inputs!$D$4:$AG$200,0,MATCH(Q$2,Inputs!$D$2:$AG$2,0)),Inputs!$B$4:$B$200,$B61)/1000)</f>
        <v>32350.275</v>
      </c>
      <c r="R61" s="12" t="str">
        <f>IF(COUNT(N61:Q61)=4,SUM(N61:Q61),"")</f>
        <v/>
      </c>
      <c r="S61" s="11">
        <f>IF(SUMPRODUCT((Inputs!$B$4:$B$200=$B61)*ISNUMBER(INDEX(Inputs!$D$4:$AG$200,0,MATCH(S$2,Inputs!$D$2:$AG$2,0))))=0,"",SUMIFS(INDEX(Inputs!$D$4:$AG$200,0,MATCH(S$2,Inputs!$D$2:$AG$2,0)),Inputs!$B$4:$B$200,$B61)/1000)</f>
        <v>37322.504000043</v>
      </c>
      <c r="T61" s="11">
        <f>IF(SUMPRODUCT((Inputs!$B$4:$B$200=$B61)*ISNUMBER(INDEX(Inputs!$D$4:$AG$200,0,MATCH(T$2,Inputs!$D$2:$AG$2,0))))=0,"",SUMIFS(INDEX(Inputs!$D$4:$AG$200,0,MATCH(T$2,Inputs!$D$2:$AG$2,0)),Inputs!$B$4:$B$200,$B61)/1000)</f>
        <v>37661.768</v>
      </c>
      <c r="U61" s="11">
        <f>IF(SUMPRODUCT((Inputs!$B$4:$B$200=$B61)*ISNUMBER(INDEX(Inputs!$D$4:$AG$200,0,MATCH(U$2,Inputs!$D$2:$AG$2,0))))=0,"",SUMIFS(INDEX(Inputs!$D$4:$AG$200,0,MATCH(U$2,Inputs!$D$2:$AG$2,0)),Inputs!$B$4:$B$200,$B61)/1000)</f>
        <v>38316.821</v>
      </c>
      <c r="V61" s="11">
        <f>IF(SUMPRODUCT((Inputs!$B$4:$B$200=$B61)*ISNUMBER(INDEX(Inputs!$D$4:$AG$200,0,MATCH(V$2,Inputs!$D$2:$AG$2,0))))=0,"",SUMIFS(INDEX(Inputs!$D$4:$AG$200,0,MATCH(V$2,Inputs!$D$2:$AG$2,0)),Inputs!$B$4:$B$200,$B61)/1000)</f>
        <v>35997.773870007</v>
      </c>
      <c r="W61" s="12">
        <f>IF(COUNT(S61:V61)=4,SUM(S61:V61),"")</f>
        <v>149298.86687005</v>
      </c>
      <c r="X61" s="11">
        <f>IF(SUMPRODUCT((Inputs!$B$4:$B$200=$B61)*ISNUMBER(INDEX(Inputs!$D$4:$AG$200,0,MATCH(X$2,Inputs!$D$2:$AG$2,0))))=0,"",SUMIFS(INDEX(Inputs!$D$4:$AG$200,0,MATCH(X$2,Inputs!$D$2:$AG$2,0)),Inputs!$B$4:$B$200,$B61)/1000)</f>
        <v>40343.756</v>
      </c>
      <c r="Y61" s="11">
        <f>IF(SUMPRODUCT((Inputs!$B$4:$B$200=$B61)*ISNUMBER(INDEX(Inputs!$D$4:$AG$200,0,MATCH(Y$2,Inputs!$D$2:$AG$2,0))))=0,"",SUMIFS(INDEX(Inputs!$D$4:$AG$200,0,MATCH(Y$2,Inputs!$D$2:$AG$2,0)),Inputs!$B$4:$B$200,$B61)/1000)</f>
        <v>39674.485</v>
      </c>
      <c r="Z61" s="11">
        <f>IF(SUMPRODUCT((Inputs!$B$4:$B$200=$B61)*ISNUMBER(INDEX(Inputs!$D$4:$AG$200,0,MATCH(Z$2,Inputs!$D$2:$AG$2,0))))=0,"",SUMIFS(INDEX(Inputs!$D$4:$AG$200,0,MATCH(Z$2,Inputs!$D$2:$AG$2,0)),Inputs!$B$4:$B$200,$B61)/1000)</f>
        <v>44294.023</v>
      </c>
      <c r="AA61" s="11">
        <f>IF(SUMPRODUCT((Inputs!$B$4:$B$200=$B61)*ISNUMBER(INDEX(Inputs!$D$4:$AG$200,0,MATCH(AA$2,Inputs!$D$2:$AG$2,0))))=0,"",SUMIFS(INDEX(Inputs!$D$4:$AG$200,0,MATCH(AA$2,Inputs!$D$2:$AG$2,0)),Inputs!$B$4:$B$200,$B61)/1000)</f>
        <v>40889.107</v>
      </c>
      <c r="AB61" s="12">
        <f>IF(COUNT(X61:AA61)=4,SUM(X61:AA61),"")</f>
        <v>165201.371</v>
      </c>
      <c r="AC61" s="11">
        <f>IF(SUMPRODUCT((Inputs!$B$4:$B$200=$B61)*ISNUMBER(INDEX(Inputs!$D$4:$AG$200,0,MATCH(AC$2,Inputs!$D$2:$AG$2,0))))=0,"",SUMIFS(INDEX(Inputs!$D$4:$AG$200,0,MATCH(AC$2,Inputs!$D$2:$AG$2,0)),Inputs!$B$4:$B$200,$B61)/1000)</f>
        <v>47509.718</v>
      </c>
      <c r="AD61" s="11">
        <f>IF(SUMPRODUCT((Inputs!$B$4:$B$200=$B61)*ISNUMBER(INDEX(Inputs!$D$4:$AG$200,0,MATCH(AD$2,Inputs!$D$2:$AG$2,0))))=0,"",SUMIFS(INDEX(Inputs!$D$4:$AG$200,0,MATCH(AD$2,Inputs!$D$2:$AG$2,0)),Inputs!$B$4:$B$200,$B61)/1000)</f>
        <v>46692.56</v>
      </c>
      <c r="AE61" s="11" t="str">
        <f>IF(SUMPRODUCT((Inputs!$B$4:$B$200=$B61)*ISNUMBER(INDEX(Inputs!$D$4:$AG$200,0,MATCH(AE$2,Inputs!$D$2:$AG$2,0))))=0,"",SUMIFS(INDEX(Inputs!$D$4:$AG$200,0,MATCH(AE$2,Inputs!$D$2:$AG$2,0)),Inputs!$B$4:$B$200,$B61)/1000)</f>
        <v/>
      </c>
      <c r="AF61" s="11" t="str">
        <f>IF(SUMPRODUCT((Inputs!$B$4:$B$200=$B61)*ISNUMBER(INDEX(Inputs!$D$4:$AG$200,0,MATCH(AF$2,Inputs!$D$2:$AG$2,0))))=0,"",SUMIFS(INDEX(Inputs!$D$4:$AG$200,0,MATCH(AF$2,Inputs!$D$2:$AG$2,0)),Inputs!$B$4:$B$200,$B61)/1000)</f>
        <v/>
      </c>
      <c r="AG61" s="12" t="str">
        <f>IF(COUNT(AC61:AF61)=4,SUM(AC61:AF61),"")</f>
        <v/>
      </c>
    </row>
    <row r="62">
      <c r="B62" s="9" t="n">
        <v>54</v>
      </c>
      <c r="C62" s="10" t="inlineStr">
        <is>
          <t>Exames B2B (mil)</t>
        </is>
      </c>
      <c r="D62" s="11">
        <f>IF(SUMPRODUCT((Inputs!$B$4:$B$200=$B62)*ISNUMBER(INDEX(Inputs!$D$4:$AG$200,0,MATCH(D$2,Inputs!$D$2:$AG$2,0))))=0,"",SUMIFS(INDEX(Inputs!$D$4:$AG$200,0,MATCH(D$2,Inputs!$D$2:$AG$2,0)),Inputs!$B$4:$B$200,$B62)/1000)</f>
        <v>9279.2405</v>
      </c>
      <c r="E62" s="11">
        <f>IF(SUMPRODUCT((Inputs!$B$4:$B$200=$B62)*ISNUMBER(INDEX(Inputs!$D$4:$AG$200,0,MATCH(E$2,Inputs!$D$2:$AG$2,0))))=0,"",SUMIFS(INDEX(Inputs!$D$4:$AG$200,0,MATCH(E$2,Inputs!$D$2:$AG$2,0)),Inputs!$B$4:$B$200,$B62)/1000)</f>
        <v>9367.924</v>
      </c>
      <c r="F62" s="11">
        <f>IF(SUMPRODUCT((Inputs!$B$4:$B$200=$B62)*ISNUMBER(INDEX(Inputs!$D$4:$AG$200,0,MATCH(F$2,Inputs!$D$2:$AG$2,0))))=0,"",SUMIFS(INDEX(Inputs!$D$4:$AG$200,0,MATCH(F$2,Inputs!$D$2:$AG$2,0)),Inputs!$B$4:$B$200,$B62)/1000)</f>
        <v>9361.24174</v>
      </c>
      <c r="G62" s="11">
        <f>IF(SUMPRODUCT((Inputs!$B$4:$B$200=$B62)*ISNUMBER(INDEX(Inputs!$D$4:$AG$200,0,MATCH(G$2,Inputs!$D$2:$AG$2,0))))=0,"",SUMIFS(INDEX(Inputs!$D$4:$AG$200,0,MATCH(G$2,Inputs!$D$2:$AG$2,0)),Inputs!$B$4:$B$200,$B62)/1000)</f>
        <v>8963.542</v>
      </c>
      <c r="H62" s="12">
        <f>IF(COUNT(D62:G62)=4,SUM(D62:G62),"")</f>
        <v>36971.94824</v>
      </c>
      <c r="I62" s="11">
        <f>IF(SUMPRODUCT((Inputs!$B$4:$B$200=$B62)*ISNUMBER(INDEX(Inputs!$D$4:$AG$200,0,MATCH(I$2,Inputs!$D$2:$AG$2,0))))=0,"",SUMIFS(INDEX(Inputs!$D$4:$AG$200,0,MATCH(I$2,Inputs!$D$2:$AG$2,0)),Inputs!$B$4:$B$200,$B62)/1000)</f>
        <v>9172.471</v>
      </c>
      <c r="J62" s="11">
        <f>IF(SUMPRODUCT((Inputs!$B$4:$B$200=$B62)*ISNUMBER(INDEX(Inputs!$D$4:$AG$200,0,MATCH(J$2,Inputs!$D$2:$AG$2,0))))=0,"",SUMIFS(INDEX(Inputs!$D$4:$AG$200,0,MATCH(J$2,Inputs!$D$2:$AG$2,0)),Inputs!$B$4:$B$200,$B62)/1000)</f>
        <v>9101.283</v>
      </c>
      <c r="K62" s="11">
        <f>IF(SUMPRODUCT((Inputs!$B$4:$B$200=$B62)*ISNUMBER(INDEX(Inputs!$D$4:$AG$200,0,MATCH(K$2,Inputs!$D$2:$AG$2,0))))=0,"",SUMIFS(INDEX(Inputs!$D$4:$AG$200,0,MATCH(K$2,Inputs!$D$2:$AG$2,0)),Inputs!$B$4:$B$200,$B62)/1000)</f>
        <v>8325.894</v>
      </c>
      <c r="L62" s="11">
        <f>IF(SUMPRODUCT((Inputs!$B$4:$B$200=$B62)*ISNUMBER(INDEX(Inputs!$D$4:$AG$200,0,MATCH(L$2,Inputs!$D$2:$AG$2,0))))=0,"",SUMIFS(INDEX(Inputs!$D$4:$AG$200,0,MATCH(L$2,Inputs!$D$2:$AG$2,0)),Inputs!$B$4:$B$200,$B62)/1000)</f>
        <v>6781.81</v>
      </c>
      <c r="M62" s="12">
        <f>IF(COUNT(I62:L62)=4,SUM(I62:L62),"")</f>
        <v>33381.458</v>
      </c>
      <c r="N62" s="11">
        <f>IF(SUMPRODUCT((Inputs!$B$4:$B$200=$B62)*ISNUMBER(INDEX(Inputs!$D$4:$AG$200,0,MATCH(N$2,Inputs!$D$2:$AG$2,0))))=0,"",SUMIFS(INDEX(Inputs!$D$4:$AG$200,0,MATCH(N$2,Inputs!$D$2:$AG$2,0)),Inputs!$B$4:$B$200,$B62)/1000)</f>
        <v>6572.057</v>
      </c>
      <c r="O62" s="11" t="str">
        <f>IF(SUMPRODUCT((Inputs!$B$4:$B$200=$B62)*ISNUMBER(INDEX(Inputs!$D$4:$AG$200,0,MATCH(O$2,Inputs!$D$2:$AG$2,0))))=0,"",SUMIFS(INDEX(Inputs!$D$4:$AG$200,0,MATCH(O$2,Inputs!$D$2:$AG$2,0)),Inputs!$B$4:$B$200,$B62)/1000)</f>
        <v/>
      </c>
      <c r="P62" s="11">
        <f>IF(SUMPRODUCT((Inputs!$B$4:$B$200=$B62)*ISNUMBER(INDEX(Inputs!$D$4:$AG$200,0,MATCH(P$2,Inputs!$D$2:$AG$2,0))))=0,"",SUMIFS(INDEX(Inputs!$D$4:$AG$200,0,MATCH(P$2,Inputs!$D$2:$AG$2,0)),Inputs!$B$4:$B$200,$B62)/1000)</f>
        <v>43098.373</v>
      </c>
      <c r="Q62" s="11">
        <f>IF(SUMPRODUCT((Inputs!$B$4:$B$200=$B62)*ISNUMBER(INDEX(Inputs!$D$4:$AG$200,0,MATCH(Q$2,Inputs!$D$2:$AG$2,0))))=0,"",SUMIFS(INDEX(Inputs!$D$4:$AG$200,0,MATCH(Q$2,Inputs!$D$2:$AG$2,0)),Inputs!$B$4:$B$200,$B62)/1000)</f>
        <v>40482.54</v>
      </c>
      <c r="R62" s="12" t="str">
        <f>IF(COUNT(N62:Q62)=4,SUM(N62:Q62),"")</f>
        <v/>
      </c>
      <c r="S62" s="11">
        <f>IF(SUMPRODUCT((Inputs!$B$4:$B$200=$B62)*ISNUMBER(INDEX(Inputs!$D$4:$AG$200,0,MATCH(S$2,Inputs!$D$2:$AG$2,0))))=0,"",SUMIFS(INDEX(Inputs!$D$4:$AG$200,0,MATCH(S$2,Inputs!$D$2:$AG$2,0)),Inputs!$B$4:$B$200,$B62)/1000)</f>
        <v>44185.14</v>
      </c>
      <c r="T62" s="11">
        <f>IF(SUMPRODUCT((Inputs!$B$4:$B$200=$B62)*ISNUMBER(INDEX(Inputs!$D$4:$AG$200,0,MATCH(T$2,Inputs!$D$2:$AG$2,0))))=0,"",SUMIFS(INDEX(Inputs!$D$4:$AG$200,0,MATCH(T$2,Inputs!$D$2:$AG$2,0)),Inputs!$B$4:$B$200,$B62)/1000)</f>
        <v>47746.356</v>
      </c>
      <c r="U62" s="11">
        <f>IF(SUMPRODUCT((Inputs!$B$4:$B$200=$B62)*ISNUMBER(INDEX(Inputs!$D$4:$AG$200,0,MATCH(U$2,Inputs!$D$2:$AG$2,0))))=0,"",SUMIFS(INDEX(Inputs!$D$4:$AG$200,0,MATCH(U$2,Inputs!$D$2:$AG$2,0)),Inputs!$B$4:$B$200,$B62)/1000)</f>
        <v>49313.098</v>
      </c>
      <c r="V62" s="11">
        <f>IF(SUMPRODUCT((Inputs!$B$4:$B$200=$B62)*ISNUMBER(INDEX(Inputs!$D$4:$AG$200,0,MATCH(V$2,Inputs!$D$2:$AG$2,0))))=0,"",SUMIFS(INDEX(Inputs!$D$4:$AG$200,0,MATCH(V$2,Inputs!$D$2:$AG$2,0)),Inputs!$B$4:$B$200,$B62)/1000)</f>
        <v>45175.047000009</v>
      </c>
      <c r="W62" s="12">
        <f>IF(COUNT(S62:V62)=4,SUM(S62:V62),"")</f>
        <v>186419.641000009</v>
      </c>
      <c r="X62" s="11">
        <f>IF(SUMPRODUCT((Inputs!$B$4:$B$200=$B62)*ISNUMBER(INDEX(Inputs!$D$4:$AG$200,0,MATCH(X$2,Inputs!$D$2:$AG$2,0))))=0,"",SUMIFS(INDEX(Inputs!$D$4:$AG$200,0,MATCH(X$2,Inputs!$D$2:$AG$2,0)),Inputs!$B$4:$B$200,$B62)/1000)</f>
        <v>49242.257</v>
      </c>
      <c r="Y62" s="11">
        <f>IF(SUMPRODUCT((Inputs!$B$4:$B$200=$B62)*ISNUMBER(INDEX(Inputs!$D$4:$AG$200,0,MATCH(Y$2,Inputs!$D$2:$AG$2,0))))=0,"",SUMIFS(INDEX(Inputs!$D$4:$AG$200,0,MATCH(Y$2,Inputs!$D$2:$AG$2,0)),Inputs!$B$4:$B$200,$B62)/1000)</f>
        <v>49738.982</v>
      </c>
      <c r="Z62" s="11">
        <f>IF(SUMPRODUCT((Inputs!$B$4:$B$200=$B62)*ISNUMBER(INDEX(Inputs!$D$4:$AG$200,0,MATCH(Z$2,Inputs!$D$2:$AG$2,0))))=0,"",SUMIFS(INDEX(Inputs!$D$4:$AG$200,0,MATCH(Z$2,Inputs!$D$2:$AG$2,0)),Inputs!$B$4:$B$200,$B62)/1000)</f>
        <v>53681.259</v>
      </c>
      <c r="AA62" s="11">
        <f>IF(SUMPRODUCT((Inputs!$B$4:$B$200=$B62)*ISNUMBER(INDEX(Inputs!$D$4:$AG$200,0,MATCH(AA$2,Inputs!$D$2:$AG$2,0))))=0,"",SUMIFS(INDEX(Inputs!$D$4:$AG$200,0,MATCH(AA$2,Inputs!$D$2:$AG$2,0)),Inputs!$B$4:$B$200,$B62)/1000)</f>
        <v>50715.319</v>
      </c>
      <c r="AB62" s="12">
        <f>IF(COUNT(X62:AA62)=4,SUM(X62:AA62),"")</f>
        <v>203377.817</v>
      </c>
      <c r="AC62" s="11">
        <f>IF(SUMPRODUCT((Inputs!$B$4:$B$200=$B62)*ISNUMBER(INDEX(Inputs!$D$4:$AG$200,0,MATCH(AC$2,Inputs!$D$2:$AG$2,0))))=0,"",SUMIFS(INDEX(Inputs!$D$4:$AG$200,0,MATCH(AC$2,Inputs!$D$2:$AG$2,0)),Inputs!$B$4:$B$200,$B62)/1000)</f>
        <v>56978.643</v>
      </c>
      <c r="AD62" s="11">
        <f>IF(SUMPRODUCT((Inputs!$B$4:$B$200=$B62)*ISNUMBER(INDEX(Inputs!$D$4:$AG$200,0,MATCH(AD$2,Inputs!$D$2:$AG$2,0))))=0,"",SUMIFS(INDEX(Inputs!$D$4:$AG$200,0,MATCH(AD$2,Inputs!$D$2:$AG$2,0)),Inputs!$B$4:$B$200,$B62)/1000)</f>
        <v>60275.898</v>
      </c>
      <c r="AE62" s="11" t="str">
        <f>IF(SUMPRODUCT((Inputs!$B$4:$B$200=$B62)*ISNUMBER(INDEX(Inputs!$D$4:$AG$200,0,MATCH(AE$2,Inputs!$D$2:$AG$2,0))))=0,"",SUMIFS(INDEX(Inputs!$D$4:$AG$200,0,MATCH(AE$2,Inputs!$D$2:$AG$2,0)),Inputs!$B$4:$B$200,$B62)/1000)</f>
        <v/>
      </c>
      <c r="AF62" s="11" t="str">
        <f>IF(SUMPRODUCT((Inputs!$B$4:$B$200=$B62)*ISNUMBER(INDEX(Inputs!$D$4:$AG$200,0,MATCH(AF$2,Inputs!$D$2:$AG$2,0))))=0,"",SUMIFS(INDEX(Inputs!$D$4:$AG$200,0,MATCH(AF$2,Inputs!$D$2:$AG$2,0)),Inputs!$B$4:$B$200,$B62)/1000)</f>
        <v/>
      </c>
      <c r="AG62" s="12" t="str">
        <f>IF(COUNT(AC62:AF62)=4,SUM(AC62:AF62),"")</f>
        <v/>
      </c>
    </row>
    <row r="63">
      <c r="B63" s="9" t="n">
        <v>55</v>
      </c>
      <c r="C63" s="10" t="inlineStr">
        <is>
          <t>Acoes (milhoes)</t>
        </is>
      </c>
      <c r="D63" s="11">
        <f>IF(SUMPRODUCT((Inputs!$B$4:$B$200=$B63)*ISNUMBER(INDEX(Inputs!$D$4:$AG$200,0,MATCH(D$2,Inputs!$D$2:$AG$2,0))))=0,"",SUMIFS(INDEX(Inputs!$D$4:$AG$200,0,MATCH(D$2,Inputs!$D$2:$AG$2,0)),Inputs!$B$4:$B$200,$B63)/1000)</f>
        <v>317.36631</v>
      </c>
      <c r="E63" s="11">
        <f>IF(SUMPRODUCT((Inputs!$B$4:$B$200=$B63)*ISNUMBER(INDEX(Inputs!$D$4:$AG$200,0,MATCH(E$2,Inputs!$D$2:$AG$2,0))))=0,"",SUMIFS(INDEX(Inputs!$D$4:$AG$200,0,MATCH(E$2,Inputs!$D$2:$AG$2,0)),Inputs!$B$4:$B$200,$B63)/1000)</f>
        <v>317.36631</v>
      </c>
      <c r="F63" s="11">
        <f>IF(SUMPRODUCT((Inputs!$B$4:$B$200=$B63)*ISNUMBER(INDEX(Inputs!$D$4:$AG$200,0,MATCH(F$2,Inputs!$D$2:$AG$2,0))))=0,"",SUMIFS(INDEX(Inputs!$D$4:$AG$200,0,MATCH(F$2,Inputs!$D$2:$AG$2,0)),Inputs!$B$4:$B$200,$B63)/1000)</f>
        <v>317.943996</v>
      </c>
      <c r="G63" s="11">
        <f>IF(SUMPRODUCT((Inputs!$B$4:$B$200=$B63)*ISNUMBER(INDEX(Inputs!$D$4:$AG$200,0,MATCH(G$2,Inputs!$D$2:$AG$2,0))))=0,"",SUMIFS(INDEX(Inputs!$D$4:$AG$200,0,MATCH(G$2,Inputs!$D$2:$AG$2,0)),Inputs!$B$4:$B$200,$B63)/1000)</f>
        <v>317.943996</v>
      </c>
      <c r="H63" s="12">
        <f>IF(COUNT(D63:G63)=4,SUM(D63:G63),"")</f>
        <v>1270.620612</v>
      </c>
      <c r="I63" s="11">
        <f>IF(SUMPRODUCT((Inputs!$B$4:$B$200=$B63)*ISNUMBER(INDEX(Inputs!$D$4:$AG$200,0,MATCH(I$2,Inputs!$D$2:$AG$2,0))))=0,"",SUMIFS(INDEX(Inputs!$D$4:$AG$200,0,MATCH(I$2,Inputs!$D$2:$AG$2,0)),Inputs!$B$4:$B$200,$B63)/1000)</f>
        <v>317.943996</v>
      </c>
      <c r="J63" s="11">
        <f>IF(SUMPRODUCT((Inputs!$B$4:$B$200=$B63)*ISNUMBER(INDEX(Inputs!$D$4:$AG$200,0,MATCH(J$2,Inputs!$D$2:$AG$2,0))))=0,"",SUMIFS(INDEX(Inputs!$D$4:$AG$200,0,MATCH(J$2,Inputs!$D$2:$AG$2,0)),Inputs!$B$4:$B$200,$B63)/1000)</f>
        <v>317.943996</v>
      </c>
      <c r="K63" s="11">
        <f>IF(SUMPRODUCT((Inputs!$B$4:$B$200=$B63)*ISNUMBER(INDEX(Inputs!$D$4:$AG$200,0,MATCH(K$2,Inputs!$D$2:$AG$2,0))))=0,"",SUMIFS(INDEX(Inputs!$D$4:$AG$200,0,MATCH(K$2,Inputs!$D$2:$AG$2,0)),Inputs!$B$4:$B$200,$B63)/1000)</f>
        <v>318.13788</v>
      </c>
      <c r="L63" s="11">
        <f>IF(SUMPRODUCT((Inputs!$B$4:$B$200=$B63)*ISNUMBER(INDEX(Inputs!$D$4:$AG$200,0,MATCH(L$2,Inputs!$D$2:$AG$2,0))))=0,"",SUMIFS(INDEX(Inputs!$D$4:$AG$200,0,MATCH(L$2,Inputs!$D$2:$AG$2,0)),Inputs!$B$4:$B$200,$B63)/1000)</f>
        <v>367.197096</v>
      </c>
      <c r="M63" s="12">
        <f>IF(COUNT(I63:L63)=4,SUM(I63:L63),"")</f>
        <v>1321.222968</v>
      </c>
      <c r="N63" s="11">
        <f>IF(SUMPRODUCT((Inputs!$B$4:$B$200=$B63)*ISNUMBER(INDEX(Inputs!$D$4:$AG$200,0,MATCH(N$2,Inputs!$D$2:$AG$2,0))))=0,"",SUMIFS(INDEX(Inputs!$D$4:$AG$200,0,MATCH(N$2,Inputs!$D$2:$AG$2,0)),Inputs!$B$4:$B$200,$B63)/1000)</f>
        <v>367.197096</v>
      </c>
      <c r="O63" s="11">
        <f>IF(SUMPRODUCT((Inputs!$B$4:$B$200=$B63)*ISNUMBER(INDEX(Inputs!$D$4:$AG$200,0,MATCH(O$2,Inputs!$D$2:$AG$2,0))))=0,"",SUMIFS(INDEX(Inputs!$D$4:$AG$200,0,MATCH(O$2,Inputs!$D$2:$AG$2,0)),Inputs!$B$4:$B$200,$B63)/1000)</f>
        <v>547.185685</v>
      </c>
      <c r="P63" s="11">
        <f>IF(SUMPRODUCT((Inputs!$B$4:$B$200=$B63)*ISNUMBER(INDEX(Inputs!$D$4:$AG$200,0,MATCH(P$2,Inputs!$D$2:$AG$2,0))))=0,"",SUMIFS(INDEX(Inputs!$D$4:$AG$200,0,MATCH(P$2,Inputs!$D$2:$AG$2,0)),Inputs!$B$4:$B$200,$B63)/1000)</f>
        <v>547.191026</v>
      </c>
      <c r="Q63" s="11">
        <f>IF(SUMPRODUCT((Inputs!$B$4:$B$200=$B63)*ISNUMBER(INDEX(Inputs!$D$4:$AG$200,0,MATCH(Q$2,Inputs!$D$2:$AG$2,0))))=0,"",SUMIFS(INDEX(Inputs!$D$4:$AG$200,0,MATCH(Q$2,Inputs!$D$2:$AG$2,0)),Inputs!$B$4:$B$200,$B63)/1000)</f>
        <v>547.191026</v>
      </c>
      <c r="R63" s="12">
        <f>IF(COUNT(N63:Q63)=4,SUM(N63:Q63),"")</f>
        <v>2008.764833</v>
      </c>
      <c r="S63" s="11">
        <f>IF(SUMPRODUCT((Inputs!$B$4:$B$200=$B63)*ISNUMBER(INDEX(Inputs!$D$4:$AG$200,0,MATCH(S$2,Inputs!$D$2:$AG$2,0))))=0,"",SUMIFS(INDEX(Inputs!$D$4:$AG$200,0,MATCH(S$2,Inputs!$D$2:$AG$2,0)),Inputs!$B$4:$B$200,$B63)/1000)</f>
        <v>547.191026</v>
      </c>
      <c r="T63" s="11">
        <f>IF(SUMPRODUCT((Inputs!$B$4:$B$200=$B63)*ISNUMBER(INDEX(Inputs!$D$4:$AG$200,0,MATCH(T$2,Inputs!$D$2:$AG$2,0))))=0,"",SUMIFS(INDEX(Inputs!$D$4:$AG$200,0,MATCH(T$2,Inputs!$D$2:$AG$2,0)),Inputs!$B$4:$B$200,$B63)/1000)</f>
        <v>547.191026</v>
      </c>
      <c r="U63" s="11">
        <f>IF(SUMPRODUCT((Inputs!$B$4:$B$200=$B63)*ISNUMBER(INDEX(Inputs!$D$4:$AG$200,0,MATCH(U$2,Inputs!$D$2:$AG$2,0))))=0,"",SUMIFS(INDEX(Inputs!$D$4:$AG$200,0,MATCH(U$2,Inputs!$D$2:$AG$2,0)),Inputs!$B$4:$B$200,$B63)/1000)</f>
        <v>547.191026</v>
      </c>
      <c r="V63" s="11">
        <f>IF(SUMPRODUCT((Inputs!$B$4:$B$200=$B63)*ISNUMBER(INDEX(Inputs!$D$4:$AG$200,0,MATCH(V$2,Inputs!$D$2:$AG$2,0))))=0,"",SUMIFS(INDEX(Inputs!$D$4:$AG$200,0,MATCH(V$2,Inputs!$D$2:$AG$2,0)),Inputs!$B$4:$B$200,$B63)/1000)</f>
        <v>547.191026</v>
      </c>
      <c r="W63" s="12">
        <f>IF(COUNT(S63:V63)=4,SUM(S63:V63),"")</f>
        <v>2188.764104</v>
      </c>
      <c r="X63" s="11">
        <f>IF(SUMPRODUCT((Inputs!$B$4:$B$200=$B63)*ISNUMBER(INDEX(Inputs!$D$4:$AG$200,0,MATCH(X$2,Inputs!$D$2:$AG$2,0))))=0,"",SUMIFS(INDEX(Inputs!$D$4:$AG$200,0,MATCH(X$2,Inputs!$D$2:$AG$2,0)),Inputs!$B$4:$B$200,$B63)/1000)</f>
        <v>547.191026</v>
      </c>
      <c r="Y63" s="11">
        <f>IF(SUMPRODUCT((Inputs!$B$4:$B$200=$B63)*ISNUMBER(INDEX(Inputs!$D$4:$AG$200,0,MATCH(Y$2,Inputs!$D$2:$AG$2,0))))=0,"",SUMIFS(INDEX(Inputs!$D$4:$AG$200,0,MATCH(Y$2,Inputs!$D$2:$AG$2,0)),Inputs!$B$4:$B$200,$B63)/1000)</f>
        <v>547.191026</v>
      </c>
      <c r="Z63" s="11">
        <f>IF(SUMPRODUCT((Inputs!$B$4:$B$200=$B63)*ISNUMBER(INDEX(Inputs!$D$4:$AG$200,0,MATCH(Z$2,Inputs!$D$2:$AG$2,0))))=0,"",SUMIFS(INDEX(Inputs!$D$4:$AG$200,0,MATCH(Z$2,Inputs!$D$2:$AG$2,0)),Inputs!$B$4:$B$200,$B63)/1000)</f>
        <v>547.191026</v>
      </c>
      <c r="AA63" s="11">
        <f>IF(SUMPRODUCT((Inputs!$B$4:$B$200=$B63)*ISNUMBER(INDEX(Inputs!$D$4:$AG$200,0,MATCH(AA$2,Inputs!$D$2:$AG$2,0))))=0,"",SUMIFS(INDEX(Inputs!$D$4:$AG$200,0,MATCH(AA$2,Inputs!$D$2:$AG$2,0)),Inputs!$B$4:$B$200,$B63)/1000)</f>
        <v>547.191026</v>
      </c>
      <c r="AB63" s="12">
        <f>IF(COUNT(X63:AA63)=4,SUM(X63:AA63),"")</f>
        <v>2188.764104</v>
      </c>
      <c r="AC63" s="11">
        <f>IF(SUMPRODUCT((Inputs!$B$4:$B$200=$B63)*ISNUMBER(INDEX(Inputs!$D$4:$AG$200,0,MATCH(AC$2,Inputs!$D$2:$AG$2,0))))=0,"",SUMIFS(INDEX(Inputs!$D$4:$AG$200,0,MATCH(AC$2,Inputs!$D$2:$AG$2,0)),Inputs!$B$4:$B$200,$B63)/1000)</f>
        <v>547.191026</v>
      </c>
      <c r="AD63" s="11">
        <f>IF(SUMPRODUCT((Inputs!$B$4:$B$200=$B63)*ISNUMBER(INDEX(Inputs!$D$4:$AG$200,0,MATCH(AD$2,Inputs!$D$2:$AG$2,0))))=0,"",SUMIFS(INDEX(Inputs!$D$4:$AG$200,0,MATCH(AD$2,Inputs!$D$2:$AG$2,0)),Inputs!$B$4:$B$200,$B63)/1000)</f>
        <v>547.191026</v>
      </c>
      <c r="AE63" s="11" t="str">
        <f>IF(SUMPRODUCT((Inputs!$B$4:$B$200=$B63)*ISNUMBER(INDEX(Inputs!$D$4:$AG$200,0,MATCH(AE$2,Inputs!$D$2:$AG$2,0))))=0,"",SUMIFS(INDEX(Inputs!$D$4:$AG$200,0,MATCH(AE$2,Inputs!$D$2:$AG$2,0)),Inputs!$B$4:$B$200,$B63)/1000)</f>
        <v/>
      </c>
      <c r="AF63" s="11" t="str">
        <f>IF(SUMPRODUCT((Inputs!$B$4:$B$200=$B63)*ISNUMBER(INDEX(Inputs!$D$4:$AG$200,0,MATCH(AF$2,Inputs!$D$2:$AG$2,0))))=0,"",SUMIFS(INDEX(Inputs!$D$4:$AG$200,0,MATCH(AF$2,Inputs!$D$2:$AG$2,0)),Inputs!$B$4:$B$200,$B63)/1000)</f>
        <v/>
      </c>
      <c r="AG63" s="12" t="str">
        <f>IF(COUNT(AC63:AF63)=4,SUM(AC63:AF63),"")</f>
        <v/>
      </c>
    </row>
    <row r="64">
      <c r="B64" s="9" t="n">
        <v>56</v>
      </c>
      <c r="C64" s="10" t="inlineStr">
        <is>
          <t>Divida liquida/EBITDA LTM divulgado (x)</t>
        </is>
      </c>
      <c r="D64" s="11">
        <f>IF(SUMPRODUCT((Inputs!$B$4:$B$200=$B64)*ISNUMBER(INDEX(Inputs!$D$4:$AG$200,0,MATCH(D$2,Inputs!$D$2:$AG$2,0))))=0,"",SUMIFS(INDEX(Inputs!$D$4:$AG$200,0,MATCH(D$2,Inputs!$D$2:$AG$2,0)),Inputs!$B$4:$B$200,$B64)/1000)</f>
        <v>0.97306958</v>
      </c>
      <c r="E64" s="11">
        <f>IF(SUMPRODUCT((Inputs!$B$4:$B$200=$B64)*ISNUMBER(INDEX(Inputs!$D$4:$AG$200,0,MATCH(E$2,Inputs!$D$2:$AG$2,0))))=0,"",SUMIFS(INDEX(Inputs!$D$4:$AG$200,0,MATCH(E$2,Inputs!$D$2:$AG$2,0)),Inputs!$B$4:$B$200,$B64)/1000)</f>
        <v>1.036043743</v>
      </c>
      <c r="F64" s="11">
        <f>IF(SUMPRODUCT((Inputs!$B$4:$B$200=$B64)*ISNUMBER(INDEX(Inputs!$D$4:$AG$200,0,MATCH(F$2,Inputs!$D$2:$AG$2,0))))=0,"",SUMIFS(INDEX(Inputs!$D$4:$AG$200,0,MATCH(F$2,Inputs!$D$2:$AG$2,0)),Inputs!$B$4:$B$200,$B64)/1000)</f>
        <v>1.324946558</v>
      </c>
      <c r="G64" s="11">
        <f>IF(SUMPRODUCT((Inputs!$B$4:$B$200=$B64)*ISNUMBER(INDEX(Inputs!$D$4:$AG$200,0,MATCH(G$2,Inputs!$D$2:$AG$2,0))))=0,"",SUMIFS(INDEX(Inputs!$D$4:$AG$200,0,MATCH(G$2,Inputs!$D$2:$AG$2,0)),Inputs!$B$4:$B$200,$B64)/1000)</f>
        <v>1.336541608</v>
      </c>
      <c r="H64" s="12">
        <f>IF(COUNT(D64:G64)=4,SUM(D64:G64),"")</f>
        <v>4.670601489</v>
      </c>
      <c r="I64" s="11">
        <f>IF(SUMPRODUCT((Inputs!$B$4:$B$200=$B64)*ISNUMBER(INDEX(Inputs!$D$4:$AG$200,0,MATCH(I$2,Inputs!$D$2:$AG$2,0))))=0,"",SUMIFS(INDEX(Inputs!$D$4:$AG$200,0,MATCH(I$2,Inputs!$D$2:$AG$2,0)),Inputs!$B$4:$B$200,$B64)/1000)</f>
        <v>1.408707608</v>
      </c>
      <c r="J64" s="11">
        <f>IF(SUMPRODUCT((Inputs!$B$4:$B$200=$B64)*ISNUMBER(INDEX(Inputs!$D$4:$AG$200,0,MATCH(J$2,Inputs!$D$2:$AG$2,0))))=0,"",SUMIFS(INDEX(Inputs!$D$4:$AG$200,0,MATCH(J$2,Inputs!$D$2:$AG$2,0)),Inputs!$B$4:$B$200,$B64)/1000)</f>
        <v>1.800335043</v>
      </c>
      <c r="K64" s="11">
        <f>IF(SUMPRODUCT((Inputs!$B$4:$B$200=$B64)*ISNUMBER(INDEX(Inputs!$D$4:$AG$200,0,MATCH(K$2,Inputs!$D$2:$AG$2,0))))=0,"",SUMIFS(INDEX(Inputs!$D$4:$AG$200,0,MATCH(K$2,Inputs!$D$2:$AG$2,0)),Inputs!$B$4:$B$200,$B64)/1000)</f>
        <v>1.671746699</v>
      </c>
      <c r="L64" s="11">
        <f>IF(SUMPRODUCT((Inputs!$B$4:$B$200=$B64)*ISNUMBER(INDEX(Inputs!$D$4:$AG$200,0,MATCH(L$2,Inputs!$D$2:$AG$2,0))))=0,"",SUMIFS(INDEX(Inputs!$D$4:$AG$200,0,MATCH(L$2,Inputs!$D$2:$AG$2,0)),Inputs!$B$4:$B$200,$B64)/1000)</f>
        <v>1.214893301</v>
      </c>
      <c r="M64" s="12">
        <f>IF(COUNT(I64:L64)=4,SUM(I64:L64),"")</f>
        <v>6.095682651</v>
      </c>
      <c r="N64" s="11">
        <f>IF(SUMPRODUCT((Inputs!$B$4:$B$200=$B64)*ISNUMBER(INDEX(Inputs!$D$4:$AG$200,0,MATCH(N$2,Inputs!$D$2:$AG$2,0))))=0,"",SUMIFS(INDEX(Inputs!$D$4:$AG$200,0,MATCH(N$2,Inputs!$D$2:$AG$2,0)),Inputs!$B$4:$B$200,$B64)/1000)</f>
        <v>1.208015624</v>
      </c>
      <c r="O64" s="11" t="str">
        <f>IF(SUMPRODUCT((Inputs!$B$4:$B$200=$B64)*ISNUMBER(INDEX(Inputs!$D$4:$AG$200,0,MATCH(O$2,Inputs!$D$2:$AG$2,0))))=0,"",SUMIFS(INDEX(Inputs!$D$4:$AG$200,0,MATCH(O$2,Inputs!$D$2:$AG$2,0)),Inputs!$B$4:$B$200,$B64)/1000)</f>
        <v/>
      </c>
      <c r="P64" s="11">
        <f>IF(SUMPRODUCT((Inputs!$B$4:$B$200=$B64)*ISNUMBER(INDEX(Inputs!$D$4:$AG$200,0,MATCH(P$2,Inputs!$D$2:$AG$2,0))))=0,"",SUMIFS(INDEX(Inputs!$D$4:$AG$200,0,MATCH(P$2,Inputs!$D$2:$AG$2,0)),Inputs!$B$4:$B$200,$B64)/1000)</f>
        <v>1.2</v>
      </c>
      <c r="Q64" s="11">
        <f>IF(SUMPRODUCT((Inputs!$B$4:$B$200=$B64)*ISNUMBER(INDEX(Inputs!$D$4:$AG$200,0,MATCH(Q$2,Inputs!$D$2:$AG$2,0))))=0,"",SUMIFS(INDEX(Inputs!$D$4:$AG$200,0,MATCH(Q$2,Inputs!$D$2:$AG$2,0)),Inputs!$B$4:$B$200,$B64)/1000)</f>
        <v>1.2</v>
      </c>
      <c r="R64" s="12" t="str">
        <f>IF(COUNT(N64:Q64)=4,SUM(N64:Q64),"")</f>
        <v/>
      </c>
      <c r="S64" s="11">
        <f>IF(SUMPRODUCT((Inputs!$B$4:$B$200=$B64)*ISNUMBER(INDEX(Inputs!$D$4:$AG$200,0,MATCH(S$2,Inputs!$D$2:$AG$2,0))))=0,"",SUMIFS(INDEX(Inputs!$D$4:$AG$200,0,MATCH(S$2,Inputs!$D$2:$AG$2,0)),Inputs!$B$4:$B$200,$B64)/1000)</f>
        <v>1.2</v>
      </c>
      <c r="T64" s="11">
        <f>IF(SUMPRODUCT((Inputs!$B$4:$B$200=$B64)*ISNUMBER(INDEX(Inputs!$D$4:$AG$200,0,MATCH(T$2,Inputs!$D$2:$AG$2,0))))=0,"",SUMIFS(INDEX(Inputs!$D$4:$AG$200,0,MATCH(T$2,Inputs!$D$2:$AG$2,0)),Inputs!$B$4:$B$200,$B64)/1000)</f>
        <v>1.1</v>
      </c>
      <c r="U64" s="11">
        <f>IF(SUMPRODUCT((Inputs!$B$4:$B$200=$B64)*ISNUMBER(INDEX(Inputs!$D$4:$AG$200,0,MATCH(U$2,Inputs!$D$2:$AG$2,0))))=0,"",SUMIFS(INDEX(Inputs!$D$4:$AG$200,0,MATCH(U$2,Inputs!$D$2:$AG$2,0)),Inputs!$B$4:$B$200,$B64)/1000)</f>
        <v>1</v>
      </c>
      <c r="V64" s="11">
        <f>IF(SUMPRODUCT((Inputs!$B$4:$B$200=$B64)*ISNUMBER(INDEX(Inputs!$D$4:$AG$200,0,MATCH(V$2,Inputs!$D$2:$AG$2,0))))=0,"",SUMIFS(INDEX(Inputs!$D$4:$AG$200,0,MATCH(V$2,Inputs!$D$2:$AG$2,0)),Inputs!$B$4:$B$200,$B64)/1000)</f>
        <v>1</v>
      </c>
      <c r="W64" s="12">
        <f>IF(COUNT(S64:V64)=4,SUM(S64:V64),"")</f>
        <v>4.3</v>
      </c>
      <c r="X64" s="11">
        <f>IF(SUMPRODUCT((Inputs!$B$4:$B$200=$B64)*ISNUMBER(INDEX(Inputs!$D$4:$AG$200,0,MATCH(X$2,Inputs!$D$2:$AG$2,0))))=0,"",SUMIFS(INDEX(Inputs!$D$4:$AG$200,0,MATCH(X$2,Inputs!$D$2:$AG$2,0)),Inputs!$B$4:$B$200,$B64)/1000)</f>
        <v>1</v>
      </c>
      <c r="Y64" s="11">
        <f>IF(SUMPRODUCT((Inputs!$B$4:$B$200=$B64)*ISNUMBER(INDEX(Inputs!$D$4:$AG$200,0,MATCH(Y$2,Inputs!$D$2:$AG$2,0))))=0,"",SUMIFS(INDEX(Inputs!$D$4:$AG$200,0,MATCH(Y$2,Inputs!$D$2:$AG$2,0)),Inputs!$B$4:$B$200,$B64)/1000)</f>
        <v>1.1</v>
      </c>
      <c r="Z64" s="11">
        <f>IF(SUMPRODUCT((Inputs!$B$4:$B$200=$B64)*ISNUMBER(INDEX(Inputs!$D$4:$AG$200,0,MATCH(Z$2,Inputs!$D$2:$AG$2,0))))=0,"",SUMIFS(INDEX(Inputs!$D$4:$AG$200,0,MATCH(Z$2,Inputs!$D$2:$AG$2,0)),Inputs!$B$4:$B$200,$B64)/1000)</f>
        <v>1</v>
      </c>
      <c r="AA64" s="11">
        <f>IF(SUMPRODUCT((Inputs!$B$4:$B$200=$B64)*ISNUMBER(INDEX(Inputs!$D$4:$AG$200,0,MATCH(AA$2,Inputs!$D$2:$AG$2,0))))=0,"",SUMIFS(INDEX(Inputs!$D$4:$AG$200,0,MATCH(AA$2,Inputs!$D$2:$AG$2,0)),Inputs!$B$4:$B$200,$B64)/1000)</f>
        <v>1</v>
      </c>
      <c r="AB64" s="12">
        <f>IF(COUNT(X64:AA64)=4,SUM(X64:AA64),"")</f>
        <v>4.1</v>
      </c>
      <c r="AC64" s="11">
        <f>IF(SUMPRODUCT((Inputs!$B$4:$B$200=$B64)*ISNUMBER(INDEX(Inputs!$D$4:$AG$200,0,MATCH(AC$2,Inputs!$D$2:$AG$2,0))))=0,"",SUMIFS(INDEX(Inputs!$D$4:$AG$200,0,MATCH(AC$2,Inputs!$D$2:$AG$2,0)),Inputs!$B$4:$B$200,$B64)/1000)</f>
        <v>1</v>
      </c>
      <c r="AD64" s="11">
        <f>IF(SUMPRODUCT((Inputs!$B$4:$B$200=$B64)*ISNUMBER(INDEX(Inputs!$D$4:$AG$200,0,MATCH(AD$2,Inputs!$D$2:$AG$2,0))))=0,"",SUMIFS(INDEX(Inputs!$D$4:$AG$200,0,MATCH(AD$2,Inputs!$D$2:$AG$2,0)),Inputs!$B$4:$B$200,$B64)/1000)</f>
        <v>1.1</v>
      </c>
      <c r="AE64" s="11" t="str">
        <f>IF(SUMPRODUCT((Inputs!$B$4:$B$200=$B64)*ISNUMBER(INDEX(Inputs!$D$4:$AG$200,0,MATCH(AE$2,Inputs!$D$2:$AG$2,0))))=0,"",SUMIFS(INDEX(Inputs!$D$4:$AG$200,0,MATCH(AE$2,Inputs!$D$2:$AG$2,0)),Inputs!$B$4:$B$200,$B64)/1000)</f>
        <v/>
      </c>
      <c r="AF64" s="11" t="str">
        <f>IF(SUMPRODUCT((Inputs!$B$4:$B$200=$B64)*ISNUMBER(INDEX(Inputs!$D$4:$AG$200,0,MATCH(AF$2,Inputs!$D$2:$AG$2,0))))=0,"",SUMIFS(INDEX(Inputs!$D$4:$AG$200,0,MATCH(AF$2,Inputs!$D$2:$AG$2,0)),Inputs!$B$4:$B$200,$B64)/1000)</f>
        <v/>
      </c>
      <c r="AG64" s="12" t="str">
        <f>IF(COUNT(AC64:AF64)=4,SUM(AC64:AF64),"")</f>
        <v/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84"/>
  <sheetViews>
    <sheetView showGridLines="0" zoomScaleNormal="100" workbookViewId="0">
      <pane xSplit="3" ySplit="11" topLeftCell="D270" activePane="bottomRight" state="frozen"/>
      <selection pane="topRight" activeCell="D1" sqref="D1"/>
      <selection pane="bottomLeft" activeCell="A12" sqref="A12"/>
      <selection pane="bottomRight" activeCell="O315" sqref="O315"/>
    </sheetView>
  </sheetViews>
  <sheetFormatPr baseColWidth="8" defaultColWidth="10.42578125" defaultRowHeight="12.75" outlineLevelRow="1"/>
  <cols>
    <col width="2" customWidth="1" style="3" min="1" max="1"/>
    <col width="8.85546875" customWidth="1" style="3" min="2" max="2"/>
    <col width="96.140625" customWidth="1" style="4" min="3" max="3"/>
    <col width="13" customWidth="1" style="4" min="4" max="24"/>
    <col width="12.7109375" customWidth="1" style="4" min="25" max="25"/>
    <col width="13" customWidth="1" style="4" min="26" max="27"/>
    <col width="12.7109375" customWidth="1" style="4" min="28" max="28"/>
    <col width="14" customWidth="1" style="4" min="29" max="29"/>
    <col width="15.140625" customWidth="1" style="4" min="30" max="30"/>
    <col width="12.42578125" customWidth="1" style="4" min="31" max="31"/>
    <col width="11.5703125" customWidth="1" style="4" min="32" max="32"/>
    <col width="12.42578125" customWidth="1" style="4" min="33" max="33"/>
    <col width="11.5703125" customWidth="1" style="4" min="34" max="34"/>
    <col width="12.7109375" customWidth="1" style="4" min="35" max="35"/>
    <col width="11.5703125" customWidth="1" style="4" min="36" max="37"/>
    <col width="11.28515625" customWidth="1" style="4" min="38" max="38"/>
    <col width="11.5703125" customWidth="1" style="4" min="39" max="39"/>
    <col width="12.7109375" customWidth="1" style="4" min="40" max="40"/>
    <col width="11.5703125" customWidth="1" style="4" min="41" max="42"/>
    <col width="11.28515625" customWidth="1" style="4" min="43" max="43"/>
    <col width="11.5703125" customWidth="1" style="4" min="44" max="44"/>
    <col width="12.7109375" customWidth="1" style="4" min="45" max="45"/>
    <col width="11.5703125" customWidth="1" style="4" min="46" max="47"/>
    <col width="11.28515625" customWidth="1" style="4" min="48" max="48"/>
    <col width="11.5703125" customWidth="1" style="4" min="49" max="49"/>
    <col width="12.7109375" customWidth="1" style="4" min="50" max="50"/>
    <col width="11.5703125" customWidth="1" style="4" min="51" max="52"/>
    <col width="11.28515625" customWidth="1" style="4" min="53" max="53"/>
    <col width="11.5703125" customWidth="1" style="4" min="54" max="54"/>
    <col width="12.7109375" customWidth="1" style="4" min="55" max="55"/>
    <col width="11.5703125" customWidth="1" style="4" min="56" max="57"/>
    <col width="11.28515625" customWidth="1" style="4" min="58" max="58"/>
    <col width="11.5703125" customWidth="1" style="4" min="59" max="59"/>
    <col width="12.7109375" customWidth="1" style="4" min="60" max="60"/>
    <col width="11.5703125" customWidth="1" style="4" min="61" max="62"/>
    <col width="11.28515625" customWidth="1" style="4" min="63" max="63"/>
    <col width="11.5703125" customWidth="1" style="4" min="64" max="64"/>
    <col width="12.7109375" customWidth="1" style="4" min="65" max="65"/>
    <col width="11.5703125" customWidth="1" style="4" min="66" max="67"/>
    <col width="11.28515625" customWidth="1" style="4" min="68" max="68"/>
    <col width="11.5703125" customWidth="1" style="4" min="69" max="69"/>
    <col width="12.7109375" customWidth="1" style="4" min="70" max="70"/>
    <col width="11.5703125" customWidth="1" style="4" min="71" max="72"/>
    <col width="11.28515625" customWidth="1" style="4" min="73" max="73"/>
    <col width="11.5703125" customWidth="1" style="4" min="74" max="74"/>
    <col width="12.7109375" customWidth="1" style="4" min="75" max="75"/>
    <col width="11.5703125" customWidth="1" style="4" min="76" max="77"/>
    <col width="11.28515625" customWidth="1" style="4" min="78" max="78"/>
    <col width="11.5703125" customWidth="1" style="4" min="79" max="79"/>
    <col width="12.7109375" customWidth="1" style="4" min="80" max="80"/>
    <col width="11.5703125" customWidth="1" style="4" min="81" max="82"/>
    <col width="11.28515625" customWidth="1" style="4" min="83" max="83"/>
    <col width="11.5703125" customWidth="1" style="4" min="84" max="84"/>
    <col width="12.7109375" customWidth="1" style="4" min="85" max="85"/>
    <col width="11.5703125" customWidth="1" style="4" min="86" max="87"/>
    <col width="11.28515625" customWidth="1" style="4" min="88" max="88"/>
    <col width="11.5703125" customWidth="1" style="4" min="89" max="89"/>
    <col width="12.7109375" customWidth="1" style="4" min="90" max="90"/>
    <col width="11.5703125" customWidth="1" style="4" min="91" max="92"/>
    <col width="11.28515625" customWidth="1" style="4" min="93" max="93"/>
    <col width="11.5703125" customWidth="1" style="4" min="94" max="94"/>
    <col width="12.7109375" customWidth="1" style="4" min="95" max="95"/>
    <col width="11.5703125" customWidth="1" style="4" min="96" max="97"/>
    <col width="11.28515625" customWidth="1" style="4" min="98" max="98"/>
    <col width="11.5703125" customWidth="1" style="4" min="99" max="99"/>
    <col width="12.7109375" customWidth="1" style="4" min="100" max="100"/>
    <col width="11.5703125" customWidth="1" style="4" min="101" max="102"/>
    <col width="11.28515625" customWidth="1" style="4" min="103" max="103"/>
    <col width="10.42578125" customWidth="1" style="4" min="104" max="106"/>
    <col width="10.42578125" customWidth="1" style="4" min="107" max="16384"/>
  </cols>
  <sheetData>
    <row r="1">
      <c r="C1" s="17" t="inlineStr">
        <is>
          <t>CHECKS</t>
        </is>
      </c>
      <c r="D1" s="12" t="n"/>
      <c r="E1" s="12" t="n"/>
      <c r="F1" s="12" t="n"/>
      <c r="G1" s="12" t="n"/>
      <c r="H1" s="12" t="n"/>
      <c r="I1" s="12">
        <f>IF(I2="","",SUM(I2,I3))</f>
        <v>3.99904820369557e-09</v>
      </c>
      <c r="J1" s="12">
        <f>IF(J2="","",SUM(J2,J3))</f>
        <v>2.99860403174534e-09</v>
      </c>
      <c r="K1" s="12">
        <f>IF(K2="","",SUM(K2,K3))</f>
        <v>2.99951352644712e-09</v>
      </c>
      <c r="L1" s="12">
        <f>IF(L2="","",SUM(L2,L3))</f>
        <v>0.000637889999779873</v>
      </c>
      <c r="M1" s="12">
        <f>IF(M2="","",SUM(M2,M3))</f>
        <v>0.000637889999779873</v>
      </c>
      <c r="N1" s="12">
        <f>IF(N2="","",SUM(N2,N3))</f>
        <v>5.99900067754788e-06</v>
      </c>
      <c r="O1" s="12">
        <f>IF(O2="","",SUM(O2,O3))</f>
        <v>8.40000211610459e-07</v>
      </c>
      <c r="P1" s="12">
        <f>IF(P2="","",SUM(P2,P3))</f>
        <v>9.99989424599335e-09</v>
      </c>
      <c r="Q1" s="12">
        <f>IF(Q2="","",SUM(Q2,Q3))</f>
        <v>1.00099997837333e-05</v>
      </c>
      <c r="R1" s="12">
        <f>IF(R2="","",SUM(R2,R3))</f>
        <v>1.00099996416247e-05</v>
      </c>
      <c r="S1" s="12">
        <f>IF(S2="","",SUM(S2,S3))</f>
        <v>3.72400008927798e-05</v>
      </c>
      <c r="T1" s="12">
        <f>IF(T2="","",SUM(T2,T3))</f>
        <v>0</v>
      </c>
      <c r="U1" s="12">
        <f>IF(U2="","",SUM(U2,U3))</f>
        <v>0</v>
      </c>
      <c r="V1" s="12">
        <f>IF(V2="","",SUM(V2,V3))</f>
        <v>0</v>
      </c>
      <c r="W1" s="12">
        <f>IF(W2="","",SUM(W2,W3))</f>
        <v>0</v>
      </c>
      <c r="X1" s="12">
        <f>IF(X2="","",SUM(X2,X3))</f>
        <v>0.000463356000182102</v>
      </c>
      <c r="Y1" s="12">
        <f>IF(Y2="","",SUM(Y2,Y3))</f>
        <v>0.000275708000117447</v>
      </c>
      <c r="Z1" s="12">
        <f>IF(Z2="","",SUM(Z2,Z3))</f>
        <v>0</v>
      </c>
      <c r="AA1" s="12">
        <f>IF(AA2="","",SUM(AA2,AA3))</f>
        <v>0</v>
      </c>
      <c r="AB1" s="12">
        <f>IF(AB2="","",SUM(AB2,AB3))</f>
        <v>0</v>
      </c>
      <c r="AC1" s="12">
        <f>IF(AC2="","",SUM(AC2,AC3))</f>
        <v>0.000463190001028124</v>
      </c>
      <c r="AD1" s="12">
        <f>IF(AD2="","",SUM(AD2,AD3))</f>
        <v>0</v>
      </c>
      <c r="AE1" s="12">
        <f>IF(AE2="","",SUM(AE2,AE3))</f>
        <v>1.00035890682193e-09</v>
      </c>
      <c r="AF1" s="12">
        <f>IF(AF2="","",SUM(AF2,AF3))</f>
        <v>1.00006047887291e-09</v>
      </c>
      <c r="AG1" s="12">
        <f>IF(AG2="","",SUM(AG2,AG3))</f>
        <v>0</v>
      </c>
      <c r="AH1" s="12">
        <f>IF(AH2="","",SUM(AH2,AH3))</f>
        <v>0</v>
      </c>
      <c r="AI1" s="12">
        <f>IF(AI2="","",SUM(AI2,AI3))</f>
        <v>0</v>
      </c>
      <c r="AJ1" s="12">
        <f>IF(AJ2="","",SUM(AJ2,AJ3))</f>
        <v>375.977308936604</v>
      </c>
      <c r="AK1" s="12">
        <f>IF(AK2="","",SUM(AK2,AK3))</f>
        <v>353.603126748082</v>
      </c>
      <c r="AL1" s="12">
        <f>IF(AL2="","",SUM(AL2,AL3))</f>
        <v>1152.64260780469</v>
      </c>
      <c r="AM1" s="12">
        <f>IF(AM2="","",SUM(AM2,AM3))</f>
        <v>381.492376142227</v>
      </c>
      <c r="AN1" s="12">
        <f>IF(AN2="","",SUM(AN2,AN3))</f>
        <v>397.543352308573</v>
      </c>
      <c r="AO1" s="12">
        <f>IF(AO2="","",SUM(AO2,AO3))</f>
        <v>411.423212734214</v>
      </c>
      <c r="AP1" s="12">
        <f>IF(AP2="","",SUM(AP2,AP3))</f>
        <v>386.939666255471</v>
      </c>
      <c r="AQ1" s="12">
        <f>IF(AQ2="","",SUM(AQ2,AQ3))</f>
        <v>1577.39860744048</v>
      </c>
      <c r="AR1" s="12">
        <f>IF(AR2="","",SUM(AR2,AR3))</f>
        <v>415.550760451822</v>
      </c>
      <c r="AS1" s="12">
        <f>IF(AS2="","",SUM(AS2,AS3))</f>
        <v>433.034714965851</v>
      </c>
      <c r="AT1" s="12">
        <f>IF(AT2="","",SUM(AT2,AT3))</f>
        <v>448.153723668373</v>
      </c>
      <c r="AU1" s="12">
        <f>IF(AU2="","",SUM(AU2,AU3))</f>
        <v>421.484366705899</v>
      </c>
      <c r="AV1" s="12">
        <f>IF(AV2="","",SUM(AV2,AV3))</f>
        <v>1718.22356579194</v>
      </c>
      <c r="AW1" s="12">
        <f>IF(AW2="","",SUM(AW2,AW3))</f>
        <v>450.572011465156</v>
      </c>
      <c r="AX1" s="12">
        <f>IF(AX2="","",SUM(AX2,AX3))</f>
        <v>469.529456146971</v>
      </c>
      <c r="AY1" s="12">
        <f>IF(AY2="","",SUM(AY2,AY3))</f>
        <v>485.922645164475</v>
      </c>
      <c r="AZ1" s="12">
        <f>IF(AZ2="","",SUM(AZ2,AZ3))</f>
        <v>457.005682533968</v>
      </c>
      <c r="BA1" s="12">
        <f>IF(BA2="","",SUM(BA2,BA3))</f>
        <v>1863.02979531057</v>
      </c>
      <c r="BB1" s="12">
        <f>IF(BB2="","",SUM(BB2,BB3))</f>
        <v>486.291878243771</v>
      </c>
      <c r="BC1" s="12">
        <f>IF(BC2="","",SUM(BC2,BC3))</f>
        <v>506.752206773819</v>
      </c>
      <c r="BD1" s="12">
        <f>IF(BD2="","",SUM(BD2,BD3))</f>
        <v>524.444993886371</v>
      </c>
      <c r="BE1" s="12">
        <f>IF(BE2="","",SUM(BE2,BE3))</f>
        <v>493.235589589448</v>
      </c>
      <c r="BF1" s="12">
        <f>IF(BF2="","",SUM(BF2,BF3))</f>
        <v>2010.72466849341</v>
      </c>
      <c r="BG1" s="12" t="n"/>
      <c r="BH1" s="12" t="n"/>
      <c r="BI1" s="12" t="n"/>
      <c r="BJ1" s="12" t="n"/>
      <c r="BK1" s="12" t="n"/>
      <c r="BL1" s="12" t="n"/>
      <c r="BM1" s="12" t="n"/>
      <c r="BN1" s="12" t="n"/>
      <c r="BO1" s="12" t="n"/>
      <c r="BP1" s="12" t="n"/>
      <c r="BQ1" s="12" t="n"/>
      <c r="BR1" s="12" t="n"/>
      <c r="BS1" s="12" t="n"/>
      <c r="BT1" s="12" t="n"/>
      <c r="BU1" s="12" t="n"/>
      <c r="BV1" s="12" t="n"/>
      <c r="BW1" s="12" t="n"/>
      <c r="BX1" s="12" t="n"/>
      <c r="BY1" s="12" t="n"/>
      <c r="BZ1" s="12" t="n"/>
      <c r="CA1" s="12" t="n"/>
      <c r="CB1" s="12" t="n"/>
      <c r="CC1" s="12" t="n"/>
      <c r="CD1" s="12" t="n"/>
      <c r="CE1" s="12" t="n"/>
      <c r="CF1" s="12" t="n"/>
      <c r="CG1" s="12" t="n"/>
      <c r="CH1" s="12" t="n"/>
      <c r="CI1" s="12" t="n"/>
      <c r="CJ1" s="12" t="n"/>
      <c r="CK1" s="12" t="n"/>
      <c r="CL1" s="12" t="n"/>
      <c r="CM1" s="12" t="n"/>
      <c r="CN1" s="12" t="n"/>
      <c r="CO1" s="12" t="n"/>
      <c r="CP1" s="12" t="n"/>
      <c r="CQ1" s="12" t="n"/>
      <c r="CR1" s="12" t="n"/>
      <c r="CS1" s="12" t="n"/>
      <c r="CT1" s="12" t="n"/>
      <c r="CU1" s="12" t="n"/>
      <c r="CV1" s="12" t="n"/>
      <c r="CW1" s="12" t="n"/>
      <c r="CX1" s="12" t="n"/>
      <c r="CY1" s="12" t="n"/>
    </row>
    <row r="2">
      <c r="C2" s="18" t="inlineStr">
        <is>
          <t>BS</t>
        </is>
      </c>
      <c r="D2" s="12" t="n"/>
      <c r="E2" s="12" t="n"/>
      <c r="F2" s="12" t="n"/>
      <c r="G2" s="12" t="n"/>
      <c r="H2" s="12" t="n"/>
      <c r="I2" s="12">
        <f>IF(COUNT(I163,I239)&lt;2,"",ABS(I163-I239))</f>
        <v>3.99904820369557e-09</v>
      </c>
      <c r="J2" s="12">
        <f>IF(COUNT(J163,J239)&lt;2,"",ABS(J163-J239))</f>
        <v>2.99860403174534e-09</v>
      </c>
      <c r="K2" s="12">
        <f>IF(COUNT(K163,K239)&lt;2,"",ABS(K163-K239))</f>
        <v>2.99951352644712e-09</v>
      </c>
      <c r="L2" s="12">
        <f>IF(COUNT(L163,L239)&lt;2,"",ABS(L163-L239))</f>
        <v>0.000637889999779873</v>
      </c>
      <c r="M2" s="12">
        <f>IF(COUNT(M163,M239)&lt;2,"",ABS(M163-M239))</f>
        <v>0.000637889999779873</v>
      </c>
      <c r="N2" s="12">
        <f>IF(COUNT(N163,N239)&lt;2,"",ABS(N163-N239))</f>
        <v>5.99900067754788e-06</v>
      </c>
      <c r="O2" s="12">
        <f>IF(COUNT(O163,O239)&lt;2,"",ABS(O163-O239))</f>
        <v>8.40000211610459e-07</v>
      </c>
      <c r="P2" s="12">
        <f>IF(COUNT(P163,P239)&lt;2,"",ABS(P163-P239))</f>
        <v>9.99989424599335e-09</v>
      </c>
      <c r="Q2" s="12">
        <f>IF(COUNT(Q163,Q239)&lt;2,"",ABS(Q163-Q239))</f>
        <v>1.00099996416247e-05</v>
      </c>
      <c r="R2" s="12">
        <f>IF(COUNT(R163,R239)&lt;2,"",ABS(R163-R239))</f>
        <v>1.00099996416247e-05</v>
      </c>
      <c r="S2" s="12">
        <f>IF(COUNT(S163,S239)&lt;2,"",ABS(S163-S239))</f>
        <v>3.72400008927798e-05</v>
      </c>
      <c r="T2" s="12">
        <f>IF(COUNT(T163,T239)&lt;2,"",ABS(T163-T239))</f>
        <v>0</v>
      </c>
      <c r="U2" s="12">
        <f>IF(COUNT(U163,U239)&lt;2,"",ABS(U163-U239))</f>
        <v>0</v>
      </c>
      <c r="V2" s="12">
        <f>IF(COUNT(V163,V239)&lt;2,"",ABS(V163-V239))</f>
        <v>0</v>
      </c>
      <c r="W2" s="12">
        <f>IF(COUNT(W163,W239)&lt;2,"",ABS(W163-W239))</f>
        <v>0</v>
      </c>
      <c r="X2" s="12">
        <f>IF(COUNT(X163,X239)&lt;2,"",ABS(X163-X239))</f>
        <v>0.000463356000182102</v>
      </c>
      <c r="Y2" s="12">
        <f>IF(COUNT(Y163,Y239)&lt;2,"",ABS(Y163-Y239))</f>
        <v>0.000275708000117447</v>
      </c>
      <c r="Z2" s="12">
        <f>IF(COUNT(Z163,Z239)&lt;2,"",ABS(Z163-Z239))</f>
        <v>0</v>
      </c>
      <c r="AA2" s="12">
        <f>IF(COUNT(AA163,AA239)&lt;2,"",ABS(AA163-AA239))</f>
        <v>0</v>
      </c>
      <c r="AB2" s="12">
        <f>IF(COUNT(AB163,AB239)&lt;2,"",ABS(AB163-AB239))</f>
        <v>0</v>
      </c>
      <c r="AC2" s="12">
        <f>IF(COUNT(AC163,AC239)&lt;2,"",ABS(AC163-AC239))</f>
        <v>0.000463190001028124</v>
      </c>
      <c r="AD2" s="12">
        <f>IF(COUNT(AD163,AD239)&lt;2,"",ABS(AD163-AD239))</f>
        <v>0</v>
      </c>
      <c r="AE2" s="12">
        <f>IF(COUNT(AE163,AE239)&lt;2,"",ABS(AE163-AE239))</f>
        <v>0</v>
      </c>
      <c r="AF2" s="12">
        <f>IF(COUNT(AF163,AF239)&lt;2,"",ABS(AF163-AF239))</f>
        <v>0</v>
      </c>
      <c r="AG2" s="12">
        <f>IF(COUNT(AG163,AG239)&lt;2,"",ABS(AG163-AG239))</f>
        <v>0</v>
      </c>
      <c r="AH2" s="12">
        <f>IF(COUNT(AH163,AH239)&lt;2,"",ABS(AH163-AH239))</f>
        <v>0</v>
      </c>
      <c r="AI2" s="12">
        <f>IF(COUNT(AI163,AI239)&lt;2,"",ABS(AI163-AI239))</f>
        <v>0</v>
      </c>
      <c r="AJ2" s="12">
        <f>IF(COUNT(AJ163,AJ239)&lt;2,"",ABS(AJ163-AJ239))</f>
        <v>0</v>
      </c>
      <c r="AK2" s="12">
        <f>IF(COUNT(AK163,AK239)&lt;2,"",ABS(AK163-AK239))</f>
        <v>0</v>
      </c>
      <c r="AL2" s="12">
        <f>IF(COUNT(AL163,AL239)&lt;2,"",ABS(AL163-AL239))</f>
        <v>0</v>
      </c>
      <c r="AM2" s="12">
        <f>IF(COUNT(AM163,AM239)&lt;2,"",ABS(AM163-AM239))</f>
        <v>0</v>
      </c>
      <c r="AN2" s="12">
        <f>IF(COUNT(AN163,AN239)&lt;2,"",ABS(AN163-AN239))</f>
        <v>0</v>
      </c>
      <c r="AO2" s="12">
        <f>IF(COUNT(AO163,AO239)&lt;2,"",ABS(AO163-AO239))</f>
        <v>0</v>
      </c>
      <c r="AP2" s="12">
        <f>IF(COUNT(AP163,AP239)&lt;2,"",ABS(AP163-AP239))</f>
        <v>0</v>
      </c>
      <c r="AQ2" s="12">
        <f>IF(COUNT(AQ163,AQ239)&lt;2,"",ABS(AQ163-AQ239))</f>
        <v>0</v>
      </c>
      <c r="AR2" s="12">
        <f>IF(COUNT(AR163,AR239)&lt;2,"",ABS(AR163-AR239))</f>
        <v>0</v>
      </c>
      <c r="AS2" s="12">
        <f>IF(COUNT(AS163,AS239)&lt;2,"",ABS(AS163-AS239))</f>
        <v>0</v>
      </c>
      <c r="AT2" s="12">
        <f>IF(COUNT(AT163,AT239)&lt;2,"",ABS(AT163-AT239))</f>
        <v>0</v>
      </c>
      <c r="AU2" s="12">
        <f>IF(COUNT(AU163,AU239)&lt;2,"",ABS(AU163-AU239))</f>
        <v>0</v>
      </c>
      <c r="AV2" s="12">
        <f>IF(COUNT(AV163,AV239)&lt;2,"",ABS(AV163-AV239))</f>
        <v>0</v>
      </c>
      <c r="AW2" s="12">
        <f>IF(COUNT(AW163,AW239)&lt;2,"",ABS(AW163-AW239))</f>
        <v>0</v>
      </c>
      <c r="AX2" s="12">
        <f>IF(COUNT(AX163,AX239)&lt;2,"",ABS(AX163-AX239))</f>
        <v>0</v>
      </c>
      <c r="AY2" s="12">
        <f>IF(COUNT(AY163,AY239)&lt;2,"",ABS(AY163-AY239))</f>
        <v>0</v>
      </c>
      <c r="AZ2" s="12">
        <f>IF(COUNT(AZ163,AZ239)&lt;2,"",ABS(AZ163-AZ239))</f>
        <v>0</v>
      </c>
      <c r="BA2" s="12">
        <f>IF(COUNT(BA163,BA239)&lt;2,"",ABS(BA163-BA239))</f>
        <v>0</v>
      </c>
      <c r="BB2" s="12">
        <f>IF(COUNT(BB163,BB239)&lt;2,"",ABS(BB163-BB239))</f>
        <v>0</v>
      </c>
      <c r="BC2" s="12">
        <f>IF(COUNT(BC163,BC239)&lt;2,"",ABS(BC163-BC239))</f>
        <v>0</v>
      </c>
      <c r="BD2" s="12">
        <f>IF(COUNT(BD163,BD239)&lt;2,"",ABS(BD163-BD239))</f>
        <v>0</v>
      </c>
      <c r="BE2" s="12">
        <f>IF(COUNT(BE163,BE239)&lt;2,"",ABS(BE163-BE239))</f>
        <v>0</v>
      </c>
      <c r="BF2" s="12">
        <f>IF(COUNT(BF163,BF239)&lt;2,"",ABS(BF163-BF239))</f>
        <v>0</v>
      </c>
      <c r="BG2" s="12" t="n"/>
      <c r="BH2" s="12" t="n"/>
      <c r="BI2" s="12" t="n"/>
      <c r="BJ2" s="12" t="n"/>
      <c r="BK2" s="12" t="n"/>
      <c r="BL2" s="12" t="n"/>
      <c r="BM2" s="12" t="n"/>
      <c r="BN2" s="12" t="n"/>
      <c r="BO2" s="12" t="n"/>
      <c r="BP2" s="12" t="n"/>
      <c r="BQ2" s="12" t="n"/>
      <c r="BR2" s="12" t="n"/>
      <c r="BS2" s="12" t="n"/>
      <c r="BT2" s="12" t="n"/>
      <c r="BU2" s="12" t="n"/>
      <c r="BV2" s="12" t="n"/>
      <c r="BW2" s="12" t="n"/>
      <c r="BX2" s="12" t="n"/>
      <c r="BY2" s="12" t="n"/>
      <c r="BZ2" s="12" t="n"/>
      <c r="CA2" s="12" t="n"/>
      <c r="CB2" s="12" t="n"/>
      <c r="CC2" s="12" t="n"/>
      <c r="CD2" s="12" t="n"/>
      <c r="CE2" s="12" t="n"/>
      <c r="CF2" s="12" t="n"/>
      <c r="CG2" s="12" t="n"/>
      <c r="CH2" s="12" t="n"/>
      <c r="CI2" s="12" t="n"/>
      <c r="CJ2" s="12" t="n"/>
      <c r="CK2" s="12" t="n"/>
      <c r="CL2" s="12" t="n"/>
      <c r="CM2" s="12" t="n"/>
      <c r="CN2" s="12" t="n"/>
      <c r="CO2" s="12" t="n"/>
      <c r="CP2" s="12" t="n"/>
      <c r="CQ2" s="12" t="n"/>
      <c r="CR2" s="12" t="n"/>
      <c r="CS2" s="12" t="n"/>
      <c r="CT2" s="12" t="n"/>
      <c r="CU2" s="12" t="n"/>
      <c r="CV2" s="12" t="n"/>
      <c r="CW2" s="12" t="n"/>
      <c r="CX2" s="12" t="n"/>
      <c r="CY2" s="12" t="n"/>
    </row>
    <row r="3">
      <c r="C3" s="18" t="inlineStr">
        <is>
          <t>IS</t>
        </is>
      </c>
      <c r="D3" s="12" t="n"/>
      <c r="E3" s="12" t="n"/>
      <c r="F3" s="12" t="n"/>
      <c r="G3" s="12" t="n"/>
      <c r="H3" s="12" t="n"/>
      <c r="I3" s="12">
        <f>IF(COUNT(I103,I4)&lt;2,"",ABS(I103-I4))</f>
        <v>0</v>
      </c>
      <c r="J3" s="12">
        <f>IF(COUNT(J103,J4)&lt;2,"",ABS(J103-J4))</f>
        <v>0</v>
      </c>
      <c r="K3" s="12">
        <f>IF(COUNT(K103,K4)&lt;2,"",ABS(K103-K4))</f>
        <v>0</v>
      </c>
      <c r="L3" s="12">
        <f>IF(COUNT(L103,L4)&lt;2,"",ABS(L103-L4))</f>
        <v>0</v>
      </c>
      <c r="M3" s="12">
        <f>IF(COUNT(M103,M4)&lt;2,"",ABS(M103-M4))</f>
        <v>0</v>
      </c>
      <c r="N3" s="12">
        <f>IF(COUNT(N103,N4)&lt;2,"",ABS(N103-N4))</f>
        <v>0</v>
      </c>
      <c r="O3" s="12">
        <f>IF(COUNT(O103,O4)&lt;2,"",ABS(O103-O4))</f>
        <v>0</v>
      </c>
      <c r="P3" s="12">
        <f>IF(COUNT(P103,P4)&lt;2,"",ABS(P103-P4))</f>
        <v>0</v>
      </c>
      <c r="Q3" s="12">
        <f>IF(COUNT(Q103,Q4)&lt;2,"",ABS(Q103-Q4))</f>
        <v>1.4210854715202e-13</v>
      </c>
      <c r="R3" s="12">
        <f>IF(COUNT(R103,R4)&lt;2,"",ABS(R103-R4))</f>
        <v>0</v>
      </c>
      <c r="S3" s="12">
        <f>IF(COUNT(S103,S4)&lt;2,"",ABS(S103-S4))</f>
        <v>0</v>
      </c>
      <c r="T3" s="12">
        <f>IF(COUNT(T103,T4)&lt;2,"",ABS(T103-T4))</f>
        <v>0</v>
      </c>
      <c r="U3" s="12">
        <f>IF(COUNT(U103,U4)&lt;2,"",ABS(U103-U4))</f>
        <v>0</v>
      </c>
      <c r="V3" s="12">
        <f>IF(COUNT(V103,V4)&lt;2,"",ABS(V103-V4))</f>
        <v>0</v>
      </c>
      <c r="W3" s="12">
        <f>IF(COUNT(W103,W4)&lt;2,"",ABS(W103-W4))</f>
        <v>0</v>
      </c>
      <c r="X3" s="12">
        <f>IF(COUNT(X103,X4)&lt;2,"",ABS(X103-X4))</f>
        <v>0</v>
      </c>
      <c r="Y3" s="12">
        <f>IF(COUNT(Y103,Y4)&lt;2,"",ABS(Y103-Y4))</f>
        <v>0</v>
      </c>
      <c r="Z3" s="12">
        <f>IF(COUNT(Z103,Z4)&lt;2,"",ABS(Z103-Z4))</f>
        <v>0</v>
      </c>
      <c r="AA3" s="12">
        <f>IF(COUNT(AA103,AA4)&lt;2,"",ABS(AA103-AA4))</f>
        <v>0</v>
      </c>
      <c r="AB3" s="12">
        <f>IF(COUNT(AB103,AB4)&lt;2,"",ABS(AB103-AB4))</f>
        <v>0</v>
      </c>
      <c r="AC3" s="12">
        <f>IF(COUNT(AC103,AC4)&lt;2,"",ABS(AC103-AC4))</f>
        <v>0</v>
      </c>
      <c r="AD3" s="12">
        <f>IF(COUNT(AD103,AD4)&lt;2,"",ABS(AD103-AD4))</f>
        <v>0</v>
      </c>
      <c r="AE3" s="12">
        <f>IF(COUNT(AE103,AE4)&lt;2,"",ABS(AE103-AE4))</f>
        <v>1.00035890682193e-09</v>
      </c>
      <c r="AF3" s="12">
        <f>IF(COUNT(AF103,AF4)&lt;2,"",ABS(AF103-AF4))</f>
        <v>1.00006047887291e-09</v>
      </c>
      <c r="AG3" s="12">
        <f>IF(COUNT(AG103,AG4)&lt;2,"",ABS(AG103-AG4))</f>
        <v>0</v>
      </c>
      <c r="AH3" s="12">
        <f>IF(COUNT(AH103,AH4)&lt;2,"",ABS(AH103-AH4))</f>
        <v>0</v>
      </c>
      <c r="AI3" s="12">
        <f>IF(COUNT(AI103,AI4)&lt;2,"",ABS(AI103-AI4))</f>
        <v>0</v>
      </c>
      <c r="AJ3" s="12">
        <f>ABS(AJ103-AJ4)</f>
        <v>375.977308936604</v>
      </c>
      <c r="AK3" s="12">
        <f>ABS(AK103-AK4)</f>
        <v>353.603126748082</v>
      </c>
      <c r="AL3" s="12">
        <f>ABS(AL103-AL4)</f>
        <v>1152.64260780469</v>
      </c>
      <c r="AM3" s="12">
        <f>ABS(AM103-AM4)</f>
        <v>381.492376142227</v>
      </c>
      <c r="AN3" s="12">
        <f>ABS(AN103-AN4)</f>
        <v>397.543352308573</v>
      </c>
      <c r="AO3" s="12">
        <f>ABS(AO103-AO4)</f>
        <v>411.423212734214</v>
      </c>
      <c r="AP3" s="12">
        <f>ABS(AP103-AP4)</f>
        <v>386.939666255471</v>
      </c>
      <c r="AQ3" s="12">
        <f>ABS(AQ103-AQ4)</f>
        <v>1577.39860744048</v>
      </c>
      <c r="AR3" s="12">
        <f>ABS(AR103-AR4)</f>
        <v>415.550760451822</v>
      </c>
      <c r="AS3" s="12">
        <f>ABS(AS103-AS4)</f>
        <v>433.034714965851</v>
      </c>
      <c r="AT3" s="12">
        <f>ABS(AT103-AT4)</f>
        <v>448.153723668373</v>
      </c>
      <c r="AU3" s="12">
        <f>ABS(AU103-AU4)</f>
        <v>421.484366705899</v>
      </c>
      <c r="AV3" s="12">
        <f>ABS(AV103-AV4)</f>
        <v>1718.22356579194</v>
      </c>
      <c r="AW3" s="12">
        <f>ABS(AW103-AW4)</f>
        <v>450.572011465156</v>
      </c>
      <c r="AX3" s="12">
        <f>ABS(AX103-AX4)</f>
        <v>469.529456146971</v>
      </c>
      <c r="AY3" s="12">
        <f>ABS(AY103-AY4)</f>
        <v>485.922645164475</v>
      </c>
      <c r="AZ3" s="12">
        <f>ABS(AZ103-AZ4)</f>
        <v>457.005682533968</v>
      </c>
      <c r="BA3" s="12">
        <f>ABS(BA103-BA4)</f>
        <v>1863.02979531057</v>
      </c>
      <c r="BB3" s="12">
        <f>ABS(BB103-BB4)</f>
        <v>486.291878243771</v>
      </c>
      <c r="BC3" s="12">
        <f>ABS(BC103-BC4)</f>
        <v>506.752206773819</v>
      </c>
      <c r="BD3" s="12">
        <f>ABS(BD103-BD4)</f>
        <v>524.444993886371</v>
      </c>
      <c r="BE3" s="12">
        <f>ABS(BE103-BE4)</f>
        <v>493.235589589448</v>
      </c>
      <c r="BF3" s="12">
        <f>ABS(BF103-BF4)</f>
        <v>2010.72466849341</v>
      </c>
      <c r="BG3" s="12" t="n"/>
      <c r="BH3" s="12" t="n"/>
      <c r="BI3" s="12" t="n"/>
      <c r="BJ3" s="12" t="n"/>
      <c r="BK3" s="12" t="n"/>
      <c r="BL3" s="12" t="n"/>
      <c r="BM3" s="12" t="n"/>
      <c r="BN3" s="12" t="n"/>
      <c r="BO3" s="12" t="n"/>
      <c r="BP3" s="12" t="n"/>
      <c r="BQ3" s="12" t="n"/>
      <c r="BR3" s="12" t="n"/>
      <c r="BS3" s="12" t="n"/>
      <c r="BT3" s="12" t="n"/>
      <c r="BU3" s="12" t="n"/>
      <c r="BV3" s="12" t="n"/>
      <c r="BW3" s="12" t="n"/>
      <c r="BX3" s="12" t="n"/>
      <c r="BY3" s="12" t="n"/>
      <c r="BZ3" s="12" t="n"/>
      <c r="CA3" s="12" t="n"/>
      <c r="CB3" s="12" t="n"/>
      <c r="CC3" s="12" t="n"/>
      <c r="CD3" s="12" t="n"/>
      <c r="CE3" s="12" t="n"/>
      <c r="CF3" s="12" t="n"/>
      <c r="CG3" s="12" t="n"/>
      <c r="CH3" s="12" t="n"/>
      <c r="CI3" s="12" t="n"/>
      <c r="CJ3" s="12" t="n"/>
      <c r="CK3" s="12" t="n"/>
      <c r="CL3" s="12" t="n"/>
      <c r="CM3" s="12" t="n"/>
      <c r="CN3" s="12" t="n"/>
      <c r="CO3" s="12" t="n"/>
      <c r="CP3" s="12" t="n"/>
      <c r="CQ3" s="12" t="n"/>
      <c r="CR3" s="12" t="n"/>
      <c r="CS3" s="12" t="n"/>
      <c r="CT3" s="12" t="n"/>
      <c r="CU3" s="12" t="n"/>
      <c r="CV3" s="12" t="n"/>
      <c r="CW3" s="12" t="n"/>
      <c r="CX3" s="12" t="n"/>
      <c r="CY3" s="12" t="n"/>
    </row>
    <row r="4">
      <c r="C4" s="17" t="inlineStr">
        <is>
          <t>Net Income reportado (lucro líquido) — base do check de DRE</t>
        </is>
      </c>
      <c r="H4" s="11" t="n"/>
      <c r="I4">
        <f>IF(ISNUMBER('Inputs (2)'!D50),'Inputs (2)'!D50,"")</f>
        <v>118.61195704</v>
      </c>
      <c r="J4">
        <f>IF(ISNUMBER('Inputs (2)'!E50),'Inputs (2)'!E50,"")</f>
        <v>65.53462593</v>
      </c>
      <c r="K4">
        <f>IF(ISNUMBER('Inputs (2)'!F50),'Inputs (2)'!F50,"")</f>
        <v>94.962565767</v>
      </c>
      <c r="L4">
        <f>IF(ISNUMBER('Inputs (2)'!G50),'Inputs (2)'!G50,"")</f>
        <v>70.81580316</v>
      </c>
      <c r="M4" s="11">
        <f>IF(COUNT(I4:L4)=4,SUM(I4:L4),"")</f>
        <v>349.924951897</v>
      </c>
      <c r="N4">
        <f>IF(ISNUMBER('Inputs (2)'!I50),'Inputs (2)'!I50,"")</f>
        <v>110.440730339</v>
      </c>
      <c r="O4">
        <f>IF(ISNUMBER('Inputs (2)'!J50),'Inputs (2)'!J50,"")</f>
        <v>70.509238398</v>
      </c>
      <c r="P4">
        <f>IF(ISNUMBER('Inputs (2)'!K50),'Inputs (2)'!K50,"")</f>
        <v>96.00575003</v>
      </c>
      <c r="Q4">
        <f>IF(ISNUMBER('Inputs (2)'!L50),'Inputs (2)'!L50,"")</f>
        <v>30.95268579</v>
      </c>
      <c r="R4" s="11">
        <f>IF(COUNT(N4:Q4)=4,SUM(N4:Q4),"")</f>
        <v>307.908404557</v>
      </c>
      <c r="S4">
        <f>IF(ISNUMBER('Inputs (2)'!N50),'Inputs (2)'!N50,"")</f>
        <v>93.85183176</v>
      </c>
      <c r="T4">
        <f>IF(ISNUMBER('Inputs (2)'!O50),'Inputs (2)'!O50,"")</f>
        <v>74.426928945</v>
      </c>
      <c r="U4">
        <f>IF(ISNUMBER('Inputs (2)'!P50),'Inputs (2)'!P50,"")</f>
        <v>174.198435338</v>
      </c>
      <c r="V4">
        <f>IF(ISNUMBER('Inputs (2)'!Q50),'Inputs (2)'!Q50,"")</f>
        <v>81.278801744</v>
      </c>
      <c r="W4" s="11">
        <f>IF(COUNT(S4:V4)=4,SUM(S4:V4),"")</f>
        <v>423.755997787</v>
      </c>
      <c r="X4">
        <f>IF(ISNUMBER('Inputs (2)'!S50),'Inputs (2)'!S50,"")</f>
        <v>167.9596009</v>
      </c>
      <c r="Y4">
        <f>IF(ISNUMBER('Inputs (2)'!T50),'Inputs (2)'!T50,"")</f>
        <v>173.586</v>
      </c>
      <c r="Z4">
        <f>IF(ISNUMBER('Inputs (2)'!U50),'Inputs (2)'!U50,"")</f>
        <v>190.705474</v>
      </c>
      <c r="AA4">
        <f>IF(ISNUMBER('Inputs (2)'!V50),'Inputs (2)'!V50,"")</f>
        <v>83.9209251</v>
      </c>
      <c r="AB4" s="11">
        <f>IF(COUNT(X4:AA4)=4,SUM(X4:AA4),"")</f>
        <v>616.172</v>
      </c>
      <c r="AC4">
        <f>IF(ISNUMBER('Inputs (2)'!X50),'Inputs (2)'!X50,"")</f>
        <v>179.28629</v>
      </c>
      <c r="AD4">
        <f>IF(ISNUMBER('Inputs (2)'!Y50),'Inputs (2)'!Y50,"")</f>
        <v>152.299179</v>
      </c>
      <c r="AE4">
        <f>IF(ISNUMBER('Inputs (2)'!Z50),'Inputs (2)'!Z50,"")</f>
        <v>184.91672272</v>
      </c>
      <c r="AF4">
        <f>IF(ISNUMBER('Inputs (2)'!AA50),'Inputs (2)'!AA50,"")</f>
        <v>96.328409784</v>
      </c>
      <c r="AG4" s="11">
        <f>IF(COUNT(AC4:AF4)=4,SUM(AC4:AF4),"")</f>
        <v>612.830601504</v>
      </c>
      <c r="AH4" s="11">
        <f>IF(ISNUMBER('Inputs (2)'!AC50),'Inputs (2)'!AC50,"")</f>
        <v>201.21196412</v>
      </c>
      <c r="AI4" s="11">
        <f>IF(ISNUMBER('Inputs (2)'!AD50),'Inputs (2)'!AD50,"")</f>
        <v>221.850208</v>
      </c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  <c r="AZ4" s="11" t="n"/>
      <c r="BA4" s="11" t="n"/>
      <c r="BB4" s="11" t="n"/>
      <c r="BC4" s="11" t="n"/>
      <c r="BD4" s="11" t="n"/>
      <c r="BE4" s="11" t="n"/>
      <c r="BF4" s="11" t="n"/>
      <c r="BG4" s="11" t="n"/>
      <c r="BH4" s="11" t="n"/>
      <c r="BI4" s="11" t="n"/>
      <c r="BJ4" s="11" t="n"/>
      <c r="BK4" s="11" t="n"/>
      <c r="BL4" s="11" t="n"/>
      <c r="BM4" s="11" t="n"/>
      <c r="BN4" s="11" t="n"/>
      <c r="BO4" s="11" t="n"/>
      <c r="BP4" s="11" t="n"/>
      <c r="BQ4" s="11" t="n"/>
      <c r="BR4" s="11" t="n"/>
      <c r="BS4" s="11" t="n"/>
      <c r="BT4" s="11" t="n"/>
      <c r="BU4" s="11" t="n"/>
      <c r="BV4" s="11" t="n"/>
      <c r="BW4" s="11" t="n"/>
      <c r="BX4" s="11" t="n"/>
      <c r="BY4" s="11" t="n"/>
      <c r="BZ4" s="11" t="n"/>
      <c r="CA4" s="11" t="n"/>
      <c r="CB4" s="11" t="n"/>
      <c r="CC4" s="11" t="n"/>
      <c r="CD4" s="11" t="n"/>
      <c r="CE4" s="11" t="n"/>
      <c r="CF4" s="11" t="n"/>
      <c r="CG4" s="11" t="n"/>
      <c r="CH4" s="11" t="n"/>
      <c r="CI4" s="11" t="n"/>
      <c r="CJ4" s="11" t="n"/>
      <c r="CK4" s="11" t="n"/>
      <c r="CL4" s="11" t="n"/>
      <c r="CM4" s="11" t="n"/>
      <c r="CN4" s="11" t="n"/>
      <c r="CO4" s="11" t="n"/>
      <c r="CP4" s="11" t="n"/>
      <c r="CQ4" s="11" t="n"/>
      <c r="CR4" s="11" t="n"/>
      <c r="CS4" s="11" t="n"/>
      <c r="CT4" s="11" t="n"/>
      <c r="CU4" s="11" t="n"/>
      <c r="CV4" s="11" t="n"/>
      <c r="CW4" s="11" t="n"/>
      <c r="CX4" s="11" t="n"/>
      <c r="CY4" s="11" t="n"/>
    </row>
    <row r="5">
      <c r="B5" s="19" t="n">
        <v>45930</v>
      </c>
      <c r="D5" s="20" t="n"/>
      <c r="E5" s="21" t="n"/>
      <c r="F5" s="21" t="n"/>
      <c r="G5" s="21" t="n"/>
      <c r="H5" s="263" t="n">
        <v>44196</v>
      </c>
      <c r="I5" s="20" t="n">
        <v>44286</v>
      </c>
      <c r="J5" s="21">
        <f>DATE(YEAR(I5),MONTH(I5)+3,DAY(I5)-1)</f>
        <v>44377.0</v>
      </c>
      <c r="K5" s="21">
        <f>DATE(YEAR(J5),MONTH(J5)+3,DAY(J5))</f>
        <v>44469.0</v>
      </c>
      <c r="L5" s="21">
        <f>DATE(YEAR(K5),MONTH(K5)+3,DAY(K5)+1)</f>
        <v>44561.0</v>
      </c>
      <c r="M5" s="22">
        <f>L5</f>
        <v>44561.0</v>
      </c>
      <c r="N5" s="21">
        <f>DATE(YEAR(M5),MONTH(M5)+3,DAY(M5))</f>
        <v>44651.0</v>
      </c>
      <c r="O5" s="21">
        <f>DATE(YEAR(N5),MONTH(N5)+3,DAY(N5)-1)</f>
        <v>44742.0</v>
      </c>
      <c r="P5" s="21">
        <f>DATE(YEAR(O5),MONTH(O5)+3,DAY(O5))</f>
        <v>44834.0</v>
      </c>
      <c r="Q5" s="21">
        <f>DATE(YEAR(P5),MONTH(P5)+3,DAY(P5)+1)</f>
        <v>44926.0</v>
      </c>
      <c r="R5" s="22">
        <f>Q5</f>
        <v>44926.0</v>
      </c>
      <c r="S5" s="21">
        <f>DATE(YEAR(R5),MONTH(R5)+3,DAY(R5))</f>
        <v>45016.0</v>
      </c>
      <c r="T5" s="21">
        <f>DATE(YEAR(S5),MONTH(S5)+3,DAY(S5))-1</f>
        <v>45107.0</v>
      </c>
      <c r="U5" s="21">
        <f>DATE(YEAR(T5),MONTH(T5)+3,DAY(T5))</f>
        <v>45199.0</v>
      </c>
      <c r="V5" s="21">
        <f>DATE(YEAR(U5),MONTH(U5)+3,DAY(U5))+1</f>
        <v>45291.0</v>
      </c>
      <c r="W5" s="22">
        <f>V5</f>
        <v>45291.0</v>
      </c>
      <c r="X5" s="21">
        <f>DATE(YEAR(W5),MONTH(W5)+3,DAY(W5))</f>
        <v>45382.0</v>
      </c>
      <c r="Y5" s="21">
        <f>DATE(YEAR(X5),MONTH(X5)+3,DAY(X5))-1</f>
        <v>45473.0</v>
      </c>
      <c r="Z5" s="21">
        <f>DATE(YEAR(Y5),MONTH(Y5)+3,DAY(Y5))</f>
        <v>45565.0</v>
      </c>
      <c r="AA5" s="21">
        <f>DATE(YEAR(Z5),MONTH(Z5)+3,DAY(Z5))+1</f>
        <v>45657.0</v>
      </c>
      <c r="AB5" s="22">
        <f>AA5</f>
        <v>45657.0</v>
      </c>
      <c r="AC5" s="21">
        <f>DATE(YEAR(AB5),MONTH(AB5)+3,DAY(AB5))</f>
        <v>45747.0</v>
      </c>
      <c r="AD5" s="21">
        <f>DATE(YEAR(AC5),MONTH(AC5)+3,DAY(AC5))-1</f>
        <v>45838.0</v>
      </c>
      <c r="AE5" s="21">
        <f>DATE(YEAR(AD5),MONTH(AD5)+3,DAY(AD5))</f>
        <v>45930.0</v>
      </c>
      <c r="AF5" s="21">
        <f>DATE(YEAR(AE5),MONTH(AE5)+3,DAY(AE5))+1</f>
        <v>46022.0</v>
      </c>
      <c r="AG5" s="22">
        <f>AF5</f>
        <v>46022.0</v>
      </c>
      <c r="AH5" s="21">
        <f>DATE(YEAR(AG5),MONTH(AG5)+3,DAY(AG5))</f>
        <v>46112.0</v>
      </c>
      <c r="AI5" s="21">
        <f>DATE(YEAR(AH5),MONTH(AH5)+3,DAY(AH5))-1</f>
        <v>46203.0</v>
      </c>
      <c r="AJ5" s="21">
        <f>DATE(YEAR(AI5),MONTH(AI5)+3,DAY(AI5))</f>
        <v>46295.0</v>
      </c>
      <c r="AK5" s="21">
        <f>DATE(YEAR(AJ5),MONTH(AJ5)+3,DAY(AJ5))+1</f>
        <v>46387.0</v>
      </c>
      <c r="AL5" s="22">
        <f>AK5</f>
        <v>46387.0</v>
      </c>
      <c r="AM5" s="21">
        <f>DATE(YEAR(AL5),MONTH(AL5)+3,DAY(AL5))</f>
        <v>46477.0</v>
      </c>
      <c r="AN5" s="21">
        <f>DATE(YEAR(AM5),MONTH(AM5)+3,DAY(AM5))-1</f>
        <v>46568.0</v>
      </c>
      <c r="AO5" s="21">
        <f>DATE(YEAR(AN5),MONTH(AN5)+3,DAY(AN5))</f>
        <v>46660.0</v>
      </c>
      <c r="AP5" s="21">
        <f>DATE(YEAR(AO5),MONTH(AO5)+3,DAY(AO5))+1</f>
        <v>46752.0</v>
      </c>
      <c r="AQ5" s="22">
        <f>AP5</f>
        <v>46752.0</v>
      </c>
      <c r="AR5" s="21">
        <f>DATE(YEAR(AQ5),MONTH(AQ5)+3,DAY(AQ5))</f>
        <v>46843.0</v>
      </c>
      <c r="AS5" s="21">
        <f>DATE(YEAR(AR5),MONTH(AR5)+3,DAY(AR5))-1</f>
        <v>46934.0</v>
      </c>
      <c r="AT5" s="21">
        <f>DATE(YEAR(AS5),MONTH(AS5)+3,DAY(AS5))</f>
        <v>47026.0</v>
      </c>
      <c r="AU5" s="21">
        <f>DATE(YEAR(AT5),MONTH(AT5)+3,DAY(AT5))+1</f>
        <v>47118.0</v>
      </c>
      <c r="AV5" s="22">
        <f>AU5</f>
        <v>47118.0</v>
      </c>
      <c r="AW5" s="21">
        <f>DATE(YEAR(AV5),MONTH(AV5)+3,DAY(AV5))</f>
        <v>47208.0</v>
      </c>
      <c r="AX5" s="21">
        <f>DATE(YEAR(AW5),MONTH(AW5)+3,DAY(AW5))-1</f>
        <v>47299.0</v>
      </c>
      <c r="AY5" s="21">
        <f>DATE(YEAR(AX5),MONTH(AX5)+3,DAY(AX5))</f>
        <v>47391.0</v>
      </c>
      <c r="AZ5" s="21">
        <f>DATE(YEAR(AY5),MONTH(AY5)+3,DAY(AY5))+1</f>
        <v>47483.0</v>
      </c>
      <c r="BA5" s="22">
        <f>AZ5</f>
        <v>47483.0</v>
      </c>
      <c r="BB5" s="21">
        <f>DATE(YEAR(BA5),MONTH(BA5)+3,DAY(BA5))</f>
        <v>47573.0</v>
      </c>
      <c r="BC5" s="21">
        <f>DATE(YEAR(BB5),MONTH(BB5)+3,DAY(BB5))-1</f>
        <v>47664.0</v>
      </c>
      <c r="BD5" s="21">
        <f>DATE(YEAR(BC5),MONTH(BC5)+3,DAY(BC5))</f>
        <v>47756.0</v>
      </c>
      <c r="BE5" s="21">
        <f>DATE(YEAR(BD5),MONTH(BD5)+3,DAY(BD5))+1</f>
        <v>47848.0</v>
      </c>
      <c r="BF5" s="22">
        <f>BE5</f>
        <v>47848.0</v>
      </c>
      <c r="BG5" s="21" t="n"/>
      <c r="BH5" s="21" t="n"/>
      <c r="BI5" s="21" t="n"/>
      <c r="BJ5" s="21" t="n"/>
      <c r="BK5" s="22" t="n"/>
      <c r="BL5" s="21" t="n"/>
      <c r="BM5" s="21" t="n"/>
      <c r="BN5" s="21" t="n"/>
      <c r="BO5" s="21" t="n"/>
      <c r="BP5" s="22" t="n"/>
      <c r="BQ5" s="21" t="n"/>
      <c r="BR5" s="21" t="n"/>
      <c r="BS5" s="21" t="n"/>
      <c r="BT5" s="21" t="n"/>
      <c r="BU5" s="22" t="n"/>
      <c r="BV5" s="21" t="n"/>
      <c r="BW5" s="21" t="n"/>
      <c r="BX5" s="21" t="n"/>
      <c r="BY5" s="21" t="n"/>
      <c r="BZ5" s="22" t="n"/>
      <c r="CA5" s="21" t="n"/>
      <c r="CB5" s="21" t="n"/>
      <c r="CC5" s="21" t="n"/>
      <c r="CD5" s="21" t="n"/>
      <c r="CE5" s="22" t="n"/>
      <c r="CF5" s="21" t="n"/>
      <c r="CG5" s="21" t="n"/>
      <c r="CH5" s="21" t="n"/>
      <c r="CI5" s="21" t="n"/>
      <c r="CJ5" s="22" t="n"/>
      <c r="CK5" s="21" t="n"/>
      <c r="CL5" s="21" t="n"/>
      <c r="CM5" s="21" t="n"/>
      <c r="CN5" s="21" t="n"/>
      <c r="CO5" s="22" t="n"/>
      <c r="CP5" s="21" t="n"/>
      <c r="CQ5" s="21" t="n"/>
      <c r="CR5" s="21" t="n"/>
      <c r="CS5" s="21" t="n"/>
      <c r="CT5" s="22" t="n"/>
      <c r="CU5" s="21" t="n"/>
      <c r="CV5" s="21" t="n"/>
      <c r="CW5" s="21" t="n"/>
      <c r="CX5" s="21" t="n"/>
      <c r="CY5" s="22" t="n"/>
    </row>
    <row r="6">
      <c r="B6" s="23" t="n"/>
      <c r="D6" s="24" t="n"/>
      <c r="E6" s="24" t="n"/>
      <c r="F6" s="24" t="n"/>
      <c r="G6" s="24" t="n"/>
      <c r="H6" s="24" t="n"/>
      <c r="I6" s="24">
        <f>YEAR(I5)</f>
        <v>2021</v>
      </c>
      <c r="J6" s="24">
        <f>YEAR(J5)</f>
        <v>2021</v>
      </c>
      <c r="K6" s="24">
        <f>YEAR(K5)</f>
        <v>2021</v>
      </c>
      <c r="L6" s="24">
        <f>YEAR(L5)</f>
        <v>2021</v>
      </c>
      <c r="M6" s="24">
        <f>YEAR(M5)</f>
        <v>2021</v>
      </c>
      <c r="N6" s="24">
        <f>YEAR(N5)</f>
        <v>2022</v>
      </c>
      <c r="O6" s="24">
        <f>YEAR(O5)</f>
        <v>2022</v>
      </c>
      <c r="P6" s="24">
        <f>YEAR(P5)</f>
        <v>2022</v>
      </c>
      <c r="Q6" s="24">
        <f>YEAR(Q5)</f>
        <v>2022</v>
      </c>
      <c r="R6" s="24">
        <f>YEAR(R5)</f>
        <v>2022</v>
      </c>
      <c r="S6" s="24">
        <f>YEAR(S5)</f>
        <v>2023</v>
      </c>
      <c r="T6" s="24">
        <f>YEAR(T5)</f>
        <v>2023</v>
      </c>
      <c r="U6" s="24">
        <f>YEAR(U5)</f>
        <v>2023</v>
      </c>
      <c r="V6" s="24">
        <f>YEAR(V5)</f>
        <v>2023</v>
      </c>
      <c r="W6" s="24">
        <f>YEAR(W5)</f>
        <v>2023</v>
      </c>
      <c r="X6" s="24">
        <f>YEAR(X5)</f>
        <v>2024</v>
      </c>
      <c r="Y6" s="24">
        <f>YEAR(Y5)</f>
        <v>2024</v>
      </c>
      <c r="Z6" s="24">
        <f>YEAR(Z5)</f>
        <v>2024</v>
      </c>
      <c r="AA6" s="24">
        <f>YEAR(AA5)</f>
        <v>2024</v>
      </c>
      <c r="AB6" s="24">
        <f>YEAR(AB5)</f>
        <v>2024</v>
      </c>
      <c r="AC6" s="24">
        <f>YEAR(AC5)</f>
        <v>2025</v>
      </c>
      <c r="AD6" s="24">
        <f>YEAR(AD5)</f>
        <v>2025</v>
      </c>
      <c r="AE6" s="24">
        <f>YEAR(AE5)</f>
        <v>2025</v>
      </c>
      <c r="AF6" s="24">
        <f>YEAR(AF5)</f>
        <v>2025</v>
      </c>
      <c r="AG6" s="24">
        <f>YEAR(AG5)</f>
        <v>2025</v>
      </c>
      <c r="AH6" s="24">
        <f>YEAR(AH5)</f>
        <v>2026</v>
      </c>
      <c r="AI6" s="24">
        <f>YEAR(AI5)</f>
        <v>2026</v>
      </c>
      <c r="AJ6" s="24">
        <f>YEAR(AJ5)</f>
        <v>2026</v>
      </c>
      <c r="AK6" s="24">
        <f>YEAR(AK5)</f>
        <v>2026</v>
      </c>
      <c r="AL6" s="24">
        <f>YEAR(AL5)</f>
        <v>2026</v>
      </c>
      <c r="AM6" s="24">
        <f>YEAR(AM5)</f>
        <v>2027</v>
      </c>
      <c r="AN6" s="24">
        <f>YEAR(AN5)</f>
        <v>2027</v>
      </c>
      <c r="AO6" s="24">
        <f>YEAR(AO5)</f>
        <v>2027</v>
      </c>
      <c r="AP6" s="24">
        <f>YEAR(AP5)</f>
        <v>2027</v>
      </c>
      <c r="AQ6" s="24">
        <f>YEAR(AQ5)</f>
        <v>2027</v>
      </c>
      <c r="AR6" s="24">
        <f>YEAR(AR5)</f>
        <v>2028</v>
      </c>
      <c r="AS6" s="24">
        <f>YEAR(AS5)</f>
        <v>2028</v>
      </c>
      <c r="AT6" s="24">
        <f>YEAR(AT5)</f>
        <v>2028</v>
      </c>
      <c r="AU6" s="24">
        <f>YEAR(AU5)</f>
        <v>2028</v>
      </c>
      <c r="AV6" s="24">
        <f>YEAR(AV5)</f>
        <v>2028</v>
      </c>
      <c r="AW6" s="24">
        <f>YEAR(AW5)</f>
        <v>2029</v>
      </c>
      <c r="AX6" s="24">
        <f>YEAR(AX5)</f>
        <v>2029</v>
      </c>
      <c r="AY6" s="24">
        <f>YEAR(AY5)</f>
        <v>2029</v>
      </c>
      <c r="AZ6" s="24">
        <f>YEAR(AZ5)</f>
        <v>2029</v>
      </c>
      <c r="BA6" s="24">
        <f>YEAR(BA5)</f>
        <v>2029</v>
      </c>
      <c r="BB6" s="24">
        <f>YEAR(BB5)</f>
        <v>2030</v>
      </c>
      <c r="BC6" s="24">
        <f>YEAR(BC5)</f>
        <v>2030</v>
      </c>
      <c r="BD6" s="24">
        <f>YEAR(BD5)</f>
        <v>2030</v>
      </c>
      <c r="BE6" s="24">
        <f>YEAR(BE5)</f>
        <v>2030</v>
      </c>
      <c r="BF6" s="24">
        <f>YEAR(BF5)</f>
        <v>2030</v>
      </c>
      <c r="BG6" s="24" t="n"/>
      <c r="BH6" s="24" t="n"/>
      <c r="BI6" s="24" t="n"/>
      <c r="BJ6" s="24" t="n"/>
      <c r="BK6" s="24" t="n"/>
      <c r="BL6" s="24" t="n"/>
      <c r="BM6" s="24" t="n"/>
      <c r="BN6" s="24" t="n"/>
      <c r="BO6" s="24" t="n"/>
      <c r="BP6" s="24" t="n"/>
      <c r="BQ6" s="24" t="n"/>
      <c r="BR6" s="24" t="n"/>
      <c r="BS6" s="24" t="n"/>
      <c r="BT6" s="24" t="n"/>
      <c r="BU6" s="24" t="n"/>
      <c r="BV6" s="24" t="n"/>
      <c r="BW6" s="24" t="n"/>
      <c r="BX6" s="24" t="n"/>
      <c r="BY6" s="24" t="n"/>
      <c r="BZ6" s="24" t="n"/>
      <c r="CA6" s="24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  <c r="CT6" s="24" t="n"/>
      <c r="CU6" s="24" t="n"/>
      <c r="CV6" s="24" t="n"/>
      <c r="CW6" s="24" t="n"/>
      <c r="CX6" s="24" t="n"/>
      <c r="CY6" s="24" t="n"/>
    </row>
    <row r="7">
      <c r="B7" s="4" t="n"/>
      <c r="D7" s="25" t="n"/>
      <c r="E7" s="25" t="n"/>
      <c r="F7" s="25" t="n"/>
      <c r="G7" s="25" t="n"/>
      <c r="H7" s="26" t="n">
        <v>2020</v>
      </c>
      <c r="I7" s="25" t="str">
        <f>"1Q"&amp;RIGHT(I6,2)</f>
        <v>1Q21</v>
      </c>
      <c r="J7" s="25" t="str">
        <f>"2Q"&amp;RIGHT(J6,2)</f>
        <v>2Q21</v>
      </c>
      <c r="K7" s="25" t="str">
        <f>"3Q"&amp;RIGHT(K6,2)</f>
        <v>3Q21</v>
      </c>
      <c r="L7" s="25" t="str">
        <f>"4Q"&amp;RIGHT(L6,2)</f>
        <v>4Q21</v>
      </c>
      <c r="M7" s="26">
        <f>H7+1</f>
        <v>2021</v>
      </c>
      <c r="N7" s="25" t="str">
        <f>"1Q"&amp;RIGHT(N6,2)</f>
        <v>1Q22</v>
      </c>
      <c r="O7" s="25" t="str">
        <f>"2Q"&amp;RIGHT(O6,2)</f>
        <v>2Q22</v>
      </c>
      <c r="P7" s="25" t="str">
        <f>"3Q"&amp;RIGHT(P6,2)</f>
        <v>3Q22</v>
      </c>
      <c r="Q7" s="25" t="str">
        <f>"4Q"&amp;RIGHT(Q6,2)</f>
        <v>4Q22</v>
      </c>
      <c r="R7" s="26">
        <f>M7+1</f>
        <v>2022</v>
      </c>
      <c r="S7" s="25" t="str">
        <f>"1Q"&amp;RIGHT(S6,2)</f>
        <v>1Q23</v>
      </c>
      <c r="T7" s="25" t="str">
        <f>"2Q"&amp;RIGHT(T6,2)</f>
        <v>2Q23</v>
      </c>
      <c r="U7" s="25" t="str">
        <f>"3Q"&amp;RIGHT(U6,2)</f>
        <v>3Q23</v>
      </c>
      <c r="V7" s="25" t="str">
        <f>"4Q"&amp;RIGHT(V6,2)</f>
        <v>4Q23</v>
      </c>
      <c r="W7" s="26">
        <f>R7+1</f>
        <v>2023</v>
      </c>
      <c r="X7" s="25" t="str">
        <f>"1Q"&amp;RIGHT(X6,2)</f>
        <v>1Q24</v>
      </c>
      <c r="Y7" s="25" t="str">
        <f>"2Q"&amp;RIGHT(Y6,2)</f>
        <v>2Q24</v>
      </c>
      <c r="Z7" s="25" t="str">
        <f>"3Q"&amp;RIGHT(Z6,2)</f>
        <v>3Q24</v>
      </c>
      <c r="AA7" s="25" t="str">
        <f>"4Q"&amp;RIGHT(AA6,2)</f>
        <v>4Q24</v>
      </c>
      <c r="AB7" s="26">
        <f>W7+1</f>
        <v>2024</v>
      </c>
      <c r="AC7" s="25" t="str">
        <f>"1Q"&amp;RIGHT(AC6,2)</f>
        <v>1Q25</v>
      </c>
      <c r="AD7" s="25" t="str">
        <f>"2Q"&amp;RIGHT(AD6,2)</f>
        <v>2Q25</v>
      </c>
      <c r="AE7" s="25" t="str">
        <f>"3Q"&amp;RIGHT(AE6,2)</f>
        <v>3Q25</v>
      </c>
      <c r="AF7" s="25" t="str">
        <f>"4Q"&amp;RIGHT(AF6,2)</f>
        <v>4Q25</v>
      </c>
      <c r="AG7" s="26">
        <f>AB7+1</f>
        <v>2025</v>
      </c>
      <c r="AH7" s="25" t="str">
        <f>"1Q"&amp;RIGHT(AH6,2)</f>
        <v>1Q26</v>
      </c>
      <c r="AI7" s="25" t="str">
        <f>"2Q"&amp;RIGHT(AI6,2)</f>
        <v>2Q26</v>
      </c>
      <c r="AJ7" s="25" t="str">
        <f>"3Q"&amp;RIGHT(AJ6,2)</f>
        <v>3Q26</v>
      </c>
      <c r="AK7" s="25" t="str">
        <f>"4Q"&amp;RIGHT(AK6,2)</f>
        <v>4Q26</v>
      </c>
      <c r="AL7" s="26">
        <f>AG7+1</f>
        <v>2026</v>
      </c>
      <c r="AM7" s="25" t="str">
        <f>"1Q"&amp;RIGHT(AM6,2)</f>
        <v>1Q27</v>
      </c>
      <c r="AN7" s="25" t="str">
        <f>"2Q"&amp;RIGHT(AN6,2)</f>
        <v>2Q27</v>
      </c>
      <c r="AO7" s="25" t="str">
        <f>"3Q"&amp;RIGHT(AO6,2)</f>
        <v>3Q27</v>
      </c>
      <c r="AP7" s="25" t="str">
        <f>"4Q"&amp;RIGHT(AP6,2)</f>
        <v>4Q27</v>
      </c>
      <c r="AQ7" s="26">
        <f>AL7+1</f>
        <v>2027</v>
      </c>
      <c r="AR7" s="25" t="str">
        <f>"1Q"&amp;RIGHT(AR6,2)</f>
        <v>1Q28</v>
      </c>
      <c r="AS7" s="25" t="str">
        <f>"2Q"&amp;RIGHT(AS6,2)</f>
        <v>2Q28</v>
      </c>
      <c r="AT7" s="25" t="str">
        <f>"3Q"&amp;RIGHT(AT6,2)</f>
        <v>3Q28</v>
      </c>
      <c r="AU7" s="25" t="str">
        <f>"4Q"&amp;RIGHT(AU6,2)</f>
        <v>4Q28</v>
      </c>
      <c r="AV7" s="26">
        <f>AQ7+1</f>
        <v>2028</v>
      </c>
      <c r="AW7" s="25" t="str">
        <f>"1Q"&amp;RIGHT(AW6,2)</f>
        <v>1Q29</v>
      </c>
      <c r="AX7" s="25" t="str">
        <f>"2Q"&amp;RIGHT(AX6,2)</f>
        <v>2Q29</v>
      </c>
      <c r="AY7" s="25" t="str">
        <f>"3Q"&amp;RIGHT(AY6,2)</f>
        <v>3Q29</v>
      </c>
      <c r="AZ7" s="25" t="str">
        <f>"4Q"&amp;RIGHT(AZ6,2)</f>
        <v>4Q29</v>
      </c>
      <c r="BA7" s="26">
        <f>AV7+1</f>
        <v>2029</v>
      </c>
      <c r="BB7" s="25" t="str">
        <f>"1Q"&amp;RIGHT(BB6,2)</f>
        <v>1Q30</v>
      </c>
      <c r="BC7" s="25" t="str">
        <f>"2Q"&amp;RIGHT(BC6,2)</f>
        <v>2Q30</v>
      </c>
      <c r="BD7" s="25" t="str">
        <f>"3Q"&amp;RIGHT(BD6,2)</f>
        <v>3Q30</v>
      </c>
      <c r="BE7" s="25" t="str">
        <f>"4Q"&amp;RIGHT(BE6,2)</f>
        <v>4Q30</v>
      </c>
      <c r="BF7" s="26">
        <f>BA7+1</f>
        <v>2030</v>
      </c>
      <c r="BG7" s="25" t="n"/>
      <c r="BH7" s="25" t="n"/>
      <c r="BI7" s="25" t="n"/>
      <c r="BJ7" s="25" t="n"/>
      <c r="BK7" s="26" t="n"/>
      <c r="BL7" s="25" t="n"/>
      <c r="BM7" s="25" t="n"/>
      <c r="BN7" s="25" t="n"/>
      <c r="BO7" s="25" t="n"/>
      <c r="BP7" s="26" t="n"/>
      <c r="BQ7" s="25" t="n"/>
      <c r="BR7" s="25" t="n"/>
      <c r="BS7" s="25" t="n"/>
      <c r="BT7" s="25" t="n"/>
      <c r="BU7" s="26" t="n"/>
      <c r="BV7" s="25" t="n"/>
      <c r="BW7" s="25" t="n"/>
      <c r="BX7" s="25" t="n"/>
      <c r="BY7" s="25" t="n"/>
      <c r="BZ7" s="26" t="n"/>
      <c r="CA7" s="25" t="n"/>
      <c r="CB7" s="25" t="n"/>
      <c r="CC7" s="25" t="n"/>
      <c r="CD7" s="25" t="n"/>
      <c r="CE7" s="26" t="n"/>
      <c r="CF7" s="25" t="n"/>
      <c r="CG7" s="25" t="n"/>
      <c r="CH7" s="25" t="n"/>
      <c r="CI7" s="25" t="n"/>
      <c r="CJ7" s="26" t="n"/>
      <c r="CK7" s="25" t="n"/>
      <c r="CL7" s="25" t="n"/>
      <c r="CM7" s="25" t="n"/>
      <c r="CN7" s="25" t="n"/>
      <c r="CO7" s="26" t="n"/>
      <c r="CP7" s="25" t="n"/>
      <c r="CQ7" s="25" t="n"/>
      <c r="CR7" s="25" t="n"/>
      <c r="CS7" s="25" t="n"/>
      <c r="CT7" s="26" t="n"/>
      <c r="CU7" s="25" t="n"/>
      <c r="CV7" s="25" t="n"/>
      <c r="CW7" s="25" t="n"/>
      <c r="CX7" s="25" t="n"/>
      <c r="CY7" s="26" t="n"/>
    </row>
    <row r="8">
      <c r="B8" s="4" t="n"/>
      <c r="C8" s="4" t="inlineStr">
        <is>
          <t>IPCA</t>
        </is>
      </c>
      <c r="D8" s="25" t="n"/>
      <c r="E8" s="25" t="n"/>
      <c r="F8" s="25" t="n"/>
      <c r="G8" s="25" t="n"/>
      <c r="H8" s="27" t="n"/>
      <c r="I8" s="25" t="n"/>
      <c r="J8" s="25" t="n"/>
      <c r="K8" s="25" t="n"/>
      <c r="L8" s="25" t="n"/>
      <c r="M8" s="27" t="n">
        <v>0.1006</v>
      </c>
      <c r="N8" s="25" t="n"/>
      <c r="O8" s="25" t="n"/>
      <c r="P8" s="25" t="n"/>
      <c r="Q8" s="25" t="n"/>
      <c r="R8" s="27" t="n">
        <v>0.0579</v>
      </c>
      <c r="S8" s="25" t="n"/>
      <c r="T8" s="25" t="n"/>
      <c r="U8" s="25" t="n"/>
      <c r="V8" s="25" t="n"/>
      <c r="W8" s="27" t="n">
        <v>0.0468</v>
      </c>
      <c r="X8" s="25" t="n"/>
      <c r="Y8" s="25" t="n"/>
      <c r="Z8" s="25" t="n"/>
      <c r="AA8" s="25" t="n"/>
      <c r="AB8" s="27" t="n">
        <v>0.0483</v>
      </c>
      <c r="AC8" s="25" t="n"/>
      <c r="AD8" s="25" t="n"/>
      <c r="AE8" s="25" t="n"/>
      <c r="AF8" s="25" t="n"/>
      <c r="AG8" s="27" t="n">
        <v>0.0468</v>
      </c>
      <c r="AH8" s="25" t="n"/>
      <c r="AI8" s="25" t="n"/>
      <c r="AJ8" s="25" t="n"/>
      <c r="AK8" s="25" t="n"/>
      <c r="AL8" s="28" t="n"/>
      <c r="AM8" s="25" t="n"/>
      <c r="AN8" s="25" t="n"/>
      <c r="AO8" s="25" t="n"/>
      <c r="AP8" s="25" t="n"/>
      <c r="AQ8" s="28" t="n"/>
      <c r="AR8" s="25" t="n"/>
      <c r="AS8" s="25" t="n"/>
      <c r="AT8" s="25" t="n"/>
      <c r="AU8" s="25" t="n"/>
      <c r="AV8" s="28" t="n"/>
      <c r="AW8" s="25" t="n"/>
      <c r="AX8" s="25" t="n"/>
      <c r="AY8" s="25" t="n"/>
      <c r="AZ8" s="25" t="n"/>
      <c r="BA8" s="28" t="n"/>
      <c r="BB8" s="25" t="n"/>
      <c r="BC8" s="25" t="n"/>
      <c r="BD8" s="25" t="n"/>
      <c r="BE8" s="25" t="n"/>
      <c r="BF8" s="28" t="n"/>
      <c r="BG8" s="25" t="n"/>
      <c r="BH8" s="25" t="n"/>
      <c r="BI8" s="25" t="n"/>
      <c r="BJ8" s="25" t="n"/>
      <c r="BK8" s="28" t="n"/>
      <c r="BL8" s="25" t="n"/>
      <c r="BM8" s="25" t="n"/>
      <c r="BN8" s="25" t="n"/>
      <c r="BO8" s="25" t="n"/>
      <c r="BP8" s="28" t="n"/>
      <c r="BQ8" s="25" t="n"/>
      <c r="BR8" s="25" t="n"/>
      <c r="BS8" s="25" t="n"/>
      <c r="BT8" s="25" t="n"/>
      <c r="BU8" s="28" t="n"/>
      <c r="BV8" s="25" t="n"/>
      <c r="BW8" s="25" t="n"/>
      <c r="BX8" s="25" t="n"/>
      <c r="BY8" s="25" t="n"/>
      <c r="BZ8" s="28" t="n"/>
      <c r="CA8" s="25" t="n"/>
      <c r="CB8" s="25" t="n"/>
      <c r="CC8" s="25" t="n"/>
      <c r="CD8" s="25" t="n"/>
      <c r="CE8" s="28" t="n"/>
      <c r="CF8" s="25" t="n"/>
      <c r="CG8" s="25" t="n"/>
      <c r="CH8" s="25" t="n"/>
      <c r="CI8" s="25" t="n"/>
      <c r="CJ8" s="28" t="n"/>
      <c r="CK8" s="25" t="n"/>
      <c r="CL8" s="25" t="n"/>
      <c r="CM8" s="25" t="n"/>
      <c r="CN8" s="25" t="n"/>
      <c r="CO8" s="28" t="n"/>
      <c r="CP8" s="25" t="n"/>
      <c r="CQ8" s="25" t="n"/>
      <c r="CR8" s="25" t="n"/>
      <c r="CS8" s="25" t="n"/>
      <c r="CT8" s="28" t="n"/>
      <c r="CU8" s="25" t="n"/>
      <c r="CV8" s="25" t="n"/>
      <c r="CW8" s="25" t="n"/>
      <c r="CX8" s="25" t="n"/>
      <c r="CY8" s="28" t="n"/>
    </row>
    <row r="9">
      <c r="B9" s="4" t="n"/>
      <c r="C9" s="4" t="inlineStr">
        <is>
          <t>GDP BRAZIL</t>
        </is>
      </c>
      <c r="D9" s="25" t="n"/>
      <c r="E9" s="25" t="n"/>
      <c r="F9" s="25" t="n"/>
      <c r="G9" s="25" t="n"/>
      <c r="H9" s="29" t="n"/>
      <c r="I9" s="25" t="n"/>
      <c r="J9" s="25" t="n"/>
      <c r="K9" s="25" t="n"/>
      <c r="L9" s="25" t="n"/>
      <c r="M9" s="29" t="n">
        <v>0.046</v>
      </c>
      <c r="N9" s="25" t="n"/>
      <c r="O9" s="25" t="n"/>
      <c r="P9" s="25" t="n"/>
      <c r="Q9" s="25" t="n"/>
      <c r="R9" s="29" t="n"/>
      <c r="S9" s="25" t="n"/>
      <c r="T9" s="25" t="n"/>
      <c r="U9" s="25" t="n"/>
      <c r="V9" s="25" t="n"/>
      <c r="W9" s="29" t="n"/>
      <c r="X9" s="25" t="n"/>
      <c r="Y9" s="25" t="n"/>
      <c r="Z9" s="25" t="n"/>
      <c r="AA9" s="25" t="n"/>
      <c r="AB9" s="29" t="n"/>
      <c r="AC9" s="25" t="n"/>
      <c r="AD9" s="25" t="n"/>
      <c r="AE9" s="25" t="n"/>
      <c r="AF9" s="25" t="n"/>
      <c r="AG9" s="29" t="n"/>
      <c r="AH9" s="25" t="n"/>
      <c r="AI9" s="25" t="n"/>
      <c r="AJ9" s="25" t="n"/>
      <c r="AK9" s="25" t="n"/>
      <c r="AL9" s="28" t="n"/>
      <c r="AM9" s="25" t="n"/>
      <c r="AN9" s="25" t="n"/>
      <c r="AO9" s="25" t="n"/>
      <c r="AP9" s="25" t="n"/>
      <c r="AQ9" s="28" t="n"/>
      <c r="AR9" s="25" t="n"/>
      <c r="AS9" s="25" t="n"/>
      <c r="AT9" s="25" t="n"/>
      <c r="AU9" s="25" t="n"/>
      <c r="AV9" s="28" t="n"/>
      <c r="AW9" s="25" t="n"/>
      <c r="AX9" s="25" t="n"/>
      <c r="AY9" s="25" t="n"/>
      <c r="AZ9" s="25" t="n"/>
      <c r="BA9" s="28" t="n"/>
      <c r="BB9" s="25" t="n"/>
      <c r="BC9" s="25" t="n"/>
      <c r="BD9" s="25" t="n"/>
      <c r="BE9" s="25" t="n"/>
      <c r="BF9" s="28" t="n"/>
      <c r="BG9" s="25" t="n"/>
      <c r="BH9" s="25" t="n"/>
      <c r="BI9" s="25" t="n"/>
      <c r="BJ9" s="25" t="n"/>
      <c r="BK9" s="28" t="n"/>
      <c r="BL9" s="25" t="n"/>
      <c r="BM9" s="25" t="n"/>
      <c r="BN9" s="25" t="n"/>
      <c r="BO9" s="25" t="n"/>
      <c r="BP9" s="28" t="n"/>
      <c r="BQ9" s="25" t="n"/>
      <c r="BR9" s="25" t="n"/>
      <c r="BS9" s="25" t="n"/>
      <c r="BT9" s="25" t="n"/>
      <c r="BU9" s="28" t="n"/>
      <c r="BV9" s="25" t="n"/>
      <c r="BW9" s="25" t="n"/>
      <c r="BX9" s="25" t="n"/>
      <c r="BY9" s="25" t="n"/>
      <c r="BZ9" s="28" t="n"/>
      <c r="CA9" s="25" t="n"/>
      <c r="CB9" s="25" t="n"/>
      <c r="CC9" s="25" t="n"/>
      <c r="CD9" s="25" t="n"/>
      <c r="CE9" s="28" t="n"/>
      <c r="CF9" s="25" t="n"/>
      <c r="CG9" s="25" t="n"/>
      <c r="CH9" s="25" t="n"/>
      <c r="CI9" s="25" t="n"/>
      <c r="CJ9" s="28" t="n"/>
      <c r="CK9" s="25" t="n"/>
      <c r="CL9" s="25" t="n"/>
      <c r="CM9" s="25" t="n"/>
      <c r="CN9" s="25" t="n"/>
      <c r="CO9" s="28" t="n"/>
      <c r="CP9" s="25" t="n"/>
      <c r="CQ9" s="25" t="n"/>
      <c r="CR9" s="25" t="n"/>
      <c r="CS9" s="25" t="n"/>
      <c r="CT9" s="28" t="n"/>
      <c r="CU9" s="25" t="n"/>
      <c r="CV9" s="25" t="n"/>
      <c r="CW9" s="25" t="n"/>
      <c r="CX9" s="25" t="n"/>
      <c r="CY9" s="28" t="n"/>
    </row>
    <row r="10">
      <c r="C10" s="4" t="inlineStr">
        <is>
          <t>CDI</t>
        </is>
      </c>
      <c r="H10" s="29" t="n"/>
      <c r="M10" s="29" t="n">
        <v>0.0442</v>
      </c>
      <c r="R10" s="29" t="n">
        <v>0.1239</v>
      </c>
      <c r="W10" s="29" t="n">
        <v>0.1304</v>
      </c>
      <c r="AB10" s="29" t="n">
        <v>0.1064</v>
      </c>
      <c r="AG10" s="29" t="n">
        <v>0.1464</v>
      </c>
    </row>
    <row r="11"/>
    <row r="12"/>
    <row r="13" customFormat="1" s="32">
      <c r="A13" s="30" t="n"/>
      <c r="B13" s="30" t="n"/>
      <c r="C13" s="31" t="inlineStr">
        <is>
          <t>Income Statement</t>
        </is>
      </c>
      <c r="D13" s="31" t="n"/>
      <c r="E13" s="31" t="n"/>
      <c r="F13" s="31" t="n"/>
      <c r="G13" s="31" t="n"/>
      <c r="H13" s="31" t="n"/>
      <c r="I13" s="31" t="str">
        <f>I7</f>
        <v>1Q21</v>
      </c>
      <c r="J13" s="31" t="str">
        <f>J7</f>
        <v>2Q21</v>
      </c>
      <c r="K13" s="31" t="str">
        <f>K7</f>
        <v>3Q21</v>
      </c>
      <c r="L13" s="31" t="str">
        <f>L7</f>
        <v>4Q21</v>
      </c>
      <c r="M13" s="31">
        <f>M7</f>
        <v>2021</v>
      </c>
      <c r="N13" s="31" t="str">
        <f>N7</f>
        <v>1Q22</v>
      </c>
      <c r="O13" s="31" t="str">
        <f>O7</f>
        <v>2Q22</v>
      </c>
      <c r="P13" s="31" t="str">
        <f>P7</f>
        <v>3Q22</v>
      </c>
      <c r="Q13" s="31" t="str">
        <f>Q7</f>
        <v>4Q22</v>
      </c>
      <c r="R13" s="31">
        <f>R7</f>
        <v>2022</v>
      </c>
      <c r="S13" s="31" t="str">
        <f>S7</f>
        <v>1Q23</v>
      </c>
      <c r="T13" s="31" t="str">
        <f>T7</f>
        <v>2Q23</v>
      </c>
      <c r="U13" s="31" t="str">
        <f>U7</f>
        <v>3Q23</v>
      </c>
      <c r="V13" s="31" t="str">
        <f>V7</f>
        <v>4Q23</v>
      </c>
      <c r="W13" s="31">
        <f>W7</f>
        <v>2023</v>
      </c>
      <c r="X13" s="31" t="str">
        <f>X7</f>
        <v>1Q24</v>
      </c>
      <c r="Y13" s="31" t="str">
        <f>Y7</f>
        <v>2Q24</v>
      </c>
      <c r="Z13" s="31" t="str">
        <f>Z7</f>
        <v>3Q24</v>
      </c>
      <c r="AA13" s="31" t="str">
        <f>AA7</f>
        <v>4Q24</v>
      </c>
      <c r="AB13" s="31">
        <f>AB7</f>
        <v>2024</v>
      </c>
      <c r="AC13" s="31" t="str">
        <f>AC7</f>
        <v>1Q25</v>
      </c>
      <c r="AD13" s="31" t="str">
        <f>AD7</f>
        <v>2Q25</v>
      </c>
      <c r="AE13" s="31" t="str">
        <f>AE7</f>
        <v>3Q25</v>
      </c>
      <c r="AF13" s="31" t="str">
        <f>AF7</f>
        <v>4Q25</v>
      </c>
      <c r="AG13" s="31">
        <f>AG7</f>
        <v>2025</v>
      </c>
      <c r="AH13" s="31" t="str">
        <f>AH7</f>
        <v>1Q26</v>
      </c>
      <c r="AI13" s="31" t="str">
        <f>AI7</f>
        <v>2Q26</v>
      </c>
      <c r="AJ13" s="31" t="str">
        <f>AJ7</f>
        <v>3Q26</v>
      </c>
      <c r="AK13" s="31" t="str">
        <f>AK7</f>
        <v>4Q26</v>
      </c>
      <c r="AL13" s="31">
        <f>AL7</f>
        <v>2026</v>
      </c>
      <c r="AM13" s="31" t="str">
        <f>AM7</f>
        <v>1Q27</v>
      </c>
      <c r="AN13" s="31" t="str">
        <f>AN7</f>
        <v>2Q27</v>
      </c>
      <c r="AO13" s="31" t="str">
        <f>AO7</f>
        <v>3Q27</v>
      </c>
      <c r="AP13" s="31" t="str">
        <f>AP7</f>
        <v>4Q27</v>
      </c>
      <c r="AQ13" s="31">
        <f>AQ7</f>
        <v>2027</v>
      </c>
      <c r="AR13" s="31" t="str">
        <f>AR7</f>
        <v>1Q28</v>
      </c>
      <c r="AS13" s="31" t="str">
        <f>AS7</f>
        <v>2Q28</v>
      </c>
      <c r="AT13" s="31" t="str">
        <f>AT7</f>
        <v>3Q28</v>
      </c>
      <c r="AU13" s="31" t="str">
        <f>AU7</f>
        <v>4Q28</v>
      </c>
      <c r="AV13" s="31">
        <f>AV7</f>
        <v>2028</v>
      </c>
      <c r="AW13" s="31" t="str">
        <f>AW7</f>
        <v>1Q29</v>
      </c>
      <c r="AX13" s="31" t="str">
        <f>AX7</f>
        <v>2Q29</v>
      </c>
      <c r="AY13" s="31" t="str">
        <f>AY7</f>
        <v>3Q29</v>
      </c>
      <c r="AZ13" s="31" t="str">
        <f>AZ7</f>
        <v>4Q29</v>
      </c>
      <c r="BA13" s="31">
        <f>BA7</f>
        <v>2029</v>
      </c>
      <c r="BB13" s="31" t="str">
        <f>BB7</f>
        <v>1Q30</v>
      </c>
      <c r="BC13" s="31" t="str">
        <f>BC7</f>
        <v>2Q30</v>
      </c>
      <c r="BD13" s="31" t="str">
        <f>BD7</f>
        <v>3Q30</v>
      </c>
      <c r="BE13" s="31" t="str">
        <f>BE7</f>
        <v>4Q30</v>
      </c>
      <c r="BF13" s="31">
        <f>BF7</f>
        <v>2030</v>
      </c>
      <c r="BG13" s="31" t="n"/>
      <c r="BH13" s="31" t="n"/>
      <c r="BI13" s="31" t="n"/>
      <c r="BJ13" s="31" t="n"/>
      <c r="BK13" s="31" t="n"/>
      <c r="BL13" s="31" t="n"/>
      <c r="BM13" s="31" t="n"/>
      <c r="BN13" s="31" t="n"/>
      <c r="BO13" s="31" t="n"/>
      <c r="BP13" s="31" t="n"/>
      <c r="BQ13" s="31" t="n"/>
      <c r="BR13" s="31" t="n"/>
      <c r="BS13" s="31" t="n"/>
      <c r="BT13" s="31" t="n"/>
      <c r="BU13" s="31" t="n"/>
      <c r="BV13" s="31" t="n"/>
      <c r="BW13" s="31" t="n"/>
      <c r="BX13" s="31" t="n"/>
      <c r="BY13" s="31" t="n"/>
      <c r="BZ13" s="31" t="n"/>
      <c r="CA13" s="31" t="n"/>
      <c r="CB13" s="31" t="n"/>
      <c r="CC13" s="31" t="n"/>
      <c r="CD13" s="31" t="n"/>
      <c r="CE13" s="31" t="n"/>
      <c r="CF13" s="31" t="n"/>
      <c r="CG13" s="31" t="n"/>
      <c r="CH13" s="31" t="n"/>
      <c r="CI13" s="31" t="n"/>
      <c r="CJ13" s="31" t="n"/>
      <c r="CK13" s="31" t="n"/>
      <c r="CL13" s="31" t="n"/>
      <c r="CM13" s="31" t="n"/>
      <c r="CN13" s="31" t="n"/>
      <c r="CO13" s="31" t="n"/>
      <c r="CP13" s="31" t="n"/>
      <c r="CQ13" s="31" t="n"/>
      <c r="CR13" s="31" t="n"/>
      <c r="CS13" s="31" t="n"/>
      <c r="CT13" s="31" t="n"/>
      <c r="CU13" s="31" t="n"/>
      <c r="CV13" s="31" t="n"/>
      <c r="CW13" s="31" t="n"/>
      <c r="CX13" s="31" t="n"/>
      <c r="CY13" s="31" t="n"/>
    </row>
    <row r="14">
      <c r="C14" s="17" t="n"/>
    </row>
    <row r="15" customFormat="1" s="32">
      <c r="A15" s="30" t="n"/>
      <c r="B15" s="3" t="n"/>
      <c r="C15" s="33" t="inlineStr">
        <is>
          <t>Net Revenues</t>
        </is>
      </c>
      <c r="D15" s="34" t="n"/>
      <c r="E15" s="34" t="n"/>
      <c r="F15" s="34" t="n"/>
      <c r="G15" s="34" t="n"/>
      <c r="H15" s="35" t="n"/>
      <c r="I15" s="34">
        <f>'Inputs (2)'!D4</f>
        <v>893.80797581</v>
      </c>
      <c r="J15" s="34">
        <f>'Inputs (2)'!E4</f>
        <v>932.06635589</v>
      </c>
      <c r="K15" s="34">
        <f>'Inputs (2)'!F4</f>
        <v>1028.82986343</v>
      </c>
      <c r="L15" s="34">
        <f>'Inputs (2)'!G4</f>
        <v>1017.94642707</v>
      </c>
      <c r="M15" s="35">
        <f>'Inputs (2)'!H4</f>
        <v>3872.6506222</v>
      </c>
      <c r="N15" s="34">
        <f>'Inputs (2)'!I4</f>
        <v>1089.912570079</v>
      </c>
      <c r="O15" s="34">
        <f>'Inputs (2)'!J4</f>
        <v>1111.745961258</v>
      </c>
      <c r="P15" s="34">
        <f>'Inputs (2)'!K4</f>
        <v>1146.63487622</v>
      </c>
      <c r="Q15" s="34">
        <f>'Inputs (2)'!L4</f>
        <v>1114.74676428</v>
      </c>
      <c r="R15" s="35">
        <f>'Inputs (2)'!M4</f>
        <v>4463.040171837</v>
      </c>
      <c r="S15" s="34">
        <f>'Inputs (2)'!N4</f>
        <v>1236.82329968</v>
      </c>
      <c r="T15" s="34">
        <f>'Inputs (2)'!O4</f>
        <v>1659.541</v>
      </c>
      <c r="U15" s="34">
        <f>'Inputs (2)'!P4</f>
        <v>1870.045</v>
      </c>
      <c r="V15" s="34">
        <f>'Inputs (2)'!Q4</f>
        <v>1704.44070032</v>
      </c>
      <c r="W15" s="35">
        <f>'Inputs (2)'!R4</f>
        <v>6470.85</v>
      </c>
      <c r="X15" s="34">
        <f>'Inputs (2)'!S4</f>
        <v>1904.4484785</v>
      </c>
      <c r="Y15" s="34">
        <f>'Inputs (2)'!T4</f>
        <v>1978.202</v>
      </c>
      <c r="Z15" s="34">
        <f>'Inputs (2)'!U4</f>
        <v>1962.671474</v>
      </c>
      <c r="AA15" s="34">
        <f>'Inputs (2)'!V4</f>
        <v>1839.3370475</v>
      </c>
      <c r="AB15" s="35">
        <f>'Inputs (2)'!W4</f>
        <v>7684.659</v>
      </c>
      <c r="AC15" s="34">
        <f>'Inputs (2)'!X4</f>
        <v>2015.074</v>
      </c>
      <c r="AD15" s="34">
        <f>'Inputs (2)'!Y4</f>
        <v>2024.533</v>
      </c>
      <c r="AE15" s="34">
        <f>'Inputs (2)'!Z4</f>
        <v>2190.979183827</v>
      </c>
      <c r="AF15" s="34">
        <f>'Inputs (2)'!AA4</f>
        <v>2060.59533814</v>
      </c>
      <c r="AG15" s="35">
        <f>'Inputs (2)'!AB4</f>
        <v>8291.181521967</v>
      </c>
      <c r="AH15" s="35">
        <f>'Inputs (2)'!AC4</f>
        <v>2223.11781868</v>
      </c>
      <c r="AI15" s="35">
        <f>'Inputs (2)'!AD4</f>
        <v>2316.653662</v>
      </c>
      <c r="AJ15" s="35">
        <f>AE15*(1+AJ16)</f>
        <v>2397.53749340199</v>
      </c>
      <c r="AK15" s="35">
        <f>AF15*(1+AK16)</f>
        <v>2254.86148767997</v>
      </c>
      <c r="AL15" s="35">
        <f>SUM(AH15:AK15)</f>
        <v>9192.17046176196</v>
      </c>
      <c r="AM15" s="35">
        <f>AH15*(1+AM16)</f>
        <v>2432.70605301936</v>
      </c>
      <c r="AN15" s="35">
        <f>AI15*(1+AN16)</f>
        <v>2535.06014793365</v>
      </c>
      <c r="AO15" s="35">
        <f>AJ15*(1+AO16)</f>
        <v>2623.56944086885</v>
      </c>
      <c r="AP15" s="35">
        <f>AK15*(1+AP16)</f>
        <v>2467.44241070243</v>
      </c>
      <c r="AQ15" s="35">
        <f>SUM(AM15:AP15)</f>
        <v>10058.7780525243</v>
      </c>
      <c r="AR15" s="35">
        <f>AM15*(1+AR16)</f>
        <v>2649.89004632443</v>
      </c>
      <c r="AS15" s="35">
        <f>AN15*(1+AS16)</f>
        <v>2761.38197810851</v>
      </c>
      <c r="AT15" s="35">
        <f>AO15*(1+AT16)</f>
        <v>2857.79308953938</v>
      </c>
      <c r="AU15" s="35">
        <f>AP15*(1+AU16)</f>
        <v>2687.72755174589</v>
      </c>
      <c r="AV15" s="35">
        <f>SUM(AR15:AU15)</f>
        <v>10956.7926657182</v>
      </c>
      <c r="AW15" s="35">
        <f>AR15*(1+AW16)</f>
        <v>2873.21406182897</v>
      </c>
      <c r="AX15" s="35">
        <f>AS15*(1+AX16)</f>
        <v>2994.10216683801</v>
      </c>
      <c r="AY15" s="35">
        <f>AT15*(1+AY16)</f>
        <v>3098.63848956732</v>
      </c>
      <c r="AZ15" s="35">
        <f>AU15*(1+AZ16)</f>
        <v>2914.24038772965</v>
      </c>
      <c r="BA15" s="35">
        <f>SUM(AW15:AZ15)</f>
        <v>11880.1951059639</v>
      </c>
      <c r="BB15" s="35">
        <f>AW15*(1+BB16)</f>
        <v>3100.99302036046</v>
      </c>
      <c r="BC15" s="35">
        <f>AX15*(1+BC16)</f>
        <v>3231.46473663732</v>
      </c>
      <c r="BD15" s="35">
        <f>AY15*(1+BD16)</f>
        <v>3344.28835512935</v>
      </c>
      <c r="BE15" s="35">
        <f>AZ15*(1+BE16)</f>
        <v>3145.27177841027</v>
      </c>
      <c r="BF15" s="35">
        <f>SUM(BB15:BE15)</f>
        <v>12822.0178905374</v>
      </c>
      <c r="BG15" s="35" t="n"/>
      <c r="BH15" s="35" t="n"/>
      <c r="BI15" s="35" t="n"/>
      <c r="BJ15" s="35" t="n"/>
      <c r="BK15" s="35" t="n"/>
      <c r="BL15" s="35" t="n"/>
      <c r="BM15" s="35" t="n"/>
      <c r="BN15" s="35" t="n"/>
      <c r="BO15" s="35" t="n"/>
      <c r="BP15" s="35" t="n"/>
      <c r="BQ15" s="35" t="n"/>
      <c r="BR15" s="35" t="n"/>
      <c r="BS15" s="35" t="n"/>
      <c r="BT15" s="35" t="n"/>
      <c r="BU15" s="35" t="n"/>
      <c r="BV15" s="35" t="n"/>
      <c r="BW15" s="35" t="n"/>
      <c r="BX15" s="35" t="n"/>
      <c r="BY15" s="35" t="n"/>
      <c r="BZ15" s="35" t="n"/>
      <c r="CA15" s="35" t="n"/>
      <c r="CB15" s="35" t="n"/>
      <c r="CC15" s="35" t="n"/>
      <c r="CD15" s="35" t="n"/>
      <c r="CE15" s="35" t="n"/>
      <c r="CF15" s="35" t="n"/>
      <c r="CG15" s="35" t="n"/>
      <c r="CH15" s="35" t="n"/>
      <c r="CI15" s="35" t="n"/>
      <c r="CJ15" s="35" t="n"/>
      <c r="CK15" s="35" t="n"/>
      <c r="CL15" s="35" t="n"/>
      <c r="CM15" s="35" t="n"/>
      <c r="CN15" s="35" t="n"/>
      <c r="CO15" s="35" t="n"/>
      <c r="CP15" s="35" t="n"/>
      <c r="CQ15" s="35" t="n"/>
      <c r="CR15" s="35" t="n"/>
      <c r="CS15" s="35" t="n"/>
      <c r="CT15" s="35" t="n"/>
      <c r="CU15" s="35" t="n"/>
      <c r="CV15" s="35" t="n"/>
      <c r="CW15" s="35" t="n"/>
      <c r="CX15" s="35" t="n"/>
      <c r="CY15" s="35" t="n"/>
    </row>
    <row r="16" hidden="1" outlineLevel="1" customFormat="1" s="43">
      <c r="A16" s="36" t="n"/>
      <c r="B16" s="37" t="n"/>
      <c r="C16" s="38" t="inlineStr">
        <is>
          <t>% YoY</t>
        </is>
      </c>
      <c r="D16" s="39" t="n"/>
      <c r="E16" s="40" t="n"/>
      <c r="F16" s="40" t="n"/>
      <c r="G16" s="40" t="n"/>
      <c r="H16" s="39" t="n"/>
      <c r="I16" s="39" t="n"/>
      <c r="J16" s="40" t="n"/>
      <c r="K16" s="40" t="n"/>
      <c r="L16" s="40" t="n"/>
      <c r="M16" s="39" t="n"/>
      <c r="N16" s="40">
        <f>IFERROR(N15/I15-1,"")</f>
        <v>0.219403495578883</v>
      </c>
      <c r="O16" s="40">
        <f>IFERROR(O15/J15-1,"")</f>
        <v>0.192775551045859</v>
      </c>
      <c r="P16" s="40">
        <f>IFERROR(P15/K15-1,"")</f>
        <v>0.114503881523473</v>
      </c>
      <c r="Q16" s="40">
        <f>IFERROR(Q15/L15-1,"")</f>
        <v>0.0950937442637572</v>
      </c>
      <c r="R16" s="40">
        <f>IFERROR(R15/M15-1,"")</f>
        <v>0.152451023144868</v>
      </c>
      <c r="S16" s="40">
        <f>IFERROR(S15/N15-1,"")</f>
        <v>0.134791297608717</v>
      </c>
      <c r="T16" s="40">
        <f>IFERROR(T15/O15-1,"")</f>
        <v>0.492734003838557</v>
      </c>
      <c r="U16" s="40">
        <f>IFERROR(U15/P15-1,"")</f>
        <v>0.630898413071819</v>
      </c>
      <c r="V16" s="40">
        <f>IFERROR(V15/Q15-1,"")</f>
        <v>0.528993628809388</v>
      </c>
      <c r="W16" s="40">
        <f>IFERROR(W15/R15-1,"")</f>
        <v>0.449874917289077</v>
      </c>
      <c r="X16" s="40">
        <f>IFERROR(X15/S15-1,"")</f>
        <v>0.53979026672018</v>
      </c>
      <c r="Y16" s="40">
        <f>IFERROR(Y15/T15-1,"")</f>
        <v>0.192017551841142</v>
      </c>
      <c r="Z16" s="40">
        <f>IFERROR(Z15/U15-1,"")</f>
        <v>0.0495316818579232</v>
      </c>
      <c r="AA16" s="40">
        <f>IFERROR(AA15/V15-1,"")</f>
        <v>0.0791440542077375</v>
      </c>
      <c r="AB16" s="40">
        <f>IFERROR(AB15/W15-1,"")</f>
        <v>0.187581075129234</v>
      </c>
      <c r="AC16" s="40">
        <f>IFERROR(AC15/X15-1,"")</f>
        <v>0.0580879570904076</v>
      </c>
      <c r="AD16" s="40">
        <f>IFERROR(AD15/Y15-1,"")</f>
        <v>0.0234207628947902</v>
      </c>
      <c r="AE16" s="40">
        <f>IFERROR(AE15/Z15-1,"")</f>
        <v>0.116324974837333</v>
      </c>
      <c r="AF16" s="41">
        <f>IFERROR(AF15/AA15-1,"")</f>
        <v>0.120292412388872</v>
      </c>
      <c r="AG16" s="40">
        <f>IFERROR(AG15/AB15-1,"")</f>
        <v>0.0789264067497335</v>
      </c>
      <c r="AH16" s="41">
        <f>IFERROR(AH15/AC15-1,"")</f>
        <v>0.103243761112495</v>
      </c>
      <c r="AI16" s="41">
        <f>IFERROR(AI15/AD15-1,"")</f>
        <v>0.144290392895547</v>
      </c>
      <c r="AJ16" s="41">
        <f>Control!$B$18</f>
        <v>0.0942767102032407</v>
      </c>
      <c r="AK16" s="41">
        <f>Control!$B$18</f>
        <v>0.0942767102032407</v>
      </c>
      <c r="AL16" s="42">
        <f>IFERROR(AL15/AG15-1,"")</f>
        <v>0.108668340864067</v>
      </c>
      <c r="AM16" s="41">
        <f>Control!$C$18</f>
        <v>0.0942767102032407</v>
      </c>
      <c r="AN16" s="41">
        <f>Control!$C$18</f>
        <v>0.0942767102032407</v>
      </c>
      <c r="AO16" s="41">
        <f>Control!$C$18</f>
        <v>0.0942767102032407</v>
      </c>
      <c r="AP16" s="41">
        <f>Control!$C$18</f>
        <v>0.0942767102032407</v>
      </c>
      <c r="AQ16" s="42">
        <f>IFERROR(AQ15/AL15-1,"")</f>
        <v>0.0942767102032409</v>
      </c>
      <c r="AR16" s="41">
        <f>Control!$D$18</f>
        <v>0.0892767102032407</v>
      </c>
      <c r="AS16" s="41">
        <f>Control!$D$18</f>
        <v>0.0892767102032407</v>
      </c>
      <c r="AT16" s="41">
        <f>Control!$D$18</f>
        <v>0.0892767102032407</v>
      </c>
      <c r="AU16" s="41">
        <f>Control!$D$18</f>
        <v>0.0892767102032407</v>
      </c>
      <c r="AV16" s="42">
        <f>IFERROR(AV15/AQ15-1,"")</f>
        <v>0.0892767102032406</v>
      </c>
      <c r="AW16" s="41">
        <f>Control!$E$18</f>
        <v>0.0842767102032407</v>
      </c>
      <c r="AX16" s="41">
        <f>Control!$E$18</f>
        <v>0.0842767102032407</v>
      </c>
      <c r="AY16" s="41">
        <f>Control!$E$18</f>
        <v>0.0842767102032407</v>
      </c>
      <c r="AZ16" s="41">
        <f>Control!$E$18</f>
        <v>0.0842767102032407</v>
      </c>
      <c r="BA16" s="42">
        <f>IFERROR(BA15/AV15-1,"")</f>
        <v>0.0842767102032405</v>
      </c>
      <c r="BB16" s="41">
        <f>Control!$F$18</f>
        <v>0.0792767102032407</v>
      </c>
      <c r="BC16" s="41">
        <f>Control!$F$18</f>
        <v>0.0792767102032407</v>
      </c>
      <c r="BD16" s="41">
        <f>Control!$F$18</f>
        <v>0.0792767102032407</v>
      </c>
      <c r="BE16" s="41">
        <f>Control!$F$18</f>
        <v>0.0792767102032407</v>
      </c>
      <c r="BF16" s="42">
        <f>IFERROR(BF15/BA15-1,"")</f>
        <v>0.0792767102032408</v>
      </c>
      <c r="BG16" s="41" t="n"/>
      <c r="BH16" s="41" t="n"/>
      <c r="BI16" s="41" t="n"/>
      <c r="BJ16" s="41" t="n"/>
      <c r="BK16" s="42" t="n"/>
      <c r="BL16" s="41" t="n"/>
      <c r="BM16" s="41" t="n"/>
      <c r="BN16" s="41" t="n"/>
      <c r="BO16" s="41" t="n"/>
      <c r="BP16" s="42" t="n"/>
      <c r="BQ16" s="41" t="n"/>
      <c r="BR16" s="41" t="n"/>
      <c r="BS16" s="41" t="n"/>
      <c r="BT16" s="41" t="n"/>
      <c r="BU16" s="42" t="n"/>
      <c r="BV16" s="41" t="n"/>
      <c r="BW16" s="41" t="n"/>
      <c r="BX16" s="41" t="n"/>
      <c r="BY16" s="41" t="n"/>
      <c r="BZ16" s="42" t="n"/>
      <c r="CA16" s="41" t="n"/>
      <c r="CB16" s="41" t="n"/>
      <c r="CC16" s="41" t="n"/>
      <c r="CD16" s="41" t="n"/>
      <c r="CE16" s="42" t="n"/>
      <c r="CF16" s="41" t="n"/>
      <c r="CG16" s="41" t="n"/>
      <c r="CH16" s="41" t="n"/>
      <c r="CI16" s="41" t="n"/>
      <c r="CJ16" s="42" t="n"/>
      <c r="CK16" s="41" t="n"/>
      <c r="CL16" s="41" t="n"/>
      <c r="CM16" s="41" t="n"/>
      <c r="CN16" s="41" t="n"/>
      <c r="CO16" s="42" t="n"/>
      <c r="CP16" s="41" t="n"/>
      <c r="CQ16" s="41" t="n"/>
      <c r="CR16" s="41" t="n"/>
      <c r="CS16" s="41" t="n"/>
      <c r="CT16" s="42" t="n"/>
      <c r="CU16" s="41" t="n"/>
      <c r="CV16" s="41" t="n"/>
      <c r="CW16" s="41" t="n"/>
      <c r="CX16" s="41" t="n"/>
      <c r="CY16" s="42" t="n"/>
    </row>
    <row r="17" hidden="1" outlineLevel="1" customFormat="1" s="43">
      <c r="A17" s="36" t="n"/>
      <c r="B17" s="37" t="n"/>
      <c r="C17" s="44" t="inlineStr">
        <is>
          <t>Check Receita</t>
        </is>
      </c>
      <c r="D17" s="39" t="n"/>
      <c r="E17" s="40" t="n"/>
      <c r="F17" s="40" t="n"/>
      <c r="G17" s="40" t="n"/>
      <c r="H17" s="39" t="n"/>
      <c r="I17" s="39">
        <f>IF(ISNUMBER(I374),I374,"")</f>
        <v>-0.000475973999982671</v>
      </c>
      <c r="J17" s="40">
        <f>IF(ISNUMBER(J374),J374,"")</f>
        <v>0.000250440000058916</v>
      </c>
      <c r="K17" s="40">
        <f>IF(ISNUMBER(K374),K374,"")</f>
        <v>-0.000354089999973439</v>
      </c>
      <c r="L17" s="40">
        <f>IF(ISNUMBER(L374),L374,"")</f>
        <v>-0.000356420000116486</v>
      </c>
      <c r="M17" s="39">
        <f>IF(ISNUMBER(M374),M374,"")</f>
        <v>-0.000936044000354741</v>
      </c>
      <c r="N17" s="40">
        <f>IF(ISNUMBER(N374),N374,"")</f>
        <v>0</v>
      </c>
      <c r="O17" s="40">
        <f>IF(ISNUMBER(O374),O374,"")</f>
        <v>0</v>
      </c>
      <c r="P17" s="40">
        <f>IF(ISNUMBER(P374),P374,"")</f>
        <v>-0.142541000000165</v>
      </c>
      <c r="Q17" s="40">
        <f>IF(ISNUMBER(Q374),Q374,"")</f>
        <v>-0.000266000000237909</v>
      </c>
      <c r="R17" s="40">
        <f>IF(ISNUMBER(R374),R374,"")</f>
        <v>-0.142806999999266</v>
      </c>
      <c r="S17" s="40">
        <f>IF(ISNUMBER(S374),S374,"")</f>
        <v>-0.000117999999929452</v>
      </c>
      <c r="T17" s="40" t="str">
        <f>IF(ISNUMBER(T374),T374,"")</f>
        <v/>
      </c>
      <c r="U17" s="40">
        <f>IF(ISNUMBER(U374),U374,"")</f>
        <v>-0.000324166000154946</v>
      </c>
      <c r="V17" s="40">
        <f>IF(ISNUMBER(V374),V374,"")</f>
        <v>-0.000310289999788438</v>
      </c>
      <c r="W17" s="40" t="str">
        <f>IF(ISNUMBER(W374),W374,"")</f>
        <v/>
      </c>
      <c r="X17" s="40">
        <f>IF(ISNUMBER(X374),X374,"")</f>
        <v>0.00053677000028074</v>
      </c>
      <c r="Y17" s="40">
        <f>IF(ISNUMBER(Y374),Y374,"")</f>
        <v>5.29819999428582e-05</v>
      </c>
      <c r="Z17" s="40">
        <f>IF(ISNUMBER(Z374),Z374,"")</f>
        <v>0.000682000000097105</v>
      </c>
      <c r="AA17" s="40">
        <f>IF(ISNUMBER(AA374),AA374,"")</f>
        <v>-0.00029463299983945</v>
      </c>
      <c r="AB17" s="40">
        <f>IF(ISNUMBER(AB374),AB374,"")</f>
        <v>0.000977119001618121</v>
      </c>
      <c r="AC17" s="40">
        <f>IF(ISNUMBER(AC374),AC374,"")</f>
        <v>0</v>
      </c>
      <c r="AD17" s="40">
        <f>IF(ISNUMBER(AD374),AD374,"")</f>
        <v>-0.000168999999687003</v>
      </c>
      <c r="AE17" s="40">
        <f>IF(ISNUMBER(AE374),AE374,"")</f>
        <v>-0.000472685999739042</v>
      </c>
      <c r="AF17" s="40">
        <f>IF(ISNUMBER(AF374),AF374,"")</f>
        <v>-0.000141952999911155</v>
      </c>
      <c r="AG17" s="40">
        <f>IF(ISNUMBER(AG374),AG374,"")</f>
        <v>-0.000783638999564573</v>
      </c>
      <c r="AH17" s="41" t="str">
        <f>IF(ISNUMBER(AH374),AH374,"")</f>
        <v/>
      </c>
      <c r="AI17" s="41" t="str">
        <f>IF(ISNUMBER(AI374),AI374,"")</f>
        <v/>
      </c>
      <c r="AJ17" s="41" t="n"/>
      <c r="AK17" s="41" t="n"/>
      <c r="AL17" s="42" t="n"/>
      <c r="AM17" s="41" t="n"/>
      <c r="AN17" s="41" t="n"/>
      <c r="AO17" s="41" t="n"/>
      <c r="AP17" s="41" t="n"/>
      <c r="AQ17" s="42" t="n"/>
      <c r="AR17" s="41" t="n"/>
      <c r="AS17" s="41" t="n"/>
      <c r="AT17" s="41" t="n"/>
      <c r="AU17" s="41" t="n"/>
      <c r="AV17" s="42" t="n"/>
      <c r="AW17" s="41" t="n"/>
      <c r="AX17" s="41" t="n"/>
      <c r="AY17" s="41" t="n"/>
      <c r="AZ17" s="41" t="n"/>
      <c r="BA17" s="42" t="n"/>
      <c r="BB17" s="41" t="n"/>
      <c r="BC17" s="41" t="n"/>
      <c r="BD17" s="41" t="n"/>
      <c r="BE17" s="41" t="n"/>
      <c r="BF17" s="42" t="n"/>
      <c r="BG17" s="41" t="n"/>
      <c r="BH17" s="41" t="n"/>
      <c r="BI17" s="41" t="n"/>
      <c r="BJ17" s="41" t="n"/>
      <c r="BK17" s="42" t="n"/>
      <c r="BL17" s="41" t="n"/>
      <c r="BM17" s="41" t="n"/>
      <c r="BN17" s="41" t="n"/>
      <c r="BO17" s="41" t="n"/>
      <c r="BP17" s="42" t="n"/>
      <c r="BQ17" s="41" t="n"/>
      <c r="BR17" s="41" t="n"/>
      <c r="BS17" s="41" t="n"/>
      <c r="BT17" s="41" t="n"/>
      <c r="BU17" s="42" t="n"/>
      <c r="BV17" s="41" t="n"/>
      <c r="BW17" s="41" t="n"/>
      <c r="BX17" s="41" t="n"/>
      <c r="BY17" s="41" t="n"/>
      <c r="BZ17" s="42" t="n"/>
      <c r="CA17" s="41" t="n"/>
      <c r="CB17" s="41" t="n"/>
      <c r="CC17" s="41" t="n"/>
      <c r="CD17" s="41" t="n"/>
      <c r="CE17" s="42" t="n"/>
      <c r="CF17" s="41" t="n"/>
      <c r="CG17" s="41" t="n"/>
      <c r="CH17" s="41" t="n"/>
      <c r="CI17" s="41" t="n"/>
      <c r="CJ17" s="42" t="n"/>
      <c r="CK17" s="41" t="n"/>
      <c r="CL17" s="41" t="n"/>
      <c r="CM17" s="41" t="n"/>
      <c r="CN17" s="41" t="n"/>
      <c r="CO17" s="42" t="n"/>
      <c r="CP17" s="41" t="n"/>
      <c r="CQ17" s="41" t="n"/>
      <c r="CR17" s="41" t="n"/>
      <c r="CS17" s="41" t="n"/>
      <c r="CT17" s="42" t="n"/>
      <c r="CU17" s="41" t="n"/>
      <c r="CV17" s="41" t="n"/>
      <c r="CW17" s="41" t="n"/>
      <c r="CX17" s="41" t="n"/>
      <c r="CY17" s="42" t="n"/>
    </row>
    <row r="18" hidden="1" outlineLevel="1" customFormat="1" s="43">
      <c r="A18" s="36" t="n"/>
      <c r="B18" s="37" t="n"/>
      <c r="C18" s="45" t="n"/>
      <c r="D18" s="39" t="n"/>
      <c r="E18" s="39" t="n"/>
      <c r="F18" s="39" t="n"/>
      <c r="G18" s="39" t="n"/>
      <c r="H18" s="39" t="n"/>
      <c r="I18" s="39" t="n"/>
      <c r="J18" s="39" t="n"/>
      <c r="K18" s="39" t="n"/>
      <c r="L18" s="39" t="n"/>
      <c r="M18" s="39" t="n"/>
      <c r="N18" s="39" t="n"/>
      <c r="O18" s="39" t="n"/>
      <c r="P18" s="39" t="n"/>
      <c r="Q18" s="39" t="n"/>
      <c r="R18" s="39" t="n"/>
      <c r="S18" s="39" t="n"/>
      <c r="T18" s="39" t="n"/>
      <c r="U18" s="39" t="n"/>
      <c r="V18" s="39" t="n"/>
      <c r="W18" s="39" t="n"/>
      <c r="X18" s="39" t="n"/>
      <c r="Y18" s="39" t="n"/>
      <c r="Z18" s="39" t="n"/>
      <c r="AA18" s="39" t="n"/>
      <c r="AB18" s="39" t="n"/>
      <c r="AC18" s="39" t="n"/>
      <c r="AD18" s="39" t="n"/>
      <c r="AE18" s="39" t="n"/>
      <c r="AF18" s="39" t="n"/>
      <c r="AG18" s="39" t="n"/>
      <c r="AH18" s="39" t="n"/>
      <c r="AI18" s="39" t="n"/>
      <c r="AJ18" s="39" t="n"/>
      <c r="AK18" s="39" t="n"/>
      <c r="AL18" s="39" t="n"/>
      <c r="AM18" s="39" t="n"/>
      <c r="AN18" s="39" t="n"/>
      <c r="AO18" s="39" t="n"/>
      <c r="AP18" s="39" t="n"/>
      <c r="AQ18" s="39" t="n"/>
      <c r="AR18" s="39" t="n"/>
      <c r="AS18" s="39" t="n"/>
      <c r="AT18" s="39" t="n"/>
      <c r="AU18" s="39" t="n"/>
      <c r="AV18" s="39" t="n"/>
      <c r="AW18" s="39" t="n"/>
      <c r="AX18" s="39" t="n"/>
      <c r="AY18" s="39" t="n"/>
      <c r="AZ18" s="39" t="n"/>
      <c r="BA18" s="39" t="n"/>
      <c r="BB18" s="39" t="n"/>
      <c r="BC18" s="39" t="n"/>
      <c r="BD18" s="39" t="n"/>
      <c r="BE18" s="39" t="n"/>
      <c r="BF18" s="39" t="n"/>
      <c r="BG18" s="39" t="n"/>
      <c r="BH18" s="39" t="n"/>
      <c r="BI18" s="39" t="n"/>
      <c r="BJ18" s="39" t="n"/>
      <c r="BK18" s="39" t="n"/>
      <c r="BL18" s="39" t="n"/>
      <c r="BM18" s="39" t="n"/>
      <c r="BN18" s="39" t="n"/>
      <c r="BO18" s="39" t="n"/>
      <c r="BP18" s="39" t="n"/>
      <c r="BQ18" s="39" t="n"/>
      <c r="BR18" s="39" t="n"/>
      <c r="BS18" s="39" t="n"/>
      <c r="BT18" s="39" t="n"/>
      <c r="BU18" s="39" t="n"/>
      <c r="BV18" s="39" t="n"/>
      <c r="BW18" s="39" t="n"/>
      <c r="BX18" s="39" t="n"/>
      <c r="BY18" s="39" t="n"/>
      <c r="BZ18" s="39" t="n"/>
      <c r="CA18" s="39" t="n"/>
      <c r="CB18" s="39" t="n"/>
      <c r="CC18" s="39" t="n"/>
      <c r="CD18" s="39" t="n"/>
      <c r="CE18" s="39" t="n"/>
      <c r="CF18" s="39" t="n"/>
      <c r="CG18" s="39" t="n"/>
      <c r="CH18" s="39" t="n"/>
      <c r="CI18" s="39" t="n"/>
      <c r="CJ18" s="39" t="n"/>
      <c r="CK18" s="39" t="n"/>
      <c r="CL18" s="39" t="n"/>
      <c r="CM18" s="39" t="n"/>
      <c r="CN18" s="39" t="n"/>
      <c r="CO18" s="39" t="n"/>
      <c r="CP18" s="39" t="n"/>
      <c r="CQ18" s="39" t="n"/>
      <c r="CR18" s="39" t="n"/>
      <c r="CS18" s="39" t="n"/>
      <c r="CT18" s="39" t="n"/>
      <c r="CU18" s="39" t="n"/>
      <c r="CV18" s="39" t="n"/>
      <c r="CW18" s="39" t="n"/>
      <c r="CX18" s="39" t="n"/>
      <c r="CY18" s="39" t="n"/>
    </row>
    <row r="19" hidden="1" outlineLevel="1" customFormat="1" s="43">
      <c r="A19" s="36" t="n"/>
      <c r="B19" s="37" t="n"/>
      <c r="C19" s="45" t="n"/>
      <c r="D19" s="39" t="n"/>
      <c r="E19" s="39" t="n"/>
      <c r="F19" s="39" t="n"/>
      <c r="G19" s="39" t="n"/>
      <c r="H19" s="39" t="n"/>
      <c r="I19" s="39" t="n"/>
      <c r="J19" s="39" t="n"/>
      <c r="K19" s="39" t="n"/>
      <c r="L19" s="39" t="n"/>
      <c r="M19" s="39" t="n"/>
      <c r="N19" s="39" t="n"/>
      <c r="O19" s="39" t="n"/>
      <c r="P19" s="39" t="n"/>
      <c r="Q19" s="39" t="n"/>
      <c r="R19" s="39" t="n"/>
      <c r="S19" s="39" t="n"/>
      <c r="T19" s="39" t="n"/>
      <c r="U19" s="39" t="n"/>
      <c r="V19" s="39" t="n"/>
      <c r="W19" s="39" t="n"/>
      <c r="X19" s="39" t="n"/>
      <c r="Y19" s="39" t="n"/>
      <c r="Z19" s="39" t="n"/>
      <c r="AA19" s="39" t="n"/>
      <c r="AB19" s="39" t="n"/>
      <c r="AC19" s="39" t="n"/>
      <c r="AD19" s="39" t="n"/>
      <c r="AE19" s="39" t="n"/>
      <c r="AF19" s="39" t="n"/>
      <c r="AG19" s="39" t="n"/>
      <c r="AH19" s="39" t="n"/>
      <c r="AI19" s="39" t="n"/>
      <c r="AJ19" s="39" t="n"/>
      <c r="AK19" s="39" t="n"/>
      <c r="AL19" s="39" t="n"/>
      <c r="AM19" s="39" t="n"/>
      <c r="AN19" s="39" t="n"/>
      <c r="AO19" s="39" t="n"/>
      <c r="AP19" s="39" t="n"/>
      <c r="AQ19" s="39" t="n"/>
      <c r="AR19" s="39" t="n"/>
      <c r="AS19" s="39" t="n"/>
      <c r="AT19" s="39" t="n"/>
      <c r="AU19" s="39" t="n"/>
      <c r="AV19" s="39" t="n"/>
      <c r="AW19" s="39" t="n"/>
      <c r="AX19" s="39" t="n"/>
      <c r="AY19" s="39" t="n"/>
      <c r="AZ19" s="39" t="n"/>
      <c r="BA19" s="39" t="n"/>
      <c r="BB19" s="39" t="n"/>
      <c r="BC19" s="39" t="n"/>
      <c r="BD19" s="39" t="n"/>
      <c r="BE19" s="39" t="n"/>
      <c r="BF19" s="39" t="n"/>
      <c r="BG19" s="39" t="n"/>
      <c r="BH19" s="39" t="n"/>
      <c r="BI19" s="39" t="n"/>
      <c r="BJ19" s="39" t="n"/>
      <c r="BK19" s="39" t="n"/>
      <c r="BL19" s="39" t="n"/>
      <c r="BM19" s="39" t="n"/>
      <c r="BN19" s="39" t="n"/>
      <c r="BO19" s="39" t="n"/>
      <c r="BP19" s="39" t="n"/>
      <c r="BQ19" s="39" t="n"/>
      <c r="BR19" s="39" t="n"/>
      <c r="BS19" s="39" t="n"/>
      <c r="BT19" s="39" t="n"/>
      <c r="BU19" s="39" t="n"/>
      <c r="BV19" s="39" t="n"/>
      <c r="BW19" s="39" t="n"/>
      <c r="BX19" s="39" t="n"/>
      <c r="BY19" s="39" t="n"/>
      <c r="BZ19" s="39" t="n"/>
      <c r="CA19" s="39" t="n"/>
      <c r="CB19" s="39" t="n"/>
      <c r="CC19" s="39" t="n"/>
      <c r="CD19" s="39" t="n"/>
      <c r="CE19" s="39" t="n"/>
      <c r="CF19" s="39" t="n"/>
      <c r="CG19" s="39" t="n"/>
      <c r="CH19" s="39" t="n"/>
      <c r="CI19" s="39" t="n"/>
      <c r="CJ19" s="39" t="n"/>
      <c r="CK19" s="39" t="n"/>
      <c r="CL19" s="39" t="n"/>
      <c r="CM19" s="39" t="n"/>
      <c r="CN19" s="39" t="n"/>
      <c r="CO19" s="39" t="n"/>
      <c r="CP19" s="39" t="n"/>
      <c r="CQ19" s="39" t="n"/>
      <c r="CR19" s="39" t="n"/>
      <c r="CS19" s="39" t="n"/>
      <c r="CT19" s="39" t="n"/>
      <c r="CU19" s="39" t="n"/>
      <c r="CV19" s="39" t="n"/>
      <c r="CW19" s="39" t="n"/>
      <c r="CX19" s="39" t="n"/>
      <c r="CY19" s="39" t="n"/>
    </row>
    <row r="20" collapsed="1">
      <c r="C20" s="13" t="inlineStr">
        <is>
          <t>COGS (cash)</t>
        </is>
      </c>
      <c r="D20" s="46" t="n"/>
      <c r="E20" s="46" t="n"/>
      <c r="F20" s="46" t="n"/>
      <c r="G20" s="46" t="n"/>
      <c r="H20" s="12" t="n"/>
      <c r="I20" s="46">
        <f>'Inputs (2)'!D5</f>
        <v>-534.68033785</v>
      </c>
      <c r="J20" s="46">
        <f>'Inputs (2)'!E5</f>
        <v>-598.85567232</v>
      </c>
      <c r="K20" s="46">
        <f>'Inputs (2)'!F5</f>
        <v>-637.06668857</v>
      </c>
      <c r="L20" s="46">
        <f>'Inputs (2)'!G5</f>
        <v>-650.17978605</v>
      </c>
      <c r="M20" s="12">
        <f>'Inputs (2)'!H5</f>
        <v>-2420.78248479</v>
      </c>
      <c r="N20" s="46">
        <f>'Inputs (2)'!I5</f>
        <v>-673.03773971</v>
      </c>
      <c r="O20" s="46">
        <f>'Inputs (2)'!J5</f>
        <v>-712.98908279</v>
      </c>
      <c r="P20" s="46">
        <f>'Inputs (2)'!K5</f>
        <v>-712.41349757</v>
      </c>
      <c r="Q20" s="46">
        <f>'Inputs (2)'!L5</f>
        <v>-758.9403701</v>
      </c>
      <c r="R20" s="12">
        <f>'Inputs (2)'!M5</f>
        <v>-2857.38069017</v>
      </c>
      <c r="S20" s="46">
        <f>'Inputs (2)'!N5</f>
        <v>-776.43264322</v>
      </c>
      <c r="T20" s="46">
        <f>'Inputs (2)'!O5</f>
        <v>-1075.179</v>
      </c>
      <c r="U20" s="46">
        <f>'Inputs (2)'!P5</f>
        <v>-1198.067564662</v>
      </c>
      <c r="V20" s="46">
        <f>'Inputs (2)'!Q5</f>
        <v>-1157.671</v>
      </c>
      <c r="W20" s="12">
        <f>'Inputs (2)'!R5</f>
        <v>-4207.350207882</v>
      </c>
      <c r="X20" s="46">
        <f>'Inputs (2)'!S5</f>
        <v>-1192.092</v>
      </c>
      <c r="Y20" s="46">
        <f>'Inputs (2)'!T5</f>
        <v>-1260.839</v>
      </c>
      <c r="Z20" s="46">
        <f>'Inputs (2)'!U5</f>
        <v>-1251.884</v>
      </c>
      <c r="AA20" s="46">
        <f>'Inputs (2)'!V5</f>
        <v>-1231.388</v>
      </c>
      <c r="AB20" s="12">
        <f>'Inputs (2)'!W5</f>
        <v>-4936.203</v>
      </c>
      <c r="AC20" s="46">
        <f>'Inputs (2)'!X5</f>
        <v>-1282.082</v>
      </c>
      <c r="AD20" s="46">
        <f>'Inputs (2)'!Y5</f>
        <v>-1326.516</v>
      </c>
      <c r="AE20" s="46">
        <f>'Inputs (2)'!Z5</f>
        <v>-1399.705</v>
      </c>
      <c r="AF20" s="46">
        <f>'Inputs (2)'!AA5</f>
        <v>-1394.057</v>
      </c>
      <c r="AG20" s="12">
        <f>'Inputs (2)'!AB5</f>
        <v>-5402.36</v>
      </c>
      <c r="AH20" s="12">
        <f>'Inputs (2)'!AC5</f>
        <v>-1417.643</v>
      </c>
      <c r="AI20" s="12">
        <f>'Inputs (2)'!AD5</f>
        <v>-1508.18</v>
      </c>
      <c r="AJ20" s="12">
        <f>-(1-AJ21)*AJ15</f>
        <v>-1556.61942041687</v>
      </c>
      <c r="AK20" s="12">
        <f>-(1-AK21)*AK15</f>
        <v>-1463.98594046271</v>
      </c>
      <c r="AL20" s="12">
        <f>SUM(AH20:AK20)</f>
        <v>-5946.42836087959</v>
      </c>
      <c r="AM20" s="12">
        <f>-(1-AM21)*AM15</f>
        <v>-1579.45287475873</v>
      </c>
      <c r="AN20" s="12">
        <f>-(1-AN21)*AN15</f>
        <v>-1645.9070479849</v>
      </c>
      <c r="AO20" s="12">
        <f>-(1-AO21)*AO15</f>
        <v>-1703.37237841225</v>
      </c>
      <c r="AP20" s="12">
        <f>-(1-AP21)*AP15</f>
        <v>-1602.00571871333</v>
      </c>
      <c r="AQ20" s="12">
        <f>SUM(AM20:AP20)</f>
        <v>-6530.73801986921</v>
      </c>
      <c r="AR20" s="12">
        <f>-(1-AR21)*AR15</f>
        <v>-1720.46123133824</v>
      </c>
      <c r="AS20" s="12">
        <f>-(1-AS21)*AS15</f>
        <v>-1792.84821452932</v>
      </c>
      <c r="AT20" s="12">
        <f>-(1-AT21)*AT15</f>
        <v>-1855.44386060797</v>
      </c>
      <c r="AU20" s="12">
        <f>-(1-AU21)*AU15</f>
        <v>-1745.02751900684</v>
      </c>
      <c r="AV20" s="12">
        <f>SUM(AR20:AU20)</f>
        <v>-7113.78082548236</v>
      </c>
      <c r="AW20" s="12">
        <f>-(1-AW21)*AW15</f>
        <v>-1865.45604394764</v>
      </c>
      <c r="AX20" s="12">
        <f>-(1-AX21)*AX15</f>
        <v>-1943.94356394361</v>
      </c>
      <c r="AY20" s="12">
        <f>-(1-AY21)*AY15</f>
        <v>-2011.81456514681</v>
      </c>
      <c r="AZ20" s="12">
        <f>-(1-AZ21)*AZ15</f>
        <v>-1892.09269752286</v>
      </c>
      <c r="BA20" s="12">
        <f>SUM(AW20:AZ20)</f>
        <v>-7713.30687056091</v>
      </c>
      <c r="BB20" s="12">
        <f>-(1-BB21)*BB15</f>
        <v>-2013.34326214056</v>
      </c>
      <c r="BC20" s="12">
        <f>-(1-BC21)*BC15</f>
        <v>-2098.05301451382</v>
      </c>
      <c r="BD20" s="12">
        <f>-(1-BD21)*BD15</f>
        <v>-2171.30460541061</v>
      </c>
      <c r="BE20" s="12">
        <f>-(1-BE21)*BE15</f>
        <v>-2042.09158198205</v>
      </c>
      <c r="BF20" s="12">
        <f>SUM(BB20:BE20)</f>
        <v>-8324.79246404703</v>
      </c>
      <c r="BG20" s="12" t="n"/>
      <c r="BH20" s="12" t="n"/>
      <c r="BI20" s="12" t="n"/>
      <c r="BJ20" s="12" t="n"/>
      <c r="BK20" s="12" t="n"/>
      <c r="BL20" s="12" t="n"/>
      <c r="BM20" s="12" t="n"/>
      <c r="BN20" s="12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2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</row>
    <row r="21" hidden="1" outlineLevel="1" customFormat="1" s="3">
      <c r="C21" s="47" t="inlineStr">
        <is>
          <t>% Gross Margin</t>
        </is>
      </c>
      <c r="D21" s="48" t="n"/>
      <c r="E21" s="48" t="n"/>
      <c r="F21" s="48" t="n"/>
      <c r="G21" s="48" t="n"/>
      <c r="H21" s="48" t="n"/>
      <c r="I21" s="48">
        <f>IFERROR((I15+I20)/I$15,"")</f>
        <v>0.401795069723501</v>
      </c>
      <c r="J21" s="48">
        <f>IFERROR((J15+J20)/J$15,"")</f>
        <v>0.357496739866582</v>
      </c>
      <c r="K21" s="48">
        <f>IFERROR((K15+K20)/K$15,"")</f>
        <v>0.380785189840725</v>
      </c>
      <c r="L21" s="48">
        <f>IFERROR((L15+L20)/L$15,"")</f>
        <v>0.361282903736456</v>
      </c>
      <c r="M21" s="48">
        <f>IFERROR((M15+M20)/M$15,"")</f>
        <v>0.374902948664451</v>
      </c>
      <c r="N21" s="48">
        <f>IFERROR((N15+N20)/N$15,"")</f>
        <v>0.382484652267827</v>
      </c>
      <c r="O21" s="48">
        <f>IFERROR((O15+O20)/O$15,"")</f>
        <v>0.358676255515051</v>
      </c>
      <c r="P21" s="48">
        <f>IFERROR((P15+P20)/P$15,"")</f>
        <v>0.378691933810225</v>
      </c>
      <c r="Q21" s="48">
        <f>IFERROR((Q15+Q20)/Q$15,"")</f>
        <v>0.319181365294037</v>
      </c>
      <c r="R21" s="48">
        <f>IFERROR((R15+R20)/R$15,"")</f>
        <v>0.359768099735949</v>
      </c>
      <c r="S21" s="48">
        <f>IFERROR((S15+S20)/S$15,"")</f>
        <v>0.372236403194471</v>
      </c>
      <c r="T21" s="48">
        <f>IFERROR((T15+T20)/T$15,"")</f>
        <v>0.35212266524298</v>
      </c>
      <c r="U21" s="48">
        <f>IFERROR((U15+U20)/U$15,"")</f>
        <v>0.359337574944988</v>
      </c>
      <c r="V21" s="48">
        <f>IFERROR((V15+V20)/V$15,"")</f>
        <v>0.320791272009256</v>
      </c>
      <c r="W21" s="48">
        <f>IFERROR((W15+W20)/W$15,"")</f>
        <v>0.349799453258536</v>
      </c>
      <c r="X21" s="48">
        <f>IFERROR((X15+X20)/X$15,"")</f>
        <v>0.374048700472629</v>
      </c>
      <c r="Y21" s="48">
        <f>IFERROR((Y15+Y20)/Y$15,"")</f>
        <v>0.362633846290723</v>
      </c>
      <c r="Z21" s="48">
        <f>IFERROR((Z15+Z20)/Z$15,"")</f>
        <v>0.36215305690024</v>
      </c>
      <c r="AA21" s="48">
        <f>IFERROR((AA15+AA20)/AA$15,"")</f>
        <v>0.330526179704973</v>
      </c>
      <c r="AB21" s="48">
        <f>IFERROR((AB15+AB20)/AB$15,"")</f>
        <v>0.357654907003681</v>
      </c>
      <c r="AC21" s="48">
        <f>IFERROR((AC15+AC20)/AC$15,"")</f>
        <v>0.363754383213718</v>
      </c>
      <c r="AD21" s="48">
        <f>IFERROR((AD15+AD20)/AD$15,"")</f>
        <v>0.34477926514411</v>
      </c>
      <c r="AE21" s="48">
        <f>IFERROR((AE15+AE20)/AE$15,"")</f>
        <v>0.361150936379448</v>
      </c>
      <c r="AF21" s="41">
        <f>IFERROR((AF15+AF20)/AF$15,"")</f>
        <v>0.32346881787166</v>
      </c>
      <c r="AG21" s="48">
        <f>IFERROR((AG15+AG20)/AG$15,"")</f>
        <v>0.348420971644782</v>
      </c>
      <c r="AH21" s="49">
        <f>IFERROR((AH15+AH20)/AH$15,"")</f>
        <v>0.362317647725148</v>
      </c>
      <c r="AI21" s="49">
        <f>IFERROR((AI15+AI20)/AI$15,"")</f>
        <v>0.348983395861612</v>
      </c>
      <c r="AJ21" s="49">
        <f>Control!$B$19</f>
        <v>0.350742407699283</v>
      </c>
      <c r="AK21" s="49">
        <f>Control!$B$19</f>
        <v>0.350742407699283</v>
      </c>
      <c r="AL21" s="48">
        <f>IFERROR((AL15+AL20)/AL$15,"")</f>
        <v>0.353098554295112</v>
      </c>
      <c r="AM21" s="49">
        <f>Control!$C$19</f>
        <v>0.350742407699283</v>
      </c>
      <c r="AN21" s="49">
        <f>Control!$C$19</f>
        <v>0.350742407699283</v>
      </c>
      <c r="AO21" s="49">
        <f>Control!$C$19</f>
        <v>0.350742407699283</v>
      </c>
      <c r="AP21" s="49">
        <f>Control!$C$19</f>
        <v>0.350742407699283</v>
      </c>
      <c r="AQ21" s="48">
        <f>IFERROR((AQ15+AQ20)/AQ$15,"")</f>
        <v>0.350742407699283</v>
      </c>
      <c r="AR21" s="49">
        <f>Control!$D$19</f>
        <v>0.350742407699283</v>
      </c>
      <c r="AS21" s="49">
        <f>Control!$D$19</f>
        <v>0.350742407699283</v>
      </c>
      <c r="AT21" s="49">
        <f>Control!$D$19</f>
        <v>0.350742407699283</v>
      </c>
      <c r="AU21" s="49">
        <f>Control!$D$19</f>
        <v>0.350742407699283</v>
      </c>
      <c r="AV21" s="48">
        <f>IFERROR((AV15+AV20)/AV$15,"")</f>
        <v>0.350742407699283</v>
      </c>
      <c r="AW21" s="49">
        <f>Control!$E$19</f>
        <v>0.350742407699283</v>
      </c>
      <c r="AX21" s="49">
        <f>Control!$E$19</f>
        <v>0.350742407699283</v>
      </c>
      <c r="AY21" s="49">
        <f>Control!$E$19</f>
        <v>0.350742407699283</v>
      </c>
      <c r="AZ21" s="49">
        <f>Control!$E$19</f>
        <v>0.350742407699283</v>
      </c>
      <c r="BA21" s="48">
        <f>IFERROR((BA15+BA20)/BA$15,"")</f>
        <v>0.350742407699283</v>
      </c>
      <c r="BB21" s="49">
        <f>Control!$F$19</f>
        <v>0.350742407699283</v>
      </c>
      <c r="BC21" s="49">
        <f>Control!$F$19</f>
        <v>0.350742407699283</v>
      </c>
      <c r="BD21" s="49">
        <f>Control!$F$19</f>
        <v>0.350742407699283</v>
      </c>
      <c r="BE21" s="49">
        <f>Control!$F$19</f>
        <v>0.350742407699283</v>
      </c>
      <c r="BF21" s="48">
        <f>IFERROR((BF15+BF20)/BF$15,"")</f>
        <v>0.350742407699283</v>
      </c>
      <c r="BG21" s="49" t="n"/>
      <c r="BH21" s="49" t="n"/>
      <c r="BI21" s="49" t="n"/>
      <c r="BJ21" s="49" t="n"/>
      <c r="BK21" s="48" t="n"/>
      <c r="BL21" s="49" t="n"/>
      <c r="BM21" s="49" t="n"/>
      <c r="BN21" s="49" t="n"/>
      <c r="BO21" s="49" t="n"/>
      <c r="BP21" s="48" t="n"/>
      <c r="BQ21" s="49" t="n"/>
      <c r="BR21" s="49" t="n"/>
      <c r="BS21" s="49" t="n"/>
      <c r="BT21" s="49" t="n"/>
      <c r="BU21" s="48" t="n"/>
      <c r="BV21" s="49" t="n"/>
      <c r="BW21" s="49" t="n"/>
      <c r="BX21" s="49" t="n"/>
      <c r="BY21" s="49" t="n"/>
      <c r="BZ21" s="48" t="n"/>
      <c r="CA21" s="49" t="n"/>
      <c r="CB21" s="49" t="n"/>
      <c r="CC21" s="49" t="n"/>
      <c r="CD21" s="49" t="n"/>
      <c r="CE21" s="48" t="n"/>
      <c r="CF21" s="49" t="n"/>
      <c r="CG21" s="49" t="n"/>
      <c r="CH21" s="49" t="n"/>
      <c r="CI21" s="49" t="n"/>
      <c r="CJ21" s="48" t="n"/>
      <c r="CK21" s="49" t="n"/>
      <c r="CL21" s="49" t="n"/>
      <c r="CM21" s="49" t="n"/>
      <c r="CN21" s="49" t="n"/>
      <c r="CO21" s="48" t="n"/>
      <c r="CP21" s="49" t="n"/>
      <c r="CQ21" s="49" t="n"/>
      <c r="CR21" s="49" t="n"/>
      <c r="CS21" s="49" t="n"/>
      <c r="CT21" s="48" t="n"/>
      <c r="CU21" s="49" t="n"/>
      <c r="CV21" s="49" t="n"/>
      <c r="CW21" s="49" t="n"/>
      <c r="CX21" s="49" t="n"/>
      <c r="CY21" s="48" t="n"/>
    </row>
    <row r="22" hidden="1" outlineLevel="1">
      <c r="C22" s="50" t="n"/>
      <c r="D22" s="50" t="n"/>
      <c r="E22" s="50" t="n"/>
      <c r="F22" s="50" t="n"/>
      <c r="G22" s="50" t="n"/>
      <c r="H22" s="50" t="n"/>
      <c r="I22" s="50" t="n"/>
      <c r="J22" s="50" t="n"/>
      <c r="K22" s="50" t="n"/>
      <c r="L22" s="50" t="n"/>
      <c r="M22" s="50" t="n"/>
      <c r="N22" s="50" t="n"/>
      <c r="O22" s="50" t="n"/>
      <c r="P22" s="50" t="n"/>
      <c r="Q22" s="50" t="n"/>
      <c r="R22" s="50" t="n"/>
      <c r="S22" s="50" t="n"/>
      <c r="T22" s="50" t="n"/>
      <c r="U22" s="50" t="n"/>
      <c r="V22" s="50" t="n"/>
      <c r="W22" s="50" t="n"/>
      <c r="X22" s="50" t="n"/>
      <c r="Y22" s="50" t="n"/>
      <c r="Z22" s="50" t="n"/>
      <c r="AA22" s="50" t="n"/>
      <c r="AB22" s="50" t="n"/>
      <c r="AC22" s="50" t="n"/>
      <c r="AD22" s="50" t="n"/>
      <c r="AE22" s="50" t="n"/>
      <c r="AF22" s="50" t="n"/>
      <c r="AG22" s="50" t="n"/>
      <c r="AH22" s="50" t="n"/>
      <c r="AI22" s="50" t="n"/>
      <c r="AJ22" s="50" t="n"/>
      <c r="AK22" s="50" t="n"/>
      <c r="AL22" s="50" t="n"/>
      <c r="AM22" s="50" t="n"/>
      <c r="AN22" s="50" t="n"/>
      <c r="AO22" s="50" t="n"/>
      <c r="AP22" s="50" t="n"/>
      <c r="AQ22" s="50" t="n"/>
      <c r="AR22" s="50" t="n"/>
      <c r="AS22" s="50" t="n"/>
      <c r="AT22" s="50" t="n"/>
      <c r="AU22" s="50" t="n"/>
      <c r="AV22" s="50" t="n"/>
      <c r="AW22" s="50" t="n"/>
      <c r="AX22" s="50" t="n"/>
      <c r="AY22" s="50" t="n"/>
      <c r="AZ22" s="50" t="n"/>
      <c r="BA22" s="50" t="n"/>
      <c r="BB22" s="50" t="n"/>
      <c r="BC22" s="50" t="n"/>
      <c r="BD22" s="50" t="n"/>
      <c r="BE22" s="50" t="n"/>
      <c r="BF22" s="50" t="n"/>
      <c r="BG22" s="50" t="n"/>
      <c r="BH22" s="50" t="n"/>
      <c r="BI22" s="50" t="n"/>
      <c r="BJ22" s="50" t="n"/>
      <c r="BK22" s="50" t="n"/>
      <c r="BL22" s="50" t="n"/>
      <c r="BM22" s="50" t="n"/>
      <c r="BN22" s="50" t="n"/>
      <c r="BO22" s="50" t="n"/>
      <c r="BP22" s="50" t="n"/>
      <c r="BQ22" s="50" t="n"/>
      <c r="BR22" s="50" t="n"/>
      <c r="BS22" s="50" t="n"/>
      <c r="BT22" s="50" t="n"/>
      <c r="BU22" s="50" t="n"/>
      <c r="BV22" s="50" t="n"/>
      <c r="BW22" s="50" t="n"/>
      <c r="BX22" s="50" t="n"/>
      <c r="BY22" s="50" t="n"/>
      <c r="BZ22" s="50" t="n"/>
      <c r="CA22" s="50" t="n"/>
      <c r="CB22" s="50" t="n"/>
      <c r="CC22" s="50" t="n"/>
      <c r="CD22" s="50" t="n"/>
      <c r="CE22" s="50" t="n"/>
      <c r="CF22" s="50" t="n"/>
      <c r="CG22" s="50" t="n"/>
      <c r="CH22" s="50" t="n"/>
      <c r="CI22" s="50" t="n"/>
      <c r="CJ22" s="50" t="n"/>
      <c r="CK22" s="50" t="n"/>
      <c r="CL22" s="50" t="n"/>
      <c r="CM22" s="50" t="n"/>
      <c r="CN22" s="50" t="n"/>
      <c r="CO22" s="50" t="n"/>
      <c r="CP22" s="50" t="n"/>
      <c r="CQ22" s="50" t="n"/>
      <c r="CR22" s="50" t="n"/>
      <c r="CS22" s="50" t="n"/>
      <c r="CT22" s="50" t="n"/>
      <c r="CU22" s="50" t="n"/>
      <c r="CV22" s="50" t="n"/>
      <c r="CW22" s="50" t="n"/>
      <c r="CX22" s="50" t="n"/>
      <c r="CY22" s="50" t="n"/>
    </row>
    <row r="23" hidden="1" outlineLevel="1">
      <c r="C23" s="50" t="n"/>
      <c r="D23" s="50" t="n"/>
      <c r="E23" s="50" t="n"/>
      <c r="F23" s="50" t="n"/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n"/>
      <c r="P23" s="50" t="n"/>
      <c r="Q23" s="50" t="n"/>
      <c r="R23" s="50" t="n"/>
      <c r="S23" s="50" t="n"/>
      <c r="T23" s="50" t="n"/>
      <c r="U23" s="50" t="n"/>
      <c r="V23" s="50" t="n"/>
      <c r="W23" s="50" t="n"/>
      <c r="X23" s="50" t="n"/>
      <c r="Y23" s="50" t="n"/>
      <c r="Z23" s="50" t="n"/>
      <c r="AA23" s="50" t="n"/>
      <c r="AB23" s="50" t="n"/>
      <c r="AC23" s="50" t="n"/>
      <c r="AD23" s="50" t="n"/>
      <c r="AE23" s="50" t="n"/>
      <c r="AF23" s="50" t="n"/>
      <c r="AG23" s="50" t="n"/>
      <c r="AH23" s="50" t="n"/>
      <c r="AI23" s="50" t="n"/>
      <c r="AJ23" s="50" t="n"/>
      <c r="AK23" s="50" t="n"/>
      <c r="AL23" s="50" t="n"/>
      <c r="AM23" s="50" t="n"/>
      <c r="AN23" s="50" t="n"/>
      <c r="AO23" s="50" t="n"/>
      <c r="AP23" s="50" t="n"/>
      <c r="AQ23" s="50" t="n"/>
      <c r="AR23" s="50" t="n"/>
      <c r="AS23" s="50" t="n"/>
      <c r="AT23" s="50" t="n"/>
      <c r="AU23" s="50" t="n"/>
      <c r="AV23" s="50" t="n"/>
      <c r="AW23" s="50" t="n"/>
      <c r="AX23" s="50" t="n"/>
      <c r="AY23" s="50" t="n"/>
      <c r="AZ23" s="50" t="n"/>
      <c r="BA23" s="50" t="n"/>
      <c r="BB23" s="50" t="n"/>
      <c r="BC23" s="50" t="n"/>
      <c r="BD23" s="50" t="n"/>
      <c r="BE23" s="50" t="n"/>
      <c r="BF23" s="50" t="n"/>
      <c r="BG23" s="50" t="n"/>
      <c r="BH23" s="50" t="n"/>
      <c r="BI23" s="50" t="n"/>
      <c r="BJ23" s="50" t="n"/>
      <c r="BK23" s="50" t="n"/>
      <c r="BL23" s="50" t="n"/>
      <c r="BM23" s="50" t="n"/>
      <c r="BN23" s="50" t="n"/>
      <c r="BO23" s="50" t="n"/>
      <c r="BP23" s="50" t="n"/>
      <c r="BQ23" s="50" t="n"/>
      <c r="BR23" s="50" t="n"/>
      <c r="BS23" s="50" t="n"/>
      <c r="BT23" s="50" t="n"/>
      <c r="BU23" s="50" t="n"/>
      <c r="BV23" s="50" t="n"/>
      <c r="BW23" s="50" t="n"/>
      <c r="BX23" s="50" t="n"/>
      <c r="BY23" s="50" t="n"/>
      <c r="BZ23" s="50" t="n"/>
      <c r="CA23" s="50" t="n"/>
      <c r="CB23" s="50" t="n"/>
      <c r="CC23" s="50" t="n"/>
      <c r="CD23" s="50" t="n"/>
      <c r="CE23" s="50" t="n"/>
      <c r="CF23" s="50" t="n"/>
      <c r="CG23" s="50" t="n"/>
      <c r="CH23" s="50" t="n"/>
      <c r="CI23" s="50" t="n"/>
      <c r="CJ23" s="50" t="n"/>
      <c r="CK23" s="50" t="n"/>
      <c r="CL23" s="50" t="n"/>
      <c r="CM23" s="50" t="n"/>
      <c r="CN23" s="50" t="n"/>
      <c r="CO23" s="50" t="n"/>
      <c r="CP23" s="50" t="n"/>
      <c r="CQ23" s="50" t="n"/>
      <c r="CR23" s="50" t="n"/>
      <c r="CS23" s="50" t="n"/>
      <c r="CT23" s="50" t="n"/>
      <c r="CU23" s="50" t="n"/>
      <c r="CV23" s="50" t="n"/>
      <c r="CW23" s="50" t="n"/>
      <c r="CX23" s="50" t="n"/>
      <c r="CY23" s="50" t="n"/>
    </row>
    <row r="24" collapsed="1">
      <c r="C24" s="13" t="inlineStr">
        <is>
          <t>SG&amp;A and Other (cash)</t>
        </is>
      </c>
      <c r="D24" s="46" t="n"/>
      <c r="E24" s="46" t="n"/>
      <c r="F24" s="46" t="n"/>
      <c r="G24" s="46" t="n"/>
      <c r="H24" s="12" t="n"/>
      <c r="I24" s="46">
        <f>'Inputs (2)'!D6</f>
        <v>-73.595387</v>
      </c>
      <c r="J24" s="46">
        <f>'Inputs (2)'!E6</f>
        <v>-113.47448102</v>
      </c>
      <c r="K24" s="46">
        <f>'Inputs (2)'!F6</f>
        <v>-103.2100733</v>
      </c>
      <c r="L24" s="46">
        <f>'Inputs (2)'!G6</f>
        <v>-105.59846189</v>
      </c>
      <c r="M24" s="12">
        <f>'Inputs (2)'!H6</f>
        <v>-395.87840321</v>
      </c>
      <c r="N24" s="46">
        <f>'Inputs (2)'!I6</f>
        <v>-90.29549809</v>
      </c>
      <c r="O24" s="46">
        <f>'Inputs (2)'!J6</f>
        <v>-100.75198281</v>
      </c>
      <c r="P24" s="46">
        <f>'Inputs (2)'!K6</f>
        <v>-101.77671757</v>
      </c>
      <c r="Q24" s="46">
        <f>'Inputs (2)'!L6</f>
        <v>-123.12782083</v>
      </c>
      <c r="R24" s="12">
        <f>'Inputs (2)'!M6</f>
        <v>-415.9520193</v>
      </c>
      <c r="S24" s="46">
        <f>'Inputs (2)'!N6</f>
        <v>-114.61168622</v>
      </c>
      <c r="T24" s="46">
        <f>'Inputs (2)'!O6</f>
        <v>-220.784</v>
      </c>
      <c r="U24" s="46">
        <f>'Inputs (2)'!P6</f>
        <v>-166.013</v>
      </c>
      <c r="V24" s="46">
        <f>'Inputs (2)'!Q6</f>
        <v>-170.937</v>
      </c>
      <c r="W24" s="12">
        <f>'Inputs (2)'!R6</f>
        <v>-672.34568622</v>
      </c>
      <c r="X24" s="46">
        <f>'Inputs (2)'!S6</f>
        <v>-195.223</v>
      </c>
      <c r="Y24" s="46">
        <f>'Inputs (2)'!T6</f>
        <v>-195.315</v>
      </c>
      <c r="Z24" s="46">
        <f>'Inputs (2)'!U6</f>
        <v>-173.406</v>
      </c>
      <c r="AA24" s="46">
        <f>'Inputs (2)'!V6</f>
        <v>-202.562</v>
      </c>
      <c r="AB24" s="12">
        <f>'Inputs (2)'!W6</f>
        <v>-766.506</v>
      </c>
      <c r="AC24" s="46">
        <f>'Inputs (2)'!X6</f>
        <v>-185.366348</v>
      </c>
      <c r="AD24" s="46">
        <f>'Inputs (2)'!Y6</f>
        <v>-165.927</v>
      </c>
      <c r="AE24" s="46">
        <f>'Inputs (2)'!Z6</f>
        <v>-191.910278533</v>
      </c>
      <c r="AF24" s="46">
        <f>'Inputs (2)'!AA6</f>
        <v>-210.60018183</v>
      </c>
      <c r="AG24" s="12">
        <f>'Inputs (2)'!AB6</f>
        <v>-753.803808363</v>
      </c>
      <c r="AH24" s="12">
        <f>'Inputs (2)'!AC6</f>
        <v>-199.47864252</v>
      </c>
      <c r="AI24" s="12">
        <f>'Inputs (2)'!AD6</f>
        <v>-195.541</v>
      </c>
      <c r="AJ24" s="12">
        <f>-AJ15*AJ25</f>
        <v>-214.930667589468</v>
      </c>
      <c r="AK24" s="12">
        <f>-AK15*AK25</f>
        <v>-202.140273594286</v>
      </c>
      <c r="AL24" s="12">
        <f>SUM(AH24:AK24)</f>
        <v>-812.090583703754</v>
      </c>
      <c r="AM24" s="12">
        <f>-AM15*AM25</f>
        <v>-218.083403268272</v>
      </c>
      <c r="AN24" s="12">
        <f>-AN15*AN25</f>
        <v>-227.259082068285</v>
      </c>
      <c r="AO24" s="12">
        <f>-AO15*AO25</f>
        <v>-235.193623851589</v>
      </c>
      <c r="AP24" s="12">
        <f>-AP15*AP25</f>
        <v>-221.197393588338</v>
      </c>
      <c r="AQ24" s="12">
        <f>SUM(AM24:AP24)</f>
        <v>-901.733502776485</v>
      </c>
      <c r="AR24" s="12">
        <f>-AR15*AR25</f>
        <v>-237.55317206199</v>
      </c>
      <c r="AS24" s="12">
        <f>-AS15*AS25</f>
        <v>-247.54802527915</v>
      </c>
      <c r="AT24" s="12">
        <f>-AT15*AT25</f>
        <v>-256.190936849837</v>
      </c>
      <c r="AU24" s="12">
        <f>-AU15*AU25</f>
        <v>-240.945169193436</v>
      </c>
      <c r="AV24" s="12">
        <f>SUM(AR24:AU24)</f>
        <v>-982.237303384414</v>
      </c>
      <c r="AW24" s="12">
        <f>-AW15*AW25</f>
        <v>-257.573371901719</v>
      </c>
      <c r="AX24" s="12">
        <f>-AX15*AX25</f>
        <v>-268.410558466986</v>
      </c>
      <c r="AY24" s="12">
        <f>-AY15*AY25</f>
        <v>-277.781866191428</v>
      </c>
      <c r="AZ24" s="12">
        <f>-AZ15*AZ25</f>
        <v>-261.251235392422</v>
      </c>
      <c r="BA24" s="12">
        <f>SUM(AW24:AZ24)</f>
        <v>-1065.01703195255</v>
      </c>
      <c r="BB24" s="12">
        <f>-BB15*BB25</f>
        <v>-277.992941462043</v>
      </c>
      <c r="BC24" s="12">
        <f>-BC15*BC25</f>
        <v>-289.689264526063</v>
      </c>
      <c r="BD24" s="12">
        <f>-BD15*BD25</f>
        <v>-299.803498697201</v>
      </c>
      <c r="BE24" s="12">
        <f>-BE15*BE25</f>
        <v>-281.962373870866</v>
      </c>
      <c r="BF24" s="12">
        <f>SUM(BB24:BE24)</f>
        <v>-1149.44807855617</v>
      </c>
      <c r="BG24" s="12" t="n"/>
      <c r="BH24" s="12" t="n"/>
      <c r="BI24" s="12" t="n"/>
      <c r="BJ24" s="12" t="n"/>
      <c r="BK24" s="12" t="n"/>
      <c r="BL24" s="12" t="n"/>
      <c r="BM24" s="12" t="n"/>
      <c r="BN24" s="12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/>
      <c r="CD24" s="12" t="n"/>
      <c r="CE24" s="12" t="n"/>
      <c r="CF24" s="12" t="n"/>
      <c r="CG24" s="12" t="n"/>
      <c r="CH24" s="12" t="n"/>
      <c r="CI24" s="12" t="n"/>
      <c r="CJ24" s="12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/>
      <c r="CT24" s="12" t="n"/>
      <c r="CU24" s="12" t="n"/>
      <c r="CV24" s="12" t="n"/>
      <c r="CW24" s="12" t="n"/>
      <c r="CX24" s="12" t="n"/>
      <c r="CY24" s="12" t="n"/>
    </row>
    <row r="25" hidden="1" outlineLevel="1">
      <c r="C25" s="38" t="inlineStr">
        <is>
          <t>% SG&amp;A and Other Margin</t>
        </is>
      </c>
      <c r="D25" s="51" t="n"/>
      <c r="E25" s="51" t="n"/>
      <c r="F25" s="51" t="n"/>
      <c r="G25" s="51" t="n"/>
      <c r="H25" s="51" t="n"/>
      <c r="I25" s="51">
        <f>IFERROR(-(I24/I$15),"")</f>
        <v>0.0823391477719868</v>
      </c>
      <c r="J25" s="51">
        <f>IFERROR(-(J24/J$15),"")</f>
        <v>0.1217450670791</v>
      </c>
      <c r="K25" s="51">
        <f>IFERROR(-(K24/K$15),"")</f>
        <v>0.100317921328517</v>
      </c>
      <c r="L25" s="51">
        <f>IFERROR(-(L24/L$15),"")</f>
        <v>0.103736757732869</v>
      </c>
      <c r="M25" s="51">
        <f>IFERROR(-(M24/M$15),"")</f>
        <v>0.102224146154735</v>
      </c>
      <c r="N25" s="51">
        <f>IFERROR(-(N24/N$15),"")</f>
        <v>0.0828465517041015</v>
      </c>
      <c r="O25" s="51">
        <f>IFERROR(-(O24/O$15),"")</f>
        <v>0.0906250045612882</v>
      </c>
      <c r="P25" s="51">
        <f>IFERROR(-(P24/P$15),"")</f>
        <v>0.0887612261590345</v>
      </c>
      <c r="Q25" s="51">
        <f>IFERROR(-(Q24/Q$15),"")</f>
        <v>0.110453624783138</v>
      </c>
      <c r="R25" s="51">
        <f>IFERROR(-(R24/R$15),"")</f>
        <v>0.0931992550559528</v>
      </c>
      <c r="S25" s="51">
        <f>IFERROR(-(S24/S$15),"")</f>
        <v>0.0926661765263099</v>
      </c>
      <c r="T25" s="51">
        <f>IFERROR(-(T24/T$15),"")</f>
        <v>0.133039195777628</v>
      </c>
      <c r="U25" s="51">
        <f>IFERROR(-(U24/U$15),"")</f>
        <v>0.0887748690539533</v>
      </c>
      <c r="V25" s="51">
        <f>IFERROR(-(V24/V$15),"")</f>
        <v>0.100289203354454</v>
      </c>
      <c r="W25" s="51">
        <f>IFERROR(-(W24/W$15),"")</f>
        <v>0.103903766308908</v>
      </c>
      <c r="X25" s="51">
        <f>IFERROR(-(X24/X$15),"")</f>
        <v>0.102508942722233</v>
      </c>
      <c r="Y25" s="51">
        <f>IFERROR(-(Y24/Y$15),"")</f>
        <v>0.0987335974789228</v>
      </c>
      <c r="Z25" s="51">
        <f>IFERROR(-(Z24/Z$15),"")</f>
        <v>0.0883520254393834</v>
      </c>
      <c r="AA25" s="51">
        <f>IFERROR(-(AA24/AA$15),"")</f>
        <v>0.110127722526613</v>
      </c>
      <c r="AB25" s="51">
        <f>IFERROR(-(AB24/AB$15),"")</f>
        <v>0.0997449594054856</v>
      </c>
      <c r="AC25" s="51">
        <f>IFERROR(-(AC24/AC$15),"")</f>
        <v>0.091989846526728</v>
      </c>
      <c r="AD25" s="51">
        <f>IFERROR(-(AD24/AD$15),"")</f>
        <v>0.0819581602275685</v>
      </c>
      <c r="AE25" s="51">
        <f>IFERROR(-(AE24/AE$15),"")</f>
        <v>0.0875911007962152</v>
      </c>
      <c r="AF25" s="41">
        <f>IFERROR(-(AF24/AF$15),"")</f>
        <v>0.102203561238811</v>
      </c>
      <c r="AG25" s="51">
        <f>IFERROR(-(AG24/AG$15),"")</f>
        <v>0.0909163315705778</v>
      </c>
      <c r="AH25" s="52">
        <f>IFERROR(-(AH24/AH$15),"")</f>
        <v>0.0897292266041224</v>
      </c>
      <c r="AI25" s="52">
        <f>IFERROR(-(AI24/AI$15),"")</f>
        <v>0.0844066608692758</v>
      </c>
      <c r="AJ25" s="52">
        <f>Control!$B$20</f>
        <v>0.0896464260437868</v>
      </c>
      <c r="AK25" s="52">
        <f>Control!$B$20</f>
        <v>0.0896464260437868</v>
      </c>
      <c r="AL25" s="51">
        <f>IFERROR(-(AL24/AL$15),"")</f>
        <v>0.0883459012299573</v>
      </c>
      <c r="AM25" s="52">
        <f>Control!$C$20</f>
        <v>0.0896464260437868</v>
      </c>
      <c r="AN25" s="52">
        <f>Control!$C$20</f>
        <v>0.0896464260437868</v>
      </c>
      <c r="AO25" s="52">
        <f>Control!$C$20</f>
        <v>0.0896464260437868</v>
      </c>
      <c r="AP25" s="52">
        <f>Control!$C$20</f>
        <v>0.0896464260437868</v>
      </c>
      <c r="AQ25" s="51">
        <f>IFERROR(-(AQ24/AQ$15),"")</f>
        <v>0.0896464260437868</v>
      </c>
      <c r="AR25" s="52">
        <f>Control!$D$20</f>
        <v>0.0896464260437868</v>
      </c>
      <c r="AS25" s="52">
        <f>Control!$D$20</f>
        <v>0.0896464260437868</v>
      </c>
      <c r="AT25" s="52">
        <f>Control!$D$20</f>
        <v>0.0896464260437868</v>
      </c>
      <c r="AU25" s="52">
        <f>Control!$D$20</f>
        <v>0.0896464260437868</v>
      </c>
      <c r="AV25" s="51">
        <f>IFERROR(-(AV24/AV$15),"")</f>
        <v>0.0896464260437868</v>
      </c>
      <c r="AW25" s="52">
        <f>Control!$E$20</f>
        <v>0.0896464260437868</v>
      </c>
      <c r="AX25" s="52">
        <f>Control!$E$20</f>
        <v>0.0896464260437868</v>
      </c>
      <c r="AY25" s="52">
        <f>Control!$E$20</f>
        <v>0.0896464260437868</v>
      </c>
      <c r="AZ25" s="52">
        <f>Control!$E$20</f>
        <v>0.0896464260437868</v>
      </c>
      <c r="BA25" s="51">
        <f>IFERROR(-(BA24/BA$15),"")</f>
        <v>0.0896464260437868</v>
      </c>
      <c r="BB25" s="52">
        <f>Control!$F$20</f>
        <v>0.0896464260437868</v>
      </c>
      <c r="BC25" s="52">
        <f>Control!$F$20</f>
        <v>0.0896464260437868</v>
      </c>
      <c r="BD25" s="52">
        <f>Control!$F$20</f>
        <v>0.0896464260437868</v>
      </c>
      <c r="BE25" s="52">
        <f>Control!$F$20</f>
        <v>0.0896464260437868</v>
      </c>
      <c r="BF25" s="51">
        <f>IFERROR(-(BF24/BF$15),"")</f>
        <v>0.0896464260437868</v>
      </c>
      <c r="BG25" s="52" t="n"/>
      <c r="BH25" s="52" t="n"/>
      <c r="BI25" s="52" t="n"/>
      <c r="BJ25" s="52" t="n"/>
      <c r="BK25" s="51" t="n"/>
      <c r="BL25" s="52" t="n"/>
      <c r="BM25" s="52" t="n"/>
      <c r="BN25" s="52" t="n"/>
      <c r="BO25" s="52" t="n"/>
      <c r="BP25" s="51" t="n"/>
      <c r="BQ25" s="52" t="n"/>
      <c r="BR25" s="52" t="n"/>
      <c r="BS25" s="52" t="n"/>
      <c r="BT25" s="52" t="n"/>
      <c r="BU25" s="51" t="n"/>
      <c r="BV25" s="52" t="n"/>
      <c r="BW25" s="52" t="n"/>
      <c r="BX25" s="52" t="n"/>
      <c r="BY25" s="52" t="n"/>
      <c r="BZ25" s="51" t="n"/>
      <c r="CA25" s="52" t="n"/>
      <c r="CB25" s="52" t="n"/>
      <c r="CC25" s="52" t="n"/>
      <c r="CD25" s="52" t="n"/>
      <c r="CE25" s="51" t="n"/>
      <c r="CF25" s="52" t="n"/>
      <c r="CG25" s="52" t="n"/>
      <c r="CH25" s="52" t="n"/>
      <c r="CI25" s="52" t="n"/>
      <c r="CJ25" s="51" t="n"/>
      <c r="CK25" s="52" t="n"/>
      <c r="CL25" s="52" t="n"/>
      <c r="CM25" s="52" t="n"/>
      <c r="CN25" s="52" t="n"/>
      <c r="CO25" s="51" t="n"/>
      <c r="CP25" s="52" t="n"/>
      <c r="CQ25" s="52" t="n"/>
      <c r="CR25" s="52" t="n"/>
      <c r="CS25" s="52" t="n"/>
      <c r="CT25" s="51" t="n"/>
      <c r="CU25" s="52" t="n"/>
      <c r="CV25" s="52" t="n"/>
      <c r="CW25" s="52" t="n"/>
      <c r="CX25" s="52" t="n"/>
      <c r="CY25" s="51" t="n"/>
    </row>
    <row r="26" hidden="1" outlineLevel="1">
      <c r="C26" s="50" t="n"/>
      <c r="D26" s="50" t="n"/>
      <c r="E26" s="50" t="n"/>
      <c r="F26" s="50" t="n"/>
      <c r="G26" s="50" t="n"/>
      <c r="H26" s="50" t="n"/>
      <c r="I26" s="50" t="n"/>
      <c r="J26" s="50" t="n"/>
      <c r="K26" s="50" t="n"/>
      <c r="L26" s="50" t="n"/>
      <c r="M26" s="50" t="n"/>
      <c r="N26" s="50" t="n"/>
      <c r="O26" s="50" t="n"/>
      <c r="P26" s="50" t="n"/>
      <c r="Q26" s="50" t="n"/>
      <c r="R26" s="50" t="n"/>
      <c r="S26" s="50" t="n"/>
      <c r="T26" s="50" t="n"/>
      <c r="U26" s="50" t="n"/>
      <c r="V26" s="50" t="n"/>
      <c r="W26" s="50" t="n"/>
      <c r="X26" s="50" t="n"/>
      <c r="Y26" s="50" t="n"/>
      <c r="Z26" s="50" t="n"/>
      <c r="AA26" s="50" t="n"/>
      <c r="AB26" s="50" t="n"/>
      <c r="AC26" s="50" t="n"/>
      <c r="AD26" s="50" t="n"/>
      <c r="AE26" s="50" t="n"/>
      <c r="AF26" s="50" t="n"/>
      <c r="AG26" s="50" t="n"/>
      <c r="AH26" s="50" t="n"/>
      <c r="AI26" s="50" t="n"/>
      <c r="AJ26" s="50" t="n"/>
      <c r="AK26" s="50" t="n"/>
      <c r="AL26" s="50" t="n"/>
      <c r="AM26" s="50" t="n"/>
      <c r="AN26" s="50" t="n"/>
      <c r="AO26" s="50" t="n"/>
      <c r="AP26" s="50" t="n"/>
      <c r="AQ26" s="50" t="n"/>
      <c r="AR26" s="50" t="n"/>
      <c r="AS26" s="50" t="n"/>
      <c r="AT26" s="50" t="n"/>
      <c r="AU26" s="50" t="n"/>
      <c r="AV26" s="50" t="n"/>
      <c r="AW26" s="50" t="n"/>
      <c r="AX26" s="50" t="n"/>
      <c r="AY26" s="50" t="n"/>
      <c r="AZ26" s="50" t="n"/>
      <c r="BA26" s="50" t="n"/>
      <c r="BB26" s="50" t="n"/>
      <c r="BC26" s="50" t="n"/>
      <c r="BD26" s="50" t="n"/>
      <c r="BE26" s="50" t="n"/>
      <c r="BF26" s="50" t="n"/>
      <c r="BG26" s="50" t="n"/>
      <c r="BH26" s="50" t="n"/>
      <c r="BI26" s="50" t="n"/>
      <c r="BJ26" s="50" t="n"/>
      <c r="BK26" s="50" t="n"/>
      <c r="BL26" s="50" t="n"/>
      <c r="BM26" s="50" t="n"/>
      <c r="BN26" s="50" t="n"/>
      <c r="BO26" s="50" t="n"/>
      <c r="BP26" s="50" t="n"/>
      <c r="BQ26" s="50" t="n"/>
      <c r="BR26" s="50" t="n"/>
      <c r="BS26" s="50" t="n"/>
      <c r="BT26" s="50" t="n"/>
      <c r="BU26" s="50" t="n"/>
      <c r="BV26" s="50" t="n"/>
      <c r="BW26" s="50" t="n"/>
      <c r="BX26" s="50" t="n"/>
      <c r="BY26" s="50" t="n"/>
      <c r="BZ26" s="50" t="n"/>
      <c r="CA26" s="50" t="n"/>
      <c r="CB26" s="50" t="n"/>
      <c r="CC26" s="50" t="n"/>
      <c r="CD26" s="50" t="n"/>
      <c r="CE26" s="50" t="n"/>
      <c r="CF26" s="50" t="n"/>
      <c r="CG26" s="50" t="n"/>
      <c r="CH26" s="50" t="n"/>
      <c r="CI26" s="50" t="n"/>
      <c r="CJ26" s="50" t="n"/>
      <c r="CK26" s="50" t="n"/>
      <c r="CL26" s="50" t="n"/>
      <c r="CM26" s="50" t="n"/>
      <c r="CN26" s="50" t="n"/>
      <c r="CO26" s="50" t="n"/>
      <c r="CP26" s="50" t="n"/>
      <c r="CQ26" s="50" t="n"/>
      <c r="CR26" s="50" t="n"/>
      <c r="CS26" s="50" t="n"/>
      <c r="CT26" s="50" t="n"/>
      <c r="CU26" s="50" t="n"/>
      <c r="CV26" s="50" t="n"/>
      <c r="CW26" s="50" t="n"/>
      <c r="CX26" s="50" t="n"/>
      <c r="CY26" s="50" t="n"/>
    </row>
    <row r="27" hidden="1" outlineLevel="1">
      <c r="C27" s="50" t="inlineStr">
        <is>
          <t>Com Vendas</t>
        </is>
      </c>
      <c r="D27" s="11" t="n"/>
      <c r="E27" s="11" t="n"/>
      <c r="F27" s="11" t="n"/>
      <c r="G27" s="11" t="n"/>
      <c r="H27" s="50" t="n"/>
      <c r="I27" s="11" t="n"/>
      <c r="J27" s="11" t="n"/>
      <c r="K27" s="11" t="n"/>
      <c r="L27" s="11" t="n"/>
      <c r="M27" s="50" t="n"/>
      <c r="N27" s="11" t="n"/>
      <c r="O27" s="11" t="n"/>
      <c r="P27" s="11" t="n"/>
      <c r="Q27" s="11" t="n"/>
      <c r="R27" s="50" t="n"/>
      <c r="S27" s="11" t="n"/>
      <c r="T27" s="11" t="n"/>
      <c r="U27" s="11" t="n"/>
      <c r="V27" s="11" t="n"/>
      <c r="W27" s="50" t="n"/>
      <c r="X27" s="11" t="n"/>
      <c r="Y27" s="11" t="n"/>
      <c r="Z27" s="11" t="n"/>
      <c r="AA27" s="11" t="n"/>
      <c r="AB27" s="50" t="n"/>
      <c r="AC27" s="11" t="n"/>
      <c r="AD27" s="11" t="n"/>
      <c r="AE27" s="11" t="n"/>
      <c r="AF27" s="11" t="n"/>
      <c r="AG27" s="50" t="n"/>
      <c r="AH27" s="50" t="n"/>
      <c r="AI27" s="50" t="n"/>
      <c r="AJ27" s="50" t="n"/>
      <c r="AK27" s="50" t="n"/>
      <c r="AL27" s="50" t="n"/>
      <c r="AM27" s="50" t="n"/>
      <c r="AN27" s="50" t="n"/>
      <c r="AO27" s="50" t="n"/>
      <c r="AP27" s="50" t="n"/>
      <c r="AQ27" s="50" t="n"/>
      <c r="AR27" s="50" t="n"/>
      <c r="AS27" s="50" t="n"/>
      <c r="AT27" s="50" t="n"/>
      <c r="AU27" s="50" t="n"/>
      <c r="AV27" s="50" t="n"/>
      <c r="AW27" s="50" t="n"/>
      <c r="AX27" s="50" t="n"/>
      <c r="AY27" s="50" t="n"/>
      <c r="AZ27" s="50" t="n"/>
      <c r="BA27" s="50" t="n"/>
      <c r="BB27" s="50" t="n"/>
      <c r="BC27" s="50" t="n"/>
      <c r="BD27" s="50" t="n"/>
      <c r="BE27" s="50" t="n"/>
      <c r="BF27" s="50" t="n"/>
      <c r="BG27" s="50" t="n"/>
      <c r="BH27" s="50" t="n"/>
      <c r="BI27" s="50" t="n"/>
      <c r="BJ27" s="50" t="n"/>
      <c r="BK27" s="50" t="n"/>
      <c r="BL27" s="50" t="n"/>
      <c r="BM27" s="50" t="n"/>
      <c r="BN27" s="50" t="n"/>
      <c r="BO27" s="50" t="n"/>
      <c r="BP27" s="50" t="n"/>
      <c r="BQ27" s="50" t="n"/>
      <c r="BR27" s="50" t="n"/>
      <c r="BS27" s="50" t="n"/>
      <c r="BT27" s="50" t="n"/>
      <c r="BU27" s="50" t="n"/>
      <c r="BV27" s="50" t="n"/>
      <c r="BW27" s="50" t="n"/>
      <c r="BX27" s="50" t="n"/>
      <c r="BY27" s="50" t="n"/>
      <c r="BZ27" s="50" t="n"/>
      <c r="CA27" s="50" t="n"/>
      <c r="CB27" s="50" t="n"/>
      <c r="CC27" s="50" t="n"/>
      <c r="CD27" s="50" t="n"/>
      <c r="CE27" s="50" t="n"/>
      <c r="CF27" s="50" t="n"/>
      <c r="CG27" s="50" t="n"/>
      <c r="CH27" s="50" t="n"/>
      <c r="CI27" s="50" t="n"/>
      <c r="CJ27" s="50" t="n"/>
      <c r="CK27" s="50" t="n"/>
      <c r="CL27" s="50" t="n"/>
      <c r="CM27" s="50" t="n"/>
      <c r="CN27" s="50" t="n"/>
      <c r="CO27" s="50" t="n"/>
      <c r="CP27" s="50" t="n"/>
      <c r="CQ27" s="50" t="n"/>
      <c r="CR27" s="50" t="n"/>
      <c r="CS27" s="50" t="n"/>
      <c r="CT27" s="50" t="n"/>
      <c r="CU27" s="50" t="n"/>
      <c r="CV27" s="50" t="n"/>
      <c r="CW27" s="50" t="n"/>
      <c r="CX27" s="50" t="n"/>
      <c r="CY27" s="50" t="n"/>
    </row>
    <row r="28" hidden="1" outlineLevel="1">
      <c r="C28" s="50" t="inlineStr">
        <is>
          <t>Gerais &amp; Administrativas</t>
        </is>
      </c>
      <c r="D28" s="11" t="n"/>
      <c r="E28" s="11" t="n"/>
      <c r="F28" s="11" t="n"/>
      <c r="G28" s="11" t="n"/>
      <c r="H28" s="50" t="n"/>
      <c r="I28" s="11" t="n"/>
      <c r="J28" s="11" t="n"/>
      <c r="K28" s="11" t="n"/>
      <c r="L28" s="11" t="n"/>
      <c r="M28" s="50" t="n"/>
      <c r="N28" s="11" t="n"/>
      <c r="O28" s="11" t="n"/>
      <c r="P28" s="11" t="n"/>
      <c r="Q28" s="11" t="n"/>
      <c r="R28" s="50" t="n"/>
      <c r="S28" s="11" t="n"/>
      <c r="T28" s="11" t="n"/>
      <c r="U28" s="11" t="n"/>
      <c r="V28" s="11" t="n"/>
      <c r="W28" s="50" t="n"/>
      <c r="X28" s="11" t="n"/>
      <c r="Y28" s="11" t="n"/>
      <c r="Z28" s="11" t="n"/>
      <c r="AA28" s="11" t="n"/>
      <c r="AB28" s="50" t="n"/>
      <c r="AC28" s="11" t="n"/>
      <c r="AD28" s="11" t="n"/>
      <c r="AE28" s="11" t="n"/>
      <c r="AF28" s="11" t="n"/>
      <c r="AG28" s="50" t="n"/>
      <c r="AH28" s="50" t="n"/>
      <c r="AI28" s="50" t="n"/>
      <c r="AJ28" s="50" t="n"/>
      <c r="AK28" s="50" t="n"/>
      <c r="AL28" s="50" t="n"/>
      <c r="AM28" s="50" t="n"/>
      <c r="AN28" s="50" t="n"/>
      <c r="AO28" s="50" t="n"/>
      <c r="AP28" s="50" t="n"/>
      <c r="AQ28" s="50" t="n"/>
      <c r="AR28" s="50" t="n"/>
      <c r="AS28" s="50" t="n"/>
      <c r="AT28" s="50" t="n"/>
      <c r="AU28" s="50" t="n"/>
      <c r="AV28" s="50" t="n"/>
      <c r="AW28" s="50" t="n"/>
      <c r="AX28" s="50" t="n"/>
      <c r="AY28" s="50" t="n"/>
      <c r="AZ28" s="50" t="n"/>
      <c r="BA28" s="50" t="n"/>
      <c r="BB28" s="50" t="n"/>
      <c r="BC28" s="50" t="n"/>
      <c r="BD28" s="50" t="n"/>
      <c r="BE28" s="50" t="n"/>
      <c r="BF28" s="50" t="n"/>
      <c r="BG28" s="50" t="n"/>
      <c r="BH28" s="50" t="n"/>
      <c r="BI28" s="50" t="n"/>
      <c r="BJ28" s="50" t="n"/>
      <c r="BK28" s="50" t="n"/>
      <c r="BL28" s="50" t="n"/>
      <c r="BM28" s="50" t="n"/>
      <c r="BN28" s="50" t="n"/>
      <c r="BO28" s="50" t="n"/>
      <c r="BP28" s="50" t="n"/>
      <c r="BQ28" s="50" t="n"/>
      <c r="BR28" s="50" t="n"/>
      <c r="BS28" s="50" t="n"/>
      <c r="BT28" s="50" t="n"/>
      <c r="BU28" s="50" t="n"/>
      <c r="BV28" s="50" t="n"/>
      <c r="BW28" s="50" t="n"/>
      <c r="BX28" s="50" t="n"/>
      <c r="BY28" s="50" t="n"/>
      <c r="BZ28" s="50" t="n"/>
      <c r="CA28" s="50" t="n"/>
      <c r="CB28" s="50" t="n"/>
      <c r="CC28" s="50" t="n"/>
      <c r="CD28" s="50" t="n"/>
      <c r="CE28" s="50" t="n"/>
      <c r="CF28" s="50" t="n"/>
      <c r="CG28" s="50" t="n"/>
      <c r="CH28" s="50" t="n"/>
      <c r="CI28" s="50" t="n"/>
      <c r="CJ28" s="50" t="n"/>
      <c r="CK28" s="50" t="n"/>
      <c r="CL28" s="50" t="n"/>
      <c r="CM28" s="50" t="n"/>
      <c r="CN28" s="50" t="n"/>
      <c r="CO28" s="50" t="n"/>
      <c r="CP28" s="50" t="n"/>
      <c r="CQ28" s="50" t="n"/>
      <c r="CR28" s="50" t="n"/>
      <c r="CS28" s="50" t="n"/>
      <c r="CT28" s="50" t="n"/>
      <c r="CU28" s="50" t="n"/>
      <c r="CV28" s="50" t="n"/>
      <c r="CW28" s="50" t="n"/>
      <c r="CX28" s="50" t="n"/>
      <c r="CY28" s="50" t="n"/>
    </row>
    <row r="29" hidden="1" outlineLevel="1">
      <c r="C29" s="50" t="inlineStr">
        <is>
          <t>Outras Receitas (Despesas) Operacionais, Líquidas</t>
        </is>
      </c>
      <c r="D29" s="11" t="n"/>
      <c r="E29" s="11" t="n"/>
      <c r="F29" s="11" t="n"/>
      <c r="G29" s="11" t="n"/>
      <c r="H29" s="50" t="n"/>
      <c r="I29" s="11" t="n"/>
      <c r="J29" s="11" t="n"/>
      <c r="K29" s="11" t="n"/>
      <c r="L29" s="11" t="n"/>
      <c r="M29" s="50" t="n"/>
      <c r="N29" s="11" t="n"/>
      <c r="O29" s="11" t="n"/>
      <c r="P29" s="11" t="n"/>
      <c r="Q29" s="11" t="n"/>
      <c r="R29" s="50" t="n"/>
      <c r="S29" s="11" t="n"/>
      <c r="T29" s="11" t="n"/>
      <c r="U29" s="11" t="n"/>
      <c r="V29" s="11" t="n"/>
      <c r="W29" s="50" t="n"/>
      <c r="X29" s="11" t="n"/>
      <c r="Y29" s="11" t="n"/>
      <c r="Z29" s="11" t="n"/>
      <c r="AA29" s="11" t="n"/>
      <c r="AB29" s="50" t="n"/>
      <c r="AC29" s="11" t="n"/>
      <c r="AD29" s="11" t="n"/>
      <c r="AE29" s="11" t="n"/>
      <c r="AF29" s="11" t="n"/>
      <c r="AG29" s="50" t="n"/>
      <c r="AH29" s="50" t="n"/>
      <c r="AI29" s="50" t="n"/>
      <c r="AJ29" s="50" t="n"/>
      <c r="AK29" s="50" t="n"/>
      <c r="AL29" s="50" t="n"/>
      <c r="AM29" s="50" t="n"/>
      <c r="AN29" s="50" t="n"/>
      <c r="AO29" s="50" t="n"/>
      <c r="AP29" s="50" t="n"/>
      <c r="AQ29" s="50" t="n"/>
      <c r="AR29" s="50" t="n"/>
      <c r="AS29" s="50" t="n"/>
      <c r="AT29" s="50" t="n"/>
      <c r="AU29" s="50" t="n"/>
      <c r="AV29" s="50" t="n"/>
      <c r="AW29" s="50" t="n"/>
      <c r="AX29" s="50" t="n"/>
      <c r="AY29" s="50" t="n"/>
      <c r="AZ29" s="50" t="n"/>
      <c r="BA29" s="50" t="n"/>
      <c r="BB29" s="50" t="n"/>
      <c r="BC29" s="50" t="n"/>
      <c r="BD29" s="50" t="n"/>
      <c r="BE29" s="50" t="n"/>
      <c r="BF29" s="50" t="n"/>
      <c r="BG29" s="50" t="n"/>
      <c r="BH29" s="50" t="n"/>
      <c r="BI29" s="50" t="n"/>
      <c r="BJ29" s="50" t="n"/>
      <c r="BK29" s="50" t="n"/>
      <c r="BL29" s="50" t="n"/>
      <c r="BM29" s="50" t="n"/>
      <c r="BN29" s="50" t="n"/>
      <c r="BO29" s="50" t="n"/>
      <c r="BP29" s="50" t="n"/>
      <c r="BQ29" s="50" t="n"/>
      <c r="BR29" s="50" t="n"/>
      <c r="BS29" s="50" t="n"/>
      <c r="BT29" s="50" t="n"/>
      <c r="BU29" s="50" t="n"/>
      <c r="BV29" s="50" t="n"/>
      <c r="BW29" s="50" t="n"/>
      <c r="BX29" s="50" t="n"/>
      <c r="BY29" s="50" t="n"/>
      <c r="BZ29" s="50" t="n"/>
      <c r="CA29" s="50" t="n"/>
      <c r="CB29" s="50" t="n"/>
      <c r="CC29" s="50" t="n"/>
      <c r="CD29" s="50" t="n"/>
      <c r="CE29" s="50" t="n"/>
      <c r="CF29" s="50" t="n"/>
      <c r="CG29" s="50" t="n"/>
      <c r="CH29" s="50" t="n"/>
      <c r="CI29" s="50" t="n"/>
      <c r="CJ29" s="50" t="n"/>
      <c r="CK29" s="50" t="n"/>
      <c r="CL29" s="50" t="n"/>
      <c r="CM29" s="50" t="n"/>
      <c r="CN29" s="50" t="n"/>
      <c r="CO29" s="50" t="n"/>
      <c r="CP29" s="50" t="n"/>
      <c r="CQ29" s="50" t="n"/>
      <c r="CR29" s="50" t="n"/>
      <c r="CS29" s="50" t="n"/>
      <c r="CT29" s="50" t="n"/>
      <c r="CU29" s="50" t="n"/>
      <c r="CV29" s="50" t="n"/>
      <c r="CW29" s="50" t="n"/>
      <c r="CX29" s="50" t="n"/>
      <c r="CY29" s="50" t="n"/>
    </row>
    <row r="30" hidden="1" outlineLevel="1">
      <c r="C30" s="50" t="n"/>
      <c r="D30" s="50" t="n"/>
      <c r="E30" s="50" t="n"/>
      <c r="F30" s="50" t="n"/>
      <c r="G30" s="50" t="n"/>
      <c r="H30" s="50" t="n"/>
      <c r="I30" s="50" t="n"/>
      <c r="J30" s="50" t="n"/>
      <c r="K30" s="50" t="n"/>
      <c r="L30" s="50" t="n"/>
      <c r="M30" s="50" t="n"/>
      <c r="N30" s="50" t="n"/>
      <c r="O30" s="50" t="n"/>
      <c r="P30" s="50" t="n"/>
      <c r="Q30" s="50" t="n"/>
      <c r="R30" s="50" t="n"/>
      <c r="S30" s="50" t="n"/>
      <c r="T30" s="50" t="n"/>
      <c r="U30" s="50" t="n"/>
      <c r="V30" s="50" t="n"/>
      <c r="W30" s="50" t="n"/>
      <c r="X30" s="50" t="n"/>
      <c r="Y30" s="50" t="n"/>
      <c r="Z30" s="50" t="n"/>
      <c r="AA30" s="50" t="n"/>
      <c r="AB30" s="50" t="n"/>
      <c r="AC30" s="50" t="n"/>
      <c r="AD30" s="50" t="n"/>
      <c r="AE30" s="50" t="n"/>
      <c r="AF30" s="50" t="n"/>
      <c r="AG30" s="50" t="n"/>
      <c r="AH30" s="50" t="n"/>
      <c r="AI30" s="50" t="n"/>
      <c r="AJ30" s="50" t="n"/>
      <c r="AK30" s="50" t="n"/>
      <c r="AL30" s="50" t="n"/>
      <c r="AM30" s="50" t="n"/>
      <c r="AN30" s="50" t="n"/>
      <c r="AO30" s="50" t="n"/>
      <c r="AP30" s="50" t="n"/>
      <c r="AQ30" s="50" t="n"/>
      <c r="AR30" s="50" t="n"/>
      <c r="AS30" s="50" t="n"/>
      <c r="AT30" s="50" t="n"/>
      <c r="AU30" s="50" t="n"/>
      <c r="AV30" s="50" t="n"/>
      <c r="AW30" s="50" t="n"/>
      <c r="AX30" s="50" t="n"/>
      <c r="AY30" s="50" t="n"/>
      <c r="AZ30" s="50" t="n"/>
      <c r="BA30" s="50" t="n"/>
      <c r="BB30" s="50" t="n"/>
      <c r="BC30" s="50" t="n"/>
      <c r="BD30" s="50" t="n"/>
      <c r="BE30" s="50" t="n"/>
      <c r="BF30" s="50" t="n"/>
      <c r="BG30" s="50" t="n"/>
      <c r="BH30" s="50" t="n"/>
      <c r="BI30" s="50" t="n"/>
      <c r="BJ30" s="50" t="n"/>
      <c r="BK30" s="50" t="n"/>
      <c r="BL30" s="50" t="n"/>
      <c r="BM30" s="50" t="n"/>
      <c r="BN30" s="50" t="n"/>
      <c r="BO30" s="50" t="n"/>
      <c r="BP30" s="50" t="n"/>
      <c r="BQ30" s="50" t="n"/>
      <c r="BR30" s="50" t="n"/>
      <c r="BS30" s="50" t="n"/>
      <c r="BT30" s="50" t="n"/>
      <c r="BU30" s="50" t="n"/>
      <c r="BV30" s="50" t="n"/>
      <c r="BW30" s="50" t="n"/>
      <c r="BX30" s="50" t="n"/>
      <c r="BY30" s="50" t="n"/>
      <c r="BZ30" s="50" t="n"/>
      <c r="CA30" s="50" t="n"/>
      <c r="CB30" s="50" t="n"/>
      <c r="CC30" s="50" t="n"/>
      <c r="CD30" s="50" t="n"/>
      <c r="CE30" s="50" t="n"/>
      <c r="CF30" s="50" t="n"/>
      <c r="CG30" s="50" t="n"/>
      <c r="CH30" s="50" t="n"/>
      <c r="CI30" s="50" t="n"/>
      <c r="CJ30" s="50" t="n"/>
      <c r="CK30" s="50" t="n"/>
      <c r="CL30" s="50" t="n"/>
      <c r="CM30" s="50" t="n"/>
      <c r="CN30" s="50" t="n"/>
      <c r="CO30" s="50" t="n"/>
      <c r="CP30" s="50" t="n"/>
      <c r="CQ30" s="50" t="n"/>
      <c r="CR30" s="50" t="n"/>
      <c r="CS30" s="50" t="n"/>
      <c r="CT30" s="50" t="n"/>
      <c r="CU30" s="50" t="n"/>
      <c r="CV30" s="50" t="n"/>
      <c r="CW30" s="50" t="n"/>
      <c r="CX30" s="50" t="n"/>
      <c r="CY30" s="50" t="n"/>
    </row>
    <row r="31" hidden="1" outlineLevel="1">
      <c r="C31" s="50" t="inlineStr">
        <is>
          <t>Com Vendas (%)</t>
        </is>
      </c>
      <c r="D31" s="50" t="n"/>
      <c r="E31" s="50" t="n"/>
      <c r="F31" s="50" t="n"/>
      <c r="G31" s="50" t="n"/>
      <c r="H31" s="50" t="n"/>
      <c r="I31" s="50" t="n"/>
      <c r="J31" s="50" t="n"/>
      <c r="K31" s="50" t="n"/>
      <c r="L31" s="50" t="n"/>
      <c r="M31" s="50" t="n"/>
      <c r="N31" s="50" t="n"/>
      <c r="O31" s="50" t="n"/>
      <c r="P31" s="50" t="n"/>
      <c r="Q31" s="50" t="n"/>
      <c r="R31" s="50" t="n"/>
      <c r="S31" s="50" t="n"/>
      <c r="T31" s="50" t="n"/>
      <c r="U31" s="50" t="n"/>
      <c r="V31" s="50" t="n"/>
      <c r="W31" s="50" t="n"/>
      <c r="X31" s="50" t="n"/>
      <c r="Y31" s="50" t="n"/>
      <c r="Z31" s="50" t="n"/>
      <c r="AA31" s="50" t="n"/>
      <c r="AB31" s="50" t="n"/>
      <c r="AC31" s="50" t="n"/>
      <c r="AD31" s="50" t="n"/>
      <c r="AE31" s="50" t="n"/>
      <c r="AF31" s="50" t="n"/>
      <c r="AG31" s="50" t="n"/>
      <c r="AH31" s="50" t="n"/>
      <c r="AI31" s="50" t="n"/>
      <c r="AJ31" s="50" t="n"/>
      <c r="AK31" s="50" t="n"/>
      <c r="AL31" s="50" t="n"/>
      <c r="AM31" s="50" t="n"/>
      <c r="AN31" s="50" t="n"/>
      <c r="AO31" s="50" t="n"/>
      <c r="AP31" s="50" t="n"/>
      <c r="AQ31" s="50" t="n"/>
      <c r="AR31" s="50" t="n"/>
      <c r="AS31" s="50" t="n"/>
      <c r="AT31" s="50" t="n"/>
      <c r="AU31" s="50" t="n"/>
      <c r="AV31" s="50" t="n"/>
      <c r="AW31" s="50" t="n"/>
      <c r="AX31" s="50" t="n"/>
      <c r="AY31" s="50" t="n"/>
      <c r="AZ31" s="50" t="n"/>
      <c r="BA31" s="50" t="n"/>
      <c r="BB31" s="50" t="n"/>
      <c r="BC31" s="50" t="n"/>
      <c r="BD31" s="50" t="n"/>
      <c r="BE31" s="50" t="n"/>
      <c r="BF31" s="50" t="n"/>
      <c r="BG31" s="50" t="n"/>
      <c r="BH31" s="50" t="n"/>
      <c r="BI31" s="50" t="n"/>
      <c r="BJ31" s="50" t="n"/>
      <c r="BK31" s="50" t="n"/>
      <c r="BL31" s="50" t="n"/>
      <c r="BM31" s="50" t="n"/>
      <c r="BN31" s="50" t="n"/>
      <c r="BO31" s="50" t="n"/>
      <c r="BP31" s="50" t="n"/>
      <c r="BQ31" s="50" t="n"/>
      <c r="BR31" s="50" t="n"/>
      <c r="BS31" s="50" t="n"/>
      <c r="BT31" s="50" t="n"/>
      <c r="BU31" s="50" t="n"/>
      <c r="BV31" s="50" t="n"/>
      <c r="BW31" s="50" t="n"/>
      <c r="BX31" s="50" t="n"/>
      <c r="BY31" s="50" t="n"/>
      <c r="BZ31" s="50" t="n"/>
      <c r="CA31" s="50" t="n"/>
      <c r="CB31" s="50" t="n"/>
      <c r="CC31" s="50" t="n"/>
      <c r="CD31" s="50" t="n"/>
      <c r="CE31" s="50" t="n"/>
      <c r="CF31" s="50" t="n"/>
      <c r="CG31" s="50" t="n"/>
      <c r="CH31" s="50" t="n"/>
      <c r="CI31" s="50" t="n"/>
      <c r="CJ31" s="50" t="n"/>
      <c r="CK31" s="50" t="n"/>
      <c r="CL31" s="50" t="n"/>
      <c r="CM31" s="50" t="n"/>
      <c r="CN31" s="50" t="n"/>
      <c r="CO31" s="50" t="n"/>
      <c r="CP31" s="50" t="n"/>
      <c r="CQ31" s="50" t="n"/>
      <c r="CR31" s="50" t="n"/>
      <c r="CS31" s="50" t="n"/>
      <c r="CT31" s="50" t="n"/>
      <c r="CU31" s="50" t="n"/>
      <c r="CV31" s="50" t="n"/>
      <c r="CW31" s="50" t="n"/>
      <c r="CX31" s="50" t="n"/>
      <c r="CY31" s="50" t="n"/>
    </row>
    <row r="32" hidden="1" outlineLevel="1">
      <c r="C32" s="50" t="inlineStr">
        <is>
          <t>Gerais &amp; Administrativas (%)</t>
        </is>
      </c>
      <c r="D32" s="50" t="n"/>
      <c r="E32" s="50" t="n"/>
      <c r="F32" s="50" t="n"/>
      <c r="G32" s="50" t="n"/>
      <c r="H32" s="50" t="n"/>
      <c r="I32" s="50" t="n"/>
      <c r="J32" s="50" t="n"/>
      <c r="K32" s="50" t="n"/>
      <c r="L32" s="50" t="n"/>
      <c r="M32" s="50" t="n"/>
      <c r="N32" s="50" t="n"/>
      <c r="O32" s="50" t="n"/>
      <c r="P32" s="50" t="n"/>
      <c r="Q32" s="50" t="n"/>
      <c r="R32" s="50" t="n"/>
      <c r="S32" s="50" t="n"/>
      <c r="T32" s="50" t="n"/>
      <c r="U32" s="50" t="n"/>
      <c r="V32" s="50" t="n"/>
      <c r="W32" s="50" t="n"/>
      <c r="X32" s="50" t="n"/>
      <c r="Y32" s="50" t="n"/>
      <c r="Z32" s="50" t="n"/>
      <c r="AA32" s="50" t="n"/>
      <c r="AB32" s="50" t="n"/>
      <c r="AC32" s="50" t="n"/>
      <c r="AD32" s="50" t="n"/>
      <c r="AE32" s="50" t="n"/>
      <c r="AF32" s="50" t="n"/>
      <c r="AG32" s="50" t="n"/>
      <c r="AH32" s="50" t="n"/>
      <c r="AI32" s="50" t="n"/>
      <c r="AJ32" s="50" t="n"/>
      <c r="AK32" s="50" t="n"/>
      <c r="AL32" s="50" t="n"/>
      <c r="AM32" s="50" t="n"/>
      <c r="AN32" s="50" t="n"/>
      <c r="AO32" s="50" t="n"/>
      <c r="AP32" s="50" t="n"/>
      <c r="AQ32" s="50" t="n"/>
      <c r="AR32" s="50" t="n"/>
      <c r="AS32" s="50" t="n"/>
      <c r="AT32" s="50" t="n"/>
      <c r="AU32" s="50" t="n"/>
      <c r="AV32" s="50" t="n"/>
      <c r="AW32" s="50" t="n"/>
      <c r="AX32" s="50" t="n"/>
      <c r="AY32" s="50" t="n"/>
      <c r="AZ32" s="50" t="n"/>
      <c r="BA32" s="50" t="n"/>
      <c r="BB32" s="50" t="n"/>
      <c r="BC32" s="50" t="n"/>
      <c r="BD32" s="50" t="n"/>
      <c r="BE32" s="50" t="n"/>
      <c r="BF32" s="50" t="n"/>
      <c r="BG32" s="50" t="n"/>
      <c r="BH32" s="50" t="n"/>
      <c r="BI32" s="50" t="n"/>
      <c r="BJ32" s="50" t="n"/>
      <c r="BK32" s="50" t="n"/>
      <c r="BL32" s="50" t="n"/>
      <c r="BM32" s="50" t="n"/>
      <c r="BN32" s="50" t="n"/>
      <c r="BO32" s="50" t="n"/>
      <c r="BP32" s="50" t="n"/>
      <c r="BQ32" s="50" t="n"/>
      <c r="BR32" s="50" t="n"/>
      <c r="BS32" s="50" t="n"/>
      <c r="BT32" s="50" t="n"/>
      <c r="BU32" s="50" t="n"/>
      <c r="BV32" s="50" t="n"/>
      <c r="BW32" s="50" t="n"/>
      <c r="BX32" s="50" t="n"/>
      <c r="BY32" s="50" t="n"/>
      <c r="BZ32" s="50" t="n"/>
      <c r="CA32" s="50" t="n"/>
      <c r="CB32" s="50" t="n"/>
      <c r="CC32" s="50" t="n"/>
      <c r="CD32" s="50" t="n"/>
      <c r="CE32" s="50" t="n"/>
      <c r="CF32" s="50" t="n"/>
      <c r="CG32" s="50" t="n"/>
      <c r="CH32" s="50" t="n"/>
      <c r="CI32" s="50" t="n"/>
      <c r="CJ32" s="50" t="n"/>
      <c r="CK32" s="50" t="n"/>
      <c r="CL32" s="50" t="n"/>
      <c r="CM32" s="50" t="n"/>
      <c r="CN32" s="50" t="n"/>
      <c r="CO32" s="50" t="n"/>
      <c r="CP32" s="50" t="n"/>
      <c r="CQ32" s="50" t="n"/>
      <c r="CR32" s="50" t="n"/>
      <c r="CS32" s="50" t="n"/>
      <c r="CT32" s="50" t="n"/>
      <c r="CU32" s="50" t="n"/>
      <c r="CV32" s="50" t="n"/>
      <c r="CW32" s="50" t="n"/>
      <c r="CX32" s="50" t="n"/>
      <c r="CY32" s="50" t="n"/>
    </row>
    <row r="33" hidden="1" outlineLevel="1">
      <c r="C33" s="50" t="inlineStr">
        <is>
          <t>Outras Receitas (Despesas) Operacionais, Líquidas (%)</t>
        </is>
      </c>
      <c r="D33" s="50" t="n"/>
      <c r="E33" s="50" t="n"/>
      <c r="F33" s="50" t="n"/>
      <c r="G33" s="50" t="n"/>
      <c r="H33" s="50" t="n"/>
      <c r="I33" s="50" t="n"/>
      <c r="J33" s="50" t="n"/>
      <c r="K33" s="50" t="n"/>
      <c r="L33" s="50" t="n"/>
      <c r="M33" s="50" t="n"/>
      <c r="N33" s="50" t="n"/>
      <c r="O33" s="50" t="n"/>
      <c r="P33" s="50" t="n"/>
      <c r="Q33" s="50" t="n"/>
      <c r="R33" s="50" t="n"/>
      <c r="S33" s="50" t="n"/>
      <c r="T33" s="50" t="n"/>
      <c r="U33" s="50" t="n"/>
      <c r="V33" s="50" t="n"/>
      <c r="W33" s="50" t="n"/>
      <c r="X33" s="50" t="n"/>
      <c r="Y33" s="50" t="n"/>
      <c r="Z33" s="50" t="n"/>
      <c r="AA33" s="50" t="n"/>
      <c r="AB33" s="50" t="n"/>
      <c r="AC33" s="50" t="n"/>
      <c r="AD33" s="50" t="n"/>
      <c r="AE33" s="50" t="n"/>
      <c r="AF33" s="50" t="n"/>
      <c r="AG33" s="50" t="n"/>
      <c r="AH33" s="50" t="n"/>
      <c r="AI33" s="50" t="n"/>
      <c r="AJ33" s="50" t="n"/>
      <c r="AK33" s="50" t="n"/>
      <c r="AL33" s="50" t="n"/>
      <c r="AM33" s="50" t="n"/>
      <c r="AN33" s="50" t="n"/>
      <c r="AO33" s="50" t="n"/>
      <c r="AP33" s="50" t="n"/>
      <c r="AQ33" s="50" t="n"/>
      <c r="AR33" s="50" t="n"/>
      <c r="AS33" s="50" t="n"/>
      <c r="AT33" s="50" t="n"/>
      <c r="AU33" s="50" t="n"/>
      <c r="AV33" s="50" t="n"/>
      <c r="AW33" s="50" t="n"/>
      <c r="AX33" s="50" t="n"/>
      <c r="AY33" s="50" t="n"/>
      <c r="AZ33" s="50" t="n"/>
      <c r="BA33" s="50" t="n"/>
      <c r="BB33" s="50" t="n"/>
      <c r="BC33" s="50" t="n"/>
      <c r="BD33" s="50" t="n"/>
      <c r="BE33" s="50" t="n"/>
      <c r="BF33" s="50" t="n"/>
      <c r="BG33" s="50" t="n"/>
      <c r="BH33" s="50" t="n"/>
      <c r="BI33" s="50" t="n"/>
      <c r="BJ33" s="50" t="n"/>
      <c r="BK33" s="50" t="n"/>
      <c r="BL33" s="50" t="n"/>
      <c r="BM33" s="50" t="n"/>
      <c r="BN33" s="50" t="n"/>
      <c r="BO33" s="50" t="n"/>
      <c r="BP33" s="50" t="n"/>
      <c r="BQ33" s="50" t="n"/>
      <c r="BR33" s="50" t="n"/>
      <c r="BS33" s="50" t="n"/>
      <c r="BT33" s="50" t="n"/>
      <c r="BU33" s="50" t="n"/>
      <c r="BV33" s="50" t="n"/>
      <c r="BW33" s="50" t="n"/>
      <c r="BX33" s="50" t="n"/>
      <c r="BY33" s="50" t="n"/>
      <c r="BZ33" s="50" t="n"/>
      <c r="CA33" s="50" t="n"/>
      <c r="CB33" s="50" t="n"/>
      <c r="CC33" s="50" t="n"/>
      <c r="CD33" s="50" t="n"/>
      <c r="CE33" s="50" t="n"/>
      <c r="CF33" s="50" t="n"/>
      <c r="CG33" s="50" t="n"/>
      <c r="CH33" s="50" t="n"/>
      <c r="CI33" s="50" t="n"/>
      <c r="CJ33" s="50" t="n"/>
      <c r="CK33" s="50" t="n"/>
      <c r="CL33" s="50" t="n"/>
      <c r="CM33" s="50" t="n"/>
      <c r="CN33" s="50" t="n"/>
      <c r="CO33" s="50" t="n"/>
      <c r="CP33" s="50" t="n"/>
      <c r="CQ33" s="50" t="n"/>
      <c r="CR33" s="50" t="n"/>
      <c r="CS33" s="50" t="n"/>
      <c r="CT33" s="50" t="n"/>
      <c r="CU33" s="50" t="n"/>
      <c r="CV33" s="50" t="n"/>
      <c r="CW33" s="50" t="n"/>
      <c r="CX33" s="50" t="n"/>
      <c r="CY33" s="50" t="n"/>
    </row>
    <row r="34" hidden="1" outlineLevel="1">
      <c r="C34" s="50" t="n"/>
      <c r="D34" s="50" t="n"/>
      <c r="E34" s="50" t="n"/>
      <c r="F34" s="50" t="n"/>
      <c r="G34" s="50" t="n"/>
      <c r="H34" s="50" t="n"/>
      <c r="I34" s="50" t="n"/>
      <c r="J34" s="50" t="n"/>
      <c r="K34" s="50" t="n"/>
      <c r="L34" s="50" t="n"/>
      <c r="M34" s="50" t="n"/>
      <c r="N34" s="50" t="n"/>
      <c r="O34" s="50" t="n"/>
      <c r="P34" s="50" t="n"/>
      <c r="Q34" s="50" t="n"/>
      <c r="R34" s="50" t="n"/>
      <c r="S34" s="50" t="n"/>
      <c r="T34" s="50" t="n"/>
      <c r="U34" s="50" t="n"/>
      <c r="V34" s="50" t="n"/>
      <c r="W34" s="50" t="n"/>
      <c r="X34" s="50" t="n"/>
      <c r="Y34" s="50" t="n"/>
      <c r="Z34" s="50" t="n"/>
      <c r="AA34" s="50" t="n"/>
      <c r="AB34" s="50" t="n"/>
      <c r="AC34" s="50" t="n"/>
      <c r="AD34" s="50" t="n"/>
      <c r="AE34" s="50" t="n"/>
      <c r="AF34" s="50" t="n"/>
      <c r="AG34" s="50" t="n"/>
      <c r="AH34" s="50" t="n"/>
      <c r="AI34" s="50" t="n"/>
      <c r="AJ34" s="50" t="n"/>
      <c r="AK34" s="50" t="n"/>
      <c r="AL34" s="50" t="n"/>
      <c r="AM34" s="50" t="n"/>
      <c r="AN34" s="50" t="n"/>
      <c r="AO34" s="50" t="n"/>
      <c r="AP34" s="50" t="n"/>
      <c r="AQ34" s="50" t="n"/>
      <c r="AR34" s="50" t="n"/>
      <c r="AS34" s="50" t="n"/>
      <c r="AT34" s="50" t="n"/>
      <c r="AU34" s="50" t="n"/>
      <c r="AV34" s="50" t="n"/>
      <c r="AW34" s="50" t="n"/>
      <c r="AX34" s="50" t="n"/>
      <c r="AY34" s="50" t="n"/>
      <c r="AZ34" s="50" t="n"/>
      <c r="BA34" s="50" t="n"/>
      <c r="BB34" s="50" t="n"/>
      <c r="BC34" s="50" t="n"/>
      <c r="BD34" s="50" t="n"/>
      <c r="BE34" s="50" t="n"/>
      <c r="BF34" s="50" t="n"/>
      <c r="BG34" s="50" t="n"/>
      <c r="BH34" s="50" t="n"/>
      <c r="BI34" s="50" t="n"/>
      <c r="BJ34" s="50" t="n"/>
      <c r="BK34" s="50" t="n"/>
      <c r="BL34" s="50" t="n"/>
      <c r="BM34" s="50" t="n"/>
      <c r="BN34" s="50" t="n"/>
      <c r="BO34" s="50" t="n"/>
      <c r="BP34" s="50" t="n"/>
      <c r="BQ34" s="50" t="n"/>
      <c r="BR34" s="50" t="n"/>
      <c r="BS34" s="50" t="n"/>
      <c r="BT34" s="50" t="n"/>
      <c r="BU34" s="50" t="n"/>
      <c r="BV34" s="50" t="n"/>
      <c r="BW34" s="50" t="n"/>
      <c r="BX34" s="50" t="n"/>
      <c r="BY34" s="50" t="n"/>
      <c r="BZ34" s="50" t="n"/>
      <c r="CA34" s="50" t="n"/>
      <c r="CB34" s="50" t="n"/>
      <c r="CC34" s="50" t="n"/>
      <c r="CD34" s="50" t="n"/>
      <c r="CE34" s="50" t="n"/>
      <c r="CF34" s="50" t="n"/>
      <c r="CG34" s="50" t="n"/>
      <c r="CH34" s="50" t="n"/>
      <c r="CI34" s="50" t="n"/>
      <c r="CJ34" s="50" t="n"/>
      <c r="CK34" s="50" t="n"/>
      <c r="CL34" s="50" t="n"/>
      <c r="CM34" s="50" t="n"/>
      <c r="CN34" s="50" t="n"/>
      <c r="CO34" s="50" t="n"/>
      <c r="CP34" s="50" t="n"/>
      <c r="CQ34" s="50" t="n"/>
      <c r="CR34" s="50" t="n"/>
      <c r="CS34" s="50" t="n"/>
      <c r="CT34" s="50" t="n"/>
      <c r="CU34" s="50" t="n"/>
      <c r="CV34" s="50" t="n"/>
      <c r="CW34" s="50" t="n"/>
      <c r="CX34" s="50" t="n"/>
      <c r="CY34" s="50" t="n"/>
    </row>
    <row r="35" collapsed="1" customFormat="1" s="32">
      <c r="A35" s="30" t="n"/>
      <c r="B35" s="3" t="n"/>
      <c r="C35" s="33" t="inlineStr">
        <is>
          <t>EBITDA</t>
        </is>
      </c>
      <c r="D35" s="35" t="n"/>
      <c r="E35" s="35" t="n"/>
      <c r="F35" s="35" t="n"/>
      <c r="G35" s="35" t="n"/>
      <c r="H35" s="35" t="n"/>
      <c r="I35" s="35">
        <f>SUM(I15,I20,I24)</f>
        <v>285.53225096</v>
      </c>
      <c r="J35" s="35">
        <f>SUM(J15,J20,J24)</f>
        <v>219.73620255</v>
      </c>
      <c r="K35" s="35">
        <f>SUM(K15,K20,K24)</f>
        <v>288.55310156</v>
      </c>
      <c r="L35" s="35">
        <f>SUM(L15,L20,L24)</f>
        <v>262.16817913</v>
      </c>
      <c r="M35" s="35">
        <f>SUM(I35:L35)</f>
        <v>1055.9897342</v>
      </c>
      <c r="N35" s="35">
        <f>SUM(N15,N20,N24)</f>
        <v>326.579332279</v>
      </c>
      <c r="O35" s="35">
        <f>SUM(O15,O20,O24)</f>
        <v>298.004895658</v>
      </c>
      <c r="P35" s="35">
        <f>SUM(P15,P20,P24)</f>
        <v>332.44466108</v>
      </c>
      <c r="Q35" s="35">
        <f>SUM(Q15,Q20,Q24)</f>
        <v>232.67857335</v>
      </c>
      <c r="R35" s="35">
        <f>SUM(N35:Q35)</f>
        <v>1189.707462367</v>
      </c>
      <c r="S35" s="35">
        <f>SUM(S15,S20,S24)</f>
        <v>345.77897024</v>
      </c>
      <c r="T35" s="35">
        <f>SUM(T15,T20,T24)</f>
        <v>363.578</v>
      </c>
      <c r="U35" s="35">
        <f>SUM(U15,U20,U24)</f>
        <v>505.964435338</v>
      </c>
      <c r="V35" s="35">
        <f>SUM(V15,V20,V24)</f>
        <v>375.83270032</v>
      </c>
      <c r="W35" s="35">
        <f>SUM(S35:V35)</f>
        <v>1591.154105898</v>
      </c>
      <c r="X35" s="35">
        <f>SUM(X15,X20,X24)</f>
        <v>517.1334785</v>
      </c>
      <c r="Y35" s="35">
        <f>SUM(Y15,Y20,Y24)</f>
        <v>522.048</v>
      </c>
      <c r="Z35" s="35">
        <f>SUM(Z15,Z20,Z24)</f>
        <v>537.381474</v>
      </c>
      <c r="AA35" s="35">
        <f>SUM(AA15,AA20,AA24)</f>
        <v>405.3870475</v>
      </c>
      <c r="AB35" s="35">
        <f>SUM(X35:AA35)</f>
        <v>1981.95</v>
      </c>
      <c r="AC35" s="35">
        <f>SUM(AC15,AC20,AC24)</f>
        <v>547.625652</v>
      </c>
      <c r="AD35" s="35">
        <f>SUM(AD15,AD20,AD24)</f>
        <v>532.09</v>
      </c>
      <c r="AE35" s="35">
        <f>SUM(AE15,AE20,AE24)</f>
        <v>599.363905294</v>
      </c>
      <c r="AF35" s="35">
        <f>SUM(AF15,AF20,AF24)</f>
        <v>455.93815631</v>
      </c>
      <c r="AG35" s="35">
        <f>SUM(AC35:AF35)</f>
        <v>2135.017713604</v>
      </c>
      <c r="AH35" s="35">
        <f>SUM(AH15,AH20,AH24)</f>
        <v>605.99617616</v>
      </c>
      <c r="AI35" s="35">
        <f>SUM(AI15,AI20,AI24)</f>
        <v>612.932662</v>
      </c>
      <c r="AJ35" s="35">
        <f>SUM(AJ15,AJ20,AJ24)</f>
        <v>625.98740539565</v>
      </c>
      <c r="AK35" s="35">
        <f>SUM(AK15,AK20,AK24)</f>
        <v>588.735273622975</v>
      </c>
      <c r="AL35" s="35">
        <f>SUM(AH35:AK35)</f>
        <v>2433.65151717863</v>
      </c>
      <c r="AM35" s="35">
        <f>SUM(AM15,AM20,AM24)</f>
        <v>635.169774992356</v>
      </c>
      <c r="AN35" s="35">
        <f>SUM(AN15,AN20,AN24)</f>
        <v>661.894017880464</v>
      </c>
      <c r="AO35" s="35">
        <f>SUM(AO15,AO20,AO24)</f>
        <v>685.003438605015</v>
      </c>
      <c r="AP35" s="35">
        <f>SUM(AP15,AP20,AP24)</f>
        <v>644.239298400754</v>
      </c>
      <c r="AQ35" s="35">
        <f>SUM(AM35:AP35)</f>
        <v>2626.30652987859</v>
      </c>
      <c r="AR35" s="35">
        <f>SUM(AR15,AR20,AR24)</f>
        <v>691.875642924206</v>
      </c>
      <c r="AS35" s="35">
        <f>SUM(AS15,AS20,AS24)</f>
        <v>720.985738300036</v>
      </c>
      <c r="AT35" s="35">
        <f>SUM(AT15,AT20,AT24)</f>
        <v>746.158292081578</v>
      </c>
      <c r="AU35" s="35">
        <f>SUM(AU15,AU20,AU24)</f>
        <v>701.754863545617</v>
      </c>
      <c r="AV35" s="35">
        <f>SUM(AR35:AU35)</f>
        <v>2860.77453685144</v>
      </c>
      <c r="AW35" s="35">
        <f>SUM(AW15,AW20,AW24)</f>
        <v>750.18464597961</v>
      </c>
      <c r="AX35" s="35">
        <f>SUM(AX15,AX20,AX24)</f>
        <v>781.748044427418</v>
      </c>
      <c r="AY35" s="35">
        <f>SUM(AY15,AY20,AY24)</f>
        <v>809.042058229082</v>
      </c>
      <c r="AZ35" s="35">
        <f>SUM(AZ15,AZ20,AZ24)</f>
        <v>760.896454814366</v>
      </c>
      <c r="BA35" s="35">
        <f>SUM(AW35:AZ35)</f>
        <v>3101.87120345048</v>
      </c>
      <c r="BB35" s="35">
        <f>SUM(BB15,BB20,BB24)</f>
        <v>809.656816757856</v>
      </c>
      <c r="BC35" s="35">
        <f>SUM(BC15,BC20,BC24)</f>
        <v>843.722457597441</v>
      </c>
      <c r="BD35" s="35">
        <f>SUM(BD15,BD20,BD24)</f>
        <v>873.180251021542</v>
      </c>
      <c r="BE35" s="35">
        <f>SUM(BE15,BE20,BE24)</f>
        <v>821.217822557357</v>
      </c>
      <c r="BF35" s="35">
        <f>SUM(BB35:BE35)</f>
        <v>3347.7773479342</v>
      </c>
      <c r="BG35" s="35" t="n"/>
      <c r="BH35" s="35" t="n"/>
      <c r="BI35" s="35" t="n"/>
      <c r="BJ35" s="35" t="n"/>
      <c r="BK35" s="35" t="n"/>
      <c r="BL35" s="35" t="n"/>
      <c r="BM35" s="35" t="n"/>
      <c r="BN35" s="35" t="n"/>
      <c r="BO35" s="35" t="n"/>
      <c r="BP35" s="35" t="n"/>
      <c r="BQ35" s="35" t="n"/>
      <c r="BR35" s="35" t="n"/>
      <c r="BS35" s="35" t="n"/>
      <c r="BT35" s="35" t="n"/>
      <c r="BU35" s="35" t="n"/>
      <c r="BV35" s="35" t="n"/>
      <c r="BW35" s="35" t="n"/>
      <c r="BX35" s="35" t="n"/>
      <c r="BY35" s="35" t="n"/>
      <c r="BZ35" s="35" t="n"/>
      <c r="CA35" s="35" t="n"/>
      <c r="CB35" s="35" t="n"/>
      <c r="CC35" s="35" t="n"/>
      <c r="CD35" s="35" t="n"/>
      <c r="CE35" s="35" t="n"/>
      <c r="CF35" s="35" t="n"/>
      <c r="CG35" s="35" t="n"/>
      <c r="CH35" s="35" t="n"/>
      <c r="CI35" s="35" t="n"/>
      <c r="CJ35" s="35" t="n"/>
      <c r="CK35" s="35" t="n"/>
      <c r="CL35" s="35" t="n"/>
      <c r="CM35" s="35" t="n"/>
      <c r="CN35" s="35" t="n"/>
      <c r="CO35" s="35" t="n"/>
      <c r="CP35" s="35" t="n"/>
      <c r="CQ35" s="35" t="n"/>
      <c r="CR35" s="35" t="n"/>
      <c r="CS35" s="35" t="n"/>
      <c r="CT35" s="35" t="n"/>
      <c r="CU35" s="35" t="n"/>
      <c r="CV35" s="35" t="n"/>
      <c r="CW35" s="35" t="n"/>
      <c r="CX35" s="35" t="n"/>
      <c r="CY35" s="35" t="n"/>
    </row>
    <row r="36" ht="13.5" customHeight="1">
      <c r="C36" s="13" t="inlineStr">
        <is>
          <t>D&amp;A</t>
        </is>
      </c>
      <c r="D36" s="46" t="n"/>
      <c r="E36" s="46" t="n"/>
      <c r="F36" s="46" t="n"/>
      <c r="G36" s="46" t="n"/>
      <c r="H36" s="12" t="n"/>
      <c r="I36" s="46">
        <f>'Inputs (2)'!D7</f>
        <v>-86.83643829</v>
      </c>
      <c r="J36" s="46">
        <f>'Inputs (2)'!E7</f>
        <v>-90.88444056</v>
      </c>
      <c r="K36" s="46">
        <f>'Inputs (2)'!F7</f>
        <v>-103.83367925</v>
      </c>
      <c r="L36" s="46">
        <f>'Inputs (2)'!G7</f>
        <v>-107.72515852</v>
      </c>
      <c r="M36" s="12">
        <f>'Inputs (2)'!H7</f>
        <v>-389.27971662</v>
      </c>
      <c r="N36" s="46">
        <f>'Inputs (2)'!I7</f>
        <v>-107.45963589</v>
      </c>
      <c r="O36" s="46">
        <f>'Inputs (2)'!J7</f>
        <v>-113.84256518</v>
      </c>
      <c r="P36" s="46">
        <f>'Inputs (2)'!K7</f>
        <v>-109.7525059</v>
      </c>
      <c r="Q36" s="46">
        <f>'Inputs (2)'!L7</f>
        <v>-124.2846005</v>
      </c>
      <c r="R36" s="12">
        <f>'Inputs (2)'!M7</f>
        <v>-455.33930747</v>
      </c>
      <c r="S36" s="46">
        <f>'Inputs (2)'!N7</f>
        <v>-131.26208815</v>
      </c>
      <c r="T36" s="46">
        <f>'Inputs (2)'!O7</f>
        <v>-166.076</v>
      </c>
      <c r="U36" s="46">
        <f>'Inputs (2)'!P7</f>
        <v>-188.161</v>
      </c>
      <c r="V36" s="46">
        <f>'Inputs (2)'!Q7</f>
        <v>-189.879</v>
      </c>
      <c r="W36" s="12">
        <f>'Inputs (2)'!R7</f>
        <v>-675.37808815</v>
      </c>
      <c r="X36" s="46">
        <f>'Inputs (2)'!S7</f>
        <v>-189.554</v>
      </c>
      <c r="Y36" s="46">
        <f>'Inputs (2)'!T7</f>
        <v>-191.804</v>
      </c>
      <c r="Z36" s="46">
        <f>'Inputs (2)'!U7</f>
        <v>-196.609</v>
      </c>
      <c r="AA36" s="46">
        <f>'Inputs (2)'!V7</f>
        <v>-202.016</v>
      </c>
      <c r="AB36" s="12">
        <f>'Inputs (2)'!W7</f>
        <v>-779.983</v>
      </c>
      <c r="AC36" s="46">
        <f>'Inputs (2)'!X7</f>
        <v>-212.141077</v>
      </c>
      <c r="AD36" s="46">
        <f>'Inputs (2)'!Y7</f>
        <v>-222.403</v>
      </c>
      <c r="AE36" s="46">
        <f>'Inputs (2)'!Z7</f>
        <v>-229.37499664</v>
      </c>
      <c r="AF36" s="46">
        <f>'Inputs (2)'!AA7</f>
        <v>-236.39185589</v>
      </c>
      <c r="AG36" s="12">
        <f>'Inputs (2)'!AB7</f>
        <v>-900.31092953</v>
      </c>
      <c r="AH36" s="12">
        <f>'Inputs (2)'!AC7</f>
        <v>-233.12169578</v>
      </c>
      <c r="AI36" s="12">
        <f>'Inputs (2)'!AD7</f>
        <v>-215.806</v>
      </c>
      <c r="AJ36" s="12">
        <f>-AJ37*AJ15</f>
        <v>-252.763803395322</v>
      </c>
      <c r="AK36" s="12">
        <f>-AK37*AK15</f>
        <v>-237.721982377384</v>
      </c>
      <c r="AL36" s="12">
        <f>SUM(AH36:AK36)</f>
        <v>-939.413481552706</v>
      </c>
      <c r="AM36" s="12">
        <f>-AM37*AM15</f>
        <v>-256.471498859224</v>
      </c>
      <c r="AN36" s="12">
        <f>-AN37*AN15</f>
        <v>-267.262325027666</v>
      </c>
      <c r="AO36" s="12">
        <f>-AO37*AO15</f>
        <v>-276.593543237892</v>
      </c>
      <c r="AP36" s="12">
        <f>-AP37*AP15</f>
        <v>-260.133628818916</v>
      </c>
      <c r="AQ36" s="12">
        <f>SUM(AM36:AP36)</f>
        <v>-1060.4609959437</v>
      </c>
      <c r="AR36" s="12">
        <f>-AR37*AR15</f>
        <v>-279.368430538269</v>
      </c>
      <c r="AS36" s="12">
        <f>-AS37*AS15</f>
        <v>-291.122626167405</v>
      </c>
      <c r="AT36" s="12">
        <f>-AT37*AT15</f>
        <v>-301.286904841629</v>
      </c>
      <c r="AU36" s="12">
        <f>-AU37*AU15</f>
        <v>-283.3575034131</v>
      </c>
      <c r="AV36" s="12">
        <f>SUM(AR36:AU36)</f>
        <v>-1155.1354649604</v>
      </c>
      <c r="AW36" s="12">
        <f>-AW37*AW15</f>
        <v>-302.912682798677</v>
      </c>
      <c r="AX36" s="12">
        <f>-AX37*AX15</f>
        <v>-315.657483366522</v>
      </c>
      <c r="AY36" s="12">
        <f>-AY37*AY15</f>
        <v>-326.678374008998</v>
      </c>
      <c r="AZ36" s="12">
        <f>-AZ37*AZ15</f>
        <v>-307.23794161216</v>
      </c>
      <c r="BA36" s="12">
        <f>SUM(AW36:AZ36)</f>
        <v>-1252.48648178636</v>
      </c>
      <c r="BB36" s="12">
        <f>-BB37*BB15</f>
        <v>-326.926603769794</v>
      </c>
      <c r="BC36" s="12">
        <f>-BC37*BC15</f>
        <v>-340.681770198854</v>
      </c>
      <c r="BD36" s="12">
        <f>-BD37*BD15</f>
        <v>-352.576360794975</v>
      </c>
      <c r="BE36" s="12">
        <f>-BE37*BE15</f>
        <v>-331.594754872787</v>
      </c>
      <c r="BF36" s="12">
        <f>SUM(BB36:BE36)</f>
        <v>-1351.77948963641</v>
      </c>
      <c r="BG36" s="12" t="n"/>
      <c r="BH36" s="12" t="n"/>
      <c r="BI36" s="12" t="n"/>
      <c r="BJ36" s="12" t="n"/>
      <c r="BK36" s="12" t="n"/>
      <c r="BL36" s="12" t="n"/>
      <c r="BM36" s="12" t="n"/>
      <c r="BN36" s="12" t="n"/>
      <c r="BO36" s="12" t="n"/>
      <c r="BP36" s="12" t="n"/>
      <c r="BQ36" s="12" t="n"/>
      <c r="BR36" s="12" t="n"/>
      <c r="BS36" s="12" t="n"/>
      <c r="BT36" s="12" t="n"/>
      <c r="BU36" s="12" t="n"/>
      <c r="BV36" s="12" t="n"/>
      <c r="BW36" s="12" t="n"/>
      <c r="BX36" s="12" t="n"/>
      <c r="BY36" s="12" t="n"/>
      <c r="BZ36" s="12" t="n"/>
      <c r="CA36" s="12" t="n"/>
      <c r="CB36" s="12" t="n"/>
      <c r="CC36" s="12" t="n"/>
      <c r="CD36" s="12" t="n"/>
      <c r="CE36" s="12" t="n"/>
      <c r="CF36" s="12" t="n"/>
      <c r="CG36" s="12" t="n"/>
      <c r="CH36" s="12" t="n"/>
      <c r="CI36" s="12" t="n"/>
      <c r="CJ36" s="12" t="n"/>
      <c r="CK36" s="12" t="n"/>
      <c r="CL36" s="12" t="n"/>
      <c r="CM36" s="12" t="n"/>
      <c r="CN36" s="12" t="n"/>
      <c r="CO36" s="12" t="n"/>
      <c r="CP36" s="12" t="n"/>
      <c r="CQ36" s="12" t="n"/>
      <c r="CR36" s="12" t="n"/>
      <c r="CS36" s="12" t="n"/>
      <c r="CT36" s="12" t="n"/>
      <c r="CU36" s="12" t="n"/>
      <c r="CV36" s="12" t="n"/>
      <c r="CW36" s="12" t="n"/>
      <c r="CX36" s="12" t="n"/>
      <c r="CY36" s="12" t="n"/>
    </row>
    <row r="37" hidden="1" outlineLevel="1" customFormat="1" s="56">
      <c r="A37" s="53" t="n"/>
      <c r="B37" s="53" t="n"/>
      <c r="C37" s="54" t="inlineStr">
        <is>
          <t>% of Revenue</t>
        </is>
      </c>
      <c r="D37" s="53" t="n"/>
      <c r="E37" s="53" t="n"/>
      <c r="F37" s="53" t="n"/>
      <c r="G37" s="53" t="n"/>
      <c r="H37" s="53" t="n"/>
      <c r="I37" s="53">
        <f>IFERROR(-I36/I15,"")</f>
        <v>0.0971533490863133</v>
      </c>
      <c r="J37" s="53">
        <f>IFERROR(-J36/J15,"")</f>
        <v>0.0975085518168043</v>
      </c>
      <c r="K37" s="53">
        <f>IFERROR(-K36/K15,"")</f>
        <v>0.100924052596831</v>
      </c>
      <c r="L37" s="53">
        <f>IFERROR(-L36/L15,"")</f>
        <v>0.105825960635345</v>
      </c>
      <c r="M37" s="53" t="n"/>
      <c r="N37" s="53">
        <f>IFERROR(-N36/N15,"")</f>
        <v>0.0985947302931014</v>
      </c>
      <c r="O37" s="53">
        <f>IFERROR(-O36/O15,"")</f>
        <v>0.102399800986172</v>
      </c>
      <c r="P37" s="53">
        <f>IFERROR(-P36/P15,"")</f>
        <v>0.0957170483613846</v>
      </c>
      <c r="Q37" s="53">
        <f>IFERROR(-Q36/Q15,"")</f>
        <v>0.111491331020166</v>
      </c>
      <c r="R37" s="53" t="n"/>
      <c r="S37" s="53">
        <f>IFERROR(-S36/S15,"")</f>
        <v>0.106128408305342</v>
      </c>
      <c r="T37" s="53">
        <f>IFERROR(-T36/T15,"")</f>
        <v>0.100073454045426</v>
      </c>
      <c r="U37" s="53">
        <f>IFERROR(-U36/U15,"")</f>
        <v>0.100618434315752</v>
      </c>
      <c r="V37" s="53">
        <f>IFERROR(-V36/V15,"")</f>
        <v>0.111402526332744</v>
      </c>
      <c r="W37" s="53" t="n"/>
      <c r="X37" s="53">
        <f>IFERROR(-X36/X15,"")</f>
        <v>0.0995322279074194</v>
      </c>
      <c r="Y37" s="53">
        <f>IFERROR(-Y36/Y15,"")</f>
        <v>0.096958753453894</v>
      </c>
      <c r="Z37" s="53">
        <f>IFERROR(-Z36/Z15,"")</f>
        <v>0.100174177188862</v>
      </c>
      <c r="AA37" s="53">
        <f>IFERROR(-AA36/AA15,"")</f>
        <v>0.109830876442454</v>
      </c>
      <c r="AB37" s="53" t="n"/>
      <c r="AC37" s="53">
        <f>IFERROR(-AC36/AC15,"")</f>
        <v>0.105277065259142</v>
      </c>
      <c r="AD37" s="53">
        <f>IFERROR(-AD36/AD15,"")</f>
        <v>0.109853976200931</v>
      </c>
      <c r="AE37" s="53">
        <f>IFERROR(-AE36/AE15,"")</f>
        <v>0.104690632541451</v>
      </c>
      <c r="AF37" s="55">
        <f>IFERROR(-AF36/AF15,"")</f>
        <v>0.114720174075216</v>
      </c>
      <c r="AG37" s="53" t="n"/>
      <c r="AH37" s="55">
        <f>IFERROR(-AH36/AH15,"")</f>
        <v>0.104862501582763</v>
      </c>
      <c r="AI37" s="55">
        <f>IFERROR(-AI36/AI15,"")</f>
        <v>0.0931541919881505</v>
      </c>
      <c r="AJ37" s="55">
        <f>Control!$B$21</f>
        <v>0.105426423607942</v>
      </c>
      <c r="AK37" s="55">
        <f>Control!$B$21</f>
        <v>0.105426423607942</v>
      </c>
      <c r="AL37" s="53" t="n"/>
      <c r="AM37" s="55">
        <f>Control!$C$21</f>
        <v>0.105426423607942</v>
      </c>
      <c r="AN37" s="55">
        <f>Control!$C$21</f>
        <v>0.105426423607942</v>
      </c>
      <c r="AO37" s="55">
        <f>Control!$C$21</f>
        <v>0.105426423607942</v>
      </c>
      <c r="AP37" s="55">
        <f>Control!$C$21</f>
        <v>0.105426423607942</v>
      </c>
      <c r="AQ37" s="53" t="n"/>
      <c r="AR37" s="55">
        <f>Control!$D$21</f>
        <v>0.105426423607942</v>
      </c>
      <c r="AS37" s="55">
        <f>Control!$D$21</f>
        <v>0.105426423607942</v>
      </c>
      <c r="AT37" s="55">
        <f>Control!$D$21</f>
        <v>0.105426423607942</v>
      </c>
      <c r="AU37" s="55">
        <f>Control!$D$21</f>
        <v>0.105426423607942</v>
      </c>
      <c r="AV37" s="53" t="n"/>
      <c r="AW37" s="55">
        <f>Control!$E$21</f>
        <v>0.105426423607942</v>
      </c>
      <c r="AX37" s="55">
        <f>Control!$E$21</f>
        <v>0.105426423607942</v>
      </c>
      <c r="AY37" s="55">
        <f>Control!$E$21</f>
        <v>0.105426423607942</v>
      </c>
      <c r="AZ37" s="55">
        <f>Control!$E$21</f>
        <v>0.105426423607942</v>
      </c>
      <c r="BA37" s="53" t="n"/>
      <c r="BB37" s="55">
        <f>Control!$F$21</f>
        <v>0.105426423607942</v>
      </c>
      <c r="BC37" s="55">
        <f>Control!$F$21</f>
        <v>0.105426423607942</v>
      </c>
      <c r="BD37" s="55">
        <f>Control!$F$21</f>
        <v>0.105426423607942</v>
      </c>
      <c r="BE37" s="55">
        <f>Control!$F$21</f>
        <v>0.105426423607942</v>
      </c>
      <c r="BF37" s="53" t="n"/>
      <c r="BG37" s="55" t="n"/>
      <c r="BH37" s="55" t="n"/>
      <c r="BI37" s="55" t="n"/>
      <c r="BJ37" s="55" t="n"/>
      <c r="BK37" s="53" t="n"/>
      <c r="BL37" s="55" t="n"/>
      <c r="BM37" s="55" t="n"/>
      <c r="BN37" s="55" t="n"/>
      <c r="BO37" s="55" t="n"/>
      <c r="BP37" s="53" t="n"/>
      <c r="BQ37" s="55" t="n"/>
      <c r="BR37" s="55" t="n"/>
      <c r="BS37" s="55" t="n"/>
      <c r="BT37" s="55" t="n"/>
      <c r="BU37" s="53" t="n"/>
      <c r="BV37" s="55" t="n"/>
      <c r="BW37" s="55" t="n"/>
      <c r="BX37" s="55" t="n"/>
      <c r="BY37" s="55" t="n"/>
      <c r="BZ37" s="53" t="n"/>
      <c r="CA37" s="55" t="n"/>
      <c r="CB37" s="55" t="n"/>
      <c r="CC37" s="55" t="n"/>
      <c r="CD37" s="55" t="n"/>
      <c r="CE37" s="53" t="n"/>
      <c r="CF37" s="55" t="n"/>
      <c r="CG37" s="55" t="n"/>
      <c r="CH37" s="55" t="n"/>
      <c r="CI37" s="55" t="n"/>
      <c r="CJ37" s="53" t="n"/>
      <c r="CK37" s="55" t="n"/>
      <c r="CL37" s="55" t="n"/>
      <c r="CM37" s="55" t="n"/>
      <c r="CN37" s="55" t="n"/>
      <c r="CO37" s="53" t="n"/>
      <c r="CP37" s="55" t="n"/>
      <c r="CQ37" s="55" t="n"/>
      <c r="CR37" s="55" t="n"/>
      <c r="CS37" s="55" t="n"/>
      <c r="CT37" s="53" t="n"/>
      <c r="CU37" s="55" t="n"/>
      <c r="CV37" s="55" t="n"/>
      <c r="CW37" s="55" t="n"/>
      <c r="CX37" s="55" t="n"/>
      <c r="CY37" s="53" t="n"/>
    </row>
    <row r="38" hidden="1" outlineLevel="1">
      <c r="C38" s="50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2" t="n"/>
      <c r="P38" s="12" t="n"/>
      <c r="Q38" s="12" t="n"/>
      <c r="R38" s="12" t="n"/>
      <c r="S38" s="12" t="n"/>
      <c r="T38" s="12" t="n"/>
      <c r="U38" s="12" t="n"/>
      <c r="V38" s="12" t="n"/>
      <c r="W38" s="12" t="n"/>
      <c r="X38" s="12" t="n"/>
      <c r="Y38" s="12" t="n"/>
      <c r="Z38" s="12" t="n"/>
      <c r="AA38" s="12" t="n"/>
      <c r="AB38" s="12" t="n"/>
      <c r="AC38" s="12" t="n"/>
      <c r="AD38" s="12" t="n"/>
      <c r="AE38" s="12" t="n"/>
      <c r="AF38" s="12" t="n"/>
      <c r="AG38" s="12" t="n"/>
      <c r="AH38" s="12" t="n"/>
      <c r="AI38" s="12" t="n"/>
      <c r="AJ38" s="12" t="n"/>
      <c r="AK38" s="12" t="n"/>
      <c r="AL38" s="12" t="n"/>
      <c r="AM38" s="12" t="n"/>
      <c r="AN38" s="12" t="n"/>
      <c r="AO38" s="12" t="n"/>
      <c r="AP38" s="12" t="n"/>
      <c r="AQ38" s="12" t="n"/>
      <c r="AR38" s="12" t="n"/>
      <c r="AS38" s="12" t="n"/>
      <c r="AT38" s="12" t="n"/>
      <c r="AU38" s="12" t="n"/>
      <c r="AV38" s="12" t="n"/>
      <c r="AW38" s="12" t="n"/>
      <c r="AX38" s="12" t="n"/>
      <c r="AY38" s="12" t="n"/>
      <c r="AZ38" s="12" t="n"/>
      <c r="BA38" s="12" t="n"/>
      <c r="BB38" s="12" t="n"/>
      <c r="BC38" s="12" t="n"/>
      <c r="BD38" s="12" t="n"/>
      <c r="BE38" s="12" t="n"/>
      <c r="BF38" s="12" t="n"/>
      <c r="BG38" s="12" t="n"/>
      <c r="BH38" s="12" t="n"/>
      <c r="BI38" s="12" t="n"/>
      <c r="BJ38" s="12" t="n"/>
      <c r="BK38" s="12" t="n"/>
      <c r="BL38" s="12" t="n"/>
      <c r="BM38" s="12" t="n"/>
      <c r="BN38" s="12" t="n"/>
      <c r="BO38" s="12" t="n"/>
      <c r="BP38" s="12" t="n"/>
      <c r="BQ38" s="12" t="n"/>
      <c r="BR38" s="12" t="n"/>
      <c r="BS38" s="12" t="n"/>
      <c r="BT38" s="12" t="n"/>
      <c r="BU38" s="12" t="n"/>
      <c r="BV38" s="12" t="n"/>
      <c r="BW38" s="12" t="n"/>
      <c r="BX38" s="12" t="n"/>
      <c r="BY38" s="12" t="n"/>
      <c r="BZ38" s="12" t="n"/>
      <c r="CA38" s="12" t="n"/>
      <c r="CB38" s="12" t="n"/>
      <c r="CC38" s="12" t="n"/>
      <c r="CD38" s="12" t="n"/>
      <c r="CE38" s="12" t="n"/>
      <c r="CF38" s="12" t="n"/>
      <c r="CG38" s="12" t="n"/>
      <c r="CH38" s="12" t="n"/>
      <c r="CI38" s="12" t="n"/>
      <c r="CJ38" s="12" t="n"/>
      <c r="CK38" s="12" t="n"/>
      <c r="CL38" s="12" t="n"/>
      <c r="CM38" s="12" t="n"/>
      <c r="CN38" s="12" t="n"/>
      <c r="CO38" s="12" t="n"/>
      <c r="CP38" s="12" t="n"/>
      <c r="CQ38" s="12" t="n"/>
      <c r="CR38" s="12" t="n"/>
      <c r="CS38" s="12" t="n"/>
      <c r="CT38" s="12" t="n"/>
      <c r="CU38" s="12" t="n"/>
      <c r="CV38" s="12" t="n"/>
      <c r="CW38" s="12" t="n"/>
      <c r="CX38" s="12" t="n"/>
      <c r="CY38" s="12" t="n"/>
    </row>
    <row r="39" collapsed="1" customFormat="1" s="32">
      <c r="A39" s="30" t="n"/>
      <c r="B39" s="3" t="n"/>
      <c r="C39" s="33" t="inlineStr">
        <is>
          <t>Operating Profit - EBIT</t>
        </is>
      </c>
      <c r="D39" s="35" t="n"/>
      <c r="E39" s="35" t="n"/>
      <c r="F39" s="35" t="n"/>
      <c r="G39" s="35" t="n"/>
      <c r="H39" s="35" t="n"/>
      <c r="I39" s="35">
        <f>SUM(I35,I36)</f>
        <v>198.69581267</v>
      </c>
      <c r="J39" s="35">
        <f>SUM(J35,J36)</f>
        <v>128.85176199</v>
      </c>
      <c r="K39" s="35">
        <f>SUM(K35,K36)</f>
        <v>184.71942231</v>
      </c>
      <c r="L39" s="35">
        <f>SUM(L35,L36)</f>
        <v>154.44302061</v>
      </c>
      <c r="M39" s="35">
        <f>SUM(I39:L39)</f>
        <v>666.71001758</v>
      </c>
      <c r="N39" s="35">
        <f>SUM(N35,N36)</f>
        <v>219.119696389</v>
      </c>
      <c r="O39" s="35">
        <f>SUM(O35,O36)</f>
        <v>184.162330478</v>
      </c>
      <c r="P39" s="35">
        <f>SUM(P35,P36)</f>
        <v>222.69215518</v>
      </c>
      <c r="Q39" s="35">
        <f>SUM(Q35,Q36)</f>
        <v>108.39397285</v>
      </c>
      <c r="R39" s="35">
        <f>SUM(N39:Q39)</f>
        <v>734.368154897</v>
      </c>
      <c r="S39" s="35">
        <f>SUM(S35,S36)</f>
        <v>214.51688209</v>
      </c>
      <c r="T39" s="35">
        <f>SUM(T35,T36)</f>
        <v>197.502</v>
      </c>
      <c r="U39" s="35">
        <f>SUM(U35,U36)</f>
        <v>317.803435338</v>
      </c>
      <c r="V39" s="35">
        <f>SUM(V35,V36)</f>
        <v>185.95370032</v>
      </c>
      <c r="W39" s="35">
        <f>SUM(S39:V39)</f>
        <v>915.776017748</v>
      </c>
      <c r="X39" s="35">
        <f>SUM(X35,X36)</f>
        <v>327.5794785</v>
      </c>
      <c r="Y39" s="35">
        <f>SUM(Y35,Y36)</f>
        <v>330.244</v>
      </c>
      <c r="Z39" s="35">
        <f>SUM(Z35,Z36)</f>
        <v>340.772474</v>
      </c>
      <c r="AA39" s="35">
        <f>SUM(AA35,AA36)</f>
        <v>203.3710475</v>
      </c>
      <c r="AB39" s="35">
        <f>SUM(X39:AA39)</f>
        <v>1201.967</v>
      </c>
      <c r="AC39" s="35">
        <f>SUM(AC35,AC36)</f>
        <v>335.484575</v>
      </c>
      <c r="AD39" s="35">
        <f>SUM(AD35,AD36)</f>
        <v>309.687</v>
      </c>
      <c r="AE39" s="35">
        <f>SUM(AE35,AE36)</f>
        <v>369.988908654</v>
      </c>
      <c r="AF39" s="35">
        <f>SUM(AF35,AF36)</f>
        <v>219.54630042</v>
      </c>
      <c r="AG39" s="35">
        <f>SUM(AC39:AF39)</f>
        <v>1234.706784074</v>
      </c>
      <c r="AH39" s="35">
        <f>SUM(AH35,AH36)</f>
        <v>372.87448038</v>
      </c>
      <c r="AI39" s="35">
        <f>SUM(AI35,AI36)</f>
        <v>397.126662</v>
      </c>
      <c r="AJ39" s="35">
        <f>SUM(AJ35,AJ36)</f>
        <v>373.223602000328</v>
      </c>
      <c r="AK39" s="35">
        <f>SUM(AK35,AK36)</f>
        <v>351.013291245591</v>
      </c>
      <c r="AL39" s="35">
        <f>SUM(AL35,AL36)</f>
        <v>1494.23803562592</v>
      </c>
      <c r="AM39" s="35">
        <f>SUM(AM35,AM36)</f>
        <v>378.698276133132</v>
      </c>
      <c r="AN39" s="35">
        <f>SUM(AN35,AN36)</f>
        <v>394.631692852798</v>
      </c>
      <c r="AO39" s="35">
        <f>SUM(AO35,AO36)</f>
        <v>408.409895367122</v>
      </c>
      <c r="AP39" s="35">
        <f>SUM(AP35,AP36)</f>
        <v>384.105669581838</v>
      </c>
      <c r="AQ39" s="35">
        <f>SUM(AQ35,AQ36)</f>
        <v>1565.84553393489</v>
      </c>
      <c r="AR39" s="35">
        <f>SUM(AR35,AR36)</f>
        <v>412.507212385936</v>
      </c>
      <c r="AS39" s="35">
        <f>SUM(AS35,AS36)</f>
        <v>429.863112132631</v>
      </c>
      <c r="AT39" s="35">
        <f>SUM(AT35,AT36)</f>
        <v>444.871387239949</v>
      </c>
      <c r="AU39" s="35">
        <f>SUM(AU35,AU36)</f>
        <v>418.397360132517</v>
      </c>
      <c r="AV39" s="35">
        <f>SUM(AV35,AV36)</f>
        <v>1705.63907189103</v>
      </c>
      <c r="AW39" s="35">
        <f>SUM(AW35,AW36)</f>
        <v>447.271963180933</v>
      </c>
      <c r="AX39" s="35">
        <f>SUM(AX35,AX36)</f>
        <v>466.090561060896</v>
      </c>
      <c r="AY39" s="35">
        <f>SUM(AY35,AY36)</f>
        <v>482.363684220084</v>
      </c>
      <c r="AZ39" s="35">
        <f>SUM(AZ35,AZ36)</f>
        <v>453.658513202206</v>
      </c>
      <c r="BA39" s="35">
        <f>SUM(BA35,BA36)</f>
        <v>1849.38472166412</v>
      </c>
      <c r="BB39" s="35">
        <f>SUM(BB35,BB36)</f>
        <v>482.730212988062</v>
      </c>
      <c r="BC39" s="35">
        <f>SUM(BC35,BC36)</f>
        <v>503.040687398587</v>
      </c>
      <c r="BD39" s="35">
        <f>SUM(BD35,BD36)</f>
        <v>520.603890226567</v>
      </c>
      <c r="BE39" s="35">
        <f>SUM(BE35,BE36)</f>
        <v>489.62306768457</v>
      </c>
      <c r="BF39" s="35">
        <f>SUM(BF35,BF36)</f>
        <v>1995.99785829779</v>
      </c>
      <c r="BG39" s="35" t="n"/>
      <c r="BH39" s="35" t="n"/>
      <c r="BI39" s="35" t="n"/>
      <c r="BJ39" s="35" t="n"/>
      <c r="BK39" s="35" t="n"/>
      <c r="BL39" s="35" t="n"/>
      <c r="BM39" s="35" t="n"/>
      <c r="BN39" s="35" t="n"/>
      <c r="BO39" s="35" t="n"/>
      <c r="BP39" s="35" t="n"/>
      <c r="BQ39" s="35" t="n"/>
      <c r="BR39" s="35" t="n"/>
      <c r="BS39" s="35" t="n"/>
      <c r="BT39" s="35" t="n"/>
      <c r="BU39" s="35" t="n"/>
      <c r="BV39" s="35" t="n"/>
      <c r="BW39" s="35" t="n"/>
      <c r="BX39" s="35" t="n"/>
      <c r="BY39" s="35" t="n"/>
      <c r="BZ39" s="35" t="n"/>
      <c r="CA39" s="35" t="n"/>
      <c r="CB39" s="35" t="n"/>
      <c r="CC39" s="35" t="n"/>
      <c r="CD39" s="35" t="n"/>
      <c r="CE39" s="35" t="n"/>
      <c r="CF39" s="35" t="n"/>
      <c r="CG39" s="35" t="n"/>
      <c r="CH39" s="35" t="n"/>
      <c r="CI39" s="35" t="n"/>
      <c r="CJ39" s="35" t="n"/>
      <c r="CK39" s="35" t="n"/>
      <c r="CL39" s="35" t="n"/>
      <c r="CM39" s="35" t="n"/>
      <c r="CN39" s="35" t="n"/>
      <c r="CO39" s="35" t="n"/>
      <c r="CP39" s="35" t="n"/>
      <c r="CQ39" s="35" t="n"/>
      <c r="CR39" s="35" t="n"/>
      <c r="CS39" s="35" t="n"/>
      <c r="CT39" s="35" t="n"/>
      <c r="CU39" s="35" t="n"/>
      <c r="CV39" s="35" t="n"/>
      <c r="CW39" s="35" t="n"/>
      <c r="CX39" s="35" t="n"/>
      <c r="CY39" s="35" t="n"/>
    </row>
    <row r="40">
      <c r="C40" s="14" t="inlineStr">
        <is>
          <t>Interest Expense</t>
        </is>
      </c>
      <c r="D40" s="46" t="n"/>
      <c r="E40" s="46" t="n"/>
      <c r="F40" s="46" t="n"/>
      <c r="G40" s="46" t="n"/>
      <c r="H40" s="12" t="n"/>
      <c r="I40" s="46">
        <f>'Inputs (2)'!D8</f>
        <v>-37.42879707</v>
      </c>
      <c r="J40" s="46">
        <f>'Inputs (2)'!E8</f>
        <v>-43.00856677</v>
      </c>
      <c r="K40" s="46">
        <f>'Inputs (2)'!F8</f>
        <v>-65.28109683</v>
      </c>
      <c r="L40" s="46">
        <f>'Inputs (2)'!G8</f>
        <v>-74.31202259</v>
      </c>
      <c r="M40" s="12">
        <f>'Inputs (2)'!H8</f>
        <v>-220.03048326</v>
      </c>
      <c r="N40" s="46">
        <f>'Inputs (2)'!I8</f>
        <v>-85.80839103</v>
      </c>
      <c r="O40" s="46">
        <f>'Inputs (2)'!J8</f>
        <v>-107.82061116</v>
      </c>
      <c r="P40" s="46">
        <f>'Inputs (2)'!K8</f>
        <v>-128.3653378</v>
      </c>
      <c r="Q40" s="46">
        <f>'Inputs (2)'!L8</f>
        <v>-121.0444737</v>
      </c>
      <c r="R40" s="12">
        <f>'Inputs (2)'!M8</f>
        <v>-443.03881369</v>
      </c>
      <c r="S40" s="46">
        <f>'Inputs (2)'!N8</f>
        <v>-134.54669035</v>
      </c>
      <c r="T40" s="46">
        <f>'Inputs (2)'!O8</f>
        <v>-158.388627</v>
      </c>
      <c r="U40" s="46">
        <f>'Inputs (2)'!P8</f>
        <v>-163.758</v>
      </c>
      <c r="V40" s="46">
        <f>'Inputs (2)'!Q8</f>
        <v>-148.22368265</v>
      </c>
      <c r="W40" s="12">
        <f>'Inputs (2)'!R8</f>
        <v>-604.917</v>
      </c>
      <c r="X40" s="46">
        <f>'Inputs (2)'!S8</f>
        <v>-146.74136103</v>
      </c>
      <c r="Y40" s="46">
        <f>'Inputs (2)'!T8</f>
        <v>-140.543</v>
      </c>
      <c r="Z40" s="46">
        <f>'Inputs (2)'!U8</f>
        <v>-158.257</v>
      </c>
      <c r="AA40" s="46">
        <f>'Inputs (2)'!V8</f>
        <v>-171.25363897</v>
      </c>
      <c r="AB40" s="12">
        <f>'Inputs (2)'!W8</f>
        <v>-616.795</v>
      </c>
      <c r="AC40" s="46">
        <f>'Inputs (2)'!X8</f>
        <v>-182.470204</v>
      </c>
      <c r="AD40" s="46">
        <f>'Inputs (2)'!Y8</f>
        <v>-198.558</v>
      </c>
      <c r="AE40" s="46">
        <f>'Inputs (2)'!Z8</f>
        <v>-220.2903303</v>
      </c>
      <c r="AF40" s="46">
        <f>'Inputs (2)'!AA8</f>
        <v>-202.05934008</v>
      </c>
      <c r="AG40" s="12">
        <f>'Inputs (2)'!AB8</f>
        <v>-803.37787438</v>
      </c>
      <c r="AH40" s="12">
        <f>'Inputs (2)'!AC8</f>
        <v>-195.87519551</v>
      </c>
      <c r="AI40" s="12">
        <f>'Inputs (2)'!AD8</f>
        <v>-190.784577</v>
      </c>
      <c r="AJ40" s="12" t="str">
        <f>IF(Control!$E$9="","",-AI58*Control!$E$9/4)</f>
        <v/>
      </c>
      <c r="AK40" s="12" t="str">
        <f>IF(Control!$E$9="","",-AJ58*Control!$E$9/4)</f>
        <v/>
      </c>
      <c r="AL40" s="12">
        <f>SUM(AH40:AK40)</f>
        <v>-386.65977251</v>
      </c>
      <c r="AM40" s="12" t="str">
        <f>IF(Control!$E$9="","",-AL58*Control!$E$9/4)</f>
        <v/>
      </c>
      <c r="AN40" s="12" t="str">
        <f>IF(Control!$E$9="","",-AM58*Control!$E$9/4)</f>
        <v/>
      </c>
      <c r="AO40" s="12" t="str">
        <f>IF(Control!$E$9="","",-AN58*Control!$E$9/4)</f>
        <v/>
      </c>
      <c r="AP40" s="12" t="str">
        <f>IF(Control!$E$9="","",-AO58*Control!$E$9/4)</f>
        <v/>
      </c>
      <c r="AQ40" s="12">
        <f>SUM(AM40:AP40)</f>
        <v>0</v>
      </c>
      <c r="AR40" s="12" t="str">
        <f>IF(Control!$E$9="","",-AQ58*Control!$E$9/4)</f>
        <v/>
      </c>
      <c r="AS40" s="12" t="str">
        <f>IF(Control!$E$9="","",-AR58*Control!$E$9/4)</f>
        <v/>
      </c>
      <c r="AT40" s="12" t="str">
        <f>IF(Control!$E$9="","",-AS58*Control!$E$9/4)</f>
        <v/>
      </c>
      <c r="AU40" s="12" t="str">
        <f>IF(Control!$E$9="","",-AT58*Control!$E$9/4)</f>
        <v/>
      </c>
      <c r="AV40" s="12">
        <f>SUM(AR40:AU40)</f>
        <v>0</v>
      </c>
      <c r="AW40" s="12" t="str">
        <f>IF(Control!$E$9="","",-AV58*Control!$E$9/4)</f>
        <v/>
      </c>
      <c r="AX40" s="12" t="str">
        <f>IF(Control!$E$9="","",-AW58*Control!$E$9/4)</f>
        <v/>
      </c>
      <c r="AY40" s="12" t="str">
        <f>IF(Control!$E$9="","",-AX58*Control!$E$9/4)</f>
        <v/>
      </c>
      <c r="AZ40" s="12" t="str">
        <f>IF(Control!$E$9="","",-AY58*Control!$E$9/4)</f>
        <v/>
      </c>
      <c r="BA40" s="12">
        <f>SUM(AW40:AZ40)</f>
        <v>0</v>
      </c>
      <c r="BB40" s="12" t="str">
        <f>IF(Control!$E$9="","",-BA58*Control!$E$9/4)</f>
        <v/>
      </c>
      <c r="BC40" s="12" t="str">
        <f>IF(Control!$E$9="","",-BB58*Control!$E$9/4)</f>
        <v/>
      </c>
      <c r="BD40" s="12" t="str">
        <f>IF(Control!$E$9="","",-BC58*Control!$E$9/4)</f>
        <v/>
      </c>
      <c r="BE40" s="12" t="str">
        <f>IF(Control!$E$9="","",-BD58*Control!$E$9/4)</f>
        <v/>
      </c>
      <c r="BF40" s="12">
        <f>SUM(BB40:BE40)</f>
        <v>0</v>
      </c>
      <c r="BG40" s="12" t="n"/>
      <c r="BH40" s="12" t="n"/>
      <c r="BI40" s="12" t="n"/>
      <c r="BJ40" s="12" t="n"/>
      <c r="BK40" s="12" t="n"/>
      <c r="BL40" s="12" t="n"/>
      <c r="BM40" s="12" t="n"/>
      <c r="BN40" s="12" t="n"/>
      <c r="BO40" s="12" t="n"/>
      <c r="BP40" s="12" t="n"/>
      <c r="BQ40" s="12" t="n"/>
      <c r="BR40" s="12" t="n"/>
      <c r="BS40" s="12" t="n"/>
      <c r="BT40" s="12" t="n"/>
      <c r="BU40" s="12" t="n"/>
      <c r="BV40" s="12" t="n"/>
      <c r="BW40" s="12" t="n"/>
      <c r="BX40" s="12" t="n"/>
      <c r="BY40" s="12" t="n"/>
      <c r="BZ40" s="12" t="n"/>
      <c r="CA40" s="12" t="n"/>
      <c r="CB40" s="12" t="n"/>
      <c r="CC40" s="12" t="n"/>
      <c r="CD40" s="12" t="n"/>
      <c r="CE40" s="12" t="n"/>
      <c r="CF40" s="12" t="n"/>
      <c r="CG40" s="12" t="n"/>
      <c r="CH40" s="12" t="n"/>
      <c r="CI40" s="12" t="n"/>
      <c r="CJ40" s="12" t="n"/>
      <c r="CK40" s="12" t="n"/>
      <c r="CL40" s="12" t="n"/>
      <c r="CM40" s="12" t="n"/>
      <c r="CN40" s="12" t="n"/>
      <c r="CO40" s="12" t="n"/>
      <c r="CP40" s="12" t="n"/>
      <c r="CQ40" s="12" t="n"/>
      <c r="CR40" s="12" t="n"/>
      <c r="CS40" s="12" t="n"/>
      <c r="CT40" s="12" t="n"/>
      <c r="CU40" s="12" t="n"/>
      <c r="CV40" s="12" t="n"/>
      <c r="CW40" s="12" t="n"/>
      <c r="CX40" s="12" t="n"/>
      <c r="CY40" s="12" t="n"/>
    </row>
    <row r="41" hidden="1" outlineLevel="1">
      <c r="C41" s="50" t="inlineStr">
        <is>
          <t>% of Debt</t>
        </is>
      </c>
      <c r="D41" s="53" t="n"/>
      <c r="E41" s="53" t="n"/>
      <c r="F41" s="53" t="n"/>
      <c r="G41" s="53" t="n"/>
      <c r="H41" s="12" t="n"/>
      <c r="I41" s="53">
        <f>IFERROR(-I40/SUM(I178+I183),"")</f>
        <v>0.0187194800901534</v>
      </c>
      <c r="J41" s="53">
        <f>IFERROR(-J40/SUM(J178+J183),"")</f>
        <v>0.0233757642978306</v>
      </c>
      <c r="K41" s="53">
        <f>IFERROR(-K40/SUM(K178+K183),"")</f>
        <v>0.0263771550208474</v>
      </c>
      <c r="L41" s="53">
        <f>IFERROR(-L40/SUM(L178+L183),"")</f>
        <v>0.0326962318087136</v>
      </c>
      <c r="M41" s="12" t="n"/>
      <c r="N41" s="53">
        <f>IFERROR(-N40/SUM(N178+N183),"")</f>
        <v>0.0406648508436728</v>
      </c>
      <c r="O41" s="53">
        <f>IFERROR(-O40/SUM(O178+O183),"")</f>
        <v>0.0372325153808363</v>
      </c>
      <c r="P41" s="53">
        <f>IFERROR(-P40/SUM(P178+P183),"")</f>
        <v>0.0437765792469676</v>
      </c>
      <c r="Q41" s="53">
        <f>IFERROR(-Q40/SUM(Q178+Q183),"")</f>
        <v>0.0420804847251437</v>
      </c>
      <c r="R41" s="12" t="n"/>
      <c r="S41" s="53">
        <f>IFERROR(-S40/SUM(S178+S183),"")</f>
        <v>0.0470502345273137</v>
      </c>
      <c r="T41" s="53">
        <f>IFERROR(-T40/SUM(T178+T183),"")</f>
        <v>0.0493095933970212</v>
      </c>
      <c r="U41" s="53">
        <f>IFERROR(-U40/SUM(U178+U183),"")</f>
        <v>0.0530607854103091</v>
      </c>
      <c r="V41" s="53">
        <f>IFERROR(-V40/SUM(V178+V183),"")</f>
        <v>0.0462152521665005</v>
      </c>
      <c r="W41" s="12" t="n"/>
      <c r="X41" s="53">
        <f>IFERROR(-X40/SUM(X178+X183),"")</f>
        <v>0.0453977607083148</v>
      </c>
      <c r="Y41" s="53">
        <f>IFERROR(-Y40/SUM(Y178+Y183),"")</f>
        <v>0.0339396161094545</v>
      </c>
      <c r="Z41" s="53">
        <f>IFERROR(-Z40/SUM(Z178+Z183),"")</f>
        <v>0.037591361376555</v>
      </c>
      <c r="AA41" s="53">
        <f>IFERROR(-AA40/SUM(AA178+AA183),"")</f>
        <v>0.0384886862455483</v>
      </c>
      <c r="AB41" s="12" t="n"/>
      <c r="AC41" s="53">
        <f>IFERROR(-AC40/SUM(AC178+AC183),"")</f>
        <v>0.0399718402894979</v>
      </c>
      <c r="AD41" s="53">
        <f>IFERROR(-AD40/SUM(AD178+AD183),"")</f>
        <v>0.0440185315982905</v>
      </c>
      <c r="AE41" s="53">
        <f>IFERROR(-AE40/SUM(AE178+AE183),"")</f>
        <v>0.0472652292871906</v>
      </c>
      <c r="AF41" s="55">
        <f>IFERROR(-AF40/SUM(AF178+AF183),"")</f>
        <v>0.0453267469013574</v>
      </c>
      <c r="AG41" s="12" t="n"/>
      <c r="AH41" s="11">
        <f>IFERROR(-AH40/SUM(AH178+AH183),"")</f>
        <v>0.0431111377081163</v>
      </c>
      <c r="AI41" s="11">
        <f>IFERROR(-AI40/SUM(AI178+AI183),"")</f>
        <v>0.0427754394870299</v>
      </c>
      <c r="AJ41" s="11" t="str">
        <f>IFERROR(Control!$E$9,0)</f>
        <v/>
      </c>
      <c r="AK41" s="11" t="str">
        <f>IFERROR(Control!$E$9,0)</f>
        <v/>
      </c>
      <c r="AL41" s="12" t="n"/>
      <c r="AM41" s="11" t="str">
        <f>IFERROR(Control!$E$9,0)</f>
        <v/>
      </c>
      <c r="AN41" s="11" t="str">
        <f>IFERROR(Control!$E$9,0)</f>
        <v/>
      </c>
      <c r="AO41" s="11" t="str">
        <f>IFERROR(Control!$E$9,0)</f>
        <v/>
      </c>
      <c r="AP41" s="11" t="str">
        <f>IFERROR(Control!$E$9,0)</f>
        <v/>
      </c>
      <c r="AQ41" s="12" t="n"/>
      <c r="AR41" s="11" t="str">
        <f>IFERROR(Control!$E$9,0)</f>
        <v/>
      </c>
      <c r="AS41" s="11" t="str">
        <f>IFERROR(Control!$E$9,0)</f>
        <v/>
      </c>
      <c r="AT41" s="11" t="str">
        <f>IFERROR(Control!$E$9,0)</f>
        <v/>
      </c>
      <c r="AU41" s="11" t="str">
        <f>IFERROR(Control!$E$9,0)</f>
        <v/>
      </c>
      <c r="AV41" s="12" t="n"/>
      <c r="AW41" s="11" t="str">
        <f>IFERROR(Control!$E$9,0)</f>
        <v/>
      </c>
      <c r="AX41" s="11" t="str">
        <f>IFERROR(Control!$E$9,0)</f>
        <v/>
      </c>
      <c r="AY41" s="11" t="str">
        <f>IFERROR(Control!$E$9,0)</f>
        <v/>
      </c>
      <c r="AZ41" s="11" t="str">
        <f>IFERROR(Control!$E$9,0)</f>
        <v/>
      </c>
      <c r="BA41" s="12" t="n"/>
      <c r="BB41" s="11" t="str">
        <f>IFERROR(Control!$E$9,0)</f>
        <v/>
      </c>
      <c r="BC41" s="11" t="str">
        <f>IFERROR(Control!$E$9,0)</f>
        <v/>
      </c>
      <c r="BD41" s="11" t="str">
        <f>IFERROR(Control!$E$9,0)</f>
        <v/>
      </c>
      <c r="BE41" s="11" t="str">
        <f>IFERROR(Control!$E$9,0)</f>
        <v/>
      </c>
      <c r="BF41" s="12" t="n"/>
      <c r="BG41" s="11" t="n"/>
      <c r="BH41" s="11" t="n"/>
      <c r="BI41" s="11" t="n"/>
      <c r="BJ41" s="11" t="n"/>
      <c r="BK41" s="12" t="n"/>
      <c r="BL41" s="11" t="n"/>
      <c r="BM41" s="11" t="n"/>
      <c r="BN41" s="11" t="n"/>
      <c r="BO41" s="11" t="n"/>
      <c r="BP41" s="12" t="n"/>
      <c r="BQ41" s="11" t="n"/>
      <c r="BR41" s="11" t="n"/>
      <c r="BS41" s="11" t="n"/>
      <c r="BT41" s="11" t="n"/>
      <c r="BU41" s="12" t="n"/>
      <c r="BV41" s="11" t="n"/>
      <c r="BW41" s="11" t="n"/>
      <c r="BX41" s="11" t="n"/>
      <c r="BY41" s="11" t="n"/>
      <c r="BZ41" s="12" t="n"/>
      <c r="CA41" s="11" t="n"/>
      <c r="CB41" s="11" t="n"/>
      <c r="CC41" s="11" t="n"/>
      <c r="CD41" s="11" t="n"/>
      <c r="CE41" s="12" t="n"/>
      <c r="CF41" s="11" t="n"/>
      <c r="CG41" s="11" t="n"/>
      <c r="CH41" s="11" t="n"/>
      <c r="CI41" s="11" t="n"/>
      <c r="CJ41" s="12" t="n"/>
      <c r="CK41" s="11" t="n"/>
      <c r="CL41" s="11" t="n"/>
      <c r="CM41" s="11" t="n"/>
      <c r="CN41" s="11" t="n"/>
      <c r="CO41" s="12" t="n"/>
      <c r="CP41" s="11" t="n"/>
      <c r="CQ41" s="11" t="n"/>
      <c r="CR41" s="11" t="n"/>
      <c r="CS41" s="11" t="n"/>
      <c r="CT41" s="12" t="n"/>
      <c r="CU41" s="11" t="n"/>
      <c r="CV41" s="11" t="n"/>
      <c r="CW41" s="11" t="n"/>
      <c r="CX41" s="11" t="n"/>
      <c r="CY41" s="12" t="n"/>
    </row>
    <row r="42" hidden="1" outlineLevel="1">
      <c r="C42" s="50" t="inlineStr">
        <is>
          <t>%CDI</t>
        </is>
      </c>
      <c r="D42" s="11" t="n"/>
      <c r="E42" s="11" t="n"/>
      <c r="F42" s="11" t="n"/>
      <c r="G42" s="11" t="n"/>
      <c r="H42" s="12" t="n"/>
      <c r="I42" s="11" t="n"/>
      <c r="J42" s="11" t="n"/>
      <c r="K42" s="11" t="n"/>
      <c r="L42" s="11" t="n"/>
      <c r="M42" s="12" t="n"/>
      <c r="N42" s="11" t="n"/>
      <c r="O42" s="11" t="n"/>
      <c r="P42" s="11" t="n"/>
      <c r="Q42" s="11" t="n"/>
      <c r="R42" s="12" t="n"/>
      <c r="S42" s="11" t="n"/>
      <c r="T42" s="11" t="n"/>
      <c r="U42" s="11" t="n"/>
      <c r="V42" s="11" t="n"/>
      <c r="W42" s="12" t="n"/>
      <c r="X42" s="11" t="n"/>
      <c r="Y42" s="11" t="n"/>
      <c r="Z42" s="11" t="n"/>
      <c r="AA42" s="11" t="n"/>
      <c r="AB42" s="12" t="n"/>
      <c r="AC42" s="11" t="n"/>
      <c r="AD42" s="11" t="n"/>
      <c r="AE42" s="11" t="n"/>
      <c r="AF42" s="11" t="n"/>
      <c r="AG42" s="12" t="n"/>
      <c r="AH42" s="11" t="n"/>
      <c r="AI42" s="11" t="n"/>
      <c r="AJ42" s="11" t="n"/>
      <c r="AK42" s="11" t="n"/>
      <c r="AL42" s="12" t="n"/>
      <c r="AM42" s="11" t="n"/>
      <c r="AN42" s="11" t="n"/>
      <c r="AO42" s="11" t="n"/>
      <c r="AP42" s="11" t="n"/>
      <c r="AQ42" s="12" t="n"/>
      <c r="AR42" s="11" t="n"/>
      <c r="AS42" s="11" t="n"/>
      <c r="AT42" s="11" t="n"/>
      <c r="AU42" s="11" t="n"/>
      <c r="AV42" s="12" t="n"/>
      <c r="AW42" s="11" t="n"/>
      <c r="AX42" s="11" t="n"/>
      <c r="AY42" s="11" t="n"/>
      <c r="AZ42" s="11" t="n"/>
      <c r="BA42" s="12" t="n"/>
      <c r="BB42" s="11" t="n"/>
      <c r="BC42" s="11" t="n"/>
      <c r="BD42" s="11" t="n"/>
      <c r="BE42" s="11" t="n"/>
      <c r="BF42" s="12" t="n"/>
      <c r="BG42" s="11" t="n"/>
      <c r="BH42" s="11" t="n"/>
      <c r="BI42" s="11" t="n"/>
      <c r="BJ42" s="11" t="n"/>
      <c r="BK42" s="12" t="n"/>
      <c r="BL42" s="11" t="n"/>
      <c r="BM42" s="11" t="n"/>
      <c r="BN42" s="11" t="n"/>
      <c r="BO42" s="11" t="n"/>
      <c r="BP42" s="12" t="n"/>
      <c r="BQ42" s="11" t="n"/>
      <c r="BR42" s="11" t="n"/>
      <c r="BS42" s="11" t="n"/>
      <c r="BT42" s="11" t="n"/>
      <c r="BU42" s="12" t="n"/>
      <c r="BV42" s="11" t="n"/>
      <c r="BW42" s="11" t="n"/>
      <c r="BX42" s="11" t="n"/>
      <c r="BY42" s="11" t="n"/>
      <c r="BZ42" s="12" t="n"/>
      <c r="CA42" s="11" t="n"/>
      <c r="CB42" s="11" t="n"/>
      <c r="CC42" s="11" t="n"/>
      <c r="CD42" s="11" t="n"/>
      <c r="CE42" s="12" t="n"/>
      <c r="CF42" s="11" t="n"/>
      <c r="CG42" s="11" t="n"/>
      <c r="CH42" s="11" t="n"/>
      <c r="CI42" s="11" t="n"/>
      <c r="CJ42" s="12" t="n"/>
      <c r="CK42" s="11" t="n"/>
      <c r="CL42" s="11" t="n"/>
      <c r="CM42" s="11" t="n"/>
      <c r="CN42" s="11" t="n"/>
      <c r="CO42" s="12" t="n"/>
      <c r="CP42" s="11" t="n"/>
      <c r="CQ42" s="11" t="n"/>
      <c r="CR42" s="11" t="n"/>
      <c r="CS42" s="11" t="n"/>
      <c r="CT42" s="12" t="n"/>
      <c r="CU42" s="11" t="n"/>
      <c r="CV42" s="11" t="n"/>
      <c r="CW42" s="11" t="n"/>
      <c r="CX42" s="11" t="n"/>
      <c r="CY42" s="12" t="n"/>
    </row>
    <row r="43" hidden="1" outlineLevel="1">
      <c r="C43" s="57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2" t="n"/>
      <c r="N43" s="12" t="n"/>
      <c r="O43" s="12" t="n"/>
      <c r="P43" s="12" t="n"/>
      <c r="Q43" s="12" t="n"/>
      <c r="R43" s="12" t="n"/>
      <c r="S43" s="12" t="n"/>
      <c r="T43" s="12" t="n"/>
      <c r="U43" s="12" t="n"/>
      <c r="V43" s="12" t="n"/>
      <c r="W43" s="12" t="n"/>
      <c r="X43" s="12" t="n"/>
      <c r="Y43" s="12" t="n"/>
      <c r="Z43" s="12" t="n"/>
      <c r="AA43" s="12" t="n"/>
      <c r="AB43" s="12" t="n"/>
      <c r="AC43" s="12" t="n"/>
      <c r="AD43" s="12" t="n"/>
      <c r="AE43" s="12" t="n"/>
      <c r="AF43" s="12" t="n"/>
      <c r="AG43" s="12" t="n"/>
      <c r="AH43" s="12" t="n"/>
      <c r="AI43" s="12" t="n"/>
      <c r="AJ43" s="12" t="n"/>
      <c r="AK43" s="12" t="n"/>
      <c r="AL43" s="12" t="n"/>
      <c r="AM43" s="12" t="n"/>
      <c r="AN43" s="12" t="n"/>
      <c r="AO43" s="12" t="n"/>
      <c r="AP43" s="12" t="n"/>
      <c r="AQ43" s="12" t="n"/>
      <c r="AR43" s="12" t="n"/>
      <c r="AS43" s="12" t="n"/>
      <c r="AT43" s="12" t="n"/>
      <c r="AU43" s="12" t="n"/>
      <c r="AV43" s="12" t="n"/>
      <c r="AW43" s="12" t="n"/>
      <c r="AX43" s="12" t="n"/>
      <c r="AY43" s="12" t="n"/>
      <c r="AZ43" s="12" t="n"/>
      <c r="BA43" s="12" t="n"/>
      <c r="BB43" s="12" t="n"/>
      <c r="BC43" s="12" t="n"/>
      <c r="BD43" s="12" t="n"/>
      <c r="BE43" s="12" t="n"/>
      <c r="BF43" s="12" t="n"/>
      <c r="BG43" s="12" t="n"/>
      <c r="BH43" s="12" t="n"/>
      <c r="BI43" s="12" t="n"/>
      <c r="BJ43" s="12" t="n"/>
      <c r="BK43" s="12" t="n"/>
      <c r="BL43" s="12" t="n"/>
      <c r="BM43" s="12" t="n"/>
      <c r="BN43" s="12" t="n"/>
      <c r="BO43" s="12" t="n"/>
      <c r="BP43" s="12" t="n"/>
      <c r="BQ43" s="12" t="n"/>
      <c r="BR43" s="12" t="n"/>
      <c r="BS43" s="12" t="n"/>
      <c r="BT43" s="12" t="n"/>
      <c r="BU43" s="12" t="n"/>
      <c r="BV43" s="12" t="n"/>
      <c r="BW43" s="12" t="n"/>
      <c r="BX43" s="12" t="n"/>
      <c r="BY43" s="12" t="n"/>
      <c r="BZ43" s="12" t="n"/>
      <c r="CA43" s="12" t="n"/>
      <c r="CB43" s="12" t="n"/>
      <c r="CC43" s="12" t="n"/>
      <c r="CD43" s="12" t="n"/>
      <c r="CE43" s="12" t="n"/>
      <c r="CF43" s="12" t="n"/>
      <c r="CG43" s="12" t="n"/>
      <c r="CH43" s="12" t="n"/>
      <c r="CI43" s="12" t="n"/>
      <c r="CJ43" s="12" t="n"/>
      <c r="CK43" s="12" t="n"/>
      <c r="CL43" s="12" t="n"/>
      <c r="CM43" s="12" t="n"/>
      <c r="CN43" s="12" t="n"/>
      <c r="CO43" s="12" t="n"/>
      <c r="CP43" s="12" t="n"/>
      <c r="CQ43" s="12" t="n"/>
      <c r="CR43" s="12" t="n"/>
      <c r="CS43" s="12" t="n"/>
      <c r="CT43" s="12" t="n"/>
      <c r="CU43" s="12" t="n"/>
      <c r="CV43" s="12" t="n"/>
      <c r="CW43" s="12" t="n"/>
      <c r="CX43" s="12" t="n"/>
      <c r="CY43" s="12" t="n"/>
    </row>
    <row r="44" hidden="1" outlineLevel="1">
      <c r="C44" s="57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12" t="n"/>
      <c r="O44" s="12" t="n"/>
      <c r="P44" s="12" t="n"/>
      <c r="Q44" s="12" t="n"/>
      <c r="R44" s="12" t="n"/>
      <c r="S44" s="12" t="n"/>
      <c r="T44" s="12" t="n"/>
      <c r="U44" s="12" t="n"/>
      <c r="V44" s="12" t="n"/>
      <c r="W44" s="12" t="n"/>
      <c r="X44" s="12" t="n"/>
      <c r="Y44" s="12" t="n"/>
      <c r="Z44" s="12" t="n"/>
      <c r="AA44" s="12" t="n"/>
      <c r="AB44" s="12" t="n"/>
      <c r="AC44" s="12" t="n"/>
      <c r="AD44" s="12" t="n"/>
      <c r="AE44" s="12" t="n"/>
      <c r="AF44" s="12" t="n"/>
      <c r="AG44" s="12" t="n"/>
      <c r="AH44" s="12" t="n"/>
      <c r="AI44" s="12" t="n"/>
      <c r="AJ44" s="12" t="n"/>
      <c r="AK44" s="12" t="n"/>
      <c r="AL44" s="12" t="n"/>
      <c r="AM44" s="12" t="n"/>
      <c r="AN44" s="12" t="n"/>
      <c r="AO44" s="12" t="n"/>
      <c r="AP44" s="12" t="n"/>
      <c r="AQ44" s="12" t="n"/>
      <c r="AR44" s="12" t="n"/>
      <c r="AS44" s="12" t="n"/>
      <c r="AT44" s="12" t="n"/>
      <c r="AU44" s="12" t="n"/>
      <c r="AV44" s="12" t="n"/>
      <c r="AW44" s="12" t="n"/>
      <c r="AX44" s="12" t="n"/>
      <c r="AY44" s="12" t="n"/>
      <c r="AZ44" s="12" t="n"/>
      <c r="BA44" s="12" t="n"/>
      <c r="BB44" s="12" t="n"/>
      <c r="BC44" s="12" t="n"/>
      <c r="BD44" s="12" t="n"/>
      <c r="BE44" s="12" t="n"/>
      <c r="BF44" s="12" t="n"/>
      <c r="BG44" s="12" t="n"/>
      <c r="BH44" s="12" t="n"/>
      <c r="BI44" s="12" t="n"/>
      <c r="BJ44" s="12" t="n"/>
      <c r="BK44" s="12" t="n"/>
      <c r="BL44" s="12" t="n"/>
      <c r="BM44" s="12" t="n"/>
      <c r="BN44" s="12" t="n"/>
      <c r="BO44" s="12" t="n"/>
      <c r="BP44" s="12" t="n"/>
      <c r="BQ44" s="12" t="n"/>
      <c r="BR44" s="12" t="n"/>
      <c r="BS44" s="12" t="n"/>
      <c r="BT44" s="12" t="n"/>
      <c r="BU44" s="12" t="n"/>
      <c r="BV44" s="12" t="n"/>
      <c r="BW44" s="12" t="n"/>
      <c r="BX44" s="12" t="n"/>
      <c r="BY44" s="12" t="n"/>
      <c r="BZ44" s="12" t="n"/>
      <c r="CA44" s="12" t="n"/>
      <c r="CB44" s="12" t="n"/>
      <c r="CC44" s="12" t="n"/>
      <c r="CD44" s="12" t="n"/>
      <c r="CE44" s="12" t="n"/>
      <c r="CF44" s="12" t="n"/>
      <c r="CG44" s="12" t="n"/>
      <c r="CH44" s="12" t="n"/>
      <c r="CI44" s="12" t="n"/>
      <c r="CJ44" s="12" t="n"/>
      <c r="CK44" s="12" t="n"/>
      <c r="CL44" s="12" t="n"/>
      <c r="CM44" s="12" t="n"/>
      <c r="CN44" s="12" t="n"/>
      <c r="CO44" s="12" t="n"/>
      <c r="CP44" s="12" t="n"/>
      <c r="CQ44" s="12" t="n"/>
      <c r="CR44" s="12" t="n"/>
      <c r="CS44" s="12" t="n"/>
      <c r="CT44" s="12" t="n"/>
      <c r="CU44" s="12" t="n"/>
      <c r="CV44" s="12" t="n"/>
      <c r="CW44" s="12" t="n"/>
      <c r="CX44" s="12" t="n"/>
      <c r="CY44" s="12" t="n"/>
    </row>
    <row r="45" hidden="1" outlineLevel="1">
      <c r="C45" s="57" t="inlineStr">
        <is>
          <t>RECEITA FINANCEIRA</t>
        </is>
      </c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 t="n"/>
      <c r="M45" s="12" t="n"/>
      <c r="N45" s="12" t="n"/>
      <c r="O45" s="12" t="n"/>
      <c r="P45" s="12" t="n"/>
      <c r="Q45" s="12" t="n"/>
      <c r="R45" s="12" t="n"/>
      <c r="S45" s="12" t="n"/>
      <c r="T45" s="12" t="n"/>
      <c r="U45" s="12" t="n"/>
      <c r="V45" s="12" t="n"/>
      <c r="W45" s="12" t="n"/>
      <c r="X45" s="12" t="n"/>
      <c r="Y45" s="12" t="n"/>
      <c r="Z45" s="12" t="n"/>
      <c r="AA45" s="12" t="n"/>
      <c r="AB45" s="12" t="n"/>
      <c r="AC45" s="12" t="n"/>
      <c r="AD45" s="12" t="n"/>
      <c r="AE45" s="12" t="n"/>
      <c r="AF45" s="12" t="n"/>
      <c r="AG45" s="12" t="n"/>
      <c r="AH45" s="12" t="n"/>
      <c r="AI45" s="12" t="n"/>
      <c r="AJ45" s="12" t="n"/>
      <c r="AK45" s="12" t="n"/>
      <c r="AL45" s="12" t="n"/>
      <c r="AM45" s="12" t="n"/>
      <c r="AN45" s="12" t="n"/>
      <c r="AO45" s="12" t="n"/>
      <c r="AP45" s="12" t="n"/>
      <c r="AQ45" s="12" t="n"/>
      <c r="AR45" s="12" t="n"/>
      <c r="AS45" s="12" t="n"/>
      <c r="AT45" s="12" t="n"/>
      <c r="AU45" s="12" t="n"/>
      <c r="AV45" s="12" t="n"/>
      <c r="AW45" s="12" t="n"/>
      <c r="AX45" s="12" t="n"/>
      <c r="AY45" s="12" t="n"/>
      <c r="AZ45" s="12" t="n"/>
      <c r="BA45" s="12" t="n"/>
      <c r="BB45" s="12" t="n"/>
      <c r="BC45" s="12" t="n"/>
      <c r="BD45" s="12" t="n"/>
      <c r="BE45" s="12" t="n"/>
      <c r="BF45" s="12" t="n"/>
      <c r="BG45" s="12" t="n"/>
      <c r="BH45" s="12" t="n"/>
      <c r="BI45" s="12" t="n"/>
      <c r="BJ45" s="12" t="n"/>
      <c r="BK45" s="12" t="n"/>
      <c r="BL45" s="12" t="n"/>
      <c r="BM45" s="12" t="n"/>
      <c r="BN45" s="12" t="n"/>
      <c r="BO45" s="12" t="n"/>
      <c r="BP45" s="12" t="n"/>
      <c r="BQ45" s="12" t="n"/>
      <c r="BR45" s="12" t="n"/>
      <c r="BS45" s="12" t="n"/>
      <c r="BT45" s="12" t="n"/>
      <c r="BU45" s="12" t="n"/>
      <c r="BV45" s="12" t="n"/>
      <c r="BW45" s="12" t="n"/>
      <c r="BX45" s="12" t="n"/>
      <c r="BY45" s="12" t="n"/>
      <c r="BZ45" s="12" t="n"/>
      <c r="CA45" s="12" t="n"/>
      <c r="CB45" s="12" t="n"/>
      <c r="CC45" s="12" t="n"/>
      <c r="CD45" s="12" t="n"/>
      <c r="CE45" s="12" t="n"/>
      <c r="CF45" s="12" t="n"/>
      <c r="CG45" s="12" t="n"/>
      <c r="CH45" s="12" t="n"/>
      <c r="CI45" s="12" t="n"/>
      <c r="CJ45" s="12" t="n"/>
      <c r="CK45" s="12" t="n"/>
      <c r="CL45" s="12" t="n"/>
      <c r="CM45" s="12" t="n"/>
      <c r="CN45" s="12" t="n"/>
      <c r="CO45" s="12" t="n"/>
      <c r="CP45" s="12" t="n"/>
      <c r="CQ45" s="12" t="n"/>
      <c r="CR45" s="12" t="n"/>
      <c r="CS45" s="12" t="n"/>
      <c r="CT45" s="12" t="n"/>
      <c r="CU45" s="12" t="n"/>
      <c r="CV45" s="12" t="n"/>
      <c r="CW45" s="12" t="n"/>
      <c r="CX45" s="12" t="n"/>
      <c r="CY45" s="12" t="n"/>
    </row>
    <row r="46" hidden="1" outlineLevel="1">
      <c r="C46" s="57" t="inlineStr">
        <is>
          <t>DESPESA FINANCEIRA</t>
        </is>
      </c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12" t="n"/>
      <c r="O46" s="12" t="n"/>
      <c r="P46" s="12" t="n"/>
      <c r="Q46" s="12" t="n"/>
      <c r="R46" s="12" t="n"/>
      <c r="S46" s="12" t="n"/>
      <c r="T46" s="12" t="n"/>
      <c r="U46" s="12" t="n"/>
      <c r="V46" s="12" t="n"/>
      <c r="W46" s="12" t="n"/>
      <c r="X46" s="12" t="n"/>
      <c r="Y46" s="12" t="n"/>
      <c r="Z46" s="12" t="n"/>
      <c r="AA46" s="12" t="n"/>
      <c r="AB46" s="12" t="n"/>
      <c r="AC46" s="12" t="n"/>
      <c r="AD46" s="12" t="n"/>
      <c r="AE46" s="12" t="n"/>
      <c r="AF46" s="12" t="n"/>
      <c r="AG46" s="12" t="n"/>
      <c r="AH46" s="12" t="n"/>
      <c r="AI46" s="12" t="n"/>
      <c r="AJ46" s="12" t="n"/>
      <c r="AK46" s="12" t="n"/>
      <c r="AL46" s="12" t="n"/>
      <c r="AM46" s="12" t="n"/>
      <c r="AN46" s="12" t="n"/>
      <c r="AO46" s="12" t="n"/>
      <c r="AP46" s="12" t="n"/>
      <c r="AQ46" s="12" t="n"/>
      <c r="AR46" s="12" t="n"/>
      <c r="AS46" s="12" t="n"/>
      <c r="AT46" s="12" t="n"/>
      <c r="AU46" s="12" t="n"/>
      <c r="AV46" s="12" t="n"/>
      <c r="AW46" s="12" t="n"/>
      <c r="AX46" s="12" t="n"/>
      <c r="AY46" s="12" t="n"/>
      <c r="AZ46" s="12" t="n"/>
      <c r="BA46" s="12" t="n"/>
      <c r="BB46" s="12" t="n"/>
      <c r="BC46" s="12" t="n"/>
      <c r="BD46" s="12" t="n"/>
      <c r="BE46" s="12" t="n"/>
      <c r="BF46" s="12" t="n"/>
      <c r="BG46" s="12" t="n"/>
      <c r="BH46" s="12" t="n"/>
      <c r="BI46" s="12" t="n"/>
      <c r="BJ46" s="12" t="n"/>
      <c r="BK46" s="12" t="n"/>
      <c r="BL46" s="12" t="n"/>
      <c r="BM46" s="12" t="n"/>
      <c r="BN46" s="12" t="n"/>
      <c r="BO46" s="12" t="n"/>
      <c r="BP46" s="12" t="n"/>
      <c r="BQ46" s="12" t="n"/>
      <c r="BR46" s="12" t="n"/>
      <c r="BS46" s="12" t="n"/>
      <c r="BT46" s="12" t="n"/>
      <c r="BU46" s="12" t="n"/>
      <c r="BV46" s="12" t="n"/>
      <c r="BW46" s="12" t="n"/>
      <c r="BX46" s="12" t="n"/>
      <c r="BY46" s="12" t="n"/>
      <c r="BZ46" s="12" t="n"/>
      <c r="CA46" s="12" t="n"/>
      <c r="CB46" s="12" t="n"/>
      <c r="CC46" s="12" t="n"/>
      <c r="CD46" s="12" t="n"/>
      <c r="CE46" s="12" t="n"/>
      <c r="CF46" s="12" t="n"/>
      <c r="CG46" s="12" t="n"/>
      <c r="CH46" s="12" t="n"/>
      <c r="CI46" s="12" t="n"/>
      <c r="CJ46" s="12" t="n"/>
      <c r="CK46" s="12" t="n"/>
      <c r="CL46" s="12" t="n"/>
      <c r="CM46" s="12" t="n"/>
      <c r="CN46" s="12" t="n"/>
      <c r="CO46" s="12" t="n"/>
      <c r="CP46" s="12" t="n"/>
      <c r="CQ46" s="12" t="n"/>
      <c r="CR46" s="12" t="n"/>
      <c r="CS46" s="12" t="n"/>
      <c r="CT46" s="12" t="n"/>
      <c r="CU46" s="12" t="n"/>
      <c r="CV46" s="12" t="n"/>
      <c r="CW46" s="12" t="n"/>
      <c r="CX46" s="12" t="n"/>
      <c r="CY46" s="12" t="n"/>
    </row>
    <row r="47" hidden="1" outlineLevel="1">
      <c r="C47" s="57" t="inlineStr">
        <is>
          <t>OUTROS</t>
        </is>
      </c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12" t="n"/>
      <c r="O47" s="12" t="n"/>
      <c r="P47" s="12" t="n"/>
      <c r="Q47" s="12" t="n"/>
      <c r="R47" s="12" t="n"/>
      <c r="S47" s="12" t="n"/>
      <c r="T47" s="12" t="n"/>
      <c r="U47" s="12" t="n"/>
      <c r="V47" s="12" t="n"/>
      <c r="W47" s="12" t="n"/>
      <c r="X47" s="12" t="n"/>
      <c r="Y47" s="12" t="n"/>
      <c r="Z47" s="12" t="n"/>
      <c r="AA47" s="12" t="n"/>
      <c r="AB47" s="12" t="n"/>
      <c r="AC47" s="12" t="n"/>
      <c r="AD47" s="12" t="n"/>
      <c r="AE47" s="12" t="n"/>
      <c r="AF47" s="12" t="n"/>
      <c r="AG47" s="12" t="n"/>
      <c r="AH47" s="12" t="n"/>
      <c r="AI47" s="12" t="n"/>
      <c r="AJ47" s="12" t="n"/>
      <c r="AK47" s="12" t="n"/>
      <c r="AL47" s="12" t="n"/>
      <c r="AM47" s="12" t="n"/>
      <c r="AN47" s="12" t="n"/>
      <c r="AO47" s="12" t="n"/>
      <c r="AP47" s="12" t="n"/>
      <c r="AQ47" s="12" t="n"/>
      <c r="AR47" s="12" t="n"/>
      <c r="AS47" s="12" t="n"/>
      <c r="AT47" s="12" t="n"/>
      <c r="AU47" s="12" t="n"/>
      <c r="AV47" s="12" t="n"/>
      <c r="AW47" s="12" t="n"/>
      <c r="AX47" s="12" t="n"/>
      <c r="AY47" s="12" t="n"/>
      <c r="AZ47" s="12" t="n"/>
      <c r="BA47" s="12" t="n"/>
      <c r="BB47" s="12" t="n"/>
      <c r="BC47" s="12" t="n"/>
      <c r="BD47" s="12" t="n"/>
      <c r="BE47" s="12" t="n"/>
      <c r="BF47" s="12" t="n"/>
      <c r="BG47" s="12" t="n"/>
      <c r="BH47" s="12" t="n"/>
      <c r="BI47" s="12" t="n"/>
      <c r="BJ47" s="12" t="n"/>
      <c r="BK47" s="12" t="n"/>
      <c r="BL47" s="12" t="n"/>
      <c r="BM47" s="12" t="n"/>
      <c r="BN47" s="12" t="n"/>
      <c r="BO47" s="12" t="n"/>
      <c r="BP47" s="12" t="n"/>
      <c r="BQ47" s="12" t="n"/>
      <c r="BR47" s="12" t="n"/>
      <c r="BS47" s="12" t="n"/>
      <c r="BT47" s="12" t="n"/>
      <c r="BU47" s="12" t="n"/>
      <c r="BV47" s="12" t="n"/>
      <c r="BW47" s="12" t="n"/>
      <c r="BX47" s="12" t="n"/>
      <c r="BY47" s="12" t="n"/>
      <c r="BZ47" s="12" t="n"/>
      <c r="CA47" s="12" t="n"/>
      <c r="CB47" s="12" t="n"/>
      <c r="CC47" s="12" t="n"/>
      <c r="CD47" s="12" t="n"/>
      <c r="CE47" s="12" t="n"/>
      <c r="CF47" s="12" t="n"/>
      <c r="CG47" s="12" t="n"/>
      <c r="CH47" s="12" t="n"/>
      <c r="CI47" s="12" t="n"/>
      <c r="CJ47" s="12" t="n"/>
      <c r="CK47" s="12" t="n"/>
      <c r="CL47" s="12" t="n"/>
      <c r="CM47" s="12" t="n"/>
      <c r="CN47" s="12" t="n"/>
      <c r="CO47" s="12" t="n"/>
      <c r="CP47" s="12" t="n"/>
      <c r="CQ47" s="12" t="n"/>
      <c r="CR47" s="12" t="n"/>
      <c r="CS47" s="12" t="n"/>
      <c r="CT47" s="12" t="n"/>
      <c r="CU47" s="12" t="n"/>
      <c r="CV47" s="12" t="n"/>
      <c r="CW47" s="12" t="n"/>
      <c r="CX47" s="12" t="n"/>
      <c r="CY47" s="12" t="n"/>
    </row>
    <row r="48" hidden="1" outlineLevel="1">
      <c r="C48" s="57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  <c r="V48" s="12" t="n"/>
      <c r="W48" s="12" t="n"/>
      <c r="X48" s="12" t="n"/>
      <c r="Y48" s="12" t="n"/>
      <c r="Z48" s="12" t="n"/>
      <c r="AA48" s="12" t="n"/>
      <c r="AB48" s="12" t="n"/>
      <c r="AC48" s="12" t="n"/>
      <c r="AD48" s="12" t="n"/>
      <c r="AE48" s="12" t="n"/>
      <c r="AF48" s="12" t="n"/>
      <c r="AG48" s="12" t="n"/>
      <c r="AH48" s="12" t="n"/>
      <c r="AI48" s="12" t="n"/>
      <c r="AJ48" s="12" t="n"/>
      <c r="AK48" s="12" t="n"/>
      <c r="AL48" s="12" t="n"/>
      <c r="AM48" s="12" t="n"/>
      <c r="AN48" s="12" t="n"/>
      <c r="AO48" s="12" t="n"/>
      <c r="AP48" s="12" t="n"/>
      <c r="AQ48" s="12" t="n"/>
      <c r="AR48" s="12" t="n"/>
      <c r="AS48" s="12" t="n"/>
      <c r="AT48" s="12" t="n"/>
      <c r="AU48" s="12" t="n"/>
      <c r="AV48" s="12" t="n"/>
      <c r="AW48" s="12" t="n"/>
      <c r="AX48" s="12" t="n"/>
      <c r="AY48" s="12" t="n"/>
      <c r="AZ48" s="12" t="n"/>
      <c r="BA48" s="12" t="n"/>
      <c r="BB48" s="12" t="n"/>
      <c r="BC48" s="12" t="n"/>
      <c r="BD48" s="12" t="n"/>
      <c r="BE48" s="12" t="n"/>
      <c r="BF48" s="12" t="n"/>
      <c r="BG48" s="12" t="n"/>
      <c r="BH48" s="12" t="n"/>
      <c r="BI48" s="12" t="n"/>
      <c r="BJ48" s="12" t="n"/>
      <c r="BK48" s="12" t="n"/>
      <c r="BL48" s="12" t="n"/>
      <c r="BM48" s="12" t="n"/>
      <c r="BN48" s="12" t="n"/>
      <c r="BO48" s="12" t="n"/>
      <c r="BP48" s="12" t="n"/>
      <c r="BQ48" s="12" t="n"/>
      <c r="BR48" s="12" t="n"/>
      <c r="BS48" s="12" t="n"/>
      <c r="BT48" s="12" t="n"/>
      <c r="BU48" s="12" t="n"/>
      <c r="BV48" s="12" t="n"/>
      <c r="BW48" s="12" t="n"/>
      <c r="BX48" s="12" t="n"/>
      <c r="BY48" s="12" t="n"/>
      <c r="BZ48" s="12" t="n"/>
      <c r="CA48" s="12" t="n"/>
      <c r="CB48" s="12" t="n"/>
      <c r="CC48" s="12" t="n"/>
      <c r="CD48" s="12" t="n"/>
      <c r="CE48" s="12" t="n"/>
      <c r="CF48" s="12" t="n"/>
      <c r="CG48" s="12" t="n"/>
      <c r="CH48" s="12" t="n"/>
      <c r="CI48" s="12" t="n"/>
      <c r="CJ48" s="12" t="n"/>
      <c r="CK48" s="12" t="n"/>
      <c r="CL48" s="12" t="n"/>
      <c r="CM48" s="12" t="n"/>
      <c r="CN48" s="12" t="n"/>
      <c r="CO48" s="12" t="n"/>
      <c r="CP48" s="12" t="n"/>
      <c r="CQ48" s="12" t="n"/>
      <c r="CR48" s="12" t="n"/>
      <c r="CS48" s="12" t="n"/>
      <c r="CT48" s="12" t="n"/>
      <c r="CU48" s="12" t="n"/>
      <c r="CV48" s="12" t="n"/>
      <c r="CW48" s="12" t="n"/>
      <c r="CX48" s="12" t="n"/>
      <c r="CY48" s="12" t="n"/>
    </row>
    <row r="49" hidden="1" outlineLevel="1">
      <c r="C49" s="57" t="inlineStr">
        <is>
          <t>Cash and equivalents (inc. investment securities)</t>
        </is>
      </c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2" t="n"/>
      <c r="P49" s="12" t="n"/>
      <c r="Q49" s="12" t="n"/>
      <c r="R49" s="12" t="n"/>
      <c r="S49" s="12" t="n"/>
      <c r="T49" s="12" t="n"/>
      <c r="U49" s="12" t="n"/>
      <c r="V49" s="12" t="n"/>
      <c r="W49" s="12" t="n"/>
      <c r="X49" s="12" t="n"/>
      <c r="Y49" s="12" t="n"/>
      <c r="Z49" s="12" t="n"/>
      <c r="AA49" s="12" t="n"/>
      <c r="AB49" s="12" t="n"/>
      <c r="AC49" s="12" t="n"/>
      <c r="AD49" s="12" t="n"/>
      <c r="AE49" s="12" t="n"/>
      <c r="AF49" s="12" t="n"/>
      <c r="AG49" s="12" t="n"/>
      <c r="AH49" s="12" t="n"/>
      <c r="AI49" s="12" t="n"/>
      <c r="AJ49" s="12" t="n"/>
      <c r="AK49" s="12" t="n"/>
      <c r="AL49" s="12" t="n"/>
      <c r="AM49" s="12" t="n"/>
      <c r="AN49" s="12" t="n"/>
      <c r="AO49" s="12" t="n"/>
      <c r="AP49" s="12" t="n"/>
      <c r="AQ49" s="12" t="n"/>
      <c r="AR49" s="12" t="n"/>
      <c r="AS49" s="12" t="n"/>
      <c r="AT49" s="12" t="n"/>
      <c r="AU49" s="12" t="n"/>
      <c r="AV49" s="12" t="n"/>
      <c r="AW49" s="12" t="n"/>
      <c r="AX49" s="12" t="n"/>
      <c r="AY49" s="12" t="n"/>
      <c r="AZ49" s="12" t="n"/>
      <c r="BA49" s="12" t="n"/>
      <c r="BB49" s="12" t="n"/>
      <c r="BC49" s="12" t="n"/>
      <c r="BD49" s="12" t="n"/>
      <c r="BE49" s="12" t="n"/>
      <c r="BF49" s="12" t="n"/>
      <c r="BG49" s="12" t="n"/>
      <c r="BH49" s="12" t="n"/>
      <c r="BI49" s="12" t="n"/>
      <c r="BJ49" s="12" t="n"/>
      <c r="BK49" s="12" t="n"/>
      <c r="BL49" s="12" t="n"/>
      <c r="BM49" s="12" t="n"/>
      <c r="BN49" s="12" t="n"/>
      <c r="BO49" s="12" t="n"/>
      <c r="BP49" s="12" t="n"/>
      <c r="BQ49" s="12" t="n"/>
      <c r="BR49" s="12" t="n"/>
      <c r="BS49" s="12" t="n"/>
      <c r="BT49" s="12" t="n"/>
      <c r="BU49" s="12" t="n"/>
      <c r="BV49" s="12" t="n"/>
      <c r="BW49" s="12" t="n"/>
      <c r="BX49" s="12" t="n"/>
      <c r="BY49" s="12" t="n"/>
      <c r="BZ49" s="12" t="n"/>
      <c r="CA49" s="12" t="n"/>
      <c r="CB49" s="12" t="n"/>
      <c r="CC49" s="12" t="n"/>
      <c r="CD49" s="12" t="n"/>
      <c r="CE49" s="12" t="n"/>
      <c r="CF49" s="12" t="n"/>
      <c r="CG49" s="12" t="n"/>
      <c r="CH49" s="12" t="n"/>
      <c r="CI49" s="12" t="n"/>
      <c r="CJ49" s="12" t="n"/>
      <c r="CK49" s="12" t="n"/>
      <c r="CL49" s="12" t="n"/>
      <c r="CM49" s="12" t="n"/>
      <c r="CN49" s="12" t="n"/>
      <c r="CO49" s="12" t="n"/>
      <c r="CP49" s="12" t="n"/>
      <c r="CQ49" s="12" t="n"/>
      <c r="CR49" s="12" t="n"/>
      <c r="CS49" s="12" t="n"/>
      <c r="CT49" s="12" t="n"/>
      <c r="CU49" s="12" t="n"/>
      <c r="CV49" s="12" t="n"/>
      <c r="CW49" s="12" t="n"/>
      <c r="CX49" s="12" t="n"/>
      <c r="CY49" s="12" t="n"/>
    </row>
    <row r="50" hidden="1" outlineLevel="1">
      <c r="C50" s="57" t="inlineStr">
        <is>
          <t>Interest on cash</t>
        </is>
      </c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2" t="n"/>
      <c r="P50" s="12" t="n"/>
      <c r="Q50" s="12" t="n"/>
      <c r="R50" s="12" t="n"/>
      <c r="S50" s="12" t="n"/>
      <c r="T50" s="12" t="n"/>
      <c r="U50" s="12" t="n"/>
      <c r="V50" s="12" t="n"/>
      <c r="W50" s="12" t="n"/>
      <c r="X50" s="12" t="n"/>
      <c r="Y50" s="12" t="n"/>
      <c r="Z50" s="12" t="n"/>
      <c r="AA50" s="12" t="n"/>
      <c r="AB50" s="12" t="n"/>
      <c r="AC50" s="12" t="n"/>
      <c r="AD50" s="12" t="n"/>
      <c r="AE50" s="12" t="n"/>
      <c r="AF50" s="12" t="n"/>
      <c r="AG50" s="12" t="n"/>
      <c r="AH50" s="12" t="n"/>
      <c r="AI50" s="12" t="n"/>
      <c r="AJ50" s="12" t="n"/>
      <c r="AK50" s="12" t="n"/>
      <c r="AL50" s="12" t="n"/>
      <c r="AM50" s="12" t="n"/>
      <c r="AN50" s="12" t="n"/>
      <c r="AO50" s="12" t="n"/>
      <c r="AP50" s="12" t="n"/>
      <c r="AQ50" s="12" t="n"/>
      <c r="AR50" s="12" t="n"/>
      <c r="AS50" s="12" t="n"/>
      <c r="AT50" s="12" t="n"/>
      <c r="AU50" s="12" t="n"/>
      <c r="AV50" s="12" t="n"/>
      <c r="AW50" s="12" t="n"/>
      <c r="AX50" s="12" t="n"/>
      <c r="AY50" s="12" t="n"/>
      <c r="AZ50" s="12" t="n"/>
      <c r="BA50" s="12" t="n"/>
      <c r="BB50" s="12" t="n"/>
      <c r="BC50" s="12" t="n"/>
      <c r="BD50" s="12" t="n"/>
      <c r="BE50" s="12" t="n"/>
      <c r="BF50" s="12" t="n"/>
      <c r="BG50" s="12" t="n"/>
      <c r="BH50" s="12" t="n"/>
      <c r="BI50" s="12" t="n"/>
      <c r="BJ50" s="12" t="n"/>
      <c r="BK50" s="12" t="n"/>
      <c r="BL50" s="12" t="n"/>
      <c r="BM50" s="12" t="n"/>
      <c r="BN50" s="12" t="n"/>
      <c r="BO50" s="12" t="n"/>
      <c r="BP50" s="12" t="n"/>
      <c r="BQ50" s="12" t="n"/>
      <c r="BR50" s="12" t="n"/>
      <c r="BS50" s="12" t="n"/>
      <c r="BT50" s="12" t="n"/>
      <c r="BU50" s="12" t="n"/>
      <c r="BV50" s="12" t="n"/>
      <c r="BW50" s="12" t="n"/>
      <c r="BX50" s="12" t="n"/>
      <c r="BY50" s="12" t="n"/>
      <c r="BZ50" s="12" t="n"/>
      <c r="CA50" s="12" t="n"/>
      <c r="CB50" s="12" t="n"/>
      <c r="CC50" s="12" t="n"/>
      <c r="CD50" s="12" t="n"/>
      <c r="CE50" s="12" t="n"/>
      <c r="CF50" s="12" t="n"/>
      <c r="CG50" s="12" t="n"/>
      <c r="CH50" s="12" t="n"/>
      <c r="CI50" s="12" t="n"/>
      <c r="CJ50" s="12" t="n"/>
      <c r="CK50" s="12" t="n"/>
      <c r="CL50" s="12" t="n"/>
      <c r="CM50" s="12" t="n"/>
      <c r="CN50" s="12" t="n"/>
      <c r="CO50" s="12" t="n"/>
      <c r="CP50" s="12" t="n"/>
      <c r="CQ50" s="12" t="n"/>
      <c r="CR50" s="12" t="n"/>
      <c r="CS50" s="12" t="n"/>
      <c r="CT50" s="12" t="n"/>
      <c r="CU50" s="12" t="n"/>
      <c r="CV50" s="12" t="n"/>
      <c r="CW50" s="12" t="n"/>
      <c r="CX50" s="12" t="n"/>
      <c r="CY50" s="12" t="n"/>
    </row>
    <row r="51" hidden="1" outlineLevel="1">
      <c r="C51" s="57" t="inlineStr">
        <is>
          <t>Average interest rate</t>
        </is>
      </c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  <c r="M51" s="12" t="n"/>
      <c r="N51" s="12" t="n"/>
      <c r="O51" s="12" t="n"/>
      <c r="P51" s="12" t="n"/>
      <c r="Q51" s="12" t="n"/>
      <c r="R51" s="12" t="n"/>
      <c r="S51" s="12" t="n"/>
      <c r="T51" s="12" t="n"/>
      <c r="U51" s="12" t="n"/>
      <c r="V51" s="12" t="n"/>
      <c r="W51" s="12" t="n"/>
      <c r="X51" s="12" t="n"/>
      <c r="Y51" s="12" t="n"/>
      <c r="Z51" s="12" t="n"/>
      <c r="AA51" s="12" t="n"/>
      <c r="AB51" s="12" t="n"/>
      <c r="AC51" s="12" t="n"/>
      <c r="AD51" s="12" t="n"/>
      <c r="AE51" s="12" t="n"/>
      <c r="AF51" s="12" t="n"/>
      <c r="AG51" s="12" t="n"/>
      <c r="AH51" s="12" t="n"/>
      <c r="AI51" s="12" t="n"/>
      <c r="AJ51" s="12" t="n"/>
      <c r="AK51" s="12" t="n"/>
      <c r="AL51" s="12" t="n"/>
      <c r="AM51" s="12" t="n"/>
      <c r="AN51" s="12" t="n"/>
      <c r="AO51" s="12" t="n"/>
      <c r="AP51" s="12" t="n"/>
      <c r="AQ51" s="12" t="n"/>
      <c r="AR51" s="12" t="n"/>
      <c r="AS51" s="12" t="n"/>
      <c r="AT51" s="12" t="n"/>
      <c r="AU51" s="12" t="n"/>
      <c r="AV51" s="12" t="n"/>
      <c r="AW51" s="12" t="n"/>
      <c r="AX51" s="12" t="n"/>
      <c r="AY51" s="12" t="n"/>
      <c r="AZ51" s="12" t="n"/>
      <c r="BA51" s="12" t="n"/>
      <c r="BB51" s="12" t="n"/>
      <c r="BC51" s="12" t="n"/>
      <c r="BD51" s="12" t="n"/>
      <c r="BE51" s="12" t="n"/>
      <c r="BF51" s="12" t="n"/>
      <c r="BG51" s="12" t="n"/>
      <c r="BH51" s="12" t="n"/>
      <c r="BI51" s="12" t="n"/>
      <c r="BJ51" s="12" t="n"/>
      <c r="BK51" s="12" t="n"/>
      <c r="BL51" s="12" t="n"/>
      <c r="BM51" s="12" t="n"/>
      <c r="BN51" s="12" t="n"/>
      <c r="BO51" s="12" t="n"/>
      <c r="BP51" s="12" t="n"/>
      <c r="BQ51" s="12" t="n"/>
      <c r="BR51" s="12" t="n"/>
      <c r="BS51" s="12" t="n"/>
      <c r="BT51" s="12" t="n"/>
      <c r="BU51" s="12" t="n"/>
      <c r="BV51" s="12" t="n"/>
      <c r="BW51" s="12" t="n"/>
      <c r="BX51" s="12" t="n"/>
      <c r="BY51" s="12" t="n"/>
      <c r="BZ51" s="12" t="n"/>
      <c r="CA51" s="12" t="n"/>
      <c r="CB51" s="12" t="n"/>
      <c r="CC51" s="12" t="n"/>
      <c r="CD51" s="12" t="n"/>
      <c r="CE51" s="12" t="n"/>
      <c r="CF51" s="12" t="n"/>
      <c r="CG51" s="12" t="n"/>
      <c r="CH51" s="12" t="n"/>
      <c r="CI51" s="12" t="n"/>
      <c r="CJ51" s="12" t="n"/>
      <c r="CK51" s="12" t="n"/>
      <c r="CL51" s="12" t="n"/>
      <c r="CM51" s="12" t="n"/>
      <c r="CN51" s="12" t="n"/>
      <c r="CO51" s="12" t="n"/>
      <c r="CP51" s="12" t="n"/>
      <c r="CQ51" s="12" t="n"/>
      <c r="CR51" s="12" t="n"/>
      <c r="CS51" s="12" t="n"/>
      <c r="CT51" s="12" t="n"/>
      <c r="CU51" s="12" t="n"/>
      <c r="CV51" s="12" t="n"/>
      <c r="CW51" s="12" t="n"/>
      <c r="CX51" s="12" t="n"/>
      <c r="CY51" s="12" t="n"/>
    </row>
    <row r="52" hidden="1" outlineLevel="1">
      <c r="C52" s="57" t="inlineStr">
        <is>
          <t>% CDI</t>
        </is>
      </c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12" t="n"/>
      <c r="O52" s="12" t="n"/>
      <c r="P52" s="12" t="n"/>
      <c r="Q52" s="12" t="n"/>
      <c r="R52" s="12" t="n"/>
      <c r="S52" s="12" t="n"/>
      <c r="T52" s="12" t="n"/>
      <c r="U52" s="12" t="n"/>
      <c r="V52" s="12" t="n"/>
      <c r="W52" s="12" t="n"/>
      <c r="X52" s="12" t="n"/>
      <c r="Y52" s="12" t="n"/>
      <c r="Z52" s="12" t="n"/>
      <c r="AA52" s="12" t="n"/>
      <c r="AB52" s="12" t="n"/>
      <c r="AC52" s="12" t="n"/>
      <c r="AD52" s="12" t="n"/>
      <c r="AE52" s="12" t="n"/>
      <c r="AF52" s="12" t="n"/>
      <c r="AG52" s="12" t="n"/>
      <c r="AH52" s="12" t="n"/>
      <c r="AI52" s="12" t="n"/>
      <c r="AJ52" s="12" t="n"/>
      <c r="AK52" s="12" t="n"/>
      <c r="AL52" s="12" t="n"/>
      <c r="AM52" s="12" t="n"/>
      <c r="AN52" s="12" t="n"/>
      <c r="AO52" s="12" t="n"/>
      <c r="AP52" s="12" t="n"/>
      <c r="AQ52" s="12" t="n"/>
      <c r="AR52" s="12" t="n"/>
      <c r="AS52" s="12" t="n"/>
      <c r="AT52" s="12" t="n"/>
      <c r="AU52" s="12" t="n"/>
      <c r="AV52" s="12" t="n"/>
      <c r="AW52" s="12" t="n"/>
      <c r="AX52" s="12" t="n"/>
      <c r="AY52" s="12" t="n"/>
      <c r="AZ52" s="12" t="n"/>
      <c r="BA52" s="12" t="n"/>
      <c r="BB52" s="12" t="n"/>
      <c r="BC52" s="12" t="n"/>
      <c r="BD52" s="12" t="n"/>
      <c r="BE52" s="12" t="n"/>
      <c r="BF52" s="12" t="n"/>
      <c r="BG52" s="12" t="n"/>
      <c r="BH52" s="12" t="n"/>
      <c r="BI52" s="12" t="n"/>
      <c r="BJ52" s="12" t="n"/>
      <c r="BK52" s="12" t="n"/>
      <c r="BL52" s="12" t="n"/>
      <c r="BM52" s="12" t="n"/>
      <c r="BN52" s="12" t="n"/>
      <c r="BO52" s="12" t="n"/>
      <c r="BP52" s="12" t="n"/>
      <c r="BQ52" s="12" t="n"/>
      <c r="BR52" s="12" t="n"/>
      <c r="BS52" s="12" t="n"/>
      <c r="BT52" s="12" t="n"/>
      <c r="BU52" s="12" t="n"/>
      <c r="BV52" s="12" t="n"/>
      <c r="BW52" s="12" t="n"/>
      <c r="BX52" s="12" t="n"/>
      <c r="BY52" s="12" t="n"/>
      <c r="BZ52" s="12" t="n"/>
      <c r="CA52" s="12" t="n"/>
      <c r="CB52" s="12" t="n"/>
      <c r="CC52" s="12" t="n"/>
      <c r="CD52" s="12" t="n"/>
      <c r="CE52" s="12" t="n"/>
      <c r="CF52" s="12" t="n"/>
      <c r="CG52" s="12" t="n"/>
      <c r="CH52" s="12" t="n"/>
      <c r="CI52" s="12" t="n"/>
      <c r="CJ52" s="12" t="n"/>
      <c r="CK52" s="12" t="n"/>
      <c r="CL52" s="12" t="n"/>
      <c r="CM52" s="12" t="n"/>
      <c r="CN52" s="12" t="n"/>
      <c r="CO52" s="12" t="n"/>
      <c r="CP52" s="12" t="n"/>
      <c r="CQ52" s="12" t="n"/>
      <c r="CR52" s="12" t="n"/>
      <c r="CS52" s="12" t="n"/>
      <c r="CT52" s="12" t="n"/>
      <c r="CU52" s="12" t="n"/>
      <c r="CV52" s="12" t="n"/>
      <c r="CW52" s="12" t="n"/>
      <c r="CX52" s="12" t="n"/>
      <c r="CY52" s="12" t="n"/>
    </row>
    <row r="53" hidden="1" outlineLevel="1">
      <c r="C53" s="57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12" t="n"/>
      <c r="N53" s="12" t="n"/>
      <c r="O53" s="12" t="n"/>
      <c r="P53" s="12" t="n"/>
      <c r="Q53" s="12" t="n"/>
      <c r="R53" s="12" t="n"/>
      <c r="S53" s="12" t="n"/>
      <c r="T53" s="12" t="n"/>
      <c r="U53" s="12" t="n"/>
      <c r="V53" s="12" t="n"/>
      <c r="W53" s="12" t="n"/>
      <c r="X53" s="12" t="n"/>
      <c r="Y53" s="12" t="n"/>
      <c r="Z53" s="12" t="n"/>
      <c r="AA53" s="12" t="n"/>
      <c r="AB53" s="12" t="n"/>
      <c r="AC53" s="12" t="n"/>
      <c r="AD53" s="12" t="n"/>
      <c r="AE53" s="12" t="n"/>
      <c r="AF53" s="12" t="n"/>
      <c r="AG53" s="12" t="n"/>
      <c r="AH53" s="12" t="n"/>
      <c r="AI53" s="12" t="n"/>
      <c r="AJ53" s="12" t="n"/>
      <c r="AK53" s="12" t="n"/>
      <c r="AL53" s="12" t="n"/>
      <c r="AM53" s="12" t="n"/>
      <c r="AN53" s="12" t="n"/>
      <c r="AO53" s="12" t="n"/>
      <c r="AP53" s="12" t="n"/>
      <c r="AQ53" s="12" t="n"/>
      <c r="AR53" s="12" t="n"/>
      <c r="AS53" s="12" t="n"/>
      <c r="AT53" s="12" t="n"/>
      <c r="AU53" s="12" t="n"/>
      <c r="AV53" s="12" t="n"/>
      <c r="AW53" s="12" t="n"/>
      <c r="AX53" s="12" t="n"/>
      <c r="AY53" s="12" t="n"/>
      <c r="AZ53" s="12" t="n"/>
      <c r="BA53" s="12" t="n"/>
      <c r="BB53" s="12" t="n"/>
      <c r="BC53" s="12" t="n"/>
      <c r="BD53" s="12" t="n"/>
      <c r="BE53" s="12" t="n"/>
      <c r="BF53" s="12" t="n"/>
      <c r="BG53" s="12" t="n"/>
      <c r="BH53" s="12" t="n"/>
      <c r="BI53" s="12" t="n"/>
      <c r="BJ53" s="12" t="n"/>
      <c r="BK53" s="12" t="n"/>
      <c r="BL53" s="12" t="n"/>
      <c r="BM53" s="12" t="n"/>
      <c r="BN53" s="12" t="n"/>
      <c r="BO53" s="12" t="n"/>
      <c r="BP53" s="12" t="n"/>
      <c r="BQ53" s="12" t="n"/>
      <c r="BR53" s="12" t="n"/>
      <c r="BS53" s="12" t="n"/>
      <c r="BT53" s="12" t="n"/>
      <c r="BU53" s="12" t="n"/>
      <c r="BV53" s="12" t="n"/>
      <c r="BW53" s="12" t="n"/>
      <c r="BX53" s="12" t="n"/>
      <c r="BY53" s="12" t="n"/>
      <c r="BZ53" s="12" t="n"/>
      <c r="CA53" s="12" t="n"/>
      <c r="CB53" s="12" t="n"/>
      <c r="CC53" s="12" t="n"/>
      <c r="CD53" s="12" t="n"/>
      <c r="CE53" s="12" t="n"/>
      <c r="CF53" s="12" t="n"/>
      <c r="CG53" s="12" t="n"/>
      <c r="CH53" s="12" t="n"/>
      <c r="CI53" s="12" t="n"/>
      <c r="CJ53" s="12" t="n"/>
      <c r="CK53" s="12" t="n"/>
      <c r="CL53" s="12" t="n"/>
      <c r="CM53" s="12" t="n"/>
      <c r="CN53" s="12" t="n"/>
      <c r="CO53" s="12" t="n"/>
      <c r="CP53" s="12" t="n"/>
      <c r="CQ53" s="12" t="n"/>
      <c r="CR53" s="12" t="n"/>
      <c r="CS53" s="12" t="n"/>
      <c r="CT53" s="12" t="n"/>
      <c r="CU53" s="12" t="n"/>
      <c r="CV53" s="12" t="n"/>
      <c r="CW53" s="12" t="n"/>
      <c r="CX53" s="12" t="n"/>
      <c r="CY53" s="12" t="n"/>
    </row>
    <row r="54" hidden="1" outlineLevel="1">
      <c r="C54" s="57" t="inlineStr">
        <is>
          <t>Current portion of long-term debt</t>
        </is>
      </c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12" t="n"/>
      <c r="N54" s="12" t="n"/>
      <c r="O54" s="12" t="n"/>
      <c r="P54" s="12" t="n"/>
      <c r="Q54" s="12" t="n"/>
      <c r="R54" s="12" t="n"/>
      <c r="S54" s="12" t="n"/>
      <c r="T54" s="12" t="n"/>
      <c r="U54" s="12" t="n"/>
      <c r="V54" s="12" t="n"/>
      <c r="W54" s="12" t="n"/>
      <c r="X54" s="12" t="n"/>
      <c r="Y54" s="12" t="n"/>
      <c r="Z54" s="12" t="n"/>
      <c r="AA54" s="12" t="n"/>
      <c r="AB54" s="12" t="n"/>
      <c r="AC54" s="12" t="n"/>
      <c r="AD54" s="12" t="n"/>
      <c r="AE54" s="12" t="n"/>
      <c r="AF54" s="12" t="n"/>
      <c r="AG54" s="12" t="n"/>
      <c r="AH54" s="12" t="n"/>
      <c r="AI54" s="12" t="n"/>
      <c r="AJ54" s="12" t="n"/>
      <c r="AK54" s="12" t="n"/>
      <c r="AL54" s="12" t="n"/>
      <c r="AM54" s="12" t="n"/>
      <c r="AN54" s="12" t="n"/>
      <c r="AO54" s="12" t="n"/>
      <c r="AP54" s="12" t="n"/>
      <c r="AQ54" s="12" t="n"/>
      <c r="AR54" s="12" t="n"/>
      <c r="AS54" s="12" t="n"/>
      <c r="AT54" s="12" t="n"/>
      <c r="AU54" s="12" t="n"/>
      <c r="AV54" s="12" t="n"/>
      <c r="AW54" s="12" t="n"/>
      <c r="AX54" s="12" t="n"/>
      <c r="AY54" s="12" t="n"/>
      <c r="AZ54" s="12" t="n"/>
      <c r="BA54" s="12" t="n"/>
      <c r="BB54" s="12" t="n"/>
      <c r="BC54" s="12" t="n"/>
      <c r="BD54" s="12" t="n"/>
      <c r="BE54" s="12" t="n"/>
      <c r="BF54" s="12" t="n"/>
      <c r="BG54" s="12" t="n"/>
      <c r="BH54" s="12" t="n"/>
      <c r="BI54" s="12" t="n"/>
      <c r="BJ54" s="12" t="n"/>
      <c r="BK54" s="12" t="n"/>
      <c r="BL54" s="12" t="n"/>
      <c r="BM54" s="12" t="n"/>
      <c r="BN54" s="12" t="n"/>
      <c r="BO54" s="12" t="n"/>
      <c r="BP54" s="12" t="n"/>
      <c r="BQ54" s="12" t="n"/>
      <c r="BR54" s="12" t="n"/>
      <c r="BS54" s="12" t="n"/>
      <c r="BT54" s="12" t="n"/>
      <c r="BU54" s="12" t="n"/>
      <c r="BV54" s="12" t="n"/>
      <c r="BW54" s="12" t="n"/>
      <c r="BX54" s="12" t="n"/>
      <c r="BY54" s="12" t="n"/>
      <c r="BZ54" s="12" t="n"/>
      <c r="CA54" s="12" t="n"/>
      <c r="CB54" s="12" t="n"/>
      <c r="CC54" s="12" t="n"/>
      <c r="CD54" s="12" t="n"/>
      <c r="CE54" s="12" t="n"/>
      <c r="CF54" s="12" t="n"/>
      <c r="CG54" s="12" t="n"/>
      <c r="CH54" s="12" t="n"/>
      <c r="CI54" s="12" t="n"/>
      <c r="CJ54" s="12" t="n"/>
      <c r="CK54" s="12" t="n"/>
      <c r="CL54" s="12" t="n"/>
      <c r="CM54" s="12" t="n"/>
      <c r="CN54" s="12" t="n"/>
      <c r="CO54" s="12" t="n"/>
      <c r="CP54" s="12" t="n"/>
      <c r="CQ54" s="12" t="n"/>
      <c r="CR54" s="12" t="n"/>
      <c r="CS54" s="12" t="n"/>
      <c r="CT54" s="12" t="n"/>
      <c r="CU54" s="12" t="n"/>
      <c r="CV54" s="12" t="n"/>
      <c r="CW54" s="12" t="n"/>
      <c r="CX54" s="12" t="n"/>
      <c r="CY54" s="12" t="n"/>
    </row>
    <row r="55" hidden="1" outlineLevel="1">
      <c r="C55" s="57" t="inlineStr">
        <is>
          <t>Short term debt (Revolving credit facility)</t>
        </is>
      </c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12" t="n"/>
      <c r="T55" s="12" t="n"/>
      <c r="U55" s="12" t="n"/>
      <c r="V55" s="12" t="n"/>
      <c r="W55" s="12" t="n"/>
      <c r="X55" s="12" t="n"/>
      <c r="Y55" s="12" t="n"/>
      <c r="Z55" s="12" t="n"/>
      <c r="AA55" s="12" t="n"/>
      <c r="AB55" s="12" t="n"/>
      <c r="AC55" s="12" t="n"/>
      <c r="AD55" s="12" t="n"/>
      <c r="AE55" s="12" t="n"/>
      <c r="AF55" s="12" t="n"/>
      <c r="AG55" s="12" t="n"/>
      <c r="AH55" s="12" t="n"/>
      <c r="AI55" s="12" t="n"/>
      <c r="AJ55" s="12" t="n"/>
      <c r="AK55" s="12" t="n"/>
      <c r="AL55" s="12" t="n"/>
      <c r="AM55" s="12" t="n"/>
      <c r="AN55" s="12" t="n"/>
      <c r="AO55" s="12" t="n"/>
      <c r="AP55" s="12" t="n"/>
      <c r="AQ55" s="12" t="n"/>
      <c r="AR55" s="12" t="n"/>
      <c r="AS55" s="12" t="n"/>
      <c r="AT55" s="12" t="n"/>
      <c r="AU55" s="12" t="n"/>
      <c r="AV55" s="12" t="n"/>
      <c r="AW55" s="12" t="n"/>
      <c r="AX55" s="12" t="n"/>
      <c r="AY55" s="12" t="n"/>
      <c r="AZ55" s="12" t="n"/>
      <c r="BA55" s="12" t="n"/>
      <c r="BB55" s="12" t="n"/>
      <c r="BC55" s="12" t="n"/>
      <c r="BD55" s="12" t="n"/>
      <c r="BE55" s="12" t="n"/>
      <c r="BF55" s="12" t="n"/>
      <c r="BG55" s="12" t="n"/>
      <c r="BH55" s="12" t="n"/>
      <c r="BI55" s="12" t="n"/>
      <c r="BJ55" s="12" t="n"/>
      <c r="BK55" s="12" t="n"/>
      <c r="BL55" s="12" t="n"/>
      <c r="BM55" s="12" t="n"/>
      <c r="BN55" s="12" t="n"/>
      <c r="BO55" s="12" t="n"/>
      <c r="BP55" s="12" t="n"/>
      <c r="BQ55" s="12" t="n"/>
      <c r="BR55" s="12" t="n"/>
      <c r="BS55" s="12" t="n"/>
      <c r="BT55" s="12" t="n"/>
      <c r="BU55" s="12" t="n"/>
      <c r="BV55" s="12" t="n"/>
      <c r="BW55" s="12" t="n"/>
      <c r="BX55" s="12" t="n"/>
      <c r="BY55" s="12" t="n"/>
      <c r="BZ55" s="12" t="n"/>
      <c r="CA55" s="12" t="n"/>
      <c r="CB55" s="12" t="n"/>
      <c r="CC55" s="12" t="n"/>
      <c r="CD55" s="12" t="n"/>
      <c r="CE55" s="12" t="n"/>
      <c r="CF55" s="12" t="n"/>
      <c r="CG55" s="12" t="n"/>
      <c r="CH55" s="12" t="n"/>
      <c r="CI55" s="12" t="n"/>
      <c r="CJ55" s="12" t="n"/>
      <c r="CK55" s="12" t="n"/>
      <c r="CL55" s="12" t="n"/>
      <c r="CM55" s="12" t="n"/>
      <c r="CN55" s="12" t="n"/>
      <c r="CO55" s="12" t="n"/>
      <c r="CP55" s="12" t="n"/>
      <c r="CQ55" s="12" t="n"/>
      <c r="CR55" s="12" t="n"/>
      <c r="CS55" s="12" t="n"/>
      <c r="CT55" s="12" t="n"/>
      <c r="CU55" s="12" t="n"/>
      <c r="CV55" s="12" t="n"/>
      <c r="CW55" s="12" t="n"/>
      <c r="CX55" s="12" t="n"/>
      <c r="CY55" s="12" t="n"/>
    </row>
    <row r="56" hidden="1" outlineLevel="1">
      <c r="C56" s="57" t="inlineStr">
        <is>
          <t>Long term debt</t>
        </is>
      </c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12" t="n"/>
      <c r="N56" s="12" t="n"/>
      <c r="O56" s="12" t="n"/>
      <c r="P56" s="12" t="n"/>
      <c r="Q56" s="12" t="n"/>
      <c r="R56" s="12" t="n"/>
      <c r="S56" s="12" t="n"/>
      <c r="T56" s="12" t="n"/>
      <c r="U56" s="12" t="n"/>
      <c r="V56" s="12" t="n"/>
      <c r="W56" s="12" t="n"/>
      <c r="X56" s="12" t="n"/>
      <c r="Y56" s="12" t="n"/>
      <c r="Z56" s="12" t="n"/>
      <c r="AA56" s="12" t="n"/>
      <c r="AB56" s="12" t="n"/>
      <c r="AC56" s="12" t="n"/>
      <c r="AD56" s="12" t="n"/>
      <c r="AE56" s="12" t="n"/>
      <c r="AF56" s="12" t="n"/>
      <c r="AG56" s="12" t="n"/>
      <c r="AH56" s="12" t="n"/>
      <c r="AI56" s="12" t="n"/>
      <c r="AJ56" s="12" t="n"/>
      <c r="AK56" s="12" t="n"/>
      <c r="AL56" s="12" t="n"/>
      <c r="AM56" s="12" t="n"/>
      <c r="AN56" s="12" t="n"/>
      <c r="AO56" s="12" t="n"/>
      <c r="AP56" s="12" t="n"/>
      <c r="AQ56" s="12" t="n"/>
      <c r="AR56" s="12" t="n"/>
      <c r="AS56" s="12" t="n"/>
      <c r="AT56" s="12" t="n"/>
      <c r="AU56" s="12" t="n"/>
      <c r="AV56" s="12" t="n"/>
      <c r="AW56" s="12" t="n"/>
      <c r="AX56" s="12" t="n"/>
      <c r="AY56" s="12" t="n"/>
      <c r="AZ56" s="12" t="n"/>
      <c r="BA56" s="12" t="n"/>
      <c r="BB56" s="12" t="n"/>
      <c r="BC56" s="12" t="n"/>
      <c r="BD56" s="12" t="n"/>
      <c r="BE56" s="12" t="n"/>
      <c r="BF56" s="12" t="n"/>
      <c r="BG56" s="12" t="n"/>
      <c r="BH56" s="12" t="n"/>
      <c r="BI56" s="12" t="n"/>
      <c r="BJ56" s="12" t="n"/>
      <c r="BK56" s="12" t="n"/>
      <c r="BL56" s="12" t="n"/>
      <c r="BM56" s="12" t="n"/>
      <c r="BN56" s="12" t="n"/>
      <c r="BO56" s="12" t="n"/>
      <c r="BP56" s="12" t="n"/>
      <c r="BQ56" s="12" t="n"/>
      <c r="BR56" s="12" t="n"/>
      <c r="BS56" s="12" t="n"/>
      <c r="BT56" s="12" t="n"/>
      <c r="BU56" s="12" t="n"/>
      <c r="BV56" s="12" t="n"/>
      <c r="BW56" s="12" t="n"/>
      <c r="BX56" s="12" t="n"/>
      <c r="BY56" s="12" t="n"/>
      <c r="BZ56" s="12" t="n"/>
      <c r="CA56" s="12" t="n"/>
      <c r="CB56" s="12" t="n"/>
      <c r="CC56" s="12" t="n"/>
      <c r="CD56" s="12" t="n"/>
      <c r="CE56" s="12" t="n"/>
      <c r="CF56" s="12" t="n"/>
      <c r="CG56" s="12" t="n"/>
      <c r="CH56" s="12" t="n"/>
      <c r="CI56" s="12" t="n"/>
      <c r="CJ56" s="12" t="n"/>
      <c r="CK56" s="12" t="n"/>
      <c r="CL56" s="12" t="n"/>
      <c r="CM56" s="12" t="n"/>
      <c r="CN56" s="12" t="n"/>
      <c r="CO56" s="12" t="n"/>
      <c r="CP56" s="12" t="n"/>
      <c r="CQ56" s="12" t="n"/>
      <c r="CR56" s="12" t="n"/>
      <c r="CS56" s="12" t="n"/>
      <c r="CT56" s="12" t="n"/>
      <c r="CU56" s="12" t="n"/>
      <c r="CV56" s="12" t="n"/>
      <c r="CW56" s="12" t="n"/>
      <c r="CX56" s="12" t="n"/>
      <c r="CY56" s="12" t="n"/>
    </row>
    <row r="57" hidden="1" outlineLevel="1">
      <c r="C57" s="57" t="inlineStr">
        <is>
          <t>Convertible debt</t>
        </is>
      </c>
      <c r="D57" s="12" t="n"/>
      <c r="E57" s="12" t="n"/>
      <c r="F57" s="12" t="n"/>
      <c r="G57" s="12" t="n"/>
      <c r="H57" s="12" t="n"/>
      <c r="I57" s="12" t="n"/>
      <c r="J57" s="12" t="n"/>
      <c r="K57" s="12" t="n"/>
      <c r="L57" s="12" t="n"/>
      <c r="M57" s="12" t="n"/>
      <c r="N57" s="12" t="n"/>
      <c r="O57" s="12" t="n"/>
      <c r="P57" s="12" t="n"/>
      <c r="Q57" s="12" t="n"/>
      <c r="R57" s="12" t="n"/>
      <c r="S57" s="12" t="n"/>
      <c r="T57" s="12" t="n"/>
      <c r="U57" s="12" t="n"/>
      <c r="V57" s="12" t="n"/>
      <c r="W57" s="12" t="n"/>
      <c r="X57" s="12" t="n"/>
      <c r="Y57" s="12" t="n"/>
      <c r="Z57" s="12" t="n"/>
      <c r="AA57" s="12" t="n"/>
      <c r="AB57" s="12" t="n"/>
      <c r="AC57" s="12" t="n"/>
      <c r="AD57" s="12" t="n"/>
      <c r="AE57" s="12" t="n"/>
      <c r="AF57" s="12" t="n"/>
      <c r="AG57" s="12" t="n"/>
      <c r="AH57" s="12" t="n"/>
      <c r="AI57" s="12" t="n"/>
      <c r="AJ57" s="12" t="n"/>
      <c r="AK57" s="12" t="n"/>
      <c r="AL57" s="12" t="n"/>
      <c r="AM57" s="12" t="n"/>
      <c r="AN57" s="12" t="n"/>
      <c r="AO57" s="12" t="n"/>
      <c r="AP57" s="12" t="n"/>
      <c r="AQ57" s="12" t="n"/>
      <c r="AR57" s="12" t="n"/>
      <c r="AS57" s="12" t="n"/>
      <c r="AT57" s="12" t="n"/>
      <c r="AU57" s="12" t="n"/>
      <c r="AV57" s="12" t="n"/>
      <c r="AW57" s="12" t="n"/>
      <c r="AX57" s="12" t="n"/>
      <c r="AY57" s="12" t="n"/>
      <c r="AZ57" s="12" t="n"/>
      <c r="BA57" s="12" t="n"/>
      <c r="BB57" s="12" t="n"/>
      <c r="BC57" s="12" t="n"/>
      <c r="BD57" s="12" t="n"/>
      <c r="BE57" s="12" t="n"/>
      <c r="BF57" s="12" t="n"/>
      <c r="BG57" s="12" t="n"/>
      <c r="BH57" s="12" t="n"/>
      <c r="BI57" s="12" t="n"/>
      <c r="BJ57" s="12" t="n"/>
      <c r="BK57" s="12" t="n"/>
      <c r="BL57" s="12" t="n"/>
      <c r="BM57" s="12" t="n"/>
      <c r="BN57" s="12" t="n"/>
      <c r="BO57" s="12" t="n"/>
      <c r="BP57" s="12" t="n"/>
      <c r="BQ57" s="12" t="n"/>
      <c r="BR57" s="12" t="n"/>
      <c r="BS57" s="12" t="n"/>
      <c r="BT57" s="12" t="n"/>
      <c r="BU57" s="12" t="n"/>
      <c r="BV57" s="12" t="n"/>
      <c r="BW57" s="12" t="n"/>
      <c r="BX57" s="12" t="n"/>
      <c r="BY57" s="12" t="n"/>
      <c r="BZ57" s="12" t="n"/>
      <c r="CA57" s="12" t="n"/>
      <c r="CB57" s="12" t="n"/>
      <c r="CC57" s="12" t="n"/>
      <c r="CD57" s="12" t="n"/>
      <c r="CE57" s="12" t="n"/>
      <c r="CF57" s="12" t="n"/>
      <c r="CG57" s="12" t="n"/>
      <c r="CH57" s="12" t="n"/>
      <c r="CI57" s="12" t="n"/>
      <c r="CJ57" s="12" t="n"/>
      <c r="CK57" s="12" t="n"/>
      <c r="CL57" s="12" t="n"/>
      <c r="CM57" s="12" t="n"/>
      <c r="CN57" s="12" t="n"/>
      <c r="CO57" s="12" t="n"/>
      <c r="CP57" s="12" t="n"/>
      <c r="CQ57" s="12" t="n"/>
      <c r="CR57" s="12" t="n"/>
      <c r="CS57" s="12" t="n"/>
      <c r="CT57" s="12" t="n"/>
      <c r="CU57" s="12" t="n"/>
      <c r="CV57" s="12" t="n"/>
      <c r="CW57" s="12" t="n"/>
      <c r="CX57" s="12" t="n"/>
      <c r="CY57" s="12" t="n"/>
    </row>
    <row r="58" hidden="1" outlineLevel="1">
      <c r="C58" s="57" t="inlineStr">
        <is>
          <t>Total debt</t>
        </is>
      </c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12" t="n"/>
      <c r="O58" s="12" t="n"/>
      <c r="P58" s="12" t="n"/>
      <c r="Q58" s="12" t="n"/>
      <c r="R58" s="12" t="n"/>
      <c r="S58" s="12" t="n"/>
      <c r="T58" s="12" t="n"/>
      <c r="U58" s="12" t="n"/>
      <c r="V58" s="12" t="n"/>
      <c r="W58" s="12" t="n"/>
      <c r="X58" s="12" t="n"/>
      <c r="Y58" s="12" t="n"/>
      <c r="Z58" s="12" t="n"/>
      <c r="AA58" s="12" t="n"/>
      <c r="AB58" s="12" t="n"/>
      <c r="AC58" s="12" t="n"/>
      <c r="AD58" s="12" t="n"/>
      <c r="AE58" s="12" t="n"/>
      <c r="AF58" s="12" t="n"/>
      <c r="AG58" s="12" t="n"/>
      <c r="AH58" s="12" t="n"/>
      <c r="AI58" s="12" t="n"/>
      <c r="AJ58" s="12" t="n"/>
      <c r="AK58" s="12" t="n"/>
      <c r="AL58" s="12" t="n"/>
      <c r="AM58" s="12" t="n"/>
      <c r="AN58" s="12" t="n"/>
      <c r="AO58" s="12" t="n"/>
      <c r="AP58" s="12" t="n"/>
      <c r="AQ58" s="12" t="n"/>
      <c r="AR58" s="12" t="n"/>
      <c r="AS58" s="12" t="n"/>
      <c r="AT58" s="12" t="n"/>
      <c r="AU58" s="12" t="n"/>
      <c r="AV58" s="12" t="n"/>
      <c r="AW58" s="12" t="n"/>
      <c r="AX58" s="12" t="n"/>
      <c r="AY58" s="12" t="n"/>
      <c r="AZ58" s="12" t="n"/>
      <c r="BA58" s="12" t="n"/>
      <c r="BB58" s="12" t="n"/>
      <c r="BC58" s="12" t="n"/>
      <c r="BD58" s="12" t="n"/>
      <c r="BE58" s="12" t="n"/>
      <c r="BF58" s="12" t="n"/>
      <c r="BG58" s="12" t="n"/>
      <c r="BH58" s="12" t="n"/>
      <c r="BI58" s="12" t="n"/>
      <c r="BJ58" s="12" t="n"/>
      <c r="BK58" s="12" t="n"/>
      <c r="BL58" s="12" t="n"/>
      <c r="BM58" s="12" t="n"/>
      <c r="BN58" s="12" t="n"/>
      <c r="BO58" s="12" t="n"/>
      <c r="BP58" s="12" t="n"/>
      <c r="BQ58" s="12" t="n"/>
      <c r="BR58" s="12" t="n"/>
      <c r="BS58" s="12" t="n"/>
      <c r="BT58" s="12" t="n"/>
      <c r="BU58" s="12" t="n"/>
      <c r="BV58" s="12" t="n"/>
      <c r="BW58" s="12" t="n"/>
      <c r="BX58" s="12" t="n"/>
      <c r="BY58" s="12" t="n"/>
      <c r="BZ58" s="12" t="n"/>
      <c r="CA58" s="12" t="n"/>
      <c r="CB58" s="12" t="n"/>
      <c r="CC58" s="12" t="n"/>
      <c r="CD58" s="12" t="n"/>
      <c r="CE58" s="12" t="n"/>
      <c r="CF58" s="12" t="n"/>
      <c r="CG58" s="12" t="n"/>
      <c r="CH58" s="12" t="n"/>
      <c r="CI58" s="12" t="n"/>
      <c r="CJ58" s="12" t="n"/>
      <c r="CK58" s="12" t="n"/>
      <c r="CL58" s="12" t="n"/>
      <c r="CM58" s="12" t="n"/>
      <c r="CN58" s="12" t="n"/>
      <c r="CO58" s="12" t="n"/>
      <c r="CP58" s="12" t="n"/>
      <c r="CQ58" s="12" t="n"/>
      <c r="CR58" s="12" t="n"/>
      <c r="CS58" s="12" t="n"/>
      <c r="CT58" s="12" t="n"/>
      <c r="CU58" s="12" t="n"/>
      <c r="CV58" s="12" t="n"/>
      <c r="CW58" s="12" t="n"/>
      <c r="CX58" s="12" t="n"/>
      <c r="CY58" s="12" t="n"/>
    </row>
    <row r="59" hidden="1" outlineLevel="1">
      <c r="C59" s="57" t="inlineStr">
        <is>
          <t>Interest expense</t>
        </is>
      </c>
      <c r="D59" s="12" t="n"/>
      <c r="E59" s="12" t="n"/>
      <c r="F59" s="12" t="n"/>
      <c r="G59" s="12" t="n"/>
      <c r="H59" s="12" t="n"/>
      <c r="I59" s="12" t="n"/>
      <c r="J59" s="12" t="n"/>
      <c r="K59" s="12" t="n"/>
      <c r="L59" s="12" t="n"/>
      <c r="M59" s="12" t="n"/>
      <c r="N59" s="12" t="n"/>
      <c r="O59" s="12" t="n"/>
      <c r="P59" s="12" t="n"/>
      <c r="Q59" s="12" t="n"/>
      <c r="R59" s="12" t="n"/>
      <c r="S59" s="12" t="n"/>
      <c r="T59" s="12" t="n"/>
      <c r="U59" s="12" t="n"/>
      <c r="V59" s="12" t="n"/>
      <c r="W59" s="12" t="n"/>
      <c r="X59" s="12" t="n"/>
      <c r="Y59" s="12" t="n"/>
      <c r="Z59" s="12" t="n"/>
      <c r="AA59" s="12" t="n"/>
      <c r="AB59" s="12" t="n"/>
      <c r="AC59" s="12" t="n"/>
      <c r="AD59" s="12" t="n"/>
      <c r="AE59" s="12" t="n"/>
      <c r="AF59" s="12" t="n"/>
      <c r="AG59" s="12" t="n"/>
      <c r="AH59" s="12" t="n"/>
      <c r="AI59" s="12" t="n"/>
      <c r="AJ59" s="12" t="n"/>
      <c r="AK59" s="12" t="n"/>
      <c r="AL59" s="12" t="n"/>
      <c r="AM59" s="12" t="n"/>
      <c r="AN59" s="12" t="n"/>
      <c r="AO59" s="12" t="n"/>
      <c r="AP59" s="12" t="n"/>
      <c r="AQ59" s="12" t="n"/>
      <c r="AR59" s="12" t="n"/>
      <c r="AS59" s="12" t="n"/>
      <c r="AT59" s="12" t="n"/>
      <c r="AU59" s="12" t="n"/>
      <c r="AV59" s="12" t="n"/>
      <c r="AW59" s="12" t="n"/>
      <c r="AX59" s="12" t="n"/>
      <c r="AY59" s="12" t="n"/>
      <c r="AZ59" s="12" t="n"/>
      <c r="BA59" s="12" t="n"/>
      <c r="BB59" s="12" t="n"/>
      <c r="BC59" s="12" t="n"/>
      <c r="BD59" s="12" t="n"/>
      <c r="BE59" s="12" t="n"/>
      <c r="BF59" s="12" t="n"/>
      <c r="BG59" s="12" t="n"/>
      <c r="BH59" s="12" t="n"/>
      <c r="BI59" s="12" t="n"/>
      <c r="BJ59" s="12" t="n"/>
      <c r="BK59" s="12" t="n"/>
      <c r="BL59" s="12" t="n"/>
      <c r="BM59" s="12" t="n"/>
      <c r="BN59" s="12" t="n"/>
      <c r="BO59" s="12" t="n"/>
      <c r="BP59" s="12" t="n"/>
      <c r="BQ59" s="12" t="n"/>
      <c r="BR59" s="12" t="n"/>
      <c r="BS59" s="12" t="n"/>
      <c r="BT59" s="12" t="n"/>
      <c r="BU59" s="12" t="n"/>
      <c r="BV59" s="12" t="n"/>
      <c r="BW59" s="12" t="n"/>
      <c r="BX59" s="12" t="n"/>
      <c r="BY59" s="12" t="n"/>
      <c r="BZ59" s="12" t="n"/>
      <c r="CA59" s="12" t="n"/>
      <c r="CB59" s="12" t="n"/>
      <c r="CC59" s="12" t="n"/>
      <c r="CD59" s="12" t="n"/>
      <c r="CE59" s="12" t="n"/>
      <c r="CF59" s="12" t="n"/>
      <c r="CG59" s="12" t="n"/>
      <c r="CH59" s="12" t="n"/>
      <c r="CI59" s="12" t="n"/>
      <c r="CJ59" s="12" t="n"/>
      <c r="CK59" s="12" t="n"/>
      <c r="CL59" s="12" t="n"/>
      <c r="CM59" s="12" t="n"/>
      <c r="CN59" s="12" t="n"/>
      <c r="CO59" s="12" t="n"/>
      <c r="CP59" s="12" t="n"/>
      <c r="CQ59" s="12" t="n"/>
      <c r="CR59" s="12" t="n"/>
      <c r="CS59" s="12" t="n"/>
      <c r="CT59" s="12" t="n"/>
      <c r="CU59" s="12" t="n"/>
      <c r="CV59" s="12" t="n"/>
      <c r="CW59" s="12" t="n"/>
      <c r="CX59" s="12" t="n"/>
      <c r="CY59" s="12" t="n"/>
    </row>
    <row r="60" hidden="1" outlineLevel="1">
      <c r="C60" s="57" t="inlineStr">
        <is>
          <t>Average interest rate</t>
        </is>
      </c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  <c r="P60" s="12" t="n"/>
      <c r="Q60" s="12" t="n"/>
      <c r="R60" s="12" t="n"/>
      <c r="S60" s="12" t="n"/>
      <c r="T60" s="12" t="n"/>
      <c r="U60" s="12" t="n"/>
      <c r="V60" s="12" t="n"/>
      <c r="W60" s="12" t="n"/>
      <c r="X60" s="12" t="n"/>
      <c r="Y60" s="12" t="n"/>
      <c r="Z60" s="12" t="n"/>
      <c r="AA60" s="12" t="n"/>
      <c r="AB60" s="12" t="n"/>
      <c r="AC60" s="12" t="n"/>
      <c r="AD60" s="12" t="n"/>
      <c r="AE60" s="12" t="n"/>
      <c r="AF60" s="12" t="n"/>
      <c r="AG60" s="12" t="n"/>
      <c r="AH60" s="12" t="n"/>
      <c r="AI60" s="12" t="n"/>
      <c r="AJ60" s="12" t="n"/>
      <c r="AK60" s="12" t="n"/>
      <c r="AL60" s="12" t="n"/>
      <c r="AM60" s="12" t="n"/>
      <c r="AN60" s="12" t="n"/>
      <c r="AO60" s="12" t="n"/>
      <c r="AP60" s="12" t="n"/>
      <c r="AQ60" s="12" t="n"/>
      <c r="AR60" s="12" t="n"/>
      <c r="AS60" s="12" t="n"/>
      <c r="AT60" s="12" t="n"/>
      <c r="AU60" s="12" t="n"/>
      <c r="AV60" s="12" t="n"/>
      <c r="AW60" s="12" t="n"/>
      <c r="AX60" s="12" t="n"/>
      <c r="AY60" s="12" t="n"/>
      <c r="AZ60" s="12" t="n"/>
      <c r="BA60" s="12" t="n"/>
      <c r="BB60" s="12" t="n"/>
      <c r="BC60" s="12" t="n"/>
      <c r="BD60" s="12" t="n"/>
      <c r="BE60" s="12" t="n"/>
      <c r="BF60" s="12" t="n"/>
      <c r="BG60" s="12" t="n"/>
      <c r="BH60" s="12" t="n"/>
      <c r="BI60" s="12" t="n"/>
      <c r="BJ60" s="12" t="n"/>
      <c r="BK60" s="12" t="n"/>
      <c r="BL60" s="12" t="n"/>
      <c r="BM60" s="12" t="n"/>
      <c r="BN60" s="12" t="n"/>
      <c r="BO60" s="12" t="n"/>
      <c r="BP60" s="12" t="n"/>
      <c r="BQ60" s="12" t="n"/>
      <c r="BR60" s="12" t="n"/>
      <c r="BS60" s="12" t="n"/>
      <c r="BT60" s="12" t="n"/>
      <c r="BU60" s="12" t="n"/>
      <c r="BV60" s="12" t="n"/>
      <c r="BW60" s="12" t="n"/>
      <c r="BX60" s="12" t="n"/>
      <c r="BY60" s="12" t="n"/>
      <c r="BZ60" s="12" t="n"/>
      <c r="CA60" s="12" t="n"/>
      <c r="CB60" s="12" t="n"/>
      <c r="CC60" s="12" t="n"/>
      <c r="CD60" s="12" t="n"/>
      <c r="CE60" s="12" t="n"/>
      <c r="CF60" s="12" t="n"/>
      <c r="CG60" s="12" t="n"/>
      <c r="CH60" s="12" t="n"/>
      <c r="CI60" s="12" t="n"/>
      <c r="CJ60" s="12" t="n"/>
      <c r="CK60" s="12" t="n"/>
      <c r="CL60" s="12" t="n"/>
      <c r="CM60" s="12" t="n"/>
      <c r="CN60" s="12" t="n"/>
      <c r="CO60" s="12" t="n"/>
      <c r="CP60" s="12" t="n"/>
      <c r="CQ60" s="12" t="n"/>
      <c r="CR60" s="12" t="n"/>
      <c r="CS60" s="12" t="n"/>
      <c r="CT60" s="12" t="n"/>
      <c r="CU60" s="12" t="n"/>
      <c r="CV60" s="12" t="n"/>
      <c r="CW60" s="12" t="n"/>
      <c r="CX60" s="12" t="n"/>
      <c r="CY60" s="12" t="n"/>
    </row>
    <row r="61" hidden="1" outlineLevel="1">
      <c r="C61" s="57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12" t="n"/>
      <c r="T61" s="12" t="n"/>
      <c r="U61" s="12" t="n"/>
      <c r="V61" s="12" t="n"/>
      <c r="W61" s="12" t="n"/>
      <c r="X61" s="12" t="n"/>
      <c r="Y61" s="12" t="n"/>
      <c r="Z61" s="12" t="n"/>
      <c r="AA61" s="12" t="n"/>
      <c r="AB61" s="12" t="n"/>
      <c r="AC61" s="12" t="n"/>
      <c r="AD61" s="12" t="n"/>
      <c r="AE61" s="12" t="n"/>
      <c r="AF61" s="12" t="n"/>
      <c r="AG61" s="12" t="n"/>
      <c r="AH61" s="12" t="n"/>
      <c r="AI61" s="12" t="n"/>
      <c r="AJ61" s="12" t="n"/>
      <c r="AK61" s="12" t="n"/>
      <c r="AL61" s="12" t="n"/>
      <c r="AM61" s="12" t="n"/>
      <c r="AN61" s="12" t="n"/>
      <c r="AO61" s="12" t="n"/>
      <c r="AP61" s="12" t="n"/>
      <c r="AQ61" s="12" t="n"/>
      <c r="AR61" s="12" t="n"/>
      <c r="AS61" s="12" t="n"/>
      <c r="AT61" s="12" t="n"/>
      <c r="AU61" s="12" t="n"/>
      <c r="AV61" s="12" t="n"/>
      <c r="AW61" s="12" t="n"/>
      <c r="AX61" s="12" t="n"/>
      <c r="AY61" s="12" t="n"/>
      <c r="AZ61" s="12" t="n"/>
      <c r="BA61" s="12" t="n"/>
      <c r="BB61" s="12" t="n"/>
      <c r="BC61" s="12" t="n"/>
      <c r="BD61" s="12" t="n"/>
      <c r="BE61" s="12" t="n"/>
      <c r="BF61" s="12" t="n"/>
      <c r="BG61" s="12" t="n"/>
      <c r="BH61" s="12" t="n"/>
      <c r="BI61" s="12" t="n"/>
      <c r="BJ61" s="12" t="n"/>
      <c r="BK61" s="12" t="n"/>
      <c r="BL61" s="12" t="n"/>
      <c r="BM61" s="12" t="n"/>
      <c r="BN61" s="12" t="n"/>
      <c r="BO61" s="12" t="n"/>
      <c r="BP61" s="12" t="n"/>
      <c r="BQ61" s="12" t="n"/>
      <c r="BR61" s="12" t="n"/>
      <c r="BS61" s="12" t="n"/>
      <c r="BT61" s="12" t="n"/>
      <c r="BU61" s="12" t="n"/>
      <c r="BV61" s="12" t="n"/>
      <c r="BW61" s="12" t="n"/>
      <c r="BX61" s="12" t="n"/>
      <c r="BY61" s="12" t="n"/>
      <c r="BZ61" s="12" t="n"/>
      <c r="CA61" s="12" t="n"/>
      <c r="CB61" s="12" t="n"/>
      <c r="CC61" s="12" t="n"/>
      <c r="CD61" s="12" t="n"/>
      <c r="CE61" s="12" t="n"/>
      <c r="CF61" s="12" t="n"/>
      <c r="CG61" s="12" t="n"/>
      <c r="CH61" s="12" t="n"/>
      <c r="CI61" s="12" t="n"/>
      <c r="CJ61" s="12" t="n"/>
      <c r="CK61" s="12" t="n"/>
      <c r="CL61" s="12" t="n"/>
      <c r="CM61" s="12" t="n"/>
      <c r="CN61" s="12" t="n"/>
      <c r="CO61" s="12" t="n"/>
      <c r="CP61" s="12" t="n"/>
      <c r="CQ61" s="12" t="n"/>
      <c r="CR61" s="12" t="n"/>
      <c r="CS61" s="12" t="n"/>
      <c r="CT61" s="12" t="n"/>
      <c r="CU61" s="12" t="n"/>
      <c r="CV61" s="12" t="n"/>
      <c r="CW61" s="12" t="n"/>
      <c r="CX61" s="12" t="n"/>
      <c r="CY61" s="12" t="n"/>
    </row>
    <row r="62" hidden="1" outlineLevel="1">
      <c r="C62" s="57" t="inlineStr">
        <is>
          <t>Stake</t>
        </is>
      </c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 s="12" t="n"/>
      <c r="R62" s="12" t="n"/>
      <c r="S62" s="12" t="n"/>
      <c r="T62" s="12" t="n"/>
      <c r="U62" s="12" t="n"/>
      <c r="V62" s="12" t="n"/>
      <c r="W62" s="12" t="n"/>
      <c r="X62" s="12" t="n"/>
      <c r="Y62" s="12" t="n"/>
      <c r="Z62" s="12" t="n"/>
      <c r="AA62" s="12" t="n"/>
      <c r="AB62" s="12" t="n"/>
      <c r="AC62" s="12" t="n"/>
      <c r="AD62" s="12" t="n"/>
      <c r="AE62" s="12" t="n"/>
      <c r="AF62" s="12" t="n"/>
      <c r="AG62" s="12" t="n"/>
      <c r="AH62" s="12" t="n"/>
      <c r="AI62" s="12" t="n"/>
      <c r="AJ62" s="12" t="n"/>
      <c r="AK62" s="12" t="n"/>
      <c r="AL62" s="12" t="n"/>
      <c r="AM62" s="12" t="n"/>
      <c r="AN62" s="12" t="n"/>
      <c r="AO62" s="12" t="n"/>
      <c r="AP62" s="12" t="n"/>
      <c r="AQ62" s="12" t="n"/>
      <c r="AR62" s="12" t="n"/>
      <c r="AS62" s="12" t="n"/>
      <c r="AT62" s="12" t="n"/>
      <c r="AU62" s="12" t="n"/>
      <c r="AV62" s="12" t="n"/>
      <c r="AW62" s="12" t="n"/>
      <c r="AX62" s="12" t="n"/>
      <c r="AY62" s="12" t="n"/>
      <c r="AZ62" s="12" t="n"/>
      <c r="BA62" s="12" t="n"/>
      <c r="BB62" s="12" t="n"/>
      <c r="BC62" s="12" t="n"/>
      <c r="BD62" s="12" t="n"/>
      <c r="BE62" s="12" t="n"/>
      <c r="BF62" s="12" t="n"/>
      <c r="BG62" s="12" t="n"/>
      <c r="BH62" s="12" t="n"/>
      <c r="BI62" s="12" t="n"/>
      <c r="BJ62" s="12" t="n"/>
      <c r="BK62" s="12" t="n"/>
      <c r="BL62" s="12" t="n"/>
      <c r="BM62" s="12" t="n"/>
      <c r="BN62" s="12" t="n"/>
      <c r="BO62" s="12" t="n"/>
      <c r="BP62" s="12" t="n"/>
      <c r="BQ62" s="12" t="n"/>
      <c r="BR62" s="12" t="n"/>
      <c r="BS62" s="12" t="n"/>
      <c r="BT62" s="12" t="n"/>
      <c r="BU62" s="12" t="n"/>
      <c r="BV62" s="12" t="n"/>
      <c r="BW62" s="12" t="n"/>
      <c r="BX62" s="12" t="n"/>
      <c r="BY62" s="12" t="n"/>
      <c r="BZ62" s="12" t="n"/>
      <c r="CA62" s="12" t="n"/>
      <c r="CB62" s="12" t="n"/>
      <c r="CC62" s="12" t="n"/>
      <c r="CD62" s="12" t="n"/>
      <c r="CE62" s="12" t="n"/>
      <c r="CF62" s="12" t="n"/>
      <c r="CG62" s="12" t="n"/>
      <c r="CH62" s="12" t="n"/>
      <c r="CI62" s="12" t="n"/>
      <c r="CJ62" s="12" t="n"/>
      <c r="CK62" s="12" t="n"/>
      <c r="CL62" s="12" t="n"/>
      <c r="CM62" s="12" t="n"/>
      <c r="CN62" s="12" t="n"/>
      <c r="CO62" s="12" t="n"/>
      <c r="CP62" s="12" t="n"/>
      <c r="CQ62" s="12" t="n"/>
      <c r="CR62" s="12" t="n"/>
      <c r="CS62" s="12" t="n"/>
      <c r="CT62" s="12" t="n"/>
      <c r="CU62" s="12" t="n"/>
      <c r="CV62" s="12" t="n"/>
      <c r="CW62" s="12" t="n"/>
      <c r="CX62" s="12" t="n"/>
      <c r="CY62" s="12" t="n"/>
    </row>
    <row r="63" hidden="1" outlineLevel="1">
      <c r="C63" s="57" t="inlineStr">
        <is>
          <t>PRE</t>
        </is>
      </c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12" t="n"/>
      <c r="T63" s="12" t="n"/>
      <c r="U63" s="12" t="n"/>
      <c r="V63" s="12" t="n"/>
      <c r="W63" s="12" t="n"/>
      <c r="X63" s="12" t="n"/>
      <c r="Y63" s="12" t="n"/>
      <c r="Z63" s="12" t="n"/>
      <c r="AA63" s="12" t="n"/>
      <c r="AB63" s="12" t="n"/>
      <c r="AC63" s="12" t="n"/>
      <c r="AD63" s="12" t="n"/>
      <c r="AE63" s="12" t="n"/>
      <c r="AF63" s="12" t="n"/>
      <c r="AG63" s="12" t="n"/>
      <c r="AH63" s="12" t="n"/>
      <c r="AI63" s="12" t="n"/>
      <c r="AJ63" s="12" t="n"/>
      <c r="AK63" s="12" t="n"/>
      <c r="AL63" s="12" t="n"/>
      <c r="AM63" s="12" t="n"/>
      <c r="AN63" s="12" t="n"/>
      <c r="AO63" s="12" t="n"/>
      <c r="AP63" s="12" t="n"/>
      <c r="AQ63" s="12" t="n"/>
      <c r="AR63" s="12" t="n"/>
      <c r="AS63" s="12" t="n"/>
      <c r="AT63" s="12" t="n"/>
      <c r="AU63" s="12" t="n"/>
      <c r="AV63" s="12" t="n"/>
      <c r="AW63" s="12" t="n"/>
      <c r="AX63" s="12" t="n"/>
      <c r="AY63" s="12" t="n"/>
      <c r="AZ63" s="12" t="n"/>
      <c r="BA63" s="12" t="n"/>
      <c r="BB63" s="12" t="n"/>
      <c r="BC63" s="12" t="n"/>
      <c r="BD63" s="12" t="n"/>
      <c r="BE63" s="12" t="n"/>
      <c r="BF63" s="12" t="n"/>
      <c r="BG63" s="12" t="n"/>
      <c r="BH63" s="12" t="n"/>
      <c r="BI63" s="12" t="n"/>
      <c r="BJ63" s="12" t="n"/>
      <c r="BK63" s="12" t="n"/>
      <c r="BL63" s="12" t="n"/>
      <c r="BM63" s="12" t="n"/>
      <c r="BN63" s="12" t="n"/>
      <c r="BO63" s="12" t="n"/>
      <c r="BP63" s="12" t="n"/>
      <c r="BQ63" s="12" t="n"/>
      <c r="BR63" s="12" t="n"/>
      <c r="BS63" s="12" t="n"/>
      <c r="BT63" s="12" t="n"/>
      <c r="BU63" s="12" t="n"/>
      <c r="BV63" s="12" t="n"/>
      <c r="BW63" s="12" t="n"/>
      <c r="BX63" s="12" t="n"/>
      <c r="BY63" s="12" t="n"/>
      <c r="BZ63" s="12" t="n"/>
      <c r="CA63" s="12" t="n"/>
      <c r="CB63" s="12" t="n"/>
      <c r="CC63" s="12" t="n"/>
      <c r="CD63" s="12" t="n"/>
      <c r="CE63" s="12" t="n"/>
      <c r="CF63" s="12" t="n"/>
      <c r="CG63" s="12" t="n"/>
      <c r="CH63" s="12" t="n"/>
      <c r="CI63" s="12" t="n"/>
      <c r="CJ63" s="12" t="n"/>
      <c r="CK63" s="12" t="n"/>
      <c r="CL63" s="12" t="n"/>
      <c r="CM63" s="12" t="n"/>
      <c r="CN63" s="12" t="n"/>
      <c r="CO63" s="12" t="n"/>
      <c r="CP63" s="12" t="n"/>
      <c r="CQ63" s="12" t="n"/>
      <c r="CR63" s="12" t="n"/>
      <c r="CS63" s="12" t="n"/>
      <c r="CT63" s="12" t="n"/>
      <c r="CU63" s="12" t="n"/>
      <c r="CV63" s="12" t="n"/>
      <c r="CW63" s="12" t="n"/>
      <c r="CX63" s="12" t="n"/>
      <c r="CY63" s="12" t="n"/>
    </row>
    <row r="64" hidden="1" outlineLevel="1">
      <c r="C64" s="57" t="inlineStr">
        <is>
          <t>CDI+</t>
        </is>
      </c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 t="n"/>
      <c r="Y64" s="12" t="n"/>
      <c r="Z64" s="12" t="n"/>
      <c r="AA64" s="12" t="n"/>
      <c r="AB64" s="12" t="n"/>
      <c r="AC64" s="12" t="n"/>
      <c r="AD64" s="12" t="n"/>
      <c r="AE64" s="12" t="n"/>
      <c r="AF64" s="12" t="n"/>
      <c r="AG64" s="12" t="n"/>
      <c r="AH64" s="12" t="n"/>
      <c r="AI64" s="12" t="n"/>
      <c r="AJ64" s="12" t="n"/>
      <c r="AK64" s="12" t="n"/>
      <c r="AL64" s="12" t="n"/>
      <c r="AM64" s="12" t="n"/>
      <c r="AN64" s="12" t="n"/>
      <c r="AO64" s="12" t="n"/>
      <c r="AP64" s="12" t="n"/>
      <c r="AQ64" s="12" t="n"/>
      <c r="AR64" s="12" t="n"/>
      <c r="AS64" s="12" t="n"/>
      <c r="AT64" s="12" t="n"/>
      <c r="AU64" s="12" t="n"/>
      <c r="AV64" s="12" t="n"/>
      <c r="AW64" s="12" t="n"/>
      <c r="AX64" s="12" t="n"/>
      <c r="AY64" s="12" t="n"/>
      <c r="AZ64" s="12" t="n"/>
      <c r="BA64" s="12" t="n"/>
      <c r="BB64" s="12" t="n"/>
      <c r="BC64" s="12" t="n"/>
      <c r="BD64" s="12" t="n"/>
      <c r="BE64" s="12" t="n"/>
      <c r="BF64" s="12" t="n"/>
      <c r="BG64" s="12" t="n"/>
      <c r="BH64" s="12" t="n"/>
      <c r="BI64" s="12" t="n"/>
      <c r="BJ64" s="12" t="n"/>
      <c r="BK64" s="12" t="n"/>
      <c r="BL64" s="12" t="n"/>
      <c r="BM64" s="12" t="n"/>
      <c r="BN64" s="12" t="n"/>
      <c r="BO64" s="12" t="n"/>
      <c r="BP64" s="12" t="n"/>
      <c r="BQ64" s="12" t="n"/>
      <c r="BR64" s="12" t="n"/>
      <c r="BS64" s="12" t="n"/>
      <c r="BT64" s="12" t="n"/>
      <c r="BU64" s="12" t="n"/>
      <c r="BV64" s="12" t="n"/>
      <c r="BW64" s="12" t="n"/>
      <c r="BX64" s="12" t="n"/>
      <c r="BY64" s="12" t="n"/>
      <c r="BZ64" s="12" t="n"/>
      <c r="CA64" s="12" t="n"/>
      <c r="CB64" s="12" t="n"/>
      <c r="CC64" s="12" t="n"/>
      <c r="CD64" s="12" t="n"/>
      <c r="CE64" s="12" t="n"/>
      <c r="CF64" s="12" t="n"/>
      <c r="CG64" s="12" t="n"/>
      <c r="CH64" s="12" t="n"/>
      <c r="CI64" s="12" t="n"/>
      <c r="CJ64" s="12" t="n"/>
      <c r="CK64" s="12" t="n"/>
      <c r="CL64" s="12" t="n"/>
      <c r="CM64" s="12" t="n"/>
      <c r="CN64" s="12" t="n"/>
      <c r="CO64" s="12" t="n"/>
      <c r="CP64" s="12" t="n"/>
      <c r="CQ64" s="12" t="n"/>
      <c r="CR64" s="12" t="n"/>
      <c r="CS64" s="12" t="n"/>
      <c r="CT64" s="12" t="n"/>
      <c r="CU64" s="12" t="n"/>
      <c r="CV64" s="12" t="n"/>
      <c r="CW64" s="12" t="n"/>
      <c r="CX64" s="12" t="n"/>
      <c r="CY64" s="12" t="n"/>
    </row>
    <row r="65" hidden="1" outlineLevel="1">
      <c r="C65" s="57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  <c r="M65" s="12" t="n"/>
      <c r="N65" s="12" t="n"/>
      <c r="O65" s="12" t="n"/>
      <c r="P65" s="12" t="n"/>
      <c r="Q65" s="12" t="n"/>
      <c r="R65" s="12" t="n"/>
      <c r="S65" s="12" t="n"/>
      <c r="T65" s="12" t="n"/>
      <c r="U65" s="12" t="n"/>
      <c r="V65" s="12" t="n"/>
      <c r="W65" s="12" t="n"/>
      <c r="X65" s="12" t="n"/>
      <c r="Y65" s="12" t="n"/>
      <c r="Z65" s="12" t="n"/>
      <c r="AA65" s="12" t="n"/>
      <c r="AB65" s="12" t="n"/>
      <c r="AC65" s="12" t="n"/>
      <c r="AD65" s="12" t="n"/>
      <c r="AE65" s="12" t="n"/>
      <c r="AF65" s="12" t="n"/>
      <c r="AG65" s="12" t="n"/>
      <c r="AH65" s="12" t="n"/>
      <c r="AI65" s="12" t="n"/>
      <c r="AJ65" s="12" t="n"/>
      <c r="AK65" s="12" t="n"/>
      <c r="AL65" s="12" t="n"/>
      <c r="AM65" s="12" t="n"/>
      <c r="AN65" s="12" t="n"/>
      <c r="AO65" s="12" t="n"/>
      <c r="AP65" s="12" t="n"/>
      <c r="AQ65" s="12" t="n"/>
      <c r="AR65" s="12" t="n"/>
      <c r="AS65" s="12" t="n"/>
      <c r="AT65" s="12" t="n"/>
      <c r="AU65" s="12" t="n"/>
      <c r="AV65" s="12" t="n"/>
      <c r="AW65" s="12" t="n"/>
      <c r="AX65" s="12" t="n"/>
      <c r="AY65" s="12" t="n"/>
      <c r="AZ65" s="12" t="n"/>
      <c r="BA65" s="12" t="n"/>
      <c r="BB65" s="12" t="n"/>
      <c r="BC65" s="12" t="n"/>
      <c r="BD65" s="12" t="n"/>
      <c r="BE65" s="12" t="n"/>
      <c r="BF65" s="12" t="n"/>
      <c r="BG65" s="12" t="n"/>
      <c r="BH65" s="12" t="n"/>
      <c r="BI65" s="12" t="n"/>
      <c r="BJ65" s="12" t="n"/>
      <c r="BK65" s="12" t="n"/>
      <c r="BL65" s="12" t="n"/>
      <c r="BM65" s="12" t="n"/>
      <c r="BN65" s="12" t="n"/>
      <c r="BO65" s="12" t="n"/>
      <c r="BP65" s="12" t="n"/>
      <c r="BQ65" s="12" t="n"/>
      <c r="BR65" s="12" t="n"/>
      <c r="BS65" s="12" t="n"/>
      <c r="BT65" s="12" t="n"/>
      <c r="BU65" s="12" t="n"/>
      <c r="BV65" s="12" t="n"/>
      <c r="BW65" s="12" t="n"/>
      <c r="BX65" s="12" t="n"/>
      <c r="BY65" s="12" t="n"/>
      <c r="BZ65" s="12" t="n"/>
      <c r="CA65" s="12" t="n"/>
      <c r="CB65" s="12" t="n"/>
      <c r="CC65" s="12" t="n"/>
      <c r="CD65" s="12" t="n"/>
      <c r="CE65" s="12" t="n"/>
      <c r="CF65" s="12" t="n"/>
      <c r="CG65" s="12" t="n"/>
      <c r="CH65" s="12" t="n"/>
      <c r="CI65" s="12" t="n"/>
      <c r="CJ65" s="12" t="n"/>
      <c r="CK65" s="12" t="n"/>
      <c r="CL65" s="12" t="n"/>
      <c r="CM65" s="12" t="n"/>
      <c r="CN65" s="12" t="n"/>
      <c r="CO65" s="12" t="n"/>
      <c r="CP65" s="12" t="n"/>
      <c r="CQ65" s="12" t="n"/>
      <c r="CR65" s="12" t="n"/>
      <c r="CS65" s="12" t="n"/>
      <c r="CT65" s="12" t="n"/>
      <c r="CU65" s="12" t="n"/>
      <c r="CV65" s="12" t="n"/>
      <c r="CW65" s="12" t="n"/>
      <c r="CX65" s="12" t="n"/>
      <c r="CY65" s="12" t="n"/>
    </row>
    <row r="66" hidden="1" outlineLevel="1">
      <c r="C66" s="57" t="inlineStr">
        <is>
          <t>Spread</t>
        </is>
      </c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12" t="n"/>
      <c r="O66" s="12" t="n"/>
      <c r="P66" s="12" t="n"/>
      <c r="Q66" s="12" t="n"/>
      <c r="R66" s="12" t="n"/>
      <c r="S66" s="12" t="n"/>
      <c r="T66" s="12" t="n"/>
      <c r="U66" s="12" t="n"/>
      <c r="V66" s="12" t="n"/>
      <c r="W66" s="12" t="n"/>
      <c r="X66" s="12" t="n"/>
      <c r="Y66" s="12" t="n"/>
      <c r="Z66" s="12" t="n"/>
      <c r="AA66" s="12" t="n"/>
      <c r="AB66" s="12" t="n"/>
      <c r="AC66" s="12" t="n"/>
      <c r="AD66" s="12" t="n"/>
      <c r="AE66" s="12" t="n"/>
      <c r="AF66" s="12" t="n"/>
      <c r="AG66" s="12" t="n"/>
      <c r="AH66" s="12" t="n"/>
      <c r="AI66" s="12" t="n"/>
      <c r="AJ66" s="12" t="n"/>
      <c r="AK66" s="12" t="n"/>
      <c r="AL66" s="12" t="n"/>
      <c r="AM66" s="12" t="n"/>
      <c r="AN66" s="12" t="n"/>
      <c r="AO66" s="12" t="n"/>
      <c r="AP66" s="12" t="n"/>
      <c r="AQ66" s="12" t="n"/>
      <c r="AR66" s="12" t="n"/>
      <c r="AS66" s="12" t="n"/>
      <c r="AT66" s="12" t="n"/>
      <c r="AU66" s="12" t="n"/>
      <c r="AV66" s="12" t="n"/>
      <c r="AW66" s="12" t="n"/>
      <c r="AX66" s="12" t="n"/>
      <c r="AY66" s="12" t="n"/>
      <c r="AZ66" s="12" t="n"/>
      <c r="BA66" s="12" t="n"/>
      <c r="BB66" s="12" t="n"/>
      <c r="BC66" s="12" t="n"/>
      <c r="BD66" s="12" t="n"/>
      <c r="BE66" s="12" t="n"/>
      <c r="BF66" s="12" t="n"/>
      <c r="BG66" s="12" t="n"/>
      <c r="BH66" s="12" t="n"/>
      <c r="BI66" s="12" t="n"/>
      <c r="BJ66" s="12" t="n"/>
      <c r="BK66" s="12" t="n"/>
      <c r="BL66" s="12" t="n"/>
      <c r="BM66" s="12" t="n"/>
      <c r="BN66" s="12" t="n"/>
      <c r="BO66" s="12" t="n"/>
      <c r="BP66" s="12" t="n"/>
      <c r="BQ66" s="12" t="n"/>
      <c r="BR66" s="12" t="n"/>
      <c r="BS66" s="12" t="n"/>
      <c r="BT66" s="12" t="n"/>
      <c r="BU66" s="12" t="n"/>
      <c r="BV66" s="12" t="n"/>
      <c r="BW66" s="12" t="n"/>
      <c r="BX66" s="12" t="n"/>
      <c r="BY66" s="12" t="n"/>
      <c r="BZ66" s="12" t="n"/>
      <c r="CA66" s="12" t="n"/>
      <c r="CB66" s="12" t="n"/>
      <c r="CC66" s="12" t="n"/>
      <c r="CD66" s="12" t="n"/>
      <c r="CE66" s="12" t="n"/>
      <c r="CF66" s="12" t="n"/>
      <c r="CG66" s="12" t="n"/>
      <c r="CH66" s="12" t="n"/>
      <c r="CI66" s="12" t="n"/>
      <c r="CJ66" s="12" t="n"/>
      <c r="CK66" s="12" t="n"/>
      <c r="CL66" s="12" t="n"/>
      <c r="CM66" s="12" t="n"/>
      <c r="CN66" s="12" t="n"/>
      <c r="CO66" s="12" t="n"/>
      <c r="CP66" s="12" t="n"/>
      <c r="CQ66" s="12" t="n"/>
      <c r="CR66" s="12" t="n"/>
      <c r="CS66" s="12" t="n"/>
      <c r="CT66" s="12" t="n"/>
      <c r="CU66" s="12" t="n"/>
      <c r="CV66" s="12" t="n"/>
      <c r="CW66" s="12" t="n"/>
      <c r="CX66" s="12" t="n"/>
      <c r="CY66" s="12" t="n"/>
    </row>
    <row r="67" hidden="1" outlineLevel="1">
      <c r="C67" s="57" t="inlineStr">
        <is>
          <t>PRE</t>
        </is>
      </c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2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2" t="n"/>
      <c r="Z67" s="12" t="n"/>
      <c r="AA67" s="12" t="n"/>
      <c r="AB67" s="12" t="n"/>
      <c r="AC67" s="12" t="n"/>
      <c r="AD67" s="12" t="n"/>
      <c r="AE67" s="12" t="n"/>
      <c r="AF67" s="12" t="n"/>
      <c r="AG67" s="12" t="n"/>
      <c r="AH67" s="12" t="n"/>
      <c r="AI67" s="12" t="n"/>
      <c r="AJ67" s="12" t="n"/>
      <c r="AK67" s="12" t="n"/>
      <c r="AL67" s="12" t="n"/>
      <c r="AM67" s="12" t="n"/>
      <c r="AN67" s="12" t="n"/>
      <c r="AO67" s="12" t="n"/>
      <c r="AP67" s="12" t="n"/>
      <c r="AQ67" s="12" t="n"/>
      <c r="AR67" s="12" t="n"/>
      <c r="AS67" s="12" t="n"/>
      <c r="AT67" s="12" t="n"/>
      <c r="AU67" s="12" t="n"/>
      <c r="AV67" s="12" t="n"/>
      <c r="AW67" s="12" t="n"/>
      <c r="AX67" s="12" t="n"/>
      <c r="AY67" s="12" t="n"/>
      <c r="AZ67" s="12" t="n"/>
      <c r="BA67" s="12" t="n"/>
      <c r="BB67" s="12" t="n"/>
      <c r="BC67" s="12" t="n"/>
      <c r="BD67" s="12" t="n"/>
      <c r="BE67" s="12" t="n"/>
      <c r="BF67" s="12" t="n"/>
      <c r="BG67" s="12" t="n"/>
      <c r="BH67" s="12" t="n"/>
      <c r="BI67" s="12" t="n"/>
      <c r="BJ67" s="12" t="n"/>
      <c r="BK67" s="12" t="n"/>
      <c r="BL67" s="12" t="n"/>
      <c r="BM67" s="12" t="n"/>
      <c r="BN67" s="12" t="n"/>
      <c r="BO67" s="12" t="n"/>
      <c r="BP67" s="12" t="n"/>
      <c r="BQ67" s="12" t="n"/>
      <c r="BR67" s="12" t="n"/>
      <c r="BS67" s="12" t="n"/>
      <c r="BT67" s="12" t="n"/>
      <c r="BU67" s="12" t="n"/>
      <c r="BV67" s="12" t="n"/>
      <c r="BW67" s="12" t="n"/>
      <c r="BX67" s="12" t="n"/>
      <c r="BY67" s="12" t="n"/>
      <c r="BZ67" s="12" t="n"/>
      <c r="CA67" s="12" t="n"/>
      <c r="CB67" s="12" t="n"/>
      <c r="CC67" s="12" t="n"/>
      <c r="CD67" s="12" t="n"/>
      <c r="CE67" s="12" t="n"/>
      <c r="CF67" s="12" t="n"/>
      <c r="CG67" s="12" t="n"/>
      <c r="CH67" s="12" t="n"/>
      <c r="CI67" s="12" t="n"/>
      <c r="CJ67" s="12" t="n"/>
      <c r="CK67" s="12" t="n"/>
      <c r="CL67" s="12" t="n"/>
      <c r="CM67" s="12" t="n"/>
      <c r="CN67" s="12" t="n"/>
      <c r="CO67" s="12" t="n"/>
      <c r="CP67" s="12" t="n"/>
      <c r="CQ67" s="12" t="n"/>
      <c r="CR67" s="12" t="n"/>
      <c r="CS67" s="12" t="n"/>
      <c r="CT67" s="12" t="n"/>
      <c r="CU67" s="12" t="n"/>
      <c r="CV67" s="12" t="n"/>
      <c r="CW67" s="12" t="n"/>
      <c r="CX67" s="12" t="n"/>
      <c r="CY67" s="12" t="n"/>
    </row>
    <row r="68" hidden="1" outlineLevel="1">
      <c r="C68" s="57" t="inlineStr">
        <is>
          <t>CDI+</t>
        </is>
      </c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2" t="n"/>
      <c r="P68" s="12" t="n"/>
      <c r="Q68" s="12" t="n"/>
      <c r="R68" s="12" t="n"/>
      <c r="S68" s="12" t="n"/>
      <c r="T68" s="12" t="n"/>
      <c r="U68" s="12" t="n"/>
      <c r="V68" s="12" t="n"/>
      <c r="W68" s="12" t="n"/>
      <c r="X68" s="12" t="n"/>
      <c r="Y68" s="12" t="n"/>
      <c r="Z68" s="12" t="n"/>
      <c r="AA68" s="12" t="n"/>
      <c r="AB68" s="12" t="n"/>
      <c r="AC68" s="12" t="n"/>
      <c r="AD68" s="12" t="n"/>
      <c r="AE68" s="12" t="n"/>
      <c r="AF68" s="12" t="n"/>
      <c r="AG68" s="12" t="n"/>
      <c r="AH68" s="12" t="n"/>
      <c r="AI68" s="12" t="n"/>
      <c r="AJ68" s="12" t="n"/>
      <c r="AK68" s="12" t="n"/>
      <c r="AL68" s="12" t="n"/>
      <c r="AM68" s="12" t="n"/>
      <c r="AN68" s="12" t="n"/>
      <c r="AO68" s="12" t="n"/>
      <c r="AP68" s="12" t="n"/>
      <c r="AQ68" s="12" t="n"/>
      <c r="AR68" s="12" t="n"/>
      <c r="AS68" s="12" t="n"/>
      <c r="AT68" s="12" t="n"/>
      <c r="AU68" s="12" t="n"/>
      <c r="AV68" s="12" t="n"/>
      <c r="AW68" s="12" t="n"/>
      <c r="AX68" s="12" t="n"/>
      <c r="AY68" s="12" t="n"/>
      <c r="AZ68" s="12" t="n"/>
      <c r="BA68" s="12" t="n"/>
      <c r="BB68" s="12" t="n"/>
      <c r="BC68" s="12" t="n"/>
      <c r="BD68" s="12" t="n"/>
      <c r="BE68" s="12" t="n"/>
      <c r="BF68" s="12" t="n"/>
      <c r="BG68" s="12" t="n"/>
      <c r="BH68" s="12" t="n"/>
      <c r="BI68" s="12" t="n"/>
      <c r="BJ68" s="12" t="n"/>
      <c r="BK68" s="12" t="n"/>
      <c r="BL68" s="12" t="n"/>
      <c r="BM68" s="12" t="n"/>
      <c r="BN68" s="12" t="n"/>
      <c r="BO68" s="12" t="n"/>
      <c r="BP68" s="12" t="n"/>
      <c r="BQ68" s="12" t="n"/>
      <c r="BR68" s="12" t="n"/>
      <c r="BS68" s="12" t="n"/>
      <c r="BT68" s="12" t="n"/>
      <c r="BU68" s="12" t="n"/>
      <c r="BV68" s="12" t="n"/>
      <c r="BW68" s="12" t="n"/>
      <c r="BX68" s="12" t="n"/>
      <c r="BY68" s="12" t="n"/>
      <c r="BZ68" s="12" t="n"/>
      <c r="CA68" s="12" t="n"/>
      <c r="CB68" s="12" t="n"/>
      <c r="CC68" s="12" t="n"/>
      <c r="CD68" s="12" t="n"/>
      <c r="CE68" s="12" t="n"/>
      <c r="CF68" s="12" t="n"/>
      <c r="CG68" s="12" t="n"/>
      <c r="CH68" s="12" t="n"/>
      <c r="CI68" s="12" t="n"/>
      <c r="CJ68" s="12" t="n"/>
      <c r="CK68" s="12" t="n"/>
      <c r="CL68" s="12" t="n"/>
      <c r="CM68" s="12" t="n"/>
      <c r="CN68" s="12" t="n"/>
      <c r="CO68" s="12" t="n"/>
      <c r="CP68" s="12" t="n"/>
      <c r="CQ68" s="12" t="n"/>
      <c r="CR68" s="12" t="n"/>
      <c r="CS68" s="12" t="n"/>
      <c r="CT68" s="12" t="n"/>
      <c r="CU68" s="12" t="n"/>
      <c r="CV68" s="12" t="n"/>
      <c r="CW68" s="12" t="n"/>
      <c r="CX68" s="12" t="n"/>
      <c r="CY68" s="12" t="n"/>
    </row>
    <row r="69" hidden="1" outlineLevel="1">
      <c r="C69" s="57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  <c r="P69" s="12" t="n"/>
      <c r="Q69" s="12" t="n"/>
      <c r="R69" s="12" t="n"/>
      <c r="S69" s="12" t="n"/>
      <c r="T69" s="12" t="n"/>
      <c r="U69" s="12" t="n"/>
      <c r="V69" s="12" t="n"/>
      <c r="W69" s="12" t="n"/>
      <c r="X69" s="12" t="n"/>
      <c r="Y69" s="12" t="n"/>
      <c r="Z69" s="12" t="n"/>
      <c r="AA69" s="12" t="n"/>
      <c r="AB69" s="12" t="n"/>
      <c r="AC69" s="12" t="n"/>
      <c r="AD69" s="12" t="n"/>
      <c r="AE69" s="12" t="n"/>
      <c r="AF69" s="12" t="n"/>
      <c r="AG69" s="12" t="n"/>
      <c r="AH69" s="12" t="n"/>
      <c r="AI69" s="12" t="n"/>
      <c r="AJ69" s="12" t="n"/>
      <c r="AK69" s="12" t="n"/>
      <c r="AL69" s="12" t="n"/>
      <c r="AM69" s="12" t="n"/>
      <c r="AN69" s="12" t="n"/>
      <c r="AO69" s="12" t="n"/>
      <c r="AP69" s="12" t="n"/>
      <c r="AQ69" s="12" t="n"/>
      <c r="AR69" s="12" t="n"/>
      <c r="AS69" s="12" t="n"/>
      <c r="AT69" s="12" t="n"/>
      <c r="AU69" s="12" t="n"/>
      <c r="AV69" s="12" t="n"/>
      <c r="AW69" s="12" t="n"/>
      <c r="AX69" s="12" t="n"/>
      <c r="AY69" s="12" t="n"/>
      <c r="AZ69" s="12" t="n"/>
      <c r="BA69" s="12" t="n"/>
      <c r="BB69" s="12" t="n"/>
      <c r="BC69" s="12" t="n"/>
      <c r="BD69" s="12" t="n"/>
      <c r="BE69" s="12" t="n"/>
      <c r="BF69" s="12" t="n"/>
      <c r="BG69" s="12" t="n"/>
      <c r="BH69" s="12" t="n"/>
      <c r="BI69" s="12" t="n"/>
      <c r="BJ69" s="12" t="n"/>
      <c r="BK69" s="12" t="n"/>
      <c r="BL69" s="12" t="n"/>
      <c r="BM69" s="12" t="n"/>
      <c r="BN69" s="12" t="n"/>
      <c r="BO69" s="12" t="n"/>
      <c r="BP69" s="12" t="n"/>
      <c r="BQ69" s="12" t="n"/>
      <c r="BR69" s="12" t="n"/>
      <c r="BS69" s="12" t="n"/>
      <c r="BT69" s="12" t="n"/>
      <c r="BU69" s="12" t="n"/>
      <c r="BV69" s="12" t="n"/>
      <c r="BW69" s="12" t="n"/>
      <c r="BX69" s="12" t="n"/>
      <c r="BY69" s="12" t="n"/>
      <c r="BZ69" s="12" t="n"/>
      <c r="CA69" s="12" t="n"/>
      <c r="CB69" s="12" t="n"/>
      <c r="CC69" s="12" t="n"/>
      <c r="CD69" s="12" t="n"/>
      <c r="CE69" s="12" t="n"/>
      <c r="CF69" s="12" t="n"/>
      <c r="CG69" s="12" t="n"/>
      <c r="CH69" s="12" t="n"/>
      <c r="CI69" s="12" t="n"/>
      <c r="CJ69" s="12" t="n"/>
      <c r="CK69" s="12" t="n"/>
      <c r="CL69" s="12" t="n"/>
      <c r="CM69" s="12" t="n"/>
      <c r="CN69" s="12" t="n"/>
      <c r="CO69" s="12" t="n"/>
      <c r="CP69" s="12" t="n"/>
      <c r="CQ69" s="12" t="n"/>
      <c r="CR69" s="12" t="n"/>
      <c r="CS69" s="12" t="n"/>
      <c r="CT69" s="12" t="n"/>
      <c r="CU69" s="12" t="n"/>
      <c r="CV69" s="12" t="n"/>
      <c r="CW69" s="12" t="n"/>
      <c r="CX69" s="12" t="n"/>
      <c r="CY69" s="12" t="n"/>
    </row>
    <row r="70" hidden="1" outlineLevel="1">
      <c r="C70" s="57" t="inlineStr">
        <is>
          <t>RECEITAS FINANCEIRAS - Rendimentos de aplicações financeiras</t>
        </is>
      </c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2" t="n"/>
      <c r="Z70" s="12" t="n"/>
      <c r="AA70" s="12" t="n"/>
      <c r="AB70" s="12" t="n"/>
      <c r="AC70" s="12" t="n"/>
      <c r="AD70" s="12" t="n"/>
      <c r="AE70" s="12" t="n"/>
      <c r="AF70" s="12" t="n"/>
      <c r="AG70" s="12" t="n"/>
      <c r="AH70" s="12" t="n"/>
      <c r="AI70" s="12" t="n"/>
      <c r="AJ70" s="12" t="n"/>
      <c r="AK70" s="12" t="n"/>
      <c r="AL70" s="12" t="n"/>
      <c r="AM70" s="12" t="n"/>
      <c r="AN70" s="12" t="n"/>
      <c r="AO70" s="12" t="n"/>
      <c r="AP70" s="12" t="n"/>
      <c r="AQ70" s="12" t="n"/>
      <c r="AR70" s="12" t="n"/>
      <c r="AS70" s="12" t="n"/>
      <c r="AT70" s="12" t="n"/>
      <c r="AU70" s="12" t="n"/>
      <c r="AV70" s="12" t="n"/>
      <c r="AW70" s="12" t="n"/>
      <c r="AX70" s="12" t="n"/>
      <c r="AY70" s="12" t="n"/>
      <c r="AZ70" s="12" t="n"/>
      <c r="BA70" s="12" t="n"/>
      <c r="BB70" s="12" t="n"/>
      <c r="BC70" s="12" t="n"/>
      <c r="BD70" s="12" t="n"/>
      <c r="BE70" s="12" t="n"/>
      <c r="BF70" s="12" t="n"/>
      <c r="BG70" s="12" t="n"/>
      <c r="BH70" s="12" t="n"/>
      <c r="BI70" s="12" t="n"/>
      <c r="BJ70" s="12" t="n"/>
      <c r="BK70" s="12" t="n"/>
      <c r="BL70" s="12" t="n"/>
      <c r="BM70" s="12" t="n"/>
      <c r="BN70" s="12" t="n"/>
      <c r="BO70" s="12" t="n"/>
      <c r="BP70" s="12" t="n"/>
      <c r="BQ70" s="12" t="n"/>
      <c r="BR70" s="12" t="n"/>
      <c r="BS70" s="12" t="n"/>
      <c r="BT70" s="12" t="n"/>
      <c r="BU70" s="12" t="n"/>
      <c r="BV70" s="12" t="n"/>
      <c r="BW70" s="12" t="n"/>
      <c r="BX70" s="12" t="n"/>
      <c r="BY70" s="12" t="n"/>
      <c r="BZ70" s="12" t="n"/>
      <c r="CA70" s="12" t="n"/>
      <c r="CB70" s="12" t="n"/>
      <c r="CC70" s="12" t="n"/>
      <c r="CD70" s="12" t="n"/>
      <c r="CE70" s="12" t="n"/>
      <c r="CF70" s="12" t="n"/>
      <c r="CG70" s="12" t="n"/>
      <c r="CH70" s="12" t="n"/>
      <c r="CI70" s="12" t="n"/>
      <c r="CJ70" s="12" t="n"/>
      <c r="CK70" s="12" t="n"/>
      <c r="CL70" s="12" t="n"/>
      <c r="CM70" s="12" t="n"/>
      <c r="CN70" s="12" t="n"/>
      <c r="CO70" s="12" t="n"/>
      <c r="CP70" s="12" t="n"/>
      <c r="CQ70" s="12" t="n"/>
      <c r="CR70" s="12" t="n"/>
      <c r="CS70" s="12" t="n"/>
      <c r="CT70" s="12" t="n"/>
      <c r="CU70" s="12" t="n"/>
      <c r="CV70" s="12" t="n"/>
      <c r="CW70" s="12" t="n"/>
      <c r="CX70" s="12" t="n"/>
      <c r="CY70" s="12" t="n"/>
    </row>
    <row r="71" hidden="1" outlineLevel="1">
      <c r="C71" s="57" t="inlineStr">
        <is>
          <t>RECEITAS FINANCEIRAS - Variação cambial ativa</t>
        </is>
      </c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  <c r="P71" s="12" t="n"/>
      <c r="Q71" s="12" t="n"/>
      <c r="R71" s="12" t="n"/>
      <c r="S71" s="12" t="n"/>
      <c r="T71" s="12" t="n"/>
      <c r="U71" s="12" t="n"/>
      <c r="V71" s="12" t="n"/>
      <c r="W71" s="12" t="n"/>
      <c r="X71" s="12" t="n"/>
      <c r="Y71" s="12" t="n"/>
      <c r="Z71" s="12" t="n"/>
      <c r="AA71" s="12" t="n"/>
      <c r="AB71" s="12" t="n"/>
      <c r="AC71" s="12" t="n"/>
      <c r="AD71" s="12" t="n"/>
      <c r="AE71" s="12" t="n"/>
      <c r="AF71" s="12" t="n"/>
      <c r="AG71" s="12" t="n"/>
      <c r="AH71" s="12" t="n"/>
      <c r="AI71" s="12" t="n"/>
      <c r="AJ71" s="12" t="n"/>
      <c r="AK71" s="12" t="n"/>
      <c r="AL71" s="12" t="n"/>
      <c r="AM71" s="12" t="n"/>
      <c r="AN71" s="12" t="n"/>
      <c r="AO71" s="12" t="n"/>
      <c r="AP71" s="12" t="n"/>
      <c r="AQ71" s="12" t="n"/>
      <c r="AR71" s="12" t="n"/>
      <c r="AS71" s="12" t="n"/>
      <c r="AT71" s="12" t="n"/>
      <c r="AU71" s="12" t="n"/>
      <c r="AV71" s="12" t="n"/>
      <c r="AW71" s="12" t="n"/>
      <c r="AX71" s="12" t="n"/>
      <c r="AY71" s="12" t="n"/>
      <c r="AZ71" s="12" t="n"/>
      <c r="BA71" s="12" t="n"/>
      <c r="BB71" s="12" t="n"/>
      <c r="BC71" s="12" t="n"/>
      <c r="BD71" s="12" t="n"/>
      <c r="BE71" s="12" t="n"/>
      <c r="BF71" s="12" t="n"/>
      <c r="BG71" s="12" t="n"/>
      <c r="BH71" s="12" t="n"/>
      <c r="BI71" s="12" t="n"/>
      <c r="BJ71" s="12" t="n"/>
      <c r="BK71" s="12" t="n"/>
      <c r="BL71" s="12" t="n"/>
      <c r="BM71" s="12" t="n"/>
      <c r="BN71" s="12" t="n"/>
      <c r="BO71" s="12" t="n"/>
      <c r="BP71" s="12" t="n"/>
      <c r="BQ71" s="12" t="n"/>
      <c r="BR71" s="12" t="n"/>
      <c r="BS71" s="12" t="n"/>
      <c r="BT71" s="12" t="n"/>
      <c r="BU71" s="12" t="n"/>
      <c r="BV71" s="12" t="n"/>
      <c r="BW71" s="12" t="n"/>
      <c r="BX71" s="12" t="n"/>
      <c r="BY71" s="12" t="n"/>
      <c r="BZ71" s="12" t="n"/>
      <c r="CA71" s="12" t="n"/>
      <c r="CB71" s="12" t="n"/>
      <c r="CC71" s="12" t="n"/>
      <c r="CD71" s="12" t="n"/>
      <c r="CE71" s="12" t="n"/>
      <c r="CF71" s="12" t="n"/>
      <c r="CG71" s="12" t="n"/>
      <c r="CH71" s="12" t="n"/>
      <c r="CI71" s="12" t="n"/>
      <c r="CJ71" s="12" t="n"/>
      <c r="CK71" s="12" t="n"/>
      <c r="CL71" s="12" t="n"/>
      <c r="CM71" s="12" t="n"/>
      <c r="CN71" s="12" t="n"/>
      <c r="CO71" s="12" t="n"/>
      <c r="CP71" s="12" t="n"/>
      <c r="CQ71" s="12" t="n"/>
      <c r="CR71" s="12" t="n"/>
      <c r="CS71" s="12" t="n"/>
      <c r="CT71" s="12" t="n"/>
      <c r="CU71" s="12" t="n"/>
      <c r="CV71" s="12" t="n"/>
      <c r="CW71" s="12" t="n"/>
      <c r="CX71" s="12" t="n"/>
      <c r="CY71" s="12" t="n"/>
    </row>
    <row r="72" hidden="1" outlineLevel="1">
      <c r="C72" s="57" t="inlineStr">
        <is>
          <t>RECEITAS FINANCEIRAS - Atualização de contas a pagar por aquisição de empresas</t>
        </is>
      </c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  <c r="P72" s="12" t="n"/>
      <c r="Q72" s="12" t="n"/>
      <c r="R72" s="12" t="n"/>
      <c r="S72" s="12" t="n"/>
      <c r="T72" s="12" t="n"/>
      <c r="U72" s="12" t="n"/>
      <c r="V72" s="12" t="n"/>
      <c r="W72" s="12" t="n"/>
      <c r="X72" s="12" t="n"/>
      <c r="Y72" s="12" t="n"/>
      <c r="Z72" s="12" t="n"/>
      <c r="AA72" s="12" t="n"/>
      <c r="AB72" s="12" t="n"/>
      <c r="AC72" s="12" t="n"/>
      <c r="AD72" s="12" t="n"/>
      <c r="AE72" s="12" t="n"/>
      <c r="AF72" s="12" t="n"/>
      <c r="AG72" s="12" t="n"/>
      <c r="AH72" s="12" t="n"/>
      <c r="AI72" s="12" t="n"/>
      <c r="AJ72" s="12" t="n"/>
      <c r="AK72" s="12" t="n"/>
      <c r="AL72" s="12" t="n"/>
      <c r="AM72" s="12" t="n"/>
      <c r="AN72" s="12" t="n"/>
      <c r="AO72" s="12" t="n"/>
      <c r="AP72" s="12" t="n"/>
      <c r="AQ72" s="12" t="n"/>
      <c r="AR72" s="12" t="n"/>
      <c r="AS72" s="12" t="n"/>
      <c r="AT72" s="12" t="n"/>
      <c r="AU72" s="12" t="n"/>
      <c r="AV72" s="12" t="n"/>
      <c r="AW72" s="12" t="n"/>
      <c r="AX72" s="12" t="n"/>
      <c r="AY72" s="12" t="n"/>
      <c r="AZ72" s="12" t="n"/>
      <c r="BA72" s="12" t="n"/>
      <c r="BB72" s="12" t="n"/>
      <c r="BC72" s="12" t="n"/>
      <c r="BD72" s="12" t="n"/>
      <c r="BE72" s="12" t="n"/>
      <c r="BF72" s="12" t="n"/>
      <c r="BG72" s="12" t="n"/>
      <c r="BH72" s="12" t="n"/>
      <c r="BI72" s="12" t="n"/>
      <c r="BJ72" s="12" t="n"/>
      <c r="BK72" s="12" t="n"/>
      <c r="BL72" s="12" t="n"/>
      <c r="BM72" s="12" t="n"/>
      <c r="BN72" s="12" t="n"/>
      <c r="BO72" s="12" t="n"/>
      <c r="BP72" s="12" t="n"/>
      <c r="BQ72" s="12" t="n"/>
      <c r="BR72" s="12" t="n"/>
      <c r="BS72" s="12" t="n"/>
      <c r="BT72" s="12" t="n"/>
      <c r="BU72" s="12" t="n"/>
      <c r="BV72" s="12" t="n"/>
      <c r="BW72" s="12" t="n"/>
      <c r="BX72" s="12" t="n"/>
      <c r="BY72" s="12" t="n"/>
      <c r="BZ72" s="12" t="n"/>
      <c r="CA72" s="12" t="n"/>
      <c r="CB72" s="12" t="n"/>
      <c r="CC72" s="12" t="n"/>
      <c r="CD72" s="12" t="n"/>
      <c r="CE72" s="12" t="n"/>
      <c r="CF72" s="12" t="n"/>
      <c r="CG72" s="12" t="n"/>
      <c r="CH72" s="12" t="n"/>
      <c r="CI72" s="12" t="n"/>
      <c r="CJ72" s="12" t="n"/>
      <c r="CK72" s="12" t="n"/>
      <c r="CL72" s="12" t="n"/>
      <c r="CM72" s="12" t="n"/>
      <c r="CN72" s="12" t="n"/>
      <c r="CO72" s="12" t="n"/>
      <c r="CP72" s="12" t="n"/>
      <c r="CQ72" s="12" t="n"/>
      <c r="CR72" s="12" t="n"/>
      <c r="CS72" s="12" t="n"/>
      <c r="CT72" s="12" t="n"/>
      <c r="CU72" s="12" t="n"/>
      <c r="CV72" s="12" t="n"/>
      <c r="CW72" s="12" t="n"/>
      <c r="CX72" s="12" t="n"/>
      <c r="CY72" s="12" t="n"/>
    </row>
    <row r="73" hidden="1" outlineLevel="1">
      <c r="C73" s="57" t="inlineStr">
        <is>
          <t>RECEITAS FINANCEIRAS - Resultado positivo com instrumentos derivativos</t>
        </is>
      </c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  <c r="AH73" s="12" t="n"/>
      <c r="AI73" s="12" t="n"/>
      <c r="AJ73" s="12" t="n"/>
      <c r="AK73" s="12" t="n"/>
      <c r="AL73" s="12" t="n"/>
      <c r="AM73" s="12" t="n"/>
      <c r="AN73" s="12" t="n"/>
      <c r="AO73" s="12" t="n"/>
      <c r="AP73" s="12" t="n"/>
      <c r="AQ73" s="12" t="n"/>
      <c r="AR73" s="12" t="n"/>
      <c r="AS73" s="12" t="n"/>
      <c r="AT73" s="12" t="n"/>
      <c r="AU73" s="12" t="n"/>
      <c r="AV73" s="12" t="n"/>
      <c r="AW73" s="12" t="n"/>
      <c r="AX73" s="12" t="n"/>
      <c r="AY73" s="12" t="n"/>
      <c r="AZ73" s="12" t="n"/>
      <c r="BA73" s="12" t="n"/>
      <c r="BB73" s="12" t="n"/>
      <c r="BC73" s="12" t="n"/>
      <c r="BD73" s="12" t="n"/>
      <c r="BE73" s="12" t="n"/>
      <c r="BF73" s="12" t="n"/>
      <c r="BG73" s="12" t="n"/>
      <c r="BH73" s="12" t="n"/>
      <c r="BI73" s="12" t="n"/>
      <c r="BJ73" s="12" t="n"/>
      <c r="BK73" s="12" t="n"/>
      <c r="BL73" s="12" t="n"/>
      <c r="BM73" s="12" t="n"/>
      <c r="BN73" s="12" t="n"/>
      <c r="BO73" s="12" t="n"/>
      <c r="BP73" s="12" t="n"/>
      <c r="BQ73" s="12" t="n"/>
      <c r="BR73" s="12" t="n"/>
      <c r="BS73" s="12" t="n"/>
      <c r="BT73" s="12" t="n"/>
      <c r="BU73" s="12" t="n"/>
      <c r="BV73" s="12" t="n"/>
      <c r="BW73" s="12" t="n"/>
      <c r="BX73" s="12" t="n"/>
      <c r="BY73" s="12" t="n"/>
      <c r="BZ73" s="12" t="n"/>
      <c r="CA73" s="12" t="n"/>
      <c r="CB73" s="12" t="n"/>
      <c r="CC73" s="12" t="n"/>
      <c r="CD73" s="12" t="n"/>
      <c r="CE73" s="12" t="n"/>
      <c r="CF73" s="12" t="n"/>
      <c r="CG73" s="12" t="n"/>
      <c r="CH73" s="12" t="n"/>
      <c r="CI73" s="12" t="n"/>
      <c r="CJ73" s="12" t="n"/>
      <c r="CK73" s="12" t="n"/>
      <c r="CL73" s="12" t="n"/>
      <c r="CM73" s="12" t="n"/>
      <c r="CN73" s="12" t="n"/>
      <c r="CO73" s="12" t="n"/>
      <c r="CP73" s="12" t="n"/>
      <c r="CQ73" s="12" t="n"/>
      <c r="CR73" s="12" t="n"/>
      <c r="CS73" s="12" t="n"/>
      <c r="CT73" s="12" t="n"/>
      <c r="CU73" s="12" t="n"/>
      <c r="CV73" s="12" t="n"/>
      <c r="CW73" s="12" t="n"/>
      <c r="CX73" s="12" t="n"/>
      <c r="CY73" s="12" t="n"/>
    </row>
    <row r="74" hidden="1" outlineLevel="1">
      <c r="C74" s="57" t="inlineStr">
        <is>
          <t>RECEITAS FINANCEIRAS - Descontos obtidos de fornecedores por antecipação</t>
        </is>
      </c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 s="12" t="n"/>
      <c r="R74" s="12" t="n"/>
      <c r="S74" s="12" t="n"/>
      <c r="T74" s="12" t="n"/>
      <c r="U74" s="12" t="n"/>
      <c r="V74" s="12" t="n"/>
      <c r="W74" s="12" t="n"/>
      <c r="X74" s="12" t="n"/>
      <c r="Y74" s="12" t="n"/>
      <c r="Z74" s="12" t="n"/>
      <c r="AA74" s="12" t="n"/>
      <c r="AB74" s="12" t="n"/>
      <c r="AC74" s="12" t="n"/>
      <c r="AD74" s="12" t="n"/>
      <c r="AE74" s="12" t="n"/>
      <c r="AF74" s="12" t="n"/>
      <c r="AG74" s="12" t="n"/>
      <c r="AH74" s="12" t="n"/>
      <c r="AI74" s="12" t="n"/>
      <c r="AJ74" s="12" t="n"/>
      <c r="AK74" s="12" t="n"/>
      <c r="AL74" s="12" t="n"/>
      <c r="AM74" s="12" t="n"/>
      <c r="AN74" s="12" t="n"/>
      <c r="AO74" s="12" t="n"/>
      <c r="AP74" s="12" t="n"/>
      <c r="AQ74" s="12" t="n"/>
      <c r="AR74" s="12" t="n"/>
      <c r="AS74" s="12" t="n"/>
      <c r="AT74" s="12" t="n"/>
      <c r="AU74" s="12" t="n"/>
      <c r="AV74" s="12" t="n"/>
      <c r="AW74" s="12" t="n"/>
      <c r="AX74" s="12" t="n"/>
      <c r="AY74" s="12" t="n"/>
      <c r="AZ74" s="12" t="n"/>
      <c r="BA74" s="12" t="n"/>
      <c r="BB74" s="12" t="n"/>
      <c r="BC74" s="12" t="n"/>
      <c r="BD74" s="12" t="n"/>
      <c r="BE74" s="12" t="n"/>
      <c r="BF74" s="12" t="n"/>
      <c r="BG74" s="12" t="n"/>
      <c r="BH74" s="12" t="n"/>
      <c r="BI74" s="12" t="n"/>
      <c r="BJ74" s="12" t="n"/>
      <c r="BK74" s="12" t="n"/>
      <c r="BL74" s="12" t="n"/>
      <c r="BM74" s="12" t="n"/>
      <c r="BN74" s="12" t="n"/>
      <c r="BO74" s="12" t="n"/>
      <c r="BP74" s="12" t="n"/>
      <c r="BQ74" s="12" t="n"/>
      <c r="BR74" s="12" t="n"/>
      <c r="BS74" s="12" t="n"/>
      <c r="BT74" s="12" t="n"/>
      <c r="BU74" s="12" t="n"/>
      <c r="BV74" s="12" t="n"/>
      <c r="BW74" s="12" t="n"/>
      <c r="BX74" s="12" t="n"/>
      <c r="BY74" s="12" t="n"/>
      <c r="BZ74" s="12" t="n"/>
      <c r="CA74" s="12" t="n"/>
      <c r="CB74" s="12" t="n"/>
      <c r="CC74" s="12" t="n"/>
      <c r="CD74" s="12" t="n"/>
      <c r="CE74" s="12" t="n"/>
      <c r="CF74" s="12" t="n"/>
      <c r="CG74" s="12" t="n"/>
      <c r="CH74" s="12" t="n"/>
      <c r="CI74" s="12" t="n"/>
      <c r="CJ74" s="12" t="n"/>
      <c r="CK74" s="12" t="n"/>
      <c r="CL74" s="12" t="n"/>
      <c r="CM74" s="12" t="n"/>
      <c r="CN74" s="12" t="n"/>
      <c r="CO74" s="12" t="n"/>
      <c r="CP74" s="12" t="n"/>
      <c r="CQ74" s="12" t="n"/>
      <c r="CR74" s="12" t="n"/>
      <c r="CS74" s="12" t="n"/>
      <c r="CT74" s="12" t="n"/>
      <c r="CU74" s="12" t="n"/>
      <c r="CV74" s="12" t="n"/>
      <c r="CW74" s="12" t="n"/>
      <c r="CX74" s="12" t="n"/>
      <c r="CY74" s="12" t="n"/>
    </row>
    <row r="75" hidden="1" outlineLevel="1">
      <c r="C75" s="57" t="inlineStr">
        <is>
          <t>RECEITAS FINANCEIRAS - Atualização monetária sobre Exclusão ICMS da base de PIS/COFINS (nota explicativa nº 7)</t>
        </is>
      </c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2" t="n"/>
      <c r="AC75" s="12" t="n"/>
      <c r="AD75" s="12" t="n"/>
      <c r="AE75" s="12" t="n"/>
      <c r="AF75" s="12" t="n"/>
      <c r="AG75" s="12" t="n"/>
      <c r="AH75" s="12" t="n"/>
      <c r="AI75" s="12" t="n"/>
      <c r="AJ75" s="12" t="n"/>
      <c r="AK75" s="12" t="n"/>
      <c r="AL75" s="12" t="n"/>
      <c r="AM75" s="12" t="n"/>
      <c r="AN75" s="12" t="n"/>
      <c r="AO75" s="12" t="n"/>
      <c r="AP75" s="12" t="n"/>
      <c r="AQ75" s="12" t="n"/>
      <c r="AR75" s="12" t="n"/>
      <c r="AS75" s="12" t="n"/>
      <c r="AT75" s="12" t="n"/>
      <c r="AU75" s="12" t="n"/>
      <c r="AV75" s="12" t="n"/>
      <c r="AW75" s="12" t="n"/>
      <c r="AX75" s="12" t="n"/>
      <c r="AY75" s="12" t="n"/>
      <c r="AZ75" s="12" t="n"/>
      <c r="BA75" s="12" t="n"/>
      <c r="BB75" s="12" t="n"/>
      <c r="BC75" s="12" t="n"/>
      <c r="BD75" s="12" t="n"/>
      <c r="BE75" s="12" t="n"/>
      <c r="BF75" s="12" t="n"/>
      <c r="BG75" s="12" t="n"/>
      <c r="BH75" s="12" t="n"/>
      <c r="BI75" s="12" t="n"/>
      <c r="BJ75" s="12" t="n"/>
      <c r="BK75" s="12" t="n"/>
      <c r="BL75" s="12" t="n"/>
      <c r="BM75" s="12" t="n"/>
      <c r="BN75" s="12" t="n"/>
      <c r="BO75" s="12" t="n"/>
      <c r="BP75" s="12" t="n"/>
      <c r="BQ75" s="12" t="n"/>
      <c r="BR75" s="12" t="n"/>
      <c r="BS75" s="12" t="n"/>
      <c r="BT75" s="12" t="n"/>
      <c r="BU75" s="12" t="n"/>
      <c r="BV75" s="12" t="n"/>
      <c r="BW75" s="12" t="n"/>
      <c r="BX75" s="12" t="n"/>
      <c r="BY75" s="12" t="n"/>
      <c r="BZ75" s="12" t="n"/>
      <c r="CA75" s="12" t="n"/>
      <c r="CB75" s="12" t="n"/>
      <c r="CC75" s="12" t="n"/>
      <c r="CD75" s="12" t="n"/>
      <c r="CE75" s="12" t="n"/>
      <c r="CF75" s="12" t="n"/>
      <c r="CG75" s="12" t="n"/>
      <c r="CH75" s="12" t="n"/>
      <c r="CI75" s="12" t="n"/>
      <c r="CJ75" s="12" t="n"/>
      <c r="CK75" s="12" t="n"/>
      <c r="CL75" s="12" t="n"/>
      <c r="CM75" s="12" t="n"/>
      <c r="CN75" s="12" t="n"/>
      <c r="CO75" s="12" t="n"/>
      <c r="CP75" s="12" t="n"/>
      <c r="CQ75" s="12" t="n"/>
      <c r="CR75" s="12" t="n"/>
      <c r="CS75" s="12" t="n"/>
      <c r="CT75" s="12" t="n"/>
      <c r="CU75" s="12" t="n"/>
      <c r="CV75" s="12" t="n"/>
      <c r="CW75" s="12" t="n"/>
      <c r="CX75" s="12" t="n"/>
      <c r="CY75" s="12" t="n"/>
    </row>
    <row r="76" hidden="1" outlineLevel="1">
      <c r="C76" s="57" t="inlineStr">
        <is>
          <t>RECEITAS FINANCEIRAS - Outras</t>
        </is>
      </c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  <c r="AJ76" s="12" t="n"/>
      <c r="AK76" s="12" t="n"/>
      <c r="AL76" s="12" t="n"/>
      <c r="AM76" s="12" t="n"/>
      <c r="AN76" s="12" t="n"/>
      <c r="AO76" s="12" t="n"/>
      <c r="AP76" s="12" t="n"/>
      <c r="AQ76" s="12" t="n"/>
      <c r="AR76" s="12" t="n"/>
      <c r="AS76" s="12" t="n"/>
      <c r="AT76" s="12" t="n"/>
      <c r="AU76" s="12" t="n"/>
      <c r="AV76" s="12" t="n"/>
      <c r="AW76" s="12" t="n"/>
      <c r="AX76" s="12" t="n"/>
      <c r="AY76" s="12" t="n"/>
      <c r="AZ76" s="12" t="n"/>
      <c r="BA76" s="12" t="n"/>
      <c r="BB76" s="12" t="n"/>
      <c r="BC76" s="12" t="n"/>
      <c r="BD76" s="12" t="n"/>
      <c r="BE76" s="12" t="n"/>
      <c r="BF76" s="12" t="n"/>
      <c r="BG76" s="12" t="n"/>
      <c r="BH76" s="12" t="n"/>
      <c r="BI76" s="12" t="n"/>
      <c r="BJ76" s="12" t="n"/>
      <c r="BK76" s="12" t="n"/>
      <c r="BL76" s="12" t="n"/>
      <c r="BM76" s="12" t="n"/>
      <c r="BN76" s="12" t="n"/>
      <c r="BO76" s="12" t="n"/>
      <c r="BP76" s="12" t="n"/>
      <c r="BQ76" s="12" t="n"/>
      <c r="BR76" s="12" t="n"/>
      <c r="BS76" s="12" t="n"/>
      <c r="BT76" s="12" t="n"/>
      <c r="BU76" s="12" t="n"/>
      <c r="BV76" s="12" t="n"/>
      <c r="BW76" s="12" t="n"/>
      <c r="BX76" s="12" t="n"/>
      <c r="BY76" s="12" t="n"/>
      <c r="BZ76" s="12" t="n"/>
      <c r="CA76" s="12" t="n"/>
      <c r="CB76" s="12" t="n"/>
      <c r="CC76" s="12" t="n"/>
      <c r="CD76" s="12" t="n"/>
      <c r="CE76" s="12" t="n"/>
      <c r="CF76" s="12" t="n"/>
      <c r="CG76" s="12" t="n"/>
      <c r="CH76" s="12" t="n"/>
      <c r="CI76" s="12" t="n"/>
      <c r="CJ76" s="12" t="n"/>
      <c r="CK76" s="12" t="n"/>
      <c r="CL76" s="12" t="n"/>
      <c r="CM76" s="12" t="n"/>
      <c r="CN76" s="12" t="n"/>
      <c r="CO76" s="12" t="n"/>
      <c r="CP76" s="12" t="n"/>
      <c r="CQ76" s="12" t="n"/>
      <c r="CR76" s="12" t="n"/>
      <c r="CS76" s="12" t="n"/>
      <c r="CT76" s="12" t="n"/>
      <c r="CU76" s="12" t="n"/>
      <c r="CV76" s="12" t="n"/>
      <c r="CW76" s="12" t="n"/>
      <c r="CX76" s="12" t="n"/>
      <c r="CY76" s="12" t="n"/>
    </row>
    <row r="77" hidden="1" outlineLevel="1">
      <c r="C77" s="57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  <c r="P77" s="12" t="n"/>
      <c r="Q77" s="12" t="n"/>
      <c r="R77" s="12" t="n"/>
      <c r="S77" s="12" t="n"/>
      <c r="T77" s="12" t="n"/>
      <c r="U77" s="12" t="n"/>
      <c r="V77" s="12" t="n"/>
      <c r="W77" s="12" t="n"/>
      <c r="X77" s="12" t="n"/>
      <c r="Y77" s="12" t="n"/>
      <c r="Z77" s="12" t="n"/>
      <c r="AA77" s="12" t="n"/>
      <c r="AB77" s="12" t="n"/>
      <c r="AC77" s="12" t="n"/>
      <c r="AD77" s="12" t="n"/>
      <c r="AE77" s="12" t="n"/>
      <c r="AF77" s="12" t="n"/>
      <c r="AG77" s="12" t="n"/>
      <c r="AH77" s="12" t="n"/>
      <c r="AI77" s="12" t="n"/>
      <c r="AJ77" s="12" t="n"/>
      <c r="AK77" s="12" t="n"/>
      <c r="AL77" s="12" t="n"/>
      <c r="AM77" s="12" t="n"/>
      <c r="AN77" s="12" t="n"/>
      <c r="AO77" s="12" t="n"/>
      <c r="AP77" s="12" t="n"/>
      <c r="AQ77" s="12" t="n"/>
      <c r="AR77" s="12" t="n"/>
      <c r="AS77" s="12" t="n"/>
      <c r="AT77" s="12" t="n"/>
      <c r="AU77" s="12" t="n"/>
      <c r="AV77" s="12" t="n"/>
      <c r="AW77" s="12" t="n"/>
      <c r="AX77" s="12" t="n"/>
      <c r="AY77" s="12" t="n"/>
      <c r="AZ77" s="12" t="n"/>
      <c r="BA77" s="12" t="n"/>
      <c r="BB77" s="12" t="n"/>
      <c r="BC77" s="12" t="n"/>
      <c r="BD77" s="12" t="n"/>
      <c r="BE77" s="12" t="n"/>
      <c r="BF77" s="12" t="n"/>
      <c r="BG77" s="12" t="n"/>
      <c r="BH77" s="12" t="n"/>
      <c r="BI77" s="12" t="n"/>
      <c r="BJ77" s="12" t="n"/>
      <c r="BK77" s="12" t="n"/>
      <c r="BL77" s="12" t="n"/>
      <c r="BM77" s="12" t="n"/>
      <c r="BN77" s="12" t="n"/>
      <c r="BO77" s="12" t="n"/>
      <c r="BP77" s="12" t="n"/>
      <c r="BQ77" s="12" t="n"/>
      <c r="BR77" s="12" t="n"/>
      <c r="BS77" s="12" t="n"/>
      <c r="BT77" s="12" t="n"/>
      <c r="BU77" s="12" t="n"/>
      <c r="BV77" s="12" t="n"/>
      <c r="BW77" s="12" t="n"/>
      <c r="BX77" s="12" t="n"/>
      <c r="BY77" s="12" t="n"/>
      <c r="BZ77" s="12" t="n"/>
      <c r="CA77" s="12" t="n"/>
      <c r="CB77" s="12" t="n"/>
      <c r="CC77" s="12" t="n"/>
      <c r="CD77" s="12" t="n"/>
      <c r="CE77" s="12" t="n"/>
      <c r="CF77" s="12" t="n"/>
      <c r="CG77" s="12" t="n"/>
      <c r="CH77" s="12" t="n"/>
      <c r="CI77" s="12" t="n"/>
      <c r="CJ77" s="12" t="n"/>
      <c r="CK77" s="12" t="n"/>
      <c r="CL77" s="12" t="n"/>
      <c r="CM77" s="12" t="n"/>
      <c r="CN77" s="12" t="n"/>
      <c r="CO77" s="12" t="n"/>
      <c r="CP77" s="12" t="n"/>
      <c r="CQ77" s="12" t="n"/>
      <c r="CR77" s="12" t="n"/>
      <c r="CS77" s="12" t="n"/>
      <c r="CT77" s="12" t="n"/>
      <c r="CU77" s="12" t="n"/>
      <c r="CV77" s="12" t="n"/>
      <c r="CW77" s="12" t="n"/>
      <c r="CX77" s="12" t="n"/>
      <c r="CY77" s="12" t="n"/>
    </row>
    <row r="78" hidden="1" outlineLevel="1">
      <c r="C78" s="57" t="inlineStr">
        <is>
          <t>DESPESAS FINANCEIRAS - Encargos sobre empréstimos, financiamentos e debêntures</t>
        </is>
      </c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12" t="n"/>
      <c r="Q78" s="12" t="n"/>
      <c r="R78" s="12" t="n"/>
      <c r="S78" s="12" t="n"/>
      <c r="T78" s="12" t="n"/>
      <c r="U78" s="12" t="n"/>
      <c r="V78" s="12" t="n"/>
      <c r="W78" s="12" t="n"/>
      <c r="X78" s="12" t="n"/>
      <c r="Y78" s="12" t="n"/>
      <c r="Z78" s="12" t="n"/>
      <c r="AA78" s="12" t="n"/>
      <c r="AB78" s="12" t="n"/>
      <c r="AC78" s="12" t="n"/>
      <c r="AD78" s="12" t="n"/>
      <c r="AE78" s="12" t="n"/>
      <c r="AF78" s="12" t="n"/>
      <c r="AG78" s="12" t="n"/>
      <c r="AH78" s="12" t="n"/>
      <c r="AI78" s="12" t="n"/>
      <c r="AJ78" s="12" t="n"/>
      <c r="AK78" s="12" t="n"/>
      <c r="AL78" s="12" t="n"/>
      <c r="AM78" s="12" t="n"/>
      <c r="AN78" s="12" t="n"/>
      <c r="AO78" s="12" t="n"/>
      <c r="AP78" s="12" t="n"/>
      <c r="AQ78" s="12" t="n"/>
      <c r="AR78" s="12" t="n"/>
      <c r="AS78" s="12" t="n"/>
      <c r="AT78" s="12" t="n"/>
      <c r="AU78" s="12" t="n"/>
      <c r="AV78" s="12" t="n"/>
      <c r="AW78" s="12" t="n"/>
      <c r="AX78" s="12" t="n"/>
      <c r="AY78" s="12" t="n"/>
      <c r="AZ78" s="12" t="n"/>
      <c r="BA78" s="12" t="n"/>
      <c r="BB78" s="12" t="n"/>
      <c r="BC78" s="12" t="n"/>
      <c r="BD78" s="12" t="n"/>
      <c r="BE78" s="12" t="n"/>
      <c r="BF78" s="12" t="n"/>
      <c r="BG78" s="12" t="n"/>
      <c r="BH78" s="12" t="n"/>
      <c r="BI78" s="12" t="n"/>
      <c r="BJ78" s="12" t="n"/>
      <c r="BK78" s="12" t="n"/>
      <c r="BL78" s="12" t="n"/>
      <c r="BM78" s="12" t="n"/>
      <c r="BN78" s="12" t="n"/>
      <c r="BO78" s="12" t="n"/>
      <c r="BP78" s="12" t="n"/>
      <c r="BQ78" s="12" t="n"/>
      <c r="BR78" s="12" t="n"/>
      <c r="BS78" s="12" t="n"/>
      <c r="BT78" s="12" t="n"/>
      <c r="BU78" s="12" t="n"/>
      <c r="BV78" s="12" t="n"/>
      <c r="BW78" s="12" t="n"/>
      <c r="BX78" s="12" t="n"/>
      <c r="BY78" s="12" t="n"/>
      <c r="BZ78" s="12" t="n"/>
      <c r="CA78" s="12" t="n"/>
      <c r="CB78" s="12" t="n"/>
      <c r="CC78" s="12" t="n"/>
      <c r="CD78" s="12" t="n"/>
      <c r="CE78" s="12" t="n"/>
      <c r="CF78" s="12" t="n"/>
      <c r="CG78" s="12" t="n"/>
      <c r="CH78" s="12" t="n"/>
      <c r="CI78" s="12" t="n"/>
      <c r="CJ78" s="12" t="n"/>
      <c r="CK78" s="12" t="n"/>
      <c r="CL78" s="12" t="n"/>
      <c r="CM78" s="12" t="n"/>
      <c r="CN78" s="12" t="n"/>
      <c r="CO78" s="12" t="n"/>
      <c r="CP78" s="12" t="n"/>
      <c r="CQ78" s="12" t="n"/>
      <c r="CR78" s="12" t="n"/>
      <c r="CS78" s="12" t="n"/>
      <c r="CT78" s="12" t="n"/>
      <c r="CU78" s="12" t="n"/>
      <c r="CV78" s="12" t="n"/>
      <c r="CW78" s="12" t="n"/>
      <c r="CX78" s="12" t="n"/>
      <c r="CY78" s="12" t="n"/>
    </row>
    <row r="79" hidden="1" outlineLevel="1">
      <c r="C79" s="57" t="inlineStr">
        <is>
          <t>DESPESAS FINANCEIRAS - Variação cambial passiva</t>
        </is>
      </c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  <c r="Z79" s="12" t="n"/>
      <c r="AA79" s="12" t="n"/>
      <c r="AB79" s="12" t="n"/>
      <c r="AC79" s="12" t="n"/>
      <c r="AD79" s="12" t="n"/>
      <c r="AE79" s="12" t="n"/>
      <c r="AF79" s="12" t="n"/>
      <c r="AG79" s="12" t="n"/>
      <c r="AH79" s="12" t="n"/>
      <c r="AI79" s="12" t="n"/>
      <c r="AJ79" s="12" t="n"/>
      <c r="AK79" s="12" t="n"/>
      <c r="AL79" s="12" t="n"/>
      <c r="AM79" s="12" t="n"/>
      <c r="AN79" s="12" t="n"/>
      <c r="AO79" s="12" t="n"/>
      <c r="AP79" s="12" t="n"/>
      <c r="AQ79" s="12" t="n"/>
      <c r="AR79" s="12" t="n"/>
      <c r="AS79" s="12" t="n"/>
      <c r="AT79" s="12" t="n"/>
      <c r="AU79" s="12" t="n"/>
      <c r="AV79" s="12" t="n"/>
      <c r="AW79" s="12" t="n"/>
      <c r="AX79" s="12" t="n"/>
      <c r="AY79" s="12" t="n"/>
      <c r="AZ79" s="12" t="n"/>
      <c r="BA79" s="12" t="n"/>
      <c r="BB79" s="12" t="n"/>
      <c r="BC79" s="12" t="n"/>
      <c r="BD79" s="12" t="n"/>
      <c r="BE79" s="12" t="n"/>
      <c r="BF79" s="12" t="n"/>
      <c r="BG79" s="12" t="n"/>
      <c r="BH79" s="12" t="n"/>
      <c r="BI79" s="12" t="n"/>
      <c r="BJ79" s="12" t="n"/>
      <c r="BK79" s="12" t="n"/>
      <c r="BL79" s="12" t="n"/>
      <c r="BM79" s="12" t="n"/>
      <c r="BN79" s="12" t="n"/>
      <c r="BO79" s="12" t="n"/>
      <c r="BP79" s="12" t="n"/>
      <c r="BQ79" s="12" t="n"/>
      <c r="BR79" s="12" t="n"/>
      <c r="BS79" s="12" t="n"/>
      <c r="BT79" s="12" t="n"/>
      <c r="BU79" s="12" t="n"/>
      <c r="BV79" s="12" t="n"/>
      <c r="BW79" s="12" t="n"/>
      <c r="BX79" s="12" t="n"/>
      <c r="BY79" s="12" t="n"/>
      <c r="BZ79" s="12" t="n"/>
      <c r="CA79" s="12" t="n"/>
      <c r="CB79" s="12" t="n"/>
      <c r="CC79" s="12" t="n"/>
      <c r="CD79" s="12" t="n"/>
      <c r="CE79" s="12" t="n"/>
      <c r="CF79" s="12" t="n"/>
      <c r="CG79" s="12" t="n"/>
      <c r="CH79" s="12" t="n"/>
      <c r="CI79" s="12" t="n"/>
      <c r="CJ79" s="12" t="n"/>
      <c r="CK79" s="12" t="n"/>
      <c r="CL79" s="12" t="n"/>
      <c r="CM79" s="12" t="n"/>
      <c r="CN79" s="12" t="n"/>
      <c r="CO79" s="12" t="n"/>
      <c r="CP79" s="12" t="n"/>
      <c r="CQ79" s="12" t="n"/>
      <c r="CR79" s="12" t="n"/>
      <c r="CS79" s="12" t="n"/>
      <c r="CT79" s="12" t="n"/>
      <c r="CU79" s="12" t="n"/>
      <c r="CV79" s="12" t="n"/>
      <c r="CW79" s="12" t="n"/>
      <c r="CX79" s="12" t="n"/>
      <c r="CY79" s="12" t="n"/>
    </row>
    <row r="80" hidden="1" outlineLevel="1">
      <c r="C80" s="57" t="inlineStr">
        <is>
          <t>DESPESAS FINANCEIRAS - Resultado negativo com instrumentos derivativos</t>
        </is>
      </c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  <c r="Z80" s="12" t="n"/>
      <c r="AA80" s="12" t="n"/>
      <c r="AB80" s="12" t="n"/>
      <c r="AC80" s="12" t="n"/>
      <c r="AD80" s="12" t="n"/>
      <c r="AE80" s="12" t="n"/>
      <c r="AF80" s="12" t="n"/>
      <c r="AG80" s="12" t="n"/>
      <c r="AH80" s="12" t="n"/>
      <c r="AI80" s="12" t="n"/>
      <c r="AJ80" s="12" t="n"/>
      <c r="AK80" s="12" t="n"/>
      <c r="AL80" s="12" t="n"/>
      <c r="AM80" s="12" t="n"/>
      <c r="AN80" s="12" t="n"/>
      <c r="AO80" s="12" t="n"/>
      <c r="AP80" s="12" t="n"/>
      <c r="AQ80" s="12" t="n"/>
      <c r="AR80" s="12" t="n"/>
      <c r="AS80" s="12" t="n"/>
      <c r="AT80" s="12" t="n"/>
      <c r="AU80" s="12" t="n"/>
      <c r="AV80" s="12" t="n"/>
      <c r="AW80" s="12" t="n"/>
      <c r="AX80" s="12" t="n"/>
      <c r="AY80" s="12" t="n"/>
      <c r="AZ80" s="12" t="n"/>
      <c r="BA80" s="12" t="n"/>
      <c r="BB80" s="12" t="n"/>
      <c r="BC80" s="12" t="n"/>
      <c r="BD80" s="12" t="n"/>
      <c r="BE80" s="12" t="n"/>
      <c r="BF80" s="12" t="n"/>
      <c r="BG80" s="12" t="n"/>
      <c r="BH80" s="12" t="n"/>
      <c r="BI80" s="12" t="n"/>
      <c r="BJ80" s="12" t="n"/>
      <c r="BK80" s="12" t="n"/>
      <c r="BL80" s="12" t="n"/>
      <c r="BM80" s="12" t="n"/>
      <c r="BN80" s="12" t="n"/>
      <c r="BO80" s="12" t="n"/>
      <c r="BP80" s="12" t="n"/>
      <c r="BQ80" s="12" t="n"/>
      <c r="BR80" s="12" t="n"/>
      <c r="BS80" s="12" t="n"/>
      <c r="BT80" s="12" t="n"/>
      <c r="BU80" s="12" t="n"/>
      <c r="BV80" s="12" t="n"/>
      <c r="BW80" s="12" t="n"/>
      <c r="BX80" s="12" t="n"/>
      <c r="BY80" s="12" t="n"/>
      <c r="BZ80" s="12" t="n"/>
      <c r="CA80" s="12" t="n"/>
      <c r="CB80" s="12" t="n"/>
      <c r="CC80" s="12" t="n"/>
      <c r="CD80" s="12" t="n"/>
      <c r="CE80" s="12" t="n"/>
      <c r="CF80" s="12" t="n"/>
      <c r="CG80" s="12" t="n"/>
      <c r="CH80" s="12" t="n"/>
      <c r="CI80" s="12" t="n"/>
      <c r="CJ80" s="12" t="n"/>
      <c r="CK80" s="12" t="n"/>
      <c r="CL80" s="12" t="n"/>
      <c r="CM80" s="12" t="n"/>
      <c r="CN80" s="12" t="n"/>
      <c r="CO80" s="12" t="n"/>
      <c r="CP80" s="12" t="n"/>
      <c r="CQ80" s="12" t="n"/>
      <c r="CR80" s="12" t="n"/>
      <c r="CS80" s="12" t="n"/>
      <c r="CT80" s="12" t="n"/>
      <c r="CU80" s="12" t="n"/>
      <c r="CV80" s="12" t="n"/>
      <c r="CW80" s="12" t="n"/>
      <c r="CX80" s="12" t="n"/>
      <c r="CY80" s="12" t="n"/>
    </row>
    <row r="81" hidden="1" outlineLevel="1">
      <c r="C81" s="57" t="inlineStr">
        <is>
          <t>DESPESAS FINANCEIRAS - Juros sobre arrendamento - IFRS16</t>
        </is>
      </c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  <c r="Z81" s="12" t="n"/>
      <c r="AA81" s="12" t="n"/>
      <c r="AB81" s="12" t="n"/>
      <c r="AC81" s="12" t="n"/>
      <c r="AD81" s="12" t="n"/>
      <c r="AE81" s="12" t="n"/>
      <c r="AF81" s="12" t="n"/>
      <c r="AG81" s="12" t="n"/>
      <c r="AH81" s="12" t="n"/>
      <c r="AI81" s="12" t="n"/>
      <c r="AJ81" s="12" t="n"/>
      <c r="AK81" s="12" t="n"/>
      <c r="AL81" s="12" t="n"/>
      <c r="AM81" s="12" t="n"/>
      <c r="AN81" s="12" t="n"/>
      <c r="AO81" s="12" t="n"/>
      <c r="AP81" s="12" t="n"/>
      <c r="AQ81" s="12" t="n"/>
      <c r="AR81" s="12" t="n"/>
      <c r="AS81" s="12" t="n"/>
      <c r="AT81" s="12" t="n"/>
      <c r="AU81" s="12" t="n"/>
      <c r="AV81" s="12" t="n"/>
      <c r="AW81" s="12" t="n"/>
      <c r="AX81" s="12" t="n"/>
      <c r="AY81" s="12" t="n"/>
      <c r="AZ81" s="12" t="n"/>
      <c r="BA81" s="12" t="n"/>
      <c r="BB81" s="12" t="n"/>
      <c r="BC81" s="12" t="n"/>
      <c r="BD81" s="12" t="n"/>
      <c r="BE81" s="12" t="n"/>
      <c r="BF81" s="12" t="n"/>
      <c r="BG81" s="12" t="n"/>
      <c r="BH81" s="12" t="n"/>
      <c r="BI81" s="12" t="n"/>
      <c r="BJ81" s="12" t="n"/>
      <c r="BK81" s="12" t="n"/>
      <c r="BL81" s="12" t="n"/>
      <c r="BM81" s="12" t="n"/>
      <c r="BN81" s="12" t="n"/>
      <c r="BO81" s="12" t="n"/>
      <c r="BP81" s="12" t="n"/>
      <c r="BQ81" s="12" t="n"/>
      <c r="BR81" s="12" t="n"/>
      <c r="BS81" s="12" t="n"/>
      <c r="BT81" s="12" t="n"/>
      <c r="BU81" s="12" t="n"/>
      <c r="BV81" s="12" t="n"/>
      <c r="BW81" s="12" t="n"/>
      <c r="BX81" s="12" t="n"/>
      <c r="BY81" s="12" t="n"/>
      <c r="BZ81" s="12" t="n"/>
      <c r="CA81" s="12" t="n"/>
      <c r="CB81" s="12" t="n"/>
      <c r="CC81" s="12" t="n"/>
      <c r="CD81" s="12" t="n"/>
      <c r="CE81" s="12" t="n"/>
      <c r="CF81" s="12" t="n"/>
      <c r="CG81" s="12" t="n"/>
      <c r="CH81" s="12" t="n"/>
      <c r="CI81" s="12" t="n"/>
      <c r="CJ81" s="12" t="n"/>
      <c r="CK81" s="12" t="n"/>
      <c r="CL81" s="12" t="n"/>
      <c r="CM81" s="12" t="n"/>
      <c r="CN81" s="12" t="n"/>
      <c r="CO81" s="12" t="n"/>
      <c r="CP81" s="12" t="n"/>
      <c r="CQ81" s="12" t="n"/>
      <c r="CR81" s="12" t="n"/>
      <c r="CS81" s="12" t="n"/>
      <c r="CT81" s="12" t="n"/>
      <c r="CU81" s="12" t="n"/>
      <c r="CV81" s="12" t="n"/>
      <c r="CW81" s="12" t="n"/>
      <c r="CX81" s="12" t="n"/>
      <c r="CY81" s="12" t="n"/>
    </row>
    <row r="82" hidden="1" outlineLevel="1">
      <c r="C82" s="57" t="inlineStr">
        <is>
          <t>DESPESAS FINANCEIRAS - Despesas bancárias</t>
        </is>
      </c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  <c r="AA82" s="12" t="n"/>
      <c r="AB82" s="12" t="n"/>
      <c r="AC82" s="12" t="n"/>
      <c r="AD82" s="12" t="n"/>
      <c r="AE82" s="12" t="n"/>
      <c r="AF82" s="12" t="n"/>
      <c r="AG82" s="12" t="n"/>
      <c r="AH82" s="12" t="n"/>
      <c r="AI82" s="12" t="n"/>
      <c r="AJ82" s="12" t="n"/>
      <c r="AK82" s="12" t="n"/>
      <c r="AL82" s="12" t="n"/>
      <c r="AM82" s="12" t="n"/>
      <c r="AN82" s="12" t="n"/>
      <c r="AO82" s="12" t="n"/>
      <c r="AP82" s="12" t="n"/>
      <c r="AQ82" s="12" t="n"/>
      <c r="AR82" s="12" t="n"/>
      <c r="AS82" s="12" t="n"/>
      <c r="AT82" s="12" t="n"/>
      <c r="AU82" s="12" t="n"/>
      <c r="AV82" s="12" t="n"/>
      <c r="AW82" s="12" t="n"/>
      <c r="AX82" s="12" t="n"/>
      <c r="AY82" s="12" t="n"/>
      <c r="AZ82" s="12" t="n"/>
      <c r="BA82" s="12" t="n"/>
      <c r="BB82" s="12" t="n"/>
      <c r="BC82" s="12" t="n"/>
      <c r="BD82" s="12" t="n"/>
      <c r="BE82" s="12" t="n"/>
      <c r="BF82" s="12" t="n"/>
      <c r="BG82" s="12" t="n"/>
      <c r="BH82" s="12" t="n"/>
      <c r="BI82" s="12" t="n"/>
      <c r="BJ82" s="12" t="n"/>
      <c r="BK82" s="12" t="n"/>
      <c r="BL82" s="12" t="n"/>
      <c r="BM82" s="12" t="n"/>
      <c r="BN82" s="12" t="n"/>
      <c r="BO82" s="12" t="n"/>
      <c r="BP82" s="12" t="n"/>
      <c r="BQ82" s="12" t="n"/>
      <c r="BR82" s="12" t="n"/>
      <c r="BS82" s="12" t="n"/>
      <c r="BT82" s="12" t="n"/>
      <c r="BU82" s="12" t="n"/>
      <c r="BV82" s="12" t="n"/>
      <c r="BW82" s="12" t="n"/>
      <c r="BX82" s="12" t="n"/>
      <c r="BY82" s="12" t="n"/>
      <c r="BZ82" s="12" t="n"/>
      <c r="CA82" s="12" t="n"/>
      <c r="CB82" s="12" t="n"/>
      <c r="CC82" s="12" t="n"/>
      <c r="CD82" s="12" t="n"/>
      <c r="CE82" s="12" t="n"/>
      <c r="CF82" s="12" t="n"/>
      <c r="CG82" s="12" t="n"/>
      <c r="CH82" s="12" t="n"/>
      <c r="CI82" s="12" t="n"/>
      <c r="CJ82" s="12" t="n"/>
      <c r="CK82" s="12" t="n"/>
      <c r="CL82" s="12" t="n"/>
      <c r="CM82" s="12" t="n"/>
      <c r="CN82" s="12" t="n"/>
      <c r="CO82" s="12" t="n"/>
      <c r="CP82" s="12" t="n"/>
      <c r="CQ82" s="12" t="n"/>
      <c r="CR82" s="12" t="n"/>
      <c r="CS82" s="12" t="n"/>
      <c r="CT82" s="12" t="n"/>
      <c r="CU82" s="12" t="n"/>
      <c r="CV82" s="12" t="n"/>
      <c r="CW82" s="12" t="n"/>
      <c r="CX82" s="12" t="n"/>
      <c r="CY82" s="12" t="n"/>
    </row>
    <row r="83" hidden="1" outlineLevel="1">
      <c r="C83" s="57" t="inlineStr">
        <is>
          <t>DESPESAS FINANCEIRAS - Despesas com obtenção de empréstimos e financiamentos</t>
        </is>
      </c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  <c r="AA83" s="12" t="n"/>
      <c r="AB83" s="12" t="n"/>
      <c r="AC83" s="12" t="n"/>
      <c r="AD83" s="12" t="n"/>
      <c r="AE83" s="12" t="n"/>
      <c r="AF83" s="12" t="n"/>
      <c r="AG83" s="12" t="n"/>
      <c r="AH83" s="12" t="n"/>
      <c r="AI83" s="12" t="n"/>
      <c r="AJ83" s="12" t="n"/>
      <c r="AK83" s="12" t="n"/>
      <c r="AL83" s="12" t="n"/>
      <c r="AM83" s="12" t="n"/>
      <c r="AN83" s="12" t="n"/>
      <c r="AO83" s="12" t="n"/>
      <c r="AP83" s="12" t="n"/>
      <c r="AQ83" s="12" t="n"/>
      <c r="AR83" s="12" t="n"/>
      <c r="AS83" s="12" t="n"/>
      <c r="AT83" s="12" t="n"/>
      <c r="AU83" s="12" t="n"/>
      <c r="AV83" s="12" t="n"/>
      <c r="AW83" s="12" t="n"/>
      <c r="AX83" s="12" t="n"/>
      <c r="AY83" s="12" t="n"/>
      <c r="AZ83" s="12" t="n"/>
      <c r="BA83" s="12" t="n"/>
      <c r="BB83" s="12" t="n"/>
      <c r="BC83" s="12" t="n"/>
      <c r="BD83" s="12" t="n"/>
      <c r="BE83" s="12" t="n"/>
      <c r="BF83" s="12" t="n"/>
      <c r="BG83" s="12" t="n"/>
      <c r="BH83" s="12" t="n"/>
      <c r="BI83" s="12" t="n"/>
      <c r="BJ83" s="12" t="n"/>
      <c r="BK83" s="12" t="n"/>
      <c r="BL83" s="12" t="n"/>
      <c r="BM83" s="12" t="n"/>
      <c r="BN83" s="12" t="n"/>
      <c r="BO83" s="12" t="n"/>
      <c r="BP83" s="12" t="n"/>
      <c r="BQ83" s="12" t="n"/>
      <c r="BR83" s="12" t="n"/>
      <c r="BS83" s="12" t="n"/>
      <c r="BT83" s="12" t="n"/>
      <c r="BU83" s="12" t="n"/>
      <c r="BV83" s="12" t="n"/>
      <c r="BW83" s="12" t="n"/>
      <c r="BX83" s="12" t="n"/>
      <c r="BY83" s="12" t="n"/>
      <c r="BZ83" s="12" t="n"/>
      <c r="CA83" s="12" t="n"/>
      <c r="CB83" s="12" t="n"/>
      <c r="CC83" s="12" t="n"/>
      <c r="CD83" s="12" t="n"/>
      <c r="CE83" s="12" t="n"/>
      <c r="CF83" s="12" t="n"/>
      <c r="CG83" s="12" t="n"/>
      <c r="CH83" s="12" t="n"/>
      <c r="CI83" s="12" t="n"/>
      <c r="CJ83" s="12" t="n"/>
      <c r="CK83" s="12" t="n"/>
      <c r="CL83" s="12" t="n"/>
      <c r="CM83" s="12" t="n"/>
      <c r="CN83" s="12" t="n"/>
      <c r="CO83" s="12" t="n"/>
      <c r="CP83" s="12" t="n"/>
      <c r="CQ83" s="12" t="n"/>
      <c r="CR83" s="12" t="n"/>
      <c r="CS83" s="12" t="n"/>
      <c r="CT83" s="12" t="n"/>
      <c r="CU83" s="12" t="n"/>
      <c r="CV83" s="12" t="n"/>
      <c r="CW83" s="12" t="n"/>
      <c r="CX83" s="12" t="n"/>
      <c r="CY83" s="12" t="n"/>
    </row>
    <row r="84" hidden="1" outlineLevel="1">
      <c r="C84" s="57" t="inlineStr">
        <is>
          <t>DESPESAS FINANCEIRAS - Atualização de contas a pagar por aquisição de empresas</t>
        </is>
      </c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  <c r="AJ84" s="12" t="n"/>
      <c r="AK84" s="12" t="n"/>
      <c r="AL84" s="12" t="n"/>
      <c r="AM84" s="12" t="n"/>
      <c r="AN84" s="12" t="n"/>
      <c r="AO84" s="12" t="n"/>
      <c r="AP84" s="12" t="n"/>
      <c r="AQ84" s="12" t="n"/>
      <c r="AR84" s="12" t="n"/>
      <c r="AS84" s="12" t="n"/>
      <c r="AT84" s="12" t="n"/>
      <c r="AU84" s="12" t="n"/>
      <c r="AV84" s="12" t="n"/>
      <c r="AW84" s="12" t="n"/>
      <c r="AX84" s="12" t="n"/>
      <c r="AY84" s="12" t="n"/>
      <c r="AZ84" s="12" t="n"/>
      <c r="BA84" s="12" t="n"/>
      <c r="BB84" s="12" t="n"/>
      <c r="BC84" s="12" t="n"/>
      <c r="BD84" s="12" t="n"/>
      <c r="BE84" s="12" t="n"/>
      <c r="BF84" s="12" t="n"/>
      <c r="BG84" s="12" t="n"/>
      <c r="BH84" s="12" t="n"/>
      <c r="BI84" s="12" t="n"/>
      <c r="BJ84" s="12" t="n"/>
      <c r="BK84" s="12" t="n"/>
      <c r="BL84" s="12" t="n"/>
      <c r="BM84" s="12" t="n"/>
      <c r="BN84" s="12" t="n"/>
      <c r="BO84" s="12" t="n"/>
      <c r="BP84" s="12" t="n"/>
      <c r="BQ84" s="12" t="n"/>
      <c r="BR84" s="12" t="n"/>
      <c r="BS84" s="12" t="n"/>
      <c r="BT84" s="12" t="n"/>
      <c r="BU84" s="12" t="n"/>
      <c r="BV84" s="12" t="n"/>
      <c r="BW84" s="12" t="n"/>
      <c r="BX84" s="12" t="n"/>
      <c r="BY84" s="12" t="n"/>
      <c r="BZ84" s="12" t="n"/>
      <c r="CA84" s="12" t="n"/>
      <c r="CB84" s="12" t="n"/>
      <c r="CC84" s="12" t="n"/>
      <c r="CD84" s="12" t="n"/>
      <c r="CE84" s="12" t="n"/>
      <c r="CF84" s="12" t="n"/>
      <c r="CG84" s="12" t="n"/>
      <c r="CH84" s="12" t="n"/>
      <c r="CI84" s="12" t="n"/>
      <c r="CJ84" s="12" t="n"/>
      <c r="CK84" s="12" t="n"/>
      <c r="CL84" s="12" t="n"/>
      <c r="CM84" s="12" t="n"/>
      <c r="CN84" s="12" t="n"/>
      <c r="CO84" s="12" t="n"/>
      <c r="CP84" s="12" t="n"/>
      <c r="CQ84" s="12" t="n"/>
      <c r="CR84" s="12" t="n"/>
      <c r="CS84" s="12" t="n"/>
      <c r="CT84" s="12" t="n"/>
      <c r="CU84" s="12" t="n"/>
      <c r="CV84" s="12" t="n"/>
      <c r="CW84" s="12" t="n"/>
      <c r="CX84" s="12" t="n"/>
      <c r="CY84" s="12" t="n"/>
    </row>
    <row r="85" hidden="1" outlineLevel="1">
      <c r="C85" s="57" t="inlineStr">
        <is>
          <t>DESPESAS FINANCEIRAS - Outras</t>
        </is>
      </c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  <c r="AA85" s="12" t="n"/>
      <c r="AB85" s="12" t="n"/>
      <c r="AC85" s="12" t="n"/>
      <c r="AD85" s="12" t="n"/>
      <c r="AE85" s="12" t="n"/>
      <c r="AF85" s="12" t="n"/>
      <c r="AG85" s="12" t="n"/>
      <c r="AH85" s="12" t="n"/>
      <c r="AI85" s="12" t="n"/>
      <c r="AJ85" s="12" t="n"/>
      <c r="AK85" s="12" t="n"/>
      <c r="AL85" s="12" t="n"/>
      <c r="AM85" s="12" t="n"/>
      <c r="AN85" s="12" t="n"/>
      <c r="AO85" s="12" t="n"/>
      <c r="AP85" s="12" t="n"/>
      <c r="AQ85" s="12" t="n"/>
      <c r="AR85" s="12" t="n"/>
      <c r="AS85" s="12" t="n"/>
      <c r="AT85" s="12" t="n"/>
      <c r="AU85" s="12" t="n"/>
      <c r="AV85" s="12" t="n"/>
      <c r="AW85" s="12" t="n"/>
      <c r="AX85" s="12" t="n"/>
      <c r="AY85" s="12" t="n"/>
      <c r="AZ85" s="12" t="n"/>
      <c r="BA85" s="12" t="n"/>
      <c r="BB85" s="12" t="n"/>
      <c r="BC85" s="12" t="n"/>
      <c r="BD85" s="12" t="n"/>
      <c r="BE85" s="12" t="n"/>
      <c r="BF85" s="12" t="n"/>
      <c r="BG85" s="12" t="n"/>
      <c r="BH85" s="12" t="n"/>
      <c r="BI85" s="12" t="n"/>
      <c r="BJ85" s="12" t="n"/>
      <c r="BK85" s="12" t="n"/>
      <c r="BL85" s="12" t="n"/>
      <c r="BM85" s="12" t="n"/>
      <c r="BN85" s="12" t="n"/>
      <c r="BO85" s="12" t="n"/>
      <c r="BP85" s="12" t="n"/>
      <c r="BQ85" s="12" t="n"/>
      <c r="BR85" s="12" t="n"/>
      <c r="BS85" s="12" t="n"/>
      <c r="BT85" s="12" t="n"/>
      <c r="BU85" s="12" t="n"/>
      <c r="BV85" s="12" t="n"/>
      <c r="BW85" s="12" t="n"/>
      <c r="BX85" s="12" t="n"/>
      <c r="BY85" s="12" t="n"/>
      <c r="BZ85" s="12" t="n"/>
      <c r="CA85" s="12" t="n"/>
      <c r="CB85" s="12" t="n"/>
      <c r="CC85" s="12" t="n"/>
      <c r="CD85" s="12" t="n"/>
      <c r="CE85" s="12" t="n"/>
      <c r="CF85" s="12" t="n"/>
      <c r="CG85" s="12" t="n"/>
      <c r="CH85" s="12" t="n"/>
      <c r="CI85" s="12" t="n"/>
      <c r="CJ85" s="12" t="n"/>
      <c r="CK85" s="12" t="n"/>
      <c r="CL85" s="12" t="n"/>
      <c r="CM85" s="12" t="n"/>
      <c r="CN85" s="12" t="n"/>
      <c r="CO85" s="12" t="n"/>
      <c r="CP85" s="12" t="n"/>
      <c r="CQ85" s="12" t="n"/>
      <c r="CR85" s="12" t="n"/>
      <c r="CS85" s="12" t="n"/>
      <c r="CT85" s="12" t="n"/>
      <c r="CU85" s="12" t="n"/>
      <c r="CV85" s="12" t="n"/>
      <c r="CW85" s="12" t="n"/>
      <c r="CX85" s="12" t="n"/>
      <c r="CY85" s="12" t="n"/>
    </row>
    <row r="86" hidden="1" outlineLevel="1">
      <c r="C86" s="57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2" t="n"/>
      <c r="AK86" s="12" t="n"/>
      <c r="AL86" s="12" t="n"/>
      <c r="AM86" s="12" t="n"/>
      <c r="AN86" s="12" t="n"/>
      <c r="AO86" s="12" t="n"/>
      <c r="AP86" s="12" t="n"/>
      <c r="AQ86" s="12" t="n"/>
      <c r="AR86" s="12" t="n"/>
      <c r="AS86" s="12" t="n"/>
      <c r="AT86" s="12" t="n"/>
      <c r="AU86" s="12" t="n"/>
      <c r="AV86" s="12" t="n"/>
      <c r="AW86" s="12" t="n"/>
      <c r="AX86" s="12" t="n"/>
      <c r="AY86" s="12" t="n"/>
      <c r="AZ86" s="12" t="n"/>
      <c r="BA86" s="12" t="n"/>
      <c r="BB86" s="12" t="n"/>
      <c r="BC86" s="12" t="n"/>
      <c r="BD86" s="12" t="n"/>
      <c r="BE86" s="12" t="n"/>
      <c r="BF86" s="12" t="n"/>
      <c r="BG86" s="12" t="n"/>
      <c r="BH86" s="12" t="n"/>
      <c r="BI86" s="12" t="n"/>
      <c r="BJ86" s="12" t="n"/>
      <c r="BK86" s="12" t="n"/>
      <c r="BL86" s="12" t="n"/>
      <c r="BM86" s="12" t="n"/>
      <c r="BN86" s="12" t="n"/>
      <c r="BO86" s="12" t="n"/>
      <c r="BP86" s="12" t="n"/>
      <c r="BQ86" s="12" t="n"/>
      <c r="BR86" s="12" t="n"/>
      <c r="BS86" s="12" t="n"/>
      <c r="BT86" s="12" t="n"/>
      <c r="BU86" s="12" t="n"/>
      <c r="BV86" s="12" t="n"/>
      <c r="BW86" s="12" t="n"/>
      <c r="BX86" s="12" t="n"/>
      <c r="BY86" s="12" t="n"/>
      <c r="BZ86" s="12" t="n"/>
      <c r="CA86" s="12" t="n"/>
      <c r="CB86" s="12" t="n"/>
      <c r="CC86" s="12" t="n"/>
      <c r="CD86" s="12" t="n"/>
      <c r="CE86" s="12" t="n"/>
      <c r="CF86" s="12" t="n"/>
      <c r="CG86" s="12" t="n"/>
      <c r="CH86" s="12" t="n"/>
      <c r="CI86" s="12" t="n"/>
      <c r="CJ86" s="12" t="n"/>
      <c r="CK86" s="12" t="n"/>
      <c r="CL86" s="12" t="n"/>
      <c r="CM86" s="12" t="n"/>
      <c r="CN86" s="12" t="n"/>
      <c r="CO86" s="12" t="n"/>
      <c r="CP86" s="12" t="n"/>
      <c r="CQ86" s="12" t="n"/>
      <c r="CR86" s="12" t="n"/>
      <c r="CS86" s="12" t="n"/>
      <c r="CT86" s="12" t="n"/>
      <c r="CU86" s="12" t="n"/>
      <c r="CV86" s="12" t="n"/>
      <c r="CW86" s="12" t="n"/>
      <c r="CX86" s="12" t="n"/>
      <c r="CY86" s="12" t="n"/>
    </row>
    <row r="87" hidden="1" outlineLevel="1">
      <c r="C87" s="57" t="inlineStr">
        <is>
          <t>CHECK [EX IFRS-16]</t>
        </is>
      </c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  <c r="AA87" s="12" t="n"/>
      <c r="AB87" s="12" t="n"/>
      <c r="AC87" s="12" t="n"/>
      <c r="AD87" s="12" t="n"/>
      <c r="AE87" s="12" t="n"/>
      <c r="AF87" s="12" t="n"/>
      <c r="AG87" s="12" t="n"/>
      <c r="AH87" s="12" t="n"/>
      <c r="AI87" s="12" t="n"/>
      <c r="AJ87" s="12" t="n"/>
      <c r="AK87" s="12" t="n"/>
      <c r="AL87" s="12" t="n"/>
      <c r="AM87" s="12" t="n"/>
      <c r="AN87" s="12" t="n"/>
      <c r="AO87" s="12" t="n"/>
      <c r="AP87" s="12" t="n"/>
      <c r="AQ87" s="12" t="n"/>
      <c r="AR87" s="12" t="n"/>
      <c r="AS87" s="12" t="n"/>
      <c r="AT87" s="12" t="n"/>
      <c r="AU87" s="12" t="n"/>
      <c r="AV87" s="12" t="n"/>
      <c r="AW87" s="12" t="n"/>
      <c r="AX87" s="12" t="n"/>
      <c r="AY87" s="12" t="n"/>
      <c r="AZ87" s="12" t="n"/>
      <c r="BA87" s="12" t="n"/>
      <c r="BB87" s="12" t="n"/>
      <c r="BC87" s="12" t="n"/>
      <c r="BD87" s="12" t="n"/>
      <c r="BE87" s="12" t="n"/>
      <c r="BF87" s="12" t="n"/>
      <c r="BG87" s="12" t="n"/>
      <c r="BH87" s="12" t="n"/>
      <c r="BI87" s="12" t="n"/>
      <c r="BJ87" s="12" t="n"/>
      <c r="BK87" s="12" t="n"/>
      <c r="BL87" s="12" t="n"/>
      <c r="BM87" s="12" t="n"/>
      <c r="BN87" s="12" t="n"/>
      <c r="BO87" s="12" t="n"/>
      <c r="BP87" s="12" t="n"/>
      <c r="BQ87" s="12" t="n"/>
      <c r="BR87" s="12" t="n"/>
      <c r="BS87" s="12" t="n"/>
      <c r="BT87" s="12" t="n"/>
      <c r="BU87" s="12" t="n"/>
      <c r="BV87" s="12" t="n"/>
      <c r="BW87" s="12" t="n"/>
      <c r="BX87" s="12" t="n"/>
      <c r="BY87" s="12" t="n"/>
      <c r="BZ87" s="12" t="n"/>
      <c r="CA87" s="12" t="n"/>
      <c r="CB87" s="12" t="n"/>
      <c r="CC87" s="12" t="n"/>
      <c r="CD87" s="12" t="n"/>
      <c r="CE87" s="12" t="n"/>
      <c r="CF87" s="12" t="n"/>
      <c r="CG87" s="12" t="n"/>
      <c r="CH87" s="12" t="n"/>
      <c r="CI87" s="12" t="n"/>
      <c r="CJ87" s="12" t="n"/>
      <c r="CK87" s="12" t="n"/>
      <c r="CL87" s="12" t="n"/>
      <c r="CM87" s="12" t="n"/>
      <c r="CN87" s="12" t="n"/>
      <c r="CO87" s="12" t="n"/>
      <c r="CP87" s="12" t="n"/>
      <c r="CQ87" s="12" t="n"/>
      <c r="CR87" s="12" t="n"/>
      <c r="CS87" s="12" t="n"/>
      <c r="CT87" s="12" t="n"/>
      <c r="CU87" s="12" t="n"/>
      <c r="CV87" s="12" t="n"/>
      <c r="CW87" s="12" t="n"/>
      <c r="CX87" s="12" t="n"/>
      <c r="CY87" s="12" t="n"/>
    </row>
    <row r="88" hidden="1" outlineLevel="1">
      <c r="C88" s="57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  <c r="AJ88" s="12" t="n"/>
      <c r="AK88" s="12" t="n"/>
      <c r="AL88" s="12" t="n"/>
      <c r="AM88" s="12" t="n"/>
      <c r="AN88" s="12" t="n"/>
      <c r="AO88" s="12" t="n"/>
      <c r="AP88" s="12" t="n"/>
      <c r="AQ88" s="12" t="n"/>
      <c r="AR88" s="12" t="n"/>
      <c r="AS88" s="12" t="n"/>
      <c r="AT88" s="12" t="n"/>
      <c r="AU88" s="12" t="n"/>
      <c r="AV88" s="12" t="n"/>
      <c r="AW88" s="12" t="n"/>
      <c r="AX88" s="12" t="n"/>
      <c r="AY88" s="12" t="n"/>
      <c r="AZ88" s="12" t="n"/>
      <c r="BA88" s="12" t="n"/>
      <c r="BB88" s="12" t="n"/>
      <c r="BC88" s="12" t="n"/>
      <c r="BD88" s="12" t="n"/>
      <c r="BE88" s="12" t="n"/>
      <c r="BF88" s="12" t="n"/>
      <c r="BG88" s="12" t="n"/>
      <c r="BH88" s="12" t="n"/>
      <c r="BI88" s="12" t="n"/>
      <c r="BJ88" s="12" t="n"/>
      <c r="BK88" s="12" t="n"/>
      <c r="BL88" s="12" t="n"/>
      <c r="BM88" s="12" t="n"/>
      <c r="BN88" s="12" t="n"/>
      <c r="BO88" s="12" t="n"/>
      <c r="BP88" s="12" t="n"/>
      <c r="BQ88" s="12" t="n"/>
      <c r="BR88" s="12" t="n"/>
      <c r="BS88" s="12" t="n"/>
      <c r="BT88" s="12" t="n"/>
      <c r="BU88" s="12" t="n"/>
      <c r="BV88" s="12" t="n"/>
      <c r="BW88" s="12" t="n"/>
      <c r="BX88" s="12" t="n"/>
      <c r="BY88" s="12" t="n"/>
      <c r="BZ88" s="12" t="n"/>
      <c r="CA88" s="12" t="n"/>
      <c r="CB88" s="12" t="n"/>
      <c r="CC88" s="12" t="n"/>
      <c r="CD88" s="12" t="n"/>
      <c r="CE88" s="12" t="n"/>
      <c r="CF88" s="12" t="n"/>
      <c r="CG88" s="12" t="n"/>
      <c r="CH88" s="12" t="n"/>
      <c r="CI88" s="12" t="n"/>
      <c r="CJ88" s="12" t="n"/>
      <c r="CK88" s="12" t="n"/>
      <c r="CL88" s="12" t="n"/>
      <c r="CM88" s="12" t="n"/>
      <c r="CN88" s="12" t="n"/>
      <c r="CO88" s="12" t="n"/>
      <c r="CP88" s="12" t="n"/>
      <c r="CQ88" s="12" t="n"/>
      <c r="CR88" s="12" t="n"/>
      <c r="CS88" s="12" t="n"/>
      <c r="CT88" s="12" t="n"/>
      <c r="CU88" s="12" t="n"/>
      <c r="CV88" s="12" t="n"/>
      <c r="CW88" s="12" t="n"/>
      <c r="CX88" s="12" t="n"/>
      <c r="CY88" s="12" t="n"/>
    </row>
    <row r="89" collapsed="1">
      <c r="C89" s="14" t="inlineStr">
        <is>
          <t>Nonoperating Income / (Loss)</t>
        </is>
      </c>
      <c r="D89" s="46" t="n"/>
      <c r="E89" s="46" t="n"/>
      <c r="F89" s="46" t="n"/>
      <c r="G89" s="46" t="n"/>
      <c r="H89" s="12" t="n"/>
      <c r="I89" s="46">
        <f>'Inputs (2)'!D9</f>
        <v>6.69925278</v>
      </c>
      <c r="J89" s="46">
        <f>'Inputs (2)'!E9</f>
        <v>6.79723379</v>
      </c>
      <c r="K89" s="46">
        <f>'Inputs (2)'!F9</f>
        <v>16.4558964</v>
      </c>
      <c r="L89" s="46">
        <f>'Inputs (2)'!G9</f>
        <v>18.92533787</v>
      </c>
      <c r="M89" s="12">
        <f>'Inputs (2)'!H9</f>
        <v>48.87772084</v>
      </c>
      <c r="N89" s="46">
        <f>'Inputs (2)'!I9</f>
        <v>20.19570061</v>
      </c>
      <c r="O89" s="46">
        <f>'Inputs (2)'!J9</f>
        <v>21.47671546</v>
      </c>
      <c r="P89" s="46">
        <f>'Inputs (2)'!K9</f>
        <v>28.95401388</v>
      </c>
      <c r="Q89" s="46">
        <f>'Inputs (2)'!L9</f>
        <v>42.83506655</v>
      </c>
      <c r="R89" s="12">
        <f>'Inputs (2)'!M9</f>
        <v>113.4614965</v>
      </c>
      <c r="S89" s="46">
        <f>'Inputs (2)'!N9</f>
        <v>45.00753287</v>
      </c>
      <c r="T89" s="46">
        <f>'Inputs (2)'!O9</f>
        <v>58.87857805</v>
      </c>
      <c r="U89" s="46">
        <f>'Inputs (2)'!P9</f>
        <v>60.852</v>
      </c>
      <c r="V89" s="46">
        <f>'Inputs (2)'!Q9</f>
        <v>55.57188908</v>
      </c>
      <c r="W89" s="12">
        <f>'Inputs (2)'!R9</f>
        <v>220.31</v>
      </c>
      <c r="X89" s="46">
        <f>'Inputs (2)'!S9</f>
        <v>36.46648343</v>
      </c>
      <c r="Y89" s="46">
        <f>'Inputs (2)'!T9</f>
        <v>39.213</v>
      </c>
      <c r="Z89" s="46">
        <f>'Inputs (2)'!U9</f>
        <v>62.182</v>
      </c>
      <c r="AA89" s="46">
        <f>'Inputs (2)'!V9</f>
        <v>67.62451657</v>
      </c>
      <c r="AB89" s="12">
        <f>'Inputs (2)'!W9</f>
        <v>205.486</v>
      </c>
      <c r="AC89" s="46">
        <f>'Inputs (2)'!X9</f>
        <v>79.099815</v>
      </c>
      <c r="AD89" s="46">
        <f>'Inputs (2)'!Y9</f>
        <v>80.601</v>
      </c>
      <c r="AE89" s="46">
        <f>'Inputs (2)'!Z9</f>
        <v>90.06051204</v>
      </c>
      <c r="AF89" s="46">
        <f>'Inputs (2)'!AA9</f>
        <v>85.67562359</v>
      </c>
      <c r="AG89" s="12">
        <f>'Inputs (2)'!AB9</f>
        <v>335.43695063</v>
      </c>
      <c r="AH89" s="12">
        <f>'Inputs (2)'!AC9</f>
        <v>80.81498743</v>
      </c>
      <c r="AI89" s="12">
        <f>'Inputs (2)'!AD9</f>
        <v>79.498624</v>
      </c>
      <c r="AJ89" s="12">
        <f>AJ15*Control!$B$23</f>
        <v>92.6338487615658</v>
      </c>
      <c r="AK89" s="12">
        <f>AK15*Control!$B$23</f>
        <v>87.1212644652494</v>
      </c>
      <c r="AL89" s="12">
        <f>SUM(AH89:AK89)</f>
        <v>340.068724656815</v>
      </c>
      <c r="AM89" s="12">
        <f>AM15*Control!$C$23</f>
        <v>93.9926592251028</v>
      </c>
      <c r="AN89" s="12">
        <f>AN15*Control!$C$23</f>
        <v>97.9473226138968</v>
      </c>
      <c r="AO89" s="12">
        <f>AO15*Control!$C$23</f>
        <v>101.367063276271</v>
      </c>
      <c r="AP89" s="12">
        <f>AP15*Control!$C$23</f>
        <v>95.3347706677796</v>
      </c>
      <c r="AQ89" s="12">
        <f>SUM(AM89:AP89)</f>
        <v>388.64181578305</v>
      </c>
      <c r="AR89" s="12">
        <f>AR15*Control!$D$23</f>
        <v>102.384014623974</v>
      </c>
      <c r="AS89" s="12">
        <f>AS15*Control!$D$23</f>
        <v>106.691737350081</v>
      </c>
      <c r="AT89" s="12">
        <f>AT15*Control!$D$23</f>
        <v>110.41678120854</v>
      </c>
      <c r="AU89" s="12">
        <f>AU15*Control!$D$23</f>
        <v>103.845945360979</v>
      </c>
      <c r="AV89" s="12">
        <f>SUM(AR89:AU89)</f>
        <v>423.338478543575</v>
      </c>
      <c r="AW89" s="12">
        <f>AW15*Control!$E$23</f>
        <v>111.012602553883</v>
      </c>
      <c r="AX89" s="12">
        <f>AX15*Control!$E$23</f>
        <v>115.683365979814</v>
      </c>
      <c r="AY89" s="12">
        <f>AY15*Control!$E$23</f>
        <v>119.722344280027</v>
      </c>
      <c r="AZ89" s="12">
        <f>AZ15*Control!$E$23</f>
        <v>112.597740003948</v>
      </c>
      <c r="BA89" s="12">
        <f>SUM(AW89:AZ89)</f>
        <v>459.016052817672</v>
      </c>
      <c r="BB89" s="12">
        <f>BB15*Control!$F$23</f>
        <v>119.813316475455</v>
      </c>
      <c r="BC89" s="12">
        <f>BC15*Control!$F$23</f>
        <v>124.854362659931</v>
      </c>
      <c r="BD89" s="12">
        <f>BD15*Control!$F$23</f>
        <v>129.213537872367</v>
      </c>
      <c r="BE89" s="12">
        <f>BE15*Control!$F$23</f>
        <v>121.524118407781</v>
      </c>
      <c r="BF89" s="12">
        <f>SUM(BB89:BE89)</f>
        <v>495.405335415534</v>
      </c>
      <c r="BG89" s="12" t="n"/>
      <c r="BH89" s="12" t="n"/>
      <c r="BI89" s="12" t="n"/>
      <c r="BJ89" s="12" t="n"/>
      <c r="BK89" s="12" t="n"/>
      <c r="BL89" s="12" t="n"/>
      <c r="BM89" s="12" t="n"/>
      <c r="BN89" s="12" t="n"/>
      <c r="BO89" s="12" t="n"/>
      <c r="BP89" s="12" t="n"/>
      <c r="BQ89" s="12" t="n"/>
      <c r="BR89" s="12" t="n"/>
      <c r="BS89" s="12" t="n"/>
      <c r="BT89" s="12" t="n"/>
      <c r="BU89" s="12" t="n"/>
      <c r="BV89" s="12" t="n"/>
      <c r="BW89" s="12" t="n"/>
      <c r="BX89" s="12" t="n"/>
      <c r="BY89" s="12" t="n"/>
      <c r="BZ89" s="12" t="n"/>
      <c r="CA89" s="12" t="n"/>
      <c r="CB89" s="12" t="n"/>
      <c r="CC89" s="12" t="n"/>
      <c r="CD89" s="12" t="n"/>
      <c r="CE89" s="12" t="n"/>
      <c r="CF89" s="12" t="n"/>
      <c r="CG89" s="12" t="n"/>
      <c r="CH89" s="12" t="n"/>
      <c r="CI89" s="12" t="n"/>
      <c r="CJ89" s="12" t="n"/>
      <c r="CK89" s="12" t="n"/>
      <c r="CL89" s="12" t="n"/>
      <c r="CM89" s="12" t="n"/>
      <c r="CN89" s="12" t="n"/>
      <c r="CO89" s="12" t="n"/>
      <c r="CP89" s="12" t="n"/>
      <c r="CQ89" s="12" t="n"/>
      <c r="CR89" s="12" t="n"/>
      <c r="CS89" s="12" t="n"/>
      <c r="CT89" s="12" t="n"/>
      <c r="CU89" s="12" t="n"/>
      <c r="CV89" s="12" t="n"/>
      <c r="CW89" s="12" t="n"/>
      <c r="CX89" s="12" t="n"/>
      <c r="CY89" s="12" t="n"/>
    </row>
    <row r="90" hidden="1" outlineLevel="1">
      <c r="C90" s="57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  <c r="AJ90" s="12" t="n"/>
      <c r="AK90" s="12" t="n"/>
      <c r="AL90" s="12" t="n"/>
      <c r="AM90" s="12" t="n"/>
      <c r="AN90" s="12" t="n"/>
      <c r="AO90" s="12" t="n"/>
      <c r="AP90" s="12" t="n"/>
      <c r="AQ90" s="12" t="n"/>
      <c r="AR90" s="12" t="n"/>
      <c r="AS90" s="12" t="n"/>
      <c r="AT90" s="12" t="n"/>
      <c r="AU90" s="12" t="n"/>
      <c r="AV90" s="12" t="n"/>
      <c r="AW90" s="12" t="n"/>
      <c r="AX90" s="12" t="n"/>
      <c r="AY90" s="12" t="n"/>
      <c r="AZ90" s="12" t="n"/>
      <c r="BA90" s="12" t="n"/>
      <c r="BB90" s="12" t="n"/>
      <c r="BC90" s="12" t="n"/>
      <c r="BD90" s="12" t="n"/>
      <c r="BE90" s="12" t="n"/>
      <c r="BF90" s="12" t="n"/>
      <c r="BG90" s="12" t="n"/>
      <c r="BH90" s="12" t="n"/>
      <c r="BI90" s="12" t="n"/>
      <c r="BJ90" s="12" t="n"/>
      <c r="BK90" s="12" t="n"/>
      <c r="BL90" s="12" t="n"/>
      <c r="BM90" s="12" t="n"/>
      <c r="BN90" s="12" t="n"/>
      <c r="BO90" s="12" t="n"/>
      <c r="BP90" s="12" t="n"/>
      <c r="BQ90" s="12" t="n"/>
      <c r="BR90" s="12" t="n"/>
      <c r="BS90" s="12" t="n"/>
      <c r="BT90" s="12" t="n"/>
      <c r="BU90" s="12" t="n"/>
      <c r="BV90" s="12" t="n"/>
      <c r="BW90" s="12" t="n"/>
      <c r="BX90" s="12" t="n"/>
      <c r="BY90" s="12" t="n"/>
      <c r="BZ90" s="12" t="n"/>
      <c r="CA90" s="12" t="n"/>
      <c r="CB90" s="12" t="n"/>
      <c r="CC90" s="12" t="n"/>
      <c r="CD90" s="12" t="n"/>
      <c r="CE90" s="12" t="n"/>
      <c r="CF90" s="12" t="n"/>
      <c r="CG90" s="12" t="n"/>
      <c r="CH90" s="12" t="n"/>
      <c r="CI90" s="12" t="n"/>
      <c r="CJ90" s="12" t="n"/>
      <c r="CK90" s="12" t="n"/>
      <c r="CL90" s="12" t="n"/>
      <c r="CM90" s="12" t="n"/>
      <c r="CN90" s="12" t="n"/>
      <c r="CO90" s="12" t="n"/>
      <c r="CP90" s="12" t="n"/>
      <c r="CQ90" s="12" t="n"/>
      <c r="CR90" s="12" t="n"/>
      <c r="CS90" s="12" t="n"/>
      <c r="CT90" s="12" t="n"/>
      <c r="CU90" s="12" t="n"/>
      <c r="CV90" s="12" t="n"/>
      <c r="CW90" s="12" t="n"/>
      <c r="CX90" s="12" t="n"/>
      <c r="CY90" s="12" t="n"/>
    </row>
    <row r="91" hidden="1" outlineLevel="1">
      <c r="C91" s="50" t="inlineStr">
        <is>
          <t>Resultado Não Recorrente</t>
        </is>
      </c>
      <c r="D91" s="11" t="n"/>
      <c r="E91" s="11" t="n"/>
      <c r="F91" s="11" t="n"/>
      <c r="G91" s="11" t="n"/>
      <c r="H91" s="12" t="n"/>
      <c r="I91" s="11" t="n"/>
      <c r="J91" s="11" t="n"/>
      <c r="K91" s="11" t="n"/>
      <c r="L91" s="11" t="n"/>
      <c r="M91" s="12" t="n"/>
      <c r="N91" s="11" t="n"/>
      <c r="O91" s="11" t="n"/>
      <c r="P91" s="11" t="n"/>
      <c r="Q91" s="11" t="n"/>
      <c r="R91" s="12" t="n"/>
      <c r="S91" s="11" t="n"/>
      <c r="T91" s="11" t="n"/>
      <c r="U91" s="11" t="n"/>
      <c r="V91" s="11" t="n"/>
      <c r="W91" s="12" t="n"/>
      <c r="X91" s="11" t="n"/>
      <c r="Y91" s="11" t="n"/>
      <c r="Z91" s="11" t="n"/>
      <c r="AA91" s="11" t="n"/>
      <c r="AB91" s="12" t="n"/>
      <c r="AC91" s="11" t="n"/>
      <c r="AD91" s="11" t="n"/>
      <c r="AE91" s="11" t="n"/>
      <c r="AF91" s="11" t="n"/>
      <c r="AG91" s="12" t="n"/>
      <c r="AH91" s="12" t="n"/>
      <c r="AI91" s="12" t="n"/>
      <c r="AJ91" s="12" t="n"/>
      <c r="AK91" s="12" t="n"/>
      <c r="AL91" s="12" t="n"/>
      <c r="AM91" s="12" t="n"/>
      <c r="AN91" s="12" t="n"/>
      <c r="AO91" s="12" t="n"/>
      <c r="AP91" s="12" t="n"/>
      <c r="AQ91" s="12" t="n"/>
      <c r="AR91" s="12" t="n"/>
      <c r="AS91" s="12" t="n"/>
      <c r="AT91" s="12" t="n"/>
      <c r="AU91" s="12" t="n"/>
      <c r="AV91" s="12" t="n"/>
      <c r="AW91" s="12" t="n"/>
      <c r="AX91" s="12" t="n"/>
      <c r="AY91" s="12" t="n"/>
      <c r="AZ91" s="12" t="n"/>
      <c r="BA91" s="12" t="n"/>
      <c r="BB91" s="12" t="n"/>
      <c r="BC91" s="12" t="n"/>
      <c r="BD91" s="12" t="n"/>
      <c r="BE91" s="12" t="n"/>
      <c r="BF91" s="12" t="n"/>
      <c r="BG91" s="12" t="n"/>
      <c r="BH91" s="12" t="n"/>
      <c r="BI91" s="12" t="n"/>
      <c r="BJ91" s="12" t="n"/>
      <c r="BK91" s="12" t="n"/>
      <c r="BL91" s="12" t="n"/>
      <c r="BM91" s="12" t="n"/>
      <c r="BN91" s="12" t="n"/>
      <c r="BO91" s="12" t="n"/>
      <c r="BP91" s="12" t="n"/>
      <c r="BQ91" s="12" t="n"/>
      <c r="BR91" s="12" t="n"/>
      <c r="BS91" s="12" t="n"/>
      <c r="BT91" s="12" t="n"/>
      <c r="BU91" s="12" t="n"/>
      <c r="BV91" s="12" t="n"/>
      <c r="BW91" s="12" t="n"/>
      <c r="BX91" s="12" t="n"/>
      <c r="BY91" s="12" t="n"/>
      <c r="BZ91" s="12" t="n"/>
      <c r="CA91" s="12" t="n"/>
      <c r="CB91" s="12" t="n"/>
      <c r="CC91" s="12" t="n"/>
      <c r="CD91" s="12" t="n"/>
      <c r="CE91" s="12" t="n"/>
      <c r="CF91" s="12" t="n"/>
      <c r="CG91" s="12" t="n"/>
      <c r="CH91" s="12" t="n"/>
      <c r="CI91" s="12" t="n"/>
      <c r="CJ91" s="12" t="n"/>
      <c r="CK91" s="12" t="n"/>
      <c r="CL91" s="12" t="n"/>
      <c r="CM91" s="12" t="n"/>
      <c r="CN91" s="12" t="n"/>
      <c r="CO91" s="12" t="n"/>
      <c r="CP91" s="12" t="n"/>
      <c r="CQ91" s="12" t="n"/>
      <c r="CR91" s="12" t="n"/>
      <c r="CS91" s="12" t="n"/>
      <c r="CT91" s="12" t="n"/>
      <c r="CU91" s="12" t="n"/>
      <c r="CV91" s="12" t="n"/>
      <c r="CW91" s="12" t="n"/>
      <c r="CX91" s="12" t="n"/>
      <c r="CY91" s="12" t="n"/>
    </row>
    <row r="92" hidden="1" outlineLevel="1">
      <c r="C92" s="50" t="inlineStr">
        <is>
          <t>Plano de Opção de Compra de Ações</t>
        </is>
      </c>
      <c r="D92" s="11" t="n"/>
      <c r="E92" s="11" t="n"/>
      <c r="F92" s="11" t="n"/>
      <c r="G92" s="11" t="n"/>
      <c r="H92" s="12" t="n"/>
      <c r="I92" s="11" t="n"/>
      <c r="J92" s="11" t="n"/>
      <c r="K92" s="11" t="n"/>
      <c r="L92" s="11" t="n"/>
      <c r="M92" s="12" t="n"/>
      <c r="N92" s="11" t="n"/>
      <c r="O92" s="11" t="n"/>
      <c r="P92" s="11" t="n"/>
      <c r="Q92" s="11" t="n"/>
      <c r="R92" s="12" t="n"/>
      <c r="S92" s="11" t="n"/>
      <c r="T92" s="11" t="n"/>
      <c r="U92" s="11" t="n"/>
      <c r="V92" s="11" t="n"/>
      <c r="W92" s="12" t="n"/>
      <c r="X92" s="11" t="n"/>
      <c r="Y92" s="11" t="n"/>
      <c r="Z92" s="11" t="n"/>
      <c r="AA92" s="11" t="n"/>
      <c r="AB92" s="12" t="n"/>
      <c r="AC92" s="11" t="n"/>
      <c r="AD92" s="11" t="n"/>
      <c r="AE92" s="11" t="n"/>
      <c r="AF92" s="11" t="n"/>
      <c r="AG92" s="12" t="n"/>
      <c r="AH92" s="12" t="n"/>
      <c r="AI92" s="12" t="n"/>
      <c r="AJ92" s="12" t="n"/>
      <c r="AK92" s="12" t="n"/>
      <c r="AL92" s="12" t="n"/>
      <c r="AM92" s="12" t="n"/>
      <c r="AN92" s="12" t="n"/>
      <c r="AO92" s="12" t="n"/>
      <c r="AP92" s="12" t="n"/>
      <c r="AQ92" s="12" t="n"/>
      <c r="AR92" s="12" t="n"/>
      <c r="AS92" s="12" t="n"/>
      <c r="AT92" s="12" t="n"/>
      <c r="AU92" s="12" t="n"/>
      <c r="AV92" s="12" t="n"/>
      <c r="AW92" s="12" t="n"/>
      <c r="AX92" s="12" t="n"/>
      <c r="AY92" s="12" t="n"/>
      <c r="AZ92" s="12" t="n"/>
      <c r="BA92" s="12" t="n"/>
      <c r="BB92" s="12" t="n"/>
      <c r="BC92" s="12" t="n"/>
      <c r="BD92" s="12" t="n"/>
      <c r="BE92" s="12" t="n"/>
      <c r="BF92" s="12" t="n"/>
      <c r="BG92" s="12" t="n"/>
      <c r="BH92" s="12" t="n"/>
      <c r="BI92" s="12" t="n"/>
      <c r="BJ92" s="12" t="n"/>
      <c r="BK92" s="12" t="n"/>
      <c r="BL92" s="12" t="n"/>
      <c r="BM92" s="12" t="n"/>
      <c r="BN92" s="12" t="n"/>
      <c r="BO92" s="12" t="n"/>
      <c r="BP92" s="12" t="n"/>
      <c r="BQ92" s="12" t="n"/>
      <c r="BR92" s="12" t="n"/>
      <c r="BS92" s="12" t="n"/>
      <c r="BT92" s="12" t="n"/>
      <c r="BU92" s="12" t="n"/>
      <c r="BV92" s="12" t="n"/>
      <c r="BW92" s="12" t="n"/>
      <c r="BX92" s="12" t="n"/>
      <c r="BY92" s="12" t="n"/>
      <c r="BZ92" s="12" t="n"/>
      <c r="CA92" s="12" t="n"/>
      <c r="CB92" s="12" t="n"/>
      <c r="CC92" s="12" t="n"/>
      <c r="CD92" s="12" t="n"/>
      <c r="CE92" s="12" t="n"/>
      <c r="CF92" s="12" t="n"/>
      <c r="CG92" s="12" t="n"/>
      <c r="CH92" s="12" t="n"/>
      <c r="CI92" s="12" t="n"/>
      <c r="CJ92" s="12" t="n"/>
      <c r="CK92" s="12" t="n"/>
      <c r="CL92" s="12" t="n"/>
      <c r="CM92" s="12" t="n"/>
      <c r="CN92" s="12" t="n"/>
      <c r="CO92" s="12" t="n"/>
      <c r="CP92" s="12" t="n"/>
      <c r="CQ92" s="12" t="n"/>
      <c r="CR92" s="12" t="n"/>
      <c r="CS92" s="12" t="n"/>
      <c r="CT92" s="12" t="n"/>
      <c r="CU92" s="12" t="n"/>
      <c r="CV92" s="12" t="n"/>
      <c r="CW92" s="12" t="n"/>
      <c r="CX92" s="12" t="n"/>
      <c r="CY92" s="12" t="n"/>
    </row>
    <row r="93" hidden="1" outlineLevel="1">
      <c r="C93" s="50" t="inlineStr">
        <is>
          <t>Baixa Imobilizado</t>
        </is>
      </c>
      <c r="D93" s="11" t="n"/>
      <c r="E93" s="11" t="n"/>
      <c r="F93" s="11" t="n"/>
      <c r="G93" s="11" t="n"/>
      <c r="H93" s="12" t="n"/>
      <c r="I93" s="11" t="n"/>
      <c r="J93" s="11" t="n"/>
      <c r="K93" s="11" t="n"/>
      <c r="L93" s="11" t="n"/>
      <c r="M93" s="12" t="n"/>
      <c r="N93" s="11" t="n"/>
      <c r="O93" s="11" t="n"/>
      <c r="P93" s="11" t="n"/>
      <c r="Q93" s="11" t="n"/>
      <c r="R93" s="12" t="n"/>
      <c r="S93" s="11" t="n"/>
      <c r="T93" s="11" t="n"/>
      <c r="U93" s="11" t="n"/>
      <c r="V93" s="11" t="n"/>
      <c r="W93" s="12" t="n"/>
      <c r="X93" s="11" t="n"/>
      <c r="Y93" s="11" t="n"/>
      <c r="Z93" s="11" t="n"/>
      <c r="AA93" s="11" t="n"/>
      <c r="AB93" s="12" t="n"/>
      <c r="AC93" s="11" t="n"/>
      <c r="AD93" s="11" t="n"/>
      <c r="AE93" s="11" t="n"/>
      <c r="AF93" s="11" t="n"/>
      <c r="AG93" s="12" t="n"/>
      <c r="AH93" s="12" t="n"/>
      <c r="AI93" s="12" t="n"/>
      <c r="AJ93" s="12" t="n"/>
      <c r="AK93" s="12" t="n"/>
      <c r="AL93" s="12" t="n"/>
      <c r="AM93" s="12" t="n"/>
      <c r="AN93" s="12" t="n"/>
      <c r="AO93" s="12" t="n"/>
      <c r="AP93" s="12" t="n"/>
      <c r="AQ93" s="12" t="n"/>
      <c r="AR93" s="12" t="n"/>
      <c r="AS93" s="12" t="n"/>
      <c r="AT93" s="12" t="n"/>
      <c r="AU93" s="12" t="n"/>
      <c r="AV93" s="12" t="n"/>
      <c r="AW93" s="12" t="n"/>
      <c r="AX93" s="12" t="n"/>
      <c r="AY93" s="12" t="n"/>
      <c r="AZ93" s="12" t="n"/>
      <c r="BA93" s="12" t="n"/>
      <c r="BB93" s="12" t="n"/>
      <c r="BC93" s="12" t="n"/>
      <c r="BD93" s="12" t="n"/>
      <c r="BE93" s="12" t="n"/>
      <c r="BF93" s="12" t="n"/>
      <c r="BG93" s="12" t="n"/>
      <c r="BH93" s="12" t="n"/>
      <c r="BI93" s="12" t="n"/>
      <c r="BJ93" s="12" t="n"/>
      <c r="BK93" s="12" t="n"/>
      <c r="BL93" s="12" t="n"/>
      <c r="BM93" s="12" t="n"/>
      <c r="BN93" s="12" t="n"/>
      <c r="BO93" s="12" t="n"/>
      <c r="BP93" s="12" t="n"/>
      <c r="BQ93" s="12" t="n"/>
      <c r="BR93" s="12" t="n"/>
      <c r="BS93" s="12" t="n"/>
      <c r="BT93" s="12" t="n"/>
      <c r="BU93" s="12" t="n"/>
      <c r="BV93" s="12" t="n"/>
      <c r="BW93" s="12" t="n"/>
      <c r="BX93" s="12" t="n"/>
      <c r="BY93" s="12" t="n"/>
      <c r="BZ93" s="12" t="n"/>
      <c r="CA93" s="12" t="n"/>
      <c r="CB93" s="12" t="n"/>
      <c r="CC93" s="12" t="n"/>
      <c r="CD93" s="12" t="n"/>
      <c r="CE93" s="12" t="n"/>
      <c r="CF93" s="12" t="n"/>
      <c r="CG93" s="12" t="n"/>
      <c r="CH93" s="12" t="n"/>
      <c r="CI93" s="12" t="n"/>
      <c r="CJ93" s="12" t="n"/>
      <c r="CK93" s="12" t="n"/>
      <c r="CL93" s="12" t="n"/>
      <c r="CM93" s="12" t="n"/>
      <c r="CN93" s="12" t="n"/>
      <c r="CO93" s="12" t="n"/>
      <c r="CP93" s="12" t="n"/>
      <c r="CQ93" s="12" t="n"/>
      <c r="CR93" s="12" t="n"/>
      <c r="CS93" s="12" t="n"/>
      <c r="CT93" s="12" t="n"/>
      <c r="CU93" s="12" t="n"/>
      <c r="CV93" s="12" t="n"/>
      <c r="CW93" s="12" t="n"/>
      <c r="CX93" s="12" t="n"/>
      <c r="CY93" s="12" t="n"/>
    </row>
    <row r="94" hidden="1" outlineLevel="1">
      <c r="C94" s="57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2" t="n"/>
      <c r="AK94" s="12" t="n"/>
      <c r="AL94" s="12" t="n"/>
      <c r="AM94" s="12" t="n"/>
      <c r="AN94" s="12" t="n"/>
      <c r="AO94" s="12" t="n"/>
      <c r="AP94" s="12" t="n"/>
      <c r="AQ94" s="12" t="n"/>
      <c r="AR94" s="12" t="n"/>
      <c r="AS94" s="12" t="n"/>
      <c r="AT94" s="12" t="n"/>
      <c r="AU94" s="12" t="n"/>
      <c r="AV94" s="12" t="n"/>
      <c r="AW94" s="12" t="n"/>
      <c r="AX94" s="12" t="n"/>
      <c r="AY94" s="12" t="n"/>
      <c r="AZ94" s="12" t="n"/>
      <c r="BA94" s="12" t="n"/>
      <c r="BB94" s="12" t="n"/>
      <c r="BC94" s="12" t="n"/>
      <c r="BD94" s="12" t="n"/>
      <c r="BE94" s="12" t="n"/>
      <c r="BF94" s="12" t="n"/>
      <c r="BG94" s="12" t="n"/>
      <c r="BH94" s="12" t="n"/>
      <c r="BI94" s="12" t="n"/>
      <c r="BJ94" s="12" t="n"/>
      <c r="BK94" s="12" t="n"/>
      <c r="BL94" s="12" t="n"/>
      <c r="BM94" s="12" t="n"/>
      <c r="BN94" s="12" t="n"/>
      <c r="BO94" s="12" t="n"/>
      <c r="BP94" s="12" t="n"/>
      <c r="BQ94" s="12" t="n"/>
      <c r="BR94" s="12" t="n"/>
      <c r="BS94" s="12" t="n"/>
      <c r="BT94" s="12" t="n"/>
      <c r="BU94" s="12" t="n"/>
      <c r="BV94" s="12" t="n"/>
      <c r="BW94" s="12" t="n"/>
      <c r="BX94" s="12" t="n"/>
      <c r="BY94" s="12" t="n"/>
      <c r="BZ94" s="12" t="n"/>
      <c r="CA94" s="12" t="n"/>
      <c r="CB94" s="12" t="n"/>
      <c r="CC94" s="12" t="n"/>
      <c r="CD94" s="12" t="n"/>
      <c r="CE94" s="12" t="n"/>
      <c r="CF94" s="12" t="n"/>
      <c r="CG94" s="12" t="n"/>
      <c r="CH94" s="12" t="n"/>
      <c r="CI94" s="12" t="n"/>
      <c r="CJ94" s="12" t="n"/>
      <c r="CK94" s="12" t="n"/>
      <c r="CL94" s="12" t="n"/>
      <c r="CM94" s="12" t="n"/>
      <c r="CN94" s="12" t="n"/>
      <c r="CO94" s="12" t="n"/>
      <c r="CP94" s="12" t="n"/>
      <c r="CQ94" s="12" t="n"/>
      <c r="CR94" s="12" t="n"/>
      <c r="CS94" s="12" t="n"/>
      <c r="CT94" s="12" t="n"/>
      <c r="CU94" s="12" t="n"/>
      <c r="CV94" s="12" t="n"/>
      <c r="CW94" s="12" t="n"/>
      <c r="CX94" s="12" t="n"/>
      <c r="CY94" s="12" t="n"/>
    </row>
    <row r="95" hidden="1" outlineLevel="1">
      <c r="C95" s="57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  <c r="AJ95" s="12" t="n"/>
      <c r="AK95" s="12" t="n"/>
      <c r="AL95" s="12" t="n"/>
      <c r="AM95" s="12" t="n"/>
      <c r="AN95" s="12" t="n"/>
      <c r="AO95" s="12" t="n"/>
      <c r="AP95" s="12" t="n"/>
      <c r="AQ95" s="12" t="n"/>
      <c r="AR95" s="12" t="n"/>
      <c r="AS95" s="12" t="n"/>
      <c r="AT95" s="12" t="n"/>
      <c r="AU95" s="12" t="n"/>
      <c r="AV95" s="12" t="n"/>
      <c r="AW95" s="12" t="n"/>
      <c r="AX95" s="12" t="n"/>
      <c r="AY95" s="12" t="n"/>
      <c r="AZ95" s="12" t="n"/>
      <c r="BA95" s="12" t="n"/>
      <c r="BB95" s="12" t="n"/>
      <c r="BC95" s="12" t="n"/>
      <c r="BD95" s="12" t="n"/>
      <c r="BE95" s="12" t="n"/>
      <c r="BF95" s="12" t="n"/>
      <c r="BG95" s="12" t="n"/>
      <c r="BH95" s="12" t="n"/>
      <c r="BI95" s="12" t="n"/>
      <c r="BJ95" s="12" t="n"/>
      <c r="BK95" s="12" t="n"/>
      <c r="BL95" s="12" t="n"/>
      <c r="BM95" s="12" t="n"/>
      <c r="BN95" s="12" t="n"/>
      <c r="BO95" s="12" t="n"/>
      <c r="BP95" s="12" t="n"/>
      <c r="BQ95" s="12" t="n"/>
      <c r="BR95" s="12" t="n"/>
      <c r="BS95" s="12" t="n"/>
      <c r="BT95" s="12" t="n"/>
      <c r="BU95" s="12" t="n"/>
      <c r="BV95" s="12" t="n"/>
      <c r="BW95" s="12" t="n"/>
      <c r="BX95" s="12" t="n"/>
      <c r="BY95" s="12" t="n"/>
      <c r="BZ95" s="12" t="n"/>
      <c r="CA95" s="12" t="n"/>
      <c r="CB95" s="12" t="n"/>
      <c r="CC95" s="12" t="n"/>
      <c r="CD95" s="12" t="n"/>
      <c r="CE95" s="12" t="n"/>
      <c r="CF95" s="12" t="n"/>
      <c r="CG95" s="12" t="n"/>
      <c r="CH95" s="12" t="n"/>
      <c r="CI95" s="12" t="n"/>
      <c r="CJ95" s="12" t="n"/>
      <c r="CK95" s="12" t="n"/>
      <c r="CL95" s="12" t="n"/>
      <c r="CM95" s="12" t="n"/>
      <c r="CN95" s="12" t="n"/>
      <c r="CO95" s="12" t="n"/>
      <c r="CP95" s="12" t="n"/>
      <c r="CQ95" s="12" t="n"/>
      <c r="CR95" s="12" t="n"/>
      <c r="CS95" s="12" t="n"/>
      <c r="CT95" s="12" t="n"/>
      <c r="CU95" s="12" t="n"/>
      <c r="CV95" s="12" t="n"/>
      <c r="CW95" s="12" t="n"/>
      <c r="CX95" s="12" t="n"/>
      <c r="CY95" s="12" t="n"/>
    </row>
    <row r="96" collapsed="1" customFormat="1" s="32">
      <c r="A96" s="30" t="n"/>
      <c r="B96" s="3" t="n"/>
      <c r="C96" s="33" t="inlineStr">
        <is>
          <t>Pretax Income - EBT</t>
        </is>
      </c>
      <c r="D96" s="35" t="n"/>
      <c r="E96" s="35" t="n"/>
      <c r="F96" s="35" t="n"/>
      <c r="G96" s="35" t="n"/>
      <c r="H96" s="35" t="n"/>
      <c r="I96" s="35">
        <f>SUM(I39,I40,I89)</f>
        <v>167.96626838</v>
      </c>
      <c r="J96" s="35">
        <f>SUM(J39,J40,J89)</f>
        <v>92.64042901</v>
      </c>
      <c r="K96" s="35">
        <f>SUM(K39,K40,K89)</f>
        <v>135.89422188</v>
      </c>
      <c r="L96" s="35">
        <f>SUM(L39,L40,L89)</f>
        <v>99.0563358900001</v>
      </c>
      <c r="M96" s="35">
        <f>SUM(I96:L96)</f>
        <v>495.55725516</v>
      </c>
      <c r="N96" s="35">
        <f>SUM(N39,N40,N89)</f>
        <v>153.507005969</v>
      </c>
      <c r="O96" s="35">
        <f>SUM(O39,O40,O89)</f>
        <v>97.8184347780001</v>
      </c>
      <c r="P96" s="35">
        <f>SUM(P39,P40,P89)</f>
        <v>123.28083126</v>
      </c>
      <c r="Q96" s="35">
        <f>SUM(Q39,Q40,Q89)</f>
        <v>30.1845656999999</v>
      </c>
      <c r="R96" s="35">
        <f>SUM(N96:Q96)</f>
        <v>404.790837707</v>
      </c>
      <c r="S96" s="35">
        <f>SUM(S39,S40,S89)</f>
        <v>124.97772461</v>
      </c>
      <c r="T96" s="35">
        <f>SUM(T39,T40,T89)</f>
        <v>97.9919510499998</v>
      </c>
      <c r="U96" s="35">
        <f>SUM(U39,U40,U89)</f>
        <v>214.897435338</v>
      </c>
      <c r="V96" s="35">
        <f>SUM(V39,V40,V89)</f>
        <v>93.3019067500001</v>
      </c>
      <c r="W96" s="35">
        <f>SUM(S96:V96)</f>
        <v>531.169017748</v>
      </c>
      <c r="X96" s="35">
        <f>SUM(X39,X40,X89)</f>
        <v>217.3046009</v>
      </c>
      <c r="Y96" s="35">
        <f>SUM(Y39,Y40,Y89)</f>
        <v>228.914</v>
      </c>
      <c r="Z96" s="35">
        <f>SUM(Z39,Z40,Z89)</f>
        <v>244.697474</v>
      </c>
      <c r="AA96" s="35">
        <f>SUM(AA39,AA40,AA89)</f>
        <v>99.7419251000002</v>
      </c>
      <c r="AB96" s="35">
        <f>SUM(X96:AA96)</f>
        <v>790.658</v>
      </c>
      <c r="AC96" s="35">
        <f>SUM(AC39,AC40,AC89)</f>
        <v>232.114186</v>
      </c>
      <c r="AD96" s="35">
        <f>SUM(AD39,AD40,AD89)</f>
        <v>191.73</v>
      </c>
      <c r="AE96" s="35">
        <f>SUM(AE39,AE40,AE89)</f>
        <v>239.759090394</v>
      </c>
      <c r="AF96" s="35">
        <f>SUM(AF39,AF40,AF89)</f>
        <v>103.16258393</v>
      </c>
      <c r="AG96" s="35">
        <f>SUM(AC96:AF96)</f>
        <v>766.765860324</v>
      </c>
      <c r="AH96" s="35">
        <f>SUM(AH39,AH40,AH89)</f>
        <v>257.8142723</v>
      </c>
      <c r="AI96" s="35">
        <f>SUM(AI39,AI40,AI89)</f>
        <v>285.840709</v>
      </c>
      <c r="AJ96" s="35">
        <f>SUM(AJ39,AJ40,AJ89:AJ94)</f>
        <v>465.857450761894</v>
      </c>
      <c r="AK96" s="35">
        <f>SUM(AK39,AK40,AK89:AK94)</f>
        <v>438.134555710841</v>
      </c>
      <c r="AL96" s="35">
        <f>SUM(AH96:AK96)</f>
        <v>1447.64698777273</v>
      </c>
      <c r="AM96" s="35">
        <f>SUM(AM39,AM40,AM89:AM94)</f>
        <v>472.690935358235</v>
      </c>
      <c r="AN96" s="35">
        <f>SUM(AN39,AN40,AN89:AN94)</f>
        <v>492.579015466695</v>
      </c>
      <c r="AO96" s="35">
        <f>SUM(AO39,AO40,AO89:AO94)</f>
        <v>509.776958643393</v>
      </c>
      <c r="AP96" s="35">
        <f>SUM(AP39,AP40,AP89:AP94)</f>
        <v>479.440440249617</v>
      </c>
      <c r="AQ96" s="35">
        <f>SUM(AM96:AP96)</f>
        <v>1954.48734971794</v>
      </c>
      <c r="AR96" s="35">
        <f>SUM(AR39,AR40,AR89:AR94)</f>
        <v>514.891227009911</v>
      </c>
      <c r="AS96" s="35">
        <f>SUM(AS39,AS40,AS89:AS94)</f>
        <v>536.554849482712</v>
      </c>
      <c r="AT96" s="35">
        <f>SUM(AT39,AT40,AT89:AT94)</f>
        <v>555.288168448489</v>
      </c>
      <c r="AU96" s="35">
        <f>SUM(AU39,AU40,AU89:AU94)</f>
        <v>522.243305493496</v>
      </c>
      <c r="AV96" s="35">
        <f>SUM(AR96:AU96)</f>
        <v>2128.97755043461</v>
      </c>
      <c r="AW96" s="35">
        <f>SUM(AW39,AW40,AW89:AW94)</f>
        <v>558.284565734816</v>
      </c>
      <c r="AX96" s="35">
        <f>SUM(AX39,AX40,AX89:AX94)</f>
        <v>581.77392704071</v>
      </c>
      <c r="AY96" s="35">
        <f>SUM(AY39,AY40,AY89:AY94)</f>
        <v>602.08602850011</v>
      </c>
      <c r="AZ96" s="35">
        <f>SUM(AZ39,AZ40,AZ89:AZ94)</f>
        <v>566.256253206154</v>
      </c>
      <c r="BA96" s="35">
        <f>SUM(AW96:AZ96)</f>
        <v>2308.40077448179</v>
      </c>
      <c r="BB96" s="35">
        <f>SUM(BB39,BB40,BB89:BB94)</f>
        <v>602.543529463517</v>
      </c>
      <c r="BC96" s="35">
        <f>SUM(BC39,BC40,BC89:BC94)</f>
        <v>627.895050058518</v>
      </c>
      <c r="BD96" s="35">
        <f>SUM(BD39,BD40,BD89:BD94)</f>
        <v>649.817428098934</v>
      </c>
      <c r="BE96" s="35">
        <f>SUM(BE39,BE40,BE89:BE94)</f>
        <v>611.147186092351</v>
      </c>
      <c r="BF96" s="35">
        <f>SUM(BB96:BE96)</f>
        <v>2491.40319371332</v>
      </c>
      <c r="BG96" s="35" t="n"/>
      <c r="BH96" s="35" t="n"/>
      <c r="BI96" s="35" t="n"/>
      <c r="BJ96" s="35" t="n"/>
      <c r="BK96" s="35" t="n"/>
      <c r="BL96" s="35" t="n"/>
      <c r="BM96" s="35" t="n"/>
      <c r="BN96" s="35" t="n"/>
      <c r="BO96" s="35" t="n"/>
      <c r="BP96" s="35" t="n"/>
      <c r="BQ96" s="35" t="n"/>
      <c r="BR96" s="35" t="n"/>
      <c r="BS96" s="35" t="n"/>
      <c r="BT96" s="35" t="n"/>
      <c r="BU96" s="35" t="n"/>
      <c r="BV96" s="35" t="n"/>
      <c r="BW96" s="35" t="n"/>
      <c r="BX96" s="35" t="n"/>
      <c r="BY96" s="35" t="n"/>
      <c r="BZ96" s="35" t="n"/>
      <c r="CA96" s="35" t="n"/>
      <c r="CB96" s="35" t="n"/>
      <c r="CC96" s="35" t="n"/>
      <c r="CD96" s="35" t="n"/>
      <c r="CE96" s="35" t="n"/>
      <c r="CF96" s="35" t="n"/>
      <c r="CG96" s="35" t="n"/>
      <c r="CH96" s="35" t="n"/>
      <c r="CI96" s="35" t="n"/>
      <c r="CJ96" s="35" t="n"/>
      <c r="CK96" s="35" t="n"/>
      <c r="CL96" s="35" t="n"/>
      <c r="CM96" s="35" t="n"/>
      <c r="CN96" s="35" t="n"/>
      <c r="CO96" s="35" t="n"/>
      <c r="CP96" s="35" t="n"/>
      <c r="CQ96" s="35" t="n"/>
      <c r="CR96" s="35" t="n"/>
      <c r="CS96" s="35" t="n"/>
      <c r="CT96" s="35" t="n"/>
      <c r="CU96" s="35" t="n"/>
      <c r="CV96" s="35" t="n"/>
      <c r="CW96" s="35" t="n"/>
      <c r="CX96" s="35" t="n"/>
      <c r="CY96" s="35" t="n"/>
    </row>
    <row r="97">
      <c r="C97" s="14" t="inlineStr">
        <is>
          <t>Taxes</t>
        </is>
      </c>
      <c r="D97" s="46" t="n"/>
      <c r="E97" s="46" t="n"/>
      <c r="F97" s="46" t="n"/>
      <c r="G97" s="46" t="n"/>
      <c r="H97" s="12" t="n"/>
      <c r="I97" s="46">
        <f>'Inputs (2)'!D10</f>
        <v>-49.15601659</v>
      </c>
      <c r="J97" s="46">
        <f>'Inputs (2)'!E10</f>
        <v>-27.14299102</v>
      </c>
      <c r="K97" s="46">
        <f>'Inputs (2)'!F10</f>
        <v>-39.94616017</v>
      </c>
      <c r="L97" s="46">
        <f>'Inputs (2)'!G10</f>
        <v>-28.37167513</v>
      </c>
      <c r="M97" s="12">
        <f>'Inputs (2)'!H10</f>
        <v>-144.61684291</v>
      </c>
      <c r="N97" s="46">
        <f>'Inputs (2)'!I10</f>
        <v>-42.67500254</v>
      </c>
      <c r="O97" s="46">
        <f>'Inputs (2)'!J10</f>
        <v>-27.30873652</v>
      </c>
      <c r="P97" s="46">
        <f>'Inputs (2)'!K10</f>
        <v>-26.85181194</v>
      </c>
      <c r="Q97" s="46">
        <f>'Inputs (2)'!L10</f>
        <v>0.17334404</v>
      </c>
      <c r="R97" s="12">
        <f>'Inputs (2)'!M10</f>
        <v>-96.66220696</v>
      </c>
      <c r="S97" s="46">
        <f>'Inputs (2)'!N10</f>
        <v>-31.1542375</v>
      </c>
      <c r="T97" s="46">
        <f>'Inputs (2)'!O10</f>
        <v>-24.205657494</v>
      </c>
      <c r="U97" s="46">
        <f>'Inputs (2)'!P10</f>
        <v>-43.257</v>
      </c>
      <c r="V97" s="46">
        <f>'Inputs (2)'!Q10</f>
        <v>-11.888105006</v>
      </c>
      <c r="W97" s="12">
        <f>'Inputs (2)'!R10</f>
        <v>-110.505</v>
      </c>
      <c r="X97" s="46">
        <f>'Inputs (2)'!S10</f>
        <v>-48.642</v>
      </c>
      <c r="Y97" s="46">
        <f>'Inputs (2)'!T10</f>
        <v>-55.949</v>
      </c>
      <c r="Z97" s="46">
        <f>'Inputs (2)'!U10</f>
        <v>-57.35</v>
      </c>
      <c r="AA97" s="46">
        <f>'Inputs (2)'!V10</f>
        <v>-20.816</v>
      </c>
      <c r="AB97" s="12">
        <f>'Inputs (2)'!W10</f>
        <v>-182.757</v>
      </c>
      <c r="AC97" s="46">
        <f>'Inputs (2)'!X10</f>
        <v>-54.01302</v>
      </c>
      <c r="AD97" s="46">
        <f>'Inputs (2)'!Y10</f>
        <v>-44.404</v>
      </c>
      <c r="AE97" s="46">
        <f>'Inputs (2)'!Z10</f>
        <v>-53.90447839</v>
      </c>
      <c r="AF97" s="46">
        <f>'Inputs (2)'!AA10</f>
        <v>-4.21478333</v>
      </c>
      <c r="AG97" s="12">
        <f>'Inputs (2)'!AB10</f>
        <v>-156.53628172</v>
      </c>
      <c r="AH97" s="12">
        <f>'Inputs (2)'!AC10</f>
        <v>-55.10018466</v>
      </c>
      <c r="AI97" s="12">
        <f>'Inputs (2)'!AD10</f>
        <v>-61.143775</v>
      </c>
      <c r="AJ97" s="12">
        <f>-AJ96*AJ98</f>
        <v>-89.8801418252903</v>
      </c>
      <c r="AK97" s="12">
        <f>-AK96*AK98</f>
        <v>-84.5314289627588</v>
      </c>
      <c r="AL97" s="12">
        <f>SUM(AH97:AK97)</f>
        <v>-290.655530448049</v>
      </c>
      <c r="AM97" s="12">
        <f>-AM96*AM98</f>
        <v>-91.1985592160084</v>
      </c>
      <c r="AN97" s="12">
        <f>-AN96*AN98</f>
        <v>-95.0356631581212</v>
      </c>
      <c r="AO97" s="12">
        <f>-AO96*AO98</f>
        <v>-98.3537459091794</v>
      </c>
      <c r="AP97" s="12">
        <f>-AP96*AP98</f>
        <v>-92.5007739941466</v>
      </c>
      <c r="AQ97" s="12">
        <f>SUM(AM97:AP97)</f>
        <v>-377.088742277456</v>
      </c>
      <c r="AR97" s="12">
        <f>-AR96*AR98</f>
        <v>-99.340466558089</v>
      </c>
      <c r="AS97" s="12">
        <f>-AS96*AS98</f>
        <v>-103.520134516862</v>
      </c>
      <c r="AT97" s="12">
        <f>-AT96*AT98</f>
        <v>-107.134444780116</v>
      </c>
      <c r="AU97" s="12">
        <f>-AU96*AU98</f>
        <v>-100.758938787597</v>
      </c>
      <c r="AV97" s="12">
        <f>SUM(AR97:AU97)</f>
        <v>-410.753984642665</v>
      </c>
      <c r="AW97" s="12">
        <f>-AW96*AW98</f>
        <v>-107.71255426966</v>
      </c>
      <c r="AX97" s="12">
        <f>-AX96*AX98</f>
        <v>-112.24447089374</v>
      </c>
      <c r="AY97" s="12">
        <f>-AY96*AY98</f>
        <v>-116.163383335635</v>
      </c>
      <c r="AZ97" s="12">
        <f>-AZ96*AZ98</f>
        <v>-109.250570672186</v>
      </c>
      <c r="BA97" s="12">
        <f>SUM(AW97:AZ97)</f>
        <v>-445.370979171221</v>
      </c>
      <c r="BB97" s="12">
        <f>-BB96*BB98</f>
        <v>-116.251651219746</v>
      </c>
      <c r="BC97" s="12">
        <f>-BC96*BC98</f>
        <v>-121.142843284699</v>
      </c>
      <c r="BD97" s="12">
        <f>-BD96*BD98</f>
        <v>-125.372434212562</v>
      </c>
      <c r="BE97" s="12">
        <f>-BE96*BE98</f>
        <v>-117.911596502903</v>
      </c>
      <c r="BF97" s="12">
        <f>SUM(BB97:BE97)</f>
        <v>-480.678525219911</v>
      </c>
      <c r="BG97" s="12" t="n"/>
      <c r="BH97" s="12" t="n"/>
      <c r="BI97" s="12" t="n"/>
      <c r="BJ97" s="12" t="n"/>
      <c r="BK97" s="12" t="n"/>
      <c r="BL97" s="12" t="n"/>
      <c r="BM97" s="12" t="n"/>
      <c r="BN97" s="12" t="n"/>
      <c r="BO97" s="12" t="n"/>
      <c r="BP97" s="12" t="n"/>
      <c r="BQ97" s="12" t="n"/>
      <c r="BR97" s="12" t="n"/>
      <c r="BS97" s="12" t="n"/>
      <c r="BT97" s="12" t="n"/>
      <c r="BU97" s="12" t="n"/>
      <c r="BV97" s="12" t="n"/>
      <c r="BW97" s="12" t="n"/>
      <c r="BX97" s="12" t="n"/>
      <c r="BY97" s="12" t="n"/>
      <c r="BZ97" s="12" t="n"/>
      <c r="CA97" s="12" t="n"/>
      <c r="CB97" s="12" t="n"/>
      <c r="CC97" s="12" t="n"/>
      <c r="CD97" s="12" t="n"/>
      <c r="CE97" s="12" t="n"/>
      <c r="CF97" s="12" t="n"/>
      <c r="CG97" s="12" t="n"/>
      <c r="CH97" s="12" t="n"/>
      <c r="CI97" s="12" t="n"/>
      <c r="CJ97" s="12" t="n"/>
      <c r="CK97" s="12" t="n"/>
      <c r="CL97" s="12" t="n"/>
      <c r="CM97" s="12" t="n"/>
      <c r="CN97" s="12" t="n"/>
      <c r="CO97" s="12" t="n"/>
      <c r="CP97" s="12" t="n"/>
      <c r="CQ97" s="12" t="n"/>
      <c r="CR97" s="12" t="n"/>
      <c r="CS97" s="12" t="n"/>
      <c r="CT97" s="12" t="n"/>
      <c r="CU97" s="12" t="n"/>
      <c r="CV97" s="12" t="n"/>
      <c r="CW97" s="12" t="n"/>
      <c r="CX97" s="12" t="n"/>
      <c r="CY97" s="12" t="n"/>
    </row>
    <row r="98" hidden="1" outlineLevel="1">
      <c r="C98" s="57" t="inlineStr">
        <is>
          <t>% ETR</t>
        </is>
      </c>
      <c r="D98" s="53" t="n"/>
      <c r="E98" s="53" t="n"/>
      <c r="F98" s="53" t="n"/>
      <c r="G98" s="53" t="n"/>
      <c r="H98" s="53" t="n"/>
      <c r="I98" s="53">
        <f>IFERROR(-I97/I96,"")</f>
        <v>0.292654096945176</v>
      </c>
      <c r="J98" s="53">
        <f>IFERROR(-J97/J96,"")</f>
        <v>0.292992933107748</v>
      </c>
      <c r="K98" s="53">
        <f>IFERROR(-K97/K96,"")</f>
        <v>0.293950394780391</v>
      </c>
      <c r="L98" s="53">
        <f>IFERROR(-L97/L96,"")</f>
        <v>0.286419590176505</v>
      </c>
      <c r="M98" s="53">
        <f>IFERROR(-M97/M96,"")</f>
        <v>0.291826709031447</v>
      </c>
      <c r="N98" s="53">
        <f>IFERROR(-N97/N96,"")</f>
        <v>0.278000357512139</v>
      </c>
      <c r="O98" s="53">
        <f>IFERROR(-O97/O96,"")</f>
        <v>0.279177811237498</v>
      </c>
      <c r="P98" s="53">
        <f>IFERROR(-P97/P96,"")</f>
        <v>0.21781011423722</v>
      </c>
      <c r="Q98" s="53">
        <f>IFERROR(-Q97/Q96,"")</f>
        <v>-0.0057428038462717</v>
      </c>
      <c r="R98" s="53">
        <f>IFERROR(-R97/R96,"")</f>
        <v>0.238795441881931</v>
      </c>
      <c r="S98" s="53">
        <f>IFERROR(-S97/S96,"")</f>
        <v>0.24927832217476</v>
      </c>
      <c r="T98" s="53">
        <f>IFERROR(-T97/T96,"")</f>
        <v>0.247016793059352</v>
      </c>
      <c r="U98" s="53">
        <f>IFERROR(-U97/U96,"")</f>
        <v>0.201291373868485</v>
      </c>
      <c r="V98" s="53">
        <f>IFERROR(-V97/V96,"")</f>
        <v>0.127415456126249</v>
      </c>
      <c r="W98" s="53">
        <f>IFERROR(-W97/W96,"")</f>
        <v>0.208041124967169</v>
      </c>
      <c r="X98" s="53">
        <f>IFERROR(-X97/X96,"")</f>
        <v>0.223842476406582</v>
      </c>
      <c r="Y98" s="53">
        <f>IFERROR(-Y97/Y96,"")</f>
        <v>0.244410564666207</v>
      </c>
      <c r="Z98" s="53">
        <f>IFERROR(-Z97/Z96,"")</f>
        <v>0.234371034005852</v>
      </c>
      <c r="AA98" s="53">
        <f>IFERROR(-AA97/AA96,"")</f>
        <v>0.208698598699896</v>
      </c>
      <c r="AB98" s="53">
        <f>IFERROR(-AB97/AB96,"")</f>
        <v>0.2311454510041</v>
      </c>
      <c r="AC98" s="53">
        <f>IFERROR(-AC97/AC96,"")</f>
        <v>0.23270021074886</v>
      </c>
      <c r="AD98" s="53">
        <f>IFERROR(-AD97/AD96,"")</f>
        <v>0.231596515933866</v>
      </c>
      <c r="AE98" s="53">
        <f>IFERROR(-AE97/AE96,"")</f>
        <v>0.224827673067235</v>
      </c>
      <c r="AF98" s="41">
        <f>IFERROR(-AF97/AF96,"")</f>
        <v>0.0408557363477819</v>
      </c>
      <c r="AG98" s="53">
        <f>IFERROR(-AG97/AG96,"")</f>
        <v>0.204151345045351</v>
      </c>
      <c r="AH98" s="41">
        <f>IFERROR(-AH97/AH96,"")</f>
        <v>0.213720459183438</v>
      </c>
      <c r="AI98" s="41">
        <f>IFERROR(-AI97/AI96,"")</f>
        <v>0.213908561918659</v>
      </c>
      <c r="AJ98" s="41">
        <f>Control!$B$22</f>
        <v>0.192934859533307</v>
      </c>
      <c r="AK98" s="41">
        <f>Control!$B$22</f>
        <v>0.192934859533307</v>
      </c>
      <c r="AL98" s="53">
        <f>IFERROR(-AL97/AL96,"")</f>
        <v>0.200777905734626</v>
      </c>
      <c r="AM98" s="41">
        <f>Control!$C$22</f>
        <v>0.192934859533307</v>
      </c>
      <c r="AN98" s="41">
        <f>Control!$C$22</f>
        <v>0.192934859533307</v>
      </c>
      <c r="AO98" s="41">
        <f>Control!$C$22</f>
        <v>0.192934859533307</v>
      </c>
      <c r="AP98" s="41">
        <f>Control!$C$22</f>
        <v>0.192934859533307</v>
      </c>
      <c r="AQ98" s="53">
        <f>IFERROR(-AQ97/AQ96,"")</f>
        <v>0.192934859533307</v>
      </c>
      <c r="AR98" s="41">
        <f>Control!$D$22</f>
        <v>0.192934859533307</v>
      </c>
      <c r="AS98" s="41">
        <f>Control!$D$22</f>
        <v>0.192934859533307</v>
      </c>
      <c r="AT98" s="41">
        <f>Control!$D$22</f>
        <v>0.192934859533307</v>
      </c>
      <c r="AU98" s="41">
        <f>Control!$D$22</f>
        <v>0.192934859533307</v>
      </c>
      <c r="AV98" s="53">
        <f>IFERROR(-AV97/AV96,"")</f>
        <v>0.192934859533307</v>
      </c>
      <c r="AW98" s="41">
        <f>Control!$E$22</f>
        <v>0.192934859533307</v>
      </c>
      <c r="AX98" s="41">
        <f>Control!$E$22</f>
        <v>0.192934859533307</v>
      </c>
      <c r="AY98" s="41">
        <f>Control!$E$22</f>
        <v>0.192934859533307</v>
      </c>
      <c r="AZ98" s="41">
        <f>Control!$E$22</f>
        <v>0.192934859533307</v>
      </c>
      <c r="BA98" s="53">
        <f>IFERROR(-BA97/BA96,"")</f>
        <v>0.192934859533307</v>
      </c>
      <c r="BB98" s="41">
        <f>Control!$F$22</f>
        <v>0.192934859533307</v>
      </c>
      <c r="BC98" s="41">
        <f>Control!$F$22</f>
        <v>0.192934859533307</v>
      </c>
      <c r="BD98" s="41">
        <f>Control!$F$22</f>
        <v>0.192934859533307</v>
      </c>
      <c r="BE98" s="41">
        <f>Control!$F$22</f>
        <v>0.192934859533307</v>
      </c>
      <c r="BF98" s="53">
        <f>IFERROR(-BF97/BF96,"")</f>
        <v>0.192934859533307</v>
      </c>
      <c r="BG98" s="41" t="n"/>
      <c r="BH98" s="41" t="n"/>
      <c r="BI98" s="41" t="n"/>
      <c r="BJ98" s="41" t="n"/>
      <c r="BK98" s="53" t="n"/>
      <c r="BL98" s="41" t="n"/>
      <c r="BM98" s="41" t="n"/>
      <c r="BN98" s="41" t="n"/>
      <c r="BO98" s="41" t="n"/>
      <c r="BP98" s="53" t="n"/>
      <c r="BQ98" s="41" t="n"/>
      <c r="BR98" s="41" t="n"/>
      <c r="BS98" s="41" t="n"/>
      <c r="BT98" s="41" t="n"/>
      <c r="BU98" s="53" t="n"/>
      <c r="BV98" s="41" t="n"/>
      <c r="BW98" s="41" t="n"/>
      <c r="BX98" s="41" t="n"/>
      <c r="BY98" s="41" t="n"/>
      <c r="BZ98" s="53" t="n"/>
      <c r="CA98" s="41" t="n"/>
      <c r="CB98" s="41" t="n"/>
      <c r="CC98" s="41" t="n"/>
      <c r="CD98" s="41" t="n"/>
      <c r="CE98" s="53" t="n"/>
      <c r="CF98" s="41" t="n"/>
      <c r="CG98" s="41" t="n"/>
      <c r="CH98" s="41" t="n"/>
      <c r="CI98" s="41" t="n"/>
      <c r="CJ98" s="53" t="n"/>
      <c r="CK98" s="41" t="n"/>
      <c r="CL98" s="41" t="n"/>
      <c r="CM98" s="41" t="n"/>
      <c r="CN98" s="41" t="n"/>
      <c r="CO98" s="53" t="n"/>
      <c r="CP98" s="41" t="n"/>
      <c r="CQ98" s="41" t="n"/>
      <c r="CR98" s="41" t="n"/>
      <c r="CS98" s="41" t="n"/>
      <c r="CT98" s="53" t="n"/>
      <c r="CU98" s="41" t="n"/>
      <c r="CV98" s="41" t="n"/>
      <c r="CW98" s="41" t="n"/>
      <c r="CX98" s="41" t="n"/>
      <c r="CY98" s="53" t="n"/>
    </row>
    <row r="99" hidden="1" outlineLevel="1">
      <c r="C99" s="57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  <c r="AJ99" s="12" t="n"/>
      <c r="AK99" s="12" t="n"/>
      <c r="AL99" s="12" t="n"/>
      <c r="AM99" s="12" t="n"/>
      <c r="AN99" s="12" t="n"/>
      <c r="AO99" s="12" t="n"/>
      <c r="AP99" s="12" t="n"/>
      <c r="AQ99" s="12" t="n"/>
      <c r="AR99" s="12" t="n"/>
      <c r="AS99" s="12" t="n"/>
      <c r="AT99" s="12" t="n"/>
      <c r="AU99" s="12" t="n"/>
      <c r="AV99" s="12" t="n"/>
      <c r="AW99" s="12" t="n"/>
      <c r="AX99" s="12" t="n"/>
      <c r="AY99" s="12" t="n"/>
      <c r="AZ99" s="12" t="n"/>
      <c r="BA99" s="12" t="n"/>
      <c r="BB99" s="12" t="n"/>
      <c r="BC99" s="12" t="n"/>
      <c r="BD99" s="12" t="n"/>
      <c r="BE99" s="12" t="n"/>
      <c r="BF99" s="12" t="n"/>
      <c r="BG99" s="12" t="n"/>
      <c r="BH99" s="12" t="n"/>
      <c r="BI99" s="12" t="n"/>
      <c r="BJ99" s="12" t="n"/>
      <c r="BK99" s="12" t="n"/>
      <c r="BL99" s="12" t="n"/>
      <c r="BM99" s="12" t="n"/>
      <c r="BN99" s="12" t="n"/>
      <c r="BO99" s="12" t="n"/>
      <c r="BP99" s="12" t="n"/>
      <c r="BQ99" s="12" t="n"/>
      <c r="BR99" s="12" t="n"/>
      <c r="BS99" s="12" t="n"/>
      <c r="BT99" s="12" t="n"/>
      <c r="BU99" s="12" t="n"/>
      <c r="BV99" s="12" t="n"/>
      <c r="BW99" s="12" t="n"/>
      <c r="BX99" s="12" t="n"/>
      <c r="BY99" s="12" t="n"/>
      <c r="BZ99" s="12" t="n"/>
      <c r="CA99" s="12" t="n"/>
      <c r="CB99" s="12" t="n"/>
      <c r="CC99" s="12" t="n"/>
      <c r="CD99" s="12" t="n"/>
      <c r="CE99" s="12" t="n"/>
      <c r="CF99" s="12" t="n"/>
      <c r="CG99" s="12" t="n"/>
      <c r="CH99" s="12" t="n"/>
      <c r="CI99" s="12" t="n"/>
      <c r="CJ99" s="12" t="n"/>
      <c r="CK99" s="12" t="n"/>
      <c r="CL99" s="12" t="n"/>
      <c r="CM99" s="12" t="n"/>
      <c r="CN99" s="12" t="n"/>
      <c r="CO99" s="12" t="n"/>
      <c r="CP99" s="12" t="n"/>
      <c r="CQ99" s="12" t="n"/>
      <c r="CR99" s="12" t="n"/>
      <c r="CS99" s="12" t="n"/>
      <c r="CT99" s="12" t="n"/>
      <c r="CU99" s="12" t="n"/>
      <c r="CV99" s="12" t="n"/>
      <c r="CW99" s="12" t="n"/>
      <c r="CX99" s="12" t="n"/>
      <c r="CY99" s="12" t="n"/>
    </row>
    <row r="100" hidden="1" outlineLevel="1">
      <c r="C100" s="57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2" t="n"/>
      <c r="AK100" s="12" t="n"/>
      <c r="AL100" s="12" t="n"/>
      <c r="AM100" s="12" t="n"/>
      <c r="AN100" s="12" t="n"/>
      <c r="AO100" s="12" t="n"/>
      <c r="AP100" s="12" t="n"/>
      <c r="AQ100" s="12" t="n"/>
      <c r="AR100" s="12" t="n"/>
      <c r="AS100" s="12" t="n"/>
      <c r="AT100" s="12" t="n"/>
      <c r="AU100" s="12" t="n"/>
      <c r="AV100" s="12" t="n"/>
      <c r="AW100" s="12" t="n"/>
      <c r="AX100" s="12" t="n"/>
      <c r="AY100" s="12" t="n"/>
      <c r="AZ100" s="12" t="n"/>
      <c r="BA100" s="12" t="n"/>
      <c r="BB100" s="12" t="n"/>
      <c r="BC100" s="12" t="n"/>
      <c r="BD100" s="12" t="n"/>
      <c r="BE100" s="12" t="n"/>
      <c r="BF100" s="12" t="n"/>
      <c r="BG100" s="12" t="n"/>
      <c r="BH100" s="12" t="n"/>
      <c r="BI100" s="12" t="n"/>
      <c r="BJ100" s="12" t="n"/>
      <c r="BK100" s="12" t="n"/>
      <c r="BL100" s="12" t="n"/>
      <c r="BM100" s="12" t="n"/>
      <c r="BN100" s="12" t="n"/>
      <c r="BO100" s="12" t="n"/>
      <c r="BP100" s="12" t="n"/>
      <c r="BQ100" s="12" t="n"/>
      <c r="BR100" s="12" t="n"/>
      <c r="BS100" s="12" t="n"/>
      <c r="BT100" s="12" t="n"/>
      <c r="BU100" s="12" t="n"/>
      <c r="BV100" s="12" t="n"/>
      <c r="BW100" s="12" t="n"/>
      <c r="BX100" s="12" t="n"/>
      <c r="BY100" s="12" t="n"/>
      <c r="BZ100" s="12" t="n"/>
      <c r="CA100" s="12" t="n"/>
      <c r="CB100" s="12" t="n"/>
      <c r="CC100" s="12" t="n"/>
      <c r="CD100" s="12" t="n"/>
      <c r="CE100" s="12" t="n"/>
      <c r="CF100" s="12" t="n"/>
      <c r="CG100" s="12" t="n"/>
      <c r="CH100" s="12" t="n"/>
      <c r="CI100" s="12" t="n"/>
      <c r="CJ100" s="12" t="n"/>
      <c r="CK100" s="12" t="n"/>
      <c r="CL100" s="12" t="n"/>
      <c r="CM100" s="12" t="n"/>
      <c r="CN100" s="12" t="n"/>
      <c r="CO100" s="12" t="n"/>
      <c r="CP100" s="12" t="n"/>
      <c r="CQ100" s="12" t="n"/>
      <c r="CR100" s="12" t="n"/>
      <c r="CS100" s="12" t="n"/>
      <c r="CT100" s="12" t="n"/>
      <c r="CU100" s="12" t="n"/>
      <c r="CV100" s="12" t="n"/>
      <c r="CW100" s="12" t="n"/>
      <c r="CX100" s="12" t="n"/>
      <c r="CY100" s="12" t="n"/>
    </row>
    <row r="101" collapsed="1">
      <c r="C101" s="14" t="inlineStr">
        <is>
          <t>Equity in Income of Affiliates, after tax (enter as +)</t>
        </is>
      </c>
      <c r="D101" s="46" t="n"/>
      <c r="E101" s="46" t="n"/>
      <c r="F101" s="46" t="n"/>
      <c r="G101" s="46" t="n"/>
      <c r="H101" s="12" t="n"/>
      <c r="I101" s="46">
        <f>'Inputs (2)'!D11</f>
        <v>-0.19829475</v>
      </c>
      <c r="J101" s="46">
        <f>'Inputs (2)'!E11</f>
        <v>-0.002235242</v>
      </c>
      <c r="K101" s="46">
        <f>'Inputs (2)'!F11</f>
        <v>0.44109465</v>
      </c>
      <c r="L101" s="46">
        <f>'Inputs (2)'!G11</f>
        <v>0.309085383</v>
      </c>
      <c r="M101" s="12">
        <f>'Inputs (2)'!H11</f>
        <v>0.549650041</v>
      </c>
      <c r="N101" s="46">
        <f>'Inputs (2)'!I11</f>
        <v>0.000197684</v>
      </c>
      <c r="O101" s="46">
        <f>'Inputs (2)'!J11</f>
        <v>0.414430567</v>
      </c>
      <c r="P101" s="46">
        <f>'Inputs (2)'!K11</f>
        <v>0.24977188</v>
      </c>
      <c r="Q101" s="46">
        <f>'Inputs (2)'!L11</f>
        <v>-0.061408071</v>
      </c>
      <c r="R101" s="12">
        <f>'Inputs (2)'!M11</f>
        <v>0.60299206</v>
      </c>
      <c r="S101" s="46">
        <f>'Inputs (2)'!N11</f>
        <v>0</v>
      </c>
      <c r="T101" s="46">
        <f>'Inputs (2)'!O11</f>
        <v>0.255</v>
      </c>
      <c r="U101" s="46">
        <f>'Inputs (2)'!P11</f>
        <v>0.176</v>
      </c>
      <c r="V101" s="46">
        <f>'Inputs (2)'!Q11</f>
        <v>-0.274</v>
      </c>
      <c r="W101" s="12">
        <f>'Inputs (2)'!R11</f>
        <v>0.157</v>
      </c>
      <c r="X101" s="46">
        <f>'Inputs (2)'!S11</f>
        <v>-0.348</v>
      </c>
      <c r="Y101" s="46">
        <f>'Inputs (2)'!T11</f>
        <v>-0.802</v>
      </c>
      <c r="Z101" s="46">
        <f>'Inputs (2)'!U11</f>
        <v>-0.655</v>
      </c>
      <c r="AA101" s="46">
        <f>'Inputs (2)'!V11</f>
        <v>-2.442</v>
      </c>
      <c r="AB101" s="12">
        <f>'Inputs (2)'!W11</f>
        <v>-4.247</v>
      </c>
      <c r="AC101" s="46">
        <f>'Inputs (2)'!X11</f>
        <v>-2.271</v>
      </c>
      <c r="AD101" s="46">
        <f>'Inputs (2)'!Y11</f>
        <v>-2.776</v>
      </c>
      <c r="AE101" s="46">
        <f>'Inputs (2)'!Z11</f>
        <v>-3.606338083</v>
      </c>
      <c r="AF101" s="46">
        <f>'Inputs (2)'!AA11</f>
        <v>-4.905646595</v>
      </c>
      <c r="AG101" s="12">
        <f>'Inputs (2)'!AB11</f>
        <v>-13.558984678</v>
      </c>
      <c r="AH101" s="12">
        <f>'Inputs (2)'!AC11</f>
        <v>-5.061568</v>
      </c>
      <c r="AI101" s="12">
        <f>'Inputs (2)'!AD11</f>
        <v>-5.364726</v>
      </c>
      <c r="AJ101" s="12">
        <f>0</f>
        <v>0</v>
      </c>
      <c r="AK101" s="12">
        <f>0</f>
        <v>0</v>
      </c>
      <c r="AL101" s="12">
        <f>SUM(AH101:AK101)</f>
        <v>-10.426294</v>
      </c>
      <c r="AM101" s="12">
        <f>0</f>
        <v>0</v>
      </c>
      <c r="AN101" s="12">
        <f>0</f>
        <v>0</v>
      </c>
      <c r="AO101" s="12">
        <f>0</f>
        <v>0</v>
      </c>
      <c r="AP101" s="12">
        <f>0</f>
        <v>0</v>
      </c>
      <c r="AQ101" s="12">
        <f>SUM(AM101:AP101)</f>
        <v>0</v>
      </c>
      <c r="AR101" s="12">
        <f>0</f>
        <v>0</v>
      </c>
      <c r="AS101" s="12">
        <f>0</f>
        <v>0</v>
      </c>
      <c r="AT101" s="12">
        <f>0</f>
        <v>0</v>
      </c>
      <c r="AU101" s="12">
        <f>0</f>
        <v>0</v>
      </c>
      <c r="AV101" s="12">
        <f>SUM(AR101:AU101)</f>
        <v>0</v>
      </c>
      <c r="AW101" s="12">
        <f>0</f>
        <v>0</v>
      </c>
      <c r="AX101" s="12">
        <f>0</f>
        <v>0</v>
      </c>
      <c r="AY101" s="12">
        <f>0</f>
        <v>0</v>
      </c>
      <c r="AZ101" s="12">
        <f>0</f>
        <v>0</v>
      </c>
      <c r="BA101" s="12">
        <f>SUM(AW101:AZ101)</f>
        <v>0</v>
      </c>
      <c r="BB101" s="12">
        <f>0</f>
        <v>0</v>
      </c>
      <c r="BC101" s="12">
        <f>0</f>
        <v>0</v>
      </c>
      <c r="BD101" s="12">
        <f>0</f>
        <v>0</v>
      </c>
      <c r="BE101" s="12">
        <f>0</f>
        <v>0</v>
      </c>
      <c r="BF101" s="12">
        <f>SUM(BB101:BE101)</f>
        <v>0</v>
      </c>
      <c r="BG101" s="12" t="n"/>
      <c r="BH101" s="12" t="n"/>
      <c r="BI101" s="12" t="n"/>
      <c r="BJ101" s="12" t="n"/>
      <c r="BK101" s="12" t="n"/>
      <c r="BL101" s="12" t="n"/>
      <c r="BM101" s="12" t="n"/>
      <c r="BN101" s="12" t="n"/>
      <c r="BO101" s="12" t="n"/>
      <c r="BP101" s="12" t="n"/>
      <c r="BQ101" s="12" t="n"/>
      <c r="BR101" s="12" t="n"/>
      <c r="BS101" s="12" t="n"/>
      <c r="BT101" s="12" t="n"/>
      <c r="BU101" s="12" t="n"/>
      <c r="BV101" s="12" t="n"/>
      <c r="BW101" s="12" t="n"/>
      <c r="BX101" s="12" t="n"/>
      <c r="BY101" s="12" t="n"/>
      <c r="BZ101" s="12" t="n"/>
      <c r="CA101" s="12" t="n"/>
      <c r="CB101" s="12" t="n"/>
      <c r="CC101" s="12" t="n"/>
      <c r="CD101" s="12" t="n"/>
      <c r="CE101" s="12" t="n"/>
      <c r="CF101" s="12" t="n"/>
      <c r="CG101" s="12" t="n"/>
      <c r="CH101" s="12" t="n"/>
      <c r="CI101" s="12" t="n"/>
      <c r="CJ101" s="12" t="n"/>
      <c r="CK101" s="12" t="n"/>
      <c r="CL101" s="12" t="n"/>
      <c r="CM101" s="12" t="n"/>
      <c r="CN101" s="12" t="n"/>
      <c r="CO101" s="12" t="n"/>
      <c r="CP101" s="12" t="n"/>
      <c r="CQ101" s="12" t="n"/>
      <c r="CR101" s="12" t="n"/>
      <c r="CS101" s="12" t="n"/>
      <c r="CT101" s="12" t="n"/>
      <c r="CU101" s="12" t="n"/>
      <c r="CV101" s="12" t="n"/>
      <c r="CW101" s="12" t="n"/>
      <c r="CX101" s="12" t="n"/>
      <c r="CY101" s="12" t="n"/>
    </row>
    <row r="102">
      <c r="C102" s="14" t="inlineStr">
        <is>
          <t>Minority Interest Expense, after tax (enter as - )</t>
        </is>
      </c>
      <c r="D102" s="46" t="n"/>
      <c r="E102" s="46" t="n"/>
      <c r="F102" s="46" t="n"/>
      <c r="G102" s="46" t="n"/>
      <c r="H102" s="12" t="n"/>
      <c r="I102" s="46">
        <f>'Inputs (2)'!D12</f>
        <v>0</v>
      </c>
      <c r="J102" s="46">
        <f>'Inputs (2)'!E12</f>
        <v>0.039423182</v>
      </c>
      <c r="K102" s="46">
        <f>'Inputs (2)'!F12</f>
        <v>-1.426590593</v>
      </c>
      <c r="L102" s="46">
        <f>'Inputs (2)'!G12</f>
        <v>-0.177942983</v>
      </c>
      <c r="M102" s="12">
        <f>'Inputs (2)'!H12</f>
        <v>-1.565110394</v>
      </c>
      <c r="N102" s="46">
        <f>'Inputs (2)'!I12</f>
        <v>-0.391470774</v>
      </c>
      <c r="O102" s="46">
        <f>'Inputs (2)'!J12</f>
        <v>-0.414890427</v>
      </c>
      <c r="P102" s="46">
        <f>'Inputs (2)'!K12</f>
        <v>-0.67304117</v>
      </c>
      <c r="Q102" s="46">
        <f>'Inputs (2)'!L12</f>
        <v>0.656184121</v>
      </c>
      <c r="R102" s="12">
        <f>'Inputs (2)'!M12</f>
        <v>-0.82321825</v>
      </c>
      <c r="S102" s="46">
        <f>'Inputs (2)'!N12</f>
        <v>0.02834465</v>
      </c>
      <c r="T102" s="46">
        <f>'Inputs (2)'!O12</f>
        <v>0.385635389</v>
      </c>
      <c r="U102" s="46">
        <f>'Inputs (2)'!P12</f>
        <v>2.382</v>
      </c>
      <c r="V102" s="46">
        <f>'Inputs (2)'!Q12</f>
        <v>0.139</v>
      </c>
      <c r="W102" s="12">
        <f>'Inputs (2)'!R12</f>
        <v>2.934980039</v>
      </c>
      <c r="X102" s="46">
        <f>'Inputs (2)'!S12</f>
        <v>-0.355</v>
      </c>
      <c r="Y102" s="46">
        <f>'Inputs (2)'!T12</f>
        <v>1.423</v>
      </c>
      <c r="Z102" s="46">
        <f>'Inputs (2)'!U12</f>
        <v>4.013</v>
      </c>
      <c r="AA102" s="46">
        <f>'Inputs (2)'!V12</f>
        <v>7.437</v>
      </c>
      <c r="AB102" s="12">
        <f>'Inputs (2)'!W12</f>
        <v>12.518</v>
      </c>
      <c r="AC102" s="46">
        <f>'Inputs (2)'!X12</f>
        <v>3.456124</v>
      </c>
      <c r="AD102" s="46">
        <f>'Inputs (2)'!Y12</f>
        <v>7.749179</v>
      </c>
      <c r="AE102" s="46">
        <f>'Inputs (2)'!Z12</f>
        <v>2.6684488</v>
      </c>
      <c r="AF102" s="46">
        <f>'Inputs (2)'!AA12</f>
        <v>2.286255778</v>
      </c>
      <c r="AG102" s="12">
        <f>'Inputs (2)'!AB12</f>
        <v>16.160007578</v>
      </c>
      <c r="AH102" s="12">
        <f>'Inputs (2)'!AC12</f>
        <v>3.55944448</v>
      </c>
      <c r="AI102" s="12">
        <f>'Inputs (2)'!AD12</f>
        <v>2.518</v>
      </c>
      <c r="AJ102" s="12">
        <f>0</f>
        <v>0</v>
      </c>
      <c r="AK102" s="12">
        <f>0</f>
        <v>0</v>
      </c>
      <c r="AL102" s="12">
        <f>SUM(AH102:AK102)</f>
        <v>6.07744448</v>
      </c>
      <c r="AM102" s="12">
        <f>0</f>
        <v>0</v>
      </c>
      <c r="AN102" s="12">
        <f>0</f>
        <v>0</v>
      </c>
      <c r="AO102" s="12">
        <f>0</f>
        <v>0</v>
      </c>
      <c r="AP102" s="12">
        <f>0</f>
        <v>0</v>
      </c>
      <c r="AQ102" s="12">
        <f>SUM(AM102:AP102)</f>
        <v>0</v>
      </c>
      <c r="AR102" s="12">
        <f>0</f>
        <v>0</v>
      </c>
      <c r="AS102" s="12">
        <f>0</f>
        <v>0</v>
      </c>
      <c r="AT102" s="12">
        <f>0</f>
        <v>0</v>
      </c>
      <c r="AU102" s="12">
        <f>0</f>
        <v>0</v>
      </c>
      <c r="AV102" s="12">
        <f>SUM(AR102:AU102)</f>
        <v>0</v>
      </c>
      <c r="AW102" s="12">
        <f>0</f>
        <v>0</v>
      </c>
      <c r="AX102" s="12">
        <f>0</f>
        <v>0</v>
      </c>
      <c r="AY102" s="12">
        <f>0</f>
        <v>0</v>
      </c>
      <c r="AZ102" s="12">
        <f>0</f>
        <v>0</v>
      </c>
      <c r="BA102" s="12">
        <f>SUM(AW102:AZ102)</f>
        <v>0</v>
      </c>
      <c r="BB102" s="12">
        <f>0</f>
        <v>0</v>
      </c>
      <c r="BC102" s="12">
        <f>0</f>
        <v>0</v>
      </c>
      <c r="BD102" s="12">
        <f>0</f>
        <v>0</v>
      </c>
      <c r="BE102" s="12">
        <f>0</f>
        <v>0</v>
      </c>
      <c r="BF102" s="12">
        <f>SUM(BB102:BE102)</f>
        <v>0</v>
      </c>
      <c r="BG102" s="12" t="n"/>
      <c r="BH102" s="12" t="n"/>
      <c r="BI102" s="12" t="n"/>
      <c r="BJ102" s="12" t="n"/>
      <c r="BK102" s="12" t="n"/>
      <c r="BL102" s="12" t="n"/>
      <c r="BM102" s="12" t="n"/>
      <c r="BN102" s="12" t="n"/>
      <c r="BO102" s="12" t="n"/>
      <c r="BP102" s="12" t="n"/>
      <c r="BQ102" s="12" t="n"/>
      <c r="BR102" s="12" t="n"/>
      <c r="BS102" s="12" t="n"/>
      <c r="BT102" s="12" t="n"/>
      <c r="BU102" s="12" t="n"/>
      <c r="BV102" s="12" t="n"/>
      <c r="BW102" s="12" t="n"/>
      <c r="BX102" s="12" t="n"/>
      <c r="BY102" s="12" t="n"/>
      <c r="BZ102" s="12" t="n"/>
      <c r="CA102" s="12" t="n"/>
      <c r="CB102" s="12" t="n"/>
      <c r="CC102" s="12" t="n"/>
      <c r="CD102" s="12" t="n"/>
      <c r="CE102" s="12" t="n"/>
      <c r="CF102" s="12" t="n"/>
      <c r="CG102" s="12" t="n"/>
      <c r="CH102" s="12" t="n"/>
      <c r="CI102" s="12" t="n"/>
      <c r="CJ102" s="12" t="n"/>
      <c r="CK102" s="12" t="n"/>
      <c r="CL102" s="12" t="n"/>
      <c r="CM102" s="12" t="n"/>
      <c r="CN102" s="12" t="n"/>
      <c r="CO102" s="12" t="n"/>
      <c r="CP102" s="12" t="n"/>
      <c r="CQ102" s="12" t="n"/>
      <c r="CR102" s="12" t="n"/>
      <c r="CS102" s="12" t="n"/>
      <c r="CT102" s="12" t="n"/>
      <c r="CU102" s="12" t="n"/>
      <c r="CV102" s="12" t="n"/>
      <c r="CW102" s="12" t="n"/>
      <c r="CX102" s="12" t="n"/>
      <c r="CY102" s="12" t="n"/>
    </row>
    <row r="103" customFormat="1" s="32">
      <c r="A103" s="30" t="n"/>
      <c r="B103" s="3" t="n"/>
      <c r="C103" s="33" t="inlineStr">
        <is>
          <t>Net Income</t>
        </is>
      </c>
      <c r="D103" s="35" t="n"/>
      <c r="E103" s="35" t="n"/>
      <c r="F103" s="35" t="n"/>
      <c r="G103" s="35" t="n"/>
      <c r="H103" s="35" t="n"/>
      <c r="I103" s="35">
        <f>SUM(I96,I97,I101,I102)</f>
        <v>118.61195704</v>
      </c>
      <c r="J103" s="35">
        <f>SUM(J96,J97,J101,J102)</f>
        <v>65.53462593</v>
      </c>
      <c r="K103" s="35">
        <f>SUM(K96,K97,K101,K102)</f>
        <v>94.9625657669999</v>
      </c>
      <c r="L103" s="35">
        <f>SUM(L96,L97,L101,L102)</f>
        <v>70.8158031600001</v>
      </c>
      <c r="M103" s="35">
        <f>SUM(I103:L103)</f>
        <v>349.924951897</v>
      </c>
      <c r="N103" s="35">
        <f>SUM(N96,N97,N101,N102)</f>
        <v>110.440730339</v>
      </c>
      <c r="O103" s="35">
        <f>SUM(O96,O97,O101,O102)</f>
        <v>70.5092383980001</v>
      </c>
      <c r="P103" s="35">
        <f>SUM(P96,P97,P101,P102)</f>
        <v>96.00575003</v>
      </c>
      <c r="Q103" s="35">
        <f>SUM(Q96,Q97,Q101,Q102)</f>
        <v>30.9526857899999</v>
      </c>
      <c r="R103" s="35">
        <f>SUM(N103:Q103)</f>
        <v>307.908404557</v>
      </c>
      <c r="S103" s="35">
        <f>SUM(S96,S97,S101,S102)</f>
        <v>93.8518317600001</v>
      </c>
      <c r="T103" s="35">
        <f>SUM(T96,T97,T101,T102)</f>
        <v>74.4269289449998</v>
      </c>
      <c r="U103" s="35">
        <f>SUM(U96,U97,U101,U102)</f>
        <v>174.198435338</v>
      </c>
      <c r="V103" s="35">
        <f>SUM(V96,V97,V101,V102)</f>
        <v>81.2788017440001</v>
      </c>
      <c r="W103" s="35">
        <f>SUM(S103:V103)</f>
        <v>423.755997787</v>
      </c>
      <c r="X103" s="35">
        <f>SUM(X96,X97,X101,X102)</f>
        <v>167.9596009</v>
      </c>
      <c r="Y103" s="35">
        <f>SUM(Y96,Y97,Y101,Y102)</f>
        <v>173.586</v>
      </c>
      <c r="Z103" s="35">
        <f>SUM(Z96,Z97,Z101,Z102)</f>
        <v>190.705474</v>
      </c>
      <c r="AA103" s="35">
        <f>SUM(AA96,AA97,AA101,AA102)</f>
        <v>83.9209251000003</v>
      </c>
      <c r="AB103" s="35">
        <f>SUM(X103:AA103)</f>
        <v>616.172</v>
      </c>
      <c r="AC103" s="35">
        <f>SUM(AC96,AC97,AC101,AC102)</f>
        <v>179.28629</v>
      </c>
      <c r="AD103" s="35">
        <f>SUM(AD96,AD97,AD101,AD102)</f>
        <v>152.299179</v>
      </c>
      <c r="AE103" s="35">
        <f>SUM(AE96,AE97,AE101,AE102)</f>
        <v>184.916722721</v>
      </c>
      <c r="AF103" s="35">
        <f>SUM(AF96,AF97,AF101,AF102)</f>
        <v>96.3284097829999</v>
      </c>
      <c r="AG103" s="35">
        <f>SUM(AC103:AF103)</f>
        <v>612.830601504</v>
      </c>
      <c r="AH103" s="35">
        <f>SUM(AH96,AH97,AH101,AH102)</f>
        <v>201.21196412</v>
      </c>
      <c r="AI103" s="35">
        <f>SUM(AI96,AI97,AI101,AI102)</f>
        <v>221.850208</v>
      </c>
      <c r="AJ103" s="35">
        <f>SUM(AJ96,AJ97,AJ101,AJ102)</f>
        <v>375.977308936604</v>
      </c>
      <c r="AK103" s="35">
        <f>SUM(AK96,AK97,AK101,AK102)</f>
        <v>353.603126748082</v>
      </c>
      <c r="AL103" s="35">
        <f>SUM(AH103:AK103)</f>
        <v>1152.64260780469</v>
      </c>
      <c r="AM103" s="35">
        <f>SUM(AM96,AM97,AM101,AM102)</f>
        <v>381.492376142227</v>
      </c>
      <c r="AN103" s="35">
        <f>SUM(AN96,AN97,AN101,AN102)</f>
        <v>397.543352308573</v>
      </c>
      <c r="AO103" s="35">
        <f>SUM(AO96,AO97,AO101,AO102)</f>
        <v>411.423212734214</v>
      </c>
      <c r="AP103" s="35">
        <f>SUM(AP96,AP97,AP101,AP102)</f>
        <v>386.939666255471</v>
      </c>
      <c r="AQ103" s="35">
        <f>SUM(AM103:AP103)</f>
        <v>1577.39860744048</v>
      </c>
      <c r="AR103" s="35">
        <f>SUM(AR96,AR97,AR101,AR102)</f>
        <v>415.550760451822</v>
      </c>
      <c r="AS103" s="35">
        <f>SUM(AS96,AS97,AS101,AS102)</f>
        <v>433.034714965851</v>
      </c>
      <c r="AT103" s="35">
        <f>SUM(AT96,AT97,AT101,AT102)</f>
        <v>448.153723668373</v>
      </c>
      <c r="AU103" s="35">
        <f>SUM(AU96,AU97,AU101,AU102)</f>
        <v>421.484366705899</v>
      </c>
      <c r="AV103" s="35">
        <f>SUM(AR103:AU103)</f>
        <v>1718.22356579194</v>
      </c>
      <c r="AW103" s="35">
        <f>SUM(AW96,AW97,AW101,AW102)</f>
        <v>450.572011465156</v>
      </c>
      <c r="AX103" s="35">
        <f>SUM(AX96,AX97,AX101,AX102)</f>
        <v>469.529456146971</v>
      </c>
      <c r="AY103" s="35">
        <f>SUM(AY96,AY97,AY101,AY102)</f>
        <v>485.922645164475</v>
      </c>
      <c r="AZ103" s="35">
        <f>SUM(AZ96,AZ97,AZ101,AZ102)</f>
        <v>457.005682533968</v>
      </c>
      <c r="BA103" s="35">
        <f>SUM(AW103:AZ103)</f>
        <v>1863.02979531057</v>
      </c>
      <c r="BB103" s="35">
        <f>SUM(BB96,BB97,BB101,BB102)</f>
        <v>486.291878243771</v>
      </c>
      <c r="BC103" s="35">
        <f>SUM(BC96,BC97,BC101,BC102)</f>
        <v>506.752206773819</v>
      </c>
      <c r="BD103" s="35">
        <f>SUM(BD96,BD97,BD101,BD102)</f>
        <v>524.444993886371</v>
      </c>
      <c r="BE103" s="35">
        <f>SUM(BE96,BE97,BE101,BE102)</f>
        <v>493.235589589448</v>
      </c>
      <c r="BF103" s="35">
        <f>SUM(BB103:BE103)</f>
        <v>2010.72466849341</v>
      </c>
      <c r="BG103" s="35" t="n"/>
      <c r="BH103" s="35" t="n"/>
      <c r="BI103" s="35" t="n"/>
      <c r="BJ103" s="35" t="n"/>
      <c r="BK103" s="35" t="n"/>
      <c r="BL103" s="35" t="n"/>
      <c r="BM103" s="35" t="n"/>
      <c r="BN103" s="35" t="n"/>
      <c r="BO103" s="35" t="n"/>
      <c r="BP103" s="35" t="n"/>
      <c r="BQ103" s="35" t="n"/>
      <c r="BR103" s="35" t="n"/>
      <c r="BS103" s="35" t="n"/>
      <c r="BT103" s="35" t="n"/>
      <c r="BU103" s="35" t="n"/>
      <c r="BV103" s="35" t="n"/>
      <c r="BW103" s="35" t="n"/>
      <c r="BX103" s="35" t="n"/>
      <c r="BY103" s="35" t="n"/>
      <c r="BZ103" s="35" t="n"/>
      <c r="CA103" s="35" t="n"/>
      <c r="CB103" s="35" t="n"/>
      <c r="CC103" s="35" t="n"/>
      <c r="CD103" s="35" t="n"/>
      <c r="CE103" s="35" t="n"/>
      <c r="CF103" s="35" t="n"/>
      <c r="CG103" s="35" t="n"/>
      <c r="CH103" s="35" t="n"/>
      <c r="CI103" s="35" t="n"/>
      <c r="CJ103" s="35" t="n"/>
      <c r="CK103" s="35" t="n"/>
      <c r="CL103" s="35" t="n"/>
      <c r="CM103" s="35" t="n"/>
      <c r="CN103" s="35" t="n"/>
      <c r="CO103" s="35" t="n"/>
      <c r="CP103" s="35" t="n"/>
      <c r="CQ103" s="35" t="n"/>
      <c r="CR103" s="35" t="n"/>
      <c r="CS103" s="35" t="n"/>
      <c r="CT103" s="35" t="n"/>
      <c r="CU103" s="35" t="n"/>
      <c r="CV103" s="35" t="n"/>
      <c r="CW103" s="35" t="n"/>
      <c r="CX103" s="35" t="n"/>
      <c r="CY103" s="35" t="n"/>
    </row>
    <row r="104">
      <c r="C104" s="13" t="inlineStr">
        <is>
          <t>Common Dividends</t>
        </is>
      </c>
      <c r="D104" s="46" t="n"/>
      <c r="E104" s="46" t="n"/>
      <c r="F104" s="46" t="n"/>
      <c r="G104" s="46" t="n"/>
      <c r="H104" s="12" t="n"/>
      <c r="I104" s="46">
        <f>'Inputs (2)'!D13</f>
        <v>-75.10232011</v>
      </c>
      <c r="J104" s="46">
        <f>'Inputs (2)'!E13</f>
        <v>-156.2545951</v>
      </c>
      <c r="K104" s="46">
        <f>'Inputs (2)'!F13</f>
        <v>-42.22723762</v>
      </c>
      <c r="L104" s="46">
        <f>'Inputs (2)'!G13</f>
        <v>-22.55733515</v>
      </c>
      <c r="M104" s="12">
        <f>'Inputs (2)'!H13</f>
        <v>-296.14148798</v>
      </c>
      <c r="N104" s="46">
        <f>'Inputs (2)'!I13</f>
        <v>-4.12979244</v>
      </c>
      <c r="O104" s="46">
        <f>'Inputs (2)'!J13</f>
        <v>-225.0161942</v>
      </c>
      <c r="P104" s="46">
        <f>'Inputs (2)'!K13</f>
        <v>-0.0015808</v>
      </c>
      <c r="Q104" s="46">
        <f>'Inputs (2)'!L13</f>
        <v>-108.0538068</v>
      </c>
      <c r="R104" s="12">
        <f>'Inputs (2)'!M13</f>
        <v>-337.20137424</v>
      </c>
      <c r="S104" s="46">
        <f>'Inputs (2)'!N13</f>
        <v>0</v>
      </c>
      <c r="T104" s="46">
        <f>'Inputs (2)'!O13</f>
        <v>-273.224548</v>
      </c>
      <c r="U104" s="46">
        <f>'Inputs (2)'!P13</f>
        <v>-13.87953525</v>
      </c>
      <c r="V104" s="46">
        <f>'Inputs (2)'!Q13</f>
        <v>-223.00491675</v>
      </c>
      <c r="W104" s="12">
        <f>'Inputs (2)'!R13</f>
        <v>-510.109</v>
      </c>
      <c r="X104" s="46">
        <f>'Inputs (2)'!S13</f>
        <v>-0.496</v>
      </c>
      <c r="Y104" s="46">
        <f>'Inputs (2)'!T13</f>
        <v>-80.533</v>
      </c>
      <c r="Z104" s="46">
        <f>'Inputs (2)'!U13</f>
        <v>0</v>
      </c>
      <c r="AA104" s="46">
        <f>'Inputs (2)'!V13</f>
        <v>-262.333</v>
      </c>
      <c r="AB104" s="12">
        <f>'Inputs (2)'!W13</f>
        <v>-343.362</v>
      </c>
      <c r="AC104" s="46">
        <f>'Inputs (2)'!X13</f>
        <v>0</v>
      </c>
      <c r="AD104" s="46">
        <f>'Inputs (2)'!Y13</f>
        <v>-254.045</v>
      </c>
      <c r="AE104" s="46">
        <f>'Inputs (2)'!Z13</f>
        <v>0</v>
      </c>
      <c r="AF104" s="46">
        <f>'Inputs (2)'!AA13</f>
        <v>-259.01</v>
      </c>
      <c r="AG104" s="12">
        <f>'Inputs (2)'!AB13</f>
        <v>-513.055</v>
      </c>
      <c r="AH104" s="12">
        <f>'Inputs (2)'!AC13</f>
        <v>-0.391</v>
      </c>
      <c r="AI104" s="12">
        <f>'Inputs (2)'!AD13</f>
        <v>-222.897</v>
      </c>
      <c r="AJ104" s="12">
        <f>-MAX(0,AJ103)*Control!$E$15</f>
        <v>0</v>
      </c>
      <c r="AK104" s="12">
        <f>-MAX(0,AK103)*Control!$E$15</f>
        <v>0</v>
      </c>
      <c r="AL104" s="12">
        <f>SUM(AH104:AK104)</f>
        <v>-223.288</v>
      </c>
      <c r="AM104" s="12">
        <f>-MAX(0,AM103)*Control!$E$15</f>
        <v>0</v>
      </c>
      <c r="AN104" s="12">
        <f>-MAX(0,AN103)*Control!$E$15</f>
        <v>0</v>
      </c>
      <c r="AO104" s="12">
        <f>-MAX(0,AO103)*Control!$E$15</f>
        <v>0</v>
      </c>
      <c r="AP104" s="12">
        <f>-MAX(0,AP103)*Control!$E$15</f>
        <v>0</v>
      </c>
      <c r="AQ104" s="12">
        <f>SUM(AM104:AP104)</f>
        <v>0</v>
      </c>
      <c r="AR104" s="12">
        <f>-MAX(0,AR103)*Control!$E$15</f>
        <v>0</v>
      </c>
      <c r="AS104" s="12">
        <f>-MAX(0,AS103)*Control!$E$15</f>
        <v>0</v>
      </c>
      <c r="AT104" s="12">
        <f>-MAX(0,AT103)*Control!$E$15</f>
        <v>0</v>
      </c>
      <c r="AU104" s="12">
        <f>-MAX(0,AU103)*Control!$E$15</f>
        <v>0</v>
      </c>
      <c r="AV104" s="12">
        <f>SUM(AR104:AU104)</f>
        <v>0</v>
      </c>
      <c r="AW104" s="12">
        <f>-MAX(0,AW103)*Control!$E$15</f>
        <v>0</v>
      </c>
      <c r="AX104" s="12">
        <f>-MAX(0,AX103)*Control!$E$15</f>
        <v>0</v>
      </c>
      <c r="AY104" s="12">
        <f>-MAX(0,AY103)*Control!$E$15</f>
        <v>0</v>
      </c>
      <c r="AZ104" s="12">
        <f>-MAX(0,AZ103)*Control!$E$15</f>
        <v>0</v>
      </c>
      <c r="BA104" s="12">
        <f>SUM(AW104:AZ104)</f>
        <v>0</v>
      </c>
      <c r="BB104" s="12">
        <f>-MAX(0,BB103)*Control!$E$15</f>
        <v>0</v>
      </c>
      <c r="BC104" s="12">
        <f>-MAX(0,BC103)*Control!$E$15</f>
        <v>0</v>
      </c>
      <c r="BD104" s="12">
        <f>-MAX(0,BD103)*Control!$E$15</f>
        <v>0</v>
      </c>
      <c r="BE104" s="12">
        <f>-MAX(0,BE103)*Control!$E$15</f>
        <v>0</v>
      </c>
      <c r="BF104" s="12">
        <f>SUM(BB104:BE104)</f>
        <v>0</v>
      </c>
      <c r="BG104" s="12" t="n"/>
      <c r="BH104" s="12" t="n"/>
      <c r="BI104" s="12" t="n"/>
      <c r="BJ104" s="12" t="n"/>
      <c r="BK104" s="12" t="n"/>
      <c r="BL104" s="12" t="n"/>
      <c r="BM104" s="12" t="n"/>
      <c r="BN104" s="12" t="n"/>
      <c r="BO104" s="12" t="n"/>
      <c r="BP104" s="12" t="n"/>
      <c r="BQ104" s="12" t="n"/>
      <c r="BR104" s="12" t="n"/>
      <c r="BS104" s="12" t="n"/>
      <c r="BT104" s="12" t="n"/>
      <c r="BU104" s="12" t="n"/>
      <c r="BV104" s="12" t="n"/>
      <c r="BW104" s="12" t="n"/>
      <c r="BX104" s="12" t="n"/>
      <c r="BY104" s="12" t="n"/>
      <c r="BZ104" s="12" t="n"/>
      <c r="CA104" s="12" t="n"/>
      <c r="CB104" s="12" t="n"/>
      <c r="CC104" s="12" t="n"/>
      <c r="CD104" s="12" t="n"/>
      <c r="CE104" s="12" t="n"/>
      <c r="CF104" s="12" t="n"/>
      <c r="CG104" s="12" t="n"/>
      <c r="CH104" s="12" t="n"/>
      <c r="CI104" s="12" t="n"/>
      <c r="CJ104" s="12" t="n"/>
      <c r="CK104" s="12" t="n"/>
      <c r="CL104" s="12" t="n"/>
      <c r="CM104" s="12" t="n"/>
      <c r="CN104" s="12" t="n"/>
      <c r="CO104" s="12" t="n"/>
      <c r="CP104" s="12" t="n"/>
      <c r="CQ104" s="12" t="n"/>
      <c r="CR104" s="12" t="n"/>
      <c r="CS104" s="12" t="n"/>
      <c r="CT104" s="12" t="n"/>
      <c r="CU104" s="12" t="n"/>
      <c r="CV104" s="12" t="n"/>
      <c r="CW104" s="12" t="n"/>
      <c r="CX104" s="12" t="n"/>
      <c r="CY104" s="12" t="n"/>
    </row>
    <row r="105" hidden="1" outlineLevel="1">
      <c r="C105" s="50" t="inlineStr">
        <is>
          <t>% DVD Payout</t>
        </is>
      </c>
      <c r="D105" s="58" t="n"/>
      <c r="E105" s="58" t="n"/>
      <c r="F105" s="58" t="n"/>
      <c r="G105" s="58" t="n"/>
      <c r="H105" s="58" t="n"/>
      <c r="I105" s="58">
        <f>IF(I103=0,"",-I104/I103)</f>
        <v>0.633176637366104</v>
      </c>
      <c r="J105" s="58">
        <f>IF(J103=0,"",-J104/J103)</f>
        <v>2.38430589757087</v>
      </c>
      <c r="K105" s="58">
        <f>IF(K103=0,"",-K104/K103)</f>
        <v>0.444672458867726</v>
      </c>
      <c r="L105" s="58">
        <f>IF(L103=0,"",-L104/L103)</f>
        <v>0.318535328887456</v>
      </c>
      <c r="M105" s="58">
        <f>IF(M103=0,"",-M104/M103)</f>
        <v>0.846300003399497</v>
      </c>
      <c r="N105" s="58">
        <f>IF(N103=0,"",-N104/N103)</f>
        <v>0.0373937443850971</v>
      </c>
      <c r="O105" s="58">
        <f>IF(O103=0,"",-O104/O103)</f>
        <v>3.19130087506919</v>
      </c>
      <c r="P105" s="58">
        <f>IF(P103=0,"",-P104/P103)</f>
        <v>1.646568043587e-05</v>
      </c>
      <c r="Q105" s="58">
        <f>IF(Q103=0,"",-Q104/Q103)</f>
        <v>3.49093476194915</v>
      </c>
      <c r="R105" s="58">
        <f>IF(R103=0,"",-R104/R103)</f>
        <v>1.09513533651394</v>
      </c>
      <c r="S105" s="58">
        <f>IF(S103=0,"",-S104/S103)</f>
        <v>0</v>
      </c>
      <c r="T105" s="58">
        <f>IF(T103=0,"",-T104/T103)</f>
        <v>3.67104422919167</v>
      </c>
      <c r="U105" s="58">
        <f>IF(U103=0,"",-U104/U103)</f>
        <v>0.0796765781682787</v>
      </c>
      <c r="V105" s="58">
        <f>IF(V103=0,"",-V104/V103)</f>
        <v>2.74370330227539</v>
      </c>
      <c r="W105" s="58">
        <f>IF(W103=0,"",-W104/W103)</f>
        <v>1.2037800117614</v>
      </c>
      <c r="X105" s="58">
        <f>IF(X103=0,"",-X104/X103)</f>
        <v>0.00295309108465499</v>
      </c>
      <c r="Y105" s="58">
        <f>IF(Y103=0,"",-Y104/Y103)</f>
        <v>0.463937183874276</v>
      </c>
      <c r="Z105" s="58">
        <f>IF(Z103=0,"",-Z104/Z103)</f>
        <v>0</v>
      </c>
      <c r="AA105" s="58">
        <f>IF(AA103=0,"",-AA104/AA103)</f>
        <v>3.12595457792444</v>
      </c>
      <c r="AB105" s="58">
        <f>IF(AB103=0,"",-AB104/AB103)</f>
        <v>0.557250248307291</v>
      </c>
      <c r="AC105" s="58">
        <f>IF(AC103=0,"",-AC104/AC103)</f>
        <v>0</v>
      </c>
      <c r="AD105" s="58">
        <f>IF(AD103=0,"",-AD104/AD103)</f>
        <v>1.66806545949929</v>
      </c>
      <c r="AE105" s="58">
        <f>IF(AE103=0,"",-AE104/AE103)</f>
        <v>0</v>
      </c>
      <c r="AF105" s="41">
        <f>IF(AF103=0,"",-AF104/AF103)</f>
        <v>2.68882254553433</v>
      </c>
      <c r="AG105" s="12">
        <f>IF(AG103=0,"",-AG104/AG103)</f>
        <v>0.83718893727054</v>
      </c>
      <c r="AH105" s="41">
        <f>IF(AH103=0,"",-AH104/AH103)</f>
        <v>0.00194322440869775</v>
      </c>
      <c r="AI105" s="41">
        <f>IF(AI103=0,"",-AI104/AI103)</f>
        <v>1.00471846300906</v>
      </c>
      <c r="AJ105" s="41">
        <f>IF(AJ103=0,"",-AJ104/AJ103)</f>
        <v>0</v>
      </c>
      <c r="AK105" s="41">
        <f>IF(AK103=0,"",-AK104/AK103)</f>
        <v>0</v>
      </c>
      <c r="AL105" s="12">
        <f>IF(AL103=0,"",-AL104/AL103)</f>
        <v>0.193718329071032</v>
      </c>
      <c r="AM105" s="41">
        <f>IF(AM103=0,"",-AM104/AM103)</f>
        <v>0</v>
      </c>
      <c r="AN105" s="41">
        <f>IF(AN103=0,"",-AN104/AN103)</f>
        <v>0</v>
      </c>
      <c r="AO105" s="41">
        <f>IF(AO103=0,"",-AO104/AO103)</f>
        <v>0</v>
      </c>
      <c r="AP105" s="41">
        <f>IF(AP103=0,"",-AP104/AP103)</f>
        <v>0</v>
      </c>
      <c r="AQ105" s="12">
        <f>IF(AQ103=0,"",-AQ104/AQ103)</f>
        <v>0</v>
      </c>
      <c r="AR105" s="41">
        <f>IF(AR103=0,"",-AR104/AR103)</f>
        <v>0</v>
      </c>
      <c r="AS105" s="41">
        <f>IF(AS103=0,"",-AS104/AS103)</f>
        <v>0</v>
      </c>
      <c r="AT105" s="41">
        <f>IF(AT103=0,"",-AT104/AT103)</f>
        <v>0</v>
      </c>
      <c r="AU105" s="41">
        <f>IF(AU103=0,"",-AU104/AU103)</f>
        <v>0</v>
      </c>
      <c r="AV105" s="12">
        <f>IF(AV103=0,"",-AV104/AV103)</f>
        <v>0</v>
      </c>
      <c r="AW105" s="41">
        <f>IF(AW103=0,"",-AW104/AW103)</f>
        <v>0</v>
      </c>
      <c r="AX105" s="41">
        <f>IF(AX103=0,"",-AX104/AX103)</f>
        <v>0</v>
      </c>
      <c r="AY105" s="41">
        <f>IF(AY103=0,"",-AY104/AY103)</f>
        <v>0</v>
      </c>
      <c r="AZ105" s="41">
        <f>IF(AZ103=0,"",-AZ104/AZ103)</f>
        <v>0</v>
      </c>
      <c r="BA105" s="12">
        <f>IF(BA103=0,"",-BA104/BA103)</f>
        <v>0</v>
      </c>
      <c r="BB105" s="41">
        <f>IF(BB103=0,"",-BB104/BB103)</f>
        <v>0</v>
      </c>
      <c r="BC105" s="41">
        <f>IF(BC103=0,"",-BC104/BC103)</f>
        <v>0</v>
      </c>
      <c r="BD105" s="41">
        <f>IF(BD103=0,"",-BD104/BD103)</f>
        <v>0</v>
      </c>
      <c r="BE105" s="41">
        <f>IF(BE103=0,"",-BE104/BE103)</f>
        <v>0</v>
      </c>
      <c r="BF105" s="12">
        <f>IF(BF103=0,"",-BF104/BF103)</f>
        <v>0</v>
      </c>
      <c r="BG105" s="41" t="n"/>
      <c r="BH105" s="41" t="n"/>
      <c r="BI105" s="41" t="n"/>
      <c r="BJ105" s="41" t="n"/>
      <c r="BK105" s="12" t="n"/>
      <c r="BL105" s="41" t="n"/>
      <c r="BM105" s="41" t="n"/>
      <c r="BN105" s="41" t="n"/>
      <c r="BO105" s="41" t="n"/>
      <c r="BP105" s="12" t="n"/>
      <c r="BQ105" s="41" t="n"/>
      <c r="BR105" s="41" t="n"/>
      <c r="BS105" s="41" t="n"/>
      <c r="BT105" s="41" t="n"/>
      <c r="BU105" s="12" t="n"/>
      <c r="BV105" s="41" t="n"/>
      <c r="BW105" s="41" t="n"/>
      <c r="BX105" s="41" t="n"/>
      <c r="BY105" s="41" t="n"/>
      <c r="BZ105" s="12" t="n"/>
      <c r="CA105" s="41" t="n"/>
      <c r="CB105" s="41" t="n"/>
      <c r="CC105" s="41" t="n"/>
      <c r="CD105" s="41" t="n"/>
      <c r="CE105" s="12" t="n"/>
      <c r="CF105" s="41" t="n"/>
      <c r="CG105" s="41" t="n"/>
      <c r="CH105" s="41" t="n"/>
      <c r="CI105" s="41" t="n"/>
      <c r="CJ105" s="12" t="n"/>
      <c r="CK105" s="41" t="n"/>
      <c r="CL105" s="41" t="n"/>
      <c r="CM105" s="41" t="n"/>
      <c r="CN105" s="41" t="n"/>
      <c r="CO105" s="12" t="n"/>
      <c r="CP105" s="41" t="n"/>
      <c r="CQ105" s="41" t="n"/>
      <c r="CR105" s="41" t="n"/>
      <c r="CS105" s="41" t="n"/>
      <c r="CT105" s="12" t="n"/>
      <c r="CU105" s="41" t="n"/>
      <c r="CV105" s="41" t="n"/>
      <c r="CW105" s="41" t="n"/>
      <c r="CX105" s="41" t="n"/>
      <c r="CY105" s="12" t="n"/>
    </row>
    <row r="106" hidden="1" outlineLevel="1">
      <c r="C106" s="18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  <c r="AY106" s="3" t="n"/>
      <c r="AZ106" s="3" t="n"/>
      <c r="BA106" s="3" t="n"/>
      <c r="BB106" s="3" t="n"/>
      <c r="BC106" s="3" t="n"/>
      <c r="BD106" s="3" t="n"/>
      <c r="BE106" s="3" t="n"/>
      <c r="BF106" s="3" t="n"/>
      <c r="BG106" s="3" t="n"/>
      <c r="BH106" s="3" t="n"/>
      <c r="BI106" s="3" t="n"/>
      <c r="BJ106" s="3" t="n"/>
      <c r="BK106" s="3" t="n"/>
      <c r="BL106" s="3" t="n"/>
      <c r="BM106" s="3" t="n"/>
      <c r="BN106" s="3" t="n"/>
      <c r="BO106" s="3" t="n"/>
      <c r="BP106" s="3" t="n"/>
      <c r="BQ106" s="3" t="n"/>
      <c r="BR106" s="3" t="n"/>
      <c r="BS106" s="3" t="n"/>
      <c r="BT106" s="3" t="n"/>
      <c r="BU106" s="3" t="n"/>
      <c r="BV106" s="3" t="n"/>
      <c r="BW106" s="3" t="n"/>
      <c r="BX106" s="3" t="n"/>
      <c r="BY106" s="3" t="n"/>
      <c r="BZ106" s="3" t="n"/>
      <c r="CA106" s="3" t="n"/>
      <c r="CB106" s="3" t="n"/>
      <c r="CC106" s="3" t="n"/>
      <c r="CD106" s="3" t="n"/>
      <c r="CE106" s="3" t="n"/>
      <c r="CF106" s="3" t="n"/>
      <c r="CG106" s="3" t="n"/>
      <c r="CH106" s="3" t="n"/>
      <c r="CI106" s="3" t="n"/>
      <c r="CJ106" s="3" t="n"/>
      <c r="CK106" s="3" t="n"/>
      <c r="CL106" s="3" t="n"/>
      <c r="CM106" s="3" t="n"/>
      <c r="CN106" s="3" t="n"/>
      <c r="CO106" s="3" t="n"/>
      <c r="CP106" s="3" t="n"/>
      <c r="CQ106" s="3" t="n"/>
      <c r="CR106" s="3" t="n"/>
      <c r="CS106" s="3" t="n"/>
      <c r="CT106" s="3" t="n"/>
      <c r="CU106" s="3" t="n"/>
      <c r="CV106" s="3" t="n"/>
      <c r="CW106" s="3" t="n"/>
      <c r="CX106" s="3" t="n"/>
      <c r="CY106" s="3" t="n"/>
    </row>
    <row r="107" hidden="1" outlineLevel="1">
      <c r="C107" s="18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  <c r="CU107" s="3" t="n"/>
      <c r="CV107" s="3" t="n"/>
      <c r="CW107" s="3" t="n"/>
      <c r="CX107" s="3" t="n"/>
      <c r="CY107" s="3" t="n"/>
    </row>
    <row r="108" collapsed="1" ht="11.25" customHeight="1">
      <c r="C108" s="31" t="inlineStr">
        <is>
          <t>Balance Sheet</t>
        </is>
      </c>
      <c r="D108" s="31" t="n"/>
      <c r="E108" s="31" t="n"/>
      <c r="F108" s="31" t="n"/>
      <c r="G108" s="31" t="n"/>
      <c r="H108" s="31" t="n"/>
      <c r="I108" s="31" t="str">
        <f>I13</f>
        <v>1Q21</v>
      </c>
      <c r="J108" s="31" t="str">
        <f>J13</f>
        <v>2Q21</v>
      </c>
      <c r="K108" s="31" t="str">
        <f>K13</f>
        <v>3Q21</v>
      </c>
      <c r="L108" s="31" t="str">
        <f>L13</f>
        <v>4Q21</v>
      </c>
      <c r="M108" s="31">
        <f>M13</f>
        <v>2021</v>
      </c>
      <c r="N108" s="31" t="str">
        <f>N13</f>
        <v>1Q22</v>
      </c>
      <c r="O108" s="31" t="str">
        <f>O13</f>
        <v>2Q22</v>
      </c>
      <c r="P108" s="31" t="str">
        <f>P13</f>
        <v>3Q22</v>
      </c>
      <c r="Q108" s="31" t="str">
        <f>Q13</f>
        <v>4Q22</v>
      </c>
      <c r="R108" s="31">
        <f>R13</f>
        <v>2022</v>
      </c>
      <c r="S108" s="31" t="str">
        <f>S13</f>
        <v>1Q23</v>
      </c>
      <c r="T108" s="31" t="str">
        <f>T13</f>
        <v>2Q23</v>
      </c>
      <c r="U108" s="31" t="str">
        <f>U13</f>
        <v>3Q23</v>
      </c>
      <c r="V108" s="31" t="str">
        <f>V13</f>
        <v>4Q23</v>
      </c>
      <c r="W108" s="31">
        <f>W13</f>
        <v>2023</v>
      </c>
      <c r="X108" s="31" t="str">
        <f>X13</f>
        <v>1Q24</v>
      </c>
      <c r="Y108" s="31" t="str">
        <f>Y13</f>
        <v>2Q24</v>
      </c>
      <c r="Z108" s="31" t="str">
        <f>Z13</f>
        <v>3Q24</v>
      </c>
      <c r="AA108" s="31" t="str">
        <f>AA13</f>
        <v>4Q24</v>
      </c>
      <c r="AB108" s="31">
        <f>AB13</f>
        <v>2024</v>
      </c>
      <c r="AC108" s="31" t="str">
        <f>AC13</f>
        <v>1Q25</v>
      </c>
      <c r="AD108" s="31" t="str">
        <f>AD13</f>
        <v>2Q25</v>
      </c>
      <c r="AE108" s="31" t="str">
        <f>AE13</f>
        <v>3Q25</v>
      </c>
      <c r="AF108" s="31" t="str">
        <f>AF13</f>
        <v>4Q25</v>
      </c>
      <c r="AG108" s="31">
        <f>AG13</f>
        <v>2025</v>
      </c>
      <c r="AH108" s="31" t="str">
        <f>AH13</f>
        <v>1Q26</v>
      </c>
      <c r="AI108" s="31" t="str">
        <f>AI13</f>
        <v>2Q26</v>
      </c>
      <c r="AJ108" s="31" t="str">
        <f>AJ13</f>
        <v>3Q26</v>
      </c>
      <c r="AK108" s="31" t="str">
        <f>AK13</f>
        <v>4Q26</v>
      </c>
      <c r="AL108" s="31">
        <f>AL13</f>
        <v>2026</v>
      </c>
      <c r="AM108" s="31" t="str">
        <f>AM13</f>
        <v>1Q27</v>
      </c>
      <c r="AN108" s="31" t="str">
        <f>AN13</f>
        <v>2Q27</v>
      </c>
      <c r="AO108" s="31" t="str">
        <f>AO13</f>
        <v>3Q27</v>
      </c>
      <c r="AP108" s="31" t="str">
        <f>AP13</f>
        <v>4Q27</v>
      </c>
      <c r="AQ108" s="31">
        <f>AQ13</f>
        <v>2027</v>
      </c>
      <c r="AR108" s="31" t="str">
        <f>AR13</f>
        <v>1Q28</v>
      </c>
      <c r="AS108" s="31" t="str">
        <f>AS13</f>
        <v>2Q28</v>
      </c>
      <c r="AT108" s="31" t="str">
        <f>AT13</f>
        <v>3Q28</v>
      </c>
      <c r="AU108" s="31" t="str">
        <f>AU13</f>
        <v>4Q28</v>
      </c>
      <c r="AV108" s="31">
        <f>AV13</f>
        <v>2028</v>
      </c>
      <c r="AW108" s="31" t="str">
        <f>AW13</f>
        <v>1Q29</v>
      </c>
      <c r="AX108" s="31" t="str">
        <f>AX13</f>
        <v>2Q29</v>
      </c>
      <c r="AY108" s="31" t="str">
        <f>AY13</f>
        <v>3Q29</v>
      </c>
      <c r="AZ108" s="31" t="str">
        <f>AZ13</f>
        <v>4Q29</v>
      </c>
      <c r="BA108" s="31">
        <f>BA13</f>
        <v>2029</v>
      </c>
      <c r="BB108" s="31" t="str">
        <f>BB13</f>
        <v>1Q30</v>
      </c>
      <c r="BC108" s="31" t="str">
        <f>BC13</f>
        <v>2Q30</v>
      </c>
      <c r="BD108" s="31" t="str">
        <f>BD13</f>
        <v>3Q30</v>
      </c>
      <c r="BE108" s="31" t="str">
        <f>BE13</f>
        <v>4Q30</v>
      </c>
      <c r="BF108" s="31">
        <f>BF13</f>
        <v>2030</v>
      </c>
      <c r="BG108" s="31" t="n"/>
      <c r="BH108" s="31" t="n"/>
      <c r="BI108" s="31" t="n"/>
      <c r="BJ108" s="31" t="n"/>
      <c r="BK108" s="31" t="n"/>
      <c r="BL108" s="31" t="n"/>
      <c r="BM108" s="31" t="n"/>
      <c r="BN108" s="31" t="n"/>
      <c r="BO108" s="31" t="n"/>
      <c r="BP108" s="31" t="n"/>
      <c r="BQ108" s="31" t="n"/>
      <c r="BR108" s="31" t="n"/>
      <c r="BS108" s="31" t="n"/>
      <c r="BT108" s="31" t="n"/>
      <c r="BU108" s="31" t="n"/>
      <c r="BV108" s="31" t="n"/>
      <c r="BW108" s="31" t="n"/>
      <c r="BX108" s="31" t="n"/>
      <c r="BY108" s="31" t="n"/>
      <c r="BZ108" s="31" t="n"/>
      <c r="CA108" s="31" t="n"/>
      <c r="CB108" s="31" t="n"/>
      <c r="CC108" s="31" t="n"/>
      <c r="CD108" s="31" t="n"/>
      <c r="CE108" s="31" t="n"/>
      <c r="CF108" s="31" t="n"/>
      <c r="CG108" s="31" t="n"/>
      <c r="CH108" s="31" t="n"/>
      <c r="CI108" s="31" t="n"/>
      <c r="CJ108" s="31" t="n"/>
      <c r="CK108" s="31" t="n"/>
      <c r="CL108" s="31" t="n"/>
      <c r="CM108" s="31" t="n"/>
      <c r="CN108" s="31" t="n"/>
      <c r="CO108" s="31" t="n"/>
      <c r="CP108" s="31" t="n"/>
      <c r="CQ108" s="31" t="n"/>
      <c r="CR108" s="31" t="n"/>
      <c r="CS108" s="31" t="n"/>
      <c r="CT108" s="31" t="n"/>
      <c r="CU108" s="31" t="n"/>
      <c r="CV108" s="31" t="n"/>
      <c r="CW108" s="31" t="n"/>
      <c r="CX108" s="31" t="n"/>
      <c r="CY108" s="31" t="n"/>
    </row>
    <row r="109">
      <c r="C109" s="18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  <c r="CS109" s="3" t="n"/>
      <c r="CT109" s="3" t="n"/>
      <c r="CU109" s="3" t="n"/>
      <c r="CV109" s="3" t="n"/>
      <c r="CW109" s="3" t="n"/>
      <c r="CX109" s="3" t="n"/>
      <c r="CY109" s="3" t="n"/>
    </row>
    <row r="110">
      <c r="C110" s="13" t="inlineStr">
        <is>
          <t>Cash and equivalents (inc. investment securities)</t>
        </is>
      </c>
      <c r="D110" s="46" t="n"/>
      <c r="E110" s="46" t="n"/>
      <c r="F110" s="46" t="n"/>
      <c r="G110" s="46" t="n"/>
      <c r="H110" s="12" t="n"/>
      <c r="I110" s="46">
        <f>'Inputs (2)'!D15</f>
        <v>1097.37400565</v>
      </c>
      <c r="J110" s="46">
        <f>'Inputs (2)'!E15</f>
        <v>672.07445116</v>
      </c>
      <c r="K110" s="46">
        <f>'Inputs (2)'!F15</f>
        <v>1028.20945984</v>
      </c>
      <c r="L110" s="46">
        <f>'Inputs (2)'!G15</f>
        <v>861.42660329</v>
      </c>
      <c r="M110" s="12">
        <f>'Inputs (2)'!H15</f>
        <v>861.42660329</v>
      </c>
      <c r="N110" s="46">
        <f>'Inputs (2)'!I15</f>
        <v>564.73251232</v>
      </c>
      <c r="O110" s="46">
        <f>'Inputs (2)'!J15</f>
        <v>779.92863828</v>
      </c>
      <c r="P110" s="46">
        <f>'Inputs (2)'!K15</f>
        <v>894.09475116</v>
      </c>
      <c r="Q110" s="46">
        <f>'Inputs (2)'!L15</f>
        <v>1431.131409</v>
      </c>
      <c r="R110" s="12">
        <f>'Inputs (2)'!M15</f>
        <v>1431.131409</v>
      </c>
      <c r="S110" s="46">
        <f>'Inputs (2)'!N15</f>
        <v>1399.25993934</v>
      </c>
      <c r="T110" s="46">
        <f>'Inputs (2)'!O15</f>
        <v>1028.607</v>
      </c>
      <c r="U110" s="46">
        <f>'Inputs (2)'!P15</f>
        <v>1098.312</v>
      </c>
      <c r="V110" s="46">
        <f>'Inputs (2)'!Q15</f>
        <v>1057.615</v>
      </c>
      <c r="W110" s="12">
        <f>'Inputs (2)'!R15</f>
        <v>1057.615</v>
      </c>
      <c r="X110" s="46">
        <f>'Inputs (2)'!S15</f>
        <v>1026.176</v>
      </c>
      <c r="Y110" s="46">
        <f>'Inputs (2)'!T15</f>
        <v>2126.948</v>
      </c>
      <c r="Z110" s="46">
        <f>'Inputs (2)'!U15</f>
        <v>2337.434</v>
      </c>
      <c r="AA110" s="46">
        <f>'Inputs (2)'!V15</f>
        <v>2445.961</v>
      </c>
      <c r="AB110" s="12">
        <f>'Inputs (2)'!W15</f>
        <v>2445.961</v>
      </c>
      <c r="AC110" s="46">
        <f>'Inputs (2)'!X15</f>
        <v>2545.291089</v>
      </c>
      <c r="AD110" s="46">
        <f>'Inputs (2)'!Y15</f>
        <v>2190.792</v>
      </c>
      <c r="AE110" s="46">
        <f>'Inputs (2)'!Z15</f>
        <v>2622.425</v>
      </c>
      <c r="AF110" s="46">
        <f>'Inputs (2)'!AA15</f>
        <v>2275.013</v>
      </c>
      <c r="AG110" s="12">
        <f>'Inputs (2)'!AB15</f>
        <v>2275.013</v>
      </c>
      <c r="AH110" s="12">
        <f>'Inputs (2)'!AC15</f>
        <v>2266.553</v>
      </c>
      <c r="AI110" s="12">
        <f>'Inputs (2)'!AD15</f>
        <v>2037.673</v>
      </c>
      <c r="AJ110" s="12">
        <f>AJ239-SUM(AJ111,AJ115,AJ119,AJ120,AJ121,AJ127,AJ132,AJ142,AJ145,AJ146,AJ155)</f>
        <v>2401.93244120516</v>
      </c>
      <c r="AK110" s="12">
        <f>AK239-SUM(AK111,AK115,AK119,AK120,AK121,AK127,AK132,AK142,AK145,AK146,AK155)</f>
        <v>2891.87083440185</v>
      </c>
      <c r="AL110" s="12">
        <f>AK110</f>
        <v>2891.87083440185</v>
      </c>
      <c r="AM110" s="12">
        <f>AM239-SUM(AM111,AM115,AM119,AM120,AM121,AM127,AM132,AM142,AM145,AM146,AM155)</f>
        <v>3185.2774056628</v>
      </c>
      <c r="AN110" s="12">
        <f>AN239-SUM(AN111,AN115,AN119,AN120,AN121,AN127,AN132,AN142,AN145,AN146,AN155)</f>
        <v>3595.323571725</v>
      </c>
      <c r="AO110" s="12">
        <f>AO239-SUM(AO111,AO115,AO119,AO120,AO121,AO127,AO132,AO142,AO145,AO146,AO155)</f>
        <v>4034.59965206848</v>
      </c>
      <c r="AP110" s="12">
        <f>AP239-SUM(AP111,AP115,AP119,AP120,AP121,AP127,AP132,AP142,AP145,AP146,AP155)</f>
        <v>4588.91219878654</v>
      </c>
      <c r="AQ110" s="12">
        <f>AP110</f>
        <v>4588.91219878654</v>
      </c>
      <c r="AR110" s="12">
        <f>AR239-SUM(AR111,AR115,AR119,AR120,AR121,AR127,AR132,AR142,AR145,AR146,AR155)</f>
        <v>4949.35203359419</v>
      </c>
      <c r="AS110" s="12">
        <f>AS239-SUM(AS111,AS115,AS119,AS120,AS121,AS127,AS132,AS142,AS145,AS146,AS155)</f>
        <v>5394.62004692139</v>
      </c>
      <c r="AT110" s="12">
        <f>AT239-SUM(AT111,AT115,AT119,AT120,AT121,AT127,AT132,AT142,AT145,AT146,AT155)</f>
        <v>5891.08719453622</v>
      </c>
      <c r="AU110" s="12">
        <f>AU239-SUM(AU111,AU115,AU119,AU120,AU121,AU127,AU132,AU142,AU145,AU146,AU155)</f>
        <v>6514.08339043077</v>
      </c>
      <c r="AV110" s="12">
        <f>AU110</f>
        <v>6514.08339043077</v>
      </c>
      <c r="AW110" s="12">
        <f>AW239-SUM(AW111,AW115,AW119,AW120,AW121,AW127,AW132,AW142,AW145,AW146,AW155)</f>
        <v>6912.17488193412</v>
      </c>
      <c r="AX110" s="12">
        <f>AX239-SUM(AX111,AX115,AX119,AX120,AX121,AX127,AX132,AX142,AX145,AX146,AX155)</f>
        <v>7435.39011723465</v>
      </c>
      <c r="AY110" s="12">
        <f>AY239-SUM(AY111,AY115,AY119,AY120,AY121,AY127,AY132,AY142,AY145,AY146,AY155)</f>
        <v>7995.65079171576</v>
      </c>
      <c r="AZ110" s="12">
        <f>AZ239-SUM(AZ111,AZ115,AZ119,AZ120,AZ121,AZ127,AZ132,AZ142,AZ145,AZ146,AZ155)</f>
        <v>8694.44228541979</v>
      </c>
      <c r="BA110" s="12">
        <f>AZ110</f>
        <v>8694.44228541979</v>
      </c>
      <c r="BB110" s="12">
        <f>BB239-SUM(BB111,BB115,BB119,BB120,BB121,BB127,BB132,BB142,BB145,BB146,BB155)</f>
        <v>9155.66960852373</v>
      </c>
      <c r="BC110" s="12">
        <f>BC239-SUM(BC111,BC115,BC119,BC120,BC121,BC127,BC132,BC142,BC145,BC146,BC155)</f>
        <v>9745.00122483871</v>
      </c>
      <c r="BD110" s="12">
        <f>BD239-SUM(BD111,BD115,BD119,BD120,BD121,BD127,BD132,BD142,BD145,BD146,BD155)</f>
        <v>10375.649610414</v>
      </c>
      <c r="BE110" s="12">
        <f>BE239-SUM(BE111,BE115,BE119,BE120,BE121,BE127,BE132,BE142,BE145,BE146,BE155)</f>
        <v>11157.1992244452</v>
      </c>
      <c r="BF110" s="12">
        <f>BE110</f>
        <v>11157.1992244452</v>
      </c>
      <c r="BG110" s="12" t="n"/>
      <c r="BH110" s="12" t="n"/>
      <c r="BI110" s="12" t="n"/>
      <c r="BJ110" s="12" t="n"/>
      <c r="BK110" s="12" t="n"/>
      <c r="BL110" s="12" t="n"/>
      <c r="BM110" s="12" t="n"/>
      <c r="BN110" s="12" t="n"/>
      <c r="BO110" s="12" t="n"/>
      <c r="BP110" s="12" t="n"/>
      <c r="BQ110" s="12" t="n"/>
      <c r="BR110" s="12" t="n"/>
      <c r="BS110" s="12" t="n"/>
      <c r="BT110" s="12" t="n"/>
      <c r="BU110" s="12" t="n"/>
      <c r="BV110" s="12" t="n"/>
      <c r="BW110" s="12" t="n"/>
      <c r="BX110" s="12" t="n"/>
      <c r="BY110" s="12" t="n"/>
      <c r="BZ110" s="12" t="n"/>
      <c r="CA110" s="12" t="n"/>
      <c r="CB110" s="12" t="n"/>
      <c r="CC110" s="12" t="n"/>
      <c r="CD110" s="12" t="n"/>
      <c r="CE110" s="12" t="n"/>
      <c r="CF110" s="12" t="n"/>
      <c r="CG110" s="12" t="n"/>
      <c r="CH110" s="12" t="n"/>
      <c r="CI110" s="12" t="n"/>
      <c r="CJ110" s="12" t="n"/>
      <c r="CK110" s="12" t="n"/>
      <c r="CL110" s="12" t="n"/>
      <c r="CM110" s="12" t="n"/>
      <c r="CN110" s="12" t="n"/>
      <c r="CO110" s="12" t="n"/>
      <c r="CP110" s="12" t="n"/>
      <c r="CQ110" s="12" t="n"/>
      <c r="CR110" s="12" t="n"/>
      <c r="CS110" s="12" t="n"/>
      <c r="CT110" s="12" t="n"/>
      <c r="CU110" s="12" t="n"/>
      <c r="CV110" s="12" t="n"/>
      <c r="CW110" s="12" t="n"/>
      <c r="CX110" s="12" t="n"/>
      <c r="CY110" s="12" t="n"/>
    </row>
    <row r="111">
      <c r="C111" s="14" t="inlineStr">
        <is>
          <t>Accounts receivable</t>
        </is>
      </c>
      <c r="D111" s="46" t="n"/>
      <c r="E111" s="46" t="n"/>
      <c r="F111" s="46" t="n"/>
      <c r="G111" s="46" t="n"/>
      <c r="H111" s="12" t="n"/>
      <c r="I111" s="46">
        <f>'Inputs (2)'!D16</f>
        <v>722.33269323</v>
      </c>
      <c r="J111" s="46">
        <f>'Inputs (2)'!E16</f>
        <v>710.16007206</v>
      </c>
      <c r="K111" s="46">
        <f>'Inputs (2)'!F16</f>
        <v>798.87962103</v>
      </c>
      <c r="L111" s="46">
        <f>'Inputs (2)'!G16</f>
        <v>793.850845533</v>
      </c>
      <c r="M111" s="12">
        <f>'Inputs (2)'!H16</f>
        <v>793.850845533</v>
      </c>
      <c r="N111" s="46">
        <f>'Inputs (2)'!I16</f>
        <v>867.74374465</v>
      </c>
      <c r="O111" s="46">
        <f>'Inputs (2)'!J16</f>
        <v>900.92993497</v>
      </c>
      <c r="P111" s="46">
        <f>'Inputs (2)'!K16</f>
        <v>885.46691962</v>
      </c>
      <c r="Q111" s="46">
        <f>'Inputs (2)'!L16</f>
        <v>856.84906289</v>
      </c>
      <c r="R111" s="12">
        <f>'Inputs (2)'!M16</f>
        <v>856.84906289</v>
      </c>
      <c r="S111" s="46">
        <f>'Inputs (2)'!N16</f>
        <v>973.70141759</v>
      </c>
      <c r="T111" s="46">
        <f>'Inputs (2)'!O16</f>
        <v>1486.024</v>
      </c>
      <c r="U111" s="46">
        <f>'Inputs (2)'!P16</f>
        <v>1558.622</v>
      </c>
      <c r="V111" s="46">
        <f>'Inputs (2)'!Q16</f>
        <v>1505.194</v>
      </c>
      <c r="W111" s="12">
        <f>'Inputs (2)'!R16</f>
        <v>1505.194</v>
      </c>
      <c r="X111" s="46">
        <f>'Inputs (2)'!S16</f>
        <v>1731.049</v>
      </c>
      <c r="Y111" s="46">
        <f>'Inputs (2)'!T16</f>
        <v>1759.05</v>
      </c>
      <c r="Z111" s="46">
        <f>'Inputs (2)'!U16</f>
        <v>1763.847</v>
      </c>
      <c r="AA111" s="46">
        <f>'Inputs (2)'!V16</f>
        <v>1634.904</v>
      </c>
      <c r="AB111" s="12">
        <f>'Inputs (2)'!W16</f>
        <v>1634.904</v>
      </c>
      <c r="AC111" s="46">
        <f>'Inputs (2)'!X16</f>
        <v>1789.123657</v>
      </c>
      <c r="AD111" s="46">
        <f>'Inputs (2)'!Y16</f>
        <v>1859.62</v>
      </c>
      <c r="AE111" s="46">
        <f>'Inputs (2)'!Z16</f>
        <v>1911.173</v>
      </c>
      <c r="AF111" s="46">
        <f>'Inputs (2)'!AA16</f>
        <v>1747.166</v>
      </c>
      <c r="AG111" s="12">
        <f>'Inputs (2)'!AB16</f>
        <v>1747.166</v>
      </c>
      <c r="AH111" s="12">
        <f>'Inputs (2)'!AC16</f>
        <v>2005.869</v>
      </c>
      <c r="AI111" s="12">
        <f>'Inputs (2)'!AD16</f>
        <v>2094.735</v>
      </c>
      <c r="AJ111" s="12">
        <f>(AJ112/(AJ$5-AI$5))*AJ$15</f>
        <v>2107.57693780061</v>
      </c>
      <c r="AK111" s="12">
        <f>(AK112/(AK$5-AJ$5))*AK$15</f>
        <v>1982.15630931627</v>
      </c>
      <c r="AL111" s="12">
        <f>AK111</f>
        <v>1982.15630931627</v>
      </c>
      <c r="AM111" s="12">
        <f>(AM112/(AM$5-AL$5))*AM$15</f>
        <v>2186.01422541495</v>
      </c>
      <c r="AN111" s="12">
        <f>(AN112/(AN$5-AM$5))*AN$15</f>
        <v>2252.95611996202</v>
      </c>
      <c r="AO111" s="12">
        <f>(AO112/(AO$5-AN$5))*AO$15</f>
        <v>2306.27235799667</v>
      </c>
      <c r="AP111" s="12">
        <f>(AP112/(AP$5-AO$5))*AP$15</f>
        <v>2169.02748526721</v>
      </c>
      <c r="AQ111" s="12">
        <f>AP111</f>
        <v>2169.02748526721</v>
      </c>
      <c r="AR111" s="12">
        <f>(AR112/(AR$5-AQ$5))*AR$15</f>
        <v>2355.00763244586</v>
      </c>
      <c r="AS111" s="12">
        <f>(AS112/(AS$5-AR$5))*AS$15</f>
        <v>2454.09263058449</v>
      </c>
      <c r="AT111" s="12">
        <f>(AT112/(AT$5-AS$5))*AT$15</f>
        <v>2512.16876695128</v>
      </c>
      <c r="AU111" s="12">
        <f>(AU112/(AU$5-AT$5))*AU$15</f>
        <v>2362.67112349227</v>
      </c>
      <c r="AV111" s="12">
        <f>AU111</f>
        <v>2362.67112349227</v>
      </c>
      <c r="AW111" s="12">
        <f>(AW112/(AW$5-AV$5))*AW$15</f>
        <v>2581.85192741428</v>
      </c>
      <c r="AX111" s="12">
        <f>(AX112/(AX$5-AW$5))*AX$15</f>
        <v>2660.91548402417</v>
      </c>
      <c r="AY111" s="12">
        <f>(AY112/(AY$5-AX$5))*AY$15</f>
        <v>2723.88608610527</v>
      </c>
      <c r="AZ111" s="12">
        <f>(AZ112/(AZ$5-AY$5))*AZ$15</f>
        <v>2561.7892730724</v>
      </c>
      <c r="BA111" s="12">
        <f>AZ111</f>
        <v>2561.7892730724</v>
      </c>
      <c r="BB111" s="12">
        <f>(BB112/(BB$5-BA$5))*BB$15</f>
        <v>2786.53265445158</v>
      </c>
      <c r="BC111" s="12">
        <f>(BC112/(BC$5-BB$5))*BC$15</f>
        <v>2871.86410972647</v>
      </c>
      <c r="BD111" s="12">
        <f>(BD112/(BD$5-BC$5))*BD$15</f>
        <v>2939.82681398007</v>
      </c>
      <c r="BE111" s="12">
        <f>(BE112/(BE$5-BD$5))*BE$15</f>
        <v>2764.87949887553</v>
      </c>
      <c r="BF111" s="12">
        <f>BE111</f>
        <v>2764.87949887553</v>
      </c>
      <c r="BG111" s="12" t="n"/>
      <c r="BH111" s="12" t="n"/>
      <c r="BI111" s="12" t="n"/>
      <c r="BJ111" s="12" t="n"/>
      <c r="BK111" s="12" t="n"/>
      <c r="BL111" s="12" t="n"/>
      <c r="BM111" s="12" t="n"/>
      <c r="BN111" s="12" t="n"/>
      <c r="BO111" s="12" t="n"/>
      <c r="BP111" s="12" t="n"/>
      <c r="BQ111" s="12" t="n"/>
      <c r="BR111" s="12" t="n"/>
      <c r="BS111" s="12" t="n"/>
      <c r="BT111" s="12" t="n"/>
      <c r="BU111" s="12" t="n"/>
      <c r="BV111" s="12" t="n"/>
      <c r="BW111" s="12" t="n"/>
      <c r="BX111" s="12" t="n"/>
      <c r="BY111" s="12" t="n"/>
      <c r="BZ111" s="12" t="n"/>
      <c r="CA111" s="12" t="n"/>
      <c r="CB111" s="12" t="n"/>
      <c r="CC111" s="12" t="n"/>
      <c r="CD111" s="12" t="n"/>
      <c r="CE111" s="12" t="n"/>
      <c r="CF111" s="12" t="n"/>
      <c r="CG111" s="12" t="n"/>
      <c r="CH111" s="12" t="n"/>
      <c r="CI111" s="12" t="n"/>
      <c r="CJ111" s="12" t="n"/>
      <c r="CK111" s="12" t="n"/>
      <c r="CL111" s="12" t="n"/>
      <c r="CM111" s="12" t="n"/>
      <c r="CN111" s="12" t="n"/>
      <c r="CO111" s="12" t="n"/>
      <c r="CP111" s="12" t="n"/>
      <c r="CQ111" s="12" t="n"/>
      <c r="CR111" s="12" t="n"/>
      <c r="CS111" s="12" t="n"/>
      <c r="CT111" s="12" t="n"/>
      <c r="CU111" s="12" t="n"/>
      <c r="CV111" s="12" t="n"/>
      <c r="CW111" s="12" t="n"/>
      <c r="CX111" s="12" t="n"/>
      <c r="CY111" s="12" t="n"/>
    </row>
    <row r="112" hidden="1" outlineLevel="1">
      <c r="C112" s="57" t="inlineStr">
        <is>
          <t>DSO</t>
        </is>
      </c>
      <c r="D112" s="12" t="n"/>
      <c r="E112" s="12" t="n"/>
      <c r="F112" s="12" t="n"/>
      <c r="G112" s="12" t="n"/>
      <c r="H112" s="12" t="n"/>
      <c r="I112" s="12">
        <f>IFERROR((I111/I$15)*(I$5-H$5),"")</f>
        <v>72.7336789893665</v>
      </c>
      <c r="J112" s="12">
        <f>IFERROR((J111/J$15)*(J$5-I$5),"")</f>
        <v>69.3347272424098</v>
      </c>
      <c r="K112" s="12">
        <f>IFERROR((K111/K$15)*(K$5-J$5),"")</f>
        <v>71.4373947989124</v>
      </c>
      <c r="L112" s="12">
        <f>IFERROR((L111/L$15)*(L$5-K$5),"")</f>
        <v>71.7466812072358</v>
      </c>
      <c r="M112" s="12" t="n"/>
      <c r="N112" s="12">
        <f>IFERROR((N111/N$15)*(N$5-M$5),"")</f>
        <v>71.6543135316251</v>
      </c>
      <c r="O112" s="12">
        <f>IFERROR((O111/O$15)*(O$5-N$5),"")</f>
        <v>73.7440269083595</v>
      </c>
      <c r="P112" s="12">
        <f>IFERROR((P111/P$15)*(P$5-O$5),"")</f>
        <v>71.0452457835497</v>
      </c>
      <c r="Q112" s="12">
        <f>IFERROR((Q111/Q$15)*(Q$5-P$5),"")</f>
        <v>70.7157143773324</v>
      </c>
      <c r="R112" s="12" t="n"/>
      <c r="S112" s="12">
        <f>IFERROR((S111/S$15)*(S$5-R$5),"")</f>
        <v>70.8533932096631</v>
      </c>
      <c r="T112" s="12">
        <f>IFERROR((T111/T$15)*(T$5-S$5),"")</f>
        <v>81.4852926200678</v>
      </c>
      <c r="U112" s="12">
        <f>IFERROR((U111/U$15)*(U$5-T$5),"")</f>
        <v>76.6790232320613</v>
      </c>
      <c r="V112" s="12">
        <f>IFERROR((V111/V$15)*(V$5-U$5),"")</f>
        <v>81.2453304911115</v>
      </c>
      <c r="W112" s="12" t="n"/>
      <c r="X112" s="12">
        <f>IFERROR((X111/X$15)*(X$5-W$5),"")</f>
        <v>82.7144765418237</v>
      </c>
      <c r="Y112" s="12">
        <f>IFERROR((Y111/Y$15)*(Y$5-X$5),"")</f>
        <v>80.9187079984754</v>
      </c>
      <c r="Z112" s="12">
        <f>IFERROR((Z111/Z$15)*(Z$5-Y$5),"")</f>
        <v>82.680125609244</v>
      </c>
      <c r="AA112" s="12">
        <f>IFERROR((AA111/AA$15)*(AA$5-Z$5),"")</f>
        <v>81.7746634334565</v>
      </c>
      <c r="AB112" s="12" t="n"/>
      <c r="AC112" s="12">
        <f>IFERROR((AC111/AC$15)*(AC$5-AB$5),"")</f>
        <v>79.9082957400076</v>
      </c>
      <c r="AD112" s="12">
        <f>IFERROR((AD111/AD$15)*(AD$5-AC$5),"")</f>
        <v>83.5873853377544</v>
      </c>
      <c r="AE112" s="12">
        <f>IFERROR((AE111/AE$15)*(AE$5-AD$5),"")</f>
        <v>80.2508382087319</v>
      </c>
      <c r="AF112" s="11">
        <f>IFERROR((AF111/AF$15)*(AF$5-AE$5),"")</f>
        <v>78.006229085761</v>
      </c>
      <c r="AG112" s="12" t="n"/>
      <c r="AH112" s="11">
        <f>IFERROR((AH111/AH$15)*(AH$5-AG$5),"")</f>
        <v>81.2049674034778</v>
      </c>
      <c r="AI112" s="11">
        <f>IFERROR((AI111/AI$15)*(AI$5-AH$5),"")</f>
        <v>82.2828582997746</v>
      </c>
      <c r="AJ112" s="11">
        <f>Control!$B$25</f>
        <v>80.8734290125846</v>
      </c>
      <c r="AK112" s="11">
        <f>Control!$B$25</f>
        <v>80.8734290125846</v>
      </c>
      <c r="AL112" s="12" t="n"/>
      <c r="AM112" s="11">
        <f>Control!$C$25</f>
        <v>80.8734290125846</v>
      </c>
      <c r="AN112" s="11">
        <f>Control!$C$25</f>
        <v>80.8734290125846</v>
      </c>
      <c r="AO112" s="11">
        <f>Control!$C$25</f>
        <v>80.8734290125846</v>
      </c>
      <c r="AP112" s="11">
        <f>Control!$C$25</f>
        <v>80.8734290125846</v>
      </c>
      <c r="AQ112" s="12" t="n"/>
      <c r="AR112" s="11">
        <f>Control!$D$25</f>
        <v>80.8734290125846</v>
      </c>
      <c r="AS112" s="11">
        <f>Control!$D$25</f>
        <v>80.8734290125846</v>
      </c>
      <c r="AT112" s="11">
        <f>Control!$D$25</f>
        <v>80.8734290125846</v>
      </c>
      <c r="AU112" s="11">
        <f>Control!$D$25</f>
        <v>80.8734290125846</v>
      </c>
      <c r="AV112" s="12" t="n"/>
      <c r="AW112" s="11">
        <f>Control!$E$25</f>
        <v>80.8734290125846</v>
      </c>
      <c r="AX112" s="11">
        <f>Control!$E$25</f>
        <v>80.8734290125846</v>
      </c>
      <c r="AY112" s="11">
        <f>Control!$E$25</f>
        <v>80.8734290125846</v>
      </c>
      <c r="AZ112" s="11">
        <f>Control!$E$25</f>
        <v>80.8734290125846</v>
      </c>
      <c r="BA112" s="12" t="n"/>
      <c r="BB112" s="11">
        <f>Control!$F$25</f>
        <v>80.8734290125846</v>
      </c>
      <c r="BC112" s="11">
        <f>Control!$F$25</f>
        <v>80.8734290125846</v>
      </c>
      <c r="BD112" s="11">
        <f>Control!$F$25</f>
        <v>80.8734290125846</v>
      </c>
      <c r="BE112" s="11">
        <f>Control!$F$25</f>
        <v>80.8734290125846</v>
      </c>
      <c r="BF112" s="12" t="n"/>
      <c r="BG112" s="11" t="n"/>
      <c r="BH112" s="11" t="n"/>
      <c r="BI112" s="11" t="n"/>
      <c r="BJ112" s="11" t="n"/>
      <c r="BK112" s="12" t="n"/>
      <c r="BL112" s="11" t="n"/>
      <c r="BM112" s="11" t="n"/>
      <c r="BN112" s="11" t="n"/>
      <c r="BO112" s="11" t="n"/>
      <c r="BP112" s="12" t="n"/>
      <c r="BQ112" s="11" t="n"/>
      <c r="BR112" s="11" t="n"/>
      <c r="BS112" s="11" t="n"/>
      <c r="BT112" s="11" t="n"/>
      <c r="BU112" s="12" t="n"/>
      <c r="BV112" s="11" t="n"/>
      <c r="BW112" s="11" t="n"/>
      <c r="BX112" s="11" t="n"/>
      <c r="BY112" s="11" t="n"/>
      <c r="BZ112" s="12" t="n"/>
      <c r="CA112" s="11" t="n"/>
      <c r="CB112" s="11" t="n"/>
      <c r="CC112" s="11" t="n"/>
      <c r="CD112" s="11" t="n"/>
      <c r="CE112" s="12" t="n"/>
      <c r="CF112" s="11" t="n"/>
      <c r="CG112" s="11" t="n"/>
      <c r="CH112" s="11" t="n"/>
      <c r="CI112" s="11" t="n"/>
      <c r="CJ112" s="12" t="n"/>
      <c r="CK112" s="11" t="n"/>
      <c r="CL112" s="11" t="n"/>
      <c r="CM112" s="11" t="n"/>
      <c r="CN112" s="11" t="n"/>
      <c r="CO112" s="12" t="n"/>
      <c r="CP112" s="11" t="n"/>
      <c r="CQ112" s="11" t="n"/>
      <c r="CR112" s="11" t="n"/>
      <c r="CS112" s="11" t="n"/>
      <c r="CT112" s="12" t="n"/>
      <c r="CU112" s="11" t="n"/>
      <c r="CV112" s="11" t="n"/>
      <c r="CW112" s="11" t="n"/>
      <c r="CX112" s="11" t="n"/>
      <c r="CY112" s="12" t="n"/>
    </row>
    <row r="113" hidden="1" outlineLevel="1">
      <c r="C113" s="57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  <c r="AJ113" s="12" t="n"/>
      <c r="AK113" s="12" t="n"/>
      <c r="AL113" s="12" t="n"/>
      <c r="AM113" s="12" t="n"/>
      <c r="AN113" s="12" t="n"/>
      <c r="AO113" s="12" t="n"/>
      <c r="AP113" s="12" t="n"/>
      <c r="AQ113" s="12" t="n"/>
      <c r="AR113" s="12" t="n"/>
      <c r="AS113" s="12" t="n"/>
      <c r="AT113" s="12" t="n"/>
      <c r="AU113" s="12" t="n"/>
      <c r="AV113" s="12" t="n"/>
      <c r="AW113" s="12" t="n"/>
      <c r="AX113" s="12" t="n"/>
      <c r="AY113" s="12" t="n"/>
      <c r="AZ113" s="12" t="n"/>
      <c r="BA113" s="12" t="n"/>
      <c r="BB113" s="12" t="n"/>
      <c r="BC113" s="12" t="n"/>
      <c r="BD113" s="12" t="n"/>
      <c r="BE113" s="12" t="n"/>
      <c r="BF113" s="12" t="n"/>
      <c r="BG113" s="12" t="n"/>
      <c r="BH113" s="12" t="n"/>
      <c r="BI113" s="12" t="n"/>
      <c r="BJ113" s="12" t="n"/>
      <c r="BK113" s="12" t="n"/>
      <c r="BL113" s="12" t="n"/>
      <c r="BM113" s="12" t="n"/>
      <c r="BN113" s="12" t="n"/>
      <c r="BO113" s="12" t="n"/>
      <c r="BP113" s="12" t="n"/>
      <c r="BQ113" s="12" t="n"/>
      <c r="BR113" s="12" t="n"/>
      <c r="BS113" s="12" t="n"/>
      <c r="BT113" s="12" t="n"/>
      <c r="BU113" s="12" t="n"/>
      <c r="BV113" s="12" t="n"/>
      <c r="BW113" s="12" t="n"/>
      <c r="BX113" s="12" t="n"/>
      <c r="BY113" s="12" t="n"/>
      <c r="BZ113" s="12" t="n"/>
      <c r="CA113" s="12" t="n"/>
      <c r="CB113" s="12" t="n"/>
      <c r="CC113" s="12" t="n"/>
      <c r="CD113" s="12" t="n"/>
      <c r="CE113" s="12" t="n"/>
      <c r="CF113" s="12" t="n"/>
      <c r="CG113" s="12" t="n"/>
      <c r="CH113" s="12" t="n"/>
      <c r="CI113" s="12" t="n"/>
      <c r="CJ113" s="12" t="n"/>
      <c r="CK113" s="12" t="n"/>
      <c r="CL113" s="12" t="n"/>
      <c r="CM113" s="12" t="n"/>
      <c r="CN113" s="12" t="n"/>
      <c r="CO113" s="12" t="n"/>
      <c r="CP113" s="12" t="n"/>
      <c r="CQ113" s="12" t="n"/>
      <c r="CR113" s="12" t="n"/>
      <c r="CS113" s="12" t="n"/>
      <c r="CT113" s="12" t="n"/>
      <c r="CU113" s="12" t="n"/>
      <c r="CV113" s="12" t="n"/>
      <c r="CW113" s="12" t="n"/>
      <c r="CX113" s="12" t="n"/>
      <c r="CY113" s="12" t="n"/>
    </row>
    <row r="114" hidden="1" outlineLevel="1">
      <c r="C114" s="57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  <c r="AJ114" s="12" t="n"/>
      <c r="AK114" s="12" t="n"/>
      <c r="AL114" s="12" t="n"/>
      <c r="AM114" s="12" t="n"/>
      <c r="AN114" s="12" t="n"/>
      <c r="AO114" s="12" t="n"/>
      <c r="AP114" s="12" t="n"/>
      <c r="AQ114" s="12" t="n"/>
      <c r="AR114" s="12" t="n"/>
      <c r="AS114" s="12" t="n"/>
      <c r="AT114" s="12" t="n"/>
      <c r="AU114" s="12" t="n"/>
      <c r="AV114" s="12" t="n"/>
      <c r="AW114" s="12" t="n"/>
      <c r="AX114" s="12" t="n"/>
      <c r="AY114" s="12" t="n"/>
      <c r="AZ114" s="12" t="n"/>
      <c r="BA114" s="12" t="n"/>
      <c r="BB114" s="12" t="n"/>
      <c r="BC114" s="12" t="n"/>
      <c r="BD114" s="12" t="n"/>
      <c r="BE114" s="12" t="n"/>
      <c r="BF114" s="12" t="n"/>
      <c r="BG114" s="12" t="n"/>
      <c r="BH114" s="12" t="n"/>
      <c r="BI114" s="12" t="n"/>
      <c r="BJ114" s="12" t="n"/>
      <c r="BK114" s="12" t="n"/>
      <c r="BL114" s="12" t="n"/>
      <c r="BM114" s="12" t="n"/>
      <c r="BN114" s="12" t="n"/>
      <c r="BO114" s="12" t="n"/>
      <c r="BP114" s="12" t="n"/>
      <c r="BQ114" s="12" t="n"/>
      <c r="BR114" s="12" t="n"/>
      <c r="BS114" s="12" t="n"/>
      <c r="BT114" s="12" t="n"/>
      <c r="BU114" s="12" t="n"/>
      <c r="BV114" s="12" t="n"/>
      <c r="BW114" s="12" t="n"/>
      <c r="BX114" s="12" t="n"/>
      <c r="BY114" s="12" t="n"/>
      <c r="BZ114" s="12" t="n"/>
      <c r="CA114" s="12" t="n"/>
      <c r="CB114" s="12" t="n"/>
      <c r="CC114" s="12" t="n"/>
      <c r="CD114" s="12" t="n"/>
      <c r="CE114" s="12" t="n"/>
      <c r="CF114" s="12" t="n"/>
      <c r="CG114" s="12" t="n"/>
      <c r="CH114" s="12" t="n"/>
      <c r="CI114" s="12" t="n"/>
      <c r="CJ114" s="12" t="n"/>
      <c r="CK114" s="12" t="n"/>
      <c r="CL114" s="12" t="n"/>
      <c r="CM114" s="12" t="n"/>
      <c r="CN114" s="12" t="n"/>
      <c r="CO114" s="12" t="n"/>
      <c r="CP114" s="12" t="n"/>
      <c r="CQ114" s="12" t="n"/>
      <c r="CR114" s="12" t="n"/>
      <c r="CS114" s="12" t="n"/>
      <c r="CT114" s="12" t="n"/>
      <c r="CU114" s="12" t="n"/>
      <c r="CV114" s="12" t="n"/>
      <c r="CW114" s="12" t="n"/>
      <c r="CX114" s="12" t="n"/>
      <c r="CY114" s="12" t="n"/>
    </row>
    <row r="115" collapsed="1">
      <c r="C115" s="14" t="inlineStr">
        <is>
          <t>Inventories</t>
        </is>
      </c>
      <c r="D115" s="46" t="n"/>
      <c r="E115" s="46" t="n"/>
      <c r="F115" s="46" t="n"/>
      <c r="G115" s="46" t="n"/>
      <c r="H115" s="12" t="n"/>
      <c r="I115" s="46">
        <f>'Inputs (2)'!D17</f>
        <v>63.8348316</v>
      </c>
      <c r="J115" s="46">
        <f>'Inputs (2)'!E17</f>
        <v>71.51351074</v>
      </c>
      <c r="K115" s="46">
        <f>'Inputs (2)'!F17</f>
        <v>68.37885212</v>
      </c>
      <c r="L115" s="46">
        <f>'Inputs (2)'!G17</f>
        <v>72.60991872</v>
      </c>
      <c r="M115" s="12">
        <f>'Inputs (2)'!H17</f>
        <v>72.60991872</v>
      </c>
      <c r="N115" s="46">
        <f>'Inputs (2)'!I17</f>
        <v>95.16856361</v>
      </c>
      <c r="O115" s="46">
        <f>'Inputs (2)'!J17</f>
        <v>76.20863578</v>
      </c>
      <c r="P115" s="46">
        <f>'Inputs (2)'!K17</f>
        <v>85.47263984</v>
      </c>
      <c r="Q115" s="46">
        <f>'Inputs (2)'!L17</f>
        <v>96.57554571</v>
      </c>
      <c r="R115" s="12">
        <f>'Inputs (2)'!M17</f>
        <v>96.57554571</v>
      </c>
      <c r="S115" s="46">
        <f>'Inputs (2)'!N17</f>
        <v>99.24706762</v>
      </c>
      <c r="T115" s="46">
        <f>'Inputs (2)'!O17</f>
        <v>132.464</v>
      </c>
      <c r="U115" s="46">
        <f>'Inputs (2)'!P17</f>
        <v>135.196</v>
      </c>
      <c r="V115" s="46">
        <f>'Inputs (2)'!Q17</f>
        <v>134.929</v>
      </c>
      <c r="W115" s="12">
        <f>'Inputs (2)'!R17</f>
        <v>134.929</v>
      </c>
      <c r="X115" s="46">
        <f>'Inputs (2)'!S17</f>
        <v>127.562</v>
      </c>
      <c r="Y115" s="46">
        <f>'Inputs (2)'!T17</f>
        <v>139.551</v>
      </c>
      <c r="Z115" s="46">
        <f>'Inputs (2)'!U17</f>
        <v>139.511</v>
      </c>
      <c r="AA115" s="46">
        <f>'Inputs (2)'!V17</f>
        <v>155.036</v>
      </c>
      <c r="AB115" s="12">
        <f>'Inputs (2)'!W17</f>
        <v>155.036</v>
      </c>
      <c r="AC115" s="46">
        <f>'Inputs (2)'!X17</f>
        <v>155.495579</v>
      </c>
      <c r="AD115" s="46">
        <f>'Inputs (2)'!Y17</f>
        <v>149.579</v>
      </c>
      <c r="AE115" s="46">
        <f>'Inputs (2)'!Z17</f>
        <v>154.975</v>
      </c>
      <c r="AF115" s="46">
        <f>'Inputs (2)'!AA17</f>
        <v>180.702</v>
      </c>
      <c r="AG115" s="12">
        <f>'Inputs (2)'!AB17</f>
        <v>180.702</v>
      </c>
      <c r="AH115" s="12">
        <f>'Inputs (2)'!AC17</f>
        <v>150.818</v>
      </c>
      <c r="AI115" s="12">
        <f>'Inputs (2)'!AD17</f>
        <v>156.59</v>
      </c>
      <c r="AJ115" s="12">
        <f>(AJ116/(AJ$5-AI$5))*-AJ$20</f>
        <v>175.715692663329</v>
      </c>
      <c r="AK115" s="12">
        <f>(AK116/(AK$5-AJ$5))*-AK$20</f>
        <v>165.25895810094</v>
      </c>
      <c r="AL115" s="12">
        <f>AK115</f>
        <v>165.25895810094</v>
      </c>
      <c r="AM115" s="12">
        <f>(AM116/(AM$5-AL$5))*-AM$20</f>
        <v>182.255269974405</v>
      </c>
      <c r="AN115" s="12">
        <f>(AN116/(AN$5-AM$5))*-AN$20</f>
        <v>187.836438166922</v>
      </c>
      <c r="AO115" s="12">
        <f>(AO116/(AO$5-AN$5))*-AO$20</f>
        <v>192.281590098712</v>
      </c>
      <c r="AP115" s="12">
        <f>(AP116/(AP$5-AO$5))*-AP$20</f>
        <v>180.839029002311</v>
      </c>
      <c r="AQ115" s="12">
        <f>AP115</f>
        <v>180.839029002311</v>
      </c>
      <c r="AR115" s="12">
        <f>(AR116/(AR$5-AQ$5))*-AR$20</f>
        <v>196.3448118741</v>
      </c>
      <c r="AS115" s="12">
        <f>(AS116/(AS$5-AR$5))*-AS$20</f>
        <v>204.605857422759</v>
      </c>
      <c r="AT115" s="12">
        <f>(AT116/(AT$5-AS$5))*-AT$20</f>
        <v>209.447857895373</v>
      </c>
      <c r="AU115" s="12">
        <f>(AU116/(AU$5-AT$5))*-AU$20</f>
        <v>196.983742587986</v>
      </c>
      <c r="AV115" s="12">
        <f>AU115</f>
        <v>196.983742587986</v>
      </c>
      <c r="AW115" s="12">
        <f>(AW116/(AW$5-AV$5))*-AW$20</f>
        <v>215.257574536371</v>
      </c>
      <c r="AX115" s="12">
        <f>(AX116/(AX$5-AW$5))*-AX$20</f>
        <v>221.849365974662</v>
      </c>
      <c r="AY115" s="12">
        <f>(AY116/(AY$5-AX$5))*-AY$20</f>
        <v>227.09943431791</v>
      </c>
      <c r="AZ115" s="12">
        <f>(AZ116/(AZ$5-AY$5))*-AZ$20</f>
        <v>213.584884376824</v>
      </c>
      <c r="BA115" s="12">
        <f>AZ115</f>
        <v>213.584884376824</v>
      </c>
      <c r="BB115" s="12">
        <f>(BB116/(BB$5-BA$5))*-BB$20</f>
        <v>232.322486891944</v>
      </c>
      <c r="BC115" s="12">
        <f>(BC116/(BC$5-BB$5))*-BC$20</f>
        <v>239.436853869808</v>
      </c>
      <c r="BD115" s="12">
        <f>(BD116/(BD$5-BC$5))*-BD$20</f>
        <v>245.103130359651</v>
      </c>
      <c r="BE115" s="12">
        <f>(BE116/(BE$5-BD$5))*-BE$20</f>
        <v>230.517191359358</v>
      </c>
      <c r="BF115" s="12">
        <f>BE115</f>
        <v>230.517191359358</v>
      </c>
      <c r="BG115" s="12" t="n"/>
      <c r="BH115" s="12" t="n"/>
      <c r="BI115" s="12" t="n"/>
      <c r="BJ115" s="12" t="n"/>
      <c r="BK115" s="12" t="n"/>
      <c r="BL115" s="12" t="n"/>
      <c r="BM115" s="12" t="n"/>
      <c r="BN115" s="12" t="n"/>
      <c r="BO115" s="12" t="n"/>
      <c r="BP115" s="12" t="n"/>
      <c r="BQ115" s="12" t="n"/>
      <c r="BR115" s="12" t="n"/>
      <c r="BS115" s="12" t="n"/>
      <c r="BT115" s="12" t="n"/>
      <c r="BU115" s="12" t="n"/>
      <c r="BV115" s="12" t="n"/>
      <c r="BW115" s="12" t="n"/>
      <c r="BX115" s="12" t="n"/>
      <c r="BY115" s="12" t="n"/>
      <c r="BZ115" s="12" t="n"/>
      <c r="CA115" s="12" t="n"/>
      <c r="CB115" s="12" t="n"/>
      <c r="CC115" s="12" t="n"/>
      <c r="CD115" s="12" t="n"/>
      <c r="CE115" s="12" t="n"/>
      <c r="CF115" s="12" t="n"/>
      <c r="CG115" s="12" t="n"/>
      <c r="CH115" s="12" t="n"/>
      <c r="CI115" s="12" t="n"/>
      <c r="CJ115" s="12" t="n"/>
      <c r="CK115" s="12" t="n"/>
      <c r="CL115" s="12" t="n"/>
      <c r="CM115" s="12" t="n"/>
      <c r="CN115" s="12" t="n"/>
      <c r="CO115" s="12" t="n"/>
      <c r="CP115" s="12" t="n"/>
      <c r="CQ115" s="12" t="n"/>
      <c r="CR115" s="12" t="n"/>
      <c r="CS115" s="12" t="n"/>
      <c r="CT115" s="12" t="n"/>
      <c r="CU115" s="12" t="n"/>
      <c r="CV115" s="12" t="n"/>
      <c r="CW115" s="12" t="n"/>
      <c r="CX115" s="12" t="n"/>
      <c r="CY115" s="12" t="n"/>
    </row>
    <row r="116" hidden="1" outlineLevel="1">
      <c r="C116" s="57" t="inlineStr">
        <is>
          <t>DIO</t>
        </is>
      </c>
      <c r="D116" s="12" t="n"/>
      <c r="E116" s="12" t="n"/>
      <c r="F116" s="12" t="n"/>
      <c r="G116" s="12" t="n"/>
      <c r="H116" s="12" t="n"/>
      <c r="I116" s="12">
        <f>IFERROR(((I115/I$20)*(I$5-H$5))*-1,"")</f>
        <v>10.7449899263207</v>
      </c>
      <c r="J116" s="12">
        <f>IFERROR(((J115/J$20)*(J$5-I$5))*-1,"")</f>
        <v>10.8669413652353</v>
      </c>
      <c r="K116" s="12">
        <f>IFERROR(((K115/K$20)*(K$5-J$5))*-1,"")</f>
        <v>9.87471878204909</v>
      </c>
      <c r="L116" s="12">
        <f>IFERROR(((L115/L$20)*(L$5-K$5))*-1,"")</f>
        <v>10.2742543917326</v>
      </c>
      <c r="M116" s="12" t="n"/>
      <c r="N116" s="12">
        <f>IFERROR(((N115/N$20)*(N$5-M$5))*-1,"")</f>
        <v>12.7261373613173</v>
      </c>
      <c r="O116" s="12">
        <f>IFERROR(((O115/O$20)*(O$5-N$5))*-1,"")</f>
        <v>9.72663680745669</v>
      </c>
      <c r="P116" s="12">
        <f>IFERROR(((P115/P$20)*(P$5-O$5))*-1,"")</f>
        <v>11.0378072455138</v>
      </c>
      <c r="Q116" s="12">
        <f>IFERROR(((Q115/Q$20)*(Q$5-P$5))*-1,"")</f>
        <v>11.707046502414</v>
      </c>
      <c r="R116" s="12" t="n"/>
      <c r="S116" s="12">
        <f>IFERROR(((S115/S$20)*(S$5-R$5))*-1,"")</f>
        <v>11.5041995771281</v>
      </c>
      <c r="T116" s="12">
        <f>IFERROR(((T115/T$20)*(T$5-S$5))*-1,"")</f>
        <v>11.2113648053022</v>
      </c>
      <c r="U116" s="12">
        <f>IFERROR(((U115/U$20)*(U$5-T$5))*-1,"")</f>
        <v>10.3817450424918</v>
      </c>
      <c r="V116" s="12">
        <f>IFERROR(((V115/V$20)*(V$5-U$5))*-1,"")</f>
        <v>10.722794299935</v>
      </c>
      <c r="W116" s="12" t="n"/>
      <c r="X116" s="12">
        <f>IFERROR(((X115/X$20)*(X$5-W$5))*-1,"")</f>
        <v>9.73762259959802</v>
      </c>
      <c r="Y116" s="12">
        <f>IFERROR(((Y115/Y$20)*(Y$5-X$5))*-1,"")</f>
        <v>10.0719766758484</v>
      </c>
      <c r="Z116" s="12">
        <f>IFERROR(((Z115/Z$20)*(Z$5-Y$5))*-1,"")</f>
        <v>10.2525569461707</v>
      </c>
      <c r="AA116" s="12">
        <f>IFERROR(((AA115/AA$20)*(AA$5-Z$5))*-1,"")</f>
        <v>11.5831175876328</v>
      </c>
      <c r="AB116" s="12" t="n"/>
      <c r="AC116" s="12">
        <f>IFERROR(((AC115/AC$20)*(AC$5-AB$5))*-1,"")</f>
        <v>10.9155281097465</v>
      </c>
      <c r="AD116" s="12">
        <f>IFERROR(((AD115/AD$20)*(AD$5-AC$5))*-1,"")</f>
        <v>10.2612324314219</v>
      </c>
      <c r="AE116" s="12">
        <f>IFERROR(((AE115/AE$20)*(AE$5-AD$5))*-1,"")</f>
        <v>10.1862178101814</v>
      </c>
      <c r="AF116" s="11">
        <f>IFERROR(((AF115/AF$20)*(AF$5-AE$5))*-1,"")</f>
        <v>11.9253258654417</v>
      </c>
      <c r="AG116" s="12" t="n"/>
      <c r="AH116" s="11">
        <f>IFERROR(((AH115/AH$20)*(AH$5-AG$5))*-1,"")</f>
        <v>9.57478011036629</v>
      </c>
      <c r="AI116" s="11">
        <f>IFERROR(((AI115/AI$20)*(AI$5-AH$5))*-1,"")</f>
        <v>9.44826877428424</v>
      </c>
      <c r="AJ116" s="11">
        <f>Control!$B$26</f>
        <v>10.385225516907</v>
      </c>
      <c r="AK116" s="11">
        <f>Control!$B$26</f>
        <v>10.385225516907</v>
      </c>
      <c r="AL116" s="12" t="n"/>
      <c r="AM116" s="11">
        <f>Control!$C$26</f>
        <v>10.385225516907</v>
      </c>
      <c r="AN116" s="11">
        <f>Control!$C$26</f>
        <v>10.385225516907</v>
      </c>
      <c r="AO116" s="11">
        <f>Control!$C$26</f>
        <v>10.385225516907</v>
      </c>
      <c r="AP116" s="11">
        <f>Control!$C$26</f>
        <v>10.385225516907</v>
      </c>
      <c r="AQ116" s="12" t="n"/>
      <c r="AR116" s="11">
        <f>Control!$D$26</f>
        <v>10.385225516907</v>
      </c>
      <c r="AS116" s="11">
        <f>Control!$D$26</f>
        <v>10.385225516907</v>
      </c>
      <c r="AT116" s="11">
        <f>Control!$D$26</f>
        <v>10.385225516907</v>
      </c>
      <c r="AU116" s="11">
        <f>Control!$D$26</f>
        <v>10.385225516907</v>
      </c>
      <c r="AV116" s="12" t="n"/>
      <c r="AW116" s="11">
        <f>Control!$E$26</f>
        <v>10.385225516907</v>
      </c>
      <c r="AX116" s="11">
        <f>Control!$E$26</f>
        <v>10.385225516907</v>
      </c>
      <c r="AY116" s="11">
        <f>Control!$E$26</f>
        <v>10.385225516907</v>
      </c>
      <c r="AZ116" s="11">
        <f>Control!$E$26</f>
        <v>10.385225516907</v>
      </c>
      <c r="BA116" s="12" t="n"/>
      <c r="BB116" s="11">
        <f>Control!$F$26</f>
        <v>10.385225516907</v>
      </c>
      <c r="BC116" s="11">
        <f>Control!$F$26</f>
        <v>10.385225516907</v>
      </c>
      <c r="BD116" s="11">
        <f>Control!$F$26</f>
        <v>10.385225516907</v>
      </c>
      <c r="BE116" s="11">
        <f>Control!$F$26</f>
        <v>10.385225516907</v>
      </c>
      <c r="BF116" s="12" t="n"/>
      <c r="BG116" s="11" t="n"/>
      <c r="BH116" s="11" t="n"/>
      <c r="BI116" s="11" t="n"/>
      <c r="BJ116" s="11" t="n"/>
      <c r="BK116" s="12" t="n"/>
      <c r="BL116" s="11" t="n"/>
      <c r="BM116" s="11" t="n"/>
      <c r="BN116" s="11" t="n"/>
      <c r="BO116" s="11" t="n"/>
      <c r="BP116" s="12" t="n"/>
      <c r="BQ116" s="11" t="n"/>
      <c r="BR116" s="11" t="n"/>
      <c r="BS116" s="11" t="n"/>
      <c r="BT116" s="11" t="n"/>
      <c r="BU116" s="12" t="n"/>
      <c r="BV116" s="11" t="n"/>
      <c r="BW116" s="11" t="n"/>
      <c r="BX116" s="11" t="n"/>
      <c r="BY116" s="11" t="n"/>
      <c r="BZ116" s="12" t="n"/>
      <c r="CA116" s="11" t="n"/>
      <c r="CB116" s="11" t="n"/>
      <c r="CC116" s="11" t="n"/>
      <c r="CD116" s="11" t="n"/>
      <c r="CE116" s="12" t="n"/>
      <c r="CF116" s="11" t="n"/>
      <c r="CG116" s="11" t="n"/>
      <c r="CH116" s="11" t="n"/>
      <c r="CI116" s="11" t="n"/>
      <c r="CJ116" s="12" t="n"/>
      <c r="CK116" s="11" t="n"/>
      <c r="CL116" s="11" t="n"/>
      <c r="CM116" s="11" t="n"/>
      <c r="CN116" s="11" t="n"/>
      <c r="CO116" s="12" t="n"/>
      <c r="CP116" s="11" t="n"/>
      <c r="CQ116" s="11" t="n"/>
      <c r="CR116" s="11" t="n"/>
      <c r="CS116" s="11" t="n"/>
      <c r="CT116" s="12" t="n"/>
      <c r="CU116" s="11" t="n"/>
      <c r="CV116" s="11" t="n"/>
      <c r="CW116" s="11" t="n"/>
      <c r="CX116" s="11" t="n"/>
      <c r="CY116" s="12" t="n"/>
    </row>
    <row r="117" hidden="1" outlineLevel="1">
      <c r="C117" s="57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  <c r="AB117" s="12" t="n"/>
      <c r="AC117" s="12" t="n"/>
      <c r="AD117" s="12" t="n"/>
      <c r="AE117" s="12" t="n"/>
      <c r="AF117" s="12" t="n"/>
      <c r="AG117" s="12" t="n"/>
      <c r="AH117" s="12" t="n"/>
      <c r="AI117" s="12" t="n"/>
      <c r="AJ117" s="12" t="n"/>
      <c r="AK117" s="12" t="n"/>
      <c r="AL117" s="12" t="n"/>
      <c r="AM117" s="12" t="n"/>
      <c r="AN117" s="12" t="n"/>
      <c r="AO117" s="12" t="n"/>
      <c r="AP117" s="12" t="n"/>
      <c r="AQ117" s="12" t="n"/>
      <c r="AR117" s="12" t="n"/>
      <c r="AS117" s="12" t="n"/>
      <c r="AT117" s="12" t="n"/>
      <c r="AU117" s="12" t="n"/>
      <c r="AV117" s="12" t="n"/>
      <c r="AW117" s="12" t="n"/>
      <c r="AX117" s="12" t="n"/>
      <c r="AY117" s="12" t="n"/>
      <c r="AZ117" s="12" t="n"/>
      <c r="BA117" s="12" t="n"/>
      <c r="BB117" s="12" t="n"/>
      <c r="BC117" s="12" t="n"/>
      <c r="BD117" s="12" t="n"/>
      <c r="BE117" s="12" t="n"/>
      <c r="BF117" s="12" t="n"/>
      <c r="BG117" s="12" t="n"/>
      <c r="BH117" s="12" t="n"/>
      <c r="BI117" s="12" t="n"/>
      <c r="BJ117" s="12" t="n"/>
      <c r="BK117" s="12" t="n"/>
      <c r="BL117" s="12" t="n"/>
      <c r="BM117" s="12" t="n"/>
      <c r="BN117" s="12" t="n"/>
      <c r="BO117" s="12" t="n"/>
      <c r="BP117" s="12" t="n"/>
      <c r="BQ117" s="12" t="n"/>
      <c r="BR117" s="12" t="n"/>
      <c r="BS117" s="12" t="n"/>
      <c r="BT117" s="12" t="n"/>
      <c r="BU117" s="12" t="n"/>
      <c r="BV117" s="12" t="n"/>
      <c r="BW117" s="12" t="n"/>
      <c r="BX117" s="12" t="n"/>
      <c r="BY117" s="12" t="n"/>
      <c r="BZ117" s="12" t="n"/>
      <c r="CA117" s="12" t="n"/>
      <c r="CB117" s="12" t="n"/>
      <c r="CC117" s="12" t="n"/>
      <c r="CD117" s="12" t="n"/>
      <c r="CE117" s="12" t="n"/>
      <c r="CF117" s="12" t="n"/>
      <c r="CG117" s="12" t="n"/>
      <c r="CH117" s="12" t="n"/>
      <c r="CI117" s="12" t="n"/>
      <c r="CJ117" s="12" t="n"/>
      <c r="CK117" s="12" t="n"/>
      <c r="CL117" s="12" t="n"/>
      <c r="CM117" s="12" t="n"/>
      <c r="CN117" s="12" t="n"/>
      <c r="CO117" s="12" t="n"/>
      <c r="CP117" s="12" t="n"/>
      <c r="CQ117" s="12" t="n"/>
      <c r="CR117" s="12" t="n"/>
      <c r="CS117" s="12" t="n"/>
      <c r="CT117" s="12" t="n"/>
      <c r="CU117" s="12" t="n"/>
      <c r="CV117" s="12" t="n"/>
      <c r="CW117" s="12" t="n"/>
      <c r="CX117" s="12" t="n"/>
      <c r="CY117" s="12" t="n"/>
    </row>
    <row r="118" hidden="1" outlineLevel="1">
      <c r="C118" s="57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  <c r="AH118" s="12" t="n"/>
      <c r="AI118" s="12" t="n"/>
      <c r="AJ118" s="12" t="n"/>
      <c r="AK118" s="12" t="n"/>
      <c r="AL118" s="12" t="n"/>
      <c r="AM118" s="12" t="n"/>
      <c r="AN118" s="12" t="n"/>
      <c r="AO118" s="12" t="n"/>
      <c r="AP118" s="12" t="n"/>
      <c r="AQ118" s="12" t="n"/>
      <c r="AR118" s="12" t="n"/>
      <c r="AS118" s="12" t="n"/>
      <c r="AT118" s="12" t="n"/>
      <c r="AU118" s="12" t="n"/>
      <c r="AV118" s="12" t="n"/>
      <c r="AW118" s="12" t="n"/>
      <c r="AX118" s="12" t="n"/>
      <c r="AY118" s="12" t="n"/>
      <c r="AZ118" s="12" t="n"/>
      <c r="BA118" s="12" t="n"/>
      <c r="BB118" s="12" t="n"/>
      <c r="BC118" s="12" t="n"/>
      <c r="BD118" s="12" t="n"/>
      <c r="BE118" s="12" t="n"/>
      <c r="BF118" s="12" t="n"/>
      <c r="BG118" s="12" t="n"/>
      <c r="BH118" s="12" t="n"/>
      <c r="BI118" s="12" t="n"/>
      <c r="BJ118" s="12" t="n"/>
      <c r="BK118" s="12" t="n"/>
      <c r="BL118" s="12" t="n"/>
      <c r="BM118" s="12" t="n"/>
      <c r="BN118" s="12" t="n"/>
      <c r="BO118" s="12" t="n"/>
      <c r="BP118" s="12" t="n"/>
      <c r="BQ118" s="12" t="n"/>
      <c r="BR118" s="12" t="n"/>
      <c r="BS118" s="12" t="n"/>
      <c r="BT118" s="12" t="n"/>
      <c r="BU118" s="12" t="n"/>
      <c r="BV118" s="12" t="n"/>
      <c r="BW118" s="12" t="n"/>
      <c r="BX118" s="12" t="n"/>
      <c r="BY118" s="12" t="n"/>
      <c r="BZ118" s="12" t="n"/>
      <c r="CA118" s="12" t="n"/>
      <c r="CB118" s="12" t="n"/>
      <c r="CC118" s="12" t="n"/>
      <c r="CD118" s="12" t="n"/>
      <c r="CE118" s="12" t="n"/>
      <c r="CF118" s="12" t="n"/>
      <c r="CG118" s="12" t="n"/>
      <c r="CH118" s="12" t="n"/>
      <c r="CI118" s="12" t="n"/>
      <c r="CJ118" s="12" t="n"/>
      <c r="CK118" s="12" t="n"/>
      <c r="CL118" s="12" t="n"/>
      <c r="CM118" s="12" t="n"/>
      <c r="CN118" s="12" t="n"/>
      <c r="CO118" s="12" t="n"/>
      <c r="CP118" s="12" t="n"/>
      <c r="CQ118" s="12" t="n"/>
      <c r="CR118" s="12" t="n"/>
      <c r="CS118" s="12" t="n"/>
      <c r="CT118" s="12" t="n"/>
      <c r="CU118" s="12" t="n"/>
      <c r="CV118" s="12" t="n"/>
      <c r="CW118" s="12" t="n"/>
      <c r="CX118" s="12" t="n"/>
      <c r="CY118" s="12" t="n"/>
    </row>
    <row r="119" collapsed="1">
      <c r="C119" s="14" t="inlineStr">
        <is>
          <t>Deferred income taxes</t>
        </is>
      </c>
      <c r="D119" s="46" t="n"/>
      <c r="E119" s="46" t="n"/>
      <c r="F119" s="46" t="n"/>
      <c r="G119" s="46" t="n"/>
      <c r="H119" s="12" t="n"/>
      <c r="I119" s="46">
        <f>'Inputs (2)'!D18</f>
        <v>90.94827093</v>
      </c>
      <c r="J119" s="46">
        <f>'Inputs (2)'!E18</f>
        <v>107.55430088</v>
      </c>
      <c r="K119" s="46">
        <f>'Inputs (2)'!F18</f>
        <v>115.09237981</v>
      </c>
      <c r="L119" s="46">
        <f>'Inputs (2)'!G18</f>
        <v>25.195</v>
      </c>
      <c r="M119" s="12">
        <f>'Inputs (2)'!H18</f>
        <v>25.195</v>
      </c>
      <c r="N119" s="46">
        <f>'Inputs (2)'!I18</f>
        <v>37.19035428</v>
      </c>
      <c r="O119" s="46">
        <f>'Inputs (2)'!J18</f>
        <v>150.8146551</v>
      </c>
      <c r="P119" s="46">
        <f>'Inputs (2)'!K18</f>
        <v>177.40878868</v>
      </c>
      <c r="Q119" s="46">
        <f>'Inputs (2)'!L18</f>
        <v>48.62433562</v>
      </c>
      <c r="R119" s="12">
        <f>'Inputs (2)'!M18</f>
        <v>48.62433562</v>
      </c>
      <c r="S119" s="46">
        <f>'Inputs (2)'!N18</f>
        <v>53.22583053</v>
      </c>
      <c r="T119" s="46">
        <f>'Inputs (2)'!O18</f>
        <v>55.901</v>
      </c>
      <c r="U119" s="46">
        <f>'Inputs (2)'!P18</f>
        <v>29.695</v>
      </c>
      <c r="V119" s="46">
        <f>'Inputs (2)'!Q18</f>
        <v>34.356</v>
      </c>
      <c r="W119" s="12">
        <f>'Inputs (2)'!R18</f>
        <v>34.356</v>
      </c>
      <c r="X119" s="46">
        <f>'Inputs (2)'!S18</f>
        <v>34.109</v>
      </c>
      <c r="Y119" s="46">
        <f>'Inputs (2)'!T18</f>
        <v>37.285</v>
      </c>
      <c r="Z119" s="46">
        <f>'Inputs (2)'!U18</f>
        <v>37.378</v>
      </c>
      <c r="AA119" s="46">
        <f>'Inputs (2)'!V18</f>
        <v>20.478</v>
      </c>
      <c r="AB119" s="12">
        <f>'Inputs (2)'!W18</f>
        <v>20.478</v>
      </c>
      <c r="AC119" s="46">
        <f>'Inputs (2)'!X18</f>
        <v>21.879454</v>
      </c>
      <c r="AD119" s="46">
        <f>'Inputs (2)'!Y18</f>
        <v>11.582</v>
      </c>
      <c r="AE119" s="46">
        <f>'Inputs (2)'!Z18</f>
        <v>12.011</v>
      </c>
      <c r="AF119" s="46">
        <f>'Inputs (2)'!AA18</f>
        <v>11.058</v>
      </c>
      <c r="AG119" s="12">
        <f>'Inputs (2)'!AB18</f>
        <v>11.058</v>
      </c>
      <c r="AH119" s="12">
        <f>'Inputs (2)'!AC18</f>
        <v>8.43</v>
      </c>
      <c r="AI119" s="12">
        <f>'Inputs (2)'!AD18</f>
        <v>10.269</v>
      </c>
      <c r="AJ119" s="12">
        <f>AI119</f>
        <v>10.269</v>
      </c>
      <c r="AK119" s="12">
        <f>AJ119</f>
        <v>10.269</v>
      </c>
      <c r="AL119" s="12">
        <f>AK119</f>
        <v>10.269</v>
      </c>
      <c r="AM119" s="12">
        <f>AL119</f>
        <v>10.269</v>
      </c>
      <c r="AN119" s="12">
        <f>AM119</f>
        <v>10.269</v>
      </c>
      <c r="AO119" s="12">
        <f>AN119</f>
        <v>10.269</v>
      </c>
      <c r="AP119" s="12">
        <f>AO119</f>
        <v>10.269</v>
      </c>
      <c r="AQ119" s="12">
        <f>AP119</f>
        <v>10.269</v>
      </c>
      <c r="AR119" s="12">
        <f>AQ119</f>
        <v>10.269</v>
      </c>
      <c r="AS119" s="12">
        <f>AR119</f>
        <v>10.269</v>
      </c>
      <c r="AT119" s="12">
        <f>AS119</f>
        <v>10.269</v>
      </c>
      <c r="AU119" s="12">
        <f>AT119</f>
        <v>10.269</v>
      </c>
      <c r="AV119" s="12">
        <f>AU119</f>
        <v>10.269</v>
      </c>
      <c r="AW119" s="12">
        <f>AV119</f>
        <v>10.269</v>
      </c>
      <c r="AX119" s="12">
        <f>AW119</f>
        <v>10.269</v>
      </c>
      <c r="AY119" s="12">
        <f>AX119</f>
        <v>10.269</v>
      </c>
      <c r="AZ119" s="12">
        <f>AY119</f>
        <v>10.269</v>
      </c>
      <c r="BA119" s="12">
        <f>AZ119</f>
        <v>10.269</v>
      </c>
      <c r="BB119" s="12">
        <f>BA119</f>
        <v>10.269</v>
      </c>
      <c r="BC119" s="12">
        <f>BB119</f>
        <v>10.269</v>
      </c>
      <c r="BD119" s="12">
        <f>BC119</f>
        <v>10.269</v>
      </c>
      <c r="BE119" s="12">
        <f>BD119</f>
        <v>10.269</v>
      </c>
      <c r="BF119" s="12">
        <f>BE119</f>
        <v>10.269</v>
      </c>
      <c r="BG119" s="12" t="n"/>
      <c r="BH119" s="12" t="n"/>
      <c r="BI119" s="12" t="n"/>
      <c r="BJ119" s="12" t="n"/>
      <c r="BK119" s="12" t="n"/>
      <c r="BL119" s="12" t="n"/>
      <c r="BM119" s="12" t="n"/>
      <c r="BN119" s="12" t="n"/>
      <c r="BO119" s="12" t="n"/>
      <c r="BP119" s="12" t="n"/>
      <c r="BQ119" s="12" t="n"/>
      <c r="BR119" s="12" t="n"/>
      <c r="BS119" s="12" t="n"/>
      <c r="BT119" s="12" t="n"/>
      <c r="BU119" s="12" t="n"/>
      <c r="BV119" s="12" t="n"/>
      <c r="BW119" s="12" t="n"/>
      <c r="BX119" s="12" t="n"/>
      <c r="BY119" s="12" t="n"/>
      <c r="BZ119" s="12" t="n"/>
      <c r="CA119" s="12" t="n"/>
      <c r="CB119" s="12" t="n"/>
      <c r="CC119" s="12" t="n"/>
      <c r="CD119" s="12" t="n"/>
      <c r="CE119" s="12" t="n"/>
      <c r="CF119" s="12" t="n"/>
      <c r="CG119" s="12" t="n"/>
      <c r="CH119" s="12" t="n"/>
      <c r="CI119" s="12" t="n"/>
      <c r="CJ119" s="12" t="n"/>
      <c r="CK119" s="12" t="n"/>
      <c r="CL119" s="12" t="n"/>
      <c r="CM119" s="12" t="n"/>
      <c r="CN119" s="12" t="n"/>
      <c r="CO119" s="12" t="n"/>
      <c r="CP119" s="12" t="n"/>
      <c r="CQ119" s="12" t="n"/>
      <c r="CR119" s="12" t="n"/>
      <c r="CS119" s="12" t="n"/>
      <c r="CT119" s="12" t="n"/>
      <c r="CU119" s="12" t="n"/>
      <c r="CV119" s="12" t="n"/>
      <c r="CW119" s="12" t="n"/>
      <c r="CX119" s="12" t="n"/>
      <c r="CY119" s="12" t="n"/>
    </row>
    <row r="120">
      <c r="C120" s="14" t="inlineStr">
        <is>
          <t>Prepaid expenses</t>
        </is>
      </c>
      <c r="D120" s="46" t="n"/>
      <c r="E120" s="46" t="n"/>
      <c r="F120" s="46" t="n"/>
      <c r="G120" s="46" t="n"/>
      <c r="H120" s="12" t="n"/>
      <c r="I120" s="46">
        <f>'Inputs (2)'!D19</f>
        <v>21.44050233</v>
      </c>
      <c r="J120" s="46">
        <f>'Inputs (2)'!E19</f>
        <v>19.74941461</v>
      </c>
      <c r="K120" s="46">
        <f>'Inputs (2)'!F19</f>
        <v>12.87100357</v>
      </c>
      <c r="L120" s="46">
        <f>'Inputs (2)'!G19</f>
        <v>6.91804293</v>
      </c>
      <c r="M120" s="12">
        <f>'Inputs (2)'!H19</f>
        <v>6.91804293</v>
      </c>
      <c r="N120" s="46">
        <f>'Inputs (2)'!I19</f>
        <v>28.66972893</v>
      </c>
      <c r="O120" s="46">
        <f>'Inputs (2)'!J19</f>
        <v>27.25646226</v>
      </c>
      <c r="P120" s="46">
        <f>'Inputs (2)'!K19</f>
        <v>22.41682529</v>
      </c>
      <c r="Q120" s="46">
        <f>'Inputs (2)'!L19</f>
        <v>0</v>
      </c>
      <c r="R120" s="12">
        <f>'Inputs (2)'!M19</f>
        <v>0</v>
      </c>
      <c r="S120" s="46">
        <f>'Inputs (2)'!N19</f>
        <v>0</v>
      </c>
      <c r="T120" s="46">
        <f>'Inputs (2)'!O19</f>
        <v>0</v>
      </c>
      <c r="U120" s="46">
        <f>'Inputs (2)'!P19</f>
        <v>0</v>
      </c>
      <c r="V120" s="46">
        <f>'Inputs (2)'!Q19</f>
        <v>0</v>
      </c>
      <c r="W120" s="12">
        <f>'Inputs (2)'!R19</f>
        <v>0</v>
      </c>
      <c r="X120" s="46">
        <f>'Inputs (2)'!S19</f>
        <v>0</v>
      </c>
      <c r="Y120" s="46">
        <f>'Inputs (2)'!T19</f>
        <v>0</v>
      </c>
      <c r="Z120" s="46">
        <f>'Inputs (2)'!U19</f>
        <v>0</v>
      </c>
      <c r="AA120" s="46">
        <f>'Inputs (2)'!V19</f>
        <v>0</v>
      </c>
      <c r="AB120" s="12">
        <f>'Inputs (2)'!W19</f>
        <v>0</v>
      </c>
      <c r="AC120" s="46">
        <f>'Inputs (2)'!X19</f>
        <v>0</v>
      </c>
      <c r="AD120" s="46">
        <f>'Inputs (2)'!Y19</f>
        <v>0</v>
      </c>
      <c r="AE120" s="46">
        <f>'Inputs (2)'!Z19</f>
        <v>0</v>
      </c>
      <c r="AF120" s="46">
        <f>'Inputs (2)'!AA19</f>
        <v>0</v>
      </c>
      <c r="AG120" s="12">
        <f>'Inputs (2)'!AB19</f>
        <v>0</v>
      </c>
      <c r="AH120" s="12">
        <f>'Inputs (2)'!AC19</f>
        <v>0</v>
      </c>
      <c r="AI120" s="12">
        <f>'Inputs (2)'!AD19</f>
        <v>0</v>
      </c>
      <c r="AJ120" s="12">
        <f>AI120</f>
        <v>0</v>
      </c>
      <c r="AK120" s="12">
        <f>AJ120</f>
        <v>0</v>
      </c>
      <c r="AL120" s="12">
        <f>AK120</f>
        <v>0</v>
      </c>
      <c r="AM120" s="12">
        <f>AL120</f>
        <v>0</v>
      </c>
      <c r="AN120" s="12">
        <f>AM120</f>
        <v>0</v>
      </c>
      <c r="AO120" s="12">
        <f>AN120</f>
        <v>0</v>
      </c>
      <c r="AP120" s="12">
        <f>AO120</f>
        <v>0</v>
      </c>
      <c r="AQ120" s="12">
        <f>AP120</f>
        <v>0</v>
      </c>
      <c r="AR120" s="12">
        <f>AQ120</f>
        <v>0</v>
      </c>
      <c r="AS120" s="12">
        <f>AR120</f>
        <v>0</v>
      </c>
      <c r="AT120" s="12">
        <f>AS120</f>
        <v>0</v>
      </c>
      <c r="AU120" s="12">
        <f>AT120</f>
        <v>0</v>
      </c>
      <c r="AV120" s="12">
        <f>AU120</f>
        <v>0</v>
      </c>
      <c r="AW120" s="12">
        <f>AV120</f>
        <v>0</v>
      </c>
      <c r="AX120" s="12">
        <f>AW120</f>
        <v>0</v>
      </c>
      <c r="AY120" s="12">
        <f>AX120</f>
        <v>0</v>
      </c>
      <c r="AZ120" s="12">
        <f>AY120</f>
        <v>0</v>
      </c>
      <c r="BA120" s="12">
        <f>AZ120</f>
        <v>0</v>
      </c>
      <c r="BB120" s="12">
        <f>BA120</f>
        <v>0</v>
      </c>
      <c r="BC120" s="12">
        <f>BB120</f>
        <v>0</v>
      </c>
      <c r="BD120" s="12">
        <f>BC120</f>
        <v>0</v>
      </c>
      <c r="BE120" s="12">
        <f>BD120</f>
        <v>0</v>
      </c>
      <c r="BF120" s="12">
        <f>BE120</f>
        <v>0</v>
      </c>
      <c r="BG120" s="12" t="n"/>
      <c r="BH120" s="12" t="n"/>
      <c r="BI120" s="12" t="n"/>
      <c r="BJ120" s="12" t="n"/>
      <c r="BK120" s="12" t="n"/>
      <c r="BL120" s="12" t="n"/>
      <c r="BM120" s="12" t="n"/>
      <c r="BN120" s="12" t="n"/>
      <c r="BO120" s="12" t="n"/>
      <c r="BP120" s="12" t="n"/>
      <c r="BQ120" s="12" t="n"/>
      <c r="BR120" s="12" t="n"/>
      <c r="BS120" s="12" t="n"/>
      <c r="BT120" s="12" t="n"/>
      <c r="BU120" s="12" t="n"/>
      <c r="BV120" s="12" t="n"/>
      <c r="BW120" s="12" t="n"/>
      <c r="BX120" s="12" t="n"/>
      <c r="BY120" s="12" t="n"/>
      <c r="BZ120" s="12" t="n"/>
      <c r="CA120" s="12" t="n"/>
      <c r="CB120" s="12" t="n"/>
      <c r="CC120" s="12" t="n"/>
      <c r="CD120" s="12" t="n"/>
      <c r="CE120" s="12" t="n"/>
      <c r="CF120" s="12" t="n"/>
      <c r="CG120" s="12" t="n"/>
      <c r="CH120" s="12" t="n"/>
      <c r="CI120" s="12" t="n"/>
      <c r="CJ120" s="12" t="n"/>
      <c r="CK120" s="12" t="n"/>
      <c r="CL120" s="12" t="n"/>
      <c r="CM120" s="12" t="n"/>
      <c r="CN120" s="12" t="n"/>
      <c r="CO120" s="12" t="n"/>
      <c r="CP120" s="12" t="n"/>
      <c r="CQ120" s="12" t="n"/>
      <c r="CR120" s="12" t="n"/>
      <c r="CS120" s="12" t="n"/>
      <c r="CT120" s="12" t="n"/>
      <c r="CU120" s="12" t="n"/>
      <c r="CV120" s="12" t="n"/>
      <c r="CW120" s="12" t="n"/>
      <c r="CX120" s="12" t="n"/>
      <c r="CY120" s="12" t="n"/>
    </row>
    <row r="121">
      <c r="C121" s="14" t="inlineStr">
        <is>
          <t>Other current assets</t>
        </is>
      </c>
      <c r="D121" s="46" t="n"/>
      <c r="E121" s="46" t="n"/>
      <c r="F121" s="46" t="n"/>
      <c r="G121" s="46" t="n"/>
      <c r="H121" s="12" t="n"/>
      <c r="I121" s="46">
        <f>'Inputs (2)'!D20</f>
        <v>63.62988346</v>
      </c>
      <c r="J121" s="46">
        <f>'Inputs (2)'!E20</f>
        <v>61.85708362</v>
      </c>
      <c r="K121" s="46">
        <f>'Inputs (2)'!F20</f>
        <v>151.69322796</v>
      </c>
      <c r="L121" s="46">
        <f>'Inputs (2)'!G20</f>
        <v>71.99774145</v>
      </c>
      <c r="M121" s="12">
        <f>'Inputs (2)'!H20</f>
        <v>71.99774145</v>
      </c>
      <c r="N121" s="46">
        <f>'Inputs (2)'!I20</f>
        <v>104.14867507</v>
      </c>
      <c r="O121" s="46">
        <f>'Inputs (2)'!J20</f>
        <v>147.91897069</v>
      </c>
      <c r="P121" s="46">
        <f>'Inputs (2)'!K20</f>
        <v>180.4205824</v>
      </c>
      <c r="Q121" s="46">
        <f>'Inputs (2)'!L20</f>
        <v>128.48923243</v>
      </c>
      <c r="R121" s="12">
        <f>'Inputs (2)'!M20</f>
        <v>128.48923243</v>
      </c>
      <c r="S121" s="46">
        <f>'Inputs (2)'!N20</f>
        <v>121.272759</v>
      </c>
      <c r="T121" s="46">
        <f>'Inputs (2)'!O20</f>
        <v>208.445</v>
      </c>
      <c r="U121" s="46">
        <f>'Inputs (2)'!P20</f>
        <v>168.103</v>
      </c>
      <c r="V121" s="46">
        <f>'Inputs (2)'!Q20</f>
        <v>239.301</v>
      </c>
      <c r="W121" s="12">
        <f>'Inputs (2)'!R20</f>
        <v>239.301</v>
      </c>
      <c r="X121" s="46">
        <f>'Inputs (2)'!S20</f>
        <v>254.996</v>
      </c>
      <c r="Y121" s="46">
        <f>'Inputs (2)'!T20</f>
        <v>265.067</v>
      </c>
      <c r="Z121" s="46">
        <f>'Inputs (2)'!U20</f>
        <v>253.653</v>
      </c>
      <c r="AA121" s="46">
        <f>'Inputs (2)'!V20</f>
        <v>244.111</v>
      </c>
      <c r="AB121" s="12">
        <f>'Inputs (2)'!W20</f>
        <v>244.111</v>
      </c>
      <c r="AC121" s="46">
        <f>'Inputs (2)'!X20</f>
        <v>258.051</v>
      </c>
      <c r="AD121" s="46">
        <f>'Inputs (2)'!Y20</f>
        <v>274.276</v>
      </c>
      <c r="AE121" s="46">
        <f>'Inputs (2)'!Z20</f>
        <v>285.309</v>
      </c>
      <c r="AF121" s="46">
        <f>'Inputs (2)'!AA20</f>
        <v>331.206</v>
      </c>
      <c r="AG121" s="12">
        <f>'Inputs (2)'!AB20</f>
        <v>331.206</v>
      </c>
      <c r="AH121" s="12">
        <f>'Inputs (2)'!AC20</f>
        <v>343.446</v>
      </c>
      <c r="AI121" s="12">
        <f>'Inputs (2)'!AD20</f>
        <v>388.476</v>
      </c>
      <c r="AJ121" s="12">
        <f>AI121</f>
        <v>388.476</v>
      </c>
      <c r="AK121" s="12">
        <f>AJ121</f>
        <v>388.476</v>
      </c>
      <c r="AL121" s="12">
        <f>AK121</f>
        <v>388.476</v>
      </c>
      <c r="AM121" s="12">
        <f>AL121</f>
        <v>388.476</v>
      </c>
      <c r="AN121" s="12">
        <f>AM121</f>
        <v>388.476</v>
      </c>
      <c r="AO121" s="12">
        <f>AN121</f>
        <v>388.476</v>
      </c>
      <c r="AP121" s="12">
        <f>AO121</f>
        <v>388.476</v>
      </c>
      <c r="AQ121" s="12">
        <f>AP121</f>
        <v>388.476</v>
      </c>
      <c r="AR121" s="12">
        <f>AQ121</f>
        <v>388.476</v>
      </c>
      <c r="AS121" s="12">
        <f>AR121</f>
        <v>388.476</v>
      </c>
      <c r="AT121" s="12">
        <f>AS121</f>
        <v>388.476</v>
      </c>
      <c r="AU121" s="12">
        <f>AT121</f>
        <v>388.476</v>
      </c>
      <c r="AV121" s="12">
        <f>AU121</f>
        <v>388.476</v>
      </c>
      <c r="AW121" s="12">
        <f>AV121</f>
        <v>388.476</v>
      </c>
      <c r="AX121" s="12">
        <f>AW121</f>
        <v>388.476</v>
      </c>
      <c r="AY121" s="12">
        <f>AX121</f>
        <v>388.476</v>
      </c>
      <c r="AZ121" s="12">
        <f>AY121</f>
        <v>388.476</v>
      </c>
      <c r="BA121" s="12">
        <f>AZ121</f>
        <v>388.476</v>
      </c>
      <c r="BB121" s="12">
        <f>BA121</f>
        <v>388.476</v>
      </c>
      <c r="BC121" s="12">
        <f>BB121</f>
        <v>388.476</v>
      </c>
      <c r="BD121" s="12">
        <f>BC121</f>
        <v>388.476</v>
      </c>
      <c r="BE121" s="12">
        <f>BD121</f>
        <v>388.476</v>
      </c>
      <c r="BF121" s="12">
        <f>BE121</f>
        <v>388.476</v>
      </c>
      <c r="BG121" s="12" t="n"/>
      <c r="BH121" s="12" t="n"/>
      <c r="BI121" s="12" t="n"/>
      <c r="BJ121" s="12" t="n"/>
      <c r="BK121" s="12" t="n"/>
      <c r="BL121" s="12" t="n"/>
      <c r="BM121" s="12" t="n"/>
      <c r="BN121" s="12" t="n"/>
      <c r="BO121" s="12" t="n"/>
      <c r="BP121" s="12" t="n"/>
      <c r="BQ121" s="12" t="n"/>
      <c r="BR121" s="12" t="n"/>
      <c r="BS121" s="12" t="n"/>
      <c r="BT121" s="12" t="n"/>
      <c r="BU121" s="12" t="n"/>
      <c r="BV121" s="12" t="n"/>
      <c r="BW121" s="12" t="n"/>
      <c r="BX121" s="12" t="n"/>
      <c r="BY121" s="12" t="n"/>
      <c r="BZ121" s="12" t="n"/>
      <c r="CA121" s="12" t="n"/>
      <c r="CB121" s="12" t="n"/>
      <c r="CC121" s="12" t="n"/>
      <c r="CD121" s="12" t="n"/>
      <c r="CE121" s="12" t="n"/>
      <c r="CF121" s="12" t="n"/>
      <c r="CG121" s="12" t="n"/>
      <c r="CH121" s="12" t="n"/>
      <c r="CI121" s="12" t="n"/>
      <c r="CJ121" s="12" t="n"/>
      <c r="CK121" s="12" t="n"/>
      <c r="CL121" s="12" t="n"/>
      <c r="CM121" s="12" t="n"/>
      <c r="CN121" s="12" t="n"/>
      <c r="CO121" s="12" t="n"/>
      <c r="CP121" s="12" t="n"/>
      <c r="CQ121" s="12" t="n"/>
      <c r="CR121" s="12" t="n"/>
      <c r="CS121" s="12" t="n"/>
      <c r="CT121" s="12" t="n"/>
      <c r="CU121" s="12" t="n"/>
      <c r="CV121" s="12" t="n"/>
      <c r="CW121" s="12" t="n"/>
      <c r="CX121" s="12" t="n"/>
      <c r="CY121" s="12" t="n"/>
    </row>
    <row r="122" hidden="1" outlineLevel="1">
      <c r="C122" s="59" t="inlineStr">
        <is>
          <t>%(Var.)</t>
        </is>
      </c>
      <c r="D122" s="12" t="n"/>
      <c r="E122" s="40" t="n"/>
      <c r="F122" s="40" t="n"/>
      <c r="G122" s="40" t="n"/>
      <c r="H122" s="12" t="n"/>
      <c r="I122" s="40" t="str">
        <f>""</f>
        <v/>
      </c>
      <c r="J122" s="40">
        <f>IFERROR(IF(I121=0,"",J121/I121-1),"")</f>
        <v>-0.0278611203352972</v>
      </c>
      <c r="K122" s="40">
        <f>IFERROR(IF(J121=0,"",K121/J121-1),"")</f>
        <v>1.45231781200486</v>
      </c>
      <c r="L122" s="40">
        <f>IFERROR(IF(K121=0,"",L121/K121-1),"")</f>
        <v>-0.525372738003933</v>
      </c>
      <c r="M122" s="12">
        <f>IFERROR(IF(L121=0,"",M121/L121-1),"")</f>
        <v>0</v>
      </c>
      <c r="N122" s="40">
        <f>IFERROR(IF(M121=0,"",N121/M121-1),"")</f>
        <v>0.446554752586617</v>
      </c>
      <c r="O122" s="40">
        <f>IFERROR(IF(N121=0,"",O121/N121-1),"")</f>
        <v>0.420267426259444</v>
      </c>
      <c r="P122" s="40">
        <f>IFERROR(IF(O121=0,"",P121/O121-1),"")</f>
        <v>0.219725783369024</v>
      </c>
      <c r="Q122" s="40">
        <f>IFERROR(IF(P121=0,"",Q121/P121-1),"")</f>
        <v>-0.287834953635534</v>
      </c>
      <c r="R122" s="12">
        <f>IFERROR(IF(Q121=0,"",R121/Q121-1),"")</f>
        <v>0</v>
      </c>
      <c r="S122" s="40">
        <f>IFERROR(IF(R121=0,"",S121/R121-1),"")</f>
        <v>-0.0561640325303638</v>
      </c>
      <c r="T122" s="40">
        <f>IFERROR(IF(S121=0,"",T121/S121-1),"")</f>
        <v>0.718811394403915</v>
      </c>
      <c r="U122" s="40">
        <f>IFERROR(IF(T121=0,"",U121/T121-1),"")</f>
        <v>-0.193537863705054</v>
      </c>
      <c r="V122" s="40">
        <f>IFERROR(IF(U121=0,"",V121/U121-1),"")</f>
        <v>0.423537949947354</v>
      </c>
      <c r="W122" s="12">
        <f>IFERROR(IF(V121=0,"",W121/V121-1),"")</f>
        <v>0</v>
      </c>
      <c r="X122" s="40">
        <f>IFERROR(IF(W121=0,"",X121/W121-1),"")</f>
        <v>0.0655868550486627</v>
      </c>
      <c r="Y122" s="40">
        <f>IFERROR(IF(X121=0,"",Y121/X121-1),"")</f>
        <v>0.0394947371723478</v>
      </c>
      <c r="Z122" s="40">
        <f>IFERROR(IF(Y121=0,"",Z121/Y121-1),"")</f>
        <v>-0.0430608110402276</v>
      </c>
      <c r="AA122" s="40">
        <f>IFERROR(IF(Z121=0,"",AA121/Z121-1),"")</f>
        <v>-0.0376183210922008</v>
      </c>
      <c r="AB122" s="12">
        <f>IFERROR(IF(AA121=0,"",AB121/AA121-1),"")</f>
        <v>0</v>
      </c>
      <c r="AC122" s="40">
        <f>IFERROR(IF(AB121=0,"",AC121/AB121-1),"")</f>
        <v>0.057105169369672</v>
      </c>
      <c r="AD122" s="40">
        <f>IFERROR(IF(AC121=0,"",AD121/AC121-1),"")</f>
        <v>0.0628751680869286</v>
      </c>
      <c r="AE122" s="40">
        <f>IFERROR(IF(AD121=0,"",AE121/AD121-1),"")</f>
        <v>0.0402259038340942</v>
      </c>
      <c r="AF122" s="55">
        <f>IFERROR(IF(AE121=0,"",AF121/AE121-1),"")</f>
        <v>0.160867690819427</v>
      </c>
      <c r="AG122" s="12">
        <f>IFERROR(IF(AF121=0,"",AG121/AF121-1),"")</f>
        <v>0</v>
      </c>
      <c r="AH122" s="12">
        <f>IFERROR(IF(AG121=0,"",AH121/AG121-1),"")</f>
        <v>0.0369558522490534</v>
      </c>
      <c r="AI122" s="12">
        <f>IFERROR(IF(AH121=0,"",AI121/AH121-1),"")</f>
        <v>0.131112314599675</v>
      </c>
      <c r="AJ122" s="12">
        <f>IFERROR(IF(AI121=0,"",AJ121/AI121-1),"")</f>
        <v>0</v>
      </c>
      <c r="AK122" s="12">
        <f>IFERROR(IF(AJ121=0,"",AK121/AJ121-1),"")</f>
        <v>0</v>
      </c>
      <c r="AL122" s="12">
        <f>IFERROR(IF(AK121=0,"",AL121/AK121-1),"")</f>
        <v>0</v>
      </c>
      <c r="AM122" s="12">
        <f>IFERROR(IF(AL121=0,"",AM121/AL121-1),"")</f>
        <v>0</v>
      </c>
      <c r="AN122" s="12">
        <f>IFERROR(IF(AM121=0,"",AN121/AM121-1),"")</f>
        <v>0</v>
      </c>
      <c r="AO122" s="12">
        <f>IFERROR(IF(AN121=0,"",AO121/AN121-1),"")</f>
        <v>0</v>
      </c>
      <c r="AP122" s="12">
        <f>IFERROR(IF(AO121=0,"",AP121/AO121-1),"")</f>
        <v>0</v>
      </c>
      <c r="AQ122" s="12">
        <f>IFERROR(IF(AP121=0,"",AQ121/AP121-1),"")</f>
        <v>0</v>
      </c>
      <c r="AR122" s="12">
        <f>IFERROR(IF(AQ121=0,"",AR121/AQ121-1),"")</f>
        <v>0</v>
      </c>
      <c r="AS122" s="12">
        <f>IFERROR(IF(AR121=0,"",AS121/AR121-1),"")</f>
        <v>0</v>
      </c>
      <c r="AT122" s="12">
        <f>IFERROR(IF(AS121=0,"",AT121/AS121-1),"")</f>
        <v>0</v>
      </c>
      <c r="AU122" s="12">
        <f>IFERROR(IF(AT121=0,"",AU121/AT121-1),"")</f>
        <v>0</v>
      </c>
      <c r="AV122" s="12">
        <f>IFERROR(IF(AU121=0,"",AV121/AU121-1),"")</f>
        <v>0</v>
      </c>
      <c r="AW122" s="12">
        <f>IFERROR(IF(AV121=0,"",AW121/AV121-1),"")</f>
        <v>0</v>
      </c>
      <c r="AX122" s="12">
        <f>IFERROR(IF(AW121=0,"",AX121/AW121-1),"")</f>
        <v>0</v>
      </c>
      <c r="AY122" s="12">
        <f>IFERROR(IF(AX121=0,"",AY121/AX121-1),"")</f>
        <v>0</v>
      </c>
      <c r="AZ122" s="12">
        <f>IFERROR(IF(AY121=0,"",AZ121/AY121-1),"")</f>
        <v>0</v>
      </c>
      <c r="BA122" s="12">
        <f>IFERROR(IF(AZ121=0,"",BA121/AZ121-1),"")</f>
        <v>0</v>
      </c>
      <c r="BB122" s="12">
        <f>IFERROR(IF(BA121=0,"",BB121/BA121-1),"")</f>
        <v>0</v>
      </c>
      <c r="BC122" s="12">
        <f>IFERROR(IF(BB121=0,"",BC121/BB121-1),"")</f>
        <v>0</v>
      </c>
      <c r="BD122" s="12">
        <f>IFERROR(IF(BC121=0,"",BD121/BC121-1),"")</f>
        <v>0</v>
      </c>
      <c r="BE122" s="12">
        <f>IFERROR(IF(BD121=0,"",BE121/BD121-1),"")</f>
        <v>0</v>
      </c>
      <c r="BF122" s="12">
        <f>IFERROR(IF(BE121=0,"",BF121/BE121-1),"")</f>
        <v>0</v>
      </c>
      <c r="BG122" s="12" t="n"/>
      <c r="BH122" s="12" t="n"/>
      <c r="BI122" s="12" t="n"/>
      <c r="BJ122" s="12" t="n"/>
      <c r="BK122" s="12" t="n"/>
      <c r="BL122" s="12" t="n"/>
      <c r="BM122" s="12" t="n"/>
      <c r="BN122" s="12" t="n"/>
      <c r="BO122" s="12" t="n"/>
      <c r="BP122" s="12" t="n"/>
      <c r="BQ122" s="12" t="n"/>
      <c r="BR122" s="12" t="n"/>
      <c r="BS122" s="12" t="n"/>
      <c r="BT122" s="12" t="n"/>
      <c r="BU122" s="12" t="n"/>
      <c r="BV122" s="12" t="n"/>
      <c r="BW122" s="12" t="n"/>
      <c r="BX122" s="12" t="n"/>
      <c r="BY122" s="12" t="n"/>
      <c r="BZ122" s="12" t="n"/>
      <c r="CA122" s="12" t="n"/>
      <c r="CB122" s="12" t="n"/>
      <c r="CC122" s="12" t="n"/>
      <c r="CD122" s="12" t="n"/>
      <c r="CE122" s="12" t="n"/>
      <c r="CF122" s="12" t="n"/>
      <c r="CG122" s="12" t="n"/>
      <c r="CH122" s="12" t="n"/>
      <c r="CI122" s="12" t="n"/>
      <c r="CJ122" s="12" t="n"/>
      <c r="CK122" s="12" t="n"/>
      <c r="CL122" s="12" t="n"/>
      <c r="CM122" s="12" t="n"/>
      <c r="CN122" s="12" t="n"/>
      <c r="CO122" s="12" t="n"/>
      <c r="CP122" s="12" t="n"/>
      <c r="CQ122" s="12" t="n"/>
      <c r="CR122" s="12" t="n"/>
      <c r="CS122" s="12" t="n"/>
      <c r="CT122" s="12" t="n"/>
      <c r="CU122" s="12" t="n"/>
      <c r="CV122" s="12" t="n"/>
      <c r="CW122" s="12" t="n"/>
      <c r="CX122" s="12" t="n"/>
      <c r="CY122" s="12" t="n"/>
    </row>
    <row r="123" hidden="1" outlineLevel="1">
      <c r="C123" s="57" t="n"/>
      <c r="D123" s="12" t="n"/>
      <c r="E123" s="40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  <c r="AA123" s="12" t="n"/>
      <c r="AB123" s="12" t="n"/>
      <c r="AC123" s="12" t="n"/>
      <c r="AD123" s="12" t="n"/>
      <c r="AE123" s="12" t="n"/>
      <c r="AF123" s="12" t="n"/>
      <c r="AG123" s="12" t="n"/>
      <c r="AH123" s="12" t="n"/>
      <c r="AI123" s="12" t="n"/>
      <c r="AJ123" s="12" t="n"/>
      <c r="AK123" s="12" t="n"/>
      <c r="AL123" s="12" t="n"/>
      <c r="AM123" s="12" t="n"/>
      <c r="AN123" s="12" t="n"/>
      <c r="AO123" s="12" t="n"/>
      <c r="AP123" s="12" t="n"/>
      <c r="AQ123" s="12" t="n"/>
      <c r="AR123" s="12" t="n"/>
      <c r="AS123" s="12" t="n"/>
      <c r="AT123" s="12" t="n"/>
      <c r="AU123" s="12" t="n"/>
      <c r="AV123" s="12" t="n"/>
      <c r="AW123" s="12" t="n"/>
      <c r="AX123" s="12" t="n"/>
      <c r="AY123" s="12" t="n"/>
      <c r="AZ123" s="12" t="n"/>
      <c r="BA123" s="12" t="n"/>
      <c r="BB123" s="12" t="n"/>
      <c r="BC123" s="12" t="n"/>
      <c r="BD123" s="12" t="n"/>
      <c r="BE123" s="12" t="n"/>
      <c r="BF123" s="12" t="n"/>
      <c r="BG123" s="12" t="n"/>
      <c r="BH123" s="12" t="n"/>
      <c r="BI123" s="12" t="n"/>
      <c r="BJ123" s="12" t="n"/>
      <c r="BK123" s="12" t="n"/>
      <c r="BL123" s="12" t="n"/>
      <c r="BM123" s="12" t="n"/>
      <c r="BN123" s="12" t="n"/>
      <c r="BO123" s="12" t="n"/>
      <c r="BP123" s="12" t="n"/>
      <c r="BQ123" s="12" t="n"/>
      <c r="BR123" s="12" t="n"/>
      <c r="BS123" s="12" t="n"/>
      <c r="BT123" s="12" t="n"/>
      <c r="BU123" s="12" t="n"/>
      <c r="BV123" s="12" t="n"/>
      <c r="BW123" s="12" t="n"/>
      <c r="BX123" s="12" t="n"/>
      <c r="BY123" s="12" t="n"/>
      <c r="BZ123" s="12" t="n"/>
      <c r="CA123" s="12" t="n"/>
      <c r="CB123" s="12" t="n"/>
      <c r="CC123" s="12" t="n"/>
      <c r="CD123" s="12" t="n"/>
      <c r="CE123" s="12" t="n"/>
      <c r="CF123" s="12" t="n"/>
      <c r="CG123" s="12" t="n"/>
      <c r="CH123" s="12" t="n"/>
      <c r="CI123" s="12" t="n"/>
      <c r="CJ123" s="12" t="n"/>
      <c r="CK123" s="12" t="n"/>
      <c r="CL123" s="12" t="n"/>
      <c r="CM123" s="12" t="n"/>
      <c r="CN123" s="12" t="n"/>
      <c r="CO123" s="12" t="n"/>
      <c r="CP123" s="12" t="n"/>
      <c r="CQ123" s="12" t="n"/>
      <c r="CR123" s="12" t="n"/>
      <c r="CS123" s="12" t="n"/>
      <c r="CT123" s="12" t="n"/>
      <c r="CU123" s="12" t="n"/>
      <c r="CV123" s="12" t="n"/>
      <c r="CW123" s="12" t="n"/>
      <c r="CX123" s="12" t="n"/>
      <c r="CY123" s="12" t="n"/>
    </row>
    <row r="124" hidden="1" outlineLevel="1">
      <c r="C124" s="60" t="inlineStr">
        <is>
          <t xml:space="preserve">Impostos e Contribuições a Recuperar </t>
        </is>
      </c>
      <c r="D124" s="11" t="n"/>
      <c r="E124" s="11" t="n"/>
      <c r="F124" s="11" t="n"/>
      <c r="G124" s="11" t="n"/>
      <c r="H124" s="12" t="n"/>
      <c r="I124" s="11" t="n"/>
      <c r="J124" s="11" t="n"/>
      <c r="K124" s="11" t="n"/>
      <c r="L124" s="11" t="n"/>
      <c r="M124" s="12" t="n"/>
      <c r="N124" s="11" t="n"/>
      <c r="O124" s="11" t="n"/>
      <c r="P124" s="11" t="n"/>
      <c r="Q124" s="11" t="n"/>
      <c r="R124" s="12" t="n"/>
      <c r="S124" s="11" t="n"/>
      <c r="T124" s="11" t="n"/>
      <c r="U124" s="11" t="n"/>
      <c r="V124" s="11" t="n"/>
      <c r="W124" s="12" t="n"/>
      <c r="X124" s="11" t="n"/>
      <c r="Y124" s="11" t="n"/>
      <c r="Z124" s="11" t="n"/>
      <c r="AA124" s="11" t="n"/>
      <c r="AB124" s="12" t="n"/>
      <c r="AC124" s="11" t="n"/>
      <c r="AD124" s="11" t="n"/>
      <c r="AE124" s="11" t="n"/>
      <c r="AF124" s="11" t="n"/>
      <c r="AG124" s="12">
        <f>AF124</f>
        <v>0</v>
      </c>
      <c r="AH124" s="61">
        <f>IFERROR(AG124*AH15/AG15,"")</f>
        <v>0</v>
      </c>
      <c r="AI124" s="61">
        <f>IFERROR(AH124*AI15/AH15,"")</f>
        <v>0</v>
      </c>
      <c r="AJ124" s="61">
        <f>IFERROR(AI124*AJ15/AI15,"")</f>
        <v>0</v>
      </c>
      <c r="AK124" s="61">
        <f>IFERROR(AJ124*AK15/AJ15,"")</f>
        <v>0</v>
      </c>
      <c r="AL124" s="12">
        <f>IFERROR(AK124,"")</f>
        <v>0</v>
      </c>
      <c r="AM124" s="12" t="n"/>
      <c r="AN124" s="12" t="n"/>
      <c r="AO124" s="12" t="n"/>
      <c r="AP124" s="12" t="n"/>
      <c r="AQ124" s="12" t="n"/>
      <c r="AR124" s="12" t="n"/>
      <c r="AS124" s="12" t="n"/>
      <c r="AT124" s="12" t="n"/>
      <c r="AU124" s="12" t="n"/>
      <c r="AV124" s="12" t="n"/>
      <c r="AW124" s="12" t="n"/>
      <c r="AX124" s="12" t="n"/>
      <c r="AY124" s="12" t="n"/>
      <c r="AZ124" s="12" t="n"/>
      <c r="BA124" s="12" t="n"/>
      <c r="BB124" s="12" t="n"/>
      <c r="BC124" s="12" t="n"/>
      <c r="BD124" s="12" t="n"/>
      <c r="BE124" s="12" t="n"/>
      <c r="BF124" s="12" t="n"/>
      <c r="BG124" s="12" t="n"/>
      <c r="BH124" s="12" t="n"/>
      <c r="BI124" s="12" t="n"/>
      <c r="BJ124" s="12" t="n"/>
      <c r="BK124" s="12" t="n"/>
      <c r="BL124" s="12" t="n"/>
      <c r="BM124" s="12" t="n"/>
      <c r="BN124" s="12" t="n"/>
      <c r="BO124" s="12" t="n"/>
      <c r="BP124" s="12" t="n"/>
      <c r="BQ124" s="12" t="n"/>
      <c r="BR124" s="12" t="n"/>
      <c r="BS124" s="12" t="n"/>
      <c r="BT124" s="12" t="n"/>
      <c r="BU124" s="12" t="n"/>
      <c r="BV124" s="12" t="n"/>
      <c r="BW124" s="12" t="n"/>
      <c r="BX124" s="12" t="n"/>
      <c r="BY124" s="12" t="n"/>
      <c r="BZ124" s="12" t="n"/>
      <c r="CA124" s="12" t="n"/>
      <c r="CB124" s="12" t="n"/>
      <c r="CC124" s="12" t="n"/>
      <c r="CD124" s="12" t="n"/>
      <c r="CE124" s="12" t="n"/>
      <c r="CF124" s="12" t="n"/>
      <c r="CG124" s="12" t="n"/>
      <c r="CH124" s="12" t="n"/>
      <c r="CI124" s="12" t="n"/>
      <c r="CJ124" s="12" t="n"/>
      <c r="CK124" s="12" t="n"/>
      <c r="CL124" s="12" t="n"/>
      <c r="CM124" s="12" t="n"/>
      <c r="CN124" s="12" t="n"/>
      <c r="CO124" s="12" t="n"/>
      <c r="CP124" s="12" t="n"/>
      <c r="CQ124" s="12" t="n"/>
      <c r="CR124" s="12" t="n"/>
      <c r="CS124" s="12" t="n"/>
      <c r="CT124" s="12" t="n"/>
      <c r="CU124" s="12" t="n"/>
      <c r="CV124" s="12" t="n"/>
      <c r="CW124" s="12" t="n"/>
      <c r="CX124" s="12" t="n"/>
      <c r="CY124" s="12" t="n"/>
    </row>
    <row r="125" hidden="1" outlineLevel="1">
      <c r="C125" s="60" t="inlineStr">
        <is>
          <t>Outros Créditos</t>
        </is>
      </c>
      <c r="D125" s="11" t="n"/>
      <c r="E125" s="11" t="n"/>
      <c r="F125" s="11" t="n"/>
      <c r="G125" s="11" t="n"/>
      <c r="H125" s="12" t="n"/>
      <c r="I125" s="11" t="n"/>
      <c r="J125" s="11" t="n"/>
      <c r="K125" s="11" t="n"/>
      <c r="L125" s="11" t="n"/>
      <c r="M125" s="12" t="n"/>
      <c r="N125" s="11" t="n"/>
      <c r="O125" s="11" t="n"/>
      <c r="P125" s="11" t="n"/>
      <c r="Q125" s="11" t="n"/>
      <c r="R125" s="12" t="n"/>
      <c r="S125" s="11" t="n"/>
      <c r="T125" s="11" t="n"/>
      <c r="U125" s="11" t="n"/>
      <c r="V125" s="11" t="n"/>
      <c r="W125" s="12" t="n"/>
      <c r="X125" s="11" t="n"/>
      <c r="Y125" s="11" t="n"/>
      <c r="Z125" s="11" t="n"/>
      <c r="AA125" s="11" t="n"/>
      <c r="AB125" s="12" t="n"/>
      <c r="AC125" s="11" t="n"/>
      <c r="AD125" s="11" t="n"/>
      <c r="AE125" s="11" t="n"/>
      <c r="AF125" s="11" t="n"/>
      <c r="AG125" s="12">
        <f>AF125</f>
        <v>0</v>
      </c>
      <c r="AH125" s="12">
        <f>AG125</f>
        <v>0</v>
      </c>
      <c r="AI125" s="12">
        <f>AH125</f>
        <v>0</v>
      </c>
      <c r="AJ125" s="12">
        <f>AI125</f>
        <v>0</v>
      </c>
      <c r="AK125" s="12">
        <f>AJ125</f>
        <v>0</v>
      </c>
      <c r="AL125" s="12">
        <f>AK125</f>
        <v>0</v>
      </c>
      <c r="AM125" s="12" t="n"/>
      <c r="AN125" s="12" t="n"/>
      <c r="AO125" s="12" t="n"/>
      <c r="AP125" s="12" t="n"/>
      <c r="AQ125" s="12" t="n"/>
      <c r="AR125" s="12" t="n"/>
      <c r="AS125" s="12" t="n"/>
      <c r="AT125" s="12" t="n"/>
      <c r="AU125" s="12" t="n"/>
      <c r="AV125" s="12" t="n"/>
      <c r="AW125" s="12" t="n"/>
      <c r="AX125" s="12" t="n"/>
      <c r="AY125" s="12" t="n"/>
      <c r="AZ125" s="12" t="n"/>
      <c r="BA125" s="12" t="n"/>
      <c r="BB125" s="12" t="n"/>
      <c r="BC125" s="12" t="n"/>
      <c r="BD125" s="12" t="n"/>
      <c r="BE125" s="12" t="n"/>
      <c r="BF125" s="12" t="n"/>
      <c r="BG125" s="12" t="n"/>
      <c r="BH125" s="12" t="n"/>
      <c r="BI125" s="12" t="n"/>
      <c r="BJ125" s="12" t="n"/>
      <c r="BK125" s="12" t="n"/>
      <c r="BL125" s="12" t="n"/>
      <c r="BM125" s="12" t="n"/>
      <c r="BN125" s="12" t="n"/>
      <c r="BO125" s="12" t="n"/>
      <c r="BP125" s="12" t="n"/>
      <c r="BQ125" s="12" t="n"/>
      <c r="BR125" s="12" t="n"/>
      <c r="BS125" s="12" t="n"/>
      <c r="BT125" s="12" t="n"/>
      <c r="BU125" s="12" t="n"/>
      <c r="BV125" s="12" t="n"/>
      <c r="BW125" s="12" t="n"/>
      <c r="BX125" s="12" t="n"/>
      <c r="BY125" s="12" t="n"/>
      <c r="BZ125" s="12" t="n"/>
      <c r="CA125" s="12" t="n"/>
      <c r="CB125" s="12" t="n"/>
      <c r="CC125" s="12" t="n"/>
      <c r="CD125" s="12" t="n"/>
      <c r="CE125" s="12" t="n"/>
      <c r="CF125" s="12" t="n"/>
      <c r="CG125" s="12" t="n"/>
      <c r="CH125" s="12" t="n"/>
      <c r="CI125" s="12" t="n"/>
      <c r="CJ125" s="12" t="n"/>
      <c r="CK125" s="12" t="n"/>
      <c r="CL125" s="12" t="n"/>
      <c r="CM125" s="12" t="n"/>
      <c r="CN125" s="12" t="n"/>
      <c r="CO125" s="12" t="n"/>
      <c r="CP125" s="12" t="n"/>
      <c r="CQ125" s="12" t="n"/>
      <c r="CR125" s="12" t="n"/>
      <c r="CS125" s="12" t="n"/>
      <c r="CT125" s="12" t="n"/>
      <c r="CU125" s="12" t="n"/>
      <c r="CV125" s="12" t="n"/>
      <c r="CW125" s="12" t="n"/>
      <c r="CX125" s="12" t="n"/>
      <c r="CY125" s="12" t="n"/>
    </row>
    <row r="126" hidden="1" outlineLevel="1">
      <c r="C126" s="57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  <c r="AA126" s="12" t="n"/>
      <c r="AB126" s="12" t="n"/>
      <c r="AC126" s="12" t="n"/>
      <c r="AD126" s="12" t="n"/>
      <c r="AE126" s="12" t="n"/>
      <c r="AF126" s="12" t="n"/>
      <c r="AG126" s="12" t="n"/>
      <c r="AH126" s="12" t="n"/>
      <c r="AI126" s="12" t="n"/>
      <c r="AJ126" s="12" t="n"/>
      <c r="AK126" s="12" t="n"/>
      <c r="AL126" s="12" t="n"/>
      <c r="AM126" s="12" t="n"/>
      <c r="AN126" s="12" t="n"/>
      <c r="AO126" s="12" t="n"/>
      <c r="AP126" s="12" t="n"/>
      <c r="AQ126" s="12" t="n"/>
      <c r="AR126" s="12" t="n"/>
      <c r="AS126" s="12" t="n"/>
      <c r="AT126" s="12" t="n"/>
      <c r="AU126" s="12" t="n"/>
      <c r="AV126" s="12" t="n"/>
      <c r="AW126" s="12" t="n"/>
      <c r="AX126" s="12" t="n"/>
      <c r="AY126" s="12" t="n"/>
      <c r="AZ126" s="12" t="n"/>
      <c r="BA126" s="12" t="n"/>
      <c r="BB126" s="12" t="n"/>
      <c r="BC126" s="12" t="n"/>
      <c r="BD126" s="12" t="n"/>
      <c r="BE126" s="12" t="n"/>
      <c r="BF126" s="12" t="n"/>
      <c r="BG126" s="12" t="n"/>
      <c r="BH126" s="12" t="n"/>
      <c r="BI126" s="12" t="n"/>
      <c r="BJ126" s="12" t="n"/>
      <c r="BK126" s="12" t="n"/>
      <c r="BL126" s="12" t="n"/>
      <c r="BM126" s="12" t="n"/>
      <c r="BN126" s="12" t="n"/>
      <c r="BO126" s="12" t="n"/>
      <c r="BP126" s="12" t="n"/>
      <c r="BQ126" s="12" t="n"/>
      <c r="BR126" s="12" t="n"/>
      <c r="BS126" s="12" t="n"/>
      <c r="BT126" s="12" t="n"/>
      <c r="BU126" s="12" t="n"/>
      <c r="BV126" s="12" t="n"/>
      <c r="BW126" s="12" t="n"/>
      <c r="BX126" s="12" t="n"/>
      <c r="BY126" s="12" t="n"/>
      <c r="BZ126" s="12" t="n"/>
      <c r="CA126" s="12" t="n"/>
      <c r="CB126" s="12" t="n"/>
      <c r="CC126" s="12" t="n"/>
      <c r="CD126" s="12" t="n"/>
      <c r="CE126" s="12" t="n"/>
      <c r="CF126" s="12" t="n"/>
      <c r="CG126" s="12" t="n"/>
      <c r="CH126" s="12" t="n"/>
      <c r="CI126" s="12" t="n"/>
      <c r="CJ126" s="12" t="n"/>
      <c r="CK126" s="12" t="n"/>
      <c r="CL126" s="12" t="n"/>
      <c r="CM126" s="12" t="n"/>
      <c r="CN126" s="12" t="n"/>
      <c r="CO126" s="12" t="n"/>
      <c r="CP126" s="12" t="n"/>
      <c r="CQ126" s="12" t="n"/>
      <c r="CR126" s="12" t="n"/>
      <c r="CS126" s="12" t="n"/>
      <c r="CT126" s="12" t="n"/>
      <c r="CU126" s="12" t="n"/>
      <c r="CV126" s="12" t="n"/>
      <c r="CW126" s="12" t="n"/>
      <c r="CX126" s="12" t="n"/>
      <c r="CY126" s="12" t="n"/>
    </row>
    <row r="127" collapsed="1">
      <c r="C127" s="14" t="inlineStr">
        <is>
          <t>Equity in affiliates</t>
        </is>
      </c>
      <c r="D127" s="46" t="n"/>
      <c r="E127" s="46" t="n"/>
      <c r="F127" s="46" t="n"/>
      <c r="G127" s="46" t="n"/>
      <c r="H127" s="12" t="n"/>
      <c r="I127" s="46">
        <f>'Inputs (2)'!D21</f>
        <v>33.93090882</v>
      </c>
      <c r="J127" s="46">
        <f>'Inputs (2)'!E21</f>
        <v>135.736947285</v>
      </c>
      <c r="K127" s="46">
        <f>'Inputs (2)'!F21</f>
        <v>355.250406008</v>
      </c>
      <c r="L127" s="46">
        <f>'Inputs (2)'!G21</f>
        <v>43.08321583</v>
      </c>
      <c r="M127" s="12">
        <f>'Inputs (2)'!H21</f>
        <v>43.08321583</v>
      </c>
      <c r="N127" s="46">
        <f>'Inputs (2)'!I21</f>
        <v>40.549805042</v>
      </c>
      <c r="O127" s="46">
        <f>'Inputs (2)'!J21</f>
        <v>42.331656163</v>
      </c>
      <c r="P127" s="46">
        <f>'Inputs (2)'!K21</f>
        <v>52.56045319</v>
      </c>
      <c r="Q127" s="46">
        <f>'Inputs (2)'!L21</f>
        <v>44.080231096</v>
      </c>
      <c r="R127" s="12">
        <f>'Inputs (2)'!M21</f>
        <v>44.080231096</v>
      </c>
      <c r="S127" s="46">
        <f>'Inputs (2)'!N21</f>
        <v>56.8724403</v>
      </c>
      <c r="T127" s="46">
        <f>'Inputs (2)'!O21</f>
        <v>66.428</v>
      </c>
      <c r="U127" s="46">
        <f>'Inputs (2)'!P21</f>
        <v>68.26</v>
      </c>
      <c r="V127" s="46">
        <f>'Inputs (2)'!Q21</f>
        <v>81.519</v>
      </c>
      <c r="W127" s="12">
        <f>'Inputs (2)'!R21</f>
        <v>81.519</v>
      </c>
      <c r="X127" s="46">
        <f>'Inputs (2)'!S21</f>
        <v>69.005</v>
      </c>
      <c r="Y127" s="46">
        <f>'Inputs (2)'!T21</f>
        <v>93.409</v>
      </c>
      <c r="Z127" s="46">
        <f>'Inputs (2)'!U21</f>
        <v>100.357</v>
      </c>
      <c r="AA127" s="46">
        <f>'Inputs (2)'!V21</f>
        <v>81.91</v>
      </c>
      <c r="AB127" s="12">
        <f>'Inputs (2)'!W21</f>
        <v>81.91</v>
      </c>
      <c r="AC127" s="46">
        <f>'Inputs (2)'!X21</f>
        <v>102.201544</v>
      </c>
      <c r="AD127" s="46">
        <f>'Inputs (2)'!Y21</f>
        <v>241.834</v>
      </c>
      <c r="AE127" s="46">
        <f>'Inputs (2)'!Z21</f>
        <v>109.652</v>
      </c>
      <c r="AF127" s="46">
        <f>'Inputs (2)'!AA21</f>
        <v>111.772</v>
      </c>
      <c r="AG127" s="12">
        <f>'Inputs (2)'!AB21</f>
        <v>111.772</v>
      </c>
      <c r="AH127" s="12">
        <f>'Inputs (2)'!AC21</f>
        <v>105.85</v>
      </c>
      <c r="AI127" s="12">
        <f>'Inputs (2)'!AD21</f>
        <v>169.324</v>
      </c>
      <c r="AJ127" s="12">
        <f>AI127+AJ101</f>
        <v>169.324</v>
      </c>
      <c r="AK127" s="12">
        <f>AJ127+AK101</f>
        <v>169.324</v>
      </c>
      <c r="AL127" s="12">
        <f>AK127</f>
        <v>169.324</v>
      </c>
      <c r="AM127" s="12">
        <f>AL127+AM101</f>
        <v>169.324</v>
      </c>
      <c r="AN127" s="12">
        <f>AM127+AN101</f>
        <v>169.324</v>
      </c>
      <c r="AO127" s="12">
        <f>AN127+AO101</f>
        <v>169.324</v>
      </c>
      <c r="AP127" s="12">
        <f>AO127+AP101</f>
        <v>169.324</v>
      </c>
      <c r="AQ127" s="12">
        <f>AP127</f>
        <v>169.324</v>
      </c>
      <c r="AR127" s="12">
        <f>AQ127+AR101</f>
        <v>169.324</v>
      </c>
      <c r="AS127" s="12">
        <f>AR127+AS101</f>
        <v>169.324</v>
      </c>
      <c r="AT127" s="12">
        <f>AS127+AT101</f>
        <v>169.324</v>
      </c>
      <c r="AU127" s="12">
        <f>AT127+AU101</f>
        <v>169.324</v>
      </c>
      <c r="AV127" s="12">
        <f>AU127</f>
        <v>169.324</v>
      </c>
      <c r="AW127" s="12">
        <f>AV127+AW101</f>
        <v>169.324</v>
      </c>
      <c r="AX127" s="12">
        <f>AW127+AX101</f>
        <v>169.324</v>
      </c>
      <c r="AY127" s="12">
        <f>AX127+AY101</f>
        <v>169.324</v>
      </c>
      <c r="AZ127" s="12">
        <f>AY127+AZ101</f>
        <v>169.324</v>
      </c>
      <c r="BA127" s="12">
        <f>AZ127</f>
        <v>169.324</v>
      </c>
      <c r="BB127" s="12">
        <f>BA127+BB101</f>
        <v>169.324</v>
      </c>
      <c r="BC127" s="12">
        <f>BB127+BC101</f>
        <v>169.324</v>
      </c>
      <c r="BD127" s="12">
        <f>BC127+BD101</f>
        <v>169.324</v>
      </c>
      <c r="BE127" s="12">
        <f>BD127+BE101</f>
        <v>169.324</v>
      </c>
      <c r="BF127" s="12">
        <f>BE127</f>
        <v>169.324</v>
      </c>
      <c r="BG127" s="12" t="n"/>
      <c r="BH127" s="12" t="n"/>
      <c r="BI127" s="12" t="n"/>
      <c r="BJ127" s="12" t="n"/>
      <c r="BK127" s="12" t="n"/>
      <c r="BL127" s="12" t="n"/>
      <c r="BM127" s="12" t="n"/>
      <c r="BN127" s="12" t="n"/>
      <c r="BO127" s="12" t="n"/>
      <c r="BP127" s="12" t="n"/>
      <c r="BQ127" s="12" t="n"/>
      <c r="BR127" s="12" t="n"/>
      <c r="BS127" s="12" t="n"/>
      <c r="BT127" s="12" t="n"/>
      <c r="BU127" s="12" t="n"/>
      <c r="BV127" s="12" t="n"/>
      <c r="BW127" s="12" t="n"/>
      <c r="BX127" s="12" t="n"/>
      <c r="BY127" s="12" t="n"/>
      <c r="BZ127" s="12" t="n"/>
      <c r="CA127" s="12" t="n"/>
      <c r="CB127" s="12" t="n"/>
      <c r="CC127" s="12" t="n"/>
      <c r="CD127" s="12" t="n"/>
      <c r="CE127" s="12" t="n"/>
      <c r="CF127" s="12" t="n"/>
      <c r="CG127" s="12" t="n"/>
      <c r="CH127" s="12" t="n"/>
      <c r="CI127" s="12" t="n"/>
      <c r="CJ127" s="12" t="n"/>
      <c r="CK127" s="12" t="n"/>
      <c r="CL127" s="12" t="n"/>
      <c r="CM127" s="12" t="n"/>
      <c r="CN127" s="12" t="n"/>
      <c r="CO127" s="12" t="n"/>
      <c r="CP127" s="12" t="n"/>
      <c r="CQ127" s="12" t="n"/>
      <c r="CR127" s="12" t="n"/>
      <c r="CS127" s="12" t="n"/>
      <c r="CT127" s="12" t="n"/>
      <c r="CU127" s="12" t="n"/>
      <c r="CV127" s="12" t="n"/>
      <c r="CW127" s="12" t="n"/>
      <c r="CX127" s="12" t="n"/>
      <c r="CY127" s="12" t="n"/>
    </row>
    <row r="128" hidden="1" outlineLevel="1">
      <c r="C128" s="57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  <c r="AA128" s="12" t="n"/>
      <c r="AB128" s="12" t="n"/>
      <c r="AC128" s="12" t="n"/>
      <c r="AD128" s="12" t="n"/>
      <c r="AE128" s="12" t="n"/>
      <c r="AF128" s="12" t="n"/>
      <c r="AG128" s="12" t="n"/>
      <c r="AH128" s="12" t="n"/>
      <c r="AI128" s="12" t="n"/>
      <c r="AJ128" s="12" t="n"/>
      <c r="AK128" s="12" t="n"/>
      <c r="AL128" s="12" t="n"/>
      <c r="AM128" s="12" t="n"/>
      <c r="AN128" s="12" t="n"/>
      <c r="AO128" s="12" t="n"/>
      <c r="AP128" s="12" t="n"/>
      <c r="AQ128" s="12" t="n"/>
      <c r="AR128" s="12" t="n"/>
      <c r="AS128" s="12" t="n"/>
      <c r="AT128" s="12" t="n"/>
      <c r="AU128" s="12" t="n"/>
      <c r="AV128" s="12" t="n"/>
      <c r="AW128" s="12" t="n"/>
      <c r="AX128" s="12" t="n"/>
      <c r="AY128" s="12" t="n"/>
      <c r="AZ128" s="12" t="n"/>
      <c r="BA128" s="12" t="n"/>
      <c r="BB128" s="12" t="n"/>
      <c r="BC128" s="12" t="n"/>
      <c r="BD128" s="12" t="n"/>
      <c r="BE128" s="12" t="n"/>
      <c r="BF128" s="12" t="n"/>
      <c r="BG128" s="12" t="n"/>
      <c r="BH128" s="12" t="n"/>
      <c r="BI128" s="12" t="n"/>
      <c r="BJ128" s="12" t="n"/>
      <c r="BK128" s="12" t="n"/>
      <c r="BL128" s="12" t="n"/>
      <c r="BM128" s="12" t="n"/>
      <c r="BN128" s="12" t="n"/>
      <c r="BO128" s="12" t="n"/>
      <c r="BP128" s="12" t="n"/>
      <c r="BQ128" s="12" t="n"/>
      <c r="BR128" s="12" t="n"/>
      <c r="BS128" s="12" t="n"/>
      <c r="BT128" s="12" t="n"/>
      <c r="BU128" s="12" t="n"/>
      <c r="BV128" s="12" t="n"/>
      <c r="BW128" s="12" t="n"/>
      <c r="BX128" s="12" t="n"/>
      <c r="BY128" s="12" t="n"/>
      <c r="BZ128" s="12" t="n"/>
      <c r="CA128" s="12" t="n"/>
      <c r="CB128" s="12" t="n"/>
      <c r="CC128" s="12" t="n"/>
      <c r="CD128" s="12" t="n"/>
      <c r="CE128" s="12" t="n"/>
      <c r="CF128" s="12" t="n"/>
      <c r="CG128" s="12" t="n"/>
      <c r="CH128" s="12" t="n"/>
      <c r="CI128" s="12" t="n"/>
      <c r="CJ128" s="12" t="n"/>
      <c r="CK128" s="12" t="n"/>
      <c r="CL128" s="12" t="n"/>
      <c r="CM128" s="12" t="n"/>
      <c r="CN128" s="12" t="n"/>
      <c r="CO128" s="12" t="n"/>
      <c r="CP128" s="12" t="n"/>
      <c r="CQ128" s="12" t="n"/>
      <c r="CR128" s="12" t="n"/>
      <c r="CS128" s="12" t="n"/>
      <c r="CT128" s="12" t="n"/>
      <c r="CU128" s="12" t="n"/>
      <c r="CV128" s="12" t="n"/>
      <c r="CW128" s="12" t="n"/>
      <c r="CX128" s="12" t="n"/>
      <c r="CY128" s="12" t="n"/>
    </row>
    <row r="129" hidden="1" outlineLevel="1">
      <c r="C129" s="57" t="inlineStr">
        <is>
          <t>Equity in Income - % YoY</t>
        </is>
      </c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>
        <f>IF(I101=0,0,N101/I101-1)</f>
        <v>-1.00099691998906</v>
      </c>
      <c r="O129" s="12">
        <f>IF(J101=0,0,O101/J101-1)</f>
        <v>-186.407471316305</v>
      </c>
      <c r="P129" s="12">
        <f>IF(K101=0,0,P101/K101-1)</f>
        <v>-0.433745387752946</v>
      </c>
      <c r="Q129" s="12">
        <f>IF(L101=0,0,Q101/L101-1)</f>
        <v>-1.19867672292999</v>
      </c>
      <c r="R129" s="12" t="n"/>
      <c r="S129" s="12">
        <f>IF(N101=0,0,S101/N101-1)</f>
        <v>-1</v>
      </c>
      <c r="T129" s="12">
        <f>IF(O101=0,0,T101/O101-1)</f>
        <v>-0.384697895606721</v>
      </c>
      <c r="U129" s="12">
        <f>IF(P101=0,0,U101/P101-1)</f>
        <v>-0.295357027380344</v>
      </c>
      <c r="V129" s="12">
        <f>IF(Q101=0,0,V101/Q101-1)</f>
        <v>3.46195419491357</v>
      </c>
      <c r="W129" s="12" t="n"/>
      <c r="X129" s="12">
        <f>IF(S101=0,0,X101/S101-1)</f>
        <v>0</v>
      </c>
      <c r="Y129" s="12">
        <f>IF(T101=0,0,Y101/T101-1)</f>
        <v>-4.14509803921569</v>
      </c>
      <c r="Z129" s="12">
        <f>IF(U101=0,0,Z101/U101-1)</f>
        <v>-4.72159090909091</v>
      </c>
      <c r="AA129" s="12">
        <f>IF(V101=0,0,AA101/V101-1)</f>
        <v>7.91240875912409</v>
      </c>
      <c r="AB129" s="12" t="n"/>
      <c r="AC129" s="12">
        <f>IF(X101=0,0,AC101/X101-1)</f>
        <v>5.52586206896552</v>
      </c>
      <c r="AD129" s="12">
        <f>IF(Y101=0,0,AD101/Y101-1)</f>
        <v>2.46134663341646</v>
      </c>
      <c r="AE129" s="12">
        <f>IF(Z101=0,0,AE101/Z101-1)</f>
        <v>4.50585966870229</v>
      </c>
      <c r="AF129" s="12">
        <f>IF(AA101=0,0,AF101/AA101-1)</f>
        <v>1.00886428951679</v>
      </c>
      <c r="AG129" s="12" t="n"/>
      <c r="AH129" s="11">
        <f>IF(AC101=0,0,AH101/AC101-1)</f>
        <v>1.22878379568472</v>
      </c>
      <c r="AI129" s="11">
        <f>IF(AD101=0,0,AI101/AD101-1)</f>
        <v>0.93253818443804</v>
      </c>
      <c r="AJ129" s="11" t="n"/>
      <c r="AK129" s="11" t="n"/>
      <c r="AL129" s="12" t="n"/>
      <c r="AM129" s="11" t="n"/>
      <c r="AN129" s="11" t="n"/>
      <c r="AO129" s="11" t="n"/>
      <c r="AP129" s="11" t="n"/>
      <c r="AQ129" s="12" t="n"/>
      <c r="AR129" s="11" t="n"/>
      <c r="AS129" s="11" t="n"/>
      <c r="AT129" s="11" t="n"/>
      <c r="AU129" s="11" t="n"/>
      <c r="AV129" s="12" t="n"/>
      <c r="AW129" s="11" t="n"/>
      <c r="AX129" s="11" t="n"/>
      <c r="AY129" s="11" t="n"/>
      <c r="AZ129" s="11" t="n"/>
      <c r="BA129" s="12" t="n"/>
      <c r="BB129" s="11" t="n"/>
      <c r="BC129" s="11" t="n"/>
      <c r="BD129" s="11" t="n"/>
      <c r="BE129" s="11" t="n"/>
      <c r="BF129" s="12" t="n"/>
      <c r="BG129" s="11" t="n"/>
      <c r="BH129" s="11" t="n"/>
      <c r="BI129" s="11" t="n"/>
      <c r="BJ129" s="11" t="n"/>
      <c r="BK129" s="12" t="n"/>
      <c r="BL129" s="11" t="n"/>
      <c r="BM129" s="11" t="n"/>
      <c r="BN129" s="11" t="n"/>
      <c r="BO129" s="11" t="n"/>
      <c r="BP129" s="12" t="n"/>
      <c r="BQ129" s="11" t="n"/>
      <c r="BR129" s="11" t="n"/>
      <c r="BS129" s="11" t="n"/>
      <c r="BT129" s="11" t="n"/>
      <c r="BU129" s="12" t="n"/>
      <c r="BV129" s="11" t="n"/>
      <c r="BW129" s="11" t="n"/>
      <c r="BX129" s="11" t="n"/>
      <c r="BY129" s="11" t="n"/>
      <c r="BZ129" s="12" t="n"/>
      <c r="CA129" s="11" t="n"/>
      <c r="CB129" s="11" t="n"/>
      <c r="CC129" s="11" t="n"/>
      <c r="CD129" s="11" t="n"/>
      <c r="CE129" s="12" t="n"/>
      <c r="CF129" s="11" t="n"/>
      <c r="CG129" s="11" t="n"/>
      <c r="CH129" s="11" t="n"/>
      <c r="CI129" s="11" t="n"/>
      <c r="CJ129" s="12" t="n"/>
      <c r="CK129" s="11" t="n"/>
      <c r="CL129" s="11" t="n"/>
      <c r="CM129" s="11" t="n"/>
      <c r="CN129" s="11" t="n"/>
      <c r="CO129" s="12" t="n"/>
      <c r="CP129" s="11" t="n"/>
      <c r="CQ129" s="11" t="n"/>
      <c r="CR129" s="11" t="n"/>
      <c r="CS129" s="11" t="n"/>
      <c r="CT129" s="12" t="n"/>
      <c r="CU129" s="11" t="n"/>
      <c r="CV129" s="11" t="n"/>
      <c r="CW129" s="11" t="n"/>
      <c r="CX129" s="11" t="n"/>
      <c r="CY129" s="12" t="n"/>
    </row>
    <row r="130" hidden="1" outlineLevel="1">
      <c r="C130" s="57" t="inlineStr">
        <is>
          <t>Dividends (enter as -)</t>
        </is>
      </c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  <c r="AA130" s="12" t="n"/>
      <c r="AB130" s="12" t="n"/>
      <c r="AC130" s="12" t="n"/>
      <c r="AD130" s="12" t="n"/>
      <c r="AE130" s="12" t="n"/>
      <c r="AF130" s="12" t="n"/>
      <c r="AG130" s="12" t="n"/>
      <c r="AH130" s="11" t="n"/>
      <c r="AI130" s="11" t="n"/>
      <c r="AJ130" s="11" t="n"/>
      <c r="AK130" s="11" t="n"/>
      <c r="AL130" s="12" t="n"/>
      <c r="AM130" s="11" t="n"/>
      <c r="AN130" s="11" t="n"/>
      <c r="AO130" s="11" t="n"/>
      <c r="AP130" s="11" t="n"/>
      <c r="AQ130" s="12" t="n"/>
      <c r="AR130" s="11" t="n"/>
      <c r="AS130" s="11" t="n"/>
      <c r="AT130" s="11" t="n"/>
      <c r="AU130" s="11" t="n"/>
      <c r="AV130" s="12" t="n"/>
      <c r="AW130" s="11" t="n"/>
      <c r="AX130" s="11" t="n"/>
      <c r="AY130" s="11" t="n"/>
      <c r="AZ130" s="11" t="n"/>
      <c r="BA130" s="12" t="n"/>
      <c r="BB130" s="11" t="n"/>
      <c r="BC130" s="11" t="n"/>
      <c r="BD130" s="11" t="n"/>
      <c r="BE130" s="11" t="n"/>
      <c r="BF130" s="12" t="n"/>
      <c r="BG130" s="11" t="n"/>
      <c r="BH130" s="11" t="n"/>
      <c r="BI130" s="11" t="n"/>
      <c r="BJ130" s="11" t="n"/>
      <c r="BK130" s="12" t="n"/>
      <c r="BL130" s="11" t="n"/>
      <c r="BM130" s="11" t="n"/>
      <c r="BN130" s="11" t="n"/>
      <c r="BO130" s="11" t="n"/>
      <c r="BP130" s="12" t="n"/>
      <c r="BQ130" s="11" t="n"/>
      <c r="BR130" s="11" t="n"/>
      <c r="BS130" s="11" t="n"/>
      <c r="BT130" s="11" t="n"/>
      <c r="BU130" s="12" t="n"/>
      <c r="BV130" s="11" t="n"/>
      <c r="BW130" s="11" t="n"/>
      <c r="BX130" s="11" t="n"/>
      <c r="BY130" s="11" t="n"/>
      <c r="BZ130" s="12" t="n"/>
      <c r="CA130" s="11" t="n"/>
      <c r="CB130" s="11" t="n"/>
      <c r="CC130" s="11" t="n"/>
      <c r="CD130" s="11" t="n"/>
      <c r="CE130" s="12" t="n"/>
      <c r="CF130" s="11" t="n"/>
      <c r="CG130" s="11" t="n"/>
      <c r="CH130" s="11" t="n"/>
      <c r="CI130" s="11" t="n"/>
      <c r="CJ130" s="12" t="n"/>
      <c r="CK130" s="11" t="n"/>
      <c r="CL130" s="11" t="n"/>
      <c r="CM130" s="11" t="n"/>
      <c r="CN130" s="11" t="n"/>
      <c r="CO130" s="12" t="n"/>
      <c r="CP130" s="11" t="n"/>
      <c r="CQ130" s="11" t="n"/>
      <c r="CR130" s="11" t="n"/>
      <c r="CS130" s="11" t="n"/>
      <c r="CT130" s="12" t="n"/>
      <c r="CU130" s="11" t="n"/>
      <c r="CV130" s="11" t="n"/>
      <c r="CW130" s="11" t="n"/>
      <c r="CX130" s="11" t="n"/>
      <c r="CY130" s="12" t="n"/>
    </row>
    <row r="131" hidden="1" outlineLevel="1">
      <c r="C131" s="57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  <c r="AA131" s="12" t="n"/>
      <c r="AB131" s="12" t="n"/>
      <c r="AC131" s="12" t="n"/>
      <c r="AD131" s="12" t="n"/>
      <c r="AE131" s="12" t="n"/>
      <c r="AF131" s="12" t="n"/>
      <c r="AG131" s="12" t="n"/>
      <c r="AH131" s="12" t="n"/>
      <c r="AI131" s="12" t="n"/>
      <c r="AJ131" s="12" t="n"/>
      <c r="AK131" s="12" t="n"/>
      <c r="AL131" s="12" t="n"/>
      <c r="AM131" s="12" t="n"/>
      <c r="AN131" s="12" t="n"/>
      <c r="AO131" s="12" t="n"/>
      <c r="AP131" s="12" t="n"/>
      <c r="AQ131" s="12" t="n"/>
      <c r="AR131" s="12" t="n"/>
      <c r="AS131" s="12" t="n"/>
      <c r="AT131" s="12" t="n"/>
      <c r="AU131" s="12" t="n"/>
      <c r="AV131" s="12" t="n"/>
      <c r="AW131" s="12" t="n"/>
      <c r="AX131" s="12" t="n"/>
      <c r="AY131" s="12" t="n"/>
      <c r="AZ131" s="12" t="n"/>
      <c r="BA131" s="12" t="n"/>
      <c r="BB131" s="12" t="n"/>
      <c r="BC131" s="12" t="n"/>
      <c r="BD131" s="12" t="n"/>
      <c r="BE131" s="12" t="n"/>
      <c r="BF131" s="12" t="n"/>
      <c r="BG131" s="12" t="n"/>
      <c r="BH131" s="12" t="n"/>
      <c r="BI131" s="12" t="n"/>
      <c r="BJ131" s="12" t="n"/>
      <c r="BK131" s="12" t="n"/>
      <c r="BL131" s="12" t="n"/>
      <c r="BM131" s="12" t="n"/>
      <c r="BN131" s="12" t="n"/>
      <c r="BO131" s="12" t="n"/>
      <c r="BP131" s="12" t="n"/>
      <c r="BQ131" s="12" t="n"/>
      <c r="BR131" s="12" t="n"/>
      <c r="BS131" s="12" t="n"/>
      <c r="BT131" s="12" t="n"/>
      <c r="BU131" s="12" t="n"/>
      <c r="BV131" s="12" t="n"/>
      <c r="BW131" s="12" t="n"/>
      <c r="BX131" s="12" t="n"/>
      <c r="BY131" s="12" t="n"/>
      <c r="BZ131" s="12" t="n"/>
      <c r="CA131" s="12" t="n"/>
      <c r="CB131" s="12" t="n"/>
      <c r="CC131" s="12" t="n"/>
      <c r="CD131" s="12" t="n"/>
      <c r="CE131" s="12" t="n"/>
      <c r="CF131" s="12" t="n"/>
      <c r="CG131" s="12" t="n"/>
      <c r="CH131" s="12" t="n"/>
      <c r="CI131" s="12" t="n"/>
      <c r="CJ131" s="12" t="n"/>
      <c r="CK131" s="12" t="n"/>
      <c r="CL131" s="12" t="n"/>
      <c r="CM131" s="12" t="n"/>
      <c r="CN131" s="12" t="n"/>
      <c r="CO131" s="12" t="n"/>
      <c r="CP131" s="12" t="n"/>
      <c r="CQ131" s="12" t="n"/>
      <c r="CR131" s="12" t="n"/>
      <c r="CS131" s="12" t="n"/>
      <c r="CT131" s="12" t="n"/>
      <c r="CU131" s="12" t="n"/>
      <c r="CV131" s="12" t="n"/>
      <c r="CW131" s="12" t="n"/>
      <c r="CX131" s="12" t="n"/>
      <c r="CY131" s="12" t="n"/>
    </row>
    <row r="132" collapsed="1">
      <c r="C132" s="14" t="inlineStr">
        <is>
          <t>PP&amp;E</t>
        </is>
      </c>
      <c r="D132" s="46" t="n"/>
      <c r="E132" s="46" t="n"/>
      <c r="F132" s="46" t="n"/>
      <c r="G132" s="46" t="n"/>
      <c r="H132" s="12" t="n"/>
      <c r="I132" s="46">
        <f>'Inputs (2)'!D22</f>
        <v>690.647707332</v>
      </c>
      <c r="J132" s="46">
        <f>'Inputs (2)'!E22</f>
        <v>707.228095127</v>
      </c>
      <c r="K132" s="46">
        <f>'Inputs (2)'!F22</f>
        <v>720.527861893</v>
      </c>
      <c r="L132" s="46">
        <f>'Inputs (2)'!G22</f>
        <v>814.406748984</v>
      </c>
      <c r="M132" s="12">
        <f>'Inputs (2)'!H22</f>
        <v>814.406748984</v>
      </c>
      <c r="N132" s="46">
        <f>'Inputs (2)'!I22</f>
        <v>800.795161026</v>
      </c>
      <c r="O132" s="46">
        <f>'Inputs (2)'!J22</f>
        <v>825.129211877</v>
      </c>
      <c r="P132" s="46">
        <f>'Inputs (2)'!K22</f>
        <v>874.14140573</v>
      </c>
      <c r="Q132" s="46">
        <f>'Inputs (2)'!L22</f>
        <v>925.882893133</v>
      </c>
      <c r="R132" s="12">
        <f>'Inputs (2)'!M22</f>
        <v>925.882893133</v>
      </c>
      <c r="S132" s="46">
        <f>'Inputs (2)'!N22</f>
        <v>909.11490776</v>
      </c>
      <c r="T132" s="46">
        <f>'Inputs (2)'!O22</f>
        <v>1351.334</v>
      </c>
      <c r="U132" s="46">
        <f>'Inputs (2)'!P22</f>
        <v>1349.217</v>
      </c>
      <c r="V132" s="46">
        <f>'Inputs (2)'!Q22</f>
        <v>1348.492</v>
      </c>
      <c r="W132" s="12">
        <f>'Inputs (2)'!R22</f>
        <v>1348.492</v>
      </c>
      <c r="X132" s="46">
        <f>'Inputs (2)'!S22</f>
        <v>1326.688</v>
      </c>
      <c r="Y132" s="46">
        <f>'Inputs (2)'!T22</f>
        <v>1320.192</v>
      </c>
      <c r="Z132" s="46">
        <f>'Inputs (2)'!U22</f>
        <v>1334.583</v>
      </c>
      <c r="AA132" s="46">
        <f>'Inputs (2)'!V22</f>
        <v>1375.065</v>
      </c>
      <c r="AB132" s="12">
        <f>'Inputs (2)'!W22</f>
        <v>1375.065</v>
      </c>
      <c r="AC132" s="46">
        <f>'Inputs (2)'!X22</f>
        <v>1348.365553</v>
      </c>
      <c r="AD132" s="46">
        <f>'Inputs (2)'!Y22</f>
        <v>1338.359</v>
      </c>
      <c r="AE132" s="46">
        <f>'Inputs (2)'!Z22</f>
        <v>1344.449</v>
      </c>
      <c r="AF132" s="46">
        <f>'Inputs (2)'!AA22</f>
        <v>1379.255</v>
      </c>
      <c r="AG132" s="12">
        <f>'Inputs (2)'!AB22</f>
        <v>1379.255</v>
      </c>
      <c r="AH132" s="12">
        <f>'Inputs (2)'!AC22</f>
        <v>1355.204</v>
      </c>
      <c r="AI132" s="12">
        <f>'Inputs (2)'!AD22</f>
        <v>1404.052</v>
      </c>
      <c r="AJ132" s="12">
        <f>AJ137</f>
        <v>1408.81759526793</v>
      </c>
      <c r="AK132" s="12">
        <f>AK137</f>
        <v>1413.29959284465</v>
      </c>
      <c r="AL132" s="12">
        <f>AK132</f>
        <v>1413.29959284465</v>
      </c>
      <c r="AM132" s="12">
        <f>AM137</f>
        <v>1418.1350928051</v>
      </c>
      <c r="AN132" s="12">
        <f>AN137</f>
        <v>1423.1740424266</v>
      </c>
      <c r="AO132" s="12">
        <f>AO137</f>
        <v>1428.38892233855</v>
      </c>
      <c r="AP132" s="12">
        <f>AP137</f>
        <v>1433.29346790195</v>
      </c>
      <c r="AQ132" s="12">
        <f>AP132</f>
        <v>1433.29346790195</v>
      </c>
      <c r="AR132" s="12">
        <f>AR137</f>
        <v>1438.56066539106</v>
      </c>
      <c r="AS132" s="12">
        <f>AS137</f>
        <v>1444.04947585765</v>
      </c>
      <c r="AT132" s="12">
        <f>AT137</f>
        <v>1449.72992309224</v>
      </c>
      <c r="AU132" s="12">
        <f>AU137</f>
        <v>1455.07233034857</v>
      </c>
      <c r="AV132" s="12">
        <f>AU132</f>
        <v>1455.07233034857</v>
      </c>
      <c r="AW132" s="12">
        <f>AW137</f>
        <v>1460.78342991406</v>
      </c>
      <c r="AX132" s="12">
        <f>AX137</f>
        <v>1466.7348192697</v>
      </c>
      <c r="AY132" s="12">
        <f>AY137</f>
        <v>1472.89399590971</v>
      </c>
      <c r="AZ132" s="12">
        <f>AZ137</f>
        <v>1478.68664367417</v>
      </c>
      <c r="BA132" s="12">
        <f>AZ132</f>
        <v>1478.68664367417</v>
      </c>
      <c r="BB132" s="12">
        <f>BB137</f>
        <v>1484.85050042485</v>
      </c>
      <c r="BC132" s="12">
        <f>BC137</f>
        <v>1491.27369634975</v>
      </c>
      <c r="BD132" s="12">
        <f>BD137</f>
        <v>1497.92115225133</v>
      </c>
      <c r="BE132" s="12">
        <f>BE137</f>
        <v>1504.17302207393</v>
      </c>
      <c r="BF132" s="12">
        <f>BE132</f>
        <v>1504.17302207393</v>
      </c>
      <c r="BG132" s="12" t="n"/>
      <c r="BH132" s="12" t="n"/>
      <c r="BI132" s="12" t="n"/>
      <c r="BJ132" s="12" t="n"/>
      <c r="BK132" s="12" t="n"/>
      <c r="BL132" s="12" t="n"/>
      <c r="BM132" s="12" t="n"/>
      <c r="BN132" s="12" t="n"/>
      <c r="BO132" s="12" t="n"/>
      <c r="BP132" s="12" t="n"/>
      <c r="BQ132" s="12" t="n"/>
      <c r="BR132" s="12" t="n"/>
      <c r="BS132" s="12" t="n"/>
      <c r="BT132" s="12" t="n"/>
      <c r="BU132" s="12" t="n"/>
      <c r="BV132" s="12" t="n"/>
      <c r="BW132" s="12" t="n"/>
      <c r="BX132" s="12" t="n"/>
      <c r="BY132" s="12" t="n"/>
      <c r="BZ132" s="12" t="n"/>
      <c r="CA132" s="12" t="n"/>
      <c r="CB132" s="12" t="n"/>
      <c r="CC132" s="12" t="n"/>
      <c r="CD132" s="12" t="n"/>
      <c r="CE132" s="12" t="n"/>
      <c r="CF132" s="12" t="n"/>
      <c r="CG132" s="12" t="n"/>
      <c r="CH132" s="12" t="n"/>
      <c r="CI132" s="12" t="n"/>
      <c r="CJ132" s="12" t="n"/>
      <c r="CK132" s="12" t="n"/>
      <c r="CL132" s="12" t="n"/>
      <c r="CM132" s="12" t="n"/>
      <c r="CN132" s="12" t="n"/>
      <c r="CO132" s="12" t="n"/>
      <c r="CP132" s="12" t="n"/>
      <c r="CQ132" s="12" t="n"/>
      <c r="CR132" s="12" t="n"/>
      <c r="CS132" s="12" t="n"/>
      <c r="CT132" s="12" t="n"/>
      <c r="CU132" s="12" t="n"/>
      <c r="CV132" s="12" t="n"/>
      <c r="CW132" s="12" t="n"/>
      <c r="CX132" s="12" t="n"/>
      <c r="CY132" s="12" t="n"/>
    </row>
    <row r="133" hidden="1" outlineLevel="1">
      <c r="C133" s="57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  <c r="AA133" s="12" t="n"/>
      <c r="AB133" s="12" t="n"/>
      <c r="AC133" s="12" t="n"/>
      <c r="AD133" s="12" t="n"/>
      <c r="AE133" s="12" t="n"/>
      <c r="AF133" s="12" t="n"/>
      <c r="AG133" s="12" t="n"/>
      <c r="AH133" s="12" t="n"/>
      <c r="AI133" s="12" t="n"/>
      <c r="AJ133" s="12" t="n"/>
      <c r="AK133" s="12" t="n"/>
      <c r="AL133" s="12" t="n"/>
      <c r="AM133" s="12" t="n"/>
      <c r="AN133" s="12" t="n"/>
      <c r="AO133" s="12" t="n"/>
      <c r="AP133" s="12" t="n"/>
      <c r="AQ133" s="12" t="n"/>
      <c r="AR133" s="12" t="n"/>
      <c r="AS133" s="12" t="n"/>
      <c r="AT133" s="12" t="n"/>
      <c r="AU133" s="12" t="n"/>
      <c r="AV133" s="12" t="n"/>
      <c r="AW133" s="12" t="n"/>
      <c r="AX133" s="12" t="n"/>
      <c r="AY133" s="12" t="n"/>
      <c r="AZ133" s="12" t="n"/>
      <c r="BA133" s="12" t="n"/>
      <c r="BB133" s="12" t="n"/>
      <c r="BC133" s="12" t="n"/>
      <c r="BD133" s="12" t="n"/>
      <c r="BE133" s="12" t="n"/>
      <c r="BF133" s="12" t="n"/>
      <c r="BG133" s="12" t="n"/>
      <c r="BH133" s="12" t="n"/>
      <c r="BI133" s="12" t="n"/>
      <c r="BJ133" s="12" t="n"/>
      <c r="BK133" s="12" t="n"/>
      <c r="BL133" s="12" t="n"/>
      <c r="BM133" s="12" t="n"/>
      <c r="BN133" s="12" t="n"/>
      <c r="BO133" s="12" t="n"/>
      <c r="BP133" s="12" t="n"/>
      <c r="BQ133" s="12" t="n"/>
      <c r="BR133" s="12" t="n"/>
      <c r="BS133" s="12" t="n"/>
      <c r="BT133" s="12" t="n"/>
      <c r="BU133" s="12" t="n"/>
      <c r="BV133" s="12" t="n"/>
      <c r="BW133" s="12" t="n"/>
      <c r="BX133" s="12" t="n"/>
      <c r="BY133" s="12" t="n"/>
      <c r="BZ133" s="12" t="n"/>
      <c r="CA133" s="12" t="n"/>
      <c r="CB133" s="12" t="n"/>
      <c r="CC133" s="12" t="n"/>
      <c r="CD133" s="12" t="n"/>
      <c r="CE133" s="12" t="n"/>
      <c r="CF133" s="12" t="n"/>
      <c r="CG133" s="12" t="n"/>
      <c r="CH133" s="12" t="n"/>
      <c r="CI133" s="12" t="n"/>
      <c r="CJ133" s="12" t="n"/>
      <c r="CK133" s="12" t="n"/>
      <c r="CL133" s="12" t="n"/>
      <c r="CM133" s="12" t="n"/>
      <c r="CN133" s="12" t="n"/>
      <c r="CO133" s="12" t="n"/>
      <c r="CP133" s="12" t="n"/>
      <c r="CQ133" s="12" t="n"/>
      <c r="CR133" s="12" t="n"/>
      <c r="CS133" s="12" t="n"/>
      <c r="CT133" s="12" t="n"/>
      <c r="CU133" s="12" t="n"/>
      <c r="CV133" s="12" t="n"/>
      <c r="CW133" s="12" t="n"/>
      <c r="CX133" s="12" t="n"/>
      <c r="CY133" s="12" t="n"/>
    </row>
    <row r="134" hidden="1" outlineLevel="1">
      <c r="C134" s="57" t="inlineStr">
        <is>
          <t>Capital expenditures</t>
        </is>
      </c>
      <c r="D134" s="12" t="n"/>
      <c r="E134" s="12" t="n"/>
      <c r="F134" s="12" t="n"/>
      <c r="G134" s="12" t="n"/>
      <c r="H134" s="12" t="n"/>
      <c r="I134" s="12" t="n"/>
      <c r="J134" s="12">
        <f>J132-I132-J36</f>
        <v>107.464828355</v>
      </c>
      <c r="K134" s="12">
        <f>K132-J132-K36</f>
        <v>117.133446016</v>
      </c>
      <c r="L134" s="12">
        <f>L132-K132-L36</f>
        <v>201.604045611</v>
      </c>
      <c r="M134" s="12" t="n"/>
      <c r="N134" s="12">
        <f>N132-M132-N36</f>
        <v>93.8480479320001</v>
      </c>
      <c r="O134" s="12">
        <f>O132-N132-O36</f>
        <v>138.176616031</v>
      </c>
      <c r="P134" s="12">
        <f>P132-O132-P36</f>
        <v>158.764699753</v>
      </c>
      <c r="Q134" s="12">
        <f>Q132-P132-Q36</f>
        <v>176.026087903</v>
      </c>
      <c r="R134" s="12" t="n"/>
      <c r="S134" s="12">
        <f>S132-R132-S36</f>
        <v>114.494102777</v>
      </c>
      <c r="T134" s="12">
        <f>T132-S132-T36</f>
        <v>608.29509224</v>
      </c>
      <c r="U134" s="12">
        <f>U132-T132-U36</f>
        <v>186.044</v>
      </c>
      <c r="V134" s="12">
        <f>V132-U132-V36</f>
        <v>189.154</v>
      </c>
      <c r="W134" s="12" t="n"/>
      <c r="X134" s="12">
        <f>X132-W132-X36</f>
        <v>167.75</v>
      </c>
      <c r="Y134" s="12">
        <f>Y132-X132-Y36</f>
        <v>185.308</v>
      </c>
      <c r="Z134" s="12">
        <f>Z132-Y132-Z36</f>
        <v>211</v>
      </c>
      <c r="AA134" s="12">
        <f>AA132-Z132-AA36</f>
        <v>242.498</v>
      </c>
      <c r="AB134" s="12" t="n"/>
      <c r="AC134" s="12">
        <f>AC132-AB132-AC36</f>
        <v>185.44163</v>
      </c>
      <c r="AD134" s="12">
        <f>AD132-AC132-AD36</f>
        <v>212.396447</v>
      </c>
      <c r="AE134" s="12">
        <f>AE132-AD132-AE36</f>
        <v>235.46499664</v>
      </c>
      <c r="AF134" s="11">
        <f>AF132-AE132-AF36</f>
        <v>271.19785589</v>
      </c>
      <c r="AG134" s="12">
        <f>SUM(AC134:AF134)</f>
        <v>904.50092953</v>
      </c>
      <c r="AH134" s="11">
        <f>AH132-AG132-AH36</f>
        <v>209.07069578</v>
      </c>
      <c r="AI134" s="11">
        <f>AI132-AH132-AI36</f>
        <v>264.654</v>
      </c>
      <c r="AJ134" s="11">
        <f>AJ15*Control!$B$24</f>
        <v>257.529398663252</v>
      </c>
      <c r="AK134" s="11">
        <f>AK15*Control!$B$24</f>
        <v>242.203979954104</v>
      </c>
      <c r="AL134" s="12" t="n"/>
      <c r="AM134" s="11">
        <f>AM15*Control!$C$24</f>
        <v>261.306998819678</v>
      </c>
      <c r="AN134" s="11">
        <f>AN15*Control!$C$24</f>
        <v>272.301274649166</v>
      </c>
      <c r="AO134" s="11">
        <f>AO15*Control!$C$24</f>
        <v>281.808423149842</v>
      </c>
      <c r="AP134" s="11">
        <f>AP15*Control!$C$24</f>
        <v>265.038174382309</v>
      </c>
      <c r="AQ134" s="12" t="n"/>
      <c r="AR134" s="11">
        <f>AR15*Control!$D$24</f>
        <v>284.635628027381</v>
      </c>
      <c r="AS134" s="11">
        <f>AS15*Control!$D$24</f>
        <v>296.611436633992</v>
      </c>
      <c r="AT134" s="11">
        <f>AT15*Control!$D$24</f>
        <v>306.967352076223</v>
      </c>
      <c r="AU134" s="11">
        <f>AU15*Control!$D$24</f>
        <v>288.699910669434</v>
      </c>
      <c r="AV134" s="12" t="n"/>
      <c r="AW134" s="11">
        <f>AW15*Control!$E$24</f>
        <v>308.623782364162</v>
      </c>
      <c r="AX134" s="11">
        <f>AX15*Control!$E$24</f>
        <v>321.608872722162</v>
      </c>
      <c r="AY134" s="11">
        <f>AY15*Control!$E$24</f>
        <v>332.837550649007</v>
      </c>
      <c r="AZ134" s="11">
        <f>AZ15*Control!$E$24</f>
        <v>313.030589376624</v>
      </c>
      <c r="BA134" s="12" t="n"/>
      <c r="BB134" s="11">
        <f>BB15*Control!$F$24</f>
        <v>333.090460520474</v>
      </c>
      <c r="BC134" s="11">
        <f>BC15*Control!$F$24</f>
        <v>347.104966123748</v>
      </c>
      <c r="BD134" s="11">
        <f>BD15*Control!$F$24</f>
        <v>359.223816696565</v>
      </c>
      <c r="BE134" s="11">
        <f>BE15*Control!$F$24</f>
        <v>337.846624695384</v>
      </c>
      <c r="BF134" s="12" t="n"/>
      <c r="BG134" s="11" t="n"/>
      <c r="BH134" s="11" t="n"/>
      <c r="BI134" s="11" t="n"/>
      <c r="BJ134" s="11" t="n"/>
      <c r="BK134" s="12" t="n"/>
      <c r="BL134" s="11" t="n"/>
      <c r="BM134" s="11" t="n"/>
      <c r="BN134" s="11" t="n"/>
      <c r="BO134" s="11" t="n"/>
      <c r="BP134" s="12" t="n"/>
      <c r="BQ134" s="11" t="n"/>
      <c r="BR134" s="11" t="n"/>
      <c r="BS134" s="11" t="n"/>
      <c r="BT134" s="11" t="n"/>
      <c r="BU134" s="12" t="n"/>
      <c r="BV134" s="11" t="n"/>
      <c r="BW134" s="11" t="n"/>
      <c r="BX134" s="11" t="n"/>
      <c r="BY134" s="11" t="n"/>
      <c r="BZ134" s="12" t="n"/>
      <c r="CA134" s="11" t="n"/>
      <c r="CB134" s="11" t="n"/>
      <c r="CC134" s="11" t="n"/>
      <c r="CD134" s="11" t="n"/>
      <c r="CE134" s="12" t="n"/>
      <c r="CF134" s="11" t="n"/>
      <c r="CG134" s="11" t="n"/>
      <c r="CH134" s="11" t="n"/>
      <c r="CI134" s="11" t="n"/>
      <c r="CJ134" s="12" t="n"/>
      <c r="CK134" s="11" t="n"/>
      <c r="CL134" s="11" t="n"/>
      <c r="CM134" s="11" t="n"/>
      <c r="CN134" s="11" t="n"/>
      <c r="CO134" s="12" t="n"/>
      <c r="CP134" s="11" t="n"/>
      <c r="CQ134" s="11" t="n"/>
      <c r="CR134" s="11" t="n"/>
      <c r="CS134" s="11" t="n"/>
      <c r="CT134" s="12" t="n"/>
      <c r="CU134" s="11" t="n"/>
      <c r="CV134" s="11" t="n"/>
      <c r="CW134" s="11" t="n"/>
      <c r="CX134" s="11" t="n"/>
      <c r="CY134" s="12" t="n"/>
    </row>
    <row r="135" hidden="1" outlineLevel="1">
      <c r="C135" s="57" t="inlineStr">
        <is>
          <t>Recurring asset sales (enter as -)</t>
        </is>
      </c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>
        <f>SUM(I135:L135)</f>
        <v>0</v>
      </c>
      <c r="N135" s="12" t="n"/>
      <c r="O135" s="12" t="n"/>
      <c r="P135" s="12" t="n"/>
      <c r="Q135" s="12" t="n"/>
      <c r="R135" s="12">
        <f>SUM(N135:Q135)</f>
        <v>0</v>
      </c>
      <c r="S135" s="12" t="n"/>
      <c r="T135" s="12" t="n"/>
      <c r="U135" s="12" t="n"/>
      <c r="V135" s="12" t="n"/>
      <c r="W135" s="12">
        <f>SUM(S135:V135)</f>
        <v>0</v>
      </c>
      <c r="X135" s="12" t="n"/>
      <c r="Y135" s="12" t="n"/>
      <c r="Z135" s="12" t="n"/>
      <c r="AA135" s="12" t="n"/>
      <c r="AB135" s="12">
        <f>SUM(X135:AA135)</f>
        <v>0</v>
      </c>
      <c r="AC135" s="12" t="n"/>
      <c r="AD135" s="12" t="n"/>
      <c r="AE135" s="12" t="n"/>
      <c r="AF135" s="11" t="n"/>
      <c r="AG135" s="12">
        <f>SUM(AC135:AF135)</f>
        <v>0</v>
      </c>
      <c r="AH135" s="11" t="n"/>
      <c r="AI135" s="11" t="n"/>
      <c r="AJ135" s="11">
        <f>0</f>
        <v>0</v>
      </c>
      <c r="AK135" s="11">
        <f>0</f>
        <v>0</v>
      </c>
      <c r="AL135" s="12" t="n"/>
      <c r="AM135" s="11">
        <f>0</f>
        <v>0</v>
      </c>
      <c r="AN135" s="11">
        <f>0</f>
        <v>0</v>
      </c>
      <c r="AO135" s="11">
        <f>0</f>
        <v>0</v>
      </c>
      <c r="AP135" s="11">
        <f>0</f>
        <v>0</v>
      </c>
      <c r="AQ135" s="12" t="n"/>
      <c r="AR135" s="11">
        <f>0</f>
        <v>0</v>
      </c>
      <c r="AS135" s="11">
        <f>0</f>
        <v>0</v>
      </c>
      <c r="AT135" s="11">
        <f>0</f>
        <v>0</v>
      </c>
      <c r="AU135" s="11">
        <f>0</f>
        <v>0</v>
      </c>
      <c r="AV135" s="12" t="n"/>
      <c r="AW135" s="11">
        <f>0</f>
        <v>0</v>
      </c>
      <c r="AX135" s="11">
        <f>0</f>
        <v>0</v>
      </c>
      <c r="AY135" s="11">
        <f>0</f>
        <v>0</v>
      </c>
      <c r="AZ135" s="11">
        <f>0</f>
        <v>0</v>
      </c>
      <c r="BA135" s="12" t="n"/>
      <c r="BB135" s="11">
        <f>0</f>
        <v>0</v>
      </c>
      <c r="BC135" s="11">
        <f>0</f>
        <v>0</v>
      </c>
      <c r="BD135" s="11">
        <f>0</f>
        <v>0</v>
      </c>
      <c r="BE135" s="11">
        <f>0</f>
        <v>0</v>
      </c>
      <c r="BF135" s="12" t="n"/>
      <c r="BG135" s="11" t="n"/>
      <c r="BH135" s="11" t="n"/>
      <c r="BI135" s="11" t="n"/>
      <c r="BJ135" s="11" t="n"/>
      <c r="BK135" s="12" t="n"/>
      <c r="BL135" s="11" t="n"/>
      <c r="BM135" s="11" t="n"/>
      <c r="BN135" s="11" t="n"/>
      <c r="BO135" s="11" t="n"/>
      <c r="BP135" s="12" t="n"/>
      <c r="BQ135" s="11" t="n"/>
      <c r="BR135" s="11" t="n"/>
      <c r="BS135" s="11" t="n"/>
      <c r="BT135" s="11" t="n"/>
      <c r="BU135" s="12" t="n"/>
      <c r="BV135" s="11" t="n"/>
      <c r="BW135" s="11" t="n"/>
      <c r="BX135" s="11" t="n"/>
      <c r="BY135" s="11" t="n"/>
      <c r="BZ135" s="12" t="n"/>
      <c r="CA135" s="11" t="n"/>
      <c r="CB135" s="11" t="n"/>
      <c r="CC135" s="11" t="n"/>
      <c r="CD135" s="11" t="n"/>
      <c r="CE135" s="12" t="n"/>
      <c r="CF135" s="11" t="n"/>
      <c r="CG135" s="11" t="n"/>
      <c r="CH135" s="11" t="n"/>
      <c r="CI135" s="11" t="n"/>
      <c r="CJ135" s="12" t="n"/>
      <c r="CK135" s="11" t="n"/>
      <c r="CL135" s="11" t="n"/>
      <c r="CM135" s="11" t="n"/>
      <c r="CN135" s="11" t="n"/>
      <c r="CO135" s="12" t="n"/>
      <c r="CP135" s="11" t="n"/>
      <c r="CQ135" s="11" t="n"/>
      <c r="CR135" s="11" t="n"/>
      <c r="CS135" s="11" t="n"/>
      <c r="CT135" s="12" t="n"/>
      <c r="CU135" s="11" t="n"/>
      <c r="CV135" s="11" t="n"/>
      <c r="CW135" s="11" t="n"/>
      <c r="CX135" s="11" t="n"/>
      <c r="CY135" s="12" t="n"/>
    </row>
    <row r="136" hidden="1" outlineLevel="1">
      <c r="C136" s="57" t="inlineStr">
        <is>
          <t>Depreciation</t>
        </is>
      </c>
      <c r="D136" s="12" t="n"/>
      <c r="E136" s="12" t="n"/>
      <c r="F136" s="12" t="n"/>
      <c r="G136" s="12" t="n"/>
      <c r="H136" s="12" t="n"/>
      <c r="I136" s="12">
        <f>I36</f>
        <v>-86.83643829</v>
      </c>
      <c r="J136" s="12">
        <f>J36</f>
        <v>-90.88444056</v>
      </c>
      <c r="K136" s="12">
        <f>K36</f>
        <v>-103.83367925</v>
      </c>
      <c r="L136" s="12">
        <f>L36</f>
        <v>-107.72515852</v>
      </c>
      <c r="M136" s="12" t="n"/>
      <c r="N136" s="12">
        <f>N36</f>
        <v>-107.45963589</v>
      </c>
      <c r="O136" s="12">
        <f>O36</f>
        <v>-113.84256518</v>
      </c>
      <c r="P136" s="12">
        <f>P36</f>
        <v>-109.7525059</v>
      </c>
      <c r="Q136" s="12">
        <f>Q36</f>
        <v>-124.2846005</v>
      </c>
      <c r="R136" s="12" t="n"/>
      <c r="S136" s="12">
        <f>S36</f>
        <v>-131.26208815</v>
      </c>
      <c r="T136" s="12">
        <f>T36</f>
        <v>-166.076</v>
      </c>
      <c r="U136" s="12">
        <f>U36</f>
        <v>-188.161</v>
      </c>
      <c r="V136" s="12">
        <f>V36</f>
        <v>-189.879</v>
      </c>
      <c r="W136" s="12" t="n"/>
      <c r="X136" s="12">
        <f>X36</f>
        <v>-189.554</v>
      </c>
      <c r="Y136" s="12">
        <f>Y36</f>
        <v>-191.804</v>
      </c>
      <c r="Z136" s="12">
        <f>Z36</f>
        <v>-196.609</v>
      </c>
      <c r="AA136" s="12">
        <f>AA36</f>
        <v>-202.016</v>
      </c>
      <c r="AB136" s="12" t="n"/>
      <c r="AC136" s="12">
        <f>AC36</f>
        <v>-212.141077</v>
      </c>
      <c r="AD136" s="12">
        <f>AD36</f>
        <v>-222.403</v>
      </c>
      <c r="AE136" s="12">
        <f>AE36</f>
        <v>-229.37499664</v>
      </c>
      <c r="AF136" s="12">
        <f>AF36</f>
        <v>-236.39185589</v>
      </c>
      <c r="AG136" s="12" t="n"/>
      <c r="AH136" s="12">
        <f>AH36</f>
        <v>-233.12169578</v>
      </c>
      <c r="AI136" s="12">
        <f>AI36</f>
        <v>-215.806</v>
      </c>
      <c r="AJ136" s="12">
        <f>AJ36</f>
        <v>-252.763803395322</v>
      </c>
      <c r="AK136" s="12">
        <f>AK36</f>
        <v>-237.721982377384</v>
      </c>
      <c r="AL136" s="12" t="n"/>
      <c r="AM136" s="12">
        <f>AM36</f>
        <v>-256.471498859224</v>
      </c>
      <c r="AN136" s="12">
        <f>AN36</f>
        <v>-267.262325027666</v>
      </c>
      <c r="AO136" s="12">
        <f>AO36</f>
        <v>-276.593543237892</v>
      </c>
      <c r="AP136" s="12">
        <f>AP36</f>
        <v>-260.133628818916</v>
      </c>
      <c r="AQ136" s="12" t="n"/>
      <c r="AR136" s="12">
        <f>AR36</f>
        <v>-279.368430538269</v>
      </c>
      <c r="AS136" s="12">
        <f>AS36</f>
        <v>-291.122626167405</v>
      </c>
      <c r="AT136" s="12">
        <f>AT36</f>
        <v>-301.286904841629</v>
      </c>
      <c r="AU136" s="12">
        <f>AU36</f>
        <v>-283.3575034131</v>
      </c>
      <c r="AV136" s="12" t="n"/>
      <c r="AW136" s="12">
        <f>AW36</f>
        <v>-302.912682798677</v>
      </c>
      <c r="AX136" s="12">
        <f>AX36</f>
        <v>-315.657483366522</v>
      </c>
      <c r="AY136" s="12">
        <f>AY36</f>
        <v>-326.678374008998</v>
      </c>
      <c r="AZ136" s="12">
        <f>AZ36</f>
        <v>-307.23794161216</v>
      </c>
      <c r="BA136" s="12" t="n"/>
      <c r="BB136" s="12">
        <f>BB36</f>
        <v>-326.926603769794</v>
      </c>
      <c r="BC136" s="12">
        <f>BC36</f>
        <v>-340.681770198854</v>
      </c>
      <c r="BD136" s="12">
        <f>BD36</f>
        <v>-352.576360794975</v>
      </c>
      <c r="BE136" s="12">
        <f>BE36</f>
        <v>-331.594754872787</v>
      </c>
      <c r="BF136" s="12" t="n"/>
      <c r="BG136" s="12" t="n"/>
      <c r="BH136" s="12" t="n"/>
      <c r="BI136" s="12" t="n"/>
      <c r="BJ136" s="12" t="n"/>
      <c r="BK136" s="12" t="n"/>
      <c r="BL136" s="12" t="n"/>
      <c r="BM136" s="12" t="n"/>
      <c r="BN136" s="12" t="n"/>
      <c r="BO136" s="12" t="n"/>
      <c r="BP136" s="12" t="n"/>
      <c r="BQ136" s="12" t="n"/>
      <c r="BR136" s="12" t="n"/>
      <c r="BS136" s="12" t="n"/>
      <c r="BT136" s="12" t="n"/>
      <c r="BU136" s="12" t="n"/>
      <c r="BV136" s="12" t="n"/>
      <c r="BW136" s="12" t="n"/>
      <c r="BX136" s="12" t="n"/>
      <c r="BY136" s="12" t="n"/>
      <c r="BZ136" s="12" t="n"/>
      <c r="CA136" s="12" t="n"/>
      <c r="CB136" s="12" t="n"/>
      <c r="CC136" s="12" t="n"/>
      <c r="CD136" s="12" t="n"/>
      <c r="CE136" s="12" t="n"/>
      <c r="CF136" s="12" t="n"/>
      <c r="CG136" s="12" t="n"/>
      <c r="CH136" s="12" t="n"/>
      <c r="CI136" s="12" t="n"/>
      <c r="CJ136" s="12" t="n"/>
      <c r="CK136" s="12" t="n"/>
      <c r="CL136" s="12" t="n"/>
      <c r="CM136" s="12" t="n"/>
      <c r="CN136" s="12" t="n"/>
      <c r="CO136" s="12" t="n"/>
      <c r="CP136" s="12" t="n"/>
      <c r="CQ136" s="12" t="n"/>
      <c r="CR136" s="12" t="n"/>
      <c r="CS136" s="12" t="n"/>
      <c r="CT136" s="12" t="n"/>
      <c r="CU136" s="12" t="n"/>
      <c r="CV136" s="12" t="n"/>
      <c r="CW136" s="12" t="n"/>
      <c r="CX136" s="12" t="n"/>
      <c r="CY136" s="12" t="n"/>
    </row>
    <row r="137" hidden="1" outlineLevel="1">
      <c r="C137" s="57" t="inlineStr">
        <is>
          <t>PP&amp;E</t>
        </is>
      </c>
      <c r="D137" s="12" t="n"/>
      <c r="E137" s="12" t="n"/>
      <c r="F137" s="12" t="n"/>
      <c r="G137" s="12" t="n"/>
      <c r="H137" s="12" t="n"/>
      <c r="I137" s="12">
        <f>I132</f>
        <v>690.647707332</v>
      </c>
      <c r="J137" s="12">
        <f>J132</f>
        <v>707.228095127</v>
      </c>
      <c r="K137" s="12">
        <f>K132</f>
        <v>720.527861893</v>
      </c>
      <c r="L137" s="12">
        <f>L132</f>
        <v>814.406748984</v>
      </c>
      <c r="M137" s="12" t="n"/>
      <c r="N137" s="12">
        <f>N132</f>
        <v>800.795161026</v>
      </c>
      <c r="O137" s="12">
        <f>O132</f>
        <v>825.129211877</v>
      </c>
      <c r="P137" s="12">
        <f>P132</f>
        <v>874.14140573</v>
      </c>
      <c r="Q137" s="12">
        <f>Q132</f>
        <v>925.882893133</v>
      </c>
      <c r="R137" s="12" t="n"/>
      <c r="S137" s="12">
        <f>S132</f>
        <v>909.11490776</v>
      </c>
      <c r="T137" s="12">
        <f>T132</f>
        <v>1351.334</v>
      </c>
      <c r="U137" s="12">
        <f>U132</f>
        <v>1349.217</v>
      </c>
      <c r="V137" s="12">
        <f>V132</f>
        <v>1348.492</v>
      </c>
      <c r="W137" s="12" t="n"/>
      <c r="X137" s="12">
        <f>X132</f>
        <v>1326.688</v>
      </c>
      <c r="Y137" s="12">
        <f>Y132</f>
        <v>1320.192</v>
      </c>
      <c r="Z137" s="12">
        <f>Z132</f>
        <v>1334.583</v>
      </c>
      <c r="AA137" s="12">
        <f>Y137+SUM(AA134:AA136)</f>
        <v>1360.674</v>
      </c>
      <c r="AB137" s="12" t="n"/>
      <c r="AC137" s="12">
        <f>AC132</f>
        <v>1348.365553</v>
      </c>
      <c r="AD137" s="12">
        <f>AD132</f>
        <v>1338.359</v>
      </c>
      <c r="AE137" s="12">
        <f>AE132</f>
        <v>1344.449</v>
      </c>
      <c r="AF137" s="12">
        <f>AF132</f>
        <v>1379.255</v>
      </c>
      <c r="AG137" s="12" t="n"/>
      <c r="AH137" s="12">
        <f>AH132</f>
        <v>1355.204</v>
      </c>
      <c r="AI137" s="12">
        <f>AI132</f>
        <v>1404.052</v>
      </c>
      <c r="AJ137" s="12">
        <f>AI137+SUM(AJ134:AJ136)</f>
        <v>1408.81759526793</v>
      </c>
      <c r="AK137" s="12">
        <f>AJ137+SUM(AK134:AK136)</f>
        <v>1413.29959284465</v>
      </c>
      <c r="AL137" s="12" t="n"/>
      <c r="AM137" s="12">
        <f>AK137+SUM(AM134:AM136)</f>
        <v>1418.1350928051</v>
      </c>
      <c r="AN137" s="12">
        <f>AM137+SUM(AN134:AN136)</f>
        <v>1423.1740424266</v>
      </c>
      <c r="AO137" s="12">
        <f>AN137+SUM(AO134:AO136)</f>
        <v>1428.38892233855</v>
      </c>
      <c r="AP137" s="12">
        <f>AO137+SUM(AP134:AP136)</f>
        <v>1433.29346790195</v>
      </c>
      <c r="AQ137" s="12" t="n"/>
      <c r="AR137" s="12">
        <f>AP137+SUM(AR134:AR136)</f>
        <v>1438.56066539106</v>
      </c>
      <c r="AS137" s="12">
        <f>AR137+SUM(AS134:AS136)</f>
        <v>1444.04947585765</v>
      </c>
      <c r="AT137" s="12">
        <f>AS137+SUM(AT134:AT136)</f>
        <v>1449.72992309224</v>
      </c>
      <c r="AU137" s="12">
        <f>AT137+SUM(AU134:AU136)</f>
        <v>1455.07233034857</v>
      </c>
      <c r="AV137" s="12" t="n"/>
      <c r="AW137" s="12">
        <f>AU137+SUM(AW134:AW136)</f>
        <v>1460.78342991406</v>
      </c>
      <c r="AX137" s="12">
        <f>AW137+SUM(AX134:AX136)</f>
        <v>1466.7348192697</v>
      </c>
      <c r="AY137" s="12">
        <f>AX137+SUM(AY134:AY136)</f>
        <v>1472.89399590971</v>
      </c>
      <c r="AZ137" s="12">
        <f>AY137+SUM(AZ134:AZ136)</f>
        <v>1478.68664367417</v>
      </c>
      <c r="BA137" s="12" t="n"/>
      <c r="BB137" s="12">
        <f>AZ137+SUM(BB134:BB136)</f>
        <v>1484.85050042485</v>
      </c>
      <c r="BC137" s="12">
        <f>BB137+SUM(BC134:BC136)</f>
        <v>1491.27369634975</v>
      </c>
      <c r="BD137" s="12">
        <f>BC137+SUM(BD134:BD136)</f>
        <v>1497.92115225133</v>
      </c>
      <c r="BE137" s="12">
        <f>BD137+SUM(BE134:BE136)</f>
        <v>1504.17302207393</v>
      </c>
      <c r="BF137" s="12" t="n"/>
      <c r="BG137" s="12" t="n"/>
      <c r="BH137" s="12" t="n"/>
      <c r="BI137" s="12" t="n"/>
      <c r="BJ137" s="12" t="n"/>
      <c r="BK137" s="12" t="n"/>
      <c r="BL137" s="12" t="n"/>
      <c r="BM137" s="12" t="n"/>
      <c r="BN137" s="12" t="n"/>
      <c r="BO137" s="12" t="n"/>
      <c r="BP137" s="12" t="n"/>
      <c r="BQ137" s="12" t="n"/>
      <c r="BR137" s="12" t="n"/>
      <c r="BS137" s="12" t="n"/>
      <c r="BT137" s="12" t="n"/>
      <c r="BU137" s="12" t="n"/>
      <c r="BV137" s="12" t="n"/>
      <c r="BW137" s="12" t="n"/>
      <c r="BX137" s="12" t="n"/>
      <c r="BY137" s="12" t="n"/>
      <c r="BZ137" s="12" t="n"/>
      <c r="CA137" s="12" t="n"/>
      <c r="CB137" s="12" t="n"/>
      <c r="CC137" s="12" t="n"/>
      <c r="CD137" s="12" t="n"/>
      <c r="CE137" s="12" t="n"/>
      <c r="CF137" s="12" t="n"/>
      <c r="CG137" s="12" t="n"/>
      <c r="CH137" s="12" t="n"/>
      <c r="CI137" s="12" t="n"/>
      <c r="CJ137" s="12" t="n"/>
      <c r="CK137" s="12" t="n"/>
      <c r="CL137" s="12" t="n"/>
      <c r="CM137" s="12" t="n"/>
      <c r="CN137" s="12" t="n"/>
      <c r="CO137" s="12" t="n"/>
      <c r="CP137" s="12" t="n"/>
      <c r="CQ137" s="12" t="n"/>
      <c r="CR137" s="12" t="n"/>
      <c r="CS137" s="12" t="n"/>
      <c r="CT137" s="12" t="n"/>
      <c r="CU137" s="12" t="n"/>
      <c r="CV137" s="12" t="n"/>
      <c r="CW137" s="12" t="n"/>
      <c r="CX137" s="12" t="n"/>
      <c r="CY137" s="12" t="n"/>
    </row>
    <row r="138" hidden="1" outlineLevel="1">
      <c r="C138" s="57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  <c r="Z138" s="12" t="n"/>
      <c r="AA138" s="12" t="n"/>
      <c r="AB138" s="12" t="n"/>
      <c r="AC138" s="12" t="n"/>
      <c r="AD138" s="12" t="n"/>
      <c r="AE138" s="12" t="n"/>
      <c r="AF138" s="12" t="n"/>
      <c r="AG138" s="12" t="n"/>
      <c r="AH138" s="12" t="n"/>
      <c r="AI138" s="12" t="n"/>
      <c r="AJ138" s="12">
        <f>IF(AJ15=0,"",AJ134/AJ15)</f>
        <v>0.107414127775675</v>
      </c>
      <c r="AK138" s="12">
        <f>IF(AK15=0,"",AK134/AK15)</f>
        <v>0.107414127775675</v>
      </c>
      <c r="AL138" s="12" t="n"/>
      <c r="AM138" s="12">
        <f>IF(AM15=0,"",AM134/AM15)</f>
        <v>0.107414127775675</v>
      </c>
      <c r="AN138" s="12">
        <f>IF(AN15=0,"",AN134/AN15)</f>
        <v>0.107414127775675</v>
      </c>
      <c r="AO138" s="12">
        <f>IF(AO15=0,"",AO134/AO15)</f>
        <v>0.107414127775675</v>
      </c>
      <c r="AP138" s="12">
        <f>IF(AP15=0,"",AP134/AP15)</f>
        <v>0.107414127775675</v>
      </c>
      <c r="AQ138" s="12" t="n"/>
      <c r="AR138" s="12">
        <f>IF(AR15=0,"",AR134/AR15)</f>
        <v>0.107414127775675</v>
      </c>
      <c r="AS138" s="12">
        <f>IF(AS15=0,"",AS134/AS15)</f>
        <v>0.107414127775675</v>
      </c>
      <c r="AT138" s="12">
        <f>IF(AT15=0,"",AT134/AT15)</f>
        <v>0.107414127775675</v>
      </c>
      <c r="AU138" s="12">
        <f>IF(AU15=0,"",AU134/AU15)</f>
        <v>0.107414127775675</v>
      </c>
      <c r="AV138" s="12" t="n"/>
      <c r="AW138" s="12">
        <f>IF(AW15=0,"",AW134/AW15)</f>
        <v>0.107414127775675</v>
      </c>
      <c r="AX138" s="12">
        <f>IF(AX15=0,"",AX134/AX15)</f>
        <v>0.107414127775675</v>
      </c>
      <c r="AY138" s="12">
        <f>IF(AY15=0,"",AY134/AY15)</f>
        <v>0.107414127775675</v>
      </c>
      <c r="AZ138" s="12">
        <f>IF(AZ15=0,"",AZ134/AZ15)</f>
        <v>0.107414127775675</v>
      </c>
      <c r="BA138" s="12" t="n"/>
      <c r="BB138" s="12">
        <f>IF(BB15=0,"",BB134/BB15)</f>
        <v>0.107414127775675</v>
      </c>
      <c r="BC138" s="12">
        <f>IF(BC15=0,"",BC134/BC15)</f>
        <v>0.107414127775675</v>
      </c>
      <c r="BD138" s="12">
        <f>IF(BD15=0,"",BD134/BD15)</f>
        <v>0.107414127775675</v>
      </c>
      <c r="BE138" s="12">
        <f>IF(BE15=0,"",BE134/BE15)</f>
        <v>0.107414127775675</v>
      </c>
      <c r="BF138" s="12" t="n"/>
      <c r="BG138" s="12" t="n"/>
      <c r="BH138" s="12" t="n"/>
      <c r="BI138" s="12" t="n"/>
      <c r="BJ138" s="12" t="n"/>
      <c r="BK138" s="12" t="n"/>
      <c r="BL138" s="12" t="n"/>
      <c r="BM138" s="12" t="n"/>
      <c r="BN138" s="12" t="n"/>
      <c r="BO138" s="12" t="n"/>
      <c r="BP138" s="12" t="n"/>
      <c r="BQ138" s="12" t="n"/>
      <c r="BR138" s="12" t="n"/>
      <c r="BS138" s="12" t="n"/>
      <c r="BT138" s="12" t="n"/>
      <c r="BU138" s="12" t="n"/>
      <c r="BV138" s="12" t="n"/>
      <c r="BW138" s="12" t="n"/>
      <c r="BX138" s="12" t="n"/>
      <c r="BY138" s="12" t="n"/>
      <c r="BZ138" s="12" t="n"/>
      <c r="CA138" s="12" t="n"/>
      <c r="CB138" s="12" t="n"/>
      <c r="CC138" s="12" t="n"/>
      <c r="CD138" s="12" t="n"/>
      <c r="CE138" s="12" t="n"/>
      <c r="CF138" s="12" t="n"/>
      <c r="CG138" s="12" t="n"/>
      <c r="CH138" s="12" t="n"/>
      <c r="CI138" s="12" t="n"/>
      <c r="CJ138" s="12" t="n"/>
      <c r="CK138" s="12" t="n"/>
      <c r="CL138" s="12" t="n"/>
      <c r="CM138" s="12" t="n"/>
      <c r="CN138" s="12" t="n"/>
      <c r="CO138" s="12" t="n"/>
      <c r="CP138" s="12" t="n"/>
      <c r="CQ138" s="12" t="n"/>
      <c r="CR138" s="12" t="n"/>
      <c r="CS138" s="12" t="n"/>
      <c r="CT138" s="12" t="n"/>
      <c r="CU138" s="12" t="n"/>
      <c r="CV138" s="12" t="n"/>
      <c r="CW138" s="12" t="n"/>
      <c r="CX138" s="12" t="n"/>
      <c r="CY138" s="12" t="n"/>
    </row>
    <row r="139" hidden="1" outlineLevel="1">
      <c r="C139" s="57" t="inlineStr">
        <is>
          <t>Capital expenditures (% Net Revenues)</t>
        </is>
      </c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  <c r="AA139" s="12" t="n"/>
      <c r="AB139" s="12" t="n"/>
      <c r="AC139" s="12" t="n"/>
      <c r="AD139" s="12" t="n"/>
      <c r="AE139" s="12" t="n"/>
      <c r="AF139" s="58">
        <f>IFERROR(AF134/AF15,"")</f>
        <v>0.131611409028421</v>
      </c>
      <c r="AG139" s="58">
        <f>IFERROR(AG134/AG15,"")</f>
        <v>0.109091922198733</v>
      </c>
      <c r="AH139" s="58">
        <f>IFERROR(AH134/AH15,"")</f>
        <v>0.0940439116736232</v>
      </c>
      <c r="AI139" s="58">
        <f>IFERROR(AI134/AI15,"")</f>
        <v>0.114239777978518</v>
      </c>
      <c r="AJ139" s="58">
        <f>IFERROR(AJ134/AJ15,"")</f>
        <v>0.107414127775675</v>
      </c>
      <c r="AK139" s="58">
        <f>IFERROR(AK134/AK15,"")</f>
        <v>0.107414127775675</v>
      </c>
      <c r="AL139" s="58">
        <f>IFERROR(AL134/AL15,"")</f>
        <v>0</v>
      </c>
      <c r="AM139" s="58">
        <f>IFERROR(AM134/AM15,"")</f>
        <v>0.107414127775675</v>
      </c>
      <c r="AN139" s="58">
        <f>IFERROR(AN134/AN15,"")</f>
        <v>0.107414127775675</v>
      </c>
      <c r="AO139" s="58">
        <f>IFERROR(AO134/AO15,"")</f>
        <v>0.107414127775675</v>
      </c>
      <c r="AP139" s="58">
        <f>IFERROR(AP134/AP15,"")</f>
        <v>0.107414127775675</v>
      </c>
      <c r="AQ139" s="58">
        <f>IFERROR(AQ134/AQ15,"")</f>
        <v>0</v>
      </c>
      <c r="AR139" s="58">
        <f>IFERROR(AR134/AR15,"")</f>
        <v>0.107414127775675</v>
      </c>
      <c r="AS139" s="58">
        <f>IFERROR(AS134/AS15,"")</f>
        <v>0.107414127775675</v>
      </c>
      <c r="AT139" s="58">
        <f>IFERROR(AT134/AT15,"")</f>
        <v>0.107414127775675</v>
      </c>
      <c r="AU139" s="58">
        <f>IFERROR(AU134/AU15,"")</f>
        <v>0.107414127775675</v>
      </c>
      <c r="AV139" s="58">
        <f>IFERROR(AV134/AV15,"")</f>
        <v>0</v>
      </c>
      <c r="AW139" s="58">
        <f>IFERROR(AW134/AW15,"")</f>
        <v>0.107414127775675</v>
      </c>
      <c r="AX139" s="58">
        <f>IFERROR(AX134/AX15,"")</f>
        <v>0.107414127775675</v>
      </c>
      <c r="AY139" s="58">
        <f>IFERROR(AY134/AY15,"")</f>
        <v>0.107414127775675</v>
      </c>
      <c r="AZ139" s="58">
        <f>IFERROR(AZ134/AZ15,"")</f>
        <v>0.107414127775675</v>
      </c>
      <c r="BA139" s="58">
        <f>IFERROR(BA134/BA15,"")</f>
        <v>0</v>
      </c>
      <c r="BB139" s="58">
        <f>IFERROR(BB134/BB15,"")</f>
        <v>0.107414127775675</v>
      </c>
      <c r="BC139" s="58">
        <f>IFERROR(BC134/BC15,"")</f>
        <v>0.107414127775675</v>
      </c>
      <c r="BD139" s="58">
        <f>IFERROR(BD134/BD15,"")</f>
        <v>0.107414127775675</v>
      </c>
      <c r="BE139" s="58">
        <f>IFERROR(BE134/BE15,"")</f>
        <v>0.107414127775675</v>
      </c>
      <c r="BF139" s="58">
        <f>IFERROR(BF134/BF15,"")</f>
        <v>0</v>
      </c>
      <c r="BG139" s="58" t="n"/>
      <c r="BH139" s="58" t="n"/>
      <c r="BI139" s="58" t="n"/>
      <c r="BJ139" s="58" t="n"/>
      <c r="BK139" s="58" t="n"/>
      <c r="BL139" s="58" t="n"/>
      <c r="BM139" s="58" t="n"/>
      <c r="BN139" s="58" t="n"/>
      <c r="BO139" s="58" t="n"/>
      <c r="BP139" s="58" t="n"/>
      <c r="BQ139" s="58" t="n"/>
      <c r="BR139" s="58" t="n"/>
      <c r="BS139" s="58" t="n"/>
      <c r="BT139" s="58" t="n"/>
      <c r="BU139" s="58" t="n"/>
      <c r="BV139" s="58" t="n"/>
      <c r="BW139" s="58" t="n"/>
      <c r="BX139" s="58" t="n"/>
      <c r="BY139" s="58" t="n"/>
      <c r="BZ139" s="58" t="n"/>
      <c r="CA139" s="58" t="n"/>
      <c r="CB139" s="58" t="n"/>
      <c r="CC139" s="58" t="n"/>
      <c r="CD139" s="58" t="n"/>
      <c r="CE139" s="58" t="n"/>
      <c r="CF139" s="58" t="n"/>
      <c r="CG139" s="58" t="n"/>
      <c r="CH139" s="58" t="n"/>
      <c r="CI139" s="58" t="n"/>
      <c r="CJ139" s="58" t="n"/>
      <c r="CK139" s="58" t="n"/>
      <c r="CL139" s="58" t="n"/>
      <c r="CM139" s="58" t="n"/>
      <c r="CN139" s="58" t="n"/>
      <c r="CO139" s="58" t="n"/>
      <c r="CP139" s="58" t="n"/>
      <c r="CQ139" s="58" t="n"/>
      <c r="CR139" s="58" t="n"/>
      <c r="CS139" s="58" t="n"/>
      <c r="CT139" s="58" t="n"/>
      <c r="CU139" s="58" t="n"/>
      <c r="CV139" s="58" t="n"/>
      <c r="CW139" s="58" t="n"/>
      <c r="CX139" s="58" t="n"/>
      <c r="CY139" s="58" t="n"/>
    </row>
    <row r="140" hidden="1" outlineLevel="1">
      <c r="C140" s="57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  <c r="AA140" s="12" t="n"/>
      <c r="AB140" s="12" t="n"/>
      <c r="AC140" s="12" t="n"/>
      <c r="AD140" s="12" t="n"/>
      <c r="AE140" s="12" t="n"/>
      <c r="AF140" s="12" t="n"/>
      <c r="AG140" s="12" t="n"/>
      <c r="AH140" s="12" t="n"/>
      <c r="AI140" s="12" t="n"/>
      <c r="AJ140" s="12" t="n"/>
      <c r="AK140" s="12" t="n"/>
      <c r="AL140" s="12" t="n"/>
      <c r="AM140" s="12" t="n"/>
      <c r="AN140" s="12" t="n"/>
      <c r="AO140" s="12" t="n"/>
      <c r="AP140" s="12" t="n"/>
      <c r="AQ140" s="12" t="n"/>
      <c r="AR140" s="12" t="n"/>
      <c r="AS140" s="12" t="n"/>
      <c r="AT140" s="12" t="n"/>
      <c r="AU140" s="12" t="n"/>
      <c r="AV140" s="12" t="n"/>
      <c r="AW140" s="12" t="n"/>
      <c r="AX140" s="12" t="n"/>
      <c r="AY140" s="12" t="n"/>
      <c r="AZ140" s="12" t="n"/>
      <c r="BA140" s="12" t="n"/>
      <c r="BB140" s="12" t="n"/>
      <c r="BC140" s="12" t="n"/>
      <c r="BD140" s="12" t="n"/>
      <c r="BE140" s="12" t="n"/>
      <c r="BF140" s="12" t="n"/>
      <c r="BG140" s="12" t="n"/>
      <c r="BH140" s="12" t="n"/>
      <c r="BI140" s="12" t="n"/>
      <c r="BJ140" s="12" t="n"/>
      <c r="BK140" s="12" t="n"/>
      <c r="BL140" s="12" t="n"/>
      <c r="BM140" s="12" t="n"/>
      <c r="BN140" s="12" t="n"/>
      <c r="BO140" s="12" t="n"/>
      <c r="BP140" s="12" t="n"/>
      <c r="BQ140" s="12" t="n"/>
      <c r="BR140" s="12" t="n"/>
      <c r="BS140" s="12" t="n"/>
      <c r="BT140" s="12" t="n"/>
      <c r="BU140" s="12" t="n"/>
      <c r="BV140" s="12" t="n"/>
      <c r="BW140" s="12" t="n"/>
      <c r="BX140" s="12" t="n"/>
      <c r="BY140" s="12" t="n"/>
      <c r="BZ140" s="12" t="n"/>
      <c r="CA140" s="12" t="n"/>
      <c r="CB140" s="12" t="n"/>
      <c r="CC140" s="12" t="n"/>
      <c r="CD140" s="12" t="n"/>
      <c r="CE140" s="12" t="n"/>
      <c r="CF140" s="12" t="n"/>
      <c r="CG140" s="12" t="n"/>
      <c r="CH140" s="12" t="n"/>
      <c r="CI140" s="12" t="n"/>
      <c r="CJ140" s="12" t="n"/>
      <c r="CK140" s="12" t="n"/>
      <c r="CL140" s="12" t="n"/>
      <c r="CM140" s="12" t="n"/>
      <c r="CN140" s="12" t="n"/>
      <c r="CO140" s="12" t="n"/>
      <c r="CP140" s="12" t="n"/>
      <c r="CQ140" s="12" t="n"/>
      <c r="CR140" s="12" t="n"/>
      <c r="CS140" s="12" t="n"/>
      <c r="CT140" s="12" t="n"/>
      <c r="CU140" s="12" t="n"/>
      <c r="CV140" s="12" t="n"/>
      <c r="CW140" s="12" t="n"/>
      <c r="CX140" s="12" t="n"/>
      <c r="CY140" s="12" t="n"/>
    </row>
    <row r="141" hidden="1" outlineLevel="1">
      <c r="C141" s="57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12" t="n"/>
      <c r="T141" s="12" t="n"/>
      <c r="U141" s="12" t="n"/>
      <c r="V141" s="12" t="n"/>
      <c r="W141" s="12" t="n"/>
      <c r="X141" s="12" t="n"/>
      <c r="Y141" s="12" t="n"/>
      <c r="Z141" s="12" t="n"/>
      <c r="AA141" s="12" t="n"/>
      <c r="AB141" s="12" t="n"/>
      <c r="AC141" s="12" t="n"/>
      <c r="AD141" s="12" t="n"/>
      <c r="AE141" s="12" t="n"/>
      <c r="AF141" s="12" t="n"/>
      <c r="AG141" s="12" t="n"/>
      <c r="AH141" s="12" t="n"/>
      <c r="AI141" s="12" t="n"/>
      <c r="AJ141" s="12" t="n"/>
      <c r="AK141" s="12" t="n"/>
      <c r="AL141" s="12" t="n"/>
      <c r="AM141" s="12" t="n"/>
      <c r="AN141" s="12" t="n"/>
      <c r="AO141" s="12" t="n"/>
      <c r="AP141" s="12" t="n"/>
      <c r="AQ141" s="12" t="n"/>
      <c r="AR141" s="12" t="n"/>
      <c r="AS141" s="12" t="n"/>
      <c r="AT141" s="12" t="n"/>
      <c r="AU141" s="12" t="n"/>
      <c r="AV141" s="12" t="n"/>
      <c r="AW141" s="12" t="n"/>
      <c r="AX141" s="12" t="n"/>
      <c r="AY141" s="12" t="n"/>
      <c r="AZ141" s="12" t="n"/>
      <c r="BA141" s="12" t="n"/>
      <c r="BB141" s="12" t="n"/>
      <c r="BC141" s="12" t="n"/>
      <c r="BD141" s="12" t="n"/>
      <c r="BE141" s="12" t="n"/>
      <c r="BF141" s="12" t="n"/>
      <c r="BG141" s="12" t="n"/>
      <c r="BH141" s="12" t="n"/>
      <c r="BI141" s="12" t="n"/>
      <c r="BJ141" s="12" t="n"/>
      <c r="BK141" s="12" t="n"/>
      <c r="BL141" s="12" t="n"/>
      <c r="BM141" s="12" t="n"/>
      <c r="BN141" s="12" t="n"/>
      <c r="BO141" s="12" t="n"/>
      <c r="BP141" s="12" t="n"/>
      <c r="BQ141" s="12" t="n"/>
      <c r="BR141" s="12" t="n"/>
      <c r="BS141" s="12" t="n"/>
      <c r="BT141" s="12" t="n"/>
      <c r="BU141" s="12" t="n"/>
      <c r="BV141" s="12" t="n"/>
      <c r="BW141" s="12" t="n"/>
      <c r="BX141" s="12" t="n"/>
      <c r="BY141" s="12" t="n"/>
      <c r="BZ141" s="12" t="n"/>
      <c r="CA141" s="12" t="n"/>
      <c r="CB141" s="12" t="n"/>
      <c r="CC141" s="12" t="n"/>
      <c r="CD141" s="12" t="n"/>
      <c r="CE141" s="12" t="n"/>
      <c r="CF141" s="12" t="n"/>
      <c r="CG141" s="12" t="n"/>
      <c r="CH141" s="12" t="n"/>
      <c r="CI141" s="12" t="n"/>
      <c r="CJ141" s="12" t="n"/>
      <c r="CK141" s="12" t="n"/>
      <c r="CL141" s="12" t="n"/>
      <c r="CM141" s="12" t="n"/>
      <c r="CN141" s="12" t="n"/>
      <c r="CO141" s="12" t="n"/>
      <c r="CP141" s="12" t="n"/>
      <c r="CQ141" s="12" t="n"/>
      <c r="CR141" s="12" t="n"/>
      <c r="CS141" s="12" t="n"/>
      <c r="CT141" s="12" t="n"/>
      <c r="CU141" s="12" t="n"/>
      <c r="CV141" s="12" t="n"/>
      <c r="CW141" s="12" t="n"/>
      <c r="CX141" s="12" t="n"/>
      <c r="CY141" s="12" t="n"/>
    </row>
    <row r="142" collapsed="1">
      <c r="C142" s="14" t="inlineStr">
        <is>
          <t>Right-of-use-assets</t>
        </is>
      </c>
      <c r="D142" s="46" t="n"/>
      <c r="E142" s="46" t="n"/>
      <c r="F142" s="46" t="n"/>
      <c r="G142" s="46" t="n"/>
      <c r="H142" s="12" t="n"/>
      <c r="I142" s="46">
        <f>'Inputs (2)'!D23</f>
        <v>700.21256363</v>
      </c>
      <c r="J142" s="46">
        <f>'Inputs (2)'!E23</f>
        <v>682.61007549</v>
      </c>
      <c r="K142" s="46">
        <f>'Inputs (2)'!F23</f>
        <v>691.23293304</v>
      </c>
      <c r="L142" s="46">
        <f>'Inputs (2)'!G23</f>
        <v>750.77481334</v>
      </c>
      <c r="M142" s="12">
        <f>'Inputs (2)'!H23</f>
        <v>750.77481334</v>
      </c>
      <c r="N142" s="46">
        <f>'Inputs (2)'!I23</f>
        <v>793.13655731</v>
      </c>
      <c r="O142" s="46">
        <f>'Inputs (2)'!J23</f>
        <v>819.19444533</v>
      </c>
      <c r="P142" s="46">
        <f>'Inputs (2)'!K23</f>
        <v>800.2101333</v>
      </c>
      <c r="Q142" s="46">
        <f>'Inputs (2)'!L23</f>
        <v>1022.28667143</v>
      </c>
      <c r="R142" s="12">
        <f>'Inputs (2)'!M23</f>
        <v>1022.28667143</v>
      </c>
      <c r="S142" s="46">
        <f>'Inputs (2)'!N23</f>
        <v>1026.53310531</v>
      </c>
      <c r="T142" s="46">
        <f>'Inputs (2)'!O23</f>
        <v>1332.423</v>
      </c>
      <c r="U142" s="46">
        <f>'Inputs (2)'!P23</f>
        <v>1296.497</v>
      </c>
      <c r="V142" s="46">
        <f>'Inputs (2)'!Q23</f>
        <v>1295.095</v>
      </c>
      <c r="W142" s="12">
        <f>'Inputs (2)'!R23</f>
        <v>1295.095</v>
      </c>
      <c r="X142" s="46">
        <f>'Inputs (2)'!S23</f>
        <v>1249.703</v>
      </c>
      <c r="Y142" s="46">
        <f>'Inputs (2)'!T23</f>
        <v>1202.109</v>
      </c>
      <c r="Z142" s="46">
        <f>'Inputs (2)'!U23</f>
        <v>1159.406</v>
      </c>
      <c r="AA142" s="46">
        <f>'Inputs (2)'!V23</f>
        <v>1138.643</v>
      </c>
      <c r="AB142" s="12">
        <f>'Inputs (2)'!W23</f>
        <v>1138.643</v>
      </c>
      <c r="AC142" s="46">
        <f>'Inputs (2)'!X23</f>
        <v>1140.475247</v>
      </c>
      <c r="AD142" s="46">
        <f>'Inputs (2)'!Y23</f>
        <v>1096.847</v>
      </c>
      <c r="AE142" s="46">
        <f>'Inputs (2)'!Z23</f>
        <v>1104.344</v>
      </c>
      <c r="AF142" s="46">
        <f>'Inputs (2)'!AA23</f>
        <v>1098.591</v>
      </c>
      <c r="AG142" s="12">
        <f>'Inputs (2)'!AB23</f>
        <v>1098.591</v>
      </c>
      <c r="AH142" s="12">
        <f>'Inputs (2)'!AC23</f>
        <v>1079.421</v>
      </c>
      <c r="AI142" s="12">
        <f>'Inputs (2)'!AD23</f>
        <v>1203.367</v>
      </c>
      <c r="AJ142" s="12">
        <f>AI142</f>
        <v>1203.367</v>
      </c>
      <c r="AK142" s="12">
        <f>AJ142</f>
        <v>1203.367</v>
      </c>
      <c r="AL142" s="12">
        <f>AK142</f>
        <v>1203.367</v>
      </c>
      <c r="AM142" s="12">
        <f>AL142</f>
        <v>1203.367</v>
      </c>
      <c r="AN142" s="12">
        <f>AM142</f>
        <v>1203.367</v>
      </c>
      <c r="AO142" s="12">
        <f>AN142</f>
        <v>1203.367</v>
      </c>
      <c r="AP142" s="12">
        <f>AO142</f>
        <v>1203.367</v>
      </c>
      <c r="AQ142" s="12">
        <f>AP142</f>
        <v>1203.367</v>
      </c>
      <c r="AR142" s="12">
        <f>AQ142</f>
        <v>1203.367</v>
      </c>
      <c r="AS142" s="12">
        <f>AR142</f>
        <v>1203.367</v>
      </c>
      <c r="AT142" s="12">
        <f>AS142</f>
        <v>1203.367</v>
      </c>
      <c r="AU142" s="12">
        <f>AT142</f>
        <v>1203.367</v>
      </c>
      <c r="AV142" s="12">
        <f>AU142</f>
        <v>1203.367</v>
      </c>
      <c r="AW142" s="12">
        <f>AV142</f>
        <v>1203.367</v>
      </c>
      <c r="AX142" s="12">
        <f>AW142</f>
        <v>1203.367</v>
      </c>
      <c r="AY142" s="12">
        <f>AX142</f>
        <v>1203.367</v>
      </c>
      <c r="AZ142" s="12">
        <f>AY142</f>
        <v>1203.367</v>
      </c>
      <c r="BA142" s="12">
        <f>AZ142</f>
        <v>1203.367</v>
      </c>
      <c r="BB142" s="12">
        <f>BA142</f>
        <v>1203.367</v>
      </c>
      <c r="BC142" s="12">
        <f>BB142</f>
        <v>1203.367</v>
      </c>
      <c r="BD142" s="12">
        <f>BC142</f>
        <v>1203.367</v>
      </c>
      <c r="BE142" s="12">
        <f>BD142</f>
        <v>1203.367</v>
      </c>
      <c r="BF142" s="12">
        <f>BE142</f>
        <v>1203.367</v>
      </c>
      <c r="BG142" s="12" t="n"/>
      <c r="BH142" s="12" t="n"/>
      <c r="BI142" s="12" t="n"/>
      <c r="BJ142" s="12" t="n"/>
      <c r="BK142" s="12" t="n"/>
      <c r="BL142" s="12" t="n"/>
      <c r="BM142" s="12" t="n"/>
      <c r="BN142" s="12" t="n"/>
      <c r="BO142" s="12" t="n"/>
      <c r="BP142" s="12" t="n"/>
      <c r="BQ142" s="12" t="n"/>
      <c r="BR142" s="12" t="n"/>
      <c r="BS142" s="12" t="n"/>
      <c r="BT142" s="12" t="n"/>
      <c r="BU142" s="12" t="n"/>
      <c r="BV142" s="12" t="n"/>
      <c r="BW142" s="12" t="n"/>
      <c r="BX142" s="12" t="n"/>
      <c r="BY142" s="12" t="n"/>
      <c r="BZ142" s="12" t="n"/>
      <c r="CA142" s="12" t="n"/>
      <c r="CB142" s="12" t="n"/>
      <c r="CC142" s="12" t="n"/>
      <c r="CD142" s="12" t="n"/>
      <c r="CE142" s="12" t="n"/>
      <c r="CF142" s="12" t="n"/>
      <c r="CG142" s="12" t="n"/>
      <c r="CH142" s="12" t="n"/>
      <c r="CI142" s="12" t="n"/>
      <c r="CJ142" s="12" t="n"/>
      <c r="CK142" s="12" t="n"/>
      <c r="CL142" s="12" t="n"/>
      <c r="CM142" s="12" t="n"/>
      <c r="CN142" s="12" t="n"/>
      <c r="CO142" s="12" t="n"/>
      <c r="CP142" s="12" t="n"/>
      <c r="CQ142" s="12" t="n"/>
      <c r="CR142" s="12" t="n"/>
      <c r="CS142" s="12" t="n"/>
      <c r="CT142" s="12" t="n"/>
      <c r="CU142" s="12" t="n"/>
      <c r="CV142" s="12" t="n"/>
      <c r="CW142" s="12" t="n"/>
      <c r="CX142" s="12" t="n"/>
      <c r="CY142" s="12" t="n"/>
    </row>
    <row r="143" hidden="1" outlineLevel="1">
      <c r="C143" s="59" t="inlineStr">
        <is>
          <t>%(Var.)</t>
        </is>
      </c>
      <c r="D143" s="12" t="n"/>
      <c r="E143" s="40" t="n"/>
      <c r="F143" s="40" t="n"/>
      <c r="G143" s="40" t="n"/>
      <c r="H143" s="12" t="n"/>
      <c r="I143" s="40" t="str">
        <f>""</f>
        <v/>
      </c>
      <c r="J143" s="40">
        <f>IFERROR(IF(I142=0,"",J142/I142-1),"")</f>
        <v>-0.0251387779287281</v>
      </c>
      <c r="K143" s="40">
        <f>IFERROR(IF(J142=0,"",K142/J142-1),"")</f>
        <v>0.0126321861625178</v>
      </c>
      <c r="L143" s="40">
        <f>IFERROR(IF(K142=0,"",L142/K142-1),"")</f>
        <v>0.0861386624594671</v>
      </c>
      <c r="M143" s="12">
        <f>IFERROR(IF(L142=0,"",M142/L142-1),"")</f>
        <v>0</v>
      </c>
      <c r="N143" s="40">
        <f>IFERROR(IF(M142=0,"",N142/M142-1),"")</f>
        <v>0.0564240345004965</v>
      </c>
      <c r="O143" s="40">
        <f>IFERROR(IF(N142=0,"",O142/N142-1),"")</f>
        <v>0.0328542264000262</v>
      </c>
      <c r="P143" s="40">
        <f>IFERROR(IF(O142=0,"",P142/O142-1),"")</f>
        <v>-0.0231743661571735</v>
      </c>
      <c r="Q143" s="40">
        <f>IFERROR(IF(P142=0,"",Q142/P142-1),"")</f>
        <v>0.277522776691386</v>
      </c>
      <c r="R143" s="12">
        <f>IFERROR(IF(Q142=0,"",R142/Q142-1),"")</f>
        <v>0</v>
      </c>
      <c r="S143" s="40">
        <f>IFERROR(IF(R142=0,"",S142/R142-1),"")</f>
        <v>0.00415385820697445</v>
      </c>
      <c r="T143" s="40">
        <f>IFERROR(IF(S142=0,"",T142/S142-1),"")</f>
        <v>0.297983467954134</v>
      </c>
      <c r="U143" s="40">
        <f>IFERROR(IF(T142=0,"",U142/T142-1),"")</f>
        <v>-0.0269629089260692</v>
      </c>
      <c r="V143" s="40">
        <f>IFERROR(IF(U142=0,"",V142/U142-1),"")</f>
        <v>-0.00108137542932996</v>
      </c>
      <c r="W143" s="12">
        <f>IFERROR(IF(V142=0,"",W142/V142-1),"")</f>
        <v>0</v>
      </c>
      <c r="X143" s="40">
        <f>IFERROR(IF(W142=0,"",X142/W142-1),"")</f>
        <v>-0.0350491662773774</v>
      </c>
      <c r="Y143" s="40">
        <f>IFERROR(IF(X142=0,"",Y142/X142-1),"")</f>
        <v>-0.038084248817519</v>
      </c>
      <c r="Z143" s="40">
        <f>IFERROR(IF(Y142=0,"",Z142/Y142-1),"")</f>
        <v>-0.0355234009561529</v>
      </c>
      <c r="AA143" s="40">
        <f>IFERROR(IF(Z142=0,"",AA142/Z142-1),"")</f>
        <v>-0.0179083082198988</v>
      </c>
      <c r="AB143" s="12">
        <f>IFERROR(IF(AA142=0,"",AB142/AA142-1),"")</f>
        <v>0</v>
      </c>
      <c r="AC143" s="40">
        <f>IFERROR(IF(AB142=0,"",AC142/AB142-1),"")</f>
        <v>0.00160914966323955</v>
      </c>
      <c r="AD143" s="40">
        <f>IFERROR(IF(AC142=0,"",AD142/AC142-1),"")</f>
        <v>-0.0382544444649399</v>
      </c>
      <c r="AE143" s="40">
        <f>IFERROR(IF(AD142=0,"",AE142/AD142-1),"")</f>
        <v>0.00683504627354603</v>
      </c>
      <c r="AF143" s="55">
        <f>IFERROR(IF(AE142=0,"",AF142/AE142-1),"")</f>
        <v>-0.0052094274972293</v>
      </c>
      <c r="AG143" s="12">
        <f>IFERROR(IF(AF142=0,"",AG142/AF142-1),"")</f>
        <v>0</v>
      </c>
      <c r="AH143" s="55">
        <f>IFERROR(IF(AG142=0,"",AH142/AG142-1),"")</f>
        <v>-0.0174496241094273</v>
      </c>
      <c r="AI143" s="55">
        <f>IFERROR(IF(AH142=0,"",AI142/AH142-1),"")</f>
        <v>0.114826374510038</v>
      </c>
      <c r="AJ143" s="55">
        <f>IFERROR(IF(AI142=0,"",AJ142/AI142-1),"")</f>
        <v>0</v>
      </c>
      <c r="AK143" s="55">
        <f>IFERROR(IF(AJ142=0,"",AK142/AJ142-1),"")</f>
        <v>0</v>
      </c>
      <c r="AL143" s="12">
        <f>IFERROR(IF(AK142=0,"",AL142/AK142-1),"")</f>
        <v>0</v>
      </c>
      <c r="AM143" s="55">
        <f>IFERROR(IF(AL142=0,"",AM142/AL142-1),"")</f>
        <v>0</v>
      </c>
      <c r="AN143" s="55">
        <f>IFERROR(IF(AM142=0,"",AN142/AM142-1),"")</f>
        <v>0</v>
      </c>
      <c r="AO143" s="55">
        <f>IFERROR(IF(AN142=0,"",AO142/AN142-1),"")</f>
        <v>0</v>
      </c>
      <c r="AP143" s="55">
        <f>IFERROR(IF(AO142=0,"",AP142/AO142-1),"")</f>
        <v>0</v>
      </c>
      <c r="AQ143" s="12">
        <f>IFERROR(IF(AP142=0,"",AQ142/AP142-1),"")</f>
        <v>0</v>
      </c>
      <c r="AR143" s="55">
        <f>IFERROR(IF(AQ142=0,"",AR142/AQ142-1),"")</f>
        <v>0</v>
      </c>
      <c r="AS143" s="55">
        <f>IFERROR(IF(AR142=0,"",AS142/AR142-1),"")</f>
        <v>0</v>
      </c>
      <c r="AT143" s="55">
        <f>IFERROR(IF(AS142=0,"",AT142/AS142-1),"")</f>
        <v>0</v>
      </c>
      <c r="AU143" s="55">
        <f>IFERROR(IF(AT142=0,"",AU142/AT142-1),"")</f>
        <v>0</v>
      </c>
      <c r="AV143" s="12">
        <f>IFERROR(IF(AU142=0,"",AV142/AU142-1),"")</f>
        <v>0</v>
      </c>
      <c r="AW143" s="55">
        <f>IFERROR(IF(AV142=0,"",AW142/AV142-1),"")</f>
        <v>0</v>
      </c>
      <c r="AX143" s="55">
        <f>IFERROR(IF(AW142=0,"",AX142/AW142-1),"")</f>
        <v>0</v>
      </c>
      <c r="AY143" s="55">
        <f>IFERROR(IF(AX142=0,"",AY142/AX142-1),"")</f>
        <v>0</v>
      </c>
      <c r="AZ143" s="55">
        <f>IFERROR(IF(AY142=0,"",AZ142/AY142-1),"")</f>
        <v>0</v>
      </c>
      <c r="BA143" s="12">
        <f>IFERROR(IF(AZ142=0,"",BA142/AZ142-1),"")</f>
        <v>0</v>
      </c>
      <c r="BB143" s="55">
        <f>IFERROR(IF(BA142=0,"",BB142/BA142-1),"")</f>
        <v>0</v>
      </c>
      <c r="BC143" s="55">
        <f>IFERROR(IF(BB142=0,"",BC142/BB142-1),"")</f>
        <v>0</v>
      </c>
      <c r="BD143" s="55">
        <f>IFERROR(IF(BC142=0,"",BD142/BC142-1),"")</f>
        <v>0</v>
      </c>
      <c r="BE143" s="55">
        <f>IFERROR(IF(BD142=0,"",BE142/BD142-1),"")</f>
        <v>0</v>
      </c>
      <c r="BF143" s="12">
        <f>IFERROR(IF(BE142=0,"",BF142/BE142-1),"")</f>
        <v>0</v>
      </c>
      <c r="BG143" s="55" t="n"/>
      <c r="BH143" s="55" t="n"/>
      <c r="BI143" s="55" t="n"/>
      <c r="BJ143" s="55" t="n"/>
      <c r="BK143" s="12" t="n"/>
      <c r="BL143" s="55" t="n"/>
      <c r="BM143" s="55" t="n"/>
      <c r="BN143" s="55" t="n"/>
      <c r="BO143" s="55" t="n"/>
      <c r="BP143" s="12" t="n"/>
      <c r="BQ143" s="55" t="n"/>
      <c r="BR143" s="55" t="n"/>
      <c r="BS143" s="55" t="n"/>
      <c r="BT143" s="55" t="n"/>
      <c r="BU143" s="12" t="n"/>
      <c r="BV143" s="55" t="n"/>
      <c r="BW143" s="55" t="n"/>
      <c r="BX143" s="55" t="n"/>
      <c r="BY143" s="55" t="n"/>
      <c r="BZ143" s="12" t="n"/>
      <c r="CA143" s="55" t="n"/>
      <c r="CB143" s="55" t="n"/>
      <c r="CC143" s="55" t="n"/>
      <c r="CD143" s="55" t="n"/>
      <c r="CE143" s="12" t="n"/>
      <c r="CF143" s="55" t="n"/>
      <c r="CG143" s="55" t="n"/>
      <c r="CH143" s="55" t="n"/>
      <c r="CI143" s="55" t="n"/>
      <c r="CJ143" s="12" t="n"/>
      <c r="CK143" s="55" t="n"/>
      <c r="CL143" s="55" t="n"/>
      <c r="CM143" s="55" t="n"/>
      <c r="CN143" s="55" t="n"/>
      <c r="CO143" s="12" t="n"/>
      <c r="CP143" s="55" t="n"/>
      <c r="CQ143" s="55" t="n"/>
      <c r="CR143" s="55" t="n"/>
      <c r="CS143" s="55" t="n"/>
      <c r="CT143" s="12" t="n"/>
      <c r="CU143" s="55" t="n"/>
      <c r="CV143" s="55" t="n"/>
      <c r="CW143" s="55" t="n"/>
      <c r="CX143" s="55" t="n"/>
      <c r="CY143" s="12" t="n"/>
    </row>
    <row r="144" hidden="1" outlineLevel="1">
      <c r="C144" s="57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  <c r="AA144" s="12" t="n"/>
      <c r="AB144" s="12" t="n"/>
      <c r="AC144" s="12" t="n"/>
      <c r="AD144" s="12" t="n"/>
      <c r="AE144" s="12" t="n"/>
      <c r="AF144" s="12" t="n"/>
      <c r="AG144" s="12" t="n"/>
      <c r="AH144" s="12" t="n"/>
      <c r="AI144" s="12" t="n"/>
      <c r="AJ144" s="12" t="n"/>
      <c r="AK144" s="12" t="n"/>
      <c r="AL144" s="12" t="n"/>
      <c r="AM144" s="12" t="n"/>
      <c r="AN144" s="12" t="n"/>
      <c r="AO144" s="12" t="n"/>
      <c r="AP144" s="12" t="n"/>
      <c r="AQ144" s="12" t="n"/>
      <c r="AR144" s="12" t="n"/>
      <c r="AS144" s="12" t="n"/>
      <c r="AT144" s="12" t="n"/>
      <c r="AU144" s="12" t="n"/>
      <c r="AV144" s="12" t="n"/>
      <c r="AW144" s="12" t="n"/>
      <c r="AX144" s="12" t="n"/>
      <c r="AY144" s="12" t="n"/>
      <c r="AZ144" s="12" t="n"/>
      <c r="BA144" s="12" t="n"/>
      <c r="BB144" s="12" t="n"/>
      <c r="BC144" s="12" t="n"/>
      <c r="BD144" s="12" t="n"/>
      <c r="BE144" s="12" t="n"/>
      <c r="BF144" s="12" t="n"/>
      <c r="BG144" s="12" t="n"/>
      <c r="BH144" s="12" t="n"/>
      <c r="BI144" s="12" t="n"/>
      <c r="BJ144" s="12" t="n"/>
      <c r="BK144" s="12" t="n"/>
      <c r="BL144" s="12" t="n"/>
      <c r="BM144" s="12" t="n"/>
      <c r="BN144" s="12" t="n"/>
      <c r="BO144" s="12" t="n"/>
      <c r="BP144" s="12" t="n"/>
      <c r="BQ144" s="12" t="n"/>
      <c r="BR144" s="12" t="n"/>
      <c r="BS144" s="12" t="n"/>
      <c r="BT144" s="12" t="n"/>
      <c r="BU144" s="12" t="n"/>
      <c r="BV144" s="12" t="n"/>
      <c r="BW144" s="12" t="n"/>
      <c r="BX144" s="12" t="n"/>
      <c r="BY144" s="12" t="n"/>
      <c r="BZ144" s="12" t="n"/>
      <c r="CA144" s="12" t="n"/>
      <c r="CB144" s="12" t="n"/>
      <c r="CC144" s="12" t="n"/>
      <c r="CD144" s="12" t="n"/>
      <c r="CE144" s="12" t="n"/>
      <c r="CF144" s="12" t="n"/>
      <c r="CG144" s="12" t="n"/>
      <c r="CH144" s="12" t="n"/>
      <c r="CI144" s="12" t="n"/>
      <c r="CJ144" s="12" t="n"/>
      <c r="CK144" s="12" t="n"/>
      <c r="CL144" s="12" t="n"/>
      <c r="CM144" s="12" t="n"/>
      <c r="CN144" s="12" t="n"/>
      <c r="CO144" s="12" t="n"/>
      <c r="CP144" s="12" t="n"/>
      <c r="CQ144" s="12" t="n"/>
      <c r="CR144" s="12" t="n"/>
      <c r="CS144" s="12" t="n"/>
      <c r="CT144" s="12" t="n"/>
      <c r="CU144" s="12" t="n"/>
      <c r="CV144" s="12" t="n"/>
      <c r="CW144" s="12" t="n"/>
      <c r="CX144" s="12" t="n"/>
      <c r="CY144" s="12" t="n"/>
    </row>
    <row r="145" collapsed="1">
      <c r="C145" s="14" t="inlineStr">
        <is>
          <t>Goodwill</t>
        </is>
      </c>
      <c r="D145" s="46" t="n"/>
      <c r="E145" s="46" t="n"/>
      <c r="F145" s="46" t="n"/>
      <c r="G145" s="46" t="n"/>
      <c r="H145" s="12" t="n"/>
      <c r="I145" s="46">
        <f>'Inputs (2)'!D24</f>
        <v>0</v>
      </c>
      <c r="J145" s="46">
        <f>'Inputs (2)'!E24</f>
        <v>0</v>
      </c>
      <c r="K145" s="46">
        <f>'Inputs (2)'!F24</f>
        <v>0</v>
      </c>
      <c r="L145" s="46">
        <f>'Inputs (2)'!G24</f>
        <v>0</v>
      </c>
      <c r="M145" s="12">
        <f>'Inputs (2)'!H24</f>
        <v>0</v>
      </c>
      <c r="N145" s="46">
        <f>'Inputs (2)'!I24</f>
        <v>0</v>
      </c>
      <c r="O145" s="46">
        <f>'Inputs (2)'!J24</f>
        <v>0</v>
      </c>
      <c r="P145" s="46">
        <f>'Inputs (2)'!K24</f>
        <v>0</v>
      </c>
      <c r="Q145" s="46">
        <f>'Inputs (2)'!L24</f>
        <v>0</v>
      </c>
      <c r="R145" s="12">
        <f>'Inputs (2)'!M24</f>
        <v>0</v>
      </c>
      <c r="S145" s="46">
        <f>'Inputs (2)'!N24</f>
        <v>0</v>
      </c>
      <c r="T145" s="46">
        <f>'Inputs (2)'!O24</f>
        <v>0</v>
      </c>
      <c r="U145" s="46">
        <f>'Inputs (2)'!P24</f>
        <v>0</v>
      </c>
      <c r="V145" s="46">
        <f>'Inputs (2)'!Q24</f>
        <v>0</v>
      </c>
      <c r="W145" s="12">
        <f>'Inputs (2)'!R24</f>
        <v>0</v>
      </c>
      <c r="X145" s="46">
        <f>'Inputs (2)'!S24</f>
        <v>0</v>
      </c>
      <c r="Y145" s="46">
        <f>'Inputs (2)'!T24</f>
        <v>0</v>
      </c>
      <c r="Z145" s="46">
        <f>'Inputs (2)'!U24</f>
        <v>0</v>
      </c>
      <c r="AA145" s="46">
        <f>'Inputs (2)'!V24</f>
        <v>0</v>
      </c>
      <c r="AB145" s="12">
        <f>'Inputs (2)'!W24</f>
        <v>0</v>
      </c>
      <c r="AC145" s="46">
        <f>'Inputs (2)'!X24</f>
        <v>0</v>
      </c>
      <c r="AD145" s="46">
        <f>'Inputs (2)'!Y24</f>
        <v>0</v>
      </c>
      <c r="AE145" s="46">
        <f>'Inputs (2)'!Z24</f>
        <v>0</v>
      </c>
      <c r="AF145" s="46">
        <f>'Inputs (2)'!AA24</f>
        <v>0</v>
      </c>
      <c r="AG145" s="12">
        <f>'Inputs (2)'!AB24</f>
        <v>0</v>
      </c>
      <c r="AH145" s="12">
        <f>'Inputs (2)'!AC24</f>
        <v>0</v>
      </c>
      <c r="AI145" s="12">
        <f>'Inputs (2)'!AD24</f>
        <v>0</v>
      </c>
      <c r="AJ145" s="12">
        <f>AI145</f>
        <v>0</v>
      </c>
      <c r="AK145" s="12">
        <f>AJ145</f>
        <v>0</v>
      </c>
      <c r="AL145" s="12">
        <f>AK145</f>
        <v>0</v>
      </c>
      <c r="AM145" s="12">
        <f>AL145</f>
        <v>0</v>
      </c>
      <c r="AN145" s="12">
        <f>AM145</f>
        <v>0</v>
      </c>
      <c r="AO145" s="12">
        <f>AN145</f>
        <v>0</v>
      </c>
      <c r="AP145" s="12">
        <f>AO145</f>
        <v>0</v>
      </c>
      <c r="AQ145" s="12">
        <f>AP145</f>
        <v>0</v>
      </c>
      <c r="AR145" s="12">
        <f>AQ145</f>
        <v>0</v>
      </c>
      <c r="AS145" s="12">
        <f>AR145</f>
        <v>0</v>
      </c>
      <c r="AT145" s="12">
        <f>AS145</f>
        <v>0</v>
      </c>
      <c r="AU145" s="12">
        <f>AT145</f>
        <v>0</v>
      </c>
      <c r="AV145" s="12">
        <f>AU145</f>
        <v>0</v>
      </c>
      <c r="AW145" s="12">
        <f>AV145</f>
        <v>0</v>
      </c>
      <c r="AX145" s="12">
        <f>AW145</f>
        <v>0</v>
      </c>
      <c r="AY145" s="12">
        <f>AX145</f>
        <v>0</v>
      </c>
      <c r="AZ145" s="12">
        <f>AY145</f>
        <v>0</v>
      </c>
      <c r="BA145" s="12">
        <f>AZ145</f>
        <v>0</v>
      </c>
      <c r="BB145" s="12">
        <f>BA145</f>
        <v>0</v>
      </c>
      <c r="BC145" s="12">
        <f>BB145</f>
        <v>0</v>
      </c>
      <c r="BD145" s="12">
        <f>BC145</f>
        <v>0</v>
      </c>
      <c r="BE145" s="12">
        <f>BD145</f>
        <v>0</v>
      </c>
      <c r="BF145" s="12">
        <f>BE145</f>
        <v>0</v>
      </c>
      <c r="BG145" s="12" t="n"/>
      <c r="BH145" s="12" t="n"/>
      <c r="BI145" s="12" t="n"/>
      <c r="BJ145" s="12" t="n"/>
      <c r="BK145" s="12" t="n"/>
      <c r="BL145" s="12" t="n"/>
      <c r="BM145" s="12" t="n"/>
      <c r="BN145" s="12" t="n"/>
      <c r="BO145" s="12" t="n"/>
      <c r="BP145" s="12" t="n"/>
      <c r="BQ145" s="12" t="n"/>
      <c r="BR145" s="12" t="n"/>
      <c r="BS145" s="12" t="n"/>
      <c r="BT145" s="12" t="n"/>
      <c r="BU145" s="12" t="n"/>
      <c r="BV145" s="12" t="n"/>
      <c r="BW145" s="12" t="n"/>
      <c r="BX145" s="12" t="n"/>
      <c r="BY145" s="12" t="n"/>
      <c r="BZ145" s="12" t="n"/>
      <c r="CA145" s="12" t="n"/>
      <c r="CB145" s="12" t="n"/>
      <c r="CC145" s="12" t="n"/>
      <c r="CD145" s="12" t="n"/>
      <c r="CE145" s="12" t="n"/>
      <c r="CF145" s="12" t="n"/>
      <c r="CG145" s="12" t="n"/>
      <c r="CH145" s="12" t="n"/>
      <c r="CI145" s="12" t="n"/>
      <c r="CJ145" s="12" t="n"/>
      <c r="CK145" s="12" t="n"/>
      <c r="CL145" s="12" t="n"/>
      <c r="CM145" s="12" t="n"/>
      <c r="CN145" s="12" t="n"/>
      <c r="CO145" s="12" t="n"/>
      <c r="CP145" s="12" t="n"/>
      <c r="CQ145" s="12" t="n"/>
      <c r="CR145" s="12" t="n"/>
      <c r="CS145" s="12" t="n"/>
      <c r="CT145" s="12" t="n"/>
      <c r="CU145" s="12" t="n"/>
      <c r="CV145" s="12" t="n"/>
      <c r="CW145" s="12" t="n"/>
      <c r="CX145" s="12" t="n"/>
      <c r="CY145" s="12" t="n"/>
    </row>
    <row r="146">
      <c r="C146" s="14" t="inlineStr">
        <is>
          <t>Intangibles</t>
        </is>
      </c>
      <c r="D146" s="46" t="n"/>
      <c r="E146" s="46" t="n"/>
      <c r="F146" s="46" t="n"/>
      <c r="G146" s="46" t="n"/>
      <c r="H146" s="12" t="n"/>
      <c r="I146" s="46">
        <f>'Inputs (2)'!D25</f>
        <v>2031.481694882</v>
      </c>
      <c r="J146" s="46">
        <f>'Inputs (2)'!E25</f>
        <v>2190.439423571</v>
      </c>
      <c r="K146" s="46">
        <f>'Inputs (2)'!F25</f>
        <v>2297.792109992</v>
      </c>
      <c r="L146" s="46">
        <f>'Inputs (2)'!G25</f>
        <v>2586.609106978</v>
      </c>
      <c r="M146" s="12">
        <f>'Inputs (2)'!H25</f>
        <v>2586.609106978</v>
      </c>
      <c r="N146" s="46">
        <f>'Inputs (2)'!I25</f>
        <v>2617.509451898</v>
      </c>
      <c r="O146" s="46">
        <f>'Inputs (2)'!J25</f>
        <v>3021.34173723</v>
      </c>
      <c r="P146" s="46">
        <f>'Inputs (2)'!K25</f>
        <v>3013.73986065</v>
      </c>
      <c r="Q146" s="46">
        <f>'Inputs (2)'!L25</f>
        <v>3159.926121268</v>
      </c>
      <c r="R146" s="12">
        <f>'Inputs (2)'!M25</f>
        <v>3159.926121268</v>
      </c>
      <c r="S146" s="46">
        <f>'Inputs (2)'!N25</f>
        <v>3147.22512633</v>
      </c>
      <c r="T146" s="46">
        <f>'Inputs (2)'!O25</f>
        <v>5768.121</v>
      </c>
      <c r="U146" s="46">
        <f>'Inputs (2)'!P25</f>
        <v>5744.055</v>
      </c>
      <c r="V146" s="46">
        <f>'Inputs (2)'!Q25</f>
        <v>5807.506</v>
      </c>
      <c r="W146" s="12">
        <f>'Inputs (2)'!R25</f>
        <v>5807.506</v>
      </c>
      <c r="X146" s="46">
        <f>'Inputs (2)'!S25</f>
        <v>5788.92</v>
      </c>
      <c r="Y146" s="46">
        <f>'Inputs (2)'!T25</f>
        <v>5783.283</v>
      </c>
      <c r="Z146" s="46">
        <f>'Inputs (2)'!U25</f>
        <v>5830.303</v>
      </c>
      <c r="AA146" s="46">
        <f>'Inputs (2)'!V25</f>
        <v>5863.532</v>
      </c>
      <c r="AB146" s="12">
        <f>'Inputs (2)'!W25</f>
        <v>5863.532</v>
      </c>
      <c r="AC146" s="46">
        <f>'Inputs (2)'!X25</f>
        <v>5819.864287</v>
      </c>
      <c r="AD146" s="46">
        <f>'Inputs (2)'!Y25</f>
        <v>5825.38</v>
      </c>
      <c r="AE146" s="46">
        <f>'Inputs (2)'!Z25</f>
        <v>5957.247</v>
      </c>
      <c r="AF146" s="46">
        <f>'Inputs (2)'!AA25</f>
        <v>5979.637</v>
      </c>
      <c r="AG146" s="12">
        <f>'Inputs (2)'!AB25</f>
        <v>5979.637</v>
      </c>
      <c r="AH146" s="12">
        <f>'Inputs (2)'!AC25</f>
        <v>5905.506</v>
      </c>
      <c r="AI146" s="12">
        <f>'Inputs (2)'!AD25</f>
        <v>6006.075</v>
      </c>
      <c r="AJ146" s="12">
        <f>AI146</f>
        <v>6006.075</v>
      </c>
      <c r="AK146" s="12">
        <f>AJ146</f>
        <v>6006.075</v>
      </c>
      <c r="AL146" s="12">
        <f>AK146</f>
        <v>6006.075</v>
      </c>
      <c r="AM146" s="16">
        <f>AL146</f>
        <v>6006.075</v>
      </c>
      <c r="AN146" s="12">
        <f>AM146</f>
        <v>6006.075</v>
      </c>
      <c r="AO146" s="12">
        <f>AN146</f>
        <v>6006.075</v>
      </c>
      <c r="AP146" s="12">
        <f>AO146</f>
        <v>6006.075</v>
      </c>
      <c r="AQ146" s="12">
        <f>AP146</f>
        <v>6006.075</v>
      </c>
      <c r="AR146" s="16">
        <f>AQ146</f>
        <v>6006.075</v>
      </c>
      <c r="AS146" s="12">
        <f>AR146</f>
        <v>6006.075</v>
      </c>
      <c r="AT146" s="12">
        <f>AS146</f>
        <v>6006.075</v>
      </c>
      <c r="AU146" s="12">
        <f>AT146</f>
        <v>6006.075</v>
      </c>
      <c r="AV146" s="12">
        <f>AU146</f>
        <v>6006.075</v>
      </c>
      <c r="AW146" s="16">
        <f>AV146</f>
        <v>6006.075</v>
      </c>
      <c r="AX146" s="12">
        <f>AW146</f>
        <v>6006.075</v>
      </c>
      <c r="AY146" s="12">
        <f>AX146</f>
        <v>6006.075</v>
      </c>
      <c r="AZ146" s="12">
        <f>AY146</f>
        <v>6006.075</v>
      </c>
      <c r="BA146" s="12">
        <f>AZ146</f>
        <v>6006.075</v>
      </c>
      <c r="BB146" s="16">
        <f>BA146</f>
        <v>6006.075</v>
      </c>
      <c r="BC146" s="12">
        <f>BB146</f>
        <v>6006.075</v>
      </c>
      <c r="BD146" s="12">
        <f>BC146</f>
        <v>6006.075</v>
      </c>
      <c r="BE146" s="12">
        <f>BD146</f>
        <v>6006.075</v>
      </c>
      <c r="BF146" s="12">
        <f>BE146</f>
        <v>6006.075</v>
      </c>
      <c r="BH146" s="12" t="n"/>
      <c r="BI146" s="12" t="n"/>
      <c r="BJ146" s="12" t="n"/>
      <c r="BK146" s="12" t="n"/>
      <c r="BM146" s="12" t="n"/>
      <c r="BN146" s="12" t="n"/>
      <c r="BO146" s="12" t="n"/>
      <c r="BP146" s="12" t="n"/>
      <c r="BR146" s="12" t="n"/>
      <c r="BS146" s="12" t="n"/>
      <c r="BT146" s="12" t="n"/>
      <c r="BU146" s="12" t="n"/>
      <c r="BW146" s="12" t="n"/>
      <c r="BX146" s="12" t="n"/>
      <c r="BY146" s="12" t="n"/>
      <c r="BZ146" s="12" t="n"/>
      <c r="CB146" s="12" t="n"/>
      <c r="CC146" s="12" t="n"/>
      <c r="CD146" s="12" t="n"/>
      <c r="CE146" s="12" t="n"/>
      <c r="CG146" s="12" t="n"/>
      <c r="CH146" s="12" t="n"/>
      <c r="CI146" s="12" t="n"/>
      <c r="CJ146" s="12" t="n"/>
      <c r="CL146" s="12" t="n"/>
      <c r="CM146" s="12" t="n"/>
      <c r="CN146" s="12" t="n"/>
      <c r="CO146" s="12" t="n"/>
      <c r="CQ146" s="12" t="n"/>
      <c r="CR146" s="12" t="n"/>
      <c r="CS146" s="12" t="n"/>
      <c r="CT146" s="12" t="n"/>
      <c r="CV146" s="12" t="n"/>
      <c r="CW146" s="12" t="n"/>
      <c r="CX146" s="12" t="n"/>
      <c r="CY146" s="12" t="n"/>
    </row>
    <row r="147" hidden="1" outlineLevel="1">
      <c r="C147" s="57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  <c r="AA147" s="12" t="n"/>
      <c r="AB147" s="12" t="n"/>
      <c r="AC147" s="12" t="n"/>
      <c r="AD147" s="12" t="n"/>
      <c r="AE147" s="12" t="n"/>
      <c r="AF147" s="12" t="n"/>
      <c r="AG147" s="12" t="n"/>
      <c r="AH147" s="12" t="n"/>
      <c r="AI147" s="12" t="n"/>
      <c r="AJ147" s="12" t="n"/>
      <c r="AK147" s="12" t="n"/>
      <c r="AL147" s="12" t="n"/>
      <c r="AM147" s="12" t="n"/>
      <c r="AN147" s="12" t="n"/>
      <c r="AO147" s="12" t="n"/>
      <c r="AP147" s="12" t="n"/>
      <c r="AQ147" s="12" t="n"/>
      <c r="AR147" s="12" t="n"/>
      <c r="AS147" s="12" t="n"/>
      <c r="AT147" s="12" t="n"/>
      <c r="AU147" s="12" t="n"/>
      <c r="AV147" s="12" t="n"/>
      <c r="AW147" s="12" t="n"/>
      <c r="AX147" s="12" t="n"/>
      <c r="AY147" s="12" t="n"/>
      <c r="AZ147" s="12" t="n"/>
      <c r="BA147" s="12" t="n"/>
      <c r="BB147" s="12" t="n"/>
      <c r="BC147" s="12" t="n"/>
      <c r="BD147" s="12" t="n"/>
      <c r="BE147" s="12" t="n"/>
      <c r="BF147" s="12" t="n"/>
      <c r="BG147" s="12" t="n"/>
      <c r="BH147" s="12" t="n"/>
      <c r="BI147" s="12" t="n"/>
      <c r="BJ147" s="12" t="n"/>
      <c r="BK147" s="12" t="n"/>
      <c r="BL147" s="12" t="n"/>
      <c r="BM147" s="12" t="n"/>
      <c r="BN147" s="12" t="n"/>
      <c r="BO147" s="12" t="n"/>
      <c r="BP147" s="12" t="n"/>
      <c r="BQ147" s="12" t="n"/>
      <c r="BR147" s="12" t="n"/>
      <c r="BS147" s="12" t="n"/>
      <c r="BT147" s="12" t="n"/>
      <c r="BU147" s="12" t="n"/>
      <c r="BV147" s="12" t="n"/>
      <c r="BW147" s="12" t="n"/>
      <c r="BX147" s="12" t="n"/>
      <c r="BY147" s="12" t="n"/>
      <c r="BZ147" s="12" t="n"/>
      <c r="CA147" s="12" t="n"/>
      <c r="CB147" s="12" t="n"/>
      <c r="CC147" s="12" t="n"/>
      <c r="CD147" s="12" t="n"/>
      <c r="CE147" s="12" t="n"/>
      <c r="CF147" s="12" t="n"/>
      <c r="CG147" s="12" t="n"/>
      <c r="CH147" s="12" t="n"/>
      <c r="CI147" s="12" t="n"/>
      <c r="CJ147" s="12" t="n"/>
      <c r="CK147" s="12" t="n"/>
      <c r="CL147" s="12" t="n"/>
      <c r="CM147" s="12" t="n"/>
      <c r="CN147" s="12" t="n"/>
      <c r="CO147" s="12" t="n"/>
      <c r="CP147" s="12" t="n"/>
      <c r="CQ147" s="12" t="n"/>
      <c r="CR147" s="12" t="n"/>
      <c r="CS147" s="12" t="n"/>
      <c r="CT147" s="12" t="n"/>
      <c r="CU147" s="12" t="n"/>
      <c r="CV147" s="12" t="n"/>
      <c r="CW147" s="12" t="n"/>
      <c r="CX147" s="12" t="n"/>
      <c r="CY147" s="12" t="n"/>
    </row>
    <row r="148" hidden="1" outlineLevel="1">
      <c r="C148" s="57" t="inlineStr">
        <is>
          <t>Purchase of intangible assets</t>
        </is>
      </c>
      <c r="D148" s="12" t="n"/>
      <c r="E148" s="12" t="n"/>
      <c r="F148" s="12" t="n"/>
      <c r="G148" s="12" t="n"/>
      <c r="H148" s="12" t="n"/>
      <c r="I148" s="12" t="str">
        <f>IF(COUNT(H146)=0,"",I146-H146-I50)</f>
        <v/>
      </c>
      <c r="J148" s="12">
        <f>J146-I146-J50</f>
        <v>158.957728689</v>
      </c>
      <c r="K148" s="12">
        <f>K146-J146-K50</f>
        <v>107.352686421</v>
      </c>
      <c r="L148" s="12">
        <f>L146-K146-L50</f>
        <v>288.816996986</v>
      </c>
      <c r="M148" s="12" t="n"/>
      <c r="N148" s="12">
        <f>N146-M146-N50</f>
        <v>30.9003449200004</v>
      </c>
      <c r="O148" s="12">
        <f>O146-N146-O50</f>
        <v>403.832285332</v>
      </c>
      <c r="P148" s="12">
        <f>P146-O146-P50</f>
        <v>-7.60187657999995</v>
      </c>
      <c r="Q148" s="12">
        <f>Q146-P146-Q50</f>
        <v>146.186260618</v>
      </c>
      <c r="R148" s="12" t="n"/>
      <c r="S148" s="12">
        <f>S146-R146-S50</f>
        <v>-12.7009949379999</v>
      </c>
      <c r="T148" s="12">
        <f>T146-S146-T50</f>
        <v>2620.89587367</v>
      </c>
      <c r="U148" s="12">
        <f>U146-T146-U50</f>
        <v>-24.0659999999998</v>
      </c>
      <c r="V148" s="12">
        <f>V146-U146-V50</f>
        <v>63.451</v>
      </c>
      <c r="W148" s="12" t="n"/>
      <c r="X148" s="12">
        <f>X146-W146-X50</f>
        <v>-18.5860000000002</v>
      </c>
      <c r="Y148" s="12">
        <f>Y146-X146-Y50</f>
        <v>-5.63699999999972</v>
      </c>
      <c r="Z148" s="12">
        <f>Z146-Y146-Z50</f>
        <v>47.0199999999995</v>
      </c>
      <c r="AA148" s="12">
        <f>AA146-Z146-AA50</f>
        <v>33.2290000000003</v>
      </c>
      <c r="AB148" s="12" t="n"/>
      <c r="AC148" s="12">
        <f>AC146-AB146-AC50</f>
        <v>-43.6677130000007</v>
      </c>
      <c r="AD148" s="12">
        <f>AD146-AC146-AD50</f>
        <v>5.51571300000069</v>
      </c>
      <c r="AE148" s="12">
        <f>AE146-AD146-AE50</f>
        <v>131.867</v>
      </c>
      <c r="AF148" s="12">
        <f>AF146-AE146-AF50</f>
        <v>22.3899999999994</v>
      </c>
      <c r="AG148" s="12" t="n"/>
      <c r="AH148" s="11">
        <f>AH146-AG146-AH50</f>
        <v>-74.1309999999994</v>
      </c>
      <c r="AI148" s="11">
        <f>AI146-AH146-AI50</f>
        <v>100.569</v>
      </c>
      <c r="AJ148" s="11" t="n"/>
      <c r="AK148" s="11" t="n"/>
      <c r="AL148" s="12" t="n"/>
      <c r="AM148" s="11" t="n"/>
      <c r="AN148" s="11" t="n"/>
      <c r="AO148" s="11" t="n"/>
      <c r="AP148" s="11" t="n"/>
      <c r="AQ148" s="12" t="n"/>
      <c r="AR148" s="11" t="n"/>
      <c r="AS148" s="11" t="n"/>
      <c r="AT148" s="11" t="n"/>
      <c r="AU148" s="11" t="n"/>
      <c r="AV148" s="12" t="n"/>
      <c r="AW148" s="11" t="n"/>
      <c r="AX148" s="11" t="n"/>
      <c r="AY148" s="11" t="n"/>
      <c r="AZ148" s="11" t="n"/>
      <c r="BA148" s="12" t="n"/>
      <c r="BB148" s="11" t="n"/>
      <c r="BC148" s="11" t="n"/>
      <c r="BD148" s="11" t="n"/>
      <c r="BE148" s="11" t="n"/>
      <c r="BF148" s="12" t="n"/>
      <c r="BG148" s="11" t="n"/>
      <c r="BH148" s="11" t="n"/>
      <c r="BI148" s="11" t="n"/>
      <c r="BJ148" s="11" t="n"/>
      <c r="BK148" s="12" t="n"/>
      <c r="BL148" s="11" t="n"/>
      <c r="BM148" s="11" t="n"/>
      <c r="BN148" s="11" t="n"/>
      <c r="BO148" s="11" t="n"/>
      <c r="BP148" s="12" t="n"/>
      <c r="BQ148" s="11" t="n"/>
      <c r="BR148" s="11" t="n"/>
      <c r="BS148" s="11" t="n"/>
      <c r="BT148" s="11" t="n"/>
      <c r="BU148" s="12" t="n"/>
      <c r="BV148" s="11" t="n"/>
      <c r="BW148" s="11" t="n"/>
      <c r="BX148" s="11" t="n"/>
      <c r="BY148" s="11" t="n"/>
      <c r="BZ148" s="12" t="n"/>
      <c r="CA148" s="11" t="n"/>
      <c r="CB148" s="11" t="n"/>
      <c r="CC148" s="11" t="n"/>
      <c r="CD148" s="11" t="n"/>
      <c r="CE148" s="12" t="n"/>
      <c r="CF148" s="11" t="n"/>
      <c r="CG148" s="11" t="n"/>
      <c r="CH148" s="11" t="n"/>
      <c r="CI148" s="11" t="n"/>
      <c r="CJ148" s="12" t="n"/>
      <c r="CK148" s="11" t="n"/>
      <c r="CL148" s="11" t="n"/>
      <c r="CM148" s="11" t="n"/>
      <c r="CN148" s="11" t="n"/>
      <c r="CO148" s="12" t="n"/>
      <c r="CP148" s="11" t="n"/>
      <c r="CQ148" s="11" t="n"/>
      <c r="CR148" s="11" t="n"/>
      <c r="CS148" s="11" t="n"/>
      <c r="CT148" s="12" t="n"/>
      <c r="CU148" s="11" t="n"/>
      <c r="CV148" s="11" t="n"/>
      <c r="CW148" s="11" t="n"/>
      <c r="CX148" s="11" t="n"/>
      <c r="CY148" s="12" t="n"/>
    </row>
    <row r="149" hidden="1" outlineLevel="1">
      <c r="C149" s="57" t="inlineStr">
        <is>
          <t>Amortization (enter as -)</t>
        </is>
      </c>
      <c r="D149" s="12" t="n"/>
      <c r="E149" s="12" t="n"/>
      <c r="F149" s="12" t="n"/>
      <c r="G149" s="12" t="n"/>
      <c r="H149" s="12" t="n"/>
      <c r="I149" s="12">
        <f>I49</f>
        <v>0</v>
      </c>
      <c r="J149" s="12">
        <f>J49</f>
        <v>0</v>
      </c>
      <c r="K149" s="12">
        <f>K49</f>
        <v>0</v>
      </c>
      <c r="L149" s="12">
        <f>L49</f>
        <v>0</v>
      </c>
      <c r="M149" s="12" t="n"/>
      <c r="N149" s="12">
        <f>N49</f>
        <v>0</v>
      </c>
      <c r="O149" s="12">
        <f>O49</f>
        <v>0</v>
      </c>
      <c r="P149" s="12">
        <f>P49</f>
        <v>0</v>
      </c>
      <c r="Q149" s="12">
        <f>Q49</f>
        <v>0</v>
      </c>
      <c r="R149" s="12" t="n"/>
      <c r="S149" s="12">
        <f>S49</f>
        <v>0</v>
      </c>
      <c r="T149" s="12">
        <f>T49</f>
        <v>0</v>
      </c>
      <c r="U149" s="12">
        <f>U49</f>
        <v>0</v>
      </c>
      <c r="V149" s="12">
        <f>V49</f>
        <v>0</v>
      </c>
      <c r="W149" s="12" t="n"/>
      <c r="X149" s="12">
        <f>X49</f>
        <v>0</v>
      </c>
      <c r="Y149" s="12">
        <f>Y49</f>
        <v>0</v>
      </c>
      <c r="Z149" s="12">
        <f>Z49</f>
        <v>0</v>
      </c>
      <c r="AA149" s="12">
        <f>AA49</f>
        <v>0</v>
      </c>
      <c r="AB149" s="12" t="n"/>
      <c r="AC149" s="12">
        <f>AC49</f>
        <v>0</v>
      </c>
      <c r="AD149" s="12">
        <f>AD49</f>
        <v>0</v>
      </c>
      <c r="AE149" s="12">
        <f>AE49</f>
        <v>0</v>
      </c>
      <c r="AF149" s="12">
        <f>AF49</f>
        <v>0</v>
      </c>
      <c r="AG149" s="12" t="n"/>
      <c r="AH149" s="12">
        <f>AH49</f>
        <v>0</v>
      </c>
      <c r="AI149" s="11">
        <f>AI49</f>
        <v>0</v>
      </c>
      <c r="AJ149" s="11" t="n"/>
      <c r="AK149" s="11" t="n"/>
      <c r="AL149" s="12" t="n"/>
      <c r="AM149" s="11" t="n"/>
      <c r="AN149" s="11" t="n"/>
      <c r="AO149" s="11" t="n"/>
      <c r="AP149" s="11" t="n"/>
      <c r="AQ149" s="12" t="n"/>
      <c r="AR149" s="11" t="n"/>
      <c r="AS149" s="11" t="n"/>
      <c r="AT149" s="11" t="n"/>
      <c r="AU149" s="11" t="n"/>
      <c r="AV149" s="12" t="n"/>
      <c r="AW149" s="11" t="n"/>
      <c r="AX149" s="11" t="n"/>
      <c r="AY149" s="11" t="n"/>
      <c r="AZ149" s="11" t="n"/>
      <c r="BA149" s="12" t="n"/>
      <c r="BB149" s="11" t="n"/>
      <c r="BC149" s="11" t="n"/>
      <c r="BD149" s="11" t="n"/>
      <c r="BE149" s="11" t="n"/>
      <c r="BF149" s="12" t="n"/>
      <c r="BG149" s="11" t="n"/>
      <c r="BH149" s="11" t="n"/>
      <c r="BI149" s="11" t="n"/>
      <c r="BJ149" s="11" t="n"/>
      <c r="BK149" s="12" t="n"/>
      <c r="BL149" s="11" t="n"/>
      <c r="BM149" s="11" t="n"/>
      <c r="BN149" s="11" t="n"/>
      <c r="BO149" s="11" t="n"/>
      <c r="BP149" s="12" t="n"/>
      <c r="BQ149" s="11" t="n"/>
      <c r="BR149" s="11" t="n"/>
      <c r="BS149" s="11" t="n"/>
      <c r="BT149" s="11" t="n"/>
      <c r="BU149" s="12" t="n"/>
      <c r="BV149" s="11" t="n"/>
      <c r="BW149" s="11" t="n"/>
      <c r="BX149" s="11" t="n"/>
      <c r="BY149" s="11" t="n"/>
      <c r="BZ149" s="12" t="n"/>
      <c r="CA149" s="11" t="n"/>
      <c r="CB149" s="11" t="n"/>
      <c r="CC149" s="11" t="n"/>
      <c r="CD149" s="11" t="n"/>
      <c r="CE149" s="12" t="n"/>
      <c r="CF149" s="11" t="n"/>
      <c r="CG149" s="11" t="n"/>
      <c r="CH149" s="11" t="n"/>
      <c r="CI149" s="11" t="n"/>
      <c r="CJ149" s="12" t="n"/>
      <c r="CK149" s="11" t="n"/>
      <c r="CL149" s="11" t="n"/>
      <c r="CM149" s="11" t="n"/>
      <c r="CN149" s="11" t="n"/>
      <c r="CO149" s="12" t="n"/>
      <c r="CP149" s="11" t="n"/>
      <c r="CQ149" s="11" t="n"/>
      <c r="CR149" s="11" t="n"/>
      <c r="CS149" s="11" t="n"/>
      <c r="CT149" s="12" t="n"/>
      <c r="CU149" s="11" t="n"/>
      <c r="CV149" s="11" t="n"/>
      <c r="CW149" s="11" t="n"/>
      <c r="CX149" s="11" t="n"/>
      <c r="CY149" s="12" t="n"/>
    </row>
    <row r="150" hidden="1" outlineLevel="1">
      <c r="C150" s="57" t="inlineStr">
        <is>
          <t>Intangibles</t>
        </is>
      </c>
      <c r="D150" s="12" t="n"/>
      <c r="E150" s="12" t="n"/>
      <c r="F150" s="12" t="n"/>
      <c r="G150" s="12" t="n"/>
      <c r="H150" s="12" t="n"/>
      <c r="I150" s="12">
        <f>I146</f>
        <v>2031.481694882</v>
      </c>
      <c r="J150" s="12">
        <f>J146</f>
        <v>2190.439423571</v>
      </c>
      <c r="K150" s="12">
        <f>K146</f>
        <v>2297.792109992</v>
      </c>
      <c r="L150" s="12">
        <f>L146</f>
        <v>2586.609106978</v>
      </c>
      <c r="M150" s="12">
        <f>M146</f>
        <v>2586.609106978</v>
      </c>
      <c r="N150" s="12">
        <f>N146</f>
        <v>2617.509451898</v>
      </c>
      <c r="O150" s="12">
        <f>O146</f>
        <v>3021.34173723</v>
      </c>
      <c r="P150" s="12">
        <f>P146</f>
        <v>3013.73986065</v>
      </c>
      <c r="Q150" s="12">
        <f>Q146</f>
        <v>3159.926121268</v>
      </c>
      <c r="R150" s="12">
        <f>R146</f>
        <v>3159.926121268</v>
      </c>
      <c r="S150" s="12">
        <f>S146</f>
        <v>3147.22512633</v>
      </c>
      <c r="T150" s="12">
        <f>T146</f>
        <v>5768.121</v>
      </c>
      <c r="U150" s="12">
        <f>U146</f>
        <v>5744.055</v>
      </c>
      <c r="V150" s="12">
        <f>V146</f>
        <v>5807.506</v>
      </c>
      <c r="W150" s="12">
        <f>W146</f>
        <v>5807.506</v>
      </c>
      <c r="X150" s="12">
        <f>X146</f>
        <v>5788.92</v>
      </c>
      <c r="Y150" s="12">
        <f>Y146</f>
        <v>5783.283</v>
      </c>
      <c r="Z150" s="12">
        <f>Z146</f>
        <v>5830.303</v>
      </c>
      <c r="AA150" s="12">
        <f>AA146</f>
        <v>5863.532</v>
      </c>
      <c r="AB150" s="12">
        <f>AB146</f>
        <v>5863.532</v>
      </c>
      <c r="AC150" s="12">
        <f>AC146</f>
        <v>5819.864287</v>
      </c>
      <c r="AD150" s="12">
        <f>AD146</f>
        <v>5825.38</v>
      </c>
      <c r="AE150" s="12">
        <f>AE146</f>
        <v>5957.247</v>
      </c>
      <c r="AF150" s="12">
        <f>AF146</f>
        <v>5979.637</v>
      </c>
      <c r="AG150" s="12">
        <f>AG146</f>
        <v>5979.637</v>
      </c>
      <c r="AH150" s="12">
        <f>AH146</f>
        <v>5905.506</v>
      </c>
      <c r="AI150" s="12">
        <f>AI146</f>
        <v>6006.075</v>
      </c>
      <c r="AJ150" s="12">
        <f>AJ146</f>
        <v>6006.075</v>
      </c>
      <c r="AK150" s="12">
        <f>AK146</f>
        <v>6006.075</v>
      </c>
      <c r="AL150" s="12" t="n"/>
      <c r="AM150" s="12">
        <f>AM146</f>
        <v>6006.075</v>
      </c>
      <c r="AN150" s="12">
        <f>AN146</f>
        <v>6006.075</v>
      </c>
      <c r="AO150" s="12">
        <f>AO146</f>
        <v>6006.075</v>
      </c>
      <c r="AP150" s="12">
        <f>AP146</f>
        <v>6006.075</v>
      </c>
      <c r="AQ150" s="12" t="n"/>
      <c r="AR150" s="12">
        <f>AR146</f>
        <v>6006.075</v>
      </c>
      <c r="AS150" s="12">
        <f>AS146</f>
        <v>6006.075</v>
      </c>
      <c r="AT150" s="12">
        <f>AT146</f>
        <v>6006.075</v>
      </c>
      <c r="AU150" s="12">
        <f>AU146</f>
        <v>6006.075</v>
      </c>
      <c r="AV150" s="12" t="n"/>
      <c r="AW150" s="12">
        <f>AW146</f>
        <v>6006.075</v>
      </c>
      <c r="AX150" s="12">
        <f>AX146</f>
        <v>6006.075</v>
      </c>
      <c r="AY150" s="12">
        <f>AY146</f>
        <v>6006.075</v>
      </c>
      <c r="AZ150" s="12">
        <f>AZ146</f>
        <v>6006.075</v>
      </c>
      <c r="BA150" s="12" t="n"/>
      <c r="BB150" s="12">
        <f>BB146</f>
        <v>6006.075</v>
      </c>
      <c r="BC150" s="12">
        <f>BC146</f>
        <v>6006.075</v>
      </c>
      <c r="BD150" s="12">
        <f>BD146</f>
        <v>6006.075</v>
      </c>
      <c r="BE150" s="12">
        <f>BE146</f>
        <v>6006.075</v>
      </c>
      <c r="BF150" s="12" t="n"/>
      <c r="BG150" s="12" t="n"/>
      <c r="BH150" s="12" t="n"/>
      <c r="BI150" s="12" t="n"/>
      <c r="BJ150" s="12" t="n"/>
      <c r="BK150" s="12" t="n"/>
      <c r="BL150" s="12" t="n"/>
      <c r="BM150" s="12" t="n"/>
      <c r="BN150" s="12" t="n"/>
      <c r="BO150" s="12" t="n"/>
      <c r="BP150" s="12" t="n"/>
      <c r="BQ150" s="12" t="n"/>
      <c r="BR150" s="12" t="n"/>
      <c r="BS150" s="12" t="n"/>
      <c r="BT150" s="12" t="n"/>
      <c r="BU150" s="12" t="n"/>
      <c r="BV150" s="12" t="n"/>
      <c r="BW150" s="12" t="n"/>
      <c r="BX150" s="12" t="n"/>
      <c r="BY150" s="12" t="n"/>
      <c r="BZ150" s="12" t="n"/>
      <c r="CA150" s="12" t="n"/>
      <c r="CB150" s="12" t="n"/>
      <c r="CC150" s="12" t="n"/>
      <c r="CD150" s="12" t="n"/>
      <c r="CE150" s="12" t="n"/>
      <c r="CF150" s="12" t="n"/>
      <c r="CG150" s="12" t="n"/>
      <c r="CH150" s="12" t="n"/>
      <c r="CI150" s="12" t="n"/>
      <c r="CJ150" s="12" t="n"/>
      <c r="CK150" s="12" t="n"/>
      <c r="CL150" s="12" t="n"/>
      <c r="CM150" s="12" t="n"/>
      <c r="CN150" s="12" t="n"/>
      <c r="CO150" s="12" t="n"/>
      <c r="CP150" s="12" t="n"/>
      <c r="CQ150" s="12" t="n"/>
      <c r="CR150" s="12" t="n"/>
      <c r="CS150" s="12" t="n"/>
      <c r="CT150" s="12" t="n"/>
      <c r="CU150" s="12" t="n"/>
      <c r="CV150" s="12" t="n"/>
      <c r="CW150" s="12" t="n"/>
      <c r="CX150" s="12" t="n"/>
      <c r="CY150" s="12" t="n"/>
    </row>
    <row r="151" hidden="1" outlineLevel="1">
      <c r="C151" s="57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  <c r="AA151" s="12" t="n"/>
      <c r="AB151" s="12" t="n"/>
      <c r="AC151" s="12" t="n"/>
      <c r="AD151" s="12" t="n"/>
      <c r="AE151" s="12" t="n"/>
      <c r="AF151" s="12" t="n"/>
      <c r="AG151" s="12" t="n"/>
      <c r="AH151" s="12" t="n"/>
      <c r="AI151" s="12" t="n"/>
      <c r="AJ151" s="12" t="n"/>
      <c r="AK151" s="12" t="n"/>
      <c r="AL151" s="12" t="n"/>
      <c r="AM151" s="12" t="n"/>
      <c r="AN151" s="12" t="n"/>
      <c r="AO151" s="12" t="n"/>
      <c r="AP151" s="12" t="n"/>
      <c r="AQ151" s="12" t="n"/>
      <c r="AR151" s="12" t="n"/>
      <c r="AS151" s="12" t="n"/>
      <c r="AT151" s="12" t="n"/>
      <c r="AU151" s="12" t="n"/>
      <c r="AV151" s="12" t="n"/>
      <c r="AW151" s="12" t="n"/>
      <c r="AX151" s="12" t="n"/>
      <c r="AY151" s="12" t="n"/>
      <c r="AZ151" s="12" t="n"/>
      <c r="BA151" s="12" t="n"/>
      <c r="BB151" s="12" t="n"/>
      <c r="BC151" s="12" t="n"/>
      <c r="BD151" s="12" t="n"/>
      <c r="BE151" s="12" t="n"/>
      <c r="BF151" s="12" t="n"/>
      <c r="BG151" s="12" t="n"/>
      <c r="BH151" s="12" t="n"/>
      <c r="BI151" s="12" t="n"/>
      <c r="BJ151" s="12" t="n"/>
      <c r="BK151" s="12" t="n"/>
      <c r="BL151" s="12" t="n"/>
      <c r="BM151" s="12" t="n"/>
      <c r="BN151" s="12" t="n"/>
      <c r="BO151" s="12" t="n"/>
      <c r="BP151" s="12" t="n"/>
      <c r="BQ151" s="12" t="n"/>
      <c r="BR151" s="12" t="n"/>
      <c r="BS151" s="12" t="n"/>
      <c r="BT151" s="12" t="n"/>
      <c r="BU151" s="12" t="n"/>
      <c r="BV151" s="12" t="n"/>
      <c r="BW151" s="12" t="n"/>
      <c r="BX151" s="12" t="n"/>
      <c r="BY151" s="12" t="n"/>
      <c r="BZ151" s="12" t="n"/>
      <c r="CA151" s="12" t="n"/>
      <c r="CB151" s="12" t="n"/>
      <c r="CC151" s="12" t="n"/>
      <c r="CD151" s="12" t="n"/>
      <c r="CE151" s="12" t="n"/>
      <c r="CF151" s="12" t="n"/>
      <c r="CG151" s="12" t="n"/>
      <c r="CH151" s="12" t="n"/>
      <c r="CI151" s="12" t="n"/>
      <c r="CJ151" s="12" t="n"/>
      <c r="CK151" s="12" t="n"/>
      <c r="CL151" s="12" t="n"/>
      <c r="CM151" s="12" t="n"/>
      <c r="CN151" s="12" t="n"/>
      <c r="CO151" s="12" t="n"/>
      <c r="CP151" s="12" t="n"/>
      <c r="CQ151" s="12" t="n"/>
      <c r="CR151" s="12" t="n"/>
      <c r="CS151" s="12" t="n"/>
      <c r="CT151" s="12" t="n"/>
      <c r="CU151" s="12" t="n"/>
      <c r="CV151" s="12" t="n"/>
      <c r="CW151" s="12" t="n"/>
      <c r="CX151" s="12" t="n"/>
      <c r="CY151" s="12" t="n"/>
    </row>
    <row r="152" hidden="1" outlineLevel="1">
      <c r="C152" s="57" t="inlineStr">
        <is>
          <t>Definir % do D&amp;A No PPE and Intagibles</t>
        </is>
      </c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  <c r="AA152" s="12" t="n"/>
      <c r="AB152" s="12" t="n"/>
      <c r="AC152" s="12" t="n"/>
      <c r="AD152" s="12" t="n"/>
      <c r="AE152" s="12" t="n"/>
      <c r="AF152" s="12" t="n"/>
      <c r="AG152" s="12" t="n"/>
      <c r="AH152" s="12" t="n"/>
      <c r="AI152" s="12" t="n"/>
      <c r="AJ152" s="12" t="n"/>
      <c r="AK152" s="12" t="n"/>
      <c r="AL152" s="12" t="n"/>
      <c r="AM152" s="12" t="n"/>
      <c r="AN152" s="12" t="n"/>
      <c r="AO152" s="12" t="n"/>
      <c r="AP152" s="12" t="n"/>
      <c r="AQ152" s="12" t="n"/>
      <c r="AR152" s="12" t="n"/>
      <c r="AS152" s="12" t="n"/>
      <c r="AT152" s="12" t="n"/>
      <c r="AU152" s="12" t="n"/>
      <c r="AV152" s="12" t="n"/>
      <c r="AW152" s="12" t="n"/>
      <c r="AX152" s="12" t="n"/>
      <c r="AY152" s="12" t="n"/>
      <c r="AZ152" s="12" t="n"/>
      <c r="BA152" s="12" t="n"/>
      <c r="BB152" s="12" t="n"/>
      <c r="BC152" s="12" t="n"/>
      <c r="BD152" s="12" t="n"/>
      <c r="BE152" s="12" t="n"/>
      <c r="BF152" s="12" t="n"/>
      <c r="BG152" s="12" t="n"/>
      <c r="BH152" s="12" t="n"/>
      <c r="BI152" s="12" t="n"/>
      <c r="BJ152" s="12" t="n"/>
      <c r="BK152" s="12" t="n"/>
      <c r="BL152" s="12" t="n"/>
      <c r="BM152" s="12" t="n"/>
      <c r="BN152" s="12" t="n"/>
      <c r="BO152" s="12" t="n"/>
      <c r="BP152" s="12" t="n"/>
      <c r="BQ152" s="12" t="n"/>
      <c r="BR152" s="12" t="n"/>
      <c r="BS152" s="12" t="n"/>
      <c r="BT152" s="12" t="n"/>
      <c r="BU152" s="12" t="n"/>
      <c r="BV152" s="12" t="n"/>
      <c r="BW152" s="12" t="n"/>
      <c r="BX152" s="12" t="n"/>
      <c r="BY152" s="12" t="n"/>
      <c r="BZ152" s="12" t="n"/>
      <c r="CA152" s="12" t="n"/>
      <c r="CB152" s="12" t="n"/>
      <c r="CC152" s="12" t="n"/>
      <c r="CD152" s="12" t="n"/>
      <c r="CE152" s="12" t="n"/>
      <c r="CF152" s="12" t="n"/>
      <c r="CG152" s="12" t="n"/>
      <c r="CH152" s="12" t="n"/>
      <c r="CI152" s="12" t="n"/>
      <c r="CJ152" s="12" t="n"/>
      <c r="CK152" s="12" t="n"/>
      <c r="CL152" s="12" t="n"/>
      <c r="CM152" s="12" t="n"/>
      <c r="CN152" s="12" t="n"/>
      <c r="CO152" s="12" t="n"/>
      <c r="CP152" s="12" t="n"/>
      <c r="CQ152" s="12" t="n"/>
      <c r="CR152" s="12" t="n"/>
      <c r="CS152" s="12" t="n"/>
      <c r="CT152" s="12" t="n"/>
      <c r="CU152" s="12" t="n"/>
      <c r="CV152" s="12" t="n"/>
      <c r="CW152" s="12" t="n"/>
      <c r="CX152" s="12" t="n"/>
      <c r="CY152" s="12" t="n"/>
    </row>
    <row r="153" hidden="1" outlineLevel="1">
      <c r="C153" s="57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  <c r="AA153" s="12" t="n"/>
      <c r="AB153" s="12" t="n"/>
      <c r="AC153" s="12" t="n"/>
      <c r="AD153" s="12" t="n"/>
      <c r="AE153" s="12" t="n"/>
      <c r="AF153" s="12" t="n"/>
      <c r="AG153" s="12" t="n"/>
      <c r="AH153" s="12" t="n"/>
      <c r="AI153" s="12" t="n"/>
      <c r="AJ153" s="12" t="n"/>
      <c r="AK153" s="12" t="n"/>
      <c r="AL153" s="12" t="n"/>
      <c r="AM153" s="12" t="n"/>
      <c r="AN153" s="12" t="n"/>
      <c r="AO153" s="12" t="n"/>
      <c r="AP153" s="12" t="n"/>
      <c r="AQ153" s="12" t="n"/>
      <c r="AR153" s="12" t="n"/>
      <c r="AS153" s="12" t="n"/>
      <c r="AT153" s="12" t="n"/>
      <c r="AU153" s="12" t="n"/>
      <c r="AV153" s="12" t="n"/>
      <c r="AW153" s="12" t="n"/>
      <c r="AX153" s="12" t="n"/>
      <c r="AY153" s="12" t="n"/>
      <c r="AZ153" s="12" t="n"/>
      <c r="BA153" s="12" t="n"/>
      <c r="BB153" s="12" t="n"/>
      <c r="BC153" s="12" t="n"/>
      <c r="BD153" s="12" t="n"/>
      <c r="BE153" s="12" t="n"/>
      <c r="BF153" s="12" t="n"/>
      <c r="BG153" s="12" t="n"/>
      <c r="BH153" s="12" t="n"/>
      <c r="BI153" s="12" t="n"/>
      <c r="BJ153" s="12" t="n"/>
      <c r="BK153" s="12" t="n"/>
      <c r="BL153" s="12" t="n"/>
      <c r="BM153" s="12" t="n"/>
      <c r="BN153" s="12" t="n"/>
      <c r="BO153" s="12" t="n"/>
      <c r="BP153" s="12" t="n"/>
      <c r="BQ153" s="12" t="n"/>
      <c r="BR153" s="12" t="n"/>
      <c r="BS153" s="12" t="n"/>
      <c r="BT153" s="12" t="n"/>
      <c r="BU153" s="12" t="n"/>
      <c r="BV153" s="12" t="n"/>
      <c r="BW153" s="12" t="n"/>
      <c r="BX153" s="12" t="n"/>
      <c r="BY153" s="12" t="n"/>
      <c r="BZ153" s="12" t="n"/>
      <c r="CA153" s="12" t="n"/>
      <c r="CB153" s="12" t="n"/>
      <c r="CC153" s="12" t="n"/>
      <c r="CD153" s="12" t="n"/>
      <c r="CE153" s="12" t="n"/>
      <c r="CF153" s="12" t="n"/>
      <c r="CG153" s="12" t="n"/>
      <c r="CH153" s="12" t="n"/>
      <c r="CI153" s="12" t="n"/>
      <c r="CJ153" s="12" t="n"/>
      <c r="CK153" s="12" t="n"/>
      <c r="CL153" s="12" t="n"/>
      <c r="CM153" s="12" t="n"/>
      <c r="CN153" s="12" t="n"/>
      <c r="CO153" s="12" t="n"/>
      <c r="CP153" s="12" t="n"/>
      <c r="CQ153" s="12" t="n"/>
      <c r="CR153" s="12" t="n"/>
      <c r="CS153" s="12" t="n"/>
      <c r="CT153" s="12" t="n"/>
      <c r="CU153" s="12" t="n"/>
      <c r="CV153" s="12" t="n"/>
      <c r="CW153" s="12" t="n"/>
      <c r="CX153" s="12" t="n"/>
      <c r="CY153" s="12" t="n"/>
    </row>
    <row r="154" hidden="1" outlineLevel="1">
      <c r="C154" s="57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  <c r="AA154" s="12" t="n"/>
      <c r="AB154" s="12" t="n"/>
      <c r="AC154" s="12" t="n"/>
      <c r="AD154" s="12" t="n"/>
      <c r="AE154" s="12" t="n"/>
      <c r="AF154" s="12" t="n"/>
      <c r="AG154" s="12" t="n"/>
      <c r="AH154" s="12" t="n"/>
      <c r="AI154" s="12" t="n"/>
      <c r="AJ154" s="12" t="n"/>
      <c r="AK154" s="12" t="n"/>
      <c r="AL154" s="12" t="n"/>
      <c r="AM154" s="12" t="n"/>
      <c r="AN154" s="12" t="n"/>
      <c r="AO154" s="12" t="n"/>
      <c r="AP154" s="12" t="n"/>
      <c r="AQ154" s="12" t="n"/>
      <c r="AR154" s="12" t="n"/>
      <c r="AS154" s="12" t="n"/>
      <c r="AT154" s="12" t="n"/>
      <c r="AU154" s="12" t="n"/>
      <c r="AV154" s="12" t="n"/>
      <c r="AW154" s="12" t="n"/>
      <c r="AX154" s="12" t="n"/>
      <c r="AY154" s="12" t="n"/>
      <c r="AZ154" s="12" t="n"/>
      <c r="BA154" s="12" t="n"/>
      <c r="BB154" s="12" t="n"/>
      <c r="BC154" s="12" t="n"/>
      <c r="BD154" s="12" t="n"/>
      <c r="BE154" s="12" t="n"/>
      <c r="BF154" s="12" t="n"/>
      <c r="BG154" s="12" t="n"/>
      <c r="BH154" s="12" t="n"/>
      <c r="BI154" s="12" t="n"/>
      <c r="BJ154" s="12" t="n"/>
      <c r="BK154" s="12" t="n"/>
      <c r="BL154" s="12" t="n"/>
      <c r="BM154" s="12" t="n"/>
      <c r="BN154" s="12" t="n"/>
      <c r="BO154" s="12" t="n"/>
      <c r="BP154" s="12" t="n"/>
      <c r="BQ154" s="12" t="n"/>
      <c r="BR154" s="12" t="n"/>
      <c r="BS154" s="12" t="n"/>
      <c r="BT154" s="12" t="n"/>
      <c r="BU154" s="12" t="n"/>
      <c r="BV154" s="12" t="n"/>
      <c r="BW154" s="12" t="n"/>
      <c r="BX154" s="12" t="n"/>
      <c r="BY154" s="12" t="n"/>
      <c r="BZ154" s="12" t="n"/>
      <c r="CA154" s="12" t="n"/>
      <c r="CB154" s="12" t="n"/>
      <c r="CC154" s="12" t="n"/>
      <c r="CD154" s="12" t="n"/>
      <c r="CE154" s="12" t="n"/>
      <c r="CF154" s="12" t="n"/>
      <c r="CG154" s="12" t="n"/>
      <c r="CH154" s="12" t="n"/>
      <c r="CI154" s="12" t="n"/>
      <c r="CJ154" s="12" t="n"/>
      <c r="CK154" s="12" t="n"/>
      <c r="CL154" s="12" t="n"/>
      <c r="CM154" s="12" t="n"/>
      <c r="CN154" s="12" t="n"/>
      <c r="CO154" s="12" t="n"/>
      <c r="CP154" s="12" t="n"/>
      <c r="CQ154" s="12" t="n"/>
      <c r="CR154" s="12" t="n"/>
      <c r="CS154" s="12" t="n"/>
      <c r="CT154" s="12" t="n"/>
      <c r="CU154" s="12" t="n"/>
      <c r="CV154" s="12" t="n"/>
      <c r="CW154" s="12" t="n"/>
      <c r="CX154" s="12" t="n"/>
      <c r="CY154" s="12" t="n"/>
    </row>
    <row r="155" collapsed="1">
      <c r="C155" s="14" t="inlineStr">
        <is>
          <t>Other non-current assets</t>
        </is>
      </c>
      <c r="D155" s="46" t="n"/>
      <c r="E155" s="46" t="n"/>
      <c r="F155" s="46" t="n"/>
      <c r="G155" s="46" t="n"/>
      <c r="H155" s="12" t="n"/>
      <c r="I155" s="46">
        <f>'Inputs (2)'!D26</f>
        <v>57.70639164</v>
      </c>
      <c r="J155" s="46">
        <f>'Inputs (2)'!E26</f>
        <v>46.88245908</v>
      </c>
      <c r="K155" s="46">
        <f>'Inputs (2)'!F26</f>
        <v>45.76159196</v>
      </c>
      <c r="L155" s="46">
        <f>'Inputs (2)'!G26</f>
        <v>46.89604854</v>
      </c>
      <c r="M155" s="12">
        <f>'Inputs (2)'!H26</f>
        <v>46.89604854</v>
      </c>
      <c r="N155" s="46">
        <f>'Inputs (2)'!I26</f>
        <v>46.34248186</v>
      </c>
      <c r="O155" s="46">
        <f>'Inputs (2)'!J26</f>
        <v>48.66050671</v>
      </c>
      <c r="P155" s="46">
        <f>'Inputs (2)'!K26</f>
        <v>50.13974602</v>
      </c>
      <c r="Q155" s="46">
        <f>'Inputs (2)'!L26</f>
        <v>77.92503408</v>
      </c>
      <c r="R155" s="12">
        <f>'Inputs (2)'!M26</f>
        <v>77.92503408</v>
      </c>
      <c r="S155" s="46">
        <f>'Inputs (2)'!N26</f>
        <v>77.42650597</v>
      </c>
      <c r="T155" s="46">
        <f>'Inputs (2)'!O26</f>
        <v>80.237</v>
      </c>
      <c r="U155" s="46">
        <f>'Inputs (2)'!P26</f>
        <v>85.086</v>
      </c>
      <c r="V155" s="46">
        <f>'Inputs (2)'!Q26</f>
        <v>75.961</v>
      </c>
      <c r="W155" s="12">
        <f>'Inputs (2)'!R26</f>
        <v>75.961</v>
      </c>
      <c r="X155" s="46">
        <f>'Inputs (2)'!S26</f>
        <v>77.885</v>
      </c>
      <c r="Y155" s="46">
        <f>'Inputs (2)'!T26</f>
        <v>75.5</v>
      </c>
      <c r="Z155" s="46">
        <f>'Inputs (2)'!U26</f>
        <v>74.756</v>
      </c>
      <c r="AA155" s="46">
        <f>'Inputs (2)'!V26</f>
        <v>102.77</v>
      </c>
      <c r="AB155" s="12">
        <f>'Inputs (2)'!W26</f>
        <v>102.77</v>
      </c>
      <c r="AC155" s="46">
        <f>'Inputs (2)'!X26</f>
        <v>89.979094</v>
      </c>
      <c r="AD155" s="46">
        <f>'Inputs (2)'!Y26</f>
        <v>84.177</v>
      </c>
      <c r="AE155" s="46">
        <f>'Inputs (2)'!Z26</f>
        <v>82.641</v>
      </c>
      <c r="AF155" s="46">
        <f>'Inputs (2)'!AA26</f>
        <v>106.081</v>
      </c>
      <c r="AG155" s="12">
        <f>'Inputs (2)'!AB26</f>
        <v>106.081</v>
      </c>
      <c r="AH155" s="12">
        <f>'Inputs (2)'!AC26</f>
        <v>104.557</v>
      </c>
      <c r="AI155" s="12">
        <f>'Inputs (2)'!AD26</f>
        <v>87.914</v>
      </c>
      <c r="AJ155" s="12">
        <f>AI155</f>
        <v>87.914</v>
      </c>
      <c r="AK155" s="12">
        <f>AJ155</f>
        <v>87.914</v>
      </c>
      <c r="AL155" s="12">
        <f>AK155</f>
        <v>87.914</v>
      </c>
      <c r="AM155" s="12">
        <f>AL155</f>
        <v>87.914</v>
      </c>
      <c r="AN155" s="12">
        <f>AM155</f>
        <v>87.914</v>
      </c>
      <c r="AO155" s="12">
        <f>AN155</f>
        <v>87.914</v>
      </c>
      <c r="AP155" s="12">
        <f>AO155</f>
        <v>87.914</v>
      </c>
      <c r="AQ155" s="12">
        <f>AP155</f>
        <v>87.914</v>
      </c>
      <c r="AR155" s="12">
        <f>AQ155</f>
        <v>87.914</v>
      </c>
      <c r="AS155" s="12">
        <f>AR155</f>
        <v>87.914</v>
      </c>
      <c r="AT155" s="12">
        <f>AS155</f>
        <v>87.914</v>
      </c>
      <c r="AU155" s="12">
        <f>AT155</f>
        <v>87.914</v>
      </c>
      <c r="AV155" s="12">
        <f>AU155</f>
        <v>87.914</v>
      </c>
      <c r="AW155" s="12">
        <f>AV155</f>
        <v>87.914</v>
      </c>
      <c r="AX155" s="12">
        <f>AW155</f>
        <v>87.914</v>
      </c>
      <c r="AY155" s="12">
        <f>AX155</f>
        <v>87.914</v>
      </c>
      <c r="AZ155" s="12">
        <f>AY155</f>
        <v>87.914</v>
      </c>
      <c r="BA155" s="12">
        <f>AZ155</f>
        <v>87.914</v>
      </c>
      <c r="BB155" s="12">
        <f>BA155</f>
        <v>87.914</v>
      </c>
      <c r="BC155" s="12">
        <f>BB155</f>
        <v>87.914</v>
      </c>
      <c r="BD155" s="12">
        <f>BC155</f>
        <v>87.914</v>
      </c>
      <c r="BE155" s="12">
        <f>BD155</f>
        <v>87.914</v>
      </c>
      <c r="BF155" s="12">
        <f>BE155</f>
        <v>87.914</v>
      </c>
      <c r="BG155" s="12" t="n"/>
      <c r="BH155" s="12" t="n"/>
      <c r="BI155" s="12" t="n"/>
      <c r="BJ155" s="12" t="n"/>
      <c r="BK155" s="12" t="n"/>
      <c r="BL155" s="12" t="n"/>
      <c r="BM155" s="12" t="n"/>
      <c r="BN155" s="12" t="n"/>
      <c r="BO155" s="12" t="n"/>
      <c r="BP155" s="12" t="n"/>
      <c r="BQ155" s="12" t="n"/>
      <c r="BR155" s="12" t="n"/>
      <c r="BS155" s="12" t="n"/>
      <c r="BT155" s="12" t="n"/>
      <c r="BU155" s="12" t="n"/>
      <c r="BV155" s="12" t="n"/>
      <c r="BW155" s="12" t="n"/>
      <c r="BX155" s="12" t="n"/>
      <c r="BY155" s="12" t="n"/>
      <c r="BZ155" s="12" t="n"/>
      <c r="CA155" s="12" t="n"/>
      <c r="CB155" s="12" t="n"/>
      <c r="CC155" s="12" t="n"/>
      <c r="CD155" s="12" t="n"/>
      <c r="CE155" s="12" t="n"/>
      <c r="CF155" s="12" t="n"/>
      <c r="CG155" s="12" t="n"/>
      <c r="CH155" s="12" t="n"/>
      <c r="CI155" s="12" t="n"/>
      <c r="CJ155" s="12" t="n"/>
      <c r="CK155" s="12" t="n"/>
      <c r="CL155" s="12" t="n"/>
      <c r="CM155" s="12" t="n"/>
      <c r="CN155" s="12" t="n"/>
      <c r="CO155" s="12" t="n"/>
      <c r="CP155" s="12" t="n"/>
      <c r="CQ155" s="12" t="n"/>
      <c r="CR155" s="12" t="n"/>
      <c r="CS155" s="12" t="n"/>
      <c r="CT155" s="12" t="n"/>
      <c r="CU155" s="12" t="n"/>
      <c r="CV155" s="12" t="n"/>
      <c r="CW155" s="12" t="n"/>
      <c r="CX155" s="12" t="n"/>
      <c r="CY155" s="12" t="n"/>
    </row>
    <row r="156" hidden="1" outlineLevel="1">
      <c r="C156" s="59" t="inlineStr">
        <is>
          <t>%(Var.)</t>
        </is>
      </c>
      <c r="D156" s="12" t="n"/>
      <c r="E156" s="40" t="n"/>
      <c r="F156" s="40" t="n"/>
      <c r="G156" s="40" t="n"/>
      <c r="H156" s="12" t="n"/>
      <c r="I156" s="40" t="str">
        <f>""</f>
        <v/>
      </c>
      <c r="J156" s="40">
        <f>IF(I155=0,"",J155/I155-1)</f>
        <v>-0.187569041355503</v>
      </c>
      <c r="K156" s="40">
        <f>IF(J155=0,"",K155/J155-1)</f>
        <v>-0.0239080274796883</v>
      </c>
      <c r="L156" s="40">
        <f>IF(K155=0,"",L155/K155-1)</f>
        <v>0.024790583793318</v>
      </c>
      <c r="M156" s="12">
        <f>IF(L155=0,"",M155/L155-1)</f>
        <v>0</v>
      </c>
      <c r="N156" s="40">
        <f>IF(M155=0,"",N155/M155-1)</f>
        <v>-0.0118041220365899</v>
      </c>
      <c r="O156" s="40">
        <f>IF(N155=0,"",O155/N155-1)</f>
        <v>0.050019436960729</v>
      </c>
      <c r="P156" s="40">
        <f>IF(O155=0,"",P155/O155-1)</f>
        <v>0.0303991760467222</v>
      </c>
      <c r="Q156" s="40">
        <f>IF(P155=0,"",Q155/P155-1)</f>
        <v>0.554156936672892</v>
      </c>
      <c r="R156" s="12">
        <f>IF(Q155=0,"",R155/Q155-1)</f>
        <v>0</v>
      </c>
      <c r="S156" s="40">
        <f>IF(R155=0,"",S155/R155-1)</f>
        <v>-0.0063975347060895</v>
      </c>
      <c r="T156" s="40">
        <f>IF(S155=0,"",T155/S155-1)</f>
        <v>0.0362988616726287</v>
      </c>
      <c r="U156" s="40">
        <f>IF(T155=0,"",U155/T155-1)</f>
        <v>0.0604334658573975</v>
      </c>
      <c r="V156" s="40">
        <f>IF(U155=0,"",V155/U155-1)</f>
        <v>-0.107244435042193</v>
      </c>
      <c r="W156" s="12">
        <f>IF(V155=0,"",W155/V155-1)</f>
        <v>0</v>
      </c>
      <c r="X156" s="40">
        <f>IF(W155=0,"",X155/W155-1)</f>
        <v>0.0253287871407697</v>
      </c>
      <c r="Y156" s="40">
        <f>IF(X155=0,"",Y155/X155-1)</f>
        <v>-0.0306220710021186</v>
      </c>
      <c r="Z156" s="40">
        <f>IF(Y155=0,"",Z155/Y155-1)</f>
        <v>-0.00985430463576154</v>
      </c>
      <c r="AA156" s="40">
        <f>IF(Z155=0,"",AA155/Z155-1)</f>
        <v>0.374739151372465</v>
      </c>
      <c r="AB156" s="12">
        <f>IF(AA155=0,"",AB155/AA155-1)</f>
        <v>0</v>
      </c>
      <c r="AC156" s="40">
        <f>IF(AB155=0,"",AC155/AB155-1)</f>
        <v>-0.124461477084752</v>
      </c>
      <c r="AD156" s="40">
        <f>IF(AC155=0,"",AD155/AC155-1)</f>
        <v>-0.0644826897234595</v>
      </c>
      <c r="AE156" s="40">
        <f>IF(AD155=0,"",AE155/AD155-1)</f>
        <v>-0.0182472646922556</v>
      </c>
      <c r="AF156" s="55">
        <f>IF(AE155=0,"",AF155/AE155-1)</f>
        <v>0.283636451640227</v>
      </c>
      <c r="AG156" s="12">
        <f>IF(AF155=0,"",AG155/AF155-1)</f>
        <v>0</v>
      </c>
      <c r="AH156" s="55">
        <f>IF(AG155=0,"",AH155/AG155-1)</f>
        <v>-0.0143663804074246</v>
      </c>
      <c r="AI156" s="55">
        <f>IF(AH155=0,"",AI155/AH155-1)</f>
        <v>-0.159176334439588</v>
      </c>
      <c r="AJ156" s="55">
        <f>IF(AI155=0,"",AJ155/AI155-1)</f>
        <v>0</v>
      </c>
      <c r="AK156" s="55">
        <f>IF(AJ155=0,"",AK155/AJ155-1)</f>
        <v>0</v>
      </c>
      <c r="AL156" s="12">
        <f>IF(AK155=0,"",AL155/AK155-1)</f>
        <v>0</v>
      </c>
      <c r="AM156" s="55">
        <f>IF(AL155=0,"",AM155/AL155-1)</f>
        <v>0</v>
      </c>
      <c r="AN156" s="55">
        <f>IF(AM155=0,"",AN155/AM155-1)</f>
        <v>0</v>
      </c>
      <c r="AO156" s="55">
        <f>IF(AN155=0,"",AO155/AN155-1)</f>
        <v>0</v>
      </c>
      <c r="AP156" s="55">
        <f>IF(AO155=0,"",AP155/AO155-1)</f>
        <v>0</v>
      </c>
      <c r="AQ156" s="12">
        <f>IF(AP155=0,"",AQ155/AP155-1)</f>
        <v>0</v>
      </c>
      <c r="AR156" s="55">
        <f>IF(AQ155=0,"",AR155/AQ155-1)</f>
        <v>0</v>
      </c>
      <c r="AS156" s="55">
        <f>IF(AR155=0,"",AS155/AR155-1)</f>
        <v>0</v>
      </c>
      <c r="AT156" s="55">
        <f>IF(AS155=0,"",AT155/AS155-1)</f>
        <v>0</v>
      </c>
      <c r="AU156" s="55">
        <f>IF(AT155=0,"",AU155/AT155-1)</f>
        <v>0</v>
      </c>
      <c r="AV156" s="12">
        <f>IF(AU155=0,"",AV155/AU155-1)</f>
        <v>0</v>
      </c>
      <c r="AW156" s="55">
        <f>IF(AV155=0,"",AW155/AV155-1)</f>
        <v>0</v>
      </c>
      <c r="AX156" s="55">
        <f>IF(AW155=0,"",AX155/AW155-1)</f>
        <v>0</v>
      </c>
      <c r="AY156" s="55">
        <f>IF(AX155=0,"",AY155/AX155-1)</f>
        <v>0</v>
      </c>
      <c r="AZ156" s="55">
        <f>IF(AY155=0,"",AZ155/AY155-1)</f>
        <v>0</v>
      </c>
      <c r="BA156" s="12">
        <f>IF(AZ155=0,"",BA155/AZ155-1)</f>
        <v>0</v>
      </c>
      <c r="BB156" s="55">
        <f>IF(BA155=0,"",BB155/BA155-1)</f>
        <v>0</v>
      </c>
      <c r="BC156" s="55">
        <f>IF(BB155=0,"",BC155/BB155-1)</f>
        <v>0</v>
      </c>
      <c r="BD156" s="55">
        <f>IF(BC155=0,"",BD155/BC155-1)</f>
        <v>0</v>
      </c>
      <c r="BE156" s="55">
        <f>IF(BD155=0,"",BE155/BD155-1)</f>
        <v>0</v>
      </c>
      <c r="BF156" s="12">
        <f>IF(BE155=0,"",BF155/BE155-1)</f>
        <v>0</v>
      </c>
      <c r="BG156" s="55" t="n"/>
      <c r="BH156" s="55" t="n"/>
      <c r="BI156" s="55" t="n"/>
      <c r="BJ156" s="55" t="n"/>
      <c r="BK156" s="12" t="n"/>
      <c r="BL156" s="55" t="n"/>
      <c r="BM156" s="55" t="n"/>
      <c r="BN156" s="55" t="n"/>
      <c r="BO156" s="55" t="n"/>
      <c r="BP156" s="12" t="n"/>
      <c r="BQ156" s="55" t="n"/>
      <c r="BR156" s="55" t="n"/>
      <c r="BS156" s="55" t="n"/>
      <c r="BT156" s="55" t="n"/>
      <c r="BU156" s="12" t="n"/>
      <c r="BV156" s="55" t="n"/>
      <c r="BW156" s="55" t="n"/>
      <c r="BX156" s="55" t="n"/>
      <c r="BY156" s="55" t="n"/>
      <c r="BZ156" s="12" t="n"/>
      <c r="CA156" s="55" t="n"/>
      <c r="CB156" s="55" t="n"/>
      <c r="CC156" s="55" t="n"/>
      <c r="CD156" s="55" t="n"/>
      <c r="CE156" s="12" t="n"/>
      <c r="CF156" s="55" t="n"/>
      <c r="CG156" s="55" t="n"/>
      <c r="CH156" s="55" t="n"/>
      <c r="CI156" s="55" t="n"/>
      <c r="CJ156" s="12" t="n"/>
      <c r="CK156" s="55" t="n"/>
      <c r="CL156" s="55" t="n"/>
      <c r="CM156" s="55" t="n"/>
      <c r="CN156" s="55" t="n"/>
      <c r="CO156" s="12" t="n"/>
      <c r="CP156" s="55" t="n"/>
      <c r="CQ156" s="55" t="n"/>
      <c r="CR156" s="55" t="n"/>
      <c r="CS156" s="55" t="n"/>
      <c r="CT156" s="12" t="n"/>
      <c r="CU156" s="55" t="n"/>
      <c r="CV156" s="55" t="n"/>
      <c r="CW156" s="55" t="n"/>
      <c r="CX156" s="55" t="n"/>
      <c r="CY156" s="12" t="n"/>
    </row>
    <row r="157" hidden="1" outlineLevel="1">
      <c r="C157" s="57" t="n"/>
      <c r="D157" s="12" t="n"/>
      <c r="E157" s="40" t="n"/>
      <c r="F157" s="40" t="n"/>
      <c r="G157" s="40" t="n"/>
      <c r="H157" s="12" t="n"/>
      <c r="I157" s="40" t="n"/>
      <c r="J157" s="40" t="n"/>
      <c r="K157" s="40" t="n"/>
      <c r="L157" s="40" t="n"/>
      <c r="M157" s="12" t="n"/>
      <c r="N157" s="40" t="n"/>
      <c r="O157" s="40" t="n"/>
      <c r="P157" s="40" t="n"/>
      <c r="Q157" s="40" t="n"/>
      <c r="R157" s="12" t="n"/>
      <c r="S157" s="40" t="n"/>
      <c r="T157" s="40" t="n"/>
      <c r="U157" s="40" t="n"/>
      <c r="V157" s="40" t="n"/>
      <c r="W157" s="12" t="n"/>
      <c r="X157" s="40" t="n"/>
      <c r="Y157" s="40" t="n"/>
      <c r="Z157" s="40" t="n"/>
      <c r="AA157" s="40" t="n"/>
      <c r="AB157" s="12" t="n"/>
      <c r="AC157" s="40" t="n"/>
      <c r="AD157" s="40" t="n"/>
      <c r="AE157" s="40" t="n"/>
      <c r="AF157" s="55" t="n"/>
      <c r="AG157" s="12" t="n"/>
      <c r="AH157" s="55" t="n"/>
      <c r="AI157" s="55" t="n"/>
      <c r="AJ157" s="55" t="n"/>
      <c r="AK157" s="55" t="n"/>
      <c r="AL157" s="12" t="n"/>
      <c r="AM157" s="55" t="n"/>
      <c r="AN157" s="55" t="n"/>
      <c r="AO157" s="55" t="n"/>
      <c r="AP157" s="55" t="n"/>
      <c r="AQ157" s="12" t="n"/>
      <c r="AR157" s="55" t="n"/>
      <c r="AS157" s="55" t="n"/>
      <c r="AT157" s="55" t="n"/>
      <c r="AU157" s="55" t="n"/>
      <c r="AV157" s="12" t="n"/>
      <c r="AW157" s="55" t="n"/>
      <c r="AX157" s="55" t="n"/>
      <c r="AY157" s="55" t="n"/>
      <c r="AZ157" s="55" t="n"/>
      <c r="BA157" s="12" t="n"/>
      <c r="BB157" s="55" t="n"/>
      <c r="BC157" s="55" t="n"/>
      <c r="BD157" s="55" t="n"/>
      <c r="BE157" s="55" t="n"/>
      <c r="BF157" s="12" t="n"/>
      <c r="BG157" s="55" t="n"/>
      <c r="BH157" s="55" t="n"/>
      <c r="BI157" s="55" t="n"/>
      <c r="BJ157" s="55" t="n"/>
      <c r="BK157" s="12" t="n"/>
      <c r="BL157" s="55" t="n"/>
      <c r="BM157" s="55" t="n"/>
      <c r="BN157" s="55" t="n"/>
      <c r="BO157" s="55" t="n"/>
      <c r="BP157" s="12" t="n"/>
      <c r="BQ157" s="55" t="n"/>
      <c r="BR157" s="55" t="n"/>
      <c r="BS157" s="55" t="n"/>
      <c r="BT157" s="55" t="n"/>
      <c r="BU157" s="12" t="n"/>
      <c r="BV157" s="55" t="n"/>
      <c r="BW157" s="55" t="n"/>
      <c r="BX157" s="55" t="n"/>
      <c r="BY157" s="55" t="n"/>
      <c r="BZ157" s="12" t="n"/>
      <c r="CA157" s="55" t="n"/>
      <c r="CB157" s="55" t="n"/>
      <c r="CC157" s="55" t="n"/>
      <c r="CD157" s="55" t="n"/>
      <c r="CE157" s="12" t="n"/>
      <c r="CF157" s="55" t="n"/>
      <c r="CG157" s="55" t="n"/>
      <c r="CH157" s="55" t="n"/>
      <c r="CI157" s="55" t="n"/>
      <c r="CJ157" s="12" t="n"/>
      <c r="CK157" s="55" t="n"/>
      <c r="CL157" s="55" t="n"/>
      <c r="CM157" s="55" t="n"/>
      <c r="CN157" s="55" t="n"/>
      <c r="CO157" s="12" t="n"/>
      <c r="CP157" s="55" t="n"/>
      <c r="CQ157" s="55" t="n"/>
      <c r="CR157" s="55" t="n"/>
      <c r="CS157" s="55" t="n"/>
      <c r="CT157" s="12" t="n"/>
      <c r="CU157" s="55" t="n"/>
      <c r="CV157" s="55" t="n"/>
      <c r="CW157" s="55" t="n"/>
      <c r="CX157" s="55" t="n"/>
      <c r="CY157" s="12" t="n"/>
    </row>
    <row r="158" hidden="1" outlineLevel="1">
      <c r="C158" s="60" t="inlineStr">
        <is>
          <t>Outros Créditos - LP</t>
        </is>
      </c>
      <c r="D158" s="11" t="n"/>
      <c r="E158" s="11" t="n"/>
      <c r="F158" s="11" t="n"/>
      <c r="G158" s="11" t="n"/>
      <c r="H158" s="12" t="n"/>
      <c r="I158" s="11" t="n"/>
      <c r="J158" s="11" t="n"/>
      <c r="K158" s="11" t="n"/>
      <c r="L158" s="11" t="n"/>
      <c r="M158" s="12" t="n"/>
      <c r="N158" s="11" t="n"/>
      <c r="O158" s="11" t="n"/>
      <c r="P158" s="11" t="n"/>
      <c r="Q158" s="11" t="n"/>
      <c r="R158" s="12" t="n"/>
      <c r="S158" s="11" t="n"/>
      <c r="T158" s="11" t="n"/>
      <c r="U158" s="11" t="n"/>
      <c r="V158" s="11" t="n"/>
      <c r="W158" s="12" t="n"/>
      <c r="X158" s="11" t="n"/>
      <c r="Y158" s="11" t="n"/>
      <c r="Z158" s="11" t="n"/>
      <c r="AA158" s="11" t="n"/>
      <c r="AB158" s="12" t="n"/>
      <c r="AC158" s="11" t="n"/>
      <c r="AD158" s="11" t="n"/>
      <c r="AE158" s="11" t="n"/>
      <c r="AF158" s="11" t="n"/>
      <c r="AG158" s="12" t="n"/>
      <c r="AH158" s="12" t="n"/>
      <c r="AI158" s="12" t="n"/>
      <c r="AJ158" s="12" t="n"/>
      <c r="AK158" s="12" t="n"/>
      <c r="AL158" s="12" t="n"/>
      <c r="AM158" s="12" t="n"/>
      <c r="AN158" s="12" t="n"/>
      <c r="AO158" s="12" t="n"/>
      <c r="AP158" s="12" t="n"/>
      <c r="AQ158" s="12" t="n"/>
      <c r="AR158" s="12" t="n"/>
      <c r="AS158" s="12" t="n"/>
      <c r="AT158" s="12" t="n"/>
      <c r="AU158" s="12" t="n"/>
      <c r="AV158" s="12" t="n"/>
      <c r="AW158" s="12" t="n"/>
      <c r="AX158" s="12" t="n"/>
      <c r="AY158" s="12" t="n"/>
      <c r="AZ158" s="12" t="n"/>
      <c r="BA158" s="12" t="n"/>
      <c r="BB158" s="12" t="n"/>
      <c r="BC158" s="12" t="n"/>
      <c r="BD158" s="12" t="n"/>
      <c r="BE158" s="12" t="n"/>
      <c r="BF158" s="12" t="n"/>
      <c r="BG158" s="12" t="n"/>
      <c r="BH158" s="12" t="n"/>
      <c r="BI158" s="12" t="n"/>
      <c r="BJ158" s="12" t="n"/>
      <c r="BK158" s="12" t="n"/>
      <c r="BL158" s="12" t="n"/>
      <c r="BM158" s="12" t="n"/>
      <c r="BN158" s="12" t="n"/>
      <c r="BO158" s="12" t="n"/>
      <c r="BP158" s="12" t="n"/>
      <c r="BQ158" s="12" t="n"/>
      <c r="BR158" s="12" t="n"/>
      <c r="BS158" s="12" t="n"/>
      <c r="BT158" s="12" t="n"/>
      <c r="BU158" s="12" t="n"/>
      <c r="BV158" s="12" t="n"/>
      <c r="BW158" s="12" t="n"/>
      <c r="BX158" s="12" t="n"/>
      <c r="BY158" s="12" t="n"/>
      <c r="BZ158" s="12" t="n"/>
      <c r="CA158" s="12" t="n"/>
      <c r="CB158" s="12" t="n"/>
      <c r="CC158" s="12" t="n"/>
      <c r="CD158" s="12" t="n"/>
      <c r="CE158" s="12" t="n"/>
      <c r="CF158" s="12" t="n"/>
      <c r="CG158" s="12" t="n"/>
      <c r="CH158" s="12" t="n"/>
      <c r="CI158" s="12" t="n"/>
      <c r="CJ158" s="12" t="n"/>
      <c r="CK158" s="12" t="n"/>
      <c r="CL158" s="12" t="n"/>
      <c r="CM158" s="12" t="n"/>
      <c r="CN158" s="12" t="n"/>
      <c r="CO158" s="12" t="n"/>
      <c r="CP158" s="12" t="n"/>
      <c r="CQ158" s="12" t="n"/>
      <c r="CR158" s="12" t="n"/>
      <c r="CS158" s="12" t="n"/>
      <c r="CT158" s="12" t="n"/>
      <c r="CU158" s="12" t="n"/>
      <c r="CV158" s="12" t="n"/>
      <c r="CW158" s="12" t="n"/>
      <c r="CX158" s="12" t="n"/>
      <c r="CY158" s="12" t="n"/>
    </row>
    <row r="159" hidden="1" outlineLevel="1">
      <c r="C159" s="60" t="inlineStr">
        <is>
          <t xml:space="preserve">Impostos e Contribuições a Recuperar </t>
        </is>
      </c>
      <c r="D159" s="11" t="n"/>
      <c r="E159" s="11" t="n"/>
      <c r="F159" s="11" t="n"/>
      <c r="G159" s="11" t="n"/>
      <c r="H159" s="12" t="n"/>
      <c r="I159" s="11" t="n"/>
      <c r="J159" s="11" t="n"/>
      <c r="K159" s="11" t="n"/>
      <c r="L159" s="11" t="n"/>
      <c r="M159" s="12" t="n"/>
      <c r="N159" s="11" t="n"/>
      <c r="O159" s="11" t="n"/>
      <c r="P159" s="11" t="n"/>
      <c r="Q159" s="11" t="n"/>
      <c r="R159" s="12" t="n"/>
      <c r="S159" s="11" t="n"/>
      <c r="T159" s="11" t="n"/>
      <c r="U159" s="11" t="n"/>
      <c r="V159" s="11" t="n"/>
      <c r="W159" s="12" t="n"/>
      <c r="X159" s="11" t="n"/>
      <c r="Y159" s="11" t="n"/>
      <c r="Z159" s="11" t="n"/>
      <c r="AA159" s="11" t="n"/>
      <c r="AB159" s="12" t="n"/>
      <c r="AC159" s="11" t="n"/>
      <c r="AD159" s="11" t="n"/>
      <c r="AE159" s="11" t="n"/>
      <c r="AF159" s="11" t="n"/>
      <c r="AG159" s="12" t="n"/>
      <c r="AH159" s="12" t="n"/>
      <c r="AI159" s="12" t="n"/>
      <c r="AJ159" s="12" t="n"/>
      <c r="AK159" s="12" t="n"/>
      <c r="AL159" s="12" t="n"/>
      <c r="AM159" s="12" t="n"/>
      <c r="AN159" s="12" t="n"/>
      <c r="AO159" s="12" t="n"/>
      <c r="AP159" s="12" t="n"/>
      <c r="AQ159" s="12" t="n"/>
      <c r="AR159" s="12" t="n"/>
      <c r="AS159" s="12" t="n"/>
      <c r="AT159" s="12" t="n"/>
      <c r="AU159" s="12" t="n"/>
      <c r="AV159" s="12" t="n"/>
      <c r="AW159" s="12" t="n"/>
      <c r="AX159" s="12" t="n"/>
      <c r="AY159" s="12" t="n"/>
      <c r="AZ159" s="12" t="n"/>
      <c r="BA159" s="12" t="n"/>
      <c r="BB159" s="12" t="n"/>
      <c r="BC159" s="12" t="n"/>
      <c r="BD159" s="12" t="n"/>
      <c r="BE159" s="12" t="n"/>
      <c r="BF159" s="12" t="n"/>
      <c r="BG159" s="12" t="n"/>
      <c r="BH159" s="12" t="n"/>
      <c r="BI159" s="12" t="n"/>
      <c r="BJ159" s="12" t="n"/>
      <c r="BK159" s="12" t="n"/>
      <c r="BL159" s="12" t="n"/>
      <c r="BM159" s="12" t="n"/>
      <c r="BN159" s="12" t="n"/>
      <c r="BO159" s="12" t="n"/>
      <c r="BP159" s="12" t="n"/>
      <c r="BQ159" s="12" t="n"/>
      <c r="BR159" s="12" t="n"/>
      <c r="BS159" s="12" t="n"/>
      <c r="BT159" s="12" t="n"/>
      <c r="BU159" s="12" t="n"/>
      <c r="BV159" s="12" t="n"/>
      <c r="BW159" s="12" t="n"/>
      <c r="BX159" s="12" t="n"/>
      <c r="BY159" s="12" t="n"/>
      <c r="BZ159" s="12" t="n"/>
      <c r="CA159" s="12" t="n"/>
      <c r="CB159" s="12" t="n"/>
      <c r="CC159" s="12" t="n"/>
      <c r="CD159" s="12" t="n"/>
      <c r="CE159" s="12" t="n"/>
      <c r="CF159" s="12" t="n"/>
      <c r="CG159" s="12" t="n"/>
      <c r="CH159" s="12" t="n"/>
      <c r="CI159" s="12" t="n"/>
      <c r="CJ159" s="12" t="n"/>
      <c r="CK159" s="12" t="n"/>
      <c r="CL159" s="12" t="n"/>
      <c r="CM159" s="12" t="n"/>
      <c r="CN159" s="12" t="n"/>
      <c r="CO159" s="12" t="n"/>
      <c r="CP159" s="12" t="n"/>
      <c r="CQ159" s="12" t="n"/>
      <c r="CR159" s="12" t="n"/>
      <c r="CS159" s="12" t="n"/>
      <c r="CT159" s="12" t="n"/>
      <c r="CU159" s="12" t="n"/>
      <c r="CV159" s="12" t="n"/>
      <c r="CW159" s="12" t="n"/>
      <c r="CX159" s="12" t="n"/>
      <c r="CY159" s="12" t="n"/>
    </row>
    <row r="160" hidden="1" outlineLevel="1">
      <c r="C160" s="60" t="inlineStr">
        <is>
          <t xml:space="preserve">Imposto de Renda e Contribuição Social Diferidos </t>
        </is>
      </c>
      <c r="D160" s="11" t="n"/>
      <c r="E160" s="11" t="n"/>
      <c r="F160" s="11" t="n"/>
      <c r="G160" s="11" t="n"/>
      <c r="H160" s="12" t="n"/>
      <c r="I160" s="11" t="n"/>
      <c r="J160" s="11" t="n"/>
      <c r="K160" s="11" t="n"/>
      <c r="L160" s="11" t="n"/>
      <c r="M160" s="12" t="n"/>
      <c r="N160" s="11" t="n"/>
      <c r="O160" s="11" t="n"/>
      <c r="P160" s="11" t="n"/>
      <c r="Q160" s="11" t="n"/>
      <c r="R160" s="12" t="n"/>
      <c r="S160" s="11" t="n"/>
      <c r="T160" s="11" t="n"/>
      <c r="U160" s="11" t="n"/>
      <c r="V160" s="11" t="n"/>
      <c r="W160" s="12" t="n"/>
      <c r="X160" s="11" t="n"/>
      <c r="Y160" s="11" t="n"/>
      <c r="Z160" s="11" t="n"/>
      <c r="AA160" s="11" t="n"/>
      <c r="AB160" s="12" t="n"/>
      <c r="AC160" s="11" t="n"/>
      <c r="AD160" s="11" t="n"/>
      <c r="AE160" s="11" t="n"/>
      <c r="AF160" s="11" t="n"/>
      <c r="AG160" s="12" t="n"/>
      <c r="AH160" s="12" t="n"/>
      <c r="AI160" s="12" t="n"/>
      <c r="AJ160" s="12" t="n"/>
      <c r="AK160" s="12" t="n"/>
      <c r="AL160" s="12" t="n"/>
      <c r="AM160" s="12" t="n"/>
      <c r="AN160" s="12" t="n"/>
      <c r="AO160" s="12" t="n"/>
      <c r="AP160" s="12" t="n"/>
      <c r="AQ160" s="12" t="n"/>
      <c r="AR160" s="12" t="n"/>
      <c r="AS160" s="12" t="n"/>
      <c r="AT160" s="12" t="n"/>
      <c r="AU160" s="12" t="n"/>
      <c r="AV160" s="12" t="n"/>
      <c r="AW160" s="12" t="n"/>
      <c r="AX160" s="12" t="n"/>
      <c r="AY160" s="12" t="n"/>
      <c r="AZ160" s="12" t="n"/>
      <c r="BA160" s="12" t="n"/>
      <c r="BB160" s="12" t="n"/>
      <c r="BC160" s="12" t="n"/>
      <c r="BD160" s="12" t="n"/>
      <c r="BE160" s="12" t="n"/>
      <c r="BF160" s="12" t="n"/>
      <c r="BG160" s="12" t="n"/>
      <c r="BH160" s="12" t="n"/>
      <c r="BI160" s="12" t="n"/>
      <c r="BJ160" s="12" t="n"/>
      <c r="BK160" s="12" t="n"/>
      <c r="BL160" s="12" t="n"/>
      <c r="BM160" s="12" t="n"/>
      <c r="BN160" s="12" t="n"/>
      <c r="BO160" s="12" t="n"/>
      <c r="BP160" s="12" t="n"/>
      <c r="BQ160" s="12" t="n"/>
      <c r="BR160" s="12" t="n"/>
      <c r="BS160" s="12" t="n"/>
      <c r="BT160" s="12" t="n"/>
      <c r="BU160" s="12" t="n"/>
      <c r="BV160" s="12" t="n"/>
      <c r="BW160" s="12" t="n"/>
      <c r="BX160" s="12" t="n"/>
      <c r="BY160" s="12" t="n"/>
      <c r="BZ160" s="12" t="n"/>
      <c r="CA160" s="12" t="n"/>
      <c r="CB160" s="12" t="n"/>
      <c r="CC160" s="12" t="n"/>
      <c r="CD160" s="12" t="n"/>
      <c r="CE160" s="12" t="n"/>
      <c r="CF160" s="12" t="n"/>
      <c r="CG160" s="12" t="n"/>
      <c r="CH160" s="12" t="n"/>
      <c r="CI160" s="12" t="n"/>
      <c r="CJ160" s="12" t="n"/>
      <c r="CK160" s="12" t="n"/>
      <c r="CL160" s="12" t="n"/>
      <c r="CM160" s="12" t="n"/>
      <c r="CN160" s="12" t="n"/>
      <c r="CO160" s="12" t="n"/>
      <c r="CP160" s="12" t="n"/>
      <c r="CQ160" s="12" t="n"/>
      <c r="CR160" s="12" t="n"/>
      <c r="CS160" s="12" t="n"/>
      <c r="CT160" s="12" t="n"/>
      <c r="CU160" s="12" t="n"/>
      <c r="CV160" s="12" t="n"/>
      <c r="CW160" s="12" t="n"/>
      <c r="CX160" s="12" t="n"/>
      <c r="CY160" s="12" t="n"/>
    </row>
    <row r="161" hidden="1" outlineLevel="1">
      <c r="C161" s="60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  <c r="AA161" s="12" t="n"/>
      <c r="AB161" s="12" t="n"/>
      <c r="AC161" s="12" t="n"/>
      <c r="AD161" s="12" t="n"/>
      <c r="AE161" s="12" t="n"/>
      <c r="AF161" s="12" t="n"/>
      <c r="AG161" s="12" t="n"/>
      <c r="AH161" s="12" t="n"/>
      <c r="AI161" s="12" t="n"/>
      <c r="AJ161" s="12" t="n"/>
      <c r="AK161" s="12" t="n"/>
      <c r="AL161" s="12" t="n"/>
      <c r="AM161" s="12" t="n"/>
      <c r="AN161" s="12" t="n"/>
      <c r="AO161" s="12" t="n"/>
      <c r="AP161" s="12" t="n"/>
      <c r="AQ161" s="12" t="n"/>
      <c r="AR161" s="12" t="n"/>
      <c r="AS161" s="12" t="n"/>
      <c r="AT161" s="12" t="n"/>
      <c r="AU161" s="12" t="n"/>
      <c r="AV161" s="12" t="n"/>
      <c r="AW161" s="12" t="n"/>
      <c r="AX161" s="12" t="n"/>
      <c r="AY161" s="12" t="n"/>
      <c r="AZ161" s="12" t="n"/>
      <c r="BA161" s="12" t="n"/>
      <c r="BB161" s="12" t="n"/>
      <c r="BC161" s="12" t="n"/>
      <c r="BD161" s="12" t="n"/>
      <c r="BE161" s="12" t="n"/>
      <c r="BF161" s="12" t="n"/>
      <c r="BG161" s="12" t="n"/>
      <c r="BH161" s="12" t="n"/>
      <c r="BI161" s="12" t="n"/>
      <c r="BJ161" s="12" t="n"/>
      <c r="BK161" s="12" t="n"/>
      <c r="BL161" s="12" t="n"/>
      <c r="BM161" s="12" t="n"/>
      <c r="BN161" s="12" t="n"/>
      <c r="BO161" s="12" t="n"/>
      <c r="BP161" s="12" t="n"/>
      <c r="BQ161" s="12" t="n"/>
      <c r="BR161" s="12" t="n"/>
      <c r="BS161" s="12" t="n"/>
      <c r="BT161" s="12" t="n"/>
      <c r="BU161" s="12" t="n"/>
      <c r="BV161" s="12" t="n"/>
      <c r="BW161" s="12" t="n"/>
      <c r="BX161" s="12" t="n"/>
      <c r="BY161" s="12" t="n"/>
      <c r="BZ161" s="12" t="n"/>
      <c r="CA161" s="12" t="n"/>
      <c r="CB161" s="12" t="n"/>
      <c r="CC161" s="12" t="n"/>
      <c r="CD161" s="12" t="n"/>
      <c r="CE161" s="12" t="n"/>
      <c r="CF161" s="12" t="n"/>
      <c r="CG161" s="12" t="n"/>
      <c r="CH161" s="12" t="n"/>
      <c r="CI161" s="12" t="n"/>
      <c r="CJ161" s="12" t="n"/>
      <c r="CK161" s="12" t="n"/>
      <c r="CL161" s="12" t="n"/>
      <c r="CM161" s="12" t="n"/>
      <c r="CN161" s="12" t="n"/>
      <c r="CO161" s="12" t="n"/>
      <c r="CP161" s="12" t="n"/>
      <c r="CQ161" s="12" t="n"/>
      <c r="CR161" s="12" t="n"/>
      <c r="CS161" s="12" t="n"/>
      <c r="CT161" s="12" t="n"/>
      <c r="CU161" s="12" t="n"/>
      <c r="CV161" s="12" t="n"/>
      <c r="CW161" s="12" t="n"/>
      <c r="CX161" s="12" t="n"/>
      <c r="CY161" s="12" t="n"/>
    </row>
    <row r="162" hidden="1" outlineLevel="1">
      <c r="C162" s="57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  <c r="AA162" s="12" t="n"/>
      <c r="AB162" s="12" t="n"/>
      <c r="AC162" s="12" t="n"/>
      <c r="AD162" s="12" t="n"/>
      <c r="AE162" s="12" t="n"/>
      <c r="AF162" s="12" t="n"/>
      <c r="AG162" s="12" t="n"/>
      <c r="AH162" s="12" t="n"/>
      <c r="AI162" s="12" t="n"/>
      <c r="AJ162" s="12" t="n"/>
      <c r="AK162" s="12" t="n"/>
      <c r="AL162" s="12" t="n"/>
      <c r="AM162" s="12" t="n"/>
      <c r="AN162" s="12" t="n"/>
      <c r="AO162" s="12" t="n"/>
      <c r="AP162" s="12" t="n"/>
      <c r="AQ162" s="12" t="n"/>
      <c r="AR162" s="12" t="n"/>
      <c r="AS162" s="12" t="n"/>
      <c r="AT162" s="12" t="n"/>
      <c r="AU162" s="12" t="n"/>
      <c r="AV162" s="12" t="n"/>
      <c r="AW162" s="12" t="n"/>
      <c r="AX162" s="12" t="n"/>
      <c r="AY162" s="12" t="n"/>
      <c r="AZ162" s="12" t="n"/>
      <c r="BA162" s="12" t="n"/>
      <c r="BB162" s="12" t="n"/>
      <c r="BC162" s="12" t="n"/>
      <c r="BD162" s="12" t="n"/>
      <c r="BE162" s="12" t="n"/>
      <c r="BF162" s="12" t="n"/>
      <c r="BG162" s="12" t="n"/>
      <c r="BH162" s="12" t="n"/>
      <c r="BI162" s="12" t="n"/>
      <c r="BJ162" s="12" t="n"/>
      <c r="BK162" s="12" t="n"/>
      <c r="BL162" s="12" t="n"/>
      <c r="BM162" s="12" t="n"/>
      <c r="BN162" s="12" t="n"/>
      <c r="BO162" s="12" t="n"/>
      <c r="BP162" s="12" t="n"/>
      <c r="BQ162" s="12" t="n"/>
      <c r="BR162" s="12" t="n"/>
      <c r="BS162" s="12" t="n"/>
      <c r="BT162" s="12" t="n"/>
      <c r="BU162" s="12" t="n"/>
      <c r="BV162" s="12" t="n"/>
      <c r="BW162" s="12" t="n"/>
      <c r="BX162" s="12" t="n"/>
      <c r="BY162" s="12" t="n"/>
      <c r="BZ162" s="12" t="n"/>
      <c r="CA162" s="12" t="n"/>
      <c r="CB162" s="12" t="n"/>
      <c r="CC162" s="12" t="n"/>
      <c r="CD162" s="12" t="n"/>
      <c r="CE162" s="12" t="n"/>
      <c r="CF162" s="12" t="n"/>
      <c r="CG162" s="12" t="n"/>
      <c r="CH162" s="12" t="n"/>
      <c r="CI162" s="12" t="n"/>
      <c r="CJ162" s="12" t="n"/>
      <c r="CK162" s="12" t="n"/>
      <c r="CL162" s="12" t="n"/>
      <c r="CM162" s="12" t="n"/>
      <c r="CN162" s="12" t="n"/>
      <c r="CO162" s="12" t="n"/>
      <c r="CP162" s="12" t="n"/>
      <c r="CQ162" s="12" t="n"/>
      <c r="CR162" s="12" t="n"/>
      <c r="CS162" s="12" t="n"/>
      <c r="CT162" s="12" t="n"/>
      <c r="CU162" s="12" t="n"/>
      <c r="CV162" s="12" t="n"/>
      <c r="CW162" s="12" t="n"/>
      <c r="CX162" s="12" t="n"/>
      <c r="CY162" s="12" t="n"/>
    </row>
    <row r="163" collapsed="1" customFormat="1" s="32">
      <c r="A163" s="30" t="n"/>
      <c r="B163" s="3" t="n"/>
      <c r="C163" s="33" t="inlineStr">
        <is>
          <t>Total Assets</t>
        </is>
      </c>
      <c r="D163" s="35" t="n"/>
      <c r="E163" s="35" t="n"/>
      <c r="F163" s="35" t="n"/>
      <c r="G163" s="35" t="n"/>
      <c r="H163" s="35" t="n"/>
      <c r="I163" s="35">
        <f>SUM(I110,I111,I115,I119,I120,I121,I127,I132,I142,I145,I146,I155)</f>
        <v>5573.539453504</v>
      </c>
      <c r="J163" s="35">
        <f>SUM(J110,J111,J115,J119,J120,J121,J127,J132,J142,J145,J146,J155)</f>
        <v>5405.805833623</v>
      </c>
      <c r="K163" s="35">
        <f>SUM(K110,K111,K115,K119,K120,K121,K127,K132,K142,K145,K146,K155)</f>
        <v>6285.689447223</v>
      </c>
      <c r="L163" s="35">
        <f>SUM(L110,L111,L115,L119,L120,L121,L127,L132,L142,L145,L146,L155)</f>
        <v>6073.768085595</v>
      </c>
      <c r="M163" s="35">
        <f>SUM(M110,M111,M115,M119,M120,M121,M127,M132,M142,M145,M146,M155)</f>
        <v>6073.768085595</v>
      </c>
      <c r="N163" s="35">
        <f>SUM(N110,N111,N115,N119,N120,N121,N127,N132,N142,N145,N146,N155)</f>
        <v>5995.987035996</v>
      </c>
      <c r="O163" s="35">
        <f>SUM(O110,O111,O115,O119,O120,O121,O127,O132,O142,O145,O146,O155)</f>
        <v>6839.71485439</v>
      </c>
      <c r="P163" s="35">
        <f>SUM(P110,P111,P115,P119,P120,P121,P127,P132,P142,P145,P146,P155)</f>
        <v>7036.07210588</v>
      </c>
      <c r="Q163" s="35">
        <f>SUM(Q110,Q111,Q115,Q119,Q120,Q121,Q127,Q132,Q142,Q145,Q146,Q155)</f>
        <v>7791.770536657</v>
      </c>
      <c r="R163" s="35">
        <f>SUM(R110,R111,R115,R119,R120,R121,R127,R132,R142,R145,R146,R155)</f>
        <v>7791.770536657</v>
      </c>
      <c r="S163" s="35">
        <f>SUM(S110,S111,S115,S119,S120,S121,S127,S132,S142,S145,S146,S155)</f>
        <v>7863.87909975</v>
      </c>
      <c r="T163" s="35">
        <f>SUM(T110,T111,T115,T119,T120,T121,T127,T132,T142,T145,T146,T155)</f>
        <v>11509.984</v>
      </c>
      <c r="U163" s="35">
        <f>SUM(U110,U111,U115,U119,U120,U121,U127,U132,U142,U145,U146,U155)</f>
        <v>11533.043</v>
      </c>
      <c r="V163" s="35">
        <f>SUM(V110,V111,V115,V119,V120,V121,V127,V132,V142,V145,V146,V155)</f>
        <v>11579.968</v>
      </c>
      <c r="W163" s="35">
        <f>SUM(W110,W111,W115,W119,W120,W121,W127,W132,W142,W145,W146,W155)</f>
        <v>11579.968</v>
      </c>
      <c r="X163" s="35">
        <f>SUM(X110,X111,X115,X119,X120,X121,X127,X132,X142,X145,X146,X155)</f>
        <v>11686.093</v>
      </c>
      <c r="Y163" s="35">
        <f>SUM(Y110,Y111,Y115,Y119,Y120,Y121,Y127,Y132,Y142,Y145,Y146,Y155)</f>
        <v>12802.394</v>
      </c>
      <c r="Z163" s="35">
        <f>SUM(Z110,Z111,Z115,Z119,Z120,Z121,Z127,Z132,Z142,Z145,Z146,Z155)</f>
        <v>13031.228</v>
      </c>
      <c r="AA163" s="35">
        <f>SUM(AA110,AA111,AA115,AA119,AA120,AA121,AA127,AA132,AA142,AA145,AA146,AA155)</f>
        <v>13062.41</v>
      </c>
      <c r="AB163" s="35">
        <f>SUM(AB110,AB111,AB115,AB119,AB120,AB121,AB127,AB132,AB142,AB145,AB146,AB155)</f>
        <v>13062.41</v>
      </c>
      <c r="AC163" s="35">
        <f>SUM(AC110,AC111,AC115,AC119,AC120,AC121,AC127,AC132,AC142,AC145,AC146,AC155)</f>
        <v>13270.726504</v>
      </c>
      <c r="AD163" s="35">
        <f>SUM(AD110,AD111,AD115,AD119,AD120,AD121,AD127,AD132,AD142,AD145,AD146,AD155)</f>
        <v>13072.446</v>
      </c>
      <c r="AE163" s="35">
        <f>SUM(AE110,AE111,AE115,AE119,AE120,AE121,AE127,AE132,AE142,AE145,AE146,AE155)</f>
        <v>13584.226</v>
      </c>
      <c r="AF163" s="35">
        <f>SUM(AF110,AF111,AF115,AF119,AF120,AF121,AF127,AF132,AF142,AF145,AF146,AF155)</f>
        <v>13220.481</v>
      </c>
      <c r="AG163" s="35">
        <f>SUM(AG110,AG111,AG115,AG119,AG120,AG121,AG127,AG132,AG142,AG145,AG146,AG155)</f>
        <v>13220.481</v>
      </c>
      <c r="AH163" s="35">
        <f>SUM(AH110,AH111,AH115,AH119,AH120,AH121,AH127,AH132,AH142,AH145,AH146,AH155)</f>
        <v>13325.654</v>
      </c>
      <c r="AI163" s="35">
        <f>SUM(AI110,AI111,AI115,AI119,AI120,AI121,AI127,AI132,AI142,AI145,AI146,AI155)</f>
        <v>13558.475</v>
      </c>
      <c r="AJ163" s="35">
        <f>SUM(AJ110,AJ111,AJ115,AJ119,AJ120,AJ121,AJ127,AJ132,AJ142,AJ145,AJ146,AJ155)</f>
        <v>13959.467666937</v>
      </c>
      <c r="AK163" s="35">
        <f>SUM(AK110,AK111,AK115,AK119,AK120,AK121,AK127,AK132,AK142,AK145,AK146,AK155)</f>
        <v>14318.0106946637</v>
      </c>
      <c r="AL163" s="35">
        <f>SUM(AL110,AL111,AL115,AL119,AL120,AL121,AL127,AL132,AL142,AL145,AL146,AL155)</f>
        <v>14318.0106946637</v>
      </c>
      <c r="AM163" s="35">
        <f>SUM(AM110,AM111,AM115,AM119,AM120,AM121,AM127,AM132,AM142,AM145,AM146,AM155)</f>
        <v>14837.1069938573</v>
      </c>
      <c r="AN163" s="35">
        <f>SUM(AN110,AN111,AN115,AN119,AN120,AN121,AN127,AN132,AN142,AN145,AN146,AN155)</f>
        <v>15324.7151722806</v>
      </c>
      <c r="AO163" s="35">
        <f>SUM(AO110,AO111,AO115,AO119,AO120,AO121,AO127,AO132,AO142,AO145,AO146,AO155)</f>
        <v>15826.9675225024</v>
      </c>
      <c r="AP163" s="35">
        <f>SUM(AP110,AP111,AP115,AP119,AP120,AP121,AP127,AP132,AP142,AP145,AP146,AP155)</f>
        <v>16237.497180958</v>
      </c>
      <c r="AQ163" s="35">
        <f>SUM(AQ110,AQ111,AQ115,AQ119,AQ120,AQ121,AQ127,AQ132,AQ142,AQ145,AQ146,AQ155)</f>
        <v>16237.497180958</v>
      </c>
      <c r="AR163" s="35">
        <f>SUM(AR110,AR111,AR115,AR119,AR120,AR121,AR127,AR132,AR142,AR145,AR146,AR155)</f>
        <v>16804.6901433052</v>
      </c>
      <c r="AS163" s="35">
        <f>SUM(AS110,AS111,AS115,AS119,AS120,AS121,AS127,AS132,AS142,AS145,AS146,AS155)</f>
        <v>17362.7930107863</v>
      </c>
      <c r="AT163" s="35">
        <f>SUM(AT110,AT111,AT115,AT119,AT120,AT121,AT127,AT132,AT142,AT145,AT146,AT155)</f>
        <v>17927.8587424751</v>
      </c>
      <c r="AU163" s="35">
        <f>SUM(AU110,AU111,AU115,AU119,AU120,AU121,AU127,AU132,AU142,AU145,AU146,AU155)</f>
        <v>18394.2355868596</v>
      </c>
      <c r="AV163" s="35">
        <f>SUM(AV110,AV111,AV115,AV119,AV120,AV121,AV127,AV132,AV142,AV145,AV146,AV155)</f>
        <v>18394.2355868596</v>
      </c>
      <c r="AW163" s="35">
        <f>SUM(AW110,AW111,AW115,AW119,AW120,AW121,AW127,AW132,AW142,AW145,AW146,AW155)</f>
        <v>19035.4928137988</v>
      </c>
      <c r="AX163" s="35">
        <f>SUM(AX110,AX111,AX115,AX119,AX120,AX121,AX127,AX132,AX142,AX145,AX146,AX155)</f>
        <v>19650.3147865032</v>
      </c>
      <c r="AY163" s="35">
        <f>SUM(AY110,AY111,AY115,AY119,AY120,AY121,AY127,AY132,AY142,AY145,AY146,AY155)</f>
        <v>20284.9553080486</v>
      </c>
      <c r="AZ163" s="35">
        <f>SUM(AZ110,AZ111,AZ115,AZ119,AZ120,AZ121,AZ127,AZ132,AZ142,AZ145,AZ146,AZ155)</f>
        <v>20813.9280865432</v>
      </c>
      <c r="BA163" s="35">
        <f>SUM(BA110,BA111,BA115,BA119,BA120,BA121,BA127,BA132,BA142,BA145,BA146,BA155)</f>
        <v>20813.9280865432</v>
      </c>
      <c r="BB163" s="35">
        <f>SUM(BB110,BB111,BB115,BB119,BB120,BB121,BB127,BB132,BB142,BB145,BB146,BB155)</f>
        <v>21524.8002502921</v>
      </c>
      <c r="BC163" s="35">
        <f>SUM(BC110,BC111,BC115,BC119,BC120,BC121,BC127,BC132,BC142,BC145,BC146,BC155)</f>
        <v>22213.0008847847</v>
      </c>
      <c r="BD163" s="35">
        <f>SUM(BD110,BD111,BD115,BD119,BD120,BD121,BD127,BD132,BD142,BD145,BD146,BD155)</f>
        <v>22923.9257070051</v>
      </c>
      <c r="BE163" s="35">
        <f>SUM(BE110,BE111,BE115,BE119,BE120,BE121,BE127,BE132,BE142,BE145,BE146,BE155)</f>
        <v>23522.193936754</v>
      </c>
      <c r="BF163" s="35">
        <f>SUM(BF110,BF111,BF115,BF119,BF120,BF121,BF127,BF132,BF142,BF145,BF146,BF155)</f>
        <v>23522.193936754</v>
      </c>
      <c r="BG163" s="35" t="n"/>
      <c r="BH163" s="35" t="n"/>
      <c r="BI163" s="35" t="n"/>
      <c r="BJ163" s="35" t="n"/>
      <c r="BK163" s="35" t="n"/>
      <c r="BL163" s="35" t="n"/>
      <c r="BM163" s="35" t="n"/>
      <c r="BN163" s="35" t="n"/>
      <c r="BO163" s="35" t="n"/>
      <c r="BP163" s="35" t="n"/>
      <c r="BQ163" s="35" t="n"/>
      <c r="BR163" s="35" t="n"/>
      <c r="BS163" s="35" t="n"/>
      <c r="BT163" s="35" t="n"/>
      <c r="BU163" s="35" t="n"/>
      <c r="BV163" s="35" t="n"/>
      <c r="BW163" s="35" t="n"/>
      <c r="BX163" s="35" t="n"/>
      <c r="BY163" s="35" t="n"/>
      <c r="BZ163" s="35" t="n"/>
      <c r="CA163" s="35" t="n"/>
      <c r="CB163" s="35" t="n"/>
      <c r="CC163" s="35" t="n"/>
      <c r="CD163" s="35" t="n"/>
      <c r="CE163" s="35" t="n"/>
      <c r="CF163" s="35" t="n"/>
      <c r="CG163" s="35" t="n"/>
      <c r="CH163" s="35" t="n"/>
      <c r="CI163" s="35" t="n"/>
      <c r="CJ163" s="35" t="n"/>
      <c r="CK163" s="35" t="n"/>
      <c r="CL163" s="35" t="n"/>
      <c r="CM163" s="35" t="n"/>
      <c r="CN163" s="35" t="n"/>
      <c r="CO163" s="35" t="n"/>
      <c r="CP163" s="35" t="n"/>
      <c r="CQ163" s="35" t="n"/>
      <c r="CR163" s="35" t="n"/>
      <c r="CS163" s="35" t="n"/>
      <c r="CT163" s="35" t="n"/>
      <c r="CU163" s="35" t="n"/>
      <c r="CV163" s="35" t="n"/>
      <c r="CW163" s="35" t="n"/>
      <c r="CX163" s="35" t="n"/>
      <c r="CY163" s="35" t="n"/>
    </row>
    <row r="164">
      <c r="C164" s="14" t="inlineStr">
        <is>
          <t>Accounts payable</t>
        </is>
      </c>
      <c r="D164" s="46" t="n"/>
      <c r="E164" s="46" t="n"/>
      <c r="F164" s="46" t="n"/>
      <c r="G164" s="46" t="n"/>
      <c r="H164" s="12" t="n"/>
      <c r="I164" s="46">
        <f>'Inputs (2)'!D28</f>
        <v>217.45823862</v>
      </c>
      <c r="J164" s="46">
        <f>'Inputs (2)'!E28</f>
        <v>271.93653186</v>
      </c>
      <c r="K164" s="46">
        <f>'Inputs (2)'!F28</f>
        <v>290.60493982</v>
      </c>
      <c r="L164" s="46">
        <f>'Inputs (2)'!G28</f>
        <v>356.88085195</v>
      </c>
      <c r="M164" s="12">
        <f>'Inputs (2)'!H28</f>
        <v>356.88085195</v>
      </c>
      <c r="N164" s="46">
        <f>'Inputs (2)'!I28</f>
        <v>306.31845786</v>
      </c>
      <c r="O164" s="46">
        <f>'Inputs (2)'!J28</f>
        <v>302.67521001</v>
      </c>
      <c r="P164" s="46">
        <f>'Inputs (2)'!K28</f>
        <v>297.71210255</v>
      </c>
      <c r="Q164" s="46">
        <f>'Inputs (2)'!L28</f>
        <v>364.26789641</v>
      </c>
      <c r="R164" s="12">
        <f>'Inputs (2)'!M28</f>
        <v>364.26789641</v>
      </c>
      <c r="S164" s="46">
        <f>'Inputs (2)'!N28</f>
        <v>359.71789864</v>
      </c>
      <c r="T164" s="46">
        <f>'Inputs (2)'!O28</f>
        <v>591.27</v>
      </c>
      <c r="U164" s="46">
        <f>'Inputs (2)'!P28</f>
        <v>575.225</v>
      </c>
      <c r="V164" s="46">
        <f>'Inputs (2)'!Q28</f>
        <v>620.413</v>
      </c>
      <c r="W164" s="12">
        <f>'Inputs (2)'!R28</f>
        <v>620.413</v>
      </c>
      <c r="X164" s="46">
        <f>'Inputs (2)'!S28</f>
        <v>632.446</v>
      </c>
      <c r="Y164" s="46">
        <f>'Inputs (2)'!T28</f>
        <v>676.475</v>
      </c>
      <c r="Z164" s="46">
        <f>'Inputs (2)'!U28</f>
        <v>647.545</v>
      </c>
      <c r="AA164" s="46">
        <f>'Inputs (2)'!V28</f>
        <v>704.009</v>
      </c>
      <c r="AB164" s="12">
        <f>'Inputs (2)'!W28</f>
        <v>704.009</v>
      </c>
      <c r="AC164" s="46">
        <f>'Inputs (2)'!X28</f>
        <v>674.716396</v>
      </c>
      <c r="AD164" s="46">
        <f>'Inputs (2)'!Y28</f>
        <v>652.937</v>
      </c>
      <c r="AE164" s="46">
        <f>'Inputs (2)'!Z28</f>
        <v>721.344</v>
      </c>
      <c r="AF164" s="46">
        <f>'Inputs (2)'!AA28</f>
        <v>800.133</v>
      </c>
      <c r="AG164" s="12">
        <f>'Inputs (2)'!AB28</f>
        <v>800.133</v>
      </c>
      <c r="AH164" s="12">
        <f>'Inputs (2)'!AC28</f>
        <v>733.299</v>
      </c>
      <c r="AI164" s="12">
        <f>'Inputs (2)'!AD28</f>
        <v>840.735</v>
      </c>
      <c r="AJ164" s="12">
        <f>(AJ165/(AJ$5-AI$5))*-AJ$20</f>
        <v>816.815654462588</v>
      </c>
      <c r="AK164" s="12">
        <f>(AK165/(AK$5-AJ$5))*-AK$20</f>
        <v>768.207449039042</v>
      </c>
      <c r="AL164" s="12">
        <f>AK164</f>
        <v>768.207449039042</v>
      </c>
      <c r="AM164" s="12">
        <f>(AM165/(AM$5-AL$5))*-AM$20</f>
        <v>847.21492637901</v>
      </c>
      <c r="AN164" s="12">
        <f>(AN165/(AN$5-AM$5))*-AN$20</f>
        <v>873.159026651096</v>
      </c>
      <c r="AO164" s="12">
        <f>(AO165/(AO$5-AN$5))*-AO$20</f>
        <v>893.822347207828</v>
      </c>
      <c r="AP164" s="12">
        <f>(AP165/(AP$5-AO$5))*-AP$20</f>
        <v>840.631520088067</v>
      </c>
      <c r="AQ164" s="12">
        <f>AP164</f>
        <v>840.631520088067</v>
      </c>
      <c r="AR164" s="12">
        <f>(AR165/(AR$5-AQ$5))*-AR$20</f>
        <v>912.710262700097</v>
      </c>
      <c r="AS164" s="12">
        <f>(AS165/(AS$5-AR$5))*-AS$20</f>
        <v>951.111792034769</v>
      </c>
      <c r="AT164" s="12">
        <f>(AT165/(AT$5-AS$5))*-AT$20</f>
        <v>973.619865872682</v>
      </c>
      <c r="AU164" s="12">
        <f>(AU165/(AU$5-AT$5))*-AU$20</f>
        <v>915.680336694679</v>
      </c>
      <c r="AV164" s="12">
        <f>AU164</f>
        <v>915.680336694679</v>
      </c>
      <c r="AW164" s="12">
        <f>(AW165/(AW$5-AV$5))*-AW$20</f>
        <v>1000.62637524263</v>
      </c>
      <c r="AX164" s="12">
        <f>(AX165/(AX$5-AW$5))*-AX$20</f>
        <v>1031.26836490297</v>
      </c>
      <c r="AY164" s="12">
        <f>(AY165/(AY$5-AX$5))*-AY$20</f>
        <v>1055.67334515695</v>
      </c>
      <c r="AZ164" s="12">
        <f>(AZ165/(AZ$5-AY$5))*-AZ$20</f>
        <v>992.850863069102</v>
      </c>
      <c r="BA164" s="12">
        <f>AZ164</f>
        <v>992.850863069102</v>
      </c>
      <c r="BB164" s="12">
        <f>(BB165/(BB$5-BA$5))*-BB$20</f>
        <v>1079.95274241446</v>
      </c>
      <c r="BC164" s="12">
        <f>(BC165/(BC$5-BB$5))*-BC$20</f>
        <v>1113.02392820915</v>
      </c>
      <c r="BD164" s="12">
        <f>(BD165/(BD$5-BC$5))*-BD$20</f>
        <v>1139.36365501025</v>
      </c>
      <c r="BE164" s="12">
        <f>(BE165/(BE$5-BD$5))*-BE$20</f>
        <v>1071.56081321567</v>
      </c>
      <c r="BF164" s="12">
        <f>BE164</f>
        <v>1071.56081321567</v>
      </c>
      <c r="BG164" s="12" t="n"/>
      <c r="BH164" s="12" t="n"/>
      <c r="BI164" s="12" t="n"/>
      <c r="BJ164" s="12" t="n"/>
      <c r="BK164" s="12" t="n"/>
      <c r="BL164" s="12" t="n"/>
      <c r="BM164" s="12" t="n"/>
      <c r="BN164" s="12" t="n"/>
      <c r="BO164" s="12" t="n"/>
      <c r="BP164" s="12" t="n"/>
      <c r="BQ164" s="12" t="n"/>
      <c r="BR164" s="12" t="n"/>
      <c r="BS164" s="12" t="n"/>
      <c r="BT164" s="12" t="n"/>
      <c r="BU164" s="12" t="n"/>
      <c r="BV164" s="12" t="n"/>
      <c r="BW164" s="12" t="n"/>
      <c r="BX164" s="12" t="n"/>
      <c r="BY164" s="12" t="n"/>
      <c r="BZ164" s="12" t="n"/>
      <c r="CA164" s="12" t="n"/>
      <c r="CB164" s="12" t="n"/>
      <c r="CC164" s="12" t="n"/>
      <c r="CD164" s="12" t="n"/>
      <c r="CE164" s="12" t="n"/>
      <c r="CF164" s="12" t="n"/>
      <c r="CG164" s="12" t="n"/>
      <c r="CH164" s="12" t="n"/>
      <c r="CI164" s="12" t="n"/>
      <c r="CJ164" s="12" t="n"/>
      <c r="CK164" s="12" t="n"/>
      <c r="CL164" s="12" t="n"/>
      <c r="CM164" s="12" t="n"/>
      <c r="CN164" s="12" t="n"/>
      <c r="CO164" s="12" t="n"/>
      <c r="CP164" s="12" t="n"/>
      <c r="CQ164" s="12" t="n"/>
      <c r="CR164" s="12" t="n"/>
      <c r="CS164" s="12" t="n"/>
      <c r="CT164" s="12" t="n"/>
      <c r="CU164" s="12" t="n"/>
      <c r="CV164" s="12" t="n"/>
      <c r="CW164" s="12" t="n"/>
      <c r="CX164" s="12" t="n"/>
      <c r="CY164" s="12" t="n"/>
    </row>
    <row r="165" hidden="1" outlineLevel="1">
      <c r="C165" s="57" t="inlineStr">
        <is>
          <t>DPO</t>
        </is>
      </c>
      <c r="D165" s="12" t="n"/>
      <c r="E165" s="12" t="n"/>
      <c r="F165" s="12" t="n"/>
      <c r="G165" s="12" t="n"/>
      <c r="H165" s="12" t="n"/>
      <c r="I165" s="12">
        <f>IFERROR(-(I164/I$20)*(I$5-H$5),"")</f>
        <v>36.603630413076</v>
      </c>
      <c r="J165" s="12">
        <f>IFERROR(-(J164/J$20)*(J$5-I$5),"")</f>
        <v>41.3225181676776</v>
      </c>
      <c r="K165" s="12">
        <f>IFERROR(-(K164/K$20)*(K$5-J$5),"")</f>
        <v>41.9668065260994</v>
      </c>
      <c r="L165" s="12">
        <f>IFERROR(-(L164/L$20)*(L$5-K$5),"")</f>
        <v>50.4983991871982</v>
      </c>
      <c r="M165" s="12" t="n"/>
      <c r="N165" s="12">
        <f>IFERROR(-(N164/N$20)*(N$5-M$5),"")</f>
        <v>40.9615383816052</v>
      </c>
      <c r="O165" s="12">
        <f>IFERROR(-(O164/O$20)*(O$5-N$5),"")</f>
        <v>38.630947900534</v>
      </c>
      <c r="P165" s="12">
        <f>IFERROR(-(P164/P$20)*(P$5-O$5),"")</f>
        <v>38.4460899856951</v>
      </c>
      <c r="Q165" s="12">
        <f>IFERROR(-(Q164/Q$20)*(Q$5-P$5),"")</f>
        <v>44.1571535657067</v>
      </c>
      <c r="R165" s="12" t="n"/>
      <c r="S165" s="12">
        <f>IFERROR(-(S164/S$20)*(S$5-R$5),"")</f>
        <v>41.696612269336</v>
      </c>
      <c r="T165" s="12">
        <f>IFERROR(-(T164/T$20)*(T$5-S$5),"")</f>
        <v>50.0433602218793</v>
      </c>
      <c r="U165" s="12">
        <f>IFERROR(-(U164/U$20)*(U$5-T$5),"")</f>
        <v>44.171715820493</v>
      </c>
      <c r="V165" s="12">
        <f>IFERROR(-(V164/V$20)*(V$5-U$5),"")</f>
        <v>49.3041598174265</v>
      </c>
      <c r="W165" s="12" t="n"/>
      <c r="X165" s="12">
        <f>IFERROR(-(X164/X$20)*(X$5-W$5),"")</f>
        <v>48.2786446012556</v>
      </c>
      <c r="Y165" s="12">
        <f>IFERROR(-(Y164/Y$20)*(Y$5-X$5),"")</f>
        <v>48.8240171822096</v>
      </c>
      <c r="Z165" s="12">
        <f>IFERROR(-(Z164/Z$20)*(Z$5-Y$5),"")</f>
        <v>47.5875879873854</v>
      </c>
      <c r="AA165" s="12">
        <f>IFERROR(-(AA164/AA$20)*(AA$5-Z$5),"")</f>
        <v>52.5982289903751</v>
      </c>
      <c r="AB165" s="12" t="n"/>
      <c r="AC165" s="12">
        <f>IFERROR(-(AC164/AC$20)*(AC$5-AB$5),"")</f>
        <v>47.3639561588104</v>
      </c>
      <c r="AD165" s="12">
        <f>IFERROR(-(AD164/AD$20)*(AD$5-AC$5),"")</f>
        <v>44.7919716007949</v>
      </c>
      <c r="AE165" s="12">
        <f>IFERROR(-(AE164/AE$20)*(AE$5-AD$5),"")</f>
        <v>47.4125962256333</v>
      </c>
      <c r="AF165" s="11">
        <f>IFERROR(-(AF164/AF$20)*(AF$5-AE$5),"")</f>
        <v>52.8043229222335</v>
      </c>
      <c r="AG165" s="12" t="n"/>
      <c r="AH165" s="11">
        <f>IFERROR(-(AH164/AH$20)*(AH$5-AG$5),"")</f>
        <v>46.5539702167612</v>
      </c>
      <c r="AI165" s="11">
        <f>IFERROR(-(AI164/AI$20)*(AI$5-AH$5),"")</f>
        <v>50.7279535599199</v>
      </c>
      <c r="AJ165" s="11">
        <f>Control!$B$27</f>
        <v>48.2757951140255</v>
      </c>
      <c r="AK165" s="11">
        <f>Control!$B$27</f>
        <v>48.2757951140255</v>
      </c>
      <c r="AL165" s="12" t="n"/>
      <c r="AM165" s="11">
        <f>Control!$C$27</f>
        <v>48.2757951140255</v>
      </c>
      <c r="AN165" s="11">
        <f>Control!$C$27</f>
        <v>48.2757951140255</v>
      </c>
      <c r="AO165" s="11">
        <f>Control!$C$27</f>
        <v>48.2757951140255</v>
      </c>
      <c r="AP165" s="11">
        <f>Control!$C$27</f>
        <v>48.2757951140255</v>
      </c>
      <c r="AQ165" s="12" t="n"/>
      <c r="AR165" s="11">
        <f>Control!$D$27</f>
        <v>48.2757951140255</v>
      </c>
      <c r="AS165" s="11">
        <f>Control!$D$27</f>
        <v>48.2757951140255</v>
      </c>
      <c r="AT165" s="11">
        <f>Control!$D$27</f>
        <v>48.2757951140255</v>
      </c>
      <c r="AU165" s="11">
        <f>Control!$D$27</f>
        <v>48.2757951140255</v>
      </c>
      <c r="AV165" s="12" t="n"/>
      <c r="AW165" s="11">
        <f>Control!$E$27</f>
        <v>48.2757951140255</v>
      </c>
      <c r="AX165" s="11">
        <f>Control!$E$27</f>
        <v>48.2757951140255</v>
      </c>
      <c r="AY165" s="11">
        <f>Control!$E$27</f>
        <v>48.2757951140255</v>
      </c>
      <c r="AZ165" s="11">
        <f>Control!$E$27</f>
        <v>48.2757951140255</v>
      </c>
      <c r="BA165" s="12" t="n"/>
      <c r="BB165" s="11">
        <f>Control!$F$27</f>
        <v>48.2757951140255</v>
      </c>
      <c r="BC165" s="11">
        <f>Control!$F$27</f>
        <v>48.2757951140255</v>
      </c>
      <c r="BD165" s="11">
        <f>Control!$F$27</f>
        <v>48.2757951140255</v>
      </c>
      <c r="BE165" s="11">
        <f>Control!$F$27</f>
        <v>48.2757951140255</v>
      </c>
      <c r="BF165" s="12" t="n"/>
      <c r="BG165" s="11" t="n"/>
      <c r="BH165" s="11" t="n"/>
      <c r="BI165" s="11" t="n"/>
      <c r="BJ165" s="11" t="n"/>
      <c r="BK165" s="12" t="n"/>
      <c r="BL165" s="11" t="n"/>
      <c r="BM165" s="11" t="n"/>
      <c r="BN165" s="11" t="n"/>
      <c r="BO165" s="11" t="n"/>
      <c r="BP165" s="12" t="n"/>
      <c r="BQ165" s="11" t="n"/>
      <c r="BR165" s="11" t="n"/>
      <c r="BS165" s="11" t="n"/>
      <c r="BT165" s="11" t="n"/>
      <c r="BU165" s="12" t="n"/>
      <c r="BV165" s="11" t="n"/>
      <c r="BW165" s="11" t="n"/>
      <c r="BX165" s="11" t="n"/>
      <c r="BY165" s="11" t="n"/>
      <c r="BZ165" s="12" t="n"/>
      <c r="CA165" s="11" t="n"/>
      <c r="CB165" s="11" t="n"/>
      <c r="CC165" s="11" t="n"/>
      <c r="CD165" s="11" t="n"/>
      <c r="CE165" s="12" t="n"/>
      <c r="CF165" s="11" t="n"/>
      <c r="CG165" s="11" t="n"/>
      <c r="CH165" s="11" t="n"/>
      <c r="CI165" s="11" t="n"/>
      <c r="CJ165" s="12" t="n"/>
      <c r="CK165" s="11" t="n"/>
      <c r="CL165" s="11" t="n"/>
      <c r="CM165" s="11" t="n"/>
      <c r="CN165" s="11" t="n"/>
      <c r="CO165" s="12" t="n"/>
      <c r="CP165" s="11" t="n"/>
      <c r="CQ165" s="11" t="n"/>
      <c r="CR165" s="11" t="n"/>
      <c r="CS165" s="11" t="n"/>
      <c r="CT165" s="12" t="n"/>
      <c r="CU165" s="11" t="n"/>
      <c r="CV165" s="11" t="n"/>
      <c r="CW165" s="11" t="n"/>
      <c r="CX165" s="11" t="n"/>
      <c r="CY165" s="12" t="n"/>
    </row>
    <row r="166" hidden="1" outlineLevel="1">
      <c r="C166" s="57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2" t="n"/>
      <c r="AI166" s="12" t="n"/>
      <c r="AJ166" s="12" t="n"/>
      <c r="AK166" s="12" t="n"/>
      <c r="AL166" s="12" t="n"/>
      <c r="AM166" s="12" t="n"/>
      <c r="AN166" s="12" t="n"/>
      <c r="AO166" s="12" t="n"/>
      <c r="AP166" s="12" t="n"/>
      <c r="AQ166" s="12" t="n"/>
      <c r="AR166" s="12" t="n"/>
      <c r="AS166" s="12" t="n"/>
      <c r="AT166" s="12" t="n"/>
      <c r="AU166" s="12" t="n"/>
      <c r="AV166" s="12" t="n"/>
      <c r="AW166" s="12" t="n"/>
      <c r="AX166" s="12" t="n"/>
      <c r="AY166" s="12" t="n"/>
      <c r="AZ166" s="12" t="n"/>
      <c r="BA166" s="12" t="n"/>
      <c r="BB166" s="12" t="n"/>
      <c r="BC166" s="12" t="n"/>
      <c r="BD166" s="12" t="n"/>
      <c r="BE166" s="12" t="n"/>
      <c r="BF166" s="12" t="n"/>
      <c r="BG166" s="12" t="n"/>
      <c r="BH166" s="12" t="n"/>
      <c r="BI166" s="12" t="n"/>
      <c r="BJ166" s="12" t="n"/>
      <c r="BK166" s="12" t="n"/>
      <c r="BL166" s="12" t="n"/>
      <c r="BM166" s="12" t="n"/>
      <c r="BN166" s="12" t="n"/>
      <c r="BO166" s="12" t="n"/>
      <c r="BP166" s="12" t="n"/>
      <c r="BQ166" s="12" t="n"/>
      <c r="BR166" s="12" t="n"/>
      <c r="BS166" s="12" t="n"/>
      <c r="BT166" s="12" t="n"/>
      <c r="BU166" s="12" t="n"/>
      <c r="BV166" s="12" t="n"/>
      <c r="BW166" s="12" t="n"/>
      <c r="BX166" s="12" t="n"/>
      <c r="BY166" s="12" t="n"/>
      <c r="BZ166" s="12" t="n"/>
      <c r="CA166" s="12" t="n"/>
      <c r="CB166" s="12" t="n"/>
      <c r="CC166" s="12" t="n"/>
      <c r="CD166" s="12" t="n"/>
      <c r="CE166" s="12" t="n"/>
      <c r="CF166" s="12" t="n"/>
      <c r="CG166" s="12" t="n"/>
      <c r="CH166" s="12" t="n"/>
      <c r="CI166" s="12" t="n"/>
      <c r="CJ166" s="12" t="n"/>
      <c r="CK166" s="12" t="n"/>
      <c r="CL166" s="12" t="n"/>
      <c r="CM166" s="12" t="n"/>
      <c r="CN166" s="12" t="n"/>
      <c r="CO166" s="12" t="n"/>
      <c r="CP166" s="12" t="n"/>
      <c r="CQ166" s="12" t="n"/>
      <c r="CR166" s="12" t="n"/>
      <c r="CS166" s="12" t="n"/>
      <c r="CT166" s="12" t="n"/>
      <c r="CU166" s="12" t="n"/>
      <c r="CV166" s="12" t="n"/>
      <c r="CW166" s="12" t="n"/>
      <c r="CX166" s="12" t="n"/>
      <c r="CY166" s="12" t="n"/>
    </row>
    <row r="167" hidden="1" outlineLevel="1">
      <c r="C167" s="57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  <c r="AA167" s="12" t="n"/>
      <c r="AB167" s="12" t="n"/>
      <c r="AC167" s="12" t="n"/>
      <c r="AD167" s="12" t="n"/>
      <c r="AE167" s="12" t="n"/>
      <c r="AF167" s="12" t="n"/>
      <c r="AG167" s="12" t="n"/>
      <c r="AH167" s="12" t="n"/>
      <c r="AI167" s="12" t="n"/>
      <c r="AJ167" s="12" t="n"/>
      <c r="AK167" s="12" t="n"/>
      <c r="AL167" s="12" t="n"/>
      <c r="AM167" s="12" t="n"/>
      <c r="AN167" s="12" t="n"/>
      <c r="AO167" s="12" t="n"/>
      <c r="AP167" s="12" t="n"/>
      <c r="AQ167" s="12" t="n"/>
      <c r="AR167" s="12" t="n"/>
      <c r="AS167" s="12" t="n"/>
      <c r="AT167" s="12" t="n"/>
      <c r="AU167" s="12" t="n"/>
      <c r="AV167" s="12" t="n"/>
      <c r="AW167" s="12" t="n"/>
      <c r="AX167" s="12" t="n"/>
      <c r="AY167" s="12" t="n"/>
      <c r="AZ167" s="12" t="n"/>
      <c r="BA167" s="12" t="n"/>
      <c r="BB167" s="12" t="n"/>
      <c r="BC167" s="12" t="n"/>
      <c r="BD167" s="12" t="n"/>
      <c r="BE167" s="12" t="n"/>
      <c r="BF167" s="12" t="n"/>
      <c r="BG167" s="12" t="n"/>
      <c r="BH167" s="12" t="n"/>
      <c r="BI167" s="12" t="n"/>
      <c r="BJ167" s="12" t="n"/>
      <c r="BK167" s="12" t="n"/>
      <c r="BL167" s="12" t="n"/>
      <c r="BM167" s="12" t="n"/>
      <c r="BN167" s="12" t="n"/>
      <c r="BO167" s="12" t="n"/>
      <c r="BP167" s="12" t="n"/>
      <c r="BQ167" s="12" t="n"/>
      <c r="BR167" s="12" t="n"/>
      <c r="BS167" s="12" t="n"/>
      <c r="BT167" s="12" t="n"/>
      <c r="BU167" s="12" t="n"/>
      <c r="BV167" s="12" t="n"/>
      <c r="BW167" s="12" t="n"/>
      <c r="BX167" s="12" t="n"/>
      <c r="BY167" s="12" t="n"/>
      <c r="BZ167" s="12" t="n"/>
      <c r="CA167" s="12" t="n"/>
      <c r="CB167" s="12" t="n"/>
      <c r="CC167" s="12" t="n"/>
      <c r="CD167" s="12" t="n"/>
      <c r="CE167" s="12" t="n"/>
      <c r="CF167" s="12" t="n"/>
      <c r="CG167" s="12" t="n"/>
      <c r="CH167" s="12" t="n"/>
      <c r="CI167" s="12" t="n"/>
      <c r="CJ167" s="12" t="n"/>
      <c r="CK167" s="12" t="n"/>
      <c r="CL167" s="12" t="n"/>
      <c r="CM167" s="12" t="n"/>
      <c r="CN167" s="12" t="n"/>
      <c r="CO167" s="12" t="n"/>
      <c r="CP167" s="12" t="n"/>
      <c r="CQ167" s="12" t="n"/>
      <c r="CR167" s="12" t="n"/>
      <c r="CS167" s="12" t="n"/>
      <c r="CT167" s="12" t="n"/>
      <c r="CU167" s="12" t="n"/>
      <c r="CV167" s="12" t="n"/>
      <c r="CW167" s="12" t="n"/>
      <c r="CX167" s="12" t="n"/>
      <c r="CY167" s="12" t="n"/>
    </row>
    <row r="168" collapsed="1">
      <c r="C168" s="14" t="inlineStr">
        <is>
          <t>Accrued expenses</t>
        </is>
      </c>
      <c r="D168" s="46" t="n"/>
      <c r="E168" s="46" t="n"/>
      <c r="F168" s="46" t="n"/>
      <c r="G168" s="46" t="n"/>
      <c r="H168" s="12" t="n"/>
      <c r="I168" s="46">
        <f>'Inputs (2)'!D29</f>
        <v>129.77137318</v>
      </c>
      <c r="J168" s="46">
        <f>'Inputs (2)'!E29</f>
        <v>179.05014977</v>
      </c>
      <c r="K168" s="46">
        <f>'Inputs (2)'!F29</f>
        <v>218.24255644</v>
      </c>
      <c r="L168" s="46">
        <f>'Inputs (2)'!G29</f>
        <v>202.16819922</v>
      </c>
      <c r="M168" s="12">
        <f>'Inputs (2)'!H29</f>
        <v>202.16819922</v>
      </c>
      <c r="N168" s="46">
        <f>'Inputs (2)'!I29</f>
        <v>172.71857732</v>
      </c>
      <c r="O168" s="46">
        <f>'Inputs (2)'!J29</f>
        <v>210.8868834</v>
      </c>
      <c r="P168" s="46">
        <f>'Inputs (2)'!K29</f>
        <v>241.1555246</v>
      </c>
      <c r="Q168" s="46">
        <f>'Inputs (2)'!L29</f>
        <v>227.60029686</v>
      </c>
      <c r="R168" s="12">
        <f>'Inputs (2)'!M29</f>
        <v>227.60029686</v>
      </c>
      <c r="S168" s="46">
        <f>'Inputs (2)'!N29</f>
        <v>191.55423713</v>
      </c>
      <c r="T168" s="46">
        <f>'Inputs (2)'!O29</f>
        <v>328.937</v>
      </c>
      <c r="U168" s="46">
        <f>'Inputs (2)'!P29</f>
        <v>380.761</v>
      </c>
      <c r="V168" s="46">
        <f>'Inputs (2)'!Q29</f>
        <v>338.989</v>
      </c>
      <c r="W168" s="12">
        <f>'Inputs (2)'!R29</f>
        <v>338.989</v>
      </c>
      <c r="X168" s="46">
        <f>'Inputs (2)'!S29</f>
        <v>285.808</v>
      </c>
      <c r="Y168" s="46">
        <f>'Inputs (2)'!T29</f>
        <v>352.951</v>
      </c>
      <c r="Z168" s="46">
        <f>'Inputs (2)'!U29</f>
        <v>402.732</v>
      </c>
      <c r="AA168" s="46">
        <f>'Inputs (2)'!V29</f>
        <v>381.902</v>
      </c>
      <c r="AB168" s="12">
        <f>'Inputs (2)'!W29</f>
        <v>381.902</v>
      </c>
      <c r="AC168" s="46">
        <f>'Inputs (2)'!X29</f>
        <v>309.762274</v>
      </c>
      <c r="AD168" s="46">
        <f>'Inputs (2)'!Y29</f>
        <v>368.403</v>
      </c>
      <c r="AE168" s="46">
        <f>'Inputs (2)'!Z29</f>
        <v>438.976</v>
      </c>
      <c r="AF168" s="46">
        <f>'Inputs (2)'!AA29</f>
        <v>407.632</v>
      </c>
      <c r="AG168" s="12">
        <f>'Inputs (2)'!AB29</f>
        <v>407.632</v>
      </c>
      <c r="AH168" s="12">
        <f>'Inputs (2)'!AC29</f>
        <v>345.296</v>
      </c>
      <c r="AI168" s="12">
        <f>'Inputs (2)'!AD29</f>
        <v>406.046</v>
      </c>
      <c r="AJ168" s="12">
        <f>AI168*(1+AJ16)</f>
        <v>444.326681071185</v>
      </c>
      <c r="AK168" s="12">
        <f>AJ168*(1+AK16)</f>
        <v>486.216338818101</v>
      </c>
      <c r="AL168" s="12">
        <f>AK168</f>
        <v>486.216338818101</v>
      </c>
      <c r="AM168" s="12">
        <f>AL168*(1+AM16)</f>
        <v>532.055215688936</v>
      </c>
      <c r="AN168" s="12">
        <f>AM168*(1+AN16)</f>
        <v>582.215631070564</v>
      </c>
      <c r="AO168" s="12">
        <f>AN168*(1+AO16)</f>
        <v>637.105005396801</v>
      </c>
      <c r="AP168" s="12">
        <f>AO168*(1+AP16)</f>
        <v>697.169169359629</v>
      </c>
      <c r="AQ168" s="12">
        <f>AP168</f>
        <v>697.169169359629</v>
      </c>
      <c r="AR168" s="12">
        <f>AQ168*(1+AR16)</f>
        <v>759.410139255183</v>
      </c>
      <c r="AS168" s="12">
        <f>AR168*(1+AS16)</f>
        <v>827.20777818287</v>
      </c>
      <c r="AT168" s="12">
        <f>AS168*(1+AT16)</f>
        <v>901.058167273569</v>
      </c>
      <c r="AU168" s="12">
        <f>AT168*(1+AU16)</f>
        <v>981.501676149514</v>
      </c>
      <c r="AV168" s="12">
        <f>AU168</f>
        <v>981.501676149514</v>
      </c>
      <c r="AW168" s="12">
        <f>AV168*(1+AW16)</f>
        <v>1064.21940847436</v>
      </c>
      <c r="AX168" s="12">
        <f>AW168*(1+AX16)</f>
        <v>1153.90831915502</v>
      </c>
      <c r="AY168" s="12">
        <f>AX168*(1+AY16)</f>
        <v>1251.15591616956</v>
      </c>
      <c r="AZ168" s="12">
        <f>AY168*(1+AZ16)</f>
        <v>1356.59922073565</v>
      </c>
      <c r="BA168" s="12">
        <f>AZ168</f>
        <v>1356.59922073565</v>
      </c>
      <c r="BB168" s="12">
        <f>BA168*(1+BB16)</f>
        <v>1464.14594401985</v>
      </c>
      <c r="BC168" s="12">
        <f>BB168*(1+BC16)</f>
        <v>1580.21861771916</v>
      </c>
      <c r="BD168" s="12">
        <f>BC168*(1+BD16)</f>
        <v>1705.49315113385</v>
      </c>
      <c r="BE168" s="12">
        <f>BD168*(1+BE16)</f>
        <v>1840.6990374299</v>
      </c>
      <c r="BF168" s="12">
        <f>BE168</f>
        <v>1840.6990374299</v>
      </c>
      <c r="BG168" s="12" t="n"/>
      <c r="BH168" s="12" t="n"/>
      <c r="BI168" s="12" t="n"/>
      <c r="BJ168" s="12" t="n"/>
      <c r="BK168" s="12" t="n"/>
      <c r="BL168" s="12" t="n"/>
      <c r="BM168" s="12" t="n"/>
      <c r="BN168" s="12" t="n"/>
      <c r="BO168" s="12" t="n"/>
      <c r="BP168" s="12" t="n"/>
      <c r="BQ168" s="12" t="n"/>
      <c r="BR168" s="12" t="n"/>
      <c r="BS168" s="12" t="n"/>
      <c r="BT168" s="12" t="n"/>
      <c r="BU168" s="12" t="n"/>
      <c r="BV168" s="12" t="n"/>
      <c r="BW168" s="12" t="n"/>
      <c r="BX168" s="12" t="n"/>
      <c r="BY168" s="12" t="n"/>
      <c r="BZ168" s="12" t="n"/>
      <c r="CA168" s="12" t="n"/>
      <c r="CB168" s="12" t="n"/>
      <c r="CC168" s="12" t="n"/>
      <c r="CD168" s="12" t="n"/>
      <c r="CE168" s="12" t="n"/>
      <c r="CF168" s="12" t="n"/>
      <c r="CG168" s="12" t="n"/>
      <c r="CH168" s="12" t="n"/>
      <c r="CI168" s="12" t="n"/>
      <c r="CJ168" s="12" t="n"/>
      <c r="CK168" s="12" t="n"/>
      <c r="CL168" s="12" t="n"/>
      <c r="CM168" s="12" t="n"/>
      <c r="CN168" s="12" t="n"/>
      <c r="CO168" s="12" t="n"/>
      <c r="CP168" s="12" t="n"/>
      <c r="CQ168" s="12" t="n"/>
      <c r="CR168" s="12" t="n"/>
      <c r="CS168" s="12" t="n"/>
      <c r="CT168" s="12" t="n"/>
      <c r="CU168" s="12" t="n"/>
      <c r="CV168" s="12" t="n"/>
      <c r="CW168" s="12" t="n"/>
      <c r="CX168" s="12" t="n"/>
      <c r="CY168" s="12" t="n"/>
    </row>
    <row r="169" hidden="1" outlineLevel="1">
      <c r="C169" s="59" t="inlineStr">
        <is>
          <t>%(Var.)</t>
        </is>
      </c>
      <c r="D169" s="12" t="n"/>
      <c r="E169" s="40" t="n"/>
      <c r="F169" s="40" t="n"/>
      <c r="G169" s="40" t="n"/>
      <c r="H169" s="12" t="n"/>
      <c r="I169" s="40" t="str">
        <f>""</f>
        <v/>
      </c>
      <c r="J169" s="40">
        <f>IFERROR(IF(I168=0,"",J168/I168-1),"")</f>
        <v>0.379735340564268</v>
      </c>
      <c r="K169" s="40">
        <f>IFERROR(IF(J168=0,"",K168/J168-1),"")</f>
        <v>0.218890666778804</v>
      </c>
      <c r="L169" s="40">
        <f>IFERROR(IF(K168=0,"",L168/K168-1),"")</f>
        <v>-0.0736536332886074</v>
      </c>
      <c r="M169" s="12">
        <f>IF(L168=0,"",M168/L168-1)</f>
        <v>0</v>
      </c>
      <c r="N169" s="40">
        <f>IFERROR(IF(M168=0,"",N168/M168-1),"")</f>
        <v>-0.145668913378176</v>
      </c>
      <c r="O169" s="40">
        <f>IFERROR(IF(N168=0,"",O168/N168-1),"")</f>
        <v>0.220985528437307</v>
      </c>
      <c r="P169" s="40">
        <f>IFERROR(IF(O168=0,"",P168/O168-1),"")</f>
        <v>0.143530222041301</v>
      </c>
      <c r="Q169" s="40">
        <f>IFERROR(IF(P168=0,"",Q168/P168-1),"")</f>
        <v>-0.0562094845742547</v>
      </c>
      <c r="R169" s="12">
        <f>IF(Q168=0,"",R168/Q168-1)</f>
        <v>0</v>
      </c>
      <c r="S169" s="40">
        <f>IFERROR(IF(R168=0,"",S168/R168-1),"")</f>
        <v>-0.158374396814484</v>
      </c>
      <c r="T169" s="40">
        <f>IFERROR(IF(S168=0,"",T168/S168-1),"")</f>
        <v>0.717200334110929</v>
      </c>
      <c r="U169" s="40">
        <f>IFERROR(IF(T168=0,"",U168/T168-1),"")</f>
        <v>0.157549925973667</v>
      </c>
      <c r="V169" s="40">
        <f>IFERROR(IF(U168=0,"",V168/U168-1),"")</f>
        <v>-0.109706613860138</v>
      </c>
      <c r="W169" s="12">
        <f>IF(V168=0,"",W168/V168-1)</f>
        <v>0</v>
      </c>
      <c r="X169" s="40">
        <f>IFERROR(IF(W168=0,"",X168/W168-1),"")</f>
        <v>-0.156881196734997</v>
      </c>
      <c r="Y169" s="40">
        <f>IFERROR(IF(X168=0,"",Y168/X168-1),"")</f>
        <v>0.234923445110004</v>
      </c>
      <c r="Z169" s="40">
        <f>IFERROR(IF(Y168=0,"",Z168/Y168-1),"")</f>
        <v>0.141042240990959</v>
      </c>
      <c r="AA169" s="40">
        <f>IFERROR(IF(Z168=0,"",AA168/Z168-1),"")</f>
        <v>-0.0517217405123011</v>
      </c>
      <c r="AB169" s="12">
        <f>IF(AA168=0,"",AB168/AA168-1)</f>
        <v>0</v>
      </c>
      <c r="AC169" s="40">
        <f>IFERROR(IF(AB168=0,"",AC168/AB168-1),"")</f>
        <v>-0.188895910469178</v>
      </c>
      <c r="AD169" s="40">
        <f>IFERROR(IF(AC168=0,"",AD168/AC168-1),"")</f>
        <v>0.189308805242048</v>
      </c>
      <c r="AE169" s="40">
        <f>IFERROR(IF(AD168=0,"",AE168/AD168-1),"")</f>
        <v>0.191564672383233</v>
      </c>
      <c r="AF169" s="55">
        <f>IFERROR(IF(AE168=0,"",AF168/AE168-1),"")</f>
        <v>-0.0714025368129465</v>
      </c>
      <c r="AG169" s="12">
        <f>IF(AF168=0,"",AG168/AF168-1)</f>
        <v>0</v>
      </c>
      <c r="AH169" s="55">
        <f>IFERROR(IF(AG168=0,"",AH168/AG168-1),"")</f>
        <v>-0.15292224359226</v>
      </c>
      <c r="AI169" s="55">
        <f>IFERROR(IF(AH168=0,"",AI168/AH168-1),"")</f>
        <v>0.175936008526018</v>
      </c>
      <c r="AJ169" s="55">
        <f>IFERROR(IF(AI168=0,"",AJ168/AI168-1),"")</f>
        <v>0.0942767102032407</v>
      </c>
      <c r="AK169" s="55">
        <f>IF(AJ168=0,"",AK168/AJ168-1)</f>
        <v>0.0942767102032407</v>
      </c>
      <c r="AL169" s="12">
        <f>IF(AK168=0,"",AL168/AK168-1)</f>
        <v>0</v>
      </c>
      <c r="AM169" s="55">
        <f>IF(AL168=0,"",AM168/AL168-1)</f>
        <v>0.0942767102032407</v>
      </c>
      <c r="AN169" s="55">
        <f>IF(AM168=0,"",AN168/AM168-1)</f>
        <v>0.0942767102032407</v>
      </c>
      <c r="AO169" s="55">
        <f>IF(AN168=0,"",AO168/AN168-1)</f>
        <v>0.0942767102032407</v>
      </c>
      <c r="AP169" s="55">
        <f>IF(AO168=0,"",AP168/AO168-1)</f>
        <v>0.0942767102032407</v>
      </c>
      <c r="AQ169" s="12">
        <f>IF(AP168=0,"",AQ168/AP168-1)</f>
        <v>0</v>
      </c>
      <c r="AR169" s="55">
        <f>IF(AQ168=0,"",AR168/AQ168-1)</f>
        <v>0.0892767102032406</v>
      </c>
      <c r="AS169" s="55">
        <f>IF(AR168=0,"",AS168/AR168-1)</f>
        <v>0.0892767102032406</v>
      </c>
      <c r="AT169" s="55">
        <f>IF(AS168=0,"",AT168/AS168-1)</f>
        <v>0.0892767102032406</v>
      </c>
      <c r="AU169" s="55">
        <f>IF(AT168=0,"",AU168/AT168-1)</f>
        <v>0.0892767102032406</v>
      </c>
      <c r="AV169" s="12">
        <f>IF(AU168=0,"",AV168/AU168-1)</f>
        <v>0</v>
      </c>
      <c r="AW169" s="55">
        <f>IF(AV168=0,"",AW168/AV168-1)</f>
        <v>0.0842767102032409</v>
      </c>
      <c r="AX169" s="55">
        <f>IF(AW168=0,"",AX168/AW168-1)</f>
        <v>0.0842767102032407</v>
      </c>
      <c r="AY169" s="55">
        <f>IF(AX168=0,"",AY168/AX168-1)</f>
        <v>0.0842767102032407</v>
      </c>
      <c r="AZ169" s="55">
        <f>IF(AY168=0,"",AZ168/AY168-1)</f>
        <v>0.0842767102032407</v>
      </c>
      <c r="BA169" s="12">
        <f>IF(AZ168=0,"",BA168/AZ168-1)</f>
        <v>0</v>
      </c>
      <c r="BB169" s="55">
        <f>IF(BA168=0,"",BB168/BA168-1)</f>
        <v>0.0792767102032408</v>
      </c>
      <c r="BC169" s="55">
        <f>IF(BB168=0,"",BC168/BB168-1)</f>
        <v>0.0792767102032408</v>
      </c>
      <c r="BD169" s="55">
        <f>IF(BC168=0,"",BD168/BC168-1)</f>
        <v>0.0792767102032408</v>
      </c>
      <c r="BE169" s="55">
        <f>IF(BD168=0,"",BE168/BD168-1)</f>
        <v>0.0792767102032408</v>
      </c>
      <c r="BF169" s="12">
        <f>IF(BE168=0,"",BF168/BE168-1)</f>
        <v>0</v>
      </c>
      <c r="BG169" s="55" t="n"/>
      <c r="BH169" s="55" t="n"/>
      <c r="BI169" s="55" t="n"/>
      <c r="BJ169" s="55" t="n"/>
      <c r="BK169" s="12" t="n"/>
      <c r="BL169" s="55" t="n"/>
      <c r="BM169" s="55" t="n"/>
      <c r="BN169" s="55" t="n"/>
      <c r="BO169" s="55" t="n"/>
      <c r="BP169" s="12" t="n"/>
      <c r="BQ169" s="55" t="n"/>
      <c r="BR169" s="55" t="n"/>
      <c r="BS169" s="55" t="n"/>
      <c r="BT169" s="55" t="n"/>
      <c r="BU169" s="12" t="n"/>
      <c r="BV169" s="55" t="n"/>
      <c r="BW169" s="55" t="n"/>
      <c r="BX169" s="55" t="n"/>
      <c r="BY169" s="55" t="n"/>
      <c r="BZ169" s="12" t="n"/>
      <c r="CA169" s="55" t="n"/>
      <c r="CB169" s="55" t="n"/>
      <c r="CC169" s="55" t="n"/>
      <c r="CD169" s="55" t="n"/>
      <c r="CE169" s="12" t="n"/>
      <c r="CF169" s="55" t="n"/>
      <c r="CG169" s="55" t="n"/>
      <c r="CH169" s="55" t="n"/>
      <c r="CI169" s="55" t="n"/>
      <c r="CJ169" s="12" t="n"/>
      <c r="CK169" s="55" t="n"/>
      <c r="CL169" s="55" t="n"/>
      <c r="CM169" s="55" t="n"/>
      <c r="CN169" s="55" t="n"/>
      <c r="CO169" s="12" t="n"/>
      <c r="CP169" s="55" t="n"/>
      <c r="CQ169" s="55" t="n"/>
      <c r="CR169" s="55" t="n"/>
      <c r="CS169" s="55" t="n"/>
      <c r="CT169" s="12" t="n"/>
      <c r="CU169" s="55" t="n"/>
      <c r="CV169" s="55" t="n"/>
      <c r="CW169" s="55" t="n"/>
      <c r="CX169" s="55" t="n"/>
      <c r="CY169" s="12" t="n"/>
    </row>
    <row r="170" collapsed="1">
      <c r="C170" s="14" t="inlineStr">
        <is>
          <t>Taxes payable</t>
        </is>
      </c>
      <c r="D170" s="46" t="n"/>
      <c r="E170" s="46" t="n"/>
      <c r="F170" s="46" t="n"/>
      <c r="G170" s="46" t="n"/>
      <c r="H170" s="12" t="n"/>
      <c r="I170" s="46">
        <f>'Inputs (2)'!D30</f>
        <v>82.64400593</v>
      </c>
      <c r="J170" s="46">
        <f>'Inputs (2)'!E30</f>
        <v>84.15495263</v>
      </c>
      <c r="K170" s="46">
        <f>'Inputs (2)'!F30</f>
        <v>191.66460878</v>
      </c>
      <c r="L170" s="46">
        <f>'Inputs (2)'!G30</f>
        <v>91.24440729</v>
      </c>
      <c r="M170" s="12">
        <f>'Inputs (2)'!H30</f>
        <v>91.24440729</v>
      </c>
      <c r="N170" s="46">
        <f>'Inputs (2)'!I30</f>
        <v>81.85342882</v>
      </c>
      <c r="O170" s="46">
        <f>'Inputs (2)'!J30</f>
        <v>124.66710529</v>
      </c>
      <c r="P170" s="46">
        <f>'Inputs (2)'!K30</f>
        <v>173.02486096</v>
      </c>
      <c r="Q170" s="46">
        <f>'Inputs (2)'!L30</f>
        <v>47.92208004</v>
      </c>
      <c r="R170" s="12">
        <f>'Inputs (2)'!M30</f>
        <v>47.92208004</v>
      </c>
      <c r="S170" s="46">
        <f>'Inputs (2)'!N30</f>
        <v>59.47314835</v>
      </c>
      <c r="T170" s="46">
        <f>'Inputs (2)'!O30</f>
        <v>80.564</v>
      </c>
      <c r="U170" s="46">
        <f>'Inputs (2)'!P30</f>
        <v>84.038</v>
      </c>
      <c r="V170" s="46">
        <f>'Inputs (2)'!Q30</f>
        <v>80.583</v>
      </c>
      <c r="W170" s="12">
        <f>'Inputs (2)'!R30</f>
        <v>80.583</v>
      </c>
      <c r="X170" s="46">
        <f>'Inputs (2)'!S30</f>
        <v>75.011</v>
      </c>
      <c r="Y170" s="46">
        <f>'Inputs (2)'!T30</f>
        <v>109.283</v>
      </c>
      <c r="Z170" s="46">
        <f>'Inputs (2)'!U30</f>
        <v>95.523</v>
      </c>
      <c r="AA170" s="46">
        <f>'Inputs (2)'!V30</f>
        <v>98.581</v>
      </c>
      <c r="AB170" s="12">
        <f>'Inputs (2)'!W30</f>
        <v>98.581</v>
      </c>
      <c r="AC170" s="46">
        <f>'Inputs (2)'!X30</f>
        <v>85.512222</v>
      </c>
      <c r="AD170" s="46">
        <f>'Inputs (2)'!Y30</f>
        <v>103.274</v>
      </c>
      <c r="AE170" s="46">
        <f>'Inputs (2)'!Z30</f>
        <v>117.346</v>
      </c>
      <c r="AF170" s="46">
        <f>'Inputs (2)'!AA30</f>
        <v>97.53</v>
      </c>
      <c r="AG170" s="12">
        <f>'Inputs (2)'!AB30</f>
        <v>97.53</v>
      </c>
      <c r="AH170" s="12">
        <f>'Inputs (2)'!AC30</f>
        <v>89.248</v>
      </c>
      <c r="AI170" s="12">
        <f>'Inputs (2)'!AD30</f>
        <v>113.008</v>
      </c>
      <c r="AJ170" s="12">
        <f>AI170*(1+AJ16)</f>
        <v>123.662022466648</v>
      </c>
      <c r="AK170" s="12">
        <f>AJ170*(1+AK16)</f>
        <v>135.320471121883</v>
      </c>
      <c r="AL170" s="12">
        <f>AK170</f>
        <v>135.320471121883</v>
      </c>
      <c r="AM170" s="12">
        <f>AL170*(1+AM16)</f>
        <v>148.078039962406</v>
      </c>
      <c r="AN170" s="12">
        <f>AM170*(1+AN16)</f>
        <v>162.038350423406</v>
      </c>
      <c r="AO170" s="12">
        <f>AN170*(1+AO16)</f>
        <v>177.314793028085</v>
      </c>
      <c r="AP170" s="12">
        <f>AO170*(1+AP16)</f>
        <v>194.031448385141</v>
      </c>
      <c r="AQ170" s="12">
        <f>AP170</f>
        <v>194.031448385141</v>
      </c>
      <c r="AR170" s="12">
        <f>AQ170*(1+AR16)</f>
        <v>211.353937772936</v>
      </c>
      <c r="AS170" s="12">
        <f>AR170*(1+AS16)</f>
        <v>230.222922025804</v>
      </c>
      <c r="AT170" s="12">
        <f>AS170*(1+AT16)</f>
        <v>250.776467117645</v>
      </c>
      <c r="AU170" s="12">
        <f>AT170*(1+AU16)</f>
        <v>273.1649650983</v>
      </c>
      <c r="AV170" s="12">
        <f>AU170</f>
        <v>273.1649650983</v>
      </c>
      <c r="AW170" s="12">
        <f>AV170*(1+AW16)</f>
        <v>296.186409699568</v>
      </c>
      <c r="AX170" s="12">
        <f>AW170*(1+AX16)</f>
        <v>321.148025915956</v>
      </c>
      <c r="AY170" s="12">
        <f>AX170*(1+AY16)</f>
        <v>348.213325028418</v>
      </c>
      <c r="AZ170" s="12">
        <f>AY170*(1+AZ16)</f>
        <v>377.559598510745</v>
      </c>
      <c r="BA170" s="12">
        <f>AZ170</f>
        <v>377.559598510745</v>
      </c>
      <c r="BB170" s="12">
        <f>BA170*(1+BB16)</f>
        <v>407.491281386334</v>
      </c>
      <c r="BC170" s="12">
        <f>BB170*(1+BC16)</f>
        <v>439.795849611145</v>
      </c>
      <c r="BD170" s="12">
        <f>BC170*(1+BD16)</f>
        <v>474.661417729356</v>
      </c>
      <c r="BE170" s="12">
        <f>BD170*(1+BE16)</f>
        <v>512.291013387346</v>
      </c>
      <c r="BF170" s="12">
        <f>BE170</f>
        <v>512.291013387346</v>
      </c>
      <c r="BG170" s="12" t="n"/>
      <c r="BH170" s="12" t="n"/>
      <c r="BI170" s="12" t="n"/>
      <c r="BJ170" s="12" t="n"/>
      <c r="BK170" s="12" t="n"/>
      <c r="BL170" s="12" t="n"/>
      <c r="BM170" s="12" t="n"/>
      <c r="BN170" s="12" t="n"/>
      <c r="BO170" s="12" t="n"/>
      <c r="BP170" s="12" t="n"/>
      <c r="BQ170" s="12" t="n"/>
      <c r="BR170" s="12" t="n"/>
      <c r="BS170" s="12" t="n"/>
      <c r="BT170" s="12" t="n"/>
      <c r="BU170" s="12" t="n"/>
      <c r="BV170" s="12" t="n"/>
      <c r="BW170" s="12" t="n"/>
      <c r="BX170" s="12" t="n"/>
      <c r="BY170" s="12" t="n"/>
      <c r="BZ170" s="12" t="n"/>
      <c r="CA170" s="12" t="n"/>
      <c r="CB170" s="12" t="n"/>
      <c r="CC170" s="12" t="n"/>
      <c r="CD170" s="12" t="n"/>
      <c r="CE170" s="12" t="n"/>
      <c r="CF170" s="12" t="n"/>
      <c r="CG170" s="12" t="n"/>
      <c r="CH170" s="12" t="n"/>
      <c r="CI170" s="12" t="n"/>
      <c r="CJ170" s="12" t="n"/>
      <c r="CK170" s="12" t="n"/>
      <c r="CL170" s="12" t="n"/>
      <c r="CM170" s="12" t="n"/>
      <c r="CN170" s="12" t="n"/>
      <c r="CO170" s="12" t="n"/>
      <c r="CP170" s="12" t="n"/>
      <c r="CQ170" s="12" t="n"/>
      <c r="CR170" s="12" t="n"/>
      <c r="CS170" s="12" t="n"/>
      <c r="CT170" s="12" t="n"/>
      <c r="CU170" s="12" t="n"/>
      <c r="CV170" s="12" t="n"/>
      <c r="CW170" s="12" t="n"/>
      <c r="CX170" s="12" t="n"/>
      <c r="CY170" s="12" t="n"/>
    </row>
    <row r="171">
      <c r="C171" s="14" t="inlineStr">
        <is>
          <t>Other current liabilities (non-debt)</t>
        </is>
      </c>
      <c r="D171" s="46" t="n"/>
      <c r="E171" s="46" t="n"/>
      <c r="F171" s="46" t="n"/>
      <c r="G171" s="46" t="n"/>
      <c r="H171" s="12" t="n"/>
      <c r="I171" s="46">
        <f>'Inputs (2)'!D31</f>
        <v>163.47552906</v>
      </c>
      <c r="J171" s="46">
        <f>'Inputs (2)'!E31</f>
        <v>7.81020024</v>
      </c>
      <c r="K171" s="46">
        <f>'Inputs (2)'!F31</f>
        <v>7.84403098</v>
      </c>
      <c r="L171" s="46">
        <f>'Inputs (2)'!G31</f>
        <v>22.207</v>
      </c>
      <c r="M171" s="12">
        <f>'Inputs (2)'!H31</f>
        <v>22.207</v>
      </c>
      <c r="N171" s="46">
        <f>'Inputs (2)'!I31</f>
        <v>239.29000932</v>
      </c>
      <c r="O171" s="46">
        <f>'Inputs (2)'!J31</f>
        <v>16.2889214</v>
      </c>
      <c r="P171" s="46">
        <f>'Inputs (2)'!K31</f>
        <v>16.82895005</v>
      </c>
      <c r="Q171" s="46">
        <f>'Inputs (2)'!L31</f>
        <v>18.18773241</v>
      </c>
      <c r="R171" s="12">
        <f>'Inputs (2)'!M31</f>
        <v>18.18773241</v>
      </c>
      <c r="S171" s="46">
        <f>'Inputs (2)'!N31</f>
        <v>25.29456084</v>
      </c>
      <c r="T171" s="46">
        <f>'Inputs (2)'!O31</f>
        <v>28.482</v>
      </c>
      <c r="U171" s="46">
        <f>'Inputs (2)'!P31</f>
        <v>105.682</v>
      </c>
      <c r="V171" s="46">
        <f>'Inputs (2)'!Q31</f>
        <v>35.372</v>
      </c>
      <c r="W171" s="12">
        <f>'Inputs (2)'!R31</f>
        <v>35.372</v>
      </c>
      <c r="X171" s="46">
        <f>'Inputs (2)'!S31</f>
        <v>101.781</v>
      </c>
      <c r="Y171" s="46">
        <f>'Inputs (2)'!T31</f>
        <v>26.325</v>
      </c>
      <c r="Z171" s="46">
        <f>'Inputs (2)'!U31</f>
        <v>182.758</v>
      </c>
      <c r="AA171" s="46">
        <f>'Inputs (2)'!V31</f>
        <v>18.137</v>
      </c>
      <c r="AB171" s="12">
        <f>'Inputs (2)'!W31</f>
        <v>18.137</v>
      </c>
      <c r="AC171" s="46">
        <f>'Inputs (2)'!X31</f>
        <v>276.046014</v>
      </c>
      <c r="AD171" s="46">
        <f>'Inputs (2)'!Y31</f>
        <v>25.9</v>
      </c>
      <c r="AE171" s="46">
        <f>'Inputs (2)'!Z31</f>
        <v>185.919</v>
      </c>
      <c r="AF171" s="46">
        <f>'Inputs (2)'!AA31</f>
        <v>310.211</v>
      </c>
      <c r="AG171" s="12">
        <f>'Inputs (2)'!AB31</f>
        <v>310.211</v>
      </c>
      <c r="AH171" s="12">
        <f>'Inputs (2)'!AC31</f>
        <v>316.339</v>
      </c>
      <c r="AI171" s="12">
        <f>'Inputs (2)'!AD31</f>
        <v>91.96</v>
      </c>
      <c r="AJ171" s="12">
        <f>AI171</f>
        <v>91.96</v>
      </c>
      <c r="AK171" s="12">
        <f>AJ171</f>
        <v>91.96</v>
      </c>
      <c r="AL171" s="12">
        <f>AK171</f>
        <v>91.96</v>
      </c>
      <c r="AM171" s="12">
        <f>AL171</f>
        <v>91.96</v>
      </c>
      <c r="AN171" s="12">
        <f>AM171</f>
        <v>91.96</v>
      </c>
      <c r="AO171" s="12">
        <f>AN171</f>
        <v>91.96</v>
      </c>
      <c r="AP171" s="12">
        <f>AO171</f>
        <v>91.96</v>
      </c>
      <c r="AQ171" s="12">
        <f>AP171</f>
        <v>91.96</v>
      </c>
      <c r="AR171" s="12">
        <f>AQ171</f>
        <v>91.96</v>
      </c>
      <c r="AS171" s="12">
        <f>AR171</f>
        <v>91.96</v>
      </c>
      <c r="AT171" s="12">
        <f>AS171</f>
        <v>91.96</v>
      </c>
      <c r="AU171" s="12">
        <f>AT171</f>
        <v>91.96</v>
      </c>
      <c r="AV171" s="12">
        <f>AU171</f>
        <v>91.96</v>
      </c>
      <c r="AW171" s="12">
        <f>AV171</f>
        <v>91.96</v>
      </c>
      <c r="AX171" s="12">
        <f>AW171</f>
        <v>91.96</v>
      </c>
      <c r="AY171" s="12">
        <f>AX171</f>
        <v>91.96</v>
      </c>
      <c r="AZ171" s="12">
        <f>AY171</f>
        <v>91.96</v>
      </c>
      <c r="BA171" s="12">
        <f>AZ171</f>
        <v>91.96</v>
      </c>
      <c r="BB171" s="12">
        <f>BA171</f>
        <v>91.96</v>
      </c>
      <c r="BC171" s="12">
        <f>BB171</f>
        <v>91.96</v>
      </c>
      <c r="BD171" s="12">
        <f>BC171</f>
        <v>91.96</v>
      </c>
      <c r="BE171" s="12">
        <f>BD171</f>
        <v>91.96</v>
      </c>
      <c r="BF171" s="12">
        <f>BE171</f>
        <v>91.96</v>
      </c>
      <c r="BG171" s="12" t="n"/>
      <c r="BH171" s="12" t="n"/>
      <c r="BI171" s="12" t="n"/>
      <c r="BJ171" s="12" t="n"/>
      <c r="BK171" s="12" t="n"/>
      <c r="BL171" s="12" t="n"/>
      <c r="BM171" s="12" t="n"/>
      <c r="BN171" s="12" t="n"/>
      <c r="BO171" s="12" t="n"/>
      <c r="BP171" s="12" t="n"/>
      <c r="BQ171" s="12" t="n"/>
      <c r="BR171" s="12" t="n"/>
      <c r="BS171" s="12" t="n"/>
      <c r="BT171" s="12" t="n"/>
      <c r="BU171" s="12" t="n"/>
      <c r="BV171" s="12" t="n"/>
      <c r="BW171" s="12" t="n"/>
      <c r="BX171" s="12" t="n"/>
      <c r="BY171" s="12" t="n"/>
      <c r="BZ171" s="12" t="n"/>
      <c r="CA171" s="12" t="n"/>
      <c r="CB171" s="12" t="n"/>
      <c r="CC171" s="12" t="n"/>
      <c r="CD171" s="12" t="n"/>
      <c r="CE171" s="12" t="n"/>
      <c r="CF171" s="12" t="n"/>
      <c r="CG171" s="12" t="n"/>
      <c r="CH171" s="12" t="n"/>
      <c r="CI171" s="12" t="n"/>
      <c r="CJ171" s="12" t="n"/>
      <c r="CK171" s="12" t="n"/>
      <c r="CL171" s="12" t="n"/>
      <c r="CM171" s="12" t="n"/>
      <c r="CN171" s="12" t="n"/>
      <c r="CO171" s="12" t="n"/>
      <c r="CP171" s="12" t="n"/>
      <c r="CQ171" s="12" t="n"/>
      <c r="CR171" s="12" t="n"/>
      <c r="CS171" s="12" t="n"/>
      <c r="CT171" s="12" t="n"/>
      <c r="CU171" s="12" t="n"/>
      <c r="CV171" s="12" t="n"/>
      <c r="CW171" s="12" t="n"/>
      <c r="CX171" s="12" t="n"/>
      <c r="CY171" s="12" t="n"/>
    </row>
    <row r="172" hidden="1" outlineLevel="1">
      <c r="C172" s="59" t="inlineStr">
        <is>
          <t>%(Var.)</t>
        </is>
      </c>
      <c r="D172" s="12" t="n"/>
      <c r="E172" s="40" t="n"/>
      <c r="F172" s="40" t="n"/>
      <c r="G172" s="40" t="n"/>
      <c r="H172" s="12" t="n"/>
      <c r="I172" s="40" t="str">
        <f>""</f>
        <v/>
      </c>
      <c r="J172" s="40">
        <f>IFERROR(IF(I171=0,"",J171/I171-1),"")</f>
        <v>-0.952224040595498</v>
      </c>
      <c r="K172" s="40">
        <f>IFERROR(IF(J171=0,"",K171/J171-1),"")</f>
        <v>0.00433160981286163</v>
      </c>
      <c r="L172" s="40">
        <f>IFERROR(IF(K171=0,"",L171/K171-1),"")</f>
        <v>1.83106989972648</v>
      </c>
      <c r="M172" s="12">
        <f>IF(L171=0,"",M171/L171-1)</f>
        <v>0</v>
      </c>
      <c r="N172" s="40">
        <f>IFERROR(IF(M171=0,"",N171/M171-1),"")</f>
        <v>9.77543159003918</v>
      </c>
      <c r="O172" s="40">
        <f>IFERROR(IF(N171=0,"",O171/N171-1),"")</f>
        <v>-0.931928117491036</v>
      </c>
      <c r="P172" s="40">
        <f>IFERROR(IF(O171=0,"",P171/O171-1),"")</f>
        <v>0.0331531251664092</v>
      </c>
      <c r="Q172" s="40">
        <f>IFERROR(IF(P171=0,"",Q171/P171-1),"")</f>
        <v>0.0807407684949424</v>
      </c>
      <c r="R172" s="12">
        <f>IF(Q171=0,"",R171/Q171-1)</f>
        <v>0</v>
      </c>
      <c r="S172" s="40">
        <f>IFERROR(IF(R171=0,"",S171/R171-1),"")</f>
        <v>0.390748459994525</v>
      </c>
      <c r="T172" s="40">
        <f>IFERROR(IF(S171=0,"",T171/S171-1),"")</f>
        <v>0.126012828614106</v>
      </c>
      <c r="U172" s="40">
        <f>IFERROR(IF(T171=0,"",U171/T171-1),"")</f>
        <v>2.71048381433888</v>
      </c>
      <c r="V172" s="40">
        <f>IFERROR(IF(U171=0,"",V171/U171-1),"")</f>
        <v>-0.665297780132852</v>
      </c>
      <c r="W172" s="12">
        <f>IF(V171=0,"",W171/V171-1)</f>
        <v>0</v>
      </c>
      <c r="X172" s="40">
        <f>IFERROR(IF(W171=0,"",X171/W171-1),"")</f>
        <v>1.87744543706887</v>
      </c>
      <c r="Y172" s="40">
        <f>IFERROR(IF(X171=0,"",Y171/X171-1),"")</f>
        <v>-0.74135644177204</v>
      </c>
      <c r="Z172" s="40">
        <f>IFERROR(IF(Y171=0,"",Z171/Y171-1),"")</f>
        <v>5.94237416904084</v>
      </c>
      <c r="AA172" s="40">
        <f>IFERROR(IF(Z171=0,"",AA171/Z171-1),"")</f>
        <v>-0.90075947427746</v>
      </c>
      <c r="AB172" s="12">
        <f>IF(AA171=0,"",AB171/AA171-1)</f>
        <v>0</v>
      </c>
      <c r="AC172" s="40">
        <f>IFERROR(IF(AB171=0,"",AC171/AB171-1),"")</f>
        <v>14.2200481887854</v>
      </c>
      <c r="AD172" s="40">
        <f>IFERROR(IF(AC171=0,"",AD171/AC171-1),"")</f>
        <v>-0.906175062538668</v>
      </c>
      <c r="AE172" s="40">
        <f>IFERROR(IF(AD171=0,"",AE171/AD171-1),"")</f>
        <v>6.17833976833977</v>
      </c>
      <c r="AF172" s="55">
        <f>IFERROR(IF(AE171=0,"",AF171/AE171-1),"")</f>
        <v>0.668527692167019</v>
      </c>
      <c r="AG172" s="12">
        <f>IF(AF171=0,"",AG171/AF171-1)</f>
        <v>0</v>
      </c>
      <c r="AH172" s="55">
        <f>IFERROR(IF(AG171=0,"",AH171/AG171-1),"")</f>
        <v>0.0197542962693134</v>
      </c>
      <c r="AI172" s="55">
        <f>IFERROR(IF(AH171=0,"",AI171/AH171-1),"")</f>
        <v>-0.709299201173425</v>
      </c>
      <c r="AJ172" s="55">
        <f>IFERROR(IF(AI171=0,"",AJ171/AI171-1),"")</f>
        <v>0</v>
      </c>
      <c r="AK172" s="55">
        <f>IFERROR(IF(AJ171=0,"",AK171/AJ171-1),"")</f>
        <v>0</v>
      </c>
      <c r="AL172" s="12">
        <f>IFERROR(IF(AK171=0,"",AL171/AK171-1),"")</f>
        <v>0</v>
      </c>
      <c r="AM172" s="55">
        <f>IFERROR(IF(AL171=0,"",AM171/AL171-1),"")</f>
        <v>0</v>
      </c>
      <c r="AN172" s="55">
        <f>IFERROR(IF(AM171=0,"",AN171/AM171-1),"")</f>
        <v>0</v>
      </c>
      <c r="AO172" s="55">
        <f>IFERROR(IF(AN171=0,"",AO171/AN171-1),"")</f>
        <v>0</v>
      </c>
      <c r="AP172" s="55">
        <f>IFERROR(IF(AO171=0,"",AP171/AO171-1),"")</f>
        <v>0</v>
      </c>
      <c r="AQ172" s="12">
        <f>IFERROR(IF(AP171=0,"",AQ171/AP171-1),"")</f>
        <v>0</v>
      </c>
      <c r="AR172" s="55">
        <f>IFERROR(IF(AQ171=0,"",AR171/AQ171-1),"")</f>
        <v>0</v>
      </c>
      <c r="AS172" s="55">
        <f>IFERROR(IF(AR171=0,"",AS171/AR171-1),"")</f>
        <v>0</v>
      </c>
      <c r="AT172" s="55">
        <f>IFERROR(IF(AS171=0,"",AT171/AS171-1),"")</f>
        <v>0</v>
      </c>
      <c r="AU172" s="55">
        <f>IFERROR(IF(AT171=0,"",AU171/AT171-1),"")</f>
        <v>0</v>
      </c>
      <c r="AV172" s="12">
        <f>IFERROR(IF(AU171=0,"",AV171/AU171-1),"")</f>
        <v>0</v>
      </c>
      <c r="AW172" s="55">
        <f>IFERROR(IF(AV171=0,"",AW171/AV171-1),"")</f>
        <v>0</v>
      </c>
      <c r="AX172" s="55">
        <f>IFERROR(IF(AW171=0,"",AX171/AW171-1),"")</f>
        <v>0</v>
      </c>
      <c r="AY172" s="55">
        <f>IFERROR(IF(AX171=0,"",AY171/AX171-1),"")</f>
        <v>0</v>
      </c>
      <c r="AZ172" s="55">
        <f>IFERROR(IF(AY171=0,"",AZ171/AY171-1),"")</f>
        <v>0</v>
      </c>
      <c r="BA172" s="12">
        <f>IFERROR(IF(AZ171=0,"",BA171/AZ171-1),"")</f>
        <v>0</v>
      </c>
      <c r="BB172" s="55">
        <f>IFERROR(IF(BA171=0,"",BB171/BA171-1),"")</f>
        <v>0</v>
      </c>
      <c r="BC172" s="55">
        <f>IFERROR(IF(BB171=0,"",BC171/BB171-1),"")</f>
        <v>0</v>
      </c>
      <c r="BD172" s="55">
        <f>IFERROR(IF(BC171=0,"",BD171/BC171-1),"")</f>
        <v>0</v>
      </c>
      <c r="BE172" s="55">
        <f>IFERROR(IF(BD171=0,"",BE171/BD171-1),"")</f>
        <v>0</v>
      </c>
      <c r="BF172" s="12">
        <f>IFERROR(IF(BE171=0,"",BF171/BE171-1),"")</f>
        <v>0</v>
      </c>
      <c r="BG172" s="55" t="n"/>
      <c r="BH172" s="55" t="n"/>
      <c r="BI172" s="55" t="n"/>
      <c r="BJ172" s="55" t="n"/>
      <c r="BK172" s="12" t="n"/>
      <c r="BL172" s="55" t="n"/>
      <c r="BM172" s="55" t="n"/>
      <c r="BN172" s="55" t="n"/>
      <c r="BO172" s="55" t="n"/>
      <c r="BP172" s="12" t="n"/>
      <c r="BQ172" s="55" t="n"/>
      <c r="BR172" s="55" t="n"/>
      <c r="BS172" s="55" t="n"/>
      <c r="BT172" s="55" t="n"/>
      <c r="BU172" s="12" t="n"/>
      <c r="BV172" s="55" t="n"/>
      <c r="BW172" s="55" t="n"/>
      <c r="BX172" s="55" t="n"/>
      <c r="BY172" s="55" t="n"/>
      <c r="BZ172" s="12" t="n"/>
      <c r="CA172" s="55" t="n"/>
      <c r="CB172" s="55" t="n"/>
      <c r="CC172" s="55" t="n"/>
      <c r="CD172" s="55" t="n"/>
      <c r="CE172" s="12" t="n"/>
      <c r="CF172" s="55" t="n"/>
      <c r="CG172" s="55" t="n"/>
      <c r="CH172" s="55" t="n"/>
      <c r="CI172" s="55" t="n"/>
      <c r="CJ172" s="12" t="n"/>
      <c r="CK172" s="55" t="n"/>
      <c r="CL172" s="55" t="n"/>
      <c r="CM172" s="55" t="n"/>
      <c r="CN172" s="55" t="n"/>
      <c r="CO172" s="12" t="n"/>
      <c r="CP172" s="55" t="n"/>
      <c r="CQ172" s="55" t="n"/>
      <c r="CR172" s="55" t="n"/>
      <c r="CS172" s="55" t="n"/>
      <c r="CT172" s="12" t="n"/>
      <c r="CU172" s="55" t="n"/>
      <c r="CV172" s="55" t="n"/>
      <c r="CW172" s="55" t="n"/>
      <c r="CX172" s="55" t="n"/>
      <c r="CY172" s="12" t="n"/>
    </row>
    <row r="173" hidden="1" outlineLevel="1">
      <c r="C173" s="57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  <c r="AA173" s="12" t="n"/>
      <c r="AB173" s="12" t="n"/>
      <c r="AC173" s="12" t="n"/>
      <c r="AD173" s="12" t="n"/>
      <c r="AE173" s="12" t="n"/>
      <c r="AF173" s="12" t="n"/>
      <c r="AG173" s="12" t="n"/>
      <c r="AH173" s="12" t="n"/>
      <c r="AI173" s="12" t="n"/>
      <c r="AJ173" s="12" t="n"/>
      <c r="AK173" s="12" t="n"/>
      <c r="AL173" s="12" t="n"/>
      <c r="AM173" s="12" t="n"/>
      <c r="AN173" s="12" t="n"/>
      <c r="AO173" s="12" t="n"/>
      <c r="AP173" s="12" t="n"/>
      <c r="AQ173" s="12" t="n"/>
      <c r="AR173" s="12" t="n"/>
      <c r="AS173" s="12" t="n"/>
      <c r="AT173" s="12" t="n"/>
      <c r="AU173" s="12" t="n"/>
      <c r="AV173" s="12" t="n"/>
      <c r="AW173" s="12" t="n"/>
      <c r="AX173" s="12" t="n"/>
      <c r="AY173" s="12" t="n"/>
      <c r="AZ173" s="12" t="n"/>
      <c r="BA173" s="12" t="n"/>
      <c r="BB173" s="12" t="n"/>
      <c r="BC173" s="12" t="n"/>
      <c r="BD173" s="12" t="n"/>
      <c r="BE173" s="12" t="n"/>
      <c r="BF173" s="12" t="n"/>
      <c r="BG173" s="12" t="n"/>
      <c r="BH173" s="12" t="n"/>
      <c r="BI173" s="12" t="n"/>
      <c r="BJ173" s="12" t="n"/>
      <c r="BK173" s="12" t="n"/>
      <c r="BL173" s="12" t="n"/>
      <c r="BM173" s="12" t="n"/>
      <c r="BN173" s="12" t="n"/>
      <c r="BO173" s="12" t="n"/>
      <c r="BP173" s="12" t="n"/>
      <c r="BQ173" s="12" t="n"/>
      <c r="BR173" s="12" t="n"/>
      <c r="BS173" s="12" t="n"/>
      <c r="BT173" s="12" t="n"/>
      <c r="BU173" s="12" t="n"/>
      <c r="BV173" s="12" t="n"/>
      <c r="BW173" s="12" t="n"/>
      <c r="BX173" s="12" t="n"/>
      <c r="BY173" s="12" t="n"/>
      <c r="BZ173" s="12" t="n"/>
      <c r="CA173" s="12" t="n"/>
      <c r="CB173" s="12" t="n"/>
      <c r="CC173" s="12" t="n"/>
      <c r="CD173" s="12" t="n"/>
      <c r="CE173" s="12" t="n"/>
      <c r="CF173" s="12" t="n"/>
      <c r="CG173" s="12" t="n"/>
      <c r="CH173" s="12" t="n"/>
      <c r="CI173" s="12" t="n"/>
      <c r="CJ173" s="12" t="n"/>
      <c r="CK173" s="12" t="n"/>
      <c r="CL173" s="12" t="n"/>
      <c r="CM173" s="12" t="n"/>
      <c r="CN173" s="12" t="n"/>
      <c r="CO173" s="12" t="n"/>
      <c r="CP173" s="12" t="n"/>
      <c r="CQ173" s="12" t="n"/>
      <c r="CR173" s="12" t="n"/>
      <c r="CS173" s="12" t="n"/>
      <c r="CT173" s="12" t="n"/>
      <c r="CU173" s="12" t="n"/>
      <c r="CV173" s="12" t="n"/>
      <c r="CW173" s="12" t="n"/>
      <c r="CX173" s="12" t="n"/>
      <c r="CY173" s="12" t="n"/>
    </row>
    <row r="174" hidden="1" outlineLevel="1">
      <c r="C174" s="57" t="inlineStr">
        <is>
          <t xml:space="preserve">Dividendos a Pagar </t>
        </is>
      </c>
      <c r="D174" s="11" t="n"/>
      <c r="E174" s="11" t="n"/>
      <c r="F174" s="11" t="n"/>
      <c r="G174" s="11" t="n"/>
      <c r="H174" s="12" t="n"/>
      <c r="I174" s="11" t="n"/>
      <c r="J174" s="11" t="n"/>
      <c r="K174" s="11" t="n"/>
      <c r="L174" s="11" t="n"/>
      <c r="M174" s="12" t="n"/>
      <c r="N174" s="11" t="n"/>
      <c r="O174" s="11" t="n"/>
      <c r="P174" s="11" t="n"/>
      <c r="Q174" s="11" t="n"/>
      <c r="R174" s="12" t="n"/>
      <c r="S174" s="11" t="n"/>
      <c r="T174" s="11" t="n"/>
      <c r="U174" s="11" t="n"/>
      <c r="V174" s="11" t="n"/>
      <c r="W174" s="12" t="n"/>
      <c r="X174" s="11" t="n"/>
      <c r="Y174" s="11" t="n"/>
      <c r="Z174" s="11" t="n"/>
      <c r="AA174" s="11" t="n"/>
      <c r="AB174" s="12" t="n"/>
      <c r="AC174" s="11" t="n"/>
      <c r="AD174" s="11" t="n"/>
      <c r="AE174" s="11" t="n"/>
      <c r="AF174" s="11" t="n"/>
      <c r="AG174" s="12" t="n"/>
      <c r="AH174" s="11" t="n"/>
      <c r="AI174" s="11" t="n"/>
      <c r="AJ174" s="11" t="n"/>
      <c r="AK174" s="11" t="n"/>
      <c r="AL174" s="12" t="n"/>
      <c r="AM174" s="11" t="n"/>
      <c r="AN174" s="11" t="n"/>
      <c r="AO174" s="11" t="n"/>
      <c r="AP174" s="11" t="n"/>
      <c r="AQ174" s="12" t="n"/>
      <c r="AR174" s="11" t="n"/>
      <c r="AS174" s="11" t="n"/>
      <c r="AT174" s="11" t="n"/>
      <c r="AU174" s="11" t="n"/>
      <c r="AV174" s="12" t="n"/>
      <c r="AW174" s="11" t="n"/>
      <c r="AX174" s="11" t="n"/>
      <c r="AY174" s="11" t="n"/>
      <c r="AZ174" s="11" t="n"/>
      <c r="BA174" s="12" t="n"/>
      <c r="BB174" s="11" t="n"/>
      <c r="BC174" s="11" t="n"/>
      <c r="BD174" s="11" t="n"/>
      <c r="BE174" s="11" t="n"/>
      <c r="BF174" s="12" t="n"/>
      <c r="BG174" s="11" t="n"/>
      <c r="BH174" s="11" t="n"/>
      <c r="BI174" s="11" t="n"/>
      <c r="BJ174" s="11" t="n"/>
      <c r="BK174" s="12" t="n"/>
      <c r="BL174" s="11" t="n"/>
      <c r="BM174" s="11" t="n"/>
      <c r="BN174" s="11" t="n"/>
      <c r="BO174" s="11" t="n"/>
      <c r="BP174" s="12" t="n"/>
      <c r="BQ174" s="11" t="n"/>
      <c r="BR174" s="11" t="n"/>
      <c r="BS174" s="11" t="n"/>
      <c r="BT174" s="11" t="n"/>
      <c r="BU174" s="12" t="n"/>
      <c r="BV174" s="11" t="n"/>
      <c r="BW174" s="11" t="n"/>
      <c r="BX174" s="11" t="n"/>
      <c r="BY174" s="11" t="n"/>
      <c r="BZ174" s="12" t="n"/>
      <c r="CA174" s="11" t="n"/>
      <c r="CB174" s="11" t="n"/>
      <c r="CC174" s="11" t="n"/>
      <c r="CD174" s="11" t="n"/>
      <c r="CE174" s="12" t="n"/>
      <c r="CF174" s="11" t="n"/>
      <c r="CG174" s="11" t="n"/>
      <c r="CH174" s="11" t="n"/>
      <c r="CI174" s="11" t="n"/>
      <c r="CJ174" s="12" t="n"/>
      <c r="CK174" s="11" t="n"/>
      <c r="CL174" s="11" t="n"/>
      <c r="CM174" s="11" t="n"/>
      <c r="CN174" s="11" t="n"/>
      <c r="CO174" s="12" t="n"/>
      <c r="CP174" s="11" t="n"/>
      <c r="CQ174" s="11" t="n"/>
      <c r="CR174" s="11" t="n"/>
      <c r="CS174" s="11" t="n"/>
      <c r="CT174" s="12" t="n"/>
      <c r="CU174" s="11" t="n"/>
      <c r="CV174" s="11" t="n"/>
      <c r="CW174" s="11" t="n"/>
      <c r="CX174" s="11" t="n"/>
      <c r="CY174" s="12" t="n"/>
    </row>
    <row r="175" hidden="1" outlineLevel="1">
      <c r="C175" s="57" t="inlineStr">
        <is>
          <t>Contas a pagar pela aquisição de controladas</t>
        </is>
      </c>
      <c r="D175" s="11" t="n"/>
      <c r="E175" s="11" t="n"/>
      <c r="F175" s="11" t="n"/>
      <c r="G175" s="11" t="n"/>
      <c r="H175" s="12" t="n"/>
      <c r="I175" s="11" t="n"/>
      <c r="J175" s="11" t="n"/>
      <c r="K175" s="11" t="n"/>
      <c r="L175" s="11" t="n"/>
      <c r="M175" s="12" t="n"/>
      <c r="N175" s="11" t="n"/>
      <c r="O175" s="11" t="n"/>
      <c r="P175" s="11" t="n"/>
      <c r="Q175" s="11" t="n"/>
      <c r="R175" s="12" t="n"/>
      <c r="S175" s="11" t="n"/>
      <c r="T175" s="11" t="n"/>
      <c r="U175" s="11" t="n"/>
      <c r="V175" s="11" t="n"/>
      <c r="W175" s="12" t="n"/>
      <c r="X175" s="11" t="n"/>
      <c r="Y175" s="11" t="n"/>
      <c r="Z175" s="11" t="n"/>
      <c r="AA175" s="11" t="n"/>
      <c r="AB175" s="12" t="n"/>
      <c r="AC175" s="11" t="n"/>
      <c r="AD175" s="11" t="n"/>
      <c r="AE175" s="11" t="n"/>
      <c r="AF175" s="11" t="n"/>
      <c r="AG175" s="12" t="n"/>
      <c r="AH175" s="11" t="n"/>
      <c r="AI175" s="11" t="n"/>
      <c r="AJ175" s="11" t="n"/>
      <c r="AK175" s="11" t="n"/>
      <c r="AL175" s="12" t="n"/>
      <c r="AM175" s="11" t="n"/>
      <c r="AN175" s="11" t="n"/>
      <c r="AO175" s="11" t="n"/>
      <c r="AP175" s="11" t="n"/>
      <c r="AQ175" s="12" t="n"/>
      <c r="AR175" s="11" t="n"/>
      <c r="AS175" s="11" t="n"/>
      <c r="AT175" s="11" t="n"/>
      <c r="AU175" s="11" t="n"/>
      <c r="AV175" s="12" t="n"/>
      <c r="AW175" s="11" t="n"/>
      <c r="AX175" s="11" t="n"/>
      <c r="AY175" s="11" t="n"/>
      <c r="AZ175" s="11" t="n"/>
      <c r="BA175" s="12" t="n"/>
      <c r="BB175" s="11" t="n"/>
      <c r="BC175" s="11" t="n"/>
      <c r="BD175" s="11" t="n"/>
      <c r="BE175" s="11" t="n"/>
      <c r="BF175" s="12" t="n"/>
      <c r="BG175" s="11" t="n"/>
      <c r="BH175" s="11" t="n"/>
      <c r="BI175" s="11" t="n"/>
      <c r="BJ175" s="11" t="n"/>
      <c r="BK175" s="12" t="n"/>
      <c r="BL175" s="11" t="n"/>
      <c r="BM175" s="11" t="n"/>
      <c r="BN175" s="11" t="n"/>
      <c r="BO175" s="11" t="n"/>
      <c r="BP175" s="12" t="n"/>
      <c r="BQ175" s="11" t="n"/>
      <c r="BR175" s="11" t="n"/>
      <c r="BS175" s="11" t="n"/>
      <c r="BT175" s="11" t="n"/>
      <c r="BU175" s="12" t="n"/>
      <c r="BV175" s="11" t="n"/>
      <c r="BW175" s="11" t="n"/>
      <c r="BX175" s="11" t="n"/>
      <c r="BY175" s="11" t="n"/>
      <c r="BZ175" s="12" t="n"/>
      <c r="CA175" s="11" t="n"/>
      <c r="CB175" s="11" t="n"/>
      <c r="CC175" s="11" t="n"/>
      <c r="CD175" s="11" t="n"/>
      <c r="CE175" s="12" t="n"/>
      <c r="CF175" s="11" t="n"/>
      <c r="CG175" s="11" t="n"/>
      <c r="CH175" s="11" t="n"/>
      <c r="CI175" s="11" t="n"/>
      <c r="CJ175" s="12" t="n"/>
      <c r="CK175" s="11" t="n"/>
      <c r="CL175" s="11" t="n"/>
      <c r="CM175" s="11" t="n"/>
      <c r="CN175" s="11" t="n"/>
      <c r="CO175" s="12" t="n"/>
      <c r="CP175" s="11" t="n"/>
      <c r="CQ175" s="11" t="n"/>
      <c r="CR175" s="11" t="n"/>
      <c r="CS175" s="11" t="n"/>
      <c r="CT175" s="12" t="n"/>
      <c r="CU175" s="11" t="n"/>
      <c r="CV175" s="11" t="n"/>
      <c r="CW175" s="11" t="n"/>
      <c r="CX175" s="11" t="n"/>
      <c r="CY175" s="12" t="n"/>
    </row>
    <row r="176" hidden="1" outlineLevel="1">
      <c r="C176" s="57" t="inlineStr">
        <is>
          <t>Outros</t>
        </is>
      </c>
      <c r="D176" s="11" t="n"/>
      <c r="E176" s="11" t="n"/>
      <c r="F176" s="11" t="n"/>
      <c r="G176" s="11" t="n"/>
      <c r="H176" s="12" t="n"/>
      <c r="I176" s="11" t="n"/>
      <c r="J176" s="11" t="n"/>
      <c r="K176" s="11" t="n"/>
      <c r="L176" s="11" t="n"/>
      <c r="M176" s="12" t="n"/>
      <c r="N176" s="11" t="n"/>
      <c r="O176" s="11" t="n"/>
      <c r="P176" s="11" t="n"/>
      <c r="Q176" s="11" t="n"/>
      <c r="R176" s="12" t="n"/>
      <c r="S176" s="11" t="n"/>
      <c r="T176" s="11" t="n"/>
      <c r="U176" s="11" t="n"/>
      <c r="V176" s="11" t="n"/>
      <c r="W176" s="12" t="n"/>
      <c r="X176" s="11" t="n"/>
      <c r="Y176" s="11" t="n"/>
      <c r="Z176" s="11" t="n"/>
      <c r="AA176" s="11" t="n"/>
      <c r="AB176" s="12" t="n"/>
      <c r="AC176" s="11" t="n"/>
      <c r="AD176" s="11" t="n"/>
      <c r="AE176" s="11" t="n"/>
      <c r="AF176" s="11" t="n"/>
      <c r="AG176" s="12" t="n"/>
      <c r="AH176" s="11" t="n"/>
      <c r="AI176" s="11" t="n"/>
      <c r="AJ176" s="11" t="n"/>
      <c r="AK176" s="11" t="n"/>
      <c r="AL176" s="12" t="n"/>
      <c r="AM176" s="11" t="n"/>
      <c r="AN176" s="11" t="n"/>
      <c r="AO176" s="11" t="n"/>
      <c r="AP176" s="11" t="n"/>
      <c r="AQ176" s="12" t="n"/>
      <c r="AR176" s="11" t="n"/>
      <c r="AS176" s="11" t="n"/>
      <c r="AT176" s="11" t="n"/>
      <c r="AU176" s="11" t="n"/>
      <c r="AV176" s="12" t="n"/>
      <c r="AW176" s="11" t="n"/>
      <c r="AX176" s="11" t="n"/>
      <c r="AY176" s="11" t="n"/>
      <c r="AZ176" s="11" t="n"/>
      <c r="BA176" s="12" t="n"/>
      <c r="BB176" s="11" t="n"/>
      <c r="BC176" s="11" t="n"/>
      <c r="BD176" s="11" t="n"/>
      <c r="BE176" s="11" t="n"/>
      <c r="BF176" s="12" t="n"/>
      <c r="BG176" s="11" t="n"/>
      <c r="BH176" s="11" t="n"/>
      <c r="BI176" s="11" t="n"/>
      <c r="BJ176" s="11" t="n"/>
      <c r="BK176" s="12" t="n"/>
      <c r="BL176" s="11" t="n"/>
      <c r="BM176" s="11" t="n"/>
      <c r="BN176" s="11" t="n"/>
      <c r="BO176" s="11" t="n"/>
      <c r="BP176" s="12" t="n"/>
      <c r="BQ176" s="11" t="n"/>
      <c r="BR176" s="11" t="n"/>
      <c r="BS176" s="11" t="n"/>
      <c r="BT176" s="11" t="n"/>
      <c r="BU176" s="12" t="n"/>
      <c r="BV176" s="11" t="n"/>
      <c r="BW176" s="11" t="n"/>
      <c r="BX176" s="11" t="n"/>
      <c r="BY176" s="11" t="n"/>
      <c r="BZ176" s="12" t="n"/>
      <c r="CA176" s="11" t="n"/>
      <c r="CB176" s="11" t="n"/>
      <c r="CC176" s="11" t="n"/>
      <c r="CD176" s="11" t="n"/>
      <c r="CE176" s="12" t="n"/>
      <c r="CF176" s="11" t="n"/>
      <c r="CG176" s="11" t="n"/>
      <c r="CH176" s="11" t="n"/>
      <c r="CI176" s="11" t="n"/>
      <c r="CJ176" s="12" t="n"/>
      <c r="CK176" s="11" t="n"/>
      <c r="CL176" s="11" t="n"/>
      <c r="CM176" s="11" t="n"/>
      <c r="CN176" s="11" t="n"/>
      <c r="CO176" s="12" t="n"/>
      <c r="CP176" s="11" t="n"/>
      <c r="CQ176" s="11" t="n"/>
      <c r="CR176" s="11" t="n"/>
      <c r="CS176" s="11" t="n"/>
      <c r="CT176" s="12" t="n"/>
      <c r="CU176" s="11" t="n"/>
      <c r="CV176" s="11" t="n"/>
      <c r="CW176" s="11" t="n"/>
      <c r="CX176" s="11" t="n"/>
      <c r="CY176" s="12" t="n"/>
    </row>
    <row r="177" hidden="1" outlineLevel="1">
      <c r="C177" s="57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  <c r="AH177" s="12" t="n"/>
      <c r="AI177" s="12" t="n"/>
      <c r="AJ177" s="12" t="n"/>
      <c r="AK177" s="12" t="n"/>
      <c r="AL177" s="12" t="n"/>
      <c r="AM177" s="12" t="n"/>
      <c r="AN177" s="12" t="n"/>
      <c r="AO177" s="12" t="n"/>
      <c r="AP177" s="12" t="n"/>
      <c r="AQ177" s="12" t="n"/>
      <c r="AR177" s="12" t="n"/>
      <c r="AS177" s="12" t="n"/>
      <c r="AT177" s="12" t="n"/>
      <c r="AU177" s="12" t="n"/>
      <c r="AV177" s="12" t="n"/>
      <c r="AW177" s="12" t="n"/>
      <c r="AX177" s="12" t="n"/>
      <c r="AY177" s="12" t="n"/>
      <c r="AZ177" s="12" t="n"/>
      <c r="BA177" s="12" t="n"/>
      <c r="BB177" s="12" t="n"/>
      <c r="BC177" s="12" t="n"/>
      <c r="BD177" s="12" t="n"/>
      <c r="BE177" s="12" t="n"/>
      <c r="BF177" s="12" t="n"/>
      <c r="BG177" s="12" t="n"/>
      <c r="BH177" s="12" t="n"/>
      <c r="BI177" s="12" t="n"/>
      <c r="BJ177" s="12" t="n"/>
      <c r="BK177" s="12" t="n"/>
      <c r="BL177" s="12" t="n"/>
      <c r="BM177" s="12" t="n"/>
      <c r="BN177" s="12" t="n"/>
      <c r="BO177" s="12" t="n"/>
      <c r="BP177" s="12" t="n"/>
      <c r="BQ177" s="12" t="n"/>
      <c r="BR177" s="12" t="n"/>
      <c r="BS177" s="12" t="n"/>
      <c r="BT177" s="12" t="n"/>
      <c r="BU177" s="12" t="n"/>
      <c r="BV177" s="12" t="n"/>
      <c r="BW177" s="12" t="n"/>
      <c r="BX177" s="12" t="n"/>
      <c r="BY177" s="12" t="n"/>
      <c r="BZ177" s="12" t="n"/>
      <c r="CA177" s="12" t="n"/>
      <c r="CB177" s="12" t="n"/>
      <c r="CC177" s="12" t="n"/>
      <c r="CD177" s="12" t="n"/>
      <c r="CE177" s="12" t="n"/>
      <c r="CF177" s="12" t="n"/>
      <c r="CG177" s="12" t="n"/>
      <c r="CH177" s="12" t="n"/>
      <c r="CI177" s="12" t="n"/>
      <c r="CJ177" s="12" t="n"/>
      <c r="CK177" s="12" t="n"/>
      <c r="CL177" s="12" t="n"/>
      <c r="CM177" s="12" t="n"/>
      <c r="CN177" s="12" t="n"/>
      <c r="CO177" s="12" t="n"/>
      <c r="CP177" s="12" t="n"/>
      <c r="CQ177" s="12" t="n"/>
      <c r="CR177" s="12" t="n"/>
      <c r="CS177" s="12" t="n"/>
      <c r="CT177" s="12" t="n"/>
      <c r="CU177" s="12" t="n"/>
      <c r="CV177" s="12" t="n"/>
      <c r="CW177" s="12" t="n"/>
      <c r="CX177" s="12" t="n"/>
      <c r="CY177" s="12" t="n"/>
    </row>
    <row r="178" collapsed="1">
      <c r="C178" s="14" t="inlineStr">
        <is>
          <t>Current portion of long-term debt</t>
        </is>
      </c>
      <c r="D178" s="46" t="n"/>
      <c r="E178" s="46" t="n"/>
      <c r="F178" s="46" t="n"/>
      <c r="G178" s="46" t="n"/>
      <c r="H178" s="12" t="n"/>
      <c r="I178" s="46">
        <f>'Inputs (2)'!D32</f>
        <v>648.3722851</v>
      </c>
      <c r="J178" s="46">
        <f>'Inputs (2)'!E32</f>
        <v>830.52788741</v>
      </c>
      <c r="K178" s="46">
        <f>'Inputs (2)'!F32</f>
        <v>456.91694014</v>
      </c>
      <c r="L178" s="46">
        <f>'Inputs (2)'!G32</f>
        <v>404.72740512</v>
      </c>
      <c r="M178" s="12">
        <f>'Inputs (2)'!H32</f>
        <v>404.72740512</v>
      </c>
      <c r="N178" s="46">
        <f>'Inputs (2)'!I32</f>
        <v>248.22582164</v>
      </c>
      <c r="O178" s="46">
        <f>'Inputs (2)'!J32</f>
        <v>524.45827574</v>
      </c>
      <c r="P178" s="46">
        <f>'Inputs (2)'!K32</f>
        <v>559.5551054</v>
      </c>
      <c r="Q178" s="46">
        <f>'Inputs (2)'!L32</f>
        <v>401.25619901</v>
      </c>
      <c r="R178" s="12">
        <f>'Inputs (2)'!M32</f>
        <v>401.25619901</v>
      </c>
      <c r="S178" s="46">
        <f>'Inputs (2)'!N32</f>
        <v>406.69406886</v>
      </c>
      <c r="T178" s="46">
        <f>'Inputs (2)'!O32</f>
        <v>693.333</v>
      </c>
      <c r="U178" s="46">
        <f>'Inputs (2)'!P32</f>
        <v>509.272</v>
      </c>
      <c r="V178" s="46">
        <f>'Inputs (2)'!Q32</f>
        <v>339.192</v>
      </c>
      <c r="W178" s="12">
        <f>'Inputs (2)'!R32</f>
        <v>339.192</v>
      </c>
      <c r="X178" s="46">
        <f>'Inputs (2)'!S32</f>
        <v>412.691</v>
      </c>
      <c r="Y178" s="46">
        <f>'Inputs (2)'!T32</f>
        <v>328.864</v>
      </c>
      <c r="Z178" s="46">
        <f>'Inputs (2)'!U32</f>
        <v>654.38</v>
      </c>
      <c r="AA178" s="46">
        <f>'Inputs (2)'!V32</f>
        <v>249.33</v>
      </c>
      <c r="AB178" s="12">
        <f>'Inputs (2)'!W32</f>
        <v>249.33</v>
      </c>
      <c r="AC178" s="46">
        <f>'Inputs (2)'!X32</f>
        <v>378.228106</v>
      </c>
      <c r="AD178" s="46">
        <f>'Inputs (2)'!Y32</f>
        <v>288.392</v>
      </c>
      <c r="AE178" s="46">
        <f>'Inputs (2)'!Z32</f>
        <v>424.442</v>
      </c>
      <c r="AF178" s="46">
        <f>'Inputs (2)'!AA32</f>
        <v>311.442</v>
      </c>
      <c r="AG178" s="12">
        <f>'Inputs (2)'!AB32</f>
        <v>311.442</v>
      </c>
      <c r="AH178" s="12">
        <f>'Inputs (2)'!AC32</f>
        <v>383.255</v>
      </c>
      <c r="AI178" s="12">
        <f>'Inputs (2)'!AD32</f>
        <v>667.641</v>
      </c>
      <c r="AJ178" s="12">
        <f>AI178</f>
        <v>667.641</v>
      </c>
      <c r="AK178" s="12">
        <f>AJ178</f>
        <v>667.641</v>
      </c>
      <c r="AL178" s="12">
        <f>AK178</f>
        <v>667.641</v>
      </c>
      <c r="AM178" s="12">
        <f>AL178</f>
        <v>667.641</v>
      </c>
      <c r="AN178" s="12">
        <f>AM178</f>
        <v>667.641</v>
      </c>
      <c r="AO178" s="12">
        <f>AN178</f>
        <v>667.641</v>
      </c>
      <c r="AP178" s="12">
        <f>AO178</f>
        <v>667.641</v>
      </c>
      <c r="AQ178" s="12">
        <f>AP178</f>
        <v>667.641</v>
      </c>
      <c r="AR178" s="12">
        <f>AQ178</f>
        <v>667.641</v>
      </c>
      <c r="AS178" s="12">
        <f>AR178</f>
        <v>667.641</v>
      </c>
      <c r="AT178" s="12">
        <f>AS178</f>
        <v>667.641</v>
      </c>
      <c r="AU178" s="12">
        <f>AT178</f>
        <v>667.641</v>
      </c>
      <c r="AV178" s="12">
        <f>AU178</f>
        <v>667.641</v>
      </c>
      <c r="AW178" s="12">
        <f>AV178</f>
        <v>667.641</v>
      </c>
      <c r="AX178" s="12">
        <f>AW178</f>
        <v>667.641</v>
      </c>
      <c r="AY178" s="12">
        <f>AX178</f>
        <v>667.641</v>
      </c>
      <c r="AZ178" s="12">
        <f>AY178</f>
        <v>667.641</v>
      </c>
      <c r="BA178" s="12">
        <f>AZ178</f>
        <v>667.641</v>
      </c>
      <c r="BB178" s="12">
        <f>BA178</f>
        <v>667.641</v>
      </c>
      <c r="BC178" s="12">
        <f>BB178</f>
        <v>667.641</v>
      </c>
      <c r="BD178" s="12">
        <f>BC178</f>
        <v>667.641</v>
      </c>
      <c r="BE178" s="12">
        <f>BD178</f>
        <v>667.641</v>
      </c>
      <c r="BF178" s="12">
        <f>BE178</f>
        <v>667.641</v>
      </c>
      <c r="BG178" s="12" t="n"/>
      <c r="BH178" s="12" t="n"/>
      <c r="BI178" s="12" t="n"/>
      <c r="BJ178" s="12" t="n"/>
      <c r="BK178" s="12" t="n"/>
      <c r="BL178" s="12" t="n"/>
      <c r="BM178" s="12" t="n"/>
      <c r="BN178" s="12" t="n"/>
      <c r="BO178" s="12" t="n"/>
      <c r="BP178" s="12" t="n"/>
      <c r="BQ178" s="12" t="n"/>
      <c r="BR178" s="12" t="n"/>
      <c r="BS178" s="12" t="n"/>
      <c r="BT178" s="12" t="n"/>
      <c r="BU178" s="12" t="n"/>
      <c r="BV178" s="12" t="n"/>
      <c r="BW178" s="12" t="n"/>
      <c r="BX178" s="12" t="n"/>
      <c r="BY178" s="12" t="n"/>
      <c r="BZ178" s="12" t="n"/>
      <c r="CA178" s="12" t="n"/>
      <c r="CB178" s="12" t="n"/>
      <c r="CC178" s="12" t="n"/>
      <c r="CD178" s="12" t="n"/>
      <c r="CE178" s="12" t="n"/>
      <c r="CF178" s="12" t="n"/>
      <c r="CG178" s="12" t="n"/>
      <c r="CH178" s="12" t="n"/>
      <c r="CI178" s="12" t="n"/>
      <c r="CJ178" s="12" t="n"/>
      <c r="CK178" s="12" t="n"/>
      <c r="CL178" s="12" t="n"/>
      <c r="CM178" s="12" t="n"/>
      <c r="CN178" s="12" t="n"/>
      <c r="CO178" s="12" t="n"/>
      <c r="CP178" s="12" t="n"/>
      <c r="CQ178" s="12" t="n"/>
      <c r="CR178" s="12" t="n"/>
      <c r="CS178" s="12" t="n"/>
      <c r="CT178" s="12" t="n"/>
      <c r="CU178" s="12" t="n"/>
      <c r="CV178" s="12" t="n"/>
      <c r="CW178" s="12" t="n"/>
      <c r="CX178" s="12" t="n"/>
      <c r="CY178" s="12" t="n"/>
    </row>
    <row r="179">
      <c r="C179" s="14" t="inlineStr">
        <is>
          <t>Short term debt (Revolving credit facility)</t>
        </is>
      </c>
      <c r="D179" s="46" t="n"/>
      <c r="E179" s="46" t="n"/>
      <c r="F179" s="46" t="n"/>
      <c r="G179" s="46" t="n"/>
      <c r="H179" s="12" t="n"/>
      <c r="I179" s="46">
        <f>'Inputs (2)'!D33</f>
        <v>0</v>
      </c>
      <c r="J179" s="46">
        <f>'Inputs (2)'!E33</f>
        <v>0</v>
      </c>
      <c r="K179" s="46">
        <f>'Inputs (2)'!F33</f>
        <v>0</v>
      </c>
      <c r="L179" s="46">
        <f>'Inputs (2)'!G33</f>
        <v>0</v>
      </c>
      <c r="M179" s="12">
        <f>'Inputs (2)'!H33</f>
        <v>0</v>
      </c>
      <c r="N179" s="46">
        <f>'Inputs (2)'!I33</f>
        <v>0</v>
      </c>
      <c r="O179" s="46">
        <f>'Inputs (2)'!J33</f>
        <v>0</v>
      </c>
      <c r="P179" s="46">
        <f>'Inputs (2)'!K33</f>
        <v>0</v>
      </c>
      <c r="Q179" s="46">
        <f>'Inputs (2)'!L33</f>
        <v>0</v>
      </c>
      <c r="R179" s="12">
        <f>'Inputs (2)'!M33</f>
        <v>0</v>
      </c>
      <c r="S179" s="46">
        <f>'Inputs (2)'!N33</f>
        <v>0</v>
      </c>
      <c r="T179" s="46">
        <f>'Inputs (2)'!O33</f>
        <v>0</v>
      </c>
      <c r="U179" s="46">
        <f>'Inputs (2)'!P33</f>
        <v>0</v>
      </c>
      <c r="V179" s="46">
        <f>'Inputs (2)'!Q33</f>
        <v>0</v>
      </c>
      <c r="W179" s="12">
        <f>'Inputs (2)'!R33</f>
        <v>0</v>
      </c>
      <c r="X179" s="46">
        <f>'Inputs (2)'!S33</f>
        <v>0</v>
      </c>
      <c r="Y179" s="46">
        <f>'Inputs (2)'!T33</f>
        <v>0</v>
      </c>
      <c r="Z179" s="46">
        <f>'Inputs (2)'!U33</f>
        <v>0</v>
      </c>
      <c r="AA179" s="46">
        <f>'Inputs (2)'!V33</f>
        <v>0</v>
      </c>
      <c r="AB179" s="12">
        <f>'Inputs (2)'!W33</f>
        <v>0</v>
      </c>
      <c r="AC179" s="46">
        <f>'Inputs (2)'!X33</f>
        <v>0</v>
      </c>
      <c r="AD179" s="46">
        <f>'Inputs (2)'!Y33</f>
        <v>0</v>
      </c>
      <c r="AE179" s="46">
        <f>'Inputs (2)'!Z33</f>
        <v>0</v>
      </c>
      <c r="AF179" s="46">
        <f>'Inputs (2)'!AA33</f>
        <v>0</v>
      </c>
      <c r="AG179" s="12">
        <f>'Inputs (2)'!AB33</f>
        <v>0</v>
      </c>
      <c r="AH179" s="12">
        <f>'Inputs (2)'!AC33</f>
        <v>0</v>
      </c>
      <c r="AI179" s="12">
        <f>'Inputs (2)'!AD33</f>
        <v>0</v>
      </c>
      <c r="AJ179" s="12">
        <f>AI179</f>
        <v>0</v>
      </c>
      <c r="AK179" s="12">
        <f>AJ179</f>
        <v>0</v>
      </c>
      <c r="AL179" s="12">
        <f>AK179</f>
        <v>0</v>
      </c>
      <c r="AM179" s="12">
        <f>AL179</f>
        <v>0</v>
      </c>
      <c r="AN179" s="12">
        <f>AM179</f>
        <v>0</v>
      </c>
      <c r="AO179" s="12">
        <f>AN179</f>
        <v>0</v>
      </c>
      <c r="AP179" s="12">
        <f>AO179</f>
        <v>0</v>
      </c>
      <c r="AQ179" s="12">
        <f>AP179</f>
        <v>0</v>
      </c>
      <c r="AR179" s="12">
        <f>AQ179</f>
        <v>0</v>
      </c>
      <c r="AS179" s="12">
        <f>AR179</f>
        <v>0</v>
      </c>
      <c r="AT179" s="12">
        <f>AS179</f>
        <v>0</v>
      </c>
      <c r="AU179" s="12">
        <f>AT179</f>
        <v>0</v>
      </c>
      <c r="AV179" s="12">
        <f>AU179</f>
        <v>0</v>
      </c>
      <c r="AW179" s="12">
        <f>AV179</f>
        <v>0</v>
      </c>
      <c r="AX179" s="12">
        <f>AW179</f>
        <v>0</v>
      </c>
      <c r="AY179" s="12">
        <f>AX179</f>
        <v>0</v>
      </c>
      <c r="AZ179" s="12">
        <f>AY179</f>
        <v>0</v>
      </c>
      <c r="BA179" s="12">
        <f>AZ179</f>
        <v>0</v>
      </c>
      <c r="BB179" s="12">
        <f>BA179</f>
        <v>0</v>
      </c>
      <c r="BC179" s="12">
        <f>BB179</f>
        <v>0</v>
      </c>
      <c r="BD179" s="12">
        <f>BC179</f>
        <v>0</v>
      </c>
      <c r="BE179" s="12">
        <f>BD179</f>
        <v>0</v>
      </c>
      <c r="BF179" s="12">
        <f>BE179</f>
        <v>0</v>
      </c>
      <c r="BG179" s="12" t="n"/>
      <c r="BH179" s="12" t="n"/>
      <c r="BI179" s="12" t="n"/>
      <c r="BJ179" s="12" t="n"/>
      <c r="BK179" s="12" t="n"/>
      <c r="BL179" s="12" t="n"/>
      <c r="BM179" s="12" t="n"/>
      <c r="BN179" s="12" t="n"/>
      <c r="BO179" s="12" t="n"/>
      <c r="BP179" s="12" t="n"/>
      <c r="BQ179" s="12" t="n"/>
      <c r="BR179" s="12" t="n"/>
      <c r="BS179" s="12" t="n"/>
      <c r="BT179" s="12" t="n"/>
      <c r="BU179" s="12" t="n"/>
      <c r="BV179" s="12" t="n"/>
      <c r="BW179" s="12" t="n"/>
      <c r="BX179" s="12" t="n"/>
      <c r="BY179" s="12" t="n"/>
      <c r="BZ179" s="12" t="n"/>
      <c r="CA179" s="12" t="n"/>
      <c r="CB179" s="12" t="n"/>
      <c r="CC179" s="12" t="n"/>
      <c r="CD179" s="12" t="n"/>
      <c r="CE179" s="12" t="n"/>
      <c r="CF179" s="12" t="n"/>
      <c r="CG179" s="12" t="n"/>
      <c r="CH179" s="12" t="n"/>
      <c r="CI179" s="12" t="n"/>
      <c r="CJ179" s="12" t="n"/>
      <c r="CK179" s="12" t="n"/>
      <c r="CL179" s="12" t="n"/>
      <c r="CM179" s="12" t="n"/>
      <c r="CN179" s="12" t="n"/>
      <c r="CO179" s="12" t="n"/>
      <c r="CP179" s="12" t="n"/>
      <c r="CQ179" s="12" t="n"/>
      <c r="CR179" s="12" t="n"/>
      <c r="CS179" s="12" t="n"/>
      <c r="CT179" s="12" t="n"/>
      <c r="CU179" s="12" t="n"/>
      <c r="CV179" s="12" t="n"/>
      <c r="CW179" s="12" t="n"/>
      <c r="CX179" s="12" t="n"/>
      <c r="CY179" s="12" t="n"/>
    </row>
    <row r="180">
      <c r="C180" s="14" t="inlineStr">
        <is>
          <t>Short term operating leases</t>
        </is>
      </c>
      <c r="D180" s="46" t="n"/>
      <c r="E180" s="46" t="n"/>
      <c r="F180" s="46" t="n"/>
      <c r="G180" s="46" t="n"/>
      <c r="H180" s="12" t="n"/>
      <c r="I180" s="46">
        <f>'Inputs (2)'!D34</f>
        <v>106.47604073</v>
      </c>
      <c r="J180" s="46">
        <f>'Inputs (2)'!E34</f>
        <v>107.53912171</v>
      </c>
      <c r="K180" s="46">
        <f>'Inputs (2)'!F34</f>
        <v>102.09020266</v>
      </c>
      <c r="L180" s="46">
        <f>'Inputs (2)'!G34</f>
        <v>129.64438544</v>
      </c>
      <c r="M180" s="12">
        <f>'Inputs (2)'!H34</f>
        <v>129.64438544</v>
      </c>
      <c r="N180" s="46">
        <f>'Inputs (2)'!I34</f>
        <v>140.28839753</v>
      </c>
      <c r="O180" s="46">
        <f>'Inputs (2)'!J34</f>
        <v>150.37974573</v>
      </c>
      <c r="P180" s="46">
        <f>'Inputs (2)'!K34</f>
        <v>156.82602384</v>
      </c>
      <c r="Q180" s="46">
        <f>'Inputs (2)'!L34</f>
        <v>174.90125352</v>
      </c>
      <c r="R180" s="12">
        <f>'Inputs (2)'!M34</f>
        <v>174.90125352</v>
      </c>
      <c r="S180" s="46">
        <f>'Inputs (2)'!N34</f>
        <v>192.467104</v>
      </c>
      <c r="T180" s="46">
        <f>'Inputs (2)'!O34</f>
        <v>269.893</v>
      </c>
      <c r="U180" s="46">
        <f>'Inputs (2)'!P34</f>
        <v>263.101</v>
      </c>
      <c r="V180" s="46">
        <f>'Inputs (2)'!Q34</f>
        <v>272.067</v>
      </c>
      <c r="W180" s="12">
        <f>'Inputs (2)'!R34</f>
        <v>272.067</v>
      </c>
      <c r="X180" s="46">
        <f>'Inputs (2)'!S34</f>
        <v>277.296</v>
      </c>
      <c r="Y180" s="46">
        <f>'Inputs (2)'!T34</f>
        <v>280.827</v>
      </c>
      <c r="Z180" s="46">
        <f>'Inputs (2)'!U34</f>
        <v>288.153</v>
      </c>
      <c r="AA180" s="46">
        <f>'Inputs (2)'!V34</f>
        <v>290.854</v>
      </c>
      <c r="AB180" s="12">
        <f>'Inputs (2)'!W34</f>
        <v>290.854</v>
      </c>
      <c r="AC180" s="46">
        <f>'Inputs (2)'!X34</f>
        <v>310.350855</v>
      </c>
      <c r="AD180" s="46">
        <f>'Inputs (2)'!Y34</f>
        <v>304.045</v>
      </c>
      <c r="AE180" s="46">
        <f>'Inputs (2)'!Z34</f>
        <v>313.074</v>
      </c>
      <c r="AF180" s="46">
        <f>'Inputs (2)'!AA34</f>
        <v>318.732</v>
      </c>
      <c r="AG180" s="12">
        <f>'Inputs (2)'!AB34</f>
        <v>318.732</v>
      </c>
      <c r="AH180" s="12">
        <f>'Inputs (2)'!AC34</f>
        <v>308.319</v>
      </c>
      <c r="AI180" s="12">
        <f>'Inputs (2)'!AD34</f>
        <v>319.569</v>
      </c>
      <c r="AJ180" s="12">
        <f>AI180</f>
        <v>319.569</v>
      </c>
      <c r="AK180" s="12">
        <f>AJ180</f>
        <v>319.569</v>
      </c>
      <c r="AL180" s="12">
        <f>AK180</f>
        <v>319.569</v>
      </c>
      <c r="AM180" s="12">
        <f>AL180</f>
        <v>319.569</v>
      </c>
      <c r="AN180" s="12">
        <f>AM180</f>
        <v>319.569</v>
      </c>
      <c r="AO180" s="12">
        <f>AN180</f>
        <v>319.569</v>
      </c>
      <c r="AP180" s="12">
        <f>AO180</f>
        <v>319.569</v>
      </c>
      <c r="AQ180" s="12">
        <f>AP180</f>
        <v>319.569</v>
      </c>
      <c r="AR180" s="12">
        <f>AQ180</f>
        <v>319.569</v>
      </c>
      <c r="AS180" s="12">
        <f>AR180</f>
        <v>319.569</v>
      </c>
      <c r="AT180" s="12">
        <f>AS180</f>
        <v>319.569</v>
      </c>
      <c r="AU180" s="12">
        <f>AT180</f>
        <v>319.569</v>
      </c>
      <c r="AV180" s="12">
        <f>AU180</f>
        <v>319.569</v>
      </c>
      <c r="AW180" s="12">
        <f>AV180</f>
        <v>319.569</v>
      </c>
      <c r="AX180" s="12">
        <f>AW180</f>
        <v>319.569</v>
      </c>
      <c r="AY180" s="12">
        <f>AX180</f>
        <v>319.569</v>
      </c>
      <c r="AZ180" s="12">
        <f>AY180</f>
        <v>319.569</v>
      </c>
      <c r="BA180" s="12">
        <f>AZ180</f>
        <v>319.569</v>
      </c>
      <c r="BB180" s="12">
        <f>BA180</f>
        <v>319.569</v>
      </c>
      <c r="BC180" s="12">
        <f>BB180</f>
        <v>319.569</v>
      </c>
      <c r="BD180" s="12">
        <f>BC180</f>
        <v>319.569</v>
      </c>
      <c r="BE180" s="12">
        <f>BD180</f>
        <v>319.569</v>
      </c>
      <c r="BF180" s="12">
        <f>BE180</f>
        <v>319.569</v>
      </c>
      <c r="BG180" s="12" t="n"/>
      <c r="BH180" s="12" t="n"/>
      <c r="BI180" s="12" t="n"/>
      <c r="BJ180" s="12" t="n"/>
      <c r="BK180" s="12" t="n"/>
      <c r="BL180" s="12" t="n"/>
      <c r="BM180" s="12" t="n"/>
      <c r="BN180" s="12" t="n"/>
      <c r="BO180" s="12" t="n"/>
      <c r="BP180" s="12" t="n"/>
      <c r="BQ180" s="12" t="n"/>
      <c r="BR180" s="12" t="n"/>
      <c r="BS180" s="12" t="n"/>
      <c r="BT180" s="12" t="n"/>
      <c r="BU180" s="12" t="n"/>
      <c r="BV180" s="12" t="n"/>
      <c r="BW180" s="12" t="n"/>
      <c r="BX180" s="12" t="n"/>
      <c r="BY180" s="12" t="n"/>
      <c r="BZ180" s="12" t="n"/>
      <c r="CA180" s="12" t="n"/>
      <c r="CB180" s="12" t="n"/>
      <c r="CC180" s="12" t="n"/>
      <c r="CD180" s="12" t="n"/>
      <c r="CE180" s="12" t="n"/>
      <c r="CF180" s="12" t="n"/>
      <c r="CG180" s="12" t="n"/>
      <c r="CH180" s="12" t="n"/>
      <c r="CI180" s="12" t="n"/>
      <c r="CJ180" s="12" t="n"/>
      <c r="CK180" s="12" t="n"/>
      <c r="CL180" s="12" t="n"/>
      <c r="CM180" s="12" t="n"/>
      <c r="CN180" s="12" t="n"/>
      <c r="CO180" s="12" t="n"/>
      <c r="CP180" s="12" t="n"/>
      <c r="CQ180" s="12" t="n"/>
      <c r="CR180" s="12" t="n"/>
      <c r="CS180" s="12" t="n"/>
      <c r="CT180" s="12" t="n"/>
      <c r="CU180" s="12" t="n"/>
      <c r="CV180" s="12" t="n"/>
      <c r="CW180" s="12" t="n"/>
      <c r="CX180" s="12" t="n"/>
      <c r="CY180" s="12" t="n"/>
    </row>
    <row r="181" hidden="1" outlineLevel="1">
      <c r="C181" s="59" t="inlineStr">
        <is>
          <t>%(Var.)</t>
        </is>
      </c>
      <c r="D181" s="12" t="n"/>
      <c r="E181" s="40" t="n"/>
      <c r="F181" s="40" t="n"/>
      <c r="G181" s="40" t="n"/>
      <c r="H181" s="12" t="n"/>
      <c r="I181" s="40" t="str">
        <f>""</f>
        <v/>
      </c>
      <c r="J181" s="40">
        <f>IFERROR(IF(I180=0,"",J180/I180-1),"")</f>
        <v>0.00998422718117165</v>
      </c>
      <c r="K181" s="40">
        <f>IFERROR(IF(J180=0,"",K180/J180-1),"")</f>
        <v>-0.050669179395886</v>
      </c>
      <c r="L181" s="40">
        <f>IFERROR(IF(K180=0,"",L180/K180-1),"")</f>
        <v>0.26990036322845</v>
      </c>
      <c r="M181" s="12">
        <f>IF(L180=0,"",M180/L180-1)</f>
        <v>0</v>
      </c>
      <c r="N181" s="40">
        <f>IFERROR(IF(M180=0,"",N180/M180-1),"")</f>
        <v>0.0821016047388037</v>
      </c>
      <c r="O181" s="40">
        <f>IFERROR(IF(N180=0,"",O180/N180-1),"")</f>
        <v>0.0719328781116202</v>
      </c>
      <c r="P181" s="40">
        <f>IFERROR(IF(O180=0,"",P180/O180-1),"")</f>
        <v>0.0428666645146083</v>
      </c>
      <c r="Q181" s="40">
        <f>IFERROR(IF(P180=0,"",Q180/P180-1),"")</f>
        <v>0.115256570544957</v>
      </c>
      <c r="R181" s="12">
        <f>IF(Q180=0,"",R180/Q180-1)</f>
        <v>0</v>
      </c>
      <c r="S181" s="40">
        <f>IFERROR(IF(R180=0,"",S180/R180-1),"")</f>
        <v>0.100432959321194</v>
      </c>
      <c r="T181" s="40">
        <f>IFERROR(IF(S180=0,"",T180/S180-1),"")</f>
        <v>0.402281191906956</v>
      </c>
      <c r="U181" s="40">
        <f>IFERROR(IF(T180=0,"",U180/T180-1),"")</f>
        <v>-0.0251655285613186</v>
      </c>
      <c r="V181" s="40">
        <f>IFERROR(IF(U180=0,"",V180/U180-1),"")</f>
        <v>0.0340781676998567</v>
      </c>
      <c r="W181" s="12">
        <f>IF(V180=0,"",W180/V180-1)</f>
        <v>0</v>
      </c>
      <c r="X181" s="40">
        <f>IFERROR(IF(W180=0,"",X180/W180-1),"")</f>
        <v>0.0192195304833001</v>
      </c>
      <c r="Y181" s="40">
        <f>IFERROR(IF(X180=0,"",Y180/X180-1),"")</f>
        <v>0.0127336853037909</v>
      </c>
      <c r="Z181" s="40">
        <f>IFERROR(IF(Y180=0,"",Z180/Y180-1),"")</f>
        <v>0.0260872352017436</v>
      </c>
      <c r="AA181" s="40">
        <f>IFERROR(IF(Z180=0,"",AA180/Z180-1),"")</f>
        <v>0.00937349255430253</v>
      </c>
      <c r="AB181" s="12">
        <f>IF(AA180=0,"",AB180/AA180-1)</f>
        <v>0</v>
      </c>
      <c r="AC181" s="40">
        <f>IFERROR(IF(AB180=0,"",AC180/AB180-1),"")</f>
        <v>0.0670331334621492</v>
      </c>
      <c r="AD181" s="40">
        <f>IFERROR(IF(AC180=0,"",AD180/AC180-1),"")</f>
        <v>-0.0203184714925304</v>
      </c>
      <c r="AE181" s="40">
        <f>IFERROR(IF(AD180=0,"",AE180/AD180-1),"")</f>
        <v>0.0296962620664705</v>
      </c>
      <c r="AF181" s="11">
        <f>IFERROR(IF(AE180=0,"",AF180/AE180-1),"")</f>
        <v>0.0180724046072176</v>
      </c>
      <c r="AG181" s="12">
        <f>IF(AF180=0,"",AG180/AF180-1)</f>
        <v>0</v>
      </c>
      <c r="AH181" s="11">
        <f>IFERROR(IF(AG180=0,"",AH180/AG180-1),"")</f>
        <v>-0.0326700801927639</v>
      </c>
      <c r="AI181" s="11">
        <f>IFERROR(IF(AH180=0,"",AI180/AH180-1),"")</f>
        <v>0.0364881826938983</v>
      </c>
      <c r="AJ181" s="11">
        <f>IFERROR(IF(AI180=0,"",AJ180/AI180-1),"")</f>
        <v>0</v>
      </c>
      <c r="AK181" s="11">
        <f>IFERROR(IF(AJ180=0,"",AK180/AJ180-1),"")</f>
        <v>0</v>
      </c>
      <c r="AL181" s="12">
        <f>IFERROR(IF(AK180=0,"",AL180/AK180-1),"")</f>
        <v>0</v>
      </c>
      <c r="AM181" s="11">
        <f>IFERROR(IF(AL180=0,"",AM180/AL180-1),"")</f>
        <v>0</v>
      </c>
      <c r="AN181" s="11">
        <f>IFERROR(IF(AM180=0,"",AN180/AM180-1),"")</f>
        <v>0</v>
      </c>
      <c r="AO181" s="11">
        <f>IFERROR(IF(AN180=0,"",AO180/AN180-1),"")</f>
        <v>0</v>
      </c>
      <c r="AP181" s="11">
        <f>IFERROR(IF(AO180=0,"",AP180/AO180-1),"")</f>
        <v>0</v>
      </c>
      <c r="AQ181" s="12">
        <f>IFERROR(IF(AP180=0,"",AQ180/AP180-1),"")</f>
        <v>0</v>
      </c>
      <c r="AR181" s="11">
        <f>IFERROR(IF(AQ180=0,"",AR180/AQ180-1),"")</f>
        <v>0</v>
      </c>
      <c r="AS181" s="11">
        <f>IFERROR(IF(AR180=0,"",AS180/AR180-1),"")</f>
        <v>0</v>
      </c>
      <c r="AT181" s="11">
        <f>IFERROR(IF(AS180=0,"",AT180/AS180-1),"")</f>
        <v>0</v>
      </c>
      <c r="AU181" s="11">
        <f>IFERROR(IF(AT180=0,"",AU180/AT180-1),"")</f>
        <v>0</v>
      </c>
      <c r="AV181" s="12">
        <f>IFERROR(IF(AU180=0,"",AV180/AU180-1),"")</f>
        <v>0</v>
      </c>
      <c r="AW181" s="11">
        <f>IFERROR(IF(AV180=0,"",AW180/AV180-1),"")</f>
        <v>0</v>
      </c>
      <c r="AX181" s="11">
        <f>IFERROR(IF(AW180=0,"",AX180/AW180-1),"")</f>
        <v>0</v>
      </c>
      <c r="AY181" s="11">
        <f>IFERROR(IF(AX180=0,"",AY180/AX180-1),"")</f>
        <v>0</v>
      </c>
      <c r="AZ181" s="11">
        <f>IFERROR(IF(AY180=0,"",AZ180/AY180-1),"")</f>
        <v>0</v>
      </c>
      <c r="BA181" s="12">
        <f>IFERROR(IF(AZ180=0,"",BA180/AZ180-1),"")</f>
        <v>0</v>
      </c>
      <c r="BB181" s="11">
        <f>IFERROR(IF(BA180=0,"",BB180/BA180-1),"")</f>
        <v>0</v>
      </c>
      <c r="BC181" s="11">
        <f>IFERROR(IF(BB180=0,"",BC180/BB180-1),"")</f>
        <v>0</v>
      </c>
      <c r="BD181" s="11">
        <f>IFERROR(IF(BC180=0,"",BD180/BC180-1),"")</f>
        <v>0</v>
      </c>
      <c r="BE181" s="11">
        <f>IFERROR(IF(BD180=0,"",BE180/BD180-1),"")</f>
        <v>0</v>
      </c>
      <c r="BF181" s="12">
        <f>IFERROR(IF(BE180=0,"",BF180/BE180-1),"")</f>
        <v>0</v>
      </c>
      <c r="BG181" s="11" t="n"/>
      <c r="BH181" s="11" t="n"/>
      <c r="BI181" s="11" t="n"/>
      <c r="BJ181" s="11" t="n"/>
      <c r="BK181" s="12" t="n"/>
      <c r="BL181" s="11" t="n"/>
      <c r="BM181" s="11" t="n"/>
      <c r="BN181" s="11" t="n"/>
      <c r="BO181" s="11" t="n"/>
      <c r="BP181" s="12" t="n"/>
      <c r="BQ181" s="11" t="n"/>
      <c r="BR181" s="11" t="n"/>
      <c r="BS181" s="11" t="n"/>
      <c r="BT181" s="11" t="n"/>
      <c r="BU181" s="12" t="n"/>
      <c r="BV181" s="11" t="n"/>
      <c r="BW181" s="11" t="n"/>
      <c r="BX181" s="11" t="n"/>
      <c r="BY181" s="11" t="n"/>
      <c r="BZ181" s="12" t="n"/>
      <c r="CA181" s="11" t="n"/>
      <c r="CB181" s="11" t="n"/>
      <c r="CC181" s="11" t="n"/>
      <c r="CD181" s="11" t="n"/>
      <c r="CE181" s="12" t="n"/>
      <c r="CF181" s="11" t="n"/>
      <c r="CG181" s="11" t="n"/>
      <c r="CH181" s="11" t="n"/>
      <c r="CI181" s="11" t="n"/>
      <c r="CJ181" s="12" t="n"/>
      <c r="CK181" s="11" t="n"/>
      <c r="CL181" s="11" t="n"/>
      <c r="CM181" s="11" t="n"/>
      <c r="CN181" s="11" t="n"/>
      <c r="CO181" s="12" t="n"/>
      <c r="CP181" s="11" t="n"/>
      <c r="CQ181" s="11" t="n"/>
      <c r="CR181" s="11" t="n"/>
      <c r="CS181" s="11" t="n"/>
      <c r="CT181" s="12" t="n"/>
      <c r="CU181" s="11" t="n"/>
      <c r="CV181" s="11" t="n"/>
      <c r="CW181" s="11" t="n"/>
      <c r="CX181" s="11" t="n"/>
      <c r="CY181" s="12" t="n"/>
    </row>
    <row r="182" hidden="1" outlineLevel="1">
      <c r="C182" s="57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  <c r="AA182" s="12" t="n"/>
      <c r="AB182" s="12" t="n"/>
      <c r="AC182" s="12" t="n"/>
      <c r="AD182" s="12" t="n"/>
      <c r="AE182" s="12" t="n"/>
      <c r="AF182" s="12" t="n"/>
      <c r="AG182" s="12" t="n"/>
      <c r="AH182" s="12" t="n"/>
      <c r="AI182" s="12" t="n"/>
      <c r="AJ182" s="12" t="n"/>
      <c r="AK182" s="12" t="n"/>
      <c r="AL182" s="12" t="n"/>
      <c r="AM182" s="12" t="n"/>
      <c r="AN182" s="12" t="n"/>
      <c r="AO182" s="12" t="n"/>
      <c r="AP182" s="12" t="n"/>
      <c r="AQ182" s="12" t="n"/>
      <c r="AR182" s="12" t="n"/>
      <c r="AS182" s="12" t="n"/>
      <c r="AT182" s="12" t="n"/>
      <c r="AU182" s="12" t="n"/>
      <c r="AV182" s="12" t="n"/>
      <c r="AW182" s="12" t="n"/>
      <c r="AX182" s="12" t="n"/>
      <c r="AY182" s="12" t="n"/>
      <c r="AZ182" s="12" t="n"/>
      <c r="BA182" s="12" t="n"/>
      <c r="BB182" s="12" t="n"/>
      <c r="BC182" s="12" t="n"/>
      <c r="BD182" s="12" t="n"/>
      <c r="BE182" s="12" t="n"/>
      <c r="BF182" s="12" t="n"/>
      <c r="BG182" s="12" t="n"/>
      <c r="BH182" s="12" t="n"/>
      <c r="BI182" s="12" t="n"/>
      <c r="BJ182" s="12" t="n"/>
      <c r="BK182" s="12" t="n"/>
      <c r="BL182" s="12" t="n"/>
      <c r="BM182" s="12" t="n"/>
      <c r="BN182" s="12" t="n"/>
      <c r="BO182" s="12" t="n"/>
      <c r="BP182" s="12" t="n"/>
      <c r="BQ182" s="12" t="n"/>
      <c r="BR182" s="12" t="n"/>
      <c r="BS182" s="12" t="n"/>
      <c r="BT182" s="12" t="n"/>
      <c r="BU182" s="12" t="n"/>
      <c r="BV182" s="12" t="n"/>
      <c r="BW182" s="12" t="n"/>
      <c r="BX182" s="12" t="n"/>
      <c r="BY182" s="12" t="n"/>
      <c r="BZ182" s="12" t="n"/>
      <c r="CA182" s="12" t="n"/>
      <c r="CB182" s="12" t="n"/>
      <c r="CC182" s="12" t="n"/>
      <c r="CD182" s="12" t="n"/>
      <c r="CE182" s="12" t="n"/>
      <c r="CF182" s="12" t="n"/>
      <c r="CG182" s="12" t="n"/>
      <c r="CH182" s="12" t="n"/>
      <c r="CI182" s="12" t="n"/>
      <c r="CJ182" s="12" t="n"/>
      <c r="CK182" s="12" t="n"/>
      <c r="CL182" s="12" t="n"/>
      <c r="CM182" s="12" t="n"/>
      <c r="CN182" s="12" t="n"/>
      <c r="CO182" s="12" t="n"/>
      <c r="CP182" s="12" t="n"/>
      <c r="CQ182" s="12" t="n"/>
      <c r="CR182" s="12" t="n"/>
      <c r="CS182" s="12" t="n"/>
      <c r="CT182" s="12" t="n"/>
      <c r="CU182" s="12" t="n"/>
      <c r="CV182" s="12" t="n"/>
      <c r="CW182" s="12" t="n"/>
      <c r="CX182" s="12" t="n"/>
      <c r="CY182" s="12" t="n"/>
    </row>
    <row r="183" collapsed="1">
      <c r="C183" s="14" t="inlineStr">
        <is>
          <t>Long term debt</t>
        </is>
      </c>
      <c r="D183" s="46" t="n"/>
      <c r="E183" s="46" t="n"/>
      <c r="F183" s="46" t="n"/>
      <c r="G183" s="46" t="n"/>
      <c r="H183" s="12" t="n"/>
      <c r="I183" s="46">
        <f>'Inputs (2)'!D35</f>
        <v>1351.08479863</v>
      </c>
      <c r="J183" s="46">
        <f>'Inputs (2)'!E35</f>
        <v>1009.350639</v>
      </c>
      <c r="K183" s="46">
        <f>'Inputs (2)'!F35</f>
        <v>2017.99351849</v>
      </c>
      <c r="L183" s="46">
        <f>'Inputs (2)'!G35</f>
        <v>1868.07341868</v>
      </c>
      <c r="M183" s="12">
        <f>'Inputs (2)'!H35</f>
        <v>1868.07341868</v>
      </c>
      <c r="N183" s="46">
        <f>'Inputs (2)'!I35</f>
        <v>1861.91080126</v>
      </c>
      <c r="O183" s="46">
        <f>'Inputs (2)'!J35</f>
        <v>2371.41405674</v>
      </c>
      <c r="P183" s="46">
        <f>'Inputs (2)'!K35</f>
        <v>2372.72832122</v>
      </c>
      <c r="Q183" s="46">
        <f>'Inputs (2)'!L35</f>
        <v>2475.24283589</v>
      </c>
      <c r="R183" s="12">
        <f>'Inputs (2)'!M35</f>
        <v>2475.24283589</v>
      </c>
      <c r="S183" s="46">
        <f>'Inputs (2)'!N35</f>
        <v>2452.94503181</v>
      </c>
      <c r="T183" s="46">
        <f>'Inputs (2)'!O35</f>
        <v>2518.793</v>
      </c>
      <c r="U183" s="46">
        <f>'Inputs (2)'!P35</f>
        <v>2576.962</v>
      </c>
      <c r="V183" s="46">
        <f>'Inputs (2)'!Q35</f>
        <v>2868.054</v>
      </c>
      <c r="W183" s="12">
        <f>'Inputs (2)'!R35</f>
        <v>2868.054</v>
      </c>
      <c r="X183" s="46">
        <f>'Inputs (2)'!S35</f>
        <v>2819.657</v>
      </c>
      <c r="Y183" s="46">
        <f>'Inputs (2)'!T35</f>
        <v>3812.108</v>
      </c>
      <c r="Z183" s="46">
        <f>'Inputs (2)'!U35</f>
        <v>3555.55</v>
      </c>
      <c r="AA183" s="46">
        <f>'Inputs (2)'!V35</f>
        <v>4200.124</v>
      </c>
      <c r="AB183" s="12">
        <f>'Inputs (2)'!W35</f>
        <v>4200.124</v>
      </c>
      <c r="AC183" s="46">
        <f>'Inputs (2)'!X35</f>
        <v>4186.740699</v>
      </c>
      <c r="AD183" s="46">
        <f>'Inputs (2)'!Y35</f>
        <v>4222.39</v>
      </c>
      <c r="AE183" s="46">
        <f>'Inputs (2)'!Z35</f>
        <v>4236.285</v>
      </c>
      <c r="AF183" s="46">
        <f>'Inputs (2)'!AA35</f>
        <v>4146.397</v>
      </c>
      <c r="AG183" s="12">
        <f>'Inputs (2)'!AB35</f>
        <v>4146.397</v>
      </c>
      <c r="AH183" s="12">
        <f>'Inputs (2)'!AC35</f>
        <v>4160.239</v>
      </c>
      <c r="AI183" s="12">
        <f>'Inputs (2)'!AD35</f>
        <v>3792.502</v>
      </c>
      <c r="AJ183" s="12">
        <f>AJ189</f>
        <v>3792.502</v>
      </c>
      <c r="AK183" s="12">
        <f>AK189</f>
        <v>3792.502</v>
      </c>
      <c r="AL183" s="12">
        <f>AK183</f>
        <v>3792.502</v>
      </c>
      <c r="AM183" s="12">
        <f>AM189</f>
        <v>3792.502</v>
      </c>
      <c r="AN183" s="12">
        <f>AN189</f>
        <v>3792.502</v>
      </c>
      <c r="AO183" s="12">
        <f>AO189</f>
        <v>3792.502</v>
      </c>
      <c r="AP183" s="12">
        <f>AP189</f>
        <v>3792.502</v>
      </c>
      <c r="AQ183" s="12">
        <f>AP183</f>
        <v>3792.502</v>
      </c>
      <c r="AR183" s="12">
        <f>AR189</f>
        <v>3792.502</v>
      </c>
      <c r="AS183" s="12">
        <f>AS189</f>
        <v>3792.502</v>
      </c>
      <c r="AT183" s="12">
        <f>AT189</f>
        <v>3792.502</v>
      </c>
      <c r="AU183" s="12">
        <f>AU189</f>
        <v>3792.502</v>
      </c>
      <c r="AV183" s="12">
        <f>AU183</f>
        <v>3792.502</v>
      </c>
      <c r="AW183" s="12">
        <f>AW189</f>
        <v>3792.502</v>
      </c>
      <c r="AX183" s="12">
        <f>AX189</f>
        <v>3792.502</v>
      </c>
      <c r="AY183" s="12">
        <f>AY189</f>
        <v>3792.502</v>
      </c>
      <c r="AZ183" s="12">
        <f>AZ189</f>
        <v>3792.502</v>
      </c>
      <c r="BA183" s="12">
        <f>AZ183</f>
        <v>3792.502</v>
      </c>
      <c r="BB183" s="12">
        <f>BB189</f>
        <v>3792.502</v>
      </c>
      <c r="BC183" s="12">
        <f>BC189</f>
        <v>3792.502</v>
      </c>
      <c r="BD183" s="12">
        <f>BD189</f>
        <v>3792.502</v>
      </c>
      <c r="BE183" s="12">
        <f>BE189</f>
        <v>3792.502</v>
      </c>
      <c r="BF183" s="12">
        <f>BE183</f>
        <v>3792.502</v>
      </c>
      <c r="BG183" s="12" t="n"/>
      <c r="BH183" s="12" t="n"/>
      <c r="BI183" s="12" t="n"/>
      <c r="BJ183" s="12" t="n"/>
      <c r="BK183" s="12" t="n"/>
      <c r="BL183" s="12" t="n"/>
      <c r="BM183" s="12" t="n"/>
      <c r="BN183" s="12" t="n"/>
      <c r="BO183" s="12" t="n"/>
      <c r="BP183" s="12" t="n"/>
      <c r="BQ183" s="12" t="n"/>
      <c r="BR183" s="12" t="n"/>
      <c r="BS183" s="12" t="n"/>
      <c r="BT183" s="12" t="n"/>
      <c r="BU183" s="12" t="n"/>
      <c r="BV183" s="12" t="n"/>
      <c r="BW183" s="12" t="n"/>
      <c r="BX183" s="12" t="n"/>
      <c r="BY183" s="12" t="n"/>
      <c r="BZ183" s="12" t="n"/>
      <c r="CA183" s="12" t="n"/>
      <c r="CB183" s="12" t="n"/>
      <c r="CC183" s="12" t="n"/>
      <c r="CD183" s="12" t="n"/>
      <c r="CE183" s="12" t="n"/>
      <c r="CF183" s="12" t="n"/>
      <c r="CG183" s="12" t="n"/>
      <c r="CH183" s="12" t="n"/>
      <c r="CI183" s="12" t="n"/>
      <c r="CJ183" s="12" t="n"/>
      <c r="CK183" s="12" t="n"/>
      <c r="CL183" s="12" t="n"/>
      <c r="CM183" s="12" t="n"/>
      <c r="CN183" s="12" t="n"/>
      <c r="CO183" s="12" t="n"/>
      <c r="CP183" s="12" t="n"/>
      <c r="CQ183" s="12" t="n"/>
      <c r="CR183" s="12" t="n"/>
      <c r="CS183" s="12" t="n"/>
      <c r="CT183" s="12" t="n"/>
      <c r="CU183" s="12" t="n"/>
      <c r="CV183" s="12" t="n"/>
      <c r="CW183" s="12" t="n"/>
      <c r="CX183" s="12" t="n"/>
      <c r="CY183" s="12" t="n"/>
    </row>
    <row r="184" hidden="1" outlineLevel="1">
      <c r="C184" s="57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  <c r="AA184" s="12" t="n"/>
      <c r="AB184" s="12" t="n"/>
      <c r="AC184" s="12" t="n"/>
      <c r="AD184" s="12" t="n"/>
      <c r="AE184" s="12" t="n"/>
      <c r="AF184" s="12" t="n"/>
      <c r="AG184" s="12" t="n"/>
      <c r="AH184" s="12" t="n"/>
      <c r="AI184" s="12" t="n"/>
      <c r="AJ184" s="12" t="n"/>
      <c r="AK184" s="12" t="n"/>
      <c r="AL184" s="12" t="n"/>
      <c r="AM184" s="12" t="n"/>
      <c r="AN184" s="12" t="n"/>
      <c r="AO184" s="12" t="n"/>
      <c r="AP184" s="12" t="n"/>
      <c r="AQ184" s="12" t="n"/>
      <c r="AR184" s="12" t="n"/>
      <c r="AS184" s="12" t="n"/>
      <c r="AT184" s="12" t="n"/>
      <c r="AU184" s="12" t="n"/>
      <c r="AV184" s="12" t="n"/>
      <c r="AW184" s="12" t="n"/>
      <c r="AX184" s="12" t="n"/>
      <c r="AY184" s="12" t="n"/>
      <c r="AZ184" s="12" t="n"/>
      <c r="BA184" s="12" t="n"/>
      <c r="BB184" s="12" t="n"/>
      <c r="BC184" s="12" t="n"/>
      <c r="BD184" s="12" t="n"/>
      <c r="BE184" s="12" t="n"/>
      <c r="BF184" s="12" t="n"/>
      <c r="BG184" s="12" t="n"/>
      <c r="BH184" s="12" t="n"/>
      <c r="BI184" s="12" t="n"/>
      <c r="BJ184" s="12" t="n"/>
      <c r="BK184" s="12" t="n"/>
      <c r="BL184" s="12" t="n"/>
      <c r="BM184" s="12" t="n"/>
      <c r="BN184" s="12" t="n"/>
      <c r="BO184" s="12" t="n"/>
      <c r="BP184" s="12" t="n"/>
      <c r="BQ184" s="12" t="n"/>
      <c r="BR184" s="12" t="n"/>
      <c r="BS184" s="12" t="n"/>
      <c r="BT184" s="12" t="n"/>
      <c r="BU184" s="12" t="n"/>
      <c r="BV184" s="12" t="n"/>
      <c r="BW184" s="12" t="n"/>
      <c r="BX184" s="12" t="n"/>
      <c r="BY184" s="12" t="n"/>
      <c r="BZ184" s="12" t="n"/>
      <c r="CA184" s="12" t="n"/>
      <c r="CB184" s="12" t="n"/>
      <c r="CC184" s="12" t="n"/>
      <c r="CD184" s="12" t="n"/>
      <c r="CE184" s="12" t="n"/>
      <c r="CF184" s="12" t="n"/>
      <c r="CG184" s="12" t="n"/>
      <c r="CH184" s="12" t="n"/>
      <c r="CI184" s="12" t="n"/>
      <c r="CJ184" s="12" t="n"/>
      <c r="CK184" s="12" t="n"/>
      <c r="CL184" s="12" t="n"/>
      <c r="CM184" s="12" t="n"/>
      <c r="CN184" s="12" t="n"/>
      <c r="CO184" s="12" t="n"/>
      <c r="CP184" s="12" t="n"/>
      <c r="CQ184" s="12" t="n"/>
      <c r="CR184" s="12" t="n"/>
      <c r="CS184" s="12" t="n"/>
      <c r="CT184" s="12" t="n"/>
      <c r="CU184" s="12" t="n"/>
      <c r="CV184" s="12" t="n"/>
      <c r="CW184" s="12" t="n"/>
      <c r="CX184" s="12" t="n"/>
      <c r="CY184" s="12" t="n"/>
    </row>
    <row r="185" hidden="1" outlineLevel="1">
      <c r="C185" s="57" t="inlineStr">
        <is>
          <t>Current portion of LTD</t>
        </is>
      </c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  <c r="Z185" s="12" t="n"/>
      <c r="AA185" s="12" t="n"/>
      <c r="AB185" s="12" t="n"/>
      <c r="AC185" s="12" t="n"/>
      <c r="AD185" s="12" t="n"/>
      <c r="AE185" s="12" t="n"/>
      <c r="AF185" s="12" t="n"/>
      <c r="AG185" s="12" t="n"/>
      <c r="AH185" s="12">
        <f>AF178</f>
        <v>311.442</v>
      </c>
      <c r="AI185" s="62" t="n"/>
      <c r="AJ185" s="62" t="n"/>
      <c r="AK185" s="62" t="n"/>
      <c r="AL185" s="12" t="n"/>
      <c r="AM185" s="12">
        <f>AK178</f>
        <v>667.641</v>
      </c>
      <c r="AN185" s="62" t="n"/>
      <c r="AO185" s="62" t="n"/>
      <c r="AP185" s="62" t="n"/>
      <c r="AQ185" s="12" t="n"/>
      <c r="AR185" s="12">
        <f>AP178</f>
        <v>667.641</v>
      </c>
      <c r="AS185" s="62" t="n"/>
      <c r="AT185" s="62" t="n"/>
      <c r="AU185" s="62" t="n"/>
      <c r="AV185" s="12" t="n"/>
      <c r="AW185" s="12">
        <f>AU178</f>
        <v>667.641</v>
      </c>
      <c r="AX185" s="62" t="n"/>
      <c r="AY185" s="62" t="n"/>
      <c r="AZ185" s="62" t="n"/>
      <c r="BA185" s="12" t="n"/>
      <c r="BB185" s="12">
        <f>AZ178</f>
        <v>667.641</v>
      </c>
      <c r="BC185" s="62" t="n"/>
      <c r="BD185" s="62" t="n"/>
      <c r="BE185" s="62" t="n"/>
      <c r="BF185" s="12" t="n"/>
      <c r="BG185" s="12" t="n"/>
      <c r="BH185" s="62" t="n"/>
      <c r="BI185" s="62" t="n"/>
      <c r="BJ185" s="62" t="n"/>
      <c r="BK185" s="12" t="n"/>
      <c r="BL185" s="12" t="n"/>
      <c r="BM185" s="62" t="n"/>
      <c r="BN185" s="62" t="n"/>
      <c r="BO185" s="62" t="n"/>
      <c r="BP185" s="12" t="n"/>
      <c r="BQ185" s="12" t="n"/>
      <c r="BR185" s="62" t="n"/>
      <c r="BS185" s="62" t="n"/>
      <c r="BT185" s="62" t="n"/>
      <c r="BU185" s="12" t="n"/>
      <c r="BV185" s="12" t="n"/>
      <c r="BW185" s="62" t="n"/>
      <c r="BX185" s="62" t="n"/>
      <c r="BY185" s="62" t="n"/>
      <c r="BZ185" s="12" t="n"/>
      <c r="CA185" s="12" t="n"/>
      <c r="CB185" s="62" t="n"/>
      <c r="CC185" s="62" t="n"/>
      <c r="CD185" s="62" t="n"/>
      <c r="CE185" s="12" t="n"/>
      <c r="CF185" s="12" t="n"/>
      <c r="CG185" s="62" t="n"/>
      <c r="CH185" s="62" t="n"/>
      <c r="CI185" s="62" t="n"/>
      <c r="CJ185" s="12" t="n"/>
      <c r="CK185" s="12" t="n"/>
      <c r="CL185" s="62" t="n"/>
      <c r="CM185" s="62" t="n"/>
      <c r="CN185" s="62" t="n"/>
      <c r="CO185" s="12" t="n"/>
      <c r="CP185" s="12" t="n"/>
      <c r="CQ185" s="62" t="n"/>
      <c r="CR185" s="62" t="n"/>
      <c r="CS185" s="62" t="n"/>
      <c r="CT185" s="12" t="n"/>
      <c r="CU185" s="12" t="n"/>
      <c r="CV185" s="62" t="n"/>
      <c r="CW185" s="62" t="n"/>
      <c r="CX185" s="62" t="n"/>
      <c r="CY185" s="12" t="n"/>
    </row>
    <row r="186" hidden="1" outlineLevel="1">
      <c r="C186" s="57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  <c r="AA186" s="12" t="n"/>
      <c r="AB186" s="12" t="n"/>
      <c r="AC186" s="12" t="n"/>
      <c r="AD186" s="12" t="n"/>
      <c r="AE186" s="12" t="n"/>
      <c r="AF186" s="12" t="n"/>
      <c r="AG186" s="12" t="n"/>
      <c r="AH186" s="12" t="n"/>
      <c r="AI186" s="12" t="n"/>
      <c r="AJ186" s="12" t="n"/>
      <c r="AK186" s="12" t="n"/>
      <c r="AL186" s="12" t="n"/>
      <c r="AM186" s="12" t="n"/>
      <c r="AN186" s="12" t="n"/>
      <c r="AO186" s="12" t="n"/>
      <c r="AP186" s="12" t="n"/>
      <c r="AQ186" s="12" t="n"/>
      <c r="AR186" s="12" t="n"/>
      <c r="AS186" s="12" t="n"/>
      <c r="AT186" s="12" t="n"/>
      <c r="AU186" s="12" t="n"/>
      <c r="AV186" s="12" t="n"/>
      <c r="AW186" s="12" t="n"/>
      <c r="AX186" s="12" t="n"/>
      <c r="AY186" s="12" t="n"/>
      <c r="AZ186" s="12" t="n"/>
      <c r="BA186" s="12" t="n"/>
      <c r="BB186" s="12" t="n"/>
      <c r="BC186" s="12" t="n"/>
      <c r="BD186" s="12" t="n"/>
      <c r="BE186" s="12" t="n"/>
      <c r="BF186" s="12" t="n"/>
      <c r="BG186" s="12" t="n"/>
      <c r="BH186" s="12" t="n"/>
      <c r="BI186" s="12" t="n"/>
      <c r="BJ186" s="12" t="n"/>
      <c r="BK186" s="12" t="n"/>
      <c r="BL186" s="12" t="n"/>
      <c r="BM186" s="12" t="n"/>
      <c r="BN186" s="12" t="n"/>
      <c r="BO186" s="12" t="n"/>
      <c r="BP186" s="12" t="n"/>
      <c r="BQ186" s="12" t="n"/>
      <c r="BR186" s="12" t="n"/>
      <c r="BS186" s="12" t="n"/>
      <c r="BT186" s="12" t="n"/>
      <c r="BU186" s="12" t="n"/>
      <c r="BV186" s="12" t="n"/>
      <c r="BW186" s="12" t="n"/>
      <c r="BX186" s="12" t="n"/>
      <c r="BY186" s="12" t="n"/>
      <c r="BZ186" s="12" t="n"/>
      <c r="CA186" s="12" t="n"/>
      <c r="CB186" s="12" t="n"/>
      <c r="CC186" s="12" t="n"/>
      <c r="CD186" s="12" t="n"/>
      <c r="CE186" s="12" t="n"/>
      <c r="CF186" s="12" t="n"/>
      <c r="CG186" s="12" t="n"/>
      <c r="CH186" s="12" t="n"/>
      <c r="CI186" s="12" t="n"/>
      <c r="CJ186" s="12" t="n"/>
      <c r="CK186" s="12" t="n"/>
      <c r="CL186" s="12" t="n"/>
      <c r="CM186" s="12" t="n"/>
      <c r="CN186" s="12" t="n"/>
      <c r="CO186" s="12" t="n"/>
      <c r="CP186" s="12" t="n"/>
      <c r="CQ186" s="12" t="n"/>
      <c r="CR186" s="12" t="n"/>
      <c r="CS186" s="12" t="n"/>
      <c r="CT186" s="12" t="n"/>
      <c r="CU186" s="12" t="n"/>
      <c r="CV186" s="12" t="n"/>
      <c r="CW186" s="12" t="n"/>
      <c r="CX186" s="12" t="n"/>
      <c r="CY186" s="12" t="n"/>
    </row>
    <row r="187" hidden="1" outlineLevel="1">
      <c r="C187" s="57" t="inlineStr">
        <is>
          <t>Reclassification of LTD to CP of LTD</t>
        </is>
      </c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>
        <f>-AI185</f>
        <v>0</v>
      </c>
      <c r="AJ187" s="12">
        <f>-AJ185</f>
        <v>0</v>
      </c>
      <c r="AK187" s="12">
        <f>-AK185</f>
        <v>0</v>
      </c>
      <c r="AL187" s="12" t="n"/>
      <c r="AM187" s="12" t="n"/>
      <c r="AN187" s="12">
        <f>-AN185</f>
        <v>0</v>
      </c>
      <c r="AO187" s="12">
        <f>-AO185</f>
        <v>0</v>
      </c>
      <c r="AP187" s="12">
        <f>-AP185</f>
        <v>0</v>
      </c>
      <c r="AQ187" s="12" t="n"/>
      <c r="AR187" s="12" t="n"/>
      <c r="AS187" s="12">
        <f>-AS185</f>
        <v>0</v>
      </c>
      <c r="AT187" s="12">
        <f>-AT185</f>
        <v>0</v>
      </c>
      <c r="AU187" s="12">
        <f>-AU185</f>
        <v>0</v>
      </c>
      <c r="AV187" s="12" t="n"/>
      <c r="AW187" s="12" t="n"/>
      <c r="AX187" s="12">
        <f>-AX185</f>
        <v>0</v>
      </c>
      <c r="AY187" s="12">
        <f>-AY185</f>
        <v>0</v>
      </c>
      <c r="AZ187" s="12">
        <f>-AZ185</f>
        <v>0</v>
      </c>
      <c r="BA187" s="12" t="n"/>
      <c r="BB187" s="12" t="n"/>
      <c r="BC187" s="12">
        <f>-BC185</f>
        <v>0</v>
      </c>
      <c r="BD187" s="12">
        <f>-BD185</f>
        <v>0</v>
      </c>
      <c r="BE187" s="12">
        <f>-BE185</f>
        <v>0</v>
      </c>
      <c r="BF187" s="12" t="n"/>
      <c r="BG187" s="12" t="n"/>
      <c r="BH187" s="12" t="n"/>
      <c r="BI187" s="12" t="n"/>
      <c r="BJ187" s="12" t="n"/>
      <c r="BK187" s="12" t="n"/>
      <c r="BL187" s="12" t="n"/>
      <c r="BM187" s="12" t="n"/>
      <c r="BN187" s="12" t="n"/>
      <c r="BO187" s="12" t="n"/>
      <c r="BP187" s="12" t="n"/>
      <c r="BQ187" s="12" t="n"/>
      <c r="BR187" s="12" t="n"/>
      <c r="BS187" s="12" t="n"/>
      <c r="BT187" s="12" t="n"/>
      <c r="BU187" s="12" t="n"/>
      <c r="BV187" s="12" t="n"/>
      <c r="BW187" s="12" t="n"/>
      <c r="BX187" s="12" t="n"/>
      <c r="BY187" s="12" t="n"/>
      <c r="BZ187" s="12" t="n"/>
      <c r="CA187" s="12" t="n"/>
      <c r="CB187" s="12" t="n"/>
      <c r="CC187" s="12" t="n"/>
      <c r="CD187" s="12" t="n"/>
      <c r="CE187" s="12" t="n"/>
      <c r="CF187" s="12" t="n"/>
      <c r="CG187" s="12" t="n"/>
      <c r="CH187" s="12" t="n"/>
      <c r="CI187" s="12" t="n"/>
      <c r="CJ187" s="12" t="n"/>
      <c r="CK187" s="12" t="n"/>
      <c r="CL187" s="12" t="n"/>
      <c r="CM187" s="12" t="n"/>
      <c r="CN187" s="12" t="n"/>
      <c r="CO187" s="12" t="n"/>
      <c r="CP187" s="12" t="n"/>
      <c r="CQ187" s="12" t="n"/>
      <c r="CR187" s="12" t="n"/>
      <c r="CS187" s="12" t="n"/>
      <c r="CT187" s="12" t="n"/>
      <c r="CU187" s="12" t="n"/>
      <c r="CV187" s="12" t="n"/>
      <c r="CW187" s="12" t="n"/>
      <c r="CX187" s="12" t="n"/>
      <c r="CY187" s="12" t="n"/>
    </row>
    <row r="188" hidden="1" outlineLevel="1">
      <c r="C188" s="57" t="inlineStr">
        <is>
          <t>Discretionary (paydown)/borrowing of long term debt</t>
        </is>
      </c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  <c r="AA188" s="12" t="n"/>
      <c r="AB188" s="12" t="n"/>
      <c r="AC188" s="12" t="n"/>
      <c r="AD188" s="12" t="n"/>
      <c r="AE188" s="12" t="n"/>
      <c r="AF188" s="12" t="n"/>
      <c r="AG188" s="12" t="n"/>
      <c r="AH188" s="62" t="n"/>
      <c r="AI188" s="62" t="n"/>
      <c r="AJ188" s="62" t="n"/>
      <c r="AK188" s="62" t="n"/>
      <c r="AL188" s="12" t="n"/>
      <c r="AM188" s="62" t="n"/>
      <c r="AN188" s="62" t="n"/>
      <c r="AO188" s="62" t="n"/>
      <c r="AP188" s="62" t="n"/>
      <c r="AQ188" s="12" t="n"/>
      <c r="AR188" s="62" t="n"/>
      <c r="AS188" s="62" t="n"/>
      <c r="AT188" s="62" t="n"/>
      <c r="AU188" s="62" t="n"/>
      <c r="AV188" s="12" t="n"/>
      <c r="AW188" s="62" t="n"/>
      <c r="AX188" s="62" t="n"/>
      <c r="AY188" s="62" t="n"/>
      <c r="AZ188" s="62" t="n"/>
      <c r="BA188" s="12" t="n"/>
      <c r="BB188" s="62" t="n"/>
      <c r="BC188" s="62" t="n"/>
      <c r="BD188" s="62" t="n"/>
      <c r="BE188" s="62" t="n"/>
      <c r="BF188" s="12" t="n"/>
      <c r="BG188" s="62" t="n"/>
      <c r="BH188" s="62" t="n"/>
      <c r="BI188" s="62" t="n"/>
      <c r="BJ188" s="62" t="n"/>
      <c r="BK188" s="12" t="n"/>
      <c r="BL188" s="62" t="n"/>
      <c r="BM188" s="62" t="n"/>
      <c r="BN188" s="62" t="n"/>
      <c r="BO188" s="62" t="n"/>
      <c r="BP188" s="12" t="n"/>
      <c r="BQ188" s="62" t="n"/>
      <c r="BR188" s="62" t="n"/>
      <c r="BS188" s="62" t="n"/>
      <c r="BT188" s="62" t="n"/>
      <c r="BU188" s="12" t="n"/>
      <c r="BV188" s="62" t="n"/>
      <c r="BW188" s="62" t="n"/>
      <c r="BX188" s="62" t="n"/>
      <c r="BY188" s="62" t="n"/>
      <c r="BZ188" s="12" t="n"/>
      <c r="CA188" s="62" t="n"/>
      <c r="CB188" s="62" t="n"/>
      <c r="CC188" s="62" t="n"/>
      <c r="CD188" s="62" t="n"/>
      <c r="CE188" s="12" t="n"/>
      <c r="CF188" s="62" t="n"/>
      <c r="CG188" s="62" t="n"/>
      <c r="CH188" s="62" t="n"/>
      <c r="CI188" s="62" t="n"/>
      <c r="CJ188" s="12" t="n"/>
      <c r="CK188" s="62" t="n"/>
      <c r="CL188" s="62" t="n"/>
      <c r="CM188" s="62" t="n"/>
      <c r="CN188" s="62" t="n"/>
      <c r="CO188" s="12" t="n"/>
      <c r="CP188" s="62" t="n"/>
      <c r="CQ188" s="62" t="n"/>
      <c r="CR188" s="62" t="n"/>
      <c r="CS188" s="62" t="n"/>
      <c r="CT188" s="12" t="n"/>
      <c r="CU188" s="62" t="n"/>
      <c r="CV188" s="62" t="n"/>
      <c r="CW188" s="62" t="n"/>
      <c r="CX188" s="62" t="n"/>
      <c r="CY188" s="12" t="n"/>
    </row>
    <row r="189" hidden="1" outlineLevel="1">
      <c r="C189" s="57" t="inlineStr">
        <is>
          <t>Long term debt</t>
        </is>
      </c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  <c r="AA189" s="12" t="n"/>
      <c r="AB189" s="12" t="n"/>
      <c r="AC189" s="12" t="n"/>
      <c r="AD189" s="12" t="n"/>
      <c r="AE189" s="12" t="n"/>
      <c r="AF189" s="12" t="n"/>
      <c r="AG189" s="12" t="n"/>
      <c r="AH189" s="12">
        <f>AH183</f>
        <v>4160.239</v>
      </c>
      <c r="AI189" s="12">
        <f>AI183</f>
        <v>3792.502</v>
      </c>
      <c r="AJ189" s="12">
        <f>AI189+SUM(AJ187:AJ188)</f>
        <v>3792.502</v>
      </c>
      <c r="AK189" s="12">
        <f>AJ189+SUM(AK187:AK188)</f>
        <v>3792.502</v>
      </c>
      <c r="AL189" s="12" t="n"/>
      <c r="AM189" s="12">
        <f>AK189+SUM(AM187:AM188)</f>
        <v>3792.502</v>
      </c>
      <c r="AN189" s="12">
        <f>AM189+SUM(AN187:AN188)</f>
        <v>3792.502</v>
      </c>
      <c r="AO189" s="12">
        <f>AN189+SUM(AO187:AO188)</f>
        <v>3792.502</v>
      </c>
      <c r="AP189" s="12">
        <f>AO189+SUM(AP187:AP188)</f>
        <v>3792.502</v>
      </c>
      <c r="AQ189" s="12" t="n"/>
      <c r="AR189" s="12">
        <f>AP189+SUM(AR187:AR188)</f>
        <v>3792.502</v>
      </c>
      <c r="AS189" s="12">
        <f>AR189+SUM(AS187:AS188)</f>
        <v>3792.502</v>
      </c>
      <c r="AT189" s="12">
        <f>AS189+SUM(AT187:AT188)</f>
        <v>3792.502</v>
      </c>
      <c r="AU189" s="12">
        <f>AT189+SUM(AU187:AU188)</f>
        <v>3792.502</v>
      </c>
      <c r="AV189" s="12" t="n"/>
      <c r="AW189" s="12">
        <f>AU189+SUM(AW187:AW188)</f>
        <v>3792.502</v>
      </c>
      <c r="AX189" s="12">
        <f>AW189+SUM(AX187:AX188)</f>
        <v>3792.502</v>
      </c>
      <c r="AY189" s="12">
        <f>AX189+SUM(AY187:AY188)</f>
        <v>3792.502</v>
      </c>
      <c r="AZ189" s="12">
        <f>AY189+SUM(AZ187:AZ188)</f>
        <v>3792.502</v>
      </c>
      <c r="BA189" s="12" t="n"/>
      <c r="BB189" s="12">
        <f>AZ189+SUM(BB187:BB188)</f>
        <v>3792.502</v>
      </c>
      <c r="BC189" s="12">
        <f>BB189+SUM(BC187:BC188)</f>
        <v>3792.502</v>
      </c>
      <c r="BD189" s="12">
        <f>BC189+SUM(BD187:BD188)</f>
        <v>3792.502</v>
      </c>
      <c r="BE189" s="12">
        <f>BD189+SUM(BE187:BE188)</f>
        <v>3792.502</v>
      </c>
      <c r="BF189" s="12" t="n"/>
      <c r="BG189" s="12" t="n"/>
      <c r="BH189" s="12" t="n"/>
      <c r="BI189" s="12" t="n"/>
      <c r="BJ189" s="12" t="n"/>
      <c r="BK189" s="12" t="n"/>
      <c r="BL189" s="12" t="n"/>
      <c r="BM189" s="12" t="n"/>
      <c r="BN189" s="12" t="n"/>
      <c r="BO189" s="12" t="n"/>
      <c r="BP189" s="12" t="n"/>
      <c r="BQ189" s="12" t="n"/>
      <c r="BR189" s="12" t="n"/>
      <c r="BS189" s="12" t="n"/>
      <c r="BT189" s="12" t="n"/>
      <c r="BU189" s="12" t="n"/>
      <c r="BV189" s="12" t="n"/>
      <c r="BW189" s="12" t="n"/>
      <c r="BX189" s="12" t="n"/>
      <c r="BY189" s="12" t="n"/>
      <c r="BZ189" s="12" t="n"/>
      <c r="CA189" s="12" t="n"/>
      <c r="CB189" s="12" t="n"/>
      <c r="CC189" s="12" t="n"/>
      <c r="CD189" s="12" t="n"/>
      <c r="CE189" s="12" t="n"/>
      <c r="CF189" s="12" t="n"/>
      <c r="CG189" s="12" t="n"/>
      <c r="CH189" s="12" t="n"/>
      <c r="CI189" s="12" t="n"/>
      <c r="CJ189" s="12" t="n"/>
      <c r="CK189" s="12" t="n"/>
      <c r="CL189" s="12" t="n"/>
      <c r="CM189" s="12" t="n"/>
      <c r="CN189" s="12" t="n"/>
      <c r="CO189" s="12" t="n"/>
      <c r="CP189" s="12" t="n"/>
      <c r="CQ189" s="12" t="n"/>
      <c r="CR189" s="12" t="n"/>
      <c r="CS189" s="12" t="n"/>
      <c r="CT189" s="12" t="n"/>
      <c r="CU189" s="12" t="n"/>
      <c r="CV189" s="12" t="n"/>
      <c r="CW189" s="12" t="n"/>
      <c r="CX189" s="12" t="n"/>
      <c r="CY189" s="12" t="n"/>
    </row>
    <row r="190" hidden="1" outlineLevel="1">
      <c r="C190" s="57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  <c r="AA190" s="12" t="n"/>
      <c r="AB190" s="12" t="n"/>
      <c r="AC190" s="12" t="n"/>
      <c r="AD190" s="12" t="n"/>
      <c r="AE190" s="12" t="n"/>
      <c r="AF190" s="12" t="n"/>
      <c r="AG190" s="12" t="n"/>
      <c r="AH190" s="12" t="n"/>
      <c r="AI190" s="12" t="n"/>
      <c r="AJ190" s="12" t="n"/>
      <c r="AK190" s="12" t="n"/>
      <c r="AL190" s="12" t="n"/>
      <c r="AM190" s="12" t="n"/>
      <c r="AN190" s="12" t="n"/>
      <c r="AO190" s="12" t="n"/>
      <c r="AP190" s="12" t="n"/>
      <c r="AQ190" s="12" t="n"/>
      <c r="AR190" s="12" t="n"/>
      <c r="AS190" s="12" t="n"/>
      <c r="AT190" s="12" t="n"/>
      <c r="AU190" s="12" t="n"/>
      <c r="AV190" s="12" t="n"/>
      <c r="AW190" s="12" t="n"/>
      <c r="AX190" s="12" t="n"/>
      <c r="AY190" s="12" t="n"/>
      <c r="AZ190" s="12" t="n"/>
      <c r="BA190" s="12" t="n"/>
      <c r="BB190" s="12" t="n"/>
      <c r="BC190" s="12" t="n"/>
      <c r="BD190" s="12" t="n"/>
      <c r="BE190" s="12" t="n"/>
      <c r="BF190" s="12" t="n"/>
      <c r="BG190" s="12" t="n"/>
      <c r="BH190" s="12" t="n"/>
      <c r="BI190" s="12" t="n"/>
      <c r="BJ190" s="12" t="n"/>
      <c r="BK190" s="12" t="n"/>
      <c r="BL190" s="12" t="n"/>
      <c r="BM190" s="12" t="n"/>
      <c r="BN190" s="12" t="n"/>
      <c r="BO190" s="12" t="n"/>
      <c r="BP190" s="12" t="n"/>
      <c r="BQ190" s="12" t="n"/>
      <c r="BR190" s="12" t="n"/>
      <c r="BS190" s="12" t="n"/>
      <c r="BT190" s="12" t="n"/>
      <c r="BU190" s="12" t="n"/>
      <c r="BV190" s="12" t="n"/>
      <c r="BW190" s="12" t="n"/>
      <c r="BX190" s="12" t="n"/>
      <c r="BY190" s="12" t="n"/>
      <c r="BZ190" s="12" t="n"/>
      <c r="CA190" s="12" t="n"/>
      <c r="CB190" s="12" t="n"/>
      <c r="CC190" s="12" t="n"/>
      <c r="CD190" s="12" t="n"/>
      <c r="CE190" s="12" t="n"/>
      <c r="CF190" s="12" t="n"/>
      <c r="CG190" s="12" t="n"/>
      <c r="CH190" s="12" t="n"/>
      <c r="CI190" s="12" t="n"/>
      <c r="CJ190" s="12" t="n"/>
      <c r="CK190" s="12" t="n"/>
      <c r="CL190" s="12" t="n"/>
      <c r="CM190" s="12" t="n"/>
      <c r="CN190" s="12" t="n"/>
      <c r="CO190" s="12" t="n"/>
      <c r="CP190" s="12" t="n"/>
      <c r="CQ190" s="12" t="n"/>
      <c r="CR190" s="12" t="n"/>
      <c r="CS190" s="12" t="n"/>
      <c r="CT190" s="12" t="n"/>
      <c r="CU190" s="12" t="n"/>
      <c r="CV190" s="12" t="n"/>
      <c r="CW190" s="12" t="n"/>
      <c r="CX190" s="12" t="n"/>
      <c r="CY190" s="12" t="n"/>
    </row>
    <row r="191" hidden="1" outlineLevel="1">
      <c r="C191" s="57" t="inlineStr">
        <is>
          <t>Discretionary (paydown)/borrowing of convertible debt</t>
        </is>
      </c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  <c r="AA191" s="12" t="n"/>
      <c r="AB191" s="12" t="n"/>
      <c r="AC191" s="12" t="n"/>
      <c r="AD191" s="12" t="n"/>
      <c r="AE191" s="12" t="n"/>
      <c r="AF191" s="12" t="n"/>
      <c r="AG191" s="12" t="n"/>
      <c r="AH191" s="62" t="n"/>
      <c r="AI191" s="62" t="n"/>
      <c r="AJ191" s="62" t="n"/>
      <c r="AK191" s="62" t="n"/>
      <c r="AL191" s="12" t="n"/>
      <c r="AM191" s="62" t="n"/>
      <c r="AN191" s="62" t="n"/>
      <c r="AO191" s="62" t="n"/>
      <c r="AP191" s="62" t="n"/>
      <c r="AQ191" s="12" t="n"/>
      <c r="AR191" s="62" t="n"/>
      <c r="AS191" s="62" t="n"/>
      <c r="AT191" s="62" t="n"/>
      <c r="AU191" s="62" t="n"/>
      <c r="AV191" s="12" t="n"/>
      <c r="AW191" s="62" t="n"/>
      <c r="AX191" s="62" t="n"/>
      <c r="AY191" s="62" t="n"/>
      <c r="AZ191" s="62" t="n"/>
      <c r="BA191" s="12" t="n"/>
      <c r="BB191" s="62" t="n"/>
      <c r="BC191" s="62" t="n"/>
      <c r="BD191" s="62" t="n"/>
      <c r="BE191" s="62" t="n"/>
      <c r="BF191" s="12" t="n"/>
      <c r="BG191" s="62" t="n"/>
      <c r="BH191" s="62" t="n"/>
      <c r="BI191" s="62" t="n"/>
      <c r="BJ191" s="62" t="n"/>
      <c r="BK191" s="12" t="n"/>
      <c r="BL191" s="62" t="n"/>
      <c r="BM191" s="62" t="n"/>
      <c r="BN191" s="62" t="n"/>
      <c r="BO191" s="62" t="n"/>
      <c r="BP191" s="12" t="n"/>
      <c r="BQ191" s="62" t="n"/>
      <c r="BR191" s="62" t="n"/>
      <c r="BS191" s="62" t="n"/>
      <c r="BT191" s="62" t="n"/>
      <c r="BU191" s="12" t="n"/>
      <c r="BV191" s="62" t="n"/>
      <c r="BW191" s="62" t="n"/>
      <c r="BX191" s="62" t="n"/>
      <c r="BY191" s="62" t="n"/>
      <c r="BZ191" s="12" t="n"/>
      <c r="CA191" s="62" t="n"/>
      <c r="CB191" s="62" t="n"/>
      <c r="CC191" s="62" t="n"/>
      <c r="CD191" s="62" t="n"/>
      <c r="CE191" s="12" t="n"/>
      <c r="CF191" s="62" t="n"/>
      <c r="CG191" s="62" t="n"/>
      <c r="CH191" s="62" t="n"/>
      <c r="CI191" s="62" t="n"/>
      <c r="CJ191" s="12" t="n"/>
      <c r="CK191" s="62" t="n"/>
      <c r="CL191" s="62" t="n"/>
      <c r="CM191" s="62" t="n"/>
      <c r="CN191" s="62" t="n"/>
      <c r="CO191" s="12" t="n"/>
      <c r="CP191" s="62" t="n"/>
      <c r="CQ191" s="62" t="n"/>
      <c r="CR191" s="62" t="n"/>
      <c r="CS191" s="62" t="n"/>
      <c r="CT191" s="12" t="n"/>
      <c r="CU191" s="62" t="n"/>
      <c r="CV191" s="62" t="n"/>
      <c r="CW191" s="62" t="n"/>
      <c r="CX191" s="62" t="n"/>
      <c r="CY191" s="12" t="n"/>
    </row>
    <row r="192" hidden="1" outlineLevel="1">
      <c r="C192" s="57" t="inlineStr">
        <is>
          <t>Convertible debt</t>
        </is>
      </c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  <c r="AA192" s="12" t="n"/>
      <c r="AB192" s="12" t="n"/>
      <c r="AC192" s="12" t="n"/>
      <c r="AD192" s="12" t="n"/>
      <c r="AE192" s="12" t="n"/>
      <c r="AF192" s="12" t="n"/>
      <c r="AG192" s="12" t="n"/>
      <c r="AH192" s="12">
        <f>AH204</f>
        <v>0</v>
      </c>
      <c r="AI192" s="12">
        <f>AH192+SUM(AI191)</f>
        <v>0</v>
      </c>
      <c r="AJ192" s="12">
        <f>AI192+SUM(AJ191)</f>
        <v>0</v>
      </c>
      <c r="AK192" s="12">
        <f>AJ192+SUM(AK191)</f>
        <v>0</v>
      </c>
      <c r="AL192" s="12" t="n"/>
      <c r="AM192" s="12">
        <f>AM204</f>
        <v>0</v>
      </c>
      <c r="AN192" s="12">
        <f>AM192+SUM(AN191)</f>
        <v>0</v>
      </c>
      <c r="AO192" s="12">
        <f>AN192+SUM(AO191)</f>
        <v>0</v>
      </c>
      <c r="AP192" s="12">
        <f>AO192+SUM(AP191)</f>
        <v>0</v>
      </c>
      <c r="AQ192" s="12" t="n"/>
      <c r="AR192" s="12">
        <f>AR204</f>
        <v>0</v>
      </c>
      <c r="AS192" s="12">
        <f>AR192+SUM(AS191)</f>
        <v>0</v>
      </c>
      <c r="AT192" s="12">
        <f>AS192+SUM(AT191)</f>
        <v>0</v>
      </c>
      <c r="AU192" s="12">
        <f>AT192+SUM(AU191)</f>
        <v>0</v>
      </c>
      <c r="AV192" s="12" t="n"/>
      <c r="AW192" s="12">
        <f>AW204</f>
        <v>0</v>
      </c>
      <c r="AX192" s="12">
        <f>AW192+SUM(AX191)</f>
        <v>0</v>
      </c>
      <c r="AY192" s="12">
        <f>AX192+SUM(AY191)</f>
        <v>0</v>
      </c>
      <c r="AZ192" s="12">
        <f>AY192+SUM(AZ191)</f>
        <v>0</v>
      </c>
      <c r="BA192" s="12" t="n"/>
      <c r="BB192" s="12">
        <f>BB204</f>
        <v>0</v>
      </c>
      <c r="BC192" s="12">
        <f>BB192+SUM(BC191)</f>
        <v>0</v>
      </c>
      <c r="BD192" s="12">
        <f>BC192+SUM(BD191)</f>
        <v>0</v>
      </c>
      <c r="BE192" s="12">
        <f>BD192+SUM(BE191)</f>
        <v>0</v>
      </c>
      <c r="BF192" s="12" t="n"/>
      <c r="BG192" s="12" t="n"/>
      <c r="BH192" s="12" t="n"/>
      <c r="BI192" s="12" t="n"/>
      <c r="BJ192" s="12" t="n"/>
      <c r="BK192" s="12" t="n"/>
      <c r="BL192" s="12" t="n"/>
      <c r="BM192" s="12" t="n"/>
      <c r="BN192" s="12" t="n"/>
      <c r="BO192" s="12" t="n"/>
      <c r="BP192" s="12" t="n"/>
      <c r="BQ192" s="12" t="n"/>
      <c r="BR192" s="12" t="n"/>
      <c r="BS192" s="12" t="n"/>
      <c r="BT192" s="12" t="n"/>
      <c r="BU192" s="12" t="n"/>
      <c r="BV192" s="12" t="n"/>
      <c r="BW192" s="12" t="n"/>
      <c r="BX192" s="12" t="n"/>
      <c r="BY192" s="12" t="n"/>
      <c r="BZ192" s="12" t="n"/>
      <c r="CA192" s="12" t="n"/>
      <c r="CB192" s="12" t="n"/>
      <c r="CC192" s="12" t="n"/>
      <c r="CD192" s="12" t="n"/>
      <c r="CE192" s="12" t="n"/>
      <c r="CF192" s="12" t="n"/>
      <c r="CG192" s="12" t="n"/>
      <c r="CH192" s="12" t="n"/>
      <c r="CI192" s="12" t="n"/>
      <c r="CJ192" s="12" t="n"/>
      <c r="CK192" s="12" t="n"/>
      <c r="CL192" s="12" t="n"/>
      <c r="CM192" s="12" t="n"/>
      <c r="CN192" s="12" t="n"/>
      <c r="CO192" s="12" t="n"/>
      <c r="CP192" s="12" t="n"/>
      <c r="CQ192" s="12" t="n"/>
      <c r="CR192" s="12" t="n"/>
      <c r="CS192" s="12" t="n"/>
      <c r="CT192" s="12" t="n"/>
      <c r="CU192" s="12" t="n"/>
      <c r="CV192" s="12" t="n"/>
      <c r="CW192" s="12" t="n"/>
      <c r="CX192" s="12" t="n"/>
      <c r="CY192" s="12" t="n"/>
    </row>
    <row r="193" hidden="1" outlineLevel="1">
      <c r="C193" s="57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  <c r="Z193" s="12" t="n"/>
      <c r="AA193" s="12" t="n"/>
      <c r="AB193" s="12" t="n"/>
      <c r="AC193" s="12" t="n"/>
      <c r="AD193" s="12" t="n"/>
      <c r="AE193" s="12" t="n"/>
      <c r="AF193" s="12" t="n"/>
      <c r="AG193" s="12" t="n"/>
      <c r="AI193" s="12" t="n"/>
      <c r="AJ193" s="12" t="n"/>
      <c r="AK193" s="12" t="n"/>
      <c r="AL193" s="12" t="n"/>
      <c r="AN193" s="12" t="n"/>
      <c r="AO193" s="12" t="n"/>
      <c r="AP193" s="12" t="n"/>
      <c r="AQ193" s="12" t="n"/>
      <c r="AS193" s="12" t="n"/>
      <c r="AT193" s="12" t="n"/>
      <c r="AU193" s="12" t="n"/>
      <c r="AV193" s="12" t="n"/>
      <c r="AX193" s="12" t="n"/>
      <c r="AY193" s="12" t="n"/>
      <c r="AZ193" s="12" t="n"/>
      <c r="BA193" s="12" t="n"/>
      <c r="BC193" s="12" t="n"/>
      <c r="BD193" s="12" t="n"/>
      <c r="BE193" s="12" t="n"/>
      <c r="BF193" s="12" t="n"/>
      <c r="BH193" s="12" t="n"/>
      <c r="BI193" s="12" t="n"/>
      <c r="BJ193" s="12" t="n"/>
      <c r="BK193" s="12" t="n"/>
      <c r="BM193" s="12" t="n"/>
      <c r="BN193" s="12" t="n"/>
      <c r="BO193" s="12" t="n"/>
      <c r="BP193" s="12" t="n"/>
      <c r="BR193" s="12" t="n"/>
      <c r="BS193" s="12" t="n"/>
      <c r="BT193" s="12" t="n"/>
      <c r="BU193" s="12" t="n"/>
      <c r="BW193" s="12" t="n"/>
      <c r="BX193" s="12" t="n"/>
      <c r="BY193" s="12" t="n"/>
      <c r="BZ193" s="12" t="n"/>
      <c r="CB193" s="12" t="n"/>
      <c r="CC193" s="12" t="n"/>
      <c r="CD193" s="12" t="n"/>
      <c r="CE193" s="12" t="n"/>
      <c r="CG193" s="12" t="n"/>
      <c r="CH193" s="12" t="n"/>
      <c r="CI193" s="12" t="n"/>
      <c r="CJ193" s="12" t="n"/>
      <c r="CL193" s="12" t="n"/>
      <c r="CM193" s="12" t="n"/>
      <c r="CN193" s="12" t="n"/>
      <c r="CO193" s="12" t="n"/>
      <c r="CQ193" s="12" t="n"/>
      <c r="CR193" s="12" t="n"/>
      <c r="CS193" s="12" t="n"/>
      <c r="CT193" s="12" t="n"/>
      <c r="CV193" s="12" t="n"/>
      <c r="CW193" s="12" t="n"/>
      <c r="CX193" s="12" t="n"/>
      <c r="CY193" s="12" t="n"/>
    </row>
    <row r="194" hidden="1" outlineLevel="1">
      <c r="C194" s="57" t="inlineStr">
        <is>
          <t>Calculation of short term debt</t>
        </is>
      </c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  <c r="AA194" s="12" t="n"/>
      <c r="AB194" s="12" t="n"/>
      <c r="AC194" s="12" t="n"/>
      <c r="AD194" s="12" t="n"/>
      <c r="AE194" s="12" t="n"/>
      <c r="AF194" s="12" t="n"/>
      <c r="AG194" s="12" t="n"/>
      <c r="AH194" s="12" t="n"/>
      <c r="AI194" s="12" t="n"/>
      <c r="AJ194" s="12" t="n"/>
      <c r="AK194" s="12" t="n"/>
      <c r="AL194" s="12" t="n"/>
      <c r="AM194" s="12" t="n"/>
      <c r="AN194" s="12" t="n"/>
      <c r="AO194" s="12" t="n"/>
      <c r="AP194" s="12" t="n"/>
      <c r="AQ194" s="12" t="n"/>
      <c r="AR194" s="12" t="n"/>
      <c r="AS194" s="12" t="n"/>
      <c r="AT194" s="12" t="n"/>
      <c r="AU194" s="12" t="n"/>
      <c r="AV194" s="12" t="n"/>
      <c r="AW194" s="12" t="n"/>
      <c r="AX194" s="12" t="n"/>
      <c r="AY194" s="12" t="n"/>
      <c r="AZ194" s="12" t="n"/>
      <c r="BA194" s="12" t="n"/>
      <c r="BB194" s="12" t="n"/>
      <c r="BC194" s="12" t="n"/>
      <c r="BD194" s="12" t="n"/>
      <c r="BE194" s="12" t="n"/>
      <c r="BF194" s="12" t="n"/>
      <c r="BG194" s="12" t="n"/>
      <c r="BH194" s="12" t="n"/>
      <c r="BI194" s="12" t="n"/>
      <c r="BJ194" s="12" t="n"/>
      <c r="BK194" s="12" t="n"/>
      <c r="BL194" s="12" t="n"/>
      <c r="BM194" s="12" t="n"/>
      <c r="BN194" s="12" t="n"/>
      <c r="BO194" s="12" t="n"/>
      <c r="BP194" s="12" t="n"/>
      <c r="BQ194" s="12" t="n"/>
      <c r="BR194" s="12" t="n"/>
      <c r="BS194" s="12" t="n"/>
      <c r="BT194" s="12" t="n"/>
      <c r="BU194" s="12" t="n"/>
      <c r="BV194" s="12" t="n"/>
      <c r="BW194" s="12" t="n"/>
      <c r="BX194" s="12" t="n"/>
      <c r="BY194" s="12" t="n"/>
      <c r="BZ194" s="12" t="n"/>
      <c r="CA194" s="12" t="n"/>
      <c r="CB194" s="12" t="n"/>
      <c r="CC194" s="12" t="n"/>
      <c r="CD194" s="12" t="n"/>
      <c r="CE194" s="12" t="n"/>
      <c r="CF194" s="12" t="n"/>
      <c r="CG194" s="12" t="n"/>
      <c r="CH194" s="12" t="n"/>
      <c r="CI194" s="12" t="n"/>
      <c r="CJ194" s="12" t="n"/>
      <c r="CK194" s="12" t="n"/>
      <c r="CL194" s="12" t="n"/>
      <c r="CM194" s="12" t="n"/>
      <c r="CN194" s="12" t="n"/>
      <c r="CO194" s="12" t="n"/>
      <c r="CP194" s="12" t="n"/>
      <c r="CQ194" s="12" t="n"/>
      <c r="CR194" s="12" t="n"/>
      <c r="CS194" s="12" t="n"/>
      <c r="CT194" s="12" t="n"/>
      <c r="CU194" s="12" t="n"/>
      <c r="CV194" s="12" t="n"/>
      <c r="CW194" s="12" t="n"/>
      <c r="CX194" s="12" t="n"/>
      <c r="CY194" s="12" t="n"/>
    </row>
    <row r="195" hidden="1" outlineLevel="1">
      <c r="C195" s="57" t="inlineStr">
        <is>
          <t>Cash @ beginning of the period (end of last period)</t>
        </is>
      </c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  <c r="AA195" s="12" t="n"/>
      <c r="AB195" s="12" t="n"/>
      <c r="AC195" s="12" t="n"/>
      <c r="AD195" s="12" t="n"/>
      <c r="AE195" s="12" t="n"/>
      <c r="AF195" s="12" t="n"/>
      <c r="AG195" s="12" t="n"/>
      <c r="AH195" s="63">
        <f>AG110</f>
        <v>2275.013</v>
      </c>
      <c r="AI195" s="12" t="n"/>
      <c r="AJ195" s="12" t="n"/>
      <c r="AK195" s="12" t="n"/>
      <c r="AL195" s="12" t="n"/>
      <c r="AM195" s="63">
        <f>AL110</f>
        <v>2891.87083440185</v>
      </c>
      <c r="AN195" s="12" t="n"/>
      <c r="AO195" s="12" t="n"/>
      <c r="AP195" s="12" t="n"/>
      <c r="AQ195" s="12" t="n"/>
      <c r="AR195" s="63">
        <f>AQ110</f>
        <v>4588.91219878654</v>
      </c>
      <c r="AS195" s="12" t="n"/>
      <c r="AT195" s="12" t="n"/>
      <c r="AU195" s="12" t="n"/>
      <c r="AV195" s="12" t="n"/>
      <c r="AW195" s="63">
        <f>AV110</f>
        <v>6514.08339043077</v>
      </c>
      <c r="AX195" s="12" t="n"/>
      <c r="AY195" s="12" t="n"/>
      <c r="AZ195" s="12" t="n"/>
      <c r="BA195" s="12" t="n"/>
      <c r="BB195" s="63">
        <f>BA110</f>
        <v>8694.44228541979</v>
      </c>
      <c r="BC195" s="12" t="n"/>
      <c r="BD195" s="12" t="n"/>
      <c r="BE195" s="12" t="n"/>
      <c r="BF195" s="12" t="n"/>
      <c r="BG195" s="63" t="n"/>
      <c r="BH195" s="12" t="n"/>
      <c r="BI195" s="12" t="n"/>
      <c r="BJ195" s="12" t="n"/>
      <c r="BK195" s="12" t="n"/>
      <c r="BL195" s="63" t="n"/>
      <c r="BM195" s="12" t="n"/>
      <c r="BN195" s="12" t="n"/>
      <c r="BO195" s="12" t="n"/>
      <c r="BP195" s="12" t="n"/>
      <c r="BQ195" s="63" t="n"/>
      <c r="BR195" s="12" t="n"/>
      <c r="BS195" s="12" t="n"/>
      <c r="BT195" s="12" t="n"/>
      <c r="BU195" s="12" t="n"/>
      <c r="BV195" s="63" t="n"/>
      <c r="BW195" s="12" t="n"/>
      <c r="BX195" s="12" t="n"/>
      <c r="BY195" s="12" t="n"/>
      <c r="BZ195" s="12" t="n"/>
      <c r="CA195" s="63" t="n"/>
      <c r="CB195" s="12" t="n"/>
      <c r="CC195" s="12" t="n"/>
      <c r="CD195" s="12" t="n"/>
      <c r="CE195" s="12" t="n"/>
      <c r="CF195" s="63" t="n"/>
      <c r="CG195" s="12" t="n"/>
      <c r="CH195" s="12" t="n"/>
      <c r="CI195" s="12" t="n"/>
      <c r="CJ195" s="12" t="n"/>
      <c r="CK195" s="63" t="n"/>
      <c r="CL195" s="12" t="n"/>
      <c r="CM195" s="12" t="n"/>
      <c r="CN195" s="12" t="n"/>
      <c r="CO195" s="12" t="n"/>
      <c r="CP195" s="63" t="n"/>
      <c r="CQ195" s="12" t="n"/>
      <c r="CR195" s="12" t="n"/>
      <c r="CS195" s="12" t="n"/>
      <c r="CT195" s="12" t="n"/>
      <c r="CU195" s="63" t="n"/>
      <c r="CV195" s="12" t="n"/>
      <c r="CW195" s="12" t="n"/>
      <c r="CX195" s="12" t="n"/>
      <c r="CY195" s="12" t="n"/>
    </row>
    <row r="196" hidden="1" outlineLevel="1">
      <c r="C196" s="57" t="inlineStr">
        <is>
          <t>Plus: Free cash flows prior to debt during period</t>
        </is>
      </c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  <c r="Z196" s="12" t="n"/>
      <c r="AA196" s="12" t="n"/>
      <c r="AB196" s="12" t="n"/>
      <c r="AC196" s="12" t="n"/>
      <c r="AD196" s="12" t="n"/>
      <c r="AE196" s="12" t="n"/>
      <c r="AF196" s="12" t="n"/>
      <c r="AG196" s="12" t="inlineStr">
        <is>
          <t>% of sales</t>
        </is>
      </c>
      <c r="AH196" s="64">
        <f>(AH258+AH265)+SUM(AH268:AH274)</f>
        <v>-24.5059641199998</v>
      </c>
      <c r="AI196" s="64">
        <f>(AI258+AI265)+SUM(AI268:AI274)</f>
        <v>29.1137920000003</v>
      </c>
      <c r="AJ196" s="64">
        <f>(AJ258+AJ265)+SUM(AJ268:AJ274)</f>
        <v>0</v>
      </c>
      <c r="AK196" s="64">
        <f>(AK258+AK265)+SUM(AK268:AK274)</f>
        <v>0</v>
      </c>
      <c r="AL196" s="12" t="n"/>
      <c r="AM196" s="64">
        <f>(AM258+AM265)+SUM(AM268:AM274)</f>
        <v>0</v>
      </c>
      <c r="AN196" s="64">
        <f>(AN258+AN265)+SUM(AN268:AN274)</f>
        <v>0</v>
      </c>
      <c r="AO196" s="64">
        <f>(AO258+AO265)+SUM(AO268:AO274)</f>
        <v>0</v>
      </c>
      <c r="AP196" s="64">
        <f>(AP258+AP265)+SUM(AP268:AP274)</f>
        <v>0</v>
      </c>
      <c r="AQ196" s="12" t="n"/>
      <c r="AR196" s="64">
        <f>(AR258+AR265)+SUM(AR268:AR274)</f>
        <v>0</v>
      </c>
      <c r="AS196" s="64">
        <f>(AS258+AS265)+SUM(AS268:AS274)</f>
        <v>0</v>
      </c>
      <c r="AT196" s="64">
        <f>(AT258+AT265)+SUM(AT268:AT274)</f>
        <v>0</v>
      </c>
      <c r="AU196" s="64">
        <f>(AU258+AU265)+SUM(AU268:AU274)</f>
        <v>0</v>
      </c>
      <c r="AV196" s="12" t="n"/>
      <c r="AW196" s="64">
        <f>(AW258+AW265)+SUM(AW268:AW274)</f>
        <v>0</v>
      </c>
      <c r="AX196" s="64">
        <f>(AX258+AX265)+SUM(AX268:AX274)</f>
        <v>0</v>
      </c>
      <c r="AY196" s="64">
        <f>(AY258+AY265)+SUM(AY268:AY274)</f>
        <v>0</v>
      </c>
      <c r="AZ196" s="64">
        <f>(AZ258+AZ265)+SUM(AZ268:AZ274)</f>
        <v>0</v>
      </c>
      <c r="BA196" s="12" t="n"/>
      <c r="BB196" s="64">
        <f>(BB258+BB265)+SUM(BB268:BB274)</f>
        <v>0</v>
      </c>
      <c r="BC196" s="64">
        <f>(BC258+BC265)+SUM(BC268:BC274)</f>
        <v>0</v>
      </c>
      <c r="BD196" s="64">
        <f>(BD258+BD265)+SUM(BD268:BD274)</f>
        <v>0</v>
      </c>
      <c r="BE196" s="64">
        <f>(BE258+BE265)+SUM(BE268:BE274)</f>
        <v>0</v>
      </c>
      <c r="BF196" s="12" t="n"/>
      <c r="BG196" s="64" t="n"/>
      <c r="BH196" s="64" t="n"/>
      <c r="BI196" s="64" t="n"/>
      <c r="BJ196" s="64" t="n"/>
      <c r="BK196" s="12" t="n"/>
      <c r="BL196" s="64" t="n"/>
      <c r="BM196" s="64" t="n"/>
      <c r="BN196" s="64" t="n"/>
      <c r="BO196" s="64" t="n"/>
      <c r="BP196" s="12" t="n"/>
      <c r="BQ196" s="64" t="n"/>
      <c r="BR196" s="64" t="n"/>
      <c r="BS196" s="64" t="n"/>
      <c r="BT196" s="64" t="n"/>
      <c r="BU196" s="12" t="n"/>
      <c r="BV196" s="64" t="n"/>
      <c r="BW196" s="64" t="n"/>
      <c r="BX196" s="64" t="n"/>
      <c r="BY196" s="64" t="n"/>
      <c r="BZ196" s="12" t="n"/>
      <c r="CA196" s="64" t="n"/>
      <c r="CB196" s="64" t="n"/>
      <c r="CC196" s="64" t="n"/>
      <c r="CD196" s="64" t="n"/>
      <c r="CE196" s="12" t="n"/>
      <c r="CF196" s="64" t="n"/>
      <c r="CG196" s="64" t="n"/>
      <c r="CH196" s="64" t="n"/>
      <c r="CI196" s="64" t="n"/>
      <c r="CJ196" s="12" t="n"/>
      <c r="CK196" s="64" t="n"/>
      <c r="CL196" s="64" t="n"/>
      <c r="CM196" s="64" t="n"/>
      <c r="CN196" s="64" t="n"/>
      <c r="CO196" s="12" t="n"/>
      <c r="CP196" s="64" t="n"/>
      <c r="CQ196" s="64" t="n"/>
      <c r="CR196" s="64" t="n"/>
      <c r="CS196" s="64" t="n"/>
      <c r="CT196" s="12" t="n"/>
      <c r="CU196" s="64" t="n"/>
      <c r="CV196" s="64" t="n"/>
      <c r="CW196" s="64" t="n"/>
      <c r="CX196" s="64" t="n"/>
      <c r="CY196" s="12" t="n"/>
    </row>
    <row r="197" hidden="1" outlineLevel="1">
      <c r="C197" s="57" t="inlineStr">
        <is>
          <t>Less: Minimum cash balance</t>
        </is>
      </c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  <c r="AA197" s="12" t="n"/>
      <c r="AB197" s="12" t="n"/>
      <c r="AC197" s="12" t="n"/>
      <c r="AD197" s="12" t="n"/>
      <c r="AE197" s="12" t="n"/>
      <c r="AF197" s="12" t="n"/>
      <c r="AG197" s="52" t="n"/>
      <c r="AH197" s="12">
        <f>($AG$197*AH15)</f>
        <v>0</v>
      </c>
      <c r="AI197" s="12">
        <f>($AG$197*AI15)</f>
        <v>0</v>
      </c>
      <c r="AJ197" s="12">
        <f>($AG$197*AJ15)</f>
        <v>0</v>
      </c>
      <c r="AK197" s="12">
        <f>($AG$197*AK15)</f>
        <v>0</v>
      </c>
      <c r="AL197" s="12" t="n"/>
      <c r="AM197" s="12">
        <f>($AG$197*AM15)</f>
        <v>0</v>
      </c>
      <c r="AN197" s="12">
        <f>($AG$197*AN15)</f>
        <v>0</v>
      </c>
      <c r="AO197" s="12">
        <f>($AG$197*AO15)</f>
        <v>0</v>
      </c>
      <c r="AP197" s="12">
        <f>($AG$197*AP15)</f>
        <v>0</v>
      </c>
      <c r="AQ197" s="12" t="n"/>
      <c r="AR197" s="12">
        <f>($AG$197*AR15)</f>
        <v>0</v>
      </c>
      <c r="AS197" s="12">
        <f>($AG$197*AS15)</f>
        <v>0</v>
      </c>
      <c r="AT197" s="12">
        <f>($AG$197*AT15)</f>
        <v>0</v>
      </c>
      <c r="AU197" s="12">
        <f>($AG$197*AU15)</f>
        <v>0</v>
      </c>
      <c r="AV197" s="12" t="n"/>
      <c r="AW197" s="12">
        <f>($AG$197*AW15)</f>
        <v>0</v>
      </c>
      <c r="AX197" s="12">
        <f>($AG$197*AX15)</f>
        <v>0</v>
      </c>
      <c r="AY197" s="12">
        <f>($AG$197*AY15)</f>
        <v>0</v>
      </c>
      <c r="AZ197" s="12">
        <f>($AG$197*AZ15)</f>
        <v>0</v>
      </c>
      <c r="BA197" s="12" t="n"/>
      <c r="BB197" s="12">
        <f>($AG$197*BB15)</f>
        <v>0</v>
      </c>
      <c r="BC197" s="12">
        <f>($AG$197*BC15)</f>
        <v>0</v>
      </c>
      <c r="BD197" s="12">
        <f>($AG$197*BD15)</f>
        <v>0</v>
      </c>
      <c r="BE197" s="12">
        <f>($AG$197*BE15)</f>
        <v>0</v>
      </c>
      <c r="BF197" s="12" t="n"/>
      <c r="BG197" s="12" t="n"/>
      <c r="BH197" s="12" t="n"/>
      <c r="BI197" s="12" t="n"/>
      <c r="BJ197" s="12" t="n"/>
      <c r="BK197" s="12" t="n"/>
      <c r="BL197" s="12" t="n"/>
      <c r="BM197" s="12" t="n"/>
      <c r="BN197" s="12" t="n"/>
      <c r="BO197" s="12" t="n"/>
      <c r="BP197" s="12" t="n"/>
      <c r="BQ197" s="12" t="n"/>
      <c r="BR197" s="12" t="n"/>
      <c r="BS197" s="12" t="n"/>
      <c r="BT197" s="12" t="n"/>
      <c r="BU197" s="12" t="n"/>
      <c r="BV197" s="12" t="n"/>
      <c r="BW197" s="12" t="n"/>
      <c r="BX197" s="12" t="n"/>
      <c r="BY197" s="12" t="n"/>
      <c r="BZ197" s="12" t="n"/>
      <c r="CA197" s="12" t="n"/>
      <c r="CB197" s="12" t="n"/>
      <c r="CC197" s="12" t="n"/>
      <c r="CD197" s="12" t="n"/>
      <c r="CE197" s="12" t="n"/>
      <c r="CF197" s="12" t="n"/>
      <c r="CG197" s="12" t="n"/>
      <c r="CH197" s="12" t="n"/>
      <c r="CI197" s="12" t="n"/>
      <c r="CJ197" s="12" t="n"/>
      <c r="CK197" s="12" t="n"/>
      <c r="CL197" s="12" t="n"/>
      <c r="CM197" s="12" t="n"/>
      <c r="CN197" s="12" t="n"/>
      <c r="CO197" s="12" t="n"/>
      <c r="CP197" s="12" t="n"/>
      <c r="CQ197" s="12" t="n"/>
      <c r="CR197" s="12" t="n"/>
      <c r="CS197" s="12" t="n"/>
      <c r="CT197" s="12" t="n"/>
      <c r="CU197" s="12" t="n"/>
      <c r="CV197" s="12" t="n"/>
      <c r="CW197" s="12" t="n"/>
      <c r="CX197" s="12" t="n"/>
      <c r="CY197" s="12" t="n"/>
    </row>
    <row r="198" hidden="1" outlineLevel="1">
      <c r="C198" s="57" t="inlineStr">
        <is>
          <t>Total cash available / (debt required) for short term debt paydown</t>
        </is>
      </c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  <c r="AA198" s="12" t="n"/>
      <c r="AB198" s="12" t="n"/>
      <c r="AC198" s="12" t="n"/>
      <c r="AD198" s="12" t="n"/>
      <c r="AE198" s="12" t="n"/>
      <c r="AF198" s="12" t="n"/>
      <c r="AG198" s="12" t="n"/>
      <c r="AH198" s="3">
        <f>AH195+AH196-AH197-AF185+AH187+AH191</f>
        <v>2250.50703588</v>
      </c>
      <c r="AI198" s="3">
        <f>AI195+AI196-AI197-AG185+AI187+AI191</f>
        <v>29.1137920000003</v>
      </c>
      <c r="AJ198" s="3">
        <f>AJ195+AJ196-AJ197-AH185+AJ187+AJ191</f>
        <v>-311.442</v>
      </c>
      <c r="AK198" s="3">
        <f>AK195+AK196-AK197-AI185+AK187+AK191</f>
        <v>0</v>
      </c>
      <c r="AL198" s="12" t="n"/>
      <c r="AM198" s="3">
        <f>AM195+AM196-AM197-AK185+AM187+AM191</f>
        <v>2891.87083440185</v>
      </c>
      <c r="AN198" s="3">
        <f>AN195+AN196-AN197-AL185+AN187+AN191</f>
        <v>0</v>
      </c>
      <c r="AO198" s="3">
        <f>AO195+AO196-AO197-AM185+AO187+AO191</f>
        <v>-667.641</v>
      </c>
      <c r="AP198" s="3">
        <f>AP195+AP196-AP197-AN185+AP187+AP191</f>
        <v>0</v>
      </c>
      <c r="AQ198" s="12" t="n"/>
      <c r="AR198" s="3">
        <f>AR195+AR196-AR197-AP185+AR187+AR191</f>
        <v>4588.91219878654</v>
      </c>
      <c r="AS198" s="3">
        <f>AS195+AS196-AS197-AQ185+AS187+AS191</f>
        <v>0</v>
      </c>
      <c r="AT198" s="3">
        <f>AT195+AT196-AT197-AR185+AT187+AT191</f>
        <v>-667.641</v>
      </c>
      <c r="AU198" s="3">
        <f>AU195+AU196-AU197-AS185+AU187+AU191</f>
        <v>0</v>
      </c>
      <c r="AV198" s="12" t="n"/>
      <c r="AW198" s="3">
        <f>AW195+AW196-AW197-AU185+AW187+AW191</f>
        <v>6514.08339043077</v>
      </c>
      <c r="AX198" s="3">
        <f>AX195+AX196-AX197-AV185+AX187+AX191</f>
        <v>0</v>
      </c>
      <c r="AY198" s="3">
        <f>AY195+AY196-AY197-AW185+AY187+AY191</f>
        <v>-667.641</v>
      </c>
      <c r="AZ198" s="3">
        <f>AZ195+AZ196-AZ197-AX185+AZ187+AZ191</f>
        <v>0</v>
      </c>
      <c r="BA198" s="12" t="n"/>
      <c r="BB198" s="3">
        <f>BB195+BB196-BB197-AZ185+BB187+BB191</f>
        <v>8694.44228541979</v>
      </c>
      <c r="BC198" s="3">
        <f>BC195+BC196-BC197-BA185+BC187+BC191</f>
        <v>0</v>
      </c>
      <c r="BD198" s="3">
        <f>BD195+BD196-BD197-BB185+BD187+BD191</f>
        <v>-667.641</v>
      </c>
      <c r="BE198" s="3">
        <f>BE195+BE196-BE197-BC185+BE187+BE191</f>
        <v>0</v>
      </c>
      <c r="BF198" s="12" t="n"/>
      <c r="BG198" s="3" t="n"/>
      <c r="BH198" s="3" t="n"/>
      <c r="BI198" s="3" t="n"/>
      <c r="BJ198" s="3" t="n"/>
      <c r="BK198" s="12" t="n"/>
      <c r="BL198" s="3" t="n"/>
      <c r="BM198" s="3" t="n"/>
      <c r="BN198" s="3" t="n"/>
      <c r="BO198" s="3" t="n"/>
      <c r="BP198" s="12" t="n"/>
      <c r="BQ198" s="3" t="n"/>
      <c r="BR198" s="3" t="n"/>
      <c r="BS198" s="3" t="n"/>
      <c r="BT198" s="3" t="n"/>
      <c r="BU198" s="12" t="n"/>
      <c r="BV198" s="3" t="n"/>
      <c r="BW198" s="3" t="n"/>
      <c r="BX198" s="3" t="n"/>
      <c r="BY198" s="3" t="n"/>
      <c r="BZ198" s="12" t="n"/>
      <c r="CA198" s="3" t="n"/>
      <c r="CB198" s="3" t="n"/>
      <c r="CC198" s="3" t="n"/>
      <c r="CD198" s="3" t="n"/>
      <c r="CE198" s="12" t="n"/>
      <c r="CF198" s="3" t="n"/>
      <c r="CG198" s="3" t="n"/>
      <c r="CH198" s="3" t="n"/>
      <c r="CI198" s="3" t="n"/>
      <c r="CJ198" s="12" t="n"/>
      <c r="CK198" s="3" t="n"/>
      <c r="CL198" s="3" t="n"/>
      <c r="CM198" s="3" t="n"/>
      <c r="CN198" s="3" t="n"/>
      <c r="CO198" s="12" t="n"/>
      <c r="CP198" s="3" t="n"/>
      <c r="CQ198" s="3" t="n"/>
      <c r="CR198" s="3" t="n"/>
      <c r="CS198" s="3" t="n"/>
      <c r="CT198" s="12" t="n"/>
      <c r="CU198" s="3" t="n"/>
      <c r="CV198" s="3" t="n"/>
      <c r="CW198" s="3" t="n"/>
      <c r="CX198" s="3" t="n"/>
      <c r="CY198" s="12" t="n"/>
    </row>
    <row r="199" hidden="1" outlineLevel="1">
      <c r="C199" s="57" t="inlineStr">
        <is>
          <t>Short term debt</t>
        </is>
      </c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  <c r="AA199" s="12" t="n"/>
      <c r="AB199" s="12" t="n"/>
      <c r="AC199" s="12" t="n"/>
      <c r="AD199" s="12" t="n"/>
      <c r="AE199" s="12" t="n"/>
      <c r="AF199" s="12" t="n"/>
      <c r="AG199" s="12" t="n"/>
      <c r="AH199" s="12">
        <f>AH179</f>
        <v>0</v>
      </c>
      <c r="AI199" s="12">
        <f>MAX(0,AH199-AI198)</f>
        <v>0</v>
      </c>
      <c r="AJ199" s="12">
        <f>MAX(0,AI199-AJ198)</f>
        <v>311.442</v>
      </c>
      <c r="AK199" s="12">
        <f>MAX(0,AJ199-AK198)</f>
        <v>311.442</v>
      </c>
      <c r="AL199" s="12" t="n"/>
      <c r="AM199" s="12">
        <f>AM179</f>
        <v>0</v>
      </c>
      <c r="AN199" s="12">
        <f>MAX(0,AM199-AN198)</f>
        <v>0</v>
      </c>
      <c r="AO199" s="12">
        <f>MAX(0,AN199-AO198)</f>
        <v>667.641</v>
      </c>
      <c r="AP199" s="12">
        <f>MAX(0,AO199-AP198)</f>
        <v>667.641</v>
      </c>
      <c r="AQ199" s="12" t="n"/>
      <c r="AR199" s="12">
        <f>AR179</f>
        <v>0</v>
      </c>
      <c r="AS199" s="12">
        <f>MAX(0,AR199-AS198)</f>
        <v>0</v>
      </c>
      <c r="AT199" s="12">
        <f>MAX(0,AS199-AT198)</f>
        <v>667.641</v>
      </c>
      <c r="AU199" s="12">
        <f>MAX(0,AT199-AU198)</f>
        <v>667.641</v>
      </c>
      <c r="AV199" s="12" t="n"/>
      <c r="AW199" s="12">
        <f>AW179</f>
        <v>0</v>
      </c>
      <c r="AX199" s="12">
        <f>MAX(0,AW199-AX198)</f>
        <v>0</v>
      </c>
      <c r="AY199" s="12">
        <f>MAX(0,AX199-AY198)</f>
        <v>667.641</v>
      </c>
      <c r="AZ199" s="12">
        <f>MAX(0,AY199-AZ198)</f>
        <v>667.641</v>
      </c>
      <c r="BA199" s="12" t="n"/>
      <c r="BB199" s="12">
        <f>BB179</f>
        <v>0</v>
      </c>
      <c r="BC199" s="12">
        <f>MAX(0,BB199-BC198)</f>
        <v>0</v>
      </c>
      <c r="BD199" s="12">
        <f>MAX(0,BC199-BD198)</f>
        <v>667.641</v>
      </c>
      <c r="BE199" s="12">
        <f>MAX(0,BD199-BE198)</f>
        <v>667.641</v>
      </c>
      <c r="BF199" s="12" t="n"/>
      <c r="BG199" s="12" t="n"/>
      <c r="BH199" s="12" t="n"/>
      <c r="BI199" s="12" t="n"/>
      <c r="BJ199" s="12" t="n"/>
      <c r="BK199" s="12" t="n"/>
      <c r="BL199" s="12" t="n"/>
      <c r="BM199" s="12" t="n"/>
      <c r="BN199" s="12" t="n"/>
      <c r="BO199" s="12" t="n"/>
      <c r="BP199" s="12" t="n"/>
      <c r="BQ199" s="12" t="n"/>
      <c r="BR199" s="12" t="n"/>
      <c r="BS199" s="12" t="n"/>
      <c r="BT199" s="12" t="n"/>
      <c r="BU199" s="12" t="n"/>
      <c r="BV199" s="12" t="n"/>
      <c r="BW199" s="12" t="n"/>
      <c r="BX199" s="12" t="n"/>
      <c r="BY199" s="12" t="n"/>
      <c r="BZ199" s="12" t="n"/>
      <c r="CA199" s="12" t="n"/>
      <c r="CB199" s="12" t="n"/>
      <c r="CC199" s="12" t="n"/>
      <c r="CD199" s="12" t="n"/>
      <c r="CE199" s="12" t="n"/>
      <c r="CF199" s="12" t="n"/>
      <c r="CG199" s="12" t="n"/>
      <c r="CH199" s="12" t="n"/>
      <c r="CI199" s="12" t="n"/>
      <c r="CJ199" s="12" t="n"/>
      <c r="CK199" s="12" t="n"/>
      <c r="CL199" s="12" t="n"/>
      <c r="CM199" s="12" t="n"/>
      <c r="CN199" s="12" t="n"/>
      <c r="CO199" s="12" t="n"/>
      <c r="CP199" s="12" t="n"/>
      <c r="CQ199" s="12" t="n"/>
      <c r="CR199" s="12" t="n"/>
      <c r="CS199" s="12" t="n"/>
      <c r="CT199" s="12" t="n"/>
      <c r="CU199" s="12" t="n"/>
      <c r="CV199" s="12" t="n"/>
      <c r="CW199" s="12" t="n"/>
      <c r="CX199" s="12" t="n"/>
      <c r="CY199" s="12" t="n"/>
    </row>
    <row r="200" hidden="1" outlineLevel="1">
      <c r="C200" s="57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  <c r="Z200" s="12" t="n"/>
      <c r="AA200" s="12" t="n"/>
      <c r="AB200" s="12" t="n"/>
      <c r="AC200" s="12" t="n"/>
      <c r="AD200" s="12" t="n"/>
      <c r="AE200" s="12" t="n"/>
      <c r="AF200" s="12" t="n"/>
      <c r="AG200" s="12" t="n"/>
      <c r="AH200" s="12" t="n"/>
      <c r="AI200" s="12" t="n"/>
      <c r="AJ200" s="12" t="n"/>
      <c r="AK200" s="12" t="n"/>
      <c r="AL200" s="12" t="n"/>
      <c r="AM200" s="12" t="n"/>
      <c r="AN200" s="12" t="n"/>
      <c r="AO200" s="12" t="n"/>
      <c r="AP200" s="12" t="n"/>
      <c r="AQ200" s="12" t="n"/>
      <c r="AR200" s="12" t="n"/>
      <c r="AS200" s="12" t="n"/>
      <c r="AT200" s="12" t="n"/>
      <c r="AU200" s="12" t="n"/>
      <c r="AV200" s="12" t="n"/>
      <c r="AW200" s="12" t="n"/>
      <c r="AX200" s="12" t="n"/>
      <c r="AY200" s="12" t="n"/>
      <c r="AZ200" s="12" t="n"/>
      <c r="BA200" s="12" t="n"/>
      <c r="BB200" s="12" t="n"/>
      <c r="BC200" s="12" t="n"/>
      <c r="BD200" s="12" t="n"/>
      <c r="BE200" s="12" t="n"/>
      <c r="BF200" s="12" t="n"/>
      <c r="BG200" s="12" t="n"/>
      <c r="BH200" s="12" t="n"/>
      <c r="BI200" s="12" t="n"/>
      <c r="BJ200" s="12" t="n"/>
      <c r="BK200" s="12" t="n"/>
      <c r="BL200" s="12" t="n"/>
      <c r="BM200" s="12" t="n"/>
      <c r="BN200" s="12" t="n"/>
      <c r="BO200" s="12" t="n"/>
      <c r="BP200" s="12" t="n"/>
      <c r="BQ200" s="12" t="n"/>
      <c r="BR200" s="12" t="n"/>
      <c r="BS200" s="12" t="n"/>
      <c r="BT200" s="12" t="n"/>
      <c r="BU200" s="12" t="n"/>
      <c r="BV200" s="12" t="n"/>
      <c r="BW200" s="12" t="n"/>
      <c r="BX200" s="12" t="n"/>
      <c r="BY200" s="12" t="n"/>
      <c r="BZ200" s="12" t="n"/>
      <c r="CA200" s="12" t="n"/>
      <c r="CB200" s="12" t="n"/>
      <c r="CC200" s="12" t="n"/>
      <c r="CD200" s="12" t="n"/>
      <c r="CE200" s="12" t="n"/>
      <c r="CF200" s="12" t="n"/>
      <c r="CG200" s="12" t="n"/>
      <c r="CH200" s="12" t="n"/>
      <c r="CI200" s="12" t="n"/>
      <c r="CJ200" s="12" t="n"/>
      <c r="CK200" s="12" t="n"/>
      <c r="CL200" s="12" t="n"/>
      <c r="CM200" s="12" t="n"/>
      <c r="CN200" s="12" t="n"/>
      <c r="CO200" s="12" t="n"/>
      <c r="CP200" s="12" t="n"/>
      <c r="CQ200" s="12" t="n"/>
      <c r="CR200" s="12" t="n"/>
      <c r="CS200" s="12" t="n"/>
      <c r="CT200" s="12" t="n"/>
      <c r="CU200" s="12" t="n"/>
      <c r="CV200" s="12" t="n"/>
      <c r="CW200" s="12" t="n"/>
      <c r="CX200" s="12" t="n"/>
      <c r="CY200" s="12" t="n"/>
    </row>
    <row r="201" collapsed="1">
      <c r="C201" s="14" t="inlineStr">
        <is>
          <t>Long term operating leases</t>
        </is>
      </c>
      <c r="D201" s="46" t="n"/>
      <c r="E201" s="46" t="n"/>
      <c r="F201" s="46" t="n"/>
      <c r="G201" s="46" t="n"/>
      <c r="H201" s="12" t="n"/>
      <c r="I201" s="46">
        <f>'Inputs (2)'!D36</f>
        <v>653.30756924</v>
      </c>
      <c r="J201" s="46">
        <f>'Inputs (2)'!E36</f>
        <v>637.70299012</v>
      </c>
      <c r="K201" s="46">
        <f>'Inputs (2)'!F36</f>
        <v>660.67497517</v>
      </c>
      <c r="L201" s="46">
        <f>'Inputs (2)'!G36</f>
        <v>694.57460451</v>
      </c>
      <c r="M201" s="12">
        <f>'Inputs (2)'!H36</f>
        <v>694.57460451</v>
      </c>
      <c r="N201" s="46">
        <f>'Inputs (2)'!I36</f>
        <v>731.44314163</v>
      </c>
      <c r="O201" s="46">
        <f>'Inputs (2)'!J36</f>
        <v>754.21563203</v>
      </c>
      <c r="P201" s="46">
        <f>'Inputs (2)'!K36</f>
        <v>735.36389905</v>
      </c>
      <c r="Q201" s="46">
        <f>'Inputs (2)'!L36</f>
        <v>943.34829983</v>
      </c>
      <c r="R201" s="12">
        <f>'Inputs (2)'!M36</f>
        <v>943.34829983</v>
      </c>
      <c r="S201" s="46">
        <f>'Inputs (2)'!N36</f>
        <v>928.19154368</v>
      </c>
      <c r="T201" s="46">
        <f>'Inputs (2)'!O36</f>
        <v>1191.85</v>
      </c>
      <c r="U201" s="46">
        <f>'Inputs (2)'!P36</f>
        <v>1167.495</v>
      </c>
      <c r="V201" s="46">
        <f>'Inputs (2)'!Q36</f>
        <v>1159.409</v>
      </c>
      <c r="W201" s="12">
        <f>'Inputs (2)'!R36</f>
        <v>1159.409</v>
      </c>
      <c r="X201" s="46">
        <f>'Inputs (2)'!S36</f>
        <v>1112.521</v>
      </c>
      <c r="Y201" s="46">
        <f>'Inputs (2)'!T36</f>
        <v>1061.775</v>
      </c>
      <c r="Z201" s="46">
        <f>'Inputs (2)'!U36</f>
        <v>1015.306</v>
      </c>
      <c r="AA201" s="46">
        <f>'Inputs (2)'!V36</f>
        <v>995.637</v>
      </c>
      <c r="AB201" s="12">
        <f>'Inputs (2)'!W36</f>
        <v>995.637</v>
      </c>
      <c r="AC201" s="46">
        <f>'Inputs (2)'!X36</f>
        <v>977.075</v>
      </c>
      <c r="AD201" s="46">
        <f>'Inputs (2)'!Y36</f>
        <v>936.924</v>
      </c>
      <c r="AE201" s="46">
        <f>'Inputs (2)'!Z36</f>
        <v>935.366</v>
      </c>
      <c r="AF201" s="46">
        <f>'Inputs (2)'!AA36</f>
        <v>922.242</v>
      </c>
      <c r="AG201" s="12">
        <f>'Inputs (2)'!AB36</f>
        <v>922.242</v>
      </c>
      <c r="AH201" s="12">
        <f>'Inputs (2)'!AC36</f>
        <v>910.562</v>
      </c>
      <c r="AI201" s="12">
        <f>'Inputs (2)'!AD36</f>
        <v>1041.536</v>
      </c>
      <c r="AJ201" s="12">
        <f>AI201</f>
        <v>1041.536</v>
      </c>
      <c r="AK201" s="12">
        <f>AJ201</f>
        <v>1041.536</v>
      </c>
      <c r="AL201" s="12">
        <f>AK201</f>
        <v>1041.536</v>
      </c>
      <c r="AM201" s="12">
        <f>AL201</f>
        <v>1041.536</v>
      </c>
      <c r="AN201" s="12">
        <f>AM201</f>
        <v>1041.536</v>
      </c>
      <c r="AO201" s="12">
        <f>AN201</f>
        <v>1041.536</v>
      </c>
      <c r="AP201" s="12">
        <f>AO201</f>
        <v>1041.536</v>
      </c>
      <c r="AQ201" s="12">
        <f>AP201</f>
        <v>1041.536</v>
      </c>
      <c r="AR201" s="12">
        <f>AQ201</f>
        <v>1041.536</v>
      </c>
      <c r="AS201" s="12">
        <f>AR201</f>
        <v>1041.536</v>
      </c>
      <c r="AT201" s="12">
        <f>AS201</f>
        <v>1041.536</v>
      </c>
      <c r="AU201" s="12">
        <f>AT201</f>
        <v>1041.536</v>
      </c>
      <c r="AV201" s="12">
        <f>AU201</f>
        <v>1041.536</v>
      </c>
      <c r="AW201" s="12">
        <f>AV201</f>
        <v>1041.536</v>
      </c>
      <c r="AX201" s="12">
        <f>AW201</f>
        <v>1041.536</v>
      </c>
      <c r="AY201" s="12">
        <f>AX201</f>
        <v>1041.536</v>
      </c>
      <c r="AZ201" s="12">
        <f>AY201</f>
        <v>1041.536</v>
      </c>
      <c r="BA201" s="12">
        <f>AZ201</f>
        <v>1041.536</v>
      </c>
      <c r="BB201" s="12">
        <f>BA201</f>
        <v>1041.536</v>
      </c>
      <c r="BC201" s="12">
        <f>BB201</f>
        <v>1041.536</v>
      </c>
      <c r="BD201" s="12">
        <f>BC201</f>
        <v>1041.536</v>
      </c>
      <c r="BE201" s="12">
        <f>BD201</f>
        <v>1041.536</v>
      </c>
      <c r="BF201" s="12">
        <f>BE201</f>
        <v>1041.536</v>
      </c>
      <c r="BG201" s="12" t="n"/>
      <c r="BH201" s="12" t="n"/>
      <c r="BI201" s="12" t="n"/>
      <c r="BJ201" s="12" t="n"/>
      <c r="BK201" s="12" t="n"/>
      <c r="BL201" s="12" t="n"/>
      <c r="BM201" s="12" t="n"/>
      <c r="BN201" s="12" t="n"/>
      <c r="BO201" s="12" t="n"/>
      <c r="BP201" s="12" t="n"/>
      <c r="BQ201" s="12" t="n"/>
      <c r="BR201" s="12" t="n"/>
      <c r="BS201" s="12" t="n"/>
      <c r="BT201" s="12" t="n"/>
      <c r="BU201" s="12" t="n"/>
      <c r="BV201" s="12" t="n"/>
      <c r="BW201" s="12" t="n"/>
      <c r="BX201" s="12" t="n"/>
      <c r="BY201" s="12" t="n"/>
      <c r="BZ201" s="12" t="n"/>
      <c r="CA201" s="12" t="n"/>
      <c r="CB201" s="12" t="n"/>
      <c r="CC201" s="12" t="n"/>
      <c r="CD201" s="12" t="n"/>
      <c r="CE201" s="12" t="n"/>
      <c r="CF201" s="12" t="n"/>
      <c r="CG201" s="12" t="n"/>
      <c r="CH201" s="12" t="n"/>
      <c r="CI201" s="12" t="n"/>
      <c r="CJ201" s="12" t="n"/>
      <c r="CK201" s="12" t="n"/>
      <c r="CL201" s="12" t="n"/>
      <c r="CM201" s="12" t="n"/>
      <c r="CN201" s="12" t="n"/>
      <c r="CO201" s="12" t="n"/>
      <c r="CP201" s="12" t="n"/>
      <c r="CQ201" s="12" t="n"/>
      <c r="CR201" s="12" t="n"/>
      <c r="CS201" s="12" t="n"/>
      <c r="CT201" s="12" t="n"/>
      <c r="CU201" s="12" t="n"/>
      <c r="CV201" s="12" t="n"/>
      <c r="CW201" s="12" t="n"/>
      <c r="CX201" s="12" t="n"/>
      <c r="CY201" s="12" t="n"/>
    </row>
    <row r="202" hidden="1" outlineLevel="1">
      <c r="C202" s="59" t="inlineStr">
        <is>
          <t>%(Var.)</t>
        </is>
      </c>
      <c r="D202" s="12" t="n"/>
      <c r="E202" s="40" t="n"/>
      <c r="F202" s="40" t="n"/>
      <c r="G202" s="40" t="n"/>
      <c r="H202" s="12" t="n"/>
      <c r="I202" s="40" t="str">
        <f>""</f>
        <v/>
      </c>
      <c r="J202" s="40">
        <f>IFERROR(IF(I201=0,"",J201/I201-1),"")</f>
        <v>-0.0238855017984149</v>
      </c>
      <c r="K202" s="40">
        <f>IFERROR(IF(J201=0,"",K201/J201-1),"")</f>
        <v>0.0360230160527824</v>
      </c>
      <c r="L202" s="40">
        <f>IFERROR(IF(K201=0,"",L201/K201-1),"")</f>
        <v>0.0513105999380061</v>
      </c>
      <c r="M202" s="12">
        <f>IF(L201=0,"",M201/L201-1)</f>
        <v>0</v>
      </c>
      <c r="N202" s="40">
        <f>IFERROR(IF(M201=0,"",N201/M201-1),"")</f>
        <v>0.0530807445026149</v>
      </c>
      <c r="O202" s="40">
        <f>IFERROR(IF(N201=0,"",O201/N201-1),"")</f>
        <v>0.0311336440304193</v>
      </c>
      <c r="P202" s="40">
        <f>IFERROR(IF(O201=0,"",P201/O201-1),"")</f>
        <v>-0.0249951501658217</v>
      </c>
      <c r="Q202" s="40">
        <f>IFERROR(IF(P201=0,"",Q201/P201-1),"")</f>
        <v>0.282831943543449</v>
      </c>
      <c r="R202" s="12">
        <f>IF(Q201=0,"",R201/Q201-1)</f>
        <v>0</v>
      </c>
      <c r="S202" s="40">
        <f>IFERROR(IF(R201=0,"",S201/R201-1),"")</f>
        <v>-0.0160669777564993</v>
      </c>
      <c r="T202" s="40">
        <f>IFERROR(IF(S201=0,"",T201/S201-1),"")</f>
        <v>0.284056085314755</v>
      </c>
      <c r="U202" s="40">
        <f>IFERROR(IF(T201=0,"",U201/T201-1),"")</f>
        <v>-0.0204346184503084</v>
      </c>
      <c r="V202" s="40">
        <f>IFERROR(IF(U201=0,"",V201/U201-1),"")</f>
        <v>-0.0069259397256517</v>
      </c>
      <c r="W202" s="12">
        <f>IF(V201=0,"",W201/V201-1)</f>
        <v>0</v>
      </c>
      <c r="X202" s="40">
        <f>IFERROR(IF(W201=0,"",X201/W201-1),"")</f>
        <v>-0.0404412937970985</v>
      </c>
      <c r="Y202" s="40">
        <f>IFERROR(IF(X201=0,"",Y201/X201-1),"")</f>
        <v>-0.0456135210031989</v>
      </c>
      <c r="Z202" s="40">
        <f>IFERROR(IF(Y201=0,"",Z201/Y201-1),"")</f>
        <v>-0.043765392856302</v>
      </c>
      <c r="AA202" s="40">
        <f>IFERROR(IF(Z201=0,"",AA201/Z201-1),"")</f>
        <v>-0.0193724847484404</v>
      </c>
      <c r="AB202" s="12">
        <f>IF(AA201=0,"",AB201/AA201-1)</f>
        <v>0</v>
      </c>
      <c r="AC202" s="40">
        <f>IFERROR(IF(AB201=0,"",AC201/AB201-1),"")</f>
        <v>-0.0186433408963306</v>
      </c>
      <c r="AD202" s="40">
        <f>IFERROR(IF(AC201=0,"",AD201/AC201-1),"")</f>
        <v>-0.0410930583629712</v>
      </c>
      <c r="AE202" s="40">
        <f>IFERROR(IF(AD201=0,"",AE201/AD201-1),"")</f>
        <v>-0.00166288834526596</v>
      </c>
      <c r="AF202" s="41">
        <f>IFERROR(IF(AE201=0,"",AF201/AE201-1),"")</f>
        <v>-0.0140308713380645</v>
      </c>
      <c r="AG202" s="12">
        <f>IF(AF201=0,"",AG201/AF201-1)</f>
        <v>0</v>
      </c>
      <c r="AH202" s="11">
        <f>IFERROR(IF(AG201=0,"",AH201/AG201-1),"")</f>
        <v>-0.0126647886346534</v>
      </c>
      <c r="AI202" s="11">
        <f>IFERROR(IF(AH201=0,"",AI201/AH201-1),"")</f>
        <v>0.143838640312247</v>
      </c>
      <c r="AJ202" s="11">
        <f>IFERROR(IF(AI201=0,"",AJ201/AI201-1),"")</f>
        <v>0</v>
      </c>
      <c r="AK202" s="11">
        <f>IFERROR(IF(AJ201=0,"",AK201/AJ201-1),"")</f>
        <v>0</v>
      </c>
      <c r="AL202" s="12">
        <f>IFERROR(IF(AK201=0,"",AL201/AK201-1),"")</f>
        <v>0</v>
      </c>
      <c r="AM202" s="11">
        <f>IFERROR(IF(AL201=0,"",AM201/AL201-1),"")</f>
        <v>0</v>
      </c>
      <c r="AN202" s="11">
        <f>IFERROR(IF(AM201=0,"",AN201/AM201-1),"")</f>
        <v>0</v>
      </c>
      <c r="AO202" s="11">
        <f>IFERROR(IF(AN201=0,"",AO201/AN201-1),"")</f>
        <v>0</v>
      </c>
      <c r="AP202" s="11">
        <f>IFERROR(IF(AO201=0,"",AP201/AO201-1),"")</f>
        <v>0</v>
      </c>
      <c r="AQ202" s="12">
        <f>IFERROR(IF(AP201=0,"",AQ201/AP201-1),"")</f>
        <v>0</v>
      </c>
      <c r="AR202" s="11">
        <f>IFERROR(IF(AQ201=0,"",AR201/AQ201-1),"")</f>
        <v>0</v>
      </c>
      <c r="AS202" s="11">
        <f>IFERROR(IF(AR201=0,"",AS201/AR201-1),"")</f>
        <v>0</v>
      </c>
      <c r="AT202" s="11">
        <f>IFERROR(IF(AS201=0,"",AT201/AS201-1),"")</f>
        <v>0</v>
      </c>
      <c r="AU202" s="11">
        <f>IFERROR(IF(AT201=0,"",AU201/AT201-1),"")</f>
        <v>0</v>
      </c>
      <c r="AV202" s="12">
        <f>IFERROR(IF(AU201=0,"",AV201/AU201-1),"")</f>
        <v>0</v>
      </c>
      <c r="AW202" s="11">
        <f>IFERROR(IF(AV201=0,"",AW201/AV201-1),"")</f>
        <v>0</v>
      </c>
      <c r="AX202" s="11">
        <f>IFERROR(IF(AW201=0,"",AX201/AW201-1),"")</f>
        <v>0</v>
      </c>
      <c r="AY202" s="11">
        <f>IFERROR(IF(AX201=0,"",AY201/AX201-1),"")</f>
        <v>0</v>
      </c>
      <c r="AZ202" s="11">
        <f>IFERROR(IF(AY201=0,"",AZ201/AY201-1),"")</f>
        <v>0</v>
      </c>
      <c r="BA202" s="12">
        <f>IFERROR(IF(AZ201=0,"",BA201/AZ201-1),"")</f>
        <v>0</v>
      </c>
      <c r="BB202" s="11">
        <f>IFERROR(IF(BA201=0,"",BB201/BA201-1),"")</f>
        <v>0</v>
      </c>
      <c r="BC202" s="11">
        <f>IFERROR(IF(BB201=0,"",BC201/BB201-1),"")</f>
        <v>0</v>
      </c>
      <c r="BD202" s="11">
        <f>IFERROR(IF(BC201=0,"",BD201/BC201-1),"")</f>
        <v>0</v>
      </c>
      <c r="BE202" s="11">
        <f>IFERROR(IF(BD201=0,"",BE201/BD201-1),"")</f>
        <v>0</v>
      </c>
      <c r="BF202" s="12">
        <f>IFERROR(IF(BE201=0,"",BF201/BE201-1),"")</f>
        <v>0</v>
      </c>
      <c r="BG202" s="11" t="n"/>
      <c r="BH202" s="11" t="n"/>
      <c r="BI202" s="11" t="n"/>
      <c r="BJ202" s="11" t="n"/>
      <c r="BK202" s="12" t="n"/>
      <c r="BL202" s="11" t="n"/>
      <c r="BM202" s="11" t="n"/>
      <c r="BN202" s="11" t="n"/>
      <c r="BO202" s="11" t="n"/>
      <c r="BP202" s="12" t="n"/>
      <c r="BQ202" s="11" t="n"/>
      <c r="BR202" s="11" t="n"/>
      <c r="BS202" s="11" t="n"/>
      <c r="BT202" s="11" t="n"/>
      <c r="BU202" s="12" t="n"/>
      <c r="BV202" s="11" t="n"/>
      <c r="BW202" s="11" t="n"/>
      <c r="BX202" s="11" t="n"/>
      <c r="BY202" s="11" t="n"/>
      <c r="BZ202" s="12" t="n"/>
      <c r="CA202" s="11" t="n"/>
      <c r="CB202" s="11" t="n"/>
      <c r="CC202" s="11" t="n"/>
      <c r="CD202" s="11" t="n"/>
      <c r="CE202" s="12" t="n"/>
      <c r="CF202" s="11" t="n"/>
      <c r="CG202" s="11" t="n"/>
      <c r="CH202" s="11" t="n"/>
      <c r="CI202" s="11" t="n"/>
      <c r="CJ202" s="12" t="n"/>
      <c r="CK202" s="11" t="n"/>
      <c r="CL202" s="11" t="n"/>
      <c r="CM202" s="11" t="n"/>
      <c r="CN202" s="11" t="n"/>
      <c r="CO202" s="12" t="n"/>
      <c r="CP202" s="11" t="n"/>
      <c r="CQ202" s="11" t="n"/>
      <c r="CR202" s="11" t="n"/>
      <c r="CS202" s="11" t="n"/>
      <c r="CT202" s="12" t="n"/>
      <c r="CU202" s="11" t="n"/>
      <c r="CV202" s="11" t="n"/>
      <c r="CW202" s="11" t="n"/>
      <c r="CX202" s="11" t="n"/>
      <c r="CY202" s="12" t="n"/>
    </row>
    <row r="203" hidden="1" outlineLevel="1">
      <c r="C203" s="57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  <c r="AB203" s="12" t="n"/>
      <c r="AC203" s="12" t="n"/>
      <c r="AD203" s="12" t="n"/>
      <c r="AE203" s="12" t="n"/>
      <c r="AF203" s="12" t="n"/>
      <c r="AG203" s="12" t="n"/>
      <c r="AH203" s="12" t="n"/>
      <c r="AI203" s="12" t="n"/>
      <c r="AJ203" s="12" t="n"/>
      <c r="AK203" s="12" t="n"/>
      <c r="AL203" s="12" t="n"/>
      <c r="AM203" s="12" t="n"/>
      <c r="AN203" s="12" t="n"/>
      <c r="AO203" s="12" t="n"/>
      <c r="AP203" s="12" t="n"/>
      <c r="AQ203" s="12" t="n"/>
      <c r="AR203" s="12" t="n"/>
      <c r="AS203" s="12" t="n"/>
      <c r="AT203" s="12" t="n"/>
      <c r="AU203" s="12" t="n"/>
      <c r="AV203" s="12" t="n"/>
      <c r="AW203" s="12" t="n"/>
      <c r="AX203" s="12" t="n"/>
      <c r="AY203" s="12" t="n"/>
      <c r="AZ203" s="12" t="n"/>
      <c r="BA203" s="12" t="n"/>
      <c r="BB203" s="12" t="n"/>
      <c r="BC203" s="12" t="n"/>
      <c r="BD203" s="12" t="n"/>
      <c r="BE203" s="12" t="n"/>
      <c r="BF203" s="12" t="n"/>
      <c r="BG203" s="12" t="n"/>
      <c r="BH203" s="12" t="n"/>
      <c r="BI203" s="12" t="n"/>
      <c r="BJ203" s="12" t="n"/>
      <c r="BK203" s="12" t="n"/>
      <c r="BL203" s="12" t="n"/>
      <c r="BM203" s="12" t="n"/>
      <c r="BN203" s="12" t="n"/>
      <c r="BO203" s="12" t="n"/>
      <c r="BP203" s="12" t="n"/>
      <c r="BQ203" s="12" t="n"/>
      <c r="BR203" s="12" t="n"/>
      <c r="BS203" s="12" t="n"/>
      <c r="BT203" s="12" t="n"/>
      <c r="BU203" s="12" t="n"/>
      <c r="BV203" s="12" t="n"/>
      <c r="BW203" s="12" t="n"/>
      <c r="BX203" s="12" t="n"/>
      <c r="BY203" s="12" t="n"/>
      <c r="BZ203" s="12" t="n"/>
      <c r="CA203" s="12" t="n"/>
      <c r="CB203" s="12" t="n"/>
      <c r="CC203" s="12" t="n"/>
      <c r="CD203" s="12" t="n"/>
      <c r="CE203" s="12" t="n"/>
      <c r="CF203" s="12" t="n"/>
      <c r="CG203" s="12" t="n"/>
      <c r="CH203" s="12" t="n"/>
      <c r="CI203" s="12" t="n"/>
      <c r="CJ203" s="12" t="n"/>
      <c r="CK203" s="12" t="n"/>
      <c r="CL203" s="12" t="n"/>
      <c r="CM203" s="12" t="n"/>
      <c r="CN203" s="12" t="n"/>
      <c r="CO203" s="12" t="n"/>
      <c r="CP203" s="12" t="n"/>
      <c r="CQ203" s="12" t="n"/>
      <c r="CR203" s="12" t="n"/>
      <c r="CS203" s="12" t="n"/>
      <c r="CT203" s="12" t="n"/>
      <c r="CU203" s="12" t="n"/>
      <c r="CV203" s="12" t="n"/>
      <c r="CW203" s="12" t="n"/>
      <c r="CX203" s="12" t="n"/>
      <c r="CY203" s="12" t="n"/>
    </row>
    <row r="204" collapsed="1">
      <c r="C204" s="14" t="inlineStr">
        <is>
          <t>Convertible debt</t>
        </is>
      </c>
      <c r="D204" s="46" t="n"/>
      <c r="E204" s="46" t="n"/>
      <c r="F204" s="46" t="n"/>
      <c r="G204" s="46" t="n"/>
      <c r="H204" s="12" t="n"/>
      <c r="I204" s="46">
        <f>'Inputs (2)'!D37</f>
        <v>0</v>
      </c>
      <c r="J204" s="46">
        <f>'Inputs (2)'!E37</f>
        <v>0</v>
      </c>
      <c r="K204" s="46">
        <f>'Inputs (2)'!F37</f>
        <v>0</v>
      </c>
      <c r="L204" s="46">
        <f>'Inputs (2)'!G37</f>
        <v>0</v>
      </c>
      <c r="M204" s="12">
        <f>'Inputs (2)'!H37</f>
        <v>0</v>
      </c>
      <c r="N204" s="46">
        <f>'Inputs (2)'!I37</f>
        <v>0</v>
      </c>
      <c r="O204" s="46">
        <f>'Inputs (2)'!J37</f>
        <v>0</v>
      </c>
      <c r="P204" s="46">
        <f>'Inputs (2)'!K37</f>
        <v>0</v>
      </c>
      <c r="Q204" s="46">
        <f>'Inputs (2)'!L37</f>
        <v>0</v>
      </c>
      <c r="R204" s="12">
        <f>'Inputs (2)'!M37</f>
        <v>0</v>
      </c>
      <c r="S204" s="46">
        <f>'Inputs (2)'!N37</f>
        <v>0</v>
      </c>
      <c r="T204" s="46">
        <f>'Inputs (2)'!O37</f>
        <v>0</v>
      </c>
      <c r="U204" s="46">
        <f>'Inputs (2)'!P37</f>
        <v>0</v>
      </c>
      <c r="V204" s="46">
        <f>'Inputs (2)'!Q37</f>
        <v>0</v>
      </c>
      <c r="W204" s="12">
        <f>'Inputs (2)'!R37</f>
        <v>0</v>
      </c>
      <c r="X204" s="46">
        <f>'Inputs (2)'!S37</f>
        <v>0</v>
      </c>
      <c r="Y204" s="46">
        <f>'Inputs (2)'!T37</f>
        <v>0</v>
      </c>
      <c r="Z204" s="46">
        <f>'Inputs (2)'!U37</f>
        <v>0</v>
      </c>
      <c r="AA204" s="46">
        <f>'Inputs (2)'!V37</f>
        <v>0</v>
      </c>
      <c r="AB204" s="12">
        <f>'Inputs (2)'!W37</f>
        <v>0</v>
      </c>
      <c r="AC204" s="46">
        <f>'Inputs (2)'!X37</f>
        <v>0</v>
      </c>
      <c r="AD204" s="46">
        <f>'Inputs (2)'!Y37</f>
        <v>0</v>
      </c>
      <c r="AE204" s="46">
        <f>'Inputs (2)'!Z37</f>
        <v>0</v>
      </c>
      <c r="AF204" s="46">
        <f>'Inputs (2)'!AA37</f>
        <v>0</v>
      </c>
      <c r="AG204" s="12">
        <f>'Inputs (2)'!AB37</f>
        <v>0</v>
      </c>
      <c r="AH204" s="12">
        <f>'Inputs (2)'!AC37</f>
        <v>0</v>
      </c>
      <c r="AI204" s="12">
        <f>'Inputs (2)'!AD37</f>
        <v>0</v>
      </c>
      <c r="AJ204" s="12">
        <f>AI204</f>
        <v>0</v>
      </c>
      <c r="AK204" s="12">
        <f>AJ204</f>
        <v>0</v>
      </c>
      <c r="AL204" s="12">
        <f>AK204</f>
        <v>0</v>
      </c>
      <c r="AM204" s="12">
        <f>AL204</f>
        <v>0</v>
      </c>
      <c r="AN204" s="12">
        <f>AM204</f>
        <v>0</v>
      </c>
      <c r="AO204" s="12">
        <f>AN204</f>
        <v>0</v>
      </c>
      <c r="AP204" s="12">
        <f>AO204</f>
        <v>0</v>
      </c>
      <c r="AQ204" s="12">
        <f>AP204</f>
        <v>0</v>
      </c>
      <c r="AR204" s="12">
        <f>AQ204</f>
        <v>0</v>
      </c>
      <c r="AS204" s="12">
        <f>AR204</f>
        <v>0</v>
      </c>
      <c r="AT204" s="12">
        <f>AS204</f>
        <v>0</v>
      </c>
      <c r="AU204" s="12">
        <f>AT204</f>
        <v>0</v>
      </c>
      <c r="AV204" s="12">
        <f>AU204</f>
        <v>0</v>
      </c>
      <c r="AW204" s="12">
        <f>AV204</f>
        <v>0</v>
      </c>
      <c r="AX204" s="12">
        <f>AW204</f>
        <v>0</v>
      </c>
      <c r="AY204" s="12">
        <f>AX204</f>
        <v>0</v>
      </c>
      <c r="AZ204" s="12">
        <f>AY204</f>
        <v>0</v>
      </c>
      <c r="BA204" s="12">
        <f>AZ204</f>
        <v>0</v>
      </c>
      <c r="BB204" s="12">
        <f>BA204</f>
        <v>0</v>
      </c>
      <c r="BC204" s="12">
        <f>BB204</f>
        <v>0</v>
      </c>
      <c r="BD204" s="12">
        <f>BC204</f>
        <v>0</v>
      </c>
      <c r="BE204" s="12">
        <f>BD204</f>
        <v>0</v>
      </c>
      <c r="BF204" s="12">
        <f>BE204</f>
        <v>0</v>
      </c>
      <c r="BG204" s="12" t="n"/>
      <c r="BH204" s="12" t="n"/>
      <c r="BI204" s="12" t="n"/>
      <c r="BJ204" s="12" t="n"/>
      <c r="BK204" s="12" t="n"/>
      <c r="BL204" s="12" t="n"/>
      <c r="BM204" s="12" t="n"/>
      <c r="BN204" s="12" t="n"/>
      <c r="BO204" s="12" t="n"/>
      <c r="BP204" s="12" t="n"/>
      <c r="BQ204" s="12" t="n"/>
      <c r="BR204" s="12" t="n"/>
      <c r="BS204" s="12" t="n"/>
      <c r="BT204" s="12" t="n"/>
      <c r="BU204" s="12" t="n"/>
      <c r="BV204" s="12" t="n"/>
      <c r="BW204" s="12" t="n"/>
      <c r="BX204" s="12" t="n"/>
      <c r="BY204" s="12" t="n"/>
      <c r="BZ204" s="12" t="n"/>
      <c r="CA204" s="12" t="n"/>
      <c r="CB204" s="12" t="n"/>
      <c r="CC204" s="12" t="n"/>
      <c r="CD204" s="12" t="n"/>
      <c r="CE204" s="12" t="n"/>
      <c r="CF204" s="12" t="n"/>
      <c r="CG204" s="12" t="n"/>
      <c r="CH204" s="12" t="n"/>
      <c r="CI204" s="12" t="n"/>
      <c r="CJ204" s="12" t="n"/>
      <c r="CK204" s="12" t="n"/>
      <c r="CL204" s="12" t="n"/>
      <c r="CM204" s="12" t="n"/>
      <c r="CN204" s="12" t="n"/>
      <c r="CO204" s="12" t="n"/>
      <c r="CP204" s="12" t="n"/>
      <c r="CQ204" s="12" t="n"/>
      <c r="CR204" s="12" t="n"/>
      <c r="CS204" s="12" t="n"/>
      <c r="CT204" s="12" t="n"/>
      <c r="CU204" s="12" t="n"/>
      <c r="CV204" s="12" t="n"/>
      <c r="CW204" s="12" t="n"/>
      <c r="CX204" s="12" t="n"/>
      <c r="CY204" s="12" t="n"/>
    </row>
    <row r="205">
      <c r="C205" s="14" t="inlineStr">
        <is>
          <t>Deferred income taxes</t>
        </is>
      </c>
      <c r="D205" s="46" t="n"/>
      <c r="E205" s="46" t="n"/>
      <c r="F205" s="46" t="n"/>
      <c r="G205" s="46" t="n"/>
      <c r="H205" s="12" t="n"/>
      <c r="I205" s="46">
        <f>'Inputs (2)'!D38</f>
        <v>467.16584292</v>
      </c>
      <c r="J205" s="46">
        <f>'Inputs (2)'!E38</f>
        <v>466.67550792</v>
      </c>
      <c r="K205" s="46">
        <f>'Inputs (2)'!F38</f>
        <v>465.94036794</v>
      </c>
      <c r="L205" s="46">
        <f>'Inputs (2)'!G38</f>
        <v>397.561</v>
      </c>
      <c r="M205" s="12">
        <f>'Inputs (2)'!H38</f>
        <v>397.561</v>
      </c>
      <c r="N205" s="46">
        <f>'Inputs (2)'!I38</f>
        <v>410.47774333</v>
      </c>
      <c r="O205" s="46">
        <f>'Inputs (2)'!J38</f>
        <v>508.20410198</v>
      </c>
      <c r="P205" s="46">
        <f>'Inputs (2)'!K38</f>
        <v>510.90411053</v>
      </c>
      <c r="Q205" s="46">
        <f>'Inputs (2)'!L38</f>
        <v>397.58912424</v>
      </c>
      <c r="R205" s="12">
        <f>'Inputs (2)'!M38</f>
        <v>397.58912424</v>
      </c>
      <c r="S205" s="46">
        <f>'Inputs (2)'!N38</f>
        <v>403.13935572</v>
      </c>
      <c r="T205" s="46">
        <f>'Inputs (2)'!O38</f>
        <v>570.569</v>
      </c>
      <c r="U205" s="46">
        <f>'Inputs (2)'!P38</f>
        <v>549.898</v>
      </c>
      <c r="V205" s="46">
        <f>'Inputs (2)'!Q38</f>
        <v>580.533</v>
      </c>
      <c r="W205" s="12">
        <f>'Inputs (2)'!R38</f>
        <v>580.533</v>
      </c>
      <c r="X205" s="46">
        <f>'Inputs (2)'!S38</f>
        <v>576.753</v>
      </c>
      <c r="Y205" s="46">
        <f>'Inputs (2)'!T38</f>
        <v>551.446</v>
      </c>
      <c r="Z205" s="46">
        <f>'Inputs (2)'!U38</f>
        <v>581.485</v>
      </c>
      <c r="AA205" s="46">
        <f>'Inputs (2)'!V38</f>
        <v>571.796</v>
      </c>
      <c r="AB205" s="12">
        <f>'Inputs (2)'!W38</f>
        <v>571.796</v>
      </c>
      <c r="AC205" s="46">
        <f>'Inputs (2)'!X38</f>
        <v>580.326605</v>
      </c>
      <c r="AD205" s="46">
        <f>'Inputs (2)'!Y38</f>
        <v>525.619</v>
      </c>
      <c r="AE205" s="46">
        <f>'Inputs (2)'!Z38</f>
        <v>543.129</v>
      </c>
      <c r="AF205" s="46">
        <f>'Inputs (2)'!AA38</f>
        <v>557.54</v>
      </c>
      <c r="AG205" s="12">
        <f>'Inputs (2)'!AB38</f>
        <v>557.54</v>
      </c>
      <c r="AH205" s="12">
        <f>'Inputs (2)'!AC38</f>
        <v>555.293</v>
      </c>
      <c r="AI205" s="12">
        <f>'Inputs (2)'!AD38</f>
        <v>527.353</v>
      </c>
      <c r="AJ205" s="12">
        <f>AI205</f>
        <v>527.353</v>
      </c>
      <c r="AK205" s="12">
        <f>AJ205</f>
        <v>527.353</v>
      </c>
      <c r="AL205" s="12">
        <f>AK205</f>
        <v>527.353</v>
      </c>
      <c r="AM205" s="12">
        <f>AL205</f>
        <v>527.353</v>
      </c>
      <c r="AN205" s="12">
        <f>AM205</f>
        <v>527.353</v>
      </c>
      <c r="AO205" s="12">
        <f>AN205</f>
        <v>527.353</v>
      </c>
      <c r="AP205" s="12">
        <f>AO205</f>
        <v>527.353</v>
      </c>
      <c r="AQ205" s="12">
        <f>AP205</f>
        <v>527.353</v>
      </c>
      <c r="AR205" s="12">
        <f>AQ205</f>
        <v>527.353</v>
      </c>
      <c r="AS205" s="12">
        <f>AR205</f>
        <v>527.353</v>
      </c>
      <c r="AT205" s="12">
        <f>AS205</f>
        <v>527.353</v>
      </c>
      <c r="AU205" s="12">
        <f>AT205</f>
        <v>527.353</v>
      </c>
      <c r="AV205" s="12">
        <f>AU205</f>
        <v>527.353</v>
      </c>
      <c r="AW205" s="12">
        <f>AV205</f>
        <v>527.353</v>
      </c>
      <c r="AX205" s="12">
        <f>AW205</f>
        <v>527.353</v>
      </c>
      <c r="AY205" s="12">
        <f>AX205</f>
        <v>527.353</v>
      </c>
      <c r="AZ205" s="12">
        <f>AY205</f>
        <v>527.353</v>
      </c>
      <c r="BA205" s="12">
        <f>AZ205</f>
        <v>527.353</v>
      </c>
      <c r="BB205" s="12">
        <f>BA205</f>
        <v>527.353</v>
      </c>
      <c r="BC205" s="12">
        <f>BB205</f>
        <v>527.353</v>
      </c>
      <c r="BD205" s="12">
        <f>BC205</f>
        <v>527.353</v>
      </c>
      <c r="BE205" s="12">
        <f>BD205</f>
        <v>527.353</v>
      </c>
      <c r="BF205" s="12">
        <f>BE205</f>
        <v>527.353</v>
      </c>
      <c r="BG205" s="12" t="n"/>
      <c r="BH205" s="12" t="n"/>
      <c r="BI205" s="12" t="n"/>
      <c r="BJ205" s="12" t="n"/>
      <c r="BK205" s="12" t="n"/>
      <c r="BL205" s="12" t="n"/>
      <c r="BM205" s="12" t="n"/>
      <c r="BN205" s="12" t="n"/>
      <c r="BO205" s="12" t="n"/>
      <c r="BP205" s="12" t="n"/>
      <c r="BQ205" s="12" t="n"/>
      <c r="BR205" s="12" t="n"/>
      <c r="BS205" s="12" t="n"/>
      <c r="BT205" s="12" t="n"/>
      <c r="BU205" s="12" t="n"/>
      <c r="BV205" s="12" t="n"/>
      <c r="BW205" s="12" t="n"/>
      <c r="BX205" s="12" t="n"/>
      <c r="BY205" s="12" t="n"/>
      <c r="BZ205" s="12" t="n"/>
      <c r="CA205" s="12" t="n"/>
      <c r="CB205" s="12" t="n"/>
      <c r="CC205" s="12" t="n"/>
      <c r="CD205" s="12" t="n"/>
      <c r="CE205" s="12" t="n"/>
      <c r="CF205" s="12" t="n"/>
      <c r="CG205" s="12" t="n"/>
      <c r="CH205" s="12" t="n"/>
      <c r="CI205" s="12" t="n"/>
      <c r="CJ205" s="12" t="n"/>
      <c r="CK205" s="12" t="n"/>
      <c r="CL205" s="12" t="n"/>
      <c r="CM205" s="12" t="n"/>
      <c r="CN205" s="12" t="n"/>
      <c r="CO205" s="12" t="n"/>
      <c r="CP205" s="12" t="n"/>
      <c r="CQ205" s="12" t="n"/>
      <c r="CR205" s="12" t="n"/>
      <c r="CS205" s="12" t="n"/>
      <c r="CT205" s="12" t="n"/>
      <c r="CU205" s="12" t="n"/>
      <c r="CV205" s="12" t="n"/>
      <c r="CW205" s="12" t="n"/>
      <c r="CX205" s="12" t="n"/>
      <c r="CY205" s="12" t="n"/>
    </row>
    <row r="206">
      <c r="C206" s="14" t="inlineStr">
        <is>
          <t>Other non-current liabilities</t>
        </is>
      </c>
      <c r="D206" s="46" t="n"/>
      <c r="E206" s="46" t="n"/>
      <c r="F206" s="46" t="n"/>
      <c r="G206" s="46" t="n"/>
      <c r="H206" s="12" t="n"/>
      <c r="I206" s="46">
        <f>'Inputs (2)'!D39</f>
        <v>60.90531905</v>
      </c>
      <c r="J206" s="46">
        <f>'Inputs (2)'!E39</f>
        <v>52.72060044</v>
      </c>
      <c r="K206" s="46">
        <f>'Inputs (2)'!F39</f>
        <v>55.92235634</v>
      </c>
      <c r="L206" s="46">
        <f>'Inputs (2)'!G39</f>
        <v>52.20629518</v>
      </c>
      <c r="M206" s="12">
        <f>'Inputs (2)'!H39</f>
        <v>52.20629518</v>
      </c>
      <c r="N206" s="46">
        <f>'Inputs (2)'!I39</f>
        <v>49.74992499</v>
      </c>
      <c r="O206" s="46">
        <f>'Inputs (2)'!J39</f>
        <v>47.76909873</v>
      </c>
      <c r="P206" s="46">
        <f>'Inputs (2)'!K39</f>
        <v>40.48209641</v>
      </c>
      <c r="Q206" s="46">
        <f>'Inputs (2)'!L39</f>
        <v>40.36976695</v>
      </c>
      <c r="R206" s="12">
        <f>'Inputs (2)'!M39</f>
        <v>40.36976695</v>
      </c>
      <c r="S206" s="46">
        <f>'Inputs (2)'!N39</f>
        <v>36.41807566</v>
      </c>
      <c r="T206" s="46">
        <f>'Inputs (2)'!O39</f>
        <v>127.709</v>
      </c>
      <c r="U206" s="46">
        <f>'Inputs (2)'!P39</f>
        <v>128.664</v>
      </c>
      <c r="V206" s="46">
        <f>'Inputs (2)'!Q39</f>
        <v>174.286</v>
      </c>
      <c r="W206" s="12">
        <f>'Inputs (2)'!R39</f>
        <v>174.286</v>
      </c>
      <c r="X206" s="46">
        <f>'Inputs (2)'!S39</f>
        <v>179.40258127</v>
      </c>
      <c r="Y206" s="46">
        <f>'Inputs (2)'!T39</f>
        <v>171.295</v>
      </c>
      <c r="Z206" s="46">
        <f>'Inputs (2)'!U39</f>
        <v>179.941</v>
      </c>
      <c r="AA206" s="46">
        <f>'Inputs (2)'!V39</f>
        <v>177.209</v>
      </c>
      <c r="AB206" s="12">
        <f>'Inputs (2)'!W39</f>
        <v>177.209</v>
      </c>
      <c r="AC206" s="46">
        <f>'Inputs (2)'!X39</f>
        <v>171.74576819</v>
      </c>
      <c r="AD206" s="46">
        <f>'Inputs (2)'!Y39</f>
        <v>174.042</v>
      </c>
      <c r="AE206" s="46">
        <f>'Inputs (2)'!Z39</f>
        <v>185.673</v>
      </c>
      <c r="AF206" s="46">
        <f>'Inputs (2)'!AA39</f>
        <v>252.354</v>
      </c>
      <c r="AG206" s="12">
        <f>'Inputs (2)'!AB39</f>
        <v>252.354</v>
      </c>
      <c r="AH206" s="12">
        <f>'Inputs (2)'!AC39</f>
        <v>246.17</v>
      </c>
      <c r="AI206" s="12">
        <f>'Inputs (2)'!AD39</f>
        <v>239.753</v>
      </c>
      <c r="AJ206" s="12">
        <f>AI206</f>
        <v>239.753</v>
      </c>
      <c r="AK206" s="12">
        <f>AJ206</f>
        <v>239.753</v>
      </c>
      <c r="AL206" s="12">
        <f>AK206</f>
        <v>239.753</v>
      </c>
      <c r="AM206" s="12">
        <f>AL206</f>
        <v>239.753</v>
      </c>
      <c r="AN206" s="12">
        <f>AM206</f>
        <v>239.753</v>
      </c>
      <c r="AO206" s="12">
        <f>AN206</f>
        <v>239.753</v>
      </c>
      <c r="AP206" s="12">
        <f>AO206</f>
        <v>239.753</v>
      </c>
      <c r="AQ206" s="12">
        <f>AP206</f>
        <v>239.753</v>
      </c>
      <c r="AR206" s="12">
        <f>AQ206</f>
        <v>239.753</v>
      </c>
      <c r="AS206" s="12">
        <f>AR206</f>
        <v>239.753</v>
      </c>
      <c r="AT206" s="12">
        <f>AS206</f>
        <v>239.753</v>
      </c>
      <c r="AU206" s="12">
        <f>AT206</f>
        <v>239.753</v>
      </c>
      <c r="AV206" s="12">
        <f>AU206</f>
        <v>239.753</v>
      </c>
      <c r="AW206" s="12">
        <f>AV206</f>
        <v>239.753</v>
      </c>
      <c r="AX206" s="12">
        <f>AW206</f>
        <v>239.753</v>
      </c>
      <c r="AY206" s="12">
        <f>AX206</f>
        <v>239.753</v>
      </c>
      <c r="AZ206" s="12">
        <f>AY206</f>
        <v>239.753</v>
      </c>
      <c r="BA206" s="12">
        <f>AZ206</f>
        <v>239.753</v>
      </c>
      <c r="BB206" s="12">
        <f>BA206</f>
        <v>239.753</v>
      </c>
      <c r="BC206" s="12">
        <f>BB206</f>
        <v>239.753</v>
      </c>
      <c r="BD206" s="12">
        <f>BC206</f>
        <v>239.753</v>
      </c>
      <c r="BE206" s="12">
        <f>BD206</f>
        <v>239.753</v>
      </c>
      <c r="BF206" s="12">
        <f>BE206</f>
        <v>239.753</v>
      </c>
      <c r="BG206" s="12" t="n"/>
      <c r="BH206" s="12" t="n"/>
      <c r="BI206" s="12" t="n"/>
      <c r="BJ206" s="12" t="n"/>
      <c r="BK206" s="12" t="n"/>
      <c r="BL206" s="12" t="n"/>
      <c r="BM206" s="12" t="n"/>
      <c r="BN206" s="12" t="n"/>
      <c r="BO206" s="12" t="n"/>
      <c r="BP206" s="12" t="n"/>
      <c r="BQ206" s="12" t="n"/>
      <c r="BR206" s="12" t="n"/>
      <c r="BS206" s="12" t="n"/>
      <c r="BT206" s="12" t="n"/>
      <c r="BU206" s="12" t="n"/>
      <c r="BV206" s="12" t="n"/>
      <c r="BW206" s="12" t="n"/>
      <c r="BX206" s="12" t="n"/>
      <c r="BY206" s="12" t="n"/>
      <c r="BZ206" s="12" t="n"/>
      <c r="CA206" s="12" t="n"/>
      <c r="CB206" s="12" t="n"/>
      <c r="CC206" s="12" t="n"/>
      <c r="CD206" s="12" t="n"/>
      <c r="CE206" s="12" t="n"/>
      <c r="CF206" s="12" t="n"/>
      <c r="CG206" s="12" t="n"/>
      <c r="CH206" s="12" t="n"/>
      <c r="CI206" s="12" t="n"/>
      <c r="CJ206" s="12" t="n"/>
      <c r="CK206" s="12" t="n"/>
      <c r="CL206" s="12" t="n"/>
      <c r="CM206" s="12" t="n"/>
      <c r="CN206" s="12" t="n"/>
      <c r="CO206" s="12" t="n"/>
      <c r="CP206" s="12" t="n"/>
      <c r="CQ206" s="12" t="n"/>
      <c r="CR206" s="12" t="n"/>
      <c r="CS206" s="12" t="n"/>
      <c r="CT206" s="12" t="n"/>
      <c r="CU206" s="12" t="n"/>
      <c r="CV206" s="12" t="n"/>
      <c r="CW206" s="12" t="n"/>
      <c r="CX206" s="12" t="n"/>
      <c r="CY206" s="12" t="n"/>
    </row>
    <row r="207" hidden="1" outlineLevel="1" ht="12" customHeight="1">
      <c r="C207" s="59" t="inlineStr">
        <is>
          <t>%(Var.)</t>
        </is>
      </c>
      <c r="D207" s="12" t="n"/>
      <c r="E207" s="40" t="n"/>
      <c r="F207" s="40" t="n"/>
      <c r="G207" s="40" t="n"/>
      <c r="H207" s="12" t="n"/>
      <c r="I207" s="40" t="str">
        <f>""</f>
        <v/>
      </c>
      <c r="J207" s="40">
        <f>IF(I206=0,"",J206/I206-1)</f>
        <v>-0.134384299067226</v>
      </c>
      <c r="K207" s="40">
        <f>IF(J206=0,"",K206/J206-1)</f>
        <v>0.0607306417847771</v>
      </c>
      <c r="L207" s="40">
        <f>IF(K206=0,"",L206/K206-1)</f>
        <v>-0.0664503680318275</v>
      </c>
      <c r="M207" s="12">
        <f>IF(L206=0,"",M206/L206-1)</f>
        <v>0</v>
      </c>
      <c r="N207" s="40">
        <f>IF(M206=0,"",N206/M206-1)</f>
        <v>-0.0470512259399136</v>
      </c>
      <c r="O207" s="40">
        <f>IF(N206=0,"",O206/N206-1)</f>
        <v>-0.0398156632476965</v>
      </c>
      <c r="P207" s="40">
        <f>IF(O206=0,"",P206/O206-1)</f>
        <v>-0.152546363940997</v>
      </c>
      <c r="Q207" s="40">
        <f>IF(P206=0,"",Q206/P206-1)</f>
        <v>-0.00277479354977894</v>
      </c>
      <c r="R207" s="12">
        <f>IF(Q206=0,"",R206/Q206-1)</f>
        <v>0</v>
      </c>
      <c r="S207" s="40">
        <f>IF(R206=0,"",S206/R206-1)</f>
        <v>-0.0978873941703545</v>
      </c>
      <c r="T207" s="40">
        <f>IF(S206=0,"",T206/S206-1)</f>
        <v>2.50674761599965</v>
      </c>
      <c r="U207" s="40">
        <f>IF(T206=0,"",U206/T206-1)</f>
        <v>0.0074779381249559</v>
      </c>
      <c r="V207" s="40">
        <f>IF(U206=0,"",V206/U206-1)</f>
        <v>0.354582478393335</v>
      </c>
      <c r="W207" s="12">
        <f>IF(V206=0,"",W206/V206-1)</f>
        <v>0</v>
      </c>
      <c r="X207" s="40">
        <f>IF(W206=0,"",X206/W206-1)</f>
        <v>0.0293573853895321</v>
      </c>
      <c r="Y207" s="40">
        <f>IF(X206=0,"",Y206/X206-1)</f>
        <v>-0.045192110462436</v>
      </c>
      <c r="Z207" s="40">
        <f>IF(Y206=0,"",Z206/Y206-1)</f>
        <v>0.0504743279138329</v>
      </c>
      <c r="AA207" s="40">
        <f>IF(Z206=0,"",AA206/Z206-1)</f>
        <v>-0.0151827543472582</v>
      </c>
      <c r="AB207" s="12">
        <f>IF(AA206=0,"",AB206/AA206-1)</f>
        <v>0</v>
      </c>
      <c r="AC207" s="40">
        <f>IF(AB206=0,"",AC206/AB206-1)</f>
        <v>-0.0308293134660204</v>
      </c>
      <c r="AD207" s="40">
        <f>IF(AC206=0,"",AD206/AC206-1)</f>
        <v>0.0133699469524029</v>
      </c>
      <c r="AE207" s="40">
        <f>IF(AD206=0,"",AE206/AD206-1)</f>
        <v>0.0668286965215292</v>
      </c>
      <c r="AF207" s="41">
        <f>IF(AE206=0,"",AF206/AE206-1)</f>
        <v>0.359131376129001</v>
      </c>
      <c r="AG207" s="12">
        <f>IF(AF206=0,"",AG206/AF206-1)</f>
        <v>0</v>
      </c>
      <c r="AH207" s="41">
        <f>IF(AG206=0,"",AH206/AG206-1)</f>
        <v>-0.0245052584860951</v>
      </c>
      <c r="AI207" s="41">
        <f>IF(AH206=0,"",AI206/AH206-1)</f>
        <v>-0.0260673518300362</v>
      </c>
      <c r="AJ207" s="41">
        <f>IF(AI206=0,"",AJ206/AI206-1)</f>
        <v>0</v>
      </c>
      <c r="AK207" s="41">
        <f>IF(AJ206=0,"",AK206/AJ206-1)</f>
        <v>0</v>
      </c>
      <c r="AL207" s="12">
        <f>IF(AK206=0,"",AL206/AK206-1)</f>
        <v>0</v>
      </c>
      <c r="AM207" s="41">
        <f>IF(AL206=0,"",AM206/AL206-1)</f>
        <v>0</v>
      </c>
      <c r="AN207" s="41">
        <f>IF(AM206=0,"",AN206/AM206-1)</f>
        <v>0</v>
      </c>
      <c r="AO207" s="41">
        <f>IF(AN206=0,"",AO206/AN206-1)</f>
        <v>0</v>
      </c>
      <c r="AP207" s="41">
        <f>IF(AO206=0,"",AP206/AO206-1)</f>
        <v>0</v>
      </c>
      <c r="AQ207" s="12">
        <f>IF(AP206=0,"",AQ206/AP206-1)</f>
        <v>0</v>
      </c>
      <c r="AR207" s="41">
        <f>IF(AQ206=0,"",AR206/AQ206-1)</f>
        <v>0</v>
      </c>
      <c r="AS207" s="41">
        <f>IF(AR206=0,"",AS206/AR206-1)</f>
        <v>0</v>
      </c>
      <c r="AT207" s="41">
        <f>IF(AS206=0,"",AT206/AS206-1)</f>
        <v>0</v>
      </c>
      <c r="AU207" s="41">
        <f>IF(AT206=0,"",AU206/AT206-1)</f>
        <v>0</v>
      </c>
      <c r="AV207" s="12">
        <f>IF(AU206=0,"",AV206/AU206-1)</f>
        <v>0</v>
      </c>
      <c r="AW207" s="41">
        <f>IF(AV206=0,"",AW206/AV206-1)</f>
        <v>0</v>
      </c>
      <c r="AX207" s="41">
        <f>IF(AW206=0,"",AX206/AW206-1)</f>
        <v>0</v>
      </c>
      <c r="AY207" s="41">
        <f>IF(AX206=0,"",AY206/AX206-1)</f>
        <v>0</v>
      </c>
      <c r="AZ207" s="41">
        <f>IF(AY206=0,"",AZ206/AY206-1)</f>
        <v>0</v>
      </c>
      <c r="BA207" s="12">
        <f>IF(AZ206=0,"",BA206/AZ206-1)</f>
        <v>0</v>
      </c>
      <c r="BB207" s="41">
        <f>IF(BA206=0,"",BB206/BA206-1)</f>
        <v>0</v>
      </c>
      <c r="BC207" s="41">
        <f>IF(BB206=0,"",BC206/BB206-1)</f>
        <v>0</v>
      </c>
      <c r="BD207" s="41">
        <f>IF(BC206=0,"",BD206/BC206-1)</f>
        <v>0</v>
      </c>
      <c r="BE207" s="41">
        <f>IF(BD206=0,"",BE206/BD206-1)</f>
        <v>0</v>
      </c>
      <c r="BF207" s="12">
        <f>IF(BE206=0,"",BF206/BE206-1)</f>
        <v>0</v>
      </c>
      <c r="BG207" s="41" t="n"/>
      <c r="BH207" s="41" t="n"/>
      <c r="BI207" s="41" t="n"/>
      <c r="BJ207" s="41" t="n"/>
      <c r="BK207" s="12" t="n"/>
      <c r="BL207" s="41" t="n"/>
      <c r="BM207" s="41" t="n"/>
      <c r="BN207" s="41" t="n"/>
      <c r="BO207" s="41" t="n"/>
      <c r="BP207" s="12" t="n"/>
      <c r="BQ207" s="41" t="n"/>
      <c r="BR207" s="41" t="n"/>
      <c r="BS207" s="41" t="n"/>
      <c r="BT207" s="41" t="n"/>
      <c r="BU207" s="12" t="n"/>
      <c r="BV207" s="41" t="n"/>
      <c r="BW207" s="41" t="n"/>
      <c r="BX207" s="41" t="n"/>
      <c r="BY207" s="41" t="n"/>
      <c r="BZ207" s="12" t="n"/>
      <c r="CA207" s="41" t="n"/>
      <c r="CB207" s="41" t="n"/>
      <c r="CC207" s="41" t="n"/>
      <c r="CD207" s="41" t="n"/>
      <c r="CE207" s="12" t="n"/>
      <c r="CF207" s="41" t="n"/>
      <c r="CG207" s="41" t="n"/>
      <c r="CH207" s="41" t="n"/>
      <c r="CI207" s="41" t="n"/>
      <c r="CJ207" s="12" t="n"/>
      <c r="CK207" s="41" t="n"/>
      <c r="CL207" s="41" t="n"/>
      <c r="CM207" s="41" t="n"/>
      <c r="CN207" s="41" t="n"/>
      <c r="CO207" s="12" t="n"/>
      <c r="CP207" s="41" t="n"/>
      <c r="CQ207" s="41" t="n"/>
      <c r="CR207" s="41" t="n"/>
      <c r="CS207" s="41" t="n"/>
      <c r="CT207" s="12" t="n"/>
      <c r="CU207" s="41" t="n"/>
      <c r="CV207" s="41" t="n"/>
      <c r="CW207" s="41" t="n"/>
      <c r="CX207" s="41" t="n"/>
      <c r="CY207" s="12" t="n"/>
    </row>
    <row r="208" hidden="1" outlineLevel="1" ht="12" customHeight="1">
      <c r="C208" s="59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  <c r="Z208" s="12" t="n"/>
      <c r="AA208" s="12" t="n"/>
      <c r="AB208" s="12" t="n"/>
      <c r="AC208" s="12" t="n"/>
      <c r="AD208" s="12" t="n"/>
      <c r="AE208" s="12" t="n"/>
      <c r="AF208" s="12" t="n"/>
      <c r="AG208" s="12" t="n"/>
      <c r="AH208" s="12" t="n"/>
      <c r="AI208" s="12" t="n"/>
      <c r="AJ208" s="12" t="n"/>
      <c r="AK208" s="12" t="n"/>
      <c r="AL208" s="12" t="n"/>
      <c r="AM208" s="12" t="n"/>
      <c r="AN208" s="12" t="n"/>
      <c r="AO208" s="12" t="n"/>
      <c r="AP208" s="12" t="n"/>
      <c r="AQ208" s="12" t="n"/>
      <c r="AR208" s="12" t="n"/>
      <c r="AS208" s="12" t="n"/>
      <c r="AT208" s="12" t="n"/>
      <c r="AU208" s="12" t="n"/>
      <c r="AV208" s="12" t="n"/>
      <c r="AW208" s="12" t="n"/>
      <c r="AX208" s="12" t="n"/>
      <c r="AY208" s="12" t="n"/>
      <c r="AZ208" s="12" t="n"/>
      <c r="BA208" s="12" t="n"/>
      <c r="BB208" s="12" t="n"/>
      <c r="BC208" s="12" t="n"/>
      <c r="BD208" s="12" t="n"/>
      <c r="BE208" s="12" t="n"/>
      <c r="BF208" s="12" t="n"/>
      <c r="BG208" s="12" t="n"/>
      <c r="BH208" s="12" t="n"/>
      <c r="BI208" s="12" t="n"/>
      <c r="BJ208" s="12" t="n"/>
      <c r="BK208" s="12" t="n"/>
      <c r="BL208" s="12" t="n"/>
      <c r="BM208" s="12" t="n"/>
      <c r="BN208" s="12" t="n"/>
      <c r="BO208" s="12" t="n"/>
      <c r="BP208" s="12" t="n"/>
      <c r="BQ208" s="12" t="n"/>
      <c r="BR208" s="12" t="n"/>
      <c r="BS208" s="12" t="n"/>
      <c r="BT208" s="12" t="n"/>
      <c r="BU208" s="12" t="n"/>
      <c r="BV208" s="12" t="n"/>
      <c r="BW208" s="12" t="n"/>
      <c r="BX208" s="12" t="n"/>
      <c r="BY208" s="12" t="n"/>
      <c r="BZ208" s="12" t="n"/>
      <c r="CA208" s="12" t="n"/>
      <c r="CB208" s="12" t="n"/>
      <c r="CC208" s="12" t="n"/>
      <c r="CD208" s="12" t="n"/>
      <c r="CE208" s="12" t="n"/>
      <c r="CF208" s="12" t="n"/>
      <c r="CG208" s="12" t="n"/>
      <c r="CH208" s="12" t="n"/>
      <c r="CI208" s="12" t="n"/>
      <c r="CJ208" s="12" t="n"/>
      <c r="CK208" s="12" t="n"/>
      <c r="CL208" s="12" t="n"/>
      <c r="CM208" s="12" t="n"/>
      <c r="CN208" s="12" t="n"/>
      <c r="CO208" s="12" t="n"/>
      <c r="CP208" s="12" t="n"/>
      <c r="CQ208" s="12" t="n"/>
      <c r="CR208" s="12" t="n"/>
      <c r="CS208" s="12" t="n"/>
      <c r="CT208" s="12" t="n"/>
      <c r="CU208" s="12" t="n"/>
      <c r="CV208" s="12" t="n"/>
      <c r="CW208" s="12" t="n"/>
      <c r="CX208" s="12" t="n"/>
      <c r="CY208" s="12" t="n"/>
    </row>
    <row r="209" hidden="1" outlineLevel="1">
      <c r="C209" s="57" t="inlineStr">
        <is>
          <t>Contas a pagar pela aquisição de controladas</t>
        </is>
      </c>
      <c r="D209" s="11" t="n"/>
      <c r="E209" s="11" t="n"/>
      <c r="F209" s="11" t="n"/>
      <c r="G209" s="11" t="n"/>
      <c r="H209" s="12" t="n"/>
      <c r="I209" s="11" t="n"/>
      <c r="J209" s="11" t="n"/>
      <c r="K209" s="11" t="n"/>
      <c r="L209" s="11" t="n"/>
      <c r="M209" s="12" t="n"/>
      <c r="N209" s="11" t="n"/>
      <c r="O209" s="11" t="n"/>
      <c r="P209" s="11" t="n"/>
      <c r="Q209" s="11" t="n"/>
      <c r="R209" s="12" t="n"/>
      <c r="S209" s="11" t="n"/>
      <c r="T209" s="11" t="n"/>
      <c r="U209" s="11" t="n"/>
      <c r="V209" s="11" t="n"/>
      <c r="W209" s="12" t="n"/>
      <c r="X209" s="11" t="n"/>
      <c r="Y209" s="11" t="n"/>
      <c r="Z209" s="11" t="n"/>
      <c r="AA209" s="11" t="n"/>
      <c r="AB209" s="12" t="n"/>
      <c r="AC209" s="11" t="n"/>
      <c r="AD209" s="11" t="n"/>
      <c r="AE209" s="11" t="n"/>
      <c r="AF209" s="11" t="n"/>
      <c r="AG209" s="12" t="n"/>
      <c r="AH209" s="12" t="n"/>
      <c r="AI209" s="12" t="n"/>
      <c r="AJ209" s="12" t="n"/>
      <c r="AK209" s="12" t="n"/>
      <c r="AL209" s="12" t="n"/>
      <c r="AM209" s="12" t="n"/>
      <c r="AN209" s="12" t="n"/>
      <c r="AO209" s="12" t="n"/>
      <c r="AP209" s="12" t="n"/>
      <c r="AQ209" s="12" t="n"/>
      <c r="AR209" s="12" t="n"/>
      <c r="AS209" s="12" t="n"/>
      <c r="AT209" s="12" t="n"/>
      <c r="AU209" s="12" t="n"/>
      <c r="AV209" s="12" t="n"/>
      <c r="AW209" s="12" t="n"/>
      <c r="AX209" s="12" t="n"/>
      <c r="AY209" s="12" t="n"/>
      <c r="AZ209" s="12" t="n"/>
      <c r="BA209" s="12" t="n"/>
      <c r="BB209" s="12" t="n"/>
      <c r="BC209" s="12" t="n"/>
      <c r="BD209" s="12" t="n"/>
      <c r="BE209" s="12" t="n"/>
      <c r="BF209" s="12" t="n"/>
      <c r="BG209" s="12" t="n"/>
      <c r="BH209" s="12" t="n"/>
      <c r="BI209" s="12" t="n"/>
      <c r="BJ209" s="12" t="n"/>
      <c r="BK209" s="12" t="n"/>
      <c r="BL209" s="12" t="n"/>
      <c r="BM209" s="12" t="n"/>
      <c r="BN209" s="12" t="n"/>
      <c r="BO209" s="12" t="n"/>
      <c r="BP209" s="12" t="n"/>
      <c r="BQ209" s="12" t="n"/>
      <c r="BR209" s="12" t="n"/>
      <c r="BS209" s="12" t="n"/>
      <c r="BT209" s="12" t="n"/>
      <c r="BU209" s="12" t="n"/>
      <c r="BV209" s="12" t="n"/>
      <c r="BW209" s="12" t="n"/>
      <c r="BX209" s="12" t="n"/>
      <c r="BY209" s="12" t="n"/>
      <c r="BZ209" s="12" t="n"/>
      <c r="CA209" s="12" t="n"/>
      <c r="CB209" s="12" t="n"/>
      <c r="CC209" s="12" t="n"/>
      <c r="CD209" s="12" t="n"/>
      <c r="CE209" s="12" t="n"/>
      <c r="CF209" s="12" t="n"/>
      <c r="CG209" s="12" t="n"/>
      <c r="CH209" s="12" t="n"/>
      <c r="CI209" s="12" t="n"/>
      <c r="CJ209" s="12" t="n"/>
      <c r="CK209" s="12" t="n"/>
      <c r="CL209" s="12" t="n"/>
      <c r="CM209" s="12" t="n"/>
      <c r="CN209" s="12" t="n"/>
      <c r="CO209" s="12" t="n"/>
      <c r="CP209" s="12" t="n"/>
      <c r="CQ209" s="12" t="n"/>
      <c r="CR209" s="12" t="n"/>
      <c r="CS209" s="12" t="n"/>
      <c r="CT209" s="12" t="n"/>
      <c r="CU209" s="12" t="n"/>
      <c r="CV209" s="12" t="n"/>
      <c r="CW209" s="12" t="n"/>
      <c r="CX209" s="12" t="n"/>
      <c r="CY209" s="12" t="n"/>
    </row>
    <row r="210" hidden="1" outlineLevel="1">
      <c r="C210" s="57" t="inlineStr">
        <is>
          <t xml:space="preserve">Outras Obrigações </t>
        </is>
      </c>
      <c r="D210" s="11" t="n"/>
      <c r="E210" s="11" t="n"/>
      <c r="F210" s="11" t="n"/>
      <c r="G210" s="11" t="n"/>
      <c r="H210" s="12" t="n"/>
      <c r="I210" s="11" t="n"/>
      <c r="J210" s="11" t="n"/>
      <c r="K210" s="11" t="n"/>
      <c r="L210" s="11" t="n"/>
      <c r="M210" s="12" t="n"/>
      <c r="N210" s="11" t="n"/>
      <c r="O210" s="11" t="n"/>
      <c r="P210" s="11" t="n"/>
      <c r="Q210" s="11" t="n"/>
      <c r="R210" s="12" t="n"/>
      <c r="S210" s="11" t="n"/>
      <c r="T210" s="11" t="n"/>
      <c r="U210" s="11" t="n"/>
      <c r="V210" s="11" t="n"/>
      <c r="W210" s="12" t="n"/>
      <c r="X210" s="11" t="n"/>
      <c r="Y210" s="11" t="n"/>
      <c r="Z210" s="11" t="n"/>
      <c r="AA210" s="11" t="n"/>
      <c r="AB210" s="12" t="n"/>
      <c r="AC210" s="11" t="n"/>
      <c r="AD210" s="11" t="n"/>
      <c r="AE210" s="11" t="n"/>
      <c r="AF210" s="11" t="n"/>
      <c r="AG210" s="12" t="n"/>
      <c r="AH210" s="12" t="n"/>
      <c r="AI210" s="12" t="n"/>
      <c r="AJ210" s="12" t="n"/>
      <c r="AK210" s="12" t="n"/>
      <c r="AL210" s="12" t="n"/>
      <c r="AM210" s="12" t="n"/>
      <c r="AN210" s="12" t="n"/>
      <c r="AO210" s="12" t="n"/>
      <c r="AP210" s="12" t="n"/>
      <c r="AQ210" s="12" t="n"/>
      <c r="AR210" s="12" t="n"/>
      <c r="AS210" s="12" t="n"/>
      <c r="AT210" s="12" t="n"/>
      <c r="AU210" s="12" t="n"/>
      <c r="AV210" s="12" t="n"/>
      <c r="AW210" s="12" t="n"/>
      <c r="AX210" s="12" t="n"/>
      <c r="AY210" s="12" t="n"/>
      <c r="AZ210" s="12" t="n"/>
      <c r="BA210" s="12" t="n"/>
      <c r="BB210" s="12" t="n"/>
      <c r="BC210" s="12" t="n"/>
      <c r="BD210" s="12" t="n"/>
      <c r="BE210" s="12" t="n"/>
      <c r="BF210" s="12" t="n"/>
      <c r="BG210" s="12" t="n"/>
      <c r="BH210" s="12" t="n"/>
      <c r="BI210" s="12" t="n"/>
      <c r="BJ210" s="12" t="n"/>
      <c r="BK210" s="12" t="n"/>
      <c r="BL210" s="12" t="n"/>
      <c r="BM210" s="12" t="n"/>
      <c r="BN210" s="12" t="n"/>
      <c r="BO210" s="12" t="n"/>
      <c r="BP210" s="12" t="n"/>
      <c r="BQ210" s="12" t="n"/>
      <c r="BR210" s="12" t="n"/>
      <c r="BS210" s="12" t="n"/>
      <c r="BT210" s="12" t="n"/>
      <c r="BU210" s="12" t="n"/>
      <c r="BV210" s="12" t="n"/>
      <c r="BW210" s="12" t="n"/>
      <c r="BX210" s="12" t="n"/>
      <c r="BY210" s="12" t="n"/>
      <c r="BZ210" s="12" t="n"/>
      <c r="CA210" s="12" t="n"/>
      <c r="CB210" s="12" t="n"/>
      <c r="CC210" s="12" t="n"/>
      <c r="CD210" s="12" t="n"/>
      <c r="CE210" s="12" t="n"/>
      <c r="CF210" s="12" t="n"/>
      <c r="CG210" s="12" t="n"/>
      <c r="CH210" s="12" t="n"/>
      <c r="CI210" s="12" t="n"/>
      <c r="CJ210" s="12" t="n"/>
      <c r="CK210" s="12" t="n"/>
      <c r="CL210" s="12" t="n"/>
      <c r="CM210" s="12" t="n"/>
      <c r="CN210" s="12" t="n"/>
      <c r="CO210" s="12" t="n"/>
      <c r="CP210" s="12" t="n"/>
      <c r="CQ210" s="12" t="n"/>
      <c r="CR210" s="12" t="n"/>
      <c r="CS210" s="12" t="n"/>
      <c r="CT210" s="12" t="n"/>
      <c r="CU210" s="12" t="n"/>
      <c r="CV210" s="12" t="n"/>
      <c r="CW210" s="12" t="n"/>
      <c r="CX210" s="12" t="n"/>
      <c r="CY210" s="12" t="n"/>
    </row>
    <row r="211" hidden="1" outlineLevel="1">
      <c r="C211" s="57" t="inlineStr">
        <is>
          <t xml:space="preserve">Provisão de Risco Cíveis, Trabalhistas e Tributários </t>
        </is>
      </c>
      <c r="D211" s="11" t="n"/>
      <c r="E211" s="11" t="n"/>
      <c r="F211" s="11" t="n"/>
      <c r="G211" s="11" t="n"/>
      <c r="H211" s="12" t="n"/>
      <c r="I211" s="11" t="n"/>
      <c r="J211" s="11" t="n"/>
      <c r="K211" s="11" t="n"/>
      <c r="L211" s="11" t="n"/>
      <c r="M211" s="12" t="n"/>
      <c r="N211" s="11" t="n"/>
      <c r="O211" s="11" t="n"/>
      <c r="P211" s="11" t="n"/>
      <c r="Q211" s="11" t="n"/>
      <c r="R211" s="12" t="n"/>
      <c r="S211" s="11" t="n"/>
      <c r="T211" s="11" t="n"/>
      <c r="U211" s="11" t="n"/>
      <c r="V211" s="11" t="n"/>
      <c r="W211" s="12" t="n"/>
      <c r="X211" s="11" t="n"/>
      <c r="Y211" s="11" t="n"/>
      <c r="Z211" s="11" t="n"/>
      <c r="AA211" s="11" t="n"/>
      <c r="AB211" s="12" t="n"/>
      <c r="AC211" s="11" t="n"/>
      <c r="AD211" s="11" t="n"/>
      <c r="AE211" s="11" t="n"/>
      <c r="AF211" s="11" t="n"/>
      <c r="AG211" s="12" t="n"/>
      <c r="AH211" s="12" t="n"/>
      <c r="AI211" s="12" t="n"/>
      <c r="AJ211" s="12" t="n"/>
      <c r="AK211" s="12" t="n"/>
      <c r="AL211" s="12" t="n"/>
      <c r="AM211" s="12" t="n"/>
      <c r="AN211" s="12" t="n"/>
      <c r="AO211" s="12" t="n"/>
      <c r="AP211" s="12" t="n"/>
      <c r="AQ211" s="12" t="n"/>
      <c r="AR211" s="12" t="n"/>
      <c r="AS211" s="12" t="n"/>
      <c r="AT211" s="12" t="n"/>
      <c r="AU211" s="12" t="n"/>
      <c r="AV211" s="12" t="n"/>
      <c r="AW211" s="12" t="n"/>
      <c r="AX211" s="12" t="n"/>
      <c r="AY211" s="12" t="n"/>
      <c r="AZ211" s="12" t="n"/>
      <c r="BA211" s="12" t="n"/>
      <c r="BB211" s="12" t="n"/>
      <c r="BC211" s="12" t="n"/>
      <c r="BD211" s="12" t="n"/>
      <c r="BE211" s="12" t="n"/>
      <c r="BF211" s="12" t="n"/>
      <c r="BG211" s="12" t="n"/>
      <c r="BH211" s="12" t="n"/>
      <c r="BI211" s="12" t="n"/>
      <c r="BJ211" s="12" t="n"/>
      <c r="BK211" s="12" t="n"/>
      <c r="BL211" s="12" t="n"/>
      <c r="BM211" s="12" t="n"/>
      <c r="BN211" s="12" t="n"/>
      <c r="BO211" s="12" t="n"/>
      <c r="BP211" s="12" t="n"/>
      <c r="BQ211" s="12" t="n"/>
      <c r="BR211" s="12" t="n"/>
      <c r="BS211" s="12" t="n"/>
      <c r="BT211" s="12" t="n"/>
      <c r="BU211" s="12" t="n"/>
      <c r="BV211" s="12" t="n"/>
      <c r="BW211" s="12" t="n"/>
      <c r="BX211" s="12" t="n"/>
      <c r="BY211" s="12" t="n"/>
      <c r="BZ211" s="12" t="n"/>
      <c r="CA211" s="12" t="n"/>
      <c r="CB211" s="12" t="n"/>
      <c r="CC211" s="12" t="n"/>
      <c r="CD211" s="12" t="n"/>
      <c r="CE211" s="12" t="n"/>
      <c r="CF211" s="12" t="n"/>
      <c r="CG211" s="12" t="n"/>
      <c r="CH211" s="12" t="n"/>
      <c r="CI211" s="12" t="n"/>
      <c r="CJ211" s="12" t="n"/>
      <c r="CK211" s="12" t="n"/>
      <c r="CL211" s="12" t="n"/>
      <c r="CM211" s="12" t="n"/>
      <c r="CN211" s="12" t="n"/>
      <c r="CO211" s="12" t="n"/>
      <c r="CP211" s="12" t="n"/>
      <c r="CQ211" s="12" t="n"/>
      <c r="CR211" s="12" t="n"/>
      <c r="CS211" s="12" t="n"/>
      <c r="CT211" s="12" t="n"/>
      <c r="CU211" s="12" t="n"/>
      <c r="CV211" s="12" t="n"/>
      <c r="CW211" s="12" t="n"/>
      <c r="CX211" s="12" t="n"/>
      <c r="CY211" s="12" t="n"/>
    </row>
    <row r="212" hidden="1" outlineLevel="1">
      <c r="C212" s="57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  <c r="AA212" s="12" t="n"/>
      <c r="AB212" s="12" t="n"/>
      <c r="AC212" s="12" t="n"/>
      <c r="AD212" s="12" t="n"/>
      <c r="AE212" s="12" t="n"/>
      <c r="AF212" s="12" t="n"/>
      <c r="AG212" s="12" t="n"/>
      <c r="AH212" s="12" t="n"/>
      <c r="AI212" s="12" t="n"/>
      <c r="AJ212" s="12" t="n"/>
      <c r="AK212" s="12" t="n"/>
      <c r="AL212" s="12" t="n"/>
      <c r="AM212" s="12" t="n"/>
      <c r="AN212" s="12" t="n"/>
      <c r="AO212" s="12" t="n"/>
      <c r="AP212" s="12" t="n"/>
      <c r="AQ212" s="12" t="n"/>
      <c r="AR212" s="12" t="n"/>
      <c r="AS212" s="12" t="n"/>
      <c r="AT212" s="12" t="n"/>
      <c r="AU212" s="12" t="n"/>
      <c r="AV212" s="12" t="n"/>
      <c r="AW212" s="12" t="n"/>
      <c r="AX212" s="12" t="n"/>
      <c r="AY212" s="12" t="n"/>
      <c r="AZ212" s="12" t="n"/>
      <c r="BA212" s="12" t="n"/>
      <c r="BB212" s="12" t="n"/>
      <c r="BC212" s="12" t="n"/>
      <c r="BD212" s="12" t="n"/>
      <c r="BE212" s="12" t="n"/>
      <c r="BF212" s="12" t="n"/>
      <c r="BG212" s="12" t="n"/>
      <c r="BH212" s="12" t="n"/>
      <c r="BI212" s="12" t="n"/>
      <c r="BJ212" s="12" t="n"/>
      <c r="BK212" s="12" t="n"/>
      <c r="BL212" s="12" t="n"/>
      <c r="BM212" s="12" t="n"/>
      <c r="BN212" s="12" t="n"/>
      <c r="BO212" s="12" t="n"/>
      <c r="BP212" s="12" t="n"/>
      <c r="BQ212" s="12" t="n"/>
      <c r="BR212" s="12" t="n"/>
      <c r="BS212" s="12" t="n"/>
      <c r="BT212" s="12" t="n"/>
      <c r="BU212" s="12" t="n"/>
      <c r="BV212" s="12" t="n"/>
      <c r="BW212" s="12" t="n"/>
      <c r="BX212" s="12" t="n"/>
      <c r="BY212" s="12" t="n"/>
      <c r="BZ212" s="12" t="n"/>
      <c r="CA212" s="12" t="n"/>
      <c r="CB212" s="12" t="n"/>
      <c r="CC212" s="12" t="n"/>
      <c r="CD212" s="12" t="n"/>
      <c r="CE212" s="12" t="n"/>
      <c r="CF212" s="12" t="n"/>
      <c r="CG212" s="12" t="n"/>
      <c r="CH212" s="12" t="n"/>
      <c r="CI212" s="12" t="n"/>
      <c r="CJ212" s="12" t="n"/>
      <c r="CK212" s="12" t="n"/>
      <c r="CL212" s="12" t="n"/>
      <c r="CM212" s="12" t="n"/>
      <c r="CN212" s="12" t="n"/>
      <c r="CO212" s="12" t="n"/>
      <c r="CP212" s="12" t="n"/>
      <c r="CQ212" s="12" t="n"/>
      <c r="CR212" s="12" t="n"/>
      <c r="CS212" s="12" t="n"/>
      <c r="CT212" s="12" t="n"/>
      <c r="CU212" s="12" t="n"/>
      <c r="CV212" s="12" t="n"/>
      <c r="CW212" s="12" t="n"/>
      <c r="CX212" s="12" t="n"/>
      <c r="CY212" s="12" t="n"/>
    </row>
    <row r="213" collapsed="1" customFormat="1" s="32">
      <c r="A213" s="30" t="n"/>
      <c r="B213" s="30" t="n"/>
      <c r="C213" s="65" t="inlineStr">
        <is>
          <t>Total Liabilities</t>
        </is>
      </c>
      <c r="D213" s="35" t="n"/>
      <c r="E213" s="35" t="n"/>
      <c r="F213" s="35" t="n"/>
      <c r="G213" s="35" t="n"/>
      <c r="H213" s="35" t="n"/>
      <c r="I213" s="35">
        <f>SUM(I164+I168+I170+I171+I178+I179+I180+I183+I201+I204+I205+I206)</f>
        <v>3880.66100246</v>
      </c>
      <c r="J213" s="35">
        <f>SUM(J164+J168+J170+J171+J178+J179+J180+J183+J201+J204+J205+J206)</f>
        <v>3647.4685811</v>
      </c>
      <c r="K213" s="35">
        <f>SUM(K164+K168+K170+K171+K178+K179+K180+K183+K201+K204+K205+K206)</f>
        <v>4467.89449676</v>
      </c>
      <c r="L213" s="35">
        <f>SUM(L164+L168+L170+L171+L178+L179+L180+L183+L201+L204+L205+L206)</f>
        <v>4219.28756739</v>
      </c>
      <c r="M213" s="35">
        <f>SUM(M164,M168,M170,M171,M178,M179,M183,M180,M201,M204,M205,M206)</f>
        <v>4219.28756739</v>
      </c>
      <c r="N213" s="35">
        <f>SUM(N164+N168+N170+N171+N178+N179+N180+N183+N201+N204+N205+N206)</f>
        <v>4242.2763037</v>
      </c>
      <c r="O213" s="35">
        <f>SUM(O164+O168+O170+O171+O178+O179+O180+O183+O201+O204+O205+O206)</f>
        <v>5010.95903105</v>
      </c>
      <c r="P213" s="35">
        <f>SUM(P164+P168+P170+P171+P178+P179+P180+P183+P201+P204+P205+P206)</f>
        <v>5104.58099461</v>
      </c>
      <c r="Q213" s="35">
        <f>SUM(Q164+Q168+Q170+Q171+Q178+Q179+Q180+Q183+Q201+Q204+Q205+Q206)</f>
        <v>5090.68548516</v>
      </c>
      <c r="R213" s="35">
        <f>SUM(R164,R168,R170,R171,R178,R179,R183,R180,R201,R204,R205,R206)</f>
        <v>5090.68548516</v>
      </c>
      <c r="S213" s="35">
        <f>SUM(S164+S168+S170+S171+S178+S179+S180+S183+S201+S204+S205+S206)</f>
        <v>5055.89502469</v>
      </c>
      <c r="T213" s="35">
        <f>SUM(T164+T168+T170+T171+T178+T179+T180+T183+T201+T204+T205+T206)</f>
        <v>6401.4</v>
      </c>
      <c r="U213" s="35">
        <f>SUM(U164+U168+U170+U171+U178+U179+U180+U183+U201+U204+U205+U206)</f>
        <v>6341.098</v>
      </c>
      <c r="V213" s="35">
        <f>SUM(V164+V168+V170+V171+V178+V179+V180+V183+V201+V204+V205+V206)</f>
        <v>6468.898</v>
      </c>
      <c r="W213" s="35">
        <f>SUM(W164,W168,W170,W171,W178,W179,W183,W180,W201,W204,W205,W206)</f>
        <v>6468.898</v>
      </c>
      <c r="X213" s="35">
        <f>SUM(X164+X168+X170+X171+X178+X179+X180+X183+X201+X204+X205+X206)</f>
        <v>6473.36658127</v>
      </c>
      <c r="Y213" s="35">
        <f>SUM(Y164+Y168+Y170+Y171+Y178+Y179+Y180+Y183+Y201+Y204+Y205+Y206)</f>
        <v>7371.349</v>
      </c>
      <c r="Z213" s="35">
        <f>SUM(Z164+Z168+Z170+Z171+Z178+Z179+Z180+Z183+Z201+Z204+Z205+Z206)</f>
        <v>7603.373</v>
      </c>
      <c r="AA213" s="35">
        <f>SUM(AA164+AA168+AA170+AA171+AA178+AA179+AA180+AA183+AA201+AA204+AA205+AA206)</f>
        <v>7687.579</v>
      </c>
      <c r="AB213" s="35">
        <f>SUM(AB164,AB168,AB170,AB171,AB178,AB179,AB183,AB180,AB201,AB204,AB205,AB206)</f>
        <v>7687.579</v>
      </c>
      <c r="AC213" s="35">
        <f>SUM(AC164+AC168+AC170+AC171+AC178+AC179+AC180+AC183+AC201+AC204+AC205+AC206)</f>
        <v>7950.50393919</v>
      </c>
      <c r="AD213" s="35">
        <f>SUM(AD164+AD168+AD170+AD171+AD178+AD179+AD180+AD183+AD201+AD204+AD205+AD206)</f>
        <v>7601.926</v>
      </c>
      <c r="AE213" s="35">
        <f>SUM(AE164+AE168+AE170+AE171+AE178+AE179+AE180+AE183+AE201+AE204+AE205+AE206)</f>
        <v>8101.554</v>
      </c>
      <c r="AF213" s="35">
        <f>SUM(AF164+AF168+AF170+AF171+AF178+AF179+AF180+AF183+AF201+AF204+AF205+AF206)</f>
        <v>8124.213</v>
      </c>
      <c r="AG213" s="35">
        <f>SUM(AG164,AG168,AG170,AG171,AG178,AG179,AG183,AG180,AG201,AG204,AG205,AG206)</f>
        <v>8124.213</v>
      </c>
      <c r="AH213" s="35">
        <f>SUM(AH164+AH168+AH170+AH171+AH178+AH179+AH180+AH183+AH201+AH204+AH205+AH206)</f>
        <v>8048.02</v>
      </c>
      <c r="AI213" s="35">
        <f>SUM(AI164+AI168+AI170+AI171+AI178+AI179+AI180+AI183+AI201+AI204+AI205+AI206)</f>
        <v>8040.103</v>
      </c>
      <c r="AJ213" s="35">
        <f>SUM(AJ164+AJ168+AJ170+AJ171+AJ178+AJ179+AJ180+AJ183+AJ201+AJ204+AJ205+AJ206)</f>
        <v>8065.11835800042</v>
      </c>
      <c r="AK213" s="35">
        <f>SUM(AK164+AK168+AK170+AK171+AK178+AK179+AK180+AK183+AK201+AK204+AK205+AK206)</f>
        <v>8070.05825897903</v>
      </c>
      <c r="AL213" s="35">
        <f>SUM(AL164,AL168,AL170,AL171,AL178,AL179,AL183,AL180,AL201,AL204,AL205,AL206)</f>
        <v>8070.05825897903</v>
      </c>
      <c r="AM213" s="35">
        <f>SUM(AM164+AM168+AM170+AM171+AM178+AM179+AM180+AM183+AM201+AM204+AM205+AM206)</f>
        <v>8207.66218203035</v>
      </c>
      <c r="AN213" s="35">
        <f>SUM(AN164+AN168+AN170+AN171+AN178+AN179+AN180+AN183+AN201+AN204+AN205+AN206)</f>
        <v>8297.72700814507</v>
      </c>
      <c r="AO213" s="35">
        <f>SUM(AO164+AO168+AO170+AO171+AO178+AO179+AO180+AO183+AO201+AO204+AO205+AO206)</f>
        <v>8388.55614563271</v>
      </c>
      <c r="AP213" s="35">
        <f>SUM(AP164+AP168+AP170+AP171+AP178+AP179+AP180+AP183+AP201+AP204+AP205+AP206)</f>
        <v>8412.14613783284</v>
      </c>
      <c r="AQ213" s="35">
        <f>SUM(AQ164,AQ168,AQ170,AQ171,AQ178,AQ179,AQ183,AQ180,AQ201,AQ204,AQ205,AQ206)</f>
        <v>8412.14613783284</v>
      </c>
      <c r="AR213" s="35">
        <f>SUM(AR164+AR168+AR170+AR171+AR178+AR179+AR180+AR183+AR201+AR204+AR205+AR206)</f>
        <v>8563.78833972822</v>
      </c>
      <c r="AS213" s="35">
        <f>SUM(AS164+AS168+AS170+AS171+AS178+AS179+AS180+AS183+AS201+AS204+AS205+AS206)</f>
        <v>8688.85649224344</v>
      </c>
      <c r="AT213" s="35">
        <f>SUM(AT164+AT168+AT170+AT171+AT178+AT179+AT180+AT183+AT201+AT204+AT205+AT206)</f>
        <v>8805.7685002639</v>
      </c>
      <c r="AU213" s="35">
        <f>SUM(AU164+AU168+AU170+AU171+AU178+AU179+AU180+AU183+AU201+AU204+AU205+AU206)</f>
        <v>8850.66097794249</v>
      </c>
      <c r="AV213" s="35">
        <f>SUM(AV164,AV168,AV170,AV171,AV178,AV179,AV183,AV180,AV201,AV204,AV205,AV206)</f>
        <v>8850.66097794249</v>
      </c>
      <c r="AW213" s="35">
        <f>SUM(AW164+AW168+AW170+AW171+AW178+AW179+AW180+AW183+AW201+AW204+AW205+AW206)</f>
        <v>9041.34619341656</v>
      </c>
      <c r="AX213" s="35">
        <f>SUM(AX164+AX168+AX170+AX171+AX178+AX179+AX180+AX183+AX201+AX204+AX205+AX206)</f>
        <v>9186.63870997394</v>
      </c>
      <c r="AY213" s="35">
        <f>SUM(AY164+AY168+AY170+AY171+AY178+AY179+AY180+AY183+AY201+AY204+AY205+AY206)</f>
        <v>9335.35658635493</v>
      </c>
      <c r="AZ213" s="35">
        <f>SUM(AZ164+AZ168+AZ170+AZ171+AZ178+AZ179+AZ180+AZ183+AZ201+AZ204+AZ205+AZ206)</f>
        <v>9407.3236823155</v>
      </c>
      <c r="BA213" s="35">
        <f>SUM(BA164,BA168,BA170,BA171,BA178,BA179,BA183,BA180,BA201,BA204,BA205,BA206)</f>
        <v>9407.3236823155</v>
      </c>
      <c r="BB213" s="35">
        <f>SUM(BB164+BB168+BB170+BB171+BB178+BB179+BB180+BB183+BB201+BB204+BB205+BB206)</f>
        <v>9631.90396782065</v>
      </c>
      <c r="BC213" s="35">
        <f>SUM(BC164+BC168+BC170+BC171+BC178+BC179+BC180+BC183+BC201+BC204+BC205+BC206)</f>
        <v>9813.35239553946</v>
      </c>
      <c r="BD213" s="35">
        <f>SUM(BD164+BD168+BD170+BD171+BD178+BD179+BD180+BD183+BD201+BD204+BD205+BD206)</f>
        <v>9999.83222387345</v>
      </c>
      <c r="BE213" s="35">
        <f>SUM(BE164+BE168+BE170+BE171+BE178+BE179+BE180+BE183+BE201+BE204+BE205+BE206)</f>
        <v>10104.8648640329</v>
      </c>
      <c r="BF213" s="35">
        <f>SUM(BF164,BF168,BF170,BF171,BF178,BF179,BF183,BF180,BF201,BF204,BF205,BF206)</f>
        <v>10104.8648640329</v>
      </c>
      <c r="BG213" s="35" t="n"/>
      <c r="BH213" s="35" t="n"/>
      <c r="BI213" s="35" t="n"/>
      <c r="BJ213" s="35" t="n"/>
      <c r="BK213" s="35" t="n"/>
      <c r="BL213" s="35" t="n"/>
      <c r="BM213" s="35" t="n"/>
      <c r="BN213" s="35" t="n"/>
      <c r="BO213" s="35" t="n"/>
      <c r="BP213" s="35" t="n"/>
      <c r="BQ213" s="35" t="n"/>
      <c r="BR213" s="35" t="n"/>
      <c r="BS213" s="35" t="n"/>
      <c r="BT213" s="35" t="n"/>
      <c r="BU213" s="35" t="n"/>
      <c r="BV213" s="35" t="n"/>
      <c r="BW213" s="35" t="n"/>
      <c r="BX213" s="35" t="n"/>
      <c r="BY213" s="35" t="n"/>
      <c r="BZ213" s="35" t="n"/>
      <c r="CA213" s="35" t="n"/>
      <c r="CB213" s="35" t="n"/>
      <c r="CC213" s="35" t="n"/>
      <c r="CD213" s="35" t="n"/>
      <c r="CE213" s="35" t="n"/>
      <c r="CF213" s="35" t="n"/>
      <c r="CG213" s="35" t="n"/>
      <c r="CH213" s="35" t="n"/>
      <c r="CI213" s="35" t="n"/>
      <c r="CJ213" s="35" t="n"/>
      <c r="CK213" s="35" t="n"/>
      <c r="CL213" s="35" t="n"/>
      <c r="CM213" s="35" t="n"/>
      <c r="CN213" s="35" t="n"/>
      <c r="CO213" s="35" t="n"/>
      <c r="CP213" s="35" t="n"/>
      <c r="CQ213" s="35" t="n"/>
      <c r="CR213" s="35" t="n"/>
      <c r="CS213" s="35" t="n"/>
      <c r="CT213" s="35" t="n"/>
      <c r="CU213" s="35" t="n"/>
      <c r="CV213" s="35" t="n"/>
      <c r="CW213" s="35" t="n"/>
      <c r="CX213" s="35" t="n"/>
      <c r="CY213" s="35" t="n"/>
    </row>
    <row r="214">
      <c r="C214" s="14" t="inlineStr">
        <is>
          <t>Minority interest</t>
        </is>
      </c>
      <c r="D214" s="46" t="n"/>
      <c r="E214" s="46" t="n"/>
      <c r="F214" s="46" t="n"/>
      <c r="G214" s="46" t="n"/>
      <c r="H214" s="12" t="n"/>
      <c r="I214" s="46">
        <f>'Inputs (2)'!D41</f>
        <v>0</v>
      </c>
      <c r="J214" s="46">
        <f>'Inputs (2)'!E41</f>
        <v>1.33071621</v>
      </c>
      <c r="K214" s="46">
        <f>'Inputs (2)'!F41</f>
        <v>2.80354177</v>
      </c>
      <c r="L214" s="46">
        <f>'Inputs (2)'!G41</f>
        <v>9.199179645</v>
      </c>
      <c r="M214" s="12">
        <f>'Inputs (2)'!H41</f>
        <v>9.199179645</v>
      </c>
      <c r="N214" s="46">
        <f>'Inputs (2)'!I41</f>
        <v>9.990717297</v>
      </c>
      <c r="O214" s="46">
        <f>'Inputs (2)'!J41</f>
        <v>11.70036526</v>
      </c>
      <c r="P214" s="46">
        <f>'Inputs (2)'!K41</f>
        <v>16.59030887</v>
      </c>
      <c r="Q214" s="46">
        <f>'Inputs (2)'!L41</f>
        <v>19.548874</v>
      </c>
      <c r="R214" s="12">
        <f>'Inputs (2)'!M41</f>
        <v>19.548874</v>
      </c>
      <c r="S214" s="46">
        <f>'Inputs (2)'!N41</f>
        <v>22.120863</v>
      </c>
      <c r="T214" s="46">
        <f>'Inputs (2)'!O41</f>
        <v>13.204</v>
      </c>
      <c r="U214" s="46">
        <f>'Inputs (2)'!P41</f>
        <v>14.811</v>
      </c>
      <c r="V214" s="46">
        <f>'Inputs (2)'!Q41</f>
        <v>27.619</v>
      </c>
      <c r="W214" s="12">
        <f>'Inputs (2)'!R41</f>
        <v>27.619</v>
      </c>
      <c r="X214" s="46">
        <f>'Inputs (2)'!S41</f>
        <v>29.501955374</v>
      </c>
      <c r="Y214" s="46">
        <f>'Inputs (2)'!T41</f>
        <v>74.196880128</v>
      </c>
      <c r="Z214" s="46">
        <f>'Inputs (2)'!U41</f>
        <v>85.252</v>
      </c>
      <c r="AA214" s="46">
        <f>'Inputs (2)'!V41</f>
        <v>85.763</v>
      </c>
      <c r="AB214" s="12">
        <f>'Inputs (2)'!W41</f>
        <v>85.763</v>
      </c>
      <c r="AC214" s="46">
        <f>'Inputs (2)'!X41</f>
        <v>93.419046</v>
      </c>
      <c r="AD214" s="46">
        <f>'Inputs (2)'!Y41</f>
        <v>91.417</v>
      </c>
      <c r="AE214" s="46">
        <f>'Inputs (2)'!Z41</f>
        <v>87.661</v>
      </c>
      <c r="AF214" s="46">
        <f>'Inputs (2)'!AA41</f>
        <v>94.928</v>
      </c>
      <c r="AG214" s="12">
        <f>'Inputs (2)'!AB41</f>
        <v>94.928</v>
      </c>
      <c r="AH214" s="12">
        <f>'Inputs (2)'!AC41</f>
        <v>95.02</v>
      </c>
      <c r="AI214" s="12">
        <f>'Inputs (2)'!AD41</f>
        <v>100.794</v>
      </c>
      <c r="AJ214" s="12">
        <f>AI214</f>
        <v>100.794</v>
      </c>
      <c r="AK214" s="12">
        <f>AJ214</f>
        <v>100.794</v>
      </c>
      <c r="AL214" s="12">
        <f>AK214</f>
        <v>100.794</v>
      </c>
      <c r="AM214" s="12">
        <f>AL214</f>
        <v>100.794</v>
      </c>
      <c r="AN214" s="12">
        <f>AM214</f>
        <v>100.794</v>
      </c>
      <c r="AO214" s="12">
        <f>AN214</f>
        <v>100.794</v>
      </c>
      <c r="AP214" s="12">
        <f>AO214</f>
        <v>100.794</v>
      </c>
      <c r="AQ214" s="12">
        <f>AP214</f>
        <v>100.794</v>
      </c>
      <c r="AR214" s="12">
        <f>AQ214</f>
        <v>100.794</v>
      </c>
      <c r="AS214" s="12">
        <f>AR214</f>
        <v>100.794</v>
      </c>
      <c r="AT214" s="12">
        <f>AS214</f>
        <v>100.794</v>
      </c>
      <c r="AU214" s="12">
        <f>AT214</f>
        <v>100.794</v>
      </c>
      <c r="AV214" s="12">
        <f>AU214</f>
        <v>100.794</v>
      </c>
      <c r="AW214" s="12">
        <f>AV214</f>
        <v>100.794</v>
      </c>
      <c r="AX214" s="12">
        <f>AW214</f>
        <v>100.794</v>
      </c>
      <c r="AY214" s="12">
        <f>AX214</f>
        <v>100.794</v>
      </c>
      <c r="AZ214" s="12">
        <f>AY214</f>
        <v>100.794</v>
      </c>
      <c r="BA214" s="12">
        <f>AZ214</f>
        <v>100.794</v>
      </c>
      <c r="BB214" s="12">
        <f>BA214</f>
        <v>100.794</v>
      </c>
      <c r="BC214" s="12">
        <f>BB214</f>
        <v>100.794</v>
      </c>
      <c r="BD214" s="12">
        <f>BC214</f>
        <v>100.794</v>
      </c>
      <c r="BE214" s="12">
        <f>BD214</f>
        <v>100.794</v>
      </c>
      <c r="BF214" s="12">
        <f>BE214</f>
        <v>100.794</v>
      </c>
      <c r="BG214" s="12" t="n"/>
      <c r="BH214" s="12" t="n"/>
      <c r="BI214" s="12" t="n"/>
      <c r="BJ214" s="12" t="n"/>
      <c r="BK214" s="12" t="n"/>
      <c r="BL214" s="12" t="n"/>
      <c r="BM214" s="12" t="n"/>
      <c r="BN214" s="12" t="n"/>
      <c r="BO214" s="12" t="n"/>
      <c r="BP214" s="12" t="n"/>
      <c r="BQ214" s="12" t="n"/>
      <c r="BR214" s="12" t="n"/>
      <c r="BS214" s="12" t="n"/>
      <c r="BT214" s="12" t="n"/>
      <c r="BU214" s="12" t="n"/>
      <c r="BV214" s="12" t="n"/>
      <c r="BW214" s="12" t="n"/>
      <c r="BX214" s="12" t="n"/>
      <c r="BY214" s="12" t="n"/>
      <c r="BZ214" s="12" t="n"/>
      <c r="CA214" s="12" t="n"/>
      <c r="CB214" s="12" t="n"/>
      <c r="CC214" s="12" t="n"/>
      <c r="CD214" s="12" t="n"/>
      <c r="CE214" s="12" t="n"/>
      <c r="CF214" s="12" t="n"/>
      <c r="CG214" s="12" t="n"/>
      <c r="CH214" s="12" t="n"/>
      <c r="CI214" s="12" t="n"/>
      <c r="CJ214" s="12" t="n"/>
      <c r="CK214" s="12" t="n"/>
      <c r="CL214" s="12" t="n"/>
      <c r="CM214" s="12" t="n"/>
      <c r="CN214" s="12" t="n"/>
      <c r="CO214" s="12" t="n"/>
      <c r="CP214" s="12" t="n"/>
      <c r="CQ214" s="12" t="n"/>
      <c r="CR214" s="12" t="n"/>
      <c r="CS214" s="12" t="n"/>
      <c r="CT214" s="12" t="n"/>
      <c r="CU214" s="12" t="n"/>
      <c r="CV214" s="12" t="n"/>
      <c r="CW214" s="12" t="n"/>
      <c r="CX214" s="12" t="n"/>
      <c r="CY214" s="12" t="n"/>
    </row>
    <row r="215" hidden="1" outlineLevel="1" customFormat="1" s="66">
      <c r="A215" s="37" t="n"/>
      <c r="B215" s="37" t="n"/>
      <c r="C215" s="59" t="n"/>
      <c r="D215" s="42" t="n"/>
      <c r="E215" s="42" t="n"/>
      <c r="F215" s="42" t="n"/>
      <c r="G215" s="42" t="n"/>
      <c r="H215" s="42" t="n"/>
      <c r="I215" s="42" t="n"/>
      <c r="J215" s="42" t="n"/>
      <c r="K215" s="42" t="n"/>
      <c r="L215" s="42" t="n"/>
      <c r="M215" s="42" t="n"/>
      <c r="N215" s="42" t="n"/>
      <c r="O215" s="42" t="n"/>
      <c r="P215" s="42" t="n"/>
      <c r="Q215" s="42" t="n"/>
      <c r="R215" s="42" t="n"/>
      <c r="S215" s="42" t="n"/>
      <c r="T215" s="42" t="n"/>
      <c r="U215" s="42" t="n"/>
      <c r="V215" s="42" t="n"/>
      <c r="W215" s="42" t="n"/>
      <c r="X215" s="42" t="n"/>
      <c r="Y215" s="42" t="n"/>
      <c r="Z215" s="42" t="n"/>
      <c r="AA215" s="42" t="n"/>
      <c r="AB215" s="42" t="n"/>
      <c r="AC215" s="42" t="n"/>
      <c r="AD215" s="42" t="n"/>
      <c r="AE215" s="42" t="n"/>
      <c r="AF215" s="42" t="n"/>
      <c r="AG215" s="42" t="n"/>
      <c r="AH215" s="42" t="n"/>
      <c r="AI215" s="42" t="n"/>
      <c r="AJ215" s="42" t="n"/>
      <c r="AK215" s="42" t="n"/>
      <c r="AL215" s="42" t="n"/>
      <c r="AM215" s="42" t="n"/>
      <c r="AN215" s="42" t="n"/>
      <c r="AO215" s="42" t="n"/>
      <c r="AP215" s="42" t="n"/>
      <c r="AQ215" s="42" t="n"/>
      <c r="AR215" s="42" t="n"/>
      <c r="AS215" s="42" t="n"/>
      <c r="AT215" s="42" t="n"/>
      <c r="AU215" s="42" t="n"/>
      <c r="AV215" s="42" t="n"/>
      <c r="AW215" s="42" t="n"/>
      <c r="AX215" s="42" t="n"/>
      <c r="AY215" s="42" t="n"/>
      <c r="AZ215" s="42" t="n"/>
      <c r="BA215" s="42" t="n"/>
      <c r="BB215" s="42" t="n"/>
      <c r="BC215" s="42" t="n"/>
      <c r="BD215" s="42" t="n"/>
      <c r="BE215" s="42" t="n"/>
      <c r="BF215" s="42" t="n"/>
      <c r="BG215" s="42" t="n"/>
      <c r="BH215" s="42" t="n"/>
      <c r="BI215" s="42" t="n"/>
      <c r="BJ215" s="42" t="n"/>
      <c r="BK215" s="42" t="n"/>
      <c r="BL215" s="42" t="n"/>
      <c r="BM215" s="42" t="n"/>
      <c r="BN215" s="42" t="n"/>
      <c r="BO215" s="42" t="n"/>
      <c r="BP215" s="42" t="n"/>
      <c r="BQ215" s="42" t="n"/>
      <c r="BR215" s="42" t="n"/>
      <c r="BS215" s="42" t="n"/>
      <c r="BT215" s="42" t="n"/>
      <c r="BU215" s="42" t="n"/>
      <c r="BV215" s="42" t="n"/>
      <c r="BW215" s="42" t="n"/>
      <c r="BX215" s="42" t="n"/>
      <c r="BY215" s="42" t="n"/>
      <c r="BZ215" s="42" t="n"/>
      <c r="CA215" s="42" t="n"/>
      <c r="CB215" s="42" t="n"/>
      <c r="CC215" s="42" t="n"/>
      <c r="CD215" s="42" t="n"/>
      <c r="CE215" s="42" t="n"/>
      <c r="CF215" s="42" t="n"/>
      <c r="CG215" s="42" t="n"/>
      <c r="CH215" s="42" t="n"/>
      <c r="CI215" s="42" t="n"/>
      <c r="CJ215" s="42" t="n"/>
      <c r="CK215" s="42" t="n"/>
      <c r="CL215" s="42" t="n"/>
      <c r="CM215" s="42" t="n"/>
      <c r="CN215" s="42" t="n"/>
      <c r="CO215" s="42" t="n"/>
      <c r="CP215" s="42" t="n"/>
      <c r="CQ215" s="42" t="n"/>
      <c r="CR215" s="42" t="n"/>
      <c r="CS215" s="42" t="n"/>
      <c r="CT215" s="42" t="n"/>
      <c r="CU215" s="42" t="n"/>
      <c r="CV215" s="42" t="n"/>
      <c r="CW215" s="42" t="n"/>
      <c r="CX215" s="42" t="n"/>
      <c r="CY215" s="42" t="n"/>
    </row>
    <row r="216" hidden="1" outlineLevel="1" customFormat="1" s="66">
      <c r="A216" s="37" t="n"/>
      <c r="B216" s="37" t="n"/>
      <c r="C216" s="57" t="inlineStr">
        <is>
          <t>Minority Interest Expense - % YoY</t>
        </is>
      </c>
      <c r="D216" s="42" t="n"/>
      <c r="E216" s="58" t="n"/>
      <c r="F216" s="42" t="n"/>
      <c r="G216" s="42" t="n"/>
      <c r="H216" s="58" t="n"/>
      <c r="I216" s="42" t="n"/>
      <c r="J216" s="58">
        <f>IF(I101=0,0,J101/I101-1)</f>
        <v>-0.988727679376282</v>
      </c>
      <c r="K216" s="42" t="n"/>
      <c r="L216" s="42" t="n"/>
      <c r="M216" s="58" t="n"/>
      <c r="N216" s="58">
        <f>IF(I101=0,0,N101/I101-1)</f>
        <v>-1.00099691998906</v>
      </c>
      <c r="O216" s="58">
        <f>IF(J101=0,0,O101/J101-1)</f>
        <v>-186.407471316305</v>
      </c>
      <c r="P216" s="58">
        <f>IF(K101=0,0,P101/K101-1)</f>
        <v>-0.433745387752946</v>
      </c>
      <c r="Q216" s="58">
        <f>IF(L101=0,0,Q101/L101-1)</f>
        <v>-1.19867672292999</v>
      </c>
      <c r="R216" s="58" t="n"/>
      <c r="S216" s="58">
        <f>IF(N101=0,0,S101/N101-1)</f>
        <v>-1</v>
      </c>
      <c r="T216" s="58">
        <f>IF(O101=0,0,T101/O101-1)</f>
        <v>-0.384697895606721</v>
      </c>
      <c r="U216" s="58">
        <f>IF(P101=0,0,U101/P101-1)</f>
        <v>-0.295357027380344</v>
      </c>
      <c r="V216" s="58">
        <f>IF(Q101=0,0,V101/Q101-1)</f>
        <v>3.46195419491357</v>
      </c>
      <c r="W216" s="58">
        <f>IF(R102=0,0,W102/R102-1)</f>
        <v>-4.56525142512329</v>
      </c>
      <c r="X216" s="58">
        <f>IF(S101=0,0,X101/S101-1)</f>
        <v>0</v>
      </c>
      <c r="Y216" s="58">
        <f>IF(T101=0,0,Y101/T101-1)</f>
        <v>-4.14509803921569</v>
      </c>
      <c r="Z216" s="58">
        <f>IF(U101=0,0,Z101/U101-1)</f>
        <v>-4.72159090909091</v>
      </c>
      <c r="AA216" s="58">
        <f>IF(V101=0,0,AA101/V101-1)</f>
        <v>7.91240875912409</v>
      </c>
      <c r="AB216" s="58">
        <f>IF(W102=0,0,AB102/W102-1)</f>
        <v>3.26510566806618</v>
      </c>
      <c r="AC216" s="58">
        <f>IF(X101=0,0,AC101/X101-1)</f>
        <v>5.52586206896552</v>
      </c>
      <c r="AD216" s="58">
        <f>IF(Y101=0,0,AD101/Y101-1)</f>
        <v>2.46134663341646</v>
      </c>
      <c r="AE216" s="58">
        <f>IF(Z101=0,0,AE101/Z101-1)</f>
        <v>4.50585966870229</v>
      </c>
      <c r="AF216" s="58">
        <f>IF(AA101=0,0,AF101/AA101-1)</f>
        <v>1.00886428951679</v>
      </c>
      <c r="AG216" s="58">
        <f>IF(AB102=0,0,AG102/AB102-1)</f>
        <v>0.29094165026362</v>
      </c>
      <c r="AH216" s="62">
        <f>IF(AC101=0,0,AH101/AC101-1)</f>
        <v>1.22878379568472</v>
      </c>
      <c r="AI216" s="62">
        <f>IF(AD101=0,0,AI101/AD101-1)</f>
        <v>0.93253818443804</v>
      </c>
      <c r="AJ216" s="62" t="n"/>
      <c r="AK216" s="62" t="n"/>
      <c r="AL216" s="58">
        <f>IF(AG102=0,0,AL102/AG102-1)</f>
        <v>-0.623920691208478</v>
      </c>
      <c r="AM216" s="62" t="n"/>
      <c r="AN216" s="62" t="n"/>
      <c r="AO216" s="62" t="n"/>
      <c r="AP216" s="62" t="n"/>
      <c r="AQ216" s="58">
        <f>IF(AL102=0,0,AQ102/AL102-1)</f>
        <v>-1</v>
      </c>
      <c r="AR216" s="62" t="n"/>
      <c r="AS216" s="62" t="n"/>
      <c r="AT216" s="62" t="n"/>
      <c r="AU216" s="62" t="n"/>
      <c r="AV216" s="58">
        <f>IF(AQ102=0,0,AV102/AQ102-1)</f>
        <v>0</v>
      </c>
      <c r="AW216" s="62" t="n"/>
      <c r="AX216" s="62" t="n"/>
      <c r="AY216" s="62" t="n"/>
      <c r="AZ216" s="62" t="n"/>
      <c r="BA216" s="58">
        <f>IF(AV102=0,0,BA102/AV102-1)</f>
        <v>0</v>
      </c>
      <c r="BB216" s="62" t="n"/>
      <c r="BC216" s="62" t="n"/>
      <c r="BD216" s="62" t="n"/>
      <c r="BE216" s="62" t="n"/>
      <c r="BF216" s="58">
        <f>IF(BA102=0,0,BF102/BA102-1)</f>
        <v>0</v>
      </c>
      <c r="BG216" s="62" t="n"/>
      <c r="BH216" s="62" t="n"/>
      <c r="BI216" s="62" t="n"/>
      <c r="BJ216" s="62" t="n"/>
      <c r="BK216" s="58" t="n"/>
      <c r="BL216" s="62" t="n"/>
      <c r="BM216" s="62" t="n"/>
      <c r="BN216" s="62" t="n"/>
      <c r="BO216" s="62" t="n"/>
      <c r="BP216" s="58" t="n"/>
      <c r="BQ216" s="62" t="n"/>
      <c r="BR216" s="62" t="n"/>
      <c r="BS216" s="62" t="n"/>
      <c r="BT216" s="62" t="n"/>
      <c r="BU216" s="58" t="n"/>
      <c r="BV216" s="62" t="n"/>
      <c r="BW216" s="62" t="n"/>
      <c r="BX216" s="62" t="n"/>
      <c r="BY216" s="62" t="n"/>
      <c r="BZ216" s="58" t="n"/>
      <c r="CA216" s="62" t="n"/>
      <c r="CB216" s="62" t="n"/>
      <c r="CC216" s="62" t="n"/>
      <c r="CD216" s="62" t="n"/>
      <c r="CE216" s="58" t="n"/>
      <c r="CF216" s="62" t="n"/>
      <c r="CG216" s="62" t="n"/>
      <c r="CH216" s="62" t="n"/>
      <c r="CI216" s="62" t="n"/>
      <c r="CJ216" s="58" t="n"/>
      <c r="CK216" s="62" t="n"/>
      <c r="CL216" s="62" t="n"/>
      <c r="CM216" s="62" t="n"/>
      <c r="CN216" s="62" t="n"/>
      <c r="CO216" s="58" t="n"/>
      <c r="CP216" s="62" t="n"/>
      <c r="CQ216" s="62" t="n"/>
      <c r="CR216" s="62" t="n"/>
      <c r="CS216" s="62" t="n"/>
      <c r="CT216" s="58" t="n"/>
      <c r="CU216" s="62" t="n"/>
      <c r="CV216" s="62" t="n"/>
      <c r="CW216" s="62" t="n"/>
      <c r="CX216" s="62" t="n"/>
      <c r="CY216" s="58" t="n"/>
    </row>
    <row r="217" hidden="1" outlineLevel="1" customFormat="1" s="66">
      <c r="A217" s="37" t="n"/>
      <c r="B217" s="37" t="n"/>
      <c r="C217" s="57" t="inlineStr">
        <is>
          <t>Dividends (enter as -)</t>
        </is>
      </c>
      <c r="D217" s="42" t="n"/>
      <c r="E217" s="42" t="n"/>
      <c r="F217" s="42" t="n"/>
      <c r="G217" s="42" t="n"/>
      <c r="H217" s="42" t="n"/>
      <c r="I217" s="42" t="n"/>
      <c r="J217" s="42" t="n"/>
      <c r="K217" s="42" t="n"/>
      <c r="L217" s="42" t="n"/>
      <c r="M217" s="42" t="n"/>
      <c r="N217" s="42" t="n"/>
      <c r="O217" s="42" t="n"/>
      <c r="P217" s="42" t="n"/>
      <c r="Q217" s="42" t="n"/>
      <c r="R217" s="42" t="n"/>
      <c r="S217" s="42" t="n"/>
      <c r="T217" s="42" t="n"/>
      <c r="U217" s="42" t="n"/>
      <c r="V217" s="42" t="n"/>
      <c r="W217" s="42" t="n"/>
      <c r="X217" s="42" t="n"/>
      <c r="Y217" s="42" t="n"/>
      <c r="Z217" s="42" t="n"/>
      <c r="AA217" s="42" t="n"/>
      <c r="AB217" s="42" t="n"/>
      <c r="AC217" s="42" t="n"/>
      <c r="AD217" s="42" t="n"/>
      <c r="AE217" s="42" t="n"/>
      <c r="AF217" s="42" t="n"/>
      <c r="AG217" s="42" t="n"/>
      <c r="AH217" s="62" t="n"/>
      <c r="AI217" s="62" t="n"/>
      <c r="AJ217" s="62" t="n"/>
      <c r="AK217" s="62" t="n"/>
      <c r="AL217" s="42" t="n"/>
      <c r="AM217" s="62" t="n"/>
      <c r="AN217" s="62" t="n"/>
      <c r="AO217" s="62" t="n"/>
      <c r="AP217" s="62" t="n"/>
      <c r="AQ217" s="42" t="n"/>
      <c r="AR217" s="62" t="n"/>
      <c r="AS217" s="62" t="n"/>
      <c r="AT217" s="62" t="n"/>
      <c r="AU217" s="62" t="n"/>
      <c r="AV217" s="42" t="n"/>
      <c r="AW217" s="62" t="n"/>
      <c r="AX217" s="62" t="n"/>
      <c r="AY217" s="62" t="n"/>
      <c r="AZ217" s="62" t="n"/>
      <c r="BA217" s="42" t="n"/>
      <c r="BB217" s="62" t="n"/>
      <c r="BC217" s="62" t="n"/>
      <c r="BD217" s="62" t="n"/>
      <c r="BE217" s="62" t="n"/>
      <c r="BF217" s="42" t="n"/>
      <c r="BG217" s="62" t="n"/>
      <c r="BH217" s="62" t="n"/>
      <c r="BI217" s="62" t="n"/>
      <c r="BJ217" s="62" t="n"/>
      <c r="BK217" s="42" t="n"/>
      <c r="BL217" s="62" t="n"/>
      <c r="BM217" s="62" t="n"/>
      <c r="BN217" s="62" t="n"/>
      <c r="BO217" s="62" t="n"/>
      <c r="BP217" s="42" t="n"/>
      <c r="BQ217" s="62" t="n"/>
      <c r="BR217" s="62" t="n"/>
      <c r="BS217" s="62" t="n"/>
      <c r="BT217" s="62" t="n"/>
      <c r="BU217" s="42" t="n"/>
      <c r="BV217" s="62" t="n"/>
      <c r="BW217" s="62" t="n"/>
      <c r="BX217" s="62" t="n"/>
      <c r="BY217" s="62" t="n"/>
      <c r="BZ217" s="42" t="n"/>
      <c r="CA217" s="62" t="n"/>
      <c r="CB217" s="62" t="n"/>
      <c r="CC217" s="62" t="n"/>
      <c r="CD217" s="62" t="n"/>
      <c r="CE217" s="42" t="n"/>
      <c r="CF217" s="62" t="n"/>
      <c r="CG217" s="62" t="n"/>
      <c r="CH217" s="62" t="n"/>
      <c r="CI217" s="62" t="n"/>
      <c r="CJ217" s="42" t="n"/>
      <c r="CK217" s="62" t="n"/>
      <c r="CL217" s="62" t="n"/>
      <c r="CM217" s="62" t="n"/>
      <c r="CN217" s="62" t="n"/>
      <c r="CO217" s="42" t="n"/>
      <c r="CP217" s="62" t="n"/>
      <c r="CQ217" s="62" t="n"/>
      <c r="CR217" s="62" t="n"/>
      <c r="CS217" s="62" t="n"/>
      <c r="CT217" s="42" t="n"/>
      <c r="CU217" s="62" t="n"/>
      <c r="CV217" s="62" t="n"/>
      <c r="CW217" s="62" t="n"/>
      <c r="CX217" s="62" t="n"/>
      <c r="CY217" s="42" t="n"/>
    </row>
    <row r="218" hidden="1" outlineLevel="1" customFormat="1" s="66">
      <c r="A218" s="37" t="n"/>
      <c r="B218" s="37" t="n"/>
      <c r="C218" s="59" t="n"/>
      <c r="D218" s="42" t="n"/>
      <c r="E218" s="42" t="n"/>
      <c r="F218" s="42" t="n"/>
      <c r="G218" s="42" t="n"/>
      <c r="H218" s="42" t="n"/>
      <c r="I218" s="42" t="n"/>
      <c r="J218" s="42" t="n"/>
      <c r="K218" s="42" t="n"/>
      <c r="L218" s="42" t="n"/>
      <c r="M218" s="42" t="n"/>
      <c r="N218" s="42" t="n"/>
      <c r="O218" s="42" t="n"/>
      <c r="P218" s="42" t="n"/>
      <c r="Q218" s="42" t="n"/>
      <c r="R218" s="42" t="n"/>
      <c r="S218" s="42" t="n"/>
      <c r="T218" s="42" t="n"/>
      <c r="U218" s="42" t="n"/>
      <c r="V218" s="42" t="n"/>
      <c r="W218" s="42" t="n"/>
      <c r="X218" s="42" t="n"/>
      <c r="Y218" s="42" t="n"/>
      <c r="Z218" s="42" t="n"/>
      <c r="AA218" s="42" t="n"/>
      <c r="AB218" s="42" t="n"/>
      <c r="AC218" s="42" t="n"/>
      <c r="AD218" s="42" t="n"/>
      <c r="AE218" s="42" t="n"/>
      <c r="AF218" s="42" t="n"/>
      <c r="AG218" s="42" t="n"/>
      <c r="AH218" s="42" t="n"/>
      <c r="AI218" s="42" t="n"/>
      <c r="AJ218" s="42" t="n"/>
      <c r="AK218" s="42" t="n"/>
      <c r="AL218" s="42" t="n"/>
      <c r="AM218" s="42" t="n"/>
      <c r="AN218" s="42" t="n"/>
      <c r="AO218" s="42" t="n"/>
      <c r="AP218" s="42" t="n"/>
      <c r="AQ218" s="42" t="n"/>
      <c r="AR218" s="42" t="n"/>
      <c r="AS218" s="42" t="n"/>
      <c r="AT218" s="42" t="n"/>
      <c r="AU218" s="42" t="n"/>
      <c r="AV218" s="42" t="n"/>
      <c r="AW218" s="42" t="n"/>
      <c r="AX218" s="42" t="n"/>
      <c r="AY218" s="42" t="n"/>
      <c r="AZ218" s="42" t="n"/>
      <c r="BA218" s="42" t="n"/>
      <c r="BB218" s="42" t="n"/>
      <c r="BC218" s="42" t="n"/>
      <c r="BD218" s="42" t="n"/>
      <c r="BE218" s="42" t="n"/>
      <c r="BF218" s="42" t="n"/>
      <c r="BG218" s="42" t="n"/>
      <c r="BH218" s="42" t="n"/>
      <c r="BI218" s="42" t="n"/>
      <c r="BJ218" s="42" t="n"/>
      <c r="BK218" s="42" t="n"/>
      <c r="BL218" s="42" t="n"/>
      <c r="BM218" s="42" t="n"/>
      <c r="BN218" s="42" t="n"/>
      <c r="BO218" s="42" t="n"/>
      <c r="BP218" s="42" t="n"/>
      <c r="BQ218" s="42" t="n"/>
      <c r="BR218" s="42" t="n"/>
      <c r="BS218" s="42" t="n"/>
      <c r="BT218" s="42" t="n"/>
      <c r="BU218" s="42" t="n"/>
      <c r="BV218" s="42" t="n"/>
      <c r="BW218" s="42" t="n"/>
      <c r="BX218" s="42" t="n"/>
      <c r="BY218" s="42" t="n"/>
      <c r="BZ218" s="42" t="n"/>
      <c r="CA218" s="42" t="n"/>
      <c r="CB218" s="42" t="n"/>
      <c r="CC218" s="42" t="n"/>
      <c r="CD218" s="42" t="n"/>
      <c r="CE218" s="42" t="n"/>
      <c r="CF218" s="42" t="n"/>
      <c r="CG218" s="42" t="n"/>
      <c r="CH218" s="42" t="n"/>
      <c r="CI218" s="42" t="n"/>
      <c r="CJ218" s="42" t="n"/>
      <c r="CK218" s="42" t="n"/>
      <c r="CL218" s="42" t="n"/>
      <c r="CM218" s="42" t="n"/>
      <c r="CN218" s="42" t="n"/>
      <c r="CO218" s="42" t="n"/>
      <c r="CP218" s="42" t="n"/>
      <c r="CQ218" s="42" t="n"/>
      <c r="CR218" s="42" t="n"/>
      <c r="CS218" s="42" t="n"/>
      <c r="CT218" s="42" t="n"/>
      <c r="CU218" s="42" t="n"/>
      <c r="CV218" s="42" t="n"/>
      <c r="CW218" s="42" t="n"/>
      <c r="CX218" s="42" t="n"/>
      <c r="CY218" s="42" t="n"/>
    </row>
    <row r="219" collapsed="1">
      <c r="C219" s="14" t="inlineStr">
        <is>
          <t>Convertible Preferred Stock</t>
        </is>
      </c>
      <c r="D219" s="46" t="n"/>
      <c r="E219" s="46" t="n"/>
      <c r="F219" s="46" t="n"/>
      <c r="G219" s="46" t="n"/>
      <c r="H219" s="12" t="n"/>
      <c r="I219" s="46">
        <f>'Inputs (2)'!D42</f>
        <v>0</v>
      </c>
      <c r="J219" s="46">
        <f>'Inputs (2)'!E42</f>
        <v>0</v>
      </c>
      <c r="K219" s="46">
        <f>'Inputs (2)'!F42</f>
        <v>0</v>
      </c>
      <c r="L219" s="46">
        <f>'Inputs (2)'!G42</f>
        <v>0</v>
      </c>
      <c r="M219" s="12">
        <f>'Inputs (2)'!H42</f>
        <v>0</v>
      </c>
      <c r="N219" s="46">
        <f>'Inputs (2)'!I42</f>
        <v>0</v>
      </c>
      <c r="O219" s="46">
        <f>'Inputs (2)'!J42</f>
        <v>0</v>
      </c>
      <c r="P219" s="46">
        <f>'Inputs (2)'!K42</f>
        <v>0</v>
      </c>
      <c r="Q219" s="46">
        <f>'Inputs (2)'!L42</f>
        <v>0</v>
      </c>
      <c r="R219" s="12">
        <f>'Inputs (2)'!M42</f>
        <v>0</v>
      </c>
      <c r="S219" s="46">
        <f>'Inputs (2)'!N42</f>
        <v>0</v>
      </c>
      <c r="T219" s="46">
        <f>'Inputs (2)'!O42</f>
        <v>0</v>
      </c>
      <c r="U219" s="46">
        <f>'Inputs (2)'!P42</f>
        <v>0</v>
      </c>
      <c r="V219" s="46">
        <f>'Inputs (2)'!Q42</f>
        <v>0</v>
      </c>
      <c r="W219" s="12">
        <f>'Inputs (2)'!R42</f>
        <v>0</v>
      </c>
      <c r="X219" s="46">
        <f>'Inputs (2)'!S42</f>
        <v>0</v>
      </c>
      <c r="Y219" s="46">
        <f>'Inputs (2)'!T42</f>
        <v>0</v>
      </c>
      <c r="Z219" s="46">
        <f>'Inputs (2)'!U42</f>
        <v>0</v>
      </c>
      <c r="AA219" s="46">
        <f>'Inputs (2)'!V42</f>
        <v>0</v>
      </c>
      <c r="AB219" s="12">
        <f>'Inputs (2)'!W42</f>
        <v>0</v>
      </c>
      <c r="AC219" s="46">
        <f>'Inputs (2)'!X42</f>
        <v>0</v>
      </c>
      <c r="AD219" s="46">
        <f>'Inputs (2)'!Y42</f>
        <v>0</v>
      </c>
      <c r="AE219" s="46">
        <f>'Inputs (2)'!Z42</f>
        <v>0</v>
      </c>
      <c r="AF219" s="46">
        <f>'Inputs (2)'!AA42</f>
        <v>0</v>
      </c>
      <c r="AG219" s="12">
        <f>'Inputs (2)'!AB42</f>
        <v>0</v>
      </c>
      <c r="AH219" s="12">
        <f>'Inputs (2)'!AC42</f>
        <v>0</v>
      </c>
      <c r="AI219" s="12">
        <f>'Inputs (2)'!AD42</f>
        <v>0</v>
      </c>
      <c r="AJ219" s="12">
        <f>AI219</f>
        <v>0</v>
      </c>
      <c r="AK219" s="12">
        <f>AJ219</f>
        <v>0</v>
      </c>
      <c r="AL219" s="12">
        <f>AK219</f>
        <v>0</v>
      </c>
      <c r="AM219" s="12">
        <f>AL219</f>
        <v>0</v>
      </c>
      <c r="AN219" s="12">
        <f>AM219</f>
        <v>0</v>
      </c>
      <c r="AO219" s="12">
        <f>AN219</f>
        <v>0</v>
      </c>
      <c r="AP219" s="12">
        <f>AO219</f>
        <v>0</v>
      </c>
      <c r="AQ219" s="12">
        <f>AP219</f>
        <v>0</v>
      </c>
      <c r="AR219" s="12">
        <f>AQ219</f>
        <v>0</v>
      </c>
      <c r="AS219" s="12">
        <f>AR219</f>
        <v>0</v>
      </c>
      <c r="AT219" s="12">
        <f>AS219</f>
        <v>0</v>
      </c>
      <c r="AU219" s="12">
        <f>AT219</f>
        <v>0</v>
      </c>
      <c r="AV219" s="12">
        <f>AU219</f>
        <v>0</v>
      </c>
      <c r="AW219" s="12">
        <f>AV219</f>
        <v>0</v>
      </c>
      <c r="AX219" s="12">
        <f>AW219</f>
        <v>0</v>
      </c>
      <c r="AY219" s="12">
        <f>AX219</f>
        <v>0</v>
      </c>
      <c r="AZ219" s="12">
        <f>AY219</f>
        <v>0</v>
      </c>
      <c r="BA219" s="12">
        <f>AZ219</f>
        <v>0</v>
      </c>
      <c r="BB219" s="12">
        <f>BA219</f>
        <v>0</v>
      </c>
      <c r="BC219" s="12">
        <f>BB219</f>
        <v>0</v>
      </c>
      <c r="BD219" s="12">
        <f>BC219</f>
        <v>0</v>
      </c>
      <c r="BE219" s="12">
        <f>BD219</f>
        <v>0</v>
      </c>
      <c r="BF219" s="12">
        <f>BE219</f>
        <v>0</v>
      </c>
      <c r="BG219" s="12" t="n"/>
      <c r="BH219" s="12" t="n"/>
      <c r="BI219" s="12" t="n"/>
      <c r="BJ219" s="12" t="n"/>
      <c r="BK219" s="12" t="n"/>
      <c r="BL219" s="12" t="n"/>
      <c r="BM219" s="12" t="n"/>
      <c r="BN219" s="12" t="n"/>
      <c r="BO219" s="12" t="n"/>
      <c r="BP219" s="12" t="n"/>
      <c r="BQ219" s="12" t="n"/>
      <c r="BR219" s="12" t="n"/>
      <c r="BS219" s="12" t="n"/>
      <c r="BT219" s="12" t="n"/>
      <c r="BU219" s="12" t="n"/>
      <c r="BV219" s="12" t="n"/>
      <c r="BW219" s="12" t="n"/>
      <c r="BX219" s="12" t="n"/>
      <c r="BY219" s="12" t="n"/>
      <c r="BZ219" s="12" t="n"/>
      <c r="CA219" s="12" t="n"/>
      <c r="CB219" s="12" t="n"/>
      <c r="CC219" s="12" t="n"/>
      <c r="CD219" s="12" t="n"/>
      <c r="CE219" s="12" t="n"/>
      <c r="CF219" s="12" t="n"/>
      <c r="CG219" s="12" t="n"/>
      <c r="CH219" s="12" t="n"/>
      <c r="CI219" s="12" t="n"/>
      <c r="CJ219" s="12" t="n"/>
      <c r="CK219" s="12" t="n"/>
      <c r="CL219" s="12" t="n"/>
      <c r="CM219" s="12" t="n"/>
      <c r="CN219" s="12" t="n"/>
      <c r="CO219" s="12" t="n"/>
      <c r="CP219" s="12" t="n"/>
      <c r="CQ219" s="12" t="n"/>
      <c r="CR219" s="12" t="n"/>
      <c r="CS219" s="12" t="n"/>
      <c r="CT219" s="12" t="n"/>
      <c r="CU219" s="12" t="n"/>
      <c r="CV219" s="12" t="n"/>
      <c r="CW219" s="12" t="n"/>
      <c r="CX219" s="12" t="n"/>
      <c r="CY219" s="12" t="n"/>
    </row>
    <row r="220">
      <c r="C220" s="13" t="inlineStr">
        <is>
          <t>Common Stock and APIC</t>
        </is>
      </c>
      <c r="D220" s="46" t="n"/>
      <c r="E220" s="46" t="n"/>
      <c r="F220" s="46" t="n"/>
      <c r="G220" s="46" t="n"/>
      <c r="H220" s="12" t="n"/>
      <c r="I220" s="46">
        <f>'Inputs (2)'!D43</f>
        <v>1468.70785658</v>
      </c>
      <c r="J220" s="46">
        <f>'Inputs (2)'!E43</f>
        <v>1469.12340486</v>
      </c>
      <c r="K220" s="46">
        <f>'Inputs (2)'!F43</f>
        <v>1474.49783234</v>
      </c>
      <c r="L220" s="46">
        <f>'Inputs (2)'!G43</f>
        <v>1474.72765197</v>
      </c>
      <c r="M220" s="12">
        <f>'Inputs (2)'!H43</f>
        <v>1474.72765197</v>
      </c>
      <c r="N220" s="46">
        <f>'Inputs (2)'!I43</f>
        <v>1475.10780063</v>
      </c>
      <c r="O220" s="46">
        <f>'Inputs (2)'!J43</f>
        <v>1475.01522486</v>
      </c>
      <c r="P220" s="46">
        <f>'Inputs (2)'!K43</f>
        <v>1476.85481989</v>
      </c>
      <c r="Q220" s="46">
        <f>'Inputs (2)'!L43</f>
        <v>2320.43421514</v>
      </c>
      <c r="R220" s="12">
        <f>'Inputs (2)'!M43</f>
        <v>2320.43421514</v>
      </c>
      <c r="S220" s="46">
        <f>'Inputs (2)'!N43</f>
        <v>2320.15239841</v>
      </c>
      <c r="T220" s="46">
        <f>'Inputs (2)'!O43</f>
        <v>4651.356</v>
      </c>
      <c r="U220" s="46">
        <f>'Inputs (2)'!P43</f>
        <v>4651.442</v>
      </c>
      <c r="V220" s="46">
        <f>'Inputs (2)'!Q43</f>
        <v>4651.48</v>
      </c>
      <c r="W220" s="12">
        <f>'Inputs (2)'!R43</f>
        <v>4651.48</v>
      </c>
      <c r="X220" s="46">
        <f>'Inputs (2)'!S43</f>
        <v>4651.518</v>
      </c>
      <c r="Y220" s="46">
        <f>'Inputs (2)'!T43</f>
        <v>4651.55639558</v>
      </c>
      <c r="Z220" s="46">
        <f>'Inputs (2)'!U43</f>
        <v>4651.594</v>
      </c>
      <c r="AA220" s="46">
        <f>'Inputs (2)'!V43</f>
        <v>4651.632</v>
      </c>
      <c r="AB220" s="12">
        <f>'Inputs (2)'!W43</f>
        <v>4651.632</v>
      </c>
      <c r="AC220" s="46">
        <f>'Inputs (2)'!X43</f>
        <v>4651.632083</v>
      </c>
      <c r="AD220" s="46">
        <f>'Inputs (2)'!Y43</f>
        <v>4651.632</v>
      </c>
      <c r="AE220" s="46">
        <f>'Inputs (2)'!Z43</f>
        <v>4651.632</v>
      </c>
      <c r="AF220" s="46">
        <f>'Inputs (2)'!AA43</f>
        <v>4651.632</v>
      </c>
      <c r="AG220" s="12">
        <f>'Inputs (2)'!AB43</f>
        <v>4651.632</v>
      </c>
      <c r="AH220" s="12">
        <f>'Inputs (2)'!AC43</f>
        <v>4651.632</v>
      </c>
      <c r="AI220" s="12">
        <f>'Inputs (2)'!AD43</f>
        <v>4664.728</v>
      </c>
      <c r="AJ220" s="12">
        <f>AI220+AJ224</f>
        <v>4664.728</v>
      </c>
      <c r="AK220" s="12">
        <f>AJ220+AK224</f>
        <v>4664.728</v>
      </c>
      <c r="AL220" s="12">
        <f>AK220</f>
        <v>4664.728</v>
      </c>
      <c r="AM220" s="12">
        <f>AL220+AM224</f>
        <v>4664.728</v>
      </c>
      <c r="AN220" s="12">
        <f>AM220+AN224</f>
        <v>4664.728</v>
      </c>
      <c r="AO220" s="12">
        <f>AN220+AO224</f>
        <v>4664.728</v>
      </c>
      <c r="AP220" s="12">
        <f>AO220+AP224</f>
        <v>4664.728</v>
      </c>
      <c r="AQ220" s="12">
        <f>AP220</f>
        <v>4664.728</v>
      </c>
      <c r="AR220" s="12">
        <f>AQ220+AR224</f>
        <v>4664.728</v>
      </c>
      <c r="AS220" s="12">
        <f>AR220+AS224</f>
        <v>4664.728</v>
      </c>
      <c r="AT220" s="12">
        <f>AS220+AT224</f>
        <v>4664.728</v>
      </c>
      <c r="AU220" s="12">
        <f>AT220+AU224</f>
        <v>4664.728</v>
      </c>
      <c r="AV220" s="12">
        <f>AU220</f>
        <v>4664.728</v>
      </c>
      <c r="AW220" s="12">
        <f>AV220+AW224</f>
        <v>4664.728</v>
      </c>
      <c r="AX220" s="12">
        <f>AW220+AX224</f>
        <v>4664.728</v>
      </c>
      <c r="AY220" s="12">
        <f>AX220+AY224</f>
        <v>4664.728</v>
      </c>
      <c r="AZ220" s="12">
        <f>AY220+AZ224</f>
        <v>4664.728</v>
      </c>
      <c r="BA220" s="12">
        <f>AZ220</f>
        <v>4664.728</v>
      </c>
      <c r="BB220" s="12">
        <f>BA220+BB224</f>
        <v>4664.728</v>
      </c>
      <c r="BC220" s="12">
        <f>BB220+BC224</f>
        <v>4664.728</v>
      </c>
      <c r="BD220" s="12">
        <f>BC220+BD224</f>
        <v>4664.728</v>
      </c>
      <c r="BE220" s="12">
        <f>BD220+BE224</f>
        <v>4664.728</v>
      </c>
      <c r="BF220" s="12">
        <f>BE220</f>
        <v>4664.728</v>
      </c>
      <c r="BG220" s="12" t="n"/>
      <c r="BH220" s="12" t="n"/>
      <c r="BI220" s="12" t="n"/>
      <c r="BJ220" s="12" t="n"/>
      <c r="BK220" s="12" t="n"/>
      <c r="BL220" s="12" t="n"/>
      <c r="BM220" s="12" t="n"/>
      <c r="BN220" s="12" t="n"/>
      <c r="BO220" s="12" t="n"/>
      <c r="BP220" s="12" t="n"/>
      <c r="BQ220" s="12" t="n"/>
      <c r="BR220" s="12" t="n"/>
      <c r="BS220" s="12" t="n"/>
      <c r="BT220" s="12" t="n"/>
      <c r="BU220" s="12" t="n"/>
      <c r="BV220" s="12" t="n"/>
      <c r="BW220" s="12" t="n"/>
      <c r="BX220" s="12" t="n"/>
      <c r="BY220" s="12" t="n"/>
      <c r="BZ220" s="12" t="n"/>
      <c r="CA220" s="12" t="n"/>
      <c r="CB220" s="12" t="n"/>
      <c r="CC220" s="12" t="n"/>
      <c r="CD220" s="12" t="n"/>
      <c r="CE220" s="12" t="n"/>
      <c r="CF220" s="12" t="n"/>
      <c r="CG220" s="12" t="n"/>
      <c r="CH220" s="12" t="n"/>
      <c r="CI220" s="12" t="n"/>
      <c r="CJ220" s="12" t="n"/>
      <c r="CK220" s="12" t="n"/>
      <c r="CL220" s="12" t="n"/>
      <c r="CM220" s="12" t="n"/>
      <c r="CN220" s="12" t="n"/>
      <c r="CO220" s="12" t="n"/>
      <c r="CP220" s="12" t="n"/>
      <c r="CQ220" s="12" t="n"/>
      <c r="CR220" s="12" t="n"/>
      <c r="CS220" s="12" t="n"/>
      <c r="CT220" s="12" t="n"/>
      <c r="CU220" s="12" t="n"/>
      <c r="CV220" s="12" t="n"/>
      <c r="CW220" s="12" t="n"/>
      <c r="CX220" s="12" t="n"/>
      <c r="CY220" s="12" t="n"/>
    </row>
    <row r="221" hidden="1" outlineLevel="1" customFormat="1" s="66">
      <c r="A221" s="37" t="n"/>
      <c r="B221" s="37" t="n"/>
      <c r="C221" s="67" t="n"/>
      <c r="D221" s="42" t="n"/>
      <c r="E221" s="42" t="n"/>
      <c r="F221" s="42" t="n"/>
      <c r="G221" s="42" t="n"/>
      <c r="H221" s="42" t="n"/>
      <c r="I221" s="42" t="n"/>
      <c r="J221" s="42" t="n"/>
      <c r="K221" s="42" t="n"/>
      <c r="L221" s="42" t="n"/>
      <c r="M221" s="42" t="n"/>
      <c r="N221" s="42" t="n"/>
      <c r="O221" s="42" t="n"/>
      <c r="P221" s="42" t="n"/>
      <c r="Q221" s="42" t="n"/>
      <c r="R221" s="42" t="n"/>
      <c r="S221" s="42" t="n"/>
      <c r="T221" s="42" t="n"/>
      <c r="U221" s="42" t="n"/>
      <c r="V221" s="42" t="n"/>
      <c r="W221" s="42" t="n"/>
      <c r="X221" s="42" t="n"/>
      <c r="Y221" s="42" t="n"/>
      <c r="Z221" s="42" t="n"/>
      <c r="AA221" s="42" t="n"/>
      <c r="AB221" s="42" t="n"/>
      <c r="AC221" s="42" t="n"/>
      <c r="AD221" s="42" t="n"/>
      <c r="AE221" s="42" t="n"/>
      <c r="AF221" s="42" t="n"/>
      <c r="AG221" s="42" t="n"/>
      <c r="AH221" s="42" t="n"/>
      <c r="AI221" s="42" t="n"/>
      <c r="AJ221" s="42" t="n"/>
      <c r="AK221" s="42" t="n"/>
      <c r="AL221" s="42" t="n"/>
      <c r="AM221" s="42" t="n"/>
      <c r="AN221" s="42" t="n"/>
      <c r="AO221" s="42" t="n"/>
      <c r="AP221" s="42" t="n"/>
      <c r="AQ221" s="42" t="n"/>
      <c r="AR221" s="42" t="n"/>
      <c r="AS221" s="42" t="n"/>
      <c r="AT221" s="42" t="n"/>
      <c r="AU221" s="42" t="n"/>
      <c r="AV221" s="42" t="n"/>
      <c r="AW221" s="42" t="n"/>
      <c r="AX221" s="42" t="n"/>
      <c r="AY221" s="42" t="n"/>
      <c r="AZ221" s="42" t="n"/>
      <c r="BA221" s="42" t="n"/>
      <c r="BB221" s="42" t="n"/>
      <c r="BC221" s="42" t="n"/>
      <c r="BD221" s="42" t="n"/>
      <c r="BE221" s="42" t="n"/>
      <c r="BF221" s="42" t="n"/>
      <c r="BG221" s="42" t="n"/>
      <c r="BH221" s="42" t="n"/>
      <c r="BI221" s="42" t="n"/>
      <c r="BJ221" s="42" t="n"/>
      <c r="BK221" s="42" t="n"/>
      <c r="BL221" s="42" t="n"/>
      <c r="BM221" s="42" t="n"/>
      <c r="BN221" s="42" t="n"/>
      <c r="BO221" s="42" t="n"/>
      <c r="BP221" s="42" t="n"/>
      <c r="BQ221" s="42" t="n"/>
      <c r="BR221" s="42" t="n"/>
      <c r="BS221" s="42" t="n"/>
      <c r="BT221" s="42" t="n"/>
      <c r="BU221" s="42" t="n"/>
      <c r="BV221" s="42" t="n"/>
      <c r="BW221" s="42" t="n"/>
      <c r="BX221" s="42" t="n"/>
      <c r="BY221" s="42" t="n"/>
      <c r="BZ221" s="42" t="n"/>
      <c r="CA221" s="42" t="n"/>
      <c r="CB221" s="42" t="n"/>
      <c r="CC221" s="42" t="n"/>
      <c r="CD221" s="42" t="n"/>
      <c r="CE221" s="42" t="n"/>
      <c r="CF221" s="42" t="n"/>
      <c r="CG221" s="42" t="n"/>
      <c r="CH221" s="42" t="n"/>
      <c r="CI221" s="42" t="n"/>
      <c r="CJ221" s="42" t="n"/>
      <c r="CK221" s="42" t="n"/>
      <c r="CL221" s="42" t="n"/>
      <c r="CM221" s="42" t="n"/>
      <c r="CN221" s="42" t="n"/>
      <c r="CO221" s="42" t="n"/>
      <c r="CP221" s="42" t="n"/>
      <c r="CQ221" s="42" t="n"/>
      <c r="CR221" s="42" t="n"/>
      <c r="CS221" s="42" t="n"/>
      <c r="CT221" s="42" t="n"/>
      <c r="CU221" s="42" t="n"/>
      <c r="CV221" s="42" t="n"/>
      <c r="CW221" s="42" t="n"/>
      <c r="CX221" s="42" t="n"/>
      <c r="CY221" s="42" t="n"/>
    </row>
    <row r="222" hidden="1" outlineLevel="1" customFormat="1" s="66">
      <c r="A222" s="37" t="n"/>
      <c r="B222" s="37" t="n"/>
      <c r="C222" s="67" t="inlineStr">
        <is>
          <t>Diluted Shares outstanding</t>
        </is>
      </c>
      <c r="D222" s="42" t="n"/>
      <c r="E222" s="42" t="n"/>
      <c r="F222" s="42" t="n"/>
      <c r="G222" s="42" t="n"/>
      <c r="H222" s="42" t="n"/>
      <c r="I222" s="42" t="n"/>
      <c r="J222" s="42" t="n"/>
      <c r="K222" s="42" t="n"/>
      <c r="L222" s="42" t="n"/>
      <c r="M222" s="42" t="n"/>
      <c r="N222" s="42" t="n"/>
      <c r="O222" s="42" t="n"/>
      <c r="P222" s="42" t="n"/>
      <c r="Q222" s="42" t="n"/>
      <c r="R222" s="42" t="n"/>
      <c r="S222" s="42" t="n"/>
      <c r="T222" s="42" t="n"/>
      <c r="U222" s="42" t="n"/>
      <c r="V222" s="42" t="n"/>
      <c r="W222" s="42" t="n"/>
      <c r="X222" s="42" t="n"/>
      <c r="Y222" s="42" t="n"/>
      <c r="Z222" s="42" t="n"/>
      <c r="AA222" s="42" t="n"/>
      <c r="AB222" s="42" t="n"/>
      <c r="AC222" s="42" t="n"/>
      <c r="AD222" s="42" t="n"/>
      <c r="AE222" s="42" t="n"/>
      <c r="AF222" s="42" t="n"/>
      <c r="AG222" s="42" t="n"/>
      <c r="AH222" s="42" t="n"/>
      <c r="AI222" s="42" t="n"/>
      <c r="AJ222" s="42" t="n"/>
      <c r="AK222" s="42" t="n"/>
      <c r="AL222" s="42" t="n"/>
      <c r="AM222" s="42" t="n"/>
      <c r="AN222" s="42" t="n"/>
      <c r="AO222" s="42" t="n"/>
      <c r="AP222" s="42" t="n"/>
      <c r="AQ222" s="42" t="n"/>
      <c r="AR222" s="42" t="n"/>
      <c r="AS222" s="42" t="n"/>
      <c r="AT222" s="42" t="n"/>
      <c r="AU222" s="42" t="n"/>
      <c r="AV222" s="42" t="n"/>
      <c r="AW222" s="42" t="n"/>
      <c r="AX222" s="42" t="n"/>
      <c r="AY222" s="42" t="n"/>
      <c r="AZ222" s="42" t="n"/>
      <c r="BA222" s="42" t="n"/>
      <c r="BB222" s="42" t="n"/>
      <c r="BC222" s="42" t="n"/>
      <c r="BD222" s="42" t="n"/>
      <c r="BE222" s="42" t="n"/>
      <c r="BF222" s="42" t="n"/>
      <c r="BG222" s="42" t="n"/>
      <c r="BH222" s="42" t="n"/>
      <c r="BI222" s="42" t="n"/>
      <c r="BJ222" s="42" t="n"/>
      <c r="BK222" s="42" t="n"/>
      <c r="BL222" s="42" t="n"/>
      <c r="BM222" s="42" t="n"/>
      <c r="BN222" s="42" t="n"/>
      <c r="BO222" s="42" t="n"/>
      <c r="BP222" s="42" t="n"/>
      <c r="BQ222" s="42" t="n"/>
      <c r="BR222" s="42" t="n"/>
      <c r="BS222" s="42" t="n"/>
      <c r="BT222" s="42" t="n"/>
      <c r="BU222" s="42" t="n"/>
      <c r="BV222" s="42" t="n"/>
      <c r="BW222" s="42" t="n"/>
      <c r="BX222" s="42" t="n"/>
      <c r="BY222" s="42" t="n"/>
      <c r="BZ222" s="42" t="n"/>
      <c r="CA222" s="42" t="n"/>
      <c r="CB222" s="42" t="n"/>
      <c r="CC222" s="42" t="n"/>
      <c r="CD222" s="42" t="n"/>
      <c r="CE222" s="42" t="n"/>
      <c r="CF222" s="42" t="n"/>
      <c r="CG222" s="42" t="n"/>
      <c r="CH222" s="42" t="n"/>
      <c r="CI222" s="42" t="n"/>
      <c r="CJ222" s="42" t="n"/>
      <c r="CK222" s="42" t="n"/>
      <c r="CL222" s="42" t="n"/>
      <c r="CM222" s="42" t="n"/>
      <c r="CN222" s="42" t="n"/>
      <c r="CO222" s="42" t="n"/>
      <c r="CP222" s="42" t="n"/>
      <c r="CQ222" s="42" t="n"/>
      <c r="CR222" s="42" t="n"/>
      <c r="CS222" s="42" t="n"/>
      <c r="CT222" s="42" t="n"/>
      <c r="CU222" s="42" t="n"/>
      <c r="CV222" s="42" t="n"/>
      <c r="CW222" s="42" t="n"/>
      <c r="CX222" s="42" t="n"/>
      <c r="CY222" s="42" t="n"/>
    </row>
    <row r="223" hidden="1" outlineLevel="1" customFormat="1" s="66">
      <c r="A223" s="37" t="n"/>
      <c r="B223" s="37" t="n"/>
      <c r="C223" s="67" t="inlineStr">
        <is>
          <t>Treasury share $ repurchases</t>
        </is>
      </c>
      <c r="D223" s="42" t="n"/>
      <c r="E223" s="42" t="n"/>
      <c r="F223" s="42" t="n"/>
      <c r="G223" s="42" t="n"/>
      <c r="H223" s="42" t="n"/>
      <c r="I223" s="42" t="n"/>
      <c r="J223" s="42" t="n"/>
      <c r="K223" s="42" t="n"/>
      <c r="L223" s="42" t="n"/>
      <c r="M223" s="42" t="n"/>
      <c r="N223" s="42" t="n"/>
      <c r="O223" s="42" t="n"/>
      <c r="P223" s="42" t="n"/>
      <c r="Q223" s="42" t="n"/>
      <c r="R223" s="42" t="n"/>
      <c r="S223" s="42" t="n"/>
      <c r="T223" s="42" t="n"/>
      <c r="U223" s="42" t="n"/>
      <c r="V223" s="42" t="n"/>
      <c r="W223" s="42" t="n"/>
      <c r="X223" s="42" t="n"/>
      <c r="Y223" s="42" t="n"/>
      <c r="Z223" s="42" t="n"/>
      <c r="AA223" s="42" t="n"/>
      <c r="AB223" s="42" t="n"/>
      <c r="AC223" s="42" t="n"/>
      <c r="AD223" s="42" t="n"/>
      <c r="AE223" s="42" t="n"/>
      <c r="AF223" s="42" t="n"/>
      <c r="AG223" s="42" t="n"/>
      <c r="AH223" s="11" t="n"/>
      <c r="AI223" s="11" t="n"/>
      <c r="AJ223" s="11" t="n"/>
      <c r="AK223" s="11" t="n"/>
      <c r="AL223" s="42" t="n"/>
      <c r="AM223" s="11" t="n"/>
      <c r="AN223" s="11" t="n"/>
      <c r="AO223" s="11" t="n"/>
      <c r="AP223" s="11" t="n"/>
      <c r="AQ223" s="42" t="n"/>
      <c r="AR223" s="11" t="n"/>
      <c r="AS223" s="11" t="n"/>
      <c r="AT223" s="11" t="n"/>
      <c r="AU223" s="11" t="n"/>
      <c r="AV223" s="42" t="n"/>
      <c r="AW223" s="11" t="n"/>
      <c r="AX223" s="11" t="n"/>
      <c r="AY223" s="11" t="n"/>
      <c r="AZ223" s="11" t="n"/>
      <c r="BA223" s="42" t="n"/>
      <c r="BB223" s="11" t="n"/>
      <c r="BC223" s="11" t="n"/>
      <c r="BD223" s="11" t="n"/>
      <c r="BE223" s="11" t="n"/>
      <c r="BF223" s="42" t="n"/>
      <c r="BG223" s="11" t="n"/>
      <c r="BH223" s="11" t="n"/>
      <c r="BI223" s="11" t="n"/>
      <c r="BJ223" s="11" t="n"/>
      <c r="BK223" s="42" t="n"/>
      <c r="BL223" s="11" t="n"/>
      <c r="BM223" s="11" t="n"/>
      <c r="BN223" s="11" t="n"/>
      <c r="BO223" s="11" t="n"/>
      <c r="BP223" s="42" t="n"/>
      <c r="BQ223" s="11" t="n"/>
      <c r="BR223" s="11" t="n"/>
      <c r="BS223" s="11" t="n"/>
      <c r="BT223" s="11" t="n"/>
      <c r="BU223" s="42" t="n"/>
      <c r="BV223" s="11" t="n"/>
      <c r="BW223" s="11" t="n"/>
      <c r="BX223" s="11" t="n"/>
      <c r="BY223" s="11" t="n"/>
      <c r="BZ223" s="42" t="n"/>
      <c r="CA223" s="11" t="n"/>
      <c r="CB223" s="11" t="n"/>
      <c r="CC223" s="11" t="n"/>
      <c r="CD223" s="11" t="n"/>
      <c r="CE223" s="42" t="n"/>
      <c r="CF223" s="11" t="n"/>
      <c r="CG223" s="11" t="n"/>
      <c r="CH223" s="11" t="n"/>
      <c r="CI223" s="11" t="n"/>
      <c r="CJ223" s="42" t="n"/>
      <c r="CK223" s="11" t="n"/>
      <c r="CL223" s="11" t="n"/>
      <c r="CM223" s="11" t="n"/>
      <c r="CN223" s="11" t="n"/>
      <c r="CO223" s="42" t="n"/>
      <c r="CP223" s="11" t="n"/>
      <c r="CQ223" s="11" t="n"/>
      <c r="CR223" s="11" t="n"/>
      <c r="CS223" s="11" t="n"/>
      <c r="CT223" s="42" t="n"/>
      <c r="CU223" s="11" t="n"/>
      <c r="CV223" s="11" t="n"/>
      <c r="CW223" s="11" t="n"/>
      <c r="CX223" s="11" t="n"/>
      <c r="CY223" s="42" t="n"/>
    </row>
    <row r="224" hidden="1" outlineLevel="1" customFormat="1" s="66">
      <c r="A224" s="37" t="n"/>
      <c r="B224" s="37" t="n"/>
      <c r="C224" s="67" t="inlineStr">
        <is>
          <t>Value of shares issued</t>
        </is>
      </c>
      <c r="D224" s="42" t="n"/>
      <c r="E224" s="42" t="n"/>
      <c r="F224" s="42" t="n"/>
      <c r="G224" s="42" t="n"/>
      <c r="H224" s="42" t="n"/>
      <c r="I224" s="42" t="n"/>
      <c r="J224" s="42" t="n"/>
      <c r="K224" s="42" t="n"/>
      <c r="L224" s="42" t="n"/>
      <c r="M224" s="42" t="n"/>
      <c r="N224" s="42" t="n"/>
      <c r="O224" s="42" t="n"/>
      <c r="P224" s="42" t="n"/>
      <c r="Q224" s="42" t="n"/>
      <c r="R224" s="42" t="n"/>
      <c r="S224" s="42" t="n"/>
      <c r="T224" s="42" t="n"/>
      <c r="U224" s="42" t="n"/>
      <c r="V224" s="42" t="n"/>
      <c r="W224" s="42" t="n"/>
      <c r="X224" s="42" t="n"/>
      <c r="Y224" s="42" t="n"/>
      <c r="Z224" s="42" t="n"/>
      <c r="AA224" s="42" t="n"/>
      <c r="AB224" s="42" t="n"/>
      <c r="AC224" s="42" t="n"/>
      <c r="AD224" s="42" t="n"/>
      <c r="AE224" s="42" t="n"/>
      <c r="AF224" s="42" t="n"/>
      <c r="AG224" s="42" t="n"/>
      <c r="AH224" s="11" t="n"/>
      <c r="AI224" s="11" t="n"/>
      <c r="AJ224" s="11" t="n"/>
      <c r="AK224" s="11" t="n"/>
      <c r="AL224" s="42" t="n"/>
      <c r="AM224" s="11" t="n"/>
      <c r="AN224" s="11" t="n"/>
      <c r="AO224" s="11" t="n"/>
      <c r="AP224" s="11" t="n"/>
      <c r="AQ224" s="42" t="n"/>
      <c r="AR224" s="11" t="n"/>
      <c r="AS224" s="11" t="n"/>
      <c r="AT224" s="11" t="n"/>
      <c r="AU224" s="11" t="n"/>
      <c r="AV224" s="42" t="n"/>
      <c r="AW224" s="11" t="n"/>
      <c r="AX224" s="11" t="n"/>
      <c r="AY224" s="11" t="n"/>
      <c r="AZ224" s="11" t="n"/>
      <c r="BA224" s="42" t="n"/>
      <c r="BB224" s="11" t="n"/>
      <c r="BC224" s="11" t="n"/>
      <c r="BD224" s="11" t="n"/>
      <c r="BE224" s="11" t="n"/>
      <c r="BF224" s="42" t="n"/>
      <c r="BG224" s="11" t="n"/>
      <c r="BH224" s="11" t="n"/>
      <c r="BI224" s="11" t="n"/>
      <c r="BJ224" s="11" t="n"/>
      <c r="BK224" s="42" t="n"/>
      <c r="BL224" s="11" t="n"/>
      <c r="BM224" s="11" t="n"/>
      <c r="BN224" s="11" t="n"/>
      <c r="BO224" s="11" t="n"/>
      <c r="BP224" s="42" t="n"/>
      <c r="BQ224" s="11" t="n"/>
      <c r="BR224" s="11" t="n"/>
      <c r="BS224" s="11" t="n"/>
      <c r="BT224" s="11" t="n"/>
      <c r="BU224" s="42" t="n"/>
      <c r="BV224" s="11" t="n"/>
      <c r="BW224" s="11" t="n"/>
      <c r="BX224" s="11" t="n"/>
      <c r="BY224" s="11" t="n"/>
      <c r="BZ224" s="42" t="n"/>
      <c r="CA224" s="11" t="n"/>
      <c r="CB224" s="11" t="n"/>
      <c r="CC224" s="11" t="n"/>
      <c r="CD224" s="11" t="n"/>
      <c r="CE224" s="42" t="n"/>
      <c r="CF224" s="11" t="n"/>
      <c r="CG224" s="11" t="n"/>
      <c r="CH224" s="11" t="n"/>
      <c r="CI224" s="11" t="n"/>
      <c r="CJ224" s="42" t="n"/>
      <c r="CK224" s="11" t="n"/>
      <c r="CL224" s="11" t="n"/>
      <c r="CM224" s="11" t="n"/>
      <c r="CN224" s="11" t="n"/>
      <c r="CO224" s="42" t="n"/>
      <c r="CP224" s="11" t="n"/>
      <c r="CQ224" s="11" t="n"/>
      <c r="CR224" s="11" t="n"/>
      <c r="CS224" s="11" t="n"/>
      <c r="CT224" s="42" t="n"/>
      <c r="CU224" s="11" t="n"/>
      <c r="CV224" s="11" t="n"/>
      <c r="CW224" s="11" t="n"/>
      <c r="CX224" s="11" t="n"/>
      <c r="CY224" s="42" t="n"/>
    </row>
    <row r="225" hidden="1" outlineLevel="1" customFormat="1" s="66">
      <c r="A225" s="37" t="n"/>
      <c r="B225" s="37" t="n"/>
      <c r="C225" s="67" t="inlineStr">
        <is>
          <t>Expected average share price</t>
        </is>
      </c>
      <c r="D225" s="42" t="n"/>
      <c r="E225" s="42" t="n"/>
      <c r="F225" s="42" t="n"/>
      <c r="G225" s="42" t="n"/>
      <c r="H225" s="42" t="n"/>
      <c r="I225" s="42" t="n"/>
      <c r="J225" s="42" t="n"/>
      <c r="K225" s="42" t="n"/>
      <c r="L225" s="42" t="n"/>
      <c r="M225" s="42" t="n"/>
      <c r="N225" s="42" t="n"/>
      <c r="O225" s="42" t="n"/>
      <c r="P225" s="42" t="n"/>
      <c r="Q225" s="42" t="n"/>
      <c r="R225" s="42" t="n"/>
      <c r="S225" s="42" t="n"/>
      <c r="T225" s="42" t="n"/>
      <c r="U225" s="42" t="n"/>
      <c r="V225" s="42" t="n"/>
      <c r="W225" s="42" t="n"/>
      <c r="X225" s="42" t="n"/>
      <c r="Y225" s="42" t="n"/>
      <c r="Z225" s="42" t="n"/>
      <c r="AA225" s="42" t="n"/>
      <c r="AB225" s="42" t="n"/>
      <c r="AC225" s="42" t="n"/>
      <c r="AD225" s="42" t="n"/>
      <c r="AE225" s="42" t="n"/>
      <c r="AF225" s="42" t="n"/>
      <c r="AG225" s="42" t="n"/>
      <c r="AH225" s="68">
        <f>AF225*(1+AH226)</f>
        <v>0</v>
      </c>
      <c r="AI225" s="68">
        <f>AH225*(1+AI226)</f>
        <v>0</v>
      </c>
      <c r="AJ225" s="68">
        <f>AH225*(1+AJ226)</f>
        <v>0</v>
      </c>
      <c r="AK225" s="68">
        <f>AJ225*(1+AK226)</f>
        <v>0</v>
      </c>
      <c r="AL225" s="42" t="n"/>
      <c r="AM225" s="68">
        <f>AK225*(1+AM226)</f>
        <v>0</v>
      </c>
      <c r="AN225" s="68">
        <f>AM225*(1+AN226)</f>
        <v>0</v>
      </c>
      <c r="AO225" s="68">
        <f>AM225*(1+AO226)</f>
        <v>0</v>
      </c>
      <c r="AP225" s="68">
        <f>AO225*(1+AP226)</f>
        <v>0</v>
      </c>
      <c r="AQ225" s="42" t="n"/>
      <c r="AR225" s="68">
        <f>AP225*(1+AR226)</f>
        <v>0</v>
      </c>
      <c r="AS225" s="68">
        <f>AR225*(1+AS226)</f>
        <v>0</v>
      </c>
      <c r="AT225" s="68">
        <f>AR225*(1+AT226)</f>
        <v>0</v>
      </c>
      <c r="AU225" s="68">
        <f>AT225*(1+AU226)</f>
        <v>0</v>
      </c>
      <c r="AV225" s="42" t="n"/>
      <c r="AW225" s="68">
        <f>AU225*(1+AW226)</f>
        <v>0</v>
      </c>
      <c r="AX225" s="68">
        <f>AW225*(1+AX226)</f>
        <v>0</v>
      </c>
      <c r="AY225" s="68">
        <f>AW225*(1+AY226)</f>
        <v>0</v>
      </c>
      <c r="AZ225" s="68">
        <f>AY225*(1+AZ226)</f>
        <v>0</v>
      </c>
      <c r="BA225" s="42" t="n"/>
      <c r="BB225" s="68">
        <f>AZ225*(1+BB226)</f>
        <v>0</v>
      </c>
      <c r="BC225" s="68">
        <f>BB225*(1+BC226)</f>
        <v>0</v>
      </c>
      <c r="BD225" s="68">
        <f>BB225*(1+BD226)</f>
        <v>0</v>
      </c>
      <c r="BE225" s="68">
        <f>BD225*(1+BE226)</f>
        <v>0</v>
      </c>
      <c r="BF225" s="42" t="n"/>
      <c r="BG225" s="68" t="n"/>
      <c r="BH225" s="68" t="n"/>
      <c r="BI225" s="68" t="n"/>
      <c r="BJ225" s="68" t="n"/>
      <c r="BK225" s="42" t="n"/>
      <c r="BL225" s="68" t="n"/>
      <c r="BM225" s="68" t="n"/>
      <c r="BN225" s="68" t="n"/>
      <c r="BO225" s="68" t="n"/>
      <c r="BP225" s="42" t="n"/>
      <c r="BQ225" s="68" t="n"/>
      <c r="BR225" s="68" t="n"/>
      <c r="BS225" s="68" t="n"/>
      <c r="BT225" s="68" t="n"/>
      <c r="BU225" s="42" t="n"/>
      <c r="BV225" s="68" t="n"/>
      <c r="BW225" s="68" t="n"/>
      <c r="BX225" s="68" t="n"/>
      <c r="BY225" s="68" t="n"/>
      <c r="BZ225" s="42" t="n"/>
      <c r="CA225" s="68" t="n"/>
      <c r="CB225" s="68" t="n"/>
      <c r="CC225" s="68" t="n"/>
      <c r="CD225" s="68" t="n"/>
      <c r="CE225" s="42" t="n"/>
      <c r="CF225" s="68" t="n"/>
      <c r="CG225" s="68" t="n"/>
      <c r="CH225" s="68" t="n"/>
      <c r="CI225" s="68" t="n"/>
      <c r="CJ225" s="42" t="n"/>
      <c r="CK225" s="68" t="n"/>
      <c r="CL225" s="68" t="n"/>
      <c r="CM225" s="68" t="n"/>
      <c r="CN225" s="68" t="n"/>
      <c r="CO225" s="42" t="n"/>
      <c r="CP225" s="68" t="n"/>
      <c r="CQ225" s="68" t="n"/>
      <c r="CR225" s="68" t="n"/>
      <c r="CS225" s="68" t="n"/>
      <c r="CT225" s="42" t="n"/>
      <c r="CU225" s="68" t="n"/>
      <c r="CV225" s="68" t="n"/>
      <c r="CW225" s="68" t="n"/>
      <c r="CX225" s="68" t="n"/>
      <c r="CY225" s="42" t="n"/>
    </row>
    <row r="226" hidden="1" outlineLevel="1" customFormat="1" s="66">
      <c r="A226" s="37" t="n"/>
      <c r="B226" s="37" t="n"/>
      <c r="C226" s="67" t="inlineStr">
        <is>
          <t>Consensus EPS growth</t>
        </is>
      </c>
      <c r="D226" s="42" t="n"/>
      <c r="E226" s="42" t="n"/>
      <c r="F226" s="42" t="n"/>
      <c r="G226" s="42" t="n"/>
      <c r="H226" s="42" t="n"/>
      <c r="I226" s="42" t="n"/>
      <c r="J226" s="42" t="n"/>
      <c r="K226" s="42" t="n"/>
      <c r="L226" s="42" t="n"/>
      <c r="M226" s="42" t="n"/>
      <c r="N226" s="42" t="n"/>
      <c r="O226" s="42" t="n"/>
      <c r="P226" s="42" t="n"/>
      <c r="Q226" s="42" t="n"/>
      <c r="R226" s="42" t="n"/>
      <c r="S226" s="42" t="n"/>
      <c r="T226" s="42" t="n"/>
      <c r="U226" s="42" t="n"/>
      <c r="V226" s="42" t="n"/>
      <c r="W226" s="42" t="n"/>
      <c r="X226" s="42" t="n"/>
      <c r="Y226" s="42" t="n"/>
      <c r="Z226" s="42" t="n"/>
      <c r="AA226" s="42" t="n"/>
      <c r="AB226" s="42" t="n"/>
      <c r="AC226" s="42" t="n"/>
      <c r="AD226" s="42" t="n"/>
      <c r="AE226" s="42" t="n"/>
      <c r="AF226" s="42" t="n"/>
      <c r="AG226" s="42" t="n"/>
      <c r="AH226" s="58">
        <f>$AL$231</f>
        <v>0</v>
      </c>
      <c r="AI226" s="58">
        <f>$AL$231</f>
        <v>0</v>
      </c>
      <c r="AJ226" s="58">
        <f>$AL$231</f>
        <v>0</v>
      </c>
      <c r="AK226" s="58">
        <f>$AL$231</f>
        <v>0</v>
      </c>
      <c r="AL226" s="42" t="n"/>
      <c r="AM226" s="58">
        <f>$AL$231</f>
        <v>0</v>
      </c>
      <c r="AN226" s="58">
        <f>$AL$231</f>
        <v>0</v>
      </c>
      <c r="AO226" s="58">
        <f>$AL$231</f>
        <v>0</v>
      </c>
      <c r="AP226" s="58">
        <f>$AL$231</f>
        <v>0</v>
      </c>
      <c r="AQ226" s="42" t="n"/>
      <c r="AR226" s="58">
        <f>$AL$231</f>
        <v>0</v>
      </c>
      <c r="AS226" s="58">
        <f>$AL$231</f>
        <v>0</v>
      </c>
      <c r="AT226" s="58">
        <f>$AL$231</f>
        <v>0</v>
      </c>
      <c r="AU226" s="58">
        <f>$AL$231</f>
        <v>0</v>
      </c>
      <c r="AV226" s="42" t="n"/>
      <c r="AW226" s="58">
        <f>$AL$231</f>
        <v>0</v>
      </c>
      <c r="AX226" s="58">
        <f>$AL$231</f>
        <v>0</v>
      </c>
      <c r="AY226" s="58">
        <f>$AL$231</f>
        <v>0</v>
      </c>
      <c r="AZ226" s="58">
        <f>$AL$231</f>
        <v>0</v>
      </c>
      <c r="BA226" s="42" t="n"/>
      <c r="BB226" s="58">
        <f>$AL$231</f>
        <v>0</v>
      </c>
      <c r="BC226" s="58">
        <f>$AL$231</f>
        <v>0</v>
      </c>
      <c r="BD226" s="58">
        <f>$AL$231</f>
        <v>0</v>
      </c>
      <c r="BE226" s="58">
        <f>$AL$231</f>
        <v>0</v>
      </c>
      <c r="BF226" s="42" t="n"/>
      <c r="BG226" s="58" t="n"/>
      <c r="BH226" s="58" t="n"/>
      <c r="BI226" s="58" t="n"/>
      <c r="BJ226" s="58" t="n"/>
      <c r="BK226" s="42" t="n"/>
      <c r="BL226" s="58" t="n"/>
      <c r="BM226" s="58" t="n"/>
      <c r="BN226" s="58" t="n"/>
      <c r="BO226" s="58" t="n"/>
      <c r="BP226" s="42" t="n"/>
      <c r="BQ226" s="58" t="n"/>
      <c r="BR226" s="58" t="n"/>
      <c r="BS226" s="58" t="n"/>
      <c r="BT226" s="58" t="n"/>
      <c r="BU226" s="42" t="n"/>
      <c r="BV226" s="58" t="n"/>
      <c r="BW226" s="58" t="n"/>
      <c r="BX226" s="58" t="n"/>
      <c r="BY226" s="58" t="n"/>
      <c r="BZ226" s="42" t="n"/>
      <c r="CA226" s="58" t="n"/>
      <c r="CB226" s="58" t="n"/>
      <c r="CC226" s="58" t="n"/>
      <c r="CD226" s="58" t="n"/>
      <c r="CE226" s="42" t="n"/>
      <c r="CF226" s="58" t="n"/>
      <c r="CG226" s="58" t="n"/>
      <c r="CH226" s="58" t="n"/>
      <c r="CI226" s="58" t="n"/>
      <c r="CJ226" s="42" t="n"/>
      <c r="CK226" s="58" t="n"/>
      <c r="CL226" s="58" t="n"/>
      <c r="CM226" s="58" t="n"/>
      <c r="CN226" s="58" t="n"/>
      <c r="CO226" s="42" t="n"/>
      <c r="CP226" s="58" t="n"/>
      <c r="CQ226" s="58" t="n"/>
      <c r="CR226" s="58" t="n"/>
      <c r="CS226" s="58" t="n"/>
      <c r="CT226" s="42" t="n"/>
      <c r="CU226" s="58" t="n"/>
      <c r="CV226" s="58" t="n"/>
      <c r="CW226" s="58" t="n"/>
      <c r="CX226" s="58" t="n"/>
      <c r="CY226" s="42" t="n"/>
    </row>
    <row r="227" hidden="1" outlineLevel="1" customFormat="1" s="66">
      <c r="A227" s="37" t="n"/>
      <c r="B227" s="37" t="n"/>
      <c r="C227" s="67" t="n"/>
      <c r="D227" s="42" t="n"/>
      <c r="E227" s="42" t="n"/>
      <c r="F227" s="42" t="n"/>
      <c r="G227" s="42" t="n"/>
      <c r="H227" s="42" t="n"/>
      <c r="I227" s="42" t="n"/>
      <c r="J227" s="42" t="n"/>
      <c r="K227" s="42" t="n"/>
      <c r="L227" s="42" t="n"/>
      <c r="M227" s="42" t="n"/>
      <c r="N227" s="42" t="n"/>
      <c r="O227" s="42" t="n"/>
      <c r="P227" s="42" t="n"/>
      <c r="Q227" s="42" t="n"/>
      <c r="R227" s="42" t="n"/>
      <c r="S227" s="42" t="n"/>
      <c r="T227" s="42" t="n"/>
      <c r="U227" s="42" t="n"/>
      <c r="V227" s="42" t="n"/>
      <c r="W227" s="42" t="n"/>
      <c r="X227" s="42" t="n"/>
      <c r="Y227" s="42" t="n"/>
      <c r="Z227" s="42" t="n"/>
      <c r="AA227" s="42" t="n"/>
      <c r="AB227" s="42" t="n"/>
      <c r="AC227" s="42" t="n"/>
      <c r="AD227" s="42" t="n"/>
      <c r="AE227" s="42" t="n"/>
      <c r="AF227" s="42" t="n"/>
      <c r="AG227" s="42" t="n"/>
      <c r="AH227" s="12" t="n"/>
      <c r="AI227" s="12" t="n"/>
      <c r="AJ227" s="12" t="n"/>
      <c r="AK227" s="12" t="n"/>
      <c r="AL227" s="42" t="n"/>
      <c r="AM227" s="12" t="n"/>
      <c r="AN227" s="12" t="n"/>
      <c r="AO227" s="12" t="n"/>
      <c r="AP227" s="12" t="n"/>
      <c r="AQ227" s="42" t="n"/>
      <c r="AR227" s="12" t="n"/>
      <c r="AS227" s="12" t="n"/>
      <c r="AT227" s="12" t="n"/>
      <c r="AU227" s="12" t="n"/>
      <c r="AV227" s="42" t="n"/>
      <c r="AW227" s="12" t="n"/>
      <c r="AX227" s="12" t="n"/>
      <c r="AY227" s="12" t="n"/>
      <c r="AZ227" s="12" t="n"/>
      <c r="BA227" s="42" t="n"/>
      <c r="BB227" s="12" t="n"/>
      <c r="BC227" s="12" t="n"/>
      <c r="BD227" s="12" t="n"/>
      <c r="BE227" s="12" t="n"/>
      <c r="BF227" s="42" t="n"/>
      <c r="BG227" s="12" t="n"/>
      <c r="BH227" s="12" t="n"/>
      <c r="BI227" s="12" t="n"/>
      <c r="BJ227" s="12" t="n"/>
      <c r="BK227" s="42" t="n"/>
      <c r="BL227" s="12" t="n"/>
      <c r="BM227" s="12" t="n"/>
      <c r="BN227" s="12" t="n"/>
      <c r="BO227" s="12" t="n"/>
      <c r="BP227" s="42" t="n"/>
      <c r="BQ227" s="12" t="n"/>
      <c r="BR227" s="12" t="n"/>
      <c r="BS227" s="12" t="n"/>
      <c r="BT227" s="12" t="n"/>
      <c r="BU227" s="42" t="n"/>
      <c r="BV227" s="12" t="n"/>
      <c r="BW227" s="12" t="n"/>
      <c r="BX227" s="12" t="n"/>
      <c r="BY227" s="12" t="n"/>
      <c r="BZ227" s="42" t="n"/>
      <c r="CA227" s="12" t="n"/>
      <c r="CB227" s="12" t="n"/>
      <c r="CC227" s="12" t="n"/>
      <c r="CD227" s="12" t="n"/>
      <c r="CE227" s="42" t="n"/>
      <c r="CF227" s="12" t="n"/>
      <c r="CG227" s="12" t="n"/>
      <c r="CH227" s="12" t="n"/>
      <c r="CI227" s="12" t="n"/>
      <c r="CJ227" s="42" t="n"/>
      <c r="CK227" s="12" t="n"/>
      <c r="CL227" s="12" t="n"/>
      <c r="CM227" s="12" t="n"/>
      <c r="CN227" s="12" t="n"/>
      <c r="CO227" s="42" t="n"/>
      <c r="CP227" s="12" t="n"/>
      <c r="CQ227" s="12" t="n"/>
      <c r="CR227" s="12" t="n"/>
      <c r="CS227" s="12" t="n"/>
      <c r="CT227" s="42" t="n"/>
      <c r="CU227" s="12" t="n"/>
      <c r="CV227" s="12" t="n"/>
      <c r="CW227" s="12" t="n"/>
      <c r="CX227" s="12" t="n"/>
      <c r="CY227" s="42" t="n"/>
    </row>
    <row r="228" hidden="1" outlineLevel="1" customFormat="1" s="66">
      <c r="A228" s="37" t="n"/>
      <c r="B228" s="37" t="n"/>
      <c r="C228" s="67" t="inlineStr">
        <is>
          <t>Shares repurchased</t>
        </is>
      </c>
      <c r="D228" s="42" t="n"/>
      <c r="E228" s="42" t="n"/>
      <c r="F228" s="42" t="n"/>
      <c r="G228" s="42" t="n"/>
      <c r="H228" s="42" t="n"/>
      <c r="I228" s="42" t="n"/>
      <c r="J228" s="42" t="n"/>
      <c r="K228" s="42" t="n"/>
      <c r="L228" s="42" t="n"/>
      <c r="M228" s="42" t="n"/>
      <c r="N228" s="42" t="n"/>
      <c r="O228" s="42" t="n"/>
      <c r="P228" s="42" t="n"/>
      <c r="Q228" s="42" t="n"/>
      <c r="R228" s="42" t="n"/>
      <c r="S228" s="42" t="n"/>
      <c r="T228" s="42" t="n"/>
      <c r="U228" s="42" t="n"/>
      <c r="V228" s="42" t="n"/>
      <c r="W228" s="42" t="n"/>
      <c r="X228" s="42" t="n"/>
      <c r="Y228" s="42" t="n"/>
      <c r="Z228" s="42" t="n"/>
      <c r="AA228" s="42" t="n"/>
      <c r="AB228" s="42" t="n"/>
      <c r="AC228" s="42" t="n"/>
      <c r="AD228" s="42" t="n"/>
      <c r="AE228" s="42" t="n"/>
      <c r="AF228" s="42" t="n"/>
      <c r="AG228" s="42" t="n"/>
      <c r="AH228" s="69" t="str">
        <f>IFERROR(-AH223/AH225,"")</f>
        <v/>
      </c>
      <c r="AI228" s="69" t="str">
        <f>IFERROR(-AI223/AI225,"")</f>
        <v/>
      </c>
      <c r="AJ228" s="69" t="str">
        <f>IFERROR(-AJ223/AJ225,"")</f>
        <v/>
      </c>
      <c r="AK228" s="69" t="str">
        <f>IFERROR(-AK223/AK225,"")</f>
        <v/>
      </c>
      <c r="AL228" s="42" t="n"/>
      <c r="AM228" s="69" t="str">
        <f>IFERROR(-AM223/AM225,"")</f>
        <v/>
      </c>
      <c r="AN228" s="69" t="str">
        <f>IFERROR(-AN223/AN225,"")</f>
        <v/>
      </c>
      <c r="AO228" s="69" t="str">
        <f>IFERROR(-AO223/AO225,"")</f>
        <v/>
      </c>
      <c r="AP228" s="69" t="str">
        <f>IFERROR(-AP223/AP225,"")</f>
        <v/>
      </c>
      <c r="AQ228" s="42" t="n"/>
      <c r="AR228" s="69" t="str">
        <f>IFERROR(-AR223/AR225,"")</f>
        <v/>
      </c>
      <c r="AS228" s="69" t="str">
        <f>IFERROR(-AS223/AS225,"")</f>
        <v/>
      </c>
      <c r="AT228" s="69" t="str">
        <f>IFERROR(-AT223/AT225,"")</f>
        <v/>
      </c>
      <c r="AU228" s="69" t="str">
        <f>IFERROR(-AU223/AU225,"")</f>
        <v/>
      </c>
      <c r="AV228" s="42" t="n"/>
      <c r="AW228" s="69" t="str">
        <f>IFERROR(-AW223/AW225,"")</f>
        <v/>
      </c>
      <c r="AX228" s="69" t="str">
        <f>IFERROR(-AX223/AX225,"")</f>
        <v/>
      </c>
      <c r="AY228" s="69" t="str">
        <f>IFERROR(-AY223/AY225,"")</f>
        <v/>
      </c>
      <c r="AZ228" s="69" t="str">
        <f>IFERROR(-AZ223/AZ225,"")</f>
        <v/>
      </c>
      <c r="BA228" s="42" t="n"/>
      <c r="BB228" s="69" t="str">
        <f>IFERROR(-BB223/BB225,"")</f>
        <v/>
      </c>
      <c r="BC228" s="69" t="str">
        <f>IFERROR(-BC223/BC225,"")</f>
        <v/>
      </c>
      <c r="BD228" s="69" t="str">
        <f>IFERROR(-BD223/BD225,"")</f>
        <v/>
      </c>
      <c r="BE228" s="69" t="str">
        <f>IFERROR(-BE223/BE225,"")</f>
        <v/>
      </c>
      <c r="BF228" s="42" t="n"/>
      <c r="BG228" s="69" t="n"/>
      <c r="BH228" s="69" t="n"/>
      <c r="BI228" s="69" t="n"/>
      <c r="BJ228" s="69" t="n"/>
      <c r="BK228" s="42" t="n"/>
      <c r="BL228" s="69" t="n"/>
      <c r="BM228" s="69" t="n"/>
      <c r="BN228" s="69" t="n"/>
      <c r="BO228" s="69" t="n"/>
      <c r="BP228" s="42" t="n"/>
      <c r="BQ228" s="69" t="n"/>
      <c r="BR228" s="69" t="n"/>
      <c r="BS228" s="69" t="n"/>
      <c r="BT228" s="69" t="n"/>
      <c r="BU228" s="42" t="n"/>
      <c r="BV228" s="69" t="n"/>
      <c r="BW228" s="69" t="n"/>
      <c r="BX228" s="69" t="n"/>
      <c r="BY228" s="69" t="n"/>
      <c r="BZ228" s="42" t="n"/>
      <c r="CA228" s="69" t="n"/>
      <c r="CB228" s="69" t="n"/>
      <c r="CC228" s="69" t="n"/>
      <c r="CD228" s="69" t="n"/>
      <c r="CE228" s="42" t="n"/>
      <c r="CF228" s="69" t="n"/>
      <c r="CG228" s="69" t="n"/>
      <c r="CH228" s="69" t="n"/>
      <c r="CI228" s="69" t="n"/>
      <c r="CJ228" s="42" t="n"/>
      <c r="CK228" s="69" t="n"/>
      <c r="CL228" s="69" t="n"/>
      <c r="CM228" s="69" t="n"/>
      <c r="CN228" s="69" t="n"/>
      <c r="CO228" s="42" t="n"/>
      <c r="CP228" s="69" t="n"/>
      <c r="CQ228" s="69" t="n"/>
      <c r="CR228" s="69" t="n"/>
      <c r="CS228" s="69" t="n"/>
      <c r="CT228" s="42" t="n"/>
      <c r="CU228" s="69" t="n"/>
      <c r="CV228" s="69" t="n"/>
      <c r="CW228" s="69" t="n"/>
      <c r="CX228" s="69" t="n"/>
      <c r="CY228" s="42" t="n"/>
    </row>
    <row r="229" hidden="1" outlineLevel="1" customFormat="1" s="66">
      <c r="A229" s="37" t="n"/>
      <c r="B229" s="37" t="n"/>
      <c r="C229" s="67" t="inlineStr">
        <is>
          <t>Shares issued</t>
        </is>
      </c>
      <c r="D229" s="42" t="n"/>
      <c r="E229" s="42" t="n"/>
      <c r="F229" s="42" t="n"/>
      <c r="G229" s="42" t="n"/>
      <c r="H229" s="42" t="n"/>
      <c r="I229" s="42" t="n"/>
      <c r="J229" s="42" t="n"/>
      <c r="K229" s="42" t="n"/>
      <c r="L229" s="42" t="n"/>
      <c r="M229" s="42" t="n"/>
      <c r="N229" s="42" t="n"/>
      <c r="O229" s="42" t="n"/>
      <c r="P229" s="42" t="n"/>
      <c r="Q229" s="42" t="n"/>
      <c r="R229" s="42" t="n"/>
      <c r="S229" s="42" t="n"/>
      <c r="T229" s="42" t="n"/>
      <c r="U229" s="42" t="n"/>
      <c r="V229" s="42" t="n"/>
      <c r="W229" s="42" t="n"/>
      <c r="X229" s="42" t="n"/>
      <c r="Y229" s="42" t="n"/>
      <c r="Z229" s="42" t="n"/>
      <c r="AA229" s="42" t="n"/>
      <c r="AB229" s="42" t="n"/>
      <c r="AC229" s="42" t="n"/>
      <c r="AD229" s="42" t="n"/>
      <c r="AE229" s="42" t="n"/>
      <c r="AF229" s="9" t="n"/>
      <c r="AG229" s="42" t="n"/>
      <c r="AH229" s="69" t="str">
        <f>IFERROR(AH224/AH225,"")</f>
        <v/>
      </c>
      <c r="AI229" s="69" t="str">
        <f>IFERROR(AI224/AI225,"")</f>
        <v/>
      </c>
      <c r="AJ229" s="69" t="str">
        <f>IFERROR(AJ224/AJ225,"")</f>
        <v/>
      </c>
      <c r="AK229" s="69" t="str">
        <f>IFERROR(AK224/AK225,"")</f>
        <v/>
      </c>
      <c r="AL229" s="42" t="n"/>
      <c r="AM229" s="69" t="str">
        <f>IFERROR(AM224/AM225,"")</f>
        <v/>
      </c>
      <c r="AN229" s="69" t="str">
        <f>IFERROR(AN224/AN225,"")</f>
        <v/>
      </c>
      <c r="AO229" s="69" t="str">
        <f>IFERROR(AO224/AO225,"")</f>
        <v/>
      </c>
      <c r="AP229" s="69" t="str">
        <f>IFERROR(AP224/AP225,"")</f>
        <v/>
      </c>
      <c r="AQ229" s="42" t="n"/>
      <c r="AR229" s="69" t="str">
        <f>IFERROR(AR224/AR225,"")</f>
        <v/>
      </c>
      <c r="AS229" s="69" t="str">
        <f>IFERROR(AS224/AS225,"")</f>
        <v/>
      </c>
      <c r="AT229" s="69" t="str">
        <f>IFERROR(AT224/AT225,"")</f>
        <v/>
      </c>
      <c r="AU229" s="69" t="str">
        <f>IFERROR(AU224/AU225,"")</f>
        <v/>
      </c>
      <c r="AV229" s="42" t="n"/>
      <c r="AW229" s="69" t="str">
        <f>IFERROR(AW224/AW225,"")</f>
        <v/>
      </c>
      <c r="AX229" s="69" t="str">
        <f>IFERROR(AX224/AX225,"")</f>
        <v/>
      </c>
      <c r="AY229" s="69" t="str">
        <f>IFERROR(AY224/AY225,"")</f>
        <v/>
      </c>
      <c r="AZ229" s="69" t="str">
        <f>IFERROR(AZ224/AZ225,"")</f>
        <v/>
      </c>
      <c r="BA229" s="42" t="n"/>
      <c r="BB229" s="69" t="str">
        <f>IFERROR(BB224/BB225,"")</f>
        <v/>
      </c>
      <c r="BC229" s="69" t="str">
        <f>IFERROR(BC224/BC225,"")</f>
        <v/>
      </c>
      <c r="BD229" s="69" t="str">
        <f>IFERROR(BD224/BD225,"")</f>
        <v/>
      </c>
      <c r="BE229" s="69" t="str">
        <f>IFERROR(BE224/BE225,"")</f>
        <v/>
      </c>
      <c r="BF229" s="42" t="n"/>
      <c r="BG229" s="69" t="n"/>
      <c r="BH229" s="69" t="n"/>
      <c r="BI229" s="69" t="n"/>
      <c r="BJ229" s="69" t="n"/>
      <c r="BK229" s="42" t="n"/>
      <c r="BL229" s="69" t="n"/>
      <c r="BM229" s="69" t="n"/>
      <c r="BN229" s="69" t="n"/>
      <c r="BO229" s="69" t="n"/>
      <c r="BP229" s="42" t="n"/>
      <c r="BQ229" s="69" t="n"/>
      <c r="BR229" s="69" t="n"/>
      <c r="BS229" s="69" t="n"/>
      <c r="BT229" s="69" t="n"/>
      <c r="BU229" s="42" t="n"/>
      <c r="BV229" s="69" t="n"/>
      <c r="BW229" s="69" t="n"/>
      <c r="BX229" s="69" t="n"/>
      <c r="BY229" s="69" t="n"/>
      <c r="BZ229" s="42" t="n"/>
      <c r="CA229" s="69" t="n"/>
      <c r="CB229" s="69" t="n"/>
      <c r="CC229" s="69" t="n"/>
      <c r="CD229" s="69" t="n"/>
      <c r="CE229" s="42" t="n"/>
      <c r="CF229" s="69" t="n"/>
      <c r="CG229" s="69" t="n"/>
      <c r="CH229" s="69" t="n"/>
      <c r="CI229" s="69" t="n"/>
      <c r="CJ229" s="42" t="n"/>
      <c r="CK229" s="69" t="n"/>
      <c r="CL229" s="69" t="n"/>
      <c r="CM229" s="69" t="n"/>
      <c r="CN229" s="69" t="n"/>
      <c r="CO229" s="42" t="n"/>
      <c r="CP229" s="69" t="n"/>
      <c r="CQ229" s="69" t="n"/>
      <c r="CR229" s="69" t="n"/>
      <c r="CS229" s="69" t="n"/>
      <c r="CT229" s="42" t="n"/>
      <c r="CU229" s="69" t="n"/>
      <c r="CV229" s="69" t="n"/>
      <c r="CW229" s="69" t="n"/>
      <c r="CX229" s="69" t="n"/>
      <c r="CY229" s="42" t="n"/>
    </row>
    <row r="230" hidden="1" outlineLevel="1" customFormat="1" s="66">
      <c r="A230" s="37" t="n"/>
      <c r="B230" s="37" t="n"/>
      <c r="C230" s="67" t="inlineStr">
        <is>
          <t>End of period basic shares outstanding</t>
        </is>
      </c>
      <c r="D230" s="42" t="n"/>
      <c r="E230" s="42" t="n"/>
      <c r="F230" s="42" t="n"/>
      <c r="G230" s="42" t="n"/>
      <c r="H230" s="42" t="n"/>
      <c r="I230" s="42" t="n"/>
      <c r="J230" s="42" t="n"/>
      <c r="K230" s="42" t="n"/>
      <c r="L230" s="42" t="n"/>
      <c r="M230" s="42" t="n"/>
      <c r="N230" s="42" t="n"/>
      <c r="O230" s="42" t="n"/>
      <c r="P230" s="42" t="n"/>
      <c r="Q230" s="42" t="n"/>
      <c r="R230" s="42" t="n"/>
      <c r="S230" s="42" t="n"/>
      <c r="T230" s="42" t="n"/>
      <c r="U230" s="42" t="n"/>
      <c r="V230" s="42" t="n"/>
      <c r="W230" s="42" t="n"/>
      <c r="X230" s="42" t="n"/>
      <c r="Y230" s="42" t="n"/>
      <c r="Z230" s="42" t="n"/>
      <c r="AA230" s="42" t="n"/>
      <c r="AB230" s="42" t="n"/>
      <c r="AC230" s="42" t="n"/>
      <c r="AD230" s="42" t="n"/>
      <c r="AE230" s="42" t="n"/>
      <c r="AF230" s="42" t="n"/>
      <c r="AG230" s="42" t="n"/>
      <c r="AH230" s="3" t="str">
        <f>IFERROR(AG230+AH229-AH228,"")</f>
        <v/>
      </c>
      <c r="AI230" s="3" t="str">
        <f>IFERROR(AH230+AI229-AI228,"")</f>
        <v/>
      </c>
      <c r="AJ230" s="69" t="str">
        <f>IFERROR(AH230+AJ229-AJ228,"")</f>
        <v/>
      </c>
      <c r="AK230" s="69" t="str">
        <f>IFERROR(AJ230+AK229-AK228,"")</f>
        <v/>
      </c>
      <c r="AL230" s="42" t="n"/>
      <c r="AM230" s="3" t="str">
        <f>IFERROR(AK230+AM229-AM228,"")</f>
        <v/>
      </c>
      <c r="AN230" s="3" t="str">
        <f>IFERROR(AM230+AN229-AN228,"")</f>
        <v/>
      </c>
      <c r="AO230" s="69" t="str">
        <f>IFERROR(AM230+AO229-AO228,"")</f>
        <v/>
      </c>
      <c r="AP230" s="69" t="str">
        <f>IFERROR(AO230+AP229-AP228,"")</f>
        <v/>
      </c>
      <c r="AQ230" s="42" t="n"/>
      <c r="AR230" s="3" t="str">
        <f>IFERROR(AP230+AR229-AR228,"")</f>
        <v/>
      </c>
      <c r="AS230" s="3" t="str">
        <f>IFERROR(AR230+AS229-AS228,"")</f>
        <v/>
      </c>
      <c r="AT230" s="69" t="str">
        <f>IFERROR(AR230+AT229-AT228,"")</f>
        <v/>
      </c>
      <c r="AU230" s="69" t="str">
        <f>IFERROR(AT230+AU229-AU228,"")</f>
        <v/>
      </c>
      <c r="AV230" s="42" t="n"/>
      <c r="AW230" s="3" t="str">
        <f>IFERROR(AU230+AW229-AW228,"")</f>
        <v/>
      </c>
      <c r="AX230" s="3" t="str">
        <f>IFERROR(AW230+AX229-AX228,"")</f>
        <v/>
      </c>
      <c r="AY230" s="69" t="str">
        <f>IFERROR(AW230+AY229-AY228,"")</f>
        <v/>
      </c>
      <c r="AZ230" s="69" t="str">
        <f>IFERROR(AY230+AZ229-AZ228,"")</f>
        <v/>
      </c>
      <c r="BA230" s="42" t="n"/>
      <c r="BB230" s="3" t="str">
        <f>IFERROR(AZ230+BB229-BB228,"")</f>
        <v/>
      </c>
      <c r="BC230" s="3" t="str">
        <f>IFERROR(BB230+BC229-BC228,"")</f>
        <v/>
      </c>
      <c r="BD230" s="69" t="str">
        <f>IFERROR(BB230+BD229-BD228,"")</f>
        <v/>
      </c>
      <c r="BE230" s="69" t="str">
        <f>IFERROR(BD230+BE229-BE228,"")</f>
        <v/>
      </c>
      <c r="BF230" s="42" t="n"/>
      <c r="BG230" s="3" t="n"/>
      <c r="BH230" s="3" t="n"/>
      <c r="BI230" s="69" t="n"/>
      <c r="BJ230" s="69" t="n"/>
      <c r="BK230" s="42" t="n"/>
      <c r="BL230" s="3" t="n"/>
      <c r="BM230" s="3" t="n"/>
      <c r="BN230" s="69" t="n"/>
      <c r="BO230" s="69" t="n"/>
      <c r="BP230" s="42" t="n"/>
      <c r="BQ230" s="3" t="n"/>
      <c r="BR230" s="3" t="n"/>
      <c r="BS230" s="69" t="n"/>
      <c r="BT230" s="69" t="n"/>
      <c r="BU230" s="42" t="n"/>
      <c r="BV230" s="3" t="n"/>
      <c r="BW230" s="3" t="n"/>
      <c r="BX230" s="69" t="n"/>
      <c r="BY230" s="69" t="n"/>
      <c r="BZ230" s="42" t="n"/>
      <c r="CA230" s="3" t="n"/>
      <c r="CB230" s="3" t="n"/>
      <c r="CC230" s="69" t="n"/>
      <c r="CD230" s="69" t="n"/>
      <c r="CE230" s="42" t="n"/>
      <c r="CF230" s="3" t="n"/>
      <c r="CG230" s="3" t="n"/>
      <c r="CH230" s="69" t="n"/>
      <c r="CI230" s="69" t="n"/>
      <c r="CJ230" s="42" t="n"/>
      <c r="CK230" s="3" t="n"/>
      <c r="CL230" s="3" t="n"/>
      <c r="CM230" s="69" t="n"/>
      <c r="CN230" s="69" t="n"/>
      <c r="CO230" s="42" t="n"/>
      <c r="CP230" s="3" t="n"/>
      <c r="CQ230" s="3" t="n"/>
      <c r="CR230" s="69" t="n"/>
      <c r="CS230" s="69" t="n"/>
      <c r="CT230" s="42" t="n"/>
      <c r="CU230" s="3" t="n"/>
      <c r="CV230" s="3" t="n"/>
      <c r="CW230" s="69" t="n"/>
      <c r="CX230" s="69" t="n"/>
      <c r="CY230" s="42" t="n"/>
    </row>
    <row r="231" hidden="1" outlineLevel="1" customFormat="1" s="66">
      <c r="A231" s="37" t="n"/>
      <c r="B231" s="37" t="n"/>
      <c r="C231" s="67" t="inlineStr">
        <is>
          <t>Weighted average basic shares outstanding</t>
        </is>
      </c>
      <c r="D231" s="42" t="n"/>
      <c r="E231" s="42" t="n"/>
      <c r="F231" s="42" t="n"/>
      <c r="G231" s="42" t="n"/>
      <c r="H231" s="42" t="n"/>
      <c r="I231" s="42" t="n"/>
      <c r="J231" s="42" t="n"/>
      <c r="K231" s="42" t="n"/>
      <c r="L231" s="42" t="n"/>
      <c r="M231" s="42" t="n"/>
      <c r="N231" s="42" t="n"/>
      <c r="O231" s="42" t="n"/>
      <c r="P231" s="42" t="n"/>
      <c r="Q231" s="42" t="n"/>
      <c r="R231" s="42" t="n"/>
      <c r="S231" s="42" t="n"/>
      <c r="T231" s="42" t="n"/>
      <c r="U231" s="42" t="n"/>
      <c r="V231" s="42" t="n"/>
      <c r="W231" s="42" t="n"/>
      <c r="X231" s="42" t="n"/>
      <c r="Y231" s="42" t="n"/>
      <c r="Z231" s="42" t="n"/>
      <c r="AA231" s="42" t="n"/>
      <c r="AB231" s="42" t="n"/>
      <c r="AC231" s="42" t="n"/>
      <c r="AD231" s="42" t="n"/>
      <c r="AE231" s="42" t="n"/>
      <c r="AF231" s="42" t="n"/>
      <c r="AG231" s="42" t="n"/>
      <c r="AH231" s="69" t="str">
        <f>IFERROR(AVERAGE(AG230,AH230),"")</f>
        <v/>
      </c>
      <c r="AI231" s="69" t="str">
        <f>IFERROR(AVERAGE(AH230,AI230),"")</f>
        <v/>
      </c>
      <c r="AJ231" s="69" t="str">
        <f>IFERROR(AVERAGE(AH230,AJ230),"")</f>
        <v/>
      </c>
      <c r="AK231" s="69" t="str">
        <f>IFERROR(AVERAGE(AJ230,AK230),"")</f>
        <v/>
      </c>
      <c r="AL231" s="42" t="n"/>
      <c r="AM231" s="69" t="str">
        <f>IFERROR(AVERAGE(AL230,AM230),"")</f>
        <v/>
      </c>
      <c r="AN231" s="69" t="str">
        <f>IFERROR(AVERAGE(AM230,AN230),"")</f>
        <v/>
      </c>
      <c r="AO231" s="69" t="str">
        <f>IFERROR(AVERAGE(AM230,AO230),"")</f>
        <v/>
      </c>
      <c r="AP231" s="69" t="str">
        <f>IFERROR(AVERAGE(AO230,AP230),"")</f>
        <v/>
      </c>
      <c r="AQ231" s="42" t="n"/>
      <c r="AR231" s="69" t="str">
        <f>IFERROR(AVERAGE(AQ230,AR230),"")</f>
        <v/>
      </c>
      <c r="AS231" s="69" t="str">
        <f>IFERROR(AVERAGE(AR230,AS230),"")</f>
        <v/>
      </c>
      <c r="AT231" s="69" t="str">
        <f>IFERROR(AVERAGE(AR230,AT230),"")</f>
        <v/>
      </c>
      <c r="AU231" s="69" t="str">
        <f>IFERROR(AVERAGE(AT230,AU230),"")</f>
        <v/>
      </c>
      <c r="AV231" s="42" t="n"/>
      <c r="AW231" s="69" t="str">
        <f>IFERROR(AVERAGE(AV230,AW230),"")</f>
        <v/>
      </c>
      <c r="AX231" s="69" t="str">
        <f>IFERROR(AVERAGE(AW230,AX230),"")</f>
        <v/>
      </c>
      <c r="AY231" s="69" t="str">
        <f>IFERROR(AVERAGE(AW230,AY230),"")</f>
        <v/>
      </c>
      <c r="AZ231" s="69" t="str">
        <f>IFERROR(AVERAGE(AY230,AZ230),"")</f>
        <v/>
      </c>
      <c r="BA231" s="42" t="n"/>
      <c r="BB231" s="69" t="str">
        <f>IFERROR(AVERAGE(BA230,BB230),"")</f>
        <v/>
      </c>
      <c r="BC231" s="69" t="str">
        <f>IFERROR(AVERAGE(BB230,BC230),"")</f>
        <v/>
      </c>
      <c r="BD231" s="69" t="str">
        <f>IFERROR(AVERAGE(BB230,BD230),"")</f>
        <v/>
      </c>
      <c r="BE231" s="69" t="str">
        <f>IFERROR(AVERAGE(BD230,BE230),"")</f>
        <v/>
      </c>
      <c r="BF231" s="42" t="n"/>
      <c r="BG231" s="69" t="n"/>
      <c r="BH231" s="69" t="n"/>
      <c r="BI231" s="69" t="n"/>
      <c r="BJ231" s="69" t="n"/>
      <c r="BK231" s="42" t="n"/>
      <c r="BL231" s="69" t="n"/>
      <c r="BM231" s="69" t="n"/>
      <c r="BN231" s="69" t="n"/>
      <c r="BO231" s="69" t="n"/>
      <c r="BP231" s="42" t="n"/>
      <c r="BQ231" s="69" t="n"/>
      <c r="BR231" s="69" t="n"/>
      <c r="BS231" s="69" t="n"/>
      <c r="BT231" s="69" t="n"/>
      <c r="BU231" s="42" t="n"/>
      <c r="BV231" s="69" t="n"/>
      <c r="BW231" s="69" t="n"/>
      <c r="BX231" s="69" t="n"/>
      <c r="BY231" s="69" t="n"/>
      <c r="BZ231" s="42" t="n"/>
      <c r="CA231" s="69" t="n"/>
      <c r="CB231" s="69" t="n"/>
      <c r="CC231" s="69" t="n"/>
      <c r="CD231" s="69" t="n"/>
      <c r="CE231" s="42" t="n"/>
      <c r="CF231" s="69" t="n"/>
      <c r="CG231" s="69" t="n"/>
      <c r="CH231" s="69" t="n"/>
      <c r="CI231" s="69" t="n"/>
      <c r="CJ231" s="42" t="n"/>
      <c r="CK231" s="69" t="n"/>
      <c r="CL231" s="69" t="n"/>
      <c r="CM231" s="69" t="n"/>
      <c r="CN231" s="69" t="n"/>
      <c r="CO231" s="42" t="n"/>
      <c r="CP231" s="69" t="n"/>
      <c r="CQ231" s="69" t="n"/>
      <c r="CR231" s="69" t="n"/>
      <c r="CS231" s="69" t="n"/>
      <c r="CT231" s="42" t="n"/>
      <c r="CU231" s="69" t="n"/>
      <c r="CV231" s="69" t="n"/>
      <c r="CW231" s="69" t="n"/>
      <c r="CX231" s="69" t="n"/>
      <c r="CY231" s="42" t="n"/>
    </row>
    <row r="232" hidden="1" outlineLevel="1" customFormat="1" s="66">
      <c r="A232" s="37" t="n"/>
      <c r="B232" s="37" t="n"/>
      <c r="C232" s="67" t="n"/>
      <c r="D232" s="42" t="n"/>
      <c r="E232" s="42" t="n"/>
      <c r="F232" s="42" t="n"/>
      <c r="G232" s="42" t="n"/>
      <c r="H232" s="12" t="n"/>
      <c r="I232" s="42" t="n"/>
      <c r="J232" s="42" t="n"/>
      <c r="K232" s="42" t="n"/>
      <c r="L232" s="42" t="n"/>
      <c r="M232" s="12" t="n"/>
      <c r="N232" s="42" t="n"/>
      <c r="O232" s="42" t="n"/>
      <c r="P232" s="42" t="n"/>
      <c r="Q232" s="42" t="n"/>
      <c r="R232" s="12" t="n"/>
      <c r="S232" s="42" t="n"/>
      <c r="T232" s="42" t="n"/>
      <c r="U232" s="42" t="n"/>
      <c r="V232" s="42" t="n"/>
      <c r="W232" s="12" t="n"/>
      <c r="X232" s="42" t="n"/>
      <c r="Y232" s="42" t="n"/>
      <c r="Z232" s="42" t="n"/>
      <c r="AA232" s="42" t="n"/>
      <c r="AB232" s="12" t="n"/>
      <c r="AC232" s="42" t="n"/>
      <c r="AD232" s="42" t="n"/>
      <c r="AE232" s="42" t="n"/>
      <c r="AF232" s="42" t="n"/>
      <c r="AG232" s="12" t="n"/>
      <c r="AH232" s="42" t="n"/>
      <c r="AI232" s="42" t="n"/>
      <c r="AJ232" s="42" t="n"/>
      <c r="AK232" s="42" t="n"/>
      <c r="AL232" s="12" t="n"/>
      <c r="AM232" s="42" t="n"/>
      <c r="AN232" s="42" t="n"/>
      <c r="AO232" s="42" t="n"/>
      <c r="AP232" s="42" t="n"/>
      <c r="AQ232" s="12" t="n"/>
      <c r="AR232" s="42" t="n"/>
      <c r="AS232" s="42" t="n"/>
      <c r="AT232" s="42" t="n"/>
      <c r="AU232" s="42" t="n"/>
      <c r="AV232" s="12" t="n"/>
      <c r="AW232" s="42" t="n"/>
      <c r="AX232" s="42" t="n"/>
      <c r="AY232" s="42" t="n"/>
      <c r="AZ232" s="42" t="n"/>
      <c r="BA232" s="12" t="n"/>
      <c r="BB232" s="42" t="n"/>
      <c r="BC232" s="42" t="n"/>
      <c r="BD232" s="42" t="n"/>
      <c r="BE232" s="42" t="n"/>
      <c r="BF232" s="12" t="n"/>
      <c r="BG232" s="42" t="n"/>
      <c r="BH232" s="42" t="n"/>
      <c r="BI232" s="42" t="n"/>
      <c r="BJ232" s="42" t="n"/>
      <c r="BK232" s="12" t="n"/>
      <c r="BL232" s="42" t="n"/>
      <c r="BM232" s="42" t="n"/>
      <c r="BN232" s="42" t="n"/>
      <c r="BO232" s="42" t="n"/>
      <c r="BP232" s="12" t="n"/>
      <c r="BQ232" s="42" t="n"/>
      <c r="BR232" s="42" t="n"/>
      <c r="BS232" s="42" t="n"/>
      <c r="BT232" s="42" t="n"/>
      <c r="BU232" s="12" t="n"/>
      <c r="BV232" s="42" t="n"/>
      <c r="BW232" s="42" t="n"/>
      <c r="BX232" s="42" t="n"/>
      <c r="BY232" s="42" t="n"/>
      <c r="BZ232" s="12" t="n"/>
      <c r="CA232" s="42" t="n"/>
      <c r="CB232" s="42" t="n"/>
      <c r="CC232" s="42" t="n"/>
      <c r="CD232" s="42" t="n"/>
      <c r="CE232" s="12" t="n"/>
      <c r="CF232" s="42" t="n"/>
      <c r="CG232" s="42" t="n"/>
      <c r="CH232" s="42" t="n"/>
      <c r="CI232" s="42" t="n"/>
      <c r="CJ232" s="12" t="n"/>
      <c r="CK232" s="42" t="n"/>
      <c r="CL232" s="42" t="n"/>
      <c r="CM232" s="42" t="n"/>
      <c r="CN232" s="42" t="n"/>
      <c r="CO232" s="12" t="n"/>
      <c r="CP232" s="42" t="n"/>
      <c r="CQ232" s="42" t="n"/>
      <c r="CR232" s="42" t="n"/>
      <c r="CS232" s="42" t="n"/>
      <c r="CT232" s="12" t="n"/>
      <c r="CU232" s="42" t="n"/>
      <c r="CV232" s="42" t="n"/>
      <c r="CW232" s="42" t="n"/>
      <c r="CX232" s="42" t="n"/>
      <c r="CY232" s="12" t="n"/>
    </row>
    <row r="233" collapsed="1">
      <c r="C233" s="14" t="inlineStr">
        <is>
          <t>Treasury stock (contra account)</t>
        </is>
      </c>
      <c r="D233" s="46" t="n"/>
      <c r="E233" s="46" t="n"/>
      <c r="F233" s="46" t="n"/>
      <c r="G233" s="46" t="n"/>
      <c r="H233" s="12" t="n"/>
      <c r="I233" s="46">
        <f>'Inputs (2)'!D44</f>
        <v>-23.0143155</v>
      </c>
      <c r="J233" s="46">
        <f>'Inputs (2)'!E44</f>
        <v>-24.83640528</v>
      </c>
      <c r="K233" s="46">
        <f>'Inputs (2)'!F44</f>
        <v>-24.83640528</v>
      </c>
      <c r="L233" s="46">
        <f>'Inputs (2)'!G44</f>
        <v>-24.83640528</v>
      </c>
      <c r="M233" s="12">
        <f>'Inputs (2)'!H44</f>
        <v>-24.83640528</v>
      </c>
      <c r="N233" s="46">
        <f>'Inputs (2)'!I44</f>
        <v>-22.89021678</v>
      </c>
      <c r="O233" s="46">
        <f>'Inputs (2)'!J44</f>
        <v>-27.2412731</v>
      </c>
      <c r="P233" s="46">
        <f>'Inputs (2)'!K44</f>
        <v>-19.97143105</v>
      </c>
      <c r="Q233" s="46">
        <f>'Inputs (2)'!L44</f>
        <v>-19.97143105</v>
      </c>
      <c r="R233" s="12">
        <f>'Inputs (2)'!M44</f>
        <v>-19.97143105</v>
      </c>
      <c r="S233" s="46">
        <f>'Inputs (2)'!N44</f>
        <v>-9.213137</v>
      </c>
      <c r="T233" s="46">
        <f>'Inputs (2)'!O44</f>
        <v>-9.213</v>
      </c>
      <c r="U233" s="46">
        <f>'Inputs (2)'!P44</f>
        <v>-9.213</v>
      </c>
      <c r="V233" s="46">
        <f>'Inputs (2)'!Q44</f>
        <v>-39.462</v>
      </c>
      <c r="W233" s="12">
        <f>'Inputs (2)'!R44</f>
        <v>-39.462</v>
      </c>
      <c r="X233" s="46">
        <f>'Inputs (2)'!S44</f>
        <v>-27.15</v>
      </c>
      <c r="Y233" s="46">
        <f>'Inputs (2)'!T44</f>
        <v>-27.15</v>
      </c>
      <c r="Z233" s="46">
        <f>'Inputs (2)'!U44</f>
        <v>-48.065</v>
      </c>
      <c r="AA233" s="46">
        <f>'Inputs (2)'!V44</f>
        <v>-48.065</v>
      </c>
      <c r="AB233" s="12">
        <f>'Inputs (2)'!W44</f>
        <v>-48.065</v>
      </c>
      <c r="AC233" s="46">
        <f>'Inputs (2)'!X44</f>
        <v>-35.559101</v>
      </c>
      <c r="AD233" s="46">
        <f>'Inputs (2)'!Y44</f>
        <v>-35.559</v>
      </c>
      <c r="AE233" s="46">
        <f>'Inputs (2)'!Z44</f>
        <v>-35.559</v>
      </c>
      <c r="AF233" s="46">
        <f>'Inputs (2)'!AA44</f>
        <v>-35.559</v>
      </c>
      <c r="AG233" s="12">
        <f>'Inputs (2)'!AB44</f>
        <v>-35.559</v>
      </c>
      <c r="AH233" s="12">
        <f>'Inputs (2)'!AC44</f>
        <v>-55.497</v>
      </c>
      <c r="AI233" s="12">
        <f>'Inputs (2)'!AD44</f>
        <v>-55.478</v>
      </c>
      <c r="AJ233" s="12">
        <f>AI233</f>
        <v>-55.478</v>
      </c>
      <c r="AK233" s="12">
        <f>AJ233</f>
        <v>-55.478</v>
      </c>
      <c r="AL233" s="12">
        <f>AK233</f>
        <v>-55.478</v>
      </c>
      <c r="AM233" s="12">
        <f>AL233</f>
        <v>-55.478</v>
      </c>
      <c r="AN233" s="12">
        <f>AM233</f>
        <v>-55.478</v>
      </c>
      <c r="AO233" s="12">
        <f>AN233</f>
        <v>-55.478</v>
      </c>
      <c r="AP233" s="12">
        <f>AO233</f>
        <v>-55.478</v>
      </c>
      <c r="AQ233" s="12">
        <f>AP233</f>
        <v>-55.478</v>
      </c>
      <c r="AR233" s="12">
        <f>AQ233</f>
        <v>-55.478</v>
      </c>
      <c r="AS233" s="12">
        <f>AR233</f>
        <v>-55.478</v>
      </c>
      <c r="AT233" s="12">
        <f>AS233</f>
        <v>-55.478</v>
      </c>
      <c r="AU233" s="12">
        <f>AT233</f>
        <v>-55.478</v>
      </c>
      <c r="AV233" s="12">
        <f>AU233</f>
        <v>-55.478</v>
      </c>
      <c r="AW233" s="12">
        <f>AV233</f>
        <v>-55.478</v>
      </c>
      <c r="AX233" s="12">
        <f>AW233</f>
        <v>-55.478</v>
      </c>
      <c r="AY233" s="12">
        <f>AX233</f>
        <v>-55.478</v>
      </c>
      <c r="AZ233" s="12">
        <f>AY233</f>
        <v>-55.478</v>
      </c>
      <c r="BA233" s="12">
        <f>AZ233</f>
        <v>-55.478</v>
      </c>
      <c r="BB233" s="12">
        <f>BA233</f>
        <v>-55.478</v>
      </c>
      <c r="BC233" s="12">
        <f>BB233</f>
        <v>-55.478</v>
      </c>
      <c r="BD233" s="12">
        <f>BC233</f>
        <v>-55.478</v>
      </c>
      <c r="BE233" s="12">
        <f>BD233</f>
        <v>-55.478</v>
      </c>
      <c r="BF233" s="12">
        <f>BE233</f>
        <v>-55.478</v>
      </c>
      <c r="BG233" s="12" t="n"/>
      <c r="BH233" s="12" t="n"/>
      <c r="BI233" s="12" t="n"/>
      <c r="BJ233" s="12" t="n"/>
      <c r="BK233" s="12" t="n"/>
      <c r="BL233" s="12" t="n"/>
      <c r="BM233" s="12" t="n"/>
      <c r="BN233" s="12" t="n"/>
      <c r="BO233" s="12" t="n"/>
      <c r="BP233" s="12" t="n"/>
      <c r="BQ233" s="12" t="n"/>
      <c r="BR233" s="12" t="n"/>
      <c r="BS233" s="12" t="n"/>
      <c r="BT233" s="12" t="n"/>
      <c r="BU233" s="12" t="n"/>
      <c r="BV233" s="12" t="n"/>
      <c r="BW233" s="12" t="n"/>
      <c r="BX233" s="12" t="n"/>
      <c r="BY233" s="12" t="n"/>
      <c r="BZ233" s="12" t="n"/>
      <c r="CA233" s="12" t="n"/>
      <c r="CB233" s="12" t="n"/>
      <c r="CC233" s="12" t="n"/>
      <c r="CD233" s="12" t="n"/>
      <c r="CE233" s="12" t="n"/>
      <c r="CF233" s="12" t="n"/>
      <c r="CG233" s="12" t="n"/>
      <c r="CH233" s="12" t="n"/>
      <c r="CI233" s="12" t="n"/>
      <c r="CJ233" s="12" t="n"/>
      <c r="CK233" s="12" t="n"/>
      <c r="CL233" s="12" t="n"/>
      <c r="CM233" s="12" t="n"/>
      <c r="CN233" s="12" t="n"/>
      <c r="CO233" s="12" t="n"/>
      <c r="CP233" s="12" t="n"/>
      <c r="CQ233" s="12" t="n"/>
      <c r="CR233" s="12" t="n"/>
      <c r="CS233" s="12" t="n"/>
      <c r="CT233" s="12" t="n"/>
      <c r="CU233" s="12" t="n"/>
      <c r="CV233" s="12" t="n"/>
      <c r="CW233" s="12" t="n"/>
      <c r="CX233" s="12" t="n"/>
      <c r="CY233" s="12" t="n"/>
    </row>
    <row r="234">
      <c r="C234" s="14" t="inlineStr">
        <is>
          <t>Comprehensive (accumulated) loss</t>
        </is>
      </c>
      <c r="D234" s="46" t="n"/>
      <c r="E234" s="46" t="n"/>
      <c r="F234" s="46" t="n"/>
      <c r="G234" s="46" t="n"/>
      <c r="H234" s="12" t="n"/>
      <c r="I234" s="46">
        <f>'Inputs (2)'!D45</f>
        <v>0</v>
      </c>
      <c r="J234" s="46">
        <f>'Inputs (2)'!E45</f>
        <v>0</v>
      </c>
      <c r="K234" s="46">
        <f>'Inputs (2)'!F45</f>
        <v>0</v>
      </c>
      <c r="L234" s="46">
        <f>'Inputs (2)'!G45</f>
        <v>0</v>
      </c>
      <c r="M234" s="12">
        <f>'Inputs (2)'!H45</f>
        <v>0</v>
      </c>
      <c r="N234" s="46">
        <f>'Inputs (2)'!I45</f>
        <v>0</v>
      </c>
      <c r="O234" s="46">
        <f>'Inputs (2)'!J45</f>
        <v>0</v>
      </c>
      <c r="P234" s="46">
        <f>'Inputs (2)'!K45</f>
        <v>0</v>
      </c>
      <c r="Q234" s="46">
        <f>'Inputs (2)'!L45</f>
        <v>0</v>
      </c>
      <c r="R234" s="12">
        <f>'Inputs (2)'!M45</f>
        <v>0</v>
      </c>
      <c r="S234" s="46">
        <f>'Inputs (2)'!N45</f>
        <v>0</v>
      </c>
      <c r="T234" s="46">
        <f>'Inputs (2)'!O45</f>
        <v>73.884</v>
      </c>
      <c r="U234" s="46">
        <f>'Inputs (2)'!P45</f>
        <v>73.884</v>
      </c>
      <c r="V234" s="46">
        <f>'Inputs (2)'!Q45</f>
        <v>73.884</v>
      </c>
      <c r="W234" s="12">
        <f>'Inputs (2)'!R45</f>
        <v>73.884</v>
      </c>
      <c r="X234" s="46">
        <f>'Inputs (2)'!S45</f>
        <v>73.884</v>
      </c>
      <c r="Y234" s="46">
        <f>'Inputs (2)'!T45</f>
        <v>73.884</v>
      </c>
      <c r="Z234" s="46">
        <f>'Inputs (2)'!U45</f>
        <v>73.884</v>
      </c>
      <c r="AA234" s="46">
        <f>'Inputs (2)'!V45</f>
        <v>52.817</v>
      </c>
      <c r="AB234" s="12">
        <f>'Inputs (2)'!W45</f>
        <v>52.817</v>
      </c>
      <c r="AC234" s="46">
        <f>'Inputs (2)'!X45</f>
        <v>52.817</v>
      </c>
      <c r="AD234" s="46">
        <f>'Inputs (2)'!Y45</f>
        <v>52.817</v>
      </c>
      <c r="AE234" s="46">
        <f>'Inputs (2)'!Z45</f>
        <v>52.817</v>
      </c>
      <c r="AF234" s="46">
        <f>'Inputs (2)'!AA45</f>
        <v>52.817</v>
      </c>
      <c r="AG234" s="12">
        <f>'Inputs (2)'!AB45</f>
        <v>52.817</v>
      </c>
      <c r="AH234" s="12">
        <f>'Inputs (2)'!AC45</f>
        <v>52.817</v>
      </c>
      <c r="AI234" s="12">
        <f>'Inputs (2)'!AD45</f>
        <v>52.817</v>
      </c>
      <c r="AJ234" s="12">
        <f>AI234</f>
        <v>52.817</v>
      </c>
      <c r="AK234" s="12">
        <f>AJ234</f>
        <v>52.817</v>
      </c>
      <c r="AL234" s="12">
        <f>AK234</f>
        <v>52.817</v>
      </c>
      <c r="AM234" s="12">
        <f>AL234</f>
        <v>52.817</v>
      </c>
      <c r="AN234" s="12">
        <f>AM234</f>
        <v>52.817</v>
      </c>
      <c r="AO234" s="12">
        <f>AN234</f>
        <v>52.817</v>
      </c>
      <c r="AP234" s="12">
        <f>AO234</f>
        <v>52.817</v>
      </c>
      <c r="AQ234" s="12">
        <f>AP234</f>
        <v>52.817</v>
      </c>
      <c r="AR234" s="12">
        <f>AQ234</f>
        <v>52.817</v>
      </c>
      <c r="AS234" s="12">
        <f>AR234</f>
        <v>52.817</v>
      </c>
      <c r="AT234" s="12">
        <f>AS234</f>
        <v>52.817</v>
      </c>
      <c r="AU234" s="12">
        <f>AT234</f>
        <v>52.817</v>
      </c>
      <c r="AV234" s="12">
        <f>AU234</f>
        <v>52.817</v>
      </c>
      <c r="AW234" s="12">
        <f>AV234</f>
        <v>52.817</v>
      </c>
      <c r="AX234" s="12">
        <f>AW234</f>
        <v>52.817</v>
      </c>
      <c r="AY234" s="12">
        <f>AX234</f>
        <v>52.817</v>
      </c>
      <c r="AZ234" s="12">
        <f>AY234</f>
        <v>52.817</v>
      </c>
      <c r="BA234" s="12">
        <f>AZ234</f>
        <v>52.817</v>
      </c>
      <c r="BB234" s="12">
        <f>BA234</f>
        <v>52.817</v>
      </c>
      <c r="BC234" s="12">
        <f>BB234</f>
        <v>52.817</v>
      </c>
      <c r="BD234" s="12">
        <f>BC234</f>
        <v>52.817</v>
      </c>
      <c r="BE234" s="12">
        <f>BD234</f>
        <v>52.817</v>
      </c>
      <c r="BF234" s="12">
        <f>BE234</f>
        <v>52.817</v>
      </c>
      <c r="BG234" s="12" t="n"/>
      <c r="BH234" s="12" t="n"/>
      <c r="BI234" s="12" t="n"/>
      <c r="BJ234" s="12" t="n"/>
      <c r="BK234" s="12" t="n"/>
      <c r="BL234" s="12" t="n"/>
      <c r="BM234" s="12" t="n"/>
      <c r="BN234" s="12" t="n"/>
      <c r="BO234" s="12" t="n"/>
      <c r="BP234" s="12" t="n"/>
      <c r="BQ234" s="12" t="n"/>
      <c r="BR234" s="12" t="n"/>
      <c r="BS234" s="12" t="n"/>
      <c r="BT234" s="12" t="n"/>
      <c r="BU234" s="12" t="n"/>
      <c r="BV234" s="12" t="n"/>
      <c r="BW234" s="12" t="n"/>
      <c r="BX234" s="12" t="n"/>
      <c r="BY234" s="12" t="n"/>
      <c r="BZ234" s="12" t="n"/>
      <c r="CA234" s="12" t="n"/>
      <c r="CB234" s="12" t="n"/>
      <c r="CC234" s="12" t="n"/>
      <c r="CD234" s="12" t="n"/>
      <c r="CE234" s="12" t="n"/>
      <c r="CF234" s="12" t="n"/>
      <c r="CG234" s="12" t="n"/>
      <c r="CH234" s="12" t="n"/>
      <c r="CI234" s="12" t="n"/>
      <c r="CJ234" s="12" t="n"/>
      <c r="CK234" s="12" t="n"/>
      <c r="CL234" s="12" t="n"/>
      <c r="CM234" s="12" t="n"/>
      <c r="CN234" s="12" t="n"/>
      <c r="CO234" s="12" t="n"/>
      <c r="CP234" s="12" t="n"/>
      <c r="CQ234" s="12" t="n"/>
      <c r="CR234" s="12" t="n"/>
      <c r="CS234" s="12" t="n"/>
      <c r="CT234" s="12" t="n"/>
      <c r="CU234" s="12" t="n"/>
      <c r="CV234" s="12" t="n"/>
      <c r="CW234" s="12" t="n"/>
      <c r="CX234" s="12" t="n"/>
      <c r="CY234" s="12" t="n"/>
    </row>
    <row r="235">
      <c r="C235" s="14" t="inlineStr">
        <is>
          <t>Other equity account</t>
        </is>
      </c>
      <c r="D235" s="46" t="n"/>
      <c r="E235" s="46" t="n"/>
      <c r="F235" s="46" t="n"/>
      <c r="G235" s="46" t="n"/>
      <c r="H235" s="12" t="n"/>
      <c r="I235" s="46">
        <f>'Inputs (2)'!D46</f>
        <v>125.89858391</v>
      </c>
      <c r="J235" s="46">
        <f>'Inputs (2)'!E46</f>
        <v>125.89858391</v>
      </c>
      <c r="K235" s="46">
        <f>'Inputs (2)'!F46</f>
        <v>125.89858391</v>
      </c>
      <c r="L235" s="46">
        <f>'Inputs (2)'!G46</f>
        <v>143.39483164</v>
      </c>
      <c r="M235" s="12">
        <f>'Inputs (2)'!H46</f>
        <v>143.39483164</v>
      </c>
      <c r="N235" s="46">
        <f>'Inputs (2)'!I46</f>
        <v>156.22491938</v>
      </c>
      <c r="O235" s="46">
        <f>'Inputs (2)'!J46</f>
        <v>156.22491938</v>
      </c>
      <c r="P235" s="46">
        <f>'Inputs (2)'!K46</f>
        <v>156.22491938</v>
      </c>
      <c r="Q235" s="46">
        <f>'Inputs (2)'!L46</f>
        <v>193.782383397</v>
      </c>
      <c r="R235" s="12">
        <f>'Inputs (2)'!M46</f>
        <v>193.782383397</v>
      </c>
      <c r="S235" s="46">
        <f>'Inputs (2)'!N46</f>
        <v>356.23489755</v>
      </c>
      <c r="T235" s="46">
        <f>'Inputs (2)'!O46</f>
        <v>186.235</v>
      </c>
      <c r="U235" s="46">
        <f>'Inputs (2)'!P46</f>
        <v>93.705</v>
      </c>
      <c r="V235" s="46">
        <f>'Inputs (2)'!Q46</f>
        <v>207.423</v>
      </c>
      <c r="W235" s="12">
        <f>'Inputs (2)'!R46</f>
        <v>207.423</v>
      </c>
      <c r="X235" s="46">
        <f>'Inputs (2)'!S46</f>
        <v>0</v>
      </c>
      <c r="Y235" s="46">
        <f>'Inputs (2)'!T46</f>
        <v>0</v>
      </c>
      <c r="Z235" s="46">
        <f>'Inputs (2)'!U46</f>
        <v>-184.073</v>
      </c>
      <c r="AA235" s="46">
        <f>'Inputs (2)'!V46</f>
        <v>-300.502</v>
      </c>
      <c r="AB235" s="12">
        <f>'Inputs (2)'!W46</f>
        <v>-300.502</v>
      </c>
      <c r="AC235" s="46">
        <f>'Inputs (2)'!X46</f>
        <v>0</v>
      </c>
      <c r="AD235" s="46">
        <f>'Inputs (2)'!Y46</f>
        <v>0</v>
      </c>
      <c r="AE235" s="46">
        <f>'Inputs (2)'!Z46</f>
        <v>-169.009</v>
      </c>
      <c r="AF235" s="46">
        <f>'Inputs (2)'!AA46</f>
        <v>0</v>
      </c>
      <c r="AG235" s="12">
        <f>'Inputs (2)'!AB46</f>
        <v>0</v>
      </c>
      <c r="AH235" s="12">
        <f>'Inputs (2)'!AC46</f>
        <v>0</v>
      </c>
      <c r="AI235" s="12">
        <f>'Inputs (2)'!AD46</f>
        <v>0</v>
      </c>
      <c r="AJ235" s="12">
        <f>AI235</f>
        <v>0</v>
      </c>
      <c r="AK235" s="12">
        <f>AJ235</f>
        <v>0</v>
      </c>
      <c r="AL235" s="12">
        <f>AK235</f>
        <v>0</v>
      </c>
      <c r="AM235" s="12">
        <f>AL235</f>
        <v>0</v>
      </c>
      <c r="AN235" s="12">
        <f>AM235</f>
        <v>0</v>
      </c>
      <c r="AO235" s="12">
        <f>AN235</f>
        <v>0</v>
      </c>
      <c r="AP235" s="12">
        <f>AO235</f>
        <v>0</v>
      </c>
      <c r="AQ235" s="12">
        <f>AP235</f>
        <v>0</v>
      </c>
      <c r="AR235" s="12">
        <f>AQ235</f>
        <v>0</v>
      </c>
      <c r="AS235" s="12">
        <f>AR235</f>
        <v>0</v>
      </c>
      <c r="AT235" s="12">
        <f>AS235</f>
        <v>0</v>
      </c>
      <c r="AU235" s="12">
        <f>AT235</f>
        <v>0</v>
      </c>
      <c r="AV235" s="12">
        <f>AU235</f>
        <v>0</v>
      </c>
      <c r="AW235" s="12">
        <f>AV235</f>
        <v>0</v>
      </c>
      <c r="AX235" s="12">
        <f>AW235</f>
        <v>0</v>
      </c>
      <c r="AY235" s="12">
        <f>AX235</f>
        <v>0</v>
      </c>
      <c r="AZ235" s="12">
        <f>AY235</f>
        <v>0</v>
      </c>
      <c r="BA235" s="12">
        <f>AZ235</f>
        <v>0</v>
      </c>
      <c r="BB235" s="12">
        <f>BA235</f>
        <v>0</v>
      </c>
      <c r="BC235" s="12">
        <f>BB235</f>
        <v>0</v>
      </c>
      <c r="BD235" s="12">
        <f>BC235</f>
        <v>0</v>
      </c>
      <c r="BE235" s="12">
        <f>BD235</f>
        <v>0</v>
      </c>
      <c r="BF235" s="12">
        <f>BE235</f>
        <v>0</v>
      </c>
      <c r="BG235" s="12" t="n"/>
      <c r="BH235" s="12" t="n"/>
      <c r="BI235" s="12" t="n"/>
      <c r="BJ235" s="12" t="n"/>
      <c r="BK235" s="12" t="n"/>
      <c r="BL235" s="12" t="n"/>
      <c r="BM235" s="12" t="n"/>
      <c r="BN235" s="12" t="n"/>
      <c r="BO235" s="12" t="n"/>
      <c r="BP235" s="12" t="n"/>
      <c r="BQ235" s="12" t="n"/>
      <c r="BR235" s="12" t="n"/>
      <c r="BS235" s="12" t="n"/>
      <c r="BT235" s="12" t="n"/>
      <c r="BU235" s="12" t="n"/>
      <c r="BV235" s="12" t="n"/>
      <c r="BW235" s="12" t="n"/>
      <c r="BX235" s="12" t="n"/>
      <c r="BY235" s="12" t="n"/>
      <c r="BZ235" s="12" t="n"/>
      <c r="CA235" s="12" t="n"/>
      <c r="CB235" s="12" t="n"/>
      <c r="CC235" s="12" t="n"/>
      <c r="CD235" s="12" t="n"/>
      <c r="CE235" s="12" t="n"/>
      <c r="CF235" s="12" t="n"/>
      <c r="CG235" s="12" t="n"/>
      <c r="CH235" s="12" t="n"/>
      <c r="CI235" s="12" t="n"/>
      <c r="CJ235" s="12" t="n"/>
      <c r="CK235" s="12" t="n"/>
      <c r="CL235" s="12" t="n"/>
      <c r="CM235" s="12" t="n"/>
      <c r="CN235" s="12" t="n"/>
      <c r="CO235" s="12" t="n"/>
      <c r="CP235" s="12" t="n"/>
      <c r="CQ235" s="12" t="n"/>
      <c r="CR235" s="12" t="n"/>
      <c r="CS235" s="12" t="n"/>
      <c r="CT235" s="12" t="n"/>
      <c r="CU235" s="12" t="n"/>
      <c r="CV235" s="12" t="n"/>
      <c r="CW235" s="12" t="n"/>
      <c r="CX235" s="12" t="n"/>
      <c r="CY235" s="12" t="n"/>
    </row>
    <row r="236">
      <c r="C236" s="15" t="inlineStr">
        <is>
          <t>Retained earnings</t>
        </is>
      </c>
      <c r="D236" s="46" t="n"/>
      <c r="E236" s="46" t="n"/>
      <c r="F236" s="46" t="n"/>
      <c r="G236" s="46" t="n"/>
      <c r="H236" s="12" t="n"/>
      <c r="I236" s="46">
        <f>'Inputs (2)'!D47</f>
        <v>121.28632605</v>
      </c>
      <c r="J236" s="46">
        <f>'Inputs (2)'!E47</f>
        <v>186.82095282</v>
      </c>
      <c r="K236" s="46">
        <f>'Inputs (2)'!F47</f>
        <v>239.43139772</v>
      </c>
      <c r="L236" s="46">
        <f>'Inputs (2)'!G47</f>
        <v>251.99589812</v>
      </c>
      <c r="M236" s="12">
        <f>'Inputs (2)'!H47</f>
        <v>251.99589812</v>
      </c>
      <c r="N236" s="46">
        <f>'Inputs (2)'!I47</f>
        <v>135.27750577</v>
      </c>
      <c r="O236" s="46">
        <f>'Inputs (2)'!J47</f>
        <v>213.0565861</v>
      </c>
      <c r="P236" s="46">
        <f>'Inputs (2)'!K47</f>
        <v>301.79249417</v>
      </c>
      <c r="Q236" s="46">
        <f>'Inputs (2)'!L47</f>
        <v>187.291</v>
      </c>
      <c r="R236" s="12">
        <f>'Inputs (2)'!M47</f>
        <v>187.291</v>
      </c>
      <c r="S236" s="46">
        <f>'Inputs (2)'!N47</f>
        <v>118.68901586</v>
      </c>
      <c r="T236" s="46">
        <f>'Inputs (2)'!O47</f>
        <v>193.118</v>
      </c>
      <c r="U236" s="46">
        <f>'Inputs (2)'!P47</f>
        <v>367.316</v>
      </c>
      <c r="V236" s="46">
        <f>'Inputs (2)'!Q47</f>
        <v>190.126</v>
      </c>
      <c r="W236" s="12">
        <f>'Inputs (2)'!R47</f>
        <v>190.126</v>
      </c>
      <c r="X236" s="46">
        <f>'Inputs (2)'!S47</f>
        <v>484.972</v>
      </c>
      <c r="Y236" s="46">
        <f>'Inputs (2)'!T47</f>
        <v>658.558</v>
      </c>
      <c r="Z236" s="46">
        <f>'Inputs (2)'!U47</f>
        <v>849.263</v>
      </c>
      <c r="AA236" s="46">
        <f>'Inputs (2)'!V47</f>
        <v>933.186</v>
      </c>
      <c r="AB236" s="12">
        <f>'Inputs (2)'!W47</f>
        <v>933.186</v>
      </c>
      <c r="AC236" s="46">
        <f>'Inputs (2)'!X47</f>
        <v>557.914</v>
      </c>
      <c r="AD236" s="46">
        <f>'Inputs (2)'!Y47</f>
        <v>710.213</v>
      </c>
      <c r="AE236" s="46">
        <f>'Inputs (2)'!Z47</f>
        <v>895.13</v>
      </c>
      <c r="AF236" s="46">
        <f>'Inputs (2)'!AA47</f>
        <v>332.45</v>
      </c>
      <c r="AG236" s="12">
        <f>'Inputs (2)'!AB47</f>
        <v>332.45</v>
      </c>
      <c r="AH236" s="12">
        <f>'Inputs (2)'!AC47</f>
        <v>533.662</v>
      </c>
      <c r="AI236" s="12">
        <f>'Inputs (2)'!AD47</f>
        <v>755.511</v>
      </c>
      <c r="AJ236" s="12">
        <f>AI236+AJ103+AJ104</f>
        <v>1131.4883089366</v>
      </c>
      <c r="AK236" s="12">
        <f>AJ236+AK103+AK104</f>
        <v>1485.09143568469</v>
      </c>
      <c r="AL236" s="12">
        <f>AK236</f>
        <v>1485.09143568469</v>
      </c>
      <c r="AM236" s="12">
        <f>AL236+AM103+AM104</f>
        <v>1866.58381182691</v>
      </c>
      <c r="AN236" s="12">
        <f>AM236+AN103+AN104</f>
        <v>2264.12716413549</v>
      </c>
      <c r="AO236" s="12">
        <f>AN236+AO103+AO104</f>
        <v>2675.5503768697</v>
      </c>
      <c r="AP236" s="12">
        <f>AO236+AP103+AP104</f>
        <v>3062.49004312517</v>
      </c>
      <c r="AQ236" s="12">
        <f>AP236</f>
        <v>3062.49004312517</v>
      </c>
      <c r="AR236" s="12">
        <f>AQ236+AR103+AR104</f>
        <v>3478.04080357699</v>
      </c>
      <c r="AS236" s="12">
        <f>AR236+AS103+AS104</f>
        <v>3911.07551854284</v>
      </c>
      <c r="AT236" s="12">
        <f>AS236+AT103+AT104</f>
        <v>4359.22924221121</v>
      </c>
      <c r="AU236" s="12">
        <f>AT236+AU103+AU104</f>
        <v>4780.71360891711</v>
      </c>
      <c r="AV236" s="12">
        <f>AU236</f>
        <v>4780.71360891711</v>
      </c>
      <c r="AW236" s="12">
        <f>AV236+AW103+AW104</f>
        <v>5231.28562038227</v>
      </c>
      <c r="AX236" s="12">
        <f>AW236+AX103+AX104</f>
        <v>5700.81507652924</v>
      </c>
      <c r="AY236" s="12">
        <f>AX236+AY103+AY104</f>
        <v>6186.73772169372</v>
      </c>
      <c r="AZ236" s="12">
        <f>AY236+AZ103+AZ104</f>
        <v>6643.74340422768</v>
      </c>
      <c r="BA236" s="12">
        <f>AZ236</f>
        <v>6643.74340422768</v>
      </c>
      <c r="BB236" s="12">
        <f>BA236+BB103+BB104</f>
        <v>7130.03528247145</v>
      </c>
      <c r="BC236" s="12">
        <f>BB236+BC103+BC104</f>
        <v>7636.78748924527</v>
      </c>
      <c r="BD236" s="12">
        <f>BC236+BD103+BD104</f>
        <v>8161.23248313164</v>
      </c>
      <c r="BE236" s="12">
        <f>BD236+BE103+BE104</f>
        <v>8654.46807272109</v>
      </c>
      <c r="BF236" s="12">
        <f>BE236</f>
        <v>8654.46807272109</v>
      </c>
      <c r="BG236" s="12" t="n"/>
      <c r="BH236" s="12" t="n"/>
      <c r="BI236" s="12" t="n"/>
      <c r="BJ236" s="12" t="n"/>
      <c r="BK236" s="12" t="n"/>
      <c r="BL236" s="12" t="n"/>
      <c r="BM236" s="12" t="n"/>
      <c r="BN236" s="12" t="n"/>
      <c r="BO236" s="12" t="n"/>
      <c r="BP236" s="12" t="n"/>
      <c r="BQ236" s="12" t="n"/>
      <c r="BR236" s="12" t="n"/>
      <c r="BS236" s="12" t="n"/>
      <c r="BT236" s="12" t="n"/>
      <c r="BU236" s="12" t="n"/>
      <c r="BV236" s="12" t="n"/>
      <c r="BW236" s="12" t="n"/>
      <c r="BX236" s="12" t="n"/>
      <c r="BY236" s="12" t="n"/>
      <c r="BZ236" s="12" t="n"/>
      <c r="CA236" s="12" t="n"/>
      <c r="CB236" s="12" t="n"/>
      <c r="CC236" s="12" t="n"/>
      <c r="CD236" s="12" t="n"/>
      <c r="CE236" s="12" t="n"/>
      <c r="CF236" s="12" t="n"/>
      <c r="CG236" s="12" t="n"/>
      <c r="CH236" s="12" t="n"/>
      <c r="CI236" s="12" t="n"/>
      <c r="CJ236" s="12" t="n"/>
      <c r="CK236" s="12" t="n"/>
      <c r="CL236" s="12" t="n"/>
      <c r="CM236" s="12" t="n"/>
      <c r="CN236" s="12" t="n"/>
      <c r="CO236" s="12" t="n"/>
      <c r="CP236" s="12" t="n"/>
      <c r="CQ236" s="12" t="n"/>
      <c r="CR236" s="12" t="n"/>
      <c r="CS236" s="12" t="n"/>
      <c r="CT236" s="12" t="n"/>
      <c r="CU236" s="12" t="n"/>
      <c r="CV236" s="12" t="n"/>
      <c r="CW236" s="12" t="n"/>
      <c r="CX236" s="12" t="n"/>
      <c r="CY236" s="12" t="n"/>
    </row>
    <row r="237" customFormat="1" s="32">
      <c r="A237" s="30" t="inlineStr">
        <is>
          <t xml:space="preserve"> </t>
        </is>
      </c>
      <c r="B237" s="30" t="n"/>
      <c r="C237" s="65" t="inlineStr">
        <is>
          <t>Total Shareholders' Equity</t>
        </is>
      </c>
      <c r="D237" s="35" t="n"/>
      <c r="E237" s="35" t="n"/>
      <c r="F237" s="35" t="n"/>
      <c r="G237" s="35" t="n"/>
      <c r="H237" s="35" t="n"/>
      <c r="I237" s="35">
        <f>SUM(I214+I219+I220+I233+I234+I235+I236)</f>
        <v>1692.87845104</v>
      </c>
      <c r="J237" s="35">
        <f>SUM(J214+J219+J220+J233+J234+J235+J236)</f>
        <v>1758.33725252</v>
      </c>
      <c r="K237" s="35">
        <f>SUM(K214+K219+K220+K233+K234+K235+K236)</f>
        <v>1817.79495046</v>
      </c>
      <c r="L237" s="35">
        <f>SUM(L214+L219+L220+L233+L234+L235+L236)</f>
        <v>1854.481156095</v>
      </c>
      <c r="M237" s="35">
        <f>SUM(M214,M219,M220,M233,M234,M235,M236)</f>
        <v>1854.481156095</v>
      </c>
      <c r="N237" s="35">
        <f>SUM(N214+N219+N220+N233+N234+N235+N236)</f>
        <v>1753.710726297</v>
      </c>
      <c r="O237" s="35">
        <f>SUM(O214+O219+O220+O233+O234+O235+O236)</f>
        <v>1828.7558225</v>
      </c>
      <c r="P237" s="35">
        <f>SUM(P214+P219+P220+P233+P234+P235+P236)</f>
        <v>1931.49111126</v>
      </c>
      <c r="Q237" s="35">
        <f>SUM(Q214+Q219+Q220+Q233+Q234+Q235+Q236)</f>
        <v>2701.085041487</v>
      </c>
      <c r="R237" s="35">
        <f>SUM(R214,R219,R220,R233,R234,R235,R236)</f>
        <v>2701.085041487</v>
      </c>
      <c r="S237" s="35">
        <f>SUM(S214+S219+S220+S233+S234+S235+S236)</f>
        <v>2807.98403782</v>
      </c>
      <c r="T237" s="35">
        <f>SUM(T214+T219+T220+T233+T234+T235+T236)</f>
        <v>5108.584</v>
      </c>
      <c r="U237" s="35">
        <f>SUM(U214+U219+U220+U233+U234+U235+U236)</f>
        <v>5191.945</v>
      </c>
      <c r="V237" s="35">
        <f>SUM(V214+V219+V220+V233+V234+V235+V236)</f>
        <v>5111.07</v>
      </c>
      <c r="W237" s="35">
        <f>SUM(W214,W219,W220,W233,W234,W235,W236)</f>
        <v>5111.07</v>
      </c>
      <c r="X237" s="35">
        <f>SUM(X214+X219+X220+X233+X234+X235+X236)</f>
        <v>5212.725955374</v>
      </c>
      <c r="Y237" s="35">
        <f>SUM(Y214+Y219+Y220+Y233+Y234+Y235+Y236)</f>
        <v>5431.045275708</v>
      </c>
      <c r="Z237" s="35">
        <f>SUM(Z214+Z219+Z220+Z233+Z234+Z235+Z236)</f>
        <v>5427.855</v>
      </c>
      <c r="AA237" s="35">
        <f>SUM(AA214+AA219+AA220+AA233+AA234+AA235+AA236)</f>
        <v>5374.831</v>
      </c>
      <c r="AB237" s="35">
        <f>SUM(AB214,AB219,AB220,AB233,AB234,AB235,AB236)</f>
        <v>5374.831</v>
      </c>
      <c r="AC237" s="35">
        <f>SUM(AC214+AC219+AC220+AC233+AC234+AC235+AC236)</f>
        <v>5320.223028</v>
      </c>
      <c r="AD237" s="35">
        <f>SUM(AD214+AD219+AD220+AD233+AD234+AD235+AD236)</f>
        <v>5470.52</v>
      </c>
      <c r="AE237" s="35">
        <f>SUM(AE214+AE219+AE220+AE233+AE234+AE235+AE236)</f>
        <v>5482.672</v>
      </c>
      <c r="AF237" s="35">
        <f>SUM(AF214+AF219+AF220+AF233+AF234+AF235+AF236)</f>
        <v>5096.268</v>
      </c>
      <c r="AG237" s="35">
        <f>SUM(AG214,AG219,AG220,AG233,AG234,AG235,AG236)</f>
        <v>5096.268</v>
      </c>
      <c r="AH237" s="35">
        <f>SUM(AH214+AH219+AH220+AH233+AH234+AH235+AH236)</f>
        <v>5277.634</v>
      </c>
      <c r="AI237" s="35">
        <f>SUM(AI214+AI219+AI220+AI233+AI234+AI235+AI236)</f>
        <v>5518.372</v>
      </c>
      <c r="AJ237" s="35">
        <f>SUM(AJ214+AJ219+AJ220+AJ233+AJ234+AJ235+AJ236)</f>
        <v>5894.3493089366</v>
      </c>
      <c r="AK237" s="35">
        <f>SUM(AK214+AK219+AK220+AK233+AK234+AK235+AK236)</f>
        <v>6247.95243568469</v>
      </c>
      <c r="AL237" s="35">
        <f>SUM(AL214,AL219,AL220,AL233,AL234,AL235,AL236)</f>
        <v>6247.95243568469</v>
      </c>
      <c r="AM237" s="35">
        <f>SUM(AM214+AM219+AM220+AM233+AM234+AM235+AM236)</f>
        <v>6629.44481182691</v>
      </c>
      <c r="AN237" s="35">
        <f>SUM(AN214+AN219+AN220+AN233+AN234+AN235+AN236)</f>
        <v>7026.98816413549</v>
      </c>
      <c r="AO237" s="35">
        <f>SUM(AO214+AO219+AO220+AO233+AO234+AO235+AO236)</f>
        <v>7438.4113768697</v>
      </c>
      <c r="AP237" s="35">
        <f>SUM(AP214+AP219+AP220+AP233+AP234+AP235+AP236)</f>
        <v>7825.35104312517</v>
      </c>
      <c r="AQ237" s="35">
        <f>SUM(AQ214,AQ219,AQ220,AQ233,AQ234,AQ235,AQ236)</f>
        <v>7825.35104312517</v>
      </c>
      <c r="AR237" s="35">
        <f>SUM(AR214+AR219+AR220+AR233+AR234+AR235+AR236)</f>
        <v>8240.90180357699</v>
      </c>
      <c r="AS237" s="35">
        <f>SUM(AS214+AS219+AS220+AS233+AS234+AS235+AS236)</f>
        <v>8673.93651854284</v>
      </c>
      <c r="AT237" s="35">
        <f>SUM(AT214+AT219+AT220+AT233+AT234+AT235+AT236)</f>
        <v>9122.09024221121</v>
      </c>
      <c r="AU237" s="35">
        <f>SUM(AU214+AU219+AU220+AU233+AU234+AU235+AU236)</f>
        <v>9543.57460891711</v>
      </c>
      <c r="AV237" s="35">
        <f>SUM(AV214,AV219,AV220,AV233,AV234,AV235,AV236)</f>
        <v>9543.57460891711</v>
      </c>
      <c r="AW237" s="35">
        <f>SUM(AW214+AW219+AW220+AW233+AW234+AW235+AW236)</f>
        <v>9994.14662038227</v>
      </c>
      <c r="AX237" s="35">
        <f>SUM(AX214+AX219+AX220+AX233+AX234+AX235+AX236)</f>
        <v>10463.6760765292</v>
      </c>
      <c r="AY237" s="35">
        <f>SUM(AY214+AY219+AY220+AY233+AY234+AY235+AY236)</f>
        <v>10949.5987216937</v>
      </c>
      <c r="AZ237" s="35">
        <f>SUM(AZ214+AZ219+AZ220+AZ233+AZ234+AZ235+AZ236)</f>
        <v>11406.6044042277</v>
      </c>
      <c r="BA237" s="35">
        <f>SUM(BA214,BA219,BA220,BA233,BA234,BA235,BA236)</f>
        <v>11406.6044042277</v>
      </c>
      <c r="BB237" s="35">
        <f>SUM(BB214+BB219+BB220+BB233+BB234+BB235+BB236)</f>
        <v>11892.8962824715</v>
      </c>
      <c r="BC237" s="35">
        <f>SUM(BC214+BC219+BC220+BC233+BC234+BC235+BC236)</f>
        <v>12399.6484892453</v>
      </c>
      <c r="BD237" s="35">
        <f>SUM(BD214+BD219+BD220+BD233+BD234+BD235+BD236)</f>
        <v>12924.0934831316</v>
      </c>
      <c r="BE237" s="35">
        <f>SUM(BE214+BE219+BE220+BE233+BE234+BE235+BE236)</f>
        <v>13417.3290727211</v>
      </c>
      <c r="BF237" s="35">
        <f>SUM(BF214,BF219,BF220,BF233,BF234,BF235,BF236)</f>
        <v>13417.3290727211</v>
      </c>
      <c r="BG237" s="35" t="n"/>
      <c r="BH237" s="35" t="n"/>
      <c r="BI237" s="35" t="n"/>
      <c r="BJ237" s="35" t="n"/>
      <c r="BK237" s="35" t="n"/>
      <c r="BL237" s="35" t="n"/>
      <c r="BM237" s="35" t="n"/>
      <c r="BN237" s="35" t="n"/>
      <c r="BO237" s="35" t="n"/>
      <c r="BP237" s="35" t="n"/>
      <c r="BQ237" s="35" t="n"/>
      <c r="BR237" s="35" t="n"/>
      <c r="BS237" s="35" t="n"/>
      <c r="BT237" s="35" t="n"/>
      <c r="BU237" s="35" t="n"/>
      <c r="BV237" s="35" t="n"/>
      <c r="BW237" s="35" t="n"/>
      <c r="BX237" s="35" t="n"/>
      <c r="BY237" s="35" t="n"/>
      <c r="BZ237" s="35" t="n"/>
      <c r="CA237" s="35" t="n"/>
      <c r="CB237" s="35" t="n"/>
      <c r="CC237" s="35" t="n"/>
      <c r="CD237" s="35" t="n"/>
      <c r="CE237" s="35" t="n"/>
      <c r="CF237" s="35" t="n"/>
      <c r="CG237" s="35" t="n"/>
      <c r="CH237" s="35" t="n"/>
      <c r="CI237" s="35" t="n"/>
      <c r="CJ237" s="35" t="n"/>
      <c r="CK237" s="35" t="n"/>
      <c r="CL237" s="35" t="n"/>
      <c r="CM237" s="35" t="n"/>
      <c r="CN237" s="35" t="n"/>
      <c r="CO237" s="35" t="n"/>
      <c r="CP237" s="35" t="n"/>
      <c r="CQ237" s="35" t="n"/>
      <c r="CR237" s="35" t="n"/>
      <c r="CS237" s="35" t="n"/>
      <c r="CT237" s="35" t="n"/>
      <c r="CU237" s="35" t="n"/>
      <c r="CV237" s="35" t="n"/>
      <c r="CW237" s="35" t="n"/>
      <c r="CX237" s="35" t="n"/>
      <c r="CY237" s="35" t="n"/>
    </row>
    <row r="238">
      <c r="C238" s="10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  <c r="Z238" s="12" t="n"/>
      <c r="AA238" s="12" t="n"/>
      <c r="AB238" s="12" t="n"/>
      <c r="AC238" s="12" t="n"/>
      <c r="AD238" s="12" t="n"/>
      <c r="AE238" s="12" t="n"/>
      <c r="AF238" s="12" t="n"/>
      <c r="AG238" s="12" t="n"/>
      <c r="AH238" s="12" t="n"/>
      <c r="AI238" s="12" t="n"/>
      <c r="AJ238" s="12" t="n"/>
      <c r="AK238" s="12" t="n"/>
      <c r="AL238" s="12" t="n"/>
      <c r="AM238" s="12" t="n"/>
      <c r="AN238" s="12" t="n"/>
      <c r="AO238" s="12" t="n"/>
      <c r="AP238" s="12" t="n"/>
      <c r="AQ238" s="12" t="n"/>
      <c r="AR238" s="12" t="n"/>
      <c r="AS238" s="12" t="n"/>
      <c r="AT238" s="12" t="n"/>
      <c r="AU238" s="12" t="n"/>
      <c r="AV238" s="12" t="n"/>
      <c r="AW238" s="12" t="n"/>
      <c r="AX238" s="12" t="n"/>
      <c r="AY238" s="12" t="n"/>
      <c r="AZ238" s="12" t="n"/>
      <c r="BA238" s="12" t="n"/>
      <c r="BB238" s="12" t="n"/>
      <c r="BC238" s="12" t="n"/>
      <c r="BD238" s="12" t="n"/>
      <c r="BE238" s="12" t="n"/>
      <c r="BF238" s="12" t="n"/>
      <c r="BG238" s="12" t="n"/>
      <c r="BH238" s="12" t="n"/>
      <c r="BI238" s="12" t="n"/>
      <c r="BJ238" s="12" t="n"/>
      <c r="BK238" s="12" t="n"/>
      <c r="BL238" s="12" t="n"/>
      <c r="BM238" s="12" t="n"/>
      <c r="BN238" s="12" t="n"/>
      <c r="BO238" s="12" t="n"/>
      <c r="BP238" s="12" t="n"/>
      <c r="BQ238" s="12" t="n"/>
      <c r="BR238" s="12" t="n"/>
      <c r="BS238" s="12" t="n"/>
      <c r="BT238" s="12" t="n"/>
      <c r="BU238" s="12" t="n"/>
      <c r="BV238" s="12" t="n"/>
      <c r="BW238" s="12" t="n"/>
      <c r="BX238" s="12" t="n"/>
      <c r="BY238" s="12" t="n"/>
      <c r="BZ238" s="12" t="n"/>
      <c r="CA238" s="12" t="n"/>
      <c r="CB238" s="12" t="n"/>
      <c r="CC238" s="12" t="n"/>
      <c r="CD238" s="12" t="n"/>
      <c r="CE238" s="12" t="n"/>
      <c r="CF238" s="12" t="n"/>
      <c r="CG238" s="12" t="n"/>
      <c r="CH238" s="12" t="n"/>
      <c r="CI238" s="12" t="n"/>
      <c r="CJ238" s="12" t="n"/>
      <c r="CK238" s="12" t="n"/>
      <c r="CL238" s="12" t="n"/>
      <c r="CM238" s="12" t="n"/>
      <c r="CN238" s="12" t="n"/>
      <c r="CO238" s="12" t="n"/>
      <c r="CP238" s="12" t="n"/>
      <c r="CQ238" s="12" t="n"/>
      <c r="CR238" s="12" t="n"/>
      <c r="CS238" s="12" t="n"/>
      <c r="CT238" s="12" t="n"/>
      <c r="CU238" s="12" t="n"/>
      <c r="CV238" s="12" t="n"/>
      <c r="CW238" s="12" t="n"/>
      <c r="CX238" s="12" t="n"/>
      <c r="CY238" s="12" t="n"/>
    </row>
    <row r="239" customFormat="1" s="32">
      <c r="A239" s="30" t="n"/>
      <c r="B239" s="3" t="n"/>
      <c r="C239" s="33" t="inlineStr">
        <is>
          <t>Total Liabilities + Shareholders' Equity</t>
        </is>
      </c>
      <c r="D239" s="35" t="n"/>
      <c r="E239" s="35" t="n"/>
      <c r="F239" s="35" t="n"/>
      <c r="G239" s="35" t="n"/>
      <c r="H239" s="35" t="n"/>
      <c r="I239" s="35">
        <f>I237+I213</f>
        <v>5573.5394535</v>
      </c>
      <c r="J239" s="35">
        <f>J237+J213</f>
        <v>5405.80583362</v>
      </c>
      <c r="K239" s="35">
        <f>K237+K213</f>
        <v>6285.68944722</v>
      </c>
      <c r="L239" s="35">
        <f>L237+L213</f>
        <v>6073.768723485</v>
      </c>
      <c r="M239" s="35">
        <f>M237+M213</f>
        <v>6073.768723485</v>
      </c>
      <c r="N239" s="35">
        <f>N237+N213</f>
        <v>5995.987029997</v>
      </c>
      <c r="O239" s="35">
        <f>O237+O213</f>
        <v>6839.71485355</v>
      </c>
      <c r="P239" s="35">
        <f>P237+P213</f>
        <v>7036.07210587</v>
      </c>
      <c r="Q239" s="35">
        <f>Q237+Q213</f>
        <v>7791.770526647</v>
      </c>
      <c r="R239" s="35">
        <f>R237+R213</f>
        <v>7791.770526647</v>
      </c>
      <c r="S239" s="35">
        <f>S237+S213</f>
        <v>7863.87906251</v>
      </c>
      <c r="T239" s="35">
        <f>T237+T213</f>
        <v>11509.984</v>
      </c>
      <c r="U239" s="35">
        <f>U237+U213</f>
        <v>11533.043</v>
      </c>
      <c r="V239" s="35">
        <f>V237+V213</f>
        <v>11579.968</v>
      </c>
      <c r="W239" s="35">
        <f>W237+W213</f>
        <v>11579.968</v>
      </c>
      <c r="X239" s="35">
        <f>X237+X213</f>
        <v>11686.092536644</v>
      </c>
      <c r="Y239" s="35">
        <f>Y237+Y213</f>
        <v>12802.394275708</v>
      </c>
      <c r="Z239" s="35">
        <f>Z237+Z213</f>
        <v>13031.228</v>
      </c>
      <c r="AA239" s="35">
        <f>AA237+AA213</f>
        <v>13062.41</v>
      </c>
      <c r="AB239" s="35">
        <f>AB237+AB213</f>
        <v>13062.41</v>
      </c>
      <c r="AC239" s="35">
        <f>AC237+AC213</f>
        <v>13270.72696719</v>
      </c>
      <c r="AD239" s="35">
        <f>AD237+AD213</f>
        <v>13072.446</v>
      </c>
      <c r="AE239" s="35">
        <f>AE237+AE213</f>
        <v>13584.226</v>
      </c>
      <c r="AF239" s="35">
        <f>AF237+AF213</f>
        <v>13220.481</v>
      </c>
      <c r="AG239" s="35">
        <f>AG237+AG213</f>
        <v>13220.481</v>
      </c>
      <c r="AH239" s="35">
        <f>AH237+AH213</f>
        <v>13325.654</v>
      </c>
      <c r="AI239" s="35">
        <f>AI237+AI213</f>
        <v>13558.475</v>
      </c>
      <c r="AJ239" s="35">
        <f>AJ237+AJ213</f>
        <v>13959.467666937</v>
      </c>
      <c r="AK239" s="35">
        <f>AK237+AK213</f>
        <v>14318.0106946637</v>
      </c>
      <c r="AL239" s="35">
        <f>AL237+AL213</f>
        <v>14318.0106946637</v>
      </c>
      <c r="AM239" s="35">
        <f>AM237+AM213</f>
        <v>14837.1069938573</v>
      </c>
      <c r="AN239" s="35">
        <f>AN237+AN213</f>
        <v>15324.7151722806</v>
      </c>
      <c r="AO239" s="35">
        <f>AO237+AO213</f>
        <v>15826.9675225024</v>
      </c>
      <c r="AP239" s="35">
        <f>AP237+AP213</f>
        <v>16237.497180958</v>
      </c>
      <c r="AQ239" s="35">
        <f>AQ237+AQ213</f>
        <v>16237.497180958</v>
      </c>
      <c r="AR239" s="35">
        <f>AR237+AR213</f>
        <v>16804.6901433052</v>
      </c>
      <c r="AS239" s="35">
        <f>AS237+AS213</f>
        <v>17362.7930107863</v>
      </c>
      <c r="AT239" s="35">
        <f>AT237+AT213</f>
        <v>17927.8587424751</v>
      </c>
      <c r="AU239" s="35">
        <f>AU237+AU213</f>
        <v>18394.2355868596</v>
      </c>
      <c r="AV239" s="35">
        <f>AV237+AV213</f>
        <v>18394.2355868596</v>
      </c>
      <c r="AW239" s="35">
        <f>AW237+AW213</f>
        <v>19035.4928137988</v>
      </c>
      <c r="AX239" s="35">
        <f>AX237+AX213</f>
        <v>19650.3147865032</v>
      </c>
      <c r="AY239" s="35">
        <f>AY237+AY213</f>
        <v>20284.9553080486</v>
      </c>
      <c r="AZ239" s="35">
        <f>AZ237+AZ213</f>
        <v>20813.9280865432</v>
      </c>
      <c r="BA239" s="35">
        <f>BA237+BA213</f>
        <v>20813.9280865432</v>
      </c>
      <c r="BB239" s="35">
        <f>BB237+BB213</f>
        <v>21524.8002502921</v>
      </c>
      <c r="BC239" s="35">
        <f>BC237+BC213</f>
        <v>22213.0008847847</v>
      </c>
      <c r="BD239" s="35">
        <f>BD237+BD213</f>
        <v>22923.9257070051</v>
      </c>
      <c r="BE239" s="35">
        <f>BE237+BE213</f>
        <v>23522.193936754</v>
      </c>
      <c r="BF239" s="35">
        <f>BF237+BF213</f>
        <v>23522.193936754</v>
      </c>
      <c r="BG239" s="35" t="n"/>
      <c r="BH239" s="35" t="n"/>
      <c r="BI239" s="35" t="n"/>
      <c r="BJ239" s="35" t="n"/>
      <c r="BK239" s="35" t="n"/>
      <c r="BL239" s="35" t="n"/>
      <c r="BM239" s="35" t="n"/>
      <c r="BN239" s="35" t="n"/>
      <c r="BO239" s="35" t="n"/>
      <c r="BP239" s="35" t="n"/>
      <c r="BQ239" s="35" t="n"/>
      <c r="BR239" s="35" t="n"/>
      <c r="BS239" s="35" t="n"/>
      <c r="BT239" s="35" t="n"/>
      <c r="BU239" s="35" t="n"/>
      <c r="BV239" s="35" t="n"/>
      <c r="BW239" s="35" t="n"/>
      <c r="BX239" s="35" t="n"/>
      <c r="BY239" s="35" t="n"/>
      <c r="BZ239" s="35" t="n"/>
      <c r="CA239" s="35" t="n"/>
      <c r="CB239" s="35" t="n"/>
      <c r="CC239" s="35" t="n"/>
      <c r="CD239" s="35" t="n"/>
      <c r="CE239" s="35" t="n"/>
      <c r="CF239" s="35" t="n"/>
      <c r="CG239" s="35" t="n"/>
      <c r="CH239" s="35" t="n"/>
      <c r="CI239" s="35" t="n"/>
      <c r="CJ239" s="35" t="n"/>
      <c r="CK239" s="35" t="n"/>
      <c r="CL239" s="35" t="n"/>
      <c r="CM239" s="35" t="n"/>
      <c r="CN239" s="35" t="n"/>
      <c r="CO239" s="35" t="n"/>
      <c r="CP239" s="35" t="n"/>
      <c r="CQ239" s="35" t="n"/>
      <c r="CR239" s="35" t="n"/>
      <c r="CS239" s="35" t="n"/>
      <c r="CT239" s="35" t="n"/>
      <c r="CU239" s="35" t="n"/>
      <c r="CV239" s="35" t="n"/>
      <c r="CW239" s="35" t="n"/>
      <c r="CX239" s="35" t="n"/>
      <c r="CY239" s="35" t="n"/>
    </row>
    <row r="240">
      <c r="C240" s="18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  <c r="AA240" s="3" t="n"/>
      <c r="AB240" s="3" t="n"/>
      <c r="AC240" s="3" t="n"/>
      <c r="AD240" s="3" t="n"/>
      <c r="AE240" s="3" t="n"/>
      <c r="AF240" s="3" t="n"/>
      <c r="AG240" s="3" t="n"/>
      <c r="AH240" s="3" t="n"/>
      <c r="AI240" s="3" t="n"/>
      <c r="AJ240" s="3" t="n"/>
      <c r="AK240" s="3" t="n"/>
      <c r="AL240" s="3" t="n"/>
      <c r="AM240" s="3" t="n"/>
      <c r="AN240" s="3" t="n"/>
      <c r="AO240" s="3" t="n"/>
      <c r="AP240" s="3" t="n"/>
      <c r="AQ240" s="3" t="n"/>
      <c r="AR240" s="3" t="n"/>
      <c r="AS240" s="3" t="n"/>
      <c r="AT240" s="3" t="n"/>
      <c r="AU240" s="3" t="n"/>
      <c r="AV240" s="3" t="n"/>
      <c r="AW240" s="3" t="n"/>
      <c r="AX240" s="3" t="n"/>
      <c r="AY240" s="3" t="n"/>
      <c r="AZ240" s="3" t="n"/>
      <c r="BA240" s="3" t="n"/>
      <c r="BB240" s="3" t="n"/>
      <c r="BC240" s="3" t="n"/>
      <c r="BD240" s="3" t="n"/>
      <c r="BE240" s="3" t="n"/>
      <c r="BF240" s="3" t="n"/>
      <c r="BG240" s="3" t="n"/>
      <c r="BH240" s="3" t="n"/>
      <c r="BI240" s="3" t="n"/>
      <c r="BJ240" s="3" t="n"/>
      <c r="BK240" s="3" t="n"/>
      <c r="BL240" s="3" t="n"/>
      <c r="BM240" s="3" t="n"/>
      <c r="BN240" s="3" t="n"/>
      <c r="BO240" s="3" t="n"/>
      <c r="BP240" s="3" t="n"/>
      <c r="BQ240" s="3" t="n"/>
      <c r="BR240" s="3" t="n"/>
      <c r="BS240" s="3" t="n"/>
      <c r="BT240" s="3" t="n"/>
      <c r="BU240" s="3" t="n"/>
      <c r="BV240" s="3" t="n"/>
      <c r="BW240" s="3" t="n"/>
      <c r="BX240" s="3" t="n"/>
      <c r="BY240" s="3" t="n"/>
      <c r="BZ240" s="3" t="n"/>
      <c r="CA240" s="3" t="n"/>
      <c r="CB240" s="3" t="n"/>
      <c r="CC240" s="3" t="n"/>
      <c r="CD240" s="3" t="n"/>
      <c r="CE240" s="3" t="n"/>
      <c r="CF240" s="3" t="n"/>
      <c r="CG240" s="3" t="n"/>
      <c r="CH240" s="3" t="n"/>
      <c r="CI240" s="3" t="n"/>
      <c r="CJ240" s="3" t="n"/>
      <c r="CK240" s="3" t="n"/>
      <c r="CL240" s="3" t="n"/>
      <c r="CM240" s="3" t="n"/>
      <c r="CN240" s="3" t="n"/>
      <c r="CO240" s="3" t="n"/>
      <c r="CP240" s="3" t="n"/>
      <c r="CQ240" s="3" t="n"/>
      <c r="CR240" s="3" t="n"/>
      <c r="CS240" s="3" t="n"/>
      <c r="CT240" s="3" t="n"/>
      <c r="CU240" s="3" t="n"/>
      <c r="CV240" s="3" t="n"/>
      <c r="CW240" s="3" t="n"/>
      <c r="CX240" s="3" t="n"/>
      <c r="CY240" s="3" t="n"/>
    </row>
    <row r="241" customFormat="1" s="32">
      <c r="A241" s="30" t="n"/>
      <c r="B241" s="30" t="n"/>
      <c r="C241" s="31" t="inlineStr">
        <is>
          <t>Cash Flow Statement</t>
        </is>
      </c>
      <c r="D241" s="70" t="n"/>
      <c r="E241" s="70" t="n"/>
      <c r="F241" s="70" t="n"/>
      <c r="G241" s="70" t="n"/>
      <c r="H241" s="70" t="n"/>
      <c r="I241" s="70" t="str">
        <f>I108</f>
        <v>1Q21</v>
      </c>
      <c r="J241" s="70" t="str">
        <f>J108</f>
        <v>2Q21</v>
      </c>
      <c r="K241" s="70" t="str">
        <f>K108</f>
        <v>3Q21</v>
      </c>
      <c r="L241" s="70" t="str">
        <f>L108</f>
        <v>4Q21</v>
      </c>
      <c r="M241" s="70">
        <f>M108</f>
        <v>2021</v>
      </c>
      <c r="N241" s="70" t="str">
        <f>N108</f>
        <v>1Q22</v>
      </c>
      <c r="O241" s="70" t="str">
        <f>O108</f>
        <v>2Q22</v>
      </c>
      <c r="P241" s="70" t="str">
        <f>P108</f>
        <v>3Q22</v>
      </c>
      <c r="Q241" s="70" t="str">
        <f>Q108</f>
        <v>4Q22</v>
      </c>
      <c r="R241" s="70">
        <f>R108</f>
        <v>2022</v>
      </c>
      <c r="S241" s="70" t="str">
        <f>S108</f>
        <v>1Q23</v>
      </c>
      <c r="T241" s="70" t="str">
        <f>T108</f>
        <v>2Q23</v>
      </c>
      <c r="U241" s="70" t="str">
        <f>U108</f>
        <v>3Q23</v>
      </c>
      <c r="V241" s="70" t="str">
        <f>V108</f>
        <v>4Q23</v>
      </c>
      <c r="W241" s="70">
        <f>W108</f>
        <v>2023</v>
      </c>
      <c r="X241" s="70" t="str">
        <f>X108</f>
        <v>1Q24</v>
      </c>
      <c r="Y241" s="70" t="str">
        <f>Y108</f>
        <v>2Q24</v>
      </c>
      <c r="Z241" s="70" t="str">
        <f>Z108</f>
        <v>3Q24</v>
      </c>
      <c r="AA241" s="70" t="str">
        <f>AA108</f>
        <v>4Q24</v>
      </c>
      <c r="AB241" s="70">
        <f>AB108</f>
        <v>2024</v>
      </c>
      <c r="AC241" s="70" t="str">
        <f>AC108</f>
        <v>1Q25</v>
      </c>
      <c r="AD241" s="70" t="str">
        <f>AD108</f>
        <v>2Q25</v>
      </c>
      <c r="AE241" s="70" t="str">
        <f>AE108</f>
        <v>3Q25</v>
      </c>
      <c r="AF241" s="70" t="str">
        <f>AF108</f>
        <v>4Q25</v>
      </c>
      <c r="AG241" s="70">
        <f>AG108</f>
        <v>2025</v>
      </c>
      <c r="AH241" s="70" t="str">
        <f>AH108</f>
        <v>1Q26</v>
      </c>
      <c r="AI241" s="70" t="str">
        <f>AI108</f>
        <v>2Q26</v>
      </c>
      <c r="AJ241" s="70" t="str">
        <f>AJ108</f>
        <v>3Q26</v>
      </c>
      <c r="AK241" s="70" t="str">
        <f>AK108</f>
        <v>4Q26</v>
      </c>
      <c r="AL241" s="70">
        <f>AL108</f>
        <v>2026</v>
      </c>
      <c r="AM241" s="70" t="str">
        <f>AM108</f>
        <v>1Q27</v>
      </c>
      <c r="AN241" s="70" t="str">
        <f>AN108</f>
        <v>2Q27</v>
      </c>
      <c r="AO241" s="70" t="str">
        <f>AO108</f>
        <v>3Q27</v>
      </c>
      <c r="AP241" s="70" t="str">
        <f>AP108</f>
        <v>4Q27</v>
      </c>
      <c r="AQ241" s="70">
        <f>AQ108</f>
        <v>2027</v>
      </c>
      <c r="AR241" s="70" t="str">
        <f>AR108</f>
        <v>1Q28</v>
      </c>
      <c r="AS241" s="70" t="str">
        <f>AS108</f>
        <v>2Q28</v>
      </c>
      <c r="AT241" s="70" t="str">
        <f>AT108</f>
        <v>3Q28</v>
      </c>
      <c r="AU241" s="70" t="str">
        <f>AU108</f>
        <v>4Q28</v>
      </c>
      <c r="AV241" s="70">
        <f>AV108</f>
        <v>2028</v>
      </c>
      <c r="AW241" s="70" t="str">
        <f>AW108</f>
        <v>1Q29</v>
      </c>
      <c r="AX241" s="70" t="str">
        <f>AX108</f>
        <v>2Q29</v>
      </c>
      <c r="AY241" s="70" t="str">
        <f>AY108</f>
        <v>3Q29</v>
      </c>
      <c r="AZ241" s="70" t="str">
        <f>AZ108</f>
        <v>4Q29</v>
      </c>
      <c r="BA241" s="70">
        <f>BA108</f>
        <v>2029</v>
      </c>
      <c r="BB241" s="70" t="str">
        <f>BB108</f>
        <v>1Q30</v>
      </c>
      <c r="BC241" s="70" t="str">
        <f>BC108</f>
        <v>2Q30</v>
      </c>
      <c r="BD241" s="70" t="str">
        <f>BD108</f>
        <v>3Q30</v>
      </c>
      <c r="BE241" s="70" t="str">
        <f>BE108</f>
        <v>4Q30</v>
      </c>
      <c r="BF241" s="70">
        <f>BF108</f>
        <v>2030</v>
      </c>
      <c r="BG241" s="70" t="n"/>
      <c r="BH241" s="70" t="n"/>
      <c r="BI241" s="70" t="n"/>
      <c r="BJ241" s="70" t="n"/>
      <c r="BK241" s="70" t="n"/>
      <c r="BL241" s="70" t="n"/>
      <c r="BM241" s="70" t="n"/>
      <c r="BN241" s="70" t="n"/>
      <c r="BO241" s="70" t="n"/>
      <c r="BP241" s="70" t="n"/>
      <c r="BQ241" s="70" t="n"/>
      <c r="BR241" s="70" t="n"/>
      <c r="BS241" s="70" t="n"/>
      <c r="BT241" s="70" t="n"/>
      <c r="BU241" s="70" t="n"/>
      <c r="BV241" s="70" t="n"/>
      <c r="BW241" s="70" t="n"/>
      <c r="BX241" s="70" t="n"/>
      <c r="BY241" s="70" t="n"/>
      <c r="BZ241" s="70" t="n"/>
      <c r="CA241" s="70" t="n"/>
      <c r="CB241" s="70" t="n"/>
      <c r="CC241" s="70" t="n"/>
      <c r="CD241" s="70" t="n"/>
      <c r="CE241" s="70" t="n"/>
      <c r="CF241" s="70" t="n"/>
      <c r="CG241" s="70" t="n"/>
      <c r="CH241" s="70" t="n"/>
      <c r="CI241" s="70" t="n"/>
      <c r="CJ241" s="70" t="n"/>
      <c r="CK241" s="70" t="n"/>
      <c r="CL241" s="70" t="n"/>
      <c r="CM241" s="70" t="n"/>
      <c r="CN241" s="70" t="n"/>
      <c r="CO241" s="70" t="n"/>
      <c r="CP241" s="70" t="n"/>
      <c r="CQ241" s="70" t="n"/>
      <c r="CR241" s="70" t="n"/>
      <c r="CS241" s="70" t="n"/>
      <c r="CT241" s="70" t="n"/>
      <c r="CU241" s="70" t="n"/>
      <c r="CV241" s="70" t="n"/>
      <c r="CW241" s="70" t="n"/>
      <c r="CX241" s="70" t="n"/>
      <c r="CY241" s="70" t="n"/>
    </row>
    <row r="242">
      <c r="C242" s="18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  <c r="AA242" s="3" t="n"/>
      <c r="AB242" s="3" t="n"/>
      <c r="AC242" s="3" t="n"/>
      <c r="AD242" s="3" t="n"/>
      <c r="AE242" s="3" t="n"/>
      <c r="AF242" s="3" t="n"/>
      <c r="AG242" s="3" t="n"/>
      <c r="AH242" s="3" t="n"/>
      <c r="AI242" s="3" t="n"/>
      <c r="AJ242" s="3" t="n"/>
      <c r="AK242" s="3" t="n"/>
      <c r="AL242" s="3" t="n"/>
      <c r="AM242" s="3" t="n"/>
      <c r="AN242" s="3" t="n"/>
      <c r="AO242" s="3" t="n"/>
      <c r="AP242" s="3" t="n"/>
      <c r="AQ242" s="3" t="n"/>
      <c r="AR242" s="3" t="n"/>
      <c r="AS242" s="3" t="n"/>
      <c r="AT242" s="3" t="n"/>
      <c r="AU242" s="3" t="n"/>
      <c r="AV242" s="3" t="n"/>
      <c r="AW242" s="3" t="n"/>
      <c r="AX242" s="3" t="n"/>
      <c r="AY242" s="3" t="n"/>
      <c r="AZ242" s="3" t="n"/>
      <c r="BA242" s="3" t="n"/>
      <c r="BB242" s="3" t="n"/>
      <c r="BC242" s="3" t="n"/>
      <c r="BD242" s="3" t="n"/>
      <c r="BE242" s="3" t="n"/>
      <c r="BF242" s="3" t="n"/>
      <c r="BG242" s="3" t="n"/>
      <c r="BH242" s="3" t="n"/>
      <c r="BI242" s="3" t="n"/>
      <c r="BJ242" s="3" t="n"/>
      <c r="BK242" s="3" t="n"/>
      <c r="BL242" s="3" t="n"/>
      <c r="BM242" s="3" t="n"/>
      <c r="BN242" s="3" t="n"/>
      <c r="BO242" s="3" t="n"/>
      <c r="BP242" s="3" t="n"/>
      <c r="BQ242" s="3" t="n"/>
      <c r="BR242" s="3" t="n"/>
      <c r="BS242" s="3" t="n"/>
      <c r="BT242" s="3" t="n"/>
      <c r="BU242" s="3" t="n"/>
      <c r="BV242" s="3" t="n"/>
      <c r="BW242" s="3" t="n"/>
      <c r="BX242" s="3" t="n"/>
      <c r="BY242" s="3" t="n"/>
      <c r="BZ242" s="3" t="n"/>
      <c r="CA242" s="3" t="n"/>
      <c r="CB242" s="3" t="n"/>
      <c r="CC242" s="3" t="n"/>
      <c r="CD242" s="3" t="n"/>
      <c r="CE242" s="3" t="n"/>
      <c r="CF242" s="3" t="n"/>
      <c r="CG242" s="3" t="n"/>
      <c r="CH242" s="3" t="n"/>
      <c r="CI242" s="3" t="n"/>
      <c r="CJ242" s="3" t="n"/>
      <c r="CK242" s="3" t="n"/>
      <c r="CL242" s="3" t="n"/>
      <c r="CM242" s="3" t="n"/>
      <c r="CN242" s="3" t="n"/>
      <c r="CO242" s="3" t="n"/>
      <c r="CP242" s="3" t="n"/>
      <c r="CQ242" s="3" t="n"/>
      <c r="CR242" s="3" t="n"/>
      <c r="CS242" s="3" t="n"/>
      <c r="CT242" s="3" t="n"/>
      <c r="CU242" s="3" t="n"/>
      <c r="CV242" s="3" t="n"/>
      <c r="CW242" s="3" t="n"/>
      <c r="CX242" s="3" t="n"/>
      <c r="CY242" s="3" t="n"/>
    </row>
    <row r="243">
      <c r="C243" s="10" t="inlineStr">
        <is>
          <t>Net Income</t>
        </is>
      </c>
      <c r="D243" s="12" t="n"/>
      <c r="E243" s="12" t="n"/>
      <c r="F243" s="12" t="n"/>
      <c r="G243" s="12" t="n"/>
      <c r="H243" s="12" t="n"/>
      <c r="I243" s="12" t="n"/>
      <c r="J243" s="12">
        <f>J103</f>
        <v>65.53462593</v>
      </c>
      <c r="K243" s="12">
        <f>K103</f>
        <v>94.9625657669999</v>
      </c>
      <c r="L243" s="12">
        <f>L103</f>
        <v>70.8158031600001</v>
      </c>
      <c r="M243" s="12" t="n"/>
      <c r="N243" s="12">
        <f>N103</f>
        <v>110.440730339</v>
      </c>
      <c r="O243" s="12">
        <f>O103</f>
        <v>70.5092383980001</v>
      </c>
      <c r="P243" s="12">
        <f>P103</f>
        <v>96.00575003</v>
      </c>
      <c r="Q243" s="12">
        <f>Q103</f>
        <v>30.9526857899999</v>
      </c>
      <c r="R243" s="12">
        <f>SUM(N243:Q243)</f>
        <v>307.908404557</v>
      </c>
      <c r="S243" s="12">
        <f>S103</f>
        <v>93.8518317600001</v>
      </c>
      <c r="T243" s="12">
        <f>T103</f>
        <v>74.4269289449998</v>
      </c>
      <c r="U243" s="12">
        <f>U103</f>
        <v>174.198435338</v>
      </c>
      <c r="V243" s="12">
        <f>V103</f>
        <v>81.2788017440001</v>
      </c>
      <c r="W243" s="12">
        <f>SUM(S243:V243)</f>
        <v>423.755997787</v>
      </c>
      <c r="X243" s="12">
        <f>X103</f>
        <v>167.9596009</v>
      </c>
      <c r="Y243" s="12">
        <f>Y103</f>
        <v>173.586</v>
      </c>
      <c r="Z243" s="12">
        <f>Z103</f>
        <v>190.705474</v>
      </c>
      <c r="AA243" s="12">
        <f>AA103</f>
        <v>83.9209251000003</v>
      </c>
      <c r="AB243" s="12">
        <f>SUM(X243:AA243)</f>
        <v>616.172</v>
      </c>
      <c r="AC243" s="12">
        <f>AC103</f>
        <v>179.28629</v>
      </c>
      <c r="AD243" s="12">
        <f>AD103</f>
        <v>152.299179</v>
      </c>
      <c r="AE243" s="12">
        <f>AE103</f>
        <v>184.916722721</v>
      </c>
      <c r="AF243" s="12">
        <f>AF103</f>
        <v>96.3284097829999</v>
      </c>
      <c r="AG243" s="12">
        <f>SUM(AC243:AF243)</f>
        <v>612.830601504</v>
      </c>
      <c r="AH243" s="12">
        <f>AH103</f>
        <v>201.21196412</v>
      </c>
      <c r="AI243" s="12">
        <f>AI103</f>
        <v>221.850208</v>
      </c>
      <c r="AJ243" s="12">
        <f>AJ103</f>
        <v>375.977308936604</v>
      </c>
      <c r="AK243" s="12">
        <f>AK103</f>
        <v>353.603126748082</v>
      </c>
      <c r="AL243" s="12">
        <f>SUM(AH243:AK243)</f>
        <v>1152.64260780469</v>
      </c>
      <c r="AM243" s="12">
        <f>AM103</f>
        <v>381.492376142227</v>
      </c>
      <c r="AN243" s="12">
        <f>AN103</f>
        <v>397.543352308573</v>
      </c>
      <c r="AO243" s="12">
        <f>AO103</f>
        <v>411.423212734214</v>
      </c>
      <c r="AP243" s="12">
        <f>AP103</f>
        <v>386.939666255471</v>
      </c>
      <c r="AQ243" s="12">
        <f>SUM(AM243:AP243)</f>
        <v>1577.39860744048</v>
      </c>
      <c r="AR243" s="12">
        <f>AR103</f>
        <v>415.550760451822</v>
      </c>
      <c r="AS243" s="12">
        <f>AS103</f>
        <v>433.034714965851</v>
      </c>
      <c r="AT243" s="12">
        <f>AT103</f>
        <v>448.153723668373</v>
      </c>
      <c r="AU243" s="12">
        <f>AU103</f>
        <v>421.484366705899</v>
      </c>
      <c r="AV243" s="12">
        <f>SUM(AR243:AU243)</f>
        <v>1718.22356579194</v>
      </c>
      <c r="AW243" s="12">
        <f>AW103</f>
        <v>450.572011465156</v>
      </c>
      <c r="AX243" s="12">
        <f>AX103</f>
        <v>469.529456146971</v>
      </c>
      <c r="AY243" s="12">
        <f>AY103</f>
        <v>485.922645164475</v>
      </c>
      <c r="AZ243" s="12">
        <f>AZ103</f>
        <v>457.005682533968</v>
      </c>
      <c r="BA243" s="12">
        <f>SUM(AW243:AZ243)</f>
        <v>1863.02979531057</v>
      </c>
      <c r="BB243" s="12">
        <f>BB103</f>
        <v>486.291878243771</v>
      </c>
      <c r="BC243" s="12">
        <f>BC103</f>
        <v>506.752206773819</v>
      </c>
      <c r="BD243" s="12">
        <f>BD103</f>
        <v>524.444993886371</v>
      </c>
      <c r="BE243" s="12">
        <f>BE103</f>
        <v>493.235589589448</v>
      </c>
      <c r="BF243" s="12">
        <f>SUM(BB243:BE243)</f>
        <v>2010.72466849341</v>
      </c>
      <c r="BG243" s="12" t="n"/>
      <c r="BH243" s="12" t="n"/>
      <c r="BI243" s="12" t="n"/>
      <c r="BJ243" s="12" t="n"/>
      <c r="BK243" s="12" t="n"/>
      <c r="BL243" s="12" t="n"/>
      <c r="BM243" s="12" t="n"/>
      <c r="BN243" s="12" t="n"/>
      <c r="BO243" s="12" t="n"/>
      <c r="BP243" s="12" t="n"/>
      <c r="BQ243" s="12" t="n"/>
      <c r="BR243" s="12" t="n"/>
      <c r="BS243" s="12" t="n"/>
      <c r="BT243" s="12" t="n"/>
      <c r="BU243" s="12" t="n"/>
      <c r="BV243" s="12" t="n"/>
      <c r="BW243" s="12" t="n"/>
      <c r="BX243" s="12" t="n"/>
      <c r="BY243" s="12" t="n"/>
      <c r="BZ243" s="12" t="n"/>
      <c r="CA243" s="12" t="n"/>
      <c r="CB243" s="12" t="n"/>
      <c r="CC243" s="12" t="n"/>
      <c r="CD243" s="12" t="n"/>
      <c r="CE243" s="12" t="n"/>
      <c r="CF243" s="12" t="n"/>
      <c r="CG243" s="12" t="n"/>
      <c r="CH243" s="12" t="n"/>
      <c r="CI243" s="12" t="n"/>
      <c r="CJ243" s="12" t="n"/>
      <c r="CK243" s="12" t="n"/>
      <c r="CL243" s="12" t="n"/>
      <c r="CM243" s="12" t="n"/>
      <c r="CN243" s="12" t="n"/>
      <c r="CO243" s="12" t="n"/>
      <c r="CP243" s="12" t="n"/>
      <c r="CQ243" s="12" t="n"/>
      <c r="CR243" s="12" t="n"/>
      <c r="CS243" s="12" t="n"/>
      <c r="CT243" s="12" t="n"/>
      <c r="CU243" s="12" t="n"/>
      <c r="CV243" s="12" t="n"/>
      <c r="CW243" s="12" t="n"/>
      <c r="CX243" s="12" t="n"/>
      <c r="CY243" s="12" t="n"/>
    </row>
    <row r="244">
      <c r="C244" s="10" t="inlineStr">
        <is>
          <t>Depreciation &amp; amortization</t>
        </is>
      </c>
      <c r="D244" s="12" t="n"/>
      <c r="E244" s="12" t="n"/>
      <c r="F244" s="12" t="n"/>
      <c r="G244" s="12" t="n"/>
      <c r="H244" s="12" t="n"/>
      <c r="I244" s="12" t="n"/>
      <c r="J244" s="12">
        <f>-J36</f>
        <v>90.88444056</v>
      </c>
      <c r="K244" s="12">
        <f>-K36</f>
        <v>103.83367925</v>
      </c>
      <c r="L244" s="12">
        <f>-L36</f>
        <v>107.72515852</v>
      </c>
      <c r="M244" s="12" t="n"/>
      <c r="N244" s="12">
        <f>-N36</f>
        <v>107.45963589</v>
      </c>
      <c r="O244" s="12">
        <f>-O36</f>
        <v>113.84256518</v>
      </c>
      <c r="P244" s="12">
        <f>-P36</f>
        <v>109.7525059</v>
      </c>
      <c r="Q244" s="12">
        <f>-Q36</f>
        <v>124.2846005</v>
      </c>
      <c r="R244" s="12">
        <f>SUM(N244:Q244)</f>
        <v>455.33930747</v>
      </c>
      <c r="S244" s="12">
        <f>-S36</f>
        <v>131.26208815</v>
      </c>
      <c r="T244" s="12">
        <f>-T36</f>
        <v>166.076</v>
      </c>
      <c r="U244" s="12">
        <f>-U36</f>
        <v>188.161</v>
      </c>
      <c r="V244" s="12">
        <f>-V36</f>
        <v>189.879</v>
      </c>
      <c r="W244" s="12">
        <f>SUM(S244:V244)</f>
        <v>675.37808815</v>
      </c>
      <c r="X244" s="12">
        <f>-X36</f>
        <v>189.554</v>
      </c>
      <c r="Y244" s="12">
        <f>-Y36</f>
        <v>191.804</v>
      </c>
      <c r="Z244" s="12">
        <f>-Z36</f>
        <v>196.609</v>
      </c>
      <c r="AA244" s="12">
        <f>-AA36</f>
        <v>202.016</v>
      </c>
      <c r="AB244" s="12">
        <f>SUM(X244:AA244)</f>
        <v>779.983</v>
      </c>
      <c r="AC244" s="12">
        <f>-AC36</f>
        <v>212.141077</v>
      </c>
      <c r="AD244" s="12">
        <f>-AD36</f>
        <v>222.403</v>
      </c>
      <c r="AE244" s="12">
        <f>-AE36</f>
        <v>229.37499664</v>
      </c>
      <c r="AF244" s="12">
        <f>-AF36</f>
        <v>236.39185589</v>
      </c>
      <c r="AG244" s="12">
        <f>SUM(AC244:AF244)</f>
        <v>900.31092953</v>
      </c>
      <c r="AH244" s="12">
        <f>-AH36</f>
        <v>233.12169578</v>
      </c>
      <c r="AI244" s="12">
        <f>-AI36</f>
        <v>215.806</v>
      </c>
      <c r="AJ244" s="12">
        <f>-AJ36</f>
        <v>252.763803395322</v>
      </c>
      <c r="AK244" s="12">
        <f>-AK36</f>
        <v>237.721982377384</v>
      </c>
      <c r="AL244" s="12">
        <f>SUM(AH244:AK244)</f>
        <v>939.413481552706</v>
      </c>
      <c r="AM244" s="12">
        <f>-AM36</f>
        <v>256.471498859224</v>
      </c>
      <c r="AN244" s="12">
        <f>-AN36</f>
        <v>267.262325027666</v>
      </c>
      <c r="AO244" s="12">
        <f>-AO36</f>
        <v>276.593543237892</v>
      </c>
      <c r="AP244" s="12">
        <f>-AP36</f>
        <v>260.133628818916</v>
      </c>
      <c r="AQ244" s="12">
        <f>SUM(AM244:AP244)</f>
        <v>1060.4609959437</v>
      </c>
      <c r="AR244" s="12">
        <f>-AR36</f>
        <v>279.368430538269</v>
      </c>
      <c r="AS244" s="12">
        <f>-AS36</f>
        <v>291.122626167405</v>
      </c>
      <c r="AT244" s="12">
        <f>-AT36</f>
        <v>301.286904841629</v>
      </c>
      <c r="AU244" s="12">
        <f>-AU36</f>
        <v>283.3575034131</v>
      </c>
      <c r="AV244" s="12">
        <f>SUM(AR244:AU244)</f>
        <v>1155.1354649604</v>
      </c>
      <c r="AW244" s="12">
        <f>-AW36</f>
        <v>302.912682798677</v>
      </c>
      <c r="AX244" s="12">
        <f>-AX36</f>
        <v>315.657483366522</v>
      </c>
      <c r="AY244" s="12">
        <f>-AY36</f>
        <v>326.678374008998</v>
      </c>
      <c r="AZ244" s="12">
        <f>-AZ36</f>
        <v>307.23794161216</v>
      </c>
      <c r="BA244" s="12">
        <f>SUM(AW244:AZ244)</f>
        <v>1252.48648178636</v>
      </c>
      <c r="BB244" s="12">
        <f>-BB36</f>
        <v>326.926603769794</v>
      </c>
      <c r="BC244" s="12">
        <f>-BC36</f>
        <v>340.681770198854</v>
      </c>
      <c r="BD244" s="12">
        <f>-BD36</f>
        <v>352.576360794975</v>
      </c>
      <c r="BE244" s="12">
        <f>-BE36</f>
        <v>331.594754872787</v>
      </c>
      <c r="BF244" s="12">
        <f>SUM(BB244:BE244)</f>
        <v>1351.77948963641</v>
      </c>
      <c r="BG244" s="12" t="n"/>
      <c r="BH244" s="12" t="n"/>
      <c r="BI244" s="12" t="n"/>
      <c r="BJ244" s="12" t="n"/>
      <c r="BK244" s="12" t="n"/>
      <c r="BL244" s="12" t="n"/>
      <c r="BM244" s="12" t="n"/>
      <c r="BN244" s="12" t="n"/>
      <c r="BO244" s="12" t="n"/>
      <c r="BP244" s="12" t="n"/>
      <c r="BQ244" s="12" t="n"/>
      <c r="BR244" s="12" t="n"/>
      <c r="BS244" s="12" t="n"/>
      <c r="BT244" s="12" t="n"/>
      <c r="BU244" s="12" t="n"/>
      <c r="BV244" s="12" t="n"/>
      <c r="BW244" s="12" t="n"/>
      <c r="BX244" s="12" t="n"/>
      <c r="BY244" s="12" t="n"/>
      <c r="BZ244" s="12" t="n"/>
      <c r="CA244" s="12" t="n"/>
      <c r="CB244" s="12" t="n"/>
      <c r="CC244" s="12" t="n"/>
      <c r="CD244" s="12" t="n"/>
      <c r="CE244" s="12" t="n"/>
      <c r="CF244" s="12" t="n"/>
      <c r="CG244" s="12" t="n"/>
      <c r="CH244" s="12" t="n"/>
      <c r="CI244" s="12" t="n"/>
      <c r="CJ244" s="12" t="n"/>
      <c r="CK244" s="12" t="n"/>
      <c r="CL244" s="12" t="n"/>
      <c r="CM244" s="12" t="n"/>
      <c r="CN244" s="12" t="n"/>
      <c r="CO244" s="12" t="n"/>
      <c r="CP244" s="12" t="n"/>
      <c r="CQ244" s="12" t="n"/>
      <c r="CR244" s="12" t="n"/>
      <c r="CS244" s="12" t="n"/>
      <c r="CT244" s="12" t="n"/>
      <c r="CU244" s="12" t="n"/>
      <c r="CV244" s="12" t="n"/>
      <c r="CW244" s="12" t="n"/>
      <c r="CX244" s="12" t="n"/>
      <c r="CY244" s="12" t="n"/>
    </row>
    <row r="245">
      <c r="C245" s="10" t="inlineStr">
        <is>
          <t xml:space="preserve">Changes in working capital </t>
        </is>
      </c>
      <c r="D245" s="12" t="n"/>
      <c r="E245" s="12" t="n"/>
      <c r="F245" s="12" t="n"/>
      <c r="G245" s="12" t="n"/>
      <c r="H245" s="12" t="n"/>
      <c r="I245" s="12" t="n"/>
      <c r="J245" s="12">
        <f>SUM(J246:J255)</f>
        <v>-59.5358476500001</v>
      </c>
      <c r="K245" s="12">
        <f>SUM(K246:K255)</f>
        <v>-11.41154104</v>
      </c>
      <c r="L245" s="12">
        <f>SUM(L246:L255)</f>
        <v>72.108490357</v>
      </c>
      <c r="M245" s="12" t="n"/>
      <c r="N245" s="12">
        <f>SUM(N246:N255)</f>
        <v>-21.752759717</v>
      </c>
      <c r="O245" s="12">
        <f>SUM(O246:O255)</f>
        <v>-218.14358683</v>
      </c>
      <c r="P245" s="12">
        <f>SUM(P246:P255)</f>
        <v>28.8462295800001</v>
      </c>
      <c r="Q245" s="12">
        <f>SUM(Q246:Q255)</f>
        <v>36.58916045</v>
      </c>
      <c r="R245" s="12">
        <f>SUM(N245:Q245)</f>
        <v>-174.460956517</v>
      </c>
      <c r="S245" s="12">
        <f>SUM(S246:S255)</f>
        <v>-133.29682737</v>
      </c>
      <c r="T245" s="12">
        <f>SUM(T246:T255)</f>
        <v>-74.74412594</v>
      </c>
      <c r="U245" s="12">
        <f>SUM(U246:U255)</f>
        <v>86.9999999999999</v>
      </c>
      <c r="V245" s="12">
        <f>SUM(V246:V255)</f>
        <v>-61.8779999999999</v>
      </c>
      <c r="W245" s="12">
        <f>SUM(S245:V245)</f>
        <v>-182.91895331</v>
      </c>
      <c r="X245" s="12">
        <f>SUM(X246:X255)</f>
        <v>-218.027</v>
      </c>
      <c r="Y245" s="12">
        <f>SUM(Y246:Y255)</f>
        <v>-8.55599999999995</v>
      </c>
      <c r="Z245" s="12">
        <f>SUM(Z246:Z255)</f>
        <v>200.127</v>
      </c>
      <c r="AA245" s="12">
        <f>SUM(AA246:AA255)</f>
        <v>4.24200000000003</v>
      </c>
      <c r="AB245" s="12">
        <f>SUM(X245:AA245)</f>
        <v>-22.214</v>
      </c>
      <c r="AC245" s="12">
        <f>SUM(AC246:AC255)</f>
        <v>-18.0821790000001</v>
      </c>
      <c r="AD245" s="12">
        <f>SUM(AD246:AD255)</f>
        <v>-320.737821</v>
      </c>
      <c r="AE245" s="12">
        <f>SUM(AE246:AE255)</f>
        <v>262.17</v>
      </c>
      <c r="AF245" s="12">
        <f>SUM(AF246:AF255)</f>
        <v>259.668</v>
      </c>
      <c r="AG245" s="12">
        <f>SUM(AC245:AF245)</f>
        <v>183.018</v>
      </c>
      <c r="AH245" s="12">
        <f>SUM(AH246:AH255)</f>
        <v>-372.002</v>
      </c>
      <c r="AI245" s="12">
        <f>SUM(AI246:AI255)</f>
        <v>-201.88</v>
      </c>
      <c r="AJ245" s="12">
        <f>SUM(AJ246:AJ255)</f>
        <v>-6.95227246351492</v>
      </c>
      <c r="AK245" s="12">
        <f>SUM(AK246:AK255)</f>
        <v>140.817264025328</v>
      </c>
      <c r="AL245" s="12">
        <f>SUM(AH245:AK245)</f>
        <v>-440.017008438187</v>
      </c>
      <c r="AM245" s="12">
        <f>SUM(AM246:AM255)</f>
        <v>-83.250304920816</v>
      </c>
      <c r="AN245" s="12">
        <f>SUM(AN246:AN255)</f>
        <v>17.5417633751234</v>
      </c>
      <c r="AO245" s="12">
        <f>SUM(AO246:AO255)</f>
        <v>33.0677475212134</v>
      </c>
      <c r="AP245" s="12">
        <f>SUM(AP246:AP255)</f>
        <v>172.277426025983</v>
      </c>
      <c r="AQ245" s="12">
        <f>SUM(AM245:AP245)</f>
        <v>139.636632001504</v>
      </c>
      <c r="AR245" s="12">
        <f>SUM(AR246:AR255)</f>
        <v>-49.8437281550627</v>
      </c>
      <c r="AS245" s="12">
        <f>SUM(AS246:AS255)</f>
        <v>17.7221088279403</v>
      </c>
      <c r="AT245" s="12">
        <f>SUM(AT246:AT255)</f>
        <v>53.9938711810482</v>
      </c>
      <c r="AU245" s="12">
        <f>SUM(AU246:AU255)</f>
        <v>206.854236444991</v>
      </c>
      <c r="AV245" s="12">
        <f>SUM(AR245:AU245)</f>
        <v>228.726488298917</v>
      </c>
      <c r="AW245" s="12">
        <f>SUM(AW246:AW255)</f>
        <v>-46.76942039632</v>
      </c>
      <c r="AX245" s="12">
        <f>SUM(AX246:AX255)</f>
        <v>59.6371685092002</v>
      </c>
      <c r="AY245" s="12">
        <f>SUM(AY246:AY255)</f>
        <v>80.4972059566357</v>
      </c>
      <c r="AZ245" s="12">
        <f>SUM(AZ246:AZ255)</f>
        <v>247.578458934526</v>
      </c>
      <c r="BA245" s="12">
        <f>SUM(AW245:AZ245)</f>
        <v>340.943413004042</v>
      </c>
      <c r="BB245" s="12">
        <f>SUM(BB246:BB255)</f>
        <v>-18.9006983891506</v>
      </c>
      <c r="BC245" s="12">
        <f>SUM(BC246:BC255)</f>
        <v>89.0026054660564</v>
      </c>
      <c r="BD245" s="12">
        <f>SUM(BD246:BD255)</f>
        <v>112.850847590545</v>
      </c>
      <c r="BE245" s="12">
        <f>SUM(BE246:BE255)</f>
        <v>294.565894264303</v>
      </c>
      <c r="BF245" s="12">
        <f>SUM(BB245:BE245)</f>
        <v>477.518648931753</v>
      </c>
      <c r="BG245" s="12" t="n"/>
      <c r="BH245" s="12" t="n"/>
      <c r="BI245" s="12" t="n"/>
      <c r="BJ245" s="12" t="n"/>
      <c r="BK245" s="12" t="n"/>
      <c r="BL245" s="12" t="n"/>
      <c r="BM245" s="12" t="n"/>
      <c r="BN245" s="12" t="n"/>
      <c r="BO245" s="12" t="n"/>
      <c r="BP245" s="12" t="n"/>
      <c r="BQ245" s="12" t="n"/>
      <c r="BR245" s="12" t="n"/>
      <c r="BS245" s="12" t="n"/>
      <c r="BT245" s="12" t="n"/>
      <c r="BU245" s="12" t="n"/>
      <c r="BV245" s="12" t="n"/>
      <c r="BW245" s="12" t="n"/>
      <c r="BX245" s="12" t="n"/>
      <c r="BY245" s="12" t="n"/>
      <c r="BZ245" s="12" t="n"/>
      <c r="CA245" s="12" t="n"/>
      <c r="CB245" s="12" t="n"/>
      <c r="CC245" s="12" t="n"/>
      <c r="CD245" s="12" t="n"/>
      <c r="CE245" s="12" t="n"/>
      <c r="CF245" s="12" t="n"/>
      <c r="CG245" s="12" t="n"/>
      <c r="CH245" s="12" t="n"/>
      <c r="CI245" s="12" t="n"/>
      <c r="CJ245" s="12" t="n"/>
      <c r="CK245" s="12" t="n"/>
      <c r="CL245" s="12" t="n"/>
      <c r="CM245" s="12" t="n"/>
      <c r="CN245" s="12" t="n"/>
      <c r="CO245" s="12" t="n"/>
      <c r="CP245" s="12" t="n"/>
      <c r="CQ245" s="12" t="n"/>
      <c r="CR245" s="12" t="n"/>
      <c r="CS245" s="12" t="n"/>
      <c r="CT245" s="12" t="n"/>
      <c r="CU245" s="12" t="n"/>
      <c r="CV245" s="12" t="n"/>
      <c r="CW245" s="12" t="n"/>
      <c r="CX245" s="12" t="n"/>
      <c r="CY245" s="12" t="n"/>
    </row>
    <row r="246" hidden="1" outlineLevel="1">
      <c r="C246" s="10" t="inlineStr">
        <is>
          <t>Accounts receivable</t>
        </is>
      </c>
      <c r="D246" s="12" t="n"/>
      <c r="E246" s="12" t="n"/>
      <c r="F246" s="12" t="n"/>
      <c r="G246" s="12" t="n"/>
      <c r="H246" s="12" t="n"/>
      <c r="I246" s="12" t="n"/>
      <c r="J246" s="12">
        <f>(J111-I111)*-1</f>
        <v>12.17262117</v>
      </c>
      <c r="K246" s="12">
        <f>(K111-J111)*-1</f>
        <v>-88.71954897</v>
      </c>
      <c r="L246" s="12">
        <f>(L111-K111)*-1</f>
        <v>5.02877549700008</v>
      </c>
      <c r="M246" s="12" t="n"/>
      <c r="N246" s="12">
        <f>(N111-M111)*-1</f>
        <v>-73.8928991170001</v>
      </c>
      <c r="O246" s="12">
        <f>(O111-N111)*-1</f>
        <v>-33.1861903199999</v>
      </c>
      <c r="P246" s="12">
        <f>(P111-O111)*-1</f>
        <v>15.46301535</v>
      </c>
      <c r="Q246" s="12">
        <f>(Q111-P111)*-1</f>
        <v>28.6178567300001</v>
      </c>
      <c r="R246" s="12">
        <f>SUM(N246:Q246)</f>
        <v>-62.9982173569999</v>
      </c>
      <c r="S246" s="12">
        <f>(S111-R111)*-1</f>
        <v>-116.8523547</v>
      </c>
      <c r="T246" s="12">
        <f>(T111-S111)*-1</f>
        <v>-512.32258241</v>
      </c>
      <c r="U246" s="12">
        <f>(U111-T111)*-1</f>
        <v>-72.5980000000002</v>
      </c>
      <c r="V246" s="12">
        <f>(V111-U111)*-1</f>
        <v>53.4280000000001</v>
      </c>
      <c r="W246" s="12">
        <f>SUM(S246:V246)</f>
        <v>-648.34493711</v>
      </c>
      <c r="X246" s="12">
        <f>(X111-W111)*-1</f>
        <v>-225.855</v>
      </c>
      <c r="Y246" s="12">
        <f>(Y111-X111)*-1</f>
        <v>-28.001</v>
      </c>
      <c r="Z246" s="12">
        <f>(Z111-Y111)*-1</f>
        <v>-4.79700000000003</v>
      </c>
      <c r="AA246" s="12">
        <f>(AA111-Z111)*-1</f>
        <v>128.943</v>
      </c>
      <c r="AB246" s="12">
        <f>SUM(X246:AA246)</f>
        <v>-129.71</v>
      </c>
      <c r="AC246" s="12">
        <f>(AC111-AB111)*-1</f>
        <v>-154.219657</v>
      </c>
      <c r="AD246" s="12">
        <f>(AD111-AC111)*-1</f>
        <v>-70.496343</v>
      </c>
      <c r="AE246" s="12">
        <f>(AE111-AD111)*-1</f>
        <v>-51.5530000000001</v>
      </c>
      <c r="AF246" s="12">
        <f>(AF111-AE111)*-1</f>
        <v>164.007</v>
      </c>
      <c r="AG246" s="12">
        <f>SUM(AC246:AF246)</f>
        <v>-112.262</v>
      </c>
      <c r="AH246" s="12">
        <f>(AH111-AG111)*-1</f>
        <v>-258.703</v>
      </c>
      <c r="AI246" s="12">
        <f>(AI111-AH111)*-1</f>
        <v>-88.8660000000002</v>
      </c>
      <c r="AJ246" s="12">
        <f>(AJ111-AI111)*-1</f>
        <v>-12.841937800607</v>
      </c>
      <c r="AK246" s="12">
        <f>(AK111-AJ111)*-1</f>
        <v>125.420628484334</v>
      </c>
      <c r="AL246" s="12">
        <f>SUM(AH246:AK246)</f>
        <v>-234.990309316273</v>
      </c>
      <c r="AM246" s="12">
        <f>(AM111-AL111)*-1</f>
        <v>-203.857916098677</v>
      </c>
      <c r="AN246" s="12">
        <f>(AN111-AM111)*-1</f>
        <v>-66.9418945470734</v>
      </c>
      <c r="AO246" s="12">
        <f>(AO111-AN111)*-1</f>
        <v>-53.3162380346444</v>
      </c>
      <c r="AP246" s="12">
        <f>(AP111-AO111)*-1</f>
        <v>137.24487272946</v>
      </c>
      <c r="AQ246" s="12">
        <f>SUM(AM246:AP246)</f>
        <v>-186.871175950936</v>
      </c>
      <c r="AR246" s="12">
        <f>(AR111-AQ111)*-1</f>
        <v>-185.980147178653</v>
      </c>
      <c r="AS246" s="12">
        <f>(AS111-AR111)*-1</f>
        <v>-99.0849981386286</v>
      </c>
      <c r="AT246" s="12">
        <f>(AT111-AS111)*-1</f>
        <v>-58.0761363667903</v>
      </c>
      <c r="AU246" s="12">
        <f>(AU111-AT111)*-1</f>
        <v>149.497643459008</v>
      </c>
      <c r="AV246" s="12">
        <f>SUM(AR246:AU246)</f>
        <v>-193.643638225064</v>
      </c>
      <c r="AW246" s="12">
        <f>(AW111-AV111)*-1</f>
        <v>-219.180803922004</v>
      </c>
      <c r="AX246" s="12">
        <f>(AX111-AW111)*-1</f>
        <v>-79.0635566098918</v>
      </c>
      <c r="AY246" s="12">
        <f>(AY111-AX111)*-1</f>
        <v>-62.9706020810977</v>
      </c>
      <c r="AZ246" s="12">
        <f>(AZ111-AY111)*-1</f>
        <v>162.09681303287</v>
      </c>
      <c r="BA246" s="12">
        <f>SUM(AW246:AZ246)</f>
        <v>-199.118149580123</v>
      </c>
      <c r="BB246" s="12">
        <f>(BB111-BA111)*-1</f>
        <v>-224.743381379181</v>
      </c>
      <c r="BC246" s="12">
        <f>(BC111-BB111)*-1</f>
        <v>-85.3314552748916</v>
      </c>
      <c r="BD246" s="12">
        <f>(BD111-BC111)*-1</f>
        <v>-67.9627042536049</v>
      </c>
      <c r="BE246" s="12">
        <f>(BE111-BD111)*-1</f>
        <v>174.947315104546</v>
      </c>
      <c r="BF246" s="12">
        <f>SUM(BB246:BE246)</f>
        <v>-203.090225803132</v>
      </c>
      <c r="BG246" s="12" t="n"/>
      <c r="BH246" s="12" t="n"/>
      <c r="BI246" s="12" t="n"/>
      <c r="BJ246" s="12" t="n"/>
      <c r="BK246" s="12" t="n"/>
      <c r="BL246" s="12" t="n"/>
      <c r="BM246" s="12" t="n"/>
      <c r="BN246" s="12" t="n"/>
      <c r="BO246" s="12" t="n"/>
      <c r="BP246" s="12" t="n"/>
      <c r="BQ246" s="12" t="n"/>
      <c r="BR246" s="12" t="n"/>
      <c r="BS246" s="12" t="n"/>
      <c r="BT246" s="12" t="n"/>
      <c r="BU246" s="12" t="n"/>
      <c r="BV246" s="12" t="n"/>
      <c r="BW246" s="12" t="n"/>
      <c r="BX246" s="12" t="n"/>
      <c r="BY246" s="12" t="n"/>
      <c r="BZ246" s="12" t="n"/>
      <c r="CA246" s="12" t="n"/>
      <c r="CB246" s="12" t="n"/>
      <c r="CC246" s="12" t="n"/>
      <c r="CD246" s="12" t="n"/>
      <c r="CE246" s="12" t="n"/>
      <c r="CF246" s="12" t="n"/>
      <c r="CG246" s="12" t="n"/>
      <c r="CH246" s="12" t="n"/>
      <c r="CI246" s="12" t="n"/>
      <c r="CJ246" s="12" t="n"/>
      <c r="CK246" s="12" t="n"/>
      <c r="CL246" s="12" t="n"/>
      <c r="CM246" s="12" t="n"/>
      <c r="CN246" s="12" t="n"/>
      <c r="CO246" s="12" t="n"/>
      <c r="CP246" s="12" t="n"/>
      <c r="CQ246" s="12" t="n"/>
      <c r="CR246" s="12" t="n"/>
      <c r="CS246" s="12" t="n"/>
      <c r="CT246" s="12" t="n"/>
      <c r="CU246" s="12" t="n"/>
      <c r="CV246" s="12" t="n"/>
      <c r="CW246" s="12" t="n"/>
      <c r="CX246" s="12" t="n"/>
      <c r="CY246" s="12" t="n"/>
    </row>
    <row r="247" hidden="1" outlineLevel="1">
      <c r="C247" s="10" t="inlineStr">
        <is>
          <t>Inventories</t>
        </is>
      </c>
      <c r="D247" s="12" t="n"/>
      <c r="E247" s="12" t="n"/>
      <c r="F247" s="12" t="n"/>
      <c r="G247" s="12" t="n"/>
      <c r="H247" s="12" t="n"/>
      <c r="I247" s="12" t="n"/>
      <c r="J247" s="12">
        <f>(J115-I115)*-1</f>
        <v>-7.67867914</v>
      </c>
      <c r="K247" s="12">
        <f>(K115-J115)*-1</f>
        <v>3.13465862000001</v>
      </c>
      <c r="L247" s="12">
        <f>(L115-K115)*-1</f>
        <v>-4.23106660000001</v>
      </c>
      <c r="M247" s="12" t="n"/>
      <c r="N247" s="12">
        <f>(N115-M115)*-1</f>
        <v>-22.55864489</v>
      </c>
      <c r="O247" s="12">
        <f>(O115-N115)*-1</f>
        <v>18.95992783</v>
      </c>
      <c r="P247" s="12">
        <f>(P115-O115)*-1</f>
        <v>-9.26400406000001</v>
      </c>
      <c r="Q247" s="12">
        <f>(Q115-P115)*-1</f>
        <v>-11.10290587</v>
      </c>
      <c r="R247" s="12">
        <f>SUM(N247:Q247)</f>
        <v>-23.96562699</v>
      </c>
      <c r="S247" s="12">
        <f>(S115-R115)*-1</f>
        <v>-2.67152191</v>
      </c>
      <c r="T247" s="12">
        <f>(T115-S115)*-1</f>
        <v>-33.21693238</v>
      </c>
      <c r="U247" s="12">
        <f>(U115-T115)*-1</f>
        <v>-2.732</v>
      </c>
      <c r="V247" s="12">
        <f>(V115-U115)*-1</f>
        <v>0.266999999999996</v>
      </c>
      <c r="W247" s="12">
        <f>SUM(S247:V247)</f>
        <v>-38.35345429</v>
      </c>
      <c r="X247" s="12">
        <f>(X115-W115)*-1</f>
        <v>7.367</v>
      </c>
      <c r="Y247" s="12">
        <f>(Y115-X115)*-1</f>
        <v>-11.989</v>
      </c>
      <c r="Z247" s="12">
        <f>(Z115-Y115)*-1</f>
        <v>0.039999999999992</v>
      </c>
      <c r="AA247" s="12">
        <f>(AA115-Z115)*-1</f>
        <v>-15.525</v>
      </c>
      <c r="AB247" s="12">
        <f>SUM(X247:AA247)</f>
        <v>-20.107</v>
      </c>
      <c r="AC247" s="12">
        <f>(AC115-AB115)*-1</f>
        <v>-0.459578999999991</v>
      </c>
      <c r="AD247" s="12">
        <f>(AD115-AC115)*-1</f>
        <v>5.91657899999998</v>
      </c>
      <c r="AE247" s="12">
        <f>(AE115-AD115)*-1</f>
        <v>-5.39599999999999</v>
      </c>
      <c r="AF247" s="12">
        <f>(AF115-AE115)*-1</f>
        <v>-25.727</v>
      </c>
      <c r="AG247" s="12">
        <f>SUM(AC247:AF247)</f>
        <v>-25.666</v>
      </c>
      <c r="AH247" s="12">
        <f>(AH115-AG115)*-1</f>
        <v>29.884</v>
      </c>
      <c r="AI247" s="12">
        <f>(AI115-AH115)*-1</f>
        <v>-5.77199999999999</v>
      </c>
      <c r="AJ247" s="12">
        <f>(AJ115-AI115)*-1</f>
        <v>-19.1256926633292</v>
      </c>
      <c r="AK247" s="12">
        <f>(AK115-AJ115)*-1</f>
        <v>10.4567345623896</v>
      </c>
      <c r="AL247" s="12">
        <f>SUM(AH247:AK247)</f>
        <v>15.4430418990604</v>
      </c>
      <c r="AM247" s="12">
        <f>(AM115-AL115)*-1</f>
        <v>-16.9963118734652</v>
      </c>
      <c r="AN247" s="12">
        <f>(AN115-AM115)*-1</f>
        <v>-5.58116819251674</v>
      </c>
      <c r="AO247" s="12">
        <f>(AO115-AN115)*-1</f>
        <v>-4.44515193179001</v>
      </c>
      <c r="AP247" s="12">
        <f>(AP115-AO115)*-1</f>
        <v>11.4425610964002</v>
      </c>
      <c r="AQ247" s="12">
        <f>SUM(AM247:AP247)</f>
        <v>-15.5800709013718</v>
      </c>
      <c r="AR247" s="12">
        <f>(AR115-AQ115)*-1</f>
        <v>-15.5057828717885</v>
      </c>
      <c r="AS247" s="12">
        <f>(AS115-AR115)*-1</f>
        <v>-8.2610455486589</v>
      </c>
      <c r="AT247" s="12">
        <f>(AT115-AS115)*-1</f>
        <v>-4.84200047261379</v>
      </c>
      <c r="AU247" s="12">
        <f>(AU115-AT115)*-1</f>
        <v>12.4641153073864</v>
      </c>
      <c r="AV247" s="12">
        <f>SUM(AR247:AU247)</f>
        <v>-16.1447135856748</v>
      </c>
      <c r="AW247" s="12">
        <f>(AW115-AV115)*-1</f>
        <v>-18.273831948385</v>
      </c>
      <c r="AX247" s="12">
        <f>(AX115-AW115)*-1</f>
        <v>-6.59179143829098</v>
      </c>
      <c r="AY247" s="12">
        <f>(AY115-AX115)*-1</f>
        <v>-5.25006834324822</v>
      </c>
      <c r="AZ247" s="12">
        <f>(AZ115-AY115)*-1</f>
        <v>13.5145499410867</v>
      </c>
      <c r="BA247" s="12">
        <f>SUM(AW247:AZ247)</f>
        <v>-16.6011417888375</v>
      </c>
      <c r="BB247" s="12">
        <f>(BB115-BA115)*-1</f>
        <v>-18.73760251512</v>
      </c>
      <c r="BC247" s="12">
        <f>(BC115-BB115)*-1</f>
        <v>-7.11436697786454</v>
      </c>
      <c r="BD247" s="12">
        <f>(BD115-BC115)*-1</f>
        <v>-5.66627648984311</v>
      </c>
      <c r="BE247" s="12">
        <f>(BE115-BD115)*-1</f>
        <v>14.5859390002935</v>
      </c>
      <c r="BF247" s="12">
        <f>SUM(BB247:BE247)</f>
        <v>-16.9323069825341</v>
      </c>
      <c r="BG247" s="12" t="n"/>
      <c r="BH247" s="12" t="n"/>
      <c r="BI247" s="12" t="n"/>
      <c r="BJ247" s="12" t="n"/>
      <c r="BK247" s="12" t="n"/>
      <c r="BL247" s="12" t="n"/>
      <c r="BM247" s="12" t="n"/>
      <c r="BN247" s="12" t="n"/>
      <c r="BO247" s="12" t="n"/>
      <c r="BP247" s="12" t="n"/>
      <c r="BQ247" s="12" t="n"/>
      <c r="BR247" s="12" t="n"/>
      <c r="BS247" s="12" t="n"/>
      <c r="BT247" s="12" t="n"/>
      <c r="BU247" s="12" t="n"/>
      <c r="BV247" s="12" t="n"/>
      <c r="BW247" s="12" t="n"/>
      <c r="BX247" s="12" t="n"/>
      <c r="BY247" s="12" t="n"/>
      <c r="BZ247" s="12" t="n"/>
      <c r="CA247" s="12" t="n"/>
      <c r="CB247" s="12" t="n"/>
      <c r="CC247" s="12" t="n"/>
      <c r="CD247" s="12" t="n"/>
      <c r="CE247" s="12" t="n"/>
      <c r="CF247" s="12" t="n"/>
      <c r="CG247" s="12" t="n"/>
      <c r="CH247" s="12" t="n"/>
      <c r="CI247" s="12" t="n"/>
      <c r="CJ247" s="12" t="n"/>
      <c r="CK247" s="12" t="n"/>
      <c r="CL247" s="12" t="n"/>
      <c r="CM247" s="12" t="n"/>
      <c r="CN247" s="12" t="n"/>
      <c r="CO247" s="12" t="n"/>
      <c r="CP247" s="12" t="n"/>
      <c r="CQ247" s="12" t="n"/>
      <c r="CR247" s="12" t="n"/>
      <c r="CS247" s="12" t="n"/>
      <c r="CT247" s="12" t="n"/>
      <c r="CU247" s="12" t="n"/>
      <c r="CV247" s="12" t="n"/>
      <c r="CW247" s="12" t="n"/>
      <c r="CX247" s="12" t="n"/>
      <c r="CY247" s="12" t="n"/>
    </row>
    <row r="248" hidden="1" outlineLevel="1">
      <c r="C248" s="10" t="inlineStr">
        <is>
          <t>Deferred income taxes</t>
        </is>
      </c>
      <c r="D248" s="12" t="n"/>
      <c r="E248" s="12" t="n"/>
      <c r="F248" s="12" t="n"/>
      <c r="G248" s="12" t="n"/>
      <c r="H248" s="12" t="n"/>
      <c r="I248" s="12" t="n"/>
      <c r="J248" s="12">
        <f>(J119-I119)*-1</f>
        <v>-16.60602995</v>
      </c>
      <c r="K248" s="12">
        <f>(K119-J119)*-1</f>
        <v>-7.53807893</v>
      </c>
      <c r="L248" s="12">
        <f>(L119-K119)*-1</f>
        <v>89.89737981</v>
      </c>
      <c r="M248" s="12" t="n"/>
      <c r="N248" s="12">
        <f>(N119-M119)*-1</f>
        <v>-11.99535428</v>
      </c>
      <c r="O248" s="12">
        <f>(O119-N119)*-1</f>
        <v>-113.62430082</v>
      </c>
      <c r="P248" s="12">
        <f>(P119-O119)*-1</f>
        <v>-26.59413358</v>
      </c>
      <c r="Q248" s="12">
        <f>(Q119-P119)*-1</f>
        <v>128.78445306</v>
      </c>
      <c r="R248" s="12">
        <f>SUM(N248:Q248)</f>
        <v>-23.42933562</v>
      </c>
      <c r="S248" s="12">
        <f>(S119-R119)*-1</f>
        <v>-4.60149491</v>
      </c>
      <c r="T248" s="12">
        <f>(T119-S119)*-1</f>
        <v>-2.67516947000001</v>
      </c>
      <c r="U248" s="12">
        <f>(U119-T119)*-1</f>
        <v>26.206</v>
      </c>
      <c r="V248" s="12">
        <f>(V119-U119)*-1</f>
        <v>-4.661</v>
      </c>
      <c r="W248" s="12">
        <f>SUM(S248:V248)</f>
        <v>14.26833562</v>
      </c>
      <c r="X248" s="12">
        <f>(X119-W119)*-1</f>
        <v>0.247</v>
      </c>
      <c r="Y248" s="12">
        <f>(Y119-X119)*-1</f>
        <v>-3.176</v>
      </c>
      <c r="Z248" s="12">
        <f>(Z119-Y119)*-1</f>
        <v>-0.0930000000000035</v>
      </c>
      <c r="AA248" s="12">
        <f>(AA119-Z119)*-1</f>
        <v>16.9</v>
      </c>
      <c r="AB248" s="12">
        <f>SUM(X248:AA248)</f>
        <v>13.878</v>
      </c>
      <c r="AC248" s="12">
        <f>(AC119-AB119)*-1</f>
        <v>-1.401454</v>
      </c>
      <c r="AD248" s="12">
        <f>(AD119-AC119)*-1</f>
        <v>10.297454</v>
      </c>
      <c r="AE248" s="12">
        <f>(AE119-AD119)*-1</f>
        <v>-0.428999999999999</v>
      </c>
      <c r="AF248" s="12">
        <f>(AF119-AE119)*-1</f>
        <v>0.952999999999999</v>
      </c>
      <c r="AG248" s="12">
        <f>SUM(AC248:AF248)</f>
        <v>9.42</v>
      </c>
      <c r="AH248" s="12">
        <f>(AH119-AG119)*-1</f>
        <v>2.628</v>
      </c>
      <c r="AI248" s="12">
        <f>(AI119-AH119)*-1</f>
        <v>-1.839</v>
      </c>
      <c r="AJ248" s="12">
        <f>(AJ119-AI119)*-1</f>
        <v>0</v>
      </c>
      <c r="AK248" s="12">
        <f>(AK119-AJ119)*-1</f>
        <v>0</v>
      </c>
      <c r="AL248" s="12">
        <f>SUM(AH248:AK248)</f>
        <v>0.789</v>
      </c>
      <c r="AM248" s="12">
        <f>(AM119-AL119)*-1</f>
        <v>0</v>
      </c>
      <c r="AN248" s="12">
        <f>(AN119-AM119)*-1</f>
        <v>0</v>
      </c>
      <c r="AO248" s="12">
        <f>(AO119-AN119)*-1</f>
        <v>0</v>
      </c>
      <c r="AP248" s="12">
        <f>(AP119-AO119)*-1</f>
        <v>0</v>
      </c>
      <c r="AQ248" s="12">
        <f>SUM(AM248:AP248)</f>
        <v>0</v>
      </c>
      <c r="AR248" s="12">
        <f>(AR119-AQ119)*-1</f>
        <v>0</v>
      </c>
      <c r="AS248" s="12">
        <f>(AS119-AR119)*-1</f>
        <v>0</v>
      </c>
      <c r="AT248" s="12">
        <f>(AT119-AS119)*-1</f>
        <v>0</v>
      </c>
      <c r="AU248" s="12">
        <f>(AU119-AT119)*-1</f>
        <v>0</v>
      </c>
      <c r="AV248" s="12">
        <f>SUM(AR248:AU248)</f>
        <v>0</v>
      </c>
      <c r="AW248" s="12">
        <f>(AW119-AV119)*-1</f>
        <v>0</v>
      </c>
      <c r="AX248" s="12">
        <f>(AX119-AW119)*-1</f>
        <v>0</v>
      </c>
      <c r="AY248" s="12">
        <f>(AY119-AX119)*-1</f>
        <v>0</v>
      </c>
      <c r="AZ248" s="12">
        <f>(AZ119-AY119)*-1</f>
        <v>0</v>
      </c>
      <c r="BA248" s="12">
        <f>SUM(AW248:AZ248)</f>
        <v>0</v>
      </c>
      <c r="BB248" s="12">
        <f>(BB119-BA119)*-1</f>
        <v>0</v>
      </c>
      <c r="BC248" s="12">
        <f>(BC119-BB119)*-1</f>
        <v>0</v>
      </c>
      <c r="BD248" s="12">
        <f>(BD119-BC119)*-1</f>
        <v>0</v>
      </c>
      <c r="BE248" s="12">
        <f>(BE119-BD119)*-1</f>
        <v>0</v>
      </c>
      <c r="BF248" s="12">
        <f>SUM(BB248:BE248)</f>
        <v>0</v>
      </c>
      <c r="BG248" s="12" t="n"/>
      <c r="BH248" s="12" t="n"/>
      <c r="BI248" s="12" t="n"/>
      <c r="BJ248" s="12" t="n"/>
      <c r="BK248" s="12" t="n"/>
      <c r="BL248" s="12" t="n"/>
      <c r="BM248" s="12" t="n"/>
      <c r="BN248" s="12" t="n"/>
      <c r="BO248" s="12" t="n"/>
      <c r="BP248" s="12" t="n"/>
      <c r="BQ248" s="12" t="n"/>
      <c r="BR248" s="12" t="n"/>
      <c r="BS248" s="12" t="n"/>
      <c r="BT248" s="12" t="n"/>
      <c r="BU248" s="12" t="n"/>
      <c r="BV248" s="12" t="n"/>
      <c r="BW248" s="12" t="n"/>
      <c r="BX248" s="12" t="n"/>
      <c r="BY248" s="12" t="n"/>
      <c r="BZ248" s="12" t="n"/>
      <c r="CA248" s="12" t="n"/>
      <c r="CB248" s="12" t="n"/>
      <c r="CC248" s="12" t="n"/>
      <c r="CD248" s="12" t="n"/>
      <c r="CE248" s="12" t="n"/>
      <c r="CF248" s="12" t="n"/>
      <c r="CG248" s="12" t="n"/>
      <c r="CH248" s="12" t="n"/>
      <c r="CI248" s="12" t="n"/>
      <c r="CJ248" s="12" t="n"/>
      <c r="CK248" s="12" t="n"/>
      <c r="CL248" s="12" t="n"/>
      <c r="CM248" s="12" t="n"/>
      <c r="CN248" s="12" t="n"/>
      <c r="CO248" s="12" t="n"/>
      <c r="CP248" s="12" t="n"/>
      <c r="CQ248" s="12" t="n"/>
      <c r="CR248" s="12" t="n"/>
      <c r="CS248" s="12" t="n"/>
      <c r="CT248" s="12" t="n"/>
      <c r="CU248" s="12" t="n"/>
      <c r="CV248" s="12" t="n"/>
      <c r="CW248" s="12" t="n"/>
      <c r="CX248" s="12" t="n"/>
      <c r="CY248" s="12" t="n"/>
    </row>
    <row r="249" hidden="1" outlineLevel="1">
      <c r="C249" s="10" t="inlineStr">
        <is>
          <t>Prepaid expenses</t>
        </is>
      </c>
      <c r="D249" s="12" t="n"/>
      <c r="E249" s="12" t="n"/>
      <c r="F249" s="12" t="n"/>
      <c r="G249" s="12" t="n"/>
      <c r="H249" s="12" t="n"/>
      <c r="I249" s="12" t="n"/>
      <c r="J249" s="12">
        <f>(J120-I120)*-1</f>
        <v>1.69108772</v>
      </c>
      <c r="K249" s="12">
        <f>(K120-J120)*-1</f>
        <v>6.87841104</v>
      </c>
      <c r="L249" s="12">
        <f>(L120-K120)*-1</f>
        <v>5.95296064</v>
      </c>
      <c r="M249" s="12" t="n"/>
      <c r="N249" s="12">
        <f>(N120-M120)*-1</f>
        <v>-21.751686</v>
      </c>
      <c r="O249" s="12">
        <f>(O120-N120)*-1</f>
        <v>1.41326667</v>
      </c>
      <c r="P249" s="12">
        <f>(P120-O120)*-1</f>
        <v>4.83963697</v>
      </c>
      <c r="Q249" s="12">
        <f>(Q120-P120)*-1</f>
        <v>22.41682529</v>
      </c>
      <c r="R249" s="12">
        <f>SUM(N249:Q249)</f>
        <v>6.91804293</v>
      </c>
      <c r="S249" s="12">
        <f>(S120-R120)*-1</f>
        <v>0</v>
      </c>
      <c r="T249" s="12">
        <f>(T120-S120)*-1</f>
        <v>0</v>
      </c>
      <c r="U249" s="12">
        <f>(U120-T120)*-1</f>
        <v>0</v>
      </c>
      <c r="V249" s="12">
        <f>(V120-U120)*-1</f>
        <v>0</v>
      </c>
      <c r="W249" s="12">
        <f>SUM(S249:V249)</f>
        <v>0</v>
      </c>
      <c r="X249" s="12">
        <f>(X120-W120)*-1</f>
        <v>0</v>
      </c>
      <c r="Y249" s="12">
        <f>(Y120-X120)*-1</f>
        <v>0</v>
      </c>
      <c r="Z249" s="12">
        <f>(Z120-Y120)*-1</f>
        <v>0</v>
      </c>
      <c r="AA249" s="12">
        <f>(AA120-Z120)*-1</f>
        <v>0</v>
      </c>
      <c r="AB249" s="12">
        <f>SUM(X249:AA249)</f>
        <v>0</v>
      </c>
      <c r="AC249" s="12">
        <f>(AC120-AB120)*-1</f>
        <v>0</v>
      </c>
      <c r="AD249" s="12">
        <f>(AD120-AC120)*-1</f>
        <v>0</v>
      </c>
      <c r="AE249" s="12">
        <f>(AE120-AD120)*-1</f>
        <v>0</v>
      </c>
      <c r="AF249" s="12">
        <f>(AF120-AE120)*-1</f>
        <v>0</v>
      </c>
      <c r="AG249" s="12">
        <f>SUM(AC249:AF249)</f>
        <v>0</v>
      </c>
      <c r="AH249" s="12">
        <f>(AH120-AG120)*-1</f>
        <v>0</v>
      </c>
      <c r="AI249" s="12">
        <f>(AI120-AH120)*-1</f>
        <v>0</v>
      </c>
      <c r="AJ249" s="12">
        <f>(AJ120-AI120)*-1</f>
        <v>0</v>
      </c>
      <c r="AK249" s="12">
        <f>(AK120-AJ120)*-1</f>
        <v>0</v>
      </c>
      <c r="AL249" s="12">
        <f>SUM(AH249:AK249)</f>
        <v>0</v>
      </c>
      <c r="AM249" s="12">
        <f>(AM120-AL120)*-1</f>
        <v>0</v>
      </c>
      <c r="AN249" s="12">
        <f>(AN120-AM120)*-1</f>
        <v>0</v>
      </c>
      <c r="AO249" s="12">
        <f>(AO120-AN120)*-1</f>
        <v>0</v>
      </c>
      <c r="AP249" s="12">
        <f>(AP120-AO120)*-1</f>
        <v>0</v>
      </c>
      <c r="AQ249" s="12">
        <f>SUM(AM249:AP249)</f>
        <v>0</v>
      </c>
      <c r="AR249" s="12">
        <f>(AR120-AQ120)*-1</f>
        <v>0</v>
      </c>
      <c r="AS249" s="12">
        <f>(AS120-AR120)*-1</f>
        <v>0</v>
      </c>
      <c r="AT249" s="12">
        <f>(AT120-AS120)*-1</f>
        <v>0</v>
      </c>
      <c r="AU249" s="12">
        <f>(AU120-AT120)*-1</f>
        <v>0</v>
      </c>
      <c r="AV249" s="12">
        <f>SUM(AR249:AU249)</f>
        <v>0</v>
      </c>
      <c r="AW249" s="12">
        <f>(AW120-AV120)*-1</f>
        <v>0</v>
      </c>
      <c r="AX249" s="12">
        <f>(AX120-AW120)*-1</f>
        <v>0</v>
      </c>
      <c r="AY249" s="12">
        <f>(AY120-AX120)*-1</f>
        <v>0</v>
      </c>
      <c r="AZ249" s="12">
        <f>(AZ120-AY120)*-1</f>
        <v>0</v>
      </c>
      <c r="BA249" s="12">
        <f>SUM(AW249:AZ249)</f>
        <v>0</v>
      </c>
      <c r="BB249" s="12">
        <f>(BB120-BA120)*-1</f>
        <v>0</v>
      </c>
      <c r="BC249" s="12">
        <f>(BC120-BB120)*-1</f>
        <v>0</v>
      </c>
      <c r="BD249" s="12">
        <f>(BD120-BC120)*-1</f>
        <v>0</v>
      </c>
      <c r="BE249" s="12">
        <f>(BE120-BD120)*-1</f>
        <v>0</v>
      </c>
      <c r="BF249" s="12">
        <f>SUM(BB249:BE249)</f>
        <v>0</v>
      </c>
      <c r="BG249" s="12" t="n"/>
      <c r="BH249" s="12" t="n"/>
      <c r="BI249" s="12" t="n"/>
      <c r="BJ249" s="12" t="n"/>
      <c r="BK249" s="12" t="n"/>
      <c r="BL249" s="12" t="n"/>
      <c r="BM249" s="12" t="n"/>
      <c r="BN249" s="12" t="n"/>
      <c r="BO249" s="12" t="n"/>
      <c r="BP249" s="12" t="n"/>
      <c r="BQ249" s="12" t="n"/>
      <c r="BR249" s="12" t="n"/>
      <c r="BS249" s="12" t="n"/>
      <c r="BT249" s="12" t="n"/>
      <c r="BU249" s="12" t="n"/>
      <c r="BV249" s="12" t="n"/>
      <c r="BW249" s="12" t="n"/>
      <c r="BX249" s="12" t="n"/>
      <c r="BY249" s="12" t="n"/>
      <c r="BZ249" s="12" t="n"/>
      <c r="CA249" s="12" t="n"/>
      <c r="CB249" s="12" t="n"/>
      <c r="CC249" s="12" t="n"/>
      <c r="CD249" s="12" t="n"/>
      <c r="CE249" s="12" t="n"/>
      <c r="CF249" s="12" t="n"/>
      <c r="CG249" s="12" t="n"/>
      <c r="CH249" s="12" t="n"/>
      <c r="CI249" s="12" t="n"/>
      <c r="CJ249" s="12" t="n"/>
      <c r="CK249" s="12" t="n"/>
      <c r="CL249" s="12" t="n"/>
      <c r="CM249" s="12" t="n"/>
      <c r="CN249" s="12" t="n"/>
      <c r="CO249" s="12" t="n"/>
      <c r="CP249" s="12" t="n"/>
      <c r="CQ249" s="12" t="n"/>
      <c r="CR249" s="12" t="n"/>
      <c r="CS249" s="12" t="n"/>
      <c r="CT249" s="12" t="n"/>
      <c r="CU249" s="12" t="n"/>
      <c r="CV249" s="12" t="n"/>
      <c r="CW249" s="12" t="n"/>
      <c r="CX249" s="12" t="n"/>
      <c r="CY249" s="12" t="n"/>
    </row>
    <row r="250" hidden="1" outlineLevel="1">
      <c r="C250" s="10" t="inlineStr">
        <is>
          <t>Other current assets</t>
        </is>
      </c>
      <c r="D250" s="12" t="n"/>
      <c r="E250" s="12" t="n"/>
      <c r="F250" s="12" t="n"/>
      <c r="G250" s="12" t="n"/>
      <c r="H250" s="12" t="n"/>
      <c r="I250" s="12" t="n"/>
      <c r="J250" s="12">
        <f>(J121-I121)*-1</f>
        <v>1.77279984</v>
      </c>
      <c r="K250" s="12">
        <f>(K121-J121)*-1</f>
        <v>-89.83614434</v>
      </c>
      <c r="L250" s="12">
        <f>(L121-K121)*-1</f>
        <v>79.69548651</v>
      </c>
      <c r="M250" s="12" t="n"/>
      <c r="N250" s="12">
        <f>(N121-M121)*-1</f>
        <v>-32.15093362</v>
      </c>
      <c r="O250" s="12">
        <f>(O121-N121)*-1</f>
        <v>-43.77029562</v>
      </c>
      <c r="P250" s="12">
        <f>(P121-O121)*-1</f>
        <v>-32.50161171</v>
      </c>
      <c r="Q250" s="12">
        <f>(Q121-P121)*-1</f>
        <v>51.93134997</v>
      </c>
      <c r="R250" s="12">
        <f>SUM(N250:Q250)</f>
        <v>-56.49149098</v>
      </c>
      <c r="S250" s="12">
        <f>(S121-R121)*-1</f>
        <v>7.21647343000001</v>
      </c>
      <c r="T250" s="12">
        <f>(T121-S121)*-1</f>
        <v>-87.172241</v>
      </c>
      <c r="U250" s="12">
        <f>(U121-T121)*-1</f>
        <v>40.342</v>
      </c>
      <c r="V250" s="12">
        <f>(V121-U121)*-1</f>
        <v>-71.198</v>
      </c>
      <c r="W250" s="12">
        <f>SUM(S250:V250)</f>
        <v>-110.81176757</v>
      </c>
      <c r="X250" s="12">
        <f>(X121-W121)*-1</f>
        <v>-15.695</v>
      </c>
      <c r="Y250" s="12">
        <f>(Y121-X121)*-1</f>
        <v>-10.071</v>
      </c>
      <c r="Z250" s="12">
        <f>(Z121-Y121)*-1</f>
        <v>11.414</v>
      </c>
      <c r="AA250" s="12">
        <f>(AA121-Z121)*-1</f>
        <v>9.542</v>
      </c>
      <c r="AB250" s="12">
        <f>SUM(X250:AA250)</f>
        <v>-4.81</v>
      </c>
      <c r="AC250" s="12">
        <f>(AC121-AB121)*-1</f>
        <v>-13.94</v>
      </c>
      <c r="AD250" s="12">
        <f>(AD121-AC121)*-1</f>
        <v>-16.225</v>
      </c>
      <c r="AE250" s="12">
        <f>(AE121-AD121)*-1</f>
        <v>-11.033</v>
      </c>
      <c r="AF250" s="12">
        <f>(AF121-AE121)*-1</f>
        <v>-45.897</v>
      </c>
      <c r="AG250" s="12">
        <f>SUM(AC250:AF250)</f>
        <v>-87.095</v>
      </c>
      <c r="AH250" s="12">
        <f>(AH121-AG121)*-1</f>
        <v>-12.24</v>
      </c>
      <c r="AI250" s="12">
        <f>(AI121-AH121)*-1</f>
        <v>-45.03</v>
      </c>
      <c r="AJ250" s="12">
        <f>(AJ121-AI121)*-1</f>
        <v>0</v>
      </c>
      <c r="AK250" s="12">
        <f>(AK121-AJ121)*-1</f>
        <v>0</v>
      </c>
      <c r="AL250" s="12">
        <f>SUM(AH250:AK250)</f>
        <v>-57.27</v>
      </c>
      <c r="AM250" s="12">
        <f>(AM121-AL121)*-1</f>
        <v>0</v>
      </c>
      <c r="AN250" s="12">
        <f>(AN121-AM121)*-1</f>
        <v>0</v>
      </c>
      <c r="AO250" s="12">
        <f>(AO121-AN121)*-1</f>
        <v>0</v>
      </c>
      <c r="AP250" s="12">
        <f>(AP121-AO121)*-1</f>
        <v>0</v>
      </c>
      <c r="AQ250" s="12">
        <f>SUM(AM250:AP250)</f>
        <v>0</v>
      </c>
      <c r="AR250" s="12">
        <f>(AR121-AQ121)*-1</f>
        <v>0</v>
      </c>
      <c r="AS250" s="12">
        <f>(AS121-AR121)*-1</f>
        <v>0</v>
      </c>
      <c r="AT250" s="12">
        <f>(AT121-AS121)*-1</f>
        <v>0</v>
      </c>
      <c r="AU250" s="12">
        <f>(AU121-AT121)*-1</f>
        <v>0</v>
      </c>
      <c r="AV250" s="12">
        <f>SUM(AR250:AU250)</f>
        <v>0</v>
      </c>
      <c r="AW250" s="12">
        <f>(AW121-AV121)*-1</f>
        <v>0</v>
      </c>
      <c r="AX250" s="12">
        <f>(AX121-AW121)*-1</f>
        <v>0</v>
      </c>
      <c r="AY250" s="12">
        <f>(AY121-AX121)*-1</f>
        <v>0</v>
      </c>
      <c r="AZ250" s="12">
        <f>(AZ121-AY121)*-1</f>
        <v>0</v>
      </c>
      <c r="BA250" s="12">
        <f>SUM(AW250:AZ250)</f>
        <v>0</v>
      </c>
      <c r="BB250" s="12">
        <f>(BB121-BA121)*-1</f>
        <v>0</v>
      </c>
      <c r="BC250" s="12">
        <f>(BC121-BB121)*-1</f>
        <v>0</v>
      </c>
      <c r="BD250" s="12">
        <f>(BD121-BC121)*-1</f>
        <v>0</v>
      </c>
      <c r="BE250" s="12">
        <f>(BE121-BD121)*-1</f>
        <v>0</v>
      </c>
      <c r="BF250" s="12">
        <f>SUM(BB250:BE250)</f>
        <v>0</v>
      </c>
      <c r="BG250" s="12" t="n"/>
      <c r="BH250" s="12" t="n"/>
      <c r="BI250" s="12" t="n"/>
      <c r="BJ250" s="12" t="n"/>
      <c r="BK250" s="12" t="n"/>
      <c r="BL250" s="12" t="n"/>
      <c r="BM250" s="12" t="n"/>
      <c r="BN250" s="12" t="n"/>
      <c r="BO250" s="12" t="n"/>
      <c r="BP250" s="12" t="n"/>
      <c r="BQ250" s="12" t="n"/>
      <c r="BR250" s="12" t="n"/>
      <c r="BS250" s="12" t="n"/>
      <c r="BT250" s="12" t="n"/>
      <c r="BU250" s="12" t="n"/>
      <c r="BV250" s="12" t="n"/>
      <c r="BW250" s="12" t="n"/>
      <c r="BX250" s="12" t="n"/>
      <c r="BY250" s="12" t="n"/>
      <c r="BZ250" s="12" t="n"/>
      <c r="CA250" s="12" t="n"/>
      <c r="CB250" s="12" t="n"/>
      <c r="CC250" s="12" t="n"/>
      <c r="CD250" s="12" t="n"/>
      <c r="CE250" s="12" t="n"/>
      <c r="CF250" s="12" t="n"/>
      <c r="CG250" s="12" t="n"/>
      <c r="CH250" s="12" t="n"/>
      <c r="CI250" s="12" t="n"/>
      <c r="CJ250" s="12" t="n"/>
      <c r="CK250" s="12" t="n"/>
      <c r="CL250" s="12" t="n"/>
      <c r="CM250" s="12" t="n"/>
      <c r="CN250" s="12" t="n"/>
      <c r="CO250" s="12" t="n"/>
      <c r="CP250" s="12" t="n"/>
      <c r="CQ250" s="12" t="n"/>
      <c r="CR250" s="12" t="n"/>
      <c r="CS250" s="12" t="n"/>
      <c r="CT250" s="12" t="n"/>
      <c r="CU250" s="12" t="n"/>
      <c r="CV250" s="12" t="n"/>
      <c r="CW250" s="12" t="n"/>
      <c r="CX250" s="12" t="n"/>
      <c r="CY250" s="12" t="n"/>
    </row>
    <row r="251" hidden="1" outlineLevel="1">
      <c r="C251" s="10" t="inlineStr">
        <is>
          <t>Accounts payable</t>
        </is>
      </c>
      <c r="D251" s="12" t="n"/>
      <c r="E251" s="12" t="n"/>
      <c r="F251" s="12" t="n"/>
      <c r="G251" s="12" t="n"/>
      <c r="H251" s="12" t="n"/>
      <c r="I251" s="12" t="n"/>
      <c r="J251" s="12">
        <f>J164-I164</f>
        <v>54.47829324</v>
      </c>
      <c r="K251" s="12">
        <f>K164-J164</f>
        <v>18.66840796</v>
      </c>
      <c r="L251" s="12">
        <f>L164-K164</f>
        <v>66.2759121299999</v>
      </c>
      <c r="M251" s="12" t="n"/>
      <c r="N251" s="12">
        <f>N164-M164</f>
        <v>-50.5623940899999</v>
      </c>
      <c r="O251" s="12">
        <f>O164-N164</f>
        <v>-3.64324785000002</v>
      </c>
      <c r="P251" s="12">
        <f>P164-O164</f>
        <v>-4.96310746</v>
      </c>
      <c r="Q251" s="12">
        <f>Q164-P164</f>
        <v>66.55579386</v>
      </c>
      <c r="R251" s="12">
        <f>SUM(N251:Q251)</f>
        <v>7.38704446000003</v>
      </c>
      <c r="S251" s="12">
        <f>S164-R164</f>
        <v>-4.54999776999995</v>
      </c>
      <c r="T251" s="12">
        <f>T164-S164</f>
        <v>231.55210136</v>
      </c>
      <c r="U251" s="12">
        <f>U164-T164</f>
        <v>-16.045</v>
      </c>
      <c r="V251" s="12">
        <f>V164-U164</f>
        <v>45.188</v>
      </c>
      <c r="W251" s="12">
        <f>SUM(S251:V251)</f>
        <v>256.14510359</v>
      </c>
      <c r="X251" s="12">
        <f>X164-W164</f>
        <v>12.033</v>
      </c>
      <c r="Y251" s="12">
        <f>Y164-X164</f>
        <v>44.029</v>
      </c>
      <c r="Z251" s="12">
        <f>Z164-Y164</f>
        <v>-28.9300000000001</v>
      </c>
      <c r="AA251" s="12">
        <f>AA164-Z164</f>
        <v>56.4640000000001</v>
      </c>
      <c r="AB251" s="12">
        <f>SUM(X251:AA251)</f>
        <v>83.596</v>
      </c>
      <c r="AC251" s="12">
        <f>AC164-AB164</f>
        <v>-29.2926040000001</v>
      </c>
      <c r="AD251" s="12">
        <f>AD164-AC164</f>
        <v>-21.7793959999999</v>
      </c>
      <c r="AE251" s="12">
        <f>AE164-AD164</f>
        <v>68.407</v>
      </c>
      <c r="AF251" s="12">
        <f>AF164-AE164</f>
        <v>78.789</v>
      </c>
      <c r="AG251" s="12">
        <f>SUM(AC251:AF251)</f>
        <v>96.124</v>
      </c>
      <c r="AH251" s="12">
        <f>AH164-AG164</f>
        <v>-66.8340000000001</v>
      </c>
      <c r="AI251" s="12">
        <f>AI164-AH164</f>
        <v>107.436</v>
      </c>
      <c r="AJ251" s="12">
        <f>AJ164-AI164</f>
        <v>-23.9193455374117</v>
      </c>
      <c r="AK251" s="12">
        <f>AK164-AJ164</f>
        <v>-48.6082054235462</v>
      </c>
      <c r="AL251" s="12">
        <f>SUM(AH251:AK251)</f>
        <v>-31.9255509609579</v>
      </c>
      <c r="AM251" s="12">
        <f>AM164-AL164</f>
        <v>79.0074773399681</v>
      </c>
      <c r="AN251" s="12">
        <f>AN164-AM164</f>
        <v>25.9441002720854</v>
      </c>
      <c r="AO251" s="12">
        <f>AO164-AN164</f>
        <v>20.6633205567326</v>
      </c>
      <c r="AP251" s="12">
        <f>AP164-AO164</f>
        <v>-53.1908271197615</v>
      </c>
      <c r="AQ251" s="12">
        <f>SUM(AM251:AP251)</f>
        <v>72.4240710490246</v>
      </c>
      <c r="AR251" s="12">
        <f>AR164-AQ164</f>
        <v>72.0787426120301</v>
      </c>
      <c r="AS251" s="12">
        <f>AS164-AR164</f>
        <v>38.4015293346721</v>
      </c>
      <c r="AT251" s="12">
        <f>AT164-AS164</f>
        <v>22.5080738379127</v>
      </c>
      <c r="AU251" s="12">
        <f>AU164-AT164</f>
        <v>-57.9395291780028</v>
      </c>
      <c r="AV251" s="12">
        <f>SUM(AR251:AU251)</f>
        <v>75.048816606612</v>
      </c>
      <c r="AW251" s="12">
        <f>AW164-AV164</f>
        <v>84.9460385479532</v>
      </c>
      <c r="AX251" s="12">
        <f>AX164-AW164</f>
        <v>30.6419896603362</v>
      </c>
      <c r="AY251" s="12">
        <f>AY164-AX164</f>
        <v>24.4049802539835</v>
      </c>
      <c r="AZ251" s="12">
        <f>AZ164-AY164</f>
        <v>-62.8224820878496</v>
      </c>
      <c r="BA251" s="12">
        <f>SUM(AW251:AZ251)</f>
        <v>77.1705263744233</v>
      </c>
      <c r="BB251" s="12">
        <f>BB164-BA164</f>
        <v>87.1018793453596</v>
      </c>
      <c r="BC251" s="12">
        <f>BC164-BB164</f>
        <v>33.071185794689</v>
      </c>
      <c r="BD251" s="12">
        <f>BD164-BC164</f>
        <v>26.3397268010945</v>
      </c>
      <c r="BE251" s="12">
        <f>BE164-BD164</f>
        <v>-67.8028417945764</v>
      </c>
      <c r="BF251" s="12">
        <f>SUM(BB251:BE251)</f>
        <v>78.7099501465667</v>
      </c>
      <c r="BG251" s="12" t="n"/>
      <c r="BH251" s="12" t="n"/>
      <c r="BI251" s="12" t="n"/>
      <c r="BJ251" s="12" t="n"/>
      <c r="BK251" s="12" t="n"/>
      <c r="BL251" s="12" t="n"/>
      <c r="BM251" s="12" t="n"/>
      <c r="BN251" s="12" t="n"/>
      <c r="BO251" s="12" t="n"/>
      <c r="BP251" s="12" t="n"/>
      <c r="BQ251" s="12" t="n"/>
      <c r="BR251" s="12" t="n"/>
      <c r="BS251" s="12" t="n"/>
      <c r="BT251" s="12" t="n"/>
      <c r="BU251" s="12" t="n"/>
      <c r="BV251" s="12" t="n"/>
      <c r="BW251" s="12" t="n"/>
      <c r="BX251" s="12" t="n"/>
      <c r="BY251" s="12" t="n"/>
      <c r="BZ251" s="12" t="n"/>
      <c r="CA251" s="12" t="n"/>
      <c r="CB251" s="12" t="n"/>
      <c r="CC251" s="12" t="n"/>
      <c r="CD251" s="12" t="n"/>
      <c r="CE251" s="12" t="n"/>
      <c r="CF251" s="12" t="n"/>
      <c r="CG251" s="12" t="n"/>
      <c r="CH251" s="12" t="n"/>
      <c r="CI251" s="12" t="n"/>
      <c r="CJ251" s="12" t="n"/>
      <c r="CK251" s="12" t="n"/>
      <c r="CL251" s="12" t="n"/>
      <c r="CM251" s="12" t="n"/>
      <c r="CN251" s="12" t="n"/>
      <c r="CO251" s="12" t="n"/>
      <c r="CP251" s="12" t="n"/>
      <c r="CQ251" s="12" t="n"/>
      <c r="CR251" s="12" t="n"/>
      <c r="CS251" s="12" t="n"/>
      <c r="CT251" s="12" t="n"/>
      <c r="CU251" s="12" t="n"/>
      <c r="CV251" s="12" t="n"/>
      <c r="CW251" s="12" t="n"/>
      <c r="CX251" s="12" t="n"/>
      <c r="CY251" s="12" t="n"/>
    </row>
    <row r="252" hidden="1" outlineLevel="1">
      <c r="C252" s="10" t="inlineStr">
        <is>
          <t>Accrued expenses</t>
        </is>
      </c>
      <c r="D252" s="12" t="n"/>
      <c r="E252" s="12" t="n"/>
      <c r="F252" s="12" t="n"/>
      <c r="G252" s="12" t="n"/>
      <c r="H252" s="12" t="n"/>
      <c r="I252" s="12" t="n"/>
      <c r="J252" s="12">
        <f>J168-I168</f>
        <v>49.27877659</v>
      </c>
      <c r="K252" s="12">
        <f>K168-J168</f>
        <v>39.19240667</v>
      </c>
      <c r="L252" s="12">
        <f>L168-K168</f>
        <v>-16.07435722</v>
      </c>
      <c r="M252" s="12" t="n"/>
      <c r="N252" s="12">
        <f>N168-M168</f>
        <v>-29.4496219</v>
      </c>
      <c r="O252" s="12">
        <f>O168-N168</f>
        <v>38.16830608</v>
      </c>
      <c r="P252" s="12">
        <f>P168-O168</f>
        <v>30.2686412</v>
      </c>
      <c r="Q252" s="12">
        <f>Q168-P168</f>
        <v>-13.55522774</v>
      </c>
      <c r="R252" s="12">
        <f>SUM(N252:Q252)</f>
        <v>25.43209764</v>
      </c>
      <c r="S252" s="12">
        <f>S168-R168</f>
        <v>-36.04605973</v>
      </c>
      <c r="T252" s="12">
        <f>T168-S168</f>
        <v>137.38276287</v>
      </c>
      <c r="U252" s="12">
        <f>U168-T168</f>
        <v>51.824</v>
      </c>
      <c r="V252" s="12">
        <f>V168-U168</f>
        <v>-41.7720000000001</v>
      </c>
      <c r="W252" s="12">
        <f>SUM(S252:V252)</f>
        <v>111.38870314</v>
      </c>
      <c r="X252" s="12">
        <f>X168-W168</f>
        <v>-53.181</v>
      </c>
      <c r="Y252" s="12">
        <f>Y168-X168</f>
        <v>67.143</v>
      </c>
      <c r="Z252" s="12">
        <f>Z168-Y168</f>
        <v>49.781</v>
      </c>
      <c r="AA252" s="12">
        <f>AA168-Z168</f>
        <v>-20.83</v>
      </c>
      <c r="AB252" s="12">
        <f>SUM(X252:AA252)</f>
        <v>42.913</v>
      </c>
      <c r="AC252" s="12">
        <f>AC168-AB168</f>
        <v>-72.139726</v>
      </c>
      <c r="AD252" s="12">
        <f>AD168-AC168</f>
        <v>58.640726</v>
      </c>
      <c r="AE252" s="12">
        <f>AE168-AD168</f>
        <v>70.573</v>
      </c>
      <c r="AF252" s="12">
        <f>AF168-AE168</f>
        <v>-31.344</v>
      </c>
      <c r="AG252" s="12">
        <f>SUM(AC252:AF252)</f>
        <v>25.73</v>
      </c>
      <c r="AH252" s="12">
        <f>AH168-AG168</f>
        <v>-62.336</v>
      </c>
      <c r="AI252" s="12">
        <f>AI168-AH168</f>
        <v>60.75</v>
      </c>
      <c r="AJ252" s="12">
        <f>AJ168-AI168</f>
        <v>38.2806810711851</v>
      </c>
      <c r="AK252" s="12">
        <f>AK168-AJ168</f>
        <v>41.8896577469159</v>
      </c>
      <c r="AL252" s="12">
        <f>SUM(AH252:AK252)</f>
        <v>78.584338818101</v>
      </c>
      <c r="AM252" s="12">
        <f>AM168-AL168</f>
        <v>45.8388768708348</v>
      </c>
      <c r="AN252" s="12">
        <f>AN168-AM168</f>
        <v>50.1604153816285</v>
      </c>
      <c r="AO252" s="12">
        <f>AO168-AN168</f>
        <v>54.8893743262365</v>
      </c>
      <c r="AP252" s="12">
        <f>AP168-AO168</f>
        <v>60.0641639628283</v>
      </c>
      <c r="AQ252" s="12">
        <f>SUM(AM252:AP252)</f>
        <v>210.952830541528</v>
      </c>
      <c r="AR252" s="12">
        <f>AR168-AQ168</f>
        <v>62.2409698955536</v>
      </c>
      <c r="AS252" s="12">
        <f>AS168-AR168</f>
        <v>67.7976389276876</v>
      </c>
      <c r="AT252" s="12">
        <f>AT168-AS168</f>
        <v>73.8503890906986</v>
      </c>
      <c r="AU252" s="12">
        <f>AU168-AT168</f>
        <v>80.4435088759454</v>
      </c>
      <c r="AV252" s="12">
        <f>SUM(AR252:AU252)</f>
        <v>284.332506789885</v>
      </c>
      <c r="AW252" s="12">
        <f>AW168-AV168</f>
        <v>82.7177323248477</v>
      </c>
      <c r="AX252" s="12">
        <f>AX168-AW168</f>
        <v>89.688910680658</v>
      </c>
      <c r="AY252" s="12">
        <f>AY168-AX168</f>
        <v>97.2475970145363</v>
      </c>
      <c r="AZ252" s="12">
        <f>AZ168-AY168</f>
        <v>105.443304566092</v>
      </c>
      <c r="BA252" s="12">
        <f>SUM(AW252:AZ252)</f>
        <v>375.097544586134</v>
      </c>
      <c r="BB252" s="12">
        <f>BB168-BA168</f>
        <v>107.546723284202</v>
      </c>
      <c r="BC252" s="12">
        <f>BC168-BB168</f>
        <v>116.072673699312</v>
      </c>
      <c r="BD252" s="12">
        <f>BD168-BC168</f>
        <v>125.274533414688</v>
      </c>
      <c r="BE252" s="12">
        <f>BE168-BD168</f>
        <v>135.20588629605</v>
      </c>
      <c r="BF252" s="12">
        <f>SUM(BB252:BE252)</f>
        <v>484.099816694252</v>
      </c>
      <c r="BG252" s="12" t="n"/>
      <c r="BH252" s="12" t="n"/>
      <c r="BI252" s="12" t="n"/>
      <c r="BJ252" s="12" t="n"/>
      <c r="BK252" s="12" t="n"/>
      <c r="BL252" s="12" t="n"/>
      <c r="BM252" s="12" t="n"/>
      <c r="BN252" s="12" t="n"/>
      <c r="BO252" s="12" t="n"/>
      <c r="BP252" s="12" t="n"/>
      <c r="BQ252" s="12" t="n"/>
      <c r="BR252" s="12" t="n"/>
      <c r="BS252" s="12" t="n"/>
      <c r="BT252" s="12" t="n"/>
      <c r="BU252" s="12" t="n"/>
      <c r="BV252" s="12" t="n"/>
      <c r="BW252" s="12" t="n"/>
      <c r="BX252" s="12" t="n"/>
      <c r="BY252" s="12" t="n"/>
      <c r="BZ252" s="12" t="n"/>
      <c r="CA252" s="12" t="n"/>
      <c r="CB252" s="12" t="n"/>
      <c r="CC252" s="12" t="n"/>
      <c r="CD252" s="12" t="n"/>
      <c r="CE252" s="12" t="n"/>
      <c r="CF252" s="12" t="n"/>
      <c r="CG252" s="12" t="n"/>
      <c r="CH252" s="12" t="n"/>
      <c r="CI252" s="12" t="n"/>
      <c r="CJ252" s="12" t="n"/>
      <c r="CK252" s="12" t="n"/>
      <c r="CL252" s="12" t="n"/>
      <c r="CM252" s="12" t="n"/>
      <c r="CN252" s="12" t="n"/>
      <c r="CO252" s="12" t="n"/>
      <c r="CP252" s="12" t="n"/>
      <c r="CQ252" s="12" t="n"/>
      <c r="CR252" s="12" t="n"/>
      <c r="CS252" s="12" t="n"/>
      <c r="CT252" s="12" t="n"/>
      <c r="CU252" s="12" t="n"/>
      <c r="CV252" s="12" t="n"/>
      <c r="CW252" s="12" t="n"/>
      <c r="CX252" s="12" t="n"/>
      <c r="CY252" s="12" t="n"/>
    </row>
    <row r="253" hidden="1" outlineLevel="1">
      <c r="C253" s="10" t="inlineStr">
        <is>
          <t>Taxes payable</t>
        </is>
      </c>
      <c r="D253" s="12" t="n"/>
      <c r="E253" s="12" t="n"/>
      <c r="F253" s="12" t="n"/>
      <c r="G253" s="12" t="n"/>
      <c r="H253" s="12" t="n"/>
      <c r="I253" s="12" t="n"/>
      <c r="J253" s="12">
        <f>J170-I170</f>
        <v>1.51094669999999</v>
      </c>
      <c r="K253" s="12">
        <f>K170-J170</f>
        <v>107.50965615</v>
      </c>
      <c r="L253" s="12">
        <f>L170-K170</f>
        <v>-100.42020149</v>
      </c>
      <c r="M253" s="12" t="n"/>
      <c r="N253" s="12">
        <f>N170-M170</f>
        <v>-9.39097846999999</v>
      </c>
      <c r="O253" s="12">
        <f>O170-N170</f>
        <v>42.81367647</v>
      </c>
      <c r="P253" s="12">
        <f>P170-O170</f>
        <v>48.35775567</v>
      </c>
      <c r="Q253" s="12">
        <f>Q170-P170</f>
        <v>-125.10278092</v>
      </c>
      <c r="R253" s="12">
        <f>SUM(N253:Q253)</f>
        <v>-43.32232725</v>
      </c>
      <c r="S253" s="12">
        <f>S170-R170</f>
        <v>11.55106831</v>
      </c>
      <c r="T253" s="12">
        <f>T170-S170</f>
        <v>21.09085165</v>
      </c>
      <c r="U253" s="12">
        <f>U170-T170</f>
        <v>3.474</v>
      </c>
      <c r="V253" s="12">
        <f>V170-U170</f>
        <v>-3.455</v>
      </c>
      <c r="W253" s="12">
        <f>SUM(S253:V253)</f>
        <v>32.66091996</v>
      </c>
      <c r="X253" s="12">
        <f>X170-W170</f>
        <v>-5.572</v>
      </c>
      <c r="Y253" s="12">
        <f>Y170-X170</f>
        <v>34.272</v>
      </c>
      <c r="Z253" s="12">
        <f>Z170-Y170</f>
        <v>-13.76</v>
      </c>
      <c r="AA253" s="12">
        <f>AA170-Z170</f>
        <v>3.05800000000001</v>
      </c>
      <c r="AB253" s="12">
        <f>SUM(X253:AA253)</f>
        <v>17.998</v>
      </c>
      <c r="AC253" s="12">
        <f>AC170-AB170</f>
        <v>-13.068778</v>
      </c>
      <c r="AD253" s="12">
        <f>AD170-AC170</f>
        <v>17.761778</v>
      </c>
      <c r="AE253" s="12">
        <f>AE170-AD170</f>
        <v>14.072</v>
      </c>
      <c r="AF253" s="12">
        <f>AF170-AE170</f>
        <v>-19.816</v>
      </c>
      <c r="AG253" s="12">
        <f>SUM(AC253:AF253)</f>
        <v>-1.051</v>
      </c>
      <c r="AH253" s="12">
        <f>AH170-AG170</f>
        <v>-8.282</v>
      </c>
      <c r="AI253" s="12">
        <f>AI170-AH170</f>
        <v>23.76</v>
      </c>
      <c r="AJ253" s="12">
        <f>AJ170-AI170</f>
        <v>10.6540224666478</v>
      </c>
      <c r="AK253" s="12">
        <f>AK170-AJ170</f>
        <v>11.6584486552348</v>
      </c>
      <c r="AL253" s="12">
        <f>SUM(AH253:AK253)</f>
        <v>37.7904711218826</v>
      </c>
      <c r="AM253" s="12">
        <f>AM170-AL170</f>
        <v>12.7575688405237</v>
      </c>
      <c r="AN253" s="12">
        <f>AN170-AM170</f>
        <v>13.9603104609997</v>
      </c>
      <c r="AO253" s="12">
        <f>AO170-AN170</f>
        <v>15.2764426046786</v>
      </c>
      <c r="AP253" s="12">
        <f>AP170-AO170</f>
        <v>16.7166553570563</v>
      </c>
      <c r="AQ253" s="12">
        <f>SUM(AM253:AP253)</f>
        <v>58.7109772632583</v>
      </c>
      <c r="AR253" s="12">
        <f>AR170-AQ170</f>
        <v>17.3224893877953</v>
      </c>
      <c r="AS253" s="12">
        <f>AS170-AR170</f>
        <v>18.8689842528682</v>
      </c>
      <c r="AT253" s="12">
        <f>AT170-AS170</f>
        <v>20.553545091841</v>
      </c>
      <c r="AU253" s="12">
        <f>AU170-AT170</f>
        <v>22.3884979806545</v>
      </c>
      <c r="AV253" s="12">
        <f>SUM(AR253:AU253)</f>
        <v>79.1335167131589</v>
      </c>
      <c r="AW253" s="12">
        <f>AW170-AV170</f>
        <v>23.0214446012678</v>
      </c>
      <c r="AX253" s="12">
        <f>AX170-AW170</f>
        <v>24.9616162163888</v>
      </c>
      <c r="AY253" s="12">
        <f>AY170-AX170</f>
        <v>27.0652991124619</v>
      </c>
      <c r="AZ253" s="12">
        <f>AZ170-AY170</f>
        <v>29.3462734823269</v>
      </c>
      <c r="BA253" s="12">
        <f>SUM(AW253:AZ253)</f>
        <v>104.394633412445</v>
      </c>
      <c r="BB253" s="12">
        <f>BB170-BA170</f>
        <v>29.9316828755883</v>
      </c>
      <c r="BC253" s="12">
        <f>BC170-BB170</f>
        <v>32.3045682248116</v>
      </c>
      <c r="BD253" s="12">
        <f>BD170-BC170</f>
        <v>34.8655681182108</v>
      </c>
      <c r="BE253" s="12">
        <f>BE170-BD170</f>
        <v>37.6295956579896</v>
      </c>
      <c r="BF253" s="12">
        <f>SUM(BB253:BE253)</f>
        <v>134.7314148766</v>
      </c>
      <c r="BG253" s="12" t="n"/>
      <c r="BH253" s="12" t="n"/>
      <c r="BI253" s="12" t="n"/>
      <c r="BJ253" s="12" t="n"/>
      <c r="BK253" s="12" t="n"/>
      <c r="BL253" s="12" t="n"/>
      <c r="BM253" s="12" t="n"/>
      <c r="BN253" s="12" t="n"/>
      <c r="BO253" s="12" t="n"/>
      <c r="BP253" s="12" t="n"/>
      <c r="BQ253" s="12" t="n"/>
      <c r="BR253" s="12" t="n"/>
      <c r="BS253" s="12" t="n"/>
      <c r="BT253" s="12" t="n"/>
      <c r="BU253" s="12" t="n"/>
      <c r="BV253" s="12" t="n"/>
      <c r="BW253" s="12" t="n"/>
      <c r="BX253" s="12" t="n"/>
      <c r="BY253" s="12" t="n"/>
      <c r="BZ253" s="12" t="n"/>
      <c r="CA253" s="12" t="n"/>
      <c r="CB253" s="12" t="n"/>
      <c r="CC253" s="12" t="n"/>
      <c r="CD253" s="12" t="n"/>
      <c r="CE253" s="12" t="n"/>
      <c r="CF253" s="12" t="n"/>
      <c r="CG253" s="12" t="n"/>
      <c r="CH253" s="12" t="n"/>
      <c r="CI253" s="12" t="n"/>
      <c r="CJ253" s="12" t="n"/>
      <c r="CK253" s="12" t="n"/>
      <c r="CL253" s="12" t="n"/>
      <c r="CM253" s="12" t="n"/>
      <c r="CN253" s="12" t="n"/>
      <c r="CO253" s="12" t="n"/>
      <c r="CP253" s="12" t="n"/>
      <c r="CQ253" s="12" t="n"/>
      <c r="CR253" s="12" t="n"/>
      <c r="CS253" s="12" t="n"/>
      <c r="CT253" s="12" t="n"/>
      <c r="CU253" s="12" t="n"/>
      <c r="CV253" s="12" t="n"/>
      <c r="CW253" s="12" t="n"/>
      <c r="CX253" s="12" t="n"/>
      <c r="CY253" s="12" t="n"/>
    </row>
    <row r="254" hidden="1" outlineLevel="1">
      <c r="C254" s="10" t="inlineStr">
        <is>
          <t>Other current liabilities (non-debt)</t>
        </is>
      </c>
      <c r="D254" s="12" t="n"/>
      <c r="E254" s="12" t="n"/>
      <c r="F254" s="12" t="n"/>
      <c r="G254" s="12" t="n"/>
      <c r="H254" s="12" t="n"/>
      <c r="I254" s="12" t="n"/>
      <c r="J254" s="12">
        <f>J171-I171</f>
        <v>-155.66532882</v>
      </c>
      <c r="K254" s="12">
        <f>K171-J171</f>
        <v>0.0338307399999991</v>
      </c>
      <c r="L254" s="12">
        <f>L171-K171</f>
        <v>14.36296902</v>
      </c>
      <c r="M254" s="12" t="n"/>
      <c r="N254" s="12">
        <f>N171-M171</f>
        <v>217.08300932</v>
      </c>
      <c r="O254" s="12">
        <f>O171-N171</f>
        <v>-223.00108792</v>
      </c>
      <c r="P254" s="12">
        <f>P171-O171</f>
        <v>0.54002865</v>
      </c>
      <c r="Q254" s="12">
        <f>Q171-P171</f>
        <v>1.35878236</v>
      </c>
      <c r="R254" s="12">
        <f>SUM(N254:Q254)</f>
        <v>-4.01926759</v>
      </c>
      <c r="S254" s="12">
        <f>S171-R171</f>
        <v>7.10682843</v>
      </c>
      <c r="T254" s="12">
        <f>T171-S171</f>
        <v>3.18743916</v>
      </c>
      <c r="U254" s="12">
        <f>U171-T171</f>
        <v>77.2</v>
      </c>
      <c r="V254" s="12">
        <f>V171-U171</f>
        <v>-70.31</v>
      </c>
      <c r="W254" s="12">
        <f>SUM(S254:V254)</f>
        <v>17.18426759</v>
      </c>
      <c r="X254" s="12">
        <f>X171-W171</f>
        <v>66.409</v>
      </c>
      <c r="Y254" s="12">
        <f>Y171-X171</f>
        <v>-75.456</v>
      </c>
      <c r="Z254" s="12">
        <f>Z171-Y171</f>
        <v>156.433</v>
      </c>
      <c r="AA254" s="12">
        <f>AA171-Z171</f>
        <v>-164.621</v>
      </c>
      <c r="AB254" s="12">
        <f>SUM(X254:AA254)</f>
        <v>-17.235</v>
      </c>
      <c r="AC254" s="12">
        <f>AC171-AB171</f>
        <v>257.909014</v>
      </c>
      <c r="AD254" s="12">
        <f>AD171-AC171</f>
        <v>-250.146014</v>
      </c>
      <c r="AE254" s="12">
        <f>AE171-AD171</f>
        <v>160.019</v>
      </c>
      <c r="AF254" s="12">
        <f>AF171-AE171</f>
        <v>124.292</v>
      </c>
      <c r="AG254" s="12">
        <f>SUM(AC254:AF254)</f>
        <v>292.074</v>
      </c>
      <c r="AH254" s="12">
        <f>AH171-AG171</f>
        <v>6.12799999999999</v>
      </c>
      <c r="AI254" s="12">
        <f>AI171-AH171</f>
        <v>-224.379</v>
      </c>
      <c r="AJ254" s="12">
        <f>AJ171-AI171</f>
        <v>0</v>
      </c>
      <c r="AK254" s="12">
        <f>AK171-AJ171</f>
        <v>0</v>
      </c>
      <c r="AL254" s="12">
        <f>SUM(AH254:AK254)</f>
        <v>-218.251</v>
      </c>
      <c r="AM254" s="12">
        <f>AM171-AL171</f>
        <v>0</v>
      </c>
      <c r="AN254" s="12">
        <f>AN171-AM171</f>
        <v>0</v>
      </c>
      <c r="AO254" s="12">
        <f>AO171-AN171</f>
        <v>0</v>
      </c>
      <c r="AP254" s="12">
        <f>AP171-AO171</f>
        <v>0</v>
      </c>
      <c r="AQ254" s="12">
        <f>SUM(AM254:AP254)</f>
        <v>0</v>
      </c>
      <c r="AR254" s="12">
        <f>AR171-AQ171</f>
        <v>0</v>
      </c>
      <c r="AS254" s="12">
        <f>AS171-AR171</f>
        <v>0</v>
      </c>
      <c r="AT254" s="12">
        <f>AT171-AS171</f>
        <v>0</v>
      </c>
      <c r="AU254" s="12">
        <f>AU171-AT171</f>
        <v>0</v>
      </c>
      <c r="AV254" s="12">
        <f>SUM(AR254:AU254)</f>
        <v>0</v>
      </c>
      <c r="AW254" s="12">
        <f>AW171-AV171</f>
        <v>0</v>
      </c>
      <c r="AX254" s="12">
        <f>AX171-AW171</f>
        <v>0</v>
      </c>
      <c r="AY254" s="12">
        <f>AY171-AX171</f>
        <v>0</v>
      </c>
      <c r="AZ254" s="12">
        <f>AZ171-AY171</f>
        <v>0</v>
      </c>
      <c r="BA254" s="12">
        <f>SUM(AW254:AZ254)</f>
        <v>0</v>
      </c>
      <c r="BB254" s="12">
        <f>BB171-BA171</f>
        <v>0</v>
      </c>
      <c r="BC254" s="12">
        <f>BC171-BB171</f>
        <v>0</v>
      </c>
      <c r="BD254" s="12">
        <f>BD171-BC171</f>
        <v>0</v>
      </c>
      <c r="BE254" s="12">
        <f>BE171-BD171</f>
        <v>0</v>
      </c>
      <c r="BF254" s="12">
        <f>SUM(BB254:BE254)</f>
        <v>0</v>
      </c>
      <c r="BG254" s="12" t="n"/>
      <c r="BH254" s="12" t="n"/>
      <c r="BI254" s="12" t="n"/>
      <c r="BJ254" s="12" t="n"/>
      <c r="BK254" s="12" t="n"/>
      <c r="BL254" s="12" t="n"/>
      <c r="BM254" s="12" t="n"/>
      <c r="BN254" s="12" t="n"/>
      <c r="BO254" s="12" t="n"/>
      <c r="BP254" s="12" t="n"/>
      <c r="BQ254" s="12" t="n"/>
      <c r="BR254" s="12" t="n"/>
      <c r="BS254" s="12" t="n"/>
      <c r="BT254" s="12" t="n"/>
      <c r="BU254" s="12" t="n"/>
      <c r="BV254" s="12" t="n"/>
      <c r="BW254" s="12" t="n"/>
      <c r="BX254" s="12" t="n"/>
      <c r="BY254" s="12" t="n"/>
      <c r="BZ254" s="12" t="n"/>
      <c r="CA254" s="12" t="n"/>
      <c r="CB254" s="12" t="n"/>
      <c r="CC254" s="12" t="n"/>
      <c r="CD254" s="12" t="n"/>
      <c r="CE254" s="12" t="n"/>
      <c r="CF254" s="12" t="n"/>
      <c r="CG254" s="12" t="n"/>
      <c r="CH254" s="12" t="n"/>
      <c r="CI254" s="12" t="n"/>
      <c r="CJ254" s="12" t="n"/>
      <c r="CK254" s="12" t="n"/>
      <c r="CL254" s="12" t="n"/>
      <c r="CM254" s="12" t="n"/>
      <c r="CN254" s="12" t="n"/>
      <c r="CO254" s="12" t="n"/>
      <c r="CP254" s="12" t="n"/>
      <c r="CQ254" s="12" t="n"/>
      <c r="CR254" s="12" t="n"/>
      <c r="CS254" s="12" t="n"/>
      <c r="CT254" s="12" t="n"/>
      <c r="CU254" s="12" t="n"/>
      <c r="CV254" s="12" t="n"/>
      <c r="CW254" s="12" t="n"/>
      <c r="CX254" s="12" t="n"/>
      <c r="CY254" s="12" t="n"/>
    </row>
    <row r="255" hidden="1" outlineLevel="1">
      <c r="C255" s="10" t="inlineStr">
        <is>
          <t>Deferred income taxes</t>
        </is>
      </c>
      <c r="D255" s="12" t="n"/>
      <c r="E255" s="12" t="n"/>
      <c r="F255" s="12" t="n"/>
      <c r="G255" s="12" t="n"/>
      <c r="H255" s="12" t="n"/>
      <c r="I255" s="12" t="n"/>
      <c r="J255" s="12">
        <f>J205-I205</f>
        <v>-0.490335000000016</v>
      </c>
      <c r="K255" s="12">
        <f>K205-J205</f>
        <v>-0.735139979999985</v>
      </c>
      <c r="L255" s="12">
        <f>L205-K205</f>
        <v>-68.3793679400001</v>
      </c>
      <c r="M255" s="12" t="n"/>
      <c r="N255" s="12">
        <f>N205-M205</f>
        <v>12.91674333</v>
      </c>
      <c r="O255" s="12">
        <f>O205-N205</f>
        <v>97.72635865</v>
      </c>
      <c r="P255" s="12">
        <f>P205-O205</f>
        <v>2.70000855000006</v>
      </c>
      <c r="Q255" s="12">
        <f>Q205-P205</f>
        <v>-113.31498629</v>
      </c>
      <c r="R255" s="12">
        <f>SUM(N255:Q255)</f>
        <v>0.028124240000011</v>
      </c>
      <c r="S255" s="12">
        <f>S205-R205</f>
        <v>5.55023147999998</v>
      </c>
      <c r="T255" s="12">
        <f>T205-S205</f>
        <v>167.42964428</v>
      </c>
      <c r="U255" s="12">
        <f>U205-T205</f>
        <v>-20.6709999999999</v>
      </c>
      <c r="V255" s="12">
        <f>V205-U205</f>
        <v>30.635</v>
      </c>
      <c r="W255" s="12">
        <f>SUM(S255:V255)</f>
        <v>182.94387576</v>
      </c>
      <c r="X255" s="12">
        <f>X205-W205</f>
        <v>-3.77999999999997</v>
      </c>
      <c r="Y255" s="12">
        <f>Y205-X205</f>
        <v>-25.307</v>
      </c>
      <c r="Z255" s="12">
        <f>Z205-Y205</f>
        <v>30.039</v>
      </c>
      <c r="AA255" s="12">
        <f>AA205-Z205</f>
        <v>-9.68899999999997</v>
      </c>
      <c r="AB255" s="12">
        <f>SUM(X255:AA255)</f>
        <v>-8.73699999999997</v>
      </c>
      <c r="AC255" s="12">
        <f>AC205-AB205</f>
        <v>8.53060499999992</v>
      </c>
      <c r="AD255" s="12">
        <f>AD205-AC205</f>
        <v>-54.7076049999999</v>
      </c>
      <c r="AE255" s="12">
        <f>AE205-AD205</f>
        <v>17.51</v>
      </c>
      <c r="AF255" s="12">
        <f>AF205-AE205</f>
        <v>14.4109999999999</v>
      </c>
      <c r="AG255" s="12">
        <f>SUM(AC255:AF255)</f>
        <v>-14.2560000000001</v>
      </c>
      <c r="AH255" s="12">
        <f>AH205-AG205</f>
        <v>-2.24699999999996</v>
      </c>
      <c r="AI255" s="12">
        <f>AI205-AH205</f>
        <v>-27.9400000000001</v>
      </c>
      <c r="AJ255" s="12">
        <f>AJ205-AI205</f>
        <v>0</v>
      </c>
      <c r="AK255" s="12">
        <f>AK205-AJ205</f>
        <v>0</v>
      </c>
      <c r="AL255" s="12">
        <f>SUM(AH255:AK255)</f>
        <v>-30.187</v>
      </c>
      <c r="AM255" s="12">
        <f>AM205-AL205</f>
        <v>0</v>
      </c>
      <c r="AN255" s="12">
        <f>AN205-AM205</f>
        <v>0</v>
      </c>
      <c r="AO255" s="12">
        <f>AO205-AN205</f>
        <v>0</v>
      </c>
      <c r="AP255" s="12">
        <f>AP205-AO205</f>
        <v>0</v>
      </c>
      <c r="AQ255" s="12">
        <f>SUM(AM255:AP255)</f>
        <v>0</v>
      </c>
      <c r="AR255" s="12">
        <f>AR205-AQ205</f>
        <v>0</v>
      </c>
      <c r="AS255" s="12">
        <f>AS205-AR205</f>
        <v>0</v>
      </c>
      <c r="AT255" s="12">
        <f>AT205-AS205</f>
        <v>0</v>
      </c>
      <c r="AU255" s="12">
        <f>AU205-AT205</f>
        <v>0</v>
      </c>
      <c r="AV255" s="12">
        <f>SUM(AR255:AU255)</f>
        <v>0</v>
      </c>
      <c r="AW255" s="12">
        <f>AW205-AV205</f>
        <v>0</v>
      </c>
      <c r="AX255" s="12">
        <f>AX205-AW205</f>
        <v>0</v>
      </c>
      <c r="AY255" s="12">
        <f>AY205-AX205</f>
        <v>0</v>
      </c>
      <c r="AZ255" s="12">
        <f>AZ205-AY205</f>
        <v>0</v>
      </c>
      <c r="BA255" s="12">
        <f>SUM(AW255:AZ255)</f>
        <v>0</v>
      </c>
      <c r="BB255" s="12">
        <f>BB205-BA205</f>
        <v>0</v>
      </c>
      <c r="BC255" s="12">
        <f>BC205-BB205</f>
        <v>0</v>
      </c>
      <c r="BD255" s="12">
        <f>BD205-BC205</f>
        <v>0</v>
      </c>
      <c r="BE255" s="12">
        <f>BE205-BD205</f>
        <v>0</v>
      </c>
      <c r="BF255" s="12">
        <f>SUM(BB255:BE255)</f>
        <v>0</v>
      </c>
      <c r="BG255" s="12" t="n"/>
      <c r="BH255" s="12" t="n"/>
      <c r="BI255" s="12" t="n"/>
      <c r="BJ255" s="12" t="n"/>
      <c r="BK255" s="12" t="n"/>
      <c r="BL255" s="12" t="n"/>
      <c r="BM255" s="12" t="n"/>
      <c r="BN255" s="12" t="n"/>
      <c r="BO255" s="12" t="n"/>
      <c r="BP255" s="12" t="n"/>
      <c r="BQ255" s="12" t="n"/>
      <c r="BR255" s="12" t="n"/>
      <c r="BS255" s="12" t="n"/>
      <c r="BT255" s="12" t="n"/>
      <c r="BU255" s="12" t="n"/>
      <c r="BV255" s="12" t="n"/>
      <c r="BW255" s="12" t="n"/>
      <c r="BX255" s="12" t="n"/>
      <c r="BY255" s="12" t="n"/>
      <c r="BZ255" s="12" t="n"/>
      <c r="CA255" s="12" t="n"/>
      <c r="CB255" s="12" t="n"/>
      <c r="CC255" s="12" t="n"/>
      <c r="CD255" s="12" t="n"/>
      <c r="CE255" s="12" t="n"/>
      <c r="CF255" s="12" t="n"/>
      <c r="CG255" s="12" t="n"/>
      <c r="CH255" s="12" t="n"/>
      <c r="CI255" s="12" t="n"/>
      <c r="CJ255" s="12" t="n"/>
      <c r="CK255" s="12" t="n"/>
      <c r="CL255" s="12" t="n"/>
      <c r="CM255" s="12" t="n"/>
      <c r="CN255" s="12" t="n"/>
      <c r="CO255" s="12" t="n"/>
      <c r="CP255" s="12" t="n"/>
      <c r="CQ255" s="12" t="n"/>
      <c r="CR255" s="12" t="n"/>
      <c r="CS255" s="12" t="n"/>
      <c r="CT255" s="12" t="n"/>
      <c r="CU255" s="12" t="n"/>
      <c r="CV255" s="12" t="n"/>
      <c r="CW255" s="12" t="n"/>
      <c r="CX255" s="12" t="n"/>
      <c r="CY255" s="12" t="n"/>
    </row>
    <row r="256" collapsed="1">
      <c r="C256" s="10" t="inlineStr">
        <is>
          <t>Equity income in affiliates</t>
        </is>
      </c>
      <c r="D256" s="12" t="n"/>
      <c r="E256" s="12" t="n"/>
      <c r="F256" s="12" t="n"/>
      <c r="G256" s="12" t="n"/>
      <c r="H256" s="12" t="n"/>
      <c r="I256" s="12" t="n"/>
      <c r="J256" s="12">
        <f>(J127-I127)*-1</f>
        <v>-101.806038465</v>
      </c>
      <c r="K256" s="12">
        <f>(K127-J127)*-1</f>
        <v>-219.513458723</v>
      </c>
      <c r="L256" s="12">
        <f>(L127-K127)*-1</f>
        <v>312.167190178</v>
      </c>
      <c r="M256" s="12" t="n"/>
      <c r="N256" s="12">
        <f>(N127-M127)*-1</f>
        <v>2.533410788</v>
      </c>
      <c r="O256" s="12">
        <f>(O127-N127)*-1</f>
        <v>-1.781851121</v>
      </c>
      <c r="P256" s="12">
        <f>(P127-O127)*-1</f>
        <v>-10.228797027</v>
      </c>
      <c r="Q256" s="12">
        <f>(Q127-P127)*-1</f>
        <v>8.48022209399999</v>
      </c>
      <c r="R256" s="12">
        <f>SUM(N256:Q256)</f>
        <v>-0.997015266000005</v>
      </c>
      <c r="S256" s="12">
        <f>(S127-R127)*-1</f>
        <v>-12.792209204</v>
      </c>
      <c r="T256" s="12">
        <f>(T127-S127)*-1</f>
        <v>-9.5555597</v>
      </c>
      <c r="U256" s="12">
        <f>(U127-T127)*-1</f>
        <v>-1.83200000000001</v>
      </c>
      <c r="V256" s="12">
        <f>(V127-U127)*-1</f>
        <v>-13.259</v>
      </c>
      <c r="W256" s="12">
        <f>SUM(S256:V256)</f>
        <v>-37.438768904</v>
      </c>
      <c r="X256" s="12">
        <f>(X127-W127)*-1</f>
        <v>12.514</v>
      </c>
      <c r="Y256" s="12">
        <f>(Y127-X127)*-1</f>
        <v>-24.404</v>
      </c>
      <c r="Z256" s="12">
        <f>(Z127-Y127)*-1</f>
        <v>-6.94799999999999</v>
      </c>
      <c r="AA256" s="12">
        <f>(AA127-Z127)*-1</f>
        <v>18.447</v>
      </c>
      <c r="AB256" s="12">
        <f>SUM(X256:AA256)</f>
        <v>-0.390999999999991</v>
      </c>
      <c r="AC256" s="12">
        <f>(AC127-AB127)*-1</f>
        <v>-20.291544</v>
      </c>
      <c r="AD256" s="12">
        <f>(AD127-AC127)*-1</f>
        <v>-139.632456</v>
      </c>
      <c r="AE256" s="12">
        <f>(AE127-AD127)*-1</f>
        <v>132.182</v>
      </c>
      <c r="AF256" s="12">
        <f>(AF127-AE127)*-1</f>
        <v>-2.12</v>
      </c>
      <c r="AG256" s="12">
        <f>SUM(AC256:AF256)</f>
        <v>-29.862</v>
      </c>
      <c r="AH256" s="12">
        <f>(AH127-AG127)*-1</f>
        <v>5.92200000000001</v>
      </c>
      <c r="AI256" s="12">
        <f>(AI127-AH127)*-1</f>
        <v>-63.474</v>
      </c>
      <c r="AJ256" s="12">
        <f>(AJ127-AI127)*-1</f>
        <v>0</v>
      </c>
      <c r="AK256" s="12">
        <f>(AK127-AJ127)*-1</f>
        <v>0</v>
      </c>
      <c r="AL256" s="12">
        <f>SUM(AH256:AK256)</f>
        <v>-57.552</v>
      </c>
      <c r="AM256" s="12">
        <f>(AM127-AL127)*-1</f>
        <v>0</v>
      </c>
      <c r="AN256" s="12">
        <f>(AN127-AM127)*-1</f>
        <v>0</v>
      </c>
      <c r="AO256" s="12">
        <f>(AO127-AN127)*-1</f>
        <v>0</v>
      </c>
      <c r="AP256" s="12">
        <f>(AP127-AO127)*-1</f>
        <v>0</v>
      </c>
      <c r="AQ256" s="12">
        <f>SUM(AM256:AP256)</f>
        <v>0</v>
      </c>
      <c r="AR256" s="12">
        <f>(AR127-AQ127)*-1</f>
        <v>0</v>
      </c>
      <c r="AS256" s="12">
        <f>(AS127-AR127)*-1</f>
        <v>0</v>
      </c>
      <c r="AT256" s="12">
        <f>(AT127-AS127)*-1</f>
        <v>0</v>
      </c>
      <c r="AU256" s="12">
        <f>(AU127-AT127)*-1</f>
        <v>0</v>
      </c>
      <c r="AV256" s="12">
        <f>SUM(AR256:AU256)</f>
        <v>0</v>
      </c>
      <c r="AW256" s="12">
        <f>(AW127-AV127)*-1</f>
        <v>0</v>
      </c>
      <c r="AX256" s="12">
        <f>(AX127-AW127)*-1</f>
        <v>0</v>
      </c>
      <c r="AY256" s="12">
        <f>(AY127-AX127)*-1</f>
        <v>0</v>
      </c>
      <c r="AZ256" s="12">
        <f>(AZ127-AY127)*-1</f>
        <v>0</v>
      </c>
      <c r="BA256" s="12">
        <f>SUM(AW256:AZ256)</f>
        <v>0</v>
      </c>
      <c r="BB256" s="12">
        <f>(BB127-BA127)*-1</f>
        <v>0</v>
      </c>
      <c r="BC256" s="12">
        <f>(BC127-BB127)*-1</f>
        <v>0</v>
      </c>
      <c r="BD256" s="12">
        <f>(BD127-BC127)*-1</f>
        <v>0</v>
      </c>
      <c r="BE256" s="12">
        <f>(BE127-BD127)*-1</f>
        <v>0</v>
      </c>
      <c r="BF256" s="12">
        <f>SUM(BB256:BE256)</f>
        <v>0</v>
      </c>
      <c r="BG256" s="12" t="n"/>
      <c r="BH256" s="12" t="n"/>
      <c r="BI256" s="12" t="n"/>
      <c r="BJ256" s="12" t="n"/>
      <c r="BK256" s="12" t="n"/>
      <c r="BL256" s="12" t="n"/>
      <c r="BM256" s="12" t="n"/>
      <c r="BN256" s="12" t="n"/>
      <c r="BO256" s="12" t="n"/>
      <c r="BP256" s="12" t="n"/>
      <c r="BQ256" s="12" t="n"/>
      <c r="BR256" s="12" t="n"/>
      <c r="BS256" s="12" t="n"/>
      <c r="BT256" s="12" t="n"/>
      <c r="BU256" s="12" t="n"/>
      <c r="BV256" s="12" t="n"/>
      <c r="BW256" s="12" t="n"/>
      <c r="BX256" s="12" t="n"/>
      <c r="BY256" s="12" t="n"/>
      <c r="BZ256" s="12" t="n"/>
      <c r="CA256" s="12" t="n"/>
      <c r="CB256" s="12" t="n"/>
      <c r="CC256" s="12" t="n"/>
      <c r="CD256" s="12" t="n"/>
      <c r="CE256" s="12" t="n"/>
      <c r="CF256" s="12" t="n"/>
      <c r="CG256" s="12" t="n"/>
      <c r="CH256" s="12" t="n"/>
      <c r="CI256" s="12" t="n"/>
      <c r="CJ256" s="12" t="n"/>
      <c r="CK256" s="12" t="n"/>
      <c r="CL256" s="12" t="n"/>
      <c r="CM256" s="12" t="n"/>
      <c r="CN256" s="12" t="n"/>
      <c r="CO256" s="12" t="n"/>
      <c r="CP256" s="12" t="n"/>
      <c r="CQ256" s="12" t="n"/>
      <c r="CR256" s="12" t="n"/>
      <c r="CS256" s="12" t="n"/>
      <c r="CT256" s="12" t="n"/>
      <c r="CU256" s="12" t="n"/>
      <c r="CV256" s="12" t="n"/>
      <c r="CW256" s="12" t="n"/>
      <c r="CX256" s="12" t="n"/>
      <c r="CY256" s="12" t="n"/>
    </row>
    <row r="257">
      <c r="C257" s="10" t="inlineStr">
        <is>
          <t>Dividends received from affiliates</t>
        </is>
      </c>
      <c r="D257" s="12" t="n"/>
      <c r="E257" s="12" t="n"/>
      <c r="F257" s="12" t="n"/>
      <c r="G257" s="12" t="n"/>
      <c r="H257" s="12" t="n"/>
      <c r="I257" s="12" t="n"/>
      <c r="J257" s="12">
        <f>-J130</f>
        <v>0</v>
      </c>
      <c r="K257" s="12">
        <f>-K130</f>
        <v>0</v>
      </c>
      <c r="L257" s="12">
        <f>-L130</f>
        <v>0</v>
      </c>
      <c r="M257" s="12" t="n"/>
      <c r="N257" s="12">
        <f>-N130</f>
        <v>0</v>
      </c>
      <c r="O257" s="12">
        <f>-O130</f>
        <v>0</v>
      </c>
      <c r="P257" s="12">
        <f>-P130</f>
        <v>0</v>
      </c>
      <c r="Q257" s="12">
        <f>-Q130</f>
        <v>0</v>
      </c>
      <c r="R257" s="12">
        <f>SUM(N257:Q257)</f>
        <v>0</v>
      </c>
      <c r="S257" s="12">
        <f>-S130</f>
        <v>0</v>
      </c>
      <c r="T257" s="12">
        <f>-T130</f>
        <v>0</v>
      </c>
      <c r="U257" s="12">
        <f>-U130</f>
        <v>0</v>
      </c>
      <c r="V257" s="12">
        <f>-V130</f>
        <v>0</v>
      </c>
      <c r="W257" s="12">
        <f>SUM(S257:V257)</f>
        <v>0</v>
      </c>
      <c r="X257" s="12">
        <f>-X130</f>
        <v>0</v>
      </c>
      <c r="Y257" s="12">
        <f>-Y130</f>
        <v>0</v>
      </c>
      <c r="Z257" s="12">
        <f>-Z130</f>
        <v>0</v>
      </c>
      <c r="AA257" s="12">
        <f>-AA130</f>
        <v>0</v>
      </c>
      <c r="AB257" s="12">
        <f>SUM(X257:AA257)</f>
        <v>0</v>
      </c>
      <c r="AC257" s="12">
        <f>-AC130</f>
        <v>0</v>
      </c>
      <c r="AD257" s="12">
        <f>-AD130</f>
        <v>0</v>
      </c>
      <c r="AE257" s="12">
        <f>-AE130</f>
        <v>0</v>
      </c>
      <c r="AF257" s="12">
        <f>-AF130</f>
        <v>0</v>
      </c>
      <c r="AG257" s="12">
        <f>SUM(AC257:AF257)</f>
        <v>0</v>
      </c>
      <c r="AH257" s="12">
        <f>-AH130</f>
        <v>0</v>
      </c>
      <c r="AI257" s="12">
        <f>-AI130</f>
        <v>0</v>
      </c>
      <c r="AJ257" s="12">
        <f>-AJ130</f>
        <v>0</v>
      </c>
      <c r="AK257" s="12">
        <f>-AK130</f>
        <v>0</v>
      </c>
      <c r="AL257" s="12">
        <f>SUM(AH257:AK257)</f>
        <v>0</v>
      </c>
      <c r="AM257" s="12">
        <f>-AM130</f>
        <v>0</v>
      </c>
      <c r="AN257" s="12">
        <f>-AN130</f>
        <v>0</v>
      </c>
      <c r="AO257" s="12">
        <f>-AO130</f>
        <v>0</v>
      </c>
      <c r="AP257" s="12">
        <f>-AP130</f>
        <v>0</v>
      </c>
      <c r="AQ257" s="12">
        <f>SUM(AM257:AP257)</f>
        <v>0</v>
      </c>
      <c r="AR257" s="12">
        <f>-AR130</f>
        <v>0</v>
      </c>
      <c r="AS257" s="12">
        <f>-AS130</f>
        <v>0</v>
      </c>
      <c r="AT257" s="12">
        <f>-AT130</f>
        <v>0</v>
      </c>
      <c r="AU257" s="12">
        <f>-AU130</f>
        <v>0</v>
      </c>
      <c r="AV257" s="12">
        <f>SUM(AR257:AU257)</f>
        <v>0</v>
      </c>
      <c r="AW257" s="12">
        <f>-AW130</f>
        <v>0</v>
      </c>
      <c r="AX257" s="12">
        <f>-AX130</f>
        <v>0</v>
      </c>
      <c r="AY257" s="12">
        <f>-AY130</f>
        <v>0</v>
      </c>
      <c r="AZ257" s="12">
        <f>-AZ130</f>
        <v>0</v>
      </c>
      <c r="BA257" s="12">
        <f>SUM(AW257:AZ257)</f>
        <v>0</v>
      </c>
      <c r="BB257" s="12">
        <f>-BB130</f>
        <v>0</v>
      </c>
      <c r="BC257" s="12">
        <f>-BC130</f>
        <v>0</v>
      </c>
      <c r="BD257" s="12">
        <f>-BD130</f>
        <v>0</v>
      </c>
      <c r="BE257" s="12">
        <f>-BE130</f>
        <v>0</v>
      </c>
      <c r="BF257" s="12">
        <f>SUM(BB257:BE257)</f>
        <v>0</v>
      </c>
      <c r="BG257" s="12" t="n"/>
      <c r="BH257" s="12" t="n"/>
      <c r="BI257" s="12" t="n"/>
      <c r="BJ257" s="12" t="n"/>
      <c r="BK257" s="12" t="n"/>
      <c r="BL257" s="12" t="n"/>
      <c r="BM257" s="12" t="n"/>
      <c r="BN257" s="12" t="n"/>
      <c r="BO257" s="12" t="n"/>
      <c r="BP257" s="12" t="n"/>
      <c r="BQ257" s="12" t="n"/>
      <c r="BR257" s="12" t="n"/>
      <c r="BS257" s="12" t="n"/>
      <c r="BT257" s="12" t="n"/>
      <c r="BU257" s="12" t="n"/>
      <c r="BV257" s="12" t="n"/>
      <c r="BW257" s="12" t="n"/>
      <c r="BX257" s="12" t="n"/>
      <c r="BY257" s="12" t="n"/>
      <c r="BZ257" s="12" t="n"/>
      <c r="CA257" s="12" t="n"/>
      <c r="CB257" s="12" t="n"/>
      <c r="CC257" s="12" t="n"/>
      <c r="CD257" s="12" t="n"/>
      <c r="CE257" s="12" t="n"/>
      <c r="CF257" s="12" t="n"/>
      <c r="CG257" s="12" t="n"/>
      <c r="CH257" s="12" t="n"/>
      <c r="CI257" s="12" t="n"/>
      <c r="CJ257" s="12" t="n"/>
      <c r="CK257" s="12" t="n"/>
      <c r="CL257" s="12" t="n"/>
      <c r="CM257" s="12" t="n"/>
      <c r="CN257" s="12" t="n"/>
      <c r="CO257" s="12" t="n"/>
      <c r="CP257" s="12" t="n"/>
      <c r="CQ257" s="12" t="n"/>
      <c r="CR257" s="12" t="n"/>
      <c r="CS257" s="12" t="n"/>
      <c r="CT257" s="12" t="n"/>
      <c r="CU257" s="12" t="n"/>
      <c r="CV257" s="12" t="n"/>
      <c r="CW257" s="12" t="n"/>
      <c r="CX257" s="12" t="n"/>
      <c r="CY257" s="12" t="n"/>
    </row>
    <row r="258">
      <c r="C258" s="71" t="inlineStr">
        <is>
          <t>Minority interest expense</t>
        </is>
      </c>
      <c r="D258" s="12" t="n"/>
      <c r="E258" s="12" t="n"/>
      <c r="F258" s="12" t="n"/>
      <c r="G258" s="12" t="n"/>
      <c r="H258" s="12" t="n"/>
      <c r="I258" s="12" t="n"/>
      <c r="J258" s="12">
        <f>-J102</f>
        <v>-0.039423182</v>
      </c>
      <c r="K258" s="12">
        <f>-K102</f>
        <v>1.426590593</v>
      </c>
      <c r="L258" s="12">
        <f>-L102</f>
        <v>0.177942983</v>
      </c>
      <c r="M258" s="12" t="n"/>
      <c r="N258" s="12">
        <f>-N102</f>
        <v>0.391470774</v>
      </c>
      <c r="O258" s="12">
        <f>-O102</f>
        <v>0.414890427</v>
      </c>
      <c r="P258" s="12">
        <f>-P102</f>
        <v>0.67304117</v>
      </c>
      <c r="Q258" s="12">
        <f>-Q102</f>
        <v>-0.656184121</v>
      </c>
      <c r="R258" s="12">
        <f>SUM(N258:Q258)</f>
        <v>0.82321825</v>
      </c>
      <c r="S258" s="12">
        <f>-S102</f>
        <v>-0.02834465</v>
      </c>
      <c r="T258" s="12">
        <f>-T102</f>
        <v>-0.385635389</v>
      </c>
      <c r="U258" s="12">
        <f>-U102</f>
        <v>-2.382</v>
      </c>
      <c r="V258" s="12">
        <f>-V102</f>
        <v>-0.139</v>
      </c>
      <c r="W258" s="12">
        <f>SUM(S258:V258)</f>
        <v>-2.934980039</v>
      </c>
      <c r="X258" s="12">
        <f>-X102</f>
        <v>0.355</v>
      </c>
      <c r="Y258" s="12">
        <f>-Y102</f>
        <v>-1.423</v>
      </c>
      <c r="Z258" s="12">
        <f>-Z102</f>
        <v>-4.013</v>
      </c>
      <c r="AA258" s="12">
        <f>-AA102</f>
        <v>-7.437</v>
      </c>
      <c r="AB258" s="12">
        <f>SUM(X258:AA258)</f>
        <v>-12.518</v>
      </c>
      <c r="AC258" s="12">
        <f>-AC102</f>
        <v>-3.456124</v>
      </c>
      <c r="AD258" s="12">
        <f>-AD102</f>
        <v>-7.749179</v>
      </c>
      <c r="AE258" s="12">
        <f>-AE102</f>
        <v>-2.6684488</v>
      </c>
      <c r="AF258" s="12">
        <f>-AF102</f>
        <v>-2.286255778</v>
      </c>
      <c r="AG258" s="12">
        <f>SUM(AC258:AF258)</f>
        <v>-16.160007578</v>
      </c>
      <c r="AH258" s="12">
        <f>-AH102</f>
        <v>-3.55944448</v>
      </c>
      <c r="AI258" s="12">
        <f>-AI102</f>
        <v>-2.518</v>
      </c>
      <c r="AJ258" s="12">
        <f>-AJ102</f>
        <v>0</v>
      </c>
      <c r="AK258" s="12">
        <f>-AK102</f>
        <v>0</v>
      </c>
      <c r="AL258" s="12">
        <f>SUM(AH258:AK258)</f>
        <v>-6.07744448</v>
      </c>
      <c r="AM258" s="12">
        <f>-AM102</f>
        <v>0</v>
      </c>
      <c r="AN258" s="12">
        <f>-AN102</f>
        <v>0</v>
      </c>
      <c r="AO258" s="12">
        <f>-AO102</f>
        <v>0</v>
      </c>
      <c r="AP258" s="12">
        <f>-AP102</f>
        <v>0</v>
      </c>
      <c r="AQ258" s="12">
        <f>SUM(AM258:AP258)</f>
        <v>0</v>
      </c>
      <c r="AR258" s="12">
        <f>-AR102</f>
        <v>0</v>
      </c>
      <c r="AS258" s="12">
        <f>-AS102</f>
        <v>0</v>
      </c>
      <c r="AT258" s="12">
        <f>-AT102</f>
        <v>0</v>
      </c>
      <c r="AU258" s="12">
        <f>-AU102</f>
        <v>0</v>
      </c>
      <c r="AV258" s="12">
        <f>SUM(AR258:AU258)</f>
        <v>0</v>
      </c>
      <c r="AW258" s="12">
        <f>-AW102</f>
        <v>0</v>
      </c>
      <c r="AX258" s="12">
        <f>-AX102</f>
        <v>0</v>
      </c>
      <c r="AY258" s="12">
        <f>-AY102</f>
        <v>0</v>
      </c>
      <c r="AZ258" s="12">
        <f>-AZ102</f>
        <v>0</v>
      </c>
      <c r="BA258" s="12">
        <f>SUM(AW258:AZ258)</f>
        <v>0</v>
      </c>
      <c r="BB258" s="12">
        <f>-BB102</f>
        <v>0</v>
      </c>
      <c r="BC258" s="12">
        <f>-BC102</f>
        <v>0</v>
      </c>
      <c r="BD258" s="12">
        <f>-BD102</f>
        <v>0</v>
      </c>
      <c r="BE258" s="12">
        <f>-BE102</f>
        <v>0</v>
      </c>
      <c r="BF258" s="12">
        <f>SUM(BB258:BE258)</f>
        <v>0</v>
      </c>
      <c r="BG258" s="12" t="n"/>
      <c r="BH258" s="12" t="n"/>
      <c r="BI258" s="12" t="n"/>
      <c r="BJ258" s="12" t="n"/>
      <c r="BK258" s="12" t="n"/>
      <c r="BL258" s="12" t="n"/>
      <c r="BM258" s="12" t="n"/>
      <c r="BN258" s="12" t="n"/>
      <c r="BO258" s="12" t="n"/>
      <c r="BP258" s="12" t="n"/>
      <c r="BQ258" s="12" t="n"/>
      <c r="BR258" s="12" t="n"/>
      <c r="BS258" s="12" t="n"/>
      <c r="BT258" s="12" t="n"/>
      <c r="BU258" s="12" t="n"/>
      <c r="BV258" s="12" t="n"/>
      <c r="BW258" s="12" t="n"/>
      <c r="BX258" s="12" t="n"/>
      <c r="BY258" s="12" t="n"/>
      <c r="BZ258" s="12" t="n"/>
      <c r="CA258" s="12" t="n"/>
      <c r="CB258" s="12" t="n"/>
      <c r="CC258" s="12" t="n"/>
      <c r="CD258" s="12" t="n"/>
      <c r="CE258" s="12" t="n"/>
      <c r="CF258" s="12" t="n"/>
      <c r="CG258" s="12" t="n"/>
      <c r="CH258" s="12" t="n"/>
      <c r="CI258" s="12" t="n"/>
      <c r="CJ258" s="12" t="n"/>
      <c r="CK258" s="12" t="n"/>
      <c r="CL258" s="12" t="n"/>
      <c r="CM258" s="12" t="n"/>
      <c r="CN258" s="12" t="n"/>
      <c r="CO258" s="12" t="n"/>
      <c r="CP258" s="12" t="n"/>
      <c r="CQ258" s="12" t="n"/>
      <c r="CR258" s="12" t="n"/>
      <c r="CS258" s="12" t="n"/>
      <c r="CT258" s="12" t="n"/>
      <c r="CU258" s="12" t="n"/>
      <c r="CV258" s="12" t="n"/>
      <c r="CW258" s="12" t="n"/>
      <c r="CX258" s="12" t="n"/>
      <c r="CY258" s="12" t="n"/>
    </row>
    <row r="259">
      <c r="C259" s="14" t="inlineStr">
        <is>
          <t>Cash from operations</t>
        </is>
      </c>
      <c r="D259" s="12" t="n"/>
      <c r="E259" s="12" t="n"/>
      <c r="F259" s="12" t="n"/>
      <c r="G259" s="12" t="n"/>
      <c r="H259" s="12" t="n"/>
      <c r="I259" s="12" t="n"/>
      <c r="J259" s="12">
        <f>SUM(J243,J244,J245,J256,J257,J258)</f>
        <v>-4.96224280700016</v>
      </c>
      <c r="K259" s="12">
        <f>SUM(K243,K244,K245,K256,K257,K258)</f>
        <v>-30.702164153</v>
      </c>
      <c r="L259" s="12">
        <f>SUM(L243,L244,L245,L256,L257,L258)</f>
        <v>562.994585198</v>
      </c>
      <c r="M259" s="12" t="n"/>
      <c r="N259" s="12">
        <f>SUM(N243,N244,N245,N256,N257,N258)</f>
        <v>199.072488074</v>
      </c>
      <c r="O259" s="12">
        <f>SUM(O243,O244,O245,O256,O257,O258)</f>
        <v>-35.1587439459999</v>
      </c>
      <c r="P259" s="12">
        <f>SUM(P243,P244,P245,P256,P257,P258)</f>
        <v>225.048729653</v>
      </c>
      <c r="Q259" s="12">
        <f>SUM(Q243,Q244,Q245,Q256,Q257,Q258)</f>
        <v>199.650484713</v>
      </c>
      <c r="R259" s="12">
        <f>SUM(R243,R244,R245,R256,R257,R258)</f>
        <v>588.612958494</v>
      </c>
      <c r="S259" s="12">
        <f>SUM(S243,S244,S245,S256,S257,S258)</f>
        <v>78.996538686</v>
      </c>
      <c r="T259" s="12">
        <f>SUM(T243,T244,T245,T256,T257,T258)</f>
        <v>155.817607916</v>
      </c>
      <c r="U259" s="12">
        <f>SUM(U243,U244,U245,U256,U257,U258)</f>
        <v>445.145435338</v>
      </c>
      <c r="V259" s="12">
        <f>SUM(V243,V244,V245,V256,V257,V258)</f>
        <v>195.881801744</v>
      </c>
      <c r="W259" s="12">
        <f>SUM(W243,W244,W245,W256,W257,W258)</f>
        <v>875.841383684</v>
      </c>
      <c r="X259" s="12">
        <f>SUM(X243,X244,X245,X256,X257,X258)</f>
        <v>152.3556009</v>
      </c>
      <c r="Y259" s="12">
        <f>SUM(Y243,Y244,Y245,Y256,Y257,Y258)</f>
        <v>331.007</v>
      </c>
      <c r="Z259" s="12">
        <f>SUM(Z243,Z244,Z245,Z256,Z257,Z258)</f>
        <v>576.480474</v>
      </c>
      <c r="AA259" s="12">
        <f>SUM(AA243,AA244,AA245,AA256,AA257,AA258)</f>
        <v>301.1889251</v>
      </c>
      <c r="AB259" s="12">
        <f>SUM(AB243,AB244,AB245,AB256,AB257,AB258)</f>
        <v>1361.032</v>
      </c>
      <c r="AC259" s="12">
        <f>SUM(AC243,AC244,AC245,AC256,AC257,AC258)</f>
        <v>349.59752</v>
      </c>
      <c r="AD259" s="12">
        <f>SUM(AD243,AD244,AD245,AD256,AD257,AD258)</f>
        <v>-93.417277</v>
      </c>
      <c r="AE259" s="12">
        <f>SUM(AE243,AE244,AE245,AE256,AE257,AE258)</f>
        <v>805.975270561</v>
      </c>
      <c r="AF259" s="12">
        <f>SUM(AF243,AF244,AF245,AF256,AF257,AF258)</f>
        <v>587.982009895</v>
      </c>
      <c r="AG259" s="12">
        <f>SUM(AG243,AG244,AG245,AG256,AG257,AG258)</f>
        <v>1650.137523456</v>
      </c>
      <c r="AH259" s="12">
        <f>SUM(AH243,AH244,AH245,AH256,AH257,AH258)</f>
        <v>64.6942154199998</v>
      </c>
      <c r="AI259" s="12">
        <f>SUM(AI243,AI244,AI245,AI256,AI257,AI258)</f>
        <v>169.784208</v>
      </c>
      <c r="AJ259" s="12">
        <f>SUM(AJ243,AJ244,AJ245,AJ256,AJ257,AJ258)</f>
        <v>621.788839868411</v>
      </c>
      <c r="AK259" s="12">
        <f>SUM(AK243,AK244,AK245,AK256,AK257,AK258)</f>
        <v>732.142373150794</v>
      </c>
      <c r="AL259" s="12">
        <f>SUM(AL243,AL244,AL245,AL256,AL257,AL258)</f>
        <v>1588.4096364392</v>
      </c>
      <c r="AM259" s="12">
        <f>SUM(AM243,AM244,AM245,AM256,AM257,AM258)</f>
        <v>554.713570080634</v>
      </c>
      <c r="AN259" s="12">
        <f>SUM(AN243,AN244,AN245,AN256,AN257,AN258)</f>
        <v>682.347440711363</v>
      </c>
      <c r="AO259" s="12">
        <f>SUM(AO243,AO244,AO245,AO256,AO257,AO258)</f>
        <v>721.084503493319</v>
      </c>
      <c r="AP259" s="12">
        <f>SUM(AP243,AP244,AP245,AP256,AP257,AP258)</f>
        <v>819.35072110037</v>
      </c>
      <c r="AQ259" s="12">
        <f>SUM(AQ243,AQ244,AQ245,AQ256,AQ257,AQ258)</f>
        <v>2777.49623538569</v>
      </c>
      <c r="AR259" s="12">
        <f>SUM(AR243,AR244,AR245,AR256,AR257,AR258)</f>
        <v>645.075462835028</v>
      </c>
      <c r="AS259" s="12">
        <f>SUM(AS243,AS244,AS245,AS256,AS257,AS258)</f>
        <v>741.879449961196</v>
      </c>
      <c r="AT259" s="12">
        <f>SUM(AT243,AT244,AT245,AT256,AT257,AT258)</f>
        <v>803.43449969105</v>
      </c>
      <c r="AU259" s="12">
        <f>SUM(AU243,AU244,AU245,AU256,AU257,AU258)</f>
        <v>911.69610656399</v>
      </c>
      <c r="AV259" s="12">
        <f>SUM(AV243,AV244,AV245,AV256,AV257,AV258)</f>
        <v>3102.08551905126</v>
      </c>
      <c r="AW259" s="12">
        <f>SUM(AW243,AW244,AW245,AW256,AW257,AW258)</f>
        <v>706.715273867514</v>
      </c>
      <c r="AX259" s="12">
        <f>SUM(AX243,AX244,AX245,AX256,AX257,AX258)</f>
        <v>844.824108022693</v>
      </c>
      <c r="AY259" s="12">
        <f>SUM(AY243,AY244,AY245,AY256,AY257,AY258)</f>
        <v>893.098225130109</v>
      </c>
      <c r="AZ259" s="12">
        <f>SUM(AZ243,AZ244,AZ245,AZ256,AZ257,AZ258)</f>
        <v>1011.82208308065</v>
      </c>
      <c r="BA259" s="12">
        <f>SUM(BA243,BA244,BA245,BA256,BA257,BA258)</f>
        <v>3456.45969010097</v>
      </c>
      <c r="BB259" s="12">
        <f>SUM(BB243,BB244,BB245,BB256,BB257,BB258)</f>
        <v>794.317783624414</v>
      </c>
      <c r="BC259" s="12">
        <f>SUM(BC243,BC244,BC245,BC256,BC257,BC258)</f>
        <v>936.43658243873</v>
      </c>
      <c r="BD259" s="12">
        <f>SUM(BD243,BD244,BD245,BD256,BD257,BD258)</f>
        <v>989.872202271892</v>
      </c>
      <c r="BE259" s="12">
        <f>SUM(BE243,BE244,BE245,BE256,BE257,BE258)</f>
        <v>1119.39623872654</v>
      </c>
      <c r="BF259" s="12">
        <f>SUM(BF243,BF244,BF245,BF256,BF257,BF258)</f>
        <v>3840.02280706157</v>
      </c>
      <c r="BG259" s="12" t="n"/>
      <c r="BH259" s="12" t="n"/>
      <c r="BI259" s="12" t="n"/>
      <c r="BJ259" s="12" t="n"/>
      <c r="BK259" s="12" t="n"/>
      <c r="BL259" s="12" t="n"/>
      <c r="BM259" s="12" t="n"/>
      <c r="BN259" s="12" t="n"/>
      <c r="BO259" s="12" t="n"/>
      <c r="BP259" s="12" t="n"/>
      <c r="BQ259" s="12" t="n"/>
      <c r="BR259" s="12" t="n"/>
      <c r="BS259" s="12" t="n"/>
      <c r="BT259" s="12" t="n"/>
      <c r="BU259" s="12" t="n"/>
      <c r="BV259" s="12" t="n"/>
      <c r="BW259" s="12" t="n"/>
      <c r="BX259" s="12" t="n"/>
      <c r="BY259" s="12" t="n"/>
      <c r="BZ259" s="12" t="n"/>
      <c r="CA259" s="12" t="n"/>
      <c r="CB259" s="12" t="n"/>
      <c r="CC259" s="12" t="n"/>
      <c r="CD259" s="12" t="n"/>
      <c r="CE259" s="12" t="n"/>
      <c r="CF259" s="12" t="n"/>
      <c r="CG259" s="12" t="n"/>
      <c r="CH259" s="12" t="n"/>
      <c r="CI259" s="12" t="n"/>
      <c r="CJ259" s="12" t="n"/>
      <c r="CK259" s="12" t="n"/>
      <c r="CL259" s="12" t="n"/>
      <c r="CM259" s="12" t="n"/>
      <c r="CN259" s="12" t="n"/>
      <c r="CO259" s="12" t="n"/>
      <c r="CP259" s="12" t="n"/>
      <c r="CQ259" s="12" t="n"/>
      <c r="CR259" s="12" t="n"/>
      <c r="CS259" s="12" t="n"/>
      <c r="CT259" s="12" t="n"/>
      <c r="CU259" s="12" t="n"/>
      <c r="CV259" s="12" t="n"/>
      <c r="CW259" s="12" t="n"/>
      <c r="CX259" s="12" t="n"/>
      <c r="CY259" s="12" t="n"/>
    </row>
    <row r="260">
      <c r="C260" s="14" t="n"/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  <c r="P260" s="12" t="n"/>
      <c r="Q260" s="12" t="n"/>
      <c r="R260" s="12" t="n"/>
      <c r="S260" s="12" t="n"/>
      <c r="T260" s="12" t="n"/>
      <c r="U260" s="12" t="n"/>
      <c r="V260" s="12" t="n"/>
      <c r="W260" s="12" t="n"/>
      <c r="X260" s="12" t="n"/>
      <c r="Y260" s="12" t="n"/>
      <c r="Z260" s="12" t="n"/>
      <c r="AA260" s="12" t="n"/>
      <c r="AB260" s="12" t="n"/>
      <c r="AC260" s="12" t="n"/>
      <c r="AD260" s="12" t="n"/>
      <c r="AE260" s="12" t="n"/>
      <c r="AF260" s="12" t="n"/>
      <c r="AG260" s="12" t="n"/>
      <c r="AH260" s="12" t="n"/>
      <c r="AI260" s="12" t="n"/>
      <c r="AJ260" s="12" t="n"/>
      <c r="AK260" s="12" t="n"/>
      <c r="AL260" s="12" t="n"/>
      <c r="AM260" s="12" t="n"/>
      <c r="AN260" s="12" t="n"/>
      <c r="AO260" s="12" t="n"/>
      <c r="AP260" s="12" t="n"/>
      <c r="AQ260" s="12" t="n"/>
      <c r="AR260" s="12" t="n"/>
      <c r="AS260" s="12" t="n"/>
      <c r="AT260" s="12" t="n"/>
      <c r="AU260" s="12" t="n"/>
      <c r="AV260" s="12" t="n"/>
      <c r="AW260" s="12" t="n"/>
      <c r="AX260" s="12" t="n"/>
      <c r="AY260" s="12" t="n"/>
      <c r="AZ260" s="12" t="n"/>
      <c r="BA260" s="12" t="n"/>
      <c r="BB260" s="12" t="n"/>
      <c r="BC260" s="12" t="n"/>
      <c r="BD260" s="12" t="n"/>
      <c r="BE260" s="12" t="n"/>
      <c r="BF260" s="12" t="n"/>
      <c r="BG260" s="12" t="n"/>
      <c r="BH260" s="12" t="n"/>
      <c r="BI260" s="12" t="n"/>
      <c r="BJ260" s="12" t="n"/>
      <c r="BK260" s="12" t="n"/>
      <c r="BL260" s="12" t="n"/>
      <c r="BM260" s="12" t="n"/>
      <c r="BN260" s="12" t="n"/>
      <c r="BO260" s="12" t="n"/>
      <c r="BP260" s="12" t="n"/>
      <c r="BQ260" s="12" t="n"/>
      <c r="BR260" s="12" t="n"/>
      <c r="BS260" s="12" t="n"/>
      <c r="BT260" s="12" t="n"/>
      <c r="BU260" s="12" t="n"/>
      <c r="BV260" s="12" t="n"/>
      <c r="BW260" s="12" t="n"/>
      <c r="BX260" s="12" t="n"/>
      <c r="BY260" s="12" t="n"/>
      <c r="BZ260" s="12" t="n"/>
      <c r="CA260" s="12" t="n"/>
      <c r="CB260" s="12" t="n"/>
      <c r="CC260" s="12" t="n"/>
      <c r="CD260" s="12" t="n"/>
      <c r="CE260" s="12" t="n"/>
      <c r="CF260" s="12" t="n"/>
      <c r="CG260" s="12" t="n"/>
      <c r="CH260" s="12" t="n"/>
      <c r="CI260" s="12" t="n"/>
      <c r="CJ260" s="12" t="n"/>
      <c r="CK260" s="12" t="n"/>
      <c r="CL260" s="12" t="n"/>
      <c r="CM260" s="12" t="n"/>
      <c r="CN260" s="12" t="n"/>
      <c r="CO260" s="12" t="n"/>
      <c r="CP260" s="12" t="n"/>
      <c r="CQ260" s="12" t="n"/>
      <c r="CR260" s="12" t="n"/>
      <c r="CS260" s="12" t="n"/>
      <c r="CT260" s="12" t="n"/>
      <c r="CU260" s="12" t="n"/>
      <c r="CV260" s="12" t="n"/>
      <c r="CW260" s="12" t="n"/>
      <c r="CX260" s="12" t="n"/>
      <c r="CY260" s="12" t="n"/>
    </row>
    <row r="261">
      <c r="C261" s="10" t="inlineStr">
        <is>
          <t>Purchase of fixed assets (capital expenditures)</t>
        </is>
      </c>
      <c r="D261" s="12" t="n"/>
      <c r="E261" s="12" t="n"/>
      <c r="F261" s="12" t="n"/>
      <c r="G261" s="12" t="n"/>
      <c r="H261" s="12" t="n"/>
      <c r="I261" s="12" t="n"/>
      <c r="J261" s="12">
        <f>-J134</f>
        <v>-107.464828355</v>
      </c>
      <c r="K261" s="12">
        <f>-K134</f>
        <v>-117.133446016</v>
      </c>
      <c r="L261" s="12">
        <f>-L134</f>
        <v>-201.604045611</v>
      </c>
      <c r="M261" s="12" t="n"/>
      <c r="N261" s="12">
        <f>-N134</f>
        <v>-93.8480479320001</v>
      </c>
      <c r="O261" s="12">
        <f>-O134</f>
        <v>-138.176616031</v>
      </c>
      <c r="P261" s="12">
        <f>-P134</f>
        <v>-158.764699753</v>
      </c>
      <c r="Q261" s="12">
        <f>-Q134</f>
        <v>-176.026087903</v>
      </c>
      <c r="R261" s="12">
        <f>SUM(N261:Q261)</f>
        <v>-566.815451619</v>
      </c>
      <c r="S261" s="12">
        <f>-S134</f>
        <v>-114.494102777</v>
      </c>
      <c r="T261" s="12">
        <f>-T134</f>
        <v>-608.29509224</v>
      </c>
      <c r="U261" s="12">
        <f>-U134</f>
        <v>-186.044</v>
      </c>
      <c r="V261" s="12">
        <f>-V134</f>
        <v>-189.154</v>
      </c>
      <c r="W261" s="12">
        <f>SUM(S261:V261)</f>
        <v>-1097.987195017</v>
      </c>
      <c r="X261" s="12">
        <f>-X134</f>
        <v>-167.75</v>
      </c>
      <c r="Y261" s="12">
        <f>-Y134</f>
        <v>-185.308</v>
      </c>
      <c r="Z261" s="12">
        <f>-Z134</f>
        <v>-211</v>
      </c>
      <c r="AA261" s="12">
        <f>-AA134</f>
        <v>-242.498</v>
      </c>
      <c r="AB261" s="12">
        <f>SUM(X261:AA261)</f>
        <v>-806.556</v>
      </c>
      <c r="AC261" s="12">
        <f>-AC134</f>
        <v>-185.44163</v>
      </c>
      <c r="AD261" s="12">
        <f>-AD134</f>
        <v>-212.396447</v>
      </c>
      <c r="AE261" s="12">
        <f>-AE134</f>
        <v>-235.46499664</v>
      </c>
      <c r="AF261" s="12">
        <f>-AF134</f>
        <v>-271.19785589</v>
      </c>
      <c r="AG261" s="12">
        <f>SUM(AC261:AF261)</f>
        <v>-904.50092953</v>
      </c>
      <c r="AH261" s="12">
        <f>-AH134</f>
        <v>-209.07069578</v>
      </c>
      <c r="AI261" s="12">
        <f>-AI134</f>
        <v>-264.654</v>
      </c>
      <c r="AJ261" s="12">
        <f>-AJ134</f>
        <v>-257.529398663252</v>
      </c>
      <c r="AK261" s="12">
        <f>-AK134</f>
        <v>-242.203979954104</v>
      </c>
      <c r="AL261" s="12">
        <f>SUM(AH261:AK261)</f>
        <v>-973.458074397356</v>
      </c>
      <c r="AM261" s="12">
        <f>-AM134</f>
        <v>-261.306998819678</v>
      </c>
      <c r="AN261" s="12">
        <f>-AN134</f>
        <v>-272.301274649166</v>
      </c>
      <c r="AO261" s="12">
        <f>-AO134</f>
        <v>-281.808423149842</v>
      </c>
      <c r="AP261" s="12">
        <f>-AP134</f>
        <v>-265.038174382309</v>
      </c>
      <c r="AQ261" s="12">
        <f>SUM(AM261:AP261)</f>
        <v>-1080.45487100099</v>
      </c>
      <c r="AR261" s="12">
        <f>-AR134</f>
        <v>-284.635628027381</v>
      </c>
      <c r="AS261" s="12">
        <f>-AS134</f>
        <v>-296.611436633992</v>
      </c>
      <c r="AT261" s="12">
        <f>-AT134</f>
        <v>-306.967352076223</v>
      </c>
      <c r="AU261" s="12">
        <f>-AU134</f>
        <v>-288.699910669434</v>
      </c>
      <c r="AV261" s="12">
        <f>SUM(AR261:AU261)</f>
        <v>-1176.91432740703</v>
      </c>
      <c r="AW261" s="12">
        <f>-AW134</f>
        <v>-308.623782364162</v>
      </c>
      <c r="AX261" s="12">
        <f>-AX134</f>
        <v>-321.608872722162</v>
      </c>
      <c r="AY261" s="12">
        <f>-AY134</f>
        <v>-332.837550649007</v>
      </c>
      <c r="AZ261" s="12">
        <f>-AZ134</f>
        <v>-313.030589376624</v>
      </c>
      <c r="BA261" s="12">
        <f>SUM(AW261:AZ261)</f>
        <v>-1276.10079511195</v>
      </c>
      <c r="BB261" s="12">
        <f>-BB134</f>
        <v>-333.090460520474</v>
      </c>
      <c r="BC261" s="12">
        <f>-BC134</f>
        <v>-347.104966123748</v>
      </c>
      <c r="BD261" s="12">
        <f>-BD134</f>
        <v>-359.223816696565</v>
      </c>
      <c r="BE261" s="12">
        <f>-BE134</f>
        <v>-337.846624695384</v>
      </c>
      <c r="BF261" s="12">
        <f>SUM(BB261:BE261)</f>
        <v>-1377.26586803617</v>
      </c>
      <c r="BG261" s="12" t="n"/>
      <c r="BH261" s="12" t="n"/>
      <c r="BI261" s="12" t="n"/>
      <c r="BJ261" s="12" t="n"/>
      <c r="BK261" s="12" t="n"/>
      <c r="BL261" s="12" t="n"/>
      <c r="BM261" s="12" t="n"/>
      <c r="BN261" s="12" t="n"/>
      <c r="BO261" s="12" t="n"/>
      <c r="BP261" s="12" t="n"/>
      <c r="BQ261" s="12" t="n"/>
      <c r="BR261" s="12" t="n"/>
      <c r="BS261" s="12" t="n"/>
      <c r="BT261" s="12" t="n"/>
      <c r="BU261" s="12" t="n"/>
      <c r="BV261" s="12" t="n"/>
      <c r="BW261" s="12" t="n"/>
      <c r="BX261" s="12" t="n"/>
      <c r="BY261" s="12" t="n"/>
      <c r="BZ261" s="12" t="n"/>
      <c r="CA261" s="12" t="n"/>
      <c r="CB261" s="12" t="n"/>
      <c r="CC261" s="12" t="n"/>
      <c r="CD261" s="12" t="n"/>
      <c r="CE261" s="12" t="n"/>
      <c r="CF261" s="12" t="n"/>
      <c r="CG261" s="12" t="n"/>
      <c r="CH261" s="12" t="n"/>
      <c r="CI261" s="12" t="n"/>
      <c r="CJ261" s="12" t="n"/>
      <c r="CK261" s="12" t="n"/>
      <c r="CL261" s="12" t="n"/>
      <c r="CM261" s="12" t="n"/>
      <c r="CN261" s="12" t="n"/>
      <c r="CO261" s="12" t="n"/>
      <c r="CP261" s="12" t="n"/>
      <c r="CQ261" s="12" t="n"/>
      <c r="CR261" s="12" t="n"/>
      <c r="CS261" s="12" t="n"/>
      <c r="CT261" s="12" t="n"/>
      <c r="CU261" s="12" t="n"/>
      <c r="CV261" s="12" t="n"/>
      <c r="CW261" s="12" t="n"/>
      <c r="CX261" s="12" t="n"/>
      <c r="CY261" s="12" t="n"/>
    </row>
    <row r="262">
      <c r="C262" s="10" t="inlineStr">
        <is>
          <t>Proceeds from sale of fixed assets</t>
        </is>
      </c>
      <c r="D262" s="12" t="n"/>
      <c r="E262" s="12" t="n"/>
      <c r="F262" s="12" t="n"/>
      <c r="G262" s="12" t="n"/>
      <c r="H262" s="12" t="n"/>
      <c r="I262" s="12" t="n"/>
      <c r="J262" s="12">
        <f>-J135</f>
        <v>0</v>
      </c>
      <c r="K262" s="12">
        <f>-K135</f>
        <v>0</v>
      </c>
      <c r="L262" s="12">
        <f>-L135</f>
        <v>0</v>
      </c>
      <c r="M262" s="12" t="n"/>
      <c r="N262" s="12">
        <f>-N135</f>
        <v>0</v>
      </c>
      <c r="O262" s="12">
        <f>-O135</f>
        <v>0</v>
      </c>
      <c r="P262" s="12">
        <f>-P135</f>
        <v>0</v>
      </c>
      <c r="Q262" s="12">
        <f>-Q135</f>
        <v>0</v>
      </c>
      <c r="R262" s="12">
        <f>SUM(N262:Q262)</f>
        <v>0</v>
      </c>
      <c r="S262" s="12">
        <f>-S135</f>
        <v>0</v>
      </c>
      <c r="T262" s="12">
        <f>-T135</f>
        <v>0</v>
      </c>
      <c r="U262" s="12">
        <f>-U135</f>
        <v>0</v>
      </c>
      <c r="V262" s="12">
        <f>-V135</f>
        <v>0</v>
      </c>
      <c r="W262" s="12">
        <f>SUM(S262:V262)</f>
        <v>0</v>
      </c>
      <c r="X262" s="12">
        <f>-X135</f>
        <v>0</v>
      </c>
      <c r="Y262" s="12">
        <f>-Y135</f>
        <v>0</v>
      </c>
      <c r="Z262" s="12">
        <f>-Z135</f>
        <v>0</v>
      </c>
      <c r="AA262" s="12">
        <f>-AA135</f>
        <v>0</v>
      </c>
      <c r="AB262" s="12">
        <f>SUM(X262:AA262)</f>
        <v>0</v>
      </c>
      <c r="AC262" s="12">
        <f>-AC135</f>
        <v>0</v>
      </c>
      <c r="AD262" s="12">
        <f>-AD135</f>
        <v>0</v>
      </c>
      <c r="AE262" s="12">
        <f>-AE135</f>
        <v>0</v>
      </c>
      <c r="AF262" s="12">
        <f>-AF135</f>
        <v>0</v>
      </c>
      <c r="AG262" s="12">
        <f>SUM(AC262:AF262)</f>
        <v>0</v>
      </c>
      <c r="AH262" s="12">
        <f>-AH135</f>
        <v>0</v>
      </c>
      <c r="AI262" s="12">
        <f>-AI135</f>
        <v>0</v>
      </c>
      <c r="AJ262" s="12">
        <f>-AJ135</f>
        <v>0</v>
      </c>
      <c r="AK262" s="12">
        <f>-AK135</f>
        <v>0</v>
      </c>
      <c r="AL262" s="12">
        <f>SUM(AH262:AK262)</f>
        <v>0</v>
      </c>
      <c r="AM262" s="12">
        <f>-AM135</f>
        <v>0</v>
      </c>
      <c r="AN262" s="12">
        <f>-AN135</f>
        <v>0</v>
      </c>
      <c r="AO262" s="12">
        <f>-AO135</f>
        <v>0</v>
      </c>
      <c r="AP262" s="12">
        <f>-AP135</f>
        <v>0</v>
      </c>
      <c r="AQ262" s="12">
        <f>SUM(AM262:AP262)</f>
        <v>0</v>
      </c>
      <c r="AR262" s="12">
        <f>-AR135</f>
        <v>0</v>
      </c>
      <c r="AS262" s="12">
        <f>-AS135</f>
        <v>0</v>
      </c>
      <c r="AT262" s="12">
        <f>-AT135</f>
        <v>0</v>
      </c>
      <c r="AU262" s="12">
        <f>-AU135</f>
        <v>0</v>
      </c>
      <c r="AV262" s="12">
        <f>SUM(AR262:AU262)</f>
        <v>0</v>
      </c>
      <c r="AW262" s="12">
        <f>-AW135</f>
        <v>0</v>
      </c>
      <c r="AX262" s="12">
        <f>-AX135</f>
        <v>0</v>
      </c>
      <c r="AY262" s="12">
        <f>-AY135</f>
        <v>0</v>
      </c>
      <c r="AZ262" s="12">
        <f>-AZ135</f>
        <v>0</v>
      </c>
      <c r="BA262" s="12">
        <f>SUM(AW262:AZ262)</f>
        <v>0</v>
      </c>
      <c r="BB262" s="12">
        <f>-BB135</f>
        <v>0</v>
      </c>
      <c r="BC262" s="12">
        <f>-BC135</f>
        <v>0</v>
      </c>
      <c r="BD262" s="12">
        <f>-BD135</f>
        <v>0</v>
      </c>
      <c r="BE262" s="12">
        <f>-BE135</f>
        <v>0</v>
      </c>
      <c r="BF262" s="12">
        <f>SUM(BB262:BE262)</f>
        <v>0</v>
      </c>
      <c r="BG262" s="12" t="n"/>
      <c r="BH262" s="12" t="n"/>
      <c r="BI262" s="12" t="n"/>
      <c r="BJ262" s="12" t="n"/>
      <c r="BK262" s="12" t="n"/>
      <c r="BL262" s="12" t="n"/>
      <c r="BM262" s="12" t="n"/>
      <c r="BN262" s="12" t="n"/>
      <c r="BO262" s="12" t="n"/>
      <c r="BP262" s="12" t="n"/>
      <c r="BQ262" s="12" t="n"/>
      <c r="BR262" s="12" t="n"/>
      <c r="BS262" s="12" t="n"/>
      <c r="BT262" s="12" t="n"/>
      <c r="BU262" s="12" t="n"/>
      <c r="BV262" s="12" t="n"/>
      <c r="BW262" s="12" t="n"/>
      <c r="BX262" s="12" t="n"/>
      <c r="BY262" s="12" t="n"/>
      <c r="BZ262" s="12" t="n"/>
      <c r="CA262" s="12" t="n"/>
      <c r="CB262" s="12" t="n"/>
      <c r="CC262" s="12" t="n"/>
      <c r="CD262" s="12" t="n"/>
      <c r="CE262" s="12" t="n"/>
      <c r="CF262" s="12" t="n"/>
      <c r="CG262" s="12" t="n"/>
      <c r="CH262" s="12" t="n"/>
      <c r="CI262" s="12" t="n"/>
      <c r="CJ262" s="12" t="n"/>
      <c r="CK262" s="12" t="n"/>
      <c r="CL262" s="12" t="n"/>
      <c r="CM262" s="12" t="n"/>
      <c r="CN262" s="12" t="n"/>
      <c r="CO262" s="12" t="n"/>
      <c r="CP262" s="12" t="n"/>
      <c r="CQ262" s="12" t="n"/>
      <c r="CR262" s="12" t="n"/>
      <c r="CS262" s="12" t="n"/>
      <c r="CT262" s="12" t="n"/>
      <c r="CU262" s="12" t="n"/>
      <c r="CV262" s="12" t="n"/>
      <c r="CW262" s="12" t="n"/>
      <c r="CX262" s="12" t="n"/>
      <c r="CY262" s="12" t="n"/>
    </row>
    <row r="263">
      <c r="C263" s="10" t="inlineStr">
        <is>
          <t>Var.Right-of-use-assets</t>
        </is>
      </c>
      <c r="D263" s="12" t="n"/>
      <c r="E263" s="12" t="n"/>
      <c r="F263" s="12" t="n"/>
      <c r="G263" s="12" t="n"/>
      <c r="H263" s="12" t="n"/>
      <c r="I263" s="12" t="n"/>
      <c r="J263" s="12">
        <f>(J142-I142)*-1</f>
        <v>17.60248814</v>
      </c>
      <c r="K263" s="12">
        <f>(K142-J142)*-1</f>
        <v>-8.62285755000005</v>
      </c>
      <c r="L263" s="12">
        <f>(L142-K142)*-1</f>
        <v>-59.5418803</v>
      </c>
      <c r="M263" s="12" t="n"/>
      <c r="N263" s="12">
        <f>(N142-M142)*-1</f>
        <v>-42.3617439699999</v>
      </c>
      <c r="O263" s="12">
        <f>(O142-N142)*-1</f>
        <v>-26.0578880200001</v>
      </c>
      <c r="P263" s="12">
        <f>(P142-O142)*-1</f>
        <v>18.9843120300001</v>
      </c>
      <c r="Q263" s="12">
        <f>(Q142-P142)*-1</f>
        <v>-222.07653813</v>
      </c>
      <c r="R263" s="12">
        <f>SUM(N263:Q263)</f>
        <v>-271.51185809</v>
      </c>
      <c r="S263" s="12">
        <f>(S142-R142)*-1</f>
        <v>-4.24643388000015</v>
      </c>
      <c r="T263" s="12">
        <f>(T142-S142)*-1</f>
        <v>-305.88989469</v>
      </c>
      <c r="U263" s="12">
        <f>(U142-T142)*-1</f>
        <v>35.9259999999999</v>
      </c>
      <c r="V263" s="12">
        <f>(V142-U142)*-1</f>
        <v>1.40200000000004</v>
      </c>
      <c r="W263" s="12">
        <f>SUM(S263:V263)</f>
        <v>-272.80832857</v>
      </c>
      <c r="X263" s="12">
        <f>(X142-W142)*-1</f>
        <v>45.3920000000001</v>
      </c>
      <c r="Y263" s="12">
        <f>(Y142-X142)*-1</f>
        <v>47.5940000000001</v>
      </c>
      <c r="Z263" s="12">
        <f>(Z142-Y142)*-1</f>
        <v>42.703</v>
      </c>
      <c r="AA263" s="12">
        <f>(AA142-Z142)*-1</f>
        <v>20.7629999999999</v>
      </c>
      <c r="AB263" s="12">
        <f>SUM(X263:AA263)</f>
        <v>156.452</v>
      </c>
      <c r="AC263" s="12">
        <f>(AC142-AB142)*-1</f>
        <v>-1.83224700000005</v>
      </c>
      <c r="AD263" s="12">
        <f>(AD142-AC142)*-1</f>
        <v>43.6282470000001</v>
      </c>
      <c r="AE263" s="12">
        <f>(AE142-AD142)*-1</f>
        <v>-7.49700000000007</v>
      </c>
      <c r="AF263" s="12">
        <f>(AF142-AE142)*-1</f>
        <v>5.75300000000016</v>
      </c>
      <c r="AG263" s="12">
        <f>SUM(AC263:AF263)</f>
        <v>40.0520000000001</v>
      </c>
      <c r="AH263" s="12">
        <f>(AH142-AG142)*-1</f>
        <v>19.1699999999998</v>
      </c>
      <c r="AI263" s="12">
        <f>(AI142-AH142)*-1</f>
        <v>-123.946</v>
      </c>
      <c r="AJ263" s="12">
        <f>(AJ142-AI142)*-1</f>
        <v>0</v>
      </c>
      <c r="AK263" s="12">
        <f>(AK142-AJ142)*-1</f>
        <v>0</v>
      </c>
      <c r="AL263" s="12">
        <f>SUM(AH263:AK263)</f>
        <v>-104.776</v>
      </c>
      <c r="AM263" s="12">
        <f>(AM142-AL142)*-1</f>
        <v>0</v>
      </c>
      <c r="AN263" s="12">
        <f>(AN142-AM142)*-1</f>
        <v>0</v>
      </c>
      <c r="AO263" s="12">
        <f>(AO142-AN142)*-1</f>
        <v>0</v>
      </c>
      <c r="AP263" s="12">
        <f>(AP142-AO142)*-1</f>
        <v>0</v>
      </c>
      <c r="AQ263" s="12">
        <f>SUM(AM263:AP263)</f>
        <v>0</v>
      </c>
      <c r="AR263" s="12">
        <f>(AR142-AQ142)*-1</f>
        <v>0</v>
      </c>
      <c r="AS263" s="12">
        <f>(AS142-AR142)*-1</f>
        <v>0</v>
      </c>
      <c r="AT263" s="12">
        <f>(AT142-AS142)*-1</f>
        <v>0</v>
      </c>
      <c r="AU263" s="12">
        <f>(AU142-AT142)*-1</f>
        <v>0</v>
      </c>
      <c r="AV263" s="12">
        <f>SUM(AR263:AU263)</f>
        <v>0</v>
      </c>
      <c r="AW263" s="12">
        <f>(AW142-AV142)*-1</f>
        <v>0</v>
      </c>
      <c r="AX263" s="12">
        <f>(AX142-AW142)*-1</f>
        <v>0</v>
      </c>
      <c r="AY263" s="12">
        <f>(AY142-AX142)*-1</f>
        <v>0</v>
      </c>
      <c r="AZ263" s="12">
        <f>(AZ142-AY142)*-1</f>
        <v>0</v>
      </c>
      <c r="BA263" s="12">
        <f>SUM(AW263:AZ263)</f>
        <v>0</v>
      </c>
      <c r="BB263" s="12">
        <f>(BB142-BA142)*-1</f>
        <v>0</v>
      </c>
      <c r="BC263" s="12">
        <f>(BC142-BB142)*-1</f>
        <v>0</v>
      </c>
      <c r="BD263" s="12">
        <f>(BD142-BC142)*-1</f>
        <v>0</v>
      </c>
      <c r="BE263" s="12">
        <f>(BE142-BD142)*-1</f>
        <v>0</v>
      </c>
      <c r="BF263" s="12">
        <f>SUM(BB263:BE263)</f>
        <v>0</v>
      </c>
      <c r="BG263" s="12" t="n"/>
      <c r="BH263" s="12" t="n"/>
      <c r="BI263" s="12" t="n"/>
      <c r="BJ263" s="12" t="n"/>
      <c r="BK263" s="12" t="n"/>
      <c r="BL263" s="12" t="n"/>
      <c r="BM263" s="12" t="n"/>
      <c r="BN263" s="12" t="n"/>
      <c r="BO263" s="12" t="n"/>
      <c r="BP263" s="12" t="n"/>
      <c r="BQ263" s="12" t="n"/>
      <c r="BR263" s="12" t="n"/>
      <c r="BS263" s="12" t="n"/>
      <c r="BT263" s="12" t="n"/>
      <c r="BU263" s="12" t="n"/>
      <c r="BV263" s="12" t="n"/>
      <c r="BW263" s="12" t="n"/>
      <c r="BX263" s="12" t="n"/>
      <c r="BY263" s="12" t="n"/>
      <c r="BZ263" s="12" t="n"/>
      <c r="CA263" s="12" t="n"/>
      <c r="CB263" s="12" t="n"/>
      <c r="CC263" s="12" t="n"/>
      <c r="CD263" s="12" t="n"/>
      <c r="CE263" s="12" t="n"/>
      <c r="CF263" s="12" t="n"/>
      <c r="CG263" s="12" t="n"/>
      <c r="CH263" s="12" t="n"/>
      <c r="CI263" s="12" t="n"/>
      <c r="CJ263" s="12" t="n"/>
      <c r="CK263" s="12" t="n"/>
      <c r="CL263" s="12" t="n"/>
      <c r="CM263" s="12" t="n"/>
      <c r="CN263" s="12" t="n"/>
      <c r="CO263" s="12" t="n"/>
      <c r="CP263" s="12" t="n"/>
      <c r="CQ263" s="12" t="n"/>
      <c r="CR263" s="12" t="n"/>
      <c r="CS263" s="12" t="n"/>
      <c r="CT263" s="12" t="n"/>
      <c r="CU263" s="12" t="n"/>
      <c r="CV263" s="12" t="n"/>
      <c r="CW263" s="12" t="n"/>
      <c r="CX263" s="12" t="n"/>
      <c r="CY263" s="12" t="n"/>
      <c r="CZ263" s="12" t="n"/>
      <c r="DA263" s="12" t="n"/>
      <c r="DB263" s="12" t="n"/>
      <c r="DC263" s="12" t="n"/>
    </row>
    <row r="264">
      <c r="C264" s="10" t="inlineStr">
        <is>
          <t>Purchases of intangible assets</t>
        </is>
      </c>
      <c r="D264" s="12" t="n"/>
      <c r="E264" s="12" t="n"/>
      <c r="F264" s="12" t="n"/>
      <c r="G264" s="12" t="n"/>
      <c r="H264" s="12" t="n"/>
      <c r="I264" s="12" t="n"/>
      <c r="J264" s="12">
        <f>((J146-I146)*-1)+((J145-I145)*-1)</f>
        <v>-158.957728689</v>
      </c>
      <c r="K264" s="12">
        <f>((K146-J146)*-1)+((K145-J145)*-1)</f>
        <v>-107.352686421</v>
      </c>
      <c r="L264" s="12">
        <f>((L146-K146)*-1)+((L145-K145)*-1)</f>
        <v>-288.816996986</v>
      </c>
      <c r="M264" s="12" t="n"/>
      <c r="N264" s="12">
        <f>((N146-M146)*-1)+((N145-M145)*-1)</f>
        <v>-30.9003449200004</v>
      </c>
      <c r="O264" s="12">
        <f>((O146-N146)*-1)+((O145-N145)*-1)</f>
        <v>-403.832285332</v>
      </c>
      <c r="P264" s="12">
        <f>((P146-O146)*-1)+((P145-O145)*-1)</f>
        <v>7.60187657999995</v>
      </c>
      <c r="Q264" s="12">
        <f>((Q146-P146)*-1)+((Q145-P145)*-1)</f>
        <v>-146.186260618</v>
      </c>
      <c r="R264" s="12">
        <f>SUM(N264:Q264)</f>
        <v>-573.31701429</v>
      </c>
      <c r="S264" s="12">
        <f>((S146-R146)*-1)+((S145-R145)*-1)</f>
        <v>12.7009949379999</v>
      </c>
      <c r="T264" s="12">
        <f>((T146-S146)*-1)+((T145-S145)*-1)</f>
        <v>-2620.89587367</v>
      </c>
      <c r="U264" s="12">
        <f>((U146-T146)*-1)+((U145-T145)*-1)</f>
        <v>24.0659999999998</v>
      </c>
      <c r="V264" s="12">
        <f>((V146-U146)*-1)+((V145-U145)*-1)</f>
        <v>-63.451</v>
      </c>
      <c r="W264" s="12">
        <f>SUM(S264:V264)</f>
        <v>-2647.579878732</v>
      </c>
      <c r="X264" s="12">
        <f>((X146-W146)*-1)+((X145-W145)*-1)</f>
        <v>18.5860000000002</v>
      </c>
      <c r="Y264" s="12">
        <f>((Y146-X146)*-1)+((Y145-X145)*-1)</f>
        <v>5.63699999999972</v>
      </c>
      <c r="Z264" s="12">
        <f>((Z146-Y146)*-1)+((Z145-Y145)*-1)</f>
        <v>-47.0199999999995</v>
      </c>
      <c r="AA264" s="12">
        <f>((AA146-Z146)*-1)+((AA145-Z145)*-1)</f>
        <v>-33.2290000000003</v>
      </c>
      <c r="AB264" s="12">
        <f>SUM(X264:AA264)</f>
        <v>-56.0259999999998</v>
      </c>
      <c r="AC264" s="12">
        <f>((AC146-AB146)*-1)+((AC145-AB145)*-1)</f>
        <v>43.6677130000007</v>
      </c>
      <c r="AD264" s="12">
        <f>((AD146-AC146)*-1)+((AD145-AC145)*-1)</f>
        <v>-5.51571300000069</v>
      </c>
      <c r="AE264" s="12">
        <f>((AE146-AD146)*-1)+((AE145-AD145)*-1)</f>
        <v>-131.867</v>
      </c>
      <c r="AF264" s="12">
        <f>((AF146-AE146)*-1)+((AF145-AE145)*-1)</f>
        <v>-22.3899999999994</v>
      </c>
      <c r="AG264" s="12">
        <f>SUM(AC264:AF264)</f>
        <v>-116.105</v>
      </c>
      <c r="AH264" s="12">
        <f>((AH146-AG146)*-1)+((AH145-AG145)*-1)</f>
        <v>74.1309999999994</v>
      </c>
      <c r="AI264" s="12">
        <f>((AI146-AH146)*-1)+((AI145-AH145)*-1)</f>
        <v>-100.569</v>
      </c>
      <c r="AJ264" s="12">
        <f>((AJ146-AI146)*-1)+((AJ145-AI145)*-1)</f>
        <v>0</v>
      </c>
      <c r="AK264" s="12">
        <f>((AK146-AJ146)*-1)+((AK145-AJ145)*-1)</f>
        <v>0</v>
      </c>
      <c r="AL264" s="12">
        <f>SUM(AH264:AK264)</f>
        <v>-26.4380000000001</v>
      </c>
      <c r="AM264" s="12">
        <f>((AM146-AL146)*-1)+((AM145-AL145)*-1)</f>
        <v>0</v>
      </c>
      <c r="AN264" s="12">
        <f>((AN146-AM146)*-1)+((AN145-AM145)*-1)</f>
        <v>0</v>
      </c>
      <c r="AO264" s="12">
        <f>((AO146-AN146)*-1)+((AO145-AN145)*-1)</f>
        <v>0</v>
      </c>
      <c r="AP264" s="12">
        <f>((AP146-AO146)*-1)+((AP145-AO145)*-1)</f>
        <v>0</v>
      </c>
      <c r="AQ264" s="12">
        <f>SUM(AM264:AP264)</f>
        <v>0</v>
      </c>
      <c r="AR264" s="12">
        <f>((AR146-AQ146)*-1)+((AR145-AQ145)*-1)</f>
        <v>0</v>
      </c>
      <c r="AS264" s="12">
        <f>((AS146-AR146)*-1)+((AS145-AR145)*-1)</f>
        <v>0</v>
      </c>
      <c r="AT264" s="12">
        <f>((AT146-AS146)*-1)+((AT145-AS145)*-1)</f>
        <v>0</v>
      </c>
      <c r="AU264" s="12">
        <f>((AU146-AT146)*-1)+((AU145-AT145)*-1)</f>
        <v>0</v>
      </c>
      <c r="AV264" s="12">
        <f>SUM(AR264:AU264)</f>
        <v>0</v>
      </c>
      <c r="AW264" s="12">
        <f>((AW146-AV146)*-1)+((AW145-AV145)*-1)</f>
        <v>0</v>
      </c>
      <c r="AX264" s="12">
        <f>((AX146-AW146)*-1)+((AX145-AW145)*-1)</f>
        <v>0</v>
      </c>
      <c r="AY264" s="12">
        <f>((AY146-AX146)*-1)+((AY145-AX145)*-1)</f>
        <v>0</v>
      </c>
      <c r="AZ264" s="12">
        <f>((AZ146-AY146)*-1)+((AZ145-AY145)*-1)</f>
        <v>0</v>
      </c>
      <c r="BA264" s="12">
        <f>SUM(AW264:AZ264)</f>
        <v>0</v>
      </c>
      <c r="BB264" s="12">
        <f>((BB146-BA146)*-1)+((BB145-BA145)*-1)</f>
        <v>0</v>
      </c>
      <c r="BC264" s="12">
        <f>((BC146-BB146)*-1)+((BC145-BB145)*-1)</f>
        <v>0</v>
      </c>
      <c r="BD264" s="12">
        <f>((BD146-BC146)*-1)+((BD145-BC145)*-1)</f>
        <v>0</v>
      </c>
      <c r="BE264" s="12">
        <f>((BE146-BD146)*-1)+((BE145-BD145)*-1)</f>
        <v>0</v>
      </c>
      <c r="BF264" s="12">
        <f>SUM(BB264:BE264)</f>
        <v>0</v>
      </c>
      <c r="BG264" s="12" t="n"/>
      <c r="BH264" s="12" t="n"/>
      <c r="BI264" s="12" t="n"/>
      <c r="BJ264" s="12" t="n"/>
      <c r="BK264" s="12" t="n"/>
      <c r="BL264" s="12" t="n"/>
      <c r="BM264" s="12" t="n"/>
      <c r="BN264" s="12" t="n"/>
      <c r="BO264" s="12" t="n"/>
      <c r="BP264" s="12" t="n"/>
      <c r="BQ264" s="12" t="n"/>
      <c r="BR264" s="12" t="n"/>
      <c r="BS264" s="12" t="n"/>
      <c r="BT264" s="12" t="n"/>
      <c r="BU264" s="12" t="n"/>
      <c r="BV264" s="12" t="n"/>
      <c r="BW264" s="12" t="n"/>
      <c r="BX264" s="12" t="n"/>
      <c r="BY264" s="12" t="n"/>
      <c r="BZ264" s="12" t="n"/>
      <c r="CA264" s="12" t="n"/>
      <c r="CB264" s="12" t="n"/>
      <c r="CC264" s="12" t="n"/>
      <c r="CD264" s="12" t="n"/>
      <c r="CE264" s="12" t="n"/>
      <c r="CF264" s="12" t="n"/>
      <c r="CG264" s="12" t="n"/>
      <c r="CH264" s="12" t="n"/>
      <c r="CI264" s="12" t="n"/>
      <c r="CJ264" s="12" t="n"/>
      <c r="CK264" s="12" t="n"/>
      <c r="CL264" s="12" t="n"/>
      <c r="CM264" s="12" t="n"/>
      <c r="CN264" s="12" t="n"/>
      <c r="CO264" s="12" t="n"/>
      <c r="CP264" s="12" t="n"/>
      <c r="CQ264" s="12" t="n"/>
      <c r="CR264" s="12" t="n"/>
      <c r="CS264" s="12" t="n"/>
      <c r="CT264" s="12" t="n"/>
      <c r="CU264" s="12" t="n"/>
      <c r="CV264" s="12" t="n"/>
      <c r="CW264" s="12" t="n"/>
      <c r="CX264" s="12" t="n"/>
      <c r="CY264" s="12" t="n"/>
      <c r="CZ264" s="12" t="n"/>
      <c r="DA264" s="12" t="n"/>
      <c r="DB264" s="12" t="n"/>
      <c r="DC264" s="12" t="n"/>
    </row>
    <row r="265">
      <c r="C265" s="71" t="inlineStr">
        <is>
          <t>Purchases/Proceeds from other long-term assets</t>
        </is>
      </c>
      <c r="D265" s="12" t="n"/>
      <c r="E265" s="12" t="n"/>
      <c r="F265" s="12" t="n"/>
      <c r="G265" s="12" t="n"/>
      <c r="H265" s="12" t="n"/>
      <c r="I265" s="12" t="n"/>
      <c r="J265" s="12">
        <f>((J155-I155)*-1)+(J206-I206)</f>
        <v>2.63921395000001</v>
      </c>
      <c r="K265" s="12">
        <f>((K155-J155)*-1)+(K206-J206)</f>
        <v>4.32262302</v>
      </c>
      <c r="L265" s="12">
        <f>((L155-K155)*-1)+(L206-K206)</f>
        <v>-4.85051774000001</v>
      </c>
      <c r="M265" s="12" t="n"/>
      <c r="N265" s="12">
        <f>((N155-M155)*-1)+(N206-M206)</f>
        <v>-1.90280351</v>
      </c>
      <c r="O265" s="12">
        <f>((O155-N155)*-1)+(O206-N206)</f>
        <v>-4.29885111</v>
      </c>
      <c r="P265" s="12">
        <f>((P155-O155)*-1)+(P206-O206)</f>
        <v>-8.76624163</v>
      </c>
      <c r="Q265" s="12">
        <f>((Q155-P155)*-1)+(Q206-P206)</f>
        <v>-27.89761752</v>
      </c>
      <c r="R265" s="12">
        <f>SUM(N265:Q265)</f>
        <v>-42.86551377</v>
      </c>
      <c r="S265" s="12">
        <f>((S155-R155)*-1)+(S206-R206)</f>
        <v>-3.45316317999999</v>
      </c>
      <c r="T265" s="12">
        <f>((T155-S155)*-1)+(T206-S206)</f>
        <v>88.48043031</v>
      </c>
      <c r="U265" s="12">
        <f>((U155-T155)*-1)+(U206-T206)</f>
        <v>-3.89400000000002</v>
      </c>
      <c r="V265" s="12">
        <f>((V155-U155)*-1)+(V206-U206)</f>
        <v>54.747</v>
      </c>
      <c r="W265" s="12">
        <f>SUM(S265:V265)</f>
        <v>135.88026713</v>
      </c>
      <c r="X265" s="12">
        <f>((X155-W155)*-1)+(X206-W206)</f>
        <v>3.19258126999998</v>
      </c>
      <c r="Y265" s="12">
        <f>((Y155-X155)*-1)+(Y206-X206)</f>
        <v>-5.72258126999999</v>
      </c>
      <c r="Z265" s="12">
        <f>((Z155-Y155)*-1)+(Z206-Y206)</f>
        <v>9.39000000000002</v>
      </c>
      <c r="AA265" s="12">
        <f>((AA155-Z155)*-1)+(AA206-Z206)</f>
        <v>-30.746</v>
      </c>
      <c r="AB265" s="12">
        <f>SUM(X265:AA265)</f>
        <v>-23.886</v>
      </c>
      <c r="AC265" s="12">
        <f>((AC155-AB155)*-1)+(AC206-AB206)</f>
        <v>7.32767419</v>
      </c>
      <c r="AD265" s="12">
        <f>((AD155-AC155)*-1)+(AD206-AC206)</f>
        <v>8.09832580999999</v>
      </c>
      <c r="AE265" s="12">
        <f>((AE155-AD155)*-1)+(AE206-AD206)</f>
        <v>13.167</v>
      </c>
      <c r="AF265" s="12">
        <f>((AF155-AE155)*-1)+(AF206-AE206)</f>
        <v>43.241</v>
      </c>
      <c r="AG265" s="12">
        <f>SUM(AC265:AF265)</f>
        <v>71.834</v>
      </c>
      <c r="AH265" s="12">
        <f>((AH155-AG155)*-1)+(AH206-AG206)</f>
        <v>-4.66000000000003</v>
      </c>
      <c r="AI265" s="12">
        <f>((AI155-AH155)*-1)+(AI206-AH206)</f>
        <v>10.226</v>
      </c>
      <c r="AJ265" s="12">
        <f>((AJ155-AI155)*-1)+(AJ206-AI206)</f>
        <v>0</v>
      </c>
      <c r="AK265" s="12">
        <f>((AK155-AJ155)*-1)+(AK206-AJ206)</f>
        <v>0</v>
      </c>
      <c r="AL265" s="12">
        <f>SUM(AH265:AK265)</f>
        <v>5.56599999999997</v>
      </c>
      <c r="AM265" s="12">
        <f>((AM155-AL155)*-1)+(AM206-AL206)</f>
        <v>0</v>
      </c>
      <c r="AN265" s="12">
        <f>((AN155-AM155)*-1)+(AN206-AM206)</f>
        <v>0</v>
      </c>
      <c r="AO265" s="12">
        <f>((AO155-AN155)*-1)+(AO206-AN206)</f>
        <v>0</v>
      </c>
      <c r="AP265" s="12">
        <f>((AP155-AO155)*-1)+(AP206-AO206)</f>
        <v>0</v>
      </c>
      <c r="AQ265" s="12">
        <f>SUM(AM265:AP265)</f>
        <v>0</v>
      </c>
      <c r="AR265" s="12">
        <f>((AR155-AQ155)*-1)+(AR206-AQ206)</f>
        <v>0</v>
      </c>
      <c r="AS265" s="12">
        <f>((AS155-AR155)*-1)+(AS206-AR206)</f>
        <v>0</v>
      </c>
      <c r="AT265" s="12">
        <f>((AT155-AS155)*-1)+(AT206-AS206)</f>
        <v>0</v>
      </c>
      <c r="AU265" s="12">
        <f>((AU155-AT155)*-1)+(AU206-AT206)</f>
        <v>0</v>
      </c>
      <c r="AV265" s="12">
        <f>SUM(AR265:AU265)</f>
        <v>0</v>
      </c>
      <c r="AW265" s="12">
        <f>((AW155-AV155)*-1)+(AW206-AV206)</f>
        <v>0</v>
      </c>
      <c r="AX265" s="12">
        <f>((AX155-AW155)*-1)+(AX206-AW206)</f>
        <v>0</v>
      </c>
      <c r="AY265" s="12">
        <f>((AY155-AX155)*-1)+(AY206-AX206)</f>
        <v>0</v>
      </c>
      <c r="AZ265" s="12">
        <f>((AZ155-AY155)*-1)+(AZ206-AY206)</f>
        <v>0</v>
      </c>
      <c r="BA265" s="12">
        <f>SUM(AW265:AZ265)</f>
        <v>0</v>
      </c>
      <c r="BB265" s="12">
        <f>((BB155-BA155)*-1)+(BB206-BA206)</f>
        <v>0</v>
      </c>
      <c r="BC265" s="12">
        <f>((BC155-BB155)*-1)+(BC206-BB206)</f>
        <v>0</v>
      </c>
      <c r="BD265" s="12">
        <f>((BD155-BC155)*-1)+(BD206-BC206)</f>
        <v>0</v>
      </c>
      <c r="BE265" s="12">
        <f>((BE155-BD155)*-1)+(BE206-BD206)</f>
        <v>0</v>
      </c>
      <c r="BF265" s="12">
        <f>SUM(BB265:BE265)</f>
        <v>0</v>
      </c>
      <c r="BG265" s="12" t="n"/>
      <c r="BH265" s="12" t="n"/>
      <c r="BI265" s="12" t="n"/>
      <c r="BJ265" s="12" t="n"/>
      <c r="BK265" s="12" t="n"/>
      <c r="BL265" s="12" t="n"/>
      <c r="BM265" s="12" t="n"/>
      <c r="BN265" s="12" t="n"/>
      <c r="BO265" s="12" t="n"/>
      <c r="BP265" s="12" t="n"/>
      <c r="BQ265" s="12" t="n"/>
      <c r="BR265" s="12" t="n"/>
      <c r="BS265" s="12" t="n"/>
      <c r="BT265" s="12" t="n"/>
      <c r="BU265" s="12" t="n"/>
      <c r="BV265" s="12" t="n"/>
      <c r="BW265" s="12" t="n"/>
      <c r="BX265" s="12" t="n"/>
      <c r="BY265" s="12" t="n"/>
      <c r="BZ265" s="12" t="n"/>
      <c r="CA265" s="12" t="n"/>
      <c r="CB265" s="12" t="n"/>
      <c r="CC265" s="12" t="n"/>
      <c r="CD265" s="12" t="n"/>
      <c r="CE265" s="12" t="n"/>
      <c r="CF265" s="12" t="n"/>
      <c r="CG265" s="12" t="n"/>
      <c r="CH265" s="12" t="n"/>
      <c r="CI265" s="12" t="n"/>
      <c r="CJ265" s="12" t="n"/>
      <c r="CK265" s="12" t="n"/>
      <c r="CL265" s="12" t="n"/>
      <c r="CM265" s="12" t="n"/>
      <c r="CN265" s="12" t="n"/>
      <c r="CO265" s="12" t="n"/>
      <c r="CP265" s="12" t="n"/>
      <c r="CQ265" s="12" t="n"/>
      <c r="CR265" s="12" t="n"/>
      <c r="CS265" s="12" t="n"/>
      <c r="CT265" s="12" t="n"/>
      <c r="CU265" s="12" t="n"/>
      <c r="CV265" s="12" t="n"/>
      <c r="CW265" s="12" t="n"/>
      <c r="CX265" s="12" t="n"/>
      <c r="CY265" s="12" t="n"/>
    </row>
    <row r="266">
      <c r="C266" s="14" t="inlineStr">
        <is>
          <t>Cash from investing</t>
        </is>
      </c>
      <c r="D266" s="12" t="n"/>
      <c r="E266" s="12" t="n"/>
      <c r="F266" s="12" t="n"/>
      <c r="G266" s="12" t="n"/>
      <c r="H266" s="12" t="n"/>
      <c r="I266" s="12" t="n"/>
      <c r="J266" s="12">
        <f>SUM(J261,J262,J264,J265,J263)</f>
        <v>-246.180854954</v>
      </c>
      <c r="K266" s="12">
        <f>SUM(K261,K262,K264,K265,K263)</f>
        <v>-228.786366967</v>
      </c>
      <c r="L266" s="12">
        <f>SUM(L261,L262,L264,L265,L263)</f>
        <v>-554.813440637</v>
      </c>
      <c r="M266" s="12" t="n"/>
      <c r="N266" s="12">
        <f>SUM(N261,N262,N264,N265,N263)</f>
        <v>-169.012940332</v>
      </c>
      <c r="O266" s="12">
        <f>SUM(O261,O262,O264,O265,O263)</f>
        <v>-572.365640493</v>
      </c>
      <c r="P266" s="12">
        <f>SUM(P261,P262,P264,P265,P263)</f>
        <v>-140.944752773</v>
      </c>
      <c r="Q266" s="12">
        <f>SUM(Q261,Q262,Q264,Q265,Q263)</f>
        <v>-572.186504171</v>
      </c>
      <c r="R266" s="12">
        <f>SUM(R261,R262,R264,R265)</f>
        <v>-1182.997979679</v>
      </c>
      <c r="S266" s="12">
        <f>SUM(S261,S262,S264,S265,S263)</f>
        <v>-109.492704899</v>
      </c>
      <c r="T266" s="12">
        <f>SUM(T261,T262,T264,T265,T263)</f>
        <v>-3446.60043029</v>
      </c>
      <c r="U266" s="12">
        <f>SUM(U261,U262,U264,U265,U263)</f>
        <v>-129.946</v>
      </c>
      <c r="V266" s="12">
        <f>SUM(V261,V262,V264,V265,V263)</f>
        <v>-196.456</v>
      </c>
      <c r="W266" s="12">
        <f>SUM(W261,W262,W264,W265)</f>
        <v>-3609.686806619</v>
      </c>
      <c r="X266" s="12">
        <f>SUM(X261,X262,X264,X265,X263)</f>
        <v>-100.57941873</v>
      </c>
      <c r="Y266" s="12">
        <f>SUM(Y261,Y262,Y264,Y265,Y263)</f>
        <v>-137.79958127</v>
      </c>
      <c r="Z266" s="12">
        <f>SUM(Z261,Z262,Z264,Z265,Z263)</f>
        <v>-205.927</v>
      </c>
      <c r="AA266" s="12">
        <f>SUM(AA261,AA262,AA264,AA265,AA263)</f>
        <v>-285.71</v>
      </c>
      <c r="AB266" s="12">
        <f>SUM(AB261,AB262,AB264,AB265)</f>
        <v>-886.468</v>
      </c>
      <c r="AC266" s="12">
        <f>SUM(AC261,AC262,AC264,AC265,AC263)</f>
        <v>-136.278489809999</v>
      </c>
      <c r="AD266" s="12">
        <f>SUM(AD261,AD262,AD264,AD265,AD263)</f>
        <v>-166.18558719</v>
      </c>
      <c r="AE266" s="12">
        <f>SUM(AE261,AE262,AE264,AE265,AE263)</f>
        <v>-361.66199664</v>
      </c>
      <c r="AF266" s="12">
        <f>SUM(AF261,AF262,AF264,AF265,AF263)</f>
        <v>-244.593855889999</v>
      </c>
      <c r="AG266" s="12">
        <f>SUM(AG261,AG262,AG264,AG265)</f>
        <v>-948.77192953</v>
      </c>
      <c r="AH266" s="12">
        <f>SUM(AH261,AH262,AH264,AH265,AH263)</f>
        <v>-120.429695780001</v>
      </c>
      <c r="AI266" s="12">
        <f>SUM(AI261,AI262,AI264,AI265,AI263)</f>
        <v>-478.942999999999</v>
      </c>
      <c r="AJ266" s="12">
        <f>SUM(AJ261,AJ262,AJ264,AJ265,AJ263)</f>
        <v>-257.529398663252</v>
      </c>
      <c r="AK266" s="12">
        <f>SUM(AK261,AK262,AK264,AK265,AK263)</f>
        <v>-242.203979954104</v>
      </c>
      <c r="AL266" s="12">
        <f>SUM(AL261,AL262,AL264,AL265)</f>
        <v>-994.330074397356</v>
      </c>
      <c r="AM266" s="12">
        <f>SUM(AM261,AM262,AM264,AM265,AM263)</f>
        <v>-261.306998819678</v>
      </c>
      <c r="AN266" s="12">
        <f>SUM(AN261,AN262,AN264,AN265,AN263)</f>
        <v>-272.301274649166</v>
      </c>
      <c r="AO266" s="12">
        <f>SUM(AO261,AO262,AO264,AO265,AO263)</f>
        <v>-281.808423149842</v>
      </c>
      <c r="AP266" s="12">
        <f>SUM(AP261,AP262,AP264,AP265,AP263)</f>
        <v>-265.038174382309</v>
      </c>
      <c r="AQ266" s="12">
        <f>SUM(AQ261,AQ262,AQ264,AQ265)</f>
        <v>-1080.45487100099</v>
      </c>
      <c r="AR266" s="12">
        <f>SUM(AR261,AR262,AR264,AR265,AR263)</f>
        <v>-284.635628027381</v>
      </c>
      <c r="AS266" s="12">
        <f>SUM(AS261,AS262,AS264,AS265,AS263)</f>
        <v>-296.611436633992</v>
      </c>
      <c r="AT266" s="12">
        <f>SUM(AT261,AT262,AT264,AT265,AT263)</f>
        <v>-306.967352076223</v>
      </c>
      <c r="AU266" s="12">
        <f>SUM(AU261,AU262,AU264,AU265,AU263)</f>
        <v>-288.699910669434</v>
      </c>
      <c r="AV266" s="12">
        <f>SUM(AV261,AV262,AV264,AV265)</f>
        <v>-1176.91432740703</v>
      </c>
      <c r="AW266" s="12">
        <f>SUM(AW261,AW262,AW264,AW265,AW263)</f>
        <v>-308.623782364162</v>
      </c>
      <c r="AX266" s="12">
        <f>SUM(AX261,AX262,AX264,AX265,AX263)</f>
        <v>-321.608872722162</v>
      </c>
      <c r="AY266" s="12">
        <f>SUM(AY261,AY262,AY264,AY265,AY263)</f>
        <v>-332.837550649007</v>
      </c>
      <c r="AZ266" s="12">
        <f>SUM(AZ261,AZ262,AZ264,AZ265,AZ263)</f>
        <v>-313.030589376624</v>
      </c>
      <c r="BA266" s="12">
        <f>SUM(BA261,BA262,BA264,BA265)</f>
        <v>-1276.10079511195</v>
      </c>
      <c r="BB266" s="12">
        <f>SUM(BB261,BB262,BB264,BB265,BB263)</f>
        <v>-333.090460520474</v>
      </c>
      <c r="BC266" s="12">
        <f>SUM(BC261,BC262,BC264,BC265,BC263)</f>
        <v>-347.104966123748</v>
      </c>
      <c r="BD266" s="12">
        <f>SUM(BD261,BD262,BD264,BD265,BD263)</f>
        <v>-359.223816696565</v>
      </c>
      <c r="BE266" s="12">
        <f>SUM(BE261,BE262,BE264,BE265,BE263)</f>
        <v>-337.846624695384</v>
      </c>
      <c r="BF266" s="12">
        <f>SUM(BF261,BF262,BF264,BF265)</f>
        <v>-1377.26586803617</v>
      </c>
      <c r="BG266" s="12" t="n"/>
      <c r="BH266" s="12" t="n"/>
      <c r="BI266" s="12" t="n"/>
      <c r="BJ266" s="12" t="n"/>
      <c r="BK266" s="12" t="n"/>
      <c r="BL266" s="12" t="n"/>
      <c r="BM266" s="12" t="n"/>
      <c r="BN266" s="12" t="n"/>
      <c r="BO266" s="12" t="n"/>
      <c r="BP266" s="12" t="n"/>
      <c r="BQ266" s="12" t="n"/>
      <c r="BR266" s="12" t="n"/>
      <c r="BS266" s="12" t="n"/>
      <c r="BT266" s="12" t="n"/>
      <c r="BU266" s="12" t="n"/>
      <c r="BV266" s="12" t="n"/>
      <c r="BW266" s="12" t="n"/>
      <c r="BX266" s="12" t="n"/>
      <c r="BY266" s="12" t="n"/>
      <c r="BZ266" s="12" t="n"/>
      <c r="CA266" s="12" t="n"/>
      <c r="CB266" s="12" t="n"/>
      <c r="CC266" s="12" t="n"/>
      <c r="CD266" s="12" t="n"/>
      <c r="CE266" s="12" t="n"/>
      <c r="CF266" s="12" t="n"/>
      <c r="CG266" s="12" t="n"/>
      <c r="CH266" s="12" t="n"/>
      <c r="CI266" s="12" t="n"/>
      <c r="CJ266" s="12" t="n"/>
      <c r="CK266" s="12" t="n"/>
      <c r="CL266" s="12" t="n"/>
      <c r="CM266" s="12" t="n"/>
      <c r="CN266" s="12" t="n"/>
      <c r="CO266" s="12" t="n"/>
      <c r="CP266" s="12" t="n"/>
      <c r="CQ266" s="12" t="n"/>
      <c r="CR266" s="12" t="n"/>
      <c r="CS266" s="12" t="n"/>
      <c r="CT266" s="12" t="n"/>
      <c r="CU266" s="12" t="n"/>
      <c r="CV266" s="12" t="n"/>
      <c r="CW266" s="12" t="n"/>
      <c r="CX266" s="12" t="n"/>
      <c r="CY266" s="12" t="n"/>
    </row>
    <row r="267">
      <c r="C267" s="14" t="n"/>
      <c r="D267" s="12" t="n"/>
      <c r="E267" s="12" t="n"/>
      <c r="F267" s="12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  <c r="P267" s="12" t="n"/>
      <c r="Q267" s="12" t="n"/>
      <c r="R267" s="12" t="n"/>
      <c r="S267" s="12" t="n"/>
      <c r="T267" s="12" t="n"/>
      <c r="U267" s="12" t="n"/>
      <c r="V267" s="12" t="n"/>
      <c r="W267" s="12" t="n"/>
      <c r="X267" s="12" t="n"/>
      <c r="Y267" s="12" t="n"/>
      <c r="Z267" s="12" t="n"/>
      <c r="AA267" s="12" t="n"/>
      <c r="AB267" s="12" t="n"/>
      <c r="AC267" s="12" t="n"/>
      <c r="AD267" s="12" t="n"/>
      <c r="AE267" s="12" t="n"/>
      <c r="AF267" s="12" t="n"/>
      <c r="AG267" s="12" t="n"/>
      <c r="AH267" s="12" t="n"/>
      <c r="AI267" s="12" t="n"/>
      <c r="AJ267" s="12" t="n"/>
      <c r="AK267" s="12" t="n"/>
      <c r="AL267" s="12" t="n"/>
      <c r="AM267" s="12" t="n"/>
      <c r="AN267" s="12" t="n"/>
      <c r="AO267" s="12" t="n"/>
      <c r="AP267" s="12" t="n"/>
      <c r="AQ267" s="12" t="n"/>
      <c r="AR267" s="12" t="n"/>
      <c r="AS267" s="12" t="n"/>
      <c r="AT267" s="12" t="n"/>
      <c r="AU267" s="12" t="n"/>
      <c r="AV267" s="12" t="n"/>
      <c r="AW267" s="12" t="n"/>
      <c r="AX267" s="12" t="n"/>
      <c r="AY267" s="12" t="n"/>
      <c r="AZ267" s="12" t="n"/>
      <c r="BA267" s="12" t="n"/>
      <c r="BB267" s="12" t="n"/>
      <c r="BC267" s="12" t="n"/>
      <c r="BD267" s="12" t="n"/>
      <c r="BE267" s="12" t="n"/>
      <c r="BF267" s="12" t="n"/>
      <c r="BG267" s="12" t="n"/>
      <c r="BH267" s="12" t="n"/>
      <c r="BI267" s="12" t="n"/>
      <c r="BJ267" s="12" t="n"/>
      <c r="BK267" s="12" t="n"/>
      <c r="BL267" s="12" t="n"/>
      <c r="BM267" s="12" t="n"/>
      <c r="BN267" s="12" t="n"/>
      <c r="BO267" s="12" t="n"/>
      <c r="BP267" s="12" t="n"/>
      <c r="BQ267" s="12" t="n"/>
      <c r="BR267" s="12" t="n"/>
      <c r="BS267" s="12" t="n"/>
      <c r="BT267" s="12" t="n"/>
      <c r="BU267" s="12" t="n"/>
      <c r="BV267" s="12" t="n"/>
      <c r="BW267" s="12" t="n"/>
      <c r="BX267" s="12" t="n"/>
      <c r="BY267" s="12" t="n"/>
      <c r="BZ267" s="12" t="n"/>
      <c r="CA267" s="12" t="n"/>
      <c r="CB267" s="12" t="n"/>
      <c r="CC267" s="12" t="n"/>
      <c r="CD267" s="12" t="n"/>
      <c r="CE267" s="12" t="n"/>
      <c r="CF267" s="12" t="n"/>
      <c r="CG267" s="12" t="n"/>
      <c r="CH267" s="12" t="n"/>
      <c r="CI267" s="12" t="n"/>
      <c r="CJ267" s="12" t="n"/>
      <c r="CK267" s="12" t="n"/>
      <c r="CL267" s="12" t="n"/>
      <c r="CM267" s="12" t="n"/>
      <c r="CN267" s="12" t="n"/>
      <c r="CO267" s="12" t="n"/>
      <c r="CP267" s="12" t="n"/>
      <c r="CQ267" s="12" t="n"/>
      <c r="CR267" s="12" t="n"/>
      <c r="CS267" s="12" t="n"/>
      <c r="CT267" s="12" t="n"/>
      <c r="CU267" s="12" t="n"/>
      <c r="CV267" s="12" t="n"/>
      <c r="CW267" s="12" t="n"/>
      <c r="CX267" s="12" t="n"/>
      <c r="CY267" s="12" t="n"/>
    </row>
    <row r="268">
      <c r="C268" s="14" t="inlineStr">
        <is>
          <t>Convertible preferred stock</t>
        </is>
      </c>
      <c r="D268" s="12" t="n"/>
      <c r="E268" s="12" t="n"/>
      <c r="F268" s="12" t="n"/>
      <c r="G268" s="12" t="n"/>
      <c r="H268" s="12" t="n"/>
      <c r="I268" s="12" t="n"/>
      <c r="J268" s="12">
        <f>J219-I219</f>
        <v>0</v>
      </c>
      <c r="K268" s="12">
        <f>K219-J219</f>
        <v>0</v>
      </c>
      <c r="L268" s="12">
        <f>L219-K219</f>
        <v>0</v>
      </c>
      <c r="M268" s="12" t="n"/>
      <c r="N268" s="12">
        <f>N219-M219</f>
        <v>0</v>
      </c>
      <c r="O268" s="12">
        <f>O219-N219</f>
        <v>0</v>
      </c>
      <c r="P268" s="12">
        <f>P219-O219</f>
        <v>0</v>
      </c>
      <c r="Q268" s="12">
        <f>Q219-P219</f>
        <v>0</v>
      </c>
      <c r="R268" s="12">
        <f>SUM(N268:Q268)</f>
        <v>0</v>
      </c>
      <c r="S268" s="12">
        <f>S219-R219</f>
        <v>0</v>
      </c>
      <c r="T268" s="12">
        <f>T219-S219</f>
        <v>0</v>
      </c>
      <c r="U268" s="12">
        <f>U219-T219</f>
        <v>0</v>
      </c>
      <c r="V268" s="12">
        <f>V219-U219</f>
        <v>0</v>
      </c>
      <c r="W268" s="12">
        <f>SUM(S268:V268)</f>
        <v>0</v>
      </c>
      <c r="X268" s="12">
        <f>X219-W219</f>
        <v>0</v>
      </c>
      <c r="Y268" s="12">
        <f>Y219-X219</f>
        <v>0</v>
      </c>
      <c r="Z268" s="12">
        <f>Z219-Y219</f>
        <v>0</v>
      </c>
      <c r="AA268" s="12">
        <f>AA219-Z219</f>
        <v>0</v>
      </c>
      <c r="AB268" s="12">
        <f>SUM(X268:AA268)</f>
        <v>0</v>
      </c>
      <c r="AC268" s="12">
        <f>AC219-AB219</f>
        <v>0</v>
      </c>
      <c r="AD268" s="12">
        <f>AD219-AC219</f>
        <v>0</v>
      </c>
      <c r="AE268" s="12">
        <f>AE219-AD219</f>
        <v>0</v>
      </c>
      <c r="AF268" s="12">
        <f>AF219-AE219</f>
        <v>0</v>
      </c>
      <c r="AG268" s="12">
        <f>SUM(AC268:AF268)</f>
        <v>0</v>
      </c>
      <c r="AH268" s="12">
        <f>AH219-AG219</f>
        <v>0</v>
      </c>
      <c r="AI268" s="12">
        <f>AI219-AH219</f>
        <v>0</v>
      </c>
      <c r="AJ268" s="12">
        <f>AJ219-AI219</f>
        <v>0</v>
      </c>
      <c r="AK268" s="12">
        <f>AK219-AJ219</f>
        <v>0</v>
      </c>
      <c r="AL268" s="12">
        <f>SUM(AH268:AK268)</f>
        <v>0</v>
      </c>
      <c r="AM268" s="12">
        <f>AM219-AL219</f>
        <v>0</v>
      </c>
      <c r="AN268" s="12">
        <f>AN219-AM219</f>
        <v>0</v>
      </c>
      <c r="AO268" s="12">
        <f>AO219-AN219</f>
        <v>0</v>
      </c>
      <c r="AP268" s="12">
        <f>AP219-AO219</f>
        <v>0</v>
      </c>
      <c r="AQ268" s="12">
        <f>SUM(AM268:AP268)</f>
        <v>0</v>
      </c>
      <c r="AR268" s="12">
        <f>AR219-AQ219</f>
        <v>0</v>
      </c>
      <c r="AS268" s="12">
        <f>AS219-AR219</f>
        <v>0</v>
      </c>
      <c r="AT268" s="12">
        <f>AT219-AS219</f>
        <v>0</v>
      </c>
      <c r="AU268" s="12">
        <f>AU219-AT219</f>
        <v>0</v>
      </c>
      <c r="AV268" s="12">
        <f>SUM(AR268:AU268)</f>
        <v>0</v>
      </c>
      <c r="AW268" s="12">
        <f>AW219-AV219</f>
        <v>0</v>
      </c>
      <c r="AX268" s="12">
        <f>AX219-AW219</f>
        <v>0</v>
      </c>
      <c r="AY268" s="12">
        <f>AY219-AX219</f>
        <v>0</v>
      </c>
      <c r="AZ268" s="12">
        <f>AZ219-AY219</f>
        <v>0</v>
      </c>
      <c r="BA268" s="12">
        <f>SUM(AW268:AZ268)</f>
        <v>0</v>
      </c>
      <c r="BB268" s="12">
        <f>BB219-BA219</f>
        <v>0</v>
      </c>
      <c r="BC268" s="12">
        <f>BC219-BB219</f>
        <v>0</v>
      </c>
      <c r="BD268" s="12">
        <f>BD219-BC219</f>
        <v>0</v>
      </c>
      <c r="BE268" s="12">
        <f>BE219-BD219</f>
        <v>0</v>
      </c>
      <c r="BF268" s="12">
        <f>SUM(BB268:BE268)</f>
        <v>0</v>
      </c>
      <c r="BG268" s="12" t="n"/>
      <c r="BH268" s="12" t="n"/>
      <c r="BI268" s="12" t="n"/>
      <c r="BJ268" s="12" t="n"/>
      <c r="BK268" s="12" t="n"/>
      <c r="BL268" s="12" t="n"/>
      <c r="BM268" s="12" t="n"/>
      <c r="BN268" s="12" t="n"/>
      <c r="BO268" s="12" t="n"/>
      <c r="BP268" s="12" t="n"/>
      <c r="BQ268" s="12" t="n"/>
      <c r="BR268" s="12" t="n"/>
      <c r="BS268" s="12" t="n"/>
      <c r="BT268" s="12" t="n"/>
      <c r="BU268" s="12" t="n"/>
      <c r="BV268" s="12" t="n"/>
      <c r="BW268" s="12" t="n"/>
      <c r="BX268" s="12" t="n"/>
      <c r="BY268" s="12" t="n"/>
      <c r="BZ268" s="12" t="n"/>
      <c r="CA268" s="12" t="n"/>
      <c r="CB268" s="12" t="n"/>
      <c r="CC268" s="12" t="n"/>
      <c r="CD268" s="12" t="n"/>
      <c r="CE268" s="12" t="n"/>
      <c r="CF268" s="12" t="n"/>
      <c r="CG268" s="12" t="n"/>
      <c r="CH268" s="12" t="n"/>
      <c r="CI268" s="12" t="n"/>
      <c r="CJ268" s="12" t="n"/>
      <c r="CK268" s="12" t="n"/>
      <c r="CL268" s="12" t="n"/>
      <c r="CM268" s="12" t="n"/>
      <c r="CN268" s="12" t="n"/>
      <c r="CO268" s="12" t="n"/>
      <c r="CP268" s="12" t="n"/>
      <c r="CQ268" s="12" t="n"/>
      <c r="CR268" s="12" t="n"/>
      <c r="CS268" s="12" t="n"/>
      <c r="CT268" s="12" t="n"/>
      <c r="CU268" s="12" t="n"/>
      <c r="CV268" s="12" t="n"/>
      <c r="CW268" s="12" t="n"/>
      <c r="CX268" s="12" t="n"/>
      <c r="CY268" s="12" t="n"/>
    </row>
    <row r="269">
      <c r="C269" s="14" t="inlineStr">
        <is>
          <t>Common stock and APIC</t>
        </is>
      </c>
      <c r="D269" s="12" t="n"/>
      <c r="E269" s="12" t="n"/>
      <c r="F269" s="12" t="n"/>
      <c r="G269" s="12" t="n"/>
      <c r="H269" s="12" t="n"/>
      <c r="I269" s="12" t="n"/>
      <c r="J269" s="12">
        <f>J220-I220</f>
        <v>0.415548279999939</v>
      </c>
      <c r="K269" s="12">
        <f>K220-J220</f>
        <v>5.3744274799999</v>
      </c>
      <c r="L269" s="12">
        <f>L220-K220</f>
        <v>0.229819629999838</v>
      </c>
      <c r="M269" s="12" t="n"/>
      <c r="N269" s="12">
        <f>N220-M220</f>
        <v>0.380148660000032</v>
      </c>
      <c r="O269" s="12">
        <f>O220-N220</f>
        <v>-0.0925757699999394</v>
      </c>
      <c r="P269" s="12">
        <f>P220-O220</f>
        <v>1.83959502999983</v>
      </c>
      <c r="Q269" s="12">
        <f>Q220-P220</f>
        <v>843.57939525</v>
      </c>
      <c r="R269" s="12">
        <f>SUM(N269:Q269)</f>
        <v>845.70656317</v>
      </c>
      <c r="S269" s="12">
        <f>S220-R220</f>
        <v>-0.281816730000173</v>
      </c>
      <c r="T269" s="12">
        <f>T220-S220</f>
        <v>2331.20360159</v>
      </c>
      <c r="U269" s="12">
        <f>U220-T220</f>
        <v>0.0860000000002401</v>
      </c>
      <c r="V269" s="12">
        <f>V220-U220</f>
        <v>0.0379999999995562</v>
      </c>
      <c r="W269" s="12">
        <f>SUM(S269:V269)</f>
        <v>2331.04578486</v>
      </c>
      <c r="X269" s="12">
        <f>X220-W220</f>
        <v>0.0380000000004657</v>
      </c>
      <c r="Y269" s="12">
        <f>Y220-X220</f>
        <v>0.0383955799998148</v>
      </c>
      <c r="Z269" s="12">
        <f>Z220-Y220</f>
        <v>0.037604420000207</v>
      </c>
      <c r="AA269" s="12">
        <f>AA220-Z220</f>
        <v>0.0379999999995562</v>
      </c>
      <c r="AB269" s="12">
        <f>SUM(X269:AA269)</f>
        <v>0.152000000000044</v>
      </c>
      <c r="AC269" s="12">
        <f>AC220-AB220</f>
        <v>8.2999999904132e-05</v>
      </c>
      <c r="AD269" s="12">
        <f>AD220-AC220</f>
        <v>-8.2999999904132e-05</v>
      </c>
      <c r="AE269" s="12">
        <f>AE220-AD220</f>
        <v>0</v>
      </c>
      <c r="AF269" s="12">
        <f>AF220-AE220</f>
        <v>0</v>
      </c>
      <c r="AG269" s="12">
        <f>SUM(AC269:AF269)</f>
        <v>0</v>
      </c>
      <c r="AH269" s="12">
        <f>AH220-AG220</f>
        <v>0</v>
      </c>
      <c r="AI269" s="12">
        <f>AI220-AH220</f>
        <v>13.0960000000005</v>
      </c>
      <c r="AJ269" s="12">
        <f>AJ220-AI220</f>
        <v>0</v>
      </c>
      <c r="AK269" s="12">
        <f>AK220-AJ220</f>
        <v>0</v>
      </c>
      <c r="AL269" s="12">
        <f>SUM(AH269:AK269)</f>
        <v>13.0960000000005</v>
      </c>
      <c r="AM269" s="12">
        <f>AM220-AL220</f>
        <v>0</v>
      </c>
      <c r="AN269" s="12">
        <f>AN220-AM220</f>
        <v>0</v>
      </c>
      <c r="AO269" s="12">
        <f>AO220-AN220</f>
        <v>0</v>
      </c>
      <c r="AP269" s="12">
        <f>AP220-AO220</f>
        <v>0</v>
      </c>
      <c r="AQ269" s="12">
        <f>SUM(AM269:AP269)</f>
        <v>0</v>
      </c>
      <c r="AR269" s="12">
        <f>AR220-AQ220</f>
        <v>0</v>
      </c>
      <c r="AS269" s="12">
        <f>AS220-AR220</f>
        <v>0</v>
      </c>
      <c r="AT269" s="12">
        <f>AT220-AS220</f>
        <v>0</v>
      </c>
      <c r="AU269" s="12">
        <f>AU220-AT220</f>
        <v>0</v>
      </c>
      <c r="AV269" s="12">
        <f>SUM(AR269:AU269)</f>
        <v>0</v>
      </c>
      <c r="AW269" s="12">
        <f>AW220-AV220</f>
        <v>0</v>
      </c>
      <c r="AX269" s="12">
        <f>AX220-AW220</f>
        <v>0</v>
      </c>
      <c r="AY269" s="12">
        <f>AY220-AX220</f>
        <v>0</v>
      </c>
      <c r="AZ269" s="12">
        <f>AZ220-AY220</f>
        <v>0</v>
      </c>
      <c r="BA269" s="12">
        <f>SUM(AW269:AZ269)</f>
        <v>0</v>
      </c>
      <c r="BB269" s="12">
        <f>BB220-BA220</f>
        <v>0</v>
      </c>
      <c r="BC269" s="12">
        <f>BC220-BB220</f>
        <v>0</v>
      </c>
      <c r="BD269" s="12">
        <f>BD220-BC220</f>
        <v>0</v>
      </c>
      <c r="BE269" s="12">
        <f>BE220-BD220</f>
        <v>0</v>
      </c>
      <c r="BF269" s="12">
        <f>SUM(BB269:BE269)</f>
        <v>0</v>
      </c>
      <c r="BG269" s="12" t="n"/>
      <c r="BH269" s="12" t="n"/>
      <c r="BI269" s="12" t="n"/>
      <c r="BJ269" s="12" t="n"/>
      <c r="BK269" s="12" t="n"/>
      <c r="BL269" s="12" t="n"/>
      <c r="BM269" s="12" t="n"/>
      <c r="BN269" s="12" t="n"/>
      <c r="BO269" s="12" t="n"/>
      <c r="BP269" s="12" t="n"/>
      <c r="BQ269" s="12" t="n"/>
      <c r="BR269" s="12" t="n"/>
      <c r="BS269" s="12" t="n"/>
      <c r="BT269" s="12" t="n"/>
      <c r="BU269" s="12" t="n"/>
      <c r="BV269" s="12" t="n"/>
      <c r="BW269" s="12" t="n"/>
      <c r="BX269" s="12" t="n"/>
      <c r="BY269" s="12" t="n"/>
      <c r="BZ269" s="12" t="n"/>
      <c r="CA269" s="12" t="n"/>
      <c r="CB269" s="12" t="n"/>
      <c r="CC269" s="12" t="n"/>
      <c r="CD269" s="12" t="n"/>
      <c r="CE269" s="12" t="n"/>
      <c r="CF269" s="12" t="n"/>
      <c r="CG269" s="12" t="n"/>
      <c r="CH269" s="12" t="n"/>
      <c r="CI269" s="12" t="n"/>
      <c r="CJ269" s="12" t="n"/>
      <c r="CK269" s="12" t="n"/>
      <c r="CL269" s="12" t="n"/>
      <c r="CM269" s="12" t="n"/>
      <c r="CN269" s="12" t="n"/>
      <c r="CO269" s="12" t="n"/>
      <c r="CP269" s="12" t="n"/>
      <c r="CQ269" s="12" t="n"/>
      <c r="CR269" s="12" t="n"/>
      <c r="CS269" s="12" t="n"/>
      <c r="CT269" s="12" t="n"/>
      <c r="CU269" s="12" t="n"/>
      <c r="CV269" s="12" t="n"/>
      <c r="CW269" s="12" t="n"/>
      <c r="CX269" s="12" t="n"/>
      <c r="CY269" s="12" t="n"/>
    </row>
    <row r="270">
      <c r="C270" s="14" t="inlineStr">
        <is>
          <t>Treasury stock repurchases</t>
        </is>
      </c>
      <c r="D270" s="12" t="n"/>
      <c r="E270" s="12" t="n"/>
      <c r="F270" s="12" t="n"/>
      <c r="G270" s="12" t="n"/>
      <c r="H270" s="12" t="n"/>
      <c r="I270" s="12" t="n"/>
      <c r="J270" s="12">
        <f>J233-I233</f>
        <v>-1.82208978</v>
      </c>
      <c r="K270" s="12">
        <f>K233-J233</f>
        <v>0</v>
      </c>
      <c r="L270" s="12">
        <f>L233-K233</f>
        <v>0</v>
      </c>
      <c r="M270" s="12" t="n"/>
      <c r="N270" s="12">
        <f>N233-M233</f>
        <v>1.9461885</v>
      </c>
      <c r="O270" s="12">
        <f>O233-N233</f>
        <v>-4.35105632</v>
      </c>
      <c r="P270" s="12">
        <f>P233-O233</f>
        <v>7.26984205</v>
      </c>
      <c r="Q270" s="12">
        <f>Q233-P233</f>
        <v>0</v>
      </c>
      <c r="R270" s="12">
        <f>SUM(N270:Q270)</f>
        <v>4.86497423</v>
      </c>
      <c r="S270" s="12">
        <f>S233-R233</f>
        <v>10.75829405</v>
      </c>
      <c r="T270" s="12">
        <f>T233-S233</f>
        <v>0.000137000000002274</v>
      </c>
      <c r="U270" s="12">
        <f>U233-T233</f>
        <v>0</v>
      </c>
      <c r="V270" s="12">
        <f>V233-U233</f>
        <v>-30.249</v>
      </c>
      <c r="W270" s="12">
        <f>SUM(S270:V270)</f>
        <v>-19.49056895</v>
      </c>
      <c r="X270" s="12">
        <f>X233-W233</f>
        <v>12.312</v>
      </c>
      <c r="Y270" s="12">
        <f>Y233-X233</f>
        <v>0</v>
      </c>
      <c r="Z270" s="12">
        <f>Z233-Y233</f>
        <v>-20.915</v>
      </c>
      <c r="AA270" s="12">
        <f>AA233-Z233</f>
        <v>0</v>
      </c>
      <c r="AB270" s="12">
        <f>SUM(X270:AA270)</f>
        <v>-8.60299999999999</v>
      </c>
      <c r="AC270" s="12">
        <f>AC233-AB233</f>
        <v>12.505899</v>
      </c>
      <c r="AD270" s="12">
        <f>AD233-AC233</f>
        <v>0.0001010000000079</v>
      </c>
      <c r="AE270" s="12">
        <f>AE233-AD233</f>
        <v>0</v>
      </c>
      <c r="AF270" s="12">
        <f>AF233-AE233</f>
        <v>0</v>
      </c>
      <c r="AG270" s="12">
        <f>SUM(AC270:AF270)</f>
        <v>12.506</v>
      </c>
      <c r="AH270" s="12">
        <f>AH233-AG233</f>
        <v>-19.938</v>
      </c>
      <c r="AI270" s="12">
        <f>AI233-AH233</f>
        <v>0.0189999999999984</v>
      </c>
      <c r="AJ270" s="12">
        <f>AJ233-AI233</f>
        <v>0</v>
      </c>
      <c r="AK270" s="12">
        <f>AK233-AJ233</f>
        <v>0</v>
      </c>
      <c r="AL270" s="12">
        <f>SUM(AH270:AK270)</f>
        <v>-19.919</v>
      </c>
      <c r="AM270" s="12">
        <f>AM233-AL233</f>
        <v>0</v>
      </c>
      <c r="AN270" s="12">
        <f>AN233-AM233</f>
        <v>0</v>
      </c>
      <c r="AO270" s="12">
        <f>AO233-AN233</f>
        <v>0</v>
      </c>
      <c r="AP270" s="12">
        <f>AP233-AO233</f>
        <v>0</v>
      </c>
      <c r="AQ270" s="12">
        <f>SUM(AM270:AP270)</f>
        <v>0</v>
      </c>
      <c r="AR270" s="12">
        <f>AR233-AQ233</f>
        <v>0</v>
      </c>
      <c r="AS270" s="12">
        <f>AS233-AR233</f>
        <v>0</v>
      </c>
      <c r="AT270" s="12">
        <f>AT233-AS233</f>
        <v>0</v>
      </c>
      <c r="AU270" s="12">
        <f>AU233-AT233</f>
        <v>0</v>
      </c>
      <c r="AV270" s="12">
        <f>SUM(AR270:AU270)</f>
        <v>0</v>
      </c>
      <c r="AW270" s="12">
        <f>AW233-AV233</f>
        <v>0</v>
      </c>
      <c r="AX270" s="12">
        <f>AX233-AW233</f>
        <v>0</v>
      </c>
      <c r="AY270" s="12">
        <f>AY233-AX233</f>
        <v>0</v>
      </c>
      <c r="AZ270" s="12">
        <f>AZ233-AY233</f>
        <v>0</v>
      </c>
      <c r="BA270" s="12">
        <f>SUM(AW270:AZ270)</f>
        <v>0</v>
      </c>
      <c r="BB270" s="12">
        <f>BB233-BA233</f>
        <v>0</v>
      </c>
      <c r="BC270" s="12">
        <f>BC233-BB233</f>
        <v>0</v>
      </c>
      <c r="BD270" s="12">
        <f>BD233-BC233</f>
        <v>0</v>
      </c>
      <c r="BE270" s="12">
        <f>BE233-BD233</f>
        <v>0</v>
      </c>
      <c r="BF270" s="12">
        <f>SUM(BB270:BE270)</f>
        <v>0</v>
      </c>
      <c r="BG270" s="12" t="n"/>
      <c r="BH270" s="12" t="n"/>
      <c r="BI270" s="12" t="n"/>
      <c r="BJ270" s="12" t="n"/>
      <c r="BK270" s="12" t="n"/>
      <c r="BL270" s="12" t="n"/>
      <c r="BM270" s="12" t="n"/>
      <c r="BN270" s="12" t="n"/>
      <c r="BO270" s="12" t="n"/>
      <c r="BP270" s="12" t="n"/>
      <c r="BQ270" s="12" t="n"/>
      <c r="BR270" s="12" t="n"/>
      <c r="BS270" s="12" t="n"/>
      <c r="BT270" s="12" t="n"/>
      <c r="BU270" s="12" t="n"/>
      <c r="BV270" s="12" t="n"/>
      <c r="BW270" s="12" t="n"/>
      <c r="BX270" s="12" t="n"/>
      <c r="BY270" s="12" t="n"/>
      <c r="BZ270" s="12" t="n"/>
      <c r="CA270" s="12" t="n"/>
      <c r="CB270" s="12" t="n"/>
      <c r="CC270" s="12" t="n"/>
      <c r="CD270" s="12" t="n"/>
      <c r="CE270" s="12" t="n"/>
      <c r="CF270" s="12" t="n"/>
      <c r="CG270" s="12" t="n"/>
      <c r="CH270" s="12" t="n"/>
      <c r="CI270" s="12" t="n"/>
      <c r="CJ270" s="12" t="n"/>
      <c r="CK270" s="12" t="n"/>
      <c r="CL270" s="12" t="n"/>
      <c r="CM270" s="12" t="n"/>
      <c r="CN270" s="12" t="n"/>
      <c r="CO270" s="12" t="n"/>
      <c r="CP270" s="12" t="n"/>
      <c r="CQ270" s="12" t="n"/>
      <c r="CR270" s="12" t="n"/>
      <c r="CS270" s="12" t="n"/>
      <c r="CT270" s="12" t="n"/>
      <c r="CU270" s="12" t="n"/>
      <c r="CV270" s="12" t="n"/>
      <c r="CW270" s="12" t="n"/>
      <c r="CX270" s="12" t="n"/>
      <c r="CY270" s="12" t="n"/>
    </row>
    <row r="271">
      <c r="C271" s="14" t="inlineStr">
        <is>
          <t>Comprehensive accumulated loss</t>
        </is>
      </c>
      <c r="D271" s="12" t="n"/>
      <c r="E271" s="12" t="n"/>
      <c r="F271" s="12" t="n"/>
      <c r="G271" s="12" t="n"/>
      <c r="H271" s="12" t="n"/>
      <c r="I271" s="12" t="n"/>
      <c r="J271" s="12">
        <f>J234-I234</f>
        <v>0</v>
      </c>
      <c r="K271" s="12">
        <f>K234-J234</f>
        <v>0</v>
      </c>
      <c r="L271" s="12">
        <f>L234-K234</f>
        <v>0</v>
      </c>
      <c r="M271" s="12" t="n"/>
      <c r="N271" s="12">
        <f>N234-M234</f>
        <v>0</v>
      </c>
      <c r="O271" s="12">
        <f>O234-N234</f>
        <v>0</v>
      </c>
      <c r="P271" s="12">
        <f>P234-O234</f>
        <v>0</v>
      </c>
      <c r="Q271" s="12">
        <f>Q234-P234</f>
        <v>0</v>
      </c>
      <c r="R271" s="12">
        <f>SUM(N271:Q271)</f>
        <v>0</v>
      </c>
      <c r="S271" s="12">
        <f>S234-R234</f>
        <v>0</v>
      </c>
      <c r="T271" s="12">
        <f>T234-S234</f>
        <v>73.884</v>
      </c>
      <c r="U271" s="12">
        <f>U234-T234</f>
        <v>0</v>
      </c>
      <c r="V271" s="12">
        <f>V234-U234</f>
        <v>0</v>
      </c>
      <c r="W271" s="12">
        <f>SUM(S271:V271)</f>
        <v>73.884</v>
      </c>
      <c r="X271" s="12">
        <f>X234-W234</f>
        <v>0</v>
      </c>
      <c r="Y271" s="12">
        <f>Y234-X234</f>
        <v>0</v>
      </c>
      <c r="Z271" s="12">
        <f>Z234-Y234</f>
        <v>0</v>
      </c>
      <c r="AA271" s="12">
        <f>AA234-Z234</f>
        <v>-21.067</v>
      </c>
      <c r="AB271" s="12">
        <f>SUM(X271:AA271)</f>
        <v>-21.067</v>
      </c>
      <c r="AC271" s="12">
        <f>AC234-AB234</f>
        <v>0</v>
      </c>
      <c r="AD271" s="12">
        <f>AD234-AC234</f>
        <v>0</v>
      </c>
      <c r="AE271" s="12">
        <f>AE234-AD234</f>
        <v>0</v>
      </c>
      <c r="AF271" s="12">
        <f>AF234-AE234</f>
        <v>0</v>
      </c>
      <c r="AG271" s="12">
        <f>SUM(AC271:AF271)</f>
        <v>0</v>
      </c>
      <c r="AH271" s="12">
        <f>AH234-AG234</f>
        <v>0</v>
      </c>
      <c r="AI271" s="12">
        <f>AI234-AH234</f>
        <v>0</v>
      </c>
      <c r="AJ271" s="12">
        <f>AJ234-AI234</f>
        <v>0</v>
      </c>
      <c r="AK271" s="12">
        <f>AK234-AJ234</f>
        <v>0</v>
      </c>
      <c r="AL271" s="12">
        <f>SUM(AH271:AK271)</f>
        <v>0</v>
      </c>
      <c r="AM271" s="12">
        <f>AM234-AL234</f>
        <v>0</v>
      </c>
      <c r="AN271" s="12">
        <f>AN234-AM234</f>
        <v>0</v>
      </c>
      <c r="AO271" s="12">
        <f>AO234-AN234</f>
        <v>0</v>
      </c>
      <c r="AP271" s="12">
        <f>AP234-AO234</f>
        <v>0</v>
      </c>
      <c r="AQ271" s="12">
        <f>SUM(AM271:AP271)</f>
        <v>0</v>
      </c>
      <c r="AR271" s="12">
        <f>AR234-AQ234</f>
        <v>0</v>
      </c>
      <c r="AS271" s="12">
        <f>AS234-AR234</f>
        <v>0</v>
      </c>
      <c r="AT271" s="12">
        <f>AT234-AS234</f>
        <v>0</v>
      </c>
      <c r="AU271" s="12">
        <f>AU234-AT234</f>
        <v>0</v>
      </c>
      <c r="AV271" s="12">
        <f>SUM(AR271:AU271)</f>
        <v>0</v>
      </c>
      <c r="AW271" s="12">
        <f>AW234-AV234</f>
        <v>0</v>
      </c>
      <c r="AX271" s="12">
        <f>AX234-AW234</f>
        <v>0</v>
      </c>
      <c r="AY271" s="12">
        <f>AY234-AX234</f>
        <v>0</v>
      </c>
      <c r="AZ271" s="12">
        <f>AZ234-AY234</f>
        <v>0</v>
      </c>
      <c r="BA271" s="12">
        <f>SUM(AW271:AZ271)</f>
        <v>0</v>
      </c>
      <c r="BB271" s="12">
        <f>BB234-BA234</f>
        <v>0</v>
      </c>
      <c r="BC271" s="12">
        <f>BC234-BB234</f>
        <v>0</v>
      </c>
      <c r="BD271" s="12">
        <f>BD234-BC234</f>
        <v>0</v>
      </c>
      <c r="BE271" s="12">
        <f>BE234-BD234</f>
        <v>0</v>
      </c>
      <c r="BF271" s="12">
        <f>SUM(BB271:BE271)</f>
        <v>0</v>
      </c>
      <c r="BG271" s="12" t="n"/>
      <c r="BH271" s="12" t="n"/>
      <c r="BI271" s="12" t="n"/>
      <c r="BJ271" s="12" t="n"/>
      <c r="BK271" s="12" t="n"/>
      <c r="BL271" s="12" t="n"/>
      <c r="BM271" s="12" t="n"/>
      <c r="BN271" s="12" t="n"/>
      <c r="BO271" s="12" t="n"/>
      <c r="BP271" s="12" t="n"/>
      <c r="BQ271" s="12" t="n"/>
      <c r="BR271" s="12" t="n"/>
      <c r="BS271" s="12" t="n"/>
      <c r="BT271" s="12" t="n"/>
      <c r="BU271" s="12" t="n"/>
      <c r="BV271" s="12" t="n"/>
      <c r="BW271" s="12" t="n"/>
      <c r="BX271" s="12" t="n"/>
      <c r="BY271" s="12" t="n"/>
      <c r="BZ271" s="12" t="n"/>
      <c r="CA271" s="12" t="n"/>
      <c r="CB271" s="12" t="n"/>
      <c r="CC271" s="12" t="n"/>
      <c r="CD271" s="12" t="n"/>
      <c r="CE271" s="12" t="n"/>
      <c r="CF271" s="12" t="n"/>
      <c r="CG271" s="12" t="n"/>
      <c r="CH271" s="12" t="n"/>
      <c r="CI271" s="12" t="n"/>
      <c r="CJ271" s="12" t="n"/>
      <c r="CK271" s="12" t="n"/>
      <c r="CL271" s="12" t="n"/>
      <c r="CM271" s="12" t="n"/>
      <c r="CN271" s="12" t="n"/>
      <c r="CO271" s="12" t="n"/>
      <c r="CP271" s="12" t="n"/>
      <c r="CQ271" s="12" t="n"/>
      <c r="CR271" s="12" t="n"/>
      <c r="CS271" s="12" t="n"/>
      <c r="CT271" s="12" t="n"/>
      <c r="CU271" s="12" t="n"/>
      <c r="CV271" s="12" t="n"/>
      <c r="CW271" s="12" t="n"/>
      <c r="CX271" s="12" t="n"/>
      <c r="CY271" s="12" t="n"/>
    </row>
    <row r="272">
      <c r="C272" s="14" t="inlineStr">
        <is>
          <t>Other equity account</t>
        </is>
      </c>
      <c r="D272" s="12" t="n"/>
      <c r="E272" s="12" t="n"/>
      <c r="F272" s="12" t="n"/>
      <c r="G272" s="12" t="n"/>
      <c r="H272" s="12" t="n"/>
      <c r="I272" s="12" t="n"/>
      <c r="J272" s="12">
        <f>J235-I235</f>
        <v>0</v>
      </c>
      <c r="K272" s="12">
        <f>K235-J235</f>
        <v>0</v>
      </c>
      <c r="L272" s="12">
        <f>L235-K235</f>
        <v>17.49624773</v>
      </c>
      <c r="M272" s="12" t="n"/>
      <c r="N272" s="12">
        <f>N235-M235</f>
        <v>12.83008774</v>
      </c>
      <c r="O272" s="12">
        <f>O235-N235</f>
        <v>0</v>
      </c>
      <c r="P272" s="12">
        <f>P235-O235</f>
        <v>0</v>
      </c>
      <c r="Q272" s="12">
        <f>Q235-P235</f>
        <v>37.557464017</v>
      </c>
      <c r="R272" s="12">
        <f>SUM(N272:Q272)</f>
        <v>50.387551757</v>
      </c>
      <c r="S272" s="12">
        <f>S235-R235</f>
        <v>162.452514153</v>
      </c>
      <c r="T272" s="12">
        <f>T235-S235</f>
        <v>-169.99989755</v>
      </c>
      <c r="U272" s="12">
        <f>U235-T235</f>
        <v>-92.53</v>
      </c>
      <c r="V272" s="12">
        <f>V235-U235</f>
        <v>113.718</v>
      </c>
      <c r="W272" s="12">
        <f>SUM(S272:V272)</f>
        <v>13.640616603</v>
      </c>
      <c r="X272" s="12">
        <f>X235-W235</f>
        <v>-207.423</v>
      </c>
      <c r="Y272" s="12">
        <f>Y235-X235</f>
        <v>0</v>
      </c>
      <c r="Z272" s="12">
        <f>Z235-Y235</f>
        <v>-184.073</v>
      </c>
      <c r="AA272" s="12">
        <f>AA235-Z235</f>
        <v>-116.429</v>
      </c>
      <c r="AB272" s="12">
        <f>SUM(X272:AA272)</f>
        <v>-507.925</v>
      </c>
      <c r="AC272" s="12">
        <f>AC235-AB235</f>
        <v>300.502</v>
      </c>
      <c r="AD272" s="12">
        <f>AD235-AC235</f>
        <v>0</v>
      </c>
      <c r="AE272" s="12">
        <f>AE235-AD235</f>
        <v>-169.009</v>
      </c>
      <c r="AF272" s="12">
        <f>AF235-AE235</f>
        <v>169.009</v>
      </c>
      <c r="AG272" s="12">
        <f>SUM(AC272:AF272)</f>
        <v>300.502</v>
      </c>
      <c r="AH272" s="12">
        <f>AH235-AG235</f>
        <v>0</v>
      </c>
      <c r="AI272" s="12">
        <f>AI235-AH235</f>
        <v>0</v>
      </c>
      <c r="AJ272" s="12">
        <f>AJ235-AI235</f>
        <v>0</v>
      </c>
      <c r="AK272" s="12">
        <f>AK235-AJ235</f>
        <v>0</v>
      </c>
      <c r="AL272" s="12">
        <f>SUM(AH272:AK272)</f>
        <v>0</v>
      </c>
      <c r="AM272" s="12">
        <f>AM235-AL235</f>
        <v>0</v>
      </c>
      <c r="AN272" s="12">
        <f>AN235-AM235</f>
        <v>0</v>
      </c>
      <c r="AO272" s="12">
        <f>AO235-AN235</f>
        <v>0</v>
      </c>
      <c r="AP272" s="12">
        <f>AP235-AO235</f>
        <v>0</v>
      </c>
      <c r="AQ272" s="12">
        <f>SUM(AM272:AP272)</f>
        <v>0</v>
      </c>
      <c r="AR272" s="12">
        <f>AR235-AQ235</f>
        <v>0</v>
      </c>
      <c r="AS272" s="12">
        <f>AS235-AR235</f>
        <v>0</v>
      </c>
      <c r="AT272" s="12">
        <f>AT235-AS235</f>
        <v>0</v>
      </c>
      <c r="AU272" s="12">
        <f>AU235-AT235</f>
        <v>0</v>
      </c>
      <c r="AV272" s="12">
        <f>SUM(AR272:AU272)</f>
        <v>0</v>
      </c>
      <c r="AW272" s="12">
        <f>AW235-AV235</f>
        <v>0</v>
      </c>
      <c r="AX272" s="12">
        <f>AX235-AW235</f>
        <v>0</v>
      </c>
      <c r="AY272" s="12">
        <f>AY235-AX235</f>
        <v>0</v>
      </c>
      <c r="AZ272" s="12">
        <f>AZ235-AY235</f>
        <v>0</v>
      </c>
      <c r="BA272" s="12">
        <f>SUM(AW272:AZ272)</f>
        <v>0</v>
      </c>
      <c r="BB272" s="12">
        <f>BB235-BA235</f>
        <v>0</v>
      </c>
      <c r="BC272" s="12">
        <f>BC235-BB235</f>
        <v>0</v>
      </c>
      <c r="BD272" s="12">
        <f>BD235-BC235</f>
        <v>0</v>
      </c>
      <c r="BE272" s="12">
        <f>BE235-BD235</f>
        <v>0</v>
      </c>
      <c r="BF272" s="12">
        <f>SUM(BB272:BE272)</f>
        <v>0</v>
      </c>
      <c r="BG272" s="12" t="n"/>
      <c r="BH272" s="12" t="n"/>
      <c r="BI272" s="12" t="n"/>
      <c r="BJ272" s="12" t="n"/>
      <c r="BK272" s="12" t="n"/>
      <c r="BL272" s="12" t="n"/>
      <c r="BM272" s="12" t="n"/>
      <c r="BN272" s="12" t="n"/>
      <c r="BO272" s="12" t="n"/>
      <c r="BP272" s="12" t="n"/>
      <c r="BQ272" s="12" t="n"/>
      <c r="BR272" s="12" t="n"/>
      <c r="BS272" s="12" t="n"/>
      <c r="BT272" s="12" t="n"/>
      <c r="BU272" s="12" t="n"/>
      <c r="BV272" s="12" t="n"/>
      <c r="BW272" s="12" t="n"/>
      <c r="BX272" s="12" t="n"/>
      <c r="BY272" s="12" t="n"/>
      <c r="BZ272" s="12" t="n"/>
      <c r="CA272" s="12" t="n"/>
      <c r="CB272" s="12" t="n"/>
      <c r="CC272" s="12" t="n"/>
      <c r="CD272" s="12" t="n"/>
      <c r="CE272" s="12" t="n"/>
      <c r="CF272" s="12" t="n"/>
      <c r="CG272" s="12" t="n"/>
      <c r="CH272" s="12" t="n"/>
      <c r="CI272" s="12" t="n"/>
      <c r="CJ272" s="12" t="n"/>
      <c r="CK272" s="12" t="n"/>
      <c r="CL272" s="12" t="n"/>
      <c r="CM272" s="12" t="n"/>
      <c r="CN272" s="12" t="n"/>
      <c r="CO272" s="12" t="n"/>
      <c r="CP272" s="12" t="n"/>
      <c r="CQ272" s="12" t="n"/>
      <c r="CR272" s="12" t="n"/>
      <c r="CS272" s="12" t="n"/>
      <c r="CT272" s="12" t="n"/>
      <c r="CU272" s="12" t="n"/>
      <c r="CV272" s="12" t="n"/>
      <c r="CW272" s="12" t="n"/>
      <c r="CX272" s="12" t="n"/>
      <c r="CY272" s="12" t="n"/>
    </row>
    <row r="273">
      <c r="C273" s="10" t="inlineStr">
        <is>
          <t>Common and preferred dividends</t>
        </is>
      </c>
      <c r="D273" s="12" t="n"/>
      <c r="E273" s="12" t="n"/>
      <c r="F273" s="12" t="n"/>
      <c r="G273" s="12" t="n"/>
      <c r="H273" s="12" t="n"/>
      <c r="I273" s="12" t="n"/>
      <c r="J273" s="12">
        <f>(J236-I236)-J243</f>
        <v>8.40000055291057e-07</v>
      </c>
      <c r="K273" s="12">
        <f>(K236-J236)-K243</f>
        <v>-42.3521208669999</v>
      </c>
      <c r="L273" s="12">
        <f>(L236-K236)-L243</f>
        <v>-58.2513027600001</v>
      </c>
      <c r="M273" s="12" t="n"/>
      <c r="N273" s="12">
        <f>(N236-M236)-N243</f>
        <v>-227.159122689</v>
      </c>
      <c r="O273" s="12">
        <f>(O236-N236)-O243</f>
        <v>7.26984193199994</v>
      </c>
      <c r="P273" s="12">
        <f>(P236-O236)-P243</f>
        <v>-7.26984196000002</v>
      </c>
      <c r="Q273" s="12">
        <f>(Q236-P236)-Q243</f>
        <v>-145.45417996</v>
      </c>
      <c r="R273" s="12">
        <f>SUM(N273:Q273)</f>
        <v>-372.613302677</v>
      </c>
      <c r="S273" s="12">
        <f>(S236-R236)-S243</f>
        <v>-162.4538159</v>
      </c>
      <c r="T273" s="12">
        <f>(T236-S236)-T243</f>
        <v>0.00205519500015328</v>
      </c>
      <c r="U273" s="12">
        <f>(U236-T236)-U243</f>
        <v>-0.000435338000073671</v>
      </c>
      <c r="V273" s="12">
        <f>(V236-U236)-V243</f>
        <v>-258.468801744</v>
      </c>
      <c r="W273" s="12">
        <f>SUM(S273:V273)</f>
        <v>-420.920997787</v>
      </c>
      <c r="X273" s="12">
        <f>(X236-W236)-X243</f>
        <v>126.8863991</v>
      </c>
      <c r="Y273" s="12">
        <f>(Y236-X236)-Y243</f>
        <v>0</v>
      </c>
      <c r="Z273" s="12">
        <f>(Z236-Y236)-Z243</f>
        <v>-0.000473999999968555</v>
      </c>
      <c r="AA273" s="12">
        <f>(AA236-Z236)-AA243</f>
        <v>0.00207489999975508</v>
      </c>
      <c r="AB273" s="12">
        <f>SUM(X273:AA273)</f>
        <v>126.888</v>
      </c>
      <c r="AC273" s="12">
        <f>(AC236-AB236)-AC243</f>
        <v>-554.55829</v>
      </c>
      <c r="AD273" s="12">
        <f>(AD236-AC236)-AD243</f>
        <v>-0.000178999999803864</v>
      </c>
      <c r="AE273" s="12">
        <f>(AE236-AD236)-AE243</f>
        <v>0.000277278999675445</v>
      </c>
      <c r="AF273" s="12">
        <f>(AF236-AE236)-AF243</f>
        <v>-659.008409783</v>
      </c>
      <c r="AG273" s="12">
        <f>SUM(AC273:AF273)</f>
        <v>-1213.566601504</v>
      </c>
      <c r="AH273" s="12">
        <f>(AH236-AG236)-AH243</f>
        <v>3.58800002402404e-05</v>
      </c>
      <c r="AI273" s="12">
        <f>(AI236-AH236)-AI243</f>
        <v>-0.00120800000019017</v>
      </c>
      <c r="AJ273" s="12">
        <f>(AJ236-AI236)-AJ243</f>
        <v>0</v>
      </c>
      <c r="AK273" s="12">
        <f>(AK236-AJ236)-AK243</f>
        <v>0</v>
      </c>
      <c r="AL273" s="12">
        <f>SUM(AH273:AK273)</f>
        <v>-0.00117211999994993</v>
      </c>
      <c r="AM273" s="12">
        <f>(AM236-AL236)-AM243</f>
        <v>0</v>
      </c>
      <c r="AN273" s="12">
        <f>(AN236-AM236)-AN243</f>
        <v>0</v>
      </c>
      <c r="AO273" s="12">
        <f>(AO236-AN236)-AO243</f>
        <v>0</v>
      </c>
      <c r="AP273" s="12">
        <f>(AP236-AO236)-AP243</f>
        <v>0</v>
      </c>
      <c r="AQ273" s="12">
        <f>SUM(AM273:AP273)</f>
        <v>0</v>
      </c>
      <c r="AR273" s="12">
        <f>(AR236-AQ236)-AR243</f>
        <v>0</v>
      </c>
      <c r="AS273" s="12">
        <f>(AS236-AR236)-AS243</f>
        <v>0</v>
      </c>
      <c r="AT273" s="12">
        <f>(AT236-AS236)-AT243</f>
        <v>0</v>
      </c>
      <c r="AU273" s="12">
        <f>(AU236-AT236)-AU243</f>
        <v>0</v>
      </c>
      <c r="AV273" s="12">
        <f>SUM(AR273:AU273)</f>
        <v>0</v>
      </c>
      <c r="AW273" s="12">
        <f>(AW236-AV236)-AW243</f>
        <v>0</v>
      </c>
      <c r="AX273" s="12">
        <f>(AX236-AW236)-AX243</f>
        <v>0</v>
      </c>
      <c r="AY273" s="12">
        <f>(AY236-AX236)-AY243</f>
        <v>0</v>
      </c>
      <c r="AZ273" s="12">
        <f>(AZ236-AY236)-AZ243</f>
        <v>0</v>
      </c>
      <c r="BA273" s="12">
        <f>SUM(AW273:AZ273)</f>
        <v>0</v>
      </c>
      <c r="BB273" s="12">
        <f>(BB236-BA236)-BB243</f>
        <v>0</v>
      </c>
      <c r="BC273" s="12">
        <f>(BC236-BB236)-BC243</f>
        <v>0</v>
      </c>
      <c r="BD273" s="12">
        <f>(BD236-BC236)-BD243</f>
        <v>0</v>
      </c>
      <c r="BE273" s="12">
        <f>(BE236-BD236)-BE243</f>
        <v>0</v>
      </c>
      <c r="BF273" s="12">
        <f>SUM(BB273:BE273)</f>
        <v>0</v>
      </c>
      <c r="BG273" s="12" t="n"/>
      <c r="BH273" s="12" t="n"/>
      <c r="BI273" s="12" t="n"/>
      <c r="BJ273" s="12" t="n"/>
      <c r="BK273" s="12" t="n"/>
      <c r="BL273" s="12" t="n"/>
      <c r="BM273" s="12" t="n"/>
      <c r="BN273" s="12" t="n"/>
      <c r="BO273" s="12" t="n"/>
      <c r="BP273" s="12" t="n"/>
      <c r="BQ273" s="12" t="n"/>
      <c r="BR273" s="12" t="n"/>
      <c r="BS273" s="12" t="n"/>
      <c r="BT273" s="12" t="n"/>
      <c r="BU273" s="12" t="n"/>
      <c r="BV273" s="12" t="n"/>
      <c r="BW273" s="12" t="n"/>
      <c r="BX273" s="12" t="n"/>
      <c r="BY273" s="12" t="n"/>
      <c r="BZ273" s="12" t="n"/>
      <c r="CA273" s="12" t="n"/>
      <c r="CB273" s="12" t="n"/>
      <c r="CC273" s="12" t="n"/>
      <c r="CD273" s="12" t="n"/>
      <c r="CE273" s="12" t="n"/>
      <c r="CF273" s="12" t="n"/>
      <c r="CG273" s="12" t="n"/>
      <c r="CH273" s="12" t="n"/>
      <c r="CI273" s="12" t="n"/>
      <c r="CJ273" s="12" t="n"/>
      <c r="CK273" s="12" t="n"/>
      <c r="CL273" s="12" t="n"/>
      <c r="CM273" s="12" t="n"/>
      <c r="CN273" s="12" t="n"/>
      <c r="CO273" s="12" t="n"/>
      <c r="CP273" s="12" t="n"/>
      <c r="CQ273" s="12" t="n"/>
      <c r="CR273" s="12" t="n"/>
      <c r="CS273" s="12" t="n"/>
      <c r="CT273" s="12" t="n"/>
      <c r="CU273" s="12" t="n"/>
      <c r="CV273" s="12" t="n"/>
      <c r="CW273" s="12" t="n"/>
      <c r="CX273" s="12" t="n"/>
      <c r="CY273" s="12" t="n"/>
    </row>
    <row r="274">
      <c r="C274" s="14" t="inlineStr">
        <is>
          <t>Dividends to minority interests</t>
        </is>
      </c>
      <c r="D274" s="12" t="n"/>
      <c r="E274" s="12" t="n"/>
      <c r="F274" s="12" t="n"/>
      <c r="G274" s="12" t="n"/>
      <c r="H274" s="12" t="n"/>
      <c r="I274" s="12" t="n"/>
      <c r="J274" s="12">
        <f>(J214-I214)+J102</f>
        <v>1.370139392</v>
      </c>
      <c r="K274" s="12">
        <f>(K214-J214)+K102</f>
        <v>0.046234967</v>
      </c>
      <c r="L274" s="12">
        <f>(L214-K214)+L102</f>
        <v>6.217694892</v>
      </c>
      <c r="M274" s="12" t="n"/>
      <c r="N274" s="12">
        <f>(N214-M214)+N102</f>
        <v>0.400066877999999</v>
      </c>
      <c r="O274" s="12">
        <f>(O214-N214)+O102</f>
        <v>1.294757536</v>
      </c>
      <c r="P274" s="12">
        <f>(P214-O214)+P102</f>
        <v>4.21690244</v>
      </c>
      <c r="Q274" s="12">
        <f>(Q214-P214)+Q102</f>
        <v>3.614749251</v>
      </c>
      <c r="R274" s="12">
        <f>SUM(N274:Q274)</f>
        <v>9.526476105</v>
      </c>
      <c r="S274" s="12">
        <f>(S214-R214)+S102</f>
        <v>2.60033365</v>
      </c>
      <c r="T274" s="12">
        <f>(T214-S214)+T102</f>
        <v>-8.531227611</v>
      </c>
      <c r="U274" s="12">
        <f>(U214-T214)+U102</f>
        <v>3.989</v>
      </c>
      <c r="V274" s="12">
        <f>(V214-U214)+V102</f>
        <v>12.947</v>
      </c>
      <c r="W274" s="12">
        <f>SUM(S274:V274)</f>
        <v>11.005106039</v>
      </c>
      <c r="X274" s="12">
        <f>(X214-W214)+X102</f>
        <v>1.527955374</v>
      </c>
      <c r="Y274" s="12">
        <f>(Y214-X214)+Y102</f>
        <v>46.117924754</v>
      </c>
      <c r="Z274" s="12">
        <f>(Z214-Y214)+Z102</f>
        <v>15.068119872</v>
      </c>
      <c r="AA274" s="12">
        <f>(AA214-Z214)+AA102</f>
        <v>7.94800000000001</v>
      </c>
      <c r="AB274" s="12">
        <f>SUM(X274:AA274)</f>
        <v>70.662</v>
      </c>
      <c r="AC274" s="12">
        <f>(AC214-AB214)+AC102</f>
        <v>11.11217</v>
      </c>
      <c r="AD274" s="12">
        <f>(AD214-AC214)+AD102</f>
        <v>5.74713299999999</v>
      </c>
      <c r="AE274" s="12">
        <f>(AE214-AD214)+AE102</f>
        <v>-1.0875512</v>
      </c>
      <c r="AF274" s="12">
        <f>(AF214-AE214)+AF102</f>
        <v>9.553255778</v>
      </c>
      <c r="AG274" s="12">
        <f>SUM(AC274:AF274)</f>
        <v>25.325007578</v>
      </c>
      <c r="AH274" s="12">
        <f>(AH214-AG214)+AH102</f>
        <v>3.65144448</v>
      </c>
      <c r="AI274" s="12">
        <f>(AI214-AH214)+AI102</f>
        <v>8.292</v>
      </c>
      <c r="AJ274" s="12">
        <f>(AJ214-AI214)+AJ102</f>
        <v>0</v>
      </c>
      <c r="AK274" s="12">
        <f>(AK214-AJ214)+AK102</f>
        <v>0</v>
      </c>
      <c r="AL274" s="12">
        <f>SUM(AH274:AK274)</f>
        <v>11.94344448</v>
      </c>
      <c r="AM274" s="12">
        <f>(AM214-AL214)+AM102</f>
        <v>0</v>
      </c>
      <c r="AN274" s="12">
        <f>(AN214-AM214)+AN102</f>
        <v>0</v>
      </c>
      <c r="AO274" s="12">
        <f>(AO214-AN214)+AO102</f>
        <v>0</v>
      </c>
      <c r="AP274" s="12">
        <f>(AP214-AO214)+AP102</f>
        <v>0</v>
      </c>
      <c r="AQ274" s="12">
        <f>SUM(AM274:AP274)</f>
        <v>0</v>
      </c>
      <c r="AR274" s="12">
        <f>(AR214-AQ214)+AR102</f>
        <v>0</v>
      </c>
      <c r="AS274" s="12">
        <f>(AS214-AR214)+AS102</f>
        <v>0</v>
      </c>
      <c r="AT274" s="12">
        <f>(AT214-AS214)+AT102</f>
        <v>0</v>
      </c>
      <c r="AU274" s="12">
        <f>(AU214-AT214)+AU102</f>
        <v>0</v>
      </c>
      <c r="AV274" s="12">
        <f>SUM(AR274:AU274)</f>
        <v>0</v>
      </c>
      <c r="AW274" s="12">
        <f>(AW214-AV214)+AW102</f>
        <v>0</v>
      </c>
      <c r="AX274" s="12">
        <f>(AX214-AW214)+AX102</f>
        <v>0</v>
      </c>
      <c r="AY274" s="12">
        <f>(AY214-AX214)+AY102</f>
        <v>0</v>
      </c>
      <c r="AZ274" s="12">
        <f>(AZ214-AY214)+AZ102</f>
        <v>0</v>
      </c>
      <c r="BA274" s="12">
        <f>SUM(AW274:AZ274)</f>
        <v>0</v>
      </c>
      <c r="BB274" s="12">
        <f>(BB214-BA214)+BB102</f>
        <v>0</v>
      </c>
      <c r="BC274" s="12">
        <f>(BC214-BB214)+BC102</f>
        <v>0</v>
      </c>
      <c r="BD274" s="12">
        <f>(BD214-BC214)+BD102</f>
        <v>0</v>
      </c>
      <c r="BE274" s="12">
        <f>(BE214-BD214)+BE102</f>
        <v>0</v>
      </c>
      <c r="BF274" s="12">
        <f>SUM(BB274:BE274)</f>
        <v>0</v>
      </c>
      <c r="BG274" s="12" t="n"/>
      <c r="BH274" s="12" t="n"/>
      <c r="BI274" s="12" t="n"/>
      <c r="BJ274" s="12" t="n"/>
      <c r="BK274" s="12" t="n"/>
      <c r="BL274" s="12" t="n"/>
      <c r="BM274" s="12" t="n"/>
      <c r="BN274" s="12" t="n"/>
      <c r="BO274" s="12" t="n"/>
      <c r="BP274" s="12" t="n"/>
      <c r="BQ274" s="12" t="n"/>
      <c r="BR274" s="12" t="n"/>
      <c r="BS274" s="12" t="n"/>
      <c r="BT274" s="12" t="n"/>
      <c r="BU274" s="12" t="n"/>
      <c r="BV274" s="12" t="n"/>
      <c r="BW274" s="12" t="n"/>
      <c r="BX274" s="12" t="n"/>
      <c r="BY274" s="12" t="n"/>
      <c r="BZ274" s="12" t="n"/>
      <c r="CA274" s="12" t="n"/>
      <c r="CB274" s="12" t="n"/>
      <c r="CC274" s="12" t="n"/>
      <c r="CD274" s="12" t="n"/>
      <c r="CE274" s="12" t="n"/>
      <c r="CF274" s="12" t="n"/>
      <c r="CG274" s="12" t="n"/>
      <c r="CH274" s="12" t="n"/>
      <c r="CI274" s="12" t="n"/>
      <c r="CJ274" s="12" t="n"/>
      <c r="CK274" s="12" t="n"/>
      <c r="CL274" s="12" t="n"/>
      <c r="CM274" s="12" t="n"/>
      <c r="CN274" s="12" t="n"/>
      <c r="CO274" s="12" t="n"/>
      <c r="CP274" s="12" t="n"/>
      <c r="CQ274" s="12" t="n"/>
      <c r="CR274" s="12" t="n"/>
      <c r="CS274" s="12" t="n"/>
      <c r="CT274" s="12" t="n"/>
      <c r="CU274" s="12" t="n"/>
      <c r="CV274" s="12" t="n"/>
      <c r="CW274" s="12" t="n"/>
      <c r="CX274" s="12" t="n"/>
      <c r="CY274" s="12" t="n"/>
    </row>
    <row r="275">
      <c r="C275" s="15" t="inlineStr">
        <is>
          <t>Increases / (decreases) in debt</t>
        </is>
      </c>
      <c r="D275" s="12" t="n"/>
      <c r="E275" s="12" t="n"/>
      <c r="F275" s="12" t="n"/>
      <c r="G275" s="12" t="n"/>
      <c r="H275" s="12" t="n"/>
      <c r="I275" s="12" t="n"/>
      <c r="J275" s="12">
        <f>SUM(J178:J180,J183,J204,J201)-SUM(I178:I180,I183,I204,I201)</f>
        <v>-174.12005546</v>
      </c>
      <c r="K275" s="12">
        <f>SUM(K178:K180,K183,K204,K201)-SUM(J178:J180,J183,J204,J201)</f>
        <v>652.554998220001</v>
      </c>
      <c r="L275" s="12">
        <f>SUM(L178:L180,L183,L204,L201)-SUM(K178:K180,K183,K204,K201)</f>
        <v>-140.65582271</v>
      </c>
      <c r="M275" s="12" t="n"/>
      <c r="N275" s="12">
        <f>SUM(N178:N180,N183,N204,N201)-SUM(M178:M180,M183,M204,M201)</f>
        <v>-115.15165169</v>
      </c>
      <c r="O275" s="12">
        <f>SUM(O178:O180,O183,O204,O201)-SUM(N178:N180,N183,N204,N201)</f>
        <v>818.59954818</v>
      </c>
      <c r="P275" s="12">
        <f>SUM(P178:P180,P183,P204,P201)-SUM(O178:O180,O183,O204,O201)</f>
        <v>24.0056392699998</v>
      </c>
      <c r="Q275" s="12">
        <f>SUM(Q178:Q180,Q183,Q204,Q201)-SUM(P178:P180,P183,P204,P201)</f>
        <v>170.27523874</v>
      </c>
      <c r="R275" s="12">
        <f>SUM(N275:Q275)</f>
        <v>897.7287745</v>
      </c>
      <c r="S275" s="12">
        <f>SUM(S178:S180,S183,S204,S201)-SUM(R178:R180,R183,R204,R201)</f>
        <v>-14.4508399000001</v>
      </c>
      <c r="T275" s="12">
        <f>SUM(T178:T180,T183,T204,T201)-SUM(S178:S180,S183,S204,S201)</f>
        <v>693.57125165</v>
      </c>
      <c r="U275" s="12">
        <f>SUM(U178:U180,U183,U204,U201)-SUM(T178:T180,T183,T204,T201)</f>
        <v>-157.039</v>
      </c>
      <c r="V275" s="12">
        <f>SUM(V178:V180,V183,V204,V201)-SUM(U178:U180,U183,U204,U201)</f>
        <v>121.892</v>
      </c>
      <c r="W275" s="12">
        <f>SUM(S275:V275)</f>
        <v>643.97341175</v>
      </c>
      <c r="X275" s="12">
        <f>SUM(X178:X180,X183,X204,X201)-SUM(W178:W180,W183,W204,W201)</f>
        <v>-16.5569999999998</v>
      </c>
      <c r="Y275" s="12">
        <f>SUM(Y178:Y180,Y183,Y204,Y201)-SUM(X178:X180,X183,X204,X201)</f>
        <v>861.409000000001</v>
      </c>
      <c r="Z275" s="12">
        <f>SUM(Z178:Z180,Z183,Z204,Z201)-SUM(Y178:Y180,Y183,Y204,Y201)</f>
        <v>29.8149999999996</v>
      </c>
      <c r="AA275" s="12">
        <f>SUM(AA178:AA180,AA183,AA204,AA201)-SUM(Z178:Z180,Z183,Z204,Z201)</f>
        <v>222.556</v>
      </c>
      <c r="AB275" s="12">
        <f>SUM(X275:AA275)</f>
        <v>1097.223</v>
      </c>
      <c r="AC275" s="12">
        <f>SUM(AC178:AC180,AC183,AC204,AC201)-SUM(AB178:AB180,AB183,AB204,AB201)</f>
        <v>116.44966</v>
      </c>
      <c r="AD275" s="12">
        <f>SUM(AD178:AD180,AD183,AD204,AD201)-SUM(AC178:AC180,AC183,AC204,AC201)</f>
        <v>-100.64366</v>
      </c>
      <c r="AE275" s="12">
        <f>SUM(AE178:AE180,AE183,AE204,AE201)-SUM(AD178:AD180,AD183,AD204,AD201)</f>
        <v>157.415999999999</v>
      </c>
      <c r="AF275" s="12">
        <f>SUM(AF178:AF180,AF183,AF204,AF201)-SUM(AE178:AE180,AE183,AE204,AE201)</f>
        <v>-210.353999999999</v>
      </c>
      <c r="AG275" s="12">
        <f>SUM(AC275:AF275)</f>
        <v>-37.1319999999996</v>
      </c>
      <c r="AH275" s="12">
        <f>SUM(AH178:AH180,AH183,AH204,AH201)-SUM(AG178:AG180,AG183,AG204,AG201)</f>
        <v>63.5619999999999</v>
      </c>
      <c r="AI275" s="12">
        <f>SUM(AI178:AI180,AI183,AI204,AI201)-SUM(AH178:AH180,AH183,AH204,AH201)</f>
        <v>58.8729999999996</v>
      </c>
      <c r="AJ275" s="12">
        <f>SUM(AJ178:AJ180,AJ183,AJ204,AJ201)-SUM(AI178:AI180,AI183,AI204,AI201)</f>
        <v>0</v>
      </c>
      <c r="AK275" s="12">
        <f>SUM(AK178:AK180,AK183,AK204,AK201)-SUM(AJ178:AJ180,AJ183,AJ204,AJ201)</f>
        <v>0</v>
      </c>
      <c r="AL275" s="12">
        <f>SUM(AH275:AK275)</f>
        <v>122.434999999999</v>
      </c>
      <c r="AM275" s="12">
        <f>SUM(AM178:AM180,AM183,AM204,AM201)-SUM(AL178:AL180,AL183,AL204,AL201)</f>
        <v>0</v>
      </c>
      <c r="AN275" s="12">
        <f>SUM(AN178:AN180,AN183,AN204,AN201)-SUM(AM178:AM180,AM183,AM204,AM201)</f>
        <v>0</v>
      </c>
      <c r="AO275" s="12">
        <f>SUM(AO178:AO180,AO183,AO204,AO201)-SUM(AN178:AN180,AN183,AN204,AN201)</f>
        <v>0</v>
      </c>
      <c r="AP275" s="12">
        <f>SUM(AP178:AP180,AP183,AP204,AP201)-SUM(AO178:AO180,AO183,AO204,AO201)</f>
        <v>0</v>
      </c>
      <c r="AQ275" s="12">
        <f>SUM(AM275:AP275)</f>
        <v>0</v>
      </c>
      <c r="AR275" s="12">
        <f>SUM(AR178:AR180,AR183,AR204,AR201)-SUM(AQ178:AQ180,AQ183,AQ204,AQ201)</f>
        <v>0</v>
      </c>
      <c r="AS275" s="12">
        <f>SUM(AS178:AS180,AS183,AS204,AS201)-SUM(AR178:AR180,AR183,AR204,AR201)</f>
        <v>0</v>
      </c>
      <c r="AT275" s="12">
        <f>SUM(AT178:AT180,AT183,AT204,AT201)-SUM(AS178:AS180,AS183,AS204,AS201)</f>
        <v>0</v>
      </c>
      <c r="AU275" s="12">
        <f>SUM(AU178:AU180,AU183,AU204,AU201)-SUM(AT178:AT180,AT183,AT204,AT201)</f>
        <v>0</v>
      </c>
      <c r="AV275" s="12">
        <f>SUM(AR275:AU275)</f>
        <v>0</v>
      </c>
      <c r="AW275" s="12">
        <f>SUM(AW178:AW180,AW183,AW204,AW201)-SUM(AV178:AV180,AV183,AV204,AV201)</f>
        <v>0</v>
      </c>
      <c r="AX275" s="12">
        <f>SUM(AX178:AX180,AX183,AX204,AX201)-SUM(AW178:AW180,AW183,AW204,AW201)</f>
        <v>0</v>
      </c>
      <c r="AY275" s="12">
        <f>SUM(AY178:AY180,AY183,AY204,AY201)-SUM(AX178:AX180,AX183,AX204,AX201)</f>
        <v>0</v>
      </c>
      <c r="AZ275" s="12">
        <f>SUM(AZ178:AZ180,AZ183,AZ204,AZ201)-SUM(AY178:AY180,AY183,AY204,AY201)</f>
        <v>0</v>
      </c>
      <c r="BA275" s="12">
        <f>SUM(AW275:AZ275)</f>
        <v>0</v>
      </c>
      <c r="BB275" s="12">
        <f>SUM(BB178:BB180,BB183,BB204,BB201)-SUM(BA178:BA180,BA183,BA204,BA201)</f>
        <v>0</v>
      </c>
      <c r="BC275" s="12">
        <f>SUM(BC178:BC180,BC183,BC204,BC201)-SUM(BB178:BB180,BB183,BB204,BB201)</f>
        <v>0</v>
      </c>
      <c r="BD275" s="12">
        <f>SUM(BD178:BD180,BD183,BD204,BD201)-SUM(BC178:BC180,BC183,BC204,BC201)</f>
        <v>0</v>
      </c>
      <c r="BE275" s="12">
        <f>SUM(BE178:BE180,BE183,BE204,BE201)-SUM(BD178:BD180,BD183,BD204,BD201)</f>
        <v>0</v>
      </c>
      <c r="BF275" s="12">
        <f>SUM(BB275:BE275)</f>
        <v>0</v>
      </c>
      <c r="BG275" s="12" t="n"/>
      <c r="BH275" s="12" t="n"/>
      <c r="BI275" s="12" t="n"/>
      <c r="BJ275" s="12" t="n"/>
      <c r="BK275" s="12" t="n"/>
      <c r="BL275" s="12" t="n"/>
      <c r="BM275" s="12" t="n"/>
      <c r="BN275" s="12" t="n"/>
      <c r="BO275" s="12" t="n"/>
      <c r="BP275" s="12" t="n"/>
      <c r="BQ275" s="12" t="n"/>
      <c r="BR275" s="12" t="n"/>
      <c r="BS275" s="12" t="n"/>
      <c r="BT275" s="12" t="n"/>
      <c r="BU275" s="12" t="n"/>
      <c r="BV275" s="12" t="n"/>
      <c r="BW275" s="12" t="n"/>
      <c r="BX275" s="12" t="n"/>
      <c r="BY275" s="12" t="n"/>
      <c r="BZ275" s="12" t="n"/>
      <c r="CA275" s="12" t="n"/>
      <c r="CB275" s="12" t="n"/>
      <c r="CC275" s="12" t="n"/>
      <c r="CD275" s="12" t="n"/>
      <c r="CE275" s="12" t="n"/>
      <c r="CF275" s="12" t="n"/>
      <c r="CG275" s="12" t="n"/>
      <c r="CH275" s="12" t="n"/>
      <c r="CI275" s="12" t="n"/>
      <c r="CJ275" s="12" t="n"/>
      <c r="CK275" s="12" t="n"/>
      <c r="CL275" s="12" t="n"/>
      <c r="CM275" s="12" t="n"/>
      <c r="CN275" s="12" t="n"/>
      <c r="CO275" s="12" t="n"/>
      <c r="CP275" s="12" t="n"/>
      <c r="CQ275" s="12" t="n"/>
      <c r="CR275" s="12" t="n"/>
      <c r="CS275" s="12" t="n"/>
      <c r="CT275" s="12" t="n"/>
      <c r="CU275" s="12" t="n"/>
      <c r="CV275" s="12" t="n"/>
      <c r="CW275" s="12" t="n"/>
      <c r="CX275" s="12" t="n"/>
      <c r="CY275" s="12" t="n"/>
      <c r="CZ275" s="12" t="n"/>
      <c r="DA275" s="12" t="n"/>
      <c r="DB275" s="12" t="n"/>
      <c r="DC275" s="12" t="n"/>
    </row>
    <row r="276">
      <c r="C276" s="14" t="inlineStr">
        <is>
          <t>Cash from financing</t>
        </is>
      </c>
      <c r="D276" s="12" t="n"/>
      <c r="E276" s="12" t="n"/>
      <c r="F276" s="12" t="n"/>
      <c r="G276" s="12" t="n"/>
      <c r="H276" s="12" t="n"/>
      <c r="I276" s="12" t="n"/>
      <c r="J276" s="12">
        <f>SUM(J268,J269,J270,J271,J272,J273,J274,J275)</f>
        <v>-174.156456728</v>
      </c>
      <c r="K276" s="12">
        <f>SUM(K268,K269,K270,K271,K272,K273,K274,K275)</f>
        <v>615.623539800001</v>
      </c>
      <c r="L276" s="12">
        <f>SUM(L268,L269,L270,L271,L272,L273,L274,L275)</f>
        <v>-174.963363218001</v>
      </c>
      <c r="M276" s="12" t="n"/>
      <c r="N276" s="12">
        <f>SUM(N268,N269,N270,N271,N272,N273,N274,N275)</f>
        <v>-326.754282601</v>
      </c>
      <c r="O276" s="12">
        <f>SUM(O268,O269,O270,O271,O272,O273,O274,O275)</f>
        <v>822.720515558</v>
      </c>
      <c r="P276" s="12">
        <f>SUM(P268,P269,P270,P271,P272,P273,P274,P275)</f>
        <v>30.0621368299997</v>
      </c>
      <c r="Q276" s="12">
        <f>SUM(Q268,Q269,Q270,Q271,Q272,Q273,Q274,Q275)</f>
        <v>909.572667298001</v>
      </c>
      <c r="R276" s="12">
        <f>SUM(R268,R269,R270,R271,R272,R273,R274,R275)</f>
        <v>1435.601037085</v>
      </c>
      <c r="S276" s="12">
        <f>SUM(S268,S269,S270,S271,S272,S273,S274,S275)</f>
        <v>-1.37533067700039</v>
      </c>
      <c r="T276" s="12">
        <f>SUM(T268,T269,T270,T271,T272,T273,T274,T275)</f>
        <v>2920.129920274</v>
      </c>
      <c r="U276" s="12">
        <f>SUM(U268,U269,U270,U271,U272,U273,U274,U275)</f>
        <v>-245.494435338</v>
      </c>
      <c r="V276" s="12">
        <f>SUM(V268,V269,V270,V271,V272,V273,V274,V275)</f>
        <v>-40.1228017440007</v>
      </c>
      <c r="W276" s="12">
        <f>SUM(W268,W269,W270,W271,W272,W273,W274,W275)</f>
        <v>2633.137352515</v>
      </c>
      <c r="X276" s="12">
        <f>SUM(X268,X269,X270,X271,X272,X273,X274,X275)</f>
        <v>-83.2156455259992</v>
      </c>
      <c r="Y276" s="12">
        <f>SUM(Y268,Y269,Y270,Y271,Y272,Y273,Y274,Y275)</f>
        <v>907.565320334</v>
      </c>
      <c r="Z276" s="12">
        <f>SUM(Z268,Z269,Z270,Z271,Z272,Z273,Z274,Z275)</f>
        <v>-160.067749708</v>
      </c>
      <c r="AA276" s="12">
        <f>SUM(AA268,AA269,AA270,AA271,AA272,AA273,AA274,AA275)</f>
        <v>93.0480748999989</v>
      </c>
      <c r="AB276" s="12">
        <f>SUM(AB268,AB269,AB270,AB271,AB272,AB273,AB274,AB275)</f>
        <v>757.33</v>
      </c>
      <c r="AC276" s="12">
        <f>SUM(AC268,AC269,AC270,AC271,AC272,AC273,AC274,AC275)</f>
        <v>-113.988478</v>
      </c>
      <c r="AD276" s="12">
        <f>SUM(AD268,AD269,AD270,AD271,AD272,AD273,AD274,AD275)</f>
        <v>-94.8966879999994</v>
      </c>
      <c r="AE276" s="12">
        <f>SUM(AE268,AE269,AE270,AE271,AE272,AE273,AE274,AE275)</f>
        <v>-12.6802739210011</v>
      </c>
      <c r="AF276" s="12">
        <f>SUM(AF268,AF269,AF270,AF271,AF272,AF273,AF274,AF275)</f>
        <v>-690.800154004999</v>
      </c>
      <c r="AG276" s="12">
        <f>SUM(AG268,AG269,AG270,AG271,AG272,AG273,AG274,AG275)</f>
        <v>-912.365593926</v>
      </c>
      <c r="AH276" s="12">
        <f>SUM(AH268,AH269,AH270,AH271,AH272,AH273,AH274,AH275)</f>
        <v>47.2754803600001</v>
      </c>
      <c r="AI276" s="12">
        <f>SUM(AI268,AI269,AI270,AI271,AI272,AI273,AI274,AI275)</f>
        <v>80.2787919999999</v>
      </c>
      <c r="AJ276" s="12">
        <f>SUM(AJ268,AJ269,AJ270,AJ271,AJ272,AJ273,AJ274,AJ275)</f>
        <v>0</v>
      </c>
      <c r="AK276" s="12">
        <f>SUM(AK268,AK269,AK270,AK271,AK272,AK273,AK274,AK275)</f>
        <v>0</v>
      </c>
      <c r="AL276" s="12">
        <f>SUM(AL268,AL269,AL270,AL271,AL272,AL273,AL274,AL275)</f>
        <v>127.55427236</v>
      </c>
      <c r="AM276" s="12">
        <f>SUM(AM268,AM269,AM270,AM271,AM272,AM273,AM274,AM275)</f>
        <v>0</v>
      </c>
      <c r="AN276" s="12">
        <f>SUM(AN268,AN269,AN270,AN271,AN272,AN273,AN274,AN275)</f>
        <v>0</v>
      </c>
      <c r="AO276" s="12">
        <f>SUM(AO268,AO269,AO270,AO271,AO272,AO273,AO274,AO275)</f>
        <v>0</v>
      </c>
      <c r="AP276" s="12">
        <f>SUM(AP268,AP269,AP270,AP271,AP272,AP273,AP274,AP275)</f>
        <v>0</v>
      </c>
      <c r="AQ276" s="12">
        <f>SUM(AQ268,AQ269,AQ270,AQ271,AQ272,AQ273,AQ274,AQ275)</f>
        <v>0</v>
      </c>
      <c r="AR276" s="12">
        <f>SUM(AR268,AR269,AR270,AR271,AR272,AR273,AR274,AR275)</f>
        <v>0</v>
      </c>
      <c r="AS276" s="12">
        <f>SUM(AS268,AS269,AS270,AS271,AS272,AS273,AS274,AS275)</f>
        <v>0</v>
      </c>
      <c r="AT276" s="12">
        <f>SUM(AT268,AT269,AT270,AT271,AT272,AT273,AT274,AT275)</f>
        <v>0</v>
      </c>
      <c r="AU276" s="12">
        <f>SUM(AU268,AU269,AU270,AU271,AU272,AU273,AU274,AU275)</f>
        <v>0</v>
      </c>
      <c r="AV276" s="12">
        <f>SUM(AV268,AV269,AV270,AV271,AV272,AV273,AV274,AV275)</f>
        <v>0</v>
      </c>
      <c r="AW276" s="12">
        <f>SUM(AW268,AW269,AW270,AW271,AW272,AW273,AW274,AW275)</f>
        <v>0</v>
      </c>
      <c r="AX276" s="12">
        <f>SUM(AX268,AX269,AX270,AX271,AX272,AX273,AX274,AX275)</f>
        <v>0</v>
      </c>
      <c r="AY276" s="12">
        <f>SUM(AY268,AY269,AY270,AY271,AY272,AY273,AY274,AY275)</f>
        <v>0</v>
      </c>
      <c r="AZ276" s="12">
        <f>SUM(AZ268,AZ269,AZ270,AZ271,AZ272,AZ273,AZ274,AZ275)</f>
        <v>0</v>
      </c>
      <c r="BA276" s="12">
        <f>SUM(BA268,BA269,BA270,BA271,BA272,BA273,BA274,BA275)</f>
        <v>0</v>
      </c>
      <c r="BB276" s="12">
        <f>SUM(BB268,BB269,BB270,BB271,BB272,BB273,BB274,BB275)</f>
        <v>0</v>
      </c>
      <c r="BC276" s="12">
        <f>SUM(BC268,BC269,BC270,BC271,BC272,BC273,BC274,BC275)</f>
        <v>0</v>
      </c>
      <c r="BD276" s="12">
        <f>SUM(BD268,BD269,BD270,BD271,BD272,BD273,BD274,BD275)</f>
        <v>0</v>
      </c>
      <c r="BE276" s="12">
        <f>SUM(BE268,BE269,BE270,BE271,BE272,BE273,BE274,BE275)</f>
        <v>0</v>
      </c>
      <c r="BF276" s="12">
        <f>SUM(BF268,BF269,BF270,BF271,BF272,BF273,BF274,BF275)</f>
        <v>0</v>
      </c>
      <c r="BG276" s="12" t="n"/>
      <c r="BH276" s="12" t="n"/>
      <c r="BI276" s="12" t="n"/>
      <c r="BJ276" s="12" t="n"/>
      <c r="BK276" s="12" t="n"/>
      <c r="BL276" s="12" t="n"/>
      <c r="BM276" s="12" t="n"/>
      <c r="BN276" s="12" t="n"/>
      <c r="BO276" s="12" t="n"/>
      <c r="BP276" s="12" t="n"/>
      <c r="BQ276" s="12" t="n"/>
      <c r="BR276" s="12" t="n"/>
      <c r="BS276" s="12" t="n"/>
      <c r="BT276" s="12" t="n"/>
      <c r="BU276" s="12" t="n"/>
      <c r="BV276" s="12" t="n"/>
      <c r="BW276" s="12" t="n"/>
      <c r="BX276" s="12" t="n"/>
      <c r="BY276" s="12" t="n"/>
      <c r="BZ276" s="12" t="n"/>
      <c r="CA276" s="12" t="n"/>
      <c r="CB276" s="12" t="n"/>
      <c r="CC276" s="12" t="n"/>
      <c r="CD276" s="12" t="n"/>
      <c r="CE276" s="12" t="n"/>
      <c r="CF276" s="12" t="n"/>
      <c r="CG276" s="12" t="n"/>
      <c r="CH276" s="12" t="n"/>
      <c r="CI276" s="12" t="n"/>
      <c r="CJ276" s="12" t="n"/>
      <c r="CK276" s="12" t="n"/>
      <c r="CL276" s="12" t="n"/>
      <c r="CM276" s="12" t="n"/>
      <c r="CN276" s="12" t="n"/>
      <c r="CO276" s="12" t="n"/>
      <c r="CP276" s="12" t="n"/>
      <c r="CQ276" s="12" t="n"/>
      <c r="CR276" s="12" t="n"/>
      <c r="CS276" s="12" t="n"/>
      <c r="CT276" s="12" t="n"/>
      <c r="CU276" s="12" t="n"/>
      <c r="CV276" s="12" t="n"/>
      <c r="CW276" s="12" t="n"/>
      <c r="CX276" s="12" t="n"/>
      <c r="CY276" s="12" t="n"/>
    </row>
    <row r="277">
      <c r="C277" s="14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  <c r="P277" s="12" t="n"/>
      <c r="Q277" s="12" t="n"/>
      <c r="R277" s="12" t="n"/>
      <c r="S277" s="12" t="n"/>
      <c r="T277" s="12" t="n"/>
      <c r="U277" s="12" t="n"/>
      <c r="V277" s="12" t="n"/>
      <c r="W277" s="12" t="n"/>
      <c r="X277" s="12" t="n"/>
      <c r="Y277" s="12" t="n"/>
      <c r="Z277" s="12" t="n"/>
      <c r="AA277" s="12" t="n"/>
      <c r="AB277" s="12" t="n"/>
      <c r="AC277" s="12" t="n"/>
      <c r="AD277" s="12" t="n"/>
      <c r="AE277" s="12" t="n"/>
      <c r="AF277" s="12" t="n"/>
      <c r="AG277" s="12" t="n"/>
      <c r="AH277" s="12" t="n"/>
      <c r="AI277" s="12" t="n"/>
      <c r="AJ277" s="12" t="n"/>
      <c r="AK277" s="12" t="n"/>
      <c r="AL277" s="12" t="n"/>
      <c r="AM277" s="12" t="n"/>
      <c r="AN277" s="12" t="n"/>
      <c r="AO277" s="12" t="n"/>
      <c r="AP277" s="12" t="n"/>
      <c r="AQ277" s="12" t="n"/>
      <c r="AR277" s="12" t="n"/>
      <c r="AS277" s="12" t="n"/>
      <c r="AT277" s="12" t="n"/>
      <c r="AU277" s="12" t="n"/>
      <c r="AV277" s="12" t="n"/>
      <c r="AW277" s="12" t="n"/>
      <c r="AX277" s="12" t="n"/>
      <c r="AY277" s="12" t="n"/>
      <c r="AZ277" s="12" t="n"/>
      <c r="BA277" s="12" t="n"/>
      <c r="BB277" s="12" t="n"/>
      <c r="BC277" s="12" t="n"/>
      <c r="BD277" s="12" t="n"/>
      <c r="BE277" s="12" t="n"/>
      <c r="BF277" s="12" t="n"/>
      <c r="BG277" s="12" t="n"/>
      <c r="BH277" s="12" t="n"/>
      <c r="BI277" s="12" t="n"/>
      <c r="BJ277" s="12" t="n"/>
      <c r="BK277" s="12" t="n"/>
      <c r="BL277" s="12" t="n"/>
      <c r="BM277" s="12" t="n"/>
      <c r="BN277" s="12" t="n"/>
      <c r="BO277" s="12" t="n"/>
      <c r="BP277" s="12" t="n"/>
      <c r="BQ277" s="12" t="n"/>
      <c r="BR277" s="12" t="n"/>
      <c r="BS277" s="12" t="n"/>
      <c r="BT277" s="12" t="n"/>
      <c r="BU277" s="12" t="n"/>
      <c r="BV277" s="12" t="n"/>
      <c r="BW277" s="12" t="n"/>
      <c r="BX277" s="12" t="n"/>
      <c r="BY277" s="12" t="n"/>
      <c r="BZ277" s="12" t="n"/>
      <c r="CA277" s="12" t="n"/>
      <c r="CB277" s="12" t="n"/>
      <c r="CC277" s="12" t="n"/>
      <c r="CD277" s="12" t="n"/>
      <c r="CE277" s="12" t="n"/>
      <c r="CF277" s="12" t="n"/>
      <c r="CG277" s="12" t="n"/>
      <c r="CH277" s="12" t="n"/>
      <c r="CI277" s="12" t="n"/>
      <c r="CJ277" s="12" t="n"/>
      <c r="CK277" s="12" t="n"/>
      <c r="CL277" s="12" t="n"/>
      <c r="CM277" s="12" t="n"/>
      <c r="CN277" s="12" t="n"/>
      <c r="CO277" s="12" t="n"/>
      <c r="CP277" s="12" t="n"/>
      <c r="CQ277" s="12" t="n"/>
      <c r="CR277" s="12" t="n"/>
      <c r="CS277" s="12" t="n"/>
      <c r="CT277" s="12" t="n"/>
      <c r="CU277" s="12" t="n"/>
      <c r="CV277" s="12" t="n"/>
      <c r="CW277" s="12" t="n"/>
      <c r="CX277" s="12" t="n"/>
      <c r="CY277" s="12" t="n"/>
    </row>
    <row r="278">
      <c r="C278" s="14" t="inlineStr">
        <is>
          <t>Others / cash reconciliation plug</t>
        </is>
      </c>
      <c r="D278" s="12" t="n"/>
      <c r="E278" s="12" t="n"/>
      <c r="F278" s="12" t="n"/>
      <c r="G278" s="12" t="n"/>
      <c r="H278" s="12" t="n"/>
      <c r="I278" s="12" t="n"/>
      <c r="J278" s="12">
        <f>J110-I110-SUM(J259,J266,J276)</f>
        <v>-1.00015995485592e-09</v>
      </c>
      <c r="K278" s="12">
        <f>K110-J110-SUM(K259,K266,K276)</f>
        <v>0</v>
      </c>
      <c r="L278" s="12">
        <f>L110-K110-SUM(L259,L266,L276)</f>
        <v>-0.000637892999492351</v>
      </c>
      <c r="M278" s="12" t="n"/>
      <c r="N278" s="12">
        <f>N110-M110-SUM(N259,N266,N276)</f>
        <v>0.000643889000457421</v>
      </c>
      <c r="O278" s="12">
        <f>O110-N110-SUM(O259,O266,O276)</f>
        <v>-5.1590003806723e-06</v>
      </c>
      <c r="P278" s="12">
        <f>P110-O110-SUM(P259,P266,P276)</f>
        <v>-8.29999891038824e-07</v>
      </c>
      <c r="Q278" s="12">
        <f>Q110-P110-SUM(Q259,Q266,Q276)</f>
        <v>9.99999963369191e-06</v>
      </c>
      <c r="R278" s="12">
        <f>SUM(N278:Q278)</f>
        <v>0.000647899999819401</v>
      </c>
      <c r="S278" s="12">
        <f>S110-R110-SUM(S259,S266,S276)</f>
        <v>2.72300003025805e-05</v>
      </c>
      <c r="T278" s="12">
        <f>T110-S110-SUM(T259,T266,T276)</f>
        <v>-3.72399994148509e-05</v>
      </c>
      <c r="U278" s="12">
        <f>U110-T110-SUM(U259,U266,U276)</f>
        <v>0</v>
      </c>
      <c r="V278" s="12">
        <f>V110-U110-SUM(V259,V266,V276)</f>
        <v>4.83169060316868e-13</v>
      </c>
      <c r="W278" s="12">
        <f>SUM(S278:V278)</f>
        <v>-1.00099986291013e-05</v>
      </c>
      <c r="X278" s="12">
        <f>X110-W110-SUM(X259,X266,X276)</f>
        <v>0.000463355999087867</v>
      </c>
      <c r="Y278" s="12">
        <f>Y110-X110-SUM(Y259,Y266,Y276)</f>
        <v>-0.00073906400029955</v>
      </c>
      <c r="Z278" s="12">
        <f>Z110-Y110-SUM(Z259,Z266,Z276)</f>
        <v>0.000275708000174291</v>
      </c>
      <c r="AA278" s="12">
        <f>AA110-Z110-SUM(AA259,AA266,AA276)</f>
        <v>7.105427357601e-13</v>
      </c>
      <c r="AB278" s="12">
        <f>SUM(X278:AA278)</f>
        <v>-3.26849658449646e-13</v>
      </c>
      <c r="AC278" s="12">
        <f>AC110-AB110-SUM(AC259,AC266,AC276)</f>
        <v>-0.00046319000063022</v>
      </c>
      <c r="AD278" s="12">
        <f>AD110-AC110-SUM(AD259,AD266,AD276)</f>
        <v>0.000463190000004943</v>
      </c>
      <c r="AE278" s="12">
        <f>AE110-AD110-SUM(AE259,AE266,AE276)</f>
        <v>1.53477230924182e-12</v>
      </c>
      <c r="AF278" s="12">
        <f>AF110-AE110-SUM(AF259,AF266,AF276)</f>
        <v>-1.47792889038101e-12</v>
      </c>
      <c r="AG278" s="12">
        <f>SUM(AC278:AF278)</f>
        <v>-5.6843418860808e-13</v>
      </c>
      <c r="AH278" s="12">
        <f>AH110-AG110-SUM(AH259,AH266,AH276)</f>
        <v>6.89226453687297e-13</v>
      </c>
      <c r="AI278" s="12">
        <f>AI110-AH110-SUM(AI259,AI266,AI276)</f>
        <v>0</v>
      </c>
      <c r="AJ278" s="12">
        <f>AJ110-AI110-SUM(AJ259,AJ266,AJ276)</f>
        <v>-1.59161572810262e-12</v>
      </c>
      <c r="AK278" s="12">
        <f>AK110-AJ110-SUM(AK259,AK266,AK276)</f>
        <v>0</v>
      </c>
      <c r="AL278" s="12">
        <f>SUM(AH278:AK278)</f>
        <v>-9.02389274415327e-13</v>
      </c>
      <c r="AM278" s="12">
        <f>AM110-AL110-SUM(AM259,AM266,AM276)</f>
        <v>0</v>
      </c>
      <c r="AN278" s="12">
        <f>AN110-AM110-SUM(AN259,AN266,AN276)</f>
        <v>0</v>
      </c>
      <c r="AO278" s="12">
        <f>AO110-AN110-SUM(AO259,AO266,AO276)</f>
        <v>0</v>
      </c>
      <c r="AP278" s="12">
        <f>AP110-AO110-SUM(AP259,AP266,AP276)</f>
        <v>0</v>
      </c>
      <c r="AQ278" s="12">
        <f>SUM(AM278:AP278)</f>
        <v>0</v>
      </c>
      <c r="AR278" s="12">
        <f>AR110-AQ110-SUM(AR259,AR266,AR276)</f>
        <v>0</v>
      </c>
      <c r="AS278" s="12">
        <f>AS110-AR110-SUM(AS259,AS266,AS276)</f>
        <v>2.1600499167107e-12</v>
      </c>
      <c r="AT278" s="12">
        <f>AT110-AS110-SUM(AT259,AT266,AT276)</f>
        <v>0</v>
      </c>
      <c r="AU278" s="12">
        <f>AU110-AT110-SUM(AU259,AU266,AU276)</f>
        <v>0</v>
      </c>
      <c r="AV278" s="12">
        <f>SUM(AR278:AU278)</f>
        <v>2.1600499167107e-12</v>
      </c>
      <c r="AW278" s="12">
        <f>AW110-AV110-SUM(AW259,AW266,AW276)</f>
        <v>-1.76214598468505e-12</v>
      </c>
      <c r="AX278" s="12">
        <f>AX110-AW110-SUM(AX259,AX266,AX276)</f>
        <v>0</v>
      </c>
      <c r="AY278" s="12">
        <f>AY110-AX110-SUM(AY259,AY266,AY276)</f>
        <v>0</v>
      </c>
      <c r="AZ278" s="12">
        <f>AZ110-AY110-SUM(AZ259,AZ266,AZ276)</f>
        <v>0</v>
      </c>
      <c r="BA278" s="12">
        <f>SUM(AW278:AZ278)</f>
        <v>-1.76214598468505e-12</v>
      </c>
      <c r="BB278" s="12">
        <f>BB110-BA110-SUM(BB259,BB266,BB276)</f>
        <v>0</v>
      </c>
      <c r="BC278" s="12">
        <f>BC110-BB110-SUM(BC259,BC266,BC276)</f>
        <v>-4.09272615797818e-12</v>
      </c>
      <c r="BD278" s="12">
        <f>BD110-BC110-SUM(BD259,BD266,BD276)</f>
        <v>3.29691829392687e-12</v>
      </c>
      <c r="BE278" s="12">
        <f>BE110-BD110-SUM(BE259,BE266,BE276)</f>
        <v>-3.75166564481333e-12</v>
      </c>
      <c r="BF278" s="12">
        <f>SUM(BB278:BE278)</f>
        <v>-4.54747350886464e-12</v>
      </c>
      <c r="BG278" s="12" t="n"/>
      <c r="BH278" s="12" t="n"/>
      <c r="BI278" s="12" t="n"/>
      <c r="BJ278" s="12" t="n"/>
      <c r="BK278" s="12" t="n"/>
      <c r="BL278" s="12" t="n"/>
      <c r="BM278" s="12" t="n"/>
      <c r="BN278" s="12" t="n"/>
      <c r="BO278" s="12" t="n"/>
      <c r="BP278" s="12" t="n"/>
      <c r="BQ278" s="12" t="n"/>
      <c r="BR278" s="12" t="n"/>
      <c r="BS278" s="12" t="n"/>
      <c r="BT278" s="12" t="n"/>
      <c r="BU278" s="12" t="n"/>
      <c r="BV278" s="12" t="n"/>
      <c r="BW278" s="12" t="n"/>
      <c r="BX278" s="12" t="n"/>
      <c r="BY278" s="12" t="n"/>
      <c r="BZ278" s="12" t="n"/>
      <c r="CA278" s="12" t="n"/>
      <c r="CB278" s="12" t="n"/>
      <c r="CC278" s="12" t="n"/>
      <c r="CD278" s="12" t="n"/>
      <c r="CE278" s="12" t="n"/>
      <c r="CF278" s="12" t="n"/>
      <c r="CG278" s="12" t="n"/>
      <c r="CH278" s="12" t="n"/>
      <c r="CI278" s="12" t="n"/>
      <c r="CJ278" s="12" t="n"/>
      <c r="CK278" s="12" t="n"/>
      <c r="CL278" s="12" t="n"/>
      <c r="CM278" s="12" t="n"/>
      <c r="CN278" s="12" t="n"/>
      <c r="CO278" s="12" t="n"/>
      <c r="CP278" s="12" t="n"/>
      <c r="CQ278" s="12" t="n"/>
      <c r="CR278" s="12" t="n"/>
      <c r="CS278" s="12" t="n"/>
      <c r="CT278" s="12" t="n"/>
      <c r="CU278" s="12" t="n"/>
      <c r="CV278" s="12" t="n"/>
      <c r="CW278" s="12" t="n"/>
      <c r="CX278" s="12" t="n"/>
      <c r="CY278" s="12" t="n"/>
    </row>
    <row r="279">
      <c r="C279" s="14" t="n"/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  <c r="P279" s="12" t="n"/>
      <c r="Q279" s="12" t="n"/>
      <c r="R279" s="12" t="n"/>
      <c r="S279" s="12" t="n"/>
      <c r="T279" s="12" t="n"/>
      <c r="U279" s="12" t="n"/>
      <c r="V279" s="12" t="n"/>
      <c r="W279" s="12" t="n"/>
      <c r="X279" s="12" t="n"/>
      <c r="Y279" s="12" t="n"/>
      <c r="Z279" s="12" t="n"/>
      <c r="AA279" s="12" t="n"/>
      <c r="AB279" s="12" t="n"/>
      <c r="AC279" s="12" t="n"/>
      <c r="AD279" s="12" t="n"/>
      <c r="AE279" s="12" t="n"/>
      <c r="AF279" s="12" t="n"/>
      <c r="AG279" s="12" t="n"/>
      <c r="AH279" s="12" t="n"/>
      <c r="AI279" s="12" t="n"/>
      <c r="AJ279" s="12" t="n"/>
      <c r="AK279" s="12" t="n"/>
      <c r="AL279" s="12" t="n"/>
      <c r="AM279" s="12" t="n"/>
      <c r="AN279" s="12" t="n"/>
      <c r="AO279" s="12" t="n"/>
      <c r="AP279" s="12" t="n"/>
      <c r="AQ279" s="12" t="n"/>
      <c r="AR279" s="12" t="n"/>
      <c r="AS279" s="12" t="n"/>
      <c r="AT279" s="12" t="n"/>
      <c r="AU279" s="12" t="n"/>
      <c r="AV279" s="12" t="n"/>
      <c r="AW279" s="12" t="n"/>
      <c r="AX279" s="12" t="n"/>
      <c r="AY279" s="12" t="n"/>
      <c r="AZ279" s="12" t="n"/>
      <c r="BA279" s="12" t="n"/>
      <c r="BB279" s="12" t="n"/>
      <c r="BC279" s="12" t="n"/>
      <c r="BD279" s="12" t="n"/>
      <c r="BE279" s="12" t="n"/>
      <c r="BF279" s="12" t="n"/>
      <c r="BG279" s="12" t="n"/>
      <c r="BH279" s="12" t="n"/>
      <c r="BI279" s="12" t="n"/>
      <c r="BJ279" s="12" t="n"/>
      <c r="BK279" s="12" t="n"/>
      <c r="BL279" s="12" t="n"/>
      <c r="BM279" s="12" t="n"/>
      <c r="BN279" s="12" t="n"/>
      <c r="BO279" s="12" t="n"/>
      <c r="BP279" s="12" t="n"/>
      <c r="BQ279" s="12" t="n"/>
      <c r="BR279" s="12" t="n"/>
      <c r="BS279" s="12" t="n"/>
      <c r="BT279" s="12" t="n"/>
      <c r="BU279" s="12" t="n"/>
      <c r="BV279" s="12" t="n"/>
      <c r="BW279" s="12" t="n"/>
      <c r="BX279" s="12" t="n"/>
      <c r="BY279" s="12" t="n"/>
      <c r="BZ279" s="12" t="n"/>
      <c r="CA279" s="12" t="n"/>
      <c r="CB279" s="12" t="n"/>
      <c r="CC279" s="12" t="n"/>
      <c r="CD279" s="12" t="n"/>
      <c r="CE279" s="12" t="n"/>
      <c r="CF279" s="12" t="n"/>
      <c r="CG279" s="12" t="n"/>
      <c r="CH279" s="12" t="n"/>
      <c r="CI279" s="12" t="n"/>
      <c r="CJ279" s="12" t="n"/>
      <c r="CK279" s="12" t="n"/>
      <c r="CL279" s="12" t="n"/>
      <c r="CM279" s="12" t="n"/>
      <c r="CN279" s="12" t="n"/>
      <c r="CO279" s="12" t="n"/>
      <c r="CP279" s="12" t="n"/>
      <c r="CQ279" s="12" t="n"/>
      <c r="CR279" s="12" t="n"/>
      <c r="CS279" s="12" t="n"/>
      <c r="CT279" s="12" t="n"/>
      <c r="CU279" s="12" t="n"/>
      <c r="CV279" s="12" t="n"/>
      <c r="CW279" s="12" t="n"/>
      <c r="CX279" s="12" t="n"/>
      <c r="CY279" s="12" t="n"/>
    </row>
    <row r="280">
      <c r="C280" s="14" t="inlineStr">
        <is>
          <t>Total increase/decrease of cash</t>
        </is>
      </c>
      <c r="D280" s="12" t="n"/>
      <c r="E280" s="12" t="n"/>
      <c r="F280" s="12" t="n"/>
      <c r="G280" s="12" t="n"/>
      <c r="H280" s="12" t="n"/>
      <c r="I280" s="12" t="n"/>
      <c r="J280" s="12">
        <f>SUM(J259,J266,J276,J278)</f>
        <v>-425.29955449</v>
      </c>
      <c r="K280" s="12">
        <f>SUM(K259,K266,K276,K278)</f>
        <v>356.13500868</v>
      </c>
      <c r="L280" s="12">
        <f>SUM(L259,L266,L276,L278)</f>
        <v>-166.78285655</v>
      </c>
      <c r="M280" s="12" t="n"/>
      <c r="N280" s="12">
        <f>SUM(N259,N266,N276,N278)</f>
        <v>-296.69409097</v>
      </c>
      <c r="O280" s="12">
        <f>SUM(O259,O266,O276,O278)</f>
        <v>215.19612596</v>
      </c>
      <c r="P280" s="12">
        <f>SUM(P259,P266,P276,P278)</f>
        <v>114.16611288</v>
      </c>
      <c r="Q280" s="12">
        <f>SUM(Q259,Q266,Q276,Q278)</f>
        <v>537.03665784</v>
      </c>
      <c r="R280" s="12">
        <f>SUM(N280:Q280)</f>
        <v>569.70480571</v>
      </c>
      <c r="S280" s="12">
        <f>SUM(S259,S266,S276,S278)</f>
        <v>-31.8714696600002</v>
      </c>
      <c r="T280" s="12">
        <f>SUM(T259,T266,T276,T278)</f>
        <v>-370.65293934</v>
      </c>
      <c r="U280" s="12">
        <f>SUM(U259,U266,U276,U278)</f>
        <v>69.705</v>
      </c>
      <c r="V280" s="12">
        <f>SUM(V259,V266,V276,V278)</f>
        <v>-40.6969999999999</v>
      </c>
      <c r="W280" s="12">
        <f>SUM(S280:V280)</f>
        <v>-373.516409</v>
      </c>
      <c r="X280" s="12">
        <f>SUM(X259,X266,X276,X278)</f>
        <v>-31.4390000000001</v>
      </c>
      <c r="Y280" s="12">
        <f>SUM(Y259,Y266,Y276,Y278)</f>
        <v>1100.772</v>
      </c>
      <c r="Z280" s="12">
        <f>SUM(Z259,Z266,Z276,Z278)</f>
        <v>210.486</v>
      </c>
      <c r="AA280" s="12">
        <f>SUM(AA259,AA266,AA276,AA278)</f>
        <v>108.527</v>
      </c>
      <c r="AB280" s="12">
        <f>SUM(X280:AA280)</f>
        <v>1388.346</v>
      </c>
      <c r="AC280" s="12">
        <f>SUM(AC259,AC266,AC276,AC278)</f>
        <v>99.330089</v>
      </c>
      <c r="AD280" s="12">
        <f>SUM(AD259,AD266,AD276,AD278)</f>
        <v>-354.499089</v>
      </c>
      <c r="AE280" s="12">
        <f>SUM(AE259,AE266,AE276,AE278)</f>
        <v>431.633</v>
      </c>
      <c r="AF280" s="12">
        <f>SUM(AF259,AF266,AF276,AF278)</f>
        <v>-347.412</v>
      </c>
      <c r="AG280" s="12">
        <f>SUM(AC280:AF280)</f>
        <v>-170.948</v>
      </c>
      <c r="AH280" s="12">
        <f>SUM(AH259,AH266,AH276,AH278)</f>
        <v>-8.46000000000004</v>
      </c>
      <c r="AI280" s="12">
        <f>SUM(AI259,AI266,AI276,AI278)</f>
        <v>-228.88</v>
      </c>
      <c r="AJ280" s="12">
        <f>SUM(AJ259,AJ266,AJ276,AJ278)</f>
        <v>364.259441205157</v>
      </c>
      <c r="AK280" s="12">
        <f>SUM(AK259,AK266,AK276,AK278)</f>
        <v>489.938393196689</v>
      </c>
      <c r="AL280" s="12">
        <f>SUM(AH280:AK280)</f>
        <v>616.857834401847</v>
      </c>
      <c r="AM280" s="12">
        <f>SUM(AM259,AM266,AM276,AM278)</f>
        <v>293.406571260956</v>
      </c>
      <c r="AN280" s="12">
        <f>SUM(AN259,AN266,AN276,AN278)</f>
        <v>410.046166062197</v>
      </c>
      <c r="AO280" s="12">
        <f>SUM(AO259,AO266,AO276,AO278)</f>
        <v>439.276080343477</v>
      </c>
      <c r="AP280" s="12">
        <f>SUM(AP259,AP266,AP276,AP278)</f>
        <v>554.312546718061</v>
      </c>
      <c r="AQ280" s="12">
        <f>SUM(AM280:AP280)</f>
        <v>1697.04136438469</v>
      </c>
      <c r="AR280" s="12">
        <f>SUM(AR259,AR266,AR276,AR278)</f>
        <v>360.439834807647</v>
      </c>
      <c r="AS280" s="12">
        <f>SUM(AS259,AS266,AS276,AS278)</f>
        <v>445.268013327206</v>
      </c>
      <c r="AT280" s="12">
        <f>SUM(AT259,AT266,AT276,AT278)</f>
        <v>496.467147614827</v>
      </c>
      <c r="AU280" s="12">
        <f>SUM(AU259,AU266,AU276,AU278)</f>
        <v>622.996195894556</v>
      </c>
      <c r="AV280" s="12">
        <f>SUM(AR280:AU280)</f>
        <v>1925.17119164424</v>
      </c>
      <c r="AW280" s="12">
        <f>SUM(AW259,AW266,AW276,AW278)</f>
        <v>398.09149150335</v>
      </c>
      <c r="AX280" s="12">
        <f>SUM(AX259,AX266,AX276,AX278)</f>
        <v>523.215235300531</v>
      </c>
      <c r="AY280" s="12">
        <f>SUM(AY259,AY266,AY276,AY278)</f>
        <v>560.260674481102</v>
      </c>
      <c r="AZ280" s="12">
        <f>SUM(AZ259,AZ266,AZ276,AZ278)</f>
        <v>698.79149370403</v>
      </c>
      <c r="BA280" s="12">
        <f>SUM(AW280:AZ280)</f>
        <v>2180.35889498901</v>
      </c>
      <c r="BB280" s="12">
        <f>SUM(BB259,BB266,BB276,BB278)</f>
        <v>461.227323103941</v>
      </c>
      <c r="BC280" s="12">
        <f>SUM(BC259,BC266,BC276,BC278)</f>
        <v>589.331616314978</v>
      </c>
      <c r="BD280" s="12">
        <f>SUM(BD259,BD266,BD276,BD278)</f>
        <v>630.64838557533</v>
      </c>
      <c r="BE280" s="12">
        <f>SUM(BE259,BE266,BE276,BE278)</f>
        <v>781.54961403115</v>
      </c>
      <c r="BF280" s="12">
        <f>SUM(BB280:BE280)</f>
        <v>2462.7569390254</v>
      </c>
      <c r="BG280" s="12" t="n"/>
      <c r="BH280" s="12" t="n"/>
      <c r="BI280" s="12" t="n"/>
      <c r="BJ280" s="12" t="n"/>
      <c r="BK280" s="12" t="n"/>
      <c r="BL280" s="12" t="n"/>
      <c r="BM280" s="12" t="n"/>
      <c r="BN280" s="12" t="n"/>
      <c r="BO280" s="12" t="n"/>
      <c r="BP280" s="12" t="n"/>
      <c r="BQ280" s="12" t="n"/>
      <c r="BR280" s="12" t="n"/>
      <c r="BS280" s="12" t="n"/>
      <c r="BT280" s="12" t="n"/>
      <c r="BU280" s="12" t="n"/>
      <c r="BV280" s="12" t="n"/>
      <c r="BW280" s="12" t="n"/>
      <c r="BX280" s="12" t="n"/>
      <c r="BY280" s="12" t="n"/>
      <c r="BZ280" s="12" t="n"/>
      <c r="CA280" s="12" t="n"/>
      <c r="CB280" s="12" t="n"/>
      <c r="CC280" s="12" t="n"/>
      <c r="CD280" s="12" t="n"/>
      <c r="CE280" s="12" t="n"/>
      <c r="CF280" s="12" t="n"/>
      <c r="CG280" s="12" t="n"/>
      <c r="CH280" s="12" t="n"/>
      <c r="CI280" s="12" t="n"/>
      <c r="CJ280" s="12" t="n"/>
      <c r="CK280" s="12" t="n"/>
      <c r="CL280" s="12" t="n"/>
      <c r="CM280" s="12" t="n"/>
      <c r="CN280" s="12" t="n"/>
      <c r="CO280" s="12" t="n"/>
      <c r="CP280" s="12" t="n"/>
      <c r="CQ280" s="12" t="n"/>
      <c r="CR280" s="12" t="n"/>
      <c r="CS280" s="12" t="n"/>
      <c r="CT280" s="12" t="n"/>
      <c r="CU280" s="12" t="n"/>
      <c r="CV280" s="12" t="n"/>
      <c r="CW280" s="12" t="n"/>
      <c r="CX280" s="12" t="n"/>
      <c r="CY280" s="12" t="n"/>
    </row>
    <row r="281">
      <c r="C281" s="4" t="inlineStr">
        <is>
          <t>Check</t>
        </is>
      </c>
      <c r="E281" s="72" t="n"/>
      <c r="F281" s="72" t="n"/>
      <c r="G281" s="72" t="n"/>
      <c r="I281" s="72" t="str">
        <f>""</f>
        <v/>
      </c>
      <c r="J281" s="72">
        <f>J110-I110-J280</f>
        <v>0</v>
      </c>
      <c r="K281" s="72">
        <f>K110-J110-K280</f>
        <v>0</v>
      </c>
      <c r="L281" s="72">
        <f>L110-K110-L280</f>
        <v>0</v>
      </c>
      <c r="M281" s="4" t="str">
        <f>""</f>
        <v/>
      </c>
      <c r="N281" s="72">
        <f>N110-M110-N280</f>
        <v>0</v>
      </c>
      <c r="O281" s="72">
        <f>O110-N110-O280</f>
        <v>0</v>
      </c>
      <c r="P281" s="72">
        <f>P110-O110-P280</f>
        <v>0</v>
      </c>
      <c r="Q281" s="72">
        <f>Q110-P110-Q280</f>
        <v>0</v>
      </c>
      <c r="R281" s="4">
        <f>R110-M110-R280</f>
        <v>0</v>
      </c>
      <c r="S281" s="72">
        <f>S110-R110-S280</f>
        <v>0</v>
      </c>
      <c r="T281" s="72">
        <f>T110-S110-T280</f>
        <v>0</v>
      </c>
      <c r="U281" s="72">
        <f>U110-T110-U280</f>
        <v>0</v>
      </c>
      <c r="V281" s="72">
        <f>V110-U110-V280</f>
        <v>0</v>
      </c>
      <c r="W281" s="4">
        <f>W110-R110-W280</f>
        <v>0</v>
      </c>
      <c r="X281" s="72">
        <f>X110-W110-X280</f>
        <v>0</v>
      </c>
      <c r="Y281" s="72">
        <f>Y110-X110-Y280</f>
        <v>0</v>
      </c>
      <c r="Z281" s="72">
        <f>Z110-Y110-Z280</f>
        <v>0</v>
      </c>
      <c r="AA281" s="72">
        <f>AA110-Z110-AA280</f>
        <v>0</v>
      </c>
      <c r="AB281" s="4">
        <f>AB110-W110-AB280</f>
        <v>0</v>
      </c>
      <c r="AC281" s="72">
        <f>AC110-AB110-AC280</f>
        <v>0</v>
      </c>
      <c r="AD281" s="72">
        <f>AD110-AC110-AD280</f>
        <v>0</v>
      </c>
      <c r="AE281" s="72">
        <f>AE110-AD110-AE280</f>
        <v>0</v>
      </c>
      <c r="AF281" s="72">
        <f>AF110-AE110-AF280</f>
        <v>0</v>
      </c>
      <c r="AG281" s="4">
        <f>AG110-AB110-AG280</f>
        <v>0</v>
      </c>
      <c r="AH281" s="72">
        <f>AH110-AG110-AH280</f>
        <v>0</v>
      </c>
      <c r="AI281" s="72">
        <f>AI110-AH110-AI280</f>
        <v>0</v>
      </c>
      <c r="AJ281" s="72">
        <f>AJ110-AI110-AJ280</f>
        <v>0</v>
      </c>
      <c r="AK281" s="72">
        <f>AK110-AJ110-AK280</f>
        <v>0</v>
      </c>
      <c r="AL281" s="4">
        <f>AL110-AG110-AL280</f>
        <v>0</v>
      </c>
      <c r="AM281" s="72">
        <f>AM110-AL110-AM280</f>
        <v>0</v>
      </c>
      <c r="AN281" s="72">
        <f>AN110-AM110-AN280</f>
        <v>0</v>
      </c>
      <c r="AO281" s="72">
        <f>AO110-AN110-AO280</f>
        <v>0</v>
      </c>
      <c r="AP281" s="72">
        <f>AP110-AO110-AP280</f>
        <v>0</v>
      </c>
      <c r="AQ281" s="4">
        <f>AQ110-AL110-AQ280</f>
        <v>0</v>
      </c>
      <c r="AR281" s="72">
        <f>AR110-AQ110-AR280</f>
        <v>0</v>
      </c>
      <c r="AS281" s="72">
        <f>AS110-AR110-AS280</f>
        <v>0</v>
      </c>
      <c r="AT281" s="72">
        <f>AT110-AS110-AT280</f>
        <v>0</v>
      </c>
      <c r="AU281" s="72">
        <f>AU110-AT110-AU280</f>
        <v>0</v>
      </c>
      <c r="AV281" s="4">
        <f>AV110-AQ110-AV280</f>
        <v>0</v>
      </c>
      <c r="AW281" s="72">
        <f>AW110-AV110-AW280</f>
        <v>0</v>
      </c>
      <c r="AX281" s="72">
        <f>AX110-AW110-AX280</f>
        <v>0</v>
      </c>
      <c r="AY281" s="72">
        <f>AY110-AX110-AY280</f>
        <v>0</v>
      </c>
      <c r="AZ281" s="72">
        <f>AZ110-AY110-AZ280</f>
        <v>0</v>
      </c>
      <c r="BA281" s="4">
        <f>BA110-AV110-BA280</f>
        <v>0</v>
      </c>
      <c r="BB281" s="72">
        <f>BB110-BA110-BB280</f>
        <v>0</v>
      </c>
      <c r="BC281" s="72">
        <f>BC110-BB110-BC280</f>
        <v>0</v>
      </c>
      <c r="BD281" s="72">
        <f>BD110-BC110-BD280</f>
        <v>0</v>
      </c>
      <c r="BE281" s="72">
        <f>BE110-BD110-BE280</f>
        <v>0</v>
      </c>
      <c r="BF281" s="4">
        <f>BF110-BA110-BF280</f>
        <v>0</v>
      </c>
      <c r="BG281" s="72" t="n"/>
      <c r="BH281" s="72" t="n"/>
      <c r="BI281" s="72" t="n"/>
      <c r="BJ281" s="72" t="n"/>
      <c r="BL281" s="72" t="n"/>
      <c r="BM281" s="72" t="n"/>
      <c r="BN281" s="72" t="n"/>
      <c r="BO281" s="72" t="n"/>
      <c r="BQ281" s="72" t="n"/>
      <c r="BR281" s="72" t="n"/>
      <c r="BS281" s="72" t="n"/>
      <c r="BT281" s="72" t="n"/>
      <c r="BV281" s="72" t="n"/>
      <c r="BW281" s="72" t="n"/>
      <c r="BX281" s="72" t="n"/>
      <c r="BY281" s="72" t="n"/>
      <c r="CA281" s="72" t="n"/>
      <c r="CB281" s="72" t="n"/>
      <c r="CC281" s="72" t="n"/>
      <c r="CD281" s="72" t="n"/>
      <c r="CF281" s="72" t="n"/>
      <c r="CG281" s="72" t="n"/>
      <c r="CH281" s="72" t="n"/>
      <c r="CI281" s="72" t="n"/>
      <c r="CK281" s="72" t="n"/>
      <c r="CL281" s="72" t="n"/>
      <c r="CM281" s="72" t="n"/>
      <c r="CN281" s="72" t="n"/>
      <c r="CP281" s="72" t="n"/>
      <c r="CQ281" s="72" t="n"/>
      <c r="CR281" s="72" t="n"/>
      <c r="CS281" s="72" t="n"/>
      <c r="CU281" s="72" t="n"/>
      <c r="CV281" s="72" t="n"/>
      <c r="CW281" s="72" t="n"/>
      <c r="CX281" s="72" t="n"/>
    </row>
    <row r="282"/>
    <row r="283">
      <c r="C283" s="73" t="inlineStr">
        <is>
          <t>Ratio Analysis</t>
        </is>
      </c>
      <c r="D283" s="73" t="n"/>
      <c r="E283" s="73" t="n"/>
      <c r="F283" s="73" t="n"/>
      <c r="G283" s="73" t="n"/>
      <c r="H283" s="73" t="n"/>
      <c r="I283" s="73" t="n"/>
      <c r="J283" s="73" t="n"/>
      <c r="K283" s="73" t="n"/>
      <c r="L283" s="73" t="n"/>
      <c r="M283" s="73" t="n"/>
      <c r="N283" s="73" t="n"/>
      <c r="O283" s="73" t="n"/>
      <c r="P283" s="73" t="n"/>
      <c r="Q283" s="73" t="n"/>
      <c r="R283" s="73" t="n"/>
      <c r="S283" s="73" t="n"/>
      <c r="T283" s="73" t="n"/>
      <c r="U283" s="73" t="n"/>
      <c r="V283" s="73" t="n"/>
      <c r="W283" s="73" t="n"/>
      <c r="X283" s="73" t="n"/>
      <c r="Y283" s="73" t="n"/>
      <c r="Z283" s="73" t="n"/>
      <c r="AA283" s="73" t="n"/>
      <c r="AB283" s="73" t="n"/>
      <c r="AC283" s="73" t="n"/>
      <c r="AD283" s="73" t="n"/>
      <c r="AE283" s="73" t="n"/>
      <c r="AF283" s="73" t="n"/>
      <c r="AG283" s="73" t="n"/>
      <c r="AH283" s="73" t="n"/>
      <c r="AI283" s="73" t="n"/>
      <c r="AJ283" s="73" t="n"/>
      <c r="AK283" s="73" t="n"/>
      <c r="AL283" s="73" t="n"/>
      <c r="AM283" s="73" t="n"/>
      <c r="AN283" s="73" t="n"/>
      <c r="AO283" s="73" t="n"/>
      <c r="AP283" s="73" t="n"/>
      <c r="AQ283" s="73" t="n"/>
      <c r="AR283" s="73" t="n"/>
      <c r="AS283" s="73" t="n"/>
      <c r="AT283" s="73" t="n"/>
      <c r="AU283" s="73" t="n"/>
      <c r="AV283" s="73" t="n"/>
      <c r="AW283" s="73" t="n"/>
      <c r="AX283" s="73" t="n"/>
      <c r="AY283" s="73" t="n"/>
      <c r="AZ283" s="73" t="n"/>
      <c r="BA283" s="73" t="n"/>
      <c r="BB283" s="73" t="n"/>
      <c r="BC283" s="73" t="n"/>
      <c r="BD283" s="73" t="n"/>
      <c r="BE283" s="73" t="n"/>
      <c r="BF283" s="73" t="n"/>
      <c r="BG283" s="73" t="n"/>
      <c r="BH283" s="73" t="n"/>
      <c r="BI283" s="73" t="n"/>
      <c r="BJ283" s="73" t="n"/>
      <c r="BK283" s="73" t="n"/>
      <c r="BL283" s="73" t="n"/>
      <c r="BM283" s="73" t="n"/>
      <c r="BN283" s="73" t="n"/>
      <c r="BO283" s="73" t="n"/>
      <c r="BP283" s="73" t="n"/>
      <c r="BQ283" s="73" t="n"/>
      <c r="BR283" s="73" t="n"/>
      <c r="BS283" s="73" t="n"/>
      <c r="BT283" s="73" t="n"/>
      <c r="BU283" s="73" t="n"/>
      <c r="BV283" s="73" t="n"/>
      <c r="BW283" s="73" t="n"/>
      <c r="BX283" s="73" t="n"/>
      <c r="BY283" s="73" t="n"/>
      <c r="BZ283" s="73" t="n"/>
      <c r="CA283" s="73" t="n"/>
      <c r="CB283" s="73" t="n"/>
      <c r="CC283" s="73" t="n"/>
      <c r="CD283" s="73" t="n"/>
      <c r="CE283" s="73" t="n"/>
      <c r="CF283" s="73" t="n"/>
      <c r="CG283" s="73" t="n"/>
      <c r="CH283" s="73" t="n"/>
      <c r="CI283" s="73" t="n"/>
      <c r="CJ283" s="73" t="n"/>
      <c r="CK283" s="73" t="n"/>
      <c r="CL283" s="73" t="n"/>
      <c r="CM283" s="73" t="n"/>
      <c r="CN283" s="73" t="n"/>
      <c r="CO283" s="73" t="n"/>
      <c r="CP283" s="73" t="n"/>
      <c r="CQ283" s="73" t="n"/>
      <c r="CR283" s="73" t="n"/>
      <c r="CS283" s="73" t="n"/>
      <c r="CT283" s="73" t="n"/>
      <c r="CU283" s="73" t="n"/>
      <c r="CV283" s="73" t="n"/>
      <c r="CW283" s="73" t="n"/>
      <c r="CX283" s="73" t="n"/>
      <c r="CY283" s="73" t="n"/>
    </row>
    <row r="284"/>
    <row r="285" customFormat="1" s="74">
      <c r="C285" s="74" t="inlineStr">
        <is>
          <t>YEAR</t>
        </is>
      </c>
      <c r="D285">
        <f>IFERROR(D241,"")</f>
        <v>0</v>
      </c>
      <c r="E285" s="75">
        <f>IFERROR(E241,"")</f>
        <v>0</v>
      </c>
      <c r="F285" s="75">
        <f>IFERROR(F241,"")</f>
        <v>0</v>
      </c>
      <c r="G285" s="75">
        <f>IFERROR(G241,"")</f>
        <v>0</v>
      </c>
      <c r="H285" s="75">
        <f>IFERROR(H241,"")</f>
        <v>0</v>
      </c>
      <c r="I285" s="75" t="str">
        <f>IFERROR(I241,"")</f>
        <v>1Q21</v>
      </c>
      <c r="J285" s="75" t="str">
        <f>IFERROR(J241,"")</f>
        <v>2Q21</v>
      </c>
      <c r="K285" s="75" t="str">
        <f>IFERROR(K241,"")</f>
        <v>3Q21</v>
      </c>
      <c r="L285" s="75" t="str">
        <f>IFERROR(L241,"")</f>
        <v>4Q21</v>
      </c>
      <c r="M285" s="75">
        <f>IFERROR(M241,"")</f>
        <v>2021</v>
      </c>
      <c r="N285" s="75" t="str">
        <f>IFERROR(N241,"")</f>
        <v>1Q22</v>
      </c>
      <c r="O285" s="75" t="str">
        <f>IFERROR(O241,"")</f>
        <v>2Q22</v>
      </c>
      <c r="P285" s="75" t="str">
        <f>IFERROR(P241,"")</f>
        <v>3Q22</v>
      </c>
      <c r="Q285" s="75" t="str">
        <f>IFERROR(Q241,"")</f>
        <v>4Q22</v>
      </c>
      <c r="R285" s="75">
        <f>IFERROR(R241,"")</f>
        <v>2022</v>
      </c>
      <c r="S285" s="75" t="str">
        <f>IFERROR(S241,"")</f>
        <v>1Q23</v>
      </c>
      <c r="T285" s="75" t="str">
        <f>IFERROR(T241,"")</f>
        <v>2Q23</v>
      </c>
      <c r="U285" s="75" t="str">
        <f>IFERROR(U241,"")</f>
        <v>3Q23</v>
      </c>
      <c r="V285" s="75" t="str">
        <f>IFERROR(V241,"")</f>
        <v>4Q23</v>
      </c>
      <c r="W285" s="75">
        <f>IFERROR(W241,"")</f>
        <v>2023</v>
      </c>
      <c r="X285" s="75" t="str">
        <f>IFERROR(X241,"")</f>
        <v>1Q24</v>
      </c>
      <c r="Y285" s="75" t="str">
        <f>IFERROR(Y241,"")</f>
        <v>2Q24</v>
      </c>
      <c r="Z285" s="75" t="str">
        <f>IFERROR(Z241,"")</f>
        <v>3Q24</v>
      </c>
      <c r="AA285" s="75" t="str">
        <f>IFERROR(AA241,"")</f>
        <v>4Q24</v>
      </c>
      <c r="AB285" s="75">
        <f>IFERROR(AB241,"")</f>
        <v>2024</v>
      </c>
      <c r="AC285" s="75" t="str">
        <f>IFERROR(AC241,"")</f>
        <v>1Q25</v>
      </c>
      <c r="AD285" s="75" t="str">
        <f>IFERROR(AD241,"")</f>
        <v>2Q25</v>
      </c>
      <c r="AE285" s="75" t="str">
        <f>IFERROR(AE241,"")</f>
        <v>3Q25</v>
      </c>
      <c r="AF285" s="75" t="str">
        <f>IFERROR(AF241,"")</f>
        <v>4Q25</v>
      </c>
      <c r="AG285" s="75">
        <f>IFERROR(AG241,"")</f>
        <v>2025</v>
      </c>
      <c r="AH285" s="75" t="str">
        <f>IFERROR(AH241,"")</f>
        <v>1Q26</v>
      </c>
      <c r="AI285" s="75" t="str">
        <f>IFERROR(AI241,"")</f>
        <v>2Q26</v>
      </c>
      <c r="AJ285" s="75" t="str">
        <f>IFERROR(AJ241,"")</f>
        <v>3Q26</v>
      </c>
      <c r="AK285" s="75" t="str">
        <f>IFERROR(AK241,"")</f>
        <v>4Q26</v>
      </c>
      <c r="AL285" s="75">
        <f>IFERROR(AL241,"")</f>
        <v>2026</v>
      </c>
      <c r="AM285" s="75" t="str">
        <f>IFERROR(AM241,"")</f>
        <v>1Q27</v>
      </c>
      <c r="AN285" s="75" t="str">
        <f>IFERROR(AN241,"")</f>
        <v>2Q27</v>
      </c>
      <c r="AO285" s="75" t="str">
        <f>IFERROR(AO241,"")</f>
        <v>3Q27</v>
      </c>
      <c r="AP285" s="75" t="str">
        <f>IFERROR(AP241,"")</f>
        <v>4Q27</v>
      </c>
      <c r="AQ285" s="75">
        <f>IFERROR(AQ241,"")</f>
        <v>2027</v>
      </c>
      <c r="AR285" s="75" t="str">
        <f>IFERROR(AR241,"")</f>
        <v>1Q28</v>
      </c>
      <c r="AS285" s="75" t="str">
        <f>IFERROR(AS241,"")</f>
        <v>2Q28</v>
      </c>
      <c r="AT285" s="75" t="str">
        <f>IFERROR(AT241,"")</f>
        <v>3Q28</v>
      </c>
      <c r="AU285" s="75" t="str">
        <f>IFERROR(AU241,"")</f>
        <v>4Q28</v>
      </c>
      <c r="AV285" s="75">
        <f>IFERROR(AV241,"")</f>
        <v>2028</v>
      </c>
      <c r="AW285" s="75" t="str">
        <f>IFERROR(AW241,"")</f>
        <v>1Q29</v>
      </c>
      <c r="AX285" s="75" t="str">
        <f>IFERROR(AX241,"")</f>
        <v>2Q29</v>
      </c>
      <c r="AY285" s="75" t="str">
        <f>IFERROR(AY241,"")</f>
        <v>3Q29</v>
      </c>
      <c r="AZ285" s="75" t="str">
        <f>IFERROR(AZ241,"")</f>
        <v>4Q29</v>
      </c>
      <c r="BA285" s="75">
        <f>IFERROR(BA241,"")</f>
        <v>2029</v>
      </c>
      <c r="BB285" s="75" t="str">
        <f>IFERROR(BB241,"")</f>
        <v>1Q30</v>
      </c>
      <c r="BC285" s="75" t="str">
        <f>IFERROR(BC241,"")</f>
        <v>2Q30</v>
      </c>
      <c r="BD285" s="75" t="str">
        <f>IFERROR(BD241,"")</f>
        <v>3Q30</v>
      </c>
      <c r="BE285" s="75" t="str">
        <f>IFERROR(BE241,"")</f>
        <v>4Q30</v>
      </c>
      <c r="BF285" s="75">
        <f>IFERROR(BF241,"")</f>
        <v>2030</v>
      </c>
      <c r="BG285" s="75" t="n"/>
      <c r="BH285" s="75" t="n"/>
      <c r="BI285" s="75" t="n"/>
      <c r="BJ285" s="75" t="n"/>
      <c r="BK285" s="75" t="n"/>
      <c r="BL285" s="75" t="n"/>
      <c r="BM285" s="75" t="n"/>
      <c r="BN285" s="75" t="n"/>
      <c r="BO285" s="75" t="n"/>
      <c r="BP285" s="75" t="n"/>
      <c r="BQ285" s="75" t="n"/>
      <c r="BR285" s="75" t="n"/>
      <c r="BS285" s="75" t="n"/>
      <c r="BT285" s="75" t="n"/>
      <c r="BU285" s="75" t="n"/>
      <c r="BV285" s="75" t="n"/>
      <c r="BW285" s="75" t="n"/>
      <c r="BX285" s="75" t="n"/>
      <c r="BY285" s="75" t="n"/>
      <c r="BZ285" s="75" t="n"/>
      <c r="CA285" s="75" t="n"/>
      <c r="CB285" s="75" t="n"/>
      <c r="CC285" s="75" t="n"/>
      <c r="CD285" s="75" t="n"/>
      <c r="CE285" s="75" t="n"/>
      <c r="CF285" s="75" t="n"/>
      <c r="CG285" s="75" t="n"/>
      <c r="CH285" s="75" t="n"/>
      <c r="CI285" s="75" t="n"/>
      <c r="CJ285" s="75" t="n"/>
      <c r="CK285" s="75" t="n"/>
      <c r="CL285" s="75" t="n"/>
      <c r="CM285" s="75" t="n"/>
      <c r="CN285" s="75" t="n"/>
      <c r="CO285" s="75" t="n"/>
      <c r="CP285" s="75" t="n"/>
      <c r="CQ285" s="75" t="n"/>
      <c r="CR285" s="75" t="n"/>
      <c r="CS285" s="75" t="n"/>
      <c r="CT285" s="75" t="n"/>
      <c r="CU285" s="75" t="n"/>
      <c r="CV285" s="75" t="n"/>
      <c r="CW285" s="75" t="n"/>
      <c r="CX285" s="75" t="n"/>
      <c r="CY285" s="75" t="n"/>
    </row>
    <row r="286" customFormat="1" s="77">
      <c r="A286" s="76" t="n"/>
      <c r="B286" s="76" t="n"/>
      <c r="C286" s="74" t="inlineStr">
        <is>
          <t>GROWTH &amp; MARGINS</t>
        </is>
      </c>
    </row>
    <row r="287" customFormat="1" s="77">
      <c r="A287" s="76" t="n"/>
      <c r="B287" s="76" t="n"/>
      <c r="C287" s="77" t="inlineStr">
        <is>
          <t>NET REVENUE GROWTH (YoY)</t>
        </is>
      </c>
      <c r="E287" s="78" t="str">
        <f>IFERROR(E15/D15-1,"")</f>
        <v/>
      </c>
      <c r="F287" s="78" t="str">
        <f>IFERROR(F15/E15-1,"")</f>
        <v/>
      </c>
      <c r="G287" s="78" t="str">
        <f>IFERROR(G15/F15-1,"")</f>
        <v/>
      </c>
      <c r="H287" s="257" t="str">
        <f>""</f>
        <v/>
      </c>
      <c r="I287" s="257" t="str">
        <f>""</f>
        <v/>
      </c>
      <c r="J287" s="257" t="str">
        <f>""</f>
        <v/>
      </c>
      <c r="K287" s="257" t="str">
        <f>""</f>
        <v/>
      </c>
      <c r="L287" s="257" t="str">
        <f>""</f>
        <v/>
      </c>
      <c r="M287" s="257" t="str">
        <f>IFERROR(IF(AND(ISNUMBER(M15),ISNUMBER(H15),H15&lt;&gt;0),M15/H15-1,""),"")</f>
        <v/>
      </c>
      <c r="N287" s="257">
        <f>IFERROR(IF(AND(ISNUMBER(N15),ISNUMBER(I15),I15&lt;&gt;0),N15/I15-1,""),"")</f>
        <v>0.219403495578883</v>
      </c>
      <c r="O287" s="257">
        <f>IFERROR(IF(AND(ISNUMBER(O15),ISNUMBER(J15),J15&lt;&gt;0),O15/J15-1,""),"")</f>
        <v>0.192775551045859</v>
      </c>
      <c r="P287" s="257">
        <f>IFERROR(IF(AND(ISNUMBER(P15),ISNUMBER(K15),K15&lt;&gt;0),P15/K15-1,""),"")</f>
        <v>0.114503881523473</v>
      </c>
      <c r="Q287" s="257">
        <f>IFERROR(IF(AND(ISNUMBER(Q15),ISNUMBER(L15),L15&lt;&gt;0),Q15/L15-1,""),"")</f>
        <v>0.0950937442637572</v>
      </c>
      <c r="R287" s="257">
        <f>IFERROR(IF(AND(ISNUMBER(R15),ISNUMBER(M15),M15&lt;&gt;0),R15/M15-1,""),"")</f>
        <v>0.152451023144868</v>
      </c>
      <c r="S287" s="257">
        <f>IFERROR(IF(AND(ISNUMBER(S15),ISNUMBER(N15),N15&lt;&gt;0),S15/N15-1,""),"")</f>
        <v>0.134791297608717</v>
      </c>
      <c r="T287" s="257">
        <f>IFERROR(IF(AND(ISNUMBER(T15),ISNUMBER(O15),O15&lt;&gt;0),T15/O15-1,""),"")</f>
        <v>0.492734003838557</v>
      </c>
      <c r="U287" s="257">
        <f>IFERROR(IF(AND(ISNUMBER(U15),ISNUMBER(P15),P15&lt;&gt;0),U15/P15-1,""),"")</f>
        <v>0.630898413071819</v>
      </c>
      <c r="V287" s="257">
        <f>IFERROR(IF(AND(ISNUMBER(V15),ISNUMBER(Q15),Q15&lt;&gt;0),V15/Q15-1,""),"")</f>
        <v>0.528993628809388</v>
      </c>
      <c r="W287" s="257">
        <f>IFERROR(IF(AND(ISNUMBER(W15),ISNUMBER(R15),R15&lt;&gt;0),W15/R15-1,""),"")</f>
        <v>0.449874917289077</v>
      </c>
      <c r="X287" s="257">
        <f>IFERROR(IF(AND(ISNUMBER(X15),ISNUMBER(S15),S15&lt;&gt;0),X15/S15-1,""),"")</f>
        <v>0.53979026672018</v>
      </c>
      <c r="Y287" s="257">
        <f>IFERROR(IF(AND(ISNUMBER(Y15),ISNUMBER(T15),T15&lt;&gt;0),Y15/T15-1,""),"")</f>
        <v>0.192017551841142</v>
      </c>
      <c r="Z287" s="257">
        <f>IFERROR(IF(AND(ISNUMBER(Z15),ISNUMBER(U15),U15&lt;&gt;0),Z15/U15-1,""),"")</f>
        <v>0.0495316818579232</v>
      </c>
      <c r="AA287" s="257">
        <f>IFERROR(IF(AND(ISNUMBER(AA15),ISNUMBER(V15),V15&lt;&gt;0),AA15/V15-1,""),"")</f>
        <v>0.0791440542077375</v>
      </c>
      <c r="AB287" s="257">
        <f>IFERROR(IF(AND(ISNUMBER(AB15),ISNUMBER(W15),W15&lt;&gt;0),AB15/W15-1,""),"")</f>
        <v>0.187581075129234</v>
      </c>
      <c r="AC287" s="257">
        <f>IFERROR(IF(AND(ISNUMBER(AC15),ISNUMBER(X15),X15&lt;&gt;0),AC15/X15-1,""),"")</f>
        <v>0.0580879570904076</v>
      </c>
      <c r="AD287" s="257">
        <f>IFERROR(IF(AND(ISNUMBER(AD15),ISNUMBER(Y15),Y15&lt;&gt;0),AD15/Y15-1,""),"")</f>
        <v>0.0234207628947902</v>
      </c>
      <c r="AE287" s="257">
        <f>IFERROR(IF(AND(ISNUMBER(AE15),ISNUMBER(Z15),Z15&lt;&gt;0),AE15/Z15-1,""),"")</f>
        <v>0.116324974837333</v>
      </c>
      <c r="AF287" s="257">
        <f>IFERROR(IF(AND(ISNUMBER(AF15),ISNUMBER(AA15),AA15&lt;&gt;0),AF15/AA15-1,""),"")</f>
        <v>0.120292412388872</v>
      </c>
      <c r="AG287" s="257">
        <f>IFERROR(IF(AND(ISNUMBER(AG15),ISNUMBER(AB15),AB15&lt;&gt;0),AG15/AB15-1,""),"")</f>
        <v>0.0789264067497335</v>
      </c>
      <c r="AH287" s="257">
        <f>IFERROR(IF(AND(ISNUMBER(AH15),ISNUMBER(AC15),AC15&lt;&gt;0),AH15/AC15-1,""),"")</f>
        <v>0.103243761112495</v>
      </c>
      <c r="AI287" s="257">
        <f>IFERROR(IF(AND(ISNUMBER(AI15),ISNUMBER(AD15),AD15&lt;&gt;0),AI15/AD15-1,""),"")</f>
        <v>0.144290392895547</v>
      </c>
      <c r="AJ287" s="257">
        <f>IFERROR(IF(AND(ISNUMBER(AJ15),ISNUMBER(AE15),AE15&lt;&gt;0),AJ15/AE15-1,""),"")</f>
        <v>0.0942767102032407</v>
      </c>
      <c r="AK287" s="257">
        <f>IFERROR(IF(AND(ISNUMBER(AK15),ISNUMBER(AF15),AF15&lt;&gt;0),AK15/AF15-1,""),"")</f>
        <v>0.0942767102032407</v>
      </c>
      <c r="AL287" s="257">
        <f>IFERROR(IF(AND(ISNUMBER(AL15),ISNUMBER(AG15),AG15&lt;&gt;0),AL15/AG15-1,""),"")</f>
        <v>0.108668340864067</v>
      </c>
      <c r="AM287" s="257">
        <f>IFERROR(IF(AND(ISNUMBER(AM15),ISNUMBER(AH15),AH15&lt;&gt;0),AM15/AH15-1,""),"")</f>
        <v>0.0942767102032407</v>
      </c>
      <c r="AN287" s="257">
        <f>IFERROR(IF(AND(ISNUMBER(AN15),ISNUMBER(AI15),AI15&lt;&gt;0),AN15/AI15-1,""),"")</f>
        <v>0.0942767102032407</v>
      </c>
      <c r="AO287" s="257">
        <f>IFERROR(IF(AND(ISNUMBER(AO15),ISNUMBER(AJ15),AJ15&lt;&gt;0),AO15/AJ15-1,""),"")</f>
        <v>0.0942767102032407</v>
      </c>
      <c r="AP287" s="257">
        <f>IFERROR(IF(AND(ISNUMBER(AP15),ISNUMBER(AK15),AK15&lt;&gt;0),AP15/AK15-1,""),"")</f>
        <v>0.0942767102032407</v>
      </c>
      <c r="AQ287" s="257">
        <f>IFERROR(IF(AND(ISNUMBER(AQ15),ISNUMBER(AL15),AL15&lt;&gt;0),AQ15/AL15-1,""),"")</f>
        <v>0.0942767102032409</v>
      </c>
      <c r="AR287" s="257">
        <f>IFERROR(IF(AND(ISNUMBER(AR15),ISNUMBER(AM15),AM15&lt;&gt;0),AR15/AM15-1,""),"")</f>
        <v>0.0892767102032406</v>
      </c>
      <c r="AS287" s="257">
        <f>IFERROR(IF(AND(ISNUMBER(AS15),ISNUMBER(AN15),AN15&lt;&gt;0),AS15/AN15-1,""),"")</f>
        <v>0.0892767102032406</v>
      </c>
      <c r="AT287" s="257">
        <f>IFERROR(IF(AND(ISNUMBER(AT15),ISNUMBER(AO15),AO15&lt;&gt;0),AT15/AO15-1,""),"")</f>
        <v>0.0892767102032406</v>
      </c>
      <c r="AU287" s="257">
        <f>IFERROR(IF(AND(ISNUMBER(AU15),ISNUMBER(AP15),AP15&lt;&gt;0),AU15/AP15-1,""),"")</f>
        <v>0.0892767102032406</v>
      </c>
      <c r="AV287" s="257">
        <f>IFERROR(IF(AND(ISNUMBER(AV15),ISNUMBER(AQ15),AQ15&lt;&gt;0),AV15/AQ15-1,""),"")</f>
        <v>0.0892767102032406</v>
      </c>
      <c r="AW287" s="257">
        <f>IFERROR(IF(AND(ISNUMBER(AW15),ISNUMBER(AR15),AR15&lt;&gt;0),AW15/AR15-1,""),"")</f>
        <v>0.0842767102032407</v>
      </c>
      <c r="AX287" s="257">
        <f>IFERROR(IF(AND(ISNUMBER(AX15),ISNUMBER(AS15),AS15&lt;&gt;0),AX15/AS15-1,""),"")</f>
        <v>0.0842767102032407</v>
      </c>
      <c r="AY287" s="257">
        <f>IFERROR(IF(AND(ISNUMBER(AY15),ISNUMBER(AT15),AT15&lt;&gt;0),AY15/AT15-1,""),"")</f>
        <v>0.0842767102032407</v>
      </c>
      <c r="AZ287" s="257">
        <f>IFERROR(IF(AND(ISNUMBER(AZ15),ISNUMBER(AU15),AU15&lt;&gt;0),AZ15/AU15-1,""),"")</f>
        <v>0.0842767102032407</v>
      </c>
      <c r="BA287" s="257">
        <f>IFERROR(IF(AND(ISNUMBER(BA15),ISNUMBER(AV15),AV15&lt;&gt;0),BA15/AV15-1,""),"")</f>
        <v>0.0842767102032405</v>
      </c>
      <c r="BB287" s="257">
        <f>IFERROR(IF(AND(ISNUMBER(BB15),ISNUMBER(AW15),AW15&lt;&gt;0),BB15/AW15-1,""),"")</f>
        <v>0.0792767102032408</v>
      </c>
      <c r="BC287" s="257">
        <f>IFERROR(IF(AND(ISNUMBER(BC15),ISNUMBER(AX15),AX15&lt;&gt;0),BC15/AX15-1,""),"")</f>
        <v>0.0792767102032408</v>
      </c>
      <c r="BD287" s="257">
        <f>IFERROR(IF(AND(ISNUMBER(BD15),ISNUMBER(AY15),AY15&lt;&gt;0),BD15/AY15-1,""),"")</f>
        <v>0.0792767102032408</v>
      </c>
      <c r="BE287" s="257">
        <f>IFERROR(IF(AND(ISNUMBER(BE15),ISNUMBER(AZ15),AZ15&lt;&gt;0),BE15/AZ15-1,""),"")</f>
        <v>0.0792767102032408</v>
      </c>
      <c r="BF287" s="257">
        <f>IFERROR(IF(AND(ISNUMBER(BF15),ISNUMBER(BA15),BA15&lt;&gt;0),BF15/BA15-1,""),"")</f>
        <v>0.0792767102032408</v>
      </c>
      <c r="BG287" s="79" t="n"/>
      <c r="BH287" s="79" t="n"/>
      <c r="BI287" s="79" t="n"/>
      <c r="BJ287" s="79" t="n"/>
      <c r="BK287" s="78" t="n"/>
      <c r="BL287" s="79" t="n"/>
      <c r="BM287" s="79" t="n"/>
      <c r="BN287" s="79" t="n"/>
      <c r="BO287" s="79" t="n"/>
      <c r="BP287" s="78" t="n"/>
      <c r="BQ287" s="79" t="n"/>
      <c r="BR287" s="79" t="n"/>
      <c r="BS287" s="79" t="n"/>
      <c r="BT287" s="79" t="n"/>
      <c r="BU287" s="78" t="n"/>
      <c r="BV287" s="79" t="n"/>
      <c r="BW287" s="79" t="n"/>
      <c r="BX287" s="79" t="n"/>
      <c r="BY287" s="79" t="n"/>
      <c r="BZ287" s="78" t="n"/>
      <c r="CA287" s="79" t="n"/>
      <c r="CB287" s="79" t="n"/>
      <c r="CC287" s="79" t="n"/>
      <c r="CD287" s="79" t="n"/>
      <c r="CE287" s="78" t="n"/>
      <c r="CF287" s="79" t="n"/>
      <c r="CG287" s="79" t="n"/>
      <c r="CH287" s="79" t="n"/>
      <c r="CI287" s="79" t="n"/>
      <c r="CJ287" s="78" t="n"/>
      <c r="CK287" s="79" t="n"/>
      <c r="CL287" s="79" t="n"/>
      <c r="CM287" s="79" t="n"/>
      <c r="CN287" s="79" t="n"/>
      <c r="CO287" s="78" t="n"/>
      <c r="CP287" s="79" t="n"/>
      <c r="CQ287" s="79" t="n"/>
      <c r="CR287" s="79" t="n"/>
      <c r="CS287" s="79" t="n"/>
      <c r="CT287" s="78" t="n"/>
      <c r="CU287" s="79" t="n"/>
      <c r="CV287" s="79" t="n"/>
      <c r="CW287" s="79" t="n"/>
      <c r="CX287" s="79" t="n"/>
      <c r="CY287" s="78" t="n"/>
    </row>
    <row r="288" customFormat="1" s="77">
      <c r="A288" s="76" t="n"/>
      <c r="B288" s="76" t="n"/>
      <c r="C288" s="77" t="inlineStr">
        <is>
          <t>GROSS MARGIN</t>
        </is>
      </c>
      <c r="D288" s="79" t="str">
        <f>IFERROR(SUM(D15,D20)/D15,"")</f>
        <v/>
      </c>
      <c r="E288" s="79" t="str">
        <f>IFERROR(SUM(E15,E20)/E15,"")</f>
        <v/>
      </c>
      <c r="F288" s="79" t="str">
        <f>IFERROR(SUM(F15,F20)/F15,"")</f>
        <v/>
      </c>
      <c r="G288" s="79" t="str">
        <f>IFERROR(SUM(G15,G20)/G15,"")</f>
        <v/>
      </c>
      <c r="H288" s="258" t="str">
        <f>IFERROR(IF(N(H15)&lt;&gt;0,(H15+H20)/H15,""),"")</f>
        <v/>
      </c>
      <c r="I288" s="258">
        <f>IFERROR(IF(N(I15)&lt;&gt;0,(I15+I20)/I15,""),"")</f>
        <v>0.401795069723501</v>
      </c>
      <c r="J288" s="258">
        <f>IFERROR(IF(N(J15)&lt;&gt;0,(J15+J20)/J15,""),"")</f>
        <v>0.357496739866582</v>
      </c>
      <c r="K288" s="258">
        <f>IFERROR(IF(N(K15)&lt;&gt;0,(K15+K20)/K15,""),"")</f>
        <v>0.380785189840725</v>
      </c>
      <c r="L288" s="258">
        <f>IFERROR(IF(N(L15)&lt;&gt;0,(L15+L20)/L15,""),"")</f>
        <v>0.361282903736456</v>
      </c>
      <c r="M288" s="258">
        <f>IFERROR(IF(N(M15)&lt;&gt;0,(M15+M20)/M15,""),"")</f>
        <v>0.374902948664451</v>
      </c>
      <c r="N288" s="258">
        <f>IFERROR(IF(N(N15)&lt;&gt;0,(N15+N20)/N15,""),"")</f>
        <v>0.382484652267827</v>
      </c>
      <c r="O288" s="258">
        <f>IFERROR(IF(N(O15)&lt;&gt;0,(O15+O20)/O15,""),"")</f>
        <v>0.358676255515051</v>
      </c>
      <c r="P288" s="258">
        <f>IFERROR(IF(N(P15)&lt;&gt;0,(P15+P20)/P15,""),"")</f>
        <v>0.378691933810225</v>
      </c>
      <c r="Q288" s="258">
        <f>IFERROR(IF(N(Q15)&lt;&gt;0,(Q15+Q20)/Q15,""),"")</f>
        <v>0.319181365294037</v>
      </c>
      <c r="R288" s="258">
        <f>IFERROR(IF(N(R15)&lt;&gt;0,(R15+R20)/R15,""),"")</f>
        <v>0.359768099735949</v>
      </c>
      <c r="S288" s="258">
        <f>IFERROR(IF(N(S15)&lt;&gt;0,(S15+S20)/S15,""),"")</f>
        <v>0.372236403194471</v>
      </c>
      <c r="T288" s="258">
        <f>IFERROR(IF(N(T15)&lt;&gt;0,(T15+T20)/T15,""),"")</f>
        <v>0.35212266524298</v>
      </c>
      <c r="U288" s="258">
        <f>IFERROR(IF(N(U15)&lt;&gt;0,(U15+U20)/U15,""),"")</f>
        <v>0.359337574944988</v>
      </c>
      <c r="V288" s="258">
        <f>IFERROR(IF(N(V15)&lt;&gt;0,(V15+V20)/V15,""),"")</f>
        <v>0.320791272009256</v>
      </c>
      <c r="W288" s="258">
        <f>IFERROR(IF(N(W15)&lt;&gt;0,(W15+W20)/W15,""),"")</f>
        <v>0.349799453258536</v>
      </c>
      <c r="X288" s="258">
        <f>IFERROR(IF(N(X15)&lt;&gt;0,(X15+X20)/X15,""),"")</f>
        <v>0.374048700472629</v>
      </c>
      <c r="Y288" s="258">
        <f>IFERROR(IF(N(Y15)&lt;&gt;0,(Y15+Y20)/Y15,""),"")</f>
        <v>0.362633846290723</v>
      </c>
      <c r="Z288" s="258">
        <f>IFERROR(IF(N(Z15)&lt;&gt;0,(Z15+Z20)/Z15,""),"")</f>
        <v>0.36215305690024</v>
      </c>
      <c r="AA288" s="258">
        <f>IFERROR(IF(N(AA15)&lt;&gt;0,(AA15+AA20)/AA15,""),"")</f>
        <v>0.330526179704973</v>
      </c>
      <c r="AB288" s="258">
        <f>IFERROR(IF(N(AB15)&lt;&gt;0,(AB15+AB20)/AB15,""),"")</f>
        <v>0.357654907003681</v>
      </c>
      <c r="AC288" s="258">
        <f>IFERROR(IF(N(AC15)&lt;&gt;0,(AC15+AC20)/AC15,""),"")</f>
        <v>0.363754383213718</v>
      </c>
      <c r="AD288" s="258">
        <f>IFERROR(IF(N(AD15)&lt;&gt;0,(AD15+AD20)/AD15,""),"")</f>
        <v>0.34477926514411</v>
      </c>
      <c r="AE288" s="258">
        <f>IFERROR(IF(N(AE15)&lt;&gt;0,(AE15+AE20)/AE15,""),"")</f>
        <v>0.361150936379448</v>
      </c>
      <c r="AF288" s="258">
        <f>IFERROR(IF(N(AF15)&lt;&gt;0,(AF15+AF20)/AF15,""),"")</f>
        <v>0.32346881787166</v>
      </c>
      <c r="AG288" s="258">
        <f>IFERROR(IF(N(AG15)&lt;&gt;0,(AG15+AG20)/AG15,""),"")</f>
        <v>0.348420971644782</v>
      </c>
      <c r="AH288" s="258">
        <f>IFERROR(IF(N(AH15)&lt;&gt;0,(AH15+AH20)/AH15,""),"")</f>
        <v>0.362317647725148</v>
      </c>
      <c r="AI288" s="258">
        <f>IFERROR(IF(N(AI15)&lt;&gt;0,(AI15+AI20)/AI15,""),"")</f>
        <v>0.348983395861612</v>
      </c>
      <c r="AJ288" s="258">
        <f>IFERROR(IF(N(AJ15)&lt;&gt;0,(AJ15+AJ20)/AJ15,""),"")</f>
        <v>0.350742407699283</v>
      </c>
      <c r="AK288" s="258">
        <f>IFERROR(IF(N(AK15)&lt;&gt;0,(AK15+AK20)/AK15,""),"")</f>
        <v>0.350742407699283</v>
      </c>
      <c r="AL288" s="258">
        <f>IFERROR(IF(N(AL15)&lt;&gt;0,(AL15+AL20)/AL15,""),"")</f>
        <v>0.353098554295112</v>
      </c>
      <c r="AM288" s="258">
        <f>IFERROR(IF(N(AM15)&lt;&gt;0,(AM15+AM20)/AM15,""),"")</f>
        <v>0.350742407699283</v>
      </c>
      <c r="AN288" s="258">
        <f>IFERROR(IF(N(AN15)&lt;&gt;0,(AN15+AN20)/AN15,""),"")</f>
        <v>0.350742407699283</v>
      </c>
      <c r="AO288" s="258">
        <f>IFERROR(IF(N(AO15)&lt;&gt;0,(AO15+AO20)/AO15,""),"")</f>
        <v>0.350742407699283</v>
      </c>
      <c r="AP288" s="258">
        <f>IFERROR(IF(N(AP15)&lt;&gt;0,(AP15+AP20)/AP15,""),"")</f>
        <v>0.350742407699283</v>
      </c>
      <c r="AQ288" s="258">
        <f>IFERROR(IF(N(AQ15)&lt;&gt;0,(AQ15+AQ20)/AQ15,""),"")</f>
        <v>0.350742407699283</v>
      </c>
      <c r="AR288" s="258">
        <f>IFERROR(IF(N(AR15)&lt;&gt;0,(AR15+AR20)/AR15,""),"")</f>
        <v>0.350742407699283</v>
      </c>
      <c r="AS288" s="258">
        <f>IFERROR(IF(N(AS15)&lt;&gt;0,(AS15+AS20)/AS15,""),"")</f>
        <v>0.350742407699283</v>
      </c>
      <c r="AT288" s="258">
        <f>IFERROR(IF(N(AT15)&lt;&gt;0,(AT15+AT20)/AT15,""),"")</f>
        <v>0.350742407699283</v>
      </c>
      <c r="AU288" s="258">
        <f>IFERROR(IF(N(AU15)&lt;&gt;0,(AU15+AU20)/AU15,""),"")</f>
        <v>0.350742407699283</v>
      </c>
      <c r="AV288" s="258">
        <f>IFERROR(IF(N(AV15)&lt;&gt;0,(AV15+AV20)/AV15,""),"")</f>
        <v>0.350742407699283</v>
      </c>
      <c r="AW288" s="258">
        <f>IFERROR(IF(N(AW15)&lt;&gt;0,(AW15+AW20)/AW15,""),"")</f>
        <v>0.350742407699283</v>
      </c>
      <c r="AX288" s="258">
        <f>IFERROR(IF(N(AX15)&lt;&gt;0,(AX15+AX20)/AX15,""),"")</f>
        <v>0.350742407699283</v>
      </c>
      <c r="AY288" s="258">
        <f>IFERROR(IF(N(AY15)&lt;&gt;0,(AY15+AY20)/AY15,""),"")</f>
        <v>0.350742407699283</v>
      </c>
      <c r="AZ288" s="258">
        <f>IFERROR(IF(N(AZ15)&lt;&gt;0,(AZ15+AZ20)/AZ15,""),"")</f>
        <v>0.350742407699283</v>
      </c>
      <c r="BA288" s="258">
        <f>IFERROR(IF(N(BA15)&lt;&gt;0,(BA15+BA20)/BA15,""),"")</f>
        <v>0.350742407699283</v>
      </c>
      <c r="BB288" s="258">
        <f>IFERROR(IF(N(BB15)&lt;&gt;0,(BB15+BB20)/BB15,""),"")</f>
        <v>0.350742407699283</v>
      </c>
      <c r="BC288" s="258">
        <f>IFERROR(IF(N(BC15)&lt;&gt;0,(BC15+BC20)/BC15,""),"")</f>
        <v>0.350742407699283</v>
      </c>
      <c r="BD288" s="258">
        <f>IFERROR(IF(N(BD15)&lt;&gt;0,(BD15+BD20)/BD15,""),"")</f>
        <v>0.350742407699283</v>
      </c>
      <c r="BE288" s="258">
        <f>IFERROR(IF(N(BE15)&lt;&gt;0,(BE15+BE20)/BE15,""),"")</f>
        <v>0.350742407699283</v>
      </c>
      <c r="BF288" s="258">
        <f>IFERROR(IF(N(BF15)&lt;&gt;0,(BF15+BF20)/BF15,""),"")</f>
        <v>0.350742407699283</v>
      </c>
      <c r="BG288" s="80" t="n"/>
      <c r="BH288" s="80" t="n"/>
      <c r="BI288" s="80" t="n"/>
      <c r="BJ288" s="80" t="n"/>
      <c r="BL288" s="80" t="n"/>
      <c r="BM288" s="80" t="n"/>
      <c r="BN288" s="80" t="n"/>
      <c r="BO288" s="80" t="n"/>
      <c r="BQ288" s="80" t="n"/>
      <c r="BR288" s="80" t="n"/>
      <c r="BS288" s="80" t="n"/>
      <c r="BT288" s="80" t="n"/>
      <c r="BV288" s="80" t="n"/>
      <c r="BW288" s="80" t="n"/>
      <c r="BX288" s="80" t="n"/>
      <c r="BY288" s="80" t="n"/>
      <c r="CA288" s="80" t="n"/>
      <c r="CB288" s="80" t="n"/>
      <c r="CC288" s="80" t="n"/>
      <c r="CD288" s="80" t="n"/>
      <c r="CF288" s="80" t="n"/>
      <c r="CG288" s="80" t="n"/>
      <c r="CH288" s="80" t="n"/>
      <c r="CI288" s="80" t="n"/>
      <c r="CK288" s="80" t="n"/>
      <c r="CL288" s="80" t="n"/>
      <c r="CM288" s="80" t="n"/>
      <c r="CN288" s="80" t="n"/>
      <c r="CP288" s="80" t="n"/>
      <c r="CQ288" s="80" t="n"/>
      <c r="CR288" s="80" t="n"/>
      <c r="CS288" s="80" t="n"/>
      <c r="CU288" s="80" t="n"/>
      <c r="CV288" s="80" t="n"/>
      <c r="CW288" s="80" t="n"/>
      <c r="CX288" s="80" t="n"/>
    </row>
    <row r="289" customFormat="1" s="77">
      <c r="A289" s="76" t="n"/>
      <c r="B289" s="76" t="n"/>
      <c r="C289" s="77" t="inlineStr">
        <is>
          <t>EBIT MARGIN</t>
        </is>
      </c>
      <c r="D289" s="78" t="str">
        <f>IFERROR((D39/D15),"")</f>
        <v/>
      </c>
      <c r="E289" s="78" t="str">
        <f>IFERROR((E39/E15),"")</f>
        <v/>
      </c>
      <c r="F289" s="78" t="str">
        <f>IFERROR((F39/F15),"")</f>
        <v/>
      </c>
      <c r="G289" s="78" t="str">
        <f>IFERROR((G39/G15),"")</f>
        <v/>
      </c>
      <c r="H289" s="258" t="str">
        <f>IFERROR(IF(N(H15)&lt;&gt;0,H39/H15,""),"")</f>
        <v/>
      </c>
      <c r="I289" s="257">
        <f>IFERROR(IF(N(I15)&lt;&gt;0,I39/I15,""),"")</f>
        <v>0.222302572865201</v>
      </c>
      <c r="J289" s="257">
        <f>IFERROR(IF(N(J15)&lt;&gt;0,J39/J15,""),"")</f>
        <v>0.138243120970678</v>
      </c>
      <c r="K289" s="257">
        <f>IFERROR(IF(N(K15)&lt;&gt;0,K39/K15,""),"")</f>
        <v>0.179543215915377</v>
      </c>
      <c r="L289" s="257">
        <f>IFERROR(IF(N(L15)&lt;&gt;0,L39/L15,""),"")</f>
        <v>0.151720185368242</v>
      </c>
      <c r="M289" s="258">
        <f>IFERROR(IF(N(M15)&lt;&gt;0,M39/M15,""),"")</f>
        <v>0.172158576288313</v>
      </c>
      <c r="N289" s="257">
        <f>IFERROR(IF(N(N15)&lt;&gt;0,N39/N15,""),"")</f>
        <v>0.201043370270624</v>
      </c>
      <c r="O289" s="257">
        <f>IFERROR(IF(N(O15)&lt;&gt;0,O39/O15,""),"")</f>
        <v>0.16565144996759</v>
      </c>
      <c r="P289" s="257">
        <f>IFERROR(IF(N(P15)&lt;&gt;0,P39/P15,""),"")</f>
        <v>0.194213659289806</v>
      </c>
      <c r="Q289" s="257">
        <f>IFERROR(IF(N(Q15)&lt;&gt;0,Q39/Q15,""),"")</f>
        <v>0.0972364094907331</v>
      </c>
      <c r="R289" s="258">
        <f>IFERROR(IF(N(R15)&lt;&gt;0,R39/R15,""),"")</f>
        <v>0.164544374825722</v>
      </c>
      <c r="S289" s="257">
        <f>IFERROR(IF(N(S15)&lt;&gt;0,S39/S15,""),"")</f>
        <v>0.173441818362818</v>
      </c>
      <c r="T289" s="257">
        <f>IFERROR(IF(N(T15)&lt;&gt;0,T39/T15,""),"")</f>
        <v>0.119010015419926</v>
      </c>
      <c r="U289" s="257">
        <f>IFERROR(IF(N(U15)&lt;&gt;0,U39/U15,""),"")</f>
        <v>0.169944271575283</v>
      </c>
      <c r="V289" s="257">
        <f>IFERROR(IF(N(V15)&lt;&gt;0,V39/V15,""),"")</f>
        <v>0.109099542322058</v>
      </c>
      <c r="W289" s="258">
        <f>IFERROR(IF(N(W15)&lt;&gt;0,W39/W15,""),"")</f>
        <v>0.141523295664094</v>
      </c>
      <c r="X289" s="257">
        <f>IFERROR(IF(N(X15)&lt;&gt;0,X39/X15,""),"")</f>
        <v>0.172007529842977</v>
      </c>
      <c r="Y289" s="257">
        <f>IFERROR(IF(N(Y15)&lt;&gt;0,Y39/Y15,""),"")</f>
        <v>0.166941495357906</v>
      </c>
      <c r="Z289" s="257">
        <f>IFERROR(IF(N(Z15)&lt;&gt;0,Z39/Z15,""),"")</f>
        <v>0.173626854271995</v>
      </c>
      <c r="AA289" s="257">
        <f>IFERROR(IF(N(AA15)&lt;&gt;0,AA39/AA15,""),"")</f>
        <v>0.110567580735907</v>
      </c>
      <c r="AB289" s="258">
        <f>IFERROR(IF(N(AB15)&lt;&gt;0,AB39/AB15,""),"")</f>
        <v>0.156411234382684</v>
      </c>
      <c r="AC289" s="257">
        <f>IFERROR(IF(N(AC15)&lt;&gt;0,AC39/AC15,""),"")</f>
        <v>0.166487471427848</v>
      </c>
      <c r="AD289" s="257">
        <f>IFERROR(IF(N(AD15)&lt;&gt;0,AD39/AD15,""),"")</f>
        <v>0.15296712871561</v>
      </c>
      <c r="AE289" s="257">
        <f>IFERROR(IF(N(AE15)&lt;&gt;0,AE39/AE15,""),"")</f>
        <v>0.168869203041782</v>
      </c>
      <c r="AF289" s="257">
        <f>IFERROR(IF(N(AF15)&lt;&gt;0,AF39/AF15,""),"")</f>
        <v>0.106545082557633</v>
      </c>
      <c r="AG289" s="258">
        <f>IFERROR(IF(N(AG15)&lt;&gt;0,AG39/AG15,""),"")</f>
        <v>0.148918074076984</v>
      </c>
      <c r="AH289" s="257">
        <f>IFERROR(IF(N(AH15)&lt;&gt;0,AH39/AH15,""),"")</f>
        <v>0.167725919538263</v>
      </c>
      <c r="AI289" s="257">
        <f>IFERROR(IF(N(AI15)&lt;&gt;0,AI39/AI15,""),"")</f>
        <v>0.171422543004186</v>
      </c>
      <c r="AJ289" s="257">
        <f>IFERROR(IF(N(AJ15)&lt;&gt;0,AJ39/AJ15,""),"")</f>
        <v>0.155669558047554</v>
      </c>
      <c r="AK289" s="257">
        <f>IFERROR(IF(N(AK15)&lt;&gt;0,AK39/AK15,""),"")</f>
        <v>0.155669558047554</v>
      </c>
      <c r="AL289" s="258">
        <f>IFERROR(IF(N(AL15)&lt;&gt;0,AL39/AL15,""),"")</f>
        <v>0.162555518508031</v>
      </c>
      <c r="AM289" s="257">
        <f>IFERROR(IF(N(AM15)&lt;&gt;0,AM39/AM15,""),"")</f>
        <v>0.155669558047554</v>
      </c>
      <c r="AN289" s="257">
        <f>IFERROR(IF(N(AN15)&lt;&gt;0,AN39/AN15,""),"")</f>
        <v>0.155669558047554</v>
      </c>
      <c r="AO289" s="257">
        <f>IFERROR(IF(N(AO15)&lt;&gt;0,AO39/AO15,""),"")</f>
        <v>0.155669558047554</v>
      </c>
      <c r="AP289" s="257">
        <f>IFERROR(IF(N(AP15)&lt;&gt;0,AP39/AP15,""),"")</f>
        <v>0.155669558047554</v>
      </c>
      <c r="AQ289" s="258">
        <f>IFERROR(IF(N(AQ15)&lt;&gt;0,AQ39/AQ15,""),"")</f>
        <v>0.155669558047554</v>
      </c>
      <c r="AR289" s="257">
        <f>IFERROR(IF(N(AR15)&lt;&gt;0,AR39/AR15,""),"")</f>
        <v>0.155669558047554</v>
      </c>
      <c r="AS289" s="257">
        <f>IFERROR(IF(N(AS15)&lt;&gt;0,AS39/AS15,""),"")</f>
        <v>0.155669558047554</v>
      </c>
      <c r="AT289" s="257">
        <f>IFERROR(IF(N(AT15)&lt;&gt;0,AT39/AT15,""),"")</f>
        <v>0.155669558047554</v>
      </c>
      <c r="AU289" s="257">
        <f>IFERROR(IF(N(AU15)&lt;&gt;0,AU39/AU15,""),"")</f>
        <v>0.155669558047554</v>
      </c>
      <c r="AV289" s="258">
        <f>IFERROR(IF(N(AV15)&lt;&gt;0,AV39/AV15,""),"")</f>
        <v>0.155669558047554</v>
      </c>
      <c r="AW289" s="257">
        <f>IFERROR(IF(N(AW15)&lt;&gt;0,AW39/AW15,""),"")</f>
        <v>0.155669558047554</v>
      </c>
      <c r="AX289" s="257">
        <f>IFERROR(IF(N(AX15)&lt;&gt;0,AX39/AX15,""),"")</f>
        <v>0.155669558047554</v>
      </c>
      <c r="AY289" s="257">
        <f>IFERROR(IF(N(AY15)&lt;&gt;0,AY39/AY15,""),"")</f>
        <v>0.155669558047554</v>
      </c>
      <c r="AZ289" s="257">
        <f>IFERROR(IF(N(AZ15)&lt;&gt;0,AZ39/AZ15,""),"")</f>
        <v>0.155669558047554</v>
      </c>
      <c r="BA289" s="258">
        <f>IFERROR(IF(N(BA15)&lt;&gt;0,BA39/BA15,""),"")</f>
        <v>0.155669558047554</v>
      </c>
      <c r="BB289" s="257">
        <f>IFERROR(IF(N(BB15)&lt;&gt;0,BB39/BB15,""),"")</f>
        <v>0.155669558047554</v>
      </c>
      <c r="BC289" s="257">
        <f>IFERROR(IF(N(BC15)&lt;&gt;0,BC39/BC15,""),"")</f>
        <v>0.155669558047554</v>
      </c>
      <c r="BD289" s="257">
        <f>IFERROR(IF(N(BD15)&lt;&gt;0,BD39/BD15,""),"")</f>
        <v>0.155669558047554</v>
      </c>
      <c r="BE289" s="257">
        <f>IFERROR(IF(N(BE15)&lt;&gt;0,BE39/BE15,""),"")</f>
        <v>0.155669558047554</v>
      </c>
      <c r="BF289" s="258">
        <f>IFERROR(IF(N(BF15)&lt;&gt;0,BF39/BF15,""),"")</f>
        <v>0.155669558047554</v>
      </c>
      <c r="BG289" s="81" t="n"/>
      <c r="BH289" s="81" t="n"/>
      <c r="BI289" s="81" t="n"/>
      <c r="BJ289" s="81" t="n"/>
      <c r="BL289" s="81" t="n"/>
      <c r="BM289" s="81" t="n"/>
      <c r="BN289" s="81" t="n"/>
      <c r="BO289" s="81" t="n"/>
      <c r="BQ289" s="81" t="n"/>
      <c r="BR289" s="81" t="n"/>
      <c r="BS289" s="81" t="n"/>
      <c r="BT289" s="81" t="n"/>
      <c r="BV289" s="81" t="n"/>
      <c r="BW289" s="81" t="n"/>
      <c r="BX289" s="81" t="n"/>
      <c r="BY289" s="81" t="n"/>
      <c r="CA289" s="81" t="n"/>
      <c r="CB289" s="81" t="n"/>
      <c r="CC289" s="81" t="n"/>
      <c r="CD289" s="81" t="n"/>
      <c r="CF289" s="81" t="n"/>
      <c r="CG289" s="81" t="n"/>
      <c r="CH289" s="81" t="n"/>
      <c r="CI289" s="81" t="n"/>
      <c r="CK289" s="81" t="n"/>
      <c r="CL289" s="81" t="n"/>
      <c r="CM289" s="81" t="n"/>
      <c r="CN289" s="81" t="n"/>
      <c r="CP289" s="81" t="n"/>
      <c r="CQ289" s="81" t="n"/>
      <c r="CR289" s="81" t="n"/>
      <c r="CS289" s="81" t="n"/>
      <c r="CU289" s="81" t="n"/>
      <c r="CV289" s="81" t="n"/>
      <c r="CW289" s="81" t="n"/>
      <c r="CX289" s="81" t="n"/>
    </row>
    <row r="290" customFormat="1" s="77">
      <c r="A290" s="76" t="n"/>
      <c r="B290" s="76" t="n"/>
      <c r="C290" s="77" t="inlineStr">
        <is>
          <t>EBITDA MARGIN</t>
        </is>
      </c>
      <c r="D290" s="78" t="str">
        <f>IFERROR(D35/D15,"")</f>
        <v/>
      </c>
      <c r="E290" s="78" t="str">
        <f>IFERROR(E35/E15,"")</f>
        <v/>
      </c>
      <c r="F290" s="78" t="str">
        <f>IFERROR(F35/F15,"")</f>
        <v/>
      </c>
      <c r="G290" s="78" t="str">
        <f>IFERROR(G35/G15,"")</f>
        <v/>
      </c>
      <c r="H290" s="258" t="str">
        <f>IFERROR(IF(N(H15)&lt;&gt;0,H35/H15,""),"")</f>
        <v/>
      </c>
      <c r="I290" s="257">
        <f>IFERROR(IF(N(I15)&lt;&gt;0,I35/I15,""),"")</f>
        <v>0.319455921951514</v>
      </c>
      <c r="J290" s="257">
        <f>IFERROR(IF(N(J15)&lt;&gt;0,J35/J15,""),"")</f>
        <v>0.235751672787482</v>
      </c>
      <c r="K290" s="257">
        <f>IFERROR(IF(N(K15)&lt;&gt;0,K35/K15,""),"")</f>
        <v>0.280467268512208</v>
      </c>
      <c r="L290" s="257">
        <f>IFERROR(IF(N(L15)&lt;&gt;0,L35/L15,""),"")</f>
        <v>0.257546146003587</v>
      </c>
      <c r="M290" s="258">
        <f>IFERROR(IF(N(M15)&lt;&gt;0,M35/M15,""),"")</f>
        <v>0.272678802509715</v>
      </c>
      <c r="N290" s="257">
        <f>IFERROR(IF(N(N15)&lt;&gt;0,N35/N15,""),"")</f>
        <v>0.299638100563726</v>
      </c>
      <c r="O290" s="257">
        <f>IFERROR(IF(N(O15)&lt;&gt;0,O35/O15,""),"")</f>
        <v>0.268051250953763</v>
      </c>
      <c r="P290" s="257">
        <f>IFERROR(IF(N(P15)&lt;&gt;0,P35/P15,""),"")</f>
        <v>0.289930707651191</v>
      </c>
      <c r="Q290" s="257">
        <f>IFERROR(IF(N(Q15)&lt;&gt;0,Q35/Q15,""),"")</f>
        <v>0.208727740510899</v>
      </c>
      <c r="R290" s="258">
        <f>IFERROR(IF(N(R15)&lt;&gt;0,R35/R15,""),"")</f>
        <v>0.266568844679996</v>
      </c>
      <c r="S290" s="257">
        <f>IFERROR(IF(N(S15)&lt;&gt;0,S35/S15,""),"")</f>
        <v>0.279570226668161</v>
      </c>
      <c r="T290" s="257">
        <f>IFERROR(IF(N(T15)&lt;&gt;0,T35/T15,""),"")</f>
        <v>0.219083469465352</v>
      </c>
      <c r="U290" s="257">
        <f>IFERROR(IF(N(U15)&lt;&gt;0,U35/U15,""),"")</f>
        <v>0.270562705891035</v>
      </c>
      <c r="V290" s="257">
        <f>IFERROR(IF(N(V15)&lt;&gt;0,V35/V15,""),"")</f>
        <v>0.220502068654802</v>
      </c>
      <c r="W290" s="258">
        <f>IFERROR(IF(N(W15)&lt;&gt;0,W35/W15,""),"")</f>
        <v>0.245895686949628</v>
      </c>
      <c r="X290" s="257">
        <f>IFERROR(IF(N(X15)&lt;&gt;0,X35/X15,""),"")</f>
        <v>0.271539757750396</v>
      </c>
      <c r="Y290" s="257">
        <f>IFERROR(IF(N(Y15)&lt;&gt;0,Y35/Y15,""),"")</f>
        <v>0.2639002488118</v>
      </c>
      <c r="Z290" s="257">
        <f>IFERROR(IF(N(Z15)&lt;&gt;0,Z35/Z15,""),"")</f>
        <v>0.273801031460857</v>
      </c>
      <c r="AA290" s="257">
        <f>IFERROR(IF(N(AA15)&lt;&gt;0,AA35/AA15,""),"")</f>
        <v>0.22039845717836</v>
      </c>
      <c r="AB290" s="258">
        <f>IFERROR(IF(N(AB15)&lt;&gt;0,AB35/AB15,""),"")</f>
        <v>0.257909947598195</v>
      </c>
      <c r="AC290" s="257">
        <f>IFERROR(IF(N(AC15)&lt;&gt;0,AC35/AC15,""),"")</f>
        <v>0.27176453668699</v>
      </c>
      <c r="AD290" s="257">
        <f>IFERROR(IF(N(AD15)&lt;&gt;0,AD35/AD15,""),"")</f>
        <v>0.262821104916541</v>
      </c>
      <c r="AE290" s="257">
        <f>IFERROR(IF(N(AE15)&lt;&gt;0,AE35/AE15,""),"")</f>
        <v>0.273559835583233</v>
      </c>
      <c r="AF290" s="257">
        <f>IFERROR(IF(N(AF15)&lt;&gt;0,AF35/AF15,""),"")</f>
        <v>0.221265256632849</v>
      </c>
      <c r="AG290" s="258">
        <f>IFERROR(IF(N(AG15)&lt;&gt;0,AG35/AG15,""),"")</f>
        <v>0.257504640074204</v>
      </c>
      <c r="AH290" s="257">
        <f>IFERROR(IF(N(AH15)&lt;&gt;0,AH35/AH15,""),"")</f>
        <v>0.272588421121026</v>
      </c>
      <c r="AI290" s="257">
        <f>IFERROR(IF(N(AI15)&lt;&gt;0,AI35/AI15,""),"")</f>
        <v>0.264576734992337</v>
      </c>
      <c r="AJ290" s="257">
        <f>IFERROR(IF(N(AJ15)&lt;&gt;0,AJ35/AJ15,""),"")</f>
        <v>0.261095981655496</v>
      </c>
      <c r="AK290" s="257">
        <f>IFERROR(IF(N(AK15)&lt;&gt;0,AK35/AK15,""),"")</f>
        <v>0.261095981655496</v>
      </c>
      <c r="AL290" s="258">
        <f>IFERROR(IF(N(AL15)&lt;&gt;0,AL35/AL15,""),"")</f>
        <v>0.264752653065154</v>
      </c>
      <c r="AM290" s="257">
        <f>IFERROR(IF(N(AM15)&lt;&gt;0,AM35/AM15,""),"")</f>
        <v>0.261095981655496</v>
      </c>
      <c r="AN290" s="257">
        <f>IFERROR(IF(N(AN15)&lt;&gt;0,AN35/AN15,""),"")</f>
        <v>0.261095981655496</v>
      </c>
      <c r="AO290" s="257">
        <f>IFERROR(IF(N(AO15)&lt;&gt;0,AO35/AO15,""),"")</f>
        <v>0.261095981655496</v>
      </c>
      <c r="AP290" s="257">
        <f>IFERROR(IF(N(AP15)&lt;&gt;0,AP35/AP15,""),"")</f>
        <v>0.261095981655496</v>
      </c>
      <c r="AQ290" s="258">
        <f>IFERROR(IF(N(AQ15)&lt;&gt;0,AQ35/AQ15,""),"")</f>
        <v>0.261095981655496</v>
      </c>
      <c r="AR290" s="257">
        <f>IFERROR(IF(N(AR15)&lt;&gt;0,AR35/AR15,""),"")</f>
        <v>0.261095981655496</v>
      </c>
      <c r="AS290" s="257">
        <f>IFERROR(IF(N(AS15)&lt;&gt;0,AS35/AS15,""),"")</f>
        <v>0.261095981655496</v>
      </c>
      <c r="AT290" s="257">
        <f>IFERROR(IF(N(AT15)&lt;&gt;0,AT35/AT15,""),"")</f>
        <v>0.261095981655496</v>
      </c>
      <c r="AU290" s="257">
        <f>IFERROR(IF(N(AU15)&lt;&gt;0,AU35/AU15,""),"")</f>
        <v>0.261095981655496</v>
      </c>
      <c r="AV290" s="258">
        <f>IFERROR(IF(N(AV15)&lt;&gt;0,AV35/AV15,""),"")</f>
        <v>0.261095981655496</v>
      </c>
      <c r="AW290" s="257">
        <f>IFERROR(IF(N(AW15)&lt;&gt;0,AW35/AW15,""),"")</f>
        <v>0.261095981655496</v>
      </c>
      <c r="AX290" s="257">
        <f>IFERROR(IF(N(AX15)&lt;&gt;0,AX35/AX15,""),"")</f>
        <v>0.261095981655496</v>
      </c>
      <c r="AY290" s="257">
        <f>IFERROR(IF(N(AY15)&lt;&gt;0,AY35/AY15,""),"")</f>
        <v>0.261095981655496</v>
      </c>
      <c r="AZ290" s="257">
        <f>IFERROR(IF(N(AZ15)&lt;&gt;0,AZ35/AZ15,""),"")</f>
        <v>0.261095981655496</v>
      </c>
      <c r="BA290" s="258">
        <f>IFERROR(IF(N(BA15)&lt;&gt;0,BA35/BA15,""),"")</f>
        <v>0.261095981655496</v>
      </c>
      <c r="BB290" s="257">
        <f>IFERROR(IF(N(BB15)&lt;&gt;0,BB35/BB15,""),"")</f>
        <v>0.261095981655496</v>
      </c>
      <c r="BC290" s="257">
        <f>IFERROR(IF(N(BC15)&lt;&gt;0,BC35/BC15,""),"")</f>
        <v>0.261095981655496</v>
      </c>
      <c r="BD290" s="257">
        <f>IFERROR(IF(N(BD15)&lt;&gt;0,BD35/BD15,""),"")</f>
        <v>0.261095981655496</v>
      </c>
      <c r="BE290" s="257">
        <f>IFERROR(IF(N(BE15)&lt;&gt;0,BE35/BE15,""),"")</f>
        <v>0.261095981655496</v>
      </c>
      <c r="BF290" s="258">
        <f>IFERROR(IF(N(BF15)&lt;&gt;0,BF35/BF15,""),"")</f>
        <v>0.261095981655496</v>
      </c>
      <c r="BG290" s="81" t="n"/>
      <c r="BH290" s="81" t="n"/>
      <c r="BI290" s="81" t="n"/>
      <c r="BJ290" s="81" t="n"/>
      <c r="BL290" s="81" t="n"/>
      <c r="BM290" s="81" t="n"/>
      <c r="BN290" s="81" t="n"/>
      <c r="BO290" s="81" t="n"/>
      <c r="BQ290" s="81" t="n"/>
      <c r="BR290" s="81" t="n"/>
      <c r="BS290" s="81" t="n"/>
      <c r="BT290" s="81" t="n"/>
      <c r="BV290" s="81" t="n"/>
      <c r="BW290" s="81" t="n"/>
      <c r="BX290" s="81" t="n"/>
      <c r="BY290" s="81" t="n"/>
      <c r="CA290" s="81" t="n"/>
      <c r="CB290" s="81" t="n"/>
      <c r="CC290" s="81" t="n"/>
      <c r="CD290" s="81" t="n"/>
      <c r="CF290" s="81" t="n"/>
      <c r="CG290" s="81" t="n"/>
      <c r="CH290" s="81" t="n"/>
      <c r="CI290" s="81" t="n"/>
      <c r="CK290" s="81" t="n"/>
      <c r="CL290" s="81" t="n"/>
      <c r="CM290" s="81" t="n"/>
      <c r="CN290" s="81" t="n"/>
      <c r="CP290" s="81" t="n"/>
      <c r="CQ290" s="81" t="n"/>
      <c r="CR290" s="81" t="n"/>
      <c r="CS290" s="81" t="n"/>
      <c r="CU290" s="81" t="n"/>
      <c r="CV290" s="81" t="n"/>
      <c r="CW290" s="81" t="n"/>
      <c r="CX290" s="81" t="n"/>
    </row>
    <row r="291" customFormat="1" s="77">
      <c r="A291" s="76" t="n"/>
      <c r="B291" s="76" t="n"/>
      <c r="C291" s="77" t="inlineStr">
        <is>
          <t>ETR</t>
        </is>
      </c>
      <c r="D291" s="78" t="str">
        <f>IFERROR(-D97/D96,"")</f>
        <v/>
      </c>
      <c r="E291" s="78" t="str">
        <f>IFERROR(-E97/E96,"")</f>
        <v/>
      </c>
      <c r="F291" s="78" t="str">
        <f>IFERROR(-F97/F96,"")</f>
        <v/>
      </c>
      <c r="G291" s="78" t="str">
        <f>IFERROR(-G97/G96,"")</f>
        <v/>
      </c>
      <c r="H291" s="258" t="str">
        <f>IFERROR(IF(N(H96)&lt;&gt;0,-H97/H96,""),"")</f>
        <v/>
      </c>
      <c r="I291" s="257">
        <f>IFERROR(IF(N(I96)&lt;&gt;0,-I97/I96,""),"")</f>
        <v>0.292654096945176</v>
      </c>
      <c r="J291" s="257">
        <f>IFERROR(IF(N(J96)&lt;&gt;0,-J97/J96,""),"")</f>
        <v>0.292992933107748</v>
      </c>
      <c r="K291" s="257">
        <f>IFERROR(IF(N(K96)&lt;&gt;0,-K97/K96,""),"")</f>
        <v>0.293950394780391</v>
      </c>
      <c r="L291" s="257">
        <f>IFERROR(IF(N(L96)&lt;&gt;0,-L97/L96,""),"")</f>
        <v>0.286419590176505</v>
      </c>
      <c r="M291" s="258">
        <f>IFERROR(IF(N(M96)&lt;&gt;0,-M97/M96,""),"")</f>
        <v>0.291826709031447</v>
      </c>
      <c r="N291" s="257">
        <f>IFERROR(IF(N(N96)&lt;&gt;0,-N97/N96,""),"")</f>
        <v>0.278000357512139</v>
      </c>
      <c r="O291" s="257">
        <f>IFERROR(IF(N(O96)&lt;&gt;0,-O97/O96,""),"")</f>
        <v>0.279177811237498</v>
      </c>
      <c r="P291" s="257">
        <f>IFERROR(IF(N(P96)&lt;&gt;0,-P97/P96,""),"")</f>
        <v>0.21781011423722</v>
      </c>
      <c r="Q291" s="257">
        <f>IFERROR(IF(N(Q96)&lt;&gt;0,-Q97/Q96,""),"")</f>
        <v>-0.0057428038462717</v>
      </c>
      <c r="R291" s="258">
        <f>IFERROR(IF(N(R96)&lt;&gt;0,-R97/R96,""),"")</f>
        <v>0.238795441881931</v>
      </c>
      <c r="S291" s="257">
        <f>IFERROR(IF(N(S96)&lt;&gt;0,-S97/S96,""),"")</f>
        <v>0.24927832217476</v>
      </c>
      <c r="T291" s="257">
        <f>IFERROR(IF(N(T96)&lt;&gt;0,-T97/T96,""),"")</f>
        <v>0.247016793059352</v>
      </c>
      <c r="U291" s="257">
        <f>IFERROR(IF(N(U96)&lt;&gt;0,-U97/U96,""),"")</f>
        <v>0.201291373868485</v>
      </c>
      <c r="V291" s="257">
        <f>IFERROR(IF(N(V96)&lt;&gt;0,-V97/V96,""),"")</f>
        <v>0.127415456126249</v>
      </c>
      <c r="W291" s="258">
        <f>IFERROR(IF(N(W96)&lt;&gt;0,-W97/W96,""),"")</f>
        <v>0.208041124967169</v>
      </c>
      <c r="X291" s="257">
        <f>IFERROR(IF(N(X96)&lt;&gt;0,-X97/X96,""),"")</f>
        <v>0.223842476406582</v>
      </c>
      <c r="Y291" s="257">
        <f>IFERROR(IF(N(Y96)&lt;&gt;0,-Y97/Y96,""),"")</f>
        <v>0.244410564666207</v>
      </c>
      <c r="Z291" s="257">
        <f>IFERROR(IF(N(Z96)&lt;&gt;0,-Z97/Z96,""),"")</f>
        <v>0.234371034005852</v>
      </c>
      <c r="AA291" s="257">
        <f>IFERROR(IF(N(AA96)&lt;&gt;0,-AA97/AA96,""),"")</f>
        <v>0.208698598699896</v>
      </c>
      <c r="AB291" s="258">
        <f>IFERROR(IF(N(AB96)&lt;&gt;0,-AB97/AB96,""),"")</f>
        <v>0.2311454510041</v>
      </c>
      <c r="AC291" s="257">
        <f>IFERROR(IF(N(AC96)&lt;&gt;0,-AC97/AC96,""),"")</f>
        <v>0.23270021074886</v>
      </c>
      <c r="AD291" s="257">
        <f>IFERROR(IF(N(AD96)&lt;&gt;0,-AD97/AD96,""),"")</f>
        <v>0.231596515933866</v>
      </c>
      <c r="AE291" s="257">
        <f>IFERROR(IF(N(AE96)&lt;&gt;0,-AE97/AE96,""),"")</f>
        <v>0.224827673067235</v>
      </c>
      <c r="AF291" s="257">
        <f>IFERROR(IF(N(AF96)&lt;&gt;0,-AF97/AF96,""),"")</f>
        <v>0.0408557363477819</v>
      </c>
      <c r="AG291" s="258">
        <f>IFERROR(IF(N(AG96)&lt;&gt;0,-AG97/AG96,""),"")</f>
        <v>0.204151345045351</v>
      </c>
      <c r="AH291" s="257">
        <f>IFERROR(IF(N(AH96)&lt;&gt;0,-AH97/AH96,""),"")</f>
        <v>0.213720459183438</v>
      </c>
      <c r="AI291" s="257">
        <f>IFERROR(IF(N(AI96)&lt;&gt;0,-AI97/AI96,""),"")</f>
        <v>0.213908561918659</v>
      </c>
      <c r="AJ291" s="257">
        <f>IFERROR(IF(N(AJ96)&lt;&gt;0,-AJ97/AJ96,""),"")</f>
        <v>0.192934859533307</v>
      </c>
      <c r="AK291" s="257">
        <f>IFERROR(IF(N(AK96)&lt;&gt;0,-AK97/AK96,""),"")</f>
        <v>0.192934859533307</v>
      </c>
      <c r="AL291" s="258">
        <f>IFERROR(IF(N(AL96)&lt;&gt;0,-AL97/AL96,""),"")</f>
        <v>0.200777905734626</v>
      </c>
      <c r="AM291" s="257">
        <f>IFERROR(IF(N(AM96)&lt;&gt;0,-AM97/AM96,""),"")</f>
        <v>0.192934859533307</v>
      </c>
      <c r="AN291" s="257">
        <f>IFERROR(IF(N(AN96)&lt;&gt;0,-AN97/AN96,""),"")</f>
        <v>0.192934859533307</v>
      </c>
      <c r="AO291" s="257">
        <f>IFERROR(IF(N(AO96)&lt;&gt;0,-AO97/AO96,""),"")</f>
        <v>0.192934859533307</v>
      </c>
      <c r="AP291" s="257">
        <f>IFERROR(IF(N(AP96)&lt;&gt;0,-AP97/AP96,""),"")</f>
        <v>0.192934859533307</v>
      </c>
      <c r="AQ291" s="258">
        <f>IFERROR(IF(N(AQ96)&lt;&gt;0,-AQ97/AQ96,""),"")</f>
        <v>0.192934859533307</v>
      </c>
      <c r="AR291" s="257">
        <f>IFERROR(IF(N(AR96)&lt;&gt;0,-AR97/AR96,""),"")</f>
        <v>0.192934859533307</v>
      </c>
      <c r="AS291" s="257">
        <f>IFERROR(IF(N(AS96)&lt;&gt;0,-AS97/AS96,""),"")</f>
        <v>0.192934859533307</v>
      </c>
      <c r="AT291" s="257">
        <f>IFERROR(IF(N(AT96)&lt;&gt;0,-AT97/AT96,""),"")</f>
        <v>0.192934859533307</v>
      </c>
      <c r="AU291" s="257">
        <f>IFERROR(IF(N(AU96)&lt;&gt;0,-AU97/AU96,""),"")</f>
        <v>0.192934859533307</v>
      </c>
      <c r="AV291" s="258">
        <f>IFERROR(IF(N(AV96)&lt;&gt;0,-AV97/AV96,""),"")</f>
        <v>0.192934859533307</v>
      </c>
      <c r="AW291" s="257">
        <f>IFERROR(IF(N(AW96)&lt;&gt;0,-AW97/AW96,""),"")</f>
        <v>0.192934859533307</v>
      </c>
      <c r="AX291" s="257">
        <f>IFERROR(IF(N(AX96)&lt;&gt;0,-AX97/AX96,""),"")</f>
        <v>0.192934859533307</v>
      </c>
      <c r="AY291" s="257">
        <f>IFERROR(IF(N(AY96)&lt;&gt;0,-AY97/AY96,""),"")</f>
        <v>0.192934859533307</v>
      </c>
      <c r="AZ291" s="257">
        <f>IFERROR(IF(N(AZ96)&lt;&gt;0,-AZ97/AZ96,""),"")</f>
        <v>0.192934859533307</v>
      </c>
      <c r="BA291" s="258">
        <f>IFERROR(IF(N(BA96)&lt;&gt;0,-BA97/BA96,""),"")</f>
        <v>0.192934859533307</v>
      </c>
      <c r="BB291" s="257">
        <f>IFERROR(IF(N(BB96)&lt;&gt;0,-BB97/BB96,""),"")</f>
        <v>0.192934859533307</v>
      </c>
      <c r="BC291" s="257">
        <f>IFERROR(IF(N(BC96)&lt;&gt;0,-BC97/BC96,""),"")</f>
        <v>0.192934859533307</v>
      </c>
      <c r="BD291" s="257">
        <f>IFERROR(IF(N(BD96)&lt;&gt;0,-BD97/BD96,""),"")</f>
        <v>0.192934859533307</v>
      </c>
      <c r="BE291" s="257">
        <f>IFERROR(IF(N(BE96)&lt;&gt;0,-BE97/BE96,""),"")</f>
        <v>0.192934859533307</v>
      </c>
      <c r="BF291" s="258">
        <f>IFERROR(IF(N(BF96)&lt;&gt;0,-BF97/BF96,""),"")</f>
        <v>0.192934859533307</v>
      </c>
      <c r="BG291" s="81" t="n"/>
      <c r="BH291" s="81" t="n"/>
      <c r="BI291" s="81" t="n"/>
      <c r="BJ291" s="81" t="n"/>
      <c r="BL291" s="81" t="n"/>
      <c r="BM291" s="81" t="n"/>
      <c r="BN291" s="81" t="n"/>
      <c r="BO291" s="81" t="n"/>
      <c r="BQ291" s="81" t="n"/>
      <c r="BR291" s="81" t="n"/>
      <c r="BS291" s="81" t="n"/>
      <c r="BT291" s="81" t="n"/>
      <c r="BV291" s="81" t="n"/>
      <c r="BW291" s="81" t="n"/>
      <c r="BX291" s="81" t="n"/>
      <c r="BY291" s="81" t="n"/>
      <c r="CA291" s="81" t="n"/>
      <c r="CB291" s="81" t="n"/>
      <c r="CC291" s="81" t="n"/>
      <c r="CD291" s="81" t="n"/>
      <c r="CF291" s="81" t="n"/>
      <c r="CG291" s="81" t="n"/>
      <c r="CH291" s="81" t="n"/>
      <c r="CI291" s="81" t="n"/>
      <c r="CK291" s="81" t="n"/>
      <c r="CL291" s="81" t="n"/>
      <c r="CM291" s="81" t="n"/>
      <c r="CN291" s="81" t="n"/>
      <c r="CP291" s="81" t="n"/>
      <c r="CQ291" s="81" t="n"/>
      <c r="CR291" s="81" t="n"/>
      <c r="CS291" s="81" t="n"/>
      <c r="CU291" s="81" t="n"/>
      <c r="CV291" s="81" t="n"/>
      <c r="CW291" s="81" t="n"/>
      <c r="CX291" s="81" t="n"/>
    </row>
    <row r="292" customFormat="1" s="77">
      <c r="A292" s="76" t="n"/>
      <c r="B292" s="76" t="n"/>
    </row>
    <row r="293" customFormat="1" s="77">
      <c r="A293" s="76" t="n"/>
      <c r="B293" s="76" t="n"/>
      <c r="C293" s="74" t="inlineStr">
        <is>
          <t>CAPITAL STRUCTURE</t>
        </is>
      </c>
    </row>
    <row r="294" customFormat="1" s="77">
      <c r="A294" s="76" t="n"/>
      <c r="B294" s="76" t="n"/>
      <c r="C294" s="77" t="inlineStr">
        <is>
          <t>TOTAL DEBT / EQUITY (BOOK VALUE)</t>
        </is>
      </c>
      <c r="H294" s="264" t="str">
        <f>IFERROR(IF(N(H237)&lt;&gt;0,(N(H178)+N(H179)+N(H180)+N(H183)+N(H201)+N(H204))/H237,""),"")</f>
        <v/>
      </c>
      <c r="I294" s="264">
        <f>IFERROR(IF(N(I237)&lt;&gt;0,(N(I178)+N(I179)+N(I180)+N(I183)+N(I201)+N(I204))/I237,""),"")</f>
        <v>1.62991069559949</v>
      </c>
      <c r="J294" s="264">
        <f>IFERROR(IF(N(J237)&lt;&gt;0,(N(J178)+N(J179)+N(J180)+N(J183)+N(J201)+N(J204))/J237,""),"")</f>
        <v>1.4702075125435</v>
      </c>
      <c r="K294" s="264">
        <f>IFERROR(IF(N(K237)&lt;&gt;0,(N(K178)+N(K179)+N(K180)+N(K183)+N(K201)+N(K204))/K237,""),"")</f>
        <v>1.78110057773056</v>
      </c>
      <c r="L294" s="264">
        <f>IFERROR(IF(N(L237)&lt;&gt;0,(N(L178)+N(L179)+N(L180)+N(L183)+N(L201)+N(L204))/L237,""),"")</f>
        <v>1.67001956507955</v>
      </c>
      <c r="M294" s="264">
        <f>IFERROR(IF(N(M237)&lt;&gt;0,(N(M178)+N(M179)+N(M180)+N(M183)+N(M201)+N(M204))/M237,""),"")</f>
        <v>1.67001956507955</v>
      </c>
      <c r="N294" s="264">
        <f>IFERROR(IF(N(N237)&lt;&gt;0,(N(N178)+N(N179)+N(N180)+N(N183)+N(N201)+N(N204))/N237,""),"")</f>
        <v>1.70031928147938</v>
      </c>
      <c r="O294" s="264">
        <f>IFERROR(IF(N(O237)&lt;&gt;0,(N(O178)+N(O179)+N(O180)+N(O183)+N(O201)+N(O204))/O237,""),"")</f>
        <v>2.07817121535918</v>
      </c>
      <c r="P294" s="264">
        <f>IFERROR(IF(N(P237)&lt;&gt;0,(N(P178)+N(P179)+N(P180)+N(P183)+N(P201)+N(P204))/P237,""),"")</f>
        <v>1.98006261960746</v>
      </c>
      <c r="Q294" s="264">
        <f>IFERROR(IF(N(Q237)&lt;&gt;0,(N(Q178)+N(Q179)+N(Q180)+N(Q183)+N(Q201)+N(Q204))/Q237,""),"")</f>
        <v>1.47894217578978</v>
      </c>
      <c r="R294" s="264">
        <f>IFERROR(IF(N(R237)&lt;&gt;0,(N(R178)+N(R179)+N(R180)+N(R183)+N(R201)+N(R204))/R237,""),"")</f>
        <v>1.47894217578978</v>
      </c>
      <c r="S294" s="264">
        <f>IFERROR(IF(N(S237)&lt;&gt;0,(N(S178)+N(S179)+N(S180)+N(S183)+N(S201)+N(S204))/S237,""),"")</f>
        <v>1.41749301090762</v>
      </c>
      <c r="T294" s="264">
        <f>IFERROR(IF(N(T237)&lt;&gt;0,(N(T178)+N(T179)+N(T180)+N(T183)+N(T201)+N(T204))/T237,""),"")</f>
        <v>0.914904991285257</v>
      </c>
      <c r="U294" s="264">
        <f>IFERROR(IF(N(U237)&lt;&gt;0,(N(U178)+N(U179)+N(U180)+N(U183)+N(U201)+N(U204))/U237,""),"")</f>
        <v>0.869968768929563</v>
      </c>
      <c r="V294" s="264">
        <f>IFERROR(IF(N(V237)&lt;&gt;0,(N(V178)+N(V179)+N(V180)+N(V183)+N(V201)+N(V204))/V237,""),"")</f>
        <v>0.907583343605155</v>
      </c>
      <c r="W294" s="264">
        <f>IFERROR(IF(N(W237)&lt;&gt;0,(N(W178)+N(W179)+N(W180)+N(W183)+N(W201)+N(W204))/W237,""),"")</f>
        <v>0.907583343605155</v>
      </c>
      <c r="X294" s="264">
        <f>IFERROR(IF(N(X237)&lt;&gt;0,(N(X178)+N(X179)+N(X180)+N(X183)+N(X201)+N(X204))/X237,""),"")</f>
        <v>0.886707845294424</v>
      </c>
      <c r="Y294" s="264">
        <f>IFERROR(IF(N(Y237)&lt;&gt;0,(N(Y178)+N(Y179)+N(Y180)+N(Y183)+N(Y201)+N(Y204))/Y237,""),"")</f>
        <v>1.00967193636314</v>
      </c>
      <c r="Z294" s="264">
        <f>IFERROR(IF(N(Z237)&lt;&gt;0,(N(Z178)+N(Z179)+N(Z180)+N(Z183)+N(Z201)+N(Z204))/Z237,""),"")</f>
        <v>1.01575834284446</v>
      </c>
      <c r="AA294" s="264">
        <f>IFERROR(IF(N(AA237)&lt;&gt;0,(N(AA178)+N(AA179)+N(AA180)+N(AA183)+N(AA201)+N(AA204))/AA237,""),"")</f>
        <v>1.06718611245637</v>
      </c>
      <c r="AB294" s="264">
        <f>IFERROR(IF(N(AB237)&lt;&gt;0,(N(AB178)+N(AB179)+N(AB180)+N(AB183)+N(AB201)+N(AB204))/AB237,""),"")</f>
        <v>1.06718611245637</v>
      </c>
      <c r="AC294" s="264">
        <f>IFERROR(IF(N(AC237)&lt;&gt;0,(N(AC178)+N(AC179)+N(AC180)+N(AC183)+N(AC201)+N(AC204))/AC237,""),"")</f>
        <v>1.1000280682218</v>
      </c>
      <c r="AD294" s="264">
        <f>IFERROR(IF(N(AD237)&lt;&gt;0,(N(AD178)+N(AD179)+N(AD180)+N(AD183)+N(AD201)+N(AD204))/AD237,""),"")</f>
        <v>1.05140845842808</v>
      </c>
      <c r="AE294" s="264">
        <f>IFERROR(IF(N(AE237)&lt;&gt;0,(N(AE178)+N(AE179)+N(AE180)+N(AE183)+N(AE201)+N(AE204))/AE237,""),"")</f>
        <v>1.07778962520464</v>
      </c>
      <c r="AF294" s="264">
        <f>IFERROR(IF(N(AF237)&lt;&gt;0,(N(AF178)+N(AF179)+N(AF180)+N(AF183)+N(AF201)+N(AF204))/AF237,""),"")</f>
        <v>1.11823259687285</v>
      </c>
      <c r="AG294" s="264">
        <f>IFERROR(IF(N(AG237)&lt;&gt;0,(N(AG178)+N(AG179)+N(AG180)+N(AG183)+N(AG201)+N(AG204))/AG237,""),"")</f>
        <v>1.11823259687285</v>
      </c>
      <c r="AH294" s="264">
        <f>IFERROR(IF(N(AH237)&lt;&gt;0,(N(AH178)+N(AH179)+N(AH180)+N(AH183)+N(AH201)+N(AH204))/AH237,""),"")</f>
        <v>1.09184816529528</v>
      </c>
      <c r="AI294" s="264">
        <f>IFERROR(IF(N(AI237)&lt;&gt;0,(N(AI178)+N(AI179)+N(AI180)+N(AI183)+N(AI201)+N(AI204))/AI237,""),"")</f>
        <v>1.0548850276857</v>
      </c>
      <c r="AJ294" s="264">
        <f>IFERROR(IF(N(AJ237)&lt;&gt;0,(N(AJ178)+N(AJ179)+N(AJ180)+N(AJ183)+N(AJ201)+N(AJ204))/AJ237,""),"")</f>
        <v>0.987598069760512</v>
      </c>
      <c r="AK294" s="264">
        <f>IFERROR(IF(N(AK237)&lt;&gt;0,(N(AK178)+N(AK179)+N(AK180)+N(AK183)+N(AK201)+N(AK204))/AK237,""),"")</f>
        <v>0.931704916118184</v>
      </c>
      <c r="AL294" s="264">
        <f>IFERROR(IF(N(AL237)&lt;&gt;0,(N(AL178)+N(AL179)+N(AL180)+N(AL183)+N(AL201)+N(AL204))/AL237,""),"")</f>
        <v>0.931704916118184</v>
      </c>
      <c r="AM294" s="264">
        <f>IFERROR(IF(N(AM237)&lt;&gt;0,(N(AM178)+N(AM179)+N(AM180)+N(AM183)+N(AM201)+N(AM204))/AM237,""),"")</f>
        <v>0.878089819771168</v>
      </c>
      <c r="AN294" s="264">
        <f>IFERROR(IF(N(AN237)&lt;&gt;0,(N(AN178)+N(AN179)+N(AN180)+N(AN183)+N(AN201)+N(AN204))/AN237,""),"")</f>
        <v>0.828412950758994</v>
      </c>
      <c r="AO294" s="264">
        <f>IFERROR(IF(N(AO237)&lt;&gt;0,(N(AO178)+N(AO179)+N(AO180)+N(AO183)+N(AO201)+N(AO204))/AO237,""),"")</f>
        <v>0.782592909300716</v>
      </c>
      <c r="AP294" s="264">
        <f>IFERROR(IF(N(AP237)&lt;&gt;0,(N(AP178)+N(AP179)+N(AP180)+N(AP183)+N(AP201)+N(AP204))/AP237,""),"")</f>
        <v>0.743896084395365</v>
      </c>
      <c r="AQ294" s="264">
        <f>IFERROR(IF(N(AQ237)&lt;&gt;0,(N(AQ178)+N(AQ179)+N(AQ180)+N(AQ183)+N(AQ201)+N(AQ204))/AQ237,""),"")</f>
        <v>0.743896084395365</v>
      </c>
      <c r="AR294" s="264">
        <f>IFERROR(IF(N(AR237)&lt;&gt;0,(N(AR178)+N(AR179)+N(AR180)+N(AR183)+N(AR201)+N(AR204))/AR237,""),"")</f>
        <v>0.706384827625693</v>
      </c>
      <c r="AS294" s="264">
        <f>IFERROR(IF(N(AS237)&lt;&gt;0,(N(AS178)+N(AS179)+N(AS180)+N(AS183)+N(AS201)+N(AS204))/AS237,""),"")</f>
        <v>0.671119506991495</v>
      </c>
      <c r="AT294" s="264">
        <f>IFERROR(IF(N(AT237)&lt;&gt;0,(N(AT178)+N(AT179)+N(AT180)+N(AT183)+N(AT201)+N(AT204))/AT237,""),"")</f>
        <v>0.638148477534565</v>
      </c>
      <c r="AU294" s="264">
        <f>IFERROR(IF(N(AU237)&lt;&gt;0,(N(AU178)+N(AU179)+N(AU180)+N(AU183)+N(AU201)+N(AU204))/AU237,""),"")</f>
        <v>0.609965158606386</v>
      </c>
      <c r="AV294" s="264">
        <f>IFERROR(IF(N(AV237)&lt;&gt;0,(N(AV178)+N(AV179)+N(AV180)+N(AV183)+N(AV201)+N(AV204))/AV237,""),"")</f>
        <v>0.609965158606385</v>
      </c>
      <c r="AW294" s="264">
        <f>IFERROR(IF(N(AW237)&lt;&gt;0,(N(AW178)+N(AW179)+N(AW180)+N(AW183)+N(AW201)+N(AW204))/AW237,""),"")</f>
        <v>0.58246573930865</v>
      </c>
      <c r="AX294" s="264">
        <f>IFERROR(IF(N(AX237)&lt;&gt;0,(N(AX178)+N(AX179)+N(AX180)+N(AX183)+N(AX201)+N(AX204))/AX237,""),"")</f>
        <v>0.5563291483246</v>
      </c>
      <c r="AY294" s="264">
        <f>IFERROR(IF(N(AY237)&lt;&gt;0,(N(AY178)+N(AY179)+N(AY180)+N(AY183)+N(AY201)+N(AY204))/AY237,""),"")</f>
        <v>0.531640304632054</v>
      </c>
      <c r="AZ294" s="264">
        <f>IFERROR(IF(N(AZ237)&lt;&gt;0,(N(AZ178)+N(AZ179)+N(AZ180)+N(AZ183)+N(AZ201)+N(AZ204))/AZ237,""),"")</f>
        <v>0.510340132234484</v>
      </c>
      <c r="BA294" s="264">
        <f>IFERROR(IF(N(BA237)&lt;&gt;0,(N(BA178)+N(BA179)+N(BA180)+N(BA183)+N(BA201)+N(BA204))/BA237,""),"")</f>
        <v>0.510340132234484</v>
      </c>
      <c r="BB294" s="264">
        <f>IFERROR(IF(N(BB237)&lt;&gt;0,(N(BB178)+N(BB179)+N(BB180)+N(BB183)+N(BB201)+N(BB204))/BB237,""),"")</f>
        <v>0.489472695442551</v>
      </c>
      <c r="BC294" s="264">
        <f>IFERROR(IF(N(BC237)&lt;&gt;0,(N(BC178)+N(BC179)+N(BC180)+N(BC183)+N(BC201)+N(BC204))/BC237,""),"")</f>
        <v>0.469468792203989</v>
      </c>
      <c r="BD294" s="264">
        <f>IFERROR(IF(N(BD237)&lt;&gt;0,(N(BD178)+N(BD179)+N(BD180)+N(BD183)+N(BD201)+N(BD204))/BD237,""),"")</f>
        <v>0.450418283309217</v>
      </c>
      <c r="BE294" s="264">
        <f>IFERROR(IF(N(BE237)&lt;&gt;0,(N(BE178)+N(BE179)+N(BE180)+N(BE183)+N(BE201)+N(BE204))/BE237,""),"")</f>
        <v>0.433860418004895</v>
      </c>
      <c r="BF294" s="264">
        <f>IFERROR(IF(N(BF237)&lt;&gt;0,(N(BF178)+N(BF179)+N(BF180)+N(BF183)+N(BF201)+N(BF204))/BF237,""),"")</f>
        <v>0.433860418004895</v>
      </c>
    </row>
    <row r="295" customFormat="1" s="77">
      <c r="A295" s="76" t="n"/>
      <c r="B295" s="76" t="n"/>
      <c r="C295" s="77" t="inlineStr">
        <is>
          <t>NET DEBT / (NET DEBT + EQUITY) (BOOK VALUE)</t>
        </is>
      </c>
      <c r="H295" s="258" t="str">
        <f>IFERROR(IF(((N(H178)+N(H179)+N(H180)+N(H183)+N(H201)+N(H204))-N(H110)+N(H237))&lt;&gt;0,((N(H178)+N(H179)+N(H180)+N(H183)+N(H201)+N(H204))-N(H110))/((N(H178)+N(H179)+N(H180)+N(H183)+N(H201)+N(H204))-N(H110)+H237),""),"")</f>
        <v/>
      </c>
      <c r="I295" s="258">
        <f>IFERROR(IF(((N(I178)+N(I179)+N(I180)+N(I183)+N(I201)+N(I204))-N(I110)+N(I237))&lt;&gt;0,((N(I178)+N(I179)+N(I180)+N(I183)+N(I201)+N(I204))-N(I110))/((N(I178)+N(I179)+N(I180)+N(I183)+N(I201)+N(I204))-N(I110)+I237),""),"")</f>
        <v>0.495377925639023</v>
      </c>
      <c r="J295" s="258">
        <f>IFERROR(IF(((N(J178)+N(J179)+N(J180)+N(J183)+N(J201)+N(J204))-N(J110)+N(J237))&lt;&gt;0,((N(J178)+N(J179)+N(J180)+N(J183)+N(J201)+N(J204))-N(J110))/((N(J178)+N(J179)+N(J180)+N(J183)+N(J201)+N(J204))-N(J110)+J237),""),"")</f>
        <v>0.521069569156314</v>
      </c>
      <c r="K295" s="258">
        <f>IFERROR(IF(((N(K178)+N(K179)+N(K180)+N(K183)+N(K201)+N(K204))-N(K110)+N(K237))&lt;&gt;0,((N(K178)+N(K179)+N(K180)+N(K183)+N(K201)+N(K204))-N(K110))/((N(K178)+N(K179)+N(K180)+N(K183)+N(K201)+N(K204))-N(K110)+K237),""),"")</f>
        <v>0.548627493202059</v>
      </c>
      <c r="L295" s="258">
        <f>IFERROR(IF(((N(L178)+N(L179)+N(L180)+N(L183)+N(L201)+N(L204))-N(L110)+N(L237))&lt;&gt;0,((N(L178)+N(L179)+N(L180)+N(L183)+N(L201)+N(L204))-N(L110))/((N(L178)+N(L179)+N(L180)+N(L183)+N(L201)+N(L204))-N(L110)+L237),""),"")</f>
        <v>0.546589868570777</v>
      </c>
      <c r="M295" s="258">
        <f>IFERROR(IF(((N(M178)+N(M179)+N(M180)+N(M183)+N(M201)+N(M204))-N(M110)+N(M237))&lt;&gt;0,((N(M178)+N(M179)+N(M180)+N(M183)+N(M201)+N(M204))-N(M110))/((N(M178)+N(M179)+N(M180)+N(M183)+N(M201)+N(M204))-N(M110)+M237),""),"")</f>
        <v>0.546589868570777</v>
      </c>
      <c r="N295" s="258">
        <f>IFERROR(IF(((N(N178)+N(N179)+N(N180)+N(N183)+N(N201)+N(N204))-N(N110)+N(N237))&lt;&gt;0,((N(N178)+N(N179)+N(N180)+N(N183)+N(N201)+N(N204))-N(N110))/((N(N178)+N(N179)+N(N180)+N(N183)+N(N201)+N(N204))-N(N110)+N237),""),"")</f>
        <v>0.579531210650027</v>
      </c>
      <c r="O295" s="258">
        <f>IFERROR(IF(((N(O178)+N(O179)+N(O180)+N(O183)+N(O201)+N(O204))-N(O110)+N(O237))&lt;&gt;0,((N(O178)+N(O179)+N(O180)+N(O183)+N(O201)+N(O204))-N(O110))/((N(O178)+N(O179)+N(O180)+N(O183)+N(O201)+N(O204))-N(O110)+O237),""),"")</f>
        <v>0.622882117441603</v>
      </c>
      <c r="P295" s="258">
        <f>IFERROR(IF(((N(P178)+N(P179)+N(P180)+N(P183)+N(P201)+N(P204))-N(P110)+N(P237))&lt;&gt;0,((N(P178)+N(P179)+N(P180)+N(P183)+N(P201)+N(P204))-N(P110))/((N(P178)+N(P179)+N(P180)+N(P183)+N(P201)+N(P204))-N(P110)+P237),""),"")</f>
        <v>0.602726681991868</v>
      </c>
      <c r="Q295" s="258">
        <f>IFERROR(IF(((N(Q178)+N(Q179)+N(Q180)+N(Q183)+N(Q201)+N(Q204))-N(Q110)+N(Q237))&lt;&gt;0,((N(Q178)+N(Q179)+N(Q180)+N(Q183)+N(Q201)+N(Q204))-N(Q110))/((N(Q178)+N(Q179)+N(Q180)+N(Q183)+N(Q201)+N(Q204))-N(Q110)+Q237),""),"")</f>
        <v>0.486944383891692</v>
      </c>
      <c r="R295" s="258">
        <f>IFERROR(IF(((N(R178)+N(R179)+N(R180)+N(R183)+N(R201)+N(R204))-N(R110)+N(R237))&lt;&gt;0,((N(R178)+N(R179)+N(R180)+N(R183)+N(R201)+N(R204))-N(R110))/((N(R178)+N(R179)+N(R180)+N(R183)+N(R201)+N(R204))-N(R110)+R237),""),"")</f>
        <v>0.486944383891692</v>
      </c>
      <c r="S295" s="258">
        <f>IFERROR(IF(((N(S178)+N(S179)+N(S180)+N(S183)+N(S201)+N(S204))-N(S110)+N(S237))&lt;&gt;0,((N(S178)+N(S179)+N(S180)+N(S183)+N(S201)+N(S204))-N(S110))/((N(S178)+N(S179)+N(S180)+N(S183)+N(S201)+N(S204))-N(S110)+S237),""),"")</f>
        <v>0.478943652924371</v>
      </c>
      <c r="T295" s="258">
        <f>IFERROR(IF(((N(T178)+N(T179)+N(T180)+N(T183)+N(T201)+N(T204))-N(T110)+N(T237))&lt;&gt;0,((N(T178)+N(T179)+N(T180)+N(T183)+N(T201)+N(T204))-N(T110))/((N(T178)+N(T179)+N(T180)+N(T183)+N(T201)+N(T204))-N(T110)+T237),""),"")</f>
        <v>0.416418337722642</v>
      </c>
      <c r="U295" s="258">
        <f>IFERROR(IF(((N(U178)+N(U179)+N(U180)+N(U183)+N(U201)+N(U204))-N(U110)+N(U237))&lt;&gt;0,((N(U178)+N(U179)+N(U180)+N(U183)+N(U201)+N(U204))-N(U110))/((N(U178)+N(U179)+N(U180)+N(U183)+N(U201)+N(U204))-N(U110)+U237),""),"")</f>
        <v>0.397019068544862</v>
      </c>
      <c r="V295" s="258">
        <f>IFERROR(IF(((N(V178)+N(V179)+N(V180)+N(V183)+N(V201)+N(V204))-N(V110)+N(V237))&lt;&gt;0,((N(V178)+N(V179)+N(V180)+N(V183)+N(V201)+N(V204))-N(V110))/((N(V178)+N(V179)+N(V180)+N(V183)+N(V201)+N(V204))-N(V110)+V237),""),"")</f>
        <v>0.411991955525066</v>
      </c>
      <c r="W295" s="258">
        <f>IFERROR(IF(((N(W178)+N(W179)+N(W180)+N(W183)+N(W201)+N(W204))-N(W110)+N(W237))&lt;&gt;0,((N(W178)+N(W179)+N(W180)+N(W183)+N(W201)+N(W204))-N(W110))/((N(W178)+N(W179)+N(W180)+N(W183)+N(W201)+N(W204))-N(W110)+W237),""),"")</f>
        <v>0.411991955525066</v>
      </c>
      <c r="X295" s="258">
        <f>IFERROR(IF(((N(X178)+N(X179)+N(X180)+N(X183)+N(X201)+N(X204))-N(X110)+N(X237))&lt;&gt;0,((N(X178)+N(X179)+N(X180)+N(X183)+N(X201)+N(X204))-N(X110))/((N(X178)+N(X179)+N(X180)+N(X183)+N(X201)+N(X204))-N(X110)+X237),""),"")</f>
        <v>0.40823082801722</v>
      </c>
      <c r="Y295" s="258">
        <f>IFERROR(IF(((N(Y178)+N(Y179)+N(Y180)+N(Y183)+N(Y201)+N(Y204))-N(Y110)+N(Y237))&lt;&gt;0,((N(Y178)+N(Y179)+N(Y180)+N(Y183)+N(Y201)+N(Y204))-N(Y110))/((N(Y178)+N(Y179)+N(Y180)+N(Y183)+N(Y201)+N(Y204))-N(Y110)+Y237),""),"")</f>
        <v>0.381969909284023</v>
      </c>
      <c r="Z295" s="258">
        <f>IFERROR(IF(((N(Z178)+N(Z179)+N(Z180)+N(Z183)+N(Z201)+N(Z204))-N(Z110)+N(Z237))&lt;&gt;0,((N(Z178)+N(Z179)+N(Z180)+N(Z183)+N(Z201)+N(Z204))-N(Z110))/((N(Z178)+N(Z179)+N(Z180)+N(Z183)+N(Z201)+N(Z204))-N(Z110)+Z237),""),"")</f>
        <v>0.36913355827244</v>
      </c>
      <c r="AA295" s="258">
        <f>IFERROR(IF(((N(AA178)+N(AA179)+N(AA180)+N(AA183)+N(AA201)+N(AA204))-N(AA110)+N(AA237))&lt;&gt;0,((N(AA178)+N(AA179)+N(AA180)+N(AA183)+N(AA201)+N(AA204))-N(AA110))/((N(AA178)+N(AA179)+N(AA180)+N(AA183)+N(AA201)+N(AA204))-N(AA110)+AA237),""),"")</f>
        <v>0.379694661686372</v>
      </c>
      <c r="AB295" s="258">
        <f>IFERROR(IF(((N(AB178)+N(AB179)+N(AB180)+N(AB183)+N(AB201)+N(AB204))-N(AB110)+N(AB237))&lt;&gt;0,((N(AB178)+N(AB179)+N(AB180)+N(AB183)+N(AB201)+N(AB204))-N(AB110))/((N(AB178)+N(AB179)+N(AB180)+N(AB183)+N(AB201)+N(AB204))-N(AB110)+AB237),""),"")</f>
        <v>0.379694661686372</v>
      </c>
      <c r="AC295" s="258">
        <f>IFERROR(IF(((N(AC178)+N(AC179)+N(AC180)+N(AC183)+N(AC201)+N(AC204))-N(AC110)+N(AC237))&lt;&gt;0,((N(AC178)+N(AC179)+N(AC180)+N(AC183)+N(AC201)+N(AC204))-N(AC110))/((N(AC178)+N(AC179)+N(AC180)+N(AC183)+N(AC201)+N(AC204))-N(AC110)+AC237),""),"")</f>
        <v>0.383328894884231</v>
      </c>
      <c r="AD295" s="258">
        <f>IFERROR(IF(((N(AD178)+N(AD179)+N(AD180)+N(AD183)+N(AD201)+N(AD204))-N(AD110)+N(AD237))&lt;&gt;0,((N(AD178)+N(AD179)+N(AD180)+N(AD183)+N(AD201)+N(AD204))-N(AD110))/((N(AD178)+N(AD179)+N(AD180)+N(AD183)+N(AD201)+N(AD204))-N(AD110)+AD237),""),"")</f>
        <v>0.394283040463251</v>
      </c>
      <c r="AE295" s="258">
        <f>IFERROR(IF(((N(AE178)+N(AE179)+N(AE180)+N(AE183)+N(AE201)+N(AE204))-N(AE110)+N(AE237))&lt;&gt;0,((N(AE178)+N(AE179)+N(AE180)+N(AE183)+N(AE201)+N(AE204))-N(AE110))/((N(AE178)+N(AE179)+N(AE180)+N(AE183)+N(AE201)+N(AE204))-N(AE110)+AE237),""),"")</f>
        <v>0.374796081015219</v>
      </c>
      <c r="AF295" s="258">
        <f>IFERROR(IF(((N(AF178)+N(AF179)+N(AF180)+N(AF183)+N(AF201)+N(AF204))-N(AF110)+N(AF237))&lt;&gt;0,((N(AF178)+N(AF179)+N(AF180)+N(AF183)+N(AF201)+N(AF204))-N(AF110))/((N(AF178)+N(AF179)+N(AF180)+N(AF183)+N(AF201)+N(AF204))-N(AF110)+AF237),""),"")</f>
        <v>0.401851252830377</v>
      </c>
      <c r="AG295" s="258">
        <f>IFERROR(IF(((N(AG178)+N(AG179)+N(AG180)+N(AG183)+N(AG201)+N(AG204))-N(AG110)+N(AG237))&lt;&gt;0,((N(AG178)+N(AG179)+N(AG180)+N(AG183)+N(AG201)+N(AG204))-N(AG110))/((N(AG178)+N(AG179)+N(AG180)+N(AG183)+N(AG201)+N(AG204))-N(AG110)+AG237),""),"")</f>
        <v>0.401851252830377</v>
      </c>
      <c r="AH295" s="258">
        <f>IFERROR(IF(((N(AH178)+N(AH179)+N(AH180)+N(AH183)+N(AH201)+N(AH204))-N(AH110)+N(AH237))&lt;&gt;0,((N(AH178)+N(AH179)+N(AH180)+N(AH183)+N(AH201)+N(AH204))-N(AH110))/((N(AH178)+N(AH179)+N(AH180)+N(AH183)+N(AH201)+N(AH204))-N(AH110)+AH237),""),"")</f>
        <v>0.398454383312574</v>
      </c>
      <c r="AI295" s="258">
        <f>IFERROR(IF(((N(AI178)+N(AI179)+N(AI180)+N(AI183)+N(AI201)+N(AI204))-N(AI110)+N(AI237))&lt;&gt;0,((N(AI178)+N(AI179)+N(AI180)+N(AI183)+N(AI201)+N(AI204))-N(AI110))/((N(AI178)+N(AI179)+N(AI180)+N(AI183)+N(AI201)+N(AI204))-N(AI110)+AI237),""),"")</f>
        <v>0.406750866243379</v>
      </c>
      <c r="AJ295" s="258">
        <f>IFERROR(IF(((N(AJ178)+N(AJ179)+N(AJ180)+N(AJ183)+N(AJ201)+N(AJ204))-N(AJ110)+N(AJ237))&lt;&gt;0,((N(AJ178)+N(AJ179)+N(AJ180)+N(AJ183)+N(AJ201)+N(AJ204))-N(AJ110))/((N(AJ178)+N(AJ179)+N(AJ180)+N(AJ183)+N(AJ201)+N(AJ204))-N(AJ110)+AJ237),""),"")</f>
        <v>0.367128902247875</v>
      </c>
      <c r="AK295" s="258">
        <f>IFERROR(IF(((N(AK178)+N(AK179)+N(AK180)+N(AK183)+N(AK201)+N(AK204))-N(AK110)+N(AK237))&lt;&gt;0,((N(AK178)+N(AK179)+N(AK180)+N(AK183)+N(AK201)+N(AK204))-N(AK110))/((N(AK178)+N(AK179)+N(AK180)+N(AK183)+N(AK201)+N(AK204))-N(AK110)+AK237),""),"")</f>
        <v>0.319197118646439</v>
      </c>
      <c r="AL295" s="258">
        <f>IFERROR(IF(((N(AL178)+N(AL179)+N(AL180)+N(AL183)+N(AL201)+N(AL204))-N(AL110)+N(AL237))&lt;&gt;0,((N(AL178)+N(AL179)+N(AL180)+N(AL183)+N(AL201)+N(AL204))-N(AL110))/((N(AL178)+N(AL179)+N(AL180)+N(AL183)+N(AL201)+N(AL204))-N(AL110)+AL237),""),"")</f>
        <v>0.319197118646439</v>
      </c>
      <c r="AM295" s="258">
        <f>IFERROR(IF(((N(AM178)+N(AM179)+N(AM180)+N(AM183)+N(AM201)+N(AM204))-N(AM110)+N(AM237))&lt;&gt;0,((N(AM178)+N(AM179)+N(AM180)+N(AM183)+N(AM201)+N(AM204))-N(AM110))/((N(AM178)+N(AM179)+N(AM180)+N(AM183)+N(AM201)+N(AM204))-N(AM110)+AM237),""),"")</f>
        <v>0.284495673295288</v>
      </c>
      <c r="AN295" s="258">
        <f>IFERROR(IF(((N(AN178)+N(AN179)+N(AN180)+N(AN183)+N(AN201)+N(AN204))-N(AN110)+N(AN237))&lt;&gt;0,((N(AN178)+N(AN179)+N(AN180)+N(AN183)+N(AN201)+N(AN204))-N(AN110))/((N(AN178)+N(AN179)+N(AN180)+N(AN183)+N(AN201)+N(AN204))-N(AN110)+AN237),""),"")</f>
        <v>0.240564730947612</v>
      </c>
      <c r="AO295" s="258">
        <f>IFERROR(IF(((N(AO178)+N(AO179)+N(AO180)+N(AO183)+N(AO201)+N(AO204))-N(AO110)+N(AO237))&lt;&gt;0,((N(AO178)+N(AO179)+N(AO180)+N(AO183)+N(AO201)+N(AO204))-N(AO110))/((N(AO178)+N(AO179)+N(AO180)+N(AO183)+N(AO201)+N(AO204))-N(AO110)+AO237),""),"")</f>
        <v>0.193673363775433</v>
      </c>
      <c r="AP295" s="258">
        <f>IFERROR(IF(((N(AP178)+N(AP179)+N(AP180)+N(AP183)+N(AP201)+N(AP204))-N(AP110)+N(AP237))&lt;&gt;0,((N(AP178)+N(AP179)+N(AP180)+N(AP183)+N(AP201)+N(AP204))-N(AP110))/((N(AP178)+N(AP179)+N(AP180)+N(AP183)+N(AP201)+N(AP204))-N(AP110)+AP237),""),"")</f>
        <v>0.136054140796854</v>
      </c>
      <c r="AQ295" s="258">
        <f>IFERROR(IF(((N(AQ178)+N(AQ179)+N(AQ180)+N(AQ183)+N(AQ201)+N(AQ204))-N(AQ110)+N(AQ237))&lt;&gt;0,((N(AQ178)+N(AQ179)+N(AQ180)+N(AQ183)+N(AQ201)+N(AQ204))-N(AQ110))/((N(AQ178)+N(AQ179)+N(AQ180)+N(AQ183)+N(AQ201)+N(AQ204))-N(AQ110)+AQ237),""),"")</f>
        <v>0.136054140796854</v>
      </c>
      <c r="AR295" s="258">
        <f>IFERROR(IF(((N(AR178)+N(AR179)+N(AR180)+N(AR183)+N(AR201)+N(AR204))-N(AR110)+N(AR237))&lt;&gt;0,((N(AR178)+N(AR179)+N(AR180)+N(AR183)+N(AR201)+N(AR204))-N(AR110))/((N(AR178)+N(AR179)+N(AR180)+N(AR183)+N(AR201)+N(AR204))-N(AR110)+AR237),""),"")</f>
        <v>0.0956781867011035</v>
      </c>
      <c r="AS295" s="258">
        <f>IFERROR(IF(((N(AS178)+N(AS179)+N(AS180)+N(AS183)+N(AS201)+N(AS204))-N(AS110)+N(AS237))&lt;&gt;0,((N(AS178)+N(AS179)+N(AS180)+N(AS183)+N(AS201)+N(AS204))-N(AS110))/((N(AS178)+N(AS179)+N(AS180)+N(AS183)+N(AS201)+N(AS204))-N(AS110)+AS237),""),"")</f>
        <v>0.0468792847310708</v>
      </c>
      <c r="AT295" s="258">
        <f>IFERROR(IF(((N(AT178)+N(AT179)+N(AT180)+N(AT183)+N(AT201)+N(AT204))-N(AT110)+N(AT237))&lt;&gt;0,((N(AT178)+N(AT179)+N(AT180)+N(AT183)+N(AT201)+N(AT204))-N(AT110))/((N(AT178)+N(AT179)+N(AT180)+N(AT183)+N(AT201)+N(AT204))-N(AT110)+AT237),""),"")</f>
        <v>-0.00771511905363649</v>
      </c>
      <c r="AU295" s="258">
        <f>IFERROR(IF(((N(AU178)+N(AU179)+N(AU180)+N(AU183)+N(AU201)+N(AU204))-N(AU110)+N(AU237))&lt;&gt;0,((N(AU178)+N(AU179)+N(AU180)+N(AU183)+N(AU201)+N(AU204))-N(AU110))/((N(AU178)+N(AU179)+N(AU180)+N(AU183)+N(AU201)+N(AU204))-N(AU110)+AU237),""),"")</f>
        <v>-0.0782799462652412</v>
      </c>
      <c r="AV295" s="258">
        <f>IFERROR(IF(((N(AV178)+N(AV179)+N(AV180)+N(AV183)+N(AV201)+N(AV204))-N(AV110)+N(AV237))&lt;&gt;0,((N(AV178)+N(AV179)+N(AV180)+N(AV183)+N(AV201)+N(AV204))-N(AV110))/((N(AV178)+N(AV179)+N(AV180)+N(AV183)+N(AV201)+N(AV204))-N(AV110)+AV237),""),"")</f>
        <v>-0.0782799462652412</v>
      </c>
      <c r="AW295" s="258">
        <f>IFERROR(IF(((N(AW178)+N(AW179)+N(AW180)+N(AW183)+N(AW201)+N(AW204))-N(AW110)+N(AW237))&lt;&gt;0,((N(AW178)+N(AW179)+N(AW180)+N(AW183)+N(AW201)+N(AW204))-N(AW110))/((N(AW178)+N(AW179)+N(AW180)+N(AW183)+N(AW201)+N(AW204))-N(AW110)+AW237),""),"")</f>
        <v>-0.122531726047713</v>
      </c>
      <c r="AX295" s="258">
        <f>IFERROR(IF(((N(AX178)+N(AX179)+N(AX180)+N(AX183)+N(AX201)+N(AX204))-N(AX110)+N(AX237))&lt;&gt;0,((N(AX178)+N(AX179)+N(AX180)+N(AX183)+N(AX201)+N(AX204))-N(AX110))/((N(AX178)+N(AX179)+N(AX180)+N(AX183)+N(AX201)+N(AX204))-N(AX110)+AX237),""),"")</f>
        <v>-0.182398544901829</v>
      </c>
      <c r="AY295" s="258">
        <f>IFERROR(IF(((N(AY178)+N(AY179)+N(AY180)+N(AY183)+N(AY201)+N(AY204))-N(AY110)+N(AY237))&lt;&gt;0,((N(AY178)+N(AY179)+N(AY180)+N(AY183)+N(AY201)+N(AY204))-N(AY110))/((N(AY178)+N(AY179)+N(AY180)+N(AY183)+N(AY201)+N(AY204))-N(AY110)+AY237),""),"")</f>
        <v>-0.247789657241444</v>
      </c>
      <c r="AZ295" s="258">
        <f>IFERROR(IF(((N(AZ178)+N(AZ179)+N(AZ180)+N(AZ183)+N(AZ201)+N(AZ204))-N(AZ110)+N(AZ237))&lt;&gt;0,((N(AZ178)+N(AZ179)+N(AZ180)+N(AZ183)+N(AZ201)+N(AZ204))-N(AZ110))/((N(AZ178)+N(AZ179)+N(AZ180)+N(AZ183)+N(AZ201)+N(AZ204))-N(AZ110)+AZ237),""),"")</f>
        <v>-0.336699425600931</v>
      </c>
      <c r="BA295" s="258">
        <f>IFERROR(IF(((N(BA178)+N(BA179)+N(BA180)+N(BA183)+N(BA201)+N(BA204))-N(BA110)+N(BA237))&lt;&gt;0,((N(BA178)+N(BA179)+N(BA180)+N(BA183)+N(BA201)+N(BA204))-N(BA110))/((N(BA178)+N(BA179)+N(BA180)+N(BA183)+N(BA201)+N(BA204))-N(BA110)+BA237),""),"")</f>
        <v>-0.336699425600931</v>
      </c>
      <c r="BB295" s="258">
        <f>IFERROR(IF(((N(BB178)+N(BB179)+N(BB180)+N(BB183)+N(BB201)+N(BB204))-N(BB110)+N(BB237))&lt;&gt;0,((N(BB178)+N(BB179)+N(BB180)+N(BB183)+N(BB201)+N(BB204))-N(BB110))/((N(BB178)+N(BB179)+N(BB180)+N(BB183)+N(BB201)+N(BB204))-N(BB110)+BB237),""),"")</f>
        <v>-0.389604659189308</v>
      </c>
      <c r="BC295" s="258">
        <f>IFERROR(IF(((N(BC178)+N(BC179)+N(BC180)+N(BC183)+N(BC201)+N(BC204))-N(BC110)+N(BC237))&lt;&gt;0,((N(BC178)+N(BC179)+N(BC180)+N(BC183)+N(BC201)+N(BC204))-N(BC110))/((N(BC178)+N(BC179)+N(BC180)+N(BC183)+N(BC201)+N(BC204))-N(BC110)+BC237),""),"")</f>
        <v>-0.462930829421171</v>
      </c>
      <c r="BD295" s="258">
        <f>IFERROR(IF(((N(BD178)+N(BD179)+N(BD180)+N(BD183)+N(BD201)+N(BD204))-N(BD110)+N(BD237))&lt;&gt;0,((N(BD178)+N(BD179)+N(BD180)+N(BD183)+N(BD201)+N(BD204))-N(BD110))/((N(BD178)+N(BD179)+N(BD180)+N(BD183)+N(BD201)+N(BD204))-N(BD110)+BD237),""),"")</f>
        <v>-0.54415403573695</v>
      </c>
      <c r="BE295" s="258">
        <f>IFERROR(IF(((N(BE178)+N(BE179)+N(BE180)+N(BE183)+N(BE201)+N(BE204))-N(BE110)+N(BE237))&lt;&gt;0,((N(BE178)+N(BE179)+N(BE180)+N(BE183)+N(BE201)+N(BE204))-N(BE110))/((N(BE178)+N(BE179)+N(BE180)+N(BE183)+N(BE201)+N(BE204))-N(BE110)+BE237),""),"")</f>
        <v>-0.660277408707423</v>
      </c>
      <c r="BF295" s="258">
        <f>IFERROR(IF(((N(BF178)+N(BF179)+N(BF180)+N(BF183)+N(BF201)+N(BF204))-N(BF110)+N(BF237))&lt;&gt;0,((N(BF178)+N(BF179)+N(BF180)+N(BF183)+N(BF201)+N(BF204))-N(BF110))/((N(BF178)+N(BF179)+N(BF180)+N(BF183)+N(BF201)+N(BF204))-N(BF110)+BF237),""),"")</f>
        <v>-0.660277408707423</v>
      </c>
    </row>
    <row r="296" customFormat="1" s="77">
      <c r="A296" s="76" t="n"/>
      <c r="B296" s="76" t="n"/>
    </row>
    <row r="297" customFormat="1" s="77">
      <c r="A297" s="76" t="n"/>
      <c r="B297" s="76" t="n"/>
      <c r="C297" s="74" t="inlineStr">
        <is>
          <t>FINANCIAL RISK RATIOS</t>
        </is>
      </c>
    </row>
    <row r="298" customFormat="1" s="77">
      <c r="A298" s="76" t="n"/>
      <c r="B298" s="76" t="n"/>
      <c r="C298" s="77" t="inlineStr">
        <is>
          <t>EBITDA / TOTAL INTEREST (LTM)</t>
        </is>
      </c>
      <c r="D298" s="82" t="str">
        <f>IFERROR(D35/-D40,"")</f>
        <v/>
      </c>
      <c r="E298" s="82" t="str">
        <f>IFERROR(E35/-E40,"")</f>
        <v/>
      </c>
      <c r="F298" s="82" t="str">
        <f>IFERROR(F35/-F40,"")</f>
        <v/>
      </c>
      <c r="G298" s="82" t="str">
        <f>IFERROR(G35/-G40,"")</f>
        <v/>
      </c>
      <c r="H298" s="264" t="str">
        <f>IFERROR(IF(AND(COUNT(H35)=1,(H40)&lt;&gt;0),(H35)/-(H40),""),"")</f>
        <v/>
      </c>
      <c r="I298" s="264" t="str">
        <f>""</f>
        <v/>
      </c>
      <c r="J298" s="264" t="str">
        <f>""</f>
        <v/>
      </c>
      <c r="K298" s="264" t="str">
        <f>""</f>
        <v/>
      </c>
      <c r="L298" s="264">
        <f>IFERROR(IF(AND(COUNT(I35,J35,K35,L35)=4,(I40+J40+K40+L40)&lt;&gt;0),(I35+J35+K35+L35)/-(I40+J40+K40+L40),""),"")</f>
        <v>4.79928834657053</v>
      </c>
      <c r="M298" s="264">
        <f>IFERROR(IF(AND(COUNT(I35,J35,K35,L35)=4,(I40+J40+K40+L40)&lt;&gt;0),(I35+J35+K35+L35)/-(I40+J40+K40+L40),""),"")</f>
        <v>4.79928834657053</v>
      </c>
      <c r="N298" s="264">
        <f>IFERROR(IF(AND(COUNT(J35,K35,L35,N35)=4,(J40+K40+L40+N40)&lt;&gt;0),(J35+K35+L35+N35)/-(J40+K40+L40+N40),""),"")</f>
        <v>4.08716702025991</v>
      </c>
      <c r="O298" s="264">
        <f>IFERROR(IF(AND(COUNT(K35,L35,N35,O35)=4,(K40+L40+N40+O40)&lt;&gt;0),(K35+L35+N35+O35)/-(K40+L40+N40+O40),""),"")</f>
        <v>3.52709328824983</v>
      </c>
      <c r="P298" s="264">
        <f>IFERROR(IF(AND(COUNT(L35,N35,O35,P35)=4,(L40+N40+O40+P40)&lt;&gt;0),(L35+N35+O35+P35)/-(L40+N40+O40+P40),""),"")</f>
        <v>3.07640043982612</v>
      </c>
      <c r="Q298" s="264">
        <f>IFERROR(IF(AND(COUNT(N35,O35,P35,Q35)=4,(N40+O40+P40+Q40)&lt;&gt;0),(N35+O35+P35+Q35)/-(N40+O40+P40+Q40),""),"")</f>
        <v>2.68533461539885</v>
      </c>
      <c r="R298" s="264">
        <f>IFERROR(IF(AND(COUNT(N35,O35,P35,Q35)=4,(N40+O40+P40+Q40)&lt;&gt;0),(N35+O35+P35+Q35)/-(N40+O40+P40+Q40),""),"")</f>
        <v>2.68533461539885</v>
      </c>
      <c r="S298" s="264">
        <f>IFERROR(IF(AND(COUNT(O35,P35,Q35,S35)=4,(O40+P40+Q40+S40)&lt;&gt;0),(O35+P35+Q35+S35)/-(O40+P40+Q40+S40),""),"")</f>
        <v>2.45824189118662</v>
      </c>
      <c r="T298" s="264">
        <f>IFERROR(IF(AND(COUNT(P35,Q35,S35,T35)=4,(P40+Q40+S40+T40)&lt;&gt;0),(P35+Q35+S35+T35)/-(P40+Q40+S40+T40),""),"")</f>
        <v>2.34994312085449</v>
      </c>
      <c r="U298" s="264">
        <f>IFERROR(IF(AND(COUNT(Q35,S35,T35,U35)=4,(Q40+S40+T40+U40)&lt;&gt;0),(Q35+S35+T35+U35)/-(Q40+S40+T40+U40),""),"")</f>
        <v>2.50632726707449</v>
      </c>
      <c r="V298" s="264">
        <f>IFERROR(IF(AND(COUNT(S35,T35,U35,V35)=4,(S40+T40+U40+V40)&lt;&gt;0),(S35+T35+U35+V35)/-(S40+T40+U40+V40),""),"")</f>
        <v>2.63036764696314</v>
      </c>
      <c r="W298" s="264">
        <f>IFERROR(IF(AND(COUNT(S35,T35,U35,V35)=4,(S40+T40+U40+V40)&lt;&gt;0),(S35+T35+U35+V35)/-(S40+T40+U40+V40),""),"")</f>
        <v>2.63036764696314</v>
      </c>
      <c r="X298" s="264">
        <f>IFERROR(IF(AND(COUNT(T35,U35,V35,X35)=4,(T40+U40+V40+X40)&lt;&gt;0),(T35+U35+V35+X35)/-(T40+U40+V40+X40),""),"")</f>
        <v>2.85606106300968</v>
      </c>
      <c r="Y298" s="264">
        <f>IFERROR(IF(AND(COUNT(U35,V35,X35,Y35)=4,(U40+V40+X40+Y40)&lt;&gt;0),(U35+V35+X35+Y35)/-(U40+V40+X40+Y40),""),"")</f>
        <v>3.20555224915059</v>
      </c>
      <c r="Z298" s="264">
        <f>IFERROR(IF(AND(COUNT(V35,X35,Y35,Z35)=4,(V40+X40+Y40+Z40)&lt;&gt;0),(V35+X35+Y35+Z35)/-(V40+X40+Y40+Z40),""),"")</f>
        <v>3.28816199875891</v>
      </c>
      <c r="AA298" s="264">
        <f>IFERROR(IF(AND(COUNT(X35,Y35,Z35,AA35)=4,(X40+Y40+Z40+AA40)&lt;&gt;0),(X35+Y35+Z35+AA35)/-(X40+Y40+Z40+AA40),""),"")</f>
        <v>3.213304258303</v>
      </c>
      <c r="AB298" s="264">
        <f>IFERROR(IF(AND(COUNT(X35,Y35,Z35,AA35)=4,(X40+Y40+Z40+AA40)&lt;&gt;0),(X35+Y35+Z35+AA35)/-(X40+Y40+Z40+AA40),""),"")</f>
        <v>3.213304258303</v>
      </c>
      <c r="AC298" s="264">
        <f>IFERROR(IF(AND(COUNT(Y35,Z35,AA35,AC35)=4,(Y40+Z40+AA40+AC40)&lt;&gt;0),(Y35+Z35+AA35+AC35)/-(Y40+Z40+AA40+AC40),""),"")</f>
        <v>3.08408986917666</v>
      </c>
      <c r="AD298" s="264">
        <f>IFERROR(IF(AND(COUNT(Z35,AA35,AC35,AD35)=4,(Z40+AA40+AC40+AD40)&lt;&gt;0),(Z35+AA35+AC35+AD35)/-(Z40+AA40+AC40+AD40),""),"")</f>
        <v>2.84640902254712</v>
      </c>
      <c r="AE298" s="264">
        <f>IFERROR(IF(AND(COUNT(AA35,AC35,AD35,AE35)=4,(AA40+AC40+AD40+AE40)&lt;&gt;0),(AA35+AC35+AD35+AE35)/-(AA40+AC40+AD40+AE40),""),"")</f>
        <v>2.69808656966152</v>
      </c>
      <c r="AF298" s="264">
        <f>IFERROR(IF(AND(COUNT(AB35,AD35,AE35,AF35)=4,(AB40+AD40+AE40+AF40)&lt;&gt;0),(AB35+AD35+AE35+AF35)/-(AB40+AD40+AE40+AF40),""),"")</f>
        <v>2.88384451857742</v>
      </c>
      <c r="AG298" s="264">
        <f>IFERROR(IF(AND(COUNT(AC35,AD35,AE35,AF35)=4,(AC40+AD40+AE40+AF40)&lt;&gt;0),(AC35+AD35+AE35+AF35)/-(AC40+AD40+AE40+AF40),""),"")</f>
        <v>2.65755104999834</v>
      </c>
      <c r="AH298" s="264">
        <f>IFERROR(IF(AND(COUNT(AD35,AF35,AG35,AH35)=4,(AD40+AF40+AG40+AH40)&lt;&gt;0),(AD35+AF35+AG35+AH35)/-(AD40+AF40+AG40+AH40),""),"")</f>
        <v>2.66384803872947</v>
      </c>
      <c r="AI298" s="264">
        <f>IFERROR(IF(AND(COUNT(AE35,AG35,AH35,AI35)=4,(AE40+AG40+AH40+AI40)&lt;&gt;0),(AE35+AG35+AH35+AI35)/-(AE40+AG40+AH40+AI40),""),"")</f>
        <v>2.80311425497972</v>
      </c>
      <c r="AJ298" s="264" t="str">
        <f>IFERROR(IF(AND(COUNT(AF35,AH35,AI35,AJ35)=4,(AF40+AH40+AI40+AJ40)&lt;&gt;0),(AF35+AH35+AI35+AJ35)/-(AF40+AH40+AI40+AJ40),""),"")</f>
        <v/>
      </c>
      <c r="AK298" s="264" t="str">
        <f>IFERROR(IF(AND(COUNT(AH35,AI35,AJ35,AK35)=4,(AH40+AI40+AJ40+AK40)&lt;&gt;0),(AH35+AI35+AJ35+AK35)/-(AH40+AI40+AJ40+AK40),""),"")</f>
        <v/>
      </c>
      <c r="AL298" s="264" t="str">
        <f>IFERROR(IF(AND(COUNT(AH35,AI35,AJ35,AK35)=4,(AH40+AI40+AJ40+AK40)&lt;&gt;0),(AH35+AI35+AJ35+AK35)/-(AH40+AI40+AJ40+AK40),""),"")</f>
        <v/>
      </c>
      <c r="AM298" s="264" t="str">
        <f>IFERROR(IF(AND(COUNT(AI35,AJ35,AK35,AM35)=4,(AI40+AJ40+AK40+AM40)&lt;&gt;0),(AI35+AJ35+AK35+AM35)/-(AI40+AJ40+AK40+AM40),""),"")</f>
        <v/>
      </c>
      <c r="AN298" s="264" t="str">
        <f>IFERROR(IF(AND(COUNT(AJ35,AK35,AM35,AN35)=4,(AJ40+AK40+AM40+AN40)&lt;&gt;0),(AJ35+AK35+AM35+AN35)/-(AJ40+AK40+AM40+AN40),""),"")</f>
        <v/>
      </c>
      <c r="AO298" s="264" t="str">
        <f>IFERROR(IF(AND(COUNT(AK35,AM35,AN35,AO35)=4,(AK40+AM40+AN40+AO40)&lt;&gt;0),(AK35+AM35+AN35+AO35)/-(AK40+AM40+AN40+AO40),""),"")</f>
        <v/>
      </c>
      <c r="AP298" s="264" t="str">
        <f>IFERROR(IF(AND(COUNT(AM35,AN35,AO35,AP35)=4,(AM40+AN40+AO40+AP40)&lt;&gt;0),(AM35+AN35+AO35+AP35)/-(AM40+AN40+AO40+AP40),""),"")</f>
        <v/>
      </c>
      <c r="AQ298" s="264" t="str">
        <f>IFERROR(IF(AND(COUNT(AM35,AN35,AO35,AP35)=4,(AM40+AN40+AO40+AP40)&lt;&gt;0),(AM35+AN35+AO35+AP35)/-(AM40+AN40+AO40+AP40),""),"")</f>
        <v/>
      </c>
      <c r="AR298" s="264" t="str">
        <f>IFERROR(IF(AND(COUNT(AN35,AO35,AP35,AR35)=4,(AN40+AO40+AP40+AR40)&lt;&gt;0),(AN35+AO35+AP35+AR35)/-(AN40+AO40+AP40+AR40),""),"")</f>
        <v/>
      </c>
      <c r="AS298" s="264" t="str">
        <f>IFERROR(IF(AND(COUNT(AO35,AP35,AR35,AS35)=4,(AO40+AP40+AR40+AS40)&lt;&gt;0),(AO35+AP35+AR35+AS35)/-(AO40+AP40+AR40+AS40),""),"")</f>
        <v/>
      </c>
      <c r="AT298" s="264" t="str">
        <f>IFERROR(IF(AND(COUNT(AP35,AR35,AS35,AT35)=4,(AP40+AR40+AS40+AT40)&lt;&gt;0),(AP35+AR35+AS35+AT35)/-(AP40+AR40+AS40+AT40),""),"")</f>
        <v/>
      </c>
      <c r="AU298" s="264" t="str">
        <f>IFERROR(IF(AND(COUNT(AR35,AS35,AT35,AU35)=4,(AR40+AS40+AT40+AU40)&lt;&gt;0),(AR35+AS35+AT35+AU35)/-(AR40+AS40+AT40+AU40),""),"")</f>
        <v/>
      </c>
      <c r="AV298" s="264" t="str">
        <f>IFERROR(IF(AND(COUNT(AR35,AS35,AT35,AU35)=4,(AR40+AS40+AT40+AU40)&lt;&gt;0),(AR35+AS35+AT35+AU35)/-(AR40+AS40+AT40+AU40),""),"")</f>
        <v/>
      </c>
      <c r="AW298" s="264" t="str">
        <f>IFERROR(IF(AND(COUNT(AS35,AT35,AU35,AW35)=4,(AS40+AT40+AU40+AW40)&lt;&gt;0),(AS35+AT35+AU35+AW35)/-(AS40+AT40+AU40+AW40),""),"")</f>
        <v/>
      </c>
      <c r="AX298" s="264" t="str">
        <f>IFERROR(IF(AND(COUNT(AT35,AU35,AW35,AX35)=4,(AT40+AU40+AW40+AX40)&lt;&gt;0),(AT35+AU35+AW35+AX35)/-(AT40+AU40+AW40+AX40),""),"")</f>
        <v/>
      </c>
      <c r="AY298" s="264" t="str">
        <f>IFERROR(IF(AND(COUNT(AU35,AW35,AX35,AY35)=4,(AU40+AW40+AX40+AY40)&lt;&gt;0),(AU35+AW35+AX35+AY35)/-(AU40+AW40+AX40+AY40),""),"")</f>
        <v/>
      </c>
      <c r="AZ298" s="264" t="str">
        <f>IFERROR(IF(AND(COUNT(AW35,AX35,AY35,AZ35)=4,(AW40+AX40+AY40+AZ40)&lt;&gt;0),(AW35+AX35+AY35+AZ35)/-(AW40+AX40+AY40+AZ40),""),"")</f>
        <v/>
      </c>
      <c r="BA298" s="264" t="str">
        <f>IFERROR(IF(AND(COUNT(AW35,AX35,AY35,AZ35)=4,(AW40+AX40+AY40+AZ40)&lt;&gt;0),(AW35+AX35+AY35+AZ35)/-(AW40+AX40+AY40+AZ40),""),"")</f>
        <v/>
      </c>
      <c r="BB298" s="264" t="str">
        <f>IFERROR(IF(AND(COUNT(AX35,AY35,AZ35,BB35)=4,(AX40+AY40+AZ40+BB40)&lt;&gt;0),(AX35+AY35+AZ35+BB35)/-(AX40+AY40+AZ40+BB40),""),"")</f>
        <v/>
      </c>
      <c r="BC298" s="264" t="str">
        <f>IFERROR(IF(AND(COUNT(AY35,AZ35,BB35,BC35)=4,(AY40+AZ40+BB40+BC40)&lt;&gt;0),(AY35+AZ35+BB35+BC35)/-(AY40+AZ40+BB40+BC40),""),"")</f>
        <v/>
      </c>
      <c r="BD298" s="264" t="str">
        <f>IFERROR(IF(AND(COUNT(AZ35,BB35,BC35,BD35)=4,(AZ40+BB40+BC40+BD40)&lt;&gt;0),(AZ35+BB35+BC35+BD35)/-(AZ40+BB40+BC40+BD40),""),"")</f>
        <v/>
      </c>
      <c r="BE298" s="264" t="str">
        <f>IFERROR(IF(AND(COUNT(BB35,BC35,BD35,BE35)=4,(BB40+BC40+BD40+BE40)&lt;&gt;0),(BB35+BC35+BD35+BE35)/-(BB40+BC40+BD40+BE40),""),"")</f>
        <v/>
      </c>
      <c r="BF298" s="264" t="str">
        <f>IFERROR(IF(AND(COUNT(BB35,BC35,BD35,BE35)=4,(BB40+BC40+BD40+BE40)&lt;&gt;0),(BB35+BC35+BD35+BE35)/-(BB40+BC40+BD40+BE40),""),"")</f>
        <v/>
      </c>
      <c r="BG298" s="82" t="n"/>
      <c r="BH298" s="82" t="n"/>
      <c r="BI298" s="82" t="n"/>
      <c r="BJ298" s="82" t="n"/>
      <c r="BL298" s="82" t="n"/>
      <c r="BM298" s="82" t="n"/>
      <c r="BN298" s="82" t="n"/>
      <c r="BO298" s="82" t="n"/>
      <c r="BQ298" s="82" t="n"/>
      <c r="BR298" s="82" t="n"/>
      <c r="BS298" s="82" t="n"/>
      <c r="BT298" s="82" t="n"/>
      <c r="BV298" s="82" t="n"/>
      <c r="BW298" s="82" t="n"/>
      <c r="BX298" s="82" t="n"/>
      <c r="BY298" s="82" t="n"/>
      <c r="CA298" s="82" t="n"/>
      <c r="CB298" s="82" t="n"/>
      <c r="CC298" s="82" t="n"/>
      <c r="CD298" s="82" t="n"/>
      <c r="CF298" s="82" t="n"/>
      <c r="CG298" s="82" t="n"/>
      <c r="CH298" s="82" t="n"/>
      <c r="CI298" s="82" t="n"/>
      <c r="CK298" s="82" t="n"/>
      <c r="CL298" s="82" t="n"/>
      <c r="CM298" s="82" t="n"/>
      <c r="CN298" s="82" t="n"/>
      <c r="CP298" s="82" t="n"/>
      <c r="CQ298" s="82" t="n"/>
      <c r="CR298" s="82" t="n"/>
      <c r="CS298" s="82" t="n"/>
      <c r="CU298" s="82" t="n"/>
      <c r="CV298" s="82" t="n"/>
      <c r="CW298" s="82" t="n"/>
      <c r="CX298" s="82" t="n"/>
    </row>
    <row r="299" customFormat="1" s="77">
      <c r="A299" s="76" t="n"/>
      <c r="B299" s="76" t="n"/>
      <c r="C299" s="77" t="inlineStr">
        <is>
          <t>(EBITDA - CAPEX) / TOTAL INTEREST (LTM)</t>
        </is>
      </c>
      <c r="D299" s="82" t="str">
        <f>IFERROR((D35-D134)/-D40,"")</f>
        <v/>
      </c>
      <c r="E299" s="82" t="str">
        <f>IFERROR((E35-E134)/-E40,"")</f>
        <v/>
      </c>
      <c r="F299" s="82" t="str">
        <f>IFERROR((F35-F134)/-F40,"")</f>
        <v/>
      </c>
      <c r="G299" s="82" t="str">
        <f>IFERROR((G35-G134)/-G40,"")</f>
        <v/>
      </c>
      <c r="H299" s="264" t="str">
        <f>IFERROR(IF(AND(COUNT(H35)=1,(H40)&lt;&gt;0),((H35)-(H134))/-(H40),""),"")</f>
        <v/>
      </c>
      <c r="I299" s="264" t="str">
        <f>""</f>
        <v/>
      </c>
      <c r="J299" s="264" t="str">
        <f>""</f>
        <v/>
      </c>
      <c r="K299" s="264" t="str">
        <f>""</f>
        <v/>
      </c>
      <c r="L299" s="264">
        <f>IFERROR(IF(AND(COUNT(I35,J35,K35,L35)=4,(I40+J40+K40+L40)&lt;&gt;0),((I35+J35+K35+L35)-(I134+J134+K134+L134))/-(I40+J40+K40+L40),""),"")</f>
        <v>2.86227346723503</v>
      </c>
      <c r="M299" s="264">
        <f>IFERROR(IF(AND(COUNT(I35,J35,K35,L35)=4,(I40+J40+K40+L40)&lt;&gt;0),((I35+J35+K35+L35)-(I134+J134+K134+L134))/-(I40+J40+K40+L40),""),"")</f>
        <v>2.86227346723503</v>
      </c>
      <c r="N299" s="264">
        <f>IFERROR(IF(AND(COUNT(J35,K35,L35,N35)=4,(J40+K40+L40+N40)&lt;&gt;0),((J35+K35+L35+N35)-(J134+K134+L134+N134))/-(J40+K40+L40+N40),""),"")</f>
        <v>2.14964525021197</v>
      </c>
      <c r="O299" s="264">
        <f>IFERROR(IF(AND(COUNT(K35,L35,N35,O35)=4,(K40+L40+N40+O40)&lt;&gt;0),((K35+L35+N35+O35)-(K134+L134+N134+O134))/-(K40+L40+N40+O40),""),"")</f>
        <v>1.8742553766222</v>
      </c>
      <c r="P299" s="264">
        <f>IFERROR(IF(AND(COUNT(L35,N35,O35,P35)=4,(L40+N40+O40+P40)&lt;&gt;0),((L35+N35+O35+P35)-(L134+N134+O134+P134))/-(L40+N40+O40+P40),""),"")</f>
        <v>1.58161391792813</v>
      </c>
      <c r="Q299" s="264">
        <f>IFERROR(IF(AND(COUNT(N35,O35,P35,Q35)=4,(N40+O40+P40+Q40)&lt;&gt;0),((N35+O35+P35+Q35)-(N134+O134+P134+Q134))/-(N40+O40+P40+Q40),""),"")</f>
        <v>1.40595359029614</v>
      </c>
      <c r="R299" s="264">
        <f>IFERROR(IF(AND(COUNT(N35,O35,P35,Q35)=4,(N40+O40+P40+Q40)&lt;&gt;0),((N35+O35+P35+Q35)-(N134+O134+P134+Q134))/-(N40+O40+P40+Q40),""),"")</f>
        <v>1.40595359029614</v>
      </c>
      <c r="S299" s="264">
        <f>IFERROR(IF(AND(COUNT(O35,P35,Q35,S35)=4,(O40+P40+Q40+S40)&lt;&gt;0),((O35+P35+Q35+S35)-(O134+P134+Q134+S134))/-(O40+P40+Q40+S40),""),"")</f>
        <v>1.26367327275632</v>
      </c>
      <c r="T299" s="264">
        <f>IFERROR(IF(AND(COUNT(P35,Q35,S35,T35)=4,(P40+Q40+S40+T40)&lt;&gt;0),((P35+Q35+S35+T35)-(P134+Q134+S134+T134))/-(P40+Q40+S40+T40),""),"")</f>
        <v>0.399930248210986</v>
      </c>
      <c r="U299" s="264">
        <f>IFERROR(IF(AND(COUNT(Q35,S35,T35,U35)=4,(Q40+S40+T40+U40)&lt;&gt;0),((Q35+S35+T35+U35)-(Q134+S134+T134+U134))/-(Q40+S40+T40+U40),""),"")</f>
        <v>0.628556244084389</v>
      </c>
      <c r="V299" s="264">
        <f>IFERROR(IF(AND(COUNT(S35,T35,U35,V35)=4,(S40+T40+U40+V40)&lt;&gt;0),((S35+T35+U35+V35)-(S134+T134+U134+V134))/-(S40+T40+U40+V40),""),"")</f>
        <v>0.815263764914857</v>
      </c>
      <c r="W299" s="264">
        <f>IFERROR(IF(AND(COUNT(S35,T35,U35,V35)=4,(S40+T40+U40+V40)&lt;&gt;0),((S35+T35+U35+V35)-(S134+T134+U134+V134))/-(S40+T40+U40+V40),""),"")</f>
        <v>0.815263764914857</v>
      </c>
      <c r="X299" s="264">
        <f>IFERROR(IF(AND(COUNT(T35,U35,V35,X35)=4,(T40+U40+V40+X40)&lt;&gt;0),((T35+U35+V35+X35)-(T134+U134+V134+X134))/-(T40+U40+V40+X40),""),"")</f>
        <v>0.990526595039828</v>
      </c>
      <c r="Y299" s="264">
        <f>IFERROR(IF(AND(COUNT(U35,V35,X35,Y35)=4,(U40+V40+X40+Y40)&lt;&gt;0),((U35+V35+X35+Y35)-(U134+V134+X134+Y134))/-(U40+V40+X40+Y40),""),"")</f>
        <v>1.99030568599161</v>
      </c>
      <c r="Z299" s="264">
        <f>IFERROR(IF(AND(COUNT(V35,X35,Y35,Z35)=4,(V40+X40+Y40+Z40)&lt;&gt;0),((V35+X35+Y35+Z35)-(V134+X134+Y134+Z134))/-(V40+X40+Y40+Z40),""),"")</f>
        <v>2.0196265603441</v>
      </c>
      <c r="AA299" s="264">
        <f>IFERROR(IF(AND(COUNT(X35,Y35,Z35,AA35)=4,(X40+Y40+Z40+AA40)&lt;&gt;0),((X35+Y35+Z35+AA35)-(X134+Y134+Z134+AA134))/-(X40+Y40+Z40+AA40),""),"")</f>
        <v>1.90564774357769</v>
      </c>
      <c r="AB299" s="264">
        <f>IFERROR(IF(AND(COUNT(X35,Y35,Z35,AA35)=4,(X40+Y40+Z40+AA40)&lt;&gt;0),((X35+Y35+Z35+AA35)-(X134+Y134+Z134+AA134))/-(X40+Y40+Z40+AA40),""),"")</f>
        <v>1.90564774357769</v>
      </c>
      <c r="AC299" s="264">
        <f>IFERROR(IF(AND(COUNT(Y35,Z35,AA35,AC35)=4,(Y40+Z40+AA40+AC40)&lt;&gt;0),((Y35+Z35+AA35+AC35)-(Y134+Z134+AA134+AC134))/-(Y40+Z40+AA40+AC40),""),"")</f>
        <v>1.82092126793691</v>
      </c>
      <c r="AD299" s="264">
        <f>IFERROR(IF(AND(COUNT(Z35,AA35,AC35,AD35)=4,(Z40+AA40+AC40+AD40)&lt;&gt;0),((Z35+AA35+AC35+AD35)-(Z134+AA134+AC134+AD134))/-(Z40+AA40+AC40+AD40),""),"")</f>
        <v>1.64825344608141</v>
      </c>
      <c r="AE299" s="264">
        <f>IFERROR(IF(AND(COUNT(AA35,AC35,AD35,AE35)=4,(AA40+AC40+AD40+AE40)&lt;&gt;0),((AA35+AC35+AD35+AE35)-(AA134+AC134+AD134+AE134))/-(AA40+AC40+AD40+AE40),""),"")</f>
        <v>1.56446940877793</v>
      </c>
      <c r="AF299" s="264">
        <f>IFERROR(IF(AND(COUNT(AB35,AD35,AE35,AF35)=4,(AB40+AD40+AE40+AF40)&lt;&gt;0),((AB35+AD35+AE35+AF35)-(AB134+AD134+AE134+AF134))/-(AB40+AD40+AE40+AF40),""),"")</f>
        <v>2.30288164539461</v>
      </c>
      <c r="AG299" s="264">
        <f>IFERROR(IF(AND(COUNT(AC35,AD35,AE35,AF35)=4,(AC40+AD40+AE40+AF40)&lt;&gt;0),((AC35+AD35+AE35+AF35)-(AC134+AD134+AE134+AF134))/-(AC40+AD40+AE40+AF40),""),"")</f>
        <v>1.53167870726293</v>
      </c>
      <c r="AH299" s="264">
        <f>IFERROR(IF(AND(COUNT(AD35,AF35,AG35,AH35)=4,(AD40+AF40+AG40+AH40)&lt;&gt;0),((AD35+AF35+AG35+AH35)-(AD134+AF134+AG134+AH134))/-(AD40+AF40+AG40+AH40),""),"")</f>
        <v>1.52290962269835</v>
      </c>
      <c r="AI299" s="264">
        <f>IFERROR(IF(AND(COUNT(AE35,AG35,AH35,AI35)=4,(AE40+AG40+AH40+AI40)&lt;&gt;0),((AE35+AG35+AH35+AI35)-(AE134+AG134+AH134+AI134))/-(AE40+AG40+AH40+AI40),""),"")</f>
        <v>1.65891896987647</v>
      </c>
      <c r="AJ299" s="264" t="str">
        <f>IFERROR(IF(AND(COUNT(AF35,AH35,AI35,AJ35)=4,(AF40+AH40+AI40+AJ40)&lt;&gt;0),((AF35+AH35+AI35+AJ35)-(AF134+AH134+AI134+AJ134))/-(AF40+AH40+AI40+AJ40),""),"")</f>
        <v/>
      </c>
      <c r="AK299" s="264" t="str">
        <f>IFERROR(IF(AND(COUNT(AH35,AI35,AJ35,AK35)=4,(AH40+AI40+AJ40+AK40)&lt;&gt;0),((AH35+AI35+AJ35+AK35)-(AH134+AI134+AJ134+AK134))/-(AH40+AI40+AJ40+AK40),""),"")</f>
        <v/>
      </c>
      <c r="AL299" s="264" t="str">
        <f>IFERROR(IF(AND(COUNT(AH35,AI35,AJ35,AK35)=4,(AH40+AI40+AJ40+AK40)&lt;&gt;0),((AH35+AI35+AJ35+AK35)-(AH134+AI134+AJ134+AK134))/-(AH40+AI40+AJ40+AK40),""),"")</f>
        <v/>
      </c>
      <c r="AM299" s="264" t="str">
        <f>IFERROR(IF(AND(COUNT(AI35,AJ35,AK35,AM35)=4,(AI40+AJ40+AK40+AM40)&lt;&gt;0),((AI35+AJ35+AK35+AM35)-(AI134+AJ134+AK134+AM134))/-(AI40+AJ40+AK40+AM40),""),"")</f>
        <v/>
      </c>
      <c r="AN299" s="264" t="str">
        <f>IFERROR(IF(AND(COUNT(AJ35,AK35,AM35,AN35)=4,(AJ40+AK40+AM40+AN40)&lt;&gt;0),((AJ35+AK35+AM35+AN35)-(AJ134+AK134+AM134+AN134))/-(AJ40+AK40+AM40+AN40),""),"")</f>
        <v/>
      </c>
      <c r="AO299" s="264" t="str">
        <f>IFERROR(IF(AND(COUNT(AK35,AM35,AN35,AO35)=4,(AK40+AM40+AN40+AO40)&lt;&gt;0),((AK35+AM35+AN35+AO35)-(AK134+AM134+AN134+AO134))/-(AK40+AM40+AN40+AO40),""),"")</f>
        <v/>
      </c>
      <c r="AP299" s="264" t="str">
        <f>IFERROR(IF(AND(COUNT(AM35,AN35,AO35,AP35)=4,(AM40+AN40+AO40+AP40)&lt;&gt;0),((AM35+AN35+AO35+AP35)-(AM134+AN134+AO134+AP134))/-(AM40+AN40+AO40+AP40),""),"")</f>
        <v/>
      </c>
      <c r="AQ299" s="264" t="str">
        <f>IFERROR(IF(AND(COUNT(AM35,AN35,AO35,AP35)=4,(AM40+AN40+AO40+AP40)&lt;&gt;0),((AM35+AN35+AO35+AP35)-(AM134+AN134+AO134+AP134))/-(AM40+AN40+AO40+AP40),""),"")</f>
        <v/>
      </c>
      <c r="AR299" s="264" t="str">
        <f>IFERROR(IF(AND(COUNT(AN35,AO35,AP35,AR35)=4,(AN40+AO40+AP40+AR40)&lt;&gt;0),((AN35+AO35+AP35+AR35)-(AN134+AO134+AP134+AR134))/-(AN40+AO40+AP40+AR40),""),"")</f>
        <v/>
      </c>
      <c r="AS299" s="264" t="str">
        <f>IFERROR(IF(AND(COUNT(AO35,AP35,AR35,AS35)=4,(AO40+AP40+AR40+AS40)&lt;&gt;0),((AO35+AP35+AR35+AS35)-(AO134+AP134+AR134+AS134))/-(AO40+AP40+AR40+AS40),""),"")</f>
        <v/>
      </c>
      <c r="AT299" s="264" t="str">
        <f>IFERROR(IF(AND(COUNT(AP35,AR35,AS35,AT35)=4,(AP40+AR40+AS40+AT40)&lt;&gt;0),((AP35+AR35+AS35+AT35)-(AP134+AR134+AS134+AT134))/-(AP40+AR40+AS40+AT40),""),"")</f>
        <v/>
      </c>
      <c r="AU299" s="264" t="str">
        <f>IFERROR(IF(AND(COUNT(AR35,AS35,AT35,AU35)=4,(AR40+AS40+AT40+AU40)&lt;&gt;0),((AR35+AS35+AT35+AU35)-(AR134+AS134+AT134+AU134))/-(AR40+AS40+AT40+AU40),""),"")</f>
        <v/>
      </c>
      <c r="AV299" s="264" t="str">
        <f>IFERROR(IF(AND(COUNT(AR35,AS35,AT35,AU35)=4,(AR40+AS40+AT40+AU40)&lt;&gt;0),((AR35+AS35+AT35+AU35)-(AR134+AS134+AT134+AU134))/-(AR40+AS40+AT40+AU40),""),"")</f>
        <v/>
      </c>
      <c r="AW299" s="264" t="str">
        <f>IFERROR(IF(AND(COUNT(AS35,AT35,AU35,AW35)=4,(AS40+AT40+AU40+AW40)&lt;&gt;0),((AS35+AT35+AU35+AW35)-(AS134+AT134+AU134+AW134))/-(AS40+AT40+AU40+AW40),""),"")</f>
        <v/>
      </c>
      <c r="AX299" s="264" t="str">
        <f>IFERROR(IF(AND(COUNT(AT35,AU35,AW35,AX35)=4,(AT40+AU40+AW40+AX40)&lt;&gt;0),((AT35+AU35+AW35+AX35)-(AT134+AU134+AW134+AX134))/-(AT40+AU40+AW40+AX40),""),"")</f>
        <v/>
      </c>
      <c r="AY299" s="264" t="str">
        <f>IFERROR(IF(AND(COUNT(AU35,AW35,AX35,AY35)=4,(AU40+AW40+AX40+AY40)&lt;&gt;0),((AU35+AW35+AX35+AY35)-(AU134+AW134+AX134+AY134))/-(AU40+AW40+AX40+AY40),""),"")</f>
        <v/>
      </c>
      <c r="AZ299" s="264" t="str">
        <f>IFERROR(IF(AND(COUNT(AW35,AX35,AY35,AZ35)=4,(AW40+AX40+AY40+AZ40)&lt;&gt;0),((AW35+AX35+AY35+AZ35)-(AW134+AX134+AY134+AZ134))/-(AW40+AX40+AY40+AZ40),""),"")</f>
        <v/>
      </c>
      <c r="BA299" s="264" t="str">
        <f>IFERROR(IF(AND(COUNT(AW35,AX35,AY35,AZ35)=4,(AW40+AX40+AY40+AZ40)&lt;&gt;0),((AW35+AX35+AY35+AZ35)-(AW134+AX134+AY134+AZ134))/-(AW40+AX40+AY40+AZ40),""),"")</f>
        <v/>
      </c>
      <c r="BB299" s="264" t="str">
        <f>IFERROR(IF(AND(COUNT(AX35,AY35,AZ35,BB35)=4,(AX40+AY40+AZ40+BB40)&lt;&gt;0),((AX35+AY35+AZ35+BB35)-(AX134+AY134+AZ134+BB134))/-(AX40+AY40+AZ40+BB40),""),"")</f>
        <v/>
      </c>
      <c r="BC299" s="264" t="str">
        <f>IFERROR(IF(AND(COUNT(AY35,AZ35,BB35,BC35)=4,(AY40+AZ40+BB40+BC40)&lt;&gt;0),((AY35+AZ35+BB35+BC35)-(AY134+AZ134+BB134+BC134))/-(AY40+AZ40+BB40+BC40),""),"")</f>
        <v/>
      </c>
      <c r="BD299" s="264" t="str">
        <f>IFERROR(IF(AND(COUNT(AZ35,BB35,BC35,BD35)=4,(AZ40+BB40+BC40+BD40)&lt;&gt;0),((AZ35+BB35+BC35+BD35)-(AZ134+BB134+BC134+BD134))/-(AZ40+BB40+BC40+BD40),""),"")</f>
        <v/>
      </c>
      <c r="BE299" s="264" t="str">
        <f>IFERROR(IF(AND(COUNT(BB35,BC35,BD35,BE35)=4,(BB40+BC40+BD40+BE40)&lt;&gt;0),((BB35+BC35+BD35+BE35)-(BB134+BC134+BD134+BE134))/-(BB40+BC40+BD40+BE40),""),"")</f>
        <v/>
      </c>
      <c r="BF299" s="264" t="str">
        <f>IFERROR(IF(AND(COUNT(BB35,BC35,BD35,BE35)=4,(BB40+BC40+BD40+BE40)&lt;&gt;0),((BB35+BC35+BD35+BE35)-(BB134+BC134+BD134+BE134))/-(BB40+BC40+BD40+BE40),""),"")</f>
        <v/>
      </c>
      <c r="BG299" s="82" t="n"/>
      <c r="BH299" s="82" t="n"/>
      <c r="BI299" s="82" t="n"/>
      <c r="BJ299" s="82" t="n"/>
      <c r="BL299" s="82" t="n"/>
      <c r="BM299" s="82" t="n"/>
      <c r="BN299" s="82" t="n"/>
      <c r="BO299" s="82" t="n"/>
      <c r="BQ299" s="82" t="n"/>
      <c r="BR299" s="82" t="n"/>
      <c r="BS299" s="82" t="n"/>
      <c r="BT299" s="82" t="n"/>
      <c r="BV299" s="82" t="n"/>
      <c r="BW299" s="82" t="n"/>
      <c r="BX299" s="82" t="n"/>
      <c r="BY299" s="82" t="n"/>
      <c r="CA299" s="82" t="n"/>
      <c r="CB299" s="82" t="n"/>
      <c r="CC299" s="82" t="n"/>
      <c r="CD299" s="82" t="n"/>
      <c r="CF299" s="82" t="n"/>
      <c r="CG299" s="82" t="n"/>
      <c r="CH299" s="82" t="n"/>
      <c r="CI299" s="82" t="n"/>
      <c r="CK299" s="82" t="n"/>
      <c r="CL299" s="82" t="n"/>
      <c r="CM299" s="82" t="n"/>
      <c r="CN299" s="82" t="n"/>
      <c r="CP299" s="82" t="n"/>
      <c r="CQ299" s="82" t="n"/>
      <c r="CR299" s="82" t="n"/>
      <c r="CS299" s="82" t="n"/>
      <c r="CU299" s="82" t="n"/>
      <c r="CV299" s="82" t="n"/>
      <c r="CW299" s="82" t="n"/>
      <c r="CX299" s="82" t="n"/>
    </row>
    <row r="300" customFormat="1" s="77">
      <c r="A300" s="76" t="n"/>
      <c r="B300" s="76" t="n"/>
      <c r="C300" s="77" t="inlineStr">
        <is>
          <t>TOTAL DEBT / EBITDA (LTM)</t>
        </is>
      </c>
      <c r="D300" s="82" t="str">
        <f>IFERROR(SUM(D178,D179,D180,D183,D201,D204)/D35,"")</f>
        <v/>
      </c>
      <c r="E300" s="82" t="str">
        <f>IFERROR(SUM(E178,E179,E180,E183,E201,E204)/E35,"")</f>
        <v/>
      </c>
      <c r="F300" s="82" t="str">
        <f>IFERROR(SUM(F178,F179,F180,F183,F201,F204)/F35,"")</f>
        <v/>
      </c>
      <c r="G300" s="82" t="str">
        <f>IFERROR(SUM(G178,G179,G180,G183,G201,G204)/G35,"")</f>
        <v/>
      </c>
      <c r="H300" s="264" t="str">
        <f>IFERROR(IF(AND(COUNT(H35)=1,(H35)&lt;&gt;0),(N(H178)+N(H179)+N(H180)+N(H183)+N(H201)+N(H204))/(H35),""),"")</f>
        <v/>
      </c>
      <c r="I300" s="264" t="str">
        <f>""</f>
        <v/>
      </c>
      <c r="J300" s="264" t="str">
        <f>""</f>
        <v/>
      </c>
      <c r="K300" s="264" t="str">
        <f>""</f>
        <v/>
      </c>
      <c r="L300" s="264">
        <f>IFERROR(IF(AND(COUNT(I35,J35,K35,L35)=4,(I35+J35+K35+L35)&lt;&gt;0),(N(L178)+N(L179)+N(L180)+N(L183)+N(L201)+N(L204))/(I35+J35+K35+L35),""),"")</f>
        <v>2.93281242558314</v>
      </c>
      <c r="M300" s="264">
        <f>IFERROR(IF(AND(COUNT(I35,J35,K35,L35)=4,(I35+J35+K35+L35)&lt;&gt;0),(N(M178)+N(M179)+N(M180)+N(M183)+N(M201)+N(M204))/(I35+J35+K35+L35),""),"")</f>
        <v>2.93281242558314</v>
      </c>
      <c r="N300" s="264">
        <f>IFERROR(IF(AND(COUNT(J35,K35,L35,N35)=4,(J35+K35+L35+N35)&lt;&gt;0),(N(N178)+N(N179)+N(N180)+N(N183)+N(N201)+N(N204))/(J35+K35+L35+N35),""),"")</f>
        <v>2.71811129752223</v>
      </c>
      <c r="O300" s="264">
        <f>IFERROR(IF(AND(COUNT(K35,L35,N35,O35)=4,(K35+L35+N35+O35)&lt;&gt;0),(N(O178)+N(O179)+N(O180)+N(O183)+N(O201)+N(O204))/(K35+L35+N35+O35),""),"")</f>
        <v>3.23359984475843</v>
      </c>
      <c r="P300" s="264">
        <f>IFERROR(IF(AND(COUNT(L35,N35,O35,P35)=4,(L35+N35+O35+P35)&lt;&gt;0),(N(P178)+N(P179)+N(P180)+N(P183)+N(P201)+N(P204))/(L35+N35+O35+P35),""),"")</f>
        <v>3.13687872898402</v>
      </c>
      <c r="Q300" s="264">
        <f>IFERROR(IF(AND(COUNT(N35,O35,P35,Q35)=4,(N35+O35+P35+Q35)&lt;&gt;0),(N(Q178)+N(Q179)+N(Q180)+N(Q183)+N(Q201)+N(Q204))/(N35+O35+P35+Q35),""),"")</f>
        <v>3.35775702398486</v>
      </c>
      <c r="R300" s="264">
        <f>IFERROR(IF(AND(COUNT(N35,O35,P35,Q35)=4,(N35+O35+P35+Q35)&lt;&gt;0),(N(R178)+N(R179)+N(R180)+N(R183)+N(R201)+N(R204))/(N35+O35+P35+Q35),""),"")</f>
        <v>3.35775702398486</v>
      </c>
      <c r="S300" s="264">
        <f>IFERROR(IF(AND(COUNT(O35,P35,Q35,S35)=4,(O35+P35+Q35+S35)&lt;&gt;0),(N(S178)+N(S179)+N(S180)+N(S183)+N(S201)+N(S204))/(O35+P35+Q35+S35),""),"")</f>
        <v>3.29247611108419</v>
      </c>
      <c r="T300" s="264">
        <f>IFERROR(IF(AND(COUNT(P35,Q35,S35,T35)=4,(P35+Q35+S35+T35)&lt;&gt;0),(N(T178)+N(T179)+N(T180)+N(T183)+N(T201)+N(T204))/(P35+Q35+S35+T35),""),"")</f>
        <v>3.66727469196762</v>
      </c>
      <c r="U300" s="264">
        <f>IFERROR(IF(AND(COUNT(Q35,S35,T35,U35)=4,(Q35+S35+T35+U35)&lt;&gt;0),(N(U178)+N(U179)+N(U180)+N(U183)+N(U201)+N(U204))/(Q35+S35+T35+U35),""),"")</f>
        <v>3.11935778020104</v>
      </c>
      <c r="V300" s="264">
        <f>IFERROR(IF(AND(COUNT(S35,T35,U35,V35)=4,(S35+T35+U35+V35)&lt;&gt;0),(N(V178)+N(V179)+N(V180)+N(V183)+N(V201)+N(V204))/(S35+T35+U35+V35),""),"")</f>
        <v>2.91531912767308</v>
      </c>
      <c r="W300" s="264">
        <f>IFERROR(IF(AND(COUNT(S35,T35,U35,V35)=4,(S35+T35+U35+V35)&lt;&gt;0),(N(W178)+N(W179)+N(W180)+N(W183)+N(W201)+N(W204))/(S35+T35+U35+V35),""),"")</f>
        <v>2.91531912767308</v>
      </c>
      <c r="X300" s="264">
        <f>IFERROR(IF(AND(COUNT(T35,U35,V35,X35)=4,(T35+U35+V35+X35)&lt;&gt;0),(N(X178)+N(X179)+N(X180)+N(X183)+N(X201)+N(X204))/(T35+U35+V35+X35),""),"")</f>
        <v>2.62249214719903</v>
      </c>
      <c r="Y300" s="264">
        <f>IFERROR(IF(AND(COUNT(U35,V35,X35,Y35)=4,(U35+V35+X35+Y35)&lt;&gt;0),(N(Y178)+N(Y179)+N(Y180)+N(Y183)+N(Y201)+N(Y204))/(U35+V35+X35+Y35),""),"")</f>
        <v>2.85457316369113</v>
      </c>
      <c r="Z300" s="264">
        <f>IFERROR(IF(AND(COUNT(V35,X35,Y35,Z35)=4,(V35+X35+Y35+Z35)&lt;&gt;0),(N(Z178)+N(Z179)+N(Z180)+N(Z183)+N(Z201)+N(Z204))/(V35+X35+Y35+Z35),""),"")</f>
        <v>2.8239096886108</v>
      </c>
      <c r="AA300" s="264">
        <f>IFERROR(IF(AND(COUNT(X35,Y35,Z35,AA35)=4,(X35+Y35+Z35+AA35)&lt;&gt;0),(N(AA178)+N(AA179)+N(AA180)+N(AA183)+N(AA201)+N(AA204))/(X35+Y35+Z35+AA35),""),"")</f>
        <v>2.89409167738843</v>
      </c>
      <c r="AB300" s="264">
        <f>IFERROR(IF(AND(COUNT(X35,Y35,Z35,AA35)=4,(X35+Y35+Z35+AA35)&lt;&gt;0),(N(AB178)+N(AB179)+N(AB180)+N(AB183)+N(AB201)+N(AB204))/(X35+Y35+Z35+AA35),""),"")</f>
        <v>2.89409167738843</v>
      </c>
      <c r="AC300" s="264">
        <f>IFERROR(IF(AND(COUNT(Y35,Z35,AA35,AC35)=4,(Y35+Z35+AA35+AC35)&lt;&gt;0),(N(AC178)+N(AC179)+N(AC180)+N(AC183)+N(AC201)+N(AC204))/(Y35+Z35+AA35+AC35),""),"")</f>
        <v>2.90810575183963</v>
      </c>
      <c r="AD300" s="264">
        <f>IFERROR(IF(AND(COUNT(Z35,AA35,AC35,AD35)=4,(Z35+AA35+AC35+AD35)&lt;&gt;0),(N(AD178)+N(AD179)+N(AD180)+N(AD183)+N(AD201)+N(AD204))/(Z35+AA35+AC35+AD35),""),"")</f>
        <v>2.84390408358367</v>
      </c>
      <c r="AE300" s="264">
        <f>IFERROR(IF(AND(COUNT(AA35,AC35,AD35,AE35)=4,(AA35+AC35+AD35+AE35)&lt;&gt;0),(N(AE178)+N(AE179)+N(AE180)+N(AE183)+N(AE201)+N(AE204))/(AA35+AC35+AD35+AE35),""),"")</f>
        <v>2.83485808139583</v>
      </c>
      <c r="AF300" s="264">
        <f>IFERROR(IF(AND(COUNT(AB35,AD35,AE35,AF35)=4,(AB35+AD35+AE35+AF35)&lt;&gt;0),(N(AF178)+N(AF179)+N(AF180)+N(AF183)+N(AF201)+N(AF204))/(AB35+AD35+AE35+AF35),""),"")</f>
        <v>1.59660041028375</v>
      </c>
      <c r="AG300" s="264">
        <f>IFERROR(IF(AND(COUNT(AC35,AD35,AE35,AF35)=4,(AC35+AD35+AE35+AF35)&lt;&gt;0),(N(AG178)+N(AG179)+N(AG180)+N(AG183)+N(AG201)+N(AG204))/(AC35+AD35+AE35+AF35),""),"")</f>
        <v>2.6692111094386</v>
      </c>
      <c r="AH300" s="264">
        <f>IFERROR(IF(AND(COUNT(AD35,AF35,AG35,AH35)=4,(AD35+AF35+AG35+AH35)&lt;&gt;0),(N(AH178)+N(AH179)+N(AH180)+N(AH183)+N(AH201)+N(AH204))/(AD35+AF35+AG35+AH35),""),"")</f>
        <v>1.54526951662203</v>
      </c>
      <c r="AI300" s="264">
        <f>IFERROR(IF(AND(COUNT(AE35,AG35,AH35,AI35)=4,(AE35+AG35+AH35+AI35)&lt;&gt;0),(N(AI178)+N(AI179)+N(AI180)+N(AI183)+N(AI201)+N(AI204))/(AE35+AG35+AH35+AI35),""),"")</f>
        <v>1.47249958312965</v>
      </c>
      <c r="AJ300" s="264">
        <f>IFERROR(IF(AND(COUNT(AF35,AH35,AI35,AJ35)=4,(AF35+AH35+AI35+AJ35)&lt;&gt;0),(N(AJ178)+N(AJ179)+N(AJ180)+N(AJ183)+N(AJ201)+N(AJ204))/(AF35+AH35+AI35+AJ35),""),"")</f>
        <v>2.53003753750777</v>
      </c>
      <c r="AK300" s="264">
        <f>IFERROR(IF(AND(COUNT(AH35,AI35,AJ35,AK35)=4,(AH35+AI35+AJ35+AK35)&lt;&gt;0),(N(AK178)+N(AK179)+N(AK180)+N(AK183)+N(AK201)+N(AK204))/(AH35+AI35+AJ35+AK35),""),"")</f>
        <v>2.39198092204617</v>
      </c>
      <c r="AL300" s="264">
        <f>IFERROR(IF(AND(COUNT(AH35,AI35,AJ35,AK35)=4,(AH35+AI35+AJ35+AK35)&lt;&gt;0),(N(AL178)+N(AL179)+N(AL180)+N(AL183)+N(AL201)+N(AL204))/(AH35+AI35+AJ35+AK35),""),"")</f>
        <v>2.39198092204617</v>
      </c>
      <c r="AM300" s="264">
        <f>IFERROR(IF(AND(COUNT(AI35,AJ35,AK35,AM35)=4,(AI35+AJ35+AK35+AM35)&lt;&gt;0),(N(AM178)+N(AM179)+N(AM180)+N(AM183)+N(AM201)+N(AM204))/(AI35+AJ35+AK35+AM35),""),"")</f>
        <v>2.36364651397929</v>
      </c>
      <c r="AN300" s="264">
        <f>IFERROR(IF(AND(COUNT(AJ35,AK35,AM35,AN35)=4,(AJ35+AK35+AM35+AN35)&lt;&gt;0),(N(AN178)+N(AN179)+N(AN180)+N(AN183)+N(AN201)+N(AN204))/(AJ35+AK35+AM35+AN35),""),"")</f>
        <v>2.31757279734708</v>
      </c>
      <c r="AO300" s="264">
        <f>IFERROR(IF(AND(COUNT(AK35,AM35,AN35,AO35)=4,(AK35+AM35+AN35+AO35)&lt;&gt;0),(N(AO178)+N(AO179)+N(AO180)+N(AO183)+N(AO201)+N(AO204))/(AK35+AM35+AN35+AO35),""),"")</f>
        <v>2.2643699733643</v>
      </c>
      <c r="AP300" s="264">
        <f>IFERROR(IF(AND(COUNT(AM35,AN35,AO35,AP35)=4,(AM35+AN35+AO35+AP35)&lt;&gt;0),(N(AP178)+N(AP179)+N(AP180)+N(AP183)+N(AP201)+N(AP204))/(AM35+AN35+AO35+AP35),""),"")</f>
        <v>2.21651506927073</v>
      </c>
      <c r="AQ300" s="264">
        <f>IFERROR(IF(AND(COUNT(AM35,AN35,AO35,AP35)=4,(AM35+AN35+AO35+AP35)&lt;&gt;0),(N(AQ178)+N(AQ179)+N(AQ180)+N(AQ183)+N(AQ201)+N(AQ204))/(AM35+AN35+AO35+AP35),""),"")</f>
        <v>2.21651506927073</v>
      </c>
      <c r="AR300" s="264">
        <f>IFERROR(IF(AND(COUNT(AN35,AO35,AP35,AR35)=4,(AN35+AO35+AP35+AR35)&lt;&gt;0),(N(AR178)+N(AR179)+N(AR180)+N(AR183)+N(AR201)+N(AR204))/(AN35+AO35+AP35+AR35),""),"")</f>
        <v>2.16966869208306</v>
      </c>
      <c r="AS300" s="264">
        <f>IFERROR(IF(AND(COUNT(AO35,AP35,AR35,AS35)=4,(AO35+AP35+AR35+AS35)&lt;&gt;0),(N(AS178)+N(AS179)+N(AS180)+N(AS183)+N(AS201)+N(AS204))/(AO35+AP35+AR35+AS35),""),"")</f>
        <v>2.12291282497236</v>
      </c>
      <c r="AT300" s="264">
        <f>IFERROR(IF(AND(COUNT(AP35,AR35,AS35,AT35)=4,(AP35+AR35+AS35+AT35)&lt;&gt;0),(N(AT178)+N(AT179)+N(AT180)+N(AT183)+N(AT201)+N(AT204))/(AP35+AR35+AS35+AT35),""),"")</f>
        <v>2.07660014959522</v>
      </c>
      <c r="AU300" s="264">
        <f>IFERROR(IF(AND(COUNT(AR35,AS35,AT35,AU35)=4,(AR35+AS35+AT35+AU35)&lt;&gt;0),(N(AU178)+N(AU179)+N(AU180)+N(AU183)+N(AU201)+N(AU204))/(AR35+AS35+AT35+AU35),""),"")</f>
        <v>2.0348503263759</v>
      </c>
      <c r="AV300" s="264">
        <f>IFERROR(IF(AND(COUNT(AR35,AS35,AT35,AU35)=4,(AR35+AS35+AT35+AU35)&lt;&gt;0),(N(AV178)+N(AV179)+N(AV180)+N(AV183)+N(AV201)+N(AV204))/(AR35+AS35+AT35+AU35),""),"")</f>
        <v>2.0348503263759</v>
      </c>
      <c r="AW300" s="264">
        <f>IFERROR(IF(AND(COUNT(AS35,AT35,AU35,AW35)=4,(AS35+AT35+AU35+AW35)&lt;&gt;0),(N(AW178)+N(AW179)+N(AW180)+N(AW183)+N(AW201)+N(AW204))/(AS35+AT35+AU35+AW35),""),"")</f>
        <v>1.99420397546614</v>
      </c>
      <c r="AX300" s="264">
        <f>IFERROR(IF(AND(COUNT(AT35,AU35,AW35,AX35)=4,(AT35+AU35+AW35+AX35)&lt;&gt;0),(N(AX178)+N(AX179)+N(AX180)+N(AX183)+N(AX201)+N(AX204))/(AT35+AU35+AW35+AX35),""),"")</f>
        <v>1.95353998185755</v>
      </c>
      <c r="AY300" s="264">
        <f>IFERROR(IF(AND(COUNT(AU35,AW35,AX35,AY35)=4,(AU35+AW35+AX35+AY35)&lt;&gt;0),(N(AY178)+N(AY179)+N(AY180)+N(AY183)+N(AY201)+N(AY204))/(AU35+AW35+AX35+AY35),""),"")</f>
        <v>1.91316638083592</v>
      </c>
      <c r="AZ300" s="264">
        <f>IFERROR(IF(AND(COUNT(AW35,AX35,AY35,AZ35)=4,(AW35+AX35+AY35+AZ35)&lt;&gt;0),(N(AZ178)+N(AZ179)+N(AZ180)+N(AZ183)+N(AZ201)+N(AZ204))/(AW35+AX35+AY35+AZ35),""),"")</f>
        <v>1.87668913961499</v>
      </c>
      <c r="BA300" s="264">
        <f>IFERROR(IF(AND(COUNT(AW35,AX35,AY35,AZ35)=4,(AW35+AX35+AY35+AZ35)&lt;&gt;0),(N(BA178)+N(BA179)+N(BA180)+N(BA183)+N(BA201)+N(BA204))/(AW35+AX35+AY35+AZ35),""),"")</f>
        <v>1.87668913961499</v>
      </c>
      <c r="BB300" s="264">
        <f>IFERROR(IF(AND(COUNT(AX35,AY35,AZ35,BB35)=4,(AX35+AY35+AZ35+BB35)&lt;&gt;0),(N(BB178)+N(BB179)+N(BB180)+N(BB183)+N(BB201)+N(BB204))/(AX35+AY35+AZ35+BB35),""),"")</f>
        <v>1.84138428221838</v>
      </c>
      <c r="BC300" s="264">
        <f>IFERROR(IF(AND(COUNT(AY35,AZ35,BB35,BC35)=4,(AY35+AZ35+BB35+BC35)&lt;&gt;0),(N(BC178)+N(BC179)+N(BC180)+N(BC183)+N(BC201)+N(BC204))/(AY35+AZ35+BB35+BC35),""),"")</f>
        <v>1.80598016824702</v>
      </c>
      <c r="BD300" s="264">
        <f>IFERROR(IF(AND(COUNT(AZ35,BB35,BC35,BD35)=4,(AZ35+BB35+BC35+BD35)&lt;&gt;0),(N(BD178)+N(BD179)+N(BD180)+N(BD183)+N(BD201)+N(BD204))/(AZ35+BB35+BC35+BD35),""),"")</f>
        <v>1.77074553547677</v>
      </c>
      <c r="BE300" s="264">
        <f>IFERROR(IF(AND(COUNT(BB35,BC35,BD35,BE35)=4,(BB35+BC35+BD35+BE35)&lt;&gt;0),(N(BE178)+N(BE179)+N(BE180)+N(BE183)+N(BE201)+N(BE204))/(BB35+BC35+BD35+BE35),""),"")</f>
        <v>1.73883965240165</v>
      </c>
      <c r="BF300" s="264">
        <f>IFERROR(IF(AND(COUNT(BB35,BC35,BD35,BE35)=4,(BB35+BC35+BD35+BE35)&lt;&gt;0),(N(BF178)+N(BF179)+N(BF180)+N(BF183)+N(BF201)+N(BF204))/(BB35+BC35+BD35+BE35),""),"")</f>
        <v>1.73883965240165</v>
      </c>
      <c r="BG300" s="82" t="n"/>
      <c r="BH300" s="82" t="n"/>
      <c r="BI300" s="82" t="n"/>
      <c r="BJ300" s="82" t="n"/>
      <c r="BL300" s="82" t="n"/>
      <c r="BM300" s="82" t="n"/>
      <c r="BN300" s="82" t="n"/>
      <c r="BO300" s="82" t="n"/>
      <c r="BQ300" s="82" t="n"/>
      <c r="BR300" s="82" t="n"/>
      <c r="BS300" s="82" t="n"/>
      <c r="BT300" s="82" t="n"/>
      <c r="BV300" s="82" t="n"/>
      <c r="BW300" s="82" t="n"/>
      <c r="BX300" s="82" t="n"/>
      <c r="BY300" s="82" t="n"/>
      <c r="CA300" s="82" t="n"/>
      <c r="CB300" s="82" t="n"/>
      <c r="CC300" s="82" t="n"/>
      <c r="CD300" s="82" t="n"/>
      <c r="CF300" s="82" t="n"/>
      <c r="CG300" s="82" t="n"/>
      <c r="CH300" s="82" t="n"/>
      <c r="CI300" s="82" t="n"/>
      <c r="CK300" s="82" t="n"/>
      <c r="CL300" s="82" t="n"/>
      <c r="CM300" s="82" t="n"/>
      <c r="CN300" s="82" t="n"/>
      <c r="CP300" s="82" t="n"/>
      <c r="CQ300" s="82" t="n"/>
      <c r="CR300" s="82" t="n"/>
      <c r="CS300" s="82" t="n"/>
      <c r="CU300" s="82" t="n"/>
      <c r="CV300" s="82" t="n"/>
      <c r="CW300" s="82" t="n"/>
      <c r="CX300" s="82" t="n"/>
    </row>
    <row r="301" customFormat="1" s="77">
      <c r="A301" s="76" t="n"/>
      <c r="B301" s="76" t="n"/>
      <c r="C301" s="77" t="inlineStr">
        <is>
          <t>TOTAL DEBT / TOTAL CAPITALIZATION</t>
        </is>
      </c>
      <c r="D301" s="80" t="str">
        <f>IFERROR(SUM(D178+D179+D180+D183+D201+D204)/(SUM(D178+D179+D180+D183+D201+D204)+D237),"")</f>
        <v/>
      </c>
      <c r="E301" s="80" t="str">
        <f>IFERROR(SUM(E178+E179+E180+E183+E201+E204)/(SUM(E178+E179+E180+E183+E201+E204)+E237),"")</f>
        <v/>
      </c>
      <c r="F301" s="80" t="str">
        <f>IFERROR(SUM(F178+F179+F180+F183+F201+F204)/(SUM(F178+F179+F180+F183+F201+F204)+F237),"")</f>
        <v/>
      </c>
      <c r="G301" s="80" t="str">
        <f>IFERROR(SUM(G178+G179+G180+G183+G201+G204)/(SUM(G178+G179+G180+G183+G201+G204)+G237),"")</f>
        <v/>
      </c>
      <c r="H301" s="258" t="str">
        <f>IFERROR(IF(((N(H178)+N(H179)+N(H180)+N(H183)+N(H201)+N(H204))+N(H237))&lt;&gt;0,(N(H178)+N(H179)+N(H180)+N(H183)+N(H201)+N(H204))/((N(H178)+N(H179)+N(H180)+N(H183)+N(H201)+N(H204))+H237),""),"")</f>
        <v/>
      </c>
      <c r="I301" s="258">
        <f>IFERROR(IF(((N(I178)+N(I179)+N(I180)+N(I183)+N(I201)+N(I204))+N(I237))&lt;&gt;0,(N(I178)+N(I179)+N(I180)+N(I183)+N(I201)+N(I204))/((N(I178)+N(I179)+N(I180)+N(I183)+N(I201)+N(I204))+I237),""),"")</f>
        <v>0.61975895163541</v>
      </c>
      <c r="J301" s="258">
        <f>IFERROR(IF(((N(J178)+N(J179)+N(J180)+N(J183)+N(J201)+N(J204))+N(J237))&lt;&gt;0,(N(J178)+N(J179)+N(J180)+N(J183)+N(J201)+N(J204))/((N(J178)+N(J179)+N(J180)+N(J183)+N(J201)+N(J204))+J237),""),"")</f>
        <v>0.595175710978901</v>
      </c>
      <c r="K301" s="258">
        <f>IFERROR(IF(((N(K178)+N(K179)+N(K180)+N(K183)+N(K201)+N(K204))+N(K237))&lt;&gt;0,(N(K178)+N(K179)+N(K180)+N(K183)+N(K201)+N(K204))/((N(K178)+N(K179)+N(K180)+N(K183)+N(K201)+N(K204))+K237),""),"")</f>
        <v>0.640430120360472</v>
      </c>
      <c r="L301" s="258">
        <f>IFERROR(IF(((N(L178)+N(L179)+N(L180)+N(L183)+N(L201)+N(L204))+N(L237))&lt;&gt;0,(N(L178)+N(L179)+N(L180)+N(L183)+N(L201)+N(L204))/((N(L178)+N(L179)+N(L180)+N(L183)+N(L201)+N(L204))+L237),""),"")</f>
        <v>0.625470909247736</v>
      </c>
      <c r="M301" s="258">
        <f>IFERROR(IF(((N(M178)+N(M179)+N(M180)+N(M183)+N(M201)+N(M204))+N(M237))&lt;&gt;0,(N(M178)+N(M179)+N(M180)+N(M183)+N(M201)+N(M204))/((N(M178)+N(M179)+N(M180)+N(M183)+N(M201)+N(M204))+M237),""),"")</f>
        <v>0.625470909247736</v>
      </c>
      <c r="N301" s="258">
        <f>IFERROR(IF(((N(N178)+N(N179)+N(N180)+N(N183)+N(N201)+N(N204))+N(N237))&lt;&gt;0,(N(N178)+N(N179)+N(N180)+N(N183)+N(N201)+N(N204))/((N(N178)+N(N179)+N(N180)+N(N183)+N(N201)+N(N204))+N237),""),"")</f>
        <v>0.62967342163622</v>
      </c>
      <c r="O301" s="258">
        <f>IFERROR(IF(((N(O178)+N(O179)+N(O180)+N(O183)+N(O201)+N(O204))+N(O237))&lt;&gt;0,(N(O178)+N(O179)+N(O180)+N(O183)+N(O201)+N(O204))/((N(O178)+N(O179)+N(O180)+N(O183)+N(O201)+N(O204))+O237),""),"")</f>
        <v>0.675131781165943</v>
      </c>
      <c r="P301" s="258">
        <f>IFERROR(IF(((N(P178)+N(P179)+N(P180)+N(P183)+N(P201)+N(P204))+N(P237))&lt;&gt;0,(N(P178)+N(P179)+N(P180)+N(P183)+N(P201)+N(P204))/((N(P178)+N(P179)+N(P180)+N(P183)+N(P201)+N(P204))+P237),""),"")</f>
        <v>0.664436581493136</v>
      </c>
      <c r="Q301" s="258">
        <f>IFERROR(IF(((N(Q178)+N(Q179)+N(Q180)+N(Q183)+N(Q201)+N(Q204))+N(Q237))&lt;&gt;0,(N(Q178)+N(Q179)+N(Q180)+N(Q183)+N(Q201)+N(Q204))/((N(Q178)+N(Q179)+N(Q180)+N(Q183)+N(Q201)+N(Q204))+Q237),""),"")</f>
        <v>0.596602127404845</v>
      </c>
      <c r="R301" s="258">
        <f>IFERROR(IF(((N(R178)+N(R179)+N(R180)+N(R183)+N(R201)+N(R204))+N(R237))&lt;&gt;0,(N(R178)+N(R179)+N(R180)+N(R183)+N(R201)+N(R204))/((N(R178)+N(R179)+N(R180)+N(R183)+N(R201)+N(R204))+R237),""),"")</f>
        <v>0.596602127404845</v>
      </c>
      <c r="S301" s="258">
        <f>IFERROR(IF(((N(S178)+N(S179)+N(S180)+N(S183)+N(S201)+N(S204))+N(S237))&lt;&gt;0,(N(S178)+N(S179)+N(S180)+N(S183)+N(S201)+N(S204))/((N(S178)+N(S179)+N(S180)+N(S183)+N(S201)+N(S204))+S237),""),"")</f>
        <v>0.586348338759183</v>
      </c>
      <c r="T301" s="258">
        <f>IFERROR(IF(((N(T178)+N(T179)+N(T180)+N(T183)+N(T201)+N(T204))+N(T237))&lt;&gt;0,(N(T178)+N(T179)+N(T180)+N(T183)+N(T201)+N(T204))/((N(T178)+N(T179)+N(T180)+N(T183)+N(T201)+N(T204))+T237),""),"")</f>
        <v>0.47778087970369</v>
      </c>
      <c r="U301" s="258">
        <f>IFERROR(IF(((N(U178)+N(U179)+N(U180)+N(U183)+N(U201)+N(U204))+N(U237))&lt;&gt;0,(N(U178)+N(U179)+N(U180)+N(U183)+N(U201)+N(U204))/((N(U178)+N(U179)+N(U180)+N(U183)+N(U201)+N(U204))+U237),""),"")</f>
        <v>0.465231710488707</v>
      </c>
      <c r="V301" s="258">
        <f>IFERROR(IF(((N(V178)+N(V179)+N(V180)+N(V183)+N(V201)+N(V204))+N(V237))&lt;&gt;0,(N(V178)+N(V179)+N(V180)+N(V183)+N(V201)+N(V204))/((N(V178)+N(V179)+N(V180)+N(V183)+N(V201)+N(V204))+V237),""),"")</f>
        <v>0.475776508873215</v>
      </c>
      <c r="W301" s="258">
        <f>IFERROR(IF(((N(W178)+N(W179)+N(W180)+N(W183)+N(W201)+N(W204))+N(W237))&lt;&gt;0,(N(W178)+N(W179)+N(W180)+N(W183)+N(W201)+N(W204))/((N(W178)+N(W179)+N(W180)+N(W183)+N(W201)+N(W204))+W237),""),"")</f>
        <v>0.475776508873215</v>
      </c>
      <c r="X301" s="258">
        <f>IFERROR(IF(((N(X178)+N(X179)+N(X180)+N(X183)+N(X201)+N(X204))+N(X237))&lt;&gt;0,(N(X178)+N(X179)+N(X180)+N(X183)+N(X201)+N(X204))/((N(X178)+N(X179)+N(X180)+N(X183)+N(X201)+N(X204))+X237),""),"")</f>
        <v>0.46997623267743</v>
      </c>
      <c r="Y301" s="258">
        <f>IFERROR(IF(((N(Y178)+N(Y179)+N(Y180)+N(Y183)+N(Y201)+N(Y204))+N(Y237))&lt;&gt;0,(N(Y178)+N(Y179)+N(Y180)+N(Y183)+N(Y201)+N(Y204))/((N(Y178)+N(Y179)+N(Y180)+N(Y183)+N(Y201)+N(Y204))+Y237),""),"")</f>
        <v>0.502406347072908</v>
      </c>
      <c r="Z301" s="258">
        <f>IFERROR(IF(((N(Z178)+N(Z179)+N(Z180)+N(Z183)+N(Z201)+N(Z204))+N(Z237))&lt;&gt;0,(N(Z178)+N(Z179)+N(Z180)+N(Z183)+N(Z201)+N(Z204))/((N(Z178)+N(Z179)+N(Z180)+N(Z183)+N(Z201)+N(Z204))+Z237),""),"")</f>
        <v>0.503908787702751</v>
      </c>
      <c r="AA301" s="258">
        <f>IFERROR(IF(((N(AA178)+N(AA179)+N(AA180)+N(AA183)+N(AA201)+N(AA204))+N(AA237))&lt;&gt;0,(N(AA178)+N(AA179)+N(AA180)+N(AA183)+N(AA201)+N(AA204))/((N(AA178)+N(AA179)+N(AA180)+N(AA183)+N(AA201)+N(AA204))+AA237),""),"")</f>
        <v>0.516250620118703</v>
      </c>
      <c r="AB301" s="258">
        <f>IFERROR(IF(((N(AB178)+N(AB179)+N(AB180)+N(AB183)+N(AB201)+N(AB204))+N(AB237))&lt;&gt;0,(N(AB178)+N(AB179)+N(AB180)+N(AB183)+N(AB201)+N(AB204))/((N(AB178)+N(AB179)+N(AB180)+N(AB183)+N(AB201)+N(AB204))+AB237),""),"")</f>
        <v>0.516250620118703</v>
      </c>
      <c r="AC301" s="258">
        <f>IFERROR(IF(((N(AC178)+N(AC179)+N(AC180)+N(AC183)+N(AC201)+N(AC204))+N(AC237))&lt;&gt;0,(N(AC178)+N(AC179)+N(AC180)+N(AC183)+N(AC201)+N(AC204))/((N(AC178)+N(AC179)+N(AC180)+N(AC183)+N(AC201)+N(AC204))+AC237),""),"")</f>
        <v>0.523815888400602</v>
      </c>
      <c r="AD301" s="258">
        <f>IFERROR(IF(((N(AD178)+N(AD179)+N(AD180)+N(AD183)+N(AD201)+N(AD204))+N(AD237))&lt;&gt;0,(N(AD178)+N(AD179)+N(AD180)+N(AD183)+N(AD201)+N(AD204))/((N(AD178)+N(AD179)+N(AD180)+N(AD183)+N(AD201)+N(AD204))+AD237),""),"")</f>
        <v>0.512530039597155</v>
      </c>
      <c r="AE301" s="258">
        <f>IFERROR(IF(((N(AE178)+N(AE179)+N(AE180)+N(AE183)+N(AE201)+N(AE204))+N(AE237))&lt;&gt;0,(N(AE178)+N(AE179)+N(AE180)+N(AE183)+N(AE201)+N(AE204))/((N(AE178)+N(AE179)+N(AE180)+N(AE183)+N(AE201)+N(AE204))+AE237),""),"")</f>
        <v>0.518719321788168</v>
      </c>
      <c r="AF301" s="258">
        <f>IFERROR(IF(((N(AF178)+N(AF179)+N(AF180)+N(AF183)+N(AF201)+N(AF204))+N(AF237))&lt;&gt;0,(N(AF178)+N(AF179)+N(AF180)+N(AF183)+N(AF201)+N(AF204))/((N(AF178)+N(AF179)+N(AF180)+N(AF183)+N(AF201)+N(AF204))+AF237),""),"")</f>
        <v>0.527908313054807</v>
      </c>
      <c r="AG301" s="258">
        <f>IFERROR(IF(((N(AG178)+N(AG179)+N(AG180)+N(AG183)+N(AG201)+N(AG204))+N(AG237))&lt;&gt;0,(N(AG178)+N(AG179)+N(AG180)+N(AG183)+N(AG201)+N(AG204))/((N(AG178)+N(AG179)+N(AG180)+N(AG183)+N(AG201)+N(AG204))+AG237),""),"")</f>
        <v>0.527908313054807</v>
      </c>
      <c r="AH301" s="258">
        <f>IFERROR(IF(((N(AH178)+N(AH179)+N(AH180)+N(AH183)+N(AH201)+N(AH204))+N(AH237))&lt;&gt;0,(N(AH178)+N(AH179)+N(AH180)+N(AH183)+N(AH201)+N(AH204))/((N(AH178)+N(AH179)+N(AH180)+N(AH183)+N(AH201)+N(AH204))+AH237),""),"")</f>
        <v>0.521953831740536</v>
      </c>
      <c r="AI301" s="258">
        <f>IFERROR(IF(((N(AI178)+N(AI179)+N(AI180)+N(AI183)+N(AI201)+N(AI204))+N(AI237))&lt;&gt;0,(N(AI178)+N(AI179)+N(AI180)+N(AI183)+N(AI201)+N(AI204))/((N(AI178)+N(AI179)+N(AI180)+N(AI183)+N(AI201)+N(AI204))+AI237),""),"")</f>
        <v>0.513354768501943</v>
      </c>
      <c r="AJ301" s="258">
        <f>IFERROR(IF(((N(AJ178)+N(AJ179)+N(AJ180)+N(AJ183)+N(AJ201)+N(AJ204))+N(AJ237))&lt;&gt;0,(N(AJ178)+N(AJ179)+N(AJ180)+N(AJ183)+N(AJ201)+N(AJ204))/((N(AJ178)+N(AJ179)+N(AJ180)+N(AJ183)+N(AJ201)+N(AJ204))+AJ237),""),"")</f>
        <v>0.496880171492373</v>
      </c>
      <c r="AK301" s="258">
        <f>IFERROR(IF(((N(AK178)+N(AK179)+N(AK180)+N(AK183)+N(AK201)+N(AK204))+N(AK237))&lt;&gt;0,(N(AK178)+N(AK179)+N(AK180)+N(AK183)+N(AK201)+N(AK204))/((N(AK178)+N(AK179)+N(AK180)+N(AK183)+N(AK201)+N(AK204))+AK237),""),"")</f>
        <v>0.48232258889234</v>
      </c>
      <c r="AL301" s="258">
        <f>IFERROR(IF(((N(AL178)+N(AL179)+N(AL180)+N(AL183)+N(AL201)+N(AL204))+N(AL237))&lt;&gt;0,(N(AL178)+N(AL179)+N(AL180)+N(AL183)+N(AL201)+N(AL204))/((N(AL178)+N(AL179)+N(AL180)+N(AL183)+N(AL201)+N(AL204))+AL237),""),"")</f>
        <v>0.48232258889234</v>
      </c>
      <c r="AM301" s="258">
        <f>IFERROR(IF(((N(AM178)+N(AM179)+N(AM180)+N(AM183)+N(AM201)+N(AM204))+N(AM237))&lt;&gt;0,(N(AM178)+N(AM179)+N(AM180)+N(AM183)+N(AM201)+N(AM204))/((N(AM178)+N(AM179)+N(AM180)+N(AM183)+N(AM201)+N(AM204))+AM237),""),"")</f>
        <v>0.467544102804496</v>
      </c>
      <c r="AN301" s="258">
        <f>IFERROR(IF(((N(AN178)+N(AN179)+N(AN180)+N(AN183)+N(AN201)+N(AN204))+N(AN237))&lt;&gt;0,(N(AN178)+N(AN179)+N(AN180)+N(AN183)+N(AN201)+N(AN204))/((N(AN178)+N(AN179)+N(AN180)+N(AN183)+N(AN201)+N(AN204))+AN237),""),"")</f>
        <v>0.453077599573505</v>
      </c>
      <c r="AO301" s="258">
        <f>IFERROR(IF(((N(AO178)+N(AO179)+N(AO180)+N(AO183)+N(AO201)+N(AO204))+N(AO237))&lt;&gt;0,(N(AO178)+N(AO179)+N(AO180)+N(AO183)+N(AO201)+N(AO204))/((N(AO178)+N(AO179)+N(AO180)+N(AO183)+N(AO201)+N(AO204))+AO237),""),"")</f>
        <v>0.439019422335588</v>
      </c>
      <c r="AP301" s="258">
        <f>IFERROR(IF(((N(AP178)+N(AP179)+N(AP180)+N(AP183)+N(AP201)+N(AP204))+N(AP237))&lt;&gt;0,(N(AP178)+N(AP179)+N(AP180)+N(AP183)+N(AP201)+N(AP204))/((N(AP178)+N(AP179)+N(AP180)+N(AP183)+N(AP201)+N(AP204))+AP237),""),"")</f>
        <v>0.426571337049183</v>
      </c>
      <c r="AQ301" s="258">
        <f>IFERROR(IF(((N(AQ178)+N(AQ179)+N(AQ180)+N(AQ183)+N(AQ201)+N(AQ204))+N(AQ237))&lt;&gt;0,(N(AQ178)+N(AQ179)+N(AQ180)+N(AQ183)+N(AQ201)+N(AQ204))/((N(AQ178)+N(AQ179)+N(AQ180)+N(AQ183)+N(AQ201)+N(AQ204))+AQ237),""),"")</f>
        <v>0.426571337049183</v>
      </c>
      <c r="AR301" s="258">
        <f>IFERROR(IF(((N(AR178)+N(AR179)+N(AR180)+N(AR183)+N(AR201)+N(AR204))+N(AR237))&lt;&gt;0,(N(AR178)+N(AR179)+N(AR180)+N(AR183)+N(AR201)+N(AR204))/((N(AR178)+N(AR179)+N(AR180)+N(AR183)+N(AR201)+N(AR204))+AR237),""),"")</f>
        <v>0.413965722262413</v>
      </c>
      <c r="AS301" s="258">
        <f>IFERROR(IF(((N(AS178)+N(AS179)+N(AS180)+N(AS183)+N(AS201)+N(AS204))+N(AS237))&lt;&gt;0,(N(AS178)+N(AS179)+N(AS180)+N(AS183)+N(AS201)+N(AS204))/((N(AS178)+N(AS179)+N(AS180)+N(AS183)+N(AS201)+N(AS204))+AS237),""),"")</f>
        <v>0.401598751126846</v>
      </c>
      <c r="AT301" s="258">
        <f>IFERROR(IF(((N(AT178)+N(AT179)+N(AT180)+N(AT183)+N(AT201)+N(AT204))+N(AT237))&lt;&gt;0,(N(AT178)+N(AT179)+N(AT180)+N(AT183)+N(AT201)+N(AT204))/((N(AT178)+N(AT179)+N(AT180)+N(AT183)+N(AT201)+N(AT204))+AT237),""),"")</f>
        <v>0.389554723693292</v>
      </c>
      <c r="AU301" s="258">
        <f>IFERROR(IF(((N(AU178)+N(AU179)+N(AU180)+N(AU183)+N(AU201)+N(AU204))+N(AU237))&lt;&gt;0,(N(AU178)+N(AU179)+N(AU180)+N(AU183)+N(AU201)+N(AU204))/((N(AU178)+N(AU179)+N(AU180)+N(AU183)+N(AU201)+N(AU204))+AU237),""),"")</f>
        <v>0.378868545909641</v>
      </c>
      <c r="AV301" s="258">
        <f>IFERROR(IF(((N(AV178)+N(AV179)+N(AV180)+N(AV183)+N(AV201)+N(AV204))+N(AV237))&lt;&gt;0,(N(AV178)+N(AV179)+N(AV180)+N(AV183)+N(AV201)+N(AV204))/((N(AV178)+N(AV179)+N(AV180)+N(AV183)+N(AV201)+N(AV204))+AV237),""),"")</f>
        <v>0.378868545909641</v>
      </c>
      <c r="AW301" s="258">
        <f>IFERROR(IF(((N(AW178)+N(AW179)+N(AW180)+N(AW183)+N(AW201)+N(AW204))+N(AW237))&lt;&gt;0,(N(AW178)+N(AW179)+N(AW180)+N(AW183)+N(AW201)+N(AW204))/((N(AW178)+N(AW179)+N(AW180)+N(AW183)+N(AW201)+N(AW204))+AW237),""),"")</f>
        <v>0.368074786606829</v>
      </c>
      <c r="AX301" s="258">
        <f>IFERROR(IF(((N(AX178)+N(AX179)+N(AX180)+N(AX183)+N(AX201)+N(AX204))+N(AX237))&lt;&gt;0,(N(AX178)+N(AX179)+N(AX180)+N(AX183)+N(AX201)+N(AX204))/((N(AX178)+N(AX179)+N(AX180)+N(AX183)+N(AX201)+N(AX204))+AX237),""),"")</f>
        <v>0.357462397284978</v>
      </c>
      <c r="AY301" s="258">
        <f>IFERROR(IF(((N(AY178)+N(AY179)+N(AY180)+N(AY183)+N(AY201)+N(AY204))+N(AY237))&lt;&gt;0,(N(AY178)+N(AY179)+N(AY180)+N(AY183)+N(AY201)+N(AY204))/((N(AY178)+N(AY179)+N(AY180)+N(AY183)+N(AY201)+N(AY204))+AY237),""),"")</f>
        <v>0.347105193709152</v>
      </c>
      <c r="AZ301" s="258">
        <f>IFERROR(IF(((N(AZ178)+N(AZ179)+N(AZ180)+N(AZ183)+N(AZ201)+N(AZ204))+N(AZ237))&lt;&gt;0,(N(AZ178)+N(AZ179)+N(AZ180)+N(AZ183)+N(AZ201)+N(AZ204))/((N(AZ178)+N(AZ179)+N(AZ180)+N(AZ183)+N(AZ201)+N(AZ204))+AZ237),""),"")</f>
        <v>0.337897485038325</v>
      </c>
      <c r="BA301" s="258">
        <f>IFERROR(IF(((N(BA178)+N(BA179)+N(BA180)+N(BA183)+N(BA201)+N(BA204))+N(BA237))&lt;&gt;0,(N(BA178)+N(BA179)+N(BA180)+N(BA183)+N(BA201)+N(BA204))/((N(BA178)+N(BA179)+N(BA180)+N(BA183)+N(BA201)+N(BA204))+BA237),""),"")</f>
        <v>0.337897485038325</v>
      </c>
      <c r="BB301" s="258">
        <f>IFERROR(IF(((N(BB178)+N(BB179)+N(BB180)+N(BB183)+N(BB201)+N(BB204))+N(BB237))&lt;&gt;0,(N(BB178)+N(BB179)+N(BB180)+N(BB183)+N(BB201)+N(BB204))/((N(BB178)+N(BB179)+N(BB180)+N(BB183)+N(BB201)+N(BB204))+BB237),""),"")</f>
        <v>0.328621462441189</v>
      </c>
      <c r="BC301" s="258">
        <f>IFERROR(IF(((N(BC178)+N(BC179)+N(BC180)+N(BC183)+N(BC201)+N(BC204))+N(BC237))&lt;&gt;0,(N(BC178)+N(BC179)+N(BC180)+N(BC183)+N(BC201)+N(BC204))/((N(BC178)+N(BC179)+N(BC180)+N(BC183)+N(BC201)+N(BC204))+BC237),""),"")</f>
        <v>0.3194819751836</v>
      </c>
      <c r="BD301" s="258">
        <f>IFERROR(IF(((N(BD178)+N(BD179)+N(BD180)+N(BD183)+N(BD201)+N(BD204))+N(BD237))&lt;&gt;0,(N(BD178)+N(BD179)+N(BD180)+N(BD183)+N(BD201)+N(BD204))/((N(BD178)+N(BD179)+N(BD180)+N(BD183)+N(BD201)+N(BD204))+BD237),""),"")</f>
        <v>0.310543715900741</v>
      </c>
      <c r="BE301" s="258">
        <f>IFERROR(IF(((N(BE178)+N(BE179)+N(BE180)+N(BE183)+N(BE201)+N(BE204))+N(BE237))&lt;&gt;0,(N(BE178)+N(BE179)+N(BE180)+N(BE183)+N(BE201)+N(BE204))/((N(BE178)+N(BE179)+N(BE180)+N(BE183)+N(BE201)+N(BE204))+BE237),""),"")</f>
        <v>0.302582045335053</v>
      </c>
      <c r="BF301" s="258">
        <f>IFERROR(IF(((N(BF178)+N(BF179)+N(BF180)+N(BF183)+N(BF201)+N(BF204))+N(BF237))&lt;&gt;0,(N(BF178)+N(BF179)+N(BF180)+N(BF183)+N(BF201)+N(BF204))/((N(BF178)+N(BF179)+N(BF180)+N(BF183)+N(BF201)+N(BF204))+BF237),""),"")</f>
        <v>0.302582045335053</v>
      </c>
      <c r="BG301" s="80" t="n"/>
      <c r="BH301" s="80" t="n"/>
      <c r="BI301" s="80" t="n"/>
      <c r="BJ301" s="80" t="n"/>
      <c r="BL301" s="80" t="n"/>
      <c r="BM301" s="80" t="n"/>
      <c r="BN301" s="80" t="n"/>
      <c r="BO301" s="80" t="n"/>
      <c r="BQ301" s="80" t="n"/>
      <c r="BR301" s="80" t="n"/>
      <c r="BS301" s="80" t="n"/>
      <c r="BT301" s="80" t="n"/>
      <c r="BV301" s="80" t="n"/>
      <c r="BW301" s="80" t="n"/>
      <c r="BX301" s="80" t="n"/>
      <c r="BY301" s="80" t="n"/>
      <c r="CA301" s="80" t="n"/>
      <c r="CB301" s="80" t="n"/>
      <c r="CC301" s="80" t="n"/>
      <c r="CD301" s="80" t="n"/>
      <c r="CF301" s="80" t="n"/>
      <c r="CG301" s="80" t="n"/>
      <c r="CH301" s="80" t="n"/>
      <c r="CI301" s="80" t="n"/>
      <c r="CK301" s="80" t="n"/>
      <c r="CL301" s="80" t="n"/>
      <c r="CM301" s="80" t="n"/>
      <c r="CN301" s="80" t="n"/>
      <c r="CP301" s="80" t="n"/>
      <c r="CQ301" s="80" t="n"/>
      <c r="CR301" s="80" t="n"/>
      <c r="CS301" s="80" t="n"/>
      <c r="CU301" s="80" t="n"/>
      <c r="CV301" s="80" t="n"/>
      <c r="CW301" s="80" t="n"/>
      <c r="CX301" s="80" t="n"/>
    </row>
    <row r="302" customFormat="1" s="77">
      <c r="A302" s="76" t="n"/>
      <c r="B302" s="76" t="n"/>
      <c r="C302" s="77" t="inlineStr">
        <is>
          <t>NET DEBT / EBITDA (LTM)</t>
        </is>
      </c>
      <c r="D302" s="82" t="str">
        <f>IFERROR(SUM((D178+D179+D180+D183+D201)-D110)/(D35*4),"")</f>
        <v/>
      </c>
      <c r="E302" s="82" t="str">
        <f>IFERROR(SUM((E178+E179+E180+E183+E201)-E110)/(E35*4),"")</f>
        <v/>
      </c>
      <c r="F302" s="82" t="str">
        <f>IFERROR(SUM((F178+F179+F180+F183+F201)-F110)/(F35*4),"")</f>
        <v/>
      </c>
      <c r="G302" s="82" t="str">
        <f>IFERROR(SUM((G178+G179+G180+G183+G201)-G110)/(G35*4),"")</f>
        <v/>
      </c>
      <c r="H302" s="264" t="str">
        <f>IFERROR(IF(AND(COUNT(H35)=1,(H35)&lt;&gt;0),((N(H178)+N(H179)+N(H180)+N(H183)+N(H201)+N(H204))-N(H110))/(H35),""),"")</f>
        <v/>
      </c>
      <c r="I302" s="264" t="str">
        <f>""</f>
        <v/>
      </c>
      <c r="J302" s="264" t="str">
        <f>""</f>
        <v/>
      </c>
      <c r="K302" s="264" t="str">
        <f>""</f>
        <v/>
      </c>
      <c r="L302" s="264">
        <f>IFERROR(IF(AND(COUNT(I35,J35,K35,L35)=4,(I35+J35+K35+L35)&lt;&gt;0),((N(L178)+N(L179)+N(L180)+N(L183)+N(L201)+N(L204))-N(L110))/(I35+J35+K35+L35),""),"")</f>
        <v>2.11705960584328</v>
      </c>
      <c r="M302" s="264">
        <f>IFERROR(IF(AND(COUNT(I35,J35,K35,L35)=4,(I35+J35+K35+L35)&lt;&gt;0),((N(M178)+N(M179)+N(M180)+N(M183)+N(M201)+N(M204))-N(M110))/(I35+J35+K35+L35),""),"")</f>
        <v>2.11705960584328</v>
      </c>
      <c r="N302" s="264">
        <f>IFERROR(IF(AND(COUNT(J35,K35,L35,N35)=4,(J35+K35+L35+N35)&lt;&gt;0),((N(N178)+N(N179)+N(N180)+N(N183)+N(N201)+N(N204))-N(N110))/(J35+K35+L35+N35),""),"")</f>
        <v>2.20333138828752</v>
      </c>
      <c r="O302" s="264">
        <f>IFERROR(IF(AND(COUNT(K35,L35,N35,O35)=4,(K35+L35+N35+O35)&lt;&gt;0),((N(O178)+N(O179)+N(O180)+N(O183)+N(O201)+N(O204))-N(O110))/(K35+L35+N35+O35),""),"")</f>
        <v>2.57000333086894</v>
      </c>
      <c r="P302" s="264">
        <f>IFERROR(IF(AND(COUNT(L35,N35,O35,P35)=4,(L35+N35+O35+P35)&lt;&gt;0),((N(P178)+N(P179)+N(P180)+N(P183)+N(P201)+N(P204))-N(P110))/(L35+N35+O35+P35),""),"")</f>
        <v>2.4035315330964</v>
      </c>
      <c r="Q302" s="264">
        <f>IFERROR(IF(AND(COUNT(N35,O35,P35,Q35)=4,(N35+O35+P35+Q35)&lt;&gt;0),((N(Q178)+N(Q179)+N(Q180)+N(Q183)+N(Q201)+N(Q204))-N(Q110))/(N35+O35+P35+Q35),""),"")</f>
        <v>2.15482987233645</v>
      </c>
      <c r="R302" s="264">
        <f>IFERROR(IF(AND(COUNT(N35,O35,P35,Q35)=4,(N35+O35+P35+Q35)&lt;&gt;0),((N(R178)+N(R179)+N(R180)+N(R183)+N(R201)+N(R204))-N(R110))/(N35+O35+P35+Q35),""),"")</f>
        <v>2.15482987233645</v>
      </c>
      <c r="S302" s="264">
        <f>IFERROR(IF(AND(COUNT(O35,P35,Q35,S35)=4,(O35+P35+Q35+S35)&lt;&gt;0),((N(S178)+N(S179)+N(S180)+N(S183)+N(S201)+N(S204))-N(S110))/(O35+P35+Q35+S35),""),"")</f>
        <v>2.13501749498346</v>
      </c>
      <c r="T302" s="264">
        <f>IFERROR(IF(AND(COUNT(P35,Q35,S35,T35)=4,(P35+Q35+S35+T35)&lt;&gt;0),((N(T178)+N(T179)+N(T180)+N(T183)+N(T201)+N(T204))-N(T110))/(P35+Q35+S35+T35),""),"")</f>
        <v>2.86019507140471</v>
      </c>
      <c r="U302" s="264">
        <f>IFERROR(IF(AND(COUNT(Q35,S35,T35,U35)=4,(Q35+S35+T35+U35)&lt;&gt;0),((N(U178)+N(U179)+N(U180)+N(U183)+N(U201)+N(U204))-N(U110))/(Q35+S35+T35+U35),""),"")</f>
        <v>2.360855006732</v>
      </c>
      <c r="V302" s="264">
        <f>IFERROR(IF(AND(COUNT(S35,T35,U35,V35)=4,(S35+T35+U35+V35)&lt;&gt;0),((N(V178)+N(V179)+N(V180)+N(V183)+N(V201)+N(V204))-N(V110))/(S35+T35+U35+V35),""),"")</f>
        <v>2.25063492387428</v>
      </c>
      <c r="W302" s="264">
        <f>IFERROR(IF(AND(COUNT(S35,T35,U35,V35)=4,(S35+T35+U35+V35)&lt;&gt;0),((N(W178)+N(W179)+N(W180)+N(W183)+N(W201)+N(W204))-N(W110))/(S35+T35+U35+V35),""),"")</f>
        <v>2.25063492387428</v>
      </c>
      <c r="X302" s="264">
        <f>IFERROR(IF(AND(COUNT(T35,U35,V35,X35)=4,(T35+U35+V35+X35)&lt;&gt;0),((N(X178)+N(X179)+N(X180)+N(X183)+N(X201)+N(X204))-N(X110))/(T35+U35+V35+X35),""),"")</f>
        <v>2.04026747507155</v>
      </c>
      <c r="Y302" s="264">
        <f>IFERROR(IF(AND(COUNT(U35,V35,X35,Y35)=4,(U35+V35+X35+Y35)&lt;&gt;0),((N(Y178)+N(Y179)+N(Y180)+N(Y183)+N(Y201)+N(Y204))-N(Y110))/(U35+V35+X35+Y35),""),"")</f>
        <v>1.74735209192908</v>
      </c>
      <c r="Z302" s="264">
        <f>IFERROR(IF(AND(COUNT(V35,X35,Y35,Z35)=4,(V35+X35+Y35+Z35)&lt;&gt;0),((N(Z178)+N(Z179)+N(Z180)+N(Z183)+N(Z201)+N(Z204))-N(Z110))/(V35+X35+Y35+Z35),""),"")</f>
        <v>1.62669641033707</v>
      </c>
      <c r="AA302" s="264">
        <f>IFERROR(IF(AND(COUNT(X35,Y35,Z35,AA35)=4,(X35+Y35+Z35+AA35)&lt;&gt;0),((N(AA178)+N(AA179)+N(AA180)+N(AA183)+N(AA201)+N(AA204))-N(AA110))/(X35+Y35+Z35+AA35),""),"")</f>
        <v>1.6599732586594</v>
      </c>
      <c r="AB302" s="264">
        <f>IFERROR(IF(AND(COUNT(X35,Y35,Z35,AA35)=4,(X35+Y35+Z35+AA35)&lt;&gt;0),((N(AB178)+N(AB179)+N(AB180)+N(AB183)+N(AB201)+N(AB204))-N(AB110))/(X35+Y35+Z35+AA35),""),"")</f>
        <v>1.6599732586594</v>
      </c>
      <c r="AC302" s="264">
        <f>IFERROR(IF(AND(COUNT(Y35,Z35,AA35,AC35)=4,(Y35+Z35+AA35+AC35)&lt;&gt;0),((N(AC178)+N(AC179)+N(AC180)+N(AC183)+N(AC201)+N(AC204))-N(AC110))/(Y35+Z35+AA35+AC35),""),"")</f>
        <v>1.64332849636536</v>
      </c>
      <c r="AD302" s="264">
        <f>IFERROR(IF(AND(COUNT(Z35,AA35,AC35,AD35)=4,(Z35+AA35+AC35+AD35)&lt;&gt;0),((N(AD178)+N(AD179)+N(AD180)+N(AD183)+N(AD201)+N(AD204))-N(AD110))/(Z35+AA35+AC35+AD35),""),"")</f>
        <v>1.7606857184141</v>
      </c>
      <c r="AE302" s="264">
        <f>IFERROR(IF(AND(COUNT(AA35,AC35,AD35,AE35)=4,(AA35+AC35+AD35+AE35)&lt;&gt;0),((N(AE178)+N(AE179)+N(AE180)+N(AE183)+N(AE201)+N(AE204))-N(AE110))/(AA35+AC35+AD35+AE35),""),"")</f>
        <v>1.57677843935754</v>
      </c>
      <c r="AF302" s="264">
        <f>IFERROR(IF(AND(COUNT(AB35,AD35,AE35,AF35)=4,(AB35+AD35+AE35+AF35)&lt;&gt;0),((N(AF178)+N(AF179)+N(AF180)+N(AF183)+N(AF201)+N(AF204))-N(AF110))/(AB35+AD35+AE35+AF35),""),"")</f>
        <v>0.959224400718099</v>
      </c>
      <c r="AG302" s="264">
        <f>IFERROR(IF(AND(COUNT(AC35,AD35,AE35,AF35)=4,(AC35+AD35+AE35+AF35)&lt;&gt;0),((N(AG178)+N(AG179)+N(AG180)+N(AG183)+N(AG201)+N(AG204))-N(AG110))/(AC35+AD35+AE35+AF35),""),"")</f>
        <v>1.60364009075151</v>
      </c>
      <c r="AH302" s="264">
        <f>IFERROR(IF(AND(COUNT(AD35,AF35,AG35,AH35)=4,(AD35+AF35+AG35+AH35)&lt;&gt;0),((N(AH178)+N(AH179)+N(AH180)+N(AH183)+N(AH201)+N(AH204))-N(AH110))/(AD35+AF35+AG35+AH35),""),"")</f>
        <v>0.937458456302595</v>
      </c>
      <c r="AI302" s="264">
        <f>IFERROR(IF(AND(COUNT(AE35,AG35,AH35,AI35)=4,(AE35+AG35+AH35+AI35)&lt;&gt;0),((N(AI178)+N(AI179)+N(AI180)+N(AI183)+N(AI201)+N(AI204))-N(AI110))/(AE35+AG35+AH35+AI35),""),"")</f>
        <v>0.957064981639637</v>
      </c>
      <c r="AJ302" s="264">
        <f>IFERROR(IF(AND(COUNT(AF35,AH35,AI35,AJ35)=4,(AF35+AH35+AI35+AJ35)&lt;&gt;0),((N(AJ178)+N(AJ179)+N(AJ180)+N(AJ183)+N(AJ201)+N(AJ204))-N(AJ110))/(AF35+AH35+AI35+AJ35),""),"")</f>
        <v>1.48610688229316</v>
      </c>
      <c r="AK302" s="264">
        <f>IFERROR(IF(AND(COUNT(AH35,AI35,AJ35,AK35)=4,(AH35+AI35+AJ35+AK35)&lt;&gt;0),((N(AK178)+N(AK179)+N(AK180)+N(AK183)+N(AK201)+N(AK204))-N(AK110))/(AH35+AI35+AJ35+AK35),""),"")</f>
        <v>1.20369623379531</v>
      </c>
      <c r="AL302" s="264">
        <f>IFERROR(IF(AND(COUNT(AH35,AI35,AJ35,AK35)=4,(AH35+AI35+AJ35+AK35)&lt;&gt;0),((N(AL178)+N(AL179)+N(AL180)+N(AL183)+N(AL201)+N(AL204))-N(AL110))/(AH35+AI35+AJ35+AK35),""),"")</f>
        <v>1.20369623379531</v>
      </c>
      <c r="AM302" s="264">
        <f>IFERROR(IF(AND(COUNT(AI35,AJ35,AK35,AM35)=4,(AI35+AJ35+AK35+AM35)&lt;&gt;0),((N(AM178)+N(AM179)+N(AM180)+N(AM183)+N(AM201)+N(AM204))-N(AM110))/(AI35+AJ35+AK35+AM35),""),"")</f>
        <v>1.07030360263934</v>
      </c>
      <c r="AN302" s="264">
        <f>IFERROR(IF(AND(COUNT(AJ35,AK35,AM35,AN35)=4,(AJ35+AK35+AM35+AN35)&lt;&gt;0),((N(AN178)+N(AN179)+N(AN180)+N(AN183)+N(AN201)+N(AN204))-N(AN110))/(AJ35+AK35+AM35+AN35),""),"")</f>
        <v>0.886191741688463</v>
      </c>
      <c r="AO302" s="264">
        <f>IFERROR(IF(AND(COUNT(AK35,AM35,AN35,AO35)=4,(AK35+AM35+AN35+AO35)&lt;&gt;0),((N(AO178)+N(AO179)+N(AO180)+N(AO183)+N(AO201)+N(AO204))-N(AO110))/(AK35+AM35+AN35+AO35),""),"")</f>
        <v>0.694976897053187</v>
      </c>
      <c r="AP302" s="264">
        <f>IFERROR(IF(AND(COUNT(AM35,AN35,AO35,AP35)=4,(AM35+AN35+AO35+AP35)&lt;&gt;0),((N(AP178)+N(AP179)+N(AP180)+N(AP183)+N(AP201)+N(AP204))-N(AP110))/(AM35+AN35+AO35+AP35),""),"")</f>
        <v>0.469227710929246</v>
      </c>
      <c r="AQ302" s="264">
        <f>IFERROR(IF(AND(COUNT(AM35,AN35,AO35,AP35)=4,(AM35+AN35+AO35+AP35)&lt;&gt;0),((N(AQ178)+N(AQ179)+N(AQ180)+N(AQ183)+N(AQ201)+N(AQ204))-N(AQ110))/(AM35+AN35+AO35+AP35),""),"")</f>
        <v>0.469227710929246</v>
      </c>
      <c r="AR302" s="264">
        <f>IFERROR(IF(AND(COUNT(AN35,AO35,AP35,AR35)=4,(AN35+AO35+AP35+AR35)&lt;&gt;0),((N(AR178)+N(AR179)+N(AR180)+N(AR183)+N(AR201)+N(AR204))-N(AR110))/(AN35+AO35+AP35+AR35),""),"")</f>
        <v>0.324969041185704</v>
      </c>
      <c r="AS302" s="264">
        <f>IFERROR(IF(AND(COUNT(AO35,AP35,AR35,AS35)=4,(AO35+AP35+AR35+AS35)&lt;&gt;0),((N(AS178)+N(AS179)+N(AS180)+N(AS183)+N(AS201)+N(AS204))-N(AS110))/(AO35+AP35+AR35+AS35),""),"")</f>
        <v>0.155584155336155</v>
      </c>
      <c r="AT302" s="264">
        <f>IFERROR(IF(AND(COUNT(AP35,AR35,AS35,AT35)=4,(AP35+AR35+AS35+AT35)&lt;&gt;0),((N(AT178)+N(AT179)+N(AT180)+N(AT183)+N(AT201)+N(AT204))-N(AT110))/(AP35+AR35+AS35+AT35),""),"")</f>
        <v>-0.0249135721105715</v>
      </c>
      <c r="AU302" s="264">
        <f>IFERROR(IF(AND(COUNT(AR35,AS35,AT35,AU35)=4,(AR35+AS35+AT35+AU35)&lt;&gt;0),((N(AU178)+N(AU179)+N(AU180)+N(AU183)+N(AU201)+N(AU204))-N(AU110))/(AR35+AS35+AT35+AU35),""),"")</f>
        <v>-0.242184548801706</v>
      </c>
      <c r="AV302" s="264">
        <f>IFERROR(IF(AND(COUNT(AR35,AS35,AT35,AU35)=4,(AR35+AS35+AT35+AU35)&lt;&gt;0),((N(AV178)+N(AV179)+N(AV180)+N(AV183)+N(AV201)+N(AV204))-N(AV110))/(AR35+AS35+AT35+AU35),""),"")</f>
        <v>-0.242184548801706</v>
      </c>
      <c r="AW302" s="264">
        <f>IFERROR(IF(AND(COUNT(AS35,AT35,AU35,AW35)=4,(AS35+AT35+AU35+AW35)&lt;&gt;0),((N(AW178)+N(AW179)+N(AW180)+N(AW183)+N(AW201)+N(AW204))-N(AW110))/(AS35+AT35+AU35+AW35),""),"")</f>
        <v>-0.37372239164109</v>
      </c>
      <c r="AX302" s="264">
        <f>IFERROR(IF(AND(COUNT(AT35,AU35,AW35,AX35)=4,(AT35+AU35+AW35+AX35)&lt;&gt;0),((N(AX178)+N(AX179)+N(AX180)+N(AX183)+N(AX201)+N(AX204))-N(AX110))/(AT35+AU35+AW35+AX35),""),"")</f>
        <v>-0.541686449781576</v>
      </c>
      <c r="AY302" s="264">
        <f>IFERROR(IF(AND(COUNT(AU35,AW35,AX35,AY35)=4,(AU35+AW35+AX35+AY35)&lt;&gt;0),((N(AY178)+N(AY179)+N(AY180)+N(AY183)+N(AY201)+N(AY204))-N(AY110))/(AU35+AW35+AX35+AY35),""),"")</f>
        <v>-0.714622417651053</v>
      </c>
      <c r="AZ302" s="264">
        <f>IFERROR(IF(AND(COUNT(AW35,AX35,AY35,AZ35)=4,(AW35+AX35+AY35+AZ35)&lt;&gt;0),((N(AZ178)+N(AZ179)+N(AZ180)+N(AZ183)+N(AZ201)+N(AZ204))-N(AZ110))/(AW35+AX35+AY35+AZ35),""),"")</f>
        <v>-0.926277752030352</v>
      </c>
      <c r="BA302" s="264">
        <f>IFERROR(IF(AND(COUNT(AW35,AX35,AY35,AZ35)=4,(AW35+AX35+AY35+AZ35)&lt;&gt;0),((N(BA178)+N(BA179)+N(BA180)+N(BA183)+N(BA201)+N(BA204))-N(BA110))/(AW35+AX35+AY35+AZ35),""),"")</f>
        <v>-0.926277752030352</v>
      </c>
      <c r="BB302" s="264">
        <f>IFERROR(IF(AND(COUNT(AX35,AY35,AZ35,BB35)=4,(AX35+AY35+AZ35+BB35)&lt;&gt;0),((N(BB178)+N(BB179)+N(BB180)+N(BB183)+N(BB201)+N(BB204))-N(BB110))/(AX35+AY35+AZ35+BB35),""),"")</f>
        <v>-1.05474831861225</v>
      </c>
      <c r="BC302" s="264">
        <f>IFERROR(IF(AND(COUNT(AY35,AZ35,BB35,BC35)=4,(AY35+AZ35+BB35+BC35)&lt;&gt;0),((N(BC178)+N(BC179)+N(BC180)+N(BC183)+N(BC201)+N(BC204))-N(BC110))/(AY35+AZ35+BB35+BC35),""),"")</f>
        <v>-1.21730263152403</v>
      </c>
      <c r="BD302" s="264">
        <f>IFERROR(IF(AND(COUNT(AZ35,BB35,BC35,BD35)=4,(AZ35+BB35+BC35+BD35)&lt;&gt;0),((N(BD178)+N(BD179)+N(BD180)+N(BD183)+N(BD201)+N(BD204))-N(BD110))/(AZ35+BB35+BC35+BD35),""),"")</f>
        <v>-1.38538786157348</v>
      </c>
      <c r="BE302" s="264">
        <f>IFERROR(IF(AND(COUNT(BB35,BC35,BD35,BE35)=4,(BB35+BC35+BD35+BE35)&lt;&gt;0),((N(BE178)+N(BE179)+N(BE180)+N(BE183)+N(BE201)+N(BE204))-N(BE110))/(BB35+BC35+BD35+BE35),""),"")</f>
        <v>-1.59387876488794</v>
      </c>
      <c r="BF302" s="264">
        <f>IFERROR(IF(AND(COUNT(BB35,BC35,BD35,BE35)=4,(BB35+BC35+BD35+BE35)&lt;&gt;0),((N(BF178)+N(BF179)+N(BF180)+N(BF183)+N(BF201)+N(BF204))-N(BF110))/(BB35+BC35+BD35+BE35),""),"")</f>
        <v>-1.59387876488794</v>
      </c>
      <c r="BG302" s="82" t="n"/>
      <c r="BH302" s="82" t="n"/>
      <c r="BI302" s="82" t="n"/>
      <c r="BJ302" s="82" t="n"/>
      <c r="BL302" s="82" t="n"/>
      <c r="BM302" s="82" t="n"/>
      <c r="BN302" s="82" t="n"/>
      <c r="BO302" s="82" t="n"/>
      <c r="BQ302" s="82" t="n"/>
      <c r="BR302" s="82" t="n"/>
      <c r="BS302" s="82" t="n"/>
      <c r="BT302" s="82" t="n"/>
      <c r="BV302" s="82" t="n"/>
      <c r="BW302" s="82" t="n"/>
      <c r="BX302" s="82" t="n"/>
      <c r="BY302" s="82" t="n"/>
      <c r="CA302" s="82" t="n"/>
      <c r="CB302" s="82" t="n"/>
      <c r="CC302" s="82" t="n"/>
      <c r="CD302" s="82" t="n"/>
      <c r="CF302" s="82" t="n"/>
      <c r="CG302" s="82" t="n"/>
      <c r="CH302" s="82" t="n"/>
      <c r="CI302" s="82" t="n"/>
      <c r="CK302" s="82" t="n"/>
      <c r="CL302" s="82" t="n"/>
      <c r="CM302" s="82" t="n"/>
      <c r="CN302" s="82" t="n"/>
      <c r="CP302" s="82" t="n"/>
      <c r="CQ302" s="82" t="n"/>
      <c r="CR302" s="82" t="n"/>
      <c r="CS302" s="82" t="n"/>
      <c r="CU302" s="82" t="n"/>
      <c r="CV302" s="82" t="n"/>
      <c r="CW302" s="82" t="n"/>
      <c r="CX302" s="82" t="n"/>
    </row>
    <row r="303" customFormat="1" s="77">
      <c r="A303" s="76" t="n"/>
      <c r="B303" s="76" t="n"/>
      <c r="C303" s="83" t="inlineStr">
        <is>
          <t>NET DEBT (EX IFRS 16.) / EBITDA (LTM)</t>
        </is>
      </c>
      <c r="D303" s="82" t="str">
        <f>IFERROR(SUM((D178+D179+D183)-D110)/(D35*4),"")</f>
        <v/>
      </c>
      <c r="E303" s="82" t="str">
        <f>IFERROR(SUM((E178+E179+E183)-E110)/(E35*4),"")</f>
        <v/>
      </c>
      <c r="F303" s="82" t="str">
        <f>IFERROR(SUM((F178+F179+F183)-F110)/(F35*4),"")</f>
        <v/>
      </c>
      <c r="G303" s="82" t="str">
        <f>IFERROR(SUM((G178+G179+G183)-G110)/(G35*4),"")</f>
        <v/>
      </c>
      <c r="H303" s="264" t="str">
        <f>IFERROR(IF(AND(COUNT(H35)=1,(H35)&lt;&gt;0),((N(H178)+N(H179)+N(H183)+N(H204))-N(H110))/(H35),""),"")</f>
        <v/>
      </c>
      <c r="I303" s="264" t="str">
        <f>""</f>
        <v/>
      </c>
      <c r="J303" s="264" t="str">
        <f>""</f>
        <v/>
      </c>
      <c r="K303" s="264" t="str">
        <f>""</f>
        <v/>
      </c>
      <c r="L303" s="264">
        <f>IFERROR(IF(AND(COUNT(I35,J35,K35,L35)=4,(I35+J35+K35+L35)&lt;&gt;0),((N(L178)+N(L179)+N(L183)+N(L204))-N(L110))/(I35+J35+K35+L35),""),"")</f>
        <v>1.33654161096484</v>
      </c>
      <c r="M303" s="264">
        <f>IFERROR(IF(AND(COUNT(I35,J35,K35,L35)=4,(I35+J35+K35+L35)&lt;&gt;0),((N(M178)+N(M179)+N(M183)+N(M204))-N(M110))/(I35+J35+K35+L35),""),"")</f>
        <v>1.33654161096484</v>
      </c>
      <c r="N303" s="264">
        <f>IFERROR(IF(AND(COUNT(J35,K35,L35,N35)=4,(J35+K35+L35+N35)&lt;&gt;0),((N(N178)+N(N179)+N(N183)+N(N204))-N(N110))/(J35+K35+L35+N35),""),"")</f>
        <v>1.40870761009865</v>
      </c>
      <c r="O303" s="264">
        <f>IFERROR(IF(AND(COUNT(K35,L35,N35,O35)=4,(K35+L35+N35+O35)&lt;&gt;0),((N(O178)+N(O179)+N(O183)+N(O204))-N(O110))/(K35+L35+N35+O35),""),"")</f>
        <v>1.80033504367036</v>
      </c>
      <c r="P303" s="264">
        <f>IFERROR(IF(AND(COUNT(L35,N35,O35,P35)=4,(L35+N35+O35+P35)&lt;&gt;0),((N(P178)+N(P179)+N(P183)+N(P204))-N(P110))/(L35+N35+O35+P35),""),"")</f>
        <v>1.6717467001112</v>
      </c>
      <c r="Q303" s="264">
        <f>IFERROR(IF(AND(COUNT(N35,O35,P35,Q35)=4,(N35+O35+P35+Q35)&lt;&gt;0),((N(Q178)+N(Q179)+N(Q183)+N(Q204))-N(Q110))/(N35+O35+P35+Q35),""),"")</f>
        <v>1.21489330076517</v>
      </c>
      <c r="R303" s="264">
        <f>IFERROR(IF(AND(COUNT(N35,O35,P35,Q35)=4,(N35+O35+P35+Q35)&lt;&gt;0),((N(R178)+N(R179)+N(R183)+N(R204))-N(R110))/(N35+O35+P35+Q35),""),"")</f>
        <v>1.21489330076517</v>
      </c>
      <c r="S303" s="264">
        <f>IFERROR(IF(AND(COUNT(O35,P35,Q35,S35)=4,(O35+P35+Q35+S35)&lt;&gt;0),((N(S178)+N(S179)+N(S183)+N(S204))-N(S110))/(O35+P35+Q35+S35),""),"")</f>
        <v>1.20801603442793</v>
      </c>
      <c r="T303" s="264">
        <f>IFERROR(IF(AND(COUNT(P35,Q35,S35,T35)=4,(P35+Q35+S35+T35)&lt;&gt;0),((N(T178)+N(T179)+N(T183)+N(T204))-N(T110))/(P35+Q35+S35+T35),""),"")</f>
        <v>1.71326238885395</v>
      </c>
      <c r="U303" s="264">
        <f>IFERROR(IF(AND(COUNT(Q35,S35,T35,U35)=4,(Q35+S35+T35+U35)&lt;&gt;0),((N(U178)+N(U179)+N(U183)+N(U204))-N(U110))/(Q35+S35+T35+U35),""),"")</f>
        <v>1.372874329371</v>
      </c>
      <c r="V303" s="264">
        <f>IFERROR(IF(AND(COUNT(S35,T35,U35,V35)=4,(S35+T35+U35+V35)&lt;&gt;0),((N(V178)+N(V179)+N(V183)+N(V204))-N(V110))/(S35+T35+U35+V35),""),"")</f>
        <v>1.35098856360416</v>
      </c>
      <c r="W303" s="264">
        <f>IFERROR(IF(AND(COUNT(S35,T35,U35,V35)=4,(S35+T35+U35+V35)&lt;&gt;0),((N(W178)+N(W179)+N(W183)+N(W204))-N(W110))/(S35+T35+U35+V35),""),"")</f>
        <v>1.35098856360416</v>
      </c>
      <c r="X303" s="264">
        <f>IFERROR(IF(AND(COUNT(T35,U35,V35,X35)=4,(T35+U35+V35+X35)&lt;&gt;0),((N(X178)+N(X179)+N(X183)+N(X204))-N(X110))/(T35+U35+V35+X35),""),"")</f>
        <v>1.2517226765748</v>
      </c>
      <c r="Y303" s="264">
        <f>IFERROR(IF(AND(COUNT(U35,V35,X35,Y35)=4,(U35+V35+X35+Y35)&lt;&gt;0),((N(Y178)+N(Y179)+N(Y183)+N(Y204))-N(Y110))/(U35+V35+X35+Y35),""),"")</f>
        <v>1.04843645064877</v>
      </c>
      <c r="Z303" s="264">
        <f>IFERROR(IF(AND(COUNT(V35,X35,Y35,Z35)=4,(V35+X35+Y35+Z35)&lt;&gt;0),((N(Z178)+N(Z179)+N(Z183)+N(Z204))-N(Z110))/(V35+X35+Y35+Z35),""),"")</f>
        <v>0.959076095716258</v>
      </c>
      <c r="AA303" s="264">
        <f>IFERROR(IF(AND(COUNT(X35,Y35,Z35,AA35)=4,(X35+Y35+Z35+AA35)&lt;&gt;0),((N(AA178)+N(AA179)+N(AA183)+N(AA204))-N(AA110))/(X35+Y35+Z35+AA35),""),"")</f>
        <v>1.01086959812306</v>
      </c>
      <c r="AB303" s="264">
        <f>IFERROR(IF(AND(COUNT(X35,Y35,Z35,AA35)=4,(X35+Y35+Z35+AA35)&lt;&gt;0),((N(AB178)+N(AB179)+N(AB183)+N(AB204))-N(AB110))/(X35+Y35+Z35+AA35),""),"")</f>
        <v>1.01086959812306</v>
      </c>
      <c r="AC303" s="264">
        <f>IFERROR(IF(AND(COUNT(Y35,Z35,AA35,AC35)=4,(Y35+Z35+AA35+AC35)&lt;&gt;0),((N(AC178)+N(AC179)+N(AC183)+N(AC204))-N(AC110))/(Y35+Z35+AA35+AC35),""),"")</f>
        <v>1.00359540393025</v>
      </c>
      <c r="AD303" s="264">
        <f>IFERROR(IF(AND(COUNT(Z35,AA35,AC35,AD35)=4,(Z35+AA35+AC35+AD35)&lt;&gt;0),((N(AD178)+N(AD179)+N(AD183)+N(AD204))-N(AD110))/(Z35+AA35+AC35+AD35),""),"")</f>
        <v>1.14709921115731</v>
      </c>
      <c r="AE303" s="264">
        <f>IFERROR(IF(AND(COUNT(AA35,AC35,AD35,AE35)=4,(AA35+AC35+AD35+AE35)&lt;&gt;0),((N(AE178)+N(AE179)+N(AE183)+N(AE204))-N(AE110))/(AA35+AC35+AD35+AE35),""),"")</f>
        <v>0.977853036989018</v>
      </c>
      <c r="AF303" s="264">
        <f>IFERROR(IF(AND(COUNT(AB35,AD35,AE35,AF35)=4,(AB35+AD35+AE35+AF35)&lt;&gt;0),((N(AF178)+N(AF179)+N(AF183)+N(AF204))-N(AF110))/(AB35+AD35+AE35+AF35),""),"")</f>
        <v>0.61154856058236</v>
      </c>
      <c r="AG303" s="264">
        <f>IFERROR(IF(AND(COUNT(AC35,AD35,AE35,AF35)=4,(AC35+AD35+AE35+AF35)&lt;&gt;0),((N(AG178)+N(AG179)+N(AG183)+N(AG204))-N(AG110))/(AC35+AD35+AE35+AF35),""),"")</f>
        <v>1.02239245421308</v>
      </c>
      <c r="AH303" s="264">
        <f>IFERROR(IF(AND(COUNT(AD35,AF35,AG35,AH35)=4,(AD35+AF35+AG35+AH35)&lt;&gt;0),((N(AH178)+N(AH179)+N(AH183)+N(AH204))-N(AH110))/(AD35+AF35+AG35+AH35),""),"")</f>
        <v>0.610596762350053</v>
      </c>
      <c r="AI303" s="264">
        <f>IFERROR(IF(AND(COUNT(AE35,AG35,AH35,AI35)=4,(AE35+AG35+AH35+AI35)&lt;&gt;0),((N(AI178)+N(AI179)+N(AI183)+N(AI204))-N(AI110))/(AE35+AG35+AH35+AI35),""),"")</f>
        <v>0.612769987663142</v>
      </c>
      <c r="AJ303" s="264">
        <f>IFERROR(IF(AND(COUNT(AF35,AH35,AI35,AJ35)=4,(AF35+AH35+AI35+AJ35)&lt;&gt;0),((N(AJ178)+N(AJ179)+N(AJ183)+N(AJ204))-N(AJ110))/(AF35+AH35+AI35+AJ35),""),"")</f>
        <v>0.894541853198109</v>
      </c>
      <c r="AK303" s="264">
        <f>IFERROR(IF(AND(COUNT(AH35,AI35,AJ35,AK35)=4,(AH35+AI35+AJ35+AK35)&lt;&gt;0),((N(AK178)+N(AK179)+N(AK183)+N(AK204))-N(AK110))/(AH35+AI35+AJ35+AK35),""),"")</f>
        <v>0.644411147006075</v>
      </c>
      <c r="AL303" s="264">
        <f>IFERROR(IF(AND(COUNT(AH35,AI35,AJ35,AK35)=4,(AH35+AI35+AJ35+AK35)&lt;&gt;0),((N(AL178)+N(AL179)+N(AL183)+N(AL204))-N(AL110))/(AH35+AI35+AJ35+AK35),""),"")</f>
        <v>0.644411147006075</v>
      </c>
      <c r="AM303" s="264">
        <f>IFERROR(IF(AND(COUNT(AI35,AJ35,AK35,AM35)=4,(AI35+AJ35+AK35+AM35)&lt;&gt;0),((N(AM178)+N(AM179)+N(AM183)+N(AM204))-N(AM110))/(AI35+AJ35+AK35+AM35),""),"")</f>
        <v>0.517643573654181</v>
      </c>
      <c r="AN303" s="264">
        <f>IFERROR(IF(AND(COUNT(AJ35,AK35,AM35,AN35)=4,(AJ35+AK35+AM35+AN35)&lt;&gt;0),((N(AN178)+N(AN179)+N(AN183)+N(AN204))-N(AN110))/(AJ35+AK35+AM35+AN35),""),"")</f>
        <v>0.344304517104818</v>
      </c>
      <c r="AO303" s="264">
        <f>IFERROR(IF(AND(COUNT(AK35,AM35,AN35,AO35)=4,(AK35+AM35+AN35+AO35)&lt;&gt;0),((N(AO178)+N(AO179)+N(AO183)+N(AO204))-N(AO110))/(AK35+AM35+AN35+AO35),""),"")</f>
        <v>0.165529381229086</v>
      </c>
      <c r="AP303" s="264">
        <f>IFERROR(IF(AND(COUNT(AM35,AN35,AO35,AP35)=4,(AM35+AN35+AO35+AP35)&lt;&gt;0),((N(AP178)+N(AP179)+N(AP183)+N(AP204))-N(AP110))/(AM35+AN35+AO35+AP35),""),"")</f>
        <v>-0.0490305291182028</v>
      </c>
      <c r="AQ303" s="264">
        <f>IFERROR(IF(AND(COUNT(AM35,AN35,AO35,AP35)=4,(AM35+AN35+AO35+AP35)&lt;&gt;0),((N(AQ178)+N(AQ179)+N(AQ183)+N(AQ204))-N(AQ110))/(AM35+AN35+AO35+AP35),""),"")</f>
        <v>-0.0490305291182028</v>
      </c>
      <c r="AR303" s="264">
        <f>IFERROR(IF(AND(COUNT(AN35,AO35,AP35,AR35)=4,(AN35+AO35+AP35+AR35)&lt;&gt;0),((N(AR178)+N(AR179)+N(AR183)+N(AR204))-N(AR110))/(AN35+AO35+AP35+AR35),""),"")</f>
        <v>-0.182335733518571</v>
      </c>
      <c r="AS303" s="264">
        <f>IFERROR(IF(AND(COUNT(AO35,AP35,AR35,AS35)=4,(AO35+AP35+AR35+AS35)&lt;&gt;0),((N(AS178)+N(AS179)+N(AS183)+N(AS204))-N(AS110))/(AO35+AP35+AR35+AS35),""),"")</f>
        <v>-0.340788316792501</v>
      </c>
      <c r="AT303" s="264">
        <f>IFERROR(IF(AND(COUNT(AP35,AR35,AS35,AT35)=4,(AP35+AR35+AS35+AT35)&lt;&gt;0),((N(AT178)+N(AT179)+N(AT183)+N(AT204))-N(AT110))/(AP35+AR35+AS35+AT35),""),"")</f>
        <v>-0.510457367292429</v>
      </c>
      <c r="AU303" s="264">
        <f>IFERROR(IF(AND(COUNT(AR35,AS35,AT35,AU35)=4,(AR35+AS35+AT35+AU35)&lt;&gt;0),((N(AU178)+N(AU179)+N(AU183)+N(AU204))-N(AU110))/(AR35+AS35+AT35+AU35),""),"")</f>
        <v>-0.717966538073055</v>
      </c>
      <c r="AV303" s="264">
        <f>IFERROR(IF(AND(COUNT(AR35,AS35,AT35,AU35)=4,(AR35+AS35+AT35+AU35)&lt;&gt;0),((N(AV178)+N(AV179)+N(AV183)+N(AV204))-N(AV110))/(AR35+AS35+AT35+AU35),""),"")</f>
        <v>-0.717966538073055</v>
      </c>
      <c r="AW303" s="264">
        <f>IFERROR(IF(AND(COUNT(AS35,AT35,AU35,AW35)=4,(AS35+AT35+AU35+AW35)&lt;&gt;0),((N(AW178)+N(AW179)+N(AW183)+N(AW204))-N(AW110))/(AS35+AT35+AU35+AW35),""),"")</f>
        <v>-0.840000585256418</v>
      </c>
      <c r="AX303" s="264">
        <f>IFERROR(IF(AND(COUNT(AT35,AU35,AW35,AX35)=4,(AT35+AU35+AW35+AX35)&lt;&gt;0),((N(AX178)+N(AX179)+N(AX183)+N(AX204))-N(AX110))/(AT35+AU35+AW35+AX35),""),"")</f>
        <v>-0.998456722583254</v>
      </c>
      <c r="AY303" s="264">
        <f>IFERROR(IF(AND(COUNT(AU35,AW35,AX35,AY35)=4,(AU35+AW35+AX35+AY35)&lt;&gt;0),((N(AY178)+N(AY179)+N(AY183)+N(AY204))-N(AY110))/(AU35+AW35+AX35+AY35),""),"")</f>
        <v>-1.16195266827561</v>
      </c>
      <c r="AZ303" s="264">
        <f>IFERROR(IF(AND(COUNT(AW35,AX35,AY35,AZ35)=4,(AW35+AX35+AY35+AZ35)&lt;&gt;0),((N(AZ178)+N(AZ179)+N(AZ183)+N(AZ204))-N(AZ110))/(AW35+AX35+AY35+AZ35),""),"")</f>
        <v>-1.36507901447024</v>
      </c>
      <c r="BA303" s="264">
        <f>IFERROR(IF(AND(COUNT(AW35,AX35,AY35,AZ35)=4,(AW35+AX35+AY35+AZ35)&lt;&gt;0),((N(BA178)+N(BA179)+N(BA183)+N(BA204))-N(BA110))/(AW35+AX35+AY35+AZ35),""),"")</f>
        <v>-1.36507901447024</v>
      </c>
      <c r="BB303" s="264">
        <f>IFERROR(IF(AND(COUNT(AX35,AY35,AZ35,BB35)=4,(AX35+AY35+AZ35+BB35)&lt;&gt;0),((N(BB178)+N(BB179)+N(BB183)+N(BB204))-N(BB110))/(AX35+AY35+AZ35+BB35),""),"")</f>
        <v>-1.48529471578496</v>
      </c>
      <c r="BC303" s="264">
        <f>IFERROR(IF(AND(COUNT(AY35,AZ35,BB35,BC35)=4,(AY35+AZ35+BB35+BC35)&lt;&gt;0),((N(BC178)+N(BC179)+N(BC183)+N(BC204))-N(BC110))/(AY35+AZ35+BB35+BC35),""),"")</f>
        <v>-1.63957095558476</v>
      </c>
      <c r="BD303" s="264">
        <f>IFERROR(IF(AND(COUNT(AZ35,BB35,BC35,BD35)=4,(AZ35+BB35+BC35+BD35)&lt;&gt;0),((N(BD178)+N(BD179)+N(BD183)+N(BD204))-N(BD110))/(AZ35+BB35+BC35+BD35),""),"")</f>
        <v>-1.79941774005746</v>
      </c>
      <c r="BE303" s="264">
        <f>IFERROR(IF(AND(COUNT(BB35,BC35,BD35,BE35)=4,(BB35+BC35+BD35+BE35)&lt;&gt;0),((N(BE178)+N(BE179)+N(BE183)+N(BE204))-N(BE110))/(BB35+BC35+BD35+BE35),""),"")</f>
        <v>-2.00044851506559</v>
      </c>
      <c r="BF303" s="264">
        <f>IFERROR(IF(AND(COUNT(BB35,BC35,BD35,BE35)=4,(BB35+BC35+BD35+BE35)&lt;&gt;0),((N(BF178)+N(BF179)+N(BF183)+N(BF204))-N(BF110))/(BB35+BC35+BD35+BE35),""),"")</f>
        <v>-2.00044851506559</v>
      </c>
      <c r="BG303" s="82" t="n"/>
      <c r="BH303" s="82" t="n"/>
      <c r="BI303" s="82" t="n"/>
      <c r="BJ303" s="82" t="n"/>
      <c r="BL303" s="82" t="n"/>
      <c r="BM303" s="82" t="n"/>
      <c r="BN303" s="82" t="n"/>
      <c r="BO303" s="82" t="n"/>
      <c r="BQ303" s="82" t="n"/>
      <c r="BR303" s="82" t="n"/>
      <c r="BS303" s="82" t="n"/>
      <c r="BT303" s="82" t="n"/>
      <c r="BV303" s="82" t="n"/>
      <c r="BW303" s="82" t="n"/>
      <c r="BX303" s="82" t="n"/>
      <c r="BY303" s="82" t="n"/>
      <c r="CA303" s="82" t="n"/>
      <c r="CB303" s="82" t="n"/>
      <c r="CC303" s="82" t="n"/>
      <c r="CD303" s="82" t="n"/>
      <c r="CF303" s="82" t="n"/>
      <c r="CG303" s="82" t="n"/>
      <c r="CH303" s="82" t="n"/>
      <c r="CI303" s="82" t="n"/>
      <c r="CK303" s="82" t="n"/>
      <c r="CL303" s="82" t="n"/>
      <c r="CM303" s="82" t="n"/>
      <c r="CN303" s="82" t="n"/>
      <c r="CP303" s="82" t="n"/>
      <c r="CQ303" s="82" t="n"/>
      <c r="CR303" s="82" t="n"/>
      <c r="CS303" s="82" t="n"/>
      <c r="CU303" s="82" t="n"/>
      <c r="CV303" s="82" t="n"/>
      <c r="CW303" s="82" t="n"/>
      <c r="CX303" s="82" t="n"/>
    </row>
    <row r="304" customFormat="1" s="77">
      <c r="A304" s="76" t="n"/>
      <c r="B304" s="76" t="n"/>
      <c r="C304" s="77" t="inlineStr">
        <is>
          <t>INTEREST COVERAGE (EBIT / INTEREST, LTM)</t>
        </is>
      </c>
      <c r="D304" s="82" t="str">
        <f>IFERROR(D39/-D40,"")</f>
        <v/>
      </c>
      <c r="E304" s="82" t="str">
        <f>IFERROR(E39/-E40,"")</f>
        <v/>
      </c>
      <c r="F304" s="82" t="str">
        <f>IFERROR(F39/-F40,"")</f>
        <v/>
      </c>
      <c r="G304" s="82" t="str">
        <f>IFERROR(G39/-G40,"")</f>
        <v/>
      </c>
      <c r="H304" s="264" t="str">
        <f>IFERROR(IF(AND(COUNT(H39)=1,(H40)&lt;&gt;0),(H39)/-(H40),""),"")</f>
        <v/>
      </c>
      <c r="I304" s="264" t="str">
        <f>""</f>
        <v/>
      </c>
      <c r="J304" s="264" t="str">
        <f>""</f>
        <v/>
      </c>
      <c r="K304" s="264" t="str">
        <f>""</f>
        <v/>
      </c>
      <c r="L304" s="264">
        <f>IFERROR(IF(AND(COUNT(I39,J39,K39,L39)=4,(I40+J40+K40+L40)&lt;&gt;0),(I39+J39+K39+L39)/-(I40+J40+K40+L40),""),"")</f>
        <v>3.03008023116588</v>
      </c>
      <c r="M304" s="264">
        <f>IFERROR(IF(AND(COUNT(I39,J39,K39,L39)=4,(I40+J40+K40+L40)&lt;&gt;0),(I39+J39+K39+L39)/-(I40+J40+K40+L40),""),"")</f>
        <v>3.03008023116588</v>
      </c>
      <c r="N304" s="264">
        <f>IFERROR(IF(AND(COUNT(J39,K39,L39,N39)=4,(J40+K40+L40+N40)&lt;&gt;0),(J39+K39+L39+N39)/-(J40+K40+L40+N40),""),"")</f>
        <v>2.56001528860556</v>
      </c>
      <c r="O304" s="264">
        <f>IFERROR(IF(AND(COUNT(K39,L39,N39,O39)=4,(K40+L40+N40+O40)&lt;&gt;0),(K39+L39+N39+O39)/-(K40+L40+N40+O40),""),"")</f>
        <v>2.22807677413431</v>
      </c>
      <c r="P304" s="264">
        <f>IFERROR(IF(AND(COUNT(L39,N39,O39,P39)=4,(L40+N40+O40+P40)&lt;&gt;0),(L39+N39+O39+P39)/-(L40+N40+O40+P40),""),"")</f>
        <v>1.96922703328908</v>
      </c>
      <c r="Q304" s="264">
        <f>IFERROR(IF(AND(COUNT(N39,O39,P39,Q39)=4,(N40+O40+P40+Q40)&lt;&gt;0),(N39+O39+P39+Q39)/-(N40+O40+P40+Q40),""),"")</f>
        <v>1.65757069630212</v>
      </c>
      <c r="R304" s="264">
        <f>IFERROR(IF(AND(COUNT(N39,O39,P39,Q39)=4,(N40+O40+P40+Q40)&lt;&gt;0),(N39+O39+P39+Q39)/-(N40+O40+P40+Q40),""),"")</f>
        <v>1.65757069630212</v>
      </c>
      <c r="S304" s="264">
        <f>IFERROR(IF(AND(COUNT(O39,P39,Q39,S39)=4,(O40+P40+Q40+S40)&lt;&gt;0),(O39+P39+Q39+S39)/-(O40+P40+Q40+S40),""),"")</f>
        <v>1.48393514316141</v>
      </c>
      <c r="T304" s="264">
        <f>IFERROR(IF(AND(COUNT(P39,Q39,S39,T39)=4,(P40+Q40+S40+T40)&lt;&gt;0),(P39+Q39+S39+T39)/-(P40+Q40+S40+T40),""),"")</f>
        <v>1.37016997220146</v>
      </c>
      <c r="U304" s="264">
        <f>IFERROR(IF(AND(COUNT(Q39,S39,T39,U39)=4,(Q40+S40+T40+U40)&lt;&gt;0),(Q39+S39+T39+U39)/-(Q40+S40+T40+U40),""),"")</f>
        <v>1.45085937472534</v>
      </c>
      <c r="V304" s="264">
        <f>IFERROR(IF(AND(COUNT(S39,T39,U39,V39)=4,(S40+T40+U40+V40)&lt;&gt;0),(S39+T39+U39+V39)/-(S40+T40+U40+V40),""),"")</f>
        <v>1.51388705846918</v>
      </c>
      <c r="W304" s="264">
        <f>IFERROR(IF(AND(COUNT(S39,T39,U39,V39)=4,(S40+T40+U40+V40)&lt;&gt;0),(S39+T39+U39+V39)/-(S40+T40+U40+V40),""),"")</f>
        <v>1.51388705846918</v>
      </c>
      <c r="X304" s="264">
        <f>IFERROR(IF(AND(COUNT(T39,U39,V39,X39)=4,(T40+U40+V40+X40)&lt;&gt;0),(T39+U39+V39+X39)/-(T40+U40+V40+X40),""),"")</f>
        <v>1.66718385511056</v>
      </c>
      <c r="Y304" s="264">
        <f>IFERROR(IF(AND(COUNT(U39,V39,X39,Y39)=4,(U40+V40+X40+Y40)&lt;&gt;0),(U39+V39+X39+Y39)/-(U40+V40+X40+Y40),""),"")</f>
        <v>1.93833878359754</v>
      </c>
      <c r="Z304" s="264">
        <f>IFERROR(IF(AND(COUNT(V39,X39,Y39,Z39)=4,(V40+X40+Y40+Z40)&lt;&gt;0),(V39+X39+Y39+Z39)/-(V40+X40+Y40+Z40),""),"")</f>
        <v>1.99498044795374</v>
      </c>
      <c r="AA304" s="264">
        <f>IFERROR(IF(AND(COUNT(X39,Y39,Z39,AA39)=4,(X40+Y40+Z40+AA40)&lt;&gt;0),(X39+Y39+Z39+AA39)/-(X40+Y40+Z40+AA40),""),"")</f>
        <v>1.94873012913529</v>
      </c>
      <c r="AB304" s="264">
        <f>IFERROR(IF(AND(COUNT(X39,Y39,Z39,AA39)=4,(X40+Y40+Z40+AA40)&lt;&gt;0),(X39+Y39+Z39+AA39)/-(X40+Y40+Z40+AA40),""),"")</f>
        <v>1.94873012913529</v>
      </c>
      <c r="AC304" s="264">
        <f>IFERROR(IF(AND(COUNT(Y39,Z39,AA39,AC39)=4,(Y40+Z40+AA40+AC40)&lt;&gt;0),(Y39+Z39+AA39+AC39)/-(Y40+Z40+AA40+AC40),""),"")</f>
        <v>1.85414235745501</v>
      </c>
      <c r="AD304" s="264">
        <f>IFERROR(IF(AND(COUNT(Z39,AA39,AC39,AD39)=4,(Z40+AA40+AC40+AD40)&lt;&gt;0),(Z39+AA39+AC39+AD39)/-(Z40+AA40+AC40+AD40),""),"")</f>
        <v>1.67382136566771</v>
      </c>
      <c r="AE304" s="264">
        <f>IFERROR(IF(AND(COUNT(AA39,AC39,AD39,AE39)=4,(AA40+AC40+AD40+AE40)&lt;&gt;0),(AA39+AC39+AD39+AE39)/-(AA40+AC40+AD40+AE40),""),"")</f>
        <v>1.57723973670502</v>
      </c>
      <c r="AF304" s="264">
        <f>IFERROR(IF(AND(COUNT(AB39,AD39,AE39,AF39)=4,(AB40+AD40+AE40+AF40)&lt;&gt;0),(AB39+AD39+AE39+AF39)/-(AB40+AD40+AE40+AF40),""),"")</f>
        <v>1.69765264255986</v>
      </c>
      <c r="AG304" s="264">
        <f>IFERROR(IF(AND(COUNT(AC39,AD39,AE39,AF39)=4,(AC40+AD40+AE40+AF40)&lt;&gt;0),(AC39+AD39+AE39+AF39)/-(AC40+AD40+AE40+AF40),""),"")</f>
        <v>1.53689418572409</v>
      </c>
      <c r="AH304" s="264">
        <f>IFERROR(IF(AND(COUNT(AD39,AF39,AG39,AH39)=4,(AD40+AF40+AG40+AH40)&lt;&gt;0),(AD39+AF39+AG39+AH39)/-(AD40+AF40+AG40+AH40),""),"")</f>
        <v>1.52643741138852</v>
      </c>
      <c r="AI304" s="264">
        <f>IFERROR(IF(AND(COUNT(AE39,AG39,AH39,AI39)=4,(AE40+AG40+AH40+AI40)&lt;&gt;0),(AE39+AG39+AH39+AI39)/-(AE40+AG40+AH40+AI40),""),"")</f>
        <v>1.68379048952815</v>
      </c>
      <c r="AJ304" s="264" t="str">
        <f>IFERROR(IF(AND(COUNT(AF39,AH39,AI39,AJ39)=4,(AF40+AH40+AI40+AJ40)&lt;&gt;0),(AF39+AH39+AI39+AJ39)/-(AF40+AH40+AI40+AJ40),""),"")</f>
        <v/>
      </c>
      <c r="AK304" s="264" t="str">
        <f>IFERROR(IF(AND(COUNT(AH39,AI39,AJ39,AK39)=4,(AH40+AI40+AJ40+AK40)&lt;&gt;0),(AH39+AI39+AJ39+AK39)/-(AH40+AI40+AJ40+AK40),""),"")</f>
        <v/>
      </c>
      <c r="AL304" s="264" t="str">
        <f>IFERROR(IF(AND(COUNT(AH39,AI39,AJ39,AK39)=4,(AH40+AI40+AJ40+AK40)&lt;&gt;0),(AH39+AI39+AJ39+AK39)/-(AH40+AI40+AJ40+AK40),""),"")</f>
        <v/>
      </c>
      <c r="AM304" s="264" t="str">
        <f>IFERROR(IF(AND(COUNT(AI39,AJ39,AK39,AM39)=4,(AI40+AJ40+AK40+AM40)&lt;&gt;0),(AI39+AJ39+AK39+AM39)/-(AI40+AJ40+AK40+AM40),""),"")</f>
        <v/>
      </c>
      <c r="AN304" s="264" t="str">
        <f>IFERROR(IF(AND(COUNT(AJ39,AK39,AM39,AN39)=4,(AJ40+AK40+AM40+AN40)&lt;&gt;0),(AJ39+AK39+AM39+AN39)/-(AJ40+AK40+AM40+AN40),""),"")</f>
        <v/>
      </c>
      <c r="AO304" s="264" t="str">
        <f>IFERROR(IF(AND(COUNT(AK39,AM39,AN39,AO39)=4,(AK40+AM40+AN40+AO40)&lt;&gt;0),(AK39+AM39+AN39+AO39)/-(AK40+AM40+AN40+AO40),""),"")</f>
        <v/>
      </c>
      <c r="AP304" s="264" t="str">
        <f>IFERROR(IF(AND(COUNT(AM39,AN39,AO39,AP39)=4,(AM40+AN40+AO40+AP40)&lt;&gt;0),(AM39+AN39+AO39+AP39)/-(AM40+AN40+AO40+AP40),""),"")</f>
        <v/>
      </c>
      <c r="AQ304" s="264" t="str">
        <f>IFERROR(IF(AND(COUNT(AM39,AN39,AO39,AP39)=4,(AM40+AN40+AO40+AP40)&lt;&gt;0),(AM39+AN39+AO39+AP39)/-(AM40+AN40+AO40+AP40),""),"")</f>
        <v/>
      </c>
      <c r="AR304" s="264" t="str">
        <f>IFERROR(IF(AND(COUNT(AN39,AO39,AP39,AR39)=4,(AN40+AO40+AP40+AR40)&lt;&gt;0),(AN39+AO39+AP39+AR39)/-(AN40+AO40+AP40+AR40),""),"")</f>
        <v/>
      </c>
      <c r="AS304" s="264" t="str">
        <f>IFERROR(IF(AND(COUNT(AO39,AP39,AR39,AS39)=4,(AO40+AP40+AR40+AS40)&lt;&gt;0),(AO39+AP39+AR39+AS39)/-(AO40+AP40+AR40+AS40),""),"")</f>
        <v/>
      </c>
      <c r="AT304" s="264" t="str">
        <f>IFERROR(IF(AND(COUNT(AP39,AR39,AS39,AT39)=4,(AP40+AR40+AS40+AT40)&lt;&gt;0),(AP39+AR39+AS39+AT39)/-(AP40+AR40+AS40+AT40),""),"")</f>
        <v/>
      </c>
      <c r="AU304" s="264" t="str">
        <f>IFERROR(IF(AND(COUNT(AR39,AS39,AT39,AU39)=4,(AR40+AS40+AT40+AU40)&lt;&gt;0),(AR39+AS39+AT39+AU39)/-(AR40+AS40+AT40+AU40),""),"")</f>
        <v/>
      </c>
      <c r="AV304" s="264" t="str">
        <f>IFERROR(IF(AND(COUNT(AR39,AS39,AT39,AU39)=4,(AR40+AS40+AT40+AU40)&lt;&gt;0),(AR39+AS39+AT39+AU39)/-(AR40+AS40+AT40+AU40),""),"")</f>
        <v/>
      </c>
      <c r="AW304" s="264" t="str">
        <f>IFERROR(IF(AND(COUNT(AS39,AT39,AU39,AW39)=4,(AS40+AT40+AU40+AW40)&lt;&gt;0),(AS39+AT39+AU39+AW39)/-(AS40+AT40+AU40+AW40),""),"")</f>
        <v/>
      </c>
      <c r="AX304" s="264" t="str">
        <f>IFERROR(IF(AND(COUNT(AT39,AU39,AW39,AX39)=4,(AT40+AU40+AW40+AX40)&lt;&gt;0),(AT39+AU39+AW39+AX39)/-(AT40+AU40+AW40+AX40),""),"")</f>
        <v/>
      </c>
      <c r="AY304" s="264" t="str">
        <f>IFERROR(IF(AND(COUNT(AU39,AW39,AX39,AY39)=4,(AU40+AW40+AX40+AY40)&lt;&gt;0),(AU39+AW39+AX39+AY39)/-(AU40+AW40+AX40+AY40),""),"")</f>
        <v/>
      </c>
      <c r="AZ304" s="264" t="str">
        <f>IFERROR(IF(AND(COUNT(AW39,AX39,AY39,AZ39)=4,(AW40+AX40+AY40+AZ40)&lt;&gt;0),(AW39+AX39+AY39+AZ39)/-(AW40+AX40+AY40+AZ40),""),"")</f>
        <v/>
      </c>
      <c r="BA304" s="264" t="str">
        <f>IFERROR(IF(AND(COUNT(AW39,AX39,AY39,AZ39)=4,(AW40+AX40+AY40+AZ40)&lt;&gt;0),(AW39+AX39+AY39+AZ39)/-(AW40+AX40+AY40+AZ40),""),"")</f>
        <v/>
      </c>
      <c r="BB304" s="264" t="str">
        <f>IFERROR(IF(AND(COUNT(AX39,AY39,AZ39,BB39)=4,(AX40+AY40+AZ40+BB40)&lt;&gt;0),(AX39+AY39+AZ39+BB39)/-(AX40+AY40+AZ40+BB40),""),"")</f>
        <v/>
      </c>
      <c r="BC304" s="264" t="str">
        <f>IFERROR(IF(AND(COUNT(AY39,AZ39,BB39,BC39)=4,(AY40+AZ40+BB40+BC40)&lt;&gt;0),(AY39+AZ39+BB39+BC39)/-(AY40+AZ40+BB40+BC40),""),"")</f>
        <v/>
      </c>
      <c r="BD304" s="264" t="str">
        <f>IFERROR(IF(AND(COUNT(AZ39,BB39,BC39,BD39)=4,(AZ40+BB40+BC40+BD40)&lt;&gt;0),(AZ39+BB39+BC39+BD39)/-(AZ40+BB40+BC40+BD40),""),"")</f>
        <v/>
      </c>
      <c r="BE304" s="264" t="str">
        <f>IFERROR(IF(AND(COUNT(BB39,BC39,BD39,BE39)=4,(BB40+BC40+BD40+BE40)&lt;&gt;0),(BB39+BC39+BD39+BE39)/-(BB40+BC40+BD40+BE40),""),"")</f>
        <v/>
      </c>
      <c r="BF304" s="264" t="str">
        <f>IFERROR(IF(AND(COUNT(BB39,BC39,BD39,BE39)=4,(BB40+BC40+BD40+BE40)&lt;&gt;0),(BB39+BC39+BD39+BE39)/-(BB40+BC40+BD40+BE40),""),"")</f>
        <v/>
      </c>
      <c r="BG304" s="82" t="n"/>
      <c r="BH304" s="82" t="n"/>
      <c r="BI304" s="82" t="n"/>
      <c r="BJ304" s="82" t="n"/>
      <c r="BL304" s="82" t="n"/>
      <c r="BM304" s="82" t="n"/>
      <c r="BN304" s="82" t="n"/>
      <c r="BO304" s="82" t="n"/>
      <c r="BQ304" s="82" t="n"/>
      <c r="BR304" s="82" t="n"/>
      <c r="BS304" s="82" t="n"/>
      <c r="BT304" s="82" t="n"/>
      <c r="BV304" s="82" t="n"/>
      <c r="BW304" s="82" t="n"/>
      <c r="BX304" s="82" t="n"/>
      <c r="BY304" s="82" t="n"/>
      <c r="CA304" s="82" t="n"/>
      <c r="CB304" s="82" t="n"/>
      <c r="CC304" s="82" t="n"/>
      <c r="CD304" s="82" t="n"/>
      <c r="CF304" s="82" t="n"/>
      <c r="CG304" s="82" t="n"/>
      <c r="CH304" s="82" t="n"/>
      <c r="CI304" s="82" t="n"/>
      <c r="CK304" s="82" t="n"/>
      <c r="CL304" s="82" t="n"/>
      <c r="CM304" s="82" t="n"/>
      <c r="CN304" s="82" t="n"/>
      <c r="CP304" s="82" t="n"/>
      <c r="CQ304" s="82" t="n"/>
      <c r="CR304" s="82" t="n"/>
      <c r="CS304" s="82" t="n"/>
      <c r="CU304" s="82" t="n"/>
      <c r="CV304" s="82" t="n"/>
      <c r="CW304" s="82" t="n"/>
      <c r="CX304" s="82" t="n"/>
    </row>
    <row r="305" customFormat="1" s="77">
      <c r="A305" s="76" t="n"/>
      <c r="B305" s="76" t="n"/>
    </row>
    <row r="306" customFormat="1" s="77">
      <c r="A306" s="76" t="n"/>
      <c r="B306" s="76" t="n"/>
      <c r="C306" s="74" t="inlineStr">
        <is>
          <t>INTERNAL LIQUIDITY</t>
        </is>
      </c>
    </row>
    <row r="307" customFormat="1" s="77">
      <c r="A307" s="76" t="n"/>
      <c r="B307" s="76" t="n"/>
      <c r="C307" s="77" t="inlineStr">
        <is>
          <t>CURRENT RATIO</t>
        </is>
      </c>
      <c r="D307" s="82" t="str">
        <f>IFERROR(SUM(D110,D111,D115,D119,D120,D121)/SUM(D164,D168,D170,D171),"")</f>
        <v/>
      </c>
      <c r="E307" s="82" t="str">
        <f>IFERROR(SUM(E110,E111,E115,E119,E120,E121)/SUM(E164,E168,E170,E171),"")</f>
        <v/>
      </c>
      <c r="F307" s="82" t="str">
        <f>IFERROR(SUM(F110,F111,F115,F119,F120,F121)/SUM(F164,F168,F170,F171),"")</f>
        <v/>
      </c>
      <c r="G307" s="82" t="str">
        <f>IFERROR(SUM(G110,G111,G115,G119,G120,G121)/SUM(G164,G168,G170,G171),"")</f>
        <v/>
      </c>
      <c r="H307" s="264" t="str">
        <f>IFERROR(IF((N(H164)+N(H168)+N(H170)+N(H171)+N(H178)+N(H179)+N(H180))&lt;&gt;0,(N(H110)+(N(H111)+N(H115)+N(H119)+N(H120)+N(H121)))/(N(H164)+N(H168)+N(H170)+N(H171)+N(H178)+N(H179)+N(H180)),""),"")</f>
        <v/>
      </c>
      <c r="I307" s="264">
        <f>IFERROR(IF((N(I164)+N(I168)+N(I170)+N(I171)+N(I178)+N(I179)+N(I180))&lt;&gt;0,(N(I110)+(N(I111)+N(I115)+N(I119)+N(I120)+N(I121)))/(N(I164)+N(I168)+N(I170)+N(I171)+N(I178)+N(I179)+N(I180)),""),"")</f>
        <v>1.52763985174782</v>
      </c>
      <c r="J307" s="264">
        <f>IFERROR(IF((N(J164)+N(J168)+N(J170)+N(J171)+N(J178)+N(J179)+N(J180))&lt;&gt;0,(N(J110)+(N(J111)+N(J115)+N(J119)+N(J120)+N(J121)))/(N(J164)+N(J168)+N(J170)+N(J171)+N(J178)+N(J179)+N(J180)),""),"")</f>
        <v>1.10930987822835</v>
      </c>
      <c r="K307" s="264">
        <f>IFERROR(IF((N(K164)+N(K168)+N(K170)+N(K171)+N(K178)+N(K179)+N(K180))&lt;&gt;0,(N(K110)+(N(K111)+N(K115)+N(K119)+N(K120)+N(K121)))/(N(K164)+N(K168)+N(K170)+N(K171)+N(K178)+N(K179)+N(K180)),""),"")</f>
        <v>1.71625971864609</v>
      </c>
      <c r="L307" s="264">
        <f>IFERROR(IF((N(L164)+N(L168)+N(L170)+N(L171)+N(L178)+N(L179)+N(L180))&lt;&gt;0,(N(L110)+(N(L111)+N(L115)+N(L119)+N(L120)+N(L121)))/(N(L164)+N(L168)+N(L170)+N(L171)+N(L178)+N(L179)+N(L180)),""),"")</f>
        <v>1.51797189255997</v>
      </c>
      <c r="M307" s="264">
        <f>IFERROR(IF((N(M164)+N(M168)+N(M170)+N(M171)+N(M178)+N(M179)+N(M180))&lt;&gt;0,(N(M110)+(N(M111)+N(M115)+N(M119)+N(M120)+N(M121)))/(N(M164)+N(M168)+N(M170)+N(M171)+N(M178)+N(M179)+N(M180)),""),"")</f>
        <v>1.51797189255997</v>
      </c>
      <c r="N307" s="264">
        <f>IFERROR(IF((N(N164)+N(N168)+N(N170)+N(N171)+N(N178)+N(N179)+N(N180))&lt;&gt;0,(N(N110)+(N(N111)+N(N115)+N(N119)+N(N120)+N(N121)))/(N(N164)+N(N168)+N(N170)+N(N171)+N(N178)+N(N179)+N(N180)),""),"")</f>
        <v>1.4281661974143</v>
      </c>
      <c r="O307" s="264">
        <f>IFERROR(IF((N(O164)+N(O168)+N(O170)+N(O171)+N(O178)+N(O179)+N(O180))&lt;&gt;0,(N(O110)+(N(O111)+N(O115)+N(O119)+N(O120)+N(O121)))/(N(O164)+N(O168)+N(O170)+N(O171)+N(O178)+N(O179)+N(O180)),""),"")</f>
        <v>1.56696706920078</v>
      </c>
      <c r="P307" s="264">
        <f>IFERROR(IF((N(P164)+N(P168)+N(P170)+N(P171)+N(P178)+N(P179)+N(P180))&lt;&gt;0,(N(P110)+(N(P111)+N(P115)+N(P119)+N(P120)+N(P121)))/(N(P164)+N(P168)+N(P170)+N(P171)+N(P178)+N(P179)+N(P180)),""),"")</f>
        <v>1.55371705624305</v>
      </c>
      <c r="Q307" s="264">
        <f>IFERROR(IF((N(Q164)+N(Q168)+N(Q170)+N(Q171)+N(Q178)+N(Q179)+N(Q180))&lt;&gt;0,(N(Q110)+(N(Q111)+N(Q115)+N(Q119)+N(Q120)+N(Q121)))/(N(Q164)+N(Q168)+N(Q170)+N(Q171)+N(Q178)+N(Q179)+N(Q180)),""),"")</f>
        <v>2.07567943091307</v>
      </c>
      <c r="R307" s="264">
        <f>IFERROR(IF((N(R164)+N(R168)+N(R170)+N(R171)+N(R178)+N(R179)+N(R180))&lt;&gt;0,(N(R110)+(N(R111)+N(R115)+N(R119)+N(R120)+N(R121)))/(N(R164)+N(R168)+N(R170)+N(R171)+N(R178)+N(R179)+N(R180)),""),"")</f>
        <v>2.07567943091307</v>
      </c>
      <c r="S307" s="264">
        <f>IFERROR(IF((N(S164)+N(S168)+N(S170)+N(S171)+N(S178)+N(S179)+N(S180))&lt;&gt;0,(N(S110)+(N(S111)+N(S115)+N(S119)+N(S120)+N(S121)))/(N(S164)+N(S168)+N(S170)+N(S171)+N(S178)+N(S179)+N(S180)),""),"")</f>
        <v>2.14273383513815</v>
      </c>
      <c r="T307" s="264">
        <f>IFERROR(IF((N(T164)+N(T168)+N(T170)+N(T171)+N(T178)+N(T179)+N(T180))&lt;&gt;0,(N(T110)+(N(T111)+N(T115)+N(T119)+N(T120)+N(T121)))/(N(T164)+N(T168)+N(T170)+N(T171)+N(T178)+N(T179)+N(T180)),""),"")</f>
        <v>1.46121540051363</v>
      </c>
      <c r="U307" s="264">
        <f>IFERROR(IF((N(U164)+N(U168)+N(U170)+N(U171)+N(U178)+N(U179)+N(U180))&lt;&gt;0,(N(U110)+(N(U111)+N(U115)+N(U119)+N(U120)+N(U121)))/(N(U164)+N(U168)+N(U170)+N(U171)+N(U178)+N(U179)+N(U180)),""),"")</f>
        <v>1.55881379234119</v>
      </c>
      <c r="V307" s="264">
        <f>IFERROR(IF((N(V164)+N(V168)+N(V170)+N(V171)+N(V178)+N(V179)+N(V180))&lt;&gt;0,(N(V110)+(N(V111)+N(V115)+N(V119)+N(V120)+N(V121)))/(N(V164)+N(V168)+N(V170)+N(V171)+N(V178)+N(V179)+N(V180)),""),"")</f>
        <v>1.76174956243745</v>
      </c>
      <c r="W307" s="264">
        <f>IFERROR(IF((N(W164)+N(W168)+N(W170)+N(W171)+N(W178)+N(W179)+N(W180))&lt;&gt;0,(N(W110)+(N(W111)+N(W115)+N(W119)+N(W120)+N(W121)))/(N(W164)+N(W168)+N(W170)+N(W171)+N(W178)+N(W179)+N(W180)),""),"")</f>
        <v>1.76174956243745</v>
      </c>
      <c r="X307" s="264">
        <f>IFERROR(IF((N(X164)+N(X168)+N(X170)+N(X171)+N(X178)+N(X179)+N(X180))&lt;&gt;0,(N(X110)+(N(X111)+N(X115)+N(X119)+N(X120)+N(X121)))/(N(X164)+N(X168)+N(X170)+N(X171)+N(X178)+N(X179)+N(X180)),""),"")</f>
        <v>1.77805788464415</v>
      </c>
      <c r="Y307" s="264">
        <f>IFERROR(IF((N(Y164)+N(Y168)+N(Y170)+N(Y171)+N(Y178)+N(Y179)+N(Y180))&lt;&gt;0,(N(Y110)+(N(Y111)+N(Y115)+N(Y119)+N(Y120)+N(Y121)))/(N(Y164)+N(Y168)+N(Y170)+N(Y171)+N(Y178)+N(Y179)+N(Y180)),""),"")</f>
        <v>2.43863190071701</v>
      </c>
      <c r="Z307" s="264">
        <f>IFERROR(IF((N(Z164)+N(Z168)+N(Z170)+N(Z171)+N(Z178)+N(Z179)+N(Z180))&lt;&gt;0,(N(Z110)+(N(Z111)+N(Z115)+N(Z119)+N(Z120)+N(Z121)))/(N(Z164)+N(Z168)+N(Z170)+N(Z171)+N(Z178)+N(Z179)+N(Z180)),""),"")</f>
        <v>1.99543875608683</v>
      </c>
      <c r="AA307" s="264">
        <f>IFERROR(IF((N(AA164)+N(AA168)+N(AA170)+N(AA171)+N(AA178)+N(AA179)+N(AA180))&lt;&gt;0,(N(AA110)+(N(AA111)+N(AA115)+N(AA119)+N(AA120)+N(AA121)))/(N(AA164)+N(AA168)+N(AA170)+N(AA171)+N(AA178)+N(AA179)+N(AA180)),""),"")</f>
        <v>2.58231376516012</v>
      </c>
      <c r="AB307" s="264">
        <f>IFERROR(IF((N(AB164)+N(AB168)+N(AB170)+N(AB171)+N(AB178)+N(AB179)+N(AB180))&lt;&gt;0,(N(AB110)+(N(AB111)+N(AB115)+N(AB119)+N(AB120)+N(AB121)))/(N(AB164)+N(AB168)+N(AB170)+N(AB171)+N(AB178)+N(AB179)+N(AB180)),""),"")</f>
        <v>2.58231376516012</v>
      </c>
      <c r="AC307" s="264">
        <f>IFERROR(IF((N(AC164)+N(AC168)+N(AC170)+N(AC171)+N(AC178)+N(AC179)+N(AC180))&lt;&gt;0,(N(AC110)+(N(AC111)+N(AC115)+N(AC119)+N(AC120)+N(AC121)))/(N(AC164)+N(AC168)+N(AC170)+N(AC171)+N(AC178)+N(AC179)+N(AC180)),""),"")</f>
        <v>2.34434462856767</v>
      </c>
      <c r="AD307" s="264">
        <f>IFERROR(IF((N(AD164)+N(AD168)+N(AD170)+N(AD171)+N(AD178)+N(AD179)+N(AD180))&lt;&gt;0,(N(AD110)+(N(AD111)+N(AD115)+N(AD119)+N(AD120)+N(AD121)))/(N(AD164)+N(AD168)+N(AD170)+N(AD171)+N(AD178)+N(AD179)+N(AD180)),""),"")</f>
        <v>2.57370918631677</v>
      </c>
      <c r="AE307" s="264">
        <f>IFERROR(IF((N(AE164)+N(AE168)+N(AE170)+N(AE171)+N(AE178)+N(AE179)+N(AE180))&lt;&gt;0,(N(AE110)+(N(AE111)+N(AE115)+N(AE119)+N(AE120)+N(AE121)))/(N(AE164)+N(AE168)+N(AE170)+N(AE171)+N(AE178)+N(AE179)+N(AE180)),""),"")</f>
        <v>2.26518137968226</v>
      </c>
      <c r="AF307" s="264">
        <f>IFERROR(IF((N(AF164)+N(AF168)+N(AF170)+N(AF171)+N(AF178)+N(AF179)+N(AF180))&lt;&gt;0,(N(AF110)+(N(AF111)+N(AF115)+N(AF119)+N(AF120)+N(AF121)))/(N(AF164)+N(AF168)+N(AF170)+N(AF171)+N(AF178)+N(AF179)+N(AF180)),""),"")</f>
        <v>2.02395042926864</v>
      </c>
      <c r="AG307" s="264">
        <f>IFERROR(IF((N(AG164)+N(AG168)+N(AG170)+N(AG171)+N(AG178)+N(AG179)+N(AG180))&lt;&gt;0,(N(AG110)+(N(AG111)+N(AG115)+N(AG119)+N(AG120)+N(AG121)))/(N(AG164)+N(AG168)+N(AG170)+N(AG171)+N(AG178)+N(AG179)+N(AG180)),""),"")</f>
        <v>2.02395042926864</v>
      </c>
      <c r="AH307" s="264">
        <f>IFERROR(IF((N(AH164)+N(AH168)+N(AH170)+N(AH171)+N(AH178)+N(AH179)+N(AH180))&lt;&gt;0,(N(AH110)+(N(AH111)+N(AH115)+N(AH119)+N(AH120)+N(AH121)))/(N(AH164)+N(AH168)+N(AH170)+N(AH171)+N(AH178)+N(AH179)+N(AH180)),""),"")</f>
        <v>2.19469278724269</v>
      </c>
      <c r="AI307" s="264">
        <f>IFERROR(IF((N(AI164)+N(AI168)+N(AI170)+N(AI171)+N(AI178)+N(AI179)+N(AI180))&lt;&gt;0,(N(AI110)+(N(AI111)+N(AI115)+N(AI119)+N(AI120)+N(AI121)))/(N(AI164)+N(AI168)+N(AI170)+N(AI171)+N(AI178)+N(AI179)+N(AI180)),""),"")</f>
        <v>1.92202615952134</v>
      </c>
      <c r="AJ307" s="264">
        <f>IFERROR(IF((N(AJ164)+N(AJ168)+N(AJ170)+N(AJ171)+N(AJ178)+N(AJ179)+N(AJ180))&lt;&gt;0,(N(AJ110)+(N(AJ111)+N(AJ115)+N(AJ119)+N(AJ120)+N(AJ121)))/(N(AJ164)+N(AJ168)+N(AJ170)+N(AJ171)+N(AJ178)+N(AJ179)+N(AJ180)),""),"")</f>
        <v>2.06332101434484</v>
      </c>
      <c r="AK307" s="264">
        <f>IFERROR(IF((N(AK164)+N(AK168)+N(AK170)+N(AK171)+N(AK178)+N(AK179)+N(AK180))&lt;&gt;0,(N(AK110)+(N(AK111)+N(AK115)+N(AK119)+N(AK120)+N(AK121)))/(N(AK164)+N(AK168)+N(AK170)+N(AK171)+N(AK178)+N(AK179)+N(AK180)),""),"")</f>
        <v>2.20260022479187</v>
      </c>
      <c r="AL307" s="264">
        <f>IFERROR(IF((N(AL164)+N(AL168)+N(AL170)+N(AL171)+N(AL178)+N(AL179)+N(AL180))&lt;&gt;0,(N(AL110)+(N(AL111)+N(AL115)+N(AL119)+N(AL120)+N(AL121)))/(N(AL164)+N(AL168)+N(AL170)+N(AL171)+N(AL178)+N(AL179)+N(AL180)),""),"")</f>
        <v>2.20260022479187</v>
      </c>
      <c r="AM307" s="264">
        <f>IFERROR(IF((N(AM164)+N(AM168)+N(AM170)+N(AM171)+N(AM178)+N(AM179)+N(AM180))&lt;&gt;0,(N(AM110)+(N(AM111)+N(AM115)+N(AM119)+N(AM120)+N(AM121)))/(N(AM164)+N(AM168)+N(AM170)+N(AM171)+N(AM178)+N(AM179)+N(AM180)),""),"")</f>
        <v>2.28361802426239</v>
      </c>
      <c r="AN307" s="264">
        <f>IFERROR(IF((N(AN164)+N(AN168)+N(AN170)+N(AN171)+N(AN178)+N(AN179)+N(AN180))&lt;&gt;0,(N(AN110)+(N(AN111)+N(AN115)+N(AN119)+N(AN120)+N(AN121)))/(N(AN164)+N(AN168)+N(AN170)+N(AN171)+N(AN178)+N(AN179)+N(AN180)),""),"")</f>
        <v>2.38630189036175</v>
      </c>
      <c r="AO307" s="264">
        <f>IFERROR(IF((N(AO164)+N(AO168)+N(AO170)+N(AO171)+N(AO178)+N(AO179)+N(AO180))&lt;&gt;0,(N(AO110)+(N(AO111)+N(AO115)+N(AO119)+N(AO120)+N(AO121)))/(N(AO164)+N(AO168)+N(AO170)+N(AO171)+N(AO178)+N(AO179)+N(AO180)),""),"")</f>
        <v>2.48685814583419</v>
      </c>
      <c r="AP307" s="264">
        <f>IFERROR(IF((N(AP164)+N(AP168)+N(AP170)+N(AP171)+N(AP178)+N(AP179)+N(AP180))&lt;&gt;0,(N(AP110)+(N(AP111)+N(AP115)+N(AP119)+N(AP120)+N(AP121)))/(N(AP164)+N(AP168)+N(AP170)+N(AP171)+N(AP178)+N(AP179)+N(AP180)),""),"")</f>
        <v>2.61028748939799</v>
      </c>
      <c r="AQ307" s="264">
        <f>IFERROR(IF((N(AQ164)+N(AQ168)+N(AQ170)+N(AQ171)+N(AQ178)+N(AQ179)+N(AQ180))&lt;&gt;0,(N(AQ110)+(N(AQ111)+N(AQ115)+N(AQ119)+N(AQ120)+N(AQ121)))/(N(AQ164)+N(AQ168)+N(AQ170)+N(AQ171)+N(AQ178)+N(AQ179)+N(AQ180)),""),"")</f>
        <v>2.61028748939799</v>
      </c>
      <c r="AR307" s="264">
        <f>IFERROR(IF((N(AR164)+N(AR168)+N(AR170)+N(AR171)+N(AR178)+N(AR179)+N(AR180))&lt;&gt;0,(N(AR110)+(N(AR111)+N(AR115)+N(AR119)+N(AR120)+N(AR121)))/(N(AR164)+N(AR168)+N(AR170)+N(AR171)+N(AR178)+N(AR179)+N(AR180)),""),"")</f>
        <v>2.66635092575399</v>
      </c>
      <c r="AS307" s="264">
        <f>IFERROR(IF((N(AS164)+N(AS168)+N(AS170)+N(AS171)+N(AS178)+N(AS179)+N(AS180))&lt;&gt;0,(N(AS110)+(N(AS111)+N(AS115)+N(AS119)+N(AS120)+N(AS121)))/(N(AS164)+N(AS168)+N(AS170)+N(AS171)+N(AS178)+N(AS179)+N(AS180)),""),"")</f>
        <v>2.73732206484925</v>
      </c>
      <c r="AT307" s="264">
        <f>IFERROR(IF((N(AT164)+N(AT168)+N(AT170)+N(AT171)+N(AT178)+N(AT179)+N(AT180))&lt;&gt;0,(N(AT110)+(N(AT111)+N(AT115)+N(AT119)+N(AT120)+N(AT121)))/(N(AT164)+N(AT168)+N(AT170)+N(AT171)+N(AT178)+N(AT179)+N(AT180)),""),"")</f>
        <v>2.81201395628124</v>
      </c>
      <c r="AU307" s="264">
        <f>IFERROR(IF((N(AU164)+N(AU168)+N(AU170)+N(AU171)+N(AU178)+N(AU179)+N(AU180))&lt;&gt;0,(N(AU110)+(N(AU111)+N(AU115)+N(AU119)+N(AU120)+N(AU121)))/(N(AU164)+N(AU168)+N(AU170)+N(AU171)+N(AU178)+N(AU179)+N(AU180)),""),"")</f>
        <v>2.9150434728637</v>
      </c>
      <c r="AV307" s="264">
        <f>IFERROR(IF((N(AV164)+N(AV168)+N(AV170)+N(AV171)+N(AV178)+N(AV179)+N(AV180))&lt;&gt;0,(N(AV110)+(N(AV111)+N(AV115)+N(AV119)+N(AV120)+N(AV121)))/(N(AV164)+N(AV168)+N(AV170)+N(AV171)+N(AV178)+N(AV179)+N(AV180)),""),"")</f>
        <v>2.9150434728637</v>
      </c>
      <c r="AW307" s="264">
        <f>IFERROR(IF((N(AW164)+N(AW168)+N(AW170)+N(AW171)+N(AW178)+N(AW179)+N(AW180))&lt;&gt;0,(N(AW110)+(N(AW111)+N(AW115)+N(AW119)+N(AW120)+N(AW121)))/(N(AW164)+N(AW168)+N(AW170)+N(AW171)+N(AW178)+N(AW179)+N(AW180)),""),"")</f>
        <v>2.93820793534411</v>
      </c>
      <c r="AX307" s="264">
        <f>IFERROR(IF((N(AX164)+N(AX168)+N(AX170)+N(AX171)+N(AX178)+N(AX179)+N(AX180))&lt;&gt;0,(N(AX110)+(N(AX111)+N(AX115)+N(AX119)+N(AX120)+N(AX121)))/(N(AX164)+N(AX168)+N(AX170)+N(AX171)+N(AX178)+N(AX179)+N(AX180)),""),"")</f>
        <v>2.98895991602547</v>
      </c>
      <c r="AY307" s="264">
        <f>IFERROR(IF((N(AY164)+N(AY168)+N(AY170)+N(AY171)+N(AY178)+N(AY179)+N(AY180))&lt;&gt;0,(N(AY110)+(N(AY111)+N(AY115)+N(AY119)+N(AY120)+N(AY121)))/(N(AY164)+N(AY168)+N(AY170)+N(AY171)+N(AY178)+N(AY179)+N(AY180)),""),"")</f>
        <v>3.03822587755066</v>
      </c>
      <c r="AZ307" s="264">
        <f>IFERROR(IF((N(AZ164)+N(AZ168)+N(AZ170)+N(AZ171)+N(AZ178)+N(AZ179)+N(AZ180))&lt;&gt;0,(N(AZ110)+(N(AZ111)+N(AZ115)+N(AZ119)+N(AZ120)+N(AZ121)))/(N(AZ164)+N(AZ168)+N(AZ170)+N(AZ171)+N(AZ178)+N(AZ179)+N(AZ180)),""),"")</f>
        <v>3.11823466927046</v>
      </c>
      <c r="BA307" s="264">
        <f>IFERROR(IF((N(BA164)+N(BA168)+N(BA170)+N(BA171)+N(BA178)+N(BA179)+N(BA180))&lt;&gt;0,(N(BA110)+(N(BA111)+N(BA115)+N(BA119)+N(BA120)+N(BA121)))/(N(BA164)+N(BA168)+N(BA170)+N(BA171)+N(BA178)+N(BA179)+N(BA180)),""),"")</f>
        <v>3.11823466927046</v>
      </c>
      <c r="BB307" s="264">
        <f>IFERROR(IF((N(BB164)+N(BB168)+N(BB170)+N(BB171)+N(BB178)+N(BB179)+N(BB180))&lt;&gt;0,(N(BB110)+(N(BB111)+N(BB115)+N(BB119)+N(BB120)+N(BB121)))/(N(BB164)+N(BB168)+N(BB170)+N(BB171)+N(BB178)+N(BB179)+N(BB180)),""),"")</f>
        <v>3.11932981627417</v>
      </c>
      <c r="BC307" s="264">
        <f>IFERROR(IF((N(BC164)+N(BC168)+N(BC170)+N(BC171)+N(BC178)+N(BC179)+N(BC180))&lt;&gt;0,(N(BC110)+(N(BC111)+N(BC115)+N(BC119)+N(BC120)+N(BC121)))/(N(BC164)+N(BC168)+N(BC170)+N(BC171)+N(BC178)+N(BC179)+N(BC180)),""),"")</f>
        <v>3.14681657310011</v>
      </c>
      <c r="BD307" s="264">
        <f>IFERROR(IF((N(BD164)+N(BD168)+N(BD170)+N(BD171)+N(BD178)+N(BD179)+N(BD180))&lt;&gt;0,(N(BD110)+(N(BD111)+N(BD115)+N(BD119)+N(BD120)+N(BD121)))/(N(BD164)+N(BD168)+N(BD170)+N(BD171)+N(BD178)+N(BD179)+N(BD180)),""),"")</f>
        <v>3.17351988690421</v>
      </c>
      <c r="BE307" s="264">
        <f>IFERROR(IF((N(BE164)+N(BE168)+N(BE170)+N(BE171)+N(BE178)+N(BE179)+N(BE180))&lt;&gt;0,(N(BE110)+(N(BE111)+N(BE115)+N(BE119)+N(BE120)+N(BE121)))/(N(BE164)+N(BE168)+N(BE170)+N(BE171)+N(BE178)+N(BE179)+N(BE180)),""),"")</f>
        <v>3.2309597672645</v>
      </c>
      <c r="BF307" s="264">
        <f>IFERROR(IF((N(BF164)+N(BF168)+N(BF170)+N(BF171)+N(BF178)+N(BF179)+N(BF180))&lt;&gt;0,(N(BF110)+(N(BF111)+N(BF115)+N(BF119)+N(BF120)+N(BF121)))/(N(BF164)+N(BF168)+N(BF170)+N(BF171)+N(BF178)+N(BF179)+N(BF180)),""),"")</f>
        <v>3.2309597672645</v>
      </c>
      <c r="BG307" s="82" t="n"/>
      <c r="BH307" s="82" t="n"/>
      <c r="BI307" s="82" t="n"/>
      <c r="BJ307" s="82" t="n"/>
      <c r="BL307" s="82" t="n"/>
      <c r="BM307" s="82" t="n"/>
      <c r="BN307" s="82" t="n"/>
      <c r="BO307" s="82" t="n"/>
      <c r="BQ307" s="82" t="n"/>
      <c r="BR307" s="82" t="n"/>
      <c r="BS307" s="82" t="n"/>
      <c r="BT307" s="82" t="n"/>
      <c r="BV307" s="82" t="n"/>
      <c r="BW307" s="82" t="n"/>
      <c r="BX307" s="82" t="n"/>
      <c r="BY307" s="82" t="n"/>
      <c r="CA307" s="82" t="n"/>
      <c r="CB307" s="82" t="n"/>
      <c r="CC307" s="82" t="n"/>
      <c r="CD307" s="82" t="n"/>
      <c r="CF307" s="82" t="n"/>
      <c r="CG307" s="82" t="n"/>
      <c r="CH307" s="82" t="n"/>
      <c r="CI307" s="82" t="n"/>
      <c r="CK307" s="82" t="n"/>
      <c r="CL307" s="82" t="n"/>
      <c r="CM307" s="82" t="n"/>
      <c r="CN307" s="82" t="n"/>
      <c r="CP307" s="82" t="n"/>
      <c r="CQ307" s="82" t="n"/>
      <c r="CR307" s="82" t="n"/>
      <c r="CS307" s="82" t="n"/>
      <c r="CU307" s="82" t="n"/>
      <c r="CV307" s="82" t="n"/>
      <c r="CW307" s="82" t="n"/>
      <c r="CX307" s="82" t="n"/>
    </row>
    <row r="308" customFormat="1" s="77">
      <c r="A308" s="76" t="n"/>
      <c r="B308" s="76" t="n"/>
      <c r="C308" s="77" t="inlineStr">
        <is>
          <t>CASH RATIO</t>
        </is>
      </c>
      <c r="D308" s="82" t="str">
        <f>IFERROR(SUM(D110)/SUM(D164,D168,D170,D171),"")</f>
        <v/>
      </c>
      <c r="E308" s="82" t="str">
        <f>IFERROR(SUM(E110)/SUM(E164,E168,E170,E171),"")</f>
        <v/>
      </c>
      <c r="F308" s="82" t="str">
        <f>IFERROR(SUM(F110)/SUM(F164,F168,F170,F171),"")</f>
        <v/>
      </c>
      <c r="G308" s="82" t="str">
        <f>IFERROR(SUM(G110)/SUM(G164,G168,G170,G171),"")</f>
        <v/>
      </c>
      <c r="H308" s="264" t="str">
        <f>IFERROR(IF((N(H164)+N(H168)+N(H170)+N(H171)+N(H178)+N(H179)+N(H180))&lt;&gt;0,N(H110)/(N(H164)+N(H168)+N(H170)+N(H171)+N(H178)+N(H179)+N(H180)),""),"")</f>
        <v/>
      </c>
      <c r="I308" s="264">
        <f>IFERROR(IF((N(I164)+N(I168)+N(I170)+N(I171)+N(I178)+N(I179)+N(I180))&lt;&gt;0,N(I110)/(N(I164)+N(I168)+N(I170)+N(I171)+N(I178)+N(I179)+N(I180)),""),"")</f>
        <v>0.813956432893643</v>
      </c>
      <c r="J308" s="264">
        <f>IFERROR(IF((N(J164)+N(J168)+N(J170)+N(J171)+N(J178)+N(J179)+N(J180))&lt;&gt;0,N(J110)/(N(J164)+N(J168)+N(J170)+N(J171)+N(J178)+N(J179)+N(J180)),""),"")</f>
        <v>0.453791964940347</v>
      </c>
      <c r="K308" s="264">
        <f>IFERROR(IF((N(K164)+N(K168)+N(K170)+N(K171)+N(K178)+N(K179)+N(K180))&lt;&gt;0,N(K110)/(N(K164)+N(K168)+N(K170)+N(K171)+N(K178)+N(K179)+N(K180)),""),"")</f>
        <v>0.811298131343471</v>
      </c>
      <c r="L308" s="264">
        <f>IFERROR(IF((N(L164)+N(L168)+N(L170)+N(L171)+N(L178)+N(L179)+N(L180))&lt;&gt;0,N(L110)/(N(L164)+N(L168)+N(L170)+N(L171)+N(L178)+N(L179)+N(L180)),""),"")</f>
        <v>0.713767844102383</v>
      </c>
      <c r="M308" s="264">
        <f>IFERROR(IF((N(M164)+N(M168)+N(M170)+N(M171)+N(M178)+N(M179)+N(M180))&lt;&gt;0,N(M110)/(N(M164)+N(M168)+N(M170)+N(M171)+N(M178)+N(M179)+N(M180)),""),"")</f>
        <v>0.713767844102383</v>
      </c>
      <c r="N308" s="264">
        <f>IFERROR(IF((N(N164)+N(N168)+N(N170)+N(N171)+N(N178)+N(N179)+N(N180))&lt;&gt;0,N(N110)/(N(N164)+N(N168)+N(N170)+N(N171)+N(N178)+N(N179)+N(N180)),""),"")</f>
        <v>0.475086257125482</v>
      </c>
      <c r="O308" s="264">
        <f>IFERROR(IF((N(O164)+N(O168)+N(O170)+N(O171)+N(O178)+N(O179)+N(O180))&lt;&gt;0,N(O110)/(N(O164)+N(O168)+N(O170)+N(O171)+N(O178)+N(O179)+N(O180)),""),"")</f>
        <v>0.586696532171497</v>
      </c>
      <c r="P308" s="264">
        <f>IFERROR(IF((N(P164)+N(P168)+N(P170)+N(P171)+N(P178)+N(P179)+N(P180))&lt;&gt;0,N(P110)/(N(P164)+N(P168)+N(P170)+N(P171)+N(P178)+N(P179)+N(P180)),""),"")</f>
        <v>0.618706776480674</v>
      </c>
      <c r="Q308" s="264">
        <f>IFERROR(IF((N(Q164)+N(Q168)+N(Q170)+N(Q171)+N(Q178)+N(Q179)+N(Q180))&lt;&gt;0,N(Q110)/(N(Q164)+N(Q168)+N(Q170)+N(Q171)+N(Q178)+N(Q179)+N(Q180)),""),"")</f>
        <v>1.15962263253447</v>
      </c>
      <c r="R308" s="264">
        <f>IFERROR(IF((N(R164)+N(R168)+N(R170)+N(R171)+N(R178)+N(R179)+N(R180))&lt;&gt;0,N(R110)/(N(R164)+N(R168)+N(R170)+N(R171)+N(R178)+N(R179)+N(R180)),""),"")</f>
        <v>1.15962263253447</v>
      </c>
      <c r="S308" s="264">
        <f>IFERROR(IF((N(S164)+N(S168)+N(S170)+N(S171)+N(S178)+N(S179)+N(S180))&lt;&gt;0,N(S110)/(N(S164)+N(S168)+N(S170)+N(S171)+N(S178)+N(S179)+N(S180)),""),"")</f>
        <v>1.13281961328816</v>
      </c>
      <c r="T308" s="264">
        <f>IFERROR(IF((N(T164)+N(T168)+N(T170)+N(T171)+N(T178)+N(T179)+N(T180))&lt;&gt;0,N(T110)/(N(T164)+N(T168)+N(T170)+N(T171)+N(T178)+N(T179)+N(T180)),""),"")</f>
        <v>0.516244838715992</v>
      </c>
      <c r="U308" s="264">
        <f>IFERROR(IF((N(U164)+N(U168)+N(U170)+N(U171)+N(U178)+N(U179)+N(U180))&lt;&gt;0,N(U110)/(N(U164)+N(U168)+N(U170)+N(U171)+N(U178)+N(U179)+N(U180)),""),"")</f>
        <v>0.572610408643231</v>
      </c>
      <c r="V308" s="264">
        <f>IFERROR(IF((N(V164)+N(V168)+N(V170)+N(V171)+N(V178)+N(V179)+N(V180))&lt;&gt;0,N(V110)/(N(V164)+N(V168)+N(V170)+N(V171)+N(V178)+N(V179)+N(V180)),""),"")</f>
        <v>0.627063303087365</v>
      </c>
      <c r="W308" s="264">
        <f>IFERROR(IF((N(W164)+N(W168)+N(W170)+N(W171)+N(W178)+N(W179)+N(W180))&lt;&gt;0,N(W110)/(N(W164)+N(W168)+N(W170)+N(W171)+N(W178)+N(W179)+N(W180)),""),"")</f>
        <v>0.627063303087365</v>
      </c>
      <c r="X308" s="264">
        <f>IFERROR(IF((N(X164)+N(X168)+N(X170)+N(X171)+N(X178)+N(X179)+N(X180))&lt;&gt;0,N(X110)/(N(X164)+N(X168)+N(X170)+N(X171)+N(X178)+N(X179)+N(X180)),""),"")</f>
        <v>0.574877887411605</v>
      </c>
      <c r="Y308" s="264">
        <f>IFERROR(IF((N(Y164)+N(Y168)+N(Y170)+N(Y171)+N(Y178)+N(Y179)+N(Y180))&lt;&gt;0,N(Y110)/(N(Y164)+N(Y168)+N(Y170)+N(Y171)+N(Y178)+N(Y179)+N(Y180)),""),"")</f>
        <v>1.19846624124864</v>
      </c>
      <c r="Z308" s="264">
        <f>IFERROR(IF((N(Z164)+N(Z168)+N(Z170)+N(Z171)+N(Z178)+N(Z179)+N(Z180))&lt;&gt;0,N(Z110)/(N(Z164)+N(Z168)+N(Z170)+N(Z171)+N(Z178)+N(Z179)+N(Z180)),""),"")</f>
        <v>1.02921195143656</v>
      </c>
      <c r="AA308" s="264">
        <f>IFERROR(IF((N(AA164)+N(AA168)+N(AA170)+N(AA171)+N(AA178)+N(AA179)+N(AA180))&lt;&gt;0,N(AA110)/(N(AA164)+N(AA168)+N(AA170)+N(AA171)+N(AA178)+N(AA179)+N(AA180)),""),"")</f>
        <v>1.40345579244589</v>
      </c>
      <c r="AB308" s="264">
        <f>IFERROR(IF((N(AB164)+N(AB168)+N(AB170)+N(AB171)+N(AB178)+N(AB179)+N(AB180))&lt;&gt;0,N(AB110)/(N(AB164)+N(AB168)+N(AB170)+N(AB171)+N(AB178)+N(AB179)+N(AB180)),""),"")</f>
        <v>1.40345579244589</v>
      </c>
      <c r="AC308" s="264">
        <f>IFERROR(IF((N(AC164)+N(AC168)+N(AC170)+N(AC171)+N(AC178)+N(AC179)+N(AC180))&lt;&gt;0,N(AC110)/(N(AC164)+N(AC168)+N(AC170)+N(AC171)+N(AC178)+N(AC179)+N(AC180)),""),"")</f>
        <v>1.2509934333467</v>
      </c>
      <c r="AD308" s="264">
        <f>IFERROR(IF((N(AD164)+N(AD168)+N(AD170)+N(AD171)+N(AD178)+N(AD179)+N(AD180))&lt;&gt;0,N(AD110)/(N(AD164)+N(AD168)+N(AD170)+N(AD171)+N(AD178)+N(AD179)+N(AD180)),""),"")</f>
        <v>1.25694411374732</v>
      </c>
      <c r="AE308" s="264">
        <f>IFERROR(IF((N(AE164)+N(AE168)+N(AE170)+N(AE171)+N(AE178)+N(AE179)+N(AE180))&lt;&gt;0,N(AE110)/(N(AE164)+N(AE168)+N(AE170)+N(AE171)+N(AE178)+N(AE179)+N(AE180)),""),"")</f>
        <v>1.19141511452678</v>
      </c>
      <c r="AF308" s="264">
        <f>IFERROR(IF((N(AF164)+N(AF168)+N(AF170)+N(AF171)+N(AF178)+N(AF179)+N(AF180))&lt;&gt;0,N(AF110)/(N(AF164)+N(AF168)+N(AF170)+N(AF171)+N(AF178)+N(AF179)+N(AF180)),""),"")</f>
        <v>1.01306196786719</v>
      </c>
      <c r="AG308" s="264">
        <f>IFERROR(IF((N(AG164)+N(AG168)+N(AG170)+N(AG171)+N(AG178)+N(AG179)+N(AG180))&lt;&gt;0,N(AG110)/(N(AG164)+N(AG168)+N(AG170)+N(AG171)+N(AG178)+N(AG179)+N(AG180)),""),"")</f>
        <v>1.01306196786719</v>
      </c>
      <c r="AH308" s="264">
        <f>IFERROR(IF((N(AH164)+N(AH168)+N(AH170)+N(AH171)+N(AH178)+N(AH179)+N(AH180))&lt;&gt;0,N(AH110)/(N(AH164)+N(AH168)+N(AH170)+N(AH171)+N(AH178)+N(AH179)+N(AH180)),""),"")</f>
        <v>1.04173124192235</v>
      </c>
      <c r="AI308" s="264">
        <f>IFERROR(IF((N(AI164)+N(AI168)+N(AI170)+N(AI171)+N(AI178)+N(AI179)+N(AI180))&lt;&gt;0,N(AI110)/(N(AI164)+N(AI168)+N(AI170)+N(AI171)+N(AI178)+N(AI179)+N(AI180)),""),"")</f>
        <v>0.835468328905898</v>
      </c>
      <c r="AJ308" s="264">
        <f>IFERROR(IF((N(AJ164)+N(AJ168)+N(AJ170)+N(AJ171)+N(AJ178)+N(AJ179)+N(AJ180))&lt;&gt;0,N(AJ110)/(N(AJ164)+N(AJ168)+N(AJ170)+N(AJ171)+N(AJ178)+N(AJ179)+N(AJ180)),""),"")</f>
        <v>0.974820388615727</v>
      </c>
      <c r="AK308" s="264">
        <f>IFERROR(IF((N(AK164)+N(AK168)+N(AK170)+N(AK171)+N(AK178)+N(AK179)+N(AK180))&lt;&gt;0,N(AK110)/(N(AK164)+N(AK168)+N(AK170)+N(AK171)+N(AK178)+N(AK179)+N(AK180)),""),"")</f>
        <v>1.17131278410524</v>
      </c>
      <c r="AL308" s="264">
        <f>IFERROR(IF((N(AL164)+N(AL168)+N(AL170)+N(AL171)+N(AL178)+N(AL179)+N(AL180))&lt;&gt;0,N(AL110)/(N(AL164)+N(AL168)+N(AL170)+N(AL171)+N(AL178)+N(AL179)+N(AL180)),""),"")</f>
        <v>1.17131278410524</v>
      </c>
      <c r="AM308" s="264">
        <f>IFERROR(IF((N(AM164)+N(AM168)+N(AM170)+N(AM171)+N(AM178)+N(AM179)+N(AM180))&lt;&gt;0,N(AM110)/(N(AM164)+N(AM168)+N(AM170)+N(AM171)+N(AM178)+N(AM179)+N(AM180)),""),"")</f>
        <v>1.22204304102787</v>
      </c>
      <c r="AN308" s="264">
        <f>IFERROR(IF((N(AN164)+N(AN168)+N(AN170)+N(AN171)+N(AN178)+N(AN179)+N(AN180))&lt;&gt;0,N(AN110)/(N(AN164)+N(AN168)+N(AN170)+N(AN171)+N(AN178)+N(AN179)+N(AN180)),""),"")</f>
        <v>1.33328866972212</v>
      </c>
      <c r="AO308" s="264">
        <f>IFERROR(IF((N(AO164)+N(AO168)+N(AO170)+N(AO171)+N(AO178)+N(AO179)+N(AO180))&lt;&gt;0,N(AO110)/(N(AO164)+N(AO168)+N(AO170)+N(AO171)+N(AO178)+N(AO179)+N(AO180)),""),"")</f>
        <v>1.44743562891833</v>
      </c>
      <c r="AP308" s="264">
        <f>IFERROR(IF((N(AP164)+N(AP168)+N(AP170)+N(AP171)+N(AP178)+N(AP179)+N(AP180))&lt;&gt;0,N(AP110)/(N(AP164)+N(AP168)+N(AP170)+N(AP171)+N(AP178)+N(AP179)+N(AP180)),""),"")</f>
        <v>1.63248264276469</v>
      </c>
      <c r="AQ308" s="264">
        <f>IFERROR(IF((N(AQ164)+N(AQ168)+N(AQ170)+N(AQ171)+N(AQ178)+N(AQ179)+N(AQ180))&lt;&gt;0,N(AQ110)/(N(AQ164)+N(AQ168)+N(AQ170)+N(AQ171)+N(AQ178)+N(AQ179)+N(AQ180)),""),"")</f>
        <v>1.63248264276469</v>
      </c>
      <c r="AR308" s="264">
        <f>IFERROR(IF((N(AR164)+N(AR168)+N(AR170)+N(AR171)+N(AR178)+N(AR179)+N(AR180))&lt;&gt;0,N(AR110)/(N(AR164)+N(AR168)+N(AR170)+N(AR171)+N(AR178)+N(AR179)+N(AR180)),""),"")</f>
        <v>1.67058595836996</v>
      </c>
      <c r="AS308" s="264">
        <f>IFERROR(IF((N(AS164)+N(AS168)+N(AS170)+N(AS171)+N(AS178)+N(AS179)+N(AS180))&lt;&gt;0,N(AS110)/(N(AS164)+N(AS168)+N(AS170)+N(AS171)+N(AS178)+N(AS179)+N(AS180)),""),"")</f>
        <v>1.74712511623834</v>
      </c>
      <c r="AT308" s="264">
        <f>IFERROR(IF((N(AT164)+N(AT168)+N(AT170)+N(AT171)+N(AT178)+N(AT179)+N(AT180))&lt;&gt;0,N(AT110)/(N(AT164)+N(AT168)+N(AT170)+N(AT171)+N(AT178)+N(AT179)+N(AT180)),""),"")</f>
        <v>1.8383081056926</v>
      </c>
      <c r="AU308" s="264">
        <f>IFERROR(IF((N(AU164)+N(AU168)+N(AU170)+N(AU171)+N(AU178)+N(AU179)+N(AU180))&lt;&gt;0,N(AU110)/(N(AU164)+N(AU168)+N(AU170)+N(AU171)+N(AU178)+N(AU179)+N(AU180)),""),"")</f>
        <v>2.00463128355628</v>
      </c>
      <c r="AV308" s="264">
        <f>IFERROR(IF((N(AV164)+N(AV168)+N(AV170)+N(AV171)+N(AV178)+N(AV179)+N(AV180))&lt;&gt;0,N(AV110)/(N(AV164)+N(AV168)+N(AV170)+N(AV171)+N(AV178)+N(AV179)+N(AV180)),""),"")</f>
        <v>2.00463128355628</v>
      </c>
      <c r="AW308" s="264">
        <f>IFERROR(IF((N(AW164)+N(AW168)+N(AW170)+N(AW171)+N(AW178)+N(AW179)+N(AW180))&lt;&gt;0,N(AW110)/(N(AW164)+N(AW168)+N(AW170)+N(AW171)+N(AW178)+N(AW179)+N(AW180)),""),"")</f>
        <v>2.00923506623006</v>
      </c>
      <c r="AX308" s="264">
        <f>IFERROR(IF((N(AX164)+N(AX168)+N(AX170)+N(AX171)+N(AX178)+N(AX179)+N(AX180))&lt;&gt;0,N(AX110)/(N(AX164)+N(AX168)+N(AX170)+N(AX171)+N(AX178)+N(AX179)+N(AX180)),""),"")</f>
        <v>2.07374176192515</v>
      </c>
      <c r="AY308" s="264">
        <f>IFERROR(IF((N(AY164)+N(AY168)+N(AY170)+N(AY171)+N(AY178)+N(AY179)+N(AY180))&lt;&gt;0,N(AY110)/(N(AY164)+N(AY168)+N(AY170)+N(AY171)+N(AY178)+N(AY179)+N(AY180)),""),"")</f>
        <v>2.14118789619328</v>
      </c>
      <c r="AZ308" s="264">
        <f>IFERROR(IF((N(AZ164)+N(AZ168)+N(AZ170)+N(AZ171)+N(AZ178)+N(AZ179)+N(AZ180))&lt;&gt;0,N(AZ110)/(N(AZ164)+N(AZ168)+N(AZ170)+N(AZ171)+N(AZ178)+N(AZ179)+N(AZ180)),""),"")</f>
        <v>2.28429633152014</v>
      </c>
      <c r="BA308" s="264">
        <f>IFERROR(IF((N(BA164)+N(BA168)+N(BA170)+N(BA171)+N(BA178)+N(BA179)+N(BA180))&lt;&gt;0,N(BA110)/(N(BA164)+N(BA168)+N(BA170)+N(BA171)+N(BA178)+N(BA179)+N(BA180)),""),"")</f>
        <v>2.28429633152014</v>
      </c>
      <c r="BB308" s="264">
        <f>IFERROR(IF((N(BB164)+N(BB168)+N(BB170)+N(BB171)+N(BB178)+N(BB179)+N(BB180))&lt;&gt;0,N(BB110)/(N(BB164)+N(BB168)+N(BB170)+N(BB171)+N(BB178)+N(BB179)+N(BB180)),""),"")</f>
        <v>2.27144997013405</v>
      </c>
      <c r="BC308" s="264">
        <f>IFERROR(IF((N(BC164)+N(BC168)+N(BC170)+N(BC171)+N(BC178)+N(BC179)+N(BC180))&lt;&gt;0,N(BC110)/(N(BC164)+N(BC168)+N(BC170)+N(BC171)+N(BC178)+N(BC179)+N(BC180)),""),"")</f>
        <v>2.31351355625193</v>
      </c>
      <c r="BD308" s="264">
        <f>IFERROR(IF((N(BD164)+N(BD168)+N(BD170)+N(BD171)+N(BD178)+N(BD179)+N(BD180))&lt;&gt;0,N(BD110)/(N(BD164)+N(BD168)+N(BD170)+N(BD171)+N(BD178)+N(BD179)+N(BD180)),""),"")</f>
        <v>2.35880541705621</v>
      </c>
      <c r="BE308" s="264">
        <f>IFERROR(IF((N(BE164)+N(BE168)+N(BE170)+N(BE171)+N(BE178)+N(BE179)+N(BE180))&lt;&gt;0,N(BE110)/(N(BE164)+N(BE168)+N(BE170)+N(BE171)+N(BE178)+N(BE179)+N(BE180)),""),"")</f>
        <v>2.47732920429139</v>
      </c>
      <c r="BF308" s="264">
        <f>IFERROR(IF((N(BF164)+N(BF168)+N(BF170)+N(BF171)+N(BF178)+N(BF179)+N(BF180))&lt;&gt;0,N(BF110)/(N(BF164)+N(BF168)+N(BF170)+N(BF171)+N(BF178)+N(BF179)+N(BF180)),""),"")</f>
        <v>2.47732920429139</v>
      </c>
      <c r="BG308" s="82" t="n"/>
      <c r="BH308" s="82" t="n"/>
      <c r="BI308" s="82" t="n"/>
      <c r="BJ308" s="82" t="n"/>
      <c r="BL308" s="82" t="n"/>
      <c r="BM308" s="82" t="n"/>
      <c r="BN308" s="82" t="n"/>
      <c r="BO308" s="82" t="n"/>
      <c r="BQ308" s="82" t="n"/>
      <c r="BR308" s="82" t="n"/>
      <c r="BS308" s="82" t="n"/>
      <c r="BT308" s="82" t="n"/>
      <c r="BV308" s="82" t="n"/>
      <c r="BW308" s="82" t="n"/>
      <c r="BX308" s="82" t="n"/>
      <c r="BY308" s="82" t="n"/>
      <c r="CA308" s="82" t="n"/>
      <c r="CB308" s="82" t="n"/>
      <c r="CC308" s="82" t="n"/>
      <c r="CD308" s="82" t="n"/>
      <c r="CF308" s="82" t="n"/>
      <c r="CG308" s="82" t="n"/>
      <c r="CH308" s="82" t="n"/>
      <c r="CI308" s="82" t="n"/>
      <c r="CK308" s="82" t="n"/>
      <c r="CL308" s="82" t="n"/>
      <c r="CM308" s="82" t="n"/>
      <c r="CN308" s="82" t="n"/>
      <c r="CP308" s="82" t="n"/>
      <c r="CQ308" s="82" t="n"/>
      <c r="CR308" s="82" t="n"/>
      <c r="CS308" s="82" t="n"/>
      <c r="CU308" s="82" t="n"/>
      <c r="CV308" s="82" t="n"/>
      <c r="CW308" s="82" t="n"/>
      <c r="CX308" s="82" t="n"/>
    </row>
    <row r="309" customFormat="1" s="77">
      <c r="A309" s="76" t="n"/>
      <c r="B309" s="76" t="n"/>
    </row>
    <row r="310" customFormat="1" s="77">
      <c r="A310" s="76" t="n"/>
      <c r="B310" s="76" t="n"/>
      <c r="C310" s="74" t="inlineStr">
        <is>
          <t>OPERATING EFFICIENCY</t>
        </is>
      </c>
    </row>
    <row r="311" customFormat="1" s="84">
      <c r="A311" s="81" t="n"/>
      <c r="B311" s="81" t="n"/>
      <c r="C311" s="84" t="inlineStr">
        <is>
          <t>RETURN ON CAPITAL (ROIC) - LTM</t>
        </is>
      </c>
      <c r="D311" t="str">
        <f>IFERROR(D313/D316,"")</f>
        <v/>
      </c>
      <c r="E311" t="str">
        <f>IFERROR(E313/E316,"")</f>
        <v/>
      </c>
      <c r="F311" t="str">
        <f>IFERROR(F313/F316,"")</f>
        <v/>
      </c>
      <c r="G311" t="str">
        <f>IFERROR(G313/G316,"")</f>
        <v/>
      </c>
      <c r="H311" s="257" t="str">
        <f>IFERROR(IF(AND(COUNT(H313)=1,N(H316)&lt;&gt;0),(H313)/H316,""),"")</f>
        <v/>
      </c>
      <c r="I311" s="257" t="str">
        <f>""</f>
        <v/>
      </c>
      <c r="J311" s="257" t="str">
        <f>""</f>
        <v/>
      </c>
      <c r="K311" s="257" t="str">
        <f>""</f>
        <v/>
      </c>
      <c r="L311" s="257">
        <f>IFERROR(IF(AND(COUNT(I313,J313,K313,L313)=4,N(L316)&lt;&gt;0),(I313+J313+K313+L313)/L316,""),"")</f>
        <v>0.106259172186556</v>
      </c>
      <c r="M311" s="257">
        <f>IFERROR(IF(AND(COUNT(I313,J313,K313,L313)=4,N(M316)&lt;&gt;0),(I313+J313+K313+L313)/M316,""),"")</f>
        <v>0.106259172186556</v>
      </c>
      <c r="N311" s="257">
        <f>IFERROR(IF(AND(COUNT(J313,K313,L313,N313)=4,N(N316)&lt;&gt;0),(J313+K313+L313+N313)/N316,""),"")</f>
        <v>0.107896143552016</v>
      </c>
      <c r="O311" s="257">
        <f>IFERROR(IF(AND(COUNT(K313,L313,N313,O313)=4,N(O316)&lt;&gt;0),(K313+L313+N313+O313)/O316,""),"")</f>
        <v>0.100012133508026</v>
      </c>
      <c r="P311" s="257">
        <f>IFERROR(IF(AND(COUNT(L313,N313,O313,P313)=4,N(P316)&lt;&gt;0),(L313+N313+O313+P313)/P316,""),"")</f>
        <v>0.108143727003978</v>
      </c>
      <c r="Q311" s="257">
        <f>IFERROR(IF(AND(COUNT(N313,O313,P313,Q313)=4,N(Q316)&lt;&gt;0),(N313+O313+P313+Q313)/Q316,""),"")</f>
        <v>0.102084835941687</v>
      </c>
      <c r="R311" s="257">
        <f>IFERROR(IF(AND(COUNT(N313,O313,P313,Q313)=4,N(R316)&lt;&gt;0),(N313+O313+P313+Q313)/R316,""),"")</f>
        <v>0.102084835941687</v>
      </c>
      <c r="S311" s="257">
        <f>IFERROR(IF(AND(COUNT(O313,P313,Q313,S313)=4,N(S316)&lt;&gt;0),(O313+P313+Q313+S313)/S316,""),"")</f>
        <v>0.100495774878671</v>
      </c>
      <c r="T311" s="257">
        <f>IFERROR(IF(AND(COUNT(P313,Q313,S313,T313)=4,N(T316)&lt;&gt;0),(P313+Q313+S313+T313)/T316,""),"")</f>
        <v>0.063981477534171</v>
      </c>
      <c r="U311" s="257">
        <f>IFERROR(IF(AND(COUNT(Q313,S313,T313,U313)=4,N(U316)&lt;&gt;0),(Q313+S313+T313+U313)/U316,""),"")</f>
        <v>0.0739086027586281</v>
      </c>
      <c r="V311" s="257">
        <f>IFERROR(IF(AND(COUNT(S313,T313,U313,V313)=4,N(V316)&lt;&gt;0),(S313+T313+U313+V313)/V316,""),"")</f>
        <v>0.0789724457881127</v>
      </c>
      <c r="W311" s="257">
        <f>IFERROR(IF(AND(COUNT(S313,T313,U313,V313)=4,N(W316)&lt;&gt;0),(S313+T313+U313+V313)/W316,""),"")</f>
        <v>0.0789724457881127</v>
      </c>
      <c r="X311" s="257">
        <f>IFERROR(IF(AND(COUNT(T313,U313,V313,X313)=4,N(X316)&lt;&gt;0),(T313+U313+V313+X313)/X316,""),"")</f>
        <v>0.0879155103531208</v>
      </c>
      <c r="Y311" s="257">
        <f>IFERROR(IF(AND(COUNT(U313,V313,X313,Y313)=4,N(Y316)&lt;&gt;0),(U313+V313+X313+Y313)/Y316,""),"")</f>
        <v>0.0994920912805174</v>
      </c>
      <c r="Z311" s="257">
        <f>IFERROR(IF(AND(COUNT(V313,X313,Y313,Z313)=4,N(Z316)&lt;&gt;0),(V313+X313+Y313+Z313)/Z316,""),"")</f>
        <v>0.102031269335928</v>
      </c>
      <c r="AA311" s="257">
        <f>IFERROR(IF(AND(COUNT(X313,Y313,Z313,AA313)=4,N(AA316)&lt;&gt;0),(X313+Y313+Z313+AA313)/AA316,""),"")</f>
        <v>0.101108187593835</v>
      </c>
      <c r="AB311" s="257">
        <f>IFERROR(IF(AND(COUNT(X313,Y313,Z313,AA313)=4,N(AB316)&lt;&gt;0),(X313+Y313+Z313+AA313)/AB316,""),"")</f>
        <v>0.101108187593835</v>
      </c>
      <c r="AC311" s="257">
        <f>IFERROR(IF(AND(COUNT(Y313,Z313,AA313,AC313)=4,N(AC316)&lt;&gt;0),(Y313+Z313+AA313+AC313)/AC316,""),"")</f>
        <v>0.10200254472626</v>
      </c>
      <c r="AD311" s="257">
        <f>IFERROR(IF(AND(COUNT(Z313,AA313,AC313,AD313)=4,N(AD316)&lt;&gt;0),(Z313+AA313+AC313+AD313)/AD316,""),"")</f>
        <v>0.0984636490434415</v>
      </c>
      <c r="AE311" s="257">
        <f>IFERROR(IF(AND(COUNT(AA313,AC313,AD313,AE313)=4,N(AE316)&lt;&gt;0),(AA313+AC313+AD313+AE313)/AE316,""),"")</f>
        <v>0.102480271861935</v>
      </c>
      <c r="AF311" s="257">
        <f>IFERROR(IF(AND(COUNT(AB313,AD313,AE313,AF313)=4,N(AF316)&lt;&gt;0),(AB313+AD313+AE313+AF313)/AF316,""),"")</f>
        <v>0.185089723186716</v>
      </c>
      <c r="AG311" s="257">
        <f>IFERROR(IF(AND(COUNT(AC313,AD313,AE313,AF313)=4,N(AG316)&lt;&gt;0),(AC313+AD313+AE313+AF313)/AG316,""),"")</f>
        <v>0.110727382407959</v>
      </c>
      <c r="AH311" s="257">
        <f>IFERROR(IF(AND(COUNT(AD313,AF313,AG313,AH313)=4,N(AH316)&lt;&gt;0),(AD313+AF313+AG313+AH313)/AH316,""),"")</f>
        <v>0.186965557468207</v>
      </c>
      <c r="AI311" s="257">
        <f>IFERROR(IF(AND(COUNT(AE313,AG313,AH313,AI313)=4,N(AI316)&lt;&gt;0),(AE313+AG313+AH313+AI313)/AI316,""),"")</f>
        <v>0.194079813518867</v>
      </c>
      <c r="AJ311" s="257">
        <f>IFERROR(IF(AND(COUNT(AF313,AH313,AI313,AJ313)=4,N(AJ316)&lt;&gt;0),(AF313+AH313+AI313+AJ313)/AJ316,""),"")</f>
        <v>0.1155075618349</v>
      </c>
      <c r="AK311" s="257">
        <f>IFERROR(IF(AND(COUNT(AH313,AI313,AJ313,AK313)=4,N(AK316)&lt;&gt;0),(AH313+AI313+AJ313+AK313)/AK316,""),"")</f>
        <v>0.124784797696651</v>
      </c>
      <c r="AL311" s="257">
        <f>IFERROR(IF(AND(COUNT(AH313,AI313,AJ313,AK313)=4,N(AL316)&lt;&gt;0),(AH313+AI313+AJ313+AK313)/AL316,""),"")</f>
        <v>0.124784797696651</v>
      </c>
      <c r="AM311" s="257">
        <f>IFERROR(IF(AND(COUNT(AI313,AJ313,AK313,AM313)=4,N(AM316)&lt;&gt;0),(AI313+AJ313+AK313+AM313)/AM316,""),"")</f>
        <v>0.124936389247748</v>
      </c>
      <c r="AN311" s="257">
        <f>IFERROR(IF(AND(COUNT(AJ313,AK313,AM313,AN313)=4,N(AN316)&lt;&gt;0),(AJ313+AK313+AM313+AN313)/AN316,""),"")</f>
        <v>0.125756045690657</v>
      </c>
      <c r="AO311" s="257">
        <f>IFERROR(IF(AND(COUNT(AK313,AM313,AN313,AO313)=4,N(AO316)&lt;&gt;0),(AK313+AM313+AN313+AO313)/AO316,""),"")</f>
        <v>0.129084857330239</v>
      </c>
      <c r="AP311" s="257">
        <f>IFERROR(IF(AND(COUNT(AM313,AN313,AO313,AP313)=4,N(AP316)&lt;&gt;0),(AM313+AN313+AO313+AP313)/AP316,""),"")</f>
        <v>0.134215960494831</v>
      </c>
      <c r="AQ311" s="257">
        <f>IFERROR(IF(AND(COUNT(AM313,AN313,AO313,AP313)=4,N(AQ316)&lt;&gt;0),(AM313+AN313+AO313+AP313)/AQ316,""),"")</f>
        <v>0.134215960494831</v>
      </c>
      <c r="AR311" s="257">
        <f>IFERROR(IF(AND(COUNT(AN313,AO313,AP313,AR313)=4,N(AR316)&lt;&gt;0),(AN313+AO313+AP313+AR313)/AR316,""),"")</f>
        <v>0.136316014539726</v>
      </c>
      <c r="AS311" s="257">
        <f>IFERROR(IF(AND(COUNT(AO313,AP313,AR313,AS313)=4,N(AS316)&lt;&gt;0),(AO313+AP313+AR313+AS313)/AS316,""),"")</f>
        <v>0.139498479767514</v>
      </c>
      <c r="AT311" s="257">
        <f>IFERROR(IF(AND(COUNT(AP313,AR313,AS313,AT313)=4,N(AT316)&lt;&gt;0),(AP313+AR313+AS313+AT313)/AT316,""),"")</f>
        <v>0.143341771154129</v>
      </c>
      <c r="AU311" s="257">
        <f>IFERROR(IF(AND(COUNT(AR313,AS313,AT313,AU313)=4,N(AU316)&lt;&gt;0),(AR313+AS313+AT313+AU313)/AU316,""),"")</f>
        <v>0.149483818517422</v>
      </c>
      <c r="AV311" s="257">
        <f>IFERROR(IF(AND(COUNT(AR313,AS313,AT313,AU313)=4,N(AV316)&lt;&gt;0),(AR313+AS313+AT313+AU313)/AV316,""),"")</f>
        <v>0.149483818517422</v>
      </c>
      <c r="AW311" s="257">
        <f>IFERROR(IF(AND(COUNT(AS313,AT313,AU313,AW313)=4,N(AW316)&lt;&gt;0),(AS313+AT313+AU313+AW313)/AW316,""),"")</f>
        <v>0.15166629201887</v>
      </c>
      <c r="AX311" s="257">
        <f>IFERROR(IF(AND(COUNT(AT313,AU313,AW313,AX313)=4,N(AX316)&lt;&gt;0),(AT313+AU313+AW313+AX313)/AX316,""),"")</f>
        <v>0.155726023609266</v>
      </c>
      <c r="AY311" s="257">
        <f>IFERROR(IF(AND(COUNT(AU313,AW313,AX313,AY313)=4,N(AY316)&lt;&gt;0),(AU313+AW313+AX313+AY313)/AY316,""),"")</f>
        <v>0.160306562461408</v>
      </c>
      <c r="AZ311" s="257">
        <f>IFERROR(IF(AND(COUNT(AW313,AX313,AY313,AZ313)=4,N(AZ316)&lt;&gt;0),(AW313+AX313+AY313+AZ313)/AZ316,""),"")</f>
        <v>0.167866407251172</v>
      </c>
      <c r="BA311" s="257">
        <f>IFERROR(IF(AND(COUNT(AW313,AX313,AY313,AZ313)=4,N(BA316)&lt;&gt;0),(AW313+AX313+AY313+AZ313)/BA316,""),"")</f>
        <v>0.167866407251172</v>
      </c>
      <c r="BB311" s="257">
        <f>IFERROR(IF(AND(COUNT(AX313,AY313,AZ313,BB313)=4,N(BB316)&lt;&gt;0),(AX313+AY313+AZ313+BB313)/BB316,""),"")</f>
        <v>0.170603984830144</v>
      </c>
      <c r="BC311" s="257">
        <f>IFERROR(IF(AND(COUNT(AY313,AZ313,BB313,BC313)=4,N(BC316)&lt;&gt;0),(AY313+AZ313+BB313+BC313)/BC316,""),"")</f>
        <v>0.175574543091839</v>
      </c>
      <c r="BD311" s="257">
        <f>IFERROR(IF(AND(COUNT(AZ313,BB313,BC313,BD313)=4,N(BD316)&lt;&gt;0),(AZ313+BB313+BC313+BD313)/BD316,""),"")</f>
        <v>0.181247152232841</v>
      </c>
      <c r="BE311" s="257">
        <f>IFERROR(IF(AND(COUNT(BB313,BC313,BD313,BE313)=4,N(BE316)&lt;&gt;0),(BB313+BC313+BD313+BE313)/BE316,""),"")</f>
        <v>0.190878378165572</v>
      </c>
      <c r="BF311" s="257">
        <f>IFERROR(IF(AND(COUNT(BB313,BC313,BD313,BE313)=4,N(BF316)&lt;&gt;0),(BB313+BC313+BD313+BE313)/BF316,""),"")</f>
        <v>0.190878378165572</v>
      </c>
      <c r="BG311" s="81" t="n"/>
      <c r="BH311" s="81" t="n"/>
      <c r="BI311" s="81" t="n"/>
      <c r="BJ311" s="81" t="n"/>
      <c r="BL311" s="81" t="n"/>
      <c r="BM311" s="81" t="n"/>
      <c r="BN311" s="81" t="n"/>
      <c r="BO311" s="81" t="n"/>
      <c r="BQ311" s="81" t="n"/>
      <c r="BR311" s="81" t="n"/>
      <c r="BS311" s="81" t="n"/>
      <c r="BT311" s="81" t="n"/>
      <c r="BV311" s="81" t="n"/>
      <c r="BW311" s="81" t="n"/>
      <c r="BX311" s="81" t="n"/>
      <c r="BY311" s="81" t="n"/>
      <c r="CA311" s="81" t="n"/>
      <c r="CB311" s="81" t="n"/>
      <c r="CC311" s="81" t="n"/>
      <c r="CD311" s="81" t="n"/>
      <c r="CF311" s="81" t="n"/>
      <c r="CG311" s="81" t="n"/>
      <c r="CH311" s="81" t="n"/>
      <c r="CI311" s="81" t="n"/>
      <c r="CK311" s="81" t="n"/>
      <c r="CL311" s="81" t="n"/>
      <c r="CM311" s="81" t="n"/>
      <c r="CN311" s="81" t="n"/>
      <c r="CP311" s="81" t="n"/>
      <c r="CQ311" s="81" t="n"/>
      <c r="CR311" s="81" t="n"/>
      <c r="CS311" s="81" t="n"/>
      <c r="CU311" s="81" t="n"/>
      <c r="CV311" s="81" t="n"/>
      <c r="CW311" s="81" t="n"/>
      <c r="CX311" s="81" t="n"/>
    </row>
    <row r="312" customFormat="1" s="84">
      <c r="A312" s="81" t="n"/>
      <c r="B312" s="81" t="n"/>
      <c r="C312" s="84" t="inlineStr">
        <is>
          <t>RETURN ON CAPITAL (ROIC) - EX GOODWILL - LTM</t>
        </is>
      </c>
      <c r="D312" t="str">
        <f>IFERROR(D313/D317,"")</f>
        <v/>
      </c>
      <c r="E312" t="str">
        <f>IFERROR(E313/E317,"")</f>
        <v/>
      </c>
      <c r="F312" t="str">
        <f>IFERROR(F313/F317,"")</f>
        <v/>
      </c>
      <c r="G312" t="str">
        <f>IFERROR(G313/G317,"")</f>
        <v/>
      </c>
      <c r="H312" s="257" t="str">
        <f>IFERROR(IF(AND(COUNT(H313)=1,N(H317)&lt;&gt;0),(H313)/H317,""),"")</f>
        <v/>
      </c>
      <c r="I312" s="257" t="str">
        <f>""</f>
        <v/>
      </c>
      <c r="J312" s="257" t="str">
        <f>""</f>
        <v/>
      </c>
      <c r="K312" s="257" t="str">
        <f>""</f>
        <v/>
      </c>
      <c r="L312" s="257">
        <f>IFERROR(IF(AND(COUNT(I313,J313,K313,L313)=4,N(L317)&lt;&gt;0),(I313+J313+K313+L313)/L317,""),"")</f>
        <v>0.106259172186556</v>
      </c>
      <c r="M312" s="257">
        <f>IFERROR(IF(AND(COUNT(I313,J313,K313,L313)=4,N(M317)&lt;&gt;0),(I313+J313+K313+L313)/M317,""),"")</f>
        <v>0.106259172186556</v>
      </c>
      <c r="N312" s="257">
        <f>IFERROR(IF(AND(COUNT(J313,K313,L313,N313)=4,N(N317)&lt;&gt;0),(J313+K313+L313+N313)/N317,""),"")</f>
        <v>0.107896143552016</v>
      </c>
      <c r="O312" s="257">
        <f>IFERROR(IF(AND(COUNT(K313,L313,N313,O313)=4,N(O317)&lt;&gt;0),(K313+L313+N313+O313)/O317,""),"")</f>
        <v>0.100012133508026</v>
      </c>
      <c r="P312" s="257">
        <f>IFERROR(IF(AND(COUNT(L313,N313,O313,P313)=4,N(P317)&lt;&gt;0),(L313+N313+O313+P313)/P317,""),"")</f>
        <v>0.108143727003978</v>
      </c>
      <c r="Q312" s="257">
        <f>IFERROR(IF(AND(COUNT(N313,O313,P313,Q313)=4,N(Q317)&lt;&gt;0),(N313+O313+P313+Q313)/Q317,""),"")</f>
        <v>0.102084835941687</v>
      </c>
      <c r="R312" s="257">
        <f>IFERROR(IF(AND(COUNT(N313,O313,P313,Q313)=4,N(R317)&lt;&gt;0),(N313+O313+P313+Q313)/R317,""),"")</f>
        <v>0.102084835941687</v>
      </c>
      <c r="S312" s="257">
        <f>IFERROR(IF(AND(COUNT(O313,P313,Q313,S313)=4,N(S317)&lt;&gt;0),(O313+P313+Q313+S313)/S317,""),"")</f>
        <v>0.100495774878671</v>
      </c>
      <c r="T312" s="257">
        <f>IFERROR(IF(AND(COUNT(P313,Q313,S313,T313)=4,N(T317)&lt;&gt;0),(P313+Q313+S313+T313)/T317,""),"")</f>
        <v>0.063981477534171</v>
      </c>
      <c r="U312" s="257">
        <f>IFERROR(IF(AND(COUNT(Q313,S313,T313,U313)=4,N(U317)&lt;&gt;0),(Q313+S313+T313+U313)/U317,""),"")</f>
        <v>0.0739086027586281</v>
      </c>
      <c r="V312" s="257">
        <f>IFERROR(IF(AND(COUNT(S313,T313,U313,V313)=4,N(V317)&lt;&gt;0),(S313+T313+U313+V313)/V317,""),"")</f>
        <v>0.0789724457881127</v>
      </c>
      <c r="W312" s="257">
        <f>IFERROR(IF(AND(COUNT(S313,T313,U313,V313)=4,N(W317)&lt;&gt;0),(S313+T313+U313+V313)/W317,""),"")</f>
        <v>0.0789724457881127</v>
      </c>
      <c r="X312" s="257">
        <f>IFERROR(IF(AND(COUNT(T313,U313,V313,X313)=4,N(X317)&lt;&gt;0),(T313+U313+V313+X313)/X317,""),"")</f>
        <v>0.0879155103531208</v>
      </c>
      <c r="Y312" s="257">
        <f>IFERROR(IF(AND(COUNT(U313,V313,X313,Y313)=4,N(Y317)&lt;&gt;0),(U313+V313+X313+Y313)/Y317,""),"")</f>
        <v>0.0994920912805174</v>
      </c>
      <c r="Z312" s="257">
        <f>IFERROR(IF(AND(COUNT(V313,X313,Y313,Z313)=4,N(Z317)&lt;&gt;0),(V313+X313+Y313+Z313)/Z317,""),"")</f>
        <v>0.102031269335928</v>
      </c>
      <c r="AA312" s="257">
        <f>IFERROR(IF(AND(COUNT(X313,Y313,Z313,AA313)=4,N(AA317)&lt;&gt;0),(X313+Y313+Z313+AA313)/AA317,""),"")</f>
        <v>0.101108187593835</v>
      </c>
      <c r="AB312" s="257">
        <f>IFERROR(IF(AND(COUNT(X313,Y313,Z313,AA313)=4,N(AB317)&lt;&gt;0),(X313+Y313+Z313+AA313)/AB317,""),"")</f>
        <v>0.101108187593835</v>
      </c>
      <c r="AC312" s="257">
        <f>IFERROR(IF(AND(COUNT(Y313,Z313,AA313,AC313)=4,N(AC317)&lt;&gt;0),(Y313+Z313+AA313+AC313)/AC317,""),"")</f>
        <v>0.10200254472626</v>
      </c>
      <c r="AD312" s="257">
        <f>IFERROR(IF(AND(COUNT(Z313,AA313,AC313,AD313)=4,N(AD317)&lt;&gt;0),(Z313+AA313+AC313+AD313)/AD317,""),"")</f>
        <v>0.0984636490434415</v>
      </c>
      <c r="AE312" s="257">
        <f>IFERROR(IF(AND(COUNT(AA313,AC313,AD313,AE313)=4,N(AE317)&lt;&gt;0),(AA313+AC313+AD313+AE313)/AE317,""),"")</f>
        <v>0.102480271861935</v>
      </c>
      <c r="AF312" s="257">
        <f>IFERROR(IF(AND(COUNT(AB313,AD313,AE313,AF313)=4,N(AF317)&lt;&gt;0),(AB313+AD313+AE313+AF313)/AF317,""),"")</f>
        <v>0.185089723186716</v>
      </c>
      <c r="AG312" s="257">
        <f>IFERROR(IF(AND(COUNT(AC313,AD313,AE313,AF313)=4,N(AG317)&lt;&gt;0),(AC313+AD313+AE313+AF313)/AG317,""),"")</f>
        <v>0.110727382407959</v>
      </c>
      <c r="AH312" s="257">
        <f>IFERROR(IF(AND(COUNT(AD313,AF313,AG313,AH313)=4,N(AH317)&lt;&gt;0),(AD313+AF313+AG313+AH313)/AH317,""),"")</f>
        <v>0.186965557468207</v>
      </c>
      <c r="AI312" s="257">
        <f>IFERROR(IF(AND(COUNT(AE313,AG313,AH313,AI313)=4,N(AI317)&lt;&gt;0),(AE313+AG313+AH313+AI313)/AI317,""),"")</f>
        <v>0.194079813518867</v>
      </c>
      <c r="AJ312" s="257">
        <f>IFERROR(IF(AND(COUNT(AF313,AH313,AI313,AJ313)=4,N(AJ317)&lt;&gt;0),(AF313+AH313+AI313+AJ313)/AJ317,""),"")</f>
        <v>0.1155075618349</v>
      </c>
      <c r="AK312" s="257">
        <f>IFERROR(IF(AND(COUNT(AH313,AI313,AJ313,AK313)=4,N(AK317)&lt;&gt;0),(AH313+AI313+AJ313+AK313)/AK317,""),"")</f>
        <v>0.124784797696651</v>
      </c>
      <c r="AL312" s="257">
        <f>IFERROR(IF(AND(COUNT(AH313,AI313,AJ313,AK313)=4,N(AL317)&lt;&gt;0),(AH313+AI313+AJ313+AK313)/AL317,""),"")</f>
        <v>0.124784797696651</v>
      </c>
      <c r="AM312" s="257">
        <f>IFERROR(IF(AND(COUNT(AI313,AJ313,AK313,AM313)=4,N(AM317)&lt;&gt;0),(AI313+AJ313+AK313+AM313)/AM317,""),"")</f>
        <v>0.124936389247748</v>
      </c>
      <c r="AN312" s="257">
        <f>IFERROR(IF(AND(COUNT(AJ313,AK313,AM313,AN313)=4,N(AN317)&lt;&gt;0),(AJ313+AK313+AM313+AN313)/AN317,""),"")</f>
        <v>0.125756045690657</v>
      </c>
      <c r="AO312" s="257">
        <f>IFERROR(IF(AND(COUNT(AK313,AM313,AN313,AO313)=4,N(AO317)&lt;&gt;0),(AK313+AM313+AN313+AO313)/AO317,""),"")</f>
        <v>0.129084857330239</v>
      </c>
      <c r="AP312" s="257">
        <f>IFERROR(IF(AND(COUNT(AM313,AN313,AO313,AP313)=4,N(AP317)&lt;&gt;0),(AM313+AN313+AO313+AP313)/AP317,""),"")</f>
        <v>0.134215960494831</v>
      </c>
      <c r="AQ312" s="257">
        <f>IFERROR(IF(AND(COUNT(AM313,AN313,AO313,AP313)=4,N(AQ317)&lt;&gt;0),(AM313+AN313+AO313+AP313)/AQ317,""),"")</f>
        <v>0.134215960494831</v>
      </c>
      <c r="AR312" s="257">
        <f>IFERROR(IF(AND(COUNT(AN313,AO313,AP313,AR313)=4,N(AR317)&lt;&gt;0),(AN313+AO313+AP313+AR313)/AR317,""),"")</f>
        <v>0.136316014539726</v>
      </c>
      <c r="AS312" s="257">
        <f>IFERROR(IF(AND(COUNT(AO313,AP313,AR313,AS313)=4,N(AS317)&lt;&gt;0),(AO313+AP313+AR313+AS313)/AS317,""),"")</f>
        <v>0.139498479767514</v>
      </c>
      <c r="AT312" s="257">
        <f>IFERROR(IF(AND(COUNT(AP313,AR313,AS313,AT313)=4,N(AT317)&lt;&gt;0),(AP313+AR313+AS313+AT313)/AT317,""),"")</f>
        <v>0.143341771154129</v>
      </c>
      <c r="AU312" s="257">
        <f>IFERROR(IF(AND(COUNT(AR313,AS313,AT313,AU313)=4,N(AU317)&lt;&gt;0),(AR313+AS313+AT313+AU313)/AU317,""),"")</f>
        <v>0.149483818517422</v>
      </c>
      <c r="AV312" s="257">
        <f>IFERROR(IF(AND(COUNT(AR313,AS313,AT313,AU313)=4,N(AV317)&lt;&gt;0),(AR313+AS313+AT313+AU313)/AV317,""),"")</f>
        <v>0.149483818517422</v>
      </c>
      <c r="AW312" s="257">
        <f>IFERROR(IF(AND(COUNT(AS313,AT313,AU313,AW313)=4,N(AW317)&lt;&gt;0),(AS313+AT313+AU313+AW313)/AW317,""),"")</f>
        <v>0.15166629201887</v>
      </c>
      <c r="AX312" s="257">
        <f>IFERROR(IF(AND(COUNT(AT313,AU313,AW313,AX313)=4,N(AX317)&lt;&gt;0),(AT313+AU313+AW313+AX313)/AX317,""),"")</f>
        <v>0.155726023609266</v>
      </c>
      <c r="AY312" s="257">
        <f>IFERROR(IF(AND(COUNT(AU313,AW313,AX313,AY313)=4,N(AY317)&lt;&gt;0),(AU313+AW313+AX313+AY313)/AY317,""),"")</f>
        <v>0.160306562461408</v>
      </c>
      <c r="AZ312" s="257">
        <f>IFERROR(IF(AND(COUNT(AW313,AX313,AY313,AZ313)=4,N(AZ317)&lt;&gt;0),(AW313+AX313+AY313+AZ313)/AZ317,""),"")</f>
        <v>0.167866407251172</v>
      </c>
      <c r="BA312" s="257">
        <f>IFERROR(IF(AND(COUNT(AW313,AX313,AY313,AZ313)=4,N(BA317)&lt;&gt;0),(AW313+AX313+AY313+AZ313)/BA317,""),"")</f>
        <v>0.167866407251172</v>
      </c>
      <c r="BB312" s="257">
        <f>IFERROR(IF(AND(COUNT(AX313,AY313,AZ313,BB313)=4,N(BB317)&lt;&gt;0),(AX313+AY313+AZ313+BB313)/BB317,""),"")</f>
        <v>0.170603984830144</v>
      </c>
      <c r="BC312" s="257">
        <f>IFERROR(IF(AND(COUNT(AY313,AZ313,BB313,BC313)=4,N(BC317)&lt;&gt;0),(AY313+AZ313+BB313+BC313)/BC317,""),"")</f>
        <v>0.175574543091839</v>
      </c>
      <c r="BD312" s="257">
        <f>IFERROR(IF(AND(COUNT(AZ313,BB313,BC313,BD313)=4,N(BD317)&lt;&gt;0),(AZ313+BB313+BC313+BD313)/BD317,""),"")</f>
        <v>0.181247152232841</v>
      </c>
      <c r="BE312" s="257">
        <f>IFERROR(IF(AND(COUNT(BB313,BC313,BD313,BE313)=4,N(BE317)&lt;&gt;0),(BB313+BC313+BD313+BE313)/BE317,""),"")</f>
        <v>0.190878378165572</v>
      </c>
      <c r="BF312" s="257">
        <f>IFERROR(IF(AND(COUNT(BB313,BC313,BD313,BE313)=4,N(BF317)&lt;&gt;0),(BB313+BC313+BD313+BE313)/BF317,""),"")</f>
        <v>0.190878378165572</v>
      </c>
      <c r="BG312" s="81" t="n"/>
      <c r="BH312" s="81" t="n"/>
      <c r="BI312" s="81" t="n"/>
      <c r="BJ312" s="81" t="n"/>
      <c r="BL312" s="81" t="n"/>
      <c r="BM312" s="81" t="n"/>
      <c r="BN312" s="81" t="n"/>
      <c r="BO312" s="81" t="n"/>
      <c r="BQ312" s="81" t="n"/>
      <c r="BR312" s="81" t="n"/>
      <c r="BS312" s="81" t="n"/>
      <c r="BT312" s="81" t="n"/>
      <c r="BV312" s="81" t="n"/>
      <c r="BW312" s="81" t="n"/>
      <c r="BX312" s="81" t="n"/>
      <c r="BY312" s="81" t="n"/>
      <c r="CA312" s="81" t="n"/>
      <c r="CB312" s="81" t="n"/>
      <c r="CC312" s="81" t="n"/>
      <c r="CD312" s="81" t="n"/>
      <c r="CF312" s="81" t="n"/>
      <c r="CG312" s="81" t="n"/>
      <c r="CH312" s="81" t="n"/>
      <c r="CI312" s="81" t="n"/>
      <c r="CK312" s="81" t="n"/>
      <c r="CL312" s="81" t="n"/>
      <c r="CM312" s="81" t="n"/>
      <c r="CN312" s="81" t="n"/>
      <c r="CP312" s="81" t="n"/>
      <c r="CQ312" s="81" t="n"/>
      <c r="CR312" s="81" t="n"/>
      <c r="CS312" s="81" t="n"/>
      <c r="CU312" s="81" t="n"/>
      <c r="CV312" s="81" t="n"/>
      <c r="CW312" s="81" t="n"/>
      <c r="CX312" s="81" t="n"/>
    </row>
    <row r="313" customFormat="1" s="77">
      <c r="A313" s="76" t="n"/>
      <c r="B313" s="76" t="n"/>
      <c r="C313" s="77" t="inlineStr">
        <is>
          <t>NOPLAT</t>
        </is>
      </c>
      <c r="D313">
        <f>IFERROR(D314*(1-D315),"")</f>
        <v>0</v>
      </c>
      <c r="E313">
        <f>IFERROR(E314*(1-E315),"")</f>
        <v>0</v>
      </c>
      <c r="F313">
        <f>IFERROR(F314*(1-F315),"")</f>
        <v>0</v>
      </c>
      <c r="G313">
        <f>IFERROR(G314*(1-G315),"")</f>
        <v>0</v>
      </c>
      <c r="H313" s="265">
        <f>IFERROR(H314*(1-N(H315)),0)</f>
        <v>0</v>
      </c>
      <c r="I313" s="265">
        <f>IFERROR(I314*(1-N(I315)),0)</f>
        <v>140.546669046273</v>
      </c>
      <c r="J313" s="265">
        <f>IFERROR(J314*(1-N(J315)),0)</f>
        <v>91.0991063084484</v>
      </c>
      <c r="K313" s="265">
        <f>IFERROR(K314*(1-N(K315)),0)</f>
        <v>130.42107519837</v>
      </c>
      <c r="L313" s="265">
        <f>IFERROR(L314*(1-N(L315)),0)</f>
        <v>110.207513941262</v>
      </c>
      <c r="M313" s="265">
        <f>IFERROR(M314*(1-N(M315)),0)</f>
        <v>472.14622727133</v>
      </c>
      <c r="N313" s="265">
        <f>IFERROR(N314*(1-N(N315)),0)</f>
        <v>158.204342454907</v>
      </c>
      <c r="O313" s="265">
        <f>IFERROR(O314*(1-N(O315)),0)</f>
        <v>132.748294142755</v>
      </c>
      <c r="P313" s="265">
        <f>IFERROR(P314*(1-N(P315)),0)</f>
        <v>174.187551420512</v>
      </c>
      <c r="Q313" s="265">
        <f>IFERROR(Q314*(1-N(Q315)),0)</f>
        <v>108.39397285</v>
      </c>
      <c r="R313" s="265">
        <f>IFERROR(R314*(1-N(R315)),0)</f>
        <v>559.004386844353</v>
      </c>
      <c r="S313" s="265">
        <f>IFERROR(S314*(1-N(S315)),0)</f>
        <v>161.042473644444</v>
      </c>
      <c r="T313" s="265">
        <f>IFERROR(T314*(1-N(T315)),0)</f>
        <v>148.715689337192</v>
      </c>
      <c r="U313" s="265">
        <f>IFERROR(U314*(1-N(U315)),0)</f>
        <v>253.83234521869</v>
      </c>
      <c r="V313" s="265">
        <f>IFERROR(V314*(1-N(V315)),0)</f>
        <v>162.260324775364</v>
      </c>
      <c r="W313" s="265">
        <f>IFERROR(W314*(1-N(W315)),0)</f>
        <v>725.256944797752</v>
      </c>
      <c r="X313" s="265">
        <f>IFERROR(X314*(1-N(X315)),0)</f>
        <v>254.253276812583</v>
      </c>
      <c r="Y313" s="265">
        <f>IFERROR(Y314*(1-N(Y315)),0)</f>
        <v>249.528877482373</v>
      </c>
      <c r="Z313" s="265">
        <f>IFERROR(Z314*(1-N(Z315)),0)</f>
        <v>260.905276907888</v>
      </c>
      <c r="AA313" s="265">
        <f>IFERROR(AA314*(1-N(AA315)),0)</f>
        <v>160.92779487062</v>
      </c>
      <c r="AB313" s="265">
        <f>IFERROR(AB314*(1-N(AB315)),0)</f>
        <v>924.137795692955</v>
      </c>
      <c r="AC313" s="265">
        <f>IFERROR(AC314*(1-N(AC315)),0)</f>
        <v>257.417243694508</v>
      </c>
      <c r="AD313" s="265">
        <f>IFERROR(AD314*(1-N(AD315)),0)</f>
        <v>237.964569769989</v>
      </c>
      <c r="AE313" s="265">
        <f>IFERROR(AE314*(1-N(AE315)),0)</f>
        <v>286.805163260636</v>
      </c>
      <c r="AF313" s="265">
        <f>IFERROR(AF314*(1-N(AF315)),0)</f>
        <v>210.57657465391</v>
      </c>
      <c r="AG313" s="265">
        <f>IFERROR(AG314*(1-N(AG315)),0)</f>
        <v>982.639733368674</v>
      </c>
      <c r="AH313" s="265">
        <f>IFERROR(AH314*(1-N(AH315)),0)</f>
        <v>293.1835752154</v>
      </c>
      <c r="AI313" s="265">
        <f>IFERROR(AI314*(1-N(AI315)),0)</f>
        <v>312.177868832023</v>
      </c>
      <c r="AJ313" s="265">
        <f>IFERROR(AJ314*(1-N(AJ315)),0)</f>
        <v>301.21575877388</v>
      </c>
      <c r="AK313" s="265">
        <f>IFERROR(AK314*(1-N(AK315)),0)</f>
        <v>283.290591204799</v>
      </c>
      <c r="AL313" s="265">
        <f>IFERROR(AL314*(1-N(AL315)),0)</f>
        <v>1194.22805216393</v>
      </c>
      <c r="AM313" s="265">
        <f>IFERROR(AM314*(1-N(AM315)),0)</f>
        <v>305.634177421881</v>
      </c>
      <c r="AN313" s="265">
        <f>IFERROR(AN314*(1-N(AN315)),0)</f>
        <v>318.493482624852</v>
      </c>
      <c r="AO313" s="265">
        <f>IFERROR(AO314*(1-N(AO315)),0)</f>
        <v>329.613389572454</v>
      </c>
      <c r="AP313" s="265">
        <f>IFERROR(AP314*(1-N(AP315)),0)</f>
        <v>309.998296175119</v>
      </c>
      <c r="AQ313" s="265">
        <f>IFERROR(AQ314*(1-N(AQ315)),0)</f>
        <v>1263.73934579431</v>
      </c>
      <c r="AR313" s="265">
        <f>IFERROR(AR314*(1-N(AR315)),0)</f>
        <v>332.92019130778</v>
      </c>
      <c r="AS313" s="265">
        <f>IFERROR(AS314*(1-N(AS315)),0)</f>
        <v>346.927532974772</v>
      </c>
      <c r="AT313" s="265">
        <f>IFERROR(AT314*(1-N(AT315)),0)</f>
        <v>359.040188632422</v>
      </c>
      <c r="AU313" s="265">
        <f>IFERROR(AU314*(1-N(AU315)),0)</f>
        <v>337.673924226243</v>
      </c>
      <c r="AV313" s="265">
        <f>IFERROR(AV314*(1-N(AV315)),0)</f>
        <v>1376.56183714122</v>
      </c>
      <c r="AW313" s="265">
        <f>IFERROR(AW314*(1-N(AW315)),0)</f>
        <v>360.977609791433</v>
      </c>
      <c r="AX313" s="265">
        <f>IFERROR(AX314*(1-N(AX315)),0)</f>
        <v>376.165444132812</v>
      </c>
      <c r="AY313" s="265">
        <f>IFERROR(AY314*(1-N(AY315)),0)</f>
        <v>389.298914561114</v>
      </c>
      <c r="AZ313" s="265">
        <f>IFERROR(AZ314*(1-N(AZ315)),0)</f>
        <v>366.13197168145</v>
      </c>
      <c r="BA313" s="265">
        <f>IFERROR(BA314*(1-N(BA315)),0)</f>
        <v>1492.57394016681</v>
      </c>
      <c r="BB313" s="265">
        <f>IFERROR(BB314*(1-N(BB315)),0)</f>
        <v>389.594727152727</v>
      </c>
      <c r="BC313" s="265">
        <f>IFERROR(BC314*(1-N(BC315)),0)</f>
        <v>405.986603035802</v>
      </c>
      <c r="BD313" s="265">
        <f>IFERROR(BD314*(1-N(BD315)),0)</f>
        <v>420.161251793211</v>
      </c>
      <c r="BE313" s="265">
        <f>IFERROR(BE314*(1-N(BE315)),0)</f>
        <v>395.157709896581</v>
      </c>
      <c r="BF313" s="265">
        <f>IFERROR(BF314*(1-N(BF315)),0)</f>
        <v>1610.90029187832</v>
      </c>
      <c r="BG313" s="85" t="n"/>
      <c r="BH313" s="76" t="n"/>
      <c r="BI313" s="76" t="n"/>
      <c r="BJ313" s="76" t="n"/>
      <c r="BL313" s="85" t="n"/>
      <c r="BM313" s="76" t="n"/>
      <c r="BN313" s="76" t="n"/>
      <c r="BO313" s="76" t="n"/>
      <c r="BQ313" s="85" t="n"/>
      <c r="BR313" s="76" t="n"/>
      <c r="BS313" s="76" t="n"/>
      <c r="BT313" s="76" t="n"/>
      <c r="BV313" s="85" t="n"/>
      <c r="BW313" s="76" t="n"/>
      <c r="BX313" s="76" t="n"/>
      <c r="BY313" s="76" t="n"/>
      <c r="CA313" s="85" t="n"/>
      <c r="CB313" s="76" t="n"/>
      <c r="CC313" s="76" t="n"/>
      <c r="CD313" s="76" t="n"/>
      <c r="CF313" s="85" t="n"/>
      <c r="CG313" s="76" t="n"/>
      <c r="CH313" s="76" t="n"/>
      <c r="CI313" s="76" t="n"/>
      <c r="CK313" s="85" t="n"/>
      <c r="CL313" s="76" t="n"/>
      <c r="CM313" s="76" t="n"/>
      <c r="CN313" s="76" t="n"/>
      <c r="CP313" s="85" t="n"/>
      <c r="CQ313" s="76" t="n"/>
      <c r="CR313" s="76" t="n"/>
      <c r="CS313" s="76" t="n"/>
      <c r="CU313" s="85" t="n"/>
      <c r="CV313" s="76" t="n"/>
      <c r="CW313" s="76" t="n"/>
      <c r="CX313" s="76" t="n"/>
    </row>
    <row r="314" customFormat="1" s="77">
      <c r="A314" s="76" t="n"/>
      <c r="B314" s="76" t="n"/>
      <c r="C314" s="77" t="inlineStr">
        <is>
          <t>EBIT</t>
        </is>
      </c>
      <c r="D314" s="86">
        <f>IFERROR(D96,"")</f>
        <v>0</v>
      </c>
      <c r="E314" s="86">
        <f>IFERROR(E96,"")</f>
        <v>0</v>
      </c>
      <c r="F314" s="86">
        <f>IFERROR(F96,"")</f>
        <v>0</v>
      </c>
      <c r="G314" s="86">
        <f>IFERROR(G96,"")</f>
        <v>0</v>
      </c>
      <c r="H314" s="265">
        <f>IFERROR(H39,0)</f>
        <v>0</v>
      </c>
      <c r="I314" s="265">
        <f>IFERROR(I39,0)</f>
        <v>198.69581267</v>
      </c>
      <c r="J314" s="265">
        <f>IFERROR(J39,0)</f>
        <v>128.85176199</v>
      </c>
      <c r="K314" s="265">
        <f>IFERROR(K39,0)</f>
        <v>184.71942231</v>
      </c>
      <c r="L314" s="265">
        <f>IFERROR(L39,0)</f>
        <v>154.44302061</v>
      </c>
      <c r="M314" s="265">
        <f>IFERROR(M39,0)</f>
        <v>666.71001758</v>
      </c>
      <c r="N314" s="265">
        <f>IFERROR(N39,0)</f>
        <v>219.119696389</v>
      </c>
      <c r="O314" s="265">
        <f>IFERROR(O39,0)</f>
        <v>184.162330478</v>
      </c>
      <c r="P314" s="265">
        <f>IFERROR(P39,0)</f>
        <v>222.69215518</v>
      </c>
      <c r="Q314" s="265">
        <f>IFERROR(Q39,0)</f>
        <v>108.39397285</v>
      </c>
      <c r="R314" s="265">
        <f>IFERROR(R39,0)</f>
        <v>734.368154897</v>
      </c>
      <c r="S314" s="265">
        <f>IFERROR(S39,0)</f>
        <v>214.51688209</v>
      </c>
      <c r="T314" s="265">
        <f>IFERROR(T39,0)</f>
        <v>197.502</v>
      </c>
      <c r="U314" s="265">
        <f>IFERROR(U39,0)</f>
        <v>317.803435338</v>
      </c>
      <c r="V314" s="265">
        <f>IFERROR(V39,0)</f>
        <v>185.95370032</v>
      </c>
      <c r="W314" s="265">
        <f>IFERROR(W39,0)</f>
        <v>915.776017748</v>
      </c>
      <c r="X314" s="265">
        <f>IFERROR(X39,0)</f>
        <v>327.5794785</v>
      </c>
      <c r="Y314" s="265">
        <f>IFERROR(Y39,0)</f>
        <v>330.244</v>
      </c>
      <c r="Z314" s="265">
        <f>IFERROR(Z39,0)</f>
        <v>340.772474</v>
      </c>
      <c r="AA314" s="265">
        <f>IFERROR(AA39,0)</f>
        <v>203.3710475</v>
      </c>
      <c r="AB314" s="265">
        <f>IFERROR(AB39,0)</f>
        <v>1201.967</v>
      </c>
      <c r="AC314" s="265">
        <f>IFERROR(AC39,0)</f>
        <v>335.484575</v>
      </c>
      <c r="AD314" s="265">
        <f>IFERROR(AD39,0)</f>
        <v>309.687</v>
      </c>
      <c r="AE314" s="265">
        <f>IFERROR(AE39,0)</f>
        <v>369.988908654</v>
      </c>
      <c r="AF314" s="265">
        <f>IFERROR(AF39,0)</f>
        <v>219.54630042</v>
      </c>
      <c r="AG314" s="265">
        <f>IFERROR(AG39,0)</f>
        <v>1234.706784074</v>
      </c>
      <c r="AH314" s="265">
        <f>IFERROR(AH39,0)</f>
        <v>372.87448038</v>
      </c>
      <c r="AI314" s="265">
        <f>IFERROR(AI39,0)</f>
        <v>397.126662</v>
      </c>
      <c r="AJ314" s="265">
        <f>IFERROR(AJ39,0)</f>
        <v>373.223602000328</v>
      </c>
      <c r="AK314" s="265">
        <f>IFERROR(AK39,0)</f>
        <v>351.013291245591</v>
      </c>
      <c r="AL314" s="265">
        <f>IFERROR(AL39,0)</f>
        <v>1494.23803562592</v>
      </c>
      <c r="AM314" s="265">
        <f>IFERROR(AM39,0)</f>
        <v>378.698276133132</v>
      </c>
      <c r="AN314" s="265">
        <f>IFERROR(AN39,0)</f>
        <v>394.631692852798</v>
      </c>
      <c r="AO314" s="265">
        <f>IFERROR(AO39,0)</f>
        <v>408.409895367122</v>
      </c>
      <c r="AP314" s="265">
        <f>IFERROR(AP39,0)</f>
        <v>384.105669581838</v>
      </c>
      <c r="AQ314" s="265">
        <f>IFERROR(AQ39,0)</f>
        <v>1565.84553393489</v>
      </c>
      <c r="AR314" s="265">
        <f>IFERROR(AR39,0)</f>
        <v>412.507212385936</v>
      </c>
      <c r="AS314" s="265">
        <f>IFERROR(AS39,0)</f>
        <v>429.863112132631</v>
      </c>
      <c r="AT314" s="265">
        <f>IFERROR(AT39,0)</f>
        <v>444.871387239949</v>
      </c>
      <c r="AU314" s="265">
        <f>IFERROR(AU39,0)</f>
        <v>418.397360132517</v>
      </c>
      <c r="AV314" s="265">
        <f>IFERROR(AV39,0)</f>
        <v>1705.63907189103</v>
      </c>
      <c r="AW314" s="265">
        <f>IFERROR(AW39,0)</f>
        <v>447.271963180933</v>
      </c>
      <c r="AX314" s="265">
        <f>IFERROR(AX39,0)</f>
        <v>466.090561060896</v>
      </c>
      <c r="AY314" s="265">
        <f>IFERROR(AY39,0)</f>
        <v>482.363684220084</v>
      </c>
      <c r="AZ314" s="265">
        <f>IFERROR(AZ39,0)</f>
        <v>453.658513202206</v>
      </c>
      <c r="BA314" s="265">
        <f>IFERROR(BA39,0)</f>
        <v>1849.38472166412</v>
      </c>
      <c r="BB314" s="265">
        <f>IFERROR(BB39,0)</f>
        <v>482.730212988062</v>
      </c>
      <c r="BC314" s="265">
        <f>IFERROR(BC39,0)</f>
        <v>503.040687398587</v>
      </c>
      <c r="BD314" s="265">
        <f>IFERROR(BD39,0)</f>
        <v>520.603890226567</v>
      </c>
      <c r="BE314" s="265">
        <f>IFERROR(BE39,0)</f>
        <v>489.62306768457</v>
      </c>
      <c r="BF314" s="265">
        <f>IFERROR(BF39,0)</f>
        <v>1995.99785829779</v>
      </c>
      <c r="BG314" s="63" t="n"/>
      <c r="BH314" s="63" t="n"/>
      <c r="BI314" s="63" t="n"/>
      <c r="BJ314" s="63" t="n"/>
      <c r="BL314" s="63" t="n"/>
      <c r="BM314" s="63" t="n"/>
      <c r="BN314" s="63" t="n"/>
      <c r="BO314" s="63" t="n"/>
      <c r="BQ314" s="63" t="n"/>
      <c r="BR314" s="63" t="n"/>
      <c r="BS314" s="63" t="n"/>
      <c r="BT314" s="63" t="n"/>
      <c r="BV314" s="63" t="n"/>
      <c r="BW314" s="63" t="n"/>
      <c r="BX314" s="63" t="n"/>
      <c r="BY314" s="63" t="n"/>
      <c r="CA314" s="63" t="n"/>
      <c r="CB314" s="63" t="n"/>
      <c r="CC314" s="63" t="n"/>
      <c r="CD314" s="63" t="n"/>
      <c r="CF314" s="63" t="n"/>
      <c r="CG314" s="63" t="n"/>
      <c r="CH314" s="63" t="n"/>
      <c r="CI314" s="63" t="n"/>
      <c r="CK314" s="63" t="n"/>
      <c r="CL314" s="63" t="n"/>
      <c r="CM314" s="63" t="n"/>
      <c r="CN314" s="63" t="n"/>
      <c r="CP314" s="63" t="n"/>
      <c r="CQ314" s="63" t="n"/>
      <c r="CR314" s="63" t="n"/>
      <c r="CS314" s="63" t="n"/>
      <c r="CU314" s="63" t="n"/>
      <c r="CV314" s="63" t="n"/>
      <c r="CW314" s="63" t="n"/>
      <c r="CX314" s="63" t="n"/>
    </row>
    <row r="315" customFormat="1" s="77">
      <c r="A315" s="76" t="n"/>
      <c r="B315" s="76" t="n"/>
      <c r="C315" s="77" t="inlineStr">
        <is>
          <t>ETR (LIMITED TO 0%-100%)</t>
        </is>
      </c>
      <c r="D315" s="87">
        <f>IFERROR(D98,"")</f>
        <v>0</v>
      </c>
      <c r="E315" s="87">
        <f>IFERROR(E98,"")</f>
        <v>0</v>
      </c>
      <c r="F315" s="87">
        <f>IFERROR(F98,"")</f>
        <v>0</v>
      </c>
      <c r="G315" s="87">
        <f>IFERROR(G98,"")</f>
        <v>0</v>
      </c>
      <c r="H315" s="258" t="str">
        <f>IFERROR(IF(N(H96)&lt;&gt;0,MAX(0,MIN(1,-H97/H96)),""),"")</f>
        <v/>
      </c>
      <c r="I315" s="258">
        <f>IFERROR(IF(N(I96)&lt;&gt;0,MAX(0,MIN(1,-I97/I96)),""),"")</f>
        <v>0.292654096945176</v>
      </c>
      <c r="J315" s="258">
        <f>IFERROR(IF(N(J96)&lt;&gt;0,MAX(0,MIN(1,-J97/J96)),""),"")</f>
        <v>0.292992933107748</v>
      </c>
      <c r="K315" s="258">
        <f>IFERROR(IF(N(K96)&lt;&gt;0,MAX(0,MIN(1,-K97/K96)),""),"")</f>
        <v>0.293950394780391</v>
      </c>
      <c r="L315" s="258">
        <f>IFERROR(IF(N(L96)&lt;&gt;0,MAX(0,MIN(1,-L97/L96)),""),"")</f>
        <v>0.286419590176505</v>
      </c>
      <c r="M315" s="258">
        <f>IFERROR(IF(N(M96)&lt;&gt;0,MAX(0,MIN(1,-M97/M96)),""),"")</f>
        <v>0.291826709031447</v>
      </c>
      <c r="N315" s="258">
        <f>IFERROR(IF(N(N96)&lt;&gt;0,MAX(0,MIN(1,-N97/N96)),""),"")</f>
        <v>0.278000357512139</v>
      </c>
      <c r="O315" s="258">
        <f>IFERROR(IF(N(O96)&lt;&gt;0,MAX(0,MIN(1,-O97/O96)),""),"")</f>
        <v>0.279177811237498</v>
      </c>
      <c r="P315" s="258">
        <f>IFERROR(IF(N(P96)&lt;&gt;0,MAX(0,MIN(1,-P97/P96)),""),"")</f>
        <v>0.21781011423722</v>
      </c>
      <c r="Q315" s="258">
        <f>IFERROR(IF(N(Q96)&lt;&gt;0,MAX(0,MIN(1,-Q97/Q96)),""),"")</f>
        <v>0</v>
      </c>
      <c r="R315" s="258">
        <f>IFERROR(IF(N(R96)&lt;&gt;0,MAX(0,MIN(1,-R97/R96)),""),"")</f>
        <v>0.238795441881931</v>
      </c>
      <c r="S315" s="258">
        <f>IFERROR(IF(N(S96)&lt;&gt;0,MAX(0,MIN(1,-S97/S96)),""),"")</f>
        <v>0.24927832217476</v>
      </c>
      <c r="T315" s="258">
        <f>IFERROR(IF(N(T96)&lt;&gt;0,MAX(0,MIN(1,-T97/T96)),""),"")</f>
        <v>0.247016793059352</v>
      </c>
      <c r="U315" s="258">
        <f>IFERROR(IF(N(U96)&lt;&gt;0,MAX(0,MIN(1,-U97/U96)),""),"")</f>
        <v>0.201291373868485</v>
      </c>
      <c r="V315" s="258">
        <f>IFERROR(IF(N(V96)&lt;&gt;0,MAX(0,MIN(1,-V97/V96)),""),"")</f>
        <v>0.127415456126249</v>
      </c>
      <c r="W315" s="258">
        <f>IFERROR(IF(N(W96)&lt;&gt;0,MAX(0,MIN(1,-W97/W96)),""),"")</f>
        <v>0.208041124967169</v>
      </c>
      <c r="X315" s="258">
        <f>IFERROR(IF(N(X96)&lt;&gt;0,MAX(0,MIN(1,-X97/X96)),""),"")</f>
        <v>0.223842476406582</v>
      </c>
      <c r="Y315" s="258">
        <f>IFERROR(IF(N(Y96)&lt;&gt;0,MAX(0,MIN(1,-Y97/Y96)),""),"")</f>
        <v>0.244410564666207</v>
      </c>
      <c r="Z315" s="258">
        <f>IFERROR(IF(N(Z96)&lt;&gt;0,MAX(0,MIN(1,-Z97/Z96)),""),"")</f>
        <v>0.234371034005852</v>
      </c>
      <c r="AA315" s="258">
        <f>IFERROR(IF(N(AA96)&lt;&gt;0,MAX(0,MIN(1,-AA97/AA96)),""),"")</f>
        <v>0.208698598699896</v>
      </c>
      <c r="AB315" s="258">
        <f>IFERROR(IF(N(AB96)&lt;&gt;0,MAX(0,MIN(1,-AB97/AB96)),""),"")</f>
        <v>0.2311454510041</v>
      </c>
      <c r="AC315" s="258">
        <f>IFERROR(IF(N(AC96)&lt;&gt;0,MAX(0,MIN(1,-AC97/AC96)),""),"")</f>
        <v>0.23270021074886</v>
      </c>
      <c r="AD315" s="258">
        <f>IFERROR(IF(N(AD96)&lt;&gt;0,MAX(0,MIN(1,-AD97/AD96)),""),"")</f>
        <v>0.231596515933866</v>
      </c>
      <c r="AE315" s="258">
        <f>IFERROR(IF(N(AE96)&lt;&gt;0,MAX(0,MIN(1,-AE97/AE96)),""),"")</f>
        <v>0.224827673067235</v>
      </c>
      <c r="AF315" s="258">
        <f>IFERROR(IF(N(AF96)&lt;&gt;0,MAX(0,MIN(1,-AF97/AF96)),""),"")</f>
        <v>0.0408557363477819</v>
      </c>
      <c r="AG315" s="258">
        <f>IFERROR(IF(N(AG96)&lt;&gt;0,MAX(0,MIN(1,-AG97/AG96)),""),"")</f>
        <v>0.204151345045351</v>
      </c>
      <c r="AH315" s="258">
        <f>IFERROR(IF(N(AH96)&lt;&gt;0,MAX(0,MIN(1,-AH97/AH96)),""),"")</f>
        <v>0.213720459183438</v>
      </c>
      <c r="AI315" s="258">
        <f>IFERROR(IF(N(AI96)&lt;&gt;0,MAX(0,MIN(1,-AI97/AI96)),""),"")</f>
        <v>0.213908561918659</v>
      </c>
      <c r="AJ315" s="258">
        <f>IFERROR(IF(N(AJ96)&lt;&gt;0,MAX(0,MIN(1,-AJ97/AJ96)),""),"")</f>
        <v>0.192934859533307</v>
      </c>
      <c r="AK315" s="258">
        <f>IFERROR(IF(N(AK96)&lt;&gt;0,MAX(0,MIN(1,-AK97/AK96)),""),"")</f>
        <v>0.192934859533307</v>
      </c>
      <c r="AL315" s="258">
        <f>IFERROR(IF(N(AL96)&lt;&gt;0,MAX(0,MIN(1,-AL97/AL96)),""),"")</f>
        <v>0.200777905734626</v>
      </c>
      <c r="AM315" s="258">
        <f>IFERROR(IF(N(AM96)&lt;&gt;0,MAX(0,MIN(1,-AM97/AM96)),""),"")</f>
        <v>0.192934859533307</v>
      </c>
      <c r="AN315" s="258">
        <f>IFERROR(IF(N(AN96)&lt;&gt;0,MAX(0,MIN(1,-AN97/AN96)),""),"")</f>
        <v>0.192934859533307</v>
      </c>
      <c r="AO315" s="258">
        <f>IFERROR(IF(N(AO96)&lt;&gt;0,MAX(0,MIN(1,-AO97/AO96)),""),"")</f>
        <v>0.192934859533307</v>
      </c>
      <c r="AP315" s="258">
        <f>IFERROR(IF(N(AP96)&lt;&gt;0,MAX(0,MIN(1,-AP97/AP96)),""),"")</f>
        <v>0.192934859533307</v>
      </c>
      <c r="AQ315" s="258">
        <f>IFERROR(IF(N(AQ96)&lt;&gt;0,MAX(0,MIN(1,-AQ97/AQ96)),""),"")</f>
        <v>0.192934859533307</v>
      </c>
      <c r="AR315" s="258">
        <f>IFERROR(IF(N(AR96)&lt;&gt;0,MAX(0,MIN(1,-AR97/AR96)),""),"")</f>
        <v>0.192934859533307</v>
      </c>
      <c r="AS315" s="258">
        <f>IFERROR(IF(N(AS96)&lt;&gt;0,MAX(0,MIN(1,-AS97/AS96)),""),"")</f>
        <v>0.192934859533307</v>
      </c>
      <c r="AT315" s="258">
        <f>IFERROR(IF(N(AT96)&lt;&gt;0,MAX(0,MIN(1,-AT97/AT96)),""),"")</f>
        <v>0.192934859533307</v>
      </c>
      <c r="AU315" s="258">
        <f>IFERROR(IF(N(AU96)&lt;&gt;0,MAX(0,MIN(1,-AU97/AU96)),""),"")</f>
        <v>0.192934859533307</v>
      </c>
      <c r="AV315" s="258">
        <f>IFERROR(IF(N(AV96)&lt;&gt;0,MAX(0,MIN(1,-AV97/AV96)),""),"")</f>
        <v>0.192934859533307</v>
      </c>
      <c r="AW315" s="258">
        <f>IFERROR(IF(N(AW96)&lt;&gt;0,MAX(0,MIN(1,-AW97/AW96)),""),"")</f>
        <v>0.192934859533307</v>
      </c>
      <c r="AX315" s="258">
        <f>IFERROR(IF(N(AX96)&lt;&gt;0,MAX(0,MIN(1,-AX97/AX96)),""),"")</f>
        <v>0.192934859533307</v>
      </c>
      <c r="AY315" s="258">
        <f>IFERROR(IF(N(AY96)&lt;&gt;0,MAX(0,MIN(1,-AY97/AY96)),""),"")</f>
        <v>0.192934859533307</v>
      </c>
      <c r="AZ315" s="258">
        <f>IFERROR(IF(N(AZ96)&lt;&gt;0,MAX(0,MIN(1,-AZ97/AZ96)),""),"")</f>
        <v>0.192934859533307</v>
      </c>
      <c r="BA315" s="258">
        <f>IFERROR(IF(N(BA96)&lt;&gt;0,MAX(0,MIN(1,-BA97/BA96)),""),"")</f>
        <v>0.192934859533307</v>
      </c>
      <c r="BB315" s="258">
        <f>IFERROR(IF(N(BB96)&lt;&gt;0,MAX(0,MIN(1,-BB97/BB96)),""),"")</f>
        <v>0.192934859533307</v>
      </c>
      <c r="BC315" s="258">
        <f>IFERROR(IF(N(BC96)&lt;&gt;0,MAX(0,MIN(1,-BC97/BC96)),""),"")</f>
        <v>0.192934859533307</v>
      </c>
      <c r="BD315" s="258">
        <f>IFERROR(IF(N(BD96)&lt;&gt;0,MAX(0,MIN(1,-BD97/BD96)),""),"")</f>
        <v>0.192934859533307</v>
      </c>
      <c r="BE315" s="258">
        <f>IFERROR(IF(N(BE96)&lt;&gt;0,MAX(0,MIN(1,-BE97/BE96)),""),"")</f>
        <v>0.192934859533307</v>
      </c>
      <c r="BF315" s="258">
        <f>IFERROR(IF(N(BF96)&lt;&gt;0,MAX(0,MIN(1,-BF97/BF96)),""),"")</f>
        <v>0.192934859533307</v>
      </c>
      <c r="BG315" s="88" t="n"/>
      <c r="BH315" s="88" t="n"/>
      <c r="BI315" s="88" t="n"/>
      <c r="BJ315" s="88" t="n"/>
      <c r="BL315" s="88" t="n"/>
      <c r="BM315" s="88" t="n"/>
      <c r="BN315" s="88" t="n"/>
      <c r="BO315" s="88" t="n"/>
      <c r="BQ315" s="88" t="n"/>
      <c r="BR315" s="88" t="n"/>
      <c r="BS315" s="88" t="n"/>
      <c r="BT315" s="88" t="n"/>
      <c r="BV315" s="88" t="n"/>
      <c r="BW315" s="88" t="n"/>
      <c r="BX315" s="88" t="n"/>
      <c r="BY315" s="88" t="n"/>
      <c r="CA315" s="88" t="n"/>
      <c r="CB315" s="88" t="n"/>
      <c r="CC315" s="88" t="n"/>
      <c r="CD315" s="88" t="n"/>
      <c r="CF315" s="88" t="n"/>
      <c r="CG315" s="88" t="n"/>
      <c r="CH315" s="88" t="n"/>
      <c r="CI315" s="88" t="n"/>
      <c r="CK315" s="88" t="n"/>
      <c r="CL315" s="88" t="n"/>
      <c r="CM315" s="88" t="n"/>
      <c r="CN315" s="88" t="n"/>
      <c r="CP315" s="88" t="n"/>
      <c r="CQ315" s="88" t="n"/>
      <c r="CR315" s="88" t="n"/>
      <c r="CS315" s="88" t="n"/>
      <c r="CU315" s="88" t="n"/>
      <c r="CV315" s="88" t="n"/>
      <c r="CW315" s="88" t="n"/>
      <c r="CX315" s="88" t="n"/>
    </row>
    <row r="316" customFormat="1" s="77">
      <c r="A316" s="76" t="n"/>
      <c r="B316" s="76" t="n"/>
      <c r="C316" s="77" t="inlineStr">
        <is>
          <t>INVESTED CAPITAL</t>
        </is>
      </c>
      <c r="D316" s="86">
        <f>IFERROR(D319-D320+D321,"")</f>
        <v>0</v>
      </c>
      <c r="E316" s="86">
        <f>IFERROR(E319-E320+E321,"")</f>
        <v>0</v>
      </c>
      <c r="F316" s="86">
        <f>IFERROR(F319-F320+F321,"")</f>
        <v>0</v>
      </c>
      <c r="G316" s="86">
        <f>IFERROR(G319-G320+G321,"")</f>
        <v>0</v>
      </c>
      <c r="H316" s="265">
        <f>IFERROR(H318+H321,0)</f>
        <v>0</v>
      </c>
      <c r="I316" s="265">
        <f>IFERROR(I318+I321,0)</f>
        <v>3787.980073194</v>
      </c>
      <c r="J316" s="265">
        <f>IFERROR(J318+J321,0)</f>
        <v>4002.322000238</v>
      </c>
      <c r="K316" s="265">
        <f>IFERROR(K318+K321,0)</f>
        <v>4137.951089015</v>
      </c>
      <c r="L316" s="265">
        <f>IFERROR(L318+L321,0)</f>
        <v>4444.551512835</v>
      </c>
      <c r="M316" s="265">
        <f>IFERROR(M318+M321,0)</f>
        <v>4444.551512835</v>
      </c>
      <c r="N316" s="265">
        <f>IFERROR(N318+N321,0)</f>
        <v>4540.774320324</v>
      </c>
      <c r="O316" s="265">
        <f>IFERROR(O318+O321,0)</f>
        <v>5315.167341117</v>
      </c>
      <c r="P316" s="265">
        <f>IFERROR(P318+P321,0)</f>
        <v>5320.21336696</v>
      </c>
      <c r="Q316" s="265">
        <f>IFERROR(Q318+Q321,0)</f>
        <v>5618.211123891</v>
      </c>
      <c r="R316" s="265">
        <f>IFERROR(R318+R321,0)</f>
        <v>5618.211123891</v>
      </c>
      <c r="S316" s="265">
        <f>IFERROR(S318+S321,0)</f>
        <v>5735.28879949</v>
      </c>
      <c r="T316" s="265">
        <f>IFERROR(T318+T321,0)</f>
        <v>9257.987</v>
      </c>
      <c r="U316" s="265">
        <f>IFERROR(U318+U321,0)</f>
        <v>9092.101</v>
      </c>
      <c r="V316" s="265">
        <f>IFERROR(V318+V321,0)</f>
        <v>9191.191</v>
      </c>
      <c r="W316" s="265">
        <f>IFERROR(W318+W321,0)</f>
        <v>9191.191</v>
      </c>
      <c r="X316" s="265">
        <f>IFERROR(X318+X321,0)</f>
        <v>9316.46341873</v>
      </c>
      <c r="Y316" s="265">
        <f>IFERROR(Y318+Y321,0)</f>
        <v>9245.708</v>
      </c>
      <c r="Z316" s="265">
        <f>IFERROR(Z318+Z321,0)</f>
        <v>9084.938</v>
      </c>
      <c r="AA316" s="265">
        <f>IFERROR(AA318+AA321,0)</f>
        <v>9154.701</v>
      </c>
      <c r="AB316" s="265">
        <f>IFERROR(AB318+AB321,0)</f>
        <v>9154.701</v>
      </c>
      <c r="AC316" s="265">
        <f>IFERROR(AC318+AC321,0)</f>
        <v>9105.45119681</v>
      </c>
      <c r="AD316" s="265">
        <f>IFERROR(AD318+AD321,0)</f>
        <v>9315.264</v>
      </c>
      <c r="AE316" s="265">
        <f>IFERROR(AE318+AE321,0)</f>
        <v>9202.891</v>
      </c>
      <c r="AF316" s="265">
        <f>IFERROR(AF318+AF321,0)</f>
        <v>8965.836</v>
      </c>
      <c r="AG316" s="265">
        <f>IFERROR(AG318+AG321,0)</f>
        <v>8965.836</v>
      </c>
      <c r="AH316" s="265">
        <f>IFERROR(AH318+AH321,0)</f>
        <v>9222.899</v>
      </c>
      <c r="AI316" s="265">
        <f>IFERROR(AI318+AI321,0)</f>
        <v>9659.976</v>
      </c>
      <c r="AJ316" s="265">
        <f>IFERROR(AJ318+AJ321,0)</f>
        <v>9671.69386773145</v>
      </c>
      <c r="AK316" s="265">
        <f>IFERROR(AK318+AK321,0)</f>
        <v>9535.35860128284</v>
      </c>
      <c r="AL316" s="265">
        <f>IFERROR(AL318+AL321,0)</f>
        <v>9535.35860128284</v>
      </c>
      <c r="AM316" s="265">
        <f>IFERROR(AM318+AM321,0)</f>
        <v>9623.44440616411</v>
      </c>
      <c r="AN316" s="265">
        <f>IFERROR(AN318+AN321,0)</f>
        <v>9610.94159241048</v>
      </c>
      <c r="AO316" s="265">
        <f>IFERROR(AO318+AO321,0)</f>
        <v>9583.08872480122</v>
      </c>
      <c r="AP316" s="265">
        <f>IFERROR(AP318+AP321,0)</f>
        <v>9415.71584433863</v>
      </c>
      <c r="AQ316" s="265">
        <f>IFERROR(AQ318+AQ321,0)</f>
        <v>9415.71584433863</v>
      </c>
      <c r="AR316" s="265">
        <f>IFERROR(AR318+AR321,0)</f>
        <v>9470.8267699828</v>
      </c>
      <c r="AS316" s="265">
        <f>IFERROR(AS318+AS321,0)</f>
        <v>9458.59347162145</v>
      </c>
      <c r="AT316" s="265">
        <f>IFERROR(AT318+AT321,0)</f>
        <v>9410.280047675</v>
      </c>
      <c r="AU316" s="265">
        <f>IFERROR(AU318+AU321,0)</f>
        <v>9208.76821848634</v>
      </c>
      <c r="AV316" s="265">
        <f>IFERROR(AV318+AV321,0)</f>
        <v>9208.76821848634</v>
      </c>
      <c r="AW316" s="265">
        <f>IFERROR(AW318+AW321,0)</f>
        <v>9261.24873844815</v>
      </c>
      <c r="AX316" s="265">
        <f>IFERROR(AX318+AX321,0)</f>
        <v>9207.56295929458</v>
      </c>
      <c r="AY316" s="265">
        <f>IFERROR(AY318+AY321,0)</f>
        <v>9133.22492997796</v>
      </c>
      <c r="AZ316" s="265">
        <f>IFERROR(AZ318+AZ321,0)</f>
        <v>8891.4391188079</v>
      </c>
      <c r="BA316" s="265">
        <f>IFERROR(BA318+BA321,0)</f>
        <v>8891.4391188079</v>
      </c>
      <c r="BB316" s="265">
        <f>IFERROR(BB318+BB321,0)</f>
        <v>8916.50367394773</v>
      </c>
      <c r="BC316" s="265">
        <f>IFERROR(BC318+BC321,0)</f>
        <v>8833.92426440656</v>
      </c>
      <c r="BD316" s="265">
        <f>IFERROR(BD318+BD321,0)</f>
        <v>8727.72087271761</v>
      </c>
      <c r="BE316" s="265">
        <f>IFERROR(BE318+BE321,0)</f>
        <v>8439.4068482759</v>
      </c>
      <c r="BF316" s="265">
        <f>IFERROR(BF318+BF321,0)</f>
        <v>8439.4068482759</v>
      </c>
      <c r="BG316" s="63" t="n"/>
      <c r="BH316" s="63" t="n"/>
      <c r="BI316" s="63" t="n"/>
      <c r="BJ316" s="63" t="n"/>
      <c r="BL316" s="63" t="n"/>
      <c r="BM316" s="63" t="n"/>
      <c r="BN316" s="63" t="n"/>
      <c r="BO316" s="63" t="n"/>
      <c r="BQ316" s="63" t="n"/>
      <c r="BR316" s="63" t="n"/>
      <c r="BS316" s="63" t="n"/>
      <c r="BT316" s="63" t="n"/>
      <c r="BV316" s="63" t="n"/>
      <c r="BW316" s="63" t="n"/>
      <c r="BX316" s="63" t="n"/>
      <c r="BY316" s="63" t="n"/>
      <c r="CA316" s="63" t="n"/>
      <c r="CB316" s="63" t="n"/>
      <c r="CC316" s="63" t="n"/>
      <c r="CD316" s="63" t="n"/>
      <c r="CF316" s="63" t="n"/>
      <c r="CG316" s="63" t="n"/>
      <c r="CH316" s="63" t="n"/>
      <c r="CI316" s="63" t="n"/>
      <c r="CK316" s="63" t="n"/>
      <c r="CL316" s="63" t="n"/>
      <c r="CM316" s="63" t="n"/>
      <c r="CN316" s="63" t="n"/>
      <c r="CP316" s="63" t="n"/>
      <c r="CQ316" s="63" t="n"/>
      <c r="CR316" s="63" t="n"/>
      <c r="CS316" s="63" t="n"/>
      <c r="CU316" s="63" t="n"/>
      <c r="CV316" s="63" t="n"/>
      <c r="CW316" s="63" t="n"/>
      <c r="CX316" s="63" t="n"/>
    </row>
    <row r="317" customFormat="1" s="77">
      <c r="A317" s="76" t="n"/>
      <c r="B317" s="76" t="n"/>
      <c r="C317" s="77" t="inlineStr">
        <is>
          <t>INVESTED CAPITAL - EX GOODWILL</t>
        </is>
      </c>
      <c r="D317" s="89">
        <f>IFERROR(D316-D145,"")</f>
        <v>0</v>
      </c>
      <c r="E317" s="89">
        <f>IFERROR(E316-E145,"")</f>
        <v>0</v>
      </c>
      <c r="F317" s="89">
        <f>IFERROR(F316-F145,"")</f>
        <v>0</v>
      </c>
      <c r="G317" s="89">
        <f>IFERROR(G316-G145,"")</f>
        <v>0</v>
      </c>
      <c r="H317" s="265">
        <f>IFERROR(H316-N(H145),0)</f>
        <v>0</v>
      </c>
      <c r="I317" s="265">
        <f>IFERROR(I316-N(I145),0)</f>
        <v>3787.980073194</v>
      </c>
      <c r="J317" s="265">
        <f>IFERROR(J316-N(J145),0)</f>
        <v>4002.322000238</v>
      </c>
      <c r="K317" s="265">
        <f>IFERROR(K316-N(K145),0)</f>
        <v>4137.951089015</v>
      </c>
      <c r="L317" s="265">
        <f>IFERROR(L316-N(L145),0)</f>
        <v>4444.551512835</v>
      </c>
      <c r="M317" s="265">
        <f>IFERROR(M316-N(M145),0)</f>
        <v>4444.551512835</v>
      </c>
      <c r="N317" s="265">
        <f>IFERROR(N316-N(N145),0)</f>
        <v>4540.774320324</v>
      </c>
      <c r="O317" s="265">
        <f>IFERROR(O316-N(O145),0)</f>
        <v>5315.167341117</v>
      </c>
      <c r="P317" s="265">
        <f>IFERROR(P316-N(P145),0)</f>
        <v>5320.21336696</v>
      </c>
      <c r="Q317" s="265">
        <f>IFERROR(Q316-N(Q145),0)</f>
        <v>5618.211123891</v>
      </c>
      <c r="R317" s="265">
        <f>IFERROR(R316-N(R145),0)</f>
        <v>5618.211123891</v>
      </c>
      <c r="S317" s="265">
        <f>IFERROR(S316-N(S145),0)</f>
        <v>5735.28879949</v>
      </c>
      <c r="T317" s="265">
        <f>IFERROR(T316-N(T145),0)</f>
        <v>9257.987</v>
      </c>
      <c r="U317" s="265">
        <f>IFERROR(U316-N(U145),0)</f>
        <v>9092.101</v>
      </c>
      <c r="V317" s="265">
        <f>IFERROR(V316-N(V145),0)</f>
        <v>9191.191</v>
      </c>
      <c r="W317" s="265">
        <f>IFERROR(W316-N(W145),0)</f>
        <v>9191.191</v>
      </c>
      <c r="X317" s="265">
        <f>IFERROR(X316-N(X145),0)</f>
        <v>9316.46341873</v>
      </c>
      <c r="Y317" s="265">
        <f>IFERROR(Y316-N(Y145),0)</f>
        <v>9245.708</v>
      </c>
      <c r="Z317" s="265">
        <f>IFERROR(Z316-N(Z145),0)</f>
        <v>9084.938</v>
      </c>
      <c r="AA317" s="265">
        <f>IFERROR(AA316-N(AA145),0)</f>
        <v>9154.701</v>
      </c>
      <c r="AB317" s="265">
        <f>IFERROR(AB316-N(AB145),0)</f>
        <v>9154.701</v>
      </c>
      <c r="AC317" s="265">
        <f>IFERROR(AC316-N(AC145),0)</f>
        <v>9105.45119681</v>
      </c>
      <c r="AD317" s="265">
        <f>IFERROR(AD316-N(AD145),0)</f>
        <v>9315.264</v>
      </c>
      <c r="AE317" s="265">
        <f>IFERROR(AE316-N(AE145),0)</f>
        <v>9202.891</v>
      </c>
      <c r="AF317" s="265">
        <f>IFERROR(AF316-N(AF145),0)</f>
        <v>8965.836</v>
      </c>
      <c r="AG317" s="265">
        <f>IFERROR(AG316-N(AG145),0)</f>
        <v>8965.836</v>
      </c>
      <c r="AH317" s="265">
        <f>IFERROR(AH316-N(AH145),0)</f>
        <v>9222.899</v>
      </c>
      <c r="AI317" s="265">
        <f>IFERROR(AI316-N(AI145),0)</f>
        <v>9659.976</v>
      </c>
      <c r="AJ317" s="265">
        <f>IFERROR(AJ316-N(AJ145),0)</f>
        <v>9671.69386773145</v>
      </c>
      <c r="AK317" s="265">
        <f>IFERROR(AK316-N(AK145),0)</f>
        <v>9535.35860128284</v>
      </c>
      <c r="AL317" s="265">
        <f>IFERROR(AL316-N(AL145),0)</f>
        <v>9535.35860128284</v>
      </c>
      <c r="AM317" s="265">
        <f>IFERROR(AM316-N(AM145),0)</f>
        <v>9623.44440616411</v>
      </c>
      <c r="AN317" s="265">
        <f>IFERROR(AN316-N(AN145),0)</f>
        <v>9610.94159241048</v>
      </c>
      <c r="AO317" s="265">
        <f>IFERROR(AO316-N(AO145),0)</f>
        <v>9583.08872480122</v>
      </c>
      <c r="AP317" s="265">
        <f>IFERROR(AP316-N(AP145),0)</f>
        <v>9415.71584433863</v>
      </c>
      <c r="AQ317" s="265">
        <f>IFERROR(AQ316-N(AQ145),0)</f>
        <v>9415.71584433863</v>
      </c>
      <c r="AR317" s="265">
        <f>IFERROR(AR316-N(AR145),0)</f>
        <v>9470.8267699828</v>
      </c>
      <c r="AS317" s="265">
        <f>IFERROR(AS316-N(AS145),0)</f>
        <v>9458.59347162145</v>
      </c>
      <c r="AT317" s="265">
        <f>IFERROR(AT316-N(AT145),0)</f>
        <v>9410.280047675</v>
      </c>
      <c r="AU317" s="265">
        <f>IFERROR(AU316-N(AU145),0)</f>
        <v>9208.76821848634</v>
      </c>
      <c r="AV317" s="265">
        <f>IFERROR(AV316-N(AV145),0)</f>
        <v>9208.76821848634</v>
      </c>
      <c r="AW317" s="265">
        <f>IFERROR(AW316-N(AW145),0)</f>
        <v>9261.24873844815</v>
      </c>
      <c r="AX317" s="265">
        <f>IFERROR(AX316-N(AX145),0)</f>
        <v>9207.56295929458</v>
      </c>
      <c r="AY317" s="265">
        <f>IFERROR(AY316-N(AY145),0)</f>
        <v>9133.22492997796</v>
      </c>
      <c r="AZ317" s="265">
        <f>IFERROR(AZ316-N(AZ145),0)</f>
        <v>8891.4391188079</v>
      </c>
      <c r="BA317" s="265">
        <f>IFERROR(BA316-N(BA145),0)</f>
        <v>8891.4391188079</v>
      </c>
      <c r="BB317" s="265">
        <f>IFERROR(BB316-N(BB145),0)</f>
        <v>8916.50367394773</v>
      </c>
      <c r="BC317" s="265">
        <f>IFERROR(BC316-N(BC145),0)</f>
        <v>8833.92426440656</v>
      </c>
      <c r="BD317" s="265">
        <f>IFERROR(BD316-N(BD145),0)</f>
        <v>8727.72087271761</v>
      </c>
      <c r="BE317" s="265">
        <f>IFERROR(BE316-N(BE145),0)</f>
        <v>8439.4068482759</v>
      </c>
      <c r="BF317" s="265">
        <f>IFERROR(BF316-N(BF145),0)</f>
        <v>8439.4068482759</v>
      </c>
      <c r="BG317" s="90" t="n"/>
      <c r="BH317" s="90" t="n"/>
      <c r="BI317" s="90" t="n"/>
      <c r="BJ317" s="90" t="n"/>
      <c r="BL317" s="90" t="n"/>
      <c r="BM317" s="90" t="n"/>
      <c r="BN317" s="90" t="n"/>
      <c r="BO317" s="90" t="n"/>
      <c r="BQ317" s="90" t="n"/>
      <c r="BR317" s="90" t="n"/>
      <c r="BS317" s="90" t="n"/>
      <c r="BT317" s="90" t="n"/>
      <c r="BV317" s="90" t="n"/>
      <c r="BW317" s="90" t="n"/>
      <c r="BX317" s="90" t="n"/>
      <c r="BY317" s="90" t="n"/>
      <c r="CA317" s="90" t="n"/>
      <c r="CB317" s="90" t="n"/>
      <c r="CC317" s="90" t="n"/>
      <c r="CD317" s="90" t="n"/>
      <c r="CF317" s="90" t="n"/>
      <c r="CG317" s="90" t="n"/>
      <c r="CH317" s="90" t="n"/>
      <c r="CI317" s="90" t="n"/>
      <c r="CK317" s="90" t="n"/>
      <c r="CL317" s="90" t="n"/>
      <c r="CM317" s="90" t="n"/>
      <c r="CN317" s="90" t="n"/>
      <c r="CP317" s="90" t="n"/>
      <c r="CQ317" s="90" t="n"/>
      <c r="CR317" s="90" t="n"/>
      <c r="CS317" s="90" t="n"/>
      <c r="CU317" s="90" t="n"/>
      <c r="CV317" s="90" t="n"/>
      <c r="CW317" s="90" t="n"/>
      <c r="CX317" s="90" t="n"/>
    </row>
    <row r="318" customFormat="1" s="77">
      <c r="A318" s="76" t="n"/>
      <c r="B318" s="76" t="n"/>
      <c r="C318" s="77" t="inlineStr">
        <is>
          <t>OPERATING WORKING CAPITAL</t>
        </is>
      </c>
      <c r="D318" s="91">
        <f>IFERROR(D319-D320,"")</f>
        <v>0</v>
      </c>
      <c r="E318" s="91">
        <f>IFERROR(E319-E320,"")</f>
        <v>0</v>
      </c>
      <c r="F318" s="91">
        <f>IFERROR(F319-F320,"")</f>
        <v>0</v>
      </c>
      <c r="G318" s="91">
        <f>IFERROR(G319-G320,"")</f>
        <v>0</v>
      </c>
      <c r="H318" s="265">
        <f>IFERROR(H319-H320,0)</f>
        <v>0</v>
      </c>
      <c r="I318" s="265">
        <f>IFERROR(I319-I320,0)</f>
        <v>368.83703476</v>
      </c>
      <c r="J318" s="265">
        <f>IFERROR(J319-J320,0)</f>
        <v>427.88254741</v>
      </c>
      <c r="K318" s="265">
        <f>IFERROR(K319-K320,0)</f>
        <v>438.55894847</v>
      </c>
      <c r="L318" s="265">
        <f>IFERROR(L319-L320,0)</f>
        <v>298.071090173</v>
      </c>
      <c r="M318" s="265">
        <f>IFERROR(M319-M320,0)</f>
        <v>298.071090173</v>
      </c>
      <c r="N318" s="265">
        <f>IFERROR(N319-N320,0)</f>
        <v>332.74059322</v>
      </c>
      <c r="O318" s="265">
        <f>IFERROR(O319-O320,0)</f>
        <v>648.6105387</v>
      </c>
      <c r="P318" s="265">
        <f>IFERROR(P319-P320,0)</f>
        <v>622.46431767</v>
      </c>
      <c r="Q318" s="265">
        <f>IFERROR(Q319-Q320,0)</f>
        <v>472.56017093</v>
      </c>
      <c r="R318" s="265">
        <f>IFERROR(R319-R320,0)</f>
        <v>472.56017093</v>
      </c>
      <c r="S318" s="265">
        <f>IFERROR(S319-S320,0)</f>
        <v>611.40722978</v>
      </c>
      <c r="T318" s="265">
        <f>IFERROR(T319-T320,0)</f>
        <v>853.581</v>
      </c>
      <c r="U318" s="265">
        <f>IFERROR(U319-U320,0)</f>
        <v>745.91</v>
      </c>
      <c r="V318" s="265">
        <f>IFERROR(V319-V320,0)</f>
        <v>838.423</v>
      </c>
      <c r="W318" s="265">
        <f>IFERROR(W319-W320,0)</f>
        <v>838.423</v>
      </c>
      <c r="X318" s="265">
        <f>IFERROR(X319-X320,0)</f>
        <v>1052.67</v>
      </c>
      <c r="Y318" s="265">
        <f>IFERROR(Y319-Y320,0)</f>
        <v>1035.919</v>
      </c>
      <c r="Z318" s="265">
        <f>IFERROR(Z319-Z320,0)</f>
        <v>865.831</v>
      </c>
      <c r="AA318" s="265">
        <f>IFERROR(AA319-AA320,0)</f>
        <v>851.9</v>
      </c>
      <c r="AB318" s="265">
        <f>IFERROR(AB319-AB320,0)</f>
        <v>851.9</v>
      </c>
      <c r="AC318" s="265">
        <f>IFERROR(AC319-AC320,0)</f>
        <v>878.512784</v>
      </c>
      <c r="AD318" s="265">
        <f>IFERROR(AD319-AD320,0)</f>
        <v>1144.543</v>
      </c>
      <c r="AE318" s="265">
        <f>IFERROR(AE319-AE320,0)</f>
        <v>899.883</v>
      </c>
      <c r="AF318" s="265">
        <f>IFERROR(AF319-AF320,0)</f>
        <v>654.626</v>
      </c>
      <c r="AG318" s="265">
        <f>IFERROR(AG319-AG320,0)</f>
        <v>654.626</v>
      </c>
      <c r="AH318" s="265">
        <f>IFERROR(AH319-AH320,0)</f>
        <v>1024.381</v>
      </c>
      <c r="AI318" s="265">
        <f>IFERROR(AI319-AI320,0)</f>
        <v>1198.321</v>
      </c>
      <c r="AJ318" s="265">
        <f>IFERROR(AJ319-AJ320,0)</f>
        <v>1205.27327246352</v>
      </c>
      <c r="AK318" s="265">
        <f>IFERROR(AK319-AK320,0)</f>
        <v>1064.45600843819</v>
      </c>
      <c r="AL318" s="265">
        <f>IFERROR(AL319-AL320,0)</f>
        <v>1064.45600843819</v>
      </c>
      <c r="AM318" s="265">
        <f>IFERROR(AM319-AM320,0)</f>
        <v>1147.706313359</v>
      </c>
      <c r="AN318" s="265">
        <f>IFERROR(AN319-AN320,0)</f>
        <v>1130.16454998388</v>
      </c>
      <c r="AO318" s="265">
        <f>IFERROR(AO319-AO320,0)</f>
        <v>1097.09680246267</v>
      </c>
      <c r="AP318" s="265">
        <f>IFERROR(AP319-AP320,0)</f>
        <v>924.819376436683</v>
      </c>
      <c r="AQ318" s="265">
        <f>IFERROR(AQ319-AQ320,0)</f>
        <v>924.819376436683</v>
      </c>
      <c r="AR318" s="265">
        <f>IFERROR(AR319-AR320,0)</f>
        <v>974.663104591746</v>
      </c>
      <c r="AS318" s="265">
        <f>IFERROR(AS319-AS320,0)</f>
        <v>956.940995763806</v>
      </c>
      <c r="AT318" s="265">
        <f>IFERROR(AT319-AT320,0)</f>
        <v>902.947124582758</v>
      </c>
      <c r="AU318" s="265">
        <f>IFERROR(AU319-AU320,0)</f>
        <v>696.092888137767</v>
      </c>
      <c r="AV318" s="265">
        <f>IFERROR(AV319-AV320,0)</f>
        <v>696.092888137767</v>
      </c>
      <c r="AW318" s="265">
        <f>IFERROR(AW319-AW320,0)</f>
        <v>742.862308534086</v>
      </c>
      <c r="AX318" s="265">
        <f>IFERROR(AX319-AX320,0)</f>
        <v>683.225140024886</v>
      </c>
      <c r="AY318" s="265">
        <f>IFERROR(AY319-AY320,0)</f>
        <v>602.727934068251</v>
      </c>
      <c r="AZ318" s="265">
        <f>IFERROR(AZ319-AZ320,0)</f>
        <v>355.149475133725</v>
      </c>
      <c r="BA318" s="265">
        <f>IFERROR(BA319-BA320,0)</f>
        <v>355.149475133725</v>
      </c>
      <c r="BB318" s="265">
        <f>IFERROR(BB319-BB320,0)</f>
        <v>374.050173522875</v>
      </c>
      <c r="BC318" s="265">
        <f>IFERROR(BC319-BC320,0)</f>
        <v>285.047568056819</v>
      </c>
      <c r="BD318" s="265">
        <f>IFERROR(BD319-BD320,0)</f>
        <v>172.196720466274</v>
      </c>
      <c r="BE318" s="265">
        <f>IFERROR(BE319-BE320,0)</f>
        <v>-122.369173798029</v>
      </c>
      <c r="BF318" s="265">
        <f>IFERROR(BF319-BF320,0)</f>
        <v>-122.369173798029</v>
      </c>
      <c r="BG318" s="63" t="n"/>
      <c r="BH318" s="63" t="n"/>
      <c r="BI318" s="63" t="n"/>
      <c r="BJ318" s="63" t="n"/>
      <c r="BL318" s="63" t="n"/>
      <c r="BM318" s="63" t="n"/>
      <c r="BN318" s="63" t="n"/>
      <c r="BO318" s="63" t="n"/>
      <c r="BQ318" s="63" t="n"/>
      <c r="BR318" s="63" t="n"/>
      <c r="BS318" s="63" t="n"/>
      <c r="BT318" s="63" t="n"/>
      <c r="BV318" s="63" t="n"/>
      <c r="BW318" s="63" t="n"/>
      <c r="BX318" s="63" t="n"/>
      <c r="BY318" s="63" t="n"/>
      <c r="CA318" s="63" t="n"/>
      <c r="CB318" s="63" t="n"/>
      <c r="CC318" s="63" t="n"/>
      <c r="CD318" s="63" t="n"/>
      <c r="CF318" s="63" t="n"/>
      <c r="CG318" s="63" t="n"/>
      <c r="CH318" s="63" t="n"/>
      <c r="CI318" s="63" t="n"/>
      <c r="CK318" s="63" t="n"/>
      <c r="CL318" s="63" t="n"/>
      <c r="CM318" s="63" t="n"/>
      <c r="CN318" s="63" t="n"/>
      <c r="CP318" s="63" t="n"/>
      <c r="CQ318" s="63" t="n"/>
      <c r="CR318" s="63" t="n"/>
      <c r="CS318" s="63" t="n"/>
      <c r="CU318" s="63" t="n"/>
      <c r="CV318" s="63" t="n"/>
      <c r="CW318" s="63" t="n"/>
      <c r="CX318" s="63" t="n"/>
    </row>
    <row r="319" customFormat="1" s="77">
      <c r="A319" s="76" t="n"/>
      <c r="B319" s="76" t="n"/>
      <c r="C319" s="77" t="inlineStr">
        <is>
          <t>CURRENT ASSETS (OPERATING, EX CASH)</t>
        </is>
      </c>
      <c r="D319" s="89">
        <f>IFERROR(D111+D115+D119+D120+D121,"")</f>
        <v>0</v>
      </c>
      <c r="E319" s="89">
        <f>IFERROR(E111+E115+E119+E120+E121,"")</f>
        <v>0</v>
      </c>
      <c r="F319" s="89">
        <f>IFERROR(F111+F115+F119+F120+F121,"")</f>
        <v>0</v>
      </c>
      <c r="G319" s="89">
        <f>IFERROR(G111+G115+G119+G120+G121,"")</f>
        <v>0</v>
      </c>
      <c r="H319" s="265">
        <f>IFERROR((N(H111)+N(H115)+N(H119)+N(H120)+N(H121)),0)</f>
        <v>0</v>
      </c>
      <c r="I319" s="265">
        <f>IFERROR((N(I111)+N(I115)+N(I119)+N(I120)+N(I121)),0)</f>
        <v>962.18618155</v>
      </c>
      <c r="J319" s="265">
        <f>IFERROR((N(J111)+N(J115)+N(J119)+N(J120)+N(J121)),0)</f>
        <v>970.83438191</v>
      </c>
      <c r="K319" s="265">
        <f>IFERROR((N(K111)+N(K115)+N(K119)+N(K120)+N(K121)),0)</f>
        <v>1146.91508449</v>
      </c>
      <c r="L319" s="265">
        <f>IFERROR((N(L111)+N(L115)+N(L119)+N(L120)+N(L121)),0)</f>
        <v>970.571548633</v>
      </c>
      <c r="M319" s="265">
        <f>IFERROR((N(M111)+N(M115)+N(M119)+N(M120)+N(M121)),0)</f>
        <v>970.571548633</v>
      </c>
      <c r="N319" s="265">
        <f>IFERROR((N(N111)+N(N115)+N(N119)+N(N120)+N(N121)),0)</f>
        <v>1132.92106654</v>
      </c>
      <c r="O319" s="265">
        <f>IFERROR((N(O111)+N(O115)+N(O119)+N(O120)+N(O121)),0)</f>
        <v>1303.1286588</v>
      </c>
      <c r="P319" s="265">
        <f>IFERROR((N(P111)+N(P115)+N(P119)+N(P120)+N(P121)),0)</f>
        <v>1351.18575583</v>
      </c>
      <c r="Q319" s="265">
        <f>IFERROR((N(Q111)+N(Q115)+N(Q119)+N(Q120)+N(Q121)),0)</f>
        <v>1130.53817665</v>
      </c>
      <c r="R319" s="265">
        <f>IFERROR((N(R111)+N(R115)+N(R119)+N(R120)+N(R121)),0)</f>
        <v>1130.53817665</v>
      </c>
      <c r="S319" s="265">
        <f>IFERROR((N(S111)+N(S115)+N(S119)+N(S120)+N(S121)),0)</f>
        <v>1247.44707474</v>
      </c>
      <c r="T319" s="265">
        <f>IFERROR((N(T111)+N(T115)+N(T119)+N(T120)+N(T121)),0)</f>
        <v>1882.834</v>
      </c>
      <c r="U319" s="265">
        <f>IFERROR((N(U111)+N(U115)+N(U119)+N(U120)+N(U121)),0)</f>
        <v>1891.616</v>
      </c>
      <c r="V319" s="265">
        <f>IFERROR((N(V111)+N(V115)+N(V119)+N(V120)+N(V121)),0)</f>
        <v>1913.78</v>
      </c>
      <c r="W319" s="265">
        <f>IFERROR((N(W111)+N(W115)+N(W119)+N(W120)+N(W121)),0)</f>
        <v>1913.78</v>
      </c>
      <c r="X319" s="265">
        <f>IFERROR((N(X111)+N(X115)+N(X119)+N(X120)+N(X121)),0)</f>
        <v>2147.716</v>
      </c>
      <c r="Y319" s="265">
        <f>IFERROR((N(Y111)+N(Y115)+N(Y119)+N(Y120)+N(Y121)),0)</f>
        <v>2200.953</v>
      </c>
      <c r="Z319" s="265">
        <f>IFERROR((N(Z111)+N(Z115)+N(Z119)+N(Z120)+N(Z121)),0)</f>
        <v>2194.389</v>
      </c>
      <c r="AA319" s="265">
        <f>IFERROR((N(AA111)+N(AA115)+N(AA119)+N(AA120)+N(AA121)),0)</f>
        <v>2054.529</v>
      </c>
      <c r="AB319" s="265">
        <f>IFERROR((N(AB111)+N(AB115)+N(AB119)+N(AB120)+N(AB121)),0)</f>
        <v>2054.529</v>
      </c>
      <c r="AC319" s="265">
        <f>IFERROR((N(AC111)+N(AC115)+N(AC119)+N(AC120)+N(AC121)),0)</f>
        <v>2224.54969</v>
      </c>
      <c r="AD319" s="265">
        <f>IFERROR((N(AD111)+N(AD115)+N(AD119)+N(AD120)+N(AD121)),0)</f>
        <v>2295.057</v>
      </c>
      <c r="AE319" s="265">
        <f>IFERROR((N(AE111)+N(AE115)+N(AE119)+N(AE120)+N(AE121)),0)</f>
        <v>2363.468</v>
      </c>
      <c r="AF319" s="265">
        <f>IFERROR((N(AF111)+N(AF115)+N(AF119)+N(AF120)+N(AF121)),0)</f>
        <v>2270.132</v>
      </c>
      <c r="AG319" s="265">
        <f>IFERROR((N(AG111)+N(AG115)+N(AG119)+N(AG120)+N(AG121)),0)</f>
        <v>2270.132</v>
      </c>
      <c r="AH319" s="265">
        <f>IFERROR((N(AH111)+N(AH115)+N(AH119)+N(AH120)+N(AH121)),0)</f>
        <v>2508.563</v>
      </c>
      <c r="AI319" s="265">
        <f>IFERROR((N(AI111)+N(AI115)+N(AI119)+N(AI120)+N(AI121)),0)</f>
        <v>2650.07</v>
      </c>
      <c r="AJ319" s="265">
        <f>IFERROR((N(AJ111)+N(AJ115)+N(AJ119)+N(AJ120)+N(AJ121)),0)</f>
        <v>2682.03763046394</v>
      </c>
      <c r="AK319" s="265">
        <f>IFERROR((N(AK111)+N(AK115)+N(AK119)+N(AK120)+N(AK121)),0)</f>
        <v>2546.16026741721</v>
      </c>
      <c r="AL319" s="265">
        <f>IFERROR((N(AL111)+N(AL115)+N(AL119)+N(AL120)+N(AL121)),0)</f>
        <v>2546.16026741721</v>
      </c>
      <c r="AM319" s="265">
        <f>IFERROR((N(AM111)+N(AM115)+N(AM119)+N(AM120)+N(AM121)),0)</f>
        <v>2767.01449538936</v>
      </c>
      <c r="AN319" s="265">
        <f>IFERROR((N(AN111)+N(AN115)+N(AN119)+N(AN120)+N(AN121)),0)</f>
        <v>2839.53755812895</v>
      </c>
      <c r="AO319" s="265">
        <f>IFERROR((N(AO111)+N(AO115)+N(AO119)+N(AO120)+N(AO121)),0)</f>
        <v>2897.29894809538</v>
      </c>
      <c r="AP319" s="265">
        <f>IFERROR((N(AP111)+N(AP115)+N(AP119)+N(AP120)+N(AP121)),0)</f>
        <v>2748.61151426952</v>
      </c>
      <c r="AQ319" s="265">
        <f>IFERROR((N(AQ111)+N(AQ115)+N(AQ119)+N(AQ120)+N(AQ121)),0)</f>
        <v>2748.61151426952</v>
      </c>
      <c r="AR319" s="265">
        <f>IFERROR((N(AR111)+N(AR115)+N(AR119)+N(AR120)+N(AR121)),0)</f>
        <v>2950.09744431996</v>
      </c>
      <c r="AS319" s="265">
        <f>IFERROR((N(AS111)+N(AS115)+N(AS119)+N(AS120)+N(AS121)),0)</f>
        <v>3057.44348800725</v>
      </c>
      <c r="AT319" s="265">
        <f>IFERROR((N(AT111)+N(AT115)+N(AT119)+N(AT120)+N(AT121)),0)</f>
        <v>3120.36162484665</v>
      </c>
      <c r="AU319" s="265">
        <f>IFERROR((N(AU111)+N(AU115)+N(AU119)+N(AU120)+N(AU121)),0)</f>
        <v>2958.39986608026</v>
      </c>
      <c r="AV319" s="265">
        <f>IFERROR((N(AV111)+N(AV115)+N(AV119)+N(AV120)+N(AV121)),0)</f>
        <v>2958.39986608026</v>
      </c>
      <c r="AW319" s="265">
        <f>IFERROR((N(AW111)+N(AW115)+N(AW119)+N(AW120)+N(AW121)),0)</f>
        <v>3195.85450195065</v>
      </c>
      <c r="AX319" s="265">
        <f>IFERROR((N(AX111)+N(AX115)+N(AX119)+N(AX120)+N(AX121)),0)</f>
        <v>3281.50984999883</v>
      </c>
      <c r="AY319" s="265">
        <f>IFERROR((N(AY111)+N(AY115)+N(AY119)+N(AY120)+N(AY121)),0)</f>
        <v>3349.73052042318</v>
      </c>
      <c r="AZ319" s="265">
        <f>IFERROR((N(AZ111)+N(AZ115)+N(AZ119)+N(AZ120)+N(AZ121)),0)</f>
        <v>3174.11915744922</v>
      </c>
      <c r="BA319" s="265">
        <f>IFERROR((N(BA111)+N(BA115)+N(BA119)+N(BA120)+N(BA121)),0)</f>
        <v>3174.11915744922</v>
      </c>
      <c r="BB319" s="265">
        <f>IFERROR((N(BB111)+N(BB115)+N(BB119)+N(BB120)+N(BB121)),0)</f>
        <v>3417.60014134352</v>
      </c>
      <c r="BC319" s="265">
        <f>IFERROR((N(BC111)+N(BC115)+N(BC119)+N(BC120)+N(BC121)),0)</f>
        <v>3510.04596359628</v>
      </c>
      <c r="BD319" s="265">
        <f>IFERROR((N(BD111)+N(BD115)+N(BD119)+N(BD120)+N(BD121)),0)</f>
        <v>3583.67494433973</v>
      </c>
      <c r="BE319" s="265">
        <f>IFERROR((N(BE111)+N(BE115)+N(BE119)+N(BE120)+N(BE121)),0)</f>
        <v>3394.14169023489</v>
      </c>
      <c r="BF319" s="265">
        <f>IFERROR((N(BF111)+N(BF115)+N(BF119)+N(BF120)+N(BF121)),0)</f>
        <v>3394.14169023489</v>
      </c>
      <c r="BG319" s="90" t="n"/>
      <c r="BH319" s="90" t="n"/>
      <c r="BI319" s="90" t="n"/>
      <c r="BJ319" s="90" t="n"/>
      <c r="BL319" s="90" t="n"/>
      <c r="BM319" s="90" t="n"/>
      <c r="BN319" s="90" t="n"/>
      <c r="BO319" s="90" t="n"/>
      <c r="BQ319" s="90" t="n"/>
      <c r="BR319" s="90" t="n"/>
      <c r="BS319" s="90" t="n"/>
      <c r="BT319" s="90" t="n"/>
      <c r="BV319" s="90" t="n"/>
      <c r="BW319" s="90" t="n"/>
      <c r="BX319" s="90" t="n"/>
      <c r="BY319" s="90" t="n"/>
      <c r="CA319" s="90" t="n"/>
      <c r="CB319" s="90" t="n"/>
      <c r="CC319" s="90" t="n"/>
      <c r="CD319" s="90" t="n"/>
      <c r="CF319" s="90" t="n"/>
      <c r="CG319" s="90" t="n"/>
      <c r="CH319" s="90" t="n"/>
      <c r="CI319" s="90" t="n"/>
      <c r="CK319" s="90" t="n"/>
      <c r="CL319" s="90" t="n"/>
      <c r="CM319" s="90" t="n"/>
      <c r="CN319" s="90" t="n"/>
      <c r="CP319" s="90" t="n"/>
      <c r="CQ319" s="90" t="n"/>
      <c r="CR319" s="90" t="n"/>
      <c r="CS319" s="90" t="n"/>
      <c r="CU319" s="90" t="n"/>
      <c r="CV319" s="90" t="n"/>
      <c r="CW319" s="90" t="n"/>
      <c r="CX319" s="90" t="n"/>
    </row>
    <row r="320" customFormat="1" s="77">
      <c r="A320" s="76" t="n"/>
      <c r="B320" s="76" t="n"/>
      <c r="C320" s="77" t="inlineStr">
        <is>
          <t>CURRENT LIABILITIES (OPERATING, EX DEBT)</t>
        </is>
      </c>
      <c r="D320" s="89">
        <f>IFERROR(D164+D168+D170+D171,"")</f>
        <v>0</v>
      </c>
      <c r="E320" s="89">
        <f>IFERROR(E164+E168+E170+E171,"")</f>
        <v>0</v>
      </c>
      <c r="F320" s="89">
        <f>IFERROR(F164+F168+F170+F171,"")</f>
        <v>0</v>
      </c>
      <c r="G320" s="89">
        <f>IFERROR(G164+G168+G170+G171,"")</f>
        <v>0</v>
      </c>
      <c r="H320" s="265">
        <f>IFERROR((N(H164)+N(H168)+N(H170)+N(H171)),0)</f>
        <v>0</v>
      </c>
      <c r="I320" s="265">
        <f>IFERROR((N(I164)+N(I168)+N(I170)+N(I171)),0)</f>
        <v>593.34914679</v>
      </c>
      <c r="J320" s="265">
        <f>IFERROR((N(J164)+N(J168)+N(J170)+N(J171)),0)</f>
        <v>542.9518345</v>
      </c>
      <c r="K320" s="265">
        <f>IFERROR((N(K164)+N(K168)+N(K170)+N(K171)),0)</f>
        <v>708.35613602</v>
      </c>
      <c r="L320" s="265">
        <f>IFERROR((N(L164)+N(L168)+N(L170)+N(L171)),0)</f>
        <v>672.50045846</v>
      </c>
      <c r="M320" s="265">
        <f>IFERROR((N(M164)+N(M168)+N(M170)+N(M171)),0)</f>
        <v>672.50045846</v>
      </c>
      <c r="N320" s="265">
        <f>IFERROR((N(N164)+N(N168)+N(N170)+N(N171)),0)</f>
        <v>800.18047332</v>
      </c>
      <c r="O320" s="265">
        <f>IFERROR((N(O164)+N(O168)+N(O170)+N(O171)),0)</f>
        <v>654.5181201</v>
      </c>
      <c r="P320" s="265">
        <f>IFERROR((N(P164)+N(P168)+N(P170)+N(P171)),0)</f>
        <v>728.72143816</v>
      </c>
      <c r="Q320" s="265">
        <f>IFERROR((N(Q164)+N(Q168)+N(Q170)+N(Q171)),0)</f>
        <v>657.97800572</v>
      </c>
      <c r="R320" s="265">
        <f>IFERROR((N(R164)+N(R168)+N(R170)+N(R171)),0)</f>
        <v>657.97800572</v>
      </c>
      <c r="S320" s="265">
        <f>IFERROR((N(S164)+N(S168)+N(S170)+N(S171)),0)</f>
        <v>636.03984496</v>
      </c>
      <c r="T320" s="265">
        <f>IFERROR((N(T164)+N(T168)+N(T170)+N(T171)),0)</f>
        <v>1029.253</v>
      </c>
      <c r="U320" s="265">
        <f>IFERROR((N(U164)+N(U168)+N(U170)+N(U171)),0)</f>
        <v>1145.706</v>
      </c>
      <c r="V320" s="265">
        <f>IFERROR((N(V164)+N(V168)+N(V170)+N(V171)),0)</f>
        <v>1075.357</v>
      </c>
      <c r="W320" s="265">
        <f>IFERROR((N(W164)+N(W168)+N(W170)+N(W171)),0)</f>
        <v>1075.357</v>
      </c>
      <c r="X320" s="265">
        <f>IFERROR((N(X164)+N(X168)+N(X170)+N(X171)),0)</f>
        <v>1095.046</v>
      </c>
      <c r="Y320" s="265">
        <f>IFERROR((N(Y164)+N(Y168)+N(Y170)+N(Y171)),0)</f>
        <v>1165.034</v>
      </c>
      <c r="Z320" s="265">
        <f>IFERROR((N(Z164)+N(Z168)+N(Z170)+N(Z171)),0)</f>
        <v>1328.558</v>
      </c>
      <c r="AA320" s="265">
        <f>IFERROR((N(AA164)+N(AA168)+N(AA170)+N(AA171)),0)</f>
        <v>1202.629</v>
      </c>
      <c r="AB320" s="265">
        <f>IFERROR((N(AB164)+N(AB168)+N(AB170)+N(AB171)),0)</f>
        <v>1202.629</v>
      </c>
      <c r="AC320" s="265">
        <f>IFERROR((N(AC164)+N(AC168)+N(AC170)+N(AC171)),0)</f>
        <v>1346.036906</v>
      </c>
      <c r="AD320" s="265">
        <f>IFERROR((N(AD164)+N(AD168)+N(AD170)+N(AD171)),0)</f>
        <v>1150.514</v>
      </c>
      <c r="AE320" s="265">
        <f>IFERROR((N(AE164)+N(AE168)+N(AE170)+N(AE171)),0)</f>
        <v>1463.585</v>
      </c>
      <c r="AF320" s="265">
        <f>IFERROR((N(AF164)+N(AF168)+N(AF170)+N(AF171)),0)</f>
        <v>1615.506</v>
      </c>
      <c r="AG320" s="265">
        <f>IFERROR((N(AG164)+N(AG168)+N(AG170)+N(AG171)),0)</f>
        <v>1615.506</v>
      </c>
      <c r="AH320" s="265">
        <f>IFERROR((N(AH164)+N(AH168)+N(AH170)+N(AH171)),0)</f>
        <v>1484.182</v>
      </c>
      <c r="AI320" s="265">
        <f>IFERROR((N(AI164)+N(AI168)+N(AI170)+N(AI171)),0)</f>
        <v>1451.749</v>
      </c>
      <c r="AJ320" s="265">
        <f>IFERROR((N(AJ164)+N(AJ168)+N(AJ170)+N(AJ171)),0)</f>
        <v>1476.76435800042</v>
      </c>
      <c r="AK320" s="265">
        <f>IFERROR((N(AK164)+N(AK168)+N(AK170)+N(AK171)),0)</f>
        <v>1481.70425897903</v>
      </c>
      <c r="AL320" s="265">
        <f>IFERROR((N(AL164)+N(AL168)+N(AL170)+N(AL171)),0)</f>
        <v>1481.70425897903</v>
      </c>
      <c r="AM320" s="265">
        <f>IFERROR((N(AM164)+N(AM168)+N(AM170)+N(AM171)),0)</f>
        <v>1619.30818203035</v>
      </c>
      <c r="AN320" s="265">
        <f>IFERROR((N(AN164)+N(AN168)+N(AN170)+N(AN171)),0)</f>
        <v>1709.37300814507</v>
      </c>
      <c r="AO320" s="265">
        <f>IFERROR((N(AO164)+N(AO168)+N(AO170)+N(AO171)),0)</f>
        <v>1800.20214563271</v>
      </c>
      <c r="AP320" s="265">
        <f>IFERROR((N(AP164)+N(AP168)+N(AP170)+N(AP171)),0)</f>
        <v>1823.79213783284</v>
      </c>
      <c r="AQ320" s="265">
        <f>IFERROR((N(AQ164)+N(AQ168)+N(AQ170)+N(AQ171)),0)</f>
        <v>1823.79213783284</v>
      </c>
      <c r="AR320" s="265">
        <f>IFERROR((N(AR164)+N(AR168)+N(AR170)+N(AR171)),0)</f>
        <v>1975.43433972822</v>
      </c>
      <c r="AS320" s="265">
        <f>IFERROR((N(AS164)+N(AS168)+N(AS170)+N(AS171)),0)</f>
        <v>2100.50249224344</v>
      </c>
      <c r="AT320" s="265">
        <f>IFERROR((N(AT164)+N(AT168)+N(AT170)+N(AT171)),0)</f>
        <v>2217.4145002639</v>
      </c>
      <c r="AU320" s="265">
        <f>IFERROR((N(AU164)+N(AU168)+N(AU170)+N(AU171)),0)</f>
        <v>2262.30697794249</v>
      </c>
      <c r="AV320" s="265">
        <f>IFERROR((N(AV164)+N(AV168)+N(AV170)+N(AV171)),0)</f>
        <v>2262.30697794249</v>
      </c>
      <c r="AW320" s="265">
        <f>IFERROR((N(AW164)+N(AW168)+N(AW170)+N(AW171)),0)</f>
        <v>2452.99219341656</v>
      </c>
      <c r="AX320" s="265">
        <f>IFERROR((N(AX164)+N(AX168)+N(AX170)+N(AX171)),0)</f>
        <v>2598.28470997394</v>
      </c>
      <c r="AY320" s="265">
        <f>IFERROR((N(AY164)+N(AY168)+N(AY170)+N(AY171)),0)</f>
        <v>2747.00258635493</v>
      </c>
      <c r="AZ320" s="265">
        <f>IFERROR((N(AZ164)+N(AZ168)+N(AZ170)+N(AZ171)),0)</f>
        <v>2818.9696823155</v>
      </c>
      <c r="BA320" s="265">
        <f>IFERROR((N(BA164)+N(BA168)+N(BA170)+N(BA171)),0)</f>
        <v>2818.9696823155</v>
      </c>
      <c r="BB320" s="265">
        <f>IFERROR((N(BB164)+N(BB168)+N(BB170)+N(BB171)),0)</f>
        <v>3043.54996782065</v>
      </c>
      <c r="BC320" s="265">
        <f>IFERROR((N(BC164)+N(BC168)+N(BC170)+N(BC171)),0)</f>
        <v>3224.99839553946</v>
      </c>
      <c r="BD320" s="265">
        <f>IFERROR((N(BD164)+N(BD168)+N(BD170)+N(BD171)),0)</f>
        <v>3411.47822387345</v>
      </c>
      <c r="BE320" s="265">
        <f>IFERROR((N(BE164)+N(BE168)+N(BE170)+N(BE171)),0)</f>
        <v>3516.51086403291</v>
      </c>
      <c r="BF320" s="265">
        <f>IFERROR((N(BF164)+N(BF168)+N(BF170)+N(BF171)),0)</f>
        <v>3516.51086403291</v>
      </c>
      <c r="BG320" s="90" t="n"/>
      <c r="BH320" s="90" t="n"/>
      <c r="BI320" s="90" t="n"/>
      <c r="BJ320" s="90" t="n"/>
      <c r="BL320" s="90" t="n"/>
      <c r="BM320" s="90" t="n"/>
      <c r="BN320" s="90" t="n"/>
      <c r="BO320" s="90" t="n"/>
      <c r="BQ320" s="90" t="n"/>
      <c r="BR320" s="90" t="n"/>
      <c r="BS320" s="90" t="n"/>
      <c r="BT320" s="90" t="n"/>
      <c r="BV320" s="90" t="n"/>
      <c r="BW320" s="90" t="n"/>
      <c r="BX320" s="90" t="n"/>
      <c r="BY320" s="90" t="n"/>
      <c r="CA320" s="90" t="n"/>
      <c r="CB320" s="90" t="n"/>
      <c r="CC320" s="90" t="n"/>
      <c r="CD320" s="90" t="n"/>
      <c r="CF320" s="90" t="n"/>
      <c r="CG320" s="90" t="n"/>
      <c r="CH320" s="90" t="n"/>
      <c r="CI320" s="90" t="n"/>
      <c r="CK320" s="90" t="n"/>
      <c r="CL320" s="90" t="n"/>
      <c r="CM320" s="90" t="n"/>
      <c r="CN320" s="90" t="n"/>
      <c r="CP320" s="90" t="n"/>
      <c r="CQ320" s="90" t="n"/>
      <c r="CR320" s="90" t="n"/>
      <c r="CS320" s="90" t="n"/>
      <c r="CU320" s="90" t="n"/>
      <c r="CV320" s="90" t="n"/>
      <c r="CW320" s="90" t="n"/>
      <c r="CX320" s="90" t="n"/>
    </row>
    <row r="321" customFormat="1" s="77">
      <c r="A321" s="76" t="n"/>
      <c r="B321" s="76" t="n"/>
      <c r="C321" s="77" t="inlineStr">
        <is>
          <t>FIXED ASSETS</t>
        </is>
      </c>
      <c r="D321" s="89">
        <f>IFERROR(D132+D142+D145+D146+D155-D206,"")</f>
        <v>0</v>
      </c>
      <c r="E321" s="89">
        <f>IFERROR(E132+E142+E145+E146+E155-E206,"")</f>
        <v>0</v>
      </c>
      <c r="F321" s="89">
        <f>IFERROR(F132+F142+F145+F146+F155-F206,"")</f>
        <v>0</v>
      </c>
      <c r="G321" s="89">
        <f>IFERROR(G132+G142+G145+G146+G155-G206,"")</f>
        <v>0</v>
      </c>
      <c r="H321" s="265">
        <f>IFERROR((N(H132)+N(H142)+N(H145)+N(H146)+N(H155))-N(H206),0)</f>
        <v>0</v>
      </c>
      <c r="I321" s="265">
        <f>IFERROR((N(I132)+N(I142)+N(I145)+N(I146)+N(I155))-N(I206),0)</f>
        <v>3419.143038434</v>
      </c>
      <c r="J321" s="265">
        <f>IFERROR((N(J132)+N(J142)+N(J145)+N(J146)+N(J155))-N(J206),0)</f>
        <v>3574.439452828</v>
      </c>
      <c r="K321" s="265">
        <f>IFERROR((N(K132)+N(K142)+N(K145)+N(K146)+N(K155))-N(K206),0)</f>
        <v>3699.392140545</v>
      </c>
      <c r="L321" s="265">
        <f>IFERROR((N(L132)+N(L142)+N(L145)+N(L146)+N(L155))-N(L206),0)</f>
        <v>4146.480422662</v>
      </c>
      <c r="M321" s="265">
        <f>IFERROR((N(M132)+N(M142)+N(M145)+N(M146)+N(M155))-N(M206),0)</f>
        <v>4146.480422662</v>
      </c>
      <c r="N321" s="265">
        <f>IFERROR((N(N132)+N(N142)+N(N145)+N(N146)+N(N155))-N(N206),0)</f>
        <v>4208.033727104</v>
      </c>
      <c r="O321" s="265">
        <f>IFERROR((N(O132)+N(O142)+N(O145)+N(O146)+N(O155))-N(O206),0)</f>
        <v>4666.556802417</v>
      </c>
      <c r="P321" s="265">
        <f>IFERROR((N(P132)+N(P142)+N(P145)+N(P146)+N(P155))-N(P206),0)</f>
        <v>4697.74904929</v>
      </c>
      <c r="Q321" s="265">
        <f>IFERROR((N(Q132)+N(Q142)+N(Q145)+N(Q146)+N(Q155))-N(Q206),0)</f>
        <v>5145.650952961</v>
      </c>
      <c r="R321" s="265">
        <f>IFERROR((N(R132)+N(R142)+N(R145)+N(R146)+N(R155))-N(R206),0)</f>
        <v>5145.650952961</v>
      </c>
      <c r="S321" s="265">
        <f>IFERROR((N(S132)+N(S142)+N(S145)+N(S146)+N(S155))-N(S206),0)</f>
        <v>5123.88156971</v>
      </c>
      <c r="T321" s="265">
        <f>IFERROR((N(T132)+N(T142)+N(T145)+N(T146)+N(T155))-N(T206),0)</f>
        <v>8404.406</v>
      </c>
      <c r="U321" s="265">
        <f>IFERROR((N(U132)+N(U142)+N(U145)+N(U146)+N(U155))-N(U206),0)</f>
        <v>8346.191</v>
      </c>
      <c r="V321" s="265">
        <f>IFERROR((N(V132)+N(V142)+N(V145)+N(V146)+N(V155))-N(V206),0)</f>
        <v>8352.768</v>
      </c>
      <c r="W321" s="265">
        <f>IFERROR((N(W132)+N(W142)+N(W145)+N(W146)+N(W155))-N(W206),0)</f>
        <v>8352.768</v>
      </c>
      <c r="X321" s="265">
        <f>IFERROR((N(X132)+N(X142)+N(X145)+N(X146)+N(X155))-N(X206),0)</f>
        <v>8263.79341873</v>
      </c>
      <c r="Y321" s="265">
        <f>IFERROR((N(Y132)+N(Y142)+N(Y145)+N(Y146)+N(Y155))-N(Y206),0)</f>
        <v>8209.789</v>
      </c>
      <c r="Z321" s="265">
        <f>IFERROR((N(Z132)+N(Z142)+N(Z145)+N(Z146)+N(Z155))-N(Z206),0)</f>
        <v>8219.107</v>
      </c>
      <c r="AA321" s="265">
        <f>IFERROR((N(AA132)+N(AA142)+N(AA145)+N(AA146)+N(AA155))-N(AA206),0)</f>
        <v>8302.801</v>
      </c>
      <c r="AB321" s="265">
        <f>IFERROR((N(AB132)+N(AB142)+N(AB145)+N(AB146)+N(AB155))-N(AB206),0)</f>
        <v>8302.801</v>
      </c>
      <c r="AC321" s="265">
        <f>IFERROR((N(AC132)+N(AC142)+N(AC145)+N(AC146)+N(AC155))-N(AC206),0)</f>
        <v>8226.93841281</v>
      </c>
      <c r="AD321" s="265">
        <f>IFERROR((N(AD132)+N(AD142)+N(AD145)+N(AD146)+N(AD155))-N(AD206),0)</f>
        <v>8170.721</v>
      </c>
      <c r="AE321" s="265">
        <f>IFERROR((N(AE132)+N(AE142)+N(AE145)+N(AE146)+N(AE155))-N(AE206),0)</f>
        <v>8303.008</v>
      </c>
      <c r="AF321" s="265">
        <f>IFERROR((N(AF132)+N(AF142)+N(AF145)+N(AF146)+N(AF155))-N(AF206),0)</f>
        <v>8311.21</v>
      </c>
      <c r="AG321" s="265">
        <f>IFERROR((N(AG132)+N(AG142)+N(AG145)+N(AG146)+N(AG155))-N(AG206),0)</f>
        <v>8311.21</v>
      </c>
      <c r="AH321" s="265">
        <f>IFERROR((N(AH132)+N(AH142)+N(AH145)+N(AH146)+N(AH155))-N(AH206),0)</f>
        <v>8198.518</v>
      </c>
      <c r="AI321" s="265">
        <f>IFERROR((N(AI132)+N(AI142)+N(AI145)+N(AI146)+N(AI155))-N(AI206),0)</f>
        <v>8461.655</v>
      </c>
      <c r="AJ321" s="265">
        <f>IFERROR((N(AJ132)+N(AJ142)+N(AJ145)+N(AJ146)+N(AJ155))-N(AJ206),0)</f>
        <v>8466.42059526793</v>
      </c>
      <c r="AK321" s="265">
        <f>IFERROR((N(AK132)+N(AK142)+N(AK145)+N(AK146)+N(AK155))-N(AK206),0)</f>
        <v>8470.90259284465</v>
      </c>
      <c r="AL321" s="265">
        <f>IFERROR((N(AL132)+N(AL142)+N(AL145)+N(AL146)+N(AL155))-N(AL206),0)</f>
        <v>8470.90259284465</v>
      </c>
      <c r="AM321" s="265">
        <f>IFERROR((N(AM132)+N(AM142)+N(AM145)+N(AM146)+N(AM155))-N(AM206),0)</f>
        <v>8475.7380928051</v>
      </c>
      <c r="AN321" s="265">
        <f>IFERROR((N(AN132)+N(AN142)+N(AN145)+N(AN146)+N(AN155))-N(AN206),0)</f>
        <v>8480.7770424266</v>
      </c>
      <c r="AO321" s="265">
        <f>IFERROR((N(AO132)+N(AO142)+N(AO145)+N(AO146)+N(AO155))-N(AO206),0)</f>
        <v>8485.99192233856</v>
      </c>
      <c r="AP321" s="265">
        <f>IFERROR((N(AP132)+N(AP142)+N(AP145)+N(AP146)+N(AP155))-N(AP206),0)</f>
        <v>8490.89646790195</v>
      </c>
      <c r="AQ321" s="265">
        <f>IFERROR((N(AQ132)+N(AQ142)+N(AQ145)+N(AQ146)+N(AQ155))-N(AQ206),0)</f>
        <v>8490.89646790195</v>
      </c>
      <c r="AR321" s="265">
        <f>IFERROR((N(AR132)+N(AR142)+N(AR145)+N(AR146)+N(AR155))-N(AR206),0)</f>
        <v>8496.16366539106</v>
      </c>
      <c r="AS321" s="265">
        <f>IFERROR((N(AS132)+N(AS142)+N(AS145)+N(AS146)+N(AS155))-N(AS206),0)</f>
        <v>8501.65247585765</v>
      </c>
      <c r="AT321" s="265">
        <f>IFERROR((N(AT132)+N(AT142)+N(AT145)+N(AT146)+N(AT155))-N(AT206),0)</f>
        <v>8507.33292309224</v>
      </c>
      <c r="AU321" s="265">
        <f>IFERROR((N(AU132)+N(AU142)+N(AU145)+N(AU146)+N(AU155))-N(AU206),0)</f>
        <v>8512.67533034858</v>
      </c>
      <c r="AV321" s="265">
        <f>IFERROR((N(AV132)+N(AV142)+N(AV145)+N(AV146)+N(AV155))-N(AV206),0)</f>
        <v>8512.67533034858</v>
      </c>
      <c r="AW321" s="265">
        <f>IFERROR((N(AW132)+N(AW142)+N(AW145)+N(AW146)+N(AW155))-N(AW206),0)</f>
        <v>8518.38642991406</v>
      </c>
      <c r="AX321" s="265">
        <f>IFERROR((N(AX132)+N(AX142)+N(AX145)+N(AX146)+N(AX155))-N(AX206),0)</f>
        <v>8524.3378192697</v>
      </c>
      <c r="AY321" s="265">
        <f>IFERROR((N(AY132)+N(AY142)+N(AY145)+N(AY146)+N(AY155))-N(AY206),0)</f>
        <v>8530.49699590971</v>
      </c>
      <c r="AZ321" s="265">
        <f>IFERROR((N(AZ132)+N(AZ142)+N(AZ145)+N(AZ146)+N(AZ155))-N(AZ206),0)</f>
        <v>8536.28964367417</v>
      </c>
      <c r="BA321" s="265">
        <f>IFERROR((N(BA132)+N(BA142)+N(BA145)+N(BA146)+N(BA155))-N(BA206),0)</f>
        <v>8536.28964367417</v>
      </c>
      <c r="BB321" s="265">
        <f>IFERROR((N(BB132)+N(BB142)+N(BB145)+N(BB146)+N(BB155))-N(BB206),0)</f>
        <v>8542.45350042485</v>
      </c>
      <c r="BC321" s="265">
        <f>IFERROR((N(BC132)+N(BC142)+N(BC145)+N(BC146)+N(BC155))-N(BC206),0)</f>
        <v>8548.87669634974</v>
      </c>
      <c r="BD321" s="265">
        <f>IFERROR((N(BD132)+N(BD142)+N(BD145)+N(BD146)+N(BD155))-N(BD206),0)</f>
        <v>8555.52415225134</v>
      </c>
      <c r="BE321" s="265">
        <f>IFERROR((N(BE132)+N(BE142)+N(BE145)+N(BE146)+N(BE155))-N(BE206),0)</f>
        <v>8561.77602207393</v>
      </c>
      <c r="BF321" s="265">
        <f>IFERROR((N(BF132)+N(BF142)+N(BF145)+N(BF146)+N(BF155))-N(BF206),0)</f>
        <v>8561.77602207393</v>
      </c>
      <c r="BG321" s="90" t="n"/>
      <c r="BH321" s="90" t="n"/>
      <c r="BI321" s="90" t="n"/>
      <c r="BJ321" s="90" t="n"/>
      <c r="BL321" s="90" t="n"/>
      <c r="BM321" s="90" t="n"/>
      <c r="BN321" s="90" t="n"/>
      <c r="BO321" s="90" t="n"/>
      <c r="BQ321" s="90" t="n"/>
      <c r="BR321" s="90" t="n"/>
      <c r="BS321" s="90" t="n"/>
      <c r="BT321" s="90" t="n"/>
      <c r="BV321" s="90" t="n"/>
      <c r="BW321" s="90" t="n"/>
      <c r="BX321" s="90" t="n"/>
      <c r="BY321" s="90" t="n"/>
      <c r="CA321" s="90" t="n"/>
      <c r="CB321" s="90" t="n"/>
      <c r="CC321" s="90" t="n"/>
      <c r="CD321" s="90" t="n"/>
      <c r="CF321" s="90" t="n"/>
      <c r="CG321" s="90" t="n"/>
      <c r="CH321" s="90" t="n"/>
      <c r="CI321" s="90" t="n"/>
      <c r="CK321" s="90" t="n"/>
      <c r="CL321" s="90" t="n"/>
      <c r="CM321" s="90" t="n"/>
      <c r="CN321" s="90" t="n"/>
      <c r="CP321" s="90" t="n"/>
      <c r="CQ321" s="90" t="n"/>
      <c r="CR321" s="90" t="n"/>
      <c r="CS321" s="90" t="n"/>
      <c r="CU321" s="90" t="n"/>
      <c r="CV321" s="90" t="n"/>
      <c r="CW321" s="90" t="n"/>
      <c r="CX321" s="90" t="n"/>
    </row>
    <row r="322" customFormat="1" s="77">
      <c r="A322" s="76" t="n"/>
      <c r="B322" s="76" t="n"/>
    </row>
    <row r="323" customFormat="1" s="77">
      <c r="A323" s="76" t="n"/>
      <c r="B323" s="76" t="n"/>
    </row>
    <row r="324" customFormat="1" s="77">
      <c r="A324" s="76" t="n"/>
      <c r="B324" s="76" t="n"/>
    </row>
    <row r="325" customFormat="1" s="77">
      <c r="A325" s="76" t="n"/>
      <c r="B325" s="76" t="n"/>
    </row>
    <row r="326" customFormat="1" s="77">
      <c r="A326" s="76" t="n"/>
      <c r="B326" s="76" t="n"/>
    </row>
    <row r="327" customFormat="1" s="77">
      <c r="A327" s="76" t="n"/>
      <c r="B327" s="76" t="n"/>
    </row>
    <row r="328" customFormat="1" s="77">
      <c r="A328" s="76" t="n"/>
      <c r="B328" s="76" t="n"/>
    </row>
    <row r="329" customFormat="1" s="77">
      <c r="A329" s="76" t="n"/>
      <c r="B329" s="76" t="n"/>
      <c r="C329" s="74" t="inlineStr">
        <is>
          <t>DUPONT ANALYSIS</t>
        </is>
      </c>
    </row>
    <row r="330" customFormat="1" s="77">
      <c r="A330" s="76" t="n"/>
      <c r="B330" s="76" t="n"/>
      <c r="C330" s="77" t="inlineStr">
        <is>
          <t>NET PROFIT MARGIN (LTM)</t>
        </is>
      </c>
      <c r="D330" s="84" t="str">
        <f>IFERROR(D103/D15,"")</f>
        <v/>
      </c>
      <c r="E330" s="84" t="str">
        <f>IFERROR(E103/E15,"")</f>
        <v/>
      </c>
      <c r="F330" s="84" t="str">
        <f>IFERROR(F103/F15,"")</f>
        <v/>
      </c>
      <c r="G330" s="84" t="str">
        <f>IFERROR(G103/G15,"")</f>
        <v/>
      </c>
      <c r="H330" s="258" t="str">
        <f>IFERROR(IF(AND(COUNT(H103)=1,(H15)&lt;&gt;0),(H103)/(H15),""),"")</f>
        <v/>
      </c>
      <c r="I330" s="257" t="str">
        <f>""</f>
        <v/>
      </c>
      <c r="J330" s="257" t="str">
        <f>""</f>
        <v/>
      </c>
      <c r="K330" s="257" t="str">
        <f>""</f>
        <v/>
      </c>
      <c r="L330" s="257">
        <f>IFERROR(IF(AND(COUNT(I103,J103,K103,L103)=4,(I15+J15+K15+L15)&lt;&gt;0),(I103+J103+K103+L103)/(I15+J15+K15+L15),""),"")</f>
        <v>0.0903579966369939</v>
      </c>
      <c r="M330" s="258">
        <f>IFERROR(IF(AND(COUNT(I103,J103,K103,L103)=4,(I15+J15+K15+L15)&lt;&gt;0),(I103+J103+K103+L103)/(I15+J15+K15+L15),""),"")</f>
        <v>0.0903579966369939</v>
      </c>
      <c r="N330" s="257">
        <f>IFERROR(IF(AND(COUNT(J103,K103,L103,N103)=4,(J15+K15+L15+N15)&lt;&gt;0),(J103+K103+L103+N103)/(J15+K15+L15+N15),""),"")</f>
        <v>0.0839946634815218</v>
      </c>
      <c r="O330" s="257">
        <f>IFERROR(IF(AND(COUNT(K103,L103,N103,O103)=4,(K15+L15+N15+O15)&lt;&gt;0),(K103+L103+N103+O103)/(K15+L15+N15+O15),""),"")</f>
        <v>0.0816131945538656</v>
      </c>
      <c r="P330" s="257">
        <f>IFERROR(IF(AND(COUNT(L103,N103,O103,P103)=4,(L15+N15+O15+P15)&lt;&gt;0),(L103+N103+O103+P103)/(L15+N15+O15+P15),""),"")</f>
        <v>0.0796501188892455</v>
      </c>
      <c r="Q330" s="257">
        <f>IFERROR(IF(AND(COUNT(N103,O103,P103,Q103)=4,(N15+O15+P15+Q15)&lt;&gt;0),(N103+O103+P103+Q103)/(N15+O15+P15+Q15),""),"")</f>
        <v>0.0689907311388291</v>
      </c>
      <c r="R330" s="258">
        <f>IFERROR(IF(AND(COUNT(N103,O103,P103,Q103)=4,(N15+O15+P15+Q15)&lt;&gt;0),(N103+O103+P103+Q103)/(N15+O15+P15+Q15),""),"")</f>
        <v>0.0689907311388291</v>
      </c>
      <c r="S330" s="257">
        <f>IFERROR(IF(AND(COUNT(O103,P103,Q103,S103)=4,(O15+P15+Q15+S15)&lt;&gt;0),(O103+P103+Q103+S103)/(O15+P15+Q15+S15),""),"")</f>
        <v>0.0631936244455722</v>
      </c>
      <c r="T330" s="257">
        <f>IFERROR(IF(AND(COUNT(P103,Q103,S103,T103)=4,(P15+Q15+S15+T15)&lt;&gt;0),(P103+Q103+S103+T103)/(P15+Q15+S15+T15),""),"")</f>
        <v>0.0572415159546801</v>
      </c>
      <c r="U330" s="257">
        <f>IFERROR(IF(AND(COUNT(Q103,S103,T103,U103)=4,(Q15+S15+T15+U15)&lt;&gt;0),(Q103+S103+T103+U103)/(Q15+S15+T15+U15),""),"")</f>
        <v>0.0634959993871606</v>
      </c>
      <c r="V330" s="257">
        <f>IFERROR(IF(AND(COUNT(S103,T103,U103,V103)=4,(S15+T15+U15+V15)&lt;&gt;0),(S103+T103+U103+V103)/(S15+T15+U15+V15),""),"")</f>
        <v>0.0654869140510134</v>
      </c>
      <c r="W330" s="258">
        <f>IFERROR(IF(AND(COUNT(S103,T103,U103,V103)=4,(S15+T15+U15+V15)&lt;&gt;0),(S103+T103+U103+V103)/(S15+T15+U15+V15),""),"")</f>
        <v>0.0654869140510134</v>
      </c>
      <c r="X330" s="257">
        <f>IFERROR(IF(AND(COUNT(T103,U103,V103,X103)=4,(T15+U15+V15+X15)&lt;&gt;0),(T103+U103+V103+X103)/(T15+U15+V15+X15),""),"")</f>
        <v>0.069743713391926</v>
      </c>
      <c r="Y330" s="257">
        <f>IFERROR(IF(AND(COUNT(U103,V103,X103,Y103)=4,(U15+V15+X15+Y15)&lt;&gt;0),(U103+V103+X103+Y103)/(U15+V15+X15+Y15),""),"")</f>
        <v>0.0800606055281227</v>
      </c>
      <c r="Z330" s="257">
        <f>IFERROR(IF(AND(COUNT(V103,X103,Y103,Z103)=4,(V15+X15+Y15+Z15)&lt;&gt;0),(V103+X103+Y103+Z103)/(V15+X15+Y15+Z15),""),"")</f>
        <v>0.0812647900149329</v>
      </c>
      <c r="AA330" s="257">
        <f>IFERROR(IF(AND(COUNT(X103,Y103,Z103,AA103)=4,(X15+Y15+Z15+AA15)&lt;&gt;0),(X103+Y103+Z103+AA103)/(X15+Y15+Z15+AA15),""),"")</f>
        <v>0.0801820874550192</v>
      </c>
      <c r="AB330" s="258">
        <f>IFERROR(IF(AND(COUNT(X103,Y103,Z103,AA103)=4,(X15+Y15+Z15+AA15)&lt;&gt;0),(X103+Y103+Z103+AA103)/(X15+Y15+Z15+AA15),""),"")</f>
        <v>0.0801820874550192</v>
      </c>
      <c r="AC330" s="257">
        <f>IFERROR(IF(AND(COUNT(Y103,Z103,AA103,AC103)=4,(Y15+Z15+AA15+AC15)&lt;&gt;0),(Y103+Z103+AA103+AC103)/(Y15+Z15+AA15+AC15),""),"")</f>
        <v>0.0804972143568731</v>
      </c>
      <c r="AD330" s="257">
        <f>IFERROR(IF(AND(COUNT(Z103,AA103,AC103,AD103)=4,(Z15+AA15+AC15+AD15)&lt;&gt;0),(Z103+AA103+AC103+AD103)/(Z15+AA15+AC15+AD15),""),"")</f>
        <v>0.0773070123672729</v>
      </c>
      <c r="AE330" s="257">
        <f>IFERROR(IF(AND(COUNT(AA103,AC103,AD103,AE103)=4,(AA15+AC15+AD15+AE15)&lt;&gt;0),(AA103+AC103+AD103+AE103)/(AA15+AC15+AD15+AE15),""),"")</f>
        <v>0.0744025809923681</v>
      </c>
      <c r="AF330" s="257">
        <f>IFERROR(IF(AND(COUNT(AB103,AD103,AE103,AF103)=4,(AB15+AD15+AE15+AF15)&lt;&gt;0),(AB103+AD103+AE103+AF103)/(AB15+AD15+AE15+AF15),""),"")</f>
        <v>0.0751904495968965</v>
      </c>
      <c r="AG330" s="258">
        <f>IFERROR(IF(AND(COUNT(AC103,AD103,AE103,AF103)=4,(AC15+AD15+AE15+AF15)&lt;&gt;0),(AC103+AD103+AE103+AF103)/(AC15+AD15+AE15+AF15),""),"")</f>
        <v>0.0739135429468456</v>
      </c>
      <c r="AH330" s="257">
        <f>IFERROR(IF(AND(COUNT(AD103,AF103,AG103,AH103)=4,(AD15+AF15+AG15+AH15)&lt;&gt;0),(AD103+AF103+AG103+AH103)/(AD15+AF15+AG15+AH15),""),"")</f>
        <v>0.0727884803286544</v>
      </c>
      <c r="AI330" s="257">
        <f>IFERROR(IF(AND(COUNT(AE103,AG103,AH103,AI103)=4,(AE15+AG15+AH15+AI15)&lt;&gt;0),(AE103+AG103+AH103+AI103)/(AE15+AG15+AH15+AI15),""),"")</f>
        <v>0.0812684734021258</v>
      </c>
      <c r="AJ330" s="257">
        <f>IFERROR(IF(AND(COUNT(AF103,AH103,AI103,AJ103)=4,(AF15+AH15+AI15+AJ15)&lt;&gt;0),(AF103+AH103+AI103+AJ103)/(AF15+AH15+AI15+AJ15),""),"")</f>
        <v>0.0995084921744957</v>
      </c>
      <c r="AK330" s="257">
        <f>IFERROR(IF(AND(COUNT(AH103,AI103,AJ103,AK103)=4,(AH15+AI15+AJ15+AK15)&lt;&gt;0),(AH103+AI103+AJ103+AK103)/(AH15+AI15+AJ15+AK15),""),"")</f>
        <v>0.125393954844452</v>
      </c>
      <c r="AL330" s="258">
        <f>IFERROR(IF(AND(COUNT(AH103,AI103,AJ103,AK103)=4,(AH15+AI15+AJ15+AK15)&lt;&gt;0),(AH103+AI103+AJ103+AK103)/(AH15+AI15+AJ15+AK15),""),"")</f>
        <v>0.125393954844452</v>
      </c>
      <c r="AM330" s="257">
        <f>IFERROR(IF(AND(COUNT(AI103,AJ103,AK103,AM103)=4,(AI15+AJ15+AK15+AM15)&lt;&gt;0),(AI103+AJ103+AK103+AM103)/(AI15+AJ15+AK15+AM15),""),"")</f>
        <v>0.141773796043036</v>
      </c>
      <c r="AN330" s="257">
        <f>IFERROR(IF(AND(COUNT(AJ103,AK103,AM103,AN103)=4,(AJ15+AK15+AM15+AN15)&lt;&gt;0),(AJ103+AK103+AM103+AN103)/(AJ15+AK15+AM15+AN15),""),"")</f>
        <v>0.156818114407508</v>
      </c>
      <c r="AO330" s="257">
        <f>IFERROR(IF(AND(COUNT(AK103,AM103,AN103,AO103)=4,(AK15+AM15+AN15+AO15)&lt;&gt;0),(AK103+AM103+AN103+AO103)/(AK15+AM15+AN15+AO15),""),"")</f>
        <v>0.156818114407508</v>
      </c>
      <c r="AP330" s="257">
        <f>IFERROR(IF(AND(COUNT(AM103,AN103,AO103,AP103)=4,(AM15+AN15+AO15+AP15)&lt;&gt;0),(AM103+AN103+AO103+AP103)/(AM15+AN15+AO15+AP15),""),"")</f>
        <v>0.156818114407508</v>
      </c>
      <c r="AQ330" s="258">
        <f>IFERROR(IF(AND(COUNT(AM103,AN103,AO103,AP103)=4,(AM15+AN15+AO15+AP15)&lt;&gt;0),(AM103+AN103+AO103+AP103)/(AM15+AN15+AO15+AP15),""),"")</f>
        <v>0.156818114407508</v>
      </c>
      <c r="AR330" s="257">
        <f>IFERROR(IF(AND(COUNT(AN103,AO103,AP103,AR103)=4,(AN15+AO15+AP15+AR15)&lt;&gt;0),(AN103+AO103+AP103+AR103)/(AN15+AO15+AP15+AR15),""),"")</f>
        <v>0.156818114407508</v>
      </c>
      <c r="AS330" s="257">
        <f>IFERROR(IF(AND(COUNT(AO103,AP103,AR103,AS103)=4,(AO15+AP15+AR15+AS15)&lt;&gt;0),(AO103+AP103+AR103+AS103)/(AO15+AP15+AR15+AS15),""),"")</f>
        <v>0.156818114407508</v>
      </c>
      <c r="AT330" s="257">
        <f>IFERROR(IF(AND(COUNT(AP103,AR103,AS103,AT103)=4,(AP15+AR15+AS15+AT15)&lt;&gt;0),(AP103+AR103+AS103+AT103)/(AP15+AR15+AS15+AT15),""),"")</f>
        <v>0.156818114407508</v>
      </c>
      <c r="AU330" s="257">
        <f>IFERROR(IF(AND(COUNT(AR103,AS103,AT103,AU103)=4,(AR15+AS15+AT15+AU15)&lt;&gt;0),(AR103+AS103+AT103+AU103)/(AR15+AS15+AT15+AU15),""),"")</f>
        <v>0.156818114407508</v>
      </c>
      <c r="AV330" s="258">
        <f>IFERROR(IF(AND(COUNT(AR103,AS103,AT103,AU103)=4,(AR15+AS15+AT15+AU15)&lt;&gt;0),(AR103+AS103+AT103+AU103)/(AR15+AS15+AT15+AU15),""),"")</f>
        <v>0.156818114407508</v>
      </c>
      <c r="AW330" s="257">
        <f>IFERROR(IF(AND(COUNT(AS103,AT103,AU103,AW103)=4,(AS15+AT15+AU15+AW15)&lt;&gt;0),(AS103+AT103+AU103+AW103)/(AS15+AT15+AU15+AW15),""),"")</f>
        <v>0.156818114407508</v>
      </c>
      <c r="AX330" s="257">
        <f>IFERROR(IF(AND(COUNT(AT103,AU103,AW103,AX103)=4,(AT15+AU15+AW15+AX15)&lt;&gt;0),(AT103+AU103+AW103+AX103)/(AT15+AU15+AW15+AX15),""),"")</f>
        <v>0.156818114407508</v>
      </c>
      <c r="AY330" s="257">
        <f>IFERROR(IF(AND(COUNT(AU103,AW103,AX103,AY103)=4,(AU15+AW15+AX15+AY15)&lt;&gt;0),(AU103+AW103+AX103+AY103)/(AU15+AW15+AX15+AY15),""),"")</f>
        <v>0.156818114407508</v>
      </c>
      <c r="AZ330" s="257">
        <f>IFERROR(IF(AND(COUNT(AW103,AX103,AY103,AZ103)=4,(AW15+AX15+AY15+AZ15)&lt;&gt;0),(AW103+AX103+AY103+AZ103)/(AW15+AX15+AY15+AZ15),""),"")</f>
        <v>0.156818114407508</v>
      </c>
      <c r="BA330" s="258">
        <f>IFERROR(IF(AND(COUNT(AW103,AX103,AY103,AZ103)=4,(AW15+AX15+AY15+AZ15)&lt;&gt;0),(AW103+AX103+AY103+AZ103)/(AW15+AX15+AY15+AZ15),""),"")</f>
        <v>0.156818114407508</v>
      </c>
      <c r="BB330" s="257">
        <f>IFERROR(IF(AND(COUNT(AX103,AY103,AZ103,BB103)=4,(AX15+AY15+AZ15+BB15)&lt;&gt;0),(AX103+AY103+AZ103+BB103)/(AX15+AY15+AZ15+BB15),""),"")</f>
        <v>0.156818114407508</v>
      </c>
      <c r="BC330" s="257">
        <f>IFERROR(IF(AND(COUNT(AY103,AZ103,BB103,BC103)=4,(AY15+AZ15+BB15+BC15)&lt;&gt;0),(AY103+AZ103+BB103+BC103)/(AY15+AZ15+BB15+BC15),""),"")</f>
        <v>0.156818114407508</v>
      </c>
      <c r="BD330" s="257">
        <f>IFERROR(IF(AND(COUNT(AZ103,BB103,BC103,BD103)=4,(AZ15+BB15+BC15+BD15)&lt;&gt;0),(AZ103+BB103+BC103+BD103)/(AZ15+BB15+BC15+BD15),""),"")</f>
        <v>0.156818114407508</v>
      </c>
      <c r="BE330" s="257">
        <f>IFERROR(IF(AND(COUNT(BB103,BC103,BD103,BE103)=4,(BB15+BC15+BD15+BE15)&lt;&gt;0),(BB103+BC103+BD103+BE103)/(BB15+BC15+BD15+BE15),""),"")</f>
        <v>0.156818114407508</v>
      </c>
      <c r="BF330" s="258">
        <f>IFERROR(IF(AND(COUNT(BB103,BC103,BD103,BE103)=4,(BB15+BC15+BD15+BE15)&lt;&gt;0),(BB103+BC103+BD103+BE103)/(BB15+BC15+BD15+BE15),""),"")</f>
        <v>0.156818114407508</v>
      </c>
      <c r="BG330" s="81" t="n"/>
      <c r="BH330" s="81" t="n"/>
      <c r="BI330" s="81" t="n"/>
      <c r="BJ330" s="81" t="n"/>
      <c r="BL330" s="81" t="n"/>
      <c r="BM330" s="81" t="n"/>
      <c r="BN330" s="81" t="n"/>
      <c r="BO330" s="81" t="n"/>
      <c r="BQ330" s="81" t="n"/>
      <c r="BR330" s="81" t="n"/>
      <c r="BS330" s="81" t="n"/>
      <c r="BT330" s="81" t="n"/>
      <c r="BV330" s="81" t="n"/>
      <c r="BW330" s="81" t="n"/>
      <c r="BX330" s="81" t="n"/>
      <c r="BY330" s="81" t="n"/>
      <c r="CA330" s="81" t="n"/>
      <c r="CB330" s="81" t="n"/>
      <c r="CC330" s="81" t="n"/>
      <c r="CD330" s="81" t="n"/>
      <c r="CF330" s="81" t="n"/>
      <c r="CG330" s="81" t="n"/>
      <c r="CH330" s="81" t="n"/>
      <c r="CI330" s="81" t="n"/>
      <c r="CK330" s="81" t="n"/>
      <c r="CL330" s="81" t="n"/>
      <c r="CM330" s="81" t="n"/>
      <c r="CN330" s="81" t="n"/>
      <c r="CP330" s="81" t="n"/>
      <c r="CQ330" s="81" t="n"/>
      <c r="CR330" s="81" t="n"/>
      <c r="CS330" s="81" t="n"/>
      <c r="CU330" s="81" t="n"/>
      <c r="CV330" s="81" t="n"/>
      <c r="CW330" s="81" t="n"/>
      <c r="CX330" s="81" t="n"/>
    </row>
    <row r="331" customFormat="1" s="77">
      <c r="A331" s="76" t="n"/>
      <c r="B331" s="76" t="n"/>
      <c r="C331" s="77" t="inlineStr">
        <is>
          <t>ASSET TURNOVER (LTM REVENUE / ASSETS)</t>
        </is>
      </c>
      <c r="D331" s="84" t="str">
        <f>IFERROR(D15/D163,"")</f>
        <v/>
      </c>
      <c r="E331" s="84" t="str">
        <f>IFERROR(E15/E163,"")</f>
        <v/>
      </c>
      <c r="F331" s="84" t="str">
        <f>IFERROR(F15/F163,"")</f>
        <v/>
      </c>
      <c r="G331" s="84" t="str">
        <f>IFERROR(G15/G163,"")</f>
        <v/>
      </c>
      <c r="H331" s="264" t="str">
        <f>IFERROR(IF(AND(COUNT(H15)=1,N(H163)&lt;&gt;0),(H15)/H163,""),"")</f>
        <v/>
      </c>
      <c r="I331" s="266" t="str">
        <f>""</f>
        <v/>
      </c>
      <c r="J331" s="266" t="str">
        <f>""</f>
        <v/>
      </c>
      <c r="K331" s="266" t="str">
        <f>""</f>
        <v/>
      </c>
      <c r="L331" s="266">
        <f>IFERROR(IF(AND(COUNT(I15,J15,K15,L15)=4,N(L163)&lt;&gt;0),(I15+J15+K15+L15)/L163,""),"")</f>
        <v>0.637602649232635</v>
      </c>
      <c r="M331" s="264">
        <f>IFERROR(IF(AND(COUNT(I15,J15,K15,L15)=4,N(M163)&lt;&gt;0),(I15+J15+K15+L15)/M163,""),"")</f>
        <v>0.637602649232635</v>
      </c>
      <c r="N331" s="266">
        <f>IFERROR(IF(AND(COUNT(J15,K15,L15,N15)=4,N(N163)&lt;&gt;0),(J15+K15+L15+N15)/N163,""),"")</f>
        <v>0.678579722077924</v>
      </c>
      <c r="O331" s="266">
        <f>IFERROR(IF(AND(COUNT(K15,L15,N15,O15)=4,N(O163)&lt;&gt;0),(K15+L15+N15+O15)/O163,""),"")</f>
        <v>0.621142096166507</v>
      </c>
      <c r="P331" s="266">
        <f>IFERROR(IF(AND(COUNT(L15,N15,O15,P15)=4,N(P163)&lt;&gt;0),(L15+N15+O15+P15)/P163,""),"")</f>
        <v>0.620550751743741</v>
      </c>
      <c r="Q331" s="266">
        <f>IFERROR(IF(AND(COUNT(N15,O15,P15,Q15)=4,N(Q163)&lt;&gt;0),(N15+O15+P15+Q15)/Q163,""),"")</f>
        <v>0.57278896379716</v>
      </c>
      <c r="R331" s="264">
        <f>IFERROR(IF(AND(COUNT(N15,O15,P15,Q15)=4,N(R163)&lt;&gt;0),(N15+O15+P15+Q15)/R163,""),"")</f>
        <v>0.57278896379716</v>
      </c>
      <c r="S331" s="266">
        <f>IFERROR(IF(AND(COUNT(O15,P15,Q15,S15)=4,N(S163)&lt;&gt;0),(O15+P15+Q15+S15)/S163,""),"")</f>
        <v>0.586218435324693</v>
      </c>
      <c r="T331" s="266">
        <f>IFERROR(IF(AND(COUNT(P15,Q15,S15,T15)=4,N(T163)&lt;&gt;0),(P15+Q15+S15+T15)/T163,""),"")</f>
        <v>0.448110609031255</v>
      </c>
      <c r="U331" s="266">
        <f>IFERROR(IF(AND(COUNT(Q15,S15,T15,U15)=4,N(U163)&lt;&gt;0),(Q15+S15+T15+U15)/U163,""),"")</f>
        <v>0.509939663275339</v>
      </c>
      <c r="V331" s="266">
        <f>IFERROR(IF(AND(COUNT(S15,T15,U15,V15)=4,N(V163)&lt;&gt;0),(S15+T15+U15+V15)/V163,""),"")</f>
        <v>0.558796880958566</v>
      </c>
      <c r="W331" s="264">
        <f>IFERROR(IF(AND(COUNT(S15,T15,U15,V15)=4,N(W163)&lt;&gt;0),(S15+T15+U15+V15)/W163,""),"")</f>
        <v>0.558796880958566</v>
      </c>
      <c r="X331" s="266">
        <f>IFERROR(IF(AND(COUNT(T15,U15,V15,X15)=4,N(X163)&lt;&gt;0),(T15+U15+V15+X15)/X163,""),"")</f>
        <v>0.610852162379676</v>
      </c>
      <c r="Y331" s="266">
        <f>IFERROR(IF(AND(COUNT(U15,V15,X15,Y15)=4,N(Y163)&lt;&gt;0),(U15+V15+X15+Y15)/Y163,""),"")</f>
        <v>0.582479822041096</v>
      </c>
      <c r="Z331" s="266">
        <f>IFERROR(IF(AND(COUNT(V15,X15,Y15,Z15)=4,N(Z163)&lt;&gt;0),(V15+X15+Y15+Z15)/Z163,""),"")</f>
        <v>0.579359263211418</v>
      </c>
      <c r="AA331" s="266">
        <f>IFERROR(IF(AND(COUNT(X15,Y15,Z15,AA15)=4,N(AA163)&lt;&gt;0),(X15+Y15+Z15+AA15)/AA163,""),"")</f>
        <v>0.588303306970153</v>
      </c>
      <c r="AB331" s="264">
        <f>IFERROR(IF(AND(COUNT(X15,Y15,Z15,AA15)=4,N(AB163)&lt;&gt;0),(X15+Y15+Z15+AA15)/AB163,""),"")</f>
        <v>0.588303306970153</v>
      </c>
      <c r="AC331" s="266">
        <f>IFERROR(IF(AND(COUNT(Y15,Z15,AA15,AC15)=4,N(AC163)&lt;&gt;0),(Y15+Z15+AA15+AC15)/AC163,""),"")</f>
        <v>0.587404504127968</v>
      </c>
      <c r="AD331" s="266">
        <f>IFERROR(IF(AND(COUNT(Z15,AA15,AC15,AD15)=4,N(AD163)&lt;&gt;0),(Z15+AA15+AC15+AD15)/AD163,""),"")</f>
        <v>0.599858321962087</v>
      </c>
      <c r="AE331" s="266">
        <f>IFERROR(IF(AND(COUNT(AA15,AC15,AD15,AE15)=4,N(AE163)&lt;&gt;0),(AA15+AC15+AD15+AE15)/AE163,""),"")</f>
        <v>0.594065737078211</v>
      </c>
      <c r="AF331" s="266">
        <f>IFERROR(IF(AND(COUNT(AB15,AD15,AE15,AF15)=4,N(AF163)&lt;&gt;0),(AB15+AD15+AE15+AF15)/AF163,""),"")</f>
        <v>1.05599535462946</v>
      </c>
      <c r="AG331" s="264">
        <f>IFERROR(IF(AND(COUNT(AC15,AD15,AE15,AF15)=4,N(AG163)&lt;&gt;0),(AC15+AD15+AE15+AF15)/AG163,""),"")</f>
        <v>0.627146737094286</v>
      </c>
      <c r="AH331" s="266">
        <f>IFERROR(IF(AND(COUNT(AD15,AF15,AG15,AH15)=4,N(AH163)&lt;&gt;0),(AD15+AF15+AG15+AH15)/AH163,""),"")</f>
        <v>1.09558807986362</v>
      </c>
      <c r="AI331" s="266">
        <f>IFERROR(IF(AND(COUNT(AE15,AG15,AH15,AI15)=4,N(AI163)&lt;&gt;0),(AE15+AG15+AH15+AI15)/AI163,""),"")</f>
        <v>1.10793671017382</v>
      </c>
      <c r="AJ331" s="266">
        <f>IFERROR(IF(AND(COUNT(AF15,AH15,AI15,AJ15)=4,N(AJ163)&lt;&gt;0),(AF15+AH15+AI15+AJ15)/AJ163,""),"")</f>
        <v>0.644573598858179</v>
      </c>
      <c r="AK331" s="266">
        <f>IFERROR(IF(AND(COUNT(AH15,AI15,AJ15,AK15)=4,N(AK163)&lt;&gt;0),(AH15+AI15+AJ15+AK15)/AK163,""),"")</f>
        <v>0.64200053050581</v>
      </c>
      <c r="AL331" s="264">
        <f>IFERROR(IF(AND(COUNT(AH15,AI15,AJ15,AK15)=4,N(AL163)&lt;&gt;0),(AH15+AI15+AJ15+AK15)/AL163,""),"")</f>
        <v>0.64200053050581</v>
      </c>
      <c r="AM331" s="266">
        <f>IFERROR(IF(AND(COUNT(AI15,AJ15,AK15,AM15)=4,N(AM163)&lt;&gt;0),(AI15+AJ15+AK15+AM15)/AM163,""),"")</f>
        <v>0.633665221932669</v>
      </c>
      <c r="AN331" s="266">
        <f>IFERROR(IF(AND(COUNT(AJ15,AK15,AM15,AN15)=4,N(AN163)&lt;&gt;0),(AJ15+AK15+AM15+AN15)/AN163,""),"")</f>
        <v>0.627754909235507</v>
      </c>
      <c r="AO331" s="266">
        <f>IFERROR(IF(AND(COUNT(AK15,AM15,AN15,AO15)=4,N(AO163)&lt;&gt;0),(AK15+AM15+AN15+AO15)/AO163,""),"")</f>
        <v>0.622115204034048</v>
      </c>
      <c r="AP331" s="266">
        <f>IFERROR(IF(AND(COUNT(AM15,AN15,AO15,AP15)=4,N(AP163)&lt;&gt;0),(AM15+AN15+AO15+AP15)/AP163,""),"")</f>
        <v>0.619478355587978</v>
      </c>
      <c r="AQ331" s="264">
        <f>IFERROR(IF(AND(COUNT(AM15,AN15,AO15,AP15)=4,N(AQ163)&lt;&gt;0),(AM15+AN15+AO15+AP15)/AQ163,""),"")</f>
        <v>0.619478355587978</v>
      </c>
      <c r="AR331" s="266">
        <f>IFERROR(IF(AND(COUNT(AN15,AO15,AP15,AR15)=4,N(AR163)&lt;&gt;0),(AN15+AO15+AP15+AR15)/AR163,""),"")</f>
        <v>0.611493693617623</v>
      </c>
      <c r="AS331" s="266">
        <f>IFERROR(IF(AND(COUNT(AO15,AP15,AR15,AS15)=4,N(AS163)&lt;&gt;0),(AO15+AP15+AR15+AS15)/AS163,""),"")</f>
        <v>0.604872952725975</v>
      </c>
      <c r="AT331" s="266">
        <f>IFERROR(IF(AND(COUNT(AP15,AR15,AS15,AT15)=4,N(AT163)&lt;&gt;0),(AP15+AR15+AS15+AT15)/AT163,""),"")</f>
        <v>0.598872831323551</v>
      </c>
      <c r="AU331" s="266">
        <f>IFERROR(IF(AND(COUNT(AR15,AS15,AT15,AU15)=4,N(AU163)&lt;&gt;0),(AR15+AS15+AT15+AU15)/AU163,""),"")</f>
        <v>0.595664474013015</v>
      </c>
      <c r="AV331" s="264">
        <f>IFERROR(IF(AND(COUNT(AR15,AS15,AT15,AU15)=4,N(AV163)&lt;&gt;0),(AR15+AS15+AT15+AU15)/AV163,""),"")</f>
        <v>0.595664474013015</v>
      </c>
      <c r="AW331" s="266">
        <f>IFERROR(IF(AND(COUNT(AS15,AT15,AU15,AW15)=4,N(AW163)&lt;&gt;0),(AS15+AT15+AU15+AW15)/AW163,""),"")</f>
        <v>0.587330036084923</v>
      </c>
      <c r="AX331" s="266">
        <f>IFERROR(IF(AND(COUNT(AT15,AU15,AW15,AX15)=4,N(AX163)&lt;&gt;0),(AT15+AU15+AW15+AX15)/AX163,""),"")</f>
        <v>0.580796643410067</v>
      </c>
      <c r="AY331" s="266">
        <f>IFERROR(IF(AND(COUNT(AU15,AW15,AX15,AY15)=4,N(AY163)&lt;&gt;0),(AU15+AW15+AX15+AY15)/AY163,""),"")</f>
        <v>0.57449878952192</v>
      </c>
      <c r="AZ331" s="266">
        <f>IFERROR(IF(AND(COUNT(AW15,AX15,AY15,AZ15)=4,N(AZ163)&lt;&gt;0),(AW15+AX15+AY15+AZ15)/AZ163,""),"")</f>
        <v>0.570781020121081</v>
      </c>
      <c r="BA331" s="264">
        <f>IFERROR(IF(AND(COUNT(AW15,AX15,AY15,AZ15)=4,N(BA163)&lt;&gt;0),(AW15+AX15+AY15+AZ15)/BA163,""),"")</f>
        <v>0.570781020121081</v>
      </c>
      <c r="BB331" s="266">
        <f>IFERROR(IF(AND(COUNT(AX15,AY15,AZ15,BB15)=4,N(BB163)&lt;&gt;0),(AX15+AY15+AZ15+BB15)/BB163,""),"")</f>
        <v>0.562512725958101</v>
      </c>
      <c r="BC331" s="266">
        <f>IFERROR(IF(AND(COUNT(AY15,AZ15,BB15,BC15)=4,N(BC163)&lt;&gt;0),(AY15+AZ15+BB15+BC15)/BC163,""),"")</f>
        <v>0.55577077128516</v>
      </c>
      <c r="BD331" s="266">
        <f>IFERROR(IF(AND(COUNT(AZ15,BB15,BC15,BD15)=4,N(BD163)&lt;&gt;0),(AZ15+BB15+BC15+BD15)/BD163,""),"")</f>
        <v>0.549250885768192</v>
      </c>
      <c r="BE331" s="266">
        <f>IFERROR(IF(AND(COUNT(BB15,BC15,BD15,BE15)=4,N(BE163)&lt;&gt;0),(BB15+BC15+BD15+BE15)/BE163,""),"")</f>
        <v>0.54510297487611</v>
      </c>
      <c r="BF331" s="264">
        <f>IFERROR(IF(AND(COUNT(BB15,BC15,BD15,BE15)=4,N(BF163)&lt;&gt;0),(BB15+BC15+BD15+BE15)/BF163,""),"")</f>
        <v>0.54510297487611</v>
      </c>
      <c r="BG331" s="81" t="n"/>
      <c r="BH331" s="81" t="n"/>
      <c r="BI331" s="81" t="n"/>
      <c r="BJ331" s="81" t="n"/>
      <c r="BL331" s="81" t="n"/>
      <c r="BM331" s="81" t="n"/>
      <c r="BN331" s="81" t="n"/>
      <c r="BO331" s="81" t="n"/>
      <c r="BQ331" s="81" t="n"/>
      <c r="BR331" s="81" t="n"/>
      <c r="BS331" s="81" t="n"/>
      <c r="BT331" s="81" t="n"/>
      <c r="BV331" s="81" t="n"/>
      <c r="BW331" s="81" t="n"/>
      <c r="BX331" s="81" t="n"/>
      <c r="BY331" s="81" t="n"/>
      <c r="CA331" s="81" t="n"/>
      <c r="CB331" s="81" t="n"/>
      <c r="CC331" s="81" t="n"/>
      <c r="CD331" s="81" t="n"/>
      <c r="CF331" s="81" t="n"/>
      <c r="CG331" s="81" t="n"/>
      <c r="CH331" s="81" t="n"/>
      <c r="CI331" s="81" t="n"/>
      <c r="CK331" s="81" t="n"/>
      <c r="CL331" s="81" t="n"/>
      <c r="CM331" s="81" t="n"/>
      <c r="CN331" s="81" t="n"/>
      <c r="CP331" s="81" t="n"/>
      <c r="CQ331" s="81" t="n"/>
      <c r="CR331" s="81" t="n"/>
      <c r="CS331" s="81" t="n"/>
      <c r="CU331" s="81" t="n"/>
      <c r="CV331" s="81" t="n"/>
      <c r="CW331" s="81" t="n"/>
      <c r="CX331" s="81" t="n"/>
    </row>
    <row r="332" customFormat="1" s="77">
      <c r="A332" s="76" t="n"/>
      <c r="B332" s="76" t="n"/>
      <c r="C332" s="77" t="inlineStr">
        <is>
          <t>EQUITY MULTIPLIER (ASSETS / EQUITY)</t>
        </is>
      </c>
      <c r="D332" s="84" t="str">
        <f>IFERROR(D163/D237,"")</f>
        <v/>
      </c>
      <c r="E332" s="84" t="str">
        <f>IFERROR(E163/E237,"")</f>
        <v/>
      </c>
      <c r="F332" s="84" t="str">
        <f>IFERROR(F163/F237,"")</f>
        <v/>
      </c>
      <c r="G332" s="84" t="str">
        <f>IFERROR(G163/G237,"")</f>
        <v/>
      </c>
      <c r="H332" s="264" t="str">
        <f>IFERROR(IF(N(H237)&lt;&gt;0,H163/H237,""),"")</f>
        <v/>
      </c>
      <c r="I332" s="266">
        <f>IFERROR(IF(N(I237)&lt;&gt;0,I163/I237,""),"")</f>
        <v>3.29234473395297</v>
      </c>
      <c r="J332" s="266">
        <f>IFERROR(IF(N(J237)&lt;&gt;0,J163/J237,""),"")</f>
        <v>3.0743850907302</v>
      </c>
      <c r="K332" s="266">
        <f>IFERROR(IF(N(K237)&lt;&gt;0,K163/K237,""),"")</f>
        <v>3.45786495095741</v>
      </c>
      <c r="L332" s="266">
        <f>IFERROR(IF(N(L237)&lt;&gt;0,L163/L237,""),"")</f>
        <v>3.2751845795967</v>
      </c>
      <c r="M332" s="264">
        <f>IFERROR(IF(N(M237)&lt;&gt;0,M163/M237,""),"")</f>
        <v>3.2751845795967</v>
      </c>
      <c r="N332" s="266">
        <f>IFERROR(IF(N(N237)&lt;&gt;0,N163/N237,""),"")</f>
        <v>3.41902854677559</v>
      </c>
      <c r="O332" s="266">
        <f>IFERROR(IF(N(O237)&lt;&gt;0,O163/O237,""),"")</f>
        <v>3.74009190851941</v>
      </c>
      <c r="P332" s="266">
        <f>IFERROR(IF(N(P237)&lt;&gt;0,P163/P237,""),"")</f>
        <v>3.64281878640904</v>
      </c>
      <c r="Q332" s="266">
        <f>IFERROR(IF(N(Q237)&lt;&gt;0,Q163/Q237,""),"")</f>
        <v>2.88468168050254</v>
      </c>
      <c r="R332" s="264">
        <f>IFERROR(IF(N(R237)&lt;&gt;0,R163/R237,""),"")</f>
        <v>2.88468168050254</v>
      </c>
      <c r="S332" s="266">
        <f>IFERROR(IF(N(S237)&lt;&gt;0,S163/S237,""),"")</f>
        <v>2.80054266471372</v>
      </c>
      <c r="T332" s="266">
        <f>IFERROR(IF(N(T237)&lt;&gt;0,T163/T237,""),"")</f>
        <v>2.25306738618764</v>
      </c>
      <c r="U332" s="266">
        <f>IFERROR(IF(N(U237)&lt;&gt;0,U163/U237,""),"")</f>
        <v>2.22133381613249</v>
      </c>
      <c r="V332" s="266">
        <f>IFERROR(IF(N(V237)&lt;&gt;0,V163/V237,""),"")</f>
        <v>2.26566413686371</v>
      </c>
      <c r="W332" s="264">
        <f>IFERROR(IF(N(W237)&lt;&gt;0,W163/W237,""),"")</f>
        <v>2.26566413686371</v>
      </c>
      <c r="X332" s="266">
        <f>IFERROR(IF(N(X237)&lt;&gt;0,X163/X237,""),"")</f>
        <v>2.24183912602433</v>
      </c>
      <c r="Y332" s="266">
        <f>IFERROR(IF(N(Y237)&lt;&gt;0,Y163/Y237,""),"")</f>
        <v>2.35726151230272</v>
      </c>
      <c r="Z332" s="266">
        <f>IFERROR(IF(N(Z237)&lt;&gt;0,Z163/Z237,""),"")</f>
        <v>2.40080621166188</v>
      </c>
      <c r="AA332" s="266">
        <f>IFERROR(IF(N(AA237)&lt;&gt;0,AA163/AA237,""),"")</f>
        <v>2.43029222686258</v>
      </c>
      <c r="AB332" s="264">
        <f>IFERROR(IF(N(AB237)&lt;&gt;0,AB163/AB237,""),"")</f>
        <v>2.43029222686258</v>
      </c>
      <c r="AC332" s="266">
        <f>IFERROR(IF(N(AC237)&lt;&gt;0,AC163/AC237,""),"")</f>
        <v>2.49439289183123</v>
      </c>
      <c r="AD332" s="266">
        <f>IFERROR(IF(N(AD237)&lt;&gt;0,AD163/AD237,""),"")</f>
        <v>2.38961670919766</v>
      </c>
      <c r="AE332" s="266">
        <f>IFERROR(IF(N(AE237)&lt;&gt;0,AE163/AE237,""),"")</f>
        <v>2.47766526978087</v>
      </c>
      <c r="AF332" s="266">
        <f>IFERROR(IF(N(AF237)&lt;&gt;0,AF163/AF237,""),"")</f>
        <v>2.5941494835044</v>
      </c>
      <c r="AG332" s="264">
        <f>IFERROR(IF(N(AG237)&lt;&gt;0,AG163/AG237,""),"")</f>
        <v>2.5941494835044</v>
      </c>
      <c r="AH332" s="266">
        <f>IFERROR(IF(N(AH237)&lt;&gt;0,AH163/AH237,""),"")</f>
        <v>2.52492954229111</v>
      </c>
      <c r="AI332" s="266">
        <f>IFERROR(IF(N(AI237)&lt;&gt;0,AI163/AI237,""),"")</f>
        <v>2.45697009915243</v>
      </c>
      <c r="AJ332" s="266">
        <f>IFERROR(IF(N(AJ237)&lt;&gt;0,AJ163/AJ237,""),"")</f>
        <v>2.36827967520904</v>
      </c>
      <c r="AK332" s="266">
        <f>IFERROR(IF(N(AK237)&lt;&gt;0,AK163/AK237,""),"")</f>
        <v>2.29163247352645</v>
      </c>
      <c r="AL332" s="264">
        <f>IFERROR(IF(N(AL237)&lt;&gt;0,AL163/AL237,""),"")</f>
        <v>2.29163247352645</v>
      </c>
      <c r="AM332" s="266">
        <f>IFERROR(IF(N(AM237)&lt;&gt;0,AM163/AM237,""),"")</f>
        <v>2.23806177063091</v>
      </c>
      <c r="AN332" s="266">
        <f>IFERROR(IF(N(AN237)&lt;&gt;0,AN163/AN237,""),"")</f>
        <v>2.1808369125332</v>
      </c>
      <c r="AO332" s="266">
        <f>IFERROR(IF(N(AO237)&lt;&gt;0,AO163/AO237,""),"")</f>
        <v>2.12773490475635</v>
      </c>
      <c r="AP332" s="266">
        <f>IFERROR(IF(N(AP237)&lt;&gt;0,AP163/AP237,""),"")</f>
        <v>2.07498642443947</v>
      </c>
      <c r="AQ332" s="264">
        <f>IFERROR(IF(N(AQ237)&lt;&gt;0,AQ163/AQ237,""),"")</f>
        <v>2.07498642443947</v>
      </c>
      <c r="AR332" s="266">
        <f>IFERROR(IF(N(AR237)&lt;&gt;0,AR163/AR237,""),"")</f>
        <v>2.03918097119069</v>
      </c>
      <c r="AS332" s="266">
        <f>IFERROR(IF(N(AS237)&lt;&gt;0,AS163/AS237,""),"")</f>
        <v>2.00172009256336</v>
      </c>
      <c r="AT332" s="266">
        <f>IFERROR(IF(N(AT237)&lt;&gt;0,AT163/AT237,""),"")</f>
        <v>1.96532354607899</v>
      </c>
      <c r="AU332" s="266">
        <f>IFERROR(IF(N(AU237)&lt;&gt;0,AU163/AU237,""),"")</f>
        <v>1.92739474888925</v>
      </c>
      <c r="AV332" s="264">
        <f>IFERROR(IF(N(AV237)&lt;&gt;0,AV163/AV237,""),"")</f>
        <v>1.92739474888925</v>
      </c>
      <c r="AW332" s="266">
        <f>IFERROR(IF(N(AW237)&lt;&gt;0,AW163/AW237,""),"")</f>
        <v>1.90466415361342</v>
      </c>
      <c r="AX332" s="266">
        <f>IFERROR(IF(N(AX237)&lt;&gt;0,AX163/AX237,""),"")</f>
        <v>1.87795518924561</v>
      </c>
      <c r="AY332" s="266">
        <f>IFERROR(IF(N(AY237)&lt;&gt;0,AY163/AY237,""),"")</f>
        <v>1.85257522431935</v>
      </c>
      <c r="AZ332" s="266">
        <f>IFERROR(IF(N(AZ237)&lt;&gt;0,AZ163/AZ237,""),"")</f>
        <v>1.82472604019026</v>
      </c>
      <c r="BA332" s="264">
        <f>IFERROR(IF(N(BA237)&lt;&gt;0,BA163/BA237,""),"")</f>
        <v>1.82472604019026</v>
      </c>
      <c r="BB332" s="266">
        <f>IFERROR(IF(N(BB237)&lt;&gt;0,BB163/BB237,""),"")</f>
        <v>1.80988715776634</v>
      </c>
      <c r="BC332" s="266">
        <f>IFERROR(IF(N(BC237)&lt;&gt;0,BC163/BC237,""),"")</f>
        <v>1.79142182167914</v>
      </c>
      <c r="BD332" s="266">
        <f>IFERROR(IF(N(BD237)&lt;&gt;0,BD163/BD237,""),"")</f>
        <v>1.77373567723919</v>
      </c>
      <c r="BE332" s="266">
        <f>IFERROR(IF(N(BE237)&lt;&gt;0,BE163/BE237,""),"")</f>
        <v>1.75312044664517</v>
      </c>
      <c r="BF332" s="264">
        <f>IFERROR(IF(N(BF237)&lt;&gt;0,BF163/BF237,""),"")</f>
        <v>1.75312044664517</v>
      </c>
      <c r="BG332" s="81" t="n"/>
      <c r="BH332" s="81" t="n"/>
      <c r="BI332" s="81" t="n"/>
      <c r="BJ332" s="81" t="n"/>
      <c r="BL332" s="81" t="n"/>
      <c r="BM332" s="81" t="n"/>
      <c r="BN332" s="81" t="n"/>
      <c r="BO332" s="81" t="n"/>
      <c r="BQ332" s="81" t="n"/>
      <c r="BR332" s="81" t="n"/>
      <c r="BS332" s="81" t="n"/>
      <c r="BT332" s="81" t="n"/>
      <c r="BV332" s="81" t="n"/>
      <c r="BW332" s="81" t="n"/>
      <c r="BX332" s="81" t="n"/>
      <c r="BY332" s="81" t="n"/>
      <c r="CA332" s="81" t="n"/>
      <c r="CB332" s="81" t="n"/>
      <c r="CC332" s="81" t="n"/>
      <c r="CD332" s="81" t="n"/>
      <c r="CF332" s="81" t="n"/>
      <c r="CG332" s="81" t="n"/>
      <c r="CH332" s="81" t="n"/>
      <c r="CI332" s="81" t="n"/>
      <c r="CK332" s="81" t="n"/>
      <c r="CL332" s="81" t="n"/>
      <c r="CM332" s="81" t="n"/>
      <c r="CN332" s="81" t="n"/>
      <c r="CP332" s="81" t="n"/>
      <c r="CQ332" s="81" t="n"/>
      <c r="CR332" s="81" t="n"/>
      <c r="CS332" s="81" t="n"/>
      <c r="CU332" s="81" t="n"/>
      <c r="CV332" s="81" t="n"/>
      <c r="CW332" s="81" t="n"/>
      <c r="CX332" s="81" t="n"/>
    </row>
    <row r="333" customFormat="1" s="77">
      <c r="A333" s="76" t="n"/>
      <c r="B333" s="76" t="n"/>
      <c r="C333" s="77" t="inlineStr">
        <is>
          <t>ROE - DUPONT</t>
        </is>
      </c>
      <c r="D333" s="84">
        <f>IFERROR(PRODUCT(D330:D332),"")</f>
        <v>0</v>
      </c>
      <c r="E333" s="84">
        <f>IFERROR(PRODUCT(E330:E332),"")</f>
        <v>0</v>
      </c>
      <c r="F333" s="84">
        <f>IFERROR(PRODUCT(F330:F332),"")</f>
        <v>0</v>
      </c>
      <c r="G333" s="84">
        <f>IFERROR(PRODUCT(G330:G332),"")</f>
        <v>0</v>
      </c>
      <c r="H333" s="258" t="str">
        <f>IFERROR(IF(COUNT(H330,H331,H332)=3,H330*H331*H332,""),"")</f>
        <v/>
      </c>
      <c r="I333" s="257" t="str">
        <f>IFERROR(IF(COUNT(I330,I331,I332)=3,I330*I331*I332,""),"")</f>
        <v/>
      </c>
      <c r="J333" s="257" t="str">
        <f>IFERROR(IF(COUNT(J330,J331,J332)=3,J330*J331*J332,""),"")</f>
        <v/>
      </c>
      <c r="K333" s="257" t="str">
        <f>IFERROR(IF(COUNT(K330,K331,K332)=3,K330*K331*K332,""),"")</f>
        <v/>
      </c>
      <c r="L333" s="257">
        <f>IFERROR(IF(COUNT(L330,L331,L332)=3,L330*L331*L332,""),"")</f>
        <v>0.188691565156607</v>
      </c>
      <c r="M333" s="258">
        <f>IFERROR(IF(COUNT(M330,M331,M332)=3,M330*M331*M332,""),"")</f>
        <v>0.188691565156607</v>
      </c>
      <c r="N333" s="257">
        <f>IFERROR(IF(COUNT(N330,N331,N332)=3,N330*N331*N332,""),"")</f>
        <v>0.194874627879833</v>
      </c>
      <c r="O333" s="257">
        <f>IFERROR(IF(COUNT(O330,O331,O332)=3,O330*O331*O332,""),"")</f>
        <v>0.18959794052221</v>
      </c>
      <c r="P333" s="257">
        <f>IFERROR(IF(COUNT(P330,P331,P332)=3,P330*P331*P332,""),"")</f>
        <v>0.18005338978761</v>
      </c>
      <c r="Q333" s="257">
        <f>IFERROR(IF(COUNT(Q330,Q331,Q332)=3,Q330*Q331*Q332,""),"")</f>
        <v>0.113994339248012</v>
      </c>
      <c r="R333" s="258">
        <f>IFERROR(IF(COUNT(R330,R331,R332)=3,R330*R331*R332,""),"")</f>
        <v>0.113994339248012</v>
      </c>
      <c r="S333" s="257">
        <f>IFERROR(IF(COUNT(S330,S331,S332)=3,S330*S331*S332,""),"")</f>
        <v>0.103746852565504</v>
      </c>
      <c r="T333" s="257">
        <f>IFERROR(IF(COUNT(T330,T331,T332)=3,T330*T331*T332,""),"")</f>
        <v>0.0577923738799244</v>
      </c>
      <c r="U333" s="257">
        <f>IFERROR(IF(COUNT(U330,U331,U332)=3,U330*U331*U332,""),"")</f>
        <v>0.0719248531779516</v>
      </c>
      <c r="V333" s="257">
        <f>IFERROR(IF(COUNT(V330,V331,V332)=3,V330*V331*V332,""),"")</f>
        <v>0.0829094490560685</v>
      </c>
      <c r="W333" s="258">
        <f>IFERROR(IF(COUNT(W330,W331,W332)=3,W330*W331*W332,""),"")</f>
        <v>0.0829094490560685</v>
      </c>
      <c r="X333" s="257">
        <f>IFERROR(IF(COUNT(X330,X331,X332)=3,X330*X331*X332,""),"")</f>
        <v>0.0955092922952784</v>
      </c>
      <c r="Y333" s="257">
        <f>IFERROR(IF(COUNT(Y330,Y331,Y332)=3,Y330*Y331*Y332,""),"")</f>
        <v>0.109927796155993</v>
      </c>
      <c r="Z333" s="257">
        <f>IFERROR(IF(COUNT(Z330,Z331,Z332)=3,Z330*Z331*Z332,""),"")</f>
        <v>0.113033578944906</v>
      </c>
      <c r="AA333" s="257">
        <f>IFERROR(IF(COUNT(AA330,AA331,AA332)=3,AA330*AA331*AA332,""),"")</f>
        <v>0.114640255665713</v>
      </c>
      <c r="AB333" s="258">
        <f>IFERROR(IF(COUNT(AB330,AB331,AB332)=3,AB330*AB331*AB332,""),"")</f>
        <v>0.114640255665713</v>
      </c>
      <c r="AC333" s="257">
        <f>IFERROR(IF(COUNT(AC330,AC331,AC332)=3,AC330*AC331*AC332,""),"")</f>
        <v>0.117945936814587</v>
      </c>
      <c r="AD333" s="257">
        <f>IFERROR(IF(COUNT(AD330,AD331,AD332)=3,AD330*AD331*AD332,""),"")</f>
        <v>0.110814304325731</v>
      </c>
      <c r="AE333" s="257">
        <f>IFERROR(IF(COUNT(AE330,AE331,AE332)=3,AE330*AE331*AE332,""),"")</f>
        <v>0.109512864680032</v>
      </c>
      <c r="AF333" s="257">
        <f>IFERROR(IF(COUNT(AF330,AF331,AF332)=3,AF330*AF331*AF332,""),"")</f>
        <v>0.205977454777496</v>
      </c>
      <c r="AG333" s="258">
        <f>IFERROR(IF(COUNT(AG330,AG331,AG332)=3,AG330*AG331*AG332,""),"")</f>
        <v>0.12025085837401</v>
      </c>
      <c r="AH333" s="257">
        <f>IFERROR(IF(COUNT(AH330,AH331,AH332)=3,AH330*AH331*AH332,""),"")</f>
        <v>0.201353514549702</v>
      </c>
      <c r="AI333" s="257">
        <f>IFERROR(IF(COUNT(AI330,AI331,AI332)=3,AI330*AI331*AI332,""),"")</f>
        <v>0.221226386395299</v>
      </c>
      <c r="AJ333" s="257">
        <f>IFERROR(IF(COUNT(AJ330,AJ331,AJ332)=3,AJ330*AJ331*AJ332,""),"")</f>
        <v>0.151902753622373</v>
      </c>
      <c r="AK333" s="257">
        <f>IFERROR(IF(COUNT(AK330,AK331,AK332)=3,AK330*AK331*AK332,""),"")</f>
        <v>0.184483255861786</v>
      </c>
      <c r="AL333" s="258">
        <f>IFERROR(IF(COUNT(AL330,AL331,AL332)=3,AL330*AL331*AL332,""),"")</f>
        <v>0.184483255861786</v>
      </c>
      <c r="AM333" s="257">
        <f>IFERROR(IF(COUNT(AM330,AM331,AM332)=3,AM330*AM331*AM332,""),"")</f>
        <v>0.201061032659776</v>
      </c>
      <c r="AN333" s="257">
        <f>IFERROR(IF(COUNT(AN330,AN331,AN332)=3,AN330*AN331*AN332,""),"")</f>
        <v>0.214688872230524</v>
      </c>
      <c r="AO333" s="257">
        <f>IFERROR(IF(COUNT(AO330,AO331,AO332)=3,AO330*AO331*AO332,""),"")</f>
        <v>0.207579547527376</v>
      </c>
      <c r="AP333" s="257">
        <f>IFERROR(IF(COUNT(AP330,AP331,AP332)=3,AP330*AP331*AP332,""),"")</f>
        <v>0.201575443548476</v>
      </c>
      <c r="AQ333" s="258">
        <f>IFERROR(IF(COUNT(AQ330,AQ331,AQ332)=3,AQ330*AQ331*AQ332,""),"")</f>
        <v>0.201575443548476</v>
      </c>
      <c r="AR333" s="257">
        <f>IFERROR(IF(COUNT(AR330,AR331,AR332)=3,AR330*AR331*AR332,""),"")</f>
        <v>0.195543768165108</v>
      </c>
      <c r="AS333" s="257">
        <f>IFERROR(IF(COUNT(AS330,AS331,AS332)=3,AS330*AS331*AS332,""),"")</f>
        <v>0.189873231247032</v>
      </c>
      <c r="AT333" s="257">
        <f>IFERROR(IF(COUNT(AT330,AT331,AT332)=3,AT330*AT331*AT332,""),"")</f>
        <v>0.184571608111321</v>
      </c>
      <c r="AU333" s="257">
        <f>IFERROR(IF(COUNT(AU330,AU331,AU332)=3,AU330*AU331*AU332,""),"")</f>
        <v>0.180039831635675</v>
      </c>
      <c r="AV333" s="258">
        <f>IFERROR(IF(COUNT(AV330,AV331,AV332)=3,AV330*AV331*AV332,""),"")</f>
        <v>0.180039831635675</v>
      </c>
      <c r="AW333" s="257">
        <f>IFERROR(IF(COUNT(AW330,AW331,AW332)=3,AW330*AW331*AW332,""),"")</f>
        <v>0.175427165860232</v>
      </c>
      <c r="AX333" s="257">
        <f>IFERROR(IF(COUNT(AX330,AX331,AX332)=3,AX330*AX331*AX332,""),"")</f>
        <v>0.171043096603584</v>
      </c>
      <c r="AY333" s="257">
        <f>IFERROR(IF(COUNT(AY330,AY331,AY332)=3,AY330*AY331*AY332,""),"")</f>
        <v>0.166901867906975</v>
      </c>
      <c r="AZ333" s="257">
        <f>IFERROR(IF(COUNT(AZ330,AZ331,AZ332)=3,AZ330*AZ331*AZ332,""),"")</f>
        <v>0.163329044235116</v>
      </c>
      <c r="BA333" s="258">
        <f>IFERROR(IF(COUNT(BA330,BA331,BA332)=3,BA330*BA331*BA332,""),"")</f>
        <v>0.163329044235116</v>
      </c>
      <c r="BB333" s="257">
        <f>IFERROR(IF(COUNT(BB330,BB331,BB332)=3,BB330*BB331*BB332,""),"")</f>
        <v>0.159654100817115</v>
      </c>
      <c r="BC333" s="257">
        <f>IFERROR(IF(COUNT(BC330,BC331,BC332)=3,BC330*BC331*BC332,""),"")</f>
        <v>0.156131233429333</v>
      </c>
      <c r="BD333" s="257">
        <f>IFERROR(IF(COUNT(BD330,BD331,BD332)=3,BD330*BD331*BD332,""),"")</f>
        <v>0.152776267365677</v>
      </c>
      <c r="BE333" s="257">
        <f>IFERROR(IF(COUNT(BE330,BE331,BE332)=3,BE330*BE331*BE332,""),"")</f>
        <v>0.149860278271138</v>
      </c>
      <c r="BF333" s="258">
        <f>IFERROR(IF(COUNT(BF330,BF331,BF332)=3,BF330*BF331*BF332,""),"")</f>
        <v>0.149860278271138</v>
      </c>
      <c r="BG333" s="81" t="n"/>
      <c r="BH333" s="81" t="n"/>
      <c r="BI333" s="81" t="n"/>
      <c r="BJ333" s="81" t="n"/>
      <c r="BL333" s="81" t="n"/>
      <c r="BM333" s="81" t="n"/>
      <c r="BN333" s="81" t="n"/>
      <c r="BO333" s="81" t="n"/>
      <c r="BQ333" s="81" t="n"/>
      <c r="BR333" s="81" t="n"/>
      <c r="BS333" s="81" t="n"/>
      <c r="BT333" s="81" t="n"/>
      <c r="BV333" s="81" t="n"/>
      <c r="BW333" s="81" t="n"/>
      <c r="BX333" s="81" t="n"/>
      <c r="BY333" s="81" t="n"/>
      <c r="CA333" s="81" t="n"/>
      <c r="CB333" s="81" t="n"/>
      <c r="CC333" s="81" t="n"/>
      <c r="CD333" s="81" t="n"/>
      <c r="CF333" s="81" t="n"/>
      <c r="CG333" s="81" t="n"/>
      <c r="CH333" s="81" t="n"/>
      <c r="CI333" s="81" t="n"/>
      <c r="CK333" s="81" t="n"/>
      <c r="CL333" s="81" t="n"/>
      <c r="CM333" s="81" t="n"/>
      <c r="CN333" s="81" t="n"/>
      <c r="CP333" s="81" t="n"/>
      <c r="CQ333" s="81" t="n"/>
      <c r="CR333" s="81" t="n"/>
      <c r="CS333" s="81" t="n"/>
      <c r="CU333" s="81" t="n"/>
      <c r="CV333" s="81" t="n"/>
      <c r="CW333" s="81" t="n"/>
      <c r="CX333" s="81" t="n"/>
    </row>
    <row r="334" customFormat="1" s="77">
      <c r="A334" s="76" t="n"/>
      <c r="B334" s="76" t="n"/>
      <c r="C334" s="77" t="inlineStr">
        <is>
          <t>ROE (LTM)</t>
        </is>
      </c>
      <c r="D334" s="84" t="str">
        <f>IFERROR(D103/D237,"")</f>
        <v/>
      </c>
      <c r="E334" s="84" t="str">
        <f>IFERROR(E103/E237,"")</f>
        <v/>
      </c>
      <c r="F334" s="84" t="str">
        <f>IFERROR(F103/F237,"")</f>
        <v/>
      </c>
      <c r="G334" s="84" t="str">
        <f>IFERROR(G103/G237,"")</f>
        <v/>
      </c>
      <c r="H334" s="258" t="str">
        <f>IFERROR(IF(AND(COUNT(H103)=1,N(H237)&lt;&gt;0),(H103)/H237,""),"")</f>
        <v/>
      </c>
      <c r="I334" s="257" t="str">
        <f>""</f>
        <v/>
      </c>
      <c r="J334" s="257" t="str">
        <f>""</f>
        <v/>
      </c>
      <c r="K334" s="257" t="str">
        <f>""</f>
        <v/>
      </c>
      <c r="L334" s="257">
        <f>IFERROR(IF(AND(COUNT(I103,J103,K103,L103)=4,N(L237)&lt;&gt;0),(I103+J103+K103+L103)/L237,""),"")</f>
        <v>0.188691565156607</v>
      </c>
      <c r="M334" s="258">
        <f>IFERROR(IF(AND(COUNT(I103,J103,K103,L103)=4,N(M237)&lt;&gt;0),(I103+J103+K103+L103)/M237,""),"")</f>
        <v>0.188691565156607</v>
      </c>
      <c r="N334" s="257">
        <f>IFERROR(IF(AND(COUNT(J103,K103,L103,N103)=4,N(N237)&lt;&gt;0),(J103+K103+L103+N103)/N237,""),"")</f>
        <v>0.194874627879833</v>
      </c>
      <c r="O334" s="257">
        <f>IFERROR(IF(AND(COUNT(K103,L103,N103,O103)=4,N(O237)&lt;&gt;0),(K103+L103+N103+O103)/O237,""),"")</f>
        <v>0.18959794052221</v>
      </c>
      <c r="P334" s="257">
        <f>IFERROR(IF(AND(COUNT(L103,N103,O103,P103)=4,N(P237)&lt;&gt;0),(L103+N103+O103+P103)/P237,""),"")</f>
        <v>0.18005338978761</v>
      </c>
      <c r="Q334" s="257">
        <f>IFERROR(IF(AND(COUNT(N103,O103,P103,Q103)=4,N(Q237)&lt;&gt;0),(N103+O103+P103+Q103)/Q237,""),"")</f>
        <v>0.113994339248012</v>
      </c>
      <c r="R334" s="258">
        <f>IFERROR(IF(AND(COUNT(N103,O103,P103,Q103)=4,N(R237)&lt;&gt;0),(N103+O103+P103+Q103)/R237,""),"")</f>
        <v>0.113994339248012</v>
      </c>
      <c r="S334" s="257">
        <f>IFERROR(IF(AND(COUNT(O103,P103,Q103,S103)=4,N(S237)&lt;&gt;0),(O103+P103+Q103+S103)/S237,""),"")</f>
        <v>0.103746852565504</v>
      </c>
      <c r="T334" s="257">
        <f>IFERROR(IF(AND(COUNT(P103,Q103,S103,T103)=4,N(T237)&lt;&gt;0),(P103+Q103+S103+T103)/T237,""),"")</f>
        <v>0.0577923738799244</v>
      </c>
      <c r="U334" s="257">
        <f>IFERROR(IF(AND(COUNT(Q103,S103,T103,U103)=4,N(U237)&lt;&gt;0),(Q103+S103+T103+U103)/U237,""),"")</f>
        <v>0.0719248531779516</v>
      </c>
      <c r="V334" s="257">
        <f>IFERROR(IF(AND(COUNT(S103,T103,U103,V103)=4,N(V237)&lt;&gt;0),(S103+T103+U103+V103)/V237,""),"")</f>
        <v>0.0829094490560685</v>
      </c>
      <c r="W334" s="258">
        <f>IFERROR(IF(AND(COUNT(S103,T103,U103,V103)=4,N(W237)&lt;&gt;0),(S103+T103+U103+V103)/W237,""),"")</f>
        <v>0.0829094490560685</v>
      </c>
      <c r="X334" s="257">
        <f>IFERROR(IF(AND(COUNT(T103,U103,V103,X103)=4,N(X237)&lt;&gt;0),(T103+U103+V103+X103)/X237,""),"")</f>
        <v>0.0955092922952784</v>
      </c>
      <c r="Y334" s="257">
        <f>IFERROR(IF(AND(COUNT(U103,V103,X103,Y103)=4,N(Y237)&lt;&gt;0),(U103+V103+X103+Y103)/Y237,""),"")</f>
        <v>0.109927796155993</v>
      </c>
      <c r="Z334" s="257">
        <f>IFERROR(IF(AND(COUNT(V103,X103,Y103,Z103)=4,N(Z237)&lt;&gt;0),(V103+X103+Y103+Z103)/Z237,""),"")</f>
        <v>0.113033578944906</v>
      </c>
      <c r="AA334" s="257">
        <f>IFERROR(IF(AND(COUNT(X103,Y103,Z103,AA103)=4,N(AA237)&lt;&gt;0),(X103+Y103+Z103+AA103)/AA237,""),"")</f>
        <v>0.114640255665713</v>
      </c>
      <c r="AB334" s="258">
        <f>IFERROR(IF(AND(COUNT(X103,Y103,Z103,AA103)=4,N(AB237)&lt;&gt;0),(X103+Y103+Z103+AA103)/AB237,""),"")</f>
        <v>0.114640255665713</v>
      </c>
      <c r="AC334" s="257">
        <f>IFERROR(IF(AND(COUNT(Y103,Z103,AA103,AC103)=4,N(AC237)&lt;&gt;0),(Y103+Z103+AA103+AC103)/AC237,""),"")</f>
        <v>0.117945936814587</v>
      </c>
      <c r="AD334" s="257">
        <f>IFERROR(IF(AND(COUNT(Z103,AA103,AC103,AD103)=4,N(AD237)&lt;&gt;0),(Z103+AA103+AC103+AD103)/AD237,""),"")</f>
        <v>0.110814304325731</v>
      </c>
      <c r="AE334" s="257">
        <f>IFERROR(IF(AND(COUNT(AA103,AC103,AD103,AE103)=4,N(AE237)&lt;&gt;0),(AA103+AC103+AD103+AE103)/AE237,""),"")</f>
        <v>0.109512864680032</v>
      </c>
      <c r="AF334" s="257">
        <f>IFERROR(IF(AND(COUNT(AB103,AD103,AE103,AF103)=4,N(AF237)&lt;&gt;0),(AB103+AD103+AE103+AF103)/AF237,""),"")</f>
        <v>0.205977454777496</v>
      </c>
      <c r="AG334" s="258">
        <f>IFERROR(IF(AND(COUNT(AC103,AD103,AE103,AF103)=4,N(AG237)&lt;&gt;0),(AC103+AD103+AE103+AF103)/AG237,""),"")</f>
        <v>0.12025085837401</v>
      </c>
      <c r="AH334" s="257">
        <f>IFERROR(IF(AND(COUNT(AD103,AF103,AG103,AH103)=4,N(AH237)&lt;&gt;0),(AD103+AF103+AG103+AH103)/AH237,""),"")</f>
        <v>0.201353514549702</v>
      </c>
      <c r="AI334" s="257">
        <f>IFERROR(IF(AND(COUNT(AE103,AG103,AH103,AI103)=4,N(AI237)&lt;&gt;0),(AE103+AG103+AH103+AI103)/AI237,""),"")</f>
        <v>0.221226386395299</v>
      </c>
      <c r="AJ334" s="257">
        <f>IFERROR(IF(AND(COUNT(AF103,AH103,AI103,AJ103)=4,N(AJ237)&lt;&gt;0),(AF103+AH103+AI103+AJ103)/AJ237,""),"")</f>
        <v>0.151902753622373</v>
      </c>
      <c r="AK334" s="257">
        <f>IFERROR(IF(AND(COUNT(AH103,AI103,AJ103,AK103)=4,N(AK237)&lt;&gt;0),(AH103+AI103+AJ103+AK103)/AK237,""),"")</f>
        <v>0.184483255861786</v>
      </c>
      <c r="AL334" s="258">
        <f>IFERROR(IF(AND(COUNT(AH103,AI103,AJ103,AK103)=4,N(AL237)&lt;&gt;0),(AH103+AI103+AJ103+AK103)/AL237,""),"")</f>
        <v>0.184483255861786</v>
      </c>
      <c r="AM334" s="257">
        <f>IFERROR(IF(AND(COUNT(AI103,AJ103,AK103,AM103)=4,N(AM237)&lt;&gt;0),(AI103+AJ103+AK103+AM103)/AM237,""),"")</f>
        <v>0.201061032659776</v>
      </c>
      <c r="AN334" s="257">
        <f>IFERROR(IF(AND(COUNT(AJ103,AK103,AM103,AN103)=4,N(AN237)&lt;&gt;0),(AJ103+AK103+AM103+AN103)/AN237,""),"")</f>
        <v>0.214688872230524</v>
      </c>
      <c r="AO334" s="257">
        <f>IFERROR(IF(AND(COUNT(AK103,AM103,AN103,AO103)=4,N(AO237)&lt;&gt;0),(AK103+AM103+AN103+AO103)/AO237,""),"")</f>
        <v>0.207579547527376</v>
      </c>
      <c r="AP334" s="257">
        <f>IFERROR(IF(AND(COUNT(AM103,AN103,AO103,AP103)=4,N(AP237)&lt;&gt;0),(AM103+AN103+AO103+AP103)/AP237,""),"")</f>
        <v>0.201575443548476</v>
      </c>
      <c r="AQ334" s="258">
        <f>IFERROR(IF(AND(COUNT(AM103,AN103,AO103,AP103)=4,N(AQ237)&lt;&gt;0),(AM103+AN103+AO103+AP103)/AQ237,""),"")</f>
        <v>0.201575443548476</v>
      </c>
      <c r="AR334" s="257">
        <f>IFERROR(IF(AND(COUNT(AN103,AO103,AP103,AR103)=4,N(AR237)&lt;&gt;0),(AN103+AO103+AP103+AR103)/AR237,""),"")</f>
        <v>0.195543768165108</v>
      </c>
      <c r="AS334" s="257">
        <f>IFERROR(IF(AND(COUNT(AO103,AP103,AR103,AS103)=4,N(AS237)&lt;&gt;0),(AO103+AP103+AR103+AS103)/AS237,""),"")</f>
        <v>0.189873231247032</v>
      </c>
      <c r="AT334" s="257">
        <f>IFERROR(IF(AND(COUNT(AP103,AR103,AS103,AT103)=4,N(AT237)&lt;&gt;0),(AP103+AR103+AS103+AT103)/AT237,""),"")</f>
        <v>0.184571608111321</v>
      </c>
      <c r="AU334" s="257">
        <f>IFERROR(IF(AND(COUNT(AR103,AS103,AT103,AU103)=4,N(AU237)&lt;&gt;0),(AR103+AS103+AT103+AU103)/AU237,""),"")</f>
        <v>0.180039831635675</v>
      </c>
      <c r="AV334" s="258">
        <f>IFERROR(IF(AND(COUNT(AR103,AS103,AT103,AU103)=4,N(AV237)&lt;&gt;0),(AR103+AS103+AT103+AU103)/AV237,""),"")</f>
        <v>0.180039831635675</v>
      </c>
      <c r="AW334" s="257">
        <f>IFERROR(IF(AND(COUNT(AS103,AT103,AU103,AW103)=4,N(AW237)&lt;&gt;0),(AS103+AT103+AU103+AW103)/AW237,""),"")</f>
        <v>0.175427165860232</v>
      </c>
      <c r="AX334" s="257">
        <f>IFERROR(IF(AND(COUNT(AT103,AU103,AW103,AX103)=4,N(AX237)&lt;&gt;0),(AT103+AU103+AW103+AX103)/AX237,""),"")</f>
        <v>0.171043096603584</v>
      </c>
      <c r="AY334" s="257">
        <f>IFERROR(IF(AND(COUNT(AU103,AW103,AX103,AY103)=4,N(AY237)&lt;&gt;0),(AU103+AW103+AX103+AY103)/AY237,""),"")</f>
        <v>0.166901867906974</v>
      </c>
      <c r="AZ334" s="257">
        <f>IFERROR(IF(AND(COUNT(AW103,AX103,AY103,AZ103)=4,N(AZ237)&lt;&gt;0),(AW103+AX103+AY103+AZ103)/AZ237,""),"")</f>
        <v>0.163329044235116</v>
      </c>
      <c r="BA334" s="258">
        <f>IFERROR(IF(AND(COUNT(AW103,AX103,AY103,AZ103)=4,N(BA237)&lt;&gt;0),(AW103+AX103+AY103+AZ103)/BA237,""),"")</f>
        <v>0.163329044235116</v>
      </c>
      <c r="BB334" s="257">
        <f>IFERROR(IF(AND(COUNT(AX103,AY103,AZ103,BB103)=4,N(BB237)&lt;&gt;0),(AX103+AY103+AZ103+BB103)/BB237,""),"")</f>
        <v>0.159654100817115</v>
      </c>
      <c r="BC334" s="257">
        <f>IFERROR(IF(AND(COUNT(AY103,AZ103,BB103,BC103)=4,N(BC237)&lt;&gt;0),(AY103+AZ103+BB103+BC103)/BC237,""),"")</f>
        <v>0.156131233429333</v>
      </c>
      <c r="BD334" s="257">
        <f>IFERROR(IF(AND(COUNT(AZ103,BB103,BC103,BD103)=4,N(BD237)&lt;&gt;0),(AZ103+BB103+BC103+BD103)/BD237,""),"")</f>
        <v>0.152776267365677</v>
      </c>
      <c r="BE334" s="257">
        <f>IFERROR(IF(AND(COUNT(BB103,BC103,BD103,BE103)=4,N(BE237)&lt;&gt;0),(BB103+BC103+BD103+BE103)/BE237,""),"")</f>
        <v>0.149860278271138</v>
      </c>
      <c r="BF334" s="258">
        <f>IFERROR(IF(AND(COUNT(BB103,BC103,BD103,BE103)=4,N(BF237)&lt;&gt;0),(BB103+BC103+BD103+BE103)/BF237,""),"")</f>
        <v>0.149860278271138</v>
      </c>
      <c r="BG334" s="81" t="n"/>
      <c r="BH334" s="81" t="n"/>
      <c r="BI334" s="81" t="n"/>
      <c r="BJ334" s="81" t="n"/>
      <c r="BL334" s="81" t="n"/>
      <c r="BM334" s="81" t="n"/>
      <c r="BN334" s="81" t="n"/>
      <c r="BO334" s="81" t="n"/>
      <c r="BQ334" s="81" t="n"/>
      <c r="BR334" s="81" t="n"/>
      <c r="BS334" s="81" t="n"/>
      <c r="BT334" s="81" t="n"/>
      <c r="BV334" s="81" t="n"/>
      <c r="BW334" s="81" t="n"/>
      <c r="BX334" s="81" t="n"/>
      <c r="BY334" s="81" t="n"/>
      <c r="CA334" s="81" t="n"/>
      <c r="CB334" s="81" t="n"/>
      <c r="CC334" s="81" t="n"/>
      <c r="CD334" s="81" t="n"/>
      <c r="CF334" s="81" t="n"/>
      <c r="CG334" s="81" t="n"/>
      <c r="CH334" s="81" t="n"/>
      <c r="CI334" s="81" t="n"/>
      <c r="CK334" s="81" t="n"/>
      <c r="CL334" s="81" t="n"/>
      <c r="CM334" s="81" t="n"/>
      <c r="CN334" s="81" t="n"/>
      <c r="CP334" s="81" t="n"/>
      <c r="CQ334" s="81" t="n"/>
      <c r="CR334" s="81" t="n"/>
      <c r="CS334" s="81" t="n"/>
      <c r="CU334" s="81" t="n"/>
      <c r="CV334" s="81" t="n"/>
      <c r="CW334" s="81" t="n"/>
      <c r="CX334" s="81" t="n"/>
    </row>
    <row r="335"/>
    <row r="336">
      <c r="C336" s="73" t="inlineStr">
        <is>
          <t>Scenario Analysis</t>
        </is>
      </c>
      <c r="D336" s="73" t="n"/>
      <c r="E336" s="73" t="n"/>
      <c r="F336" s="73" t="n"/>
      <c r="G336" s="73" t="n"/>
      <c r="H336" s="73" t="n"/>
      <c r="I336" s="73" t="n"/>
      <c r="J336" s="73" t="n"/>
      <c r="K336" s="73" t="n"/>
      <c r="L336" s="73" t="n"/>
      <c r="M336" s="73" t="n"/>
      <c r="N336" s="73" t="n"/>
      <c r="O336" s="73" t="n"/>
      <c r="P336" s="73" t="n"/>
      <c r="Q336" s="73" t="n"/>
      <c r="R336" s="73" t="n"/>
      <c r="S336" s="73" t="n"/>
      <c r="T336" s="73" t="n"/>
      <c r="U336" s="73" t="n"/>
      <c r="V336" s="73" t="n"/>
      <c r="W336" s="73" t="n"/>
      <c r="X336" s="73" t="n"/>
      <c r="Y336" s="73" t="n"/>
      <c r="Z336" s="73" t="n"/>
      <c r="AA336" s="73" t="n"/>
      <c r="AB336" s="73" t="n"/>
      <c r="AC336" s="73" t="n"/>
      <c r="AD336" s="73" t="n"/>
      <c r="AE336" s="73" t="n"/>
      <c r="AF336" s="73" t="n"/>
      <c r="AG336" s="73" t="n"/>
      <c r="AH336" s="73" t="n"/>
      <c r="AI336" s="73" t="n"/>
      <c r="AJ336" s="73" t="n"/>
      <c r="AK336" s="73" t="n"/>
      <c r="AL336" s="73" t="n"/>
      <c r="AM336" s="73" t="n"/>
      <c r="AN336" s="73" t="n"/>
      <c r="AO336" s="73" t="n"/>
      <c r="AP336" s="73" t="n"/>
      <c r="AQ336" s="73" t="n"/>
      <c r="AR336" s="73" t="n"/>
      <c r="AS336" s="73" t="n"/>
      <c r="AT336" s="73" t="n"/>
      <c r="AU336" s="73" t="n"/>
      <c r="AV336" s="73" t="n"/>
      <c r="AW336" s="73" t="n"/>
      <c r="AX336" s="73" t="n"/>
      <c r="AY336" s="73" t="n"/>
      <c r="AZ336" s="73" t="n"/>
      <c r="BA336" s="73" t="n"/>
      <c r="BB336" s="73" t="n"/>
      <c r="BC336" s="73" t="n"/>
      <c r="BD336" s="73" t="n"/>
      <c r="BE336" s="73" t="n"/>
      <c r="BF336" s="73" t="n"/>
      <c r="BG336" s="73" t="n"/>
      <c r="BH336" s="73" t="n"/>
      <c r="BI336" s="73" t="n"/>
      <c r="BJ336" s="73" t="n"/>
      <c r="BK336" s="73" t="n"/>
      <c r="BL336" s="73" t="n"/>
      <c r="BM336" s="73" t="n"/>
      <c r="BN336" s="73" t="n"/>
      <c r="BO336" s="73" t="n"/>
      <c r="BP336" s="73" t="n"/>
      <c r="BQ336" s="73" t="n"/>
      <c r="BR336" s="73" t="n"/>
      <c r="BS336" s="73" t="n"/>
      <c r="BT336" s="73" t="n"/>
      <c r="BU336" s="73" t="n"/>
      <c r="BV336" s="73" t="n"/>
      <c r="BW336" s="73" t="n"/>
      <c r="BX336" s="73" t="n"/>
      <c r="BY336" s="73" t="n"/>
      <c r="BZ336" s="73" t="n"/>
      <c r="CA336" s="73" t="n"/>
      <c r="CB336" s="73" t="n"/>
      <c r="CC336" s="73" t="n"/>
      <c r="CD336" s="73" t="n"/>
      <c r="CE336" s="73" t="n"/>
      <c r="CF336" s="73" t="n"/>
      <c r="CG336" s="73" t="n"/>
      <c r="CH336" s="73" t="n"/>
      <c r="CI336" s="73" t="n"/>
      <c r="CJ336" s="73" t="n"/>
      <c r="CK336" s="73" t="n"/>
      <c r="CL336" s="73" t="n"/>
      <c r="CM336" s="73" t="n"/>
      <c r="CN336" s="73" t="n"/>
      <c r="CO336" s="73" t="n"/>
      <c r="CP336" s="73" t="n"/>
      <c r="CQ336" s="73" t="n"/>
      <c r="CR336" s="73" t="n"/>
      <c r="CS336" s="73" t="n"/>
      <c r="CT336" s="73" t="n"/>
      <c r="CU336" s="73" t="n"/>
      <c r="CV336" s="73" t="n"/>
      <c r="CW336" s="73" t="n"/>
      <c r="CX336" s="73" t="n"/>
      <c r="CY336" s="73" t="n"/>
    </row>
    <row r="337"/>
    <row r="338"/>
    <row r="339">
      <c r="C339" s="4" t="inlineStr">
        <is>
          <t>Bull case</t>
        </is>
      </c>
    </row>
    <row r="340">
      <c r="C340" s="4" t="inlineStr">
        <is>
          <t>Base case</t>
        </is>
      </c>
    </row>
    <row r="341">
      <c r="C341" s="4" t="inlineStr">
        <is>
          <t>Bear case</t>
        </is>
      </c>
    </row>
    <row r="342"/>
    <row r="343"/>
    <row r="344">
      <c r="C344" s="4" t="inlineStr">
        <is>
          <t>Bull case</t>
        </is>
      </c>
    </row>
    <row r="345">
      <c r="C345" s="4" t="inlineStr">
        <is>
          <t>Base case</t>
        </is>
      </c>
    </row>
    <row r="346">
      <c r="C346" s="4" t="inlineStr">
        <is>
          <t>Bear case</t>
        </is>
      </c>
    </row>
    <row r="347"/>
    <row r="348"/>
    <row r="349">
      <c r="C349" s="4" t="inlineStr">
        <is>
          <t>% Gross Margin</t>
        </is>
      </c>
    </row>
    <row r="350">
      <c r="C350" s="4" t="inlineStr">
        <is>
          <t>Bull case</t>
        </is>
      </c>
    </row>
    <row r="351">
      <c r="C351" s="4" t="inlineStr">
        <is>
          <t>Base case</t>
        </is>
      </c>
    </row>
    <row r="352">
      <c r="C352" s="4" t="inlineStr">
        <is>
          <t>Bear case</t>
        </is>
      </c>
    </row>
    <row r="353"/>
    <row r="354"/>
    <row r="355">
      <c r="C355" s="4" t="inlineStr">
        <is>
          <t>Capital expenditures</t>
        </is>
      </c>
    </row>
    <row r="356">
      <c r="C356" s="4" t="inlineStr">
        <is>
          <t>Bull case</t>
        </is>
      </c>
    </row>
    <row r="357">
      <c r="C357" s="4" t="inlineStr">
        <is>
          <t>Base case</t>
        </is>
      </c>
    </row>
    <row r="358">
      <c r="C358" s="4" t="inlineStr">
        <is>
          <t>Bear case</t>
        </is>
      </c>
    </row>
    <row r="359"/>
    <row r="360"/>
    <row r="361">
      <c r="C361" s="267" t="inlineStr">
        <is>
          <t>Receita bruta por negocio - como divulgado pela Fleury (R$ milhoes)</t>
        </is>
      </c>
      <c r="D361" s="267">
        <f>D7</f>
        <v>0</v>
      </c>
      <c r="E361" s="267">
        <f>E7</f>
        <v>0</v>
      </c>
      <c r="F361" s="267">
        <f>F7</f>
        <v>0</v>
      </c>
      <c r="G361" s="267">
        <f>G7</f>
        <v>0</v>
      </c>
      <c r="H361" s="267">
        <f>H7</f>
        <v>2020</v>
      </c>
      <c r="I361" s="267" t="str">
        <f>I7</f>
        <v>1Q21</v>
      </c>
      <c r="J361" s="267" t="str">
        <f>J7</f>
        <v>2Q21</v>
      </c>
      <c r="K361" s="267" t="str">
        <f>K7</f>
        <v>3Q21</v>
      </c>
      <c r="L361" s="267" t="str">
        <f>L7</f>
        <v>4Q21</v>
      </c>
      <c r="M361" s="267">
        <f>M7</f>
        <v>2021</v>
      </c>
      <c r="N361" s="267" t="str">
        <f>N7</f>
        <v>1Q22</v>
      </c>
      <c r="O361" s="267" t="str">
        <f>O7</f>
        <v>2Q22</v>
      </c>
      <c r="P361" s="267" t="str">
        <f>P7</f>
        <v>3Q22</v>
      </c>
      <c r="Q361" s="267" t="str">
        <f>Q7</f>
        <v>4Q22</v>
      </c>
      <c r="R361" s="267">
        <f>R7</f>
        <v>2022</v>
      </c>
      <c r="S361" s="267" t="str">
        <f>S7</f>
        <v>1Q23</v>
      </c>
      <c r="T361" s="267" t="str">
        <f>T7</f>
        <v>2Q23</v>
      </c>
      <c r="U361" s="267" t="str">
        <f>U7</f>
        <v>3Q23</v>
      </c>
      <c r="V361" s="267" t="str">
        <f>V7</f>
        <v>4Q23</v>
      </c>
      <c r="W361" s="267">
        <f>W7</f>
        <v>2023</v>
      </c>
      <c r="X361" s="267" t="str">
        <f>X7</f>
        <v>1Q24</v>
      </c>
      <c r="Y361" s="267" t="str">
        <f>Y7</f>
        <v>2Q24</v>
      </c>
      <c r="Z361" s="267" t="str">
        <f>Z7</f>
        <v>3Q24</v>
      </c>
      <c r="AA361" s="267" t="str">
        <f>AA7</f>
        <v>4Q24</v>
      </c>
      <c r="AB361" s="267">
        <f>AB7</f>
        <v>2024</v>
      </c>
      <c r="AC361" s="267" t="str">
        <f>AC7</f>
        <v>1Q25</v>
      </c>
      <c r="AD361" s="267" t="str">
        <f>AD7</f>
        <v>2Q25</v>
      </c>
      <c r="AE361" s="267" t="str">
        <f>AE7</f>
        <v>3Q25</v>
      </c>
      <c r="AF361" s="267" t="str">
        <f>AF7</f>
        <v>4Q25</v>
      </c>
      <c r="AG361" s="267">
        <f>AG7</f>
        <v>2025</v>
      </c>
    </row>
    <row r="362"/>
    <row r="363">
      <c r="C363" s="268" t="inlineStr">
        <is>
          <t>B2C - Unidades de Atendimento (PSC)</t>
        </is>
      </c>
      <c r="D363" s="269" t="str">
        <f>IF(COUNT(D364:D368)=0,"",SUM(D364:D368))</f>
        <v/>
      </c>
      <c r="E363" s="269" t="str">
        <f>IF(COUNT(E364:E368)=0,"",SUM(E364:E368))</f>
        <v/>
      </c>
      <c r="F363" s="269" t="str">
        <f>IF(COUNT(F364:F368)=0,"",SUM(F364:F368))</f>
        <v/>
      </c>
      <c r="G363" s="269" t="str">
        <f>IF(COUNT(G364:G368)=0,"",SUM(G364:G368))</f>
        <v/>
      </c>
      <c r="H363" s="270" t="str">
        <f>IF(COUNT(H364:H368)=0,"",SUM(H364:H368))</f>
        <v/>
      </c>
      <c r="I363" s="269">
        <f>IF(COUNT(I364:I368)=0,"",SUM(I364:I368))</f>
        <v>781.684064417</v>
      </c>
      <c r="J363" s="269">
        <f>IF(COUNT(J364:J368)=0,"",SUM(J364:J368))</f>
        <v>793.65226914</v>
      </c>
      <c r="K363" s="269">
        <f>IF(COUNT(K364:K368)=0,"",SUM(K364:K368))</f>
        <v>837.859897848</v>
      </c>
      <c r="L363" s="269">
        <f>IF(COUNT(L364:L368)=0,"",SUM(L364:L368))</f>
        <v>841.470995885</v>
      </c>
      <c r="M363" s="270">
        <f>IF(COUNT(M364:M368)=0,"",SUM(M364:M368))</f>
        <v>3254.66722729</v>
      </c>
      <c r="N363" s="269">
        <f>IF(COUNT(N364:N368)=0,"",SUM(N364:N368))</f>
        <v>919.944005639</v>
      </c>
      <c r="O363" s="269">
        <f>IF(COUNT(O364:O368)=0,"",SUM(O364:O368))</f>
        <v>936.247704644</v>
      </c>
      <c r="P363" s="269">
        <f>IF(COUNT(P364:P368)=0,"",SUM(P364:P368))</f>
        <v>986.375903</v>
      </c>
      <c r="Q363" s="269">
        <f>IF(COUNT(Q364:Q368)=0,"",SUM(Q364:Q368))</f>
        <v>925.4721232</v>
      </c>
      <c r="R363" s="270">
        <f>IF(COUNT(R364:R368)=0,"",SUM(R364:R368))</f>
        <v>3768.039736483</v>
      </c>
      <c r="S363" s="269">
        <f>IF(COUNT(S364:S368)=0,"",SUM(S364:S368))</f>
        <v>1061.7201126</v>
      </c>
      <c r="T363" s="269" t="str">
        <f>IF(COUNT(T364:T368)=0,"",SUM(T364:T368))</f>
        <v/>
      </c>
      <c r="U363" s="269">
        <f>IF(COUNT(U364:U368)=0,"",SUM(U364:U368))</f>
        <v>1365.42329308</v>
      </c>
      <c r="V363" s="269">
        <f>IF(COUNT(V364:V368)=0,"",SUM(V364:V368))</f>
        <v>1225.729067</v>
      </c>
      <c r="W363" s="270" t="str">
        <f>IF(COUNT(W364:W368)=0,"",SUM(W364:W368))</f>
        <v/>
      </c>
      <c r="X363" s="269">
        <f>IF(COUNT(X364:X368)=0,"",SUM(X364:X368))</f>
        <v>1377.444372148</v>
      </c>
      <c r="Y363" s="269">
        <f>IF(COUNT(Y364:Y368)=0,"",SUM(Y364:Y368))</f>
        <v>1434.561812896</v>
      </c>
      <c r="Z363" s="269">
        <f>IF(COUNT(Z364:Z368)=0,"",SUM(Z364:Z368))</f>
        <v>1433.490761</v>
      </c>
      <c r="AA363" s="269">
        <f>IF(COUNT(AA364:AA368)=0,"",SUM(AA364:AA368))</f>
        <v>1353.703924523</v>
      </c>
      <c r="AB363" s="270">
        <f>IF(COUNT(AB364:AB368)=0,"",SUM(AB364:AB368))</f>
        <v>5599.200870567</v>
      </c>
      <c r="AC363" s="269">
        <f>IF(COUNT(AC364:AC368)=0,"",SUM(AC364:AC368))</f>
        <v>1485.901056</v>
      </c>
      <c r="AD363" s="269">
        <f>IF(COUNT(AD364:AD368)=0,"",SUM(AD364:AD368))</f>
        <v>1537.768027</v>
      </c>
      <c r="AE363" s="269">
        <f>IF(COUNT(AE364:AE368)=0,"",SUM(AE364:AE368))</f>
        <v>1662.722721281</v>
      </c>
      <c r="AF363" s="269">
        <f>IF(COUNT(AF364:AF368)=0,"",SUM(AF364:AF368))</f>
        <v>1535.610860953</v>
      </c>
      <c r="AG363" s="270">
        <f>IF(COUNT(AG364:AG368)=0,"",SUM(AG364:AG368))</f>
        <v>6222.002665234</v>
      </c>
    </row>
    <row r="364">
      <c r="C364" s="271" t="inlineStr">
        <is>
          <t xml:space="preserve">   Marca Fleury</t>
        </is>
      </c>
      <c r="D364" s="269" t="str">
        <f>IFERROR(INDEX('Inputs (2)'!$D$53:$AL$53,MATCH(D$7&amp;"",'Inputs (2)'!$D$2:$AL$2,0)),"")</f>
        <v/>
      </c>
      <c r="E364" s="269" t="str">
        <f>IFERROR(INDEX('Inputs (2)'!$D$53:$AL$53,MATCH(E$7&amp;"",'Inputs (2)'!$D$2:$AL$2,0)),"")</f>
        <v/>
      </c>
      <c r="F364" s="269" t="str">
        <f>IFERROR(INDEX('Inputs (2)'!$D$53:$AL$53,MATCH(F$7&amp;"",'Inputs (2)'!$D$2:$AL$2,0)),"")</f>
        <v/>
      </c>
      <c r="G364" s="269" t="str">
        <f>IFERROR(INDEX('Inputs (2)'!$D$53:$AL$53,MATCH(G$7&amp;"",'Inputs (2)'!$D$2:$AL$2,0)),"")</f>
        <v/>
      </c>
      <c r="H364" s="270" t="str">
        <f>IF(COUNT(D364:G364)=4,SUM(D364:G364),"")</f>
        <v/>
      </c>
      <c r="I364" s="269">
        <f>IFERROR(INDEX('Inputs (2)'!$D$53:$AL$53,MATCH(I$7&amp;"",'Inputs (2)'!$D$2:$AL$2,0)),"")</f>
        <v>390.315686737</v>
      </c>
      <c r="J364" s="269">
        <f>IFERROR(INDEX('Inputs (2)'!$D$53:$AL$53,MATCH(J$7&amp;"",'Inputs (2)'!$D$2:$AL$2,0)),"")</f>
        <v>393.47364947</v>
      </c>
      <c r="K364" s="269">
        <f>IFERROR(INDEX('Inputs (2)'!$D$53:$AL$53,MATCH(K$7&amp;"",'Inputs (2)'!$D$2:$AL$2,0)),"")</f>
        <v>430.289524728</v>
      </c>
      <c r="L364" s="269">
        <f>IFERROR(INDEX('Inputs (2)'!$D$53:$AL$53,MATCH(L$7&amp;"",'Inputs (2)'!$D$2:$AL$2,0)),"")</f>
        <v>420.125355195</v>
      </c>
      <c r="M364" s="270">
        <f>IF(COUNT(I364:L364)=4,SUM(I364:L364),"")</f>
        <v>1634.20421613</v>
      </c>
      <c r="N364" s="269">
        <f>IFERROR(INDEX('Inputs (2)'!$D$53:$AL$53,MATCH(N$7&amp;"",'Inputs (2)'!$D$2:$AL$2,0)),"")</f>
        <v>460.88136144</v>
      </c>
      <c r="O364" s="269">
        <f>IFERROR(INDEX('Inputs (2)'!$D$53:$AL$53,MATCH(O$7&amp;"",'Inputs (2)'!$D$2:$AL$2,0)),"")</f>
        <v>447.893503927</v>
      </c>
      <c r="P364" s="269">
        <f>IFERROR(INDEX('Inputs (2)'!$D$53:$AL$53,MATCH(P$7&amp;"",'Inputs (2)'!$D$2:$AL$2,0)),"")</f>
        <v>467.536305</v>
      </c>
      <c r="Q364" s="269">
        <f>IFERROR(INDEX('Inputs (2)'!$D$53:$AL$53,MATCH(Q$7&amp;"",'Inputs (2)'!$D$2:$AL$2,0)),"")</f>
        <v>441.22525712</v>
      </c>
      <c r="R364" s="270">
        <f>IF(COUNT(N364:Q364)=4,SUM(N364:Q364),"")</f>
        <v>1817.536427487</v>
      </c>
      <c r="S364" s="269">
        <f>IFERROR(INDEX('Inputs (2)'!$D$53:$AL$53,MATCH(S$7&amp;"",'Inputs (2)'!$D$2:$AL$2,0)),"")</f>
        <v>513.382763</v>
      </c>
      <c r="T364" s="269" t="str">
        <f>IFERROR(INDEX('Inputs (2)'!$D$53:$AL$53,MATCH(T$7&amp;"",'Inputs (2)'!$D$2:$AL$2,0)),"")</f>
        <v/>
      </c>
      <c r="U364" s="269">
        <f>IFERROR(INDEX('Inputs (2)'!$D$53:$AL$53,MATCH(U$7&amp;"",'Inputs (2)'!$D$2:$AL$2,0)),"")</f>
        <v>516.36538311</v>
      </c>
      <c r="V364" s="269">
        <f>IFERROR(INDEX('Inputs (2)'!$D$53:$AL$53,MATCH(V$7&amp;"",'Inputs (2)'!$D$2:$AL$2,0)),"")</f>
        <v>461.316368</v>
      </c>
      <c r="W364" s="270" t="str">
        <f>IF(COUNT(S364:V364)=4,SUM(S364:V364),"")</f>
        <v/>
      </c>
      <c r="X364" s="269">
        <f>IFERROR(INDEX('Inputs (2)'!$D$53:$AL$53,MATCH(X$7&amp;"",'Inputs (2)'!$D$2:$AL$2,0)),"")</f>
        <v>524.27157081</v>
      </c>
      <c r="Y364" s="269">
        <f>IFERROR(INDEX('Inputs (2)'!$D$53:$AL$53,MATCH(Y$7&amp;"",'Inputs (2)'!$D$2:$AL$2,0)),"")</f>
        <v>537.839508303</v>
      </c>
      <c r="Z364" s="269">
        <f>IFERROR(INDEX('Inputs (2)'!$D$53:$AL$53,MATCH(Z$7&amp;"",'Inputs (2)'!$D$2:$AL$2,0)),"")</f>
        <v>522.393136</v>
      </c>
      <c r="AA364" s="269">
        <f>IFERROR(INDEX('Inputs (2)'!$D$53:$AL$53,MATCH(AA$7&amp;"",'Inputs (2)'!$D$2:$AL$2,0)),"")</f>
        <v>505.17684355</v>
      </c>
      <c r="AB364" s="270">
        <f>IF(COUNT(X364:AA364)=4,SUM(X364:AA364),"")</f>
        <v>2089.681058663</v>
      </c>
      <c r="AC364" s="269">
        <f>IFERROR(INDEX('Inputs (2)'!$D$53:$AL$53,MATCH(AC$7&amp;"",'Inputs (2)'!$D$2:$AL$2,0)),"")</f>
        <v>554.13673</v>
      </c>
      <c r="AD364" s="269">
        <f>IFERROR(INDEX('Inputs (2)'!$D$53:$AL$53,MATCH(AD$7&amp;"",'Inputs (2)'!$D$2:$AL$2,0)),"")</f>
        <v>560.847492</v>
      </c>
      <c r="AE364" s="269">
        <f>IFERROR(INDEX('Inputs (2)'!$D$53:$AL$53,MATCH(AE$7&amp;"",'Inputs (2)'!$D$2:$AL$2,0)),"")</f>
        <v>586.022739445</v>
      </c>
      <c r="AF364" s="269">
        <f>IFERROR(INDEX('Inputs (2)'!$D$53:$AL$53,MATCH(AF$7&amp;"",'Inputs (2)'!$D$2:$AL$2,0)),"")</f>
        <v>548.688281953</v>
      </c>
      <c r="AG364" s="270">
        <f>IF(COUNT(AC364:AF364)=4,SUM(AC364:AF364),"")</f>
        <v>2249.695243398</v>
      </c>
    </row>
    <row r="365">
      <c r="C365" s="271" t="inlineStr">
        <is>
          <t xml:space="preserve">   Outras Marcas SP</t>
        </is>
      </c>
      <c r="D365" s="269" t="str">
        <f>IFERROR(INDEX('Inputs (2)'!$D$54:$AL$54,MATCH(D$7&amp;"",'Inputs (2)'!$D$2:$AL$2,0)),"")</f>
        <v/>
      </c>
      <c r="E365" s="269" t="str">
        <f>IFERROR(INDEX('Inputs (2)'!$D$54:$AL$54,MATCH(E$7&amp;"",'Inputs (2)'!$D$2:$AL$2,0)),"")</f>
        <v/>
      </c>
      <c r="F365" s="269" t="str">
        <f>IFERROR(INDEX('Inputs (2)'!$D$54:$AL$54,MATCH(F$7&amp;"",'Inputs (2)'!$D$2:$AL$2,0)),"")</f>
        <v/>
      </c>
      <c r="G365" s="269" t="str">
        <f>IFERROR(INDEX('Inputs (2)'!$D$54:$AL$54,MATCH(G$7&amp;"",'Inputs (2)'!$D$2:$AL$2,0)),"")</f>
        <v/>
      </c>
      <c r="H365" s="270" t="str">
        <f>IF(COUNT(D365:G365)=4,SUM(D365:G365),"")</f>
        <v/>
      </c>
      <c r="I365" s="269">
        <f>IFERROR(INDEX('Inputs (2)'!$D$54:$AL$54,MATCH(I$7&amp;"",'Inputs (2)'!$D$2:$AL$2,0)),"")</f>
        <v>129.339606053</v>
      </c>
      <c r="J365" s="269">
        <f>IFERROR(INDEX('Inputs (2)'!$D$54:$AL$54,MATCH(J$7&amp;"",'Inputs (2)'!$D$2:$AL$2,0)),"")</f>
        <v>134.22810704</v>
      </c>
      <c r="K365" s="269">
        <f>IFERROR(INDEX('Inputs (2)'!$D$54:$AL$54,MATCH(K$7&amp;"",'Inputs (2)'!$D$2:$AL$2,0)),"")</f>
        <v>138.41611284</v>
      </c>
      <c r="L365" s="269">
        <f>IFERROR(INDEX('Inputs (2)'!$D$54:$AL$54,MATCH(L$7&amp;"",'Inputs (2)'!$D$2:$AL$2,0)),"")</f>
        <v>133.76757361</v>
      </c>
      <c r="M365" s="270">
        <f>IF(COUNT(I365:L365)=4,SUM(I365:L365),"")</f>
        <v>535.751399543</v>
      </c>
      <c r="N365" s="269">
        <f>IFERROR(INDEX('Inputs (2)'!$D$54:$AL$54,MATCH(N$7&amp;"",'Inputs (2)'!$D$2:$AL$2,0)),"")</f>
        <v>151.03867056</v>
      </c>
      <c r="O365" s="269">
        <f>IFERROR(INDEX('Inputs (2)'!$D$54:$AL$54,MATCH(O$7&amp;"",'Inputs (2)'!$D$2:$AL$2,0)),"")</f>
        <v>156.341420521</v>
      </c>
      <c r="P365" s="269">
        <f>IFERROR(INDEX('Inputs (2)'!$D$54:$AL$54,MATCH(P$7&amp;"",'Inputs (2)'!$D$2:$AL$2,0)),"")</f>
        <v>165.44623</v>
      </c>
      <c r="Q365" s="269">
        <f>IFERROR(INDEX('Inputs (2)'!$D$54:$AL$54,MATCH(Q$7&amp;"",'Inputs (2)'!$D$2:$AL$2,0)),"")</f>
        <v>151.836198</v>
      </c>
      <c r="R365" s="270">
        <f>IF(COUNT(N365:Q365)=4,SUM(N365:Q365),"")</f>
        <v>624.662519081</v>
      </c>
      <c r="S365" s="269">
        <f>IFERROR(INDEX('Inputs (2)'!$D$54:$AL$54,MATCH(S$7&amp;"",'Inputs (2)'!$D$2:$AL$2,0)),"")</f>
        <v>178.979496</v>
      </c>
      <c r="T365" s="269" t="str">
        <f>IFERROR(INDEX('Inputs (2)'!$D$54:$AL$54,MATCH(T$7&amp;"",'Inputs (2)'!$D$2:$AL$2,0)),"")</f>
        <v/>
      </c>
      <c r="U365" s="269">
        <f>IFERROR(INDEX('Inputs (2)'!$D$54:$AL$54,MATCH(U$7&amp;"",'Inputs (2)'!$D$2:$AL$2,0)),"")</f>
        <v>247.76214341</v>
      </c>
      <c r="V365" s="269">
        <f>IFERROR(INDEX('Inputs (2)'!$D$54:$AL$54,MATCH(V$7&amp;"",'Inputs (2)'!$D$2:$AL$2,0)),"")</f>
        <v>222.190043</v>
      </c>
      <c r="W365" s="270" t="str">
        <f>IF(COUNT(S365:V365)=4,SUM(S365:V365),"")</f>
        <v/>
      </c>
      <c r="X365" s="269">
        <f>IFERROR(INDEX('Inputs (2)'!$D$54:$AL$54,MATCH(X$7&amp;"",'Inputs (2)'!$D$2:$AL$2,0)),"")</f>
        <v>260.104847016</v>
      </c>
      <c r="Y365" s="269">
        <f>IFERROR(INDEX('Inputs (2)'!$D$54:$AL$54,MATCH(Y$7&amp;"",'Inputs (2)'!$D$2:$AL$2,0)),"")</f>
        <v>275.116410953</v>
      </c>
      <c r="Z365" s="269">
        <f>IFERROR(INDEX('Inputs (2)'!$D$54:$AL$54,MATCH(Z$7&amp;"",'Inputs (2)'!$D$2:$AL$2,0)),"")</f>
        <v>272.523471</v>
      </c>
      <c r="AA365" s="269">
        <f>IFERROR(INDEX('Inputs (2)'!$D$54:$AL$54,MATCH(AA$7&amp;"",'Inputs (2)'!$D$2:$AL$2,0)),"")</f>
        <v>252.227442297</v>
      </c>
      <c r="AB365" s="270">
        <f>IF(COUNT(X365:AA365)=4,SUM(X365:AA365),"")</f>
        <v>1059.972171266</v>
      </c>
      <c r="AC365" s="269">
        <f>IFERROR(INDEX('Inputs (2)'!$D$54:$AL$54,MATCH(AC$7&amp;"",'Inputs (2)'!$D$2:$AL$2,0)),"")</f>
        <v>284.97237</v>
      </c>
      <c r="AD365" s="269">
        <f>IFERROR(INDEX('Inputs (2)'!$D$54:$AL$54,MATCH(AD$7&amp;"",'Inputs (2)'!$D$2:$AL$2,0)),"")</f>
        <v>292.180676</v>
      </c>
      <c r="AE365" s="269">
        <f>IFERROR(INDEX('Inputs (2)'!$D$54:$AL$54,MATCH(AE$7&amp;"",'Inputs (2)'!$D$2:$AL$2,0)),"")</f>
        <v>346.355975155</v>
      </c>
      <c r="AF365" s="269">
        <f>IFERROR(INDEX('Inputs (2)'!$D$54:$AL$54,MATCH(AF$7&amp;"",'Inputs (2)'!$D$2:$AL$2,0)),"")</f>
        <v>316.543483</v>
      </c>
      <c r="AG365" s="270">
        <f>IF(COUNT(AC365:AF365)=4,SUM(AC365:AF365),"")</f>
        <v>1240.052504155</v>
      </c>
    </row>
    <row r="366">
      <c r="C366" s="271" t="inlineStr">
        <is>
          <t xml:space="preserve">   Rio de Janeiro</t>
        </is>
      </c>
      <c r="D366" s="269" t="str">
        <f>IFERROR(INDEX('Inputs (2)'!$D$55:$AL$55,MATCH(D$7&amp;"",'Inputs (2)'!$D$2:$AL$2,0)),"")</f>
        <v/>
      </c>
      <c r="E366" s="269" t="str">
        <f>IFERROR(INDEX('Inputs (2)'!$D$55:$AL$55,MATCH(E$7&amp;"",'Inputs (2)'!$D$2:$AL$2,0)),"")</f>
        <v/>
      </c>
      <c r="F366" s="269" t="str">
        <f>IFERROR(INDEX('Inputs (2)'!$D$55:$AL$55,MATCH(F$7&amp;"",'Inputs (2)'!$D$2:$AL$2,0)),"")</f>
        <v/>
      </c>
      <c r="G366" s="269" t="str">
        <f>IFERROR(INDEX('Inputs (2)'!$D$55:$AL$55,MATCH(G$7&amp;"",'Inputs (2)'!$D$2:$AL$2,0)),"")</f>
        <v/>
      </c>
      <c r="H366" s="270" t="str">
        <f>IF(COUNT(D366:G366)=4,SUM(D366:G366),"")</f>
        <v/>
      </c>
      <c r="I366" s="269">
        <f>IFERROR(INDEX('Inputs (2)'!$D$55:$AL$55,MATCH(I$7&amp;"",'Inputs (2)'!$D$2:$AL$2,0)),"")</f>
        <v>155.201122208</v>
      </c>
      <c r="J366" s="269">
        <f>IFERROR(INDEX('Inputs (2)'!$D$55:$AL$55,MATCH(J$7&amp;"",'Inputs (2)'!$D$2:$AL$2,0)),"")</f>
        <v>158.68703648</v>
      </c>
      <c r="K366" s="269">
        <f>IFERROR(INDEX('Inputs (2)'!$D$55:$AL$55,MATCH(K$7&amp;"",'Inputs (2)'!$D$2:$AL$2,0)),"")</f>
        <v>159.76068278</v>
      </c>
      <c r="L366" s="269">
        <f>IFERROR(INDEX('Inputs (2)'!$D$55:$AL$55,MATCH(L$7&amp;"",'Inputs (2)'!$D$2:$AL$2,0)),"")</f>
        <v>145.98747663</v>
      </c>
      <c r="M366" s="270">
        <f>IF(COUNT(I366:L366)=4,SUM(I366:L366),"")</f>
        <v>619.636318098</v>
      </c>
      <c r="N366" s="269">
        <f>IFERROR(INDEX('Inputs (2)'!$D$55:$AL$55,MATCH(N$7&amp;"",'Inputs (2)'!$D$2:$AL$2,0)),"")</f>
        <v>159.52179541</v>
      </c>
      <c r="O366" s="269">
        <f>IFERROR(INDEX('Inputs (2)'!$D$55:$AL$55,MATCH(O$7&amp;"",'Inputs (2)'!$D$2:$AL$2,0)),"")</f>
        <v>171.349672199</v>
      </c>
      <c r="P366" s="269">
        <f>IFERROR(INDEX('Inputs (2)'!$D$55:$AL$55,MATCH(P$7&amp;"",'Inputs (2)'!$D$2:$AL$2,0)),"")</f>
        <v>179.385965</v>
      </c>
      <c r="Q366" s="269">
        <f>IFERROR(INDEX('Inputs (2)'!$D$55:$AL$55,MATCH(Q$7&amp;"",'Inputs (2)'!$D$2:$AL$2,0)),"")</f>
        <v>167.181327</v>
      </c>
      <c r="R366" s="270">
        <f>IF(COUNT(N366:Q366)=4,SUM(N366:Q366),"")</f>
        <v>677.438759609</v>
      </c>
      <c r="S366" s="269">
        <f>IFERROR(INDEX('Inputs (2)'!$D$55:$AL$55,MATCH(S$7&amp;"",'Inputs (2)'!$D$2:$AL$2,0)),"")</f>
        <v>187.006096</v>
      </c>
      <c r="T366" s="269" t="str">
        <f>IFERROR(INDEX('Inputs (2)'!$D$55:$AL$55,MATCH(T$7&amp;"",'Inputs (2)'!$D$2:$AL$2,0)),"")</f>
        <v/>
      </c>
      <c r="U366" s="269">
        <f>IFERROR(INDEX('Inputs (2)'!$D$55:$AL$55,MATCH(U$7&amp;"",'Inputs (2)'!$D$2:$AL$2,0)),"")</f>
        <v>232.98465544</v>
      </c>
      <c r="V366" s="269">
        <f>IFERROR(INDEX('Inputs (2)'!$D$55:$AL$55,MATCH(V$7&amp;"",'Inputs (2)'!$D$2:$AL$2,0)),"")</f>
        <v>201.689043</v>
      </c>
      <c r="W366" s="270" t="str">
        <f>IF(COUNT(S366:V366)=4,SUM(S366:V366),"")</f>
        <v/>
      </c>
      <c r="X366" s="269">
        <f>IFERROR(INDEX('Inputs (2)'!$D$55:$AL$55,MATCH(X$7&amp;"",'Inputs (2)'!$D$2:$AL$2,0)),"")</f>
        <v>217.491723434</v>
      </c>
      <c r="Y366" s="269">
        <f>IFERROR(INDEX('Inputs (2)'!$D$55:$AL$55,MATCH(Y$7&amp;"",'Inputs (2)'!$D$2:$AL$2,0)),"")</f>
        <v>239.352098345</v>
      </c>
      <c r="Z366" s="269">
        <f>IFERROR(INDEX('Inputs (2)'!$D$55:$AL$55,MATCH(Z$7&amp;"",'Inputs (2)'!$D$2:$AL$2,0)),"")</f>
        <v>241.885631</v>
      </c>
      <c r="AA366" s="269">
        <f>IFERROR(INDEX('Inputs (2)'!$D$55:$AL$55,MATCH(AA$7&amp;"",'Inputs (2)'!$D$2:$AL$2,0)),"")</f>
        <v>213.783914483</v>
      </c>
      <c r="AB366" s="270">
        <f>IF(COUNT(X366:AA366)=4,SUM(X366:AA366),"")</f>
        <v>912.513367262</v>
      </c>
      <c r="AC366" s="269">
        <f>IFERROR(INDEX('Inputs (2)'!$D$55:$AL$55,MATCH(AC$7&amp;"",'Inputs (2)'!$D$2:$AL$2,0)),"")</f>
        <v>235.788503</v>
      </c>
      <c r="AD366" s="269">
        <f>IFERROR(INDEX('Inputs (2)'!$D$55:$AL$55,MATCH(AD$7&amp;"",'Inputs (2)'!$D$2:$AL$2,0)),"")</f>
        <v>258.331341</v>
      </c>
      <c r="AE366" s="269">
        <f>IFERROR(INDEX('Inputs (2)'!$D$55:$AL$55,MATCH(AE$7&amp;"",'Inputs (2)'!$D$2:$AL$2,0)),"")</f>
        <v>267.138504779</v>
      </c>
      <c r="AF366" s="269">
        <f>IFERROR(INDEX('Inputs (2)'!$D$55:$AL$55,MATCH(AF$7&amp;"",'Inputs (2)'!$D$2:$AL$2,0)),"")</f>
        <v>244.00199</v>
      </c>
      <c r="AG366" s="270">
        <f>IF(COUNT(AC366:AF366)=4,SUM(AC366:AF366),"")</f>
        <v>1005.260338779</v>
      </c>
    </row>
    <row r="367">
      <c r="C367" s="271" t="inlineStr">
        <is>
          <t xml:space="preserve">   Minas Gerais</t>
        </is>
      </c>
      <c r="D367" s="269" t="str">
        <f>IFERROR(INDEX('Inputs (2)'!$D$56:$AL$56,MATCH(D$7&amp;"",'Inputs (2)'!$D$2:$AL$2,0)),"")</f>
        <v/>
      </c>
      <c r="E367" s="269" t="str">
        <f>IFERROR(INDEX('Inputs (2)'!$D$56:$AL$56,MATCH(E$7&amp;"",'Inputs (2)'!$D$2:$AL$2,0)),"")</f>
        <v/>
      </c>
      <c r="F367" s="269" t="str">
        <f>IFERROR(INDEX('Inputs (2)'!$D$56:$AL$56,MATCH(F$7&amp;"",'Inputs (2)'!$D$2:$AL$2,0)),"")</f>
        <v/>
      </c>
      <c r="G367" s="269" t="str">
        <f>IFERROR(INDEX('Inputs (2)'!$D$56:$AL$56,MATCH(G$7&amp;"",'Inputs (2)'!$D$2:$AL$2,0)),"")</f>
        <v/>
      </c>
      <c r="H367" s="270" t="str">
        <f>IF(COUNT(D367:G367)=4,SUM(D367:G367),"")</f>
        <v/>
      </c>
      <c r="I367" s="269">
        <f>IFERROR(INDEX('Inputs (2)'!$D$56:$AL$56,MATCH(I$7&amp;"",'Inputs (2)'!$D$2:$AL$2,0)),"")</f>
        <v>0</v>
      </c>
      <c r="J367" s="269">
        <f>IFERROR(INDEX('Inputs (2)'!$D$56:$AL$56,MATCH(J$7&amp;"",'Inputs (2)'!$D$2:$AL$2,0)),"")</f>
        <v>0</v>
      </c>
      <c r="K367" s="269">
        <f>IFERROR(INDEX('Inputs (2)'!$D$56:$AL$56,MATCH(K$7&amp;"",'Inputs (2)'!$D$2:$AL$2,0)),"")</f>
        <v>0</v>
      </c>
      <c r="L367" s="269">
        <f>IFERROR(INDEX('Inputs (2)'!$D$56:$AL$56,MATCH(L$7&amp;"",'Inputs (2)'!$D$2:$AL$2,0)),"")</f>
        <v>0</v>
      </c>
      <c r="M367" s="270">
        <f>IF(COUNT(I367:L367)=4,SUM(I367:L367),"")</f>
        <v>0</v>
      </c>
      <c r="N367" s="269">
        <f>IFERROR(INDEX('Inputs (2)'!$D$56:$AL$56,MATCH(N$7&amp;"",'Inputs (2)'!$D$2:$AL$2,0)),"")</f>
        <v>0</v>
      </c>
      <c r="O367" s="269">
        <f>IFERROR(INDEX('Inputs (2)'!$D$56:$AL$56,MATCH(O$7&amp;"",'Inputs (2)'!$D$2:$AL$2,0)),"")</f>
        <v>0</v>
      </c>
      <c r="P367" s="269">
        <f>IFERROR(INDEX('Inputs (2)'!$D$56:$AL$56,MATCH(P$7&amp;"",'Inputs (2)'!$D$2:$AL$2,0)),"")</f>
        <v>0</v>
      </c>
      <c r="Q367" s="269">
        <f>IFERROR(INDEX('Inputs (2)'!$D$56:$AL$56,MATCH(Q$7&amp;"",'Inputs (2)'!$D$2:$AL$2,0)),"")</f>
        <v>8.5069792</v>
      </c>
      <c r="R367" s="270">
        <f>IF(COUNT(N367:Q367)=4,SUM(N367:Q367),"")</f>
        <v>8.5069792</v>
      </c>
      <c r="S367" s="269">
        <f>IFERROR(INDEX('Inputs (2)'!$D$56:$AL$56,MATCH(S$7&amp;"",'Inputs (2)'!$D$2:$AL$2,0)),"")</f>
        <v>9.993879</v>
      </c>
      <c r="T367" s="269" t="str">
        <f>IFERROR(INDEX('Inputs (2)'!$D$56:$AL$56,MATCH(T$7&amp;"",'Inputs (2)'!$D$2:$AL$2,0)),"")</f>
        <v/>
      </c>
      <c r="U367" s="269">
        <f>IFERROR(INDEX('Inputs (2)'!$D$56:$AL$56,MATCH(U$7&amp;"",'Inputs (2)'!$D$2:$AL$2,0)),"")</f>
        <v>146.85365604</v>
      </c>
      <c r="V367" s="269">
        <f>IFERROR(INDEX('Inputs (2)'!$D$56:$AL$56,MATCH(V$7&amp;"",'Inputs (2)'!$D$2:$AL$2,0)),"")</f>
        <v>139.428568</v>
      </c>
      <c r="W367" s="270" t="str">
        <f>IF(COUNT(S367:V367)=4,SUM(S367:V367),"")</f>
        <v/>
      </c>
      <c r="X367" s="269">
        <f>IFERROR(INDEX('Inputs (2)'!$D$56:$AL$56,MATCH(X$7&amp;"",'Inputs (2)'!$D$2:$AL$2,0)),"")</f>
        <v>163.046700426</v>
      </c>
      <c r="Y367" s="269">
        <f>IFERROR(INDEX('Inputs (2)'!$D$56:$AL$56,MATCH(Y$7&amp;"",'Inputs (2)'!$D$2:$AL$2,0)),"")</f>
        <v>163.888105577</v>
      </c>
      <c r="Z367" s="269">
        <f>IFERROR(INDEX('Inputs (2)'!$D$56:$AL$56,MATCH(Z$7&amp;"",'Inputs (2)'!$D$2:$AL$2,0)),"")</f>
        <v>162.345725</v>
      </c>
      <c r="AA367" s="269">
        <f>IFERROR(INDEX('Inputs (2)'!$D$56:$AL$56,MATCH(AA$7&amp;"",'Inputs (2)'!$D$2:$AL$2,0)),"")</f>
        <v>152.06903667</v>
      </c>
      <c r="AB367" s="270">
        <f>IF(COUNT(X367:AA367)=4,SUM(X367:AA367),"")</f>
        <v>641.349567673</v>
      </c>
      <c r="AC367" s="269">
        <f>IFERROR(INDEX('Inputs (2)'!$D$56:$AL$56,MATCH(AC$7&amp;"",'Inputs (2)'!$D$2:$AL$2,0)),"")</f>
        <v>168.573027</v>
      </c>
      <c r="AD367" s="269">
        <f>IFERROR(INDEX('Inputs (2)'!$D$56:$AL$56,MATCH(AD$7&amp;"",'Inputs (2)'!$D$2:$AL$2,0)),"")</f>
        <v>172.094632</v>
      </c>
      <c r="AE367" s="269">
        <f>IFERROR(INDEX('Inputs (2)'!$D$56:$AL$56,MATCH(AE$7&amp;"",'Inputs (2)'!$D$2:$AL$2,0)),"")</f>
        <v>187.584298868</v>
      </c>
      <c r="AF367" s="269">
        <f>IFERROR(INDEX('Inputs (2)'!$D$56:$AL$56,MATCH(AF$7&amp;"",'Inputs (2)'!$D$2:$AL$2,0)),"")</f>
        <v>184.394027</v>
      </c>
      <c r="AG367" s="270">
        <f>IF(COUNT(AC367:AF367)=4,SUM(AC367:AF367),"")</f>
        <v>712.645984868</v>
      </c>
    </row>
    <row r="368">
      <c r="C368" s="271" t="inlineStr">
        <is>
          <t xml:space="preserve">   Regionais</t>
        </is>
      </c>
      <c r="D368" s="269" t="str">
        <f>IFERROR(INDEX('Inputs (2)'!$D$57:$AL$57,MATCH(D$7&amp;"",'Inputs (2)'!$D$2:$AL$2,0)),"")</f>
        <v/>
      </c>
      <c r="E368" s="269" t="str">
        <f>IFERROR(INDEX('Inputs (2)'!$D$57:$AL$57,MATCH(E$7&amp;"",'Inputs (2)'!$D$2:$AL$2,0)),"")</f>
        <v/>
      </c>
      <c r="F368" s="269" t="str">
        <f>IFERROR(INDEX('Inputs (2)'!$D$57:$AL$57,MATCH(F$7&amp;"",'Inputs (2)'!$D$2:$AL$2,0)),"")</f>
        <v/>
      </c>
      <c r="G368" s="269" t="str">
        <f>IFERROR(INDEX('Inputs (2)'!$D$57:$AL$57,MATCH(G$7&amp;"",'Inputs (2)'!$D$2:$AL$2,0)),"")</f>
        <v/>
      </c>
      <c r="H368" s="270" t="str">
        <f>IF(COUNT(D368:G368)=4,SUM(D368:G368),"")</f>
        <v/>
      </c>
      <c r="I368" s="269">
        <f>IFERROR(INDEX('Inputs (2)'!$D$57:$AL$57,MATCH(I$7&amp;"",'Inputs (2)'!$D$2:$AL$2,0)),"")</f>
        <v>106.827649419</v>
      </c>
      <c r="J368" s="269">
        <f>IFERROR(INDEX('Inputs (2)'!$D$57:$AL$57,MATCH(J$7&amp;"",'Inputs (2)'!$D$2:$AL$2,0)),"")</f>
        <v>107.26347615</v>
      </c>
      <c r="K368" s="269">
        <f>IFERROR(INDEX('Inputs (2)'!$D$57:$AL$57,MATCH(K$7&amp;"",'Inputs (2)'!$D$2:$AL$2,0)),"")</f>
        <v>109.3935775</v>
      </c>
      <c r="L368" s="269">
        <f>IFERROR(INDEX('Inputs (2)'!$D$57:$AL$57,MATCH(L$7&amp;"",'Inputs (2)'!$D$2:$AL$2,0)),"")</f>
        <v>141.59059045</v>
      </c>
      <c r="M368" s="270">
        <f>IF(COUNT(I368:L368)=4,SUM(I368:L368),"")</f>
        <v>465.075293519</v>
      </c>
      <c r="N368" s="269">
        <f>IFERROR(INDEX('Inputs (2)'!$D$57:$AL$57,MATCH(N$7&amp;"",'Inputs (2)'!$D$2:$AL$2,0)),"")</f>
        <v>148.502178229</v>
      </c>
      <c r="O368" s="269">
        <f>IFERROR(INDEX('Inputs (2)'!$D$57:$AL$57,MATCH(O$7&amp;"",'Inputs (2)'!$D$2:$AL$2,0)),"")</f>
        <v>160.663107997</v>
      </c>
      <c r="P368" s="269">
        <f>IFERROR(INDEX('Inputs (2)'!$D$57:$AL$57,MATCH(P$7&amp;"",'Inputs (2)'!$D$2:$AL$2,0)),"")</f>
        <v>174.007403</v>
      </c>
      <c r="Q368" s="269">
        <f>IFERROR(INDEX('Inputs (2)'!$D$57:$AL$57,MATCH(Q$7&amp;"",'Inputs (2)'!$D$2:$AL$2,0)),"")</f>
        <v>156.72236188</v>
      </c>
      <c r="R368" s="270">
        <f>IF(COUNT(N368:Q368)=4,SUM(N368:Q368),"")</f>
        <v>639.895051106</v>
      </c>
      <c r="S368" s="269">
        <f>IFERROR(INDEX('Inputs (2)'!$D$57:$AL$57,MATCH(S$7&amp;"",'Inputs (2)'!$D$2:$AL$2,0)),"")</f>
        <v>172.3578786</v>
      </c>
      <c r="T368" s="269" t="str">
        <f>IFERROR(INDEX('Inputs (2)'!$D$57:$AL$57,MATCH(T$7&amp;"",'Inputs (2)'!$D$2:$AL$2,0)),"")</f>
        <v/>
      </c>
      <c r="U368" s="269">
        <f>IFERROR(INDEX('Inputs (2)'!$D$57:$AL$57,MATCH(U$7&amp;"",'Inputs (2)'!$D$2:$AL$2,0)),"")</f>
        <v>221.45745508</v>
      </c>
      <c r="V368" s="269">
        <f>IFERROR(INDEX('Inputs (2)'!$D$57:$AL$57,MATCH(V$7&amp;"",'Inputs (2)'!$D$2:$AL$2,0)),"")</f>
        <v>201.105045</v>
      </c>
      <c r="W368" s="270" t="str">
        <f>IF(COUNT(S368:V368)=4,SUM(S368:V368),"")</f>
        <v/>
      </c>
      <c r="X368" s="269">
        <f>IFERROR(INDEX('Inputs (2)'!$D$57:$AL$57,MATCH(X$7&amp;"",'Inputs (2)'!$D$2:$AL$2,0)),"")</f>
        <v>212.529530462</v>
      </c>
      <c r="Y368" s="269">
        <f>IFERROR(INDEX('Inputs (2)'!$D$57:$AL$57,MATCH(Y$7&amp;"",'Inputs (2)'!$D$2:$AL$2,0)),"")</f>
        <v>218.365689718</v>
      </c>
      <c r="Z368" s="269">
        <f>IFERROR(INDEX('Inputs (2)'!$D$57:$AL$57,MATCH(Z$7&amp;"",'Inputs (2)'!$D$2:$AL$2,0)),"")</f>
        <v>234.342798</v>
      </c>
      <c r="AA368" s="269">
        <f>IFERROR(INDEX('Inputs (2)'!$D$57:$AL$57,MATCH(AA$7&amp;"",'Inputs (2)'!$D$2:$AL$2,0)),"")</f>
        <v>230.446687523</v>
      </c>
      <c r="AB368" s="270">
        <f>IF(COUNT(X368:AA368)=4,SUM(X368:AA368),"")</f>
        <v>895.684705703</v>
      </c>
      <c r="AC368" s="269">
        <f>IFERROR(INDEX('Inputs (2)'!$D$57:$AL$57,MATCH(AC$7&amp;"",'Inputs (2)'!$D$2:$AL$2,0)),"")</f>
        <v>242.430426</v>
      </c>
      <c r="AD368" s="269">
        <f>IFERROR(INDEX('Inputs (2)'!$D$57:$AL$57,MATCH(AD$7&amp;"",'Inputs (2)'!$D$2:$AL$2,0)),"")</f>
        <v>254.313886</v>
      </c>
      <c r="AE368" s="269">
        <f>IFERROR(INDEX('Inputs (2)'!$D$57:$AL$57,MATCH(AE$7&amp;"",'Inputs (2)'!$D$2:$AL$2,0)),"")</f>
        <v>275.621203034</v>
      </c>
      <c r="AF368" s="269">
        <f>IFERROR(INDEX('Inputs (2)'!$D$57:$AL$57,MATCH(AF$7&amp;"",'Inputs (2)'!$D$2:$AL$2,0)),"")</f>
        <v>241.983079</v>
      </c>
      <c r="AG368" s="270">
        <f>IF(COUNT(AC368:AF368)=4,SUM(AC368:AF368),"")</f>
        <v>1014.348594034</v>
      </c>
    </row>
    <row r="369">
      <c r="C369" s="271" t="inlineStr">
        <is>
          <t>B2B</t>
        </is>
      </c>
      <c r="D369" s="269" t="str">
        <f>IFERROR(INDEX('Inputs (2)'!$D$58:$AL$58,MATCH(D$7&amp;"",'Inputs (2)'!$D$2:$AL$2,0)),"")</f>
        <v/>
      </c>
      <c r="E369" s="269" t="str">
        <f>IFERROR(INDEX('Inputs (2)'!$D$58:$AL$58,MATCH(E$7&amp;"",'Inputs (2)'!$D$2:$AL$2,0)),"")</f>
        <v/>
      </c>
      <c r="F369" s="269" t="str">
        <f>IFERROR(INDEX('Inputs (2)'!$D$58:$AL$58,MATCH(F$7&amp;"",'Inputs (2)'!$D$2:$AL$2,0)),"")</f>
        <v/>
      </c>
      <c r="G369" s="269" t="str">
        <f>IFERROR(INDEX('Inputs (2)'!$D$58:$AL$58,MATCH(G$7&amp;"",'Inputs (2)'!$D$2:$AL$2,0)),"")</f>
        <v/>
      </c>
      <c r="H369" s="270" t="str">
        <f>IF(COUNT(D369:G369)=4,SUM(D369:G369),"")</f>
        <v/>
      </c>
      <c r="I369" s="269">
        <f>IFERROR(INDEX('Inputs (2)'!$D$58:$AL$58,MATCH(I$7&amp;"",'Inputs (2)'!$D$2:$AL$2,0)),"")</f>
        <v>168.726365557</v>
      </c>
      <c r="J369" s="269">
        <f>IFERROR(INDEX('Inputs (2)'!$D$58:$AL$58,MATCH(J$7&amp;"",'Inputs (2)'!$D$2:$AL$2,0)),"")</f>
        <v>170.37753754</v>
      </c>
      <c r="K369" s="269">
        <f>IFERROR(INDEX('Inputs (2)'!$D$58:$AL$58,MATCH(K$7&amp;"",'Inputs (2)'!$D$2:$AL$2,0)),"")</f>
        <v>182.92207006</v>
      </c>
      <c r="L369" s="269">
        <f>IFERROR(INDEX('Inputs (2)'!$D$58:$AL$58,MATCH(L$7&amp;"",'Inputs (2)'!$D$2:$AL$2,0)),"")</f>
        <v>172.43353089</v>
      </c>
      <c r="M369" s="270">
        <f>IF(COUNT(I369:L369)=4,SUM(I369:L369),"")</f>
        <v>694.459504047</v>
      </c>
      <c r="N369" s="269">
        <f>IFERROR(INDEX('Inputs (2)'!$D$58:$AL$58,MATCH(N$7&amp;"",'Inputs (2)'!$D$2:$AL$2,0)),"")</f>
        <v>174.20319546</v>
      </c>
      <c r="O369" s="269">
        <f>IFERROR(INDEX('Inputs (2)'!$D$58:$AL$58,MATCH(O$7&amp;"",'Inputs (2)'!$D$2:$AL$2,0)),"")</f>
        <v>171.748216896</v>
      </c>
      <c r="P369" s="269">
        <f>IFERROR(INDEX('Inputs (2)'!$D$58:$AL$58,MATCH(P$7&amp;"",'Inputs (2)'!$D$2:$AL$2,0)),"")</f>
        <v>146.603407</v>
      </c>
      <c r="Q369" s="269">
        <f>IFERROR(INDEX('Inputs (2)'!$D$58:$AL$58,MATCH(Q$7&amp;"",'Inputs (2)'!$D$2:$AL$2,0)),"")</f>
        <v>129.838387</v>
      </c>
      <c r="R369" s="270">
        <f>IF(COUNT(N369:Q369)=4,SUM(N369:Q369),"")</f>
        <v>622.393206356</v>
      </c>
      <c r="S369" s="269">
        <f>IFERROR(INDEX('Inputs (2)'!$D$58:$AL$58,MATCH(S$7&amp;"",'Inputs (2)'!$D$2:$AL$2,0)),"")</f>
        <v>121.832221</v>
      </c>
      <c r="T369" s="269" t="str">
        <f>IFERROR(INDEX('Inputs (2)'!$D$58:$AL$58,MATCH(T$7&amp;"",'Inputs (2)'!$D$2:$AL$2,0)),"")</f>
        <v/>
      </c>
      <c r="U369" s="269">
        <f>IFERROR(INDEX('Inputs (2)'!$D$58:$AL$58,MATCH(U$7&amp;"",'Inputs (2)'!$D$2:$AL$2,0)),"")</f>
        <v>462.55425082</v>
      </c>
      <c r="V369" s="269">
        <f>IFERROR(INDEX('Inputs (2)'!$D$58:$AL$58,MATCH(V$7&amp;"",'Inputs (2)'!$D$2:$AL$2,0)),"")</f>
        <v>441.410801</v>
      </c>
      <c r="W369" s="270" t="str">
        <f>IF(COUNT(S369:V369)=4,SUM(S369:V369),"")</f>
        <v/>
      </c>
      <c r="X369" s="269">
        <f>IFERROR(INDEX('Inputs (2)'!$D$58:$AL$58,MATCH(X$7&amp;"",'Inputs (2)'!$D$2:$AL$2,0)),"")</f>
        <v>489.420559829</v>
      </c>
      <c r="Y369" s="269">
        <f>IFERROR(INDEX('Inputs (2)'!$D$58:$AL$58,MATCH(Y$7&amp;"",'Inputs (2)'!$D$2:$AL$2,0)),"")</f>
        <v>501.640815262</v>
      </c>
      <c r="Z369" s="269">
        <f>IFERROR(INDEX('Inputs (2)'!$D$58:$AL$58,MATCH(Z$7&amp;"",'Inputs (2)'!$D$2:$AL$2,0)),"")</f>
        <v>501.259219</v>
      </c>
      <c r="AA369" s="269">
        <f>IFERROR(INDEX('Inputs (2)'!$D$58:$AL$58,MATCH(AA$7&amp;"",'Inputs (2)'!$D$2:$AL$2,0)),"")</f>
        <v>465.728886</v>
      </c>
      <c r="AB369" s="270">
        <f>IF(COUNT(X369:AA369)=4,SUM(X369:AA369),"")</f>
        <v>1958.049480091</v>
      </c>
      <c r="AC369" s="269">
        <f>IFERROR(INDEX('Inputs (2)'!$D$58:$AL$58,MATCH(AC$7&amp;"",'Inputs (2)'!$D$2:$AL$2,0)),"")</f>
        <v>480.04979</v>
      </c>
      <c r="AD369" s="269">
        <f>IFERROR(INDEX('Inputs (2)'!$D$58:$AL$58,MATCH(AD$7&amp;"",'Inputs (2)'!$D$2:$AL$2,0)),"")</f>
        <v>485.926475</v>
      </c>
      <c r="AE369" s="269">
        <f>IFERROR(INDEX('Inputs (2)'!$D$58:$AL$58,MATCH(AE$7&amp;"",'Inputs (2)'!$D$2:$AL$2,0)),"")</f>
        <v>511.573079516</v>
      </c>
      <c r="AF369" s="269">
        <f>IFERROR(INDEX('Inputs (2)'!$D$58:$AL$58,MATCH(AF$7&amp;"",'Inputs (2)'!$D$2:$AL$2,0)),"")</f>
        <v>485.00749</v>
      </c>
      <c r="AG369" s="270">
        <f>IF(COUNT(AC369:AF369)=4,SUM(AC369:AF369),"")</f>
        <v>1962.556834516</v>
      </c>
    </row>
    <row r="370">
      <c r="C370" s="271" t="inlineStr">
        <is>
          <t>Novos Elos e Plataformas</t>
        </is>
      </c>
      <c r="D370" s="269" t="str">
        <f>IFERROR(INDEX('Inputs (2)'!$D$59:$AL$59,MATCH(D$7&amp;"",'Inputs (2)'!$D$2:$AL$2,0)),"")</f>
        <v/>
      </c>
      <c r="E370" s="269" t="str">
        <f>IFERROR(INDEX('Inputs (2)'!$D$59:$AL$59,MATCH(E$7&amp;"",'Inputs (2)'!$D$2:$AL$2,0)),"")</f>
        <v/>
      </c>
      <c r="F370" s="269" t="str">
        <f>IFERROR(INDEX('Inputs (2)'!$D$59:$AL$59,MATCH(F$7&amp;"",'Inputs (2)'!$D$2:$AL$2,0)),"")</f>
        <v/>
      </c>
      <c r="G370" s="269" t="str">
        <f>IFERROR(INDEX('Inputs (2)'!$D$59:$AL$59,MATCH(G$7&amp;"",'Inputs (2)'!$D$2:$AL$2,0)),"")</f>
        <v/>
      </c>
      <c r="H370" s="270" t="str">
        <f>IF(COUNT(D370:G370)=4,SUM(D370:G370),"")</f>
        <v/>
      </c>
      <c r="I370" s="269">
        <f>IFERROR(INDEX('Inputs (2)'!$D$59:$AL$59,MATCH(I$7&amp;"",'Inputs (2)'!$D$2:$AL$2,0)),"")</f>
        <v>13.85916205</v>
      </c>
      <c r="J370" s="269">
        <f>IFERROR(INDEX('Inputs (2)'!$D$59:$AL$59,MATCH(J$7&amp;"",'Inputs (2)'!$D$2:$AL$2,0)),"")</f>
        <v>41.10253789</v>
      </c>
      <c r="K370" s="269">
        <f>IFERROR(INDEX('Inputs (2)'!$D$59:$AL$59,MATCH(K$7&amp;"",'Inputs (2)'!$D$2:$AL$2,0)),"")</f>
        <v>86.668212532</v>
      </c>
      <c r="L370" s="269">
        <f>IFERROR(INDEX('Inputs (2)'!$D$59:$AL$59,MATCH(L$7&amp;"",'Inputs (2)'!$D$2:$AL$2,0)),"")</f>
        <v>81.656594275</v>
      </c>
      <c r="M370" s="270">
        <f>IF(COUNT(I370:L370)=4,SUM(I370:L370),"")</f>
        <v>223.286506747</v>
      </c>
      <c r="N370" s="269">
        <f>IFERROR(INDEX('Inputs (2)'!$D$59:$AL$59,MATCH(N$7&amp;"",'Inputs (2)'!$D$2:$AL$2,0)),"")</f>
        <v>79.26090508</v>
      </c>
      <c r="O370" s="269">
        <f>IFERROR(INDEX('Inputs (2)'!$D$59:$AL$59,MATCH(O$7&amp;"",'Inputs (2)'!$D$2:$AL$2,0)),"")</f>
        <v>88.385615808</v>
      </c>
      <c r="P370" s="269">
        <f>IFERROR(INDEX('Inputs (2)'!$D$59:$AL$59,MATCH(P$7&amp;"",'Inputs (2)'!$D$2:$AL$2,0)),"")</f>
        <v>101.369994</v>
      </c>
      <c r="Q370" s="269">
        <f>IFERROR(INDEX('Inputs (2)'!$D$59:$AL$59,MATCH(Q$7&amp;"",'Inputs (2)'!$D$2:$AL$2,0)),"")</f>
        <v>143.71703405</v>
      </c>
      <c r="R370" s="270">
        <f>IF(COUNT(N370:Q370)=4,SUM(N370:Q370),"")</f>
        <v>412.733548938</v>
      </c>
      <c r="S370" s="269">
        <f>IFERROR(INDEX('Inputs (2)'!$D$59:$AL$59,MATCH(S$7&amp;"",'Inputs (2)'!$D$2:$AL$2,0)),"")</f>
        <v>146.85354669</v>
      </c>
      <c r="T370" s="269" t="str">
        <f>IFERROR(INDEX('Inputs (2)'!$D$59:$AL$59,MATCH(T$7&amp;"",'Inputs (2)'!$D$2:$AL$2,0)),"")</f>
        <v/>
      </c>
      <c r="U370" s="269">
        <f>IFERROR(INDEX('Inputs (2)'!$D$59:$AL$59,MATCH(U$7&amp;"",'Inputs (2)'!$D$2:$AL$2,0)),"")</f>
        <v>183.042780266</v>
      </c>
      <c r="V370" s="269">
        <f>IFERROR(INDEX('Inputs (2)'!$D$59:$AL$59,MATCH(V$7&amp;"",'Inputs (2)'!$D$2:$AL$2,0)),"")</f>
        <v>168.24368</v>
      </c>
      <c r="W370" s="270" t="str">
        <f>IF(COUNT(S370:V370)=4,SUM(S370:V370),"")</f>
        <v/>
      </c>
      <c r="X370" s="269">
        <f>IFERROR(INDEX('Inputs (2)'!$D$59:$AL$59,MATCH(X$7&amp;"",'Inputs (2)'!$D$2:$AL$2,0)),"")</f>
        <v>188.714009753</v>
      </c>
      <c r="Y370" s="269">
        <f>IFERROR(INDEX('Inputs (2)'!$D$59:$AL$59,MATCH(Y$7&amp;"",'Inputs (2)'!$D$2:$AL$2,0)),"")</f>
        <v>200.69931886</v>
      </c>
      <c r="Z370" s="269">
        <f>IFERROR(INDEX('Inputs (2)'!$D$59:$AL$59,MATCH(Z$7&amp;"",'Inputs (2)'!$D$2:$AL$2,0)),"")</f>
        <v>198.427812</v>
      </c>
      <c r="AA370" s="269">
        <f>IFERROR(INDEX('Inputs (2)'!$D$59:$AL$59,MATCH(AA$7&amp;"",'Inputs (2)'!$D$2:$AL$2,0)),"")</f>
        <v>174.87353161</v>
      </c>
      <c r="AB370" s="270">
        <f>IF(COUNT(X370:AA370)=4,SUM(X370:AA370),"")</f>
        <v>762.714672223</v>
      </c>
      <c r="AC370" s="269">
        <f>IFERROR(INDEX('Inputs (2)'!$D$59:$AL$59,MATCH(AC$7&amp;"",'Inputs (2)'!$D$2:$AL$2,0)),"")</f>
        <v>222.490154</v>
      </c>
      <c r="AD370" s="269">
        <f>IFERROR(INDEX('Inputs (2)'!$D$59:$AL$59,MATCH(AD$7&amp;"",'Inputs (2)'!$D$2:$AL$2,0)),"")</f>
        <v>174.107667</v>
      </c>
      <c r="AE370" s="269">
        <f>IFERROR(INDEX('Inputs (2)'!$D$59:$AL$59,MATCH(AE$7&amp;"",'Inputs (2)'!$D$2:$AL$2,0)),"")</f>
        <v>204.330322536</v>
      </c>
      <c r="AF370" s="269">
        <f>IFERROR(INDEX('Inputs (2)'!$D$59:$AL$59,MATCH(AF$7&amp;"",'Inputs (2)'!$D$2:$AL$2,0)),"")</f>
        <v>217.547823</v>
      </c>
      <c r="AG370" s="270">
        <f>IF(COUNT(AC370:AF370)=4,SUM(AC370:AF370),"")</f>
        <v>818.475966536</v>
      </c>
    </row>
    <row r="371">
      <c r="C371" s="268" t="inlineStr">
        <is>
          <t>Receita bruta (soma dos negocios)</t>
        </is>
      </c>
      <c r="D371" s="269" t="str">
        <f>IF(COUNT(D363,D369,D370)=0,"",SUM(D363,D369,D370))</f>
        <v/>
      </c>
      <c r="E371" s="269" t="str">
        <f>IF(COUNT(E363,E369,E370)=0,"",SUM(E363,E369,E370))</f>
        <v/>
      </c>
      <c r="F371" s="269" t="str">
        <f>IF(COUNT(F363,F369,F370)=0,"",SUM(F363,F369,F370))</f>
        <v/>
      </c>
      <c r="G371" s="269" t="str">
        <f>IF(COUNT(G363,G369,G370)=0,"",SUM(G363,G369,G370))</f>
        <v/>
      </c>
      <c r="H371" s="270" t="str">
        <f>IF(COUNT(H363,H369,H370)=0,"",SUM(H363,H369,H370))</f>
        <v/>
      </c>
      <c r="I371" s="269">
        <f>IF(COUNT(I363,I369,I370)=0,"",SUM(I363,I369,I370))</f>
        <v>964.269592024</v>
      </c>
      <c r="J371" s="269">
        <f>IF(COUNT(J363,J369,J370)=0,"",SUM(J363,J369,J370))</f>
        <v>1005.13234457</v>
      </c>
      <c r="K371" s="269">
        <f>IF(COUNT(K363,K369,K370)=0,"",SUM(K363,K369,K370))</f>
        <v>1107.45018044</v>
      </c>
      <c r="L371" s="269">
        <f>IF(COUNT(L363,L369,L370)=0,"",SUM(L363,L369,L370))</f>
        <v>1095.56112105</v>
      </c>
      <c r="M371" s="270">
        <f>IF(COUNT(M363,M369,M370)=0,"",SUM(M363,M369,M370))</f>
        <v>4172.413238084</v>
      </c>
      <c r="N371" s="269">
        <f>IF(COUNT(N363,N369,N370)=0,"",SUM(N363,N369,N370))</f>
        <v>1173.408106179</v>
      </c>
      <c r="O371" s="269">
        <f>IF(COUNT(O363,O369,O370)=0,"",SUM(O363,O369,O370))</f>
        <v>1196.381537348</v>
      </c>
      <c r="P371" s="269">
        <f>IF(COUNT(P363,P369,P370)=0,"",SUM(P363,P369,P370))</f>
        <v>1234.349304</v>
      </c>
      <c r="Q371" s="269">
        <f>IF(COUNT(Q363,Q369,Q370)=0,"",SUM(Q363,Q369,Q370))</f>
        <v>1199.02754425</v>
      </c>
      <c r="R371" s="270">
        <f>IF(COUNT(R363,R369,R370)=0,"",SUM(R363,R369,R370))</f>
        <v>4803.166491777</v>
      </c>
      <c r="S371" s="269">
        <f>IF(COUNT(S363,S369,S370)=0,"",SUM(S363,S369,S370))</f>
        <v>1330.40588029</v>
      </c>
      <c r="T371" s="269" t="str">
        <f>IF(COUNT(T363,T369,T370)=0,"",SUM(T363,T369,T370))</f>
        <v/>
      </c>
      <c r="U371" s="269">
        <f>IF(COUNT(U363,U369,U370)=0,"",SUM(U363,U369,U370))</f>
        <v>2011.020324166</v>
      </c>
      <c r="V371" s="269">
        <f>IF(COUNT(V363,V369,V370)=0,"",SUM(V363,V369,V370))</f>
        <v>1835.383548</v>
      </c>
      <c r="W371" s="270" t="str">
        <f>IF(COUNT(W363,W369,W370)=0,"",SUM(W363,W369,W370))</f>
        <v/>
      </c>
      <c r="X371" s="269">
        <f>IF(COUNT(X363,X369,X370)=0,"",SUM(X363,X369,X370))</f>
        <v>2055.57894173</v>
      </c>
      <c r="Y371" s="269">
        <f>IF(COUNT(Y363,Y369,Y370)=0,"",SUM(Y363,Y369,Y370))</f>
        <v>2136.901947018</v>
      </c>
      <c r="Z371" s="269">
        <f>IF(COUNT(Z363,Z369,Z370)=0,"",SUM(Z363,Z369,Z370))</f>
        <v>2133.177792</v>
      </c>
      <c r="AA371" s="269">
        <f>IF(COUNT(AA363,AA369,AA370)=0,"",SUM(AA363,AA369,AA370))</f>
        <v>1994.306342133</v>
      </c>
      <c r="AB371" s="270">
        <f>IF(COUNT(AB363,AB369,AB370)=0,"",SUM(AB363,AB369,AB370))</f>
        <v>8319.965022881</v>
      </c>
      <c r="AC371" s="269">
        <f>IF(COUNT(AC363,AC369,AC370)=0,"",SUM(AC363,AC369,AC370))</f>
        <v>2188.441</v>
      </c>
      <c r="AD371" s="269">
        <f>IF(COUNT(AD363,AD369,AD370)=0,"",SUM(AD363,AD369,AD370))</f>
        <v>2197.802169</v>
      </c>
      <c r="AE371" s="269">
        <f>IF(COUNT(AE363,AE369,AE370)=0,"",SUM(AE363,AE369,AE370))</f>
        <v>2378.626123333</v>
      </c>
      <c r="AF371" s="269">
        <f>IF(COUNT(AF363,AF369,AF370)=0,"",SUM(AF363,AF369,AF370))</f>
        <v>2238.166173953</v>
      </c>
      <c r="AG371" s="270">
        <f>IF(COUNT(AG363,AG369,AG370)=0,"",SUM(AG363,AG369,AG370))</f>
        <v>9003.035466286</v>
      </c>
    </row>
    <row r="372">
      <c r="C372" s="271" t="inlineStr">
        <is>
          <t>(-) Deducoes (impostos, glosas, abatimentos)</t>
        </is>
      </c>
      <c r="D372" s="269" t="str">
        <f>IFERROR(INDEX('Inputs (2)'!$D$60:$AL$60,MATCH(D$7&amp;"",'Inputs (2)'!$D$2:$AL$2,0)),"")</f>
        <v/>
      </c>
      <c r="E372" s="269" t="str">
        <f>IFERROR(INDEX('Inputs (2)'!$D$60:$AL$60,MATCH(E$7&amp;"",'Inputs (2)'!$D$2:$AL$2,0)),"")</f>
        <v/>
      </c>
      <c r="F372" s="269" t="str">
        <f>IFERROR(INDEX('Inputs (2)'!$D$60:$AL$60,MATCH(F$7&amp;"",'Inputs (2)'!$D$2:$AL$2,0)),"")</f>
        <v/>
      </c>
      <c r="G372" s="269" t="str">
        <f>IFERROR(INDEX('Inputs (2)'!$D$60:$AL$60,MATCH(G$7&amp;"",'Inputs (2)'!$D$2:$AL$2,0)),"")</f>
        <v/>
      </c>
      <c r="H372" s="270" t="str">
        <f>IF(COUNT(D372:G372)=4,SUM(D372:G372),"")</f>
        <v/>
      </c>
      <c r="I372" s="269">
        <f>IFERROR(INDEX('Inputs (2)'!$D$60:$AL$60,MATCH(I$7&amp;"",'Inputs (2)'!$D$2:$AL$2,0)),"")</f>
        <v>-70.46114024</v>
      </c>
      <c r="J372" s="269">
        <f>IFERROR(INDEX('Inputs (2)'!$D$60:$AL$60,MATCH(J$7&amp;"",'Inputs (2)'!$D$2:$AL$2,0)),"")</f>
        <v>-73.06623912</v>
      </c>
      <c r="K372" s="269">
        <f>IFERROR(INDEX('Inputs (2)'!$D$60:$AL$60,MATCH(K$7&amp;"",'Inputs (2)'!$D$2:$AL$2,0)),"")</f>
        <v>-78.61996292</v>
      </c>
      <c r="L372" s="269">
        <f>IFERROR(INDEX('Inputs (2)'!$D$60:$AL$60,MATCH(L$7&amp;"",'Inputs (2)'!$D$2:$AL$2,0)),"")</f>
        <v>-77.61433756</v>
      </c>
      <c r="M372" s="270">
        <f>IF(COUNT(I372:L372)=4,SUM(I372:L372),"")</f>
        <v>-299.76167984</v>
      </c>
      <c r="N372" s="269">
        <f>IFERROR(INDEX('Inputs (2)'!$D$60:$AL$60,MATCH(N$7&amp;"",'Inputs (2)'!$D$2:$AL$2,0)),"")</f>
        <v>-83.4955361</v>
      </c>
      <c r="O372" s="269">
        <f>IFERROR(INDEX('Inputs (2)'!$D$60:$AL$60,MATCH(O$7&amp;"",'Inputs (2)'!$D$2:$AL$2,0)),"")</f>
        <v>-84.63557609</v>
      </c>
      <c r="P372" s="269">
        <f>IFERROR(INDEX('Inputs (2)'!$D$60:$AL$60,MATCH(P$7&amp;"",'Inputs (2)'!$D$2:$AL$2,0)),"")</f>
        <v>-87.57188678</v>
      </c>
      <c r="Q372" s="269">
        <f>IFERROR(INDEX('Inputs (2)'!$D$60:$AL$60,MATCH(Q$7&amp;"",'Inputs (2)'!$D$2:$AL$2,0)),"")</f>
        <v>-84.28051397</v>
      </c>
      <c r="R372" s="270">
        <f>IF(COUNT(N372:Q372)=4,SUM(N372:Q372),"")</f>
        <v>-339.98351294</v>
      </c>
      <c r="S372" s="269">
        <f>IFERROR(INDEX('Inputs (2)'!$D$60:$AL$60,MATCH(S$7&amp;"",'Inputs (2)'!$D$2:$AL$2,0)),"")</f>
        <v>-93.58246261</v>
      </c>
      <c r="T372" s="269">
        <f>IFERROR(INDEX('Inputs (2)'!$D$60:$AL$60,MATCH(T$7&amp;"",'Inputs (2)'!$D$2:$AL$2,0)),"")</f>
        <v>-124.984</v>
      </c>
      <c r="U372" s="269">
        <f>IFERROR(INDEX('Inputs (2)'!$D$60:$AL$60,MATCH(U$7&amp;"",'Inputs (2)'!$D$2:$AL$2,0)),"")</f>
        <v>-140.975</v>
      </c>
      <c r="V372" s="269">
        <f>IFERROR(INDEX('Inputs (2)'!$D$60:$AL$60,MATCH(V$7&amp;"",'Inputs (2)'!$D$2:$AL$2,0)),"")</f>
        <v>-130.94253739</v>
      </c>
      <c r="W372" s="270">
        <f>IF(COUNT(S372:V372)=4,SUM(S372:V372),"")</f>
        <v>-490.484</v>
      </c>
      <c r="X372" s="269">
        <f>IFERROR(INDEX('Inputs (2)'!$D$60:$AL$60,MATCH(X$7&amp;"",'Inputs (2)'!$D$2:$AL$2,0)),"")</f>
        <v>-151.131</v>
      </c>
      <c r="Y372" s="269">
        <f>IFERROR(INDEX('Inputs (2)'!$D$60:$AL$60,MATCH(Y$7&amp;"",'Inputs (2)'!$D$2:$AL$2,0)),"")</f>
        <v>-158.7</v>
      </c>
      <c r="Z372" s="269">
        <f>IFERROR(INDEX('Inputs (2)'!$D$60:$AL$60,MATCH(Z$7&amp;"",'Inputs (2)'!$D$2:$AL$2,0)),"")</f>
        <v>-170.507</v>
      </c>
      <c r="AA372" s="269">
        <f>IFERROR(INDEX('Inputs (2)'!$D$60:$AL$60,MATCH(AA$7&amp;"",'Inputs (2)'!$D$2:$AL$2,0)),"")</f>
        <v>-154.969</v>
      </c>
      <c r="AB372" s="270">
        <f>IF(COUNT(X372:AA372)=4,SUM(X372:AA372),"")</f>
        <v>-635.307</v>
      </c>
      <c r="AC372" s="269">
        <f>IFERROR(INDEX('Inputs (2)'!$D$60:$AL$60,MATCH(AC$7&amp;"",'Inputs (2)'!$D$2:$AL$2,0)),"")</f>
        <v>-173.367</v>
      </c>
      <c r="AD372" s="269">
        <f>IFERROR(INDEX('Inputs (2)'!$D$60:$AL$60,MATCH(AD$7&amp;"",'Inputs (2)'!$D$2:$AL$2,0)),"")</f>
        <v>-173.269</v>
      </c>
      <c r="AE372" s="269">
        <f>IFERROR(INDEX('Inputs (2)'!$D$60:$AL$60,MATCH(AE$7&amp;"",'Inputs (2)'!$D$2:$AL$2,0)),"")</f>
        <v>-187.64646682</v>
      </c>
      <c r="AF372" s="269">
        <f>IFERROR(INDEX('Inputs (2)'!$D$60:$AL$60,MATCH(AF$7&amp;"",'Inputs (2)'!$D$2:$AL$2,0)),"")</f>
        <v>-177.57069386</v>
      </c>
      <c r="AG372" s="270">
        <f>IF(COUNT(AC372:AF372)=4,SUM(AC372:AF372),"")</f>
        <v>-711.85316068</v>
      </c>
    </row>
    <row r="373">
      <c r="C373" s="268" t="inlineStr">
        <is>
          <t>Receita liquida (receita bruta - deducoes)</t>
        </is>
      </c>
      <c r="D373" s="269" t="str">
        <f>IF(COUNT(D371)=0,"",D371+D372)</f>
        <v/>
      </c>
      <c r="E373" s="269" t="str">
        <f>IF(COUNT(E371)=0,"",E371+E372)</f>
        <v/>
      </c>
      <c r="F373" s="269" t="str">
        <f>IF(COUNT(F371)=0,"",F371+F372)</f>
        <v/>
      </c>
      <c r="G373" s="269" t="str">
        <f>IF(COUNT(G371)=0,"",G371+G372)</f>
        <v/>
      </c>
      <c r="H373" s="270" t="str">
        <f>IF(COUNT(H371)=0,"",H371+H372)</f>
        <v/>
      </c>
      <c r="I373" s="269">
        <f>IF(COUNT(I371)=0,"",I371+I372)</f>
        <v>893.808451784</v>
      </c>
      <c r="J373" s="269">
        <f>IF(COUNT(J371)=0,"",J371+J372)</f>
        <v>932.06610545</v>
      </c>
      <c r="K373" s="269">
        <f>IF(COUNT(K371)=0,"",K371+K372)</f>
        <v>1028.83021752</v>
      </c>
      <c r="L373" s="269">
        <f>IF(COUNT(L371)=0,"",L371+L372)</f>
        <v>1017.94678349</v>
      </c>
      <c r="M373" s="270">
        <f>IF(COUNT(M371)=0,"",M371+M372)</f>
        <v>3872.651558244</v>
      </c>
      <c r="N373" s="269">
        <f>IF(COUNT(N371)=0,"",N371+N372)</f>
        <v>1089.912570079</v>
      </c>
      <c r="O373" s="269">
        <f>IF(COUNT(O371)=0,"",O371+O372)</f>
        <v>1111.745961258</v>
      </c>
      <c r="P373" s="269">
        <f>IF(COUNT(P371)=0,"",P371+P372)</f>
        <v>1146.77741722</v>
      </c>
      <c r="Q373" s="269">
        <f>IF(COUNT(Q371)=0,"",Q371+Q372)</f>
        <v>1114.74703028</v>
      </c>
      <c r="R373" s="270">
        <f>IF(COUNT(R371)=0,"",R371+R372)</f>
        <v>4463.182978837</v>
      </c>
      <c r="S373" s="269">
        <f>IF(COUNT(S371)=0,"",S371+S372)</f>
        <v>1236.82341768</v>
      </c>
      <c r="T373" s="269" t="str">
        <f>IF(COUNT(T371)=0,"",T371+T372)</f>
        <v/>
      </c>
      <c r="U373" s="269">
        <f>IF(COUNT(U371)=0,"",U371+U372)</f>
        <v>1870.045324166</v>
      </c>
      <c r="V373" s="269">
        <f>IF(COUNT(V371)=0,"",V371+V372)</f>
        <v>1704.44101061</v>
      </c>
      <c r="W373" s="270" t="str">
        <f>IF(COUNT(W371)=0,"",W371+W372)</f>
        <v/>
      </c>
      <c r="X373" s="269">
        <f>IF(COUNT(X371)=0,"",X371+X372)</f>
        <v>1904.44794173</v>
      </c>
      <c r="Y373" s="269">
        <f>IF(COUNT(Y371)=0,"",Y371+Y372)</f>
        <v>1978.201947018</v>
      </c>
      <c r="Z373" s="269">
        <f>IF(COUNT(Z371)=0,"",Z371+Z372)</f>
        <v>1962.670792</v>
      </c>
      <c r="AA373" s="269">
        <f>IF(COUNT(AA371)=0,"",AA371+AA372)</f>
        <v>1839.337342133</v>
      </c>
      <c r="AB373" s="270">
        <f>IF(COUNT(AB371)=0,"",AB371+AB372)</f>
        <v>7684.658022881</v>
      </c>
      <c r="AC373" s="269">
        <f>IF(COUNT(AC371)=0,"",AC371+AC372)</f>
        <v>2015.074</v>
      </c>
      <c r="AD373" s="269">
        <f>IF(COUNT(AD371)=0,"",AD371+AD372)</f>
        <v>2024.533169</v>
      </c>
      <c r="AE373" s="269">
        <f>IF(COUNT(AE371)=0,"",AE371+AE372)</f>
        <v>2190.979656513</v>
      </c>
      <c r="AF373" s="269">
        <f>IF(COUNT(AF371)=0,"",AF371+AF372)</f>
        <v>2060.595480093</v>
      </c>
      <c r="AG373" s="270">
        <f>IF(COUNT(AG371)=0,"",AG371+AG372)</f>
        <v>8291.182305606</v>
      </c>
    </row>
    <row r="374">
      <c r="C374" s="271" t="inlineStr">
        <is>
          <t>Check vs Net Revenues (linha 15)</t>
        </is>
      </c>
      <c r="D374" s="269" t="str">
        <f>IF(COUNT(D373)=0,"",D15-D373)</f>
        <v/>
      </c>
      <c r="E374" s="269" t="str">
        <f>IF(COUNT(E373)=0,"",E15-E373)</f>
        <v/>
      </c>
      <c r="F374" s="269" t="str">
        <f>IF(COUNT(F373)=0,"",F15-F373)</f>
        <v/>
      </c>
      <c r="G374" s="269" t="str">
        <f>IF(COUNT(G373)=0,"",G15-G373)</f>
        <v/>
      </c>
      <c r="H374" s="270" t="str">
        <f>IF(COUNT(H373)=0,"",H15-H373)</f>
        <v/>
      </c>
      <c r="I374" s="269">
        <f>IF(COUNT(I373)=0,"",I15-I373)</f>
        <v>-0.000475973999982671</v>
      </c>
      <c r="J374" s="269">
        <f>IF(COUNT(J373)=0,"",J15-J373)</f>
        <v>0.000250440000058916</v>
      </c>
      <c r="K374" s="269">
        <f>IF(COUNT(K373)=0,"",K15-K373)</f>
        <v>-0.000354089999973439</v>
      </c>
      <c r="L374" s="269">
        <f>IF(COUNT(L373)=0,"",L15-L373)</f>
        <v>-0.000356420000116486</v>
      </c>
      <c r="M374" s="270">
        <f>IF(COUNT(M373)=0,"",M15-M373)</f>
        <v>-0.000936044000354741</v>
      </c>
      <c r="N374" s="269">
        <f>IF(COUNT(N373)=0,"",N15-N373)</f>
        <v>0</v>
      </c>
      <c r="O374" s="269">
        <f>IF(COUNT(O373)=0,"",O15-O373)</f>
        <v>0</v>
      </c>
      <c r="P374" s="269">
        <f>IF(COUNT(P373)=0,"",P15-P373)</f>
        <v>-0.142541000000165</v>
      </c>
      <c r="Q374" s="269">
        <f>IF(COUNT(Q373)=0,"",Q15-Q373)</f>
        <v>-0.000266000000237909</v>
      </c>
      <c r="R374" s="270">
        <f>IF(COUNT(R373)=0,"",R15-R373)</f>
        <v>-0.142806999999266</v>
      </c>
      <c r="S374" s="269">
        <f>IF(COUNT(S373)=0,"",S15-S373)</f>
        <v>-0.000117999999929452</v>
      </c>
      <c r="T374" s="269" t="str">
        <f>IF(COUNT(T373)=0,"",T15-T373)</f>
        <v/>
      </c>
      <c r="U374" s="269">
        <f>IF(COUNT(U373)=0,"",U15-U373)</f>
        <v>-0.000324166000154946</v>
      </c>
      <c r="V374" s="269">
        <f>IF(COUNT(V373)=0,"",V15-V373)</f>
        <v>-0.000310289999788438</v>
      </c>
      <c r="W374" s="270" t="str">
        <f>IF(COUNT(W373)=0,"",W15-W373)</f>
        <v/>
      </c>
      <c r="X374" s="269">
        <f>IF(COUNT(X373)=0,"",X15-X373)</f>
        <v>0.00053677000028074</v>
      </c>
      <c r="Y374" s="269">
        <f>IF(COUNT(Y373)=0,"",Y15-Y373)</f>
        <v>5.29819999428582e-05</v>
      </c>
      <c r="Z374" s="269">
        <f>IF(COUNT(Z373)=0,"",Z15-Z373)</f>
        <v>0.000682000000097105</v>
      </c>
      <c r="AA374" s="269">
        <f>IF(COUNT(AA373)=0,"",AA15-AA373)</f>
        <v>-0.00029463299983945</v>
      </c>
      <c r="AB374" s="270">
        <f>IF(COUNT(AB373)=0,"",AB15-AB373)</f>
        <v>0.000977119001618121</v>
      </c>
      <c r="AC374" s="269">
        <f>IF(COUNT(AC373)=0,"",AC15-AC373)</f>
        <v>0</v>
      </c>
      <c r="AD374" s="269">
        <f>IF(COUNT(AD373)=0,"",AD15-AD373)</f>
        <v>-0.000168999999687003</v>
      </c>
      <c r="AE374" s="269">
        <f>IF(COUNT(AE373)=0,"",AE15-AE373)</f>
        <v>-0.000472685999739042</v>
      </c>
      <c r="AF374" s="269">
        <f>IF(COUNT(AF373)=0,"",AF15-AF373)</f>
        <v>-0.000141952999911155</v>
      </c>
      <c r="AG374" s="270">
        <f>IF(COUNT(AG373)=0,"",AG15-AG373)</f>
        <v>-0.000783638999564573</v>
      </c>
    </row>
    <row r="375"/>
    <row r="376">
      <c r="C376" s="268" t="inlineStr">
        <is>
          <t>Volume e receita media por exame (Combinada inclui lab-to-lab do Pardini: quebra no 2T23)</t>
        </is>
      </c>
    </row>
    <row r="377">
      <c r="C377" s="271" t="inlineStr">
        <is>
          <t>Exames PSC (mil)</t>
        </is>
      </c>
      <c r="D377" s="269" t="str">
        <f>IFERROR(INDEX('Inputs (2)'!$D$61:$AL$61,MATCH(D$7&amp;"",'Inputs (2)'!$D$2:$AL$2,0)),"")</f>
        <v/>
      </c>
      <c r="E377" s="269" t="str">
        <f>IFERROR(INDEX('Inputs (2)'!$D$61:$AL$61,MATCH(E$7&amp;"",'Inputs (2)'!$D$2:$AL$2,0)),"")</f>
        <v/>
      </c>
      <c r="F377" s="269" t="str">
        <f>IFERROR(INDEX('Inputs (2)'!$D$61:$AL$61,MATCH(F$7&amp;"",'Inputs (2)'!$D$2:$AL$2,0)),"")</f>
        <v/>
      </c>
      <c r="G377" s="269" t="str">
        <f>IFERROR(INDEX('Inputs (2)'!$D$61:$AL$61,MATCH(G$7&amp;"",'Inputs (2)'!$D$2:$AL$2,0)),"")</f>
        <v/>
      </c>
      <c r="H377" s="270" t="str">
        <f>IF(COUNT(D377:G377)=4,SUM(D377:G377),"")</f>
        <v/>
      </c>
      <c r="I377" s="269">
        <f>IFERROR(INDEX('Inputs (2)'!$D$61:$AL$61,MATCH(I$7&amp;"",'Inputs (2)'!$D$2:$AL$2,0)),"")</f>
        <v>14679.154</v>
      </c>
      <c r="J377" s="269">
        <f>IFERROR(INDEX('Inputs (2)'!$D$61:$AL$61,MATCH(J$7&amp;"",'Inputs (2)'!$D$2:$AL$2,0)),"")</f>
        <v>15004.562</v>
      </c>
      <c r="K377" s="269">
        <f>IFERROR(INDEX('Inputs (2)'!$D$61:$AL$61,MATCH(K$7&amp;"",'Inputs (2)'!$D$2:$AL$2,0)),"")</f>
        <v>15768.101</v>
      </c>
      <c r="L377" s="269">
        <f>IFERROR(INDEX('Inputs (2)'!$D$61:$AL$61,MATCH(L$7&amp;"",'Inputs (2)'!$D$2:$AL$2,0)),"")</f>
        <v>16663.758</v>
      </c>
      <c r="M377" s="270">
        <f>IF(COUNT(I377:L377)=4,SUM(I377:L377),"")</f>
        <v>62115.575</v>
      </c>
      <c r="N377" s="269">
        <f>IFERROR(INDEX('Inputs (2)'!$D$61:$AL$61,MATCH(N$7&amp;"",'Inputs (2)'!$D$2:$AL$2,0)),"")</f>
        <v>18443.28</v>
      </c>
      <c r="O377" s="269">
        <f>IFERROR(INDEX('Inputs (2)'!$D$61:$AL$61,MATCH(O$7&amp;"",'Inputs (2)'!$D$2:$AL$2,0)),"")</f>
        <v>19516.806999604</v>
      </c>
      <c r="P377" s="269">
        <f>IFERROR(INDEX('Inputs (2)'!$D$61:$AL$61,MATCH(P$7&amp;"",'Inputs (2)'!$D$2:$AL$2,0)),"")</f>
        <v>20759.489</v>
      </c>
      <c r="Q377" s="269">
        <f>IFERROR(INDEX('Inputs (2)'!$D$61:$AL$61,MATCH(Q$7&amp;"",'Inputs (2)'!$D$2:$AL$2,0)),"")</f>
        <v>19863.724</v>
      </c>
      <c r="R377" s="270">
        <f>IF(COUNT(N377:Q377)=4,SUM(N377:Q377),"")</f>
        <v>78583.299999604</v>
      </c>
      <c r="S377" s="269">
        <f>IFERROR(INDEX('Inputs (2)'!$D$61:$AL$61,MATCH(S$7&amp;"",'Inputs (2)'!$D$2:$AL$2,0)),"")</f>
        <v>24639.577</v>
      </c>
      <c r="T377" s="269" t="str">
        <f>IFERROR(INDEX('Inputs (2)'!$D$61:$AL$61,MATCH(T$7&amp;"",'Inputs (2)'!$D$2:$AL$2,0)),"")</f>
        <v/>
      </c>
      <c r="U377" s="269">
        <f>IFERROR(INDEX('Inputs (2)'!$D$61:$AL$61,MATCH(U$7&amp;"",'Inputs (2)'!$D$2:$AL$2,0)),"")</f>
        <v>36037.031</v>
      </c>
      <c r="V377" s="269">
        <f>IFERROR(INDEX('Inputs (2)'!$D$61:$AL$61,MATCH(V$7&amp;"",'Inputs (2)'!$D$2:$AL$2,0)),"")</f>
        <v>32350.275</v>
      </c>
      <c r="W377" s="270" t="str">
        <f>IF(COUNT(S377:V377)=4,SUM(S377:V377),"")</f>
        <v/>
      </c>
      <c r="X377" s="269">
        <f>IFERROR(INDEX('Inputs (2)'!$D$61:$AL$61,MATCH(X$7&amp;"",'Inputs (2)'!$D$2:$AL$2,0)),"")</f>
        <v>37322.504000043</v>
      </c>
      <c r="Y377" s="269">
        <f>IFERROR(INDEX('Inputs (2)'!$D$61:$AL$61,MATCH(Y$7&amp;"",'Inputs (2)'!$D$2:$AL$2,0)),"")</f>
        <v>37661.768</v>
      </c>
      <c r="Z377" s="269">
        <f>IFERROR(INDEX('Inputs (2)'!$D$61:$AL$61,MATCH(Z$7&amp;"",'Inputs (2)'!$D$2:$AL$2,0)),"")</f>
        <v>38316.821</v>
      </c>
      <c r="AA377" s="269">
        <f>IFERROR(INDEX('Inputs (2)'!$D$61:$AL$61,MATCH(AA$7&amp;"",'Inputs (2)'!$D$2:$AL$2,0)),"")</f>
        <v>35997.773870007</v>
      </c>
      <c r="AB377" s="270">
        <f>IF(COUNT(X377:AA377)=4,SUM(X377:AA377),"")</f>
        <v>149298.86687005</v>
      </c>
      <c r="AC377" s="269">
        <f>IFERROR(INDEX('Inputs (2)'!$D$61:$AL$61,MATCH(AC$7&amp;"",'Inputs (2)'!$D$2:$AL$2,0)),"")</f>
        <v>40343.756</v>
      </c>
      <c r="AD377" s="269">
        <f>IFERROR(INDEX('Inputs (2)'!$D$61:$AL$61,MATCH(AD$7&amp;"",'Inputs (2)'!$D$2:$AL$2,0)),"")</f>
        <v>39674.485</v>
      </c>
      <c r="AE377" s="269">
        <f>IFERROR(INDEX('Inputs (2)'!$D$61:$AL$61,MATCH(AE$7&amp;"",'Inputs (2)'!$D$2:$AL$2,0)),"")</f>
        <v>44294.023</v>
      </c>
      <c r="AF377" s="269">
        <f>IFERROR(INDEX('Inputs (2)'!$D$61:$AL$61,MATCH(AF$7&amp;"",'Inputs (2)'!$D$2:$AL$2,0)),"")</f>
        <v>40889.107</v>
      </c>
      <c r="AG377" s="270">
        <f>IF(COUNT(AC377:AF377)=4,SUM(AC377:AF377),"")</f>
        <v>165201.371</v>
      </c>
    </row>
    <row r="378">
      <c r="C378" s="271" t="inlineStr">
        <is>
          <t>Receita bruta PSC por exame (R$)</t>
        </is>
      </c>
      <c r="D378" s="272" t="str">
        <f>IFERROR(D363/D377*1000,"")</f>
        <v/>
      </c>
      <c r="E378" s="272" t="str">
        <f>IFERROR(E363/E377*1000,"")</f>
        <v/>
      </c>
      <c r="F378" s="272" t="str">
        <f>IFERROR(F363/F377*1000,"")</f>
        <v/>
      </c>
      <c r="G378" s="272" t="str">
        <f>IFERROR(G363/G377*1000,"")</f>
        <v/>
      </c>
      <c r="H378" s="273" t="str">
        <f>IFERROR(H363/H377*1000,"")</f>
        <v/>
      </c>
      <c r="I378" s="272">
        <f>IFERROR(I363/I377*1000,"")</f>
        <v>53.2513021129828</v>
      </c>
      <c r="J378" s="272">
        <f>IFERROR(J363/J377*1000,"")</f>
        <v>52.894064427872</v>
      </c>
      <c r="K378" s="272">
        <f>IFERROR(K363/K377*1000,"")</f>
        <v>53.1363857859612</v>
      </c>
      <c r="L378" s="272">
        <f>IFERROR(L363/L377*1000,"")</f>
        <v>50.4970725021931</v>
      </c>
      <c r="M378" s="273">
        <f>IFERROR(M363/M377*1000,"")</f>
        <v>52.3969588511416</v>
      </c>
      <c r="N378" s="272">
        <f>IFERROR(N363/N377*1000,"")</f>
        <v>49.8796312607627</v>
      </c>
      <c r="O378" s="272">
        <f>IFERROR(O363/O377*1000,"")</f>
        <v>47.9713564141407</v>
      </c>
      <c r="P378" s="272">
        <f>IFERROR(P363/P377*1000,"")</f>
        <v>47.514459676729</v>
      </c>
      <c r="Q378" s="272">
        <f>IFERROR(Q363/Q377*1000,"")</f>
        <v>46.5910683817395</v>
      </c>
      <c r="R378" s="273">
        <f>IFERROR(R363/R377*1000,"")</f>
        <v>47.9496246212871</v>
      </c>
      <c r="S378" s="272">
        <f>IFERROR(S363/S377*1000,"")</f>
        <v>43.09003001959</v>
      </c>
      <c r="T378" s="272" t="str">
        <f>IFERROR(T363/T377*1000,"")</f>
        <v/>
      </c>
      <c r="U378" s="272">
        <f>IFERROR(U363/U377*1000,"")</f>
        <v>37.8894502457764</v>
      </c>
      <c r="V378" s="272">
        <f>IFERROR(V363/V377*1000,"")</f>
        <v>37.8892935840576</v>
      </c>
      <c r="W378" s="273" t="str">
        <f>IFERROR(W363/W377*1000,"")</f>
        <v/>
      </c>
      <c r="X378" s="272">
        <f>IFERROR(X363/X377*1000,"")</f>
        <v>36.9065369286695</v>
      </c>
      <c r="Y378" s="272">
        <f>IFERROR(Y363/Y377*1000,"")</f>
        <v>38.0906656558449</v>
      </c>
      <c r="Z378" s="272">
        <f>IFERROR(Z363/Z377*1000,"")</f>
        <v>37.4115264155134</v>
      </c>
      <c r="AA378" s="272">
        <f>IFERROR(AA363/AA377*1000,"")</f>
        <v>37.6052121837149</v>
      </c>
      <c r="AB378" s="273">
        <f>IFERROR(AB363/AB377*1000,"")</f>
        <v>37.5033045323817</v>
      </c>
      <c r="AC378" s="272">
        <f>IFERROR(AC363/AC377*1000,"")</f>
        <v>36.8310044310203</v>
      </c>
      <c r="AD378" s="272">
        <f>IFERROR(AD363/AD377*1000,"")</f>
        <v>38.7596216308794</v>
      </c>
      <c r="AE378" s="272">
        <f>IFERROR(AE363/AE377*1000,"")</f>
        <v>37.5383089786403</v>
      </c>
      <c r="AF378" s="272">
        <f>IFERROR(AF363/AF377*1000,"")</f>
        <v>37.5555000737238</v>
      </c>
      <c r="AG378" s="273">
        <f>IFERROR(AG363/AG377*1000,"")</f>
        <v>37.6631418224368</v>
      </c>
    </row>
    <row r="379">
      <c r="C379" s="271" t="inlineStr">
        <is>
          <t>Exames B2B (mil)</t>
        </is>
      </c>
      <c r="D379" s="269" t="str">
        <f>IFERROR(INDEX('Inputs (2)'!$D$62:$AL$62,MATCH(D$7&amp;"",'Inputs (2)'!$D$2:$AL$2,0)),"")</f>
        <v/>
      </c>
      <c r="E379" s="269" t="str">
        <f>IFERROR(INDEX('Inputs (2)'!$D$62:$AL$62,MATCH(E$7&amp;"",'Inputs (2)'!$D$2:$AL$2,0)),"")</f>
        <v/>
      </c>
      <c r="F379" s="269" t="str">
        <f>IFERROR(INDEX('Inputs (2)'!$D$62:$AL$62,MATCH(F$7&amp;"",'Inputs (2)'!$D$2:$AL$2,0)),"")</f>
        <v/>
      </c>
      <c r="G379" s="269" t="str">
        <f>IFERROR(INDEX('Inputs (2)'!$D$62:$AL$62,MATCH(G$7&amp;"",'Inputs (2)'!$D$2:$AL$2,0)),"")</f>
        <v/>
      </c>
      <c r="H379" s="270" t="str">
        <f>IF(COUNT(D379:G379)=4,SUM(D379:G379),"")</f>
        <v/>
      </c>
      <c r="I379" s="269">
        <f>IFERROR(INDEX('Inputs (2)'!$D$62:$AL$62,MATCH(I$7&amp;"",'Inputs (2)'!$D$2:$AL$2,0)),"")</f>
        <v>9279.2405</v>
      </c>
      <c r="J379" s="269">
        <f>IFERROR(INDEX('Inputs (2)'!$D$62:$AL$62,MATCH(J$7&amp;"",'Inputs (2)'!$D$2:$AL$2,0)),"")</f>
        <v>9367.924</v>
      </c>
      <c r="K379" s="269">
        <f>IFERROR(INDEX('Inputs (2)'!$D$62:$AL$62,MATCH(K$7&amp;"",'Inputs (2)'!$D$2:$AL$2,0)),"")</f>
        <v>9361.24174</v>
      </c>
      <c r="L379" s="269">
        <f>IFERROR(INDEX('Inputs (2)'!$D$62:$AL$62,MATCH(L$7&amp;"",'Inputs (2)'!$D$2:$AL$2,0)),"")</f>
        <v>8963.542</v>
      </c>
      <c r="M379" s="270">
        <f>IF(COUNT(I379:L379)=4,SUM(I379:L379),"")</f>
        <v>36971.94824</v>
      </c>
      <c r="N379" s="269">
        <f>IFERROR(INDEX('Inputs (2)'!$D$62:$AL$62,MATCH(N$7&amp;"",'Inputs (2)'!$D$2:$AL$2,0)),"")</f>
        <v>9172.471</v>
      </c>
      <c r="O379" s="269">
        <f>IFERROR(INDEX('Inputs (2)'!$D$62:$AL$62,MATCH(O$7&amp;"",'Inputs (2)'!$D$2:$AL$2,0)),"")</f>
        <v>9101.283</v>
      </c>
      <c r="P379" s="269">
        <f>IFERROR(INDEX('Inputs (2)'!$D$62:$AL$62,MATCH(P$7&amp;"",'Inputs (2)'!$D$2:$AL$2,0)),"")</f>
        <v>8325.894</v>
      </c>
      <c r="Q379" s="269">
        <f>IFERROR(INDEX('Inputs (2)'!$D$62:$AL$62,MATCH(Q$7&amp;"",'Inputs (2)'!$D$2:$AL$2,0)),"")</f>
        <v>6781.81</v>
      </c>
      <c r="R379" s="270">
        <f>IF(COUNT(N379:Q379)=4,SUM(N379:Q379),"")</f>
        <v>33381.458</v>
      </c>
      <c r="S379" s="269">
        <f>IFERROR(INDEX('Inputs (2)'!$D$62:$AL$62,MATCH(S$7&amp;"",'Inputs (2)'!$D$2:$AL$2,0)),"")</f>
        <v>6572.057</v>
      </c>
      <c r="T379" s="269" t="str">
        <f>IFERROR(INDEX('Inputs (2)'!$D$62:$AL$62,MATCH(T$7&amp;"",'Inputs (2)'!$D$2:$AL$2,0)),"")</f>
        <v/>
      </c>
      <c r="U379" s="269">
        <f>IFERROR(INDEX('Inputs (2)'!$D$62:$AL$62,MATCH(U$7&amp;"",'Inputs (2)'!$D$2:$AL$2,0)),"")</f>
        <v>43098.373</v>
      </c>
      <c r="V379" s="269">
        <f>IFERROR(INDEX('Inputs (2)'!$D$62:$AL$62,MATCH(V$7&amp;"",'Inputs (2)'!$D$2:$AL$2,0)),"")</f>
        <v>40482.54</v>
      </c>
      <c r="W379" s="270" t="str">
        <f>IF(COUNT(S379:V379)=4,SUM(S379:V379),"")</f>
        <v/>
      </c>
      <c r="X379" s="269">
        <f>IFERROR(INDEX('Inputs (2)'!$D$62:$AL$62,MATCH(X$7&amp;"",'Inputs (2)'!$D$2:$AL$2,0)),"")</f>
        <v>44185.14</v>
      </c>
      <c r="Y379" s="269">
        <f>IFERROR(INDEX('Inputs (2)'!$D$62:$AL$62,MATCH(Y$7&amp;"",'Inputs (2)'!$D$2:$AL$2,0)),"")</f>
        <v>47746.356</v>
      </c>
      <c r="Z379" s="269">
        <f>IFERROR(INDEX('Inputs (2)'!$D$62:$AL$62,MATCH(Z$7&amp;"",'Inputs (2)'!$D$2:$AL$2,0)),"")</f>
        <v>49313.098</v>
      </c>
      <c r="AA379" s="269">
        <f>IFERROR(INDEX('Inputs (2)'!$D$62:$AL$62,MATCH(AA$7&amp;"",'Inputs (2)'!$D$2:$AL$2,0)),"")</f>
        <v>45175.047000009</v>
      </c>
      <c r="AB379" s="270">
        <f>IF(COUNT(X379:AA379)=4,SUM(X379:AA379),"")</f>
        <v>186419.641000009</v>
      </c>
      <c r="AC379" s="269">
        <f>IFERROR(INDEX('Inputs (2)'!$D$62:$AL$62,MATCH(AC$7&amp;"",'Inputs (2)'!$D$2:$AL$2,0)),"")</f>
        <v>49242.257</v>
      </c>
      <c r="AD379" s="269">
        <f>IFERROR(INDEX('Inputs (2)'!$D$62:$AL$62,MATCH(AD$7&amp;"",'Inputs (2)'!$D$2:$AL$2,0)),"")</f>
        <v>49738.982</v>
      </c>
      <c r="AE379" s="269">
        <f>IFERROR(INDEX('Inputs (2)'!$D$62:$AL$62,MATCH(AE$7&amp;"",'Inputs (2)'!$D$2:$AL$2,0)),"")</f>
        <v>53681.259</v>
      </c>
      <c r="AF379" s="269">
        <f>IFERROR(INDEX('Inputs (2)'!$D$62:$AL$62,MATCH(AF$7&amp;"",'Inputs (2)'!$D$2:$AL$2,0)),"")</f>
        <v>50715.319</v>
      </c>
      <c r="AG379" s="270">
        <f>IF(COUNT(AC379:AF379)=4,SUM(AC379:AF379),"")</f>
        <v>203377.817</v>
      </c>
    </row>
    <row r="380">
      <c r="C380" s="271" t="inlineStr">
        <is>
          <t>Receita bruta B2B por exame (R$)</t>
        </is>
      </c>
      <c r="D380" s="272" t="str">
        <f>IFERROR(D369/D379*1000,"")</f>
        <v/>
      </c>
      <c r="E380" s="272" t="str">
        <f>IFERROR(E369/E379*1000,"")</f>
        <v/>
      </c>
      <c r="F380" s="272" t="str">
        <f>IFERROR(F369/F379*1000,"")</f>
        <v/>
      </c>
      <c r="G380" s="272" t="str">
        <f>IFERROR(G369/G379*1000,"")</f>
        <v/>
      </c>
      <c r="H380" s="273" t="str">
        <f>IFERROR(H369/H379*1000,"")</f>
        <v/>
      </c>
      <c r="I380" s="272">
        <f>IFERROR(I369/I379*1000,"")</f>
        <v>18.1832085887848</v>
      </c>
      <c r="J380" s="272">
        <f>IFERROR(J369/J379*1000,"")</f>
        <v>18.1873313169492</v>
      </c>
      <c r="K380" s="272">
        <f>IFERROR(K369/K379*1000,"")</f>
        <v>19.5403638898017</v>
      </c>
      <c r="L380" s="272">
        <f>IFERROR(L369/L379*1000,"")</f>
        <v>19.2372090062165</v>
      </c>
      <c r="M380" s="273">
        <f>IFERROR(M369/M379*1000,"")</f>
        <v>18.7834165389116</v>
      </c>
      <c r="N380" s="272">
        <f>IFERROR(N369/N379*1000,"")</f>
        <v>18.9919592506752</v>
      </c>
      <c r="O380" s="272">
        <f>IFERROR(O369/O379*1000,"")</f>
        <v>18.8707698569531</v>
      </c>
      <c r="P380" s="272">
        <f>IFERROR(P369/P379*1000,"")</f>
        <v>17.6081279679996</v>
      </c>
      <c r="Q380" s="272">
        <f>IFERROR(Q369/Q379*1000,"")</f>
        <v>19.1450935664668</v>
      </c>
      <c r="R380" s="273">
        <f>IFERROR(R369/R379*1000,"")</f>
        <v>18.6448778347549</v>
      </c>
      <c r="S380" s="272">
        <f>IFERROR(S369/S379*1000,"")</f>
        <v>18.5379130156662</v>
      </c>
      <c r="T380" s="272" t="str">
        <f>IFERROR(T369/T379*1000,"")</f>
        <v/>
      </c>
      <c r="U380" s="272">
        <f>IFERROR(U369/U379*1000,"")</f>
        <v>10.7325223348919</v>
      </c>
      <c r="V380" s="272">
        <f>IFERROR(V369/V379*1000,"")</f>
        <v>10.9037328438384</v>
      </c>
      <c r="W380" s="273" t="str">
        <f>IFERROR(W369/W379*1000,"")</f>
        <v/>
      </c>
      <c r="X380" s="272">
        <f>IFERROR(X369/X379*1000,"")</f>
        <v>11.0765872831681</v>
      </c>
      <c r="Y380" s="272">
        <f>IFERROR(Y369/Y379*1000,"")</f>
        <v>10.5063685962129</v>
      </c>
      <c r="Z380" s="272">
        <f>IFERROR(Z369/Z379*1000,"")</f>
        <v>10.1648292102841</v>
      </c>
      <c r="AA380" s="272">
        <f>IFERROR(AA369/AA379*1000,"")</f>
        <v>10.3094278131002</v>
      </c>
      <c r="AB380" s="273">
        <f>IFERROR(AB369/AB379*1000,"")</f>
        <v>10.5034505462378</v>
      </c>
      <c r="AC380" s="272">
        <f>IFERROR(AC369/AC379*1000,"")</f>
        <v>9.7487365374012</v>
      </c>
      <c r="AD380" s="272">
        <f>IFERROR(AD369/AD379*1000,"")</f>
        <v>9.76952996343994</v>
      </c>
      <c r="AE380" s="272">
        <f>IFERROR(AE369/AE379*1000,"")</f>
        <v>9.52982640582256</v>
      </c>
      <c r="AF380" s="272">
        <f>IFERROR(AF369/AF379*1000,"")</f>
        <v>9.56333312228599</v>
      </c>
      <c r="AG380" s="273">
        <f>IFERROR(AG369/AG379*1000,"")</f>
        <v>9.64980774926894</v>
      </c>
    </row>
    <row r="381"/>
    <row r="382">
      <c r="C382" s="268" t="inlineStr">
        <is>
          <t>Alavancagem</t>
        </is>
      </c>
    </row>
    <row r="383">
      <c r="C383" s="271" t="inlineStr">
        <is>
          <t>Divida liquida / EBITDA LTM - divulgado pela companhia (x)</t>
        </is>
      </c>
      <c r="D383" s="274" t="str">
        <f>IFERROR(INDEX('Inputs (2)'!$D$64:$AL$64,MATCH(D$7&amp;"",'Inputs (2)'!$D$2:$AL$2,0)),"")</f>
        <v/>
      </c>
      <c r="E383" s="274" t="str">
        <f>IFERROR(INDEX('Inputs (2)'!$D$64:$AL$64,MATCH(E$7&amp;"",'Inputs (2)'!$D$2:$AL$2,0)),"")</f>
        <v/>
      </c>
      <c r="F383" s="274" t="str">
        <f>IFERROR(INDEX('Inputs (2)'!$D$64:$AL$64,MATCH(F$7&amp;"",'Inputs (2)'!$D$2:$AL$2,0)),"")</f>
        <v/>
      </c>
      <c r="G383" s="274" t="str">
        <f>IFERROR(INDEX('Inputs (2)'!$D$64:$AL$64,MATCH(G$7&amp;"",'Inputs (2)'!$D$2:$AL$2,0)),"")</f>
        <v/>
      </c>
      <c r="H383" s="275" t="str">
        <f>IF(G383="","",G383)</f>
        <v/>
      </c>
      <c r="I383" s="274">
        <f>IFERROR(INDEX('Inputs (2)'!$D$64:$AL$64,MATCH(I$7&amp;"",'Inputs (2)'!$D$2:$AL$2,0)),"")</f>
        <v>0.97306958</v>
      </c>
      <c r="J383" s="274">
        <f>IFERROR(INDEX('Inputs (2)'!$D$64:$AL$64,MATCH(J$7&amp;"",'Inputs (2)'!$D$2:$AL$2,0)),"")</f>
        <v>1.036043743</v>
      </c>
      <c r="K383" s="274">
        <f>IFERROR(INDEX('Inputs (2)'!$D$64:$AL$64,MATCH(K$7&amp;"",'Inputs (2)'!$D$2:$AL$2,0)),"")</f>
        <v>1.324946558</v>
      </c>
      <c r="L383" s="274">
        <f>IFERROR(INDEX('Inputs (2)'!$D$64:$AL$64,MATCH(L$7&amp;"",'Inputs (2)'!$D$2:$AL$2,0)),"")</f>
        <v>1.336541608</v>
      </c>
      <c r="M383" s="275">
        <f>IF(L383="","",L383)</f>
        <v>1.336541608</v>
      </c>
      <c r="N383" s="274">
        <f>IFERROR(INDEX('Inputs (2)'!$D$64:$AL$64,MATCH(N$7&amp;"",'Inputs (2)'!$D$2:$AL$2,0)),"")</f>
        <v>1.408707608</v>
      </c>
      <c r="O383" s="274">
        <f>IFERROR(INDEX('Inputs (2)'!$D$64:$AL$64,MATCH(O$7&amp;"",'Inputs (2)'!$D$2:$AL$2,0)),"")</f>
        <v>1.800335043</v>
      </c>
      <c r="P383" s="274">
        <f>IFERROR(INDEX('Inputs (2)'!$D$64:$AL$64,MATCH(P$7&amp;"",'Inputs (2)'!$D$2:$AL$2,0)),"")</f>
        <v>1.671746699</v>
      </c>
      <c r="Q383" s="274">
        <f>IFERROR(INDEX('Inputs (2)'!$D$64:$AL$64,MATCH(Q$7&amp;"",'Inputs (2)'!$D$2:$AL$2,0)),"")</f>
        <v>1.214893301</v>
      </c>
      <c r="R383" s="275">
        <f>IF(Q383="","",Q383)</f>
        <v>1.214893301</v>
      </c>
      <c r="S383" s="274">
        <f>IFERROR(INDEX('Inputs (2)'!$D$64:$AL$64,MATCH(S$7&amp;"",'Inputs (2)'!$D$2:$AL$2,0)),"")</f>
        <v>1.208015624</v>
      </c>
      <c r="T383" s="274" t="str">
        <f>IFERROR(INDEX('Inputs (2)'!$D$64:$AL$64,MATCH(T$7&amp;"",'Inputs (2)'!$D$2:$AL$2,0)),"")</f>
        <v/>
      </c>
      <c r="U383" s="274">
        <f>IFERROR(INDEX('Inputs (2)'!$D$64:$AL$64,MATCH(U$7&amp;"",'Inputs (2)'!$D$2:$AL$2,0)),"")</f>
        <v>1.2</v>
      </c>
      <c r="V383" s="274">
        <f>IFERROR(INDEX('Inputs (2)'!$D$64:$AL$64,MATCH(V$7&amp;"",'Inputs (2)'!$D$2:$AL$2,0)),"")</f>
        <v>1.2</v>
      </c>
      <c r="W383" s="275">
        <f>IF(V383="","",V383)</f>
        <v>1.2</v>
      </c>
      <c r="X383" s="274">
        <f>IFERROR(INDEX('Inputs (2)'!$D$64:$AL$64,MATCH(X$7&amp;"",'Inputs (2)'!$D$2:$AL$2,0)),"")</f>
        <v>1.2</v>
      </c>
      <c r="Y383" s="274">
        <f>IFERROR(INDEX('Inputs (2)'!$D$64:$AL$64,MATCH(Y$7&amp;"",'Inputs (2)'!$D$2:$AL$2,0)),"")</f>
        <v>1.1</v>
      </c>
      <c r="Z383" s="274">
        <f>IFERROR(INDEX('Inputs (2)'!$D$64:$AL$64,MATCH(Z$7&amp;"",'Inputs (2)'!$D$2:$AL$2,0)),"")</f>
        <v>1</v>
      </c>
      <c r="AA383" s="274">
        <f>IFERROR(INDEX('Inputs (2)'!$D$64:$AL$64,MATCH(AA$7&amp;"",'Inputs (2)'!$D$2:$AL$2,0)),"")</f>
        <v>1</v>
      </c>
      <c r="AB383" s="275">
        <f>IF(AA383="","",AA383)</f>
        <v>1</v>
      </c>
      <c r="AC383" s="274">
        <f>IFERROR(INDEX('Inputs (2)'!$D$64:$AL$64,MATCH(AC$7&amp;"",'Inputs (2)'!$D$2:$AL$2,0)),"")</f>
        <v>1</v>
      </c>
      <c r="AD383" s="274">
        <f>IFERROR(INDEX('Inputs (2)'!$D$64:$AL$64,MATCH(AD$7&amp;"",'Inputs (2)'!$D$2:$AL$2,0)),"")</f>
        <v>1.1</v>
      </c>
      <c r="AE383" s="274">
        <f>IFERROR(INDEX('Inputs (2)'!$D$64:$AL$64,MATCH(AE$7&amp;"",'Inputs (2)'!$D$2:$AL$2,0)),"")</f>
        <v>1</v>
      </c>
      <c r="AF383" s="274">
        <f>IFERROR(INDEX('Inputs (2)'!$D$64:$AL$64,MATCH(AF$7&amp;"",'Inputs (2)'!$D$2:$AL$2,0)),"")</f>
        <v>1</v>
      </c>
      <c r="AG383" s="275">
        <f>IF(AF383="","",AF383)</f>
        <v>1</v>
      </c>
    </row>
    <row r="384">
      <c r="C384" s="271" t="inlineStr">
        <is>
          <t>Divida liquida / EBITDA LTM - modelo, linha 303 (x)</t>
        </is>
      </c>
      <c r="D384" s="274" t="str">
        <f>IF(ISNUMBER(D303),D303,"")</f>
        <v/>
      </c>
      <c r="E384" s="274" t="str">
        <f>IF(ISNUMBER(E303),E303,"")</f>
        <v/>
      </c>
      <c r="F384" s="274" t="str">
        <f>IF(ISNUMBER(F303),F303,"")</f>
        <v/>
      </c>
      <c r="G384" s="274" t="str">
        <f>IF(ISNUMBER(G303),G303,"")</f>
        <v/>
      </c>
      <c r="H384" s="275" t="str">
        <f>IF(ISNUMBER(H303),H303,"")</f>
        <v/>
      </c>
      <c r="I384" s="274" t="str">
        <f>IF(ISNUMBER(I303),I303,"")</f>
        <v/>
      </c>
      <c r="J384" s="274" t="str">
        <f>IF(ISNUMBER(J303),J303,"")</f>
        <v/>
      </c>
      <c r="K384" s="274" t="str">
        <f>IF(ISNUMBER(K303),K303,"")</f>
        <v/>
      </c>
      <c r="L384" s="274">
        <f>IF(ISNUMBER(L303),L303,"")</f>
        <v>1.33654161096484</v>
      </c>
      <c r="M384" s="275">
        <f>IF(ISNUMBER(M303),M303,"")</f>
        <v>1.33654161096484</v>
      </c>
      <c r="N384" s="274">
        <f>IF(ISNUMBER(N303),N303,"")</f>
        <v>1.40870761009865</v>
      </c>
      <c r="O384" s="274">
        <f>IF(ISNUMBER(O303),O303,"")</f>
        <v>1.80033504367036</v>
      </c>
      <c r="P384" s="274">
        <f>IF(ISNUMBER(P303),P303,"")</f>
        <v>1.6717467001112</v>
      </c>
      <c r="Q384" s="274">
        <f>IF(ISNUMBER(Q303),Q303,"")</f>
        <v>1.21489330076517</v>
      </c>
      <c r="R384" s="275">
        <f>IF(ISNUMBER(R303),R303,"")</f>
        <v>1.21489330076517</v>
      </c>
      <c r="S384" s="274">
        <f>IF(ISNUMBER(S303),S303,"")</f>
        <v>1.20801603442793</v>
      </c>
      <c r="T384" s="274">
        <f>IF(ISNUMBER(T303),T303,"")</f>
        <v>1.71326238885395</v>
      </c>
      <c r="U384" s="274">
        <f>IF(ISNUMBER(U303),U303,"")</f>
        <v>1.372874329371</v>
      </c>
      <c r="V384" s="274">
        <f>IF(ISNUMBER(V303),V303,"")</f>
        <v>1.35098856360416</v>
      </c>
      <c r="W384" s="275">
        <f>IF(ISNUMBER(W303),W303,"")</f>
        <v>1.35098856360416</v>
      </c>
      <c r="X384" s="274">
        <f>IF(ISNUMBER(X303),X303,"")</f>
        <v>1.2517226765748</v>
      </c>
      <c r="Y384" s="274">
        <f>IF(ISNUMBER(Y303),Y303,"")</f>
        <v>1.04843645064877</v>
      </c>
      <c r="Z384" s="274">
        <f>IF(ISNUMBER(Z303),Z303,"")</f>
        <v>0.959076095716258</v>
      </c>
      <c r="AA384" s="274">
        <f>IF(ISNUMBER(AA303),AA303,"")</f>
        <v>1.01086959812306</v>
      </c>
      <c r="AB384" s="275">
        <f>IF(ISNUMBER(AB303),AB303,"")</f>
        <v>1.01086959812306</v>
      </c>
      <c r="AC384" s="274">
        <f>IF(ISNUMBER(AC303),AC303,"")</f>
        <v>1.00359540393025</v>
      </c>
      <c r="AD384" s="274">
        <f>IF(ISNUMBER(AD303),AD303,"")</f>
        <v>1.14709921115731</v>
      </c>
      <c r="AE384" s="274">
        <f>IF(ISNUMBER(AE303),AE303,"")</f>
        <v>0.977853036989018</v>
      </c>
      <c r="AF384" s="274">
        <f>IF(ISNUMBER(AF303),AF303,"")</f>
        <v>0.61154856058236</v>
      </c>
      <c r="AG384" s="275">
        <f>IF(ISNUMBER(AG303),AG303,"")</f>
        <v>1.02239245421308</v>
      </c>
    </row>
  </sheetData>
  <conditionalFormatting sqref="B1:B4 B13:B1048576">
    <cfRule type="expression" priority="25" dxfId="23">
      <formula>B1&lt;&gt;""</formula>
    </cfRule>
  </conditionalFormatting>
  <conditionalFormatting sqref="D1:CY3">
    <cfRule type="cellIs" priority="18" operator="greaterThan" dxfId="22">
      <formula>1</formula>
    </cfRule>
  </conditionalFormatting>
  <conditionalFormatting sqref="E281:G281">
    <cfRule type="cellIs" priority="16" operator="notEqual" dxfId="0">
      <formula>0</formula>
    </cfRule>
  </conditionalFormatting>
  <conditionalFormatting sqref="E5:H5">
    <cfRule type="cellIs" priority="17" operator="greaterThan" dxfId="18">
      <formula>$B$5</formula>
    </cfRule>
  </conditionalFormatting>
  <conditionalFormatting sqref="I281:L281">
    <cfRule type="cellIs" priority="23" operator="notEqual" dxfId="0">
      <formula>0</formula>
    </cfRule>
  </conditionalFormatting>
  <conditionalFormatting sqref="J5:CY5">
    <cfRule type="cellIs" priority="24" operator="greaterThan" dxfId="18">
      <formula>$B$5</formula>
    </cfRule>
  </conditionalFormatting>
  <conditionalFormatting sqref="N281:Q281">
    <cfRule type="cellIs" priority="22" operator="notEqual" dxfId="0">
      <formula>0</formula>
    </cfRule>
  </conditionalFormatting>
  <conditionalFormatting sqref="S281:V281">
    <cfRule type="cellIs" priority="21" operator="notEqual" dxfId="0">
      <formula>0</formula>
    </cfRule>
  </conditionalFormatting>
  <conditionalFormatting sqref="X281:AA281">
    <cfRule type="cellIs" priority="20" operator="notEqual" dxfId="0">
      <formula>0</formula>
    </cfRule>
  </conditionalFormatting>
  <conditionalFormatting sqref="AC281:AF281">
    <cfRule type="cellIs" priority="19" operator="notEqual" dxfId="0">
      <formula>0</formula>
    </cfRule>
  </conditionalFormatting>
  <conditionalFormatting sqref="AH281:AK281">
    <cfRule type="cellIs" priority="15" operator="notEqual" dxfId="0">
      <formula>0</formula>
    </cfRule>
  </conditionalFormatting>
  <conditionalFormatting sqref="AM281:AP281">
    <cfRule type="cellIs" priority="14" operator="notEqual" dxfId="0">
      <formula>0</formula>
    </cfRule>
  </conditionalFormatting>
  <conditionalFormatting sqref="AR281:AU281">
    <cfRule type="cellIs" priority="13" operator="notEqual" dxfId="0">
      <formula>0</formula>
    </cfRule>
  </conditionalFormatting>
  <conditionalFormatting sqref="AW281:AZ281">
    <cfRule type="cellIs" priority="12" operator="notEqual" dxfId="0">
      <formula>0</formula>
    </cfRule>
  </conditionalFormatting>
  <conditionalFormatting sqref="BB281:BE281">
    <cfRule type="cellIs" priority="11" operator="notEqual" dxfId="0">
      <formula>0</formula>
    </cfRule>
  </conditionalFormatting>
  <conditionalFormatting sqref="BG281:BJ281">
    <cfRule type="cellIs" priority="10" operator="notEqual" dxfId="0">
      <formula>0</formula>
    </cfRule>
  </conditionalFormatting>
  <conditionalFormatting sqref="BL281:BO281">
    <cfRule type="cellIs" priority="9" operator="notEqual" dxfId="0">
      <formula>0</formula>
    </cfRule>
  </conditionalFormatting>
  <conditionalFormatting sqref="BQ281:BT281">
    <cfRule type="cellIs" priority="8" operator="notEqual" dxfId="0">
      <formula>0</formula>
    </cfRule>
  </conditionalFormatting>
  <conditionalFormatting sqref="BV281:BY281">
    <cfRule type="cellIs" priority="7" operator="notEqual" dxfId="0">
      <formula>0</formula>
    </cfRule>
  </conditionalFormatting>
  <conditionalFormatting sqref="CA281:CD281">
    <cfRule type="cellIs" priority="6" operator="notEqual" dxfId="0">
      <formula>0</formula>
    </cfRule>
  </conditionalFormatting>
  <conditionalFormatting sqref="CF281:CI281">
    <cfRule type="cellIs" priority="5" operator="notEqual" dxfId="0">
      <formula>0</formula>
    </cfRule>
  </conditionalFormatting>
  <conditionalFormatting sqref="CK281:CN281">
    <cfRule type="cellIs" priority="4" operator="notEqual" dxfId="0">
      <formula>0</formula>
    </cfRule>
  </conditionalFormatting>
  <conditionalFormatting sqref="CP281:CS281">
    <cfRule type="cellIs" priority="3" operator="notEqual" dxfId="0">
      <formula>0</formula>
    </cfRule>
  </conditionalFormatting>
  <conditionalFormatting sqref="CU281:CX281">
    <cfRule type="cellIs" priority="2" operator="notEqual" dxfId="0">
      <formula>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02"/>
  <sheetViews>
    <sheetView zoomScaleNormal="100" workbookViewId="0">
      <selection activeCell="A1" sqref="A1"/>
    </sheetView>
  </sheetViews>
  <sheetFormatPr baseColWidth="8" defaultColWidth="10.42578125" defaultRowHeight="12.75"/>
  <cols>
    <col width="2.28515625" customWidth="1" style="251" min="1" max="1"/>
    <col width="4.85546875" customWidth="1" style="251" min="2" max="2"/>
    <col width="62" customWidth="1" style="251" min="3" max="3"/>
    <col width="14.5703125" customWidth="1" style="251" min="4" max="4"/>
    <col width="12.85546875" customWidth="1" style="251" min="5" max="6"/>
    <col width="13.42578125" customWidth="1" style="251" min="7" max="7"/>
    <col width="16" customWidth="1" style="251" min="8" max="8"/>
    <col width="15.5703125" customWidth="1" style="251" min="9" max="9"/>
    <col width="12.85546875" customWidth="1" style="251" min="10" max="12"/>
    <col width="13.28515625" customWidth="1" style="251" min="13" max="13"/>
    <col width="13.140625" customWidth="1" style="251" min="14" max="14"/>
    <col width="13.28515625" customWidth="1" style="251" min="15" max="15"/>
    <col width="12.28515625" customWidth="1" style="251" min="16" max="20"/>
    <col width="13.28515625" customWidth="1" style="251" min="21" max="22"/>
    <col width="10.5703125" customWidth="1" style="251" min="23" max="23"/>
    <col width="13" customWidth="1" style="251" min="24" max="25"/>
    <col width="11.28515625" customWidth="1" style="251" min="26" max="26"/>
    <col width="10.42578125" customWidth="1" style="251" min="27" max="27"/>
    <col width="21.5703125" customWidth="1" style="251" min="28" max="28"/>
    <col width="10.42578125" customWidth="1" style="251" min="29" max="31"/>
    <col width="9.140625" customWidth="1" style="251" min="32" max="32"/>
    <col width="10.42578125" customWidth="1" style="251" min="33" max="261"/>
    <col width="2.28515625" customWidth="1" style="251" min="262" max="263"/>
    <col width="35.42578125" customWidth="1" style="251" min="264" max="264"/>
    <col width="14.7109375" customWidth="1" style="251" min="265" max="265"/>
    <col width="12.85546875" customWidth="1" style="251" min="266" max="268"/>
    <col width="15.5703125" customWidth="1" style="251" min="269" max="269"/>
    <col width="12.85546875" customWidth="1" style="251" min="270" max="273"/>
    <col width="10.42578125" customWidth="1" style="251" min="274" max="275"/>
    <col width="12.28515625" customWidth="1" style="251" min="276" max="276"/>
    <col width="10.42578125" customWidth="1" style="251" min="277" max="517"/>
    <col width="2.28515625" customWidth="1" style="251" min="518" max="519"/>
    <col width="35.42578125" customWidth="1" style="251" min="520" max="520"/>
    <col width="14.7109375" customWidth="1" style="251" min="521" max="521"/>
    <col width="12.85546875" customWidth="1" style="251" min="522" max="524"/>
    <col width="15.5703125" customWidth="1" style="251" min="525" max="525"/>
    <col width="12.85546875" customWidth="1" style="251" min="526" max="529"/>
    <col width="10.42578125" customWidth="1" style="251" min="530" max="531"/>
    <col width="12.28515625" customWidth="1" style="251" min="532" max="532"/>
    <col width="10.42578125" customWidth="1" style="251" min="533" max="773"/>
    <col width="2.28515625" customWidth="1" style="251" min="774" max="775"/>
    <col width="35.42578125" customWidth="1" style="251" min="776" max="776"/>
    <col width="14.7109375" customWidth="1" style="251" min="777" max="777"/>
    <col width="12.85546875" customWidth="1" style="251" min="778" max="780"/>
    <col width="15.5703125" customWidth="1" style="251" min="781" max="781"/>
    <col width="12.85546875" customWidth="1" style="251" min="782" max="785"/>
    <col width="10.42578125" customWidth="1" style="251" min="786" max="787"/>
    <col width="12.28515625" customWidth="1" style="251" min="788" max="788"/>
    <col width="10.42578125" customWidth="1" style="251" min="789" max="1029"/>
    <col width="2.28515625" customWidth="1" style="251" min="1030" max="1031"/>
    <col width="35.42578125" customWidth="1" style="251" min="1032" max="1032"/>
    <col width="14.7109375" customWidth="1" style="251" min="1033" max="1033"/>
    <col width="12.85546875" customWidth="1" style="251" min="1034" max="1036"/>
    <col width="15.5703125" customWidth="1" style="251" min="1037" max="1037"/>
    <col width="12.85546875" customWidth="1" style="251" min="1038" max="1041"/>
    <col width="10.42578125" customWidth="1" style="251" min="1042" max="1043"/>
    <col width="12.28515625" customWidth="1" style="251" min="1044" max="1044"/>
    <col width="10.42578125" customWidth="1" style="251" min="1045" max="1285"/>
    <col width="2.28515625" customWidth="1" style="251" min="1286" max="1287"/>
    <col width="35.42578125" customWidth="1" style="251" min="1288" max="1288"/>
    <col width="14.7109375" customWidth="1" style="251" min="1289" max="1289"/>
    <col width="12.85546875" customWidth="1" style="251" min="1290" max="1292"/>
    <col width="15.5703125" customWidth="1" style="251" min="1293" max="1293"/>
    <col width="12.85546875" customWidth="1" style="251" min="1294" max="1297"/>
    <col width="10.42578125" customWidth="1" style="251" min="1298" max="1299"/>
    <col width="12.28515625" customWidth="1" style="251" min="1300" max="1300"/>
    <col width="10.42578125" customWidth="1" style="251" min="1301" max="1541"/>
    <col width="2.28515625" customWidth="1" style="251" min="1542" max="1543"/>
    <col width="35.42578125" customWidth="1" style="251" min="1544" max="1544"/>
    <col width="14.7109375" customWidth="1" style="251" min="1545" max="1545"/>
    <col width="12.85546875" customWidth="1" style="251" min="1546" max="1548"/>
    <col width="15.5703125" customWidth="1" style="251" min="1549" max="1549"/>
    <col width="12.85546875" customWidth="1" style="251" min="1550" max="1553"/>
    <col width="10.42578125" customWidth="1" style="251" min="1554" max="1555"/>
    <col width="12.28515625" customWidth="1" style="251" min="1556" max="1556"/>
    <col width="10.42578125" customWidth="1" style="251" min="1557" max="1797"/>
    <col width="2.28515625" customWidth="1" style="251" min="1798" max="1799"/>
    <col width="35.42578125" customWidth="1" style="251" min="1800" max="1800"/>
    <col width="14.7109375" customWidth="1" style="251" min="1801" max="1801"/>
    <col width="12.85546875" customWidth="1" style="251" min="1802" max="1804"/>
    <col width="15.5703125" customWidth="1" style="251" min="1805" max="1805"/>
    <col width="12.85546875" customWidth="1" style="251" min="1806" max="1809"/>
    <col width="10.42578125" customWidth="1" style="251" min="1810" max="1811"/>
    <col width="12.28515625" customWidth="1" style="251" min="1812" max="1812"/>
    <col width="10.42578125" customWidth="1" style="251" min="1813" max="2053"/>
    <col width="2.28515625" customWidth="1" style="251" min="2054" max="2055"/>
    <col width="35.42578125" customWidth="1" style="251" min="2056" max="2056"/>
    <col width="14.7109375" customWidth="1" style="251" min="2057" max="2057"/>
    <col width="12.85546875" customWidth="1" style="251" min="2058" max="2060"/>
    <col width="15.5703125" customWidth="1" style="251" min="2061" max="2061"/>
    <col width="12.85546875" customWidth="1" style="251" min="2062" max="2065"/>
    <col width="10.42578125" customWidth="1" style="251" min="2066" max="2067"/>
    <col width="12.28515625" customWidth="1" style="251" min="2068" max="2068"/>
    <col width="10.42578125" customWidth="1" style="251" min="2069" max="2309"/>
    <col width="2.28515625" customWidth="1" style="251" min="2310" max="2311"/>
    <col width="35.42578125" customWidth="1" style="251" min="2312" max="2312"/>
    <col width="14.7109375" customWidth="1" style="251" min="2313" max="2313"/>
    <col width="12.85546875" customWidth="1" style="251" min="2314" max="2316"/>
    <col width="15.5703125" customWidth="1" style="251" min="2317" max="2317"/>
    <col width="12.85546875" customWidth="1" style="251" min="2318" max="2321"/>
    <col width="10.42578125" customWidth="1" style="251" min="2322" max="2323"/>
    <col width="12.28515625" customWidth="1" style="251" min="2324" max="2324"/>
    <col width="10.42578125" customWidth="1" style="251" min="2325" max="2565"/>
    <col width="2.28515625" customWidth="1" style="251" min="2566" max="2567"/>
    <col width="35.42578125" customWidth="1" style="251" min="2568" max="2568"/>
    <col width="14.7109375" customWidth="1" style="251" min="2569" max="2569"/>
    <col width="12.85546875" customWidth="1" style="251" min="2570" max="2572"/>
    <col width="15.5703125" customWidth="1" style="251" min="2573" max="2573"/>
    <col width="12.85546875" customWidth="1" style="251" min="2574" max="2577"/>
    <col width="10.42578125" customWidth="1" style="251" min="2578" max="2579"/>
    <col width="12.28515625" customWidth="1" style="251" min="2580" max="2580"/>
    <col width="10.42578125" customWidth="1" style="251" min="2581" max="2821"/>
    <col width="2.28515625" customWidth="1" style="251" min="2822" max="2823"/>
    <col width="35.42578125" customWidth="1" style="251" min="2824" max="2824"/>
    <col width="14.7109375" customWidth="1" style="251" min="2825" max="2825"/>
    <col width="12.85546875" customWidth="1" style="251" min="2826" max="2828"/>
    <col width="15.5703125" customWidth="1" style="251" min="2829" max="2829"/>
    <col width="12.85546875" customWidth="1" style="251" min="2830" max="2833"/>
    <col width="10.42578125" customWidth="1" style="251" min="2834" max="2835"/>
    <col width="12.28515625" customWidth="1" style="251" min="2836" max="2836"/>
    <col width="10.42578125" customWidth="1" style="251" min="2837" max="3077"/>
    <col width="2.28515625" customWidth="1" style="251" min="3078" max="3079"/>
    <col width="35.42578125" customWidth="1" style="251" min="3080" max="3080"/>
    <col width="14.7109375" customWidth="1" style="251" min="3081" max="3081"/>
    <col width="12.85546875" customWidth="1" style="251" min="3082" max="3084"/>
    <col width="15.5703125" customWidth="1" style="251" min="3085" max="3085"/>
    <col width="12.85546875" customWidth="1" style="251" min="3086" max="3089"/>
    <col width="10.42578125" customWidth="1" style="251" min="3090" max="3091"/>
    <col width="12.28515625" customWidth="1" style="251" min="3092" max="3092"/>
    <col width="10.42578125" customWidth="1" style="251" min="3093" max="3333"/>
    <col width="2.28515625" customWidth="1" style="251" min="3334" max="3335"/>
    <col width="35.42578125" customWidth="1" style="251" min="3336" max="3336"/>
    <col width="14.7109375" customWidth="1" style="251" min="3337" max="3337"/>
    <col width="12.85546875" customWidth="1" style="251" min="3338" max="3340"/>
    <col width="15.5703125" customWidth="1" style="251" min="3341" max="3341"/>
    <col width="12.85546875" customWidth="1" style="251" min="3342" max="3345"/>
    <col width="10.42578125" customWidth="1" style="251" min="3346" max="3347"/>
    <col width="12.28515625" customWidth="1" style="251" min="3348" max="3348"/>
    <col width="10.42578125" customWidth="1" style="251" min="3349" max="3589"/>
    <col width="2.28515625" customWidth="1" style="251" min="3590" max="3591"/>
    <col width="35.42578125" customWidth="1" style="251" min="3592" max="3592"/>
    <col width="14.7109375" customWidth="1" style="251" min="3593" max="3593"/>
    <col width="12.85546875" customWidth="1" style="251" min="3594" max="3596"/>
    <col width="15.5703125" customWidth="1" style="251" min="3597" max="3597"/>
    <col width="12.85546875" customWidth="1" style="251" min="3598" max="3601"/>
    <col width="10.42578125" customWidth="1" style="251" min="3602" max="3603"/>
    <col width="12.28515625" customWidth="1" style="251" min="3604" max="3604"/>
    <col width="10.42578125" customWidth="1" style="251" min="3605" max="3845"/>
    <col width="2.28515625" customWidth="1" style="251" min="3846" max="3847"/>
    <col width="35.42578125" customWidth="1" style="251" min="3848" max="3848"/>
    <col width="14.7109375" customWidth="1" style="251" min="3849" max="3849"/>
    <col width="12.85546875" customWidth="1" style="251" min="3850" max="3852"/>
    <col width="15.5703125" customWidth="1" style="251" min="3853" max="3853"/>
    <col width="12.85546875" customWidth="1" style="251" min="3854" max="3857"/>
    <col width="10.42578125" customWidth="1" style="251" min="3858" max="3859"/>
    <col width="12.28515625" customWidth="1" style="251" min="3860" max="3860"/>
    <col width="10.42578125" customWidth="1" style="251" min="3861" max="4101"/>
    <col width="2.28515625" customWidth="1" style="251" min="4102" max="4103"/>
    <col width="35.42578125" customWidth="1" style="251" min="4104" max="4104"/>
    <col width="14.7109375" customWidth="1" style="251" min="4105" max="4105"/>
    <col width="12.85546875" customWidth="1" style="251" min="4106" max="4108"/>
    <col width="15.5703125" customWidth="1" style="251" min="4109" max="4109"/>
    <col width="12.85546875" customWidth="1" style="251" min="4110" max="4113"/>
    <col width="10.42578125" customWidth="1" style="251" min="4114" max="4115"/>
    <col width="12.28515625" customWidth="1" style="251" min="4116" max="4116"/>
    <col width="10.42578125" customWidth="1" style="251" min="4117" max="4357"/>
    <col width="2.28515625" customWidth="1" style="251" min="4358" max="4359"/>
    <col width="35.42578125" customWidth="1" style="251" min="4360" max="4360"/>
    <col width="14.7109375" customWidth="1" style="251" min="4361" max="4361"/>
    <col width="12.85546875" customWidth="1" style="251" min="4362" max="4364"/>
    <col width="15.5703125" customWidth="1" style="251" min="4365" max="4365"/>
    <col width="12.85546875" customWidth="1" style="251" min="4366" max="4369"/>
    <col width="10.42578125" customWidth="1" style="251" min="4370" max="4371"/>
    <col width="12.28515625" customWidth="1" style="251" min="4372" max="4372"/>
    <col width="10.42578125" customWidth="1" style="251" min="4373" max="4613"/>
    <col width="2.28515625" customWidth="1" style="251" min="4614" max="4615"/>
    <col width="35.42578125" customWidth="1" style="251" min="4616" max="4616"/>
    <col width="14.7109375" customWidth="1" style="251" min="4617" max="4617"/>
    <col width="12.85546875" customWidth="1" style="251" min="4618" max="4620"/>
    <col width="15.5703125" customWidth="1" style="251" min="4621" max="4621"/>
    <col width="12.85546875" customWidth="1" style="251" min="4622" max="4625"/>
    <col width="10.42578125" customWidth="1" style="251" min="4626" max="4627"/>
    <col width="12.28515625" customWidth="1" style="251" min="4628" max="4628"/>
    <col width="10.42578125" customWidth="1" style="251" min="4629" max="4869"/>
    <col width="2.28515625" customWidth="1" style="251" min="4870" max="4871"/>
    <col width="35.42578125" customWidth="1" style="251" min="4872" max="4872"/>
    <col width="14.7109375" customWidth="1" style="251" min="4873" max="4873"/>
    <col width="12.85546875" customWidth="1" style="251" min="4874" max="4876"/>
    <col width="15.5703125" customWidth="1" style="251" min="4877" max="4877"/>
    <col width="12.85546875" customWidth="1" style="251" min="4878" max="4881"/>
    <col width="10.42578125" customWidth="1" style="251" min="4882" max="4883"/>
    <col width="12.28515625" customWidth="1" style="251" min="4884" max="4884"/>
    <col width="10.42578125" customWidth="1" style="251" min="4885" max="5125"/>
    <col width="2.28515625" customWidth="1" style="251" min="5126" max="5127"/>
    <col width="35.42578125" customWidth="1" style="251" min="5128" max="5128"/>
    <col width="14.7109375" customWidth="1" style="251" min="5129" max="5129"/>
    <col width="12.85546875" customWidth="1" style="251" min="5130" max="5132"/>
    <col width="15.5703125" customWidth="1" style="251" min="5133" max="5133"/>
    <col width="12.85546875" customWidth="1" style="251" min="5134" max="5137"/>
    <col width="10.42578125" customWidth="1" style="251" min="5138" max="5139"/>
    <col width="12.28515625" customWidth="1" style="251" min="5140" max="5140"/>
    <col width="10.42578125" customWidth="1" style="251" min="5141" max="5381"/>
    <col width="2.28515625" customWidth="1" style="251" min="5382" max="5383"/>
    <col width="35.42578125" customWidth="1" style="251" min="5384" max="5384"/>
    <col width="14.7109375" customWidth="1" style="251" min="5385" max="5385"/>
    <col width="12.85546875" customWidth="1" style="251" min="5386" max="5388"/>
    <col width="15.5703125" customWidth="1" style="251" min="5389" max="5389"/>
    <col width="12.85546875" customWidth="1" style="251" min="5390" max="5393"/>
    <col width="10.42578125" customWidth="1" style="251" min="5394" max="5395"/>
    <col width="12.28515625" customWidth="1" style="251" min="5396" max="5396"/>
    <col width="10.42578125" customWidth="1" style="251" min="5397" max="5637"/>
    <col width="2.28515625" customWidth="1" style="251" min="5638" max="5639"/>
    <col width="35.42578125" customWidth="1" style="251" min="5640" max="5640"/>
    <col width="14.7109375" customWidth="1" style="251" min="5641" max="5641"/>
    <col width="12.85546875" customWidth="1" style="251" min="5642" max="5644"/>
    <col width="15.5703125" customWidth="1" style="251" min="5645" max="5645"/>
    <col width="12.85546875" customWidth="1" style="251" min="5646" max="5649"/>
    <col width="10.42578125" customWidth="1" style="251" min="5650" max="5651"/>
    <col width="12.28515625" customWidth="1" style="251" min="5652" max="5652"/>
    <col width="10.42578125" customWidth="1" style="251" min="5653" max="5893"/>
    <col width="2.28515625" customWidth="1" style="251" min="5894" max="5895"/>
    <col width="35.42578125" customWidth="1" style="251" min="5896" max="5896"/>
    <col width="14.7109375" customWidth="1" style="251" min="5897" max="5897"/>
    <col width="12.85546875" customWidth="1" style="251" min="5898" max="5900"/>
    <col width="15.5703125" customWidth="1" style="251" min="5901" max="5901"/>
    <col width="12.85546875" customWidth="1" style="251" min="5902" max="5905"/>
    <col width="10.42578125" customWidth="1" style="251" min="5906" max="5907"/>
    <col width="12.28515625" customWidth="1" style="251" min="5908" max="5908"/>
    <col width="10.42578125" customWidth="1" style="251" min="5909" max="6149"/>
    <col width="2.28515625" customWidth="1" style="251" min="6150" max="6151"/>
    <col width="35.42578125" customWidth="1" style="251" min="6152" max="6152"/>
    <col width="14.7109375" customWidth="1" style="251" min="6153" max="6153"/>
    <col width="12.85546875" customWidth="1" style="251" min="6154" max="6156"/>
    <col width="15.5703125" customWidth="1" style="251" min="6157" max="6157"/>
    <col width="12.85546875" customWidth="1" style="251" min="6158" max="6161"/>
    <col width="10.42578125" customWidth="1" style="251" min="6162" max="6163"/>
    <col width="12.28515625" customWidth="1" style="251" min="6164" max="6164"/>
    <col width="10.42578125" customWidth="1" style="251" min="6165" max="6405"/>
    <col width="2.28515625" customWidth="1" style="251" min="6406" max="6407"/>
    <col width="35.42578125" customWidth="1" style="251" min="6408" max="6408"/>
    <col width="14.7109375" customWidth="1" style="251" min="6409" max="6409"/>
    <col width="12.85546875" customWidth="1" style="251" min="6410" max="6412"/>
    <col width="15.5703125" customWidth="1" style="251" min="6413" max="6413"/>
    <col width="12.85546875" customWidth="1" style="251" min="6414" max="6417"/>
    <col width="10.42578125" customWidth="1" style="251" min="6418" max="6419"/>
    <col width="12.28515625" customWidth="1" style="251" min="6420" max="6420"/>
    <col width="10.42578125" customWidth="1" style="251" min="6421" max="6661"/>
    <col width="2.28515625" customWidth="1" style="251" min="6662" max="6663"/>
    <col width="35.42578125" customWidth="1" style="251" min="6664" max="6664"/>
    <col width="14.7109375" customWidth="1" style="251" min="6665" max="6665"/>
    <col width="12.85546875" customWidth="1" style="251" min="6666" max="6668"/>
    <col width="15.5703125" customWidth="1" style="251" min="6669" max="6669"/>
    <col width="12.85546875" customWidth="1" style="251" min="6670" max="6673"/>
    <col width="10.42578125" customWidth="1" style="251" min="6674" max="6675"/>
    <col width="12.28515625" customWidth="1" style="251" min="6676" max="6676"/>
    <col width="10.42578125" customWidth="1" style="251" min="6677" max="6917"/>
    <col width="2.28515625" customWidth="1" style="251" min="6918" max="6919"/>
    <col width="35.42578125" customWidth="1" style="251" min="6920" max="6920"/>
    <col width="14.7109375" customWidth="1" style="251" min="6921" max="6921"/>
    <col width="12.85546875" customWidth="1" style="251" min="6922" max="6924"/>
    <col width="15.5703125" customWidth="1" style="251" min="6925" max="6925"/>
    <col width="12.85546875" customWidth="1" style="251" min="6926" max="6929"/>
    <col width="10.42578125" customWidth="1" style="251" min="6930" max="6931"/>
    <col width="12.28515625" customWidth="1" style="251" min="6932" max="6932"/>
    <col width="10.42578125" customWidth="1" style="251" min="6933" max="7173"/>
    <col width="2.28515625" customWidth="1" style="251" min="7174" max="7175"/>
    <col width="35.42578125" customWidth="1" style="251" min="7176" max="7176"/>
    <col width="14.7109375" customWidth="1" style="251" min="7177" max="7177"/>
    <col width="12.85546875" customWidth="1" style="251" min="7178" max="7180"/>
    <col width="15.5703125" customWidth="1" style="251" min="7181" max="7181"/>
    <col width="12.85546875" customWidth="1" style="251" min="7182" max="7185"/>
    <col width="10.42578125" customWidth="1" style="251" min="7186" max="7187"/>
    <col width="12.28515625" customWidth="1" style="251" min="7188" max="7188"/>
    <col width="10.42578125" customWidth="1" style="251" min="7189" max="7429"/>
    <col width="2.28515625" customWidth="1" style="251" min="7430" max="7431"/>
    <col width="35.42578125" customWidth="1" style="251" min="7432" max="7432"/>
    <col width="14.7109375" customWidth="1" style="251" min="7433" max="7433"/>
    <col width="12.85546875" customWidth="1" style="251" min="7434" max="7436"/>
    <col width="15.5703125" customWidth="1" style="251" min="7437" max="7437"/>
    <col width="12.85546875" customWidth="1" style="251" min="7438" max="7441"/>
    <col width="10.42578125" customWidth="1" style="251" min="7442" max="7443"/>
    <col width="12.28515625" customWidth="1" style="251" min="7444" max="7444"/>
    <col width="10.42578125" customWidth="1" style="251" min="7445" max="7685"/>
    <col width="2.28515625" customWidth="1" style="251" min="7686" max="7687"/>
    <col width="35.42578125" customWidth="1" style="251" min="7688" max="7688"/>
    <col width="14.7109375" customWidth="1" style="251" min="7689" max="7689"/>
    <col width="12.85546875" customWidth="1" style="251" min="7690" max="7692"/>
    <col width="15.5703125" customWidth="1" style="251" min="7693" max="7693"/>
    <col width="12.85546875" customWidth="1" style="251" min="7694" max="7697"/>
    <col width="10.42578125" customWidth="1" style="251" min="7698" max="7699"/>
    <col width="12.28515625" customWidth="1" style="251" min="7700" max="7700"/>
    <col width="10.42578125" customWidth="1" style="251" min="7701" max="7941"/>
    <col width="2.28515625" customWidth="1" style="251" min="7942" max="7943"/>
    <col width="35.42578125" customWidth="1" style="251" min="7944" max="7944"/>
    <col width="14.7109375" customWidth="1" style="251" min="7945" max="7945"/>
    <col width="12.85546875" customWidth="1" style="251" min="7946" max="7948"/>
    <col width="15.5703125" customWidth="1" style="251" min="7949" max="7949"/>
    <col width="12.85546875" customWidth="1" style="251" min="7950" max="7953"/>
    <col width="10.42578125" customWidth="1" style="251" min="7954" max="7955"/>
    <col width="12.28515625" customWidth="1" style="251" min="7956" max="7956"/>
    <col width="10.42578125" customWidth="1" style="251" min="7957" max="8197"/>
    <col width="2.28515625" customWidth="1" style="251" min="8198" max="8199"/>
    <col width="35.42578125" customWidth="1" style="251" min="8200" max="8200"/>
    <col width="14.7109375" customWidth="1" style="251" min="8201" max="8201"/>
    <col width="12.85546875" customWidth="1" style="251" min="8202" max="8204"/>
    <col width="15.5703125" customWidth="1" style="251" min="8205" max="8205"/>
    <col width="12.85546875" customWidth="1" style="251" min="8206" max="8209"/>
    <col width="10.42578125" customWidth="1" style="251" min="8210" max="8211"/>
    <col width="12.28515625" customWidth="1" style="251" min="8212" max="8212"/>
    <col width="10.42578125" customWidth="1" style="251" min="8213" max="8453"/>
    <col width="2.28515625" customWidth="1" style="251" min="8454" max="8455"/>
    <col width="35.42578125" customWidth="1" style="251" min="8456" max="8456"/>
    <col width="14.7109375" customWidth="1" style="251" min="8457" max="8457"/>
    <col width="12.85546875" customWidth="1" style="251" min="8458" max="8460"/>
    <col width="15.5703125" customWidth="1" style="251" min="8461" max="8461"/>
    <col width="12.85546875" customWidth="1" style="251" min="8462" max="8465"/>
    <col width="10.42578125" customWidth="1" style="251" min="8466" max="8467"/>
    <col width="12.28515625" customWidth="1" style="251" min="8468" max="8468"/>
    <col width="10.42578125" customWidth="1" style="251" min="8469" max="8709"/>
    <col width="2.28515625" customWidth="1" style="251" min="8710" max="8711"/>
    <col width="35.42578125" customWidth="1" style="251" min="8712" max="8712"/>
    <col width="14.7109375" customWidth="1" style="251" min="8713" max="8713"/>
    <col width="12.85546875" customWidth="1" style="251" min="8714" max="8716"/>
    <col width="15.5703125" customWidth="1" style="251" min="8717" max="8717"/>
    <col width="12.85546875" customWidth="1" style="251" min="8718" max="8721"/>
    <col width="10.42578125" customWidth="1" style="251" min="8722" max="8723"/>
    <col width="12.28515625" customWidth="1" style="251" min="8724" max="8724"/>
    <col width="10.42578125" customWidth="1" style="251" min="8725" max="8965"/>
    <col width="2.28515625" customWidth="1" style="251" min="8966" max="8967"/>
    <col width="35.42578125" customWidth="1" style="251" min="8968" max="8968"/>
    <col width="14.7109375" customWidth="1" style="251" min="8969" max="8969"/>
    <col width="12.85546875" customWidth="1" style="251" min="8970" max="8972"/>
    <col width="15.5703125" customWidth="1" style="251" min="8973" max="8973"/>
    <col width="12.85546875" customWidth="1" style="251" min="8974" max="8977"/>
    <col width="10.42578125" customWidth="1" style="251" min="8978" max="8979"/>
    <col width="12.28515625" customWidth="1" style="251" min="8980" max="8980"/>
    <col width="10.42578125" customWidth="1" style="251" min="8981" max="9221"/>
    <col width="2.28515625" customWidth="1" style="251" min="9222" max="9223"/>
    <col width="35.42578125" customWidth="1" style="251" min="9224" max="9224"/>
    <col width="14.7109375" customWidth="1" style="251" min="9225" max="9225"/>
    <col width="12.85546875" customWidth="1" style="251" min="9226" max="9228"/>
    <col width="15.5703125" customWidth="1" style="251" min="9229" max="9229"/>
    <col width="12.85546875" customWidth="1" style="251" min="9230" max="9233"/>
    <col width="10.42578125" customWidth="1" style="251" min="9234" max="9235"/>
    <col width="12.28515625" customWidth="1" style="251" min="9236" max="9236"/>
    <col width="10.42578125" customWidth="1" style="251" min="9237" max="9477"/>
    <col width="2.28515625" customWidth="1" style="251" min="9478" max="9479"/>
    <col width="35.42578125" customWidth="1" style="251" min="9480" max="9480"/>
    <col width="14.7109375" customWidth="1" style="251" min="9481" max="9481"/>
    <col width="12.85546875" customWidth="1" style="251" min="9482" max="9484"/>
    <col width="15.5703125" customWidth="1" style="251" min="9485" max="9485"/>
    <col width="12.85546875" customWidth="1" style="251" min="9486" max="9489"/>
    <col width="10.42578125" customWidth="1" style="251" min="9490" max="9491"/>
    <col width="12.28515625" customWidth="1" style="251" min="9492" max="9492"/>
    <col width="10.42578125" customWidth="1" style="251" min="9493" max="9733"/>
    <col width="2.28515625" customWidth="1" style="251" min="9734" max="9735"/>
    <col width="35.42578125" customWidth="1" style="251" min="9736" max="9736"/>
    <col width="14.7109375" customWidth="1" style="251" min="9737" max="9737"/>
    <col width="12.85546875" customWidth="1" style="251" min="9738" max="9740"/>
    <col width="15.5703125" customWidth="1" style="251" min="9741" max="9741"/>
    <col width="12.85546875" customWidth="1" style="251" min="9742" max="9745"/>
    <col width="10.42578125" customWidth="1" style="251" min="9746" max="9747"/>
    <col width="12.28515625" customWidth="1" style="251" min="9748" max="9748"/>
    <col width="10.42578125" customWidth="1" style="251" min="9749" max="9989"/>
    <col width="2.28515625" customWidth="1" style="251" min="9990" max="9991"/>
    <col width="35.42578125" customWidth="1" style="251" min="9992" max="9992"/>
    <col width="14.7109375" customWidth="1" style="251" min="9993" max="9993"/>
    <col width="12.85546875" customWidth="1" style="251" min="9994" max="9996"/>
    <col width="15.5703125" customWidth="1" style="251" min="9997" max="9997"/>
    <col width="12.85546875" customWidth="1" style="251" min="9998" max="10001"/>
    <col width="10.42578125" customWidth="1" style="251" min="10002" max="10003"/>
    <col width="12.28515625" customWidth="1" style="251" min="10004" max="10004"/>
    <col width="10.42578125" customWidth="1" style="251" min="10005" max="10245"/>
    <col width="2.28515625" customWidth="1" style="251" min="10246" max="10247"/>
    <col width="35.42578125" customWidth="1" style="251" min="10248" max="10248"/>
    <col width="14.7109375" customWidth="1" style="251" min="10249" max="10249"/>
    <col width="12.85546875" customWidth="1" style="251" min="10250" max="10252"/>
    <col width="15.5703125" customWidth="1" style="251" min="10253" max="10253"/>
    <col width="12.85546875" customWidth="1" style="251" min="10254" max="10257"/>
    <col width="10.42578125" customWidth="1" style="251" min="10258" max="10259"/>
    <col width="12.28515625" customWidth="1" style="251" min="10260" max="10260"/>
    <col width="10.42578125" customWidth="1" style="251" min="10261" max="10501"/>
    <col width="2.28515625" customWidth="1" style="251" min="10502" max="10503"/>
    <col width="35.42578125" customWidth="1" style="251" min="10504" max="10504"/>
    <col width="14.7109375" customWidth="1" style="251" min="10505" max="10505"/>
    <col width="12.85546875" customWidth="1" style="251" min="10506" max="10508"/>
    <col width="15.5703125" customWidth="1" style="251" min="10509" max="10509"/>
    <col width="12.85546875" customWidth="1" style="251" min="10510" max="10513"/>
    <col width="10.42578125" customWidth="1" style="251" min="10514" max="10515"/>
    <col width="12.28515625" customWidth="1" style="251" min="10516" max="10516"/>
    <col width="10.42578125" customWidth="1" style="251" min="10517" max="10757"/>
    <col width="2.28515625" customWidth="1" style="251" min="10758" max="10759"/>
    <col width="35.42578125" customWidth="1" style="251" min="10760" max="10760"/>
    <col width="14.7109375" customWidth="1" style="251" min="10761" max="10761"/>
    <col width="12.85546875" customWidth="1" style="251" min="10762" max="10764"/>
    <col width="15.5703125" customWidth="1" style="251" min="10765" max="10765"/>
    <col width="12.85546875" customWidth="1" style="251" min="10766" max="10769"/>
    <col width="10.42578125" customWidth="1" style="251" min="10770" max="10771"/>
    <col width="12.28515625" customWidth="1" style="251" min="10772" max="10772"/>
    <col width="10.42578125" customWidth="1" style="251" min="10773" max="11013"/>
    <col width="2.28515625" customWidth="1" style="251" min="11014" max="11015"/>
    <col width="35.42578125" customWidth="1" style="251" min="11016" max="11016"/>
    <col width="14.7109375" customWidth="1" style="251" min="11017" max="11017"/>
    <col width="12.85546875" customWidth="1" style="251" min="11018" max="11020"/>
    <col width="15.5703125" customWidth="1" style="251" min="11021" max="11021"/>
    <col width="12.85546875" customWidth="1" style="251" min="11022" max="11025"/>
    <col width="10.42578125" customWidth="1" style="251" min="11026" max="11027"/>
    <col width="12.28515625" customWidth="1" style="251" min="11028" max="11028"/>
    <col width="10.42578125" customWidth="1" style="251" min="11029" max="11269"/>
    <col width="2.28515625" customWidth="1" style="251" min="11270" max="11271"/>
    <col width="35.42578125" customWidth="1" style="251" min="11272" max="11272"/>
    <col width="14.7109375" customWidth="1" style="251" min="11273" max="11273"/>
    <col width="12.85546875" customWidth="1" style="251" min="11274" max="11276"/>
    <col width="15.5703125" customWidth="1" style="251" min="11277" max="11277"/>
    <col width="12.85546875" customWidth="1" style="251" min="11278" max="11281"/>
    <col width="10.42578125" customWidth="1" style="251" min="11282" max="11283"/>
    <col width="12.28515625" customWidth="1" style="251" min="11284" max="11284"/>
    <col width="10.42578125" customWidth="1" style="251" min="11285" max="11525"/>
    <col width="2.28515625" customWidth="1" style="251" min="11526" max="11527"/>
    <col width="35.42578125" customWidth="1" style="251" min="11528" max="11528"/>
    <col width="14.7109375" customWidth="1" style="251" min="11529" max="11529"/>
    <col width="12.85546875" customWidth="1" style="251" min="11530" max="11532"/>
    <col width="15.5703125" customWidth="1" style="251" min="11533" max="11533"/>
    <col width="12.85546875" customWidth="1" style="251" min="11534" max="11537"/>
    <col width="10.42578125" customWidth="1" style="251" min="11538" max="11539"/>
    <col width="12.28515625" customWidth="1" style="251" min="11540" max="11540"/>
    <col width="10.42578125" customWidth="1" style="251" min="11541" max="11781"/>
    <col width="2.28515625" customWidth="1" style="251" min="11782" max="11783"/>
    <col width="35.42578125" customWidth="1" style="251" min="11784" max="11784"/>
    <col width="14.7109375" customWidth="1" style="251" min="11785" max="11785"/>
    <col width="12.85546875" customWidth="1" style="251" min="11786" max="11788"/>
    <col width="15.5703125" customWidth="1" style="251" min="11789" max="11789"/>
    <col width="12.85546875" customWidth="1" style="251" min="11790" max="11793"/>
    <col width="10.42578125" customWidth="1" style="251" min="11794" max="11795"/>
    <col width="12.28515625" customWidth="1" style="251" min="11796" max="11796"/>
    <col width="10.42578125" customWidth="1" style="251" min="11797" max="12037"/>
    <col width="2.28515625" customWidth="1" style="251" min="12038" max="12039"/>
    <col width="35.42578125" customWidth="1" style="251" min="12040" max="12040"/>
    <col width="14.7109375" customWidth="1" style="251" min="12041" max="12041"/>
    <col width="12.85546875" customWidth="1" style="251" min="12042" max="12044"/>
    <col width="15.5703125" customWidth="1" style="251" min="12045" max="12045"/>
    <col width="12.85546875" customWidth="1" style="251" min="12046" max="12049"/>
    <col width="10.42578125" customWidth="1" style="251" min="12050" max="12051"/>
    <col width="12.28515625" customWidth="1" style="251" min="12052" max="12052"/>
    <col width="10.42578125" customWidth="1" style="251" min="12053" max="12293"/>
    <col width="2.28515625" customWidth="1" style="251" min="12294" max="12295"/>
    <col width="35.42578125" customWidth="1" style="251" min="12296" max="12296"/>
    <col width="14.7109375" customWidth="1" style="251" min="12297" max="12297"/>
    <col width="12.85546875" customWidth="1" style="251" min="12298" max="12300"/>
    <col width="15.5703125" customWidth="1" style="251" min="12301" max="12301"/>
    <col width="12.85546875" customWidth="1" style="251" min="12302" max="12305"/>
    <col width="10.42578125" customWidth="1" style="251" min="12306" max="12307"/>
    <col width="12.28515625" customWidth="1" style="251" min="12308" max="12308"/>
    <col width="10.42578125" customWidth="1" style="251" min="12309" max="12549"/>
    <col width="2.28515625" customWidth="1" style="251" min="12550" max="12551"/>
    <col width="35.42578125" customWidth="1" style="251" min="12552" max="12552"/>
    <col width="14.7109375" customWidth="1" style="251" min="12553" max="12553"/>
    <col width="12.85546875" customWidth="1" style="251" min="12554" max="12556"/>
    <col width="15.5703125" customWidth="1" style="251" min="12557" max="12557"/>
    <col width="12.85546875" customWidth="1" style="251" min="12558" max="12561"/>
    <col width="10.42578125" customWidth="1" style="251" min="12562" max="12563"/>
    <col width="12.28515625" customWidth="1" style="251" min="12564" max="12564"/>
    <col width="10.42578125" customWidth="1" style="251" min="12565" max="12805"/>
    <col width="2.28515625" customWidth="1" style="251" min="12806" max="12807"/>
    <col width="35.42578125" customWidth="1" style="251" min="12808" max="12808"/>
    <col width="14.7109375" customWidth="1" style="251" min="12809" max="12809"/>
    <col width="12.85546875" customWidth="1" style="251" min="12810" max="12812"/>
    <col width="15.5703125" customWidth="1" style="251" min="12813" max="12813"/>
    <col width="12.85546875" customWidth="1" style="251" min="12814" max="12817"/>
    <col width="10.42578125" customWidth="1" style="251" min="12818" max="12819"/>
    <col width="12.28515625" customWidth="1" style="251" min="12820" max="12820"/>
    <col width="10.42578125" customWidth="1" style="251" min="12821" max="13061"/>
    <col width="2.28515625" customWidth="1" style="251" min="13062" max="13063"/>
    <col width="35.42578125" customWidth="1" style="251" min="13064" max="13064"/>
    <col width="14.7109375" customWidth="1" style="251" min="13065" max="13065"/>
    <col width="12.85546875" customWidth="1" style="251" min="13066" max="13068"/>
    <col width="15.5703125" customWidth="1" style="251" min="13069" max="13069"/>
    <col width="12.85546875" customWidth="1" style="251" min="13070" max="13073"/>
    <col width="10.42578125" customWidth="1" style="251" min="13074" max="13075"/>
    <col width="12.28515625" customWidth="1" style="251" min="13076" max="13076"/>
    <col width="10.42578125" customWidth="1" style="251" min="13077" max="13317"/>
    <col width="2.28515625" customWidth="1" style="251" min="13318" max="13319"/>
    <col width="35.42578125" customWidth="1" style="251" min="13320" max="13320"/>
    <col width="14.7109375" customWidth="1" style="251" min="13321" max="13321"/>
    <col width="12.85546875" customWidth="1" style="251" min="13322" max="13324"/>
    <col width="15.5703125" customWidth="1" style="251" min="13325" max="13325"/>
    <col width="12.85546875" customWidth="1" style="251" min="13326" max="13329"/>
    <col width="10.42578125" customWidth="1" style="251" min="13330" max="13331"/>
    <col width="12.28515625" customWidth="1" style="251" min="13332" max="13332"/>
    <col width="10.42578125" customWidth="1" style="251" min="13333" max="13573"/>
    <col width="2.28515625" customWidth="1" style="251" min="13574" max="13575"/>
    <col width="35.42578125" customWidth="1" style="251" min="13576" max="13576"/>
    <col width="14.7109375" customWidth="1" style="251" min="13577" max="13577"/>
    <col width="12.85546875" customWidth="1" style="251" min="13578" max="13580"/>
    <col width="15.5703125" customWidth="1" style="251" min="13581" max="13581"/>
    <col width="12.85546875" customWidth="1" style="251" min="13582" max="13585"/>
    <col width="10.42578125" customWidth="1" style="251" min="13586" max="13587"/>
    <col width="12.28515625" customWidth="1" style="251" min="13588" max="13588"/>
    <col width="10.42578125" customWidth="1" style="251" min="13589" max="13829"/>
    <col width="2.28515625" customWidth="1" style="251" min="13830" max="13831"/>
    <col width="35.42578125" customWidth="1" style="251" min="13832" max="13832"/>
    <col width="14.7109375" customWidth="1" style="251" min="13833" max="13833"/>
    <col width="12.85546875" customWidth="1" style="251" min="13834" max="13836"/>
    <col width="15.5703125" customWidth="1" style="251" min="13837" max="13837"/>
    <col width="12.85546875" customWidth="1" style="251" min="13838" max="13841"/>
    <col width="10.42578125" customWidth="1" style="251" min="13842" max="13843"/>
    <col width="12.28515625" customWidth="1" style="251" min="13844" max="13844"/>
    <col width="10.42578125" customWidth="1" style="251" min="13845" max="14085"/>
    <col width="2.28515625" customWidth="1" style="251" min="14086" max="14087"/>
    <col width="35.42578125" customWidth="1" style="251" min="14088" max="14088"/>
    <col width="14.7109375" customWidth="1" style="251" min="14089" max="14089"/>
    <col width="12.85546875" customWidth="1" style="251" min="14090" max="14092"/>
    <col width="15.5703125" customWidth="1" style="251" min="14093" max="14093"/>
    <col width="12.85546875" customWidth="1" style="251" min="14094" max="14097"/>
    <col width="10.42578125" customWidth="1" style="251" min="14098" max="14099"/>
    <col width="12.28515625" customWidth="1" style="251" min="14100" max="14100"/>
    <col width="10.42578125" customWidth="1" style="251" min="14101" max="14341"/>
    <col width="2.28515625" customWidth="1" style="251" min="14342" max="14343"/>
    <col width="35.42578125" customWidth="1" style="251" min="14344" max="14344"/>
    <col width="14.7109375" customWidth="1" style="251" min="14345" max="14345"/>
    <col width="12.85546875" customWidth="1" style="251" min="14346" max="14348"/>
    <col width="15.5703125" customWidth="1" style="251" min="14349" max="14349"/>
    <col width="12.85546875" customWidth="1" style="251" min="14350" max="14353"/>
    <col width="10.42578125" customWidth="1" style="251" min="14354" max="14355"/>
    <col width="12.28515625" customWidth="1" style="251" min="14356" max="14356"/>
    <col width="10.42578125" customWidth="1" style="251" min="14357" max="14597"/>
    <col width="2.28515625" customWidth="1" style="251" min="14598" max="14599"/>
    <col width="35.42578125" customWidth="1" style="251" min="14600" max="14600"/>
    <col width="14.7109375" customWidth="1" style="251" min="14601" max="14601"/>
    <col width="12.85546875" customWidth="1" style="251" min="14602" max="14604"/>
    <col width="15.5703125" customWidth="1" style="251" min="14605" max="14605"/>
    <col width="12.85546875" customWidth="1" style="251" min="14606" max="14609"/>
    <col width="10.42578125" customWidth="1" style="251" min="14610" max="14611"/>
    <col width="12.28515625" customWidth="1" style="251" min="14612" max="14612"/>
    <col width="10.42578125" customWidth="1" style="251" min="14613" max="14853"/>
    <col width="2.28515625" customWidth="1" style="251" min="14854" max="14855"/>
    <col width="35.42578125" customWidth="1" style="251" min="14856" max="14856"/>
    <col width="14.7109375" customWidth="1" style="251" min="14857" max="14857"/>
    <col width="12.85546875" customWidth="1" style="251" min="14858" max="14860"/>
    <col width="15.5703125" customWidth="1" style="251" min="14861" max="14861"/>
    <col width="12.85546875" customWidth="1" style="251" min="14862" max="14865"/>
    <col width="10.42578125" customWidth="1" style="251" min="14866" max="14867"/>
    <col width="12.28515625" customWidth="1" style="251" min="14868" max="14868"/>
    <col width="10.42578125" customWidth="1" style="251" min="14869" max="15109"/>
    <col width="2.28515625" customWidth="1" style="251" min="15110" max="15111"/>
    <col width="35.42578125" customWidth="1" style="251" min="15112" max="15112"/>
    <col width="14.7109375" customWidth="1" style="251" min="15113" max="15113"/>
    <col width="12.85546875" customWidth="1" style="251" min="15114" max="15116"/>
    <col width="15.5703125" customWidth="1" style="251" min="15117" max="15117"/>
    <col width="12.85546875" customWidth="1" style="251" min="15118" max="15121"/>
    <col width="10.42578125" customWidth="1" style="251" min="15122" max="15123"/>
    <col width="12.28515625" customWidth="1" style="251" min="15124" max="15124"/>
    <col width="10.42578125" customWidth="1" style="251" min="15125" max="15365"/>
    <col width="2.28515625" customWidth="1" style="251" min="15366" max="15367"/>
    <col width="35.42578125" customWidth="1" style="251" min="15368" max="15368"/>
    <col width="14.7109375" customWidth="1" style="251" min="15369" max="15369"/>
    <col width="12.85546875" customWidth="1" style="251" min="15370" max="15372"/>
    <col width="15.5703125" customWidth="1" style="251" min="15373" max="15373"/>
    <col width="12.85546875" customWidth="1" style="251" min="15374" max="15377"/>
    <col width="10.42578125" customWidth="1" style="251" min="15378" max="15379"/>
    <col width="12.28515625" customWidth="1" style="251" min="15380" max="15380"/>
    <col width="10.42578125" customWidth="1" style="251" min="15381" max="15621"/>
    <col width="2.28515625" customWidth="1" style="251" min="15622" max="15623"/>
    <col width="35.42578125" customWidth="1" style="251" min="15624" max="15624"/>
    <col width="14.7109375" customWidth="1" style="251" min="15625" max="15625"/>
    <col width="12.85546875" customWidth="1" style="251" min="15626" max="15628"/>
    <col width="15.5703125" customWidth="1" style="251" min="15629" max="15629"/>
    <col width="12.85546875" customWidth="1" style="251" min="15630" max="15633"/>
    <col width="10.42578125" customWidth="1" style="251" min="15634" max="15635"/>
    <col width="12.28515625" customWidth="1" style="251" min="15636" max="15636"/>
    <col width="10.42578125" customWidth="1" style="251" min="15637" max="15877"/>
    <col width="2.28515625" customWidth="1" style="251" min="15878" max="15879"/>
    <col width="35.42578125" customWidth="1" style="251" min="15880" max="15880"/>
    <col width="14.7109375" customWidth="1" style="251" min="15881" max="15881"/>
    <col width="12.85546875" customWidth="1" style="251" min="15882" max="15884"/>
    <col width="15.5703125" customWidth="1" style="251" min="15885" max="15885"/>
    <col width="12.85546875" customWidth="1" style="251" min="15886" max="15889"/>
    <col width="10.42578125" customWidth="1" style="251" min="15890" max="15891"/>
    <col width="12.28515625" customWidth="1" style="251" min="15892" max="15892"/>
    <col width="10.42578125" customWidth="1" style="251" min="15893" max="16133"/>
    <col width="2.28515625" customWidth="1" style="251" min="16134" max="16135"/>
    <col width="35.42578125" customWidth="1" style="251" min="16136" max="16136"/>
    <col width="14.7109375" customWidth="1" style="251" min="16137" max="16137"/>
    <col width="12.85546875" customWidth="1" style="251" min="16138" max="16140"/>
    <col width="15.5703125" customWidth="1" style="251" min="16141" max="16141"/>
    <col width="12.85546875" customWidth="1" style="251" min="16142" max="16145"/>
    <col width="10.42578125" customWidth="1" style="251" min="16146" max="16147"/>
    <col width="12.28515625" customWidth="1" style="251" min="16148" max="16148"/>
    <col width="10.42578125" customWidth="1" style="251" min="16149" max="16384"/>
  </cols>
  <sheetData>
    <row r="1" ht="6.75" customFormat="1" customHeight="1" s="93"/>
    <row r="2" ht="6.75" customFormat="1" customHeight="1" s="93"/>
    <row r="3">
      <c r="C3" s="251" t="inlineStr">
        <is>
          <t>Discounted Cash Flow Model</t>
        </is>
      </c>
    </row>
    <row r="4" ht="13.5" customHeight="1">
      <c r="C4" s="94" t="inlineStr">
        <is>
          <t>All figures in millions, except per share data</t>
        </is>
      </c>
      <c r="D4" s="94" t="n"/>
      <c r="E4" s="94" t="n"/>
      <c r="F4" s="94" t="n"/>
      <c r="G4" s="94" t="n"/>
      <c r="H4" s="94" t="n"/>
      <c r="I4" s="94" t="n"/>
      <c r="J4" s="94" t="n"/>
      <c r="K4" s="94" t="n"/>
      <c r="L4" s="94" t="n"/>
      <c r="M4" s="94" t="n"/>
      <c r="N4" s="94" t="n"/>
      <c r="O4" s="94" t="n"/>
      <c r="P4" s="94" t="n"/>
      <c r="Q4" s="94" t="n"/>
      <c r="R4" s="94" t="n"/>
      <c r="S4" s="94" t="n"/>
      <c r="T4" s="94" t="n"/>
      <c r="U4" s="94" t="n"/>
      <c r="V4" s="94" t="n"/>
    </row>
    <row r="5"/>
    <row r="6"/>
    <row r="7">
      <c r="C7" s="251" t="inlineStr">
        <is>
          <t>Ticker</t>
        </is>
      </c>
      <c r="D7" s="95" t="str">
        <f>IFERROR(IF(Control!B4="","",Control!B4),"")</f>
        <v>FLRY3) - fonte: "Dados Historicos - 2T26.xlsm" (RI Fleury)</v>
      </c>
      <c r="F7" s="251" t="inlineStr">
        <is>
          <t>Last close</t>
        </is>
      </c>
      <c r="G7" s="96" t="str">
        <f>IFERROR(IF(Control!E4="","",Control!E4),"")</f>
        <v/>
      </c>
    </row>
    <row r="8">
      <c r="C8" s="251" t="inlineStr">
        <is>
          <t>Operating scenario:</t>
        </is>
      </c>
      <c r="D8" s="97" t="str">
        <f>IFERROR(IF(Control!B10=1,"Bull Case",IF(Control!B10=2,"Base Case","Bear Case")),"")</f>
        <v>Base Case</v>
      </c>
    </row>
    <row r="9">
      <c r="C9" s="251" t="inlineStr">
        <is>
          <t>Last fiscal year end date:</t>
        </is>
      </c>
      <c r="D9" s="98" t="str">
        <f>IFERROR(IF(Control!B12="","",DATE(YEAR(Control!B12)-1,12,31)),"")</f>
        <v/>
      </c>
    </row>
    <row r="10">
      <c r="C10" s="251" t="inlineStr">
        <is>
          <t>Valuation / deal date:</t>
        </is>
      </c>
      <c r="D10" s="98" t="str">
        <f>IFERROR(IF(Control!B12="","",Control!B12),"")</f>
        <v/>
      </c>
    </row>
    <row r="11">
      <c r="C11" s="251" t="inlineStr">
        <is>
          <t>Stub year fraction:</t>
        </is>
      </c>
      <c r="D11" s="99" t="str">
        <f>IFERROR(IF(Control!B12="","",Control!B13),"")</f>
        <v/>
      </c>
      <c r="E11" s="100" t="n"/>
      <c r="I11" s="101" t="n"/>
      <c r="O11" s="102" t="n"/>
      <c r="Z11" s="103" t="n"/>
    </row>
    <row r="12">
      <c r="C12" s="251" t="inlineStr">
        <is>
          <t>Weighted average cost of capital:</t>
        </is>
      </c>
      <c r="D12" s="99" t="str">
        <f>IFERROR(IF(Control!E12="","",Control!E12),"")</f>
        <v/>
      </c>
      <c r="I12" s="101" t="n"/>
    </row>
    <row r="13">
      <c r="D13" s="99" t="n"/>
      <c r="E13" s="99" t="n"/>
    </row>
    <row r="14" ht="14.85" customHeight="1">
      <c r="C14" s="104" t="inlineStr">
        <is>
          <t>Historicals</t>
        </is>
      </c>
      <c r="D14" s="104" t="n"/>
      <c r="E14" s="104" t="n"/>
      <c r="F14" s="104" t="n"/>
      <c r="G14" s="250" t="inlineStr">
        <is>
          <t>Projected Annual Forecast</t>
        </is>
      </c>
    </row>
    <row r="15">
      <c r="C15" s="105" t="n"/>
      <c r="D15" s="105" t="n"/>
      <c r="E15" s="105" t="n"/>
      <c r="F15" s="105" t="n"/>
      <c r="G15" s="256" t="inlineStr">
        <is>
          <t>Granular</t>
        </is>
      </c>
      <c r="H15" s="253" t="n"/>
      <c r="I15" s="253" t="n"/>
      <c r="J15" s="253" t="n"/>
      <c r="K15" s="253" t="n"/>
      <c r="L15" s="253" t="n"/>
      <c r="M15" s="253" t="n"/>
      <c r="N15" s="253" t="n"/>
      <c r="O15" s="253" t="n"/>
      <c r="P15" s="253" t="n"/>
      <c r="Q15" s="253" t="n"/>
      <c r="R15" s="253" t="n"/>
      <c r="S15" s="253" t="n"/>
      <c r="T15" s="253" t="n"/>
      <c r="U15" s="253" t="n"/>
      <c r="V15" s="253" t="n"/>
      <c r="X15" s="106" t="n"/>
      <c r="Y15" s="107" t="n"/>
      <c r="Z15" s="107" t="n"/>
    </row>
    <row r="16">
      <c r="D16" s="108" t="n">
        <v>2023</v>
      </c>
      <c r="E16" s="108" t="n">
        <v>2024</v>
      </c>
      <c r="F16" s="108" t="n">
        <v>2025</v>
      </c>
      <c r="G16" s="108" t="n">
        <v>2026</v>
      </c>
      <c r="H16" s="108" t="n">
        <v>2027</v>
      </c>
      <c r="I16" s="108" t="n">
        <v>2028</v>
      </c>
      <c r="J16" s="108" t="n">
        <v>2029</v>
      </c>
      <c r="K16" s="108" t="n">
        <v>2030</v>
      </c>
      <c r="L16" s="108" t="n"/>
      <c r="M16" s="108" t="n"/>
      <c r="N16" s="108" t="n"/>
      <c r="O16" s="108" t="n"/>
      <c r="P16" s="108" t="n"/>
      <c r="Q16" s="108" t="n"/>
      <c r="R16" s="108" t="n"/>
      <c r="S16" s="108" t="n"/>
      <c r="T16" s="108" t="n"/>
      <c r="U16" s="108" t="n"/>
      <c r="V16" s="108" t="n"/>
      <c r="W16" s="108" t="n"/>
      <c r="X16" s="107" t="n"/>
      <c r="Y16" s="107" t="n"/>
      <c r="Z16" s="107" t="n"/>
    </row>
    <row r="17">
      <c r="C17" s="109" t="n"/>
      <c r="D17" s="110" t="n">
        <v>45291</v>
      </c>
      <c r="E17" s="110" t="n">
        <v>45657</v>
      </c>
      <c r="F17" s="110" t="n">
        <v>46022</v>
      </c>
      <c r="G17" s="110" t="n">
        <v>46387</v>
      </c>
      <c r="H17" s="110" t="n">
        <v>46752</v>
      </c>
      <c r="I17" s="110" t="n">
        <v>47118</v>
      </c>
      <c r="J17" s="110" t="n">
        <v>47483</v>
      </c>
      <c r="K17" s="110" t="n">
        <v>47848</v>
      </c>
      <c r="L17" s="110" t="n"/>
      <c r="M17" s="110" t="n"/>
      <c r="N17" s="110" t="n"/>
      <c r="O17" s="110" t="n"/>
      <c r="P17" s="110" t="n"/>
      <c r="Q17" s="110" t="n"/>
      <c r="R17" s="110" t="n"/>
      <c r="S17" s="110" t="n"/>
      <c r="T17" s="110" t="n"/>
      <c r="U17" s="110" t="n"/>
      <c r="V17" s="110" t="n"/>
      <c r="W17" s="111" t="n"/>
      <c r="X17" s="107" t="n"/>
      <c r="Y17" s="107" t="n"/>
      <c r="Z17" s="107" t="n"/>
    </row>
    <row r="18">
      <c r="C18" s="112" t="inlineStr">
        <is>
          <t>Net Revenues</t>
        </is>
      </c>
      <c r="D18" s="113">
        <f>IFERROR(Model!W15,"")</f>
        <v>6470.85</v>
      </c>
      <c r="E18" s="113">
        <f>IFERROR(Model!AB15,"")</f>
        <v>7684.659</v>
      </c>
      <c r="F18" s="113">
        <f>IFERROR(Model!AG15,"")</f>
        <v>8291.181521967</v>
      </c>
      <c r="G18" s="113">
        <f>IFERROR(Model!AL15,"")</f>
        <v>9192.17046176196</v>
      </c>
      <c r="H18" s="113">
        <f>IFERROR(Model!AQ15,"")</f>
        <v>10058.7780525243</v>
      </c>
      <c r="I18" s="113">
        <f>IFERROR(Model!AV15,"")</f>
        <v>10956.7926657182</v>
      </c>
      <c r="J18" s="113">
        <f>IFERROR(Model!BA15,"")</f>
        <v>11880.1951059639</v>
      </c>
      <c r="K18" s="113">
        <f>IFERROR(Model!BF15,"")</f>
        <v>12822.0178905374</v>
      </c>
      <c r="L18" s="113" t="n"/>
      <c r="M18" s="113" t="n"/>
      <c r="N18" s="113" t="n"/>
      <c r="O18" s="113" t="n"/>
      <c r="P18" s="113" t="n"/>
      <c r="Q18" s="113" t="n"/>
      <c r="R18" s="113" t="n"/>
      <c r="S18" s="113" t="n"/>
      <c r="T18" s="113" t="n"/>
      <c r="U18" s="113" t="n"/>
      <c r="V18" s="114" t="n"/>
      <c r="X18" s="115" t="n"/>
      <c r="Y18" s="115" t="n"/>
      <c r="Z18" s="107" t="n"/>
    </row>
    <row r="19">
      <c r="C19" s="116" t="n"/>
      <c r="D19" s="109" t="str">
        <f>IFERROR("","")</f>
        <v/>
      </c>
      <c r="E19" s="117">
        <f>IFERROR(IF(D18=0,"",E18/D18-1),"")</f>
        <v>0.187581075129234</v>
      </c>
      <c r="F19" s="117">
        <f>IFERROR(IF(E18=0,"",F18/E18-1),"")</f>
        <v>0.0789264067497335</v>
      </c>
      <c r="G19" s="117">
        <f>IFERROR(IF(F18=0,"",G18/F18-1),"")</f>
        <v>0.108668340864067</v>
      </c>
      <c r="H19" s="117">
        <f>IFERROR(IF(G18=0,"",H18/G18-1),"")</f>
        <v>0.0942767102032409</v>
      </c>
      <c r="I19" s="117">
        <f>IFERROR(IF(H18=0,"",I18/H18-1),"")</f>
        <v>0.0892767102032406</v>
      </c>
      <c r="J19" s="117">
        <f>IFERROR(IF(I18=0,"",J18/I18-1),"")</f>
        <v>0.0842767102032405</v>
      </c>
      <c r="K19" s="117">
        <f>IFERROR(IF(J18=0,"",K18/J18-1),"")</f>
        <v>0.0792767102032408</v>
      </c>
      <c r="L19" s="117" t="n"/>
      <c r="M19" s="117" t="n"/>
      <c r="N19" s="117" t="n"/>
      <c r="O19" s="117" t="n"/>
      <c r="P19" s="117" t="n"/>
      <c r="Q19" s="117" t="n"/>
      <c r="R19" s="117" t="n"/>
      <c r="S19" s="117" t="n"/>
      <c r="T19" s="117" t="n"/>
      <c r="U19" s="117" t="n"/>
      <c r="V19" s="118" t="n"/>
      <c r="X19" s="107" t="n"/>
      <c r="Y19" s="107" t="n"/>
      <c r="Z19" s="107" t="n"/>
    </row>
    <row r="20">
      <c r="C20" s="119" t="inlineStr">
        <is>
          <t>EBITDA</t>
        </is>
      </c>
      <c r="D20" s="113">
        <f>IFERROR(Model!W35,"")</f>
        <v>1591.154105898</v>
      </c>
      <c r="E20" s="113">
        <f>IFERROR(Model!AB35,"")</f>
        <v>1981.95</v>
      </c>
      <c r="F20" s="113">
        <f>IFERROR(Model!AG35,"")</f>
        <v>2135.017713604</v>
      </c>
      <c r="G20" s="113">
        <f>IFERROR(Model!AL35,"")</f>
        <v>2433.65151717863</v>
      </c>
      <c r="H20" s="113">
        <f>IFERROR(Model!AQ35,"")</f>
        <v>2626.30652987859</v>
      </c>
      <c r="I20" s="113">
        <f>IFERROR(Model!AV35,"")</f>
        <v>2860.77453685144</v>
      </c>
      <c r="J20" s="113">
        <f>IFERROR(Model!BA35,"")</f>
        <v>3101.87120345048</v>
      </c>
      <c r="K20" s="113">
        <f>IFERROR(Model!BF35,"")</f>
        <v>3347.7773479342</v>
      </c>
      <c r="L20" s="113" t="n"/>
      <c r="M20" s="120" t="n"/>
      <c r="N20" s="120" t="n"/>
      <c r="O20" s="120" t="n"/>
      <c r="P20" s="120" t="n"/>
      <c r="Q20" s="120" t="n"/>
      <c r="R20" s="120" t="n"/>
      <c r="S20" s="120" t="n"/>
      <c r="T20" s="120" t="n"/>
      <c r="U20" s="120" t="n"/>
      <c r="V20" s="121" t="n"/>
      <c r="X20" s="107" t="n"/>
      <c r="Y20" s="107" t="n"/>
      <c r="Z20" s="107" t="n"/>
    </row>
    <row r="21">
      <c r="C21" s="116" t="n"/>
      <c r="D21" s="122">
        <f>IFERROR(IF(D18=0,"",D20/D18),"")</f>
        <v>0.245895686949628</v>
      </c>
      <c r="E21" s="122">
        <f>IFERROR(IF(E18=0,"",E20/E18),"")</f>
        <v>0.257909947598195</v>
      </c>
      <c r="F21" s="122">
        <f>IFERROR(IF(F18=0,"",F20/F18),"")</f>
        <v>0.257504640074204</v>
      </c>
      <c r="G21" s="122">
        <f>IFERROR(IF(G18=0,"",G20/G18),"")</f>
        <v>0.264752653065154</v>
      </c>
      <c r="H21" s="122">
        <f>IFERROR(IF(H18=0,"",H20/H18),"")</f>
        <v>0.261095981655496</v>
      </c>
      <c r="I21" s="122">
        <f>IFERROR(IF(I18=0,"",I20/I18),"")</f>
        <v>0.261095981655496</v>
      </c>
      <c r="J21" s="122">
        <f>IFERROR(IF(J18=0,"",J20/J18),"")</f>
        <v>0.261095981655496</v>
      </c>
      <c r="K21" s="122">
        <f>IFERROR(IF(K18=0,"",K20/K18),"")</f>
        <v>0.261095981655496</v>
      </c>
      <c r="L21" s="122" t="n"/>
      <c r="M21" s="109" t="n"/>
      <c r="N21" s="109" t="n"/>
      <c r="O21" s="109" t="n"/>
      <c r="P21" s="109" t="n"/>
      <c r="Q21" s="109" t="n"/>
      <c r="R21" s="109" t="n"/>
      <c r="S21" s="109" t="n"/>
      <c r="T21" s="109" t="n"/>
      <c r="U21" s="109" t="n"/>
      <c r="V21" s="123" t="n"/>
      <c r="X21" s="115" t="n"/>
      <c r="Y21" s="115" t="n"/>
      <c r="Z21" s="107" t="n"/>
    </row>
    <row r="22">
      <c r="C22" s="112" t="inlineStr">
        <is>
          <t>EBIT</t>
        </is>
      </c>
      <c r="D22" s="113">
        <f>IFERROR(Model!W39,"")</f>
        <v>915.776017748</v>
      </c>
      <c r="E22" s="113">
        <f>IFERROR(Model!AB39,"")</f>
        <v>1201.967</v>
      </c>
      <c r="F22" s="113">
        <f>IFERROR(Model!AG39,"")</f>
        <v>1234.706784074</v>
      </c>
      <c r="G22" s="113">
        <f>IFERROR(Model!AL39,"")</f>
        <v>1494.23803562592</v>
      </c>
      <c r="H22" s="113">
        <f>IFERROR(Model!AQ39,"")</f>
        <v>1565.84553393489</v>
      </c>
      <c r="I22" s="113">
        <f>IFERROR(Model!AV39,"")</f>
        <v>1705.63907189103</v>
      </c>
      <c r="J22" s="113">
        <f>IFERROR(Model!BA39,"")</f>
        <v>1849.38472166412</v>
      </c>
      <c r="K22" s="113">
        <f>IFERROR(Model!BF39,"")</f>
        <v>1995.99785829779</v>
      </c>
      <c r="L22" s="113" t="n"/>
      <c r="M22" s="113" t="n"/>
      <c r="N22" s="113" t="n"/>
      <c r="O22" s="113" t="n"/>
      <c r="P22" s="113" t="n"/>
      <c r="Q22" s="113" t="n"/>
      <c r="R22" s="113" t="n"/>
      <c r="S22" s="113" t="n"/>
      <c r="T22" s="113" t="n"/>
      <c r="U22" s="113" t="n"/>
      <c r="V22" s="114" t="n"/>
      <c r="X22" s="115" t="n"/>
      <c r="Y22" s="115" t="n"/>
      <c r="Z22" s="107" t="n"/>
    </row>
    <row r="23">
      <c r="C23" s="116" t="n"/>
      <c r="D23" s="122">
        <f>IFERROR(IF(D18=0,"",D22/D18),"")</f>
        <v>0.141523295664094</v>
      </c>
      <c r="E23" s="122">
        <f>IFERROR(IF(E18=0,"",E22/E18),"")</f>
        <v>0.156411234382684</v>
      </c>
      <c r="F23" s="122">
        <f>IFERROR(IF(F18=0,"",F22/F18),"")</f>
        <v>0.148918074076984</v>
      </c>
      <c r="G23" s="122">
        <f>IFERROR(IF(G18=0,"",G22/G18),"")</f>
        <v>0.162555518508031</v>
      </c>
      <c r="H23" s="122">
        <f>IFERROR(IF(H18=0,"",H22/H18),"")</f>
        <v>0.155669558047554</v>
      </c>
      <c r="I23" s="122">
        <f>IFERROR(IF(I18=0,"",I22/I18),"")</f>
        <v>0.155669558047554</v>
      </c>
      <c r="J23" s="122">
        <f>IFERROR(IF(J18=0,"",J22/J18),"")</f>
        <v>0.155669558047554</v>
      </c>
      <c r="K23" s="122">
        <f>IFERROR(IF(K18=0,"",K22/K18),"")</f>
        <v>0.155669558047554</v>
      </c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122" t="n"/>
      <c r="U23" s="122" t="n"/>
      <c r="V23" s="124" t="n"/>
      <c r="X23" s="107" t="n"/>
      <c r="Y23" s="107" t="n"/>
      <c r="Z23" s="107" t="n"/>
    </row>
    <row r="24">
      <c r="C24" s="112" t="inlineStr">
        <is>
          <t>Tax rate</t>
        </is>
      </c>
      <c r="D24" s="125">
        <f>IFERROR(Model!W98,"")</f>
        <v>0.208041124967169</v>
      </c>
      <c r="E24" s="125">
        <f>IFERROR(Model!AB98,"")</f>
        <v>0.2311454510041</v>
      </c>
      <c r="F24" s="125">
        <f>IFERROR(Model!AG98,"")</f>
        <v>0.204151345045351</v>
      </c>
      <c r="G24" s="125">
        <f>IFERROR(Model!AL98,"")</f>
        <v>0.200777905734626</v>
      </c>
      <c r="H24" s="125">
        <f>IFERROR(Model!AQ98,"")</f>
        <v>0.192934859533307</v>
      </c>
      <c r="I24" s="125">
        <f>IFERROR(Model!AV98,"")</f>
        <v>0.192934859533307</v>
      </c>
      <c r="J24" s="125">
        <f>IFERROR(Model!BA98,"")</f>
        <v>0.192934859533307</v>
      </c>
      <c r="K24" s="125">
        <f>IFERROR(Model!BF98,"")</f>
        <v>0.192934859533307</v>
      </c>
      <c r="L24" s="125" t="n"/>
      <c r="M24" s="125" t="n"/>
      <c r="N24" s="125" t="n"/>
      <c r="O24" s="125" t="n"/>
      <c r="P24" s="125" t="n"/>
      <c r="Q24" s="125" t="n"/>
      <c r="R24" s="125" t="n"/>
      <c r="S24" s="125" t="n"/>
      <c r="T24" s="125" t="n"/>
      <c r="U24" s="125" t="n"/>
      <c r="V24" s="126" t="n"/>
      <c r="X24" s="107" t="n"/>
      <c r="Y24" s="107" t="n"/>
      <c r="Z24" s="107" t="n"/>
    </row>
    <row r="25">
      <c r="C25" s="116" t="inlineStr">
        <is>
          <t>NOPLAT</t>
        </is>
      </c>
      <c r="D25" s="127">
        <f>IFERROR(D22*(1-D24),"")</f>
        <v>725.256944797752</v>
      </c>
      <c r="E25" s="127">
        <f>IFERROR(E22*(1-E24),"")</f>
        <v>924.137795692955</v>
      </c>
      <c r="F25" s="127">
        <f>IFERROR(F22*(1-F24),"")</f>
        <v>982.639733368674</v>
      </c>
      <c r="G25" s="127">
        <f>IFERROR(G22*(1-G24),"")</f>
        <v>1194.22805216393</v>
      </c>
      <c r="H25" s="127">
        <f>IFERROR(H22*(1-H24),"")</f>
        <v>1263.73934579431</v>
      </c>
      <c r="I25" s="127">
        <f>IFERROR(I22*(1-I24),"")</f>
        <v>1376.56183714122</v>
      </c>
      <c r="J25" s="127">
        <f>IFERROR(J22*(1-J24),"")</f>
        <v>1492.57394016681</v>
      </c>
      <c r="K25" s="127">
        <f>IFERROR(K22*(1-K24),"")</f>
        <v>1610.90029187832</v>
      </c>
      <c r="L25" s="127" t="n"/>
      <c r="M25" s="127" t="n"/>
      <c r="N25" s="127" t="n"/>
      <c r="O25" s="127" t="n"/>
      <c r="P25" s="127" t="n"/>
      <c r="Q25" s="127" t="n"/>
      <c r="R25" s="127" t="n"/>
      <c r="S25" s="127" t="n"/>
      <c r="T25" s="127" t="n"/>
      <c r="U25" s="127" t="n"/>
      <c r="V25" s="128" t="n"/>
      <c r="X25" s="115" t="n"/>
      <c r="Y25" s="115" t="n"/>
      <c r="Z25" s="107" t="n"/>
    </row>
    <row r="26">
      <c r="C26" s="129" t="inlineStr">
        <is>
          <t>Depreciation &amp; Amortization</t>
        </is>
      </c>
      <c r="D26" s="130">
        <f>IFERROR(-Model!W36,"")</f>
        <v>675.37808815</v>
      </c>
      <c r="E26" s="130">
        <f>IFERROR(-Model!AB36,"")</f>
        <v>779.983</v>
      </c>
      <c r="F26" s="130">
        <f>IFERROR(-Model!AG36,"")</f>
        <v>900.31092953</v>
      </c>
      <c r="G26" s="130">
        <f>IFERROR(-Model!AL36,"")</f>
        <v>939.413481552706</v>
      </c>
      <c r="H26" s="130">
        <f>IFERROR(-Model!AQ36,"")</f>
        <v>1060.4609959437</v>
      </c>
      <c r="I26" s="130">
        <f>IFERROR(-Model!AV36,"")</f>
        <v>1155.1354649604</v>
      </c>
      <c r="J26" s="130">
        <f>IFERROR(-Model!BA36,"")</f>
        <v>1252.48648178636</v>
      </c>
      <c r="K26" s="130">
        <f>IFERROR(-Model!BF36,"")</f>
        <v>1351.77948963641</v>
      </c>
      <c r="L26" s="131" t="n"/>
      <c r="X26" s="107" t="n"/>
      <c r="Y26" s="107" t="n"/>
      <c r="Z26" s="107" t="n"/>
    </row>
    <row r="27">
      <c r="C27" s="132" t="inlineStr">
        <is>
          <t>Cash from working capital</t>
        </is>
      </c>
      <c r="D27" s="133">
        <f>IFERROR(Model!W245,"")</f>
        <v>-182.91895331</v>
      </c>
      <c r="E27" s="133">
        <f>IFERROR(Model!AB245,"")</f>
        <v>-22.214</v>
      </c>
      <c r="F27" s="133">
        <f>IFERROR(Model!AG245,"")</f>
        <v>183.018</v>
      </c>
      <c r="G27" s="133">
        <f>IFERROR(Model!AL245,"")</f>
        <v>-440.017008438187</v>
      </c>
      <c r="H27" s="133">
        <f>IFERROR(Model!AQ245,"")</f>
        <v>139.636632001504</v>
      </c>
      <c r="I27" s="133">
        <f>IFERROR(Model!AV245,"")</f>
        <v>228.726488298917</v>
      </c>
      <c r="J27" s="133">
        <f>IFERROR(Model!BA245,"")</f>
        <v>340.943413004042</v>
      </c>
      <c r="K27" s="133">
        <f>IFERROR(Model!BF245,"")</f>
        <v>477.518648931753</v>
      </c>
      <c r="L27" s="134" t="n"/>
      <c r="X27" s="107" t="n"/>
      <c r="Y27" s="107" t="n"/>
      <c r="Z27" s="107" t="n"/>
    </row>
    <row r="28">
      <c r="C28" s="135" t="inlineStr">
        <is>
          <t>Accounts receivable</t>
        </is>
      </c>
      <c r="D28" s="136">
        <f>IFERROR(Model!W246,"")</f>
        <v>-648.34493711</v>
      </c>
      <c r="E28" s="136">
        <f>IFERROR(Model!AB246,"")</f>
        <v>-129.71</v>
      </c>
      <c r="F28" s="136">
        <f>IFERROR(Model!AG246,"")</f>
        <v>-112.262</v>
      </c>
      <c r="G28" s="136">
        <f>IFERROR(Model!AL246,"")</f>
        <v>-234.990309316273</v>
      </c>
      <c r="H28" s="136">
        <f>IFERROR(Model!AQ246,"")</f>
        <v>-186.871175950936</v>
      </c>
      <c r="I28" s="136">
        <f>IFERROR(Model!AV246,"")</f>
        <v>-193.643638225064</v>
      </c>
      <c r="J28" s="136">
        <f>IFERROR(Model!BA246,"")</f>
        <v>-199.118149580123</v>
      </c>
      <c r="K28" s="136">
        <f>IFERROR(Model!BF246,"")</f>
        <v>-203.090225803132</v>
      </c>
      <c r="L28" s="137" t="n"/>
      <c r="X28" s="107" t="n"/>
      <c r="Y28" s="107" t="n"/>
      <c r="Z28" s="107" t="n"/>
    </row>
    <row r="29">
      <c r="C29" s="135" t="inlineStr">
        <is>
          <t>Inventories</t>
        </is>
      </c>
      <c r="D29" s="136">
        <f>IFERROR(Model!W247,"")</f>
        <v>-38.35345429</v>
      </c>
      <c r="E29" s="136">
        <f>IFERROR(Model!AB247,"")</f>
        <v>-20.107</v>
      </c>
      <c r="F29" s="136">
        <f>IFERROR(Model!AG247,"")</f>
        <v>-25.666</v>
      </c>
      <c r="G29" s="136">
        <f>IFERROR(Model!AL247,"")</f>
        <v>15.4430418990604</v>
      </c>
      <c r="H29" s="136">
        <f>IFERROR(Model!AQ247,"")</f>
        <v>-15.5800709013718</v>
      </c>
      <c r="I29" s="136">
        <f>IFERROR(Model!AV247,"")</f>
        <v>-16.1447135856748</v>
      </c>
      <c r="J29" s="136">
        <f>IFERROR(Model!BA247,"")</f>
        <v>-16.6011417888375</v>
      </c>
      <c r="K29" s="136">
        <f>IFERROR(Model!BF247,"")</f>
        <v>-16.9323069825341</v>
      </c>
      <c r="L29" s="137" t="n"/>
      <c r="X29" s="107" t="n"/>
      <c r="Y29" s="107" t="n"/>
      <c r="Z29" s="107" t="n"/>
    </row>
    <row r="30">
      <c r="C30" s="135" t="inlineStr">
        <is>
          <t>Deferred income taxes (assets)</t>
        </is>
      </c>
      <c r="D30" s="136">
        <f>IFERROR(Model!W248,"")</f>
        <v>14.26833562</v>
      </c>
      <c r="E30" s="136">
        <f>IFERROR(Model!AB248,"")</f>
        <v>13.878</v>
      </c>
      <c r="F30" s="136">
        <f>IFERROR(Model!AG248,"")</f>
        <v>9.42</v>
      </c>
      <c r="G30" s="136">
        <f>IFERROR(Model!AL248,"")</f>
        <v>0.789</v>
      </c>
      <c r="H30" s="136">
        <f>IFERROR(Model!AQ248,"")</f>
        <v>0</v>
      </c>
      <c r="I30" s="136">
        <f>IFERROR(Model!AV248,"")</f>
        <v>0</v>
      </c>
      <c r="J30" s="136">
        <f>IFERROR(Model!BA248,"")</f>
        <v>0</v>
      </c>
      <c r="K30" s="136">
        <f>IFERROR(Model!BF248,"")</f>
        <v>0</v>
      </c>
      <c r="L30" s="137" t="n"/>
      <c r="X30" s="107" t="n"/>
      <c r="Y30" s="107" t="n"/>
      <c r="Z30" s="107" t="n"/>
    </row>
    <row r="31">
      <c r="C31" s="135" t="inlineStr">
        <is>
          <t>Prepaid expenses</t>
        </is>
      </c>
      <c r="D31" s="136">
        <f>IFERROR(Model!W249,"")</f>
        <v>0</v>
      </c>
      <c r="E31" s="136">
        <f>IFERROR(Model!AB249,"")</f>
        <v>0</v>
      </c>
      <c r="F31" s="136">
        <f>IFERROR(Model!AG249,"")</f>
        <v>0</v>
      </c>
      <c r="G31" s="136">
        <f>IFERROR(Model!AL249,"")</f>
        <v>0</v>
      </c>
      <c r="H31" s="136">
        <f>IFERROR(Model!AQ249,"")</f>
        <v>0</v>
      </c>
      <c r="I31" s="136">
        <f>IFERROR(Model!AV249,"")</f>
        <v>0</v>
      </c>
      <c r="J31" s="136">
        <f>IFERROR(Model!BA249,"")</f>
        <v>0</v>
      </c>
      <c r="K31" s="136">
        <f>IFERROR(Model!BF249,"")</f>
        <v>0</v>
      </c>
      <c r="L31" s="137" t="n"/>
      <c r="X31" s="107" t="n"/>
      <c r="Y31" s="107" t="n"/>
      <c r="Z31" s="107" t="n"/>
    </row>
    <row r="32">
      <c r="C32" s="135" t="inlineStr">
        <is>
          <t>Other current assets</t>
        </is>
      </c>
      <c r="D32" s="136">
        <f>IFERROR(Model!W250,"")</f>
        <v>-110.81176757</v>
      </c>
      <c r="E32" s="136">
        <f>IFERROR(Model!AB250,"")</f>
        <v>-4.81</v>
      </c>
      <c r="F32" s="136">
        <f>IFERROR(Model!AG250,"")</f>
        <v>-87.095</v>
      </c>
      <c r="G32" s="136">
        <f>IFERROR(Model!AL250,"")</f>
        <v>-57.27</v>
      </c>
      <c r="H32" s="136">
        <f>IFERROR(Model!AQ250,"")</f>
        <v>0</v>
      </c>
      <c r="I32" s="136">
        <f>IFERROR(Model!AV250,"")</f>
        <v>0</v>
      </c>
      <c r="J32" s="136">
        <f>IFERROR(Model!BA250,"")</f>
        <v>0</v>
      </c>
      <c r="K32" s="136">
        <f>IFERROR(Model!BF250,"")</f>
        <v>0</v>
      </c>
      <c r="L32" s="137" t="n"/>
      <c r="X32" s="107" t="n"/>
      <c r="Y32" s="107" t="n"/>
      <c r="Z32" s="107" t="n"/>
    </row>
    <row r="33">
      <c r="C33" s="135" t="inlineStr">
        <is>
          <t>Accounts payable</t>
        </is>
      </c>
      <c r="D33" s="136">
        <f>IFERROR(Model!W251,"")</f>
        <v>256.14510359</v>
      </c>
      <c r="E33" s="136">
        <f>IFERROR(Model!AB251,"")</f>
        <v>83.596</v>
      </c>
      <c r="F33" s="136">
        <f>IFERROR(Model!AG251,"")</f>
        <v>96.124</v>
      </c>
      <c r="G33" s="136">
        <f>IFERROR(Model!AL251,"")</f>
        <v>-31.9255509609579</v>
      </c>
      <c r="H33" s="136">
        <f>IFERROR(Model!AQ251,"")</f>
        <v>72.4240710490246</v>
      </c>
      <c r="I33" s="136">
        <f>IFERROR(Model!AV251,"")</f>
        <v>75.048816606612</v>
      </c>
      <c r="J33" s="136">
        <f>IFERROR(Model!BA251,"")</f>
        <v>77.1705263744233</v>
      </c>
      <c r="K33" s="136">
        <f>IFERROR(Model!BF251,"")</f>
        <v>78.7099501465667</v>
      </c>
      <c r="L33" s="137" t="n"/>
      <c r="X33" s="107" t="n"/>
      <c r="Y33" s="107" t="n"/>
      <c r="Z33" s="107" t="n"/>
    </row>
    <row r="34">
      <c r="C34" s="135" t="inlineStr">
        <is>
          <t>Accrued expenses</t>
        </is>
      </c>
      <c r="D34" s="136">
        <f>IFERROR(Model!W252,"")</f>
        <v>111.38870314</v>
      </c>
      <c r="E34" s="136">
        <f>IFERROR(Model!AB252,"")</f>
        <v>42.913</v>
      </c>
      <c r="F34" s="136">
        <f>IFERROR(Model!AG252,"")</f>
        <v>25.73</v>
      </c>
      <c r="G34" s="136">
        <f>IFERROR(Model!AL252,"")</f>
        <v>78.584338818101</v>
      </c>
      <c r="H34" s="136">
        <f>IFERROR(Model!AQ252,"")</f>
        <v>210.952830541528</v>
      </c>
      <c r="I34" s="136">
        <f>IFERROR(Model!AV252,"")</f>
        <v>284.332506789885</v>
      </c>
      <c r="J34" s="136">
        <f>IFERROR(Model!BA252,"")</f>
        <v>375.097544586134</v>
      </c>
      <c r="K34" s="136">
        <f>IFERROR(Model!BF252,"")</f>
        <v>484.099816694252</v>
      </c>
      <c r="L34" s="137" t="n"/>
      <c r="X34" s="107" t="n"/>
      <c r="Y34" s="107" t="n"/>
      <c r="Z34" s="107" t="n"/>
    </row>
    <row r="35">
      <c r="C35" s="135" t="inlineStr">
        <is>
          <t>Taxes payable</t>
        </is>
      </c>
      <c r="D35" s="136">
        <f>IFERROR(Model!W253,"")</f>
        <v>32.66091996</v>
      </c>
      <c r="E35" s="136">
        <f>IFERROR(Model!AB253,"")</f>
        <v>17.998</v>
      </c>
      <c r="F35" s="136">
        <f>IFERROR(Model!AG253,"")</f>
        <v>-1.051</v>
      </c>
      <c r="G35" s="136">
        <f>IFERROR(Model!AL253,"")</f>
        <v>37.7904711218826</v>
      </c>
      <c r="H35" s="136">
        <f>IFERROR(Model!AQ253,"")</f>
        <v>58.7109772632583</v>
      </c>
      <c r="I35" s="136">
        <f>IFERROR(Model!AV253,"")</f>
        <v>79.1335167131589</v>
      </c>
      <c r="J35" s="136">
        <f>IFERROR(Model!BA253,"")</f>
        <v>104.394633412445</v>
      </c>
      <c r="K35" s="136">
        <f>IFERROR(Model!BF253,"")</f>
        <v>134.7314148766</v>
      </c>
      <c r="L35" s="137" t="n"/>
      <c r="X35" s="107" t="n"/>
      <c r="Y35" s="107" t="n"/>
      <c r="Z35" s="107" t="n"/>
    </row>
    <row r="36">
      <c r="C36" s="135" t="inlineStr">
        <is>
          <t>Other current liabilities</t>
        </is>
      </c>
      <c r="D36" s="136">
        <f>IFERROR(Model!W254,"")</f>
        <v>17.18426759</v>
      </c>
      <c r="E36" s="136">
        <f>IFERROR(Model!AB254,"")</f>
        <v>-17.235</v>
      </c>
      <c r="F36" s="136">
        <f>IFERROR(Model!AG254,"")</f>
        <v>292.074</v>
      </c>
      <c r="G36" s="136">
        <f>IFERROR(Model!AL254,"")</f>
        <v>-218.251</v>
      </c>
      <c r="H36" s="136">
        <f>IFERROR(Model!AQ254,"")</f>
        <v>0</v>
      </c>
      <c r="I36" s="136">
        <f>IFERROR(Model!AV254,"")</f>
        <v>0</v>
      </c>
      <c r="J36" s="136">
        <f>IFERROR(Model!BA254,"")</f>
        <v>0</v>
      </c>
      <c r="K36" s="136">
        <f>IFERROR(Model!BF254,"")</f>
        <v>0</v>
      </c>
      <c r="L36" s="137" t="n"/>
      <c r="X36" s="107" t="n"/>
      <c r="Y36" s="107" t="n"/>
      <c r="Z36" s="107" t="n"/>
    </row>
    <row r="37">
      <c r="C37" s="135" t="inlineStr">
        <is>
          <t>Deferred tax (liabilities)</t>
        </is>
      </c>
      <c r="D37" s="136">
        <f>IFERROR(Model!W255,"")</f>
        <v>182.94387576</v>
      </c>
      <c r="E37" s="136">
        <f>IFERROR(Model!AB255,"")</f>
        <v>-8.73699999999997</v>
      </c>
      <c r="F37" s="136">
        <f>IFERROR(Model!AG255,"")</f>
        <v>-14.2560000000001</v>
      </c>
      <c r="G37" s="136">
        <f>IFERROR(Model!AL255,"")</f>
        <v>-30.187</v>
      </c>
      <c r="H37" s="136">
        <f>IFERROR(Model!AQ255,"")</f>
        <v>0</v>
      </c>
      <c r="I37" s="136">
        <f>IFERROR(Model!AV255,"")</f>
        <v>0</v>
      </c>
      <c r="J37" s="136">
        <f>IFERROR(Model!BA255,"")</f>
        <v>0</v>
      </c>
      <c r="K37" s="136">
        <f>IFERROR(Model!BF255,"")</f>
        <v>0</v>
      </c>
      <c r="L37" s="137" t="n"/>
      <c r="X37" s="107" t="n"/>
      <c r="Y37" s="107" t="n"/>
      <c r="Z37" s="107" t="n"/>
    </row>
    <row r="38">
      <c r="C38" s="135" t="inlineStr">
        <is>
          <t>Other non-current assets</t>
        </is>
      </c>
      <c r="D38" s="136">
        <f>IFERROR((Model!W155-Model!R155)*-1,"")</f>
        <v>1.96403408</v>
      </c>
      <c r="E38" s="136">
        <f>IFERROR((Model!AB155-Model!W155)*-1,"")</f>
        <v>-26.809</v>
      </c>
      <c r="F38" s="136">
        <f>IFERROR((Model!AG155-Model!AB155)*-1,"")</f>
        <v>-3.31100000000001</v>
      </c>
      <c r="G38" s="136">
        <f>IFERROR((Model!AL155-Model!AG155)*-1,"")</f>
        <v>18.167</v>
      </c>
      <c r="H38" s="136">
        <f>IFERROR((Model!AQ155-Model!AL155)*-1,"")</f>
        <v>0</v>
      </c>
      <c r="I38" s="136">
        <f>IFERROR((Model!AV155-Model!AQ155)*-1,"")</f>
        <v>0</v>
      </c>
      <c r="J38" s="136">
        <f>IFERROR((Model!BA155-Model!AV155)*-1,"")</f>
        <v>0</v>
      </c>
      <c r="K38" s="136">
        <f>IFERROR((Model!BF155-Model!BA155)*-1,"")</f>
        <v>0</v>
      </c>
      <c r="L38" s="137" t="n"/>
      <c r="X38" s="107" t="n"/>
      <c r="Y38" s="107" t="n"/>
      <c r="Z38" s="107" t="n"/>
    </row>
    <row r="39">
      <c r="C39" s="135" t="inlineStr">
        <is>
          <t>Other non-current liabilities</t>
        </is>
      </c>
      <c r="D39" s="136">
        <f>IFERROR(Model!W206-Model!R206,"")</f>
        <v>133.91623305</v>
      </c>
      <c r="E39" s="136">
        <f>IFERROR(Model!AB206-Model!W206,"")</f>
        <v>2.923</v>
      </c>
      <c r="F39" s="136">
        <f>IFERROR(Model!AG206-Model!AB206,"")</f>
        <v>75.145</v>
      </c>
      <c r="G39" s="136">
        <f>IFERROR(Model!AL206-Model!AG206,"")</f>
        <v>-12.601</v>
      </c>
      <c r="H39" s="136">
        <f>IFERROR(Model!AQ206-Model!AL206,"")</f>
        <v>0</v>
      </c>
      <c r="I39" s="136">
        <f>IFERROR(Model!AV206-Model!AQ206,"")</f>
        <v>0</v>
      </c>
      <c r="J39" s="136">
        <f>IFERROR(Model!BA206-Model!AV206,"")</f>
        <v>0</v>
      </c>
      <c r="K39" s="136">
        <f>IFERROR(Model!BF206-Model!BA206,"")</f>
        <v>0</v>
      </c>
      <c r="L39" s="137" t="n"/>
      <c r="X39" s="107" t="n"/>
      <c r="Y39" s="107" t="n"/>
      <c r="Z39" s="107" t="n"/>
    </row>
    <row r="40">
      <c r="C40" s="135" t="inlineStr">
        <is>
          <t>Capital expenditures</t>
        </is>
      </c>
      <c r="D40" s="136">
        <f>IFERROR(Model!W261,"")</f>
        <v>-1097.987195017</v>
      </c>
      <c r="E40" s="136">
        <f>IFERROR(Model!AB261,"")</f>
        <v>-806.556</v>
      </c>
      <c r="F40" s="136">
        <f>IFERROR(Model!AG261,"")</f>
        <v>-904.50092953</v>
      </c>
      <c r="G40" s="136">
        <f>IFERROR(Model!AL261,"")</f>
        <v>-973.458074397356</v>
      </c>
      <c r="H40" s="136">
        <f>IFERROR(Model!AQ261,"")</f>
        <v>-1080.45487100099</v>
      </c>
      <c r="I40" s="136">
        <f>IFERROR(Model!AV261,"")</f>
        <v>-1176.91432740703</v>
      </c>
      <c r="J40" s="136">
        <f>IFERROR(Model!BA261,"")</f>
        <v>-1276.10079511195</v>
      </c>
      <c r="K40" s="136">
        <f>IFERROR(Model!BF261,"")</f>
        <v>-1377.26586803617</v>
      </c>
      <c r="L40" s="137" t="n"/>
      <c r="X40" s="107" t="n"/>
      <c r="Y40" s="107" t="n"/>
      <c r="Z40" s="107" t="n"/>
    </row>
    <row r="41">
      <c r="C41" s="135" t="inlineStr">
        <is>
          <t>Capital expenditures [IFRS16 - implied lease payments]</t>
        </is>
      </c>
      <c r="D41" s="251">
        <f>IFERROR(0,"")</f>
        <v>0</v>
      </c>
      <c r="E41" s="251">
        <f>IFERROR(0,"")</f>
        <v>0</v>
      </c>
      <c r="F41" s="136">
        <f>IFERROR(0,"")</f>
        <v>0</v>
      </c>
      <c r="G41" s="136">
        <f>IFERROR(0,"")</f>
        <v>0</v>
      </c>
      <c r="H41" s="136">
        <f>IFERROR(0,"")</f>
        <v>0</v>
      </c>
      <c r="I41" s="136">
        <f>IFERROR(0,"")</f>
        <v>0</v>
      </c>
      <c r="J41" s="136">
        <f>IFERROR(0,"")</f>
        <v>0</v>
      </c>
      <c r="K41" s="136">
        <f>IFERROR(0,"")</f>
        <v>0</v>
      </c>
      <c r="L41" s="137" t="n"/>
      <c r="X41" s="107" t="n"/>
      <c r="Y41" s="107" t="n"/>
      <c r="Z41" s="107" t="n"/>
    </row>
    <row r="42">
      <c r="C42" s="138" t="inlineStr">
        <is>
          <t>Purchase of intangible assets</t>
        </is>
      </c>
      <c r="D42" s="139">
        <f>IFERROR(0,"")</f>
        <v>0</v>
      </c>
      <c r="E42" s="139">
        <f>IFERROR(0,"")</f>
        <v>0</v>
      </c>
      <c r="F42" s="139">
        <f>IFERROR(0,"")</f>
        <v>0</v>
      </c>
      <c r="G42" s="139">
        <f>IFERROR(0,"")</f>
        <v>0</v>
      </c>
      <c r="H42" s="139">
        <f>IFERROR(0,"")</f>
        <v>0</v>
      </c>
      <c r="I42" s="139">
        <f>IFERROR(0,"")</f>
        <v>0</v>
      </c>
      <c r="J42" s="139">
        <f>IFERROR(0,"")</f>
        <v>0</v>
      </c>
      <c r="K42" s="139">
        <f>IFERROR(0,"")</f>
        <v>0</v>
      </c>
      <c r="L42" s="140" t="n"/>
      <c r="M42" s="141" t="n"/>
      <c r="X42" s="107" t="n"/>
      <c r="Y42" s="107" t="n"/>
      <c r="Z42" s="107" t="n"/>
      <c r="AB42" s="102" t="n"/>
    </row>
    <row r="43">
      <c r="X43" s="107" t="n"/>
      <c r="Y43" s="107" t="n"/>
      <c r="Z43" s="107" t="n"/>
    </row>
    <row r="44">
      <c r="C44" s="112" t="inlineStr">
        <is>
          <t>Net Investments</t>
        </is>
      </c>
      <c r="D44" s="133">
        <f>IFERROR(SUM(D27,D40:D42,D26),"")</f>
        <v>-605.528060177</v>
      </c>
      <c r="E44" s="133">
        <f>IFERROR(SUM(E27,E40:E42,E26),"")</f>
        <v>-48.7870000000001</v>
      </c>
      <c r="F44" s="133">
        <f>IFERROR(SUM(F27,F40:F42,F26),"")</f>
        <v>178.828</v>
      </c>
      <c r="G44" s="133">
        <f>IFERROR(SUM(G27,G40:G42,G26),"")</f>
        <v>-474.061601282837</v>
      </c>
      <c r="H44" s="133">
        <f>IFERROR(SUM(H27,H40:H42,H26),"")</f>
        <v>119.642756944207</v>
      </c>
      <c r="I44" s="133">
        <f>IFERROR(SUM(I27,I40:I42,I26),"")</f>
        <v>206.94762585229</v>
      </c>
      <c r="J44" s="133">
        <f>IFERROR(SUM(J27,J40:J42,J26),"")</f>
        <v>317.329099678444</v>
      </c>
      <c r="K44" s="133">
        <f>IFERROR(SUM(K27,K40:K42,K26),"")</f>
        <v>452.032270531994</v>
      </c>
      <c r="L44" s="133" t="n"/>
      <c r="M44" s="142" t="n"/>
      <c r="N44" s="133" t="n"/>
      <c r="O44" s="133" t="n"/>
      <c r="P44" s="133" t="n"/>
      <c r="Q44" s="133" t="n"/>
      <c r="R44" s="133" t="n"/>
      <c r="S44" s="133" t="n"/>
      <c r="T44" s="133" t="n"/>
      <c r="U44" s="133" t="n"/>
      <c r="V44" s="134" t="n"/>
      <c r="X44" s="107" t="n"/>
      <c r="Y44" s="141" t="n"/>
      <c r="Z44" s="107" t="n"/>
    </row>
    <row r="45">
      <c r="C45" s="143" t="n"/>
      <c r="D45" s="141" t="n"/>
      <c r="E45" s="141" t="n"/>
      <c r="F45" s="141" t="n"/>
      <c r="G45" s="141" t="n"/>
      <c r="H45" s="141" t="n"/>
      <c r="I45" s="141" t="n"/>
      <c r="J45" s="141" t="n"/>
      <c r="K45" s="141" t="n"/>
      <c r="L45" s="141" t="n"/>
      <c r="V45" s="144" t="n"/>
      <c r="X45" s="107" t="n"/>
      <c r="Y45" s="107" t="n"/>
      <c r="Z45" s="107" t="n"/>
    </row>
    <row r="46">
      <c r="C46" s="143" t="inlineStr">
        <is>
          <t>Invested Capital</t>
        </is>
      </c>
      <c r="D46" s="136">
        <f>IFERROR(Model!W316,"")</f>
        <v>9191.191</v>
      </c>
      <c r="E46" s="136">
        <f>IFERROR(Model!AB316,"")</f>
        <v>9154.701</v>
      </c>
      <c r="F46" s="136">
        <f>IFERROR(Model!AG316,"")</f>
        <v>8965.836</v>
      </c>
      <c r="G46" s="136">
        <f>IFERROR(Model!AL316,"")</f>
        <v>9535.35860128284</v>
      </c>
      <c r="H46" s="136">
        <f>IFERROR(Model!AQ316,"")</f>
        <v>9415.71584433863</v>
      </c>
      <c r="I46" s="136">
        <f>IFERROR(Model!AV316,"")</f>
        <v>9208.76821848634</v>
      </c>
      <c r="J46" s="136">
        <f>IFERROR(Model!BA316,"")</f>
        <v>8891.4391188079</v>
      </c>
      <c r="K46" s="136">
        <f>IFERROR(Model!BF316,"")</f>
        <v>8439.4068482759</v>
      </c>
      <c r="L46" s="136" t="n"/>
      <c r="M46" s="145" t="n"/>
      <c r="N46" s="145" t="n"/>
      <c r="O46" s="145" t="n"/>
      <c r="P46" s="145" t="n"/>
      <c r="Q46" s="145" t="n"/>
      <c r="R46" s="145" t="n"/>
      <c r="S46" s="145" t="n"/>
      <c r="T46" s="145" t="n"/>
      <c r="U46" s="145" t="n"/>
      <c r="V46" s="146" t="n"/>
      <c r="X46" s="141" t="n"/>
      <c r="Y46" s="141" t="n"/>
      <c r="Z46" s="107" t="n"/>
    </row>
    <row r="47">
      <c r="C47" s="143" t="inlineStr">
        <is>
          <t>Invested Capital (ex Goodwill)</t>
        </is>
      </c>
      <c r="D47" s="136">
        <f>IFERROR(Model!W317,"")</f>
        <v>9191.191</v>
      </c>
      <c r="E47" s="136">
        <f>IFERROR(Model!AB317,"")</f>
        <v>9154.701</v>
      </c>
      <c r="F47" s="136">
        <f>IFERROR(Model!AG317,"")</f>
        <v>8965.836</v>
      </c>
      <c r="G47" s="136">
        <f>IFERROR(Model!AL317,"")</f>
        <v>9535.35860128284</v>
      </c>
      <c r="H47" s="136">
        <f>IFERROR(Model!AQ317,"")</f>
        <v>9415.71584433863</v>
      </c>
      <c r="I47" s="136">
        <f>IFERROR(Model!AV317,"")</f>
        <v>9208.76821848634</v>
      </c>
      <c r="J47" s="136">
        <f>IFERROR(Model!BA317,"")</f>
        <v>8891.4391188079</v>
      </c>
      <c r="K47" s="136">
        <f>IFERROR(Model!BF317,"")</f>
        <v>8439.4068482759</v>
      </c>
      <c r="L47" s="136" t="n"/>
      <c r="V47" s="144" t="n"/>
      <c r="X47" s="107" t="n"/>
      <c r="Y47" s="107" t="n"/>
      <c r="Z47" s="107" t="n"/>
    </row>
    <row r="48">
      <c r="C48" s="116" t="inlineStr">
        <is>
          <t>Invested Capital / Net Revenues</t>
        </is>
      </c>
      <c r="D48" s="122">
        <f>IFERROR(IF(D18=0,"",D46/D18),"")</f>
        <v>1.42039932929986</v>
      </c>
      <c r="E48" s="122">
        <f>IFERROR(IF(E18=0,"",E46/E18),"")</f>
        <v>1.19129567102457</v>
      </c>
      <c r="F48" s="122">
        <f>IFERROR(IF(F18=0,"",F46/F18),"")</f>
        <v>1.08137012514387</v>
      </c>
      <c r="G48" s="122">
        <f>IFERROR(IF(G18=0,"",G46/G18),"")</f>
        <v>1.03733483195818</v>
      </c>
      <c r="H48" s="122">
        <f>IFERROR(IF(H18=0,"",H46/H18),"")</f>
        <v>0.936069549916724</v>
      </c>
      <c r="I48" s="122">
        <f>IFERROR(IF(I18=0,"",I46/I18),"")</f>
        <v>0.84046203112877</v>
      </c>
      <c r="J48" s="122">
        <f>IFERROR(IF(J18=0,"",J46/J18),"")</f>
        <v>0.748425344828246</v>
      </c>
      <c r="K48" s="122">
        <f>IFERROR(IF(K18=0,"",K46/K18),"")</f>
        <v>0.658196464887492</v>
      </c>
      <c r="L48" s="122" t="n"/>
      <c r="M48" s="147" t="n"/>
      <c r="N48" s="147" t="n"/>
      <c r="O48" s="147" t="n"/>
      <c r="P48" s="147" t="n"/>
      <c r="Q48" s="147" t="n"/>
      <c r="R48" s="147" t="n"/>
      <c r="S48" s="147" t="n"/>
      <c r="T48" s="147" t="n"/>
      <c r="U48" s="147" t="n"/>
      <c r="V48" s="148" t="n"/>
      <c r="X48" s="106" t="n"/>
      <c r="Y48" s="107" t="n"/>
      <c r="Z48" s="107" t="n"/>
    </row>
    <row r="49">
      <c r="X49" s="107" t="n"/>
      <c r="Y49" s="107" t="n"/>
      <c r="Z49" s="107" t="n"/>
    </row>
    <row r="50">
      <c r="C50" s="149" t="inlineStr">
        <is>
          <t>ROIC</t>
        </is>
      </c>
      <c r="D50" s="150">
        <f>IFERROR(IF(D46=0,"",D25/D46),"")</f>
        <v>0.0789078308564964</v>
      </c>
      <c r="E50" s="150">
        <f>IFERROR(IF(E46=0,"",E25/E46),"")</f>
        <v>0.100946802707478</v>
      </c>
      <c r="F50" s="150">
        <f>IFERROR(IF(F46=0,"",F25/F46),"")</f>
        <v>0.109598227467988</v>
      </c>
      <c r="G50" s="150">
        <f>IFERROR(IF(G46=0,"",G25/G46),"")</f>
        <v>0.125242070288081</v>
      </c>
      <c r="H50" s="150">
        <f>IFERROR(IF(H46=0,"",H25/H46),"")</f>
        <v>0.134215960494831</v>
      </c>
      <c r="I50" s="150">
        <f>IFERROR(IF(I46=0,"",I25/I46),"")</f>
        <v>0.149483818517422</v>
      </c>
      <c r="J50" s="150">
        <f>IFERROR(IF(J46=0,"",J25/J46),"")</f>
        <v>0.167866407251172</v>
      </c>
      <c r="K50" s="150">
        <f>IFERROR(IF(K46=0,"",K25/K46),"")</f>
        <v>0.190878378165572</v>
      </c>
      <c r="L50" s="150" t="n"/>
      <c r="M50" s="151" t="n"/>
      <c r="N50" s="151" t="n"/>
      <c r="O50" s="151" t="n"/>
      <c r="P50" s="151" t="n"/>
      <c r="Q50" s="151" t="n"/>
      <c r="R50" s="151" t="n"/>
      <c r="S50" s="151" t="n"/>
      <c r="T50" s="151" t="n"/>
      <c r="U50" s="151" t="n"/>
      <c r="V50" s="152" t="n"/>
      <c r="X50" s="115" t="n"/>
      <c r="Y50" s="115" t="n"/>
      <c r="Z50" s="153" t="n"/>
    </row>
    <row r="51">
      <c r="C51" s="102" t="inlineStr">
        <is>
          <t>Capital Turnover</t>
        </is>
      </c>
      <c r="D51" s="154">
        <f>IFERROR(IF(D46=0,"",D18/D46),"")</f>
        <v>0.704027367073538</v>
      </c>
      <c r="E51" s="154">
        <f>IFERROR(IF(E46=0,"",E18/E46),"")</f>
        <v>0.839422172280668</v>
      </c>
      <c r="F51" s="154">
        <f>IFERROR(IF(F46=0,"",F18/F46),"")</f>
        <v>0.924752752779217</v>
      </c>
      <c r="G51" s="154">
        <f>IFERROR(IF(G46=0,"",G18/G46),"")</f>
        <v>0.964008890082571</v>
      </c>
      <c r="H51" s="154">
        <f>IFERROR(IF(H46=0,"",H18/H46),"")</f>
        <v>1.06829668809221</v>
      </c>
      <c r="I51" s="154">
        <f>IFERROR(IF(I46=0,"",I18/I46),"")</f>
        <v>1.18982174442427</v>
      </c>
      <c r="J51" s="154">
        <f>IFERROR(IF(J46=0,"",J18/J46),"")</f>
        <v>1.33613861009676</v>
      </c>
      <c r="K51" s="154">
        <f>IFERROR(IF(K46=0,"",K18/K46),"")</f>
        <v>1.51930320709172</v>
      </c>
      <c r="L51" s="154" t="n"/>
      <c r="M51" s="154" t="n"/>
      <c r="N51" s="154" t="n"/>
      <c r="O51" s="154" t="n"/>
      <c r="P51" s="154" t="n"/>
      <c r="Q51" s="154" t="n"/>
      <c r="R51" s="154" t="n"/>
      <c r="S51" s="154" t="n"/>
      <c r="T51" s="154" t="n"/>
      <c r="U51" s="154" t="n"/>
      <c r="V51" s="154" t="n"/>
    </row>
    <row r="52"/>
    <row r="53" customFormat="1" s="102">
      <c r="A53" s="251" t="n"/>
      <c r="B53" s="251" t="n"/>
      <c r="C53" s="102" t="inlineStr">
        <is>
          <t>Unlevered free cash flows = FCFF</t>
        </is>
      </c>
      <c r="D53" s="155">
        <f>IFERROR(D25+D44,"")</f>
        <v>119.728884620752</v>
      </c>
      <c r="E53" s="155">
        <f>IFERROR(E25+E44,"")</f>
        <v>875.350795692955</v>
      </c>
      <c r="F53" s="155">
        <f>IFERROR(F25+F44,"")</f>
        <v>1161.46773336867</v>
      </c>
      <c r="G53" s="156">
        <f>IFERROR(G25+G44,"")</f>
        <v>720.166450881089</v>
      </c>
      <c r="H53" s="155">
        <f>IFERROR(H25+H44,"")</f>
        <v>1383.38210273851</v>
      </c>
      <c r="I53" s="155">
        <f>IFERROR(I25+I44,"")</f>
        <v>1583.50946299351</v>
      </c>
      <c r="J53" s="155">
        <f>IFERROR(J25+J44,"")</f>
        <v>1809.90303984525</v>
      </c>
      <c r="K53" s="155">
        <f>IFERROR(K25+K44,"")</f>
        <v>2062.93256241032</v>
      </c>
      <c r="L53" s="155" t="n"/>
      <c r="M53" s="155" t="n"/>
      <c r="N53" s="155" t="n"/>
      <c r="O53" s="155" t="n"/>
      <c r="P53" s="155" t="n"/>
      <c r="Q53" s="155" t="n"/>
      <c r="R53" s="155" t="n"/>
      <c r="S53" s="155" t="n"/>
      <c r="T53" s="155" t="n"/>
      <c r="U53" s="155" t="n"/>
      <c r="V53" s="155" t="n"/>
    </row>
    <row r="54">
      <c r="C54" s="157" t="inlineStr">
        <is>
          <t>Discount factor</t>
        </is>
      </c>
      <c r="G54" s="158" t="str">
        <f>IFERROR(IF(Control!E12="","",1/(1+Control!E12)^Control!B13),"")</f>
        <v/>
      </c>
      <c r="H54" s="158" t="str">
        <f>IFERROR(IF(G54="","",G54/(1+Control!E12)),"")</f>
        <v/>
      </c>
      <c r="I54" s="158" t="str">
        <f>IFERROR(IF(H54="","",H54/(1+Control!E12)),"")</f>
        <v/>
      </c>
      <c r="J54" s="158" t="str">
        <f>IFERROR(IF(I54="","",I54/(1+Control!E12)),"")</f>
        <v/>
      </c>
      <c r="K54" s="158" t="str">
        <f>IFERROR(IF(J54="","",J54/(1+Control!E12)),"")</f>
        <v/>
      </c>
      <c r="L54" s="158" t="n"/>
      <c r="M54" s="158" t="n"/>
      <c r="N54" s="158" t="n"/>
      <c r="O54" s="158" t="n"/>
      <c r="P54" s="158" t="n"/>
      <c r="Q54" s="158" t="n"/>
      <c r="R54" s="158" t="n"/>
      <c r="S54" s="158" t="n"/>
      <c r="T54" s="158" t="n"/>
      <c r="U54" s="158" t="n"/>
      <c r="V54" s="158" t="n"/>
    </row>
    <row r="55">
      <c r="C55" s="157" t="inlineStr">
        <is>
          <t>Midyear adjustment factor</t>
        </is>
      </c>
      <c r="G55" s="159" t="str">
        <f>IFERROR(IF(Control!E12="","",(1+Control!E12)^0.5),"")</f>
        <v/>
      </c>
      <c r="H55" s="158" t="str">
        <f>IFERROR(G55,"")</f>
        <v/>
      </c>
      <c r="I55" s="158" t="str">
        <f>IFERROR(H55,"")</f>
        <v/>
      </c>
      <c r="J55" s="158" t="str">
        <f>IFERROR(I55,"")</f>
        <v/>
      </c>
      <c r="K55" s="158" t="str">
        <f>IFERROR(J55,"")</f>
        <v/>
      </c>
      <c r="L55" s="158" t="n"/>
      <c r="M55" s="158" t="n"/>
      <c r="N55" s="158" t="n"/>
      <c r="O55" s="158" t="n"/>
      <c r="P55" s="158" t="n"/>
      <c r="Q55" s="158" t="n"/>
      <c r="R55" s="158" t="n"/>
      <c r="S55" s="158" t="n"/>
      <c r="T55" s="158" t="n"/>
      <c r="U55" s="158" t="n"/>
      <c r="V55" s="158" t="n"/>
    </row>
    <row r="56">
      <c r="C56" s="157" t="inlineStr">
        <is>
          <t>Present value of free cash flows</t>
        </is>
      </c>
      <c r="G56" s="141" t="str">
        <f>IFERROR(IF(G54="","",G53*G54*G55),"")</f>
        <v/>
      </c>
      <c r="H56" s="141" t="str">
        <f>IFERROR(IF(H54="","",H53*H54*H55),"")</f>
        <v/>
      </c>
      <c r="I56" s="141" t="str">
        <f>IFERROR(IF(I54="","",I53*I54*I55),"")</f>
        <v/>
      </c>
      <c r="J56" s="141" t="str">
        <f>IFERROR(IF(J54="","",J53*J54*J55),"")</f>
        <v/>
      </c>
      <c r="K56" s="141" t="str">
        <f>IFERROR(IF(K54="","",K53*K54*K55),"")</f>
        <v/>
      </c>
      <c r="L56" s="141" t="n"/>
      <c r="M56" s="141" t="n"/>
      <c r="N56" s="141" t="n"/>
      <c r="O56" s="141" t="n"/>
      <c r="P56" s="141" t="n"/>
      <c r="Q56" s="141" t="n"/>
      <c r="R56" s="141" t="n"/>
      <c r="S56" s="141" t="n"/>
      <c r="T56" s="141" t="n"/>
      <c r="U56" s="141" t="n"/>
      <c r="V56" s="141" t="n"/>
    </row>
    <row r="57">
      <c r="C57" s="102" t="inlineStr">
        <is>
          <t>Sum of present values of FCFs</t>
        </is>
      </c>
      <c r="G57" s="155" t="str">
        <f>IFERROR(IF(COUNT(G56:K56)=0,"",SUM(G56:K56)),"")</f>
        <v/>
      </c>
      <c r="H57" s="141" t="n"/>
      <c r="N57" s="160" t="n"/>
    </row>
    <row r="58"/>
    <row r="59">
      <c r="C59" s="102" t="n"/>
      <c r="D59" s="95">
        <f>IFERROR(IF(Control!B9="","",Control!B9),"")</f>
        <v>47848.0</v>
      </c>
      <c r="E59" s="161" t="n"/>
      <c r="F59" s="162" t="n"/>
      <c r="G59" s="162" t="n"/>
      <c r="H59" s="95">
        <f>IFERROR(IF(Control!B7="","",Control!B7),"")</f>
        <v>46203.0</v>
      </c>
      <c r="I59" s="162" t="n"/>
      <c r="J59" s="162" t="n"/>
      <c r="K59" s="162" t="n"/>
      <c r="L59" s="162" t="n"/>
    </row>
    <row r="60" ht="13.5" customHeight="1">
      <c r="C60" s="163" t="inlineStr">
        <is>
          <t>Terminal value</t>
        </is>
      </c>
      <c r="D60" s="164" t="n"/>
      <c r="E60" s="165" t="inlineStr">
        <is>
          <t>Equity value calculations</t>
        </is>
      </c>
      <c r="F60" s="166" t="n"/>
      <c r="G60" s="166" t="n"/>
      <c r="H60" s="166" t="n"/>
      <c r="I60" s="167" t="inlineStr">
        <is>
          <t xml:space="preserve"> Shares Outstanding Worksheet</t>
        </is>
      </c>
      <c r="J60" s="168" t="n"/>
      <c r="K60" s="169" t="n"/>
      <c r="L60" s="170" t="n"/>
    </row>
    <row r="61">
      <c r="C61" s="143" t="n"/>
      <c r="D61" s="144" t="n"/>
      <c r="I61" s="143" t="n"/>
      <c r="L61" s="144" t="n"/>
    </row>
    <row r="62">
      <c r="C62" s="171" t="inlineStr">
        <is>
          <t>Key value driver method</t>
        </is>
      </c>
      <c r="D62" s="172" t="n"/>
      <c r="E62" s="173" t="inlineStr">
        <is>
          <t>Enterprise value</t>
        </is>
      </c>
      <c r="H62" s="155" t="str">
        <f>IFERROR(D80,"")</f>
        <v/>
      </c>
      <c r="I62" s="174" t="inlineStr">
        <is>
          <t>Basic Shares Outanding :</t>
        </is>
      </c>
      <c r="J62" s="97" t="n"/>
      <c r="L62" s="175" t="n"/>
    </row>
    <row r="63" ht="13.5" customHeight="1">
      <c r="C63" s="171" t="inlineStr">
        <is>
          <t>g</t>
        </is>
      </c>
      <c r="D63" s="176" t="str">
        <f>IFERROR(IF(Control!E13="","",Control!E13),"")</f>
        <v/>
      </c>
      <c r="E63" s="157" t="inlineStr">
        <is>
          <t>Calculation of net debt:</t>
        </is>
      </c>
      <c r="H63" s="141" t="n"/>
      <c r="I63" s="174" t="inlineStr">
        <is>
          <t>Current Share Price:</t>
        </is>
      </c>
      <c r="L63" s="177" t="n"/>
    </row>
    <row r="64" ht="13.5" customHeight="1">
      <c r="C64" s="171" t="inlineStr">
        <is>
          <t>RONIC</t>
        </is>
      </c>
      <c r="D64" s="178">
        <f>IFERROR(K50,"")</f>
        <v>0.190878378165572</v>
      </c>
      <c r="E64" s="157" t="inlineStr">
        <is>
          <t>Current portion of long-term debt</t>
        </is>
      </c>
      <c r="H64" s="137">
        <f>IFERROR(INDEX(Model!$I$178:$BF$178,1,MATCH(Control!$B$7,Model!$I$5:$BF$5,0)),"")</f>
        <v>667.641</v>
      </c>
      <c r="I64" s="179" t="inlineStr">
        <is>
          <t>Options / Warrants Data</t>
        </is>
      </c>
      <c r="J64" s="109" t="n"/>
      <c r="K64" s="109" t="n"/>
      <c r="L64" s="180" t="n"/>
    </row>
    <row r="65">
      <c r="C65" s="171" t="inlineStr">
        <is>
          <t>NOPLAT (t+1)</t>
        </is>
      </c>
      <c r="D65" s="181" t="str">
        <f>IFERROR(K25*(1+D63),"")</f>
        <v/>
      </c>
      <c r="E65" s="157" t="inlineStr">
        <is>
          <t>Short term debt</t>
        </is>
      </c>
      <c r="H65" s="137">
        <f>IFERROR(INDEX(Model!$I$179:$BF$179,1,MATCH(Control!$B$7,Model!$I$5:$BF$5,0)),"")</f>
        <v>0</v>
      </c>
      <c r="I65" s="179" t="n"/>
      <c r="J65" s="182" t="inlineStr">
        <is>
          <t># of options</t>
        </is>
      </c>
      <c r="K65" s="182" t="inlineStr">
        <is>
          <t xml:space="preserve">$ strike </t>
        </is>
      </c>
      <c r="L65" s="180" t="n"/>
    </row>
    <row r="66">
      <c r="C66" s="171" t="inlineStr">
        <is>
          <t>Terminal value</t>
        </is>
      </c>
      <c r="D66" s="181" t="str">
        <f>IFERROR(IF(OR(Control!E12="",D64="",D64&lt;=D63,Control!E12&lt;=D63),"",(D65*(1-D63/D64))/(Control!E12-D63)),"")</f>
        <v/>
      </c>
      <c r="E66" s="157" t="inlineStr">
        <is>
          <t>Long term debt</t>
        </is>
      </c>
      <c r="H66" s="137">
        <f>IFERROR(INDEX(Model!$I$183:$BF$183,1,MATCH(Control!$B$7,Model!$I$5:$BF$5,0)),"")</f>
        <v>3792.502</v>
      </c>
      <c r="I66" s="157" t="inlineStr">
        <is>
          <t>Batch 1</t>
        </is>
      </c>
      <c r="J66" s="183" t="n"/>
      <c r="K66" s="184" t="n"/>
      <c r="L66" s="185" t="n"/>
    </row>
    <row r="67">
      <c r="C67" s="171" t="inlineStr">
        <is>
          <t>Midyear adjusted terminal value</t>
        </is>
      </c>
      <c r="D67" s="181" t="str">
        <f>IFERROR(IF(D66="","",D66*K55),"")</f>
        <v/>
      </c>
      <c r="E67" s="157" t="inlineStr">
        <is>
          <t>Convertible debt</t>
        </is>
      </c>
      <c r="H67" s="137">
        <f>IFERROR(INDEX(Model!$I$204:$BF$204,1,MATCH(Control!$B$7,Model!$I$5:$BF$5,0)),"")</f>
        <v>0</v>
      </c>
      <c r="I67" s="157" t="inlineStr">
        <is>
          <t>Batch 2</t>
        </is>
      </c>
      <c r="J67" s="186" t="n"/>
      <c r="K67" s="187" t="n"/>
      <c r="L67" s="185" t="n"/>
    </row>
    <row r="68">
      <c r="C68" s="171" t="inlineStr">
        <is>
          <t>Present value of terminal value</t>
        </is>
      </c>
      <c r="D68" s="181" t="str">
        <f>IFERROR(IF(D67="","",D67*K54),"")</f>
        <v/>
      </c>
      <c r="E68" s="157" t="inlineStr">
        <is>
          <t>Minority interest</t>
        </is>
      </c>
      <c r="H68" s="137">
        <f>IFERROR(INDEX(Model!$I$214:$BF$214,1,MATCH(Control!$B$7,Model!$I$5:$BF$5,0)),"")</f>
        <v>100.794</v>
      </c>
      <c r="I68" s="157" t="inlineStr">
        <is>
          <t>Batch 3</t>
        </is>
      </c>
      <c r="J68" s="186" t="n"/>
      <c r="K68" s="187" t="n"/>
      <c r="L68" s="185" t="n"/>
    </row>
    <row r="69">
      <c r="C69" s="174" t="inlineStr">
        <is>
          <t>Enterprise value</t>
        </is>
      </c>
      <c r="D69" s="188" t="str">
        <f>IFERROR(IF(OR(D68="",G57=""),"",D68+G57),"")</f>
        <v/>
      </c>
      <c r="E69" s="157" t="inlineStr">
        <is>
          <t>Convertible preferred stock</t>
        </is>
      </c>
      <c r="H69" s="137">
        <f>IFERROR(INDEX(Model!$I$219:$BF$219,1,MATCH(Control!$B$7,Model!$I$5:$BF$5,0)),"")</f>
        <v>0</v>
      </c>
      <c r="I69" s="157" t="inlineStr">
        <is>
          <t>Batch 4</t>
        </is>
      </c>
      <c r="J69" s="186" t="n"/>
      <c r="K69" s="187" t="n"/>
      <c r="L69" s="185" t="n"/>
    </row>
    <row r="70">
      <c r="C70" s="143" t="n"/>
      <c r="D70" s="144" t="n"/>
      <c r="E70" s="157" t="inlineStr">
        <is>
          <t>Short term operating leases</t>
        </is>
      </c>
      <c r="H70" s="137">
        <f>IFERROR(INDEX(Model!$I$180:$BF$180,1,MATCH(Control!$B$7,Model!$I$5:$BF$5,0)),"")</f>
        <v>319.569</v>
      </c>
      <c r="I70" s="157" t="inlineStr">
        <is>
          <t>Batch 5</t>
        </is>
      </c>
      <c r="J70" s="186" t="n"/>
      <c r="K70" s="187" t="n"/>
      <c r="L70" s="185" t="n"/>
    </row>
    <row r="71">
      <c r="C71" s="171" t="inlineStr">
        <is>
          <t>Exit multiple method</t>
        </is>
      </c>
      <c r="D71" s="172" t="n"/>
      <c r="E71" s="157" t="inlineStr">
        <is>
          <t>Long term operating leases</t>
        </is>
      </c>
      <c r="H71" s="137">
        <f>IFERROR(INDEX(Model!$I$201:$BF$201,1,MATCH(Control!$B$7,Model!$I$5:$BF$5,0)),"")</f>
        <v>1041.536</v>
      </c>
      <c r="I71" s="179" t="inlineStr">
        <is>
          <t>Batch 6</t>
        </is>
      </c>
      <c r="J71" s="189" t="n"/>
      <c r="K71" s="190" t="n"/>
      <c r="L71" s="191" t="n"/>
    </row>
    <row r="72">
      <c r="C72" s="174" t="inlineStr">
        <is>
          <t>Exit EV / EBITDA multiple</t>
        </is>
      </c>
      <c r="D72" s="192" t="str">
        <f>IFERROR(IF(Control!E14="","",Control!E14),"")</f>
        <v/>
      </c>
      <c r="E72" s="157" t="inlineStr">
        <is>
          <t>Less: Excess cash</t>
        </is>
      </c>
      <c r="H72" s="137">
        <f>IFERROR(-INDEX(Model!$I$110:$BF$110,1,MATCH(Control!$B$7,Model!$I$5:$BF$5,0)),"")</f>
        <v>-2037.673</v>
      </c>
      <c r="J72" s="162" t="n"/>
      <c r="K72" s="193" t="inlineStr">
        <is>
          <t>Total in-the-$ options:</t>
        </is>
      </c>
      <c r="L72" s="185" t="n"/>
    </row>
    <row r="73">
      <c r="C73" s="174" t="inlineStr">
        <is>
          <t>LTM EBITDA at end of projection</t>
        </is>
      </c>
      <c r="D73" s="188">
        <f>IFERROR(K20,"")</f>
        <v>3347.7773479342</v>
      </c>
      <c r="E73" s="157" t="inlineStr">
        <is>
          <t>Less: Equity investments</t>
        </is>
      </c>
      <c r="H73" s="137">
        <f>IFERROR(-INDEX(Model!$I$127:$BF$127,1,MATCH(Control!$B$7,Model!$I$5:$BF$5,0)),"")</f>
        <v>-169.324</v>
      </c>
      <c r="J73" s="162" t="n"/>
      <c r="K73" s="193" t="inlineStr">
        <is>
          <t>Total $ proceeds:</t>
        </is>
      </c>
      <c r="L73" s="194" t="n"/>
    </row>
    <row r="74">
      <c r="C74" s="174" t="inlineStr">
        <is>
          <t>Terminal value</t>
        </is>
      </c>
      <c r="D74" s="188" t="str">
        <f>IFERROR(IF(OR(D72="",D73=""),"",D73*D72),"")</f>
        <v/>
      </c>
      <c r="E74" s="157" t="inlineStr">
        <is>
          <t>Net debt</t>
        </is>
      </c>
      <c r="H74" s="188">
        <f>IFERROR(SUM(H64:H73),"")</f>
        <v>3715.045</v>
      </c>
      <c r="J74" s="162" t="n"/>
      <c r="K74" s="193" t="inlineStr">
        <is>
          <t>Total shares repurchased:</t>
        </is>
      </c>
      <c r="L74" s="185" t="n"/>
    </row>
    <row r="75">
      <c r="C75" s="174" t="inlineStr">
        <is>
          <t>Present value of terminal value</t>
        </is>
      </c>
      <c r="D75" s="188" t="str">
        <f>IFERROR(IF(OR(D74="",K54="",K55=""),"",D74*K54*K55),"")</f>
        <v/>
      </c>
      <c r="E75" s="173" t="inlineStr">
        <is>
          <t>Equity value</t>
        </is>
      </c>
      <c r="H75" s="181" t="str">
        <f>IFERROR(IF(H62="","",H62-H74),"")</f>
        <v/>
      </c>
      <c r="J75" s="162" t="n"/>
      <c r="K75" s="195" t="inlineStr">
        <is>
          <t>Basic shares outstanding</t>
        </is>
      </c>
      <c r="L75" s="172" t="n"/>
    </row>
    <row r="76" ht="13.5" customHeight="1">
      <c r="C76" s="174" t="inlineStr">
        <is>
          <t>Enterprise value</t>
        </is>
      </c>
      <c r="D76" s="188" t="str">
        <f>IFERROR(IF(OR(D75="",G57=""),"",G57+D75),"")</f>
        <v/>
      </c>
      <c r="E76" s="157" t="inlineStr">
        <is>
          <t>Shares outstanding</t>
        </is>
      </c>
      <c r="H76" s="188" t="str">
        <f>IFERROR(IF(Control!E5="","",Control!E5),"")</f>
        <v/>
      </c>
      <c r="J76" s="196" t="n"/>
      <c r="K76" s="195" t="inlineStr">
        <is>
          <t>New shares from options:</t>
        </is>
      </c>
      <c r="L76" s="172" t="n"/>
    </row>
    <row r="77" ht="13.5" customHeight="1">
      <c r="C77" s="143" t="n"/>
      <c r="D77" s="197" t="n"/>
      <c r="E77" s="173" t="inlineStr">
        <is>
          <t>Equity value / share</t>
        </is>
      </c>
      <c r="H77" s="198" t="str">
        <f>IFERROR(IF(OR(H75="",H76="",H76=0),"",H75/H76),"")</f>
        <v/>
      </c>
      <c r="K77" s="195" t="inlineStr">
        <is>
          <t>New shares from convert. pref. stock:</t>
        </is>
      </c>
      <c r="L77" s="199" t="n"/>
    </row>
    <row r="78">
      <c r="C78" s="171" t="inlineStr">
        <is>
          <t>Select a terminal value method</t>
        </is>
      </c>
      <c r="D78" s="200" t="n"/>
      <c r="F78" s="160" t="n"/>
      <c r="H78" s="201" t="n"/>
      <c r="K78" s="195" t="inlineStr">
        <is>
          <t>New shares from convertible debt:</t>
        </is>
      </c>
      <c r="L78" s="202" t="n"/>
    </row>
    <row r="79">
      <c r="C79" s="174" t="inlineStr">
        <is>
          <t>Perpetual growth = 1 / Exit multiple = 2</t>
        </is>
      </c>
      <c r="D79" s="203">
        <f>IFERROR(Control!B11,"")</f>
        <v>1</v>
      </c>
      <c r="H79" s="201" t="n"/>
      <c r="K79" s="204" t="inlineStr">
        <is>
          <t>Total Shares Outstanding:</t>
        </is>
      </c>
      <c r="L79" s="205" t="n"/>
    </row>
    <row r="80">
      <c r="C80" s="174" t="inlineStr">
        <is>
          <t>Enterprise value</t>
        </is>
      </c>
      <c r="D80" s="172" t="str">
        <f>IFERROR(IF(D79=1,D69,D76),"")</f>
        <v/>
      </c>
      <c r="H80" s="144" t="n"/>
      <c r="K80" s="204" t="n"/>
      <c r="L80" s="205" t="n"/>
    </row>
    <row r="81">
      <c r="C81" s="206" t="inlineStr">
        <is>
          <t>Terminal value as percent of total value</t>
        </is>
      </c>
      <c r="D81" s="207" t="str">
        <f>IFERROR(IF(D79=1,D68/D69,D75/D76),"")</f>
        <v/>
      </c>
      <c r="E81" s="109" t="n"/>
      <c r="F81" s="109" t="n"/>
      <c r="G81" s="109" t="n"/>
      <c r="H81" s="123" t="n"/>
      <c r="I81" s="109" t="n"/>
      <c r="J81" s="109" t="n"/>
      <c r="K81" s="109" t="n"/>
      <c r="L81" s="123" t="n"/>
    </row>
    <row r="82"/>
    <row r="83" ht="13.5" customHeight="1">
      <c r="C83" s="208" t="inlineStr">
        <is>
          <t>Analysis of WACC</t>
        </is>
      </c>
      <c r="D83" s="209" t="n"/>
      <c r="E83" s="210" t="n"/>
      <c r="F83" s="210" t="n"/>
      <c r="G83" s="208" t="n"/>
      <c r="H83" s="209" t="n"/>
      <c r="I83" s="210" t="n"/>
      <c r="J83" s="210" t="n"/>
      <c r="K83" s="210" t="n"/>
      <c r="L83" s="210" t="n"/>
    </row>
    <row r="84"/>
    <row r="85">
      <c r="C85" s="211" t="inlineStr">
        <is>
          <t>Cost of debt</t>
        </is>
      </c>
      <c r="D85" s="109" t="n"/>
      <c r="F85" s="211" t="inlineStr">
        <is>
          <t>Capital structure</t>
        </is>
      </c>
      <c r="G85" s="211" t="n"/>
      <c r="H85" s="211" t="n"/>
      <c r="I85" s="211" t="n"/>
      <c r="J85" s="211" t="n"/>
    </row>
    <row r="86">
      <c r="C86" s="157" t="inlineStr">
        <is>
          <t>Cost of debt</t>
        </is>
      </c>
      <c r="D86" s="212" t="str">
        <f>IFERROR(IF(Control!E9="","",Control!E9),"")</f>
        <v/>
      </c>
      <c r="G86" s="252" t="inlineStr">
        <is>
          <t>Current capital structure</t>
        </is>
      </c>
      <c r="H86" s="253" t="n"/>
      <c r="I86" s="254" t="inlineStr">
        <is>
          <t>Target capital structure</t>
        </is>
      </c>
      <c r="J86" s="255" t="n"/>
    </row>
    <row r="87">
      <c r="C87" s="157" t="inlineStr">
        <is>
          <t>Marginal tax rate</t>
        </is>
      </c>
      <c r="D87" s="212" t="str">
        <f>IFERROR(IF(Control!E10="","",Control!E10),"")</f>
        <v/>
      </c>
      <c r="F87" s="109" t="n"/>
      <c r="G87" s="182" t="inlineStr">
        <is>
          <t>Market value</t>
        </is>
      </c>
      <c r="H87" s="182" t="inlineStr">
        <is>
          <t>% Weight</t>
        </is>
      </c>
      <c r="I87" s="182" t="inlineStr">
        <is>
          <t>override</t>
        </is>
      </c>
      <c r="J87" s="213" t="inlineStr">
        <is>
          <t>% Weight</t>
        </is>
      </c>
      <c r="K87" s="214" t="n"/>
      <c r="L87" s="215" t="n"/>
    </row>
    <row r="88">
      <c r="C88" s="251" t="inlineStr">
        <is>
          <t>Cost of debt after tax shield</t>
        </is>
      </c>
      <c r="D88" s="216" t="str">
        <f>IFERROR(IF(D86="","",D86*(1-D87)),"")</f>
        <v/>
      </c>
      <c r="F88" s="251" t="inlineStr">
        <is>
          <t>Net debt</t>
        </is>
      </c>
      <c r="G88" s="217">
        <f>IFERROR(H74,"")</f>
        <v>3715.045</v>
      </c>
      <c r="H88" s="97">
        <f>IFERROR(debt/totalcap,"")</f>
        <v>1</v>
      </c>
      <c r="I88" s="212" t="n"/>
      <c r="J88" s="97">
        <f>IFERROR(IF(I88,I88,H88),"")</f>
        <v>1</v>
      </c>
      <c r="L88" s="218" t="n"/>
    </row>
    <row r="89">
      <c r="F89" s="251" t="inlineStr">
        <is>
          <t>Equity</t>
        </is>
      </c>
      <c r="G89" s="217">
        <f>IFERROR(L63*L79,"")</f>
        <v>0</v>
      </c>
      <c r="H89" s="97">
        <f>IFERROR(1-H88,"")</f>
        <v>0</v>
      </c>
      <c r="J89" s="97">
        <f>IFERROR(1-debt_weight,"")</f>
        <v>0</v>
      </c>
    </row>
    <row r="90">
      <c r="C90" s="211" t="inlineStr">
        <is>
          <t>Cost of equity</t>
        </is>
      </c>
      <c r="D90" s="109" t="n"/>
      <c r="F90" s="251" t="inlineStr">
        <is>
          <t>Total</t>
        </is>
      </c>
      <c r="G90" s="214">
        <f>IFERROR(SUM(G88:G89),"")</f>
        <v>3715.045</v>
      </c>
    </row>
    <row r="91">
      <c r="C91" s="157" t="inlineStr">
        <is>
          <t>Risk-Free Rate (rf)</t>
        </is>
      </c>
      <c r="D91" s="212" t="str">
        <f>IFERROR(IF(Control!E6="","",Control!E6),"")</f>
        <v/>
      </c>
      <c r="E91" s="195" t="n"/>
    </row>
    <row r="92">
      <c r="C92" s="157" t="inlineStr">
        <is>
          <t>Market Risk Premium (rm-rf)</t>
        </is>
      </c>
      <c r="D92" s="212" t="str">
        <f>IFERROR(IF(Control!E7="","",Control!E7),"")</f>
        <v/>
      </c>
      <c r="F92" s="211" t="inlineStr">
        <is>
          <t>Weighted average cost of capital</t>
        </is>
      </c>
      <c r="G92" s="109" t="n"/>
      <c r="H92" s="109" t="n"/>
      <c r="I92" s="109" t="n"/>
      <c r="J92" s="109" t="n"/>
    </row>
    <row r="93">
      <c r="C93" s="157" t="inlineStr">
        <is>
          <t>Raw (observed) beta</t>
        </is>
      </c>
      <c r="D93" s="219" t="str">
        <f>IFERROR(IF(Control!E8="","",Control!E8),"")</f>
        <v/>
      </c>
      <c r="F93" s="251" t="inlineStr">
        <is>
          <t>Weighted average cost of capital:</t>
        </is>
      </c>
      <c r="J93" s="97" t="str">
        <f>IFERROR(IF(Control!E12="","",Control!E12),"")</f>
        <v/>
      </c>
    </row>
    <row r="94">
      <c r="C94" s="157" t="inlineStr">
        <is>
          <t>Cost of equity using relevered industry beta</t>
        </is>
      </c>
      <c r="D94" s="216" t="str">
        <f>IFERROR(IF(COUNT(D91:D93)&lt;3,"",D91+D93*D92),"")</f>
        <v/>
      </c>
      <c r="E94" s="102" t="n"/>
    </row>
    <row r="95">
      <c r="C95" s="157" t="n"/>
      <c r="D95" s="216" t="n"/>
      <c r="E95" s="102" t="n"/>
      <c r="G95" s="214" t="n"/>
    </row>
    <row r="96">
      <c r="C96" s="211" t="inlineStr">
        <is>
          <t>Industry beta calculation</t>
        </is>
      </c>
      <c r="D96" s="109" t="n"/>
      <c r="E96" s="109" t="n"/>
      <c r="F96" s="109" t="n"/>
      <c r="G96" s="109" t="n"/>
      <c r="H96" s="109" t="n"/>
      <c r="I96" s="109" t="n"/>
      <c r="J96" s="109" t="n"/>
      <c r="K96" s="109" t="n"/>
      <c r="L96" s="109" t="n"/>
      <c r="M96" s="109" t="n"/>
    </row>
    <row r="97" ht="25.5" customHeight="1">
      <c r="C97" s="220" t="inlineStr">
        <is>
          <t xml:space="preserve">Comps </t>
        </is>
      </c>
      <c r="D97" s="221" t="inlineStr">
        <is>
          <t>Raw beta</t>
        </is>
      </c>
      <c r="E97" s="221" t="inlineStr">
        <is>
          <t>Share price</t>
        </is>
      </c>
      <c r="F97" s="221" t="inlineStr">
        <is>
          <t>Shares</t>
        </is>
      </c>
      <c r="G97" s="221" t="inlineStr">
        <is>
          <t>Market cap.</t>
        </is>
      </c>
      <c r="H97" s="221" t="inlineStr">
        <is>
          <t>Debt</t>
        </is>
      </c>
      <c r="I97" s="221" t="inlineStr">
        <is>
          <t>D / E</t>
        </is>
      </c>
      <c r="J97" s="221" t="inlineStr">
        <is>
          <t>Tax rate</t>
        </is>
      </c>
      <c r="K97" s="221" t="inlineStr">
        <is>
          <t>Unl. Beta</t>
        </is>
      </c>
      <c r="L97" s="221" t="n"/>
      <c r="M97" s="221" t="n"/>
    </row>
    <row r="98">
      <c r="C98" s="251" t="str">
        <f>IFERROR(ticker,"")</f>
        <v>FLRY3) - fonte: "Dados Historicos - 2T26.xlsm" (RI Fleury)</v>
      </c>
      <c r="D98" s="222" t="n"/>
      <c r="E98" s="223" t="n"/>
      <c r="F98" s="141" t="n"/>
      <c r="G98" s="141" t="n"/>
      <c r="H98" s="141" t="n"/>
      <c r="I98" s="224" t="n"/>
      <c r="J98" s="224" t="n"/>
      <c r="K98" s="222" t="n"/>
      <c r="L98" s="225" t="n"/>
    </row>
    <row r="99">
      <c r="C99" s="226" t="inlineStr">
        <is>
          <t>TICKER 2</t>
        </is>
      </c>
      <c r="D99" s="219" t="n"/>
      <c r="E99" s="227" t="n"/>
      <c r="F99" s="228" t="n"/>
      <c r="G99" s="141" t="n"/>
      <c r="H99" s="228" t="n"/>
      <c r="I99" s="224" t="n"/>
      <c r="J99" s="229" t="n"/>
      <c r="K99" s="222" t="n"/>
      <c r="L99" s="225" t="n"/>
    </row>
    <row r="100">
      <c r="C100" s="226" t="inlineStr">
        <is>
          <t>TICKER 3</t>
        </is>
      </c>
      <c r="D100" s="219" t="n"/>
      <c r="E100" s="227" t="n"/>
      <c r="F100" s="228" t="n"/>
      <c r="G100" s="141" t="n"/>
      <c r="H100" s="228" t="n"/>
      <c r="I100" s="224" t="n"/>
      <c r="J100" s="229" t="n"/>
      <c r="K100" s="222" t="n"/>
      <c r="L100" s="225" t="n"/>
    </row>
    <row r="101">
      <c r="C101" s="230" t="inlineStr">
        <is>
          <t>TICKER 4</t>
        </is>
      </c>
      <c r="D101" s="231" t="n"/>
      <c r="E101" s="232" t="n"/>
      <c r="F101" s="233" t="n"/>
      <c r="G101" s="127" t="n"/>
      <c r="H101" s="233" t="n"/>
      <c r="I101" s="234" t="n"/>
      <c r="J101" s="235" t="n"/>
      <c r="K101" s="236" t="n"/>
      <c r="L101" s="225" t="n"/>
      <c r="M101" s="237" t="n"/>
    </row>
    <row r="102">
      <c r="D102" s="222" t="n"/>
      <c r="E102" s="204" t="n"/>
      <c r="F102" s="161" t="n"/>
      <c r="G102" s="141" t="n"/>
      <c r="I102" s="222" t="n"/>
      <c r="J102" s="237" t="n"/>
      <c r="K102" s="238" t="n"/>
      <c r="L102" s="238" t="n"/>
      <c r="M102" s="238" t="n"/>
    </row>
  </sheetData>
  <mergeCells count="4">
    <mergeCell ref="G14:V14"/>
    <mergeCell ref="G86:H86"/>
    <mergeCell ref="I86:J86"/>
    <mergeCell ref="G15:V15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70AD47"/>
    <outlinePr summaryBelow="1" summaryRight="1"/>
    <pageSetUpPr/>
  </sheetPr>
  <dimension ref="A1:F33"/>
  <sheetViews>
    <sheetView showGridLines="0" zoomScaleNormal="100" workbookViewId="0">
      <pane ySplit="1" topLeftCell="A2" activePane="bottomLeft" state="frozen"/>
      <selection pane="bottomLeft" activeCell="B3" sqref="B3:B12"/>
    </sheetView>
  </sheetViews>
  <sheetFormatPr baseColWidth="8" defaultColWidth="9.7109375" defaultRowHeight="12.75"/>
  <cols>
    <col width="43.140625" customWidth="1" min="1" max="1"/>
    <col width="27.28515625" customWidth="1" min="2" max="2"/>
    <col width="18.140625" customWidth="1" min="3" max="3"/>
    <col width="34" customWidth="1" min="4" max="4"/>
    <col width="18.140625" customWidth="1" min="5" max="6"/>
  </cols>
  <sheetData>
    <row r="1" ht="18" customHeight="1">
      <c r="A1" s="239" t="inlineStr">
        <is>
          <t>CONTROL &amp; ASSUMPTIONS – BASE MODEL</t>
        </is>
      </c>
      <c r="B1" s="239" t="n"/>
      <c r="C1" s="239" t="n"/>
      <c r="D1" s="239" t="n"/>
      <c r="E1" s="239" t="n"/>
      <c r="F1" s="239" t="n"/>
    </row>
    <row r="3" ht="14.25" customHeight="1">
      <c r="A3" t="inlineStr">
        <is>
          <t>Company</t>
        </is>
      </c>
      <c r="B3" s="240" t="inlineStr">
        <is>
          <t>Fleury S.A.</t>
        </is>
      </c>
      <c r="D3" s="241" t="inlineStr">
        <is>
          <t>Valuation assumptions</t>
        </is>
      </c>
      <c r="E3" s="241" t="n"/>
      <c r="F3" s="241" t="n"/>
    </row>
    <row r="4" ht="14.25" customHeight="1">
      <c r="A4" t="inlineStr">
        <is>
          <t>Ticker</t>
        </is>
      </c>
      <c r="B4" s="240" t="inlineStr">
        <is>
          <t>FLRY3) - fonte: "Dados Historicos - 2T26.xlsm" (RI Fleury)</t>
        </is>
      </c>
      <c r="D4" t="inlineStr">
        <is>
          <t>Last close (R$/share)</t>
        </is>
      </c>
      <c r="E4" s="242" t="n"/>
    </row>
    <row r="5" ht="14.25" customHeight="1">
      <c r="A5" t="inlineStr">
        <is>
          <t>Currency</t>
        </is>
      </c>
      <c r="B5" s="240" t="inlineStr">
        <is>
          <t>BRL</t>
        </is>
      </c>
      <c r="D5" t="inlineStr">
        <is>
          <t>Shares outstanding (mm)</t>
        </is>
      </c>
      <c r="E5" s="243" t="n"/>
    </row>
    <row r="6" ht="14.25" customHeight="1">
      <c r="A6" t="inlineStr">
        <is>
          <t>Model unit</t>
        </is>
      </c>
      <c r="B6" s="240" t="inlineStr">
        <is>
          <t>R$ milhões</t>
        </is>
      </c>
      <c r="D6" t="inlineStr">
        <is>
          <t>Risk-free rate</t>
        </is>
      </c>
      <c r="E6" s="244" t="n"/>
    </row>
    <row r="7" ht="14.25" customHeight="1">
      <c r="A7" t="inlineStr">
        <is>
          <t>Last actual period</t>
        </is>
      </c>
      <c r="B7" s="276" t="n">
        <v>46203</v>
      </c>
      <c r="D7" t="inlineStr">
        <is>
          <t>Market risk premium</t>
        </is>
      </c>
      <c r="E7" s="244" t="n"/>
    </row>
    <row r="8" ht="14.25" customHeight="1">
      <c r="A8" t="inlineStr">
        <is>
          <t>Quarterly forecast through</t>
        </is>
      </c>
      <c r="B8" s="245" t="n">
        <v>47118</v>
      </c>
      <c r="D8" t="inlineStr">
        <is>
          <t>Beta</t>
        </is>
      </c>
      <c r="E8" s="246" t="n"/>
    </row>
    <row r="9" ht="15" customHeight="1">
      <c r="A9" t="inlineStr">
        <is>
          <t>Forecast end</t>
        </is>
      </c>
      <c r="B9" s="245" t="n">
        <v>47848</v>
      </c>
      <c r="D9" t="inlineStr">
        <is>
          <t>Pre-tax cost of debt</t>
        </is>
      </c>
      <c r="E9" s="247" t="str">
        <f>IFERROR(-Model!AG40/AVERAGE(Model!AB58,Model!AG58),"")</f>
        <v/>
      </c>
    </row>
    <row r="10" ht="14.25" customHeight="1">
      <c r="A10" t="inlineStr">
        <is>
          <t>Scenario (1 Bull / 2 Base / 3 Bear)</t>
        </is>
      </c>
      <c r="B10" s="240" t="n">
        <v>2</v>
      </c>
      <c r="D10" t="inlineStr">
        <is>
          <t>Marginal tax rate</t>
        </is>
      </c>
      <c r="E10" s="244" t="n"/>
    </row>
    <row r="11" ht="14.25" customHeight="1">
      <c r="A11" t="inlineStr">
        <is>
          <t>Terminal method (1 Perpetuity / 2 Exit)</t>
        </is>
      </c>
      <c r="B11" s="240" t="n">
        <v>1</v>
      </c>
      <c r="D11" t="inlineStr">
        <is>
          <t>Target debt weight</t>
        </is>
      </c>
      <c r="E11" s="244" t="n"/>
    </row>
    <row r="12" ht="15" customHeight="1">
      <c r="A12" t="inlineStr">
        <is>
          <t>Valuation date</t>
        </is>
      </c>
      <c r="B12" s="245" t="n"/>
      <c r="D12" t="inlineStr">
        <is>
          <t>WACC</t>
        </is>
      </c>
      <c r="E12" s="247" t="str">
        <f>IF(COUNT(E6:E11)&lt;6,"",E11*E9*(1-E10)+(1-E11)*(E6+E8*E7))</f>
        <v/>
      </c>
    </row>
    <row r="13" ht="15" customHeight="1">
      <c r="A13" t="inlineStr">
        <is>
          <t>Stub year fraction</t>
        </is>
      </c>
      <c r="B13" s="247">
        <f>IFERROR((DATE(YEAR(B12),12,31)-B12)/365,"")</f>
        <v>0.00273972602739726</v>
      </c>
      <c r="D13" t="inlineStr">
        <is>
          <t>Terminal growth</t>
        </is>
      </c>
      <c r="E13" s="244" t="n"/>
    </row>
    <row r="14" ht="14.25" customHeight="1">
      <c r="D14" t="inlineStr">
        <is>
          <t>Exit EV/EBITDA</t>
        </is>
      </c>
      <c r="E14" s="248" t="n"/>
    </row>
    <row r="15" ht="14.25" customHeight="1">
      <c r="D15" t="inlineStr">
        <is>
          <t>Dividend payout</t>
        </is>
      </c>
      <c r="E15" s="244" t="n"/>
    </row>
    <row r="17" ht="14.25" customHeight="1">
      <c r="A17" s="241" t="inlineStr">
        <is>
          <t>Forecast drivers</t>
        </is>
      </c>
      <c r="B17" s="241" t="inlineStr">
        <is>
          <t>2026E</t>
        </is>
      </c>
      <c r="C17" s="241" t="inlineStr">
        <is>
          <t>2027E</t>
        </is>
      </c>
      <c r="D17" s="241" t="inlineStr">
        <is>
          <t>2028E</t>
        </is>
      </c>
      <c r="E17" s="241" t="inlineStr">
        <is>
          <t>2029E</t>
        </is>
      </c>
      <c r="F17" s="241" t="inlineStr">
        <is>
          <t>2030E</t>
        </is>
      </c>
    </row>
    <row r="18" ht="15" customHeight="1">
      <c r="A18" t="inlineStr">
        <is>
          <t>Revenue growth</t>
        </is>
      </c>
      <c r="B18" s="247">
        <f>IFERROR(AVERAGE(Model!AC16:AF16,Model!AH16:AI16),"")</f>
        <v>0.0942767102032407</v>
      </c>
      <c r="C18" s="247">
        <f>IF(B18="","",B18)</f>
        <v>0.0942767102032407</v>
      </c>
      <c r="D18" s="247">
        <f>IF(C18="","",MAX(0,C18-0.5%))</f>
        <v>0.0892767102032407</v>
      </c>
      <c r="E18" s="247">
        <f>IF(D18="","",MAX(0,D18-0.5%))</f>
        <v>0.0842767102032407</v>
      </c>
      <c r="F18" s="247">
        <f>IF(E18="","",MAX(0,E18-0.5%))</f>
        <v>0.0792767102032407</v>
      </c>
    </row>
    <row r="19" ht="15" customHeight="1">
      <c r="A19" t="inlineStr">
        <is>
          <t>Gross margin</t>
        </is>
      </c>
      <c r="B19" s="247">
        <f>IFERROR(AVERAGE(Model!AC21:AF21,Model!AH21:AI21),"")</f>
        <v>0.350742407699283</v>
      </c>
      <c r="C19" s="247">
        <f>IF(B19="","",B19)</f>
        <v>0.350742407699283</v>
      </c>
      <c r="D19" s="247">
        <f>IF(C19="","",C19)</f>
        <v>0.350742407699283</v>
      </c>
      <c r="E19" s="247">
        <f>IF(D19="","",D19)</f>
        <v>0.350742407699283</v>
      </c>
      <c r="F19" s="247">
        <f>IF(E19="","",E19)</f>
        <v>0.350742407699283</v>
      </c>
    </row>
    <row r="20" ht="15" customHeight="1">
      <c r="A20" t="inlineStr">
        <is>
          <t>SG&amp;A / Revenue</t>
        </is>
      </c>
      <c r="B20" s="247">
        <f>IFERROR(AVERAGE(Model!AC25:AF25,Model!AH25:AI25),"")</f>
        <v>0.0896464260437868</v>
      </c>
      <c r="C20" s="247">
        <f>IF(B20="","",B20)</f>
        <v>0.0896464260437868</v>
      </c>
      <c r="D20" s="247">
        <f>IF(C20="","",C20)</f>
        <v>0.0896464260437868</v>
      </c>
      <c r="E20" s="247">
        <f>IF(D20="","",D20)</f>
        <v>0.0896464260437868</v>
      </c>
      <c r="F20" s="247">
        <f>IF(E20="","",E20)</f>
        <v>0.0896464260437868</v>
      </c>
    </row>
    <row r="21" ht="15" customHeight="1">
      <c r="A21" t="inlineStr">
        <is>
          <t>D&amp;A / Revenue</t>
        </is>
      </c>
      <c r="B21" s="247">
        <f>IFERROR(AVERAGE(Model!AC37:AF37,Model!AH37:AI37),"")</f>
        <v>0.105426423607942</v>
      </c>
      <c r="C21" s="247">
        <f>IF(B21="","",B21)</f>
        <v>0.105426423607942</v>
      </c>
      <c r="D21" s="247">
        <f>IF(C21="","",C21)</f>
        <v>0.105426423607942</v>
      </c>
      <c r="E21" s="247">
        <f>IF(D21="","",D21)</f>
        <v>0.105426423607942</v>
      </c>
      <c r="F21" s="247">
        <f>IF(E21="","",E21)</f>
        <v>0.105426423607942</v>
      </c>
    </row>
    <row r="22" ht="15" customHeight="1">
      <c r="A22" t="inlineStr">
        <is>
          <t>Effective tax rate</t>
        </is>
      </c>
      <c r="B22" s="247">
        <f>IFERROR(AVERAGE(Model!AC98:AF98,Model!AH98:AI98),"")</f>
        <v>0.192934859533307</v>
      </c>
      <c r="C22" s="247">
        <f>IF(B22="","",B22)</f>
        <v>0.192934859533307</v>
      </c>
      <c r="D22" s="247">
        <f>IF(C22="","",C22)</f>
        <v>0.192934859533307</v>
      </c>
      <c r="E22" s="247">
        <f>IF(D22="","",D22)</f>
        <v>0.192934859533307</v>
      </c>
      <c r="F22" s="247">
        <f>IF(E22="","",E22)</f>
        <v>0.192934859533307</v>
      </c>
    </row>
    <row r="23" ht="15" customHeight="1">
      <c r="A23" t="inlineStr">
        <is>
          <t>Financial income / Revenue</t>
        </is>
      </c>
      <c r="B23" s="247">
        <f>IFERROR(AVERAGE(Model!AC89:AF89,Model!AH89:AI89)/AVERAGE(Model!AC15:AF15,Model!AH15:AI15),"")</f>
        <v>0.0386370803445175</v>
      </c>
      <c r="C23" s="247">
        <f>IF(B23="","",B23)</f>
        <v>0.0386370803445175</v>
      </c>
      <c r="D23" s="247">
        <f>IF(C23="","",C23)</f>
        <v>0.0386370803445175</v>
      </c>
      <c r="E23" s="247">
        <f>IF(D23="","",D23)</f>
        <v>0.0386370803445175</v>
      </c>
      <c r="F23" s="247">
        <f>IF(E23="","",E23)</f>
        <v>0.0386370803445175</v>
      </c>
    </row>
    <row r="24" ht="15" customHeight="1">
      <c r="A24" t="inlineStr">
        <is>
          <t>Capex / Revenue</t>
        </is>
      </c>
      <c r="B24" s="247">
        <f>IFERROR(-AVERAGE(Model!AC261:AF261,Model!AH261:AI261)/AVERAGE(Model!AC15:AF15,Model!AH15:AI15),"")</f>
        <v>0.107414127775675</v>
      </c>
      <c r="C24" s="247">
        <f>IF(B24="","",B24)</f>
        <v>0.107414127775675</v>
      </c>
      <c r="D24" s="247">
        <f>IF(C24="","",C24)</f>
        <v>0.107414127775675</v>
      </c>
      <c r="E24" s="247">
        <f>IF(D24="","",D24)</f>
        <v>0.107414127775675</v>
      </c>
      <c r="F24" s="247">
        <f>IF(E24="","",E24)</f>
        <v>0.107414127775675</v>
      </c>
    </row>
    <row r="25" ht="15" customHeight="1">
      <c r="A25" t="inlineStr">
        <is>
          <t>DSO</t>
        </is>
      </c>
      <c r="B25" s="249">
        <f>IFERROR(AVERAGE(Model!AC112:AF112,Model!AH112:AI112),0)</f>
        <v>80.8734290125846</v>
      </c>
      <c r="C25" s="249">
        <f>IF(B25="","",B25)</f>
        <v>80.8734290125846</v>
      </c>
      <c r="D25" s="249">
        <f>IF(C25="","",C25)</f>
        <v>80.8734290125846</v>
      </c>
      <c r="E25" s="249">
        <f>IF(D25="","",D25)</f>
        <v>80.8734290125846</v>
      </c>
      <c r="F25" s="249">
        <f>IF(E25="","",E25)</f>
        <v>80.8734290125846</v>
      </c>
    </row>
    <row r="26" ht="15" customHeight="1">
      <c r="A26" t="inlineStr">
        <is>
          <t>DIO</t>
        </is>
      </c>
      <c r="B26" s="249">
        <f>IFERROR(AVERAGE(Model!AC116:AF116,Model!AH116:AI116),0)</f>
        <v>10.385225516907</v>
      </c>
      <c r="C26" s="249">
        <f>IF(B26="","",B26)</f>
        <v>10.385225516907</v>
      </c>
      <c r="D26" s="249">
        <f>IF(C26="","",C26)</f>
        <v>10.385225516907</v>
      </c>
      <c r="E26" s="249">
        <f>IF(D26="","",D26)</f>
        <v>10.385225516907</v>
      </c>
      <c r="F26" s="249">
        <f>IF(E26="","",E26)</f>
        <v>10.385225516907</v>
      </c>
    </row>
    <row r="27" ht="15" customHeight="1">
      <c r="A27" t="inlineStr">
        <is>
          <t>DPO</t>
        </is>
      </c>
      <c r="B27" s="249">
        <f>IFERROR(AVERAGE(Model!AC165:AF165,Model!AH165:AI165),0)</f>
        <v>48.2757951140255</v>
      </c>
      <c r="C27" s="249">
        <f>IF(B27="","",B27)</f>
        <v>48.2757951140255</v>
      </c>
      <c r="D27" s="249">
        <f>IF(C27="","",C27)</f>
        <v>48.2757951140255</v>
      </c>
      <c r="E27" s="249">
        <f>IF(D27="","",D27)</f>
        <v>48.2757951140255</v>
      </c>
      <c r="F27" s="249">
        <f>IF(E27="","",E27)</f>
        <v>48.2757951140255</v>
      </c>
    </row>
    <row r="29">
      <c r="A29" t="inlineStr">
        <is>
          <t>Model status</t>
        </is>
      </c>
    </row>
    <row r="30">
      <c r="A30" t="inlineStr">
        <is>
          <t>Source</t>
        </is>
      </c>
      <c r="B30" t="inlineStr">
        <is>
          <t>Fleury S.A. (FLRY3) - fonte: "Dados Historicos - 2T26.xlsm" (RI Fleury), consolidado contabil. Abas "Fleury" ate 1T23; abas "Combinada" (colunas contabeis) a partir do 2T23. Moeda: BRL. Unidade dos brutos: R$ mil. Fator converte p/ R$ milhoes.</t>
        </is>
      </c>
    </row>
    <row r="31">
      <c r="A31" t="inlineStr">
        <is>
          <t>Unit flow</t>
        </is>
      </c>
      <c r="B31" t="inlineStr">
        <is>
          <t>R$ mil na Inputs → R$ milhões via Inputs (2)</t>
        </is>
      </c>
    </row>
    <row r="32">
      <c r="A32" t="inlineStr">
        <is>
          <t>Historical coverage</t>
        </is>
      </c>
      <c r="B32" t="str">
        <f>IF(B7="","","1Q21–"&amp;ROUNDUP(MONTH(B7)/3,0)&amp;"Q"&amp;RIGHT(YEAR(B7),2))</f>
        <v>1Q21–2Q26</v>
      </c>
    </row>
    <row r="33">
      <c r="A33" t="inlineStr">
        <is>
          <t>Valuation readiness</t>
        </is>
      </c>
      <c r="B33" t="str">
        <f>IF(OR(B3="",B4=""),"PENDING COMPANY SETUP",IF(OR(E4="",E5="",E12=""),"PENDING MARKET INPUTS","READY"))</f>
        <v>PENDING MARKET INPUTS</v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2026-09-23T00:39:42Z</dcterms:created>
  <dcterms:modified xmlns:dcterms="http://purl.org/dc/terms/" xmlns:xsi="http://www.w3.org/2001/XMLSchema-instance" xsi:type="dcterms:W3CDTF">2026-10-16T15:38:11Z</dcterms:modified>
  <cp:lastModifiedBy>Lucas Nascimento</cp:lastModifiedBy>
  <cp:revision>0</cp:revision>
</cp:coreProperties>
</file>